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1.내꺼 작업\1현재문서\2025\매치스인테리어\10월\북아현동 신촌 푸르지오\"/>
    </mc:Choice>
  </mc:AlternateContent>
  <xr:revisionPtr revIDLastSave="0" documentId="13_ncr:1_{CC116445-7655-4A28-8DDF-24DEF53266AA}" xr6:coauthVersionLast="47" xr6:coauthVersionMax="47" xr10:uidLastSave="{00000000-0000-0000-0000-000000000000}"/>
  <bookViews>
    <workbookView xWindow="0" yWindow="0" windowWidth="28980" windowHeight="15480" activeTab="3" xr2:uid="{00000000-000D-0000-FFFF-FFFF00000000}"/>
  </bookViews>
  <sheets>
    <sheet name="갑지" sheetId="10" r:id="rId1"/>
    <sheet name="내역" sheetId="8" r:id="rId2"/>
    <sheet name="추가수정사항포함" sheetId="12" r:id="rId3"/>
    <sheet name="추가수정사항포함 (2)" sheetId="13" r:id="rId4"/>
  </sheets>
  <definedNames>
    <definedName name="__" localSheetId="0" hidden="1">#REF!</definedName>
    <definedName name="__" localSheetId="3" hidden="1">#REF!</definedName>
    <definedName name="__" hidden="1">#REF!</definedName>
    <definedName name="__IntlFixup" hidden="1">TRUE</definedName>
    <definedName name="_\D" localSheetId="0">#REF!</definedName>
    <definedName name="_\D" localSheetId="3">#REF!</definedName>
    <definedName name="_\D">#REF!</definedName>
    <definedName name="_\X" localSheetId="0">#REF!</definedName>
    <definedName name="_\X" localSheetId="3">#REF!</definedName>
    <definedName name="_\X">#REF!</definedName>
    <definedName name="_01" localSheetId="0">#REF!</definedName>
    <definedName name="_01" localSheetId="3">#REF!</definedName>
    <definedName name="_01">#REF!</definedName>
    <definedName name="_02" localSheetId="3">#REF!</definedName>
    <definedName name="_02">#REF!</definedName>
    <definedName name="_03" localSheetId="3">#REF!</definedName>
    <definedName name="_03">#REF!</definedName>
    <definedName name="_1" localSheetId="3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0">#REF!</definedName>
    <definedName name="_1공장" localSheetId="3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0">#REF!</definedName>
    <definedName name="_2공장" localSheetId="3">#REF!</definedName>
    <definedName name="_2공장">#REF!</definedName>
    <definedName name="_3" localSheetId="0">#REF!</definedName>
    <definedName name="_3" localSheetId="3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0">#REF!</definedName>
    <definedName name="_3공장" localSheetId="3">#REF!</definedName>
    <definedName name="_3공장">#REF!</definedName>
    <definedName name="_4" localSheetId="0">#REF!</definedName>
    <definedName name="_4" localSheetId="3">#REF!</definedName>
    <definedName name="_4">#REF!</definedName>
    <definedName name="_４._설___비____공___사" localSheetId="0">#REF!</definedName>
    <definedName name="_４._설___비____공___사" localSheetId="3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0">#REF!</definedName>
    <definedName name="_5" localSheetId="3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0">#REF!</definedName>
    <definedName name="_6" localSheetId="3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0">#REF!</definedName>
    <definedName name="_7" localSheetId="3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0">#REF!</definedName>
    <definedName name="_9306" localSheetId="3">#REF!</definedName>
    <definedName name="_9306">#REF!</definedName>
    <definedName name="_9307" localSheetId="0">#REF!</definedName>
    <definedName name="_9307" localSheetId="3">#REF!</definedName>
    <definedName name="_9307">#REF!</definedName>
    <definedName name="_93081" localSheetId="0">#REF!</definedName>
    <definedName name="_93081" localSheetId="3">#REF!</definedName>
    <definedName name="_93081">#REF!</definedName>
    <definedName name="_93082" localSheetId="3">#REF!</definedName>
    <definedName name="_93082">#REF!</definedName>
    <definedName name="_9309" localSheetId="3">#REF!</definedName>
    <definedName name="_9309">#REF!</definedName>
    <definedName name="_9310" localSheetId="3">#REF!</definedName>
    <definedName name="_9310">#REF!</definedName>
    <definedName name="_9311" localSheetId="3">#REF!</definedName>
    <definedName name="_9311">#REF!</definedName>
    <definedName name="_93121" localSheetId="3">#REF!</definedName>
    <definedName name="_93121">#REF!</definedName>
    <definedName name="_93122" localSheetId="3">#REF!</definedName>
    <definedName name="_93122">#REF!</definedName>
    <definedName name="_94">#N/A</definedName>
    <definedName name="_9401" localSheetId="0">#REF!</definedName>
    <definedName name="_9401" localSheetId="3">#REF!</definedName>
    <definedName name="_9401">#REF!</definedName>
    <definedName name="_9402" localSheetId="0">#REF!</definedName>
    <definedName name="_9402" localSheetId="3">#REF!</definedName>
    <definedName name="_9402">#REF!</definedName>
    <definedName name="_9403" localSheetId="0">#REF!</definedName>
    <definedName name="_9403" localSheetId="3">#REF!</definedName>
    <definedName name="_9403">#REF!</definedName>
    <definedName name="_9404" localSheetId="3">#REF!</definedName>
    <definedName name="_9404">#REF!</definedName>
    <definedName name="_9405" localSheetId="3">#REF!</definedName>
    <definedName name="_9405">#REF!</definedName>
    <definedName name="_9406" localSheetId="3">#REF!</definedName>
    <definedName name="_9406">#REF!</definedName>
    <definedName name="_94071" localSheetId="3">#REF!</definedName>
    <definedName name="_94071">#REF!</definedName>
    <definedName name="_94072" localSheetId="3">#REF!</definedName>
    <definedName name="_94072">#REF!</definedName>
    <definedName name="_9408" localSheetId="3">#REF!</definedName>
    <definedName name="_9408">#REF!</definedName>
    <definedName name="_9409" localSheetId="3">#REF!</definedName>
    <definedName name="_9409">#REF!</definedName>
    <definedName name="_9410" localSheetId="3">#REF!</definedName>
    <definedName name="_9410">#REF!</definedName>
    <definedName name="_9411" localSheetId="3">#REF!</definedName>
    <definedName name="_9411">#REF!</definedName>
    <definedName name="_94121" localSheetId="3">#REF!</definedName>
    <definedName name="_94121">#REF!</definedName>
    <definedName name="_94122" localSheetId="3">#REF!</definedName>
    <definedName name="_94122">#REF!</definedName>
    <definedName name="_95">#N/A</definedName>
    <definedName name="_9501" localSheetId="0">#REF!</definedName>
    <definedName name="_9501" localSheetId="3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0">#REF!</definedName>
    <definedName name="_A" localSheetId="3">#REF!</definedName>
    <definedName name="_A">#REF!</definedName>
    <definedName name="_A69999" localSheetId="0">#REF!</definedName>
    <definedName name="_A69999" localSheetId="3">#REF!</definedName>
    <definedName name="_A69999">#REF!</definedName>
    <definedName name="_A99999" localSheetId="0">#REF!</definedName>
    <definedName name="_A99999" localSheetId="3">#REF!</definedName>
    <definedName name="_A99999">#REF!</definedName>
    <definedName name="_CSU1" localSheetId="3">#REF!</definedName>
    <definedName name="_CSU1">#REF!</definedName>
    <definedName name="_CSU2" localSheetId="3">#REF!</definedName>
    <definedName name="_CSU2">#REF!</definedName>
    <definedName name="_CSU3" localSheetId="3">#REF!</definedName>
    <definedName name="_CSU3">#REF!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hidden="1">#REF!</definedName>
    <definedName name="_DOG1" localSheetId="3">#REF!</definedName>
    <definedName name="_DOG1">#REF!</definedName>
    <definedName name="_DOG2" localSheetId="3">#REF!</definedName>
    <definedName name="_DOG2">#REF!</definedName>
    <definedName name="_DOG22" localSheetId="3">#REF!</definedName>
    <definedName name="_DOG22">#REF!</definedName>
    <definedName name="_DOG3" localSheetId="3">#REF!</definedName>
    <definedName name="_DOG3">#REF!</definedName>
    <definedName name="_DOG33" localSheetId="3">#REF!</definedName>
    <definedName name="_DOG33">#REF!</definedName>
    <definedName name="_DOG4" localSheetId="3">#REF!</definedName>
    <definedName name="_DOG4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fks1" localSheetId="3">#REF!</definedName>
    <definedName name="_fks1">#REF!</definedName>
    <definedName name="_Fld01" localSheetId="3">#REF!</definedName>
    <definedName name="_Fld01">#REF!</definedName>
    <definedName name="_Fld02" localSheetId="3">#REF!</definedName>
    <definedName name="_Fld02">#REF!</definedName>
    <definedName name="_Fld03" localSheetId="3">#REF!</definedName>
    <definedName name="_Fld03">#REF!</definedName>
    <definedName name="_Fld04" localSheetId="3">#REF!</definedName>
    <definedName name="_Fld04">#REF!</definedName>
    <definedName name="_Fld05" localSheetId="3">#REF!</definedName>
    <definedName name="_Fld05">#REF!</definedName>
    <definedName name="_Fld06" localSheetId="3">#REF!</definedName>
    <definedName name="_Fld06">#REF!</definedName>
    <definedName name="_Fld07" localSheetId="3">#REF!</definedName>
    <definedName name="_Fld07">#REF!</definedName>
    <definedName name="_Fld08" localSheetId="3">#REF!</definedName>
    <definedName name="_Fld08">#REF!</definedName>
    <definedName name="_Fld09" localSheetId="3">#REF!</definedName>
    <definedName name="_Fld09">#REF!</definedName>
    <definedName name="_Fld10" localSheetId="3">#REF!</definedName>
    <definedName name="_Fld10">#REF!</definedName>
    <definedName name="_Fld11" localSheetId="3">#REF!</definedName>
    <definedName name="_Fld11">#REF!</definedName>
    <definedName name="_Fld13" localSheetId="3">#REF!</definedName>
    <definedName name="_Fld13">#REF!</definedName>
    <definedName name="_Fld14" localSheetId="3">#REF!</definedName>
    <definedName name="_Fld14">#REF!</definedName>
    <definedName name="_Fld15" localSheetId="3">#REF!</definedName>
    <definedName name="_Fld15">#REF!</definedName>
    <definedName name="_Fld16" localSheetId="3">#REF!</definedName>
    <definedName name="_Fld16">#REF!</definedName>
    <definedName name="_Fld18" localSheetId="3">#REF!</definedName>
    <definedName name="_Fld18">#REF!</definedName>
    <definedName name="_Fld19" localSheetId="3">#REF!</definedName>
    <definedName name="_Fld19">#REF!</definedName>
    <definedName name="_Fld20" localSheetId="3">#REF!</definedName>
    <definedName name="_Fld20">#REF!</definedName>
    <definedName name="_G640768" localSheetId="3">#REF!</definedName>
    <definedName name="_G640768">#REF!</definedName>
    <definedName name="_gap1" localSheetId="3">#REF!</definedName>
    <definedName name="_gap1">#REF!</definedName>
    <definedName name="_gap2" localSheetId="3">#REF!</definedName>
    <definedName name="_gap2">#REF!</definedName>
    <definedName name="_H100000" localSheetId="3">#REF!</definedName>
    <definedName name="_H100000">#REF!</definedName>
    <definedName name="_H65600" localSheetId="3">#REF!</definedName>
    <definedName name="_H65600">#REF!</definedName>
    <definedName name="_H65700" localSheetId="3">#REF!</definedName>
    <definedName name="_H65700">#REF!</definedName>
    <definedName name="_H65900" localSheetId="3">#REF!</definedName>
    <definedName name="_H65900">#REF!</definedName>
    <definedName name="_H66000" localSheetId="3">#REF!</definedName>
    <definedName name="_H66000">#REF!</definedName>
    <definedName name="_H70000" localSheetId="3">#REF!</definedName>
    <definedName name="_H70000">#REF!</definedName>
    <definedName name="_H71223" localSheetId="3">#REF!</definedName>
    <definedName name="_H71223">#REF!</definedName>
    <definedName name="_IDF15" localSheetId="3">#REF!</definedName>
    <definedName name="_IDF15">#REF!</definedName>
    <definedName name="_IL1" localSheetId="3">#REF!</definedName>
    <definedName name="_IL1">#REF!</definedName>
    <definedName name="_K809632" localSheetId="3">#REF!</definedName>
    <definedName name="_K809632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ksg1" localSheetId="3">#REF!</definedName>
    <definedName name="_ksg1">#REF!</definedName>
    <definedName name="_MatInverse_In" localSheetId="3" hidden="1">#REF!</definedName>
    <definedName name="_MatInverse_In" hidden="1">#REF!</definedName>
    <definedName name="_MatMult_A" localSheetId="3" hidden="1">#REF!</definedName>
    <definedName name="_MatMult_A" hidden="1">#REF!</definedName>
    <definedName name="_MatMult_AxB" localSheetId="3" hidden="1">#REF!</definedName>
    <definedName name="_MatMult_AxB" hidden="1">#REF!</definedName>
    <definedName name="_MatMult_B" localSheetId="3" hidden="1">#REF!</definedName>
    <definedName name="_MatMult_B" hidden="1">#REF!</definedName>
    <definedName name="_MUX3240" localSheetId="3">#REF!</definedName>
    <definedName name="_MUX3240">#REF!</definedName>
    <definedName name="_NIU1" localSheetId="3">#REF!</definedName>
    <definedName name="_NIU1">#REF!</definedName>
    <definedName name="_NIU2" localSheetId="3">#REF!</definedName>
    <definedName name="_NIU2">#REF!</definedName>
    <definedName name="_No3" localSheetId="3">#REF!</definedName>
    <definedName name="_No3">#REF!</definedName>
    <definedName name="_OFD24" localSheetId="3">#REF!</definedName>
    <definedName name="_OFD24">#REF!</definedName>
    <definedName name="_OFD48" localSheetId="3">#REF!</definedName>
    <definedName name="_OFD48">#REF!</definedName>
    <definedName name="_OFD96" localSheetId="3">#REF!</definedName>
    <definedName name="_OFD96">#REF!</definedName>
    <definedName name="_OIU1" localSheetId="3">#REF!</definedName>
    <definedName name="_OIU1">#REF!</definedName>
    <definedName name="_OIU2" localSheetId="3">#REF!</definedName>
    <definedName name="_OIU2">#REF!</definedName>
    <definedName name="_Order1" hidden="1">255</definedName>
    <definedName name="_Order2" hidden="1">255</definedName>
    <definedName name="_PI48" localSheetId="0">#REF!</definedName>
    <definedName name="_PI48" localSheetId="3">#REF!</definedName>
    <definedName name="_PI48">#REF!</definedName>
    <definedName name="_PI60" localSheetId="0">#REF!</definedName>
    <definedName name="_PI60" localSheetId="3">#REF!</definedName>
    <definedName name="_PI60">#REF!</definedName>
    <definedName name="_PP2" localSheetId="0">#REF!</definedName>
    <definedName name="_PP2" localSheetId="3">#REF!</definedName>
    <definedName name="_PP2">#REF!</definedName>
    <definedName name="_PP3" localSheetId="3">#REF!</definedName>
    <definedName name="_PP3">#REF!</definedName>
    <definedName name="_RE1" localSheetId="3">#REF!</definedName>
    <definedName name="_RE1">#REF!</definedName>
    <definedName name="_RE2" localSheetId="3">#REF!</definedName>
    <definedName name="_RE2">#REF!</definedName>
    <definedName name="_re3" localSheetId="3">#REF!</definedName>
    <definedName name="_re3">#REF!</definedName>
    <definedName name="_re4" localSheetId="3">#REF!</definedName>
    <definedName name="_re4">#REF!</definedName>
    <definedName name="_re5" localSheetId="3">#REF!</definedName>
    <definedName name="_re5">#REF!</definedName>
    <definedName name="_re6" localSheetId="3">#REF!</definedName>
    <definedName name="_re6">#REF!</definedName>
    <definedName name="_re7" localSheetId="3">#REF!</definedName>
    <definedName name="_re7">#REF!</definedName>
    <definedName name="_Regression_Int">1</definedName>
    <definedName name="_RO110" localSheetId="0">#REF!</definedName>
    <definedName name="_RO110" localSheetId="3">#REF!</definedName>
    <definedName name="_RO110">#REF!</definedName>
    <definedName name="_RO22" localSheetId="0">#REF!</definedName>
    <definedName name="_RO22" localSheetId="3">#REF!</definedName>
    <definedName name="_RO22">#REF!</definedName>
    <definedName name="_RO35" localSheetId="0">#REF!</definedName>
    <definedName name="_RO35" localSheetId="3">#REF!</definedName>
    <definedName name="_RO35">#REF!</definedName>
    <definedName name="_RO45" localSheetId="3">#REF!</definedName>
    <definedName name="_RO45">#REF!</definedName>
    <definedName name="_RO60" localSheetId="3">#REF!</definedName>
    <definedName name="_RO60">#REF!</definedName>
    <definedName name="_RO80" localSheetId="3">#REF!</definedName>
    <definedName name="_RO80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hidden="1">#REF!</definedName>
    <definedName name="_ST1">#N/A</definedName>
    <definedName name="_Table1_In1" localSheetId="0" hidden="1">#REF!</definedName>
    <definedName name="_Table1_In1" localSheetId="3" hidden="1">#REF!</definedName>
    <definedName name="_Table1_In1" hidden="1">#REF!</definedName>
    <definedName name="_Table1_Out" localSheetId="0" hidden="1">#REF!</definedName>
    <definedName name="_Table1_Out" localSheetId="3" hidden="1">#REF!</definedName>
    <definedName name="_Table1_Out" hidden="1">#REF!</definedName>
    <definedName name="_to1" localSheetId="0">#REF!</definedName>
    <definedName name="_to1" localSheetId="3">#REF!</definedName>
    <definedName name="_to1">#REF!</definedName>
    <definedName name="_to2" localSheetId="3">#REF!</definedName>
    <definedName name="_to2">#REF!</definedName>
    <definedName name="_TON1" localSheetId="3">#REF!</definedName>
    <definedName name="_TON1">#REF!</definedName>
    <definedName name="_TON2" localSheetId="3">#REF!</definedName>
    <definedName name="_TON2">#REF!</definedName>
    <definedName name="_WW2" localSheetId="3">#REF!</definedName>
    <definedName name="_WW2">#REF!</definedName>
    <definedName name="_WW3" localSheetId="3">#REF!</definedName>
    <definedName name="_WW3">#REF!</definedName>
    <definedName name="_WW6" localSheetId="3">#REF!</definedName>
    <definedName name="_WW6">#REF!</definedName>
    <definedName name="_WW7" localSheetId="3">#REF!</definedName>
    <definedName name="_WW7">#REF!</definedName>
    <definedName name="_WW8" localSheetId="3">#REF!</definedName>
    <definedName name="_WW8">#REF!</definedName>
    <definedName name="¨u¨￢Au" localSheetId="3">#REF!</definedName>
    <definedName name="¨u¨￢Au">#REF!</definedName>
    <definedName name="¿¹≫e" localSheetId="3">#REF!</definedName>
    <definedName name="¿¹≫e">#REF!</definedName>
    <definedName name="¤C315" localSheetId="3">#REF!</definedName>
    <definedName name="¤C315">#REF!</definedName>
    <definedName name="¤Ç315" localSheetId="3">#REF!</definedName>
    <definedName name="¤Ç315">#REF!</definedName>
    <definedName name="\0">#N/A</definedName>
    <definedName name="\a" localSheetId="0">#REF!</definedName>
    <definedName name="\a" localSheetId="3">#REF!</definedName>
    <definedName name="\a">#REF!</definedName>
    <definedName name="\b" localSheetId="0">#REF!</definedName>
    <definedName name="\b" localSheetId="3">#REF!</definedName>
    <definedName name="\b">#REF!</definedName>
    <definedName name="\buffer4" localSheetId="0">#REF!</definedName>
    <definedName name="\buffer4" localSheetId="3">#REF!</definedName>
    <definedName name="\buffer4">#REF!</definedName>
    <definedName name="\c" localSheetId="1">#N/A</definedName>
    <definedName name="\c" localSheetId="2">#N/A</definedName>
    <definedName name="\c" localSheetId="3">#N/A</definedName>
    <definedName name="\c">#REF!</definedName>
    <definedName name="\d" localSheetId="0">#REF!</definedName>
    <definedName name="\d" localSheetId="3">#REF!</definedName>
    <definedName name="\d">#REF!</definedName>
    <definedName name="\e" localSheetId="0">#REF!</definedName>
    <definedName name="\e" localSheetId="3">#REF!</definedName>
    <definedName name="\e">#REF!</definedName>
    <definedName name="\f" localSheetId="3">#REF!</definedName>
    <definedName name="\f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1">#REF!</definedName>
    <definedName name="\i" localSheetId="2">#REF!</definedName>
    <definedName name="\i" localSheetId="3">#REF!</definedName>
    <definedName name="\i">#REF!</definedName>
    <definedName name="\j" localSheetId="1">#N/A</definedName>
    <definedName name="\j" localSheetId="2">#N/A</definedName>
    <definedName name="\j" localSheetId="3">#N/A</definedName>
    <definedName name="\j">#REF!</definedName>
    <definedName name="\k" localSheetId="0">#REF!</definedName>
    <definedName name="\k" localSheetId="3">#REF!</definedName>
    <definedName name="\k">#REF!</definedName>
    <definedName name="\l" localSheetId="0">#REF!</definedName>
    <definedName name="\l" localSheetId="3">#REF!</definedName>
    <definedName name="\l">#REF!</definedName>
    <definedName name="\m" localSheetId="3">#REF!</definedName>
    <definedName name="\m">#REF!</definedName>
    <definedName name="\n" localSheetId="3">#REF!</definedName>
    <definedName name="\n">#REF!</definedName>
    <definedName name="\o" localSheetId="3">#REF!</definedName>
    <definedName name="\o">#REF!</definedName>
    <definedName name="\p" localSheetId="1">#N/A</definedName>
    <definedName name="\p" localSheetId="2">#N/A</definedName>
    <definedName name="\p" localSheetId="3">#N/A</definedName>
    <definedName name="\p">#REF!</definedName>
    <definedName name="\q" localSheetId="1">#N/A</definedName>
    <definedName name="\q" localSheetId="2">#N/A</definedName>
    <definedName name="\q" localSheetId="3">#N/A</definedName>
    <definedName name="\q">#REF!</definedName>
    <definedName name="\r" localSheetId="0">#REF!</definedName>
    <definedName name="\r" localSheetId="3">#REF!</definedName>
    <definedName name="\r">#REF!</definedName>
    <definedName name="\s">#N/A</definedName>
    <definedName name="\t" localSheetId="0">#REF!</definedName>
    <definedName name="\t" localSheetId="3">#REF!</definedName>
    <definedName name="\t">#REF!</definedName>
    <definedName name="\u" localSheetId="0">#REF!</definedName>
    <definedName name="\u" localSheetId="3">#REF!</definedName>
    <definedName name="\u">#REF!</definedName>
    <definedName name="\v" localSheetId="0">#REF!</definedName>
    <definedName name="\v" localSheetId="3">#REF!</definedName>
    <definedName name="\v">#REF!</definedName>
    <definedName name="\w" localSheetId="3">#REF!</definedName>
    <definedName name="\w">#REF!</definedName>
    <definedName name="\x" localSheetId="3">#REF!</definedName>
    <definedName name="\x">#REF!</definedName>
    <definedName name="\z" localSheetId="3">#REF!</definedName>
    <definedName name="\z">#REF!</definedName>
    <definedName name="¼ºAu" localSheetId="3">#REF!</definedName>
    <definedName name="¼ºAu">#REF!</definedName>
    <definedName name="A" localSheetId="0">BlankMacro1</definedName>
    <definedName name="A" localSheetId="1" hidden="1">#REF!</definedName>
    <definedName name="A" localSheetId="2" hidden="1">#REF!</definedName>
    <definedName name="A" localSheetId="3" hidden="1">#REF!</definedName>
    <definedName name="A">BlankMacro1</definedName>
    <definedName name="A_" localSheetId="0">#REF!</definedName>
    <definedName name="A_" localSheetId="3">#REF!</definedName>
    <definedName name="A_">#REF!</definedName>
    <definedName name="A0" localSheetId="0">#REF!</definedName>
    <definedName name="A0" localSheetId="3">#REF!</definedName>
    <definedName name="A0">#REF!</definedName>
    <definedName name="A2배선공" localSheetId="0">#REF!</definedName>
    <definedName name="A2배선공" localSheetId="3">#REF!</definedName>
    <definedName name="A2배선공">#REF!</definedName>
    <definedName name="AA" localSheetId="1">#REF!</definedName>
    <definedName name="AA" localSheetId="2">#REF!</definedName>
    <definedName name="AA" localSheetId="3">#REF!</definedName>
    <definedName name="aa">#REF!</definedName>
    <definedName name="AAA" localSheetId="3">#REF!</definedName>
    <definedName name="AAA">#REF!</definedName>
    <definedName name="AAAA" localSheetId="1">#REF!</definedName>
    <definedName name="AAAA" localSheetId="2">#REF!</definedName>
    <definedName name="AAAA" localSheetId="3">#REF!</definedName>
    <definedName name="aaaa">#REF!</definedName>
    <definedName name="ABC" localSheetId="0">BLCH</definedName>
    <definedName name="ABC" localSheetId="2">BLCH</definedName>
    <definedName name="ABC" localSheetId="3">BLCH</definedName>
    <definedName name="ABC">BLCH</definedName>
    <definedName name="ad_conv" localSheetId="0">#REF!</definedName>
    <definedName name="ad_conv" localSheetId="3">#REF!</definedName>
    <definedName name="ad_conv">#REF!</definedName>
    <definedName name="ADDRESS" localSheetId="0">#REF!</definedName>
    <definedName name="ADDRESS" localSheetId="3">#REF!</definedName>
    <definedName name="ADDRESS">#REF!</definedName>
    <definedName name="agdump" localSheetId="0">#REF!</definedName>
    <definedName name="agdump" localSheetId="3">#REF!</definedName>
    <definedName name="agdump">#REF!</definedName>
    <definedName name="agedump" localSheetId="3">#REF!</definedName>
    <definedName name="agedump">#REF!</definedName>
    <definedName name="agencydump" localSheetId="3">#REF!</definedName>
    <definedName name="agencydump">#REF!</definedName>
    <definedName name="AGENCYLY" localSheetId="3">#REF!</definedName>
    <definedName name="AGENCYLY">#REF!</definedName>
    <definedName name="AGENCYPLAN" localSheetId="3">#REF!</definedName>
    <definedName name="AGENCYPLAN">#REF!</definedName>
    <definedName name="AH" localSheetId="3">#REF!</definedName>
    <definedName name="AH">#REF!</definedName>
    <definedName name="AI" localSheetId="3">#REF!</definedName>
    <definedName name="AI">#REF!</definedName>
    <definedName name="Alkali" localSheetId="3">#REF!</definedName>
    <definedName name="Alkali">#REF!</definedName>
    <definedName name="ALKr" localSheetId="3">#REF!</definedName>
    <definedName name="ALKr">#REF!</definedName>
    <definedName name="ALKs" localSheetId="3">#REF!</definedName>
    <definedName name="ALKs">#REF!</definedName>
    <definedName name="amc" localSheetId="3">#REF!</definedName>
    <definedName name="amc">#REF!</definedName>
    <definedName name="ANFRK2" localSheetId="3">#REF!</definedName>
    <definedName name="ANFRK2">#REF!</definedName>
    <definedName name="ANFRK3" localSheetId="3">#REF!</definedName>
    <definedName name="ANFRK3">#REF!</definedName>
    <definedName name="anfrkk" localSheetId="3">#REF!</definedName>
    <definedName name="anfrkk">#REF!</definedName>
    <definedName name="anscount" hidden="1">1</definedName>
    <definedName name="APT" localSheetId="0">#REF!</definedName>
    <definedName name="APT" localSheetId="3">#REF!</definedName>
    <definedName name="APT">#REF!</definedName>
    <definedName name="APTGI" localSheetId="0">#REF!</definedName>
    <definedName name="APTGI" localSheetId="3">#REF!</definedName>
    <definedName name="APTGI">#REF!</definedName>
    <definedName name="APT경비" localSheetId="0">#REF!</definedName>
    <definedName name="APT경비" localSheetId="3">#REF!</definedName>
    <definedName name="APT경비">#REF!</definedName>
    <definedName name="AS" localSheetId="0" hidden="1">{#N/A,#N/A,FALSE,"CAM-G7";#N/A,#N/A,FALSE,"SPL";#N/A,#N/A,FALSE,"butt-in G7";#N/A,#N/A,FALSE,"dia-in G7";#N/A,#N/A,FALSE,"추가-STA G7"}</definedName>
    <definedName name="as" localSheetId="1">#REF!</definedName>
    <definedName name="as" localSheetId="2">#REF!</definedName>
    <definedName name="as" localSheetId="3">#REF!</definedName>
    <definedName name="AS" hidden="1">{#N/A,#N/A,FALSE,"CAM-G7";#N/A,#N/A,FALSE,"SPL";#N/A,#N/A,FALSE,"butt-in G7";#N/A,#N/A,FALSE,"dia-in G7";#N/A,#N/A,FALSE,"추가-STA G7"}</definedName>
    <definedName name="asaasa" localSheetId="0">#REF!</definedName>
    <definedName name="asaasa" localSheetId="3">#REF!</definedName>
    <definedName name="asaasa">#REF!</definedName>
    <definedName name="ASTE" localSheetId="0">#REF!</definedName>
    <definedName name="ASTE" localSheetId="3">#REF!</definedName>
    <definedName name="ASTE">#REF!</definedName>
    <definedName name="ASTE_4WEM" localSheetId="0">#REF!</definedName>
    <definedName name="ASTE_4WEM" localSheetId="3">#REF!</definedName>
    <definedName name="ASTE_4WEM">#REF!</definedName>
    <definedName name="ASTE_COM" localSheetId="3">#REF!</definedName>
    <definedName name="ASTE_COM">#REF!</definedName>
    <definedName name="ASTE_OCUDPAR" localSheetId="3">#REF!</definedName>
    <definedName name="ASTE_OCUDPAR">#REF!</definedName>
    <definedName name="ASTE_PSU" localSheetId="3">#REF!</definedName>
    <definedName name="ASTE_PSU">#REF!</definedName>
    <definedName name="aumx" localSheetId="3">#REF!</definedName>
    <definedName name="aumx">#REF!</definedName>
    <definedName name="AUTOEXEC" localSheetId="3">#REF!</definedName>
    <definedName name="AUTOEXEC">#REF!</definedName>
    <definedName name="AV" localSheetId="3">#REF!</definedName>
    <definedName name="AV">#REF!</definedName>
    <definedName name="b" localSheetId="1">#REF!</definedName>
    <definedName name="b" localSheetId="2">#REF!</definedName>
    <definedName name="b" localSheetId="3">#REF!</definedName>
    <definedName name="B">#N/A</definedName>
    <definedName name="B_" localSheetId="0">#REF!</definedName>
    <definedName name="B_" localSheetId="3">#REF!</definedName>
    <definedName name="B_">#REF!</definedName>
    <definedName name="BDCODE">#N/A</definedName>
    <definedName name="bn" localSheetId="0">#REF!</definedName>
    <definedName name="bn" localSheetId="3">#REF!</definedName>
    <definedName name="bn">#REF!</definedName>
    <definedName name="bns" localSheetId="0">#REF!</definedName>
    <definedName name="bns" localSheetId="3">#REF!</definedName>
    <definedName name="bns">#REF!</definedName>
    <definedName name="BOD" localSheetId="0">#REF!</definedName>
    <definedName name="BOD" localSheetId="3">#REF!</definedName>
    <definedName name="BOD">#REF!</definedName>
    <definedName name="Book1_Sheet2_List" localSheetId="3">#REF!</definedName>
    <definedName name="Book1_Sheet2_List">#REF!</definedName>
    <definedName name="BU" localSheetId="3">#REF!</definedName>
    <definedName name="BU">#REF!</definedName>
    <definedName name="BUFFER1" localSheetId="3">#REF!</definedName>
    <definedName name="BUFFER1">#REF!</definedName>
    <definedName name="BUFFER2" localSheetId="3">#REF!</definedName>
    <definedName name="BUFFER2">#REF!</definedName>
    <definedName name="BUFFER3" localSheetId="3">#REF!</definedName>
    <definedName name="BUFFER3">#REF!</definedName>
    <definedName name="BUFFER4" localSheetId="3">#REF!</definedName>
    <definedName name="BUFFER4">#REF!</definedName>
    <definedName name="BUGI" localSheetId="3">#REF!</definedName>
    <definedName name="BUGI">#REF!</definedName>
    <definedName name="BV" localSheetId="3">#REF!</definedName>
    <definedName name="BV">#REF!</definedName>
    <definedName name="bytesync" localSheetId="3">#REF!</definedName>
    <definedName name="bytesync">#REF!</definedName>
    <definedName name="C_" localSheetId="3">#REF!</definedName>
    <definedName name="C_">#REF!</definedName>
    <definedName name="CABLEMNO">#N/A</definedName>
    <definedName name="CABLENO">#N/A</definedName>
    <definedName name="CABLETYPE">#N/A</definedName>
    <definedName name="CalcAgencyPrice" localSheetId="0">#REF!</definedName>
    <definedName name="CalcAgencyPrice" localSheetId="3">#REF!</definedName>
    <definedName name="CalcAgencyPrice">#REF!</definedName>
    <definedName name="CCC" localSheetId="0">#REF!</definedName>
    <definedName name="CCC" localSheetId="3">#REF!</definedName>
    <definedName name="CCC">#REF!</definedName>
    <definedName name="ccdc" localSheetId="0">#REF!</definedName>
    <definedName name="ccdc" localSheetId="3">#REF!</definedName>
    <definedName name="ccdc">#REF!</definedName>
    <definedName name="CHO">#N/A</definedName>
    <definedName name="COD" localSheetId="0">#REF!</definedName>
    <definedName name="COD" localSheetId="3">#REF!</definedName>
    <definedName name="COD">#REF!</definedName>
    <definedName name="CODcr" localSheetId="0">#REF!</definedName>
    <definedName name="CODcr" localSheetId="3">#REF!</definedName>
    <definedName name="CODcr">#REF!</definedName>
    <definedName name="CODE" localSheetId="0">#REF!</definedName>
    <definedName name="CODE" localSheetId="3">#REF!</definedName>
    <definedName name="CODE">#REF!</definedName>
    <definedName name="com" localSheetId="3">#REF!</definedName>
    <definedName name="com">#REF!</definedName>
    <definedName name="Commission" localSheetId="3">#REF!</definedName>
    <definedName name="Commission">#REF!</definedName>
    <definedName name="COMPANY">#N/A</definedName>
    <definedName name="CONC">#N/A</definedName>
    <definedName name="controller" localSheetId="0">#REF!</definedName>
    <definedName name="controller" localSheetId="3">#REF!</definedName>
    <definedName name="controller">#REF!</definedName>
    <definedName name="CORE융착접속" localSheetId="0">#REF!</definedName>
    <definedName name="CORE융착접속" localSheetId="3">#REF!</definedName>
    <definedName name="CORE융착접속">#REF!</definedName>
    <definedName name="CPEV" localSheetId="0">#REF!</definedName>
    <definedName name="CPEV" localSheetId="3">#REF!</definedName>
    <definedName name="CPEV">#REF!</definedName>
    <definedName name="cpu" localSheetId="3">#REF!</definedName>
    <definedName name="cpu">#REF!</definedName>
    <definedName name="CPU_시험기사" localSheetId="3">#REF!</definedName>
    <definedName name="CPU_시험기사">#REF!</definedName>
    <definedName name="cpu시험" localSheetId="3">#REF!</definedName>
    <definedName name="cpu시험">#REF!</definedName>
    <definedName name="CPU시험기사" localSheetId="3">#REF!</definedName>
    <definedName name="CPU시험기사">#REF!</definedName>
    <definedName name="CPU시험사" localSheetId="3">#REF!</definedName>
    <definedName name="CPU시험사">#REF!</definedName>
    <definedName name="cq_508" localSheetId="3">#REF!</definedName>
    <definedName name="cq_508">#REF!</definedName>
    <definedName name="CQ_MUX" localSheetId="3">#REF!</definedName>
    <definedName name="CQ_MUX">#REF!</definedName>
    <definedName name="cq_r" localSheetId="3">#REF!</definedName>
    <definedName name="cq_r">#REF!</definedName>
    <definedName name="cq_t" localSheetId="3">#REF!</definedName>
    <definedName name="cq_t">#REF!</definedName>
    <definedName name="CR" localSheetId="3">#REF!</definedName>
    <definedName name="CR">#REF!</definedName>
    <definedName name="Csr" localSheetId="3">#REF!</definedName>
    <definedName name="Csr">#REF!</definedName>
    <definedName name="CVVS14" localSheetId="3">#REF!</definedName>
    <definedName name="CVVS14">#REF!</definedName>
    <definedName name="CVVS55" localSheetId="3">#REF!</definedName>
    <definedName name="CVVS55">#REF!</definedName>
    <definedName name="CZ" localSheetId="3">#REF!</definedName>
    <definedName name="CZ">#REF!</definedName>
    <definedName name="d" localSheetId="1">#REF!</definedName>
    <definedName name="d" localSheetId="2">#REF!</definedName>
    <definedName name="d" localSheetId="3">#REF!</definedName>
    <definedName name="D">#REF!</definedName>
    <definedName name="da_conv" localSheetId="3">#REF!</definedName>
    <definedName name="da_conv">#REF!</definedName>
    <definedName name="DAN_S">#N/A</definedName>
    <definedName name="DANGA" localSheetId="0">#REF!,#REF!</definedName>
    <definedName name="DANGA" localSheetId="1">#REF!,#REF!</definedName>
    <definedName name="DANGA" localSheetId="2">#REF!,#REF!</definedName>
    <definedName name="DANGA" localSheetId="3">#REF!,#REF!</definedName>
    <definedName name="DANGA">#REF!,#REF!</definedName>
    <definedName name="danga2" localSheetId="0">#REF!,#REF!</definedName>
    <definedName name="danga2" localSheetId="3">#REF!,#REF!</definedName>
    <definedName name="danga2">#REF!,#REF!</definedName>
    <definedName name="DaRWk1" localSheetId="0">#REF!</definedName>
    <definedName name="DaRWk1" localSheetId="3">#REF!</definedName>
    <definedName name="DaRWk1">#REF!</definedName>
    <definedName name="DaRWk10" localSheetId="0">#REF!</definedName>
    <definedName name="DaRWk10" localSheetId="3">#REF!</definedName>
    <definedName name="DaRWk10">#REF!</definedName>
    <definedName name="DaRWk11" localSheetId="0">#REF!</definedName>
    <definedName name="DaRWk11" localSheetId="3">#REF!</definedName>
    <definedName name="DaRWk11">#REF!</definedName>
    <definedName name="DaRWk12" localSheetId="3">#REF!</definedName>
    <definedName name="DaRWk12">#REF!</definedName>
    <definedName name="DaRWk2" localSheetId="3">#REF!</definedName>
    <definedName name="DaRWk2">#REF!</definedName>
    <definedName name="DaRWk3" localSheetId="3">#REF!</definedName>
    <definedName name="DaRWk3">#REF!</definedName>
    <definedName name="DaRWk4" localSheetId="3">#REF!</definedName>
    <definedName name="DaRWk4">#REF!</definedName>
    <definedName name="DaRWk5" localSheetId="3">#REF!</definedName>
    <definedName name="DaRWk5">#REF!</definedName>
    <definedName name="DaRWk6" localSheetId="3">#REF!</definedName>
    <definedName name="DaRWk6">#REF!</definedName>
    <definedName name="DaRWk8" localSheetId="3">#REF!</definedName>
    <definedName name="DaRWk8">#REF!</definedName>
    <definedName name="DaRwk9" localSheetId="3">#REF!</definedName>
    <definedName name="DaRwk9">#REF!</definedName>
    <definedName name="DATA" localSheetId="0" hidden="1">{#N/A,#N/A,FALSE,"CAM-G7";#N/A,#N/A,FALSE,"SPL";#N/A,#N/A,FALSE,"butt-in G7";#N/A,#N/A,FALSE,"dia-in G7";#N/A,#N/A,FALSE,"추가-STA G7"}</definedName>
    <definedName name="DATA" hidden="1">{#N/A,#N/A,FALSE,"CAM-G7";#N/A,#N/A,FALSE,"SPL";#N/A,#N/A,FALSE,"butt-in G7";#N/A,#N/A,FALSE,"dia-in G7";#N/A,#N/A,FALSE,"추가-STA G7"}</definedName>
    <definedName name="Data1" localSheetId="0">#REF!</definedName>
    <definedName name="Data1" localSheetId="3">#REF!</definedName>
    <definedName name="Data1">#REF!</definedName>
    <definedName name="Data2" localSheetId="0">#REF!</definedName>
    <definedName name="Data2" localSheetId="3">#REF!</definedName>
    <definedName name="Data2">#REF!</definedName>
    <definedName name="Data3" localSheetId="0">#REF!</definedName>
    <definedName name="Data3" localSheetId="3">#REF!</definedName>
    <definedName name="Data3">#REF!</definedName>
    <definedName name="Data4" localSheetId="3">#REF!</definedName>
    <definedName name="Data4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atabase_MI" localSheetId="3">#REF!</definedName>
    <definedName name="Database_MI">#REF!</definedName>
    <definedName name="database2" localSheetId="1">#REF!</definedName>
    <definedName name="database2" localSheetId="2">#REF!</definedName>
    <definedName name="database2" localSheetId="3">#REF!</definedName>
    <definedName name="database2">#REF!</definedName>
    <definedName name="DaWk7" localSheetId="3">#REF!</definedName>
    <definedName name="DaWk7">#REF!</definedName>
    <definedName name="DAY">#N/A</definedName>
    <definedName name="dbrwk1" localSheetId="0">#REF!</definedName>
    <definedName name="dbrwk1" localSheetId="3">#REF!</definedName>
    <definedName name="dbrwk1">#REF!</definedName>
    <definedName name="dbrwk10" localSheetId="0">#REF!</definedName>
    <definedName name="dbrwk10" localSheetId="3">#REF!</definedName>
    <definedName name="dbrwk10">#REF!</definedName>
    <definedName name="dbrwk11" localSheetId="0">#REF!</definedName>
    <definedName name="dbrwk11" localSheetId="3">#REF!</definedName>
    <definedName name="dbrwk11">#REF!</definedName>
    <definedName name="dbrwk12" localSheetId="3">#REF!</definedName>
    <definedName name="dbrwk12">#REF!</definedName>
    <definedName name="dbrwk2" localSheetId="3">#REF!</definedName>
    <definedName name="dbrwk2">#REF!</definedName>
    <definedName name="dbrwk3" localSheetId="3">#REF!</definedName>
    <definedName name="dbrwk3">#REF!</definedName>
    <definedName name="dbrwk4" localSheetId="3">#REF!</definedName>
    <definedName name="dbrwk4">#REF!</definedName>
    <definedName name="dbrwk5" localSheetId="3">#REF!</definedName>
    <definedName name="dbrwk5">#REF!</definedName>
    <definedName name="dbrwk6" localSheetId="3">#REF!</definedName>
    <definedName name="dbrwk6">#REF!</definedName>
    <definedName name="dbrwk7" localSheetId="3">#REF!</definedName>
    <definedName name="dbrwk7">#REF!</definedName>
    <definedName name="dbrwk8" localSheetId="3">#REF!</definedName>
    <definedName name="dbrwk8">#REF!</definedName>
    <definedName name="dbrwk9" localSheetId="3">#REF!</definedName>
    <definedName name="dbrwk9">#REF!</definedName>
    <definedName name="dcrwk1" localSheetId="3">#REF!</definedName>
    <definedName name="dcrwk1">#REF!</definedName>
    <definedName name="dcrwk10" localSheetId="3">#REF!</definedName>
    <definedName name="dcrwk10">#REF!</definedName>
    <definedName name="dcrwk11" localSheetId="3">#REF!</definedName>
    <definedName name="dcrwk11">#REF!</definedName>
    <definedName name="dcrwk12" localSheetId="3">#REF!</definedName>
    <definedName name="dcrwk12">#REF!</definedName>
    <definedName name="dcrwk2" localSheetId="3">#REF!</definedName>
    <definedName name="dcrwk2">#REF!</definedName>
    <definedName name="dcrwk3" localSheetId="3">#REF!</definedName>
    <definedName name="dcrwk3">#REF!</definedName>
    <definedName name="dcrwk4" localSheetId="3">#REF!</definedName>
    <definedName name="dcrwk4">#REF!</definedName>
    <definedName name="dcrwk5" localSheetId="3">#REF!</definedName>
    <definedName name="dcrwk5">#REF!</definedName>
    <definedName name="dcrwk6" localSheetId="3">#REF!</definedName>
    <definedName name="dcrwk6">#REF!</definedName>
    <definedName name="dcrwk7" localSheetId="3">#REF!</definedName>
    <definedName name="dcrwk7">#REF!</definedName>
    <definedName name="dcrwk8" localSheetId="3">#REF!</definedName>
    <definedName name="dcrwk8">#REF!</definedName>
    <definedName name="dcrwk9" localSheetId="3">#REF!</definedName>
    <definedName name="dcrwk9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#REF!</definedName>
    <definedName name="DDDD">#REF!</definedName>
    <definedName name="DelDC" localSheetId="3">#REF!</definedName>
    <definedName name="DelDC">#REF!</definedName>
    <definedName name="DelDm" localSheetId="3">#REF!</definedName>
    <definedName name="DelDm">#REF!</definedName>
    <definedName name="Delivery" localSheetId="3">#REF!</definedName>
    <definedName name="Delivery">#REF!</definedName>
    <definedName name="DelType" localSheetId="3">#REF!</definedName>
    <definedName name="DelType">#REF!</definedName>
    <definedName name="DEMO" localSheetId="3">#REF!</definedName>
    <definedName name="DEMO">#REF!</definedName>
    <definedName name="deptLookup" localSheetId="3">#REF!</definedName>
    <definedName name="deptLookup">#REF!</definedName>
    <definedName name="df" localSheetId="3">#REF!</definedName>
    <definedName name="df">#REF!</definedName>
    <definedName name="dfjlf" localSheetId="0">BlankMacro1</definedName>
    <definedName name="dfjlf" localSheetId="2">BlankMacro1</definedName>
    <definedName name="dfjlf" localSheetId="3">BlankMacro1</definedName>
    <definedName name="dfjlf">BlankMacro1</definedName>
    <definedName name="DFS" localSheetId="0">#REF!</definedName>
    <definedName name="DFS" localSheetId="3">#REF!</definedName>
    <definedName name="DFS">#REF!</definedName>
    <definedName name="dl" localSheetId="0">#REF!</definedName>
    <definedName name="dl" localSheetId="3">#REF!</definedName>
    <definedName name="dl">#REF!</definedName>
    <definedName name="dlf" localSheetId="0">#REF!</definedName>
    <definedName name="dlf" localSheetId="3">#REF!</definedName>
    <definedName name="dlf">#REF!</definedName>
    <definedName name="dn" localSheetId="0" hidden="1">{#N/A,#N/A,FALSE,"혼합골재"}</definedName>
    <definedName name="dn" hidden="1">{#N/A,#N/A,FALSE,"혼합골재"}</definedName>
    <definedName name="DO" localSheetId="0">#REF!</definedName>
    <definedName name="DO" localSheetId="3">#REF!</definedName>
    <definedName name="DO">#REF!</definedName>
    <definedName name="DRIVE" localSheetId="0">#REF!</definedName>
    <definedName name="DRIVE" localSheetId="3">#REF!</definedName>
    <definedName name="DRIVE">#REF!</definedName>
    <definedName name="DROW">#N/A</definedName>
    <definedName name="ds" localSheetId="0">#REF!</definedName>
    <definedName name="ds" localSheetId="3">#REF!</definedName>
    <definedName name="ds">#REF!</definedName>
    <definedName name="dsagasga" localSheetId="0">#REF!</definedName>
    <definedName name="dsagasga" localSheetId="3">#REF!</definedName>
    <definedName name="dsagasga">#REF!</definedName>
    <definedName name="DSU" localSheetId="0">#REF!</definedName>
    <definedName name="DSU" localSheetId="3">#REF!</definedName>
    <definedName name="DSU">#REF!</definedName>
    <definedName name="DSVP" localSheetId="3">#REF!</definedName>
    <definedName name="DSVP">#REF!</definedName>
    <definedName name="dumppr" localSheetId="3">#REF!</definedName>
    <definedName name="dumppr">#REF!</definedName>
    <definedName name="E">#N/A</definedName>
    <definedName name="E1_3240" localSheetId="0">#REF!</definedName>
    <definedName name="E1_3240" localSheetId="3">#REF!</definedName>
    <definedName name="E1_3240">#REF!</definedName>
    <definedName name="E10M" localSheetId="0">#REF!</definedName>
    <definedName name="E10M" localSheetId="3">#REF!</definedName>
    <definedName name="E10M">#REF!</definedName>
    <definedName name="E10P" localSheetId="0">#REF!</definedName>
    <definedName name="E10P" localSheetId="3">#REF!</definedName>
    <definedName name="E10P">#REF!</definedName>
    <definedName name="E11M" localSheetId="3">#REF!</definedName>
    <definedName name="E11M">#REF!</definedName>
    <definedName name="E11P" localSheetId="3">#REF!</definedName>
    <definedName name="E11P">#REF!</definedName>
    <definedName name="E12M" localSheetId="3">#REF!</definedName>
    <definedName name="E12M">#REF!</definedName>
    <definedName name="E12P" localSheetId="3">#REF!</definedName>
    <definedName name="E12P">#REF!</definedName>
    <definedName name="E13M" localSheetId="3">#REF!</definedName>
    <definedName name="E13M">#REF!</definedName>
    <definedName name="E13P" localSheetId="3">#REF!</definedName>
    <definedName name="E13P">#REF!</definedName>
    <definedName name="E14M" localSheetId="3">#REF!</definedName>
    <definedName name="E14M">#REF!</definedName>
    <definedName name="E14P" localSheetId="3">#REF!</definedName>
    <definedName name="E14P">#REF!</definedName>
    <definedName name="E15M" localSheetId="3">#REF!</definedName>
    <definedName name="E15M">#REF!</definedName>
    <definedName name="E15P" localSheetId="3">#REF!</definedName>
    <definedName name="E15P">#REF!</definedName>
    <definedName name="E16M" localSheetId="3">#REF!</definedName>
    <definedName name="E16M">#REF!</definedName>
    <definedName name="E16P" localSheetId="3">#REF!</definedName>
    <definedName name="E16P">#REF!</definedName>
    <definedName name="E17M" localSheetId="3">#REF!</definedName>
    <definedName name="E17M">#REF!</definedName>
    <definedName name="E17P" localSheetId="3">#REF!</definedName>
    <definedName name="E17P">#REF!</definedName>
    <definedName name="E18M" localSheetId="3">#REF!</definedName>
    <definedName name="E18M">#REF!</definedName>
    <definedName name="E18P" localSheetId="3">#REF!</definedName>
    <definedName name="E18P">#REF!</definedName>
    <definedName name="E19M" localSheetId="3">#REF!</definedName>
    <definedName name="E19M">#REF!</definedName>
    <definedName name="E19P" localSheetId="3">#REF!</definedName>
    <definedName name="E19P">#REF!</definedName>
    <definedName name="E1E" localSheetId="3">#REF!</definedName>
    <definedName name="E1E">#REF!</definedName>
    <definedName name="E1M" localSheetId="3">#REF!</definedName>
    <definedName name="E1M">#REF!</definedName>
    <definedName name="E1P" localSheetId="3">#REF!</definedName>
    <definedName name="E1P">#REF!</definedName>
    <definedName name="E20M" localSheetId="3">#REF!</definedName>
    <definedName name="E20M">#REF!</definedName>
    <definedName name="E20P" localSheetId="3">#REF!</definedName>
    <definedName name="E20P">#REF!</definedName>
    <definedName name="E21M" localSheetId="3">#REF!</definedName>
    <definedName name="E21M">#REF!</definedName>
    <definedName name="E21P" localSheetId="3">#REF!</definedName>
    <definedName name="E21P">#REF!</definedName>
    <definedName name="E22M" localSheetId="3">#REF!</definedName>
    <definedName name="E22M">#REF!</definedName>
    <definedName name="E22P" localSheetId="3">#REF!</definedName>
    <definedName name="E22P">#REF!</definedName>
    <definedName name="E23M" localSheetId="3">#REF!</definedName>
    <definedName name="E23M">#REF!</definedName>
    <definedName name="E23P" localSheetId="3">#REF!</definedName>
    <definedName name="E23P">#REF!</definedName>
    <definedName name="E24M" localSheetId="3">#REF!</definedName>
    <definedName name="E24M">#REF!</definedName>
    <definedName name="E24P" localSheetId="3">#REF!</definedName>
    <definedName name="E24P">#REF!</definedName>
    <definedName name="E25M" localSheetId="3">#REF!</definedName>
    <definedName name="E25M">#REF!</definedName>
    <definedName name="E25P" localSheetId="3">#REF!</definedName>
    <definedName name="E25P">#REF!</definedName>
    <definedName name="E26E" localSheetId="3">#REF!</definedName>
    <definedName name="E26E">#REF!</definedName>
    <definedName name="E26M" localSheetId="3">#REF!</definedName>
    <definedName name="E26M">#REF!</definedName>
    <definedName name="E26P" localSheetId="3">#REF!</definedName>
    <definedName name="E26P">#REF!</definedName>
    <definedName name="E27E" localSheetId="3">#REF!</definedName>
    <definedName name="E27E">#REF!</definedName>
    <definedName name="E27M" localSheetId="3">#REF!</definedName>
    <definedName name="E27M">#REF!</definedName>
    <definedName name="E27P" localSheetId="3">#REF!</definedName>
    <definedName name="E27P">#REF!</definedName>
    <definedName name="E28E" localSheetId="3">#REF!</definedName>
    <definedName name="E28E">#REF!</definedName>
    <definedName name="E28M" localSheetId="3">#REF!</definedName>
    <definedName name="E28M">#REF!</definedName>
    <definedName name="E28P" localSheetId="3">#REF!</definedName>
    <definedName name="E28P">#REF!</definedName>
    <definedName name="E29M" localSheetId="3">#REF!</definedName>
    <definedName name="E29M">#REF!</definedName>
    <definedName name="E29P" localSheetId="3">#REF!</definedName>
    <definedName name="E29P">#REF!</definedName>
    <definedName name="E2E" localSheetId="3">#REF!</definedName>
    <definedName name="E2E">#REF!</definedName>
    <definedName name="E2M" localSheetId="3">#REF!</definedName>
    <definedName name="E2M">#REF!</definedName>
    <definedName name="E2P" localSheetId="3">#REF!</definedName>
    <definedName name="E2P">#REF!</definedName>
    <definedName name="E30M" localSheetId="3">#REF!</definedName>
    <definedName name="E30M">#REF!</definedName>
    <definedName name="E30P" localSheetId="3">#REF!</definedName>
    <definedName name="E30P">#REF!</definedName>
    <definedName name="E31E" localSheetId="3">#REF!</definedName>
    <definedName name="E31E">#REF!</definedName>
    <definedName name="E31M" localSheetId="3">#REF!</definedName>
    <definedName name="E31M">#REF!</definedName>
    <definedName name="E31P" localSheetId="3">#REF!</definedName>
    <definedName name="E31P">#REF!</definedName>
    <definedName name="E32E" localSheetId="3">#REF!</definedName>
    <definedName name="E32E">#REF!</definedName>
    <definedName name="E32M" localSheetId="3">#REF!</definedName>
    <definedName name="E32M">#REF!</definedName>
    <definedName name="E32P" localSheetId="3">#REF!</definedName>
    <definedName name="E32P">#REF!</definedName>
    <definedName name="E33E" localSheetId="3">#REF!</definedName>
    <definedName name="E33E">#REF!</definedName>
    <definedName name="E33M" localSheetId="3">#REF!</definedName>
    <definedName name="E33M">#REF!</definedName>
    <definedName name="E33P" localSheetId="3">#REF!</definedName>
    <definedName name="E33P">#REF!</definedName>
    <definedName name="E34E" localSheetId="3">#REF!</definedName>
    <definedName name="E34E">#REF!</definedName>
    <definedName name="E34M" localSheetId="3">#REF!</definedName>
    <definedName name="E34M">#REF!</definedName>
    <definedName name="E34P" localSheetId="3">#REF!</definedName>
    <definedName name="E34P">#REF!</definedName>
    <definedName name="E35M" localSheetId="3">#REF!</definedName>
    <definedName name="E35M">#REF!</definedName>
    <definedName name="E35P" localSheetId="3">#REF!</definedName>
    <definedName name="E35P">#REF!</definedName>
    <definedName name="E36M" localSheetId="3">#REF!</definedName>
    <definedName name="E36M">#REF!</definedName>
    <definedName name="E36P" localSheetId="3">#REF!</definedName>
    <definedName name="E36P">#REF!</definedName>
    <definedName name="E37M" localSheetId="3">#REF!</definedName>
    <definedName name="E37M">#REF!</definedName>
    <definedName name="E37P" localSheetId="3">#REF!</definedName>
    <definedName name="E37P">#REF!</definedName>
    <definedName name="E38M" localSheetId="3">#REF!</definedName>
    <definedName name="E38M">#REF!</definedName>
    <definedName name="E38P" localSheetId="3">#REF!</definedName>
    <definedName name="E38P">#REF!</definedName>
    <definedName name="E39M" localSheetId="3">#REF!</definedName>
    <definedName name="E39M">#REF!</definedName>
    <definedName name="E39P" localSheetId="3">#REF!</definedName>
    <definedName name="E39P">#REF!</definedName>
    <definedName name="E3P" localSheetId="3">#REF!</definedName>
    <definedName name="E3P">#REF!</definedName>
    <definedName name="E40M" localSheetId="3">#REF!</definedName>
    <definedName name="E40M">#REF!</definedName>
    <definedName name="E40P" localSheetId="3">#REF!</definedName>
    <definedName name="E40P">#REF!</definedName>
    <definedName name="E41M" localSheetId="3">#REF!</definedName>
    <definedName name="E41M">#REF!</definedName>
    <definedName name="E41P" localSheetId="3">#REF!</definedName>
    <definedName name="E41P">#REF!</definedName>
    <definedName name="E42M" localSheetId="3">#REF!</definedName>
    <definedName name="E42M">#REF!</definedName>
    <definedName name="E42P" localSheetId="3">#REF!</definedName>
    <definedName name="E42P">#REF!</definedName>
    <definedName name="E43M" localSheetId="3">#REF!</definedName>
    <definedName name="E43M">#REF!</definedName>
    <definedName name="E43P" localSheetId="3">#REF!</definedName>
    <definedName name="E43P">#REF!</definedName>
    <definedName name="E44M" localSheetId="3">#REF!</definedName>
    <definedName name="E44M">#REF!</definedName>
    <definedName name="E44P" localSheetId="3">#REF!</definedName>
    <definedName name="E44P">#REF!</definedName>
    <definedName name="E45M" localSheetId="3">#REF!</definedName>
    <definedName name="E45M">#REF!</definedName>
    <definedName name="E45P" localSheetId="3">#REF!</definedName>
    <definedName name="E45P">#REF!</definedName>
    <definedName name="E46M" localSheetId="3">#REF!</definedName>
    <definedName name="E46M">#REF!</definedName>
    <definedName name="E46P" localSheetId="3">#REF!</definedName>
    <definedName name="E46P">#REF!</definedName>
    <definedName name="E47M" localSheetId="3">#REF!</definedName>
    <definedName name="E47M">#REF!</definedName>
    <definedName name="E47P" localSheetId="3">#REF!</definedName>
    <definedName name="E47P">#REF!</definedName>
    <definedName name="E48M" localSheetId="3">#REF!</definedName>
    <definedName name="E48M">#REF!</definedName>
    <definedName name="E48P" localSheetId="3">#REF!</definedName>
    <definedName name="E48P">#REF!</definedName>
    <definedName name="E49M" localSheetId="3">#REF!</definedName>
    <definedName name="E49M">#REF!</definedName>
    <definedName name="E49P" localSheetId="3">#REF!</definedName>
    <definedName name="E49P">#REF!</definedName>
    <definedName name="E4M" localSheetId="3">#REF!</definedName>
    <definedName name="E4M">#REF!</definedName>
    <definedName name="E4P" localSheetId="3">#REF!</definedName>
    <definedName name="E4P">#REF!</definedName>
    <definedName name="E50M" localSheetId="3">#REF!</definedName>
    <definedName name="E50M">#REF!</definedName>
    <definedName name="E50P" localSheetId="3">#REF!</definedName>
    <definedName name="E50P">#REF!</definedName>
    <definedName name="E51E" localSheetId="3">#REF!</definedName>
    <definedName name="E51E">#REF!</definedName>
    <definedName name="E52M" localSheetId="3">#REF!</definedName>
    <definedName name="E52M">#REF!</definedName>
    <definedName name="E52P" localSheetId="3">#REF!</definedName>
    <definedName name="E52P">#REF!</definedName>
    <definedName name="E53M" localSheetId="3">#REF!</definedName>
    <definedName name="E53M">#REF!</definedName>
    <definedName name="E53P" localSheetId="3">#REF!</definedName>
    <definedName name="E53P">#REF!</definedName>
    <definedName name="E54M" localSheetId="3">#REF!</definedName>
    <definedName name="E54M">#REF!</definedName>
    <definedName name="E54P" localSheetId="3">#REF!</definedName>
    <definedName name="E54P">#REF!</definedName>
    <definedName name="E55M" localSheetId="3">#REF!</definedName>
    <definedName name="E55M">#REF!</definedName>
    <definedName name="E55P" localSheetId="3">#REF!</definedName>
    <definedName name="E55P">#REF!</definedName>
    <definedName name="E56M" localSheetId="3">#REF!</definedName>
    <definedName name="E56M">#REF!</definedName>
    <definedName name="E56P" localSheetId="3">#REF!</definedName>
    <definedName name="E56P">#REF!</definedName>
    <definedName name="E57M" localSheetId="3">#REF!</definedName>
    <definedName name="E57M">#REF!</definedName>
    <definedName name="E57P" localSheetId="3">#REF!</definedName>
    <definedName name="E57P">#REF!</definedName>
    <definedName name="E58M" localSheetId="3">#REF!</definedName>
    <definedName name="E58M">#REF!</definedName>
    <definedName name="E58P" localSheetId="3">#REF!</definedName>
    <definedName name="E58P">#REF!</definedName>
    <definedName name="E59M" localSheetId="3">#REF!</definedName>
    <definedName name="E59M">#REF!</definedName>
    <definedName name="E59P" localSheetId="3">#REF!</definedName>
    <definedName name="E59P">#REF!</definedName>
    <definedName name="E5M" localSheetId="3">#REF!</definedName>
    <definedName name="E5M">#REF!</definedName>
    <definedName name="E5P" localSheetId="3">#REF!</definedName>
    <definedName name="E5P">#REF!</definedName>
    <definedName name="E60M" localSheetId="3">#REF!</definedName>
    <definedName name="E60M">#REF!</definedName>
    <definedName name="E60P" localSheetId="3">#REF!</definedName>
    <definedName name="E60P">#REF!</definedName>
    <definedName name="E61M" localSheetId="3">#REF!</definedName>
    <definedName name="E61M">#REF!</definedName>
    <definedName name="E61P" localSheetId="3">#REF!</definedName>
    <definedName name="E61P">#REF!</definedName>
    <definedName name="E62M" localSheetId="3">#REF!</definedName>
    <definedName name="E62M">#REF!</definedName>
    <definedName name="E62P" localSheetId="3">#REF!</definedName>
    <definedName name="E62P">#REF!</definedName>
    <definedName name="E63M" localSheetId="3">#REF!</definedName>
    <definedName name="E63M">#REF!</definedName>
    <definedName name="E63P" localSheetId="3">#REF!</definedName>
    <definedName name="E63P">#REF!</definedName>
    <definedName name="E64M" localSheetId="3">#REF!</definedName>
    <definedName name="E64M">#REF!</definedName>
    <definedName name="E64P" localSheetId="3">#REF!</definedName>
    <definedName name="E64P">#REF!</definedName>
    <definedName name="E65M" localSheetId="3">#REF!</definedName>
    <definedName name="E65M">#REF!</definedName>
    <definedName name="E65P" localSheetId="3">#REF!</definedName>
    <definedName name="E65P">#REF!</definedName>
    <definedName name="E66M" localSheetId="3">#REF!</definedName>
    <definedName name="E66M">#REF!</definedName>
    <definedName name="E66P" localSheetId="3">#REF!</definedName>
    <definedName name="E66P">#REF!</definedName>
    <definedName name="E67M" localSheetId="3">#REF!</definedName>
    <definedName name="E67M">#REF!</definedName>
    <definedName name="E67P" localSheetId="3">#REF!</definedName>
    <definedName name="E67P">#REF!</definedName>
    <definedName name="E68M" localSheetId="3">#REF!</definedName>
    <definedName name="E68M">#REF!</definedName>
    <definedName name="E6M" localSheetId="3">#REF!</definedName>
    <definedName name="E6M">#REF!</definedName>
    <definedName name="E6P" localSheetId="3">#REF!</definedName>
    <definedName name="E6P">#REF!</definedName>
    <definedName name="E7M" localSheetId="3">#REF!</definedName>
    <definedName name="E7M">#REF!</definedName>
    <definedName name="E7P" localSheetId="3">#REF!</definedName>
    <definedName name="E7P">#REF!</definedName>
    <definedName name="E8M" localSheetId="3">#REF!</definedName>
    <definedName name="E8M">#REF!</definedName>
    <definedName name="E8P" localSheetId="3">#REF!</definedName>
    <definedName name="E8P">#REF!</definedName>
    <definedName name="E9M" localSheetId="3">#REF!</definedName>
    <definedName name="E9M">#REF!</definedName>
    <definedName name="E9P" localSheetId="3">#REF!</definedName>
    <definedName name="E9P">#REF!</definedName>
    <definedName name="ee" localSheetId="0" hidden="1">{#N/A,#N/A,FALSE,"단가표지"}</definedName>
    <definedName name="ee" hidden="1">{#N/A,#N/A,FALSE,"단가표지"}</definedName>
    <definedName name="EEE" localSheetId="0">#REF!</definedName>
    <definedName name="EEE" localSheetId="3">#REF!</definedName>
    <definedName name="EEE">#REF!</definedName>
    <definedName name="ENCOST">#N/A</definedName>
    <definedName name="ERER" localSheetId="0">#REF!</definedName>
    <definedName name="ERER" localSheetId="3">#REF!</definedName>
    <definedName name="ERER">#REF!</definedName>
    <definedName name="EXE">#N/A</definedName>
    <definedName name="_xlnm.Extract" localSheetId="0">#REF!</definedName>
    <definedName name="_xlnm.Extract" localSheetId="3">#REF!</definedName>
    <definedName name="_xlnm.Extract">#REF!</definedName>
    <definedName name="Extract_MI" localSheetId="0">#REF!</definedName>
    <definedName name="Extract_MI" localSheetId="3">#REF!</definedName>
    <definedName name="Extract_MI">#REF!</definedName>
    <definedName name="F" localSheetId="1">#REF!</definedName>
    <definedName name="F" localSheetId="2">#REF!</definedName>
    <definedName name="F" localSheetId="3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0">#REF!</definedName>
    <definedName name="fadp" localSheetId="3">#REF!</definedName>
    <definedName name="fadp">#REF!</definedName>
    <definedName name="fan" localSheetId="0">#REF!</definedName>
    <definedName name="fan" localSheetId="3">#REF!</definedName>
    <definedName name="fan">#REF!</definedName>
    <definedName name="fdgz" localSheetId="0">#REF!</definedName>
    <definedName name="fdgz" localSheetId="3">#REF!</definedName>
    <definedName name="fdgz">#REF!</definedName>
    <definedName name="FEEL" localSheetId="3">#REF!</definedName>
    <definedName name="FEEL">#REF!</definedName>
    <definedName name="FFDGGFD" localSheetId="3">#REF!</definedName>
    <definedName name="FFDGGFD">#REF!</definedName>
    <definedName name="FFFF" localSheetId="3">#REF!</definedName>
    <definedName name="FFFF">#REF!</definedName>
    <definedName name="FFFFF" localSheetId="3">#REF!</definedName>
    <definedName name="FFFFF">#REF!</definedName>
    <definedName name="FG" localSheetId="3">#REF!</definedName>
    <definedName name="FG">#REF!</definedName>
    <definedName name="FG16TBTB2RT" localSheetId="3">#REF!</definedName>
    <definedName name="FG16TBTB2RT">#REF!</definedName>
    <definedName name="FG19TBTB2RTDKDKFG19TBTB2RTDKDKF" localSheetId="3">#REF!</definedName>
    <definedName name="FG19TBTB2RTDKDKFG19TBTB2RTDKDKF">#REF!</definedName>
    <definedName name="fg28TBTB2RTDKDK" localSheetId="3">#REF!</definedName>
    <definedName name="fg28TBTB2RTDKDK">#REF!</definedName>
    <definedName name="FGGG" localSheetId="3">#REF!</definedName>
    <definedName name="FGGG">#REF!</definedName>
    <definedName name="FGRKRKRKRKRKRKRKRKRKRKRKRKRKRKR" localSheetId="3">#REF!</definedName>
    <definedName name="FGRKRKRKRKRKRKRKRKRKRKRKRKRKRKR">#REF!</definedName>
    <definedName name="FGRKRKRKRKRKRKRKRKRKRKRKRKTBTB3" localSheetId="3">#REF!</definedName>
    <definedName name="FGRKRKRKRKRKRKRKRKRKRKRKRKTBTB3">#REF!</definedName>
    <definedName name="FGTBTB2RTDKDK" localSheetId="3">#REF!</definedName>
    <definedName name="FGTBTB2RTDKDK">#REF!</definedName>
    <definedName name="fgTBTB4RTDKDK" localSheetId="3">#REF!</definedName>
    <definedName name="fgTBTB4RTDKDK">#REF!</definedName>
    <definedName name="fjkf" localSheetId="3">#REF!</definedName>
    <definedName name="fjkf">#REF!</definedName>
    <definedName name="fkac" localSheetId="3">#REF!</definedName>
    <definedName name="fkac">#REF!</definedName>
    <definedName name="FKKF" localSheetId="0">BlankMacro1</definedName>
    <definedName name="FKKF" localSheetId="2">BlankMacro1</definedName>
    <definedName name="FKKF" localSheetId="3">BlankMacro1</definedName>
    <definedName name="FKKF">BlankMacro1</definedName>
    <definedName name="flc_blank1" localSheetId="0">#REF!</definedName>
    <definedName name="flc_blank1" localSheetId="3">#REF!</definedName>
    <definedName name="flc_blank1">#REF!</definedName>
    <definedName name="flc_blank2" localSheetId="0">#REF!</definedName>
    <definedName name="flc_blank2" localSheetId="3">#REF!</definedName>
    <definedName name="flc_blank2">#REF!</definedName>
    <definedName name="flc_clk" localSheetId="0">#REF!</definedName>
    <definedName name="flc_clk" localSheetId="3">#REF!</definedName>
    <definedName name="flc_clk">#REF!</definedName>
    <definedName name="flc_dcu" localSheetId="3">#REF!</definedName>
    <definedName name="flc_dcu">#REF!</definedName>
    <definedName name="flc_ds1" localSheetId="3">#REF!</definedName>
    <definedName name="flc_ds1">#REF!</definedName>
    <definedName name="flc_ds3" localSheetId="3">#REF!</definedName>
    <definedName name="flc_ds3">#REF!</definedName>
    <definedName name="flc_mcu" localSheetId="3">#REF!</definedName>
    <definedName name="flc_mcu">#REF!</definedName>
    <definedName name="flc_rack1" localSheetId="3">#REF!</definedName>
    <definedName name="flc_rack1">#REF!</definedName>
    <definedName name="flc_rack2" localSheetId="3">#REF!</definedName>
    <definedName name="flc_rack2">#REF!</definedName>
    <definedName name="flc_sw" localSheetId="3">#REF!</definedName>
    <definedName name="flc_sw">#REF!</definedName>
    <definedName name="FLC충전기" localSheetId="3">#REF!</definedName>
    <definedName name="FLC충전기">#REF!</definedName>
    <definedName name="fld00" localSheetId="3">#REF!</definedName>
    <definedName name="fld00">#REF!</definedName>
    <definedName name="Fld000" localSheetId="3">#REF!</definedName>
    <definedName name="Fld000">#REF!</definedName>
    <definedName name="FLL" localSheetId="3" hidden="1">#REF!</definedName>
    <definedName name="FLL" hidden="1">#REF!</definedName>
    <definedName name="FME" localSheetId="3">#REF!</definedName>
    <definedName name="FME">#REF!</definedName>
    <definedName name="FME_T1" localSheetId="3">#REF!</definedName>
    <definedName name="FME_T1">#REF!</definedName>
    <definedName name="FROM">#N/A</definedName>
    <definedName name="g" localSheetId="0">#REF!</definedName>
    <definedName name="g" localSheetId="3">#REF!</definedName>
    <definedName name="g">#REF!</definedName>
    <definedName name="G1외피접속" localSheetId="0">#REF!</definedName>
    <definedName name="G1외피접속" localSheetId="3">#REF!</definedName>
    <definedName name="G1외피접속">#REF!</definedName>
    <definedName name="gap" localSheetId="0">#REF!</definedName>
    <definedName name="gap" localSheetId="3">#REF!</definedName>
    <definedName name="gap">#REF!</definedName>
    <definedName name="GEMCO" localSheetId="3" hidden="1">#REF!</definedName>
    <definedName name="GEMCO" hidden="1">#REF!</definedName>
    <definedName name="GFD" localSheetId="3">#REF!</definedName>
    <definedName name="GFD">#REF!</definedName>
    <definedName name="gfdgdgdf" localSheetId="3">#REF!</definedName>
    <definedName name="gfdgdgdf">#REF!</definedName>
    <definedName name="gfggfr" localSheetId="3">#REF!</definedName>
    <definedName name="gfggfr">#REF!</definedName>
    <definedName name="gg" localSheetId="3">#REF!</definedName>
    <definedName name="gg">#REF!</definedName>
    <definedName name="ggg" localSheetId="3">#REF!</definedName>
    <definedName name="ggg">#REF!</definedName>
    <definedName name="GGGG" localSheetId="3">#REF!</definedName>
    <definedName name="GGGG">#REF!</definedName>
    <definedName name="GH" localSheetId="3">#REF!</definedName>
    <definedName name="GH">#REF!</definedName>
    <definedName name="gjj" localSheetId="3">#REF!</definedName>
    <definedName name="gjj">#REF!</definedName>
    <definedName name="grew" localSheetId="3" hidden="1">#REF!</definedName>
    <definedName name="grew" hidden="1">#REF!</definedName>
    <definedName name="GrphActSales" localSheetId="3">#REF!</definedName>
    <definedName name="GrphActSales">#REF!</definedName>
    <definedName name="GrphActStk" localSheetId="3">#REF!</definedName>
    <definedName name="GrphActStk">#REF!</definedName>
    <definedName name="GrphPlanSales" localSheetId="3">#REF!</definedName>
    <definedName name="GrphPlanSales">#REF!</definedName>
    <definedName name="GrphTgtStk" localSheetId="3">#REF!</definedName>
    <definedName name="GrphTgtStk">#REF!</definedName>
    <definedName name="GS" localSheetId="3">#REF!</definedName>
    <definedName name="GS">#REF!</definedName>
    <definedName name="gsu" localSheetId="3">#REF!</definedName>
    <definedName name="gsu">#REF!</definedName>
    <definedName name="GUM_S">#N/A</definedName>
    <definedName name="GV_14" localSheetId="0">#REF!</definedName>
    <definedName name="GV_14" localSheetId="3">#REF!</definedName>
    <definedName name="GV_14">#REF!</definedName>
    <definedName name="GV_22" localSheetId="0">#REF!</definedName>
    <definedName name="GV_22" localSheetId="3">#REF!</definedName>
    <definedName name="GV_22">#REF!</definedName>
    <definedName name="GV_38" localSheetId="0">#REF!</definedName>
    <definedName name="GV_38" localSheetId="3">#REF!</definedName>
    <definedName name="GV_38">#REF!</definedName>
    <definedName name="h" localSheetId="1">#REF!</definedName>
    <definedName name="h" localSheetId="2">#REF!</definedName>
    <definedName name="h" localSheetId="3">#REF!</definedName>
    <definedName name="H">#REF!</definedName>
    <definedName name="H_W_설치기사" localSheetId="3">#REF!</definedName>
    <definedName name="H_W_설치기사">#REF!</definedName>
    <definedName name="H_W_시험기사" localSheetId="3">#REF!</definedName>
    <definedName name="H_W_시험기사">#REF!</definedName>
    <definedName name="h_w설치" localSheetId="3">#REF!</definedName>
    <definedName name="h_w설치">#REF!</definedName>
    <definedName name="H_W설치기사" localSheetId="3">#REF!</definedName>
    <definedName name="H_W설치기사">#REF!</definedName>
    <definedName name="H_W설치사" localSheetId="3">#REF!</definedName>
    <definedName name="H_W설치사">#REF!</definedName>
    <definedName name="h_w시험" localSheetId="3">#REF!</definedName>
    <definedName name="h_w시험">#REF!</definedName>
    <definedName name="H_W시험기사" localSheetId="3">#REF!</definedName>
    <definedName name="H_W시험기사">#REF!</definedName>
    <definedName name="H_W시험사" localSheetId="3">#REF!</definedName>
    <definedName name="H_W시험사">#REF!</definedName>
    <definedName name="HAF" localSheetId="3">#REF!</definedName>
    <definedName name="HAF">#REF!</definedName>
    <definedName name="han" localSheetId="3" hidden="1">#REF!</definedName>
    <definedName name="han" hidden="1">#REF!</definedName>
    <definedName name="HANIWALL_FB" localSheetId="3">#REF!</definedName>
    <definedName name="HANIWALL_FB">#REF!</definedName>
    <definedName name="HANIWALL_GC" localSheetId="3">#REF!</definedName>
    <definedName name="HANIWALL_GC">#REF!</definedName>
    <definedName name="hardwar" localSheetId="3" hidden="1">#REF!</definedName>
    <definedName name="hardwar" hidden="1">#REF!</definedName>
    <definedName name="hb_a" localSheetId="3">#REF!</definedName>
    <definedName name="hb_a">#REF!</definedName>
    <definedName name="HBV" localSheetId="3">#REF!</definedName>
    <definedName name="HBV">#REF!</definedName>
    <definedName name="HCR" localSheetId="3">#REF!</definedName>
    <definedName name="HCR">#REF!</definedName>
    <definedName name="HDSVP" localSheetId="3">#REF!</definedName>
    <definedName name="HDSVP">#REF!</definedName>
    <definedName name="HH" localSheetId="3">#REF!</definedName>
    <definedName name="HH">#REF!</definedName>
    <definedName name="HHAF" localSheetId="3">#REF!</definedName>
    <definedName name="HHAF">#REF!</definedName>
    <definedName name="HHH" localSheetId="3">#REF!</definedName>
    <definedName name="HHH">#REF!</definedName>
    <definedName name="HHMF" localSheetId="3">#REF!</definedName>
    <definedName name="HHMF">#REF!</definedName>
    <definedName name="HI_전선관" localSheetId="3">#REF!</definedName>
    <definedName name="HI_전선관">#REF!</definedName>
    <definedName name="hj" localSheetId="3">#REF!</definedName>
    <definedName name="hj">#REF!</definedName>
    <definedName name="HMF" localSheetId="3">#REF!</definedName>
    <definedName name="HMF">#REF!</definedName>
    <definedName name="HMOTOR" localSheetId="3">#REF!</definedName>
    <definedName name="HMOTOR">#REF!</definedName>
    <definedName name="HPUMP" localSheetId="3">#REF!</definedName>
    <definedName name="HPUMP">#REF!</definedName>
    <definedName name="HSV" localSheetId="3">#REF!</definedName>
    <definedName name="HSV">#REF!</definedName>
    <definedName name="HTML_CodePage" hidden="1">949</definedName>
    <definedName name="HTML_Control" localSheetId="0" hidden="1">{"'Sheet1'!$D$19","'Sheet1'!$B$22:$E$22"}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0">#REF!</definedName>
    <definedName name="HVAFP" localSheetId="3">#REF!</definedName>
    <definedName name="HVAFP">#REF!</definedName>
    <definedName name="HVMF" localSheetId="0">#REF!</definedName>
    <definedName name="HVMF" localSheetId="3">#REF!</definedName>
    <definedName name="HVMF">#REF!</definedName>
    <definedName name="HWEI" localSheetId="0">#REF!</definedName>
    <definedName name="HWEI" localSheetId="3">#REF!</definedName>
    <definedName name="HWEI">#REF!</definedName>
    <definedName name="hw설치" localSheetId="3">#REF!</definedName>
    <definedName name="hw설치">#REF!</definedName>
    <definedName name="hw시험" localSheetId="3">#REF!</definedName>
    <definedName name="hw시험">#REF!</definedName>
    <definedName name="I" localSheetId="3">#REF!</definedName>
    <definedName name="I">#REF!</definedName>
    <definedName name="ID" localSheetId="0">#REF!,#REF!</definedName>
    <definedName name="ID" localSheetId="1">#REF!,#REF!</definedName>
    <definedName name="ID" localSheetId="2">#REF!,#REF!</definedName>
    <definedName name="ID" localSheetId="3">#REF!,#REF!</definedName>
    <definedName name="ID">#REF!,#REF!</definedName>
    <definedName name="IDF28B" localSheetId="0">#REF!</definedName>
    <definedName name="IDF28B" localSheetId="3">#REF!</definedName>
    <definedName name="IDF28B">#REF!</definedName>
    <definedName name="IDF30A" localSheetId="0">#REF!</definedName>
    <definedName name="IDF30A" localSheetId="3">#REF!</definedName>
    <definedName name="IDF30A">#REF!</definedName>
    <definedName name="IDFPIX" localSheetId="0">#REF!</definedName>
    <definedName name="IDFPIX" localSheetId="3">#REF!</definedName>
    <definedName name="IDFPIX">#REF!</definedName>
    <definedName name="IDF단" localSheetId="3">#REF!</definedName>
    <definedName name="IDF단">#REF!</definedName>
    <definedName name="IDF취부" localSheetId="3">#REF!</definedName>
    <definedName name="IDF취부">#REF!</definedName>
    <definedName name="IDF통" localSheetId="3">#REF!</definedName>
    <definedName name="IDF통">#REF!</definedName>
    <definedName name="IELWSALES" localSheetId="3">#REF!</definedName>
    <definedName name="IELWSALES">#REF!</definedName>
    <definedName name="IELYSALES" localSheetId="3">#REF!</definedName>
    <definedName name="IELYSALES">#REF!</definedName>
    <definedName name="IEPLANSALES" localSheetId="3">#REF!</definedName>
    <definedName name="IEPLANSALES">#REF!</definedName>
    <definedName name="IESP" localSheetId="3">#REF!</definedName>
    <definedName name="IESP">#REF!</definedName>
    <definedName name="ii" localSheetId="3">#REF!</definedName>
    <definedName name="ii">#REF!</definedName>
    <definedName name="IJPBOX옥내" localSheetId="3">#REF!</definedName>
    <definedName name="IJPBOX옥내">#REF!</definedName>
    <definedName name="IJPBOX옥외" localSheetId="3">#REF!</definedName>
    <definedName name="IJPBOX옥외">#REF!</definedName>
    <definedName name="IL" localSheetId="1">#REF!</definedName>
    <definedName name="IL" localSheetId="2">#REF!</definedName>
    <definedName name="IL" localSheetId="3">#REF!</definedName>
    <definedName name="il">#REF!</definedName>
    <definedName name="In_SCODcr" localSheetId="3">#REF!</definedName>
    <definedName name="In_SCODcr">#REF!</definedName>
    <definedName name="INSA1" localSheetId="3">#REF!</definedName>
    <definedName name="INSA1">#REF!</definedName>
    <definedName name="IntFreeCred" localSheetId="3">#REF!</definedName>
    <definedName name="IntFreeCred">#REF!</definedName>
    <definedName name="ir2rtcfr3c1r4c26rtqu" localSheetId="3">#REF!</definedName>
    <definedName name="ir2rtcfr3c1r4c26rtqu">#REF!</definedName>
    <definedName name="ITNUM">#N/A</definedName>
    <definedName name="I형행가설치" localSheetId="0">#REF!</definedName>
    <definedName name="I형행가설치" localSheetId="3">#REF!</definedName>
    <definedName name="I형행가설치">#REF!</definedName>
    <definedName name="I형행거" localSheetId="0">#REF!</definedName>
    <definedName name="I형행거" localSheetId="3">#REF!</definedName>
    <definedName name="I형행거">#REF!</definedName>
    <definedName name="JAE_K" localSheetId="0">#REF!</definedName>
    <definedName name="JAE_K" localSheetId="3">#REF!</definedName>
    <definedName name="JAE_K">#REF!</definedName>
    <definedName name="JAE_SD" localSheetId="3">#REF!</definedName>
    <definedName name="JAE_SD">#REF!</definedName>
    <definedName name="jg" localSheetId="3">#REF!</definedName>
    <definedName name="jg">#REF!</definedName>
    <definedName name="JH" localSheetId="3">#REF!</definedName>
    <definedName name="JH">#REF!</definedName>
    <definedName name="jhjyg" localSheetId="3">#REF!</definedName>
    <definedName name="jhjyg">#REF!</definedName>
    <definedName name="JJ" localSheetId="3">#REF!</definedName>
    <definedName name="JJ">#REF!</definedName>
    <definedName name="JS" localSheetId="3">#REF!</definedName>
    <definedName name="JS">#REF!</definedName>
    <definedName name="JUST" localSheetId="3">#REF!</definedName>
    <definedName name="JUST">#REF!</definedName>
    <definedName name="k" localSheetId="1">#REF!</definedName>
    <definedName name="k" localSheetId="2">#REF!</definedName>
    <definedName name="k" localSheetId="3">#REF!</definedName>
    <definedName name="k">#REF!</definedName>
    <definedName name="kcc단가" localSheetId="3">#REF!</definedName>
    <definedName name="kcc단가">#REF!</definedName>
    <definedName name="Kdo" localSheetId="3">#REF!</definedName>
    <definedName name="Kdo">#REF!</definedName>
    <definedName name="KFJG" localSheetId="3">#REF!</definedName>
    <definedName name="KFJG">#REF!</definedName>
    <definedName name="kjjh" localSheetId="3">#REF!</definedName>
    <definedName name="kjjh">#REF!</definedName>
    <definedName name="KK" localSheetId="3">#REF!</definedName>
    <definedName name="KK">#REF!</definedName>
    <definedName name="KKK" localSheetId="3">#REF!</definedName>
    <definedName name="KKK">#REF!</definedName>
    <definedName name="kkkk" localSheetId="3">#REF!</definedName>
    <definedName name="kkkk">#REF!</definedName>
    <definedName name="kn" localSheetId="3">#REF!</definedName>
    <definedName name="kn">#REF!</definedName>
    <definedName name="Kns" localSheetId="3">#REF!</definedName>
    <definedName name="Kns">#REF!</definedName>
    <definedName name="Ks" localSheetId="3">#REF!</definedName>
    <definedName name="Ks">#REF!</definedName>
    <definedName name="KSF" localSheetId="3">#REF!</definedName>
    <definedName name="KSF">#REF!</definedName>
    <definedName name="ksg" localSheetId="3">#REF!</definedName>
    <definedName name="ksg">#REF!</definedName>
    <definedName name="L">#N/A</definedName>
    <definedName name="la" localSheetId="0">#REF!</definedName>
    <definedName name="la" localSheetId="3">#REF!</definedName>
    <definedName name="la">#REF!</definedName>
    <definedName name="LAST" localSheetId="0">#REF!</definedName>
    <definedName name="LAST" localSheetId="3">#REF!</definedName>
    <definedName name="LAST">#REF!</definedName>
    <definedName name="LENGTH">#N/A</definedName>
    <definedName name="list" localSheetId="0">#REF!</definedName>
    <definedName name="list" localSheetId="3">#REF!</definedName>
    <definedName name="list">#REF!</definedName>
    <definedName name="LL">#N/A</definedName>
    <definedName name="lll" localSheetId="0">#REF!</definedName>
    <definedName name="lll" localSheetId="3">#REF!</definedName>
    <definedName name="lll">#REF!</definedName>
    <definedName name="LP___4" localSheetId="0">#REF!</definedName>
    <definedName name="LP___4" localSheetId="3">#REF!</definedName>
    <definedName name="LP___4">#REF!</definedName>
    <definedName name="LWSALES" localSheetId="0">#REF!</definedName>
    <definedName name="LWSALES" localSheetId="3">#REF!</definedName>
    <definedName name="LWSALES">#REF!</definedName>
    <definedName name="LYBin" localSheetId="3">#REF!</definedName>
    <definedName name="LYBin">#REF!</definedName>
    <definedName name="LYHolds" localSheetId="3">#REF!</definedName>
    <definedName name="LYHolds">#REF!</definedName>
    <definedName name="LYNet" localSheetId="3">#REF!</definedName>
    <definedName name="LYNet">#REF!</definedName>
    <definedName name="LYoos" localSheetId="3">#REF!</definedName>
    <definedName name="LYoos">#REF!</definedName>
    <definedName name="LYReselects" localSheetId="3">#REF!</definedName>
    <definedName name="LYReselects">#REF!</definedName>
    <definedName name="LYReturns" localSheetId="3">#REF!</definedName>
    <definedName name="LYReturns">#REF!</definedName>
    <definedName name="LYSales" localSheetId="3">#REF!</definedName>
    <definedName name="LYSales">#REF!</definedName>
    <definedName name="LYTotal" localSheetId="3">#REF!</definedName>
    <definedName name="LYTotal">#REF!</definedName>
    <definedName name="m" localSheetId="1" hidden="1">#REF!</definedName>
    <definedName name="m" localSheetId="2" hidden="1">#REF!</definedName>
    <definedName name="m" localSheetId="3" hidden="1">#REF!</definedName>
    <definedName name="M">#N/A</definedName>
    <definedName name="mac" localSheetId="0">#REF!</definedName>
    <definedName name="mac" localSheetId="3">#REF!</definedName>
    <definedName name="mac">#REF!</definedName>
    <definedName name="MARGINPLAN" localSheetId="0">#REF!</definedName>
    <definedName name="MARGINPLAN" localSheetId="3">#REF!</definedName>
    <definedName name="MARGINPLAN">#REF!</definedName>
    <definedName name="MARGINPROJ" localSheetId="0">#REF!</definedName>
    <definedName name="MARGINPROJ" localSheetId="3">#REF!</definedName>
    <definedName name="MARGINPROJ">#REF!</definedName>
    <definedName name="MDF" localSheetId="3">#REF!</definedName>
    <definedName name="MDF">#REF!</definedName>
    <definedName name="MLR" localSheetId="3">#REF!</definedName>
    <definedName name="MLR">#REF!</definedName>
    <definedName name="MLSS" localSheetId="3">#REF!</definedName>
    <definedName name="MLSS">#REF!</definedName>
    <definedName name="MLVSS" localSheetId="3">#REF!</definedName>
    <definedName name="MLVSS">#REF!</definedName>
    <definedName name="MONEY" localSheetId="0">#REF!,#REF!</definedName>
    <definedName name="MONEY" localSheetId="1">#REF!,#REF!</definedName>
    <definedName name="MONEY" localSheetId="2">#REF!,#REF!</definedName>
    <definedName name="MONEY" localSheetId="3">#REF!,#REF!</definedName>
    <definedName name="MONEY">#REF!,#REF!</definedName>
    <definedName name="MOTOR" localSheetId="0">#REF!</definedName>
    <definedName name="MOTOR" localSheetId="3">#REF!</definedName>
    <definedName name="MOTOR">#REF!</definedName>
    <definedName name="MOTOR__농형_전폐" localSheetId="0">#REF!</definedName>
    <definedName name="MOTOR__농형_전폐" localSheetId="3">#REF!</definedName>
    <definedName name="MOTOR__농형_전폐">#REF!</definedName>
    <definedName name="MUX7104_1" localSheetId="0">#REF!</definedName>
    <definedName name="MUX7104_1" localSheetId="3">#REF!</definedName>
    <definedName name="MUX7104_1">#REF!</definedName>
    <definedName name="MUX7104_2" localSheetId="3">#REF!</definedName>
    <definedName name="MUX7104_2">#REF!</definedName>
    <definedName name="myRange" localSheetId="3">#REF!</definedName>
    <definedName name="myRange">#REF!</definedName>
    <definedName name="myRegion" localSheetId="3">#REF!</definedName>
    <definedName name="myRegion">#REF!</definedName>
    <definedName name="N" localSheetId="1">#REF!</definedName>
    <definedName name="N" localSheetId="2">#REF!</definedName>
    <definedName name="N" localSheetId="3">#REF!</definedName>
    <definedName name="NAK">#N/A</definedName>
    <definedName name="NAME">#N/A</definedName>
    <definedName name="NDU" localSheetId="0">#REF!</definedName>
    <definedName name="NDU" localSheetId="3">#REF!</definedName>
    <definedName name="NDU">#REF!</definedName>
    <definedName name="NEIM" localSheetId="0">#REF!</definedName>
    <definedName name="NEIM" localSheetId="3">#REF!</definedName>
    <definedName name="NEIM">#REF!</definedName>
    <definedName name="NEW" localSheetId="0">#REF!</definedName>
    <definedName name="NEW" localSheetId="3">#REF!</definedName>
    <definedName name="NEW">#REF!</definedName>
    <definedName name="NEWNAME" localSheetId="0" hidden="1">{#N/A,#N/A,FALSE,"CCTV"}</definedName>
    <definedName name="NEWNAME" hidden="1">{#N/A,#N/A,FALSE,"CCTV"}</definedName>
    <definedName name="NH4N" localSheetId="0">#REF!</definedName>
    <definedName name="NH4N" localSheetId="3">#REF!</definedName>
    <definedName name="NH4N">#REF!</definedName>
    <definedName name="NMS_3240" localSheetId="0">#REF!</definedName>
    <definedName name="NMS_3240" localSheetId="3">#REF!</definedName>
    <definedName name="NMS_3240">#REF!</definedName>
    <definedName name="NO3eq" localSheetId="0">#REF!</definedName>
    <definedName name="NO3eq" localSheetId="3">#REF!</definedName>
    <definedName name="NO3eq">#REF!</definedName>
    <definedName name="NOR" localSheetId="3">#REF!</definedName>
    <definedName name="NOR">#REF!</definedName>
    <definedName name="Nox" localSheetId="3">#REF!</definedName>
    <definedName name="Nox">#REF!</definedName>
    <definedName name="NUMBER" localSheetId="3">#REF!</definedName>
    <definedName name="NUMBER">#REF!</definedName>
    <definedName name="Nx" localSheetId="3">#REF!</definedName>
    <definedName name="Nx">#REF!</definedName>
    <definedName name="NY" localSheetId="3">#REF!</definedName>
    <definedName name="NY">#REF!</definedName>
    <definedName name="NYE" localSheetId="3">#REF!</definedName>
    <definedName name="NYE">#REF!</definedName>
    <definedName name="oc_1" localSheetId="3">#REF!</definedName>
    <definedName name="oc_1">#REF!</definedName>
    <definedName name="oc1_v35" localSheetId="3">#REF!</definedName>
    <definedName name="oc1_v35">#REF!</definedName>
    <definedName name="OIU_NIU" localSheetId="3">#REF!</definedName>
    <definedName name="OIU_NIU">#REF!</definedName>
    <definedName name="OO">#N/A</definedName>
    <definedName name="OOO" localSheetId="0">#REF!</definedName>
    <definedName name="OOO" localSheetId="3">#REF!</definedName>
    <definedName name="OOO">#REF!</definedName>
    <definedName name="OTRU_A" localSheetId="0">#REF!</definedName>
    <definedName name="OTRU_A" localSheetId="3">#REF!</definedName>
    <definedName name="OTRU_A">#REF!</definedName>
    <definedName name="OTRU_B" localSheetId="0">#REF!</definedName>
    <definedName name="OTRU_B" localSheetId="3">#REF!</definedName>
    <definedName name="OTRU_B">#REF!</definedName>
    <definedName name="OTRU_C" localSheetId="3">#REF!</definedName>
    <definedName name="OTRU_C">#REF!</definedName>
    <definedName name="OUT" localSheetId="3">#REF!</definedName>
    <definedName name="OUT">#REF!</definedName>
    <definedName name="P">#N/A</definedName>
    <definedName name="P01_" localSheetId="0">#REF!</definedName>
    <definedName name="P01_" localSheetId="3">#REF!</definedName>
    <definedName name="P01_">#REF!</definedName>
    <definedName name="P02_" localSheetId="0">#REF!</definedName>
    <definedName name="P02_" localSheetId="3">#REF!</definedName>
    <definedName name="P02_">#REF!</definedName>
    <definedName name="PCM" localSheetId="0">#REF!</definedName>
    <definedName name="PCM" localSheetId="3">#REF!</definedName>
    <definedName name="PCM">#REF!</definedName>
    <definedName name="PCM국내케이블포설" localSheetId="3">#REF!</definedName>
    <definedName name="PCM국내케이블포설">#REF!</definedName>
    <definedName name="PCM성단" localSheetId="3">#REF!</definedName>
    <definedName name="PCM성단">#REF!</definedName>
    <definedName name="PCM케이블선단" localSheetId="3">#REF!</definedName>
    <definedName name="PCM케이블선단">#REF!</definedName>
    <definedName name="PCM케이블성단" localSheetId="3">#REF!</definedName>
    <definedName name="PCM케이블성단">#REF!</definedName>
    <definedName name="PCM포설" localSheetId="3">#REF!</definedName>
    <definedName name="PCM포설">#REF!</definedName>
    <definedName name="PDF" localSheetId="3">#REF!</definedName>
    <definedName name="PDF">#REF!</definedName>
    <definedName name="PDP" localSheetId="3">#REF!</definedName>
    <definedName name="PDP">#REF!</definedName>
    <definedName name="PE" localSheetId="3">#REF!</definedName>
    <definedName name="PE">#REF!</definedName>
    <definedName name="PE1열" localSheetId="3">#REF!</definedName>
    <definedName name="PE1열">#REF!</definedName>
    <definedName name="PE2열" localSheetId="3">#REF!</definedName>
    <definedName name="PE2열">#REF!</definedName>
    <definedName name="PE3열" localSheetId="3">#REF!</definedName>
    <definedName name="PE3열">#REF!</definedName>
    <definedName name="PE내관2난연" localSheetId="3">#REF!</definedName>
    <definedName name="PE내관2난연">#REF!</definedName>
    <definedName name="PE내관2일반" localSheetId="3">#REF!</definedName>
    <definedName name="PE내관2일반">#REF!</definedName>
    <definedName name="PE내관3난연" localSheetId="3">#REF!</definedName>
    <definedName name="PE내관3난연">#REF!</definedName>
    <definedName name="PE내관3일반" localSheetId="3">#REF!</definedName>
    <definedName name="PE내관3일반">#REF!</definedName>
    <definedName name="PE내관난연" localSheetId="3">#REF!</definedName>
    <definedName name="PE내관난연">#REF!</definedName>
    <definedName name="PE내관일반" localSheetId="3">#REF!</definedName>
    <definedName name="PE내관일반">#REF!</definedName>
    <definedName name="PE내관포설1" localSheetId="3">#REF!</definedName>
    <definedName name="PE내관포설1">#REF!</definedName>
    <definedName name="PE전선관" localSheetId="3">#REF!</definedName>
    <definedName name="PE전선관">#REF!</definedName>
    <definedName name="PE전선관1" localSheetId="3">#REF!</definedName>
    <definedName name="PE전선관1">#REF!</definedName>
    <definedName name="PE전선관2" localSheetId="3">#REF!</definedName>
    <definedName name="PE전선관2">#REF!</definedName>
    <definedName name="PF" localSheetId="3">#REF!</definedName>
    <definedName name="PF">#REF!</definedName>
    <definedName name="pH" localSheetId="3">#REF!</definedName>
    <definedName name="pH">#REF!</definedName>
    <definedName name="pj" localSheetId="0">#REF!,#REF!</definedName>
    <definedName name="pj" localSheetId="3">#REF!,#REF!</definedName>
    <definedName name="pj">#REF!,#REF!</definedName>
    <definedName name="PJT">#N/A</definedName>
    <definedName name="PJT개요" localSheetId="0">#REF!</definedName>
    <definedName name="PJT개요" localSheetId="3">#REF!</definedName>
    <definedName name="PJT개요">#REF!</definedName>
    <definedName name="PL50T" localSheetId="0">#REF!</definedName>
    <definedName name="PL50T" localSheetId="3">#REF!</definedName>
    <definedName name="PL50T">#REF!</definedName>
    <definedName name="POAARTRTPOBBRTRT" localSheetId="0">#REF!</definedName>
    <definedName name="POAARTRTPOBBRTRT" localSheetId="3">#REF!</definedName>
    <definedName name="POAARTRTPOBBRTRT">#REF!</definedName>
    <definedName name="poaaRTRTpobbRTRTpoccRTRTpoddRTR" localSheetId="3">#REF!</definedName>
    <definedName name="poaaRTRTpobbRTRTpoccRTRTpoddRTR">#REF!</definedName>
    <definedName name="pojjRTRTpoiiRTRTpohhRTRT" localSheetId="3">#REF!</definedName>
    <definedName name="pojjRTRTpoiiRTRTpohhRTRT">#REF!</definedName>
    <definedName name="POR121175C2054RTSKS15C6LRTHDLRT" localSheetId="3">#REF!</definedName>
    <definedName name="POR121175C2054RTSKS15C6LRTHDLRT">#REF!</definedName>
    <definedName name="POR3C41R52C44RTSKS13C5LRTHDLTBD" localSheetId="3">#REF!</definedName>
    <definedName name="POR3C41R52C44RTSKS13C5LRTHDLTBD">#REF!</definedName>
    <definedName name="POR3C56R44C76RTSKS15C5LRTHDLTBD" localSheetId="3">#REF!</definedName>
    <definedName name="POR3C56R44C76RTSKS15C5LRTHDLTBD">#REF!</definedName>
    <definedName name="POR458C2054RTSKS15C6LRTHDLRTM4T" localSheetId="3">#REF!</definedName>
    <definedName name="POR458C2054RTSKS15C6LRTHDLRTM4T">#REF!</definedName>
    <definedName name="POR6C20R55C38RTSKS13C5LRTHDLTBD" localSheetId="3">#REF!</definedName>
    <definedName name="POR6C20R55C38RTSKS13C5LRTHDLTBD">#REF!</definedName>
    <definedName name="POR7280C116RTSKS15C6LRTHR26C116" localSheetId="3">#REF!</definedName>
    <definedName name="POR7280C116RTSKS15C6LRTHR26C116">#REF!</definedName>
    <definedName name="POR7C2R55C18RTSKS13C5LRTHDLTBDL" localSheetId="3">#REF!</definedName>
    <definedName name="POR7C2R55C18RTSKS13C5LRTHDLTBDL">#REF!</definedName>
    <definedName name="POR7C77R72C83RTSKS13C5LRTHDLTBD" localSheetId="3">#REF!</definedName>
    <definedName name="POR7C77R72C83RTSKS13C5LRTHDLTBD">#REF!</definedName>
    <definedName name="por840c3542RTsks12c4lRTm1TB0TB5" localSheetId="3">#REF!</definedName>
    <definedName name="por840c3542RTsks12c4lRTm1TB0TB5">#REF!</definedName>
    <definedName name="POR8C46R200C54RTSKS13C6LRTHR3C4" localSheetId="3">#REF!</definedName>
    <definedName name="POR8C46R200C54RTSKS13C6LRTHR3C4">#REF!</definedName>
    <definedName name="PPLINK_T" localSheetId="3">#REF!</definedName>
    <definedName name="PPLINK_T">#REF!</definedName>
    <definedName name="PPLINK1" localSheetId="3">#REF!</definedName>
    <definedName name="PPLINK1">#REF!</definedName>
    <definedName name="PPLINK2" localSheetId="3">#REF!</definedName>
    <definedName name="PPLINK2">#REF!</definedName>
    <definedName name="PPP" localSheetId="3">#REF!</definedName>
    <definedName name="PPP">#REF!</definedName>
    <definedName name="PRDump" localSheetId="3">#REF!</definedName>
    <definedName name="PRDump">#REF!</definedName>
    <definedName name="Prel" localSheetId="3">#REF!</definedName>
    <definedName name="Prel">#REF!</definedName>
    <definedName name="print" localSheetId="1">#REF!</definedName>
    <definedName name="print" localSheetId="2">#REF!</definedName>
    <definedName name="print" localSheetId="3">#REF!</definedName>
    <definedName name="print">#REF!</definedName>
    <definedName name="_xlnm.Print_Area" localSheetId="0">갑지!$A$1:$K$24</definedName>
    <definedName name="_xlnm.Print_Area" localSheetId="1">내역!$A$1:$M$222</definedName>
    <definedName name="_xlnm.Print_Area" localSheetId="2">추가수정사항포함!$A$1:$M$251</definedName>
    <definedName name="_xlnm.Print_Area" localSheetId="3">'추가수정사항포함 (2)'!$A$1:$M$251</definedName>
    <definedName name="_xlnm.Print_Area">#N/A</definedName>
    <definedName name="PRINT_AREA_MI" localSheetId="1">#N/A</definedName>
    <definedName name="PRINT_AREA_MI" localSheetId="2">#N/A</definedName>
    <definedName name="PRINT_AREA_MI" localSheetId="3">#N/A</definedName>
    <definedName name="Print_Area_MI">#REF!</definedName>
    <definedName name="PRINT_AREA_MI1" localSheetId="0">#REF!</definedName>
    <definedName name="PRINT_AREA_MI1" localSheetId="3">#REF!</definedName>
    <definedName name="PRINT_AREA_MI1">#REF!</definedName>
    <definedName name="Print_Area\C" localSheetId="0">#REF!</definedName>
    <definedName name="Print_Area\C" localSheetId="3">#REF!</definedName>
    <definedName name="Print_Area\C">#REF!</definedName>
    <definedName name="PRINT_TILTES" localSheetId="3">#REF!</definedName>
    <definedName name="PRINT_TILTES">#REF!</definedName>
    <definedName name="_xlnm.Print_Titles" localSheetId="1">내역!$1:$2</definedName>
    <definedName name="_xlnm.Print_Titles" localSheetId="2">추가수정사항포함!$1:$2</definedName>
    <definedName name="_xlnm.Print_Titles" localSheetId="3">'추가수정사항포함 (2)'!$1:$2</definedName>
    <definedName name="_xlnm.Print_Titles">#N/A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>#N/A</definedName>
    <definedName name="PRINT_TITLES_MI1" localSheetId="0">#REF!</definedName>
    <definedName name="PRINT_TITLES_MI1" localSheetId="3">#REF!</definedName>
    <definedName name="PRINT_TITLES_MI1">#REF!</definedName>
    <definedName name="PSKS12C4LRTOR50C1R84C10RTHDLRTM" localSheetId="0">#REF!</definedName>
    <definedName name="PSKS12C4LRTOR50C1R84C10RTHDLRTM" localSheetId="3">#REF!</definedName>
    <definedName name="PSKS12C4LRTOR50C1R84C10RTHDLRTM">#REF!</definedName>
    <definedName name="PSKS12C4LRTOR6C73R45C74RTHDLRTM" localSheetId="0">#REF!</definedName>
    <definedName name="PSKS12C4LRTOR6C73R45C74RTHDLRTM" localSheetId="3">#REF!</definedName>
    <definedName name="PSKS12C4LRTOR6C73R45C74RTHDLRTM">#REF!</definedName>
    <definedName name="PSKS12C4LRTOR9C1R47C10RTHDLRTM3" localSheetId="3">#REF!</definedName>
    <definedName name="PSKS12C4LRTOR9C1R47C10RTHDLRTM3">#REF!</definedName>
    <definedName name="PSKS13C4LRTOR138C45R180C58RTHDL" localSheetId="3">#REF!</definedName>
    <definedName name="PSKS13C4LRTOR138C45R180C58RTHDL">#REF!</definedName>
    <definedName name="PSKS13C4LRTOR182C45R224C58RTHDL" localSheetId="3">#REF!</definedName>
    <definedName name="PSKS13C4LRTOR182C45R224C58RTHDL">#REF!</definedName>
    <definedName name="PSKS13C4LRTOR39C29R79C43RTHDLRT" localSheetId="3">#REF!</definedName>
    <definedName name="PSKS13C4LRTOR39C29R79C43RTHDLRT">#REF!</definedName>
    <definedName name="PSKS13C4LRTOR49C45R91C58RTHDLRT" localSheetId="3">#REF!</definedName>
    <definedName name="PSKS13C4LRTOR49C45R91C58RTHDLRT">#REF!</definedName>
    <definedName name="PSKS13C4LRTOR5C29R40C43RTHDLRTM" localSheetId="3">#REF!</definedName>
    <definedName name="PSKS13C4LRTOR5C29R40C43RTHDLRTM">#REF!</definedName>
    <definedName name="PSKS13C4LRTOR5C45R47C58RTHDLRTM" localSheetId="3">#REF!</definedName>
    <definedName name="PSKS13C4LRTOR5C45R47C58RTHDLRTM">#REF!</definedName>
    <definedName name="PSKS13C4LRTOR94C45R136C58RTHDLR" localSheetId="3">#REF!</definedName>
    <definedName name="PSKS13C4LRTOR94C45R136C58RTHDLR">#REF!</definedName>
    <definedName name="PSKS13C6LRTOR3C76R62C87RTM1TB0T" localSheetId="3">#REF!</definedName>
    <definedName name="PSKS13C6LRTOR3C76R62C87RTM1TB0T">#REF!</definedName>
    <definedName name="PSKS15C6LRTOR3C76R62C88RTM1TB0T" localSheetId="3">#REF!</definedName>
    <definedName name="PSKS15C6LRTOR3C76R62C88RTM1TB0T">#REF!</definedName>
    <definedName name="Psqlbp4lRTOR6C15R45C16RTHDLRTM0" localSheetId="3">#REF!</definedName>
    <definedName name="Psqlbp4lRTOR6C15R45C16RTHDLRTM0">#REF!</definedName>
    <definedName name="Psqlbp4lRTOR6C15R45C16RTHDLRTM7" localSheetId="3">#REF!</definedName>
    <definedName name="Psqlbp4lRTOR6C15R45C16RTHDLRTM7">#REF!</definedName>
    <definedName name="PUMP" localSheetId="3">#REF!</definedName>
    <definedName name="PUMP">#REF!</definedName>
    <definedName name="PVC" localSheetId="3">#REF!</definedName>
    <definedName name="PVC">#REF!</definedName>
    <definedName name="PVC분석" localSheetId="3">#REF!</definedName>
    <definedName name="PVC분석">#REF!</definedName>
    <definedName name="Px" localSheetId="3">#REF!</definedName>
    <definedName name="Px">#REF!</definedName>
    <definedName name="Pxa" localSheetId="3">#REF!</definedName>
    <definedName name="Pxa">#REF!</definedName>
    <definedName name="Pxan" localSheetId="3">#REF!</definedName>
    <definedName name="Pxan">#REF!</definedName>
    <definedName name="Pxh" localSheetId="3">#REF!</definedName>
    <definedName name="Pxh">#REF!</definedName>
    <definedName name="QLQL" localSheetId="3">#REF!</definedName>
    <definedName name="QLQL">#REF!</definedName>
    <definedName name="qq" localSheetId="3">#REF!</definedName>
    <definedName name="qq">#REF!</definedName>
    <definedName name="qqq" localSheetId="3">#REF!</definedName>
    <definedName name="qqq">#REF!</definedName>
    <definedName name="qqqq" localSheetId="0">Dlog_Show</definedName>
    <definedName name="qqqq" localSheetId="2">Dlog_Show</definedName>
    <definedName name="qqqq" localSheetId="3">Dlog_Show</definedName>
    <definedName name="qqqq">Dlog_Show</definedName>
    <definedName name="QTY">#N/A</definedName>
    <definedName name="quad_e" localSheetId="0">#REF!</definedName>
    <definedName name="quad_e" localSheetId="3">#REF!</definedName>
    <definedName name="quad_e">#REF!</definedName>
    <definedName name="quad_t" localSheetId="0">#REF!</definedName>
    <definedName name="quad_t" localSheetId="3">#REF!</definedName>
    <definedName name="quad_t">#REF!</definedName>
    <definedName name="qw" localSheetId="0" hidden="1">{#N/A,#N/A,FALSE,"단가표지"}</definedName>
    <definedName name="qw" hidden="1">{#N/A,#N/A,FALSE,"단가표지"}</definedName>
    <definedName name="RACK1" localSheetId="0">#REF!</definedName>
    <definedName name="RACK1" localSheetId="3">#REF!</definedName>
    <definedName name="RACK1">#REF!</definedName>
    <definedName name="RACK10" localSheetId="0">#REF!</definedName>
    <definedName name="RACK10" localSheetId="3">#REF!</definedName>
    <definedName name="RACK10">#REF!</definedName>
    <definedName name="RACK18" localSheetId="0">#REF!</definedName>
    <definedName name="RACK18" localSheetId="3">#REF!</definedName>
    <definedName name="RACK18">#REF!</definedName>
    <definedName name="RACK1800" localSheetId="3">#REF!</definedName>
    <definedName name="RACK1800">#REF!</definedName>
    <definedName name="RACK2" localSheetId="3">#REF!</definedName>
    <definedName name="RACK2">#REF!</definedName>
    <definedName name="RACK2000" localSheetId="3">#REF!</definedName>
    <definedName name="RACK2000">#REF!</definedName>
    <definedName name="RACK22" localSheetId="3">#REF!</definedName>
    <definedName name="RACK22">#REF!</definedName>
    <definedName name="RACK2200" localSheetId="3">#REF!</definedName>
    <definedName name="RACK2200">#REF!</definedName>
    <definedName name="RACK3" localSheetId="3">#REF!</definedName>
    <definedName name="RACK3">#REF!</definedName>
    <definedName name="RACK4" localSheetId="3">#REF!</definedName>
    <definedName name="RACK4">#REF!</definedName>
    <definedName name="RACK5" localSheetId="3">#REF!</definedName>
    <definedName name="RACK5">#REF!</definedName>
    <definedName name="RACK6" localSheetId="3">#REF!</definedName>
    <definedName name="RACK6">#REF!</definedName>
    <definedName name="RACK7" localSheetId="3">#REF!</definedName>
    <definedName name="RACK7">#REF!</definedName>
    <definedName name="RACK8" localSheetId="3">#REF!</definedName>
    <definedName name="RACK8">#REF!</definedName>
    <definedName name="RACK9" localSheetId="3">#REF!</definedName>
    <definedName name="RACK9">#REF!</definedName>
    <definedName name="RACKXXX" localSheetId="3">#REF!</definedName>
    <definedName name="RACKXXX">#REF!</definedName>
    <definedName name="RACK설치" localSheetId="3">#REF!</definedName>
    <definedName name="RACK설치">#REF!</definedName>
    <definedName name="RAS" localSheetId="3">#REF!</definedName>
    <definedName name="RAS">#REF!</definedName>
    <definedName name="RATE" localSheetId="3">#REF!</definedName>
    <definedName name="RATE">#REF!</definedName>
    <definedName name="RAW" localSheetId="3">#REF!</definedName>
    <definedName name="RAW">#REF!</definedName>
    <definedName name="RawAgencyPrice" localSheetId="3">#REF!</definedName>
    <definedName name="RawAgencyPrice">#REF!</definedName>
    <definedName name="RBData" localSheetId="3">#REF!</definedName>
    <definedName name="RBData">#REF!</definedName>
    <definedName name="RCU" localSheetId="3">#REF!</definedName>
    <definedName name="RCU">#REF!</definedName>
    <definedName name="_xlnm.Recorder" localSheetId="3">#REF!</definedName>
    <definedName name="_xlnm.Recorder">#REF!</definedName>
    <definedName name="REM">#N/A</definedName>
    <definedName name="REMARKS">#N/A</definedName>
    <definedName name="Reselects" localSheetId="0">#REF!</definedName>
    <definedName name="Reselects" localSheetId="3">#REF!</definedName>
    <definedName name="Reselects">#REF!</definedName>
    <definedName name="ROUTER" localSheetId="0">#REF!</definedName>
    <definedName name="ROUTER" localSheetId="3">#REF!</definedName>
    <definedName name="ROUTER">#REF!</definedName>
    <definedName name="RRR" localSheetId="0">#REF!</definedName>
    <definedName name="RRR" localSheetId="3">#REF!</definedName>
    <definedName name="RRR">#REF!</definedName>
    <definedName name="RSS" localSheetId="3">#REF!</definedName>
    <definedName name="RSS">#REF!</definedName>
    <definedName name="RTCLCRDLCRCRCRCRCRDLRT" localSheetId="3">#REF!</definedName>
    <definedName name="RTCLCRDLCRCRCRCRCRDLRT">#REF!</definedName>
    <definedName name="s" localSheetId="3">#REF!</definedName>
    <definedName name="s">#REF!</definedName>
    <definedName name="S_P" localSheetId="3">#REF!</definedName>
    <definedName name="S_P">#REF!</definedName>
    <definedName name="S_W_시험기사" localSheetId="3">#REF!</definedName>
    <definedName name="S_W_시험기사">#REF!</definedName>
    <definedName name="s_w시험" localSheetId="3">#REF!</definedName>
    <definedName name="s_w시험">#REF!</definedName>
    <definedName name="S_W시험기사" localSheetId="3">#REF!</definedName>
    <definedName name="S_W시험기사">#REF!</definedName>
    <definedName name="S_W시험사" localSheetId="3">#REF!</definedName>
    <definedName name="S_W시험사">#REF!</definedName>
    <definedName name="S1ITEM11" localSheetId="3">#REF!</definedName>
    <definedName name="S1ITEM11">#REF!</definedName>
    <definedName name="S1ITEM12" localSheetId="3">#REF!</definedName>
    <definedName name="S1ITEM12">#REF!</definedName>
    <definedName name="S1ITEM13" localSheetId="3">#REF!</definedName>
    <definedName name="S1ITEM13">#REF!</definedName>
    <definedName name="S1ITEM14" localSheetId="3">#REF!</definedName>
    <definedName name="S1ITEM14">#REF!</definedName>
    <definedName name="S1ITEM15" localSheetId="3">#REF!</definedName>
    <definedName name="S1ITEM15">#REF!</definedName>
    <definedName name="S1ITEM21" localSheetId="3">#REF!</definedName>
    <definedName name="S1ITEM21">#REF!</definedName>
    <definedName name="S1ITEM22" localSheetId="3">#REF!</definedName>
    <definedName name="S1ITEM22">#REF!</definedName>
    <definedName name="S1ITEM23" localSheetId="3">#REF!</definedName>
    <definedName name="S1ITEM23">#REF!</definedName>
    <definedName name="S1ITEM24" localSheetId="3">#REF!</definedName>
    <definedName name="S1ITEM24">#REF!</definedName>
    <definedName name="S1ITEM25" localSheetId="3">#REF!</definedName>
    <definedName name="S1ITEM25">#REF!</definedName>
    <definedName name="S1ITEM31" localSheetId="3">#REF!</definedName>
    <definedName name="S1ITEM31">#REF!</definedName>
    <definedName name="S1ITEM32" localSheetId="3">#REF!</definedName>
    <definedName name="S1ITEM32">#REF!</definedName>
    <definedName name="S1ITEM33" localSheetId="3">#REF!</definedName>
    <definedName name="S1ITEM33">#REF!</definedName>
    <definedName name="S1ITEM34" localSheetId="3">#REF!</definedName>
    <definedName name="S1ITEM34">#REF!</definedName>
    <definedName name="S1ITEM35" localSheetId="3">#REF!</definedName>
    <definedName name="S1ITEM35">#REF!</definedName>
    <definedName name="S1ITEM41" localSheetId="3">#REF!</definedName>
    <definedName name="S1ITEM41">#REF!</definedName>
    <definedName name="S1ITEM42" localSheetId="3">#REF!</definedName>
    <definedName name="S1ITEM42">#REF!</definedName>
    <definedName name="S1ITEM43" localSheetId="3">#REF!</definedName>
    <definedName name="S1ITEM43">#REF!</definedName>
    <definedName name="S1ITEM44" localSheetId="3">#REF!</definedName>
    <definedName name="S1ITEM44">#REF!</definedName>
    <definedName name="S1ITEM45" localSheetId="3">#REF!</definedName>
    <definedName name="S1ITEM45">#REF!</definedName>
    <definedName name="S1ITEM51" localSheetId="3">#REF!</definedName>
    <definedName name="S1ITEM51">#REF!</definedName>
    <definedName name="S1ITEM52" localSheetId="3">#REF!</definedName>
    <definedName name="S1ITEM52">#REF!</definedName>
    <definedName name="S1ITEM53" localSheetId="3">#REF!</definedName>
    <definedName name="S1ITEM53">#REF!</definedName>
    <definedName name="S1ITEM54" localSheetId="3">#REF!</definedName>
    <definedName name="S1ITEM54">#REF!</definedName>
    <definedName name="S1ITEM55" localSheetId="3">#REF!</definedName>
    <definedName name="S1ITEM55">#REF!</definedName>
    <definedName name="S1ITEM61" localSheetId="3">#REF!</definedName>
    <definedName name="S1ITEM61">#REF!</definedName>
    <definedName name="S1ITEM62" localSheetId="3">#REF!</definedName>
    <definedName name="S1ITEM62">#REF!</definedName>
    <definedName name="S1ITEM63" localSheetId="3">#REF!</definedName>
    <definedName name="S1ITEM63">#REF!</definedName>
    <definedName name="S1ITEM64" localSheetId="3">#REF!</definedName>
    <definedName name="S1ITEM64">#REF!</definedName>
    <definedName name="S1ITEM65" localSheetId="3">#REF!</definedName>
    <definedName name="S1ITEM65">#REF!</definedName>
    <definedName name="S1ITEM71" localSheetId="3">#REF!</definedName>
    <definedName name="S1ITEM71">#REF!</definedName>
    <definedName name="S1ITEM72" localSheetId="3">#REF!</definedName>
    <definedName name="S1ITEM72">#REF!</definedName>
    <definedName name="S1ITEM73" localSheetId="3">#REF!</definedName>
    <definedName name="S1ITEM73">#REF!</definedName>
    <definedName name="S1ITEM74" localSheetId="3">#REF!</definedName>
    <definedName name="S1ITEM74">#REF!</definedName>
    <definedName name="S1ITEM75" localSheetId="3">#REF!</definedName>
    <definedName name="S1ITEM75">#REF!</definedName>
    <definedName name="S1견적기준" localSheetId="3">#REF!</definedName>
    <definedName name="S1견적기준">#REF!</definedName>
    <definedName name="S1공사명" localSheetId="3">#REF!</definedName>
    <definedName name="S1공사명">#REF!</definedName>
    <definedName name="S1부지면적" localSheetId="3">#REF!</definedName>
    <definedName name="S1부지면적">#REF!</definedName>
    <definedName name="S1부지위치" localSheetId="3">#REF!</definedName>
    <definedName name="S1부지위치">#REF!</definedName>
    <definedName name="S1수신처" localSheetId="3">#REF!</definedName>
    <definedName name="S1수신처">#REF!</definedName>
    <definedName name="S1연면적" localSheetId="3">#REF!</definedName>
    <definedName name="S1연면적">#REF!</definedName>
    <definedName name="S2ADDCOST" localSheetId="3">#REF!</definedName>
    <definedName name="S2ADDCOST">#REF!</definedName>
    <definedName name="S2APT_AREA" localSheetId="3">#REF!</definedName>
    <definedName name="S2APT_AREA">#REF!</definedName>
    <definedName name="S2APT_TOTAREA" localSheetId="3">#REF!</definedName>
    <definedName name="S2APT_TOTAREA">#REF!</definedName>
    <definedName name="S2BLDG_INFO" localSheetId="3">#REF!</definedName>
    <definedName name="S2BLDG_INFO">#REF!</definedName>
    <definedName name="S2CIVILPYCOST" localSheetId="3">#REF!</definedName>
    <definedName name="S2CIVILPYCOST">#REF!</definedName>
    <definedName name="S2DONG" localSheetId="3">#REF!</definedName>
    <definedName name="S2DONG">#REF!</definedName>
    <definedName name="S2FLOOR" localSheetId="3">#REF!</definedName>
    <definedName name="S2FLOOR">#REF!</definedName>
    <definedName name="S2KINDER_AREA" localSheetId="3">#REF!</definedName>
    <definedName name="S2KINDER_AREA">#REF!</definedName>
    <definedName name="S2MECH_AREA" localSheetId="3">#REF!</definedName>
    <definedName name="S2MECH_AREA">#REF!</definedName>
    <definedName name="S2MGR_AREA" localSheetId="3">#REF!</definedName>
    <definedName name="S2MGR_AREA">#REF!</definedName>
    <definedName name="S2PARK_AREA" localSheetId="3">#REF!</definedName>
    <definedName name="S2PARK_AREA">#REF!</definedName>
    <definedName name="S2PYTYPE" localSheetId="3">#REF!</definedName>
    <definedName name="S2PYTYPE">#REF!</definedName>
    <definedName name="S2SHOP_AREA" localSheetId="3">#REF!</definedName>
    <definedName name="S2SHOP_AREA">#REF!</definedName>
    <definedName name="S2UNIT" localSheetId="3">#REF!</definedName>
    <definedName name="S2UNIT">#REF!</definedName>
    <definedName name="S2공기" localSheetId="3">#REF!</definedName>
    <definedName name="S2공기">#REF!</definedName>
    <definedName name="S2세대수" localSheetId="3">#REF!</definedName>
    <definedName name="S2세대수">#REF!</definedName>
    <definedName name="S2연면적" localSheetId="3">#REF!</definedName>
    <definedName name="S2연면적">#REF!</definedName>
    <definedName name="S2착공일" localSheetId="3">#REF!</definedName>
    <definedName name="S2착공일">#REF!</definedName>
    <definedName name="S3KINDER" localSheetId="3">#REF!</definedName>
    <definedName name="S3KINDER">#REF!</definedName>
    <definedName name="S3MACH" localSheetId="3">#REF!</definedName>
    <definedName name="S3MACH">#REF!</definedName>
    <definedName name="S3MANAGE" localSheetId="3">#REF!</definedName>
    <definedName name="S3MANAGE">#REF!</definedName>
    <definedName name="S3PARK" localSheetId="3">#REF!</definedName>
    <definedName name="S3PARK">#REF!</definedName>
    <definedName name="S3SEPTIC" localSheetId="3">#REF!</definedName>
    <definedName name="S3SEPTIC">#REF!</definedName>
    <definedName name="S3SHOP" localSheetId="3">#REF!</definedName>
    <definedName name="S3SHOP">#REF!</definedName>
    <definedName name="S3WATER" localSheetId="3">#REF!</definedName>
    <definedName name="S3WATER">#REF!</definedName>
    <definedName name="S4APT_PYCOST" localSheetId="3">#REF!</definedName>
    <definedName name="S4APT_PYCOST">#REF!</definedName>
    <definedName name="S4APTBOX" localSheetId="3">#REF!</definedName>
    <definedName name="S4APTBOX">#REF!</definedName>
    <definedName name="S4CIVIL_COST" localSheetId="3">#REF!</definedName>
    <definedName name="S4CIVIL_COST">#REF!</definedName>
    <definedName name="S4DONG" localSheetId="3">#REF!</definedName>
    <definedName name="S4DONG">#REF!</definedName>
    <definedName name="S5SITE" localSheetId="3">#REF!</definedName>
    <definedName name="S5SITE">#REF!</definedName>
    <definedName name="S5공기" localSheetId="3">#REF!</definedName>
    <definedName name="S5공기">#REF!</definedName>
    <definedName name="S5세대수" localSheetId="3">#REF!</definedName>
    <definedName name="S5세대수">#REF!</definedName>
    <definedName name="S5연면적" localSheetId="3">#REF!</definedName>
    <definedName name="S5연면적">#REF!</definedName>
    <definedName name="S5추가공사비" localSheetId="3">#REF!</definedName>
    <definedName name="S5추가공사비">#REF!</definedName>
    <definedName name="S5층수" localSheetId="3">#REF!</definedName>
    <definedName name="S5층수">#REF!</definedName>
    <definedName name="S6견적금액" localSheetId="3">#REF!</definedName>
    <definedName name="S6견적금액">#REF!</definedName>
    <definedName name="S6견적자" localSheetId="3">#REF!</definedName>
    <definedName name="S6견적자">#REF!</definedName>
    <definedName name="S6기타" localSheetId="3">#REF!</definedName>
    <definedName name="S6기타">#REF!</definedName>
    <definedName name="S6담장" localSheetId="3">#REF!</definedName>
    <definedName name="S6담장">#REF!</definedName>
    <definedName name="S6시설물" localSheetId="3">#REF!</definedName>
    <definedName name="S6시설물">#REF!</definedName>
    <definedName name="S6연면적" localSheetId="3">#REF!</definedName>
    <definedName name="S6연면적">#REF!</definedName>
    <definedName name="S6조경" localSheetId="3">#REF!</definedName>
    <definedName name="S6조경">#REF!</definedName>
    <definedName name="S6토목금액" localSheetId="3">#REF!</definedName>
    <definedName name="S6토목금액">#REF!</definedName>
    <definedName name="S7ARGUE_PYCOST" localSheetId="3">#REF!</definedName>
    <definedName name="S7ARGUE_PYCOST">#REF!</definedName>
    <definedName name="S7ARGUE1" localSheetId="3">#REF!</definedName>
    <definedName name="S7ARGUE1">#REF!</definedName>
    <definedName name="S8ADD" localSheetId="3">#REF!</definedName>
    <definedName name="S8ADD">#REF!</definedName>
    <definedName name="S8ARCHADD_BOX" localSheetId="3">#REF!</definedName>
    <definedName name="S8ARCHADD_BOX">#REF!</definedName>
    <definedName name="S9매입세율" localSheetId="3">#REF!</definedName>
    <definedName name="S9매입세율">#REF!</definedName>
    <definedName name="S9법정안전관리비" localSheetId="3">#REF!</definedName>
    <definedName name="S9법정안전관리비">#REF!</definedName>
    <definedName name="S9보험료_기본" localSheetId="3">#REF!</definedName>
    <definedName name="S9보험료_기본">#REF!</definedName>
    <definedName name="S9비적용면적" localSheetId="3">#REF!</definedName>
    <definedName name="S9비적용면적">#REF!</definedName>
    <definedName name="S9설비" localSheetId="3">#REF!</definedName>
    <definedName name="S9설비">#REF!</definedName>
    <definedName name="S9안전_경비율" localSheetId="3">#REF!</definedName>
    <definedName name="S9안전_경비율">#REF!</definedName>
    <definedName name="S9안전관리비공제" localSheetId="3">#REF!</definedName>
    <definedName name="S9안전관리비공제">#REF!</definedName>
    <definedName name="S9연면적" localSheetId="3">#REF!</definedName>
    <definedName name="S9연면적">#REF!</definedName>
    <definedName name="S9전기" localSheetId="3">#REF!</definedName>
    <definedName name="S9전기">#REF!</definedName>
    <definedName name="S9토목" localSheetId="3">#REF!</definedName>
    <definedName name="S9토목">#REF!</definedName>
    <definedName name="SALESPLAN" localSheetId="3">#REF!</definedName>
    <definedName name="SALESPLAN">#REF!</definedName>
    <definedName name="SCODcr" localSheetId="3">#REF!</definedName>
    <definedName name="SCODcr">#REF!</definedName>
    <definedName name="SDF" localSheetId="3">#REF!</definedName>
    <definedName name="SDF">#REF!</definedName>
    <definedName name="SDNR" localSheetId="3">#REF!</definedName>
    <definedName name="SDNR">#REF!</definedName>
    <definedName name="SEEKA" localSheetId="3">#REF!</definedName>
    <definedName name="SEEKA">#REF!</definedName>
    <definedName name="SEEKB" localSheetId="3">#REF!</definedName>
    <definedName name="SEEKB">#REF!</definedName>
    <definedName name="SELECT">#N/A</definedName>
    <definedName name="shin123" localSheetId="0">#REF!</definedName>
    <definedName name="shin123" localSheetId="3">#REF!</definedName>
    <definedName name="shin123">#REF!</definedName>
    <definedName name="SLID" localSheetId="0">#REF!</definedName>
    <definedName name="SLID" localSheetId="3">#REF!</definedName>
    <definedName name="SLID">#REF!</definedName>
    <definedName name="Sno" localSheetId="0">#REF!</definedName>
    <definedName name="Sno" localSheetId="3">#REF!</definedName>
    <definedName name="Sno">#REF!</definedName>
    <definedName name="SORTCODE">#N/A</definedName>
    <definedName name="SRT_all" localSheetId="0">#REF!</definedName>
    <definedName name="SRT_all" localSheetId="3">#REF!</definedName>
    <definedName name="SRT_all">#REF!</definedName>
    <definedName name="SRT_d" localSheetId="0">#REF!</definedName>
    <definedName name="SRT_d" localSheetId="3">#REF!</definedName>
    <definedName name="SRT_d">#REF!</definedName>
    <definedName name="SRT_m" localSheetId="0">#REF!</definedName>
    <definedName name="SRT_m" localSheetId="3">#REF!</definedName>
    <definedName name="SRT_m">#REF!</definedName>
    <definedName name="SS" localSheetId="1">#REF!</definedName>
    <definedName name="SS" localSheetId="2">#REF!</definedName>
    <definedName name="SS" localSheetId="3">#REF!</definedName>
    <definedName name="ss">#REF!</definedName>
    <definedName name="SSS" localSheetId="3">#REF!</definedName>
    <definedName name="SSS">#REF!</definedName>
    <definedName name="SSSS" localSheetId="3">#REF!</definedName>
    <definedName name="SSSS">#REF!</definedName>
    <definedName name="sssss" localSheetId="0" hidden="1">{#N/A,#N/A,FALSE,"CAM-G7";#N/A,#N/A,FALSE,"SPL";#N/A,#N/A,FALSE,"butt-in G7";#N/A,#N/A,FALSE,"dia-in G7";#N/A,#N/A,FALSE,"추가-STA G7"}</definedName>
    <definedName name="SSSSS" localSheetId="1">#REF!</definedName>
    <definedName name="SSSSS" localSheetId="2">#REF!</definedName>
    <definedName name="SSSSS" localSheetId="3">#REF!</definedName>
    <definedName name="sssss" hidden="1">{#N/A,#N/A,FALSE,"CAM-G7";#N/A,#N/A,FALSE,"SPL";#N/A,#N/A,FALSE,"butt-in G7";#N/A,#N/A,FALSE,"dia-in G7";#N/A,#N/A,FALSE,"추가-STA G7"}</definedName>
    <definedName name="SSSSSS" localSheetId="0">#REF!</definedName>
    <definedName name="SSSSSS" localSheetId="3">#REF!</definedName>
    <definedName name="SSSSSS">#REF!</definedName>
    <definedName name="START" localSheetId="0">#REF!</definedName>
    <definedName name="START" localSheetId="3">#REF!</definedName>
    <definedName name="START">#REF!</definedName>
    <definedName name="SU_S">#N/A</definedName>
    <definedName name="SUYO">#N/A</definedName>
    <definedName name="SV" localSheetId="0">#REF!</definedName>
    <definedName name="SV" localSheetId="3">#REF!</definedName>
    <definedName name="SV">#REF!</definedName>
    <definedName name="sw설치" localSheetId="0">#REF!</definedName>
    <definedName name="sw설치" localSheetId="3">#REF!</definedName>
    <definedName name="sw설치">#REF!</definedName>
    <definedName name="sw시험" localSheetId="0">#REF!</definedName>
    <definedName name="sw시험" localSheetId="3">#REF!</definedName>
    <definedName name="sw시험">#REF!</definedName>
    <definedName name="t" localSheetId="3">#REF!</definedName>
    <definedName name="t">#REF!</definedName>
    <definedName name="T._A._B_____공___사" localSheetId="3">#REF!</definedName>
    <definedName name="T._A._B_____공___사">#REF!</definedName>
    <definedName name="T_AMOUNT">#N/A</definedName>
    <definedName name="T_MLSS" localSheetId="0">#REF!</definedName>
    <definedName name="T_MLSS" localSheetId="3">#REF!</definedName>
    <definedName name="T_MLSS">#REF!</definedName>
    <definedName name="T_N" localSheetId="0">#REF!</definedName>
    <definedName name="T_N" localSheetId="3">#REF!</definedName>
    <definedName name="T_N">#REF!</definedName>
    <definedName name="T_P" localSheetId="0">#REF!</definedName>
    <definedName name="T_P" localSheetId="3">#REF!</definedName>
    <definedName name="T_P">#REF!</definedName>
    <definedName name="T_Pch" localSheetId="3">#REF!</definedName>
    <definedName name="T_Pch">#REF!</definedName>
    <definedName name="T_UPRICE">#N/A</definedName>
    <definedName name="T1_3240" localSheetId="0">#REF!</definedName>
    <definedName name="T1_3240" localSheetId="3">#REF!</definedName>
    <definedName name="T1_3240">#REF!</definedName>
    <definedName name="T10M" localSheetId="0">#REF!</definedName>
    <definedName name="T10M" localSheetId="3">#REF!</definedName>
    <definedName name="T10M">#REF!</definedName>
    <definedName name="T10P" localSheetId="0">#REF!</definedName>
    <definedName name="T10P" localSheetId="3">#REF!</definedName>
    <definedName name="T10P">#REF!</definedName>
    <definedName name="T11M" localSheetId="3">#REF!</definedName>
    <definedName name="T11M">#REF!</definedName>
    <definedName name="T11P" localSheetId="3">#REF!</definedName>
    <definedName name="T11P">#REF!</definedName>
    <definedName name="T12M" localSheetId="3">#REF!</definedName>
    <definedName name="T12M">#REF!</definedName>
    <definedName name="T12P" localSheetId="3">#REF!</definedName>
    <definedName name="T12P">#REF!</definedName>
    <definedName name="T13M" localSheetId="3">#REF!</definedName>
    <definedName name="T13M">#REF!</definedName>
    <definedName name="T13P" localSheetId="3">#REF!</definedName>
    <definedName name="T13P">#REF!</definedName>
    <definedName name="T14M" localSheetId="3">#REF!</definedName>
    <definedName name="T14M">#REF!</definedName>
    <definedName name="T14P" localSheetId="3">#REF!</definedName>
    <definedName name="T14P">#REF!</definedName>
    <definedName name="T15M" localSheetId="3">#REF!</definedName>
    <definedName name="T15M">#REF!</definedName>
    <definedName name="T15P" localSheetId="3">#REF!</definedName>
    <definedName name="T15P">#REF!</definedName>
    <definedName name="T16M" localSheetId="3">#REF!</definedName>
    <definedName name="T16M">#REF!</definedName>
    <definedName name="T16P" localSheetId="3">#REF!</definedName>
    <definedName name="T16P">#REF!</definedName>
    <definedName name="T17M" localSheetId="3">#REF!</definedName>
    <definedName name="T17M">#REF!</definedName>
    <definedName name="T17P" localSheetId="3">#REF!</definedName>
    <definedName name="T17P">#REF!</definedName>
    <definedName name="T18M" localSheetId="3">#REF!</definedName>
    <definedName name="T18M">#REF!</definedName>
    <definedName name="T18P" localSheetId="3">#REF!</definedName>
    <definedName name="T18P">#REF!</definedName>
    <definedName name="T19M" localSheetId="3">#REF!</definedName>
    <definedName name="T19M">#REF!</definedName>
    <definedName name="T19P" localSheetId="3">#REF!</definedName>
    <definedName name="T19P">#REF!</definedName>
    <definedName name="T1E" localSheetId="3">#REF!</definedName>
    <definedName name="T1E">#REF!</definedName>
    <definedName name="T1M" localSheetId="3">#REF!</definedName>
    <definedName name="T1M">#REF!</definedName>
    <definedName name="T1P" localSheetId="3">#REF!</definedName>
    <definedName name="T1P">#REF!</definedName>
    <definedName name="T20M" localSheetId="3">#REF!</definedName>
    <definedName name="T20M">#REF!</definedName>
    <definedName name="T20P" localSheetId="3">#REF!</definedName>
    <definedName name="T20P">#REF!</definedName>
    <definedName name="T21M" localSheetId="3">#REF!</definedName>
    <definedName name="T21M">#REF!</definedName>
    <definedName name="T21P" localSheetId="3">#REF!</definedName>
    <definedName name="T21P">#REF!</definedName>
    <definedName name="T22E" localSheetId="3">#REF!</definedName>
    <definedName name="T22E">#REF!</definedName>
    <definedName name="T23M" localSheetId="3">#REF!</definedName>
    <definedName name="T23M">#REF!</definedName>
    <definedName name="T23P" localSheetId="3">#REF!</definedName>
    <definedName name="T23P">#REF!</definedName>
    <definedName name="T24M" localSheetId="3">#REF!</definedName>
    <definedName name="T24M">#REF!</definedName>
    <definedName name="T24P" localSheetId="3">#REF!</definedName>
    <definedName name="T24P">#REF!</definedName>
    <definedName name="T2E" localSheetId="3">#REF!</definedName>
    <definedName name="T2E">#REF!</definedName>
    <definedName name="T2M" localSheetId="3">#REF!</definedName>
    <definedName name="T2M">#REF!</definedName>
    <definedName name="T2P" localSheetId="3">#REF!</definedName>
    <definedName name="T2P">#REF!</definedName>
    <definedName name="T3P" localSheetId="3">#REF!</definedName>
    <definedName name="T3P">#REF!</definedName>
    <definedName name="T4M" localSheetId="3">#REF!</definedName>
    <definedName name="T4M">#REF!</definedName>
    <definedName name="T4P" localSheetId="3">#REF!</definedName>
    <definedName name="T4P">#REF!</definedName>
    <definedName name="T5M" localSheetId="3">#REF!</definedName>
    <definedName name="T5M">#REF!</definedName>
    <definedName name="T5P" localSheetId="3">#REF!</definedName>
    <definedName name="T5P">#REF!</definedName>
    <definedName name="T6M" localSheetId="3">#REF!</definedName>
    <definedName name="T6M">#REF!</definedName>
    <definedName name="T6P" localSheetId="3">#REF!</definedName>
    <definedName name="T6P">#REF!</definedName>
    <definedName name="T7M" localSheetId="3">#REF!</definedName>
    <definedName name="T7M">#REF!</definedName>
    <definedName name="T7P" localSheetId="3">#REF!</definedName>
    <definedName name="T7P">#REF!</definedName>
    <definedName name="T8M" localSheetId="3">#REF!</definedName>
    <definedName name="T8M">#REF!</definedName>
    <definedName name="T8P" localSheetId="3">#REF!</definedName>
    <definedName name="T8P">#REF!</definedName>
    <definedName name="T9M" localSheetId="3">#REF!</definedName>
    <definedName name="T9M">#REF!</definedName>
    <definedName name="T9P" localSheetId="3">#REF!</definedName>
    <definedName name="T9P">#REF!</definedName>
    <definedName name="Table" localSheetId="3">#REF!</definedName>
    <definedName name="Table">#REF!</definedName>
    <definedName name="Table1" localSheetId="3">#REF!</definedName>
    <definedName name="Table1">#REF!</definedName>
    <definedName name="TAG" localSheetId="3">#REF!</definedName>
    <definedName name="TAG">#REF!</definedName>
    <definedName name="TEMP" localSheetId="3">#REF!</definedName>
    <definedName name="TEMP">#REF!</definedName>
    <definedName name="THRU" localSheetId="3">#REF!</definedName>
    <definedName name="THRU">#REF!</definedName>
    <definedName name="TIT" localSheetId="3">#REF!</definedName>
    <definedName name="TIT">#REF!</definedName>
    <definedName name="TITLE_PRINT" localSheetId="3">#REF!</definedName>
    <definedName name="TITLE_PRINT">#REF!</definedName>
    <definedName name="TITLES_PRINT" localSheetId="3">#REF!</definedName>
    <definedName name="TITLES_PRINT">#REF!</definedName>
    <definedName name="TNOR" localSheetId="3">#REF!</definedName>
    <definedName name="TNOR">#REF!</definedName>
    <definedName name="TO">#N/A</definedName>
    <definedName name="TOO">#N/A</definedName>
    <definedName name="TSI" localSheetId="0">#REF!</definedName>
    <definedName name="TSI" localSheetId="3">#REF!</definedName>
    <definedName name="TSI">#REF!</definedName>
    <definedName name="TSS" localSheetId="0">#REF!</definedName>
    <definedName name="TSS" localSheetId="3">#REF!</definedName>
    <definedName name="TSS">#REF!</definedName>
    <definedName name="TT" localSheetId="0">#REF!</definedName>
    <definedName name="TT" localSheetId="3">#REF!</definedName>
    <definedName name="TT">#REF!</definedName>
    <definedName name="TTT" localSheetId="3">#REF!</definedName>
    <definedName name="TTT">#REF!</definedName>
    <definedName name="Un" localSheetId="3">#REF!</definedName>
    <definedName name="Un">#REF!</definedName>
    <definedName name="Un_m" localSheetId="3">#REF!</definedName>
    <definedName name="Un_m">#REF!</definedName>
    <definedName name="UNI_ACCESSORY" localSheetId="3">#REF!</definedName>
    <definedName name="UNI_ACCESSORY">#REF!</definedName>
    <definedName name="UNI_CPU" localSheetId="3">#REF!</definedName>
    <definedName name="UNI_CPU">#REF!</definedName>
    <definedName name="UNI_NMU" localSheetId="3">#REF!</definedName>
    <definedName name="UNI_NMU">#REF!</definedName>
    <definedName name="UNI_OFAT" localSheetId="3">#REF!</definedName>
    <definedName name="UNI_OFAT">#REF!</definedName>
    <definedName name="UNI_PW_AC" localSheetId="3">#REF!</definedName>
    <definedName name="UNI_PW_AC">#REF!</definedName>
    <definedName name="UNI_PW_DC" localSheetId="3">#REF!</definedName>
    <definedName name="UNI_PW_DC">#REF!</definedName>
    <definedName name="UNI_RS232" localSheetId="3">#REF!</definedName>
    <definedName name="UNI_RS232">#REF!</definedName>
    <definedName name="UNI_V35" localSheetId="3">#REF!</definedName>
    <definedName name="UNI_V35">#REF!</definedName>
    <definedName name="UNIMUX" localSheetId="3">#REF!</definedName>
    <definedName name="UNIMUX">#REF!</definedName>
    <definedName name="V" localSheetId="3">#REF!</definedName>
    <definedName name="V">#REF!</definedName>
    <definedName name="V35_3240" localSheetId="3">#REF!</definedName>
    <definedName name="V35_3240">#REF!</definedName>
    <definedName name="Va" localSheetId="3">#REF!</definedName>
    <definedName name="Va">#REF!</definedName>
    <definedName name="VAFP" localSheetId="3">#REF!</definedName>
    <definedName name="VAFP">#REF!</definedName>
    <definedName name="VBV" localSheetId="3">#REF!</definedName>
    <definedName name="VBV">#REF!</definedName>
    <definedName name="VCR" localSheetId="3">#REF!</definedName>
    <definedName name="VCR">#REF!</definedName>
    <definedName name="VDSVP" localSheetId="3">#REF!</definedName>
    <definedName name="VDSVP">#REF!</definedName>
    <definedName name="VHAF" localSheetId="3">#REF!</definedName>
    <definedName name="VHAF">#REF!</definedName>
    <definedName name="VHMF" localSheetId="3">#REF!</definedName>
    <definedName name="VHMF">#REF!</definedName>
    <definedName name="VJFGH" localSheetId="3">#REF!</definedName>
    <definedName name="VJFGH">#REF!</definedName>
    <definedName name="VMF" localSheetId="3">#REF!</definedName>
    <definedName name="VMF">#REF!</definedName>
    <definedName name="VMOTOR" localSheetId="3">#REF!</definedName>
    <definedName name="VMOTOR">#REF!</definedName>
    <definedName name="VPUMP" localSheetId="3">#REF!</definedName>
    <definedName name="VPUMP">#REF!</definedName>
    <definedName name="VSS_SS" localSheetId="3">#REF!</definedName>
    <definedName name="VSS_SS">#REF!</definedName>
    <definedName name="VSV" localSheetId="3">#REF!</definedName>
    <definedName name="VSV">#REF!</definedName>
    <definedName name="VVAFP" localSheetId="3">#REF!</definedName>
    <definedName name="VVAFP">#REF!</definedName>
    <definedName name="VVMF" localSheetId="3">#REF!</definedName>
    <definedName name="VVMF">#REF!</definedName>
    <definedName name="VVV" localSheetId="3">#REF!</definedName>
    <definedName name="VVV">#REF!</definedName>
    <definedName name="VWEI" localSheetId="3">#REF!</definedName>
    <definedName name="VWEI">#REF!</definedName>
    <definedName name="WEI" localSheetId="3">#REF!</definedName>
    <definedName name="WEI">#REF!</definedName>
    <definedName name="WEQ" localSheetId="3">#REF!</definedName>
    <definedName name="WEQ">#REF!</definedName>
    <definedName name="WEW" localSheetId="3">#REF!</definedName>
    <definedName name="WEW">#REF!</definedName>
    <definedName name="wir__d_2" localSheetId="3">#REF!</definedName>
    <definedName name="wir__d_2">#REF!</definedName>
    <definedName name="wm.조골재1" localSheetId="0" hidden="1">{#N/A,#N/A,FALSE,"조골재"}</definedName>
    <definedName name="wm.조골재1" hidden="1">{#N/A,#N/A,FALSE,"조골재"}</definedName>
    <definedName name="WRITE" localSheetId="0" hidden="1">{#N/A,#N/A,FALSE,"CCTV"}</definedName>
    <definedName name="WRITE" hidden="1">{#N/A,#N/A,FALSE,"CCTV"}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localSheetId="0" hidden="1">{#N/A,#N/A,FALSE,"CAM-G7";#N/A,#N/A,FALSE,"SPL";#N/A,#N/A,FALSE,"butt-in G7";#N/A,#N/A,FALSE,"dia-in G7";#N/A,#N/A,FALSE,"추가-STA G7"}</definedName>
    <definedName name="wrn.AA." hidden="1">{#N/A,#N/A,FALSE,"CAM-G7";#N/A,#N/A,FALSE,"SPL";#N/A,#N/A,FALSE,"butt-in G7";#N/A,#N/A,FALSE,"dia-in G7";#N/A,#N/A,FALSE,"추가-STA G7"}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W" localSheetId="0">#REF!</definedName>
    <definedName name="WW" localSheetId="3">#REF!</definedName>
    <definedName name="WW">#REF!</definedName>
    <definedName name="W행" localSheetId="0">#REF!</definedName>
    <definedName name="W행" localSheetId="3">#REF!</definedName>
    <definedName name="W행">#REF!</definedName>
    <definedName name="X" localSheetId="0">#REF!</definedName>
    <definedName name="X" localSheetId="3">#REF!</definedName>
    <definedName name="X">#REF!</definedName>
    <definedName name="XL" localSheetId="3">#REF!</definedName>
    <definedName name="XL">#REF!</definedName>
    <definedName name="XOD" localSheetId="0">BlankMacro1</definedName>
    <definedName name="XOD" localSheetId="2">BlankMacro1</definedName>
    <definedName name="XOD" localSheetId="3">BlankMacro1</definedName>
    <definedName name="XOD">BlankMacro1</definedName>
    <definedName name="xxx" localSheetId="0">#REF!</definedName>
    <definedName name="xxx" localSheetId="3">#REF!</definedName>
    <definedName name="xxx">#REF!</definedName>
    <definedName name="Ya" localSheetId="0">#REF!</definedName>
    <definedName name="Ya" localSheetId="3">#REF!</definedName>
    <definedName name="Ya">#REF!</definedName>
    <definedName name="YE">#N/A</definedName>
    <definedName name="YEKA">#N/A</definedName>
    <definedName name="Yh" localSheetId="0">#REF!</definedName>
    <definedName name="Yh" localSheetId="3">#REF!</definedName>
    <definedName name="Yh">#REF!</definedName>
    <definedName name="Z" localSheetId="0">#REF!</definedName>
    <definedName name="Z" localSheetId="3">#REF!</definedName>
    <definedName name="Z">#REF!</definedName>
    <definedName name="Z_1F713D72_E6F4_11D3_8E1E_00A0244E179B_.wvu.Cols" localSheetId="0" hidden="1">#REF!</definedName>
    <definedName name="Z_1F713D72_E6F4_11D3_8E1E_00A0244E179B_.wvu.Cols" localSheetId="3" hidden="1">#REF!</definedName>
    <definedName name="Z_1F713D72_E6F4_11D3_8E1E_00A0244E179B_.wvu.Cols" hidden="1">#REF!</definedName>
    <definedName name="Z_1F713D72_E6F4_11D3_8E1E_00A0244E179B_.wvu.PrintArea" localSheetId="3" hidden="1">#REF!</definedName>
    <definedName name="Z_1F713D72_E6F4_11D3_8E1E_00A0244E179B_.wvu.PrintArea" hidden="1">#REF!</definedName>
    <definedName name="Z_BFEEB821_E6AD_11D3_88E4_00E09870C276_.wvu.PrintArea" localSheetId="3" hidden="1">#REF!</definedName>
    <definedName name="Z_BFEEB821_E6AD_11D3_88E4_00E09870C276_.wvu.PrintArea" hidden="1">#REF!</definedName>
    <definedName name="Z_F6AB6A24_E5D5_11D3_B573_00104BA1686B_.wvu.Cols" localSheetId="0" hidden="1">#REF!,#REF!,#REF!</definedName>
    <definedName name="Z_F6AB6A24_E5D5_11D3_B573_00104BA1686B_.wvu.Cols" localSheetId="3" hidden="1">#REF!,#REF!,#REF!</definedName>
    <definedName name="Z_F6AB6A24_E5D5_11D3_B573_00104BA1686B_.wvu.Cols" hidden="1">#REF!,#REF!,#REF!</definedName>
    <definedName name="μμ±Þ¾×" localSheetId="0">#REF!</definedName>
    <definedName name="μμ±Þ¾×" localSheetId="3">#REF!</definedName>
    <definedName name="μμ±Þ¾×">#REF!</definedName>
    <definedName name="ㄱ." localSheetId="0">#REF!</definedName>
    <definedName name="ㄱ." localSheetId="3">#REF!</definedName>
    <definedName name="ㄱ.">#REF!</definedName>
    <definedName name="ㄱㄱ" localSheetId="0" hidden="1">{#N/A,"수불부",FALSE,"사급자재수불서";#N/A,"수불부",FALSE,"사급자재수불서"}</definedName>
    <definedName name="ㄱㄱ" hidden="1">{#N/A,"수불부",FALSE,"사급자재수불서";#N/A,"수불부",FALSE,"사급자재수불서"}</definedName>
    <definedName name="ㄱㄱㄱ" localSheetId="0">BLCH</definedName>
    <definedName name="ㄱㄱㄱ" localSheetId="2">BLCH</definedName>
    <definedName name="ㄱㄱㄱ" localSheetId="3">BLCH</definedName>
    <definedName name="ㄱㄱㄱ">BLCH</definedName>
    <definedName name="ㄱㄱㄱㄱㄱ" localSheetId="0">#REF!</definedName>
    <definedName name="ㄱㄱㄱㄱㄱ" localSheetId="3">#REF!</definedName>
    <definedName name="ㄱㄱㄱㄱㄱ">#REF!</definedName>
    <definedName name="ㄱㅈㅎ" localSheetId="0" hidden="1">#REF!</definedName>
    <definedName name="ㄱㅈㅎ" localSheetId="3" hidden="1">#REF!</definedName>
    <definedName name="ㄱㅈㅎ" hidden="1">#REF!</definedName>
    <definedName name="가" localSheetId="0">#N/A</definedName>
    <definedName name="가" localSheetId="1">#REF!</definedName>
    <definedName name="가" localSheetId="2">#REF!</definedName>
    <definedName name="가" localSheetId="3">#REF!</definedName>
    <definedName name="가">내역!가</definedName>
    <definedName name="가공거리" localSheetId="0">#REF!</definedName>
    <definedName name="가공거리" localSheetId="3">#REF!</definedName>
    <definedName name="가공거리">#REF!</definedName>
    <definedName name="가공명찰취부" localSheetId="0">#REF!</definedName>
    <definedName name="가공명찰취부" localSheetId="3">#REF!</definedName>
    <definedName name="가공명찰취부">#REF!</definedName>
    <definedName name="가공철거" localSheetId="0">#REF!</definedName>
    <definedName name="가공철거" localSheetId="3">#REF!</definedName>
    <definedName name="가공철거">#REF!</definedName>
    <definedName name="가공포설" localSheetId="3">#REF!</definedName>
    <definedName name="가공포설">#REF!</definedName>
    <definedName name="가나" localSheetId="3">#REF!</definedName>
    <definedName name="가나">#REF!</definedName>
    <definedName name="가니ㅏㄻ" localSheetId="3">#REF!</definedName>
    <definedName name="가니ㅏㄻ">#REF!</definedName>
    <definedName name="가라" localSheetId="0" hidden="1">{#N/A,#N/A,FALSE,"CAM-G7";#N/A,#N/A,FALSE,"SPL";#N/A,#N/A,FALSE,"butt-in G7";#N/A,#N/A,FALSE,"dia-in G7";#N/A,#N/A,FALSE,"추가-STA G7"}</definedName>
    <definedName name="가라" hidden="1">{#N/A,#N/A,FALSE,"CAM-G7";#N/A,#N/A,FALSE,"SPL";#N/A,#N/A,FALSE,"butt-in G7";#N/A,#N/A,FALSE,"dia-in G7";#N/A,#N/A,FALSE,"추가-STA G7"}</definedName>
    <definedName name="가맹" localSheetId="0">#REF!</definedName>
    <definedName name="가맹" localSheetId="3">#REF!</definedName>
    <definedName name="가맹">#REF!</definedName>
    <definedName name="가설비" localSheetId="0">#REF!</definedName>
    <definedName name="가설비" localSheetId="3">#REF!</definedName>
    <definedName name="가설비">#REF!</definedName>
    <definedName name="각암타이" localSheetId="0">#REF!</definedName>
    <definedName name="각암타이" localSheetId="3">#REF!</definedName>
    <definedName name="각암타이">#REF!</definedName>
    <definedName name="간노" localSheetId="3">#REF!</definedName>
    <definedName name="간노">#REF!</definedName>
    <definedName name="간접노무" localSheetId="3">#REF!</definedName>
    <definedName name="간접노무">#REF!</definedName>
    <definedName name="간접노무1" localSheetId="3">#REF!</definedName>
    <definedName name="간접노무1">#REF!</definedName>
    <definedName name="간접노무비" localSheetId="1">#REF!</definedName>
    <definedName name="간접노무비" localSheetId="2">#REF!</definedName>
    <definedName name="간접노무비" localSheetId="3">#REF!</definedName>
    <definedName name="간접노무비">#REF!</definedName>
    <definedName name="간접노무비요율" localSheetId="3">#REF!</definedName>
    <definedName name="간접노무비요율">#REF!</definedName>
    <definedName name="간접노무비표" localSheetId="3">#REF!</definedName>
    <definedName name="간접노무비표">#REF!</definedName>
    <definedName name="갈빌1호" localSheetId="3">#REF!</definedName>
    <definedName name="갈빌1호">#REF!</definedName>
    <definedName name="갈빌2호" localSheetId="3">#REF!</definedName>
    <definedName name="갈빌2호">#REF!</definedName>
    <definedName name="갈빌3호" localSheetId="3">#REF!</definedName>
    <definedName name="갈빌3호">#REF!</definedName>
    <definedName name="감나무" localSheetId="3">#REF!</definedName>
    <definedName name="감나무">#REF!</definedName>
    <definedName name="감상우넌" localSheetId="3">#REF!</definedName>
    <definedName name="감상우넌">#REF!</definedName>
    <definedName name="감액" localSheetId="0">BlankMacro1</definedName>
    <definedName name="감액" localSheetId="2">BlankMacro1</definedName>
    <definedName name="감액" localSheetId="3">BlankMacro1</definedName>
    <definedName name="감액">BlankMacro1</definedName>
    <definedName name="갑" localSheetId="0">#REF!</definedName>
    <definedName name="갑" localSheetId="3">#REF!</definedName>
    <definedName name="갑">#REF!</definedName>
    <definedName name="갑03" localSheetId="0">#REF!</definedName>
    <definedName name="갑03" localSheetId="3">#REF!</definedName>
    <definedName name="갑03">#REF!</definedName>
    <definedName name="갑지" localSheetId="0" hidden="1">{#N/A,#N/A,FALSE,"현장 NCR 분석";#N/A,#N/A,FALSE,"현장품질감사";#N/A,#N/A,FALSE,"현장품질감사"}</definedName>
    <definedName name="갑지" localSheetId="1">#REF!</definedName>
    <definedName name="갑지" localSheetId="2">#REF!</definedName>
    <definedName name="갑지" localSheetId="3">#REF!</definedName>
    <definedName name="갑지" hidden="1">{#N/A,#N/A,FALSE,"현장 NCR 분석";#N/A,#N/A,FALSE,"현장품질감사";#N/A,#N/A,FALSE,"현장품질감사"}</definedName>
    <definedName name="갑지1" localSheetId="0" hidden="1">{#N/A,#N/A,FALSE,"도급대비시행율";#N/A,#N/A,FALSE,"결의서";#N/A,#N/A,FALSE,"내역서";#N/A,#N/A,FALSE,"도급예상"}</definedName>
    <definedName name="갑지1" hidden="1">{#N/A,#N/A,FALSE,"도급대비시행율";#N/A,#N/A,FALSE,"결의서";#N/A,#N/A,FALSE,"내역서";#N/A,#N/A,FALSE,"도급예상"}</definedName>
    <definedName name="강관건주" localSheetId="0">#REF!</definedName>
    <definedName name="강관건주" localSheetId="3">#REF!</definedName>
    <definedName name="강관건주">#REF!</definedName>
    <definedName name="강관주" localSheetId="0">#REF!</definedName>
    <definedName name="강관주" localSheetId="3">#REF!</definedName>
    <definedName name="강관주">#REF!</definedName>
    <definedName name="강관주건주" localSheetId="0">#REF!</definedName>
    <definedName name="강관주건주" localSheetId="3">#REF!</definedName>
    <definedName name="강관주건주">#REF!</definedName>
    <definedName name="강재" localSheetId="3">#REF!</definedName>
    <definedName name="강재">#REF!</definedName>
    <definedName name="강재시설" localSheetId="3">#REF!</definedName>
    <definedName name="강재시설">#REF!</definedName>
    <definedName name="강제간선" localSheetId="3">#REF!</definedName>
    <definedName name="강제간선">#REF!</definedName>
    <definedName name="개나리" localSheetId="3">#REF!</definedName>
    <definedName name="개나리">#REF!</definedName>
    <definedName name="개산분" localSheetId="3">#REF!</definedName>
    <definedName name="개산분">#REF!</definedName>
    <definedName name="개요부분" localSheetId="3">#REF!</definedName>
    <definedName name="개요부분">#REF!</definedName>
    <definedName name="개통" localSheetId="3">#REF!</definedName>
    <definedName name="개통">#REF!</definedName>
    <definedName name="개통시험1" localSheetId="3">#REF!</definedName>
    <definedName name="개통시험1">#REF!</definedName>
    <definedName name="개통시험2" localSheetId="3">#REF!</definedName>
    <definedName name="개통시험2">#REF!</definedName>
    <definedName name="개통시험3" localSheetId="3">#REF!</definedName>
    <definedName name="개통시험3">#REF!</definedName>
    <definedName name="개통시험비" localSheetId="3">#REF!</definedName>
    <definedName name="개통시험비">#REF!</definedName>
    <definedName name="갱부" localSheetId="3">#REF!</definedName>
    <definedName name="갱부">#REF!</definedName>
    <definedName name="건설기계운전기사" localSheetId="3">#REF!</definedName>
    <definedName name="건설기계운전기사">#REF!</definedName>
    <definedName name="건설기계운전조수" localSheetId="3">#REF!</definedName>
    <definedName name="건설기계운전조수">#REF!</definedName>
    <definedName name="건설기계조장" localSheetId="3">#REF!</definedName>
    <definedName name="건설기계조장">#REF!</definedName>
    <definedName name="건축" localSheetId="3">#REF!</definedName>
    <definedName name="건축">#REF!</definedName>
    <definedName name="건축001" localSheetId="3">#REF!</definedName>
    <definedName name="건축001">#REF!</definedName>
    <definedName name="건축공사집계표" localSheetId="3">#REF!</definedName>
    <definedName name="건축공사집계표">#REF!</definedName>
    <definedName name="건축목공" localSheetId="1">#REF!</definedName>
    <definedName name="건축목공" localSheetId="2">#REF!</definedName>
    <definedName name="건축목공" localSheetId="3">#REF!</definedName>
    <definedName name="건축목공">#REF!</definedName>
    <definedName name="검" localSheetId="3">#REF!</definedName>
    <definedName name="검">#REF!</definedName>
    <definedName name="견" localSheetId="0">#REF!,#REF!</definedName>
    <definedName name="견" localSheetId="3">#REF!,#REF!</definedName>
    <definedName name="견">#REF!,#REF!</definedName>
    <definedName name="견인선" localSheetId="0">#REF!</definedName>
    <definedName name="견인선" localSheetId="3">#REF!</definedName>
    <definedName name="견인선">#REF!</definedName>
    <definedName name="견인선1" localSheetId="0">#REF!</definedName>
    <definedName name="견인선1" localSheetId="3">#REF!</definedName>
    <definedName name="견인선1">#REF!</definedName>
    <definedName name="견적" localSheetId="0">Dlog_Show</definedName>
    <definedName name="견적" localSheetId="2">Dlog_Show</definedName>
    <definedName name="견적" localSheetId="3">Dlog_Show</definedName>
    <definedName name="견적">Dlog_Show</definedName>
    <definedName name="견적1" localSheetId="0">Dlog_Show</definedName>
    <definedName name="견적1" localSheetId="2">Dlog_Show</definedName>
    <definedName name="견적1" localSheetId="3">Dlog_Show</definedName>
    <definedName name="견적1">Dlog_Show</definedName>
    <definedName name="견적대비">#N/A</definedName>
    <definedName name="견적대실행" localSheetId="0" hidden="1">{#N/A,#N/A,FALSE,"CAM-G7";#N/A,#N/A,FALSE,"SPL";#N/A,#N/A,FALSE,"butt-in G7";#N/A,#N/A,FALSE,"dia-in G7";#N/A,#N/A,FALSE,"추가-STA G7"}</definedName>
    <definedName name="견적대실행" hidden="1">{#N/A,#N/A,FALSE,"CAM-G7";#N/A,#N/A,FALSE,"SPL";#N/A,#N/A,FALSE,"butt-in G7";#N/A,#N/A,FALSE,"dia-in G7";#N/A,#N/A,FALSE,"추가-STA G7"}</definedName>
    <definedName name="견적서" localSheetId="0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0">#REF!</definedName>
    <definedName name="견적의뢰" localSheetId="3">#REF!</definedName>
    <definedName name="견적의뢰">#REF!</definedName>
    <definedName name="견적탱크" localSheetId="0">#REF!</definedName>
    <definedName name="견적탱크" localSheetId="3">#REF!</definedName>
    <definedName name="견적탱크">#REF!</definedName>
    <definedName name="견출공" localSheetId="0">#REF!</definedName>
    <definedName name="견출공" localSheetId="3">#REF!</definedName>
    <definedName name="견출공">#REF!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" hidden="1">#REF!</definedName>
    <definedName name="경" localSheetId="2" hidden="1">#REF!</definedName>
    <definedName name="경" localSheetId="3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0">#REF!</definedName>
    <definedName name="경비" localSheetId="3">#REF!</definedName>
    <definedName name="경비">#REF!</definedName>
    <definedName name="경비1" localSheetId="0" hidden="1">#REF!</definedName>
    <definedName name="경비1" localSheetId="3" hidden="1">#REF!</definedName>
    <definedName name="경비1" hidden="1">#REF!</definedName>
    <definedName name="경비율" localSheetId="0">#REF!</definedName>
    <definedName name="경비율" localSheetId="3">#REF!</definedName>
    <definedName name="경비율">#REF!</definedName>
    <definedName name="경비정산" localSheetId="0">BlankMacro1</definedName>
    <definedName name="경비정산" localSheetId="2">BlankMacro1</definedName>
    <definedName name="경비정산" localSheetId="3">BlankMacro1</definedName>
    <definedName name="경비정산">BlankMacro1</definedName>
    <definedName name="경비정산서" localSheetId="0">BlankMacro1</definedName>
    <definedName name="경비정산서" localSheetId="2">BlankMacro1</definedName>
    <definedName name="경비정산서" localSheetId="3">BlankMacro1</definedName>
    <definedName name="경비정산서">BlankMacro1</definedName>
    <definedName name="경비합" localSheetId="0">#REF!</definedName>
    <definedName name="경비합" localSheetId="3">#REF!</definedName>
    <definedName name="경비합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" localSheetId="0">#REF!,#REF!,#REF!,#REF!</definedName>
    <definedName name="경수을" localSheetId="3">#REF!,#REF!,#REF!,#REF!</definedName>
    <definedName name="경수을">#REF!,#REF!,#REF!,#REF!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0">#REF!</definedName>
    <definedName name="경영2000" localSheetId="3">#REF!</definedName>
    <definedName name="경영2000">#REF!</definedName>
    <definedName name="경영99" localSheetId="0">#REF!</definedName>
    <definedName name="경영99" localSheetId="3">#REF!</definedName>
    <definedName name="경영99">#REF!</definedName>
    <definedName name="경완금" localSheetId="0">#REF!</definedName>
    <definedName name="경완금" localSheetId="3">#REF!</definedName>
    <definedName name="경완금">#REF!</definedName>
    <definedName name="경완금1" localSheetId="3">#REF!</definedName>
    <definedName name="경완금1">#REF!</definedName>
    <definedName name="계" localSheetId="3">#REF!</definedName>
    <definedName name="계">#REF!</definedName>
    <definedName name="계보율" localSheetId="3">#REF!</definedName>
    <definedName name="계보율">#REF!</definedName>
    <definedName name="계수" localSheetId="0">#REF!,#REF!,#REF!,#REF!,#REF!</definedName>
    <definedName name="계수" localSheetId="3">#REF!,#REF!,#REF!,#REF!,#REF!</definedName>
    <definedName name="계수">#REF!,#REF!,#REF!,#REF!,#REF!</definedName>
    <definedName name="계약공기" localSheetId="0">#REF!</definedName>
    <definedName name="계약공기" localSheetId="3">#REF!</definedName>
    <definedName name="계약공기">#REF!</definedName>
    <definedName name="계약날짜" localSheetId="0">#REF!</definedName>
    <definedName name="계약날짜" localSheetId="3">#REF!</definedName>
    <definedName name="계약날짜">#REF!</definedName>
    <definedName name="계약일" localSheetId="0">#REF!</definedName>
    <definedName name="계약일" localSheetId="3">#REF!</definedName>
    <definedName name="계약일">#REF!</definedName>
    <definedName name="계장공" localSheetId="1">#REF!</definedName>
    <definedName name="계장공" localSheetId="2">#REF!</definedName>
    <definedName name="계장공" localSheetId="3">#REF!</definedName>
    <definedName name="계장공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0">#REF!</definedName>
    <definedName name="고급선원" localSheetId="3">#REF!</definedName>
    <definedName name="고급선원">#REF!</definedName>
    <definedName name="고급원자력비파괴시험공" localSheetId="0">#REF!</definedName>
    <definedName name="고급원자력비파괴시험공" localSheetId="3">#REF!</definedName>
    <definedName name="고급원자력비파괴시험공">#REF!</definedName>
    <definedName name="고아" localSheetId="0">#REF!</definedName>
    <definedName name="고아" localSheetId="3">#REF!</definedName>
    <definedName name="고아">#REF!</definedName>
    <definedName name="고압" localSheetId="3">#REF!</definedName>
    <definedName name="고압">#REF!</definedName>
    <definedName name="고압케이블공" localSheetId="3">#REF!</definedName>
    <definedName name="고압케이블공">#REF!</definedName>
    <definedName name="고압케이블전공" localSheetId="3">#REF!</definedName>
    <definedName name="고압케이블전공">#REF!</definedName>
    <definedName name="고용보험료" localSheetId="3">#REF!</definedName>
    <definedName name="고용보험료">#REF!</definedName>
    <definedName name="고케" localSheetId="3">#REF!</definedName>
    <definedName name="고케">#REF!</definedName>
    <definedName name="골조" localSheetId="3">#REF!</definedName>
    <definedName name="골조">#REF!</definedName>
    <definedName name="공" localSheetId="3">#REF!</definedName>
    <definedName name="공">#REF!</definedName>
    <definedName name="공______사______명" localSheetId="3">#REF!</definedName>
    <definedName name="공______사______명">#REF!</definedName>
    <definedName name="공___사____원____가" localSheetId="3">#REF!</definedName>
    <definedName name="공___사____원____가">#REF!</definedName>
    <definedName name="공_사_개_요" localSheetId="3">#REF!</definedName>
    <definedName name="공_사_개_요">#REF!</definedName>
    <definedName name="工_事_槪_要" localSheetId="3">#REF!</definedName>
    <definedName name="工_事_槪_要">#REF!</definedName>
    <definedName name="공9501" localSheetId="3">#REF!</definedName>
    <definedName name="공9501">#REF!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0">#REF!</definedName>
    <definedName name="공구" localSheetId="3">#REF!</definedName>
    <definedName name="공구">#REF!</definedName>
    <definedName name="공구1" localSheetId="0">#REF!</definedName>
    <definedName name="공구1" localSheetId="3">#REF!</definedName>
    <definedName name="공구1">#REF!</definedName>
    <definedName name="공구손료" localSheetId="0">#REF!</definedName>
    <definedName name="공구손료" localSheetId="3">#REF!</definedName>
    <definedName name="공구손료">#REF!</definedName>
    <definedName name="공급가액" localSheetId="3">#REF!</definedName>
    <definedName name="공급가액">#REF!</definedName>
    <definedName name="공급가액1" localSheetId="3">#REF!</definedName>
    <definedName name="공급가액1">#REF!</definedName>
    <definedName name="공급가액10" localSheetId="3">#REF!</definedName>
    <definedName name="공급가액10">#REF!</definedName>
    <definedName name="공급가액11" localSheetId="3">#REF!</definedName>
    <definedName name="공급가액11">#REF!</definedName>
    <definedName name="공급가액12" localSheetId="3">#REF!</definedName>
    <definedName name="공급가액12">#REF!</definedName>
    <definedName name="공급가액13" localSheetId="3">#REF!</definedName>
    <definedName name="공급가액13">#REF!</definedName>
    <definedName name="공급가액2" localSheetId="3">#REF!</definedName>
    <definedName name="공급가액2">#REF!</definedName>
    <definedName name="공급가액3" localSheetId="3">#REF!</definedName>
    <definedName name="공급가액3">#REF!</definedName>
    <definedName name="공급가액4" localSheetId="3">#REF!</definedName>
    <definedName name="공급가액4">#REF!</definedName>
    <definedName name="공급가액5" localSheetId="3">#REF!</definedName>
    <definedName name="공급가액5">#REF!</definedName>
    <definedName name="공급가액6" localSheetId="3">#REF!</definedName>
    <definedName name="공급가액6">#REF!</definedName>
    <definedName name="공급가액7" localSheetId="3">#REF!</definedName>
    <definedName name="공급가액7">#REF!</definedName>
    <definedName name="공급가액8" localSheetId="3">#REF!</definedName>
    <definedName name="공급가액8">#REF!</definedName>
    <definedName name="공급가액9" localSheetId="3">#REF!</definedName>
    <definedName name="공급가액9">#REF!</definedName>
    <definedName name="공기" localSheetId="3">#REF!</definedName>
    <definedName name="공기">#REF!</definedName>
    <definedName name="공기입력" localSheetId="3">#REF!</definedName>
    <definedName name="공기입력">#REF!</definedName>
    <definedName name="공무" localSheetId="3">#REF!</definedName>
    <definedName name="공무">#REF!</definedName>
    <definedName name="공문" localSheetId="3">#REF!</definedName>
    <definedName name="공문">#REF!</definedName>
    <definedName name="공문1" localSheetId="3">#REF!</definedName>
    <definedName name="공문1">#REF!</definedName>
    <definedName name="공문서" localSheetId="3">#REF!</definedName>
    <definedName name="공문서">#REF!</definedName>
    <definedName name="공사" localSheetId="3">#REF!</definedName>
    <definedName name="공사">#REF!</definedName>
    <definedName name="공사개요" localSheetId="3">#REF!</definedName>
    <definedName name="공사개요">#REF!</definedName>
    <definedName name="공사기간" localSheetId="1">#REF!</definedName>
    <definedName name="공사기간" localSheetId="2">#REF!</definedName>
    <definedName name="공사기간" localSheetId="3">#REF!</definedName>
    <definedName name="공사기간">#REF!</definedName>
    <definedName name="공사내용1" localSheetId="3">#REF!</definedName>
    <definedName name="공사내용1">#REF!</definedName>
    <definedName name="공사내용10" localSheetId="3">#REF!</definedName>
    <definedName name="공사내용10">#REF!</definedName>
    <definedName name="공사내용11" localSheetId="3">#REF!</definedName>
    <definedName name="공사내용11">#REF!</definedName>
    <definedName name="공사내용12" localSheetId="3">#REF!</definedName>
    <definedName name="공사내용12">#REF!</definedName>
    <definedName name="공사내용13" localSheetId="3">#REF!</definedName>
    <definedName name="공사내용13">#REF!</definedName>
    <definedName name="공사내용2" localSheetId="3">#REF!</definedName>
    <definedName name="공사내용2">#REF!</definedName>
    <definedName name="공사내용3" localSheetId="3">#REF!</definedName>
    <definedName name="공사내용3">#REF!</definedName>
    <definedName name="공사내용4" localSheetId="3">#REF!</definedName>
    <definedName name="공사내용4">#REF!</definedName>
    <definedName name="공사내용5" localSheetId="3">#REF!</definedName>
    <definedName name="공사내용5">#REF!</definedName>
    <definedName name="공사내용6" localSheetId="3">#REF!</definedName>
    <definedName name="공사내용6">#REF!</definedName>
    <definedName name="공사내용7" localSheetId="3">#REF!</definedName>
    <definedName name="공사내용7">#REF!</definedName>
    <definedName name="공사내용8" localSheetId="3">#REF!</definedName>
    <definedName name="공사내용8">#REF!</definedName>
    <definedName name="공사내용9" localSheetId="3">#REF!</definedName>
    <definedName name="공사내용9">#REF!</definedName>
    <definedName name="공사명" localSheetId="1">#REF!</definedName>
    <definedName name="공사명" localSheetId="2">#REF!</definedName>
    <definedName name="공사명" localSheetId="3">#REF!</definedName>
    <definedName name="공사명">#REF!</definedName>
    <definedName name="공사비산출" localSheetId="3">#REF!</definedName>
    <definedName name="공사비산출">#REF!</definedName>
    <definedName name="공사비제시조건" localSheetId="3">#REF!</definedName>
    <definedName name="공사비제시조건">#REF!</definedName>
    <definedName name="공사원가" localSheetId="3">#REF!</definedName>
    <definedName name="공사원가">#REF!</definedName>
    <definedName name="공사위치" localSheetId="3">#REF!</definedName>
    <definedName name="공사위치">#REF!</definedName>
    <definedName name="공수1" localSheetId="0">BLCH</definedName>
    <definedName name="공수1" localSheetId="2">BLCH</definedName>
    <definedName name="공수1" localSheetId="3">BLCH</definedName>
    <definedName name="공수1">BLCH</definedName>
    <definedName name="공일" localSheetId="0">#REF!</definedName>
    <definedName name="공일" localSheetId="3">#REF!</definedName>
    <definedName name="공일">#REF!</definedName>
    <definedName name="공작실" localSheetId="0">#REF!</definedName>
    <definedName name="공작실" localSheetId="3">#REF!</definedName>
    <definedName name="공작실">#REF!</definedName>
    <definedName name="공정수량" localSheetId="0">#REF!</definedName>
    <definedName name="공정수량" localSheetId="3">#REF!</definedName>
    <definedName name="공정수량">#REF!</definedName>
    <definedName name="공정코드" localSheetId="3">#REF!</definedName>
    <definedName name="공정코드">#REF!</definedName>
    <definedName name="공종" localSheetId="3">#REF!</definedName>
    <definedName name="공종">#REF!</definedName>
    <definedName name="공종갯수" localSheetId="3">#REF!</definedName>
    <definedName name="공종갯수">#REF!</definedName>
    <definedName name="공종별견적서" localSheetId="0">BlankMacro1</definedName>
    <definedName name="공종별견적서" localSheetId="2">BlankMacro1</definedName>
    <definedName name="공종별견적서" localSheetId="3">BlankMacro1</definedName>
    <definedName name="공종별견적서">BlankMacro1</definedName>
    <definedName name="공종별내역서" localSheetId="0">BlankMacro1</definedName>
    <definedName name="공종별내역서" localSheetId="2">BlankMacro1</definedName>
    <definedName name="공종별내역서" localSheetId="3">BlankMacro1</definedName>
    <definedName name="공종별내역서">BlankMacro1</definedName>
    <definedName name="공토공단위당" localSheetId="0">#REF!</definedName>
    <definedName name="공토공단위당" localSheetId="3">#REF!</definedName>
    <definedName name="공토공단위당">#REF!</definedName>
    <definedName name="공통" localSheetId="0">#REF!</definedName>
    <definedName name="공통" localSheetId="3">#REF!</definedName>
    <definedName name="공통">#REF!</definedName>
    <definedName name="공통일위" localSheetId="0">#REF!</definedName>
    <definedName name="공통일위" localSheetId="3">#REF!</definedName>
    <definedName name="공통일위">#REF!</definedName>
    <definedName name="관급" localSheetId="0">#REF!,#REF!,#REF!</definedName>
    <definedName name="관급" localSheetId="1">#REF!,#REF!,#REF!</definedName>
    <definedName name="관급" localSheetId="2">#REF!,#REF!,#REF!</definedName>
    <definedName name="관급" localSheetId="3">#REF!,#REF!,#REF!</definedName>
    <definedName name="관급">#REF!,#REF!,#REF!</definedName>
    <definedName name="관급액" localSheetId="0">#REF!</definedName>
    <definedName name="관급액" localSheetId="3">#REF!</definedName>
    <definedName name="관급액">#REF!</definedName>
    <definedName name="관급자재대" localSheetId="0">#REF!</definedName>
    <definedName name="관급자재대" localSheetId="3">#REF!</definedName>
    <definedName name="관급자재대">#REF!</definedName>
    <definedName name="관로공사1" localSheetId="0">#REF!</definedName>
    <definedName name="관로공사1" localSheetId="3">#REF!</definedName>
    <definedName name="관로공사1">#REF!</definedName>
    <definedName name="관로공사2" localSheetId="3">#REF!</definedName>
    <definedName name="관로공사2">#REF!</definedName>
    <definedName name="관로공사3" localSheetId="3">#REF!</definedName>
    <definedName name="관로공사3">#REF!</definedName>
    <definedName name="관로공사4" localSheetId="3">#REF!</definedName>
    <definedName name="관로공사4">#REF!</definedName>
    <definedName name="관로구삽입형방수" localSheetId="3">#REF!</definedName>
    <definedName name="관로구삽입형방수">#REF!</definedName>
    <definedName name="관로선통" localSheetId="3">#REF!</definedName>
    <definedName name="관로선통">#REF!</definedName>
    <definedName name="관로연장거리" localSheetId="3">#REF!</definedName>
    <definedName name="관로연장거리">#REF!</definedName>
    <definedName name="관로청소" localSheetId="3">#REF!</definedName>
    <definedName name="관로청소">#REF!</definedName>
    <definedName name="관리" localSheetId="3">#REF!</definedName>
    <definedName name="관리">#REF!</definedName>
    <definedName name="관리비산정기준" localSheetId="3">#REF!</definedName>
    <definedName name="관리비산정기준">#REF!</definedName>
    <definedName name="관리비지침2000년" localSheetId="3">#REF!</definedName>
    <definedName name="관리비지침2000년">#REF!</definedName>
    <definedName name="관목계" localSheetId="3">#REF!</definedName>
    <definedName name="관목계">#REF!</definedName>
    <definedName name="관정지반고" localSheetId="3">#REF!</definedName>
    <definedName name="관정지반고">#REF!</definedName>
    <definedName name="광1" localSheetId="3">#REF!</definedName>
    <definedName name="광1">#REF!</definedName>
    <definedName name="광10" localSheetId="3">#REF!</definedName>
    <definedName name="광10">#REF!</definedName>
    <definedName name="광11" localSheetId="3">#REF!</definedName>
    <definedName name="광11">#REF!</definedName>
    <definedName name="광12" localSheetId="3">#REF!</definedName>
    <definedName name="광12">#REF!</definedName>
    <definedName name="광2" localSheetId="3">#REF!</definedName>
    <definedName name="광2">#REF!</definedName>
    <definedName name="광3" localSheetId="3">#REF!</definedName>
    <definedName name="광3">#REF!</definedName>
    <definedName name="광4" localSheetId="3">#REF!</definedName>
    <definedName name="광4">#REF!</definedName>
    <definedName name="광5" localSheetId="3">#REF!</definedName>
    <definedName name="광5">#REF!</definedName>
    <definedName name="광6" localSheetId="3">#REF!</definedName>
    <definedName name="광6">#REF!</definedName>
    <definedName name="광7" localSheetId="3">#REF!</definedName>
    <definedName name="광7">#REF!</definedName>
    <definedName name="광8" localSheetId="3">#REF!</definedName>
    <definedName name="광8">#REF!</definedName>
    <definedName name="광9" localSheetId="3">#REF!</definedName>
    <definedName name="광9">#REF!</definedName>
    <definedName name="광명" localSheetId="3">#REF!</definedName>
    <definedName name="광명">#REF!</definedName>
    <definedName name="광분배함1" localSheetId="3">#REF!</definedName>
    <definedName name="광분배함1">#REF!</definedName>
    <definedName name="광분배함2" localSheetId="3">#REF!</definedName>
    <definedName name="광분배함2">#REF!</definedName>
    <definedName name="광분배함24" localSheetId="3">#REF!</definedName>
    <definedName name="광분배함24">#REF!</definedName>
    <definedName name="광분배함3" localSheetId="3">#REF!</definedName>
    <definedName name="광분배함3">#REF!</definedName>
    <definedName name="광분배함4" localSheetId="3">#REF!</definedName>
    <definedName name="광분배함4">#REF!</definedName>
    <definedName name="광분배함48" localSheetId="3">#REF!</definedName>
    <definedName name="광분배함48">#REF!</definedName>
    <definedName name="광분배함5" localSheetId="3">#REF!</definedName>
    <definedName name="광분배함5">#REF!</definedName>
    <definedName name="광분배함6" localSheetId="3">#REF!</definedName>
    <definedName name="광분배함6">#REF!</definedName>
    <definedName name="광분배함7" localSheetId="3">#REF!</definedName>
    <definedName name="광분배함7">#REF!</definedName>
    <definedName name="광분배함8" localSheetId="3">#REF!</definedName>
    <definedName name="광분배함8">#REF!</definedName>
    <definedName name="광분배함96" localSheetId="3">#REF!</definedName>
    <definedName name="광분배함96">#REF!</definedName>
    <definedName name="광분배함XX" localSheetId="3">#REF!</definedName>
    <definedName name="광분배함XX">#REF!</definedName>
    <definedName name="광분배함취부" localSheetId="3">#REF!</definedName>
    <definedName name="광분배함취부">#REF!</definedName>
    <definedName name="광수신감도" localSheetId="3">#REF!</definedName>
    <definedName name="광수신감도">#REF!</definedName>
    <definedName name="광수신감도축정" localSheetId="3">#REF!</definedName>
    <definedName name="광수신감도축정">#REF!</definedName>
    <definedName name="광수신감도측정" localSheetId="3">#REF!</definedName>
    <definedName name="광수신감도측정">#REF!</definedName>
    <definedName name="광아답터" localSheetId="3">#REF!</definedName>
    <definedName name="광아답터">#REF!</definedName>
    <definedName name="광원파장작성" localSheetId="3">#REF!</definedName>
    <definedName name="광원파장작성">#REF!</definedName>
    <definedName name="광원파장측정" localSheetId="3">#REF!</definedName>
    <definedName name="광원파장측정">#REF!</definedName>
    <definedName name="광접속함체24" localSheetId="3">#REF!</definedName>
    <definedName name="광접속함체24">#REF!</definedName>
    <definedName name="광접속함체48" localSheetId="3">#REF!</definedName>
    <definedName name="광접속함체48">#REF!</definedName>
    <definedName name="광접속함체96" localSheetId="3">#REF!</definedName>
    <definedName name="광접속함체96">#REF!</definedName>
    <definedName name="광접속함체XXC" localSheetId="3">#REF!</definedName>
    <definedName name="광접속함체XXC">#REF!</definedName>
    <definedName name="광접속함체설치" localSheetId="3">#REF!</definedName>
    <definedName name="광접속함체설치">#REF!</definedName>
    <definedName name="광케" localSheetId="3">#REF!</definedName>
    <definedName name="광케">#REF!</definedName>
    <definedName name="광케이블" localSheetId="3">#REF!</definedName>
    <definedName name="광케이블">#REF!</definedName>
    <definedName name="광케이블가공12" localSheetId="3">#REF!</definedName>
    <definedName name="광케이블가공12">#REF!</definedName>
    <definedName name="광케이블가공24" localSheetId="3">#REF!</definedName>
    <definedName name="광케이블가공24">#REF!</definedName>
    <definedName name="광케이블가공48" localSheetId="3">#REF!</definedName>
    <definedName name="광케이블가공48">#REF!</definedName>
    <definedName name="광케이블가공6" localSheetId="3">#REF!</definedName>
    <definedName name="광케이블가공6">#REF!</definedName>
    <definedName name="광케이블가공96" localSheetId="3">#REF!</definedName>
    <definedName name="광케이블가공96">#REF!</definedName>
    <definedName name="광케이블설치사" localSheetId="3">#REF!</definedName>
    <definedName name="광케이블설치사">#REF!</definedName>
    <definedName name="광케이블지중12" localSheetId="3">#REF!</definedName>
    <definedName name="광케이블지중12">#REF!</definedName>
    <definedName name="광케이블지중24" localSheetId="3">#REF!</definedName>
    <definedName name="광케이블지중24">#REF!</definedName>
    <definedName name="광케이블지중48" localSheetId="3">#REF!</definedName>
    <definedName name="광케이블지중48">#REF!</definedName>
    <definedName name="광케이블지중6" localSheetId="3">#REF!</definedName>
    <definedName name="광케이블지중6">#REF!</definedName>
    <definedName name="광케이블지중96" localSheetId="3">#REF!</definedName>
    <definedName name="광케이블지중96">#REF!</definedName>
    <definedName name="광케이블철거1" localSheetId="3">#REF!</definedName>
    <definedName name="광케이블철거1">#REF!</definedName>
    <definedName name="광케이블철거2" localSheetId="3">#REF!</definedName>
    <definedName name="광케이블철거2">#REF!</definedName>
    <definedName name="광케이블포설1" localSheetId="3">#REF!</definedName>
    <definedName name="광케이블포설1">#REF!</definedName>
    <definedName name="광케이블포설2" localSheetId="3">#REF!</definedName>
    <definedName name="광케이블포설2">#REF!</definedName>
    <definedName name="광코드01" localSheetId="3">#REF!</definedName>
    <definedName name="광코드01">#REF!</definedName>
    <definedName name="광코드02" localSheetId="3">#REF!</definedName>
    <definedName name="광코드02">#REF!</definedName>
    <definedName name="광코드03" localSheetId="3">#REF!</definedName>
    <definedName name="광코드03">#REF!</definedName>
    <definedName name="광코드04" localSheetId="3">#REF!</definedName>
    <definedName name="광코드04">#REF!</definedName>
    <definedName name="광코드10" localSheetId="3">#REF!</definedName>
    <definedName name="광코드10">#REF!</definedName>
    <definedName name="광코드11" localSheetId="3">#REF!</definedName>
    <definedName name="광코드11">#REF!</definedName>
    <definedName name="광코드12" localSheetId="3">#REF!</definedName>
    <definedName name="광코드12">#REF!</definedName>
    <definedName name="광코드13" localSheetId="3">#REF!</definedName>
    <definedName name="광코드13">#REF!</definedName>
    <definedName name="광코드14" localSheetId="3">#REF!</definedName>
    <definedName name="광코드14">#REF!</definedName>
    <definedName name="광코드20" localSheetId="3">#REF!</definedName>
    <definedName name="광코드20">#REF!</definedName>
    <definedName name="광코드21" localSheetId="3">#REF!</definedName>
    <definedName name="광코드21">#REF!</definedName>
    <definedName name="광코드22" localSheetId="3">#REF!</definedName>
    <definedName name="광코드22">#REF!</definedName>
    <definedName name="광코드23" localSheetId="3">#REF!</definedName>
    <definedName name="광코드23">#REF!</definedName>
    <definedName name="광코드24" localSheetId="3">#REF!</definedName>
    <definedName name="광코드24">#REF!</definedName>
    <definedName name="광코드3" localSheetId="3">#REF!</definedName>
    <definedName name="광코드3">#REF!</definedName>
    <definedName name="광코드31" localSheetId="3">#REF!</definedName>
    <definedName name="광코드31">#REF!</definedName>
    <definedName name="광코드32" localSheetId="3">#REF!</definedName>
    <definedName name="광코드32">#REF!</definedName>
    <definedName name="광코드33" localSheetId="3">#REF!</definedName>
    <definedName name="광코드33">#REF!</definedName>
    <definedName name="광코드34" localSheetId="3">#REF!</definedName>
    <definedName name="광코드34">#REF!</definedName>
    <definedName name="광코드41" localSheetId="3">#REF!</definedName>
    <definedName name="광코드41">#REF!</definedName>
    <definedName name="광코드42" localSheetId="3">#REF!</definedName>
    <definedName name="광코드42">#REF!</definedName>
    <definedName name="광코드43" localSheetId="3">#REF!</definedName>
    <definedName name="광코드43">#REF!</definedName>
    <definedName name="광코드44" localSheetId="3">#REF!</definedName>
    <definedName name="광코드44">#REF!</definedName>
    <definedName name="광코드51" localSheetId="3">#REF!</definedName>
    <definedName name="광코드51">#REF!</definedName>
    <definedName name="광코드52" localSheetId="3">#REF!</definedName>
    <definedName name="광코드52">#REF!</definedName>
    <definedName name="광코드53" localSheetId="3">#REF!</definedName>
    <definedName name="광코드53">#REF!</definedName>
    <definedName name="광코드54" localSheetId="3">#REF!</definedName>
    <definedName name="광코드54">#REF!</definedName>
    <definedName name="광코드61" localSheetId="3">#REF!</definedName>
    <definedName name="광코드61">#REF!</definedName>
    <definedName name="광코드62" localSheetId="3">#REF!</definedName>
    <definedName name="광코드62">#REF!</definedName>
    <definedName name="광코드63" localSheetId="3">#REF!</definedName>
    <definedName name="광코드63">#REF!</definedName>
    <definedName name="광코드64" localSheetId="3">#REF!</definedName>
    <definedName name="광코드64">#REF!</definedName>
    <definedName name="광코드71" localSheetId="3">#REF!</definedName>
    <definedName name="광코드71">#REF!</definedName>
    <definedName name="광코드72" localSheetId="3">#REF!</definedName>
    <definedName name="광코드72">#REF!</definedName>
    <definedName name="광코드73" localSheetId="3">#REF!</definedName>
    <definedName name="광코드73">#REF!</definedName>
    <definedName name="광코드74" localSheetId="3">#REF!</definedName>
    <definedName name="광코드74">#REF!</definedName>
    <definedName name="광통" localSheetId="3">#REF!</definedName>
    <definedName name="광통">#REF!</definedName>
    <definedName name="광통신" localSheetId="3">#REF!</definedName>
    <definedName name="광통신">#REF!</definedName>
    <definedName name="광통신설치사" localSheetId="3">#REF!</definedName>
    <definedName name="광통신설치사">#REF!</definedName>
    <definedName name="교목계" localSheetId="3">#REF!</definedName>
    <definedName name="교목계">#REF!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0">#REF!</definedName>
    <definedName name="구리2" localSheetId="3">#REF!</definedName>
    <definedName name="구리2">#REF!</definedName>
    <definedName name="구리변경전기" localSheetId="0">BlankMacro1</definedName>
    <definedName name="구리변경전기" localSheetId="2">BlankMacro1</definedName>
    <definedName name="구리변경전기" localSheetId="3">BlankMacro1</definedName>
    <definedName name="구리변경전기">BlankMacro1</definedName>
    <definedName name="구리전기" localSheetId="0">BlankMacro1</definedName>
    <definedName name="구리전기" localSheetId="2">BlankMacro1</definedName>
    <definedName name="구리전기" localSheetId="3">BlankMacro1</definedName>
    <definedName name="구리전기">BlankMacro1</definedName>
    <definedName name="구분1" localSheetId="0">#REF!</definedName>
    <definedName name="구분1" localSheetId="3">#REF!</definedName>
    <definedName name="구분1">#REF!</definedName>
    <definedName name="구분10" localSheetId="0">#REF!</definedName>
    <definedName name="구분10" localSheetId="3">#REF!</definedName>
    <definedName name="구분10">#REF!</definedName>
    <definedName name="구분11" localSheetId="0">#REF!</definedName>
    <definedName name="구분11" localSheetId="3">#REF!</definedName>
    <definedName name="구분11">#REF!</definedName>
    <definedName name="구분12" localSheetId="3">#REF!</definedName>
    <definedName name="구분12">#REF!</definedName>
    <definedName name="구분13" localSheetId="3">#REF!</definedName>
    <definedName name="구분13">#REF!</definedName>
    <definedName name="구분2" localSheetId="3">#REF!</definedName>
    <definedName name="구분2">#REF!</definedName>
    <definedName name="구분3" localSheetId="3">#REF!</definedName>
    <definedName name="구분3">#REF!</definedName>
    <definedName name="구분4" localSheetId="3">#REF!</definedName>
    <definedName name="구분4">#REF!</definedName>
    <definedName name="구분5" localSheetId="3">#REF!</definedName>
    <definedName name="구분5">#REF!</definedName>
    <definedName name="구분6" localSheetId="3">#REF!</definedName>
    <definedName name="구분6">#REF!</definedName>
    <definedName name="구분7" localSheetId="3">#REF!</definedName>
    <definedName name="구분7">#REF!</definedName>
    <definedName name="구분8" localSheetId="3">#REF!</definedName>
    <definedName name="구분8">#REF!</definedName>
    <definedName name="구분9" localSheetId="3">#REF!</definedName>
    <definedName name="구분9">#REF!</definedName>
    <definedName name="구산갑지" localSheetId="3" hidden="1">#REF!</definedName>
    <definedName name="구산갑지" hidden="1">#REF!</definedName>
    <definedName name="구월" localSheetId="0">BlankMacro1</definedName>
    <definedName name="구월" localSheetId="2">BlankMacro1</definedName>
    <definedName name="구월" localSheetId="3">BlankMacro1</definedName>
    <definedName name="구월">BlankMacro1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국내성단" localSheetId="0">#REF!</definedName>
    <definedName name="국내성단" localSheetId="3">#REF!</definedName>
    <definedName name="국내성단">#REF!</definedName>
    <definedName name="국명" localSheetId="0">#REF!</definedName>
    <definedName name="국명" localSheetId="3">#REF!</definedName>
    <definedName name="국명">#REF!</definedName>
    <definedName name="국소카운팅" localSheetId="0">#REF!</definedName>
    <definedName name="국소카운팅" localSheetId="3">#REF!</definedName>
    <definedName name="국소카운팅">#REF!</definedName>
    <definedName name="군유1" localSheetId="3">#REF!</definedName>
    <definedName name="군유1">#REF!</definedName>
    <definedName name="군유2" localSheetId="3">#REF!</definedName>
    <definedName name="군유2">#REF!</definedName>
    <definedName name="군유3" localSheetId="3">#REF!</definedName>
    <definedName name="군유3">#REF!</definedName>
    <definedName name="군유4" localSheetId="3">#REF!</definedName>
    <definedName name="군유4">#REF!</definedName>
    <definedName name="군유5" localSheetId="3">#REF!</definedName>
    <definedName name="군유5">#REF!</definedName>
    <definedName name="군유6" localSheetId="3">#REF!</definedName>
    <definedName name="군유6">#REF!</definedName>
    <definedName name="군유7" localSheetId="3">#REF!</definedName>
    <definedName name="군유7">#REF!</definedName>
    <definedName name="굴착공사5" localSheetId="3">#REF!</definedName>
    <definedName name="굴착공사5">#REF!</definedName>
    <definedName name="굴착공사6" localSheetId="3">#REF!</definedName>
    <definedName name="굴착공사6">#REF!</definedName>
    <definedName name="굴착공사7" localSheetId="3">#REF!</definedName>
    <definedName name="굴착공사7">#REF!</definedName>
    <definedName name="굴착공사8" localSheetId="3">#REF!</definedName>
    <definedName name="굴착공사8">#REF!</definedName>
    <definedName name="굴착보도" localSheetId="3">#REF!</definedName>
    <definedName name="굴착보도">#REF!</definedName>
    <definedName name="굴착사리도" localSheetId="3">#REF!</definedName>
    <definedName name="굴착사리도">#REF!</definedName>
    <definedName name="굴착아스콘" localSheetId="3">#REF!</definedName>
    <definedName name="굴착아스콘">#REF!</definedName>
    <definedName name="궤도공" localSheetId="3">#REF!</definedName>
    <definedName name="궤도공">#REF!</definedName>
    <definedName name="규격" localSheetId="3">#REF!</definedName>
    <definedName name="규격">#REF!</definedName>
    <definedName name="그냔" localSheetId="3">#REF!</definedName>
    <definedName name="그냔">#REF!</definedName>
    <definedName name="그린네트" localSheetId="0" hidden="1">{#N/A,#N/A,FALSE,"현장 NCR 분석";#N/A,#N/A,FALSE,"현장품질감사";#N/A,#N/A,FALSE,"현장품질감사"}</definedName>
    <definedName name="그린네트" hidden="1">{#N/A,#N/A,FALSE,"현장 NCR 분석";#N/A,#N/A,FALSE,"현장품질감사";#N/A,#N/A,FALSE,"현장품질감사"}</definedName>
    <definedName name="근01" localSheetId="0">#REF!</definedName>
    <definedName name="근01" localSheetId="3">#REF!</definedName>
    <definedName name="근01">#REF!</definedName>
    <definedName name="근가" localSheetId="0">#REF!</definedName>
    <definedName name="근가" localSheetId="3">#REF!</definedName>
    <definedName name="근가">#REF!</definedName>
    <definedName name="근거" localSheetId="0">#REF!</definedName>
    <definedName name="근거" localSheetId="3">#REF!</definedName>
    <definedName name="근거">#REF!</definedName>
    <definedName name="근거1" localSheetId="3">#REF!</definedName>
    <definedName name="근거1">#REF!</definedName>
    <definedName name="금마타리" localSheetId="3">#REF!</definedName>
    <definedName name="금마타리">#REF!</definedName>
    <definedName name="금변금간접노무비" localSheetId="3">#REF!</definedName>
    <definedName name="금변금간접노무비">#REF!</definedName>
    <definedName name="금변금고용보험료" localSheetId="3">#REF!</definedName>
    <definedName name="금변금고용보험료">#REF!</definedName>
    <definedName name="금변금공급가액" localSheetId="3">#REF!</definedName>
    <definedName name="금변금공급가액">#REF!</definedName>
    <definedName name="금변금공사원가" localSheetId="3">#REF!</definedName>
    <definedName name="금변금공사원가">#REF!</definedName>
    <definedName name="금변금기타경비" localSheetId="3">#REF!</definedName>
    <definedName name="금변금기타경비">#REF!</definedName>
    <definedName name="금변금도급액" localSheetId="3">#REF!</definedName>
    <definedName name="금변금도급액">#REF!</definedName>
    <definedName name="금변금부가가치세" localSheetId="3">#REF!</definedName>
    <definedName name="금변금부가가치세">#REF!</definedName>
    <definedName name="금변금산재보험료" localSheetId="3">#REF!</definedName>
    <definedName name="금변금산재보험료">#REF!</definedName>
    <definedName name="금변금순공사원가" localSheetId="3">#REF!</definedName>
    <definedName name="금변금순공사원가">#REF!</definedName>
    <definedName name="금변금안전관리비" localSheetId="3">#REF!</definedName>
    <definedName name="금변금안전관리비">#REF!</definedName>
    <definedName name="금변금이윤" localSheetId="3">#REF!</definedName>
    <definedName name="금변금이윤">#REF!</definedName>
    <definedName name="금변금일반관리비" localSheetId="3">#REF!</definedName>
    <definedName name="금변금일반관리비">#REF!</definedName>
    <definedName name="금변금폐기물처리비" localSheetId="3">#REF!</definedName>
    <definedName name="금변금폐기물처리비">#REF!</definedName>
    <definedName name="금변전간접노무비" localSheetId="3">#REF!</definedName>
    <definedName name="금변전간접노무비">#REF!</definedName>
    <definedName name="금변전고용보험료" localSheetId="3">#REF!</definedName>
    <definedName name="금변전고용보험료">#REF!</definedName>
    <definedName name="금변전공급가액" localSheetId="3">#REF!</definedName>
    <definedName name="금변전공급가액">#REF!</definedName>
    <definedName name="금변전공사원가" localSheetId="3">#REF!</definedName>
    <definedName name="금변전공사원가">#REF!</definedName>
    <definedName name="금변전기타경비" localSheetId="3">#REF!</definedName>
    <definedName name="금변전기타경비">#REF!</definedName>
    <definedName name="금변전도급액" localSheetId="3">#REF!</definedName>
    <definedName name="금변전도급액">#REF!</definedName>
    <definedName name="금변전부가가치세" localSheetId="3">#REF!</definedName>
    <definedName name="금변전부가가치세">#REF!</definedName>
    <definedName name="금변전산재보험료" localSheetId="3">#REF!</definedName>
    <definedName name="금변전산재보험료">#REF!</definedName>
    <definedName name="금변전순공사원가" localSheetId="3">#REF!</definedName>
    <definedName name="금변전순공사원가">#REF!</definedName>
    <definedName name="금변전안전관리비" localSheetId="3">#REF!</definedName>
    <definedName name="금변전안전관리비">#REF!</definedName>
    <definedName name="금변전이윤" localSheetId="3">#REF!</definedName>
    <definedName name="금변전이윤">#REF!</definedName>
    <definedName name="금변전일반관리비" localSheetId="3">#REF!</definedName>
    <definedName name="금변전일반관리비">#REF!</definedName>
    <definedName name="금변전폐기물처리비" localSheetId="3">#REF!</definedName>
    <definedName name="금변전폐기물처리비">#REF!</definedName>
    <definedName name="금속견적" localSheetId="0">BlankMacro1</definedName>
    <definedName name="금속견적" localSheetId="2">BlankMacro1</definedName>
    <definedName name="금속견적" localSheetId="3">BlankMacro1</definedName>
    <definedName name="금속견적">BlankMacro1</definedName>
    <definedName name="금액1" localSheetId="0">#REF!</definedName>
    <definedName name="금액1" localSheetId="3">#REF!</definedName>
    <definedName name="금액1">#REF!</definedName>
    <definedName name="금액2" localSheetId="0">#REF!</definedName>
    <definedName name="금액2" localSheetId="3">#REF!</definedName>
    <definedName name="금액2">#REF!</definedName>
    <definedName name="금액3" localSheetId="0">#REF!</definedName>
    <definedName name="금액3" localSheetId="3">#REF!</definedName>
    <definedName name="금액3">#REF!</definedName>
    <definedName name="금액4" localSheetId="3">#REF!</definedName>
    <definedName name="금액4">#REF!</definedName>
    <definedName name="금액5" localSheetId="3">#REF!</definedName>
    <definedName name="금액5">#REF!</definedName>
    <definedName name="금액6" localSheetId="3">#REF!</definedName>
    <definedName name="금액6">#REF!</definedName>
    <definedName name="금액대비" localSheetId="0">BlankMacro1</definedName>
    <definedName name="금액대비" localSheetId="2">BlankMacro1</definedName>
    <definedName name="금액대비" localSheetId="3">BlankMacro1</definedName>
    <definedName name="금액대비">BlankMacro1</definedName>
    <definedName name="금회공사원가금회" localSheetId="0">#REF!</definedName>
    <definedName name="금회공사원가금회" localSheetId="3">#REF!</definedName>
    <definedName name="금회공사원가금회">#REF!</definedName>
    <definedName name="금회공사원가기시행" localSheetId="0">#REF!</definedName>
    <definedName name="금회공사원가기시행" localSheetId="3">#REF!</definedName>
    <definedName name="금회공사원가기시행">#REF!</definedName>
    <definedName name="금회공사원가전체" localSheetId="0">#REF!</definedName>
    <definedName name="금회공사원가전체" localSheetId="3">#REF!</definedName>
    <definedName name="금회공사원가전체">#REF!</definedName>
    <definedName name="금회금간접노무비" localSheetId="3">#REF!</definedName>
    <definedName name="금회금간접노무비">#REF!</definedName>
    <definedName name="금회금고용보험료" localSheetId="3">#REF!</definedName>
    <definedName name="금회금고용보험료">#REF!</definedName>
    <definedName name="금회금공사원가" localSheetId="3">#REF!</definedName>
    <definedName name="금회금공사원가">#REF!</definedName>
    <definedName name="금회금기타경비" localSheetId="3">#REF!</definedName>
    <definedName name="금회금기타경비">#REF!</definedName>
    <definedName name="금회금산재보험료" localSheetId="3">#REF!</definedName>
    <definedName name="금회금산재보험료">#REF!</definedName>
    <definedName name="금회금안전관리비" localSheetId="3">#REF!</definedName>
    <definedName name="금회금안전관리비">#REF!</definedName>
    <definedName name="금회금이윤" localSheetId="3">#REF!</definedName>
    <definedName name="금회금이윤">#REF!</definedName>
    <definedName name="금회금일반관리비" localSheetId="3">#REF!</definedName>
    <definedName name="금회금일반관리비">#REF!</definedName>
    <definedName name="금회금제이윤" localSheetId="3">#REF!</definedName>
    <definedName name="금회금제이윤">#REF!</definedName>
    <definedName name="금회금폐기물처리비" localSheetId="3">#REF!</definedName>
    <definedName name="금회금폐기물처리비">#REF!</definedName>
    <definedName name="금회기공사원가" localSheetId="3">#REF!</definedName>
    <definedName name="금회기공사원가">#REF!</definedName>
    <definedName name="금회장공사원가" localSheetId="3">#REF!</definedName>
    <definedName name="금회장공사원가">#REF!</definedName>
    <definedName name="금회전공사원가" localSheetId="3">#REF!</definedName>
    <definedName name="금회전공사원가">#REF!</definedName>
    <definedName name="기1997" localSheetId="3">#REF!</definedName>
    <definedName name="기1997">#REF!</definedName>
    <definedName name="기96083" localSheetId="3">#REF!</definedName>
    <definedName name="기96083">#REF!</definedName>
    <definedName name="기96091" localSheetId="3">#REF!</definedName>
    <definedName name="기96091">#REF!</definedName>
    <definedName name="기96093" localSheetId="3">#REF!</definedName>
    <definedName name="기96093">#REF!</definedName>
    <definedName name="기96101" localSheetId="3">#REF!</definedName>
    <definedName name="기96101">#REF!</definedName>
    <definedName name="기96103" localSheetId="3">#REF!</definedName>
    <definedName name="기96103">#REF!</definedName>
    <definedName name="기96111" localSheetId="3">#REF!</definedName>
    <definedName name="기96111">#REF!</definedName>
    <definedName name="기96113" localSheetId="3">#REF!</definedName>
    <definedName name="기96113">#REF!</definedName>
    <definedName name="기96121" localSheetId="3">#REF!</definedName>
    <definedName name="기96121">#REF!</definedName>
    <definedName name="기96123" localSheetId="3">#REF!</definedName>
    <definedName name="기96123">#REF!</definedName>
    <definedName name="기97011" localSheetId="3">#REF!</definedName>
    <definedName name="기97011">#REF!</definedName>
    <definedName name="기97013" localSheetId="3">#REF!</definedName>
    <definedName name="기97013">#REF!</definedName>
    <definedName name="기계" localSheetId="3">#REF!</definedName>
    <definedName name="기계">#REF!</definedName>
    <definedName name="기계경비" localSheetId="3">#REF!</definedName>
    <definedName name="기계경비">#REF!</definedName>
    <definedName name="기계공" localSheetId="1">#REF!</definedName>
    <definedName name="기계공" localSheetId="2">#REF!</definedName>
    <definedName name="기계공" localSheetId="3">#REF!</definedName>
    <definedName name="기계공">#REF!</definedName>
    <definedName name="기계근거" localSheetId="3">#REF!</definedName>
    <definedName name="기계근거">#REF!</definedName>
    <definedName name="기계산정" localSheetId="3">#REF!</definedName>
    <definedName name="기계산정">#REF!</definedName>
    <definedName name="기계산정표" localSheetId="0">#REF!,#REF!</definedName>
    <definedName name="기계산정표" localSheetId="3">#REF!,#REF!</definedName>
    <definedName name="기계산정표">#REF!,#REF!</definedName>
    <definedName name="기계설치공" localSheetId="0">#REF!</definedName>
    <definedName name="기계설치공" localSheetId="1">#REF!</definedName>
    <definedName name="기계설치공" localSheetId="2">#REF!</definedName>
    <definedName name="기계설치공" localSheetId="3">#REF!</definedName>
    <definedName name="기계설치공">#REF!</definedName>
    <definedName name="기능사1" localSheetId="0">#REF!</definedName>
    <definedName name="기능사1" localSheetId="3">#REF!</definedName>
    <definedName name="기능사1">#REF!</definedName>
    <definedName name="기능사2" localSheetId="3">#REF!</definedName>
    <definedName name="기능사2">#REF!</definedName>
    <definedName name="기사" localSheetId="3">#REF!</definedName>
    <definedName name="기사">#REF!</definedName>
    <definedName name="기사1" localSheetId="3">#REF!</definedName>
    <definedName name="기사1">#REF!</definedName>
    <definedName name="기사2" localSheetId="3">#REF!</definedName>
    <definedName name="기사2">#REF!</definedName>
    <definedName name="기성" localSheetId="3">#REF!</definedName>
    <definedName name="기성">#REF!</definedName>
    <definedName name="기성집계1" localSheetId="3">#REF!</definedName>
    <definedName name="기성집계1">#REF!</definedName>
    <definedName name="기안갑" localSheetId="3">#REF!</definedName>
    <definedName name="기안갑">#REF!</definedName>
    <definedName name="기안을" localSheetId="3">#REF!</definedName>
    <definedName name="기안을">#REF!</definedName>
    <definedName name="기준일" localSheetId="3">#REF!</definedName>
    <definedName name="기준일">#REF!</definedName>
    <definedName name="기지수" localSheetId="3">#REF!</definedName>
    <definedName name="기지수">#REF!</definedName>
    <definedName name="기초데이타" localSheetId="3">#REF!</definedName>
    <definedName name="기초데이타">#REF!</definedName>
    <definedName name="기초액" localSheetId="3">#REF!</definedName>
    <definedName name="기초액">#REF!</definedName>
    <definedName name="기타" localSheetId="3">#REF!</definedName>
    <definedName name="기타">#REF!</definedName>
    <definedName name="기타경비" localSheetId="1">#REF!</definedName>
    <definedName name="기타경비" localSheetId="2">#REF!</definedName>
    <definedName name="기타경비" localSheetId="3">#REF!</definedName>
    <definedName name="기타경비">#REF!</definedName>
    <definedName name="기타경비요율" localSheetId="3">#REF!</definedName>
    <definedName name="기타경비요율">#REF!</definedName>
    <definedName name="기타경비표" localSheetId="3">#REF!</definedName>
    <definedName name="기타경비표">#REF!</definedName>
    <definedName name="기타비목" localSheetId="3">#REF!</definedName>
    <definedName name="기타비목">#REF!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0" hidden="1">#REF!</definedName>
    <definedName name="김" localSheetId="3" hidden="1">#REF!</definedName>
    <definedName name="김" hidden="1">#REF!</definedName>
    <definedName name="김형수" localSheetId="0" hidden="1">{#N/A,#N/A,FALSE,"CAM-G7";#N/A,#N/A,FALSE,"SPL";#N/A,#N/A,FALSE,"butt-in G7";#N/A,#N/A,FALSE,"dia-in G7";#N/A,#N/A,FALSE,"추가-STA G7"}</definedName>
    <definedName name="김형수" hidden="1">{#N/A,#N/A,FALSE,"CAM-G7";#N/A,#N/A,FALSE,"SPL";#N/A,#N/A,FALSE,"butt-in G7";#N/A,#N/A,FALSE,"dia-in G7";#N/A,#N/A,FALSE,"추가-STA G7"}</definedName>
    <definedName name="꽃창포" localSheetId="0">#REF!</definedName>
    <definedName name="꽃창포" localSheetId="3">#REF!</definedName>
    <definedName name="꽃창포">#REF!</definedName>
    <definedName name="꽃향유" localSheetId="0">#REF!</definedName>
    <definedName name="꽃향유" localSheetId="3">#REF!</definedName>
    <definedName name="꽃향유">#REF!</definedName>
    <definedName name="ㄳㄳ" localSheetId="0">#REF!</definedName>
    <definedName name="ㄳㄳ" localSheetId="3">#REF!</definedName>
    <definedName name="ㄳㄳ">#REF!</definedName>
    <definedName name="ㄴ" localSheetId="1">#REF!</definedName>
    <definedName name="ㄴ" localSheetId="2">#REF!</definedName>
    <definedName name="ㄴ" localSheetId="3">#REF!</definedName>
    <definedName name="ㄴ">#REF!</definedName>
    <definedName name="ㄴ." localSheetId="3">#REF!</definedName>
    <definedName name="ㄴ.">#REF!</definedName>
    <definedName name="ㄴㄱㄹ" localSheetId="3" hidden="1">#REF!</definedName>
    <definedName name="ㄴㄱㄹ" hidden="1">#REF!</definedName>
    <definedName name="ㄴㄴ" localSheetId="3">#REF!</definedName>
    <definedName name="ㄴㄴ">#REF!</definedName>
    <definedName name="ㄴㄴㄴ" localSheetId="0">#N/A</definedName>
    <definedName name="ㄴㄴㄴ" localSheetId="1" hidden="1">#REF!</definedName>
    <definedName name="ㄴㄴㄴ" localSheetId="2" hidden="1">#REF!</definedName>
    <definedName name="ㄴㄴㄴ" localSheetId="3" hidden="1">#REF!</definedName>
    <definedName name="ㄴㄴㄴ">내역!ㄴㄴㄴ</definedName>
    <definedName name="ㄴㄴㄴㄴ" localSheetId="0">#N/A</definedName>
    <definedName name="ㄴㄴㄴㄴ" localSheetId="1" hidden="1">#REF!</definedName>
    <definedName name="ㄴㄴㄴㄴ" localSheetId="2" hidden="1">#REF!</definedName>
    <definedName name="ㄴㄴㄴㄴ" localSheetId="3" hidden="1">#REF!</definedName>
    <definedName name="ㄴㄴㄴㄴ">내역!ㄴㄴㄴㄴ</definedName>
    <definedName name="ㄴㄴㄴㄴㄴ" localSheetId="0" hidden="1">#REF!</definedName>
    <definedName name="ㄴㄴㄴㄴㄴ" localSheetId="3" hidden="1">#REF!</definedName>
    <definedName name="ㄴㄴㄴㄴㄴ" hidden="1">#REF!</definedName>
    <definedName name="ㄴㄴㄴㄴㄴㄴ" localSheetId="0">#REF!</definedName>
    <definedName name="ㄴㄴㄴㄴㄴㄴ" localSheetId="3">#REF!</definedName>
    <definedName name="ㄴㄴㄴㄴㄴㄴ">#REF!</definedName>
    <definedName name="ㄴㄴㄴㄴㄴㄴㄴㄴㄴㄴ" localSheetId="0">#REF!</definedName>
    <definedName name="ㄴㄴㄴㄴㄴㄴㄴㄴㄴㄴ" localSheetId="3">#REF!</definedName>
    <definedName name="ㄴㄴㄴㄴㄴㄴㄴㄴㄴㄴ">#REF!</definedName>
    <definedName name="ㄴㄴㄴㄴㄴㅁ" localSheetId="3">#REF!</definedName>
    <definedName name="ㄴㄴㄴㄴㄴㅁ">#REF!</definedName>
    <definedName name="ㄴㄴㅁㅁㅇㄴ" localSheetId="3">#REF!</definedName>
    <definedName name="ㄴㄴㅁㅁㅇㄴ">#REF!</definedName>
    <definedName name="ㄴㄴㅇㅇㄴ" localSheetId="3">#REF!</definedName>
    <definedName name="ㄴㄴㅇㅇㄴ">#REF!</definedName>
    <definedName name="ㄴㄹㄴㅁㅎㅇㄹ" localSheetId="0" hidden="1">{#N/A,"수불부",FALSE,"사급자재수불서";#N/A,"수불부",FALSE,"사급자재수불서"}</definedName>
    <definedName name="ㄴㄹㄴㅁㅎㅇㄹ" hidden="1">{#N/A,"수불부",FALSE,"사급자재수불서";#N/A,"수불부",FALSE,"사급자재수불서"}</definedName>
    <definedName name="ㄴㄹㅇㄴㄹㅇ" localSheetId="0">#REF!</definedName>
    <definedName name="ㄴㄹㅇㄴㄹㅇ" localSheetId="3">#REF!</definedName>
    <definedName name="ㄴㄹㅇㄴㄹㅇ">#REF!</definedName>
    <definedName name="ㄴㅁ" localSheetId="0" hidden="1">#REF!</definedName>
    <definedName name="ㄴㅁ" localSheetId="1">#REF!</definedName>
    <definedName name="ㄴㅁ" localSheetId="2">#REF!</definedName>
    <definedName name="ㄴㅁ" localSheetId="3">#REF!</definedName>
    <definedName name="ㄴㅁ" hidden="1">#REF!</definedName>
    <definedName name="ㄴㅁㄻㄴㅇㄹㅇㄴㄹ" localSheetId="0" hidden="1">{#N/A,"수불부",FALSE,"사급자재수불서";#N/A,"수불부",FALSE,"사급자재수불서"}</definedName>
    <definedName name="ㄴㅁㄻㄴㅇㄹㅇㄴㄹ" hidden="1">{#N/A,"수불부",FALSE,"사급자재수불서";#N/A,"수불부",FALSE,"사급자재수불서"}</definedName>
    <definedName name="ㄴㅁㅁ" localSheetId="0">#REF!</definedName>
    <definedName name="ㄴㅁㅁ" localSheetId="3">#REF!</definedName>
    <definedName name="ㄴㅁㅁ">#REF!</definedName>
    <definedName name="ㄴㅁㅇㅇㄴㅇ" localSheetId="0">#REF!</definedName>
    <definedName name="ㄴㅁㅇㅇㄴㅇ" localSheetId="3">#REF!</definedName>
    <definedName name="ㄴㅁㅇㅇㄴㅇ">#REF!</definedName>
    <definedName name="ㄴㅁㅇㅇㄴㅇㄴ" localSheetId="0">#REF!</definedName>
    <definedName name="ㄴㅁㅇㅇㄴㅇㄴ" localSheetId="3">#REF!</definedName>
    <definedName name="ㄴㅁㅇㅇㄴㅇㄴ">#REF!</definedName>
    <definedName name="ㄴㅇ" localSheetId="3">#REF!</definedName>
    <definedName name="ㄴㅇ">#REF!</definedName>
    <definedName name="ㄴㅇㄴㄴㅁㅁ" localSheetId="3">#REF!</definedName>
    <definedName name="ㄴㅇㄴㄴㅁㅁ">#REF!</definedName>
    <definedName name="ㄴㅇㄹ" localSheetId="0">#N/A</definedName>
    <definedName name="ㄴㅇㄹ" localSheetId="1">#REF!</definedName>
    <definedName name="ㄴㅇㄹ" localSheetId="2">#REF!</definedName>
    <definedName name="ㄴㅇㄹ" localSheetId="3">#REF!</definedName>
    <definedName name="ㄴㅇㄹ">내역!ㄴㅇㄹ</definedName>
    <definedName name="ㄴㅇㄹㄴ" localSheetId="0" hidden="1">{#N/A,"수불부",FALSE,"사급자재수불서";#N/A,"수불부",FALSE,"사급자재수불서"}</definedName>
    <definedName name="ㄴㅇㄹㄴ" hidden="1">{#N/A,"수불부",FALSE,"사급자재수불서";#N/A,"수불부",FALSE,"사급자재수불서"}</definedName>
    <definedName name="ㄴㅇㄹㄴㄹ" localSheetId="0" hidden="1">{"'Sheet1'!$D$19","'Sheet1'!$B$22:$E$22"}</definedName>
    <definedName name="ㄴㅇㄹㄴㄹ" hidden="1">{"'Sheet1'!$D$19","'Sheet1'!$B$22:$E$22"}</definedName>
    <definedName name="ㄴㅇㄹㅇㄷ" localSheetId="0">#REF!</definedName>
    <definedName name="ㄴㅇㄹㅇㄷ" localSheetId="3">#REF!</definedName>
    <definedName name="ㄴㅇㄹㅇㄷ">#REF!</definedName>
    <definedName name="나." localSheetId="0">#REF!</definedName>
    <definedName name="나." localSheetId="3">#REF!</definedName>
    <definedName name="나.">#REF!</definedName>
    <definedName name="나무" localSheetId="0">#REF!</definedName>
    <definedName name="나무" localSheetId="3">#REF!</definedName>
    <definedName name="나무">#REF!</definedName>
    <definedName name="낙찰가">#N/A</definedName>
    <definedName name="낙찰율" localSheetId="0">#REF!</definedName>
    <definedName name="낙찰율" localSheetId="3">#REF!</definedName>
    <definedName name="낙찰율">#REF!</definedName>
    <definedName name="난연" localSheetId="0">#REF!</definedName>
    <definedName name="난연" localSheetId="3">#REF!</definedName>
    <definedName name="난연">#REF!</definedName>
    <definedName name="남산1호" localSheetId="0">#REF!</definedName>
    <definedName name="남산1호" localSheetId="3">#REF!</definedName>
    <definedName name="남산1호">#REF!</definedName>
    <definedName name="남산2호" localSheetId="3">#REF!</definedName>
    <definedName name="남산2호">#REF!</definedName>
    <definedName name="납땜" localSheetId="3">#REF!</definedName>
    <definedName name="납땜">#REF!</definedName>
    <definedName name="내선" localSheetId="3">#REF!</definedName>
    <definedName name="내선">#REF!</definedName>
    <definedName name="내선전공" localSheetId="1">#REF!</definedName>
    <definedName name="내선전공" localSheetId="2">#REF!</definedName>
    <definedName name="내선전공" localSheetId="3">#REF!</definedName>
    <definedName name="내선전공">#REF!</definedName>
    <definedName name="내역" localSheetId="0" hidden="1">{#N/A,#N/A,FALSE,"CCTV"}</definedName>
    <definedName name="내역" hidden="1">{#N/A,#N/A,FALSE,"CCTV"}</definedName>
    <definedName name="내역서" localSheetId="0">#REF!</definedName>
    <definedName name="내역서" localSheetId="3">#REF!</definedName>
    <definedName name="내역서">#REF!</definedName>
    <definedName name="내장공" localSheetId="0">#REF!</definedName>
    <definedName name="내장공" localSheetId="1">#REF!</definedName>
    <definedName name="내장공" localSheetId="2">#REF!</definedName>
    <definedName name="내장공" localSheetId="3">#REF!</definedName>
    <definedName name="내장공">#REF!</definedName>
    <definedName name="냉샐행" localSheetId="3">#REF!</definedName>
    <definedName name="냉샐행">#REF!</definedName>
    <definedName name="년도" localSheetId="3">#REF!</definedName>
    <definedName name="년도">#REF!</definedName>
    <definedName name="노9501" localSheetId="3">#REF!</definedName>
    <definedName name="노9501">#REF!</definedName>
    <definedName name="노경" localSheetId="3">#REF!</definedName>
    <definedName name="노경">#REF!</definedName>
    <definedName name="노계1" localSheetId="0">BLCH</definedName>
    <definedName name="노계1" localSheetId="2">BLCH</definedName>
    <definedName name="노계1" localSheetId="3">BLCH</definedName>
    <definedName name="노계1">BLCH</definedName>
    <definedName name="노곡1호" localSheetId="0">#REF!</definedName>
    <definedName name="노곡1호" localSheetId="3">#REF!</definedName>
    <definedName name="노곡1호">#REF!</definedName>
    <definedName name="노곡2호" localSheetId="0">#REF!</definedName>
    <definedName name="노곡2호" localSheetId="3">#REF!</definedName>
    <definedName name="노곡2호">#REF!</definedName>
    <definedName name="노곡3호" localSheetId="0">#REF!</definedName>
    <definedName name="노곡3호" localSheetId="3">#REF!</definedName>
    <definedName name="노곡3호">#REF!</definedName>
    <definedName name="노곡4호" localSheetId="3">#REF!</definedName>
    <definedName name="노곡4호">#REF!</definedName>
    <definedName name="노무" localSheetId="3">#REF!</definedName>
    <definedName name="노무">#REF!</definedName>
    <definedName name="노무비" localSheetId="3">#REF!</definedName>
    <definedName name="노무비">#REF!</definedName>
    <definedName name="노무비단가" localSheetId="3">#REF!</definedName>
    <definedName name="노무비단가">#REF!</definedName>
    <definedName name="노무비합" localSheetId="3">#REF!</definedName>
    <definedName name="노무비합">#REF!</definedName>
    <definedName name="노무율" localSheetId="3">#REF!</definedName>
    <definedName name="노무율">#REF!</definedName>
    <definedName name="노부비" localSheetId="3">#REF!</definedName>
    <definedName name="노부비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0">#REF!</definedName>
    <definedName name="노임" localSheetId="3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 localSheetId="3" hidden="1">{"SJ - 기본 보기",#N/A,FALSE,"공사별 외주견적"}</definedName>
    <definedName name="노임단가">#REF!</definedName>
    <definedName name="노즐공" localSheetId="0">#REF!</definedName>
    <definedName name="노즐공" localSheetId="3">#REF!</definedName>
    <definedName name="노즐공">#REF!</definedName>
    <definedName name="노지율" localSheetId="0">#REF!</definedName>
    <definedName name="노지율" localSheetId="3">#REF!</definedName>
    <definedName name="노지율">#REF!</definedName>
    <definedName name="노집1" localSheetId="0">BLCH</definedName>
    <definedName name="노집1" localSheetId="2">BLCH</definedName>
    <definedName name="노집1" localSheetId="3">BLCH</definedName>
    <definedName name="노집1">BLCH</definedName>
    <definedName name="녹음기" localSheetId="0">BlankMacro1</definedName>
    <definedName name="녹음기" localSheetId="2">BlankMacro1</definedName>
    <definedName name="녹음기" localSheetId="3">BlankMacro1</definedName>
    <definedName name="녹음기">BlankMacro1</definedName>
    <definedName name="논현동외" localSheetId="0" hidden="1">{#N/A,#N/A,FALSE,"Sheet6"}</definedName>
    <definedName name="논현동외" hidden="1">{#N/A,#N/A,FALSE,"Sheet6"}</definedName>
    <definedName name="농원1호" localSheetId="0">#REF!</definedName>
    <definedName name="농원1호" localSheetId="3">#REF!</definedName>
    <definedName name="농원1호">#REF!</definedName>
    <definedName name="농원2호" localSheetId="0">#REF!</definedName>
    <definedName name="농원2호" localSheetId="3">#REF!</definedName>
    <definedName name="농원2호">#REF!</definedName>
    <definedName name="눈주목" localSheetId="0">#REF!</definedName>
    <definedName name="눈주목" localSheetId="3">#REF!</definedName>
    <definedName name="눈주목">#REF!</definedName>
    <definedName name="느티나무" localSheetId="3">#REF!</definedName>
    <definedName name="느티나무">#REF!</definedName>
    <definedName name="ㄷㄱㄷㅅㅅㅅ" localSheetId="3">#REF!</definedName>
    <definedName name="ㄷㄱㄷㅅㅅㅅ">#REF!</definedName>
    <definedName name="ㄷㄷ" localSheetId="3" hidden="1">#REF!</definedName>
    <definedName name="ㄷㄷ" hidden="1">#REF!</definedName>
    <definedName name="ㄷㄷㄷ" localSheetId="3">#REF!</definedName>
    <definedName name="ㄷㄷㄷ">#REF!</definedName>
    <definedName name="ㄷㄷㅈ" localSheetId="3">#REF!</definedName>
    <definedName name="ㄷㄷㅈ">#REF!</definedName>
    <definedName name="ㄷㄹㄹㅇ" localSheetId="3">#REF!</definedName>
    <definedName name="ㄷㄹㄹㅇ">#REF!</definedName>
    <definedName name="ㄷㄹㅇㄴ" localSheetId="3">#REF!</definedName>
    <definedName name="ㄷㄹㅇㄴ">#REF!</definedName>
    <definedName name="ㄷㄹㅇㄴㄹ" localSheetId="3">#REF!</definedName>
    <definedName name="ㄷㄹㅇㄴㄹ">#REF!</definedName>
    <definedName name="ㄷㅇㄴ" localSheetId="3">#REF!</definedName>
    <definedName name="ㄷㅇㄴ">#REF!</definedName>
    <definedName name="ㄷㅇㄹ" localSheetId="3">#REF!</definedName>
    <definedName name="ㄷㅇㄹ">#REF!</definedName>
    <definedName name="ㄷㅇㄹㄴ" localSheetId="3">#REF!</definedName>
    <definedName name="ㄷㅇㄹㄴ">#REF!</definedName>
    <definedName name="다." localSheetId="3">#REF!</definedName>
    <definedName name="다.">#REF!</definedName>
    <definedName name="닥트공" localSheetId="1">#REF!</definedName>
    <definedName name="닥트공" localSheetId="2">#REF!</definedName>
    <definedName name="닥트공" localSheetId="3">#REF!</definedName>
    <definedName name="닥트공">#REF!</definedName>
    <definedName name="단가" localSheetId="3">#REF!</definedName>
    <definedName name="단가">#REF!</definedName>
    <definedName name="단가2" localSheetId="0">#REF!,#REF!</definedName>
    <definedName name="단가2" localSheetId="3">#REF!,#REF!</definedName>
    <definedName name="단가2">#REF!,#REF!</definedName>
    <definedName name="단가비교표" localSheetId="0">#REF!,#REF!</definedName>
    <definedName name="단가비교표" localSheetId="1">#REF!,#REF!</definedName>
    <definedName name="단가비교표" localSheetId="2">#REF!,#REF!</definedName>
    <definedName name="단가비교표" localSheetId="3">#REF!,#REF!</definedName>
    <definedName name="단가비교표">#REF!,#REF!</definedName>
    <definedName name="단가산출서" localSheetId="0">BlankMacro1</definedName>
    <definedName name="단가산출서" localSheetId="2">BlankMacro1</definedName>
    <definedName name="단가산출서" localSheetId="3">BlankMacro1</definedName>
    <definedName name="단가산출서">BlankMacro1</definedName>
    <definedName name="단가산출서1" localSheetId="0">BlankMacro1</definedName>
    <definedName name="단가산출서1" localSheetId="2">BlankMacro1</definedName>
    <definedName name="단가산출서1" localSheetId="3">BlankMacro1</definedName>
    <definedName name="단가산출서1">BlankMacro1</definedName>
    <definedName name="단가적용표" localSheetId="0">#REF!</definedName>
    <definedName name="단가적용표" localSheetId="3">#REF!</definedName>
    <definedName name="단가적용표">#REF!</definedName>
    <definedName name="단수처리" localSheetId="0">#REF!</definedName>
    <definedName name="단수처리" localSheetId="3">#REF!</definedName>
    <definedName name="단수처리">#REF!</definedName>
    <definedName name="단위별" localSheetId="0">#REF!</definedName>
    <definedName name="단위별" localSheetId="3">#REF!</definedName>
    <definedName name="단위별">#REF!</definedName>
    <definedName name="단자블럭취부" localSheetId="3">#REF!</definedName>
    <definedName name="단자블럭취부">#REF!</definedName>
    <definedName name="달" localSheetId="0">BlankMacro1</definedName>
    <definedName name="달" localSheetId="2">BlankMacro1</definedName>
    <definedName name="달" localSheetId="3">BlankMacro1</definedName>
    <definedName name="달">BlankMacro1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0">#REF!</definedName>
    <definedName name="대나무" localSheetId="3">#REF!</definedName>
    <definedName name="대나무">#REF!</definedName>
    <definedName name="대비" localSheetId="0">#REF!</definedName>
    <definedName name="대비" localSheetId="3">#REF!</definedName>
    <definedName name="대비">#REF!</definedName>
    <definedName name="대비표" localSheetId="0" hidden="1">{#N/A,#N/A,FALSE,"CAM-G7";#N/A,#N/A,FALSE,"SPL";#N/A,#N/A,FALSE,"butt-in G7";#N/A,#N/A,FALSE,"dia-in G7";#N/A,#N/A,FALSE,"추가-STA G7"}</definedName>
    <definedName name="대비표" hidden="1">{#N/A,#N/A,FALSE,"CAM-G7";#N/A,#N/A,FALSE,"SPL";#N/A,#N/A,FALSE,"butt-in G7";#N/A,#N/A,FALSE,"dia-in G7";#N/A,#N/A,FALSE,"추가-STA G7"}</definedName>
    <definedName name="대전중리1" localSheetId="0">#REF!</definedName>
    <definedName name="대전중리1" localSheetId="3">#REF!</definedName>
    <definedName name="대전중리1">#REF!</definedName>
    <definedName name="대전타임월드" localSheetId="0">#REF!</definedName>
    <definedName name="대전타임월드" localSheetId="3">#REF!</definedName>
    <definedName name="대전타임월드">#REF!</definedName>
    <definedName name="대존" localSheetId="0">#REF!</definedName>
    <definedName name="대존" localSheetId="3">#REF!</definedName>
    <definedName name="대존">#REF!</definedName>
    <definedName name="대표자" localSheetId="3">#REF!</definedName>
    <definedName name="대표자">#REF!</definedName>
    <definedName name="덕산1호" localSheetId="3">#REF!</definedName>
    <definedName name="덕산1호">#REF!</definedName>
    <definedName name="덕산2호" localSheetId="3">#REF!</definedName>
    <definedName name="덕산2호">#REF!</definedName>
    <definedName name="덕산3호" localSheetId="3">#REF!</definedName>
    <definedName name="덕산3호">#REF!</definedName>
    <definedName name="덕산4호" localSheetId="3">#REF!</definedName>
    <definedName name="덕산4호">#REF!</definedName>
    <definedName name="덕전1호" localSheetId="3">#REF!</definedName>
    <definedName name="덕전1호">#REF!</definedName>
    <definedName name="덕전2호" localSheetId="3">#REF!</definedName>
    <definedName name="덕전2호">#REF!</definedName>
    <definedName name="덕전3호" localSheetId="3">#REF!</definedName>
    <definedName name="덕전3호">#REF!</definedName>
    <definedName name="덕지1호" localSheetId="3">#REF!</definedName>
    <definedName name="덕지1호">#REF!</definedName>
    <definedName name="덕천1호" localSheetId="3">#REF!</definedName>
    <definedName name="덕천1호">#REF!</definedName>
    <definedName name="덕천2호" localSheetId="3">#REF!</definedName>
    <definedName name="덕천2호">#REF!</definedName>
    <definedName name="덕천3호" localSheetId="3">#REF!</definedName>
    <definedName name="덕천3호">#REF!</definedName>
    <definedName name="덕천4호" localSheetId="3">#REF!</definedName>
    <definedName name="덕천4호">#REF!</definedName>
    <definedName name="덤프트럭" localSheetId="3">#REF!</definedName>
    <definedName name="덤프트럭">#REF!</definedName>
    <definedName name="도______급______액" localSheetId="3">#REF!</definedName>
    <definedName name="도______급______액">#REF!</definedName>
    <definedName name="도급" localSheetId="0">BlankMacro1</definedName>
    <definedName name="도급" localSheetId="2">BlankMacro1</definedName>
    <definedName name="도급" localSheetId="3">BlankMacro1</definedName>
    <definedName name="도급">BlankMacro1</definedName>
    <definedName name="도급가" localSheetId="0">#REF!</definedName>
    <definedName name="도급가" localSheetId="3">#REF!</definedName>
    <definedName name="도급가">#REF!</definedName>
    <definedName name="도급경비" localSheetId="0">#REF!</definedName>
    <definedName name="도급경비" localSheetId="3">#REF!</definedName>
    <definedName name="도급경비">#REF!</definedName>
    <definedName name="도급경비1" localSheetId="0">#REF!</definedName>
    <definedName name="도급경비1" localSheetId="3">#REF!</definedName>
    <definedName name="도급경비1">#REF!</definedName>
    <definedName name="도급계" localSheetId="3">#REF!</definedName>
    <definedName name="도급계">#REF!</definedName>
    <definedName name="도급계1" localSheetId="3">#REF!</definedName>
    <definedName name="도급계1">#REF!</definedName>
    <definedName name="도급내역서" localSheetId="3">#REF!</definedName>
    <definedName name="도급내역서">#REF!</definedName>
    <definedName name="도급분" localSheetId="3">#REF!</definedName>
    <definedName name="도급분">#REF!</definedName>
    <definedName name="도급분경비" localSheetId="3">#REF!</definedName>
    <definedName name="도급분경비">#REF!</definedName>
    <definedName name="도급재료" localSheetId="3">#REF!</definedName>
    <definedName name="도급재료">#REF!</definedName>
    <definedName name="도급재료1" localSheetId="3">#REF!</definedName>
    <definedName name="도급재료1">#REF!</definedName>
    <definedName name="도배공" localSheetId="3">#REF!</definedName>
    <definedName name="도배공">#REF!</definedName>
    <definedName name="도서" localSheetId="3">#REF!</definedName>
    <definedName name="도서">#REF!</definedName>
    <definedName name="도서1" localSheetId="3">#REF!</definedName>
    <definedName name="도서1">#REF!</definedName>
    <definedName name="도서인쇄비" localSheetId="3">#REF!</definedName>
    <definedName name="도서인쇄비">#REF!</definedName>
    <definedName name="도장" localSheetId="0" hidden="1">{#N/A,#N/A,FALSE,"CAM-G7";#N/A,#N/A,FALSE,"SPL";#N/A,#N/A,FALSE,"butt-in G7";#N/A,#N/A,FALSE,"dia-in G7";#N/A,#N/A,FALSE,"추가-STA G7"}</definedName>
    <definedName name="도장" hidden="1">{#N/A,#N/A,FALSE,"CAM-G7";#N/A,#N/A,FALSE,"SPL";#N/A,#N/A,FALSE,"butt-in G7";#N/A,#N/A,FALSE,"dia-in G7";#N/A,#N/A,FALSE,"추가-STA G7"}</definedName>
    <definedName name="도장견적" localSheetId="0">BlankMacro1</definedName>
    <definedName name="도장견적" localSheetId="2">BlankMacro1</definedName>
    <definedName name="도장견적" localSheetId="3">BlankMacro1</definedName>
    <definedName name="도장견적">BlankMacro1</definedName>
    <definedName name="도장공" localSheetId="0">#REF!</definedName>
    <definedName name="도장공" localSheetId="1">#REF!</definedName>
    <definedName name="도장공" localSheetId="2">#REF!</definedName>
    <definedName name="도장공" localSheetId="3">#REF!</definedName>
    <definedName name="도장공">#REF!</definedName>
    <definedName name="도장상관D" localSheetId="0" hidden="1">{#N/A,#N/A,FALSE,"CAM-G7";#N/A,#N/A,FALSE,"SPL";#N/A,#N/A,FALSE,"butt-in G7";#N/A,#N/A,FALSE,"dia-in G7";#N/A,#N/A,FALSE,"추가-STA G7"}</definedName>
    <definedName name="도장상관D" hidden="1">{#N/A,#N/A,FALSE,"CAM-G7";#N/A,#N/A,FALSE,"SPL";#N/A,#N/A,FALSE,"butt-in G7";#N/A,#N/A,FALSE,"dia-in G7";#N/A,#N/A,FALSE,"추가-STA G7"}</definedName>
    <definedName name="도장장호원4" localSheetId="0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localSheetId="0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0">#REF!</definedName>
    <definedName name="도쟈" localSheetId="3">#REF!</definedName>
    <definedName name="도쟈">#REF!</definedName>
    <definedName name="도편수" localSheetId="0">#REF!</definedName>
    <definedName name="도편수" localSheetId="3">#REF!</definedName>
    <definedName name="도편수">#REF!</definedName>
    <definedName name="돌단풍" localSheetId="0">#REF!</definedName>
    <definedName name="돌단풍" localSheetId="3">#REF!</definedName>
    <definedName name="돌단풍">#REF!</definedName>
    <definedName name="동발공_터널" localSheetId="3">#REF!</definedName>
    <definedName name="동발공_터널">#REF!</definedName>
    <definedName name="동양2" localSheetId="3">#REF!</definedName>
    <definedName name="동양2">#REF!</definedName>
    <definedName name="동의건축디자인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0">#REF!</definedName>
    <definedName name="두기1" localSheetId="3">#REF!</definedName>
    <definedName name="두기1">#REF!</definedName>
    <definedName name="두기1호" localSheetId="0">#REF!</definedName>
    <definedName name="두기1호" localSheetId="3">#REF!</definedName>
    <definedName name="두기1호">#REF!</definedName>
    <definedName name="두기2" localSheetId="0">#REF!</definedName>
    <definedName name="두기2" localSheetId="3">#REF!</definedName>
    <definedName name="두기2">#REF!</definedName>
    <definedName name="두기2호" localSheetId="3">#REF!</definedName>
    <definedName name="두기2호">#REF!</definedName>
    <definedName name="두기3" localSheetId="3">#REF!</definedName>
    <definedName name="두기3">#REF!</definedName>
    <definedName name="두기3호" localSheetId="3">#REF!</definedName>
    <definedName name="두기3호">#REF!</definedName>
    <definedName name="드잡이공" localSheetId="3">#REF!</definedName>
    <definedName name="드잡이공">#REF!</definedName>
    <definedName name="등기구" localSheetId="0">BlankMacro1</definedName>
    <definedName name="등기구" localSheetId="2">BlankMacro1</definedName>
    <definedName name="등기구" localSheetId="3">BlankMacro1</definedName>
    <definedName name="등기구">BlankMacro1</definedName>
    <definedName name="디스트리뷰터" localSheetId="0">#REF!</definedName>
    <definedName name="디스트리뷰터" localSheetId="3">#REF!</definedName>
    <definedName name="디스트리뷰터">#REF!</definedName>
    <definedName name="ㄹ" localSheetId="0">#REF!</definedName>
    <definedName name="ㄹ" localSheetId="3">#REF!</definedName>
    <definedName name="ㄹ">#REF!</definedName>
    <definedName name="ㄹ1339" localSheetId="0">#REF!</definedName>
    <definedName name="ㄹ1339" localSheetId="3">#REF!</definedName>
    <definedName name="ㄹ1339">#REF!</definedName>
    <definedName name="ㄹㄴㅁㄹㄴ" localSheetId="0" hidden="1">{#N/A,"수불부",FALSE,"사급자재수불서";#N/A,"수불부",FALSE,"사급자재수불서"}</definedName>
    <definedName name="ㄹㄴㅁㄹㄴ" hidden="1">{#N/A,"수불부",FALSE,"사급자재수불서";#N/A,"수불부",FALSE,"사급자재수불서"}</definedName>
    <definedName name="ㄹㄴㅁㄹㅇㄴ" localSheetId="0" hidden="1">{"'Sheet1'!$D$19","'Sheet1'!$B$22:$E$22"}</definedName>
    <definedName name="ㄹㄴㅁㄹㅇㄴ" hidden="1">{"'Sheet1'!$D$19","'Sheet1'!$B$22:$E$22"}</definedName>
    <definedName name="ㄹㄹㄹ" localSheetId="0" hidden="1">#REF!</definedName>
    <definedName name="ㄹㄹㄹ" localSheetId="3" hidden="1">#REF!</definedName>
    <definedName name="ㄹㄹㄹ" hidden="1">#REF!</definedName>
    <definedName name="ㄹㅇ" localSheetId="0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ㄴㄹ" localSheetId="0" hidden="1">{#N/A,"수불부",FALSE,"사급자재수불서";#N/A,"수불부",FALSE,"사급자재수불서"}</definedName>
    <definedName name="ㄹㅇㄴㄹ" hidden="1">{#N/A,"수불부",FALSE,"사급자재수불서";#N/A,"수불부",FALSE,"사급자재수불서"}</definedName>
    <definedName name="ㄹㅇㄹㅇㄴ" localSheetId="0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0">#REF!</definedName>
    <definedName name="랙1" localSheetId="3">#REF!</definedName>
    <definedName name="랙1">#REF!</definedName>
    <definedName name="랙2" localSheetId="0">#REF!</definedName>
    <definedName name="랙2" localSheetId="3">#REF!</definedName>
    <definedName name="랙2">#REF!</definedName>
    <definedName name="랙3" localSheetId="0">#REF!</definedName>
    <definedName name="랙3" localSheetId="3">#REF!</definedName>
    <definedName name="랙3">#REF!</definedName>
    <definedName name="랙4" localSheetId="3">#REF!</definedName>
    <definedName name="랙4">#REF!</definedName>
    <definedName name="랙설치" localSheetId="3">#REF!</definedName>
    <definedName name="랙설치">#REF!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롯드" localSheetId="0">#REF!</definedName>
    <definedName name="롯드" localSheetId="3">#REF!</definedName>
    <definedName name="롯드">#REF!</definedName>
    <definedName name="리벳공" localSheetId="0">#REF!</definedName>
    <definedName name="리벳공" localSheetId="3">#REF!</definedName>
    <definedName name="리벳공">#REF!</definedName>
    <definedName name="ㅁ" localSheetId="0" hidden="1">#REF!</definedName>
    <definedName name="ㅁ" localSheetId="3" hidden="1">#REF!</definedName>
    <definedName name="ㅁ" hidden="1">#REF!</definedName>
    <definedName name="ㅁ0" localSheetId="3">#REF!</definedName>
    <definedName name="ㅁ0">#REF!</definedName>
    <definedName name="ㅁ1" localSheetId="1">#REF!</definedName>
    <definedName name="ㅁ1" localSheetId="2">#REF!</definedName>
    <definedName name="ㅁ1" localSheetId="3">#REF!</definedName>
    <definedName name="ㅁ1">#REF!</definedName>
    <definedName name="ㅁ100" localSheetId="3">#REF!</definedName>
    <definedName name="ㅁ100">#REF!</definedName>
    <definedName name="ㅁ1000" localSheetId="3">#REF!</definedName>
    <definedName name="ㅁ1000">#REF!</definedName>
    <definedName name="ㅁ1180" localSheetId="3">#REF!</definedName>
    <definedName name="ㅁ1180">#REF!</definedName>
    <definedName name="ㅁ1700" localSheetId="3">#REF!</definedName>
    <definedName name="ㅁ1700">#REF!</definedName>
    <definedName name="ㅁ1800" localSheetId="3">#REF!</definedName>
    <definedName name="ㅁ1800">#REF!</definedName>
    <definedName name="ㅁ1882" localSheetId="3">#REF!</definedName>
    <definedName name="ㅁ1882">#REF!</definedName>
    <definedName name="ㅁ2200" localSheetId="3">#REF!</definedName>
    <definedName name="ㅁ2200">#REF!</definedName>
    <definedName name="ㅁ2400" localSheetId="3">#REF!</definedName>
    <definedName name="ㅁ2400">#REF!</definedName>
    <definedName name="ㅁ250" localSheetId="3">#REF!</definedName>
    <definedName name="ㅁ250">#REF!</definedName>
    <definedName name="ㅁ400" localSheetId="3">#REF!</definedName>
    <definedName name="ㅁ400">#REF!</definedName>
    <definedName name="ㅁ500" localSheetId="3">#REF!</definedName>
    <definedName name="ㅁ500">#REF!</definedName>
    <definedName name="ㅁㄴ" localSheetId="3" hidden="1">#REF!</definedName>
    <definedName name="ㅁㄴ" hidden="1">#REF!</definedName>
    <definedName name="ㅁㄴㅇㄹㄴㄹ" localSheetId="0" hidden="1">{#N/A,"수불부",FALSE,"사급자재수불서";#N/A,"수불부",FALSE,"사급자재수불서"}</definedName>
    <definedName name="ㅁㄴㅇㄹㄴㄹ" hidden="1">{#N/A,"수불부",FALSE,"사급자재수불서";#N/A,"수불부",FALSE,"사급자재수불서"}</definedName>
    <definedName name="ㅁㄴㅇㄻㄹ" localSheetId="0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localSheetId="0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0">#REF!</definedName>
    <definedName name="ㅁㄻㄴㅇ" localSheetId="3">#REF!</definedName>
    <definedName name="ㅁㄻㄴㅇ">#REF!</definedName>
    <definedName name="ㅁㄻㅇㄹㄴ" localSheetId="0" hidden="1">{#N/A,"수불부",FALSE,"사급자재수불서";#N/A,"수불부",FALSE,"사급자재수불서"}</definedName>
    <definedName name="ㅁㄻㅇㄹㄴ" hidden="1">{#N/A,"수불부",FALSE,"사급자재수불서";#N/A,"수불부",FALSE,"사급자재수불서"}</definedName>
    <definedName name="ㅁㅁ" localSheetId="0" hidden="1">{#N/A,#N/A,FALSE,"CAM-G7";#N/A,#N/A,FALSE,"SPL";#N/A,#N/A,FALSE,"butt-in G7";#N/A,#N/A,FALSE,"dia-in G7";#N/A,#N/A,FALSE,"추가-STA G7"}</definedName>
    <definedName name="ㅁㅁ" localSheetId="1" hidden="1">#REF!</definedName>
    <definedName name="ㅁㅁ" localSheetId="2" hidden="1">#REF!</definedName>
    <definedName name="ㅁㅁ" localSheetId="3" hidden="1">#REF!</definedName>
    <definedName name="ㅁㅁ" hidden="1">{#N/A,#N/A,FALSE,"CAM-G7";#N/A,#N/A,FALSE,"SPL";#N/A,#N/A,FALSE,"butt-in G7";#N/A,#N/A,FALSE,"dia-in G7";#N/A,#N/A,FALSE,"추가-STA G7"}</definedName>
    <definedName name="ㅁㅁㅁㅁㅁ" localSheetId="0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0">#REF!</definedName>
    <definedName name="ㅁㅇ" localSheetId="3">#REF!</definedName>
    <definedName name="ㅁㅇ">#REF!</definedName>
    <definedName name="ㅁㅇㄹㄴㄻ" localSheetId="0" hidden="1">{"'Sheet1'!$D$19","'Sheet1'!$B$22:$E$22"}</definedName>
    <definedName name="ㅁㅇㄹㄴㄻ" hidden="1">{"'Sheet1'!$D$19","'Sheet1'!$B$22:$E$22"}</definedName>
    <definedName name="ㅁㅇㄹㄴㅁㅇㄹㄴ" localSheetId="0" hidden="1">{#N/A,"수불부",FALSE,"사급자재수불서";#N/A,"수불부",FALSE,"사급자재수불서"}</definedName>
    <definedName name="ㅁㅇㄹㄴㅁㅇㄹㄴ" hidden="1">{#N/A,"수불부",FALSE,"사급자재수불서";#N/A,"수불부",FALSE,"사급자재수불서"}</definedName>
    <definedName name="ㅁㅇㄹㄴㅇㄹㄴㅇㄹ" localSheetId="0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0">#REF!</definedName>
    <definedName name="마감사" localSheetId="3">#REF!</definedName>
    <definedName name="마감사">#REF!</definedName>
    <definedName name="만수" localSheetId="0">BlankMacro1</definedName>
    <definedName name="만수" localSheetId="2">BlankMacro1</definedName>
    <definedName name="만수" localSheetId="3">BlankMacro1</definedName>
    <definedName name="만수">BlankMacro1</definedName>
    <definedName name="매입" localSheetId="0">#REF!</definedName>
    <definedName name="매입" localSheetId="3">#REF!</definedName>
    <definedName name="매입">#REF!</definedName>
    <definedName name="맥문동" localSheetId="0">#REF!</definedName>
    <definedName name="맥문동" localSheetId="3">#REF!</definedName>
    <definedName name="맥문동">#REF!</definedName>
    <definedName name="머캔덤롤러" localSheetId="0">#REF!</definedName>
    <definedName name="머캔덤롤러" localSheetId="3">#REF!</definedName>
    <definedName name="머캔덤롤러">#REF!</definedName>
    <definedName name="먹스" localSheetId="3">#REF!</definedName>
    <definedName name="먹스">#REF!</definedName>
    <definedName name="면적" localSheetId="3">#REF!</definedName>
    <definedName name="면적">#REF!</definedName>
    <definedName name="명단" localSheetId="0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명암" localSheetId="0">#REF!</definedName>
    <definedName name="명암" localSheetId="3">#REF!</definedName>
    <definedName name="명암">#REF!</definedName>
    <definedName name="명암2" localSheetId="0">#REF!</definedName>
    <definedName name="명암2" localSheetId="3">#REF!</definedName>
    <definedName name="명암2">#REF!</definedName>
    <definedName name="명찰1" localSheetId="0">#REF!</definedName>
    <definedName name="명찰1" localSheetId="3">#REF!</definedName>
    <definedName name="명찰1">#REF!</definedName>
    <definedName name="명찰2" localSheetId="3">#REF!</definedName>
    <definedName name="명찰2">#REF!</definedName>
    <definedName name="명찰취부1" localSheetId="3">#REF!</definedName>
    <definedName name="명찰취부1">#REF!</definedName>
    <definedName name="명찰취부2" localSheetId="3">#REF!</definedName>
    <definedName name="명찰취부2">#REF!</definedName>
    <definedName name="명칭" localSheetId="3">#REF!</definedName>
    <definedName name="명칭">#REF!</definedName>
    <definedName name="모과나무" localSheetId="3">#REF!</definedName>
    <definedName name="모과나무">#REF!</definedName>
    <definedName name="모랑" localSheetId="3">#REF!</definedName>
    <definedName name="모랑">#REF!</definedName>
    <definedName name="모래" localSheetId="3">#REF!</definedName>
    <definedName name="모래">#REF!</definedName>
    <definedName name="모터그레이더" localSheetId="3">#REF!</definedName>
    <definedName name="모터그레이더">#REF!</definedName>
    <definedName name="목견적" localSheetId="0">BlankMacro1</definedName>
    <definedName name="목견적" localSheetId="2">BlankMacro1</definedName>
    <definedName name="목견적" localSheetId="3">BlankMacro1</definedName>
    <definedName name="목견적">BlankMacro1</definedName>
    <definedName name="목공" localSheetId="0">#REF!</definedName>
    <definedName name="목공" localSheetId="3">#REF!</definedName>
    <definedName name="목공">#REF!</definedName>
    <definedName name="목도" localSheetId="0">#REF!</definedName>
    <definedName name="목도" localSheetId="3">#REF!</definedName>
    <definedName name="목도">#REF!</definedName>
    <definedName name="목도공" localSheetId="1">#REF!</definedName>
    <definedName name="목도공" localSheetId="2">#REF!</definedName>
    <definedName name="목도공" localSheetId="3">#REF!</definedName>
    <definedName name="목도공">#REF!</definedName>
    <definedName name="목백합" localSheetId="3">#REF!</definedName>
    <definedName name="목백합">#REF!</definedName>
    <definedName name="목조각공" localSheetId="3">#REF!</definedName>
    <definedName name="목조각공">#REF!</definedName>
    <definedName name="목차" localSheetId="3">#REF!</definedName>
    <definedName name="목차">#REF!</definedName>
    <definedName name="몰라" localSheetId="3">#REF!</definedName>
    <definedName name="몰라">#REF!</definedName>
    <definedName name="무궁화" localSheetId="3">#REF!</definedName>
    <definedName name="무궁화">#REF!</definedName>
    <definedName name="무농1호" localSheetId="3">#REF!</definedName>
    <definedName name="무농1호">#REF!</definedName>
    <definedName name="무농2호" localSheetId="3">#REF!</definedName>
    <definedName name="무농2호">#REF!</definedName>
    <definedName name="무선안테나공" localSheetId="3">#REF!</definedName>
    <definedName name="무선안테나공">#REF!</definedName>
    <definedName name="무인경비" localSheetId="0">BlankMacro1</definedName>
    <definedName name="무인경비" localSheetId="2">BlankMacro1</definedName>
    <definedName name="무인경비" localSheetId="3">BlankMacro1</definedName>
    <definedName name="무인경비">BlankMacro1</definedName>
    <definedName name="물가" localSheetId="0">#REF!</definedName>
    <definedName name="물가" localSheetId="3">#REF!</definedName>
    <definedName name="물가">#REF!</definedName>
    <definedName name="물가2" localSheetId="0">#REF!</definedName>
    <definedName name="물가2" localSheetId="3">#REF!</definedName>
    <definedName name="물가2">#REF!</definedName>
    <definedName name="물탱크" localSheetId="0">#REF!</definedName>
    <definedName name="물탱크" localSheetId="3">#REF!</definedName>
    <definedName name="물탱크">#REF!</definedName>
    <definedName name="미술설계" localSheetId="3">#REF!</definedName>
    <definedName name="미술설계">#REF!</definedName>
    <definedName name="미장공" localSheetId="3">#REF!</definedName>
    <definedName name="미장공">#REF!</definedName>
    <definedName name="ㅂ" localSheetId="0">#N/A</definedName>
    <definedName name="ㅂ" localSheetId="1">#REF!</definedName>
    <definedName name="ㅂ" localSheetId="2">#REF!</definedName>
    <definedName name="ㅂ" localSheetId="3">#REF!</definedName>
    <definedName name="ㅂ">내역!ㅂ</definedName>
    <definedName name="ㅂㅈ" localSheetId="0">#N/A</definedName>
    <definedName name="ㅂㅈ" localSheetId="1">#REF!</definedName>
    <definedName name="ㅂㅈ" localSheetId="2">#REF!</definedName>
    <definedName name="ㅂㅈ" localSheetId="3">#REF!</definedName>
    <definedName name="ㅂㅈ">내역!ㅂㅈ</definedName>
    <definedName name="ㅂㅈㅂㅈㅂㅈ" localSheetId="0">#REF!</definedName>
    <definedName name="ㅂㅈㅂㅈㅂㅈ" localSheetId="3">#REF!</definedName>
    <definedName name="ㅂㅈㅂㅈㅂㅈ">#REF!</definedName>
    <definedName name="바보팅" localSheetId="0">#REF!</definedName>
    <definedName name="바보팅" localSheetId="3">#REF!</definedName>
    <definedName name="바보팅">#REF!</definedName>
    <definedName name="바인드선" localSheetId="0">#REF!</definedName>
    <definedName name="바인드선" localSheetId="3">#REF!</definedName>
    <definedName name="바인드선">#REF!</definedName>
    <definedName name="바인드신설1" localSheetId="3">#REF!</definedName>
    <definedName name="바인드신설1">#REF!</definedName>
    <definedName name="바인드신설2" localSheetId="3">#REF!</definedName>
    <definedName name="바인드신설2">#REF!</definedName>
    <definedName name="바인드신설3" localSheetId="3">#REF!</definedName>
    <definedName name="바인드신설3">#REF!</definedName>
    <definedName name="바인드해체1" localSheetId="3">#REF!</definedName>
    <definedName name="바인드해체1">#REF!</definedName>
    <definedName name="박원흠" localSheetId="0" hidden="1">{#N/A,#N/A,FALSE,"현장 NCR 분석";#N/A,#N/A,FALSE,"현장품질감사";#N/A,#N/A,FALSE,"현장품질감사"}</definedName>
    <definedName name="박원흠" hidden="1">{#N/A,#N/A,FALSE,"현장 NCR 분석";#N/A,#N/A,FALSE,"현장품질감사";#N/A,#N/A,FALSE,"현장품질감사"}</definedName>
    <definedName name="박은하" localSheetId="0">Dlog_Show</definedName>
    <definedName name="박은하" localSheetId="2">Dlog_Show</definedName>
    <definedName name="박은하" localSheetId="3">Dlog_Show</definedName>
    <definedName name="박은하">Dlog_Show</definedName>
    <definedName name="박태기" localSheetId="0">#REF!</definedName>
    <definedName name="박태기" localSheetId="3">#REF!</definedName>
    <definedName name="박태기">#REF!</definedName>
    <definedName name="반경관" localSheetId="0">#REF!</definedName>
    <definedName name="반경관" localSheetId="3">#REF!</definedName>
    <definedName name="반경관">#REF!</definedName>
    <definedName name="반경관취부밴드" localSheetId="0">#REF!</definedName>
    <definedName name="반경관취부밴드" localSheetId="3">#REF!</definedName>
    <definedName name="반경관취부밴드">#REF!</definedName>
    <definedName name="반송쉴드케이블포선남땜" localSheetId="3">#REF!</definedName>
    <definedName name="반송쉴드케이블포선남땜">#REF!</definedName>
    <definedName name="반송쉴드케이블포설" localSheetId="3">#REF!</definedName>
    <definedName name="반송쉴드케이블포설">#REF!</definedName>
    <definedName name="발주처" localSheetId="3">#REF!</definedName>
    <definedName name="발주처">#REF!</definedName>
    <definedName name="발포지수제" localSheetId="3">#REF!</definedName>
    <definedName name="발포지수제">#REF!</definedName>
    <definedName name="발포지수제분사처리" localSheetId="3">#REF!</definedName>
    <definedName name="발포지수제분사처리">#REF!</definedName>
    <definedName name="밧데리1" localSheetId="3">#REF!</definedName>
    <definedName name="밧데리1">#REF!</definedName>
    <definedName name="밧데리2" localSheetId="3">#REF!</definedName>
    <definedName name="밧데리2">#REF!</definedName>
    <definedName name="방수" localSheetId="3">#REF!</definedName>
    <definedName name="방수">#REF!</definedName>
    <definedName name="방수공" localSheetId="3">#REF!</definedName>
    <definedName name="방수공">#REF!</definedName>
    <definedName name="방수시설" localSheetId="3">#REF!</definedName>
    <definedName name="방수시설">#REF!</definedName>
    <definedName name="방수장치" localSheetId="3">#REF!</definedName>
    <definedName name="방수장치">#REF!</definedName>
    <definedName name="배관" localSheetId="3">#REF!</definedName>
    <definedName name="배관">#REF!</definedName>
    <definedName name="배관공" localSheetId="1">#REF!</definedName>
    <definedName name="배관공" localSheetId="2">#REF!</definedName>
    <definedName name="배관공" localSheetId="3">#REF!</definedName>
    <definedName name="배관공">#REF!</definedName>
    <definedName name="배롱나무" localSheetId="3">#REF!</definedName>
    <definedName name="배롱나무">#REF!</definedName>
    <definedName name="배전" localSheetId="3">#REF!</definedName>
    <definedName name="배전">#REF!</definedName>
    <definedName name="배전전공" localSheetId="1">#REF!</definedName>
    <definedName name="배전전공" localSheetId="2">#REF!</definedName>
    <definedName name="배전전공" localSheetId="3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 localSheetId="3">#REF!</definedName>
    <definedName name="배전활선전공">#REF!</definedName>
    <definedName name="백강관배관_Sheet2_List" localSheetId="3">#REF!</definedName>
    <definedName name="백강관배관_Sheet2_List">#REF!</definedName>
    <definedName name="밴드취부" localSheetId="3">#REF!</definedName>
    <definedName name="밴드취부">#REF!</definedName>
    <definedName name="번들1호" localSheetId="3">#REF!</definedName>
    <definedName name="번들1호">#REF!</definedName>
    <definedName name="번들2호" localSheetId="3">#REF!</definedName>
    <definedName name="번들2호">#REF!</definedName>
    <definedName name="번들3호" localSheetId="3">#REF!</definedName>
    <definedName name="번들3호">#REF!</definedName>
    <definedName name="벌목부" localSheetId="3">#REF!</definedName>
    <definedName name="벌목부">#REF!</definedName>
    <definedName name="법번" localSheetId="3">#REF!</definedName>
    <definedName name="법번">#REF!</definedName>
    <definedName name="벽관통" localSheetId="3">#REF!</definedName>
    <definedName name="벽관통">#REF!</definedName>
    <definedName name="벽돌_블럭_제작공" localSheetId="3">#REF!</definedName>
    <definedName name="벽돌_블럭_제작공">#REF!</definedName>
    <definedName name="벽철" localSheetId="3">#REF!</definedName>
    <definedName name="벽철">#REF!</definedName>
    <definedName name="벽철취부" localSheetId="3">#REF!</definedName>
    <definedName name="벽철취부">#REF!</definedName>
    <definedName name="변경비" localSheetId="3">#REF!</definedName>
    <definedName name="변경비">#REF!</definedName>
    <definedName name="변고용보험료" localSheetId="3">#REF!</definedName>
    <definedName name="변고용보험료">#REF!</definedName>
    <definedName name="변공급가액" localSheetId="3">#REF!</definedName>
    <definedName name="변공급가액">#REF!</definedName>
    <definedName name="변기타경비" localSheetId="3">#REF!</definedName>
    <definedName name="변기타경비">#REF!</definedName>
    <definedName name="변노무비" localSheetId="3">#REF!</definedName>
    <definedName name="변노무비">#REF!</definedName>
    <definedName name="변도급액" localSheetId="3">#REF!</definedName>
    <definedName name="변도급액">#REF!</definedName>
    <definedName name="변부가가치세" localSheetId="3">#REF!</definedName>
    <definedName name="변부가가치세">#REF!</definedName>
    <definedName name="변산재보험료" localSheetId="3">#REF!</definedName>
    <definedName name="변산재보험료">#REF!</definedName>
    <definedName name="변순공사원가" localSheetId="3">#REF!</definedName>
    <definedName name="변순공사원가">#REF!</definedName>
    <definedName name="변재료비" localSheetId="3">#REF!</definedName>
    <definedName name="변재료비">#REF!</definedName>
    <definedName name="변전전공" localSheetId="3">#REF!</definedName>
    <definedName name="변전전공">#REF!</definedName>
    <definedName name="변폐기물처리비" localSheetId="3">#REF!</definedName>
    <definedName name="변폐기물처리비">#REF!</definedName>
    <definedName name="보굴착" localSheetId="3">#REF!</definedName>
    <definedName name="보굴착">#REF!</definedName>
    <definedName name="보도" localSheetId="3">#REF!</definedName>
    <definedName name="보도">#REF!</definedName>
    <definedName name="보링공_지질조사" localSheetId="3">#REF!</definedName>
    <definedName name="보링공_지질조사">#REF!</definedName>
    <definedName name="보안공" localSheetId="3">#REF!</definedName>
    <definedName name="보안공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0">#REF!</definedName>
    <definedName name="보온공" localSheetId="3">#REF!</definedName>
    <definedName name="보온공">#REF!</definedName>
    <definedName name="보인" localSheetId="0">#REF!</definedName>
    <definedName name="보인" localSheetId="3">#REF!</definedName>
    <definedName name="보인">#REF!</definedName>
    <definedName name="보일러공" localSheetId="0">#REF!</definedName>
    <definedName name="보일러공" localSheetId="3">#REF!</definedName>
    <definedName name="보일러공">#REF!</definedName>
    <definedName name="보통" localSheetId="3">#REF!</definedName>
    <definedName name="보통">#REF!</definedName>
    <definedName name="보통선원" localSheetId="3">#REF!</definedName>
    <definedName name="보통선원">#REF!</definedName>
    <definedName name="보통인부" localSheetId="3">#REF!</definedName>
    <definedName name="보통인부">#REF!</definedName>
    <definedName name="보험료.i33" localSheetId="3">#REF!</definedName>
    <definedName name="보험료.i33">#REF!</definedName>
    <definedName name="복리" localSheetId="3">#REF!</definedName>
    <definedName name="복리">#REF!</definedName>
    <definedName name="복리1" localSheetId="3">#REF!</definedName>
    <definedName name="복리1">#REF!</definedName>
    <definedName name="봉천동주택2" localSheetId="0">BlankMacro1</definedName>
    <definedName name="봉천동주택2" localSheetId="2">BlankMacro1</definedName>
    <definedName name="봉천동주택2" localSheetId="3">BlankMacro1</definedName>
    <definedName name="봉천동주택2">BlankMacro1</definedName>
    <definedName name="부__가___가__치__세" localSheetId="0">#REF!</definedName>
    <definedName name="부__가___가__치__세" localSheetId="3">#REF!</definedName>
    <definedName name="부__가___가__치__세">#REF!</definedName>
    <definedName name="부가가치세" localSheetId="0">#REF!</definedName>
    <definedName name="부가가치세" localSheetId="3">#REF!</definedName>
    <definedName name="부가가치세">#REF!</definedName>
    <definedName name="부가가치세요율" localSheetId="0">#REF!</definedName>
    <definedName name="부가가치세요율" localSheetId="3">#REF!</definedName>
    <definedName name="부가가치세요율">#REF!</definedName>
    <definedName name="부가가치표" localSheetId="3">#REF!</definedName>
    <definedName name="부가가치표">#REF!</definedName>
    <definedName name="부가세" localSheetId="3">#REF!</definedName>
    <definedName name="부가세">#REF!</definedName>
    <definedName name="부경비" localSheetId="3">#REF!</definedName>
    <definedName name="부경비">#REF!</definedName>
    <definedName name="부기경비" localSheetId="3">#REF!</definedName>
    <definedName name="부기경비">#REF!</definedName>
    <definedName name="부대공사집계표" localSheetId="3">#REF!</definedName>
    <definedName name="부대공사집계표">#REF!</definedName>
    <definedName name="부대내역비교" localSheetId="3">#REF!</definedName>
    <definedName name="부대내역비교">#REF!</definedName>
    <definedName name="부대사항" localSheetId="3">#REF!</definedName>
    <definedName name="부대사항">#REF!</definedName>
    <definedName name="부대원본" localSheetId="0" hidden="1">{#N/A,#N/A,FALSE,"토공2"}</definedName>
    <definedName name="부대원본" hidden="1">{#N/A,#N/A,FALSE,"토공2"}</definedName>
    <definedName name="부대일위대가" localSheetId="0">#REF!</definedName>
    <definedName name="부대일위대가" localSheetId="3">#REF!</definedName>
    <definedName name="부대일위대가">#REF!</definedName>
    <definedName name="부대입찰잡비" localSheetId="0">Dlog_Show</definedName>
    <definedName name="부대입찰잡비" localSheetId="2">Dlog_Show</definedName>
    <definedName name="부대입찰잡비" localSheetId="3">Dlog_Show</definedName>
    <definedName name="부대입찰잡비">Dlog_Show</definedName>
    <definedName name="부대토목" localSheetId="0">#REF!</definedName>
    <definedName name="부대토목" localSheetId="3">#REF!</definedName>
    <definedName name="부대토목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토" localSheetId="0">Dlog_Show</definedName>
    <definedName name="부토" localSheetId="2">Dlog_Show</definedName>
    <definedName name="부토" localSheetId="3">Dlog_Show</definedName>
    <definedName name="부토">Dlog_Show</definedName>
    <definedName name="분배함취부" localSheetId="0">#REF!</definedName>
    <definedName name="분배함취부" localSheetId="3">#REF!</definedName>
    <definedName name="분배함취부">#REF!</definedName>
    <definedName name="분석CHART" localSheetId="0">#REF!</definedName>
    <definedName name="분석CHART" localSheetId="3">#REF!</definedName>
    <definedName name="분석CHART">#REF!</definedName>
    <definedName name="분석CHAT" localSheetId="0">#REF!</definedName>
    <definedName name="분석CHAT" localSheetId="3">#REF!</definedName>
    <definedName name="분석CHAT">#REF!</definedName>
    <definedName name="분석챠트" localSheetId="0">#REF!,#REF!</definedName>
    <definedName name="분석챠트" localSheetId="3">#REF!,#REF!</definedName>
    <definedName name="분석챠트">#REF!,#REF!</definedName>
    <definedName name="備_________考" localSheetId="0">#REF!</definedName>
    <definedName name="備_________考" localSheetId="3">#REF!</definedName>
    <definedName name="備_________考">#REF!</definedName>
    <definedName name="비______목" localSheetId="0">#REF!</definedName>
    <definedName name="비______목" localSheetId="3">#REF!</definedName>
    <definedName name="비______목">#REF!</definedName>
    <definedName name="비계" localSheetId="0">#REF!</definedName>
    <definedName name="비계" localSheetId="3">#REF!</definedName>
    <definedName name="비계">#REF!</definedName>
    <definedName name="비계공" localSheetId="1">#REF!</definedName>
    <definedName name="비계공" localSheetId="2">#REF!</definedName>
    <definedName name="비계공" localSheetId="3">#REF!</definedName>
    <definedName name="비계공">#REF!</definedName>
    <definedName name="비고" localSheetId="3">#REF!</definedName>
    <definedName name="비고">#REF!</definedName>
    <definedName name="비닐절연전선1" localSheetId="3">#REF!</definedName>
    <definedName name="비닐절연전선1">#REF!</definedName>
    <definedName name="비닐절연전선2" localSheetId="3">#REF!</definedName>
    <definedName name="비닐절연전선2">#REF!</definedName>
    <definedName name="비닐절연전선3" localSheetId="3">#REF!</definedName>
    <definedName name="비닐절연전선3">#REF!</definedName>
    <definedName name="비닐절연전선4" localSheetId="3">#REF!</definedName>
    <definedName name="비닐절연전선4">#REF!</definedName>
    <definedName name="비닐절연전선5" localSheetId="3">#REF!</definedName>
    <definedName name="비닐절연전선5">#REF!</definedName>
    <definedName name="비목1" localSheetId="1">#REF!</definedName>
    <definedName name="비목1" localSheetId="2">#REF!</definedName>
    <definedName name="비목1" localSheetId="3">#REF!</definedName>
    <definedName name="비목1">#REF!</definedName>
    <definedName name="비목2" localSheetId="1">#REF!</definedName>
    <definedName name="비목2" localSheetId="2">#REF!</definedName>
    <definedName name="비목2" localSheetId="3">#REF!</definedName>
    <definedName name="비목2">#REF!</definedName>
    <definedName name="비목3" localSheetId="1">#REF!</definedName>
    <definedName name="비목3" localSheetId="2">#REF!</definedName>
    <definedName name="비목3" localSheetId="3">#REF!</definedName>
    <definedName name="비목3">#REF!</definedName>
    <definedName name="비목4" localSheetId="1">#REF!</definedName>
    <definedName name="비목4" localSheetId="2">#REF!</definedName>
    <definedName name="비목4" localSheetId="3">#REF!</definedName>
    <definedName name="비목4">#REF!</definedName>
    <definedName name="비비추" localSheetId="3">#REF!</definedName>
    <definedName name="비비추">#REF!</definedName>
    <definedName name="비율" localSheetId="3">#REF!</definedName>
    <definedName name="비율">#REF!</definedName>
    <definedName name="비지수" localSheetId="3">#REF!</definedName>
    <definedName name="비지수">#REF!</definedName>
    <definedName name="사" localSheetId="3">#REF!</definedName>
    <definedName name="사">#REF!</definedName>
    <definedName name="사__급___자__재__비" localSheetId="3">#REF!</definedName>
    <definedName name="사__급___자__재__비">#REF!</definedName>
    <definedName name="사계계약고" localSheetId="3">#REF!</definedName>
    <definedName name="사계계약고">#REF!</definedName>
    <definedName name="사계비고" localSheetId="3">#REF!</definedName>
    <definedName name="사계비고">#REF!</definedName>
    <definedName name="사계소화" localSheetId="3">#REF!</definedName>
    <definedName name="사계소화">#REF!</definedName>
    <definedName name="사계전월실적" localSheetId="3">#REF!</definedName>
    <definedName name="사계전월실적">#REF!</definedName>
    <definedName name="사계투입" localSheetId="3">#REF!</definedName>
    <definedName name="사계투입">#REF!</definedName>
    <definedName name="사계현재실적" localSheetId="3">#REF!</definedName>
    <definedName name="사계현재실적">#REF!</definedName>
    <definedName name="사굴착" localSheetId="3">#REF!</definedName>
    <definedName name="사굴착">#REF!</definedName>
    <definedName name="사급경비" localSheetId="3">#REF!</definedName>
    <definedName name="사급경비">#REF!</definedName>
    <definedName name="사급경비1" localSheetId="3">#REF!</definedName>
    <definedName name="사급경비1">#REF!</definedName>
    <definedName name="사급장비" localSheetId="3">#REF!</definedName>
    <definedName name="사급장비">#REF!</definedName>
    <definedName name="사급장비비" localSheetId="3">#REF!</definedName>
    <definedName name="사급장비비">#REF!</definedName>
    <definedName name="사급재료" localSheetId="3">#REF!</definedName>
    <definedName name="사급재료">#REF!</definedName>
    <definedName name="사급재료1" localSheetId="3">#REF!</definedName>
    <definedName name="사급재료1">#REF!</definedName>
    <definedName name="사급재료비" localSheetId="3">#REF!</definedName>
    <definedName name="사급재료비">#REF!</definedName>
    <definedName name="사리도" localSheetId="3">#REF!</definedName>
    <definedName name="사리도">#REF!</definedName>
    <definedName name="사번" localSheetId="3">#REF!</definedName>
    <definedName name="사번">#REF!</definedName>
    <definedName name="사업비_현황" localSheetId="3">#REF!</definedName>
    <definedName name="사업비_현황">#REF!</definedName>
    <definedName name="산1" localSheetId="3">#REF!</definedName>
    <definedName name="산1">#REF!</definedName>
    <definedName name="산안" localSheetId="3">#REF!</definedName>
    <definedName name="산안">#REF!</definedName>
    <definedName name="산영상31" localSheetId="3">#REF!</definedName>
    <definedName name="산영상31">#REF!</definedName>
    <definedName name="산재" localSheetId="3">#REF!</definedName>
    <definedName name="산재">#REF!</definedName>
    <definedName name="산재1" localSheetId="3">#REF!</definedName>
    <definedName name="산재1">#REF!</definedName>
    <definedName name="산재보험료" localSheetId="1">#REF!</definedName>
    <definedName name="산재보험료" localSheetId="2">#REF!</definedName>
    <definedName name="산재보험료" localSheetId="3">#REF!</definedName>
    <definedName name="산재보험료">#REF!</definedName>
    <definedName name="산재보험료요율" localSheetId="3">#REF!</definedName>
    <definedName name="산재보험료요율">#REF!</definedName>
    <definedName name="산재보험료표" localSheetId="3">#REF!</definedName>
    <definedName name="산재보험료표">#REF!</definedName>
    <definedName name="산정2" localSheetId="3">#REF!</definedName>
    <definedName name="산정2">#REF!</definedName>
    <definedName name="산정표" localSheetId="3">#REF!</definedName>
    <definedName name="산정표">#REF!</definedName>
    <definedName name="산철쭉" localSheetId="3">#REF!</definedName>
    <definedName name="산철쭉">#REF!</definedName>
    <definedName name="산출" localSheetId="3">#REF!</definedName>
    <definedName name="산출">#REF!</definedName>
    <definedName name="산출경비" localSheetId="3">#REF!</definedName>
    <definedName name="산출경비">#REF!</definedName>
    <definedName name="산출근거" localSheetId="1">#REF!</definedName>
    <definedName name="산출근거" localSheetId="2">#REF!</definedName>
    <definedName name="산출근거" localSheetId="3">#REF!</definedName>
    <definedName name="산출근거">#REF!</definedName>
    <definedName name="산출자재수량1" localSheetId="3">#REF!</definedName>
    <definedName name="산출자재수량1">#REF!</definedName>
    <definedName name="산출자재수량2" localSheetId="3">#REF!</definedName>
    <definedName name="산출자재수량2">#REF!</definedName>
    <definedName name="산출자재수량3" localSheetId="3">#REF!</definedName>
    <definedName name="산출자재수량3">#REF!</definedName>
    <definedName name="산출자재수량4" localSheetId="3">#REF!</definedName>
    <definedName name="산출자재수량4">#REF!</definedName>
    <definedName name="산출자재수량5" localSheetId="3">#REF!</definedName>
    <definedName name="산출자재수량5">#REF!</definedName>
    <definedName name="산출자재코드1" localSheetId="3">#REF!</definedName>
    <definedName name="산출자재코드1">#REF!</definedName>
    <definedName name="산출자재코드2" localSheetId="3">#REF!</definedName>
    <definedName name="산출자재코드2">#REF!</definedName>
    <definedName name="산출자재코드3" localSheetId="3">#REF!</definedName>
    <definedName name="산출자재코드3">#REF!</definedName>
    <definedName name="산출자재코드4" localSheetId="3">#REF!</definedName>
    <definedName name="산출자재코드4">#REF!</definedName>
    <definedName name="산출자재코드5" localSheetId="3">#REF!</definedName>
    <definedName name="산출자재코드5">#REF!</definedName>
    <definedName name="삼" localSheetId="3">#REF!</definedName>
    <definedName name="삼">#REF!</definedName>
    <definedName name="상관D교" localSheetId="0" hidden="1">{#N/A,#N/A,FALSE,"CAM-G7";#N/A,#N/A,FALSE,"SPL";#N/A,#N/A,FALSE,"butt-in G7";#N/A,#N/A,FALSE,"dia-in G7";#N/A,#N/A,FALSE,"추가-STA G7"}</definedName>
    <definedName name="상관D교" hidden="1">{#N/A,#N/A,FALSE,"CAM-G7";#N/A,#N/A,FALSE,"SPL";#N/A,#N/A,FALSE,"butt-in G7";#N/A,#N/A,FALSE,"dia-in G7";#N/A,#N/A,FALSE,"추가-STA G7"}</definedName>
    <definedName name="상급원자력기술자" localSheetId="0">#REF!</definedName>
    <definedName name="상급원자력기술자" localSheetId="3">#REF!</definedName>
    <definedName name="상급원자력기술자">#REF!</definedName>
    <definedName name="상림1호" localSheetId="0">#REF!</definedName>
    <definedName name="상림1호" localSheetId="3">#REF!</definedName>
    <definedName name="상림1호">#REF!</definedName>
    <definedName name="상림2호" localSheetId="0">#REF!</definedName>
    <definedName name="상림2호" localSheetId="3">#REF!</definedName>
    <definedName name="상림2호">#REF!</definedName>
    <definedName name="상림3호" localSheetId="3">#REF!</definedName>
    <definedName name="상림3호">#REF!</definedName>
    <definedName name="상우" localSheetId="3">#REF!</definedName>
    <definedName name="상우">#REF!</definedName>
    <definedName name="상원도급" localSheetId="3">#REF!</definedName>
    <definedName name="상원도급">#REF!</definedName>
    <definedName name="상한" localSheetId="3">#REF!</definedName>
    <definedName name="상한">#REF!</definedName>
    <definedName name="상호" localSheetId="3">#REF!</definedName>
    <definedName name="상호">#REF!</definedName>
    <definedName name="새들" localSheetId="3">#REF!</definedName>
    <definedName name="새들">#REF!</definedName>
    <definedName name="색인" localSheetId="3">#REF!</definedName>
    <definedName name="색인">#REF!</definedName>
    <definedName name="생사1호" localSheetId="3">#REF!</definedName>
    <definedName name="생사1호">#REF!</definedName>
    <definedName name="생사2호" localSheetId="3">#REF!</definedName>
    <definedName name="생사2호">#REF!</definedName>
    <definedName name="생사기존" localSheetId="3">#REF!</definedName>
    <definedName name="생사기존">#REF!</definedName>
    <definedName name="샷시공" localSheetId="3">#REF!</definedName>
    <definedName name="샷시공">#REF!</definedName>
    <definedName name="서류3" localSheetId="0" hidden="1">{#N/A,"수불부",FALSE,"사급자재수불서";#N/A,"수불부",FALSE,"사급자재수불서"}</definedName>
    <definedName name="서류3" hidden="1">{#N/A,"수불부",FALSE,"사급자재수불서";#N/A,"수불부",FALSE,"사급자재수불서"}</definedName>
    <definedName name="서류4" localSheetId="0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localSheetId="0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localSheetId="0" hidden="1">{#N/A,#N/A,FALSE,"CAM-G7";#N/A,#N/A,FALSE,"SPL";#N/A,#N/A,FALSE,"butt-in G7";#N/A,#N/A,FALSE,"dia-in G7";#N/A,#N/A,FALSE,"추가-STA G7"}</definedName>
    <definedName name="서부간선" hidden="1">{#N/A,#N/A,FALSE,"CAM-G7";#N/A,#N/A,FALSE,"SPL";#N/A,#N/A,FALSE,"butt-in G7";#N/A,#N/A,FALSE,"dia-in G7";#N/A,#N/A,FALSE,"추가-STA G7"}</definedName>
    <definedName name="석공" localSheetId="0">#REF!</definedName>
    <definedName name="석공" localSheetId="3">#REF!</definedName>
    <definedName name="석공">#REF!</definedName>
    <definedName name="석조각공" localSheetId="0">#REF!</definedName>
    <definedName name="석조각공" localSheetId="3">#REF!</definedName>
    <definedName name="석조각공">#REF!</definedName>
    <definedName name="선관" localSheetId="0">#REF!</definedName>
    <definedName name="선관" localSheetId="3">#REF!</definedName>
    <definedName name="선관">#REF!</definedName>
    <definedName name="선량1호" localSheetId="3">#REF!</definedName>
    <definedName name="선량1호">#REF!</definedName>
    <definedName name="선량2호" localSheetId="3">#REF!</definedName>
    <definedName name="선량2호">#REF!</definedName>
    <definedName name="선량3호" localSheetId="3">#REF!</definedName>
    <definedName name="선량3호">#REF!</definedName>
    <definedName name="선량4호" localSheetId="3">#REF!</definedName>
    <definedName name="선량4호">#REF!</definedName>
    <definedName name="선량5호" localSheetId="3">#REF!</definedName>
    <definedName name="선량5호">#REF!</definedName>
    <definedName name="선로분계" localSheetId="3">#REF!</definedName>
    <definedName name="선로분계">#REF!</definedName>
    <definedName name="선부" localSheetId="3">#REF!</definedName>
    <definedName name="선부">#REF!</definedName>
    <definedName name="설계">#N/A</definedName>
    <definedName name="설계가">#N/A</definedName>
    <definedName name="설계내역서" localSheetId="0">BLCH</definedName>
    <definedName name="설계내역서" localSheetId="2">BLCH</definedName>
    <definedName name="설계내역서" localSheetId="3">BLCH</definedName>
    <definedName name="설계내역서">BLCH</definedName>
    <definedName name="설계단가" localSheetId="0">#REF!</definedName>
    <definedName name="설계단가" localSheetId="3">#REF!</definedName>
    <definedName name="설계단가">#REF!</definedName>
    <definedName name="설계요율" localSheetId="0">#REF!</definedName>
    <definedName name="설계요율" localSheetId="3">#REF!</definedName>
    <definedName name="설계요율">#REF!</definedName>
    <definedName name="설비" localSheetId="0">#REF!</definedName>
    <definedName name="설비" localSheetId="3">#REF!</definedName>
    <definedName name="설비">#REF!</definedName>
    <definedName name="설비기초일위" localSheetId="3">#REF!</definedName>
    <definedName name="설비기초일위">#REF!</definedName>
    <definedName name="설집" localSheetId="3">#REF!</definedName>
    <definedName name="설집">#REF!</definedName>
    <definedName name="성단" localSheetId="3">#REF!</definedName>
    <definedName name="성단">#REF!</definedName>
    <definedName name="성산1호" localSheetId="3">#REF!</definedName>
    <definedName name="성산1호">#REF!</definedName>
    <definedName name="성산2호" localSheetId="3">#REF!</definedName>
    <definedName name="성산2호">#REF!</definedName>
    <definedName name="성산3호" localSheetId="3">#REF!</definedName>
    <definedName name="성산3호">#REF!</definedName>
    <definedName name="성산4호" localSheetId="3">#REF!</definedName>
    <definedName name="성산4호">#REF!</definedName>
    <definedName name="성산5호" localSheetId="3">#REF!</definedName>
    <definedName name="성산5호">#REF!</definedName>
    <definedName name="성적" localSheetId="3">#REF!</definedName>
    <definedName name="성적">#REF!</definedName>
    <definedName name="세금" localSheetId="3">#REF!</definedName>
    <definedName name="세금">#REF!</definedName>
    <definedName name="세금1" localSheetId="3">#REF!</definedName>
    <definedName name="세금1">#REF!</definedName>
    <definedName name="세금과공과" localSheetId="3">#REF!</definedName>
    <definedName name="세금과공과">#REF!</definedName>
    <definedName name="세로" localSheetId="3">#REF!</definedName>
    <definedName name="세로">#REF!</definedName>
    <definedName name="소" localSheetId="3">#REF!</definedName>
    <definedName name="소">#REF!</definedName>
    <definedName name="소갑" localSheetId="3">#REF!</definedName>
    <definedName name="소갑">#REF!</definedName>
    <definedName name="소계" localSheetId="3">#REF!</definedName>
    <definedName name="소계">#REF!</definedName>
    <definedName name="소나무" localSheetId="3">#REF!</definedName>
    <definedName name="소나무">#REF!</definedName>
    <definedName name="소모품" localSheetId="3">#REF!</definedName>
    <definedName name="소모품">#REF!</definedName>
    <definedName name="소모품1" localSheetId="3">#REF!</definedName>
    <definedName name="소모품1">#REF!</definedName>
    <definedName name="소모품비" localSheetId="3">#REF!</definedName>
    <definedName name="소모품비">#REF!</definedName>
    <definedName name="소방" localSheetId="3">#REF!</definedName>
    <definedName name="소방">#REF!</definedName>
    <definedName name="소용량충전기" localSheetId="3">#REF!</definedName>
    <definedName name="소용량충전기">#REF!</definedName>
    <definedName name="소일위대가1" localSheetId="3">#REF!</definedName>
    <definedName name="소일위대가1">#REF!</definedName>
    <definedName name="소장" localSheetId="3">#REF!</definedName>
    <definedName name="소장">#REF!</definedName>
    <definedName name="소화갑지" localSheetId="0" hidden="1">{#N/A,#N/A,FALSE,"CCTV"}</definedName>
    <definedName name="소화갑지" hidden="1">{#N/A,#N/A,FALSE,"CCTV"}</definedName>
    <definedName name="송수관로구경" localSheetId="0">#REF!</definedName>
    <definedName name="송수관로구경" localSheetId="3">#REF!</definedName>
    <definedName name="송수관로구경">#REF!</definedName>
    <definedName name="송신광출력" localSheetId="0">#REF!</definedName>
    <definedName name="송신광출력" localSheetId="3">#REF!</definedName>
    <definedName name="송신광출력">#REF!</definedName>
    <definedName name="송신광출력작성" localSheetId="0">#REF!</definedName>
    <definedName name="송신광출력작성" localSheetId="3">#REF!</definedName>
    <definedName name="송신광출력작성">#REF!</definedName>
    <definedName name="송전전공" localSheetId="1">#REF!</definedName>
    <definedName name="송전전공" localSheetId="2">#REF!</definedName>
    <definedName name="송전전공" localSheetId="3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 localSheetId="3">#REF!</definedName>
    <definedName name="송전활선전공">#REF!</definedName>
    <definedName name="송천1" localSheetId="3">#REF!</definedName>
    <definedName name="송천1">#REF!</definedName>
    <definedName name="송천2" localSheetId="3">#REF!</definedName>
    <definedName name="송천2">#REF!</definedName>
    <definedName name="수____종" localSheetId="3">#REF!</definedName>
    <definedName name="수____종">#REF!</definedName>
    <definedName name="수경단가" localSheetId="3">#REF!</definedName>
    <definedName name="수경단가">#REF!</definedName>
    <definedName name="수경단가1" localSheetId="3">#REF!</definedName>
    <definedName name="수경단가1">#REF!</definedName>
    <definedName name="수경일위" localSheetId="3">#REF!</definedName>
    <definedName name="수경일위">#REF!</definedName>
    <definedName name="수금" localSheetId="3">#REF!</definedName>
    <definedName name="수금">#REF!</definedName>
    <definedName name="수급" localSheetId="3">#REF!</definedName>
    <definedName name="수급">#REF!</definedName>
    <definedName name="수도" localSheetId="3">#REF!</definedName>
    <definedName name="수도">#REF!</definedName>
    <definedName name="수도1" localSheetId="3">#REF!</definedName>
    <definedName name="수도1">#REF!</definedName>
    <definedName name="수도광열비" localSheetId="3">#REF!</definedName>
    <definedName name="수도광열비">#REF!</definedName>
    <definedName name="수량산출" localSheetId="3">#REF!</definedName>
    <definedName name="수량산출">#REF!</definedName>
    <definedName name="수목" localSheetId="3">#REF!</definedName>
    <definedName name="수목">#REF!</definedName>
    <definedName name="수목수량" localSheetId="3">#REF!</definedName>
    <definedName name="수목수량">#REF!</definedName>
    <definedName name="수수꽃다리" localSheetId="3">#REF!</definedName>
    <definedName name="수수꽃다리">#REF!</definedName>
    <definedName name="수수료.i74" localSheetId="3">#REF!</definedName>
    <definedName name="수수료.i74">#REF!</definedName>
    <definedName name="수원설계가" localSheetId="3">#REF!</definedName>
    <definedName name="수원설계가">#REF!</definedName>
    <definedName name="수자재단위당" localSheetId="3">#REF!</definedName>
    <definedName name="수자재단위당">#REF!</definedName>
    <definedName name="수장" localSheetId="3">#REF!</definedName>
    <definedName name="수장">#REF!</definedName>
    <definedName name="수장.1" localSheetId="3">#REF!</definedName>
    <definedName name="수장.1">#REF!</definedName>
    <definedName name="수정내역" localSheetId="0" hidden="1">{#N/A,#N/A,FALSE,"CAM-G7";#N/A,#N/A,FALSE,"SPL";#N/A,#N/A,FALSE,"butt-in G7";#N/A,#N/A,FALSE,"dia-in G7";#N/A,#N/A,FALSE,"추가-STA G7"}</definedName>
    <definedName name="수정내역" hidden="1">{#N/A,#N/A,FALSE,"CAM-G7";#N/A,#N/A,FALSE,"SPL";#N/A,#N/A,FALSE,"butt-in G7";#N/A,#N/A,FALSE,"dia-in G7";#N/A,#N/A,FALSE,"추가-STA G7"}</definedName>
    <definedName name="수중모타1" localSheetId="0">#REF!</definedName>
    <definedName name="수중모타1" localSheetId="3">#REF!</definedName>
    <definedName name="수중모타1">#REF!</definedName>
    <definedName name="수중모타10" localSheetId="0">#REF!</definedName>
    <definedName name="수중모타10" localSheetId="3">#REF!</definedName>
    <definedName name="수중모타10">#REF!</definedName>
    <definedName name="수중모타15" localSheetId="0">#REF!</definedName>
    <definedName name="수중모타15" localSheetId="3">#REF!</definedName>
    <definedName name="수중모타15">#REF!</definedName>
    <definedName name="수중모타2" localSheetId="3">#REF!</definedName>
    <definedName name="수중모타2">#REF!</definedName>
    <definedName name="수중모타20" localSheetId="3">#REF!</definedName>
    <definedName name="수중모타20">#REF!</definedName>
    <definedName name="수중모타25" localSheetId="3">#REF!</definedName>
    <definedName name="수중모타25">#REF!</definedName>
    <definedName name="수중모타3" localSheetId="3">#REF!</definedName>
    <definedName name="수중모타3">#REF!</definedName>
    <definedName name="수중모타30" localSheetId="3">#REF!</definedName>
    <definedName name="수중모타30">#REF!</definedName>
    <definedName name="수중모타5" localSheetId="3">#REF!</definedName>
    <definedName name="수중모타5">#REF!</definedName>
    <definedName name="수중모타7.5" localSheetId="3">#REF!</definedName>
    <definedName name="수중모타7.5">#REF!</definedName>
    <definedName name="수중모터펌프단가" localSheetId="3">#REF!</definedName>
    <definedName name="수중모터펌프단가">#REF!</definedName>
    <definedName name="수중케이블단가" localSheetId="3">#REF!</definedName>
    <definedName name="수중케이블단가">#REF!</definedName>
    <definedName name="수토공단위당" localSheetId="3">#REF!</definedName>
    <definedName name="수토공단위당">#REF!</definedName>
    <definedName name="순" localSheetId="3">#REF!</definedName>
    <definedName name="순">#REF!</definedName>
    <definedName name="순공사비" localSheetId="3">#REF!</definedName>
    <definedName name="순공사비">#REF!</definedName>
    <definedName name="순공사비_현황" localSheetId="3">#REF!</definedName>
    <definedName name="순공사비_현황">#REF!</definedName>
    <definedName name="쉴드" localSheetId="3">#REF!</definedName>
    <definedName name="쉴드">#REF!</definedName>
    <definedName name="스파이라슬리브가공" localSheetId="3">#REF!</definedName>
    <definedName name="스파이라슬리브가공">#REF!</definedName>
    <definedName name="스파이랄1" localSheetId="3">#REF!</definedName>
    <definedName name="스파이랄1">#REF!</definedName>
    <definedName name="스파이랄2" localSheetId="3">#REF!</definedName>
    <definedName name="스파이랄2">#REF!</definedName>
    <definedName name="스파이랄슬리브가공" localSheetId="3">#REF!</definedName>
    <definedName name="스파이랄슬리브가공">#REF!</definedName>
    <definedName name="스파이랄슬리브지중" localSheetId="3">#REF!</definedName>
    <definedName name="스파이랄슬리브지중">#REF!</definedName>
    <definedName name="스파이랄취부1" localSheetId="3">#REF!</definedName>
    <definedName name="스파이랄취부1">#REF!</definedName>
    <definedName name="스파이랄취부2" localSheetId="3">#REF!</definedName>
    <definedName name="스파이랄취부2">#REF!</definedName>
    <definedName name="스파이럴슬리브" localSheetId="3">#REF!</definedName>
    <definedName name="스파이럴슬리브">#REF!</definedName>
    <definedName name="스파이럴슬리브가공" localSheetId="3">#REF!</definedName>
    <definedName name="스파이럴슬리브가공">#REF!</definedName>
    <definedName name="스파이럴슬리브지중" localSheetId="3">#REF!</definedName>
    <definedName name="스파이럴슬리브지중">#REF!</definedName>
    <definedName name="슬리브" localSheetId="3">#REF!</definedName>
    <definedName name="슬리브">#REF!</definedName>
    <definedName name="슬리브1" localSheetId="3">#REF!</definedName>
    <definedName name="슬리브1">#REF!</definedName>
    <definedName name="시공측량사" localSheetId="3">#REF!</definedName>
    <definedName name="시공측량사">#REF!</definedName>
    <definedName name="시공측량사조수" localSheetId="3">#REF!</definedName>
    <definedName name="시공측량사조수">#REF!</definedName>
    <definedName name="시료" localSheetId="3">#REF!</definedName>
    <definedName name="시료">#REF!</definedName>
    <definedName name="시멘트" localSheetId="3">#REF!</definedName>
    <definedName name="시멘트">#REF!</definedName>
    <definedName name="시방" localSheetId="3">#REF!</definedName>
    <definedName name="시방">#REF!</definedName>
    <definedName name="시방1" localSheetId="3">#REF!</definedName>
    <definedName name="시방1">#REF!</definedName>
    <definedName name="시설물수량" localSheetId="3">#REF!</definedName>
    <definedName name="시설물수량">#REF!</definedName>
    <definedName name="시설수량" localSheetId="3">#REF!</definedName>
    <definedName name="시설수량">#REF!</definedName>
    <definedName name="시설일위" localSheetId="3">#REF!</definedName>
    <definedName name="시설일위">#REF!</definedName>
    <definedName name="시설일위1" localSheetId="3">#REF!</definedName>
    <definedName name="시설일위1">#REF!</definedName>
    <definedName name="시험관련기사" localSheetId="3">#REF!</definedName>
    <definedName name="시험관련기사">#REF!</definedName>
    <definedName name="시험관련기사_시험사1급" localSheetId="3">#REF!</definedName>
    <definedName name="시험관련기사_시험사1급">#REF!</definedName>
    <definedName name="시험관련산업기사" localSheetId="3">#REF!</definedName>
    <definedName name="시험관련산업기사">#REF!</definedName>
    <definedName name="시험관련산업기사_2급" localSheetId="3">#REF!</definedName>
    <definedName name="시험관련산업기사_2급">#REF!</definedName>
    <definedName name="시험보조수" localSheetId="3">#REF!</definedName>
    <definedName name="시험보조수">#REF!</definedName>
    <definedName name="시험성적서" localSheetId="3">#REF!</definedName>
    <definedName name="시험성적서">#REF!</definedName>
    <definedName name="시험성적서작성" localSheetId="3">#REF!</definedName>
    <definedName name="시험성적서작성">#REF!</definedName>
    <definedName name="시험작성서작서" localSheetId="3">#REF!</definedName>
    <definedName name="시험작성서작서">#REF!</definedName>
    <definedName name="식재" localSheetId="3">#REF!</definedName>
    <definedName name="식재">#REF!</definedName>
    <definedName name="식재단가" localSheetId="3">#REF!</definedName>
    <definedName name="식재단가">#REF!</definedName>
    <definedName name="식재단가1" localSheetId="3">#REF!</definedName>
    <definedName name="식재단가1">#REF!</definedName>
    <definedName name="식재수량" localSheetId="3">#REF!</definedName>
    <definedName name="식재수량">#REF!</definedName>
    <definedName name="신성1" localSheetId="3">#REF!</definedName>
    <definedName name="신성1">#REF!</definedName>
    <definedName name="신성2" localSheetId="3">#REF!</definedName>
    <definedName name="신성2">#REF!</definedName>
    <definedName name="신성3" localSheetId="3">#REF!</definedName>
    <definedName name="신성3">#REF!</definedName>
    <definedName name="신성4" localSheetId="3">#REF!</definedName>
    <definedName name="신성4">#REF!</definedName>
    <definedName name="신성5" localSheetId="3">#REF!</definedName>
    <definedName name="신성5">#REF!</definedName>
    <definedName name="신성6" localSheetId="3">#REF!</definedName>
    <definedName name="신성6">#REF!</definedName>
    <definedName name="신성7" localSheetId="3">#REF!</definedName>
    <definedName name="신성7">#REF!</definedName>
    <definedName name="신증설" localSheetId="3">#REF!</definedName>
    <definedName name="신증설">#REF!</definedName>
    <definedName name="신호공" localSheetId="3">#REF!</definedName>
    <definedName name="신호공">#REF!</definedName>
    <definedName name="신흥1호" localSheetId="3">#REF!</definedName>
    <definedName name="신흥1호">#REF!</definedName>
    <definedName name="신흥2호" localSheetId="3">#REF!</definedName>
    <definedName name="신흥2호">#REF!</definedName>
    <definedName name="실적98" localSheetId="3">#REF!</definedName>
    <definedName name="실적98">#REF!</definedName>
    <definedName name="실적99" localSheetId="3">#REF!</definedName>
    <definedName name="실적99">#REF!</definedName>
    <definedName name="실행" localSheetId="0" hidden="1">{#N/A,#N/A,FALSE,"CAM-G7";#N/A,#N/A,FALSE,"SPL";#N/A,#N/A,FALSE,"butt-in G7";#N/A,#N/A,FALSE,"dia-in G7";#N/A,#N/A,FALSE,"추가-STA G7"}</definedName>
    <definedName name="실행" hidden="1">{#N/A,#N/A,FALSE,"CAM-G7";#N/A,#N/A,FALSE,"SPL";#N/A,#N/A,FALSE,"butt-in G7";#N/A,#N/A,FALSE,"dia-in G7";#N/A,#N/A,FALSE,"추가-STA G7"}</definedName>
    <definedName name="실행공기" localSheetId="0">#REF!</definedName>
    <definedName name="실행공기" localSheetId="3">#REF!</definedName>
    <definedName name="실행공기">#REF!</definedName>
    <definedName name="실행내역" localSheetId="0">#REF!</definedName>
    <definedName name="실행내역" localSheetId="3">#REF!</definedName>
    <definedName name="실행내역">#REF!</definedName>
    <definedName name="실행보고서1" localSheetId="0">BlankMacro1</definedName>
    <definedName name="실행보고서1" localSheetId="2">BlankMacro1</definedName>
    <definedName name="실행보고서1" localSheetId="3">BlankMacro1</definedName>
    <definedName name="실행보고서1">BlankMacro1</definedName>
    <definedName name="실행안" localSheetId="0">#REF!</definedName>
    <definedName name="실행안" localSheetId="3">#REF!</definedName>
    <definedName name="실행안">#REF!</definedName>
    <definedName name="실행양식" localSheetId="0">BlankMacro1</definedName>
    <definedName name="실행양식" localSheetId="2">BlankMacro1</definedName>
    <definedName name="실행양식" localSheetId="3">BlankMacro1</definedName>
    <definedName name="실행양식">BlankMacro1</definedName>
    <definedName name="실행예산1" localSheetId="0">#REF!</definedName>
    <definedName name="실행예산1" localSheetId="3">#REF!</definedName>
    <definedName name="실행예산1">#REF!</definedName>
    <definedName name="실행예산10" localSheetId="0">#REF!</definedName>
    <definedName name="실행예산10" localSheetId="3">#REF!</definedName>
    <definedName name="실행예산10">#REF!</definedName>
    <definedName name="실행예산11" localSheetId="0">#REF!</definedName>
    <definedName name="실행예산11" localSheetId="3">#REF!</definedName>
    <definedName name="실행예산11">#REF!</definedName>
    <definedName name="실행예산12" localSheetId="3">#REF!</definedName>
    <definedName name="실행예산12">#REF!</definedName>
    <definedName name="실행예산13" localSheetId="3">#REF!</definedName>
    <definedName name="실행예산13">#REF!</definedName>
    <definedName name="실행예산2" localSheetId="3">#REF!</definedName>
    <definedName name="실행예산2">#REF!</definedName>
    <definedName name="실행예산3" localSheetId="3">#REF!</definedName>
    <definedName name="실행예산3">#REF!</definedName>
    <definedName name="실행예산4" localSheetId="3">#REF!</definedName>
    <definedName name="실행예산4">#REF!</definedName>
    <definedName name="실행예산5" localSheetId="3">#REF!</definedName>
    <definedName name="실행예산5">#REF!</definedName>
    <definedName name="실행예산6" localSheetId="3">#REF!</definedName>
    <definedName name="실행예산6">#REF!</definedName>
    <definedName name="실행예산7" localSheetId="3">#REF!</definedName>
    <definedName name="실행예산7">#REF!</definedName>
    <definedName name="실행예산8" localSheetId="3">#REF!</definedName>
    <definedName name="실행예산8">#REF!</definedName>
    <definedName name="실행예산9" localSheetId="3">#REF!</definedName>
    <definedName name="실행예산9">#REF!</definedName>
    <definedName name="실행예산서" localSheetId="3">#REF!</definedName>
    <definedName name="실행예산서">#REF!</definedName>
    <definedName name="실행집계" localSheetId="3">#REF!</definedName>
    <definedName name="실행집계">#REF!</definedName>
    <definedName name="써비스커넥터" localSheetId="3">#REF!</definedName>
    <definedName name="써비스커넥터">#REF!</definedName>
    <definedName name="써콘" localSheetId="3">#REF!</definedName>
    <definedName name="써콘">#REF!</definedName>
    <definedName name="써콘시설" localSheetId="3">#REF!</definedName>
    <definedName name="써콘시설">#REF!</definedName>
    <definedName name="ㅇ" localSheetId="3">#REF!</definedName>
    <definedName name="ㅇ">#REF!</definedName>
    <definedName name="ㅇ10" localSheetId="3">#REF!</definedName>
    <definedName name="ㅇ10">#REF!</definedName>
    <definedName name="ㅇ1200" localSheetId="3">#REF!</definedName>
    <definedName name="ㅇ1200">#REF!</definedName>
    <definedName name="ㅇ20" localSheetId="3">#REF!</definedName>
    <definedName name="ㅇ20">#REF!</definedName>
    <definedName name="ㅇ48" localSheetId="3">#REF!</definedName>
    <definedName name="ㅇ48">#REF!</definedName>
    <definedName name="ㅇㄴㄹㄴㅇ" localSheetId="0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ㄴㄻㅎㅈㄷㅈㄷㄴ" localSheetId="0" hidden="1">{"'Sheet1'!$D$19","'Sheet1'!$B$22:$E$22"}</definedName>
    <definedName name="ㅇㄴㄻㅎㅈㄷㅈㄷㄴ" hidden="1">{"'Sheet1'!$D$19","'Sheet1'!$B$22:$E$22"}</definedName>
    <definedName name="ㅇㄴㅁㄹㅇㄻㅇㄹㄴㅇ" localSheetId="0" hidden="1">{#N/A,"수불부",FALSE,"사급자재수불서";#N/A,"수불부",FALSE,"사급자재수불서"}</definedName>
    <definedName name="ㅇㄴㅁㄹㅇㄻㅇㄹㄴㅇ" hidden="1">{#N/A,"수불부",FALSE,"사급자재수불서";#N/A,"수불부",FALSE,"사급자재수불서"}</definedName>
    <definedName name="ㅇㄶㄹㄷㄱㄹㅈ" localSheetId="0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localSheetId="0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localSheetId="0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localSheetId="0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0" hidden="1">#REF!</definedName>
    <definedName name="ㅇㄹㄹ" localSheetId="3" hidden="1">#REF!</definedName>
    <definedName name="ㅇㄹㄹ" hidden="1">#REF!</definedName>
    <definedName name="ㅇㄹㅇㄹ" localSheetId="0" hidden="1">#REF!</definedName>
    <definedName name="ㅇㄹㅇㄹ" localSheetId="3" hidden="1">#REF!</definedName>
    <definedName name="ㅇㄹㅇㄹ" hidden="1">#REF!</definedName>
    <definedName name="ㅇㄻㄴㅀ" localSheetId="0" hidden="1">{#N/A,"수불부",FALSE,"사급자재수불서";#N/A,"수불부",FALSE,"사급자재수불서"}</definedName>
    <definedName name="ㅇㄻㄴㅀ" hidden="1">{#N/A,"수불부",FALSE,"사급자재수불서";#N/A,"수불부",FALSE,"사급자재수불서"}</definedName>
    <definedName name="ㅇㅀ" localSheetId="0">BlankMacro1</definedName>
    <definedName name="ㅇㅀ" localSheetId="2">BlankMacro1</definedName>
    <definedName name="ㅇㅀ" localSheetId="3">BlankMacro1</definedName>
    <definedName name="ㅇㅀ">BlankMacro1</definedName>
    <definedName name="ㅇㅁㄶㄴㅇㅁㅀㅇㄴ" localSheetId="0" hidden="1">{#N/A,"수불부",FALSE,"사급자재수불서";#N/A,"수불부",FALSE,"사급자재수불서"}</definedName>
    <definedName name="ㅇㅁㄶㄴㅇㅁㅀㅇㄴ" hidden="1">{#N/A,"수불부",FALSE,"사급자재수불서";#N/A,"수불부",FALSE,"사급자재수불서"}</definedName>
    <definedName name="ㅇㅇ" localSheetId="0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0" hidden="1">#REF!</definedName>
    <definedName name="ㅇㅇㄹ" localSheetId="3" hidden="1">#REF!</definedName>
    <definedName name="ㅇㅇㄹ" hidden="1">#REF!</definedName>
    <definedName name="ㅇㅇㅇ" localSheetId="0">BLCH</definedName>
    <definedName name="ㅇㅇㅇ" localSheetId="1" hidden="1">#REF!</definedName>
    <definedName name="ㅇㅇㅇ" localSheetId="2" hidden="1">#REF!</definedName>
    <definedName name="ㅇㅇㅇ" localSheetId="3" hidden="1">#REF!</definedName>
    <definedName name="ㅇㅇㅇ">BLCH</definedName>
    <definedName name="ㅇㅇㅇㅇ" localSheetId="0">#REF!</definedName>
    <definedName name="ㅇㅇㅇㅇ" localSheetId="3">#REF!</definedName>
    <definedName name="ㅇㅇㅇㅇ">#REF!</definedName>
    <definedName name="ㅇㅇㅇㅇㅇ" localSheetId="0">#REF!</definedName>
    <definedName name="ㅇㅇㅇㅇㅇ" localSheetId="3">#REF!</definedName>
    <definedName name="ㅇㅇㅇㅇㅇ">#REF!</definedName>
    <definedName name="ㅇㅇㅇㅇㅇㅇㅇ" localSheetId="0">#REF!</definedName>
    <definedName name="ㅇㅇㅇㅇㅇㅇㅇ" localSheetId="3">#REF!</definedName>
    <definedName name="ㅇㅇㅇㅇㅇㅇㅇ">#REF!</definedName>
    <definedName name="ㅇ아라ㅣ니" localSheetId="3">#REF!</definedName>
    <definedName name="ㅇ아라ㅣ니">#REF!</definedName>
    <definedName name="ㅇㅎㅁㅇㅎㄴㅇㅁ" localSheetId="0" hidden="1">{#N/A,"수불부",FALSE,"사급자재수불서";#N/A,"수불부",FALSE,"사급자재수불서"}</definedName>
    <definedName name="ㅇㅎㅁㅇㅎㄴㅇㅁ" hidden="1">{#N/A,"수불부",FALSE,"사급자재수불서";#N/A,"수불부",FALSE,"사급자재수불서"}</definedName>
    <definedName name="아" localSheetId="0">#REF!</definedName>
    <definedName name="아" localSheetId="3">#REF!</definedName>
    <definedName name="아">#REF!</definedName>
    <definedName name="아굴착" localSheetId="0">#REF!</definedName>
    <definedName name="아굴착" localSheetId="3">#REF!</definedName>
    <definedName name="아굴착">#REF!</definedName>
    <definedName name="아기경비" localSheetId="0">#REF!</definedName>
    <definedName name="아기경비" localSheetId="3">#REF!</definedName>
    <definedName name="아기경비">#REF!</definedName>
    <definedName name="아답터" localSheetId="3">#REF!</definedName>
    <definedName name="아답터">#REF!</definedName>
    <definedName name="아리이" localSheetId="0">BlankMacro1</definedName>
    <definedName name="아리이" localSheetId="2">BlankMacro1</definedName>
    <definedName name="아리이" localSheetId="3">BlankMacro1</definedName>
    <definedName name="아리이">BlankMacro1</definedName>
    <definedName name="아무거나" localSheetId="0">BlankMacro1</definedName>
    <definedName name="아무거나" localSheetId="2">BlankMacro1</definedName>
    <definedName name="아무거나" localSheetId="3">BlankMacro1</definedName>
    <definedName name="아무거나">BlankMacro1</definedName>
    <definedName name="아스타일__공" localSheetId="0">#REF!</definedName>
    <definedName name="아스타일__공" localSheetId="3">#REF!</definedName>
    <definedName name="아스타일__공">#REF!</definedName>
    <definedName name="아스팔트" localSheetId="0">#REF!</definedName>
    <definedName name="아스팔트" localSheetId="3">#REF!</definedName>
    <definedName name="아스팔트">#REF!</definedName>
    <definedName name="아연도강관단가" localSheetId="0">#REF!</definedName>
    <definedName name="아연도강관단가" localSheetId="3">#REF!</definedName>
    <definedName name="아연도강관단가">#REF!</definedName>
    <definedName name="아연도배관단가" localSheetId="3">#REF!</definedName>
    <definedName name="아연도배관단가">#REF!</definedName>
    <definedName name="아연도배관자재" localSheetId="3">#REF!</definedName>
    <definedName name="아연도배관자재">#REF!</definedName>
    <definedName name="아이" localSheetId="3">#REF!</definedName>
    <definedName name="아이">#REF!</definedName>
    <definedName name="아파트" localSheetId="3">#REF!</definedName>
    <definedName name="아파트">#REF!</definedName>
    <definedName name="아파트벽식" localSheetId="3">#REF!</definedName>
    <definedName name="아파트벽식">#REF!</definedName>
    <definedName name="안" localSheetId="3">#REF!</definedName>
    <definedName name="안">#REF!</definedName>
    <definedName name="안___전__점__검__비" localSheetId="3">#REF!</definedName>
    <definedName name="안___전__점__검__비">#REF!</definedName>
    <definedName name="안방1호" localSheetId="3">#REF!</definedName>
    <definedName name="안방1호">#REF!</definedName>
    <definedName name="안방2호" localSheetId="3">#REF!</definedName>
    <definedName name="안방2호">#REF!</definedName>
    <definedName name="안전" localSheetId="3">#REF!</definedName>
    <definedName name="안전">#REF!</definedName>
    <definedName name="안전1" localSheetId="3">#REF!</definedName>
    <definedName name="안전1">#REF!</definedName>
    <definedName name="안전관리비" localSheetId="1">#REF!</definedName>
    <definedName name="안전관리비" localSheetId="2">#REF!</definedName>
    <definedName name="안전관리비" localSheetId="3">#REF!</definedName>
    <definedName name="안전관리비">#REF!</definedName>
    <definedName name="안전관리비요율" localSheetId="3">#REF!</definedName>
    <definedName name="안전관리비요율">#REF!</definedName>
    <definedName name="안전관리비표" localSheetId="3">#REF!</definedName>
    <definedName name="안전관리비표">#REF!</definedName>
    <definedName name="안전기초" localSheetId="3">#REF!</definedName>
    <definedName name="안전기초">#REF!</definedName>
    <definedName name="안전시험" localSheetId="3">#REF!</definedName>
    <definedName name="안전시험">#REF!</definedName>
    <definedName name="안전점검내역" localSheetId="0" hidden="1">{#N/A,#N/A,FALSE,"현장 NCR 분석";#N/A,#N/A,FALSE,"현장품질감사";#N/A,#N/A,FALSE,"현장품질감사"}</definedName>
    <definedName name="안전점검내역" hidden="1">{#N/A,#N/A,FALSE,"현장 NCR 분석";#N/A,#N/A,FALSE,"현장품질감사";#N/A,#N/A,FALSE,"현장품질감사"}</definedName>
    <definedName name="안정수위" localSheetId="0">#REF!</definedName>
    <definedName name="안정수위" localSheetId="3">#REF!</definedName>
    <definedName name="안정수위">#REF!</definedName>
    <definedName name="알" localSheetId="0">#REF!</definedName>
    <definedName name="알" localSheetId="3">#REF!</definedName>
    <definedName name="알">#REF!</definedName>
    <definedName name="알아부러라" localSheetId="0">BLCH</definedName>
    <definedName name="알아부러라" localSheetId="2">BLCH</definedName>
    <definedName name="알아부러라" localSheetId="3">BLCH</definedName>
    <definedName name="알아부러라">BLCH</definedName>
    <definedName name="알어러" localSheetId="0">BLCH</definedName>
    <definedName name="알어러" localSheetId="2">BLCH</definedName>
    <definedName name="알어러" localSheetId="3">BLCH</definedName>
    <definedName name="알어러">BLCH</definedName>
    <definedName name="암타이" localSheetId="0">#REF!</definedName>
    <definedName name="암타이" localSheetId="3">#REF!</definedName>
    <definedName name="암타이">#REF!</definedName>
    <definedName name="암타이밴드" localSheetId="0">#REF!</definedName>
    <definedName name="암타이밴드" localSheetId="3">#REF!</definedName>
    <definedName name="암타이밴드">#REF!</definedName>
    <definedName name="압축단자" localSheetId="0">#REF!</definedName>
    <definedName name="압축단자" localSheetId="3">#REF!</definedName>
    <definedName name="압축단자">#REF!</definedName>
    <definedName name="앙" localSheetId="0">BLCH</definedName>
    <definedName name="앙" localSheetId="2">BLCH</definedName>
    <definedName name="앙" localSheetId="3">BLCH</definedName>
    <definedName name="앙">BLCH</definedName>
    <definedName name="앙카" localSheetId="0">#REF!</definedName>
    <definedName name="앙카" localSheetId="3">#REF!</definedName>
    <definedName name="앙카">#REF!</definedName>
    <definedName name="앙카볼트설치" localSheetId="0">#REF!</definedName>
    <definedName name="앙카볼트설치" localSheetId="3">#REF!</definedName>
    <definedName name="앙카볼트설치">#REF!</definedName>
    <definedName name="앙카설치" localSheetId="0">#REF!</definedName>
    <definedName name="앙카설치" localSheetId="3">#REF!</definedName>
    <definedName name="앙카설치">#REF!</definedName>
    <definedName name="앞들1호" localSheetId="3">#REF!</definedName>
    <definedName name="앞들1호">#REF!</definedName>
    <definedName name="앞들2호" localSheetId="3">#REF!</definedName>
    <definedName name="앞들2호">#REF!</definedName>
    <definedName name="애자" localSheetId="3">#REF!</definedName>
    <definedName name="애자">#REF!</definedName>
    <definedName name="약제팀" localSheetId="0">BlankMacro1</definedName>
    <definedName name="약제팀" localSheetId="2">BlankMacro1</definedName>
    <definedName name="약제팀" localSheetId="3">BlankMacro1</definedName>
    <definedName name="약제팀">BlankMacro1</definedName>
    <definedName name="약제팀공사" localSheetId="0">BlankMacro1</definedName>
    <definedName name="약제팀공사" localSheetId="2">BlankMacro1</definedName>
    <definedName name="약제팀공사" localSheetId="3">BlankMacro1</definedName>
    <definedName name="약제팀공사">BlankMacro1</definedName>
    <definedName name="양수량" localSheetId="0">#REF!</definedName>
    <definedName name="양수량" localSheetId="3">#REF!</definedName>
    <definedName name="양수량">#REF!</definedName>
    <definedName name="양식" localSheetId="0">#REF!</definedName>
    <definedName name="양식" localSheetId="3">#REF!</definedName>
    <definedName name="양식">#REF!</definedName>
    <definedName name="양주덕정" localSheetId="0">#REF!</definedName>
    <definedName name="양주덕정" localSheetId="3">#REF!</definedName>
    <definedName name="양주덕정">#REF!</definedName>
    <definedName name="어랑너ㅣㄹㄴㅇ" localSheetId="0" hidden="1">{#N/A,"수불부",FALSE,"사급자재수불서";#N/A,"수불부",FALSE,"사급자재수불서"}</definedName>
    <definedName name="어랑너ㅣㄹㄴㅇ" hidden="1">{#N/A,"수불부",FALSE,"사급자재수불서";#N/A,"수불부",FALSE,"사급자재수불서"}</definedName>
    <definedName name="어ㅏ아" localSheetId="0">BLCH</definedName>
    <definedName name="어ㅏ아" localSheetId="2">BLCH</definedName>
    <definedName name="어ㅏ아" localSheetId="3">BLCH</definedName>
    <definedName name="어ㅏ아">BLCH</definedName>
    <definedName name="억이상" localSheetId="0" hidden="1">{#N/A,#N/A,FALSE,"2~8번"}</definedName>
    <definedName name="억이상" hidden="1">{#N/A,#N/A,FALSE,"2~8번"}</definedName>
    <definedName name="업" localSheetId="0">#REF!</definedName>
    <definedName name="업" localSheetId="3">#REF!</definedName>
    <definedName name="업">#REF!</definedName>
    <definedName name="업무">#N/A</definedName>
    <definedName name="업무1" localSheetId="0">#REF!</definedName>
    <definedName name="업무1" localSheetId="3">#REF!</definedName>
    <definedName name="업무1">#REF!</definedName>
    <definedName name="업무연락" localSheetId="0">#REF!</definedName>
    <definedName name="업무연락" localSheetId="3">#REF!</definedName>
    <definedName name="업무연락">#REF!</definedName>
    <definedName name="업무연락2">#N/A</definedName>
    <definedName name="업연" localSheetId="0">#REF!</definedName>
    <definedName name="업연" localSheetId="3">#REF!</definedName>
    <definedName name="업연">#REF!</definedName>
    <definedName name="업체" localSheetId="0" hidden="1">#REF!</definedName>
    <definedName name="업체" localSheetId="3" hidden="1">#REF!</definedName>
    <definedName name="업체" hidden="1">#REF!</definedName>
    <definedName name="업체견적서" localSheetId="0">BlankMacro1</definedName>
    <definedName name="업체견적서" localSheetId="2">BlankMacro1</definedName>
    <definedName name="업체견적서" localSheetId="3">BlankMacro1</definedName>
    <definedName name="업체견적서">BlankMacro1</definedName>
    <definedName name="업체기성" localSheetId="0">BlankMacro1</definedName>
    <definedName name="업체기성" localSheetId="2">BlankMacro1</definedName>
    <definedName name="업체기성" localSheetId="3">BlankMacro1</definedName>
    <definedName name="업체기성">BlankMacro1</definedName>
    <definedName name="업체기성지급" localSheetId="0">BlankMacro1</definedName>
    <definedName name="업체기성지급" localSheetId="2">BlankMacro1</definedName>
    <definedName name="업체기성지급" localSheetId="3">BlankMacro1</definedName>
    <definedName name="업체기성지급">BlankMacro1</definedName>
    <definedName name="여벌" localSheetId="0">#REF!</definedName>
    <definedName name="여벌" localSheetId="3">#REF!</definedName>
    <definedName name="여벌">#REF!</definedName>
    <definedName name="여비" localSheetId="0">#REF!</definedName>
    <definedName name="여비" localSheetId="3">#REF!</definedName>
    <definedName name="여비">#REF!</definedName>
    <definedName name="여비1" localSheetId="0">#REF!</definedName>
    <definedName name="여비1" localSheetId="3">#REF!</definedName>
    <definedName name="여비1">#REF!</definedName>
    <definedName name="여비교통비" localSheetId="3">#REF!</definedName>
    <definedName name="여비교통비">#REF!</definedName>
    <definedName name="연공기계" localSheetId="0">#REF!,#REF!</definedName>
    <definedName name="연공기계" localSheetId="3">#REF!,#REF!</definedName>
    <definedName name="연공기계">#REF!,#REF!</definedName>
    <definedName name="연동연선" localSheetId="0">#REF!</definedName>
    <definedName name="연동연선" localSheetId="3">#REF!</definedName>
    <definedName name="연동연선">#REF!</definedName>
    <definedName name="연락1" localSheetId="0">#REF!</definedName>
    <definedName name="연락1" localSheetId="3">#REF!</definedName>
    <definedName name="연락1">#REF!</definedName>
    <definedName name="연마공" localSheetId="0">#REF!</definedName>
    <definedName name="연마공" localSheetId="3">#REF!</definedName>
    <definedName name="연마공">#REF!</definedName>
    <definedName name="영산홍" localSheetId="3">#REF!</definedName>
    <definedName name="영산홍">#REF!</definedName>
    <definedName name="예산" localSheetId="3">#REF!</definedName>
    <definedName name="예산">#REF!</definedName>
    <definedName name="예산초과" localSheetId="3">#REF!</definedName>
    <definedName name="예산초과">#REF!</definedName>
    <definedName name="예정가" localSheetId="3">#REF!</definedName>
    <definedName name="예정가">#REF!</definedName>
    <definedName name="예제_데이터" localSheetId="3">#REF!</definedName>
    <definedName name="예제_데이터">#REF!</definedName>
    <definedName name="오오오" localSheetId="3">#REF!</definedName>
    <definedName name="오오오">#REF!</definedName>
    <definedName name="오주1호" localSheetId="3">#REF!</definedName>
    <definedName name="오주1호">#REF!</definedName>
    <definedName name="오주2호" localSheetId="3">#REF!</definedName>
    <definedName name="오주2호">#REF!</definedName>
    <definedName name="오주3호" localSheetId="3">#REF!</definedName>
    <definedName name="오주3호">#REF!</definedName>
    <definedName name="오주4호" localSheetId="3">#REF!</definedName>
    <definedName name="오주4호">#REF!</definedName>
    <definedName name="옥내접지" localSheetId="3">#REF!</definedName>
    <definedName name="옥내접지">#REF!</definedName>
    <definedName name="옥내접지2" localSheetId="3">#REF!</definedName>
    <definedName name="옥내접지2">#REF!</definedName>
    <definedName name="옥내케이블" localSheetId="3">#REF!</definedName>
    <definedName name="옥내케이블">#REF!</definedName>
    <definedName name="옥내케이블시설" localSheetId="3">#REF!</definedName>
    <definedName name="옥내케이블시설">#REF!</definedName>
    <definedName name="옥외접지" localSheetId="3">#REF!</definedName>
    <definedName name="옥외접지">#REF!</definedName>
    <definedName name="완금" localSheetId="3">#REF!</definedName>
    <definedName name="완금">#REF!</definedName>
    <definedName name="완료예정일자1" localSheetId="3">#REF!</definedName>
    <definedName name="완료예정일자1">#REF!</definedName>
    <definedName name="완료예정일자2" localSheetId="3">#REF!</definedName>
    <definedName name="완료예정일자2">#REF!</definedName>
    <definedName name="완철설치" localSheetId="3">#REF!</definedName>
    <definedName name="완철설치">#REF!</definedName>
    <definedName name="왕벚나무" localSheetId="3">#REF!</definedName>
    <definedName name="왕벚나무">#REF!</definedName>
    <definedName name="왕암내역" localSheetId="3">#REF!</definedName>
    <definedName name="왕암내역">#REF!</definedName>
    <definedName name="왜성도라지" localSheetId="3">#REF!</definedName>
    <definedName name="왜성도라지">#REF!</definedName>
    <definedName name="외선" localSheetId="3">#REF!</definedName>
    <definedName name="외선">#REF!</definedName>
    <definedName name="외주" localSheetId="3">#REF!</definedName>
    <definedName name="외주">#REF!</definedName>
    <definedName name="외피접속" localSheetId="3">#REF!</definedName>
    <definedName name="외피접속">#REF!</definedName>
    <definedName name="요동1호" localSheetId="3">#REF!</definedName>
    <definedName name="요동1호">#REF!</definedName>
    <definedName name="요동2호" localSheetId="3">#REF!</definedName>
    <definedName name="요동2호">#REF!</definedName>
    <definedName name="요율" localSheetId="3">#REF!</definedName>
    <definedName name="요율">#REF!</definedName>
    <definedName name="요율인쇄" localSheetId="3">#REF!</definedName>
    <definedName name="요율인쇄">#REF!</definedName>
    <definedName name="용" localSheetId="3">#REF!</definedName>
    <definedName name="용">#REF!</definedName>
    <definedName name="용접" localSheetId="3">#REF!</definedName>
    <definedName name="용접">#REF!</definedName>
    <definedName name="용접공" localSheetId="3">#REF!</definedName>
    <definedName name="용접공">#REF!</definedName>
    <definedName name="용접공_일반" localSheetId="3">#REF!</definedName>
    <definedName name="용접공_일반">#REF!</definedName>
    <definedName name="용접공_철도" localSheetId="3">#REF!</definedName>
    <definedName name="용접공_철도">#REF!</definedName>
    <definedName name="우산" localSheetId="3">#REF!</definedName>
    <definedName name="우산">#REF!</definedName>
    <definedName name="우이사" localSheetId="3">#REF!</definedName>
    <definedName name="우이사">#REF!</definedName>
    <definedName name="운반차운전사" localSheetId="3">#REF!</definedName>
    <definedName name="운반차운전사">#REF!</definedName>
    <definedName name="운반차운전사기" localSheetId="3">#REF!</definedName>
    <definedName name="운반차운전사기">#REF!</definedName>
    <definedName name="운암" localSheetId="3">#REF!</definedName>
    <definedName name="운암">#REF!</definedName>
    <definedName name="운전" localSheetId="3">#REF!</definedName>
    <definedName name="운전">#REF!</definedName>
    <definedName name="운전사" localSheetId="3">#REF!</definedName>
    <definedName name="운전사">#REF!</definedName>
    <definedName name="운전사_기계" localSheetId="3">#REF!</definedName>
    <definedName name="운전사_기계">#REF!</definedName>
    <definedName name="운전사_운반차" localSheetId="3">#REF!</definedName>
    <definedName name="운전사_운반차">#REF!</definedName>
    <definedName name="운전조" localSheetId="3">#REF!</definedName>
    <definedName name="운전조">#REF!</definedName>
    <definedName name="운호1호" localSheetId="3">#REF!</definedName>
    <definedName name="운호1호">#REF!</definedName>
    <definedName name="운호2호" localSheetId="3">#REF!</definedName>
    <definedName name="운호2호">#REF!</definedName>
    <definedName name="운호3호" localSheetId="3">#REF!</definedName>
    <definedName name="운호3호">#REF!</definedName>
    <definedName name="울산프랜지" localSheetId="3">#REF!</definedName>
    <definedName name="울산프랜지">#REF!</definedName>
    <definedName name="원" localSheetId="3">#REF!</definedName>
    <definedName name="원">#REF!</definedName>
    <definedName name="원가" localSheetId="3">#REF!</definedName>
    <definedName name="원가">#REF!</definedName>
    <definedName name="원가계산명" localSheetId="3">#REF!</definedName>
    <definedName name="원가계산명">#REF!</definedName>
    <definedName name="원본심정" localSheetId="3">#REF!</definedName>
    <definedName name="원본심정">#REF!</definedName>
    <definedName name="원수" localSheetId="3">#REF!</definedName>
    <definedName name="원수">#REF!</definedName>
    <definedName name="원운1호" localSheetId="3">#REF!</definedName>
    <definedName name="원운1호">#REF!</definedName>
    <definedName name="원운2호" localSheetId="3">#REF!</definedName>
    <definedName name="원운2호">#REF!</definedName>
    <definedName name="원자력계장공" localSheetId="3">#REF!</definedName>
    <definedName name="원자력계장공">#REF!</definedName>
    <definedName name="원자력기계설치공" localSheetId="3">#REF!</definedName>
    <definedName name="원자력기계설치공">#REF!</definedName>
    <definedName name="원자력기술자" localSheetId="3">#REF!</definedName>
    <definedName name="원자력기술자">#REF!</definedName>
    <definedName name="원자력덕트공" localSheetId="3">#REF!</definedName>
    <definedName name="원자력덕트공">#REF!</definedName>
    <definedName name="원자력배관공" localSheetId="3">#REF!</definedName>
    <definedName name="원자력배관공">#REF!</definedName>
    <definedName name="원자력보온공" localSheetId="3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 localSheetId="3">#REF!</definedName>
    <definedName name="원자력용접공">#REF!</definedName>
    <definedName name="원자력제관공" localSheetId="3">#REF!</definedName>
    <definedName name="원자력제관공">#REF!</definedName>
    <definedName name="원자력케이블전공" localSheetId="3">#REF!</definedName>
    <definedName name="원자력케이블전공">#REF!</definedName>
    <definedName name="원자력특별인부" localSheetId="3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 localSheetId="3">#REF!</definedName>
    <definedName name="원자력품질관리사">#REF!</definedName>
    <definedName name="원자력플랜트전공" localSheetId="3">#REF!</definedName>
    <definedName name="원자력플랜트전공">#REF!</definedName>
    <definedName name="위생공" localSheetId="3">#REF!</definedName>
    <definedName name="위생공">#REF!</definedName>
    <definedName name="위치">#N/A</definedName>
    <definedName name="위치별" localSheetId="0">#REF!</definedName>
    <definedName name="위치별" localSheetId="3">#REF!</definedName>
    <definedName name="위치별">#REF!</definedName>
    <definedName name="위험표시찰취부" localSheetId="0">#REF!</definedName>
    <definedName name="위험표시찰취부" localSheetId="3">#REF!</definedName>
    <definedName name="위험표시찰취부">#REF!</definedName>
    <definedName name="위험표지판" localSheetId="0">#REF!</definedName>
    <definedName name="위험표지판" localSheetId="3">#REF!</definedName>
    <definedName name="위험표지판">#REF!</definedName>
    <definedName name="유리공" localSheetId="3">#REF!</definedName>
    <definedName name="유리공">#REF!</definedName>
    <definedName name="유압식백호" localSheetId="3">#REF!</definedName>
    <definedName name="유압식백호">#REF!</definedName>
    <definedName name="육" localSheetId="3">#REF!</definedName>
    <definedName name="육">#REF!</definedName>
    <definedName name="육리1호" localSheetId="3">#REF!</definedName>
    <definedName name="육리1호">#REF!</definedName>
    <definedName name="육리2호" localSheetId="3">#REF!</definedName>
    <definedName name="육리2호">#REF!</definedName>
    <definedName name="융착접속" localSheetId="3">#REF!</definedName>
    <definedName name="융착접속">#REF!</definedName>
    <definedName name="은산1호" localSheetId="3">#REF!</definedName>
    <definedName name="은산1호">#REF!</definedName>
    <definedName name="은산2호" localSheetId="3">#REF!</definedName>
    <definedName name="은산2호">#REF!</definedName>
    <definedName name="은산3호" localSheetId="3">#REF!</definedName>
    <definedName name="은산3호">#REF!</definedName>
    <definedName name="은산4호" localSheetId="3">#REF!</definedName>
    <definedName name="은산4호">#REF!</definedName>
    <definedName name="은행나무" localSheetId="3">#REF!</definedName>
    <definedName name="은행나무">#REF!</definedName>
    <definedName name="을" localSheetId="0">BlankMacro1</definedName>
    <definedName name="을" localSheetId="2">BlankMacro1</definedName>
    <definedName name="을" localSheetId="3">BlankMacro1</definedName>
    <definedName name="을">BlankMacro1</definedName>
    <definedName name="을지" localSheetId="0">BlankMacro1</definedName>
    <definedName name="을지" localSheetId="2">BlankMacro1</definedName>
    <definedName name="을지" localSheetId="3">BlankMacro1</definedName>
    <definedName name="을지">BlankMacro1</definedName>
    <definedName name="의" localSheetId="0" hidden="1">{#N/A,#N/A,FALSE,"운반시간"}</definedName>
    <definedName name="의" hidden="1">{#N/A,#N/A,FALSE,"운반시간"}</definedName>
    <definedName name="이______________윤" localSheetId="0">#REF!</definedName>
    <definedName name="이______________윤" localSheetId="3">#REF!</definedName>
    <definedName name="이______________윤">#REF!</definedName>
    <definedName name="이______전______비" localSheetId="0">#REF!</definedName>
    <definedName name="이______전______비" localSheetId="3">#REF!</definedName>
    <definedName name="이______전______비">#REF!</definedName>
    <definedName name="이공구가설비" localSheetId="0">#REF!</definedName>
    <definedName name="이공구가설비" localSheetId="3">#REF!</definedName>
    <definedName name="이공구가설비">#REF!</definedName>
    <definedName name="이공구간접노무비" localSheetId="3">#REF!</definedName>
    <definedName name="이공구간접노무비">#REF!</definedName>
    <definedName name="이공구공사원가" localSheetId="3">#REF!</definedName>
    <definedName name="이공구공사원가">#REF!</definedName>
    <definedName name="이공구기타경비" localSheetId="3">#REF!</definedName>
    <definedName name="이공구기타경비">#REF!</definedName>
    <definedName name="이공구산재보험료" localSheetId="3">#REF!</definedName>
    <definedName name="이공구산재보험료">#REF!</definedName>
    <definedName name="이공구안전관리비" localSheetId="3">#REF!</definedName>
    <definedName name="이공구안전관리비">#REF!</definedName>
    <definedName name="이공구이윤" localSheetId="3">#REF!</definedName>
    <definedName name="이공구이윤">#REF!</definedName>
    <definedName name="이공구일반관리비" localSheetId="3">#REF!</definedName>
    <definedName name="이공구일반관리비">#REF!</definedName>
    <definedName name="이름" localSheetId="3">#REF!</definedName>
    <definedName name="이름">#REF!</definedName>
    <definedName name="이식" localSheetId="3">#REF!</definedName>
    <definedName name="이식">#REF!</definedName>
    <definedName name="이식단가" localSheetId="3">#REF!</definedName>
    <definedName name="이식단가">#REF!</definedName>
    <definedName name="이식단가1" localSheetId="3">#REF!</definedName>
    <definedName name="이식단가1">#REF!</definedName>
    <definedName name="이식일위" localSheetId="3">#REF!</definedName>
    <definedName name="이식일위">#REF!</definedName>
    <definedName name="이윤" localSheetId="1">#REF!</definedName>
    <definedName name="이윤" localSheetId="2">#REF!</definedName>
    <definedName name="이윤" localSheetId="3">#REF!</definedName>
    <definedName name="이윤">#REF!</definedName>
    <definedName name="이윤요율" localSheetId="3">#REF!</definedName>
    <definedName name="이윤요율">#REF!</definedName>
    <definedName name="이윤표" localSheetId="3">#REF!</definedName>
    <definedName name="이윤표">#REF!</definedName>
    <definedName name="이자.k18" localSheetId="3">#REF!</definedName>
    <definedName name="이자.k18">#REF!</definedName>
    <definedName name="인공" localSheetId="3">#REF!</definedName>
    <definedName name="인공">#REF!</definedName>
    <definedName name="인동덩쿨" localSheetId="3">#REF!</definedName>
    <definedName name="인동덩쿨">#REF!</definedName>
    <definedName name="인류" localSheetId="3">#REF!</definedName>
    <definedName name="인류">#REF!</definedName>
    <definedName name="인류클램프" localSheetId="3">#REF!</definedName>
    <definedName name="인류클램프">#REF!</definedName>
    <definedName name="인부신상자료" localSheetId="3">#REF!</definedName>
    <definedName name="인부신상자료">#REF!</definedName>
    <definedName name="인상PVC" localSheetId="3">#REF!</definedName>
    <definedName name="인상PVC">#REF!</definedName>
    <definedName name="인쇄01" localSheetId="3">#REF!</definedName>
    <definedName name="인쇄01">#REF!</definedName>
    <definedName name="인쇄범위" localSheetId="3">#REF!</definedName>
    <definedName name="인쇄범위">#REF!</definedName>
    <definedName name="인쇄영역" localSheetId="3">#REF!</definedName>
    <definedName name="인쇄영역">#REF!</definedName>
    <definedName name="인쇄영역2" localSheetId="3">#REF!</definedName>
    <definedName name="인쇄영역2">#REF!</definedName>
    <definedName name="인원" localSheetId="3">#REF!</definedName>
    <definedName name="인원">#REF!</definedName>
    <definedName name="인입공사비" localSheetId="3">#REF!</definedName>
    <definedName name="인입공사비">#REF!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0">#REF!</definedName>
    <definedName name="인테호표" localSheetId="3">#REF!</definedName>
    <definedName name="인테호표">#REF!</definedName>
    <definedName name="일__반___관__리__비" localSheetId="0">#REF!</definedName>
    <definedName name="일__반___관__리__비" localSheetId="3">#REF!</definedName>
    <definedName name="일__반___관__리__비">#REF!</definedName>
    <definedName name="일공구직영비" localSheetId="0">#REF!</definedName>
    <definedName name="일공구직영비" localSheetId="3">#REF!</definedName>
    <definedName name="일공구직영비">#REF!</definedName>
    <definedName name="일반" localSheetId="3">#REF!</definedName>
    <definedName name="일반">#REF!</definedName>
    <definedName name="일반관리" localSheetId="3">#REF!</definedName>
    <definedName name="일반관리">#REF!</definedName>
    <definedName name="일반관리1" localSheetId="3">#REF!</definedName>
    <definedName name="일반관리1">#REF!</definedName>
    <definedName name="일반관리비" localSheetId="1">#REF!</definedName>
    <definedName name="일반관리비" localSheetId="2">#REF!</definedName>
    <definedName name="일반관리비" localSheetId="3">#REF!</definedName>
    <definedName name="일반관리비">#REF!</definedName>
    <definedName name="일반관리비요율" localSheetId="3">#REF!</definedName>
    <definedName name="일반관리비요율">#REF!</definedName>
    <definedName name="일반관리비표" localSheetId="3">#REF!</definedName>
    <definedName name="일반관리비표">#REF!</definedName>
    <definedName name="일선종건" localSheetId="0" hidden="1">{#N/A,#N/A,FALSE,"현장 NCR 분석";#N/A,#N/A,FALSE,"현장품질감사";#N/A,#N/A,FALSE,"현장품질감사"}</definedName>
    <definedName name="일선종건" hidden="1">{#N/A,#N/A,FALSE,"현장 NCR 분석";#N/A,#N/A,FALSE,"현장품질감사";#N/A,#N/A,FALSE,"현장품질감사"}</definedName>
    <definedName name="일위" localSheetId="0">#REF!,#REF!</definedName>
    <definedName name="일위" localSheetId="3">#REF!,#REF!</definedName>
    <definedName name="일위">#REF!,#REF!</definedName>
    <definedName name="일위1" localSheetId="0">#REF!</definedName>
    <definedName name="일위1" localSheetId="3">#REF!</definedName>
    <definedName name="일위1">#REF!</definedName>
    <definedName name="일위단가" localSheetId="0">#REF!</definedName>
    <definedName name="일위단가" localSheetId="3">#REF!</definedName>
    <definedName name="일위단가">#REF!</definedName>
    <definedName name="일위대가" localSheetId="0">#REF!</definedName>
    <definedName name="일위대가" localSheetId="3">#REF!</definedName>
    <definedName name="일위대가">#REF!</definedName>
    <definedName name="일위대가11" localSheetId="3">#REF!</definedName>
    <definedName name="일위대가11">#REF!</definedName>
    <definedName name="일위대가표" localSheetId="3">#REF!</definedName>
    <definedName name="일위대가표">#REF!</definedName>
    <definedName name="일위목록" localSheetId="3">#REF!</definedName>
    <definedName name="일위목록">#REF!</definedName>
    <definedName name="일위전기" localSheetId="3">#REF!</definedName>
    <definedName name="일위전기">#REF!</definedName>
    <definedName name="일자1" localSheetId="3">#REF!</definedName>
    <definedName name="일자1">#REF!</definedName>
    <definedName name="일자10" localSheetId="3">#REF!</definedName>
    <definedName name="일자10">#REF!</definedName>
    <definedName name="일자11" localSheetId="3">#REF!</definedName>
    <definedName name="일자11">#REF!</definedName>
    <definedName name="일자12" localSheetId="3">#REF!</definedName>
    <definedName name="일자12">#REF!</definedName>
    <definedName name="일자13" localSheetId="3">#REF!</definedName>
    <definedName name="일자13">#REF!</definedName>
    <definedName name="일자2" localSheetId="3">#REF!</definedName>
    <definedName name="일자2">#REF!</definedName>
    <definedName name="일자3" localSheetId="3">#REF!</definedName>
    <definedName name="일자3">#REF!</definedName>
    <definedName name="일자4" localSheetId="3">#REF!</definedName>
    <definedName name="일자4">#REF!</definedName>
    <definedName name="일자5" localSheetId="3">#REF!</definedName>
    <definedName name="일자5">#REF!</definedName>
    <definedName name="일자6" localSheetId="3">#REF!</definedName>
    <definedName name="일자6">#REF!</definedName>
    <definedName name="일자7" localSheetId="3">#REF!</definedName>
    <definedName name="일자7">#REF!</definedName>
    <definedName name="일자8" localSheetId="3">#REF!</definedName>
    <definedName name="일자8">#REF!</definedName>
    <definedName name="일자9" localSheetId="3">#REF!</definedName>
    <definedName name="일자9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시동력" localSheetId="0">#REF!</definedName>
    <definedName name="임시동력" localSheetId="3">#REF!</definedName>
    <definedName name="임시동력">#REF!</definedName>
    <definedName name="임직" localSheetId="0">#REF!</definedName>
    <definedName name="임직" localSheetId="3">#REF!</definedName>
    <definedName name="임직">#REF!</definedName>
    <definedName name="임차이용료.i9" localSheetId="0">#REF!</definedName>
    <definedName name="임차이용료.i9" localSheetId="3">#REF!</definedName>
    <definedName name="임차이용료.i9">#REF!</definedName>
    <definedName name="입력란" localSheetId="3">#REF!</definedName>
    <definedName name="입력란">#REF!</definedName>
    <definedName name="입력선택" localSheetId="3">#REF!</definedName>
    <definedName name="입력선택">#REF!</definedName>
    <definedName name="입력전체" localSheetId="3">#REF!</definedName>
    <definedName name="입력전체">#REF!</definedName>
    <definedName name="입상관취부" localSheetId="3">#REF!</definedName>
    <definedName name="입상관취부">#REF!</definedName>
    <definedName name="입안1호" localSheetId="3">#REF!</definedName>
    <definedName name="입안1호">#REF!</definedName>
    <definedName name="입안2호" localSheetId="3">#REF!</definedName>
    <definedName name="입안2호">#REF!</definedName>
    <definedName name="입안3호" localSheetId="3">#REF!</definedName>
    <definedName name="입안3호">#REF!</definedName>
    <definedName name="입안4호" localSheetId="3">#REF!</definedName>
    <definedName name="입안4호">#REF!</definedName>
    <definedName name="입안기존2" localSheetId="3">#REF!</definedName>
    <definedName name="입안기존2">#REF!</definedName>
    <definedName name="입찰품의" localSheetId="3">#REF!</definedName>
    <definedName name="입찰품의">#REF!</definedName>
    <definedName name="ㅈㄷㅈㄷ" localSheetId="3">#REF!</definedName>
    <definedName name="ㅈㄷㅈㄷ">#REF!</definedName>
    <definedName name="ㅈㅂㄱㅂㅈㄷㄱ" localSheetId="0" hidden="1">{#N/A,#N/A,FALSE,"CAM-G7";#N/A,#N/A,FALSE,"SPL";#N/A,#N/A,FALSE,"butt-in G7";#N/A,#N/A,FALSE,"dia-in G7";#N/A,#N/A,FALSE,"추가-STA G7"}</definedName>
    <definedName name="ㅈㅂㄱㅂㅈㄷㄱ" hidden="1">{#N/A,#N/A,FALSE,"CAM-G7";#N/A,#N/A,FALSE,"SPL";#N/A,#N/A,FALSE,"butt-in G7";#N/A,#N/A,FALSE,"dia-in G7";#N/A,#N/A,FALSE,"추가-STA G7"}</definedName>
    <definedName name="ㅈㅈ" localSheetId="0" hidden="1">{#N/A,"수불부",FALSE,"사급자재수불서";#N/A,"수불부",FALSE,"사급자재수불서"}</definedName>
    <definedName name="ㅈㅈ" hidden="1">{#N/A,"수불부",FALSE,"사급자재수불서";#N/A,"수불부",FALSE,"사급자재수불서"}</definedName>
    <definedName name="ㅈㅈㅈ" localSheetId="0" hidden="1">#REF!</definedName>
    <definedName name="ㅈㅈㅈ" localSheetId="3" hidden="1">#REF!</definedName>
    <definedName name="ㅈㅈㅈ" hidden="1">#REF!</definedName>
    <definedName name="ㅈㅎ" localSheetId="0">#REF!</definedName>
    <definedName name="ㅈㅎ" localSheetId="3">#REF!</definedName>
    <definedName name="ㅈㅎ">#REF!</definedName>
    <definedName name="자갈" localSheetId="0">#REF!</definedName>
    <definedName name="자갈" localSheetId="3">#REF!</definedName>
    <definedName name="자갈">#REF!</definedName>
    <definedName name="자귀나무" localSheetId="3">#REF!</definedName>
    <definedName name="자귀나무">#REF!</definedName>
    <definedName name="자연수위" localSheetId="3">#REF!</definedName>
    <definedName name="자연수위">#REF!</definedName>
    <definedName name="자재" localSheetId="3">#REF!</definedName>
    <definedName name="자재">#REF!</definedName>
    <definedName name="작업" localSheetId="3">#REF!</definedName>
    <definedName name="작업">#REF!</definedName>
    <definedName name="작업반장" localSheetId="3">#REF!</definedName>
    <definedName name="작업반장">#REF!</definedName>
    <definedName name="작업중" localSheetId="0">BlankMacro1</definedName>
    <definedName name="작업중" localSheetId="2">BlankMacro1</definedName>
    <definedName name="작업중" localSheetId="3">BlankMacro1</definedName>
    <definedName name="작업중">BlankMacro1</definedName>
    <definedName name="잔디_평떼" localSheetId="0">#REF!</definedName>
    <definedName name="잔디_평떼" localSheetId="3">#REF!</definedName>
    <definedName name="잔디_평떼">#REF!</definedName>
    <definedName name="잠수부" localSheetId="0">#REF!</definedName>
    <definedName name="잠수부" localSheetId="3">#REF!</definedName>
    <definedName name="잠수부">#REF!</definedName>
    <definedName name="잣나무" localSheetId="0">#REF!</definedName>
    <definedName name="잣나무" localSheetId="3">#REF!</definedName>
    <definedName name="잣나무">#REF!</definedName>
    <definedName name="장4" localSheetId="0" hidden="1">{#N/A,#N/A,FALSE,"CAM-G7";#N/A,#N/A,FALSE,"SPL";#N/A,#N/A,FALSE,"butt-in G7";#N/A,#N/A,FALSE,"dia-in G7";#N/A,#N/A,FALSE,"추가-STA G7"}</definedName>
    <definedName name="장4" hidden="1">{#N/A,#N/A,FALSE,"CAM-G7";#N/A,#N/A,FALSE,"SPL";#N/A,#N/A,FALSE,"butt-in G7";#N/A,#N/A,FALSE,"dia-in G7";#N/A,#N/A,FALSE,"추가-STA G7"}</definedName>
    <definedName name="장산1" localSheetId="0">#REF!</definedName>
    <definedName name="장산1" localSheetId="3">#REF!</definedName>
    <definedName name="장산1">#REF!</definedName>
    <definedName name="장산2" localSheetId="0">#REF!</definedName>
    <definedName name="장산2" localSheetId="3">#REF!</definedName>
    <definedName name="장산2">#REF!</definedName>
    <definedName name="장산3" localSheetId="0">#REF!</definedName>
    <definedName name="장산3" localSheetId="3">#REF!</definedName>
    <definedName name="장산3">#REF!</definedName>
    <definedName name="장춘" localSheetId="3">#REF!</definedName>
    <definedName name="장춘">#REF!</definedName>
    <definedName name="재노경" localSheetId="3">#REF!</definedName>
    <definedName name="재노경">#REF!</definedName>
    <definedName name="재료비" localSheetId="3">#REF!</definedName>
    <definedName name="재료비">#REF!</definedName>
    <definedName name="재료비1" localSheetId="3">#REF!</definedName>
    <definedName name="재료비1">#REF!</definedName>
    <definedName name="재료비요율" localSheetId="3">#REF!</definedName>
    <definedName name="재료비요율">#REF!</definedName>
    <definedName name="저수조만수위" localSheetId="3">#REF!</definedName>
    <definedName name="저수조만수위">#REF!</definedName>
    <definedName name="저압" localSheetId="3">#REF!</definedName>
    <definedName name="저압">#REF!</definedName>
    <definedName name="저압케이블공" localSheetId="1">#REF!</definedName>
    <definedName name="저압케이블공" localSheetId="2">#REF!</definedName>
    <definedName name="저압케이블공" localSheetId="3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 localSheetId="3">#REF!</definedName>
    <definedName name="저압케이블전공">#REF!</definedName>
    <definedName name="저유황경유" localSheetId="3">#REF!</definedName>
    <definedName name="저유황경유">#REF!</definedName>
    <definedName name="저케" localSheetId="3">#REF!</definedName>
    <definedName name="저케">#REF!</definedName>
    <definedName name="적용계약간접노무비" localSheetId="3">#REF!</definedName>
    <definedName name="적용계약간접노무비">#REF!</definedName>
    <definedName name="적용계약공사원가" localSheetId="3">#REF!</definedName>
    <definedName name="적용계약공사원가">#REF!</definedName>
    <definedName name="적용계약공사원가경비" localSheetId="3">#REF!</definedName>
    <definedName name="적용계약공사원가경비">#REF!</definedName>
    <definedName name="적용계약공사원가노무비" localSheetId="3">#REF!</definedName>
    <definedName name="적용계약공사원가노무비">#REF!</definedName>
    <definedName name="적용계약공사원가재료비" localSheetId="3">#REF!</definedName>
    <definedName name="적용계약공사원가재료비">#REF!</definedName>
    <definedName name="적용계약기타경비" localSheetId="3">#REF!</definedName>
    <definedName name="적용계약기타경비">#REF!</definedName>
    <definedName name="적용계약산재보험료" localSheetId="3">#REF!</definedName>
    <definedName name="적용계약산재보험료">#REF!</definedName>
    <definedName name="적용계약안전관리비" localSheetId="3">#REF!</definedName>
    <definedName name="적용계약안전관리비">#REF!</definedName>
    <definedName name="적용계약이윤" localSheetId="3">#REF!</definedName>
    <definedName name="적용계약이윤">#REF!</definedName>
    <definedName name="적용계약일반관리비" localSheetId="3">#REF!</definedName>
    <definedName name="적용계약일반관리비">#REF!</definedName>
    <definedName name="적용도급액" localSheetId="3">#REF!</definedName>
    <definedName name="적용도급액">#REF!</definedName>
    <definedName name="적용제외간접노무비" localSheetId="3">#REF!</definedName>
    <definedName name="적용제외간접노무비">#REF!</definedName>
    <definedName name="적용제외공사원가" localSheetId="3">#REF!</definedName>
    <definedName name="적용제외공사원가">#REF!</definedName>
    <definedName name="적용제외공사원가경비" localSheetId="3">#REF!</definedName>
    <definedName name="적용제외공사원가경비">#REF!</definedName>
    <definedName name="적용제외공사원가노무비" localSheetId="3">#REF!</definedName>
    <definedName name="적용제외공사원가노무비">#REF!</definedName>
    <definedName name="적용제외공사원가재료비" localSheetId="3">#REF!</definedName>
    <definedName name="적용제외공사원가재료비">#REF!</definedName>
    <definedName name="적용제외기타경비" localSheetId="3">#REF!</definedName>
    <definedName name="적용제외기타경비">#REF!</definedName>
    <definedName name="적용제외도급액" localSheetId="3">#REF!</definedName>
    <definedName name="적용제외도급액">#REF!</definedName>
    <definedName name="적용제외산재보험료" localSheetId="3">#REF!</definedName>
    <definedName name="적용제외산재보험료">#REF!</definedName>
    <definedName name="적용제외안전관리비" localSheetId="3">#REF!</definedName>
    <definedName name="적용제외안전관리비">#REF!</definedName>
    <definedName name="적용제외이윤" localSheetId="3">#REF!</definedName>
    <definedName name="적용제외이윤">#REF!</definedName>
    <definedName name="적용제외일반관리비" localSheetId="3">#REF!</definedName>
    <definedName name="적용제외일반관리비">#REF!</definedName>
    <definedName name="전1" localSheetId="3">#REF!</definedName>
    <definedName name="전1">#REF!</definedName>
    <definedName name="전2" localSheetId="3">#REF!</definedName>
    <definedName name="전2">#REF!</definedName>
    <definedName name="전기" localSheetId="0">BlankMacro1</definedName>
    <definedName name="전기" localSheetId="2">BlankMacro1</definedName>
    <definedName name="전기" localSheetId="3">BlankMacro1</definedName>
    <definedName name="전기">BlankMacro1</definedName>
    <definedName name="전기공사기사" localSheetId="0">#REF!</definedName>
    <definedName name="전기공사기사" localSheetId="3">#REF!</definedName>
    <definedName name="전기공사기사">#REF!</definedName>
    <definedName name="전기공사기사_전기공사기사1급" localSheetId="0">#REF!</definedName>
    <definedName name="전기공사기사_전기공사기사1급" localSheetId="3">#REF!</definedName>
    <definedName name="전기공사기사_전기공사기사1급">#REF!</definedName>
    <definedName name="전기공사기사1급" localSheetId="0">#REF!</definedName>
    <definedName name="전기공사기사1급" localSheetId="3">#REF!</definedName>
    <definedName name="전기공사기사1급">#REF!</definedName>
    <definedName name="전기공사기사2급" localSheetId="3">#REF!</definedName>
    <definedName name="전기공사기사2급">#REF!</definedName>
    <definedName name="전기공사산업기사" localSheetId="3">#REF!</definedName>
    <definedName name="전기공사산업기사">#REF!</definedName>
    <definedName name="전기공사산업기사_전기공사기사2급" localSheetId="3">#REF!</definedName>
    <definedName name="전기공사산업기사_전기공사기사2급">#REF!</definedName>
    <definedName name="전기산정표" localSheetId="0">#REF!,#REF!</definedName>
    <definedName name="전기산정표" localSheetId="3">#REF!,#REF!</definedName>
    <definedName name="전기산정표">#REF!,#REF!</definedName>
    <definedName name="전기일위" localSheetId="0">#REF!</definedName>
    <definedName name="전기일위" localSheetId="3">#REF!</definedName>
    <definedName name="전기일위">#REF!</definedName>
    <definedName name="전동기용량" localSheetId="0">#REF!</definedName>
    <definedName name="전동기용량" localSheetId="3">#REF!</definedName>
    <definedName name="전동기용량">#REF!</definedName>
    <definedName name="전시장비노임단가" localSheetId="0" hidden="1">{"SJ - 기본 보기",#N/A,FALSE,"공사별 외주견적"}</definedName>
    <definedName name="전시장비노임단가" hidden="1">{"SJ - 기본 보기",#N/A,FALSE,"공사별 외주견적"}</definedName>
    <definedName name="전원선포설" localSheetId="0">#REF!</definedName>
    <definedName name="전원선포설" localSheetId="3">#REF!</definedName>
    <definedName name="전원선포설">#REF!</definedName>
    <definedName name="전원선포설1" localSheetId="0">#REF!</definedName>
    <definedName name="전원선포설1" localSheetId="3">#REF!</definedName>
    <definedName name="전원선포설1">#REF!</definedName>
    <definedName name="전원케이블" localSheetId="0">#REF!</definedName>
    <definedName name="전원케이블" localSheetId="3">#REF!</definedName>
    <definedName name="전원케이블">#REF!</definedName>
    <definedName name="전의조적" localSheetId="3">#REF!</definedName>
    <definedName name="전의조적">#REF!</definedName>
    <definedName name="전주" localSheetId="3">#REF!</definedName>
    <definedName name="전주">#REF!</definedName>
    <definedName name="전주건주" localSheetId="3">#REF!</definedName>
    <definedName name="전주건주">#REF!</definedName>
    <definedName name="절단공" localSheetId="1">#REF!</definedName>
    <definedName name="절단공" localSheetId="2">#REF!</definedName>
    <definedName name="절단공" localSheetId="3">#REF!</definedName>
    <definedName name="절단공">#REF!</definedName>
    <definedName name="점수표" localSheetId="3">#REF!</definedName>
    <definedName name="점수표">#REF!</definedName>
    <definedName name="점퍼카드2" localSheetId="3">#REF!</definedName>
    <definedName name="점퍼카드2">#REF!</definedName>
    <definedName name="점퍼카드3" localSheetId="3">#REF!</definedName>
    <definedName name="점퍼카드3">#REF!</definedName>
    <definedName name="점퍼카드4" localSheetId="3">#REF!</definedName>
    <definedName name="점퍼카드4">#REF!</definedName>
    <definedName name="접속" localSheetId="3">#REF!</definedName>
    <definedName name="접속">#REF!</definedName>
    <definedName name="접속및단자설치" localSheetId="3">#REF!</definedName>
    <definedName name="접속및단자설치">#REF!</definedName>
    <definedName name="접속크램프" localSheetId="3">#REF!</definedName>
    <definedName name="접속크램프">#REF!</definedName>
    <definedName name="접속클램프" localSheetId="3">#REF!</definedName>
    <definedName name="접속클램프">#REF!</definedName>
    <definedName name="접속후시험" localSheetId="3">#REF!</definedName>
    <definedName name="접속후시험">#REF!</definedName>
    <definedName name="접지봉" localSheetId="3">#REF!</definedName>
    <definedName name="접지봉">#REF!</definedName>
    <definedName name="접지봉시설" localSheetId="3">#REF!</definedName>
    <definedName name="접지봉시설">#REF!</definedName>
    <definedName name="접지봉시설1" localSheetId="3">#REF!</definedName>
    <definedName name="접지봉시설1">#REF!</definedName>
    <definedName name="접지봉시설2" localSheetId="3">#REF!</definedName>
    <definedName name="접지봉시설2">#REF!</definedName>
    <definedName name="접지봉시설3" localSheetId="3">#REF!</definedName>
    <definedName name="접지봉시설3">#REF!</definedName>
    <definedName name="접지선" localSheetId="3">#REF!</definedName>
    <definedName name="접지선">#REF!</definedName>
    <definedName name="접지선매설" localSheetId="3">#REF!</definedName>
    <definedName name="접지선매설">#REF!</definedName>
    <definedName name="접지선시설" localSheetId="3">#REF!</definedName>
    <definedName name="접지선시설">#REF!</definedName>
    <definedName name="접지선시설1" localSheetId="3">#REF!</definedName>
    <definedName name="접지선시설1">#REF!</definedName>
    <definedName name="접지선시설2" localSheetId="3">#REF!</definedName>
    <definedName name="접지선시설2">#REF!</definedName>
    <definedName name="접지슬리브" localSheetId="3">#REF!</definedName>
    <definedName name="접지슬리브">#REF!</definedName>
    <definedName name="접지써콘시설" localSheetId="3">#REF!</definedName>
    <definedName name="접지써콘시설">#REF!</definedName>
    <definedName name="정___비___공" localSheetId="3">#REF!</definedName>
    <definedName name="정___비___공">#REF!</definedName>
    <definedName name="정열범위" localSheetId="3">#REF!</definedName>
    <definedName name="정열범위">#REF!</definedName>
    <definedName name="제___도___사" localSheetId="3">#REF!</definedName>
    <definedName name="제___도___사">#REF!</definedName>
    <definedName name="제___재___공" localSheetId="3">#REF!</definedName>
    <definedName name="제___재___공">#REF!</definedName>
    <definedName name="제1호표" localSheetId="3">#REF!</definedName>
    <definedName name="제1호표">#REF!</definedName>
    <definedName name="제2호표" localSheetId="3">#REF!</definedName>
    <definedName name="제2호표">#REF!</definedName>
    <definedName name="제3호표" localSheetId="3">#REF!</definedName>
    <definedName name="제3호표">#REF!</definedName>
    <definedName name="제4호표" localSheetId="3">#REF!</definedName>
    <definedName name="제4호표">#REF!</definedName>
    <definedName name="제5호표" localSheetId="3">#REF!</definedName>
    <definedName name="제5호표">#REF!</definedName>
    <definedName name="제6호표" localSheetId="3">#REF!</definedName>
    <definedName name="제6호표">#REF!</definedName>
    <definedName name="제도사" localSheetId="3">#REF!</definedName>
    <definedName name="제도사">#REF!</definedName>
    <definedName name="제안서" localSheetId="0">BLCH</definedName>
    <definedName name="제안서" localSheetId="2">BLCH</definedName>
    <definedName name="제안서" localSheetId="3">BLCH</definedName>
    <definedName name="제안서">BLCH</definedName>
    <definedName name="제작설치대비표" localSheetId="0" hidden="1">{#N/A,#N/A,FALSE,"CAM-G7";#N/A,#N/A,FALSE,"SPL";#N/A,#N/A,FALSE,"butt-in G7";#N/A,#N/A,FALSE,"dia-in G7";#N/A,#N/A,FALSE,"추가-STA G7"}</definedName>
    <definedName name="제작설치대비표" hidden="1">{#N/A,#N/A,FALSE,"CAM-G7";#N/A,#N/A,FALSE,"SPL";#N/A,#N/A,FALSE,"butt-in G7";#N/A,#N/A,FALSE,"dia-in G7";#N/A,#N/A,FALSE,"추가-STA G7"}</definedName>
    <definedName name="제잡비" localSheetId="0">#REF!</definedName>
    <definedName name="제잡비" localSheetId="3">#REF!</definedName>
    <definedName name="제잡비">#REF!</definedName>
    <definedName name="제철__축로공" localSheetId="0">#REF!</definedName>
    <definedName name="제철__축로공" localSheetId="3">#REF!</definedName>
    <definedName name="제철__축로공">#REF!</definedName>
    <definedName name="제철축로공" localSheetId="0">#REF!</definedName>
    <definedName name="제철축로공" localSheetId="3">#REF!</definedName>
    <definedName name="제철축로공">#REF!</definedName>
    <definedName name="조___력___공" localSheetId="3">#REF!</definedName>
    <definedName name="조___력___공">#REF!</definedName>
    <definedName name="조___적___공" localSheetId="3">#REF!</definedName>
    <definedName name="조___적___공">#REF!</definedName>
    <definedName name="조_림__인_부" localSheetId="3">#REF!</definedName>
    <definedName name="조_림__인_부">#REF!</definedName>
    <definedName name="조가선" localSheetId="3">#REF!</definedName>
    <definedName name="조가선">#REF!</definedName>
    <definedName name="조가선시설" localSheetId="3">#REF!</definedName>
    <definedName name="조가선시설">#REF!</definedName>
    <definedName name="조가선신설" localSheetId="3">#REF!</definedName>
    <definedName name="조가선신설">#REF!</definedName>
    <definedName name="조경공" localSheetId="3">#REF!</definedName>
    <definedName name="조경공">#REF!</definedName>
    <definedName name="조경산정표" localSheetId="0">#REF!,#REF!</definedName>
    <definedName name="조경산정표" localSheetId="3">#REF!,#REF!</definedName>
    <definedName name="조경산정표">#REF!,#REF!</definedName>
    <definedName name="조달수수료" localSheetId="0">#REF!</definedName>
    <definedName name="조달수수료" localSheetId="3">#REF!</definedName>
    <definedName name="조달수수료">#REF!</definedName>
    <definedName name="조달예가" localSheetId="0">#REF!</definedName>
    <definedName name="조달예가" localSheetId="3">#REF!</definedName>
    <definedName name="조달예가">#REF!</definedName>
    <definedName name="조력공" localSheetId="1">#REF!</definedName>
    <definedName name="조력공" localSheetId="2">#REF!</definedName>
    <definedName name="조력공" localSheetId="3">#REF!</definedName>
    <definedName name="조력공">#REF!</definedName>
    <definedName name="조림인부" localSheetId="3">#REF!</definedName>
    <definedName name="조림인부">#REF!</definedName>
    <definedName name="조명설계" localSheetId="3">#REF!</definedName>
    <definedName name="조명설계">#REF!</definedName>
    <definedName name="조묭" localSheetId="3">#REF!</definedName>
    <definedName name="조묭">#REF!</definedName>
    <definedName name="조영욱" localSheetId="3">#REF!</definedName>
    <definedName name="조영욱">#REF!</definedName>
    <definedName name="조장" localSheetId="3">#REF!</definedName>
    <definedName name="조장">#REF!</definedName>
    <definedName name="조적" localSheetId="3">#REF!</definedName>
    <definedName name="조적">#REF!</definedName>
    <definedName name="조적공" localSheetId="3">#REF!</definedName>
    <definedName name="조적공">#REF!</definedName>
    <definedName name="조적대비표" localSheetId="3">#REF!</definedName>
    <definedName name="조적대비표">#REF!</definedName>
    <definedName name="조정" localSheetId="3">#REF!</definedName>
    <definedName name="조정">#REF!</definedName>
    <definedName name="조정1" localSheetId="3" hidden="1">#REF!</definedName>
    <definedName name="조정1" hidden="1">#REF!</definedName>
    <definedName name="조정기준일" localSheetId="3">#REF!</definedName>
    <definedName name="조정기준일">#REF!</definedName>
    <definedName name="조직현황1" localSheetId="0">BLCH</definedName>
    <definedName name="조직현황1" localSheetId="2">BLCH</definedName>
    <definedName name="조직현황1" localSheetId="3">BLCH</definedName>
    <definedName name="조직현황1">BLCH</definedName>
    <definedName name="조홍" localSheetId="0">BLCH</definedName>
    <definedName name="조홍" localSheetId="2">BLCH</definedName>
    <definedName name="조홍" localSheetId="3">BLCH</definedName>
    <definedName name="조홍">BLCH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0">#REF!</definedName>
    <definedName name="종합판정" localSheetId="3">#REF!</definedName>
    <definedName name="종합판정">#REF!</definedName>
    <definedName name="좆도" localSheetId="0">#REF!</definedName>
    <definedName name="좆도" localSheetId="3">#REF!</definedName>
    <definedName name="좆도">#REF!</definedName>
    <definedName name="주목" localSheetId="0">#REF!</definedName>
    <definedName name="주목" localSheetId="3">#REF!</definedName>
    <definedName name="주목">#REF!</definedName>
    <definedName name="주번" localSheetId="3">#REF!</definedName>
    <definedName name="주번">#REF!</definedName>
    <definedName name="주소" localSheetId="3">#REF!</definedName>
    <definedName name="주소">#REF!</definedName>
    <definedName name="준공일" localSheetId="3">#REF!</definedName>
    <definedName name="준공일">#REF!</definedName>
    <definedName name="준설선__선장" localSheetId="3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 localSheetId="3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 localSheetId="3">#REF!</definedName>
    <definedName name="준설선기관장">#REF!</definedName>
    <definedName name="준설선선장" localSheetId="3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 localSheetId="3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 localSheetId="3">#REF!</definedName>
    <definedName name="준설선전기사">#REF!</definedName>
    <definedName name="줄___눈___공" localSheetId="3">#REF!</definedName>
    <definedName name="줄___눈___공">#REF!</definedName>
    <definedName name="줄눈공" localSheetId="3">#REF!</definedName>
    <definedName name="줄눈공">#REF!</definedName>
    <definedName name="줄사철" localSheetId="3">#REF!</definedName>
    <definedName name="줄사철">#REF!</definedName>
    <definedName name="중_기__조_장" localSheetId="3">#REF!</definedName>
    <definedName name="중_기__조_장">#REF!</definedName>
    <definedName name="중곡" localSheetId="3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 localSheetId="3">#REF!</definedName>
    <definedName name="중급원자력기술자">#REF!</definedName>
    <definedName name="중기" localSheetId="3">#REF!</definedName>
    <definedName name="중기">#REF!</definedName>
    <definedName name="중기가격" localSheetId="3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 localSheetId="3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 localSheetId="3">#REF!</definedName>
    <definedName name="중기운전조수">#REF!</definedName>
    <definedName name="중기조장" localSheetId="1">#REF!</definedName>
    <definedName name="중기조장" localSheetId="2">#REF!</definedName>
    <definedName name="중기조장" localSheetId="3">#REF!</definedName>
    <definedName name="중기조장">#REF!</definedName>
    <definedName name="중량" localSheetId="1">#REF!</definedName>
    <definedName name="중량" localSheetId="2">#REF!</definedName>
    <definedName name="중량" localSheetId="3">#REF!</definedName>
    <definedName name="중량">#REF!</definedName>
    <definedName name="중량표" localSheetId="1">#REF!</definedName>
    <definedName name="중량표" localSheetId="2">#REF!</definedName>
    <definedName name="중량표" localSheetId="3">#REF!</definedName>
    <definedName name="중량표">#REF!</definedName>
    <definedName name="중접슬리브" localSheetId="3">#REF!</definedName>
    <definedName name="중접슬리브">#REF!</definedName>
    <definedName name="증설" localSheetId="0">BlankMacro1</definedName>
    <definedName name="증설" localSheetId="2">BlankMacro1</definedName>
    <definedName name="증설" localSheetId="3">BlankMacro1</definedName>
    <definedName name="증설">BlankMacro1</definedName>
    <definedName name="지__급__자__재__비" localSheetId="0">#REF!</definedName>
    <definedName name="지__급__자__재__비" localSheetId="3">#REF!</definedName>
    <definedName name="지__급__자__재__비">#REF!</definedName>
    <definedName name="지동" localSheetId="0">#REF!</definedName>
    <definedName name="지동" localSheetId="3">#REF!</definedName>
    <definedName name="지동">#REF!</definedName>
    <definedName name="지붕__잇기공" localSheetId="0">#REF!</definedName>
    <definedName name="지붕__잇기공" localSheetId="3">#REF!</definedName>
    <definedName name="지붕__잇기공">#REF!</definedName>
    <definedName name="지붕잇기공" localSheetId="3">#REF!</definedName>
    <definedName name="지붕잇기공">#REF!</definedName>
    <definedName name="지선" localSheetId="3">#REF!</definedName>
    <definedName name="지선">#REF!</definedName>
    <definedName name="지선밴드" localSheetId="3">#REF!</definedName>
    <definedName name="지선밴드">#REF!</definedName>
    <definedName name="지선시설" localSheetId="3">#REF!</definedName>
    <definedName name="지선시설">#REF!</definedName>
    <definedName name="지수1" localSheetId="3">#REF!</definedName>
    <definedName name="지수1">#REF!</definedName>
    <definedName name="지수제" localSheetId="3">#REF!</definedName>
    <definedName name="지수제">#REF!</definedName>
    <definedName name="지수제처리" localSheetId="3">#REF!</definedName>
    <definedName name="지수제처리">#REF!</definedName>
    <definedName name="지수표" localSheetId="3">#REF!</definedName>
    <definedName name="지수표">#REF!</definedName>
    <definedName name="지역">#N/A</definedName>
    <definedName name="지입재료비계" localSheetId="0">#REF!</definedName>
    <definedName name="지입재료비계" localSheetId="3">#REF!</definedName>
    <definedName name="지입재료비계">#REF!</definedName>
    <definedName name="지적기능사" localSheetId="0">#REF!</definedName>
    <definedName name="지적기능사" localSheetId="3">#REF!</definedName>
    <definedName name="지적기능사">#REF!</definedName>
    <definedName name="지적기능사_지적기능사2급" localSheetId="0">#REF!</definedName>
    <definedName name="지적기능사_지적기능사2급" localSheetId="3">#REF!</definedName>
    <definedName name="지적기능사_지적기능사2급">#REF!</definedName>
    <definedName name="지적기능사1" localSheetId="3">#REF!</definedName>
    <definedName name="지적기능사1">#REF!</definedName>
    <definedName name="지적기능사1급" localSheetId="3">#REF!</definedName>
    <definedName name="지적기능사1급">#REF!</definedName>
    <definedName name="지적기능사2" localSheetId="3">#REF!</definedName>
    <definedName name="지적기능사2">#REF!</definedName>
    <definedName name="지적기능사2급" localSheetId="3">#REF!</definedName>
    <definedName name="지적기능사2급">#REF!</definedName>
    <definedName name="지적기능산업기사" localSheetId="3">#REF!</definedName>
    <definedName name="지적기능산업기사">#REF!</definedName>
    <definedName name="지적기능산업기사_지적기능사1급" localSheetId="3">#REF!</definedName>
    <definedName name="지적기능산업기사_지적기능사1급">#REF!</definedName>
    <definedName name="지적기사" localSheetId="3">#REF!</definedName>
    <definedName name="지적기사">#REF!</definedName>
    <definedName name="지적기사_1급" localSheetId="3">#REF!</definedName>
    <definedName name="지적기사_1급">#REF!</definedName>
    <definedName name="지적기사_2급" localSheetId="3">#REF!</definedName>
    <definedName name="지적기사_2급">#REF!</definedName>
    <definedName name="지적기사_지적기사1급" localSheetId="3">#REF!</definedName>
    <definedName name="지적기사_지적기사1급">#REF!</definedName>
    <definedName name="지적기사1" localSheetId="3">#REF!</definedName>
    <definedName name="지적기사1">#REF!</definedName>
    <definedName name="지적기사1급" localSheetId="3">#REF!</definedName>
    <definedName name="지적기사1급">#REF!</definedName>
    <definedName name="지적기사2" localSheetId="3">#REF!</definedName>
    <definedName name="지적기사2">#REF!</definedName>
    <definedName name="지적기사2급" localSheetId="3">#REF!</definedName>
    <definedName name="지적기사2급">#REF!</definedName>
    <definedName name="지적산업기사" localSheetId="3">#REF!</definedName>
    <definedName name="지적산업기사">#REF!</definedName>
    <definedName name="지적산업기사_지적기사2급" localSheetId="3">#REF!</definedName>
    <definedName name="지적산업기사_지적기사2급">#REF!</definedName>
    <definedName name="지중거리" localSheetId="3">#REF!</definedName>
    <definedName name="지중거리">#REF!</definedName>
    <definedName name="지중명찰취부" localSheetId="3">#REF!</definedName>
    <definedName name="지중명찰취부">#REF!</definedName>
    <definedName name="지중철거" localSheetId="3">#REF!</definedName>
    <definedName name="지중철거">#REF!</definedName>
    <definedName name="지중포설" localSheetId="3">#REF!</definedName>
    <definedName name="지중포설">#REF!</definedName>
    <definedName name="직노" localSheetId="3">#REF!</definedName>
    <definedName name="직노">#REF!</definedName>
    <definedName name="직노비" localSheetId="3">#REF!</definedName>
    <definedName name="직노비">#REF!</definedName>
    <definedName name="직노율" localSheetId="3">#REF!</definedName>
    <definedName name="직노율">#REF!</definedName>
    <definedName name="직영" localSheetId="3">#REF!</definedName>
    <definedName name="직영">#REF!</definedName>
    <definedName name="직재비" localSheetId="3">#REF!</definedName>
    <definedName name="직재비">#REF!</definedName>
    <definedName name="직재율" localSheetId="3">#REF!</definedName>
    <definedName name="직재율">#REF!</definedName>
    <definedName name="직접노무" localSheetId="3">#REF!</definedName>
    <definedName name="직접노무">#REF!</definedName>
    <definedName name="직접노무1" localSheetId="3">#REF!</definedName>
    <definedName name="직접노무1">#REF!</definedName>
    <definedName name="직접노무비" localSheetId="3">#REF!</definedName>
    <definedName name="직접노무비">#REF!</definedName>
    <definedName name="직접노무비요율" localSheetId="3">#REF!</definedName>
    <definedName name="직접노무비요율">#REF!</definedName>
    <definedName name="직접재료비" localSheetId="3">#REF!</definedName>
    <definedName name="직접재료비">#REF!</definedName>
    <definedName name="직접재료비합" localSheetId="3">#REF!</definedName>
    <definedName name="직접재료비합">#REF!</definedName>
    <definedName name="직종" localSheetId="3">#REF!</definedName>
    <definedName name="직종">#REF!</definedName>
    <definedName name="직종명" localSheetId="1">#REF!</definedName>
    <definedName name="직종명" localSheetId="2">#REF!</definedName>
    <definedName name="직종명" localSheetId="3">#REF!</definedName>
    <definedName name="직종명">#REF!</definedName>
    <definedName name="진남도급" localSheetId="0">BlankMacro1</definedName>
    <definedName name="진남도급" localSheetId="2">BlankMacro1</definedName>
    <definedName name="진남도급" localSheetId="3">BlankMacro1</definedName>
    <definedName name="진남도급">BlankMacro1</definedName>
    <definedName name="진동롤러" localSheetId="0">#REF!</definedName>
    <definedName name="진동롤러" localSheetId="3">#REF!</definedName>
    <definedName name="진동롤러">#REF!</definedName>
    <definedName name="집">#N/A</definedName>
    <definedName name="집계1" localSheetId="0">#REF!</definedName>
    <definedName name="집계1" localSheetId="3">#REF!</definedName>
    <definedName name="집계1">#REF!</definedName>
    <definedName name="집계2" localSheetId="0">#REF!</definedName>
    <definedName name="집계2" localSheetId="3">#REF!</definedName>
    <definedName name="집계2">#REF!</definedName>
    <definedName name="집계표2" localSheetId="0">BlankMacro1</definedName>
    <definedName name="집계표2" localSheetId="2">BlankMacro1</definedName>
    <definedName name="집계표2" localSheetId="3">BlankMacro1</definedName>
    <definedName name="집계표2">BlankMacro1</definedName>
    <definedName name="집기공사" localSheetId="0">BlankMacro1</definedName>
    <definedName name="집기공사" localSheetId="2">BlankMacro1</definedName>
    <definedName name="집기공사" localSheetId="3">BlankMacro1</definedName>
    <definedName name="집기공사">BlankMacro1</definedName>
    <definedName name="ㅊ1000" localSheetId="0">#REF!</definedName>
    <definedName name="ㅊ1000" localSheetId="3">#REF!</definedName>
    <definedName name="ㅊ1000">#REF!</definedName>
    <definedName name="ㅊ214" localSheetId="0">#REF!</definedName>
    <definedName name="ㅊ214" localSheetId="3">#REF!</definedName>
    <definedName name="ㅊ214">#REF!</definedName>
    <definedName name="ㅊ5" localSheetId="0">#REF!</definedName>
    <definedName name="ㅊ5" localSheetId="3">#REF!</definedName>
    <definedName name="ㅊ5">#REF!</definedName>
    <definedName name="차이" localSheetId="3">#REF!</definedName>
    <definedName name="차이">#REF!</definedName>
    <definedName name="차ㅓㅇ" localSheetId="3">#REF!</definedName>
    <definedName name="차ㅓㅇ">#REF!</definedName>
    <definedName name="착___암___공" localSheetId="3">#REF!</definedName>
    <definedName name="착___암___공">#REF!</definedName>
    <definedName name="착공월" localSheetId="3">#REF!</definedName>
    <definedName name="착공월">#REF!</definedName>
    <definedName name="착공일" localSheetId="3">#REF!</definedName>
    <definedName name="착공일">#REF!</definedName>
    <definedName name="착암공" localSheetId="1">#REF!</definedName>
    <definedName name="착암공" localSheetId="2">#REF!</definedName>
    <definedName name="착암공" localSheetId="3">#REF!</definedName>
    <definedName name="착암공">#REF!</definedName>
    <definedName name="착정심도" localSheetId="3">#REF!</definedName>
    <definedName name="착정심도">#REF!</definedName>
    <definedName name="창호목공" localSheetId="1">#REF!</definedName>
    <definedName name="창호목공" localSheetId="2">#REF!</definedName>
    <definedName name="창호목공" localSheetId="3">#REF!</definedName>
    <definedName name="창호목공">#REF!</definedName>
    <definedName name="창화" localSheetId="3">#REF!</definedName>
    <definedName name="창화">#REF!</definedName>
    <definedName name="챠01" localSheetId="3">#REF!</definedName>
    <definedName name="챠01">#REF!</definedName>
    <definedName name="챠02" localSheetId="3">#REF!</definedName>
    <definedName name="챠02">#REF!</definedName>
    <definedName name="챠트" localSheetId="3">#REF!</definedName>
    <definedName name="챠트">#REF!</definedName>
    <definedName name="챠트2" localSheetId="3">#REF!</definedName>
    <definedName name="챠트2">#REF!</definedName>
    <definedName name="챠트3" localSheetId="3">#REF!</definedName>
    <definedName name="챠트3">#REF!</definedName>
    <definedName name="챠트4" localSheetId="3">#REF!</definedName>
    <definedName name="챠트4">#REF!</definedName>
    <definedName name="천성건설" localSheetId="3">#REF!</definedName>
    <definedName name="천성건설">#REF!</definedName>
    <definedName name="천호" localSheetId="3">#REF!</definedName>
    <definedName name="천호">#REF!</definedName>
    <definedName name="천호대비" localSheetId="3">#REF!</definedName>
    <definedName name="천호대비">#REF!</definedName>
    <definedName name="철2" localSheetId="0" hidden="1">{#N/A,#N/A,FALSE,"혼합골재"}</definedName>
    <definedName name="철2" hidden="1">{#N/A,#N/A,FALSE,"혼합골재"}</definedName>
    <definedName name="철골공" localSheetId="0">#REF!</definedName>
    <definedName name="철골공" localSheetId="1">#REF!</definedName>
    <definedName name="철골공" localSheetId="2">#REF!</definedName>
    <definedName name="철골공" localSheetId="3">#REF!</definedName>
    <definedName name="철골공">#REF!</definedName>
    <definedName name="철공" localSheetId="0">#REF!</definedName>
    <definedName name="철공" localSheetId="3">#REF!</definedName>
    <definedName name="철공">#REF!</definedName>
    <definedName name="철근공" localSheetId="1">#REF!</definedName>
    <definedName name="철근공" localSheetId="2">#REF!</definedName>
    <definedName name="철근공" localSheetId="3">#REF!</definedName>
    <definedName name="철근공">#REF!</definedName>
    <definedName name="철도__궤도공" localSheetId="3">#REF!</definedName>
    <definedName name="철도__궤도공">#REF!</definedName>
    <definedName name="철도__신호공" localSheetId="3">#REF!</definedName>
    <definedName name="철도__신호공">#REF!</definedName>
    <definedName name="철도신호공" localSheetId="3">#REF!</definedName>
    <definedName name="철도신호공">#REF!</definedName>
    <definedName name="철목1호" localSheetId="3">#REF!</definedName>
    <definedName name="철목1호">#REF!</definedName>
    <definedName name="철목2호" localSheetId="3">#REF!</definedName>
    <definedName name="철목2호">#REF!</definedName>
    <definedName name="철목3호" localSheetId="3">#REF!</definedName>
    <definedName name="철목3호">#REF!</definedName>
    <definedName name="철목4호" localSheetId="3">#REF!</definedName>
    <definedName name="철목4호">#REF!</definedName>
    <definedName name="철콘" localSheetId="3">#REF!</definedName>
    <definedName name="철콘">#REF!</definedName>
    <definedName name="철판공" localSheetId="1">#REF!</definedName>
    <definedName name="철판공" localSheetId="2">#REF!</definedName>
    <definedName name="철판공" localSheetId="3">#REF!</definedName>
    <definedName name="철판공">#REF!</definedName>
    <definedName name="청단풍" localSheetId="3">#REF!</definedName>
    <definedName name="청단풍">#REF!</definedName>
    <definedName name="청림1호" localSheetId="3">#REF!</definedName>
    <definedName name="청림1호">#REF!</definedName>
    <definedName name="청림2호" localSheetId="3">#REF!</definedName>
    <definedName name="청림2호">#REF!</definedName>
    <definedName name="청림3호" localSheetId="3">#REF!</definedName>
    <definedName name="청림3호">#REF!</definedName>
    <definedName name="청암" localSheetId="3">#REF!</definedName>
    <definedName name="청암">#REF!</definedName>
    <definedName name="초과" localSheetId="3">#REF!</definedName>
    <definedName name="초과">#REF!</definedName>
    <definedName name="총" localSheetId="3">#REF!</definedName>
    <definedName name="총">#REF!</definedName>
    <definedName name="총______원_______가" localSheetId="3">#REF!</definedName>
    <definedName name="총______원_______가">#REF!</definedName>
    <definedName name="총___공____사___비" localSheetId="3">#REF!</definedName>
    <definedName name="총___공____사___비">#REF!</definedName>
    <definedName name="총계" localSheetId="3">#REF!</definedName>
    <definedName name="총계">#REF!</definedName>
    <definedName name="총계1" localSheetId="3">#REF!</definedName>
    <definedName name="총계1">#REF!</definedName>
    <definedName name="총공" localSheetId="0" hidden="1">{#N/A,#N/A,FALSE,"운반시간"}</definedName>
    <definedName name="총공" hidden="1">{#N/A,#N/A,FALSE,"운반시간"}</definedName>
    <definedName name="총공사비" localSheetId="0">#REF!</definedName>
    <definedName name="총공사비" localSheetId="3">#REF!</definedName>
    <definedName name="총공사비">#REF!</definedName>
    <definedName name="총괄" localSheetId="0">#REF!</definedName>
    <definedName name="총괄" localSheetId="3">#REF!</definedName>
    <definedName name="총괄">#REF!</definedName>
    <definedName name="총괄공사예산서" localSheetId="0">#REF!</definedName>
    <definedName name="총괄공사예산서" localSheetId="3">#REF!</definedName>
    <definedName name="총괄공사예산서">#REF!</definedName>
    <definedName name="총괄표" localSheetId="3">#REF!</definedName>
    <definedName name="총괄표">#REF!</definedName>
    <definedName name="총괄표2" localSheetId="0" hidden="1">{#N/A,#N/A,FALSE,"CAM-G7";#N/A,#N/A,FALSE,"SPL";#N/A,#N/A,FALSE,"butt-in G7";#N/A,#N/A,FALSE,"dia-in G7";#N/A,#N/A,FALSE,"추가-STA G7"}</definedName>
    <definedName name="총괄표2" hidden="1">{#N/A,#N/A,FALSE,"CAM-G7";#N/A,#N/A,FALSE,"SPL";#N/A,#N/A,FALSE,"butt-in G7";#N/A,#N/A,FALSE,"dia-in G7";#N/A,#N/A,FALSE,"추가-STA G7"}</definedName>
    <definedName name="총괄표3" localSheetId="0" hidden="1">{#N/A,#N/A,FALSE,"현장 NCR 분석";#N/A,#N/A,FALSE,"현장품질감사";#N/A,#N/A,FALSE,"현장품질감사"}</definedName>
    <definedName name="총괄표3" hidden="1">{#N/A,#N/A,FALSE,"현장 NCR 분석";#N/A,#N/A,FALSE,"현장품질감사";#N/A,#N/A,FALSE,"현장품질감사"}</definedName>
    <definedName name="총원가" localSheetId="0">#REF!</definedName>
    <definedName name="총원가" localSheetId="3">#REF!</definedName>
    <definedName name="총원가">#REF!</definedName>
    <definedName name="총원가2" localSheetId="0">#REF!</definedName>
    <definedName name="총원가2" localSheetId="3">#REF!</definedName>
    <definedName name="총원가2">#REF!</definedName>
    <definedName name="총토탈" localSheetId="0">#REF!</definedName>
    <definedName name="총토탈" localSheetId="3">#REF!</definedName>
    <definedName name="총토탈">#REF!</definedName>
    <definedName name="총토탈1" localSheetId="3">#REF!</definedName>
    <definedName name="총토탈1">#REF!</definedName>
    <definedName name="총토탈2" localSheetId="3">#REF!</definedName>
    <definedName name="총토탈2">#REF!</definedName>
    <definedName name="최종시험" localSheetId="3">#REF!</definedName>
    <definedName name="최종시험">#REF!</definedName>
    <definedName name="최종실행확정" localSheetId="0">BlankMacro1</definedName>
    <definedName name="최종실행확정" localSheetId="2">BlankMacro1</definedName>
    <definedName name="최종실행확정" localSheetId="3">BlankMacro1</definedName>
    <definedName name="최종실행확정">BlankMacro1</definedName>
    <definedName name="추가견적갑지" localSheetId="0">BlankMacro1</definedName>
    <definedName name="추가견적갑지" localSheetId="2">BlankMacro1</definedName>
    <definedName name="추가견적갑지" localSheetId="3">BlankMacro1</definedName>
    <definedName name="추가견적갑지">BlankMacro1</definedName>
    <definedName name="추진현황" localSheetId="0">#REF!</definedName>
    <definedName name="추진현황" localSheetId="3">#REF!</definedName>
    <definedName name="추진현황">#REF!</definedName>
    <definedName name="축전지" localSheetId="0">#REF!</definedName>
    <definedName name="축전지" localSheetId="3">#REF!</definedName>
    <definedName name="축전지">#REF!</definedName>
    <definedName name="출력인원" localSheetId="0">BlankMacro1</definedName>
    <definedName name="출력인원" localSheetId="2">BlankMacro1</definedName>
    <definedName name="출력인원" localSheetId="3">BlankMacro1</definedName>
    <definedName name="출력인원">BlankMacro1</definedName>
    <definedName name="충남" localSheetId="0">#REF!</definedName>
    <definedName name="충남" localSheetId="3">#REF!</definedName>
    <definedName name="충남">#REF!</definedName>
    <definedName name="충남타임월드" localSheetId="0">#REF!</definedName>
    <definedName name="충남타임월드" localSheetId="3">#REF!</definedName>
    <definedName name="충남타임월드">#REF!</definedName>
    <definedName name="충맘" localSheetId="0">#REF!</definedName>
    <definedName name="충맘" localSheetId="3">#REF!</definedName>
    <definedName name="충맘">#REF!</definedName>
    <definedName name="충전기" localSheetId="3">#REF!</definedName>
    <definedName name="충전기">#REF!</definedName>
    <definedName name="취부밴드" localSheetId="3">#REF!</definedName>
    <definedName name="취부밴드">#REF!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0">#REF!</definedName>
    <definedName name="측________부" localSheetId="3">#REF!</definedName>
    <definedName name="측________부">#REF!</definedName>
    <definedName name="측량" localSheetId="0">#REF!</definedName>
    <definedName name="측량" localSheetId="3">#REF!</definedName>
    <definedName name="측량">#REF!</definedName>
    <definedName name="측부" localSheetId="0">#REF!</definedName>
    <definedName name="측부" localSheetId="3">#REF!</definedName>
    <definedName name="측부">#REF!</definedName>
    <definedName name="치장__벽돌공" localSheetId="3">#REF!</definedName>
    <definedName name="치장__벽돌공">#REF!</definedName>
    <definedName name="치장벽돌공" localSheetId="3">#REF!</definedName>
    <definedName name="치장벽돌공">#REF!</definedName>
    <definedName name="칠" localSheetId="3">#REF!</definedName>
    <definedName name="칠">#REF!</definedName>
    <definedName name="카본" localSheetId="3">#REF!</definedName>
    <definedName name="카본">#REF!</definedName>
    <definedName name="케이블" localSheetId="3">#REF!</definedName>
    <definedName name="케이블">#REF!</definedName>
    <definedName name="케이블명찰" localSheetId="3">#REF!</definedName>
    <definedName name="케이블명찰">#REF!</definedName>
    <definedName name="케이블명찰지중" localSheetId="3">#REF!</definedName>
    <definedName name="케이블명찰지중">#REF!</definedName>
    <definedName name="케이블바인드신설1" localSheetId="3">#REF!</definedName>
    <definedName name="케이블바인드신설1">#REF!</definedName>
    <definedName name="케이블바인드신설2" localSheetId="3">#REF!</definedName>
    <definedName name="케이블바인드신설2">#REF!</definedName>
    <definedName name="케이블바인드신설3" localSheetId="3">#REF!</definedName>
    <definedName name="케이블바인드신설3">#REF!</definedName>
    <definedName name="케이블바인드신설4" localSheetId="3">#REF!</definedName>
    <definedName name="케이블바인드신설4">#REF!</definedName>
    <definedName name="케이블바인드신설5" localSheetId="3">#REF!</definedName>
    <definedName name="케이블바인드신설5">#REF!</definedName>
    <definedName name="케이블바인드해체" localSheetId="3">#REF!</definedName>
    <definedName name="케이블바인드해체">#REF!</definedName>
    <definedName name="케이블여장" localSheetId="3">#REF!</definedName>
    <definedName name="케이블여장">#REF!</definedName>
    <definedName name="케이블크리트" localSheetId="3">#REF!</definedName>
    <definedName name="케이블크리트">#REF!</definedName>
    <definedName name="케이블크리트설치" localSheetId="3">#REF!</definedName>
    <definedName name="케이블크리트설치">#REF!</definedName>
    <definedName name="코___킹___공" localSheetId="3">#REF!</definedName>
    <definedName name="코___킹___공">#REF!</definedName>
    <definedName name="코드" localSheetId="3">#REF!</definedName>
    <definedName name="코드">#REF!</definedName>
    <definedName name="코킹공" localSheetId="3">#REF!</definedName>
    <definedName name="코킹공">#REF!</definedName>
    <definedName name="콘굴착" localSheetId="3">#REF!</definedName>
    <definedName name="콘굴착">#REF!</definedName>
    <definedName name="콘넥타" localSheetId="3">#REF!</definedName>
    <definedName name="콘넥타">#REF!</definedName>
    <definedName name="콘크" localSheetId="3">#REF!</definedName>
    <definedName name="콘크">#REF!</definedName>
    <definedName name="콘크리이리트건주" localSheetId="3">#REF!</definedName>
    <definedName name="콘크리이리트건주">#REF!</definedName>
    <definedName name="콘크리트" localSheetId="3">#REF!</definedName>
    <definedName name="콘크리트">#REF!</definedName>
    <definedName name="콘크리트__공" localSheetId="3">#REF!</definedName>
    <definedName name="콘크리트__공">#REF!</definedName>
    <definedName name="콘크리트공" localSheetId="1">#REF!</definedName>
    <definedName name="콘크리트공" localSheetId="2">#REF!</definedName>
    <definedName name="콘크리트공" localSheetId="3">#REF!</definedName>
    <definedName name="콘크리트공">#REF!</definedName>
    <definedName name="콘크리트공_광의" localSheetId="3">#REF!</definedName>
    <definedName name="콘크리트공_광의">#REF!</definedName>
    <definedName name="크램프취부" localSheetId="3">#REF!</definedName>
    <definedName name="크램프취부">#REF!</definedName>
    <definedName name="크리트" localSheetId="3">#REF!</definedName>
    <definedName name="크리트">#REF!</definedName>
    <definedName name="크리트설치" localSheetId="3">#REF!</definedName>
    <definedName name="크리트설치">#REF!</definedName>
    <definedName name="클램프취부" localSheetId="3">#REF!</definedName>
    <definedName name="클램프취부">#REF!</definedName>
    <definedName name="ㅌ" localSheetId="0">BlankMacro1</definedName>
    <definedName name="ㅌ" localSheetId="1">#REF!</definedName>
    <definedName name="ㅌ" localSheetId="2">#REF!</definedName>
    <definedName name="ㅌ" localSheetId="3">#REF!</definedName>
    <definedName name="ㅌ">BlankMacro1</definedName>
    <definedName name="ㅌㅌㅌㅌㅌㅌㅌ" localSheetId="0">#REF!</definedName>
    <definedName name="ㅌㅌㅌㅌㅌㅌㅌ" localSheetId="3">#REF!</definedName>
    <definedName name="ㅌㅌㅌㅌㅌㅌㅌ">#REF!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___일___공" localSheetId="0">#REF!</definedName>
    <definedName name="타___일___공" localSheetId="3">#REF!</definedName>
    <definedName name="타___일___공">#REF!</definedName>
    <definedName name="타이" localSheetId="0">#REF!</definedName>
    <definedName name="타이" localSheetId="3">#REF!</definedName>
    <definedName name="타이">#REF!</definedName>
    <definedName name="타이어롤러" localSheetId="0">#REF!</definedName>
    <definedName name="타이어롤러" localSheetId="3">#REF!</definedName>
    <definedName name="타이어롤러">#REF!</definedName>
    <definedName name="타일공" localSheetId="3">#REF!</definedName>
    <definedName name="타일공">#REF!</definedName>
    <definedName name="태그" localSheetId="3">#REF!</definedName>
    <definedName name="태그">#REF!</definedName>
    <definedName name="템덤롤러" localSheetId="3">#REF!</definedName>
    <definedName name="템덤롤러">#REF!</definedName>
    <definedName name="템플리트모듈1" localSheetId="0">BlankMacro1</definedName>
    <definedName name="템플리트모듈1" localSheetId="2">BlankMacro1</definedName>
    <definedName name="템플리트모듈1" localSheetId="3">BlankMacro1</definedName>
    <definedName name="템플리트모듈1">BlankMacro1</definedName>
    <definedName name="템플리트모듈14" localSheetId="0">BlankMacro1</definedName>
    <definedName name="템플리트모듈14" localSheetId="2">BlankMacro1</definedName>
    <definedName name="템플리트모듈14" localSheetId="3">BlankMacro1</definedName>
    <definedName name="템플리트모듈14">BlankMacro1</definedName>
    <definedName name="템플리트모듈2" localSheetId="0">BlankMacro1</definedName>
    <definedName name="템플리트모듈2" localSheetId="2">BlankMacro1</definedName>
    <definedName name="템플리트모듈2" localSheetId="3">BlankMacro1</definedName>
    <definedName name="템플리트모듈2">BlankMacro1</definedName>
    <definedName name="템플리트모듈3" localSheetId="0">BlankMacro1</definedName>
    <definedName name="템플리트모듈3" localSheetId="2">BlankMacro1</definedName>
    <definedName name="템플리트모듈3" localSheetId="3">BlankMacro1</definedName>
    <definedName name="템플리트모듈3">BlankMacro1</definedName>
    <definedName name="템플리트모듈4" localSheetId="0">BlankMacro1</definedName>
    <definedName name="템플리트모듈4" localSheetId="2">BlankMacro1</definedName>
    <definedName name="템플리트모듈4" localSheetId="3">BlankMacro1</definedName>
    <definedName name="템플리트모듈4">BlankMacro1</definedName>
    <definedName name="템플리트모듈5" localSheetId="0">BlankMacro1</definedName>
    <definedName name="템플리트모듈5" localSheetId="2">BlankMacro1</definedName>
    <definedName name="템플리트모듈5" localSheetId="3">BlankMacro1</definedName>
    <definedName name="템플리트모듈5">BlankMacro1</definedName>
    <definedName name="템플리트모듈6" localSheetId="0">Dlog_Show</definedName>
    <definedName name="템플리트모듈6" localSheetId="1">BlankMacro1</definedName>
    <definedName name="템플리트모듈6" localSheetId="2">BlankMacro1</definedName>
    <definedName name="템플리트모듈6" localSheetId="3">BlankMacro1</definedName>
    <definedName name="템플리트모듈6">Dlog_Show</definedName>
    <definedName name="템플리트모듈8" localSheetId="0">BlankMacro1</definedName>
    <definedName name="템플리트모듈8" localSheetId="2">BlankMacro1</definedName>
    <definedName name="템플리트모듈8" localSheetId="3">BlankMacro1</definedName>
    <definedName name="템플리트모듈8">BlankMacro1</definedName>
    <definedName name="토" localSheetId="0" hidden="1">#REF!</definedName>
    <definedName name="토" localSheetId="3" hidden="1">#REF!</definedName>
    <definedName name="토" hidden="1">#REF!</definedName>
    <definedName name="토공2" localSheetId="0" hidden="1">{#N/A,#N/A,FALSE,"2~8번"}</definedName>
    <definedName name="토공2" hidden="1">{#N/A,#N/A,FALSE,"2~8번"}</definedName>
    <definedName name="토공전체" localSheetId="0" hidden="1">{#N/A,#N/A,FALSE,"운반시간"}</definedName>
    <definedName name="토공전체" hidden="1">{#N/A,#N/A,FALSE,"운반시간"}</definedName>
    <definedName name="토목" localSheetId="0">#REF!</definedName>
    <definedName name="토목" localSheetId="3">#REF!</definedName>
    <definedName name="토목">#REF!</definedName>
    <definedName name="토목공사" localSheetId="0">#REF!</definedName>
    <definedName name="토목공사" localSheetId="3">#REF!</definedName>
    <definedName name="토목공사">#REF!</definedName>
    <definedName name="토목공사1" localSheetId="0">#REF!</definedName>
    <definedName name="토목공사1" localSheetId="3">#REF!</definedName>
    <definedName name="토목공사1">#REF!</definedName>
    <definedName name="토목내역" localSheetId="3">#REF!</definedName>
    <definedName name="토목내역">#REF!</definedName>
    <definedName name="토목산정표" localSheetId="0">#REF!,#REF!</definedName>
    <definedName name="토목산정표" localSheetId="3">#REF!,#REF!</definedName>
    <definedName name="토목산정표">#REF!,#REF!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원가계산서" localSheetId="0">#REF!</definedName>
    <definedName name="토목원가계산서" localSheetId="3">#REF!</definedName>
    <definedName name="토목원가계산서">#REF!</definedName>
    <definedName name="토목집계" localSheetId="0">#REF!</definedName>
    <definedName name="토목집계" localSheetId="3">#REF!</definedName>
    <definedName name="토목집계">#REF!</definedName>
    <definedName name="통2" localSheetId="0">#REF!</definedName>
    <definedName name="통2" localSheetId="3">#REF!</definedName>
    <definedName name="통2">#REF!</definedName>
    <definedName name="통기1" localSheetId="3">#REF!</definedName>
    <definedName name="통기1">#REF!</definedName>
    <definedName name="통기2" localSheetId="3">#REF!</definedName>
    <definedName name="통기2">#REF!</definedName>
    <definedName name="통신__기능사" localSheetId="3">#REF!</definedName>
    <definedName name="통신__기능사">#REF!</definedName>
    <definedName name="통신__내선공" localSheetId="3">#REF!</definedName>
    <definedName name="통신__내선공">#REF!</definedName>
    <definedName name="통신__설비공" localSheetId="3">#REF!</definedName>
    <definedName name="통신__설비공">#REF!</definedName>
    <definedName name="통신__외선공" localSheetId="3">#REF!</definedName>
    <definedName name="통신__외선공">#REF!</definedName>
    <definedName name="통신관련기능사" localSheetId="3">#REF!</definedName>
    <definedName name="통신관련기능사">#REF!</definedName>
    <definedName name="통신관련기능사_통신기능사" localSheetId="3">#REF!</definedName>
    <definedName name="통신관련기능사_통신기능사">#REF!</definedName>
    <definedName name="통신관련기사" localSheetId="3">#REF!</definedName>
    <definedName name="통신관련기사">#REF!</definedName>
    <definedName name="통신관련기사_통신기사1급" localSheetId="3">#REF!</definedName>
    <definedName name="통신관련기사_통신기사1급">#REF!</definedName>
    <definedName name="통신관련산업기사" localSheetId="3">#REF!</definedName>
    <definedName name="통신관련산업기사">#REF!</definedName>
    <definedName name="통신관련산업기사_통신기사2급" localSheetId="3">#REF!</definedName>
    <definedName name="통신관련산업기사_통신기사2급">#REF!</definedName>
    <definedName name="통신기능사" localSheetId="3">#REF!</definedName>
    <definedName name="통신기능사">#REF!</definedName>
    <definedName name="통신기사_1급" localSheetId="3">#REF!</definedName>
    <definedName name="통신기사_1급">#REF!</definedName>
    <definedName name="통신기사_2급" localSheetId="3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 localSheetId="3">#REF!</definedName>
    <definedName name="통신기사1급">#REF!</definedName>
    <definedName name="통신기사2급" localSheetId="1">#REF!</definedName>
    <definedName name="통신기사2급" localSheetId="2">#REF!</definedName>
    <definedName name="통신기사2급" localSheetId="3">#REF!</definedName>
    <definedName name="통신기사2급">#REF!</definedName>
    <definedName name="통신내" localSheetId="3">#REF!</definedName>
    <definedName name="통신내">#REF!</definedName>
    <definedName name="통신내선" localSheetId="3">#REF!</definedName>
    <definedName name="통신내선">#REF!</definedName>
    <definedName name="통신내선공" localSheetId="1">#REF!</definedName>
    <definedName name="통신내선공" localSheetId="2">#REF!</definedName>
    <definedName name="통신내선공" localSheetId="3">#REF!</definedName>
    <definedName name="통신내선공">#REF!</definedName>
    <definedName name="통신설" localSheetId="3">#REF!</definedName>
    <definedName name="통신설">#REF!</definedName>
    <definedName name="통신설비공" localSheetId="1">#REF!</definedName>
    <definedName name="통신설비공" localSheetId="2">#REF!</definedName>
    <definedName name="통신설비공" localSheetId="3">#REF!</definedName>
    <definedName name="통신설비공">#REF!</definedName>
    <definedName name="통신외" localSheetId="3">#REF!</definedName>
    <definedName name="통신외">#REF!</definedName>
    <definedName name="통신외선공" localSheetId="1">#REF!</definedName>
    <definedName name="통신외선공" localSheetId="2">#REF!</definedName>
    <definedName name="통신외선공" localSheetId="3">#REF!</definedName>
    <definedName name="통신외선공">#REF!</definedName>
    <definedName name="통신용벽철" localSheetId="3">#REF!</definedName>
    <definedName name="통신용벽철">#REF!</definedName>
    <definedName name="통신용완철" localSheetId="3">#REF!</definedName>
    <definedName name="통신용완철">#REF!</definedName>
    <definedName name="통신용인입벽청" localSheetId="3">#REF!</definedName>
    <definedName name="통신용인입벽청">#REF!</definedName>
    <definedName name="통신케" localSheetId="3">#REF!</definedName>
    <definedName name="통신케">#REF!</definedName>
    <definedName name="통신케이블공" localSheetId="1">#REF!</definedName>
    <definedName name="통신케이블공" localSheetId="2">#REF!</definedName>
    <definedName name="통신케이블공" localSheetId="3">#REF!</definedName>
    <definedName name="통신케이블공">#REF!</definedName>
    <definedName name="투간접노무비" localSheetId="3">#REF!</definedName>
    <definedName name="투간접노무비">#REF!</definedName>
    <definedName name="투경비" localSheetId="3">#REF!</definedName>
    <definedName name="투경비">#REF!</definedName>
    <definedName name="투고용보험료" localSheetId="3">#REF!</definedName>
    <definedName name="투고용보험료">#REF!</definedName>
    <definedName name="투공급가액" localSheetId="3">#REF!</definedName>
    <definedName name="투공급가액">#REF!</definedName>
    <definedName name="투공사원가" localSheetId="3">#REF!</definedName>
    <definedName name="투공사원가">#REF!</definedName>
    <definedName name="투기타경비" localSheetId="3">#REF!</definedName>
    <definedName name="투기타경비">#REF!</definedName>
    <definedName name="투노무비" localSheetId="3">#REF!</definedName>
    <definedName name="투노무비">#REF!</definedName>
    <definedName name="투도급액" localSheetId="3">#REF!</definedName>
    <definedName name="투도급액">#REF!</definedName>
    <definedName name="투부가가치세" localSheetId="3">#REF!</definedName>
    <definedName name="투부가가치세">#REF!</definedName>
    <definedName name="투산재보험료" localSheetId="3">#REF!</definedName>
    <definedName name="투산재보험료">#REF!</definedName>
    <definedName name="투순공사원가" localSheetId="3">#REF!</definedName>
    <definedName name="투순공사원가">#REF!</definedName>
    <definedName name="투안전관리비" localSheetId="3">#REF!</definedName>
    <definedName name="투안전관리비">#REF!</definedName>
    <definedName name="투이윤" localSheetId="3">#REF!</definedName>
    <definedName name="투이윤">#REF!</definedName>
    <definedName name="투일반관리비" localSheetId="3">#REF!</definedName>
    <definedName name="투일반관리비">#REF!</definedName>
    <definedName name="투재료비" localSheetId="3">#REF!</definedName>
    <definedName name="투재료비">#REF!</definedName>
    <definedName name="투폐기물처리비" localSheetId="3">#REF!</definedName>
    <definedName name="투폐기물처리비">#REF!</definedName>
    <definedName name="특_별__인_부" localSheetId="3">#REF!</definedName>
    <definedName name="특_별__인_부">#REF!</definedName>
    <definedName name="특_수_화__공" localSheetId="3">#REF!</definedName>
    <definedName name="특_수_화__공">#REF!</definedName>
    <definedName name="특고" localSheetId="3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 localSheetId="3">#REF!</definedName>
    <definedName name="특고압케이블전공">#REF!</definedName>
    <definedName name="특고케이블공" localSheetId="3">#REF!</definedName>
    <definedName name="특고케이블공">#REF!</definedName>
    <definedName name="특급원자력비파괴시험" localSheetId="3">#REF!</definedName>
    <definedName name="특급원자력비파괴시험">#REF!</definedName>
    <definedName name="특급원자력비파괴시험공" localSheetId="3">#REF!</definedName>
    <definedName name="특급원자력비파괴시험공">#REF!</definedName>
    <definedName name="특기" localSheetId="3">#REF!</definedName>
    <definedName name="특기">#REF!</definedName>
    <definedName name="특별" localSheetId="3">#REF!</definedName>
    <definedName name="특별">#REF!</definedName>
    <definedName name="특별인부" localSheetId="1">#REF!</definedName>
    <definedName name="특별인부" localSheetId="2">#REF!</definedName>
    <definedName name="특별인부" localSheetId="3">#REF!</definedName>
    <definedName name="특별인부">#REF!</definedName>
    <definedName name="특수비계공" localSheetId="1">#REF!</definedName>
    <definedName name="특수비계공" localSheetId="2">#REF!</definedName>
    <definedName name="특수비계공" localSheetId="3">#REF!</definedName>
    <definedName name="특수비계공">#REF!</definedName>
    <definedName name="특수화공" localSheetId="3">#REF!</definedName>
    <definedName name="특수화공">#REF!</definedName>
    <definedName name="특케" localSheetId="3">#REF!</definedName>
    <definedName name="특케">#REF!</definedName>
    <definedName name="판군" localSheetId="3">#REF!</definedName>
    <definedName name="판군">#REF!</definedName>
    <definedName name="판넬__조립공" localSheetId="3">#REF!</definedName>
    <definedName name="판넬__조립공">#REF!</definedName>
    <definedName name="판넬조립공" localSheetId="3">#REF!</definedName>
    <definedName name="판넬조립공">#REF!</definedName>
    <definedName name="팔" localSheetId="3" hidden="1">#REF!</definedName>
    <definedName name="팔" hidden="1">#REF!</definedName>
    <definedName name="펌프구경" localSheetId="3">#REF!</definedName>
    <definedName name="펌프구경">#REF!</definedName>
    <definedName name="페이로다" localSheetId="3">#REF!</definedName>
    <definedName name="페이로다">#REF!</definedName>
    <definedName name="평균" localSheetId="3">#REF!</definedName>
    <definedName name="평균">#REF!</definedName>
    <definedName name="폐_기_물___수_수_료" localSheetId="3">#REF!</definedName>
    <definedName name="폐_기_물___수_수_료">#REF!</definedName>
    <definedName name="폐_기_물___처_리_비" localSheetId="3">#REF!</definedName>
    <definedName name="폐_기_물___처_리_비">#REF!</definedName>
    <definedName name="포___설___공" localSheetId="3">#REF!</definedName>
    <definedName name="포___설___공">#REF!</definedName>
    <definedName name="포___장___공" localSheetId="3">#REF!</definedName>
    <definedName name="포___장___공">#REF!</definedName>
    <definedName name="포설공" localSheetId="3">#REF!</definedName>
    <definedName name="포설공">#REF!</definedName>
    <definedName name="포장공" localSheetId="3">#REF!</definedName>
    <definedName name="포장공">#REF!</definedName>
    <definedName name="표2" localSheetId="3">#REF!</definedName>
    <definedName name="표2">#REF!</definedName>
    <definedName name="표시찰" localSheetId="3">#REF!</definedName>
    <definedName name="표시찰">#REF!</definedName>
    <definedName name="표시찰취부" localSheetId="3">#REF!</definedName>
    <definedName name="표시찰취부">#REF!</definedName>
    <definedName name="표지" localSheetId="3">#REF!</definedName>
    <definedName name="표지">#REF!</definedName>
    <definedName name="표지1" localSheetId="3" hidden="1">#REF!</definedName>
    <definedName name="표지1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표지다" localSheetId="3">#REF!</definedName>
    <definedName name="표지다">#REF!</definedName>
    <definedName name="품명" localSheetId="3">#REF!</definedName>
    <definedName name="품명">#REF!</definedName>
    <definedName name="품목상승간접노무비" localSheetId="3">#REF!</definedName>
    <definedName name="품목상승간접노무비">#REF!</definedName>
    <definedName name="품목상승공사원가" localSheetId="3">#REF!</definedName>
    <definedName name="품목상승공사원가">#REF!</definedName>
    <definedName name="품목상승공사원가경비" localSheetId="3">#REF!</definedName>
    <definedName name="품목상승공사원가경비">#REF!</definedName>
    <definedName name="품목상승공사원가노무비" localSheetId="3">#REF!</definedName>
    <definedName name="품목상승공사원가노무비">#REF!</definedName>
    <definedName name="품목상승공사원가재료비" localSheetId="3">#REF!</definedName>
    <definedName name="품목상승공사원가재료비">#REF!</definedName>
    <definedName name="품목상승기타경비" localSheetId="3">#REF!</definedName>
    <definedName name="품목상승기타경비">#REF!</definedName>
    <definedName name="품목상승도급액" localSheetId="3">#REF!</definedName>
    <definedName name="품목상승도급액">#REF!</definedName>
    <definedName name="품목상승산재보험료" localSheetId="3">#REF!</definedName>
    <definedName name="품목상승산재보험료">#REF!</definedName>
    <definedName name="품목상승안전관리비" localSheetId="3">#REF!</definedName>
    <definedName name="품목상승안전관리비">#REF!</definedName>
    <definedName name="품목상승이윤" localSheetId="3">#REF!</definedName>
    <definedName name="품목상승이윤">#REF!</definedName>
    <definedName name="품목상승일반관리비" localSheetId="3">#REF!</definedName>
    <definedName name="품목상승일반관리비">#REF!</definedName>
    <definedName name="프랜트" localSheetId="3">#REF!</definedName>
    <definedName name="프랜트">#REF!</definedName>
    <definedName name="플랜" localSheetId="3">#REF!</definedName>
    <definedName name="플랜">#REF!</definedName>
    <definedName name="플랜트__전공" localSheetId="3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 localSheetId="3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 localSheetId="3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 localSheetId="3">#REF!</definedName>
    <definedName name="플랜트용접공">#REF!</definedName>
    <definedName name="플랜트전공" localSheetId="1">#REF!</definedName>
    <definedName name="플랜트전공" localSheetId="2">#REF!</definedName>
    <definedName name="플랜트전공" localSheetId="3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 localSheetId="3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 localSheetId="3">#REF!</definedName>
    <definedName name="플랜트특수용접공">#REF!</definedName>
    <definedName name="플레이트콤펙터" localSheetId="3">#REF!</definedName>
    <definedName name="플레이트콤펙터">#REF!</definedName>
    <definedName name="플렉시블" localSheetId="3">#REF!</definedName>
    <definedName name="플렉시블">#REF!</definedName>
    <definedName name="ㅎ" localSheetId="3">#REF!</definedName>
    <definedName name="ㅎ">#REF!</definedName>
    <definedName name="ㅎ200" localSheetId="3">#REF!</definedName>
    <definedName name="ㅎ200">#REF!</definedName>
    <definedName name="ㅎ314" localSheetId="3">#REF!</definedName>
    <definedName name="ㅎ314">#REF!</definedName>
    <definedName name="ㅎ384" localSheetId="3">#REF!</definedName>
    <definedName name="ㅎ384">#REF!</definedName>
    <definedName name="ㅎㄴㅁㄹㅇㄹㄴ" localSheetId="0" hidden="1">{#N/A,"수불부",FALSE,"사급자재수불서";#N/A,"수불부",FALSE,"사급자재수불서"}</definedName>
    <definedName name="ㅎㄴㅁㄹㅇㄹㄴ" hidden="1">{#N/A,"수불부",FALSE,"사급자재수불서";#N/A,"수불부",FALSE,"사급자재수불서"}</definedName>
    <definedName name="ㅎㄹㄹ" localSheetId="0">#REF!</definedName>
    <definedName name="ㅎㄹㄹ" localSheetId="3">#REF!</definedName>
    <definedName name="ㅎㄹㄹ">#REF!</definedName>
    <definedName name="ㅎㅎ" localSheetId="0">#N/A</definedName>
    <definedName name="ㅎㅎ" localSheetId="1">#REF!</definedName>
    <definedName name="ㅎㅎ" localSheetId="2">#REF!</definedName>
    <definedName name="ㅎㅎ" localSheetId="3">#REF!</definedName>
    <definedName name="ㅎㅎ">내역!ㅎㅎ</definedName>
    <definedName name="하경비금액" localSheetId="0">#REF!</definedName>
    <definedName name="하경비금액" localSheetId="3">#REF!</definedName>
    <definedName name="하경비금액">#REF!</definedName>
    <definedName name="하경비단가" localSheetId="0">#REF!</definedName>
    <definedName name="하경비단가" localSheetId="3">#REF!</definedName>
    <definedName name="하경비단가">#REF!</definedName>
    <definedName name="하노무비금액" localSheetId="0">#REF!</definedName>
    <definedName name="하노무비금액" localSheetId="3">#REF!</definedName>
    <definedName name="하노무비금액">#REF!</definedName>
    <definedName name="하노무비단가" localSheetId="3">#REF!</definedName>
    <definedName name="하노무비단가">#REF!</definedName>
    <definedName name="하도공종1" localSheetId="3">#REF!</definedName>
    <definedName name="하도공종1">#REF!</definedName>
    <definedName name="하도공종2" localSheetId="3">#REF!</definedName>
    <definedName name="하도공종2">#REF!</definedName>
    <definedName name="하도공종3" localSheetId="3">#REF!</definedName>
    <definedName name="하도공종3">#REF!</definedName>
    <definedName name="하도공종4" localSheetId="3">#REF!</definedName>
    <definedName name="하도공종4">#REF!</definedName>
    <definedName name="하도공종5" localSheetId="3">#REF!</definedName>
    <definedName name="하도공종5">#REF!</definedName>
    <definedName name="하도공종6" localSheetId="3">#REF!</definedName>
    <definedName name="하도공종6">#REF!</definedName>
    <definedName name="하도급계획서" localSheetId="3">#REF!</definedName>
    <definedName name="하도급계획서">#REF!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0">#REF!</definedName>
    <definedName name="하도업체1" localSheetId="3">#REF!</definedName>
    <definedName name="하도업체1">#REF!</definedName>
    <definedName name="하도업체2" localSheetId="0">#REF!</definedName>
    <definedName name="하도업체2" localSheetId="3">#REF!</definedName>
    <definedName name="하도업체2">#REF!</definedName>
    <definedName name="하도업체3" localSheetId="0">#REF!</definedName>
    <definedName name="하도업체3" localSheetId="3">#REF!</definedName>
    <definedName name="하도업체3">#REF!</definedName>
    <definedName name="하도업체4" localSheetId="3">#REF!</definedName>
    <definedName name="하도업체4">#REF!</definedName>
    <definedName name="하도업체5" localSheetId="3">#REF!</definedName>
    <definedName name="하도업체5">#REF!</definedName>
    <definedName name="하도업체6" localSheetId="3">#REF!</definedName>
    <definedName name="하도업체6">#REF!</definedName>
    <definedName name="하원수" localSheetId="3">#REF!</definedName>
    <definedName name="하원수">#REF!</definedName>
    <definedName name="하자공종1" localSheetId="3">#REF!</definedName>
    <definedName name="하자공종1">#REF!</definedName>
    <definedName name="하자공종2" localSheetId="3">#REF!</definedName>
    <definedName name="하자공종2">#REF!</definedName>
    <definedName name="하자기간1" localSheetId="3">#REF!</definedName>
    <definedName name="하자기간1">#REF!</definedName>
    <definedName name="하자기간2" localSheetId="3">#REF!</definedName>
    <definedName name="하자기간2">#REF!</definedName>
    <definedName name="하자기간3" localSheetId="3">#REF!</definedName>
    <definedName name="하자기간3">#REF!</definedName>
    <definedName name="하자기간4" localSheetId="3">#REF!</definedName>
    <definedName name="하자기간4">#REF!</definedName>
    <definedName name="하자기간5" localSheetId="3">#REF!</definedName>
    <definedName name="하자기간5">#REF!</definedName>
    <definedName name="하자기간6" localSheetId="3">#REF!</definedName>
    <definedName name="하자기간6">#REF!</definedName>
    <definedName name="하자보증기간1" localSheetId="3">#REF!</definedName>
    <definedName name="하자보증기간1">#REF!</definedName>
    <definedName name="하자보증기간2" localSheetId="3">#REF!</definedName>
    <definedName name="하자보증기간2">#REF!</definedName>
    <definedName name="하재료비금액" localSheetId="3">#REF!</definedName>
    <definedName name="하재료비금액">#REF!</definedName>
    <definedName name="하재료비단가" localSheetId="3">#REF!</definedName>
    <definedName name="하재료비단가">#REF!</definedName>
    <definedName name="하하" localSheetId="0" hidden="1">{#N/A,#N/A,FALSE,"CAM-G7";#N/A,#N/A,FALSE,"SPL";#N/A,#N/A,FALSE,"butt-in G7";#N/A,#N/A,FALSE,"dia-in G7";#N/A,#N/A,FALSE,"추가-STA G7"}</definedName>
    <definedName name="하하" localSheetId="1">#REF!</definedName>
    <definedName name="하하" localSheetId="2">#REF!</definedName>
    <definedName name="하하" localSheetId="3">#REF!</definedName>
    <definedName name="하하" hidden="1">{#N/A,#N/A,FALSE,"CAM-G7";#N/A,#N/A,FALSE,"SPL";#N/A,#N/A,FALSE,"butt-in G7";#N/A,#N/A,FALSE,"dia-in G7";#N/A,#N/A,FALSE,"추가-STA G7"}</definedName>
    <definedName name="하한" localSheetId="0">#REF!</definedName>
    <definedName name="하한" localSheetId="3">#REF!</definedName>
    <definedName name="하한">#REF!</definedName>
    <definedName name="학교" localSheetId="0">#REF!</definedName>
    <definedName name="학교" localSheetId="3">#REF!</definedName>
    <definedName name="학교">#REF!</definedName>
    <definedName name="학교2" localSheetId="0">#REF!</definedName>
    <definedName name="학교2" localSheetId="3">#REF!</definedName>
    <definedName name="학교2">#REF!</definedName>
    <definedName name="한" localSheetId="3" hidden="1">#REF!</definedName>
    <definedName name="한" hidden="1">#REF!</definedName>
    <definedName name="한_식__목_공" localSheetId="3">#REF!</definedName>
    <definedName name="한_식__목_공">#REF!</definedName>
    <definedName name="한_식__와_공" localSheetId="3">#REF!</definedName>
    <definedName name="한_식__와_공">#REF!</definedName>
    <definedName name="한교1호" localSheetId="3">#REF!</definedName>
    <definedName name="한교1호">#REF!</definedName>
    <definedName name="한교2호" localSheetId="3">#REF!</definedName>
    <definedName name="한교2호">#REF!</definedName>
    <definedName name="한교3호" localSheetId="3">#REF!</definedName>
    <definedName name="한교3호">#REF!</definedName>
    <definedName name="한국정보기술" localSheetId="3">#REF!</definedName>
    <definedName name="한국정보기술">#REF!</definedName>
    <definedName name="한라구절초" localSheetId="3">#REF!</definedName>
    <definedName name="한라구절초">#REF!</definedName>
    <definedName name="한식__미장공" localSheetId="3">#REF!</definedName>
    <definedName name="한식__미장공">#REF!</definedName>
    <definedName name="한식목공" localSheetId="3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 localSheetId="3">#REF!</definedName>
    <definedName name="한식목공조공">#REF!</definedName>
    <definedName name="한식미장공" localSheetId="3">#REF!</definedName>
    <definedName name="한식미장공">#REF!</definedName>
    <definedName name="한식와공" localSheetId="3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 localSheetId="3">#REF!</definedName>
    <definedName name="한식와공조공">#REF!</definedName>
    <definedName name="한얼" localSheetId="0">BlankMacro1</definedName>
    <definedName name="한얼" localSheetId="2">BlankMacro1</definedName>
    <definedName name="한얼" localSheetId="3">BlankMacro1</definedName>
    <definedName name="한얼">BlankMacro1</definedName>
    <definedName name="한일건설" localSheetId="0" hidden="1">{#N/A,#N/A,FALSE,"현장 NCR 분석";#N/A,#N/A,FALSE,"현장품질감사";#N/A,#N/A,FALSE,"현장품질감사"}</definedName>
    <definedName name="한일건설" hidden="1">{#N/A,#N/A,FALSE,"현장 NCR 분석";#N/A,#N/A,FALSE,"현장품질감사";#N/A,#N/A,FALSE,"현장품질감사"}</definedName>
    <definedName name="한잔인입" localSheetId="0">BlankMacro1</definedName>
    <definedName name="한잔인입" localSheetId="2">BlankMacro1</definedName>
    <definedName name="한잔인입" localSheetId="3">BlankMacro1</definedName>
    <definedName name="한잔인입">BlankMacro1</definedName>
    <definedName name="한전인입" localSheetId="0">BlankMacro1</definedName>
    <definedName name="한전인입" localSheetId="2">BlankMacro1</definedName>
    <definedName name="한전인입" localSheetId="3">BlankMacro1</definedName>
    <definedName name="한전인입">BlankMacro1</definedName>
    <definedName name="할___석___공" localSheetId="0">#REF!</definedName>
    <definedName name="할___석___공" localSheetId="3">#REF!</definedName>
    <definedName name="할___석___공">#REF!</definedName>
    <definedName name="할석공" localSheetId="0">#REF!</definedName>
    <definedName name="할석공" localSheetId="1">#REF!</definedName>
    <definedName name="할석공" localSheetId="2">#REF!</definedName>
    <definedName name="할석공" localSheetId="3">#REF!</definedName>
    <definedName name="할석공">#REF!</definedName>
    <definedName name="할증" localSheetId="3">#REF!</definedName>
    <definedName name="할증">#REF!</definedName>
    <definedName name="함___석___공" localSheetId="3">#REF!</definedName>
    <definedName name="함___석___공">#REF!</definedName>
    <definedName name="함석공" localSheetId="1">#REF!</definedName>
    <definedName name="함석공" localSheetId="2">#REF!</definedName>
    <definedName name="함석공" localSheetId="3">#REF!</definedName>
    <definedName name="함석공">#REF!</definedName>
    <definedName name="함체100" localSheetId="3">#REF!</definedName>
    <definedName name="함체100">#REF!</definedName>
    <definedName name="함체30" localSheetId="3">#REF!</definedName>
    <definedName name="함체30">#REF!</definedName>
    <definedName name="함체50" localSheetId="3">#REF!</definedName>
    <definedName name="함체50">#REF!</definedName>
    <definedName name="함체신설" localSheetId="3">#REF!</definedName>
    <definedName name="함체신설">#REF!</definedName>
    <definedName name="합______________계" localSheetId="3">#REF!</definedName>
    <definedName name="합______________계">#REF!</definedName>
    <definedName name="합계" localSheetId="3">#REF!</definedName>
    <definedName name="합계">#REF!</definedName>
    <definedName name="항__목" localSheetId="3">#REF!</definedName>
    <definedName name="항__목">#REF!</definedName>
    <definedName name="항목1" localSheetId="3">#REF!</definedName>
    <definedName name="항목1">#REF!</definedName>
    <definedName name="항목2" localSheetId="3">#REF!</definedName>
    <definedName name="항목2">#REF!</definedName>
    <definedName name="항목3" localSheetId="3">#REF!</definedName>
    <definedName name="항목3">#REF!</definedName>
    <definedName name="항목4" localSheetId="3">#REF!</definedName>
    <definedName name="항목4">#REF!</definedName>
    <definedName name="항목5" localSheetId="3">#REF!</definedName>
    <definedName name="항목5">#REF!</definedName>
    <definedName name="항목판정" localSheetId="3">#REF!</definedName>
    <definedName name="항목판정">#REF!</definedName>
    <definedName name="해당화" localSheetId="3">#REF!</definedName>
    <definedName name="해당화">#REF!</definedName>
    <definedName name="행가" localSheetId="3">#REF!</definedName>
    <definedName name="행가">#REF!</definedName>
    <definedName name="행가1" localSheetId="3">#REF!</definedName>
    <definedName name="행가1">#REF!</definedName>
    <definedName name="행가설치" localSheetId="3">#REF!</definedName>
    <definedName name="행가설치">#REF!</definedName>
    <definedName name="행삭제" localSheetId="3">#REF!</definedName>
    <definedName name="행삭제">#REF!</definedName>
    <definedName name="허" localSheetId="3">#REF!</definedName>
    <definedName name="허">#REF!</definedName>
    <definedName name="현___도___사" localSheetId="3">#REF!</definedName>
    <definedName name="현___도___사">#REF!</definedName>
    <definedName name="현대건설" localSheetId="0" hidden="1">{#N/A,#N/A,FALSE,"현장 NCR 분석";#N/A,#N/A,FALSE,"현장품질감사";#N/A,#N/A,FALSE,"현장품질감사"}</definedName>
    <definedName name="현대건설" hidden="1">{#N/A,#N/A,FALSE,"현장 NCR 분석";#N/A,#N/A,FALSE,"현장품질감사";#N/A,#N/A,FALSE,"현장품질감사"}</definedName>
    <definedName name="현도사" localSheetId="0">#REF!</definedName>
    <definedName name="현도사" localSheetId="3">#REF!</definedName>
    <definedName name="현도사">#REF!</definedName>
    <definedName name="현장대리인" localSheetId="0">#REF!</definedName>
    <definedName name="현장대리인" localSheetId="3">#REF!</definedName>
    <definedName name="현장대리인">#REF!</definedName>
    <definedName name="현장명" localSheetId="0">#REF!</definedName>
    <definedName name="현장명" localSheetId="3">#REF!</definedName>
    <definedName name="현장명">#REF!</definedName>
    <definedName name="현장보고" localSheetId="3">#REF!</definedName>
    <definedName name="현장보고">#REF!</definedName>
    <definedName name="현장보고서" localSheetId="3">#REF!</definedName>
    <definedName name="현장보고서">#REF!</definedName>
    <definedName name="현장설명실시서1" localSheetId="3">#REF!</definedName>
    <definedName name="현장설명실시서1">#REF!</definedName>
    <definedName name="현황" localSheetId="3">#REF!</definedName>
    <definedName name="현황">#REF!</definedName>
    <definedName name="형">#N/A</definedName>
    <definedName name="형틀" localSheetId="0">#REF!</definedName>
    <definedName name="형틀" localSheetId="3">#REF!</definedName>
    <definedName name="형틀">#REF!</definedName>
    <definedName name="형틀목공" localSheetId="0">#REF!</definedName>
    <definedName name="형틀목공" localSheetId="3">#REF!</definedName>
    <definedName name="형틀목공">#REF!</definedName>
    <definedName name="호" localSheetId="0">#REF!</definedName>
    <definedName name="호" localSheetId="3">#REF!</definedName>
    <definedName name="호">#REF!</definedName>
    <definedName name="호처리시험" localSheetId="3">#REF!</definedName>
    <definedName name="호처리시험">#REF!</definedName>
    <definedName name="호호호호" localSheetId="3">#REF!</definedName>
    <definedName name="호호호호">#REF!</definedName>
    <definedName name="홇롷러ㅗㄹ호" localSheetId="0" hidden="1">{#N/A,#N/A,FALSE,"CAM-G7";#N/A,#N/A,FALSE,"SPL";#N/A,#N/A,FALSE,"butt-in G7";#N/A,#N/A,FALSE,"dia-in G7";#N/A,#N/A,FALSE,"추가-STA G7"}</definedName>
    <definedName name="홇롷러ㅗㄹ호" hidden="1">{#N/A,#N/A,FALSE,"CAM-G7";#N/A,#N/A,FALSE,"SPL";#N/A,#N/A,FALSE,"butt-in G7";#N/A,#N/A,FALSE,"dia-in G7";#N/A,#N/A,FALSE,"추가-STA G7"}</definedName>
    <definedName name="홍단풍" localSheetId="0">#REF!</definedName>
    <definedName name="홍단풍" localSheetId="3">#REF!</definedName>
    <definedName name="홍단풍">#REF!</definedName>
    <definedName name="화________공" localSheetId="0">#REF!</definedName>
    <definedName name="화________공" localSheetId="3">#REF!</definedName>
    <definedName name="화________공">#REF!</definedName>
    <definedName name="화공" localSheetId="0">#REF!</definedName>
    <definedName name="화공" localSheetId="3">#REF!</definedName>
    <definedName name="화공">#REF!</definedName>
    <definedName name="화신1호" localSheetId="3">#REF!</definedName>
    <definedName name="화신1호">#REF!</definedName>
    <definedName name="화신2호" localSheetId="3">#REF!</definedName>
    <definedName name="화신2호">#REF!</definedName>
    <definedName name="화신기존1" localSheetId="3">#REF!</definedName>
    <definedName name="화신기존1">#REF!</definedName>
    <definedName name="화신기존2" localSheetId="3">#REF!</definedName>
    <definedName name="화신기존2">#REF!</definedName>
    <definedName name="화약__취급공" localSheetId="3">#REF!</definedName>
    <definedName name="화약__취급공">#REF!</definedName>
    <definedName name="화약취급공" localSheetId="3">#REF!</definedName>
    <definedName name="화약취급공">#REF!</definedName>
    <definedName name="화인" localSheetId="0">BlankMacro1</definedName>
    <definedName name="화인" localSheetId="2">BlankMacro1</definedName>
    <definedName name="화인" localSheetId="3">BlankMacro1</definedName>
    <definedName name="화인">BlankMacro1</definedName>
    <definedName name="확정" localSheetId="0">BlankMacro1</definedName>
    <definedName name="확정" localSheetId="2">BlankMacro1</definedName>
    <definedName name="확정" localSheetId="3">BlankMacro1</definedName>
    <definedName name="확정">BlankMacro1</definedName>
    <definedName name="회사계" localSheetId="0">#REF!</definedName>
    <definedName name="회사계" localSheetId="3">#REF!</definedName>
    <definedName name="회사계">#REF!</definedName>
    <definedName name="회사계1" localSheetId="0">#REF!</definedName>
    <definedName name="회사계1" localSheetId="3">#REF!</definedName>
    <definedName name="회사계1">#REF!</definedName>
    <definedName name="회사명" localSheetId="0">#REF!</definedName>
    <definedName name="회사명" localSheetId="3">#REF!</definedName>
    <definedName name="회사명">#REF!</definedName>
    <definedName name="회사분경비" localSheetId="3">#REF!</definedName>
    <definedName name="회사분경비">#REF!</definedName>
    <definedName name="회사분장비" localSheetId="3">#REF!</definedName>
    <definedName name="회사분장비">#REF!</definedName>
    <definedName name="회사운반비" localSheetId="3">#REF!</definedName>
    <definedName name="회사운반비">#REF!</definedName>
    <definedName name="회시1호" localSheetId="3">#REF!</definedName>
    <definedName name="회시1호">#REF!</definedName>
    <definedName name="회시2호" localSheetId="3">#REF!</definedName>
    <definedName name="회시2호">#REF!</definedName>
    <definedName name="효구" localSheetId="0">Dlog_Show</definedName>
    <definedName name="효구" localSheetId="2">Dlog_Show</definedName>
    <definedName name="효구" localSheetId="3">Dlog_Show</definedName>
    <definedName name="효구">Dlog_Show</definedName>
    <definedName name="효자" localSheetId="0">Dlog_Show</definedName>
    <definedName name="효자" localSheetId="2">Dlog_Show</definedName>
    <definedName name="효자" localSheetId="3">Dlog_Show</definedName>
    <definedName name="효자">Dlog_Show</definedName>
    <definedName name="효자건설" localSheetId="0">Dlog_Show</definedName>
    <definedName name="효자건설" localSheetId="2">Dlog_Show</definedName>
    <definedName name="효자건설" localSheetId="3">Dlog_Show</definedName>
    <definedName name="효자건설">Dlog_Show</definedName>
    <definedName name="후렉시블" localSheetId="0">#REF!</definedName>
    <definedName name="후렉시블" localSheetId="3">#REF!</definedName>
    <definedName name="후렉시블">#REF!</definedName>
    <definedName name="후렉시블시설" localSheetId="0">#REF!</definedName>
    <definedName name="후렉시블시설" localSheetId="3">#REF!</definedName>
    <definedName name="후렉시블시설">#REF!</definedName>
    <definedName name="휘니셔" localSheetId="0">#REF!</definedName>
    <definedName name="휘니셔" localSheetId="3">#REF!</definedName>
    <definedName name="휘니셔">#REF!</definedName>
    <definedName name="희선" localSheetId="0">#REF!,#REF!,#REF!,#REF!,#REF!,#REF!,#REF!,#REF!,#REF!,#REF!,#REF!,#REF!,#REF!,#REF!,#REF!,#REF!,#REF!,#REF!,#REF!</definedName>
    <definedName name="희선" localSheetId="3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0">#REF!</definedName>
    <definedName name="ㅏ100" localSheetId="3">#REF!</definedName>
    <definedName name="ㅏ100">#REF!</definedName>
    <definedName name="ㅏ1211" localSheetId="0">#REF!</definedName>
    <definedName name="ㅏ1211" localSheetId="3">#REF!</definedName>
    <definedName name="ㅏ1211">#REF!</definedName>
    <definedName name="ㅏ30" localSheetId="0">#REF!</definedName>
    <definedName name="ㅏ30" localSheetId="3">#REF!</definedName>
    <definedName name="ㅏ30">#REF!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0">#REF!</definedName>
    <definedName name="ㅓ114" localSheetId="3">#REF!</definedName>
    <definedName name="ㅓ114">#REF!</definedName>
    <definedName name="ㅓ1514" localSheetId="0">#REF!</definedName>
    <definedName name="ㅓ1514" localSheetId="3">#REF!</definedName>
    <definedName name="ㅓ1514">#REF!</definedName>
    <definedName name="ㅓ437" localSheetId="0">#REF!</definedName>
    <definedName name="ㅓ437" localSheetId="3">#REF!</definedName>
    <definedName name="ㅓ437">#REF!</definedName>
    <definedName name="ㅓㅏㅏㅣ" localSheetId="0">BLCH</definedName>
    <definedName name="ㅓㅏㅏㅣ" localSheetId="2">BLCH</definedName>
    <definedName name="ㅓㅏㅏㅣ" localSheetId="3">BLCH</definedName>
    <definedName name="ㅓㅏㅏㅣ">BLCH</definedName>
    <definedName name="ㅓㅗ" localSheetId="0" hidden="1">{#N/A,"수불부",FALSE,"사급자재수불서";#N/A,"수불부",FALSE,"사급자재수불서"}</definedName>
    <definedName name="ㅓㅗ" hidden="1">{#N/A,"수불부",FALSE,"사급자재수불서";#N/A,"수불부",FALSE,"사급자재수불서"}</definedName>
    <definedName name="ㅔㅐㅔ" localSheetId="0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0">#REF!</definedName>
    <definedName name="ㅗ118" localSheetId="3">#REF!</definedName>
    <definedName name="ㅗ118">#REF!</definedName>
    <definedName name="ㅗ415" localSheetId="0">#REF!</definedName>
    <definedName name="ㅗ415" localSheetId="3">#REF!</definedName>
    <definedName name="ㅗ415">#REF!</definedName>
    <definedName name="ㅗ461" localSheetId="0">#REF!</definedName>
    <definedName name="ㅗ461" localSheetId="3">#REF!</definedName>
    <definedName name="ㅗ461">#REF!</definedName>
    <definedName name="ㅗㄹ" localSheetId="3">#REF!</definedName>
    <definedName name="ㅗㄹ">#REF!</definedName>
    <definedName name="ㅗ로ㅓㅗㅓ허ㅏ" localSheetId="0" hidden="1">{#N/A,#N/A,FALSE,"CAM-G7";#N/A,#N/A,FALSE,"SPL";#N/A,#N/A,FALSE,"butt-in G7";#N/A,#N/A,FALSE,"dia-in G7";#N/A,#N/A,FALSE,"추가-STA G7"}</definedName>
    <definedName name="ㅗ로ㅓㅗㅓ허ㅏ" hidden="1">{#N/A,#N/A,FALSE,"CAM-G7";#N/A,#N/A,FALSE,"SPL";#N/A,#N/A,FALSE,"butt-in G7";#N/A,#N/A,FALSE,"dia-in G7";#N/A,#N/A,FALSE,"추가-STA G7"}</definedName>
    <definedName name="ㅗㅎㅇㅁㄹㅇㅎ" localSheetId="0" hidden="1">{#N/A,"수불부",FALSE,"사급자재수불서";#N/A,"수불부",FALSE,"사급자재수불서"}</definedName>
    <definedName name="ㅗㅎㅇㅁㄹㅇㅎ" hidden="1">{#N/A,"수불부",FALSE,"사급자재수불서";#N/A,"수불부",FALSE,"사급자재수불서"}</definedName>
    <definedName name="ㅗㅓ하ㅓ하ㅓㅗ" localSheetId="0" hidden="1">{#N/A,#N/A,FALSE,"CAM-G7";#N/A,#N/A,FALSE,"SPL";#N/A,#N/A,FALSE,"butt-in G7";#N/A,#N/A,FALSE,"dia-in G7";#N/A,#N/A,FALSE,"추가-STA G7"}</definedName>
    <definedName name="ㅗㅓ하ㅓ하ㅓㅗ" hidden="1">{#N/A,#N/A,FALSE,"CAM-G7";#N/A,#N/A,FALSE,"SPL";#N/A,#N/A,FALSE,"butt-in G7";#N/A,#N/A,FALSE,"dia-in G7";#N/A,#N/A,FALSE,"추가-STA G7"}</definedName>
    <definedName name="ㅗㅓㅏ" localSheetId="0">#REF!</definedName>
    <definedName name="ㅗㅓㅏ" localSheetId="3">#REF!</definedName>
    <definedName name="ㅗㅓㅏ">#REF!</definedName>
    <definedName name="ㅠ10" localSheetId="0">#REF!</definedName>
    <definedName name="ㅠ10" localSheetId="3">#REF!</definedName>
    <definedName name="ㅠ10">#REF!</definedName>
    <definedName name="ㅠ1000" localSheetId="0">#REF!</definedName>
    <definedName name="ㅠ1000" localSheetId="3">#REF!</definedName>
    <definedName name="ㅠ1000">#REF!</definedName>
    <definedName name="ㅠ109" localSheetId="3">#REF!</definedName>
    <definedName name="ㅠ109">#REF!</definedName>
    <definedName name="ㅠ1300" localSheetId="3">#REF!</definedName>
    <definedName name="ㅠ1300">#REF!</definedName>
    <definedName name="ㅠ200" localSheetId="3">#REF!</definedName>
    <definedName name="ㅠ200">#REF!</definedName>
    <definedName name="ㅠ2000" localSheetId="3">#REF!</definedName>
    <definedName name="ㅠ2000">#REF!</definedName>
    <definedName name="ㅠ2300" localSheetId="3">#REF!</definedName>
    <definedName name="ㅠ2300">#REF!</definedName>
    <definedName name="ㅠ238" localSheetId="3">#REF!</definedName>
    <definedName name="ㅠ238">#REF!</definedName>
    <definedName name="ㅠ30" localSheetId="3">#REF!</definedName>
    <definedName name="ㅠ30">#REF!</definedName>
    <definedName name="ㅠ3130" localSheetId="3">#REF!</definedName>
    <definedName name="ㅠ3130">#REF!</definedName>
    <definedName name="ㅠ400" localSheetId="3">#REF!</definedName>
    <definedName name="ㅠ400">#REF!</definedName>
    <definedName name="ㅠ500" localSheetId="3">#REF!</definedName>
    <definedName name="ㅠ500">#REF!</definedName>
    <definedName name="ㅡ10" localSheetId="3">#REF!</definedName>
    <definedName name="ㅡ10">#REF!</definedName>
    <definedName name="ㅡ1698" localSheetId="3">#REF!</definedName>
    <definedName name="ㅡ1698">#REF!</definedName>
    <definedName name="ㅡ5" localSheetId="3">#REF!</definedName>
    <definedName name="ㅡ5">#REF!</definedName>
    <definedName name="ㅡㅡ" localSheetId="0" hidden="1">{"'Sheet1'!$D$19","'Sheet1'!$B$22:$E$22"}</definedName>
    <definedName name="ㅡㅡ" hidden="1">{"'Sheet1'!$D$19","'Sheet1'!$B$22:$E$22"}</definedName>
    <definedName name="ㅣ1" localSheetId="0">#REF!</definedName>
    <definedName name="ㅣ1" localSheetId="3">#REF!</definedName>
    <definedName name="ㅣ1">#REF!</definedName>
    <definedName name="ㅣ1517" localSheetId="0">#REF!</definedName>
    <definedName name="ㅣ1517" localSheetId="3">#REF!</definedName>
    <definedName name="ㅣ1517">#REF!</definedName>
    <definedName name="ㅣ1549" localSheetId="0">#REF!</definedName>
    <definedName name="ㅣ1549" localSheetId="3">#REF!</definedName>
    <definedName name="ㅣ1549">#REF!</definedName>
    <definedName name="ㅣ275" localSheetId="3">#REF!</definedName>
    <definedName name="ㅣ275">#REF!</definedName>
    <definedName name="ㅣ618" localSheetId="3">#REF!</definedName>
    <definedName name="ㅣ61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8" i="12" l="1"/>
  <c r="H198" i="12"/>
  <c r="L198" i="12" s="1"/>
  <c r="K248" i="13"/>
  <c r="J248" i="13"/>
  <c r="H248" i="13"/>
  <c r="L248" i="13" s="1"/>
  <c r="K247" i="13"/>
  <c r="J247" i="13"/>
  <c r="H247" i="13"/>
  <c r="L247" i="13" s="1"/>
  <c r="K246" i="13"/>
  <c r="J246" i="13"/>
  <c r="H246" i="13"/>
  <c r="L246" i="13" s="1"/>
  <c r="K244" i="13"/>
  <c r="J244" i="13"/>
  <c r="L244" i="13" s="1"/>
  <c r="H244" i="13"/>
  <c r="K243" i="13"/>
  <c r="J243" i="13"/>
  <c r="H243" i="13"/>
  <c r="H250" i="13" s="1"/>
  <c r="H15" i="13" s="1"/>
  <c r="B242" i="13"/>
  <c r="A242" i="13"/>
  <c r="K237" i="13"/>
  <c r="J237" i="13"/>
  <c r="H237" i="13"/>
  <c r="H240" i="13" s="1"/>
  <c r="H14" i="13" s="1"/>
  <c r="B236" i="13"/>
  <c r="A236" i="13"/>
  <c r="J233" i="13"/>
  <c r="J13" i="13" s="1"/>
  <c r="H233" i="13"/>
  <c r="H13" i="13" s="1"/>
  <c r="K231" i="13"/>
  <c r="J231" i="13"/>
  <c r="H231" i="13"/>
  <c r="L231" i="13" s="1"/>
  <c r="L233" i="13" s="1"/>
  <c r="L13" i="13" s="1"/>
  <c r="B230" i="13"/>
  <c r="A230" i="13"/>
  <c r="K226" i="13"/>
  <c r="J226" i="13"/>
  <c r="L226" i="13" s="1"/>
  <c r="H226" i="13"/>
  <c r="K225" i="13"/>
  <c r="J225" i="13"/>
  <c r="H225" i="13"/>
  <c r="L225" i="13" s="1"/>
  <c r="L224" i="13"/>
  <c r="K224" i="13"/>
  <c r="J224" i="13"/>
  <c r="H224" i="13"/>
  <c r="K223" i="13"/>
  <c r="J223" i="13"/>
  <c r="L223" i="13" s="1"/>
  <c r="H223" i="13"/>
  <c r="K222" i="13"/>
  <c r="J222" i="13"/>
  <c r="L222" i="13" s="1"/>
  <c r="H222" i="13"/>
  <c r="K221" i="13"/>
  <c r="J221" i="13"/>
  <c r="H221" i="13"/>
  <c r="L221" i="13" s="1"/>
  <c r="J220" i="13"/>
  <c r="H220" i="13"/>
  <c r="K219" i="13"/>
  <c r="J219" i="13"/>
  <c r="H219" i="13"/>
  <c r="L219" i="13" s="1"/>
  <c r="L218" i="13"/>
  <c r="K218" i="13"/>
  <c r="J218" i="13"/>
  <c r="H218" i="13"/>
  <c r="J217" i="13"/>
  <c r="H217" i="13"/>
  <c r="K216" i="13"/>
  <c r="J216" i="13"/>
  <c r="H216" i="13"/>
  <c r="L216" i="13" s="1"/>
  <c r="L215" i="13"/>
  <c r="K215" i="13"/>
  <c r="J215" i="13"/>
  <c r="H215" i="13"/>
  <c r="K214" i="13"/>
  <c r="J214" i="13"/>
  <c r="L214" i="13" s="1"/>
  <c r="H214" i="13"/>
  <c r="K213" i="13"/>
  <c r="J213" i="13"/>
  <c r="L213" i="13" s="1"/>
  <c r="H213" i="13"/>
  <c r="K212" i="13"/>
  <c r="J212" i="13"/>
  <c r="H212" i="13"/>
  <c r="L212" i="13" s="1"/>
  <c r="L211" i="13"/>
  <c r="K211" i="13"/>
  <c r="J211" i="13"/>
  <c r="H211" i="13"/>
  <c r="K210" i="13"/>
  <c r="J210" i="13"/>
  <c r="L210" i="13" s="1"/>
  <c r="H210" i="13"/>
  <c r="H228" i="13" s="1"/>
  <c r="H12" i="13" s="1"/>
  <c r="B208" i="13"/>
  <c r="A208" i="13"/>
  <c r="J205" i="13"/>
  <c r="J11" i="13" s="1"/>
  <c r="K203" i="13"/>
  <c r="H203" i="13"/>
  <c r="L203" i="13" s="1"/>
  <c r="L202" i="13"/>
  <c r="K202" i="13"/>
  <c r="H202" i="13"/>
  <c r="K201" i="13"/>
  <c r="H201" i="13"/>
  <c r="L201" i="13" s="1"/>
  <c r="K200" i="13"/>
  <c r="H200" i="13"/>
  <c r="L200" i="13" s="1"/>
  <c r="L199" i="13"/>
  <c r="K199" i="13"/>
  <c r="H199" i="13"/>
  <c r="L198" i="13"/>
  <c r="K198" i="13"/>
  <c r="H198" i="13"/>
  <c r="L197" i="13"/>
  <c r="K197" i="13"/>
  <c r="H197" i="13"/>
  <c r="L196" i="13"/>
  <c r="K196" i="13"/>
  <c r="H196" i="13"/>
  <c r="K195" i="13"/>
  <c r="H195" i="13"/>
  <c r="L195" i="13" s="1"/>
  <c r="L194" i="13"/>
  <c r="K194" i="13"/>
  <c r="H194" i="13"/>
  <c r="K193" i="13"/>
  <c r="H193" i="13"/>
  <c r="L193" i="13" s="1"/>
  <c r="K192" i="13"/>
  <c r="H192" i="13"/>
  <c r="L192" i="13" s="1"/>
  <c r="K191" i="13"/>
  <c r="J191" i="13"/>
  <c r="H191" i="13"/>
  <c r="L191" i="13" s="1"/>
  <c r="K190" i="13"/>
  <c r="J190" i="13"/>
  <c r="H190" i="13"/>
  <c r="L190" i="13" s="1"/>
  <c r="K189" i="13"/>
  <c r="J189" i="13"/>
  <c r="H189" i="13"/>
  <c r="L189" i="13" s="1"/>
  <c r="K188" i="13"/>
  <c r="J188" i="13"/>
  <c r="H188" i="13"/>
  <c r="L188" i="13" s="1"/>
  <c r="K187" i="13"/>
  <c r="J187" i="13"/>
  <c r="H187" i="13"/>
  <c r="H205" i="13" s="1"/>
  <c r="H11" i="13" s="1"/>
  <c r="B186" i="13"/>
  <c r="A186" i="13"/>
  <c r="K182" i="13"/>
  <c r="J182" i="13"/>
  <c r="H182" i="13"/>
  <c r="K181" i="13"/>
  <c r="J181" i="13"/>
  <c r="H181" i="13"/>
  <c r="L181" i="13" s="1"/>
  <c r="K180" i="13"/>
  <c r="J180" i="13"/>
  <c r="H180" i="13"/>
  <c r="K179" i="13"/>
  <c r="J179" i="13"/>
  <c r="H179" i="13"/>
  <c r="L179" i="13" s="1"/>
  <c r="K178" i="13"/>
  <c r="J178" i="13"/>
  <c r="H178" i="13"/>
  <c r="K177" i="13"/>
  <c r="J177" i="13"/>
  <c r="H177" i="13"/>
  <c r="K176" i="13"/>
  <c r="J176" i="13"/>
  <c r="H176" i="13"/>
  <c r="K175" i="13"/>
  <c r="J175" i="13"/>
  <c r="H175" i="13"/>
  <c r="K174" i="13"/>
  <c r="J174" i="13"/>
  <c r="H174" i="13"/>
  <c r="K173" i="13"/>
  <c r="J173" i="13"/>
  <c r="H173" i="13"/>
  <c r="L173" i="13" s="1"/>
  <c r="K172" i="13"/>
  <c r="J172" i="13"/>
  <c r="H172" i="13"/>
  <c r="K171" i="13"/>
  <c r="J171" i="13"/>
  <c r="H171" i="13"/>
  <c r="L171" i="13" s="1"/>
  <c r="K170" i="13"/>
  <c r="J170" i="13"/>
  <c r="H170" i="13"/>
  <c r="K169" i="13"/>
  <c r="J169" i="13"/>
  <c r="H169" i="13"/>
  <c r="K168" i="13"/>
  <c r="J168" i="13"/>
  <c r="H168" i="13"/>
  <c r="K167" i="13"/>
  <c r="J167" i="13"/>
  <c r="H167" i="13"/>
  <c r="K166" i="13"/>
  <c r="J166" i="13"/>
  <c r="H166" i="13"/>
  <c r="K165" i="13"/>
  <c r="J165" i="13"/>
  <c r="H165" i="13"/>
  <c r="L165" i="13" s="1"/>
  <c r="K164" i="13"/>
  <c r="J164" i="13"/>
  <c r="H164" i="13"/>
  <c r="K163" i="13"/>
  <c r="J163" i="13"/>
  <c r="H163" i="13"/>
  <c r="L163" i="13" s="1"/>
  <c r="K162" i="13"/>
  <c r="J162" i="13"/>
  <c r="H162" i="13"/>
  <c r="K161" i="13"/>
  <c r="J161" i="13"/>
  <c r="H161" i="13"/>
  <c r="L161" i="13" s="1"/>
  <c r="K160" i="13"/>
  <c r="J160" i="13"/>
  <c r="H160" i="13"/>
  <c r="K159" i="13"/>
  <c r="J159" i="13"/>
  <c r="H159" i="13"/>
  <c r="K158" i="13"/>
  <c r="J158" i="13"/>
  <c r="H158" i="13"/>
  <c r="K157" i="13"/>
  <c r="J157" i="13"/>
  <c r="H157" i="13"/>
  <c r="L157" i="13" s="1"/>
  <c r="K156" i="13"/>
  <c r="J156" i="13"/>
  <c r="H156" i="13"/>
  <c r="K155" i="13"/>
  <c r="J155" i="13"/>
  <c r="H155" i="13"/>
  <c r="L155" i="13" s="1"/>
  <c r="K154" i="13"/>
  <c r="J154" i="13"/>
  <c r="H154" i="13"/>
  <c r="B153" i="13"/>
  <c r="A153" i="13"/>
  <c r="L149" i="13"/>
  <c r="K149" i="13"/>
  <c r="J149" i="13"/>
  <c r="H149" i="13"/>
  <c r="K148" i="13"/>
  <c r="J148" i="13"/>
  <c r="L148" i="13" s="1"/>
  <c r="H148" i="13"/>
  <c r="K147" i="13"/>
  <c r="J147" i="13"/>
  <c r="L147" i="13" s="1"/>
  <c r="H147" i="13"/>
  <c r="K146" i="13"/>
  <c r="J146" i="13"/>
  <c r="H146" i="13"/>
  <c r="L146" i="13" s="1"/>
  <c r="L145" i="13"/>
  <c r="K145" i="13"/>
  <c r="J145" i="13"/>
  <c r="H145" i="13"/>
  <c r="K144" i="13"/>
  <c r="J144" i="13"/>
  <c r="L144" i="13" s="1"/>
  <c r="H144" i="13"/>
  <c r="K143" i="13"/>
  <c r="J143" i="13"/>
  <c r="L143" i="13" s="1"/>
  <c r="H143" i="13"/>
  <c r="K142" i="13"/>
  <c r="J142" i="13"/>
  <c r="H142" i="13"/>
  <c r="L142" i="13" s="1"/>
  <c r="L141" i="13"/>
  <c r="K141" i="13"/>
  <c r="J141" i="13"/>
  <c r="H141" i="13"/>
  <c r="K140" i="13"/>
  <c r="J140" i="13"/>
  <c r="L140" i="13" s="1"/>
  <c r="H140" i="13"/>
  <c r="K139" i="13"/>
  <c r="J139" i="13"/>
  <c r="L139" i="13" s="1"/>
  <c r="H139" i="13"/>
  <c r="K138" i="13"/>
  <c r="J138" i="13"/>
  <c r="J151" i="13" s="1"/>
  <c r="J9" i="13" s="1"/>
  <c r="H138" i="13"/>
  <c r="L138" i="13" s="1"/>
  <c r="B137" i="13"/>
  <c r="A137" i="13"/>
  <c r="K133" i="13"/>
  <c r="J133" i="13"/>
  <c r="H133" i="13"/>
  <c r="L132" i="13"/>
  <c r="K132" i="13"/>
  <c r="J132" i="13"/>
  <c r="H132" i="13"/>
  <c r="K131" i="13"/>
  <c r="E131" i="13"/>
  <c r="H131" i="13" s="1"/>
  <c r="L131" i="13" s="1"/>
  <c r="K130" i="13"/>
  <c r="J130" i="13"/>
  <c r="H130" i="13"/>
  <c r="L130" i="13" s="1"/>
  <c r="K129" i="13"/>
  <c r="J129" i="13"/>
  <c r="H129" i="13"/>
  <c r="L129" i="13" s="1"/>
  <c r="B128" i="13"/>
  <c r="A128" i="13"/>
  <c r="K124" i="13"/>
  <c r="J124" i="13"/>
  <c r="H124" i="13"/>
  <c r="L124" i="13" s="1"/>
  <c r="K123" i="13"/>
  <c r="J123" i="13"/>
  <c r="H123" i="13"/>
  <c r="L123" i="13" s="1"/>
  <c r="L122" i="13"/>
  <c r="K122" i="13"/>
  <c r="J122" i="13"/>
  <c r="H122" i="13"/>
  <c r="K121" i="13"/>
  <c r="J121" i="13"/>
  <c r="H121" i="13"/>
  <c r="L121" i="13" s="1"/>
  <c r="K120" i="13"/>
  <c r="J120" i="13"/>
  <c r="H120" i="13"/>
  <c r="L120" i="13" s="1"/>
  <c r="K119" i="13"/>
  <c r="J119" i="13"/>
  <c r="H119" i="13"/>
  <c r="L119" i="13" s="1"/>
  <c r="K118" i="13"/>
  <c r="J118" i="13"/>
  <c r="H118" i="13"/>
  <c r="K117" i="13"/>
  <c r="J117" i="13"/>
  <c r="H117" i="13"/>
  <c r="L117" i="13" s="1"/>
  <c r="L116" i="13"/>
  <c r="K116" i="13"/>
  <c r="J116" i="13"/>
  <c r="H116" i="13"/>
  <c r="L115" i="13"/>
  <c r="K115" i="13"/>
  <c r="J115" i="13"/>
  <c r="H115" i="13"/>
  <c r="L114" i="13"/>
  <c r="K114" i="13"/>
  <c r="J114" i="13"/>
  <c r="H114" i="13"/>
  <c r="K113" i="13"/>
  <c r="J113" i="13"/>
  <c r="H113" i="13"/>
  <c r="L113" i="13" s="1"/>
  <c r="L112" i="13"/>
  <c r="K112" i="13"/>
  <c r="J112" i="13"/>
  <c r="H112" i="13"/>
  <c r="L111" i="13"/>
  <c r="K111" i="13"/>
  <c r="J111" i="13"/>
  <c r="H111" i="13"/>
  <c r="L110" i="13"/>
  <c r="K110" i="13"/>
  <c r="J110" i="13"/>
  <c r="H110" i="13"/>
  <c r="K109" i="13"/>
  <c r="J109" i="13"/>
  <c r="H109" i="13"/>
  <c r="L109" i="13" s="1"/>
  <c r="L108" i="13"/>
  <c r="K108" i="13"/>
  <c r="J108" i="13"/>
  <c r="H108" i="13"/>
  <c r="L107" i="13"/>
  <c r="K107" i="13"/>
  <c r="J107" i="13"/>
  <c r="H107" i="13"/>
  <c r="L106" i="13"/>
  <c r="K106" i="13"/>
  <c r="J106" i="13"/>
  <c r="H106" i="13"/>
  <c r="K105" i="13"/>
  <c r="J105" i="13"/>
  <c r="H105" i="13"/>
  <c r="L105" i="13" s="1"/>
  <c r="L104" i="13"/>
  <c r="K104" i="13"/>
  <c r="J104" i="13"/>
  <c r="H104" i="13"/>
  <c r="L103" i="13"/>
  <c r="K103" i="13"/>
  <c r="J103" i="13"/>
  <c r="H103" i="13"/>
  <c r="L102" i="13"/>
  <c r="K102" i="13"/>
  <c r="J102" i="13"/>
  <c r="H102" i="13"/>
  <c r="K101" i="13"/>
  <c r="J101" i="13"/>
  <c r="H101" i="13"/>
  <c r="L101" i="13" s="1"/>
  <c r="L100" i="13"/>
  <c r="K100" i="13"/>
  <c r="J100" i="13"/>
  <c r="H100" i="13"/>
  <c r="L99" i="13"/>
  <c r="K99" i="13"/>
  <c r="J99" i="13"/>
  <c r="H99" i="13"/>
  <c r="L98" i="13"/>
  <c r="K98" i="13"/>
  <c r="J98" i="13"/>
  <c r="H98" i="13"/>
  <c r="K97" i="13"/>
  <c r="J97" i="13"/>
  <c r="H97" i="13"/>
  <c r="L97" i="13" s="1"/>
  <c r="L96" i="13"/>
  <c r="K96" i="13"/>
  <c r="J96" i="13"/>
  <c r="H96" i="13"/>
  <c r="L95" i="13"/>
  <c r="K95" i="13"/>
  <c r="J95" i="13"/>
  <c r="H95" i="13"/>
  <c r="B94" i="13"/>
  <c r="A94" i="13"/>
  <c r="K89" i="13"/>
  <c r="J89" i="13"/>
  <c r="H89" i="13"/>
  <c r="K88" i="13"/>
  <c r="J88" i="13"/>
  <c r="H88" i="13"/>
  <c r="K87" i="13"/>
  <c r="J87" i="13"/>
  <c r="H87" i="13"/>
  <c r="K86" i="13"/>
  <c r="J86" i="13"/>
  <c r="H86" i="13"/>
  <c r="L86" i="13" s="1"/>
  <c r="K85" i="13"/>
  <c r="J85" i="13"/>
  <c r="H85" i="13"/>
  <c r="L85" i="13" s="1"/>
  <c r="K84" i="13"/>
  <c r="J84" i="13"/>
  <c r="H84" i="13"/>
  <c r="L84" i="13" s="1"/>
  <c r="L83" i="13"/>
  <c r="K83" i="13"/>
  <c r="J83" i="13"/>
  <c r="H83" i="13"/>
  <c r="K82" i="13"/>
  <c r="J82" i="13"/>
  <c r="H82" i="13"/>
  <c r="L82" i="13" s="1"/>
  <c r="K81" i="13"/>
  <c r="J81" i="13"/>
  <c r="H81" i="13"/>
  <c r="L81" i="13" s="1"/>
  <c r="K80" i="13"/>
  <c r="J80" i="13"/>
  <c r="H80" i="13"/>
  <c r="L80" i="13" s="1"/>
  <c r="L79" i="13"/>
  <c r="K79" i="13"/>
  <c r="J79" i="13"/>
  <c r="H79" i="13"/>
  <c r="K78" i="13"/>
  <c r="J78" i="13"/>
  <c r="H78" i="13"/>
  <c r="L78" i="13" s="1"/>
  <c r="K77" i="13"/>
  <c r="J77" i="13"/>
  <c r="H77" i="13"/>
  <c r="L77" i="13" s="1"/>
  <c r="K76" i="13"/>
  <c r="J76" i="13"/>
  <c r="H76" i="13"/>
  <c r="L76" i="13" s="1"/>
  <c r="L75" i="13"/>
  <c r="K75" i="13"/>
  <c r="J75" i="13"/>
  <c r="H75" i="13"/>
  <c r="K74" i="13"/>
  <c r="J74" i="13"/>
  <c r="H74" i="13"/>
  <c r="L74" i="13" s="1"/>
  <c r="K72" i="13"/>
  <c r="J72" i="13"/>
  <c r="H72" i="13"/>
  <c r="L72" i="13" s="1"/>
  <c r="K71" i="13"/>
  <c r="J71" i="13"/>
  <c r="H71" i="13"/>
  <c r="L71" i="13" s="1"/>
  <c r="L70" i="13"/>
  <c r="K70" i="13"/>
  <c r="J70" i="13"/>
  <c r="H70" i="13"/>
  <c r="K69" i="13"/>
  <c r="J69" i="13"/>
  <c r="H69" i="13"/>
  <c r="K68" i="13"/>
  <c r="J68" i="13"/>
  <c r="H68" i="13"/>
  <c r="K67" i="13"/>
  <c r="J67" i="13"/>
  <c r="H67" i="13"/>
  <c r="K66" i="13"/>
  <c r="J66" i="13"/>
  <c r="H66" i="13"/>
  <c r="K65" i="13"/>
  <c r="J65" i="13"/>
  <c r="H65" i="13"/>
  <c r="K64" i="13"/>
  <c r="J64" i="13"/>
  <c r="H64" i="13"/>
  <c r="K63" i="13"/>
  <c r="J63" i="13"/>
  <c r="H63" i="13"/>
  <c r="L63" i="13" s="1"/>
  <c r="K62" i="13"/>
  <c r="J62" i="13"/>
  <c r="H62" i="13"/>
  <c r="K61" i="13"/>
  <c r="J61" i="13"/>
  <c r="H61" i="13"/>
  <c r="B59" i="13"/>
  <c r="A59" i="13"/>
  <c r="J57" i="13"/>
  <c r="J5" i="13" s="1"/>
  <c r="K55" i="13"/>
  <c r="J55" i="13"/>
  <c r="L55" i="13" s="1"/>
  <c r="H55" i="13"/>
  <c r="K54" i="13"/>
  <c r="J54" i="13"/>
  <c r="H54" i="13"/>
  <c r="L54" i="13" s="1"/>
  <c r="L53" i="13"/>
  <c r="K53" i="13"/>
  <c r="J53" i="13"/>
  <c r="H53" i="13"/>
  <c r="K52" i="13"/>
  <c r="J52" i="13"/>
  <c r="L52" i="13" s="1"/>
  <c r="H52" i="13"/>
  <c r="K51" i="13"/>
  <c r="J51" i="13"/>
  <c r="L51" i="13" s="1"/>
  <c r="H51" i="13"/>
  <c r="K50" i="13"/>
  <c r="J50" i="13"/>
  <c r="H50" i="13"/>
  <c r="L50" i="13" s="1"/>
  <c r="L49" i="13"/>
  <c r="K49" i="13"/>
  <c r="J49" i="13"/>
  <c r="H49" i="13"/>
  <c r="K48" i="13"/>
  <c r="J48" i="13"/>
  <c r="L48" i="13" s="1"/>
  <c r="H48" i="13"/>
  <c r="K47" i="13"/>
  <c r="J47" i="13"/>
  <c r="L47" i="13" s="1"/>
  <c r="H47" i="13"/>
  <c r="K46" i="13"/>
  <c r="J46" i="13"/>
  <c r="H46" i="13"/>
  <c r="L46" i="13" s="1"/>
  <c r="L45" i="13"/>
  <c r="K45" i="13"/>
  <c r="J45" i="13"/>
  <c r="H45" i="13"/>
  <c r="K44" i="13"/>
  <c r="J44" i="13"/>
  <c r="L44" i="13" s="1"/>
  <c r="H44" i="13"/>
  <c r="K43" i="13"/>
  <c r="J43" i="13"/>
  <c r="L43" i="13" s="1"/>
  <c r="H43" i="13"/>
  <c r="K42" i="13"/>
  <c r="J42" i="13"/>
  <c r="H42" i="13"/>
  <c r="L42" i="13" s="1"/>
  <c r="L57" i="13" s="1"/>
  <c r="L5" i="13" s="1"/>
  <c r="L41" i="13"/>
  <c r="K41" i="13"/>
  <c r="J41" i="13"/>
  <c r="H41" i="13"/>
  <c r="H57" i="13" s="1"/>
  <c r="H5" i="13" s="1"/>
  <c r="B40" i="13"/>
  <c r="A40" i="13"/>
  <c r="L36" i="13"/>
  <c r="K36" i="13"/>
  <c r="J36" i="13"/>
  <c r="H36" i="13"/>
  <c r="L35" i="13"/>
  <c r="K35" i="13"/>
  <c r="J35" i="13"/>
  <c r="H35" i="13"/>
  <c r="K34" i="13"/>
  <c r="J34" i="13"/>
  <c r="H34" i="13"/>
  <c r="L34" i="13" s="1"/>
  <c r="K33" i="13"/>
  <c r="J33" i="13"/>
  <c r="H33" i="13"/>
  <c r="H38" i="13" s="1"/>
  <c r="H4" i="13" s="1"/>
  <c r="K32" i="13"/>
  <c r="J32" i="13"/>
  <c r="L32" i="13" s="1"/>
  <c r="H32" i="13"/>
  <c r="K31" i="13"/>
  <c r="J31" i="13"/>
  <c r="L31" i="13" s="1"/>
  <c r="H31" i="13"/>
  <c r="K30" i="13"/>
  <c r="J30" i="13"/>
  <c r="H30" i="13"/>
  <c r="L30" i="13" s="1"/>
  <c r="B29" i="13"/>
  <c r="A29" i="13"/>
  <c r="H23" i="13"/>
  <c r="J23" i="13" s="1"/>
  <c r="E22" i="13"/>
  <c r="E21" i="13"/>
  <c r="E20" i="13"/>
  <c r="E19" i="13"/>
  <c r="E15" i="13"/>
  <c r="E14" i="13"/>
  <c r="E13" i="13"/>
  <c r="E12" i="13"/>
  <c r="E11" i="13"/>
  <c r="E10" i="13"/>
  <c r="E9" i="13"/>
  <c r="E8" i="13"/>
  <c r="E7" i="13"/>
  <c r="E6" i="13"/>
  <c r="E5" i="13"/>
  <c r="E4" i="13"/>
  <c r="L151" i="13" l="1"/>
  <c r="L9" i="13" s="1"/>
  <c r="L228" i="13"/>
  <c r="L12" i="13" s="1"/>
  <c r="H151" i="13"/>
  <c r="H9" i="13" s="1"/>
  <c r="L187" i="13"/>
  <c r="L164" i="13"/>
  <c r="L237" i="13"/>
  <c r="L240" i="13" s="1"/>
  <c r="L14" i="13" s="1"/>
  <c r="J228" i="13"/>
  <c r="J12" i="13" s="1"/>
  <c r="H135" i="13"/>
  <c r="H8" i="13" s="1"/>
  <c r="L156" i="13"/>
  <c r="L172" i="13"/>
  <c r="J135" i="13"/>
  <c r="J8" i="13" s="1"/>
  <c r="L66" i="13"/>
  <c r="J38" i="13"/>
  <c r="J4" i="13" s="1"/>
  <c r="L67" i="13"/>
  <c r="H126" i="13"/>
  <c r="H7" i="13" s="1"/>
  <c r="L205" i="13"/>
  <c r="L11" i="13" s="1"/>
  <c r="J126" i="13"/>
  <c r="J7" i="13" s="1"/>
  <c r="L162" i="13"/>
  <c r="L160" i="13"/>
  <c r="L168" i="13"/>
  <c r="J184" i="13"/>
  <c r="J10" i="13" s="1"/>
  <c r="L170" i="13"/>
  <c r="L178" i="13"/>
  <c r="L169" i="13"/>
  <c r="L177" i="13"/>
  <c r="L159" i="13"/>
  <c r="L167" i="13"/>
  <c r="L175" i="13"/>
  <c r="J240" i="13"/>
  <c r="J250" i="13"/>
  <c r="J15" i="13" s="1"/>
  <c r="J14" i="13"/>
  <c r="L243" i="13"/>
  <c r="L250" i="13" s="1"/>
  <c r="L15" i="13" s="1"/>
  <c r="L118" i="13"/>
  <c r="L126" i="13"/>
  <c r="L7" i="13" s="1"/>
  <c r="L33" i="13"/>
  <c r="L38" i="13" s="1"/>
  <c r="L4" i="13" s="1"/>
  <c r="L87" i="13"/>
  <c r="L88" i="13"/>
  <c r="L176" i="13"/>
  <c r="L158" i="13"/>
  <c r="L166" i="13"/>
  <c r="L174" i="13"/>
  <c r="L182" i="13"/>
  <c r="L180" i="13"/>
  <c r="L154" i="13"/>
  <c r="H184" i="13"/>
  <c r="H10" i="13" s="1"/>
  <c r="L133" i="13"/>
  <c r="L135" i="13" s="1"/>
  <c r="L8" i="13" s="1"/>
  <c r="J91" i="13"/>
  <c r="J6" i="13" s="1"/>
  <c r="L89" i="13"/>
  <c r="L64" i="13"/>
  <c r="L62" i="13"/>
  <c r="L65" i="13"/>
  <c r="L68" i="13"/>
  <c r="L61" i="13"/>
  <c r="L69" i="13"/>
  <c r="H91" i="13"/>
  <c r="H6" i="13" s="1"/>
  <c r="K190" i="12"/>
  <c r="J190" i="12"/>
  <c r="H190" i="12"/>
  <c r="K188" i="12"/>
  <c r="J188" i="12"/>
  <c r="H188" i="12"/>
  <c r="J16" i="13" l="1"/>
  <c r="J24" i="13" s="1"/>
  <c r="L184" i="13"/>
  <c r="L10" i="13" s="1"/>
  <c r="H16" i="13"/>
  <c r="H24" i="13" s="1"/>
  <c r="L91" i="13"/>
  <c r="L6" i="13" s="1"/>
  <c r="L188" i="12"/>
  <c r="L190" i="12"/>
  <c r="H200" i="12"/>
  <c r="H199" i="12"/>
  <c r="H197" i="12"/>
  <c r="K81" i="12"/>
  <c r="J81" i="12"/>
  <c r="H81" i="12"/>
  <c r="L81" i="12" s="1"/>
  <c r="L16" i="13" l="1"/>
  <c r="L22" i="13" s="1"/>
  <c r="L23" i="13" s="1"/>
  <c r="L24" i="13" s="1"/>
  <c r="L25" i="13" s="1"/>
  <c r="K200" i="12"/>
  <c r="L200" i="12"/>
  <c r="K197" i="12"/>
  <c r="L197" i="12"/>
  <c r="K196" i="12"/>
  <c r="H196" i="12"/>
  <c r="L196" i="12" s="1"/>
  <c r="K195" i="12"/>
  <c r="H195" i="12"/>
  <c r="L195" i="12" s="1"/>
  <c r="K163" i="12"/>
  <c r="J163" i="12"/>
  <c r="H163" i="12"/>
  <c r="L163" i="12" s="1"/>
  <c r="K45" i="12"/>
  <c r="J45" i="12"/>
  <c r="H45" i="12"/>
  <c r="L45" i="12" s="1"/>
  <c r="K43" i="12"/>
  <c r="J43" i="12"/>
  <c r="H43" i="12"/>
  <c r="K182" i="12"/>
  <c r="J182" i="12"/>
  <c r="H182" i="12"/>
  <c r="K203" i="12"/>
  <c r="H203" i="12"/>
  <c r="L203" i="12" s="1"/>
  <c r="K221" i="12"/>
  <c r="K218" i="12"/>
  <c r="K202" i="12"/>
  <c r="H202" i="12"/>
  <c r="L202" i="12" s="1"/>
  <c r="K222" i="12"/>
  <c r="J222" i="12"/>
  <c r="H222" i="12"/>
  <c r="J221" i="12"/>
  <c r="H221" i="12"/>
  <c r="L221" i="12" s="1"/>
  <c r="J220" i="12"/>
  <c r="H220" i="12"/>
  <c r="K219" i="12"/>
  <c r="J219" i="12"/>
  <c r="H219" i="12"/>
  <c r="J218" i="12"/>
  <c r="H218" i="12"/>
  <c r="K215" i="12"/>
  <c r="J215" i="12"/>
  <c r="H215" i="12"/>
  <c r="K213" i="12"/>
  <c r="J213" i="12"/>
  <c r="H213" i="12"/>
  <c r="K212" i="12"/>
  <c r="J212" i="12"/>
  <c r="H212" i="12"/>
  <c r="K211" i="12"/>
  <c r="J211" i="12"/>
  <c r="H211" i="12"/>
  <c r="K210" i="12"/>
  <c r="J210" i="12"/>
  <c r="H210" i="12"/>
  <c r="K46" i="12"/>
  <c r="J46" i="12"/>
  <c r="H46" i="12"/>
  <c r="K187" i="12"/>
  <c r="K115" i="12"/>
  <c r="J115" i="12"/>
  <c r="H115" i="12"/>
  <c r="K84" i="12"/>
  <c r="J84" i="12"/>
  <c r="H84" i="12"/>
  <c r="L182" i="12" l="1"/>
  <c r="L218" i="12"/>
  <c r="L222" i="12"/>
  <c r="L43" i="12"/>
  <c r="L219" i="12"/>
  <c r="L212" i="12"/>
  <c r="L213" i="12"/>
  <c r="L215" i="12"/>
  <c r="L211" i="12"/>
  <c r="L210" i="12"/>
  <c r="L46" i="12"/>
  <c r="L115" i="12"/>
  <c r="L84" i="12"/>
  <c r="K85" i="12"/>
  <c r="J85" i="12"/>
  <c r="H85" i="12"/>
  <c r="L85" i="12" l="1"/>
  <c r="K248" i="12"/>
  <c r="J248" i="12"/>
  <c r="H248" i="12"/>
  <c r="K49" i="12"/>
  <c r="J49" i="12"/>
  <c r="H49" i="12"/>
  <c r="K32" i="12"/>
  <c r="J32" i="12"/>
  <c r="H32" i="12"/>
  <c r="L49" i="12" l="1"/>
  <c r="L248" i="12"/>
  <c r="L32" i="12"/>
  <c r="K68" i="12" l="1"/>
  <c r="J68" i="12"/>
  <c r="H68" i="12"/>
  <c r="K132" i="12"/>
  <c r="J132" i="12"/>
  <c r="H132" i="12"/>
  <c r="K247" i="12"/>
  <c r="J247" i="12"/>
  <c r="H247" i="12"/>
  <c r="K246" i="12"/>
  <c r="J246" i="12"/>
  <c r="H246" i="12"/>
  <c r="L68" i="12" l="1"/>
  <c r="L247" i="12"/>
  <c r="L132" i="12"/>
  <c r="L246" i="12"/>
  <c r="K244" i="12"/>
  <c r="J244" i="12"/>
  <c r="H244" i="12"/>
  <c r="K243" i="12"/>
  <c r="J243" i="12"/>
  <c r="H243" i="12"/>
  <c r="B242" i="12"/>
  <c r="A242" i="12"/>
  <c r="K237" i="12"/>
  <c r="J237" i="12"/>
  <c r="J240" i="12" s="1"/>
  <c r="H237" i="12"/>
  <c r="B236" i="12"/>
  <c r="A236" i="12"/>
  <c r="K231" i="12"/>
  <c r="J231" i="12"/>
  <c r="H231" i="12"/>
  <c r="B230" i="12"/>
  <c r="A230" i="12"/>
  <c r="K226" i="12"/>
  <c r="J226" i="12"/>
  <c r="H226" i="12"/>
  <c r="K225" i="12"/>
  <c r="J225" i="12"/>
  <c r="H225" i="12"/>
  <c r="K224" i="12"/>
  <c r="J224" i="12"/>
  <c r="H224" i="12"/>
  <c r="K223" i="12"/>
  <c r="J223" i="12"/>
  <c r="H223" i="12"/>
  <c r="J217" i="12"/>
  <c r="H217" i="12"/>
  <c r="K216" i="12"/>
  <c r="J216" i="12"/>
  <c r="H216" i="12"/>
  <c r="K214" i="12"/>
  <c r="J214" i="12"/>
  <c r="H214" i="12"/>
  <c r="B208" i="12"/>
  <c r="A208" i="12"/>
  <c r="K201" i="12"/>
  <c r="H201" i="12"/>
  <c r="L201" i="12" s="1"/>
  <c r="K199" i="12"/>
  <c r="L199" i="12"/>
  <c r="K194" i="12"/>
  <c r="H194" i="12"/>
  <c r="L194" i="12" s="1"/>
  <c r="K193" i="12"/>
  <c r="H193" i="12"/>
  <c r="L193" i="12" s="1"/>
  <c r="K192" i="12"/>
  <c r="H192" i="12"/>
  <c r="L192" i="12" s="1"/>
  <c r="K191" i="12"/>
  <c r="J191" i="12"/>
  <c r="H191" i="12"/>
  <c r="K189" i="12"/>
  <c r="J189" i="12"/>
  <c r="H189" i="12"/>
  <c r="J187" i="12"/>
  <c r="H187" i="12"/>
  <c r="B186" i="12"/>
  <c r="A186" i="12"/>
  <c r="K181" i="12"/>
  <c r="J181" i="12"/>
  <c r="H181" i="12"/>
  <c r="K180" i="12"/>
  <c r="J180" i="12"/>
  <c r="H180" i="12"/>
  <c r="K179" i="12"/>
  <c r="J179" i="12"/>
  <c r="H179" i="12"/>
  <c r="K178" i="12"/>
  <c r="J178" i="12"/>
  <c r="H178" i="12"/>
  <c r="K177" i="12"/>
  <c r="J177" i="12"/>
  <c r="H177" i="12"/>
  <c r="K176" i="12"/>
  <c r="J176" i="12"/>
  <c r="H176" i="12"/>
  <c r="K175" i="12"/>
  <c r="J175" i="12"/>
  <c r="H175" i="12"/>
  <c r="K174" i="12"/>
  <c r="J174" i="12"/>
  <c r="H174" i="12"/>
  <c r="K173" i="12"/>
  <c r="J173" i="12"/>
  <c r="H173" i="12"/>
  <c r="K172" i="12"/>
  <c r="J172" i="12"/>
  <c r="H172" i="12"/>
  <c r="K171" i="12"/>
  <c r="J171" i="12"/>
  <c r="H171" i="12"/>
  <c r="K170" i="12"/>
  <c r="J170" i="12"/>
  <c r="H170" i="12"/>
  <c r="K169" i="12"/>
  <c r="J169" i="12"/>
  <c r="H169" i="12"/>
  <c r="K168" i="12"/>
  <c r="J168" i="12"/>
  <c r="H168" i="12"/>
  <c r="K167" i="12"/>
  <c r="J167" i="12"/>
  <c r="H167" i="12"/>
  <c r="K166" i="12"/>
  <c r="J166" i="12"/>
  <c r="H166" i="12"/>
  <c r="K165" i="12"/>
  <c r="J165" i="12"/>
  <c r="H165" i="12"/>
  <c r="K164" i="12"/>
  <c r="J164" i="12"/>
  <c r="H164" i="12"/>
  <c r="K162" i="12"/>
  <c r="J162" i="12"/>
  <c r="H162" i="12"/>
  <c r="K161" i="12"/>
  <c r="J161" i="12"/>
  <c r="H161" i="12"/>
  <c r="K160" i="12"/>
  <c r="J160" i="12"/>
  <c r="H160" i="12"/>
  <c r="K159" i="12"/>
  <c r="J159" i="12"/>
  <c r="H159" i="12"/>
  <c r="K158" i="12"/>
  <c r="J158" i="12"/>
  <c r="H158" i="12"/>
  <c r="K157" i="12"/>
  <c r="J157" i="12"/>
  <c r="H157" i="12"/>
  <c r="K156" i="12"/>
  <c r="J156" i="12"/>
  <c r="H156" i="12"/>
  <c r="K155" i="12"/>
  <c r="J155" i="12"/>
  <c r="H155" i="12"/>
  <c r="K154" i="12"/>
  <c r="J154" i="12"/>
  <c r="H154" i="12"/>
  <c r="B153" i="12"/>
  <c r="A153" i="12"/>
  <c r="K149" i="12"/>
  <c r="J149" i="12"/>
  <c r="H149" i="12"/>
  <c r="K148" i="12"/>
  <c r="J148" i="12"/>
  <c r="H148" i="12"/>
  <c r="K147" i="12"/>
  <c r="J147" i="12"/>
  <c r="H147" i="12"/>
  <c r="K146" i="12"/>
  <c r="J146" i="12"/>
  <c r="H146" i="12"/>
  <c r="K145" i="12"/>
  <c r="J145" i="12"/>
  <c r="H145" i="12"/>
  <c r="K144" i="12"/>
  <c r="J144" i="12"/>
  <c r="H144" i="12"/>
  <c r="K143" i="12"/>
  <c r="J143" i="12"/>
  <c r="H143" i="12"/>
  <c r="K142" i="12"/>
  <c r="J142" i="12"/>
  <c r="H142" i="12"/>
  <c r="K141" i="12"/>
  <c r="J141" i="12"/>
  <c r="H141" i="12"/>
  <c r="K140" i="12"/>
  <c r="J140" i="12"/>
  <c r="H140" i="12"/>
  <c r="K139" i="12"/>
  <c r="J139" i="12"/>
  <c r="H139" i="12"/>
  <c r="K138" i="12"/>
  <c r="J138" i="12"/>
  <c r="H138" i="12"/>
  <c r="B137" i="12"/>
  <c r="A137" i="12"/>
  <c r="K133" i="12"/>
  <c r="J133" i="12"/>
  <c r="H133" i="12"/>
  <c r="K131" i="12"/>
  <c r="E131" i="12"/>
  <c r="H131" i="12" s="1"/>
  <c r="L131" i="12" s="1"/>
  <c r="K130" i="12"/>
  <c r="J130" i="12"/>
  <c r="H130" i="12"/>
  <c r="K129" i="12"/>
  <c r="J129" i="12"/>
  <c r="H129" i="12"/>
  <c r="B128" i="12"/>
  <c r="A128" i="12"/>
  <c r="K124" i="12"/>
  <c r="J124" i="12"/>
  <c r="H124" i="12"/>
  <c r="K123" i="12"/>
  <c r="J123" i="12"/>
  <c r="H123" i="12"/>
  <c r="K122" i="12"/>
  <c r="J122" i="12"/>
  <c r="H122" i="12"/>
  <c r="K121" i="12"/>
  <c r="J121" i="12"/>
  <c r="H121" i="12"/>
  <c r="K120" i="12"/>
  <c r="J120" i="12"/>
  <c r="H120" i="12"/>
  <c r="K119" i="12"/>
  <c r="J119" i="12"/>
  <c r="H119" i="12"/>
  <c r="K118" i="12"/>
  <c r="J118" i="12"/>
  <c r="H118" i="12"/>
  <c r="K117" i="12"/>
  <c r="J117" i="12"/>
  <c r="H117" i="12"/>
  <c r="K116" i="12"/>
  <c r="J116" i="12"/>
  <c r="H116" i="12"/>
  <c r="K114" i="12"/>
  <c r="J114" i="12"/>
  <c r="H114" i="12"/>
  <c r="K113" i="12"/>
  <c r="J113" i="12"/>
  <c r="H113" i="12"/>
  <c r="K112" i="12"/>
  <c r="J112" i="12"/>
  <c r="H112" i="12"/>
  <c r="K111" i="12"/>
  <c r="J111" i="12"/>
  <c r="H111" i="12"/>
  <c r="K110" i="12"/>
  <c r="J110" i="12"/>
  <c r="H110" i="12"/>
  <c r="K109" i="12"/>
  <c r="J109" i="12"/>
  <c r="H109" i="12"/>
  <c r="K108" i="12"/>
  <c r="J108" i="12"/>
  <c r="H108" i="12"/>
  <c r="K107" i="12"/>
  <c r="J107" i="12"/>
  <c r="H107" i="12"/>
  <c r="K106" i="12"/>
  <c r="J106" i="12"/>
  <c r="H106" i="12"/>
  <c r="K105" i="12"/>
  <c r="J105" i="12"/>
  <c r="H105" i="12"/>
  <c r="K104" i="12"/>
  <c r="J104" i="12"/>
  <c r="H104" i="12"/>
  <c r="K103" i="12"/>
  <c r="J103" i="12"/>
  <c r="H103" i="12"/>
  <c r="K102" i="12"/>
  <c r="J102" i="12"/>
  <c r="H102" i="12"/>
  <c r="K101" i="12"/>
  <c r="J101" i="12"/>
  <c r="H101" i="12"/>
  <c r="K100" i="12"/>
  <c r="J100" i="12"/>
  <c r="H100" i="12"/>
  <c r="K99" i="12"/>
  <c r="J99" i="12"/>
  <c r="H99" i="12"/>
  <c r="K98" i="12"/>
  <c r="J98" i="12"/>
  <c r="H98" i="12"/>
  <c r="K97" i="12"/>
  <c r="J97" i="12"/>
  <c r="H97" i="12"/>
  <c r="K96" i="12"/>
  <c r="J96" i="12"/>
  <c r="H96" i="12"/>
  <c r="K95" i="12"/>
  <c r="J95" i="12"/>
  <c r="H95" i="12"/>
  <c r="B94" i="12"/>
  <c r="A94" i="12"/>
  <c r="K89" i="12"/>
  <c r="J89" i="12"/>
  <c r="H89" i="12"/>
  <c r="K88" i="12"/>
  <c r="J88" i="12"/>
  <c r="H88" i="12"/>
  <c r="K87" i="12"/>
  <c r="J87" i="12"/>
  <c r="H87" i="12"/>
  <c r="K86" i="12"/>
  <c r="J86" i="12"/>
  <c r="H86" i="12"/>
  <c r="K83" i="12"/>
  <c r="J83" i="12"/>
  <c r="H83" i="12"/>
  <c r="K82" i="12"/>
  <c r="J82" i="12"/>
  <c r="H82" i="12"/>
  <c r="K80" i="12"/>
  <c r="J80" i="12"/>
  <c r="H80" i="12"/>
  <c r="K79" i="12"/>
  <c r="J79" i="12"/>
  <c r="H79" i="12"/>
  <c r="K78" i="12"/>
  <c r="J78" i="12"/>
  <c r="H78" i="12"/>
  <c r="K77" i="12"/>
  <c r="J77" i="12"/>
  <c r="H77" i="12"/>
  <c r="K76" i="12"/>
  <c r="J76" i="12"/>
  <c r="H76" i="12"/>
  <c r="K75" i="12"/>
  <c r="J75" i="12"/>
  <c r="H75" i="12"/>
  <c r="K74" i="12"/>
  <c r="J74" i="12"/>
  <c r="H74" i="12"/>
  <c r="K72" i="12"/>
  <c r="J72" i="12"/>
  <c r="H72" i="12"/>
  <c r="K71" i="12"/>
  <c r="J71" i="12"/>
  <c r="H71" i="12"/>
  <c r="K70" i="12"/>
  <c r="J70" i="12"/>
  <c r="H70" i="12"/>
  <c r="K69" i="12"/>
  <c r="J69" i="12"/>
  <c r="H69" i="12"/>
  <c r="K67" i="12"/>
  <c r="J67" i="12"/>
  <c r="H67" i="12"/>
  <c r="K66" i="12"/>
  <c r="J66" i="12"/>
  <c r="H66" i="12"/>
  <c r="K65" i="12"/>
  <c r="J65" i="12"/>
  <c r="H65" i="12"/>
  <c r="K64" i="12"/>
  <c r="J64" i="12"/>
  <c r="H64" i="12"/>
  <c r="K63" i="12"/>
  <c r="J63" i="12"/>
  <c r="H63" i="12"/>
  <c r="K62" i="12"/>
  <c r="J62" i="12"/>
  <c r="H62" i="12"/>
  <c r="K61" i="12"/>
  <c r="J61" i="12"/>
  <c r="H61" i="12"/>
  <c r="B59" i="12"/>
  <c r="A59" i="12"/>
  <c r="K55" i="12"/>
  <c r="J55" i="12"/>
  <c r="H55" i="12"/>
  <c r="K54" i="12"/>
  <c r="J54" i="12"/>
  <c r="H54" i="12"/>
  <c r="K53" i="12"/>
  <c r="J53" i="12"/>
  <c r="H53" i="12"/>
  <c r="K52" i="12"/>
  <c r="J52" i="12"/>
  <c r="H52" i="12"/>
  <c r="K51" i="12"/>
  <c r="J51" i="12"/>
  <c r="H51" i="12"/>
  <c r="K50" i="12"/>
  <c r="J50" i="12"/>
  <c r="H50" i="12"/>
  <c r="K48" i="12"/>
  <c r="J48" i="12"/>
  <c r="H48" i="12"/>
  <c r="K47" i="12"/>
  <c r="J47" i="12"/>
  <c r="H47" i="12"/>
  <c r="K44" i="12"/>
  <c r="J44" i="12"/>
  <c r="H44" i="12"/>
  <c r="K42" i="12"/>
  <c r="J42" i="12"/>
  <c r="H42" i="12"/>
  <c r="K41" i="12"/>
  <c r="J41" i="12"/>
  <c r="H41" i="12"/>
  <c r="B40" i="12"/>
  <c r="A40" i="12"/>
  <c r="K36" i="12"/>
  <c r="J36" i="12"/>
  <c r="H36" i="12"/>
  <c r="K35" i="12"/>
  <c r="J35" i="12"/>
  <c r="H35" i="12"/>
  <c r="K34" i="12"/>
  <c r="J34" i="12"/>
  <c r="H34" i="12"/>
  <c r="K33" i="12"/>
  <c r="J33" i="12"/>
  <c r="H33" i="12"/>
  <c r="K31" i="12"/>
  <c r="J31" i="12"/>
  <c r="H31" i="12"/>
  <c r="K30" i="12"/>
  <c r="J30" i="12"/>
  <c r="H30" i="12"/>
  <c r="B29" i="12"/>
  <c r="A29" i="12"/>
  <c r="H23" i="12"/>
  <c r="J23" i="12" s="1"/>
  <c r="E22" i="12"/>
  <c r="E21" i="12"/>
  <c r="E20" i="12"/>
  <c r="E19" i="12"/>
  <c r="E15" i="12"/>
  <c r="E14" i="12"/>
  <c r="E13" i="12"/>
  <c r="E12" i="12"/>
  <c r="E11" i="12"/>
  <c r="E10" i="12"/>
  <c r="E9" i="12"/>
  <c r="E8" i="12"/>
  <c r="E7" i="12"/>
  <c r="E6" i="12"/>
  <c r="E5" i="12"/>
  <c r="E4" i="12"/>
  <c r="K89" i="8"/>
  <c r="J89" i="8"/>
  <c r="H89" i="8"/>
  <c r="H90" i="8"/>
  <c r="J90" i="8"/>
  <c r="K90" i="8"/>
  <c r="K181" i="8"/>
  <c r="H181" i="8"/>
  <c r="L181" i="8" s="1"/>
  <c r="K100" i="8"/>
  <c r="J100" i="8"/>
  <c r="H100" i="8"/>
  <c r="K137" i="8"/>
  <c r="J137" i="8"/>
  <c r="H137" i="8"/>
  <c r="L138" i="12" l="1"/>
  <c r="L80" i="12"/>
  <c r="H205" i="12"/>
  <c r="H11" i="12" s="1"/>
  <c r="L69" i="12"/>
  <c r="L89" i="12"/>
  <c r="L169" i="12"/>
  <c r="L103" i="12"/>
  <c r="L120" i="12"/>
  <c r="L144" i="12"/>
  <c r="L158" i="12"/>
  <c r="L177" i="12"/>
  <c r="L87" i="12"/>
  <c r="L142" i="12"/>
  <c r="L175" i="12"/>
  <c r="L34" i="12"/>
  <c r="L54" i="12"/>
  <c r="L70" i="12"/>
  <c r="L145" i="12"/>
  <c r="L90" i="8"/>
  <c r="L214" i="12"/>
  <c r="L89" i="8"/>
  <c r="L79" i="12"/>
  <c r="L112" i="12"/>
  <c r="L243" i="12"/>
  <c r="L55" i="12"/>
  <c r="L53" i="12"/>
  <c r="L168" i="12"/>
  <c r="L159" i="12"/>
  <c r="L61" i="12"/>
  <c r="L110" i="12"/>
  <c r="L33" i="12"/>
  <c r="L50" i="12"/>
  <c r="L65" i="12"/>
  <c r="L149" i="12"/>
  <c r="L155" i="12"/>
  <c r="L164" i="12"/>
  <c r="L172" i="12"/>
  <c r="L187" i="12"/>
  <c r="L47" i="12"/>
  <c r="L82" i="12"/>
  <c r="L98" i="12"/>
  <c r="L129" i="12"/>
  <c r="L48" i="12"/>
  <c r="L64" i="12"/>
  <c r="L31" i="12"/>
  <c r="L74" i="12"/>
  <c r="L107" i="12"/>
  <c r="L124" i="12"/>
  <c r="L148" i="12"/>
  <c r="L162" i="12"/>
  <c r="L75" i="12"/>
  <c r="L108" i="12"/>
  <c r="L180" i="12"/>
  <c r="L63" i="12"/>
  <c r="L179" i="12"/>
  <c r="L167" i="12"/>
  <c r="L237" i="12"/>
  <c r="L240" i="12" s="1"/>
  <c r="L14" i="12" s="1"/>
  <c r="L106" i="12"/>
  <c r="L123" i="12"/>
  <c r="L133" i="12"/>
  <c r="L147" i="12"/>
  <c r="L225" i="12"/>
  <c r="L244" i="12"/>
  <c r="L76" i="12"/>
  <c r="L165" i="12"/>
  <c r="L181" i="12"/>
  <c r="L30" i="12"/>
  <c r="L62" i="12"/>
  <c r="L67" i="12"/>
  <c r="L88" i="12"/>
  <c r="L102" i="12"/>
  <c r="L119" i="12"/>
  <c r="L143" i="12"/>
  <c r="L216" i="12"/>
  <c r="L86" i="12"/>
  <c r="L139" i="12"/>
  <c r="L99" i="12"/>
  <c r="L116" i="12"/>
  <c r="L130" i="12"/>
  <c r="L140" i="12"/>
  <c r="L154" i="12"/>
  <c r="H233" i="12"/>
  <c r="H13" i="12" s="1"/>
  <c r="H57" i="12"/>
  <c r="H5" i="12" s="1"/>
  <c r="J205" i="12"/>
  <c r="J11" i="12" s="1"/>
  <c r="L224" i="12"/>
  <c r="J38" i="12"/>
  <c r="J4" i="12" s="1"/>
  <c r="L189" i="12"/>
  <c r="L114" i="12"/>
  <c r="L109" i="12"/>
  <c r="L178" i="12"/>
  <c r="J14" i="12"/>
  <c r="L100" i="12"/>
  <c r="L105" i="12"/>
  <c r="L117" i="12"/>
  <c r="L122" i="12"/>
  <c r="L176" i="12"/>
  <c r="L35" i="12"/>
  <c r="L96" i="12"/>
  <c r="L111" i="12"/>
  <c r="L141" i="12"/>
  <c r="L146" i="12"/>
  <c r="L160" i="12"/>
  <c r="L171" i="12"/>
  <c r="L170" i="12"/>
  <c r="J228" i="12"/>
  <c r="J12" i="12" s="1"/>
  <c r="H240" i="12"/>
  <c r="H14" i="12" s="1"/>
  <c r="L97" i="12"/>
  <c r="J184" i="12"/>
  <c r="J10" i="12" s="1"/>
  <c r="J135" i="12"/>
  <c r="J8" i="12" s="1"/>
  <c r="L157" i="12"/>
  <c r="L173" i="12"/>
  <c r="J250" i="12"/>
  <c r="J15" i="12" s="1"/>
  <c r="L101" i="12"/>
  <c r="L118" i="12"/>
  <c r="L166" i="12"/>
  <c r="H184" i="12"/>
  <c r="H10" i="12" s="1"/>
  <c r="L226" i="12"/>
  <c r="L113" i="12"/>
  <c r="J151" i="12"/>
  <c r="J9" i="12" s="1"/>
  <c r="L161" i="12"/>
  <c r="L36" i="12"/>
  <c r="L42" i="12"/>
  <c r="L51" i="12"/>
  <c r="L71" i="12"/>
  <c r="L77" i="12"/>
  <c r="L83" i="12"/>
  <c r="L104" i="12"/>
  <c r="L121" i="12"/>
  <c r="L223" i="12"/>
  <c r="J233" i="12"/>
  <c r="J13" i="12" s="1"/>
  <c r="J57" i="12"/>
  <c r="J5" i="12" s="1"/>
  <c r="H91" i="12"/>
  <c r="H6" i="12" s="1"/>
  <c r="H126" i="12"/>
  <c r="H7" i="12" s="1"/>
  <c r="L44" i="12"/>
  <c r="L52" i="12"/>
  <c r="J91" i="12"/>
  <c r="J6" i="12" s="1"/>
  <c r="L66" i="12"/>
  <c r="L72" i="12"/>
  <c r="L78" i="12"/>
  <c r="J126" i="12"/>
  <c r="J7" i="12" s="1"/>
  <c r="L174" i="12"/>
  <c r="H38" i="12"/>
  <c r="H4" i="12" s="1"/>
  <c r="H151" i="12"/>
  <c r="H9" i="12" s="1"/>
  <c r="L156" i="12"/>
  <c r="L191" i="12"/>
  <c r="L95" i="12"/>
  <c r="H135" i="12"/>
  <c r="H8" i="12" s="1"/>
  <c r="L231" i="12"/>
  <c r="L233" i="12" s="1"/>
  <c r="L13" i="12" s="1"/>
  <c r="L41" i="12"/>
  <c r="H228" i="12"/>
  <c r="H12" i="12" s="1"/>
  <c r="H250" i="12"/>
  <c r="H15" i="12" s="1"/>
  <c r="L137" i="8"/>
  <c r="L100" i="8"/>
  <c r="K178" i="8"/>
  <c r="J178" i="8"/>
  <c r="H178" i="8"/>
  <c r="H43" i="8"/>
  <c r="K88" i="8"/>
  <c r="J88" i="8"/>
  <c r="H88" i="8"/>
  <c r="K183" i="8"/>
  <c r="H183" i="8"/>
  <c r="L183" i="8" s="1"/>
  <c r="K180" i="8"/>
  <c r="H180" i="8"/>
  <c r="L180" i="8" s="1"/>
  <c r="K192" i="8"/>
  <c r="J192" i="8"/>
  <c r="H192" i="8"/>
  <c r="K191" i="8"/>
  <c r="J191" i="8"/>
  <c r="H191" i="8"/>
  <c r="K190" i="8"/>
  <c r="J190" i="8"/>
  <c r="H190" i="8"/>
  <c r="L190" i="8" s="1"/>
  <c r="K189" i="8"/>
  <c r="J189" i="8"/>
  <c r="H189" i="8"/>
  <c r="K206" i="8"/>
  <c r="J206" i="8"/>
  <c r="H206" i="8"/>
  <c r="K31" i="8"/>
  <c r="J31" i="8"/>
  <c r="H31" i="8"/>
  <c r="K149" i="8"/>
  <c r="J149" i="8"/>
  <c r="H149" i="8"/>
  <c r="K116" i="8"/>
  <c r="J116" i="8"/>
  <c r="H116" i="8"/>
  <c r="K115" i="8"/>
  <c r="J115" i="8"/>
  <c r="H115" i="8"/>
  <c r="K114" i="8"/>
  <c r="J114" i="8"/>
  <c r="H114" i="8"/>
  <c r="K113" i="8"/>
  <c r="J113" i="8"/>
  <c r="H113" i="8"/>
  <c r="K112" i="8"/>
  <c r="J112" i="8"/>
  <c r="H112" i="8"/>
  <c r="K111" i="8"/>
  <c r="J111" i="8"/>
  <c r="H111" i="8"/>
  <c r="K110" i="8"/>
  <c r="J110" i="8"/>
  <c r="H110" i="8"/>
  <c r="K109" i="8"/>
  <c r="J109" i="8"/>
  <c r="H109" i="8"/>
  <c r="K108" i="8"/>
  <c r="J108" i="8"/>
  <c r="H108" i="8"/>
  <c r="K107" i="8"/>
  <c r="J107" i="8"/>
  <c r="H107" i="8"/>
  <c r="K106" i="8"/>
  <c r="J106" i="8"/>
  <c r="H106" i="8"/>
  <c r="K105" i="8"/>
  <c r="J105" i="8"/>
  <c r="H105" i="8"/>
  <c r="K104" i="8"/>
  <c r="J104" i="8"/>
  <c r="H104" i="8"/>
  <c r="K103" i="8"/>
  <c r="J103" i="8"/>
  <c r="H103" i="8"/>
  <c r="K102" i="8"/>
  <c r="J102" i="8"/>
  <c r="H102" i="8"/>
  <c r="K101" i="8"/>
  <c r="J101" i="8"/>
  <c r="H101" i="8"/>
  <c r="K99" i="8"/>
  <c r="J99" i="8"/>
  <c r="H99" i="8"/>
  <c r="K98" i="8"/>
  <c r="J98" i="8"/>
  <c r="H98" i="8"/>
  <c r="K97" i="8"/>
  <c r="J97" i="8"/>
  <c r="H97" i="8"/>
  <c r="K96" i="8"/>
  <c r="J96" i="8"/>
  <c r="H96" i="8"/>
  <c r="K95" i="8"/>
  <c r="J95" i="8"/>
  <c r="H95" i="8"/>
  <c r="K94" i="8"/>
  <c r="J94" i="8"/>
  <c r="H94" i="8"/>
  <c r="K93" i="8"/>
  <c r="J93" i="8"/>
  <c r="H93" i="8"/>
  <c r="K92" i="8"/>
  <c r="J92" i="8"/>
  <c r="H92" i="8"/>
  <c r="K91" i="8"/>
  <c r="J91" i="8"/>
  <c r="H91" i="8"/>
  <c r="K87" i="8"/>
  <c r="J87" i="8"/>
  <c r="H87" i="8"/>
  <c r="K212" i="8"/>
  <c r="J212" i="8"/>
  <c r="J215" i="8" s="1"/>
  <c r="H212" i="8"/>
  <c r="K219" i="8"/>
  <c r="J219" i="8"/>
  <c r="H219" i="8"/>
  <c r="K218" i="8"/>
  <c r="J218" i="8"/>
  <c r="H218" i="8"/>
  <c r="L205" i="12" l="1"/>
  <c r="L11" i="12" s="1"/>
  <c r="L250" i="12"/>
  <c r="L15" i="12" s="1"/>
  <c r="L101" i="8"/>
  <c r="L149" i="8"/>
  <c r="L135" i="12"/>
  <c r="L8" i="12" s="1"/>
  <c r="L38" i="12"/>
  <c r="L4" i="12" s="1"/>
  <c r="L228" i="12"/>
  <c r="L12" i="12" s="1"/>
  <c r="L91" i="12"/>
  <c r="L6" i="12" s="1"/>
  <c r="L57" i="12"/>
  <c r="L5" i="12" s="1"/>
  <c r="L151" i="12"/>
  <c r="L9" i="12" s="1"/>
  <c r="J16" i="12"/>
  <c r="J24" i="12" s="1"/>
  <c r="L126" i="12"/>
  <c r="L7" i="12" s="1"/>
  <c r="L184" i="12"/>
  <c r="L10" i="12" s="1"/>
  <c r="H16" i="12"/>
  <c r="H24" i="12" s="1"/>
  <c r="L192" i="8"/>
  <c r="L95" i="8"/>
  <c r="L191" i="8"/>
  <c r="L178" i="8"/>
  <c r="L88" i="8"/>
  <c r="L92" i="8"/>
  <c r="L109" i="8"/>
  <c r="L206" i="8"/>
  <c r="L189" i="8"/>
  <c r="L218" i="8"/>
  <c r="L102" i="8"/>
  <c r="L96" i="8"/>
  <c r="L104" i="8"/>
  <c r="L212" i="8"/>
  <c r="L215" i="8" s="1"/>
  <c r="L31" i="8"/>
  <c r="L107" i="8"/>
  <c r="L93" i="8"/>
  <c r="L110" i="8"/>
  <c r="L112" i="8"/>
  <c r="L94" i="8"/>
  <c r="L111" i="8"/>
  <c r="L219" i="8"/>
  <c r="L103" i="8"/>
  <c r="L99" i="8"/>
  <c r="L116" i="8"/>
  <c r="H118" i="8"/>
  <c r="J118" i="8"/>
  <c r="L91" i="8"/>
  <c r="L108" i="8"/>
  <c r="L113" i="8"/>
  <c r="L97" i="8"/>
  <c r="L114" i="8"/>
  <c r="L98" i="8"/>
  <c r="L115" i="8"/>
  <c r="L105" i="8"/>
  <c r="L106" i="8"/>
  <c r="L87" i="8"/>
  <c r="H215" i="8"/>
  <c r="K140" i="8"/>
  <c r="J140" i="8"/>
  <c r="H140" i="8"/>
  <c r="L16" i="12" l="1"/>
  <c r="L22" i="12" s="1"/>
  <c r="L118" i="8"/>
  <c r="L140" i="8"/>
  <c r="H46" i="8"/>
  <c r="L23" i="12" l="1"/>
  <c r="L24" i="12" s="1"/>
  <c r="L25" i="12" s="1"/>
  <c r="K198" i="8"/>
  <c r="J198" i="8"/>
  <c r="H198" i="8"/>
  <c r="K177" i="8"/>
  <c r="J177" i="8"/>
  <c r="H177" i="8"/>
  <c r="K182" i="8"/>
  <c r="H182" i="8"/>
  <c r="L182" i="8" s="1"/>
  <c r="E123" i="8"/>
  <c r="K77" i="8"/>
  <c r="J77" i="8"/>
  <c r="H77" i="8"/>
  <c r="K76" i="8"/>
  <c r="J76" i="8"/>
  <c r="H76" i="8"/>
  <c r="K75" i="8"/>
  <c r="J75" i="8"/>
  <c r="H75" i="8"/>
  <c r="K63" i="8"/>
  <c r="J63" i="8"/>
  <c r="H63" i="8"/>
  <c r="K45" i="8"/>
  <c r="J45" i="8"/>
  <c r="H45" i="8"/>
  <c r="K50" i="8"/>
  <c r="J50" i="8"/>
  <c r="H50" i="8"/>
  <c r="N29" i="10"/>
  <c r="T29" i="10"/>
  <c r="L198" i="8" l="1"/>
  <c r="L177" i="8"/>
  <c r="L76" i="8"/>
  <c r="L50" i="8"/>
  <c r="L77" i="8"/>
  <c r="L75" i="8"/>
  <c r="L63" i="8"/>
  <c r="L45" i="8"/>
  <c r="B86" i="8"/>
  <c r="B217" i="8" l="1"/>
  <c r="A217" i="8"/>
  <c r="H14" i="8"/>
  <c r="B211" i="8"/>
  <c r="A211" i="8"/>
  <c r="K205" i="8"/>
  <c r="J205" i="8"/>
  <c r="J208" i="8" s="1"/>
  <c r="J13" i="8" s="1"/>
  <c r="H205" i="8"/>
  <c r="H208" i="8" s="1"/>
  <c r="H13" i="8" s="1"/>
  <c r="B204" i="8"/>
  <c r="A204" i="8"/>
  <c r="K200" i="8"/>
  <c r="J200" i="8"/>
  <c r="H200" i="8"/>
  <c r="K199" i="8"/>
  <c r="J199" i="8"/>
  <c r="H199" i="8"/>
  <c r="K197" i="8"/>
  <c r="J197" i="8"/>
  <c r="H197" i="8"/>
  <c r="K196" i="8"/>
  <c r="J196" i="8"/>
  <c r="H196" i="8"/>
  <c r="K195" i="8"/>
  <c r="J195" i="8"/>
  <c r="H195" i="8"/>
  <c r="K194" i="8"/>
  <c r="J194" i="8"/>
  <c r="H194" i="8"/>
  <c r="K193" i="8"/>
  <c r="J193" i="8"/>
  <c r="H193" i="8"/>
  <c r="B187" i="8"/>
  <c r="A187" i="8"/>
  <c r="K179" i="8"/>
  <c r="H179" i="8"/>
  <c r="L179" i="8" s="1"/>
  <c r="J176" i="8"/>
  <c r="J185" i="8" s="1"/>
  <c r="H176" i="8"/>
  <c r="B175" i="8"/>
  <c r="A175" i="8"/>
  <c r="K171" i="8"/>
  <c r="J171" i="8"/>
  <c r="H171" i="8"/>
  <c r="K170" i="8"/>
  <c r="J170" i="8"/>
  <c r="H170" i="8"/>
  <c r="K169" i="8"/>
  <c r="J169" i="8"/>
  <c r="H169" i="8"/>
  <c r="K168" i="8"/>
  <c r="J168" i="8"/>
  <c r="H168" i="8"/>
  <c r="K167" i="8"/>
  <c r="J167" i="8"/>
  <c r="H167" i="8"/>
  <c r="K166" i="8"/>
  <c r="J166" i="8"/>
  <c r="H166" i="8"/>
  <c r="K165" i="8"/>
  <c r="J165" i="8"/>
  <c r="H165" i="8"/>
  <c r="K164" i="8"/>
  <c r="J164" i="8"/>
  <c r="H164" i="8"/>
  <c r="K163" i="8"/>
  <c r="J163" i="8"/>
  <c r="H163" i="8"/>
  <c r="K162" i="8"/>
  <c r="J162" i="8"/>
  <c r="H162" i="8"/>
  <c r="K161" i="8"/>
  <c r="J161" i="8"/>
  <c r="H161" i="8"/>
  <c r="K160" i="8"/>
  <c r="J160" i="8"/>
  <c r="H160" i="8"/>
  <c r="K159" i="8"/>
  <c r="J159" i="8"/>
  <c r="H159" i="8"/>
  <c r="K158" i="8"/>
  <c r="J158" i="8"/>
  <c r="H158" i="8"/>
  <c r="K157" i="8"/>
  <c r="J157" i="8"/>
  <c r="H157" i="8"/>
  <c r="K156" i="8"/>
  <c r="J156" i="8"/>
  <c r="H156" i="8"/>
  <c r="K155" i="8"/>
  <c r="J155" i="8"/>
  <c r="H155" i="8"/>
  <c r="K154" i="8"/>
  <c r="J154" i="8"/>
  <c r="H154" i="8"/>
  <c r="K153" i="8"/>
  <c r="J153" i="8"/>
  <c r="H153" i="8"/>
  <c r="K152" i="8"/>
  <c r="J152" i="8"/>
  <c r="H152" i="8"/>
  <c r="K151" i="8"/>
  <c r="J151" i="8"/>
  <c r="H151" i="8"/>
  <c r="K150" i="8"/>
  <c r="J150" i="8"/>
  <c r="H150" i="8"/>
  <c r="K148" i="8"/>
  <c r="J148" i="8"/>
  <c r="H148" i="8"/>
  <c r="K147" i="8"/>
  <c r="J147" i="8"/>
  <c r="H147" i="8"/>
  <c r="K146" i="8"/>
  <c r="J146" i="8"/>
  <c r="H146" i="8"/>
  <c r="K145" i="8"/>
  <c r="J145" i="8"/>
  <c r="H145" i="8"/>
  <c r="B144" i="8"/>
  <c r="A144" i="8"/>
  <c r="K139" i="8"/>
  <c r="J139" i="8"/>
  <c r="H139" i="8"/>
  <c r="K138" i="8"/>
  <c r="J138" i="8"/>
  <c r="H138" i="8"/>
  <c r="K136" i="8"/>
  <c r="J136" i="8"/>
  <c r="H136" i="8"/>
  <c r="K135" i="8"/>
  <c r="J135" i="8"/>
  <c r="H135" i="8"/>
  <c r="K134" i="8"/>
  <c r="J134" i="8"/>
  <c r="H134" i="8"/>
  <c r="K133" i="8"/>
  <c r="J133" i="8"/>
  <c r="H133" i="8"/>
  <c r="K132" i="8"/>
  <c r="J132" i="8"/>
  <c r="H132" i="8"/>
  <c r="K131" i="8"/>
  <c r="J131" i="8"/>
  <c r="H131" i="8"/>
  <c r="K130" i="8"/>
  <c r="J130" i="8"/>
  <c r="H130" i="8"/>
  <c r="K129" i="8"/>
  <c r="J129" i="8"/>
  <c r="H129" i="8"/>
  <c r="B128" i="8"/>
  <c r="A128" i="8"/>
  <c r="K124" i="8"/>
  <c r="J124" i="8"/>
  <c r="H124" i="8"/>
  <c r="K123" i="8"/>
  <c r="H123" i="8"/>
  <c r="L123" i="8" s="1"/>
  <c r="K122" i="8"/>
  <c r="J122" i="8"/>
  <c r="H122" i="8"/>
  <c r="K121" i="8"/>
  <c r="J121" i="8"/>
  <c r="H121" i="8"/>
  <c r="B120" i="8"/>
  <c r="A120" i="8"/>
  <c r="A86" i="8"/>
  <c r="K82" i="8"/>
  <c r="J82" i="8"/>
  <c r="H82" i="8"/>
  <c r="K81" i="8"/>
  <c r="J81" i="8"/>
  <c r="H81" i="8"/>
  <c r="K80" i="8"/>
  <c r="J80" i="8"/>
  <c r="H80" i="8"/>
  <c r="K79" i="8"/>
  <c r="J79" i="8"/>
  <c r="H79" i="8"/>
  <c r="K78" i="8"/>
  <c r="J78" i="8"/>
  <c r="H78" i="8"/>
  <c r="K74" i="8"/>
  <c r="J74" i="8"/>
  <c r="H74" i="8"/>
  <c r="K73" i="8"/>
  <c r="J73" i="8"/>
  <c r="H73" i="8"/>
  <c r="K72" i="8"/>
  <c r="J72" i="8"/>
  <c r="H72" i="8"/>
  <c r="K71" i="8"/>
  <c r="J71" i="8"/>
  <c r="H71" i="8"/>
  <c r="K70" i="8"/>
  <c r="J70" i="8"/>
  <c r="H70" i="8"/>
  <c r="K68" i="8"/>
  <c r="J68" i="8"/>
  <c r="H68" i="8"/>
  <c r="K67" i="8"/>
  <c r="J67" i="8"/>
  <c r="H67" i="8"/>
  <c r="K66" i="8"/>
  <c r="J66" i="8"/>
  <c r="H66" i="8"/>
  <c r="K65" i="8"/>
  <c r="J65" i="8"/>
  <c r="H65" i="8"/>
  <c r="K64" i="8"/>
  <c r="J64" i="8"/>
  <c r="H64" i="8"/>
  <c r="K62" i="8"/>
  <c r="J62" i="8"/>
  <c r="H62" i="8"/>
  <c r="K61" i="8"/>
  <c r="J61" i="8"/>
  <c r="H61" i="8"/>
  <c r="K60" i="8"/>
  <c r="J60" i="8"/>
  <c r="H60" i="8"/>
  <c r="K59" i="8"/>
  <c r="J59" i="8"/>
  <c r="H59" i="8"/>
  <c r="K58" i="8"/>
  <c r="J58" i="8"/>
  <c r="H58" i="8"/>
  <c r="B56" i="8"/>
  <c r="A56" i="8"/>
  <c r="K52" i="8"/>
  <c r="J52" i="8"/>
  <c r="H52" i="8"/>
  <c r="K51" i="8"/>
  <c r="J51" i="8"/>
  <c r="H51" i="8"/>
  <c r="K49" i="8"/>
  <c r="J49" i="8"/>
  <c r="H49" i="8"/>
  <c r="K48" i="8"/>
  <c r="J48" i="8"/>
  <c r="H48" i="8"/>
  <c r="K47" i="8"/>
  <c r="J47" i="8"/>
  <c r="H47" i="8"/>
  <c r="K46" i="8"/>
  <c r="J46" i="8"/>
  <c r="K44" i="8"/>
  <c r="J44" i="8"/>
  <c r="H44" i="8"/>
  <c r="K43" i="8"/>
  <c r="J43" i="8"/>
  <c r="K42" i="8"/>
  <c r="J42" i="8"/>
  <c r="H42" i="8"/>
  <c r="K41" i="8"/>
  <c r="J41" i="8"/>
  <c r="H41" i="8"/>
  <c r="K40" i="8"/>
  <c r="J40" i="8"/>
  <c r="H40" i="8"/>
  <c r="B39" i="8"/>
  <c r="A39" i="8"/>
  <c r="K35" i="8"/>
  <c r="J35" i="8"/>
  <c r="H35" i="8"/>
  <c r="K34" i="8"/>
  <c r="J34" i="8"/>
  <c r="H34" i="8"/>
  <c r="K33" i="8"/>
  <c r="J33" i="8"/>
  <c r="H33" i="8"/>
  <c r="K32" i="8"/>
  <c r="J32" i="8"/>
  <c r="H32" i="8"/>
  <c r="K30" i="8"/>
  <c r="J30" i="8"/>
  <c r="H30" i="8"/>
  <c r="B29" i="8"/>
  <c r="A29" i="8"/>
  <c r="H23" i="8"/>
  <c r="J23" i="8" s="1"/>
  <c r="E22" i="8"/>
  <c r="E21" i="8"/>
  <c r="E20" i="8"/>
  <c r="E19" i="8"/>
  <c r="E15" i="8"/>
  <c r="E14" i="8"/>
  <c r="E13" i="8"/>
  <c r="E12" i="8"/>
  <c r="E11" i="8"/>
  <c r="E10" i="8"/>
  <c r="E9" i="8"/>
  <c r="E8" i="8"/>
  <c r="E7" i="8"/>
  <c r="E6" i="8"/>
  <c r="E5" i="8"/>
  <c r="E4" i="8"/>
  <c r="H185" i="8" l="1"/>
  <c r="H11" i="8" s="1"/>
  <c r="L134" i="8"/>
  <c r="H126" i="8"/>
  <c r="H8" i="8" s="1"/>
  <c r="J126" i="8"/>
  <c r="J8" i="8" s="1"/>
  <c r="H142" i="8"/>
  <c r="H9" i="8" s="1"/>
  <c r="L138" i="8"/>
  <c r="J142" i="8"/>
  <c r="J9" i="8" s="1"/>
  <c r="J7" i="8"/>
  <c r="H7" i="8"/>
  <c r="L30" i="8"/>
  <c r="L35" i="8"/>
  <c r="L48" i="8"/>
  <c r="L41" i="8"/>
  <c r="J202" i="8"/>
  <c r="J12" i="8" s="1"/>
  <c r="L47" i="8"/>
  <c r="L51" i="8"/>
  <c r="L121" i="8"/>
  <c r="L205" i="8"/>
  <c r="L208" i="8" s="1"/>
  <c r="L13" i="8" s="1"/>
  <c r="L61" i="8"/>
  <c r="L66" i="8"/>
  <c r="L71" i="8"/>
  <c r="L78" i="8"/>
  <c r="L81" i="8"/>
  <c r="L52" i="8"/>
  <c r="L139" i="8"/>
  <c r="H173" i="8"/>
  <c r="H10" i="8" s="1"/>
  <c r="H84" i="8"/>
  <c r="H6" i="8" s="1"/>
  <c r="L124" i="8"/>
  <c r="L135" i="8"/>
  <c r="L131" i="8"/>
  <c r="J173" i="8"/>
  <c r="J10" i="8" s="1"/>
  <c r="L34" i="8"/>
  <c r="L199" i="8"/>
  <c r="L43" i="8"/>
  <c r="L129" i="8"/>
  <c r="J84" i="8"/>
  <c r="J6" i="8" s="1"/>
  <c r="J221" i="8"/>
  <c r="J15" i="8" s="1"/>
  <c r="J54" i="8"/>
  <c r="J5" i="8" s="1"/>
  <c r="L40" i="8"/>
  <c r="L60" i="8"/>
  <c r="L70" i="8"/>
  <c r="L74" i="8"/>
  <c r="L80" i="8"/>
  <c r="L152" i="8"/>
  <c r="L156" i="8"/>
  <c r="L160" i="8"/>
  <c r="L164" i="8"/>
  <c r="L168" i="8"/>
  <c r="L197" i="8"/>
  <c r="L33" i="8"/>
  <c r="L65" i="8"/>
  <c r="L32" i="8"/>
  <c r="L130" i="8"/>
  <c r="J14" i="8"/>
  <c r="L59" i="8"/>
  <c r="L64" i="8"/>
  <c r="L68" i="8"/>
  <c r="L73" i="8"/>
  <c r="L79" i="8"/>
  <c r="L146" i="8"/>
  <c r="L151" i="8"/>
  <c r="L155" i="8"/>
  <c r="L159" i="8"/>
  <c r="L163" i="8"/>
  <c r="L167" i="8"/>
  <c r="L171" i="8"/>
  <c r="L195" i="8"/>
  <c r="L196" i="8"/>
  <c r="J37" i="8"/>
  <c r="J4" i="8" s="1"/>
  <c r="L42" i="8"/>
  <c r="L46" i="8"/>
  <c r="L122" i="8"/>
  <c r="L133" i="8"/>
  <c r="L49" i="8"/>
  <c r="L62" i="8"/>
  <c r="L67" i="8"/>
  <c r="L72" i="8"/>
  <c r="L82" i="8"/>
  <c r="L136" i="8"/>
  <c r="L145" i="8"/>
  <c r="L150" i="8"/>
  <c r="L154" i="8"/>
  <c r="L158" i="8"/>
  <c r="L162" i="8"/>
  <c r="L166" i="8"/>
  <c r="L170" i="8"/>
  <c r="L194" i="8"/>
  <c r="L200" i="8"/>
  <c r="L44" i="8"/>
  <c r="L132" i="8"/>
  <c r="L148" i="8"/>
  <c r="L153" i="8"/>
  <c r="L157" i="8"/>
  <c r="L161" i="8"/>
  <c r="L165" i="8"/>
  <c r="L169" i="8"/>
  <c r="L176" i="8"/>
  <c r="L185" i="8" s="1"/>
  <c r="L193" i="8"/>
  <c r="H54" i="8"/>
  <c r="H5" i="8" s="1"/>
  <c r="J11" i="8"/>
  <c r="L14" i="8"/>
  <c r="L58" i="8"/>
  <c r="H221" i="8"/>
  <c r="H15" i="8" s="1"/>
  <c r="H37" i="8"/>
  <c r="H4" i="8" s="1"/>
  <c r="L147" i="8"/>
  <c r="H202" i="8"/>
  <c r="H12" i="8" s="1"/>
  <c r="L11" i="8" l="1"/>
  <c r="L37" i="8"/>
  <c r="L4" i="8" s="1"/>
  <c r="L126" i="8"/>
  <c r="L8" i="8" s="1"/>
  <c r="L7" i="8"/>
  <c r="L54" i="8"/>
  <c r="L5" i="8" s="1"/>
  <c r="L221" i="8"/>
  <c r="L15" i="8" s="1"/>
  <c r="L202" i="8"/>
  <c r="L12" i="8" s="1"/>
  <c r="L142" i="8"/>
  <c r="L9" i="8" s="1"/>
  <c r="L84" i="8"/>
  <c r="L6" i="8" s="1"/>
  <c r="L173" i="8"/>
  <c r="L10" i="8" s="1"/>
  <c r="J16" i="8"/>
  <c r="J24" i="8" s="1"/>
  <c r="H16" i="8"/>
  <c r="H24" i="8" s="1"/>
  <c r="L16" i="8" l="1"/>
  <c r="L22" i="8" l="1"/>
  <c r="L23" i="8" s="1"/>
  <c r="C12" i="10"/>
  <c r="L24" i="8" l="1"/>
  <c r="C13" i="10"/>
  <c r="L25" i="8" l="1"/>
  <c r="C15" i="10" s="1"/>
  <c r="C14" i="10"/>
</calcChain>
</file>

<file path=xl/sharedStrings.xml><?xml version="1.0" encoding="utf-8"?>
<sst xmlns="http://schemas.openxmlformats.org/spreadsheetml/2006/main" count="1836" uniqueCount="468">
  <si>
    <t xml:space="preserve">                                             工 事 名 : </t>
    <phoneticPr fontId="2" type="noConversion"/>
  </si>
  <si>
    <t>간접공사비</t>
    <phoneticPr fontId="1" type="noConversion"/>
  </si>
  <si>
    <t>직접공사비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</si>
  <si>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</si>
  <si>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</si>
  <si>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</si>
  <si>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</si>
  <si>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</si>
  <si>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</si>
  <si>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</si>
  <si>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</si>
  <si>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</si>
  <si>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</si>
  <si>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M2</t>
  </si>
  <si>
    <t>Q'TY</t>
  </si>
  <si>
    <t>번호</t>
    <phoneticPr fontId="2" type="noConversion"/>
  </si>
  <si>
    <t>명칭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</si>
  <si>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</si>
  <si>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</si>
  <si>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</si>
  <si>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</si>
  <si>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</si>
  <si>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</si>
  <si>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</si>
  <si>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</si>
  <si>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</si>
  <si>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</si>
  <si>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</si>
  <si>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</si>
  <si>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</si>
  <si>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</si>
  <si>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</si>
  <si>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</si>
  <si>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</si>
  <si>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</si>
  <si>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</si>
  <si>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</si>
  <si>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기타 공사</t>
    <phoneticPr fontId="1" type="noConversion"/>
  </si>
  <si>
    <t>합계</t>
    <phoneticPr fontId="2" type="noConversion"/>
  </si>
  <si>
    <t>(단수정리)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</si>
  <si>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</si>
  <si>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</si>
  <si>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공사신고 및 동의서</t>
    <phoneticPr fontId="1" type="noConversion"/>
  </si>
  <si>
    <t>식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</si>
  <si>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</si>
  <si>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</si>
  <si>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</si>
  <si>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</si>
  <si>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</si>
  <si>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</si>
  <si>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</si>
  <si>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</si>
  <si>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</si>
  <si>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</si>
  <si>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거실주방 지정천장 철거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</si>
  <si>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</si>
  <si>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</si>
  <si>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</si>
  <si>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</si>
  <si>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</si>
  <si>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</si>
  <si>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</si>
  <si>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</si>
  <si>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</si>
  <si>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</si>
  <si>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</si>
  <si>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미장공사</t>
    <phoneticPr fontId="2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</si>
  <si>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</si>
  <si>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</si>
  <si>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</si>
  <si>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</si>
  <si>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</si>
  <si>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</si>
  <si>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</si>
  <si>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</si>
  <si>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</si>
  <si>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</si>
  <si>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</si>
  <si>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</si>
  <si>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</si>
  <si>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</si>
  <si>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</si>
  <si>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</si>
  <si>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</si>
  <si>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</si>
  <si>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</si>
  <si>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</si>
  <si>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</si>
  <si>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</si>
  <si>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</si>
  <si>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</si>
  <si>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</si>
  <si>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</si>
  <si>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</si>
  <si>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</si>
  <si>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</si>
  <si>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</si>
  <si>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</si>
  <si>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</si>
  <si>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</si>
  <si>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</si>
  <si>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</si>
  <si>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</si>
  <si>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</si>
  <si>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</si>
  <si>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</si>
  <si>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</si>
  <si>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</si>
  <si>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</si>
  <si>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</si>
  <si>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</si>
  <si>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</si>
  <si>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</si>
  <si>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</si>
  <si>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</si>
  <si>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</si>
  <si>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</si>
  <si>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</si>
  <si>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</si>
  <si>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</si>
  <si>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</si>
  <si>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</si>
  <si>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</si>
  <si>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</si>
  <si>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</si>
  <si>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</si>
  <si>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</si>
  <si>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</si>
  <si>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</si>
  <si>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</si>
  <si>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</si>
  <si>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</si>
  <si>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</si>
  <si>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</si>
  <si>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</si>
  <si>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</si>
  <si>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</si>
  <si>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</si>
  <si>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</si>
  <si>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</si>
  <si>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</si>
  <si>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</si>
  <si>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</si>
  <si>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</si>
  <si>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도배 자재</t>
    <phoneticPr fontId="2" type="noConversion"/>
  </si>
  <si>
    <t>천정,실크</t>
    <phoneticPr fontId="2" type="noConversion"/>
  </si>
  <si>
    <t>벽면,실크</t>
    <phoneticPr fontId="2" type="noConversion"/>
  </si>
  <si>
    <t>덧붙이기 시공</t>
    <phoneticPr fontId="1" type="noConversion"/>
  </si>
  <si>
    <t>현관 바닥</t>
    <phoneticPr fontId="140" type="noConversion"/>
  </si>
  <si>
    <t>600*600</t>
    <phoneticPr fontId="140" type="noConversion"/>
  </si>
  <si>
    <t>포세린</t>
    <phoneticPr fontId="1" type="noConversion"/>
  </si>
  <si>
    <t>발코니 및 세탁실 바닥</t>
    <phoneticPr fontId="140" type="noConversion"/>
  </si>
  <si>
    <t>300*300</t>
    <phoneticPr fontId="140" type="noConversion"/>
  </si>
  <si>
    <t>거실 욕실 바닥</t>
    <phoneticPr fontId="140" type="noConversion"/>
  </si>
  <si>
    <t>거실 욕실 벽</t>
    <phoneticPr fontId="140" type="noConversion"/>
  </si>
  <si>
    <t>안방 욕실 바닥</t>
    <phoneticPr fontId="140" type="noConversion"/>
  </si>
  <si>
    <t>안방 욕실 벽</t>
    <phoneticPr fontId="140" type="noConversion"/>
  </si>
  <si>
    <t>주방 벽</t>
    <phoneticPr fontId="140" type="noConversion"/>
  </si>
  <si>
    <t>타일부자재</t>
    <phoneticPr fontId="140" type="noConversion"/>
  </si>
  <si>
    <t>운송비</t>
    <phoneticPr fontId="140" type="noConversion"/>
  </si>
  <si>
    <t>시공비</t>
    <phoneticPr fontId="140" type="noConversion"/>
  </si>
  <si>
    <t>양변기</t>
    <phoneticPr fontId="140" type="noConversion"/>
  </si>
  <si>
    <t>세면대</t>
    <phoneticPr fontId="140" type="noConversion"/>
  </si>
  <si>
    <t>하부장형</t>
    <phoneticPr fontId="1" type="noConversion"/>
  </si>
  <si>
    <t>세면수전</t>
    <phoneticPr fontId="140" type="noConversion"/>
  </si>
  <si>
    <t>샤워수전</t>
    <phoneticPr fontId="140" type="noConversion"/>
  </si>
  <si>
    <t>샤워수전(수납형)</t>
    <phoneticPr fontId="140" type="noConversion"/>
  </si>
  <si>
    <t>슬라이딩바</t>
    <phoneticPr fontId="140" type="noConversion"/>
  </si>
  <si>
    <t>BP-4103</t>
    <phoneticPr fontId="1" type="noConversion"/>
  </si>
  <si>
    <t>욕실장</t>
    <phoneticPr fontId="140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</si>
  <si>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</si>
  <si>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</si>
  <si>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</si>
  <si>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40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</si>
  <si>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</si>
  <si>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</si>
  <si>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40" type="noConversion"/>
  </si>
  <si>
    <t>크롬,일체형</t>
    <phoneticPr fontId="1" type="noConversion"/>
  </si>
  <si>
    <t>샤워부스</t>
    <phoneticPr fontId="140" type="noConversion"/>
  </si>
  <si>
    <t>욕조</t>
    <phoneticPr fontId="140" type="noConversion"/>
  </si>
  <si>
    <t>아크릴 1700 BT1517(매립형)</t>
    <phoneticPr fontId="1" type="noConversion"/>
  </si>
  <si>
    <t>천정돔</t>
    <phoneticPr fontId="140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</si>
  <si>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</si>
  <si>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</si>
  <si>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</si>
  <si>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40" type="noConversion"/>
  </si>
  <si>
    <t>코너선반</t>
    <phoneticPr fontId="140" type="noConversion"/>
  </si>
  <si>
    <t>강화유리,타올 거치</t>
    <phoneticPr fontId="1" type="noConversion"/>
  </si>
  <si>
    <t>환풍기</t>
    <phoneticPr fontId="140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</si>
  <si>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</si>
  <si>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</si>
  <si>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</si>
  <si>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</si>
  <si>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</si>
  <si>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메인주방</t>
    <phoneticPr fontId="1" type="noConversion"/>
  </si>
  <si>
    <t>가전기기</t>
    <phoneticPr fontId="1" type="noConversion"/>
  </si>
  <si>
    <t>베스트3</t>
    <phoneticPr fontId="1" type="noConversion"/>
  </si>
  <si>
    <t>SET</t>
    <phoneticPr fontId="140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</si>
  <si>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</si>
  <si>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</si>
  <si>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</si>
  <si>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</si>
  <si>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</si>
  <si>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</si>
  <si>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</si>
  <si>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</si>
  <si>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</si>
  <si>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부자재</t>
    <phoneticPr fontId="2" type="noConversion"/>
  </si>
  <si>
    <t>자재비</t>
    <phoneticPr fontId="2" type="noConversion"/>
  </si>
  <si>
    <t>인건비</t>
    <phoneticPr fontId="2" type="noConversion"/>
  </si>
  <si>
    <t>직접 공사 내역서</t>
    <phoneticPr fontId="1" type="noConversion"/>
  </si>
  <si>
    <t>합 계</t>
    <phoneticPr fontId="1" type="noConversion"/>
  </si>
  <si>
    <t>A</t>
    <phoneticPr fontId="1" type="noConversion"/>
  </si>
  <si>
    <t>근재보험</t>
    <phoneticPr fontId="1" type="noConversion"/>
  </si>
  <si>
    <t>간접 공사 내역서</t>
    <phoneticPr fontId="1" type="noConversion"/>
  </si>
  <si>
    <t>(노무비) * 1.8%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</si>
  <si>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</si>
  <si>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</si>
  <si>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</si>
  <si>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기타경비</t>
    <phoneticPr fontId="1" type="noConversion"/>
  </si>
  <si>
    <t>(재료비+노무비) * 3%</t>
    <phoneticPr fontId="1" type="noConversion"/>
  </si>
  <si>
    <t>내역</t>
    <phoneticPr fontId="2" type="noConversion"/>
  </si>
  <si>
    <t>LIST</t>
    <phoneticPr fontId="1" type="noConversion"/>
  </si>
  <si>
    <t>SPEC</t>
    <phoneticPr fontId="2" type="noConversion"/>
  </si>
  <si>
    <t>일반관리비</t>
    <phoneticPr fontId="1" type="noConversion"/>
  </si>
  <si>
    <t>(재료비+노무비) * 2%</t>
    <phoneticPr fontId="1" type="noConversion"/>
  </si>
  <si>
    <t>기업이윤</t>
    <phoneticPr fontId="1" type="noConversion"/>
  </si>
  <si>
    <t>(직접 공사비) * 10%</t>
    <phoneticPr fontId="1" type="noConversion"/>
  </si>
  <si>
    <t>(직접공사비 + 간접공사비) 합 계</t>
    <phoneticPr fontId="1" type="noConversion"/>
  </si>
  <si>
    <t>견적기준</t>
    <phoneticPr fontId="2" type="noConversion"/>
  </si>
  <si>
    <t>✅</t>
    <phoneticPr fontId="1" type="noConversion"/>
  </si>
  <si>
    <t>010-9090-0484</t>
    <phoneticPr fontId="1" type="noConversion"/>
  </si>
  <si>
    <t>담당자 번호</t>
    <phoneticPr fontId="1" type="noConversion"/>
  </si>
  <si>
    <t>김진환 소장</t>
    <phoneticPr fontId="1" type="noConversion"/>
  </si>
  <si>
    <t>담당자 이름</t>
    <phoneticPr fontId="1" type="noConversion"/>
  </si>
  <si>
    <t>matchesinterior@naver.com</t>
    <phoneticPr fontId="1" type="noConversion"/>
  </si>
  <si>
    <t>주소</t>
    <phoneticPr fontId="1" type="noConversion"/>
  </si>
  <si>
    <t>강서구 등촌동 660-9</t>
    <phoneticPr fontId="1" type="noConversion"/>
  </si>
  <si>
    <t>02-6949-5994</t>
    <phoneticPr fontId="1" type="noConversion"/>
  </si>
  <si>
    <t>번호</t>
    <phoneticPr fontId="1" type="noConversion"/>
  </si>
  <si>
    <t>매치스인테리어</t>
    <phoneticPr fontId="1" type="noConversion"/>
  </si>
  <si>
    <t>회사명</t>
    <phoneticPr fontId="1" type="noConversion"/>
  </si>
  <si>
    <t>회사정보</t>
    <phoneticPr fontId="1" type="noConversion"/>
  </si>
  <si>
    <t>VAT제외(단수정리)</t>
    <phoneticPr fontId="1" type="noConversion"/>
  </si>
  <si>
    <t>총 견적금액</t>
    <phoneticPr fontId="1" type="noConversion"/>
  </si>
  <si>
    <t>견적금액</t>
    <phoneticPr fontId="1" type="noConversion"/>
  </si>
  <si>
    <t>착수 보증금</t>
    <phoneticPr fontId="1" type="noConversion"/>
  </si>
  <si>
    <t>착공 예정일</t>
    <phoneticPr fontId="1" type="noConversion"/>
  </si>
  <si>
    <t>견적서 제공일</t>
    <phoneticPr fontId="1" type="noConversion"/>
  </si>
  <si>
    <t>고객님 성함</t>
    <phoneticPr fontId="1" type="noConversion"/>
  </si>
  <si>
    <t>현장명</t>
    <phoneticPr fontId="1" type="noConversion"/>
  </si>
  <si>
    <t>현장정보</t>
    <phoneticPr fontId="1" type="noConversion"/>
  </si>
  <si>
    <t>2024.01.31</t>
    <phoneticPr fontId="1" type="noConversion"/>
  </si>
  <si>
    <t>조희재 고객님</t>
    <phoneticPr fontId="1" type="noConversion"/>
  </si>
  <si>
    <t>용두동 신동아 아파트 102동803호</t>
    <phoneticPr fontId="1" type="noConversion"/>
  </si>
  <si>
    <t>주방 천장 전체</t>
    <phoneticPr fontId="1" type="noConversion"/>
  </si>
  <si>
    <t>회</t>
    <phoneticPr fontId="1" type="noConversion"/>
  </si>
  <si>
    <t>라지에이터 철거</t>
    <phoneticPr fontId="2" type="noConversion"/>
  </si>
  <si>
    <t>수도이전</t>
    <phoneticPr fontId="2" type="noConversion"/>
  </si>
  <si>
    <t>4*8 4.5T</t>
    <phoneticPr fontId="1" type="noConversion"/>
  </si>
  <si>
    <t>현관 파티션</t>
    <phoneticPr fontId="1" type="noConversion"/>
  </si>
  <si>
    <t>천장공사</t>
    <phoneticPr fontId="1" type="noConversion"/>
  </si>
  <si>
    <t>주방천장 보강공사</t>
    <phoneticPr fontId="1" type="noConversion"/>
  </si>
  <si>
    <t>*도시가스 철거 별도</t>
    <phoneticPr fontId="1" type="noConversion"/>
  </si>
  <si>
    <t>제안</t>
    <phoneticPr fontId="1" type="noConversion"/>
  </si>
  <si>
    <t>신발장</t>
    <phoneticPr fontId="1" type="noConversion"/>
  </si>
  <si>
    <t>메트</t>
    <phoneticPr fontId="1" type="noConversion"/>
  </si>
  <si>
    <t>메트</t>
    <phoneticPr fontId="1" type="noConversion"/>
  </si>
  <si>
    <t>상,하부장,키큰장,상판</t>
    <phoneticPr fontId="1" type="noConversion"/>
  </si>
  <si>
    <t>주방 쿡탑</t>
    <phoneticPr fontId="2" type="noConversion"/>
  </si>
  <si>
    <t>바이오</t>
    <phoneticPr fontId="1" type="noConversion"/>
  </si>
  <si>
    <t>안방 내창</t>
    <phoneticPr fontId="1" type="noConversion"/>
  </si>
  <si>
    <t>안방 발코니창</t>
    <phoneticPr fontId="1" type="noConversion"/>
  </si>
  <si>
    <t>사다리</t>
    <phoneticPr fontId="1" type="noConversion"/>
  </si>
  <si>
    <t>자재 양중</t>
    <phoneticPr fontId="1" type="noConversion"/>
  </si>
  <si>
    <t>샤시측면 보강대</t>
    <phoneticPr fontId="1" type="noConversion"/>
  </si>
  <si>
    <t>통바</t>
    <phoneticPr fontId="1" type="noConversion"/>
  </si>
  <si>
    <t>반장</t>
    <phoneticPr fontId="1" type="noConversion"/>
  </si>
  <si>
    <t>기공</t>
    <phoneticPr fontId="1" type="noConversion"/>
  </si>
  <si>
    <t>단독전기</t>
    <phoneticPr fontId="1" type="noConversion"/>
  </si>
  <si>
    <t>도장</t>
    <phoneticPr fontId="2" type="noConversion"/>
  </si>
  <si>
    <t>도어작업</t>
    <phoneticPr fontId="1" type="noConversion"/>
  </si>
  <si>
    <t>메지</t>
    <phoneticPr fontId="1" type="noConversion"/>
  </si>
  <si>
    <t>메지</t>
    <phoneticPr fontId="1" type="noConversion"/>
  </si>
  <si>
    <t>바닥 공사</t>
    <phoneticPr fontId="1" type="noConversion"/>
  </si>
  <si>
    <t>후드</t>
    <phoneticPr fontId="1" type="noConversion"/>
  </si>
  <si>
    <t>초도금 400</t>
    <phoneticPr fontId="1" type="noConversion"/>
  </si>
  <si>
    <t>투피스 양변기</t>
    <phoneticPr fontId="1" type="noConversion"/>
  </si>
  <si>
    <t>평면붙임 일체형</t>
    <phoneticPr fontId="1" type="noConversion"/>
  </si>
  <si>
    <t>원홀 bp-f3010</t>
    <phoneticPr fontId="1" type="noConversion"/>
  </si>
  <si>
    <t>대림</t>
    <phoneticPr fontId="1" type="noConversion"/>
  </si>
  <si>
    <t>샤워겸용bp-f3016</t>
    <phoneticPr fontId="1" type="noConversion"/>
  </si>
  <si>
    <t>Bp-f3013</t>
    <phoneticPr fontId="1" type="noConversion"/>
  </si>
  <si>
    <t>Bp-r9010</t>
    <phoneticPr fontId="1" type="noConversion"/>
  </si>
  <si>
    <t>행위허가 신청</t>
    <phoneticPr fontId="1" type="noConversion"/>
  </si>
  <si>
    <t>방화판 포함</t>
    <phoneticPr fontId="1" type="noConversion"/>
  </si>
  <si>
    <t>강마루</t>
    <phoneticPr fontId="2" type="noConversion"/>
  </si>
  <si>
    <t>동화</t>
    <phoneticPr fontId="1" type="noConversion"/>
  </si>
  <si>
    <t>1470*1180(2중창)</t>
    <phoneticPr fontId="1" type="noConversion"/>
  </si>
  <si>
    <t>방범창</t>
    <phoneticPr fontId="1" type="noConversion"/>
  </si>
  <si>
    <t>입구방내창(우)</t>
    <phoneticPr fontId="1" type="noConversion"/>
  </si>
  <si>
    <t>입구방내창(좌)</t>
    <phoneticPr fontId="1" type="noConversion"/>
  </si>
  <si>
    <t>1480*1190(2중창)</t>
    <phoneticPr fontId="1" type="noConversion"/>
  </si>
  <si>
    <t>거실외창</t>
    <phoneticPr fontId="1" type="noConversion"/>
  </si>
  <si>
    <t>2574*2310(2중창)</t>
    <phoneticPr fontId="1" type="noConversion"/>
  </si>
  <si>
    <t>2100*1860(단창,공틀일체)</t>
    <phoneticPr fontId="1" type="noConversion"/>
  </si>
  <si>
    <t>베스트S</t>
    <phoneticPr fontId="1" type="noConversion"/>
  </si>
  <si>
    <t>베스트3 /베스트S 24T기준(백색)</t>
    <phoneticPr fontId="1" type="noConversion"/>
  </si>
  <si>
    <t>2470*2320(단창)</t>
    <phoneticPr fontId="1" type="noConversion"/>
  </si>
  <si>
    <t>TD140</t>
    <phoneticPr fontId="1" type="noConversion"/>
  </si>
  <si>
    <t>900*2100</t>
    <phoneticPr fontId="1" type="noConversion"/>
  </si>
  <si>
    <t>아일랜드</t>
    <phoneticPr fontId="1" type="noConversion"/>
  </si>
  <si>
    <t>거실창고</t>
    <phoneticPr fontId="1" type="noConversion"/>
  </si>
  <si>
    <t>공틀장</t>
    <phoneticPr fontId="1" type="noConversion"/>
  </si>
  <si>
    <t>시스템에어컨</t>
    <phoneticPr fontId="2" type="noConversion"/>
  </si>
  <si>
    <t>*실외기 협의</t>
    <phoneticPr fontId="2" type="noConversion"/>
  </si>
  <si>
    <t>주문제작</t>
    <phoneticPr fontId="1" type="noConversion"/>
  </si>
  <si>
    <t>힘펠</t>
    <phoneticPr fontId="1" type="noConversion"/>
  </si>
  <si>
    <t>LG</t>
    <phoneticPr fontId="1" type="noConversion"/>
  </si>
  <si>
    <t>3연동 슬림</t>
    <phoneticPr fontId="1" type="noConversion"/>
  </si>
  <si>
    <t>저가</t>
    <phoneticPr fontId="1" type="noConversion"/>
  </si>
  <si>
    <t>강화마루</t>
    <phoneticPr fontId="1" type="noConversion"/>
  </si>
  <si>
    <t>확장부위 및 욕실</t>
    <phoneticPr fontId="1" type="noConversion"/>
  </si>
  <si>
    <t>욕실 수도(연장연결)</t>
    <phoneticPr fontId="1" type="noConversion"/>
  </si>
  <si>
    <t>삼성</t>
    <phoneticPr fontId="1" type="noConversion"/>
  </si>
  <si>
    <t xml:space="preserve">600*300 </t>
    <phoneticPr fontId="140" type="noConversion"/>
  </si>
  <si>
    <t>요청</t>
    <phoneticPr fontId="1" type="noConversion"/>
  </si>
  <si>
    <t>나투스진 JG2011</t>
    <phoneticPr fontId="1" type="noConversion"/>
  </si>
  <si>
    <t>*걸레받이 50전이하</t>
    <phoneticPr fontId="2" type="noConversion"/>
  </si>
  <si>
    <t>LG</t>
    <phoneticPr fontId="1" type="noConversion"/>
  </si>
  <si>
    <t>2번작업</t>
    <phoneticPr fontId="1" type="noConversion"/>
  </si>
  <si>
    <t>절수페달</t>
    <phoneticPr fontId="1" type="noConversion"/>
  </si>
  <si>
    <t>하츠</t>
    <phoneticPr fontId="1" type="noConversion"/>
  </si>
  <si>
    <t>사각개수대.수전</t>
    <phoneticPr fontId="1" type="noConversion"/>
  </si>
  <si>
    <t>백조</t>
    <phoneticPr fontId="1" type="noConversion"/>
  </si>
  <si>
    <t>*관리소 요청으로 장비비 별도산정</t>
    <phoneticPr fontId="1" type="noConversion"/>
  </si>
  <si>
    <t>방화유리</t>
    <phoneticPr fontId="1" type="noConversion"/>
  </si>
  <si>
    <t>젠자이 작업</t>
    <phoneticPr fontId="140" type="noConversion"/>
  </si>
  <si>
    <t xml:space="preserve">압착,백시멘트,세라픽스 </t>
    <phoneticPr fontId="1" type="noConversion"/>
  </si>
  <si>
    <t>욕실 벽면 젠다이 선반작업(w600)</t>
    <phoneticPr fontId="1" type="noConversion"/>
  </si>
  <si>
    <t>*젠다이 선반 타일 마감</t>
    <phoneticPr fontId="2" type="noConversion"/>
  </si>
  <si>
    <t>LED 엣지등 640*640</t>
    <phoneticPr fontId="2" type="noConversion"/>
  </si>
  <si>
    <t>LED 엣지등 1285*180</t>
    <phoneticPr fontId="2" type="noConversion"/>
  </si>
  <si>
    <t xml:space="preserve">LED 엣지등 </t>
    <phoneticPr fontId="2" type="noConversion"/>
  </si>
  <si>
    <t>LED T5(욕실장)</t>
    <phoneticPr fontId="2" type="noConversion"/>
  </si>
  <si>
    <t>주백색</t>
    <phoneticPr fontId="1" type="noConversion"/>
  </si>
  <si>
    <t>주백색</t>
    <phoneticPr fontId="1" type="noConversion"/>
  </si>
  <si>
    <t>주광색</t>
    <phoneticPr fontId="1" type="noConversion"/>
  </si>
  <si>
    <t>게이트맨</t>
    <phoneticPr fontId="1" type="noConversion"/>
  </si>
  <si>
    <t>터치식(레버형,무선 리모콘)</t>
    <phoneticPr fontId="2" type="noConversion"/>
  </si>
  <si>
    <t>*7111-01,천장 무펄</t>
    <phoneticPr fontId="2" type="noConversion"/>
  </si>
  <si>
    <t>LED T5(싱크대개수대상부장)터치식</t>
    <phoneticPr fontId="2" type="noConversion"/>
  </si>
  <si>
    <t>A2100(컵,비누대 제외)</t>
    <phoneticPr fontId="1" type="noConversion"/>
  </si>
  <si>
    <t>lf100</t>
    <phoneticPr fontId="1" type="noConversion"/>
  </si>
  <si>
    <t>충전코드,중앙 키수납</t>
    <phoneticPr fontId="1" type="noConversion"/>
  </si>
  <si>
    <t>슬라이딩 콘센트</t>
    <phoneticPr fontId="1" type="noConversion"/>
  </si>
  <si>
    <t xml:space="preserve">LED 펜던트(확장부위) </t>
    <phoneticPr fontId="2" type="noConversion"/>
  </si>
  <si>
    <t>필름공사</t>
    <phoneticPr fontId="2" type="noConversion"/>
  </si>
  <si>
    <t>단열이</t>
    <phoneticPr fontId="1" type="noConversion"/>
  </si>
  <si>
    <t>부자재,앵글작업</t>
    <phoneticPr fontId="2" type="noConversion"/>
  </si>
  <si>
    <t>고밀도</t>
    <phoneticPr fontId="1" type="noConversion"/>
  </si>
  <si>
    <t>방화문</t>
    <phoneticPr fontId="1" type="noConversion"/>
  </si>
  <si>
    <t>붙박이장</t>
    <phoneticPr fontId="1" type="noConversion"/>
  </si>
  <si>
    <t>젠다이 작업</t>
    <phoneticPr fontId="140" type="noConversion"/>
  </si>
  <si>
    <t>화장실 난방</t>
    <phoneticPr fontId="1" type="noConversion"/>
  </si>
  <si>
    <t>바닥난방</t>
    <phoneticPr fontId="1" type="noConversion"/>
  </si>
  <si>
    <t xml:space="preserve"> 슬라이딩 콘센트</t>
    <phoneticPr fontId="1" type="noConversion"/>
  </si>
  <si>
    <t>붙박이</t>
    <phoneticPr fontId="1" type="noConversion"/>
  </si>
  <si>
    <t>LX</t>
    <phoneticPr fontId="1" type="noConversion"/>
  </si>
  <si>
    <t>바이오2</t>
    <phoneticPr fontId="1" type="noConversion"/>
  </si>
  <si>
    <t>실링작업</t>
    <phoneticPr fontId="2" type="noConversion"/>
  </si>
  <si>
    <t>개스킷 포함</t>
    <phoneticPr fontId="1" type="noConversion"/>
  </si>
  <si>
    <t>휴젠트</t>
    <phoneticPr fontId="1" type="noConversion"/>
  </si>
  <si>
    <t>LED 직부등(플랍)</t>
    <phoneticPr fontId="2" type="noConversion"/>
  </si>
  <si>
    <t>신규 교체(순백색)</t>
    <phoneticPr fontId="2" type="noConversion"/>
  </si>
  <si>
    <t>PC 9023</t>
    <phoneticPr fontId="1" type="noConversion"/>
  </si>
  <si>
    <t>슬라이딩 거울장(거실)</t>
    <phoneticPr fontId="1" type="noConversion"/>
  </si>
  <si>
    <t>온품기 겸용(거실)</t>
    <phoneticPr fontId="1" type="noConversion"/>
  </si>
  <si>
    <t>PL BP3013</t>
    <phoneticPr fontId="1" type="noConversion"/>
  </si>
  <si>
    <t>욕실</t>
    <phoneticPr fontId="1" type="noConversion"/>
  </si>
  <si>
    <t>실링팬</t>
    <phoneticPr fontId="2" type="noConversion"/>
  </si>
  <si>
    <t>현관직부등</t>
    <phoneticPr fontId="2" type="noConversion"/>
  </si>
  <si>
    <t>아트2</t>
    <phoneticPr fontId="1" type="noConversion"/>
  </si>
  <si>
    <t xml:space="preserve"> PL 1030</t>
    <phoneticPr fontId="1" type="noConversion"/>
  </si>
  <si>
    <t>*확장시 소방법에 의거 대피소 필요시 추가 산정될수 있음</t>
    <phoneticPr fontId="1" type="noConversion"/>
  </si>
  <si>
    <t>옷장</t>
    <phoneticPr fontId="1" type="noConversion"/>
  </si>
  <si>
    <t>지정</t>
    <phoneticPr fontId="1" type="noConversion"/>
  </si>
  <si>
    <t>기본</t>
    <phoneticPr fontId="1" type="noConversion"/>
  </si>
  <si>
    <t>전체세트</t>
    <phoneticPr fontId="1" type="noConversion"/>
  </si>
  <si>
    <t>창고 및 방화문외 지정부위</t>
    <phoneticPr fontId="1" type="noConversion"/>
  </si>
  <si>
    <t xml:space="preserve">확장부위 </t>
    <phoneticPr fontId="1" type="noConversion"/>
  </si>
  <si>
    <t>거실천장 보강공사(우물천장)</t>
    <phoneticPr fontId="1" type="noConversion"/>
  </si>
  <si>
    <t>바닥샌딩</t>
    <phoneticPr fontId="2" type="noConversion"/>
  </si>
  <si>
    <t xml:space="preserve">전체 </t>
    <phoneticPr fontId="2" type="noConversion"/>
  </si>
  <si>
    <t>입구확장방</t>
    <phoneticPr fontId="1" type="noConversion"/>
  </si>
  <si>
    <t>1708*1200(2중창,단면로이)</t>
    <phoneticPr fontId="1" type="noConversion"/>
  </si>
  <si>
    <t>FIX</t>
    <phoneticPr fontId="1" type="noConversion"/>
  </si>
  <si>
    <t>1086*1200(단창,단면로이,미스트)</t>
    <phoneticPr fontId="1" type="noConversion"/>
  </si>
  <si>
    <t>408*1200(고정,단면로이,미스트)</t>
    <phoneticPr fontId="1" type="noConversion"/>
  </si>
  <si>
    <t>거실확장</t>
    <phoneticPr fontId="1" type="noConversion"/>
  </si>
  <si>
    <t>4640*2280(2중창,단면로이)</t>
    <phoneticPr fontId="1" type="noConversion"/>
  </si>
  <si>
    <t>거실발코니 터닝도어</t>
    <phoneticPr fontId="1" type="noConversion"/>
  </si>
  <si>
    <t>850*2050</t>
    <phoneticPr fontId="1" type="noConversion"/>
  </si>
  <si>
    <t>주방창</t>
    <phoneticPr fontId="1" type="noConversion"/>
  </si>
  <si>
    <t>1200*500(2중창,단면로이)</t>
    <phoneticPr fontId="1" type="noConversion"/>
  </si>
  <si>
    <t>주방 발코니 터닝도어</t>
    <phoneticPr fontId="1" type="noConversion"/>
  </si>
  <si>
    <t>안방창</t>
    <phoneticPr fontId="1" type="noConversion"/>
  </si>
  <si>
    <t>2971*1798(단창,공틀일체형)</t>
    <phoneticPr fontId="1" type="noConversion"/>
  </si>
  <si>
    <t>230W</t>
    <phoneticPr fontId="1" type="noConversion"/>
  </si>
  <si>
    <t>BS250</t>
    <phoneticPr fontId="1" type="noConversion"/>
  </si>
  <si>
    <t>2971*1798(2중창)</t>
    <phoneticPr fontId="1" type="noConversion"/>
  </si>
  <si>
    <t>안방발코니창</t>
    <phoneticPr fontId="1" type="noConversion"/>
  </si>
  <si>
    <t>3909*1190(단창,단면로이)</t>
    <phoneticPr fontId="1" type="noConversion"/>
  </si>
  <si>
    <t>건너방창</t>
    <phoneticPr fontId="1" type="noConversion"/>
  </si>
  <si>
    <t>1500*1200(단창,공틀일체형)</t>
    <phoneticPr fontId="1" type="noConversion"/>
  </si>
  <si>
    <t>1500*1200(2중창)</t>
    <phoneticPr fontId="1" type="noConversion"/>
  </si>
  <si>
    <t>건너방 발코니창</t>
    <phoneticPr fontId="1" type="noConversion"/>
  </si>
  <si>
    <t>2000*1200</t>
    <phoneticPr fontId="1" type="noConversion"/>
  </si>
  <si>
    <t>창고장</t>
    <phoneticPr fontId="1" type="noConversion"/>
  </si>
  <si>
    <t>발코니 하부수납</t>
    <phoneticPr fontId="1" type="noConversion"/>
  </si>
  <si>
    <t xml:space="preserve"> 부속 (레버일부포함)및 통바</t>
    <phoneticPr fontId="1" type="noConversion"/>
  </si>
  <si>
    <t xml:space="preserve"> 전체3단</t>
    <phoneticPr fontId="1" type="noConversion"/>
  </si>
  <si>
    <t>전체 철거 (덧방)</t>
    <phoneticPr fontId="2" type="noConversion"/>
  </si>
  <si>
    <t>전체 철거 (일반)</t>
    <phoneticPr fontId="2" type="noConversion"/>
  </si>
  <si>
    <t>거실</t>
    <phoneticPr fontId="2" type="noConversion"/>
  </si>
  <si>
    <t>방</t>
    <phoneticPr fontId="2" type="noConversion"/>
  </si>
  <si>
    <t>삼면유리장</t>
    <phoneticPr fontId="1" type="noConversion"/>
  </si>
  <si>
    <t>보조주방</t>
    <phoneticPr fontId="1" type="noConversion"/>
  </si>
  <si>
    <t xml:space="preserve"> 공틀장</t>
    <phoneticPr fontId="1" type="noConversion"/>
  </si>
  <si>
    <t xml:space="preserve"> 하부장</t>
    <phoneticPr fontId="1" type="noConversion"/>
  </si>
  <si>
    <t>전실 하부장</t>
    <phoneticPr fontId="1" type="noConversion"/>
  </si>
  <si>
    <t>주방</t>
    <phoneticPr fontId="1" type="noConversion"/>
  </si>
  <si>
    <t>1차 몰탈, 2차 마페이</t>
    <phoneticPr fontId="1" type="noConversion"/>
  </si>
  <si>
    <t>LED 팬던트</t>
    <phoneticPr fontId="2" type="noConversion"/>
  </si>
  <si>
    <t>식세기, 쿡탑</t>
    <phoneticPr fontId="2" type="noConversion"/>
  </si>
  <si>
    <t>600*600</t>
    <phoneticPr fontId="140" type="noConversion"/>
  </si>
  <si>
    <t>무지주선반</t>
    <phoneticPr fontId="1" type="noConversion"/>
  </si>
  <si>
    <t>우드(주방 상부)</t>
    <phoneticPr fontId="1" type="noConversion"/>
  </si>
  <si>
    <t>EA</t>
    <phoneticPr fontId="1" type="noConversion"/>
  </si>
  <si>
    <t>AL980 1)  AL970 2)</t>
    <phoneticPr fontId="1" type="noConversion"/>
  </si>
  <si>
    <t>외도어 스윙도어(백색)</t>
    <phoneticPr fontId="1" type="noConversion"/>
  </si>
  <si>
    <t>민무늬(소프트화이트)</t>
    <phoneticPr fontId="1" type="noConversion"/>
  </si>
  <si>
    <t>예림</t>
    <phoneticPr fontId="1" type="noConversion"/>
  </si>
  <si>
    <t>LED T5(천장,신발장)</t>
    <phoneticPr fontId="2" type="noConversion"/>
  </si>
  <si>
    <r>
      <t>BP-4101</t>
    </r>
    <r>
      <rPr>
        <sz val="10"/>
        <color rgb="FFFF0000"/>
        <rFont val="맑은 고딕"/>
        <family val="3"/>
        <charset val="129"/>
        <scheme val="major"/>
      </rPr>
      <t>(확인)</t>
    </r>
    <phoneticPr fontId="1" type="noConversion"/>
  </si>
  <si>
    <t>크롬,일체형(전체 불투명 유리)</t>
    <phoneticPr fontId="1" type="noConversion"/>
  </si>
  <si>
    <t>BP3000(컵,비누대 제외,거실)</t>
    <phoneticPr fontId="1" type="noConversion"/>
  </si>
  <si>
    <t>창문하부 2단</t>
    <phoneticPr fontId="1" type="noConversion"/>
  </si>
  <si>
    <t>마루</t>
    <phoneticPr fontId="2" type="noConversion"/>
  </si>
  <si>
    <t>LG</t>
    <phoneticPr fontId="1" type="noConversion"/>
  </si>
  <si>
    <t>상,하부장,상판</t>
    <phoneticPr fontId="1" type="noConversion"/>
  </si>
  <si>
    <t>무소음 사각개수대.(엠보X)</t>
    <phoneticPr fontId="1" type="noConversion"/>
  </si>
  <si>
    <t>거위목 수전</t>
    <phoneticPr fontId="1" type="noConversion"/>
  </si>
  <si>
    <t>후드(일체형)(인출X)</t>
    <phoneticPr fontId="1" type="noConversion"/>
  </si>
  <si>
    <t xml:space="preserve"> 냉장고장(상부플랩300)</t>
    <phoneticPr fontId="1" type="noConversion"/>
  </si>
  <si>
    <t>키큰장(오븐)인출X</t>
    <phoneticPr fontId="1" type="noConversion"/>
  </si>
  <si>
    <t>동화마루</t>
    <phoneticPr fontId="1" type="noConversion"/>
  </si>
  <si>
    <t>파사트</t>
    <phoneticPr fontId="1" type="noConversion"/>
  </si>
  <si>
    <t>파사트</t>
    <phoneticPr fontId="1" type="noConversion"/>
  </si>
  <si>
    <t xml:space="preserve"> 12자(기본,거울)</t>
    <phoneticPr fontId="1" type="noConversion"/>
  </si>
  <si>
    <t>무소음 사각개수대.(엠보X)</t>
    <phoneticPr fontId="1" type="noConversion"/>
  </si>
  <si>
    <t>jg2012</t>
    <phoneticPr fontId="1" type="noConversion"/>
  </si>
  <si>
    <t>2010-1(파사드)/천정 무펄 엠보 소</t>
    <phoneticPr fontId="1" type="noConversion"/>
  </si>
  <si>
    <t>그란데 이모션 블랑</t>
    <phoneticPr fontId="1" type="noConversion"/>
  </si>
  <si>
    <t>*걸레받이 50전이하(백색)/30전 선택시 요청/걸레받이 크림색(확인)</t>
    <phoneticPr fontId="2" type="noConversion"/>
  </si>
  <si>
    <t>도브 화이트(무광)</t>
    <phoneticPr fontId="1" type="noConversion"/>
  </si>
  <si>
    <t>확정</t>
    <phoneticPr fontId="1" type="noConversion"/>
  </si>
  <si>
    <t>화이트코코넛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</si>
</sst>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%"/>
    <numFmt numFmtId="177" formatCode="_ &quot;₩&quot;* #,##0_ ;_ &quot;₩&quot;* \-#,##0_ ;_ &quot;₩&quot;* &quot;-&quot;_ ;_ @_ "/>
    <numFmt numFmtId="178" formatCode="\ "/>
    <numFmt numFmtId="179" formatCode="0_ "/>
    <numFmt numFmtId="180" formatCode="&quot;113-&quot;@"/>
    <numFmt numFmtId="181" formatCode="&quot;?#,##0.00;[Red]\-&quot;&quot;?&quot;#,##0.00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#,##0_);[Red]\(#,##0\)"/>
    <numFmt numFmtId="186" formatCode="&quot;D&quot;###&quot; X &quot;##&quot;m&quot;"/>
    <numFmt numFmtId="187" formatCode="&quot;₩&quot;#,##0;&quot;₩&quot;\-#,##0"/>
    <numFmt numFmtId="188" formatCode="mm&quot;월&quot;\ dd&quot;일&quot;"/>
    <numFmt numFmtId="189" formatCode="?/?#"/>
    <numFmt numFmtId="190" formatCode="_(&quot;$&quot;* #,##0_);_(&quot;$&quot;* \(#,##0\);_(&quot;$&quot;* &quot;-&quot;_);_(@_)"/>
    <numFmt numFmtId="191" formatCode="#,##0;[Red]&quot;-&quot;#,##0"/>
    <numFmt numFmtId="192" formatCode="&quot;PG1130&quot;@&quot;01&quot;"/>
    <numFmt numFmtId="193" formatCode="yyyy/m/d"/>
    <numFmt numFmtId="194" formatCode="#,##0;&quot;-&quot;#,##0"/>
    <numFmt numFmtId="195" formatCode="&quot;₩&quot;#,##0;[Red]&quot;₩&quot;\!\-&quot;₩&quot;#,##0"/>
    <numFmt numFmtId="196" formatCode="\$#,##0.0000_);\(\$#,##0.0000\)"/>
    <numFmt numFmtId="197" formatCode="#,##0.000"/>
    <numFmt numFmtId="198" formatCode="_ * #\!\,##0_ ;_ * &quot;₩&quot;\!\-#\!\,##0_ ;_ * &quot;-&quot;_ ;_ @_ "/>
    <numFmt numFmtId="199" formatCode="_-* #,##0_-;&quot;₩&quot;\!\-* #,##0_-;_-* &quot;-&quot;_-;_-@_-"/>
    <numFmt numFmtId="200" formatCode="_ * #,##0.00_ ;_ * &quot;₩&quot;\!\-#,##0.00_ ;_ * &quot;-&quot;??_ ;_ @_ "/>
    <numFmt numFmtId="201" formatCode="#,##0\ ;[Red]&quot;-&quot;#,##0\ "/>
    <numFmt numFmtId="202" formatCode="* #,##0\ ;[Red]* &quot;-&quot;#,##0\ "/>
    <numFmt numFmtId="203" formatCode="_-* #,##0.000_-;\-* #,##0.000_-;_-* &quot;-&quot;_-;_-@_-"/>
    <numFmt numFmtId="204" formatCode="#,##0.####;[Red]&quot;-&quot;#,##0.####"/>
    <numFmt numFmtId="205" formatCode="0.0"/>
    <numFmt numFmtId="206" formatCode="&quot;₩&quot;#,##0.00;[Red]&quot;₩&quot;&quot;₩&quot;\!\-#,##0.00"/>
    <numFmt numFmtId="207" formatCode="&quot;₩&quot;#,##0;[Red]&quot;₩&quot;&quot;₩&quot;\!\-#,##0"/>
    <numFmt numFmtId="208" formatCode="_-&quot;$&quot;* #,##0_-;\-&quot;$&quot;* #,##0_-;_-&quot;$&quot;* &quot;-&quot;_-;_-@_-"/>
    <numFmt numFmtId="209" formatCode="_-&quot;$&quot;* #,##0.00_-;\-&quot;$&quot;* #,##0.00_-;_-&quot;$&quot;* &quot;-&quot;??_-;_-@_-"/>
    <numFmt numFmtId="210" formatCode="_ &quot;$&quot;* #,##0_ ;_ &quot;$&quot;* \-#,##0_ ;_ &quot;$&quot;* &quot;-&quot;_ ;_ @_ "/>
    <numFmt numFmtId="211" formatCode="_ &quot;￥&quot;* #,##0.00_ ;_ &quot;￥&quot;* &quot;₩&quot;\!\-#,##0.00_ ;_ &quot;￥&quot;* &quot;-&quot;??_ ;_ @_ "/>
    <numFmt numFmtId="212" formatCode="0%\ "/>
    <numFmt numFmtId="213" formatCode="#,##0.00;[Red]&quot;-&quot;#,##0.00"/>
    <numFmt numFmtId="214" formatCode="_ * #,##0_ ;_ * &quot;₩&quot;\!\-#,##0_ ;_ * &quot;-&quot;_ ;_ @_ "/>
    <numFmt numFmtId="215" formatCode="##,##0.0"/>
    <numFmt numFmtId="216" formatCode="_-* #,##0.00_-;&quot;₩&quot;\!\-* #,##0.00_-;_-* &quot;-&quot;??_-;_-@_-"/>
    <numFmt numFmtId="217" formatCode="&quot;#0.0&quot;"/>
    <numFmt numFmtId="218" formatCode="_ &quot;₩&quot;* #,##0.00_ ;_ &quot;₩&quot;* &quot;₩&quot;&quot;₩&quot;&quot;₩&quot;&quot;₩&quot;&quot;₩&quot;&quot;₩&quot;&quot;₩&quot;\-#,##0.00_ ;_ &quot;₩&quot;* &quot;-&quot;??_ ;_ @_ "/>
    <numFmt numFmtId="219" formatCode="#,##0\ \ \ "/>
    <numFmt numFmtId="220" formatCode="#,##0&quot;₩&quot;\!\ &quot;₩&quot;\!\ &quot;₩&quot;\!\ "/>
    <numFmt numFmtId="221" formatCode="_ &quot;₩&quot;* #,##0_ ;_ &quot;₩&quot;* &quot;₩&quot;\!\-#,##0_ ;_ &quot;₩&quot;* &quot;-&quot;_ ;_ @_ "/>
    <numFmt numFmtId="222" formatCode="&quot;₩&quot;\!\(#,###&quot;₩&quot;\!\);&quot;₩&quot;\!\(&quot;₩&quot;\!\-#,##0&quot;₩&quot;\!\)"/>
    <numFmt numFmtId="223" formatCode="_-&quot;₩&quot;* #,##0_-;&quot;₩&quot;\!\-&quot;₩&quot;* #,##0_-;_-&quot;₩&quot;* &quot;-&quot;_-;_-@_-"/>
    <numFmt numFmtId="224" formatCode="&quot;$&quot;#,##0"/>
    <numFmt numFmtId="225" formatCode="&quot;₩&quot;#,##0;&quot;₩&quot;&quot;₩&quot;&quot;₩&quot;&quot;₩&quot;&quot;₩&quot;&quot;₩&quot;&quot;₩&quot;&quot;₩&quot;&quot;₩&quot;\-#,##0"/>
    <numFmt numFmtId="226" formatCode="d/mm/yy&quot;₩&quot;\!\ h:mm"/>
    <numFmt numFmtId="227" formatCode="d/mm/yy\ h:mm"/>
    <numFmt numFmtId="228" formatCode="h&quot;¨oA&quot;mm&quot;¨￢¨￠&quot;ss&quot;AE&quot;"/>
    <numFmt numFmtId="229" formatCode="&quot;₩&quot;\!\r&quot;₩&quot;\!\-m&quot;₩&quot;\!\-d"/>
    <numFmt numFmtId="230" formatCode="_ &quot;₩&quot;* #,##0.00_ ;_ &quot;₩&quot;* &quot;₩&quot;\!\-#,##0.00_ ;_ &quot;₩&quot;* &quot;-&quot;??_ ;_ @_ "/>
    <numFmt numFmtId="231" formatCode="&quot;₩&quot;\!\$#,##0&quot;₩&quot;\!\ "/>
    <numFmt numFmtId="232" formatCode="_-&quot;₩&quot;* #,##0.00_-;&quot;₩&quot;\!\-&quot;₩&quot;* #,##0.00_-;_-&quot;₩&quot;* &quot;-&quot;??_-;_-@_-"/>
    <numFmt numFmtId="233" formatCode="&quot;₩&quot;\!\(#,##0&quot;₩&quot;\!\)"/>
    <numFmt numFmtId="234" formatCode="\(#,##0\)"/>
    <numFmt numFmtId="235" formatCode="_(&quot;$&quot;* #,##0.00_);_(&quot;$&quot;* \(#,##0.00\);_(&quot;$&quot;* &quot;-&quot;??_);_(@_)"/>
    <numFmt numFmtId="236" formatCode="&quot;₩&quot;#,##0.00;[Red]&quot;₩&quot;\-#,##0.00"/>
    <numFmt numFmtId="237" formatCode="&quot;₩&quot;#,##0;[Red]&quot;₩&quot;\-#,##0"/>
    <numFmt numFmtId="238" formatCode="_ * #,##0.00_ ;_ * &quot;₩&quot;&quot;₩&quot;&quot;₩&quot;&quot;₩&quot;&quot;₩&quot;&quot;₩&quot;&quot;₩&quot;\-#,##0.00_ ;_ * &quot;-&quot;??_ ;_ @_ "/>
    <numFmt numFmtId="239" formatCode="&quot;₩&quot;\!\(#,##0&quot;₩&quot;\!\);&quot;₩&quot;\!\(&quot;₩&quot;\!\-#,##0&quot;₩&quot;\!\)"/>
    <numFmt numFmtId="240" formatCode="_(* #,##0_);_(* \(#,##0\);_(* &quot;-&quot;_);_(@_)"/>
    <numFmt numFmtId="241" formatCode="&quot;₩&quot;#,##0;[Red]&quot;₩&quot;&quot;₩&quot;&quot;₩&quot;&quot;₩&quot;&quot;₩&quot;&quot;₩&quot;&quot;₩&quot;&quot;₩&quot;&quot;₩&quot;\-#,##0"/>
    <numFmt numFmtId="242" formatCode="#,##0&quot;¨ui&quot;&quot;₩&quot;\!\ "/>
    <numFmt numFmtId="243" formatCode="_(* #,##0.00_);_(* \(#,##0.00\);_(* &quot;-&quot;??_);_(@_)"/>
    <numFmt numFmtId="244" formatCode="&quot; &quot;@"/>
    <numFmt numFmtId="245" formatCode="&quot;₩&quot;#,##0;&quot;₩&quot;\-&quot;₩&quot;#,##0"/>
    <numFmt numFmtId="246" formatCode="#,##0_ "/>
    <numFmt numFmtId="247" formatCode="0.000"/>
    <numFmt numFmtId="248" formatCode="\-\2\2\4&quot; &quot;"/>
    <numFmt numFmtId="249" formatCode="\-\1&quot; &quot;"/>
    <numFmt numFmtId="250" formatCode="#,##0&quot;  &quot;"/>
    <numFmt numFmtId="251" formatCode="\-\1\4\4&quot; &quot;"/>
    <numFmt numFmtId="252" formatCode="&quot;$&quot;#,##0_);[Red]\(&quot;$&quot;#,##0\)"/>
    <numFmt numFmtId="253" formatCode="0.0000000"/>
    <numFmt numFmtId="254" formatCode="#."/>
    <numFmt numFmtId="255" formatCode="_-[$€-2]* #,##0.00_-;\-[$€-2]* #,##0.00_-;_-[$€-2]* &quot;-&quot;??_-"/>
    <numFmt numFmtId="256" formatCode="#,##0.0&quot;     &quot;"/>
    <numFmt numFmtId="257" formatCode="\-\2\2\5&quot; &quot;"/>
    <numFmt numFmtId="258" formatCode="\ &quot;~~ &quot;@"/>
    <numFmt numFmtId="259" formatCode="\1\4\4&quot; &quot;"/>
    <numFmt numFmtId="260" formatCode="_-* #,##0.00_-;\-* #,##0.00_-;_-* &quot;-&quot;_-;_-@_-"/>
    <numFmt numFmtId="261" formatCode="&quot;(&quot;###.00&quot;)&quot;"/>
    <numFmt numFmtId="262" formatCode="[Red]\+#;[Red]\-#;[Red]0"/>
    <numFmt numFmtId="263" formatCode="#,##0;[Red]&quot;△&quot;#,##0"/>
    <numFmt numFmtId="264" formatCode="#,##0_ ;[Red]&quot;△&quot;#,##0\ "/>
    <numFmt numFmtId="265" formatCode="_-* #,##0.0000_-;\-* #,##0.0000_-;_-* &quot;-&quot;_-;_-@_-"/>
    <numFmt numFmtId="266" formatCode="0.0%;[Red]&quot;△&quot;0.0%"/>
    <numFmt numFmtId="267" formatCode="0.00%;[Red]&quot;△&quot;0.00%"/>
    <numFmt numFmtId="268" formatCode="#,##0_ ;[Red]\-#,##0\ "/>
    <numFmt numFmtId="269" formatCode="#,##0.0#####\ ;[Red]\-#,##0.0#####\ "/>
    <numFmt numFmtId="270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theme="3"/>
      <name val="맑은 고딕"/>
      <family val="3"/>
      <charset val="129"/>
      <scheme val="major"/>
    </font>
    <font>
      <b/>
      <sz val="10"/>
      <color theme="3"/>
      <name val="맑은 고딕"/>
      <family val="3"/>
      <charset val="129"/>
      <scheme val="major"/>
    </font>
    <font>
      <sz val="9"/>
      <color theme="3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u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sz val="8"/>
      <color theme="3"/>
      <name val="맑은 고딕"/>
      <family val="3"/>
      <charset val="129"/>
      <scheme val="major"/>
    </font>
    <font>
      <b/>
      <sz val="8"/>
      <color theme="5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DCE2"/>
        <bgColor indexed="64"/>
      </patternFill>
    </fill>
    <fill>
      <patternFill patternType="solid">
        <fgColor rgb="FFFFFFC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 style="thin">
        <color theme="1" tint="0.24994659260841701"/>
      </bottom>
      <diagonal/>
    </border>
  </borders>
  <cellStyleXfs count="429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8" fontId="4" fillId="0" borderId="0" applyFill="0" applyBorder="0" applyProtection="0"/>
    <xf numFmtId="0" fontId="8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9" fillId="0" borderId="0"/>
    <xf numFmtId="3" fontId="5" fillId="0" borderId="2"/>
    <xf numFmtId="0" fontId="10" fillId="0" borderId="4">
      <alignment horizontal="centerContinuous" vertical="center"/>
    </xf>
    <xf numFmtId="24" fontId="11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81" fontId="12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0" borderId="0" applyFont="0" applyFill="0" applyBorder="0" applyAlignment="0" applyProtection="0"/>
    <xf numFmtId="0" fontId="15" fillId="0" borderId="0"/>
    <xf numFmtId="0" fontId="15" fillId="0" borderId="0"/>
    <xf numFmtId="0" fontId="4" fillId="0" borderId="0"/>
    <xf numFmtId="0" fontId="15" fillId="0" borderId="0"/>
    <xf numFmtId="177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83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8" fillId="0" borderId="0"/>
    <xf numFmtId="0" fontId="8" fillId="0" borderId="0"/>
    <xf numFmtId="0" fontId="19" fillId="0" borderId="0"/>
    <xf numFmtId="0" fontId="19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8" fillId="0" borderId="0"/>
    <xf numFmtId="0" fontId="20" fillId="0" borderId="0"/>
    <xf numFmtId="0" fontId="8" fillId="0" borderId="0"/>
    <xf numFmtId="0" fontId="22" fillId="0" borderId="0"/>
    <xf numFmtId="0" fontId="10" fillId="0" borderId="0"/>
    <xf numFmtId="0" fontId="22" fillId="0" borderId="0"/>
    <xf numFmtId="0" fontId="19" fillId="0" borderId="0" applyFont="0" applyFill="0" applyBorder="0" applyAlignment="0" applyProtection="0"/>
    <xf numFmtId="0" fontId="23" fillId="0" borderId="0" applyProtection="0"/>
    <xf numFmtId="0" fontId="19" fillId="0" borderId="0" applyFont="0" applyFill="0" applyBorder="0" applyAlignment="0" applyProtection="0"/>
    <xf numFmtId="0" fontId="11" fillId="0" borderId="0"/>
    <xf numFmtId="0" fontId="8" fillId="0" borderId="0"/>
    <xf numFmtId="0" fontId="19" fillId="0" borderId="0" applyFont="0" applyFill="0" applyBorder="0" applyAlignment="0" applyProtection="0"/>
    <xf numFmtId="0" fontId="2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" fillId="0" borderId="0"/>
    <xf numFmtId="0" fontId="8" fillId="0" borderId="0"/>
    <xf numFmtId="0" fontId="19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20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9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3" fillId="0" borderId="0" applyProtection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19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1" fillId="0" borderId="0"/>
    <xf numFmtId="0" fontId="8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 applyProtection="0"/>
    <xf numFmtId="0" fontId="22" fillId="0" borderId="0"/>
    <xf numFmtId="0" fontId="2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/>
    <xf numFmtId="0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9" fillId="0" borderId="0"/>
    <xf numFmtId="0" fontId="2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8" fillId="0" borderId="0"/>
    <xf numFmtId="0" fontId="11" fillId="0" borderId="0"/>
    <xf numFmtId="0" fontId="20" fillId="0" borderId="0"/>
    <xf numFmtId="0" fontId="11" fillId="0" borderId="0"/>
    <xf numFmtId="0" fontId="23" fillId="0" borderId="0" applyProtection="0"/>
    <xf numFmtId="0" fontId="8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8" fillId="0" borderId="0"/>
    <xf numFmtId="0" fontId="22" fillId="0" borderId="0"/>
    <xf numFmtId="0" fontId="19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9" fillId="0" borderId="0" applyFont="0" applyFill="0" applyBorder="0" applyAlignment="0" applyProtection="0"/>
    <xf numFmtId="0" fontId="4" fillId="0" borderId="0"/>
    <xf numFmtId="0" fontId="19" fillId="0" borderId="0" applyFont="0" applyFill="0" applyBorder="0" applyAlignment="0" applyProtection="0"/>
    <xf numFmtId="0" fontId="23" fillId="0" borderId="0" applyProtection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20" fillId="0" borderId="0"/>
    <xf numFmtId="0" fontId="11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0" fillId="0" borderId="0"/>
    <xf numFmtId="0" fontId="19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9" fillId="0" borderId="0"/>
    <xf numFmtId="0" fontId="11" fillId="0" borderId="0"/>
    <xf numFmtId="0" fontId="8" fillId="0" borderId="0"/>
    <xf numFmtId="0" fontId="4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24" fillId="0" borderId="0"/>
    <xf numFmtId="0" fontId="23" fillId="0" borderId="0" applyProtection="0"/>
    <xf numFmtId="0" fontId="8" fillId="0" borderId="0"/>
    <xf numFmtId="40" fontId="11" fillId="0" borderId="0" applyFont="0" applyFill="0" applyBorder="0" applyAlignment="0" applyProtection="0"/>
    <xf numFmtId="0" fontId="22" fillId="0" borderId="0"/>
    <xf numFmtId="0" fontId="11" fillId="0" borderId="0"/>
    <xf numFmtId="0" fontId="11" fillId="0" borderId="0"/>
    <xf numFmtId="0" fontId="8" fillId="0" borderId="0"/>
    <xf numFmtId="0" fontId="25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" fillId="0" borderId="0" applyNumberFormat="0"/>
    <xf numFmtId="0" fontId="9" fillId="0" borderId="0">
      <alignment vertical="center"/>
    </xf>
    <xf numFmtId="0" fontId="9" fillId="0" borderId="0">
      <alignment vertical="center"/>
    </xf>
    <xf numFmtId="0" fontId="21" fillId="0" borderId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/>
    <xf numFmtId="3" fontId="5" fillId="0" borderId="2"/>
    <xf numFmtId="3" fontId="5" fillId="0" borderId="2"/>
    <xf numFmtId="0" fontId="10" fillId="0" borderId="0">
      <alignment vertical="center"/>
    </xf>
    <xf numFmtId="0" fontId="3" fillId="0" borderId="0">
      <alignment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0" fontId="9" fillId="0" borderId="0"/>
    <xf numFmtId="3" fontId="27" fillId="0" borderId="12">
      <alignment horizontal="right" vertical="center"/>
    </xf>
    <xf numFmtId="0" fontId="28" fillId="0" borderId="0"/>
    <xf numFmtId="2" fontId="27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7" fillId="0" borderId="12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4" fillId="0" borderId="0">
      <protection locked="0"/>
    </xf>
    <xf numFmtId="0" fontId="29" fillId="0" borderId="0"/>
    <xf numFmtId="185" fontId="9" fillId="0" borderId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9" fontId="34" fillId="0" borderId="13">
      <alignment horizontal="center" vertical="center" wrapText="1"/>
    </xf>
    <xf numFmtId="186" fontId="35" fillId="0" borderId="0"/>
    <xf numFmtId="0" fontId="5" fillId="0" borderId="0"/>
    <xf numFmtId="187" fontId="4" fillId="0" borderId="2">
      <alignment horizontal="right" vertical="center" shrinkToFit="1"/>
    </xf>
    <xf numFmtId="185" fontId="36" fillId="0" borderId="0"/>
    <xf numFmtId="0" fontId="3" fillId="0" borderId="0">
      <protection locked="0"/>
    </xf>
    <xf numFmtId="0" fontId="30" fillId="0" borderId="0" applyFont="0" applyFill="0" applyBorder="0" applyAlignment="0" applyProtection="0"/>
    <xf numFmtId="188" fontId="3" fillId="0" borderId="0" applyFont="0" applyFill="0" applyBorder="0" applyAlignment="0" applyProtection="0"/>
    <xf numFmtId="3" fontId="11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0" fillId="0" borderId="0" applyFont="0" applyFill="0" applyBorder="0" applyAlignment="0" applyProtection="0"/>
    <xf numFmtId="49" fontId="37" fillId="0" borderId="13">
      <alignment horizontal="center" vertical="center" wrapText="1"/>
    </xf>
    <xf numFmtId="0" fontId="38" fillId="0" borderId="0" applyNumberFormat="0" applyFill="0" applyBorder="0" applyAlignment="0" applyProtection="0">
      <alignment vertical="top"/>
      <protection locked="0"/>
    </xf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1" fillId="0" borderId="2" applyNumberFormat="0" applyFont="0" applyFill="0" applyAlignment="0" applyProtection="0">
      <alignment horizontal="center" vertical="center"/>
    </xf>
    <xf numFmtId="9" fontId="36" fillId="2" borderId="0" applyFill="0" applyBorder="0" applyProtection="0">
      <alignment horizontal="right"/>
    </xf>
    <xf numFmtId="10" fontId="36" fillId="0" borderId="0" applyFill="0" applyBorder="0" applyProtection="0">
      <alignment horizontal="right"/>
    </xf>
    <xf numFmtId="189" fontId="42" fillId="0" borderId="11" applyFont="0" applyFill="0" applyAlignment="0" applyProtection="0">
      <alignment horizontal="center" vertical="center"/>
    </xf>
    <xf numFmtId="0" fontId="43" fillId="0" borderId="0"/>
    <xf numFmtId="190" fontId="3" fillId="0" borderId="0"/>
    <xf numFmtId="0" fontId="5" fillId="0" borderId="0"/>
    <xf numFmtId="3" fontId="6" fillId="0" borderId="2"/>
    <xf numFmtId="3" fontId="6" fillId="0" borderId="14"/>
    <xf numFmtId="0" fontId="44" fillId="0" borderId="2"/>
    <xf numFmtId="0" fontId="45" fillId="0" borderId="0">
      <alignment horizontal="center"/>
    </xf>
    <xf numFmtId="0" fontId="12" fillId="0" borderId="2" applyFont="0" applyFill="0" applyBorder="0" applyAlignment="0" applyProtection="0"/>
    <xf numFmtId="3" fontId="4" fillId="0" borderId="0" applyFont="0" applyFill="0" applyBorder="0" applyAlignment="0" applyProtection="0"/>
    <xf numFmtId="191" fontId="46" fillId="0" borderId="0">
      <alignment vertical="center"/>
    </xf>
    <xf numFmtId="0" fontId="19" fillId="0" borderId="0"/>
    <xf numFmtId="38" fontId="22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3" fontId="4" fillId="0" borderId="10"/>
    <xf numFmtId="0" fontId="14" fillId="0" borderId="15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" fillId="0" borderId="0"/>
    <xf numFmtId="192" fontId="4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84" fontId="19" fillId="0" borderId="0" applyFont="0" applyFill="0" applyBorder="0" applyAlignment="0" applyProtection="0"/>
    <xf numFmtId="194" fontId="49" fillId="0" borderId="0" applyFont="0" applyFill="0" applyBorder="0" applyAlignment="0" applyProtection="0"/>
    <xf numFmtId="192" fontId="4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50" fillId="0" borderId="0">
      <alignment vertical="center"/>
    </xf>
    <xf numFmtId="0" fontId="51" fillId="0" borderId="0">
      <alignment horizontal="center" vertical="center"/>
    </xf>
    <xf numFmtId="0" fontId="25" fillId="0" borderId="0"/>
    <xf numFmtId="4" fontId="30" fillId="0" borderId="0" applyFont="0" applyFill="0" applyBorder="0" applyAlignment="0" applyProtection="0"/>
    <xf numFmtId="0" fontId="33" fillId="0" borderId="0"/>
    <xf numFmtId="3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21" fillId="0" borderId="0"/>
    <xf numFmtId="1" fontId="5" fillId="2" borderId="0" applyNumberFormat="0" applyFont="0" applyFill="0" applyBorder="0" applyAlignment="0">
      <alignment vertical="center"/>
    </xf>
    <xf numFmtId="1" fontId="52" fillId="2" borderId="0" applyNumberFormat="0" applyBorder="0" applyAlignment="0">
      <alignment vertical="center"/>
    </xf>
    <xf numFmtId="0" fontId="4" fillId="0" borderId="0">
      <alignment vertical="center"/>
    </xf>
    <xf numFmtId="0" fontId="53" fillId="0" borderId="0">
      <alignment horizontal="centerContinuous" vertical="center"/>
    </xf>
    <xf numFmtId="0" fontId="54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8" fontId="55" fillId="0" borderId="0">
      <alignment vertical="center"/>
    </xf>
    <xf numFmtId="0" fontId="21" fillId="0" borderId="0"/>
    <xf numFmtId="0" fontId="36" fillId="0" borderId="4" applyFont="0" applyBorder="0" applyAlignment="0">
      <alignment vertical="center"/>
    </xf>
    <xf numFmtId="0" fontId="4" fillId="0" borderId="0"/>
    <xf numFmtId="1" fontId="56" fillId="2" borderId="0" applyNumberFormat="0" applyFont="0" applyFill="0" applyBorder="0" applyAlignment="0">
      <alignment vertical="center"/>
    </xf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9" fontId="3" fillId="0" borderId="0" applyFont="0" applyFill="0" applyBorder="0" applyAlignment="0" applyProtection="0"/>
    <xf numFmtId="200" fontId="57" fillId="0" borderId="0" applyFont="0" applyFill="0" applyBorder="0" applyAlignment="0" applyProtection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4" fillId="0" borderId="0" applyFont="0" applyFill="0" applyBorder="0" applyAlignment="0" applyProtection="0"/>
    <xf numFmtId="191" fontId="59" fillId="0" borderId="0" applyFont="0" applyFill="0" applyBorder="0" applyAlignment="0" applyProtection="0">
      <alignment vertical="center"/>
    </xf>
    <xf numFmtId="191" fontId="4" fillId="0" borderId="0" applyFont="0" applyFill="0" applyBorder="0" applyAlignment="0" applyProtection="0"/>
    <xf numFmtId="0" fontId="36" fillId="2" borderId="0" applyFill="0" applyBorder="0" applyProtection="0">
      <alignment horizontal="right"/>
    </xf>
    <xf numFmtId="201" fontId="19" fillId="0" borderId="0" applyFont="0" applyFill="0" applyBorder="0" applyAlignment="0" applyProtection="0">
      <alignment textRotation="255"/>
    </xf>
    <xf numFmtId="202" fontId="19" fillId="0" borderId="0" applyFont="0" applyFill="0" applyBorder="0" applyAlignment="0" applyProtection="0">
      <alignment textRotation="255"/>
    </xf>
    <xf numFmtId="203" fontId="7" fillId="0" borderId="2">
      <alignment vertical="center"/>
    </xf>
    <xf numFmtId="204" fontId="19" fillId="0" borderId="0" applyFont="0" applyFill="0" applyBorder="0" applyAlignment="0" applyProtection="0">
      <alignment textRotation="255"/>
    </xf>
    <xf numFmtId="198" fontId="5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9" fillId="0" borderId="2">
      <alignment horizontal="center"/>
    </xf>
    <xf numFmtId="205" fontId="4" fillId="0" borderId="0" applyFont="0" applyFill="0" applyBorder="0" applyAlignment="0" applyProtection="0"/>
    <xf numFmtId="206" fontId="48" fillId="0" borderId="0" applyFont="0" applyFill="0" applyBorder="0" applyAlignment="0" applyProtection="0"/>
    <xf numFmtId="207" fontId="48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5" fillId="0" borderId="3">
      <alignment horizontal="distributed"/>
    </xf>
    <xf numFmtId="0" fontId="5" fillId="0" borderId="17">
      <alignment horizontal="distributed" vertical="center"/>
    </xf>
    <xf numFmtId="0" fontId="5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0" fillId="0" borderId="19" applyNumberFormat="0" applyFont="0" applyFill="0" applyAlignment="0" applyProtection="0"/>
    <xf numFmtId="184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208" fontId="25" fillId="0" borderId="0" applyFont="0" applyFill="0" applyBorder="0" applyAlignment="0" applyProtection="0"/>
    <xf numFmtId="209" fontId="25" fillId="0" borderId="0" applyFont="0" applyFill="0" applyBorder="0" applyAlignment="0" applyProtection="0"/>
    <xf numFmtId="210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1" fillId="0" borderId="0"/>
    <xf numFmtId="211" fontId="57" fillId="0" borderId="0" applyFont="0" applyFill="0" applyBorder="0" applyAlignment="0" applyProtection="0"/>
    <xf numFmtId="0" fontId="48" fillId="0" borderId="0"/>
    <xf numFmtId="0" fontId="62" fillId="0" borderId="0">
      <protection locked="0"/>
    </xf>
    <xf numFmtId="0" fontId="9" fillId="0" borderId="0"/>
    <xf numFmtId="212" fontId="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91" fontId="64" fillId="0" borderId="0" applyFont="0" applyFill="0" applyBorder="0" applyAlignment="0" applyProtection="0"/>
    <xf numFmtId="213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69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69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214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4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0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184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7" fontId="75" fillId="0" borderId="0" applyFont="0" applyFill="0" applyBorder="0" applyAlignment="0" applyProtection="0"/>
    <xf numFmtId="218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9" fontId="3" fillId="0" borderId="0" applyFont="0" applyFill="0" applyBorder="0" applyAlignment="0" applyProtection="0"/>
    <xf numFmtId="220" fontId="73" fillId="0" borderId="0" applyFont="0" applyFill="0" applyBorder="0" applyAlignment="0" applyProtection="0"/>
    <xf numFmtId="0" fontId="9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2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42" fontId="76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22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4" fontId="67" fillId="0" borderId="0" applyFont="0" applyFill="0" applyBorder="0" applyAlignment="0" applyProtection="0"/>
    <xf numFmtId="224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2" fontId="72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223" fontId="76" fillId="0" borderId="0" applyFont="0" applyFill="0" applyBorder="0" applyAlignment="0" applyProtection="0"/>
    <xf numFmtId="223" fontId="77" fillId="0" borderId="0" applyFont="0" applyFill="0" applyBorder="0" applyAlignment="0" applyProtection="0"/>
    <xf numFmtId="42" fontId="76" fillId="0" borderId="0" applyFont="0" applyFill="0" applyBorder="0" applyAlignment="0" applyProtection="0"/>
    <xf numFmtId="42" fontId="77" fillId="0" borderId="0" applyFont="0" applyFill="0" applyBorder="0" applyAlignment="0" applyProtection="0"/>
    <xf numFmtId="224" fontId="67" fillId="0" borderId="0" applyFont="0" applyFill="0" applyBorder="0" applyAlignment="0" applyProtection="0"/>
    <xf numFmtId="224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21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2" fontId="75" fillId="0" borderId="0" applyFont="0" applyFill="0" applyBorder="0" applyAlignment="0" applyProtection="0"/>
    <xf numFmtId="225" fontId="72" fillId="0" borderId="0" applyFont="0" applyFill="0" applyBorder="0" applyAlignment="0" applyProtection="0"/>
    <xf numFmtId="226" fontId="73" fillId="0" borderId="0" applyFont="0" applyFill="0" applyBorder="0" applyAlignment="0" applyProtection="0"/>
    <xf numFmtId="226" fontId="72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67" fillId="0" borderId="0" applyFont="0" applyFill="0" applyBorder="0" applyAlignment="0" applyProtection="0"/>
    <xf numFmtId="226" fontId="73" fillId="0" borderId="0" applyFont="0" applyFill="0" applyBorder="0" applyAlignment="0" applyProtection="0"/>
    <xf numFmtId="228" fontId="67" fillId="0" borderId="0" applyFont="0" applyFill="0" applyBorder="0" applyAlignment="0" applyProtection="0"/>
    <xf numFmtId="226" fontId="73" fillId="0" borderId="0" applyFont="0" applyFill="0" applyBorder="0" applyAlignment="0" applyProtection="0"/>
    <xf numFmtId="229" fontId="67" fillId="0" borderId="0" applyFont="0" applyFill="0" applyBorder="0" applyAlignment="0" applyProtection="0"/>
    <xf numFmtId="227" fontId="7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44" fontId="76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1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232" fontId="76" fillId="0" borderId="0" applyFont="0" applyFill="0" applyBorder="0" applyAlignment="0" applyProtection="0"/>
    <xf numFmtId="232" fontId="77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7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234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23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3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35" fontId="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236" fontId="64" fillId="0" borderId="0" applyFont="0" applyFill="0" applyBorder="0" applyAlignment="0" applyProtection="0"/>
    <xf numFmtId="23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11" fillId="0" borderId="0"/>
    <xf numFmtId="0" fontId="82" fillId="0" borderId="0">
      <alignment horizontal="center" wrapText="1"/>
      <protection locked="0"/>
    </xf>
    <xf numFmtId="0" fontId="8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5" fillId="0" borderId="0" applyFont="0" applyFill="0" applyBorder="0" applyAlignment="0" applyProtection="0"/>
    <xf numFmtId="238" fontId="72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83" fontId="72" fillId="0" borderId="0" applyFont="0" applyFill="0" applyBorder="0" applyAlignment="0" applyProtection="0"/>
    <xf numFmtId="41" fontId="76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76" fillId="0" borderId="0" applyFont="0" applyFill="0" applyBorder="0" applyAlignment="0" applyProtection="0"/>
    <xf numFmtId="199" fontId="77" fillId="0" borderId="0" applyFont="0" applyFill="0" applyBorder="0" applyAlignment="0" applyProtection="0"/>
    <xf numFmtId="41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215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214" fontId="73" fillId="0" borderId="0" applyFont="0" applyFill="0" applyBorder="0" applyAlignment="0" applyProtection="0"/>
    <xf numFmtId="214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40" fontId="84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5" fillId="0" borderId="0" applyFont="0" applyFill="0" applyBorder="0" applyAlignment="0" applyProtection="0"/>
    <xf numFmtId="241" fontId="72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184" fontId="72" fillId="0" borderId="0" applyFont="0" applyFill="0" applyBorder="0" applyAlignment="0" applyProtection="0"/>
    <xf numFmtId="43" fontId="76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42" fontId="6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3" fontId="72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216" fontId="76" fillId="0" borderId="0" applyFont="0" applyFill="0" applyBorder="0" applyAlignment="0" applyProtection="0"/>
    <xf numFmtId="216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73" fillId="0" borderId="0" applyFont="0" applyFill="0" applyBorder="0" applyAlignment="0" applyProtection="0"/>
    <xf numFmtId="37" fontId="72" fillId="0" borderId="0" applyFont="0" applyFill="0" applyBorder="0" applyAlignment="0" applyProtection="0"/>
    <xf numFmtId="243" fontId="84" fillId="0" borderId="0" applyFont="0" applyFill="0" applyBorder="0" applyAlignment="0" applyProtection="0"/>
    <xf numFmtId="58" fontId="3" fillId="0" borderId="0" applyFont="0" applyFill="0" applyBorder="0" applyAlignment="0" applyProtection="0"/>
    <xf numFmtId="244" fontId="59" fillId="0" borderId="0" applyFont="0" applyFill="0" applyBorder="0" applyAlignment="0" applyProtection="0">
      <alignment horizontal="right"/>
    </xf>
    <xf numFmtId="0" fontId="87" fillId="0" borderId="0"/>
    <xf numFmtId="0" fontId="81" fillId="0" borderId="0"/>
    <xf numFmtId="0" fontId="88" fillId="0" borderId="0"/>
    <xf numFmtId="0" fontId="67" fillId="0" borderId="0"/>
    <xf numFmtId="0" fontId="68" fillId="0" borderId="0"/>
    <xf numFmtId="0" fontId="6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89" fillId="0" borderId="0"/>
    <xf numFmtId="0" fontId="90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70" fillId="0" borderId="0"/>
    <xf numFmtId="0" fontId="68" fillId="0" borderId="0"/>
    <xf numFmtId="0" fontId="70" fillId="0" borderId="0"/>
    <xf numFmtId="0" fontId="69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9" fillId="0" borderId="0"/>
    <xf numFmtId="0" fontId="70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91" fillId="0" borderId="0"/>
    <xf numFmtId="0" fontId="92" fillId="0" borderId="0"/>
    <xf numFmtId="0" fontId="91" fillId="0" borderId="0"/>
    <xf numFmtId="0" fontId="93" fillId="0" borderId="0"/>
    <xf numFmtId="0" fontId="94" fillId="0" borderId="0"/>
    <xf numFmtId="0" fontId="68" fillId="0" borderId="0"/>
    <xf numFmtId="0" fontId="90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94" fillId="0" borderId="0"/>
    <xf numFmtId="0" fontId="93" fillId="0" borderId="0"/>
    <xf numFmtId="0" fontId="94" fillId="0" borderId="0"/>
    <xf numFmtId="0" fontId="93" fillId="0" borderId="0"/>
    <xf numFmtId="0" fontId="94" fillId="0" borderId="0"/>
    <xf numFmtId="0" fontId="95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6" fillId="0" borderId="0"/>
    <xf numFmtId="0" fontId="64" fillId="0" borderId="0"/>
    <xf numFmtId="0" fontId="63" fillId="0" borderId="0"/>
    <xf numFmtId="0" fontId="96" fillId="0" borderId="0"/>
    <xf numFmtId="0" fontId="75" fillId="0" borderId="0"/>
    <xf numFmtId="0" fontId="97" fillId="0" borderId="0"/>
    <xf numFmtId="0" fontId="98" fillId="0" borderId="0"/>
    <xf numFmtId="0" fontId="99" fillId="0" borderId="0"/>
    <xf numFmtId="0" fontId="75" fillId="0" borderId="0"/>
    <xf numFmtId="0" fontId="76" fillId="0" borderId="0"/>
    <xf numFmtId="0" fontId="77" fillId="0" borderId="0"/>
    <xf numFmtId="0" fontId="72" fillId="0" borderId="0"/>
    <xf numFmtId="0" fontId="76" fillId="0" borderId="0"/>
    <xf numFmtId="0" fontId="100" fillId="0" borderId="0"/>
    <xf numFmtId="0" fontId="18" fillId="0" borderId="0"/>
    <xf numFmtId="0" fontId="72" fillId="0" borderId="0"/>
    <xf numFmtId="0" fontId="78" fillId="0" borderId="0"/>
    <xf numFmtId="0" fontId="72" fillId="0" borderId="0"/>
    <xf numFmtId="0" fontId="78" fillId="0" borderId="0"/>
    <xf numFmtId="0" fontId="72" fillId="0" borderId="0"/>
    <xf numFmtId="0" fontId="75" fillId="0" borderId="0"/>
    <xf numFmtId="0" fontId="99" fillId="0" borderId="0"/>
    <xf numFmtId="0" fontId="77" fillId="0" borderId="0"/>
    <xf numFmtId="37" fontId="72" fillId="0" borderId="0"/>
    <xf numFmtId="0" fontId="73" fillId="0" borderId="0"/>
    <xf numFmtId="0" fontId="72" fillId="0" borderId="0"/>
    <xf numFmtId="0" fontId="86" fillId="0" borderId="0"/>
    <xf numFmtId="0" fontId="73" fillId="0" borderId="0"/>
    <xf numFmtId="0" fontId="72" fillId="0" borderId="0"/>
    <xf numFmtId="0" fontId="78" fillId="0" borderId="0"/>
    <xf numFmtId="0" fontId="86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2" fillId="0" borderId="0"/>
    <xf numFmtId="0" fontId="77" fillId="0" borderId="0"/>
    <xf numFmtId="0" fontId="72" fillId="0" borderId="0"/>
    <xf numFmtId="0" fontId="78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9" fillId="0" borderId="0"/>
    <xf numFmtId="0" fontId="78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9" fillId="0" borderId="0"/>
    <xf numFmtId="0" fontId="75" fillId="0" borderId="0"/>
    <xf numFmtId="0" fontId="86" fillId="0" borderId="0"/>
    <xf numFmtId="0" fontId="73" fillId="0" borderId="0"/>
    <xf numFmtId="0" fontId="72" fillId="0" borderId="0"/>
    <xf numFmtId="0" fontId="78" fillId="0" borderId="0"/>
    <xf numFmtId="0" fontId="72" fillId="0" borderId="0"/>
    <xf numFmtId="0" fontId="8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2" fillId="0" borderId="0"/>
    <xf numFmtId="0" fontId="78" fillId="0" borderId="0"/>
    <xf numFmtId="0" fontId="97" fillId="0" borderId="0"/>
    <xf numFmtId="0" fontId="98" fillId="0" borderId="0"/>
    <xf numFmtId="0" fontId="97" fillId="0" borderId="0"/>
    <xf numFmtId="0" fontId="103" fillId="0" borderId="0"/>
    <xf numFmtId="0" fontId="72" fillId="0" borderId="0"/>
    <xf numFmtId="0" fontId="73" fillId="0" borderId="0"/>
    <xf numFmtId="0" fontId="72" fillId="0" borderId="0"/>
    <xf numFmtId="0" fontId="78" fillId="0" borderId="0"/>
    <xf numFmtId="245" fontId="3" fillId="0" borderId="0" applyFill="0" applyBorder="0" applyAlignment="0"/>
    <xf numFmtId="246" fontId="4" fillId="0" borderId="0" applyFill="0" applyBorder="0" applyAlignment="0"/>
    <xf numFmtId="247" fontId="104" fillId="0" borderId="0" applyFill="0" applyBorder="0" applyAlignment="0"/>
    <xf numFmtId="248" fontId="59" fillId="0" borderId="0" applyFill="0" applyBorder="0" applyAlignment="0"/>
    <xf numFmtId="249" fontId="59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05" fillId="0" borderId="0"/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>
      <protection locked="0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38" fontId="8" fillId="0" borderId="0" applyFont="0" applyFill="0" applyBorder="0" applyAlignment="0" applyProtection="0"/>
    <xf numFmtId="250" fontId="59" fillId="0" borderId="0" applyFont="0" applyFill="0" applyBorder="0" applyAlignment="0" applyProtection="0"/>
    <xf numFmtId="0" fontId="20" fillId="0" borderId="0"/>
    <xf numFmtId="184" fontId="8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09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7" fillId="0" borderId="0">
      <protection locked="0"/>
    </xf>
    <xf numFmtId="0" fontId="8" fillId="0" borderId="0" applyFont="0" applyFill="0" applyBorder="0" applyAlignment="0" applyProtection="0"/>
    <xf numFmtId="252" fontId="8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253" fontId="19" fillId="0" borderId="0">
      <protection locked="0"/>
    </xf>
    <xf numFmtId="14" fontId="24" fillId="0" borderId="0" applyFill="0" applyBorder="0" applyAlignment="0"/>
    <xf numFmtId="254" fontId="107" fillId="0" borderId="0">
      <protection locked="0"/>
    </xf>
    <xf numFmtId="179" fontId="8" fillId="0" borderId="2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0" fontId="110" fillId="0" borderId="2"/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11" fillId="0" borderId="0" applyNumberFormat="0" applyAlignment="0">
      <alignment horizontal="left"/>
    </xf>
    <xf numFmtId="255" fontId="3" fillId="0" borderId="0" applyFont="0" applyFill="0" applyBorder="0" applyAlignment="0" applyProtection="0"/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253" fontId="19" fillId="0" borderId="0"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2" fontId="47" fillId="0" borderId="0">
      <alignment horizontal="left"/>
    </xf>
    <xf numFmtId="38" fontId="115" fillId="4" borderId="0" applyNumberFormat="0" applyBorder="0" applyAlignment="0" applyProtection="0"/>
    <xf numFmtId="3" fontId="10" fillId="0" borderId="21">
      <alignment horizontal="right" vertical="center"/>
    </xf>
    <xf numFmtId="4" fontId="10" fillId="0" borderId="21">
      <alignment horizontal="right" vertical="center"/>
    </xf>
    <xf numFmtId="0" fontId="116" fillId="0" borderId="0">
      <alignment horizontal="left"/>
    </xf>
    <xf numFmtId="0" fontId="117" fillId="0" borderId="22" applyNumberFormat="0" applyAlignment="0" applyProtection="0">
      <alignment horizontal="left" vertical="center"/>
    </xf>
    <xf numFmtId="0" fontId="117" fillId="0" borderId="5">
      <alignment horizontal="left" vertical="center"/>
    </xf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253" fontId="19" fillId="0" borderId="0">
      <protection locked="0"/>
    </xf>
    <xf numFmtId="253" fontId="19" fillId="0" borderId="0">
      <protection locked="0"/>
    </xf>
    <xf numFmtId="0" fontId="119" fillId="0" borderId="23">
      <alignment horizontal="center"/>
    </xf>
    <xf numFmtId="0" fontId="119" fillId="0" borderId="0">
      <alignment horizontal="center"/>
    </xf>
    <xf numFmtId="0" fontId="106" fillId="0" borderId="0" applyNumberFormat="0" applyFill="0" applyBorder="0" applyAlignment="0" applyProtection="0">
      <alignment vertical="top"/>
      <protection locked="0"/>
    </xf>
    <xf numFmtId="10" fontId="115" fillId="5" borderId="2" applyNumberFormat="0" applyBorder="0" applyAlignment="0" applyProtection="0"/>
    <xf numFmtId="0" fontId="120" fillId="0" borderId="9" applyNumberFormat="0" applyBorder="0" applyAlignment="0"/>
    <xf numFmtId="0" fontId="9" fillId="0" borderId="0" applyFont="0" applyFill="0" applyBorder="0" applyAlignment="0" applyProtection="0"/>
    <xf numFmtId="0" fontId="3" fillId="0" borderId="23">
      <protection locked="0"/>
    </xf>
    <xf numFmtId="0" fontId="20" fillId="0" borderId="0" applyNumberFormat="0" applyFont="0" applyFill="0" applyBorder="0" applyProtection="0">
      <alignment horizontal="left" vertical="center"/>
    </xf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1" fillId="0" borderId="23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35" fontId="8" fillId="0" borderId="0" applyFont="0" applyFill="0" applyBorder="0" applyAlignment="0" applyProtection="0"/>
    <xf numFmtId="37" fontId="122" fillId="0" borderId="0"/>
    <xf numFmtId="0" fontId="21" fillId="0" borderId="0"/>
    <xf numFmtId="0" fontId="8" fillId="0" borderId="0" applyNumberFormat="0" applyFill="0" applyBorder="0" applyAlignment="0" applyProtection="0"/>
    <xf numFmtId="0" fontId="4" fillId="0" borderId="0"/>
    <xf numFmtId="0" fontId="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8" fillId="0" borderId="0"/>
    <xf numFmtId="0" fontId="4" fillId="0" borderId="24"/>
    <xf numFmtId="0" fontId="8" fillId="0" borderId="0" applyFont="0" applyFill="0" applyBorder="0" applyAlignment="0" applyProtection="0"/>
    <xf numFmtId="0" fontId="20" fillId="0" borderId="0"/>
    <xf numFmtId="0" fontId="21" fillId="0" borderId="0"/>
    <xf numFmtId="14" fontId="82" fillId="0" borderId="0">
      <alignment horizontal="center" wrapText="1"/>
      <protection locked="0"/>
    </xf>
    <xf numFmtId="0" fontId="107" fillId="0" borderId="0">
      <protection locked="0"/>
    </xf>
    <xf numFmtId="176" fontId="8" fillId="0" borderId="0" applyFont="0" applyFill="0" applyBorder="0" applyAlignment="0" applyProtection="0"/>
    <xf numFmtId="249" fontId="59" fillId="0" borderId="0" applyFont="0" applyFill="0" applyBorder="0" applyAlignment="0" applyProtection="0"/>
    <xf numFmtId="256" fontId="59" fillId="0" borderId="0" applyFont="0" applyFill="0" applyBorder="0" applyAlignment="0" applyProtection="0"/>
    <xf numFmtId="10" fontId="8" fillId="0" borderId="0" applyFont="0" applyFill="0" applyBorder="0" applyAlignment="0" applyProtection="0"/>
    <xf numFmtId="257" fontId="59" fillId="0" borderId="0" applyFont="0" applyFill="0" applyBorder="0" applyAlignment="0" applyProtection="0"/>
    <xf numFmtId="250" fontId="59" fillId="0" borderId="0" applyFill="0" applyBorder="0" applyAlignment="0"/>
    <xf numFmtId="246" fontId="4" fillId="0" borderId="0" applyFill="0" applyBorder="0" applyAlignment="0"/>
    <xf numFmtId="250" fontId="59" fillId="0" borderId="0" applyFill="0" applyBorder="0" applyAlignment="0"/>
    <xf numFmtId="251" fontId="59" fillId="0" borderId="0" applyFill="0" applyBorder="0" applyAlignment="0"/>
    <xf numFmtId="246" fontId="4" fillId="0" borderId="0" applyFill="0" applyBorder="0" applyAlignment="0"/>
    <xf numFmtId="0" fontId="124" fillId="6" borderId="0" applyNumberFormat="0" applyFont="0" applyBorder="0" applyAlignment="0">
      <alignment horizontal="center"/>
    </xf>
    <xf numFmtId="30" fontId="125" fillId="0" borderId="0" applyNumberFormat="0" applyFill="0" applyBorder="0" applyAlignment="0" applyProtection="0">
      <alignment horizontal="left"/>
    </xf>
    <xf numFmtId="258" fontId="126" fillId="0" borderId="13">
      <alignment vertical="center" wrapText="1"/>
    </xf>
    <xf numFmtId="0" fontId="124" fillId="1" borderId="5" applyNumberFormat="0" applyFont="0" applyAlignment="0">
      <alignment horizontal="center"/>
    </xf>
    <xf numFmtId="0" fontId="127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1" fillId="0" borderId="0"/>
    <xf numFmtId="40" fontId="128" fillId="0" borderId="0" applyBorder="0">
      <alignment horizontal="right"/>
    </xf>
    <xf numFmtId="49" fontId="24" fillId="0" borderId="0" applyFill="0" applyBorder="0" applyAlignment="0"/>
    <xf numFmtId="257" fontId="59" fillId="0" borderId="0" applyFill="0" applyBorder="0" applyAlignment="0"/>
    <xf numFmtId="259" fontId="59" fillId="0" borderId="0" applyFill="0" applyBorder="0" applyAlignment="0"/>
    <xf numFmtId="0" fontId="129" fillId="0" borderId="0" applyFill="0" applyBorder="0" applyProtection="0">
      <alignment horizontal="centerContinuous" vertical="center"/>
    </xf>
    <xf numFmtId="0" fontId="9" fillId="2" borderId="0" applyFill="0" applyBorder="0" applyProtection="0">
      <alignment horizontal="center" vertical="center"/>
    </xf>
    <xf numFmtId="253" fontId="19" fillId="0" borderId="25">
      <protection locked="0"/>
    </xf>
    <xf numFmtId="0" fontId="4" fillId="0" borderId="0" applyFont="0" applyFill="0" applyBorder="0" applyAlignment="0" applyProtection="0"/>
    <xf numFmtId="0" fontId="130" fillId="0" borderId="7">
      <alignment horizontal="lef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7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2" fillId="0" borderId="0"/>
    <xf numFmtId="0" fontId="3" fillId="0" borderId="0"/>
    <xf numFmtId="0" fontId="3" fillId="0" borderId="0"/>
    <xf numFmtId="0" fontId="3" fillId="0" borderId="0">
      <alignment vertical="center"/>
    </xf>
    <xf numFmtId="0" fontId="11" fillId="0" borderId="26">
      <alignment horizontal="center"/>
    </xf>
    <xf numFmtId="261" fontId="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/>
    <xf numFmtId="0" fontId="19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1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3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9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 applyFont="0" applyFill="0" applyBorder="0" applyAlignment="0" applyProtection="0"/>
    <xf numFmtId="0" fontId="8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2" fillId="0" borderId="0"/>
    <xf numFmtId="0" fontId="11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9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1" fillId="0" borderId="0"/>
    <xf numFmtId="0" fontId="11" fillId="0" borderId="0"/>
    <xf numFmtId="0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262" fontId="6" fillId="0" borderId="0" applyFont="0" applyFill="0" applyBorder="0" applyProtection="0">
      <alignment vertical="center"/>
    </xf>
    <xf numFmtId="263" fontId="6" fillId="0" borderId="0">
      <alignment vertical="center"/>
    </xf>
    <xf numFmtId="264" fontId="6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3" fontId="27" fillId="0" borderId="12">
      <alignment horizontal="right" vertical="center"/>
    </xf>
    <xf numFmtId="254" fontId="133" fillId="0" borderId="0">
      <protection locked="0"/>
    </xf>
    <xf numFmtId="265" fontId="3" fillId="0" borderId="0">
      <protection locked="0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2" fontId="27" fillId="0" borderId="12">
      <alignment horizontal="right" vertical="center"/>
    </xf>
    <xf numFmtId="9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20" fillId="0" borderId="27">
      <alignment horizontal="center" vertical="center"/>
    </xf>
    <xf numFmtId="263" fontId="19" fillId="0" borderId="28" applyFont="0" applyFill="0" applyBorder="0" applyAlignment="0">
      <alignment horizontal="left" vertical="center"/>
    </xf>
    <xf numFmtId="37" fontId="5" fillId="0" borderId="0"/>
    <xf numFmtId="0" fontId="10" fillId="0" borderId="0" applyBorder="0"/>
    <xf numFmtId="0" fontId="6" fillId="0" borderId="0" applyNumberFormat="0" applyFont="0" applyFill="0" applyBorder="0" applyProtection="0">
      <alignment horizontal="distributed" vertical="center" justifyLastLine="1"/>
    </xf>
    <xf numFmtId="266" fontId="6" fillId="0" borderId="0" applyFont="0" applyFill="0" applyBorder="0" applyProtection="0">
      <alignment horizontal="center" vertical="center"/>
    </xf>
    <xf numFmtId="267" fontId="6" fillId="0" borderId="0" applyFont="0" applyFill="0" applyBorder="0" applyProtection="0">
      <alignment horizontal="center" vertical="center"/>
    </xf>
    <xf numFmtId="26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 applyNumberFormat="0" applyFont="0" applyFill="0" applyBorder="0" applyProtection="0">
      <alignment horizontal="centerContinuous" vertical="center"/>
    </xf>
    <xf numFmtId="4" fontId="30" fillId="0" borderId="0" applyFont="0" applyFill="0" applyBorder="0" applyAlignment="0" applyProtection="0"/>
    <xf numFmtId="269" fontId="6" fillId="0" borderId="0" applyFont="0" applyFill="0" applyBorder="0" applyProtection="0">
      <alignment vertical="center"/>
    </xf>
    <xf numFmtId="38" fontId="6" fillId="0" borderId="0" applyFont="0" applyFill="0" applyBorder="0" applyProtection="0">
      <alignment vertical="center"/>
    </xf>
    <xf numFmtId="38" fontId="6" fillId="0" borderId="0" applyFont="0" applyFill="0" applyBorder="0" applyAlignment="0" applyProtection="0">
      <alignment vertical="center"/>
    </xf>
    <xf numFmtId="246" fontId="6" fillId="0" borderId="0" applyFont="0" applyFill="0" applyBorder="0" applyAlignment="0" applyProtection="0">
      <alignment vertical="center"/>
    </xf>
    <xf numFmtId="38" fontId="6" fillId="0" borderId="0" applyFill="0" applyBorder="0" applyAlignment="0" applyProtection="0">
      <alignment vertical="center"/>
    </xf>
    <xf numFmtId="0" fontId="120" fillId="0" borderId="27">
      <alignment horizontal="center" vertical="center"/>
    </xf>
    <xf numFmtId="254" fontId="112" fillId="0" borderId="0">
      <protection locked="0"/>
    </xf>
    <xf numFmtId="254" fontId="112" fillId="0" borderId="0">
      <protection locked="0"/>
    </xf>
    <xf numFmtId="254" fontId="112" fillId="0" borderId="0">
      <protection locked="0"/>
    </xf>
    <xf numFmtId="265" fontId="3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177" fontId="73" fillId="0" borderId="0" applyFont="0" applyFill="0" applyBorder="0" applyAlignment="0" applyProtection="0"/>
    <xf numFmtId="0" fontId="134" fillId="0" borderId="0" applyFont="0" applyFill="0" applyBorder="0" applyAlignment="0" applyProtection="0"/>
    <xf numFmtId="182" fontId="73" fillId="0" borderId="0" applyFont="0" applyFill="0" applyBorder="0" applyAlignment="0" applyProtection="0"/>
    <xf numFmtId="254" fontId="112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183" fontId="73" fillId="0" borderId="0" applyFont="0" applyFill="0" applyBorder="0" applyAlignment="0" applyProtection="0"/>
    <xf numFmtId="0" fontId="134" fillId="0" borderId="0" applyFont="0" applyFill="0" applyBorder="0" applyAlignment="0" applyProtection="0"/>
    <xf numFmtId="184" fontId="73" fillId="0" borderId="0" applyFont="0" applyFill="0" applyBorder="0" applyAlignment="0" applyProtection="0"/>
    <xf numFmtId="254" fontId="112" fillId="0" borderId="0">
      <protection locked="0"/>
    </xf>
    <xf numFmtId="254" fontId="133" fillId="0" borderId="0">
      <protection locked="0"/>
    </xf>
    <xf numFmtId="265" fontId="3" fillId="0" borderId="0">
      <protection locked="0"/>
    </xf>
    <xf numFmtId="0" fontId="73" fillId="0" borderId="0"/>
    <xf numFmtId="0" fontId="135" fillId="0" borderId="0"/>
    <xf numFmtId="0" fontId="136" fillId="0" borderId="0"/>
    <xf numFmtId="254" fontId="112" fillId="0" borderId="0">
      <protection locked="0"/>
    </xf>
    <xf numFmtId="0" fontId="20" fillId="0" borderId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137" fillId="0" borderId="0">
      <alignment horizontal="centerContinuous"/>
    </xf>
    <xf numFmtId="49" fontId="138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39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0" fontId="153" fillId="0" borderId="0" applyNumberForma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42" fillId="0" borderId="0" xfId="2837" applyFont="1">
      <alignment vertical="center"/>
    </xf>
    <xf numFmtId="0" fontId="142" fillId="7" borderId="0" xfId="2837" applyFont="1" applyFill="1">
      <alignment vertical="center"/>
    </xf>
    <xf numFmtId="0" fontId="141" fillId="0" borderId="0" xfId="2837" applyFont="1" applyAlignment="1">
      <alignment horizontal="center" vertical="center"/>
    </xf>
    <xf numFmtId="42" fontId="143" fillId="0" borderId="0" xfId="2837" applyNumberFormat="1" applyFont="1">
      <alignment vertical="center"/>
    </xf>
    <xf numFmtId="0" fontId="143" fillId="0" borderId="0" xfId="2842" applyFont="1"/>
    <xf numFmtId="41" fontId="142" fillId="0" borderId="0" xfId="1" applyFont="1" applyAlignment="1">
      <alignment horizontal="center" vertical="center"/>
    </xf>
    <xf numFmtId="41" fontId="142" fillId="0" borderId="0" xfId="1" applyFont="1" applyAlignment="1">
      <alignment horizontal="left" vertical="center"/>
    </xf>
    <xf numFmtId="260" fontId="142" fillId="0" borderId="0" xfId="1" applyNumberFormat="1" applyFont="1">
      <alignment vertical="center"/>
    </xf>
    <xf numFmtId="41" fontId="142" fillId="0" borderId="0" xfId="1" applyFont="1">
      <alignment vertical="center"/>
    </xf>
    <xf numFmtId="0" fontId="141" fillId="0" borderId="0" xfId="2837" applyFont="1">
      <alignment vertical="center"/>
    </xf>
    <xf numFmtId="42" fontId="146" fillId="0" borderId="0" xfId="2837" applyNumberFormat="1" applyFont="1">
      <alignment vertical="center"/>
    </xf>
    <xf numFmtId="0" fontId="148" fillId="0" borderId="0" xfId="2837" applyFont="1">
      <alignment vertical="center"/>
    </xf>
    <xf numFmtId="41" fontId="142" fillId="8" borderId="42" xfId="1" applyFont="1" applyFill="1" applyBorder="1" applyAlignment="1">
      <alignment horizontal="center" vertical="center"/>
    </xf>
    <xf numFmtId="41" fontId="142" fillId="8" borderId="43" xfId="1" applyFont="1" applyFill="1" applyBorder="1" applyAlignment="1">
      <alignment horizontal="center" vertical="center"/>
    </xf>
    <xf numFmtId="260" fontId="142" fillId="8" borderId="43" xfId="1" applyNumberFormat="1" applyFont="1" applyFill="1" applyBorder="1" applyAlignment="1">
      <alignment horizontal="center" vertical="center"/>
    </xf>
    <xf numFmtId="41" fontId="142" fillId="8" borderId="44" xfId="1" applyFont="1" applyFill="1" applyBorder="1" applyAlignment="1">
      <alignment horizontal="center" vertical="center"/>
    </xf>
    <xf numFmtId="0" fontId="147" fillId="8" borderId="45" xfId="0" applyFont="1" applyFill="1" applyBorder="1" applyAlignment="1">
      <alignment horizontal="center" vertical="center"/>
    </xf>
    <xf numFmtId="0" fontId="147" fillId="8" borderId="46" xfId="0" applyFont="1" applyFill="1" applyBorder="1" applyAlignment="1">
      <alignment horizontal="center" vertical="center"/>
    </xf>
    <xf numFmtId="41" fontId="148" fillId="8" borderId="46" xfId="1" applyFont="1" applyFill="1" applyBorder="1" applyAlignment="1">
      <alignment horizontal="center" vertical="center"/>
    </xf>
    <xf numFmtId="0" fontId="147" fillId="8" borderId="47" xfId="0" applyFont="1" applyFill="1" applyBorder="1">
      <alignment vertical="center"/>
    </xf>
    <xf numFmtId="41" fontId="142" fillId="10" borderId="0" xfId="1" applyFont="1" applyFill="1" applyBorder="1" applyAlignment="1">
      <alignment vertical="center"/>
    </xf>
    <xf numFmtId="41" fontId="142" fillId="0" borderId="48" xfId="1" applyFont="1" applyBorder="1" applyAlignment="1">
      <alignment horizontal="center" vertical="center"/>
    </xf>
    <xf numFmtId="41" fontId="142" fillId="0" borderId="48" xfId="1" applyFont="1" applyBorder="1" applyAlignment="1">
      <alignment horizontal="left" vertical="center"/>
    </xf>
    <xf numFmtId="260" fontId="142" fillId="0" borderId="48" xfId="1" applyNumberFormat="1" applyFont="1" applyBorder="1">
      <alignment vertical="center"/>
    </xf>
    <xf numFmtId="41" fontId="142" fillId="0" borderId="48" xfId="1" applyFont="1" applyBorder="1">
      <alignment vertical="center"/>
    </xf>
    <xf numFmtId="41" fontId="142" fillId="0" borderId="0" xfId="1" applyFont="1" applyBorder="1" applyAlignment="1">
      <alignment horizontal="center" vertical="center"/>
    </xf>
    <xf numFmtId="41" fontId="142" fillId="0" borderId="0" xfId="1" applyFont="1" applyBorder="1" applyAlignment="1">
      <alignment horizontal="left" vertical="center"/>
    </xf>
    <xf numFmtId="260" fontId="142" fillId="0" borderId="0" xfId="1" applyNumberFormat="1" applyFont="1" applyBorder="1">
      <alignment vertical="center"/>
    </xf>
    <xf numFmtId="41" fontId="142" fillId="0" borderId="0" xfId="1" applyFont="1" applyBorder="1">
      <alignment vertical="center"/>
    </xf>
    <xf numFmtId="0" fontId="142" fillId="0" borderId="52" xfId="2836" applyFont="1" applyBorder="1" applyAlignment="1">
      <alignment horizontal="center" vertical="center" shrinkToFit="1"/>
    </xf>
    <xf numFmtId="0" fontId="142" fillId="0" borderId="53" xfId="2836" applyFont="1" applyBorder="1" applyAlignment="1">
      <alignment horizontal="left" vertical="center" shrinkToFit="1"/>
    </xf>
    <xf numFmtId="41" fontId="142" fillId="0" borderId="53" xfId="1" applyFont="1" applyBorder="1" applyAlignment="1">
      <alignment horizontal="left" vertical="center"/>
    </xf>
    <xf numFmtId="260" fontId="142" fillId="0" borderId="53" xfId="1" applyNumberFormat="1" applyFont="1" applyBorder="1">
      <alignment vertical="center"/>
    </xf>
    <xf numFmtId="41" fontId="142" fillId="0" borderId="53" xfId="1" applyFont="1" applyBorder="1" applyAlignment="1">
      <alignment horizontal="center" vertical="center"/>
    </xf>
    <xf numFmtId="41" fontId="142" fillId="0" borderId="53" xfId="1" applyFont="1" applyBorder="1">
      <alignment vertical="center"/>
    </xf>
    <xf numFmtId="41" fontId="142" fillId="0" borderId="54" xfId="1" applyFont="1" applyBorder="1">
      <alignment vertical="center"/>
    </xf>
    <xf numFmtId="0" fontId="142" fillId="0" borderId="53" xfId="2836" applyFont="1" applyBorder="1" applyAlignment="1">
      <alignment vertical="center" shrinkToFit="1"/>
    </xf>
    <xf numFmtId="0" fontId="142" fillId="0" borderId="53" xfId="2836" applyFont="1" applyBorder="1" applyAlignment="1">
      <alignment vertical="center"/>
    </xf>
    <xf numFmtId="41" fontId="142" fillId="8" borderId="56" xfId="1" applyFont="1" applyFill="1" applyBorder="1">
      <alignment vertical="center"/>
    </xf>
    <xf numFmtId="41" fontId="142" fillId="8" borderId="57" xfId="1" applyFont="1" applyFill="1" applyBorder="1">
      <alignment vertical="center"/>
    </xf>
    <xf numFmtId="41" fontId="142" fillId="0" borderId="52" xfId="1" applyFont="1" applyBorder="1" applyAlignment="1">
      <alignment horizontal="center" vertical="center"/>
    </xf>
    <xf numFmtId="0" fontId="142" fillId="0" borderId="53" xfId="4292" applyFont="1" applyBorder="1" applyAlignment="1">
      <alignment horizontal="left" vertical="center" shrinkToFit="1"/>
    </xf>
    <xf numFmtId="41" fontId="142" fillId="0" borderId="53" xfId="1" applyFont="1" applyFill="1" applyBorder="1" applyAlignment="1">
      <alignment horizontal="left" vertical="center"/>
    </xf>
    <xf numFmtId="260" fontId="142" fillId="0" borderId="53" xfId="1" applyNumberFormat="1" applyFont="1" applyFill="1" applyBorder="1">
      <alignment vertical="center"/>
    </xf>
    <xf numFmtId="41" fontId="142" fillId="0" borderId="53" xfId="1" applyFont="1" applyFill="1" applyBorder="1" applyAlignment="1">
      <alignment horizontal="center" vertical="center"/>
    </xf>
    <xf numFmtId="41" fontId="142" fillId="0" borderId="53" xfId="1" applyFont="1" applyFill="1" applyBorder="1">
      <alignment vertical="center"/>
    </xf>
    <xf numFmtId="41" fontId="141" fillId="9" borderId="59" xfId="1" applyFont="1" applyFill="1" applyBorder="1">
      <alignment vertical="center"/>
    </xf>
    <xf numFmtId="41" fontId="141" fillId="9" borderId="60" xfId="1" applyFont="1" applyFill="1" applyBorder="1">
      <alignment vertical="center"/>
    </xf>
    <xf numFmtId="260" fontId="142" fillId="0" borderId="53" xfId="1" applyNumberFormat="1" applyFont="1" applyBorder="1" applyAlignment="1">
      <alignment horizontal="center" vertical="center"/>
    </xf>
    <xf numFmtId="260" fontId="142" fillId="0" borderId="53" xfId="1" applyNumberFormat="1" applyFont="1" applyBorder="1" applyAlignment="1">
      <alignment vertical="center"/>
    </xf>
    <xf numFmtId="41" fontId="142" fillId="0" borderId="53" xfId="4290" applyFont="1" applyBorder="1" applyAlignment="1">
      <alignment vertical="center" wrapText="1"/>
    </xf>
    <xf numFmtId="41" fontId="142" fillId="0" borderId="53" xfId="4290" applyFont="1" applyBorder="1" applyAlignment="1">
      <alignment horizontal="left" vertical="center"/>
    </xf>
    <xf numFmtId="41" fontId="144" fillId="0" borderId="54" xfId="1" applyFont="1" applyBorder="1" applyAlignment="1">
      <alignment horizontal="center" vertical="center"/>
    </xf>
    <xf numFmtId="41" fontId="144" fillId="0" borderId="54" xfId="1" applyFont="1" applyBorder="1">
      <alignment vertical="center"/>
    </xf>
    <xf numFmtId="41" fontId="144" fillId="0" borderId="53" xfId="1" applyFont="1" applyBorder="1" applyAlignment="1">
      <alignment horizontal="left" vertical="center"/>
    </xf>
    <xf numFmtId="41" fontId="142" fillId="0" borderId="53" xfId="4290" applyFont="1" applyBorder="1" applyAlignment="1">
      <alignment vertical="center"/>
    </xf>
    <xf numFmtId="41" fontId="142" fillId="0" borderId="53" xfId="4290" applyFont="1" applyFill="1" applyBorder="1" applyAlignment="1">
      <alignment vertical="center"/>
    </xf>
    <xf numFmtId="270" fontId="145" fillId="0" borderId="53" xfId="4291" applyNumberFormat="1" applyFont="1" applyBorder="1" applyAlignment="1">
      <alignment horizontal="left" vertical="center"/>
    </xf>
    <xf numFmtId="260" fontId="142" fillId="0" borderId="53" xfId="4290" applyNumberFormat="1" applyFont="1" applyBorder="1" applyAlignment="1">
      <alignment vertical="center"/>
    </xf>
    <xf numFmtId="0" fontId="142" fillId="0" borderId="53" xfId="1305" applyFont="1" applyBorder="1" applyAlignment="1">
      <alignment vertical="center"/>
    </xf>
    <xf numFmtId="41" fontId="142" fillId="0" borderId="53" xfId="4290" applyFont="1" applyFill="1" applyBorder="1" applyAlignment="1">
      <alignment vertical="center" wrapText="1"/>
    </xf>
    <xf numFmtId="260" fontId="142" fillId="0" borderId="53" xfId="4290" applyNumberFormat="1" applyFont="1" applyFill="1" applyBorder="1" applyAlignment="1">
      <alignment vertical="center"/>
    </xf>
    <xf numFmtId="41" fontId="142" fillId="0" borderId="53" xfId="4290" applyFont="1" applyFill="1" applyBorder="1" applyAlignment="1">
      <alignment horizontal="center" vertical="center"/>
    </xf>
    <xf numFmtId="41" fontId="144" fillId="0" borderId="53" xfId="4290" applyFont="1" applyFill="1" applyBorder="1" applyAlignment="1">
      <alignment vertical="center"/>
    </xf>
    <xf numFmtId="41" fontId="142" fillId="0" borderId="53" xfId="4290" applyFont="1" applyFill="1" applyBorder="1" applyAlignment="1">
      <alignment horizontal="center" vertical="center" wrapText="1"/>
    </xf>
    <xf numFmtId="41" fontId="150" fillId="11" borderId="52" xfId="1" applyFont="1" applyFill="1" applyBorder="1" applyAlignment="1">
      <alignment horizontal="center" vertical="center"/>
    </xf>
    <xf numFmtId="41" fontId="150" fillId="11" borderId="53" xfId="1" applyFont="1" applyFill="1" applyBorder="1" applyAlignment="1">
      <alignment horizontal="left" vertical="center"/>
    </xf>
    <xf numFmtId="41" fontId="150" fillId="11" borderId="49" xfId="1" applyFont="1" applyFill="1" applyBorder="1" applyAlignment="1">
      <alignment horizontal="center" vertical="center"/>
    </xf>
    <xf numFmtId="41" fontId="150" fillId="11" borderId="64" xfId="1" applyFont="1" applyFill="1" applyBorder="1" applyAlignment="1">
      <alignment vertical="center"/>
    </xf>
    <xf numFmtId="41" fontId="150" fillId="11" borderId="61" xfId="1" applyFont="1" applyFill="1" applyBorder="1" applyAlignment="1">
      <alignment vertical="center"/>
    </xf>
    <xf numFmtId="41" fontId="150" fillId="11" borderId="62" xfId="1" applyFont="1" applyFill="1" applyBorder="1" applyAlignment="1">
      <alignment vertical="center"/>
    </xf>
    <xf numFmtId="41" fontId="150" fillId="11" borderId="63" xfId="1" applyFont="1" applyFill="1" applyBorder="1" applyAlignment="1">
      <alignment vertical="center"/>
    </xf>
    <xf numFmtId="41" fontId="149" fillId="0" borderId="49" xfId="1" applyFont="1" applyBorder="1" applyAlignment="1">
      <alignment horizontal="center" vertical="center"/>
    </xf>
    <xf numFmtId="41" fontId="151" fillId="8" borderId="46" xfId="1" applyFont="1" applyFill="1" applyBorder="1" applyAlignment="1">
      <alignment horizontal="center" vertical="center"/>
    </xf>
    <xf numFmtId="41" fontId="149" fillId="0" borderId="0" xfId="1" applyFont="1" applyBorder="1" applyAlignment="1">
      <alignment horizontal="left" vertical="center"/>
    </xf>
    <xf numFmtId="0" fontId="152" fillId="0" borderId="0" xfId="2835" applyFont="1" applyAlignment="1">
      <alignment vertical="center"/>
    </xf>
    <xf numFmtId="41" fontId="152" fillId="0" borderId="0" xfId="1" applyFont="1" applyBorder="1" applyAlignment="1">
      <alignment vertical="center"/>
    </xf>
    <xf numFmtId="0" fontId="152" fillId="0" borderId="0" xfId="2835" applyFont="1" applyAlignment="1">
      <alignment horizontal="center" vertical="center"/>
    </xf>
    <xf numFmtId="0" fontId="152" fillId="0" borderId="0" xfId="2835" applyFont="1" applyAlignment="1">
      <alignment horizontal="left" vertical="center"/>
    </xf>
    <xf numFmtId="0" fontId="152" fillId="0" borderId="36" xfId="2835" applyFont="1" applyBorder="1" applyAlignment="1">
      <alignment vertical="center"/>
    </xf>
    <xf numFmtId="0" fontId="152" fillId="0" borderId="33" xfId="2835" applyFont="1" applyBorder="1" applyAlignment="1">
      <alignment vertical="center"/>
    </xf>
    <xf numFmtId="0" fontId="152" fillId="0" borderId="34" xfId="2835" applyFont="1" applyBorder="1" applyAlignment="1">
      <alignment vertical="center"/>
    </xf>
    <xf numFmtId="0" fontId="152" fillId="0" borderId="26" xfId="2835" applyFont="1" applyBorder="1" applyAlignment="1">
      <alignment vertical="center"/>
    </xf>
    <xf numFmtId="0" fontId="152" fillId="0" borderId="33" xfId="2835" applyFont="1" applyBorder="1" applyAlignment="1">
      <alignment horizontal="center" vertical="center"/>
    </xf>
    <xf numFmtId="0" fontId="152" fillId="0" borderId="33" xfId="2835" applyFont="1" applyBorder="1" applyAlignment="1">
      <alignment horizontal="right" vertical="center"/>
    </xf>
    <xf numFmtId="0" fontId="152" fillId="0" borderId="26" xfId="2836" applyFont="1" applyBorder="1" applyAlignment="1">
      <alignment horizontal="right" vertical="center"/>
    </xf>
    <xf numFmtId="0" fontId="152" fillId="0" borderId="40" xfId="2836" applyFont="1" applyBorder="1" applyAlignment="1">
      <alignment horizontal="center" vertical="center"/>
    </xf>
    <xf numFmtId="0" fontId="152" fillId="0" borderId="32" xfId="2835" applyFont="1" applyBorder="1" applyAlignment="1">
      <alignment vertical="center"/>
    </xf>
    <xf numFmtId="0" fontId="152" fillId="0" borderId="29" xfId="2835" applyFont="1" applyBorder="1" applyAlignment="1">
      <alignment vertical="center"/>
    </xf>
    <xf numFmtId="0" fontId="152" fillId="0" borderId="31" xfId="2835" applyFont="1" applyBorder="1" applyAlignment="1">
      <alignment vertical="center"/>
    </xf>
    <xf numFmtId="0" fontId="152" fillId="0" borderId="38" xfId="2835" applyFont="1" applyBorder="1" applyAlignment="1">
      <alignment vertical="center"/>
    </xf>
    <xf numFmtId="0" fontId="152" fillId="0" borderId="38" xfId="2836" applyFont="1" applyBorder="1" applyAlignment="1">
      <alignment horizontal="center" vertical="center"/>
    </xf>
    <xf numFmtId="0" fontId="152" fillId="0" borderId="37" xfId="2836" applyFont="1" applyBorder="1" applyAlignment="1">
      <alignment horizontal="center" vertical="center"/>
    </xf>
    <xf numFmtId="0" fontId="154" fillId="0" borderId="0" xfId="4293" applyFont="1" applyBorder="1" applyAlignment="1">
      <alignment horizontal="left" vertical="center"/>
    </xf>
    <xf numFmtId="0" fontId="152" fillId="0" borderId="11" xfId="2835" applyFont="1" applyBorder="1" applyAlignment="1">
      <alignment vertical="center"/>
    </xf>
    <xf numFmtId="0" fontId="152" fillId="0" borderId="1" xfId="2835" applyFont="1" applyBorder="1" applyAlignment="1">
      <alignment vertical="center"/>
    </xf>
    <xf numFmtId="0" fontId="152" fillId="0" borderId="66" xfId="2835" applyFont="1" applyBorder="1" applyAlignment="1">
      <alignment vertical="center"/>
    </xf>
    <xf numFmtId="0" fontId="152" fillId="8" borderId="67" xfId="2835" applyFont="1" applyFill="1" applyBorder="1" applyAlignment="1">
      <alignment horizontal="left" vertical="center"/>
    </xf>
    <xf numFmtId="0" fontId="152" fillId="0" borderId="68" xfId="2835" applyFont="1" applyBorder="1" applyAlignment="1">
      <alignment vertical="center"/>
    </xf>
    <xf numFmtId="0" fontId="152" fillId="0" borderId="9" xfId="2835" applyFont="1" applyBorder="1" applyAlignment="1">
      <alignment vertical="center"/>
    </xf>
    <xf numFmtId="0" fontId="152" fillId="8" borderId="41" xfId="2835" applyFont="1" applyFill="1" applyBorder="1" applyAlignment="1">
      <alignment horizontal="left" vertical="center"/>
    </xf>
    <xf numFmtId="0" fontId="152" fillId="8" borderId="62" xfId="2835" applyFont="1" applyFill="1" applyBorder="1" applyAlignment="1">
      <alignment horizontal="left" vertical="center"/>
    </xf>
    <xf numFmtId="0" fontId="158" fillId="0" borderId="0" xfId="2835" applyFont="1" applyAlignment="1">
      <alignment vertical="center"/>
    </xf>
    <xf numFmtId="41" fontId="152" fillId="0" borderId="0" xfId="2835" applyNumberFormat="1" applyFont="1" applyAlignment="1">
      <alignment vertical="center"/>
    </xf>
    <xf numFmtId="0" fontId="159" fillId="8" borderId="67" xfId="2835" applyFont="1" applyFill="1" applyBorder="1" applyAlignment="1">
      <alignment horizontal="left" vertical="center"/>
    </xf>
    <xf numFmtId="0" fontId="158" fillId="0" borderId="0" xfId="2835" applyFont="1" applyAlignment="1">
      <alignment horizontal="left" vertical="center"/>
    </xf>
    <xf numFmtId="0" fontId="152" fillId="0" borderId="69" xfId="2835" applyFont="1" applyBorder="1" applyAlignment="1">
      <alignment vertical="center"/>
    </xf>
    <xf numFmtId="0" fontId="152" fillId="0" borderId="48" xfId="2835" applyFont="1" applyBorder="1" applyAlignment="1">
      <alignment vertical="center"/>
    </xf>
    <xf numFmtId="0" fontId="152" fillId="0" borderId="70" xfId="2835" applyFont="1" applyBorder="1" applyAlignment="1">
      <alignment vertical="center"/>
    </xf>
    <xf numFmtId="0" fontId="160" fillId="0" borderId="0" xfId="2835" applyFont="1" applyAlignment="1">
      <alignment vertical="center"/>
    </xf>
    <xf numFmtId="41" fontId="149" fillId="0" borderId="71" xfId="1" applyFont="1" applyBorder="1" applyAlignment="1">
      <alignment horizontal="center" vertical="center"/>
    </xf>
    <xf numFmtId="0" fontId="142" fillId="0" borderId="73" xfId="2836" applyFont="1" applyBorder="1" applyAlignment="1">
      <alignment horizontal="center" vertical="center" shrinkToFit="1"/>
    </xf>
    <xf numFmtId="41" fontId="142" fillId="0" borderId="74" xfId="1" applyFont="1" applyBorder="1">
      <alignment vertical="center"/>
    </xf>
    <xf numFmtId="41" fontId="142" fillId="8" borderId="76" xfId="1" applyFont="1" applyFill="1" applyBorder="1">
      <alignment vertical="center"/>
    </xf>
    <xf numFmtId="41" fontId="142" fillId="8" borderId="77" xfId="1" applyFont="1" applyFill="1" applyBorder="1">
      <alignment vertical="center"/>
    </xf>
    <xf numFmtId="41" fontId="141" fillId="0" borderId="53" xfId="1" applyFont="1" applyFill="1" applyBorder="1">
      <alignment vertical="center"/>
    </xf>
    <xf numFmtId="41" fontId="141" fillId="12" borderId="48" xfId="1" applyFont="1" applyFill="1" applyBorder="1">
      <alignment vertical="center"/>
    </xf>
    <xf numFmtId="270" fontId="145" fillId="0" borderId="53" xfId="4291" applyNumberFormat="1" applyFont="1" applyBorder="1" applyAlignment="1">
      <alignment horizontal="center" vertical="center"/>
    </xf>
    <xf numFmtId="270" fontId="145" fillId="0" borderId="53" xfId="4291" applyNumberFormat="1" applyFont="1" applyBorder="1" applyAlignment="1">
      <alignment vertical="center" wrapText="1"/>
    </xf>
    <xf numFmtId="41" fontId="144" fillId="0" borderId="52" xfId="1" applyFont="1" applyBorder="1" applyAlignment="1">
      <alignment horizontal="center" vertical="center"/>
    </xf>
    <xf numFmtId="41" fontId="144" fillId="0" borderId="53" xfId="4290" applyFont="1" applyFill="1" applyBorder="1" applyAlignment="1">
      <alignment vertical="center" wrapText="1"/>
    </xf>
    <xf numFmtId="41" fontId="144" fillId="0" borderId="53" xfId="1" applyFont="1" applyBorder="1" applyAlignment="1">
      <alignment horizontal="center" vertical="center"/>
    </xf>
    <xf numFmtId="260" fontId="144" fillId="0" borderId="53" xfId="4290" applyNumberFormat="1" applyFont="1" applyFill="1" applyBorder="1" applyAlignment="1">
      <alignment vertical="center"/>
    </xf>
    <xf numFmtId="41" fontId="144" fillId="0" borderId="53" xfId="4290" applyFont="1" applyFill="1" applyBorder="1" applyAlignment="1">
      <alignment horizontal="center" vertical="center"/>
    </xf>
    <xf numFmtId="41" fontId="144" fillId="0" borderId="53" xfId="1" applyFont="1" applyBorder="1">
      <alignment vertical="center"/>
    </xf>
    <xf numFmtId="42" fontId="161" fillId="0" borderId="0" xfId="2837" applyNumberFormat="1" applyFont="1">
      <alignment vertical="center"/>
    </xf>
    <xf numFmtId="0" fontId="144" fillId="0" borderId="0" xfId="2837" applyFont="1">
      <alignment vertical="center"/>
    </xf>
    <xf numFmtId="41" fontId="142" fillId="0" borderId="54" xfId="1" applyFont="1" applyBorder="1" applyAlignment="1">
      <alignment horizontal="center" vertical="center"/>
    </xf>
    <xf numFmtId="0" fontId="152" fillId="0" borderId="39" xfId="2835" applyFont="1" applyBorder="1" applyAlignment="1">
      <alignment horizontal="center" vertical="center"/>
    </xf>
    <xf numFmtId="0" fontId="152" fillId="0" borderId="2" xfId="2835" applyFont="1" applyBorder="1" applyAlignment="1">
      <alignment horizontal="center" vertical="center"/>
    </xf>
    <xf numFmtId="0" fontId="152" fillId="0" borderId="14" xfId="2835" applyFont="1" applyBorder="1" applyAlignment="1">
      <alignment horizontal="center" vertical="center"/>
    </xf>
    <xf numFmtId="0" fontId="152" fillId="0" borderId="26" xfId="2836" applyFont="1" applyBorder="1" applyAlignment="1">
      <alignment horizontal="right" vertical="center"/>
    </xf>
    <xf numFmtId="183" fontId="152" fillId="0" borderId="35" xfId="2835" applyNumberFormat="1" applyFont="1" applyBorder="1" applyAlignment="1">
      <alignment horizontal="center" vertical="center"/>
    </xf>
    <xf numFmtId="0" fontId="152" fillId="0" borderId="34" xfId="2835" applyFont="1" applyBorder="1" applyAlignment="1">
      <alignment horizontal="center" vertical="center"/>
    </xf>
    <xf numFmtId="0" fontId="152" fillId="0" borderId="31" xfId="2836" applyFont="1" applyBorder="1" applyAlignment="1">
      <alignment horizontal="center" vertical="center"/>
    </xf>
    <xf numFmtId="0" fontId="152" fillId="0" borderId="30" xfId="2836" applyFont="1" applyBorder="1" applyAlignment="1">
      <alignment horizontal="center" vertical="center"/>
    </xf>
    <xf numFmtId="0" fontId="152" fillId="0" borderId="31" xfId="2835" applyFont="1" applyBorder="1" applyAlignment="1">
      <alignment horizontal="center" vertical="center"/>
    </xf>
    <xf numFmtId="0" fontId="152" fillId="0" borderId="29" xfId="2835" applyFont="1" applyBorder="1" applyAlignment="1">
      <alignment horizontal="center" vertical="center"/>
    </xf>
    <xf numFmtId="0" fontId="152" fillId="0" borderId="30" xfId="2835" applyFont="1" applyBorder="1" applyAlignment="1">
      <alignment horizontal="center" vertical="center"/>
    </xf>
    <xf numFmtId="41" fontId="152" fillId="0" borderId="41" xfId="2835" applyNumberFormat="1" applyFont="1" applyBorder="1" applyAlignment="1">
      <alignment vertical="center"/>
    </xf>
    <xf numFmtId="41" fontId="152" fillId="0" borderId="62" xfId="2835" applyNumberFormat="1" applyFont="1" applyBorder="1" applyAlignment="1">
      <alignment vertical="center"/>
    </xf>
    <xf numFmtId="41" fontId="159" fillId="0" borderId="67" xfId="2835" applyNumberFormat="1" applyFont="1" applyBorder="1" applyAlignment="1">
      <alignment vertical="center"/>
    </xf>
    <xf numFmtId="0" fontId="152" fillId="0" borderId="62" xfId="2835" applyFont="1" applyBorder="1" applyAlignment="1">
      <alignment horizontal="right" vertical="center"/>
    </xf>
    <xf numFmtId="0" fontId="152" fillId="0" borderId="41" xfId="2835" applyFont="1" applyBorder="1" applyAlignment="1">
      <alignment horizontal="right" vertical="center"/>
    </xf>
    <xf numFmtId="0" fontId="152" fillId="0" borderId="67" xfId="2835" applyFont="1" applyBorder="1" applyAlignment="1">
      <alignment horizontal="right" vertical="center"/>
    </xf>
    <xf numFmtId="0" fontId="157" fillId="0" borderId="41" xfId="4293" applyFont="1" applyBorder="1" applyAlignment="1">
      <alignment horizontal="right" vertical="center"/>
    </xf>
    <xf numFmtId="0" fontId="156" fillId="0" borderId="67" xfId="4293" applyFont="1" applyBorder="1" applyAlignment="1">
      <alignment horizontal="right" vertical="center"/>
    </xf>
    <xf numFmtId="0" fontId="155" fillId="0" borderId="67" xfId="2835" applyFont="1" applyBorder="1" applyAlignment="1">
      <alignment horizontal="right" vertical="center"/>
    </xf>
    <xf numFmtId="41" fontId="150" fillId="11" borderId="64" xfId="1" applyFont="1" applyFill="1" applyBorder="1" applyAlignment="1">
      <alignment horizontal="left" vertical="center"/>
    </xf>
    <xf numFmtId="41" fontId="150" fillId="11" borderId="41" xfId="1" applyFont="1" applyFill="1" applyBorder="1" applyAlignment="1">
      <alignment horizontal="left" vertical="center"/>
    </xf>
    <xf numFmtId="41" fontId="150" fillId="11" borderId="65" xfId="1" applyFont="1" applyFill="1" applyBorder="1" applyAlignment="1">
      <alignment horizontal="left" vertical="center"/>
    </xf>
    <xf numFmtId="41" fontId="142" fillId="8" borderId="55" xfId="1" applyFont="1" applyFill="1" applyBorder="1" applyAlignment="1">
      <alignment horizontal="center" vertical="center"/>
    </xf>
    <xf numFmtId="41" fontId="142" fillId="8" borderId="56" xfId="1" applyFont="1" applyFill="1" applyBorder="1" applyAlignment="1">
      <alignment horizontal="center" vertical="center"/>
    </xf>
    <xf numFmtId="41" fontId="141" fillId="9" borderId="58" xfId="1" applyFont="1" applyFill="1" applyBorder="1" applyAlignment="1">
      <alignment horizontal="center" vertical="center"/>
    </xf>
    <xf numFmtId="41" fontId="141" fillId="9" borderId="59" xfId="1" applyFont="1" applyFill="1" applyBorder="1" applyAlignment="1">
      <alignment horizontal="center" vertical="center"/>
    </xf>
    <xf numFmtId="41" fontId="150" fillId="0" borderId="50" xfId="1" applyFont="1" applyBorder="1" applyAlignment="1">
      <alignment horizontal="left" vertical="center"/>
    </xf>
    <xf numFmtId="41" fontId="150" fillId="0" borderId="51" xfId="1" applyFont="1" applyBorder="1" applyAlignment="1">
      <alignment horizontal="left" vertical="center"/>
    </xf>
    <xf numFmtId="41" fontId="142" fillId="8" borderId="43" xfId="1" applyFont="1" applyFill="1" applyBorder="1" applyAlignment="1">
      <alignment horizontal="center" vertical="center"/>
    </xf>
    <xf numFmtId="41" fontId="150" fillId="0" borderId="72" xfId="1" applyFont="1" applyBorder="1" applyAlignment="1">
      <alignment horizontal="left" vertical="center"/>
    </xf>
    <xf numFmtId="41" fontId="142" fillId="8" borderId="75" xfId="1" applyFont="1" applyFill="1" applyBorder="1" applyAlignment="1">
      <alignment horizontal="center" vertical="center"/>
    </xf>
    <xf numFmtId="41" fontId="142" fillId="8" borderId="76" xfId="1" applyFont="1" applyFill="1" applyBorder="1" applyAlignment="1">
      <alignment horizontal="center" vertical="center"/>
    </xf>
  </cellXfs>
  <cellStyles count="4294">
    <cellStyle name="_x0001_" xfId="4" xr:uid="{00000000-0005-0000-0000-000000000000}"/>
    <cellStyle name=" " xfId="5" xr:uid="{00000000-0005-0000-0000-000001000000}"/>
    <cellStyle name="' '" xfId="6" xr:uid="{00000000-0005-0000-0000-000002000000}"/>
    <cellStyle name="          _x000d__x000a_mouse.drv=lmouse.drv" xfId="7" xr:uid="{00000000-0005-0000-0000-000003000000}"/>
    <cellStyle name=" _97연말" xfId="8" xr:uid="{00000000-0005-0000-0000-000004000000}"/>
    <cellStyle name=" _97연말1" xfId="9" xr:uid="{00000000-0005-0000-0000-000005000000}"/>
    <cellStyle name=" _Book1" xfId="11" xr:uid="{00000000-0005-0000-0000-000006000000}"/>
    <cellStyle name=" _무역10월 " xfId="10" xr:uid="{00000000-0005-0000-0000-000007000000}"/>
    <cellStyle name="Ი_x000b_" xfId="12" xr:uid="{00000000-0005-0000-0000-000008000000}"/>
    <cellStyle name="&quot;" xfId="2838" xr:uid="{00000000-0005-0000-0000-000009000000}"/>
    <cellStyle name="#,##0" xfId="13" xr:uid="{00000000-0005-0000-0000-00000A000000}"/>
    <cellStyle name="#_품셈 " xfId="14" xr:uid="{00000000-0005-0000-0000-00000B000000}"/>
    <cellStyle name="$" xfId="15" xr:uid="{00000000-0005-0000-0000-00000C000000}"/>
    <cellStyle name="$_db진흥" xfId="18" xr:uid="{00000000-0005-0000-0000-00000D000000}"/>
    <cellStyle name="$_SE40" xfId="19" xr:uid="{00000000-0005-0000-0000-00000E000000}"/>
    <cellStyle name="$_견적2" xfId="16" xr:uid="{00000000-0005-0000-0000-00000F000000}"/>
    <cellStyle name="$_기아" xfId="17" xr:uid="{00000000-0005-0000-0000-000010000000}"/>
    <cellStyle name="(##.00)" xfId="2839" xr:uid="{00000000-0005-0000-0000-000011000000}"/>
    <cellStyle name="(△콤마)" xfId="20" xr:uid="{00000000-0005-0000-0000-000012000000}"/>
    <cellStyle name="(백분율)" xfId="21" xr:uid="{00000000-0005-0000-0000-000013000000}"/>
    <cellStyle name="(콤마)" xfId="22" xr:uid="{00000000-0005-0000-0000-000014000000}"/>
    <cellStyle name="??_x000c_둄_x001b__x000d_|?_x0001_?_x0003__x0014__x0007__x0001__x0001_" xfId="23" xr:uid="{00000000-0005-0000-0000-000015000000}"/>
    <cellStyle name="??&amp;5_x0007_?._x0007_9_x0008_??_x0007__x0001__x0001_" xfId="2840" xr:uid="{00000000-0005-0000-0000-000016000000}"/>
    <cellStyle name="??&amp;6_x0007_?/_x0007_9_x0008_??_x0007__x0001__x0001_" xfId="2841" xr:uid="{00000000-0005-0000-0000-000017000000}"/>
    <cellStyle name="??&amp;O?&amp;H?_x0008__x000f__x0007_?_x0007__x0001__x0001_" xfId="24" xr:uid="{00000000-0005-0000-0000-000018000000}"/>
    <cellStyle name="??&amp;O?&amp;H?_x0008_??_x0007__x0001__x0001_" xfId="25" xr:uid="{00000000-0005-0000-0000-000019000000}"/>
    <cellStyle name="??&amp;O?&amp;H?_x0008_??_x0007__x0001__x0001_ 2" xfId="26" xr:uid="{00000000-0005-0000-0000-00001A000000}"/>
    <cellStyle name="??&amp;O?&amp;H?_x0008__x000f__x0007_?_x0007__x0001__x0001__인테리어 공사 공내역2009.07.23최종(조과장)" xfId="27" xr:uid="{00000000-0005-0000-0000-00001B000000}"/>
    <cellStyle name="??&amp;멅?둃9_x0008_??_x0007__x0001__x0001_" xfId="2842" xr:uid="{00000000-0005-0000-0000-00001C000000}"/>
    <cellStyle name="??&amp;쏗?뷐9_x0008__x0011__x0007_?_x0007__x0001__x0001_" xfId="2843" xr:uid="{00000000-0005-0000-0000-00001D000000}"/>
    <cellStyle name="???­ [0]_±??¸" xfId="28" xr:uid="{00000000-0005-0000-0000-00001E000000}"/>
    <cellStyle name="???­_±??¸" xfId="29" xr:uid="{00000000-0005-0000-0000-00001F000000}"/>
    <cellStyle name="???Ø_??°???(2¿?) " xfId="30" xr:uid="{00000000-0005-0000-0000-000020000000}"/>
    <cellStyle name="??_pldt" xfId="31" xr:uid="{00000000-0005-0000-0000-000021000000}"/>
    <cellStyle name="?Þ¸¶ [0]_±??¸" xfId="33" xr:uid="{00000000-0005-0000-0000-000022000000}"/>
    <cellStyle name="?Þ¸¶_±??¸" xfId="34" xr:uid="{00000000-0005-0000-0000-000023000000}"/>
    <cellStyle name="?W?_laroux" xfId="35" xr:uid="{00000000-0005-0000-0000-000024000000}"/>
    <cellStyle name="?霖_??何喊 ?拌 " xfId="32" xr:uid="{00000000-0005-0000-0000-000025000000}"/>
    <cellStyle name="?曹%U?&amp;H?_x0008_?s_x000a__x0007__x0001__x0001_" xfId="2844" xr:uid="{00000000-0005-0000-0000-000026000000}"/>
    <cellStyle name="_(02.09.23  64,000평)인천 삼산1지구 2블럭 " xfId="2845" xr:uid="{00000000-0005-0000-0000-000027000000}"/>
    <cellStyle name="_(1월2일)" xfId="2846" xr:uid="{00000000-0005-0000-0000-000028000000}"/>
    <cellStyle name="_(주)울산물류창고 실행예산 061205" xfId="36" xr:uid="{00000000-0005-0000-0000-000029000000}"/>
    <cellStyle name="_★3차 제출  발산1단지 도급내역서(기계 페이지)" xfId="37" xr:uid="{00000000-0005-0000-0000-00002A000000}"/>
    <cellStyle name="_0.MOU(03년-06년)-수정안2-국공송부" xfId="38" xr:uid="{00000000-0005-0000-0000-00002B000000}"/>
    <cellStyle name="_00 하도급사항(적격제출본)-안산연구센터" xfId="39" xr:uid="{00000000-0005-0000-0000-00002C000000}"/>
    <cellStyle name="_00 하도급사항(적격제출본)-안산연구센터_(주)KCC 아산공장 위험물창고 증축공사-200684" xfId="40" xr:uid="{00000000-0005-0000-0000-00002D000000}"/>
    <cellStyle name="_000기본검토서양식" xfId="41" xr:uid="{00000000-0005-0000-0000-00002E000000}"/>
    <cellStyle name="_01 건축(1)기초" xfId="42" xr:uid="{00000000-0005-0000-0000-00002F000000}"/>
    <cellStyle name="_01 건축예산5(040517)" xfId="43" xr:uid="{00000000-0005-0000-0000-000030000000}"/>
    <cellStyle name="_01 총괄표 12월 6일" xfId="44" xr:uid="{00000000-0005-0000-0000-000031000000}"/>
    <cellStyle name="_01 표지~원가총괄표(납품)1차물가변동" xfId="45" xr:uid="{00000000-0005-0000-0000-000032000000}"/>
    <cellStyle name="_01.중소기업진흥공단(시설 및 위생관리) " xfId="46" xr:uid="{00000000-0005-0000-0000-000033000000}"/>
    <cellStyle name="_0106-06-007 금속 및 수장공사 단가견적- 대림" xfId="2847" xr:uid="{00000000-0005-0000-0000-000034000000}"/>
    <cellStyle name="_021224-단지인프라견적금액대비검토-030122수정" xfId="47" xr:uid="{00000000-0005-0000-0000-000035000000}"/>
    <cellStyle name="_03 기계경비(2000~2002)" xfId="48" xr:uid="{00000000-0005-0000-0000-000036000000}"/>
    <cellStyle name="_030121-견적금액대비검토-건설단-대박물관" xfId="49" xr:uid="{00000000-0005-0000-0000-000037000000}"/>
    <cellStyle name="_030121-단지INFRA내역-건설단검토" xfId="50" xr:uid="{00000000-0005-0000-0000-000038000000}"/>
    <cellStyle name="_0605뉴월드호텔 객실공사(11.12.14F)" xfId="2848" xr:uid="{00000000-0005-0000-0000-000039000000}"/>
    <cellStyle name="_060705-최종견적(디오_전체시공)" xfId="2849" xr:uid="{00000000-0005-0000-0000-00003A000000}"/>
    <cellStyle name="_0809 중점관리" xfId="51" xr:uid="{00000000-0005-0000-0000-00003B000000}"/>
    <cellStyle name="_1-01옥외전력간선및외등설비공사" xfId="52" xr:uid="{00000000-0005-0000-0000-00003C000000}"/>
    <cellStyle name="_10-27영등포마트 리뉴얼 인테리어 공사" xfId="2850" xr:uid="{00000000-0005-0000-0000-00003D000000}"/>
    <cellStyle name="_11.해운대 카이저빌(최종)" xfId="53" xr:uid="{00000000-0005-0000-0000-00003E000000}"/>
    <cellStyle name="_1115-견적서양식(현재)" xfId="2851" xr:uid="{00000000-0005-0000-0000-00003F000000}"/>
    <cellStyle name="_1-2공구 송배전(내역서)" xfId="54" xr:uid="{00000000-0005-0000-0000-000040000000}"/>
    <cellStyle name="_2004년수주계획" xfId="55" xr:uid="{00000000-0005-0000-0000-000041000000}"/>
    <cellStyle name="_2-4.상반기실적부문별요약" xfId="56" xr:uid="{00000000-0005-0000-0000-000042000000}"/>
    <cellStyle name="_2-4.상반기실적부문별요약(표지및목차포함)" xfId="57" xr:uid="{00000000-0005-0000-0000-000043000000}"/>
    <cellStyle name="_2-4.상반기실적부문별요약(표지및목차포함)_1" xfId="58" xr:uid="{00000000-0005-0000-0000-000044000000}"/>
    <cellStyle name="_2-4.상반기실적부문별요약_1" xfId="59" xr:uid="{00000000-0005-0000-0000-000045000000}"/>
    <cellStyle name="_4.청강문화산업대학 학생회관 임시전력-1" xfId="60" xr:uid="{00000000-0005-0000-0000-000046000000}"/>
    <cellStyle name="_5. 총괄표" xfId="61" xr:uid="{00000000-0005-0000-0000-000047000000}"/>
    <cellStyle name="_5.청강대 학생회관" xfId="62" xr:uid="{00000000-0005-0000-0000-000048000000}"/>
    <cellStyle name="_'99상반기경영개선활동결과(게시용)" xfId="63" xr:uid="{00000000-0005-0000-0000-000049000000}"/>
    <cellStyle name="_AA" xfId="4154" xr:uid="{00000000-0005-0000-0000-00004A000000}"/>
    <cellStyle name="_B F SPOOL FINAL1122" xfId="754" xr:uid="{00000000-0005-0000-0000-00004B000000}"/>
    <cellStyle name="_B F SPOOL FINAL1122_B F SPOOL FINAL" xfId="772" xr:uid="{00000000-0005-0000-0000-00004C000000}"/>
    <cellStyle name="_B F SPOOL FINAL1122_B F SPOOL FINAL_내역서" xfId="773" xr:uid="{00000000-0005-0000-0000-00004D000000}"/>
    <cellStyle name="_B F SPOOL FINAL1122_B F SPOOL FINAL_순서1(PM &amp; 생기부)" xfId="774" xr:uid="{00000000-0005-0000-0000-00004E000000}"/>
    <cellStyle name="_B F SPOOL FINAL1122_B F SPOOL FINAL_순서1(PM &amp; 생기부)_내역서" xfId="775" xr:uid="{00000000-0005-0000-0000-00004F000000}"/>
    <cellStyle name="_B F SPOOL FINAL1122_B F SPOOL FINAL_잔업계획실적(9월)" xfId="776" xr:uid="{00000000-0005-0000-0000-000050000000}"/>
    <cellStyle name="_B F SPOOL FINAL1122_B F SPOOL FINAL_잔업계획실적(9월)_내역서" xfId="777" xr:uid="{00000000-0005-0000-0000-000051000000}"/>
    <cellStyle name="_B F SPOOL FINAL1122_B F SPOOL FINAL1122" xfId="778" xr:uid="{00000000-0005-0000-0000-000052000000}"/>
    <cellStyle name="_B F SPOOL FINAL1122_B F SPOOL FINAL1122_내역서" xfId="779" xr:uid="{00000000-0005-0000-0000-000053000000}"/>
    <cellStyle name="_B F SPOOL FINAL1122_B F SPOOL FINAL1122_순서1(PM &amp; 생기부)" xfId="780" xr:uid="{00000000-0005-0000-0000-000054000000}"/>
    <cellStyle name="_B F SPOOL FINAL1122_B F SPOOL FINAL1122_순서1(PM &amp; 생기부)_내역서" xfId="781" xr:uid="{00000000-0005-0000-0000-000055000000}"/>
    <cellStyle name="_B F SPOOL FINAL1122_B F SPOOL FINAL1122_잔업계획실적(9월)" xfId="782" xr:uid="{00000000-0005-0000-0000-000056000000}"/>
    <cellStyle name="_B F SPOOL FINAL1122_B F SPOOL FINAL1122_잔업계획실적(9월)_내역서" xfId="783" xr:uid="{00000000-0005-0000-0000-000057000000}"/>
    <cellStyle name="_B F SPOOL FINAL1122_B F SPOOL FINAL-설계물량-실험용" xfId="784" xr:uid="{00000000-0005-0000-0000-000058000000}"/>
    <cellStyle name="_B F SPOOL FINAL1122_B F SPOOL FINAL-설계물량-실험용_내역서" xfId="785" xr:uid="{00000000-0005-0000-0000-000059000000}"/>
    <cellStyle name="_B F SPOOL FINAL1122_B F SPOOL FINAL-설계물량-실험용_순서1(PM &amp; 생기부)" xfId="786" xr:uid="{00000000-0005-0000-0000-00005A000000}"/>
    <cellStyle name="_B F SPOOL FINAL1122_B F SPOOL FINAL-설계물량-실험용_순서1(PM &amp; 생기부)_내역서" xfId="787" xr:uid="{00000000-0005-0000-0000-00005B000000}"/>
    <cellStyle name="_B F SPOOL FINAL1122_B F SPOOL FINAL-설계물량-실험용_잔업계획실적(9월)" xfId="788" xr:uid="{00000000-0005-0000-0000-00005C000000}"/>
    <cellStyle name="_B F SPOOL FINAL1122_B F SPOOL FINAL-설계물량-실험용_잔업계획실적(9월)_내역서" xfId="789" xr:uid="{00000000-0005-0000-0000-00005D000000}"/>
    <cellStyle name="_B F SPOOL FINAL1122_B F SPOOL 입고 및 설치현황" xfId="760" xr:uid="{00000000-0005-0000-0000-00005E000000}"/>
    <cellStyle name="_B F SPOOL FINAL1122_B F SPOOL 입고 및 설치현황_내역서" xfId="761" xr:uid="{00000000-0005-0000-0000-00005F000000}"/>
    <cellStyle name="_B F SPOOL FINAL1122_B F SPOOL 입고 및 설치현황_순서1(PM &amp; 생기부)" xfId="762" xr:uid="{00000000-0005-0000-0000-000060000000}"/>
    <cellStyle name="_B F SPOOL FINAL1122_B F SPOOL 입고 및 설치현황_순서1(PM &amp; 생기부)_내역서" xfId="763" xr:uid="{00000000-0005-0000-0000-000061000000}"/>
    <cellStyle name="_B F SPOOL FINAL1122_B F SPOOL 입고 및 설치현황_잔업계획실적(9월)" xfId="764" xr:uid="{00000000-0005-0000-0000-000062000000}"/>
    <cellStyle name="_B F SPOOL FINAL1122_B F SPOOL 입고 및 설치현황_잔업계획실적(9월)_내역서" xfId="765" xr:uid="{00000000-0005-0000-0000-000063000000}"/>
    <cellStyle name="_B F SPOOL FINAL1122_B F SPOOL 입고 및 설치현황-B" xfId="766" xr:uid="{00000000-0005-0000-0000-000064000000}"/>
    <cellStyle name="_B F SPOOL FINAL1122_B F SPOOL 입고 및 설치현황-B_내역서" xfId="767" xr:uid="{00000000-0005-0000-0000-000065000000}"/>
    <cellStyle name="_B F SPOOL FINAL1122_B F SPOOL 입고 및 설치현황-B_순서1(PM &amp; 생기부)" xfId="768" xr:uid="{00000000-0005-0000-0000-000066000000}"/>
    <cellStyle name="_B F SPOOL FINAL1122_B F SPOOL 입고 및 설치현황-B_순서1(PM &amp; 생기부)_내역서" xfId="769" xr:uid="{00000000-0005-0000-0000-000067000000}"/>
    <cellStyle name="_B F SPOOL FINAL1122_B F SPOOL 입고 및 설치현황-B_잔업계획실적(9월)" xfId="770" xr:uid="{00000000-0005-0000-0000-000068000000}"/>
    <cellStyle name="_B F SPOOL FINAL1122_B F SPOOL 입고 및 설치현황-B_잔업계획실적(9월)_내역서" xfId="771" xr:uid="{00000000-0005-0000-0000-000069000000}"/>
    <cellStyle name="_B F SPOOL FINAL1122_KIZOMBA SPOOL 입고 및 설치현황(최종)" xfId="790" xr:uid="{00000000-0005-0000-0000-00006A000000}"/>
    <cellStyle name="_B F SPOOL FINAL1122_KIZOMBA SPOOL 입고 및 설치현황(최종)_내역서" xfId="791" xr:uid="{00000000-0005-0000-0000-00006B000000}"/>
    <cellStyle name="_B F SPOOL FINAL1122_KIZOMBA SPOOL 입고 및 설치현황(최종)_순서1(PM &amp; 생기부)" xfId="792" xr:uid="{00000000-0005-0000-0000-00006C000000}"/>
    <cellStyle name="_B F SPOOL FINAL1122_KIZOMBA SPOOL 입고 및 설치현황(최종)_순서1(PM &amp; 생기부)_내역서" xfId="793" xr:uid="{00000000-0005-0000-0000-00006D000000}"/>
    <cellStyle name="_B F SPOOL FINAL1122_KIZOMBA SPOOL 입고 및 설치현황(최종)_잔업계획실적(9월)" xfId="794" xr:uid="{00000000-0005-0000-0000-00006E000000}"/>
    <cellStyle name="_B F SPOOL FINAL1122_KIZOMBA SPOOL 입고 및 설치현황(최종)_잔업계획실적(9월)_내역서" xfId="795" xr:uid="{00000000-0005-0000-0000-00006F000000}"/>
    <cellStyle name="_B F SPOOL FINAL1122_내역서" xfId="755" xr:uid="{00000000-0005-0000-0000-000070000000}"/>
    <cellStyle name="_B F SPOOL FINAL1122_순서1(PM &amp; 생기부)" xfId="756" xr:uid="{00000000-0005-0000-0000-000071000000}"/>
    <cellStyle name="_B F SPOOL FINAL1122_순서1(PM &amp; 생기부)_내역서" xfId="757" xr:uid="{00000000-0005-0000-0000-000072000000}"/>
    <cellStyle name="_B F SPOOL FINAL1122_잔업계획실적(9월)" xfId="758" xr:uid="{00000000-0005-0000-0000-000073000000}"/>
    <cellStyle name="_B F SPOOL FINAL1122_잔업계획실적(9월)_내역서" xfId="759" xr:uid="{00000000-0005-0000-0000-000074000000}"/>
    <cellStyle name="_bitoville(제출내역)-발주처제출2(식포함)" xfId="4155" xr:uid="{00000000-0005-0000-0000-000075000000}"/>
    <cellStyle name="_BLK SUP'T-SP'L TOTAL" xfId="796" xr:uid="{00000000-0005-0000-0000-000076000000}"/>
    <cellStyle name="_BLK SUP'T-SP'L TOTAL_B F SPOOL FINAL1122" xfId="802" xr:uid="{00000000-0005-0000-0000-000077000000}"/>
    <cellStyle name="_BLK SUP'T-SP'L TOTAL_B F SPOOL FINAL1122_B F SPOOL FINAL" xfId="820" xr:uid="{00000000-0005-0000-0000-000078000000}"/>
    <cellStyle name="_BLK SUP'T-SP'L TOTAL_B F SPOOL FINAL1122_B F SPOOL FINAL_내역서" xfId="821" xr:uid="{00000000-0005-0000-0000-000079000000}"/>
    <cellStyle name="_BLK SUP'T-SP'L TOTAL_B F SPOOL FINAL1122_B F SPOOL FINAL_순서1(PM &amp; 생기부)" xfId="822" xr:uid="{00000000-0005-0000-0000-00007A000000}"/>
    <cellStyle name="_BLK SUP'T-SP'L TOTAL_B F SPOOL FINAL1122_B F SPOOL FINAL_순서1(PM &amp; 생기부)_내역서" xfId="823" xr:uid="{00000000-0005-0000-0000-00007B000000}"/>
    <cellStyle name="_BLK SUP'T-SP'L TOTAL_B F SPOOL FINAL1122_B F SPOOL FINAL_잔업계획실적(9월)" xfId="824" xr:uid="{00000000-0005-0000-0000-00007C000000}"/>
    <cellStyle name="_BLK SUP'T-SP'L TOTAL_B F SPOOL FINAL1122_B F SPOOL FINAL_잔업계획실적(9월)_내역서" xfId="825" xr:uid="{00000000-0005-0000-0000-00007D000000}"/>
    <cellStyle name="_BLK SUP'T-SP'L TOTAL_B F SPOOL FINAL1122_B F SPOOL FINAL1122" xfId="826" xr:uid="{00000000-0005-0000-0000-00007E000000}"/>
    <cellStyle name="_BLK SUP'T-SP'L TOTAL_B F SPOOL FINAL1122_B F SPOOL FINAL1122_내역서" xfId="827" xr:uid="{00000000-0005-0000-0000-00007F000000}"/>
    <cellStyle name="_BLK SUP'T-SP'L TOTAL_B F SPOOL FINAL1122_B F SPOOL FINAL1122_순서1(PM &amp; 생기부)" xfId="828" xr:uid="{00000000-0005-0000-0000-000080000000}"/>
    <cellStyle name="_BLK SUP'T-SP'L TOTAL_B F SPOOL FINAL1122_B F SPOOL FINAL1122_순서1(PM &amp; 생기부)_내역서" xfId="829" xr:uid="{00000000-0005-0000-0000-000081000000}"/>
    <cellStyle name="_BLK SUP'T-SP'L TOTAL_B F SPOOL FINAL1122_B F SPOOL FINAL1122_잔업계획실적(9월)" xfId="830" xr:uid="{00000000-0005-0000-0000-000082000000}"/>
    <cellStyle name="_BLK SUP'T-SP'L TOTAL_B F SPOOL FINAL1122_B F SPOOL FINAL1122_잔업계획실적(9월)_내역서" xfId="831" xr:uid="{00000000-0005-0000-0000-000083000000}"/>
    <cellStyle name="_BLK SUP'T-SP'L TOTAL_B F SPOOL FINAL1122_B F SPOOL FINAL-설계물량-실험용" xfId="832" xr:uid="{00000000-0005-0000-0000-000084000000}"/>
    <cellStyle name="_BLK SUP'T-SP'L TOTAL_B F SPOOL FINAL1122_B F SPOOL FINAL-설계물량-실험용_내역서" xfId="833" xr:uid="{00000000-0005-0000-0000-000085000000}"/>
    <cellStyle name="_BLK SUP'T-SP'L TOTAL_B F SPOOL FINAL1122_B F SPOOL FINAL-설계물량-실험용_순서1(PM &amp; 생기부)" xfId="834" xr:uid="{00000000-0005-0000-0000-000086000000}"/>
    <cellStyle name="_BLK SUP'T-SP'L TOTAL_B F SPOOL FINAL1122_B F SPOOL FINAL-설계물량-실험용_순서1(PM &amp; 생기부)_내역서" xfId="835" xr:uid="{00000000-0005-0000-0000-000087000000}"/>
    <cellStyle name="_BLK SUP'T-SP'L TOTAL_B F SPOOL FINAL1122_B F SPOOL FINAL-설계물량-실험용_잔업계획실적(9월)" xfId="836" xr:uid="{00000000-0005-0000-0000-000088000000}"/>
    <cellStyle name="_BLK SUP'T-SP'L TOTAL_B F SPOOL FINAL1122_B F SPOOL FINAL-설계물량-실험용_잔업계획실적(9월)_내역서" xfId="837" xr:uid="{00000000-0005-0000-0000-000089000000}"/>
    <cellStyle name="_BLK SUP'T-SP'L TOTAL_B F SPOOL FINAL1122_B F SPOOL 입고 및 설치현황" xfId="808" xr:uid="{00000000-0005-0000-0000-00008A000000}"/>
    <cellStyle name="_BLK SUP'T-SP'L TOTAL_B F SPOOL FINAL1122_B F SPOOL 입고 및 설치현황_내역서" xfId="809" xr:uid="{00000000-0005-0000-0000-00008B000000}"/>
    <cellStyle name="_BLK SUP'T-SP'L TOTAL_B F SPOOL FINAL1122_B F SPOOL 입고 및 설치현황_순서1(PM &amp; 생기부)" xfId="810" xr:uid="{00000000-0005-0000-0000-00008C000000}"/>
    <cellStyle name="_BLK SUP'T-SP'L TOTAL_B F SPOOL FINAL1122_B F SPOOL 입고 및 설치현황_순서1(PM &amp; 생기부)_내역서" xfId="811" xr:uid="{00000000-0005-0000-0000-00008D000000}"/>
    <cellStyle name="_BLK SUP'T-SP'L TOTAL_B F SPOOL FINAL1122_B F SPOOL 입고 및 설치현황_잔업계획실적(9월)" xfId="812" xr:uid="{00000000-0005-0000-0000-00008E000000}"/>
    <cellStyle name="_BLK SUP'T-SP'L TOTAL_B F SPOOL FINAL1122_B F SPOOL 입고 및 설치현황_잔업계획실적(9월)_내역서" xfId="813" xr:uid="{00000000-0005-0000-0000-00008F000000}"/>
    <cellStyle name="_BLK SUP'T-SP'L TOTAL_B F SPOOL FINAL1122_B F SPOOL 입고 및 설치현황-B" xfId="814" xr:uid="{00000000-0005-0000-0000-000090000000}"/>
    <cellStyle name="_BLK SUP'T-SP'L TOTAL_B F SPOOL FINAL1122_B F SPOOL 입고 및 설치현황-B_내역서" xfId="815" xr:uid="{00000000-0005-0000-0000-000091000000}"/>
    <cellStyle name="_BLK SUP'T-SP'L TOTAL_B F SPOOL FINAL1122_B F SPOOL 입고 및 설치현황-B_순서1(PM &amp; 생기부)" xfId="816" xr:uid="{00000000-0005-0000-0000-000092000000}"/>
    <cellStyle name="_BLK SUP'T-SP'L TOTAL_B F SPOOL FINAL1122_B F SPOOL 입고 및 설치현황-B_순서1(PM &amp; 생기부)_내역서" xfId="817" xr:uid="{00000000-0005-0000-0000-000093000000}"/>
    <cellStyle name="_BLK SUP'T-SP'L TOTAL_B F SPOOL FINAL1122_B F SPOOL 입고 및 설치현황-B_잔업계획실적(9월)" xfId="818" xr:uid="{00000000-0005-0000-0000-000094000000}"/>
    <cellStyle name="_BLK SUP'T-SP'L TOTAL_B F SPOOL FINAL1122_B F SPOOL 입고 및 설치현황-B_잔업계획실적(9월)_내역서" xfId="819" xr:uid="{00000000-0005-0000-0000-000095000000}"/>
    <cellStyle name="_BLK SUP'T-SP'L TOTAL_B F SPOOL FINAL1122_KIZOMBA SPOOL 입고 및 설치현황(최종)" xfId="838" xr:uid="{00000000-0005-0000-0000-000096000000}"/>
    <cellStyle name="_BLK SUP'T-SP'L TOTAL_B F SPOOL FINAL1122_KIZOMBA SPOOL 입고 및 설치현황(최종)_내역서" xfId="839" xr:uid="{00000000-0005-0000-0000-000097000000}"/>
    <cellStyle name="_BLK SUP'T-SP'L TOTAL_B F SPOOL FINAL1122_KIZOMBA SPOOL 입고 및 설치현황(최종)_순서1(PM &amp; 생기부)" xfId="840" xr:uid="{00000000-0005-0000-0000-000098000000}"/>
    <cellStyle name="_BLK SUP'T-SP'L TOTAL_B F SPOOL FINAL1122_KIZOMBA SPOOL 입고 및 설치현황(최종)_순서1(PM &amp; 생기부)_내역서" xfId="841" xr:uid="{00000000-0005-0000-0000-000099000000}"/>
    <cellStyle name="_BLK SUP'T-SP'L TOTAL_B F SPOOL FINAL1122_KIZOMBA SPOOL 입고 및 설치현황(최종)_잔업계획실적(9월)" xfId="842" xr:uid="{00000000-0005-0000-0000-00009A000000}"/>
    <cellStyle name="_BLK SUP'T-SP'L TOTAL_B F SPOOL FINAL1122_KIZOMBA SPOOL 입고 및 설치현황(최종)_잔업계획실적(9월)_내역서" xfId="843" xr:uid="{00000000-0005-0000-0000-00009B000000}"/>
    <cellStyle name="_BLK SUP'T-SP'L TOTAL_B F SPOOL FINAL1122_내역서" xfId="803" xr:uid="{00000000-0005-0000-0000-00009C000000}"/>
    <cellStyle name="_BLK SUP'T-SP'L TOTAL_B F SPOOL FINAL1122_순서1(PM &amp; 생기부)" xfId="804" xr:uid="{00000000-0005-0000-0000-00009D000000}"/>
    <cellStyle name="_BLK SUP'T-SP'L TOTAL_B F SPOOL FINAL1122_순서1(PM &amp; 생기부)_내역서" xfId="805" xr:uid="{00000000-0005-0000-0000-00009E000000}"/>
    <cellStyle name="_BLK SUP'T-SP'L TOTAL_B F SPOOL FINAL1122_잔업계획실적(9월)" xfId="806" xr:uid="{00000000-0005-0000-0000-00009F000000}"/>
    <cellStyle name="_BLK SUP'T-SP'L TOTAL_B F SPOOL FINAL1122_잔업계획실적(9월)_내역서" xfId="807" xr:uid="{00000000-0005-0000-0000-0000A0000000}"/>
    <cellStyle name="_BLK SUP'T-SP'L TOTAL_BLK SUP'T-SP'L TOTAL" xfId="844" xr:uid="{00000000-0005-0000-0000-0000A1000000}"/>
    <cellStyle name="_BLK SUP'T-SP'L TOTAL_BLK SUP'T-SP'L TOTAL_B F SPOOL FINAL1122" xfId="850" xr:uid="{00000000-0005-0000-0000-0000A2000000}"/>
    <cellStyle name="_BLK SUP'T-SP'L TOTAL_BLK SUP'T-SP'L TOTAL_B F SPOOL FINAL1122_B F SPOOL FINAL" xfId="868" xr:uid="{00000000-0005-0000-0000-0000A3000000}"/>
    <cellStyle name="_BLK SUP'T-SP'L TOTAL_BLK SUP'T-SP'L TOTAL_B F SPOOL FINAL1122_B F SPOOL FINAL_내역서" xfId="869" xr:uid="{00000000-0005-0000-0000-0000A4000000}"/>
    <cellStyle name="_BLK SUP'T-SP'L TOTAL_BLK SUP'T-SP'L TOTAL_B F SPOOL FINAL1122_B F SPOOL FINAL_순서1(PM &amp; 생기부)" xfId="870" xr:uid="{00000000-0005-0000-0000-0000A5000000}"/>
    <cellStyle name="_BLK SUP'T-SP'L TOTAL_BLK SUP'T-SP'L TOTAL_B F SPOOL FINAL1122_B F SPOOL FINAL_순서1(PM &amp; 생기부)_내역서" xfId="871" xr:uid="{00000000-0005-0000-0000-0000A6000000}"/>
    <cellStyle name="_BLK SUP'T-SP'L TOTAL_BLK SUP'T-SP'L TOTAL_B F SPOOL FINAL1122_B F SPOOL FINAL_잔업계획실적(9월)" xfId="872" xr:uid="{00000000-0005-0000-0000-0000A7000000}"/>
    <cellStyle name="_BLK SUP'T-SP'L TOTAL_BLK SUP'T-SP'L TOTAL_B F SPOOL FINAL1122_B F SPOOL FINAL_잔업계획실적(9월)_내역서" xfId="873" xr:uid="{00000000-0005-0000-0000-0000A8000000}"/>
    <cellStyle name="_BLK SUP'T-SP'L TOTAL_BLK SUP'T-SP'L TOTAL_B F SPOOL FINAL1122_B F SPOOL FINAL1122" xfId="874" xr:uid="{00000000-0005-0000-0000-0000A9000000}"/>
    <cellStyle name="_BLK SUP'T-SP'L TOTAL_BLK SUP'T-SP'L TOTAL_B F SPOOL FINAL1122_B F SPOOL FINAL1122_내역서" xfId="875" xr:uid="{00000000-0005-0000-0000-0000AA000000}"/>
    <cellStyle name="_BLK SUP'T-SP'L TOTAL_BLK SUP'T-SP'L TOTAL_B F SPOOL FINAL1122_B F SPOOL FINAL1122_순서1(PM &amp; 생기부)" xfId="876" xr:uid="{00000000-0005-0000-0000-0000AB000000}"/>
    <cellStyle name="_BLK SUP'T-SP'L TOTAL_BLK SUP'T-SP'L TOTAL_B F SPOOL FINAL1122_B F SPOOL FINAL1122_순서1(PM &amp; 생기부)_내역서" xfId="877" xr:uid="{00000000-0005-0000-0000-0000AC000000}"/>
    <cellStyle name="_BLK SUP'T-SP'L TOTAL_BLK SUP'T-SP'L TOTAL_B F SPOOL FINAL1122_B F SPOOL FINAL1122_잔업계획실적(9월)" xfId="878" xr:uid="{00000000-0005-0000-0000-0000AD000000}"/>
    <cellStyle name="_BLK SUP'T-SP'L TOTAL_BLK SUP'T-SP'L TOTAL_B F SPOOL FINAL1122_B F SPOOL FINAL1122_잔업계획실적(9월)_내역서" xfId="879" xr:uid="{00000000-0005-0000-0000-0000AE000000}"/>
    <cellStyle name="_BLK SUP'T-SP'L TOTAL_BLK SUP'T-SP'L TOTAL_B F SPOOL FINAL1122_B F SPOOL FINAL-설계물량-실험용" xfId="880" xr:uid="{00000000-0005-0000-0000-0000AF000000}"/>
    <cellStyle name="_BLK SUP'T-SP'L TOTAL_BLK SUP'T-SP'L TOTAL_B F SPOOL FINAL1122_B F SPOOL FINAL-설계물량-실험용_내역서" xfId="881" xr:uid="{00000000-0005-0000-0000-0000B0000000}"/>
    <cellStyle name="_BLK SUP'T-SP'L TOTAL_BLK SUP'T-SP'L TOTAL_B F SPOOL FINAL1122_B F SPOOL FINAL-설계물량-실험용_순서1(PM &amp; 생기부)" xfId="882" xr:uid="{00000000-0005-0000-0000-0000B1000000}"/>
    <cellStyle name="_BLK SUP'T-SP'L TOTAL_BLK SUP'T-SP'L TOTAL_B F SPOOL FINAL1122_B F SPOOL FINAL-설계물량-실험용_순서1(PM &amp; 생기부)_내역서" xfId="883" xr:uid="{00000000-0005-0000-0000-0000B2000000}"/>
    <cellStyle name="_BLK SUP'T-SP'L TOTAL_BLK SUP'T-SP'L TOTAL_B F SPOOL FINAL1122_B F SPOOL FINAL-설계물량-실험용_잔업계획실적(9월)" xfId="884" xr:uid="{00000000-0005-0000-0000-0000B3000000}"/>
    <cellStyle name="_BLK SUP'T-SP'L TOTAL_BLK SUP'T-SP'L TOTAL_B F SPOOL FINAL1122_B F SPOOL FINAL-설계물량-실험용_잔업계획실적(9월)_내역서" xfId="885" xr:uid="{00000000-0005-0000-0000-0000B4000000}"/>
    <cellStyle name="_BLK SUP'T-SP'L TOTAL_BLK SUP'T-SP'L TOTAL_B F SPOOL FINAL1122_B F SPOOL 입고 및 설치현황" xfId="856" xr:uid="{00000000-0005-0000-0000-0000B5000000}"/>
    <cellStyle name="_BLK SUP'T-SP'L TOTAL_BLK SUP'T-SP'L TOTAL_B F SPOOL FINAL1122_B F SPOOL 입고 및 설치현황_내역서" xfId="857" xr:uid="{00000000-0005-0000-0000-0000B6000000}"/>
    <cellStyle name="_BLK SUP'T-SP'L TOTAL_BLK SUP'T-SP'L TOTAL_B F SPOOL FINAL1122_B F SPOOL 입고 및 설치현황_순서1(PM &amp; 생기부)" xfId="858" xr:uid="{00000000-0005-0000-0000-0000B7000000}"/>
    <cellStyle name="_BLK SUP'T-SP'L TOTAL_BLK SUP'T-SP'L TOTAL_B F SPOOL FINAL1122_B F SPOOL 입고 및 설치현황_순서1(PM &amp; 생기부)_내역서" xfId="859" xr:uid="{00000000-0005-0000-0000-0000B8000000}"/>
    <cellStyle name="_BLK SUP'T-SP'L TOTAL_BLK SUP'T-SP'L TOTAL_B F SPOOL FINAL1122_B F SPOOL 입고 및 설치현황_잔업계획실적(9월)" xfId="860" xr:uid="{00000000-0005-0000-0000-0000B9000000}"/>
    <cellStyle name="_BLK SUP'T-SP'L TOTAL_BLK SUP'T-SP'L TOTAL_B F SPOOL FINAL1122_B F SPOOL 입고 및 설치현황_잔업계획실적(9월)_내역서" xfId="861" xr:uid="{00000000-0005-0000-0000-0000BA000000}"/>
    <cellStyle name="_BLK SUP'T-SP'L TOTAL_BLK SUP'T-SP'L TOTAL_B F SPOOL FINAL1122_B F SPOOL 입고 및 설치현황-B" xfId="862" xr:uid="{00000000-0005-0000-0000-0000BB000000}"/>
    <cellStyle name="_BLK SUP'T-SP'L TOTAL_BLK SUP'T-SP'L TOTAL_B F SPOOL FINAL1122_B F SPOOL 입고 및 설치현황-B_내역서" xfId="863" xr:uid="{00000000-0005-0000-0000-0000BC000000}"/>
    <cellStyle name="_BLK SUP'T-SP'L TOTAL_BLK SUP'T-SP'L TOTAL_B F SPOOL FINAL1122_B F SPOOL 입고 및 설치현황-B_순서1(PM &amp; 생기부)" xfId="864" xr:uid="{00000000-0005-0000-0000-0000BD000000}"/>
    <cellStyle name="_BLK SUP'T-SP'L TOTAL_BLK SUP'T-SP'L TOTAL_B F SPOOL FINAL1122_B F SPOOL 입고 및 설치현황-B_순서1(PM &amp; 생기부)_내역서" xfId="865" xr:uid="{00000000-0005-0000-0000-0000BE000000}"/>
    <cellStyle name="_BLK SUP'T-SP'L TOTAL_BLK SUP'T-SP'L TOTAL_B F SPOOL FINAL1122_B F SPOOL 입고 및 설치현황-B_잔업계획실적(9월)" xfId="866" xr:uid="{00000000-0005-0000-0000-0000BF000000}"/>
    <cellStyle name="_BLK SUP'T-SP'L TOTAL_BLK SUP'T-SP'L TOTAL_B F SPOOL FINAL1122_B F SPOOL 입고 및 설치현황-B_잔업계획실적(9월)_내역서" xfId="867" xr:uid="{00000000-0005-0000-0000-0000C0000000}"/>
    <cellStyle name="_BLK SUP'T-SP'L TOTAL_BLK SUP'T-SP'L TOTAL_B F SPOOL FINAL1122_KIZOMBA SPOOL 입고 및 설치현황(최종)" xfId="886" xr:uid="{00000000-0005-0000-0000-0000C1000000}"/>
    <cellStyle name="_BLK SUP'T-SP'L TOTAL_BLK SUP'T-SP'L TOTAL_B F SPOOL FINAL1122_KIZOMBA SPOOL 입고 및 설치현황(최종)_내역서" xfId="887" xr:uid="{00000000-0005-0000-0000-0000C2000000}"/>
    <cellStyle name="_BLK SUP'T-SP'L TOTAL_BLK SUP'T-SP'L TOTAL_B F SPOOL FINAL1122_KIZOMBA SPOOL 입고 및 설치현황(최종)_순서1(PM &amp; 생기부)" xfId="888" xr:uid="{00000000-0005-0000-0000-0000C3000000}"/>
    <cellStyle name="_BLK SUP'T-SP'L TOTAL_BLK SUP'T-SP'L TOTAL_B F SPOOL FINAL1122_KIZOMBA SPOOL 입고 및 설치현황(최종)_순서1(PM &amp; 생기부)_내역서" xfId="889" xr:uid="{00000000-0005-0000-0000-0000C4000000}"/>
    <cellStyle name="_BLK SUP'T-SP'L TOTAL_BLK SUP'T-SP'L TOTAL_B F SPOOL FINAL1122_KIZOMBA SPOOL 입고 및 설치현황(최종)_잔업계획실적(9월)" xfId="890" xr:uid="{00000000-0005-0000-0000-0000C5000000}"/>
    <cellStyle name="_BLK SUP'T-SP'L TOTAL_BLK SUP'T-SP'L TOTAL_B F SPOOL FINAL1122_KIZOMBA SPOOL 입고 및 설치현황(최종)_잔업계획실적(9월)_내역서" xfId="891" xr:uid="{00000000-0005-0000-0000-0000C6000000}"/>
    <cellStyle name="_BLK SUP'T-SP'L TOTAL_BLK SUP'T-SP'L TOTAL_B F SPOOL FINAL1122_내역서" xfId="851" xr:uid="{00000000-0005-0000-0000-0000C7000000}"/>
    <cellStyle name="_BLK SUP'T-SP'L TOTAL_BLK SUP'T-SP'L TOTAL_B F SPOOL FINAL1122_순서1(PM &amp; 생기부)" xfId="852" xr:uid="{00000000-0005-0000-0000-0000C8000000}"/>
    <cellStyle name="_BLK SUP'T-SP'L TOTAL_BLK SUP'T-SP'L TOTAL_B F SPOOL FINAL1122_순서1(PM &amp; 생기부)_내역서" xfId="853" xr:uid="{00000000-0005-0000-0000-0000C9000000}"/>
    <cellStyle name="_BLK SUP'T-SP'L TOTAL_BLK SUP'T-SP'L TOTAL_B F SPOOL FINAL1122_잔업계획실적(9월)" xfId="854" xr:uid="{00000000-0005-0000-0000-0000CA000000}"/>
    <cellStyle name="_BLK SUP'T-SP'L TOTAL_BLK SUP'T-SP'L TOTAL_B F SPOOL FINAL1122_잔업계획실적(9월)_내역서" xfId="855" xr:uid="{00000000-0005-0000-0000-0000CB000000}"/>
    <cellStyle name="_BLK SUP'T-SP'L TOTAL_BLK SUP'T-SP'L TOTAL_내역서" xfId="845" xr:uid="{00000000-0005-0000-0000-0000CC000000}"/>
    <cellStyle name="_BLK SUP'T-SP'L TOTAL_BLK SUP'T-SP'L TOTAL_순서1(PM &amp; 생기부)" xfId="846" xr:uid="{00000000-0005-0000-0000-0000CD000000}"/>
    <cellStyle name="_BLK SUP'T-SP'L TOTAL_BLK SUP'T-SP'L TOTAL_순서1(PM &amp; 생기부)_내역서" xfId="847" xr:uid="{00000000-0005-0000-0000-0000CE000000}"/>
    <cellStyle name="_BLK SUP'T-SP'L TOTAL_BLK SUP'T-SP'L TOTAL_잔업계획실적(9월)" xfId="848" xr:uid="{00000000-0005-0000-0000-0000CF000000}"/>
    <cellStyle name="_BLK SUP'T-SP'L TOTAL_BLK SUP'T-SP'L TOTAL_잔업계획실적(9월)_내역서" xfId="849" xr:uid="{00000000-0005-0000-0000-0000D0000000}"/>
    <cellStyle name="_BLK SUP'T-SP'L TOTAL_내역서" xfId="797" xr:uid="{00000000-0005-0000-0000-0000D1000000}"/>
    <cellStyle name="_BLK SUP'T-SP'L TOTAL_순서1(PM &amp; 생기부)" xfId="798" xr:uid="{00000000-0005-0000-0000-0000D2000000}"/>
    <cellStyle name="_BLK SUP'T-SP'L TOTAL_순서1(PM &amp; 생기부)_내역서" xfId="799" xr:uid="{00000000-0005-0000-0000-0000D3000000}"/>
    <cellStyle name="_BLK SUP'T-SP'L TOTAL_잔업계획실적(9월)" xfId="800" xr:uid="{00000000-0005-0000-0000-0000D4000000}"/>
    <cellStyle name="_BLK SUP'T-SP'L TOTAL_잔업계획실적(9월)_내역서" xfId="801" xr:uid="{00000000-0005-0000-0000-0000D5000000}"/>
    <cellStyle name="_Book1" xfId="892" xr:uid="{00000000-0005-0000-0000-0000D6000000}"/>
    <cellStyle name="_Book1_1" xfId="4156" xr:uid="{00000000-0005-0000-0000-0000D7000000}"/>
    <cellStyle name="_Book2" xfId="4157" xr:uid="{00000000-0005-0000-0000-0000D8000000}"/>
    <cellStyle name="_BOQ(Hang Lung)" xfId="893" xr:uid="{00000000-0005-0000-0000-0000D9000000}"/>
    <cellStyle name="_BOQ(Hang Lung-rev1)" xfId="894" xr:uid="{00000000-0005-0000-0000-0000DA000000}"/>
    <cellStyle name="_DMC 첨단산업센타 건설공사(인테리어)" xfId="4158" xr:uid="{00000000-0005-0000-0000-0000DB000000}"/>
    <cellStyle name="_DRYWALL일위대가방화석고보드" xfId="4159" xr:uid="{00000000-0005-0000-0000-0000DC000000}"/>
    <cellStyle name="_es내역서(증도 갯벌)" xfId="895" xr:uid="{00000000-0005-0000-0000-0000DD000000}"/>
    <cellStyle name="_FCST (2)" xfId="896" xr:uid="{00000000-0005-0000-0000-0000DE000000}"/>
    <cellStyle name="_F-DUPLEX 미입고 LIST-0306(승민)" xfId="897" xr:uid="{00000000-0005-0000-0000-0000DF000000}"/>
    <cellStyle name="_F-DUPLEX 미입고 LIST-0306(승민)_내역서" xfId="898" xr:uid="{00000000-0005-0000-0000-0000E0000000}"/>
    <cellStyle name="_F-DUPLEX 미입고 LIST-0306(승민)_순서1(PM &amp; 생기부)" xfId="899" xr:uid="{00000000-0005-0000-0000-0000E1000000}"/>
    <cellStyle name="_F-DUPLEX 미입고 LIST-0306(승민)_순서1(PM &amp; 생기부)_내역서" xfId="900" xr:uid="{00000000-0005-0000-0000-0000E2000000}"/>
    <cellStyle name="_F-DUPLEX 미입고 LIST-0306(승민)_잔업계획실적(9월)" xfId="901" xr:uid="{00000000-0005-0000-0000-0000E3000000}"/>
    <cellStyle name="_F-DUPLEX 미입고 LIST-0306(승민)_잔업계획실적(9월)_내역서" xfId="902" xr:uid="{00000000-0005-0000-0000-0000E4000000}"/>
    <cellStyle name="_KIL11107비교xls" xfId="903" xr:uid="{00000000-0005-0000-0000-0000E5000000}"/>
    <cellStyle name="_LG2,3,4,6층(0313)" xfId="904" xr:uid="{00000000-0005-0000-0000-0000E6000000}"/>
    <cellStyle name="_pinx biotopia (0409제출)" xfId="4160" xr:uid="{00000000-0005-0000-0000-0000E7000000}"/>
    <cellStyle name="_PM구분안" xfId="905" xr:uid="{00000000-0005-0000-0000-0000E8000000}"/>
    <cellStyle name="_port" xfId="4161" xr:uid="{00000000-0005-0000-0000-0000E9000000}"/>
    <cellStyle name="_RESULTS" xfId="906" xr:uid="{00000000-0005-0000-0000-0000EA000000}"/>
    <cellStyle name="_sample6" xfId="907" xr:uid="{00000000-0005-0000-0000-0000EB000000}"/>
    <cellStyle name="_Sheet1" xfId="908" xr:uid="{00000000-0005-0000-0000-0000EC000000}"/>
    <cellStyle name="_SK수송동 주상복합" xfId="4162" xr:uid="{00000000-0005-0000-0000-0000ED000000}"/>
    <cellStyle name="_SK수송동 주상복합 신축공사" xfId="4163" xr:uid="{00000000-0005-0000-0000-0000EE000000}"/>
    <cellStyle name="_summary for MTRC P3" xfId="909" xr:uid="{00000000-0005-0000-0000-0000EF000000}"/>
    <cellStyle name="_Unit rate &amp; Quantity" xfId="910" xr:uid="{00000000-0005-0000-0000-0000F0000000}"/>
    <cellStyle name="_Virus" xfId="911" xr:uid="{00000000-0005-0000-0000-0000F1000000}"/>
    <cellStyle name="_X" xfId="4164" xr:uid="{00000000-0005-0000-0000-0000F2000000}"/>
    <cellStyle name="_가설고압판넬이설" xfId="64" xr:uid="{00000000-0005-0000-0000-0000F3000000}"/>
    <cellStyle name="_가설전기내역서" xfId="65" xr:uid="{00000000-0005-0000-0000-0000F4000000}"/>
    <cellStyle name="_가실행 최종본사분" xfId="66" xr:uid="{00000000-0005-0000-0000-0000F5000000}"/>
    <cellStyle name="_갑지,집계" xfId="67" xr:uid="{00000000-0005-0000-0000-0000F6000000}"/>
    <cellStyle name="_갑지양식" xfId="68" xr:uid="{00000000-0005-0000-0000-0000F7000000}"/>
    <cellStyle name="_건축" xfId="2852" xr:uid="{00000000-0005-0000-0000-0000F8000000}"/>
    <cellStyle name="_건축실행(휴먼센터)03-내역수정" xfId="69" xr:uid="{00000000-0005-0000-0000-0000F9000000}"/>
    <cellStyle name="_검암2차사전공사(본사검토) " xfId="2853" xr:uid="{00000000-0005-0000-0000-0000FA000000}"/>
    <cellStyle name="_검암2차사전공사(본사검토) _사우나최종" xfId="2854" xr:uid="{00000000-0005-0000-0000-0000FB000000}"/>
    <cellStyle name="_검암2차사전공사(본사검토) _사우나최종_사우나최종17" xfId="2855" xr:uid="{00000000-0005-0000-0000-0000FC000000}"/>
    <cellStyle name="_검암2차사전공사(본사검토) _사우나최종_워터파크" xfId="2856" xr:uid="{00000000-0005-0000-0000-0000FD000000}"/>
    <cellStyle name="_검토서(1.7)" xfId="70" xr:uid="{00000000-0005-0000-0000-0000FE000000}"/>
    <cellStyle name="_견적 양식" xfId="2857" xr:uid="{00000000-0005-0000-0000-0000FF000000}"/>
    <cellStyle name="_견적 양식(최종)" xfId="2858" xr:uid="{00000000-0005-0000-0000-000000010000}"/>
    <cellStyle name="_견적서" xfId="2859" xr:uid="{00000000-0005-0000-0000-000001010000}"/>
    <cellStyle name="_견적서 양식" xfId="2860" xr:uid="{00000000-0005-0000-0000-000002010000}"/>
    <cellStyle name="_견적서갑지양식" xfId="71" xr:uid="{00000000-0005-0000-0000-000003010000}"/>
    <cellStyle name="_견적양식" xfId="2861" xr:uid="{00000000-0005-0000-0000-000004010000}"/>
    <cellStyle name="_견적의뢰 양식" xfId="2862" xr:uid="{00000000-0005-0000-0000-000005010000}"/>
    <cellStyle name="_견적의뢰(협력)27" xfId="2863" xr:uid="{00000000-0005-0000-0000-000006010000}"/>
    <cellStyle name="_견적의뢰1" xfId="72" xr:uid="{00000000-0005-0000-0000-000007010000}"/>
    <cellStyle name="_견적조건" xfId="2864" xr:uid="{00000000-0005-0000-0000-000008010000}"/>
    <cellStyle name="_경기도 대심리 주택" xfId="2865" xr:uid="{00000000-0005-0000-0000-000009010000}"/>
    <cellStyle name="_경영개선활동상반기실적(990708)" xfId="73" xr:uid="{00000000-0005-0000-0000-00000A010000}"/>
    <cellStyle name="_경영개선활동상반기실적(990708)_1" xfId="74" xr:uid="{00000000-0005-0000-0000-00000B010000}"/>
    <cellStyle name="_경영개선활동상반기실적(990708)_2" xfId="75" xr:uid="{00000000-0005-0000-0000-00000C010000}"/>
    <cellStyle name="_경영개선활성화방안(990802)" xfId="76" xr:uid="{00000000-0005-0000-0000-00000D010000}"/>
    <cellStyle name="_경영개선활성화방안(990802)_1" xfId="77" xr:uid="{00000000-0005-0000-0000-00000E010000}"/>
    <cellStyle name="_경영현황(최종)" xfId="78" xr:uid="{00000000-0005-0000-0000-00000F010000}"/>
    <cellStyle name="_경쟁사" xfId="79" xr:uid="{00000000-0005-0000-0000-000010010000}"/>
    <cellStyle name="_고려-수원미네시티(작업)" xfId="80" xr:uid="{00000000-0005-0000-0000-000011010000}"/>
    <cellStyle name="_공내역서(송파트리플)" xfId="2866" xr:uid="{00000000-0005-0000-0000-000012010000}"/>
    <cellStyle name="_공내역서_토목" xfId="81" xr:uid="{00000000-0005-0000-0000-000013010000}"/>
    <cellStyle name="_공내역서_토목_내역분개" xfId="82" xr:uid="{00000000-0005-0000-0000-000014010000}"/>
    <cellStyle name="_공내역서_토목_내역분개_내역분개" xfId="83" xr:uid="{00000000-0005-0000-0000-000015010000}"/>
    <cellStyle name="_공문및작성양식최종" xfId="84" xr:uid="{00000000-0005-0000-0000-000016010000}"/>
    <cellStyle name="_공사개요" xfId="2867" xr:uid="{00000000-0005-0000-0000-000017010000}"/>
    <cellStyle name="_공양식" xfId="2868" xr:uid="{00000000-0005-0000-0000-000018010000}"/>
    <cellStyle name="_공통" xfId="85" xr:uid="{00000000-0005-0000-0000-000019010000}"/>
    <cellStyle name="_광주평동실행" xfId="2869" xr:uid="{00000000-0005-0000-0000-00001A010000}"/>
    <cellStyle name="_광주평동실행_번암견적의뢰(협력)" xfId="2870" xr:uid="{00000000-0005-0000-0000-00001B010000}"/>
    <cellStyle name="_광주평동실행_번암견적의뢰(협력)_사우나최종" xfId="2871" xr:uid="{00000000-0005-0000-0000-00001C010000}"/>
    <cellStyle name="_광주평동실행_번암견적의뢰(협력)_사우나최종_사우나최종17" xfId="2872" xr:uid="{00000000-0005-0000-0000-00001D010000}"/>
    <cellStyle name="_광주평동실행_번암견적의뢰(협력)_사우나최종_워터파크" xfId="2873" xr:uid="{00000000-0005-0000-0000-00001E010000}"/>
    <cellStyle name="_광주평동실행_사우나최종" xfId="2874" xr:uid="{00000000-0005-0000-0000-00001F010000}"/>
    <cellStyle name="_광주평동실행_사우나최종_사우나최종17" xfId="2875" xr:uid="{00000000-0005-0000-0000-000020010000}"/>
    <cellStyle name="_광주평동실행_사우나최종_워터파크" xfId="2876" xr:uid="{00000000-0005-0000-0000-000021010000}"/>
    <cellStyle name="_광주평동품의1" xfId="2877" xr:uid="{00000000-0005-0000-0000-000022010000}"/>
    <cellStyle name="_광주평동품의1_무안-광주2공구(협력)수정" xfId="2878" xr:uid="{00000000-0005-0000-0000-000023010000}"/>
    <cellStyle name="_광주평동품의1_무안-광주2공구(협력)수정_사우나최종" xfId="2879" xr:uid="{00000000-0005-0000-0000-000024010000}"/>
    <cellStyle name="_광주평동품의1_무안-광주2공구(협력)수정_사우나최종_사우나최종17" xfId="2880" xr:uid="{00000000-0005-0000-0000-000025010000}"/>
    <cellStyle name="_광주평동품의1_무안-광주2공구(협력)수정_사우나최종_워터파크" xfId="2881" xr:uid="{00000000-0005-0000-0000-000026010000}"/>
    <cellStyle name="_광주평동품의1_번암견적의뢰(협력)" xfId="2882" xr:uid="{00000000-0005-0000-0000-000027010000}"/>
    <cellStyle name="_광주평동품의1_번암견적의뢰(협력)_사우나최종" xfId="2883" xr:uid="{00000000-0005-0000-0000-000028010000}"/>
    <cellStyle name="_광주평동품의1_번암견적의뢰(협력)_사우나최종_사우나최종17" xfId="2884" xr:uid="{00000000-0005-0000-0000-000029010000}"/>
    <cellStyle name="_광주평동품의1_번암견적의뢰(협력)_사우나최종_워터파크" xfId="2885" xr:uid="{00000000-0005-0000-0000-00002A010000}"/>
    <cellStyle name="_광주평동품의1_사우나최종" xfId="2886" xr:uid="{00000000-0005-0000-0000-00002B010000}"/>
    <cellStyle name="_광주평동품의1_사우나최종_사우나최종17" xfId="2887" xr:uid="{00000000-0005-0000-0000-00002C010000}"/>
    <cellStyle name="_광주평동품의1_사우나최종_워터파크" xfId="2888" xr:uid="{00000000-0005-0000-0000-00002D010000}"/>
    <cellStyle name="_광주평동품의1_적상무주IC도로(1공구)" xfId="2889" xr:uid="{00000000-0005-0000-0000-00002E010000}"/>
    <cellStyle name="_광주평동품의1_적상무주IC도로(1공구)_사우나최종" xfId="2890" xr:uid="{00000000-0005-0000-0000-00002F010000}"/>
    <cellStyle name="_광주평동품의1_적상무주IC도로(1공구)_사우나최종_사우나최종17" xfId="2891" xr:uid="{00000000-0005-0000-0000-000030010000}"/>
    <cellStyle name="_광주평동품의1_적상무주IC도로(1공구)_사우나최종_워터파크" xfId="2892" xr:uid="{00000000-0005-0000-0000-000031010000}"/>
    <cellStyle name="_교원그룹 낙산 숙박시설 신축공사" xfId="86" xr:uid="{00000000-0005-0000-0000-000032010000}"/>
    <cellStyle name="_구이~이서보고서" xfId="87" xr:uid="{00000000-0005-0000-0000-000033010000}"/>
    <cellStyle name="_구이~이서보고서_담양 창평 주택시설 부지조성사업" xfId="88" xr:uid="{00000000-0005-0000-0000-000034010000}"/>
    <cellStyle name="_국민은행" xfId="89" xr:uid="{00000000-0005-0000-0000-000035010000}"/>
    <cellStyle name="_군포당동1실행예산20040202(관리부검토)-2004211" xfId="90" xr:uid="{00000000-0005-0000-0000-000036010000}"/>
    <cellStyle name="_귤현역사.본선터널 신축공사" xfId="91" xr:uid="{00000000-0005-0000-0000-000037010000}"/>
    <cellStyle name="_기계경비(2000~2002)" xfId="92" xr:uid="{00000000-0005-0000-0000-000038010000}"/>
    <cellStyle name="_기계경비(2001~2002)" xfId="93" xr:uid="{00000000-0005-0000-0000-000039010000}"/>
    <cellStyle name="_기계경비지수2000-2003" xfId="94" xr:uid="{00000000-0005-0000-0000-00003A010000}"/>
    <cellStyle name="_기계경비지수산출" xfId="95" xr:uid="{00000000-0005-0000-0000-00003B010000}"/>
    <cellStyle name="_기계경비지수산출(03년용)" xfId="96" xr:uid="{00000000-0005-0000-0000-00003C010000}"/>
    <cellStyle name="_기안" xfId="97" xr:uid="{00000000-0005-0000-0000-00003D010000}"/>
    <cellStyle name="_기안_(주)KCC 아산공장 위험물창고 증축공사-200684" xfId="98" xr:uid="{00000000-0005-0000-0000-00003E010000}"/>
    <cellStyle name="_기안_예산분류 (공구구분)" xfId="99" xr:uid="{00000000-0005-0000-0000-00003F010000}"/>
    <cellStyle name="_기안_예산분류 (공구구분)_(주)KCC 아산공장 위험물창고 증축공사-200684" xfId="100" xr:uid="{00000000-0005-0000-0000-000040010000}"/>
    <cellStyle name="_기안_예산분류 (공구구분)_발산 아파트 1공구 공내역" xfId="101" xr:uid="{00000000-0005-0000-0000-000041010000}"/>
    <cellStyle name="_기안_예산분류 (공구구분)_발산 아파트 1공구 공내역_(주)KCC 아산공장 위험물창고 증축공사-200684" xfId="102" xr:uid="{00000000-0005-0000-0000-000042010000}"/>
    <cellStyle name="_기안_예산분류 (공구구분)_일반 외주 공내역서 (공구구분)" xfId="103" xr:uid="{00000000-0005-0000-0000-000043010000}"/>
    <cellStyle name="_기안_예산분류 (공구구분)_일반 외주 공내역서 (공구구분)_(주)KCC 아산공장 위험물창고 증축공사-200684" xfId="104" xr:uid="{00000000-0005-0000-0000-000044010000}"/>
    <cellStyle name="_기안_예산분류 (공구구분)_일반배관 외주발주 예산분류 (공구구분)" xfId="105" xr:uid="{00000000-0005-0000-0000-000045010000}"/>
    <cellStyle name="_기안_예산분류 (공구구분)_일반배관 외주발주 예산분류 (공구구분)_(주)KCC 아산공장 위험물창고 증축공사-200684" xfId="106" xr:uid="{00000000-0005-0000-0000-000046010000}"/>
    <cellStyle name="_기안_예산분류 (공구구분)_일반배관 외주발주 예산분류 (공구구분)-1" xfId="107" xr:uid="{00000000-0005-0000-0000-000047010000}"/>
    <cellStyle name="_기안_예산분류 (공구구분)_일반배관 외주발주 예산분류 (공구구분)-1_(주)KCC 아산공장 위험물창고 증축공사-200684" xfId="108" xr:uid="{00000000-0005-0000-0000-000048010000}"/>
    <cellStyle name="_기안_일반배관 외주발주 예산분류 (공구구분)" xfId="109" xr:uid="{00000000-0005-0000-0000-000049010000}"/>
    <cellStyle name="_기안_일반배관 외주발주 예산분류 (공구구분)_(주)KCC 아산공장 위험물창고 증축공사-200684" xfId="110" xr:uid="{00000000-0005-0000-0000-00004A010000}"/>
    <cellStyle name="_기안_일반배관 외주발주 예산분류 (공구구분)_발산 아파트 1공구 공내역" xfId="111" xr:uid="{00000000-0005-0000-0000-00004B010000}"/>
    <cellStyle name="_기안_일반배관 외주발주 예산분류 (공구구분)_발산 아파트 1공구 공내역_(주)KCC 아산공장 위험물창고 증축공사-200684" xfId="112" xr:uid="{00000000-0005-0000-0000-00004C010000}"/>
    <cellStyle name="_기안_일반배관 외주발주 예산분류 (공구구분)_일반 외주 공내역서 (공구구분)" xfId="113" xr:uid="{00000000-0005-0000-0000-00004D010000}"/>
    <cellStyle name="_기안_일반배관 외주발주 예산분류 (공구구분)_일반 외주 공내역서 (공구구분)_(주)KCC 아산공장 위험물창고 증축공사-200684" xfId="114" xr:uid="{00000000-0005-0000-0000-00004E010000}"/>
    <cellStyle name="_기안_일반배관 외주발주 예산분류 (공구구분)_일반배관 외주발주 예산분류 (공구구분)" xfId="115" xr:uid="{00000000-0005-0000-0000-00004F010000}"/>
    <cellStyle name="_기안_일반배관 외주발주 예산분류 (공구구분)_일반배관 외주발주 예산분류 (공구구분)_(주)KCC 아산공장 위험물창고 증축공사-200684" xfId="116" xr:uid="{00000000-0005-0000-0000-000050010000}"/>
    <cellStyle name="_기안_일반배관 외주발주 예산분류 (공구구분)_일반배관 외주발주 예산분류 (공구구분)-1" xfId="117" xr:uid="{00000000-0005-0000-0000-000051010000}"/>
    <cellStyle name="_기안_일반배관 외주발주 예산분류 (공구구분)_일반배관 외주발주 예산분류 (공구구분)-1_(주)KCC 아산공장 위험물창고 증축공사-200684" xfId="118" xr:uid="{00000000-0005-0000-0000-000052010000}"/>
    <cellStyle name="_기장하수실행1" xfId="2893" xr:uid="{00000000-0005-0000-0000-000053010000}"/>
    <cellStyle name="_기장하수실행1_번암견적의뢰(협력)" xfId="2894" xr:uid="{00000000-0005-0000-0000-000054010000}"/>
    <cellStyle name="_기장하수실행1_번암견적의뢰(협력)_사우나최종" xfId="2895" xr:uid="{00000000-0005-0000-0000-000055010000}"/>
    <cellStyle name="_기장하수실행1_번암견적의뢰(협력)_사우나최종_사우나최종17" xfId="2896" xr:uid="{00000000-0005-0000-0000-000056010000}"/>
    <cellStyle name="_기장하수실행1_번암견적의뢰(협력)_사우나최종_워터파크" xfId="2897" xr:uid="{00000000-0005-0000-0000-000057010000}"/>
    <cellStyle name="_기장하수실행1_사우나최종" xfId="2898" xr:uid="{00000000-0005-0000-0000-000058010000}"/>
    <cellStyle name="_기장하수실행1_사우나최종_사우나최종17" xfId="2899" xr:uid="{00000000-0005-0000-0000-000059010000}"/>
    <cellStyle name="_기장하수실행1_사우나최종_워터파크" xfId="2900" xr:uid="{00000000-0005-0000-0000-00005A010000}"/>
    <cellStyle name="_나주견적서" xfId="2901" xr:uid="{00000000-0005-0000-0000-00005B010000}"/>
    <cellStyle name="_남양주 록인CC 견적(최종)" xfId="119" xr:uid="{00000000-0005-0000-0000-00005C010000}"/>
    <cellStyle name="_내역분계" xfId="120" xr:uid="{00000000-0005-0000-0000-00005D010000}"/>
    <cellStyle name="_내역서_토목" xfId="121" xr:uid="{00000000-0005-0000-0000-00005E010000}"/>
    <cellStyle name="_내역서_토목_내역분개" xfId="122" xr:uid="{00000000-0005-0000-0000-00005F010000}"/>
    <cellStyle name="_내역서_토목_내역분개_내역분개" xfId="123" xr:uid="{00000000-0005-0000-0000-000060010000}"/>
    <cellStyle name="_논일 복합건물" xfId="124" xr:uid="{00000000-0005-0000-0000-000061010000}"/>
    <cellStyle name="_단가공사(2003년)" xfId="125" xr:uid="{00000000-0005-0000-0000-000062010000}"/>
    <cellStyle name="_단가공사(2003년)_1" xfId="126" xr:uid="{00000000-0005-0000-0000-000063010000}"/>
    <cellStyle name="_단가공사(2003년)_2" xfId="127" xr:uid="{00000000-0005-0000-0000-000064010000}"/>
    <cellStyle name="_단가공사(2003년)_3" xfId="128" xr:uid="{00000000-0005-0000-0000-000065010000}"/>
    <cellStyle name="_단가공사(2003년)_4" xfId="129" xr:uid="{00000000-0005-0000-0000-000066010000}"/>
    <cellStyle name="_단가공사(2003년)_5" xfId="130" xr:uid="{00000000-0005-0000-0000-000067010000}"/>
    <cellStyle name="_단가표" xfId="131" xr:uid="{00000000-0005-0000-0000-000068010000}"/>
    <cellStyle name="_당하대비표" xfId="2902" xr:uid="{00000000-0005-0000-0000-000069010000}"/>
    <cellStyle name="_대경관 6인치 이상 미입고 SPL 0307" xfId="132" xr:uid="{00000000-0005-0000-0000-00006A010000}"/>
    <cellStyle name="_대경관 6인치 이상 미입고 SPL 0307_내역서" xfId="133" xr:uid="{00000000-0005-0000-0000-00006B010000}"/>
    <cellStyle name="_대경관 6인치 이상 미입고 SPL 0307_순서1(PM &amp; 생기부)" xfId="134" xr:uid="{00000000-0005-0000-0000-00006C010000}"/>
    <cellStyle name="_대경관 6인치 이상 미입고 SPL 0307_순서1(PM &amp; 생기부)_내역서" xfId="135" xr:uid="{00000000-0005-0000-0000-00006D010000}"/>
    <cellStyle name="_대경관 6인치 이상 미입고 SPL 0307_잔업계획실적(9월)" xfId="136" xr:uid="{00000000-0005-0000-0000-00006E010000}"/>
    <cellStyle name="_대경관 6인치 이상 미입고 SPL 0307_잔업계획실적(9월)_내역서" xfId="137" xr:uid="{00000000-0005-0000-0000-00006F010000}"/>
    <cellStyle name="_대비표양식" xfId="2903" xr:uid="{00000000-0005-0000-0000-000070010000}"/>
    <cellStyle name="_대죽.광주 견적서" xfId="138" xr:uid="{00000000-0005-0000-0000-000071010000}"/>
    <cellStyle name="_대죽.광주 견적서_(주)KCC 아산공장 위험물창고 증축공사-200684" xfId="139" xr:uid="{00000000-0005-0000-0000-000072010000}"/>
    <cellStyle name="_도고천품의안11" xfId="2904" xr:uid="{00000000-0005-0000-0000-000073010000}"/>
    <cellStyle name="_도고천품의안11_1" xfId="2905" xr:uid="{00000000-0005-0000-0000-000074010000}"/>
    <cellStyle name="_도고천품의안11_1_무안-광주2공구(협력)수정" xfId="2906" xr:uid="{00000000-0005-0000-0000-000075010000}"/>
    <cellStyle name="_도고천품의안11_1_무안-광주2공구(협력)수정_사우나최종" xfId="2907" xr:uid="{00000000-0005-0000-0000-000076010000}"/>
    <cellStyle name="_도고천품의안11_1_무안-광주2공구(협력)수정_사우나최종_사우나최종17" xfId="2908" xr:uid="{00000000-0005-0000-0000-000077010000}"/>
    <cellStyle name="_도고천품의안11_1_무안-광주2공구(협력)수정_사우나최종_워터파크" xfId="2909" xr:uid="{00000000-0005-0000-0000-000078010000}"/>
    <cellStyle name="_도고천품의안11_1_번암견적의뢰(협력)" xfId="2910" xr:uid="{00000000-0005-0000-0000-000079010000}"/>
    <cellStyle name="_도고천품의안11_1_번암견적의뢰(협력)_사우나최종" xfId="2911" xr:uid="{00000000-0005-0000-0000-00007A010000}"/>
    <cellStyle name="_도고천품의안11_1_번암견적의뢰(협력)_사우나최종_사우나최종17" xfId="2912" xr:uid="{00000000-0005-0000-0000-00007B010000}"/>
    <cellStyle name="_도고천품의안11_1_번암견적의뢰(협력)_사우나최종_워터파크" xfId="2913" xr:uid="{00000000-0005-0000-0000-00007C010000}"/>
    <cellStyle name="_도고천품의안11_1_사우나최종" xfId="2914" xr:uid="{00000000-0005-0000-0000-00007D010000}"/>
    <cellStyle name="_도고천품의안11_1_사우나최종_사우나최종17" xfId="2915" xr:uid="{00000000-0005-0000-0000-00007E010000}"/>
    <cellStyle name="_도고천품의안11_1_사우나최종_워터파크" xfId="2916" xr:uid="{00000000-0005-0000-0000-00007F010000}"/>
    <cellStyle name="_도고천품의안11_1_적상무주IC도로(1공구)" xfId="2917" xr:uid="{00000000-0005-0000-0000-000080010000}"/>
    <cellStyle name="_도고천품의안11_1_적상무주IC도로(1공구)_사우나최종" xfId="2918" xr:uid="{00000000-0005-0000-0000-000081010000}"/>
    <cellStyle name="_도고천품의안11_1_적상무주IC도로(1공구)_사우나최종_사우나최종17" xfId="2919" xr:uid="{00000000-0005-0000-0000-000082010000}"/>
    <cellStyle name="_도고천품의안11_1_적상무주IC도로(1공구)_사우나최종_워터파크" xfId="2920" xr:uid="{00000000-0005-0000-0000-000083010000}"/>
    <cellStyle name="_도고천품의안11_광주평동실행" xfId="2921" xr:uid="{00000000-0005-0000-0000-000084010000}"/>
    <cellStyle name="_도고천품의안11_광주평동실행_번암견적의뢰(협력)" xfId="2922" xr:uid="{00000000-0005-0000-0000-000085010000}"/>
    <cellStyle name="_도고천품의안11_광주평동실행_번암견적의뢰(협력)_사우나최종" xfId="2923" xr:uid="{00000000-0005-0000-0000-000086010000}"/>
    <cellStyle name="_도고천품의안11_광주평동실행_번암견적의뢰(협력)_사우나최종_사우나최종17" xfId="2924" xr:uid="{00000000-0005-0000-0000-000087010000}"/>
    <cellStyle name="_도고천품의안11_광주평동실행_번암견적의뢰(협력)_사우나최종_워터파크" xfId="2925" xr:uid="{00000000-0005-0000-0000-000088010000}"/>
    <cellStyle name="_도고천품의안11_광주평동실행_사우나최종" xfId="2926" xr:uid="{00000000-0005-0000-0000-000089010000}"/>
    <cellStyle name="_도고천품의안11_광주평동실행_사우나최종_사우나최종17" xfId="2927" xr:uid="{00000000-0005-0000-0000-00008A010000}"/>
    <cellStyle name="_도고천품의안11_광주평동실행_사우나최종_워터파크" xfId="2928" xr:uid="{00000000-0005-0000-0000-00008B010000}"/>
    <cellStyle name="_도고천품의안11_광주평동품의1" xfId="2929" xr:uid="{00000000-0005-0000-0000-00008C010000}"/>
    <cellStyle name="_도고천품의안11_광주평동품의1_무안-광주2공구(협력)수정" xfId="2930" xr:uid="{00000000-0005-0000-0000-00008D010000}"/>
    <cellStyle name="_도고천품의안11_광주평동품의1_무안-광주2공구(협력)수정_사우나최종" xfId="2931" xr:uid="{00000000-0005-0000-0000-00008E010000}"/>
    <cellStyle name="_도고천품의안11_광주평동품의1_무안-광주2공구(협력)수정_사우나최종_사우나최종17" xfId="2932" xr:uid="{00000000-0005-0000-0000-00008F010000}"/>
    <cellStyle name="_도고천품의안11_광주평동품의1_무안-광주2공구(협력)수정_사우나최종_워터파크" xfId="2933" xr:uid="{00000000-0005-0000-0000-000090010000}"/>
    <cellStyle name="_도고천품의안11_광주평동품의1_번암견적의뢰(협력)" xfId="2934" xr:uid="{00000000-0005-0000-0000-000091010000}"/>
    <cellStyle name="_도고천품의안11_광주평동품의1_번암견적의뢰(협력)_사우나최종" xfId="2935" xr:uid="{00000000-0005-0000-0000-000092010000}"/>
    <cellStyle name="_도고천품의안11_광주평동품의1_번암견적의뢰(협력)_사우나최종_사우나최종17" xfId="2936" xr:uid="{00000000-0005-0000-0000-000093010000}"/>
    <cellStyle name="_도고천품의안11_광주평동품의1_번암견적의뢰(협력)_사우나최종_워터파크" xfId="2937" xr:uid="{00000000-0005-0000-0000-000094010000}"/>
    <cellStyle name="_도고천품의안11_광주평동품의1_사우나최종" xfId="2938" xr:uid="{00000000-0005-0000-0000-000095010000}"/>
    <cellStyle name="_도고천품의안11_광주평동품의1_사우나최종_사우나최종17" xfId="2939" xr:uid="{00000000-0005-0000-0000-000096010000}"/>
    <cellStyle name="_도고천품의안11_광주평동품의1_사우나최종_워터파크" xfId="2940" xr:uid="{00000000-0005-0000-0000-000097010000}"/>
    <cellStyle name="_도고천품의안11_광주평동품의1_적상무주IC도로(1공구)" xfId="2941" xr:uid="{00000000-0005-0000-0000-000098010000}"/>
    <cellStyle name="_도고천품의안11_광주평동품의1_적상무주IC도로(1공구)_사우나최종" xfId="2942" xr:uid="{00000000-0005-0000-0000-000099010000}"/>
    <cellStyle name="_도고천품의안11_광주평동품의1_적상무주IC도로(1공구)_사우나최종_사우나최종17" xfId="2943" xr:uid="{00000000-0005-0000-0000-00009A010000}"/>
    <cellStyle name="_도고천품의안11_광주평동품의1_적상무주IC도로(1공구)_사우나최종_워터파크" xfId="2944" xr:uid="{00000000-0005-0000-0000-00009B010000}"/>
    <cellStyle name="_도고천품의안11_무안-광주2공구(협력)수정" xfId="2945" xr:uid="{00000000-0005-0000-0000-00009C010000}"/>
    <cellStyle name="_도고천품의안11_무안-광주2공구(협력)수정_사우나최종" xfId="2946" xr:uid="{00000000-0005-0000-0000-00009D010000}"/>
    <cellStyle name="_도고천품의안11_무안-광주2공구(협력)수정_사우나최종_사우나최종17" xfId="2947" xr:uid="{00000000-0005-0000-0000-00009E010000}"/>
    <cellStyle name="_도고천품의안11_무안-광주2공구(협력)수정_사우나최종_워터파크" xfId="2948" xr:uid="{00000000-0005-0000-0000-00009F010000}"/>
    <cellStyle name="_도고천품의안11_번암견적의뢰(협력)" xfId="2949" xr:uid="{00000000-0005-0000-0000-0000A0010000}"/>
    <cellStyle name="_도고천품의안11_번암견적의뢰(협력)_사우나최종" xfId="2950" xr:uid="{00000000-0005-0000-0000-0000A1010000}"/>
    <cellStyle name="_도고천품의안11_번암견적의뢰(협력)_사우나최종_사우나최종17" xfId="2951" xr:uid="{00000000-0005-0000-0000-0000A2010000}"/>
    <cellStyle name="_도고천품의안11_번암견적의뢰(협력)_사우나최종_워터파크" xfId="2952" xr:uid="{00000000-0005-0000-0000-0000A3010000}"/>
    <cellStyle name="_도고천품의안11_사우나최종" xfId="2953" xr:uid="{00000000-0005-0000-0000-0000A4010000}"/>
    <cellStyle name="_도고천품의안11_사우나최종_사우나최종17" xfId="2954" xr:uid="{00000000-0005-0000-0000-0000A5010000}"/>
    <cellStyle name="_도고천품의안11_사우나최종_워터파크" xfId="2955" xr:uid="{00000000-0005-0000-0000-0000A6010000}"/>
    <cellStyle name="_도고천품의안11_송학실행안" xfId="2956" xr:uid="{00000000-0005-0000-0000-0000A7010000}"/>
    <cellStyle name="_도고천품의안11_송학실행안_번암견적의뢰(협력)" xfId="2957" xr:uid="{00000000-0005-0000-0000-0000A8010000}"/>
    <cellStyle name="_도고천품의안11_송학실행안_번암견적의뢰(협력)_사우나최종" xfId="2958" xr:uid="{00000000-0005-0000-0000-0000A9010000}"/>
    <cellStyle name="_도고천품의안11_송학실행안_번암견적의뢰(협력)_사우나최종_사우나최종17" xfId="2959" xr:uid="{00000000-0005-0000-0000-0000AA010000}"/>
    <cellStyle name="_도고천품의안11_송학실행안_번암견적의뢰(협력)_사우나최종_워터파크" xfId="2960" xr:uid="{00000000-0005-0000-0000-0000AB010000}"/>
    <cellStyle name="_도고천품의안11_송학실행안_사우나최종" xfId="2961" xr:uid="{00000000-0005-0000-0000-0000AC010000}"/>
    <cellStyle name="_도고천품의안11_송학실행안_사우나최종_사우나최종17" xfId="2962" xr:uid="{00000000-0005-0000-0000-0000AD010000}"/>
    <cellStyle name="_도고천품의안11_송학실행안_사우나최종_워터파크" xfId="2963" xr:uid="{00000000-0005-0000-0000-0000AE010000}"/>
    <cellStyle name="_도고천품의안11_송학하수품의(설계넣고)" xfId="2964" xr:uid="{00000000-0005-0000-0000-0000AF010000}"/>
    <cellStyle name="_도고천품의안11_송학하수품의(설계넣고)_무안-광주2공구(협력)수정" xfId="2965" xr:uid="{00000000-0005-0000-0000-0000B0010000}"/>
    <cellStyle name="_도고천품의안11_송학하수품의(설계넣고)_무안-광주2공구(협력)수정_사우나최종" xfId="2966" xr:uid="{00000000-0005-0000-0000-0000B1010000}"/>
    <cellStyle name="_도고천품의안11_송학하수품의(설계넣고)_무안-광주2공구(협력)수정_사우나최종_사우나최종17" xfId="2967" xr:uid="{00000000-0005-0000-0000-0000B2010000}"/>
    <cellStyle name="_도고천품의안11_송학하수품의(설계넣고)_무안-광주2공구(협력)수정_사우나최종_워터파크" xfId="2968" xr:uid="{00000000-0005-0000-0000-0000B3010000}"/>
    <cellStyle name="_도고천품의안11_송학하수품의(설계넣고)_번암견적의뢰(협력)" xfId="2969" xr:uid="{00000000-0005-0000-0000-0000B4010000}"/>
    <cellStyle name="_도고천품의안11_송학하수품의(설계넣고)_번암견적의뢰(협력)_사우나최종" xfId="2970" xr:uid="{00000000-0005-0000-0000-0000B5010000}"/>
    <cellStyle name="_도고천품의안11_송학하수품의(설계넣고)_번암견적의뢰(협력)_사우나최종_사우나최종17" xfId="2971" xr:uid="{00000000-0005-0000-0000-0000B6010000}"/>
    <cellStyle name="_도고천품의안11_송학하수품의(설계넣고)_번암견적의뢰(협력)_사우나최종_워터파크" xfId="2972" xr:uid="{00000000-0005-0000-0000-0000B7010000}"/>
    <cellStyle name="_도고천품의안11_송학하수품의(설계넣고)_사우나최종" xfId="2973" xr:uid="{00000000-0005-0000-0000-0000B8010000}"/>
    <cellStyle name="_도고천품의안11_송학하수품의(설계넣고)_사우나최종_사우나최종17" xfId="2974" xr:uid="{00000000-0005-0000-0000-0000B9010000}"/>
    <cellStyle name="_도고천품의안11_송학하수품의(설계넣고)_사우나최종_워터파크" xfId="2975" xr:uid="{00000000-0005-0000-0000-0000BA010000}"/>
    <cellStyle name="_도고천품의안11_송학하수품의(설계넣고)_적상무주IC도로(1공구)" xfId="2976" xr:uid="{00000000-0005-0000-0000-0000BB010000}"/>
    <cellStyle name="_도고천품의안11_송학하수품의(설계넣고)_적상무주IC도로(1공구)_사우나최종" xfId="2977" xr:uid="{00000000-0005-0000-0000-0000BC010000}"/>
    <cellStyle name="_도고천품의안11_송학하수품의(설계넣고)_적상무주IC도로(1공구)_사우나최종_사우나최종17" xfId="2978" xr:uid="{00000000-0005-0000-0000-0000BD010000}"/>
    <cellStyle name="_도고천품의안11_송학하수품의(설계넣고)_적상무주IC도로(1공구)_사우나최종_워터파크" xfId="2979" xr:uid="{00000000-0005-0000-0000-0000BE010000}"/>
    <cellStyle name="_도고천품의안11_적상무주IC도로(1공구)" xfId="2980" xr:uid="{00000000-0005-0000-0000-0000BF010000}"/>
    <cellStyle name="_도고천품의안11_적상무주IC도로(1공구)_사우나최종" xfId="2981" xr:uid="{00000000-0005-0000-0000-0000C0010000}"/>
    <cellStyle name="_도고천품의안11_적상무주IC도로(1공구)_사우나최종_사우나최종17" xfId="2982" xr:uid="{00000000-0005-0000-0000-0000C1010000}"/>
    <cellStyle name="_도고천품의안11_적상무주IC도로(1공구)_사우나최종_워터파크" xfId="2983" xr:uid="{00000000-0005-0000-0000-0000C2010000}"/>
    <cellStyle name="_도곡주공" xfId="140" xr:uid="{00000000-0005-0000-0000-0000C3010000}"/>
    <cellStyle name="_도곡주공_1" xfId="141" xr:uid="{00000000-0005-0000-0000-0000C4010000}"/>
    <cellStyle name="_도곡주공v95" xfId="142" xr:uid="{00000000-0005-0000-0000-0000C5010000}"/>
    <cellStyle name="_도곡주공v95_1" xfId="143" xr:uid="{00000000-0005-0000-0000-0000C6010000}"/>
    <cellStyle name="_도급,제외,적용내역편집" xfId="144" xr:uid="{00000000-0005-0000-0000-0000C7010000}"/>
    <cellStyle name="_동학농민혁명기념관(개요)" xfId="145" xr:uid="{00000000-0005-0000-0000-0000C8010000}"/>
    <cellStyle name="_동학농민혁명기념관(개요)_담양 창평 주택시설 부지조성사업" xfId="146" xr:uid="{00000000-0005-0000-0000-0000C9010000}"/>
    <cellStyle name="_롯데케논사옥02.02" xfId="2984" xr:uid="{00000000-0005-0000-0000-0000CA010000}"/>
    <cellStyle name="_마가레트 호텔" xfId="147" xr:uid="{00000000-0005-0000-0000-0000CB010000}"/>
    <cellStyle name="_말띠고개(수정)" xfId="148" xr:uid="{00000000-0005-0000-0000-0000CC010000}"/>
    <cellStyle name="_매정견적보고" xfId="2985" xr:uid="{00000000-0005-0000-0000-0000CD010000}"/>
    <cellStyle name="_명동아르누보(후드코트)-제출(DATA)" xfId="2986" xr:uid="{00000000-0005-0000-0000-0000CE010000}"/>
    <cellStyle name="_명암지도로실행" xfId="2987" xr:uid="{00000000-0005-0000-0000-0000CF010000}"/>
    <cellStyle name="_명암지도로실행_번암견적의뢰(협력)" xfId="2988" xr:uid="{00000000-0005-0000-0000-0000D0010000}"/>
    <cellStyle name="_명암지도로실행_번암견적의뢰(협력)_사우나최종" xfId="2989" xr:uid="{00000000-0005-0000-0000-0000D1010000}"/>
    <cellStyle name="_명암지도로실행_번암견적의뢰(협력)_사우나최종_사우나최종17" xfId="2990" xr:uid="{00000000-0005-0000-0000-0000D2010000}"/>
    <cellStyle name="_명암지도로실행_번암견적의뢰(협력)_사우나최종_워터파크" xfId="2991" xr:uid="{00000000-0005-0000-0000-0000D3010000}"/>
    <cellStyle name="_명암지도로실행_사우나최종" xfId="2992" xr:uid="{00000000-0005-0000-0000-0000D4010000}"/>
    <cellStyle name="_명암지도로실행_사우나최종_사우나최종17" xfId="2993" xr:uid="{00000000-0005-0000-0000-0000D5010000}"/>
    <cellStyle name="_명암지도로실행_사우나최종_워터파크" xfId="2994" xr:uid="{00000000-0005-0000-0000-0000D6010000}"/>
    <cellStyle name="_목표평가" xfId="149" xr:uid="{00000000-0005-0000-0000-0000D7010000}"/>
    <cellStyle name="_무안-광주2공구(협력)" xfId="2995" xr:uid="{00000000-0005-0000-0000-0000D8010000}"/>
    <cellStyle name="_무안-광주2공구(협력)_사우나최종" xfId="2996" xr:uid="{00000000-0005-0000-0000-0000D9010000}"/>
    <cellStyle name="_무안-광주2공구(협력)_사우나최종_사우나최종17" xfId="2997" xr:uid="{00000000-0005-0000-0000-0000DA010000}"/>
    <cellStyle name="_무안-광주2공구(협력)_사우나최종_워터파크" xfId="2998" xr:uid="{00000000-0005-0000-0000-0000DB010000}"/>
    <cellStyle name="_무안-광주2공구(협력)수정" xfId="2999" xr:uid="{00000000-0005-0000-0000-0000DC010000}"/>
    <cellStyle name="_무안-광주2공구(협력)수정_사우나최종" xfId="3000" xr:uid="{00000000-0005-0000-0000-0000DD010000}"/>
    <cellStyle name="_무안-광주2공구(협력)수정_사우나최종_사우나최종17" xfId="3001" xr:uid="{00000000-0005-0000-0000-0000DE010000}"/>
    <cellStyle name="_무안-광주2공구(협력)수정_사우나최종_워터파크" xfId="3002" xr:uid="{00000000-0005-0000-0000-0000DF010000}"/>
    <cellStyle name="_물양장(4월19)" xfId="150" xr:uid="{00000000-0005-0000-0000-0000E0010000}"/>
    <cellStyle name="_물양장(4월19)_담양 창평 주택시설 부지조성사업" xfId="151" xr:uid="{00000000-0005-0000-0000-0000E1010000}"/>
    <cellStyle name="_물양장(4월19)_신북" xfId="152" xr:uid="{00000000-0005-0000-0000-0000E2010000}"/>
    <cellStyle name="_물양장(4월19)_신북_담양 창평 주택시설 부지조성사업" xfId="153" xr:uid="{00000000-0005-0000-0000-0000E3010000}"/>
    <cellStyle name="_물양장(4월19)_신북상수도보고서(성일)" xfId="154" xr:uid="{00000000-0005-0000-0000-0000E4010000}"/>
    <cellStyle name="_물양장(4월19)_신북상수도보고서(성일)_담양 창평 주택시설 부지조성사업" xfId="155" xr:uid="{00000000-0005-0000-0000-0000E5010000}"/>
    <cellStyle name="_물양장(4월19)_신북상수도보고서(성일)_신북" xfId="156" xr:uid="{00000000-0005-0000-0000-0000E6010000}"/>
    <cellStyle name="_물양장(4월19)_신북상수도보고서(성일)_신북_담양 창평 주택시설 부지조성사업" xfId="157" xr:uid="{00000000-0005-0000-0000-0000E7010000}"/>
    <cellStyle name="_물양장(4월19)_신북상수도보고서(성일)_신북상수도" xfId="158" xr:uid="{00000000-0005-0000-0000-0000E8010000}"/>
    <cellStyle name="_물양장(4월19)_신북상수도보고서(성일)_신북상수도_담양 창평 주택시설 부지조성사업" xfId="159" xr:uid="{00000000-0005-0000-0000-0000E9010000}"/>
    <cellStyle name="_물양장(4월19)_신북상수도보고서(성일)_신북상수도보고서(성일)" xfId="160" xr:uid="{00000000-0005-0000-0000-0000EA010000}"/>
    <cellStyle name="_물양장(4월19)_신북상수도보고서(성일)_신북상수도보고서(성일)_담양 창평 주택시설 부지조성사업" xfId="161" xr:uid="{00000000-0005-0000-0000-0000EB010000}"/>
    <cellStyle name="_물양장(4월19)_여천~화양간보고서(성일)" xfId="162" xr:uid="{00000000-0005-0000-0000-0000EC010000}"/>
    <cellStyle name="_물양장(4월19)_여천~화양간보고서(성일)_담양 창평 주택시설 부지조성사업" xfId="163" xr:uid="{00000000-0005-0000-0000-0000ED010000}"/>
    <cellStyle name="_물양장(4월19)_여천~화양간보고서(성일)_신북" xfId="164" xr:uid="{00000000-0005-0000-0000-0000EE010000}"/>
    <cellStyle name="_물양장(4월19)_여천~화양간보고서(성일)_신북_담양 창평 주택시설 부지조성사업" xfId="165" xr:uid="{00000000-0005-0000-0000-0000EF010000}"/>
    <cellStyle name="_물양장(4월19)_여천~화양간보고서(성일)_신북상수도" xfId="166" xr:uid="{00000000-0005-0000-0000-0000F0010000}"/>
    <cellStyle name="_물양장(4월19)_여천~화양간보고서(성일)_신북상수도_담양 창평 주택시설 부지조성사업" xfId="167" xr:uid="{00000000-0005-0000-0000-0000F1010000}"/>
    <cellStyle name="_물양장(4월19)_여천~화양간보고서(성일)_신북상수도보고서(성일)" xfId="168" xr:uid="{00000000-0005-0000-0000-0000F2010000}"/>
    <cellStyle name="_물양장(4월19)_여천~화양간보고서(성일)_신북상수도보고서(성일)_담양 창평 주택시설 부지조성사업" xfId="169" xr:uid="{00000000-0005-0000-0000-0000F3010000}"/>
    <cellStyle name="_물양장실정보고(추가분)" xfId="170" xr:uid="{00000000-0005-0000-0000-0000F4010000}"/>
    <cellStyle name="_물양장실정보고(추가분)_2차 - 물양장(C.물양장공)" xfId="171" xr:uid="{00000000-0005-0000-0000-0000F5010000}"/>
    <cellStyle name="_물양장실정보고(추가분)_2차 - 물양장(C.물양장공)_담양 창평 주택시설 부지조성사업" xfId="172" xr:uid="{00000000-0005-0000-0000-0000F6010000}"/>
    <cellStyle name="_물양장실정보고(추가분)_2차 - 물양장(C.물양장공)_신북" xfId="173" xr:uid="{00000000-0005-0000-0000-0000F7010000}"/>
    <cellStyle name="_물양장실정보고(추가분)_2차 - 물양장(C.물양장공)_신북_담양 창평 주택시설 부지조성사업" xfId="174" xr:uid="{00000000-0005-0000-0000-0000F8010000}"/>
    <cellStyle name="_물양장실정보고(추가분)_2차 - 물양장(C.물양장공)_신북상수도보고서(성일)" xfId="175" xr:uid="{00000000-0005-0000-0000-0000F9010000}"/>
    <cellStyle name="_물양장실정보고(추가분)_2차 - 물양장(C.물양장공)_신북상수도보고서(성일)_담양 창평 주택시설 부지조성사업" xfId="176" xr:uid="{00000000-0005-0000-0000-0000FA010000}"/>
    <cellStyle name="_물양장실정보고(추가분)_2차 - 물양장(C.물양장공)_신북상수도보고서(성일)_신북" xfId="177" xr:uid="{00000000-0005-0000-0000-0000FB010000}"/>
    <cellStyle name="_물양장실정보고(추가분)_2차 - 물양장(C.물양장공)_신북상수도보고서(성일)_신북_담양 창평 주택시설 부지조성사업" xfId="178" xr:uid="{00000000-0005-0000-0000-0000FC010000}"/>
    <cellStyle name="_물양장실정보고(추가분)_2차 - 물양장(C.물양장공)_신북상수도보고서(성일)_신북상수도" xfId="179" xr:uid="{00000000-0005-0000-0000-0000FD010000}"/>
    <cellStyle name="_물양장실정보고(추가분)_2차 - 물양장(C.물양장공)_신북상수도보고서(성일)_신북상수도_담양 창평 주택시설 부지조성사업" xfId="180" xr:uid="{00000000-0005-0000-0000-0000FE010000}"/>
    <cellStyle name="_물양장실정보고(추가분)_2차 - 물양장(C.물양장공)_신북상수도보고서(성일)_신북상수도보고서(성일)" xfId="181" xr:uid="{00000000-0005-0000-0000-0000FF010000}"/>
    <cellStyle name="_물양장실정보고(추가분)_2차 - 물양장(C.물양장공)_신북상수도보고서(성일)_신북상수도보고서(성일)_담양 창평 주택시설 부지조성사업" xfId="182" xr:uid="{00000000-0005-0000-0000-000000020000}"/>
    <cellStyle name="_물양장실정보고(추가분)_2차 - 물양장(C.물양장공)_여천~화양간보고서(성일)" xfId="183" xr:uid="{00000000-0005-0000-0000-000001020000}"/>
    <cellStyle name="_물양장실정보고(추가분)_2차 - 물양장(C.물양장공)_여천~화양간보고서(성일)_담양 창평 주택시설 부지조성사업" xfId="184" xr:uid="{00000000-0005-0000-0000-000002020000}"/>
    <cellStyle name="_물양장실정보고(추가분)_2차 - 물양장(C.물양장공)_여천~화양간보고서(성일)_신북" xfId="185" xr:uid="{00000000-0005-0000-0000-000003020000}"/>
    <cellStyle name="_물양장실정보고(추가분)_2차 - 물양장(C.물양장공)_여천~화양간보고서(성일)_신북_담양 창평 주택시설 부지조성사업" xfId="186" xr:uid="{00000000-0005-0000-0000-000004020000}"/>
    <cellStyle name="_물양장실정보고(추가분)_2차 - 물양장(C.물양장공)_여천~화양간보고서(성일)_신북상수도" xfId="187" xr:uid="{00000000-0005-0000-0000-000005020000}"/>
    <cellStyle name="_물양장실정보고(추가분)_2차 - 물양장(C.물양장공)_여천~화양간보고서(성일)_신북상수도_담양 창평 주택시설 부지조성사업" xfId="188" xr:uid="{00000000-0005-0000-0000-000006020000}"/>
    <cellStyle name="_물양장실정보고(추가분)_2차 - 물양장(C.물양장공)_여천~화양간보고서(성일)_신북상수도보고서(성일)" xfId="189" xr:uid="{00000000-0005-0000-0000-000007020000}"/>
    <cellStyle name="_물양장실정보고(추가분)_2차 - 물양장(C.물양장공)_여천~화양간보고서(성일)_신북상수도보고서(성일)_담양 창평 주택시설 부지조성사업" xfId="190" xr:uid="{00000000-0005-0000-0000-000008020000}"/>
    <cellStyle name="_물양장실정보고(추가분)_단가산출" xfId="191" xr:uid="{00000000-0005-0000-0000-000009020000}"/>
    <cellStyle name="_물양장실정보고(추가분)_단가산출_담양 창평 주택시설 부지조성사업" xfId="192" xr:uid="{00000000-0005-0000-0000-00000A020000}"/>
    <cellStyle name="_물양장실정보고(추가분)_단가산출_신북" xfId="193" xr:uid="{00000000-0005-0000-0000-00000B020000}"/>
    <cellStyle name="_물양장실정보고(추가분)_단가산출_신북_담양 창평 주택시설 부지조성사업" xfId="194" xr:uid="{00000000-0005-0000-0000-00000C020000}"/>
    <cellStyle name="_물양장실정보고(추가분)_단가산출_신북상수도보고서(성일)" xfId="195" xr:uid="{00000000-0005-0000-0000-00000D020000}"/>
    <cellStyle name="_물양장실정보고(추가분)_단가산출_신북상수도보고서(성일)_담양 창평 주택시설 부지조성사업" xfId="196" xr:uid="{00000000-0005-0000-0000-00000E020000}"/>
    <cellStyle name="_물양장실정보고(추가분)_단가산출_신북상수도보고서(성일)_신북" xfId="197" xr:uid="{00000000-0005-0000-0000-00000F020000}"/>
    <cellStyle name="_물양장실정보고(추가분)_단가산출_신북상수도보고서(성일)_신북_담양 창평 주택시설 부지조성사업" xfId="198" xr:uid="{00000000-0005-0000-0000-000010020000}"/>
    <cellStyle name="_물양장실정보고(추가분)_단가산출_신북상수도보고서(성일)_신북상수도" xfId="199" xr:uid="{00000000-0005-0000-0000-000011020000}"/>
    <cellStyle name="_물양장실정보고(추가분)_단가산출_신북상수도보고서(성일)_신북상수도_담양 창평 주택시설 부지조성사업" xfId="200" xr:uid="{00000000-0005-0000-0000-000012020000}"/>
    <cellStyle name="_물양장실정보고(추가분)_단가산출_신북상수도보고서(성일)_신북상수도보고서(성일)" xfId="201" xr:uid="{00000000-0005-0000-0000-000013020000}"/>
    <cellStyle name="_물양장실정보고(추가분)_단가산출_신북상수도보고서(성일)_신북상수도보고서(성일)_담양 창평 주택시설 부지조성사업" xfId="202" xr:uid="{00000000-0005-0000-0000-000014020000}"/>
    <cellStyle name="_물양장실정보고(추가분)_단가산출_여천~화양간보고서(성일)" xfId="203" xr:uid="{00000000-0005-0000-0000-000015020000}"/>
    <cellStyle name="_물양장실정보고(추가분)_단가산출_여천~화양간보고서(성일)_담양 창평 주택시설 부지조성사업" xfId="204" xr:uid="{00000000-0005-0000-0000-000016020000}"/>
    <cellStyle name="_물양장실정보고(추가분)_단가산출_여천~화양간보고서(성일)_신북" xfId="205" xr:uid="{00000000-0005-0000-0000-000017020000}"/>
    <cellStyle name="_물양장실정보고(추가분)_단가산출_여천~화양간보고서(성일)_신북_담양 창평 주택시설 부지조성사업" xfId="206" xr:uid="{00000000-0005-0000-0000-000018020000}"/>
    <cellStyle name="_물양장실정보고(추가분)_단가산출_여천~화양간보고서(성일)_신북상수도" xfId="207" xr:uid="{00000000-0005-0000-0000-000019020000}"/>
    <cellStyle name="_물양장실정보고(추가분)_단가산출_여천~화양간보고서(성일)_신북상수도_담양 창평 주택시설 부지조성사업" xfId="208" xr:uid="{00000000-0005-0000-0000-00001A020000}"/>
    <cellStyle name="_물양장실정보고(추가분)_단가산출_여천~화양간보고서(성일)_신북상수도보고서(성일)" xfId="209" xr:uid="{00000000-0005-0000-0000-00001B020000}"/>
    <cellStyle name="_물양장실정보고(추가분)_단가산출_여천~화양간보고서(성일)_신북상수도보고서(성일)_담양 창평 주택시설 부지조성사업" xfId="210" xr:uid="{00000000-0005-0000-0000-00001C020000}"/>
    <cellStyle name="_물양장실정보고(추가분)_담양 창평 주택시설 부지조성사업" xfId="211" xr:uid="{00000000-0005-0000-0000-00001D020000}"/>
    <cellStyle name="_물양장실정보고(추가분)_물양장(C.물양장공)" xfId="212" xr:uid="{00000000-0005-0000-0000-00001E020000}"/>
    <cellStyle name="_물양장실정보고(추가분)_물양장(C.물양장공)_담양 창평 주택시설 부지조성사업" xfId="213" xr:uid="{00000000-0005-0000-0000-00001F020000}"/>
    <cellStyle name="_물양장실정보고(추가분)_물양장(C.물양장공)_신북" xfId="214" xr:uid="{00000000-0005-0000-0000-000020020000}"/>
    <cellStyle name="_물양장실정보고(추가분)_물양장(C.물양장공)_신북_담양 창평 주택시설 부지조성사업" xfId="215" xr:uid="{00000000-0005-0000-0000-000021020000}"/>
    <cellStyle name="_물양장실정보고(추가분)_물양장(C.물양장공)_신북상수도보고서(성일)" xfId="216" xr:uid="{00000000-0005-0000-0000-000022020000}"/>
    <cellStyle name="_물양장실정보고(추가분)_물양장(C.물양장공)_신북상수도보고서(성일)_담양 창평 주택시설 부지조성사업" xfId="217" xr:uid="{00000000-0005-0000-0000-000023020000}"/>
    <cellStyle name="_물양장실정보고(추가분)_물양장(C.물양장공)_신북상수도보고서(성일)_신북" xfId="218" xr:uid="{00000000-0005-0000-0000-000024020000}"/>
    <cellStyle name="_물양장실정보고(추가분)_물양장(C.물양장공)_신북상수도보고서(성일)_신북_담양 창평 주택시설 부지조성사업" xfId="219" xr:uid="{00000000-0005-0000-0000-000025020000}"/>
    <cellStyle name="_물양장실정보고(추가분)_물양장(C.물양장공)_신북상수도보고서(성일)_신북상수도" xfId="220" xr:uid="{00000000-0005-0000-0000-000026020000}"/>
    <cellStyle name="_물양장실정보고(추가분)_물양장(C.물양장공)_신북상수도보고서(성일)_신북상수도_담양 창평 주택시설 부지조성사업" xfId="221" xr:uid="{00000000-0005-0000-0000-000027020000}"/>
    <cellStyle name="_물양장실정보고(추가분)_물양장(C.물양장공)_신북상수도보고서(성일)_신북상수도보고서(성일)" xfId="222" xr:uid="{00000000-0005-0000-0000-000028020000}"/>
    <cellStyle name="_물양장실정보고(추가분)_물양장(C.물양장공)_신북상수도보고서(성일)_신북상수도보고서(성일)_담양 창평 주택시설 부지조성사업" xfId="223" xr:uid="{00000000-0005-0000-0000-000029020000}"/>
    <cellStyle name="_물양장실정보고(추가분)_물양장(C.물양장공)_여천~화양간보고서(성일)" xfId="224" xr:uid="{00000000-0005-0000-0000-00002A020000}"/>
    <cellStyle name="_물양장실정보고(추가분)_물양장(C.물양장공)_여천~화양간보고서(성일)_담양 창평 주택시설 부지조성사업" xfId="225" xr:uid="{00000000-0005-0000-0000-00002B020000}"/>
    <cellStyle name="_물양장실정보고(추가분)_물양장(C.물양장공)_여천~화양간보고서(성일)_신북" xfId="226" xr:uid="{00000000-0005-0000-0000-00002C020000}"/>
    <cellStyle name="_물양장실정보고(추가분)_물양장(C.물양장공)_여천~화양간보고서(성일)_신북_담양 창평 주택시설 부지조성사업" xfId="227" xr:uid="{00000000-0005-0000-0000-00002D020000}"/>
    <cellStyle name="_물양장실정보고(추가분)_물양장(C.물양장공)_여천~화양간보고서(성일)_신북상수도" xfId="228" xr:uid="{00000000-0005-0000-0000-00002E020000}"/>
    <cellStyle name="_물양장실정보고(추가분)_물양장(C.물양장공)_여천~화양간보고서(성일)_신북상수도_담양 창평 주택시설 부지조성사업" xfId="229" xr:uid="{00000000-0005-0000-0000-00002F020000}"/>
    <cellStyle name="_물양장실정보고(추가분)_물양장(C.물양장공)_여천~화양간보고서(성일)_신북상수도보고서(성일)" xfId="230" xr:uid="{00000000-0005-0000-0000-000030020000}"/>
    <cellStyle name="_물양장실정보고(추가분)_물양장(C.물양장공)_여천~화양간보고서(성일)_신북상수도보고서(성일)_담양 창평 주택시설 부지조성사업" xfId="231" xr:uid="{00000000-0005-0000-0000-000031020000}"/>
    <cellStyle name="_물양장실정보고(추가분)_백야도상수도이설" xfId="232" xr:uid="{00000000-0005-0000-0000-000032020000}"/>
    <cellStyle name="_물양장실정보고(추가분)_백야도상수도이설_담양 창평 주택시설 부지조성사업" xfId="233" xr:uid="{00000000-0005-0000-0000-000033020000}"/>
    <cellStyle name="_물양장실정보고(추가분)_백야도상수도이설_신북" xfId="234" xr:uid="{00000000-0005-0000-0000-000034020000}"/>
    <cellStyle name="_물양장실정보고(추가분)_백야도상수도이설_신북_담양 창평 주택시설 부지조성사업" xfId="235" xr:uid="{00000000-0005-0000-0000-000035020000}"/>
    <cellStyle name="_물양장실정보고(추가분)_백야도상수도이설_신북상수도보고서(성일)" xfId="236" xr:uid="{00000000-0005-0000-0000-000036020000}"/>
    <cellStyle name="_물양장실정보고(추가분)_백야도상수도이설_신북상수도보고서(성일)_담양 창평 주택시설 부지조성사업" xfId="237" xr:uid="{00000000-0005-0000-0000-000037020000}"/>
    <cellStyle name="_물양장실정보고(추가분)_백야도상수도이설_신북상수도보고서(성일)_신북" xfId="238" xr:uid="{00000000-0005-0000-0000-000038020000}"/>
    <cellStyle name="_물양장실정보고(추가분)_백야도상수도이설_신북상수도보고서(성일)_신북_담양 창평 주택시설 부지조성사업" xfId="239" xr:uid="{00000000-0005-0000-0000-000039020000}"/>
    <cellStyle name="_물양장실정보고(추가분)_백야도상수도이설_신북상수도보고서(성일)_신북상수도" xfId="240" xr:uid="{00000000-0005-0000-0000-00003A020000}"/>
    <cellStyle name="_물양장실정보고(추가분)_백야도상수도이설_신북상수도보고서(성일)_신북상수도_담양 창평 주택시설 부지조성사업" xfId="241" xr:uid="{00000000-0005-0000-0000-00003B020000}"/>
    <cellStyle name="_물양장실정보고(추가분)_백야도상수도이설_신북상수도보고서(성일)_신북상수도보고서(성일)" xfId="242" xr:uid="{00000000-0005-0000-0000-00003C020000}"/>
    <cellStyle name="_물양장실정보고(추가분)_백야도상수도이설_신북상수도보고서(성일)_신북상수도보고서(성일)_담양 창평 주택시설 부지조성사업" xfId="243" xr:uid="{00000000-0005-0000-0000-00003D020000}"/>
    <cellStyle name="_물양장실정보고(추가분)_백야도상수도이설_여천~화양간보고서(성일)" xfId="244" xr:uid="{00000000-0005-0000-0000-00003E020000}"/>
    <cellStyle name="_물양장실정보고(추가분)_백야도상수도이설_여천~화양간보고서(성일)_담양 창평 주택시설 부지조성사업" xfId="245" xr:uid="{00000000-0005-0000-0000-00003F020000}"/>
    <cellStyle name="_물양장실정보고(추가분)_백야도상수도이설_여천~화양간보고서(성일)_신북" xfId="246" xr:uid="{00000000-0005-0000-0000-000040020000}"/>
    <cellStyle name="_물양장실정보고(추가분)_백야도상수도이설_여천~화양간보고서(성일)_신북_담양 창평 주택시설 부지조성사업" xfId="247" xr:uid="{00000000-0005-0000-0000-000041020000}"/>
    <cellStyle name="_물양장실정보고(추가분)_백야도상수도이설_여천~화양간보고서(성일)_신북상수도" xfId="248" xr:uid="{00000000-0005-0000-0000-000042020000}"/>
    <cellStyle name="_물양장실정보고(추가분)_백야도상수도이설_여천~화양간보고서(성일)_신북상수도_담양 창평 주택시설 부지조성사업" xfId="249" xr:uid="{00000000-0005-0000-0000-000043020000}"/>
    <cellStyle name="_물양장실정보고(추가분)_백야도상수도이설_여천~화양간보고서(성일)_신북상수도보고서(성일)" xfId="250" xr:uid="{00000000-0005-0000-0000-000044020000}"/>
    <cellStyle name="_물양장실정보고(추가분)_백야도상수도이설_여천~화양간보고서(성일)_신북상수도보고서(성일)_담양 창평 주택시설 부지조성사업" xfId="251" xr:uid="{00000000-0005-0000-0000-000045020000}"/>
    <cellStyle name="_물양장실정보고(추가분)_백야도상수도이설2" xfId="252" xr:uid="{00000000-0005-0000-0000-000046020000}"/>
    <cellStyle name="_물양장실정보고(추가분)_백야도상수도이설2_담양 창평 주택시설 부지조성사업" xfId="253" xr:uid="{00000000-0005-0000-0000-000047020000}"/>
    <cellStyle name="_물양장실정보고(추가분)_백야도상수도이설2_신북" xfId="254" xr:uid="{00000000-0005-0000-0000-000048020000}"/>
    <cellStyle name="_물양장실정보고(추가분)_백야도상수도이설2_신북_담양 창평 주택시설 부지조성사업" xfId="255" xr:uid="{00000000-0005-0000-0000-000049020000}"/>
    <cellStyle name="_물양장실정보고(추가분)_백야도상수도이설2_신북상수도보고서(성일)" xfId="256" xr:uid="{00000000-0005-0000-0000-00004A020000}"/>
    <cellStyle name="_물양장실정보고(추가분)_백야도상수도이설2_신북상수도보고서(성일)_담양 창평 주택시설 부지조성사업" xfId="257" xr:uid="{00000000-0005-0000-0000-00004B020000}"/>
    <cellStyle name="_물양장실정보고(추가분)_백야도상수도이설2_신북상수도보고서(성일)_신북" xfId="258" xr:uid="{00000000-0005-0000-0000-00004C020000}"/>
    <cellStyle name="_물양장실정보고(추가분)_백야도상수도이설2_신북상수도보고서(성일)_신북_담양 창평 주택시설 부지조성사업" xfId="259" xr:uid="{00000000-0005-0000-0000-00004D020000}"/>
    <cellStyle name="_물양장실정보고(추가분)_백야도상수도이설2_신북상수도보고서(성일)_신북상수도" xfId="260" xr:uid="{00000000-0005-0000-0000-00004E020000}"/>
    <cellStyle name="_물양장실정보고(추가분)_백야도상수도이설2_신북상수도보고서(성일)_신북상수도_담양 창평 주택시설 부지조성사업" xfId="261" xr:uid="{00000000-0005-0000-0000-00004F020000}"/>
    <cellStyle name="_물양장실정보고(추가분)_백야도상수도이설2_신북상수도보고서(성일)_신북상수도보고서(성일)" xfId="262" xr:uid="{00000000-0005-0000-0000-000050020000}"/>
    <cellStyle name="_물양장실정보고(추가분)_백야도상수도이설2_신북상수도보고서(성일)_신북상수도보고서(성일)_담양 창평 주택시설 부지조성사업" xfId="263" xr:uid="{00000000-0005-0000-0000-000051020000}"/>
    <cellStyle name="_물양장실정보고(추가분)_백야도상수도이설2_여천~화양간보고서(성일)" xfId="264" xr:uid="{00000000-0005-0000-0000-000052020000}"/>
    <cellStyle name="_물양장실정보고(추가분)_백야도상수도이설2_여천~화양간보고서(성일)_담양 창평 주택시설 부지조성사업" xfId="265" xr:uid="{00000000-0005-0000-0000-000053020000}"/>
    <cellStyle name="_물양장실정보고(추가분)_백야도상수도이설2_여천~화양간보고서(성일)_신북" xfId="266" xr:uid="{00000000-0005-0000-0000-000054020000}"/>
    <cellStyle name="_물양장실정보고(추가분)_백야도상수도이설2_여천~화양간보고서(성일)_신북_담양 창평 주택시설 부지조성사업" xfId="267" xr:uid="{00000000-0005-0000-0000-000055020000}"/>
    <cellStyle name="_물양장실정보고(추가분)_백야도상수도이설2_여천~화양간보고서(성일)_신북상수도" xfId="268" xr:uid="{00000000-0005-0000-0000-000056020000}"/>
    <cellStyle name="_물양장실정보고(추가분)_백야도상수도이설2_여천~화양간보고서(성일)_신북상수도_담양 창평 주택시설 부지조성사업" xfId="269" xr:uid="{00000000-0005-0000-0000-000057020000}"/>
    <cellStyle name="_물양장실정보고(추가분)_백야도상수도이설2_여천~화양간보고서(성일)_신북상수도보고서(성일)" xfId="270" xr:uid="{00000000-0005-0000-0000-000058020000}"/>
    <cellStyle name="_물양장실정보고(추가분)_백야도상수도이설2_여천~화양간보고서(성일)_신북상수도보고서(성일)_담양 창평 주택시설 부지조성사업" xfId="271" xr:uid="{00000000-0005-0000-0000-000059020000}"/>
    <cellStyle name="_물양장실정보고(추가분)_부대공수량집계" xfId="272" xr:uid="{00000000-0005-0000-0000-00005A020000}"/>
    <cellStyle name="_물양장실정보고(추가분)_부대공수량집계_담양 창평 주택시설 부지조성사업" xfId="273" xr:uid="{00000000-0005-0000-0000-00005B020000}"/>
    <cellStyle name="_물양장실정보고(추가분)_부대공수량집계_신북" xfId="274" xr:uid="{00000000-0005-0000-0000-00005C020000}"/>
    <cellStyle name="_물양장실정보고(추가분)_부대공수량집계_신북_담양 창평 주택시설 부지조성사업" xfId="275" xr:uid="{00000000-0005-0000-0000-00005D020000}"/>
    <cellStyle name="_물양장실정보고(추가분)_부대공수량집계_신북상수도보고서(성일)" xfId="276" xr:uid="{00000000-0005-0000-0000-00005E020000}"/>
    <cellStyle name="_물양장실정보고(추가분)_부대공수량집계_신북상수도보고서(성일)_담양 창평 주택시설 부지조성사업" xfId="277" xr:uid="{00000000-0005-0000-0000-00005F020000}"/>
    <cellStyle name="_물양장실정보고(추가분)_부대공수량집계_신북상수도보고서(성일)_신북" xfId="278" xr:uid="{00000000-0005-0000-0000-000060020000}"/>
    <cellStyle name="_물양장실정보고(추가분)_부대공수량집계_신북상수도보고서(성일)_신북_담양 창평 주택시설 부지조성사업" xfId="279" xr:uid="{00000000-0005-0000-0000-000061020000}"/>
    <cellStyle name="_물양장실정보고(추가분)_부대공수량집계_신북상수도보고서(성일)_신북상수도" xfId="280" xr:uid="{00000000-0005-0000-0000-000062020000}"/>
    <cellStyle name="_물양장실정보고(추가분)_부대공수량집계_신북상수도보고서(성일)_신북상수도_담양 창평 주택시설 부지조성사업" xfId="281" xr:uid="{00000000-0005-0000-0000-000063020000}"/>
    <cellStyle name="_물양장실정보고(추가분)_부대공수량집계_신북상수도보고서(성일)_신북상수도보고서(성일)" xfId="282" xr:uid="{00000000-0005-0000-0000-000064020000}"/>
    <cellStyle name="_물양장실정보고(추가분)_부대공수량집계_신북상수도보고서(성일)_신북상수도보고서(성일)_담양 창평 주택시설 부지조성사업" xfId="283" xr:uid="{00000000-0005-0000-0000-000065020000}"/>
    <cellStyle name="_물양장실정보고(추가분)_부대공수량집계_여천~화양간보고서(성일)" xfId="284" xr:uid="{00000000-0005-0000-0000-000066020000}"/>
    <cellStyle name="_물양장실정보고(추가분)_부대공수량집계_여천~화양간보고서(성일)_담양 창평 주택시설 부지조성사업" xfId="285" xr:uid="{00000000-0005-0000-0000-000067020000}"/>
    <cellStyle name="_물양장실정보고(추가분)_부대공수량집계_여천~화양간보고서(성일)_신북" xfId="286" xr:uid="{00000000-0005-0000-0000-000068020000}"/>
    <cellStyle name="_물양장실정보고(추가분)_부대공수량집계_여천~화양간보고서(성일)_신북_담양 창평 주택시설 부지조성사업" xfId="287" xr:uid="{00000000-0005-0000-0000-000069020000}"/>
    <cellStyle name="_물양장실정보고(추가분)_부대공수량집계_여천~화양간보고서(성일)_신북상수도" xfId="288" xr:uid="{00000000-0005-0000-0000-00006A020000}"/>
    <cellStyle name="_물양장실정보고(추가분)_부대공수량집계_여천~화양간보고서(성일)_신북상수도_담양 창평 주택시설 부지조성사업" xfId="289" xr:uid="{00000000-0005-0000-0000-00006B020000}"/>
    <cellStyle name="_물양장실정보고(추가분)_부대공수량집계_여천~화양간보고서(성일)_신북상수도보고서(성일)" xfId="290" xr:uid="{00000000-0005-0000-0000-00006C020000}"/>
    <cellStyle name="_물양장실정보고(추가분)_부대공수량집계_여천~화양간보고서(성일)_신북상수도보고서(성일)_담양 창평 주택시설 부지조성사업" xfId="291" xr:uid="{00000000-0005-0000-0000-00006D020000}"/>
    <cellStyle name="_물양장실정보고(추가분)_신북" xfId="292" xr:uid="{00000000-0005-0000-0000-00006E020000}"/>
    <cellStyle name="_물양장실정보고(추가분)_신북_담양 창평 주택시설 부지조성사업" xfId="293" xr:uid="{00000000-0005-0000-0000-00006F020000}"/>
    <cellStyle name="_물양장실정보고(추가분)_신북상수도보고서(성일)" xfId="294" xr:uid="{00000000-0005-0000-0000-000070020000}"/>
    <cellStyle name="_물양장실정보고(추가분)_신북상수도보고서(성일)_담양 창평 주택시설 부지조성사업" xfId="295" xr:uid="{00000000-0005-0000-0000-000071020000}"/>
    <cellStyle name="_물양장실정보고(추가분)_신북상수도보고서(성일)_신북" xfId="296" xr:uid="{00000000-0005-0000-0000-000072020000}"/>
    <cellStyle name="_물양장실정보고(추가분)_신북상수도보고서(성일)_신북_담양 창평 주택시설 부지조성사업" xfId="297" xr:uid="{00000000-0005-0000-0000-000073020000}"/>
    <cellStyle name="_물양장실정보고(추가분)_신북상수도보고서(성일)_신북상수도" xfId="298" xr:uid="{00000000-0005-0000-0000-000074020000}"/>
    <cellStyle name="_물양장실정보고(추가분)_신북상수도보고서(성일)_신북상수도_담양 창평 주택시설 부지조성사업" xfId="299" xr:uid="{00000000-0005-0000-0000-000075020000}"/>
    <cellStyle name="_물양장실정보고(추가분)_신북상수도보고서(성일)_신북상수도보고서(성일)" xfId="300" xr:uid="{00000000-0005-0000-0000-000076020000}"/>
    <cellStyle name="_물양장실정보고(추가분)_신북상수도보고서(성일)_신북상수도보고서(성일)_담양 창평 주택시설 부지조성사업" xfId="301" xr:uid="{00000000-0005-0000-0000-000077020000}"/>
    <cellStyle name="_물양장실정보고(추가분)_여천~화양간보고서(성일)" xfId="302" xr:uid="{00000000-0005-0000-0000-000078020000}"/>
    <cellStyle name="_물양장실정보고(추가분)_여천~화양간보고서(성일)_담양 창평 주택시설 부지조성사업" xfId="303" xr:uid="{00000000-0005-0000-0000-000079020000}"/>
    <cellStyle name="_물양장실정보고(추가분)_여천~화양간보고서(성일)_신북" xfId="304" xr:uid="{00000000-0005-0000-0000-00007A020000}"/>
    <cellStyle name="_물양장실정보고(추가분)_여천~화양간보고서(성일)_신북_담양 창평 주택시설 부지조성사업" xfId="305" xr:uid="{00000000-0005-0000-0000-00007B020000}"/>
    <cellStyle name="_물양장실정보고(추가분)_여천~화양간보고서(성일)_신북상수도" xfId="306" xr:uid="{00000000-0005-0000-0000-00007C020000}"/>
    <cellStyle name="_물양장실정보고(추가분)_여천~화양간보고서(성일)_신북상수도_담양 창평 주택시설 부지조성사업" xfId="307" xr:uid="{00000000-0005-0000-0000-00007D020000}"/>
    <cellStyle name="_물양장실정보고(추가분)_여천~화양간보고서(성일)_신북상수도보고서(성일)" xfId="308" xr:uid="{00000000-0005-0000-0000-00007E020000}"/>
    <cellStyle name="_물양장실정보고(추가분)_여천~화양간보고서(성일)_신북상수도보고서(성일)_담양 창평 주택시설 부지조성사업" xfId="309" xr:uid="{00000000-0005-0000-0000-00007F020000}"/>
    <cellStyle name="_민방위교육관20051201" xfId="3003" xr:uid="{00000000-0005-0000-0000-000080020000}"/>
    <cellStyle name="_박물관억지말뚝가설전기공사-021011" xfId="310" xr:uid="{00000000-0005-0000-0000-000081020000}"/>
    <cellStyle name="_방염산출" xfId="311" xr:uid="{00000000-0005-0000-0000-000082020000}"/>
    <cellStyle name="_번암견적의뢰(협력)" xfId="3004" xr:uid="{00000000-0005-0000-0000-000083020000}"/>
    <cellStyle name="_번암견적의뢰(협력)_사우나최종" xfId="3005" xr:uid="{00000000-0005-0000-0000-000084020000}"/>
    <cellStyle name="_번암견적의뢰(협력)_사우나최종_사우나최종17" xfId="3006" xr:uid="{00000000-0005-0000-0000-000085020000}"/>
    <cellStyle name="_번암견적의뢰(협력)_사우나최종_워터파크" xfId="3007" xr:uid="{00000000-0005-0000-0000-000086020000}"/>
    <cellStyle name="_벤처오피스실행초안20030925" xfId="312" xr:uid="{00000000-0005-0000-0000-000087020000}"/>
    <cellStyle name="_별관동" xfId="313" xr:uid="{00000000-0005-0000-0000-000088020000}"/>
    <cellStyle name="_별관동#2" xfId="314" xr:uid="{00000000-0005-0000-0000-000089020000}"/>
    <cellStyle name="_별량 설계서(디오_전면)-최종2007.02.01" xfId="3008" xr:uid="{00000000-0005-0000-0000-00008A020000}"/>
    <cellStyle name="_별량 설계서(디오_전체)-최종2007.02.01" xfId="3009" xr:uid="{00000000-0005-0000-0000-00008B020000}"/>
    <cellStyle name="_별첨(계획서및실적서양식)" xfId="315" xr:uid="{00000000-0005-0000-0000-00008C020000}"/>
    <cellStyle name="_별첨(계획서및실적서양식)_1" xfId="316" xr:uid="{00000000-0005-0000-0000-00008D020000}"/>
    <cellStyle name="_보강사전(검토)" xfId="3010" xr:uid="{00000000-0005-0000-0000-00008E020000}"/>
    <cellStyle name="_보호피뢰침설치공사내역서(최종)" xfId="317" xr:uid="{00000000-0005-0000-0000-00008F020000}"/>
    <cellStyle name="_본관동 전등,전열" xfId="318" xr:uid="{00000000-0005-0000-0000-000090020000}"/>
    <cellStyle name="_본관동 전력간선" xfId="319" xr:uid="{00000000-0005-0000-0000-000091020000}"/>
    <cellStyle name="_본관동 전력간선#2" xfId="320" xr:uid="{00000000-0005-0000-0000-000092020000}"/>
    <cellStyle name="_본관동전등전열#2" xfId="321" xr:uid="{00000000-0005-0000-0000-000093020000}"/>
    <cellStyle name="_본점)6,7층 리뉴얼공사 현장설명" xfId="3011" xr:uid="{00000000-0005-0000-0000-000094020000}"/>
    <cellStyle name="_부대공내역" xfId="322" xr:uid="{00000000-0005-0000-0000-000095020000}"/>
    <cellStyle name="_부대공내역_(주)KCC 아산공장 위험물창고 증축공사-200684" xfId="323" xr:uid="{00000000-0005-0000-0000-000096020000}"/>
    <cellStyle name="_부대공내역_기안" xfId="324" xr:uid="{00000000-0005-0000-0000-000097020000}"/>
    <cellStyle name="_부대공내역_기안_(주)KCC 아산공장 위험물창고 증축공사-200684" xfId="325" xr:uid="{00000000-0005-0000-0000-000098020000}"/>
    <cellStyle name="_부대공내역_기안_예산분류 (공구구분)" xfId="326" xr:uid="{00000000-0005-0000-0000-000099020000}"/>
    <cellStyle name="_부대공내역_기안_예산분류 (공구구분)_(주)KCC 아산공장 위험물창고 증축공사-200684" xfId="327" xr:uid="{00000000-0005-0000-0000-00009A020000}"/>
    <cellStyle name="_부대공내역_기안_예산분류 (공구구분)_발산 아파트 1공구 공내역" xfId="328" xr:uid="{00000000-0005-0000-0000-00009B020000}"/>
    <cellStyle name="_부대공내역_기안_예산분류 (공구구분)_발산 아파트 1공구 공내역_(주)KCC 아산공장 위험물창고 증축공사-200684" xfId="329" xr:uid="{00000000-0005-0000-0000-00009C020000}"/>
    <cellStyle name="_부대공내역_기안_예산분류 (공구구분)_일반 외주 공내역서 (공구구분)" xfId="330" xr:uid="{00000000-0005-0000-0000-00009D020000}"/>
    <cellStyle name="_부대공내역_기안_예산분류 (공구구분)_일반 외주 공내역서 (공구구분)_(주)KCC 아산공장 위험물창고 증축공사-200684" xfId="331" xr:uid="{00000000-0005-0000-0000-00009E020000}"/>
    <cellStyle name="_부대공내역_기안_예산분류 (공구구분)_일반배관 외주발주 예산분류 (공구구분)" xfId="332" xr:uid="{00000000-0005-0000-0000-00009F020000}"/>
    <cellStyle name="_부대공내역_기안_예산분류 (공구구분)_일반배관 외주발주 예산분류 (공구구분)_(주)KCC 아산공장 위험물창고 증축공사-200684" xfId="333" xr:uid="{00000000-0005-0000-0000-0000A0020000}"/>
    <cellStyle name="_부대공내역_기안_예산분류 (공구구분)_일반배관 외주발주 예산분류 (공구구분)-1" xfId="334" xr:uid="{00000000-0005-0000-0000-0000A1020000}"/>
    <cellStyle name="_부대공내역_기안_예산분류 (공구구분)_일반배관 외주발주 예산분류 (공구구분)-1_(주)KCC 아산공장 위험물창고 증축공사-200684" xfId="335" xr:uid="{00000000-0005-0000-0000-0000A2020000}"/>
    <cellStyle name="_부대공내역_기안_일반배관 외주발주 예산분류 (공구구분)" xfId="336" xr:uid="{00000000-0005-0000-0000-0000A3020000}"/>
    <cellStyle name="_부대공내역_기안_일반배관 외주발주 예산분류 (공구구분)_(주)KCC 아산공장 위험물창고 증축공사-200684" xfId="337" xr:uid="{00000000-0005-0000-0000-0000A4020000}"/>
    <cellStyle name="_부대공내역_기안_일반배관 외주발주 예산분류 (공구구분)_발산 아파트 1공구 공내역" xfId="338" xr:uid="{00000000-0005-0000-0000-0000A5020000}"/>
    <cellStyle name="_부대공내역_기안_일반배관 외주발주 예산분류 (공구구분)_발산 아파트 1공구 공내역_(주)KCC 아산공장 위험물창고 증축공사-200684" xfId="339" xr:uid="{00000000-0005-0000-0000-0000A6020000}"/>
    <cellStyle name="_부대공내역_기안_일반배관 외주발주 예산분류 (공구구분)_일반 외주 공내역서 (공구구분)" xfId="340" xr:uid="{00000000-0005-0000-0000-0000A7020000}"/>
    <cellStyle name="_부대공내역_기안_일반배관 외주발주 예산분류 (공구구분)_일반 외주 공내역서 (공구구분)_(주)KCC 아산공장 위험물창고 증축공사-200684" xfId="341" xr:uid="{00000000-0005-0000-0000-0000A8020000}"/>
    <cellStyle name="_부대공내역_기안_일반배관 외주발주 예산분류 (공구구분)_일반배관 외주발주 예산분류 (공구구분)" xfId="342" xr:uid="{00000000-0005-0000-0000-0000A9020000}"/>
    <cellStyle name="_부대공내역_기안_일반배관 외주발주 예산분류 (공구구분)_일반배관 외주발주 예산분류 (공구구분)_(주)KCC 아산공장 위험물창고 증축공사-200684" xfId="343" xr:uid="{00000000-0005-0000-0000-0000AA020000}"/>
    <cellStyle name="_부대공내역_기안_일반배관 외주발주 예산분류 (공구구분)_일반배관 외주발주 예산분류 (공구구분)-1" xfId="344" xr:uid="{00000000-0005-0000-0000-0000AB020000}"/>
    <cellStyle name="_부대공내역_기안_일반배관 외주발주 예산분류 (공구구분)_일반배관 외주발주 예산분류 (공구구분)-1_(주)KCC 아산공장 위험물창고 증축공사-200684" xfId="345" xr:uid="{00000000-0005-0000-0000-0000AC020000}"/>
    <cellStyle name="_부대공내역_예산분류 (공구구분)" xfId="346" xr:uid="{00000000-0005-0000-0000-0000AD020000}"/>
    <cellStyle name="_부대공내역_예산분류 (공구구분)_(주)KCC 아산공장 위험물창고 증축공사-200684" xfId="347" xr:uid="{00000000-0005-0000-0000-0000AE020000}"/>
    <cellStyle name="_부대공내역_예산분류 (공구구분)_발산 아파트 1공구 공내역" xfId="348" xr:uid="{00000000-0005-0000-0000-0000AF020000}"/>
    <cellStyle name="_부대공내역_예산분류 (공구구분)_발산 아파트 1공구 공내역_(주)KCC 아산공장 위험물창고 증축공사-200684" xfId="349" xr:uid="{00000000-0005-0000-0000-0000B0020000}"/>
    <cellStyle name="_부대공내역_예산분류 (공구구분)_일반 외주 공내역서 (공구구분)" xfId="350" xr:uid="{00000000-0005-0000-0000-0000B1020000}"/>
    <cellStyle name="_부대공내역_예산분류 (공구구분)_일반 외주 공내역서 (공구구분)_(주)KCC 아산공장 위험물창고 증축공사-200684" xfId="351" xr:uid="{00000000-0005-0000-0000-0000B2020000}"/>
    <cellStyle name="_부대공내역_예산분류 (공구구분)_일반배관 외주발주 예산분류 (공구구분)" xfId="352" xr:uid="{00000000-0005-0000-0000-0000B3020000}"/>
    <cellStyle name="_부대공내역_예산분류 (공구구분)_일반배관 외주발주 예산분류 (공구구분)_(주)KCC 아산공장 위험물창고 증축공사-200684" xfId="353" xr:uid="{00000000-0005-0000-0000-0000B4020000}"/>
    <cellStyle name="_부대공내역_예산분류 (공구구분)_일반배관 외주발주 예산분류 (공구구분)-1" xfId="354" xr:uid="{00000000-0005-0000-0000-0000B5020000}"/>
    <cellStyle name="_부대공내역_예산분류 (공구구분)_일반배관 외주발주 예산분류 (공구구분)-1_(주)KCC 아산공장 위험물창고 증축공사-200684" xfId="355" xr:uid="{00000000-0005-0000-0000-0000B6020000}"/>
    <cellStyle name="_부대공내역_일반배관 외주발주 예산분류 (공구구분)" xfId="356" xr:uid="{00000000-0005-0000-0000-0000B7020000}"/>
    <cellStyle name="_부대공내역_일반배관 외주발주 예산분류 (공구구분)_(주)KCC 아산공장 위험물창고 증축공사-200684" xfId="357" xr:uid="{00000000-0005-0000-0000-0000B8020000}"/>
    <cellStyle name="_부대공내역_일반배관 외주발주 예산분류 (공구구분)_발산 아파트 1공구 공내역" xfId="358" xr:uid="{00000000-0005-0000-0000-0000B9020000}"/>
    <cellStyle name="_부대공내역_일반배관 외주발주 예산분류 (공구구분)_발산 아파트 1공구 공내역_(주)KCC 아산공장 위험물창고 증축공사-200684" xfId="359" xr:uid="{00000000-0005-0000-0000-0000BA020000}"/>
    <cellStyle name="_부대공내역_일반배관 외주발주 예산분류 (공구구분)_일반 외주 공내역서 (공구구분)" xfId="360" xr:uid="{00000000-0005-0000-0000-0000BB020000}"/>
    <cellStyle name="_부대공내역_일반배관 외주발주 예산분류 (공구구분)_일반 외주 공내역서 (공구구분)_(주)KCC 아산공장 위험물창고 증축공사-200684" xfId="361" xr:uid="{00000000-0005-0000-0000-0000BC020000}"/>
    <cellStyle name="_부대공내역_일반배관 외주발주 예산분류 (공구구분)_일반배관 외주발주 예산분류 (공구구분)" xfId="362" xr:uid="{00000000-0005-0000-0000-0000BD020000}"/>
    <cellStyle name="_부대공내역_일반배관 외주발주 예산분류 (공구구분)_일반배관 외주발주 예산분류 (공구구분)_(주)KCC 아산공장 위험물창고 증축공사-200684" xfId="363" xr:uid="{00000000-0005-0000-0000-0000BE020000}"/>
    <cellStyle name="_부대공내역_일반배관 외주발주 예산분류 (공구구분)_일반배관 외주발주 예산분류 (공구구분)-1" xfId="364" xr:uid="{00000000-0005-0000-0000-0000BF020000}"/>
    <cellStyle name="_부대공내역_일반배관 외주발주 예산분류 (공구구분)_일반배관 외주발주 예산분류 (공구구분)-1_(주)KCC 아산공장 위험물창고 증축공사-200684" xfId="365" xr:uid="{00000000-0005-0000-0000-0000C0020000}"/>
    <cellStyle name="_부에나비스타 빌라 설계견적" xfId="366" xr:uid="{00000000-0005-0000-0000-0000C1020000}"/>
    <cellStyle name="_부천범박동" xfId="367" xr:uid="{00000000-0005-0000-0000-0000C2020000}"/>
    <cellStyle name="_북부지방법원청사신축공사 2007,02,06" xfId="368" xr:uid="{00000000-0005-0000-0000-0000C3020000}"/>
    <cellStyle name="_분당정자동파라곤주상복합공사비(재검토I-SPACE수준)6-M.H" xfId="369" xr:uid="{00000000-0005-0000-0000-0000C4020000}"/>
    <cellStyle name="_사당동 아주연립 재건축" xfId="370" xr:uid="{00000000-0005-0000-0000-0000C5020000}"/>
    <cellStyle name="_사본 - 최종견적서 - 신관 4층, 14층공사 산출물량, 견적서 12-18(1안)" xfId="371" xr:uid="{00000000-0005-0000-0000-0000C6020000}"/>
    <cellStyle name="_사업부발송" xfId="372" xr:uid="{00000000-0005-0000-0000-0000C7020000}"/>
    <cellStyle name="_사전공사 - 대치아파트 1차 (02.11.08)" xfId="3012" xr:uid="{00000000-0005-0000-0000-0000C8020000}"/>
    <cellStyle name="_사전공사 - 대치아파트 1차 (02.11.08)_사우나최종" xfId="3013" xr:uid="{00000000-0005-0000-0000-0000C9020000}"/>
    <cellStyle name="_사전공사 - 대치아파트 1차 (02.11.08)_사우나최종_사우나최종17" xfId="3014" xr:uid="{00000000-0005-0000-0000-0000CA020000}"/>
    <cellStyle name="_사전공사 - 대치아파트 1차 (02.11.08)_사우나최종_워터파크" xfId="3015" xr:uid="{00000000-0005-0000-0000-0000CB020000}"/>
    <cellStyle name="_사전공사 - 대치아파트 2차 (02.10.24)" xfId="3016" xr:uid="{00000000-0005-0000-0000-0000CC020000}"/>
    <cellStyle name="_사전공사 - 대치아파트 2차 (02.10.24)_사우나최종" xfId="3017" xr:uid="{00000000-0005-0000-0000-0000CD020000}"/>
    <cellStyle name="_사전공사 - 대치아파트 2차 (02.10.24)_사우나최종_사우나최종17" xfId="3018" xr:uid="{00000000-0005-0000-0000-0000CE020000}"/>
    <cellStyle name="_사전공사 - 대치아파트 2차 (02.10.24)_사우나최종_워터파크" xfId="3019" xr:uid="{00000000-0005-0000-0000-0000CF020000}"/>
    <cellStyle name="_사전공사 검토양식" xfId="3020" xr:uid="{00000000-0005-0000-0000-0000D0020000}"/>
    <cellStyle name="_사전공사(토목본사검토) " xfId="3021" xr:uid="{00000000-0005-0000-0000-0000D1020000}"/>
    <cellStyle name="_사전공사(토목본사검토) _사우나최종" xfId="3022" xr:uid="{00000000-0005-0000-0000-0000D2020000}"/>
    <cellStyle name="_사전공사(토목본사검토) _사우나최종_사우나최종17" xfId="3023" xr:uid="{00000000-0005-0000-0000-0000D3020000}"/>
    <cellStyle name="_사전공사(토목본사검토) _사우나최종_워터파크" xfId="3024" xr:uid="{00000000-0005-0000-0000-0000D4020000}"/>
    <cellStyle name="_산월초등학교 학생용사물함 제조원가계산(납품)" xfId="373" xr:uid="{00000000-0005-0000-0000-0000D5020000}"/>
    <cellStyle name="_산출 근거서-08.22" xfId="374" xr:uid="{00000000-0005-0000-0000-0000D6020000}"/>
    <cellStyle name="_생산7PAGE" xfId="375" xr:uid="{00000000-0005-0000-0000-0000D7020000}"/>
    <cellStyle name="_생산LOAD2" xfId="377" xr:uid="{00000000-0005-0000-0000-0000D8020000}"/>
    <cellStyle name="_생산수정" xfId="376" xr:uid="{00000000-0005-0000-0000-0000D9020000}"/>
    <cellStyle name="_서울 중앙우체국 인테리어공사(03.10.08)" xfId="378" xr:uid="{00000000-0005-0000-0000-0000DA020000}"/>
    <cellStyle name="_서울 중앙우체국 인테리어공사(04.03.29)철희실행(0417)" xfId="379" xr:uid="{00000000-0005-0000-0000-0000DB020000}"/>
    <cellStyle name="_서울여대 학생복지관,기숙사-최종견적서" xfId="380" xr:uid="{00000000-0005-0000-0000-0000DC020000}"/>
    <cellStyle name="_서초 오피스텔 가)실행(인테리어)" xfId="3025" xr:uid="{00000000-0005-0000-0000-0000DD020000}"/>
    <cellStyle name="_선릉SK텔레콤금속공사" xfId="3026" xr:uid="{00000000-0005-0000-0000-0000DE020000}"/>
    <cellStyle name="_설계(최종)" xfId="381" xr:uid="{00000000-0005-0000-0000-0000DF020000}"/>
    <cellStyle name="_설계0515" xfId="382" xr:uid="{00000000-0005-0000-0000-0000E0020000}"/>
    <cellStyle name="_설계LOAD" xfId="384" xr:uid="{00000000-0005-0000-0000-0000E1020000}"/>
    <cellStyle name="_설계외주사무동 실행(가)" xfId="383" xr:uid="{00000000-0005-0000-0000-0000E2020000}"/>
    <cellStyle name="_설계추정2(토목)대림" xfId="3027" xr:uid="{00000000-0005-0000-0000-0000E3020000}"/>
    <cellStyle name="_설변계약 견적서" xfId="385" xr:uid="{00000000-0005-0000-0000-0000E4020000}"/>
    <cellStyle name="_성령교회 임시전력 견적" xfId="386" xr:uid="{00000000-0005-0000-0000-0000E5020000}"/>
    <cellStyle name="_성신여대" xfId="387" xr:uid="{00000000-0005-0000-0000-0000E6020000}"/>
    <cellStyle name="_성원오피스텔휘트니스센터" xfId="3028" xr:uid="{00000000-0005-0000-0000-0000E7020000}"/>
    <cellStyle name="_소규모통신시설단가공사(2003년)" xfId="388" xr:uid="{00000000-0005-0000-0000-0000E8020000}"/>
    <cellStyle name="_소규모통신시설단가공사(2003년)_1" xfId="389" xr:uid="{00000000-0005-0000-0000-0000E9020000}"/>
    <cellStyle name="_소규모통신시설단가공사(2003년)_2" xfId="390" xr:uid="{00000000-0005-0000-0000-0000EA020000}"/>
    <cellStyle name="_소규모통신시설단가공사(2003년)_3" xfId="391" xr:uid="{00000000-0005-0000-0000-0000EB020000}"/>
    <cellStyle name="_소규모통신시설단가공사(2003년)_4" xfId="392" xr:uid="{00000000-0005-0000-0000-0000EC020000}"/>
    <cellStyle name="_소규모통신시설단가공사(2003년)_5" xfId="393" xr:uid="{00000000-0005-0000-0000-0000ED020000}"/>
    <cellStyle name="_송학실행안" xfId="3029" xr:uid="{00000000-0005-0000-0000-0000EE020000}"/>
    <cellStyle name="_송학실행안_번암견적의뢰(협력)" xfId="3030" xr:uid="{00000000-0005-0000-0000-0000EF020000}"/>
    <cellStyle name="_송학실행안_번암견적의뢰(협력)_사우나최종" xfId="3031" xr:uid="{00000000-0005-0000-0000-0000F0020000}"/>
    <cellStyle name="_송학실행안_번암견적의뢰(협력)_사우나최종_사우나최종17" xfId="3032" xr:uid="{00000000-0005-0000-0000-0000F1020000}"/>
    <cellStyle name="_송학실행안_번암견적의뢰(협력)_사우나최종_워터파크" xfId="3033" xr:uid="{00000000-0005-0000-0000-0000F2020000}"/>
    <cellStyle name="_송학실행안_사우나최종" xfId="3034" xr:uid="{00000000-0005-0000-0000-0000F3020000}"/>
    <cellStyle name="_송학실행안_사우나최종_사우나최종17" xfId="3035" xr:uid="{00000000-0005-0000-0000-0000F4020000}"/>
    <cellStyle name="_송학실행안_사우나최종_워터파크" xfId="3036" xr:uid="{00000000-0005-0000-0000-0000F5020000}"/>
    <cellStyle name="_송학하수투찰" xfId="3037" xr:uid="{00000000-0005-0000-0000-0000F6020000}"/>
    <cellStyle name="_송학하수투찰_번암견적의뢰(협력)" xfId="3038" xr:uid="{00000000-0005-0000-0000-0000F7020000}"/>
    <cellStyle name="_송학하수투찰_번암견적의뢰(협력)_사우나최종" xfId="3039" xr:uid="{00000000-0005-0000-0000-0000F8020000}"/>
    <cellStyle name="_송학하수투찰_번암견적의뢰(협력)_사우나최종_사우나최종17" xfId="3040" xr:uid="{00000000-0005-0000-0000-0000F9020000}"/>
    <cellStyle name="_송학하수투찰_번암견적의뢰(협력)_사우나최종_워터파크" xfId="3041" xr:uid="{00000000-0005-0000-0000-0000FA020000}"/>
    <cellStyle name="_송학하수투찰_사우나최종" xfId="3042" xr:uid="{00000000-0005-0000-0000-0000FB020000}"/>
    <cellStyle name="_송학하수투찰_사우나최종_사우나최종17" xfId="3043" xr:uid="{00000000-0005-0000-0000-0000FC020000}"/>
    <cellStyle name="_송학하수투찰_사우나최종_워터파크" xfId="3044" xr:uid="{00000000-0005-0000-0000-0000FD020000}"/>
    <cellStyle name="_송학하수품의(설계넣고)" xfId="3045" xr:uid="{00000000-0005-0000-0000-0000FE020000}"/>
    <cellStyle name="_송학하수품의(설계넣고)_무안-광주2공구(협력)수정" xfId="3046" xr:uid="{00000000-0005-0000-0000-0000FF020000}"/>
    <cellStyle name="_송학하수품의(설계넣고)_무안-광주2공구(협력)수정_사우나최종" xfId="3047" xr:uid="{00000000-0005-0000-0000-000000030000}"/>
    <cellStyle name="_송학하수품의(설계넣고)_무안-광주2공구(협력)수정_사우나최종_사우나최종17" xfId="3048" xr:uid="{00000000-0005-0000-0000-000001030000}"/>
    <cellStyle name="_송학하수품의(설계넣고)_무안-광주2공구(협력)수정_사우나최종_워터파크" xfId="3049" xr:uid="{00000000-0005-0000-0000-000002030000}"/>
    <cellStyle name="_송학하수품의(설계넣고)_번암견적의뢰(협력)" xfId="3050" xr:uid="{00000000-0005-0000-0000-000003030000}"/>
    <cellStyle name="_송학하수품의(설계넣고)_번암견적의뢰(협력)_사우나최종" xfId="3051" xr:uid="{00000000-0005-0000-0000-000004030000}"/>
    <cellStyle name="_송학하수품의(설계넣고)_번암견적의뢰(협력)_사우나최종_사우나최종17" xfId="3052" xr:uid="{00000000-0005-0000-0000-000005030000}"/>
    <cellStyle name="_송학하수품의(설계넣고)_번암견적의뢰(협력)_사우나최종_워터파크" xfId="3053" xr:uid="{00000000-0005-0000-0000-000006030000}"/>
    <cellStyle name="_송학하수품의(설계넣고)_사우나최종" xfId="3054" xr:uid="{00000000-0005-0000-0000-000007030000}"/>
    <cellStyle name="_송학하수품의(설계넣고)_사우나최종_사우나최종17" xfId="3055" xr:uid="{00000000-0005-0000-0000-000008030000}"/>
    <cellStyle name="_송학하수품의(설계넣고)_사우나최종_워터파크" xfId="3056" xr:uid="{00000000-0005-0000-0000-000009030000}"/>
    <cellStyle name="_송학하수품의(설계넣고)_적상무주IC도로(1공구)" xfId="3057" xr:uid="{00000000-0005-0000-0000-00000A030000}"/>
    <cellStyle name="_송학하수품의(설계넣고)_적상무주IC도로(1공구)_사우나최종" xfId="3058" xr:uid="{00000000-0005-0000-0000-00000B030000}"/>
    <cellStyle name="_송학하수품의(설계넣고)_적상무주IC도로(1공구)_사우나최종_사우나최종17" xfId="3059" xr:uid="{00000000-0005-0000-0000-00000C030000}"/>
    <cellStyle name="_송학하수품의(설계넣고)_적상무주IC도로(1공구)_사우나최종_워터파크" xfId="3060" xr:uid="{00000000-0005-0000-0000-00000D030000}"/>
    <cellStyle name="_송현실행내역" xfId="394" xr:uid="{00000000-0005-0000-0000-00000E030000}"/>
    <cellStyle name="_수의계약사유서" xfId="395" xr:uid="{00000000-0005-0000-0000-00000F030000}"/>
    <cellStyle name="_스튜디오" xfId="396" xr:uid="{00000000-0005-0000-0000-000010030000}"/>
    <cellStyle name="_승선생활관최종보고서(02.06.04)" xfId="397" xr:uid="{00000000-0005-0000-0000-000011030000}"/>
    <cellStyle name="_승선생활관최종보고서(02.06.04)_담양 창평 주택시설 부지조성사업" xfId="398" xr:uid="{00000000-0005-0000-0000-000012030000}"/>
    <cellStyle name="_신북" xfId="399" xr:uid="{00000000-0005-0000-0000-000013030000}"/>
    <cellStyle name="_신북_담양 창평 주택시설 부지조성사업" xfId="400" xr:uid="{00000000-0005-0000-0000-000014030000}"/>
    <cellStyle name="_신북상수도보고서(성일)" xfId="401" xr:uid="{00000000-0005-0000-0000-000015030000}"/>
    <cellStyle name="_신북상수도보고서(성일)_담양 창평 주택시설 부지조성사업" xfId="402" xr:uid="{00000000-0005-0000-0000-000016030000}"/>
    <cellStyle name="_신북상수도보고서(성일)_신북" xfId="403" xr:uid="{00000000-0005-0000-0000-000017030000}"/>
    <cellStyle name="_신북상수도보고서(성일)_신북_담양 창평 주택시설 부지조성사업" xfId="404" xr:uid="{00000000-0005-0000-0000-000018030000}"/>
    <cellStyle name="_신북상수도보고서(성일)_신북상수도" xfId="405" xr:uid="{00000000-0005-0000-0000-000019030000}"/>
    <cellStyle name="_신북상수도보고서(성일)_신북상수도_담양 창평 주택시설 부지조성사업" xfId="406" xr:uid="{00000000-0005-0000-0000-00001A030000}"/>
    <cellStyle name="_신북상수도보고서(성일)_신북상수도보고서(성일)" xfId="407" xr:uid="{00000000-0005-0000-0000-00001B030000}"/>
    <cellStyle name="_신북상수도보고서(성일)_신북상수도보고서(성일)_담양 창평 주택시설 부지조성사업" xfId="408" xr:uid="{00000000-0005-0000-0000-00001C030000}"/>
    <cellStyle name="_신양테크견적" xfId="3061" xr:uid="{00000000-0005-0000-0000-00001D030000}"/>
    <cellStyle name="_신의~하태(성일)" xfId="409" xr:uid="{00000000-0005-0000-0000-00001E030000}"/>
    <cellStyle name="_신의~하태(성일)_03 기계경비(2000~2002)" xfId="410" xr:uid="{00000000-0005-0000-0000-00001F030000}"/>
    <cellStyle name="_신의~하태(성일)_기계경비(2000~2002)" xfId="411" xr:uid="{00000000-0005-0000-0000-000020030000}"/>
    <cellStyle name="_신의~하태(성일)_기계경비(2001~2002)" xfId="412" xr:uid="{00000000-0005-0000-0000-000021030000}"/>
    <cellStyle name="_신의~하태(성일)_기계경비지수산출" xfId="413" xr:uid="{00000000-0005-0000-0000-000022030000}"/>
    <cellStyle name="_신의~하태(성일)_기계경비지수산출(03년용)" xfId="414" xr:uid="{00000000-0005-0000-0000-000023030000}"/>
    <cellStyle name="_신의~하태(성일)_총기계경비(2001-2003)" xfId="415" xr:uid="{00000000-0005-0000-0000-000024030000}"/>
    <cellStyle name="_신중점현장20020810굴포천" xfId="416" xr:uid="{00000000-0005-0000-0000-000025030000}"/>
    <cellStyle name="_신촌 트리플지점 내장공사" xfId="3062" xr:uid="{00000000-0005-0000-0000-000026030000}"/>
    <cellStyle name="_신촌(2차)트리플지점(원본)" xfId="3063" xr:uid="{00000000-0005-0000-0000-000027030000}"/>
    <cellStyle name="_실버타운가설전력산출서" xfId="417" xr:uid="{00000000-0005-0000-0000-000028030000}"/>
    <cellStyle name="_실행" xfId="3064" xr:uid="{00000000-0005-0000-0000-000029030000}"/>
    <cellStyle name="_실행(9,10블럭)통합" xfId="3065" xr:uid="{00000000-0005-0000-0000-00002A030000}"/>
    <cellStyle name="_실행_의왕연구소-실행통합(입찰)" xfId="3066" xr:uid="{00000000-0005-0000-0000-00002B030000}"/>
    <cellStyle name="_실행갑지" xfId="3067" xr:uid="{00000000-0005-0000-0000-00002C030000}"/>
    <cellStyle name="_실행갑지_사우나최종" xfId="3068" xr:uid="{00000000-0005-0000-0000-00002D030000}"/>
    <cellStyle name="_실행갑지_사우나최종_사우나최종17" xfId="3069" xr:uid="{00000000-0005-0000-0000-00002E030000}"/>
    <cellStyle name="_실행갑지_사우나최종_워터파크" xfId="3070" xr:uid="{00000000-0005-0000-0000-00002F030000}"/>
    <cellStyle name="_실행단가표1" xfId="3071" xr:uid="{00000000-0005-0000-0000-000030030000}"/>
    <cellStyle name="_실행예산(최종,전주실리콘1)" xfId="418" xr:uid="{00000000-0005-0000-0000-000031030000}"/>
    <cellStyle name="_아미고터워 리모델링공사(계약,실행내역)9월.3일 " xfId="419" xr:uid="{00000000-0005-0000-0000-000032030000}"/>
    <cellStyle name="_양식" xfId="420" xr:uid="{00000000-0005-0000-0000-000033030000}"/>
    <cellStyle name="_양식_1" xfId="421" xr:uid="{00000000-0005-0000-0000-000034030000}"/>
    <cellStyle name="_양식_2" xfId="422" xr:uid="{00000000-0005-0000-0000-000035030000}"/>
    <cellStyle name="_양재 HUB PRIMO 발코니 확장공사" xfId="3072" xr:uid="{00000000-0005-0000-0000-000036030000}"/>
    <cellStyle name="_언주중-1" xfId="423" xr:uid="{00000000-0005-0000-0000-000037030000}"/>
    <cellStyle name="_업무연락" xfId="424" xr:uid="{00000000-0005-0000-0000-000038030000}"/>
    <cellStyle name="_엑셀 - 이름충돌 해결" xfId="425" xr:uid="{00000000-0005-0000-0000-000039030000}"/>
    <cellStyle name="_여의도실행초안20030905-결재수정" xfId="426" xr:uid="{00000000-0005-0000-0000-00003A030000}"/>
    <cellStyle name="_여천~화양간보고서(성일)" xfId="427" xr:uid="{00000000-0005-0000-0000-00003B030000}"/>
    <cellStyle name="_여천~화양간보고서(성일)_담양 창평 주택시설 부지조성사업" xfId="428" xr:uid="{00000000-0005-0000-0000-00003C030000}"/>
    <cellStyle name="_여천~화양간보고서(성일)_신북" xfId="429" xr:uid="{00000000-0005-0000-0000-00003D030000}"/>
    <cellStyle name="_여천~화양간보고서(성일)_신북_담양 창평 주택시설 부지조성사업" xfId="430" xr:uid="{00000000-0005-0000-0000-00003E030000}"/>
    <cellStyle name="_여천~화양간보고서(성일)_신북상수도" xfId="431" xr:uid="{00000000-0005-0000-0000-00003F030000}"/>
    <cellStyle name="_여천~화양간보고서(성일)_신북상수도_담양 창평 주택시설 부지조성사업" xfId="432" xr:uid="{00000000-0005-0000-0000-000040030000}"/>
    <cellStyle name="_여천~화양간보고서(성일)_신북상수도보고서(성일)" xfId="433" xr:uid="{00000000-0005-0000-0000-000041030000}"/>
    <cellStyle name="_여천~화양간보고서(성일)_신북상수도보고서(성일)_담양 창평 주택시설 부지조성사업" xfId="434" xr:uid="{00000000-0005-0000-0000-000042030000}"/>
    <cellStyle name="_역삼성진" xfId="435" xr:uid="{00000000-0005-0000-0000-000043030000}"/>
    <cellStyle name="_염리v95" xfId="437" xr:uid="{00000000-0005-0000-0000-000044030000}"/>
    <cellStyle name="_염리실행" xfId="436" xr:uid="{00000000-0005-0000-0000-000045030000}"/>
    <cellStyle name="_영주판타시온리조트-재입찰실행" xfId="3073" xr:uid="{00000000-0005-0000-0000-000046030000}"/>
    <cellStyle name="_예산분류 (공구구분)" xfId="438" xr:uid="{00000000-0005-0000-0000-000047030000}"/>
    <cellStyle name="_예산분류 (공구구분)_(주)KCC 아산공장 위험물창고 증축공사-200684" xfId="439" xr:uid="{00000000-0005-0000-0000-000048030000}"/>
    <cellStyle name="_예산분류 (공구구분)_발산 아파트 1공구 공내역" xfId="440" xr:uid="{00000000-0005-0000-0000-000049030000}"/>
    <cellStyle name="_예산분류 (공구구분)_발산 아파트 1공구 공내역_(주)KCC 아산공장 위험물창고 증축공사-200684" xfId="441" xr:uid="{00000000-0005-0000-0000-00004A030000}"/>
    <cellStyle name="_예산분류 (공구구분)_일반 외주 공내역서 (공구구분)" xfId="442" xr:uid="{00000000-0005-0000-0000-00004B030000}"/>
    <cellStyle name="_예산분류 (공구구분)_일반 외주 공내역서 (공구구분)_(주)KCC 아산공장 위험물창고 증축공사-200684" xfId="443" xr:uid="{00000000-0005-0000-0000-00004C030000}"/>
    <cellStyle name="_예산분류 (공구구분)_일반배관 외주발주 예산분류 (공구구분)" xfId="444" xr:uid="{00000000-0005-0000-0000-00004D030000}"/>
    <cellStyle name="_예산분류 (공구구분)_일반배관 외주발주 예산분류 (공구구분)_(주)KCC 아산공장 위험물창고 증축공사-200684" xfId="445" xr:uid="{00000000-0005-0000-0000-00004E030000}"/>
    <cellStyle name="_예산분류 (공구구분)_일반배관 외주발주 예산분류 (공구구분)-1" xfId="446" xr:uid="{00000000-0005-0000-0000-00004F030000}"/>
    <cellStyle name="_예산분류 (공구구분)_일반배관 외주발주 예산분류 (공구구분)-1_(주)KCC 아산공장 위험물창고 증축공사-200684" xfId="447" xr:uid="{00000000-0005-0000-0000-000050030000}"/>
    <cellStyle name="_오엑스견적" xfId="3074" xr:uid="{00000000-0005-0000-0000-000051030000}"/>
    <cellStyle name="_외주발주요청서" xfId="448" xr:uid="{00000000-0005-0000-0000-000052030000}"/>
    <cellStyle name="_외주발주요청서(을)" xfId="449" xr:uid="{00000000-0005-0000-0000-000053030000}"/>
    <cellStyle name="_요약" xfId="450" xr:uid="{00000000-0005-0000-0000-000054030000}"/>
    <cellStyle name="_용산 외국인학교 인테리어공사 " xfId="3075" xr:uid="{00000000-0005-0000-0000-000055030000}"/>
    <cellStyle name="_용평리조트 (임시동력)" xfId="451" xr:uid="{00000000-0005-0000-0000-000056030000}"/>
    <cellStyle name="_우" xfId="3076" xr:uid="{00000000-0005-0000-0000-000057030000}"/>
    <cellStyle name="_우_광주평동실행" xfId="3077" xr:uid="{00000000-0005-0000-0000-000058030000}"/>
    <cellStyle name="_우_광주평동실행_번암견적의뢰(협력)" xfId="3078" xr:uid="{00000000-0005-0000-0000-000059030000}"/>
    <cellStyle name="_우_광주평동실행_번암견적의뢰(협력)_사우나최종" xfId="3079" xr:uid="{00000000-0005-0000-0000-00005A030000}"/>
    <cellStyle name="_우_광주평동실행_번암견적의뢰(협력)_사우나최종_사우나최종17" xfId="3080" xr:uid="{00000000-0005-0000-0000-00005B030000}"/>
    <cellStyle name="_우_광주평동실행_번암견적의뢰(협력)_사우나최종_워터파크" xfId="3081" xr:uid="{00000000-0005-0000-0000-00005C030000}"/>
    <cellStyle name="_우_광주평동실행_사우나최종" xfId="3082" xr:uid="{00000000-0005-0000-0000-00005D030000}"/>
    <cellStyle name="_우_광주평동실행_사우나최종_사우나최종17" xfId="3083" xr:uid="{00000000-0005-0000-0000-00005E030000}"/>
    <cellStyle name="_우_광주평동실행_사우나최종_워터파크" xfId="3084" xr:uid="{00000000-0005-0000-0000-00005F030000}"/>
    <cellStyle name="_우_광주평동품의1" xfId="3085" xr:uid="{00000000-0005-0000-0000-000060030000}"/>
    <cellStyle name="_우_광주평동품의1_무안-광주2공구(협력)수정" xfId="3086" xr:uid="{00000000-0005-0000-0000-000061030000}"/>
    <cellStyle name="_우_광주평동품의1_무안-광주2공구(협력)수정_사우나최종" xfId="3087" xr:uid="{00000000-0005-0000-0000-000062030000}"/>
    <cellStyle name="_우_광주평동품의1_무안-광주2공구(협력)수정_사우나최종_사우나최종17" xfId="3088" xr:uid="{00000000-0005-0000-0000-000063030000}"/>
    <cellStyle name="_우_광주평동품의1_무안-광주2공구(협력)수정_사우나최종_워터파크" xfId="3089" xr:uid="{00000000-0005-0000-0000-000064030000}"/>
    <cellStyle name="_우_광주평동품의1_번암견적의뢰(협력)" xfId="3090" xr:uid="{00000000-0005-0000-0000-000065030000}"/>
    <cellStyle name="_우_광주평동품의1_번암견적의뢰(협력)_사우나최종" xfId="3091" xr:uid="{00000000-0005-0000-0000-000066030000}"/>
    <cellStyle name="_우_광주평동품의1_번암견적의뢰(협력)_사우나최종_사우나최종17" xfId="3092" xr:uid="{00000000-0005-0000-0000-000067030000}"/>
    <cellStyle name="_우_광주평동품의1_번암견적의뢰(협력)_사우나최종_워터파크" xfId="3093" xr:uid="{00000000-0005-0000-0000-000068030000}"/>
    <cellStyle name="_우_광주평동품의1_사우나최종" xfId="3094" xr:uid="{00000000-0005-0000-0000-000069030000}"/>
    <cellStyle name="_우_광주평동품의1_사우나최종_사우나최종17" xfId="3095" xr:uid="{00000000-0005-0000-0000-00006A030000}"/>
    <cellStyle name="_우_광주평동품의1_사우나최종_워터파크" xfId="3096" xr:uid="{00000000-0005-0000-0000-00006B030000}"/>
    <cellStyle name="_우_광주평동품의1_적상무주IC도로(1공구)" xfId="3097" xr:uid="{00000000-0005-0000-0000-00006C030000}"/>
    <cellStyle name="_우_광주평동품의1_적상무주IC도로(1공구)_사우나최종" xfId="3098" xr:uid="{00000000-0005-0000-0000-00006D030000}"/>
    <cellStyle name="_우_광주평동품의1_적상무주IC도로(1공구)_사우나최종_사우나최종17" xfId="3099" xr:uid="{00000000-0005-0000-0000-00006E030000}"/>
    <cellStyle name="_우_광주평동품의1_적상무주IC도로(1공구)_사우나최종_워터파크" xfId="3100" xr:uid="{00000000-0005-0000-0000-00006F030000}"/>
    <cellStyle name="_우_기장하수실행1" xfId="3101" xr:uid="{00000000-0005-0000-0000-000070030000}"/>
    <cellStyle name="_우_기장하수실행1_번암견적의뢰(협력)" xfId="3102" xr:uid="{00000000-0005-0000-0000-000071030000}"/>
    <cellStyle name="_우_기장하수실행1_번암견적의뢰(협력)_사우나최종" xfId="3103" xr:uid="{00000000-0005-0000-0000-000072030000}"/>
    <cellStyle name="_우_기장하수실행1_번암견적의뢰(협력)_사우나최종_사우나최종17" xfId="3104" xr:uid="{00000000-0005-0000-0000-000073030000}"/>
    <cellStyle name="_우_기장하수실행1_번암견적의뢰(협력)_사우나최종_워터파크" xfId="3105" xr:uid="{00000000-0005-0000-0000-000074030000}"/>
    <cellStyle name="_우_기장하수실행1_사우나최종" xfId="3106" xr:uid="{00000000-0005-0000-0000-000075030000}"/>
    <cellStyle name="_우_기장하수실행1_사우나최종_사우나최종17" xfId="3107" xr:uid="{00000000-0005-0000-0000-000076030000}"/>
    <cellStyle name="_우_기장하수실행1_사우나최종_워터파크" xfId="3108" xr:uid="{00000000-0005-0000-0000-000077030000}"/>
    <cellStyle name="_우_무안-광주2공구(협력)수정" xfId="3109" xr:uid="{00000000-0005-0000-0000-000078030000}"/>
    <cellStyle name="_우_무안-광주2공구(협력)수정_사우나최종" xfId="3110" xr:uid="{00000000-0005-0000-0000-000079030000}"/>
    <cellStyle name="_우_무안-광주2공구(협력)수정_사우나최종_사우나최종17" xfId="3111" xr:uid="{00000000-0005-0000-0000-00007A030000}"/>
    <cellStyle name="_우_무안-광주2공구(협력)수정_사우나최종_워터파크" xfId="3112" xr:uid="{00000000-0005-0000-0000-00007B030000}"/>
    <cellStyle name="_우_번암견적의뢰(협력)" xfId="3113" xr:uid="{00000000-0005-0000-0000-00007C030000}"/>
    <cellStyle name="_우_번암견적의뢰(협력)_사우나최종" xfId="3114" xr:uid="{00000000-0005-0000-0000-00007D030000}"/>
    <cellStyle name="_우_번암견적의뢰(협력)_사우나최종_사우나최종17" xfId="3115" xr:uid="{00000000-0005-0000-0000-00007E030000}"/>
    <cellStyle name="_우_번암견적의뢰(협력)_사우나최종_워터파크" xfId="3116" xr:uid="{00000000-0005-0000-0000-00007F030000}"/>
    <cellStyle name="_우_사우나최종" xfId="3117" xr:uid="{00000000-0005-0000-0000-000080030000}"/>
    <cellStyle name="_우_사우나최종_사우나최종17" xfId="3118" xr:uid="{00000000-0005-0000-0000-000081030000}"/>
    <cellStyle name="_우_사우나최종_워터파크" xfId="3119" xr:uid="{00000000-0005-0000-0000-000082030000}"/>
    <cellStyle name="_우_송학실행안" xfId="3120" xr:uid="{00000000-0005-0000-0000-000083030000}"/>
    <cellStyle name="_우_송학실행안_번암견적의뢰(협력)" xfId="3121" xr:uid="{00000000-0005-0000-0000-000084030000}"/>
    <cellStyle name="_우_송학실행안_번암견적의뢰(협력)_사우나최종" xfId="3122" xr:uid="{00000000-0005-0000-0000-000085030000}"/>
    <cellStyle name="_우_송학실행안_번암견적의뢰(협력)_사우나최종_사우나최종17" xfId="3123" xr:uid="{00000000-0005-0000-0000-000086030000}"/>
    <cellStyle name="_우_송학실행안_번암견적의뢰(협력)_사우나최종_워터파크" xfId="3124" xr:uid="{00000000-0005-0000-0000-000087030000}"/>
    <cellStyle name="_우_송학실행안_사우나최종" xfId="3125" xr:uid="{00000000-0005-0000-0000-000088030000}"/>
    <cellStyle name="_우_송학실행안_사우나최종_사우나최종17" xfId="3126" xr:uid="{00000000-0005-0000-0000-000089030000}"/>
    <cellStyle name="_우_송학실행안_사우나최종_워터파크" xfId="3127" xr:uid="{00000000-0005-0000-0000-00008A030000}"/>
    <cellStyle name="_우_송학하수투찰" xfId="3128" xr:uid="{00000000-0005-0000-0000-00008B030000}"/>
    <cellStyle name="_우_송학하수투찰_번암견적의뢰(협력)" xfId="3129" xr:uid="{00000000-0005-0000-0000-00008C030000}"/>
    <cellStyle name="_우_송학하수투찰_번암견적의뢰(협력)_사우나최종" xfId="3130" xr:uid="{00000000-0005-0000-0000-00008D030000}"/>
    <cellStyle name="_우_송학하수투찰_번암견적의뢰(협력)_사우나최종_사우나최종17" xfId="3131" xr:uid="{00000000-0005-0000-0000-00008E030000}"/>
    <cellStyle name="_우_송학하수투찰_번암견적의뢰(협력)_사우나최종_워터파크" xfId="3132" xr:uid="{00000000-0005-0000-0000-00008F030000}"/>
    <cellStyle name="_우_송학하수투찰_사우나최종" xfId="3133" xr:uid="{00000000-0005-0000-0000-000090030000}"/>
    <cellStyle name="_우_송학하수투찰_사우나최종_사우나최종17" xfId="3134" xr:uid="{00000000-0005-0000-0000-000091030000}"/>
    <cellStyle name="_우_송학하수투찰_사우나최종_워터파크" xfId="3135" xr:uid="{00000000-0005-0000-0000-000092030000}"/>
    <cellStyle name="_우_송학하수품의(설계넣고)" xfId="3136" xr:uid="{00000000-0005-0000-0000-000093030000}"/>
    <cellStyle name="_우_송학하수품의(설계넣고)_무안-광주2공구(협력)수정" xfId="3137" xr:uid="{00000000-0005-0000-0000-000094030000}"/>
    <cellStyle name="_우_송학하수품의(설계넣고)_무안-광주2공구(협력)수정_사우나최종" xfId="3138" xr:uid="{00000000-0005-0000-0000-000095030000}"/>
    <cellStyle name="_우_송학하수품의(설계넣고)_무안-광주2공구(협력)수정_사우나최종_사우나최종17" xfId="3139" xr:uid="{00000000-0005-0000-0000-000096030000}"/>
    <cellStyle name="_우_송학하수품의(설계넣고)_무안-광주2공구(협력)수정_사우나최종_워터파크" xfId="3140" xr:uid="{00000000-0005-0000-0000-000097030000}"/>
    <cellStyle name="_우_송학하수품의(설계넣고)_번암견적의뢰(협력)" xfId="3141" xr:uid="{00000000-0005-0000-0000-000098030000}"/>
    <cellStyle name="_우_송학하수품의(설계넣고)_번암견적의뢰(협력)_사우나최종" xfId="3142" xr:uid="{00000000-0005-0000-0000-000099030000}"/>
    <cellStyle name="_우_송학하수품의(설계넣고)_번암견적의뢰(협력)_사우나최종_사우나최종17" xfId="3143" xr:uid="{00000000-0005-0000-0000-00009A030000}"/>
    <cellStyle name="_우_송학하수품의(설계넣고)_번암견적의뢰(협력)_사우나최종_워터파크" xfId="3144" xr:uid="{00000000-0005-0000-0000-00009B030000}"/>
    <cellStyle name="_우_송학하수품의(설계넣고)_사우나최종" xfId="3145" xr:uid="{00000000-0005-0000-0000-00009C030000}"/>
    <cellStyle name="_우_송학하수품의(설계넣고)_사우나최종_사우나최종17" xfId="3146" xr:uid="{00000000-0005-0000-0000-00009D030000}"/>
    <cellStyle name="_우_송학하수품의(설계넣고)_사우나최종_워터파크" xfId="3147" xr:uid="{00000000-0005-0000-0000-00009E030000}"/>
    <cellStyle name="_우_송학하수품의(설계넣고)_적상무주IC도로(1공구)" xfId="3148" xr:uid="{00000000-0005-0000-0000-00009F030000}"/>
    <cellStyle name="_우_송학하수품의(설계넣고)_적상무주IC도로(1공구)_사우나최종" xfId="3149" xr:uid="{00000000-0005-0000-0000-0000A0030000}"/>
    <cellStyle name="_우_송학하수품의(설계넣고)_적상무주IC도로(1공구)_사우나최종_사우나최종17" xfId="3150" xr:uid="{00000000-0005-0000-0000-0000A1030000}"/>
    <cellStyle name="_우_송학하수품의(설계넣고)_적상무주IC도로(1공구)_사우나최종_워터파크" xfId="3151" xr:uid="{00000000-0005-0000-0000-0000A2030000}"/>
    <cellStyle name="_우_우주센터투찰" xfId="3152" xr:uid="{00000000-0005-0000-0000-0000A3030000}"/>
    <cellStyle name="_우_우주센터투찰_광주평동실행" xfId="3153" xr:uid="{00000000-0005-0000-0000-0000A4030000}"/>
    <cellStyle name="_우_우주센터투찰_광주평동실행_번암견적의뢰(협력)" xfId="3154" xr:uid="{00000000-0005-0000-0000-0000A5030000}"/>
    <cellStyle name="_우_우주센터투찰_광주평동실행_번암견적의뢰(협력)_사우나최종" xfId="3155" xr:uid="{00000000-0005-0000-0000-0000A6030000}"/>
    <cellStyle name="_우_우주센터투찰_광주평동실행_번암견적의뢰(협력)_사우나최종_사우나최종17" xfId="3156" xr:uid="{00000000-0005-0000-0000-0000A7030000}"/>
    <cellStyle name="_우_우주센터투찰_광주평동실행_번암견적의뢰(협력)_사우나최종_워터파크" xfId="3157" xr:uid="{00000000-0005-0000-0000-0000A8030000}"/>
    <cellStyle name="_우_우주센터투찰_광주평동실행_사우나최종" xfId="3158" xr:uid="{00000000-0005-0000-0000-0000A9030000}"/>
    <cellStyle name="_우_우주센터투찰_광주평동실행_사우나최종_사우나최종17" xfId="3159" xr:uid="{00000000-0005-0000-0000-0000AA030000}"/>
    <cellStyle name="_우_우주센터투찰_광주평동실행_사우나최종_워터파크" xfId="3160" xr:uid="{00000000-0005-0000-0000-0000AB030000}"/>
    <cellStyle name="_우_우주센터투찰_광주평동품의1" xfId="3161" xr:uid="{00000000-0005-0000-0000-0000AC030000}"/>
    <cellStyle name="_우_우주센터투찰_광주평동품의1_무안-광주2공구(협력)수정" xfId="3162" xr:uid="{00000000-0005-0000-0000-0000AD030000}"/>
    <cellStyle name="_우_우주센터투찰_광주평동품의1_무안-광주2공구(협력)수정_사우나최종" xfId="3163" xr:uid="{00000000-0005-0000-0000-0000AE030000}"/>
    <cellStyle name="_우_우주센터투찰_광주평동품의1_무안-광주2공구(협력)수정_사우나최종_사우나최종17" xfId="3164" xr:uid="{00000000-0005-0000-0000-0000AF030000}"/>
    <cellStyle name="_우_우주센터투찰_광주평동품의1_무안-광주2공구(협력)수정_사우나최종_워터파크" xfId="3165" xr:uid="{00000000-0005-0000-0000-0000B0030000}"/>
    <cellStyle name="_우_우주센터투찰_광주평동품의1_번암견적의뢰(협력)" xfId="3166" xr:uid="{00000000-0005-0000-0000-0000B1030000}"/>
    <cellStyle name="_우_우주센터투찰_광주평동품의1_번암견적의뢰(협력)_사우나최종" xfId="3167" xr:uid="{00000000-0005-0000-0000-0000B2030000}"/>
    <cellStyle name="_우_우주센터투찰_광주평동품의1_번암견적의뢰(협력)_사우나최종_사우나최종17" xfId="3168" xr:uid="{00000000-0005-0000-0000-0000B3030000}"/>
    <cellStyle name="_우_우주센터투찰_광주평동품의1_번암견적의뢰(협력)_사우나최종_워터파크" xfId="3169" xr:uid="{00000000-0005-0000-0000-0000B4030000}"/>
    <cellStyle name="_우_우주센터투찰_광주평동품의1_사우나최종" xfId="3170" xr:uid="{00000000-0005-0000-0000-0000B5030000}"/>
    <cellStyle name="_우_우주센터투찰_광주평동품의1_사우나최종_사우나최종17" xfId="3171" xr:uid="{00000000-0005-0000-0000-0000B6030000}"/>
    <cellStyle name="_우_우주센터투찰_광주평동품의1_사우나최종_워터파크" xfId="3172" xr:uid="{00000000-0005-0000-0000-0000B7030000}"/>
    <cellStyle name="_우_우주센터투찰_광주평동품의1_적상무주IC도로(1공구)" xfId="3173" xr:uid="{00000000-0005-0000-0000-0000B8030000}"/>
    <cellStyle name="_우_우주센터투찰_광주평동품의1_적상무주IC도로(1공구)_사우나최종" xfId="3174" xr:uid="{00000000-0005-0000-0000-0000B9030000}"/>
    <cellStyle name="_우_우주센터투찰_광주평동품의1_적상무주IC도로(1공구)_사우나최종_사우나최종17" xfId="3175" xr:uid="{00000000-0005-0000-0000-0000BA030000}"/>
    <cellStyle name="_우_우주센터투찰_광주평동품의1_적상무주IC도로(1공구)_사우나최종_워터파크" xfId="3176" xr:uid="{00000000-0005-0000-0000-0000BB030000}"/>
    <cellStyle name="_우_우주센터투찰_기장하수실행1" xfId="3177" xr:uid="{00000000-0005-0000-0000-0000BC030000}"/>
    <cellStyle name="_우_우주센터투찰_기장하수실행1_번암견적의뢰(협력)" xfId="3178" xr:uid="{00000000-0005-0000-0000-0000BD030000}"/>
    <cellStyle name="_우_우주센터투찰_기장하수실행1_번암견적의뢰(협력)_사우나최종" xfId="3179" xr:uid="{00000000-0005-0000-0000-0000BE030000}"/>
    <cellStyle name="_우_우주센터투찰_기장하수실행1_번암견적의뢰(협력)_사우나최종_사우나최종17" xfId="3180" xr:uid="{00000000-0005-0000-0000-0000BF030000}"/>
    <cellStyle name="_우_우주센터투찰_기장하수실행1_번암견적의뢰(협력)_사우나최종_워터파크" xfId="3181" xr:uid="{00000000-0005-0000-0000-0000C0030000}"/>
    <cellStyle name="_우_우주센터투찰_기장하수실행1_사우나최종" xfId="3182" xr:uid="{00000000-0005-0000-0000-0000C1030000}"/>
    <cellStyle name="_우_우주센터투찰_기장하수실행1_사우나최종_사우나최종17" xfId="3183" xr:uid="{00000000-0005-0000-0000-0000C2030000}"/>
    <cellStyle name="_우_우주센터투찰_기장하수실행1_사우나최종_워터파크" xfId="3184" xr:uid="{00000000-0005-0000-0000-0000C3030000}"/>
    <cellStyle name="_우_우주센터투찰_무안-광주2공구(협력)수정" xfId="3185" xr:uid="{00000000-0005-0000-0000-0000C4030000}"/>
    <cellStyle name="_우_우주센터투찰_무안-광주2공구(협력)수정_사우나최종" xfId="3186" xr:uid="{00000000-0005-0000-0000-0000C5030000}"/>
    <cellStyle name="_우_우주센터투찰_무안-광주2공구(협력)수정_사우나최종_사우나최종17" xfId="3187" xr:uid="{00000000-0005-0000-0000-0000C6030000}"/>
    <cellStyle name="_우_우주센터투찰_무안-광주2공구(협력)수정_사우나최종_워터파크" xfId="3188" xr:uid="{00000000-0005-0000-0000-0000C7030000}"/>
    <cellStyle name="_우_우주센터투찰_번암견적의뢰(협력)" xfId="3189" xr:uid="{00000000-0005-0000-0000-0000C8030000}"/>
    <cellStyle name="_우_우주센터투찰_번암견적의뢰(협력)_사우나최종" xfId="3190" xr:uid="{00000000-0005-0000-0000-0000C9030000}"/>
    <cellStyle name="_우_우주센터투찰_번암견적의뢰(협력)_사우나최종_사우나최종17" xfId="3191" xr:uid="{00000000-0005-0000-0000-0000CA030000}"/>
    <cellStyle name="_우_우주센터투찰_번암견적의뢰(협력)_사우나최종_워터파크" xfId="3192" xr:uid="{00000000-0005-0000-0000-0000CB030000}"/>
    <cellStyle name="_우_우주센터투찰_사우나최종" xfId="3193" xr:uid="{00000000-0005-0000-0000-0000CC030000}"/>
    <cellStyle name="_우_우주센터투찰_사우나최종_사우나최종17" xfId="3194" xr:uid="{00000000-0005-0000-0000-0000CD030000}"/>
    <cellStyle name="_우_우주센터투찰_사우나최종_워터파크" xfId="3195" xr:uid="{00000000-0005-0000-0000-0000CE030000}"/>
    <cellStyle name="_우_우주센터투찰_송학실행안" xfId="3196" xr:uid="{00000000-0005-0000-0000-0000CF030000}"/>
    <cellStyle name="_우_우주센터투찰_송학실행안_번암견적의뢰(협력)" xfId="3197" xr:uid="{00000000-0005-0000-0000-0000D0030000}"/>
    <cellStyle name="_우_우주센터투찰_송학실행안_번암견적의뢰(협력)_사우나최종" xfId="3198" xr:uid="{00000000-0005-0000-0000-0000D1030000}"/>
    <cellStyle name="_우_우주센터투찰_송학실행안_번암견적의뢰(협력)_사우나최종_사우나최종17" xfId="3199" xr:uid="{00000000-0005-0000-0000-0000D2030000}"/>
    <cellStyle name="_우_우주센터투찰_송학실행안_번암견적의뢰(협력)_사우나최종_워터파크" xfId="3200" xr:uid="{00000000-0005-0000-0000-0000D3030000}"/>
    <cellStyle name="_우_우주센터투찰_송학실행안_사우나최종" xfId="3201" xr:uid="{00000000-0005-0000-0000-0000D4030000}"/>
    <cellStyle name="_우_우주센터투찰_송학실행안_사우나최종_사우나최종17" xfId="3202" xr:uid="{00000000-0005-0000-0000-0000D5030000}"/>
    <cellStyle name="_우_우주센터투찰_송학실행안_사우나최종_워터파크" xfId="3203" xr:uid="{00000000-0005-0000-0000-0000D6030000}"/>
    <cellStyle name="_우_우주센터투찰_송학하수투찰" xfId="3204" xr:uid="{00000000-0005-0000-0000-0000D7030000}"/>
    <cellStyle name="_우_우주센터투찰_송학하수투찰_번암견적의뢰(협력)" xfId="3205" xr:uid="{00000000-0005-0000-0000-0000D8030000}"/>
    <cellStyle name="_우_우주센터투찰_송학하수투찰_번암견적의뢰(협력)_사우나최종" xfId="3206" xr:uid="{00000000-0005-0000-0000-0000D9030000}"/>
    <cellStyle name="_우_우주센터투찰_송학하수투찰_번암견적의뢰(협력)_사우나최종_사우나최종17" xfId="3207" xr:uid="{00000000-0005-0000-0000-0000DA030000}"/>
    <cellStyle name="_우_우주센터투찰_송학하수투찰_번암견적의뢰(협력)_사우나최종_워터파크" xfId="3208" xr:uid="{00000000-0005-0000-0000-0000DB030000}"/>
    <cellStyle name="_우_우주센터투찰_송학하수투찰_사우나최종" xfId="3209" xr:uid="{00000000-0005-0000-0000-0000DC030000}"/>
    <cellStyle name="_우_우주센터투찰_송학하수투찰_사우나최종_사우나최종17" xfId="3210" xr:uid="{00000000-0005-0000-0000-0000DD030000}"/>
    <cellStyle name="_우_우주센터투찰_송학하수투찰_사우나최종_워터파크" xfId="3211" xr:uid="{00000000-0005-0000-0000-0000DE030000}"/>
    <cellStyle name="_우_우주센터투찰_송학하수품의(설계넣고)" xfId="3212" xr:uid="{00000000-0005-0000-0000-0000DF030000}"/>
    <cellStyle name="_우_우주센터투찰_송학하수품의(설계넣고)_무안-광주2공구(협력)수정" xfId="3213" xr:uid="{00000000-0005-0000-0000-0000E0030000}"/>
    <cellStyle name="_우_우주센터투찰_송학하수품의(설계넣고)_무안-광주2공구(협력)수정_사우나최종" xfId="3214" xr:uid="{00000000-0005-0000-0000-0000E1030000}"/>
    <cellStyle name="_우_우주센터투찰_송학하수품의(설계넣고)_무안-광주2공구(협력)수정_사우나최종_사우나최종17" xfId="3215" xr:uid="{00000000-0005-0000-0000-0000E2030000}"/>
    <cellStyle name="_우_우주센터투찰_송학하수품의(설계넣고)_무안-광주2공구(협력)수정_사우나최종_워터파크" xfId="3216" xr:uid="{00000000-0005-0000-0000-0000E3030000}"/>
    <cellStyle name="_우_우주센터투찰_송학하수품의(설계넣고)_번암견적의뢰(협력)" xfId="3217" xr:uid="{00000000-0005-0000-0000-0000E4030000}"/>
    <cellStyle name="_우_우주센터투찰_송학하수품의(설계넣고)_번암견적의뢰(협력)_사우나최종" xfId="3218" xr:uid="{00000000-0005-0000-0000-0000E5030000}"/>
    <cellStyle name="_우_우주센터투찰_송학하수품의(설계넣고)_번암견적의뢰(협력)_사우나최종_사우나최종17" xfId="3219" xr:uid="{00000000-0005-0000-0000-0000E6030000}"/>
    <cellStyle name="_우_우주센터투찰_송학하수품의(설계넣고)_번암견적의뢰(협력)_사우나최종_워터파크" xfId="3220" xr:uid="{00000000-0005-0000-0000-0000E7030000}"/>
    <cellStyle name="_우_우주센터투찰_송학하수품의(설계넣고)_사우나최종" xfId="3221" xr:uid="{00000000-0005-0000-0000-0000E8030000}"/>
    <cellStyle name="_우_우주센터투찰_송학하수품의(설계넣고)_사우나최종_사우나최종17" xfId="3222" xr:uid="{00000000-0005-0000-0000-0000E9030000}"/>
    <cellStyle name="_우_우주센터투찰_송학하수품의(설계넣고)_사우나최종_워터파크" xfId="3223" xr:uid="{00000000-0005-0000-0000-0000EA030000}"/>
    <cellStyle name="_우_우주센터투찰_송학하수품의(설계넣고)_적상무주IC도로(1공구)" xfId="3224" xr:uid="{00000000-0005-0000-0000-0000EB030000}"/>
    <cellStyle name="_우_우주센터투찰_송학하수품의(설계넣고)_적상무주IC도로(1공구)_사우나최종" xfId="3225" xr:uid="{00000000-0005-0000-0000-0000EC030000}"/>
    <cellStyle name="_우_우주센터투찰_송학하수품의(설계넣고)_적상무주IC도로(1공구)_사우나최종_사우나최종17" xfId="3226" xr:uid="{00000000-0005-0000-0000-0000ED030000}"/>
    <cellStyle name="_우_우주센터투찰_송학하수품의(설계넣고)_적상무주IC도로(1공구)_사우나최종_워터파크" xfId="3227" xr:uid="{00000000-0005-0000-0000-0000EE030000}"/>
    <cellStyle name="_우_우주센터투찰_적상무주IC도로(1공구)" xfId="3228" xr:uid="{00000000-0005-0000-0000-0000EF030000}"/>
    <cellStyle name="_우_우주센터투찰_적상무주IC도로(1공구)_사우나최종" xfId="3229" xr:uid="{00000000-0005-0000-0000-0000F0030000}"/>
    <cellStyle name="_우_우주센터투찰_적상무주IC도로(1공구)_사우나최종_사우나최종17" xfId="3230" xr:uid="{00000000-0005-0000-0000-0000F1030000}"/>
    <cellStyle name="_우_우주센터투찰_적상무주IC도로(1공구)_사우나최종_워터파크" xfId="3231" xr:uid="{00000000-0005-0000-0000-0000F2030000}"/>
    <cellStyle name="_우_적상무주IC도로(1공구)" xfId="3232" xr:uid="{00000000-0005-0000-0000-0000F3030000}"/>
    <cellStyle name="_우_적상무주IC도로(1공구)_사우나최종" xfId="3233" xr:uid="{00000000-0005-0000-0000-0000F4030000}"/>
    <cellStyle name="_우_적상무주IC도로(1공구)_사우나최종_사우나최종17" xfId="3234" xr:uid="{00000000-0005-0000-0000-0000F5030000}"/>
    <cellStyle name="_우_적상무주IC도로(1공구)_사우나최종_워터파크" xfId="3235" xr:uid="{00000000-0005-0000-0000-0000F6030000}"/>
    <cellStyle name="_우면동주택계약내역서초안(1110)" xfId="3236" xr:uid="{00000000-0005-0000-0000-0000F7030000}"/>
    <cellStyle name="_우주센" xfId="3237" xr:uid="{00000000-0005-0000-0000-0000F8030000}"/>
    <cellStyle name="_우주센_광주평동실행" xfId="3238" xr:uid="{00000000-0005-0000-0000-0000F9030000}"/>
    <cellStyle name="_우주센_광주평동실행_번암견적의뢰(협력)" xfId="3239" xr:uid="{00000000-0005-0000-0000-0000FA030000}"/>
    <cellStyle name="_우주센_광주평동실행_번암견적의뢰(협력)_사우나최종" xfId="3240" xr:uid="{00000000-0005-0000-0000-0000FB030000}"/>
    <cellStyle name="_우주센_광주평동실행_번암견적의뢰(협력)_사우나최종_사우나최종17" xfId="3241" xr:uid="{00000000-0005-0000-0000-0000FC030000}"/>
    <cellStyle name="_우주센_광주평동실행_번암견적의뢰(협력)_사우나최종_워터파크" xfId="3242" xr:uid="{00000000-0005-0000-0000-0000FD030000}"/>
    <cellStyle name="_우주센_광주평동실행_사우나최종" xfId="3243" xr:uid="{00000000-0005-0000-0000-0000FE030000}"/>
    <cellStyle name="_우주센_광주평동실행_사우나최종_사우나최종17" xfId="3244" xr:uid="{00000000-0005-0000-0000-0000FF030000}"/>
    <cellStyle name="_우주센_광주평동실행_사우나최종_워터파크" xfId="3245" xr:uid="{00000000-0005-0000-0000-000000040000}"/>
    <cellStyle name="_우주센_광주평동품의1" xfId="3246" xr:uid="{00000000-0005-0000-0000-000001040000}"/>
    <cellStyle name="_우주센_광주평동품의1_무안-광주2공구(협력)수정" xfId="3247" xr:uid="{00000000-0005-0000-0000-000002040000}"/>
    <cellStyle name="_우주센_광주평동품의1_무안-광주2공구(협력)수정_사우나최종" xfId="3248" xr:uid="{00000000-0005-0000-0000-000003040000}"/>
    <cellStyle name="_우주센_광주평동품의1_무안-광주2공구(협력)수정_사우나최종_사우나최종17" xfId="3249" xr:uid="{00000000-0005-0000-0000-000004040000}"/>
    <cellStyle name="_우주센_광주평동품의1_무안-광주2공구(협력)수정_사우나최종_워터파크" xfId="3250" xr:uid="{00000000-0005-0000-0000-000005040000}"/>
    <cellStyle name="_우주센_광주평동품의1_번암견적의뢰(협력)" xfId="3251" xr:uid="{00000000-0005-0000-0000-000006040000}"/>
    <cellStyle name="_우주센_광주평동품의1_번암견적의뢰(협력)_사우나최종" xfId="3252" xr:uid="{00000000-0005-0000-0000-000007040000}"/>
    <cellStyle name="_우주센_광주평동품의1_번암견적의뢰(협력)_사우나최종_사우나최종17" xfId="3253" xr:uid="{00000000-0005-0000-0000-000008040000}"/>
    <cellStyle name="_우주센_광주평동품의1_번암견적의뢰(협력)_사우나최종_워터파크" xfId="3254" xr:uid="{00000000-0005-0000-0000-000009040000}"/>
    <cellStyle name="_우주센_광주평동품의1_사우나최종" xfId="3255" xr:uid="{00000000-0005-0000-0000-00000A040000}"/>
    <cellStyle name="_우주센_광주평동품의1_사우나최종_사우나최종17" xfId="3256" xr:uid="{00000000-0005-0000-0000-00000B040000}"/>
    <cellStyle name="_우주센_광주평동품의1_사우나최종_워터파크" xfId="3257" xr:uid="{00000000-0005-0000-0000-00000C040000}"/>
    <cellStyle name="_우주센_광주평동품의1_적상무주IC도로(1공구)" xfId="3258" xr:uid="{00000000-0005-0000-0000-00000D040000}"/>
    <cellStyle name="_우주센_광주평동품의1_적상무주IC도로(1공구)_사우나최종" xfId="3259" xr:uid="{00000000-0005-0000-0000-00000E040000}"/>
    <cellStyle name="_우주센_광주평동품의1_적상무주IC도로(1공구)_사우나최종_사우나최종17" xfId="3260" xr:uid="{00000000-0005-0000-0000-00000F040000}"/>
    <cellStyle name="_우주센_광주평동품의1_적상무주IC도로(1공구)_사우나최종_워터파크" xfId="3261" xr:uid="{00000000-0005-0000-0000-000010040000}"/>
    <cellStyle name="_우주센_기장하수실행1" xfId="3262" xr:uid="{00000000-0005-0000-0000-000011040000}"/>
    <cellStyle name="_우주센_기장하수실행1_번암견적의뢰(협력)" xfId="3263" xr:uid="{00000000-0005-0000-0000-000012040000}"/>
    <cellStyle name="_우주센_기장하수실행1_번암견적의뢰(협력)_사우나최종" xfId="3264" xr:uid="{00000000-0005-0000-0000-000013040000}"/>
    <cellStyle name="_우주센_기장하수실행1_번암견적의뢰(협력)_사우나최종_사우나최종17" xfId="3265" xr:uid="{00000000-0005-0000-0000-000014040000}"/>
    <cellStyle name="_우주센_기장하수실행1_번암견적의뢰(협력)_사우나최종_워터파크" xfId="3266" xr:uid="{00000000-0005-0000-0000-000015040000}"/>
    <cellStyle name="_우주센_기장하수실행1_사우나최종" xfId="3267" xr:uid="{00000000-0005-0000-0000-000016040000}"/>
    <cellStyle name="_우주센_기장하수실행1_사우나최종_사우나최종17" xfId="3268" xr:uid="{00000000-0005-0000-0000-000017040000}"/>
    <cellStyle name="_우주센_기장하수실행1_사우나최종_워터파크" xfId="3269" xr:uid="{00000000-0005-0000-0000-000018040000}"/>
    <cellStyle name="_우주센_무안-광주2공구(협력)수정" xfId="3270" xr:uid="{00000000-0005-0000-0000-000019040000}"/>
    <cellStyle name="_우주센_무안-광주2공구(협력)수정_사우나최종" xfId="3271" xr:uid="{00000000-0005-0000-0000-00001A040000}"/>
    <cellStyle name="_우주센_무안-광주2공구(협력)수정_사우나최종_사우나최종17" xfId="3272" xr:uid="{00000000-0005-0000-0000-00001B040000}"/>
    <cellStyle name="_우주센_무안-광주2공구(협력)수정_사우나최종_워터파크" xfId="3273" xr:uid="{00000000-0005-0000-0000-00001C040000}"/>
    <cellStyle name="_우주센_번암견적의뢰(협력)" xfId="3274" xr:uid="{00000000-0005-0000-0000-00001D040000}"/>
    <cellStyle name="_우주센_번암견적의뢰(협력)_사우나최종" xfId="3275" xr:uid="{00000000-0005-0000-0000-00001E040000}"/>
    <cellStyle name="_우주센_번암견적의뢰(협력)_사우나최종_사우나최종17" xfId="3276" xr:uid="{00000000-0005-0000-0000-00001F040000}"/>
    <cellStyle name="_우주센_번암견적의뢰(협력)_사우나최종_워터파크" xfId="3277" xr:uid="{00000000-0005-0000-0000-000020040000}"/>
    <cellStyle name="_우주센_사우나최종" xfId="3278" xr:uid="{00000000-0005-0000-0000-000021040000}"/>
    <cellStyle name="_우주센_사우나최종_사우나최종17" xfId="3279" xr:uid="{00000000-0005-0000-0000-000022040000}"/>
    <cellStyle name="_우주센_사우나최종_워터파크" xfId="3280" xr:uid="{00000000-0005-0000-0000-000023040000}"/>
    <cellStyle name="_우주센_송학실행안" xfId="3281" xr:uid="{00000000-0005-0000-0000-000024040000}"/>
    <cellStyle name="_우주센_송학실행안_번암견적의뢰(협력)" xfId="3282" xr:uid="{00000000-0005-0000-0000-000025040000}"/>
    <cellStyle name="_우주센_송학실행안_번암견적의뢰(협력)_사우나최종" xfId="3283" xr:uid="{00000000-0005-0000-0000-000026040000}"/>
    <cellStyle name="_우주센_송학실행안_번암견적의뢰(협력)_사우나최종_사우나최종17" xfId="3284" xr:uid="{00000000-0005-0000-0000-000027040000}"/>
    <cellStyle name="_우주센_송학실행안_번암견적의뢰(협력)_사우나최종_워터파크" xfId="3285" xr:uid="{00000000-0005-0000-0000-000028040000}"/>
    <cellStyle name="_우주센_송학실행안_사우나최종" xfId="3286" xr:uid="{00000000-0005-0000-0000-000029040000}"/>
    <cellStyle name="_우주센_송학실행안_사우나최종_사우나최종17" xfId="3287" xr:uid="{00000000-0005-0000-0000-00002A040000}"/>
    <cellStyle name="_우주센_송학실행안_사우나최종_워터파크" xfId="3288" xr:uid="{00000000-0005-0000-0000-00002B040000}"/>
    <cellStyle name="_우주센_송학하수투찰" xfId="3289" xr:uid="{00000000-0005-0000-0000-00002C040000}"/>
    <cellStyle name="_우주센_송학하수투찰_번암견적의뢰(협력)" xfId="3290" xr:uid="{00000000-0005-0000-0000-00002D040000}"/>
    <cellStyle name="_우주센_송학하수투찰_번암견적의뢰(협력)_사우나최종" xfId="3291" xr:uid="{00000000-0005-0000-0000-00002E040000}"/>
    <cellStyle name="_우주센_송학하수투찰_번암견적의뢰(협력)_사우나최종_사우나최종17" xfId="3292" xr:uid="{00000000-0005-0000-0000-00002F040000}"/>
    <cellStyle name="_우주센_송학하수투찰_번암견적의뢰(협력)_사우나최종_워터파크" xfId="3293" xr:uid="{00000000-0005-0000-0000-000030040000}"/>
    <cellStyle name="_우주센_송학하수투찰_사우나최종" xfId="3294" xr:uid="{00000000-0005-0000-0000-000031040000}"/>
    <cellStyle name="_우주센_송학하수투찰_사우나최종_사우나최종17" xfId="3295" xr:uid="{00000000-0005-0000-0000-000032040000}"/>
    <cellStyle name="_우주센_송학하수투찰_사우나최종_워터파크" xfId="3296" xr:uid="{00000000-0005-0000-0000-000033040000}"/>
    <cellStyle name="_우주센_송학하수품의(설계넣고)" xfId="3297" xr:uid="{00000000-0005-0000-0000-000034040000}"/>
    <cellStyle name="_우주센_송학하수품의(설계넣고)_무안-광주2공구(협력)수정" xfId="3298" xr:uid="{00000000-0005-0000-0000-000035040000}"/>
    <cellStyle name="_우주센_송학하수품의(설계넣고)_무안-광주2공구(협력)수정_사우나최종" xfId="3299" xr:uid="{00000000-0005-0000-0000-000036040000}"/>
    <cellStyle name="_우주센_송학하수품의(설계넣고)_무안-광주2공구(협력)수정_사우나최종_사우나최종17" xfId="3300" xr:uid="{00000000-0005-0000-0000-000037040000}"/>
    <cellStyle name="_우주센_송학하수품의(설계넣고)_무안-광주2공구(협력)수정_사우나최종_워터파크" xfId="3301" xr:uid="{00000000-0005-0000-0000-000038040000}"/>
    <cellStyle name="_우주센_송학하수품의(설계넣고)_번암견적의뢰(협력)" xfId="3302" xr:uid="{00000000-0005-0000-0000-000039040000}"/>
    <cellStyle name="_우주센_송학하수품의(설계넣고)_번암견적의뢰(협력)_사우나최종" xfId="3303" xr:uid="{00000000-0005-0000-0000-00003A040000}"/>
    <cellStyle name="_우주센_송학하수품의(설계넣고)_번암견적의뢰(협력)_사우나최종_사우나최종17" xfId="3304" xr:uid="{00000000-0005-0000-0000-00003B040000}"/>
    <cellStyle name="_우주센_송학하수품의(설계넣고)_번암견적의뢰(협력)_사우나최종_워터파크" xfId="3305" xr:uid="{00000000-0005-0000-0000-00003C040000}"/>
    <cellStyle name="_우주센_송학하수품의(설계넣고)_사우나최종" xfId="3306" xr:uid="{00000000-0005-0000-0000-00003D040000}"/>
    <cellStyle name="_우주센_송학하수품의(설계넣고)_사우나최종_사우나최종17" xfId="3307" xr:uid="{00000000-0005-0000-0000-00003E040000}"/>
    <cellStyle name="_우주센_송학하수품의(설계넣고)_사우나최종_워터파크" xfId="3308" xr:uid="{00000000-0005-0000-0000-00003F040000}"/>
    <cellStyle name="_우주센_송학하수품의(설계넣고)_적상무주IC도로(1공구)" xfId="3309" xr:uid="{00000000-0005-0000-0000-000040040000}"/>
    <cellStyle name="_우주센_송학하수품의(설계넣고)_적상무주IC도로(1공구)_사우나최종" xfId="3310" xr:uid="{00000000-0005-0000-0000-000041040000}"/>
    <cellStyle name="_우주센_송학하수품의(설계넣고)_적상무주IC도로(1공구)_사우나최종_사우나최종17" xfId="3311" xr:uid="{00000000-0005-0000-0000-000042040000}"/>
    <cellStyle name="_우주센_송학하수품의(설계넣고)_적상무주IC도로(1공구)_사우나최종_워터파크" xfId="3312" xr:uid="{00000000-0005-0000-0000-000043040000}"/>
    <cellStyle name="_우주센_우주센터투찰" xfId="3313" xr:uid="{00000000-0005-0000-0000-000044040000}"/>
    <cellStyle name="_우주센_우주센터투찰_광주평동실행" xfId="3314" xr:uid="{00000000-0005-0000-0000-000045040000}"/>
    <cellStyle name="_우주센_우주센터투찰_광주평동실행_번암견적의뢰(협력)" xfId="3315" xr:uid="{00000000-0005-0000-0000-000046040000}"/>
    <cellStyle name="_우주센_우주센터투찰_광주평동실행_번암견적의뢰(협력)_사우나최종" xfId="3316" xr:uid="{00000000-0005-0000-0000-000047040000}"/>
    <cellStyle name="_우주센_우주센터투찰_광주평동실행_번암견적의뢰(협력)_사우나최종_사우나최종17" xfId="3317" xr:uid="{00000000-0005-0000-0000-000048040000}"/>
    <cellStyle name="_우주센_우주센터투찰_광주평동실행_번암견적의뢰(협력)_사우나최종_워터파크" xfId="3318" xr:uid="{00000000-0005-0000-0000-000049040000}"/>
    <cellStyle name="_우주센_우주센터투찰_광주평동실행_사우나최종" xfId="3319" xr:uid="{00000000-0005-0000-0000-00004A040000}"/>
    <cellStyle name="_우주센_우주센터투찰_광주평동실행_사우나최종_사우나최종17" xfId="3320" xr:uid="{00000000-0005-0000-0000-00004B040000}"/>
    <cellStyle name="_우주센_우주센터투찰_광주평동실행_사우나최종_워터파크" xfId="3321" xr:uid="{00000000-0005-0000-0000-00004C040000}"/>
    <cellStyle name="_우주센_우주센터투찰_광주평동품의1" xfId="3322" xr:uid="{00000000-0005-0000-0000-00004D040000}"/>
    <cellStyle name="_우주센_우주센터투찰_광주평동품의1_무안-광주2공구(협력)수정" xfId="3323" xr:uid="{00000000-0005-0000-0000-00004E040000}"/>
    <cellStyle name="_우주센_우주센터투찰_광주평동품의1_무안-광주2공구(협력)수정_사우나최종" xfId="3324" xr:uid="{00000000-0005-0000-0000-00004F040000}"/>
    <cellStyle name="_우주센_우주센터투찰_광주평동품의1_무안-광주2공구(협력)수정_사우나최종_사우나최종17" xfId="3325" xr:uid="{00000000-0005-0000-0000-000050040000}"/>
    <cellStyle name="_우주센_우주센터투찰_광주평동품의1_무안-광주2공구(협력)수정_사우나최종_워터파크" xfId="3326" xr:uid="{00000000-0005-0000-0000-000051040000}"/>
    <cellStyle name="_우주센_우주센터투찰_광주평동품의1_번암견적의뢰(협력)" xfId="3327" xr:uid="{00000000-0005-0000-0000-000052040000}"/>
    <cellStyle name="_우주센_우주센터투찰_광주평동품의1_번암견적의뢰(협력)_사우나최종" xfId="3328" xr:uid="{00000000-0005-0000-0000-000053040000}"/>
    <cellStyle name="_우주센_우주센터투찰_광주평동품의1_번암견적의뢰(협력)_사우나최종_사우나최종17" xfId="3329" xr:uid="{00000000-0005-0000-0000-000054040000}"/>
    <cellStyle name="_우주센_우주센터투찰_광주평동품의1_번암견적의뢰(협력)_사우나최종_워터파크" xfId="3330" xr:uid="{00000000-0005-0000-0000-000055040000}"/>
    <cellStyle name="_우주센_우주센터투찰_광주평동품의1_사우나최종" xfId="3331" xr:uid="{00000000-0005-0000-0000-000056040000}"/>
    <cellStyle name="_우주센_우주센터투찰_광주평동품의1_사우나최종_사우나최종17" xfId="3332" xr:uid="{00000000-0005-0000-0000-000057040000}"/>
    <cellStyle name="_우주센_우주센터투찰_광주평동품의1_사우나최종_워터파크" xfId="3333" xr:uid="{00000000-0005-0000-0000-000058040000}"/>
    <cellStyle name="_우주센_우주센터투찰_광주평동품의1_적상무주IC도로(1공구)" xfId="3334" xr:uid="{00000000-0005-0000-0000-000059040000}"/>
    <cellStyle name="_우주센_우주센터투찰_광주평동품의1_적상무주IC도로(1공구)_사우나최종" xfId="3335" xr:uid="{00000000-0005-0000-0000-00005A040000}"/>
    <cellStyle name="_우주센_우주센터투찰_광주평동품의1_적상무주IC도로(1공구)_사우나최종_사우나최종17" xfId="3336" xr:uid="{00000000-0005-0000-0000-00005B040000}"/>
    <cellStyle name="_우주센_우주센터투찰_광주평동품의1_적상무주IC도로(1공구)_사우나최종_워터파크" xfId="3337" xr:uid="{00000000-0005-0000-0000-00005C040000}"/>
    <cellStyle name="_우주센_우주센터투찰_기장하수실행1" xfId="3338" xr:uid="{00000000-0005-0000-0000-00005D040000}"/>
    <cellStyle name="_우주센_우주센터투찰_기장하수실행1_번암견적의뢰(협력)" xfId="3339" xr:uid="{00000000-0005-0000-0000-00005E040000}"/>
    <cellStyle name="_우주센_우주센터투찰_기장하수실행1_번암견적의뢰(협력)_사우나최종" xfId="3340" xr:uid="{00000000-0005-0000-0000-00005F040000}"/>
    <cellStyle name="_우주센_우주센터투찰_기장하수실행1_번암견적의뢰(협력)_사우나최종_사우나최종17" xfId="3341" xr:uid="{00000000-0005-0000-0000-000060040000}"/>
    <cellStyle name="_우주센_우주센터투찰_기장하수실행1_번암견적의뢰(협력)_사우나최종_워터파크" xfId="3342" xr:uid="{00000000-0005-0000-0000-000061040000}"/>
    <cellStyle name="_우주센_우주센터투찰_기장하수실행1_사우나최종" xfId="3343" xr:uid="{00000000-0005-0000-0000-000062040000}"/>
    <cellStyle name="_우주센_우주센터투찰_기장하수실행1_사우나최종_사우나최종17" xfId="3344" xr:uid="{00000000-0005-0000-0000-000063040000}"/>
    <cellStyle name="_우주센_우주센터투찰_기장하수실행1_사우나최종_워터파크" xfId="3345" xr:uid="{00000000-0005-0000-0000-000064040000}"/>
    <cellStyle name="_우주센_우주센터투찰_무안-광주2공구(협력)수정" xfId="3346" xr:uid="{00000000-0005-0000-0000-000065040000}"/>
    <cellStyle name="_우주센_우주센터투찰_무안-광주2공구(협력)수정_사우나최종" xfId="3347" xr:uid="{00000000-0005-0000-0000-000066040000}"/>
    <cellStyle name="_우주센_우주센터투찰_무안-광주2공구(협력)수정_사우나최종_사우나최종17" xfId="3348" xr:uid="{00000000-0005-0000-0000-000067040000}"/>
    <cellStyle name="_우주센_우주센터투찰_무안-광주2공구(협력)수정_사우나최종_워터파크" xfId="3349" xr:uid="{00000000-0005-0000-0000-000068040000}"/>
    <cellStyle name="_우주센_우주센터투찰_번암견적의뢰(협력)" xfId="3350" xr:uid="{00000000-0005-0000-0000-000069040000}"/>
    <cellStyle name="_우주센_우주센터투찰_번암견적의뢰(협력)_사우나최종" xfId="3351" xr:uid="{00000000-0005-0000-0000-00006A040000}"/>
    <cellStyle name="_우주센_우주센터투찰_번암견적의뢰(협력)_사우나최종_사우나최종17" xfId="3352" xr:uid="{00000000-0005-0000-0000-00006B040000}"/>
    <cellStyle name="_우주센_우주센터투찰_번암견적의뢰(협력)_사우나최종_워터파크" xfId="3353" xr:uid="{00000000-0005-0000-0000-00006C040000}"/>
    <cellStyle name="_우주센_우주센터투찰_사우나최종" xfId="3354" xr:uid="{00000000-0005-0000-0000-00006D040000}"/>
    <cellStyle name="_우주센_우주센터투찰_사우나최종_사우나최종17" xfId="3355" xr:uid="{00000000-0005-0000-0000-00006E040000}"/>
    <cellStyle name="_우주센_우주센터투찰_사우나최종_워터파크" xfId="3356" xr:uid="{00000000-0005-0000-0000-00006F040000}"/>
    <cellStyle name="_우주센_우주센터투찰_송학실행안" xfId="3357" xr:uid="{00000000-0005-0000-0000-000070040000}"/>
    <cellStyle name="_우주센_우주센터투찰_송학실행안_번암견적의뢰(협력)" xfId="3358" xr:uid="{00000000-0005-0000-0000-000071040000}"/>
    <cellStyle name="_우주센_우주센터투찰_송학실행안_번암견적의뢰(협력)_사우나최종" xfId="3359" xr:uid="{00000000-0005-0000-0000-000072040000}"/>
    <cellStyle name="_우주센_우주센터투찰_송학실행안_번암견적의뢰(협력)_사우나최종_사우나최종17" xfId="3360" xr:uid="{00000000-0005-0000-0000-000073040000}"/>
    <cellStyle name="_우주센_우주센터투찰_송학실행안_번암견적의뢰(협력)_사우나최종_워터파크" xfId="3361" xr:uid="{00000000-0005-0000-0000-000074040000}"/>
    <cellStyle name="_우주센_우주센터투찰_송학실행안_사우나최종" xfId="3362" xr:uid="{00000000-0005-0000-0000-000075040000}"/>
    <cellStyle name="_우주센_우주센터투찰_송학실행안_사우나최종_사우나최종17" xfId="3363" xr:uid="{00000000-0005-0000-0000-000076040000}"/>
    <cellStyle name="_우주센_우주센터투찰_송학실행안_사우나최종_워터파크" xfId="3364" xr:uid="{00000000-0005-0000-0000-000077040000}"/>
    <cellStyle name="_우주센_우주센터투찰_송학하수투찰" xfId="3365" xr:uid="{00000000-0005-0000-0000-000078040000}"/>
    <cellStyle name="_우주센_우주센터투찰_송학하수투찰_번암견적의뢰(협력)" xfId="3366" xr:uid="{00000000-0005-0000-0000-000079040000}"/>
    <cellStyle name="_우주센_우주센터투찰_송학하수투찰_번암견적의뢰(협력)_사우나최종" xfId="3367" xr:uid="{00000000-0005-0000-0000-00007A040000}"/>
    <cellStyle name="_우주센_우주센터투찰_송학하수투찰_번암견적의뢰(협력)_사우나최종_사우나최종17" xfId="3368" xr:uid="{00000000-0005-0000-0000-00007B040000}"/>
    <cellStyle name="_우주센_우주센터투찰_송학하수투찰_번암견적의뢰(협력)_사우나최종_워터파크" xfId="3369" xr:uid="{00000000-0005-0000-0000-00007C040000}"/>
    <cellStyle name="_우주센_우주센터투찰_송학하수투찰_사우나최종" xfId="3370" xr:uid="{00000000-0005-0000-0000-00007D040000}"/>
    <cellStyle name="_우주센_우주센터투찰_송학하수투찰_사우나최종_사우나최종17" xfId="3371" xr:uid="{00000000-0005-0000-0000-00007E040000}"/>
    <cellStyle name="_우주센_우주센터투찰_송학하수투찰_사우나최종_워터파크" xfId="3372" xr:uid="{00000000-0005-0000-0000-00007F040000}"/>
    <cellStyle name="_우주센_우주센터투찰_송학하수품의(설계넣고)" xfId="3373" xr:uid="{00000000-0005-0000-0000-000080040000}"/>
    <cellStyle name="_우주센_우주센터투찰_송학하수품의(설계넣고)_무안-광주2공구(협력)수정" xfId="3374" xr:uid="{00000000-0005-0000-0000-000081040000}"/>
    <cellStyle name="_우주센_우주센터투찰_송학하수품의(설계넣고)_무안-광주2공구(협력)수정_사우나최종" xfId="3375" xr:uid="{00000000-0005-0000-0000-000082040000}"/>
    <cellStyle name="_우주센_우주센터투찰_송학하수품의(설계넣고)_무안-광주2공구(협력)수정_사우나최종_사우나최종17" xfId="3376" xr:uid="{00000000-0005-0000-0000-000083040000}"/>
    <cellStyle name="_우주센_우주센터투찰_송학하수품의(설계넣고)_무안-광주2공구(협력)수정_사우나최종_워터파크" xfId="3377" xr:uid="{00000000-0005-0000-0000-000084040000}"/>
    <cellStyle name="_우주센_우주센터투찰_송학하수품의(설계넣고)_번암견적의뢰(협력)" xfId="3378" xr:uid="{00000000-0005-0000-0000-000085040000}"/>
    <cellStyle name="_우주센_우주센터투찰_송학하수품의(설계넣고)_번암견적의뢰(협력)_사우나최종" xfId="3379" xr:uid="{00000000-0005-0000-0000-000086040000}"/>
    <cellStyle name="_우주센_우주센터투찰_송학하수품의(설계넣고)_번암견적의뢰(협력)_사우나최종_사우나최종17" xfId="3380" xr:uid="{00000000-0005-0000-0000-000087040000}"/>
    <cellStyle name="_우주센_우주센터투찰_송학하수품의(설계넣고)_번암견적의뢰(협력)_사우나최종_워터파크" xfId="3381" xr:uid="{00000000-0005-0000-0000-000088040000}"/>
    <cellStyle name="_우주센_우주센터투찰_송학하수품의(설계넣고)_사우나최종" xfId="3382" xr:uid="{00000000-0005-0000-0000-000089040000}"/>
    <cellStyle name="_우주센_우주센터투찰_송학하수품의(설계넣고)_사우나최종_사우나최종17" xfId="3383" xr:uid="{00000000-0005-0000-0000-00008A040000}"/>
    <cellStyle name="_우주센_우주센터투찰_송학하수품의(설계넣고)_사우나최종_워터파크" xfId="3384" xr:uid="{00000000-0005-0000-0000-00008B040000}"/>
    <cellStyle name="_우주센_우주센터투찰_송학하수품의(설계넣고)_적상무주IC도로(1공구)" xfId="3385" xr:uid="{00000000-0005-0000-0000-00008C040000}"/>
    <cellStyle name="_우주센_우주센터투찰_송학하수품의(설계넣고)_적상무주IC도로(1공구)_사우나최종" xfId="3386" xr:uid="{00000000-0005-0000-0000-00008D040000}"/>
    <cellStyle name="_우주센_우주센터투찰_송학하수품의(설계넣고)_적상무주IC도로(1공구)_사우나최종_사우나최종17" xfId="3387" xr:uid="{00000000-0005-0000-0000-00008E040000}"/>
    <cellStyle name="_우주센_우주센터투찰_송학하수품의(설계넣고)_적상무주IC도로(1공구)_사우나최종_워터파크" xfId="3388" xr:uid="{00000000-0005-0000-0000-00008F040000}"/>
    <cellStyle name="_우주센_우주센터투찰_적상무주IC도로(1공구)" xfId="3389" xr:uid="{00000000-0005-0000-0000-000090040000}"/>
    <cellStyle name="_우주센_우주센터투찰_적상무주IC도로(1공구)_사우나최종" xfId="3390" xr:uid="{00000000-0005-0000-0000-000091040000}"/>
    <cellStyle name="_우주센_우주센터투찰_적상무주IC도로(1공구)_사우나최종_사우나최종17" xfId="3391" xr:uid="{00000000-0005-0000-0000-000092040000}"/>
    <cellStyle name="_우주센_우주센터투찰_적상무주IC도로(1공구)_사우나최종_워터파크" xfId="3392" xr:uid="{00000000-0005-0000-0000-000093040000}"/>
    <cellStyle name="_우주센_적상무주IC도로(1공구)" xfId="3393" xr:uid="{00000000-0005-0000-0000-000094040000}"/>
    <cellStyle name="_우주센_적상무주IC도로(1공구)_사우나최종" xfId="3394" xr:uid="{00000000-0005-0000-0000-000095040000}"/>
    <cellStyle name="_우주센_적상무주IC도로(1공구)_사우나최종_사우나최종17" xfId="3395" xr:uid="{00000000-0005-0000-0000-000096040000}"/>
    <cellStyle name="_우주센_적상무주IC도로(1공구)_사우나최종_워터파크" xfId="3396" xr:uid="{00000000-0005-0000-0000-000097040000}"/>
    <cellStyle name="_울산무거동 내역서" xfId="452" xr:uid="{00000000-0005-0000-0000-000098040000}"/>
    <cellStyle name="_원가계산보고서" xfId="453" xr:uid="{00000000-0005-0000-0000-000099040000}"/>
    <cellStyle name="_월성단신부임자사택신축 기계실행" xfId="454" xr:uid="{00000000-0005-0000-0000-00009A040000}"/>
    <cellStyle name="_유첨3(서식)" xfId="455" xr:uid="{00000000-0005-0000-0000-00009B040000}"/>
    <cellStyle name="_유첨3(서식)_1" xfId="456" xr:uid="{00000000-0005-0000-0000-00009C040000}"/>
    <cellStyle name="_의왕연구소-실행통합" xfId="3397" xr:uid="{00000000-0005-0000-0000-00009D040000}"/>
    <cellStyle name="_이행각서" xfId="457" xr:uid="{00000000-0005-0000-0000-00009E040000}"/>
    <cellStyle name="_이행각서_내역분개" xfId="458" xr:uid="{00000000-0005-0000-0000-00009F040000}"/>
    <cellStyle name="_이행각서_내역분개_내역분개" xfId="459" xr:uid="{00000000-0005-0000-0000-0000A0040000}"/>
    <cellStyle name="_인원계획표 " xfId="460" xr:uid="{00000000-0005-0000-0000-0000A1040000}"/>
    <cellStyle name="_인원계획표 _(주)KCC 아산공장 위험물창고 증축공사-200684" xfId="461" xr:uid="{00000000-0005-0000-0000-0000A2040000}"/>
    <cellStyle name="_인원계획표 _검암2차사전공사(본사검토) " xfId="3398" xr:uid="{00000000-0005-0000-0000-0000A3040000}"/>
    <cellStyle name="_인원계획표 _검암2차사전공사(본사검토) _사우나최종" xfId="3399" xr:uid="{00000000-0005-0000-0000-0000A4040000}"/>
    <cellStyle name="_인원계획표 _검암2차사전공사(본사검토) _사우나최종_사우나최종17" xfId="3400" xr:uid="{00000000-0005-0000-0000-0000A5040000}"/>
    <cellStyle name="_인원계획표 _검암2차사전공사(본사검토) _사우나최종_워터파크" xfId="3401" xr:uid="{00000000-0005-0000-0000-0000A6040000}"/>
    <cellStyle name="_인원계획표 _견적내역서(0530)" xfId="3402" xr:uid="{00000000-0005-0000-0000-0000A7040000}"/>
    <cellStyle name="_인원계획표 _견적내역서(0530)_견적내역서(0530)" xfId="3403" xr:uid="{00000000-0005-0000-0000-0000A8040000}"/>
    <cellStyle name="_인원계획표 _견적내역서(0530)_견적내역서(0530)_사우나최종" xfId="3404" xr:uid="{00000000-0005-0000-0000-0000A9040000}"/>
    <cellStyle name="_인원계획표 _견적내역서(0530)_견적내역서(0530)_사우나최종_사우나최종17" xfId="3405" xr:uid="{00000000-0005-0000-0000-0000AA040000}"/>
    <cellStyle name="_인원계획표 _견적내역서(0530)_견적내역서(0530)_사우나최종_워터파크" xfId="3406" xr:uid="{00000000-0005-0000-0000-0000AB040000}"/>
    <cellStyle name="_인원계획표 _견적내역서(0530)_사우나최종" xfId="3407" xr:uid="{00000000-0005-0000-0000-0000AC040000}"/>
    <cellStyle name="_인원계획표 _견적내역서(0530)_사우나최종_사우나최종17" xfId="3408" xr:uid="{00000000-0005-0000-0000-0000AD040000}"/>
    <cellStyle name="_인원계획표 _견적내역서(0530)_사우나최종_워터파크" xfId="3409" xr:uid="{00000000-0005-0000-0000-0000AE040000}"/>
    <cellStyle name="_인원계획표 _견적내역서(0530)_청호빌딩 가)실행(6.25)" xfId="3410" xr:uid="{00000000-0005-0000-0000-0000AF040000}"/>
    <cellStyle name="_인원계획표 _견적내역서(0530)_청호빌딩 가)실행(6.25)_사우나최종" xfId="3411" xr:uid="{00000000-0005-0000-0000-0000B0040000}"/>
    <cellStyle name="_인원계획표 _견적내역서(0530)_청호빌딩 가)실행(6.25)_사우나최종_사우나최종17" xfId="3412" xr:uid="{00000000-0005-0000-0000-0000B1040000}"/>
    <cellStyle name="_인원계획표 _견적내역서(0530)_청호빌딩 가)실행(6.25)_사우나최종_워터파크" xfId="3413" xr:uid="{00000000-0005-0000-0000-0000B2040000}"/>
    <cellStyle name="_인원계획표 _광주평동실행" xfId="3414" xr:uid="{00000000-0005-0000-0000-0000B3040000}"/>
    <cellStyle name="_인원계획표 _광주평동실행_번암견적의뢰(협력)" xfId="3415" xr:uid="{00000000-0005-0000-0000-0000B4040000}"/>
    <cellStyle name="_인원계획표 _광주평동실행_번암견적의뢰(협력)_사우나최종" xfId="3416" xr:uid="{00000000-0005-0000-0000-0000B5040000}"/>
    <cellStyle name="_인원계획표 _광주평동실행_번암견적의뢰(협력)_사우나최종_사우나최종17" xfId="3417" xr:uid="{00000000-0005-0000-0000-0000B6040000}"/>
    <cellStyle name="_인원계획표 _광주평동실행_번암견적의뢰(협력)_사우나최종_워터파크" xfId="3418" xr:uid="{00000000-0005-0000-0000-0000B7040000}"/>
    <cellStyle name="_인원계획표 _광주평동실행_사우나최종" xfId="3419" xr:uid="{00000000-0005-0000-0000-0000B8040000}"/>
    <cellStyle name="_인원계획표 _광주평동실행_사우나최종_사우나최종17" xfId="3420" xr:uid="{00000000-0005-0000-0000-0000B9040000}"/>
    <cellStyle name="_인원계획표 _광주평동실행_사우나최종_워터파크" xfId="3421" xr:uid="{00000000-0005-0000-0000-0000BA040000}"/>
    <cellStyle name="_인원계획표 _광주평동품의1" xfId="3422" xr:uid="{00000000-0005-0000-0000-0000BB040000}"/>
    <cellStyle name="_인원계획표 _광주평동품의1_무안-광주2공구(협력)수정" xfId="3423" xr:uid="{00000000-0005-0000-0000-0000BC040000}"/>
    <cellStyle name="_인원계획표 _광주평동품의1_무안-광주2공구(협력)수정_사우나최종" xfId="3424" xr:uid="{00000000-0005-0000-0000-0000BD040000}"/>
    <cellStyle name="_인원계획표 _광주평동품의1_무안-광주2공구(협력)수정_사우나최종_사우나최종17" xfId="3425" xr:uid="{00000000-0005-0000-0000-0000BE040000}"/>
    <cellStyle name="_인원계획표 _광주평동품의1_무안-광주2공구(협력)수정_사우나최종_워터파크" xfId="3426" xr:uid="{00000000-0005-0000-0000-0000BF040000}"/>
    <cellStyle name="_인원계획표 _광주평동품의1_번암견적의뢰(협력)" xfId="3427" xr:uid="{00000000-0005-0000-0000-0000C0040000}"/>
    <cellStyle name="_인원계획표 _광주평동품의1_번암견적의뢰(협력)_사우나최종" xfId="3428" xr:uid="{00000000-0005-0000-0000-0000C1040000}"/>
    <cellStyle name="_인원계획표 _광주평동품의1_번암견적의뢰(협력)_사우나최종_사우나최종17" xfId="3429" xr:uid="{00000000-0005-0000-0000-0000C2040000}"/>
    <cellStyle name="_인원계획표 _광주평동품의1_번암견적의뢰(협력)_사우나최종_워터파크" xfId="3430" xr:uid="{00000000-0005-0000-0000-0000C3040000}"/>
    <cellStyle name="_인원계획표 _광주평동품의1_사우나최종" xfId="3431" xr:uid="{00000000-0005-0000-0000-0000C4040000}"/>
    <cellStyle name="_인원계획표 _광주평동품의1_사우나최종_사우나최종17" xfId="3432" xr:uid="{00000000-0005-0000-0000-0000C5040000}"/>
    <cellStyle name="_인원계획표 _광주평동품의1_사우나최종_워터파크" xfId="3433" xr:uid="{00000000-0005-0000-0000-0000C6040000}"/>
    <cellStyle name="_인원계획표 _광주평동품의1_적상무주IC도로(1공구)" xfId="3434" xr:uid="{00000000-0005-0000-0000-0000C7040000}"/>
    <cellStyle name="_인원계획표 _광주평동품의1_적상무주IC도로(1공구)_사우나최종" xfId="3435" xr:uid="{00000000-0005-0000-0000-0000C8040000}"/>
    <cellStyle name="_인원계획표 _광주평동품의1_적상무주IC도로(1공구)_사우나최종_사우나최종17" xfId="3436" xr:uid="{00000000-0005-0000-0000-0000C9040000}"/>
    <cellStyle name="_인원계획표 _광주평동품의1_적상무주IC도로(1공구)_사우나최종_워터파크" xfId="3437" xr:uid="{00000000-0005-0000-0000-0000CA040000}"/>
    <cellStyle name="_인원계획표 _기장하수실행1" xfId="3438" xr:uid="{00000000-0005-0000-0000-0000CB040000}"/>
    <cellStyle name="_인원계획표 _기장하수실행1_번암견적의뢰(협력)" xfId="3439" xr:uid="{00000000-0005-0000-0000-0000CC040000}"/>
    <cellStyle name="_인원계획표 _기장하수실행1_번암견적의뢰(협력)_사우나최종" xfId="3440" xr:uid="{00000000-0005-0000-0000-0000CD040000}"/>
    <cellStyle name="_인원계획표 _기장하수실행1_번암견적의뢰(협력)_사우나최종_사우나최종17" xfId="3441" xr:uid="{00000000-0005-0000-0000-0000CE040000}"/>
    <cellStyle name="_인원계획표 _기장하수실행1_번암견적의뢰(협력)_사우나최종_워터파크" xfId="3442" xr:uid="{00000000-0005-0000-0000-0000CF040000}"/>
    <cellStyle name="_인원계획표 _기장하수실행1_사우나최종" xfId="3443" xr:uid="{00000000-0005-0000-0000-0000D0040000}"/>
    <cellStyle name="_인원계획표 _기장하수실행1_사우나최종_사우나최종17" xfId="3444" xr:uid="{00000000-0005-0000-0000-0000D1040000}"/>
    <cellStyle name="_인원계획표 _기장하수실행1_사우나최종_워터파크" xfId="3445" xr:uid="{00000000-0005-0000-0000-0000D2040000}"/>
    <cellStyle name="_인원계획표 _내역분개" xfId="462" xr:uid="{00000000-0005-0000-0000-0000D3040000}"/>
    <cellStyle name="_인원계획표 _내역분개_내역분개" xfId="463" xr:uid="{00000000-0005-0000-0000-0000D4040000}"/>
    <cellStyle name="_인원계획표 _담양 창평 주택시설 부지조성사업" xfId="464" xr:uid="{00000000-0005-0000-0000-0000D5040000}"/>
    <cellStyle name="_인원계획표 _무안-광주2공구(협력)수정" xfId="3446" xr:uid="{00000000-0005-0000-0000-0000D6040000}"/>
    <cellStyle name="_인원계획표 _무안-광주2공구(협력)수정_사우나최종" xfId="3447" xr:uid="{00000000-0005-0000-0000-0000D7040000}"/>
    <cellStyle name="_인원계획표 _무안-광주2공구(협력)수정_사우나최종_사우나최종17" xfId="3448" xr:uid="{00000000-0005-0000-0000-0000D8040000}"/>
    <cellStyle name="_인원계획표 _무안-광주2공구(협력)수정_사우나최종_워터파크" xfId="3449" xr:uid="{00000000-0005-0000-0000-0000D9040000}"/>
    <cellStyle name="_인원계획표 _번암견적의뢰(협력)" xfId="3450" xr:uid="{00000000-0005-0000-0000-0000DA040000}"/>
    <cellStyle name="_인원계획표 _번암견적의뢰(협력)_사우나최종" xfId="3451" xr:uid="{00000000-0005-0000-0000-0000DB040000}"/>
    <cellStyle name="_인원계획표 _번암견적의뢰(협력)_사우나최종_사우나최종17" xfId="3452" xr:uid="{00000000-0005-0000-0000-0000DC040000}"/>
    <cellStyle name="_인원계획표 _번암견적의뢰(협력)_사우나최종_워터파크" xfId="3453" xr:uid="{00000000-0005-0000-0000-0000DD040000}"/>
    <cellStyle name="_인원계획표 _사우나최종" xfId="3454" xr:uid="{00000000-0005-0000-0000-0000DE040000}"/>
    <cellStyle name="_인원계획표 _사우나최종_사우나최종17" xfId="3455" xr:uid="{00000000-0005-0000-0000-0000DF040000}"/>
    <cellStyle name="_인원계획표 _사우나최종_워터파크" xfId="3456" xr:uid="{00000000-0005-0000-0000-0000E0040000}"/>
    <cellStyle name="_인원계획표 _사전공사(토목본사검토) " xfId="3457" xr:uid="{00000000-0005-0000-0000-0000E1040000}"/>
    <cellStyle name="_인원계획표 _사전공사(토목본사검토) _사우나최종" xfId="3458" xr:uid="{00000000-0005-0000-0000-0000E2040000}"/>
    <cellStyle name="_인원계획표 _사전공사(토목본사검토) _사우나최종_사우나최종17" xfId="3459" xr:uid="{00000000-0005-0000-0000-0000E3040000}"/>
    <cellStyle name="_인원계획표 _사전공사(토목본사검토) _사우나최종_워터파크" xfId="3460" xr:uid="{00000000-0005-0000-0000-0000E4040000}"/>
    <cellStyle name="_인원계획표 _송학실행안" xfId="3461" xr:uid="{00000000-0005-0000-0000-0000E5040000}"/>
    <cellStyle name="_인원계획표 _송학실행안_번암견적의뢰(협력)" xfId="3462" xr:uid="{00000000-0005-0000-0000-0000E6040000}"/>
    <cellStyle name="_인원계획표 _송학실행안_번암견적의뢰(협력)_사우나최종" xfId="3463" xr:uid="{00000000-0005-0000-0000-0000E7040000}"/>
    <cellStyle name="_인원계획표 _송학실행안_번암견적의뢰(협력)_사우나최종_사우나최종17" xfId="3464" xr:uid="{00000000-0005-0000-0000-0000E8040000}"/>
    <cellStyle name="_인원계획표 _송학실행안_번암견적의뢰(협력)_사우나최종_워터파크" xfId="3465" xr:uid="{00000000-0005-0000-0000-0000E9040000}"/>
    <cellStyle name="_인원계획표 _송학실행안_사우나최종" xfId="3466" xr:uid="{00000000-0005-0000-0000-0000EA040000}"/>
    <cellStyle name="_인원계획표 _송학실행안_사우나최종_사우나최종17" xfId="3467" xr:uid="{00000000-0005-0000-0000-0000EB040000}"/>
    <cellStyle name="_인원계획표 _송학실행안_사우나최종_워터파크" xfId="3468" xr:uid="{00000000-0005-0000-0000-0000EC040000}"/>
    <cellStyle name="_인원계획표 _송학하수투찰" xfId="3469" xr:uid="{00000000-0005-0000-0000-0000ED040000}"/>
    <cellStyle name="_인원계획표 _송학하수투찰_번암견적의뢰(협력)" xfId="3470" xr:uid="{00000000-0005-0000-0000-0000EE040000}"/>
    <cellStyle name="_인원계획표 _송학하수투찰_번암견적의뢰(협력)_사우나최종" xfId="3471" xr:uid="{00000000-0005-0000-0000-0000EF040000}"/>
    <cellStyle name="_인원계획표 _송학하수투찰_번암견적의뢰(협력)_사우나최종_사우나최종17" xfId="3472" xr:uid="{00000000-0005-0000-0000-0000F0040000}"/>
    <cellStyle name="_인원계획표 _송학하수투찰_번암견적의뢰(협력)_사우나최종_워터파크" xfId="3473" xr:uid="{00000000-0005-0000-0000-0000F1040000}"/>
    <cellStyle name="_인원계획표 _송학하수투찰_사우나최종" xfId="3474" xr:uid="{00000000-0005-0000-0000-0000F2040000}"/>
    <cellStyle name="_인원계획표 _송학하수투찰_사우나최종_사우나최종17" xfId="3475" xr:uid="{00000000-0005-0000-0000-0000F3040000}"/>
    <cellStyle name="_인원계획표 _송학하수투찰_사우나최종_워터파크" xfId="3476" xr:uid="{00000000-0005-0000-0000-0000F4040000}"/>
    <cellStyle name="_인원계획표 _송학하수품의(설계넣고)" xfId="3477" xr:uid="{00000000-0005-0000-0000-0000F5040000}"/>
    <cellStyle name="_인원계획표 _송학하수품의(설계넣고)_무안-광주2공구(협력)수정" xfId="3478" xr:uid="{00000000-0005-0000-0000-0000F6040000}"/>
    <cellStyle name="_인원계획표 _송학하수품의(설계넣고)_무안-광주2공구(협력)수정_사우나최종" xfId="3479" xr:uid="{00000000-0005-0000-0000-0000F7040000}"/>
    <cellStyle name="_인원계획표 _송학하수품의(설계넣고)_무안-광주2공구(협력)수정_사우나최종_사우나최종17" xfId="3480" xr:uid="{00000000-0005-0000-0000-0000F8040000}"/>
    <cellStyle name="_인원계획표 _송학하수품의(설계넣고)_무안-광주2공구(협력)수정_사우나최종_워터파크" xfId="3481" xr:uid="{00000000-0005-0000-0000-0000F9040000}"/>
    <cellStyle name="_인원계획표 _송학하수품의(설계넣고)_번암견적의뢰(협력)" xfId="3482" xr:uid="{00000000-0005-0000-0000-0000FA040000}"/>
    <cellStyle name="_인원계획표 _송학하수품의(설계넣고)_번암견적의뢰(협력)_사우나최종" xfId="3483" xr:uid="{00000000-0005-0000-0000-0000FB040000}"/>
    <cellStyle name="_인원계획표 _송학하수품의(설계넣고)_번암견적의뢰(협력)_사우나최종_사우나최종17" xfId="3484" xr:uid="{00000000-0005-0000-0000-0000FC040000}"/>
    <cellStyle name="_인원계획표 _송학하수품의(설계넣고)_번암견적의뢰(협력)_사우나최종_워터파크" xfId="3485" xr:uid="{00000000-0005-0000-0000-0000FD040000}"/>
    <cellStyle name="_인원계획표 _송학하수품의(설계넣고)_사우나최종" xfId="3486" xr:uid="{00000000-0005-0000-0000-0000FE040000}"/>
    <cellStyle name="_인원계획표 _송학하수품의(설계넣고)_사우나최종_사우나최종17" xfId="3487" xr:uid="{00000000-0005-0000-0000-0000FF040000}"/>
    <cellStyle name="_인원계획표 _송학하수품의(설계넣고)_사우나최종_워터파크" xfId="3488" xr:uid="{00000000-0005-0000-0000-000000050000}"/>
    <cellStyle name="_인원계획표 _송학하수품의(설계넣고)_적상무주IC도로(1공구)" xfId="3489" xr:uid="{00000000-0005-0000-0000-000001050000}"/>
    <cellStyle name="_인원계획표 _송학하수품의(설계넣고)_적상무주IC도로(1공구)_사우나최종" xfId="3490" xr:uid="{00000000-0005-0000-0000-000002050000}"/>
    <cellStyle name="_인원계획표 _송학하수품의(설계넣고)_적상무주IC도로(1공구)_사우나최종_사우나최종17" xfId="3491" xr:uid="{00000000-0005-0000-0000-000003050000}"/>
    <cellStyle name="_인원계획표 _송학하수품의(설계넣고)_적상무주IC도로(1공구)_사우나최종_워터파크" xfId="3492" xr:uid="{00000000-0005-0000-0000-000004050000}"/>
    <cellStyle name="_인원계획표 _예산분류 (공구구분)" xfId="465" xr:uid="{00000000-0005-0000-0000-000005050000}"/>
    <cellStyle name="_인원계획표 _예산분류 (공구구분)_(주)KCC 아산공장 위험물창고 증축공사-200684" xfId="466" xr:uid="{00000000-0005-0000-0000-000006050000}"/>
    <cellStyle name="_인원계획표 _예산분류 (공구구분)_발산 아파트 1공구 공내역" xfId="467" xr:uid="{00000000-0005-0000-0000-000007050000}"/>
    <cellStyle name="_인원계획표 _예산분류 (공구구분)_발산 아파트 1공구 공내역_(주)KCC 아산공장 위험물창고 증축공사-200684" xfId="468" xr:uid="{00000000-0005-0000-0000-000008050000}"/>
    <cellStyle name="_인원계획표 _예산분류 (공구구분)_일반 외주 공내역서 (공구구분)" xfId="469" xr:uid="{00000000-0005-0000-0000-000009050000}"/>
    <cellStyle name="_인원계획표 _예산분류 (공구구분)_일반 외주 공내역서 (공구구분)_(주)KCC 아산공장 위험물창고 증축공사-200684" xfId="470" xr:uid="{00000000-0005-0000-0000-00000A050000}"/>
    <cellStyle name="_인원계획표 _예산분류 (공구구분)_일반배관 외주발주 예산분류 (공구구분)" xfId="471" xr:uid="{00000000-0005-0000-0000-00000B050000}"/>
    <cellStyle name="_인원계획표 _예산분류 (공구구분)_일반배관 외주발주 예산분류 (공구구분)_(주)KCC 아산공장 위험물창고 증축공사-200684" xfId="472" xr:uid="{00000000-0005-0000-0000-00000C050000}"/>
    <cellStyle name="_인원계획표 _예산분류 (공구구분)_일반배관 외주발주 예산분류 (공구구분)-1" xfId="473" xr:uid="{00000000-0005-0000-0000-00000D050000}"/>
    <cellStyle name="_인원계획표 _예산분류 (공구구분)_일반배관 외주발주 예산분류 (공구구분)-1_(주)KCC 아산공장 위험물창고 증축공사-200684" xfId="474" xr:uid="{00000000-0005-0000-0000-00000E050000}"/>
    <cellStyle name="_인원계획표 _이행각서" xfId="475" xr:uid="{00000000-0005-0000-0000-00000F050000}"/>
    <cellStyle name="_인원계획표 _이행각서_내역분개" xfId="476" xr:uid="{00000000-0005-0000-0000-000010050000}"/>
    <cellStyle name="_인원계획표 _이행각서_내역분개_내역분개" xfId="477" xr:uid="{00000000-0005-0000-0000-000011050000}"/>
    <cellStyle name="_인원계획표 _일반배관 외주발주 예산분류 (공구구분)" xfId="478" xr:uid="{00000000-0005-0000-0000-000012050000}"/>
    <cellStyle name="_인원계획표 _일반배관 외주발주 예산분류 (공구구분)_(주)KCC 아산공장 위험물창고 증축공사-200684" xfId="479" xr:uid="{00000000-0005-0000-0000-000013050000}"/>
    <cellStyle name="_인원계획표 _일반배관 외주발주 예산분류 (공구구분)_발산 아파트 1공구 공내역" xfId="480" xr:uid="{00000000-0005-0000-0000-000014050000}"/>
    <cellStyle name="_인원계획표 _일반배관 외주발주 예산분류 (공구구분)_발산 아파트 1공구 공내역_(주)KCC 아산공장 위험물창고 증축공사-200684" xfId="481" xr:uid="{00000000-0005-0000-0000-000015050000}"/>
    <cellStyle name="_인원계획표 _일반배관 외주발주 예산분류 (공구구분)_일반 외주 공내역서 (공구구분)" xfId="482" xr:uid="{00000000-0005-0000-0000-000016050000}"/>
    <cellStyle name="_인원계획표 _일반배관 외주발주 예산분류 (공구구분)_일반 외주 공내역서 (공구구분)_(주)KCC 아산공장 위험물창고 증축공사-200684" xfId="483" xr:uid="{00000000-0005-0000-0000-000017050000}"/>
    <cellStyle name="_인원계획표 _일반배관 외주발주 예산분류 (공구구분)_일반배관 외주발주 예산분류 (공구구분)" xfId="484" xr:uid="{00000000-0005-0000-0000-000018050000}"/>
    <cellStyle name="_인원계획표 _일반배관 외주발주 예산분류 (공구구분)_일반배관 외주발주 예산분류 (공구구분)_(주)KCC 아산공장 위험물창고 증축공사-200684" xfId="485" xr:uid="{00000000-0005-0000-0000-000019050000}"/>
    <cellStyle name="_인원계획표 _일반배관 외주발주 예산분류 (공구구분)_일반배관 외주발주 예산분류 (공구구분)-1" xfId="486" xr:uid="{00000000-0005-0000-0000-00001A050000}"/>
    <cellStyle name="_인원계획표 _일반배관 외주발주 예산분류 (공구구분)_일반배관 외주발주 예산분류 (공구구분)-1_(주)KCC 아산공장 위험물창고 증축공사-200684" xfId="487" xr:uid="{00000000-0005-0000-0000-00001B050000}"/>
    <cellStyle name="_인원계획표 _적격 " xfId="488" xr:uid="{00000000-0005-0000-0000-00001C050000}"/>
    <cellStyle name="_인원계획표 _적격 _(주)KCC 아산공장 위험물창고 증축공사-200684" xfId="489" xr:uid="{00000000-0005-0000-0000-00001D050000}"/>
    <cellStyle name="_인원계획표 _적격 _견적내역서(0530)" xfId="3493" xr:uid="{00000000-0005-0000-0000-00001E050000}"/>
    <cellStyle name="_인원계획표 _적격 _견적내역서(0530)_견적내역서(0530)" xfId="3494" xr:uid="{00000000-0005-0000-0000-00001F050000}"/>
    <cellStyle name="_인원계획표 _적격 _견적내역서(0530)_견적내역서(0530)_사우나최종" xfId="3495" xr:uid="{00000000-0005-0000-0000-000020050000}"/>
    <cellStyle name="_인원계획표 _적격 _견적내역서(0530)_견적내역서(0530)_사우나최종_사우나최종17" xfId="3496" xr:uid="{00000000-0005-0000-0000-000021050000}"/>
    <cellStyle name="_인원계획표 _적격 _견적내역서(0530)_견적내역서(0530)_사우나최종_워터파크" xfId="3497" xr:uid="{00000000-0005-0000-0000-000022050000}"/>
    <cellStyle name="_인원계획표 _적격 _견적내역서(0530)_사우나최종" xfId="3498" xr:uid="{00000000-0005-0000-0000-000023050000}"/>
    <cellStyle name="_인원계획표 _적격 _견적내역서(0530)_사우나최종_사우나최종17" xfId="3499" xr:uid="{00000000-0005-0000-0000-000024050000}"/>
    <cellStyle name="_인원계획표 _적격 _견적내역서(0530)_사우나최종_워터파크" xfId="3500" xr:uid="{00000000-0005-0000-0000-000025050000}"/>
    <cellStyle name="_인원계획표 _적격 _견적내역서(0530)_청호빌딩 가)실행(6.25)" xfId="3501" xr:uid="{00000000-0005-0000-0000-000026050000}"/>
    <cellStyle name="_인원계획표 _적격 _견적내역서(0530)_청호빌딩 가)실행(6.25)_사우나최종" xfId="3502" xr:uid="{00000000-0005-0000-0000-000027050000}"/>
    <cellStyle name="_인원계획표 _적격 _견적내역서(0530)_청호빌딩 가)실행(6.25)_사우나최종_사우나최종17" xfId="3503" xr:uid="{00000000-0005-0000-0000-000028050000}"/>
    <cellStyle name="_인원계획표 _적격 _견적내역서(0530)_청호빌딩 가)실행(6.25)_사우나최종_워터파크" xfId="3504" xr:uid="{00000000-0005-0000-0000-000029050000}"/>
    <cellStyle name="_인원계획표 _적격 _광주평동실행" xfId="3505" xr:uid="{00000000-0005-0000-0000-00002A050000}"/>
    <cellStyle name="_인원계획표 _적격 _광주평동실행_번암견적의뢰(협력)" xfId="3506" xr:uid="{00000000-0005-0000-0000-00002B050000}"/>
    <cellStyle name="_인원계획표 _적격 _광주평동실행_번암견적의뢰(협력)_사우나최종" xfId="3507" xr:uid="{00000000-0005-0000-0000-00002C050000}"/>
    <cellStyle name="_인원계획표 _적격 _광주평동실행_번암견적의뢰(협력)_사우나최종_사우나최종17" xfId="3508" xr:uid="{00000000-0005-0000-0000-00002D050000}"/>
    <cellStyle name="_인원계획표 _적격 _광주평동실행_번암견적의뢰(협력)_사우나최종_워터파크" xfId="3509" xr:uid="{00000000-0005-0000-0000-00002E050000}"/>
    <cellStyle name="_인원계획표 _적격 _광주평동실행_사우나최종" xfId="3510" xr:uid="{00000000-0005-0000-0000-00002F050000}"/>
    <cellStyle name="_인원계획표 _적격 _광주평동실행_사우나최종_사우나최종17" xfId="3511" xr:uid="{00000000-0005-0000-0000-000030050000}"/>
    <cellStyle name="_인원계획표 _적격 _광주평동실행_사우나최종_워터파크" xfId="3512" xr:uid="{00000000-0005-0000-0000-000031050000}"/>
    <cellStyle name="_인원계획표 _적격 _광주평동품의1" xfId="3513" xr:uid="{00000000-0005-0000-0000-000032050000}"/>
    <cellStyle name="_인원계획표 _적격 _광주평동품의1_무안-광주2공구(협력)수정" xfId="3514" xr:uid="{00000000-0005-0000-0000-000033050000}"/>
    <cellStyle name="_인원계획표 _적격 _광주평동품의1_무안-광주2공구(협력)수정_사우나최종" xfId="3515" xr:uid="{00000000-0005-0000-0000-000034050000}"/>
    <cellStyle name="_인원계획표 _적격 _광주평동품의1_무안-광주2공구(협력)수정_사우나최종_사우나최종17" xfId="3516" xr:uid="{00000000-0005-0000-0000-000035050000}"/>
    <cellStyle name="_인원계획표 _적격 _광주평동품의1_무안-광주2공구(협력)수정_사우나최종_워터파크" xfId="3517" xr:uid="{00000000-0005-0000-0000-000036050000}"/>
    <cellStyle name="_인원계획표 _적격 _광주평동품의1_번암견적의뢰(협력)" xfId="3518" xr:uid="{00000000-0005-0000-0000-000037050000}"/>
    <cellStyle name="_인원계획표 _적격 _광주평동품의1_번암견적의뢰(협력)_사우나최종" xfId="3519" xr:uid="{00000000-0005-0000-0000-000038050000}"/>
    <cellStyle name="_인원계획표 _적격 _광주평동품의1_번암견적의뢰(협력)_사우나최종_사우나최종17" xfId="3520" xr:uid="{00000000-0005-0000-0000-000039050000}"/>
    <cellStyle name="_인원계획표 _적격 _광주평동품의1_번암견적의뢰(협력)_사우나최종_워터파크" xfId="3521" xr:uid="{00000000-0005-0000-0000-00003A050000}"/>
    <cellStyle name="_인원계획표 _적격 _광주평동품의1_사우나최종" xfId="3522" xr:uid="{00000000-0005-0000-0000-00003B050000}"/>
    <cellStyle name="_인원계획표 _적격 _광주평동품의1_사우나최종_사우나최종17" xfId="3523" xr:uid="{00000000-0005-0000-0000-00003C050000}"/>
    <cellStyle name="_인원계획표 _적격 _광주평동품의1_사우나최종_워터파크" xfId="3524" xr:uid="{00000000-0005-0000-0000-00003D050000}"/>
    <cellStyle name="_인원계획표 _적격 _광주평동품의1_적상무주IC도로(1공구)" xfId="3525" xr:uid="{00000000-0005-0000-0000-00003E050000}"/>
    <cellStyle name="_인원계획표 _적격 _광주평동품의1_적상무주IC도로(1공구)_사우나최종" xfId="3526" xr:uid="{00000000-0005-0000-0000-00003F050000}"/>
    <cellStyle name="_인원계획표 _적격 _광주평동품의1_적상무주IC도로(1공구)_사우나최종_사우나최종17" xfId="3527" xr:uid="{00000000-0005-0000-0000-000040050000}"/>
    <cellStyle name="_인원계획표 _적격 _광주평동품의1_적상무주IC도로(1공구)_사우나최종_워터파크" xfId="3528" xr:uid="{00000000-0005-0000-0000-000041050000}"/>
    <cellStyle name="_인원계획표 _적격 _기장하수실행1" xfId="3529" xr:uid="{00000000-0005-0000-0000-000042050000}"/>
    <cellStyle name="_인원계획표 _적격 _기장하수실행1_번암견적의뢰(협력)" xfId="3530" xr:uid="{00000000-0005-0000-0000-000043050000}"/>
    <cellStyle name="_인원계획표 _적격 _기장하수실행1_번암견적의뢰(협력)_사우나최종" xfId="3531" xr:uid="{00000000-0005-0000-0000-000044050000}"/>
    <cellStyle name="_인원계획표 _적격 _기장하수실행1_번암견적의뢰(협력)_사우나최종_사우나최종17" xfId="3532" xr:uid="{00000000-0005-0000-0000-000045050000}"/>
    <cellStyle name="_인원계획표 _적격 _기장하수실행1_번암견적의뢰(협력)_사우나최종_워터파크" xfId="3533" xr:uid="{00000000-0005-0000-0000-000046050000}"/>
    <cellStyle name="_인원계획표 _적격 _기장하수실행1_사우나최종" xfId="3534" xr:uid="{00000000-0005-0000-0000-000047050000}"/>
    <cellStyle name="_인원계획표 _적격 _기장하수실행1_사우나최종_사우나최종17" xfId="3535" xr:uid="{00000000-0005-0000-0000-000048050000}"/>
    <cellStyle name="_인원계획표 _적격 _기장하수실행1_사우나최종_워터파크" xfId="3536" xr:uid="{00000000-0005-0000-0000-000049050000}"/>
    <cellStyle name="_인원계획표 _적격 _내역분개" xfId="490" xr:uid="{00000000-0005-0000-0000-00004A050000}"/>
    <cellStyle name="_인원계획표 _적격 _내역분개_내역분개" xfId="491" xr:uid="{00000000-0005-0000-0000-00004B050000}"/>
    <cellStyle name="_인원계획표 _적격 _담양 창평 주택시설 부지조성사업" xfId="492" xr:uid="{00000000-0005-0000-0000-00004C050000}"/>
    <cellStyle name="_인원계획표 _적격 _무안-광주2공구(협력)수정" xfId="3537" xr:uid="{00000000-0005-0000-0000-00004D050000}"/>
    <cellStyle name="_인원계획표 _적격 _무안-광주2공구(협력)수정_사우나최종" xfId="3538" xr:uid="{00000000-0005-0000-0000-00004E050000}"/>
    <cellStyle name="_인원계획표 _적격 _무안-광주2공구(협력)수정_사우나최종_사우나최종17" xfId="3539" xr:uid="{00000000-0005-0000-0000-00004F050000}"/>
    <cellStyle name="_인원계획표 _적격 _무안-광주2공구(협력)수정_사우나최종_워터파크" xfId="3540" xr:uid="{00000000-0005-0000-0000-000050050000}"/>
    <cellStyle name="_인원계획표 _적격 _번암견적의뢰(협력)" xfId="3541" xr:uid="{00000000-0005-0000-0000-000051050000}"/>
    <cellStyle name="_인원계획표 _적격 _번암견적의뢰(협력)_사우나최종" xfId="3542" xr:uid="{00000000-0005-0000-0000-000052050000}"/>
    <cellStyle name="_인원계획표 _적격 _번암견적의뢰(협력)_사우나최종_사우나최종17" xfId="3543" xr:uid="{00000000-0005-0000-0000-000053050000}"/>
    <cellStyle name="_인원계획표 _적격 _번암견적의뢰(협력)_사우나최종_워터파크" xfId="3544" xr:uid="{00000000-0005-0000-0000-000054050000}"/>
    <cellStyle name="_인원계획표 _적격 _사우나최종" xfId="3545" xr:uid="{00000000-0005-0000-0000-000055050000}"/>
    <cellStyle name="_인원계획표 _적격 _사우나최종_사우나최종17" xfId="3546" xr:uid="{00000000-0005-0000-0000-000056050000}"/>
    <cellStyle name="_인원계획표 _적격 _사우나최종_워터파크" xfId="3547" xr:uid="{00000000-0005-0000-0000-000057050000}"/>
    <cellStyle name="_인원계획표 _적격 _송학실행안" xfId="3548" xr:uid="{00000000-0005-0000-0000-000058050000}"/>
    <cellStyle name="_인원계획표 _적격 _송학실행안_번암견적의뢰(협력)" xfId="3549" xr:uid="{00000000-0005-0000-0000-000059050000}"/>
    <cellStyle name="_인원계획표 _적격 _송학실행안_번암견적의뢰(협력)_사우나최종" xfId="3550" xr:uid="{00000000-0005-0000-0000-00005A050000}"/>
    <cellStyle name="_인원계획표 _적격 _송학실행안_번암견적의뢰(협력)_사우나최종_사우나최종17" xfId="3551" xr:uid="{00000000-0005-0000-0000-00005B050000}"/>
    <cellStyle name="_인원계획표 _적격 _송학실행안_번암견적의뢰(협력)_사우나최종_워터파크" xfId="3552" xr:uid="{00000000-0005-0000-0000-00005C050000}"/>
    <cellStyle name="_인원계획표 _적격 _송학실행안_사우나최종" xfId="3553" xr:uid="{00000000-0005-0000-0000-00005D050000}"/>
    <cellStyle name="_인원계획표 _적격 _송학실행안_사우나최종_사우나최종17" xfId="3554" xr:uid="{00000000-0005-0000-0000-00005E050000}"/>
    <cellStyle name="_인원계획표 _적격 _송학실행안_사우나최종_워터파크" xfId="3555" xr:uid="{00000000-0005-0000-0000-00005F050000}"/>
    <cellStyle name="_인원계획표 _적격 _송학하수투찰" xfId="3556" xr:uid="{00000000-0005-0000-0000-000060050000}"/>
    <cellStyle name="_인원계획표 _적격 _송학하수투찰_번암견적의뢰(협력)" xfId="3557" xr:uid="{00000000-0005-0000-0000-000061050000}"/>
    <cellStyle name="_인원계획표 _적격 _송학하수투찰_번암견적의뢰(협력)_사우나최종" xfId="3558" xr:uid="{00000000-0005-0000-0000-000062050000}"/>
    <cellStyle name="_인원계획표 _적격 _송학하수투찰_번암견적의뢰(협력)_사우나최종_사우나최종17" xfId="3559" xr:uid="{00000000-0005-0000-0000-000063050000}"/>
    <cellStyle name="_인원계획표 _적격 _송학하수투찰_번암견적의뢰(협력)_사우나최종_워터파크" xfId="3560" xr:uid="{00000000-0005-0000-0000-000064050000}"/>
    <cellStyle name="_인원계획표 _적격 _송학하수투찰_사우나최종" xfId="3561" xr:uid="{00000000-0005-0000-0000-000065050000}"/>
    <cellStyle name="_인원계획표 _적격 _송학하수투찰_사우나최종_사우나최종17" xfId="3562" xr:uid="{00000000-0005-0000-0000-000066050000}"/>
    <cellStyle name="_인원계획표 _적격 _송학하수투찰_사우나최종_워터파크" xfId="3563" xr:uid="{00000000-0005-0000-0000-000067050000}"/>
    <cellStyle name="_인원계획표 _적격 _송학하수품의(설계넣고)" xfId="3564" xr:uid="{00000000-0005-0000-0000-000068050000}"/>
    <cellStyle name="_인원계획표 _적격 _송학하수품의(설계넣고)_무안-광주2공구(협력)수정" xfId="3565" xr:uid="{00000000-0005-0000-0000-000069050000}"/>
    <cellStyle name="_인원계획표 _적격 _송학하수품의(설계넣고)_무안-광주2공구(협력)수정_사우나최종" xfId="3566" xr:uid="{00000000-0005-0000-0000-00006A050000}"/>
    <cellStyle name="_인원계획표 _적격 _송학하수품의(설계넣고)_무안-광주2공구(협력)수정_사우나최종_사우나최종17" xfId="3567" xr:uid="{00000000-0005-0000-0000-00006B050000}"/>
    <cellStyle name="_인원계획표 _적격 _송학하수품의(설계넣고)_무안-광주2공구(협력)수정_사우나최종_워터파크" xfId="3568" xr:uid="{00000000-0005-0000-0000-00006C050000}"/>
    <cellStyle name="_인원계획표 _적격 _송학하수품의(설계넣고)_번암견적의뢰(협력)" xfId="3569" xr:uid="{00000000-0005-0000-0000-00006D050000}"/>
    <cellStyle name="_인원계획표 _적격 _송학하수품의(설계넣고)_번암견적의뢰(협력)_사우나최종" xfId="3570" xr:uid="{00000000-0005-0000-0000-00006E050000}"/>
    <cellStyle name="_인원계획표 _적격 _송학하수품의(설계넣고)_번암견적의뢰(협력)_사우나최종_사우나최종17" xfId="3571" xr:uid="{00000000-0005-0000-0000-00006F050000}"/>
    <cellStyle name="_인원계획표 _적격 _송학하수품의(설계넣고)_번암견적의뢰(협력)_사우나최종_워터파크" xfId="3572" xr:uid="{00000000-0005-0000-0000-000070050000}"/>
    <cellStyle name="_인원계획표 _적격 _송학하수품의(설계넣고)_사우나최종" xfId="3573" xr:uid="{00000000-0005-0000-0000-000071050000}"/>
    <cellStyle name="_인원계획표 _적격 _송학하수품의(설계넣고)_사우나최종_사우나최종17" xfId="3574" xr:uid="{00000000-0005-0000-0000-000072050000}"/>
    <cellStyle name="_인원계획표 _적격 _송학하수품의(설계넣고)_사우나최종_워터파크" xfId="3575" xr:uid="{00000000-0005-0000-0000-000073050000}"/>
    <cellStyle name="_인원계획표 _적격 _송학하수품의(설계넣고)_적상무주IC도로(1공구)" xfId="3576" xr:uid="{00000000-0005-0000-0000-000074050000}"/>
    <cellStyle name="_인원계획표 _적격 _송학하수품의(설계넣고)_적상무주IC도로(1공구)_사우나최종" xfId="3577" xr:uid="{00000000-0005-0000-0000-000075050000}"/>
    <cellStyle name="_인원계획표 _적격 _송학하수품의(설계넣고)_적상무주IC도로(1공구)_사우나최종_사우나최종17" xfId="3578" xr:uid="{00000000-0005-0000-0000-000076050000}"/>
    <cellStyle name="_인원계획표 _적격 _송학하수품의(설계넣고)_적상무주IC도로(1공구)_사우나최종_워터파크" xfId="3579" xr:uid="{00000000-0005-0000-0000-000077050000}"/>
    <cellStyle name="_인원계획표 _적격 _예산분류 (공구구분)" xfId="493" xr:uid="{00000000-0005-0000-0000-000078050000}"/>
    <cellStyle name="_인원계획표 _적격 _예산분류 (공구구분)_(주)KCC 아산공장 위험물창고 증축공사-200684" xfId="494" xr:uid="{00000000-0005-0000-0000-000079050000}"/>
    <cellStyle name="_인원계획표 _적격 _예산분류 (공구구분)_발산 아파트 1공구 공내역" xfId="495" xr:uid="{00000000-0005-0000-0000-00007A050000}"/>
    <cellStyle name="_인원계획표 _적격 _예산분류 (공구구분)_발산 아파트 1공구 공내역_(주)KCC 아산공장 위험물창고 증축공사-200684" xfId="496" xr:uid="{00000000-0005-0000-0000-00007B050000}"/>
    <cellStyle name="_인원계획표 _적격 _예산분류 (공구구분)_일반 외주 공내역서 (공구구분)" xfId="497" xr:uid="{00000000-0005-0000-0000-00007C050000}"/>
    <cellStyle name="_인원계획표 _적격 _예산분류 (공구구분)_일반 외주 공내역서 (공구구분)_(주)KCC 아산공장 위험물창고 증축공사-200684" xfId="498" xr:uid="{00000000-0005-0000-0000-00007D050000}"/>
    <cellStyle name="_인원계획표 _적격 _예산분류 (공구구분)_일반배관 외주발주 예산분류 (공구구분)" xfId="499" xr:uid="{00000000-0005-0000-0000-00007E050000}"/>
    <cellStyle name="_인원계획표 _적격 _예산분류 (공구구분)_일반배관 외주발주 예산분류 (공구구분)_(주)KCC 아산공장 위험물창고 증축공사-200684" xfId="500" xr:uid="{00000000-0005-0000-0000-00007F050000}"/>
    <cellStyle name="_인원계획표 _적격 _예산분류 (공구구분)_일반배관 외주발주 예산분류 (공구구분)-1" xfId="501" xr:uid="{00000000-0005-0000-0000-000080050000}"/>
    <cellStyle name="_인원계획표 _적격 _예산분류 (공구구분)_일반배관 외주발주 예산분류 (공구구분)-1_(주)KCC 아산공장 위험물창고 증축공사-200684" xfId="502" xr:uid="{00000000-0005-0000-0000-000081050000}"/>
    <cellStyle name="_인원계획표 _적격 _일반배관 외주발주 예산분류 (공구구분)" xfId="503" xr:uid="{00000000-0005-0000-0000-000082050000}"/>
    <cellStyle name="_인원계획표 _적격 _일반배관 외주발주 예산분류 (공구구분)_(주)KCC 아산공장 위험물창고 증축공사-200684" xfId="504" xr:uid="{00000000-0005-0000-0000-000083050000}"/>
    <cellStyle name="_인원계획표 _적격 _일반배관 외주발주 예산분류 (공구구분)_발산 아파트 1공구 공내역" xfId="505" xr:uid="{00000000-0005-0000-0000-000084050000}"/>
    <cellStyle name="_인원계획표 _적격 _일반배관 외주발주 예산분류 (공구구분)_발산 아파트 1공구 공내역_(주)KCC 아산공장 위험물창고 증축공사-200684" xfId="506" xr:uid="{00000000-0005-0000-0000-000085050000}"/>
    <cellStyle name="_인원계획표 _적격 _일반배관 외주발주 예산분류 (공구구분)_일반 외주 공내역서 (공구구분)" xfId="507" xr:uid="{00000000-0005-0000-0000-000086050000}"/>
    <cellStyle name="_인원계획표 _적격 _일반배관 외주발주 예산분류 (공구구분)_일반 외주 공내역서 (공구구분)_(주)KCC 아산공장 위험물창고 증축공사-200684" xfId="508" xr:uid="{00000000-0005-0000-0000-000087050000}"/>
    <cellStyle name="_인원계획표 _적격 _일반배관 외주발주 예산분류 (공구구분)_일반배관 외주발주 예산분류 (공구구분)" xfId="509" xr:uid="{00000000-0005-0000-0000-000088050000}"/>
    <cellStyle name="_인원계획표 _적격 _일반배관 외주발주 예산분류 (공구구분)_일반배관 외주발주 예산분류 (공구구분)_(주)KCC 아산공장 위험물창고 증축공사-200684" xfId="510" xr:uid="{00000000-0005-0000-0000-000089050000}"/>
    <cellStyle name="_인원계획표 _적격 _일반배관 외주발주 예산분류 (공구구분)_일반배관 외주발주 예산분류 (공구구분)-1" xfId="511" xr:uid="{00000000-0005-0000-0000-00008A050000}"/>
    <cellStyle name="_인원계획표 _적격 _일반배관 외주발주 예산분류 (공구구분)_일반배관 외주발주 예산분류 (공구구분)-1_(주)KCC 아산공장 위험물창고 증축공사-200684" xfId="512" xr:uid="{00000000-0005-0000-0000-00008B050000}"/>
    <cellStyle name="_인원계획표 _적격 _적상무주IC도로(1공구)" xfId="3580" xr:uid="{00000000-0005-0000-0000-00008C050000}"/>
    <cellStyle name="_인원계획표 _적격 _적상무주IC도로(1공구)_사우나최종" xfId="3581" xr:uid="{00000000-0005-0000-0000-00008D050000}"/>
    <cellStyle name="_인원계획표 _적격 _적상무주IC도로(1공구)_사우나최종_사우나최종17" xfId="3582" xr:uid="{00000000-0005-0000-0000-00008E050000}"/>
    <cellStyle name="_인원계획표 _적격 _적상무주IC도로(1공구)_사우나최종_워터파크" xfId="3583" xr:uid="{00000000-0005-0000-0000-00008F050000}"/>
    <cellStyle name="_인원계획표 _적상무주IC도로(1공구)" xfId="3584" xr:uid="{00000000-0005-0000-0000-000090050000}"/>
    <cellStyle name="_인원계획표 _적상무주IC도로(1공구)_사우나최종" xfId="3585" xr:uid="{00000000-0005-0000-0000-000091050000}"/>
    <cellStyle name="_인원계획표 _적상무주IC도로(1공구)_사우나최종_사우나최종17" xfId="3586" xr:uid="{00000000-0005-0000-0000-000092050000}"/>
    <cellStyle name="_인원계획표 _적상무주IC도로(1공구)_사우나최종_워터파크" xfId="3587" xr:uid="{00000000-0005-0000-0000-000093050000}"/>
    <cellStyle name="_인원계획표 _포기각서" xfId="513" xr:uid="{00000000-0005-0000-0000-000094050000}"/>
    <cellStyle name="_인원계획표 _포기각서_내역분개" xfId="514" xr:uid="{00000000-0005-0000-0000-000095050000}"/>
    <cellStyle name="_인원계획표 _포기각서_내역분개_내역분개" xfId="515" xr:uid="{00000000-0005-0000-0000-000096050000}"/>
    <cellStyle name="_인원계획표 _현설양식" xfId="516" xr:uid="{00000000-0005-0000-0000-000097050000}"/>
    <cellStyle name="_인원계획표 _현설양식_내역분개" xfId="517" xr:uid="{00000000-0005-0000-0000-000098050000}"/>
    <cellStyle name="_인원계획표 _현설양식_내역분개_내역분개" xfId="518" xr:uid="{00000000-0005-0000-0000-000099050000}"/>
    <cellStyle name="_인원계획표 _현장설명" xfId="519" xr:uid="{00000000-0005-0000-0000-00009A050000}"/>
    <cellStyle name="_인원계획표 _현장설명_내역분개" xfId="520" xr:uid="{00000000-0005-0000-0000-00009B050000}"/>
    <cellStyle name="_인원계획표 _현장설명_내역분개_내역분개" xfId="521" xr:uid="{00000000-0005-0000-0000-00009C050000}"/>
    <cellStyle name="_인테리어 - 건축공내역(칠곡경북대병원)" xfId="522" xr:uid="{00000000-0005-0000-0000-00009D050000}"/>
    <cellStyle name="_인테리어내역(최종)" xfId="3588" xr:uid="{00000000-0005-0000-0000-00009E050000}"/>
    <cellStyle name="_일반배관 외주발주 예산분류 (공구구분)" xfId="523" xr:uid="{00000000-0005-0000-0000-00009F050000}"/>
    <cellStyle name="_일반배관 외주발주 예산분류 (공구구분)_(주)KCC 아산공장 위험물창고 증축공사-200684" xfId="524" xr:uid="{00000000-0005-0000-0000-0000A0050000}"/>
    <cellStyle name="_일반배관 외주발주 예산분류 (공구구분)_발산 아파트 1공구 공내역" xfId="525" xr:uid="{00000000-0005-0000-0000-0000A1050000}"/>
    <cellStyle name="_일반배관 외주발주 예산분류 (공구구분)_발산 아파트 1공구 공내역_(주)KCC 아산공장 위험물창고 증축공사-200684" xfId="526" xr:uid="{00000000-0005-0000-0000-0000A2050000}"/>
    <cellStyle name="_일반배관 외주발주 예산분류 (공구구분)_일반 외주 공내역서 (공구구분)" xfId="527" xr:uid="{00000000-0005-0000-0000-0000A3050000}"/>
    <cellStyle name="_일반배관 외주발주 예산분류 (공구구분)_일반 외주 공내역서 (공구구분)_(주)KCC 아산공장 위험물창고 증축공사-200684" xfId="528" xr:uid="{00000000-0005-0000-0000-0000A4050000}"/>
    <cellStyle name="_일반배관 외주발주 예산분류 (공구구분)_일반배관 외주발주 예산분류 (공구구분)" xfId="529" xr:uid="{00000000-0005-0000-0000-0000A5050000}"/>
    <cellStyle name="_일반배관 외주발주 예산분류 (공구구분)_일반배관 외주발주 예산분류 (공구구분)_(주)KCC 아산공장 위험물창고 증축공사-200684" xfId="530" xr:uid="{00000000-0005-0000-0000-0000A6050000}"/>
    <cellStyle name="_일반배관 외주발주 예산분류 (공구구분)_일반배관 외주발주 예산분류 (공구구분)-1" xfId="531" xr:uid="{00000000-0005-0000-0000-0000A7050000}"/>
    <cellStyle name="_일반배관 외주발주 예산분류 (공구구분)_일반배관 외주발주 예산분류 (공구구분)-1_(주)KCC 아산공장 위험물창고 증축공사-200684" xfId="532" xr:uid="{00000000-0005-0000-0000-0000A8050000}"/>
    <cellStyle name="_일반배관 외주작성중(35%050526)-1" xfId="533" xr:uid="{00000000-0005-0000-0000-0000A9050000}"/>
    <cellStyle name="_일위대가(비목군분류)" xfId="534" xr:uid="{00000000-0005-0000-0000-0000AA050000}"/>
    <cellStyle name="_입찰금액" xfId="535" xr:uid="{00000000-0005-0000-0000-0000AB050000}"/>
    <cellStyle name="_입찰표지 " xfId="536" xr:uid="{00000000-0005-0000-0000-0000AC050000}"/>
    <cellStyle name="_입찰표지 _(주)KCC 아산공장 위험물창고 증축공사-200684" xfId="537" xr:uid="{00000000-0005-0000-0000-0000AD050000}"/>
    <cellStyle name="_입찰표지 _검암2차사전공사(본사검토) " xfId="3589" xr:uid="{00000000-0005-0000-0000-0000AE050000}"/>
    <cellStyle name="_입찰표지 _검암2차사전공사(본사검토) _사우나최종" xfId="3590" xr:uid="{00000000-0005-0000-0000-0000AF050000}"/>
    <cellStyle name="_입찰표지 _검암2차사전공사(본사검토) _사우나최종_사우나최종17" xfId="3591" xr:uid="{00000000-0005-0000-0000-0000B0050000}"/>
    <cellStyle name="_입찰표지 _검암2차사전공사(본사검토) _사우나최종_워터파크" xfId="3592" xr:uid="{00000000-0005-0000-0000-0000B1050000}"/>
    <cellStyle name="_입찰표지 _견적내역서(0530)" xfId="3593" xr:uid="{00000000-0005-0000-0000-0000B2050000}"/>
    <cellStyle name="_입찰표지 _견적내역서(0530)_견적내역서(0530)" xfId="3594" xr:uid="{00000000-0005-0000-0000-0000B3050000}"/>
    <cellStyle name="_입찰표지 _견적내역서(0530)_견적내역서(0530)_사우나최종" xfId="3595" xr:uid="{00000000-0005-0000-0000-0000B4050000}"/>
    <cellStyle name="_입찰표지 _견적내역서(0530)_견적내역서(0530)_사우나최종_사우나최종17" xfId="3596" xr:uid="{00000000-0005-0000-0000-0000B5050000}"/>
    <cellStyle name="_입찰표지 _견적내역서(0530)_견적내역서(0530)_사우나최종_워터파크" xfId="3597" xr:uid="{00000000-0005-0000-0000-0000B6050000}"/>
    <cellStyle name="_입찰표지 _견적내역서(0530)_사우나최종" xfId="3598" xr:uid="{00000000-0005-0000-0000-0000B7050000}"/>
    <cellStyle name="_입찰표지 _견적내역서(0530)_사우나최종_사우나최종17" xfId="3599" xr:uid="{00000000-0005-0000-0000-0000B8050000}"/>
    <cellStyle name="_입찰표지 _견적내역서(0530)_사우나최종_워터파크" xfId="3600" xr:uid="{00000000-0005-0000-0000-0000B9050000}"/>
    <cellStyle name="_입찰표지 _견적내역서(0530)_청호빌딩 가)실행(6.25)" xfId="3601" xr:uid="{00000000-0005-0000-0000-0000BA050000}"/>
    <cellStyle name="_입찰표지 _견적내역서(0530)_청호빌딩 가)실행(6.25)_사우나최종" xfId="3602" xr:uid="{00000000-0005-0000-0000-0000BB050000}"/>
    <cellStyle name="_입찰표지 _견적내역서(0530)_청호빌딩 가)실행(6.25)_사우나최종_사우나최종17" xfId="3603" xr:uid="{00000000-0005-0000-0000-0000BC050000}"/>
    <cellStyle name="_입찰표지 _견적내역서(0530)_청호빌딩 가)실행(6.25)_사우나최종_워터파크" xfId="3604" xr:uid="{00000000-0005-0000-0000-0000BD050000}"/>
    <cellStyle name="_입찰표지 _광주평동실행" xfId="3605" xr:uid="{00000000-0005-0000-0000-0000BE050000}"/>
    <cellStyle name="_입찰표지 _광주평동실행_번암견적의뢰(협력)" xfId="3606" xr:uid="{00000000-0005-0000-0000-0000BF050000}"/>
    <cellStyle name="_입찰표지 _광주평동실행_번암견적의뢰(협력)_사우나최종" xfId="3607" xr:uid="{00000000-0005-0000-0000-0000C0050000}"/>
    <cellStyle name="_입찰표지 _광주평동실행_번암견적의뢰(협력)_사우나최종_사우나최종17" xfId="3608" xr:uid="{00000000-0005-0000-0000-0000C1050000}"/>
    <cellStyle name="_입찰표지 _광주평동실행_번암견적의뢰(협력)_사우나최종_워터파크" xfId="3609" xr:uid="{00000000-0005-0000-0000-0000C2050000}"/>
    <cellStyle name="_입찰표지 _광주평동실행_사우나최종" xfId="3610" xr:uid="{00000000-0005-0000-0000-0000C3050000}"/>
    <cellStyle name="_입찰표지 _광주평동실행_사우나최종_사우나최종17" xfId="3611" xr:uid="{00000000-0005-0000-0000-0000C4050000}"/>
    <cellStyle name="_입찰표지 _광주평동실행_사우나최종_워터파크" xfId="3612" xr:uid="{00000000-0005-0000-0000-0000C5050000}"/>
    <cellStyle name="_입찰표지 _광주평동품의1" xfId="3613" xr:uid="{00000000-0005-0000-0000-0000C6050000}"/>
    <cellStyle name="_입찰표지 _광주평동품의1_무안-광주2공구(협력)수정" xfId="3614" xr:uid="{00000000-0005-0000-0000-0000C7050000}"/>
    <cellStyle name="_입찰표지 _광주평동품의1_무안-광주2공구(협력)수정_사우나최종" xfId="3615" xr:uid="{00000000-0005-0000-0000-0000C8050000}"/>
    <cellStyle name="_입찰표지 _광주평동품의1_무안-광주2공구(협력)수정_사우나최종_사우나최종17" xfId="3616" xr:uid="{00000000-0005-0000-0000-0000C9050000}"/>
    <cellStyle name="_입찰표지 _광주평동품의1_무안-광주2공구(협력)수정_사우나최종_워터파크" xfId="3617" xr:uid="{00000000-0005-0000-0000-0000CA050000}"/>
    <cellStyle name="_입찰표지 _광주평동품의1_번암견적의뢰(협력)" xfId="3618" xr:uid="{00000000-0005-0000-0000-0000CB050000}"/>
    <cellStyle name="_입찰표지 _광주평동품의1_번암견적의뢰(협력)_사우나최종" xfId="3619" xr:uid="{00000000-0005-0000-0000-0000CC050000}"/>
    <cellStyle name="_입찰표지 _광주평동품의1_번암견적의뢰(협력)_사우나최종_사우나최종17" xfId="3620" xr:uid="{00000000-0005-0000-0000-0000CD050000}"/>
    <cellStyle name="_입찰표지 _광주평동품의1_번암견적의뢰(협력)_사우나최종_워터파크" xfId="3621" xr:uid="{00000000-0005-0000-0000-0000CE050000}"/>
    <cellStyle name="_입찰표지 _광주평동품의1_사우나최종" xfId="3622" xr:uid="{00000000-0005-0000-0000-0000CF050000}"/>
    <cellStyle name="_입찰표지 _광주평동품의1_사우나최종_사우나최종17" xfId="3623" xr:uid="{00000000-0005-0000-0000-0000D0050000}"/>
    <cellStyle name="_입찰표지 _광주평동품의1_사우나최종_워터파크" xfId="3624" xr:uid="{00000000-0005-0000-0000-0000D1050000}"/>
    <cellStyle name="_입찰표지 _광주평동품의1_적상무주IC도로(1공구)" xfId="3625" xr:uid="{00000000-0005-0000-0000-0000D2050000}"/>
    <cellStyle name="_입찰표지 _광주평동품의1_적상무주IC도로(1공구)_사우나최종" xfId="3626" xr:uid="{00000000-0005-0000-0000-0000D3050000}"/>
    <cellStyle name="_입찰표지 _광주평동품의1_적상무주IC도로(1공구)_사우나최종_사우나최종17" xfId="3627" xr:uid="{00000000-0005-0000-0000-0000D4050000}"/>
    <cellStyle name="_입찰표지 _광주평동품의1_적상무주IC도로(1공구)_사우나최종_워터파크" xfId="3628" xr:uid="{00000000-0005-0000-0000-0000D5050000}"/>
    <cellStyle name="_입찰표지 _기장하수실행1" xfId="3629" xr:uid="{00000000-0005-0000-0000-0000D6050000}"/>
    <cellStyle name="_입찰표지 _기장하수실행1_번암견적의뢰(협력)" xfId="3630" xr:uid="{00000000-0005-0000-0000-0000D7050000}"/>
    <cellStyle name="_입찰표지 _기장하수실행1_번암견적의뢰(협력)_사우나최종" xfId="3631" xr:uid="{00000000-0005-0000-0000-0000D8050000}"/>
    <cellStyle name="_입찰표지 _기장하수실행1_번암견적의뢰(협력)_사우나최종_사우나최종17" xfId="3632" xr:uid="{00000000-0005-0000-0000-0000D9050000}"/>
    <cellStyle name="_입찰표지 _기장하수실행1_번암견적의뢰(협력)_사우나최종_워터파크" xfId="3633" xr:uid="{00000000-0005-0000-0000-0000DA050000}"/>
    <cellStyle name="_입찰표지 _기장하수실행1_사우나최종" xfId="3634" xr:uid="{00000000-0005-0000-0000-0000DB050000}"/>
    <cellStyle name="_입찰표지 _기장하수실행1_사우나최종_사우나최종17" xfId="3635" xr:uid="{00000000-0005-0000-0000-0000DC050000}"/>
    <cellStyle name="_입찰표지 _기장하수실행1_사우나최종_워터파크" xfId="3636" xr:uid="{00000000-0005-0000-0000-0000DD050000}"/>
    <cellStyle name="_입찰표지 _내역분개" xfId="538" xr:uid="{00000000-0005-0000-0000-0000DE050000}"/>
    <cellStyle name="_입찰표지 _내역분개_내역분개" xfId="539" xr:uid="{00000000-0005-0000-0000-0000DF050000}"/>
    <cellStyle name="_입찰표지 _담양 창평 주택시설 부지조성사업" xfId="540" xr:uid="{00000000-0005-0000-0000-0000E0050000}"/>
    <cellStyle name="_입찰표지 _무안-광주2공구(협력)수정" xfId="3637" xr:uid="{00000000-0005-0000-0000-0000E1050000}"/>
    <cellStyle name="_입찰표지 _무안-광주2공구(협력)수정_사우나최종" xfId="3638" xr:uid="{00000000-0005-0000-0000-0000E2050000}"/>
    <cellStyle name="_입찰표지 _무안-광주2공구(협력)수정_사우나최종_사우나최종17" xfId="3639" xr:uid="{00000000-0005-0000-0000-0000E3050000}"/>
    <cellStyle name="_입찰표지 _무안-광주2공구(협력)수정_사우나최종_워터파크" xfId="3640" xr:uid="{00000000-0005-0000-0000-0000E4050000}"/>
    <cellStyle name="_입찰표지 _번암견적의뢰(협력)" xfId="3641" xr:uid="{00000000-0005-0000-0000-0000E5050000}"/>
    <cellStyle name="_입찰표지 _번암견적의뢰(협력)_사우나최종" xfId="3642" xr:uid="{00000000-0005-0000-0000-0000E6050000}"/>
    <cellStyle name="_입찰표지 _번암견적의뢰(협력)_사우나최종_사우나최종17" xfId="3643" xr:uid="{00000000-0005-0000-0000-0000E7050000}"/>
    <cellStyle name="_입찰표지 _번암견적의뢰(협력)_사우나최종_워터파크" xfId="3644" xr:uid="{00000000-0005-0000-0000-0000E8050000}"/>
    <cellStyle name="_입찰표지 _사우나최종" xfId="3645" xr:uid="{00000000-0005-0000-0000-0000E9050000}"/>
    <cellStyle name="_입찰표지 _사우나최종_사우나최종17" xfId="3646" xr:uid="{00000000-0005-0000-0000-0000EA050000}"/>
    <cellStyle name="_입찰표지 _사우나최종_워터파크" xfId="3647" xr:uid="{00000000-0005-0000-0000-0000EB050000}"/>
    <cellStyle name="_입찰표지 _사전공사(토목본사검토) " xfId="3648" xr:uid="{00000000-0005-0000-0000-0000EC050000}"/>
    <cellStyle name="_입찰표지 _사전공사(토목본사검토) _사우나최종" xfId="3649" xr:uid="{00000000-0005-0000-0000-0000ED050000}"/>
    <cellStyle name="_입찰표지 _사전공사(토목본사검토) _사우나최종_사우나최종17" xfId="3650" xr:uid="{00000000-0005-0000-0000-0000EE050000}"/>
    <cellStyle name="_입찰표지 _사전공사(토목본사검토) _사우나최종_워터파크" xfId="3651" xr:uid="{00000000-0005-0000-0000-0000EF050000}"/>
    <cellStyle name="_입찰표지 _송학실행안" xfId="3652" xr:uid="{00000000-0005-0000-0000-0000F0050000}"/>
    <cellStyle name="_입찰표지 _송학실행안_번암견적의뢰(협력)" xfId="3653" xr:uid="{00000000-0005-0000-0000-0000F1050000}"/>
    <cellStyle name="_입찰표지 _송학실행안_번암견적의뢰(협력)_사우나최종" xfId="3654" xr:uid="{00000000-0005-0000-0000-0000F2050000}"/>
    <cellStyle name="_입찰표지 _송학실행안_번암견적의뢰(협력)_사우나최종_사우나최종17" xfId="3655" xr:uid="{00000000-0005-0000-0000-0000F3050000}"/>
    <cellStyle name="_입찰표지 _송학실행안_번암견적의뢰(협력)_사우나최종_워터파크" xfId="3656" xr:uid="{00000000-0005-0000-0000-0000F4050000}"/>
    <cellStyle name="_입찰표지 _송학실행안_사우나최종" xfId="3657" xr:uid="{00000000-0005-0000-0000-0000F5050000}"/>
    <cellStyle name="_입찰표지 _송학실행안_사우나최종_사우나최종17" xfId="3658" xr:uid="{00000000-0005-0000-0000-0000F6050000}"/>
    <cellStyle name="_입찰표지 _송학실행안_사우나최종_워터파크" xfId="3659" xr:uid="{00000000-0005-0000-0000-0000F7050000}"/>
    <cellStyle name="_입찰표지 _송학하수투찰" xfId="3660" xr:uid="{00000000-0005-0000-0000-0000F8050000}"/>
    <cellStyle name="_입찰표지 _송학하수투찰_번암견적의뢰(협력)" xfId="3661" xr:uid="{00000000-0005-0000-0000-0000F9050000}"/>
    <cellStyle name="_입찰표지 _송학하수투찰_번암견적의뢰(협력)_사우나최종" xfId="3662" xr:uid="{00000000-0005-0000-0000-0000FA050000}"/>
    <cellStyle name="_입찰표지 _송학하수투찰_번암견적의뢰(협력)_사우나최종_사우나최종17" xfId="3663" xr:uid="{00000000-0005-0000-0000-0000FB050000}"/>
    <cellStyle name="_입찰표지 _송학하수투찰_번암견적의뢰(협력)_사우나최종_워터파크" xfId="3664" xr:uid="{00000000-0005-0000-0000-0000FC050000}"/>
    <cellStyle name="_입찰표지 _송학하수투찰_사우나최종" xfId="3665" xr:uid="{00000000-0005-0000-0000-0000FD050000}"/>
    <cellStyle name="_입찰표지 _송학하수투찰_사우나최종_사우나최종17" xfId="3666" xr:uid="{00000000-0005-0000-0000-0000FE050000}"/>
    <cellStyle name="_입찰표지 _송학하수투찰_사우나최종_워터파크" xfId="3667" xr:uid="{00000000-0005-0000-0000-0000FF050000}"/>
    <cellStyle name="_입찰표지 _송학하수품의(설계넣고)" xfId="3668" xr:uid="{00000000-0005-0000-0000-000000060000}"/>
    <cellStyle name="_입찰표지 _송학하수품의(설계넣고)_무안-광주2공구(협력)수정" xfId="3669" xr:uid="{00000000-0005-0000-0000-000001060000}"/>
    <cellStyle name="_입찰표지 _송학하수품의(설계넣고)_무안-광주2공구(협력)수정_사우나최종" xfId="3670" xr:uid="{00000000-0005-0000-0000-000002060000}"/>
    <cellStyle name="_입찰표지 _송학하수품의(설계넣고)_무안-광주2공구(협력)수정_사우나최종_사우나최종17" xfId="3671" xr:uid="{00000000-0005-0000-0000-000003060000}"/>
    <cellStyle name="_입찰표지 _송학하수품의(설계넣고)_무안-광주2공구(협력)수정_사우나최종_워터파크" xfId="3672" xr:uid="{00000000-0005-0000-0000-000004060000}"/>
    <cellStyle name="_입찰표지 _송학하수품의(설계넣고)_번암견적의뢰(협력)" xfId="3673" xr:uid="{00000000-0005-0000-0000-000005060000}"/>
    <cellStyle name="_입찰표지 _송학하수품의(설계넣고)_번암견적의뢰(협력)_사우나최종" xfId="3674" xr:uid="{00000000-0005-0000-0000-000006060000}"/>
    <cellStyle name="_입찰표지 _송학하수품의(설계넣고)_번암견적의뢰(협력)_사우나최종_사우나최종17" xfId="3675" xr:uid="{00000000-0005-0000-0000-000007060000}"/>
    <cellStyle name="_입찰표지 _송학하수품의(설계넣고)_번암견적의뢰(협력)_사우나최종_워터파크" xfId="3676" xr:uid="{00000000-0005-0000-0000-000008060000}"/>
    <cellStyle name="_입찰표지 _송학하수품의(설계넣고)_사우나최종" xfId="3677" xr:uid="{00000000-0005-0000-0000-000009060000}"/>
    <cellStyle name="_입찰표지 _송학하수품의(설계넣고)_사우나최종_사우나최종17" xfId="3678" xr:uid="{00000000-0005-0000-0000-00000A060000}"/>
    <cellStyle name="_입찰표지 _송학하수품의(설계넣고)_사우나최종_워터파크" xfId="3679" xr:uid="{00000000-0005-0000-0000-00000B060000}"/>
    <cellStyle name="_입찰표지 _송학하수품의(설계넣고)_적상무주IC도로(1공구)" xfId="3680" xr:uid="{00000000-0005-0000-0000-00000C060000}"/>
    <cellStyle name="_입찰표지 _송학하수품의(설계넣고)_적상무주IC도로(1공구)_사우나최종" xfId="3681" xr:uid="{00000000-0005-0000-0000-00000D060000}"/>
    <cellStyle name="_입찰표지 _송학하수품의(설계넣고)_적상무주IC도로(1공구)_사우나최종_사우나최종17" xfId="3682" xr:uid="{00000000-0005-0000-0000-00000E060000}"/>
    <cellStyle name="_입찰표지 _송학하수품의(설계넣고)_적상무주IC도로(1공구)_사우나최종_워터파크" xfId="3683" xr:uid="{00000000-0005-0000-0000-00000F060000}"/>
    <cellStyle name="_입찰표지 _예산분류 (공구구분)" xfId="541" xr:uid="{00000000-0005-0000-0000-000010060000}"/>
    <cellStyle name="_입찰표지 _예산분류 (공구구분)_(주)KCC 아산공장 위험물창고 증축공사-200684" xfId="542" xr:uid="{00000000-0005-0000-0000-000011060000}"/>
    <cellStyle name="_입찰표지 _예산분류 (공구구분)_발산 아파트 1공구 공내역" xfId="543" xr:uid="{00000000-0005-0000-0000-000012060000}"/>
    <cellStyle name="_입찰표지 _예산분류 (공구구분)_발산 아파트 1공구 공내역_(주)KCC 아산공장 위험물창고 증축공사-200684" xfId="544" xr:uid="{00000000-0005-0000-0000-000013060000}"/>
    <cellStyle name="_입찰표지 _예산분류 (공구구분)_일반 외주 공내역서 (공구구분)" xfId="545" xr:uid="{00000000-0005-0000-0000-000014060000}"/>
    <cellStyle name="_입찰표지 _예산분류 (공구구분)_일반 외주 공내역서 (공구구분)_(주)KCC 아산공장 위험물창고 증축공사-200684" xfId="546" xr:uid="{00000000-0005-0000-0000-000015060000}"/>
    <cellStyle name="_입찰표지 _예산분류 (공구구분)_일반배관 외주발주 예산분류 (공구구분)" xfId="547" xr:uid="{00000000-0005-0000-0000-000016060000}"/>
    <cellStyle name="_입찰표지 _예산분류 (공구구분)_일반배관 외주발주 예산분류 (공구구분)_(주)KCC 아산공장 위험물창고 증축공사-200684" xfId="548" xr:uid="{00000000-0005-0000-0000-000017060000}"/>
    <cellStyle name="_입찰표지 _예산분류 (공구구분)_일반배관 외주발주 예산분류 (공구구분)-1" xfId="549" xr:uid="{00000000-0005-0000-0000-000018060000}"/>
    <cellStyle name="_입찰표지 _예산분류 (공구구분)_일반배관 외주발주 예산분류 (공구구분)-1_(주)KCC 아산공장 위험물창고 증축공사-200684" xfId="550" xr:uid="{00000000-0005-0000-0000-000019060000}"/>
    <cellStyle name="_입찰표지 _이행각서" xfId="551" xr:uid="{00000000-0005-0000-0000-00001A060000}"/>
    <cellStyle name="_입찰표지 _이행각서_내역분개" xfId="552" xr:uid="{00000000-0005-0000-0000-00001B060000}"/>
    <cellStyle name="_입찰표지 _이행각서_내역분개_내역분개" xfId="553" xr:uid="{00000000-0005-0000-0000-00001C060000}"/>
    <cellStyle name="_입찰표지 _일반배관 외주발주 예산분류 (공구구분)" xfId="554" xr:uid="{00000000-0005-0000-0000-00001D060000}"/>
    <cellStyle name="_입찰표지 _일반배관 외주발주 예산분류 (공구구분)_(주)KCC 아산공장 위험물창고 증축공사-200684" xfId="555" xr:uid="{00000000-0005-0000-0000-00001E060000}"/>
    <cellStyle name="_입찰표지 _일반배관 외주발주 예산분류 (공구구분)_발산 아파트 1공구 공내역" xfId="556" xr:uid="{00000000-0005-0000-0000-00001F060000}"/>
    <cellStyle name="_입찰표지 _일반배관 외주발주 예산분류 (공구구분)_발산 아파트 1공구 공내역_(주)KCC 아산공장 위험물창고 증축공사-200684" xfId="557" xr:uid="{00000000-0005-0000-0000-000020060000}"/>
    <cellStyle name="_입찰표지 _일반배관 외주발주 예산분류 (공구구분)_일반 외주 공내역서 (공구구분)" xfId="558" xr:uid="{00000000-0005-0000-0000-000021060000}"/>
    <cellStyle name="_입찰표지 _일반배관 외주발주 예산분류 (공구구분)_일반 외주 공내역서 (공구구분)_(주)KCC 아산공장 위험물창고 증축공사-200684" xfId="559" xr:uid="{00000000-0005-0000-0000-000022060000}"/>
    <cellStyle name="_입찰표지 _일반배관 외주발주 예산분류 (공구구분)_일반배관 외주발주 예산분류 (공구구분)" xfId="560" xr:uid="{00000000-0005-0000-0000-000023060000}"/>
    <cellStyle name="_입찰표지 _일반배관 외주발주 예산분류 (공구구분)_일반배관 외주발주 예산분류 (공구구분)_(주)KCC 아산공장 위험물창고 증축공사-200684" xfId="561" xr:uid="{00000000-0005-0000-0000-000024060000}"/>
    <cellStyle name="_입찰표지 _일반배관 외주발주 예산분류 (공구구분)_일반배관 외주발주 예산분류 (공구구분)-1" xfId="562" xr:uid="{00000000-0005-0000-0000-000025060000}"/>
    <cellStyle name="_입찰표지 _일반배관 외주발주 예산분류 (공구구분)_일반배관 외주발주 예산분류 (공구구분)-1_(주)KCC 아산공장 위험물창고 증축공사-200684" xfId="563" xr:uid="{00000000-0005-0000-0000-000026060000}"/>
    <cellStyle name="_입찰표지 _적상무주IC도로(1공구)" xfId="3684" xr:uid="{00000000-0005-0000-0000-000027060000}"/>
    <cellStyle name="_입찰표지 _적상무주IC도로(1공구)_사우나최종" xfId="3685" xr:uid="{00000000-0005-0000-0000-000028060000}"/>
    <cellStyle name="_입찰표지 _적상무주IC도로(1공구)_사우나최종_사우나최종17" xfId="3686" xr:uid="{00000000-0005-0000-0000-000029060000}"/>
    <cellStyle name="_입찰표지 _적상무주IC도로(1공구)_사우나최종_워터파크" xfId="3687" xr:uid="{00000000-0005-0000-0000-00002A060000}"/>
    <cellStyle name="_입찰표지 _포기각서" xfId="564" xr:uid="{00000000-0005-0000-0000-00002B060000}"/>
    <cellStyle name="_입찰표지 _포기각서_내역분개" xfId="565" xr:uid="{00000000-0005-0000-0000-00002C060000}"/>
    <cellStyle name="_입찰표지 _포기각서_내역분개_내역분개" xfId="566" xr:uid="{00000000-0005-0000-0000-00002D060000}"/>
    <cellStyle name="_입찰표지 _현설양식" xfId="567" xr:uid="{00000000-0005-0000-0000-00002E060000}"/>
    <cellStyle name="_입찰표지 _현설양식_내역분개" xfId="568" xr:uid="{00000000-0005-0000-0000-00002F060000}"/>
    <cellStyle name="_입찰표지 _현설양식_내역분개_내역분개" xfId="569" xr:uid="{00000000-0005-0000-0000-000030060000}"/>
    <cellStyle name="_입찰표지 _현장설명" xfId="570" xr:uid="{00000000-0005-0000-0000-000031060000}"/>
    <cellStyle name="_입찰표지 _현장설명_내역분개" xfId="571" xr:uid="{00000000-0005-0000-0000-000032060000}"/>
    <cellStyle name="_입찰표지 _현장설명_내역분개_내역분개" xfId="572" xr:uid="{00000000-0005-0000-0000-000033060000}"/>
    <cellStyle name="_입찰품의" xfId="573" xr:uid="{00000000-0005-0000-0000-000034060000}"/>
    <cellStyle name="_입찰품의(HANG LUNG)" xfId="574" xr:uid="{00000000-0005-0000-0000-000035060000}"/>
    <cellStyle name="_입찰품의(HANG LUNG-Rev1)" xfId="575" xr:uid="{00000000-0005-0000-0000-000036060000}"/>
    <cellStyle name="_입찰품의(KIL)" xfId="576" xr:uid="{00000000-0005-0000-0000-000037060000}"/>
    <cellStyle name="_작업내역(전기,통신)" xfId="577" xr:uid="{00000000-0005-0000-0000-000038060000}"/>
    <cellStyle name="_적격 " xfId="578" xr:uid="{00000000-0005-0000-0000-000039060000}"/>
    <cellStyle name="_적격 _(주)KCC 아산공장 위험물창고 증축공사-200684" xfId="579" xr:uid="{00000000-0005-0000-0000-00003A060000}"/>
    <cellStyle name="_적격 _견적내역서(0530)" xfId="3688" xr:uid="{00000000-0005-0000-0000-00003B060000}"/>
    <cellStyle name="_적격 _견적내역서(0530)_견적내역서(0530)" xfId="3689" xr:uid="{00000000-0005-0000-0000-00003C060000}"/>
    <cellStyle name="_적격 _견적내역서(0530)_견적내역서(0530)_사우나최종" xfId="3690" xr:uid="{00000000-0005-0000-0000-00003D060000}"/>
    <cellStyle name="_적격 _견적내역서(0530)_견적내역서(0530)_사우나최종_사우나최종17" xfId="3691" xr:uid="{00000000-0005-0000-0000-00003E060000}"/>
    <cellStyle name="_적격 _견적내역서(0530)_견적내역서(0530)_사우나최종_워터파크" xfId="3692" xr:uid="{00000000-0005-0000-0000-00003F060000}"/>
    <cellStyle name="_적격 _견적내역서(0530)_사우나최종" xfId="3693" xr:uid="{00000000-0005-0000-0000-000040060000}"/>
    <cellStyle name="_적격 _견적내역서(0530)_사우나최종_사우나최종17" xfId="3694" xr:uid="{00000000-0005-0000-0000-000041060000}"/>
    <cellStyle name="_적격 _견적내역서(0530)_사우나최종_워터파크" xfId="3695" xr:uid="{00000000-0005-0000-0000-000042060000}"/>
    <cellStyle name="_적격 _견적내역서(0530)_청호빌딩 가)실행(6.25)" xfId="3696" xr:uid="{00000000-0005-0000-0000-000043060000}"/>
    <cellStyle name="_적격 _견적내역서(0530)_청호빌딩 가)실행(6.25)_사우나최종" xfId="3697" xr:uid="{00000000-0005-0000-0000-000044060000}"/>
    <cellStyle name="_적격 _견적내역서(0530)_청호빌딩 가)실행(6.25)_사우나최종_사우나최종17" xfId="3698" xr:uid="{00000000-0005-0000-0000-000045060000}"/>
    <cellStyle name="_적격 _견적내역서(0530)_청호빌딩 가)실행(6.25)_사우나최종_워터파크" xfId="3699" xr:uid="{00000000-0005-0000-0000-000046060000}"/>
    <cellStyle name="_적격 _광주평동실행" xfId="3700" xr:uid="{00000000-0005-0000-0000-000047060000}"/>
    <cellStyle name="_적격 _광주평동실행_번암견적의뢰(협력)" xfId="3701" xr:uid="{00000000-0005-0000-0000-000048060000}"/>
    <cellStyle name="_적격 _광주평동실행_번암견적의뢰(협력)_사우나최종" xfId="3702" xr:uid="{00000000-0005-0000-0000-000049060000}"/>
    <cellStyle name="_적격 _광주평동실행_번암견적의뢰(협력)_사우나최종_사우나최종17" xfId="3703" xr:uid="{00000000-0005-0000-0000-00004A060000}"/>
    <cellStyle name="_적격 _광주평동실행_번암견적의뢰(협력)_사우나최종_워터파크" xfId="3704" xr:uid="{00000000-0005-0000-0000-00004B060000}"/>
    <cellStyle name="_적격 _광주평동실행_사우나최종" xfId="3705" xr:uid="{00000000-0005-0000-0000-00004C060000}"/>
    <cellStyle name="_적격 _광주평동실행_사우나최종_사우나최종17" xfId="3706" xr:uid="{00000000-0005-0000-0000-00004D060000}"/>
    <cellStyle name="_적격 _광주평동실행_사우나최종_워터파크" xfId="3707" xr:uid="{00000000-0005-0000-0000-00004E060000}"/>
    <cellStyle name="_적격 _광주평동품의1" xfId="3708" xr:uid="{00000000-0005-0000-0000-00004F060000}"/>
    <cellStyle name="_적격 _광주평동품의1_무안-광주2공구(협력)수정" xfId="3709" xr:uid="{00000000-0005-0000-0000-000050060000}"/>
    <cellStyle name="_적격 _광주평동품의1_무안-광주2공구(협력)수정_사우나최종" xfId="3710" xr:uid="{00000000-0005-0000-0000-000051060000}"/>
    <cellStyle name="_적격 _광주평동품의1_무안-광주2공구(협력)수정_사우나최종_사우나최종17" xfId="3711" xr:uid="{00000000-0005-0000-0000-000052060000}"/>
    <cellStyle name="_적격 _광주평동품의1_무안-광주2공구(협력)수정_사우나최종_워터파크" xfId="3712" xr:uid="{00000000-0005-0000-0000-000053060000}"/>
    <cellStyle name="_적격 _광주평동품의1_번암견적의뢰(협력)" xfId="3713" xr:uid="{00000000-0005-0000-0000-000054060000}"/>
    <cellStyle name="_적격 _광주평동품의1_번암견적의뢰(협력)_사우나최종" xfId="3714" xr:uid="{00000000-0005-0000-0000-000055060000}"/>
    <cellStyle name="_적격 _광주평동품의1_번암견적의뢰(협력)_사우나최종_사우나최종17" xfId="3715" xr:uid="{00000000-0005-0000-0000-000056060000}"/>
    <cellStyle name="_적격 _광주평동품의1_번암견적의뢰(협력)_사우나최종_워터파크" xfId="3716" xr:uid="{00000000-0005-0000-0000-000057060000}"/>
    <cellStyle name="_적격 _광주평동품의1_사우나최종" xfId="3717" xr:uid="{00000000-0005-0000-0000-000058060000}"/>
    <cellStyle name="_적격 _광주평동품의1_사우나최종_사우나최종17" xfId="3718" xr:uid="{00000000-0005-0000-0000-000059060000}"/>
    <cellStyle name="_적격 _광주평동품의1_사우나최종_워터파크" xfId="3719" xr:uid="{00000000-0005-0000-0000-00005A060000}"/>
    <cellStyle name="_적격 _광주평동품의1_적상무주IC도로(1공구)" xfId="3720" xr:uid="{00000000-0005-0000-0000-00005B060000}"/>
    <cellStyle name="_적격 _광주평동품의1_적상무주IC도로(1공구)_사우나최종" xfId="3721" xr:uid="{00000000-0005-0000-0000-00005C060000}"/>
    <cellStyle name="_적격 _광주평동품의1_적상무주IC도로(1공구)_사우나최종_사우나최종17" xfId="3722" xr:uid="{00000000-0005-0000-0000-00005D060000}"/>
    <cellStyle name="_적격 _광주평동품의1_적상무주IC도로(1공구)_사우나최종_워터파크" xfId="3723" xr:uid="{00000000-0005-0000-0000-00005E060000}"/>
    <cellStyle name="_적격 _기장하수실행1" xfId="3724" xr:uid="{00000000-0005-0000-0000-00005F060000}"/>
    <cellStyle name="_적격 _기장하수실행1_번암견적의뢰(협력)" xfId="3725" xr:uid="{00000000-0005-0000-0000-000060060000}"/>
    <cellStyle name="_적격 _기장하수실행1_번암견적의뢰(협력)_사우나최종" xfId="3726" xr:uid="{00000000-0005-0000-0000-000061060000}"/>
    <cellStyle name="_적격 _기장하수실행1_번암견적의뢰(협력)_사우나최종_사우나최종17" xfId="3727" xr:uid="{00000000-0005-0000-0000-000062060000}"/>
    <cellStyle name="_적격 _기장하수실행1_번암견적의뢰(협력)_사우나최종_워터파크" xfId="3728" xr:uid="{00000000-0005-0000-0000-000063060000}"/>
    <cellStyle name="_적격 _기장하수실행1_사우나최종" xfId="3729" xr:uid="{00000000-0005-0000-0000-000064060000}"/>
    <cellStyle name="_적격 _기장하수실행1_사우나최종_사우나최종17" xfId="3730" xr:uid="{00000000-0005-0000-0000-000065060000}"/>
    <cellStyle name="_적격 _기장하수실행1_사우나최종_워터파크" xfId="3731" xr:uid="{00000000-0005-0000-0000-000066060000}"/>
    <cellStyle name="_적격 _내역분개" xfId="580" xr:uid="{00000000-0005-0000-0000-000067060000}"/>
    <cellStyle name="_적격 _내역분개_내역분개" xfId="581" xr:uid="{00000000-0005-0000-0000-000068060000}"/>
    <cellStyle name="_적격 _담양 창평 주택시설 부지조성사업" xfId="582" xr:uid="{00000000-0005-0000-0000-000069060000}"/>
    <cellStyle name="_적격 _무안-광주2공구(협력)수정" xfId="3732" xr:uid="{00000000-0005-0000-0000-00006A060000}"/>
    <cellStyle name="_적격 _무안-광주2공구(협력)수정_사우나최종" xfId="3733" xr:uid="{00000000-0005-0000-0000-00006B060000}"/>
    <cellStyle name="_적격 _무안-광주2공구(협력)수정_사우나최종_사우나최종17" xfId="3734" xr:uid="{00000000-0005-0000-0000-00006C060000}"/>
    <cellStyle name="_적격 _무안-광주2공구(협력)수정_사우나최종_워터파크" xfId="3735" xr:uid="{00000000-0005-0000-0000-00006D060000}"/>
    <cellStyle name="_적격 _번암견적의뢰(협력)" xfId="3736" xr:uid="{00000000-0005-0000-0000-00006E060000}"/>
    <cellStyle name="_적격 _번암견적의뢰(협력)_사우나최종" xfId="3737" xr:uid="{00000000-0005-0000-0000-00006F060000}"/>
    <cellStyle name="_적격 _번암견적의뢰(협력)_사우나최종_사우나최종17" xfId="3738" xr:uid="{00000000-0005-0000-0000-000070060000}"/>
    <cellStyle name="_적격 _번암견적의뢰(협력)_사우나최종_워터파크" xfId="3739" xr:uid="{00000000-0005-0000-0000-000071060000}"/>
    <cellStyle name="_적격 _사우나최종" xfId="3740" xr:uid="{00000000-0005-0000-0000-000072060000}"/>
    <cellStyle name="_적격 _사우나최종_사우나최종17" xfId="3741" xr:uid="{00000000-0005-0000-0000-000073060000}"/>
    <cellStyle name="_적격 _사우나최종_워터파크" xfId="3742" xr:uid="{00000000-0005-0000-0000-000074060000}"/>
    <cellStyle name="_적격 _송학실행안" xfId="3743" xr:uid="{00000000-0005-0000-0000-000075060000}"/>
    <cellStyle name="_적격 _송학실행안_번암견적의뢰(협력)" xfId="3744" xr:uid="{00000000-0005-0000-0000-000076060000}"/>
    <cellStyle name="_적격 _송학실행안_번암견적의뢰(협력)_사우나최종" xfId="3745" xr:uid="{00000000-0005-0000-0000-000077060000}"/>
    <cellStyle name="_적격 _송학실행안_번암견적의뢰(협력)_사우나최종_사우나최종17" xfId="3746" xr:uid="{00000000-0005-0000-0000-000078060000}"/>
    <cellStyle name="_적격 _송학실행안_번암견적의뢰(협력)_사우나최종_워터파크" xfId="3747" xr:uid="{00000000-0005-0000-0000-000079060000}"/>
    <cellStyle name="_적격 _송학실행안_사우나최종" xfId="3748" xr:uid="{00000000-0005-0000-0000-00007A060000}"/>
    <cellStyle name="_적격 _송학실행안_사우나최종_사우나최종17" xfId="3749" xr:uid="{00000000-0005-0000-0000-00007B060000}"/>
    <cellStyle name="_적격 _송학실행안_사우나최종_워터파크" xfId="3750" xr:uid="{00000000-0005-0000-0000-00007C060000}"/>
    <cellStyle name="_적격 _송학하수투찰" xfId="3751" xr:uid="{00000000-0005-0000-0000-00007D060000}"/>
    <cellStyle name="_적격 _송학하수투찰_번암견적의뢰(협력)" xfId="3752" xr:uid="{00000000-0005-0000-0000-00007E060000}"/>
    <cellStyle name="_적격 _송학하수투찰_번암견적의뢰(협력)_사우나최종" xfId="3753" xr:uid="{00000000-0005-0000-0000-00007F060000}"/>
    <cellStyle name="_적격 _송학하수투찰_번암견적의뢰(협력)_사우나최종_사우나최종17" xfId="3754" xr:uid="{00000000-0005-0000-0000-000080060000}"/>
    <cellStyle name="_적격 _송학하수투찰_번암견적의뢰(협력)_사우나최종_워터파크" xfId="3755" xr:uid="{00000000-0005-0000-0000-000081060000}"/>
    <cellStyle name="_적격 _송학하수투찰_사우나최종" xfId="3756" xr:uid="{00000000-0005-0000-0000-000082060000}"/>
    <cellStyle name="_적격 _송학하수투찰_사우나최종_사우나최종17" xfId="3757" xr:uid="{00000000-0005-0000-0000-000083060000}"/>
    <cellStyle name="_적격 _송학하수투찰_사우나최종_워터파크" xfId="3758" xr:uid="{00000000-0005-0000-0000-000084060000}"/>
    <cellStyle name="_적격 _송학하수품의(설계넣고)" xfId="3759" xr:uid="{00000000-0005-0000-0000-000085060000}"/>
    <cellStyle name="_적격 _송학하수품의(설계넣고)_무안-광주2공구(협력)수정" xfId="3760" xr:uid="{00000000-0005-0000-0000-000086060000}"/>
    <cellStyle name="_적격 _송학하수품의(설계넣고)_무안-광주2공구(협력)수정_사우나최종" xfId="3761" xr:uid="{00000000-0005-0000-0000-000087060000}"/>
    <cellStyle name="_적격 _송학하수품의(설계넣고)_무안-광주2공구(협력)수정_사우나최종_사우나최종17" xfId="3762" xr:uid="{00000000-0005-0000-0000-000088060000}"/>
    <cellStyle name="_적격 _송학하수품의(설계넣고)_무안-광주2공구(협력)수정_사우나최종_워터파크" xfId="3763" xr:uid="{00000000-0005-0000-0000-000089060000}"/>
    <cellStyle name="_적격 _송학하수품의(설계넣고)_번암견적의뢰(협력)" xfId="3764" xr:uid="{00000000-0005-0000-0000-00008A060000}"/>
    <cellStyle name="_적격 _송학하수품의(설계넣고)_번암견적의뢰(협력)_사우나최종" xfId="3765" xr:uid="{00000000-0005-0000-0000-00008B060000}"/>
    <cellStyle name="_적격 _송학하수품의(설계넣고)_번암견적의뢰(협력)_사우나최종_사우나최종17" xfId="3766" xr:uid="{00000000-0005-0000-0000-00008C060000}"/>
    <cellStyle name="_적격 _송학하수품의(설계넣고)_번암견적의뢰(협력)_사우나최종_워터파크" xfId="3767" xr:uid="{00000000-0005-0000-0000-00008D060000}"/>
    <cellStyle name="_적격 _송학하수품의(설계넣고)_사우나최종" xfId="3768" xr:uid="{00000000-0005-0000-0000-00008E060000}"/>
    <cellStyle name="_적격 _송학하수품의(설계넣고)_사우나최종_사우나최종17" xfId="3769" xr:uid="{00000000-0005-0000-0000-00008F060000}"/>
    <cellStyle name="_적격 _송학하수품의(설계넣고)_사우나최종_워터파크" xfId="3770" xr:uid="{00000000-0005-0000-0000-000090060000}"/>
    <cellStyle name="_적격 _송학하수품의(설계넣고)_적상무주IC도로(1공구)" xfId="3771" xr:uid="{00000000-0005-0000-0000-000091060000}"/>
    <cellStyle name="_적격 _송학하수품의(설계넣고)_적상무주IC도로(1공구)_사우나최종" xfId="3772" xr:uid="{00000000-0005-0000-0000-000092060000}"/>
    <cellStyle name="_적격 _송학하수품의(설계넣고)_적상무주IC도로(1공구)_사우나최종_사우나최종17" xfId="3773" xr:uid="{00000000-0005-0000-0000-000093060000}"/>
    <cellStyle name="_적격 _송학하수품의(설계넣고)_적상무주IC도로(1공구)_사우나최종_워터파크" xfId="3774" xr:uid="{00000000-0005-0000-0000-000094060000}"/>
    <cellStyle name="_적격 _예산분류 (공구구분)" xfId="583" xr:uid="{00000000-0005-0000-0000-000095060000}"/>
    <cellStyle name="_적격 _예산분류 (공구구분)_(주)KCC 아산공장 위험물창고 증축공사-200684" xfId="584" xr:uid="{00000000-0005-0000-0000-000096060000}"/>
    <cellStyle name="_적격 _예산분류 (공구구분)_발산 아파트 1공구 공내역" xfId="585" xr:uid="{00000000-0005-0000-0000-000097060000}"/>
    <cellStyle name="_적격 _예산분류 (공구구분)_발산 아파트 1공구 공내역_(주)KCC 아산공장 위험물창고 증축공사-200684" xfId="586" xr:uid="{00000000-0005-0000-0000-000098060000}"/>
    <cellStyle name="_적격 _예산분류 (공구구분)_일반 외주 공내역서 (공구구분)" xfId="587" xr:uid="{00000000-0005-0000-0000-000099060000}"/>
    <cellStyle name="_적격 _예산분류 (공구구분)_일반 외주 공내역서 (공구구분)_(주)KCC 아산공장 위험물창고 증축공사-200684" xfId="588" xr:uid="{00000000-0005-0000-0000-00009A060000}"/>
    <cellStyle name="_적격 _예산분류 (공구구분)_일반배관 외주발주 예산분류 (공구구분)" xfId="589" xr:uid="{00000000-0005-0000-0000-00009B060000}"/>
    <cellStyle name="_적격 _예산분류 (공구구분)_일반배관 외주발주 예산분류 (공구구분)_(주)KCC 아산공장 위험물창고 증축공사-200684" xfId="590" xr:uid="{00000000-0005-0000-0000-00009C060000}"/>
    <cellStyle name="_적격 _예산분류 (공구구분)_일반배관 외주발주 예산분류 (공구구분)-1" xfId="591" xr:uid="{00000000-0005-0000-0000-00009D060000}"/>
    <cellStyle name="_적격 _예산분류 (공구구분)_일반배관 외주발주 예산분류 (공구구분)-1_(주)KCC 아산공장 위험물창고 증축공사-200684" xfId="592" xr:uid="{00000000-0005-0000-0000-00009E060000}"/>
    <cellStyle name="_적격 _일반배관 외주발주 예산분류 (공구구분)" xfId="593" xr:uid="{00000000-0005-0000-0000-00009F060000}"/>
    <cellStyle name="_적격 _일반배관 외주발주 예산분류 (공구구분)_(주)KCC 아산공장 위험물창고 증축공사-200684" xfId="594" xr:uid="{00000000-0005-0000-0000-0000A0060000}"/>
    <cellStyle name="_적격 _일반배관 외주발주 예산분류 (공구구분)_발산 아파트 1공구 공내역" xfId="595" xr:uid="{00000000-0005-0000-0000-0000A1060000}"/>
    <cellStyle name="_적격 _일반배관 외주발주 예산분류 (공구구분)_발산 아파트 1공구 공내역_(주)KCC 아산공장 위험물창고 증축공사-200684" xfId="596" xr:uid="{00000000-0005-0000-0000-0000A2060000}"/>
    <cellStyle name="_적격 _일반배관 외주발주 예산분류 (공구구분)_일반 외주 공내역서 (공구구분)" xfId="597" xr:uid="{00000000-0005-0000-0000-0000A3060000}"/>
    <cellStyle name="_적격 _일반배관 외주발주 예산분류 (공구구분)_일반 외주 공내역서 (공구구분)_(주)KCC 아산공장 위험물창고 증축공사-200684" xfId="598" xr:uid="{00000000-0005-0000-0000-0000A4060000}"/>
    <cellStyle name="_적격 _일반배관 외주발주 예산분류 (공구구분)_일반배관 외주발주 예산분류 (공구구분)" xfId="599" xr:uid="{00000000-0005-0000-0000-0000A5060000}"/>
    <cellStyle name="_적격 _일반배관 외주발주 예산분류 (공구구분)_일반배관 외주발주 예산분류 (공구구분)_(주)KCC 아산공장 위험물창고 증축공사-200684" xfId="600" xr:uid="{00000000-0005-0000-0000-0000A6060000}"/>
    <cellStyle name="_적격 _일반배관 외주발주 예산분류 (공구구분)_일반배관 외주발주 예산분류 (공구구분)-1" xfId="601" xr:uid="{00000000-0005-0000-0000-0000A7060000}"/>
    <cellStyle name="_적격 _일반배관 외주발주 예산분류 (공구구분)_일반배관 외주발주 예산분류 (공구구분)-1_(주)KCC 아산공장 위험물창고 증축공사-200684" xfId="602" xr:uid="{00000000-0005-0000-0000-0000A8060000}"/>
    <cellStyle name="_적격 _적상무주IC도로(1공구)" xfId="3775" xr:uid="{00000000-0005-0000-0000-0000A9060000}"/>
    <cellStyle name="_적격 _적상무주IC도로(1공구)_사우나최종" xfId="3776" xr:uid="{00000000-0005-0000-0000-0000AA060000}"/>
    <cellStyle name="_적격 _적상무주IC도로(1공구)_사우나최종_사우나최종17" xfId="3777" xr:uid="{00000000-0005-0000-0000-0000AB060000}"/>
    <cellStyle name="_적격 _적상무주IC도로(1공구)_사우나최종_워터파크" xfId="3778" xr:uid="{00000000-0005-0000-0000-0000AC060000}"/>
    <cellStyle name="_적격 _집행갑지 " xfId="603" xr:uid="{00000000-0005-0000-0000-0000AD060000}"/>
    <cellStyle name="_적격 _집행갑지 _(주)KCC 아산공장 위험물창고 증축공사-200684" xfId="604" xr:uid="{00000000-0005-0000-0000-0000AE060000}"/>
    <cellStyle name="_적격 _집행갑지 _광주평동실행" xfId="3779" xr:uid="{00000000-0005-0000-0000-0000AF060000}"/>
    <cellStyle name="_적격 _집행갑지 _광주평동실행_번암견적의뢰(협력)" xfId="3780" xr:uid="{00000000-0005-0000-0000-0000B0060000}"/>
    <cellStyle name="_적격 _집행갑지 _광주평동실행_번암견적의뢰(협력)_사우나최종" xfId="3781" xr:uid="{00000000-0005-0000-0000-0000B1060000}"/>
    <cellStyle name="_적격 _집행갑지 _광주평동실행_번암견적의뢰(협력)_사우나최종_사우나최종17" xfId="3782" xr:uid="{00000000-0005-0000-0000-0000B2060000}"/>
    <cellStyle name="_적격 _집행갑지 _광주평동실행_번암견적의뢰(협력)_사우나최종_워터파크" xfId="3783" xr:uid="{00000000-0005-0000-0000-0000B3060000}"/>
    <cellStyle name="_적격 _집행갑지 _광주평동실행_사우나최종" xfId="3784" xr:uid="{00000000-0005-0000-0000-0000B4060000}"/>
    <cellStyle name="_적격 _집행갑지 _광주평동실행_사우나최종_사우나최종17" xfId="3785" xr:uid="{00000000-0005-0000-0000-0000B5060000}"/>
    <cellStyle name="_적격 _집행갑지 _광주평동실행_사우나최종_워터파크" xfId="3786" xr:uid="{00000000-0005-0000-0000-0000B6060000}"/>
    <cellStyle name="_적격 _집행갑지 _광주평동품의1" xfId="3787" xr:uid="{00000000-0005-0000-0000-0000B7060000}"/>
    <cellStyle name="_적격 _집행갑지 _광주평동품의1_무안-광주2공구(협력)수정" xfId="3788" xr:uid="{00000000-0005-0000-0000-0000B8060000}"/>
    <cellStyle name="_적격 _집행갑지 _광주평동품의1_무안-광주2공구(협력)수정_사우나최종" xfId="3789" xr:uid="{00000000-0005-0000-0000-0000B9060000}"/>
    <cellStyle name="_적격 _집행갑지 _광주평동품의1_무안-광주2공구(협력)수정_사우나최종_사우나최종17" xfId="3790" xr:uid="{00000000-0005-0000-0000-0000BA060000}"/>
    <cellStyle name="_적격 _집행갑지 _광주평동품의1_무안-광주2공구(협력)수정_사우나최종_워터파크" xfId="3791" xr:uid="{00000000-0005-0000-0000-0000BB060000}"/>
    <cellStyle name="_적격 _집행갑지 _광주평동품의1_번암견적의뢰(협력)" xfId="3792" xr:uid="{00000000-0005-0000-0000-0000BC060000}"/>
    <cellStyle name="_적격 _집행갑지 _광주평동품의1_번암견적의뢰(협력)_사우나최종" xfId="3793" xr:uid="{00000000-0005-0000-0000-0000BD060000}"/>
    <cellStyle name="_적격 _집행갑지 _광주평동품의1_번암견적의뢰(협력)_사우나최종_사우나최종17" xfId="3794" xr:uid="{00000000-0005-0000-0000-0000BE060000}"/>
    <cellStyle name="_적격 _집행갑지 _광주평동품의1_번암견적의뢰(협력)_사우나최종_워터파크" xfId="3795" xr:uid="{00000000-0005-0000-0000-0000BF060000}"/>
    <cellStyle name="_적격 _집행갑지 _광주평동품의1_사우나최종" xfId="3796" xr:uid="{00000000-0005-0000-0000-0000C0060000}"/>
    <cellStyle name="_적격 _집행갑지 _광주평동품의1_사우나최종_사우나최종17" xfId="3797" xr:uid="{00000000-0005-0000-0000-0000C1060000}"/>
    <cellStyle name="_적격 _집행갑지 _광주평동품의1_사우나최종_워터파크" xfId="3798" xr:uid="{00000000-0005-0000-0000-0000C2060000}"/>
    <cellStyle name="_적격 _집행갑지 _광주평동품의1_적상무주IC도로(1공구)" xfId="3799" xr:uid="{00000000-0005-0000-0000-0000C3060000}"/>
    <cellStyle name="_적격 _집행갑지 _광주평동품의1_적상무주IC도로(1공구)_사우나최종" xfId="3800" xr:uid="{00000000-0005-0000-0000-0000C4060000}"/>
    <cellStyle name="_적격 _집행갑지 _광주평동품의1_적상무주IC도로(1공구)_사우나최종_사우나최종17" xfId="3801" xr:uid="{00000000-0005-0000-0000-0000C5060000}"/>
    <cellStyle name="_적격 _집행갑지 _광주평동품의1_적상무주IC도로(1공구)_사우나최종_워터파크" xfId="3802" xr:uid="{00000000-0005-0000-0000-0000C6060000}"/>
    <cellStyle name="_적격 _집행갑지 _기장하수실행1" xfId="3803" xr:uid="{00000000-0005-0000-0000-0000C7060000}"/>
    <cellStyle name="_적격 _집행갑지 _기장하수실행1_번암견적의뢰(협력)" xfId="3804" xr:uid="{00000000-0005-0000-0000-0000C8060000}"/>
    <cellStyle name="_적격 _집행갑지 _기장하수실행1_번암견적의뢰(협력)_사우나최종" xfId="3805" xr:uid="{00000000-0005-0000-0000-0000C9060000}"/>
    <cellStyle name="_적격 _집행갑지 _기장하수실행1_번암견적의뢰(협력)_사우나최종_사우나최종17" xfId="3806" xr:uid="{00000000-0005-0000-0000-0000CA060000}"/>
    <cellStyle name="_적격 _집행갑지 _기장하수실행1_번암견적의뢰(협력)_사우나최종_워터파크" xfId="3807" xr:uid="{00000000-0005-0000-0000-0000CB060000}"/>
    <cellStyle name="_적격 _집행갑지 _기장하수실행1_사우나최종" xfId="3808" xr:uid="{00000000-0005-0000-0000-0000CC060000}"/>
    <cellStyle name="_적격 _집행갑지 _기장하수실행1_사우나최종_사우나최종17" xfId="3809" xr:uid="{00000000-0005-0000-0000-0000CD060000}"/>
    <cellStyle name="_적격 _집행갑지 _기장하수실행1_사우나최종_워터파크" xfId="3810" xr:uid="{00000000-0005-0000-0000-0000CE060000}"/>
    <cellStyle name="_적격 _집행갑지 _내역분개" xfId="605" xr:uid="{00000000-0005-0000-0000-0000CF060000}"/>
    <cellStyle name="_적격 _집행갑지 _내역분개_내역분개" xfId="606" xr:uid="{00000000-0005-0000-0000-0000D0060000}"/>
    <cellStyle name="_적격 _집행갑지 _담양 창평 주택시설 부지조성사업" xfId="607" xr:uid="{00000000-0005-0000-0000-0000D1060000}"/>
    <cellStyle name="_적격 _집행갑지 _무안-광주2공구(협력)수정" xfId="3811" xr:uid="{00000000-0005-0000-0000-0000D2060000}"/>
    <cellStyle name="_적격 _집행갑지 _무안-광주2공구(협력)수정_사우나최종" xfId="3812" xr:uid="{00000000-0005-0000-0000-0000D3060000}"/>
    <cellStyle name="_적격 _집행갑지 _무안-광주2공구(협력)수정_사우나최종_사우나최종17" xfId="3813" xr:uid="{00000000-0005-0000-0000-0000D4060000}"/>
    <cellStyle name="_적격 _집행갑지 _무안-광주2공구(협력)수정_사우나최종_워터파크" xfId="3814" xr:uid="{00000000-0005-0000-0000-0000D5060000}"/>
    <cellStyle name="_적격 _집행갑지 _번암견적의뢰(협력)" xfId="3815" xr:uid="{00000000-0005-0000-0000-0000D6060000}"/>
    <cellStyle name="_적격 _집행갑지 _번암견적의뢰(협력)_사우나최종" xfId="3816" xr:uid="{00000000-0005-0000-0000-0000D7060000}"/>
    <cellStyle name="_적격 _집행갑지 _번암견적의뢰(협력)_사우나최종_사우나최종17" xfId="3817" xr:uid="{00000000-0005-0000-0000-0000D8060000}"/>
    <cellStyle name="_적격 _집행갑지 _번암견적의뢰(협력)_사우나최종_워터파크" xfId="3818" xr:uid="{00000000-0005-0000-0000-0000D9060000}"/>
    <cellStyle name="_적격 _집행갑지 _사우나최종" xfId="3819" xr:uid="{00000000-0005-0000-0000-0000DA060000}"/>
    <cellStyle name="_적격 _집행갑지 _사우나최종_사우나최종17" xfId="3820" xr:uid="{00000000-0005-0000-0000-0000DB060000}"/>
    <cellStyle name="_적격 _집행갑지 _사우나최종_워터파크" xfId="3821" xr:uid="{00000000-0005-0000-0000-0000DC060000}"/>
    <cellStyle name="_적격 _집행갑지 _송학실행안" xfId="3822" xr:uid="{00000000-0005-0000-0000-0000DD060000}"/>
    <cellStyle name="_적격 _집행갑지 _송학실행안_번암견적의뢰(협력)" xfId="3823" xr:uid="{00000000-0005-0000-0000-0000DE060000}"/>
    <cellStyle name="_적격 _집행갑지 _송학실행안_번암견적의뢰(협력)_사우나최종" xfId="3824" xr:uid="{00000000-0005-0000-0000-0000DF060000}"/>
    <cellStyle name="_적격 _집행갑지 _송학실행안_번암견적의뢰(협력)_사우나최종_사우나최종17" xfId="3825" xr:uid="{00000000-0005-0000-0000-0000E0060000}"/>
    <cellStyle name="_적격 _집행갑지 _송학실행안_번암견적의뢰(협력)_사우나최종_워터파크" xfId="3826" xr:uid="{00000000-0005-0000-0000-0000E1060000}"/>
    <cellStyle name="_적격 _집행갑지 _송학실행안_사우나최종" xfId="3827" xr:uid="{00000000-0005-0000-0000-0000E2060000}"/>
    <cellStyle name="_적격 _집행갑지 _송학실행안_사우나최종_사우나최종17" xfId="3828" xr:uid="{00000000-0005-0000-0000-0000E3060000}"/>
    <cellStyle name="_적격 _집행갑지 _송학실행안_사우나최종_워터파크" xfId="3829" xr:uid="{00000000-0005-0000-0000-0000E4060000}"/>
    <cellStyle name="_적격 _집행갑지 _송학하수투찰" xfId="3830" xr:uid="{00000000-0005-0000-0000-0000E5060000}"/>
    <cellStyle name="_적격 _집행갑지 _송학하수투찰_번암견적의뢰(협력)" xfId="3831" xr:uid="{00000000-0005-0000-0000-0000E6060000}"/>
    <cellStyle name="_적격 _집행갑지 _송학하수투찰_번암견적의뢰(협력)_사우나최종" xfId="3832" xr:uid="{00000000-0005-0000-0000-0000E7060000}"/>
    <cellStyle name="_적격 _집행갑지 _송학하수투찰_번암견적의뢰(협력)_사우나최종_사우나최종17" xfId="3833" xr:uid="{00000000-0005-0000-0000-0000E8060000}"/>
    <cellStyle name="_적격 _집행갑지 _송학하수투찰_번암견적의뢰(협력)_사우나최종_워터파크" xfId="3834" xr:uid="{00000000-0005-0000-0000-0000E9060000}"/>
    <cellStyle name="_적격 _집행갑지 _송학하수투찰_사우나최종" xfId="3835" xr:uid="{00000000-0005-0000-0000-0000EA060000}"/>
    <cellStyle name="_적격 _집행갑지 _송학하수투찰_사우나최종_사우나최종17" xfId="3836" xr:uid="{00000000-0005-0000-0000-0000EB060000}"/>
    <cellStyle name="_적격 _집행갑지 _송학하수투찰_사우나최종_워터파크" xfId="3837" xr:uid="{00000000-0005-0000-0000-0000EC060000}"/>
    <cellStyle name="_적격 _집행갑지 _송학하수품의(설계넣고)" xfId="3838" xr:uid="{00000000-0005-0000-0000-0000ED060000}"/>
    <cellStyle name="_적격 _집행갑지 _송학하수품의(설계넣고)_무안-광주2공구(협력)수정" xfId="3839" xr:uid="{00000000-0005-0000-0000-0000EE060000}"/>
    <cellStyle name="_적격 _집행갑지 _송학하수품의(설계넣고)_무안-광주2공구(협력)수정_사우나최종" xfId="3840" xr:uid="{00000000-0005-0000-0000-0000EF060000}"/>
    <cellStyle name="_적격 _집행갑지 _송학하수품의(설계넣고)_무안-광주2공구(협력)수정_사우나최종_사우나최종17" xfId="3841" xr:uid="{00000000-0005-0000-0000-0000F0060000}"/>
    <cellStyle name="_적격 _집행갑지 _송학하수품의(설계넣고)_무안-광주2공구(협력)수정_사우나최종_워터파크" xfId="3842" xr:uid="{00000000-0005-0000-0000-0000F1060000}"/>
    <cellStyle name="_적격 _집행갑지 _송학하수품의(설계넣고)_번암견적의뢰(협력)" xfId="3843" xr:uid="{00000000-0005-0000-0000-0000F2060000}"/>
    <cellStyle name="_적격 _집행갑지 _송학하수품의(설계넣고)_번암견적의뢰(협력)_사우나최종" xfId="3844" xr:uid="{00000000-0005-0000-0000-0000F3060000}"/>
    <cellStyle name="_적격 _집행갑지 _송학하수품의(설계넣고)_번암견적의뢰(협력)_사우나최종_사우나최종17" xfId="3845" xr:uid="{00000000-0005-0000-0000-0000F4060000}"/>
    <cellStyle name="_적격 _집행갑지 _송학하수품의(설계넣고)_번암견적의뢰(협력)_사우나최종_워터파크" xfId="3846" xr:uid="{00000000-0005-0000-0000-0000F5060000}"/>
    <cellStyle name="_적격 _집행갑지 _송학하수품의(설계넣고)_사우나최종" xfId="3847" xr:uid="{00000000-0005-0000-0000-0000F6060000}"/>
    <cellStyle name="_적격 _집행갑지 _송학하수품의(설계넣고)_사우나최종_사우나최종17" xfId="3848" xr:uid="{00000000-0005-0000-0000-0000F7060000}"/>
    <cellStyle name="_적격 _집행갑지 _송학하수품의(설계넣고)_사우나최종_워터파크" xfId="3849" xr:uid="{00000000-0005-0000-0000-0000F8060000}"/>
    <cellStyle name="_적격 _집행갑지 _송학하수품의(설계넣고)_적상무주IC도로(1공구)" xfId="3850" xr:uid="{00000000-0005-0000-0000-0000F9060000}"/>
    <cellStyle name="_적격 _집행갑지 _송학하수품의(설계넣고)_적상무주IC도로(1공구)_사우나최종" xfId="3851" xr:uid="{00000000-0005-0000-0000-0000FA060000}"/>
    <cellStyle name="_적격 _집행갑지 _송학하수품의(설계넣고)_적상무주IC도로(1공구)_사우나최종_사우나최종17" xfId="3852" xr:uid="{00000000-0005-0000-0000-0000FB060000}"/>
    <cellStyle name="_적격 _집행갑지 _송학하수품의(설계넣고)_적상무주IC도로(1공구)_사우나최종_워터파크" xfId="3853" xr:uid="{00000000-0005-0000-0000-0000FC060000}"/>
    <cellStyle name="_적격 _집행갑지 _예산분류 (공구구분)" xfId="608" xr:uid="{00000000-0005-0000-0000-0000FD060000}"/>
    <cellStyle name="_적격 _집행갑지 _예산분류 (공구구분)_(주)KCC 아산공장 위험물창고 증축공사-200684" xfId="609" xr:uid="{00000000-0005-0000-0000-0000FE060000}"/>
    <cellStyle name="_적격 _집행갑지 _예산분류 (공구구분)_발산 아파트 1공구 공내역" xfId="610" xr:uid="{00000000-0005-0000-0000-0000FF060000}"/>
    <cellStyle name="_적격 _집행갑지 _예산분류 (공구구분)_발산 아파트 1공구 공내역_(주)KCC 아산공장 위험물창고 증축공사-200684" xfId="611" xr:uid="{00000000-0005-0000-0000-000000070000}"/>
    <cellStyle name="_적격 _집행갑지 _예산분류 (공구구분)_일반 외주 공내역서 (공구구분)" xfId="612" xr:uid="{00000000-0005-0000-0000-000001070000}"/>
    <cellStyle name="_적격 _집행갑지 _예산분류 (공구구분)_일반 외주 공내역서 (공구구분)_(주)KCC 아산공장 위험물창고 증축공사-200684" xfId="613" xr:uid="{00000000-0005-0000-0000-000002070000}"/>
    <cellStyle name="_적격 _집행갑지 _예산분류 (공구구분)_일반배관 외주발주 예산분류 (공구구분)" xfId="614" xr:uid="{00000000-0005-0000-0000-000003070000}"/>
    <cellStyle name="_적격 _집행갑지 _예산분류 (공구구분)_일반배관 외주발주 예산분류 (공구구분)_(주)KCC 아산공장 위험물창고 증축공사-200684" xfId="615" xr:uid="{00000000-0005-0000-0000-000004070000}"/>
    <cellStyle name="_적격 _집행갑지 _예산분류 (공구구분)_일반배관 외주발주 예산분류 (공구구분)-1" xfId="616" xr:uid="{00000000-0005-0000-0000-000005070000}"/>
    <cellStyle name="_적격 _집행갑지 _예산분류 (공구구분)_일반배관 외주발주 예산분류 (공구구분)-1_(주)KCC 아산공장 위험물창고 증축공사-200684" xfId="617" xr:uid="{00000000-0005-0000-0000-000006070000}"/>
    <cellStyle name="_적격 _집행갑지 _일반배관 외주발주 예산분류 (공구구분)" xfId="618" xr:uid="{00000000-0005-0000-0000-000007070000}"/>
    <cellStyle name="_적격 _집행갑지 _일반배관 외주발주 예산분류 (공구구분)_(주)KCC 아산공장 위험물창고 증축공사-200684" xfId="619" xr:uid="{00000000-0005-0000-0000-000008070000}"/>
    <cellStyle name="_적격 _집행갑지 _일반배관 외주발주 예산분류 (공구구분)_발산 아파트 1공구 공내역" xfId="620" xr:uid="{00000000-0005-0000-0000-000009070000}"/>
    <cellStyle name="_적격 _집행갑지 _일반배관 외주발주 예산분류 (공구구분)_발산 아파트 1공구 공내역_(주)KCC 아산공장 위험물창고 증축공사-200684" xfId="621" xr:uid="{00000000-0005-0000-0000-00000A070000}"/>
    <cellStyle name="_적격 _집행갑지 _일반배관 외주발주 예산분류 (공구구분)_일반 외주 공내역서 (공구구분)" xfId="622" xr:uid="{00000000-0005-0000-0000-00000B070000}"/>
    <cellStyle name="_적격 _집행갑지 _일반배관 외주발주 예산분류 (공구구분)_일반 외주 공내역서 (공구구분)_(주)KCC 아산공장 위험물창고 증축공사-200684" xfId="623" xr:uid="{00000000-0005-0000-0000-00000C070000}"/>
    <cellStyle name="_적격 _집행갑지 _일반배관 외주발주 예산분류 (공구구분)_일반배관 외주발주 예산분류 (공구구분)" xfId="624" xr:uid="{00000000-0005-0000-0000-00000D070000}"/>
    <cellStyle name="_적격 _집행갑지 _일반배관 외주발주 예산분류 (공구구분)_일반배관 외주발주 예산분류 (공구구분)_(주)KCC 아산공장 위험물창고 증축공사-200684" xfId="625" xr:uid="{00000000-0005-0000-0000-00000E070000}"/>
    <cellStyle name="_적격 _집행갑지 _일반배관 외주발주 예산분류 (공구구분)_일반배관 외주발주 예산분류 (공구구분)-1" xfId="626" xr:uid="{00000000-0005-0000-0000-00000F070000}"/>
    <cellStyle name="_적격 _집행갑지 _일반배관 외주발주 예산분류 (공구구분)_일반배관 외주발주 예산분류 (공구구분)-1_(주)KCC 아산공장 위험물창고 증축공사-200684" xfId="627" xr:uid="{00000000-0005-0000-0000-000010070000}"/>
    <cellStyle name="_적격 _집행갑지 _적상무주IC도로(1공구)" xfId="3854" xr:uid="{00000000-0005-0000-0000-000011070000}"/>
    <cellStyle name="_적격 _집행갑지 _적상무주IC도로(1공구)_사우나최종" xfId="3855" xr:uid="{00000000-0005-0000-0000-000012070000}"/>
    <cellStyle name="_적격 _집행갑지 _적상무주IC도로(1공구)_사우나최종_사우나최종17" xfId="3856" xr:uid="{00000000-0005-0000-0000-000013070000}"/>
    <cellStyle name="_적격 _집행갑지 _적상무주IC도로(1공구)_사우나최종_워터파크" xfId="3857" xr:uid="{00000000-0005-0000-0000-000014070000}"/>
    <cellStyle name="_적격(화산) " xfId="628" xr:uid="{00000000-0005-0000-0000-000015070000}"/>
    <cellStyle name="_적격(화산) _(주)KCC 아산공장 위험물창고 증축공사-200684" xfId="629" xr:uid="{00000000-0005-0000-0000-000016070000}"/>
    <cellStyle name="_적격(화산) _검암2차사전공사(본사검토) " xfId="3858" xr:uid="{00000000-0005-0000-0000-000017070000}"/>
    <cellStyle name="_적격(화산) _검암2차사전공사(본사검토) _사우나최종" xfId="3859" xr:uid="{00000000-0005-0000-0000-000018070000}"/>
    <cellStyle name="_적격(화산) _검암2차사전공사(본사검토) _사우나최종_사우나최종17" xfId="3860" xr:uid="{00000000-0005-0000-0000-000019070000}"/>
    <cellStyle name="_적격(화산) _검암2차사전공사(본사검토) _사우나최종_워터파크" xfId="3861" xr:uid="{00000000-0005-0000-0000-00001A070000}"/>
    <cellStyle name="_적격(화산) _견적내역서(0530)" xfId="3862" xr:uid="{00000000-0005-0000-0000-00001B070000}"/>
    <cellStyle name="_적격(화산) _견적내역서(0530)_견적내역서(0530)" xfId="3863" xr:uid="{00000000-0005-0000-0000-00001C070000}"/>
    <cellStyle name="_적격(화산) _견적내역서(0530)_견적내역서(0530)_사우나최종" xfId="3864" xr:uid="{00000000-0005-0000-0000-00001D070000}"/>
    <cellStyle name="_적격(화산) _견적내역서(0530)_견적내역서(0530)_사우나최종_사우나최종17" xfId="3865" xr:uid="{00000000-0005-0000-0000-00001E070000}"/>
    <cellStyle name="_적격(화산) _견적내역서(0530)_견적내역서(0530)_사우나최종_워터파크" xfId="3866" xr:uid="{00000000-0005-0000-0000-00001F070000}"/>
    <cellStyle name="_적격(화산) _견적내역서(0530)_사우나최종" xfId="3867" xr:uid="{00000000-0005-0000-0000-000020070000}"/>
    <cellStyle name="_적격(화산) _견적내역서(0530)_사우나최종_사우나최종17" xfId="3868" xr:uid="{00000000-0005-0000-0000-000021070000}"/>
    <cellStyle name="_적격(화산) _견적내역서(0530)_사우나최종_워터파크" xfId="3869" xr:uid="{00000000-0005-0000-0000-000022070000}"/>
    <cellStyle name="_적격(화산) _견적내역서(0530)_청호빌딩 가)실행(6.25)" xfId="3870" xr:uid="{00000000-0005-0000-0000-000023070000}"/>
    <cellStyle name="_적격(화산) _견적내역서(0530)_청호빌딩 가)실행(6.25)_사우나최종" xfId="3871" xr:uid="{00000000-0005-0000-0000-000024070000}"/>
    <cellStyle name="_적격(화산) _견적내역서(0530)_청호빌딩 가)실행(6.25)_사우나최종_사우나최종17" xfId="3872" xr:uid="{00000000-0005-0000-0000-000025070000}"/>
    <cellStyle name="_적격(화산) _견적내역서(0530)_청호빌딩 가)실행(6.25)_사우나최종_워터파크" xfId="3873" xr:uid="{00000000-0005-0000-0000-000026070000}"/>
    <cellStyle name="_적격(화산) _광주평동실행" xfId="3874" xr:uid="{00000000-0005-0000-0000-000027070000}"/>
    <cellStyle name="_적격(화산) _광주평동실행_번암견적의뢰(협력)" xfId="3875" xr:uid="{00000000-0005-0000-0000-000028070000}"/>
    <cellStyle name="_적격(화산) _광주평동실행_번암견적의뢰(협력)_사우나최종" xfId="3876" xr:uid="{00000000-0005-0000-0000-000029070000}"/>
    <cellStyle name="_적격(화산) _광주평동실행_번암견적의뢰(협력)_사우나최종_사우나최종17" xfId="3877" xr:uid="{00000000-0005-0000-0000-00002A070000}"/>
    <cellStyle name="_적격(화산) _광주평동실행_번암견적의뢰(협력)_사우나최종_워터파크" xfId="3878" xr:uid="{00000000-0005-0000-0000-00002B070000}"/>
    <cellStyle name="_적격(화산) _광주평동실행_사우나최종" xfId="3879" xr:uid="{00000000-0005-0000-0000-00002C070000}"/>
    <cellStyle name="_적격(화산) _광주평동실행_사우나최종_사우나최종17" xfId="3880" xr:uid="{00000000-0005-0000-0000-00002D070000}"/>
    <cellStyle name="_적격(화산) _광주평동실행_사우나최종_워터파크" xfId="3881" xr:uid="{00000000-0005-0000-0000-00002E070000}"/>
    <cellStyle name="_적격(화산) _광주평동품의1" xfId="3882" xr:uid="{00000000-0005-0000-0000-00002F070000}"/>
    <cellStyle name="_적격(화산) _광주평동품의1_무안-광주2공구(협력)수정" xfId="3883" xr:uid="{00000000-0005-0000-0000-000030070000}"/>
    <cellStyle name="_적격(화산) _광주평동품의1_무안-광주2공구(협력)수정_사우나최종" xfId="3884" xr:uid="{00000000-0005-0000-0000-000031070000}"/>
    <cellStyle name="_적격(화산) _광주평동품의1_무안-광주2공구(협력)수정_사우나최종_사우나최종17" xfId="3885" xr:uid="{00000000-0005-0000-0000-000032070000}"/>
    <cellStyle name="_적격(화산) _광주평동품의1_무안-광주2공구(협력)수정_사우나최종_워터파크" xfId="3886" xr:uid="{00000000-0005-0000-0000-000033070000}"/>
    <cellStyle name="_적격(화산) _광주평동품의1_번암견적의뢰(협력)" xfId="3887" xr:uid="{00000000-0005-0000-0000-000034070000}"/>
    <cellStyle name="_적격(화산) _광주평동품의1_번암견적의뢰(협력)_사우나최종" xfId="3888" xr:uid="{00000000-0005-0000-0000-000035070000}"/>
    <cellStyle name="_적격(화산) _광주평동품의1_번암견적의뢰(협력)_사우나최종_사우나최종17" xfId="3889" xr:uid="{00000000-0005-0000-0000-000036070000}"/>
    <cellStyle name="_적격(화산) _광주평동품의1_번암견적의뢰(협력)_사우나최종_워터파크" xfId="3890" xr:uid="{00000000-0005-0000-0000-000037070000}"/>
    <cellStyle name="_적격(화산) _광주평동품의1_사우나최종" xfId="3891" xr:uid="{00000000-0005-0000-0000-000038070000}"/>
    <cellStyle name="_적격(화산) _광주평동품의1_사우나최종_사우나최종17" xfId="3892" xr:uid="{00000000-0005-0000-0000-000039070000}"/>
    <cellStyle name="_적격(화산) _광주평동품의1_사우나최종_워터파크" xfId="3893" xr:uid="{00000000-0005-0000-0000-00003A070000}"/>
    <cellStyle name="_적격(화산) _광주평동품의1_적상무주IC도로(1공구)" xfId="3894" xr:uid="{00000000-0005-0000-0000-00003B070000}"/>
    <cellStyle name="_적격(화산) _광주평동품의1_적상무주IC도로(1공구)_사우나최종" xfId="3895" xr:uid="{00000000-0005-0000-0000-00003C070000}"/>
    <cellStyle name="_적격(화산) _광주평동품의1_적상무주IC도로(1공구)_사우나최종_사우나최종17" xfId="3896" xr:uid="{00000000-0005-0000-0000-00003D070000}"/>
    <cellStyle name="_적격(화산) _광주평동품의1_적상무주IC도로(1공구)_사우나최종_워터파크" xfId="3897" xr:uid="{00000000-0005-0000-0000-00003E070000}"/>
    <cellStyle name="_적격(화산) _기장하수실행1" xfId="3898" xr:uid="{00000000-0005-0000-0000-00003F070000}"/>
    <cellStyle name="_적격(화산) _기장하수실행1_번암견적의뢰(협력)" xfId="3899" xr:uid="{00000000-0005-0000-0000-000040070000}"/>
    <cellStyle name="_적격(화산) _기장하수실행1_번암견적의뢰(협력)_사우나최종" xfId="3900" xr:uid="{00000000-0005-0000-0000-000041070000}"/>
    <cellStyle name="_적격(화산) _기장하수실행1_번암견적의뢰(협력)_사우나최종_사우나최종17" xfId="3901" xr:uid="{00000000-0005-0000-0000-000042070000}"/>
    <cellStyle name="_적격(화산) _기장하수실행1_번암견적의뢰(협력)_사우나최종_워터파크" xfId="3902" xr:uid="{00000000-0005-0000-0000-000043070000}"/>
    <cellStyle name="_적격(화산) _기장하수실행1_사우나최종" xfId="3903" xr:uid="{00000000-0005-0000-0000-000044070000}"/>
    <cellStyle name="_적격(화산) _기장하수실행1_사우나최종_사우나최종17" xfId="3904" xr:uid="{00000000-0005-0000-0000-000045070000}"/>
    <cellStyle name="_적격(화산) _기장하수실행1_사우나최종_워터파크" xfId="3905" xr:uid="{00000000-0005-0000-0000-000046070000}"/>
    <cellStyle name="_적격(화산) _내역분개" xfId="630" xr:uid="{00000000-0005-0000-0000-000047070000}"/>
    <cellStyle name="_적격(화산) _내역분개_내역분개" xfId="631" xr:uid="{00000000-0005-0000-0000-000048070000}"/>
    <cellStyle name="_적격(화산) _담양 창평 주택시설 부지조성사업" xfId="632" xr:uid="{00000000-0005-0000-0000-000049070000}"/>
    <cellStyle name="_적격(화산) _무안-광주2공구(협력)수정" xfId="3906" xr:uid="{00000000-0005-0000-0000-00004A070000}"/>
    <cellStyle name="_적격(화산) _무안-광주2공구(협력)수정_사우나최종" xfId="3907" xr:uid="{00000000-0005-0000-0000-00004B070000}"/>
    <cellStyle name="_적격(화산) _무안-광주2공구(협력)수정_사우나최종_사우나최종17" xfId="3908" xr:uid="{00000000-0005-0000-0000-00004C070000}"/>
    <cellStyle name="_적격(화산) _무안-광주2공구(협력)수정_사우나최종_워터파크" xfId="3909" xr:uid="{00000000-0005-0000-0000-00004D070000}"/>
    <cellStyle name="_적격(화산) _번암견적의뢰(협력)" xfId="3910" xr:uid="{00000000-0005-0000-0000-00004E070000}"/>
    <cellStyle name="_적격(화산) _번암견적의뢰(협력)_사우나최종" xfId="3911" xr:uid="{00000000-0005-0000-0000-00004F070000}"/>
    <cellStyle name="_적격(화산) _번암견적의뢰(협력)_사우나최종_사우나최종17" xfId="3912" xr:uid="{00000000-0005-0000-0000-000050070000}"/>
    <cellStyle name="_적격(화산) _번암견적의뢰(협력)_사우나최종_워터파크" xfId="3913" xr:uid="{00000000-0005-0000-0000-000051070000}"/>
    <cellStyle name="_적격(화산) _사우나최종" xfId="3914" xr:uid="{00000000-0005-0000-0000-000052070000}"/>
    <cellStyle name="_적격(화산) _사우나최종_사우나최종17" xfId="3915" xr:uid="{00000000-0005-0000-0000-000053070000}"/>
    <cellStyle name="_적격(화산) _사우나최종_워터파크" xfId="3916" xr:uid="{00000000-0005-0000-0000-000054070000}"/>
    <cellStyle name="_적격(화산) _사전공사(토목본사검토) " xfId="3917" xr:uid="{00000000-0005-0000-0000-000055070000}"/>
    <cellStyle name="_적격(화산) _사전공사(토목본사검토) _사우나최종" xfId="3918" xr:uid="{00000000-0005-0000-0000-000056070000}"/>
    <cellStyle name="_적격(화산) _사전공사(토목본사검토) _사우나최종_사우나최종17" xfId="3919" xr:uid="{00000000-0005-0000-0000-000057070000}"/>
    <cellStyle name="_적격(화산) _사전공사(토목본사검토) _사우나최종_워터파크" xfId="3920" xr:uid="{00000000-0005-0000-0000-000058070000}"/>
    <cellStyle name="_적격(화산) _송학실행안" xfId="3921" xr:uid="{00000000-0005-0000-0000-000059070000}"/>
    <cellStyle name="_적격(화산) _송학실행안_번암견적의뢰(협력)" xfId="3922" xr:uid="{00000000-0005-0000-0000-00005A070000}"/>
    <cellStyle name="_적격(화산) _송학실행안_번암견적의뢰(협력)_사우나최종" xfId="3923" xr:uid="{00000000-0005-0000-0000-00005B070000}"/>
    <cellStyle name="_적격(화산) _송학실행안_번암견적의뢰(협력)_사우나최종_사우나최종17" xfId="3924" xr:uid="{00000000-0005-0000-0000-00005C070000}"/>
    <cellStyle name="_적격(화산) _송학실행안_번암견적의뢰(협력)_사우나최종_워터파크" xfId="3925" xr:uid="{00000000-0005-0000-0000-00005D070000}"/>
    <cellStyle name="_적격(화산) _송학실행안_사우나최종" xfId="3926" xr:uid="{00000000-0005-0000-0000-00005E070000}"/>
    <cellStyle name="_적격(화산) _송학실행안_사우나최종_사우나최종17" xfId="3927" xr:uid="{00000000-0005-0000-0000-00005F070000}"/>
    <cellStyle name="_적격(화산) _송학실행안_사우나최종_워터파크" xfId="3928" xr:uid="{00000000-0005-0000-0000-000060070000}"/>
    <cellStyle name="_적격(화산) _송학하수투찰" xfId="3929" xr:uid="{00000000-0005-0000-0000-000061070000}"/>
    <cellStyle name="_적격(화산) _송학하수투찰_번암견적의뢰(협력)" xfId="3930" xr:uid="{00000000-0005-0000-0000-000062070000}"/>
    <cellStyle name="_적격(화산) _송학하수투찰_번암견적의뢰(협력)_사우나최종" xfId="3931" xr:uid="{00000000-0005-0000-0000-000063070000}"/>
    <cellStyle name="_적격(화산) _송학하수투찰_번암견적의뢰(협력)_사우나최종_사우나최종17" xfId="3932" xr:uid="{00000000-0005-0000-0000-000064070000}"/>
    <cellStyle name="_적격(화산) _송학하수투찰_번암견적의뢰(협력)_사우나최종_워터파크" xfId="3933" xr:uid="{00000000-0005-0000-0000-000065070000}"/>
    <cellStyle name="_적격(화산) _송학하수투찰_사우나최종" xfId="3934" xr:uid="{00000000-0005-0000-0000-000066070000}"/>
    <cellStyle name="_적격(화산) _송학하수투찰_사우나최종_사우나최종17" xfId="3935" xr:uid="{00000000-0005-0000-0000-000067070000}"/>
    <cellStyle name="_적격(화산) _송학하수투찰_사우나최종_워터파크" xfId="3936" xr:uid="{00000000-0005-0000-0000-000068070000}"/>
    <cellStyle name="_적격(화산) _송학하수품의(설계넣고)" xfId="3937" xr:uid="{00000000-0005-0000-0000-000069070000}"/>
    <cellStyle name="_적격(화산) _송학하수품의(설계넣고)_무안-광주2공구(협력)수정" xfId="3938" xr:uid="{00000000-0005-0000-0000-00006A070000}"/>
    <cellStyle name="_적격(화산) _송학하수품의(설계넣고)_무안-광주2공구(협력)수정_사우나최종" xfId="3939" xr:uid="{00000000-0005-0000-0000-00006B070000}"/>
    <cellStyle name="_적격(화산) _송학하수품의(설계넣고)_무안-광주2공구(협력)수정_사우나최종_사우나최종17" xfId="3940" xr:uid="{00000000-0005-0000-0000-00006C070000}"/>
    <cellStyle name="_적격(화산) _송학하수품의(설계넣고)_무안-광주2공구(협력)수정_사우나최종_워터파크" xfId="3941" xr:uid="{00000000-0005-0000-0000-00006D070000}"/>
    <cellStyle name="_적격(화산) _송학하수품의(설계넣고)_번암견적의뢰(협력)" xfId="3942" xr:uid="{00000000-0005-0000-0000-00006E070000}"/>
    <cellStyle name="_적격(화산) _송학하수품의(설계넣고)_번암견적의뢰(협력)_사우나최종" xfId="3943" xr:uid="{00000000-0005-0000-0000-00006F070000}"/>
    <cellStyle name="_적격(화산) _송학하수품의(설계넣고)_번암견적의뢰(협력)_사우나최종_사우나최종17" xfId="3944" xr:uid="{00000000-0005-0000-0000-000070070000}"/>
    <cellStyle name="_적격(화산) _송학하수품의(설계넣고)_번암견적의뢰(협력)_사우나최종_워터파크" xfId="3945" xr:uid="{00000000-0005-0000-0000-000071070000}"/>
    <cellStyle name="_적격(화산) _송학하수품의(설계넣고)_사우나최종" xfId="3946" xr:uid="{00000000-0005-0000-0000-000072070000}"/>
    <cellStyle name="_적격(화산) _송학하수품의(설계넣고)_사우나최종_사우나최종17" xfId="3947" xr:uid="{00000000-0005-0000-0000-000073070000}"/>
    <cellStyle name="_적격(화산) _송학하수품의(설계넣고)_사우나최종_워터파크" xfId="3948" xr:uid="{00000000-0005-0000-0000-000074070000}"/>
    <cellStyle name="_적격(화산) _송학하수품의(설계넣고)_적상무주IC도로(1공구)" xfId="3949" xr:uid="{00000000-0005-0000-0000-000075070000}"/>
    <cellStyle name="_적격(화산) _송학하수품의(설계넣고)_적상무주IC도로(1공구)_사우나최종" xfId="3950" xr:uid="{00000000-0005-0000-0000-000076070000}"/>
    <cellStyle name="_적격(화산) _송학하수품의(설계넣고)_적상무주IC도로(1공구)_사우나최종_사우나최종17" xfId="3951" xr:uid="{00000000-0005-0000-0000-000077070000}"/>
    <cellStyle name="_적격(화산) _송학하수품의(설계넣고)_적상무주IC도로(1공구)_사우나최종_워터파크" xfId="3952" xr:uid="{00000000-0005-0000-0000-000078070000}"/>
    <cellStyle name="_적격(화산) _예산분류 (공구구분)" xfId="633" xr:uid="{00000000-0005-0000-0000-000079070000}"/>
    <cellStyle name="_적격(화산) _예산분류 (공구구분)_(주)KCC 아산공장 위험물창고 증축공사-200684" xfId="634" xr:uid="{00000000-0005-0000-0000-00007A070000}"/>
    <cellStyle name="_적격(화산) _예산분류 (공구구분)_발산 아파트 1공구 공내역" xfId="635" xr:uid="{00000000-0005-0000-0000-00007B070000}"/>
    <cellStyle name="_적격(화산) _예산분류 (공구구분)_발산 아파트 1공구 공내역_(주)KCC 아산공장 위험물창고 증축공사-200684" xfId="636" xr:uid="{00000000-0005-0000-0000-00007C070000}"/>
    <cellStyle name="_적격(화산) _예산분류 (공구구분)_일반 외주 공내역서 (공구구분)" xfId="637" xr:uid="{00000000-0005-0000-0000-00007D070000}"/>
    <cellStyle name="_적격(화산) _예산분류 (공구구분)_일반 외주 공내역서 (공구구분)_(주)KCC 아산공장 위험물창고 증축공사-200684" xfId="638" xr:uid="{00000000-0005-0000-0000-00007E070000}"/>
    <cellStyle name="_적격(화산) _예산분류 (공구구분)_일반배관 외주발주 예산분류 (공구구분)" xfId="639" xr:uid="{00000000-0005-0000-0000-00007F070000}"/>
    <cellStyle name="_적격(화산) _예산분류 (공구구분)_일반배관 외주발주 예산분류 (공구구분)_(주)KCC 아산공장 위험물창고 증축공사-200684" xfId="640" xr:uid="{00000000-0005-0000-0000-000080070000}"/>
    <cellStyle name="_적격(화산) _예산분류 (공구구분)_일반배관 외주발주 예산분류 (공구구분)-1" xfId="641" xr:uid="{00000000-0005-0000-0000-000081070000}"/>
    <cellStyle name="_적격(화산) _예산분류 (공구구분)_일반배관 외주발주 예산분류 (공구구분)-1_(주)KCC 아산공장 위험물창고 증축공사-200684" xfId="642" xr:uid="{00000000-0005-0000-0000-000082070000}"/>
    <cellStyle name="_적격(화산) _이행각서" xfId="643" xr:uid="{00000000-0005-0000-0000-000083070000}"/>
    <cellStyle name="_적격(화산) _이행각서_내역분개" xfId="644" xr:uid="{00000000-0005-0000-0000-000084070000}"/>
    <cellStyle name="_적격(화산) _이행각서_내역분개_내역분개" xfId="645" xr:uid="{00000000-0005-0000-0000-000085070000}"/>
    <cellStyle name="_적격(화산) _일반배관 외주발주 예산분류 (공구구분)" xfId="646" xr:uid="{00000000-0005-0000-0000-000086070000}"/>
    <cellStyle name="_적격(화산) _일반배관 외주발주 예산분류 (공구구분)_(주)KCC 아산공장 위험물창고 증축공사-200684" xfId="647" xr:uid="{00000000-0005-0000-0000-000087070000}"/>
    <cellStyle name="_적격(화산) _일반배관 외주발주 예산분류 (공구구분)_발산 아파트 1공구 공내역" xfId="648" xr:uid="{00000000-0005-0000-0000-000088070000}"/>
    <cellStyle name="_적격(화산) _일반배관 외주발주 예산분류 (공구구분)_발산 아파트 1공구 공내역_(주)KCC 아산공장 위험물창고 증축공사-200684" xfId="649" xr:uid="{00000000-0005-0000-0000-000089070000}"/>
    <cellStyle name="_적격(화산) _일반배관 외주발주 예산분류 (공구구분)_일반 외주 공내역서 (공구구분)" xfId="650" xr:uid="{00000000-0005-0000-0000-00008A070000}"/>
    <cellStyle name="_적격(화산) _일반배관 외주발주 예산분류 (공구구분)_일반 외주 공내역서 (공구구분)_(주)KCC 아산공장 위험물창고 증축공사-200684" xfId="651" xr:uid="{00000000-0005-0000-0000-00008B070000}"/>
    <cellStyle name="_적격(화산) _일반배관 외주발주 예산분류 (공구구분)_일반배관 외주발주 예산분류 (공구구분)" xfId="652" xr:uid="{00000000-0005-0000-0000-00008C070000}"/>
    <cellStyle name="_적격(화산) _일반배관 외주발주 예산분류 (공구구분)_일반배관 외주발주 예산분류 (공구구분)_(주)KCC 아산공장 위험물창고 증축공사-200684" xfId="653" xr:uid="{00000000-0005-0000-0000-00008D070000}"/>
    <cellStyle name="_적격(화산) _일반배관 외주발주 예산분류 (공구구분)_일반배관 외주발주 예산분류 (공구구분)-1" xfId="654" xr:uid="{00000000-0005-0000-0000-00008E070000}"/>
    <cellStyle name="_적격(화산) _일반배관 외주발주 예산분류 (공구구분)_일반배관 외주발주 예산분류 (공구구분)-1_(주)KCC 아산공장 위험물창고 증축공사-200684" xfId="655" xr:uid="{00000000-0005-0000-0000-00008F070000}"/>
    <cellStyle name="_적격(화산) _적상무주IC도로(1공구)" xfId="3953" xr:uid="{00000000-0005-0000-0000-000090070000}"/>
    <cellStyle name="_적격(화산) _적상무주IC도로(1공구)_사우나최종" xfId="3954" xr:uid="{00000000-0005-0000-0000-000091070000}"/>
    <cellStyle name="_적격(화산) _적상무주IC도로(1공구)_사우나최종_사우나최종17" xfId="3955" xr:uid="{00000000-0005-0000-0000-000092070000}"/>
    <cellStyle name="_적격(화산) _적상무주IC도로(1공구)_사우나최종_워터파크" xfId="3956" xr:uid="{00000000-0005-0000-0000-000093070000}"/>
    <cellStyle name="_적격(화산) _포기각서" xfId="656" xr:uid="{00000000-0005-0000-0000-000094070000}"/>
    <cellStyle name="_적격(화산) _포기각서_내역분개" xfId="657" xr:uid="{00000000-0005-0000-0000-000095070000}"/>
    <cellStyle name="_적격(화산) _포기각서_내역분개_내역분개" xfId="658" xr:uid="{00000000-0005-0000-0000-000096070000}"/>
    <cellStyle name="_적격(화산) _현설양식" xfId="659" xr:uid="{00000000-0005-0000-0000-000097070000}"/>
    <cellStyle name="_적격(화산) _현설양식_내역분개" xfId="660" xr:uid="{00000000-0005-0000-0000-000098070000}"/>
    <cellStyle name="_적격(화산) _현설양식_내역분개_내역분개" xfId="661" xr:uid="{00000000-0005-0000-0000-000099070000}"/>
    <cellStyle name="_적격(화산) _현장설명" xfId="662" xr:uid="{00000000-0005-0000-0000-00009A070000}"/>
    <cellStyle name="_적격(화산) _현장설명_내역분개" xfId="663" xr:uid="{00000000-0005-0000-0000-00009B070000}"/>
    <cellStyle name="_적격(화산) _현장설명_내역분개_내역분개" xfId="664" xr:uid="{00000000-0005-0000-0000-00009C070000}"/>
    <cellStyle name="_전기2" xfId="3957" xr:uid="{00000000-0005-0000-0000-00009D070000}"/>
    <cellStyle name="_제2시립묘지보고서" xfId="665" xr:uid="{00000000-0005-0000-0000-00009E070000}"/>
    <cellStyle name="_제2시립묘지보고서_담양 창평 주택시설 부지조성사업" xfId="666" xr:uid="{00000000-0005-0000-0000-00009F070000}"/>
    <cellStyle name="_제외내역" xfId="667" xr:uid="{00000000-0005-0000-0000-0000A0070000}"/>
    <cellStyle name="_제외내역_담양 창평 주택시설 부지조성사업" xfId="668" xr:uid="{00000000-0005-0000-0000-0000A1070000}"/>
    <cellStyle name="_제주물항" xfId="669" xr:uid="{00000000-0005-0000-0000-0000A2070000}"/>
    <cellStyle name="_제출(2.25)" xfId="3958" xr:uid="{00000000-0005-0000-0000-0000A3070000}"/>
    <cellStyle name="_제출내역(2.26)" xfId="3959" xr:uid="{00000000-0005-0000-0000-0000A4070000}"/>
    <cellStyle name="_제출용병천하수(지역관로1)" xfId="3960" xr:uid="{00000000-0005-0000-0000-0000A5070000}"/>
    <cellStyle name="_제출용병천하수(지역관로1)_광주평동실행" xfId="3961" xr:uid="{00000000-0005-0000-0000-0000A6070000}"/>
    <cellStyle name="_제출용병천하수(지역관로1)_광주평동실행_번암견적의뢰(협력)" xfId="3962" xr:uid="{00000000-0005-0000-0000-0000A7070000}"/>
    <cellStyle name="_제출용병천하수(지역관로1)_광주평동실행_번암견적의뢰(협력)_사우나최종" xfId="3963" xr:uid="{00000000-0005-0000-0000-0000A8070000}"/>
    <cellStyle name="_제출용병천하수(지역관로1)_광주평동실행_번암견적의뢰(협력)_사우나최종_사우나최종17" xfId="3964" xr:uid="{00000000-0005-0000-0000-0000A9070000}"/>
    <cellStyle name="_제출용병천하수(지역관로1)_광주평동실행_번암견적의뢰(협력)_사우나최종_워터파크" xfId="3965" xr:uid="{00000000-0005-0000-0000-0000AA070000}"/>
    <cellStyle name="_제출용병천하수(지역관로1)_광주평동실행_사우나최종" xfId="3966" xr:uid="{00000000-0005-0000-0000-0000AB070000}"/>
    <cellStyle name="_제출용병천하수(지역관로1)_광주평동실행_사우나최종_사우나최종17" xfId="3967" xr:uid="{00000000-0005-0000-0000-0000AC070000}"/>
    <cellStyle name="_제출용병천하수(지역관로1)_광주평동실행_사우나최종_워터파크" xfId="3968" xr:uid="{00000000-0005-0000-0000-0000AD070000}"/>
    <cellStyle name="_제출용병천하수(지역관로1)_광주평동품의1" xfId="3969" xr:uid="{00000000-0005-0000-0000-0000AE070000}"/>
    <cellStyle name="_제출용병천하수(지역관로1)_광주평동품의1_무안-광주2공구(협력)수정" xfId="3970" xr:uid="{00000000-0005-0000-0000-0000AF070000}"/>
    <cellStyle name="_제출용병천하수(지역관로1)_광주평동품의1_무안-광주2공구(협력)수정_사우나최종" xfId="3971" xr:uid="{00000000-0005-0000-0000-0000B0070000}"/>
    <cellStyle name="_제출용병천하수(지역관로1)_광주평동품의1_무안-광주2공구(협력)수정_사우나최종_사우나최종17" xfId="3972" xr:uid="{00000000-0005-0000-0000-0000B1070000}"/>
    <cellStyle name="_제출용병천하수(지역관로1)_광주평동품의1_무안-광주2공구(협력)수정_사우나최종_워터파크" xfId="3973" xr:uid="{00000000-0005-0000-0000-0000B2070000}"/>
    <cellStyle name="_제출용병천하수(지역관로1)_광주평동품의1_번암견적의뢰(협력)" xfId="3974" xr:uid="{00000000-0005-0000-0000-0000B3070000}"/>
    <cellStyle name="_제출용병천하수(지역관로1)_광주평동품의1_번암견적의뢰(협력)_사우나최종" xfId="3975" xr:uid="{00000000-0005-0000-0000-0000B4070000}"/>
    <cellStyle name="_제출용병천하수(지역관로1)_광주평동품의1_번암견적의뢰(협력)_사우나최종_사우나최종17" xfId="3976" xr:uid="{00000000-0005-0000-0000-0000B5070000}"/>
    <cellStyle name="_제출용병천하수(지역관로1)_광주평동품의1_번암견적의뢰(협력)_사우나최종_워터파크" xfId="3977" xr:uid="{00000000-0005-0000-0000-0000B6070000}"/>
    <cellStyle name="_제출용병천하수(지역관로1)_광주평동품의1_사우나최종" xfId="3978" xr:uid="{00000000-0005-0000-0000-0000B7070000}"/>
    <cellStyle name="_제출용병천하수(지역관로1)_광주평동품의1_사우나최종_사우나최종17" xfId="3979" xr:uid="{00000000-0005-0000-0000-0000B8070000}"/>
    <cellStyle name="_제출용병천하수(지역관로1)_광주평동품의1_사우나최종_워터파크" xfId="3980" xr:uid="{00000000-0005-0000-0000-0000B9070000}"/>
    <cellStyle name="_제출용병천하수(지역관로1)_광주평동품의1_적상무주IC도로(1공구)" xfId="3981" xr:uid="{00000000-0005-0000-0000-0000BA070000}"/>
    <cellStyle name="_제출용병천하수(지역관로1)_광주평동품의1_적상무주IC도로(1공구)_사우나최종" xfId="3982" xr:uid="{00000000-0005-0000-0000-0000BB070000}"/>
    <cellStyle name="_제출용병천하수(지역관로1)_광주평동품의1_적상무주IC도로(1공구)_사우나최종_사우나최종17" xfId="3983" xr:uid="{00000000-0005-0000-0000-0000BC070000}"/>
    <cellStyle name="_제출용병천하수(지역관로1)_광주평동품의1_적상무주IC도로(1공구)_사우나최종_워터파크" xfId="3984" xr:uid="{00000000-0005-0000-0000-0000BD070000}"/>
    <cellStyle name="_제출용병천하수(지역관로1)_기장하수실행1" xfId="3985" xr:uid="{00000000-0005-0000-0000-0000BE070000}"/>
    <cellStyle name="_제출용병천하수(지역관로1)_기장하수실행1_번암견적의뢰(협력)" xfId="3986" xr:uid="{00000000-0005-0000-0000-0000BF070000}"/>
    <cellStyle name="_제출용병천하수(지역관로1)_기장하수실행1_번암견적의뢰(협력)_사우나최종" xfId="3987" xr:uid="{00000000-0005-0000-0000-0000C0070000}"/>
    <cellStyle name="_제출용병천하수(지역관로1)_기장하수실행1_번암견적의뢰(협력)_사우나최종_사우나최종17" xfId="3988" xr:uid="{00000000-0005-0000-0000-0000C1070000}"/>
    <cellStyle name="_제출용병천하수(지역관로1)_기장하수실행1_번암견적의뢰(협력)_사우나최종_워터파크" xfId="3989" xr:uid="{00000000-0005-0000-0000-0000C2070000}"/>
    <cellStyle name="_제출용병천하수(지역관로1)_기장하수실행1_사우나최종" xfId="3990" xr:uid="{00000000-0005-0000-0000-0000C3070000}"/>
    <cellStyle name="_제출용병천하수(지역관로1)_기장하수실행1_사우나최종_사우나최종17" xfId="3991" xr:uid="{00000000-0005-0000-0000-0000C4070000}"/>
    <cellStyle name="_제출용병천하수(지역관로1)_기장하수실행1_사우나최종_워터파크" xfId="3992" xr:uid="{00000000-0005-0000-0000-0000C5070000}"/>
    <cellStyle name="_제출용병천하수(지역관로1)_무안-광주2공구(협력)수정" xfId="3993" xr:uid="{00000000-0005-0000-0000-0000C6070000}"/>
    <cellStyle name="_제출용병천하수(지역관로1)_무안-광주2공구(협력)수정_사우나최종" xfId="3994" xr:uid="{00000000-0005-0000-0000-0000C7070000}"/>
    <cellStyle name="_제출용병천하수(지역관로1)_무안-광주2공구(협력)수정_사우나최종_사우나최종17" xfId="3995" xr:uid="{00000000-0005-0000-0000-0000C8070000}"/>
    <cellStyle name="_제출용병천하수(지역관로1)_무안-광주2공구(협력)수정_사우나최종_워터파크" xfId="3996" xr:uid="{00000000-0005-0000-0000-0000C9070000}"/>
    <cellStyle name="_제출용병천하수(지역관로1)_번암견적의뢰(협력)" xfId="3997" xr:uid="{00000000-0005-0000-0000-0000CA070000}"/>
    <cellStyle name="_제출용병천하수(지역관로1)_번암견적의뢰(협력)_사우나최종" xfId="3998" xr:uid="{00000000-0005-0000-0000-0000CB070000}"/>
    <cellStyle name="_제출용병천하수(지역관로1)_번암견적의뢰(협력)_사우나최종_사우나최종17" xfId="3999" xr:uid="{00000000-0005-0000-0000-0000CC070000}"/>
    <cellStyle name="_제출용병천하수(지역관로1)_번암견적의뢰(협력)_사우나최종_워터파크" xfId="4000" xr:uid="{00000000-0005-0000-0000-0000CD070000}"/>
    <cellStyle name="_제출용병천하수(지역관로1)_사우나최종" xfId="4001" xr:uid="{00000000-0005-0000-0000-0000CE070000}"/>
    <cellStyle name="_제출용병천하수(지역관로1)_사우나최종_사우나최종17" xfId="4002" xr:uid="{00000000-0005-0000-0000-0000CF070000}"/>
    <cellStyle name="_제출용병천하수(지역관로1)_사우나최종_워터파크" xfId="4003" xr:uid="{00000000-0005-0000-0000-0000D0070000}"/>
    <cellStyle name="_제출용병천하수(지역관로1)_송학실행안" xfId="4004" xr:uid="{00000000-0005-0000-0000-0000D1070000}"/>
    <cellStyle name="_제출용병천하수(지역관로1)_송학실행안_번암견적의뢰(협력)" xfId="4005" xr:uid="{00000000-0005-0000-0000-0000D2070000}"/>
    <cellStyle name="_제출용병천하수(지역관로1)_송학실행안_번암견적의뢰(협력)_사우나최종" xfId="4006" xr:uid="{00000000-0005-0000-0000-0000D3070000}"/>
    <cellStyle name="_제출용병천하수(지역관로1)_송학실행안_번암견적의뢰(협력)_사우나최종_사우나최종17" xfId="4007" xr:uid="{00000000-0005-0000-0000-0000D4070000}"/>
    <cellStyle name="_제출용병천하수(지역관로1)_송학실행안_번암견적의뢰(협력)_사우나최종_워터파크" xfId="4008" xr:uid="{00000000-0005-0000-0000-0000D5070000}"/>
    <cellStyle name="_제출용병천하수(지역관로1)_송학실행안_사우나최종" xfId="4009" xr:uid="{00000000-0005-0000-0000-0000D6070000}"/>
    <cellStyle name="_제출용병천하수(지역관로1)_송학실행안_사우나최종_사우나최종17" xfId="4010" xr:uid="{00000000-0005-0000-0000-0000D7070000}"/>
    <cellStyle name="_제출용병천하수(지역관로1)_송학실행안_사우나최종_워터파크" xfId="4011" xr:uid="{00000000-0005-0000-0000-0000D8070000}"/>
    <cellStyle name="_제출용병천하수(지역관로1)_송학하수투찰" xfId="4012" xr:uid="{00000000-0005-0000-0000-0000D9070000}"/>
    <cellStyle name="_제출용병천하수(지역관로1)_송학하수투찰_번암견적의뢰(협력)" xfId="4013" xr:uid="{00000000-0005-0000-0000-0000DA070000}"/>
    <cellStyle name="_제출용병천하수(지역관로1)_송학하수투찰_번암견적의뢰(협력)_사우나최종" xfId="4014" xr:uid="{00000000-0005-0000-0000-0000DB070000}"/>
    <cellStyle name="_제출용병천하수(지역관로1)_송학하수투찰_번암견적의뢰(협력)_사우나최종_사우나최종17" xfId="4015" xr:uid="{00000000-0005-0000-0000-0000DC070000}"/>
    <cellStyle name="_제출용병천하수(지역관로1)_송학하수투찰_번암견적의뢰(협력)_사우나최종_워터파크" xfId="4016" xr:uid="{00000000-0005-0000-0000-0000DD070000}"/>
    <cellStyle name="_제출용병천하수(지역관로1)_송학하수투찰_사우나최종" xfId="4017" xr:uid="{00000000-0005-0000-0000-0000DE070000}"/>
    <cellStyle name="_제출용병천하수(지역관로1)_송학하수투찰_사우나최종_사우나최종17" xfId="4018" xr:uid="{00000000-0005-0000-0000-0000DF070000}"/>
    <cellStyle name="_제출용병천하수(지역관로1)_송학하수투찰_사우나최종_워터파크" xfId="4019" xr:uid="{00000000-0005-0000-0000-0000E0070000}"/>
    <cellStyle name="_제출용병천하수(지역관로1)_송학하수품의(설계넣고)" xfId="4020" xr:uid="{00000000-0005-0000-0000-0000E1070000}"/>
    <cellStyle name="_제출용병천하수(지역관로1)_송학하수품의(설계넣고)_무안-광주2공구(협력)수정" xfId="4021" xr:uid="{00000000-0005-0000-0000-0000E2070000}"/>
    <cellStyle name="_제출용병천하수(지역관로1)_송학하수품의(설계넣고)_무안-광주2공구(협력)수정_사우나최종" xfId="4022" xr:uid="{00000000-0005-0000-0000-0000E3070000}"/>
    <cellStyle name="_제출용병천하수(지역관로1)_송학하수품의(설계넣고)_무안-광주2공구(협력)수정_사우나최종_사우나최종17" xfId="4023" xr:uid="{00000000-0005-0000-0000-0000E4070000}"/>
    <cellStyle name="_제출용병천하수(지역관로1)_송학하수품의(설계넣고)_무안-광주2공구(협력)수정_사우나최종_워터파크" xfId="4024" xr:uid="{00000000-0005-0000-0000-0000E5070000}"/>
    <cellStyle name="_제출용병천하수(지역관로1)_송학하수품의(설계넣고)_번암견적의뢰(협력)" xfId="4025" xr:uid="{00000000-0005-0000-0000-0000E6070000}"/>
    <cellStyle name="_제출용병천하수(지역관로1)_송학하수품의(설계넣고)_번암견적의뢰(협력)_사우나최종" xfId="4026" xr:uid="{00000000-0005-0000-0000-0000E7070000}"/>
    <cellStyle name="_제출용병천하수(지역관로1)_송학하수품의(설계넣고)_번암견적의뢰(협력)_사우나최종_사우나최종17" xfId="4027" xr:uid="{00000000-0005-0000-0000-0000E8070000}"/>
    <cellStyle name="_제출용병천하수(지역관로1)_송학하수품의(설계넣고)_번암견적의뢰(협력)_사우나최종_워터파크" xfId="4028" xr:uid="{00000000-0005-0000-0000-0000E9070000}"/>
    <cellStyle name="_제출용병천하수(지역관로1)_송학하수품의(설계넣고)_사우나최종" xfId="4029" xr:uid="{00000000-0005-0000-0000-0000EA070000}"/>
    <cellStyle name="_제출용병천하수(지역관로1)_송학하수품의(설계넣고)_사우나최종_사우나최종17" xfId="4030" xr:uid="{00000000-0005-0000-0000-0000EB070000}"/>
    <cellStyle name="_제출용병천하수(지역관로1)_송학하수품의(설계넣고)_사우나최종_워터파크" xfId="4031" xr:uid="{00000000-0005-0000-0000-0000EC070000}"/>
    <cellStyle name="_제출용병천하수(지역관로1)_송학하수품의(설계넣고)_적상무주IC도로(1공구)" xfId="4032" xr:uid="{00000000-0005-0000-0000-0000ED070000}"/>
    <cellStyle name="_제출용병천하수(지역관로1)_송학하수품의(설계넣고)_적상무주IC도로(1공구)_사우나최종" xfId="4033" xr:uid="{00000000-0005-0000-0000-0000EE070000}"/>
    <cellStyle name="_제출용병천하수(지역관로1)_송학하수품의(설계넣고)_적상무주IC도로(1공구)_사우나최종_사우나최종17" xfId="4034" xr:uid="{00000000-0005-0000-0000-0000EF070000}"/>
    <cellStyle name="_제출용병천하수(지역관로1)_송학하수품의(설계넣고)_적상무주IC도로(1공구)_사우나최종_워터파크" xfId="4035" xr:uid="{00000000-0005-0000-0000-0000F0070000}"/>
    <cellStyle name="_제출용병천하수(지역관로1)_적상무주IC도로(1공구)" xfId="4036" xr:uid="{00000000-0005-0000-0000-0000F1070000}"/>
    <cellStyle name="_제출용병천하수(지역관로1)_적상무주IC도로(1공구)_사우나최종" xfId="4037" xr:uid="{00000000-0005-0000-0000-0000F2070000}"/>
    <cellStyle name="_제출용병천하수(지역관로1)_적상무주IC도로(1공구)_사우나최종_사우나최종17" xfId="4038" xr:uid="{00000000-0005-0000-0000-0000F3070000}"/>
    <cellStyle name="_제출용병천하수(지역관로1)_적상무주IC도로(1공구)_사우나최종_워터파크" xfId="4039" xr:uid="{00000000-0005-0000-0000-0000F4070000}"/>
    <cellStyle name="_조명기구변경" xfId="670" xr:uid="{00000000-0005-0000-0000-0000F5070000}"/>
    <cellStyle name="_중앙연구소 PILOT증축 실행예산내역 070125" xfId="671" xr:uid="{00000000-0005-0000-0000-0000F6070000}"/>
    <cellStyle name="_중역업무구분(2004-1)" xfId="672" xr:uid="{00000000-0005-0000-0000-0000F7070000}"/>
    <cellStyle name="_증감분석양식" xfId="673" xr:uid="{00000000-0005-0000-0000-0000F8070000}"/>
    <cellStyle name="_지정과제1분기실적(확정990408)" xfId="674" xr:uid="{00000000-0005-0000-0000-0000F9070000}"/>
    <cellStyle name="_지정과제1분기실적(확정990408)_1" xfId="675" xr:uid="{00000000-0005-0000-0000-0000FA070000}"/>
    <cellStyle name="_지정과제2차심의list" xfId="686" xr:uid="{00000000-0005-0000-0000-0000FB070000}"/>
    <cellStyle name="_지정과제2차심의list_1" xfId="687" xr:uid="{00000000-0005-0000-0000-0000FC070000}"/>
    <cellStyle name="_지정과제2차심의list_2" xfId="688" xr:uid="{00000000-0005-0000-0000-0000FD070000}"/>
    <cellStyle name="_지정과제2차심의결과" xfId="676" xr:uid="{00000000-0005-0000-0000-0000FE070000}"/>
    <cellStyle name="_지정과제2차심의결과(금액조정후최종)" xfId="677" xr:uid="{00000000-0005-0000-0000-0000FF070000}"/>
    <cellStyle name="_지정과제2차심의결과(금액조정후최종)_1" xfId="678" xr:uid="{00000000-0005-0000-0000-000000080000}"/>
    <cellStyle name="_지정과제2차심의결과(금액조정후최종)_1_경영개선실적보고(전주공장)" xfId="679" xr:uid="{00000000-0005-0000-0000-000001080000}"/>
    <cellStyle name="_지정과제2차심의결과(금액조정후최종)_1_별첨1_2" xfId="680" xr:uid="{00000000-0005-0000-0000-000002080000}"/>
    <cellStyle name="_지정과제2차심의결과(금액조정후최종)_1_제안과제집계표(공장전체)" xfId="681" xr:uid="{00000000-0005-0000-0000-000003080000}"/>
    <cellStyle name="_지정과제2차심의결과(금액조정후최종)_경영개선실적보고(전주공장)" xfId="682" xr:uid="{00000000-0005-0000-0000-000004080000}"/>
    <cellStyle name="_지정과제2차심의결과(금액조정후최종)_별첨1_2" xfId="683" xr:uid="{00000000-0005-0000-0000-000005080000}"/>
    <cellStyle name="_지정과제2차심의결과(금액조정후최종)_제안과제집계표(공장전체)" xfId="684" xr:uid="{00000000-0005-0000-0000-000006080000}"/>
    <cellStyle name="_지정과제2차심의결과_1" xfId="685" xr:uid="{00000000-0005-0000-0000-000007080000}"/>
    <cellStyle name="_집계" xfId="4040" xr:uid="{00000000-0005-0000-0000-000008080000}"/>
    <cellStyle name="_집중관리(981231)" xfId="689" xr:uid="{00000000-0005-0000-0000-000009080000}"/>
    <cellStyle name="_집중관리(981231)_1" xfId="690" xr:uid="{00000000-0005-0000-0000-00000A080000}"/>
    <cellStyle name="_집중관리(지정과제및 양식)" xfId="691" xr:uid="{00000000-0005-0000-0000-00000B080000}"/>
    <cellStyle name="_집중관리(지정과제및 양식)_1" xfId="692" xr:uid="{00000000-0005-0000-0000-00000C080000}"/>
    <cellStyle name="_집행갑지 " xfId="693" xr:uid="{00000000-0005-0000-0000-00000D080000}"/>
    <cellStyle name="_집행갑지 _(주)KCC 아산공장 위험물창고 증축공사-200684" xfId="694" xr:uid="{00000000-0005-0000-0000-00000E080000}"/>
    <cellStyle name="_집행갑지 _광주평동실행" xfId="4041" xr:uid="{00000000-0005-0000-0000-00000F080000}"/>
    <cellStyle name="_집행갑지 _광주평동실행_번암견적의뢰(협력)" xfId="4042" xr:uid="{00000000-0005-0000-0000-000010080000}"/>
    <cellStyle name="_집행갑지 _광주평동실행_번암견적의뢰(협력)_사우나최종" xfId="4043" xr:uid="{00000000-0005-0000-0000-000011080000}"/>
    <cellStyle name="_집행갑지 _광주평동실행_번암견적의뢰(협력)_사우나최종_사우나최종17" xfId="4044" xr:uid="{00000000-0005-0000-0000-000012080000}"/>
    <cellStyle name="_집행갑지 _광주평동실행_번암견적의뢰(협력)_사우나최종_워터파크" xfId="4045" xr:uid="{00000000-0005-0000-0000-000013080000}"/>
    <cellStyle name="_집행갑지 _광주평동실행_사우나최종" xfId="4046" xr:uid="{00000000-0005-0000-0000-000014080000}"/>
    <cellStyle name="_집행갑지 _광주평동실행_사우나최종_사우나최종17" xfId="4047" xr:uid="{00000000-0005-0000-0000-000015080000}"/>
    <cellStyle name="_집행갑지 _광주평동실행_사우나최종_워터파크" xfId="4048" xr:uid="{00000000-0005-0000-0000-000016080000}"/>
    <cellStyle name="_집행갑지 _광주평동품의1" xfId="4049" xr:uid="{00000000-0005-0000-0000-000017080000}"/>
    <cellStyle name="_집행갑지 _광주평동품의1_무안-광주2공구(협력)수정" xfId="4050" xr:uid="{00000000-0005-0000-0000-000018080000}"/>
    <cellStyle name="_집행갑지 _광주평동품의1_무안-광주2공구(협력)수정_사우나최종" xfId="4051" xr:uid="{00000000-0005-0000-0000-000019080000}"/>
    <cellStyle name="_집행갑지 _광주평동품의1_무안-광주2공구(협력)수정_사우나최종_사우나최종17" xfId="4052" xr:uid="{00000000-0005-0000-0000-00001A080000}"/>
    <cellStyle name="_집행갑지 _광주평동품의1_무안-광주2공구(협력)수정_사우나최종_워터파크" xfId="4053" xr:uid="{00000000-0005-0000-0000-00001B080000}"/>
    <cellStyle name="_집행갑지 _광주평동품의1_번암견적의뢰(협력)" xfId="4054" xr:uid="{00000000-0005-0000-0000-00001C080000}"/>
    <cellStyle name="_집행갑지 _광주평동품의1_번암견적의뢰(협력)_사우나최종" xfId="4055" xr:uid="{00000000-0005-0000-0000-00001D080000}"/>
    <cellStyle name="_집행갑지 _광주평동품의1_번암견적의뢰(협력)_사우나최종_사우나최종17" xfId="4056" xr:uid="{00000000-0005-0000-0000-00001E080000}"/>
    <cellStyle name="_집행갑지 _광주평동품의1_번암견적의뢰(협력)_사우나최종_워터파크" xfId="4057" xr:uid="{00000000-0005-0000-0000-00001F080000}"/>
    <cellStyle name="_집행갑지 _광주평동품의1_사우나최종" xfId="4058" xr:uid="{00000000-0005-0000-0000-000020080000}"/>
    <cellStyle name="_집행갑지 _광주평동품의1_사우나최종_사우나최종17" xfId="4059" xr:uid="{00000000-0005-0000-0000-000021080000}"/>
    <cellStyle name="_집행갑지 _광주평동품의1_사우나최종_워터파크" xfId="4060" xr:uid="{00000000-0005-0000-0000-000022080000}"/>
    <cellStyle name="_집행갑지 _광주평동품의1_적상무주IC도로(1공구)" xfId="4061" xr:uid="{00000000-0005-0000-0000-000023080000}"/>
    <cellStyle name="_집행갑지 _광주평동품의1_적상무주IC도로(1공구)_사우나최종" xfId="4062" xr:uid="{00000000-0005-0000-0000-000024080000}"/>
    <cellStyle name="_집행갑지 _광주평동품의1_적상무주IC도로(1공구)_사우나최종_사우나최종17" xfId="4063" xr:uid="{00000000-0005-0000-0000-000025080000}"/>
    <cellStyle name="_집행갑지 _광주평동품의1_적상무주IC도로(1공구)_사우나최종_워터파크" xfId="4064" xr:uid="{00000000-0005-0000-0000-000026080000}"/>
    <cellStyle name="_집행갑지 _기장하수실행1" xfId="4065" xr:uid="{00000000-0005-0000-0000-000027080000}"/>
    <cellStyle name="_집행갑지 _기장하수실행1_번암견적의뢰(협력)" xfId="4066" xr:uid="{00000000-0005-0000-0000-000028080000}"/>
    <cellStyle name="_집행갑지 _기장하수실행1_번암견적의뢰(협력)_사우나최종" xfId="4067" xr:uid="{00000000-0005-0000-0000-000029080000}"/>
    <cellStyle name="_집행갑지 _기장하수실행1_번암견적의뢰(협력)_사우나최종_사우나최종17" xfId="4068" xr:uid="{00000000-0005-0000-0000-00002A080000}"/>
    <cellStyle name="_집행갑지 _기장하수실행1_번암견적의뢰(협력)_사우나최종_워터파크" xfId="4069" xr:uid="{00000000-0005-0000-0000-00002B080000}"/>
    <cellStyle name="_집행갑지 _기장하수실행1_사우나최종" xfId="4070" xr:uid="{00000000-0005-0000-0000-00002C080000}"/>
    <cellStyle name="_집행갑지 _기장하수실행1_사우나최종_사우나최종17" xfId="4071" xr:uid="{00000000-0005-0000-0000-00002D080000}"/>
    <cellStyle name="_집행갑지 _기장하수실행1_사우나최종_워터파크" xfId="4072" xr:uid="{00000000-0005-0000-0000-00002E080000}"/>
    <cellStyle name="_집행갑지 _내역분개" xfId="695" xr:uid="{00000000-0005-0000-0000-00002F080000}"/>
    <cellStyle name="_집행갑지 _내역분개_내역분개" xfId="696" xr:uid="{00000000-0005-0000-0000-000030080000}"/>
    <cellStyle name="_집행갑지 _담양 창평 주택시설 부지조성사업" xfId="697" xr:uid="{00000000-0005-0000-0000-000031080000}"/>
    <cellStyle name="_집행갑지 _무안-광주2공구(협력)수정" xfId="4073" xr:uid="{00000000-0005-0000-0000-000032080000}"/>
    <cellStyle name="_집행갑지 _무안-광주2공구(협력)수정_사우나최종" xfId="4074" xr:uid="{00000000-0005-0000-0000-000033080000}"/>
    <cellStyle name="_집행갑지 _무안-광주2공구(협력)수정_사우나최종_사우나최종17" xfId="4075" xr:uid="{00000000-0005-0000-0000-000034080000}"/>
    <cellStyle name="_집행갑지 _무안-광주2공구(협력)수정_사우나최종_워터파크" xfId="4076" xr:uid="{00000000-0005-0000-0000-000035080000}"/>
    <cellStyle name="_집행갑지 _번암견적의뢰(협력)" xfId="4077" xr:uid="{00000000-0005-0000-0000-000036080000}"/>
    <cellStyle name="_집행갑지 _번암견적의뢰(협력)_사우나최종" xfId="4078" xr:uid="{00000000-0005-0000-0000-000037080000}"/>
    <cellStyle name="_집행갑지 _번암견적의뢰(협력)_사우나최종_사우나최종17" xfId="4079" xr:uid="{00000000-0005-0000-0000-000038080000}"/>
    <cellStyle name="_집행갑지 _번암견적의뢰(협력)_사우나최종_워터파크" xfId="4080" xr:uid="{00000000-0005-0000-0000-000039080000}"/>
    <cellStyle name="_집행갑지 _사우나최종" xfId="4081" xr:uid="{00000000-0005-0000-0000-00003A080000}"/>
    <cellStyle name="_집행갑지 _사우나최종_사우나최종17" xfId="4082" xr:uid="{00000000-0005-0000-0000-00003B080000}"/>
    <cellStyle name="_집행갑지 _사우나최종_워터파크" xfId="4083" xr:uid="{00000000-0005-0000-0000-00003C080000}"/>
    <cellStyle name="_집행갑지 _송학실행안" xfId="4084" xr:uid="{00000000-0005-0000-0000-00003D080000}"/>
    <cellStyle name="_집행갑지 _송학실행안_번암견적의뢰(협력)" xfId="4085" xr:uid="{00000000-0005-0000-0000-00003E080000}"/>
    <cellStyle name="_집행갑지 _송학실행안_번암견적의뢰(협력)_사우나최종" xfId="4086" xr:uid="{00000000-0005-0000-0000-00003F080000}"/>
    <cellStyle name="_집행갑지 _송학실행안_번암견적의뢰(협력)_사우나최종_사우나최종17" xfId="4087" xr:uid="{00000000-0005-0000-0000-000040080000}"/>
    <cellStyle name="_집행갑지 _송학실행안_번암견적의뢰(협력)_사우나최종_워터파크" xfId="4088" xr:uid="{00000000-0005-0000-0000-000041080000}"/>
    <cellStyle name="_집행갑지 _송학실행안_사우나최종" xfId="4089" xr:uid="{00000000-0005-0000-0000-000042080000}"/>
    <cellStyle name="_집행갑지 _송학실행안_사우나최종_사우나최종17" xfId="4090" xr:uid="{00000000-0005-0000-0000-000043080000}"/>
    <cellStyle name="_집행갑지 _송학실행안_사우나최종_워터파크" xfId="4091" xr:uid="{00000000-0005-0000-0000-000044080000}"/>
    <cellStyle name="_집행갑지 _송학하수투찰" xfId="4092" xr:uid="{00000000-0005-0000-0000-000045080000}"/>
    <cellStyle name="_집행갑지 _송학하수투찰_번암견적의뢰(협력)" xfId="4093" xr:uid="{00000000-0005-0000-0000-000046080000}"/>
    <cellStyle name="_집행갑지 _송학하수투찰_번암견적의뢰(협력)_사우나최종" xfId="4094" xr:uid="{00000000-0005-0000-0000-000047080000}"/>
    <cellStyle name="_집행갑지 _송학하수투찰_번암견적의뢰(협력)_사우나최종_사우나최종17" xfId="4095" xr:uid="{00000000-0005-0000-0000-000048080000}"/>
    <cellStyle name="_집행갑지 _송학하수투찰_번암견적의뢰(협력)_사우나최종_워터파크" xfId="4096" xr:uid="{00000000-0005-0000-0000-000049080000}"/>
    <cellStyle name="_집행갑지 _송학하수투찰_사우나최종" xfId="4097" xr:uid="{00000000-0005-0000-0000-00004A080000}"/>
    <cellStyle name="_집행갑지 _송학하수투찰_사우나최종_사우나최종17" xfId="4098" xr:uid="{00000000-0005-0000-0000-00004B080000}"/>
    <cellStyle name="_집행갑지 _송학하수투찰_사우나최종_워터파크" xfId="4099" xr:uid="{00000000-0005-0000-0000-00004C080000}"/>
    <cellStyle name="_집행갑지 _송학하수품의(설계넣고)" xfId="4100" xr:uid="{00000000-0005-0000-0000-00004D080000}"/>
    <cellStyle name="_집행갑지 _송학하수품의(설계넣고)_무안-광주2공구(협력)수정" xfId="4101" xr:uid="{00000000-0005-0000-0000-00004E080000}"/>
    <cellStyle name="_집행갑지 _송학하수품의(설계넣고)_무안-광주2공구(협력)수정_사우나최종" xfId="4102" xr:uid="{00000000-0005-0000-0000-00004F080000}"/>
    <cellStyle name="_집행갑지 _송학하수품의(설계넣고)_무안-광주2공구(협력)수정_사우나최종_사우나최종17" xfId="4103" xr:uid="{00000000-0005-0000-0000-000050080000}"/>
    <cellStyle name="_집행갑지 _송학하수품의(설계넣고)_무안-광주2공구(협력)수정_사우나최종_워터파크" xfId="4104" xr:uid="{00000000-0005-0000-0000-000051080000}"/>
    <cellStyle name="_집행갑지 _송학하수품의(설계넣고)_번암견적의뢰(협력)" xfId="4105" xr:uid="{00000000-0005-0000-0000-000052080000}"/>
    <cellStyle name="_집행갑지 _송학하수품의(설계넣고)_번암견적의뢰(협력)_사우나최종" xfId="4106" xr:uid="{00000000-0005-0000-0000-000053080000}"/>
    <cellStyle name="_집행갑지 _송학하수품의(설계넣고)_번암견적의뢰(협력)_사우나최종_사우나최종17" xfId="4107" xr:uid="{00000000-0005-0000-0000-000054080000}"/>
    <cellStyle name="_집행갑지 _송학하수품의(설계넣고)_번암견적의뢰(협력)_사우나최종_워터파크" xfId="4108" xr:uid="{00000000-0005-0000-0000-000055080000}"/>
    <cellStyle name="_집행갑지 _송학하수품의(설계넣고)_사우나최종" xfId="4109" xr:uid="{00000000-0005-0000-0000-000056080000}"/>
    <cellStyle name="_집행갑지 _송학하수품의(설계넣고)_사우나최종_사우나최종17" xfId="4110" xr:uid="{00000000-0005-0000-0000-000057080000}"/>
    <cellStyle name="_집행갑지 _송학하수품의(설계넣고)_사우나최종_워터파크" xfId="4111" xr:uid="{00000000-0005-0000-0000-000058080000}"/>
    <cellStyle name="_집행갑지 _송학하수품의(설계넣고)_적상무주IC도로(1공구)" xfId="4112" xr:uid="{00000000-0005-0000-0000-000059080000}"/>
    <cellStyle name="_집행갑지 _송학하수품의(설계넣고)_적상무주IC도로(1공구)_사우나최종" xfId="4113" xr:uid="{00000000-0005-0000-0000-00005A080000}"/>
    <cellStyle name="_집행갑지 _송학하수품의(설계넣고)_적상무주IC도로(1공구)_사우나최종_사우나최종17" xfId="4114" xr:uid="{00000000-0005-0000-0000-00005B080000}"/>
    <cellStyle name="_집행갑지 _송학하수품의(설계넣고)_적상무주IC도로(1공구)_사우나최종_워터파크" xfId="4115" xr:uid="{00000000-0005-0000-0000-00005C080000}"/>
    <cellStyle name="_집행갑지 _예산분류 (공구구분)" xfId="698" xr:uid="{00000000-0005-0000-0000-00005D080000}"/>
    <cellStyle name="_집행갑지 _예산분류 (공구구분)_(주)KCC 아산공장 위험물창고 증축공사-200684" xfId="699" xr:uid="{00000000-0005-0000-0000-00005E080000}"/>
    <cellStyle name="_집행갑지 _예산분류 (공구구분)_발산 아파트 1공구 공내역" xfId="700" xr:uid="{00000000-0005-0000-0000-00005F080000}"/>
    <cellStyle name="_집행갑지 _예산분류 (공구구분)_발산 아파트 1공구 공내역_(주)KCC 아산공장 위험물창고 증축공사-200684" xfId="701" xr:uid="{00000000-0005-0000-0000-000060080000}"/>
    <cellStyle name="_집행갑지 _예산분류 (공구구분)_일반 외주 공내역서 (공구구분)" xfId="702" xr:uid="{00000000-0005-0000-0000-000061080000}"/>
    <cellStyle name="_집행갑지 _예산분류 (공구구분)_일반 외주 공내역서 (공구구분)_(주)KCC 아산공장 위험물창고 증축공사-200684" xfId="703" xr:uid="{00000000-0005-0000-0000-000062080000}"/>
    <cellStyle name="_집행갑지 _예산분류 (공구구분)_일반배관 외주발주 예산분류 (공구구분)" xfId="704" xr:uid="{00000000-0005-0000-0000-000063080000}"/>
    <cellStyle name="_집행갑지 _예산분류 (공구구분)_일반배관 외주발주 예산분류 (공구구분)_(주)KCC 아산공장 위험물창고 증축공사-200684" xfId="705" xr:uid="{00000000-0005-0000-0000-000064080000}"/>
    <cellStyle name="_집행갑지 _예산분류 (공구구분)_일반배관 외주발주 예산분류 (공구구분)-1" xfId="706" xr:uid="{00000000-0005-0000-0000-000065080000}"/>
    <cellStyle name="_집행갑지 _예산분류 (공구구분)_일반배관 외주발주 예산분류 (공구구분)-1_(주)KCC 아산공장 위험물창고 증축공사-200684" xfId="707" xr:uid="{00000000-0005-0000-0000-000066080000}"/>
    <cellStyle name="_집행갑지 _일반배관 외주발주 예산분류 (공구구분)" xfId="708" xr:uid="{00000000-0005-0000-0000-000067080000}"/>
    <cellStyle name="_집행갑지 _일반배관 외주발주 예산분류 (공구구분)_(주)KCC 아산공장 위험물창고 증축공사-200684" xfId="709" xr:uid="{00000000-0005-0000-0000-000068080000}"/>
    <cellStyle name="_집행갑지 _일반배관 외주발주 예산분류 (공구구분)_발산 아파트 1공구 공내역" xfId="710" xr:uid="{00000000-0005-0000-0000-000069080000}"/>
    <cellStyle name="_집행갑지 _일반배관 외주발주 예산분류 (공구구분)_발산 아파트 1공구 공내역_(주)KCC 아산공장 위험물창고 증축공사-200684" xfId="711" xr:uid="{00000000-0005-0000-0000-00006A080000}"/>
    <cellStyle name="_집행갑지 _일반배관 외주발주 예산분류 (공구구분)_일반 외주 공내역서 (공구구분)" xfId="712" xr:uid="{00000000-0005-0000-0000-00006B080000}"/>
    <cellStyle name="_집행갑지 _일반배관 외주발주 예산분류 (공구구분)_일반 외주 공내역서 (공구구분)_(주)KCC 아산공장 위험물창고 증축공사-200684" xfId="713" xr:uid="{00000000-0005-0000-0000-00006C080000}"/>
    <cellStyle name="_집행갑지 _일반배관 외주발주 예산분류 (공구구분)_일반배관 외주발주 예산분류 (공구구분)" xfId="714" xr:uid="{00000000-0005-0000-0000-00006D080000}"/>
    <cellStyle name="_집행갑지 _일반배관 외주발주 예산분류 (공구구분)_일반배관 외주발주 예산분류 (공구구분)_(주)KCC 아산공장 위험물창고 증축공사-200684" xfId="715" xr:uid="{00000000-0005-0000-0000-00006E080000}"/>
    <cellStyle name="_집행갑지 _일반배관 외주발주 예산분류 (공구구분)_일반배관 외주발주 예산분류 (공구구분)-1" xfId="716" xr:uid="{00000000-0005-0000-0000-00006F080000}"/>
    <cellStyle name="_집행갑지 _일반배관 외주발주 예산분류 (공구구분)_일반배관 외주발주 예산분류 (공구구분)-1_(주)KCC 아산공장 위험물창고 증축공사-200684" xfId="717" xr:uid="{00000000-0005-0000-0000-000070080000}"/>
    <cellStyle name="_집행갑지 _적상무주IC도로(1공구)" xfId="4116" xr:uid="{00000000-0005-0000-0000-000071080000}"/>
    <cellStyle name="_집행갑지 _적상무주IC도로(1공구)_사우나최종" xfId="4117" xr:uid="{00000000-0005-0000-0000-000072080000}"/>
    <cellStyle name="_집행갑지 _적상무주IC도로(1공구)_사우나최종_사우나최종17" xfId="4118" xr:uid="{00000000-0005-0000-0000-000073080000}"/>
    <cellStyle name="_집행갑지 _적상무주IC도로(1공구)_사우나최종_워터파크" xfId="4119" xr:uid="{00000000-0005-0000-0000-000074080000}"/>
    <cellStyle name="_창원점A공구" xfId="718" xr:uid="{00000000-0005-0000-0000-000075080000}"/>
    <cellStyle name="_천안 고객 PLAZA 내장공사" xfId="4120" xr:uid="{00000000-0005-0000-0000-000076080000}"/>
    <cellStyle name="_천안민방위교육관  인테리어견적(장비포함)" xfId="4121" xr:uid="{00000000-0005-0000-0000-000077080000}"/>
    <cellStyle name="_청호빌딩 가)실행(6.25)" xfId="4122" xr:uid="{00000000-0005-0000-0000-000078080000}"/>
    <cellStyle name="_총기계경비(2001-2003)" xfId="719" xr:uid="{00000000-0005-0000-0000-000079080000}"/>
    <cellStyle name="_추가정산(2003,2,20)" xfId="720" xr:uid="{00000000-0005-0000-0000-00007A080000}"/>
    <cellStyle name="_충정실행" xfId="721" xr:uid="{00000000-0005-0000-0000-00007B080000}"/>
    <cellStyle name="_충정실행_의왕실행" xfId="722" xr:uid="{00000000-0005-0000-0000-00007C080000}"/>
    <cellStyle name="_측량하도승인요청" xfId="4123" xr:uid="{00000000-0005-0000-0000-00007D080000}"/>
    <cellStyle name="_카펠라(조정제출)" xfId="4124" xr:uid="{00000000-0005-0000-0000-00007E080000}"/>
    <cellStyle name="_카펠라스포츠클럽(쇼핑몰)-변경비교내역0413" xfId="4125" xr:uid="{00000000-0005-0000-0000-00007F080000}"/>
    <cellStyle name="_타니CC(실행예산)-공사분류" xfId="4126" xr:uid="{00000000-0005-0000-0000-000080080000}"/>
    <cellStyle name="_태인-원평2공구(협력)" xfId="4127" xr:uid="{00000000-0005-0000-0000-000081080000}"/>
    <cellStyle name="_태인-원평2공구(협력)_사우나최종" xfId="4128" xr:uid="{00000000-0005-0000-0000-000082080000}"/>
    <cellStyle name="_태인-원평2공구(협력)_사우나최종_사우나최종17" xfId="4129" xr:uid="{00000000-0005-0000-0000-000083080000}"/>
    <cellStyle name="_태인-원평2공구(협력)_사우나최종_워터파크" xfId="4130" xr:uid="{00000000-0005-0000-0000-000084080000}"/>
    <cellStyle name="_태인-원평2공구(협력)_적상무주IC도로(1공구)" xfId="4131" xr:uid="{00000000-0005-0000-0000-000085080000}"/>
    <cellStyle name="_태인-원평2공구(협력)_적상무주IC도로(1공구)_사우나최종" xfId="4132" xr:uid="{00000000-0005-0000-0000-000086080000}"/>
    <cellStyle name="_태인-원평2공구(협력)_적상무주IC도로(1공구)_사우나최종_사우나최종17" xfId="4133" xr:uid="{00000000-0005-0000-0000-000087080000}"/>
    <cellStyle name="_태인-원평2공구(협력)_적상무주IC도로(1공구)_사우나최종_워터파크" xfId="4134" xr:uid="{00000000-0005-0000-0000-000088080000}"/>
    <cellStyle name="_토목" xfId="4135" xr:uid="{00000000-0005-0000-0000-000089080000}"/>
    <cellStyle name="_토목계약서(정릉)" xfId="4136" xr:uid="{00000000-0005-0000-0000-00008A080000}"/>
    <cellStyle name="_토목설계" xfId="4137" xr:uid="{00000000-0005-0000-0000-00008B080000}"/>
    <cellStyle name="_토목설계_사우나최종" xfId="4138" xr:uid="{00000000-0005-0000-0000-00008C080000}"/>
    <cellStyle name="_토목설계_사우나최종_사우나최종17" xfId="4139" xr:uid="{00000000-0005-0000-0000-00008D080000}"/>
    <cellStyle name="_토목설계_사우나최종_워터파크" xfId="4140" xr:uid="{00000000-0005-0000-0000-00008E080000}"/>
    <cellStyle name="_토목하도승인요청" xfId="4141" xr:uid="{00000000-0005-0000-0000-00008F080000}"/>
    <cellStyle name="_토목하도승인요청_사우나최종" xfId="4142" xr:uid="{00000000-0005-0000-0000-000090080000}"/>
    <cellStyle name="_토목하도승인요청_사우나최종_사우나최종17" xfId="4143" xr:uid="{00000000-0005-0000-0000-000091080000}"/>
    <cellStyle name="_토목하도승인요청_사우나최종_워터파크" xfId="4144" xr:uid="{00000000-0005-0000-0000-000092080000}"/>
    <cellStyle name="_파일사전공사승인(본사)" xfId="4145" xr:uid="{00000000-0005-0000-0000-000093080000}"/>
    <cellStyle name="_파일사전공사승인(본사)_사우나최종" xfId="4146" xr:uid="{00000000-0005-0000-0000-000094080000}"/>
    <cellStyle name="_파일사전공사승인(본사)_사우나최종_사우나최종17" xfId="4147" xr:uid="{00000000-0005-0000-0000-000095080000}"/>
    <cellStyle name="_파일사전공사승인(본사)_사우나최종_워터파크" xfId="4148" xr:uid="{00000000-0005-0000-0000-000096080000}"/>
    <cellStyle name="_파주아카데미견적서" xfId="4149" xr:uid="{00000000-0005-0000-0000-000097080000}"/>
    <cellStyle name="_포기각서" xfId="723" xr:uid="{00000000-0005-0000-0000-000098080000}"/>
    <cellStyle name="_포기각서_내역분개" xfId="724" xr:uid="{00000000-0005-0000-0000-000099080000}"/>
    <cellStyle name="_포기각서_내역분개_내역분개" xfId="725" xr:uid="{00000000-0005-0000-0000-00009A080000}"/>
    <cellStyle name="_포항실행견적내역" xfId="726" xr:uid="{00000000-0005-0000-0000-00009B080000}"/>
    <cellStyle name="_표지및원가계산" xfId="727" xr:uid="{00000000-0005-0000-0000-00009C080000}"/>
    <cellStyle name="_품의서" xfId="4150" xr:uid="{00000000-0005-0000-0000-00009D080000}"/>
    <cellStyle name="_하나로정보센터 견적(각층별 최종)" xfId="728" xr:uid="{00000000-0005-0000-0000-00009E080000}"/>
    <cellStyle name="_해외조직" xfId="729" xr:uid="{00000000-0005-0000-0000-00009F080000}"/>
    <cellStyle name="_해외조직_1" xfId="730" xr:uid="{00000000-0005-0000-0000-0000A0080000}"/>
    <cellStyle name="_해제우회도로보고서(2002.1.25)" xfId="731" xr:uid="{00000000-0005-0000-0000-0000A1080000}"/>
    <cellStyle name="_해제우회도로보고서(2002.1.25)_03 기계경비(2000~2002)" xfId="732" xr:uid="{00000000-0005-0000-0000-0000A2080000}"/>
    <cellStyle name="_해제우회도로보고서(2002.1.25)_기계경비(2000~2002)" xfId="733" xr:uid="{00000000-0005-0000-0000-0000A3080000}"/>
    <cellStyle name="_해제우회도로보고서(2002.1.25)_기계경비(2001~2002)" xfId="734" xr:uid="{00000000-0005-0000-0000-0000A4080000}"/>
    <cellStyle name="_해제우회도로보고서(2002.1.25)_기계경비지수산출" xfId="735" xr:uid="{00000000-0005-0000-0000-0000A5080000}"/>
    <cellStyle name="_해제우회도로보고서(2002.1.25)_기계경비지수산출(03년용)" xfId="736" xr:uid="{00000000-0005-0000-0000-0000A6080000}"/>
    <cellStyle name="_해제우회도로보고서(2002.1.25)_총기계경비(2001-2003)" xfId="737" xr:uid="{00000000-0005-0000-0000-0000A7080000}"/>
    <cellStyle name="_현대자동차연구센터 증축공사02.22" xfId="4151" xr:uid="{00000000-0005-0000-0000-0000A8080000}"/>
    <cellStyle name="_현설양식" xfId="738" xr:uid="{00000000-0005-0000-0000-0000A9080000}"/>
    <cellStyle name="_현설양식_내역분개" xfId="739" xr:uid="{00000000-0005-0000-0000-0000AA080000}"/>
    <cellStyle name="_현설양식_내역분개_내역분개" xfId="740" xr:uid="{00000000-0005-0000-0000-0000AB080000}"/>
    <cellStyle name="_현장가설전력산출서-박물관" xfId="741" xr:uid="{00000000-0005-0000-0000-0000AC080000}"/>
    <cellStyle name="_현장설명" xfId="742" xr:uid="{00000000-0005-0000-0000-0000AD080000}"/>
    <cellStyle name="_현장설명_내역분개" xfId="743" xr:uid="{00000000-0005-0000-0000-0000AE080000}"/>
    <cellStyle name="_현장설명_내역분개_내역분개" xfId="744" xr:uid="{00000000-0005-0000-0000-0000AF080000}"/>
    <cellStyle name="_홍대,화정견적" xfId="745" xr:uid="{00000000-0005-0000-0000-0000B0080000}"/>
    <cellStyle name="_화산가차" xfId="746" xr:uid="{00000000-0005-0000-0000-0000B1080000}"/>
    <cellStyle name="_화산가차_03 기계경비(2000~2002)" xfId="747" xr:uid="{00000000-0005-0000-0000-0000B2080000}"/>
    <cellStyle name="_화산가차_기계경비(2000~2002)" xfId="748" xr:uid="{00000000-0005-0000-0000-0000B3080000}"/>
    <cellStyle name="_화산가차_기계경비(2001~2002)" xfId="749" xr:uid="{00000000-0005-0000-0000-0000B4080000}"/>
    <cellStyle name="_화산가차_기계경비지수산출" xfId="750" xr:uid="{00000000-0005-0000-0000-0000B5080000}"/>
    <cellStyle name="_화산가차_기계경비지수산출(03년용)" xfId="751" xr:uid="{00000000-0005-0000-0000-0000B6080000}"/>
    <cellStyle name="_화산가차_총기계경비(2001-2003)" xfId="752" xr:uid="{00000000-0005-0000-0000-0000B7080000}"/>
    <cellStyle name="_화성봉담주민공동시설인테리어공사" xfId="4152" xr:uid="{00000000-0005-0000-0000-0000B8080000}"/>
    <cellStyle name="_화성태안아파트" xfId="4153" xr:uid="{00000000-0005-0000-0000-0000B9080000}"/>
    <cellStyle name="_황산교회" xfId="753" xr:uid="{00000000-0005-0000-0000-0000BA080000}"/>
    <cellStyle name="¡E￠￥@?e_TEST-1 " xfId="912" xr:uid="{00000000-0005-0000-0000-0000BB080000}"/>
    <cellStyle name="’E‰Y [0.00]_laroux" xfId="913" xr:uid="{00000000-0005-0000-0000-0000BC080000}"/>
    <cellStyle name="’E‰Y_laroux" xfId="914" xr:uid="{00000000-0005-0000-0000-0000BD080000}"/>
    <cellStyle name="′ЀЁÔ@會Ѐ_x0001_ " xfId="915" xr:uid="{00000000-0005-0000-0000-0000BE080000}"/>
    <cellStyle name="￠´@?e_TEST-1 " xfId="919" xr:uid="{00000000-0005-0000-0000-0000BF080000}"/>
    <cellStyle name="￠RERERERIiU￠RERERERE?￠RERERERER ￠RERERERE?A￠RERERERE￠RERERERIA CIAI￠RERERER¡ERERER￠RERER￠RERE?¡ERERERERU￠RERERERE￠RERERER¡ERER￠RER¡ER¡E?I￠RERER￠RER¡ER￠R￠?I￠RERERERIiA￠RERERER¡ERERER￠RERER￠RERE?I" xfId="920" xr:uid="{00000000-0005-0000-0000-0000C0080000}"/>
    <cellStyle name="¤@?e_TEST-1 " xfId="921" xr:uid="{00000000-0005-0000-0000-0000C1080000}"/>
    <cellStyle name="\MNPREF32.DLL&amp;" xfId="4168" xr:uid="{00000000-0005-0000-0000-0000C2080000}"/>
    <cellStyle name="+,-,0" xfId="4165" xr:uid="{00000000-0005-0000-0000-0000C3080000}"/>
    <cellStyle name="△ []" xfId="4166" xr:uid="{00000000-0005-0000-0000-0000C4080000}"/>
    <cellStyle name="△ [0]" xfId="4167" xr:uid="{00000000-0005-0000-0000-0000C5080000}"/>
    <cellStyle name="△백분율" xfId="916" xr:uid="{00000000-0005-0000-0000-0000C6080000}"/>
    <cellStyle name="△콤마" xfId="917" xr:uid="{00000000-0005-0000-0000-0000C7080000}"/>
    <cellStyle name="●" xfId="918" xr:uid="{00000000-0005-0000-0000-0000C8080000}"/>
    <cellStyle name="0.0" xfId="922" xr:uid="{00000000-0005-0000-0000-0000C9080000}"/>
    <cellStyle name="0.00" xfId="923" xr:uid="{00000000-0005-0000-0000-0000CA080000}"/>
    <cellStyle name="0.000%_품셈 " xfId="924" xr:uid="{00000000-0005-0000-0000-0000CB080000}"/>
    <cellStyle name="0.0000%_자재물량산출_품셈 " xfId="925" xr:uid="{00000000-0005-0000-0000-0000CC080000}"/>
    <cellStyle name="1" xfId="926" xr:uid="{00000000-0005-0000-0000-0000CD080000}"/>
    <cellStyle name="1 2" xfId="927" xr:uid="{00000000-0005-0000-0000-0000CE080000}"/>
    <cellStyle name="1_01 건축예산5(040517)" xfId="928" xr:uid="{00000000-0005-0000-0000-0000CF080000}"/>
    <cellStyle name="1_건축실행(휴먼센터)03-내역수정" xfId="929" xr:uid="{00000000-0005-0000-0000-0000D0080000}"/>
    <cellStyle name="1_단가조사표" xfId="930" xr:uid="{00000000-0005-0000-0000-0000D1080000}"/>
    <cellStyle name="1_단가조사표_1011소각" xfId="4169" xr:uid="{00000000-0005-0000-0000-0000D2080000}"/>
    <cellStyle name="1_단가조사표_1113교~1" xfId="4170" xr:uid="{00000000-0005-0000-0000-0000D3080000}"/>
    <cellStyle name="1_단가조사표_121내역" xfId="4171" xr:uid="{00000000-0005-0000-0000-0000D4080000}"/>
    <cellStyle name="1_단가조사표_객토량" xfId="4172" xr:uid="{00000000-0005-0000-0000-0000D5080000}"/>
    <cellStyle name="1_단가조사표_교통센~1" xfId="4173" xr:uid="{00000000-0005-0000-0000-0000D6080000}"/>
    <cellStyle name="1_단가조사표_교통센터412" xfId="4174" xr:uid="{00000000-0005-0000-0000-0000D7080000}"/>
    <cellStyle name="1_단가조사표_교통수" xfId="4175" xr:uid="{00000000-0005-0000-0000-0000D8080000}"/>
    <cellStyle name="1_단가조사표_교통수량산출서" xfId="4176" xr:uid="{00000000-0005-0000-0000-0000D9080000}"/>
    <cellStyle name="1_단가조사표_구조물대가 (2)" xfId="4177" xr:uid="{00000000-0005-0000-0000-0000DA080000}"/>
    <cellStyle name="1_단가조사표_내역서 (2)" xfId="4178" xr:uid="{00000000-0005-0000-0000-0000DB080000}"/>
    <cellStyle name="1_단가조사표_대전관저지구" xfId="4179" xr:uid="{00000000-0005-0000-0000-0000DC080000}"/>
    <cellStyle name="1_단가조사표_동측지~1" xfId="4180" xr:uid="{00000000-0005-0000-0000-0000DD080000}"/>
    <cellStyle name="1_단가조사표_동측지원422" xfId="4181" xr:uid="{00000000-0005-0000-0000-0000DE080000}"/>
    <cellStyle name="1_단가조사표_동측지원512" xfId="4182" xr:uid="{00000000-0005-0000-0000-0000DF080000}"/>
    <cellStyle name="1_단가조사표_동측지원524" xfId="4183" xr:uid="{00000000-0005-0000-0000-0000E0080000}"/>
    <cellStyle name="1_단가조사표_부대422" xfId="4184" xr:uid="{00000000-0005-0000-0000-0000E1080000}"/>
    <cellStyle name="1_단가조사표_부대시설" xfId="4185" xr:uid="{00000000-0005-0000-0000-0000E2080000}"/>
    <cellStyle name="1_단가조사표_소각수~1" xfId="4186" xr:uid="{00000000-0005-0000-0000-0000E3080000}"/>
    <cellStyle name="1_단가조사표_소각수내역서" xfId="4187" xr:uid="{00000000-0005-0000-0000-0000E4080000}"/>
    <cellStyle name="1_단가조사표_소각수목2" xfId="4188" xr:uid="{00000000-0005-0000-0000-0000E5080000}"/>
    <cellStyle name="1_단가조사표_수량산출서 (2)" xfId="4189" xr:uid="{00000000-0005-0000-0000-0000E6080000}"/>
    <cellStyle name="1_단가조사표_엑스포~1" xfId="4190" xr:uid="{00000000-0005-0000-0000-0000E7080000}"/>
    <cellStyle name="1_단가조사표_엑스포한빛1" xfId="4191" xr:uid="{00000000-0005-0000-0000-0000E8080000}"/>
    <cellStyle name="1_단가조사표_여객터미널331" xfId="4192" xr:uid="{00000000-0005-0000-0000-0000E9080000}"/>
    <cellStyle name="1_단가조사표_여객터미널513" xfId="4193" xr:uid="{00000000-0005-0000-0000-0000EA080000}"/>
    <cellStyle name="1_단가조사표_여객터미널629" xfId="4194" xr:uid="{00000000-0005-0000-0000-0000EB080000}"/>
    <cellStyle name="1_단가조사표_외곽도로616" xfId="4195" xr:uid="{00000000-0005-0000-0000-0000EC080000}"/>
    <cellStyle name="1_단가조사표_용인죽전수량" xfId="4196" xr:uid="{00000000-0005-0000-0000-0000ED080000}"/>
    <cellStyle name="1_단가조사표_원가계~1" xfId="4197" xr:uid="{00000000-0005-0000-0000-0000EE080000}"/>
    <cellStyle name="1_단가조사표_유기질" xfId="4198" xr:uid="{00000000-0005-0000-0000-0000EF080000}"/>
    <cellStyle name="1_단가조사표_자재조서 (2)" xfId="4199" xr:uid="{00000000-0005-0000-0000-0000F0080000}"/>
    <cellStyle name="1_단가조사표_총괄내역" xfId="4200" xr:uid="{00000000-0005-0000-0000-0000F1080000}"/>
    <cellStyle name="1_단가조사표_총괄내역 (2)" xfId="4201" xr:uid="{00000000-0005-0000-0000-0000F2080000}"/>
    <cellStyle name="1_단가조사표_터미널도로403" xfId="4202" xr:uid="{00000000-0005-0000-0000-0000F3080000}"/>
    <cellStyle name="1_단가조사표_터미널도로429" xfId="4203" xr:uid="{00000000-0005-0000-0000-0000F4080000}"/>
    <cellStyle name="1_단가조사표_포장일위" xfId="4204" xr:uid="{00000000-0005-0000-0000-0000F5080000}"/>
    <cellStyle name="1_방염산출" xfId="931" xr:uid="{00000000-0005-0000-0000-0000F6080000}"/>
    <cellStyle name="1_설계외주사무동 실행(가)" xfId="932" xr:uid="{00000000-0005-0000-0000-0000F7080000}"/>
    <cellStyle name="1_수의계약사유서" xfId="933" xr:uid="{00000000-0005-0000-0000-0000F8080000}"/>
    <cellStyle name="1_월성단신부임자사택신축 기계실행" xfId="934" xr:uid="{00000000-0005-0000-0000-0000F9080000}"/>
    <cellStyle name="1_인테리어 공사 공내역2009.07.23최종(조과장)" xfId="935" xr:uid="{00000000-0005-0000-0000-0000FA080000}"/>
    <cellStyle name="1_입찰금액" xfId="936" xr:uid="{00000000-0005-0000-0000-0000FB080000}"/>
    <cellStyle name="1_홍학연립 건축실행(관리부검토반영)20030428" xfId="937" xr:uid="{00000000-0005-0000-0000-0000FC080000}"/>
    <cellStyle name="10" xfId="938" xr:uid="{00000000-0005-0000-0000-0000FD080000}"/>
    <cellStyle name="¹eº" xfId="4205" xr:uid="{00000000-0005-0000-0000-0000FE080000}"/>
    <cellStyle name="¹éº" xfId="4206" xr:uid="{00000000-0005-0000-0000-0000FF080000}"/>
    <cellStyle name="2" xfId="939" xr:uid="{00000000-0005-0000-0000-000000090000}"/>
    <cellStyle name="²" xfId="940" xr:uid="{00000000-0005-0000-0000-000001090000}"/>
    <cellStyle name="2)" xfId="941" xr:uid="{00000000-0005-0000-0000-000002090000}"/>
    <cellStyle name="2_단가조사표" xfId="942" xr:uid="{00000000-0005-0000-0000-000003090000}"/>
    <cellStyle name="2_단가조사표_1011소각" xfId="4207" xr:uid="{00000000-0005-0000-0000-000004090000}"/>
    <cellStyle name="2_단가조사표_1113교~1" xfId="4208" xr:uid="{00000000-0005-0000-0000-000005090000}"/>
    <cellStyle name="2_단가조사표_121내역" xfId="4209" xr:uid="{00000000-0005-0000-0000-000006090000}"/>
    <cellStyle name="2_단가조사표_객토량" xfId="4210" xr:uid="{00000000-0005-0000-0000-000007090000}"/>
    <cellStyle name="2_단가조사표_교통센~1" xfId="4211" xr:uid="{00000000-0005-0000-0000-000008090000}"/>
    <cellStyle name="2_단가조사표_교통센터412" xfId="4212" xr:uid="{00000000-0005-0000-0000-000009090000}"/>
    <cellStyle name="2_단가조사표_교통수" xfId="4213" xr:uid="{00000000-0005-0000-0000-00000A090000}"/>
    <cellStyle name="2_단가조사표_교통수량산출서" xfId="4214" xr:uid="{00000000-0005-0000-0000-00000B090000}"/>
    <cellStyle name="2_단가조사표_구조물대가 (2)" xfId="4215" xr:uid="{00000000-0005-0000-0000-00000C090000}"/>
    <cellStyle name="2_단가조사표_내역서 (2)" xfId="4216" xr:uid="{00000000-0005-0000-0000-00000D090000}"/>
    <cellStyle name="2_단가조사표_대전관저지구" xfId="4217" xr:uid="{00000000-0005-0000-0000-00000E090000}"/>
    <cellStyle name="2_단가조사표_동측지~1" xfId="4218" xr:uid="{00000000-0005-0000-0000-00000F090000}"/>
    <cellStyle name="2_단가조사표_동측지원422" xfId="4219" xr:uid="{00000000-0005-0000-0000-000010090000}"/>
    <cellStyle name="2_단가조사표_동측지원512" xfId="4220" xr:uid="{00000000-0005-0000-0000-000011090000}"/>
    <cellStyle name="2_단가조사표_동측지원524" xfId="4221" xr:uid="{00000000-0005-0000-0000-000012090000}"/>
    <cellStyle name="2_단가조사표_부대422" xfId="4222" xr:uid="{00000000-0005-0000-0000-000013090000}"/>
    <cellStyle name="2_단가조사표_부대시설" xfId="4223" xr:uid="{00000000-0005-0000-0000-000014090000}"/>
    <cellStyle name="2_단가조사표_소각수~1" xfId="4224" xr:uid="{00000000-0005-0000-0000-000015090000}"/>
    <cellStyle name="2_단가조사표_소각수내역서" xfId="4225" xr:uid="{00000000-0005-0000-0000-000016090000}"/>
    <cellStyle name="2_단가조사표_소각수목2" xfId="4226" xr:uid="{00000000-0005-0000-0000-000017090000}"/>
    <cellStyle name="2_단가조사표_수량산출서 (2)" xfId="4227" xr:uid="{00000000-0005-0000-0000-000018090000}"/>
    <cellStyle name="2_단가조사표_엑스포~1" xfId="4228" xr:uid="{00000000-0005-0000-0000-000019090000}"/>
    <cellStyle name="2_단가조사표_엑스포한빛1" xfId="4229" xr:uid="{00000000-0005-0000-0000-00001A090000}"/>
    <cellStyle name="2_단가조사표_여객터미널331" xfId="4230" xr:uid="{00000000-0005-0000-0000-00001B090000}"/>
    <cellStyle name="2_단가조사표_여객터미널513" xfId="4231" xr:uid="{00000000-0005-0000-0000-00001C090000}"/>
    <cellStyle name="2_단가조사표_여객터미널629" xfId="4232" xr:uid="{00000000-0005-0000-0000-00001D090000}"/>
    <cellStyle name="2_단가조사표_외곽도로616" xfId="4233" xr:uid="{00000000-0005-0000-0000-00001E090000}"/>
    <cellStyle name="2_단가조사표_용인죽전수량" xfId="4234" xr:uid="{00000000-0005-0000-0000-00001F090000}"/>
    <cellStyle name="2_단가조사표_원가계~1" xfId="4235" xr:uid="{00000000-0005-0000-0000-000020090000}"/>
    <cellStyle name="2_단가조사표_유기질" xfId="4236" xr:uid="{00000000-0005-0000-0000-000021090000}"/>
    <cellStyle name="2_단가조사표_자재조서 (2)" xfId="4237" xr:uid="{00000000-0005-0000-0000-000022090000}"/>
    <cellStyle name="2_단가조사표_총괄내역" xfId="4238" xr:uid="{00000000-0005-0000-0000-000023090000}"/>
    <cellStyle name="2_단가조사표_총괄내역 (2)" xfId="4239" xr:uid="{00000000-0005-0000-0000-000024090000}"/>
    <cellStyle name="2_단가조사표_터미널도로403" xfId="4240" xr:uid="{00000000-0005-0000-0000-000025090000}"/>
    <cellStyle name="³f¹ô[0]_pldt" xfId="943" xr:uid="{00000000-0005-0000-0000-000026090000}"/>
    <cellStyle name="³f¹ô_pldt" xfId="944" xr:uid="{00000000-0005-0000-0000-000027090000}"/>
    <cellStyle name="60" xfId="945" xr:uid="{00000000-0005-0000-0000-000028090000}"/>
    <cellStyle name="7" xfId="4241" xr:uid="{00000000-0005-0000-0000-000029090000}"/>
    <cellStyle name="7_6월근무편성" xfId="4242" xr:uid="{00000000-0005-0000-0000-00002A090000}"/>
    <cellStyle name="82" xfId="946" xr:uid="{00000000-0005-0000-0000-00002B090000}"/>
    <cellStyle name="90" xfId="4243" xr:uid="{00000000-0005-0000-0000-00002C090000}"/>
    <cellStyle name="a" xfId="1324" xr:uid="{00000000-0005-0000-0000-00002D090000}"/>
    <cellStyle name="A¡§¡ⓒ¡E¡þ¡EO [0]_INQUIRY ¡E?¡Ii¡§u￠RAA¨I¡þA¨I¨￡ " xfId="1325" xr:uid="{00000000-0005-0000-0000-00002E090000}"/>
    <cellStyle name="A¡§¡ⓒ¡E¡þ¡EO_INQUIRY ¡E?¡Ii¡§u￠RAA¨I¡þA¨I¨￡ " xfId="1326" xr:uid="{00000000-0005-0000-0000-00002F090000}"/>
    <cellStyle name="A¡ER￠R¡¿¡ER¡§I¡ERE¡ER¨I¡ⓒ¡EREO [0]_¡ER￠R¡¿¡ER¨I¡ⓒ?￠RER￠R¡×¡ER￠R¡×I￠RER￠R¡×IoRA￠R¡×I¡§I¡§¡I" xfId="1327" xr:uid="{00000000-0005-0000-0000-000030090000}"/>
    <cellStyle name="A¡ER￠R¡¿¡ER¡§I¡ERE¡ER¨I¡ⓒ¡EREO_¡ER￠R¡¿¡ER¨I¡ⓒ?￠RER￠R¡×¡ER￠R¡×I￠RER￠R¡×IoRA￠R¡×I¡§I¡§¡I" xfId="1328" xr:uid="{00000000-0005-0000-0000-000031090000}"/>
    <cellStyle name="A¡ERER￠RER¡ER¡E?¡ERER¡ER￠R¡¿I¡ERERE¡ERER￠R¡×I¡ER¡§I¡EREREO [0]_¡ERER￠RER¡ER¡E?uoA￠RER¡ER￠R￠?Io￠RERER￠RER¡ER￠R￠?¡EREReE￠RER¡ER￠R￠?Io " xfId="1329" xr:uid="{00000000-0005-0000-0000-000032090000}"/>
    <cellStyle name="A¡ERER￠RER¡ER¡E?¡ERER¡ER￠R¡¿I¡ERERE¡ERER￠R¡×I¡ER¡§I¡EREREO_¡ERER￠RER¡ER¡E?uoA￠RER¡ER￠R￠?Io￠RERER￠RER¡ER￠R￠?¡EREReE￠RER¡ER￠R￠?Io " xfId="1330" xr:uid="{00000000-0005-0000-0000-000033090000}"/>
    <cellStyle name="A¨­￠￢￠O [0]_ ¨￢n￠￢n¨￢¡Æ ￠?u¨￢¡Æ¡¾a¨uu " xfId="1331" xr:uid="{00000000-0005-0000-0000-000034090000}"/>
    <cellStyle name="A¨­¢¬¢Ò [0]_ ¨¬n¢¬n¨¬¡Æ ¢¯u¨¬¡Æ¡¾a¨ùu " xfId="1332" xr:uid="{00000000-0005-0000-0000-000035090000}"/>
    <cellStyle name="A¨­￠￢￠O [0]_¡¾ⓒøA¡Æ¨oA¡Æ¡IC¡I " xfId="1333" xr:uid="{00000000-0005-0000-0000-000036090000}"/>
    <cellStyle name="A¨­¢¬¢Ò [0]_¡íc¨ú¡À¢¯u¨¬¡Æ .¡¾a¨ùu " xfId="1334" xr:uid="{00000000-0005-0000-0000-000037090000}"/>
    <cellStyle name="A¨­￠￢￠O [0]_¨¡AC¡IAo_¡ÆeEⓒo3 " xfId="1335" xr:uid="{00000000-0005-0000-0000-000038090000}"/>
    <cellStyle name="A¨­¢¬¢Ò [0]_¨ùoA©ö¡ÆeE©ö " xfId="1336" xr:uid="{00000000-0005-0000-0000-000039090000}"/>
    <cellStyle name="A¨­￠￢￠O [0]_¨uoAa¨oCAu " xfId="1337" xr:uid="{00000000-0005-0000-0000-00003A090000}"/>
    <cellStyle name="A¨­¢¬¢Ò [0]_¨ùoAa¨öCAu " xfId="1338" xr:uid="{00000000-0005-0000-0000-00003B090000}"/>
    <cellStyle name="A¨­￠￢￠O [0]_¨uoAa¨oCAu _24통관" xfId="1339" xr:uid="{00000000-0005-0000-0000-00003C090000}"/>
    <cellStyle name="A¨­¢¬¢Ò [0]_¨ùoAa¨öCAu _5월보고벨" xfId="1340" xr:uid="{00000000-0005-0000-0000-00003D090000}"/>
    <cellStyle name="A¨­￠￢￠O [0]_¨uoAa¨oCAu _5월보고상" xfId="1341" xr:uid="{00000000-0005-0000-0000-00003E090000}"/>
    <cellStyle name="A¨­¢¬¢Ò [0]_¨ùoAa¨öCAu _5월보고상" xfId="1342" xr:uid="{00000000-0005-0000-0000-00003F090000}"/>
    <cellStyle name="A¨­￠￢￠O [0]_¨uoAa¨oCAu _5월보고상_공사별CORDER현황" xfId="1343" xr:uid="{00000000-0005-0000-0000-000040090000}"/>
    <cellStyle name="A¨­¢¬¢Ò [0]_¨ùoAa¨öCAu _5월보고상_공사별CORDER현황" xfId="1344" xr:uid="{00000000-0005-0000-0000-000041090000}"/>
    <cellStyle name="A¨­￠￢￠O [0]_¨uoAa¨oCAu _5월보고상_공사현황" xfId="1345" xr:uid="{00000000-0005-0000-0000-000042090000}"/>
    <cellStyle name="A¨­¢¬¢Ò [0]_¨ùoAa¨öCAu _5월보고상_공사현황" xfId="1346" xr:uid="{00000000-0005-0000-0000-000043090000}"/>
    <cellStyle name="A¨­￠￢￠O [0]_¨uoAa¨oCAu _5월보고상_자료" xfId="1347" xr:uid="{00000000-0005-0000-0000-000044090000}"/>
    <cellStyle name="A¨­¢¬¢Ò [0]_¨ùoAa¨öCAu _5월보고상_자료" xfId="1348" xr:uid="{00000000-0005-0000-0000-000045090000}"/>
    <cellStyle name="A¨­￠￢￠O [0]_¨uoAa¨oCAu _5월보고시" xfId="1349" xr:uid="{00000000-0005-0000-0000-000046090000}"/>
    <cellStyle name="A¨­¢¬¢Ò [0]_¨ùoAa¨öCAu _5월보고시" xfId="1350" xr:uid="{00000000-0005-0000-0000-000047090000}"/>
    <cellStyle name="A¨­￠￢￠O [0]_¨uoAa¨oCAu _5월보고시_공사별CORDER현황" xfId="1351" xr:uid="{00000000-0005-0000-0000-000048090000}"/>
    <cellStyle name="A¨­¢¬¢Ò [0]_¨ùoAa¨öCAu _5월보고시_공사별CORDER현황" xfId="1352" xr:uid="{00000000-0005-0000-0000-000049090000}"/>
    <cellStyle name="A¨­￠￢￠O [0]_¨uoAa¨oCAu _5월보고시_공사현황" xfId="1353" xr:uid="{00000000-0005-0000-0000-00004A090000}"/>
    <cellStyle name="A¨­¢¬¢Ò [0]_¨ùoAa¨öCAu _5월보고시_공사현황" xfId="1354" xr:uid="{00000000-0005-0000-0000-00004B090000}"/>
    <cellStyle name="A¨­￠￢￠O [0]_¨uoAa¨oCAu _5월보고시_자료" xfId="1355" xr:uid="{00000000-0005-0000-0000-00004C090000}"/>
    <cellStyle name="A¨­¢¬¢Ò [0]_¨ùoAa¨öCAu _5월보고시_자료" xfId="1356" xr:uid="{00000000-0005-0000-0000-00004D090000}"/>
    <cellStyle name="A¨­￠￢￠O [0]_¨uoAa¨oCAu _A￥iE¡I3￠?u " xfId="1362" xr:uid="{00000000-0005-0000-0000-00004E090000}"/>
    <cellStyle name="A¨­¢¬¢Ò [0]_¨ùoAa¨öCAu _A¥ìE¡Ì3¢¯u " xfId="1363" xr:uid="{00000000-0005-0000-0000-00004F090000}"/>
    <cellStyle name="A¨­￠￢￠O [0]_¨uoAa¨oCAu _ⓒo¡i￠?¨￡10￠?u " xfId="1364" xr:uid="{00000000-0005-0000-0000-000050090000}"/>
    <cellStyle name="A¨­¢¬¢Ò [0]_¨ùoAa¨öCAu _Co¢¥e¨ú¡À©ö¡ìA©¬A©ª " xfId="1365" xr:uid="{00000000-0005-0000-0000-000051090000}"/>
    <cellStyle name="A¨­￠￢￠O [0]_¨uoAa¨oCAu _Co￠￥e¨u¡Aⓒo¡iAⓒ￢Aⓒª " xfId="1366" xr:uid="{00000000-0005-0000-0000-000052090000}"/>
    <cellStyle name="A¨­¢¬¢Ò [0]_¨ùoAa¨öCAu _공사현황" xfId="1357" xr:uid="{00000000-0005-0000-0000-000053090000}"/>
    <cellStyle name="A¨­￠￢￠O [0]_¨uoAa¨oCAu _매출확정" xfId="1358" xr:uid="{00000000-0005-0000-0000-000054090000}"/>
    <cellStyle name="A¨­¢¬¢Ò [0]_¨ùoAa¨öCAu _상주법인회의자료" xfId="1359" xr:uid="{00000000-0005-0000-0000-000055090000}"/>
    <cellStyle name="A¨­￠￢￠O [0]_¨uoAa¨oCAu _인테리어 공사 공내역2009.07.23최종(조과장)" xfId="1360" xr:uid="{00000000-0005-0000-0000-000056090000}"/>
    <cellStyle name="A¨­¢¬¢Ò [0]_¨ùoAa¨öCAu _자료" xfId="1361" xr:uid="{00000000-0005-0000-0000-000057090000}"/>
    <cellStyle name="A¨­￠￢￠O [0]_￠￢nAu¨￢¡Æ " xfId="1367" xr:uid="{00000000-0005-0000-0000-000058090000}"/>
    <cellStyle name="A¨­¢¬¢Ò [0]_¢¬nAu¨¬¡Æ " xfId="1368" xr:uid="{00000000-0005-0000-0000-000059090000}"/>
    <cellStyle name="A¨­￠￢￠O [0]_2￠?u￠￢AAa " xfId="1369" xr:uid="{00000000-0005-0000-0000-00005A090000}"/>
    <cellStyle name="A¨­¢¬¢Ò [0]_2¢¯u¢¬AAa " xfId="1370" xr:uid="{00000000-0005-0000-0000-00005B090000}"/>
    <cellStyle name="A¨­￠￢￠O [0]_A¡AAO¡¾Y " xfId="1371" xr:uid="{00000000-0005-0000-0000-00005C090000}"/>
    <cellStyle name="A¨­¢¬¢Ò [0]_A¡ÀAO¡¾Y " xfId="1372" xr:uid="{00000000-0005-0000-0000-00005D090000}"/>
    <cellStyle name="A¨­￠￢￠O [0]_A¡AAO¡¾Y _5월보고벨" xfId="1373" xr:uid="{00000000-0005-0000-0000-00005E090000}"/>
    <cellStyle name="A¨­¢¬¢Ò [0]_A¡ÀAO¡¾Y _5월보고벨" xfId="1374" xr:uid="{00000000-0005-0000-0000-00005F090000}"/>
    <cellStyle name="A¨­￠￢￠O [0]_A¡AAO¡¾Y _5월보고상" xfId="1375" xr:uid="{00000000-0005-0000-0000-000060090000}"/>
    <cellStyle name="A¨­¢¬¢Ò [0]_A¡ÀAO¡¾Y _5월보고상" xfId="1376" xr:uid="{00000000-0005-0000-0000-000061090000}"/>
    <cellStyle name="A¨­￠￢￠O [0]_A¡AAO¡¾Y _5월보고시" xfId="1377" xr:uid="{00000000-0005-0000-0000-000062090000}"/>
    <cellStyle name="A¨­¢¬¢Ò [0]_A¡ÀAO¡¾Y _5월보고시" xfId="1378" xr:uid="{00000000-0005-0000-0000-000063090000}"/>
    <cellStyle name="A¨­￠￢￠O [0]_A¡AAO¡¾Y _계획22" xfId="1379" xr:uid="{00000000-0005-0000-0000-000064090000}"/>
    <cellStyle name="A¨­¢¬¢Ò [0]_A¡ÀAO¡¾Y _계획22" xfId="1380" xr:uid="{00000000-0005-0000-0000-000065090000}"/>
    <cellStyle name="A¨­￠￢￠O [0]_A¡AAO¡¾Y _계획22_5월보고벨" xfId="1381" xr:uid="{00000000-0005-0000-0000-000066090000}"/>
    <cellStyle name="A¨­¢¬¢Ò [0]_A¡ÀAO¡¾Y _계획22_5월보고벨" xfId="1382" xr:uid="{00000000-0005-0000-0000-000067090000}"/>
    <cellStyle name="A¨­￠￢￠O [0]_A¡AAO¡¾Y _계획22_5월보고상" xfId="1383" xr:uid="{00000000-0005-0000-0000-000068090000}"/>
    <cellStyle name="A¨­¢¬¢Ò [0]_A¡ÀAO¡¾Y _계획22_5월보고상" xfId="1384" xr:uid="{00000000-0005-0000-0000-000069090000}"/>
    <cellStyle name="A¨­￠￢￠O [0]_A¡AAO¡¾Y _계획22_5월보고시" xfId="1385" xr:uid="{00000000-0005-0000-0000-00006A090000}"/>
    <cellStyle name="A¨­¢¬¢Ò [0]_A¡ÀAO¡¾Y _계획22_5월보고시" xfId="1386" xr:uid="{00000000-0005-0000-0000-00006B090000}"/>
    <cellStyle name="A¨­￠￢￠O [0]_A¡AAO¡¾Y _계획22_공사별CORDER현황" xfId="1387" xr:uid="{00000000-0005-0000-0000-00006C090000}"/>
    <cellStyle name="A¨­¢¬¢Ò [0]_A¡ÀAO¡¾Y _계획22_공사별CORDER현황" xfId="1388" xr:uid="{00000000-0005-0000-0000-00006D090000}"/>
    <cellStyle name="A¨­￠￢￠O [0]_A¡AAO¡¾Y _계획22_공사현황" xfId="1389" xr:uid="{00000000-0005-0000-0000-00006E090000}"/>
    <cellStyle name="A¨­¢¬¢Ò [0]_A¡ÀAO¡¾Y _계획22_공사현황" xfId="1390" xr:uid="{00000000-0005-0000-0000-00006F090000}"/>
    <cellStyle name="A¨­￠￢￠O [0]_A¡AAO¡¾Y _계획22_상주법인회의자료" xfId="1391" xr:uid="{00000000-0005-0000-0000-000070090000}"/>
    <cellStyle name="A¨­¢¬¢Ò [0]_A¡ÀAO¡¾Y _계획22_상주법인회의자료" xfId="1392" xr:uid="{00000000-0005-0000-0000-000071090000}"/>
    <cellStyle name="A¨­￠￢￠O [0]_A¡AAO¡¾Y _계획22_자료" xfId="1393" xr:uid="{00000000-0005-0000-0000-000072090000}"/>
    <cellStyle name="A¨­¢¬¢Ò [0]_A¡ÀAO¡¾Y _계획22_자료" xfId="1394" xr:uid="{00000000-0005-0000-0000-000073090000}"/>
    <cellStyle name="A¨­￠￢￠O [0]_A¡AAO¡¾Y _공사별CORDER현황" xfId="1395" xr:uid="{00000000-0005-0000-0000-000074090000}"/>
    <cellStyle name="A¨­¢¬¢Ò [0]_A¡ÀAO¡¾Y _공사별CORDER현황" xfId="1396" xr:uid="{00000000-0005-0000-0000-000075090000}"/>
    <cellStyle name="A¨­￠￢￠O [0]_A¡AAO¡¾Y _공사현황" xfId="1397" xr:uid="{00000000-0005-0000-0000-000076090000}"/>
    <cellStyle name="A¨­¢¬¢Ò [0]_A¡ÀAO¡¾Y _공사현황" xfId="1398" xr:uid="{00000000-0005-0000-0000-000077090000}"/>
    <cellStyle name="A¨­￠￢￠O [0]_A¡AAO¡¾Y _상주법인회의자료" xfId="1399" xr:uid="{00000000-0005-0000-0000-000078090000}"/>
    <cellStyle name="A¨­¢¬¢Ò [0]_A¡ÀAO¡¾Y _상주법인회의자료" xfId="1400" xr:uid="{00000000-0005-0000-0000-000079090000}"/>
    <cellStyle name="A¨­￠￢￠O [0]_A¡AAO¡¾Y _실적01(2안)" xfId="1401" xr:uid="{00000000-0005-0000-0000-00007A090000}"/>
    <cellStyle name="A¨­¢¬¢Ò [0]_A¡ÀAO¡¾Y _실적01(2안)" xfId="1402" xr:uid="{00000000-0005-0000-0000-00007B090000}"/>
    <cellStyle name="A¨­￠￢￠O [0]_A¡AAO¡¾Y _실적01(2안)_공사별CORDER현황" xfId="1403" xr:uid="{00000000-0005-0000-0000-00007C090000}"/>
    <cellStyle name="A¨­¢¬¢Ò [0]_A¡ÀAO¡¾Y _실적01(2안)_공사별CORDER현황" xfId="1404" xr:uid="{00000000-0005-0000-0000-00007D090000}"/>
    <cellStyle name="A¨­￠￢￠O [0]_A¡AAO¡¾Y _실적01(2안)_공사현황" xfId="1405" xr:uid="{00000000-0005-0000-0000-00007E090000}"/>
    <cellStyle name="A¨­¢¬¢Ò [0]_A¡ÀAO¡¾Y _실적01(2안)_공사현황" xfId="1406" xr:uid="{00000000-0005-0000-0000-00007F090000}"/>
    <cellStyle name="A¨­￠￢￠O [0]_A¡AAO¡¾Y _실적01(2안)_자료" xfId="1407" xr:uid="{00000000-0005-0000-0000-000080090000}"/>
    <cellStyle name="A¨­¢¬¢Ò [0]_A¡ÀAO¡¾Y _실적01(2안)_자료" xfId="1408" xr:uid="{00000000-0005-0000-0000-000081090000}"/>
    <cellStyle name="A¨­￠￢￠O [0]_A¡AAO¡¾Y _자료" xfId="1409" xr:uid="{00000000-0005-0000-0000-000082090000}"/>
    <cellStyle name="A¨­¢¬¢Ò [0]_A¡ÀAO¡¾Y _자료" xfId="1410" xr:uid="{00000000-0005-0000-0000-000083090000}"/>
    <cellStyle name="A¨­￠￢￠O [0]_A¡AAO¡¾Y ¡¾￠￢A￠O " xfId="1411" xr:uid="{00000000-0005-0000-0000-000084090000}"/>
    <cellStyle name="A¨­¢¬¢Ò [0]_A¡ÀAO¡¾Y ¡¾¢¬A¢Ò " xfId="1412" xr:uid="{00000000-0005-0000-0000-000085090000}"/>
    <cellStyle name="A¨­￠￢￠O [0]_A¡AAO¡¾Y ¡¾￠￢A￠O _24통관" xfId="1413" xr:uid="{00000000-0005-0000-0000-000086090000}"/>
    <cellStyle name="A¨­¢¬¢Ò [0]_A¡ÀAO¡¾Y ¡¾¢¬A¢Ò _5월보고벨" xfId="1414" xr:uid="{00000000-0005-0000-0000-000087090000}"/>
    <cellStyle name="A¨­￠￢￠O [0]_A¡AAO¡¾Y ¡¾￠￢A￠O _5월보고상" xfId="1415" xr:uid="{00000000-0005-0000-0000-000088090000}"/>
    <cellStyle name="A¨­¢¬¢Ò [0]_A¡ÀAO¡¾Y ¡¾¢¬A¢Ò _5월보고상" xfId="1416" xr:uid="{00000000-0005-0000-0000-000089090000}"/>
    <cellStyle name="A¨­￠￢￠O [0]_A¡AAO¡¾Y ¡¾￠￢A￠O _5월보고상_공사별CORDER현황" xfId="1417" xr:uid="{00000000-0005-0000-0000-00008A090000}"/>
    <cellStyle name="A¨­¢¬¢Ò [0]_A¡ÀAO¡¾Y ¡¾¢¬A¢Ò _5월보고상_공사별CORDER현황" xfId="1418" xr:uid="{00000000-0005-0000-0000-00008B090000}"/>
    <cellStyle name="A¨­￠￢￠O [0]_A¡AAO¡¾Y ¡¾￠￢A￠O _5월보고상_공사현황" xfId="1419" xr:uid="{00000000-0005-0000-0000-00008C090000}"/>
    <cellStyle name="A¨­¢¬¢Ò [0]_A¡ÀAO¡¾Y ¡¾¢¬A¢Ò _5월보고상_공사현황" xfId="1420" xr:uid="{00000000-0005-0000-0000-00008D090000}"/>
    <cellStyle name="A¨­￠￢￠O [0]_A¡AAO¡¾Y ¡¾￠￢A￠O _5월보고상_자료" xfId="1421" xr:uid="{00000000-0005-0000-0000-00008E090000}"/>
    <cellStyle name="A¨­¢¬¢Ò [0]_A¡ÀAO¡¾Y ¡¾¢¬A¢Ò _5월보고상_자료" xfId="1422" xr:uid="{00000000-0005-0000-0000-00008F090000}"/>
    <cellStyle name="A¨­￠￢￠O [0]_A¡AAO¡¾Y ¡¾￠￢A￠O _5월보고시" xfId="1423" xr:uid="{00000000-0005-0000-0000-000090090000}"/>
    <cellStyle name="A¨­¢¬¢Ò [0]_A¡ÀAO¡¾Y ¡¾¢¬A¢Ò _5월보고시" xfId="1424" xr:uid="{00000000-0005-0000-0000-000091090000}"/>
    <cellStyle name="A¨­￠￢￠O [0]_A¡AAO¡¾Y ¡¾￠￢A￠O _5월보고시_공사별CORDER현황" xfId="1425" xr:uid="{00000000-0005-0000-0000-000092090000}"/>
    <cellStyle name="A¨­¢¬¢Ò [0]_A¡ÀAO¡¾Y ¡¾¢¬A¢Ò _5월보고시_공사별CORDER현황" xfId="1426" xr:uid="{00000000-0005-0000-0000-000093090000}"/>
    <cellStyle name="A¨­￠￢￠O [0]_A¡AAO¡¾Y ¡¾￠￢A￠O _5월보고시_공사현황" xfId="1427" xr:uid="{00000000-0005-0000-0000-000094090000}"/>
    <cellStyle name="A¨­¢¬¢Ò [0]_A¡ÀAO¡¾Y ¡¾¢¬A¢Ò _5월보고시_공사현황" xfId="1428" xr:uid="{00000000-0005-0000-0000-000095090000}"/>
    <cellStyle name="A¨­￠￢￠O [0]_A¡AAO¡¾Y ¡¾￠￢A￠O _5월보고시_자료" xfId="1429" xr:uid="{00000000-0005-0000-0000-000096090000}"/>
    <cellStyle name="A¨­¢¬¢Ò [0]_A¡ÀAO¡¾Y ¡¾¢¬A¢Ò _5월보고시_자료" xfId="1430" xr:uid="{00000000-0005-0000-0000-000097090000}"/>
    <cellStyle name="A¨­￠￢￠O [0]_A¡AAO¡¾Y ¡¾￠￢A￠O _공사별CORDER현황" xfId="1431" xr:uid="{00000000-0005-0000-0000-000098090000}"/>
    <cellStyle name="A¨­¢¬¢Ò [0]_A¡ÀAO¡¾Y ¡¾¢¬A¢Ò _공사별CORDER현황" xfId="1432" xr:uid="{00000000-0005-0000-0000-000099090000}"/>
    <cellStyle name="A¨­￠￢￠O [0]_A¡AAO¡¾Y ¡¾￠￢A￠O _공사현황" xfId="1433" xr:uid="{00000000-0005-0000-0000-00009A090000}"/>
    <cellStyle name="A¨­¢¬¢Ò [0]_A¡ÀAO¡¾Y ¡¾¢¬A¢Ò _공사현황" xfId="1434" xr:uid="{00000000-0005-0000-0000-00009B090000}"/>
    <cellStyle name="A¨­￠￢￠O [0]_A¡AAO¡¾Y ¡¾￠￢A￠O _매출확정" xfId="1435" xr:uid="{00000000-0005-0000-0000-00009C090000}"/>
    <cellStyle name="A¨­¢¬¢Ò [0]_A¡ÀAO¡¾Y ¡¾¢¬A¢Ò _상주법인회의자료" xfId="1436" xr:uid="{00000000-0005-0000-0000-00009D090000}"/>
    <cellStyle name="A¨­￠￢￠O [0]_A¡AAO¡¾Y ¡¾￠￢A￠O _자료" xfId="1437" xr:uid="{00000000-0005-0000-0000-00009E090000}"/>
    <cellStyle name="A¨­¢¬¢Ò [0]_A¡ÀAO¡¾Y ¡¾¢¬A¢Ò _자료" xfId="1438" xr:uid="{00000000-0005-0000-0000-00009F090000}"/>
    <cellStyle name="A¨­￠￢￠O [0]_A￠O￠￥¨­¡ÆeEⓒo " xfId="1439" xr:uid="{00000000-0005-0000-0000-0000A0090000}"/>
    <cellStyle name="A¨­¢¬¢Ò [0]_CaEA5©øa (2)_¨ùoAa " xfId="1440" xr:uid="{00000000-0005-0000-0000-0000A1090000}"/>
    <cellStyle name="A¨­￠￢￠O [0]_CaEA5ⓒøa (2)_¨uoAa " xfId="1441" xr:uid="{00000000-0005-0000-0000-0000A2090000}"/>
    <cellStyle name="A¨­¢¬¢Ò [0]_Co¢¥e¨ú¡À©ö¡ìA©¬A©ª " xfId="1442" xr:uid="{00000000-0005-0000-0000-0000A3090000}"/>
    <cellStyle name="A¨­￠￢￠O [0]_Co￠￥e¨u¡Aⓒo¡iAⓒ￢Aⓒª " xfId="1443" xr:uid="{00000000-0005-0000-0000-0000A4090000}"/>
    <cellStyle name="A¨­¢¬¢Ò [0]_INQUIRY ¢¯¥ì¨ú¡ÀA©¬A©ª " xfId="1444" xr:uid="{00000000-0005-0000-0000-0000A5090000}"/>
    <cellStyle name="A¨­￠￢￠O_ ¨￢n￠￢n¨￢¡Æ ￠?u¨￢¡Æ¡¾a¨uu " xfId="1445" xr:uid="{00000000-0005-0000-0000-0000A6090000}"/>
    <cellStyle name="A¨­¢¬¢Ò_ ¨¬n¢¬n¨¬¡Æ ¢¯u¨¬¡Æ¡¾a¨ùu " xfId="1446" xr:uid="{00000000-0005-0000-0000-0000A7090000}"/>
    <cellStyle name="A¨­￠￢￠O_¡¾ⓒøA¡Æ¨oA¡Æ¡IC¡I " xfId="1447" xr:uid="{00000000-0005-0000-0000-0000A8090000}"/>
    <cellStyle name="A¨­¢¬¢Ò_¡íc¨ú¡À¢¯u¨¬¡Æ .¡¾a¨ùu " xfId="1448" xr:uid="{00000000-0005-0000-0000-0000A9090000}"/>
    <cellStyle name="A¨­￠￢￠O_¨¡AC¡IAo_¡ÆeEⓒo3 " xfId="1449" xr:uid="{00000000-0005-0000-0000-0000AA090000}"/>
    <cellStyle name="A¨­¢¬¢Ò_¨ùoA©ö¡ÆeE©ö " xfId="1450" xr:uid="{00000000-0005-0000-0000-0000AB090000}"/>
    <cellStyle name="A¨­￠￢￠O_¨uoAa¨oCAu " xfId="1451" xr:uid="{00000000-0005-0000-0000-0000AC090000}"/>
    <cellStyle name="A¨­¢¬¢Ò_¨ùoAa¨öCAu " xfId="1452" xr:uid="{00000000-0005-0000-0000-0000AD090000}"/>
    <cellStyle name="A¨­￠￢￠O_¨uoAa¨oCAu _24통관" xfId="1453" xr:uid="{00000000-0005-0000-0000-0000AE090000}"/>
    <cellStyle name="A¨­¢¬¢Ò_¨ùoAa¨öCAu _5월보고벨" xfId="1454" xr:uid="{00000000-0005-0000-0000-0000AF090000}"/>
    <cellStyle name="A¨­￠￢￠O_¨uoAa¨oCAu _5월보고상" xfId="1455" xr:uid="{00000000-0005-0000-0000-0000B0090000}"/>
    <cellStyle name="A¨­¢¬¢Ò_¨ùoAa¨öCAu _5월보고상" xfId="1456" xr:uid="{00000000-0005-0000-0000-0000B1090000}"/>
    <cellStyle name="A¨­￠￢￠O_¨uoAa¨oCAu _5월보고상_공사별CORDER현황" xfId="1457" xr:uid="{00000000-0005-0000-0000-0000B2090000}"/>
    <cellStyle name="A¨­¢¬¢Ò_¨ùoAa¨öCAu _5월보고상_공사별CORDER현황" xfId="1458" xr:uid="{00000000-0005-0000-0000-0000B3090000}"/>
    <cellStyle name="A¨­￠￢￠O_¨uoAa¨oCAu _5월보고상_공사현황" xfId="1459" xr:uid="{00000000-0005-0000-0000-0000B4090000}"/>
    <cellStyle name="A¨­¢¬¢Ò_¨ùoAa¨öCAu _5월보고상_공사현황" xfId="1460" xr:uid="{00000000-0005-0000-0000-0000B5090000}"/>
    <cellStyle name="A¨­￠￢￠O_¨uoAa¨oCAu _5월보고상_자료" xfId="1461" xr:uid="{00000000-0005-0000-0000-0000B6090000}"/>
    <cellStyle name="A¨­¢¬¢Ò_¨ùoAa¨öCAu _5월보고상_자료" xfId="1462" xr:uid="{00000000-0005-0000-0000-0000B7090000}"/>
    <cellStyle name="A¨­￠￢￠O_¨uoAa¨oCAu _5월보고시" xfId="1463" xr:uid="{00000000-0005-0000-0000-0000B8090000}"/>
    <cellStyle name="A¨­¢¬¢Ò_¨ùoAa¨öCAu _5월보고시" xfId="1464" xr:uid="{00000000-0005-0000-0000-0000B9090000}"/>
    <cellStyle name="A¨­￠￢￠O_¨uoAa¨oCAu _5월보고시_공사별CORDER현황" xfId="1465" xr:uid="{00000000-0005-0000-0000-0000BA090000}"/>
    <cellStyle name="A¨­¢¬¢Ò_¨ùoAa¨öCAu _5월보고시_공사별CORDER현황" xfId="1466" xr:uid="{00000000-0005-0000-0000-0000BB090000}"/>
    <cellStyle name="A¨­￠￢￠O_¨uoAa¨oCAu _5월보고시_공사현황" xfId="1467" xr:uid="{00000000-0005-0000-0000-0000BC090000}"/>
    <cellStyle name="A¨­¢¬¢Ò_¨ùoAa¨öCAu _5월보고시_공사현황" xfId="1468" xr:uid="{00000000-0005-0000-0000-0000BD090000}"/>
    <cellStyle name="A¨­￠￢￠O_¨uoAa¨oCAu _5월보고시_자료" xfId="1469" xr:uid="{00000000-0005-0000-0000-0000BE090000}"/>
    <cellStyle name="A¨­¢¬¢Ò_¨ùoAa¨öCAu _5월보고시_자료" xfId="1470" xr:uid="{00000000-0005-0000-0000-0000BF090000}"/>
    <cellStyle name="A¨­￠￢￠O_¨uoAa¨oCAu _ⓒo¡i￠?¨￡10￠?u " xfId="1476" xr:uid="{00000000-0005-0000-0000-0000C0090000}"/>
    <cellStyle name="A¨­¢¬¢Ò_¨ùoAa¨öCAu _Co¢¥e¨ú¡À©ö¡ìA©¬A©ª " xfId="1477" xr:uid="{00000000-0005-0000-0000-0000C1090000}"/>
    <cellStyle name="A¨­￠￢￠O_¨uoAa¨oCAu _Co￠￥e¨u¡Aⓒo¡iAⓒ￢Aⓒª " xfId="1478" xr:uid="{00000000-0005-0000-0000-0000C2090000}"/>
    <cellStyle name="A¨­¢¬¢Ò_¨ùoAa¨öCAu _공사현황" xfId="1471" xr:uid="{00000000-0005-0000-0000-0000C3090000}"/>
    <cellStyle name="A¨­￠￢￠O_¨uoAa¨oCAu _매출확정" xfId="1472" xr:uid="{00000000-0005-0000-0000-0000C4090000}"/>
    <cellStyle name="A¨­¢¬¢Ò_¨ùoAa¨öCAu _상주법인회의자료" xfId="1473" xr:uid="{00000000-0005-0000-0000-0000C5090000}"/>
    <cellStyle name="A¨­￠￢￠O_¨uoAa¨oCAu _인테리어 공사 공내역2009.07.23최종(조과장)" xfId="1474" xr:uid="{00000000-0005-0000-0000-0000C6090000}"/>
    <cellStyle name="A¨­¢¬¢Ò_¨ùoAa¨öCAu _자료" xfId="1475" xr:uid="{00000000-0005-0000-0000-0000C7090000}"/>
    <cellStyle name="A¨­￠￢￠O_￠￢nAu¨￢¡Æ " xfId="1479" xr:uid="{00000000-0005-0000-0000-0000C8090000}"/>
    <cellStyle name="A¨­¢¬¢Ò_¢¬nAu¨¬¡Æ " xfId="1480" xr:uid="{00000000-0005-0000-0000-0000C9090000}"/>
    <cellStyle name="A¨­￠￢￠O_1202_¨uoAa " xfId="1481" xr:uid="{00000000-0005-0000-0000-0000CA090000}"/>
    <cellStyle name="A¨­¢¬¢Ò_1202_¨ùoAa " xfId="1482" xr:uid="{00000000-0005-0000-0000-0000CB090000}"/>
    <cellStyle name="A¨­￠￢￠O_2￠?u￠￢AAa " xfId="1483" xr:uid="{00000000-0005-0000-0000-0000CC090000}"/>
    <cellStyle name="A¨­¢¬¢Ò_2¢¯u¢¬AAa " xfId="1484" xr:uid="{00000000-0005-0000-0000-0000CD090000}"/>
    <cellStyle name="A¨­￠￢￠O_A¡AAO¡¾Y " xfId="1485" xr:uid="{00000000-0005-0000-0000-0000CE090000}"/>
    <cellStyle name="A¨­¢¬¢Ò_A¡ÀAO¡¾Y " xfId="1486" xr:uid="{00000000-0005-0000-0000-0000CF090000}"/>
    <cellStyle name="A¨­￠￢￠O_A¡AAO¡¾Y _5월보고벨" xfId="1487" xr:uid="{00000000-0005-0000-0000-0000D0090000}"/>
    <cellStyle name="A¨­¢¬¢Ò_A¡ÀAO¡¾Y _5월보고벨" xfId="1488" xr:uid="{00000000-0005-0000-0000-0000D1090000}"/>
    <cellStyle name="A¨­￠￢￠O_A¡AAO¡¾Y _5월보고상" xfId="1489" xr:uid="{00000000-0005-0000-0000-0000D2090000}"/>
    <cellStyle name="A¨­¢¬¢Ò_A¡ÀAO¡¾Y _5월보고상" xfId="1490" xr:uid="{00000000-0005-0000-0000-0000D3090000}"/>
    <cellStyle name="A¨­￠￢￠O_A¡AAO¡¾Y _5월보고시" xfId="1491" xr:uid="{00000000-0005-0000-0000-0000D4090000}"/>
    <cellStyle name="A¨­¢¬¢Ò_A¡ÀAO¡¾Y _5월보고시" xfId="1492" xr:uid="{00000000-0005-0000-0000-0000D5090000}"/>
    <cellStyle name="A¨­￠￢￠O_A¡AAO¡¾Y _계획22" xfId="1493" xr:uid="{00000000-0005-0000-0000-0000D6090000}"/>
    <cellStyle name="A¨­¢¬¢Ò_A¡ÀAO¡¾Y _계획22" xfId="1494" xr:uid="{00000000-0005-0000-0000-0000D7090000}"/>
    <cellStyle name="A¨­￠￢￠O_A¡AAO¡¾Y _계획22_5월보고벨" xfId="1495" xr:uid="{00000000-0005-0000-0000-0000D8090000}"/>
    <cellStyle name="A¨­¢¬¢Ò_A¡ÀAO¡¾Y _계획22_5월보고벨" xfId="1496" xr:uid="{00000000-0005-0000-0000-0000D9090000}"/>
    <cellStyle name="A¨­￠￢￠O_A¡AAO¡¾Y _계획22_5월보고상" xfId="1497" xr:uid="{00000000-0005-0000-0000-0000DA090000}"/>
    <cellStyle name="A¨­¢¬¢Ò_A¡ÀAO¡¾Y _계획22_5월보고상" xfId="1498" xr:uid="{00000000-0005-0000-0000-0000DB090000}"/>
    <cellStyle name="A¨­￠￢￠O_A¡AAO¡¾Y _계획22_5월보고시" xfId="1499" xr:uid="{00000000-0005-0000-0000-0000DC090000}"/>
    <cellStyle name="A¨­¢¬¢Ò_A¡ÀAO¡¾Y _계획22_5월보고시" xfId="1500" xr:uid="{00000000-0005-0000-0000-0000DD090000}"/>
    <cellStyle name="A¨­￠￢￠O_A¡AAO¡¾Y _계획22_공사별CORDER현황" xfId="1501" xr:uid="{00000000-0005-0000-0000-0000DE090000}"/>
    <cellStyle name="A¨­¢¬¢Ò_A¡ÀAO¡¾Y _계획22_공사별CORDER현황" xfId="1502" xr:uid="{00000000-0005-0000-0000-0000DF090000}"/>
    <cellStyle name="A¨­￠￢￠O_A¡AAO¡¾Y _계획22_공사현황" xfId="1503" xr:uid="{00000000-0005-0000-0000-0000E0090000}"/>
    <cellStyle name="A¨­¢¬¢Ò_A¡ÀAO¡¾Y _계획22_공사현황" xfId="1504" xr:uid="{00000000-0005-0000-0000-0000E1090000}"/>
    <cellStyle name="A¨­￠￢￠O_A¡AAO¡¾Y _계획22_상주법인회의자료" xfId="1505" xr:uid="{00000000-0005-0000-0000-0000E2090000}"/>
    <cellStyle name="A¨­¢¬¢Ò_A¡ÀAO¡¾Y _계획22_상주법인회의자료" xfId="1506" xr:uid="{00000000-0005-0000-0000-0000E3090000}"/>
    <cellStyle name="A¨­￠￢￠O_A¡AAO¡¾Y _계획22_자료" xfId="1507" xr:uid="{00000000-0005-0000-0000-0000E4090000}"/>
    <cellStyle name="A¨­¢¬¢Ò_A¡ÀAO¡¾Y _계획22_자료" xfId="1508" xr:uid="{00000000-0005-0000-0000-0000E5090000}"/>
    <cellStyle name="A¨­￠￢￠O_A¡AAO¡¾Y _공사별CORDER현황" xfId="1509" xr:uid="{00000000-0005-0000-0000-0000E6090000}"/>
    <cellStyle name="A¨­¢¬¢Ò_A¡ÀAO¡¾Y _공사별CORDER현황" xfId="1510" xr:uid="{00000000-0005-0000-0000-0000E7090000}"/>
    <cellStyle name="A¨­￠￢￠O_A¡AAO¡¾Y _공사현황" xfId="1511" xr:uid="{00000000-0005-0000-0000-0000E8090000}"/>
    <cellStyle name="A¨­¢¬¢Ò_A¡ÀAO¡¾Y _공사현황" xfId="1512" xr:uid="{00000000-0005-0000-0000-0000E9090000}"/>
    <cellStyle name="A¨­￠￢￠O_A¡AAO¡¾Y _상주법인회의자료" xfId="1513" xr:uid="{00000000-0005-0000-0000-0000EA090000}"/>
    <cellStyle name="A¨­¢¬¢Ò_A¡ÀAO¡¾Y _상주법인회의자료" xfId="1514" xr:uid="{00000000-0005-0000-0000-0000EB090000}"/>
    <cellStyle name="A¨­￠￢￠O_A¡AAO¡¾Y _실적01(2안)" xfId="1515" xr:uid="{00000000-0005-0000-0000-0000EC090000}"/>
    <cellStyle name="A¨­¢¬¢Ò_A¡ÀAO¡¾Y _실적01(2안)" xfId="1516" xr:uid="{00000000-0005-0000-0000-0000ED090000}"/>
    <cellStyle name="A¨­￠￢￠O_A¡AAO¡¾Y _실적01(2안)_공사별CORDER현황" xfId="1517" xr:uid="{00000000-0005-0000-0000-0000EE090000}"/>
    <cellStyle name="A¨­¢¬¢Ò_A¡ÀAO¡¾Y _실적01(2안)_공사별CORDER현황" xfId="1518" xr:uid="{00000000-0005-0000-0000-0000EF090000}"/>
    <cellStyle name="A¨­￠￢￠O_A¡AAO¡¾Y _실적01(2안)_공사현황" xfId="1519" xr:uid="{00000000-0005-0000-0000-0000F0090000}"/>
    <cellStyle name="A¨­¢¬¢Ò_A¡ÀAO¡¾Y _실적01(2안)_공사현황" xfId="1520" xr:uid="{00000000-0005-0000-0000-0000F1090000}"/>
    <cellStyle name="A¨­￠￢￠O_A¡AAO¡¾Y _실적01(2안)_자료" xfId="1521" xr:uid="{00000000-0005-0000-0000-0000F2090000}"/>
    <cellStyle name="A¨­¢¬¢Ò_A¡ÀAO¡¾Y _실적01(2안)_자료" xfId="1522" xr:uid="{00000000-0005-0000-0000-0000F3090000}"/>
    <cellStyle name="A¨­￠￢￠O_A¡AAO¡¾Y _자료" xfId="1523" xr:uid="{00000000-0005-0000-0000-0000F4090000}"/>
    <cellStyle name="A¨­¢¬¢Ò_A¡ÀAO¡¾Y _자료" xfId="1524" xr:uid="{00000000-0005-0000-0000-0000F5090000}"/>
    <cellStyle name="A¨­￠￢￠O_A¡AAO¡¾Y ¡¾￠￢A￠O " xfId="1525" xr:uid="{00000000-0005-0000-0000-0000F6090000}"/>
    <cellStyle name="A¨­¢¬¢Ò_A¡ÀAO¡¾Y ¡¾¢¬A¢Ò " xfId="1526" xr:uid="{00000000-0005-0000-0000-0000F7090000}"/>
    <cellStyle name="A¨­￠￢￠O_A¡AAO¡¾Y ¡¾￠￢A￠O _24통관" xfId="1527" xr:uid="{00000000-0005-0000-0000-0000F8090000}"/>
    <cellStyle name="A¨­¢¬¢Ò_A¡ÀAO¡¾Y ¡¾¢¬A¢Ò _5월보고벨" xfId="1528" xr:uid="{00000000-0005-0000-0000-0000F9090000}"/>
    <cellStyle name="A¨­￠￢￠O_A¡AAO¡¾Y ¡¾￠￢A￠O _5월보고상" xfId="1529" xr:uid="{00000000-0005-0000-0000-0000FA090000}"/>
    <cellStyle name="A¨­¢¬¢Ò_A¡ÀAO¡¾Y ¡¾¢¬A¢Ò _5월보고상" xfId="1530" xr:uid="{00000000-0005-0000-0000-0000FB090000}"/>
    <cellStyle name="A¨­￠￢￠O_A¡AAO¡¾Y ¡¾￠￢A￠O _5월보고상_공사별CORDER현황" xfId="1531" xr:uid="{00000000-0005-0000-0000-0000FC090000}"/>
    <cellStyle name="A¨­¢¬¢Ò_A¡ÀAO¡¾Y ¡¾¢¬A¢Ò _5월보고상_공사별CORDER현황" xfId="1532" xr:uid="{00000000-0005-0000-0000-0000FD090000}"/>
    <cellStyle name="A¨­￠￢￠O_A¡AAO¡¾Y ¡¾￠￢A￠O _5월보고상_공사현황" xfId="1533" xr:uid="{00000000-0005-0000-0000-0000FE090000}"/>
    <cellStyle name="A¨­¢¬¢Ò_A¡ÀAO¡¾Y ¡¾¢¬A¢Ò _5월보고상_공사현황" xfId="1534" xr:uid="{00000000-0005-0000-0000-0000FF090000}"/>
    <cellStyle name="A¨­￠￢￠O_A¡AAO¡¾Y ¡¾￠￢A￠O _5월보고상_자료" xfId="1535" xr:uid="{00000000-0005-0000-0000-0000000A0000}"/>
    <cellStyle name="A¨­¢¬¢Ò_A¡ÀAO¡¾Y ¡¾¢¬A¢Ò _5월보고상_자료" xfId="1536" xr:uid="{00000000-0005-0000-0000-0000010A0000}"/>
    <cellStyle name="A¨­￠￢￠O_A¡AAO¡¾Y ¡¾￠￢A￠O _5월보고시" xfId="1537" xr:uid="{00000000-0005-0000-0000-0000020A0000}"/>
    <cellStyle name="A¨­¢¬¢Ò_A¡ÀAO¡¾Y ¡¾¢¬A¢Ò _5월보고시" xfId="1538" xr:uid="{00000000-0005-0000-0000-0000030A0000}"/>
    <cellStyle name="A¨­￠￢￠O_A¡AAO¡¾Y ¡¾￠￢A￠O _5월보고시_공사별CORDER현황" xfId="1539" xr:uid="{00000000-0005-0000-0000-0000040A0000}"/>
    <cellStyle name="A¨­¢¬¢Ò_A¡ÀAO¡¾Y ¡¾¢¬A¢Ò _5월보고시_공사별CORDER현황" xfId="1540" xr:uid="{00000000-0005-0000-0000-0000050A0000}"/>
    <cellStyle name="A¨­￠￢￠O_A¡AAO¡¾Y ¡¾￠￢A￠O _5월보고시_공사현황" xfId="1541" xr:uid="{00000000-0005-0000-0000-0000060A0000}"/>
    <cellStyle name="A¨­¢¬¢Ò_A¡ÀAO¡¾Y ¡¾¢¬A¢Ò _5월보고시_공사현황" xfId="1542" xr:uid="{00000000-0005-0000-0000-0000070A0000}"/>
    <cellStyle name="A¨­￠￢￠O_A¡AAO¡¾Y ¡¾￠￢A￠O _5월보고시_자료" xfId="1543" xr:uid="{00000000-0005-0000-0000-0000080A0000}"/>
    <cellStyle name="A¨­¢¬¢Ò_A¡ÀAO¡¾Y ¡¾¢¬A¢Ò _5월보고시_자료" xfId="1544" xr:uid="{00000000-0005-0000-0000-0000090A0000}"/>
    <cellStyle name="A¨­￠￢￠O_A¡AAO¡¾Y ¡¾￠￢A￠O _공사별CORDER현황" xfId="1545" xr:uid="{00000000-0005-0000-0000-00000A0A0000}"/>
    <cellStyle name="A¨­¢¬¢Ò_A¡ÀAO¡¾Y ¡¾¢¬A¢Ò _공사별CORDER현황" xfId="1546" xr:uid="{00000000-0005-0000-0000-00000B0A0000}"/>
    <cellStyle name="A¨­￠￢￠O_A¡AAO¡¾Y ¡¾￠￢A￠O _공사현황" xfId="1547" xr:uid="{00000000-0005-0000-0000-00000C0A0000}"/>
    <cellStyle name="A¨­¢¬¢Ò_A¡ÀAO¡¾Y ¡¾¢¬A¢Ò _공사현황" xfId="1548" xr:uid="{00000000-0005-0000-0000-00000D0A0000}"/>
    <cellStyle name="A¨­￠￢￠O_A¡AAO¡¾Y ¡¾￠￢A￠O _매출확정" xfId="1549" xr:uid="{00000000-0005-0000-0000-00000E0A0000}"/>
    <cellStyle name="A¨­¢¬¢Ò_A¡ÀAO¡¾Y ¡¾¢¬A¢Ò _상주법인회의자료" xfId="1550" xr:uid="{00000000-0005-0000-0000-00000F0A0000}"/>
    <cellStyle name="A¨­￠￢￠O_A¡AAO¡¾Y ¡¾￠￢A￠O _자료" xfId="1551" xr:uid="{00000000-0005-0000-0000-0000100A0000}"/>
    <cellStyle name="A¨­¢¬¢Ò_A¡ÀAO¡¾Y ¡¾¢¬A¢Ò _자료" xfId="1552" xr:uid="{00000000-0005-0000-0000-0000110A0000}"/>
    <cellStyle name="A¨­￠￢￠O_A￠O￠￥¨­¡ÆeEⓒo " xfId="1553" xr:uid="{00000000-0005-0000-0000-0000120A0000}"/>
    <cellStyle name="A¨­¢¬¢Ò_AO¡Æ¡Ì¢¬AAaCoE©÷_¨ùoAa " xfId="1554" xr:uid="{00000000-0005-0000-0000-0000130A0000}"/>
    <cellStyle name="A¨­￠￢￠O_AO¡Æ¡I￠￢AAaCoEⓒ÷_¨uoAa " xfId="1555" xr:uid="{00000000-0005-0000-0000-0000140A0000}"/>
    <cellStyle name="A¨­¢¬¢Ò_CaEA5©øa (2)_¨ùoAa " xfId="1556" xr:uid="{00000000-0005-0000-0000-0000150A0000}"/>
    <cellStyle name="A¨­￠￢￠O_CaEA5ⓒøa (2)_¨uoAa " xfId="1557" xr:uid="{00000000-0005-0000-0000-0000160A0000}"/>
    <cellStyle name="A¨­¢¬¢Ò_Co¢¥e¨ú¡À©ö¡ìA©¬A©ª " xfId="1558" xr:uid="{00000000-0005-0000-0000-0000170A0000}"/>
    <cellStyle name="A¨­￠￢￠O_Co￠￥e¨u¡Aⓒo¡iAⓒ￢Aⓒª " xfId="1559" xr:uid="{00000000-0005-0000-0000-0000180A0000}"/>
    <cellStyle name="A¨­¢¬¢Ò_INQUIRY ¢¯¥ì¨ú¡ÀA©¬A©ª " xfId="1560" xr:uid="{00000000-0005-0000-0000-0000190A0000}"/>
    <cellStyle name="A￠R¡×￠R¨I￠RE￠Rⓒ­￠REO [0]_ ￠R¡×￠Rⓒ­n￠RE￠Rⓒ­n￠R¡×￠Rⓒ­¡ER¡§￠R ￠RE?u￠R¡×￠Rⓒ­¡ER¡§￠R¡ER¡§ua￠R¡×uu " xfId="1561" xr:uid="{00000000-0005-0000-0000-00001A0A0000}"/>
    <cellStyle name="A￠R¡×￠R¨I￠RE￠Rⓒ­￠REO_ ￠R¡×￠Rⓒ­n￠RE￠Rⓒ­n￠R¡×￠Rⓒ­¡ER¡§￠R ￠RE?u￠R¡×￠Rⓒ­¡ER¡§￠R¡ER¡§ua￠R¡×uu " xfId="1562" xr:uid="{00000000-0005-0000-0000-00001B0A0000}"/>
    <cellStyle name="Aⓒ" xfId="4260" xr:uid="{00000000-0005-0000-0000-00001C0A0000}"/>
    <cellStyle name="Aⓒ­￠￢￠" xfId="4261" xr:uid="{00000000-0005-0000-0000-00001D0A0000}"/>
    <cellStyle name="Ae" xfId="4262" xr:uid="{00000000-0005-0000-0000-00001E0A0000}"/>
    <cellStyle name="Åë" xfId="4263" xr:uid="{00000000-0005-0000-0000-00001F0A0000}"/>
    <cellStyle name="Aee­ " xfId="1563" xr:uid="{00000000-0005-0000-0000-0000200A0000}"/>
    <cellStyle name="Aee­ [" xfId="4264" xr:uid="{00000000-0005-0000-0000-0000210A0000}"/>
    <cellStyle name="Åëè­ [" xfId="4265" xr:uid="{00000000-0005-0000-0000-0000220A0000}"/>
    <cellStyle name="AeE­ [0]_ 2ÆAAþº° " xfId="1564" xr:uid="{00000000-0005-0000-0000-0000230A0000}"/>
    <cellStyle name="ÅëÈ­ [0]_ ºñ¸ñº° ¿ùº°±â¼ú " xfId="1565" xr:uid="{00000000-0005-0000-0000-0000240A0000}"/>
    <cellStyle name="AeE­ [0]_´e¿UCN¹R°ø¹R " xfId="1566" xr:uid="{00000000-0005-0000-0000-0000250A0000}"/>
    <cellStyle name="ÅëÈ­ [0]_´ëºñÇ¥" xfId="1567" xr:uid="{00000000-0005-0000-0000-0000260A0000}"/>
    <cellStyle name="AeE­ [0]_¸AAa" xfId="1568" xr:uid="{00000000-0005-0000-0000-0000270A0000}"/>
    <cellStyle name="ÅëÈ­ [0]_¸ÅÃâ_¼öÃâ " xfId="1569" xr:uid="{00000000-0005-0000-0000-0000280A0000}"/>
    <cellStyle name="AeE­ [0]_¸AAa_인테리어 공사 공내역2009.07.23최종(조과장)" xfId="1570" xr:uid="{00000000-0005-0000-0000-0000290A0000}"/>
    <cellStyle name="ÅëÈ­ [0]_¸ÅÃâ¸ÅÃâ¿ø°¡ " xfId="1571" xr:uid="{00000000-0005-0000-0000-00002A0A0000}"/>
    <cellStyle name="AeE­ [0]_¸AAa¸AAa¿ø°¡ _24통관" xfId="1572" xr:uid="{00000000-0005-0000-0000-00002B0A0000}"/>
    <cellStyle name="ÅëÈ­ [0]_¸ÅÃâ¸ÅÃâ¿ø°¡ _5월보고벨" xfId="1573" xr:uid="{00000000-0005-0000-0000-00002C0A0000}"/>
    <cellStyle name="AeE­ [0]_¸AAa¸AAa¿ø°¡ _5월보고상" xfId="1574" xr:uid="{00000000-0005-0000-0000-00002D0A0000}"/>
    <cellStyle name="ÅëÈ­ [0]_¸ÅÃâ¸ÅÃâ¿ø°¡ _5월보고상" xfId="1575" xr:uid="{00000000-0005-0000-0000-00002E0A0000}"/>
    <cellStyle name="AeE­ [0]_¸AAa¸AAa¿ø°¡ _5월보고상_공사별CORDER현황" xfId="1576" xr:uid="{00000000-0005-0000-0000-00002F0A0000}"/>
    <cellStyle name="ÅëÈ­ [0]_¸ÅÃâ¸ÅÃâ¿ø°¡ _5월보고상_공사별CORDER현황" xfId="1577" xr:uid="{00000000-0005-0000-0000-0000300A0000}"/>
    <cellStyle name="AeE­ [0]_¸AAa¸AAa¿ø°¡ _5월보고상_공사현황" xfId="1578" xr:uid="{00000000-0005-0000-0000-0000310A0000}"/>
    <cellStyle name="ÅëÈ­ [0]_¸ÅÃâ¸ÅÃâ¿ø°¡ _5월보고상_공사현황" xfId="1579" xr:uid="{00000000-0005-0000-0000-0000320A0000}"/>
    <cellStyle name="AeE­ [0]_¸AAa¸AAa¿ø°¡ _5월보고상_자료" xfId="1580" xr:uid="{00000000-0005-0000-0000-0000330A0000}"/>
    <cellStyle name="ÅëÈ­ [0]_¸ÅÃâ¸ÅÃâ¿ø°¡ _5월보고상_자료" xfId="1581" xr:uid="{00000000-0005-0000-0000-0000340A0000}"/>
    <cellStyle name="AeE­ [0]_¸AAa¸AAa¿ø°¡ _5월보고시" xfId="1582" xr:uid="{00000000-0005-0000-0000-0000350A0000}"/>
    <cellStyle name="ÅëÈ­ [0]_¸ÅÃâ¸ÅÃâ¿ø°¡ _5월보고시" xfId="1583" xr:uid="{00000000-0005-0000-0000-0000360A0000}"/>
    <cellStyle name="AeE­ [0]_¸AAa¸AAa¿ø°¡ _5월보고시_공사별CORDER현황" xfId="1584" xr:uid="{00000000-0005-0000-0000-0000370A0000}"/>
    <cellStyle name="ÅëÈ­ [0]_¸ÅÃâ¸ÅÃâ¿ø°¡ _5월보고시_공사별CORDER현황" xfId="1585" xr:uid="{00000000-0005-0000-0000-0000380A0000}"/>
    <cellStyle name="AeE­ [0]_¸AAa¸AAa¿ø°¡ _5월보고시_공사현황" xfId="1586" xr:uid="{00000000-0005-0000-0000-0000390A0000}"/>
    <cellStyle name="ÅëÈ­ [0]_¸ÅÃâ¸ÅÃâ¿ø°¡ _5월보고시_공사현황" xfId="1587" xr:uid="{00000000-0005-0000-0000-00003A0A0000}"/>
    <cellStyle name="AeE­ [0]_¸AAa¸AAa¿ø°¡ _5월보고시_자료" xfId="1588" xr:uid="{00000000-0005-0000-0000-00003B0A0000}"/>
    <cellStyle name="ÅëÈ­ [0]_¸ÅÃâ¸ÅÃâ¿ø°¡ _5월보고시_자료" xfId="1589" xr:uid="{00000000-0005-0000-0000-00003C0A0000}"/>
    <cellStyle name="AeE­ [0]_¸AAa¸AAa¿ø°¡ _공사별CORDER현황" xfId="1590" xr:uid="{00000000-0005-0000-0000-00003D0A0000}"/>
    <cellStyle name="ÅëÈ­ [0]_¸ÅÃâ¸ÅÃâ¿ø°¡ _공사별CORDER현황" xfId="1591" xr:uid="{00000000-0005-0000-0000-00003E0A0000}"/>
    <cellStyle name="AeE­ [0]_¸AAa¸AAa¿ø°¡ _공사현황" xfId="1592" xr:uid="{00000000-0005-0000-0000-00003F0A0000}"/>
    <cellStyle name="ÅëÈ­ [0]_¸ÅÃâ¸ÅÃâ¿ø°¡ _공사현황" xfId="1593" xr:uid="{00000000-0005-0000-0000-0000400A0000}"/>
    <cellStyle name="AeE­ [0]_¸AAa¸AAa¿ø°¡ _매출확정" xfId="1594" xr:uid="{00000000-0005-0000-0000-0000410A0000}"/>
    <cellStyle name="ÅëÈ­ [0]_¸ÅÃâ¸ÅÃâ¿ø°¡ _상주법인회의자료" xfId="1595" xr:uid="{00000000-0005-0000-0000-0000420A0000}"/>
    <cellStyle name="AeE­ [0]_¸AAa¸AAa¿ø°¡ _자료" xfId="1596" xr:uid="{00000000-0005-0000-0000-0000430A0000}"/>
    <cellStyle name="ÅëÈ­ [0]_¸ÅÃâ¸ÅÃâ¿ø°¡ _자료" xfId="1597" xr:uid="{00000000-0005-0000-0000-0000440A0000}"/>
    <cellStyle name="AeE­ [0]_¸AAa¾×(3)" xfId="1598" xr:uid="{00000000-0005-0000-0000-0000450A0000}"/>
    <cellStyle name="ÅëÈ­ [0]_¸ðÇü¸·" xfId="4266" xr:uid="{00000000-0005-0000-0000-0000460A0000}"/>
    <cellStyle name="AeE­ [0]_¿­¸° INT" xfId="1599" xr:uid="{00000000-0005-0000-0000-0000470A0000}"/>
    <cellStyle name="ÅëÈ­ [0]_±âÅ¸" xfId="1600" xr:uid="{00000000-0005-0000-0000-0000480A0000}"/>
    <cellStyle name="AeE­ [0]_°eE¹3 _24통관" xfId="1601" xr:uid="{00000000-0005-0000-0000-0000490A0000}"/>
    <cellStyle name="ÅëÈ­ [0]_°èÈ¹3 _5월보고벨" xfId="1602" xr:uid="{00000000-0005-0000-0000-00004A0A0000}"/>
    <cellStyle name="AeE­ [0]_°eE¹3 _매출확정" xfId="1603" xr:uid="{00000000-0005-0000-0000-00004B0A0000}"/>
    <cellStyle name="ÅëÈ­ [0]_°èÈ¹3 _상주법인회의자료" xfId="1604" xr:uid="{00000000-0005-0000-0000-00004C0A0000}"/>
    <cellStyle name="AeE­ [0]_¼oA¹°eE¹ " xfId="1605" xr:uid="{00000000-0005-0000-0000-00004D0A0000}"/>
    <cellStyle name="ÅëÈ­ [0]_¼öÅ¹°èÈ¹ " xfId="1606" xr:uid="{00000000-0005-0000-0000-00004E0A0000}"/>
    <cellStyle name="AeE­ [0]_¼oAa½CAu " xfId="1607" xr:uid="{00000000-0005-0000-0000-00004F0A0000}"/>
    <cellStyle name="ÅëÈ­ [0]_¼öÃâ½ÇÀû " xfId="1608" xr:uid="{00000000-0005-0000-0000-0000500A0000}"/>
    <cellStyle name="AeE­ [0]_¼oAa½CAu _¹≪¿ª10¿u " xfId="1609" xr:uid="{00000000-0005-0000-0000-0000510A0000}"/>
    <cellStyle name="ÅëÈ­ [0]_¼öÃâ½ÇÀû _5월보고벨" xfId="1610" xr:uid="{00000000-0005-0000-0000-0000520A0000}"/>
    <cellStyle name="AeE­ [0]_¼oAa½CAu _5월보고상" xfId="1611" xr:uid="{00000000-0005-0000-0000-0000530A0000}"/>
    <cellStyle name="ÅëÈ­ [0]_¼öÃâ½ÇÀû _5월보고상" xfId="1612" xr:uid="{00000000-0005-0000-0000-0000540A0000}"/>
    <cellStyle name="AeE­ [0]_¼oAa½CAu _5월보고상_공사별CORDER현황" xfId="1613" xr:uid="{00000000-0005-0000-0000-0000550A0000}"/>
    <cellStyle name="ÅëÈ­ [0]_¼öÃâ½ÇÀû _5월보고상_공사별CORDER현황" xfId="1614" xr:uid="{00000000-0005-0000-0000-0000560A0000}"/>
    <cellStyle name="AeE­ [0]_¼oAa½CAu _5월보고상_공사현황" xfId="1615" xr:uid="{00000000-0005-0000-0000-0000570A0000}"/>
    <cellStyle name="ÅëÈ­ [0]_¼öÃâ½ÇÀû _5월보고상_공사현황" xfId="1616" xr:uid="{00000000-0005-0000-0000-0000580A0000}"/>
    <cellStyle name="AeE­ [0]_¼oAa½CAu _5월보고상_자료" xfId="1617" xr:uid="{00000000-0005-0000-0000-0000590A0000}"/>
    <cellStyle name="ÅëÈ­ [0]_¼öÃâ½ÇÀû _5월보고상_자료" xfId="1618" xr:uid="{00000000-0005-0000-0000-00005A0A0000}"/>
    <cellStyle name="AeE­ [0]_¼oAa½CAu _5월보고시" xfId="1619" xr:uid="{00000000-0005-0000-0000-00005B0A0000}"/>
    <cellStyle name="ÅëÈ­ [0]_¼öÃâ½ÇÀû _5월보고시" xfId="1620" xr:uid="{00000000-0005-0000-0000-00005C0A0000}"/>
    <cellStyle name="AeE­ [0]_¼oAa½CAu _5월보고시_공사별CORDER현황" xfId="1621" xr:uid="{00000000-0005-0000-0000-00005D0A0000}"/>
    <cellStyle name="ÅëÈ­ [0]_¼öÃâ½ÇÀû _5월보고시_공사별CORDER현황" xfId="1622" xr:uid="{00000000-0005-0000-0000-00005E0A0000}"/>
    <cellStyle name="AeE­ [0]_¼oAa½CAu _5월보고시_공사현황" xfId="1623" xr:uid="{00000000-0005-0000-0000-00005F0A0000}"/>
    <cellStyle name="ÅëÈ­ [0]_¼öÃâ½ÇÀû _5월보고시_공사현황" xfId="1624" xr:uid="{00000000-0005-0000-0000-0000600A0000}"/>
    <cellStyle name="AeE­ [0]_¼oAa½CAu _5월보고시_자료" xfId="1625" xr:uid="{00000000-0005-0000-0000-0000610A0000}"/>
    <cellStyle name="ÅëÈ­ [0]_¼öÃâ½ÇÀû _5월보고시_자료" xfId="1626" xr:uid="{00000000-0005-0000-0000-0000620A0000}"/>
    <cellStyle name="AeE­ [0]_¼oAa½CAu _AμE￡3¿u " xfId="1636" xr:uid="{00000000-0005-0000-0000-0000630A0000}"/>
    <cellStyle name="ÅëÈ­ [0]_¼öÃâ½ÇÀû _Çö´ë¾÷¹«ÃßÁø " xfId="1637" xr:uid="{00000000-0005-0000-0000-0000640A0000}"/>
    <cellStyle name="AeE­ [0]_¼oAa½CAu _Co´e¾÷¹≪AßAø " xfId="1638" xr:uid="{00000000-0005-0000-0000-0000650A0000}"/>
    <cellStyle name="ÅëÈ­ [0]_¼öÃâ½ÇÀû _공사현황" xfId="1627" xr:uid="{00000000-0005-0000-0000-0000660A0000}"/>
    <cellStyle name="AeE­ [0]_¼oAa½CAu _사업계획2003-1125xls" xfId="1628" xr:uid="{00000000-0005-0000-0000-0000670A0000}"/>
    <cellStyle name="ÅëÈ­ [0]_¼öÃâ½ÇÀû _상주법인회의자료" xfId="1629" xr:uid="{00000000-0005-0000-0000-0000680A0000}"/>
    <cellStyle name="AeE­ [0]_¼oAa½CAu _상주법인회의자료_공사별CORDER현황" xfId="1630" xr:uid="{00000000-0005-0000-0000-0000690A0000}"/>
    <cellStyle name="ÅëÈ­ [0]_¼öÃâ½ÇÀû _상주법인회의자료_공사별CORDER현황" xfId="1631" xr:uid="{00000000-0005-0000-0000-00006A0A0000}"/>
    <cellStyle name="AeE­ [0]_¼oAa½CAu _실적01(2안)" xfId="1632" xr:uid="{00000000-0005-0000-0000-00006B0A0000}"/>
    <cellStyle name="ÅëÈ­ [0]_¼öÃâ½ÇÀû _실적01(2안)" xfId="1633" xr:uid="{00000000-0005-0000-0000-00006C0A0000}"/>
    <cellStyle name="AeE­ [0]_¼oAa½CAu _인테리어 공사 공내역2009.07.23최종(조과장)" xfId="1634" xr:uid="{00000000-0005-0000-0000-00006D0A0000}"/>
    <cellStyle name="ÅëÈ­ [0]_¼öÃâ½ÇÀû _자료" xfId="1635" xr:uid="{00000000-0005-0000-0000-00006E0A0000}"/>
    <cellStyle name="AeE­ [0]_¼OAI_¼oAa " xfId="1639" xr:uid="{00000000-0005-0000-0000-00006F0A0000}"/>
    <cellStyle name="ÅëÈ­ [0]_¼ÕÀÍ_¼öÃâ " xfId="1640" xr:uid="{00000000-0005-0000-0000-0000700A0000}"/>
    <cellStyle name="AeE­ [0]_¼oAI¼º " xfId="4267" xr:uid="{00000000-0005-0000-0000-0000710A0000}"/>
    <cellStyle name="ÅëÈ­ [0]_¼ÕÀÍ¹Î´ö " xfId="1641" xr:uid="{00000000-0005-0000-0000-0000720A0000}"/>
    <cellStyle name="AeE­ [0]_¼OAI¹I´o _5월보고벨" xfId="1642" xr:uid="{00000000-0005-0000-0000-0000730A0000}"/>
    <cellStyle name="ÅëÈ­ [0]_¼ÕÀÍ¹Î´ö _5월보고벨" xfId="1643" xr:uid="{00000000-0005-0000-0000-0000740A0000}"/>
    <cellStyle name="AeE­ [0]_¼OAI¹I´o _5월보고상" xfId="1644" xr:uid="{00000000-0005-0000-0000-0000750A0000}"/>
    <cellStyle name="ÅëÈ­ [0]_¼ÕÀÍ¹Î´ö _5월보고상" xfId="1645" xr:uid="{00000000-0005-0000-0000-0000760A0000}"/>
    <cellStyle name="AeE­ [0]_¼OAI¹I´o _5월보고시" xfId="1646" xr:uid="{00000000-0005-0000-0000-0000770A0000}"/>
    <cellStyle name="ÅëÈ­ [0]_¼ÕÀÍ¹Î´ö _5월보고시" xfId="1647" xr:uid="{00000000-0005-0000-0000-0000780A0000}"/>
    <cellStyle name="AeE­ [0]_¼OAI¹I´o _계획22" xfId="1648" xr:uid="{00000000-0005-0000-0000-0000790A0000}"/>
    <cellStyle name="ÅëÈ­ [0]_¼ÕÀÍ¹Î´ö _계획22" xfId="1649" xr:uid="{00000000-0005-0000-0000-00007A0A0000}"/>
    <cellStyle name="AeE­ [0]_¼OAI¹I´o _계획22_5월보고벨" xfId="1650" xr:uid="{00000000-0005-0000-0000-00007B0A0000}"/>
    <cellStyle name="ÅëÈ­ [0]_¼ÕÀÍ¹Î´ö _계획22_5월보고벨" xfId="1651" xr:uid="{00000000-0005-0000-0000-00007C0A0000}"/>
    <cellStyle name="AeE­ [0]_¼OAI¹I´o _계획22_5월보고상" xfId="1652" xr:uid="{00000000-0005-0000-0000-00007D0A0000}"/>
    <cellStyle name="ÅëÈ­ [0]_¼ÕÀÍ¹Î´ö _계획22_5월보고상" xfId="1653" xr:uid="{00000000-0005-0000-0000-00007E0A0000}"/>
    <cellStyle name="AeE­ [0]_¼OAI¹I´o _계획22_5월보고시" xfId="1654" xr:uid="{00000000-0005-0000-0000-00007F0A0000}"/>
    <cellStyle name="ÅëÈ­ [0]_¼ÕÀÍ¹Î´ö _계획22_5월보고시" xfId="1655" xr:uid="{00000000-0005-0000-0000-0000800A0000}"/>
    <cellStyle name="AeE­ [0]_¼OAI¹I´o _계획22_공사별CORDER현황" xfId="1656" xr:uid="{00000000-0005-0000-0000-0000810A0000}"/>
    <cellStyle name="ÅëÈ­ [0]_¼ÕÀÍ¹Î´ö _계획22_공사별CORDER현황" xfId="1657" xr:uid="{00000000-0005-0000-0000-0000820A0000}"/>
    <cellStyle name="AeE­ [0]_¼OAI¹I´o _계획22_공사현황" xfId="1658" xr:uid="{00000000-0005-0000-0000-0000830A0000}"/>
    <cellStyle name="ÅëÈ­ [0]_¼ÕÀÍ¹Î´ö _계획22_공사현황" xfId="1659" xr:uid="{00000000-0005-0000-0000-0000840A0000}"/>
    <cellStyle name="AeE­ [0]_¼OAI¹I´o _계획22_상주법인회의자료" xfId="1660" xr:uid="{00000000-0005-0000-0000-0000850A0000}"/>
    <cellStyle name="ÅëÈ­ [0]_¼ÕÀÍ¹Î´ö _계획22_상주법인회의자료" xfId="1661" xr:uid="{00000000-0005-0000-0000-0000860A0000}"/>
    <cellStyle name="AeE­ [0]_¼OAI¹I´o _계획22_자료" xfId="1662" xr:uid="{00000000-0005-0000-0000-0000870A0000}"/>
    <cellStyle name="ÅëÈ­ [0]_¼ÕÀÍ¹Î´ö _계획22_자료" xfId="1663" xr:uid="{00000000-0005-0000-0000-0000880A0000}"/>
    <cellStyle name="AeE­ [0]_¼OAI¹I´o _공사별CORDER현황" xfId="1664" xr:uid="{00000000-0005-0000-0000-0000890A0000}"/>
    <cellStyle name="ÅëÈ­ [0]_¼ÕÀÍ¹Î´ö _공사별CORDER현황" xfId="1665" xr:uid="{00000000-0005-0000-0000-00008A0A0000}"/>
    <cellStyle name="AeE­ [0]_¼OAI¹I´o _공사현황" xfId="1666" xr:uid="{00000000-0005-0000-0000-00008B0A0000}"/>
    <cellStyle name="ÅëÈ­ [0]_¼ÕÀÍ¹Î´ö _공사현황" xfId="1667" xr:uid="{00000000-0005-0000-0000-00008C0A0000}"/>
    <cellStyle name="AeE­ [0]_¼OAI¹I´o _상주법인회의자료" xfId="1668" xr:uid="{00000000-0005-0000-0000-00008D0A0000}"/>
    <cellStyle name="ÅëÈ­ [0]_¼ÕÀÍ¹Î´ö _상주법인회의자료" xfId="1669" xr:uid="{00000000-0005-0000-0000-00008E0A0000}"/>
    <cellStyle name="AeE­ [0]_¼OAI¹I´o _실적01(2안)" xfId="1670" xr:uid="{00000000-0005-0000-0000-00008F0A0000}"/>
    <cellStyle name="ÅëÈ­ [0]_¼ÕÀÍ¹Î´ö _실적01(2안)" xfId="1671" xr:uid="{00000000-0005-0000-0000-0000900A0000}"/>
    <cellStyle name="AeE­ [0]_¼OAI¹I´o _자료" xfId="1672" xr:uid="{00000000-0005-0000-0000-0000910A0000}"/>
    <cellStyle name="ÅëÈ­ [0]_¼ÕÀÍ¹Î´ö _자료" xfId="1673" xr:uid="{00000000-0005-0000-0000-0000920A0000}"/>
    <cellStyle name="AeE­ [0]_¼oAO (2)_¼oAa " xfId="1674" xr:uid="{00000000-0005-0000-0000-0000930A0000}"/>
    <cellStyle name="ÅëÈ­ [0]_¼öÁÖ (2)_¼öÃâ " xfId="1675" xr:uid="{00000000-0005-0000-0000-0000940A0000}"/>
    <cellStyle name="AeE­ [0]_¼oAO_¼oAa " xfId="1676" xr:uid="{00000000-0005-0000-0000-0000950A0000}"/>
    <cellStyle name="ÅëÈ­ [0]_¼öÁÖ_¼öÃâ " xfId="1677" xr:uid="{00000000-0005-0000-0000-0000960A0000}"/>
    <cellStyle name="AeE­ [0]_2¿u¸AAa " xfId="1678" xr:uid="{00000000-0005-0000-0000-0000970A0000}"/>
    <cellStyle name="ÅëÈ­ [0]_2¿ù¸ÅÃâ " xfId="1679" xr:uid="{00000000-0005-0000-0000-0000980A0000}"/>
    <cellStyle name="AeE­ [0]_³≫ºI°eE¹´e AßA¤A÷AI " xfId="1680" xr:uid="{00000000-0005-0000-0000-0000990A0000}"/>
    <cellStyle name="ÅëÈ­ [0]_Â÷ÀÔ±Ý " xfId="1681" xr:uid="{00000000-0005-0000-0000-00009A0A0000}"/>
    <cellStyle name="AeE­ [0]_A÷AO±Y _5월보고벨" xfId="1682" xr:uid="{00000000-0005-0000-0000-00009B0A0000}"/>
    <cellStyle name="ÅëÈ­ [0]_Â÷ÀÔ±Ý _5월보고벨" xfId="1683" xr:uid="{00000000-0005-0000-0000-00009C0A0000}"/>
    <cellStyle name="AeE­ [0]_A÷AO±Y _5월보고상" xfId="1684" xr:uid="{00000000-0005-0000-0000-00009D0A0000}"/>
    <cellStyle name="ÅëÈ­ [0]_Â÷ÀÔ±Ý _5월보고상" xfId="1685" xr:uid="{00000000-0005-0000-0000-00009E0A0000}"/>
    <cellStyle name="AeE­ [0]_A÷AO±Y _5월보고시" xfId="1686" xr:uid="{00000000-0005-0000-0000-00009F0A0000}"/>
    <cellStyle name="ÅëÈ­ [0]_Â÷ÀÔ±Ý _5월보고시" xfId="1687" xr:uid="{00000000-0005-0000-0000-0000A00A0000}"/>
    <cellStyle name="AeE­ [0]_A÷AO±Y _계획22" xfId="1688" xr:uid="{00000000-0005-0000-0000-0000A10A0000}"/>
    <cellStyle name="ÅëÈ­ [0]_Â÷ÀÔ±Ý _계획22" xfId="1689" xr:uid="{00000000-0005-0000-0000-0000A20A0000}"/>
    <cellStyle name="AeE­ [0]_A÷AO±Y _계획22_5월보고벨" xfId="1690" xr:uid="{00000000-0005-0000-0000-0000A30A0000}"/>
    <cellStyle name="ÅëÈ­ [0]_Â÷ÀÔ±Ý _계획22_5월보고벨" xfId="1691" xr:uid="{00000000-0005-0000-0000-0000A40A0000}"/>
    <cellStyle name="AeE­ [0]_A÷AO±Y _계획22_5월보고상" xfId="1692" xr:uid="{00000000-0005-0000-0000-0000A50A0000}"/>
    <cellStyle name="ÅëÈ­ [0]_Â÷ÀÔ±Ý _계획22_5월보고상" xfId="1693" xr:uid="{00000000-0005-0000-0000-0000A60A0000}"/>
    <cellStyle name="AeE­ [0]_A÷AO±Y _계획22_5월보고시" xfId="1694" xr:uid="{00000000-0005-0000-0000-0000A70A0000}"/>
    <cellStyle name="ÅëÈ­ [0]_Â÷ÀÔ±Ý _계획22_5월보고시" xfId="1695" xr:uid="{00000000-0005-0000-0000-0000A80A0000}"/>
    <cellStyle name="AeE­ [0]_A÷AO±Y _계획22_공사별CORDER현황" xfId="1696" xr:uid="{00000000-0005-0000-0000-0000A90A0000}"/>
    <cellStyle name="ÅëÈ­ [0]_Â÷ÀÔ±Ý _계획22_공사별CORDER현황" xfId="1697" xr:uid="{00000000-0005-0000-0000-0000AA0A0000}"/>
    <cellStyle name="AeE­ [0]_A÷AO±Y _계획22_공사현황" xfId="1698" xr:uid="{00000000-0005-0000-0000-0000AB0A0000}"/>
    <cellStyle name="ÅëÈ­ [0]_Â÷ÀÔ±Ý _계획22_공사현황" xfId="1699" xr:uid="{00000000-0005-0000-0000-0000AC0A0000}"/>
    <cellStyle name="AeE­ [0]_A÷AO±Y _계획22_상주법인회의자료" xfId="1700" xr:uid="{00000000-0005-0000-0000-0000AD0A0000}"/>
    <cellStyle name="ÅëÈ­ [0]_Â÷ÀÔ±Ý _계획22_상주법인회의자료" xfId="1701" xr:uid="{00000000-0005-0000-0000-0000AE0A0000}"/>
    <cellStyle name="AeE­ [0]_A÷AO±Y _계획22_자료" xfId="1702" xr:uid="{00000000-0005-0000-0000-0000AF0A0000}"/>
    <cellStyle name="ÅëÈ­ [0]_Â÷ÀÔ±Ý _계획22_자료" xfId="1703" xr:uid="{00000000-0005-0000-0000-0000B00A0000}"/>
    <cellStyle name="AeE­ [0]_A÷AO±Y _공사별CORDER현황" xfId="1704" xr:uid="{00000000-0005-0000-0000-0000B10A0000}"/>
    <cellStyle name="ÅëÈ­ [0]_Â÷ÀÔ±Ý _공사별CORDER현황" xfId="1705" xr:uid="{00000000-0005-0000-0000-0000B20A0000}"/>
    <cellStyle name="AeE­ [0]_A÷AO±Y _공사현황" xfId="1706" xr:uid="{00000000-0005-0000-0000-0000B30A0000}"/>
    <cellStyle name="ÅëÈ­ [0]_Â÷ÀÔ±Ý _공사현황" xfId="1707" xr:uid="{00000000-0005-0000-0000-0000B40A0000}"/>
    <cellStyle name="AeE­ [0]_A÷AO±Y _상주법인회의자료" xfId="1708" xr:uid="{00000000-0005-0000-0000-0000B50A0000}"/>
    <cellStyle name="ÅëÈ­ [0]_Â÷ÀÔ±Ý _상주법인회의자료" xfId="1709" xr:uid="{00000000-0005-0000-0000-0000B60A0000}"/>
    <cellStyle name="AeE­ [0]_A÷AO±Y _실적01(2안)" xfId="1710" xr:uid="{00000000-0005-0000-0000-0000B70A0000}"/>
    <cellStyle name="ÅëÈ­ [0]_Â÷ÀÔ±Ý _실적01(2안)" xfId="1711" xr:uid="{00000000-0005-0000-0000-0000B80A0000}"/>
    <cellStyle name="AeE­ [0]_A÷AO±Y _자료" xfId="1712" xr:uid="{00000000-0005-0000-0000-0000B90A0000}"/>
    <cellStyle name="ÅëÈ­ [0]_Â÷ÀÔ±Ý _자료" xfId="1713" xr:uid="{00000000-0005-0000-0000-0000BA0A0000}"/>
    <cellStyle name="AeE­ [0]_A÷AO±Y ±¸A¶ " xfId="1714" xr:uid="{00000000-0005-0000-0000-0000BB0A0000}"/>
    <cellStyle name="ÅëÈ­ [0]_Â÷ÀÔ±Ý ±¸Á¶ " xfId="1715" xr:uid="{00000000-0005-0000-0000-0000BC0A0000}"/>
    <cellStyle name="AeE­ [0]_A÷AO±Y ±¸A¶ _24통관" xfId="1716" xr:uid="{00000000-0005-0000-0000-0000BD0A0000}"/>
    <cellStyle name="ÅëÈ­ [0]_Â÷ÀÔ±Ý ±¸Á¶ _5월보고벨" xfId="1717" xr:uid="{00000000-0005-0000-0000-0000BE0A0000}"/>
    <cellStyle name="AeE­ [0]_A÷AO±Y ±¸A¶ _5월보고상" xfId="1718" xr:uid="{00000000-0005-0000-0000-0000BF0A0000}"/>
    <cellStyle name="ÅëÈ­ [0]_Â÷ÀÔ±Ý ±¸Á¶ _5월보고상" xfId="1719" xr:uid="{00000000-0005-0000-0000-0000C00A0000}"/>
    <cellStyle name="AeE­ [0]_A÷AO±Y ±¸A¶ _5월보고상_공사별CORDER현황" xfId="1720" xr:uid="{00000000-0005-0000-0000-0000C10A0000}"/>
    <cellStyle name="ÅëÈ­ [0]_Â÷ÀÔ±Ý ±¸Á¶ _5월보고상_공사별CORDER현황" xfId="1721" xr:uid="{00000000-0005-0000-0000-0000C20A0000}"/>
    <cellStyle name="AeE­ [0]_A÷AO±Y ±¸A¶ _5월보고상_공사현황" xfId="1722" xr:uid="{00000000-0005-0000-0000-0000C30A0000}"/>
    <cellStyle name="ÅëÈ­ [0]_Â÷ÀÔ±Ý ±¸Á¶ _5월보고상_공사현황" xfId="1723" xr:uid="{00000000-0005-0000-0000-0000C40A0000}"/>
    <cellStyle name="AeE­ [0]_A÷AO±Y ±¸A¶ _5월보고상_자료" xfId="1724" xr:uid="{00000000-0005-0000-0000-0000C50A0000}"/>
    <cellStyle name="ÅëÈ­ [0]_Â÷ÀÔ±Ý ±¸Á¶ _5월보고상_자료" xfId="1725" xr:uid="{00000000-0005-0000-0000-0000C60A0000}"/>
    <cellStyle name="AeE­ [0]_A÷AO±Y ±¸A¶ _5월보고시" xfId="1726" xr:uid="{00000000-0005-0000-0000-0000C70A0000}"/>
    <cellStyle name="ÅëÈ­ [0]_Â÷ÀÔ±Ý ±¸Á¶ _5월보고시" xfId="1727" xr:uid="{00000000-0005-0000-0000-0000C80A0000}"/>
    <cellStyle name="AeE­ [0]_A÷AO±Y ±¸A¶ _5월보고시_공사별CORDER현황" xfId="1728" xr:uid="{00000000-0005-0000-0000-0000C90A0000}"/>
    <cellStyle name="ÅëÈ­ [0]_Â÷ÀÔ±Ý ±¸Á¶ _5월보고시_공사별CORDER현황" xfId="1729" xr:uid="{00000000-0005-0000-0000-0000CA0A0000}"/>
    <cellStyle name="AeE­ [0]_A÷AO±Y ±¸A¶ _5월보고시_공사현황" xfId="1730" xr:uid="{00000000-0005-0000-0000-0000CB0A0000}"/>
    <cellStyle name="ÅëÈ­ [0]_Â÷ÀÔ±Ý ±¸Á¶ _5월보고시_공사현황" xfId="1731" xr:uid="{00000000-0005-0000-0000-0000CC0A0000}"/>
    <cellStyle name="AeE­ [0]_A÷AO±Y ±¸A¶ _5월보고시_자료" xfId="1732" xr:uid="{00000000-0005-0000-0000-0000CD0A0000}"/>
    <cellStyle name="ÅëÈ­ [0]_Â÷ÀÔ±Ý ±¸Á¶ _5월보고시_자료" xfId="1733" xr:uid="{00000000-0005-0000-0000-0000CE0A0000}"/>
    <cellStyle name="AeE­ [0]_A÷AO±Y ±¸A¶ _공사별CORDER현황" xfId="1734" xr:uid="{00000000-0005-0000-0000-0000CF0A0000}"/>
    <cellStyle name="ÅëÈ­ [0]_Â÷ÀÔ±Ý ±¸Á¶ _공사별CORDER현황" xfId="1735" xr:uid="{00000000-0005-0000-0000-0000D00A0000}"/>
    <cellStyle name="AeE­ [0]_A÷AO±Y ±¸A¶ _공사현황" xfId="1736" xr:uid="{00000000-0005-0000-0000-0000D10A0000}"/>
    <cellStyle name="ÅëÈ­ [0]_Â÷ÀÔ±Ý ±¸Á¶ _공사현황" xfId="1737" xr:uid="{00000000-0005-0000-0000-0000D20A0000}"/>
    <cellStyle name="AeE­ [0]_A÷AO±Y ±¸A¶ _매출확정" xfId="1738" xr:uid="{00000000-0005-0000-0000-0000D30A0000}"/>
    <cellStyle name="ÅëÈ­ [0]_Â÷ÀÔ±Ý ±¸Á¶ _상주법인회의자료" xfId="1739" xr:uid="{00000000-0005-0000-0000-0000D40A0000}"/>
    <cellStyle name="AeE­ [0]_A÷AO±Y ±¸A¶ _자료" xfId="1740" xr:uid="{00000000-0005-0000-0000-0000D50A0000}"/>
    <cellStyle name="ÅëÈ­ [0]_Â÷ÀÔ±Ý ±¸Á¶ _자료" xfId="1741" xr:uid="{00000000-0005-0000-0000-0000D60A0000}"/>
    <cellStyle name="AeE­ [0]_A¶´Þ°eE¹ " xfId="1742" xr:uid="{00000000-0005-0000-0000-0000D70A0000}"/>
    <cellStyle name="ÅëÈ­ [0]_Á¶´Þ°èÈ¹ " xfId="1743" xr:uid="{00000000-0005-0000-0000-0000D80A0000}"/>
    <cellStyle name="AeE­ [0]_A¶´Þ°eE¹ _24통관" xfId="1744" xr:uid="{00000000-0005-0000-0000-0000D90A0000}"/>
    <cellStyle name="ÅëÈ­ [0]_Á¶´Þ°èÈ¹ _5월보고벨" xfId="1745" xr:uid="{00000000-0005-0000-0000-0000DA0A0000}"/>
    <cellStyle name="AeE­ [0]_A¶´Þ°eE¹ _5월보고상" xfId="1746" xr:uid="{00000000-0005-0000-0000-0000DB0A0000}"/>
    <cellStyle name="ÅëÈ­ [0]_Á¶´Þ°èÈ¹ _5월보고상" xfId="1747" xr:uid="{00000000-0005-0000-0000-0000DC0A0000}"/>
    <cellStyle name="AeE­ [0]_A¶´Þ°eE¹ _5월보고상_공사별CORDER현황" xfId="1748" xr:uid="{00000000-0005-0000-0000-0000DD0A0000}"/>
    <cellStyle name="ÅëÈ­ [0]_Á¶´Þ°èÈ¹ _5월보고상_공사별CORDER현황" xfId="1749" xr:uid="{00000000-0005-0000-0000-0000DE0A0000}"/>
    <cellStyle name="AeE­ [0]_A¶´Þ°eE¹ _5월보고상_공사현황" xfId="1750" xr:uid="{00000000-0005-0000-0000-0000DF0A0000}"/>
    <cellStyle name="ÅëÈ­ [0]_Á¶´Þ°èÈ¹ _5월보고상_공사현황" xfId="1751" xr:uid="{00000000-0005-0000-0000-0000E00A0000}"/>
    <cellStyle name="AeE­ [0]_A¶´Þ°eE¹ _5월보고상_자료" xfId="1752" xr:uid="{00000000-0005-0000-0000-0000E10A0000}"/>
    <cellStyle name="ÅëÈ­ [0]_Á¶´Þ°èÈ¹ _5월보고상_자료" xfId="1753" xr:uid="{00000000-0005-0000-0000-0000E20A0000}"/>
    <cellStyle name="AeE­ [0]_A¶´Þ°eE¹ _5월보고시" xfId="1754" xr:uid="{00000000-0005-0000-0000-0000E30A0000}"/>
    <cellStyle name="ÅëÈ­ [0]_Á¶´Þ°èÈ¹ _5월보고시" xfId="1755" xr:uid="{00000000-0005-0000-0000-0000E40A0000}"/>
    <cellStyle name="AeE­ [0]_A¶´Þ°eE¹ _5월보고시_공사별CORDER현황" xfId="1756" xr:uid="{00000000-0005-0000-0000-0000E50A0000}"/>
    <cellStyle name="ÅëÈ­ [0]_Á¶´Þ°èÈ¹ _5월보고시_공사별CORDER현황" xfId="1757" xr:uid="{00000000-0005-0000-0000-0000E60A0000}"/>
    <cellStyle name="AeE­ [0]_A¶´Þ°eE¹ _5월보고시_공사현황" xfId="1758" xr:uid="{00000000-0005-0000-0000-0000E70A0000}"/>
    <cellStyle name="ÅëÈ­ [0]_Á¶´Þ°èÈ¹ _5월보고시_공사현황" xfId="1759" xr:uid="{00000000-0005-0000-0000-0000E80A0000}"/>
    <cellStyle name="AeE­ [0]_A¶´Þ°eE¹ _5월보고시_자료" xfId="1760" xr:uid="{00000000-0005-0000-0000-0000E90A0000}"/>
    <cellStyle name="ÅëÈ­ [0]_Á¶´Þ°èÈ¹ _5월보고시_자료" xfId="1761" xr:uid="{00000000-0005-0000-0000-0000EA0A0000}"/>
    <cellStyle name="AeE­ [0]_A¶´Þ°eE¹ _공사별CORDER현황" xfId="1762" xr:uid="{00000000-0005-0000-0000-0000EB0A0000}"/>
    <cellStyle name="ÅëÈ­ [0]_Á¶´Þ°èÈ¹ _공사별CORDER현황" xfId="1763" xr:uid="{00000000-0005-0000-0000-0000EC0A0000}"/>
    <cellStyle name="AeE­ [0]_A¶´Þ°eE¹ _공사현황" xfId="1764" xr:uid="{00000000-0005-0000-0000-0000ED0A0000}"/>
    <cellStyle name="ÅëÈ­ [0]_Á¶´Þ°èÈ¹ _공사현황" xfId="1765" xr:uid="{00000000-0005-0000-0000-0000EE0A0000}"/>
    <cellStyle name="AeE­ [0]_A¶´Þ°eE¹ _매출확정" xfId="1766" xr:uid="{00000000-0005-0000-0000-0000EF0A0000}"/>
    <cellStyle name="ÅëÈ­ [0]_Á¶´Þ°èÈ¹ _상주법인회의자료" xfId="1767" xr:uid="{00000000-0005-0000-0000-0000F00A0000}"/>
    <cellStyle name="AeE­ [0]_A¶´Þ°eE¹ _자료" xfId="1768" xr:uid="{00000000-0005-0000-0000-0000F10A0000}"/>
    <cellStyle name="ÅëÈ­ [0]_Á¶´Þ°èÈ¹ _자료" xfId="1769" xr:uid="{00000000-0005-0000-0000-0000F20A0000}"/>
    <cellStyle name="AeE­ [0]_A¾CO½A¼³ " xfId="1770" xr:uid="{00000000-0005-0000-0000-0000F30A0000}"/>
    <cellStyle name="ÅëÈ­ [0]_ÆÀÇ¥Áö_°èÈ¹3 " xfId="1771" xr:uid="{00000000-0005-0000-0000-0000F40A0000}"/>
    <cellStyle name="AeE­ [0]_ÆAC￥Ao_°eE¹3 _24통관" xfId="1772" xr:uid="{00000000-0005-0000-0000-0000F50A0000}"/>
    <cellStyle name="ÅëÈ­ [0]_ÆÀÇ¥Áö_°èÈ¹3 _5월보고벨" xfId="1773" xr:uid="{00000000-0005-0000-0000-0000F60A0000}"/>
    <cellStyle name="AeE­ [0]_ÆAC￥Ao_°eE¹3 _5월보고상" xfId="1774" xr:uid="{00000000-0005-0000-0000-0000F70A0000}"/>
    <cellStyle name="ÅëÈ­ [0]_ÆÀÇ¥Áö_°èÈ¹3 _5월보고상" xfId="1775" xr:uid="{00000000-0005-0000-0000-0000F80A0000}"/>
    <cellStyle name="AeE­ [0]_ÆAC￥Ao_°eE¹3 _5월보고상_공사별CORDER현황" xfId="1776" xr:uid="{00000000-0005-0000-0000-0000F90A0000}"/>
    <cellStyle name="ÅëÈ­ [0]_ÆÀÇ¥Áö_°èÈ¹3 _5월보고상_공사별CORDER현황" xfId="1777" xr:uid="{00000000-0005-0000-0000-0000FA0A0000}"/>
    <cellStyle name="AeE­ [0]_ÆAC￥Ao_°eE¹3 _5월보고상_공사현황" xfId="1778" xr:uid="{00000000-0005-0000-0000-0000FB0A0000}"/>
    <cellStyle name="ÅëÈ­ [0]_ÆÀÇ¥Áö_°èÈ¹3 _5월보고상_공사현황" xfId="1779" xr:uid="{00000000-0005-0000-0000-0000FC0A0000}"/>
    <cellStyle name="AeE­ [0]_ÆAC￥Ao_°eE¹3 _5월보고상_자료" xfId="1780" xr:uid="{00000000-0005-0000-0000-0000FD0A0000}"/>
    <cellStyle name="ÅëÈ­ [0]_ÆÀÇ¥Áö_°èÈ¹3 _5월보고상_자료" xfId="1781" xr:uid="{00000000-0005-0000-0000-0000FE0A0000}"/>
    <cellStyle name="AeE­ [0]_ÆAC￥Ao_°eE¹3 _5월보고시" xfId="1782" xr:uid="{00000000-0005-0000-0000-0000FF0A0000}"/>
    <cellStyle name="ÅëÈ­ [0]_ÆÀÇ¥Áö_°èÈ¹3 _5월보고시" xfId="1783" xr:uid="{00000000-0005-0000-0000-0000000B0000}"/>
    <cellStyle name="AeE­ [0]_ÆAC￥Ao_°eE¹3 _5월보고시_공사별CORDER현황" xfId="1784" xr:uid="{00000000-0005-0000-0000-0000010B0000}"/>
    <cellStyle name="ÅëÈ­ [0]_ÆÀÇ¥Áö_°èÈ¹3 _5월보고시_공사별CORDER현황" xfId="1785" xr:uid="{00000000-0005-0000-0000-0000020B0000}"/>
    <cellStyle name="AeE­ [0]_ÆAC￥Ao_°eE¹3 _5월보고시_공사현황" xfId="1786" xr:uid="{00000000-0005-0000-0000-0000030B0000}"/>
    <cellStyle name="ÅëÈ­ [0]_ÆÀÇ¥Áö_°èÈ¹3 _5월보고시_공사현황" xfId="1787" xr:uid="{00000000-0005-0000-0000-0000040B0000}"/>
    <cellStyle name="AeE­ [0]_ÆAC￥Ao_°eE¹3 _5월보고시_자료" xfId="1788" xr:uid="{00000000-0005-0000-0000-0000050B0000}"/>
    <cellStyle name="ÅëÈ­ [0]_ÆÀÇ¥Áö_°èÈ¹3 _5월보고시_자료" xfId="1789" xr:uid="{00000000-0005-0000-0000-0000060B0000}"/>
    <cellStyle name="AeE­ [0]_ÆAC￥Ao_°eE¹3 _공사별CORDER현황" xfId="1790" xr:uid="{00000000-0005-0000-0000-0000070B0000}"/>
    <cellStyle name="ÅëÈ­ [0]_ÆÀÇ¥Áö_°èÈ¹3 _공사별CORDER현황" xfId="1791" xr:uid="{00000000-0005-0000-0000-0000080B0000}"/>
    <cellStyle name="AeE­ [0]_ÆAC￥Ao_°eE¹3 _공사현황" xfId="1792" xr:uid="{00000000-0005-0000-0000-0000090B0000}"/>
    <cellStyle name="ÅëÈ­ [0]_ÆÀÇ¥Áö_°èÈ¹3 _공사현황" xfId="1793" xr:uid="{00000000-0005-0000-0000-00000A0B0000}"/>
    <cellStyle name="AeE­ [0]_ÆAC￥Ao_°eE¹3 _매출확정" xfId="1794" xr:uid="{00000000-0005-0000-0000-00000B0B0000}"/>
    <cellStyle name="ÅëÈ­ [0]_ÆÀÇ¥Áö_°èÈ¹3 _상주법인회의자료" xfId="1795" xr:uid="{00000000-0005-0000-0000-00000C0B0000}"/>
    <cellStyle name="AeE­ [0]_ÆAC￥Ao_°eE¹3 _자료" xfId="1796" xr:uid="{00000000-0005-0000-0000-00000D0B0000}"/>
    <cellStyle name="ÅëÈ­ [0]_ÆÀÇ¥Áö_°èÈ¹3 _자료" xfId="1797" xr:uid="{00000000-0005-0000-0000-00000E0B0000}"/>
    <cellStyle name="AeE­ [0]_AI·A]_¼oAa " xfId="1798" xr:uid="{00000000-0005-0000-0000-00000F0B0000}"/>
    <cellStyle name="ÅëÈ­ [0]_ÀÎ·Â]_¼öÃâ " xfId="1799" xr:uid="{00000000-0005-0000-0000-0000100B0000}"/>
    <cellStyle name="AeE­ [0]_AMT " xfId="1800" xr:uid="{00000000-0005-0000-0000-0000110B0000}"/>
    <cellStyle name="ÅëÈ­ [0]_AMT " xfId="1801" xr:uid="{00000000-0005-0000-0000-0000120B0000}"/>
    <cellStyle name="AeE­ [0]_AMT _¹≪¿ª10¿u " xfId="1802" xr:uid="{00000000-0005-0000-0000-0000130B0000}"/>
    <cellStyle name="ÅëÈ­ [0]_AMT _ÃµÈ£3¿ù " xfId="1803" xr:uid="{00000000-0005-0000-0000-0000140B0000}"/>
    <cellStyle name="AeE­ [0]_AMT _AμE￡3¿u " xfId="1804" xr:uid="{00000000-0005-0000-0000-0000150B0000}"/>
    <cellStyle name="ÅëÈ­ [0]_ÅõÀÚ_¼öÃâ " xfId="1805" xr:uid="{00000000-0005-0000-0000-0000160B0000}"/>
    <cellStyle name="AeE­ [0]_Au·≪°uA|º°ºn¿eAß°¡³≫¿ª_¼oAa " xfId="1806" xr:uid="{00000000-0005-0000-0000-0000170B0000}"/>
    <cellStyle name="ÅëÈ­ [0]_Çö´ë¾÷¹«ÃßÁø " xfId="1807" xr:uid="{00000000-0005-0000-0000-0000180B0000}"/>
    <cellStyle name="AeE­ [0]_Co´e¾÷¹≪AßAø " xfId="1808" xr:uid="{00000000-0005-0000-0000-0000190B0000}"/>
    <cellStyle name="ÅëÈ­ [0]_INQUIRY ¿µ¾÷ÃßÁø " xfId="1809" xr:uid="{00000000-0005-0000-0000-00001A0B0000}"/>
    <cellStyle name="AeE­ [0]_INQUIRY ¿μ¾÷AßAø " xfId="1810" xr:uid="{00000000-0005-0000-0000-00001B0B0000}"/>
    <cellStyle name="ÅëÈ­ [0]_º»¼± ±æ¾î±úºÎ ¼ö·® Áý°èÇ¥ " xfId="1811" xr:uid="{00000000-0005-0000-0000-00001C0B0000}"/>
    <cellStyle name="AeE­ [0]_º≫¼± ±æ¾i±uºI ¼o·R Ay°eC￥ " xfId="1812" xr:uid="{00000000-0005-0000-0000-00001D0B0000}"/>
    <cellStyle name="ÅëÈ­ [0]_RESULTS" xfId="1813" xr:uid="{00000000-0005-0000-0000-00001E0B0000}"/>
    <cellStyle name="Aee­ _○ 분석표-우송대" xfId="1814" xr:uid="{00000000-0005-0000-0000-00001F0B0000}"/>
    <cellStyle name="AeE­_ 2ÆAAþº° " xfId="1815" xr:uid="{00000000-0005-0000-0000-0000200B0000}"/>
    <cellStyle name="ÅëÈ­_ ºñ¸ñº° ¿ùº°±â¼ú " xfId="1816" xr:uid="{00000000-0005-0000-0000-0000210B0000}"/>
    <cellStyle name="AeE­_´e¿UCN¹R°ø¹R " xfId="1817" xr:uid="{00000000-0005-0000-0000-0000220B0000}"/>
    <cellStyle name="ÅëÈ­_´ëºñÇ¥" xfId="1818" xr:uid="{00000000-0005-0000-0000-0000230B0000}"/>
    <cellStyle name="AeE­_¸AAa" xfId="1819" xr:uid="{00000000-0005-0000-0000-0000240B0000}"/>
    <cellStyle name="ÅëÈ­_¸ÅÃâ¸ÅÃâ¿ø°¡ " xfId="1820" xr:uid="{00000000-0005-0000-0000-0000250B0000}"/>
    <cellStyle name="AeE­_¸AAa¸AAa¿ø°¡ _0201실적" xfId="1821" xr:uid="{00000000-0005-0000-0000-0000260B0000}"/>
    <cellStyle name="ÅëÈ­_¸ÅÃâ¸ÅÃâ¿ø°¡ _5월보고벨" xfId="1822" xr:uid="{00000000-0005-0000-0000-0000270B0000}"/>
    <cellStyle name="AeE­_¸AAa¸AAa¿ø°¡ _공사별CORDER현황" xfId="1823" xr:uid="{00000000-0005-0000-0000-0000280B0000}"/>
    <cellStyle name="ÅëÈ­_¸ÅÃâ¸ÅÃâ¿ø°¡ _공사별CORDER현황" xfId="1824" xr:uid="{00000000-0005-0000-0000-0000290B0000}"/>
    <cellStyle name="AeE­_¸AAa¸AAa¿ø°¡ _공사현황" xfId="1825" xr:uid="{00000000-0005-0000-0000-00002A0B0000}"/>
    <cellStyle name="ÅëÈ­_¸ÅÃâ¸ÅÃâ¿ø°¡ _공사현황" xfId="1826" xr:uid="{00000000-0005-0000-0000-00002B0B0000}"/>
    <cellStyle name="AeE­_¸AAa¸AAa¿ø°¡ _매출34" xfId="1827" xr:uid="{00000000-0005-0000-0000-00002C0B0000}"/>
    <cellStyle name="ÅëÈ­_¸ÅÃâ¸ÅÃâ¿ø°¡ _상주법인회의자료" xfId="1828" xr:uid="{00000000-0005-0000-0000-00002D0B0000}"/>
    <cellStyle name="AeE­_¸AAa¸AAa¿ø°¡ _자료" xfId="1829" xr:uid="{00000000-0005-0000-0000-00002E0B0000}"/>
    <cellStyle name="ÅëÈ­_¸ÅÃâ¸ÅÃâ¿ø°¡ _자료" xfId="1830" xr:uid="{00000000-0005-0000-0000-00002F0B0000}"/>
    <cellStyle name="AeE­_¸AAa¾×(3)" xfId="1831" xr:uid="{00000000-0005-0000-0000-0000300B0000}"/>
    <cellStyle name="ÅëÈ­_¸ðÇü¸·" xfId="4268" xr:uid="{00000000-0005-0000-0000-0000310B0000}"/>
    <cellStyle name="AeE­_¿­¸° INT" xfId="1832" xr:uid="{00000000-0005-0000-0000-0000320B0000}"/>
    <cellStyle name="ÅëÈ­_±âÅ¸" xfId="1833" xr:uid="{00000000-0005-0000-0000-0000330B0000}"/>
    <cellStyle name="AeE­_°eE¹3 _24통관" xfId="1834" xr:uid="{00000000-0005-0000-0000-0000340B0000}"/>
    <cellStyle name="ÅëÈ­_°èÈ¹3 _5월보고벨" xfId="1835" xr:uid="{00000000-0005-0000-0000-0000350B0000}"/>
    <cellStyle name="AeE­_°eE¹3 _매출확정" xfId="1836" xr:uid="{00000000-0005-0000-0000-0000360B0000}"/>
    <cellStyle name="ÅëÈ­_°èÈ¹3 _상주법인회의자료" xfId="1837" xr:uid="{00000000-0005-0000-0000-0000370B0000}"/>
    <cellStyle name="AeE­_¼oA¹°eE¹ " xfId="1838" xr:uid="{00000000-0005-0000-0000-0000380B0000}"/>
    <cellStyle name="ÅëÈ­_¼öÅ¹°èÈ¹ " xfId="1839" xr:uid="{00000000-0005-0000-0000-0000390B0000}"/>
    <cellStyle name="AeE­_¼oAa½CAu " xfId="1840" xr:uid="{00000000-0005-0000-0000-00003A0B0000}"/>
    <cellStyle name="ÅëÈ­_¼öÃâ½ÇÀû " xfId="1841" xr:uid="{00000000-0005-0000-0000-00003B0B0000}"/>
    <cellStyle name="AeE­_¼oAa½CAu _¹≪¿ª10¿u " xfId="1842" xr:uid="{00000000-0005-0000-0000-00003C0B0000}"/>
    <cellStyle name="ÅëÈ­_¼öÃâ½ÇÀû _5월보고벨" xfId="1843" xr:uid="{00000000-0005-0000-0000-00003D0B0000}"/>
    <cellStyle name="AeE­_¼oAa½CAu _5월보고상" xfId="1844" xr:uid="{00000000-0005-0000-0000-00003E0B0000}"/>
    <cellStyle name="ÅëÈ­_¼öÃâ½ÇÀû _5월보고상" xfId="1845" xr:uid="{00000000-0005-0000-0000-00003F0B0000}"/>
    <cellStyle name="AeE­_¼oAa½CAu _5월보고상_공사별CORDER현황" xfId="1846" xr:uid="{00000000-0005-0000-0000-0000400B0000}"/>
    <cellStyle name="ÅëÈ­_¼öÃâ½ÇÀû _5월보고상_공사별CORDER현황" xfId="1847" xr:uid="{00000000-0005-0000-0000-0000410B0000}"/>
    <cellStyle name="AeE­_¼oAa½CAu _5월보고상_공사현황" xfId="1848" xr:uid="{00000000-0005-0000-0000-0000420B0000}"/>
    <cellStyle name="ÅëÈ­_¼öÃâ½ÇÀû _5월보고상_공사현황" xfId="1849" xr:uid="{00000000-0005-0000-0000-0000430B0000}"/>
    <cellStyle name="AeE­_¼oAa½CAu _5월보고상_자료" xfId="1850" xr:uid="{00000000-0005-0000-0000-0000440B0000}"/>
    <cellStyle name="ÅëÈ­_¼öÃâ½ÇÀû _5월보고상_자료" xfId="1851" xr:uid="{00000000-0005-0000-0000-0000450B0000}"/>
    <cellStyle name="AeE­_¼oAa½CAu _5월보고시" xfId="1852" xr:uid="{00000000-0005-0000-0000-0000460B0000}"/>
    <cellStyle name="ÅëÈ­_¼öÃâ½ÇÀû _5월보고시" xfId="1853" xr:uid="{00000000-0005-0000-0000-0000470B0000}"/>
    <cellStyle name="AeE­_¼oAa½CAu _5월보고시_공사별CORDER현황" xfId="1854" xr:uid="{00000000-0005-0000-0000-0000480B0000}"/>
    <cellStyle name="ÅëÈ­_¼öÃâ½ÇÀû _5월보고시_공사별CORDER현황" xfId="1855" xr:uid="{00000000-0005-0000-0000-0000490B0000}"/>
    <cellStyle name="AeE­_¼oAa½CAu _5월보고시_공사현황" xfId="1856" xr:uid="{00000000-0005-0000-0000-00004A0B0000}"/>
    <cellStyle name="ÅëÈ­_¼öÃâ½ÇÀû _5월보고시_공사현황" xfId="1857" xr:uid="{00000000-0005-0000-0000-00004B0B0000}"/>
    <cellStyle name="AeE­_¼oAa½CAu _5월보고시_자료" xfId="1858" xr:uid="{00000000-0005-0000-0000-00004C0B0000}"/>
    <cellStyle name="ÅëÈ­_¼öÃâ½ÇÀû _5월보고시_자료" xfId="1859" xr:uid="{00000000-0005-0000-0000-00004D0B0000}"/>
    <cellStyle name="AeE­_¼oAa½CAu _Co´e¾÷¹≪AßAø " xfId="1869" xr:uid="{00000000-0005-0000-0000-00004E0B0000}"/>
    <cellStyle name="ÅëÈ­_¼öÃâ½ÇÀû _공사현황" xfId="1860" xr:uid="{00000000-0005-0000-0000-00004F0B0000}"/>
    <cellStyle name="AeE­_¼oAa½CAu _사업계획2003-1125xls" xfId="1861" xr:uid="{00000000-0005-0000-0000-0000500B0000}"/>
    <cellStyle name="ÅëÈ­_¼öÃâ½ÇÀû _상주법인회의자료" xfId="1862" xr:uid="{00000000-0005-0000-0000-0000510B0000}"/>
    <cellStyle name="AeE­_¼oAa½CAu _상주법인회의자료_공사별CORDER현황" xfId="1863" xr:uid="{00000000-0005-0000-0000-0000520B0000}"/>
    <cellStyle name="ÅëÈ­_¼öÃâ½ÇÀû _상주법인회의자료_공사별CORDER현황" xfId="1864" xr:uid="{00000000-0005-0000-0000-0000530B0000}"/>
    <cellStyle name="AeE­_¼oAa½CAu _실적01(2안)" xfId="1865" xr:uid="{00000000-0005-0000-0000-0000540B0000}"/>
    <cellStyle name="ÅëÈ­_¼öÃâ½ÇÀû _실적01(2안)" xfId="1866" xr:uid="{00000000-0005-0000-0000-0000550B0000}"/>
    <cellStyle name="AeE­_¼oAa½CAu _인테리어 공사 공내역2009.07.23최종(조과장)" xfId="1867" xr:uid="{00000000-0005-0000-0000-0000560B0000}"/>
    <cellStyle name="ÅëÈ­_¼öÃâ½ÇÀû _자료" xfId="1868" xr:uid="{00000000-0005-0000-0000-0000570B0000}"/>
    <cellStyle name="AeE­_³≫ºI°eE¹´e AßA¤A÷AI " xfId="1870" xr:uid="{00000000-0005-0000-0000-0000580B0000}"/>
    <cellStyle name="ÅëÈ­_Â÷ÀÔ±Ý " xfId="1871" xr:uid="{00000000-0005-0000-0000-0000590B0000}"/>
    <cellStyle name="AeE­_A÷AO±Y _5월보고벨" xfId="1872" xr:uid="{00000000-0005-0000-0000-00005A0B0000}"/>
    <cellStyle name="ÅëÈ­_Â÷ÀÔ±Ý _5월보고벨" xfId="1873" xr:uid="{00000000-0005-0000-0000-00005B0B0000}"/>
    <cellStyle name="AeE­_A÷AO±Y _5월보고상" xfId="1874" xr:uid="{00000000-0005-0000-0000-00005C0B0000}"/>
    <cellStyle name="ÅëÈ­_Â÷ÀÔ±Ý _5월보고상" xfId="1875" xr:uid="{00000000-0005-0000-0000-00005D0B0000}"/>
    <cellStyle name="AeE­_A÷AO±Y _5월보고시" xfId="1876" xr:uid="{00000000-0005-0000-0000-00005E0B0000}"/>
    <cellStyle name="ÅëÈ­_Â÷ÀÔ±Ý _5월보고시" xfId="1877" xr:uid="{00000000-0005-0000-0000-00005F0B0000}"/>
    <cellStyle name="AeE­_A÷AO±Y _계획22" xfId="1878" xr:uid="{00000000-0005-0000-0000-0000600B0000}"/>
    <cellStyle name="ÅëÈ­_Â÷ÀÔ±Ý _계획22" xfId="1879" xr:uid="{00000000-0005-0000-0000-0000610B0000}"/>
    <cellStyle name="AeE­_A÷AO±Y _계획22_5월보고벨" xfId="1880" xr:uid="{00000000-0005-0000-0000-0000620B0000}"/>
    <cellStyle name="ÅëÈ­_Â÷ÀÔ±Ý _계획22_5월보고벨" xfId="1881" xr:uid="{00000000-0005-0000-0000-0000630B0000}"/>
    <cellStyle name="AeE­_A÷AO±Y _계획22_5월보고상" xfId="1882" xr:uid="{00000000-0005-0000-0000-0000640B0000}"/>
    <cellStyle name="ÅëÈ­_Â÷ÀÔ±Ý _계획22_5월보고상" xfId="1883" xr:uid="{00000000-0005-0000-0000-0000650B0000}"/>
    <cellStyle name="AeE­_A÷AO±Y _계획22_5월보고시" xfId="1884" xr:uid="{00000000-0005-0000-0000-0000660B0000}"/>
    <cellStyle name="ÅëÈ­_Â÷ÀÔ±Ý _계획22_5월보고시" xfId="1885" xr:uid="{00000000-0005-0000-0000-0000670B0000}"/>
    <cellStyle name="AeE­_A÷AO±Y _계획22_공사별CORDER현황" xfId="1886" xr:uid="{00000000-0005-0000-0000-0000680B0000}"/>
    <cellStyle name="ÅëÈ­_Â÷ÀÔ±Ý _계획22_공사별CORDER현황" xfId="1887" xr:uid="{00000000-0005-0000-0000-0000690B0000}"/>
    <cellStyle name="AeE­_A÷AO±Y _계획22_공사현황" xfId="1888" xr:uid="{00000000-0005-0000-0000-00006A0B0000}"/>
    <cellStyle name="ÅëÈ­_Â÷ÀÔ±Ý _계획22_공사현황" xfId="1889" xr:uid="{00000000-0005-0000-0000-00006B0B0000}"/>
    <cellStyle name="AeE­_A÷AO±Y _계획22_상주법인회의자료" xfId="1890" xr:uid="{00000000-0005-0000-0000-00006C0B0000}"/>
    <cellStyle name="ÅëÈ­_Â÷ÀÔ±Ý _계획22_상주법인회의자료" xfId="1891" xr:uid="{00000000-0005-0000-0000-00006D0B0000}"/>
    <cellStyle name="AeE­_A÷AO±Y _계획22_자료" xfId="1892" xr:uid="{00000000-0005-0000-0000-00006E0B0000}"/>
    <cellStyle name="ÅëÈ­_Â÷ÀÔ±Ý _계획22_자료" xfId="1893" xr:uid="{00000000-0005-0000-0000-00006F0B0000}"/>
    <cellStyle name="AeE­_A÷AO±Y _공사별CORDER현황" xfId="1894" xr:uid="{00000000-0005-0000-0000-0000700B0000}"/>
    <cellStyle name="ÅëÈ­_Â÷ÀÔ±Ý _공사별CORDER현황" xfId="1895" xr:uid="{00000000-0005-0000-0000-0000710B0000}"/>
    <cellStyle name="AeE­_A÷AO±Y _공사현황" xfId="1896" xr:uid="{00000000-0005-0000-0000-0000720B0000}"/>
    <cellStyle name="ÅëÈ­_Â÷ÀÔ±Ý _공사현황" xfId="1897" xr:uid="{00000000-0005-0000-0000-0000730B0000}"/>
    <cellStyle name="AeE­_A÷AO±Y _상주법인회의자료" xfId="1898" xr:uid="{00000000-0005-0000-0000-0000740B0000}"/>
    <cellStyle name="ÅëÈ­_Â÷ÀÔ±Ý _상주법인회의자료" xfId="1899" xr:uid="{00000000-0005-0000-0000-0000750B0000}"/>
    <cellStyle name="AeE­_A÷AO±Y _실적01(2안)" xfId="1900" xr:uid="{00000000-0005-0000-0000-0000760B0000}"/>
    <cellStyle name="ÅëÈ­_Â÷ÀÔ±Ý _실적01(2안)" xfId="1901" xr:uid="{00000000-0005-0000-0000-0000770B0000}"/>
    <cellStyle name="AeE­_A÷AO±Y _실적01(2안)_5월보고벨" xfId="1902" xr:uid="{00000000-0005-0000-0000-0000780B0000}"/>
    <cellStyle name="ÅëÈ­_Â÷ÀÔ±Ý _실적01(2안)_5월보고벨" xfId="1903" xr:uid="{00000000-0005-0000-0000-0000790B0000}"/>
    <cellStyle name="AeE­_A÷AO±Y _실적01(2안)_5월보고벨_공사별CORDER현황" xfId="1904" xr:uid="{00000000-0005-0000-0000-00007A0B0000}"/>
    <cellStyle name="ÅëÈ­_Â÷ÀÔ±Ý _실적01(2안)_5월보고벨_공사별CORDER현황" xfId="1905" xr:uid="{00000000-0005-0000-0000-00007B0B0000}"/>
    <cellStyle name="AeE­_A÷AO±Y _실적01(2안)_5월보고벨_공사현황" xfId="1906" xr:uid="{00000000-0005-0000-0000-00007C0B0000}"/>
    <cellStyle name="ÅëÈ­_Â÷ÀÔ±Ý _실적01(2안)_5월보고벨_공사현황" xfId="1907" xr:uid="{00000000-0005-0000-0000-00007D0B0000}"/>
    <cellStyle name="AeE­_A÷AO±Y _실적01(2안)_5월보고벨_자료" xfId="1908" xr:uid="{00000000-0005-0000-0000-00007E0B0000}"/>
    <cellStyle name="ÅëÈ­_Â÷ÀÔ±Ý _실적01(2안)_5월보고벨_자료" xfId="1909" xr:uid="{00000000-0005-0000-0000-00007F0B0000}"/>
    <cellStyle name="AeE­_A÷AO±Y _실적01(2안)_5월보고상" xfId="1910" xr:uid="{00000000-0005-0000-0000-0000800B0000}"/>
    <cellStyle name="ÅëÈ­_Â÷ÀÔ±Ý _실적01(2안)_5월보고상" xfId="1911" xr:uid="{00000000-0005-0000-0000-0000810B0000}"/>
    <cellStyle name="AeE­_A÷AO±Y _실적01(2안)_5월보고상_공사별CORDER현황" xfId="1912" xr:uid="{00000000-0005-0000-0000-0000820B0000}"/>
    <cellStyle name="ÅëÈ­_Â÷ÀÔ±Ý _실적01(2안)_5월보고상_공사별CORDER현황" xfId="1913" xr:uid="{00000000-0005-0000-0000-0000830B0000}"/>
    <cellStyle name="AeE­_A÷AO±Y _실적01(2안)_5월보고상_공사현황" xfId="1914" xr:uid="{00000000-0005-0000-0000-0000840B0000}"/>
    <cellStyle name="ÅëÈ­_Â÷ÀÔ±Ý _실적01(2안)_5월보고상_공사현황" xfId="1915" xr:uid="{00000000-0005-0000-0000-0000850B0000}"/>
    <cellStyle name="AeE­_A÷AO±Y _실적01(2안)_5월보고상_자료" xfId="1916" xr:uid="{00000000-0005-0000-0000-0000860B0000}"/>
    <cellStyle name="ÅëÈ­_Â÷ÀÔ±Ý _실적01(2안)_5월보고상_자료" xfId="1917" xr:uid="{00000000-0005-0000-0000-0000870B0000}"/>
    <cellStyle name="AeE­_A÷AO±Y _실적01(2안)_5월보고시" xfId="1918" xr:uid="{00000000-0005-0000-0000-0000880B0000}"/>
    <cellStyle name="ÅëÈ­_Â÷ÀÔ±Ý _실적01(2안)_5월보고시" xfId="1919" xr:uid="{00000000-0005-0000-0000-0000890B0000}"/>
    <cellStyle name="AeE­_A÷AO±Y _실적01(2안)_5월보고시_공사별CORDER현황" xfId="1920" xr:uid="{00000000-0005-0000-0000-00008A0B0000}"/>
    <cellStyle name="ÅëÈ­_Â÷ÀÔ±Ý _실적01(2안)_5월보고시_공사별CORDER현황" xfId="1921" xr:uid="{00000000-0005-0000-0000-00008B0B0000}"/>
    <cellStyle name="AeE­_A÷AO±Y _실적01(2안)_5월보고시_공사현황" xfId="1922" xr:uid="{00000000-0005-0000-0000-00008C0B0000}"/>
    <cellStyle name="ÅëÈ­_Â÷ÀÔ±Ý _실적01(2안)_5월보고시_공사현황" xfId="1923" xr:uid="{00000000-0005-0000-0000-00008D0B0000}"/>
    <cellStyle name="AeE­_A÷AO±Y _실적01(2안)_5월보고시_자료" xfId="1924" xr:uid="{00000000-0005-0000-0000-00008E0B0000}"/>
    <cellStyle name="ÅëÈ­_Â÷ÀÔ±Ý _실적01(2안)_5월보고시_자료" xfId="1925" xr:uid="{00000000-0005-0000-0000-00008F0B0000}"/>
    <cellStyle name="AeE­_A÷AO±Y _실적01(2안)_공사별CORDER현황" xfId="1926" xr:uid="{00000000-0005-0000-0000-0000900B0000}"/>
    <cellStyle name="ÅëÈ­_Â÷ÀÔ±Ý _실적01(2안)_공사별CORDER현황" xfId="1927" xr:uid="{00000000-0005-0000-0000-0000910B0000}"/>
    <cellStyle name="AeE­_A÷AO±Y _실적01(2안)_공사현황" xfId="1928" xr:uid="{00000000-0005-0000-0000-0000920B0000}"/>
    <cellStyle name="ÅëÈ­_Â÷ÀÔ±Ý _실적01(2안)_공사현황" xfId="1929" xr:uid="{00000000-0005-0000-0000-0000930B0000}"/>
    <cellStyle name="AeE­_A÷AO±Y _실적01(2안)_상주법인회의자료" xfId="1930" xr:uid="{00000000-0005-0000-0000-0000940B0000}"/>
    <cellStyle name="ÅëÈ­_Â÷ÀÔ±Ý _실적01(2안)_상주법인회의자료" xfId="1931" xr:uid="{00000000-0005-0000-0000-0000950B0000}"/>
    <cellStyle name="AeE­_A÷AO±Y _실적01(2안)_상주법인회의자료_공사별CORDER현황" xfId="1932" xr:uid="{00000000-0005-0000-0000-0000960B0000}"/>
    <cellStyle name="ÅëÈ­_Â÷ÀÔ±Ý _실적01(2안)_상주법인회의자료_공사별CORDER현황" xfId="1933" xr:uid="{00000000-0005-0000-0000-0000970B0000}"/>
    <cellStyle name="AeE­_A÷AO±Y _실적01(2안)_상주법인회의자료_공사현황" xfId="1934" xr:uid="{00000000-0005-0000-0000-0000980B0000}"/>
    <cellStyle name="ÅëÈ­_Â÷ÀÔ±Ý _실적01(2안)_상주법인회의자료_공사현황" xfId="1935" xr:uid="{00000000-0005-0000-0000-0000990B0000}"/>
    <cellStyle name="AeE­_A÷AO±Y _실적01(2안)_상주법인회의자료_자료" xfId="1936" xr:uid="{00000000-0005-0000-0000-00009A0B0000}"/>
    <cellStyle name="ÅëÈ­_Â÷ÀÔ±Ý _실적01(2안)_상주법인회의자료_자료" xfId="1937" xr:uid="{00000000-0005-0000-0000-00009B0B0000}"/>
    <cellStyle name="AeE­_A÷AO±Y _실적01(2안)_자료" xfId="1938" xr:uid="{00000000-0005-0000-0000-00009C0B0000}"/>
    <cellStyle name="ÅëÈ­_Â÷ÀÔ±Ý _실적01(2안)_자료" xfId="1939" xr:uid="{00000000-0005-0000-0000-00009D0B0000}"/>
    <cellStyle name="AeE­_A÷AO±Y _자료" xfId="1940" xr:uid="{00000000-0005-0000-0000-00009E0B0000}"/>
    <cellStyle name="ÅëÈ­_Â÷ÀÔ±Ý _자료" xfId="1941" xr:uid="{00000000-0005-0000-0000-00009F0B0000}"/>
    <cellStyle name="AeE­_A÷AO±Y ±¸A¶ " xfId="1942" xr:uid="{00000000-0005-0000-0000-0000A00B0000}"/>
    <cellStyle name="ÅëÈ­_Â÷ÀÔ±Ý ±¸Á¶ " xfId="1943" xr:uid="{00000000-0005-0000-0000-0000A10B0000}"/>
    <cellStyle name="AeE­_A÷AO±Y ±¸A¶ _24통관" xfId="1944" xr:uid="{00000000-0005-0000-0000-0000A20B0000}"/>
    <cellStyle name="ÅëÈ­_Â÷ÀÔ±Ý ±¸Á¶ _5월보고벨" xfId="1945" xr:uid="{00000000-0005-0000-0000-0000A30B0000}"/>
    <cellStyle name="AeE­_A÷AO±Y ±¸A¶ _5월보고상" xfId="1946" xr:uid="{00000000-0005-0000-0000-0000A40B0000}"/>
    <cellStyle name="ÅëÈ­_Â÷ÀÔ±Ý ±¸Á¶ _5월보고상" xfId="1947" xr:uid="{00000000-0005-0000-0000-0000A50B0000}"/>
    <cellStyle name="AeE­_A÷AO±Y ±¸A¶ _5월보고상_공사별CORDER현황" xfId="1948" xr:uid="{00000000-0005-0000-0000-0000A60B0000}"/>
    <cellStyle name="ÅëÈ­_Â÷ÀÔ±Ý ±¸Á¶ _5월보고상_공사별CORDER현황" xfId="1949" xr:uid="{00000000-0005-0000-0000-0000A70B0000}"/>
    <cellStyle name="AeE­_A÷AO±Y ±¸A¶ _5월보고상_공사현황" xfId="1950" xr:uid="{00000000-0005-0000-0000-0000A80B0000}"/>
    <cellStyle name="ÅëÈ­_Â÷ÀÔ±Ý ±¸Á¶ _5월보고상_공사현황" xfId="1951" xr:uid="{00000000-0005-0000-0000-0000A90B0000}"/>
    <cellStyle name="AeE­_A÷AO±Y ±¸A¶ _5월보고상_자료" xfId="1952" xr:uid="{00000000-0005-0000-0000-0000AA0B0000}"/>
    <cellStyle name="ÅëÈ­_Â÷ÀÔ±Ý ±¸Á¶ _5월보고상_자료" xfId="1953" xr:uid="{00000000-0005-0000-0000-0000AB0B0000}"/>
    <cellStyle name="AeE­_A÷AO±Y ±¸A¶ _5월보고시" xfId="1954" xr:uid="{00000000-0005-0000-0000-0000AC0B0000}"/>
    <cellStyle name="ÅëÈ­_Â÷ÀÔ±Ý ±¸Á¶ _5월보고시" xfId="1955" xr:uid="{00000000-0005-0000-0000-0000AD0B0000}"/>
    <cellStyle name="AeE­_A÷AO±Y ±¸A¶ _5월보고시_공사별CORDER현황" xfId="1956" xr:uid="{00000000-0005-0000-0000-0000AE0B0000}"/>
    <cellStyle name="ÅëÈ­_Â÷ÀÔ±Ý ±¸Á¶ _5월보고시_공사별CORDER현황" xfId="1957" xr:uid="{00000000-0005-0000-0000-0000AF0B0000}"/>
    <cellStyle name="AeE­_A÷AO±Y ±¸A¶ _5월보고시_공사현황" xfId="1958" xr:uid="{00000000-0005-0000-0000-0000B00B0000}"/>
    <cellStyle name="ÅëÈ­_Â÷ÀÔ±Ý ±¸Á¶ _5월보고시_공사현황" xfId="1959" xr:uid="{00000000-0005-0000-0000-0000B10B0000}"/>
    <cellStyle name="AeE­_A÷AO±Y ±¸A¶ _5월보고시_자료" xfId="1960" xr:uid="{00000000-0005-0000-0000-0000B20B0000}"/>
    <cellStyle name="ÅëÈ­_Â÷ÀÔ±Ý ±¸Á¶ _5월보고시_자료" xfId="1961" xr:uid="{00000000-0005-0000-0000-0000B30B0000}"/>
    <cellStyle name="AeE­_A÷AO±Y ±¸A¶ _공사별CORDER현황" xfId="1962" xr:uid="{00000000-0005-0000-0000-0000B40B0000}"/>
    <cellStyle name="ÅëÈ­_Â÷ÀÔ±Ý ±¸Á¶ _공사별CORDER현황" xfId="1963" xr:uid="{00000000-0005-0000-0000-0000B50B0000}"/>
    <cellStyle name="AeE­_A÷AO±Y ±¸A¶ _공사현황" xfId="1964" xr:uid="{00000000-0005-0000-0000-0000B60B0000}"/>
    <cellStyle name="ÅëÈ­_Â÷ÀÔ±Ý ±¸Á¶ _공사현황" xfId="1965" xr:uid="{00000000-0005-0000-0000-0000B70B0000}"/>
    <cellStyle name="AeE­_A÷AO±Y ±¸A¶ _매출확정" xfId="1966" xr:uid="{00000000-0005-0000-0000-0000B80B0000}"/>
    <cellStyle name="ÅëÈ­_Â÷ÀÔ±Ý ±¸Á¶ _상주법인회의자료" xfId="1967" xr:uid="{00000000-0005-0000-0000-0000B90B0000}"/>
    <cellStyle name="AeE­_A÷AO±Y ±¸A¶ _자료" xfId="1968" xr:uid="{00000000-0005-0000-0000-0000BA0B0000}"/>
    <cellStyle name="ÅëÈ­_Â÷ÀÔ±Ý ±¸Á¶ _자료" xfId="1969" xr:uid="{00000000-0005-0000-0000-0000BB0B0000}"/>
    <cellStyle name="AeE­_A¶´Þ°eE¹ " xfId="1970" xr:uid="{00000000-0005-0000-0000-0000BC0B0000}"/>
    <cellStyle name="ÅëÈ­_Á¶´Þ°èÈ¹ " xfId="1971" xr:uid="{00000000-0005-0000-0000-0000BD0B0000}"/>
    <cellStyle name="AeE­_A¶´Þ°eE¹ _24통관" xfId="1972" xr:uid="{00000000-0005-0000-0000-0000BE0B0000}"/>
    <cellStyle name="ÅëÈ­_Á¶´Þ°èÈ¹ _5월보고벨" xfId="1973" xr:uid="{00000000-0005-0000-0000-0000BF0B0000}"/>
    <cellStyle name="AeE­_A¶´Þ°eE¹ _5월보고상" xfId="1974" xr:uid="{00000000-0005-0000-0000-0000C00B0000}"/>
    <cellStyle name="ÅëÈ­_Á¶´Þ°èÈ¹ _5월보고상" xfId="1975" xr:uid="{00000000-0005-0000-0000-0000C10B0000}"/>
    <cellStyle name="AeE­_A¶´Þ°eE¹ _5월보고상_공사별CORDER현황" xfId="1976" xr:uid="{00000000-0005-0000-0000-0000C20B0000}"/>
    <cellStyle name="ÅëÈ­_Á¶´Þ°èÈ¹ _5월보고상_공사별CORDER현황" xfId="1977" xr:uid="{00000000-0005-0000-0000-0000C30B0000}"/>
    <cellStyle name="AeE­_A¶´Þ°eE¹ _5월보고상_공사현황" xfId="1978" xr:uid="{00000000-0005-0000-0000-0000C40B0000}"/>
    <cellStyle name="ÅëÈ­_Á¶´Þ°èÈ¹ _5월보고상_공사현황" xfId="1979" xr:uid="{00000000-0005-0000-0000-0000C50B0000}"/>
    <cellStyle name="AeE­_A¶´Þ°eE¹ _5월보고상_자료" xfId="1980" xr:uid="{00000000-0005-0000-0000-0000C60B0000}"/>
    <cellStyle name="ÅëÈ­_Á¶´Þ°èÈ¹ _5월보고상_자료" xfId="1981" xr:uid="{00000000-0005-0000-0000-0000C70B0000}"/>
    <cellStyle name="AeE­_A¶´Þ°eE¹ _5월보고시" xfId="1982" xr:uid="{00000000-0005-0000-0000-0000C80B0000}"/>
    <cellStyle name="ÅëÈ­_Á¶´Þ°èÈ¹ _5월보고시" xfId="1983" xr:uid="{00000000-0005-0000-0000-0000C90B0000}"/>
    <cellStyle name="AeE­_A¶´Þ°eE¹ _5월보고시_공사별CORDER현황" xfId="1984" xr:uid="{00000000-0005-0000-0000-0000CA0B0000}"/>
    <cellStyle name="ÅëÈ­_Á¶´Þ°èÈ¹ _5월보고시_공사별CORDER현황" xfId="1985" xr:uid="{00000000-0005-0000-0000-0000CB0B0000}"/>
    <cellStyle name="AeE­_A¶´Þ°eE¹ _5월보고시_공사현황" xfId="1986" xr:uid="{00000000-0005-0000-0000-0000CC0B0000}"/>
    <cellStyle name="ÅëÈ­_Á¶´Þ°èÈ¹ _5월보고시_공사현황" xfId="1987" xr:uid="{00000000-0005-0000-0000-0000CD0B0000}"/>
    <cellStyle name="AeE­_A¶´Þ°eE¹ _5월보고시_자료" xfId="1988" xr:uid="{00000000-0005-0000-0000-0000CE0B0000}"/>
    <cellStyle name="ÅëÈ­_Á¶´Þ°èÈ¹ _5월보고시_자료" xfId="1989" xr:uid="{00000000-0005-0000-0000-0000CF0B0000}"/>
    <cellStyle name="AeE­_A¶´Þ°eE¹ _공사별CORDER현황" xfId="1990" xr:uid="{00000000-0005-0000-0000-0000D00B0000}"/>
    <cellStyle name="ÅëÈ­_Á¶´Þ°èÈ¹ _공사별CORDER현황" xfId="1991" xr:uid="{00000000-0005-0000-0000-0000D10B0000}"/>
    <cellStyle name="AeE­_A¶´Þ°eE¹ _공사현황" xfId="1992" xr:uid="{00000000-0005-0000-0000-0000D20B0000}"/>
    <cellStyle name="ÅëÈ­_Á¶´Þ°èÈ¹ _공사현황" xfId="1993" xr:uid="{00000000-0005-0000-0000-0000D30B0000}"/>
    <cellStyle name="AeE­_A¶´Þ°eE¹ _매출확정" xfId="1994" xr:uid="{00000000-0005-0000-0000-0000D40B0000}"/>
    <cellStyle name="ÅëÈ­_Á¶´Þ°èÈ¹ _상주법인회의자료" xfId="1995" xr:uid="{00000000-0005-0000-0000-0000D50B0000}"/>
    <cellStyle name="AeE­_A¶´Þ°eE¹ _자료" xfId="1996" xr:uid="{00000000-0005-0000-0000-0000D60B0000}"/>
    <cellStyle name="ÅëÈ­_Á¶´Þ°èÈ¹ _자료" xfId="1997" xr:uid="{00000000-0005-0000-0000-0000D70B0000}"/>
    <cellStyle name="AeE­_A¾CO½A¼³ " xfId="1998" xr:uid="{00000000-0005-0000-0000-0000D80B0000}"/>
    <cellStyle name="ÅëÈ­_ÆÀÇ¥Áö_°èÈ¹3 " xfId="1999" xr:uid="{00000000-0005-0000-0000-0000D90B0000}"/>
    <cellStyle name="AeE­_ÆAC￥Ao_°eE¹3 _24통관" xfId="2000" xr:uid="{00000000-0005-0000-0000-0000DA0B0000}"/>
    <cellStyle name="ÅëÈ­_ÆÀÇ¥Áö_°èÈ¹3 _5월보고벨" xfId="2001" xr:uid="{00000000-0005-0000-0000-0000DB0B0000}"/>
    <cellStyle name="AeE­_ÆAC￥Ao_°eE¹3 _5월보고상" xfId="2002" xr:uid="{00000000-0005-0000-0000-0000DC0B0000}"/>
    <cellStyle name="ÅëÈ­_ÆÀÇ¥Áö_°èÈ¹3 _5월보고상" xfId="2003" xr:uid="{00000000-0005-0000-0000-0000DD0B0000}"/>
    <cellStyle name="AeE­_ÆAC￥Ao_°eE¹3 _5월보고상_공사별CORDER현황" xfId="2004" xr:uid="{00000000-0005-0000-0000-0000DE0B0000}"/>
    <cellStyle name="ÅëÈ­_ÆÀÇ¥Áö_°èÈ¹3 _5월보고상_공사별CORDER현황" xfId="2005" xr:uid="{00000000-0005-0000-0000-0000DF0B0000}"/>
    <cellStyle name="AeE­_ÆAC￥Ao_°eE¹3 _5월보고상_공사현황" xfId="2006" xr:uid="{00000000-0005-0000-0000-0000E00B0000}"/>
    <cellStyle name="ÅëÈ­_ÆÀÇ¥Áö_°èÈ¹3 _5월보고상_공사현황" xfId="2007" xr:uid="{00000000-0005-0000-0000-0000E10B0000}"/>
    <cellStyle name="AeE­_ÆAC￥Ao_°eE¹3 _5월보고상_자료" xfId="2008" xr:uid="{00000000-0005-0000-0000-0000E20B0000}"/>
    <cellStyle name="ÅëÈ­_ÆÀÇ¥Áö_°èÈ¹3 _5월보고상_자료" xfId="2009" xr:uid="{00000000-0005-0000-0000-0000E30B0000}"/>
    <cellStyle name="AeE­_ÆAC￥Ao_°eE¹3 _5월보고시" xfId="2010" xr:uid="{00000000-0005-0000-0000-0000E40B0000}"/>
    <cellStyle name="ÅëÈ­_ÆÀÇ¥Áö_°èÈ¹3 _5월보고시" xfId="2011" xr:uid="{00000000-0005-0000-0000-0000E50B0000}"/>
    <cellStyle name="AeE­_ÆAC￥Ao_°eE¹3 _5월보고시_공사별CORDER현황" xfId="2012" xr:uid="{00000000-0005-0000-0000-0000E60B0000}"/>
    <cellStyle name="ÅëÈ­_ÆÀÇ¥Áö_°èÈ¹3 _5월보고시_공사별CORDER현황" xfId="2013" xr:uid="{00000000-0005-0000-0000-0000E70B0000}"/>
    <cellStyle name="AeE­_ÆAC￥Ao_°eE¹3 _5월보고시_공사현황" xfId="2014" xr:uid="{00000000-0005-0000-0000-0000E80B0000}"/>
    <cellStyle name="ÅëÈ­_ÆÀÇ¥Áö_°èÈ¹3 _5월보고시_공사현황" xfId="2015" xr:uid="{00000000-0005-0000-0000-0000E90B0000}"/>
    <cellStyle name="AeE­_ÆAC￥Ao_°eE¹3 _5월보고시_자료" xfId="2016" xr:uid="{00000000-0005-0000-0000-0000EA0B0000}"/>
    <cellStyle name="ÅëÈ­_ÆÀÇ¥Áö_°èÈ¹3 _5월보고시_자료" xfId="2017" xr:uid="{00000000-0005-0000-0000-0000EB0B0000}"/>
    <cellStyle name="AeE­_ÆAC￥Ao_°eE¹3 _공사별CORDER현황" xfId="2018" xr:uid="{00000000-0005-0000-0000-0000EC0B0000}"/>
    <cellStyle name="ÅëÈ­_ÆÀÇ¥Áö_°èÈ¹3 _공사별CORDER현황" xfId="2019" xr:uid="{00000000-0005-0000-0000-0000ED0B0000}"/>
    <cellStyle name="AeE­_ÆAC￥Ao_°eE¹3 _공사현황" xfId="2020" xr:uid="{00000000-0005-0000-0000-0000EE0B0000}"/>
    <cellStyle name="ÅëÈ­_ÆÀÇ¥Áö_°èÈ¹3 _공사현황" xfId="2021" xr:uid="{00000000-0005-0000-0000-0000EF0B0000}"/>
    <cellStyle name="AeE­_ÆAC￥Ao_°eE¹3 _매출확정" xfId="2022" xr:uid="{00000000-0005-0000-0000-0000F00B0000}"/>
    <cellStyle name="ÅëÈ­_ÆÀÇ¥Áö_°èÈ¹3 _상주법인회의자료" xfId="2023" xr:uid="{00000000-0005-0000-0000-0000F10B0000}"/>
    <cellStyle name="AeE­_ÆAC￥Ao_°eE¹3 _자료" xfId="2024" xr:uid="{00000000-0005-0000-0000-0000F20B0000}"/>
    <cellStyle name="ÅëÈ­_ÆÀÇ¥Áö_°èÈ¹3 _자료" xfId="2025" xr:uid="{00000000-0005-0000-0000-0000F30B0000}"/>
    <cellStyle name="AeE­_AMT " xfId="2026" xr:uid="{00000000-0005-0000-0000-0000F40B0000}"/>
    <cellStyle name="ÅëÈ­_AMT " xfId="2027" xr:uid="{00000000-0005-0000-0000-0000F50B0000}"/>
    <cellStyle name="AeE­_AMT _¹≪¿ª10¿u " xfId="2028" xr:uid="{00000000-0005-0000-0000-0000F60B0000}"/>
    <cellStyle name="ÅëÈ­_ÇâÈÄ5³â (2)_¼öÃâ " xfId="2029" xr:uid="{00000000-0005-0000-0000-0000F70B0000}"/>
    <cellStyle name="AeE­_Co´e¾÷¹≪AßAø " xfId="2030" xr:uid="{00000000-0005-0000-0000-0000F80B0000}"/>
    <cellStyle name="ÅëÈ­_INQUIRY ¿µ¾÷ÃßÁø " xfId="2031" xr:uid="{00000000-0005-0000-0000-0000F90B0000}"/>
    <cellStyle name="AeE­_INQUIRY ¿μ¾÷AßAø " xfId="2032" xr:uid="{00000000-0005-0000-0000-0000FA0B0000}"/>
    <cellStyle name="ÅëÈ­_º»¼± ±æ¾î±úºÎ ¼ö·® Áý°èÇ¥ " xfId="2033" xr:uid="{00000000-0005-0000-0000-0000FB0B0000}"/>
    <cellStyle name="AeE­_º≫¼± ±æ¾i±uºI ¼o·R Ay°eC￥ " xfId="2034" xr:uid="{00000000-0005-0000-0000-0000FC0B0000}"/>
    <cellStyle name="ÅëÈ­_RESULTS" xfId="2035" xr:uid="{00000000-0005-0000-0000-0000FD0B0000}"/>
    <cellStyle name="AeE¡© [0]_ ¨¬n¢¬n¨¬¡Æ ¢¯u¨¬¡Æ¡¾a¨ùu " xfId="2036" xr:uid="{00000000-0005-0000-0000-0000FE0B0000}"/>
    <cellStyle name="AeE¡©_ ¨¬n¢¬n¨¬¡Æ ¢¯u¨¬¡Æ¡¾a¨ùu " xfId="2037" xr:uid="{00000000-0005-0000-0000-0000FF0B0000}"/>
    <cellStyle name="Aee¡ⓒ " xfId="4269" xr:uid="{00000000-0005-0000-0000-0000000C0000}"/>
    <cellStyle name="AeE¡ⓒ [0]_ ¨￢n￠￢n¨￢¡Æ ￠?u¨￢¡Æ¡¾a¨uu " xfId="2038" xr:uid="{00000000-0005-0000-0000-0000010C0000}"/>
    <cellStyle name="AeE¡ⓒ_ ¨￢n￠￢n¨￢¡Æ ￠?u¨￢¡Æ¡¾a¨uu " xfId="2039" xr:uid="{00000000-0005-0000-0000-0000020C0000}"/>
    <cellStyle name="AeE¡ER¡§I [0]_ ￠R¡×￠Rⓒ­n￠RE￠Rⓒ­n￠R¡×￠Rⓒ­¡ER¡§￠R ￠RE?u￠R¡×￠Rⓒ­¡ER¡§￠R¡ER¡§ua￠R¡×uu " xfId="2040" xr:uid="{00000000-0005-0000-0000-0000030C0000}"/>
    <cellStyle name="AeE¡ER¡§I_ ￠R¡×￠Rⓒ­n￠RE￠Rⓒ­n￠R¡×￠Rⓒ­¡ER¡§￠R ￠RE?u￠R¡×￠Rⓒ­¡ER¡§￠R¡ER¡§ua￠R¡×uu " xfId="2041" xr:uid="{00000000-0005-0000-0000-0000040C0000}"/>
    <cellStyle name="AeE¡ERERER¡ERER￠RER¡ER¡E?I [0]_INQUIRY ￠RERERE?￠RERERIi￠RERER¡ERER￠RER￠RE?u¡ERERERAA¡ERER￠RER¡ER¡E?I￠RERER¡ER￠R¡¿I￠RER￠R¡×IA¡ERER￠RER¡ER¡E?I¡ERER￠RER¡ER¡E?¡ERERI " xfId="2042" xr:uid="{00000000-0005-0000-0000-0000050C0000}"/>
    <cellStyle name="AeE¡ERERER¡ERER￠RER¡ER¡E?I_INQUIRY ￠RERERE?￠RERERIi￠RERER¡ERER￠RER￠RE?u¡ERERERAA¡ERER￠RER¡ER¡E?I￠RERER¡ER￠R¡¿I￠RER￠R¡×IA¡ERER￠RER¡ER¡E?I¡ERER￠RER¡ER¡E?¡ERERI " xfId="2043" xr:uid="{00000000-0005-0000-0000-0000060C0000}"/>
    <cellStyle name="AeE￠R¨I [0]_INQUIRY ¡E?¡Ii¡§u￠RAA¨I¡þA¨I¨￡ " xfId="2044" xr:uid="{00000000-0005-0000-0000-0000070C0000}"/>
    <cellStyle name="AeE￠R¨I_INQUIRY ¡E?¡Ii¡§u￠RAA¨I¡þA¨I¨￡ " xfId="2045" xr:uid="{00000000-0005-0000-0000-0000080C0000}"/>
    <cellStyle name="AeE￠RER￠R¡×I [0]_¡ER￠R¡¿¡ER¨I¡ⓒ?￠RER￠R¡×¡ER￠R¡×I￠RER￠R¡×IoRA￠R¡×I¡§I¡§¡I" xfId="2046" xr:uid="{00000000-0005-0000-0000-0000090C0000}"/>
    <cellStyle name="AeE￠RER￠R¡×I_¡ER￠R¡¿¡ER¨I¡ⓒ?￠RER￠R¡×¡ER￠R¡×I￠RER￠R¡×IoRA￠R¡×I¡§I¡§¡I" xfId="2047" xr:uid="{00000000-0005-0000-0000-00000A0C0000}"/>
    <cellStyle name="AeE￠RERER￠RER¡ER￠R￠?I [0]_¡ERER￠RER¡ER¡E?uoA￠RER¡ER￠R￠?Io￠RERER￠RER¡ER￠R￠?¡EREReE￠RER¡ER￠R￠?Io " xfId="2048" xr:uid="{00000000-0005-0000-0000-00000B0C0000}"/>
    <cellStyle name="AeE￠RERER￠RER¡ER￠R￠?I_¡ERER￠RER¡ER¡E?uoA￠RER¡ER￠R￠?Io￠RERER￠RER¡ER￠R￠?¡EREReE￠RER¡ER￠R￠?Io " xfId="2049" xr:uid="{00000000-0005-0000-0000-00000C0C0000}"/>
    <cellStyle name="ALIGNMENT" xfId="2050" xr:uid="{00000000-0005-0000-0000-00000D0C0000}"/>
    <cellStyle name="args.style" xfId="2051" xr:uid="{00000000-0005-0000-0000-00000E0C0000}"/>
    <cellStyle name="Aþ" xfId="4270" xr:uid="{00000000-0005-0000-0000-00000F0C0000}"/>
    <cellStyle name="Äþ" xfId="4271" xr:uid="{00000000-0005-0000-0000-0000100C0000}"/>
    <cellStyle name="Aþ¸¶ [" xfId="4272" xr:uid="{00000000-0005-0000-0000-0000110C0000}"/>
    <cellStyle name="Äþ¸¶ [" xfId="4273" xr:uid="{00000000-0005-0000-0000-0000120C0000}"/>
    <cellStyle name="AÞ¸¶ [0]_ 2ÆAAþº° " xfId="2052" xr:uid="{00000000-0005-0000-0000-0000130C0000}"/>
    <cellStyle name="ÄÞ¸¶ [0]_ ºñ¸ñº° ¿ùº°±â¼ú " xfId="2053" xr:uid="{00000000-0005-0000-0000-0000140C0000}"/>
    <cellStyle name="AÞ¸¶ [0]_´e¿UCN¹R°ø¹R " xfId="2054" xr:uid="{00000000-0005-0000-0000-0000150C0000}"/>
    <cellStyle name="ÄÞ¸¶ [0]_´ëºñÇ¥" xfId="2055" xr:uid="{00000000-0005-0000-0000-0000160C0000}"/>
    <cellStyle name="AÞ¸¶ [0]_¸AAa" xfId="2056" xr:uid="{00000000-0005-0000-0000-0000170C0000}"/>
    <cellStyle name="ÄÞ¸¶ [0]_¸ÅÃâ¸ÅÃâ¿ø°¡ " xfId="2057" xr:uid="{00000000-0005-0000-0000-0000180C0000}"/>
    <cellStyle name="AÞ¸¶ [0]_¸AAa¸AAa¿ø°¡ _5월보고벨" xfId="2058" xr:uid="{00000000-0005-0000-0000-0000190C0000}"/>
    <cellStyle name="ÄÞ¸¶ [0]_¸ÅÃâ¸ÅÃâ¿ø°¡ _5월보고벨" xfId="2059" xr:uid="{00000000-0005-0000-0000-00001A0C0000}"/>
    <cellStyle name="AÞ¸¶ [0]_¸AAa¸AAa¿ø°¡ _5월보고상" xfId="2060" xr:uid="{00000000-0005-0000-0000-00001B0C0000}"/>
    <cellStyle name="ÄÞ¸¶ [0]_¸ÅÃâ¸ÅÃâ¿ø°¡ _5월보고상" xfId="2061" xr:uid="{00000000-0005-0000-0000-00001C0C0000}"/>
    <cellStyle name="AÞ¸¶ [0]_¸AAa¸AAa¿ø°¡ _5월보고시" xfId="2062" xr:uid="{00000000-0005-0000-0000-00001D0C0000}"/>
    <cellStyle name="ÄÞ¸¶ [0]_¸ÅÃâ¸ÅÃâ¿ø°¡ _5월보고시" xfId="2063" xr:uid="{00000000-0005-0000-0000-00001E0C0000}"/>
    <cellStyle name="AÞ¸¶ [0]_¸AAa¸AAa¿ø°¡ _계획22" xfId="2064" xr:uid="{00000000-0005-0000-0000-00001F0C0000}"/>
    <cellStyle name="ÄÞ¸¶ [0]_¸ÅÃâ¸ÅÃâ¿ø°¡ _계획22" xfId="2065" xr:uid="{00000000-0005-0000-0000-0000200C0000}"/>
    <cellStyle name="AÞ¸¶ [0]_¸AAa¸AAa¿ø°¡ _계획22_5월보고벨" xfId="2066" xr:uid="{00000000-0005-0000-0000-0000210C0000}"/>
    <cellStyle name="ÄÞ¸¶ [0]_¸ÅÃâ¸ÅÃâ¿ø°¡ _계획22_5월보고벨" xfId="2067" xr:uid="{00000000-0005-0000-0000-0000220C0000}"/>
    <cellStyle name="AÞ¸¶ [0]_¸AAa¸AAa¿ø°¡ _계획22_5월보고상" xfId="2068" xr:uid="{00000000-0005-0000-0000-0000230C0000}"/>
    <cellStyle name="ÄÞ¸¶ [0]_¸ÅÃâ¸ÅÃâ¿ø°¡ _계획22_5월보고상" xfId="2069" xr:uid="{00000000-0005-0000-0000-0000240C0000}"/>
    <cellStyle name="AÞ¸¶ [0]_¸AAa¸AAa¿ø°¡ _계획22_5월보고시" xfId="2070" xr:uid="{00000000-0005-0000-0000-0000250C0000}"/>
    <cellStyle name="ÄÞ¸¶ [0]_¸ÅÃâ¸ÅÃâ¿ø°¡ _계획22_5월보고시" xfId="2071" xr:uid="{00000000-0005-0000-0000-0000260C0000}"/>
    <cellStyle name="AÞ¸¶ [0]_¸AAa¸AAa¿ø°¡ _계획22_공사별CORDER현황" xfId="2072" xr:uid="{00000000-0005-0000-0000-0000270C0000}"/>
    <cellStyle name="ÄÞ¸¶ [0]_¸ÅÃâ¸ÅÃâ¿ø°¡ _계획22_공사별CORDER현황" xfId="2073" xr:uid="{00000000-0005-0000-0000-0000280C0000}"/>
    <cellStyle name="AÞ¸¶ [0]_¸AAa¸AAa¿ø°¡ _계획22_공사현황" xfId="2074" xr:uid="{00000000-0005-0000-0000-0000290C0000}"/>
    <cellStyle name="ÄÞ¸¶ [0]_¸ÅÃâ¸ÅÃâ¿ø°¡ _계획22_공사현황" xfId="2075" xr:uid="{00000000-0005-0000-0000-00002A0C0000}"/>
    <cellStyle name="AÞ¸¶ [0]_¸AAa¸AAa¿ø°¡ _계획22_상주법인회의자료" xfId="2076" xr:uid="{00000000-0005-0000-0000-00002B0C0000}"/>
    <cellStyle name="ÄÞ¸¶ [0]_¸ÅÃâ¸ÅÃâ¿ø°¡ _계획22_상주법인회의자료" xfId="2077" xr:uid="{00000000-0005-0000-0000-00002C0C0000}"/>
    <cellStyle name="AÞ¸¶ [0]_¸AAa¸AAa¿ø°¡ _계획22_자료" xfId="2078" xr:uid="{00000000-0005-0000-0000-00002D0C0000}"/>
    <cellStyle name="ÄÞ¸¶ [0]_¸ÅÃâ¸ÅÃâ¿ø°¡ _계획22_자료" xfId="2079" xr:uid="{00000000-0005-0000-0000-00002E0C0000}"/>
    <cellStyle name="AÞ¸¶ [0]_¸AAa¸AAa¿ø°¡ _공사별CORDER현황" xfId="2080" xr:uid="{00000000-0005-0000-0000-00002F0C0000}"/>
    <cellStyle name="ÄÞ¸¶ [0]_¸ÅÃâ¸ÅÃâ¿ø°¡ _공사별CORDER현황" xfId="2081" xr:uid="{00000000-0005-0000-0000-0000300C0000}"/>
    <cellStyle name="AÞ¸¶ [0]_¸AAa¸AAa¿ø°¡ _공사현황" xfId="2082" xr:uid="{00000000-0005-0000-0000-0000310C0000}"/>
    <cellStyle name="ÄÞ¸¶ [0]_¸ÅÃâ¸ÅÃâ¿ø°¡ _공사현황" xfId="2083" xr:uid="{00000000-0005-0000-0000-0000320C0000}"/>
    <cellStyle name="AÞ¸¶ [0]_¸AAa¸AAa¿ø°¡ _상주법인회의자료" xfId="2084" xr:uid="{00000000-0005-0000-0000-0000330C0000}"/>
    <cellStyle name="ÄÞ¸¶ [0]_¸ÅÃâ¸ÅÃâ¿ø°¡ _상주법인회의자료" xfId="2085" xr:uid="{00000000-0005-0000-0000-0000340C0000}"/>
    <cellStyle name="AÞ¸¶ [0]_¸AAa¸AAa¿ø°¡ _실적01(2안)" xfId="2086" xr:uid="{00000000-0005-0000-0000-0000350C0000}"/>
    <cellStyle name="ÄÞ¸¶ [0]_¸ÅÃâ¸ÅÃâ¿ø°¡ _실적01(2안)" xfId="2087" xr:uid="{00000000-0005-0000-0000-0000360C0000}"/>
    <cellStyle name="AÞ¸¶ [0]_¸AAa¸AAa¿ø°¡ _실적01(2안)_공사별CORDER현황" xfId="2088" xr:uid="{00000000-0005-0000-0000-0000370C0000}"/>
    <cellStyle name="ÄÞ¸¶ [0]_¸ÅÃâ¸ÅÃâ¿ø°¡ _실적01(2안)_공사별CORDER현황" xfId="2089" xr:uid="{00000000-0005-0000-0000-0000380C0000}"/>
    <cellStyle name="AÞ¸¶ [0]_¸AAa¸AAa¿ø°¡ _실적01(2안)_공사현황" xfId="2090" xr:uid="{00000000-0005-0000-0000-0000390C0000}"/>
    <cellStyle name="ÄÞ¸¶ [0]_¸ÅÃâ¸ÅÃâ¿ø°¡ _실적01(2안)_공사현황" xfId="2091" xr:uid="{00000000-0005-0000-0000-00003A0C0000}"/>
    <cellStyle name="AÞ¸¶ [0]_¸AAa¸AAa¿ø°¡ _실적01(2안)_자료" xfId="2092" xr:uid="{00000000-0005-0000-0000-00003B0C0000}"/>
    <cellStyle name="ÄÞ¸¶ [0]_¸ÅÃâ¸ÅÃâ¿ø°¡ _실적01(2안)_자료" xfId="2093" xr:uid="{00000000-0005-0000-0000-00003C0C0000}"/>
    <cellStyle name="AÞ¸¶ [0]_¸AAa¸AAa¿ø°¡ _자료" xfId="2094" xr:uid="{00000000-0005-0000-0000-00003D0C0000}"/>
    <cellStyle name="ÄÞ¸¶ [0]_¸ÅÃâ¸ÅÃâ¿ø°¡ _자료" xfId="2095" xr:uid="{00000000-0005-0000-0000-00003E0C0000}"/>
    <cellStyle name="AÞ¸¶ [0]_¸AAa¾×(3)" xfId="2096" xr:uid="{00000000-0005-0000-0000-00003F0C0000}"/>
    <cellStyle name="ÄÞ¸¶ [0]_¸ðÇü¸·" xfId="4274" xr:uid="{00000000-0005-0000-0000-0000400C0000}"/>
    <cellStyle name="AÞ¸¶ [0]_¿­¸° INT" xfId="2097" xr:uid="{00000000-0005-0000-0000-0000410C0000}"/>
    <cellStyle name="ÄÞ¸¶ [0]_±âÅ¸" xfId="2098" xr:uid="{00000000-0005-0000-0000-0000420C0000}"/>
    <cellStyle name="AÞ¸¶ [0]_°¡³ª´U " xfId="4275" xr:uid="{00000000-0005-0000-0000-0000430C0000}"/>
    <cellStyle name="ÄÞ¸¶ [0]_°èÈ¹3 _5월보고벨" xfId="2099" xr:uid="{00000000-0005-0000-0000-0000440C0000}"/>
    <cellStyle name="AÞ¸¶ [0]_°eE¹3 _매출확정" xfId="2100" xr:uid="{00000000-0005-0000-0000-0000450C0000}"/>
    <cellStyle name="ÄÞ¸¶ [0]_°èÈ¹3 _상주법인회의자료" xfId="2101" xr:uid="{00000000-0005-0000-0000-0000460C0000}"/>
    <cellStyle name="AÞ¸¶ [0]_¼oA¹°eE¹ " xfId="2102" xr:uid="{00000000-0005-0000-0000-0000470C0000}"/>
    <cellStyle name="ÄÞ¸¶ [0]_¼öÅ¹°èÈ¹ " xfId="2103" xr:uid="{00000000-0005-0000-0000-0000480C0000}"/>
    <cellStyle name="AÞ¸¶ [0]_¼oAa½CAu " xfId="2104" xr:uid="{00000000-0005-0000-0000-0000490C0000}"/>
    <cellStyle name="ÄÞ¸¶ [0]_¼öÃâ½ÇÀû " xfId="2105" xr:uid="{00000000-0005-0000-0000-00004A0C0000}"/>
    <cellStyle name="AÞ¸¶ [0]_¼oAa½CAu _¹≪¿ª10¿u " xfId="2106" xr:uid="{00000000-0005-0000-0000-00004B0C0000}"/>
    <cellStyle name="ÄÞ¸¶ [0]_¼öÃâ½ÇÀû _5월보고벨" xfId="2107" xr:uid="{00000000-0005-0000-0000-00004C0C0000}"/>
    <cellStyle name="AÞ¸¶ [0]_¼oAa½CAu _5월보고상" xfId="2108" xr:uid="{00000000-0005-0000-0000-00004D0C0000}"/>
    <cellStyle name="ÄÞ¸¶ [0]_¼öÃâ½ÇÀû _5월보고상" xfId="2109" xr:uid="{00000000-0005-0000-0000-00004E0C0000}"/>
    <cellStyle name="AÞ¸¶ [0]_¼oAa½CAu _5월보고상_공사별CORDER현황" xfId="2110" xr:uid="{00000000-0005-0000-0000-00004F0C0000}"/>
    <cellStyle name="ÄÞ¸¶ [0]_¼öÃâ½ÇÀû _5월보고상_공사별CORDER현황" xfId="2111" xr:uid="{00000000-0005-0000-0000-0000500C0000}"/>
    <cellStyle name="AÞ¸¶ [0]_¼oAa½CAu _5월보고상_공사현황" xfId="2112" xr:uid="{00000000-0005-0000-0000-0000510C0000}"/>
    <cellStyle name="ÄÞ¸¶ [0]_¼öÃâ½ÇÀû _5월보고상_공사현황" xfId="2113" xr:uid="{00000000-0005-0000-0000-0000520C0000}"/>
    <cellStyle name="AÞ¸¶ [0]_¼oAa½CAu _5월보고상_자료" xfId="2114" xr:uid="{00000000-0005-0000-0000-0000530C0000}"/>
    <cellStyle name="ÄÞ¸¶ [0]_¼öÃâ½ÇÀû _5월보고상_자료" xfId="2115" xr:uid="{00000000-0005-0000-0000-0000540C0000}"/>
    <cellStyle name="AÞ¸¶ [0]_¼oAa½CAu _5월보고시" xfId="2116" xr:uid="{00000000-0005-0000-0000-0000550C0000}"/>
    <cellStyle name="ÄÞ¸¶ [0]_¼öÃâ½ÇÀû _5월보고시" xfId="2117" xr:uid="{00000000-0005-0000-0000-0000560C0000}"/>
    <cellStyle name="AÞ¸¶ [0]_¼oAa½CAu _5월보고시_공사별CORDER현황" xfId="2118" xr:uid="{00000000-0005-0000-0000-0000570C0000}"/>
    <cellStyle name="ÄÞ¸¶ [0]_¼öÃâ½ÇÀû _5월보고시_공사별CORDER현황" xfId="2119" xr:uid="{00000000-0005-0000-0000-0000580C0000}"/>
    <cellStyle name="AÞ¸¶ [0]_¼oAa½CAu _5월보고시_공사현황" xfId="2120" xr:uid="{00000000-0005-0000-0000-0000590C0000}"/>
    <cellStyle name="ÄÞ¸¶ [0]_¼öÃâ½ÇÀû _5월보고시_공사현황" xfId="2121" xr:uid="{00000000-0005-0000-0000-00005A0C0000}"/>
    <cellStyle name="AÞ¸¶ [0]_¼oAa½CAu _5월보고시_자료" xfId="2122" xr:uid="{00000000-0005-0000-0000-00005B0C0000}"/>
    <cellStyle name="ÄÞ¸¶ [0]_¼öÃâ½ÇÀû _5월보고시_자료" xfId="2123" xr:uid="{00000000-0005-0000-0000-00005C0C0000}"/>
    <cellStyle name="AÞ¸¶ [0]_¼oAa½CAu _AμE￡3¿u " xfId="2133" xr:uid="{00000000-0005-0000-0000-00005D0C0000}"/>
    <cellStyle name="ÄÞ¸¶ [0]_¼öÃâ½ÇÀû _Çö´ë¾÷¹«ÃßÁø " xfId="2134" xr:uid="{00000000-0005-0000-0000-00005E0C0000}"/>
    <cellStyle name="AÞ¸¶ [0]_¼oAa½CAu _Co´e¾÷¹≪AßAø " xfId="2135" xr:uid="{00000000-0005-0000-0000-00005F0C0000}"/>
    <cellStyle name="ÄÞ¸¶ [0]_¼öÃâ½ÇÀû _공사현황" xfId="2124" xr:uid="{00000000-0005-0000-0000-0000600C0000}"/>
    <cellStyle name="AÞ¸¶ [0]_¼oAa½CAu _사업계획2003-1125xls" xfId="2125" xr:uid="{00000000-0005-0000-0000-0000610C0000}"/>
    <cellStyle name="ÄÞ¸¶ [0]_¼öÃâ½ÇÀû _상주법인회의자료" xfId="2126" xr:uid="{00000000-0005-0000-0000-0000620C0000}"/>
    <cellStyle name="AÞ¸¶ [0]_¼oAa½CAu _상주법인회의자료_공사별CORDER현황" xfId="2127" xr:uid="{00000000-0005-0000-0000-0000630C0000}"/>
    <cellStyle name="ÄÞ¸¶ [0]_¼öÃâ½ÇÀû _상주법인회의자료_공사별CORDER현황" xfId="2128" xr:uid="{00000000-0005-0000-0000-0000640C0000}"/>
    <cellStyle name="AÞ¸¶ [0]_¼oAa½CAu _실적01(2안)" xfId="2129" xr:uid="{00000000-0005-0000-0000-0000650C0000}"/>
    <cellStyle name="ÄÞ¸¶ [0]_¼öÃâ½ÇÀû _실적01(2안)" xfId="2130" xr:uid="{00000000-0005-0000-0000-0000660C0000}"/>
    <cellStyle name="AÞ¸¶ [0]_¼oAa½CAu _인테리어 공사 공내역2009.07.23최종(조과장)" xfId="2131" xr:uid="{00000000-0005-0000-0000-0000670C0000}"/>
    <cellStyle name="ÄÞ¸¶ [0]_¼öÃâ½ÇÀû _자료" xfId="2132" xr:uid="{00000000-0005-0000-0000-0000680C0000}"/>
    <cellStyle name="AÞ¸¶ [0]_³≫ºI°eE¹´e AßA¤A÷AI " xfId="2136" xr:uid="{00000000-0005-0000-0000-0000690C0000}"/>
    <cellStyle name="ÄÞ¸¶ [0]_Â÷ÀÔ±Ý " xfId="2137" xr:uid="{00000000-0005-0000-0000-00006A0C0000}"/>
    <cellStyle name="AÞ¸¶ [0]_A÷AO±Y _5월보고벨" xfId="2138" xr:uid="{00000000-0005-0000-0000-00006B0C0000}"/>
    <cellStyle name="ÄÞ¸¶ [0]_Â÷ÀÔ±Ý _5월보고벨" xfId="2139" xr:uid="{00000000-0005-0000-0000-00006C0C0000}"/>
    <cellStyle name="AÞ¸¶ [0]_A÷AO±Y _5월보고상" xfId="2140" xr:uid="{00000000-0005-0000-0000-00006D0C0000}"/>
    <cellStyle name="ÄÞ¸¶ [0]_Â÷ÀÔ±Ý _5월보고상" xfId="2141" xr:uid="{00000000-0005-0000-0000-00006E0C0000}"/>
    <cellStyle name="AÞ¸¶ [0]_A÷AO±Y _5월보고시" xfId="2142" xr:uid="{00000000-0005-0000-0000-00006F0C0000}"/>
    <cellStyle name="ÄÞ¸¶ [0]_Â÷ÀÔ±Ý _5월보고시" xfId="2143" xr:uid="{00000000-0005-0000-0000-0000700C0000}"/>
    <cellStyle name="AÞ¸¶ [0]_A÷AO±Y _계획22" xfId="2144" xr:uid="{00000000-0005-0000-0000-0000710C0000}"/>
    <cellStyle name="ÄÞ¸¶ [0]_Â÷ÀÔ±Ý _계획22" xfId="2145" xr:uid="{00000000-0005-0000-0000-0000720C0000}"/>
    <cellStyle name="AÞ¸¶ [0]_A÷AO±Y _계획22_5월보고벨" xfId="2146" xr:uid="{00000000-0005-0000-0000-0000730C0000}"/>
    <cellStyle name="ÄÞ¸¶ [0]_Â÷ÀÔ±Ý _계획22_5월보고벨" xfId="2147" xr:uid="{00000000-0005-0000-0000-0000740C0000}"/>
    <cellStyle name="AÞ¸¶ [0]_A÷AO±Y _계획22_5월보고상" xfId="2148" xr:uid="{00000000-0005-0000-0000-0000750C0000}"/>
    <cellStyle name="ÄÞ¸¶ [0]_Â÷ÀÔ±Ý _계획22_5월보고상" xfId="2149" xr:uid="{00000000-0005-0000-0000-0000760C0000}"/>
    <cellStyle name="AÞ¸¶ [0]_A÷AO±Y _계획22_5월보고시" xfId="2150" xr:uid="{00000000-0005-0000-0000-0000770C0000}"/>
    <cellStyle name="ÄÞ¸¶ [0]_Â÷ÀÔ±Ý _계획22_5월보고시" xfId="2151" xr:uid="{00000000-0005-0000-0000-0000780C0000}"/>
    <cellStyle name="AÞ¸¶ [0]_A÷AO±Y _계획22_공사별CORDER현황" xfId="2152" xr:uid="{00000000-0005-0000-0000-0000790C0000}"/>
    <cellStyle name="ÄÞ¸¶ [0]_Â÷ÀÔ±Ý _계획22_공사별CORDER현황" xfId="2153" xr:uid="{00000000-0005-0000-0000-00007A0C0000}"/>
    <cellStyle name="AÞ¸¶ [0]_A÷AO±Y _계획22_공사현황" xfId="2154" xr:uid="{00000000-0005-0000-0000-00007B0C0000}"/>
    <cellStyle name="ÄÞ¸¶ [0]_Â÷ÀÔ±Ý _계획22_공사현황" xfId="2155" xr:uid="{00000000-0005-0000-0000-00007C0C0000}"/>
    <cellStyle name="AÞ¸¶ [0]_A÷AO±Y _계획22_상주법인회의자료" xfId="2156" xr:uid="{00000000-0005-0000-0000-00007D0C0000}"/>
    <cellStyle name="ÄÞ¸¶ [0]_Â÷ÀÔ±Ý _계획22_상주법인회의자료" xfId="2157" xr:uid="{00000000-0005-0000-0000-00007E0C0000}"/>
    <cellStyle name="AÞ¸¶ [0]_A÷AO±Y _계획22_자료" xfId="2158" xr:uid="{00000000-0005-0000-0000-00007F0C0000}"/>
    <cellStyle name="ÄÞ¸¶ [0]_Â÷ÀÔ±Ý _계획22_자료" xfId="2159" xr:uid="{00000000-0005-0000-0000-0000800C0000}"/>
    <cellStyle name="AÞ¸¶ [0]_A÷AO±Y _공사별CORDER현황" xfId="2160" xr:uid="{00000000-0005-0000-0000-0000810C0000}"/>
    <cellStyle name="ÄÞ¸¶ [0]_Â÷ÀÔ±Ý _공사별CORDER현황" xfId="2161" xr:uid="{00000000-0005-0000-0000-0000820C0000}"/>
    <cellStyle name="AÞ¸¶ [0]_A÷AO±Y _공사현황" xfId="2162" xr:uid="{00000000-0005-0000-0000-0000830C0000}"/>
    <cellStyle name="ÄÞ¸¶ [0]_Â÷ÀÔ±Ý _공사현황" xfId="2163" xr:uid="{00000000-0005-0000-0000-0000840C0000}"/>
    <cellStyle name="AÞ¸¶ [0]_A÷AO±Y _상주법인회의자료" xfId="2164" xr:uid="{00000000-0005-0000-0000-0000850C0000}"/>
    <cellStyle name="ÄÞ¸¶ [0]_Â÷ÀÔ±Ý _상주법인회의자료" xfId="2165" xr:uid="{00000000-0005-0000-0000-0000860C0000}"/>
    <cellStyle name="AÞ¸¶ [0]_A÷AO±Y _실적01(2안)" xfId="2166" xr:uid="{00000000-0005-0000-0000-0000870C0000}"/>
    <cellStyle name="ÄÞ¸¶ [0]_Â÷ÀÔ±Ý _실적01(2안)" xfId="2167" xr:uid="{00000000-0005-0000-0000-0000880C0000}"/>
    <cellStyle name="AÞ¸¶ [0]_A÷AO±Y _실적01(2안)_공사별CORDER현황" xfId="2168" xr:uid="{00000000-0005-0000-0000-0000890C0000}"/>
    <cellStyle name="ÄÞ¸¶ [0]_Â÷ÀÔ±Ý _실적01(2안)_공사별CORDER현황" xfId="2169" xr:uid="{00000000-0005-0000-0000-00008A0C0000}"/>
    <cellStyle name="AÞ¸¶ [0]_A÷AO±Y _실적01(2안)_공사현황" xfId="2170" xr:uid="{00000000-0005-0000-0000-00008B0C0000}"/>
    <cellStyle name="ÄÞ¸¶ [0]_Â÷ÀÔ±Ý _실적01(2안)_공사현황" xfId="2171" xr:uid="{00000000-0005-0000-0000-00008C0C0000}"/>
    <cellStyle name="AÞ¸¶ [0]_A÷AO±Y _실적01(2안)_자료" xfId="2172" xr:uid="{00000000-0005-0000-0000-00008D0C0000}"/>
    <cellStyle name="ÄÞ¸¶ [0]_Â÷ÀÔ±Ý _실적01(2안)_자료" xfId="2173" xr:uid="{00000000-0005-0000-0000-00008E0C0000}"/>
    <cellStyle name="AÞ¸¶ [0]_A÷AO±Y _자료" xfId="2174" xr:uid="{00000000-0005-0000-0000-00008F0C0000}"/>
    <cellStyle name="ÄÞ¸¶ [0]_Â÷ÀÔ±Ý _자료" xfId="2175" xr:uid="{00000000-0005-0000-0000-0000900C0000}"/>
    <cellStyle name="AÞ¸¶ [0]_A÷AO±Y ±¸A¶ " xfId="2176" xr:uid="{00000000-0005-0000-0000-0000910C0000}"/>
    <cellStyle name="ÄÞ¸¶ [0]_Â÷ÀÔ±Ý ±¸Á¶ " xfId="2177" xr:uid="{00000000-0005-0000-0000-0000920C0000}"/>
    <cellStyle name="AÞ¸¶ [0]_A÷AO±Y ±¸A¶ _24통관" xfId="2178" xr:uid="{00000000-0005-0000-0000-0000930C0000}"/>
    <cellStyle name="ÄÞ¸¶ [0]_Â÷ÀÔ±Ý ±¸Á¶ _5월보고벨" xfId="2179" xr:uid="{00000000-0005-0000-0000-0000940C0000}"/>
    <cellStyle name="AÞ¸¶ [0]_A÷AO±Y ±¸A¶ _5월보고상" xfId="2180" xr:uid="{00000000-0005-0000-0000-0000950C0000}"/>
    <cellStyle name="ÄÞ¸¶ [0]_Â÷ÀÔ±Ý ±¸Á¶ _5월보고상" xfId="2181" xr:uid="{00000000-0005-0000-0000-0000960C0000}"/>
    <cellStyle name="AÞ¸¶ [0]_A÷AO±Y ±¸A¶ _5월보고상_공사별CORDER현황" xfId="2182" xr:uid="{00000000-0005-0000-0000-0000970C0000}"/>
    <cellStyle name="ÄÞ¸¶ [0]_Â÷ÀÔ±Ý ±¸Á¶ _5월보고상_공사별CORDER현황" xfId="2183" xr:uid="{00000000-0005-0000-0000-0000980C0000}"/>
    <cellStyle name="AÞ¸¶ [0]_A÷AO±Y ±¸A¶ _5월보고상_공사현황" xfId="2184" xr:uid="{00000000-0005-0000-0000-0000990C0000}"/>
    <cellStyle name="ÄÞ¸¶ [0]_Â÷ÀÔ±Ý ±¸Á¶ _5월보고상_공사현황" xfId="2185" xr:uid="{00000000-0005-0000-0000-00009A0C0000}"/>
    <cellStyle name="AÞ¸¶ [0]_A÷AO±Y ±¸A¶ _5월보고상_자료" xfId="2186" xr:uid="{00000000-0005-0000-0000-00009B0C0000}"/>
    <cellStyle name="ÄÞ¸¶ [0]_Â÷ÀÔ±Ý ±¸Á¶ _5월보고상_자료" xfId="2187" xr:uid="{00000000-0005-0000-0000-00009C0C0000}"/>
    <cellStyle name="AÞ¸¶ [0]_A÷AO±Y ±¸A¶ _5월보고시" xfId="2188" xr:uid="{00000000-0005-0000-0000-00009D0C0000}"/>
    <cellStyle name="ÄÞ¸¶ [0]_Â÷ÀÔ±Ý ±¸Á¶ _5월보고시" xfId="2189" xr:uid="{00000000-0005-0000-0000-00009E0C0000}"/>
    <cellStyle name="AÞ¸¶ [0]_A÷AO±Y ±¸A¶ _5월보고시_공사별CORDER현황" xfId="2190" xr:uid="{00000000-0005-0000-0000-00009F0C0000}"/>
    <cellStyle name="ÄÞ¸¶ [0]_Â÷ÀÔ±Ý ±¸Á¶ _5월보고시_공사별CORDER현황" xfId="2191" xr:uid="{00000000-0005-0000-0000-0000A00C0000}"/>
    <cellStyle name="AÞ¸¶ [0]_A÷AO±Y ±¸A¶ _5월보고시_공사현황" xfId="2192" xr:uid="{00000000-0005-0000-0000-0000A10C0000}"/>
    <cellStyle name="ÄÞ¸¶ [0]_Â÷ÀÔ±Ý ±¸Á¶ _5월보고시_공사현황" xfId="2193" xr:uid="{00000000-0005-0000-0000-0000A20C0000}"/>
    <cellStyle name="AÞ¸¶ [0]_A÷AO±Y ±¸A¶ _5월보고시_자료" xfId="2194" xr:uid="{00000000-0005-0000-0000-0000A30C0000}"/>
    <cellStyle name="ÄÞ¸¶ [0]_Â÷ÀÔ±Ý ±¸Á¶ _5월보고시_자료" xfId="2195" xr:uid="{00000000-0005-0000-0000-0000A40C0000}"/>
    <cellStyle name="AÞ¸¶ [0]_A÷AO±Y ±¸A¶ _공사별CORDER현황" xfId="2196" xr:uid="{00000000-0005-0000-0000-0000A50C0000}"/>
    <cellStyle name="ÄÞ¸¶ [0]_Â÷ÀÔ±Ý ±¸Á¶ _공사별CORDER현황" xfId="2197" xr:uid="{00000000-0005-0000-0000-0000A60C0000}"/>
    <cellStyle name="AÞ¸¶ [0]_A÷AO±Y ±¸A¶ _공사현황" xfId="2198" xr:uid="{00000000-0005-0000-0000-0000A70C0000}"/>
    <cellStyle name="ÄÞ¸¶ [0]_Â÷ÀÔ±Ý ±¸Á¶ _공사현황" xfId="2199" xr:uid="{00000000-0005-0000-0000-0000A80C0000}"/>
    <cellStyle name="AÞ¸¶ [0]_A÷AO±Y ±¸A¶ _매출확정" xfId="2200" xr:uid="{00000000-0005-0000-0000-0000A90C0000}"/>
    <cellStyle name="ÄÞ¸¶ [0]_Â÷ÀÔ±Ý ±¸Á¶ _상주법인회의자료" xfId="2201" xr:uid="{00000000-0005-0000-0000-0000AA0C0000}"/>
    <cellStyle name="AÞ¸¶ [0]_A÷AO±Y ±¸A¶ _자료" xfId="2202" xr:uid="{00000000-0005-0000-0000-0000AB0C0000}"/>
    <cellStyle name="ÄÞ¸¶ [0]_Â÷ÀÔ±Ý ±¸Á¶ _자료" xfId="2203" xr:uid="{00000000-0005-0000-0000-0000AC0C0000}"/>
    <cellStyle name="AÞ¸¶ [0]_A¶´Þ°eE¹ " xfId="2204" xr:uid="{00000000-0005-0000-0000-0000AD0C0000}"/>
    <cellStyle name="ÄÞ¸¶ [0]_Á¶´Þ°èÈ¹ " xfId="2205" xr:uid="{00000000-0005-0000-0000-0000AE0C0000}"/>
    <cellStyle name="AÞ¸¶ [0]_A¶´Þ°eE¹ _24통관" xfId="2206" xr:uid="{00000000-0005-0000-0000-0000AF0C0000}"/>
    <cellStyle name="ÄÞ¸¶ [0]_Á¶´Þ°èÈ¹ _5월보고벨" xfId="2207" xr:uid="{00000000-0005-0000-0000-0000B00C0000}"/>
    <cellStyle name="AÞ¸¶ [0]_A¶´Þ°eE¹ _5월보고상" xfId="2208" xr:uid="{00000000-0005-0000-0000-0000B10C0000}"/>
    <cellStyle name="ÄÞ¸¶ [0]_Á¶´Þ°èÈ¹ _5월보고상" xfId="2209" xr:uid="{00000000-0005-0000-0000-0000B20C0000}"/>
    <cellStyle name="AÞ¸¶ [0]_A¶´Þ°eE¹ _5월보고상_공사별CORDER현황" xfId="2210" xr:uid="{00000000-0005-0000-0000-0000B30C0000}"/>
    <cellStyle name="ÄÞ¸¶ [0]_Á¶´Þ°èÈ¹ _5월보고상_공사별CORDER현황" xfId="2211" xr:uid="{00000000-0005-0000-0000-0000B40C0000}"/>
    <cellStyle name="AÞ¸¶ [0]_A¶´Þ°eE¹ _5월보고상_공사현황" xfId="2212" xr:uid="{00000000-0005-0000-0000-0000B50C0000}"/>
    <cellStyle name="ÄÞ¸¶ [0]_Á¶´Þ°èÈ¹ _5월보고상_공사현황" xfId="2213" xr:uid="{00000000-0005-0000-0000-0000B60C0000}"/>
    <cellStyle name="AÞ¸¶ [0]_A¶´Þ°eE¹ _5월보고상_자료" xfId="2214" xr:uid="{00000000-0005-0000-0000-0000B70C0000}"/>
    <cellStyle name="ÄÞ¸¶ [0]_Á¶´Þ°èÈ¹ _5월보고상_자료" xfId="2215" xr:uid="{00000000-0005-0000-0000-0000B80C0000}"/>
    <cellStyle name="AÞ¸¶ [0]_A¶´Þ°eE¹ _5월보고시" xfId="2216" xr:uid="{00000000-0005-0000-0000-0000B90C0000}"/>
    <cellStyle name="ÄÞ¸¶ [0]_Á¶´Þ°èÈ¹ _5월보고시" xfId="2217" xr:uid="{00000000-0005-0000-0000-0000BA0C0000}"/>
    <cellStyle name="AÞ¸¶ [0]_A¶´Þ°eE¹ _5월보고시_공사별CORDER현황" xfId="2218" xr:uid="{00000000-0005-0000-0000-0000BB0C0000}"/>
    <cellStyle name="ÄÞ¸¶ [0]_Á¶´Þ°èÈ¹ _5월보고시_공사별CORDER현황" xfId="2219" xr:uid="{00000000-0005-0000-0000-0000BC0C0000}"/>
    <cellStyle name="AÞ¸¶ [0]_A¶´Þ°eE¹ _5월보고시_공사현황" xfId="2220" xr:uid="{00000000-0005-0000-0000-0000BD0C0000}"/>
    <cellStyle name="ÄÞ¸¶ [0]_Á¶´Þ°èÈ¹ _5월보고시_공사현황" xfId="2221" xr:uid="{00000000-0005-0000-0000-0000BE0C0000}"/>
    <cellStyle name="AÞ¸¶ [0]_A¶´Þ°eE¹ _5월보고시_자료" xfId="2222" xr:uid="{00000000-0005-0000-0000-0000BF0C0000}"/>
    <cellStyle name="ÄÞ¸¶ [0]_Á¶´Þ°èÈ¹ _5월보고시_자료" xfId="2223" xr:uid="{00000000-0005-0000-0000-0000C00C0000}"/>
    <cellStyle name="AÞ¸¶ [0]_A¶´Þ°eE¹ _공사별CORDER현황" xfId="2224" xr:uid="{00000000-0005-0000-0000-0000C10C0000}"/>
    <cellStyle name="ÄÞ¸¶ [0]_Á¶´Þ°èÈ¹ _공사별CORDER현황" xfId="2225" xr:uid="{00000000-0005-0000-0000-0000C20C0000}"/>
    <cellStyle name="AÞ¸¶ [0]_A¶´Þ°eE¹ _공사현황" xfId="2226" xr:uid="{00000000-0005-0000-0000-0000C30C0000}"/>
    <cellStyle name="ÄÞ¸¶ [0]_Á¶´Þ°èÈ¹ _공사현황" xfId="2227" xr:uid="{00000000-0005-0000-0000-0000C40C0000}"/>
    <cellStyle name="AÞ¸¶ [0]_A¶´Þ°eE¹ _매출확정" xfId="2228" xr:uid="{00000000-0005-0000-0000-0000C50C0000}"/>
    <cellStyle name="ÄÞ¸¶ [0]_Á¶´Þ°èÈ¹ _상주법인회의자료" xfId="2229" xr:uid="{00000000-0005-0000-0000-0000C60C0000}"/>
    <cellStyle name="AÞ¸¶ [0]_A¶´Þ°eE¹ _자료" xfId="2230" xr:uid="{00000000-0005-0000-0000-0000C70C0000}"/>
    <cellStyle name="ÄÞ¸¶ [0]_Á¶´Þ°èÈ¹ _자료" xfId="2231" xr:uid="{00000000-0005-0000-0000-0000C80C0000}"/>
    <cellStyle name="AÞ¸¶ [0]_A¾CO½A¼³ " xfId="2232" xr:uid="{00000000-0005-0000-0000-0000C90C0000}"/>
    <cellStyle name="ÄÞ¸¶ [0]_ÆÀÇ¥Áö_°èÈ¹3 " xfId="2233" xr:uid="{00000000-0005-0000-0000-0000CA0C0000}"/>
    <cellStyle name="AÞ¸¶ [0]_ÆAC￥Ao_°eE¹3 _24통관" xfId="2234" xr:uid="{00000000-0005-0000-0000-0000CB0C0000}"/>
    <cellStyle name="ÄÞ¸¶ [0]_ÆÀÇ¥Áö_°èÈ¹3 _5월보고벨" xfId="2235" xr:uid="{00000000-0005-0000-0000-0000CC0C0000}"/>
    <cellStyle name="AÞ¸¶ [0]_ÆAC￥Ao_°eE¹3 _5월보고상" xfId="2236" xr:uid="{00000000-0005-0000-0000-0000CD0C0000}"/>
    <cellStyle name="ÄÞ¸¶ [0]_ÆÀÇ¥Áö_°èÈ¹3 _5월보고상" xfId="2237" xr:uid="{00000000-0005-0000-0000-0000CE0C0000}"/>
    <cellStyle name="AÞ¸¶ [0]_ÆAC￥Ao_°eE¹3 _5월보고상_공사별CORDER현황" xfId="2238" xr:uid="{00000000-0005-0000-0000-0000CF0C0000}"/>
    <cellStyle name="ÄÞ¸¶ [0]_ÆÀÇ¥Áö_°èÈ¹3 _5월보고상_공사별CORDER현황" xfId="2239" xr:uid="{00000000-0005-0000-0000-0000D00C0000}"/>
    <cellStyle name="AÞ¸¶ [0]_ÆAC￥Ao_°eE¹3 _5월보고상_공사현황" xfId="2240" xr:uid="{00000000-0005-0000-0000-0000D10C0000}"/>
    <cellStyle name="ÄÞ¸¶ [0]_ÆÀÇ¥Áö_°èÈ¹3 _5월보고상_공사현황" xfId="2241" xr:uid="{00000000-0005-0000-0000-0000D20C0000}"/>
    <cellStyle name="AÞ¸¶ [0]_ÆAC￥Ao_°eE¹3 _5월보고상_자료" xfId="2242" xr:uid="{00000000-0005-0000-0000-0000D30C0000}"/>
    <cellStyle name="ÄÞ¸¶ [0]_ÆÀÇ¥Áö_°èÈ¹3 _5월보고상_자료" xfId="2243" xr:uid="{00000000-0005-0000-0000-0000D40C0000}"/>
    <cellStyle name="AÞ¸¶ [0]_ÆAC￥Ao_°eE¹3 _5월보고시" xfId="2244" xr:uid="{00000000-0005-0000-0000-0000D50C0000}"/>
    <cellStyle name="ÄÞ¸¶ [0]_ÆÀÇ¥Áö_°èÈ¹3 _5월보고시" xfId="2245" xr:uid="{00000000-0005-0000-0000-0000D60C0000}"/>
    <cellStyle name="AÞ¸¶ [0]_ÆAC￥Ao_°eE¹3 _5월보고시_공사별CORDER현황" xfId="2246" xr:uid="{00000000-0005-0000-0000-0000D70C0000}"/>
    <cellStyle name="ÄÞ¸¶ [0]_ÆÀÇ¥Áö_°èÈ¹3 _5월보고시_공사별CORDER현황" xfId="2247" xr:uid="{00000000-0005-0000-0000-0000D80C0000}"/>
    <cellStyle name="AÞ¸¶ [0]_ÆAC￥Ao_°eE¹3 _5월보고시_공사현황" xfId="2248" xr:uid="{00000000-0005-0000-0000-0000D90C0000}"/>
    <cellStyle name="ÄÞ¸¶ [0]_ÆÀÇ¥Áö_°èÈ¹3 _5월보고시_공사현황" xfId="2249" xr:uid="{00000000-0005-0000-0000-0000DA0C0000}"/>
    <cellStyle name="AÞ¸¶ [0]_ÆAC￥Ao_°eE¹3 _5월보고시_자료" xfId="2250" xr:uid="{00000000-0005-0000-0000-0000DB0C0000}"/>
    <cellStyle name="ÄÞ¸¶ [0]_ÆÀÇ¥Áö_°èÈ¹3 _5월보고시_자료" xfId="2251" xr:uid="{00000000-0005-0000-0000-0000DC0C0000}"/>
    <cellStyle name="AÞ¸¶ [0]_ÆAC￥Ao_°eE¹3 _공사별CORDER현황" xfId="2252" xr:uid="{00000000-0005-0000-0000-0000DD0C0000}"/>
    <cellStyle name="ÄÞ¸¶ [0]_ÆÀÇ¥Áö_°èÈ¹3 _공사별CORDER현황" xfId="2253" xr:uid="{00000000-0005-0000-0000-0000DE0C0000}"/>
    <cellStyle name="AÞ¸¶ [0]_ÆAC￥Ao_°eE¹3 _공사현황" xfId="2254" xr:uid="{00000000-0005-0000-0000-0000DF0C0000}"/>
    <cellStyle name="ÄÞ¸¶ [0]_ÆÀÇ¥Áö_°èÈ¹3 _공사현황" xfId="2255" xr:uid="{00000000-0005-0000-0000-0000E00C0000}"/>
    <cellStyle name="AÞ¸¶ [0]_ÆAC￥Ao_°eE¹3 _매출확정" xfId="2256" xr:uid="{00000000-0005-0000-0000-0000E10C0000}"/>
    <cellStyle name="ÄÞ¸¶ [0]_ÆÀÇ¥Áö_°èÈ¹3 _상주법인회의자료" xfId="2257" xr:uid="{00000000-0005-0000-0000-0000E20C0000}"/>
    <cellStyle name="AÞ¸¶ [0]_ÆAC￥Ao_°eE¹3 _자료" xfId="2258" xr:uid="{00000000-0005-0000-0000-0000E30C0000}"/>
    <cellStyle name="ÄÞ¸¶ [0]_ÆÀÇ¥Áö_°èÈ¹3 _자료" xfId="2259" xr:uid="{00000000-0005-0000-0000-0000E40C0000}"/>
    <cellStyle name="AÞ¸¶ [0]_CaEA5³a (2)_¼oAa " xfId="2260" xr:uid="{00000000-0005-0000-0000-0000E50C0000}"/>
    <cellStyle name="ÄÞ¸¶ [0]_ÇâÈÄ5³â (2)_¼öÃâ " xfId="2261" xr:uid="{00000000-0005-0000-0000-0000E60C0000}"/>
    <cellStyle name="AÞ¸¶ [0]_Co´e¾÷¹≪AßAø " xfId="2262" xr:uid="{00000000-0005-0000-0000-0000E70C0000}"/>
    <cellStyle name="ÄÞ¸¶ [0]_INQUIRY ¿µ¾÷ÃßÁø " xfId="2263" xr:uid="{00000000-0005-0000-0000-0000E80C0000}"/>
    <cellStyle name="AÞ¸¶ [0]_INQUIRY ¿μ¾÷AßAø " xfId="2264" xr:uid="{00000000-0005-0000-0000-0000E90C0000}"/>
    <cellStyle name="ÄÞ¸¶ [0]_º»¼± ±æ¾î±úºÎ ¼ö·® Áý°èÇ¥ " xfId="2265" xr:uid="{00000000-0005-0000-0000-0000EA0C0000}"/>
    <cellStyle name="AÞ¸¶ [0]_º≫¼± ±æ¾i±uºI ¼o·R Ay°eC￥ " xfId="2266" xr:uid="{00000000-0005-0000-0000-0000EB0C0000}"/>
    <cellStyle name="ÄÞ¸¶ [0]_Sheet1" xfId="2267" xr:uid="{00000000-0005-0000-0000-0000EC0C0000}"/>
    <cellStyle name="AÞ¸¶_ 2ÆAAþº° " xfId="2268" xr:uid="{00000000-0005-0000-0000-0000ED0C0000}"/>
    <cellStyle name="ÄÞ¸¶_ ºñ¸ñº° ¿ùº°±â¼ú " xfId="2269" xr:uid="{00000000-0005-0000-0000-0000EE0C0000}"/>
    <cellStyle name="AÞ¸¶_´e¿UCN¹R°ø¹R " xfId="2270" xr:uid="{00000000-0005-0000-0000-0000EF0C0000}"/>
    <cellStyle name="ÄÞ¸¶_´ëºñÇ¥" xfId="2271" xr:uid="{00000000-0005-0000-0000-0000F00C0000}"/>
    <cellStyle name="AÞ¸¶_¸AAa" xfId="2272" xr:uid="{00000000-0005-0000-0000-0000F10C0000}"/>
    <cellStyle name="ÄÞ¸¶_¸ÅÃâ¸ÅÃâ¿ø°¡ " xfId="2273" xr:uid="{00000000-0005-0000-0000-0000F20C0000}"/>
    <cellStyle name="AÞ¸¶_¸AAa¸AAa¿ø°¡ _5월보고벨" xfId="2274" xr:uid="{00000000-0005-0000-0000-0000F30C0000}"/>
    <cellStyle name="ÄÞ¸¶_¸ÅÃâ¸ÅÃâ¿ø°¡ _5월보고벨" xfId="2275" xr:uid="{00000000-0005-0000-0000-0000F40C0000}"/>
    <cellStyle name="AÞ¸¶_¸AAa¸AAa¿ø°¡ _5월보고상" xfId="2276" xr:uid="{00000000-0005-0000-0000-0000F50C0000}"/>
    <cellStyle name="ÄÞ¸¶_¸ÅÃâ¸ÅÃâ¿ø°¡ _5월보고상" xfId="2277" xr:uid="{00000000-0005-0000-0000-0000F60C0000}"/>
    <cellStyle name="AÞ¸¶_¸AAa¸AAa¿ø°¡ _5월보고시" xfId="2278" xr:uid="{00000000-0005-0000-0000-0000F70C0000}"/>
    <cellStyle name="ÄÞ¸¶_¸ÅÃâ¸ÅÃâ¿ø°¡ _5월보고시" xfId="2279" xr:uid="{00000000-0005-0000-0000-0000F80C0000}"/>
    <cellStyle name="AÞ¸¶_¸AAa¸AAa¿ø°¡ _계획22" xfId="2280" xr:uid="{00000000-0005-0000-0000-0000F90C0000}"/>
    <cellStyle name="ÄÞ¸¶_¸ÅÃâ¸ÅÃâ¿ø°¡ _계획22" xfId="2281" xr:uid="{00000000-0005-0000-0000-0000FA0C0000}"/>
    <cellStyle name="AÞ¸¶_¸AAa¸AAa¿ø°¡ _계획22_5월보고벨" xfId="2282" xr:uid="{00000000-0005-0000-0000-0000FB0C0000}"/>
    <cellStyle name="ÄÞ¸¶_¸ÅÃâ¸ÅÃâ¿ø°¡ _계획22_5월보고벨" xfId="2283" xr:uid="{00000000-0005-0000-0000-0000FC0C0000}"/>
    <cellStyle name="AÞ¸¶_¸AAa¸AAa¿ø°¡ _계획22_5월보고상" xfId="2284" xr:uid="{00000000-0005-0000-0000-0000FD0C0000}"/>
    <cellStyle name="ÄÞ¸¶_¸ÅÃâ¸ÅÃâ¿ø°¡ _계획22_5월보고상" xfId="2285" xr:uid="{00000000-0005-0000-0000-0000FE0C0000}"/>
    <cellStyle name="AÞ¸¶_¸AAa¸AAa¿ø°¡ _계획22_5월보고시" xfId="2286" xr:uid="{00000000-0005-0000-0000-0000FF0C0000}"/>
    <cellStyle name="ÄÞ¸¶_¸ÅÃâ¸ÅÃâ¿ø°¡ _계획22_5월보고시" xfId="2287" xr:uid="{00000000-0005-0000-0000-0000000D0000}"/>
    <cellStyle name="AÞ¸¶_¸AAa¸AAa¿ø°¡ _계획22_공사별CORDER현황" xfId="2288" xr:uid="{00000000-0005-0000-0000-0000010D0000}"/>
    <cellStyle name="ÄÞ¸¶_¸ÅÃâ¸ÅÃâ¿ø°¡ _계획22_공사별CORDER현황" xfId="2289" xr:uid="{00000000-0005-0000-0000-0000020D0000}"/>
    <cellStyle name="AÞ¸¶_¸AAa¸AAa¿ø°¡ _계획22_공사현황" xfId="2290" xr:uid="{00000000-0005-0000-0000-0000030D0000}"/>
    <cellStyle name="ÄÞ¸¶_¸ÅÃâ¸ÅÃâ¿ø°¡ _계획22_공사현황" xfId="2291" xr:uid="{00000000-0005-0000-0000-0000040D0000}"/>
    <cellStyle name="AÞ¸¶_¸AAa¸AAa¿ø°¡ _계획22_상주법인회의자료" xfId="2292" xr:uid="{00000000-0005-0000-0000-0000050D0000}"/>
    <cellStyle name="ÄÞ¸¶_¸ÅÃâ¸ÅÃâ¿ø°¡ _계획22_상주법인회의자료" xfId="2293" xr:uid="{00000000-0005-0000-0000-0000060D0000}"/>
    <cellStyle name="AÞ¸¶_¸AAa¸AAa¿ø°¡ _계획22_자료" xfId="2294" xr:uid="{00000000-0005-0000-0000-0000070D0000}"/>
    <cellStyle name="ÄÞ¸¶_¸ÅÃâ¸ÅÃâ¿ø°¡ _계획22_자료" xfId="2295" xr:uid="{00000000-0005-0000-0000-0000080D0000}"/>
    <cellStyle name="AÞ¸¶_¸AAa¸AAa¿ø°¡ _공사별CORDER현황" xfId="2296" xr:uid="{00000000-0005-0000-0000-0000090D0000}"/>
    <cellStyle name="ÄÞ¸¶_¸ÅÃâ¸ÅÃâ¿ø°¡ _공사별CORDER현황" xfId="2297" xr:uid="{00000000-0005-0000-0000-00000A0D0000}"/>
    <cellStyle name="AÞ¸¶_¸AAa¸AAa¿ø°¡ _공사현황" xfId="2298" xr:uid="{00000000-0005-0000-0000-00000B0D0000}"/>
    <cellStyle name="ÄÞ¸¶_¸ÅÃâ¸ÅÃâ¿ø°¡ _공사현황" xfId="2299" xr:uid="{00000000-0005-0000-0000-00000C0D0000}"/>
    <cellStyle name="AÞ¸¶_¸AAa¸AAa¿ø°¡ _상주법인회의자료" xfId="2300" xr:uid="{00000000-0005-0000-0000-00000D0D0000}"/>
    <cellStyle name="ÄÞ¸¶_¸ÅÃâ¸ÅÃâ¿ø°¡ _상주법인회의자료" xfId="2301" xr:uid="{00000000-0005-0000-0000-00000E0D0000}"/>
    <cellStyle name="AÞ¸¶_¸AAa¸AAa¿ø°¡ _실적01(2안)" xfId="2302" xr:uid="{00000000-0005-0000-0000-00000F0D0000}"/>
    <cellStyle name="ÄÞ¸¶_¸ÅÃâ¸ÅÃâ¿ø°¡ _실적01(2안)" xfId="2303" xr:uid="{00000000-0005-0000-0000-0000100D0000}"/>
    <cellStyle name="AÞ¸¶_¸AAa¸AAa¿ø°¡ _실적01(2안)_공사별CORDER현황" xfId="2304" xr:uid="{00000000-0005-0000-0000-0000110D0000}"/>
    <cellStyle name="ÄÞ¸¶_¸ÅÃâ¸ÅÃâ¿ø°¡ _실적01(2안)_공사별CORDER현황" xfId="2305" xr:uid="{00000000-0005-0000-0000-0000120D0000}"/>
    <cellStyle name="AÞ¸¶_¸AAa¸AAa¿ø°¡ _실적01(2안)_공사현황" xfId="2306" xr:uid="{00000000-0005-0000-0000-0000130D0000}"/>
    <cellStyle name="ÄÞ¸¶_¸ÅÃâ¸ÅÃâ¿ø°¡ _실적01(2안)_공사현황" xfId="2307" xr:uid="{00000000-0005-0000-0000-0000140D0000}"/>
    <cellStyle name="AÞ¸¶_¸AAa¸AAa¿ø°¡ _실적01(2안)_자료" xfId="2308" xr:uid="{00000000-0005-0000-0000-0000150D0000}"/>
    <cellStyle name="ÄÞ¸¶_¸ÅÃâ¸ÅÃâ¿ø°¡ _실적01(2안)_자료" xfId="2309" xr:uid="{00000000-0005-0000-0000-0000160D0000}"/>
    <cellStyle name="AÞ¸¶_¸AAa¸AAa¿ø°¡ _자료" xfId="2310" xr:uid="{00000000-0005-0000-0000-0000170D0000}"/>
    <cellStyle name="ÄÞ¸¶_¸ÅÃâ¸ÅÃâ¿ø°¡ _자료" xfId="2311" xr:uid="{00000000-0005-0000-0000-0000180D0000}"/>
    <cellStyle name="AÞ¸¶_¸AAa¾×(3)" xfId="2312" xr:uid="{00000000-0005-0000-0000-0000190D0000}"/>
    <cellStyle name="ÄÞ¸¶_¸ðÇü¸·" xfId="4276" xr:uid="{00000000-0005-0000-0000-00001A0D0000}"/>
    <cellStyle name="AÞ¸¶_¿­¸° INT" xfId="2313" xr:uid="{00000000-0005-0000-0000-00001B0D0000}"/>
    <cellStyle name="ÄÞ¸¶_±âÅ¸" xfId="2314" xr:uid="{00000000-0005-0000-0000-00001C0D0000}"/>
    <cellStyle name="AÞ¸¶_°eE¹3 _24통관" xfId="2315" xr:uid="{00000000-0005-0000-0000-00001D0D0000}"/>
    <cellStyle name="ÄÞ¸¶_°èÈ¹3 _5월보고벨" xfId="2316" xr:uid="{00000000-0005-0000-0000-00001E0D0000}"/>
    <cellStyle name="AÞ¸¶_°eE¹3 _매출확정" xfId="2317" xr:uid="{00000000-0005-0000-0000-00001F0D0000}"/>
    <cellStyle name="ÄÞ¸¶_°èÈ¹3 _상주법인회의자료" xfId="2318" xr:uid="{00000000-0005-0000-0000-0000200D0000}"/>
    <cellStyle name="AÞ¸¶_¼oA¹°eE¹ " xfId="2319" xr:uid="{00000000-0005-0000-0000-0000210D0000}"/>
    <cellStyle name="ÄÞ¸¶_¼öÅ¹°èÈ¹ " xfId="2320" xr:uid="{00000000-0005-0000-0000-0000220D0000}"/>
    <cellStyle name="AÞ¸¶_¼oAa½CAu " xfId="2321" xr:uid="{00000000-0005-0000-0000-0000230D0000}"/>
    <cellStyle name="ÄÞ¸¶_¼öÃâ½ÇÀû " xfId="2322" xr:uid="{00000000-0005-0000-0000-0000240D0000}"/>
    <cellStyle name="AÞ¸¶_¼oAa½CAu _¹≪¿ª10¿u " xfId="2323" xr:uid="{00000000-0005-0000-0000-0000250D0000}"/>
    <cellStyle name="ÄÞ¸¶_¼öÃâ½ÇÀû _5월보고벨" xfId="2324" xr:uid="{00000000-0005-0000-0000-0000260D0000}"/>
    <cellStyle name="AÞ¸¶_¼oAa½CAu _5월보고상" xfId="2325" xr:uid="{00000000-0005-0000-0000-0000270D0000}"/>
    <cellStyle name="ÄÞ¸¶_¼öÃâ½ÇÀû _5월보고상" xfId="2326" xr:uid="{00000000-0005-0000-0000-0000280D0000}"/>
    <cellStyle name="AÞ¸¶_¼oAa½CAu _5월보고상_공사별CORDER현황" xfId="2327" xr:uid="{00000000-0005-0000-0000-0000290D0000}"/>
    <cellStyle name="ÄÞ¸¶_¼öÃâ½ÇÀû _5월보고상_공사별CORDER현황" xfId="2328" xr:uid="{00000000-0005-0000-0000-00002A0D0000}"/>
    <cellStyle name="AÞ¸¶_¼oAa½CAu _5월보고상_공사현황" xfId="2329" xr:uid="{00000000-0005-0000-0000-00002B0D0000}"/>
    <cellStyle name="ÄÞ¸¶_¼öÃâ½ÇÀû _5월보고상_공사현황" xfId="2330" xr:uid="{00000000-0005-0000-0000-00002C0D0000}"/>
    <cellStyle name="AÞ¸¶_¼oAa½CAu _5월보고상_자료" xfId="2331" xr:uid="{00000000-0005-0000-0000-00002D0D0000}"/>
    <cellStyle name="ÄÞ¸¶_¼öÃâ½ÇÀû _5월보고상_자료" xfId="2332" xr:uid="{00000000-0005-0000-0000-00002E0D0000}"/>
    <cellStyle name="AÞ¸¶_¼oAa½CAu _5월보고시" xfId="2333" xr:uid="{00000000-0005-0000-0000-00002F0D0000}"/>
    <cellStyle name="ÄÞ¸¶_¼öÃâ½ÇÀû _5월보고시" xfId="2334" xr:uid="{00000000-0005-0000-0000-0000300D0000}"/>
    <cellStyle name="AÞ¸¶_¼oAa½CAu _5월보고시_공사별CORDER현황" xfId="2335" xr:uid="{00000000-0005-0000-0000-0000310D0000}"/>
    <cellStyle name="ÄÞ¸¶_¼öÃâ½ÇÀû _5월보고시_공사별CORDER현황" xfId="2336" xr:uid="{00000000-0005-0000-0000-0000320D0000}"/>
    <cellStyle name="AÞ¸¶_¼oAa½CAu _5월보고시_공사현황" xfId="2337" xr:uid="{00000000-0005-0000-0000-0000330D0000}"/>
    <cellStyle name="ÄÞ¸¶_¼öÃâ½ÇÀû _5월보고시_공사현황" xfId="2338" xr:uid="{00000000-0005-0000-0000-0000340D0000}"/>
    <cellStyle name="AÞ¸¶_¼oAa½CAu _5월보고시_자료" xfId="2339" xr:uid="{00000000-0005-0000-0000-0000350D0000}"/>
    <cellStyle name="ÄÞ¸¶_¼öÃâ½ÇÀû _5월보고시_자료" xfId="2340" xr:uid="{00000000-0005-0000-0000-0000360D0000}"/>
    <cellStyle name="AÞ¸¶_¼oAa½CAu _Co´e¾÷¹≪AßAø " xfId="2350" xr:uid="{00000000-0005-0000-0000-0000370D0000}"/>
    <cellStyle name="ÄÞ¸¶_¼öÃâ½ÇÀû _공사현황" xfId="2341" xr:uid="{00000000-0005-0000-0000-0000380D0000}"/>
    <cellStyle name="AÞ¸¶_¼oAa½CAu _사업계획2003-1125xls" xfId="2342" xr:uid="{00000000-0005-0000-0000-0000390D0000}"/>
    <cellStyle name="ÄÞ¸¶_¼öÃâ½ÇÀû _상주법인회의자료" xfId="2343" xr:uid="{00000000-0005-0000-0000-00003A0D0000}"/>
    <cellStyle name="AÞ¸¶_¼oAa½CAu _상주법인회의자료_공사별CORDER현황" xfId="2344" xr:uid="{00000000-0005-0000-0000-00003B0D0000}"/>
    <cellStyle name="ÄÞ¸¶_¼öÃâ½ÇÀû _상주법인회의자료_공사별CORDER현황" xfId="2345" xr:uid="{00000000-0005-0000-0000-00003C0D0000}"/>
    <cellStyle name="AÞ¸¶_¼oAa½CAu _실적01(2안)" xfId="2346" xr:uid="{00000000-0005-0000-0000-00003D0D0000}"/>
    <cellStyle name="ÄÞ¸¶_¼öÃâ½ÇÀû _실적01(2안)" xfId="2347" xr:uid="{00000000-0005-0000-0000-00003E0D0000}"/>
    <cellStyle name="AÞ¸¶_¼oAa½CAu _인테리어 공사 공내역2009.07.23최종(조과장)" xfId="2348" xr:uid="{00000000-0005-0000-0000-00003F0D0000}"/>
    <cellStyle name="ÄÞ¸¶_¼öÃâ½ÇÀû _자료" xfId="2349" xr:uid="{00000000-0005-0000-0000-0000400D0000}"/>
    <cellStyle name="AÞ¸¶_2¿u¸AAa " xfId="2351" xr:uid="{00000000-0005-0000-0000-0000410D0000}"/>
    <cellStyle name="ÄÞ¸¶_2¿ù¸ÅÃâ " xfId="2352" xr:uid="{00000000-0005-0000-0000-0000420D0000}"/>
    <cellStyle name="AÞ¸¶_³≫ºI°eE¹´e AßA¤A÷AI " xfId="2353" xr:uid="{00000000-0005-0000-0000-0000430D0000}"/>
    <cellStyle name="ÄÞ¸¶_Â÷ÀÔ±Ý " xfId="2354" xr:uid="{00000000-0005-0000-0000-0000440D0000}"/>
    <cellStyle name="AÞ¸¶_A÷AO±Y _5월보고벨" xfId="2355" xr:uid="{00000000-0005-0000-0000-0000450D0000}"/>
    <cellStyle name="ÄÞ¸¶_Â÷ÀÔ±Ý _5월보고벨" xfId="2356" xr:uid="{00000000-0005-0000-0000-0000460D0000}"/>
    <cellStyle name="AÞ¸¶_A÷AO±Y _5월보고상" xfId="2357" xr:uid="{00000000-0005-0000-0000-0000470D0000}"/>
    <cellStyle name="ÄÞ¸¶_Â÷ÀÔ±Ý _5월보고상" xfId="2358" xr:uid="{00000000-0005-0000-0000-0000480D0000}"/>
    <cellStyle name="AÞ¸¶_A÷AO±Y _5월보고시" xfId="2359" xr:uid="{00000000-0005-0000-0000-0000490D0000}"/>
    <cellStyle name="ÄÞ¸¶_Â÷ÀÔ±Ý _5월보고시" xfId="2360" xr:uid="{00000000-0005-0000-0000-00004A0D0000}"/>
    <cellStyle name="AÞ¸¶_A÷AO±Y _계획22" xfId="2361" xr:uid="{00000000-0005-0000-0000-00004B0D0000}"/>
    <cellStyle name="ÄÞ¸¶_Â÷ÀÔ±Ý _계획22" xfId="2362" xr:uid="{00000000-0005-0000-0000-00004C0D0000}"/>
    <cellStyle name="AÞ¸¶_A÷AO±Y _계획22_5월보고벨" xfId="2363" xr:uid="{00000000-0005-0000-0000-00004D0D0000}"/>
    <cellStyle name="ÄÞ¸¶_Â÷ÀÔ±Ý _계획22_5월보고벨" xfId="2364" xr:uid="{00000000-0005-0000-0000-00004E0D0000}"/>
    <cellStyle name="AÞ¸¶_A÷AO±Y _계획22_5월보고상" xfId="2365" xr:uid="{00000000-0005-0000-0000-00004F0D0000}"/>
    <cellStyle name="ÄÞ¸¶_Â÷ÀÔ±Ý _계획22_5월보고상" xfId="2366" xr:uid="{00000000-0005-0000-0000-0000500D0000}"/>
    <cellStyle name="AÞ¸¶_A÷AO±Y _계획22_5월보고시" xfId="2367" xr:uid="{00000000-0005-0000-0000-0000510D0000}"/>
    <cellStyle name="ÄÞ¸¶_Â÷ÀÔ±Ý _계획22_5월보고시" xfId="2368" xr:uid="{00000000-0005-0000-0000-0000520D0000}"/>
    <cellStyle name="AÞ¸¶_A÷AO±Y _계획22_공사별CORDER현황" xfId="2369" xr:uid="{00000000-0005-0000-0000-0000530D0000}"/>
    <cellStyle name="ÄÞ¸¶_Â÷ÀÔ±Ý _계획22_공사별CORDER현황" xfId="2370" xr:uid="{00000000-0005-0000-0000-0000540D0000}"/>
    <cellStyle name="AÞ¸¶_A÷AO±Y _계획22_공사현황" xfId="2371" xr:uid="{00000000-0005-0000-0000-0000550D0000}"/>
    <cellStyle name="ÄÞ¸¶_Â÷ÀÔ±Ý _계획22_공사현황" xfId="2372" xr:uid="{00000000-0005-0000-0000-0000560D0000}"/>
    <cellStyle name="AÞ¸¶_A÷AO±Y _계획22_상주법인회의자료" xfId="2373" xr:uid="{00000000-0005-0000-0000-0000570D0000}"/>
    <cellStyle name="ÄÞ¸¶_Â÷ÀÔ±Ý _계획22_상주법인회의자료" xfId="2374" xr:uid="{00000000-0005-0000-0000-0000580D0000}"/>
    <cellStyle name="AÞ¸¶_A÷AO±Y _계획22_자료" xfId="2375" xr:uid="{00000000-0005-0000-0000-0000590D0000}"/>
    <cellStyle name="ÄÞ¸¶_Â÷ÀÔ±Ý _계획22_자료" xfId="2376" xr:uid="{00000000-0005-0000-0000-00005A0D0000}"/>
    <cellStyle name="AÞ¸¶_A÷AO±Y _공사별CORDER현황" xfId="2377" xr:uid="{00000000-0005-0000-0000-00005B0D0000}"/>
    <cellStyle name="ÄÞ¸¶_Â÷ÀÔ±Ý _공사별CORDER현황" xfId="2378" xr:uid="{00000000-0005-0000-0000-00005C0D0000}"/>
    <cellStyle name="AÞ¸¶_A÷AO±Y _공사현황" xfId="2379" xr:uid="{00000000-0005-0000-0000-00005D0D0000}"/>
    <cellStyle name="ÄÞ¸¶_Â÷ÀÔ±Ý _공사현황" xfId="2380" xr:uid="{00000000-0005-0000-0000-00005E0D0000}"/>
    <cellStyle name="AÞ¸¶_A÷AO±Y _상주법인회의자료" xfId="2381" xr:uid="{00000000-0005-0000-0000-00005F0D0000}"/>
    <cellStyle name="ÄÞ¸¶_Â÷ÀÔ±Ý _상주법인회의자료" xfId="2382" xr:uid="{00000000-0005-0000-0000-0000600D0000}"/>
    <cellStyle name="AÞ¸¶_A÷AO±Y _실적01(2안)" xfId="2383" xr:uid="{00000000-0005-0000-0000-0000610D0000}"/>
    <cellStyle name="ÄÞ¸¶_Â÷ÀÔ±Ý _실적01(2안)" xfId="2384" xr:uid="{00000000-0005-0000-0000-0000620D0000}"/>
    <cellStyle name="AÞ¸¶_A÷AO±Y _실적01(2안)_공사별CORDER현황" xfId="2385" xr:uid="{00000000-0005-0000-0000-0000630D0000}"/>
    <cellStyle name="ÄÞ¸¶_Â÷ÀÔ±Ý _실적01(2안)_공사별CORDER현황" xfId="2386" xr:uid="{00000000-0005-0000-0000-0000640D0000}"/>
    <cellStyle name="AÞ¸¶_A÷AO±Y _실적01(2안)_공사현황" xfId="2387" xr:uid="{00000000-0005-0000-0000-0000650D0000}"/>
    <cellStyle name="ÄÞ¸¶_Â÷ÀÔ±Ý _실적01(2안)_공사현황" xfId="2388" xr:uid="{00000000-0005-0000-0000-0000660D0000}"/>
    <cellStyle name="AÞ¸¶_A÷AO±Y _실적01(2안)_자료" xfId="2389" xr:uid="{00000000-0005-0000-0000-0000670D0000}"/>
    <cellStyle name="ÄÞ¸¶_Â÷ÀÔ±Ý _실적01(2안)_자료" xfId="2390" xr:uid="{00000000-0005-0000-0000-0000680D0000}"/>
    <cellStyle name="AÞ¸¶_A÷AO±Y _자료" xfId="2391" xr:uid="{00000000-0005-0000-0000-0000690D0000}"/>
    <cellStyle name="ÄÞ¸¶_Â÷ÀÔ±Ý _자료" xfId="2392" xr:uid="{00000000-0005-0000-0000-00006A0D0000}"/>
    <cellStyle name="AÞ¸¶_A÷AO±Y ±¸A¶ " xfId="2393" xr:uid="{00000000-0005-0000-0000-00006B0D0000}"/>
    <cellStyle name="ÄÞ¸¶_Â÷ÀÔ±Ý ±¸Á¶ " xfId="2394" xr:uid="{00000000-0005-0000-0000-00006C0D0000}"/>
    <cellStyle name="AÞ¸¶_A÷AO±Y ±¸A¶ _24통관" xfId="2395" xr:uid="{00000000-0005-0000-0000-00006D0D0000}"/>
    <cellStyle name="ÄÞ¸¶_Â÷ÀÔ±Ý ±¸Á¶ _5월보고벨" xfId="2396" xr:uid="{00000000-0005-0000-0000-00006E0D0000}"/>
    <cellStyle name="AÞ¸¶_A÷AO±Y ±¸A¶ _5월보고상" xfId="2397" xr:uid="{00000000-0005-0000-0000-00006F0D0000}"/>
    <cellStyle name="ÄÞ¸¶_Â÷ÀÔ±Ý ±¸Á¶ _5월보고상" xfId="2398" xr:uid="{00000000-0005-0000-0000-0000700D0000}"/>
    <cellStyle name="AÞ¸¶_A÷AO±Y ±¸A¶ _5월보고상_공사별CORDER현황" xfId="2399" xr:uid="{00000000-0005-0000-0000-0000710D0000}"/>
    <cellStyle name="ÄÞ¸¶_Â÷ÀÔ±Ý ±¸Á¶ _5월보고상_공사별CORDER현황" xfId="2400" xr:uid="{00000000-0005-0000-0000-0000720D0000}"/>
    <cellStyle name="AÞ¸¶_A÷AO±Y ±¸A¶ _5월보고상_공사현황" xfId="2401" xr:uid="{00000000-0005-0000-0000-0000730D0000}"/>
    <cellStyle name="ÄÞ¸¶_Â÷ÀÔ±Ý ±¸Á¶ _5월보고상_공사현황" xfId="2402" xr:uid="{00000000-0005-0000-0000-0000740D0000}"/>
    <cellStyle name="AÞ¸¶_A÷AO±Y ±¸A¶ _5월보고상_자료" xfId="2403" xr:uid="{00000000-0005-0000-0000-0000750D0000}"/>
    <cellStyle name="ÄÞ¸¶_Â÷ÀÔ±Ý ±¸Á¶ _5월보고상_자료" xfId="2404" xr:uid="{00000000-0005-0000-0000-0000760D0000}"/>
    <cellStyle name="AÞ¸¶_A÷AO±Y ±¸A¶ _5월보고시" xfId="2405" xr:uid="{00000000-0005-0000-0000-0000770D0000}"/>
    <cellStyle name="ÄÞ¸¶_Â÷ÀÔ±Ý ±¸Á¶ _5월보고시" xfId="2406" xr:uid="{00000000-0005-0000-0000-0000780D0000}"/>
    <cellStyle name="AÞ¸¶_A÷AO±Y ±¸A¶ _5월보고시_공사별CORDER현황" xfId="2407" xr:uid="{00000000-0005-0000-0000-0000790D0000}"/>
    <cellStyle name="ÄÞ¸¶_Â÷ÀÔ±Ý ±¸Á¶ _5월보고시_공사별CORDER현황" xfId="2408" xr:uid="{00000000-0005-0000-0000-00007A0D0000}"/>
    <cellStyle name="AÞ¸¶_A÷AO±Y ±¸A¶ _5월보고시_공사현황" xfId="2409" xr:uid="{00000000-0005-0000-0000-00007B0D0000}"/>
    <cellStyle name="ÄÞ¸¶_Â÷ÀÔ±Ý ±¸Á¶ _5월보고시_공사현황" xfId="2410" xr:uid="{00000000-0005-0000-0000-00007C0D0000}"/>
    <cellStyle name="AÞ¸¶_A÷AO±Y ±¸A¶ _5월보고시_자료" xfId="2411" xr:uid="{00000000-0005-0000-0000-00007D0D0000}"/>
    <cellStyle name="ÄÞ¸¶_Â÷ÀÔ±Ý ±¸Á¶ _5월보고시_자료" xfId="2412" xr:uid="{00000000-0005-0000-0000-00007E0D0000}"/>
    <cellStyle name="AÞ¸¶_A÷AO±Y ±¸A¶ _공사별CORDER현황" xfId="2413" xr:uid="{00000000-0005-0000-0000-00007F0D0000}"/>
    <cellStyle name="ÄÞ¸¶_Â÷ÀÔ±Ý ±¸Á¶ _공사별CORDER현황" xfId="2414" xr:uid="{00000000-0005-0000-0000-0000800D0000}"/>
    <cellStyle name="AÞ¸¶_A÷AO±Y ±¸A¶ _공사현황" xfId="2415" xr:uid="{00000000-0005-0000-0000-0000810D0000}"/>
    <cellStyle name="ÄÞ¸¶_Â÷ÀÔ±Ý ±¸Á¶ _공사현황" xfId="2416" xr:uid="{00000000-0005-0000-0000-0000820D0000}"/>
    <cellStyle name="AÞ¸¶_A÷AO±Y ±¸A¶ _매출확정" xfId="2417" xr:uid="{00000000-0005-0000-0000-0000830D0000}"/>
    <cellStyle name="ÄÞ¸¶_Â÷ÀÔ±Ý ±¸Á¶ _상주법인회의자료" xfId="2418" xr:uid="{00000000-0005-0000-0000-0000840D0000}"/>
    <cellStyle name="AÞ¸¶_A÷AO±Y ±¸A¶ _자료" xfId="2419" xr:uid="{00000000-0005-0000-0000-0000850D0000}"/>
    <cellStyle name="ÄÞ¸¶_Â÷ÀÔ±Ý ±¸Á¶ _자료" xfId="2420" xr:uid="{00000000-0005-0000-0000-0000860D0000}"/>
    <cellStyle name="AÞ¸¶_A¶´Þ°eE¹ " xfId="2421" xr:uid="{00000000-0005-0000-0000-0000870D0000}"/>
    <cellStyle name="ÄÞ¸¶_Á¶´Þ°èÈ¹ " xfId="2422" xr:uid="{00000000-0005-0000-0000-0000880D0000}"/>
    <cellStyle name="AÞ¸¶_A¶´Þ°eE¹ _24통관" xfId="2423" xr:uid="{00000000-0005-0000-0000-0000890D0000}"/>
    <cellStyle name="ÄÞ¸¶_Á¶´Þ°èÈ¹ _5월보고벨" xfId="2424" xr:uid="{00000000-0005-0000-0000-00008A0D0000}"/>
    <cellStyle name="AÞ¸¶_A¶´Þ°eE¹ _5월보고상" xfId="2425" xr:uid="{00000000-0005-0000-0000-00008B0D0000}"/>
    <cellStyle name="ÄÞ¸¶_Á¶´Þ°èÈ¹ _5월보고상" xfId="2426" xr:uid="{00000000-0005-0000-0000-00008C0D0000}"/>
    <cellStyle name="AÞ¸¶_A¶´Þ°eE¹ _5월보고상_공사별CORDER현황" xfId="2427" xr:uid="{00000000-0005-0000-0000-00008D0D0000}"/>
    <cellStyle name="ÄÞ¸¶_Á¶´Þ°èÈ¹ _5월보고상_공사별CORDER현황" xfId="2428" xr:uid="{00000000-0005-0000-0000-00008E0D0000}"/>
    <cellStyle name="AÞ¸¶_A¶´Þ°eE¹ _5월보고상_공사현황" xfId="2429" xr:uid="{00000000-0005-0000-0000-00008F0D0000}"/>
    <cellStyle name="ÄÞ¸¶_Á¶´Þ°èÈ¹ _5월보고상_공사현황" xfId="2430" xr:uid="{00000000-0005-0000-0000-0000900D0000}"/>
    <cellStyle name="AÞ¸¶_A¶´Þ°eE¹ _5월보고상_자료" xfId="2431" xr:uid="{00000000-0005-0000-0000-0000910D0000}"/>
    <cellStyle name="ÄÞ¸¶_Á¶´Þ°èÈ¹ _5월보고상_자료" xfId="2432" xr:uid="{00000000-0005-0000-0000-0000920D0000}"/>
    <cellStyle name="AÞ¸¶_A¶´Þ°eE¹ _5월보고시" xfId="2433" xr:uid="{00000000-0005-0000-0000-0000930D0000}"/>
    <cellStyle name="ÄÞ¸¶_Á¶´Þ°èÈ¹ _5월보고시" xfId="2434" xr:uid="{00000000-0005-0000-0000-0000940D0000}"/>
    <cellStyle name="AÞ¸¶_A¶´Þ°eE¹ _5월보고시_공사별CORDER현황" xfId="2435" xr:uid="{00000000-0005-0000-0000-0000950D0000}"/>
    <cellStyle name="ÄÞ¸¶_Á¶´Þ°èÈ¹ _5월보고시_공사별CORDER현황" xfId="2436" xr:uid="{00000000-0005-0000-0000-0000960D0000}"/>
    <cellStyle name="AÞ¸¶_A¶´Þ°eE¹ _5월보고시_공사현황" xfId="2437" xr:uid="{00000000-0005-0000-0000-0000970D0000}"/>
    <cellStyle name="ÄÞ¸¶_Á¶´Þ°èÈ¹ _5월보고시_공사현황" xfId="2438" xr:uid="{00000000-0005-0000-0000-0000980D0000}"/>
    <cellStyle name="AÞ¸¶_A¶´Þ°eE¹ _5월보고시_자료" xfId="2439" xr:uid="{00000000-0005-0000-0000-0000990D0000}"/>
    <cellStyle name="ÄÞ¸¶_Á¶´Þ°èÈ¹ _5월보고시_자료" xfId="2440" xr:uid="{00000000-0005-0000-0000-00009A0D0000}"/>
    <cellStyle name="AÞ¸¶_A¶´Þ°eE¹ _공사별CORDER현황" xfId="2441" xr:uid="{00000000-0005-0000-0000-00009B0D0000}"/>
    <cellStyle name="ÄÞ¸¶_Á¶´Þ°èÈ¹ _공사별CORDER현황" xfId="2442" xr:uid="{00000000-0005-0000-0000-00009C0D0000}"/>
    <cellStyle name="AÞ¸¶_A¶´Þ°eE¹ _공사현황" xfId="2443" xr:uid="{00000000-0005-0000-0000-00009D0D0000}"/>
    <cellStyle name="ÄÞ¸¶_Á¶´Þ°èÈ¹ _공사현황" xfId="2444" xr:uid="{00000000-0005-0000-0000-00009E0D0000}"/>
    <cellStyle name="AÞ¸¶_A¶´Þ°eE¹ _매출확정" xfId="2445" xr:uid="{00000000-0005-0000-0000-00009F0D0000}"/>
    <cellStyle name="ÄÞ¸¶_Á¶´Þ°èÈ¹ _상주법인회의자료" xfId="2446" xr:uid="{00000000-0005-0000-0000-0000A00D0000}"/>
    <cellStyle name="AÞ¸¶_A¶´Þ°eE¹ _자료" xfId="2447" xr:uid="{00000000-0005-0000-0000-0000A10D0000}"/>
    <cellStyle name="ÄÞ¸¶_Á¶´Þ°èÈ¹ _자료" xfId="2448" xr:uid="{00000000-0005-0000-0000-0000A20D0000}"/>
    <cellStyle name="AÞ¸¶_A¾CO½A¼³ " xfId="2449" xr:uid="{00000000-0005-0000-0000-0000A30D0000}"/>
    <cellStyle name="ÄÞ¸¶_ÆÀÇ¥Áö_°èÈ¹3 " xfId="2450" xr:uid="{00000000-0005-0000-0000-0000A40D0000}"/>
    <cellStyle name="AÞ¸¶_ÆAC￥Ao_°eE¹3 _24통관" xfId="2451" xr:uid="{00000000-0005-0000-0000-0000A50D0000}"/>
    <cellStyle name="ÄÞ¸¶_ÆÀÇ¥Áö_°èÈ¹3 _5월보고벨" xfId="2452" xr:uid="{00000000-0005-0000-0000-0000A60D0000}"/>
    <cellStyle name="AÞ¸¶_ÆAC￥Ao_°eE¹3 _5월보고상" xfId="2453" xr:uid="{00000000-0005-0000-0000-0000A70D0000}"/>
    <cellStyle name="ÄÞ¸¶_ÆÀÇ¥Áö_°èÈ¹3 _5월보고상" xfId="2454" xr:uid="{00000000-0005-0000-0000-0000A80D0000}"/>
    <cellStyle name="AÞ¸¶_ÆAC￥Ao_°eE¹3 _5월보고상_공사별CORDER현황" xfId="2455" xr:uid="{00000000-0005-0000-0000-0000A90D0000}"/>
    <cellStyle name="ÄÞ¸¶_ÆÀÇ¥Áö_°èÈ¹3 _5월보고상_공사별CORDER현황" xfId="2456" xr:uid="{00000000-0005-0000-0000-0000AA0D0000}"/>
    <cellStyle name="AÞ¸¶_ÆAC￥Ao_°eE¹3 _5월보고상_공사현황" xfId="2457" xr:uid="{00000000-0005-0000-0000-0000AB0D0000}"/>
    <cellStyle name="ÄÞ¸¶_ÆÀÇ¥Áö_°èÈ¹3 _5월보고상_공사현황" xfId="2458" xr:uid="{00000000-0005-0000-0000-0000AC0D0000}"/>
    <cellStyle name="AÞ¸¶_ÆAC￥Ao_°eE¹3 _5월보고상_자료" xfId="2459" xr:uid="{00000000-0005-0000-0000-0000AD0D0000}"/>
    <cellStyle name="ÄÞ¸¶_ÆÀÇ¥Áö_°èÈ¹3 _5월보고상_자료" xfId="2460" xr:uid="{00000000-0005-0000-0000-0000AE0D0000}"/>
    <cellStyle name="AÞ¸¶_ÆAC￥Ao_°eE¹3 _5월보고시" xfId="2461" xr:uid="{00000000-0005-0000-0000-0000AF0D0000}"/>
    <cellStyle name="ÄÞ¸¶_ÆÀÇ¥Áö_°èÈ¹3 _5월보고시" xfId="2462" xr:uid="{00000000-0005-0000-0000-0000B00D0000}"/>
    <cellStyle name="AÞ¸¶_ÆAC￥Ao_°eE¹3 _5월보고시_공사별CORDER현황" xfId="2463" xr:uid="{00000000-0005-0000-0000-0000B10D0000}"/>
    <cellStyle name="ÄÞ¸¶_ÆÀÇ¥Áö_°èÈ¹3 _5월보고시_공사별CORDER현황" xfId="2464" xr:uid="{00000000-0005-0000-0000-0000B20D0000}"/>
    <cellStyle name="AÞ¸¶_ÆAC￥Ao_°eE¹3 _5월보고시_공사현황" xfId="2465" xr:uid="{00000000-0005-0000-0000-0000B30D0000}"/>
    <cellStyle name="ÄÞ¸¶_ÆÀÇ¥Áö_°èÈ¹3 _5월보고시_공사현황" xfId="2466" xr:uid="{00000000-0005-0000-0000-0000B40D0000}"/>
    <cellStyle name="AÞ¸¶_ÆAC￥Ao_°eE¹3 _5월보고시_자료" xfId="2467" xr:uid="{00000000-0005-0000-0000-0000B50D0000}"/>
    <cellStyle name="ÄÞ¸¶_ÆÀÇ¥Áö_°èÈ¹3 _5월보고시_자료" xfId="2468" xr:uid="{00000000-0005-0000-0000-0000B60D0000}"/>
    <cellStyle name="AÞ¸¶_ÆAC￥Ao_°eE¹3 _공사별CORDER현황" xfId="2469" xr:uid="{00000000-0005-0000-0000-0000B70D0000}"/>
    <cellStyle name="ÄÞ¸¶_ÆÀÇ¥Áö_°èÈ¹3 _공사별CORDER현황" xfId="2470" xr:uid="{00000000-0005-0000-0000-0000B80D0000}"/>
    <cellStyle name="AÞ¸¶_ÆAC￥Ao_°eE¹3 _공사현황" xfId="2471" xr:uid="{00000000-0005-0000-0000-0000B90D0000}"/>
    <cellStyle name="ÄÞ¸¶_ÆÀÇ¥Áö_°èÈ¹3 _공사현황" xfId="2472" xr:uid="{00000000-0005-0000-0000-0000BA0D0000}"/>
    <cellStyle name="AÞ¸¶_ÆAC￥Ao_°eE¹3 _매출확정" xfId="2473" xr:uid="{00000000-0005-0000-0000-0000BB0D0000}"/>
    <cellStyle name="ÄÞ¸¶_ÆÀÇ¥Áö_°èÈ¹3 _상주법인회의자료" xfId="2474" xr:uid="{00000000-0005-0000-0000-0000BC0D0000}"/>
    <cellStyle name="AÞ¸¶_ÆAC￥Ao_°eE¹3 _자료" xfId="2475" xr:uid="{00000000-0005-0000-0000-0000BD0D0000}"/>
    <cellStyle name="ÄÞ¸¶_ÆÀÇ¥Áö_°èÈ¹3 _자료" xfId="2476" xr:uid="{00000000-0005-0000-0000-0000BE0D0000}"/>
    <cellStyle name="AÞ¸¶_AO°￡¸AAaCoE²_¼oAa " xfId="2477" xr:uid="{00000000-0005-0000-0000-0000BF0D0000}"/>
    <cellStyle name="ÄÞ¸¶_ÁÖ°£¸ÅÃâÇöÈ²_¼öÃâ " xfId="2478" xr:uid="{00000000-0005-0000-0000-0000C00D0000}"/>
    <cellStyle name="AÞ¸¶_CaEA5³a (2)_¼oAa " xfId="2479" xr:uid="{00000000-0005-0000-0000-0000C10D0000}"/>
    <cellStyle name="ÄÞ¸¶_ÇâÈÄ5³â (2)_¼öÃâ " xfId="2480" xr:uid="{00000000-0005-0000-0000-0000C20D0000}"/>
    <cellStyle name="AÞ¸¶_Co´e¾÷¹≪AßAø " xfId="2481" xr:uid="{00000000-0005-0000-0000-0000C30D0000}"/>
    <cellStyle name="ÄÞ¸¶_INQUIRY ¿µ¾÷ÃßÁø " xfId="2482" xr:uid="{00000000-0005-0000-0000-0000C40D0000}"/>
    <cellStyle name="AÞ¸¶_INQUIRY ¿μ¾÷AßAø " xfId="2483" xr:uid="{00000000-0005-0000-0000-0000C50D0000}"/>
    <cellStyle name="ÄÞ¸¶_º»¼± ±æ¾î±úºÎ ¼ö·® Áý°èÇ¥ " xfId="2484" xr:uid="{00000000-0005-0000-0000-0000C60D0000}"/>
    <cellStyle name="AÞ¸¶_º≫¼± ±æ¾i±uºI ¼o·R Ay°eC￥ " xfId="2485" xr:uid="{00000000-0005-0000-0000-0000C70D0000}"/>
    <cellStyle name="ÄÞ¸¶_Sheet1" xfId="2486" xr:uid="{00000000-0005-0000-0000-0000C80D0000}"/>
    <cellStyle name="_x0001_b" xfId="2487" xr:uid="{00000000-0005-0000-0000-0000C90D0000}"/>
    <cellStyle name="blank" xfId="2488" xr:uid="{00000000-0005-0000-0000-0000CA0D0000}"/>
    <cellStyle name="blank - Style1" xfId="2489" xr:uid="{00000000-0005-0000-0000-0000CB0D0000}"/>
    <cellStyle name="C¡" xfId="4277" xr:uid="{00000000-0005-0000-0000-0000CC0D0000}"/>
    <cellStyle name="C¡ERERERIA￠RERER¡ERER￠RER￠RE?¡ERER￠RER¡ER¡E?¡ERERI_5-1¡ERERER¡ERER￠RER¡ER¡E?u￠RERERE¡ERERE¡ERERI¡ERERER¡ERER￠RER¡ER¡E?￠RERERi " xfId="2490" xr:uid="{00000000-0005-0000-0000-0000CD0D0000}"/>
    <cellStyle name="C¡ERIA￠R¡×¡§¡I_¡§Io¡ERi￠RE?￠R¡×￠RI¡ER¡§￠R¡§I¡ER￠R¡×￠Rⓒ­nAa " xfId="2491" xr:uid="{00000000-0005-0000-0000-0000CE0D0000}"/>
    <cellStyle name="C¡IA¨ª_ 1-3 " xfId="2492" xr:uid="{00000000-0005-0000-0000-0000CF0D0000}"/>
    <cellStyle name="C¡ÍA¨ª_¡ÆeE©ö3 " xfId="2493" xr:uid="{00000000-0005-0000-0000-0000D00D0000}"/>
    <cellStyle name="C¡IA¨ª_¡ÆeEⓒo3 " xfId="2494" xr:uid="{00000000-0005-0000-0000-0000D10D0000}"/>
    <cellStyle name="C¡ÍA¨ª_¡íc¨ú¡À¨¬I¨¬¡Æ AN¡Æe " xfId="2495" xr:uid="{00000000-0005-0000-0000-0000D20D0000}"/>
    <cellStyle name="C¡IA¨ª_¡ic¨u¡A¨￢I¨￢¡Æ AN¡Æe _1본사 (2)" xfId="2496" xr:uid="{00000000-0005-0000-0000-0000D30D0000}"/>
    <cellStyle name="C¡ÍA¨ª_¡íc¨ú¡À¨¬I¨¬¡Æ AN¡Æe _4월보고상" xfId="2497" xr:uid="{00000000-0005-0000-0000-0000D40D0000}"/>
    <cellStyle name="C¡IA¨ª_¡ic¨u¡A¨￢I¨￢¡Æ AN¡Æe _Co￠￥e¨u¡Aⓒo¡iAⓒ￢Aⓒª " xfId="2498" xr:uid="{00000000-0005-0000-0000-0000D50D0000}"/>
    <cellStyle name="C¡ÍA¨ª_¨¡?¡¾a3_p.mix " xfId="2499" xr:uid="{00000000-0005-0000-0000-0000D60D0000}"/>
    <cellStyle name="C¡IA¨ª_¨¡?¡¾a3_p.mix _0201실적" xfId="2500" xr:uid="{00000000-0005-0000-0000-0000D70D0000}"/>
    <cellStyle name="C¡ÍA¨ª_¨¡?¡¾a3_p.mix _Book11" xfId="2501" xr:uid="{00000000-0005-0000-0000-0000D80D0000}"/>
    <cellStyle name="C¡IA¨ª_¨¡AC¡IAo_¡ÆeEⓒo3 " xfId="2502" xr:uid="{00000000-0005-0000-0000-0000D90D0000}"/>
    <cellStyle name="C¡ÍA¨ª_¨¬IA©ª¨¬I©öR(¨¡?¨¡C) (1¢¯u)_1_©ö¡ì¢¯¨£10¢¯u " xfId="2503" xr:uid="{00000000-0005-0000-0000-0000DA0D0000}"/>
    <cellStyle name="C¡IA¨ª_¨￢IAⓒª¨￢IⓒoR(¨¡?¨¡C) (1￠?u)_1_ⓒo¡i￠?¨￡10￠?u " xfId="2504" xr:uid="{00000000-0005-0000-0000-0000DB0D0000}"/>
    <cellStyle name="C¡ÍA¨ª_¨úc¨öA " xfId="2505" xr:uid="{00000000-0005-0000-0000-0000DC0D0000}"/>
    <cellStyle name="C¡IA¨ª_¨uc¨oA _1본사 (2)" xfId="2506" xr:uid="{00000000-0005-0000-0000-0000DD0D0000}"/>
    <cellStyle name="C¡ÍA¨ª_¨úc¨öA _4월보고상" xfId="2507" xr:uid="{00000000-0005-0000-0000-0000DE0D0000}"/>
    <cellStyle name="C¡IA¨ª_¨uOAIⓒoI￠￥o " xfId="2508" xr:uid="{00000000-0005-0000-0000-0000DF0D0000}"/>
    <cellStyle name="C¡ÍA¨ª_¢¯¥ì¨ú¡ÀCoE©÷ " xfId="2509" xr:uid="{00000000-0005-0000-0000-0000E00D0000}"/>
    <cellStyle name="C¡IA¨ª_￠￢AAa￠￢AAa￠?ⓒª¡Æ￠R " xfId="2510" xr:uid="{00000000-0005-0000-0000-0000E10D0000}"/>
    <cellStyle name="C¡ÍA¨ª_¢¬AAa¢¬AAa¢¯©ª¡Æ¢® " xfId="2511" xr:uid="{00000000-0005-0000-0000-0000E20D0000}"/>
    <cellStyle name="C¡IA¨ª_0N-HANDLING " xfId="2512" xr:uid="{00000000-0005-0000-0000-0000E30D0000}"/>
    <cellStyle name="C¡ÍA¨ª_0N-HANDLING " xfId="2513" xr:uid="{00000000-0005-0000-0000-0000E40D0000}"/>
    <cellStyle name="C¡IA¨ª_0N-HANDLING _0201실적" xfId="2514" xr:uid="{00000000-0005-0000-0000-0000E50D0000}"/>
    <cellStyle name="C¡ÍA¨ª_0N-HANDLING _Book11" xfId="2515" xr:uid="{00000000-0005-0000-0000-0000E60D0000}"/>
    <cellStyle name="C¡IA¨ª_5-1¡¾￠´¡Æi " xfId="2516" xr:uid="{00000000-0005-0000-0000-0000E70D0000}"/>
    <cellStyle name="C¡ÍA¨ª_5-1¡¾¢´¡Æi " xfId="2517" xr:uid="{00000000-0005-0000-0000-0000E80D0000}"/>
    <cellStyle name="C¡IA¨ª_5-1¡¾￠´¡Æi _0201실적" xfId="2518" xr:uid="{00000000-0005-0000-0000-0000E90D0000}"/>
    <cellStyle name="C¡ÍA¨ª_5-1¡¾¢´¡Æi _Book11" xfId="2519" xr:uid="{00000000-0005-0000-0000-0000EA0D0000}"/>
    <cellStyle name="C¡IA¨ª_5-1¡¾￠´¡Æi _Co￠￥e¨u¡Aⓒo¡iAⓒ￢Aⓒª " xfId="2520" xr:uid="{00000000-0005-0000-0000-0000EB0D0000}"/>
    <cellStyle name="C¡ÍA¨ª_A¡ÀAO¡¾Y " xfId="2521" xr:uid="{00000000-0005-0000-0000-0000EC0D0000}"/>
    <cellStyle name="C¡IA¨ª_A¡AAO¡¾Y _0201실적" xfId="2522" xr:uid="{00000000-0005-0000-0000-0000ED0D0000}"/>
    <cellStyle name="C¡ÍA¨ª_A¡ÀAO¡¾Y ¡¾¢¬A¢Ò " xfId="2523" xr:uid="{00000000-0005-0000-0000-0000EE0D0000}"/>
    <cellStyle name="C¡IA¨ª_A¡AAO¡¾Y ¡¾￠￢A￠O _0201실적" xfId="2524" xr:uid="{00000000-0005-0000-0000-0000EF0D0000}"/>
    <cellStyle name="C¡ÍA¨ª_A¡ÀAO¡¾Y ¡¾¢¬A¢Ò _Book11" xfId="2525" xr:uid="{00000000-0005-0000-0000-0000F00D0000}"/>
    <cellStyle name="C¡IA¨ª_A￠O￠￥¨­¡ÆeEⓒo " xfId="2526" xr:uid="{00000000-0005-0000-0000-0000F10D0000}"/>
    <cellStyle name="C¡ÍA¨ª_A¥ìE¡Ì3¢¯u " xfId="2527" xr:uid="{00000000-0005-0000-0000-0000F20D0000}"/>
    <cellStyle name="C¡IA¨ª_Aⓒ￢A￠´￠￥eA¡A " xfId="2528" xr:uid="{00000000-0005-0000-0000-0000F30D0000}"/>
    <cellStyle name="C¡ÍA¨ª_AU¡¾Y_1_A©¬A¢´¢¥eA¡À " xfId="2529" xr:uid="{00000000-0005-0000-0000-0000F40D0000}"/>
    <cellStyle name="C¡IA¨ª_AU¡¾Y_1_Aⓒ￢A￠´￠￥eA¡A " xfId="2530" xr:uid="{00000000-0005-0000-0000-0000F50D0000}"/>
    <cellStyle name="C¡ÍA¨ª_AU¡¾Y_A©¬A¢´¢¥eA¡À " xfId="2531" xr:uid="{00000000-0005-0000-0000-0000F60D0000}"/>
    <cellStyle name="C¡IA¨ª_AU¡¾Y_Aⓒ￢A￠´￠￥eA¡A " xfId="2532" xr:uid="{00000000-0005-0000-0000-0000F70D0000}"/>
    <cellStyle name="C¡ÍA¨ª_Ay¡ÆeC¡Í(2¢¯u) " xfId="2533" xr:uid="{00000000-0005-0000-0000-0000F80D0000}"/>
    <cellStyle name="C¡IA¨ª_ⓒo¡i￠?¨￡¡Æⓒ¡¨￢nAa " xfId="2534" xr:uid="{00000000-0005-0000-0000-0000F90D0000}"/>
    <cellStyle name="C¡ÍA¨ª_Co¢¥e¨ú¡À©ö¡ìA©¬A©ª " xfId="2535" xr:uid="{00000000-0005-0000-0000-0000FA0D0000}"/>
    <cellStyle name="C¡IA¨ª_Co￠￥e¨u¡Aⓒo¡iAⓒ￢Aⓒª " xfId="2536" xr:uid="{00000000-0005-0000-0000-0000FB0D0000}"/>
    <cellStyle name="C¡ÍA¨ª_CoAo©öyAI ¡ÆA¨ú¡¿¢¯¨Ï¨öA " xfId="2537" xr:uid="{00000000-0005-0000-0000-0000FC0D0000}"/>
    <cellStyle name="C¡IA¨ª_CoAoⓒoyAI ¡ÆA¨u¡¿￠?¨I¨oA " xfId="2538" xr:uid="{00000000-0005-0000-0000-0000FD0D0000}"/>
    <cellStyle name="C¡ÍA¨ª_p.mix " xfId="2539" xr:uid="{00000000-0005-0000-0000-0000FE0D0000}"/>
    <cellStyle name="C¡IA¨ª_p.mix _24통관" xfId="2540" xr:uid="{00000000-0005-0000-0000-0000FF0D0000}"/>
    <cellStyle name="C¡ÍA¨ª_p.mix _Book11" xfId="2541" xr:uid="{00000000-0005-0000-0000-0000000E0000}"/>
    <cellStyle name="C¡IA¨ª_Sheet1_￠?￥i¨u¡ACoEⓒ÷ " xfId="2542" xr:uid="{00000000-0005-0000-0000-0000010E0000}"/>
    <cellStyle name="C¡ÍA¨ª_Sheet1_¢¯¥ì¨ú¡ÀCoE©÷ " xfId="2543" xr:uid="{00000000-0005-0000-0000-0000020E0000}"/>
    <cellStyle name="C¡IA¨ª_Sheet1_0N-HANDLING " xfId="2544" xr:uid="{00000000-0005-0000-0000-0000030E0000}"/>
    <cellStyle name="C¡ÍA¨ª_Sheet1_0N-HANDLING " xfId="2545" xr:uid="{00000000-0005-0000-0000-0000040E0000}"/>
    <cellStyle name="C¡IA¨ª_Sheet1_0N-HANDLING _0201실적" xfId="2546" xr:uid="{00000000-0005-0000-0000-0000050E0000}"/>
    <cellStyle name="C¡ÍA¨ª_Sheet1_0N-HANDLING _Book11" xfId="2547" xr:uid="{00000000-0005-0000-0000-0000060E0000}"/>
    <cellStyle name="C¡IA¨ª_Sheet1_A¡AAO¡¾Y _0201실적" xfId="2548" xr:uid="{00000000-0005-0000-0000-0000070E0000}"/>
    <cellStyle name="C¡ÍA¨ª_Sheet1_A¡ÀAO¡¾Y _Book11" xfId="2549" xr:uid="{00000000-0005-0000-0000-0000080E0000}"/>
    <cellStyle name="C¡IA¨ª_SOON1 " xfId="2550" xr:uid="{00000000-0005-0000-0000-0000090E0000}"/>
    <cellStyle name="C¡ÍA¨ª_SOON1 " xfId="2551" xr:uid="{00000000-0005-0000-0000-00000A0E0000}"/>
    <cellStyle name="C¡IA¨ª_SOON1 _24통관" xfId="2552" xr:uid="{00000000-0005-0000-0000-00000B0E0000}"/>
    <cellStyle name="C¡ÍA¨ª_SOON1 _Book11" xfId="2553" xr:uid="{00000000-0005-0000-0000-00000C0E0000}"/>
    <cellStyle name="C￠RERERIA¡ERER￠RER¡ER¡E?￠RER¡ER￠R￠?￠RERI_¡ERER￠RER¡ER¡E?￠RERER?￠RERER￠RER¡ER￠R￠?ua3_p.mix " xfId="2554" xr:uid="{00000000-0005-0000-0000-00000D0E0000}"/>
    <cellStyle name="C￠RERIA¡ER￠R¡¿￠R¡×￠RI_¡ER￠R¡¿￠RER?￠RER￠R¡×ua3_p.mix " xfId="2555" xr:uid="{00000000-0005-0000-0000-00000E0E0000}"/>
    <cellStyle name="C￠RIA¡§¨￡_¡§￠R?￠R¨ua3_p.mix " xfId="2556" xr:uid="{00000000-0005-0000-0000-00000F0E0000}"/>
    <cellStyle name="C￥" xfId="4278" xr:uid="{00000000-0005-0000-0000-0000100E0000}"/>
    <cellStyle name="Ç¥" xfId="4279" xr:uid="{00000000-0005-0000-0000-0000110E0000}"/>
    <cellStyle name="C￥AØ_  FAB AIA¤  " xfId="2557" xr:uid="{00000000-0005-0000-0000-0000120E0000}"/>
    <cellStyle name="Ç¥ÁØ_´ëºñÇ¥" xfId="2558" xr:uid="{00000000-0005-0000-0000-0000130E0000}"/>
    <cellStyle name="C￥AØ_´eºnC￥ (2)_1_ºI´eAa°ø " xfId="2559" xr:uid="{00000000-0005-0000-0000-0000140E0000}"/>
    <cellStyle name="Ç¥ÁØ_´ëºñÇ¥ (2)_1_ºÎ´ëÅä°ø " xfId="2560" xr:uid="{00000000-0005-0000-0000-0000150E0000}"/>
    <cellStyle name="C￥AØ_´eºnC￥ (2)_ºI´eAa°ø " xfId="2561" xr:uid="{00000000-0005-0000-0000-0000160E0000}"/>
    <cellStyle name="Ç¥ÁØ_´ëºñÇ¥ (2)_ºÎ´ëÅä°ø " xfId="2562" xr:uid="{00000000-0005-0000-0000-0000170E0000}"/>
    <cellStyle name="C￥AØ_¸AAa¸AAa¿ø°¡ _0201실적" xfId="2563" xr:uid="{00000000-0005-0000-0000-0000180E0000}"/>
    <cellStyle name="Ç¥ÁØ_¸ÅÃâ¸ÅÃâ¿ø°¡ _Book11" xfId="2564" xr:uid="{00000000-0005-0000-0000-0000190E0000}"/>
    <cellStyle name="C￥AØ_¸AAa¾×(3)" xfId="2565" xr:uid="{00000000-0005-0000-0000-00001A0E0000}"/>
    <cellStyle name="Ç¥ÁØ_¸ðÇü¸·" xfId="4280" xr:uid="{00000000-0005-0000-0000-00001B0E0000}"/>
    <cellStyle name="C￥AØ_¿i≫eA¡ " xfId="2566" xr:uid="{00000000-0005-0000-0000-00001C0E0000}"/>
    <cellStyle name="Ç¥ÁØ_±â¾È¿ëÁö" xfId="2567" xr:uid="{00000000-0005-0000-0000-00001D0E0000}"/>
    <cellStyle name="C￥AØ_≫c¾÷ºIº° AN°e " xfId="2568" xr:uid="{00000000-0005-0000-0000-00001E0E0000}"/>
    <cellStyle name="Ç¥ÁØ_°¡¼³" xfId="4281" xr:uid="{00000000-0005-0000-0000-00001F0E0000}"/>
    <cellStyle name="C￥AØ_°eE¹3 _0201실적" xfId="2569" xr:uid="{00000000-0005-0000-0000-0000200E0000}"/>
    <cellStyle name="Ç¥ÁØ_°èÈ¹3 _Book11" xfId="2570" xr:uid="{00000000-0005-0000-0000-0000210E0000}"/>
    <cellStyle name="C￥AØ_0N-HANDLING _0201실적" xfId="2571" xr:uid="{00000000-0005-0000-0000-0000220E0000}"/>
    <cellStyle name="Ç¥ÁØ_0N-HANDLING _Book11" xfId="2572" xr:uid="{00000000-0005-0000-0000-0000230E0000}"/>
    <cellStyle name="C￥AØ_¼±AoAc°i_1_³≫ºI°eE¹´e AßA¤A÷AI " xfId="2573" xr:uid="{00000000-0005-0000-0000-0000240E0000}"/>
    <cellStyle name="Ç¥ÁØ_¼±ÅõÀç°í_³»ºÎ°èÈ¹´ë ÃßÁ¤Â÷ÀÌ " xfId="2574" xr:uid="{00000000-0005-0000-0000-0000250E0000}"/>
    <cellStyle name="C￥AØ_¼±AoAc°i_³≫ºI°eE¹´e AßA¤A÷AI " xfId="2575" xr:uid="{00000000-0005-0000-0000-0000260E0000}"/>
    <cellStyle name="Ç¥ÁØ_¼ÕÀÍ¹Î´ö _Book11" xfId="2576" xr:uid="{00000000-0005-0000-0000-0000270E0000}"/>
    <cellStyle name="C￥AØ_¼OAIA÷ (2)_1_³≫ºI°eE¹´e AßA¤A÷AI " xfId="2577" xr:uid="{00000000-0005-0000-0000-0000280E0000}"/>
    <cellStyle name="Ç¥ÁØ_¼ÕÀÍÂ÷ (2)_³»ºÎ°èÈ¹´ë ÃßÁ¤Â÷ÀÌ " xfId="2578" xr:uid="{00000000-0005-0000-0000-0000290E0000}"/>
    <cellStyle name="C￥AØ_¼OAIA÷ (2)_³≫ºI°eE¹´e AßA¤A÷AI " xfId="2579" xr:uid="{00000000-0005-0000-0000-00002A0E0000}"/>
    <cellStyle name="Ç¥ÁØ_½ÇÇà¿¹»ê¼­ " xfId="4282" xr:uid="{00000000-0005-0000-0000-00002B0E0000}"/>
    <cellStyle name="C￥AØ_¹≪¿ª°æºnAa " xfId="2580" xr:uid="{00000000-0005-0000-0000-00002C0E0000}"/>
    <cellStyle name="Ç¥ÁØ_2¿ù¸ÅÃâ " xfId="2581" xr:uid="{00000000-0005-0000-0000-00002D0E0000}"/>
    <cellStyle name="C￥AØ_2¿u¸AAa _0201실적" xfId="2582" xr:uid="{00000000-0005-0000-0000-00002E0E0000}"/>
    <cellStyle name="Ç¥ÁØ_2¿ù¸ÅÃâ _Book11" xfId="2583" xr:uid="{00000000-0005-0000-0000-00002F0E0000}"/>
    <cellStyle name="C￥AØ_³≫ºI°eE¹´e AßA¤A÷AI " xfId="2584" xr:uid="{00000000-0005-0000-0000-0000300E0000}"/>
    <cellStyle name="Ç¥ÁØ_5-1±¤°í " xfId="2585" xr:uid="{00000000-0005-0000-0000-0000310E0000}"/>
    <cellStyle name="C￥AØ_5-1±¤°i _°ø≫c2°u " xfId="2586" xr:uid="{00000000-0005-0000-0000-0000320E0000}"/>
    <cellStyle name="Ç¥ÁØ_5-1±¤°í _¹«¿ª10¿ù " xfId="2587" xr:uid="{00000000-0005-0000-0000-0000330E0000}"/>
    <cellStyle name="C￥AØ_5-1±¤°i _¹≪¿ª10¿u " xfId="2588" xr:uid="{00000000-0005-0000-0000-0000340E0000}"/>
    <cellStyle name="Ç¥ÁØ_5-1±¤°í _10월총괄LOAD" xfId="2589" xr:uid="{00000000-0005-0000-0000-0000350E0000}"/>
    <cellStyle name="C￥AØ_5-1±¤°i _6RCB1 " xfId="2590" xr:uid="{00000000-0005-0000-0000-0000360E0000}"/>
    <cellStyle name="Ç¥ÁØ_5-1±¤°í _관리비단가산출(도립미술관)_거푸집대비" xfId="2591" xr:uid="{00000000-0005-0000-0000-0000370E0000}"/>
    <cellStyle name="C￥AØ_5-1±¤°i _관리비단가산출(도립미술관)_실행당초대비" xfId="2592" xr:uid="{00000000-0005-0000-0000-0000380E0000}"/>
    <cellStyle name="Ç¥ÁØ_5-1±¤°í _관리비단가산출(도립미술관)_실행당초대비" xfId="2593" xr:uid="{00000000-0005-0000-0000-0000390E0000}"/>
    <cellStyle name="C￥AØ_5-1±¤°i _관리비단가산출(도립미술관)_예산승인(1-2회)" xfId="2594" xr:uid="{00000000-0005-0000-0000-00003A0E0000}"/>
    <cellStyle name="Ç¥ÁØ_5-1±¤°í _관리비단가산출(도립미술관)_예산승인(1-2회)" xfId="2595" xr:uid="{00000000-0005-0000-0000-00003B0E0000}"/>
    <cellStyle name="C￥AØ_5-1±¤°i _관리비단가산출(도립미술관)_유로폼대비" xfId="2596" xr:uid="{00000000-0005-0000-0000-00003C0E0000}"/>
    <cellStyle name="Ç¥ÁØ_5-1±¤°í _관리비단가산출(도립미술관)_유로폼대비" xfId="2597" xr:uid="{00000000-0005-0000-0000-00003D0E0000}"/>
    <cellStyle name="C￥AØ_5-1±¤°i _관리비단가산출(도립미술관)_초과승인" xfId="2598" xr:uid="{00000000-0005-0000-0000-00003E0E0000}"/>
    <cellStyle name="Ç¥ÁØ_5-1±¤°í _관리비단가산출(도립미술관)_초과승인" xfId="2599" xr:uid="{00000000-0005-0000-0000-00003F0E0000}"/>
    <cellStyle name="C￥AØ_5-1±¤°i _관리비단가산출(도립미술관)_초과현황" xfId="2600" xr:uid="{00000000-0005-0000-0000-0000400E0000}"/>
    <cellStyle name="Ç¥ÁØ_5-1±¤°í _관리비단가산출(도립미술관)_초과현황" xfId="2601" xr:uid="{00000000-0005-0000-0000-0000410E0000}"/>
    <cellStyle name="C￥AØ_5-1±¤°i _금속,창호" xfId="2602" xr:uid="{00000000-0005-0000-0000-0000420E0000}"/>
    <cellStyle name="Ç¥ÁØ_5-1±¤°í _방염산출" xfId="2603" xr:uid="{00000000-0005-0000-0000-0000430E0000}"/>
    <cellStyle name="C￥AØ_5-1±¤°i _선시공예산(도립미술관-4월6일)_030218-1차분변경계약(초안)" xfId="2604" xr:uid="{00000000-0005-0000-0000-0000440E0000}"/>
    <cellStyle name="Ç¥ÁØ_5-1±¤°í _선시공예산(도립미술관-4월6일)_030218-1차분변경계약(초안)" xfId="2605" xr:uid="{00000000-0005-0000-0000-0000450E0000}"/>
    <cellStyle name="C￥AØ_5-1±¤°i _선시공예산(도립미술관-4월6일)_1차분변경1회" xfId="2606" xr:uid="{00000000-0005-0000-0000-0000460E0000}"/>
    <cellStyle name="Ç¥ÁØ_5-1±¤°í _선시공예산(도립미술관-4월6일)_1차분변경1회" xfId="2607" xr:uid="{00000000-0005-0000-0000-0000470E0000}"/>
    <cellStyle name="C￥AØ_5-1±¤°i _선시공예산(도립미술관-4월6일)_1차분변경계약(1회)" xfId="2608" xr:uid="{00000000-0005-0000-0000-0000480E0000}"/>
    <cellStyle name="Ç¥ÁØ_5-1±¤°í _선시공예산(도립미술관-4월6일)_1차분변경계약(1회)" xfId="2609" xr:uid="{00000000-0005-0000-0000-0000490E0000}"/>
    <cellStyle name="C￥AØ_5-1±¤°i _선시공예산(도립미술관-4월6일)_1차분변경계약(초안)" xfId="2610" xr:uid="{00000000-0005-0000-0000-00004A0E0000}"/>
    <cellStyle name="Ç¥ÁØ_5-1±¤°í _선시공예산(도립미술관-4월6일)_1차분변경계약(초안)" xfId="2611" xr:uid="{00000000-0005-0000-0000-00004B0E0000}"/>
    <cellStyle name="C￥AØ_5-1±¤°i _선시공예산(도립미술관-4월6일)_거푸집대비" xfId="2612" xr:uid="{00000000-0005-0000-0000-00004C0E0000}"/>
    <cellStyle name="Ç¥ÁØ_5-1±¤°í _선시공예산(도립미술관-4월6일)_거푸집대비" xfId="2613" xr:uid="{00000000-0005-0000-0000-00004D0E0000}"/>
    <cellStyle name="C￥AØ_5-1±¤°i _선시공예산(도립미술관-4월6일)_변경1회(협의전)" xfId="2614" xr:uid="{00000000-0005-0000-0000-00004E0E0000}"/>
    <cellStyle name="Ç¥ÁØ_5-1±¤°í _선시공예산(도립미술관-4월6일)_변경1회(협의전)" xfId="2615" xr:uid="{00000000-0005-0000-0000-00004F0E0000}"/>
    <cellStyle name="C￥AØ_5-1±¤°i _선시공예산(도립미술관-4월6일)_변경1회(협의후)" xfId="2616" xr:uid="{00000000-0005-0000-0000-0000500E0000}"/>
    <cellStyle name="Ç¥ÁØ_5-1±¤°í _선시공예산(도립미술관-4월6일)_변경1회(협의후)" xfId="2617" xr:uid="{00000000-0005-0000-0000-0000510E0000}"/>
    <cellStyle name="C￥AØ_5-1±¤°i _선시공예산(도립미술관-4월6일)_실행당초대비" xfId="2618" xr:uid="{00000000-0005-0000-0000-0000520E0000}"/>
    <cellStyle name="Ç¥ÁØ_5-1±¤°í _선시공예산(도립미술관-4월6일)_실행당초대비" xfId="2619" xr:uid="{00000000-0005-0000-0000-0000530E0000}"/>
    <cellStyle name="C￥AØ_5-1±¤°i _선시공예산(도립미술관-4월6일)_예산승인(1-2회)" xfId="2620" xr:uid="{00000000-0005-0000-0000-0000540E0000}"/>
    <cellStyle name="Ç¥ÁØ_5-1±¤°í _선시공예산(도립미술관-4월6일)_예산승인(1-2회)" xfId="2621" xr:uid="{00000000-0005-0000-0000-0000550E0000}"/>
    <cellStyle name="C￥AØ_5-1±¤°i _선시공예산(도립미술관-4월6일)_유공관" xfId="2622" xr:uid="{00000000-0005-0000-0000-0000560E0000}"/>
    <cellStyle name="Ç¥ÁØ_5-1±¤°í _선시공예산(도립미술관-4월6일)_유공관" xfId="2623" xr:uid="{00000000-0005-0000-0000-0000570E0000}"/>
    <cellStyle name="C￥AØ_5-1±¤°i _선시공예산(도립미술관-4월6일)_유로폼대비" xfId="2624" xr:uid="{00000000-0005-0000-0000-0000580E0000}"/>
    <cellStyle name="Ç¥ÁØ_5-1±¤°í _선시공예산(도립미술관-4월6일)_유로폼대비" xfId="2625" xr:uid="{00000000-0005-0000-0000-0000590E0000}"/>
    <cellStyle name="C￥AØ_5-1±¤°i _선시공예산(도립미술관-4월6일)_잔토처리만비교" xfId="2626" xr:uid="{00000000-0005-0000-0000-00005A0E0000}"/>
    <cellStyle name="Ç¥ÁØ_5-1±¤°í _선시공예산(도립미술관-4월6일)_잔토처리만비교" xfId="2627" xr:uid="{00000000-0005-0000-0000-00005B0E0000}"/>
    <cellStyle name="C￥AØ_5-1±¤°i _선시공예산(도립미술관-4월6일)_잔토처리만비교2" xfId="2628" xr:uid="{00000000-0005-0000-0000-00005C0E0000}"/>
    <cellStyle name="Ç¥ÁØ_5-1±¤°í _선시공예산(도립미술관-4월6일)_잔토처리만비교2" xfId="2629" xr:uid="{00000000-0005-0000-0000-00005D0E0000}"/>
    <cellStyle name="C￥AØ_5-1±¤°i _선시공예산(도립미술관-4월6일)_초과승인" xfId="2630" xr:uid="{00000000-0005-0000-0000-00005E0E0000}"/>
    <cellStyle name="Ç¥ÁØ_5-1±¤°í _선시공예산(도립미술관-4월6일)_초과승인" xfId="2631" xr:uid="{00000000-0005-0000-0000-00005F0E0000}"/>
    <cellStyle name="C￥AØ_5-1±¤°i _선시공예산(도립미술관-4월6일)_토공비교" xfId="2632" xr:uid="{00000000-0005-0000-0000-0000600E0000}"/>
    <cellStyle name="Ç¥ÁØ_5-1±¤°í _선시공예산(도립미술관-4월6일)_토공비교" xfId="2633" xr:uid="{00000000-0005-0000-0000-0000610E0000}"/>
    <cellStyle name="C￥AØ_5-1±¤°i _선시공예산(도립미술관-4월6일)_토공비교유공관제외" xfId="2634" xr:uid="{00000000-0005-0000-0000-0000620E0000}"/>
    <cellStyle name="Ç¥ÁØ_5-1±¤°í _선시공예산(도립미술관-4월6일)_토공비교유공관제외" xfId="2635" xr:uid="{00000000-0005-0000-0000-0000630E0000}"/>
    <cellStyle name="C￥AØ_5-1±¤°i _설계변경확정-12" xfId="2636" xr:uid="{00000000-0005-0000-0000-0000640E0000}"/>
    <cellStyle name="Ç¥ÁØ_5-1±¤°í _수의계약사유서" xfId="2637" xr:uid="{00000000-0005-0000-0000-0000650E0000}"/>
    <cellStyle name="C￥AØ_A¸≫cºÐ_³≫ºI°eE¹´e AßA¤A÷AI " xfId="2638" xr:uid="{00000000-0005-0000-0000-0000660E0000}"/>
    <cellStyle name="Ç¥ÁØ_Â÷ÀÔ±Ý _Book11" xfId="2639" xr:uid="{00000000-0005-0000-0000-0000670E0000}"/>
    <cellStyle name="C￥AØ_A÷AO±Y ±¸A¶ _0201실적" xfId="2640" xr:uid="{00000000-0005-0000-0000-0000680E0000}"/>
    <cellStyle name="Ç¥ÁØ_Â÷ÀÔ±Ý ±¸Á¶ _Book11" xfId="2641" xr:uid="{00000000-0005-0000-0000-0000690E0000}"/>
    <cellStyle name="C￥AØ_A¶´Þ°eE¹ " xfId="2642" xr:uid="{00000000-0005-0000-0000-00006A0E0000}"/>
    <cellStyle name="Ç¥ÁØ_Á¶´Þ°èÈ¹ " xfId="2643" xr:uid="{00000000-0005-0000-0000-00006B0E0000}"/>
    <cellStyle name="C￥AØ_A¶´Þ°eE¹ _계획22" xfId="2644" xr:uid="{00000000-0005-0000-0000-00006C0E0000}"/>
    <cellStyle name="Ç¥ÁØ_Æ¯±â3_p.mix " xfId="2645" xr:uid="{00000000-0005-0000-0000-00006D0E0000}"/>
    <cellStyle name="C￥AØ_ÆAC￥Ao_°eE¹3 " xfId="2646" xr:uid="{00000000-0005-0000-0000-00006E0E0000}"/>
    <cellStyle name="Ç¥ÁØ_ÆÀÇ¥Áö_°èÈ¹3 " xfId="2647" xr:uid="{00000000-0005-0000-0000-00006F0E0000}"/>
    <cellStyle name="C￥AØ_ÆAC￥Ao_°eE¹3 _0201실적" xfId="2648" xr:uid="{00000000-0005-0000-0000-0000700E0000}"/>
    <cellStyle name="Ç¥ÁØ_ÆÀÇ¥Áö_°èÈ¹3 _Book11" xfId="2649" xr:uid="{00000000-0005-0000-0000-0000710E0000}"/>
    <cellStyle name="C￥AØ_AßA¤´eA÷ " xfId="2650" xr:uid="{00000000-0005-0000-0000-0000720E0000}"/>
    <cellStyle name="Ç¥ÁØ_ÃßÁ¤´ëÂ÷ " xfId="2651" xr:uid="{00000000-0005-0000-0000-0000730E0000}"/>
    <cellStyle name="C￥AØ_AßA¤´eA÷ _0201실적" xfId="2652" xr:uid="{00000000-0005-0000-0000-0000740E0000}"/>
    <cellStyle name="Ç¥ÁØ_ÃßÁ¤´ëÂ÷ _Book11" xfId="2653" xr:uid="{00000000-0005-0000-0000-0000750E0000}"/>
    <cellStyle name="C￥AØ_AU±Y_1_AßA¤´eA÷ " xfId="2654" xr:uid="{00000000-0005-0000-0000-0000760E0000}"/>
    <cellStyle name="Ç¥ÁØ_ÀÚ±Ý_1_ÃßÁ¤´ëÂ÷ " xfId="2655" xr:uid="{00000000-0005-0000-0000-0000770E0000}"/>
    <cellStyle name="C￥AØ_AU±Y_1_AßA¤´eA÷ _0201실적" xfId="2656" xr:uid="{00000000-0005-0000-0000-0000780E0000}"/>
    <cellStyle name="Ç¥ÁØ_ÀÚ±Ý_1_ÃßÁ¤´ëÂ÷ _Book11" xfId="2657" xr:uid="{00000000-0005-0000-0000-0000790E0000}"/>
    <cellStyle name="C￥AØ_AU±Y_AßA¤´eA÷ " xfId="2658" xr:uid="{00000000-0005-0000-0000-00007A0E0000}"/>
    <cellStyle name="Ç¥ÁØ_ÀÚ±Ý_ÃßÁ¤´ëÂ÷ " xfId="2659" xr:uid="{00000000-0005-0000-0000-00007B0E0000}"/>
    <cellStyle name="C￥AØ_AU±Y_AßA¤´eA÷ _0201실적" xfId="2660" xr:uid="{00000000-0005-0000-0000-00007C0E0000}"/>
    <cellStyle name="Ç¥ÁØ_ÀÚ±Ý_ÃßÁ¤´ëÂ÷ _Book11" xfId="2661" xr:uid="{00000000-0005-0000-0000-00007D0E0000}"/>
    <cellStyle name="C￥AØ_Ay°eC￥(2¿u) " xfId="2662" xr:uid="{00000000-0005-0000-0000-00007E0E0000}"/>
    <cellStyle name="Ç¥ÁØ_Áý°èÇ¥(2¿ù) " xfId="2663" xr:uid="{00000000-0005-0000-0000-00007F0E0000}"/>
    <cellStyle name="C￥AØ_Ay°eC￥(2¿u) _0201실적" xfId="2664" xr:uid="{00000000-0005-0000-0000-0000800E0000}"/>
    <cellStyle name="Ç¥ÁØ_Áý°èÇ¥(2¿ù) _엑셀 - 이름충돌 해결" xfId="2665" xr:uid="{00000000-0005-0000-0000-0000810E0000}"/>
    <cellStyle name="C￥AØ_Co´e¾÷¹≪AßAø " xfId="2666" xr:uid="{00000000-0005-0000-0000-0000820E0000}"/>
    <cellStyle name="Ç¥ÁØ_ÇöÁö¹ýÀÎ °Å¾×¿©½Å " xfId="2667" xr:uid="{00000000-0005-0000-0000-0000830E0000}"/>
    <cellStyle name="C￥AØ_CoAo¹yAI °A¾×¿ⓒ½A " xfId="2668" xr:uid="{00000000-0005-0000-0000-0000840E0000}"/>
    <cellStyle name="Ç¥ÁØ_ºÎ´ëÅä°ø " xfId="2669" xr:uid="{00000000-0005-0000-0000-0000850E0000}"/>
    <cellStyle name="C￥AØ_ºIAøºI¹R(Æ?ÆC) (1¿u)_1_¹≪¿ª10¿u " xfId="2670" xr:uid="{00000000-0005-0000-0000-0000860E0000}"/>
    <cellStyle name="Ç¥ÁØ_p.mix " xfId="2671" xr:uid="{00000000-0005-0000-0000-0000870E0000}"/>
    <cellStyle name="C￥AØ_p.mix _0201실적" xfId="2672" xr:uid="{00000000-0005-0000-0000-0000880E0000}"/>
    <cellStyle name="Ç¥ÁØ_p.mix _Book11" xfId="2673" xr:uid="{00000000-0005-0000-0000-0000890E0000}"/>
    <cellStyle name="C￥AØ_PL¿μ¾÷ " xfId="2674" xr:uid="{00000000-0005-0000-0000-00008A0E0000}"/>
    <cellStyle name="Ç¥ÁØ_RESULTS" xfId="2675" xr:uid="{00000000-0005-0000-0000-00008B0E0000}"/>
    <cellStyle name="C￥AØ_Sheet1_¿μ¾÷CoE² " xfId="2676" xr:uid="{00000000-0005-0000-0000-00008C0E0000}"/>
    <cellStyle name="Ç¥ÁØ_Sheet1_0N-HANDLING " xfId="2677" xr:uid="{00000000-0005-0000-0000-00008D0E0000}"/>
    <cellStyle name="C￥AØ_Sheet1_0N-HANDLING _0201실적" xfId="2678" xr:uid="{00000000-0005-0000-0000-00008E0E0000}"/>
    <cellStyle name="Ç¥ÁØ_Sheet1_0N-HANDLING _Book11" xfId="2679" xr:uid="{00000000-0005-0000-0000-00008F0E0000}"/>
    <cellStyle name="C￥AØ_Sheet1_A÷AO±Y _0201실적" xfId="2680" xr:uid="{00000000-0005-0000-0000-0000900E0000}"/>
    <cellStyle name="Ç¥ÁØ_Sheet1_Â÷ÀÔ±Ý _Book11" xfId="2681" xr:uid="{00000000-0005-0000-0000-0000910E0000}"/>
    <cellStyle name="C￥AØ_Sheet1_Ay°eC￥(2¿u) " xfId="2682" xr:uid="{00000000-0005-0000-0000-0000920E0000}"/>
    <cellStyle name="Ç¥ÁØ_Sheet1_Áý°èÇ¥(2¿ù) " xfId="2683" xr:uid="{00000000-0005-0000-0000-0000930E0000}"/>
    <cellStyle name="C￥AØ_Sheet1_Ay°eC￥(2¿u) _0201실적" xfId="2684" xr:uid="{00000000-0005-0000-0000-0000940E0000}"/>
    <cellStyle name="Ç¥ÁØ_Sheet1_Áý°èÇ¥(2¿ù) _Book11" xfId="2685" xr:uid="{00000000-0005-0000-0000-0000950E0000}"/>
    <cellStyle name="C￥AØ_SOON1 " xfId="2686" xr:uid="{00000000-0005-0000-0000-0000960E0000}"/>
    <cellStyle name="Ç¥ÁØ_SOON1 _¹«¿ª10¿ù " xfId="2687" xr:uid="{00000000-0005-0000-0000-0000970E0000}"/>
    <cellStyle name="C￥AØ_SOON1 _¹≪¿ª10¿u " xfId="2688" xr:uid="{00000000-0005-0000-0000-0000980E0000}"/>
    <cellStyle name="Ç¥ÁØ_SOON1 _Book11" xfId="2689" xr:uid="{00000000-0005-0000-0000-0000990E0000}"/>
    <cellStyle name="Calc Currency (0)" xfId="2690" xr:uid="{00000000-0005-0000-0000-00009A0E0000}"/>
    <cellStyle name="Calc Currency (2)" xfId="2691" xr:uid="{00000000-0005-0000-0000-00009B0E0000}"/>
    <cellStyle name="Calc Percent (0)" xfId="2692" xr:uid="{00000000-0005-0000-0000-00009C0E0000}"/>
    <cellStyle name="Calc Percent (1)" xfId="2693" xr:uid="{00000000-0005-0000-0000-00009D0E0000}"/>
    <cellStyle name="Calc Percent (2)" xfId="2694" xr:uid="{00000000-0005-0000-0000-00009E0E0000}"/>
    <cellStyle name="Calc Units (0)" xfId="2695" xr:uid="{00000000-0005-0000-0000-00009F0E0000}"/>
    <cellStyle name="Calc Units (1)" xfId="2696" xr:uid="{00000000-0005-0000-0000-0000A00E0000}"/>
    <cellStyle name="Calc Units (2)" xfId="2697" xr:uid="{00000000-0005-0000-0000-0000A10E0000}"/>
    <cellStyle name="category" xfId="2698" xr:uid="{00000000-0005-0000-0000-0000A20E0000}"/>
    <cellStyle name="CIAI￠RERERER¡ERERER￠RERER￠RERE?¡ERERERERU￠RERERERE￠RERERER¡ERER￠RER¡ER¡E?I￠RERER￠RER¡ER￠R￠?I￠RERERERIiA￠RERERER¡ERERER￠RERER￠RERE?I" xfId="2699" xr:uid="{00000000-0005-0000-0000-0000A30E0000}"/>
    <cellStyle name="CIAIÆU¸μAⓒ" xfId="2700" xr:uid="{00000000-0005-0000-0000-0000A40E0000}"/>
    <cellStyle name="ⓒoe" xfId="4283" xr:uid="{00000000-0005-0000-0000-0000A50E0000}"/>
    <cellStyle name="Comma" xfId="2701" xr:uid="{00000000-0005-0000-0000-0000A60E0000}"/>
    <cellStyle name="Comma  - Style2" xfId="2702" xr:uid="{00000000-0005-0000-0000-0000A70E0000}"/>
    <cellStyle name="Comma  - Style3" xfId="2703" xr:uid="{00000000-0005-0000-0000-0000A80E0000}"/>
    <cellStyle name="Comma  - Style4" xfId="2704" xr:uid="{00000000-0005-0000-0000-0000A90E0000}"/>
    <cellStyle name="Comma  - Style5" xfId="2705" xr:uid="{00000000-0005-0000-0000-0000AA0E0000}"/>
    <cellStyle name="Comma  - Style6" xfId="2706" xr:uid="{00000000-0005-0000-0000-0000AB0E0000}"/>
    <cellStyle name="Comma  - Style7" xfId="2707" xr:uid="{00000000-0005-0000-0000-0000AC0E0000}"/>
    <cellStyle name="Comma  - Style8" xfId="2708" xr:uid="{00000000-0005-0000-0000-0000AD0E0000}"/>
    <cellStyle name="Comma [0]" xfId="2709" xr:uid="{00000000-0005-0000-0000-0000AE0E0000}"/>
    <cellStyle name="Comma [00]" xfId="2710" xr:uid="{00000000-0005-0000-0000-0000AF0E0000}"/>
    <cellStyle name="comma zerodec" xfId="2711" xr:uid="{00000000-0005-0000-0000-0000B00E0000}"/>
    <cellStyle name="Comma_ SG&amp;A Bridge " xfId="2712" xr:uid="{00000000-0005-0000-0000-0000B10E0000}"/>
    <cellStyle name="Comma0" xfId="2713" xr:uid="{00000000-0005-0000-0000-0000B20E0000}"/>
    <cellStyle name="Copied" xfId="2714" xr:uid="{00000000-0005-0000-0000-0000B30E0000}"/>
    <cellStyle name="Curr?ncy_Sheet1_Q2_3월 실적 " xfId="2716" xr:uid="{00000000-0005-0000-0000-0000B40E0000}"/>
    <cellStyle name="Curren" xfId="2717" xr:uid="{00000000-0005-0000-0000-0000B50E0000}"/>
    <cellStyle name="Curren?_x0012_퐀_x0017_?" xfId="2718" xr:uid="{00000000-0005-0000-0000-0000B60E0000}"/>
    <cellStyle name="Currency" xfId="2719" xr:uid="{00000000-0005-0000-0000-0000B70E0000}"/>
    <cellStyle name="Currency [0]" xfId="2720" xr:uid="{00000000-0005-0000-0000-0000B80E0000}"/>
    <cellStyle name="Currency [0] 2" xfId="2721" xr:uid="{00000000-0005-0000-0000-0000B90E0000}"/>
    <cellStyle name="Currency [00]" xfId="2722" xr:uid="{00000000-0005-0000-0000-0000BA0E0000}"/>
    <cellStyle name="Currency_ 청평댐우안석축보수(간이)공사" xfId="2723" xr:uid="{00000000-0005-0000-0000-0000BB0E0000}"/>
    <cellStyle name="Currency0" xfId="2724" xr:uid="{00000000-0005-0000-0000-0000BC0E0000}"/>
    <cellStyle name="Currency1" xfId="2725" xr:uid="{00000000-0005-0000-0000-0000BD0E0000}"/>
    <cellStyle name="Curr㩠ncy_Sheet1_Q2_3월 실적 " xfId="2726" xr:uid="{00000000-0005-0000-0000-0000BE0E0000}"/>
    <cellStyle name="Cu볤rency_ SG&amp;A Bridge _함정0625" xfId="2715" xr:uid="{00000000-0005-0000-0000-0000BF0E0000}"/>
    <cellStyle name="Date" xfId="2727" xr:uid="{00000000-0005-0000-0000-0000C00E0000}"/>
    <cellStyle name="Date Short" xfId="2728" xr:uid="{00000000-0005-0000-0000-0000C10E0000}"/>
    <cellStyle name="Date_(주)울산물류창고 실행예산 061205" xfId="2729" xr:uid="{00000000-0005-0000-0000-0000C20E0000}"/>
    <cellStyle name="DELTA" xfId="2730" xr:uid="{00000000-0005-0000-0000-0000C30E0000}"/>
    <cellStyle name="Dezimal [0]_Compiling Utility Macros" xfId="2731" xr:uid="{00000000-0005-0000-0000-0000C40E0000}"/>
    <cellStyle name="Dezimal_Compiling Utility Macros" xfId="2732" xr:uid="{00000000-0005-0000-0000-0000C50E0000}"/>
    <cellStyle name="Dollar (zero dec)" xfId="2733" xr:uid="{00000000-0005-0000-0000-0000C60E0000}"/>
    <cellStyle name="EA" xfId="2734" xr:uid="{00000000-0005-0000-0000-0000C70E0000}"/>
    <cellStyle name="Enter Currency (0)" xfId="2735" xr:uid="{00000000-0005-0000-0000-0000C80E0000}"/>
    <cellStyle name="Enter Currency (2)" xfId="2736" xr:uid="{00000000-0005-0000-0000-0000C90E0000}"/>
    <cellStyle name="Enter Units (0)" xfId="2737" xr:uid="{00000000-0005-0000-0000-0000CA0E0000}"/>
    <cellStyle name="Enter Units (1)" xfId="2738" xr:uid="{00000000-0005-0000-0000-0000CB0E0000}"/>
    <cellStyle name="Enter Units (2)" xfId="2739" xr:uid="{00000000-0005-0000-0000-0000CC0E0000}"/>
    <cellStyle name="Entered" xfId="2740" xr:uid="{00000000-0005-0000-0000-0000CD0E0000}"/>
    <cellStyle name="Euro" xfId="2741" xr:uid="{00000000-0005-0000-0000-0000CE0E0000}"/>
    <cellStyle name="F2" xfId="2742" xr:uid="{00000000-0005-0000-0000-0000CF0E0000}"/>
    <cellStyle name="F3" xfId="2743" xr:uid="{00000000-0005-0000-0000-0000D00E0000}"/>
    <cellStyle name="F4" xfId="2744" xr:uid="{00000000-0005-0000-0000-0000D10E0000}"/>
    <cellStyle name="F5" xfId="2745" xr:uid="{00000000-0005-0000-0000-0000D20E0000}"/>
    <cellStyle name="F6" xfId="2746" xr:uid="{00000000-0005-0000-0000-0000D30E0000}"/>
    <cellStyle name="F7" xfId="2747" xr:uid="{00000000-0005-0000-0000-0000D40E0000}"/>
    <cellStyle name="F8" xfId="2748" xr:uid="{00000000-0005-0000-0000-0000D50E0000}"/>
    <cellStyle name="Fixed" xfId="2749" xr:uid="{00000000-0005-0000-0000-0000D60E0000}"/>
    <cellStyle name="Followed Hyperlink" xfId="2750" xr:uid="{00000000-0005-0000-0000-0000D70E0000}"/>
    <cellStyle name="G10" xfId="2751" xr:uid="{00000000-0005-0000-0000-0000D80E0000}"/>
    <cellStyle name="Grey" xfId="2752" xr:uid="{00000000-0005-0000-0000-0000D90E0000}"/>
    <cellStyle name="H1" xfId="2753" xr:uid="{00000000-0005-0000-0000-0000DA0E0000}"/>
    <cellStyle name="H2" xfId="2754" xr:uid="{00000000-0005-0000-0000-0000DB0E0000}"/>
    <cellStyle name="HEADER" xfId="2755" xr:uid="{00000000-0005-0000-0000-0000DC0E0000}"/>
    <cellStyle name="Header1" xfId="2756" xr:uid="{00000000-0005-0000-0000-0000DD0E0000}"/>
    <cellStyle name="Header2" xfId="2757" xr:uid="{00000000-0005-0000-0000-0000DE0E0000}"/>
    <cellStyle name="Heading 1" xfId="2758" xr:uid="{00000000-0005-0000-0000-0000DF0E0000}"/>
    <cellStyle name="Heading 2" xfId="2759" xr:uid="{00000000-0005-0000-0000-0000E00E0000}"/>
    <cellStyle name="Heading1" xfId="2760" xr:uid="{00000000-0005-0000-0000-0000E10E0000}"/>
    <cellStyle name="Heading2" xfId="2761" xr:uid="{00000000-0005-0000-0000-0000E20E0000}"/>
    <cellStyle name="HEADINGS" xfId="2762" xr:uid="{00000000-0005-0000-0000-0000E30E0000}"/>
    <cellStyle name="HEADINGSTOP" xfId="2763" xr:uid="{00000000-0005-0000-0000-0000E40E0000}"/>
    <cellStyle name="Hyperlink" xfId="2764" xr:uid="{00000000-0005-0000-0000-0000E50E0000}"/>
    <cellStyle name="Input [yellow]" xfId="2765" xr:uid="{00000000-0005-0000-0000-0000E60E0000}"/>
    <cellStyle name="jin" xfId="2766" xr:uid="{00000000-0005-0000-0000-0000E70E0000}"/>
    <cellStyle name="KAGE" xfId="2767" xr:uid="{00000000-0005-0000-0000-0000E80E0000}"/>
    <cellStyle name="L`" xfId="2768" xr:uid="{00000000-0005-0000-0000-0000E90E0000}"/>
    <cellStyle name="left" xfId="2769" xr:uid="{00000000-0005-0000-0000-0000EA0E0000}"/>
    <cellStyle name="Link Currency (0)" xfId="2770" xr:uid="{00000000-0005-0000-0000-0000EB0E0000}"/>
    <cellStyle name="Link Currency (2)" xfId="2771" xr:uid="{00000000-0005-0000-0000-0000EC0E0000}"/>
    <cellStyle name="Link Units (0)" xfId="2772" xr:uid="{00000000-0005-0000-0000-0000ED0E0000}"/>
    <cellStyle name="Link Units (1)" xfId="2773" xr:uid="{00000000-0005-0000-0000-0000EE0E0000}"/>
    <cellStyle name="Link Units (2)" xfId="2774" xr:uid="{00000000-0005-0000-0000-0000EF0E0000}"/>
    <cellStyle name="Milliers [0]_Arabian Spec" xfId="2775" xr:uid="{00000000-0005-0000-0000-0000F00E0000}"/>
    <cellStyle name="Milliers_Arabian Spec" xfId="2776" xr:uid="{00000000-0005-0000-0000-0000F10E0000}"/>
    <cellStyle name="mma_CASH &amp; DSO" xfId="2777" xr:uid="{00000000-0005-0000-0000-0000F20E0000}"/>
    <cellStyle name="Model" xfId="2778" xr:uid="{00000000-0005-0000-0000-0000F30E0000}"/>
    <cellStyle name="Mon?aire [0]_Arabian Spec" xfId="2779" xr:uid="{00000000-0005-0000-0000-0000F40E0000}"/>
    <cellStyle name="Mon?aire_Arabian Spec" xfId="2780" xr:uid="{00000000-0005-0000-0000-0000F50E0000}"/>
    <cellStyle name="Monétaire [0]_RESULTS" xfId="2781" xr:uid="{00000000-0005-0000-0000-0000F60E0000}"/>
    <cellStyle name="Monétaire_RESULTS" xfId="2782" xr:uid="{00000000-0005-0000-0000-0000F70E0000}"/>
    <cellStyle name="no dec" xfId="2783" xr:uid="{00000000-0005-0000-0000-0000F80E0000}"/>
    <cellStyle name="Norma`" xfId="2784" xr:uid="{00000000-0005-0000-0000-0000F90E0000}"/>
    <cellStyle name="normal" xfId="2785" xr:uid="{00000000-0005-0000-0000-0000FA0E0000}"/>
    <cellStyle name="Normal - Style1" xfId="2787" xr:uid="{00000000-0005-0000-0000-0000FB0E0000}"/>
    <cellStyle name="Normal - Style2" xfId="2788" xr:uid="{00000000-0005-0000-0000-0000FC0E0000}"/>
    <cellStyle name="Normal - Style3" xfId="2789" xr:uid="{00000000-0005-0000-0000-0000FD0E0000}"/>
    <cellStyle name="Normal - Style4" xfId="2790" xr:uid="{00000000-0005-0000-0000-0000FE0E0000}"/>
    <cellStyle name="Normal - Style5" xfId="2791" xr:uid="{00000000-0005-0000-0000-0000FF0E0000}"/>
    <cellStyle name="Normal - Style6" xfId="2792" xr:uid="{00000000-0005-0000-0000-0000000F0000}"/>
    <cellStyle name="Normal - Style7" xfId="2793" xr:uid="{00000000-0005-0000-0000-0000010F0000}"/>
    <cellStyle name="Normal - Style8" xfId="2794" xr:uid="{00000000-0005-0000-0000-0000020F0000}"/>
    <cellStyle name="Normal - 유형1" xfId="2786" xr:uid="{00000000-0005-0000-0000-0000030F0000}"/>
    <cellStyle name="Normal_ SG&amp;A Bridge " xfId="2795" xr:uid="{00000000-0005-0000-0000-0000040F0000}"/>
    <cellStyle name="N䁯rmal_MCOE Summary (5)_98선급금" xfId="4284" xr:uid="{00000000-0005-0000-0000-0000050F0000}"/>
    <cellStyle name="Œ…?æ맖?e [0.00]_guyan" xfId="4285" xr:uid="{00000000-0005-0000-0000-0000060F0000}"/>
    <cellStyle name="Œ…?æ맖?e_guyan" xfId="4286" xr:uid="{00000000-0005-0000-0000-0000070F0000}"/>
    <cellStyle name="oft Excel]_x000d__x000a_Comment=The open=/f lines load custom functions into the Paste Function list._x000d__x000a_Maximized=1_x000d__x000a_AutoFormat=" xfId="2796" xr:uid="{00000000-0005-0000-0000-0000080F0000}"/>
    <cellStyle name="omma [0]_Mktg Prog" xfId="2797" xr:uid="{00000000-0005-0000-0000-0000090F0000}"/>
    <cellStyle name="ormal_Sheet1_1" xfId="2798" xr:uid="{00000000-0005-0000-0000-00000A0F0000}"/>
    <cellStyle name="P" xfId="2799" xr:uid="{00000000-0005-0000-0000-00000B0F0000}"/>
    <cellStyle name="per.style" xfId="2800" xr:uid="{00000000-0005-0000-0000-00000C0F0000}"/>
    <cellStyle name="Percent" xfId="2801" xr:uid="{00000000-0005-0000-0000-00000D0F0000}"/>
    <cellStyle name="Percent (0)" xfId="2802" xr:uid="{00000000-0005-0000-0000-00000E0F0000}"/>
    <cellStyle name="Percent [0]" xfId="2803" xr:uid="{00000000-0005-0000-0000-00000F0F0000}"/>
    <cellStyle name="Percent [00]" xfId="2804" xr:uid="{00000000-0005-0000-0000-0000100F0000}"/>
    <cellStyle name="Percent [2]" xfId="2805" xr:uid="{00000000-0005-0000-0000-0000110F0000}"/>
    <cellStyle name="Percent_#6 Temps &amp; Contractors" xfId="2806" xr:uid="{00000000-0005-0000-0000-0000120F0000}"/>
    <cellStyle name="PrePop Currency (0)" xfId="2807" xr:uid="{00000000-0005-0000-0000-0000130F0000}"/>
    <cellStyle name="PrePop Currency (2)" xfId="2808" xr:uid="{00000000-0005-0000-0000-0000140F0000}"/>
    <cellStyle name="PrePop Units (0)" xfId="2809" xr:uid="{00000000-0005-0000-0000-0000150F0000}"/>
    <cellStyle name="PrePop Units (1)" xfId="2810" xr:uid="{00000000-0005-0000-0000-0000160F0000}"/>
    <cellStyle name="PrePop Units (2)" xfId="2811" xr:uid="{00000000-0005-0000-0000-0000170F0000}"/>
    <cellStyle name="regstoresfromspecstores" xfId="2812" xr:uid="{00000000-0005-0000-0000-0000180F0000}"/>
    <cellStyle name="RevList" xfId="2813" xr:uid="{00000000-0005-0000-0000-0000190F0000}"/>
    <cellStyle name="setup" xfId="2814" xr:uid="{00000000-0005-0000-0000-00001A0F0000}"/>
    <cellStyle name="SHADEDSTORES" xfId="2815" xr:uid="{00000000-0005-0000-0000-00001B0F0000}"/>
    <cellStyle name="specstores" xfId="2816" xr:uid="{00000000-0005-0000-0000-00001C0F0000}"/>
    <cellStyle name="SS" xfId="4287" xr:uid="{00000000-0005-0000-0000-00001D0F0000}"/>
    <cellStyle name="STANDARD" xfId="2817" xr:uid="{00000000-0005-0000-0000-00001E0F0000}"/>
    <cellStyle name="subhead" xfId="2818" xr:uid="{00000000-0005-0000-0000-00001F0F0000}"/>
    <cellStyle name="Subtotal" xfId="2819" xr:uid="{00000000-0005-0000-0000-0000200F0000}"/>
    <cellStyle name="Text Indent A" xfId="2820" xr:uid="{00000000-0005-0000-0000-0000210F0000}"/>
    <cellStyle name="Text Indent B" xfId="2821" xr:uid="{00000000-0005-0000-0000-0000220F0000}"/>
    <cellStyle name="Text Indent C" xfId="2822" xr:uid="{00000000-0005-0000-0000-0000230F0000}"/>
    <cellStyle name="Title" xfId="4288" xr:uid="{00000000-0005-0000-0000-0000240F0000}"/>
    <cellStyle name="title [1]" xfId="2823" xr:uid="{00000000-0005-0000-0000-0000250F0000}"/>
    <cellStyle name="title [2]" xfId="2824" xr:uid="{00000000-0005-0000-0000-0000260F0000}"/>
    <cellStyle name="Total" xfId="2825" xr:uid="{00000000-0005-0000-0000-0000270F0000}"/>
    <cellStyle name="Ǖ" xfId="2826" xr:uid="{00000000-0005-0000-0000-0000280F0000}"/>
    <cellStyle name="UM" xfId="2827" xr:uid="{00000000-0005-0000-0000-0000290F0000}"/>
    <cellStyle name="W?rung [0]_Compiling Utility Macros" xfId="2828" xr:uid="{00000000-0005-0000-0000-00002A0F0000}"/>
    <cellStyle name="W?rung_Compiling Utility Macros" xfId="2829" xr:uid="{00000000-0005-0000-0000-00002B0F0000}"/>
    <cellStyle name="wrap" xfId="2830" xr:uid="{00000000-0005-0000-0000-00002C0F0000}"/>
    <cellStyle name="_x0008_z" xfId="4289" xr:uid="{00000000-0005-0000-0000-00002D0F0000}"/>
    <cellStyle name="δE_추가하도공사비내역서-남양전기(정산)" xfId="2831" xr:uid="{00000000-0005-0000-0000-00002E0F0000}"/>
    <cellStyle name="μU¿¡ ¿A´A CIAIÆU¸μAⓒ" xfId="2832" xr:uid="{00000000-0005-0000-0000-00002F0F0000}"/>
    <cellStyle name="ος1" xfId="2833" xr:uid="{00000000-0005-0000-0000-0000300F0000}"/>
    <cellStyle name="ЗҐБШ_ЅЗАыБэ°и" xfId="2834" xr:uid="{00000000-0005-0000-0000-0000310F0000}"/>
    <cellStyle name="|?ドE" xfId="1322" xr:uid="{00000000-0005-0000-0000-0000320F0000}"/>
    <cellStyle name="넠쏛럊⃕䍐㕌" xfId="1323" xr:uid="{00000000-0005-0000-0000-0000330F0000}"/>
    <cellStyle name="견적" xfId="947" xr:uid="{00000000-0005-0000-0000-0000340F0000}"/>
    <cellStyle name="고정소숫점" xfId="948" xr:uid="{00000000-0005-0000-0000-0000350F0000}"/>
    <cellStyle name="고정출력1" xfId="949" xr:uid="{00000000-0005-0000-0000-0000360F0000}"/>
    <cellStyle name="고정출력2" xfId="950" xr:uid="{00000000-0005-0000-0000-0000370F0000}"/>
    <cellStyle name="공사원가계산서(조경)" xfId="951" xr:uid="{00000000-0005-0000-0000-0000380F0000}"/>
    <cellStyle name="공정제목" xfId="952" xr:uid="{00000000-0005-0000-0000-0000390F0000}"/>
    <cellStyle name="규격" xfId="953" xr:uid="{00000000-0005-0000-0000-00003A0F0000}"/>
    <cellStyle name="글초롱 PCL5" xfId="954" xr:uid="{00000000-0005-0000-0000-00003B0F0000}"/>
    <cellStyle name="금액" xfId="955" xr:uid="{00000000-0005-0000-0000-00003C0F0000}"/>
    <cellStyle name="기계" xfId="956" xr:uid="{00000000-0005-0000-0000-00003D0F0000}"/>
    <cellStyle name="기본숫자" xfId="4244" xr:uid="{00000000-0005-0000-0000-00003E0F0000}"/>
    <cellStyle name="끼_x0001_?" xfId="957" xr:uid="{00000000-0005-0000-0000-00003F0F0000}"/>
    <cellStyle name="날짜" xfId="958" xr:uid="{00000000-0005-0000-0000-0000400F0000}"/>
    <cellStyle name="날짜 2" xfId="959" xr:uid="{00000000-0005-0000-0000-0000410F0000}"/>
    <cellStyle name="내역서" xfId="960" xr:uid="{00000000-0005-0000-0000-0000420F0000}"/>
    <cellStyle name="단가" xfId="4245" xr:uid="{00000000-0005-0000-0000-0000430F0000}"/>
    <cellStyle name="단위" xfId="961" xr:uid="{00000000-0005-0000-0000-0000440F0000}"/>
    <cellStyle name="달러" xfId="962" xr:uid="{00000000-0005-0000-0000-0000450F0000}"/>
    <cellStyle name="대기" xfId="963" xr:uid="{00000000-0005-0000-0000-0000460F0000}"/>
    <cellStyle name="뒤에 오는 하이퍼링크" xfId="964" xr:uid="{00000000-0005-0000-0000-0000470F0000}"/>
    <cellStyle name="똿떋??￠RER맊?￠R¡¿￠R¡×￠RI괻 [0.00]_PRODUCT DETAIL Q1" xfId="965" xr:uid="{00000000-0005-0000-0000-0000480F0000}"/>
    <cellStyle name="똿떋??￠RER맊?￠R¡¿￠R¡×￠RI괻_PRODUCT DETAIL Q1" xfId="966" xr:uid="{00000000-0005-0000-0000-0000490F0000}"/>
    <cellStyle name="똿떓죶Ø괻 [0.00]_PRODUCT DETAIL Q1" xfId="967" xr:uid="{00000000-0005-0000-0000-00004A0F0000}"/>
    <cellStyle name="똿떓죶Ø괻_PRODUCT DETAIL Q1" xfId="968" xr:uid="{00000000-0005-0000-0000-00004B0F0000}"/>
    <cellStyle name="똿뗦먛귟 [0.00]_laroux" xfId="969" xr:uid="{00000000-0005-0000-0000-00004C0F0000}"/>
    <cellStyle name="똿뗦먛귟_laroux" xfId="970" xr:uid="{00000000-0005-0000-0000-00004D0F0000}"/>
    <cellStyle name="묮뎋 [0.00]_PRODUCT DETAIL Q1" xfId="971" xr:uid="{00000000-0005-0000-0000-00004E0F0000}"/>
    <cellStyle name="묮뎋_PRODUCT DETAIL Q1" xfId="972" xr:uid="{00000000-0005-0000-0000-00004F0F0000}"/>
    <cellStyle name="물량집계(갑)" xfId="4246" xr:uid="{00000000-0005-0000-0000-0000500F0000}"/>
    <cellStyle name="믅됞 [0.00]_laroux" xfId="973" xr:uid="{00000000-0005-0000-0000-0000510F0000}"/>
    <cellStyle name="믅됞_laroux" xfId="974" xr:uid="{00000000-0005-0000-0000-0000520F0000}"/>
    <cellStyle name="바깥" xfId="975" xr:uid="{00000000-0005-0000-0000-0000530F0000}"/>
    <cellStyle name="배분" xfId="4247" xr:uid="{00000000-0005-0000-0000-0000540F0000}"/>
    <cellStyle name="백분율 [△1]" xfId="4248" xr:uid="{00000000-0005-0000-0000-0000550F0000}"/>
    <cellStyle name="백분율 [△2]" xfId="4249" xr:uid="{00000000-0005-0000-0000-0000560F0000}"/>
    <cellStyle name="백분율 [0]" xfId="976" xr:uid="{00000000-0005-0000-0000-0000570F0000}"/>
    <cellStyle name="백분율 [2]" xfId="977" xr:uid="{00000000-0005-0000-0000-0000580F0000}"/>
    <cellStyle name="백분율 2" xfId="3" xr:uid="{00000000-0005-0000-0000-0000590F0000}"/>
    <cellStyle name="백분율［△1］" xfId="4250" xr:uid="{00000000-0005-0000-0000-00005A0F0000}"/>
    <cellStyle name="백분율［△2］" xfId="4251" xr:uid="{00000000-0005-0000-0000-00005B0F0000}"/>
    <cellStyle name="捠壿 [0.00]_PRODUCT DETAIL Q1" xfId="1317" xr:uid="{00000000-0005-0000-0000-00005C0F0000}"/>
    <cellStyle name="捠壿_PRODUCT DETAIL Q1" xfId="1318" xr:uid="{00000000-0005-0000-0000-00005D0F0000}"/>
    <cellStyle name="분수" xfId="978" xr:uid="{00000000-0005-0000-0000-00005E0F0000}"/>
    <cellStyle name="뷭?" xfId="979" xr:uid="{00000000-0005-0000-0000-00005F0F0000}"/>
    <cellStyle name="사용자정의" xfId="980" xr:uid="{00000000-0005-0000-0000-0000600F0000}"/>
    <cellStyle name="常规_14분기" xfId="981" xr:uid="{00000000-0005-0000-0000-0000610F0000}"/>
    <cellStyle name="선택영역의 가운데로" xfId="4252" xr:uid="{00000000-0005-0000-0000-0000620F0000}"/>
    <cellStyle name="설계서-내용" xfId="982" xr:uid="{00000000-0005-0000-0000-0000630F0000}"/>
    <cellStyle name="설계서-내용-우" xfId="983" xr:uid="{00000000-0005-0000-0000-0000640F0000}"/>
    <cellStyle name="설계서-소제목" xfId="984" xr:uid="{00000000-0005-0000-0000-0000650F0000}"/>
    <cellStyle name="설계서-타이틀" xfId="985" xr:uid="{00000000-0005-0000-0000-0000660F0000}"/>
    <cellStyle name="수량" xfId="986" xr:uid="{00000000-0005-0000-0000-0000670F0000}"/>
    <cellStyle name="숫자" xfId="987" xr:uid="{00000000-0005-0000-0000-0000680F0000}"/>
    <cellStyle name="숫자(R)" xfId="988" xr:uid="{00000000-0005-0000-0000-0000690F0000}"/>
    <cellStyle name="쉼표 [0]" xfId="4290" builtinId="6"/>
    <cellStyle name="쉼표 [0] 2" xfId="1" xr:uid="{00000000-0005-0000-0000-00006B0F0000}"/>
    <cellStyle name="스타일 1" xfId="989" xr:uid="{00000000-0005-0000-0000-00006C0F0000}"/>
    <cellStyle name="스타일 10" xfId="990" xr:uid="{00000000-0005-0000-0000-00006D0F0000}"/>
    <cellStyle name="스타일 100" xfId="991" xr:uid="{00000000-0005-0000-0000-00006E0F0000}"/>
    <cellStyle name="스타일 101" xfId="992" xr:uid="{00000000-0005-0000-0000-00006F0F0000}"/>
    <cellStyle name="스타일 102" xfId="993" xr:uid="{00000000-0005-0000-0000-0000700F0000}"/>
    <cellStyle name="스타일 103" xfId="994" xr:uid="{00000000-0005-0000-0000-0000710F0000}"/>
    <cellStyle name="스타일 104" xfId="995" xr:uid="{00000000-0005-0000-0000-0000720F0000}"/>
    <cellStyle name="스타일 105" xfId="996" xr:uid="{00000000-0005-0000-0000-0000730F0000}"/>
    <cellStyle name="스타일 106" xfId="997" xr:uid="{00000000-0005-0000-0000-0000740F0000}"/>
    <cellStyle name="스타일 107" xfId="998" xr:uid="{00000000-0005-0000-0000-0000750F0000}"/>
    <cellStyle name="스타일 108" xfId="999" xr:uid="{00000000-0005-0000-0000-0000760F0000}"/>
    <cellStyle name="스타일 109" xfId="1000" xr:uid="{00000000-0005-0000-0000-0000770F0000}"/>
    <cellStyle name="스타일 11" xfId="1001" xr:uid="{00000000-0005-0000-0000-0000780F0000}"/>
    <cellStyle name="스타일 110" xfId="1002" xr:uid="{00000000-0005-0000-0000-0000790F0000}"/>
    <cellStyle name="스타일 111" xfId="1003" xr:uid="{00000000-0005-0000-0000-00007A0F0000}"/>
    <cellStyle name="스타일 112" xfId="1004" xr:uid="{00000000-0005-0000-0000-00007B0F0000}"/>
    <cellStyle name="스타일 113" xfId="1005" xr:uid="{00000000-0005-0000-0000-00007C0F0000}"/>
    <cellStyle name="스타일 114" xfId="1006" xr:uid="{00000000-0005-0000-0000-00007D0F0000}"/>
    <cellStyle name="스타일 115" xfId="1007" xr:uid="{00000000-0005-0000-0000-00007E0F0000}"/>
    <cellStyle name="스타일 116" xfId="1008" xr:uid="{00000000-0005-0000-0000-00007F0F0000}"/>
    <cellStyle name="스타일 117" xfId="1009" xr:uid="{00000000-0005-0000-0000-0000800F0000}"/>
    <cellStyle name="스타일 118" xfId="1010" xr:uid="{00000000-0005-0000-0000-0000810F0000}"/>
    <cellStyle name="스타일 119" xfId="1011" xr:uid="{00000000-0005-0000-0000-0000820F0000}"/>
    <cellStyle name="스타일 12" xfId="1012" xr:uid="{00000000-0005-0000-0000-0000830F0000}"/>
    <cellStyle name="스타일 120" xfId="1013" xr:uid="{00000000-0005-0000-0000-0000840F0000}"/>
    <cellStyle name="스타일 121" xfId="1014" xr:uid="{00000000-0005-0000-0000-0000850F0000}"/>
    <cellStyle name="스타일 122" xfId="1015" xr:uid="{00000000-0005-0000-0000-0000860F0000}"/>
    <cellStyle name="스타일 123" xfId="1016" xr:uid="{00000000-0005-0000-0000-0000870F0000}"/>
    <cellStyle name="스타일 124" xfId="1017" xr:uid="{00000000-0005-0000-0000-0000880F0000}"/>
    <cellStyle name="스타일 125" xfId="1018" xr:uid="{00000000-0005-0000-0000-0000890F0000}"/>
    <cellStyle name="스타일 126" xfId="1019" xr:uid="{00000000-0005-0000-0000-00008A0F0000}"/>
    <cellStyle name="스타일 127" xfId="1020" xr:uid="{00000000-0005-0000-0000-00008B0F0000}"/>
    <cellStyle name="스타일 128" xfId="1021" xr:uid="{00000000-0005-0000-0000-00008C0F0000}"/>
    <cellStyle name="스타일 129" xfId="1022" xr:uid="{00000000-0005-0000-0000-00008D0F0000}"/>
    <cellStyle name="스타일 13" xfId="1023" xr:uid="{00000000-0005-0000-0000-00008E0F0000}"/>
    <cellStyle name="스타일 130" xfId="1024" xr:uid="{00000000-0005-0000-0000-00008F0F0000}"/>
    <cellStyle name="스타일 131" xfId="1025" xr:uid="{00000000-0005-0000-0000-0000900F0000}"/>
    <cellStyle name="스타일 132" xfId="1026" xr:uid="{00000000-0005-0000-0000-0000910F0000}"/>
    <cellStyle name="스타일 133" xfId="1027" xr:uid="{00000000-0005-0000-0000-0000920F0000}"/>
    <cellStyle name="스타일 134" xfId="1028" xr:uid="{00000000-0005-0000-0000-0000930F0000}"/>
    <cellStyle name="스타일 135" xfId="1029" xr:uid="{00000000-0005-0000-0000-0000940F0000}"/>
    <cellStyle name="스타일 136" xfId="1030" xr:uid="{00000000-0005-0000-0000-0000950F0000}"/>
    <cellStyle name="스타일 137" xfId="1031" xr:uid="{00000000-0005-0000-0000-0000960F0000}"/>
    <cellStyle name="스타일 138" xfId="1032" xr:uid="{00000000-0005-0000-0000-0000970F0000}"/>
    <cellStyle name="스타일 139" xfId="1033" xr:uid="{00000000-0005-0000-0000-0000980F0000}"/>
    <cellStyle name="스타일 14" xfId="1034" xr:uid="{00000000-0005-0000-0000-0000990F0000}"/>
    <cellStyle name="스타일 140" xfId="1035" xr:uid="{00000000-0005-0000-0000-00009A0F0000}"/>
    <cellStyle name="스타일 141" xfId="1036" xr:uid="{00000000-0005-0000-0000-00009B0F0000}"/>
    <cellStyle name="스타일 142" xfId="1037" xr:uid="{00000000-0005-0000-0000-00009C0F0000}"/>
    <cellStyle name="스타일 143" xfId="1038" xr:uid="{00000000-0005-0000-0000-00009D0F0000}"/>
    <cellStyle name="스타일 144" xfId="1039" xr:uid="{00000000-0005-0000-0000-00009E0F0000}"/>
    <cellStyle name="스타일 145" xfId="1040" xr:uid="{00000000-0005-0000-0000-00009F0F0000}"/>
    <cellStyle name="스타일 146" xfId="1041" xr:uid="{00000000-0005-0000-0000-0000A00F0000}"/>
    <cellStyle name="스타일 147" xfId="1042" xr:uid="{00000000-0005-0000-0000-0000A10F0000}"/>
    <cellStyle name="스타일 148" xfId="1043" xr:uid="{00000000-0005-0000-0000-0000A20F0000}"/>
    <cellStyle name="스타일 149" xfId="1044" xr:uid="{00000000-0005-0000-0000-0000A30F0000}"/>
    <cellStyle name="스타일 15" xfId="1045" xr:uid="{00000000-0005-0000-0000-0000A40F0000}"/>
    <cellStyle name="스타일 150" xfId="1046" xr:uid="{00000000-0005-0000-0000-0000A50F0000}"/>
    <cellStyle name="스타일 151" xfId="1047" xr:uid="{00000000-0005-0000-0000-0000A60F0000}"/>
    <cellStyle name="스타일 152" xfId="1048" xr:uid="{00000000-0005-0000-0000-0000A70F0000}"/>
    <cellStyle name="스타일 153" xfId="1049" xr:uid="{00000000-0005-0000-0000-0000A80F0000}"/>
    <cellStyle name="스타일 154" xfId="1050" xr:uid="{00000000-0005-0000-0000-0000A90F0000}"/>
    <cellStyle name="스타일 155" xfId="1051" xr:uid="{00000000-0005-0000-0000-0000AA0F0000}"/>
    <cellStyle name="스타일 156" xfId="1052" xr:uid="{00000000-0005-0000-0000-0000AB0F0000}"/>
    <cellStyle name="스타일 157" xfId="1053" xr:uid="{00000000-0005-0000-0000-0000AC0F0000}"/>
    <cellStyle name="스타일 158" xfId="1054" xr:uid="{00000000-0005-0000-0000-0000AD0F0000}"/>
    <cellStyle name="스타일 159" xfId="1055" xr:uid="{00000000-0005-0000-0000-0000AE0F0000}"/>
    <cellStyle name="스타일 16" xfId="1056" xr:uid="{00000000-0005-0000-0000-0000AF0F0000}"/>
    <cellStyle name="스타일 160" xfId="1057" xr:uid="{00000000-0005-0000-0000-0000B00F0000}"/>
    <cellStyle name="스타일 161" xfId="1058" xr:uid="{00000000-0005-0000-0000-0000B10F0000}"/>
    <cellStyle name="스타일 162" xfId="1059" xr:uid="{00000000-0005-0000-0000-0000B20F0000}"/>
    <cellStyle name="스타일 163" xfId="1060" xr:uid="{00000000-0005-0000-0000-0000B30F0000}"/>
    <cellStyle name="스타일 164" xfId="1061" xr:uid="{00000000-0005-0000-0000-0000B40F0000}"/>
    <cellStyle name="스타일 165" xfId="1062" xr:uid="{00000000-0005-0000-0000-0000B50F0000}"/>
    <cellStyle name="스타일 166" xfId="1063" xr:uid="{00000000-0005-0000-0000-0000B60F0000}"/>
    <cellStyle name="스타일 167" xfId="1064" xr:uid="{00000000-0005-0000-0000-0000B70F0000}"/>
    <cellStyle name="스타일 168" xfId="1065" xr:uid="{00000000-0005-0000-0000-0000B80F0000}"/>
    <cellStyle name="스타일 169" xfId="1066" xr:uid="{00000000-0005-0000-0000-0000B90F0000}"/>
    <cellStyle name="스타일 17" xfId="1067" xr:uid="{00000000-0005-0000-0000-0000BA0F0000}"/>
    <cellStyle name="스타일 170" xfId="1068" xr:uid="{00000000-0005-0000-0000-0000BB0F0000}"/>
    <cellStyle name="스타일 171" xfId="1069" xr:uid="{00000000-0005-0000-0000-0000BC0F0000}"/>
    <cellStyle name="스타일 172" xfId="1070" xr:uid="{00000000-0005-0000-0000-0000BD0F0000}"/>
    <cellStyle name="스타일 173" xfId="1071" xr:uid="{00000000-0005-0000-0000-0000BE0F0000}"/>
    <cellStyle name="스타일 174" xfId="1072" xr:uid="{00000000-0005-0000-0000-0000BF0F0000}"/>
    <cellStyle name="스타일 175" xfId="1073" xr:uid="{00000000-0005-0000-0000-0000C00F0000}"/>
    <cellStyle name="스타일 176" xfId="1074" xr:uid="{00000000-0005-0000-0000-0000C10F0000}"/>
    <cellStyle name="스타일 177" xfId="1075" xr:uid="{00000000-0005-0000-0000-0000C20F0000}"/>
    <cellStyle name="스타일 178" xfId="1076" xr:uid="{00000000-0005-0000-0000-0000C30F0000}"/>
    <cellStyle name="스타일 179" xfId="1077" xr:uid="{00000000-0005-0000-0000-0000C40F0000}"/>
    <cellStyle name="스타일 18" xfId="1078" xr:uid="{00000000-0005-0000-0000-0000C50F0000}"/>
    <cellStyle name="스타일 180" xfId="1079" xr:uid="{00000000-0005-0000-0000-0000C60F0000}"/>
    <cellStyle name="스타일 181" xfId="1080" xr:uid="{00000000-0005-0000-0000-0000C70F0000}"/>
    <cellStyle name="스타일 182" xfId="1081" xr:uid="{00000000-0005-0000-0000-0000C80F0000}"/>
    <cellStyle name="스타일 183" xfId="1082" xr:uid="{00000000-0005-0000-0000-0000C90F0000}"/>
    <cellStyle name="스타일 184" xfId="1083" xr:uid="{00000000-0005-0000-0000-0000CA0F0000}"/>
    <cellStyle name="스타일 185" xfId="1084" xr:uid="{00000000-0005-0000-0000-0000CB0F0000}"/>
    <cellStyle name="스타일 186" xfId="1085" xr:uid="{00000000-0005-0000-0000-0000CC0F0000}"/>
    <cellStyle name="스타일 187" xfId="1086" xr:uid="{00000000-0005-0000-0000-0000CD0F0000}"/>
    <cellStyle name="스타일 188" xfId="1087" xr:uid="{00000000-0005-0000-0000-0000CE0F0000}"/>
    <cellStyle name="스타일 189" xfId="1088" xr:uid="{00000000-0005-0000-0000-0000CF0F0000}"/>
    <cellStyle name="스타일 19" xfId="1089" xr:uid="{00000000-0005-0000-0000-0000D00F0000}"/>
    <cellStyle name="스타일 190" xfId="1090" xr:uid="{00000000-0005-0000-0000-0000D10F0000}"/>
    <cellStyle name="스타일 191" xfId="1091" xr:uid="{00000000-0005-0000-0000-0000D20F0000}"/>
    <cellStyle name="스타일 192" xfId="1092" xr:uid="{00000000-0005-0000-0000-0000D30F0000}"/>
    <cellStyle name="스타일 193" xfId="1093" xr:uid="{00000000-0005-0000-0000-0000D40F0000}"/>
    <cellStyle name="스타일 194" xfId="1094" xr:uid="{00000000-0005-0000-0000-0000D50F0000}"/>
    <cellStyle name="스타일 195" xfId="1095" xr:uid="{00000000-0005-0000-0000-0000D60F0000}"/>
    <cellStyle name="스타일 196" xfId="1096" xr:uid="{00000000-0005-0000-0000-0000D70F0000}"/>
    <cellStyle name="스타일 197" xfId="1097" xr:uid="{00000000-0005-0000-0000-0000D80F0000}"/>
    <cellStyle name="스타일 198" xfId="1098" xr:uid="{00000000-0005-0000-0000-0000D90F0000}"/>
    <cellStyle name="스타일 199" xfId="1099" xr:uid="{00000000-0005-0000-0000-0000DA0F0000}"/>
    <cellStyle name="스타일 2" xfId="1100" xr:uid="{00000000-0005-0000-0000-0000DB0F0000}"/>
    <cellStyle name="스타일 20" xfId="1101" xr:uid="{00000000-0005-0000-0000-0000DC0F0000}"/>
    <cellStyle name="스타일 200" xfId="1102" xr:uid="{00000000-0005-0000-0000-0000DD0F0000}"/>
    <cellStyle name="스타일 201" xfId="1103" xr:uid="{00000000-0005-0000-0000-0000DE0F0000}"/>
    <cellStyle name="스타일 202" xfId="1104" xr:uid="{00000000-0005-0000-0000-0000DF0F0000}"/>
    <cellStyle name="스타일 203" xfId="1105" xr:uid="{00000000-0005-0000-0000-0000E00F0000}"/>
    <cellStyle name="스타일 204" xfId="1106" xr:uid="{00000000-0005-0000-0000-0000E10F0000}"/>
    <cellStyle name="스타일 205" xfId="1107" xr:uid="{00000000-0005-0000-0000-0000E20F0000}"/>
    <cellStyle name="스타일 206" xfId="1108" xr:uid="{00000000-0005-0000-0000-0000E30F0000}"/>
    <cellStyle name="스타일 207" xfId="1109" xr:uid="{00000000-0005-0000-0000-0000E40F0000}"/>
    <cellStyle name="스타일 208" xfId="1110" xr:uid="{00000000-0005-0000-0000-0000E50F0000}"/>
    <cellStyle name="스타일 209" xfId="1111" xr:uid="{00000000-0005-0000-0000-0000E60F0000}"/>
    <cellStyle name="스타일 21" xfId="1112" xr:uid="{00000000-0005-0000-0000-0000E70F0000}"/>
    <cellStyle name="스타일 210" xfId="1113" xr:uid="{00000000-0005-0000-0000-0000E80F0000}"/>
    <cellStyle name="스타일 211" xfId="1114" xr:uid="{00000000-0005-0000-0000-0000E90F0000}"/>
    <cellStyle name="스타일 212" xfId="1115" xr:uid="{00000000-0005-0000-0000-0000EA0F0000}"/>
    <cellStyle name="스타일 213" xfId="1116" xr:uid="{00000000-0005-0000-0000-0000EB0F0000}"/>
    <cellStyle name="스타일 214" xfId="1117" xr:uid="{00000000-0005-0000-0000-0000EC0F0000}"/>
    <cellStyle name="스타일 215" xfId="1118" xr:uid="{00000000-0005-0000-0000-0000ED0F0000}"/>
    <cellStyle name="스타일 216" xfId="1119" xr:uid="{00000000-0005-0000-0000-0000EE0F0000}"/>
    <cellStyle name="스타일 217" xfId="1120" xr:uid="{00000000-0005-0000-0000-0000EF0F0000}"/>
    <cellStyle name="스타일 218" xfId="1121" xr:uid="{00000000-0005-0000-0000-0000F00F0000}"/>
    <cellStyle name="스타일 219" xfId="1122" xr:uid="{00000000-0005-0000-0000-0000F10F0000}"/>
    <cellStyle name="스타일 22" xfId="1123" xr:uid="{00000000-0005-0000-0000-0000F20F0000}"/>
    <cellStyle name="스타일 220" xfId="1124" xr:uid="{00000000-0005-0000-0000-0000F30F0000}"/>
    <cellStyle name="스타일 221" xfId="1125" xr:uid="{00000000-0005-0000-0000-0000F40F0000}"/>
    <cellStyle name="스타일 222" xfId="1126" xr:uid="{00000000-0005-0000-0000-0000F50F0000}"/>
    <cellStyle name="스타일 223" xfId="1127" xr:uid="{00000000-0005-0000-0000-0000F60F0000}"/>
    <cellStyle name="스타일 224" xfId="1128" xr:uid="{00000000-0005-0000-0000-0000F70F0000}"/>
    <cellStyle name="스타일 225" xfId="1129" xr:uid="{00000000-0005-0000-0000-0000F80F0000}"/>
    <cellStyle name="스타일 226" xfId="1130" xr:uid="{00000000-0005-0000-0000-0000F90F0000}"/>
    <cellStyle name="스타일 227" xfId="1131" xr:uid="{00000000-0005-0000-0000-0000FA0F0000}"/>
    <cellStyle name="스타일 228" xfId="1132" xr:uid="{00000000-0005-0000-0000-0000FB0F0000}"/>
    <cellStyle name="스타일 229" xfId="1133" xr:uid="{00000000-0005-0000-0000-0000FC0F0000}"/>
    <cellStyle name="스타일 23" xfId="1134" xr:uid="{00000000-0005-0000-0000-0000FD0F0000}"/>
    <cellStyle name="스타일 230" xfId="1135" xr:uid="{00000000-0005-0000-0000-0000FE0F0000}"/>
    <cellStyle name="스타일 231" xfId="1136" xr:uid="{00000000-0005-0000-0000-0000FF0F0000}"/>
    <cellStyle name="스타일 232" xfId="1137" xr:uid="{00000000-0005-0000-0000-000000100000}"/>
    <cellStyle name="스타일 233" xfId="1138" xr:uid="{00000000-0005-0000-0000-000001100000}"/>
    <cellStyle name="스타일 234" xfId="1139" xr:uid="{00000000-0005-0000-0000-000002100000}"/>
    <cellStyle name="스타일 235" xfId="1140" xr:uid="{00000000-0005-0000-0000-000003100000}"/>
    <cellStyle name="스타일 236" xfId="1141" xr:uid="{00000000-0005-0000-0000-000004100000}"/>
    <cellStyle name="스타일 237" xfId="1142" xr:uid="{00000000-0005-0000-0000-000005100000}"/>
    <cellStyle name="스타일 238" xfId="1143" xr:uid="{00000000-0005-0000-0000-000006100000}"/>
    <cellStyle name="스타일 239" xfId="1144" xr:uid="{00000000-0005-0000-0000-000007100000}"/>
    <cellStyle name="스타일 24" xfId="1145" xr:uid="{00000000-0005-0000-0000-000008100000}"/>
    <cellStyle name="스타일 240" xfId="1146" xr:uid="{00000000-0005-0000-0000-000009100000}"/>
    <cellStyle name="스타일 241" xfId="1147" xr:uid="{00000000-0005-0000-0000-00000A100000}"/>
    <cellStyle name="스타일 242" xfId="1148" xr:uid="{00000000-0005-0000-0000-00000B100000}"/>
    <cellStyle name="스타일 243" xfId="1149" xr:uid="{00000000-0005-0000-0000-00000C100000}"/>
    <cellStyle name="스타일 244" xfId="1150" xr:uid="{00000000-0005-0000-0000-00000D100000}"/>
    <cellStyle name="스타일 245" xfId="1151" xr:uid="{00000000-0005-0000-0000-00000E100000}"/>
    <cellStyle name="스타일 246" xfId="1152" xr:uid="{00000000-0005-0000-0000-00000F100000}"/>
    <cellStyle name="스타일 247" xfId="1153" xr:uid="{00000000-0005-0000-0000-000010100000}"/>
    <cellStyle name="스타일 248" xfId="1154" xr:uid="{00000000-0005-0000-0000-000011100000}"/>
    <cellStyle name="스타일 249" xfId="1155" xr:uid="{00000000-0005-0000-0000-000012100000}"/>
    <cellStyle name="스타일 25" xfId="1156" xr:uid="{00000000-0005-0000-0000-000013100000}"/>
    <cellStyle name="스타일 250" xfId="1157" xr:uid="{00000000-0005-0000-0000-000014100000}"/>
    <cellStyle name="스타일 251" xfId="1158" xr:uid="{00000000-0005-0000-0000-000015100000}"/>
    <cellStyle name="스타일 252" xfId="1159" xr:uid="{00000000-0005-0000-0000-000016100000}"/>
    <cellStyle name="스타일 253" xfId="1160" xr:uid="{00000000-0005-0000-0000-000017100000}"/>
    <cellStyle name="스타일 254" xfId="1161" xr:uid="{00000000-0005-0000-0000-000018100000}"/>
    <cellStyle name="스타일 255" xfId="1162" xr:uid="{00000000-0005-0000-0000-000019100000}"/>
    <cellStyle name="스타일 26" xfId="1163" xr:uid="{00000000-0005-0000-0000-00001A100000}"/>
    <cellStyle name="스타일 27" xfId="1164" xr:uid="{00000000-0005-0000-0000-00001B100000}"/>
    <cellStyle name="스타일 28" xfId="1165" xr:uid="{00000000-0005-0000-0000-00001C100000}"/>
    <cellStyle name="스타일 29" xfId="1166" xr:uid="{00000000-0005-0000-0000-00001D100000}"/>
    <cellStyle name="스타일 3" xfId="1167" xr:uid="{00000000-0005-0000-0000-00001E100000}"/>
    <cellStyle name="스타일 30" xfId="1168" xr:uid="{00000000-0005-0000-0000-00001F100000}"/>
    <cellStyle name="스타일 31" xfId="1169" xr:uid="{00000000-0005-0000-0000-000020100000}"/>
    <cellStyle name="스타일 32" xfId="1170" xr:uid="{00000000-0005-0000-0000-000021100000}"/>
    <cellStyle name="스타일 33" xfId="1171" xr:uid="{00000000-0005-0000-0000-000022100000}"/>
    <cellStyle name="스타일 34" xfId="1172" xr:uid="{00000000-0005-0000-0000-000023100000}"/>
    <cellStyle name="스타일 35" xfId="1173" xr:uid="{00000000-0005-0000-0000-000024100000}"/>
    <cellStyle name="스타일 36" xfId="1174" xr:uid="{00000000-0005-0000-0000-000025100000}"/>
    <cellStyle name="스타일 37" xfId="1175" xr:uid="{00000000-0005-0000-0000-000026100000}"/>
    <cellStyle name="스타일 38" xfId="1176" xr:uid="{00000000-0005-0000-0000-000027100000}"/>
    <cellStyle name="스타일 39" xfId="1177" xr:uid="{00000000-0005-0000-0000-000028100000}"/>
    <cellStyle name="스타일 4" xfId="1178" xr:uid="{00000000-0005-0000-0000-000029100000}"/>
    <cellStyle name="스타일 40" xfId="1179" xr:uid="{00000000-0005-0000-0000-00002A100000}"/>
    <cellStyle name="스타일 41" xfId="1180" xr:uid="{00000000-0005-0000-0000-00002B100000}"/>
    <cellStyle name="스타일 42" xfId="1181" xr:uid="{00000000-0005-0000-0000-00002C100000}"/>
    <cellStyle name="스타일 43" xfId="1182" xr:uid="{00000000-0005-0000-0000-00002D100000}"/>
    <cellStyle name="스타일 44" xfId="1183" xr:uid="{00000000-0005-0000-0000-00002E100000}"/>
    <cellStyle name="스타일 45" xfId="1184" xr:uid="{00000000-0005-0000-0000-00002F100000}"/>
    <cellStyle name="스타일 46" xfId="1185" xr:uid="{00000000-0005-0000-0000-000030100000}"/>
    <cellStyle name="스타일 47" xfId="1186" xr:uid="{00000000-0005-0000-0000-000031100000}"/>
    <cellStyle name="스타일 48" xfId="1187" xr:uid="{00000000-0005-0000-0000-000032100000}"/>
    <cellStyle name="스타일 49" xfId="1188" xr:uid="{00000000-0005-0000-0000-000033100000}"/>
    <cellStyle name="스타일 5" xfId="1189" xr:uid="{00000000-0005-0000-0000-000034100000}"/>
    <cellStyle name="스타일 50" xfId="1190" xr:uid="{00000000-0005-0000-0000-000035100000}"/>
    <cellStyle name="스타일 51" xfId="1191" xr:uid="{00000000-0005-0000-0000-000036100000}"/>
    <cellStyle name="스타일 52" xfId="1192" xr:uid="{00000000-0005-0000-0000-000037100000}"/>
    <cellStyle name="스타일 53" xfId="1193" xr:uid="{00000000-0005-0000-0000-000038100000}"/>
    <cellStyle name="스타일 54" xfId="1194" xr:uid="{00000000-0005-0000-0000-000039100000}"/>
    <cellStyle name="스타일 55" xfId="1195" xr:uid="{00000000-0005-0000-0000-00003A100000}"/>
    <cellStyle name="스타일 56" xfId="1196" xr:uid="{00000000-0005-0000-0000-00003B100000}"/>
    <cellStyle name="스타일 57" xfId="1197" xr:uid="{00000000-0005-0000-0000-00003C100000}"/>
    <cellStyle name="스타일 58" xfId="1198" xr:uid="{00000000-0005-0000-0000-00003D100000}"/>
    <cellStyle name="스타일 59" xfId="1199" xr:uid="{00000000-0005-0000-0000-00003E100000}"/>
    <cellStyle name="스타일 6" xfId="1200" xr:uid="{00000000-0005-0000-0000-00003F100000}"/>
    <cellStyle name="스타일 60" xfId="1201" xr:uid="{00000000-0005-0000-0000-000040100000}"/>
    <cellStyle name="스타일 61" xfId="1202" xr:uid="{00000000-0005-0000-0000-000041100000}"/>
    <cellStyle name="스타일 62" xfId="1203" xr:uid="{00000000-0005-0000-0000-000042100000}"/>
    <cellStyle name="스타일 63" xfId="1204" xr:uid="{00000000-0005-0000-0000-000043100000}"/>
    <cellStyle name="스타일 64" xfId="1205" xr:uid="{00000000-0005-0000-0000-000044100000}"/>
    <cellStyle name="스타일 65" xfId="1206" xr:uid="{00000000-0005-0000-0000-000045100000}"/>
    <cellStyle name="스타일 66" xfId="1207" xr:uid="{00000000-0005-0000-0000-000046100000}"/>
    <cellStyle name="스타일 67" xfId="1208" xr:uid="{00000000-0005-0000-0000-000047100000}"/>
    <cellStyle name="스타일 68" xfId="1209" xr:uid="{00000000-0005-0000-0000-000048100000}"/>
    <cellStyle name="스타일 69" xfId="1210" xr:uid="{00000000-0005-0000-0000-000049100000}"/>
    <cellStyle name="스타일 7" xfId="1211" xr:uid="{00000000-0005-0000-0000-00004A100000}"/>
    <cellStyle name="스타일 70" xfId="1212" xr:uid="{00000000-0005-0000-0000-00004B100000}"/>
    <cellStyle name="스타일 71" xfId="1213" xr:uid="{00000000-0005-0000-0000-00004C100000}"/>
    <cellStyle name="스타일 72" xfId="1214" xr:uid="{00000000-0005-0000-0000-00004D100000}"/>
    <cellStyle name="스타일 73" xfId="1215" xr:uid="{00000000-0005-0000-0000-00004E100000}"/>
    <cellStyle name="스타일 74" xfId="1216" xr:uid="{00000000-0005-0000-0000-00004F100000}"/>
    <cellStyle name="스타일 75" xfId="1217" xr:uid="{00000000-0005-0000-0000-000050100000}"/>
    <cellStyle name="스타일 76" xfId="1218" xr:uid="{00000000-0005-0000-0000-000051100000}"/>
    <cellStyle name="스타일 77" xfId="1219" xr:uid="{00000000-0005-0000-0000-000052100000}"/>
    <cellStyle name="스타일 78" xfId="1220" xr:uid="{00000000-0005-0000-0000-000053100000}"/>
    <cellStyle name="스타일 79" xfId="1221" xr:uid="{00000000-0005-0000-0000-000054100000}"/>
    <cellStyle name="스타일 8" xfId="1222" xr:uid="{00000000-0005-0000-0000-000055100000}"/>
    <cellStyle name="스타일 80" xfId="1223" xr:uid="{00000000-0005-0000-0000-000056100000}"/>
    <cellStyle name="스타일 81" xfId="1224" xr:uid="{00000000-0005-0000-0000-000057100000}"/>
    <cellStyle name="스타일 82" xfId="1225" xr:uid="{00000000-0005-0000-0000-000058100000}"/>
    <cellStyle name="스타일 83" xfId="1226" xr:uid="{00000000-0005-0000-0000-000059100000}"/>
    <cellStyle name="스타일 84" xfId="1227" xr:uid="{00000000-0005-0000-0000-00005A100000}"/>
    <cellStyle name="스타일 85" xfId="1228" xr:uid="{00000000-0005-0000-0000-00005B100000}"/>
    <cellStyle name="스타일 86" xfId="1229" xr:uid="{00000000-0005-0000-0000-00005C100000}"/>
    <cellStyle name="스타일 87" xfId="1230" xr:uid="{00000000-0005-0000-0000-00005D100000}"/>
    <cellStyle name="스타일 88" xfId="1231" xr:uid="{00000000-0005-0000-0000-00005E100000}"/>
    <cellStyle name="스타일 89" xfId="1232" xr:uid="{00000000-0005-0000-0000-00005F100000}"/>
    <cellStyle name="스타일 9" xfId="1233" xr:uid="{00000000-0005-0000-0000-000060100000}"/>
    <cellStyle name="스타일 90" xfId="1234" xr:uid="{00000000-0005-0000-0000-000061100000}"/>
    <cellStyle name="스타일 91" xfId="1235" xr:uid="{00000000-0005-0000-0000-000062100000}"/>
    <cellStyle name="스타일 92" xfId="1236" xr:uid="{00000000-0005-0000-0000-000063100000}"/>
    <cellStyle name="스타일 93" xfId="1237" xr:uid="{00000000-0005-0000-0000-000064100000}"/>
    <cellStyle name="스타일 94" xfId="1238" xr:uid="{00000000-0005-0000-0000-000065100000}"/>
    <cellStyle name="스타일 95" xfId="1239" xr:uid="{00000000-0005-0000-0000-000066100000}"/>
    <cellStyle name="스타일 96" xfId="1240" xr:uid="{00000000-0005-0000-0000-000067100000}"/>
    <cellStyle name="스타일 97" xfId="1241" xr:uid="{00000000-0005-0000-0000-000068100000}"/>
    <cellStyle name="스타일 98" xfId="1242" xr:uid="{00000000-0005-0000-0000-000069100000}"/>
    <cellStyle name="스타일 99" xfId="1243" xr:uid="{00000000-0005-0000-0000-00006A100000}"/>
    <cellStyle name="안건회계법인" xfId="1245" xr:uid="{00000000-0005-0000-0000-00006B100000}"/>
    <cellStyle name="霓付 [0]_1202" xfId="1246" xr:uid="{00000000-0005-0000-0000-00006C100000}"/>
    <cellStyle name="霓付_1202" xfId="1247" xr:uid="{00000000-0005-0000-0000-00006D100000}"/>
    <cellStyle name="옛체" xfId="1248" xr:uid="{00000000-0005-0000-0000-00006E100000}"/>
    <cellStyle name="원" xfId="1249" xr:uid="{00000000-0005-0000-0000-00006F100000}"/>
    <cellStyle name="원_02대여금" xfId="1250" xr:uid="{00000000-0005-0000-0000-000070100000}"/>
    <cellStyle name="원_02투자" xfId="1251" xr:uid="{00000000-0005-0000-0000-000071100000}"/>
    <cellStyle name="원_02투자및대여금종합" xfId="1252" xr:uid="{00000000-0005-0000-0000-000072100000}"/>
    <cellStyle name="원_NCF6BB2F" xfId="1256" xr:uid="{00000000-0005-0000-0000-000073100000}"/>
    <cellStyle name="원_NCF6BB2F_공표손익차이분석화학020304" xfId="1257" xr:uid="{00000000-0005-0000-0000-000074100000}"/>
    <cellStyle name="원_공표손익차이분석화학020304" xfId="1253" xr:uid="{00000000-0005-0000-0000-000075100000}"/>
    <cellStyle name="원_인테리어 공사 공내역2009.07.23최종(조과장)" xfId="1254" xr:uid="{00000000-0005-0000-0000-000076100000}"/>
    <cellStyle name="원_환경1팀수주최종본" xfId="1255" xr:uid="{00000000-0005-0000-0000-000077100000}"/>
    <cellStyle name="유1" xfId="1258" xr:uid="{00000000-0005-0000-0000-000078100000}"/>
    <cellStyle name="유영" xfId="1259" xr:uid="{00000000-0005-0000-0000-000079100000}"/>
    <cellStyle name="一般_GARMENT STEP FORM HK" xfId="1260" xr:uid="{00000000-0005-0000-0000-00007A100000}"/>
    <cellStyle name="자리수" xfId="1261" xr:uid="{00000000-0005-0000-0000-00007B100000}"/>
    <cellStyle name="자리수 - 유형1" xfId="1262" xr:uid="{00000000-0005-0000-0000-00007C100000}"/>
    <cellStyle name="자리수_10-27영등포마트 리뉴얼 인테리어 공사" xfId="4253" xr:uid="{00000000-0005-0000-0000-00007D100000}"/>
    <cellStyle name="자리수0" xfId="1263" xr:uid="{00000000-0005-0000-0000-00007E100000}"/>
    <cellStyle name="자리수0 2" xfId="1264" xr:uid="{00000000-0005-0000-0000-00007F100000}"/>
    <cellStyle name="쟟" xfId="1265" xr:uid="{00000000-0005-0000-0000-000080100000}"/>
    <cellStyle name="정렬" xfId="1266" xr:uid="{00000000-0005-0000-0000-000081100000}"/>
    <cellStyle name="정렬범위" xfId="1267" xr:uid="{00000000-0005-0000-0000-000082100000}"/>
    <cellStyle name="제목 1(左)" xfId="1268" xr:uid="{00000000-0005-0000-0000-000083100000}"/>
    <cellStyle name="제목 1(中)" xfId="1269" xr:uid="{00000000-0005-0000-0000-000084100000}"/>
    <cellStyle name="제목 5" xfId="1270" xr:uid="{00000000-0005-0000-0000-000085100000}"/>
    <cellStyle name="제목[1 줄]" xfId="1271" xr:uid="{00000000-0005-0000-0000-000086100000}"/>
    <cellStyle name="제목[2줄 아래]" xfId="1272" xr:uid="{00000000-0005-0000-0000-000087100000}"/>
    <cellStyle name="제목[2줄 위]" xfId="1273" xr:uid="{00000000-0005-0000-0000-000088100000}"/>
    <cellStyle name="제목1" xfId="1274" xr:uid="{00000000-0005-0000-0000-000089100000}"/>
    <cellStyle name="죃" xfId="1275" xr:uid="{00000000-0005-0000-0000-00008A100000}"/>
    <cellStyle name="주석" xfId="1276" xr:uid="{00000000-0005-0000-0000-00008B100000}"/>
    <cellStyle name="지정되지 않음" xfId="1277" xr:uid="{00000000-0005-0000-0000-00008C100000}"/>
    <cellStyle name="지하철정렬" xfId="1278" xr:uid="{00000000-0005-0000-0000-00008D100000}"/>
    <cellStyle name="钎霖_ 97斥 版康盒籍(救)" xfId="1321" xr:uid="{00000000-0005-0000-0000-00008E100000}"/>
    <cellStyle name="千分位[0]_GARMENT STEP FORM HK" xfId="1279" xr:uid="{00000000-0005-0000-0000-00008F100000}"/>
    <cellStyle name="千分位_GARMENT STEP FORM HK" xfId="1280" xr:uid="{00000000-0005-0000-0000-000090100000}"/>
    <cellStyle name="千位分隔[0]_현황" xfId="1281" xr:uid="{00000000-0005-0000-0000-000091100000}"/>
    <cellStyle name="千位分隔_2002" xfId="1282" xr:uid="{00000000-0005-0000-0000-000092100000}"/>
    <cellStyle name="昗?_BOOKSHIP" xfId="1319" xr:uid="{00000000-0005-0000-0000-000093100000}"/>
    <cellStyle name="寘嬫愗傝 [0.00]_PRODUCT DETAIL Q1" xfId="1283" xr:uid="{00000000-0005-0000-0000-000094100000}"/>
    <cellStyle name="寘嬫愗傝_PRODUCT DETAIL Q1" xfId="1284" xr:uid="{00000000-0005-0000-0000-000095100000}"/>
    <cellStyle name="콤냡?&lt;_x000f_$??: `1_1 " xfId="1285" xr:uid="{00000000-0005-0000-0000-000096100000}"/>
    <cellStyle name="콤마" xfId="1286" xr:uid="{00000000-0005-0000-0000-000097100000}"/>
    <cellStyle name="콤마 [#]" xfId="4254" xr:uid="{00000000-0005-0000-0000-000098100000}"/>
    <cellStyle name="콤마 []" xfId="4255" xr:uid="{00000000-0005-0000-0000-000099100000}"/>
    <cellStyle name="콤마 [0]" xfId="1287" xr:uid="{00000000-0005-0000-0000-00009A100000}"/>
    <cellStyle name="콤마 [2]" xfId="1288" xr:uid="{00000000-0005-0000-0000-00009B100000}"/>
    <cellStyle name="콤마 [금액]" xfId="4256" xr:uid="{00000000-0005-0000-0000-00009C100000}"/>
    <cellStyle name="콤마 [소수]" xfId="4257" xr:uid="{00000000-0005-0000-0000-00009D100000}"/>
    <cellStyle name="콤마 [수량]" xfId="4258" xr:uid="{00000000-0005-0000-0000-00009E100000}"/>
    <cellStyle name="콤마[ ]" xfId="1289" xr:uid="{00000000-0005-0000-0000-00009F100000}"/>
    <cellStyle name="콤마[*]" xfId="1290" xr:uid="{00000000-0005-0000-0000-0000A0100000}"/>
    <cellStyle name="콤마[,]" xfId="1291" xr:uid="{00000000-0005-0000-0000-0000A1100000}"/>
    <cellStyle name="콤마[.]" xfId="1292" xr:uid="{00000000-0005-0000-0000-0000A2100000}"/>
    <cellStyle name="콤마[0]" xfId="1293" xr:uid="{00000000-0005-0000-0000-0000A3100000}"/>
    <cellStyle name="콤마_  종  합  " xfId="1294" xr:uid="{00000000-0005-0000-0000-0000A4100000}"/>
    <cellStyle name="콤마쇔[0]_대총괄표 " xfId="1295" xr:uid="{00000000-0005-0000-0000-0000A5100000}"/>
    <cellStyle name="通貨 [0.00]_List-dwg" xfId="1296" xr:uid="{00000000-0005-0000-0000-0000A6100000}"/>
    <cellStyle name="통화 [0] 2" xfId="2" xr:uid="{00000000-0005-0000-0000-0000A7100000}"/>
    <cellStyle name="통화 [4]" xfId="1297" xr:uid="{00000000-0005-0000-0000-0000A8100000}"/>
    <cellStyle name="通貨_List-dwg" xfId="1298" xr:uid="{00000000-0005-0000-0000-0000A9100000}"/>
    <cellStyle name="烹拳 [0]_1202" xfId="1299" xr:uid="{00000000-0005-0000-0000-0000AA100000}"/>
    <cellStyle name="烹拳_1202" xfId="1300" xr:uid="{00000000-0005-0000-0000-0000AB100000}"/>
    <cellStyle name="퍼센트" xfId="1301" xr:uid="{00000000-0005-0000-0000-0000AC100000}"/>
    <cellStyle name="표머릿글(上)" xfId="1302" xr:uid="{00000000-0005-0000-0000-0000AD100000}"/>
    <cellStyle name="표머릿글(中)" xfId="1303" xr:uid="{00000000-0005-0000-0000-0000AE100000}"/>
    <cellStyle name="표머릿글(下)" xfId="1304" xr:uid="{00000000-0005-0000-0000-0000AF100000}"/>
    <cellStyle name="표준" xfId="0" builtinId="0"/>
    <cellStyle name="표준 2" xfId="1305" xr:uid="{00000000-0005-0000-0000-0000B1100000}"/>
    <cellStyle name="표준 2 11" xfId="4291" xr:uid="{00000000-0005-0000-0000-0000B2100000}"/>
    <cellStyle name="표준 3" xfId="2837" xr:uid="{00000000-0005-0000-0000-0000B3100000}"/>
    <cellStyle name="標準_Akia(F）-8" xfId="1306" xr:uid="{00000000-0005-0000-0000-0000B4100000}"/>
    <cellStyle name="표준_견적구분양식(자재+노무)" xfId="2835" xr:uid="{00000000-0005-0000-0000-0000B5100000}"/>
    <cellStyle name="표준_견적서A4" xfId="4292" xr:uid="{00000000-0005-0000-0000-0000B6100000}"/>
    <cellStyle name="표준_금강CC 리노베이션" xfId="2836" xr:uid="{00000000-0005-0000-0000-0000B7100000}"/>
    <cellStyle name="표준℘Sheet8 (3)" xfId="1307" xr:uid="{00000000-0005-0000-0000-0000B8100000}"/>
    <cellStyle name="표쥰" xfId="4259" xr:uid="{00000000-0005-0000-0000-0000B9100000}"/>
    <cellStyle name="하이퍼링크" xfId="4293" builtinId="8"/>
    <cellStyle name="합산" xfId="1308" xr:uid="{00000000-0005-0000-0000-0000BB100000}"/>
    <cellStyle name="桁区切り [0.00]_List-dwg" xfId="1309" xr:uid="{00000000-0005-0000-0000-0000BC100000}"/>
    <cellStyle name="桁区切り_List-dwg" xfId="1310" xr:uid="{00000000-0005-0000-0000-0000BD100000}"/>
    <cellStyle name="货币_2002" xfId="1320" xr:uid="{00000000-0005-0000-0000-0000BE100000}"/>
    <cellStyle name="貨幣 [0]_GARMENT STEP FORM HK" xfId="1311" xr:uid="{00000000-0005-0000-0000-0000BF100000}"/>
    <cellStyle name="貨幣_GARMENT STEP FORM HK" xfId="1312" xr:uid="{00000000-0005-0000-0000-0000C0100000}"/>
    <cellStyle name="화폐기호" xfId="1313" xr:uid="{00000000-0005-0000-0000-0000C1100000}"/>
    <cellStyle name="화폐기호 2" xfId="1314" xr:uid="{00000000-0005-0000-0000-0000C2100000}"/>
    <cellStyle name="화폐기호0" xfId="1315" xr:uid="{00000000-0005-0000-0000-0000C3100000}"/>
    <cellStyle name="화폐기호0 2" xfId="1316" xr:uid="{00000000-0005-0000-0000-0000C4100000}"/>
    <cellStyle name="ㅣ" xfId="1244" xr:uid="{00000000-0005-0000-0000-0000C5100000}"/>
  </cellStyles>
  <dxfs count="0"/>
  <tableStyles count="0" defaultTableStyle="TableStyleMedium9" defaultPivotStyle="PivotStyleLight16"/>
  <colors>
    <mruColors>
      <color rgb="FFFFFFCC"/>
      <color rgb="FFD4DCE2"/>
      <color rgb="FFC9D4DD"/>
      <color rgb="FFD4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E944888C-9B65-4302-BD28-1E62FE219031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0F0E6024-29A7-460E-88FF-E27ED7DB7034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2405145" cy="317637"/>
    <xdr:pic>
      <xdr:nvPicPr>
        <xdr:cNvPr id="4" name="그림 3">
          <a:extLst>
            <a:ext uri="{FF2B5EF4-FFF2-40B4-BE49-F238E27FC236}">
              <a16:creationId xmlns:a16="http://schemas.microsoft.com/office/drawing/2014/main" id="{F4BF51F3-C601-4DF6-9900-8F89EB706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2405145" cy="317637"/>
        </a:xfrm>
        <a:prstGeom prst="rect">
          <a:avLst/>
        </a:prstGeom>
      </xdr:spPr>
    </xdr:pic>
    <xdr:clientData/>
  </xdr:oneCellAnchor>
  <xdr:oneCellAnchor>
    <xdr:from>
      <xdr:col>5</xdr:col>
      <xdr:colOff>356152</xdr:colOff>
      <xdr:row>4</xdr:row>
      <xdr:rowOff>24847</xdr:rowOff>
    </xdr:from>
    <xdr:ext cx="5375518" cy="5565914"/>
    <xdr:pic>
      <xdr:nvPicPr>
        <xdr:cNvPr id="5" name="그림 4">
          <a:extLst>
            <a:ext uri="{FF2B5EF4-FFF2-40B4-BE49-F238E27FC236}">
              <a16:creationId xmlns:a16="http://schemas.microsoft.com/office/drawing/2014/main" id="{8FC124A3-B7DC-4CFA-8F24-199828C1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5152" y="863047"/>
          <a:ext cx="5375518" cy="55659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chesinterior@nav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view="pageBreakPreview" zoomScale="115" zoomScaleNormal="90" zoomScaleSheetLayoutView="115" workbookViewId="0">
      <selection activeCell="C13" sqref="C13:D13"/>
    </sheetView>
  </sheetViews>
  <sheetFormatPr defaultColWidth="9" defaultRowHeight="23.25" customHeight="1"/>
  <cols>
    <col min="1" max="1" width="3.375" style="78" customWidth="1"/>
    <col min="2" max="2" width="15.625" style="79" customWidth="1"/>
    <col min="3" max="3" width="14.75" style="79" customWidth="1"/>
    <col min="4" max="4" width="14.75" style="78" customWidth="1"/>
    <col min="5" max="5" width="3.5" style="77" customWidth="1"/>
    <col min="6" max="10" width="15.625" style="77" customWidth="1"/>
    <col min="11" max="11" width="4.125" style="77" customWidth="1"/>
    <col min="12" max="16384" width="9" style="76"/>
  </cols>
  <sheetData>
    <row r="1" spans="1:11" ht="23.2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23.2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3.2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23.25" customHeight="1">
      <c r="A4" s="76"/>
      <c r="B4" s="103" t="s">
        <v>251</v>
      </c>
      <c r="C4" s="76"/>
      <c r="D4" s="76"/>
      <c r="E4" s="76"/>
      <c r="F4" s="110"/>
      <c r="G4" s="76"/>
      <c r="H4" s="76"/>
      <c r="I4" s="76"/>
      <c r="J4" s="76"/>
      <c r="K4" s="76"/>
    </row>
    <row r="5" spans="1:11" ht="23.25" customHeight="1">
      <c r="A5" s="76"/>
      <c r="B5" s="102" t="s">
        <v>250</v>
      </c>
      <c r="C5" s="143" t="s">
        <v>254</v>
      </c>
      <c r="D5" s="143"/>
      <c r="E5" s="76"/>
      <c r="F5" s="109"/>
      <c r="G5" s="108"/>
      <c r="H5" s="108"/>
      <c r="I5" s="108"/>
      <c r="J5" s="107"/>
      <c r="K5" s="76"/>
    </row>
    <row r="6" spans="1:11" ht="23.25" customHeight="1">
      <c r="A6" s="76"/>
      <c r="B6" s="101" t="s">
        <v>249</v>
      </c>
      <c r="C6" s="144" t="s">
        <v>253</v>
      </c>
      <c r="D6" s="144"/>
      <c r="E6" s="76"/>
      <c r="F6" s="100"/>
      <c r="G6" s="76"/>
      <c r="H6" s="76"/>
      <c r="I6" s="76"/>
      <c r="J6" s="99"/>
      <c r="K6" s="76"/>
    </row>
    <row r="7" spans="1:11" ht="23.25" customHeight="1">
      <c r="A7" s="76"/>
      <c r="B7" s="101" t="s">
        <v>248</v>
      </c>
      <c r="C7" s="144" t="s">
        <v>252</v>
      </c>
      <c r="D7" s="144"/>
      <c r="E7" s="76"/>
      <c r="F7" s="100"/>
      <c r="G7" s="76"/>
      <c r="H7" s="76"/>
      <c r="I7" s="76"/>
      <c r="J7" s="99"/>
      <c r="K7" s="76"/>
    </row>
    <row r="8" spans="1:11" ht="23.25" customHeight="1">
      <c r="A8" s="76"/>
      <c r="B8" s="101" t="s">
        <v>247</v>
      </c>
      <c r="C8" s="144" t="s">
        <v>252</v>
      </c>
      <c r="D8" s="144"/>
      <c r="E8" s="76"/>
      <c r="F8" s="100"/>
      <c r="G8" s="76"/>
      <c r="H8" s="76"/>
      <c r="I8" s="76"/>
      <c r="J8" s="99"/>
      <c r="K8" s="76"/>
    </row>
    <row r="9" spans="1:11" ht="23.25" customHeight="1">
      <c r="A9" s="79" t="s">
        <v>0</v>
      </c>
      <c r="B9" s="98" t="s">
        <v>246</v>
      </c>
      <c r="C9" s="145" t="s">
        <v>118</v>
      </c>
      <c r="D9" s="145"/>
      <c r="E9" s="76"/>
      <c r="F9" s="100"/>
      <c r="G9" s="76"/>
      <c r="H9" s="76"/>
      <c r="I9" s="76"/>
      <c r="J9" s="99"/>
      <c r="K9" s="76"/>
    </row>
    <row r="10" spans="1:11" ht="23.25" customHeight="1">
      <c r="A10" s="76"/>
      <c r="B10" s="78"/>
      <c r="C10" s="76"/>
      <c r="D10" s="76"/>
      <c r="E10" s="76"/>
      <c r="F10" s="100"/>
      <c r="G10" s="76"/>
      <c r="H10" s="76"/>
      <c r="I10" s="76"/>
      <c r="J10" s="99"/>
      <c r="K10" s="76"/>
    </row>
    <row r="11" spans="1:11" ht="23.25" customHeight="1">
      <c r="A11" s="76"/>
      <c r="B11" s="106" t="s">
        <v>245</v>
      </c>
      <c r="C11" s="76"/>
      <c r="D11" s="76"/>
      <c r="E11" s="76"/>
      <c r="F11" s="100"/>
      <c r="G11" s="76"/>
      <c r="H11" s="76"/>
      <c r="I11" s="76"/>
      <c r="J11" s="99"/>
      <c r="K11" s="76"/>
    </row>
    <row r="12" spans="1:11" ht="23.25" customHeight="1">
      <c r="A12" s="76"/>
      <c r="B12" s="102" t="s">
        <v>2</v>
      </c>
      <c r="C12" s="141">
        <f>내역!L16</f>
        <v>45782547.850000001</v>
      </c>
      <c r="D12" s="141"/>
      <c r="E12" s="76"/>
      <c r="F12" s="100"/>
      <c r="G12" s="76"/>
      <c r="H12" s="76"/>
      <c r="I12" s="76"/>
      <c r="J12" s="99"/>
      <c r="K12" s="76"/>
    </row>
    <row r="13" spans="1:11" ht="23.25" customHeight="1">
      <c r="A13" s="76"/>
      <c r="B13" s="101" t="s">
        <v>1</v>
      </c>
      <c r="C13" s="140">
        <f>내역!L23</f>
        <v>4578254.7850000001</v>
      </c>
      <c r="D13" s="140"/>
      <c r="E13" s="76"/>
      <c r="F13" s="100"/>
      <c r="G13" s="76"/>
      <c r="H13" s="76"/>
      <c r="I13" s="76"/>
      <c r="J13" s="99"/>
      <c r="K13" s="76"/>
    </row>
    <row r="14" spans="1:11" ht="23.25" customHeight="1">
      <c r="A14" s="76"/>
      <c r="B14" s="101" t="s">
        <v>244</v>
      </c>
      <c r="C14" s="140">
        <f>내역!L24</f>
        <v>50360802.635000005</v>
      </c>
      <c r="D14" s="140"/>
      <c r="E14" s="76"/>
      <c r="F14" s="100"/>
      <c r="G14" s="76"/>
      <c r="H14" s="76"/>
      <c r="I14" s="76"/>
      <c r="J14" s="99"/>
      <c r="K14" s="76"/>
    </row>
    <row r="15" spans="1:11" ht="23.25" customHeight="1">
      <c r="A15" s="76"/>
      <c r="B15" s="105" t="s">
        <v>243</v>
      </c>
      <c r="C15" s="142">
        <f>내역!L25</f>
        <v>50300000</v>
      </c>
      <c r="D15" s="142"/>
      <c r="E15" s="76"/>
      <c r="F15" s="100"/>
      <c r="G15" s="76"/>
      <c r="H15" s="76"/>
      <c r="I15" s="76"/>
      <c r="J15" s="99"/>
      <c r="K15" s="76"/>
    </row>
    <row r="16" spans="1:11" ht="23.25" customHeight="1">
      <c r="A16" s="76"/>
      <c r="B16" s="76"/>
      <c r="C16" s="104"/>
      <c r="D16" s="76"/>
      <c r="E16" s="76"/>
      <c r="F16" s="100"/>
      <c r="G16" s="76"/>
      <c r="H16" s="76"/>
      <c r="I16" s="76"/>
      <c r="J16" s="99"/>
      <c r="K16" s="76"/>
    </row>
    <row r="17" spans="1:28" ht="23.25" customHeight="1">
      <c r="A17" s="76"/>
      <c r="B17" s="103" t="s">
        <v>242</v>
      </c>
      <c r="C17" s="76"/>
      <c r="D17" s="76"/>
      <c r="E17" s="76"/>
      <c r="F17" s="100"/>
      <c r="G17" s="76"/>
      <c r="H17" s="76"/>
      <c r="I17" s="76"/>
      <c r="J17" s="99"/>
      <c r="K17" s="76"/>
    </row>
    <row r="18" spans="1:28" ht="23.25" customHeight="1">
      <c r="A18" s="76"/>
      <c r="B18" s="102" t="s">
        <v>241</v>
      </c>
      <c r="C18" s="143" t="s">
        <v>240</v>
      </c>
      <c r="D18" s="143"/>
      <c r="E18" s="76"/>
      <c r="F18" s="100"/>
      <c r="G18" s="76"/>
      <c r="H18" s="76"/>
      <c r="I18" s="76"/>
      <c r="J18" s="99"/>
      <c r="K18" s="76"/>
    </row>
    <row r="19" spans="1:28" ht="23.25" customHeight="1">
      <c r="A19" s="76"/>
      <c r="B19" s="101" t="s">
        <v>239</v>
      </c>
      <c r="C19" s="144" t="s">
        <v>238</v>
      </c>
      <c r="D19" s="144"/>
      <c r="E19" s="76"/>
      <c r="F19" s="100"/>
      <c r="G19" s="76"/>
      <c r="H19" s="76"/>
      <c r="I19" s="76"/>
      <c r="J19" s="99"/>
      <c r="K19" s="76"/>
    </row>
    <row r="20" spans="1:28" ht="23.25" customHeight="1">
      <c r="A20" s="76"/>
      <c r="B20" s="101" t="s">
        <v>236</v>
      </c>
      <c r="C20" s="144" t="s">
        <v>237</v>
      </c>
      <c r="D20" s="144"/>
      <c r="E20" s="76"/>
      <c r="F20" s="100"/>
      <c r="G20" s="76"/>
      <c r="H20" s="76"/>
      <c r="I20" s="76"/>
      <c r="J20" s="99"/>
      <c r="K20" s="76"/>
    </row>
    <row r="21" spans="1:28" ht="23.25" customHeight="1">
      <c r="A21" s="76"/>
      <c r="B21" s="101" t="s">
        <v>236</v>
      </c>
      <c r="C21" s="146" t="s">
        <v>235</v>
      </c>
      <c r="D21" s="146"/>
      <c r="E21" s="76"/>
      <c r="F21" s="100"/>
      <c r="G21" s="76"/>
      <c r="H21" s="76"/>
      <c r="I21" s="76"/>
      <c r="J21" s="99"/>
      <c r="K21" s="76"/>
    </row>
    <row r="22" spans="1:28" ht="23.25" customHeight="1">
      <c r="A22" s="76"/>
      <c r="B22" s="101" t="s">
        <v>234</v>
      </c>
      <c r="C22" s="144" t="s">
        <v>233</v>
      </c>
      <c r="D22" s="144"/>
      <c r="E22" s="76"/>
      <c r="F22" s="100"/>
      <c r="G22" s="76"/>
      <c r="H22" s="76"/>
      <c r="I22" s="76"/>
      <c r="J22" s="99"/>
      <c r="K22" s="76"/>
    </row>
    <row r="23" spans="1:28" ht="23.25" customHeight="1">
      <c r="A23" s="76"/>
      <c r="B23" s="98" t="s">
        <v>232</v>
      </c>
      <c r="C23" s="147" t="s">
        <v>231</v>
      </c>
      <c r="D23" s="148"/>
      <c r="E23" s="76"/>
      <c r="F23" s="97"/>
      <c r="G23" s="96"/>
      <c r="H23" s="96"/>
      <c r="I23" s="96"/>
      <c r="J23" s="95"/>
      <c r="K23" s="76"/>
    </row>
    <row r="24" spans="1:28" ht="23.25" customHeight="1">
      <c r="A24" s="76"/>
      <c r="C24" s="94"/>
      <c r="D24" s="79"/>
      <c r="E24" s="76"/>
      <c r="F24" s="76"/>
      <c r="G24" s="76"/>
      <c r="H24" s="76"/>
      <c r="I24" s="76"/>
      <c r="J24" s="76"/>
      <c r="K24" s="76"/>
    </row>
    <row r="26" spans="1:28" ht="23.25" customHeight="1" thickBot="1"/>
    <row r="27" spans="1:28" ht="23.25" customHeight="1">
      <c r="L27" s="93" t="s">
        <v>5</v>
      </c>
      <c r="M27" s="135"/>
      <c r="N27" s="136"/>
      <c r="O27" s="92" t="s">
        <v>6</v>
      </c>
      <c r="P27" s="135"/>
      <c r="Q27" s="136"/>
      <c r="R27" s="91" t="s">
        <v>7</v>
      </c>
      <c r="S27" s="137"/>
      <c r="T27" s="138"/>
      <c r="U27" s="138"/>
      <c r="V27" s="138"/>
      <c r="W27" s="138"/>
      <c r="X27" s="139"/>
      <c r="Y27" s="91" t="s">
        <v>3</v>
      </c>
      <c r="Z27" s="90"/>
      <c r="AA27" s="89"/>
      <c r="AB27" s="88"/>
    </row>
    <row r="28" spans="1:28" ht="23.25" customHeight="1">
      <c r="L28" s="129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1"/>
    </row>
    <row r="29" spans="1:28" ht="23.25" customHeight="1" thickBot="1">
      <c r="L29" s="87" t="s">
        <v>8</v>
      </c>
      <c r="M29" s="86" t="s">
        <v>12</v>
      </c>
      <c r="N29" s="132" t="e">
        <f>NUMBERSTRING(#REF!,1)</f>
        <v>#REF!</v>
      </c>
      <c r="O29" s="132"/>
      <c r="P29" s="132"/>
      <c r="Q29" s="132"/>
      <c r="R29" s="83" t="s">
        <v>9</v>
      </c>
      <c r="S29" s="82" t="s">
        <v>10</v>
      </c>
      <c r="T29" s="133" t="e">
        <f>#REF!</f>
        <v>#REF!</v>
      </c>
      <c r="U29" s="134"/>
      <c r="V29" s="85" t="s">
        <v>11</v>
      </c>
      <c r="W29" s="84"/>
      <c r="X29" s="81"/>
      <c r="Y29" s="83" t="s">
        <v>4</v>
      </c>
      <c r="Z29" s="82"/>
      <c r="AA29" s="81"/>
      <c r="AB29" s="80"/>
    </row>
  </sheetData>
  <mergeCells count="21">
    <mergeCell ref="C18:D18"/>
    <mergeCell ref="C19:D19"/>
    <mergeCell ref="C22:D22"/>
    <mergeCell ref="C21:D21"/>
    <mergeCell ref="C23:D23"/>
    <mergeCell ref="C20:D20"/>
    <mergeCell ref="C13:D13"/>
    <mergeCell ref="C12:D12"/>
    <mergeCell ref="C14:D14"/>
    <mergeCell ref="C15:D15"/>
    <mergeCell ref="C5:D5"/>
    <mergeCell ref="C6:D6"/>
    <mergeCell ref="C7:D7"/>
    <mergeCell ref="C8:D8"/>
    <mergeCell ref="C9:D9"/>
    <mergeCell ref="L28:AB28"/>
    <mergeCell ref="N29:Q29"/>
    <mergeCell ref="T29:U29"/>
    <mergeCell ref="M27:N27"/>
    <mergeCell ref="P27:Q27"/>
    <mergeCell ref="S27:X27"/>
  </mergeCells>
  <phoneticPr fontId="1" type="noConversion"/>
  <hyperlinks>
    <hyperlink ref="C21" r:id="rId1" xr:uid="{00000000-0004-0000-0000-000000000000}"/>
  </hyperlinks>
  <printOptions horizontalCentered="1" verticalCentered="1"/>
  <pageMargins left="0" right="0" top="0" bottom="0" header="0" footer="0"/>
  <pageSetup paperSize="9" fitToHeight="2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22"/>
  <sheetViews>
    <sheetView view="pageBreakPreview" zoomScale="90" zoomScaleSheetLayoutView="90" workbookViewId="0">
      <pane ySplit="1" topLeftCell="A199" activePane="bottomLeft" state="frozen"/>
      <selection pane="bottomLeft" activeCell="B38" sqref="B38"/>
    </sheetView>
  </sheetViews>
  <sheetFormatPr defaultColWidth="9" defaultRowHeight="24" customHeight="1"/>
  <cols>
    <col min="1" max="1" width="4.625" style="6" customWidth="1"/>
    <col min="2" max="2" width="25.5" style="7" customWidth="1"/>
    <col min="3" max="3" width="27.375" style="7" customWidth="1"/>
    <col min="4" max="4" width="10.625" style="7" customWidth="1"/>
    <col min="5" max="5" width="7.375" style="8" customWidth="1"/>
    <col min="6" max="6" width="6.625" style="6" customWidth="1"/>
    <col min="7" max="7" width="11.625" style="9" customWidth="1"/>
    <col min="8" max="8" width="15.625" style="9" customWidth="1"/>
    <col min="9" max="9" width="11.625" style="9" customWidth="1"/>
    <col min="10" max="10" width="15.625" style="9" customWidth="1"/>
    <col min="11" max="11" width="11.625" style="9" customWidth="1"/>
    <col min="12" max="12" width="15.625" style="9" customWidth="1"/>
    <col min="13" max="13" width="8.125" style="9" customWidth="1"/>
    <col min="14" max="14" width="14" style="1" customWidth="1"/>
    <col min="15" max="16384" width="9" style="1"/>
  </cols>
  <sheetData>
    <row r="1" spans="1:14" ht="32.1" customHeight="1">
      <c r="A1" s="13" t="s">
        <v>15</v>
      </c>
      <c r="B1" s="14" t="s">
        <v>16</v>
      </c>
      <c r="C1" s="14" t="s">
        <v>221</v>
      </c>
      <c r="D1" s="14" t="s">
        <v>17</v>
      </c>
      <c r="E1" s="15" t="s">
        <v>18</v>
      </c>
      <c r="F1" s="14" t="s">
        <v>19</v>
      </c>
      <c r="G1" s="158" t="s">
        <v>208</v>
      </c>
      <c r="H1" s="158"/>
      <c r="I1" s="158" t="s">
        <v>209</v>
      </c>
      <c r="J1" s="158"/>
      <c r="K1" s="158" t="s">
        <v>38</v>
      </c>
      <c r="L1" s="158"/>
      <c r="M1" s="16" t="s">
        <v>20</v>
      </c>
    </row>
    <row r="2" spans="1:14" s="12" customFormat="1" ht="32.1" customHeight="1">
      <c r="A2" s="17" t="s">
        <v>21</v>
      </c>
      <c r="B2" s="18" t="s">
        <v>22</v>
      </c>
      <c r="C2" s="18" t="s">
        <v>222</v>
      </c>
      <c r="D2" s="74" t="s">
        <v>223</v>
      </c>
      <c r="E2" s="18" t="s">
        <v>14</v>
      </c>
      <c r="F2" s="18" t="s">
        <v>23</v>
      </c>
      <c r="G2" s="19" t="s">
        <v>24</v>
      </c>
      <c r="H2" s="19" t="s">
        <v>25</v>
      </c>
      <c r="I2" s="19" t="s">
        <v>24</v>
      </c>
      <c r="J2" s="19" t="s">
        <v>25</v>
      </c>
      <c r="K2" s="19" t="s">
        <v>24</v>
      </c>
      <c r="L2" s="19" t="s">
        <v>25</v>
      </c>
      <c r="M2" s="20"/>
    </row>
    <row r="3" spans="1:14" ht="26.45" customHeight="1">
      <c r="A3" s="111" t="s">
        <v>230</v>
      </c>
      <c r="B3" s="156" t="s">
        <v>210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9"/>
      <c r="N3" s="1" t="s">
        <v>286</v>
      </c>
    </row>
    <row r="4" spans="1:14" ht="26.45" customHeight="1">
      <c r="A4" s="112">
        <v>1</v>
      </c>
      <c r="B4" s="31" t="s">
        <v>26</v>
      </c>
      <c r="C4" s="32"/>
      <c r="D4" s="32"/>
      <c r="E4" s="33">
        <f>1</f>
        <v>1</v>
      </c>
      <c r="F4" s="34" t="s">
        <v>27</v>
      </c>
      <c r="G4" s="35"/>
      <c r="H4" s="35">
        <f>H37</f>
        <v>1125872</v>
      </c>
      <c r="I4" s="35"/>
      <c r="J4" s="35">
        <f>J37</f>
        <v>856480</v>
      </c>
      <c r="K4" s="35"/>
      <c r="L4" s="35">
        <f>L37</f>
        <v>1982352</v>
      </c>
      <c r="M4" s="113"/>
    </row>
    <row r="5" spans="1:14" ht="26.45" customHeight="1">
      <c r="A5" s="112">
        <v>2</v>
      </c>
      <c r="B5" s="31" t="s">
        <v>28</v>
      </c>
      <c r="C5" s="32"/>
      <c r="D5" s="32"/>
      <c r="E5" s="33">
        <f>1</f>
        <v>1</v>
      </c>
      <c r="F5" s="34" t="s">
        <v>27</v>
      </c>
      <c r="G5" s="35"/>
      <c r="H5" s="35">
        <f>H54</f>
        <v>2407920</v>
      </c>
      <c r="I5" s="35"/>
      <c r="J5" s="35">
        <f>J54</f>
        <v>2261800</v>
      </c>
      <c r="K5" s="35"/>
      <c r="L5" s="35">
        <f>L54</f>
        <v>4669720</v>
      </c>
      <c r="M5" s="113"/>
    </row>
    <row r="6" spans="1:14" ht="26.45" customHeight="1">
      <c r="A6" s="112">
        <v>3</v>
      </c>
      <c r="B6" s="31" t="s">
        <v>29</v>
      </c>
      <c r="C6" s="32"/>
      <c r="D6" s="32"/>
      <c r="E6" s="33">
        <f>1</f>
        <v>1</v>
      </c>
      <c r="F6" s="34" t="s">
        <v>27</v>
      </c>
      <c r="G6" s="35"/>
      <c r="H6" s="35">
        <f>H84</f>
        <v>1672000</v>
      </c>
      <c r="I6" s="35"/>
      <c r="J6" s="35">
        <f>J84</f>
        <v>1740000</v>
      </c>
      <c r="K6" s="35"/>
      <c r="L6" s="35">
        <f>L84</f>
        <v>3412000</v>
      </c>
      <c r="M6" s="113"/>
    </row>
    <row r="7" spans="1:14" ht="26.45" customHeight="1">
      <c r="A7" s="112">
        <v>4</v>
      </c>
      <c r="B7" s="31" t="s">
        <v>30</v>
      </c>
      <c r="C7" s="32"/>
      <c r="D7" s="32"/>
      <c r="E7" s="33">
        <f>1</f>
        <v>1</v>
      </c>
      <c r="F7" s="34" t="s">
        <v>27</v>
      </c>
      <c r="G7" s="35"/>
      <c r="H7" s="35">
        <f>H118</f>
        <v>2651176</v>
      </c>
      <c r="I7" s="35"/>
      <c r="J7" s="35">
        <f>J118</f>
        <v>1470000</v>
      </c>
      <c r="K7" s="35"/>
      <c r="L7" s="35">
        <f>L118</f>
        <v>4121176</v>
      </c>
      <c r="M7" s="113"/>
    </row>
    <row r="8" spans="1:14" ht="26.45" customHeight="1">
      <c r="A8" s="112">
        <v>5</v>
      </c>
      <c r="B8" s="37" t="s">
        <v>31</v>
      </c>
      <c r="C8" s="32"/>
      <c r="D8" s="32"/>
      <c r="E8" s="33">
        <f>1</f>
        <v>1</v>
      </c>
      <c r="F8" s="34" t="s">
        <v>27</v>
      </c>
      <c r="G8" s="35"/>
      <c r="H8" s="35">
        <f>H126</f>
        <v>827579.85</v>
      </c>
      <c r="I8" s="35"/>
      <c r="J8" s="35">
        <f>J126</f>
        <v>1620000</v>
      </c>
      <c r="K8" s="35"/>
      <c r="L8" s="35">
        <f>L126</f>
        <v>2447579.85</v>
      </c>
      <c r="M8" s="113"/>
    </row>
    <row r="9" spans="1:14" ht="26.45" customHeight="1">
      <c r="A9" s="112">
        <v>6</v>
      </c>
      <c r="B9" s="31" t="s">
        <v>32</v>
      </c>
      <c r="C9" s="32"/>
      <c r="D9" s="32"/>
      <c r="E9" s="33">
        <f>1</f>
        <v>1</v>
      </c>
      <c r="F9" s="34" t="s">
        <v>27</v>
      </c>
      <c r="G9" s="35"/>
      <c r="H9" s="35">
        <f>H142</f>
        <v>1701000</v>
      </c>
      <c r="I9" s="35"/>
      <c r="J9" s="35">
        <f>J142</f>
        <v>2320000</v>
      </c>
      <c r="K9" s="35"/>
      <c r="L9" s="35">
        <f>L142</f>
        <v>4021000</v>
      </c>
      <c r="M9" s="113"/>
    </row>
    <row r="10" spans="1:14" ht="26.45" customHeight="1">
      <c r="A10" s="112">
        <v>7</v>
      </c>
      <c r="B10" s="38" t="s">
        <v>33</v>
      </c>
      <c r="C10" s="32"/>
      <c r="D10" s="32"/>
      <c r="E10" s="33">
        <f>1</f>
        <v>1</v>
      </c>
      <c r="F10" s="34" t="s">
        <v>27</v>
      </c>
      <c r="G10" s="35"/>
      <c r="H10" s="35">
        <f>H173</f>
        <v>1461000</v>
      </c>
      <c r="I10" s="35"/>
      <c r="J10" s="35">
        <f>J173</f>
        <v>260000</v>
      </c>
      <c r="K10" s="35"/>
      <c r="L10" s="35">
        <f>L173</f>
        <v>1721000</v>
      </c>
      <c r="M10" s="113"/>
    </row>
    <row r="11" spans="1:14" ht="26.45" customHeight="1">
      <c r="A11" s="112">
        <v>8</v>
      </c>
      <c r="B11" s="31" t="s">
        <v>34</v>
      </c>
      <c r="C11" s="32"/>
      <c r="D11" s="32"/>
      <c r="E11" s="33">
        <f>1</f>
        <v>1</v>
      </c>
      <c r="F11" s="34" t="s">
        <v>27</v>
      </c>
      <c r="G11" s="35"/>
      <c r="H11" s="35">
        <f>H185</f>
        <v>4900000</v>
      </c>
      <c r="I11" s="35"/>
      <c r="J11" s="35">
        <f>J185</f>
        <v>0</v>
      </c>
      <c r="K11" s="35"/>
      <c r="L11" s="35">
        <f>L185</f>
        <v>5330000</v>
      </c>
      <c r="M11" s="113"/>
    </row>
    <row r="12" spans="1:14" ht="26.45" customHeight="1">
      <c r="A12" s="112">
        <v>9</v>
      </c>
      <c r="B12" s="31" t="s">
        <v>35</v>
      </c>
      <c r="C12" s="32"/>
      <c r="D12" s="32"/>
      <c r="E12" s="33">
        <f>1</f>
        <v>1</v>
      </c>
      <c r="F12" s="34" t="s">
        <v>27</v>
      </c>
      <c r="G12" s="35"/>
      <c r="H12" s="35">
        <f>H202</f>
        <v>8031200</v>
      </c>
      <c r="I12" s="35"/>
      <c r="J12" s="35">
        <f>J202</f>
        <v>0</v>
      </c>
      <c r="K12" s="35"/>
      <c r="L12" s="35">
        <f>L202</f>
        <v>8031200</v>
      </c>
      <c r="M12" s="113"/>
    </row>
    <row r="13" spans="1:14" ht="26.45" customHeight="1">
      <c r="A13" s="112">
        <v>10</v>
      </c>
      <c r="B13" s="31" t="s">
        <v>36</v>
      </c>
      <c r="C13" s="32"/>
      <c r="D13" s="32"/>
      <c r="E13" s="33">
        <f>1</f>
        <v>1</v>
      </c>
      <c r="F13" s="34" t="s">
        <v>27</v>
      </c>
      <c r="G13" s="35"/>
      <c r="H13" s="35">
        <f>H208</f>
        <v>373280</v>
      </c>
      <c r="I13" s="35"/>
      <c r="J13" s="35">
        <f>J208</f>
        <v>803240</v>
      </c>
      <c r="K13" s="35"/>
      <c r="L13" s="35">
        <f>L208</f>
        <v>1176520</v>
      </c>
      <c r="M13" s="113"/>
    </row>
    <row r="14" spans="1:14" ht="26.45" customHeight="1">
      <c r="A14" s="112">
        <v>11</v>
      </c>
      <c r="B14" s="31" t="s">
        <v>284</v>
      </c>
      <c r="C14" s="32"/>
      <c r="D14" s="32"/>
      <c r="E14" s="33">
        <f>1</f>
        <v>1</v>
      </c>
      <c r="F14" s="34" t="s">
        <v>27</v>
      </c>
      <c r="G14" s="35"/>
      <c r="H14" s="35">
        <f>H215</f>
        <v>1798000</v>
      </c>
      <c r="I14" s="35"/>
      <c r="J14" s="35">
        <f>J212</f>
        <v>522000</v>
      </c>
      <c r="K14" s="35"/>
      <c r="L14" s="35">
        <f>L215</f>
        <v>2320000</v>
      </c>
      <c r="M14" s="113"/>
    </row>
    <row r="15" spans="1:14" ht="26.45" customHeight="1">
      <c r="A15" s="112">
        <v>12</v>
      </c>
      <c r="B15" s="31" t="s">
        <v>37</v>
      </c>
      <c r="C15" s="32"/>
      <c r="D15" s="32"/>
      <c r="E15" s="33">
        <f>1</f>
        <v>1</v>
      </c>
      <c r="F15" s="34" t="s">
        <v>27</v>
      </c>
      <c r="G15" s="35"/>
      <c r="H15" s="35">
        <f>H221</f>
        <v>5050000</v>
      </c>
      <c r="I15" s="35"/>
      <c r="J15" s="35">
        <f>J221</f>
        <v>1500000</v>
      </c>
      <c r="K15" s="35"/>
      <c r="L15" s="35">
        <f>L221</f>
        <v>6550000</v>
      </c>
      <c r="M15" s="113"/>
    </row>
    <row r="16" spans="1:14" ht="26.45" customHeight="1">
      <c r="A16" s="160" t="s">
        <v>211</v>
      </c>
      <c r="B16" s="161"/>
      <c r="C16" s="161"/>
      <c r="D16" s="161"/>
      <c r="E16" s="161"/>
      <c r="F16" s="161"/>
      <c r="G16" s="161"/>
      <c r="H16" s="114">
        <f>SUM(H4:H15)</f>
        <v>31999027.850000001</v>
      </c>
      <c r="I16" s="114"/>
      <c r="J16" s="114">
        <f>SUM(J4:J15)</f>
        <v>13353520</v>
      </c>
      <c r="K16" s="114"/>
      <c r="L16" s="114">
        <f>SUM(L4:L15)</f>
        <v>45782547.850000001</v>
      </c>
      <c r="M16" s="115"/>
    </row>
    <row r="17" spans="1:14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4" ht="26.45" customHeight="1">
      <c r="A18" s="73" t="s">
        <v>230</v>
      </c>
      <c r="B18" s="156" t="s">
        <v>214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7"/>
    </row>
    <row r="19" spans="1:14" ht="26.45" customHeight="1">
      <c r="A19" s="30" t="s">
        <v>212</v>
      </c>
      <c r="B19" s="31" t="s">
        <v>213</v>
      </c>
      <c r="C19" s="42" t="s">
        <v>215</v>
      </c>
      <c r="D19" s="43"/>
      <c r="E19" s="44">
        <f>1</f>
        <v>1</v>
      </c>
      <c r="F19" s="45" t="s">
        <v>27</v>
      </c>
      <c r="G19" s="46"/>
      <c r="H19" s="46">
        <v>0</v>
      </c>
      <c r="I19" s="116"/>
      <c r="J19" s="46"/>
      <c r="K19" s="46"/>
      <c r="L19" s="46"/>
      <c r="M19" s="36"/>
    </row>
    <row r="20" spans="1:14" ht="26.45" customHeight="1">
      <c r="A20" s="41" t="s">
        <v>216</v>
      </c>
      <c r="B20" s="42" t="s">
        <v>219</v>
      </c>
      <c r="C20" s="42" t="s">
        <v>220</v>
      </c>
      <c r="D20" s="43"/>
      <c r="E20" s="44">
        <f>1</f>
        <v>1</v>
      </c>
      <c r="F20" s="45" t="s">
        <v>27</v>
      </c>
      <c r="G20" s="46"/>
      <c r="H20" s="46">
        <v>0</v>
      </c>
      <c r="I20" s="46"/>
      <c r="J20" s="46"/>
      <c r="K20" s="46"/>
      <c r="L20" s="46"/>
      <c r="M20" s="36"/>
    </row>
    <row r="21" spans="1:14" ht="26.45" customHeight="1">
      <c r="A21" s="41" t="s">
        <v>217</v>
      </c>
      <c r="B21" s="42" t="s">
        <v>224</v>
      </c>
      <c r="C21" s="42" t="s">
        <v>225</v>
      </c>
      <c r="D21" s="43"/>
      <c r="E21" s="44">
        <f>1</f>
        <v>1</v>
      </c>
      <c r="F21" s="45" t="s">
        <v>27</v>
      </c>
      <c r="G21" s="46"/>
      <c r="H21" s="46">
        <v>0</v>
      </c>
      <c r="I21" s="46"/>
      <c r="J21" s="46"/>
      <c r="K21" s="46"/>
      <c r="L21" s="46"/>
      <c r="M21" s="36"/>
    </row>
    <row r="22" spans="1:14" ht="26.45" customHeight="1">
      <c r="A22" s="41" t="s">
        <v>218</v>
      </c>
      <c r="B22" s="42" t="s">
        <v>226</v>
      </c>
      <c r="C22" s="42" t="s">
        <v>227</v>
      </c>
      <c r="D22" s="43"/>
      <c r="E22" s="44">
        <f>1</f>
        <v>1</v>
      </c>
      <c r="F22" s="45" t="s">
        <v>27</v>
      </c>
      <c r="G22" s="46"/>
      <c r="H22" s="46">
        <v>0</v>
      </c>
      <c r="I22" s="46"/>
      <c r="J22" s="46"/>
      <c r="K22" s="46"/>
      <c r="L22" s="46">
        <f>L16*10%</f>
        <v>4578254.7850000001</v>
      </c>
      <c r="M22" s="36"/>
    </row>
    <row r="23" spans="1:14" ht="26.45" customHeight="1">
      <c r="A23" s="152" t="s">
        <v>211</v>
      </c>
      <c r="B23" s="153"/>
      <c r="C23" s="153"/>
      <c r="D23" s="153"/>
      <c r="E23" s="153"/>
      <c r="F23" s="153"/>
      <c r="G23" s="153"/>
      <c r="H23" s="39">
        <f>SUM(E23:G23)</f>
        <v>0</v>
      </c>
      <c r="I23" s="39"/>
      <c r="J23" s="39">
        <f>SUM(G23:I23)</f>
        <v>0</v>
      </c>
      <c r="K23" s="39"/>
      <c r="L23" s="39">
        <f>SUM(L17:L22)</f>
        <v>4578254.7850000001</v>
      </c>
      <c r="M23" s="40"/>
    </row>
    <row r="24" spans="1:14" ht="26.45" customHeight="1">
      <c r="A24" s="154" t="s">
        <v>228</v>
      </c>
      <c r="B24" s="155"/>
      <c r="C24" s="155"/>
      <c r="D24" s="155"/>
      <c r="E24" s="155"/>
      <c r="F24" s="155"/>
      <c r="G24" s="155"/>
      <c r="H24" s="47">
        <f>H16+H23</f>
        <v>31999027.850000001</v>
      </c>
      <c r="I24" s="47"/>
      <c r="J24" s="47">
        <f>J16+J23</f>
        <v>13353520</v>
      </c>
      <c r="K24" s="47"/>
      <c r="L24" s="47">
        <f>L16+L23</f>
        <v>50360802.635000005</v>
      </c>
      <c r="M24" s="48"/>
      <c r="N24" s="2"/>
    </row>
    <row r="25" spans="1:14" ht="24" customHeight="1">
      <c r="A25" s="22"/>
      <c r="B25" s="23"/>
      <c r="C25" s="23"/>
      <c r="D25" s="23"/>
      <c r="E25" s="24"/>
      <c r="F25" s="22"/>
      <c r="G25" s="25"/>
      <c r="H25" s="25"/>
      <c r="I25" s="25"/>
      <c r="J25" s="25"/>
      <c r="K25" s="22" t="s">
        <v>39</v>
      </c>
      <c r="L25" s="117">
        <f>TRUNC(L24,-5)</f>
        <v>50300000</v>
      </c>
      <c r="M25" s="25"/>
    </row>
    <row r="26" spans="1:14" ht="24" customHeight="1">
      <c r="A26" s="75" t="s">
        <v>229</v>
      </c>
      <c r="B26" s="27"/>
      <c r="C26" s="27"/>
      <c r="D26" s="27"/>
      <c r="E26" s="28"/>
      <c r="F26" s="26"/>
      <c r="G26" s="29"/>
      <c r="H26" s="29"/>
      <c r="I26" s="29"/>
      <c r="J26" s="29"/>
      <c r="K26" s="26"/>
      <c r="L26" s="29"/>
      <c r="M26" s="29"/>
    </row>
    <row r="27" spans="1:14" ht="24" customHeight="1">
      <c r="A27" s="27" t="s">
        <v>40</v>
      </c>
      <c r="B27" s="27"/>
      <c r="C27" s="27"/>
      <c r="D27" s="27"/>
      <c r="E27" s="28"/>
      <c r="F27" s="26"/>
      <c r="G27" s="29"/>
      <c r="H27" s="29"/>
      <c r="I27" s="29"/>
      <c r="J27" s="29"/>
      <c r="K27" s="26"/>
      <c r="L27" s="29"/>
      <c r="M27" s="29"/>
    </row>
    <row r="28" spans="1:14" ht="24" customHeight="1">
      <c r="A28" s="27" t="s">
        <v>41</v>
      </c>
      <c r="B28" s="27"/>
      <c r="C28" s="27"/>
      <c r="D28" s="27"/>
      <c r="E28" s="28"/>
      <c r="F28" s="26"/>
      <c r="G28" s="29"/>
      <c r="H28" s="29"/>
      <c r="I28" s="29"/>
      <c r="J28" s="29"/>
      <c r="K28" s="26"/>
      <c r="L28" s="29"/>
      <c r="M28" s="29"/>
    </row>
    <row r="29" spans="1:14" s="10" customFormat="1" ht="24" customHeight="1">
      <c r="A29" s="68">
        <f>A4</f>
        <v>1</v>
      </c>
      <c r="B29" s="70" t="str">
        <f>B4</f>
        <v>가설 공사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3"/>
    </row>
    <row r="30" spans="1:14" ht="24" customHeight="1">
      <c r="A30" s="41"/>
      <c r="B30" s="32" t="s">
        <v>42</v>
      </c>
      <c r="C30" s="32"/>
      <c r="D30" s="32"/>
      <c r="E30" s="33">
        <v>1</v>
      </c>
      <c r="F30" s="49" t="s">
        <v>43</v>
      </c>
      <c r="G30" s="35">
        <v>230000</v>
      </c>
      <c r="H30" s="35">
        <f t="shared" ref="H30:H35" si="0">E30*G30</f>
        <v>230000</v>
      </c>
      <c r="I30" s="35"/>
      <c r="J30" s="35">
        <f t="shared" ref="J30:J35" si="1">E30*I30</f>
        <v>0</v>
      </c>
      <c r="K30" s="35">
        <f t="shared" ref="K30:L35" si="2">G30+I30</f>
        <v>230000</v>
      </c>
      <c r="L30" s="35">
        <f t="shared" si="2"/>
        <v>230000</v>
      </c>
      <c r="M30" s="53"/>
      <c r="N30" s="4"/>
    </row>
    <row r="31" spans="1:14" ht="24" customHeight="1">
      <c r="A31" s="41"/>
      <c r="B31" s="32" t="s">
        <v>294</v>
      </c>
      <c r="C31" s="32" t="s">
        <v>295</v>
      </c>
      <c r="D31" s="34" t="s">
        <v>336</v>
      </c>
      <c r="E31" s="50">
        <v>1</v>
      </c>
      <c r="F31" s="49" t="s">
        <v>43</v>
      </c>
      <c r="G31" s="35">
        <v>480000</v>
      </c>
      <c r="H31" s="35">
        <f t="shared" si="0"/>
        <v>480000</v>
      </c>
      <c r="I31" s="35">
        <v>250000</v>
      </c>
      <c r="J31" s="35">
        <f>E31*I31</f>
        <v>250000</v>
      </c>
      <c r="K31" s="35">
        <f>G31+I31</f>
        <v>730000</v>
      </c>
      <c r="L31" s="35">
        <f>H31+J31</f>
        <v>730000</v>
      </c>
      <c r="M31" s="36"/>
      <c r="N31" s="4"/>
    </row>
    <row r="32" spans="1:14" ht="24" customHeight="1">
      <c r="A32" s="41"/>
      <c r="B32" s="32" t="s">
        <v>44</v>
      </c>
      <c r="C32" s="32" t="s">
        <v>45</v>
      </c>
      <c r="D32" s="34"/>
      <c r="E32" s="50">
        <v>86.64</v>
      </c>
      <c r="F32" s="49" t="s">
        <v>13</v>
      </c>
      <c r="G32" s="35">
        <v>3800</v>
      </c>
      <c r="H32" s="35">
        <f t="shared" si="0"/>
        <v>329232</v>
      </c>
      <c r="I32" s="35"/>
      <c r="J32" s="35">
        <f t="shared" si="1"/>
        <v>0</v>
      </c>
      <c r="K32" s="35">
        <f t="shared" si="2"/>
        <v>3800</v>
      </c>
      <c r="L32" s="35">
        <f t="shared" si="2"/>
        <v>329232</v>
      </c>
      <c r="M32" s="54" t="s">
        <v>330</v>
      </c>
      <c r="N32" s="4"/>
    </row>
    <row r="33" spans="1:14" ht="24" customHeight="1">
      <c r="A33" s="41"/>
      <c r="B33" s="32" t="s">
        <v>46</v>
      </c>
      <c r="C33" s="32"/>
      <c r="D33" s="32"/>
      <c r="E33" s="50">
        <v>86.64</v>
      </c>
      <c r="F33" s="49" t="s">
        <v>13</v>
      </c>
      <c r="G33" s="35">
        <v>1000</v>
      </c>
      <c r="H33" s="35">
        <f t="shared" si="0"/>
        <v>86640</v>
      </c>
      <c r="I33" s="35">
        <v>3000</v>
      </c>
      <c r="J33" s="35">
        <f t="shared" si="1"/>
        <v>259920</v>
      </c>
      <c r="K33" s="35">
        <f t="shared" si="2"/>
        <v>4000</v>
      </c>
      <c r="L33" s="35">
        <f t="shared" si="2"/>
        <v>346560</v>
      </c>
      <c r="M33" s="36"/>
      <c r="N33" s="4"/>
    </row>
    <row r="34" spans="1:14" ht="24" customHeight="1">
      <c r="A34" s="41"/>
      <c r="B34" s="32" t="s">
        <v>47</v>
      </c>
      <c r="C34" s="32"/>
      <c r="D34" s="32"/>
      <c r="E34" s="50">
        <v>86.64</v>
      </c>
      <c r="F34" s="49" t="s">
        <v>13</v>
      </c>
      <c r="G34" s="35"/>
      <c r="H34" s="35">
        <f t="shared" si="0"/>
        <v>0</v>
      </c>
      <c r="I34" s="35">
        <v>1500</v>
      </c>
      <c r="J34" s="35">
        <f t="shared" si="1"/>
        <v>129960</v>
      </c>
      <c r="K34" s="35">
        <f t="shared" si="2"/>
        <v>1500</v>
      </c>
      <c r="L34" s="35">
        <f t="shared" si="2"/>
        <v>129960</v>
      </c>
      <c r="M34" s="36"/>
      <c r="N34" s="4"/>
    </row>
    <row r="35" spans="1:14" ht="24" customHeight="1">
      <c r="A35" s="41"/>
      <c r="B35" s="32" t="s">
        <v>48</v>
      </c>
      <c r="C35" s="32"/>
      <c r="D35" s="32"/>
      <c r="E35" s="50">
        <v>86.64</v>
      </c>
      <c r="F35" s="49" t="s">
        <v>13</v>
      </c>
      <c r="G35" s="35"/>
      <c r="H35" s="35">
        <f t="shared" si="0"/>
        <v>0</v>
      </c>
      <c r="I35" s="35">
        <v>2500</v>
      </c>
      <c r="J35" s="35">
        <f t="shared" si="1"/>
        <v>216600</v>
      </c>
      <c r="K35" s="35">
        <f t="shared" si="2"/>
        <v>2500</v>
      </c>
      <c r="L35" s="35">
        <f t="shared" si="2"/>
        <v>216600</v>
      </c>
      <c r="M35" s="36"/>
      <c r="N35" s="4"/>
    </row>
    <row r="36" spans="1:14" ht="24" customHeight="1">
      <c r="A36" s="41"/>
      <c r="B36" s="32"/>
      <c r="C36" s="32"/>
      <c r="D36" s="32"/>
      <c r="E36" s="33"/>
      <c r="F36" s="34"/>
      <c r="G36" s="35"/>
      <c r="H36" s="35"/>
      <c r="I36" s="35"/>
      <c r="J36" s="35"/>
      <c r="K36" s="35"/>
      <c r="L36" s="35"/>
      <c r="M36" s="36"/>
      <c r="N36" s="4"/>
    </row>
    <row r="37" spans="1:14" ht="24" customHeight="1">
      <c r="A37" s="41"/>
      <c r="B37" s="32" t="s">
        <v>49</v>
      </c>
      <c r="C37" s="32"/>
      <c r="D37" s="32"/>
      <c r="E37" s="33"/>
      <c r="F37" s="34"/>
      <c r="G37" s="35"/>
      <c r="H37" s="35">
        <f>SUM(H30:H36)</f>
        <v>1125872</v>
      </c>
      <c r="I37" s="35"/>
      <c r="J37" s="35">
        <f>SUM(J30:J36)</f>
        <v>856480</v>
      </c>
      <c r="K37" s="35"/>
      <c r="L37" s="35">
        <f>SUM(L30:L36)</f>
        <v>1982352</v>
      </c>
      <c r="M37" s="36"/>
      <c r="N37" s="4"/>
    </row>
    <row r="38" spans="1:14" ht="24" customHeight="1">
      <c r="A38" s="41"/>
      <c r="B38" s="55" t="s">
        <v>335</v>
      </c>
      <c r="C38" s="32"/>
      <c r="D38" s="32"/>
      <c r="E38" s="33"/>
      <c r="F38" s="34"/>
      <c r="G38" s="35"/>
      <c r="H38" s="35"/>
      <c r="I38" s="35"/>
      <c r="J38" s="35"/>
      <c r="K38" s="35"/>
      <c r="L38" s="35"/>
      <c r="M38" s="36"/>
      <c r="N38" s="4"/>
    </row>
    <row r="39" spans="1:14" s="10" customFormat="1" ht="24" customHeight="1">
      <c r="A39" s="66">
        <f>A5</f>
        <v>2</v>
      </c>
      <c r="B39" s="69" t="str">
        <f>B5</f>
        <v>철거,설비 공사</v>
      </c>
      <c r="C39" s="149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1"/>
    </row>
    <row r="40" spans="1:14" ht="24" customHeight="1">
      <c r="A40" s="41"/>
      <c r="B40" s="32" t="s">
        <v>50</v>
      </c>
      <c r="C40" s="51" t="s">
        <v>51</v>
      </c>
      <c r="D40" s="32"/>
      <c r="E40" s="50">
        <v>86.64</v>
      </c>
      <c r="F40" s="49" t="s">
        <v>13</v>
      </c>
      <c r="G40" s="35">
        <v>3000</v>
      </c>
      <c r="H40" s="35">
        <f>E40*G40</f>
        <v>259920</v>
      </c>
      <c r="I40" s="35">
        <v>7500</v>
      </c>
      <c r="J40" s="35">
        <f t="shared" ref="J40:J52" si="3">E40*I40</f>
        <v>649800</v>
      </c>
      <c r="K40" s="35">
        <f t="shared" ref="K40:L52" si="4">G40+I40</f>
        <v>10500</v>
      </c>
      <c r="L40" s="35">
        <f t="shared" si="4"/>
        <v>909720</v>
      </c>
      <c r="M40" s="36"/>
      <c r="N40" s="4"/>
    </row>
    <row r="41" spans="1:14" ht="24" customHeight="1">
      <c r="A41" s="41"/>
      <c r="B41" s="32" t="s">
        <v>52</v>
      </c>
      <c r="C41" s="51" t="s">
        <v>53</v>
      </c>
      <c r="D41" s="32"/>
      <c r="E41" s="50"/>
      <c r="F41" s="49" t="s">
        <v>43</v>
      </c>
      <c r="G41" s="35">
        <v>100000</v>
      </c>
      <c r="H41" s="35">
        <f>E41*G41</f>
        <v>0</v>
      </c>
      <c r="I41" s="35">
        <v>250000</v>
      </c>
      <c r="J41" s="35">
        <f t="shared" si="3"/>
        <v>0</v>
      </c>
      <c r="K41" s="35">
        <f t="shared" si="4"/>
        <v>350000</v>
      </c>
      <c r="L41" s="35">
        <f t="shared" si="4"/>
        <v>0</v>
      </c>
      <c r="M41" s="36"/>
      <c r="N41" s="4"/>
    </row>
    <row r="42" spans="1:14" ht="24" customHeight="1">
      <c r="A42" s="41"/>
      <c r="B42" s="32" t="s">
        <v>54</v>
      </c>
      <c r="C42" s="51" t="s">
        <v>255</v>
      </c>
      <c r="D42" s="32"/>
      <c r="E42" s="50"/>
      <c r="F42" s="49" t="s">
        <v>43</v>
      </c>
      <c r="G42" s="35">
        <v>100000</v>
      </c>
      <c r="H42" s="35">
        <f>E42*G42</f>
        <v>0</v>
      </c>
      <c r="I42" s="35">
        <v>300000</v>
      </c>
      <c r="J42" s="35">
        <f t="shared" si="3"/>
        <v>0</v>
      </c>
      <c r="K42" s="35">
        <f t="shared" si="4"/>
        <v>400000</v>
      </c>
      <c r="L42" s="35">
        <f t="shared" si="4"/>
        <v>0</v>
      </c>
      <c r="M42" s="53" t="s">
        <v>68</v>
      </c>
      <c r="N42" s="4"/>
    </row>
    <row r="43" spans="1:14" ht="24" customHeight="1">
      <c r="A43" s="41"/>
      <c r="B43" s="52" t="s">
        <v>55</v>
      </c>
      <c r="C43" s="51" t="s">
        <v>51</v>
      </c>
      <c r="D43" s="32"/>
      <c r="E43" s="33">
        <v>1</v>
      </c>
      <c r="F43" s="49" t="s">
        <v>56</v>
      </c>
      <c r="G43" s="35">
        <v>200000</v>
      </c>
      <c r="H43" s="35">
        <f t="shared" ref="H43:H52" si="5">E43*G43</f>
        <v>200000</v>
      </c>
      <c r="I43" s="35">
        <v>500000</v>
      </c>
      <c r="J43" s="35">
        <f>E43*I43</f>
        <v>500000</v>
      </c>
      <c r="K43" s="35">
        <f t="shared" si="4"/>
        <v>700000</v>
      </c>
      <c r="L43" s="35">
        <f t="shared" si="4"/>
        <v>700000</v>
      </c>
      <c r="M43" s="36"/>
      <c r="N43" s="4"/>
    </row>
    <row r="44" spans="1:14" ht="24" customHeight="1">
      <c r="A44" s="41"/>
      <c r="B44" s="52" t="s">
        <v>57</v>
      </c>
      <c r="C44" s="51" t="s">
        <v>58</v>
      </c>
      <c r="D44" s="34" t="s">
        <v>321</v>
      </c>
      <c r="E44" s="33">
        <v>56</v>
      </c>
      <c r="F44" s="49" t="s">
        <v>59</v>
      </c>
      <c r="G44" s="35">
        <v>3000</v>
      </c>
      <c r="H44" s="35">
        <f t="shared" si="5"/>
        <v>168000</v>
      </c>
      <c r="I44" s="35">
        <v>7000</v>
      </c>
      <c r="J44" s="35">
        <f t="shared" si="3"/>
        <v>392000</v>
      </c>
      <c r="K44" s="35">
        <f t="shared" si="4"/>
        <v>10000</v>
      </c>
      <c r="L44" s="35">
        <f t="shared" si="4"/>
        <v>560000</v>
      </c>
      <c r="M44" s="53"/>
      <c r="N44" s="4"/>
    </row>
    <row r="45" spans="1:14" ht="24" customHeight="1">
      <c r="A45" s="41"/>
      <c r="B45" s="52" t="s">
        <v>258</v>
      </c>
      <c r="C45" s="51" t="s">
        <v>323</v>
      </c>
      <c r="D45" s="32"/>
      <c r="E45" s="33">
        <v>1</v>
      </c>
      <c r="F45" s="49" t="s">
        <v>56</v>
      </c>
      <c r="G45" s="35">
        <v>30000</v>
      </c>
      <c r="H45" s="35">
        <f>E45*G45</f>
        <v>30000</v>
      </c>
      <c r="I45" s="35">
        <v>50000</v>
      </c>
      <c r="J45" s="35">
        <f>E45*I45</f>
        <v>50000</v>
      </c>
      <c r="K45" s="35">
        <f>G45+I45</f>
        <v>80000</v>
      </c>
      <c r="L45" s="35">
        <f>H45+J45</f>
        <v>80000</v>
      </c>
      <c r="M45" s="36"/>
      <c r="N45" s="4"/>
    </row>
    <row r="46" spans="1:14" ht="24" customHeight="1">
      <c r="A46" s="41"/>
      <c r="B46" s="52" t="s">
        <v>60</v>
      </c>
      <c r="C46" s="51" t="s">
        <v>61</v>
      </c>
      <c r="D46" s="32"/>
      <c r="E46" s="33">
        <v>1</v>
      </c>
      <c r="F46" s="49" t="s">
        <v>56</v>
      </c>
      <c r="G46" s="35">
        <v>100000</v>
      </c>
      <c r="H46" s="35">
        <f t="shared" si="5"/>
        <v>100000</v>
      </c>
      <c r="I46" s="35">
        <v>70000</v>
      </c>
      <c r="J46" s="35">
        <f t="shared" si="3"/>
        <v>70000</v>
      </c>
      <c r="K46" s="35">
        <f t="shared" si="4"/>
        <v>170000</v>
      </c>
      <c r="L46" s="35">
        <f t="shared" si="4"/>
        <v>170000</v>
      </c>
      <c r="M46" s="53" t="s">
        <v>264</v>
      </c>
      <c r="N46" s="4"/>
    </row>
    <row r="47" spans="1:14" ht="24" customHeight="1">
      <c r="A47" s="41"/>
      <c r="B47" s="52" t="s">
        <v>62</v>
      </c>
      <c r="C47" s="51" t="s">
        <v>63</v>
      </c>
      <c r="D47" s="32"/>
      <c r="E47" s="33"/>
      <c r="F47" s="49" t="s">
        <v>56</v>
      </c>
      <c r="G47" s="35">
        <v>70000</v>
      </c>
      <c r="H47" s="35">
        <f t="shared" si="5"/>
        <v>0</v>
      </c>
      <c r="I47" s="35">
        <v>80000</v>
      </c>
      <c r="J47" s="35">
        <f t="shared" si="3"/>
        <v>0</v>
      </c>
      <c r="K47" s="35">
        <f t="shared" si="4"/>
        <v>150000</v>
      </c>
      <c r="L47" s="35">
        <f t="shared" si="4"/>
        <v>0</v>
      </c>
      <c r="M47" s="36"/>
      <c r="N47" s="4"/>
    </row>
    <row r="48" spans="1:14" ht="24" customHeight="1">
      <c r="A48" s="41"/>
      <c r="B48" s="52" t="s">
        <v>64</v>
      </c>
      <c r="C48" s="51" t="s">
        <v>65</v>
      </c>
      <c r="D48" s="34"/>
      <c r="E48" s="33">
        <v>1</v>
      </c>
      <c r="F48" s="49" t="s">
        <v>59</v>
      </c>
      <c r="G48" s="35">
        <v>200000</v>
      </c>
      <c r="H48" s="35">
        <f t="shared" si="5"/>
        <v>200000</v>
      </c>
      <c r="I48" s="35">
        <v>250000</v>
      </c>
      <c r="J48" s="35">
        <f t="shared" si="3"/>
        <v>250000</v>
      </c>
      <c r="K48" s="35">
        <f t="shared" si="4"/>
        <v>450000</v>
      </c>
      <c r="L48" s="35">
        <f t="shared" si="4"/>
        <v>450000</v>
      </c>
      <c r="M48" s="54"/>
      <c r="N48" s="4"/>
    </row>
    <row r="49" spans="1:14" ht="24" customHeight="1">
      <c r="A49" s="41"/>
      <c r="B49" s="52" t="s">
        <v>66</v>
      </c>
      <c r="C49" s="51" t="s">
        <v>322</v>
      </c>
      <c r="D49" s="32"/>
      <c r="E49" s="33">
        <v>1</v>
      </c>
      <c r="F49" s="49" t="s">
        <v>256</v>
      </c>
      <c r="G49" s="35">
        <v>250000</v>
      </c>
      <c r="H49" s="35">
        <f t="shared" si="5"/>
        <v>250000</v>
      </c>
      <c r="I49" s="35">
        <v>350000</v>
      </c>
      <c r="J49" s="35">
        <f t="shared" si="3"/>
        <v>350000</v>
      </c>
      <c r="K49" s="35">
        <f t="shared" si="4"/>
        <v>600000</v>
      </c>
      <c r="L49" s="35">
        <f t="shared" si="4"/>
        <v>600000</v>
      </c>
      <c r="M49" s="54"/>
      <c r="N49" s="4"/>
    </row>
    <row r="50" spans="1:14" ht="24" customHeight="1">
      <c r="A50" s="41"/>
      <c r="B50" s="52" t="s">
        <v>257</v>
      </c>
      <c r="C50" s="51"/>
      <c r="D50" s="32"/>
      <c r="E50" s="33"/>
      <c r="F50" s="49" t="s">
        <v>56</v>
      </c>
      <c r="G50" s="35">
        <v>50000</v>
      </c>
      <c r="H50" s="35">
        <f>E50*G50</f>
        <v>0</v>
      </c>
      <c r="I50" s="35">
        <v>80000</v>
      </c>
      <c r="J50" s="35">
        <f>E50*I50</f>
        <v>0</v>
      </c>
      <c r="K50" s="35">
        <f>G50+I50</f>
        <v>130000</v>
      </c>
      <c r="L50" s="35">
        <f>H50+J50</f>
        <v>0</v>
      </c>
      <c r="M50" s="53"/>
      <c r="N50" s="4"/>
    </row>
    <row r="51" spans="1:14" ht="24" customHeight="1">
      <c r="A51" s="41"/>
      <c r="B51" s="52" t="s">
        <v>67</v>
      </c>
      <c r="C51" s="51"/>
      <c r="D51" s="32"/>
      <c r="E51" s="33"/>
      <c r="F51" s="49" t="s">
        <v>56</v>
      </c>
      <c r="G51" s="35">
        <v>350000</v>
      </c>
      <c r="H51" s="35">
        <f t="shared" si="5"/>
        <v>0</v>
      </c>
      <c r="I51" s="35"/>
      <c r="J51" s="35">
        <f t="shared" si="3"/>
        <v>0</v>
      </c>
      <c r="K51" s="35">
        <f t="shared" si="4"/>
        <v>350000</v>
      </c>
      <c r="L51" s="35">
        <f t="shared" si="4"/>
        <v>0</v>
      </c>
      <c r="M51" s="53"/>
      <c r="N51" s="4"/>
    </row>
    <row r="52" spans="1:14" ht="24" customHeight="1">
      <c r="A52" s="41"/>
      <c r="B52" s="32" t="s">
        <v>69</v>
      </c>
      <c r="C52" s="32" t="s">
        <v>70</v>
      </c>
      <c r="D52" s="32"/>
      <c r="E52" s="33">
        <v>3</v>
      </c>
      <c r="F52" s="34" t="s">
        <v>71</v>
      </c>
      <c r="G52" s="35">
        <v>400000</v>
      </c>
      <c r="H52" s="35">
        <f t="shared" si="5"/>
        <v>1200000</v>
      </c>
      <c r="I52" s="35"/>
      <c r="J52" s="35">
        <f t="shared" si="3"/>
        <v>0</v>
      </c>
      <c r="K52" s="35">
        <f t="shared" si="4"/>
        <v>400000</v>
      </c>
      <c r="L52" s="35">
        <f t="shared" si="4"/>
        <v>1200000</v>
      </c>
      <c r="M52" s="36"/>
      <c r="N52" s="4"/>
    </row>
    <row r="53" spans="1:14" ht="24" customHeight="1">
      <c r="A53" s="41"/>
      <c r="B53" s="55"/>
      <c r="C53" s="32"/>
      <c r="D53" s="32"/>
      <c r="E53" s="33"/>
      <c r="F53" s="34"/>
      <c r="G53" s="35"/>
      <c r="H53" s="35"/>
      <c r="I53" s="35"/>
      <c r="J53" s="35"/>
      <c r="K53" s="35"/>
      <c r="L53" s="35"/>
      <c r="M53" s="36"/>
      <c r="N53" s="4"/>
    </row>
    <row r="54" spans="1:14" ht="24" customHeight="1">
      <c r="A54" s="41"/>
      <c r="B54" s="32" t="s">
        <v>49</v>
      </c>
      <c r="C54" s="32"/>
      <c r="D54" s="32"/>
      <c r="E54" s="33"/>
      <c r="F54" s="34"/>
      <c r="G54" s="35"/>
      <c r="H54" s="35">
        <f>SUM(H40:H53)</f>
        <v>2407920</v>
      </c>
      <c r="I54" s="35"/>
      <c r="J54" s="35">
        <f>SUM(J40:J53)</f>
        <v>2261800</v>
      </c>
      <c r="K54" s="35"/>
      <c r="L54" s="35">
        <f>SUM(L40:L53)</f>
        <v>4669720</v>
      </c>
      <c r="M54" s="36"/>
      <c r="N54" s="4"/>
    </row>
    <row r="55" spans="1:14" ht="24" customHeight="1">
      <c r="A55" s="41"/>
      <c r="B55" s="55" t="s">
        <v>263</v>
      </c>
      <c r="C55" s="32"/>
      <c r="D55" s="32"/>
      <c r="E55" s="33"/>
      <c r="F55" s="34"/>
      <c r="G55" s="35"/>
      <c r="H55" s="35"/>
      <c r="I55" s="35"/>
      <c r="J55" s="35"/>
      <c r="K55" s="35"/>
      <c r="L55" s="35"/>
      <c r="M55" s="36"/>
      <c r="N55" s="4"/>
    </row>
    <row r="56" spans="1:14" s="10" customFormat="1" ht="24" customHeight="1">
      <c r="A56" s="66">
        <f>A6</f>
        <v>3</v>
      </c>
      <c r="B56" s="69" t="str">
        <f>B6</f>
        <v>목공 공사</v>
      </c>
      <c r="C56" s="149"/>
      <c r="D56" s="150"/>
      <c r="E56" s="150"/>
      <c r="F56" s="150"/>
      <c r="G56" s="150"/>
      <c r="H56" s="150"/>
      <c r="I56" s="150"/>
      <c r="J56" s="150"/>
      <c r="K56" s="150"/>
      <c r="L56" s="150"/>
      <c r="M56" s="151"/>
      <c r="N56" s="11"/>
    </row>
    <row r="57" spans="1:14" ht="24" customHeight="1">
      <c r="A57" s="41"/>
      <c r="B57" s="32" t="s">
        <v>72</v>
      </c>
      <c r="C57" s="32"/>
      <c r="D57" s="32"/>
      <c r="E57" s="33"/>
      <c r="F57" s="49"/>
      <c r="G57" s="35"/>
      <c r="H57" s="35"/>
      <c r="I57" s="35"/>
      <c r="J57" s="35"/>
      <c r="K57" s="35"/>
      <c r="L57" s="35"/>
      <c r="M57" s="36"/>
      <c r="N57" s="4"/>
    </row>
    <row r="58" spans="1:14" ht="24" customHeight="1">
      <c r="A58" s="41"/>
      <c r="B58" s="32" t="s">
        <v>73</v>
      </c>
      <c r="C58" s="32" t="s">
        <v>74</v>
      </c>
      <c r="D58" s="32"/>
      <c r="E58" s="33">
        <v>23</v>
      </c>
      <c r="F58" s="49" t="s">
        <v>75</v>
      </c>
      <c r="G58" s="35">
        <v>4000</v>
      </c>
      <c r="H58" s="35">
        <f t="shared" ref="H58:H80" si="6">E58*G58</f>
        <v>92000</v>
      </c>
      <c r="I58" s="35"/>
      <c r="J58" s="35">
        <f t="shared" ref="J58:J82" si="7">E58*I58</f>
        <v>0</v>
      </c>
      <c r="K58" s="35">
        <f t="shared" ref="K58:L74" si="8">G58+I58</f>
        <v>4000</v>
      </c>
      <c r="L58" s="35">
        <f t="shared" si="8"/>
        <v>92000</v>
      </c>
      <c r="M58" s="36"/>
      <c r="N58" s="4"/>
    </row>
    <row r="59" spans="1:14" ht="24" customHeight="1">
      <c r="A59" s="41"/>
      <c r="B59" s="32" t="s">
        <v>76</v>
      </c>
      <c r="C59" s="32" t="s">
        <v>74</v>
      </c>
      <c r="D59" s="32"/>
      <c r="E59" s="33">
        <v>8</v>
      </c>
      <c r="F59" s="49" t="s">
        <v>75</v>
      </c>
      <c r="G59" s="35">
        <v>6000</v>
      </c>
      <c r="H59" s="35">
        <f t="shared" si="6"/>
        <v>48000</v>
      </c>
      <c r="I59" s="35"/>
      <c r="J59" s="35">
        <f t="shared" si="7"/>
        <v>0</v>
      </c>
      <c r="K59" s="35">
        <f t="shared" si="8"/>
        <v>6000</v>
      </c>
      <c r="L59" s="35">
        <f t="shared" si="8"/>
        <v>48000</v>
      </c>
      <c r="M59" s="36"/>
      <c r="N59" s="4"/>
    </row>
    <row r="60" spans="1:14" ht="24" customHeight="1">
      <c r="A60" s="41"/>
      <c r="B60" s="32" t="s">
        <v>77</v>
      </c>
      <c r="C60" s="32" t="s">
        <v>78</v>
      </c>
      <c r="D60" s="32"/>
      <c r="E60" s="33">
        <v>7</v>
      </c>
      <c r="F60" s="49" t="s">
        <v>79</v>
      </c>
      <c r="G60" s="35">
        <v>32500</v>
      </c>
      <c r="H60" s="35">
        <f t="shared" si="6"/>
        <v>227500</v>
      </c>
      <c r="I60" s="35"/>
      <c r="J60" s="35">
        <f t="shared" si="7"/>
        <v>0</v>
      </c>
      <c r="K60" s="35">
        <f t="shared" si="8"/>
        <v>32500</v>
      </c>
      <c r="L60" s="35">
        <f t="shared" si="8"/>
        <v>227500</v>
      </c>
      <c r="M60" s="36"/>
      <c r="N60" s="4"/>
    </row>
    <row r="61" spans="1:14" ht="24" customHeight="1">
      <c r="A61" s="41"/>
      <c r="B61" s="32" t="s">
        <v>80</v>
      </c>
      <c r="C61" s="32" t="s">
        <v>81</v>
      </c>
      <c r="D61" s="32"/>
      <c r="E61" s="33">
        <v>6</v>
      </c>
      <c r="F61" s="49" t="s">
        <v>75</v>
      </c>
      <c r="G61" s="35">
        <v>33000</v>
      </c>
      <c r="H61" s="35">
        <f t="shared" si="6"/>
        <v>198000</v>
      </c>
      <c r="I61" s="35"/>
      <c r="J61" s="35">
        <f t="shared" si="7"/>
        <v>0</v>
      </c>
      <c r="K61" s="35">
        <f t="shared" si="8"/>
        <v>33000</v>
      </c>
      <c r="L61" s="35">
        <f t="shared" si="8"/>
        <v>198000</v>
      </c>
      <c r="M61" s="36"/>
      <c r="N61" s="4"/>
    </row>
    <row r="62" spans="1:14" ht="24" customHeight="1">
      <c r="A62" s="41"/>
      <c r="B62" s="32"/>
      <c r="C62" s="32" t="s">
        <v>82</v>
      </c>
      <c r="D62" s="32"/>
      <c r="E62" s="33"/>
      <c r="F62" s="49" t="s">
        <v>75</v>
      </c>
      <c r="G62" s="35">
        <v>39500</v>
      </c>
      <c r="H62" s="35">
        <f t="shared" si="6"/>
        <v>0</v>
      </c>
      <c r="I62" s="35"/>
      <c r="J62" s="35">
        <f t="shared" si="7"/>
        <v>0</v>
      </c>
      <c r="K62" s="35">
        <f t="shared" si="8"/>
        <v>39500</v>
      </c>
      <c r="L62" s="35">
        <f t="shared" si="8"/>
        <v>0</v>
      </c>
      <c r="M62" s="36"/>
      <c r="N62" s="4"/>
    </row>
    <row r="63" spans="1:14" ht="24" customHeight="1">
      <c r="A63" s="41"/>
      <c r="B63" s="32" t="s">
        <v>83</v>
      </c>
      <c r="C63" s="32" t="s">
        <v>259</v>
      </c>
      <c r="D63" s="32"/>
      <c r="E63" s="33">
        <v>2</v>
      </c>
      <c r="F63" s="49" t="s">
        <v>75</v>
      </c>
      <c r="G63" s="35">
        <v>12000</v>
      </c>
      <c r="H63" s="35">
        <f>E63*G63</f>
        <v>24000</v>
      </c>
      <c r="I63" s="35"/>
      <c r="J63" s="35">
        <f>E63*I63</f>
        <v>0</v>
      </c>
      <c r="K63" s="35">
        <f>G63+I63</f>
        <v>12000</v>
      </c>
      <c r="L63" s="35">
        <f>H63+J63</f>
        <v>24000</v>
      </c>
      <c r="M63" s="36"/>
      <c r="N63" s="4"/>
    </row>
    <row r="64" spans="1:14" ht="24" customHeight="1">
      <c r="A64" s="41"/>
      <c r="B64" s="32"/>
      <c r="C64" s="32" t="s">
        <v>81</v>
      </c>
      <c r="D64" s="32"/>
      <c r="E64" s="33"/>
      <c r="F64" s="49" t="s">
        <v>75</v>
      </c>
      <c r="G64" s="35">
        <v>19500</v>
      </c>
      <c r="H64" s="35">
        <f t="shared" si="6"/>
        <v>0</v>
      </c>
      <c r="I64" s="35"/>
      <c r="J64" s="35">
        <f t="shared" si="7"/>
        <v>0</v>
      </c>
      <c r="K64" s="35">
        <f t="shared" si="8"/>
        <v>19500</v>
      </c>
      <c r="L64" s="35">
        <f t="shared" si="8"/>
        <v>0</v>
      </c>
      <c r="M64" s="36"/>
      <c r="N64" s="4"/>
    </row>
    <row r="65" spans="1:16" ht="24" customHeight="1">
      <c r="A65" s="41"/>
      <c r="B65" s="32"/>
      <c r="C65" s="32" t="s">
        <v>82</v>
      </c>
      <c r="D65" s="32"/>
      <c r="E65" s="33"/>
      <c r="F65" s="49" t="s">
        <v>75</v>
      </c>
      <c r="G65" s="35">
        <v>26500</v>
      </c>
      <c r="H65" s="35">
        <f t="shared" si="6"/>
        <v>0</v>
      </c>
      <c r="I65" s="35"/>
      <c r="J65" s="35">
        <f t="shared" si="7"/>
        <v>0</v>
      </c>
      <c r="K65" s="35">
        <f t="shared" si="8"/>
        <v>26500</v>
      </c>
      <c r="L65" s="35">
        <f t="shared" si="8"/>
        <v>0</v>
      </c>
      <c r="M65" s="36"/>
      <c r="N65" s="4"/>
    </row>
    <row r="66" spans="1:16" ht="24" customHeight="1">
      <c r="A66" s="41"/>
      <c r="B66" s="32"/>
      <c r="C66" s="32" t="s">
        <v>84</v>
      </c>
      <c r="D66" s="32"/>
      <c r="E66" s="33"/>
      <c r="F66" s="49" t="s">
        <v>75</v>
      </c>
      <c r="G66" s="35">
        <v>34500</v>
      </c>
      <c r="H66" s="35">
        <f t="shared" si="6"/>
        <v>0</v>
      </c>
      <c r="I66" s="35"/>
      <c r="J66" s="35">
        <f t="shared" si="7"/>
        <v>0</v>
      </c>
      <c r="K66" s="35">
        <f t="shared" si="8"/>
        <v>34500</v>
      </c>
      <c r="L66" s="35">
        <f t="shared" si="8"/>
        <v>0</v>
      </c>
      <c r="M66" s="36"/>
      <c r="N66" s="4"/>
      <c r="P66" s="5"/>
    </row>
    <row r="67" spans="1:16" ht="24" customHeight="1">
      <c r="A67" s="41"/>
      <c r="B67" s="32" t="s">
        <v>85</v>
      </c>
      <c r="C67" s="32" t="s">
        <v>86</v>
      </c>
      <c r="D67" s="32"/>
      <c r="E67" s="33"/>
      <c r="F67" s="49" t="s">
        <v>75</v>
      </c>
      <c r="G67" s="35">
        <v>7000</v>
      </c>
      <c r="H67" s="35">
        <f t="shared" si="6"/>
        <v>0</v>
      </c>
      <c r="I67" s="35"/>
      <c r="J67" s="35">
        <f t="shared" si="7"/>
        <v>0</v>
      </c>
      <c r="K67" s="35">
        <f t="shared" si="8"/>
        <v>7000</v>
      </c>
      <c r="L67" s="35">
        <f t="shared" si="8"/>
        <v>0</v>
      </c>
      <c r="M67" s="36"/>
      <c r="N67" s="4"/>
    </row>
    <row r="68" spans="1:16" ht="24" customHeight="1">
      <c r="A68" s="41"/>
      <c r="B68" s="32" t="s">
        <v>87</v>
      </c>
      <c r="C68" s="32" t="s">
        <v>88</v>
      </c>
      <c r="D68" s="32"/>
      <c r="E68" s="33">
        <v>1</v>
      </c>
      <c r="F68" s="49" t="s">
        <v>89</v>
      </c>
      <c r="G68" s="35">
        <v>160000</v>
      </c>
      <c r="H68" s="35">
        <f t="shared" si="6"/>
        <v>160000</v>
      </c>
      <c r="I68" s="35"/>
      <c r="J68" s="35">
        <f t="shared" si="7"/>
        <v>0</v>
      </c>
      <c r="K68" s="35">
        <f t="shared" si="8"/>
        <v>160000</v>
      </c>
      <c r="L68" s="35">
        <f t="shared" si="8"/>
        <v>160000</v>
      </c>
      <c r="M68" s="36"/>
      <c r="N68" s="4"/>
    </row>
    <row r="69" spans="1:16" ht="24" customHeight="1">
      <c r="A69" s="41"/>
      <c r="B69" s="32"/>
      <c r="C69" s="32"/>
      <c r="D69" s="32"/>
      <c r="E69" s="33"/>
      <c r="F69" s="49"/>
      <c r="G69" s="35"/>
      <c r="H69" s="35"/>
      <c r="I69" s="35"/>
      <c r="J69" s="35"/>
      <c r="K69" s="35"/>
      <c r="L69" s="35"/>
      <c r="M69" s="36"/>
      <c r="N69" s="4"/>
    </row>
    <row r="70" spans="1:16" ht="24" customHeight="1">
      <c r="A70" s="41"/>
      <c r="B70" s="32" t="s">
        <v>90</v>
      </c>
      <c r="C70" s="32"/>
      <c r="D70" s="34"/>
      <c r="E70" s="33">
        <v>35</v>
      </c>
      <c r="F70" s="49" t="s">
        <v>75</v>
      </c>
      <c r="G70" s="35">
        <v>3500</v>
      </c>
      <c r="H70" s="35">
        <f t="shared" si="6"/>
        <v>122500</v>
      </c>
      <c r="I70" s="35"/>
      <c r="J70" s="35">
        <f t="shared" si="7"/>
        <v>0</v>
      </c>
      <c r="K70" s="35">
        <f t="shared" si="8"/>
        <v>3500</v>
      </c>
      <c r="L70" s="35">
        <f t="shared" si="8"/>
        <v>122500</v>
      </c>
      <c r="M70" s="53"/>
      <c r="N70" s="4"/>
    </row>
    <row r="71" spans="1:16" ht="24" customHeight="1">
      <c r="A71" s="41"/>
      <c r="B71" s="32" t="s">
        <v>91</v>
      </c>
      <c r="C71" s="32"/>
      <c r="D71" s="34"/>
      <c r="E71" s="33"/>
      <c r="F71" s="49" t="s">
        <v>75</v>
      </c>
      <c r="G71" s="35">
        <v>3500</v>
      </c>
      <c r="H71" s="35">
        <f t="shared" si="6"/>
        <v>0</v>
      </c>
      <c r="I71" s="35"/>
      <c r="J71" s="35">
        <f t="shared" si="7"/>
        <v>0</v>
      </c>
      <c r="K71" s="35">
        <f t="shared" si="8"/>
        <v>3500</v>
      </c>
      <c r="L71" s="35">
        <f t="shared" si="8"/>
        <v>0</v>
      </c>
      <c r="M71" s="53"/>
      <c r="N71" s="4"/>
    </row>
    <row r="72" spans="1:16" ht="24" customHeight="1">
      <c r="A72" s="41"/>
      <c r="B72" s="32" t="s">
        <v>92</v>
      </c>
      <c r="C72" s="32"/>
      <c r="D72" s="34"/>
      <c r="E72" s="33"/>
      <c r="F72" s="49" t="s">
        <v>75</v>
      </c>
      <c r="G72" s="35">
        <v>3500</v>
      </c>
      <c r="H72" s="35">
        <f t="shared" si="6"/>
        <v>0</v>
      </c>
      <c r="I72" s="35"/>
      <c r="J72" s="35">
        <f t="shared" si="7"/>
        <v>0</v>
      </c>
      <c r="K72" s="35">
        <f t="shared" si="8"/>
        <v>3500</v>
      </c>
      <c r="L72" s="35">
        <f t="shared" si="8"/>
        <v>0</v>
      </c>
      <c r="M72" s="53"/>
      <c r="N72" s="4"/>
    </row>
    <row r="73" spans="1:16" ht="24" customHeight="1">
      <c r="A73" s="41"/>
      <c r="B73" s="32" t="s">
        <v>94</v>
      </c>
      <c r="C73" s="32"/>
      <c r="D73" s="34"/>
      <c r="E73" s="33"/>
      <c r="F73" s="49" t="s">
        <v>75</v>
      </c>
      <c r="G73" s="35">
        <v>15000</v>
      </c>
      <c r="H73" s="35">
        <f t="shared" si="6"/>
        <v>0</v>
      </c>
      <c r="I73" s="35"/>
      <c r="J73" s="35">
        <f t="shared" si="7"/>
        <v>0</v>
      </c>
      <c r="K73" s="35">
        <f t="shared" si="8"/>
        <v>15000</v>
      </c>
      <c r="L73" s="35">
        <f t="shared" si="8"/>
        <v>0</v>
      </c>
      <c r="M73" s="53"/>
      <c r="N73" s="4"/>
    </row>
    <row r="74" spans="1:16" ht="24" customHeight="1">
      <c r="A74" s="41"/>
      <c r="B74" s="32" t="s">
        <v>95</v>
      </c>
      <c r="C74" s="32" t="s">
        <v>319</v>
      </c>
      <c r="D74" s="34" t="s">
        <v>320</v>
      </c>
      <c r="E74" s="33"/>
      <c r="F74" s="49" t="s">
        <v>96</v>
      </c>
      <c r="G74" s="35">
        <v>750000</v>
      </c>
      <c r="H74" s="35">
        <f t="shared" si="6"/>
        <v>0</v>
      </c>
      <c r="I74" s="35"/>
      <c r="J74" s="35">
        <f t="shared" si="7"/>
        <v>0</v>
      </c>
      <c r="K74" s="35">
        <f t="shared" si="8"/>
        <v>750000</v>
      </c>
      <c r="L74" s="35">
        <f t="shared" si="8"/>
        <v>0</v>
      </c>
      <c r="M74" s="53" t="s">
        <v>93</v>
      </c>
      <c r="N74" s="4"/>
    </row>
    <row r="75" spans="1:16" ht="24" customHeight="1">
      <c r="A75" s="41"/>
      <c r="B75" s="32" t="s">
        <v>98</v>
      </c>
      <c r="C75" s="32"/>
      <c r="D75" s="34"/>
      <c r="E75" s="33"/>
      <c r="F75" s="49" t="s">
        <v>59</v>
      </c>
      <c r="G75" s="35"/>
      <c r="H75" s="35">
        <f>E75*G75</f>
        <v>0</v>
      </c>
      <c r="I75" s="35"/>
      <c r="J75" s="35">
        <f>E75*I75</f>
        <v>0</v>
      </c>
      <c r="K75" s="35">
        <f t="shared" ref="K75:L77" si="9">G75+I75</f>
        <v>0</v>
      </c>
      <c r="L75" s="35">
        <f t="shared" si="9"/>
        <v>0</v>
      </c>
      <c r="M75" s="53"/>
      <c r="N75" s="4"/>
    </row>
    <row r="76" spans="1:16" ht="24" customHeight="1">
      <c r="A76" s="41"/>
      <c r="B76" s="32" t="s">
        <v>260</v>
      </c>
      <c r="C76" s="32"/>
      <c r="D76" s="34"/>
      <c r="E76" s="33"/>
      <c r="F76" s="49" t="s">
        <v>43</v>
      </c>
      <c r="G76" s="35">
        <v>250000</v>
      </c>
      <c r="H76" s="35">
        <f>E76*G76</f>
        <v>0</v>
      </c>
      <c r="I76" s="35"/>
      <c r="J76" s="35">
        <f>E76*I76</f>
        <v>0</v>
      </c>
      <c r="K76" s="35">
        <f t="shared" si="9"/>
        <v>250000</v>
      </c>
      <c r="L76" s="35">
        <f t="shared" si="9"/>
        <v>0</v>
      </c>
      <c r="M76" s="53"/>
      <c r="N76" s="4"/>
    </row>
    <row r="77" spans="1:16" ht="24" customHeight="1">
      <c r="A77" s="41"/>
      <c r="B77" s="32" t="s">
        <v>261</v>
      </c>
      <c r="C77" s="32" t="s">
        <v>262</v>
      </c>
      <c r="D77" s="34"/>
      <c r="E77" s="33"/>
      <c r="F77" s="49" t="s">
        <v>43</v>
      </c>
      <c r="G77" s="35">
        <v>180000</v>
      </c>
      <c r="H77" s="35">
        <f>E77*G77</f>
        <v>0</v>
      </c>
      <c r="I77" s="35"/>
      <c r="J77" s="35">
        <f>E77*I77</f>
        <v>0</v>
      </c>
      <c r="K77" s="35">
        <f t="shared" si="9"/>
        <v>180000</v>
      </c>
      <c r="L77" s="35">
        <f t="shared" si="9"/>
        <v>0</v>
      </c>
      <c r="M77" s="53"/>
      <c r="N77" s="4"/>
    </row>
    <row r="78" spans="1:16" ht="24" customHeight="1">
      <c r="A78" s="41"/>
      <c r="B78" s="32" t="s">
        <v>97</v>
      </c>
      <c r="C78" s="32"/>
      <c r="D78" s="34"/>
      <c r="E78" s="33"/>
      <c r="F78" s="49" t="s">
        <v>96</v>
      </c>
      <c r="G78" s="35">
        <v>260000</v>
      </c>
      <c r="H78" s="35">
        <f t="shared" si="6"/>
        <v>0</v>
      </c>
      <c r="I78" s="35"/>
      <c r="J78" s="35">
        <f t="shared" si="7"/>
        <v>0</v>
      </c>
      <c r="K78" s="35">
        <f t="shared" ref="K78:L80" si="10">G78+I78</f>
        <v>260000</v>
      </c>
      <c r="L78" s="35">
        <f t="shared" si="10"/>
        <v>0</v>
      </c>
      <c r="M78" s="53"/>
      <c r="N78" s="4"/>
    </row>
    <row r="79" spans="1:16" ht="24" customHeight="1">
      <c r="A79" s="41"/>
      <c r="B79" s="32" t="s">
        <v>99</v>
      </c>
      <c r="C79" s="32"/>
      <c r="D79" s="34"/>
      <c r="E79" s="33">
        <v>4</v>
      </c>
      <c r="F79" s="49" t="s">
        <v>96</v>
      </c>
      <c r="G79" s="35">
        <v>25000</v>
      </c>
      <c r="H79" s="35">
        <f t="shared" si="6"/>
        <v>100000</v>
      </c>
      <c r="I79" s="35"/>
      <c r="J79" s="35">
        <f t="shared" si="7"/>
        <v>0</v>
      </c>
      <c r="K79" s="35">
        <f t="shared" si="10"/>
        <v>25000</v>
      </c>
      <c r="L79" s="35">
        <f t="shared" si="10"/>
        <v>100000</v>
      </c>
      <c r="M79" s="53"/>
      <c r="N79" s="4"/>
    </row>
    <row r="80" spans="1:16" ht="24" customHeight="1">
      <c r="A80" s="41"/>
      <c r="B80" s="32" t="s">
        <v>100</v>
      </c>
      <c r="C80" s="32" t="s">
        <v>101</v>
      </c>
      <c r="D80" s="32"/>
      <c r="E80" s="33">
        <v>1</v>
      </c>
      <c r="F80" s="49" t="s">
        <v>43</v>
      </c>
      <c r="G80" s="35">
        <v>250000</v>
      </c>
      <c r="H80" s="35">
        <f t="shared" si="6"/>
        <v>250000</v>
      </c>
      <c r="I80" s="35"/>
      <c r="J80" s="35">
        <f t="shared" si="7"/>
        <v>0</v>
      </c>
      <c r="K80" s="35">
        <f t="shared" si="10"/>
        <v>250000</v>
      </c>
      <c r="L80" s="35">
        <f t="shared" si="10"/>
        <v>250000</v>
      </c>
      <c r="M80" s="36"/>
      <c r="N80" s="4"/>
    </row>
    <row r="81" spans="1:14" ht="24" customHeight="1">
      <c r="A81" s="41"/>
      <c r="B81" s="32" t="s">
        <v>102</v>
      </c>
      <c r="C81" s="32"/>
      <c r="D81" s="32"/>
      <c r="E81" s="33">
        <v>6</v>
      </c>
      <c r="F81" s="49" t="s">
        <v>103</v>
      </c>
      <c r="G81" s="35"/>
      <c r="H81" s="35">
        <f>E81*G81</f>
        <v>0</v>
      </c>
      <c r="I81" s="35">
        <v>290000</v>
      </c>
      <c r="J81" s="35">
        <f t="shared" si="7"/>
        <v>1740000</v>
      </c>
      <c r="K81" s="35">
        <f>G81+I81</f>
        <v>290000</v>
      </c>
      <c r="L81" s="35">
        <f>H81+J81</f>
        <v>1740000</v>
      </c>
      <c r="M81" s="36"/>
      <c r="N81" s="4"/>
    </row>
    <row r="82" spans="1:14" ht="24" customHeight="1">
      <c r="A82" s="41"/>
      <c r="B82" s="32" t="s">
        <v>104</v>
      </c>
      <c r="C82" s="32"/>
      <c r="D82" s="32"/>
      <c r="E82" s="33">
        <v>3</v>
      </c>
      <c r="F82" s="49" t="s">
        <v>105</v>
      </c>
      <c r="G82" s="35">
        <v>150000</v>
      </c>
      <c r="H82" s="35">
        <f>E82*G82</f>
        <v>450000</v>
      </c>
      <c r="I82" s="35"/>
      <c r="J82" s="35">
        <f t="shared" si="7"/>
        <v>0</v>
      </c>
      <c r="K82" s="35">
        <f>G82+I82</f>
        <v>150000</v>
      </c>
      <c r="L82" s="35">
        <f>H82+J82</f>
        <v>450000</v>
      </c>
      <c r="M82" s="36"/>
      <c r="N82" s="4"/>
    </row>
    <row r="83" spans="1:14" ht="24" customHeight="1">
      <c r="A83" s="41"/>
      <c r="B83" s="32"/>
      <c r="C83" s="32"/>
      <c r="D83" s="32"/>
      <c r="E83" s="33"/>
      <c r="F83" s="49"/>
      <c r="G83" s="35"/>
      <c r="H83" s="35"/>
      <c r="I83" s="35"/>
      <c r="J83" s="35"/>
      <c r="K83" s="35"/>
      <c r="L83" s="35"/>
      <c r="M83" s="36"/>
      <c r="N83" s="4"/>
    </row>
    <row r="84" spans="1:14" ht="24" customHeight="1">
      <c r="A84" s="41"/>
      <c r="B84" s="32" t="s">
        <v>49</v>
      </c>
      <c r="C84" s="32"/>
      <c r="D84" s="32"/>
      <c r="E84" s="33"/>
      <c r="F84" s="34"/>
      <c r="G84" s="35"/>
      <c r="H84" s="35">
        <f>SUM(H57:H83)</f>
        <v>1672000</v>
      </c>
      <c r="I84" s="35"/>
      <c r="J84" s="35">
        <f>SUM(J57:J83)</f>
        <v>1740000</v>
      </c>
      <c r="K84" s="35"/>
      <c r="L84" s="35">
        <f>SUM(L57:L83)</f>
        <v>3412000</v>
      </c>
      <c r="M84" s="36"/>
      <c r="N84" s="4"/>
    </row>
    <row r="85" spans="1:14" ht="24" customHeight="1">
      <c r="A85" s="41"/>
      <c r="B85" s="55"/>
      <c r="C85" s="32"/>
      <c r="D85" s="32"/>
      <c r="E85" s="33"/>
      <c r="F85" s="34"/>
      <c r="G85" s="35"/>
      <c r="H85" s="35"/>
      <c r="I85" s="35"/>
      <c r="J85" s="35"/>
      <c r="K85" s="35"/>
      <c r="L85" s="35"/>
      <c r="M85" s="36"/>
      <c r="N85" s="4"/>
    </row>
    <row r="86" spans="1:14" s="10" customFormat="1" ht="24" customHeight="1">
      <c r="A86" s="66">
        <f>A7</f>
        <v>4</v>
      </c>
      <c r="B86" s="69" t="str">
        <f>B7</f>
        <v>전기 공사</v>
      </c>
      <c r="C86" s="149"/>
      <c r="D86" s="150"/>
      <c r="E86" s="150"/>
      <c r="F86" s="150"/>
      <c r="G86" s="150"/>
      <c r="H86" s="150"/>
      <c r="I86" s="150"/>
      <c r="J86" s="150"/>
      <c r="K86" s="150"/>
      <c r="L86" s="150"/>
      <c r="M86" s="151"/>
      <c r="N86" s="11"/>
    </row>
    <row r="87" spans="1:14" ht="24" customHeight="1">
      <c r="A87" s="41"/>
      <c r="B87" s="51" t="s">
        <v>106</v>
      </c>
      <c r="C87" s="51" t="s">
        <v>341</v>
      </c>
      <c r="D87" s="34" t="s">
        <v>345</v>
      </c>
      <c r="E87" s="33">
        <v>3</v>
      </c>
      <c r="F87" s="49" t="s">
        <v>75</v>
      </c>
      <c r="G87" s="35">
        <v>30000</v>
      </c>
      <c r="H87" s="35">
        <f t="shared" ref="H87:H116" si="11">E87*G87</f>
        <v>90000</v>
      </c>
      <c r="I87" s="35"/>
      <c r="J87" s="35">
        <f>E87*I87</f>
        <v>0</v>
      </c>
      <c r="K87" s="35">
        <f t="shared" ref="K87:L116" si="12">G87+I87</f>
        <v>30000</v>
      </c>
      <c r="L87" s="35">
        <f t="shared" si="12"/>
        <v>90000</v>
      </c>
      <c r="M87" s="53"/>
      <c r="N87" s="4"/>
    </row>
    <row r="88" spans="1:14" ht="24" customHeight="1">
      <c r="A88" s="41"/>
      <c r="B88" s="51" t="s">
        <v>108</v>
      </c>
      <c r="C88" s="51" t="s">
        <v>343</v>
      </c>
      <c r="D88" s="34"/>
      <c r="E88" s="33"/>
      <c r="F88" s="49" t="s">
        <v>75</v>
      </c>
      <c r="G88" s="35">
        <v>76000</v>
      </c>
      <c r="H88" s="35">
        <f>E88*G88</f>
        <v>0</v>
      </c>
      <c r="I88" s="35"/>
      <c r="J88" s="35">
        <f>E88*I88</f>
        <v>0</v>
      </c>
      <c r="K88" s="35">
        <f>G88+I88</f>
        <v>76000</v>
      </c>
      <c r="L88" s="35">
        <f>H88+J88</f>
        <v>0</v>
      </c>
      <c r="M88" s="53"/>
      <c r="N88" s="4"/>
    </row>
    <row r="89" spans="1:14" ht="24" customHeight="1">
      <c r="A89" s="41"/>
      <c r="B89" s="51"/>
      <c r="C89" s="51" t="s">
        <v>356</v>
      </c>
      <c r="D89" s="34" t="s">
        <v>346</v>
      </c>
      <c r="E89" s="33">
        <v>1</v>
      </c>
      <c r="F89" s="49" t="s">
        <v>75</v>
      </c>
      <c r="G89" s="35">
        <v>50000</v>
      </c>
      <c r="H89" s="35">
        <f>E89*G89</f>
        <v>50000</v>
      </c>
      <c r="I89" s="35"/>
      <c r="J89" s="35">
        <f>E89*I89</f>
        <v>0</v>
      </c>
      <c r="K89" s="35">
        <f>G89+I89</f>
        <v>50000</v>
      </c>
      <c r="L89" s="35">
        <f>H89+J89</f>
        <v>50000</v>
      </c>
      <c r="M89" s="53"/>
      <c r="N89" s="4"/>
    </row>
    <row r="90" spans="1:14" ht="24" customHeight="1">
      <c r="A90" s="41"/>
      <c r="B90" s="51" t="s">
        <v>109</v>
      </c>
      <c r="C90" s="51" t="s">
        <v>342</v>
      </c>
      <c r="D90" s="34" t="s">
        <v>346</v>
      </c>
      <c r="E90" s="33">
        <v>1</v>
      </c>
      <c r="F90" s="49" t="s">
        <v>75</v>
      </c>
      <c r="G90" s="35">
        <v>30000</v>
      </c>
      <c r="H90" s="35">
        <f t="shared" si="11"/>
        <v>30000</v>
      </c>
      <c r="I90" s="35"/>
      <c r="J90" s="35">
        <f t="shared" ref="J90:J116" si="13">E90*I90</f>
        <v>0</v>
      </c>
      <c r="K90" s="35">
        <f t="shared" si="12"/>
        <v>30000</v>
      </c>
      <c r="L90" s="35">
        <f t="shared" si="12"/>
        <v>30000</v>
      </c>
      <c r="M90" s="53"/>
      <c r="N90" s="4"/>
    </row>
    <row r="91" spans="1:14" ht="24" customHeight="1">
      <c r="A91" s="41"/>
      <c r="B91" s="51" t="s">
        <v>110</v>
      </c>
      <c r="C91" s="51" t="s">
        <v>107</v>
      </c>
      <c r="D91" s="34"/>
      <c r="E91" s="33"/>
      <c r="F91" s="49" t="s">
        <v>75</v>
      </c>
      <c r="G91" s="35">
        <v>85000</v>
      </c>
      <c r="H91" s="35">
        <f t="shared" si="11"/>
        <v>0</v>
      </c>
      <c r="I91" s="35"/>
      <c r="J91" s="35">
        <f t="shared" si="13"/>
        <v>0</v>
      </c>
      <c r="K91" s="35">
        <f t="shared" si="12"/>
        <v>85000</v>
      </c>
      <c r="L91" s="35">
        <f t="shared" si="12"/>
        <v>0</v>
      </c>
      <c r="M91" s="53"/>
      <c r="N91" s="4"/>
    </row>
    <row r="92" spans="1:14" ht="24" customHeight="1">
      <c r="A92" s="41"/>
      <c r="B92" s="51" t="s">
        <v>111</v>
      </c>
      <c r="C92" s="51" t="s">
        <v>112</v>
      </c>
      <c r="D92" s="34"/>
      <c r="E92" s="33"/>
      <c r="F92" s="49" t="s">
        <v>75</v>
      </c>
      <c r="G92" s="35"/>
      <c r="H92" s="35">
        <f t="shared" si="11"/>
        <v>0</v>
      </c>
      <c r="I92" s="35"/>
      <c r="J92" s="35">
        <f t="shared" si="13"/>
        <v>0</v>
      </c>
      <c r="K92" s="35">
        <f t="shared" si="12"/>
        <v>0</v>
      </c>
      <c r="L92" s="35">
        <f t="shared" si="12"/>
        <v>0</v>
      </c>
      <c r="M92" s="53"/>
      <c r="N92" s="4"/>
    </row>
    <row r="93" spans="1:14" ht="24" customHeight="1">
      <c r="A93" s="41"/>
      <c r="B93" s="51" t="s">
        <v>113</v>
      </c>
      <c r="C93" s="51" t="s">
        <v>112</v>
      </c>
      <c r="D93" s="34" t="s">
        <v>346</v>
      </c>
      <c r="E93" s="33">
        <v>1</v>
      </c>
      <c r="F93" s="49" t="s">
        <v>75</v>
      </c>
      <c r="G93" s="35">
        <v>15000</v>
      </c>
      <c r="H93" s="35">
        <f t="shared" si="11"/>
        <v>15000</v>
      </c>
      <c r="I93" s="35"/>
      <c r="J93" s="35">
        <f t="shared" si="13"/>
        <v>0</v>
      </c>
      <c r="K93" s="35">
        <f t="shared" si="12"/>
        <v>15000</v>
      </c>
      <c r="L93" s="35">
        <f t="shared" si="12"/>
        <v>15000</v>
      </c>
      <c r="M93" s="53"/>
      <c r="N93" s="4"/>
    </row>
    <row r="94" spans="1:14" ht="24" customHeight="1">
      <c r="A94" s="41"/>
      <c r="B94" s="51" t="s">
        <v>114</v>
      </c>
      <c r="C94" s="51" t="s">
        <v>112</v>
      </c>
      <c r="D94" s="34" t="s">
        <v>346</v>
      </c>
      <c r="E94" s="33">
        <v>1</v>
      </c>
      <c r="F94" s="49" t="s">
        <v>75</v>
      </c>
      <c r="G94" s="35">
        <v>15000</v>
      </c>
      <c r="H94" s="35">
        <f t="shared" si="11"/>
        <v>15000</v>
      </c>
      <c r="I94" s="35"/>
      <c r="J94" s="35">
        <f t="shared" si="13"/>
        <v>0</v>
      </c>
      <c r="K94" s="35">
        <f t="shared" si="12"/>
        <v>15000</v>
      </c>
      <c r="L94" s="35">
        <f t="shared" si="12"/>
        <v>15000</v>
      </c>
      <c r="M94" s="53"/>
      <c r="N94" s="4"/>
    </row>
    <row r="95" spans="1:14" ht="24" customHeight="1">
      <c r="A95" s="41"/>
      <c r="B95" s="51" t="s">
        <v>115</v>
      </c>
      <c r="C95" s="51" t="s">
        <v>116</v>
      </c>
      <c r="D95" s="32"/>
      <c r="E95" s="33"/>
      <c r="F95" s="49" t="s">
        <v>75</v>
      </c>
      <c r="G95" s="35">
        <v>50000</v>
      </c>
      <c r="H95" s="35">
        <f t="shared" si="11"/>
        <v>0</v>
      </c>
      <c r="I95" s="35"/>
      <c r="J95" s="35">
        <f t="shared" si="13"/>
        <v>0</v>
      </c>
      <c r="K95" s="35">
        <f t="shared" si="12"/>
        <v>50000</v>
      </c>
      <c r="L95" s="35">
        <f t="shared" si="12"/>
        <v>0</v>
      </c>
      <c r="M95" s="53"/>
      <c r="N95" s="4"/>
    </row>
    <row r="96" spans="1:14" ht="24" customHeight="1">
      <c r="A96" s="41"/>
      <c r="B96" s="51" t="s">
        <v>117</v>
      </c>
      <c r="C96" s="51" t="s">
        <v>116</v>
      </c>
      <c r="D96" s="32"/>
      <c r="E96" s="33"/>
      <c r="F96" s="49" t="s">
        <v>75</v>
      </c>
      <c r="G96" s="35">
        <v>150000</v>
      </c>
      <c r="H96" s="35">
        <f t="shared" si="11"/>
        <v>0</v>
      </c>
      <c r="I96" s="35"/>
      <c r="J96" s="35">
        <f t="shared" si="13"/>
        <v>0</v>
      </c>
      <c r="K96" s="35">
        <f t="shared" si="12"/>
        <v>150000</v>
      </c>
      <c r="L96" s="35">
        <f t="shared" si="12"/>
        <v>0</v>
      </c>
      <c r="M96" s="53"/>
      <c r="N96" s="4"/>
    </row>
    <row r="97" spans="1:14" ht="24" customHeight="1">
      <c r="A97" s="41"/>
      <c r="B97" s="51" t="s">
        <v>119</v>
      </c>
      <c r="C97" s="51" t="s">
        <v>112</v>
      </c>
      <c r="D97" s="34" t="s">
        <v>346</v>
      </c>
      <c r="E97" s="33">
        <v>1</v>
      </c>
      <c r="F97" s="49" t="s">
        <v>75</v>
      </c>
      <c r="G97" s="35">
        <v>25000</v>
      </c>
      <c r="H97" s="35">
        <f t="shared" si="11"/>
        <v>25000</v>
      </c>
      <c r="I97" s="35"/>
      <c r="J97" s="35">
        <f t="shared" si="13"/>
        <v>0</v>
      </c>
      <c r="K97" s="35">
        <f t="shared" si="12"/>
        <v>25000</v>
      </c>
      <c r="L97" s="35">
        <f t="shared" si="12"/>
        <v>25000</v>
      </c>
      <c r="M97" s="53"/>
      <c r="N97" s="4"/>
    </row>
    <row r="98" spans="1:14" ht="24" customHeight="1">
      <c r="A98" s="41"/>
      <c r="B98" s="51" t="s">
        <v>120</v>
      </c>
      <c r="C98" s="51" t="s">
        <v>121</v>
      </c>
      <c r="D98" s="32"/>
      <c r="E98" s="33"/>
      <c r="F98" s="49" t="s">
        <v>75</v>
      </c>
      <c r="G98" s="35">
        <v>15000</v>
      </c>
      <c r="H98" s="35">
        <f t="shared" si="11"/>
        <v>0</v>
      </c>
      <c r="I98" s="35"/>
      <c r="J98" s="35">
        <f t="shared" si="13"/>
        <v>0</v>
      </c>
      <c r="K98" s="35">
        <f t="shared" si="12"/>
        <v>15000</v>
      </c>
      <c r="L98" s="35">
        <f t="shared" si="12"/>
        <v>0</v>
      </c>
      <c r="M98" s="53"/>
      <c r="N98" s="4"/>
    </row>
    <row r="99" spans="1:14" ht="24" customHeight="1">
      <c r="A99" s="41"/>
      <c r="B99" s="51" t="s">
        <v>120</v>
      </c>
      <c r="C99" s="51" t="s">
        <v>351</v>
      </c>
      <c r="D99" s="34" t="s">
        <v>346</v>
      </c>
      <c r="E99" s="33">
        <v>2</v>
      </c>
      <c r="F99" s="49" t="s">
        <v>75</v>
      </c>
      <c r="G99" s="35">
        <v>15000</v>
      </c>
      <c r="H99" s="35">
        <f t="shared" si="11"/>
        <v>30000</v>
      </c>
      <c r="I99" s="35"/>
      <c r="J99" s="35">
        <f t="shared" si="13"/>
        <v>0</v>
      </c>
      <c r="K99" s="35">
        <f t="shared" si="12"/>
        <v>15000</v>
      </c>
      <c r="L99" s="35">
        <f t="shared" si="12"/>
        <v>30000</v>
      </c>
      <c r="M99" s="53"/>
      <c r="N99" s="4"/>
    </row>
    <row r="100" spans="1:14" ht="24" customHeight="1">
      <c r="A100" s="41"/>
      <c r="B100" s="51" t="s">
        <v>120</v>
      </c>
      <c r="C100" s="51" t="s">
        <v>344</v>
      </c>
      <c r="D100" s="34" t="s">
        <v>346</v>
      </c>
      <c r="E100" s="33">
        <v>2</v>
      </c>
      <c r="F100" s="49" t="s">
        <v>75</v>
      </c>
      <c r="G100" s="35">
        <v>15000</v>
      </c>
      <c r="H100" s="35">
        <f>E100*G100</f>
        <v>30000</v>
      </c>
      <c r="I100" s="35"/>
      <c r="J100" s="35">
        <f>E100*I100</f>
        <v>0</v>
      </c>
      <c r="K100" s="35">
        <f>G100+I100</f>
        <v>15000</v>
      </c>
      <c r="L100" s="35">
        <f>H100+J100</f>
        <v>30000</v>
      </c>
      <c r="M100" s="53"/>
      <c r="N100" s="4"/>
    </row>
    <row r="101" spans="1:14" ht="24" customHeight="1">
      <c r="A101" s="41"/>
      <c r="B101" s="51" t="s">
        <v>122</v>
      </c>
      <c r="C101" s="51" t="s">
        <v>123</v>
      </c>
      <c r="D101" s="32"/>
      <c r="E101" s="33"/>
      <c r="F101" s="49" t="s">
        <v>75</v>
      </c>
      <c r="G101" s="35"/>
      <c r="H101" s="35">
        <f t="shared" si="11"/>
        <v>0</v>
      </c>
      <c r="I101" s="35"/>
      <c r="J101" s="35">
        <f t="shared" si="13"/>
        <v>0</v>
      </c>
      <c r="K101" s="35">
        <f t="shared" si="12"/>
        <v>0</v>
      </c>
      <c r="L101" s="35">
        <f t="shared" si="12"/>
        <v>0</v>
      </c>
      <c r="M101" s="53"/>
      <c r="N101" s="4"/>
    </row>
    <row r="102" spans="1:14" ht="24" customHeight="1">
      <c r="A102" s="41"/>
      <c r="B102" s="51" t="s">
        <v>124</v>
      </c>
      <c r="C102" s="51" t="s">
        <v>125</v>
      </c>
      <c r="D102" s="34" t="s">
        <v>346</v>
      </c>
      <c r="E102" s="33">
        <v>22</v>
      </c>
      <c r="F102" s="49" t="s">
        <v>75</v>
      </c>
      <c r="G102" s="35">
        <v>12500</v>
      </c>
      <c r="H102" s="35">
        <f t="shared" si="11"/>
        <v>275000</v>
      </c>
      <c r="I102" s="35"/>
      <c r="J102" s="35">
        <f t="shared" si="13"/>
        <v>0</v>
      </c>
      <c r="K102" s="35">
        <f t="shared" si="12"/>
        <v>12500</v>
      </c>
      <c r="L102" s="35">
        <f t="shared" si="12"/>
        <v>275000</v>
      </c>
      <c r="M102" s="53" t="s">
        <v>264</v>
      </c>
      <c r="N102" s="4"/>
    </row>
    <row r="103" spans="1:14" ht="24" customHeight="1">
      <c r="A103" s="41"/>
      <c r="B103" s="51"/>
      <c r="C103" s="51" t="s">
        <v>126</v>
      </c>
      <c r="D103" s="34"/>
      <c r="E103" s="33"/>
      <c r="F103" s="49" t="s">
        <v>75</v>
      </c>
      <c r="G103" s="35">
        <v>15000</v>
      </c>
      <c r="H103" s="35">
        <f t="shared" si="11"/>
        <v>0</v>
      </c>
      <c r="I103" s="35"/>
      <c r="J103" s="35">
        <f t="shared" si="13"/>
        <v>0</v>
      </c>
      <c r="K103" s="35">
        <f t="shared" si="12"/>
        <v>15000</v>
      </c>
      <c r="L103" s="35">
        <f t="shared" si="12"/>
        <v>0</v>
      </c>
      <c r="M103" s="53"/>
      <c r="N103" s="4"/>
    </row>
    <row r="104" spans="1:14" ht="24" customHeight="1">
      <c r="A104" s="41"/>
      <c r="B104" s="51"/>
      <c r="C104" s="51" t="s">
        <v>127</v>
      </c>
      <c r="D104" s="34" t="s">
        <v>347</v>
      </c>
      <c r="E104" s="33">
        <v>2</v>
      </c>
      <c r="F104" s="49" t="s">
        <v>75</v>
      </c>
      <c r="G104" s="35">
        <v>15000</v>
      </c>
      <c r="H104" s="35">
        <f t="shared" si="11"/>
        <v>30000</v>
      </c>
      <c r="I104" s="35"/>
      <c r="J104" s="35">
        <f t="shared" si="13"/>
        <v>0</v>
      </c>
      <c r="K104" s="35">
        <f t="shared" si="12"/>
        <v>15000</v>
      </c>
      <c r="L104" s="35">
        <f t="shared" si="12"/>
        <v>30000</v>
      </c>
      <c r="M104" s="53"/>
      <c r="N104" s="4"/>
    </row>
    <row r="105" spans="1:14" ht="24" customHeight="1">
      <c r="A105" s="41"/>
      <c r="B105" s="51" t="s">
        <v>128</v>
      </c>
      <c r="C105" s="51" t="s">
        <v>129</v>
      </c>
      <c r="D105" s="32"/>
      <c r="E105" s="50">
        <v>86.64</v>
      </c>
      <c r="F105" s="49" t="s">
        <v>59</v>
      </c>
      <c r="G105" s="35">
        <v>3200</v>
      </c>
      <c r="H105" s="35">
        <f t="shared" si="11"/>
        <v>277248</v>
      </c>
      <c r="I105" s="35"/>
      <c r="J105" s="35">
        <f t="shared" si="13"/>
        <v>0</v>
      </c>
      <c r="K105" s="35">
        <f t="shared" si="12"/>
        <v>3200</v>
      </c>
      <c r="L105" s="35">
        <f t="shared" si="12"/>
        <v>277248</v>
      </c>
      <c r="M105" s="53"/>
      <c r="N105" s="4"/>
    </row>
    <row r="106" spans="1:14" ht="24" customHeight="1">
      <c r="A106" s="41"/>
      <c r="B106" s="51" t="s">
        <v>130</v>
      </c>
      <c r="C106" s="51" t="s">
        <v>131</v>
      </c>
      <c r="D106" s="32"/>
      <c r="E106" s="33">
        <v>1</v>
      </c>
      <c r="F106" s="49" t="s">
        <v>75</v>
      </c>
      <c r="G106" s="35"/>
      <c r="H106" s="35">
        <f t="shared" si="11"/>
        <v>0</v>
      </c>
      <c r="I106" s="35"/>
      <c r="J106" s="35">
        <f t="shared" si="13"/>
        <v>0</v>
      </c>
      <c r="K106" s="35">
        <f t="shared" si="12"/>
        <v>0</v>
      </c>
      <c r="L106" s="35">
        <f t="shared" si="12"/>
        <v>0</v>
      </c>
      <c r="M106" s="53"/>
      <c r="N106" s="4"/>
    </row>
    <row r="107" spans="1:14" ht="24" customHeight="1">
      <c r="A107" s="41"/>
      <c r="B107" s="51" t="s">
        <v>132</v>
      </c>
      <c r="C107" s="51" t="s">
        <v>133</v>
      </c>
      <c r="D107" s="32"/>
      <c r="E107" s="50">
        <v>86.64</v>
      </c>
      <c r="F107" s="49" t="s">
        <v>59</v>
      </c>
      <c r="G107" s="35">
        <v>1500</v>
      </c>
      <c r="H107" s="35">
        <f t="shared" si="11"/>
        <v>129960</v>
      </c>
      <c r="I107" s="35"/>
      <c r="J107" s="35">
        <f t="shared" si="13"/>
        <v>0</v>
      </c>
      <c r="K107" s="35">
        <f t="shared" si="12"/>
        <v>1500</v>
      </c>
      <c r="L107" s="35">
        <f t="shared" si="12"/>
        <v>129960</v>
      </c>
      <c r="M107" s="53"/>
      <c r="N107" s="4"/>
    </row>
    <row r="108" spans="1:14" ht="24" customHeight="1">
      <c r="A108" s="41"/>
      <c r="B108" s="51" t="s">
        <v>134</v>
      </c>
      <c r="C108" s="51" t="s">
        <v>135</v>
      </c>
      <c r="D108" s="32"/>
      <c r="E108" s="50">
        <v>1</v>
      </c>
      <c r="F108" s="49" t="s">
        <v>43</v>
      </c>
      <c r="G108" s="35">
        <v>350000</v>
      </c>
      <c r="H108" s="35">
        <f t="shared" si="11"/>
        <v>350000</v>
      </c>
      <c r="I108" s="35"/>
      <c r="J108" s="35">
        <f t="shared" si="13"/>
        <v>0</v>
      </c>
      <c r="K108" s="35">
        <f t="shared" si="12"/>
        <v>350000</v>
      </c>
      <c r="L108" s="35">
        <f t="shared" si="12"/>
        <v>350000</v>
      </c>
      <c r="M108" s="53" t="s">
        <v>68</v>
      </c>
      <c r="N108" s="4"/>
    </row>
    <row r="109" spans="1:14" ht="24" customHeight="1">
      <c r="A109" s="41"/>
      <c r="B109" s="51" t="s">
        <v>279</v>
      </c>
      <c r="C109" s="51" t="s">
        <v>269</v>
      </c>
      <c r="D109" s="32"/>
      <c r="E109" s="50">
        <v>1</v>
      </c>
      <c r="F109" s="49" t="s">
        <v>43</v>
      </c>
      <c r="G109" s="35">
        <v>100000</v>
      </c>
      <c r="H109" s="35">
        <f t="shared" si="11"/>
        <v>100000</v>
      </c>
      <c r="I109" s="35"/>
      <c r="J109" s="35">
        <f t="shared" si="13"/>
        <v>0</v>
      </c>
      <c r="K109" s="35">
        <f t="shared" si="12"/>
        <v>100000</v>
      </c>
      <c r="L109" s="35">
        <f t="shared" si="12"/>
        <v>100000</v>
      </c>
      <c r="M109" s="53"/>
      <c r="N109" s="4"/>
    </row>
    <row r="110" spans="1:14" ht="24" customHeight="1">
      <c r="A110" s="41"/>
      <c r="B110" s="51" t="s">
        <v>136</v>
      </c>
      <c r="C110" s="51" t="s">
        <v>137</v>
      </c>
      <c r="D110" s="32"/>
      <c r="E110" s="50">
        <v>1</v>
      </c>
      <c r="F110" s="49" t="s">
        <v>43</v>
      </c>
      <c r="G110" s="35">
        <v>450000</v>
      </c>
      <c r="H110" s="35">
        <f t="shared" si="11"/>
        <v>450000</v>
      </c>
      <c r="I110" s="35"/>
      <c r="J110" s="35">
        <f t="shared" si="13"/>
        <v>0</v>
      </c>
      <c r="K110" s="35">
        <f t="shared" si="12"/>
        <v>450000</v>
      </c>
      <c r="L110" s="35">
        <f t="shared" si="12"/>
        <v>450000</v>
      </c>
      <c r="M110" s="53"/>
      <c r="N110" s="4"/>
    </row>
    <row r="111" spans="1:14" ht="24" customHeight="1">
      <c r="A111" s="41"/>
      <c r="B111" s="51" t="s">
        <v>138</v>
      </c>
      <c r="C111" s="51" t="s">
        <v>349</v>
      </c>
      <c r="D111" s="34" t="s">
        <v>348</v>
      </c>
      <c r="E111" s="33">
        <v>1</v>
      </c>
      <c r="F111" s="49" t="s">
        <v>75</v>
      </c>
      <c r="G111" s="35">
        <v>280000</v>
      </c>
      <c r="H111" s="35">
        <f t="shared" si="11"/>
        <v>280000</v>
      </c>
      <c r="I111" s="35"/>
      <c r="J111" s="35">
        <f t="shared" si="13"/>
        <v>0</v>
      </c>
      <c r="K111" s="35">
        <f t="shared" si="12"/>
        <v>280000</v>
      </c>
      <c r="L111" s="35">
        <f t="shared" si="12"/>
        <v>280000</v>
      </c>
      <c r="M111" s="53" t="s">
        <v>68</v>
      </c>
      <c r="N111" s="4"/>
    </row>
    <row r="112" spans="1:14" ht="24" customHeight="1">
      <c r="A112" s="41"/>
      <c r="B112" s="51" t="s">
        <v>139</v>
      </c>
      <c r="C112" s="51" t="s">
        <v>140</v>
      </c>
      <c r="D112" s="34" t="s">
        <v>324</v>
      </c>
      <c r="E112" s="33">
        <v>1</v>
      </c>
      <c r="F112" s="49" t="s">
        <v>75</v>
      </c>
      <c r="G112" s="35">
        <v>370000</v>
      </c>
      <c r="H112" s="35">
        <f t="shared" si="11"/>
        <v>370000</v>
      </c>
      <c r="I112" s="35"/>
      <c r="J112" s="35">
        <f t="shared" si="13"/>
        <v>0</v>
      </c>
      <c r="K112" s="35">
        <f t="shared" si="12"/>
        <v>370000</v>
      </c>
      <c r="L112" s="35">
        <f t="shared" si="12"/>
        <v>370000</v>
      </c>
      <c r="M112" s="53" t="s">
        <v>68</v>
      </c>
      <c r="N112" s="4"/>
    </row>
    <row r="113" spans="1:14" ht="24" customHeight="1">
      <c r="A113" s="41"/>
      <c r="B113" s="51" t="s">
        <v>141</v>
      </c>
      <c r="C113" s="51" t="s">
        <v>142</v>
      </c>
      <c r="D113" s="32"/>
      <c r="E113" s="33">
        <v>1</v>
      </c>
      <c r="F113" s="49" t="s">
        <v>96</v>
      </c>
      <c r="G113" s="35"/>
      <c r="H113" s="35">
        <f>E113*G113</f>
        <v>0</v>
      </c>
      <c r="I113" s="35"/>
      <c r="J113" s="35">
        <f t="shared" si="13"/>
        <v>0</v>
      </c>
      <c r="K113" s="35">
        <f t="shared" si="12"/>
        <v>0</v>
      </c>
      <c r="L113" s="35">
        <f t="shared" si="12"/>
        <v>0</v>
      </c>
      <c r="M113" s="53"/>
      <c r="N113" s="4"/>
    </row>
    <row r="114" spans="1:14" ht="24" customHeight="1">
      <c r="A114" s="41"/>
      <c r="B114" s="32" t="s">
        <v>143</v>
      </c>
      <c r="C114" s="51" t="s">
        <v>277</v>
      </c>
      <c r="D114" s="32"/>
      <c r="E114" s="33">
        <v>3</v>
      </c>
      <c r="F114" s="49" t="s">
        <v>103</v>
      </c>
      <c r="G114" s="35"/>
      <c r="H114" s="35">
        <f>E114*G114</f>
        <v>0</v>
      </c>
      <c r="I114" s="35">
        <v>330000</v>
      </c>
      <c r="J114" s="35">
        <f>E114*I114</f>
        <v>990000</v>
      </c>
      <c r="K114" s="35">
        <f>G114+I114</f>
        <v>330000</v>
      </c>
      <c r="L114" s="35">
        <f>H114+J114</f>
        <v>990000</v>
      </c>
      <c r="M114" s="36"/>
      <c r="N114" s="4"/>
    </row>
    <row r="115" spans="1:14" ht="24" customHeight="1">
      <c r="A115" s="41"/>
      <c r="B115" s="32"/>
      <c r="C115" s="51" t="s">
        <v>278</v>
      </c>
      <c r="D115" s="32"/>
      <c r="E115" s="33">
        <v>2</v>
      </c>
      <c r="F115" s="49" t="s">
        <v>103</v>
      </c>
      <c r="G115" s="35"/>
      <c r="H115" s="35">
        <f>E115*G115</f>
        <v>0</v>
      </c>
      <c r="I115" s="35">
        <v>240000</v>
      </c>
      <c r="J115" s="35">
        <f>E115*I115</f>
        <v>480000</v>
      </c>
      <c r="K115" s="35">
        <f>G115+I115</f>
        <v>240000</v>
      </c>
      <c r="L115" s="35">
        <f>H115+J115</f>
        <v>480000</v>
      </c>
      <c r="M115" s="36"/>
      <c r="N115" s="4"/>
    </row>
    <row r="116" spans="1:14" ht="24" customHeight="1">
      <c r="A116" s="41"/>
      <c r="B116" s="32" t="s">
        <v>100</v>
      </c>
      <c r="C116" s="32"/>
      <c r="D116" s="32"/>
      <c r="E116" s="50">
        <v>86.64</v>
      </c>
      <c r="F116" s="49" t="s">
        <v>13</v>
      </c>
      <c r="G116" s="35">
        <v>1200</v>
      </c>
      <c r="H116" s="35">
        <f t="shared" si="11"/>
        <v>103968</v>
      </c>
      <c r="I116" s="35"/>
      <c r="J116" s="35">
        <f t="shared" si="13"/>
        <v>0</v>
      </c>
      <c r="K116" s="35">
        <f t="shared" si="12"/>
        <v>1200</v>
      </c>
      <c r="L116" s="35">
        <f t="shared" si="12"/>
        <v>103968</v>
      </c>
      <c r="M116" s="36"/>
      <c r="N116" s="4"/>
    </row>
    <row r="117" spans="1:14" ht="24" customHeight="1">
      <c r="A117" s="41"/>
      <c r="B117" s="32"/>
      <c r="C117" s="32"/>
      <c r="D117" s="32"/>
      <c r="E117" s="33"/>
      <c r="F117" s="49"/>
      <c r="G117" s="35"/>
      <c r="H117" s="35"/>
      <c r="I117" s="35"/>
      <c r="J117" s="35"/>
      <c r="K117" s="35"/>
      <c r="L117" s="35"/>
      <c r="M117" s="36"/>
      <c r="N117" s="4"/>
    </row>
    <row r="118" spans="1:14" ht="24" customHeight="1">
      <c r="A118" s="41"/>
      <c r="B118" s="32" t="s">
        <v>49</v>
      </c>
      <c r="C118" s="32"/>
      <c r="D118" s="32"/>
      <c r="E118" s="33"/>
      <c r="F118" s="34"/>
      <c r="G118" s="35"/>
      <c r="H118" s="35">
        <f>SUM(H87:H117)</f>
        <v>2651176</v>
      </c>
      <c r="I118" s="35"/>
      <c r="J118" s="35">
        <f>SUM(J87:J117)</f>
        <v>1470000</v>
      </c>
      <c r="K118" s="35"/>
      <c r="L118" s="35">
        <f>SUM(L87:L117)</f>
        <v>4121176</v>
      </c>
      <c r="M118" s="36"/>
      <c r="N118" s="4"/>
    </row>
    <row r="119" spans="1:14" ht="24" customHeight="1">
      <c r="A119" s="41"/>
      <c r="B119" s="55"/>
      <c r="C119" s="32"/>
      <c r="D119" s="32"/>
      <c r="E119" s="33"/>
      <c r="F119" s="34"/>
      <c r="G119" s="35"/>
      <c r="H119" s="35"/>
      <c r="I119" s="35"/>
      <c r="J119" s="35"/>
      <c r="K119" s="35"/>
      <c r="L119" s="35"/>
      <c r="M119" s="36"/>
      <c r="N119" s="4"/>
    </row>
    <row r="120" spans="1:14" s="10" customFormat="1" ht="24" customHeight="1">
      <c r="A120" s="66">
        <f>A8</f>
        <v>5</v>
      </c>
      <c r="B120" s="69" t="str">
        <f>B8</f>
        <v>도배 공사</v>
      </c>
      <c r="C120" s="149"/>
      <c r="D120" s="150"/>
      <c r="E120" s="150"/>
      <c r="F120" s="150"/>
      <c r="G120" s="150"/>
      <c r="H120" s="150"/>
      <c r="I120" s="150"/>
      <c r="J120" s="150"/>
      <c r="K120" s="150"/>
      <c r="L120" s="150"/>
      <c r="M120" s="151"/>
      <c r="N120" s="11"/>
    </row>
    <row r="121" spans="1:14" ht="24" customHeight="1">
      <c r="A121" s="41"/>
      <c r="B121" s="52" t="s">
        <v>144</v>
      </c>
      <c r="C121" s="51" t="s">
        <v>145</v>
      </c>
      <c r="D121" s="34" t="s">
        <v>329</v>
      </c>
      <c r="E121" s="50">
        <v>86.64</v>
      </c>
      <c r="F121" s="49" t="s">
        <v>13</v>
      </c>
      <c r="G121" s="35">
        <v>2950</v>
      </c>
      <c r="H121" s="35">
        <f>E121*G121</f>
        <v>255588</v>
      </c>
      <c r="I121" s="35"/>
      <c r="J121" s="35">
        <f>E121*I121</f>
        <v>0</v>
      </c>
      <c r="K121" s="35">
        <f t="shared" ref="K121:L123" si="14">G121+I121</f>
        <v>2950</v>
      </c>
      <c r="L121" s="35">
        <f t="shared" si="14"/>
        <v>255588</v>
      </c>
      <c r="M121" s="53"/>
      <c r="N121" s="4"/>
    </row>
    <row r="122" spans="1:14" ht="24" customHeight="1">
      <c r="A122" s="41"/>
      <c r="B122" s="52"/>
      <c r="C122" s="51" t="s">
        <v>146</v>
      </c>
      <c r="D122" s="34"/>
      <c r="E122" s="50">
        <v>99.332999999999998</v>
      </c>
      <c r="F122" s="49" t="s">
        <v>13</v>
      </c>
      <c r="G122" s="35">
        <v>2950</v>
      </c>
      <c r="H122" s="35">
        <f>E122*G122</f>
        <v>293032.34999999998</v>
      </c>
      <c r="I122" s="35"/>
      <c r="J122" s="35">
        <f>E122*I122</f>
        <v>0</v>
      </c>
      <c r="K122" s="35">
        <f t="shared" si="14"/>
        <v>2950</v>
      </c>
      <c r="L122" s="35">
        <f t="shared" si="14"/>
        <v>293032.34999999998</v>
      </c>
      <c r="M122" s="53"/>
      <c r="N122" s="4"/>
    </row>
    <row r="123" spans="1:14" ht="24" customHeight="1">
      <c r="A123" s="41"/>
      <c r="B123" s="32"/>
      <c r="C123" s="32" t="s">
        <v>100</v>
      </c>
      <c r="D123" s="32"/>
      <c r="E123" s="33">
        <f>SUM(E121:E122)</f>
        <v>185.97300000000001</v>
      </c>
      <c r="F123" s="49" t="s">
        <v>13</v>
      </c>
      <c r="G123" s="35">
        <v>1500</v>
      </c>
      <c r="H123" s="35">
        <f>E123*G123</f>
        <v>278959.5</v>
      </c>
      <c r="I123" s="35"/>
      <c r="J123" s="35"/>
      <c r="K123" s="35">
        <f t="shared" si="14"/>
        <v>1500</v>
      </c>
      <c r="L123" s="35">
        <f t="shared" si="14"/>
        <v>278959.5</v>
      </c>
      <c r="M123" s="36"/>
      <c r="N123" s="4"/>
    </row>
    <row r="124" spans="1:14" ht="24" customHeight="1">
      <c r="A124" s="41"/>
      <c r="B124" s="32" t="s">
        <v>143</v>
      </c>
      <c r="C124" s="51"/>
      <c r="D124" s="32"/>
      <c r="E124" s="33">
        <v>6</v>
      </c>
      <c r="F124" s="49" t="s">
        <v>103</v>
      </c>
      <c r="G124" s="35"/>
      <c r="H124" s="35">
        <f>E124*G124</f>
        <v>0</v>
      </c>
      <c r="I124" s="35">
        <v>270000</v>
      </c>
      <c r="J124" s="35">
        <f>E124*I124</f>
        <v>1620000</v>
      </c>
      <c r="K124" s="35">
        <f>G124+I124</f>
        <v>270000</v>
      </c>
      <c r="L124" s="35">
        <f>H124+J124</f>
        <v>1620000</v>
      </c>
      <c r="M124" s="36"/>
      <c r="N124" s="4"/>
    </row>
    <row r="125" spans="1:14" ht="24" customHeight="1">
      <c r="A125" s="41"/>
      <c r="B125" s="32"/>
      <c r="C125" s="32"/>
      <c r="D125" s="32"/>
      <c r="E125" s="33"/>
      <c r="F125" s="49"/>
      <c r="G125" s="35"/>
      <c r="H125" s="35"/>
      <c r="I125" s="35"/>
      <c r="J125" s="35"/>
      <c r="K125" s="35"/>
      <c r="L125" s="35"/>
      <c r="M125" s="36"/>
      <c r="N125" s="4"/>
    </row>
    <row r="126" spans="1:14" ht="24" customHeight="1">
      <c r="A126" s="41"/>
      <c r="B126" s="32" t="s">
        <v>49</v>
      </c>
      <c r="C126" s="32"/>
      <c r="D126" s="32"/>
      <c r="E126" s="33"/>
      <c r="F126" s="34"/>
      <c r="G126" s="35"/>
      <c r="H126" s="35">
        <f>SUM(H121:H125)</f>
        <v>827579.85</v>
      </c>
      <c r="I126" s="35"/>
      <c r="J126" s="35">
        <f>SUM(J121:J125)</f>
        <v>1620000</v>
      </c>
      <c r="K126" s="35"/>
      <c r="L126" s="35">
        <f>SUM(L121:L125)</f>
        <v>2447579.85</v>
      </c>
      <c r="M126" s="36"/>
      <c r="N126" s="4"/>
    </row>
    <row r="127" spans="1:14" ht="24" customHeight="1">
      <c r="A127" s="41"/>
      <c r="B127" s="64" t="s">
        <v>350</v>
      </c>
      <c r="C127" s="32"/>
      <c r="D127" s="32"/>
      <c r="E127" s="33"/>
      <c r="F127" s="34"/>
      <c r="G127" s="35"/>
      <c r="H127" s="35"/>
      <c r="I127" s="35"/>
      <c r="J127" s="35"/>
      <c r="K127" s="35"/>
      <c r="L127" s="35"/>
      <c r="M127" s="36"/>
      <c r="N127" s="4"/>
    </row>
    <row r="128" spans="1:14" ht="24" customHeight="1">
      <c r="A128" s="66">
        <f>A9</f>
        <v>6</v>
      </c>
      <c r="B128" s="67" t="str">
        <f>B9</f>
        <v>타일 공사</v>
      </c>
      <c r="C128" s="149" t="s">
        <v>147</v>
      </c>
      <c r="D128" s="150"/>
      <c r="E128" s="150"/>
      <c r="F128" s="150"/>
      <c r="G128" s="150"/>
      <c r="H128" s="150"/>
      <c r="I128" s="150"/>
      <c r="J128" s="150"/>
      <c r="K128" s="150"/>
      <c r="L128" s="150"/>
      <c r="M128" s="151"/>
      <c r="N128" s="4"/>
    </row>
    <row r="129" spans="1:14" ht="24" customHeight="1">
      <c r="A129" s="41"/>
      <c r="B129" s="56" t="s">
        <v>148</v>
      </c>
      <c r="C129" s="51" t="s">
        <v>149</v>
      </c>
      <c r="D129" s="34" t="s">
        <v>150</v>
      </c>
      <c r="E129" s="33">
        <v>3</v>
      </c>
      <c r="F129" s="49" t="s">
        <v>13</v>
      </c>
      <c r="G129" s="35">
        <v>20000</v>
      </c>
      <c r="H129" s="35">
        <f>E129*G129</f>
        <v>60000</v>
      </c>
      <c r="I129" s="35"/>
      <c r="J129" s="35">
        <f t="shared" ref="J129:J140" si="15">E129*I129</f>
        <v>0</v>
      </c>
      <c r="K129" s="35">
        <f t="shared" ref="K129:L139" si="16">G129+I129</f>
        <v>20000</v>
      </c>
      <c r="L129" s="35">
        <f t="shared" si="16"/>
        <v>60000</v>
      </c>
      <c r="M129" s="36"/>
      <c r="N129" s="4"/>
    </row>
    <row r="130" spans="1:14" ht="24" customHeight="1">
      <c r="A130" s="41"/>
      <c r="B130" s="56" t="s">
        <v>151</v>
      </c>
      <c r="C130" s="51" t="s">
        <v>152</v>
      </c>
      <c r="D130" s="34" t="s">
        <v>150</v>
      </c>
      <c r="E130" s="33">
        <v>5</v>
      </c>
      <c r="F130" s="49" t="s">
        <v>13</v>
      </c>
      <c r="G130" s="35">
        <v>16000</v>
      </c>
      <c r="H130" s="35">
        <f>E130*G130</f>
        <v>80000</v>
      </c>
      <c r="I130" s="35"/>
      <c r="J130" s="35">
        <f t="shared" si="15"/>
        <v>0</v>
      </c>
      <c r="K130" s="35">
        <f t="shared" si="16"/>
        <v>16000</v>
      </c>
      <c r="L130" s="35">
        <f t="shared" si="16"/>
        <v>80000</v>
      </c>
      <c r="M130" s="36"/>
      <c r="N130" s="4"/>
    </row>
    <row r="131" spans="1:14" ht="24" customHeight="1">
      <c r="A131" s="41"/>
      <c r="B131" s="56" t="s">
        <v>153</v>
      </c>
      <c r="C131" s="51" t="s">
        <v>149</v>
      </c>
      <c r="D131" s="34" t="s">
        <v>150</v>
      </c>
      <c r="E131" s="33">
        <v>3.5</v>
      </c>
      <c r="F131" s="49" t="s">
        <v>13</v>
      </c>
      <c r="G131" s="35">
        <v>22000</v>
      </c>
      <c r="H131" s="35">
        <f>E131*G131</f>
        <v>77000</v>
      </c>
      <c r="I131" s="35"/>
      <c r="J131" s="35">
        <f t="shared" si="15"/>
        <v>0</v>
      </c>
      <c r="K131" s="35">
        <f t="shared" si="16"/>
        <v>22000</v>
      </c>
      <c r="L131" s="35">
        <f t="shared" si="16"/>
        <v>77000</v>
      </c>
      <c r="M131" s="36"/>
      <c r="N131" s="4"/>
    </row>
    <row r="132" spans="1:14" ht="24" customHeight="1">
      <c r="A132" s="41"/>
      <c r="B132" s="56" t="s">
        <v>154</v>
      </c>
      <c r="C132" s="51" t="s">
        <v>149</v>
      </c>
      <c r="D132" s="34" t="s">
        <v>150</v>
      </c>
      <c r="E132" s="33">
        <v>27</v>
      </c>
      <c r="F132" s="49" t="s">
        <v>13</v>
      </c>
      <c r="G132" s="35">
        <v>22000</v>
      </c>
      <c r="H132" s="35">
        <f>E132*G132</f>
        <v>594000</v>
      </c>
      <c r="I132" s="35"/>
      <c r="J132" s="35">
        <f t="shared" si="15"/>
        <v>0</v>
      </c>
      <c r="K132" s="35">
        <f t="shared" si="16"/>
        <v>22000</v>
      </c>
      <c r="L132" s="35">
        <f t="shared" si="16"/>
        <v>594000</v>
      </c>
      <c r="M132" s="36"/>
      <c r="N132" s="4"/>
    </row>
    <row r="133" spans="1:14" ht="24" customHeight="1">
      <c r="A133" s="41"/>
      <c r="B133" s="56" t="s">
        <v>155</v>
      </c>
      <c r="C133" s="51" t="s">
        <v>149</v>
      </c>
      <c r="D133" s="34" t="s">
        <v>150</v>
      </c>
      <c r="E133" s="33"/>
      <c r="F133" s="49" t="s">
        <v>13</v>
      </c>
      <c r="G133" s="57">
        <v>22000</v>
      </c>
      <c r="H133" s="35">
        <f t="shared" ref="H133:H139" si="17">E133*G133</f>
        <v>0</v>
      </c>
      <c r="I133" s="35"/>
      <c r="J133" s="35">
        <f t="shared" si="15"/>
        <v>0</v>
      </c>
      <c r="K133" s="35">
        <f t="shared" si="16"/>
        <v>22000</v>
      </c>
      <c r="L133" s="35">
        <f t="shared" si="16"/>
        <v>0</v>
      </c>
      <c r="M133" s="36"/>
      <c r="N133" s="4"/>
    </row>
    <row r="134" spans="1:14" ht="24" customHeight="1">
      <c r="A134" s="41"/>
      <c r="B134" s="56" t="s">
        <v>156</v>
      </c>
      <c r="C134" s="51" t="s">
        <v>149</v>
      </c>
      <c r="D134" s="34" t="s">
        <v>150</v>
      </c>
      <c r="E134" s="33"/>
      <c r="F134" s="49" t="s">
        <v>13</v>
      </c>
      <c r="G134" s="57">
        <v>22000</v>
      </c>
      <c r="H134" s="35">
        <f t="shared" si="17"/>
        <v>0</v>
      </c>
      <c r="I134" s="35"/>
      <c r="J134" s="35">
        <f t="shared" si="15"/>
        <v>0</v>
      </c>
      <c r="K134" s="35">
        <f t="shared" si="16"/>
        <v>22000</v>
      </c>
      <c r="L134" s="35">
        <f t="shared" si="16"/>
        <v>0</v>
      </c>
      <c r="M134" s="36"/>
      <c r="N134" s="4"/>
    </row>
    <row r="135" spans="1:14" ht="24" customHeight="1">
      <c r="A135" s="41"/>
      <c r="B135" s="56" t="s">
        <v>157</v>
      </c>
      <c r="C135" s="51" t="s">
        <v>325</v>
      </c>
      <c r="D135" s="34" t="s">
        <v>150</v>
      </c>
      <c r="E135" s="33">
        <v>7</v>
      </c>
      <c r="F135" s="49" t="s">
        <v>13</v>
      </c>
      <c r="G135" s="57">
        <v>20000</v>
      </c>
      <c r="H135" s="35">
        <f t="shared" si="17"/>
        <v>140000</v>
      </c>
      <c r="I135" s="35"/>
      <c r="J135" s="35">
        <f t="shared" si="15"/>
        <v>0</v>
      </c>
      <c r="K135" s="35">
        <f t="shared" si="16"/>
        <v>20000</v>
      </c>
      <c r="L135" s="35">
        <f t="shared" si="16"/>
        <v>140000</v>
      </c>
      <c r="M135" s="36"/>
      <c r="N135" s="4"/>
    </row>
    <row r="136" spans="1:14" ht="24" customHeight="1">
      <c r="A136" s="41"/>
      <c r="B136" s="56" t="s">
        <v>158</v>
      </c>
      <c r="C136" s="58" t="s">
        <v>338</v>
      </c>
      <c r="D136" s="34"/>
      <c r="E136" s="33">
        <v>1</v>
      </c>
      <c r="F136" s="49" t="s">
        <v>43</v>
      </c>
      <c r="G136" s="57">
        <v>450000</v>
      </c>
      <c r="H136" s="35">
        <f t="shared" si="17"/>
        <v>450000</v>
      </c>
      <c r="I136" s="35"/>
      <c r="J136" s="35">
        <f t="shared" si="15"/>
        <v>0</v>
      </c>
      <c r="K136" s="35">
        <f t="shared" si="16"/>
        <v>450000</v>
      </c>
      <c r="L136" s="35">
        <f t="shared" si="16"/>
        <v>450000</v>
      </c>
      <c r="M136" s="36"/>
      <c r="N136" s="4"/>
    </row>
    <row r="137" spans="1:14" ht="24" customHeight="1">
      <c r="A137" s="41"/>
      <c r="B137" s="56" t="s">
        <v>337</v>
      </c>
      <c r="C137" s="58" t="s">
        <v>339</v>
      </c>
      <c r="D137" s="34"/>
      <c r="E137" s="33">
        <v>1</v>
      </c>
      <c r="F137" s="49" t="s">
        <v>43</v>
      </c>
      <c r="G137" s="57">
        <v>150000</v>
      </c>
      <c r="H137" s="35">
        <f>E137*G137</f>
        <v>150000</v>
      </c>
      <c r="I137" s="35"/>
      <c r="J137" s="35">
        <f t="shared" si="15"/>
        <v>0</v>
      </c>
      <c r="K137" s="35">
        <f>G137+I137</f>
        <v>150000</v>
      </c>
      <c r="L137" s="35">
        <f>H137+J137</f>
        <v>150000</v>
      </c>
      <c r="M137" s="36"/>
      <c r="N137" s="4"/>
    </row>
    <row r="138" spans="1:14" ht="24" customHeight="1">
      <c r="A138" s="41"/>
      <c r="B138" s="56" t="s">
        <v>159</v>
      </c>
      <c r="C138" s="58"/>
      <c r="D138" s="34"/>
      <c r="E138" s="33">
        <v>1</v>
      </c>
      <c r="F138" s="49" t="s">
        <v>71</v>
      </c>
      <c r="G138" s="57">
        <v>150000</v>
      </c>
      <c r="H138" s="35">
        <f t="shared" si="17"/>
        <v>150000</v>
      </c>
      <c r="I138" s="35"/>
      <c r="J138" s="35">
        <f t="shared" si="15"/>
        <v>0</v>
      </c>
      <c r="K138" s="35">
        <f t="shared" si="16"/>
        <v>150000</v>
      </c>
      <c r="L138" s="35">
        <f t="shared" si="16"/>
        <v>150000</v>
      </c>
      <c r="M138" s="36"/>
      <c r="N138" s="4"/>
    </row>
    <row r="139" spans="1:14" ht="24" customHeight="1">
      <c r="A139" s="41"/>
      <c r="B139" s="56" t="s">
        <v>160</v>
      </c>
      <c r="C139" s="58" t="s">
        <v>278</v>
      </c>
      <c r="D139" s="34"/>
      <c r="E139" s="33">
        <v>6</v>
      </c>
      <c r="F139" s="49" t="s">
        <v>103</v>
      </c>
      <c r="G139" s="57"/>
      <c r="H139" s="35">
        <f t="shared" si="17"/>
        <v>0</v>
      </c>
      <c r="I139" s="35">
        <v>350000</v>
      </c>
      <c r="J139" s="35">
        <f t="shared" si="15"/>
        <v>2100000</v>
      </c>
      <c r="K139" s="35">
        <f t="shared" si="16"/>
        <v>350000</v>
      </c>
      <c r="L139" s="35">
        <f t="shared" si="16"/>
        <v>2100000</v>
      </c>
      <c r="M139" s="36"/>
      <c r="N139" s="4"/>
    </row>
    <row r="140" spans="1:14" ht="24" customHeight="1">
      <c r="A140" s="41"/>
      <c r="B140" s="56"/>
      <c r="C140" s="58" t="s">
        <v>283</v>
      </c>
      <c r="D140" s="34"/>
      <c r="E140" s="33">
        <v>1</v>
      </c>
      <c r="F140" s="49" t="s">
        <v>103</v>
      </c>
      <c r="G140" s="57"/>
      <c r="H140" s="35">
        <f>E140*G140</f>
        <v>0</v>
      </c>
      <c r="I140" s="35">
        <v>220000</v>
      </c>
      <c r="J140" s="35">
        <f t="shared" si="15"/>
        <v>220000</v>
      </c>
      <c r="K140" s="35">
        <f>G140+I140</f>
        <v>220000</v>
      </c>
      <c r="L140" s="35">
        <f>H140+J140</f>
        <v>220000</v>
      </c>
      <c r="M140" s="36"/>
      <c r="N140" s="4"/>
    </row>
    <row r="141" spans="1:14" ht="24" customHeight="1">
      <c r="A141" s="41"/>
      <c r="B141" s="32"/>
      <c r="C141" s="32"/>
      <c r="D141" s="32"/>
      <c r="E141" s="33"/>
      <c r="F141" s="34"/>
      <c r="G141" s="35"/>
      <c r="H141" s="35"/>
      <c r="I141" s="35"/>
      <c r="J141" s="35"/>
      <c r="K141" s="35"/>
      <c r="L141" s="35"/>
      <c r="M141" s="36"/>
      <c r="N141" s="4"/>
    </row>
    <row r="142" spans="1:14" ht="24" customHeight="1">
      <c r="A142" s="41"/>
      <c r="B142" s="32" t="s">
        <v>49</v>
      </c>
      <c r="C142" s="32"/>
      <c r="D142" s="32"/>
      <c r="E142" s="33"/>
      <c r="F142" s="34"/>
      <c r="G142" s="35"/>
      <c r="H142" s="35">
        <f>SUM(H129:H141)</f>
        <v>1701000</v>
      </c>
      <c r="I142" s="35"/>
      <c r="J142" s="35">
        <f>SUM(J129:J141)</f>
        <v>2320000</v>
      </c>
      <c r="K142" s="35"/>
      <c r="L142" s="35">
        <f>SUM(L129:L141)</f>
        <v>4021000</v>
      </c>
      <c r="M142" s="36"/>
      <c r="N142" s="4"/>
    </row>
    <row r="143" spans="1:14" ht="24" customHeight="1">
      <c r="A143" s="41"/>
      <c r="B143" s="64" t="s">
        <v>340</v>
      </c>
      <c r="C143" s="32"/>
      <c r="D143" s="32"/>
      <c r="E143" s="33"/>
      <c r="F143" s="34"/>
      <c r="G143" s="35"/>
      <c r="H143" s="35"/>
      <c r="I143" s="35"/>
      <c r="J143" s="35"/>
      <c r="K143" s="35"/>
      <c r="L143" s="35"/>
      <c r="M143" s="36"/>
      <c r="N143" s="4"/>
    </row>
    <row r="144" spans="1:14" ht="24" customHeight="1">
      <c r="A144" s="66">
        <f>A10</f>
        <v>7</v>
      </c>
      <c r="B144" s="67" t="str">
        <f>B10</f>
        <v>욕실 공사</v>
      </c>
      <c r="C144" s="149"/>
      <c r="D144" s="150"/>
      <c r="E144" s="150"/>
      <c r="F144" s="150"/>
      <c r="G144" s="150"/>
      <c r="H144" s="150"/>
      <c r="I144" s="150"/>
      <c r="J144" s="150"/>
      <c r="K144" s="150"/>
      <c r="L144" s="150"/>
      <c r="M144" s="151"/>
      <c r="N144" s="4"/>
    </row>
    <row r="145" spans="1:14" ht="24" customHeight="1">
      <c r="A145" s="41"/>
      <c r="B145" s="52" t="s">
        <v>161</v>
      </c>
      <c r="C145" s="51" t="s">
        <v>287</v>
      </c>
      <c r="D145" s="34" t="s">
        <v>290</v>
      </c>
      <c r="E145" s="59">
        <v>1</v>
      </c>
      <c r="F145" s="49" t="s">
        <v>75</v>
      </c>
      <c r="G145" s="56">
        <v>255000</v>
      </c>
      <c r="H145" s="35">
        <f>E145*G145</f>
        <v>255000</v>
      </c>
      <c r="I145" s="35"/>
      <c r="J145" s="35">
        <f t="shared" ref="J145:J171" si="18">E145*I145</f>
        <v>0</v>
      </c>
      <c r="K145" s="35">
        <f>G145+I145</f>
        <v>255000</v>
      </c>
      <c r="L145" s="35">
        <f>H145+J145</f>
        <v>255000</v>
      </c>
      <c r="M145" s="53"/>
      <c r="N145" s="4"/>
    </row>
    <row r="146" spans="1:14" ht="24" customHeight="1">
      <c r="A146" s="41"/>
      <c r="B146" s="52" t="s">
        <v>162</v>
      </c>
      <c r="C146" s="60" t="s">
        <v>288</v>
      </c>
      <c r="D146" s="34" t="s">
        <v>290</v>
      </c>
      <c r="E146" s="59">
        <v>1</v>
      </c>
      <c r="F146" s="49" t="s">
        <v>75</v>
      </c>
      <c r="G146" s="56">
        <v>230000</v>
      </c>
      <c r="H146" s="35">
        <f t="shared" ref="H146:H171" si="19">E146*G146</f>
        <v>230000</v>
      </c>
      <c r="I146" s="35"/>
      <c r="J146" s="35">
        <f t="shared" si="18"/>
        <v>0</v>
      </c>
      <c r="K146" s="35">
        <f t="shared" ref="K146:L171" si="20">G146+I146</f>
        <v>230000</v>
      </c>
      <c r="L146" s="35">
        <f t="shared" si="20"/>
        <v>230000</v>
      </c>
      <c r="M146" s="53"/>
      <c r="N146" s="4"/>
    </row>
    <row r="147" spans="1:14" ht="24" customHeight="1">
      <c r="A147" s="41"/>
      <c r="B147" s="52"/>
      <c r="C147" s="60" t="s">
        <v>163</v>
      </c>
      <c r="D147" s="34"/>
      <c r="E147" s="59"/>
      <c r="F147" s="49" t="s">
        <v>75</v>
      </c>
      <c r="G147" s="56">
        <v>650000</v>
      </c>
      <c r="H147" s="35">
        <f t="shared" si="19"/>
        <v>0</v>
      </c>
      <c r="I147" s="35"/>
      <c r="J147" s="35">
        <f t="shared" si="18"/>
        <v>0</v>
      </c>
      <c r="K147" s="35">
        <f t="shared" si="20"/>
        <v>650000</v>
      </c>
      <c r="L147" s="35">
        <f t="shared" si="20"/>
        <v>0</v>
      </c>
      <c r="M147" s="53"/>
      <c r="N147" s="4"/>
    </row>
    <row r="148" spans="1:14" ht="24" customHeight="1">
      <c r="A148" s="41"/>
      <c r="B148" s="52" t="s">
        <v>164</v>
      </c>
      <c r="C148" s="60" t="s">
        <v>289</v>
      </c>
      <c r="D148" s="34" t="s">
        <v>290</v>
      </c>
      <c r="E148" s="59">
        <v>1</v>
      </c>
      <c r="F148" s="49" t="s">
        <v>75</v>
      </c>
      <c r="G148" s="56">
        <v>60000</v>
      </c>
      <c r="H148" s="35">
        <f t="shared" si="19"/>
        <v>60000</v>
      </c>
      <c r="I148" s="35"/>
      <c r="J148" s="35">
        <f t="shared" si="18"/>
        <v>0</v>
      </c>
      <c r="K148" s="35">
        <f t="shared" si="20"/>
        <v>60000</v>
      </c>
      <c r="L148" s="35">
        <f t="shared" si="20"/>
        <v>60000</v>
      </c>
      <c r="M148" s="53"/>
      <c r="N148" s="4"/>
    </row>
    <row r="149" spans="1:14" ht="24" customHeight="1">
      <c r="A149" s="41"/>
      <c r="B149" s="52"/>
      <c r="C149" s="60" t="s">
        <v>291</v>
      </c>
      <c r="D149" s="34"/>
      <c r="E149" s="59"/>
      <c r="F149" s="49" t="s">
        <v>75</v>
      </c>
      <c r="G149" s="56">
        <v>85000</v>
      </c>
      <c r="H149" s="35">
        <f>E149*G149</f>
        <v>0</v>
      </c>
      <c r="I149" s="35"/>
      <c r="J149" s="35">
        <f>E149*I149</f>
        <v>0</v>
      </c>
      <c r="K149" s="35">
        <f>G149+I149</f>
        <v>85000</v>
      </c>
      <c r="L149" s="35">
        <f>H149+J149</f>
        <v>0</v>
      </c>
      <c r="M149" s="53"/>
      <c r="N149" s="4"/>
    </row>
    <row r="150" spans="1:14" ht="24" customHeight="1">
      <c r="A150" s="41"/>
      <c r="B150" s="52" t="s">
        <v>165</v>
      </c>
      <c r="C150" s="60" t="s">
        <v>292</v>
      </c>
      <c r="D150" s="34" t="s">
        <v>290</v>
      </c>
      <c r="E150" s="59">
        <v>1</v>
      </c>
      <c r="F150" s="49" t="s">
        <v>75</v>
      </c>
      <c r="G150" s="56">
        <v>115000</v>
      </c>
      <c r="H150" s="35">
        <f t="shared" si="19"/>
        <v>115000</v>
      </c>
      <c r="I150" s="35"/>
      <c r="J150" s="35">
        <f t="shared" si="18"/>
        <v>0</v>
      </c>
      <c r="K150" s="35">
        <f t="shared" si="20"/>
        <v>115000</v>
      </c>
      <c r="L150" s="35">
        <f t="shared" si="20"/>
        <v>115000</v>
      </c>
      <c r="M150" s="53"/>
      <c r="N150" s="4"/>
    </row>
    <row r="151" spans="1:14" ht="24" customHeight="1">
      <c r="A151" s="41"/>
      <c r="B151" s="52" t="s">
        <v>166</v>
      </c>
      <c r="C151" s="60" t="s">
        <v>293</v>
      </c>
      <c r="D151" s="34"/>
      <c r="E151" s="59"/>
      <c r="F151" s="49" t="s">
        <v>75</v>
      </c>
      <c r="G151" s="56">
        <v>204500</v>
      </c>
      <c r="H151" s="35">
        <f t="shared" si="19"/>
        <v>0</v>
      </c>
      <c r="I151" s="35"/>
      <c r="J151" s="35">
        <f t="shared" si="18"/>
        <v>0</v>
      </c>
      <c r="K151" s="35">
        <f t="shared" si="20"/>
        <v>204500</v>
      </c>
      <c r="L151" s="35">
        <f t="shared" si="20"/>
        <v>0</v>
      </c>
      <c r="M151" s="53"/>
      <c r="N151" s="4"/>
    </row>
    <row r="152" spans="1:14" ht="24" customHeight="1">
      <c r="A152" s="41"/>
      <c r="B152" s="52" t="s">
        <v>167</v>
      </c>
      <c r="C152" s="60" t="s">
        <v>168</v>
      </c>
      <c r="D152" s="34" t="s">
        <v>290</v>
      </c>
      <c r="E152" s="59">
        <v>1</v>
      </c>
      <c r="F152" s="49" t="s">
        <v>75</v>
      </c>
      <c r="G152" s="56">
        <v>45000</v>
      </c>
      <c r="H152" s="35">
        <f t="shared" si="19"/>
        <v>45000</v>
      </c>
      <c r="I152" s="35"/>
      <c r="J152" s="35">
        <f t="shared" si="18"/>
        <v>0</v>
      </c>
      <c r="K152" s="35">
        <f t="shared" si="20"/>
        <v>45000</v>
      </c>
      <c r="L152" s="35">
        <f t="shared" si="20"/>
        <v>45000</v>
      </c>
      <c r="M152" s="53"/>
      <c r="N152" s="4"/>
    </row>
    <row r="153" spans="1:14" ht="24" customHeight="1">
      <c r="A153" s="41"/>
      <c r="B153" s="52" t="s">
        <v>169</v>
      </c>
      <c r="C153" s="60" t="s">
        <v>170</v>
      </c>
      <c r="D153" s="34" t="s">
        <v>290</v>
      </c>
      <c r="E153" s="59">
        <v>1</v>
      </c>
      <c r="F153" s="49" t="s">
        <v>75</v>
      </c>
      <c r="G153" s="56">
        <v>280000</v>
      </c>
      <c r="H153" s="35">
        <f t="shared" si="19"/>
        <v>280000</v>
      </c>
      <c r="I153" s="35"/>
      <c r="J153" s="35">
        <f t="shared" si="18"/>
        <v>0</v>
      </c>
      <c r="K153" s="35">
        <f t="shared" si="20"/>
        <v>280000</v>
      </c>
      <c r="L153" s="35">
        <f t="shared" si="20"/>
        <v>280000</v>
      </c>
      <c r="M153" s="53"/>
      <c r="N153" s="4"/>
    </row>
    <row r="154" spans="1:14" ht="24" customHeight="1">
      <c r="A154" s="41"/>
      <c r="B154" s="52"/>
      <c r="C154" s="60" t="s">
        <v>171</v>
      </c>
      <c r="D154" s="34"/>
      <c r="E154" s="59"/>
      <c r="F154" s="49" t="s">
        <v>75</v>
      </c>
      <c r="G154" s="56">
        <v>288000</v>
      </c>
      <c r="H154" s="35">
        <f t="shared" si="19"/>
        <v>0</v>
      </c>
      <c r="I154" s="35"/>
      <c r="J154" s="35">
        <f t="shared" si="18"/>
        <v>0</v>
      </c>
      <c r="K154" s="35">
        <f t="shared" si="20"/>
        <v>288000</v>
      </c>
      <c r="L154" s="35">
        <f t="shared" si="20"/>
        <v>0</v>
      </c>
      <c r="M154" s="53"/>
      <c r="N154" s="4"/>
    </row>
    <row r="155" spans="1:14" ht="24" customHeight="1">
      <c r="A155" s="41"/>
      <c r="B155" s="52"/>
      <c r="C155" s="60" t="s">
        <v>172</v>
      </c>
      <c r="D155" s="34"/>
      <c r="E155" s="59"/>
      <c r="F155" s="49" t="s">
        <v>75</v>
      </c>
      <c r="G155" s="56">
        <v>288000</v>
      </c>
      <c r="H155" s="35">
        <f t="shared" si="19"/>
        <v>0</v>
      </c>
      <c r="I155" s="35"/>
      <c r="J155" s="35">
        <f t="shared" si="18"/>
        <v>0</v>
      </c>
      <c r="K155" s="35">
        <f t="shared" si="20"/>
        <v>288000</v>
      </c>
      <c r="L155" s="35">
        <f t="shared" si="20"/>
        <v>0</v>
      </c>
      <c r="M155" s="53"/>
      <c r="N155" s="4"/>
    </row>
    <row r="156" spans="1:14" ht="24" customHeight="1">
      <c r="A156" s="41"/>
      <c r="B156" s="52" t="s">
        <v>173</v>
      </c>
      <c r="C156" s="51" t="s">
        <v>174</v>
      </c>
      <c r="D156" s="34"/>
      <c r="E156" s="59"/>
      <c r="F156" s="49" t="s">
        <v>75</v>
      </c>
      <c r="G156" s="56">
        <v>81800</v>
      </c>
      <c r="H156" s="35">
        <f t="shared" si="19"/>
        <v>0</v>
      </c>
      <c r="I156" s="35"/>
      <c r="J156" s="35">
        <f t="shared" si="18"/>
        <v>0</v>
      </c>
      <c r="K156" s="35">
        <f t="shared" si="20"/>
        <v>81800</v>
      </c>
      <c r="L156" s="35">
        <f t="shared" si="20"/>
        <v>0</v>
      </c>
      <c r="M156" s="53"/>
      <c r="N156" s="4"/>
    </row>
    <row r="157" spans="1:14" ht="24" customHeight="1">
      <c r="A157" s="41"/>
      <c r="B157" s="52"/>
      <c r="C157" s="51" t="s">
        <v>175</v>
      </c>
      <c r="D157" s="34"/>
      <c r="E157" s="59"/>
      <c r="F157" s="49" t="s">
        <v>75</v>
      </c>
      <c r="G157" s="56">
        <v>80000</v>
      </c>
      <c r="H157" s="35">
        <f t="shared" si="19"/>
        <v>0</v>
      </c>
      <c r="I157" s="35"/>
      <c r="J157" s="35">
        <f t="shared" si="18"/>
        <v>0</v>
      </c>
      <c r="K157" s="35">
        <f t="shared" si="20"/>
        <v>80000</v>
      </c>
      <c r="L157" s="35">
        <f t="shared" si="20"/>
        <v>0</v>
      </c>
      <c r="M157" s="53"/>
      <c r="N157" s="4"/>
    </row>
    <row r="158" spans="1:14" ht="24" customHeight="1">
      <c r="A158" s="41"/>
      <c r="B158" s="52" t="s">
        <v>176</v>
      </c>
      <c r="C158" s="51" t="s">
        <v>177</v>
      </c>
      <c r="D158" s="34" t="s">
        <v>316</v>
      </c>
      <c r="E158" s="59"/>
      <c r="F158" s="49" t="s">
        <v>96</v>
      </c>
      <c r="G158" s="56">
        <v>330000</v>
      </c>
      <c r="H158" s="35">
        <f t="shared" si="19"/>
        <v>0</v>
      </c>
      <c r="I158" s="35"/>
      <c r="J158" s="35">
        <f t="shared" si="18"/>
        <v>0</v>
      </c>
      <c r="K158" s="35">
        <f t="shared" si="20"/>
        <v>330000</v>
      </c>
      <c r="L158" s="35">
        <f t="shared" si="20"/>
        <v>0</v>
      </c>
      <c r="M158" s="53"/>
      <c r="N158" s="4"/>
    </row>
    <row r="159" spans="1:14" ht="24" customHeight="1">
      <c r="A159" s="41"/>
      <c r="B159" s="52" t="s">
        <v>178</v>
      </c>
      <c r="C159" s="51" t="s">
        <v>177</v>
      </c>
      <c r="D159" s="34"/>
      <c r="E159" s="59"/>
      <c r="F159" s="49" t="s">
        <v>96</v>
      </c>
      <c r="G159" s="56">
        <v>380000</v>
      </c>
      <c r="H159" s="35">
        <f t="shared" si="19"/>
        <v>0</v>
      </c>
      <c r="I159" s="35"/>
      <c r="J159" s="35">
        <f t="shared" si="18"/>
        <v>0</v>
      </c>
      <c r="K159" s="35">
        <f t="shared" si="20"/>
        <v>380000</v>
      </c>
      <c r="L159" s="35">
        <f t="shared" si="20"/>
        <v>0</v>
      </c>
      <c r="M159" s="53"/>
      <c r="N159" s="4"/>
    </row>
    <row r="160" spans="1:14" ht="24" customHeight="1">
      <c r="A160" s="41"/>
      <c r="B160" s="52" t="s">
        <v>179</v>
      </c>
      <c r="C160" s="51" t="s">
        <v>180</v>
      </c>
      <c r="D160" s="34"/>
      <c r="E160" s="59"/>
      <c r="F160" s="49" t="s">
        <v>96</v>
      </c>
      <c r="G160" s="56">
        <v>213000</v>
      </c>
      <c r="H160" s="35">
        <f t="shared" si="19"/>
        <v>0</v>
      </c>
      <c r="I160" s="35"/>
      <c r="J160" s="35">
        <f t="shared" si="18"/>
        <v>0</v>
      </c>
      <c r="K160" s="35">
        <f t="shared" si="20"/>
        <v>213000</v>
      </c>
      <c r="L160" s="35">
        <f t="shared" si="20"/>
        <v>0</v>
      </c>
      <c r="M160" s="53"/>
      <c r="N160" s="4"/>
    </row>
    <row r="161" spans="1:14" ht="24" customHeight="1">
      <c r="A161" s="41"/>
      <c r="B161" s="52" t="s">
        <v>181</v>
      </c>
      <c r="C161" s="51" t="s">
        <v>182</v>
      </c>
      <c r="D161" s="34"/>
      <c r="E161" s="59"/>
      <c r="F161" s="49" t="s">
        <v>75</v>
      </c>
      <c r="G161" s="56">
        <v>450000</v>
      </c>
      <c r="H161" s="35">
        <f t="shared" si="19"/>
        <v>0</v>
      </c>
      <c r="I161" s="35"/>
      <c r="J161" s="35">
        <f t="shared" si="18"/>
        <v>0</v>
      </c>
      <c r="K161" s="35">
        <f t="shared" si="20"/>
        <v>450000</v>
      </c>
      <c r="L161" s="35">
        <f t="shared" si="20"/>
        <v>0</v>
      </c>
      <c r="M161" s="53"/>
      <c r="N161" s="4"/>
    </row>
    <row r="162" spans="1:14" ht="24" customHeight="1">
      <c r="A162" s="41"/>
      <c r="B162" s="52"/>
      <c r="C162" s="51" t="s">
        <v>183</v>
      </c>
      <c r="D162" s="34"/>
      <c r="E162" s="59">
        <v>1</v>
      </c>
      <c r="F162" s="49" t="s">
        <v>75</v>
      </c>
      <c r="G162" s="56">
        <v>220000</v>
      </c>
      <c r="H162" s="35">
        <f t="shared" si="19"/>
        <v>220000</v>
      </c>
      <c r="I162" s="35"/>
      <c r="J162" s="35">
        <f t="shared" si="18"/>
        <v>0</v>
      </c>
      <c r="K162" s="35">
        <f t="shared" si="20"/>
        <v>220000</v>
      </c>
      <c r="L162" s="35">
        <f t="shared" si="20"/>
        <v>220000</v>
      </c>
      <c r="M162" s="53"/>
      <c r="N162" s="4"/>
    </row>
    <row r="163" spans="1:14" ht="24" customHeight="1">
      <c r="A163" s="41"/>
      <c r="B163" s="52"/>
      <c r="C163" s="51" t="s">
        <v>184</v>
      </c>
      <c r="D163" s="34"/>
      <c r="E163" s="59"/>
      <c r="F163" s="49" t="s">
        <v>75</v>
      </c>
      <c r="G163" s="56">
        <v>280000</v>
      </c>
      <c r="H163" s="35">
        <f t="shared" si="19"/>
        <v>0</v>
      </c>
      <c r="I163" s="35"/>
      <c r="J163" s="35">
        <f t="shared" si="18"/>
        <v>0</v>
      </c>
      <c r="K163" s="35">
        <f t="shared" si="20"/>
        <v>280000</v>
      </c>
      <c r="L163" s="35">
        <f t="shared" si="20"/>
        <v>0</v>
      </c>
      <c r="M163" s="53"/>
      <c r="N163" s="4"/>
    </row>
    <row r="164" spans="1:14" ht="24" customHeight="1">
      <c r="A164" s="41"/>
      <c r="B164" s="52" t="s">
        <v>185</v>
      </c>
      <c r="C164" s="51" t="s">
        <v>352</v>
      </c>
      <c r="D164" s="34" t="s">
        <v>290</v>
      </c>
      <c r="E164" s="59">
        <v>1</v>
      </c>
      <c r="F164" s="49" t="s">
        <v>96</v>
      </c>
      <c r="G164" s="56">
        <v>47000</v>
      </c>
      <c r="H164" s="35">
        <f t="shared" si="19"/>
        <v>47000</v>
      </c>
      <c r="I164" s="35"/>
      <c r="J164" s="35">
        <f t="shared" si="18"/>
        <v>0</v>
      </c>
      <c r="K164" s="35">
        <f t="shared" si="20"/>
        <v>47000</v>
      </c>
      <c r="L164" s="35">
        <f t="shared" si="20"/>
        <v>47000</v>
      </c>
      <c r="M164" s="53"/>
      <c r="N164" s="4"/>
    </row>
    <row r="165" spans="1:14" ht="24" customHeight="1">
      <c r="A165" s="41"/>
      <c r="B165" s="52" t="s">
        <v>186</v>
      </c>
      <c r="C165" s="51" t="s">
        <v>187</v>
      </c>
      <c r="D165" s="34"/>
      <c r="E165" s="59">
        <v>2</v>
      </c>
      <c r="F165" s="49" t="s">
        <v>75</v>
      </c>
      <c r="G165" s="56">
        <v>25000</v>
      </c>
      <c r="H165" s="35">
        <f t="shared" si="19"/>
        <v>50000</v>
      </c>
      <c r="I165" s="35"/>
      <c r="J165" s="35">
        <f t="shared" si="18"/>
        <v>0</v>
      </c>
      <c r="K165" s="35">
        <f t="shared" si="20"/>
        <v>25000</v>
      </c>
      <c r="L165" s="35">
        <f t="shared" si="20"/>
        <v>50000</v>
      </c>
      <c r="M165" s="53"/>
      <c r="N165" s="4"/>
    </row>
    <row r="166" spans="1:14" ht="24" customHeight="1">
      <c r="A166" s="41"/>
      <c r="B166" s="52" t="s">
        <v>188</v>
      </c>
      <c r="C166" s="51" t="s">
        <v>353</v>
      </c>
      <c r="D166" s="34" t="s">
        <v>317</v>
      </c>
      <c r="E166" s="59">
        <v>1</v>
      </c>
      <c r="F166" s="49" t="s">
        <v>75</v>
      </c>
      <c r="G166" s="56">
        <v>45000</v>
      </c>
      <c r="H166" s="35">
        <f t="shared" si="19"/>
        <v>45000</v>
      </c>
      <c r="I166" s="35"/>
      <c r="J166" s="35">
        <f t="shared" si="18"/>
        <v>0</v>
      </c>
      <c r="K166" s="35">
        <f t="shared" si="20"/>
        <v>45000</v>
      </c>
      <c r="L166" s="35">
        <f t="shared" si="20"/>
        <v>45000</v>
      </c>
      <c r="M166" s="53"/>
      <c r="N166" s="4"/>
    </row>
    <row r="167" spans="1:14" ht="24" customHeight="1">
      <c r="A167" s="41"/>
      <c r="B167" s="52"/>
      <c r="C167" s="51" t="s">
        <v>189</v>
      </c>
      <c r="D167" s="34"/>
      <c r="E167" s="59"/>
      <c r="F167" s="49" t="s">
        <v>75</v>
      </c>
      <c r="G167" s="56">
        <v>400000</v>
      </c>
      <c r="H167" s="35">
        <f t="shared" si="19"/>
        <v>0</v>
      </c>
      <c r="I167" s="35"/>
      <c r="J167" s="35">
        <f t="shared" si="18"/>
        <v>0</v>
      </c>
      <c r="K167" s="35">
        <f t="shared" si="20"/>
        <v>400000</v>
      </c>
      <c r="L167" s="35">
        <f t="shared" si="20"/>
        <v>0</v>
      </c>
      <c r="M167" s="53"/>
      <c r="N167" s="4"/>
    </row>
    <row r="168" spans="1:14" ht="24" customHeight="1">
      <c r="A168" s="41"/>
      <c r="B168" s="52" t="s">
        <v>190</v>
      </c>
      <c r="C168" s="51"/>
      <c r="D168" s="34"/>
      <c r="E168" s="59">
        <v>1</v>
      </c>
      <c r="F168" s="49" t="s">
        <v>75</v>
      </c>
      <c r="G168" s="56">
        <v>45000</v>
      </c>
      <c r="H168" s="35">
        <f t="shared" si="19"/>
        <v>45000</v>
      </c>
      <c r="I168" s="35"/>
      <c r="J168" s="35">
        <f t="shared" si="18"/>
        <v>0</v>
      </c>
      <c r="K168" s="35">
        <f t="shared" si="20"/>
        <v>45000</v>
      </c>
      <c r="L168" s="35">
        <f t="shared" si="20"/>
        <v>45000</v>
      </c>
      <c r="M168" s="53"/>
      <c r="N168" s="4"/>
    </row>
    <row r="169" spans="1:14" ht="24" customHeight="1">
      <c r="A169" s="41"/>
      <c r="B169" s="52" t="s">
        <v>191</v>
      </c>
      <c r="C169" s="51" t="s">
        <v>192</v>
      </c>
      <c r="D169" s="34"/>
      <c r="E169" s="59">
        <v>2</v>
      </c>
      <c r="F169" s="49" t="s">
        <v>75</v>
      </c>
      <c r="G169" s="56">
        <v>22000</v>
      </c>
      <c r="H169" s="35">
        <f t="shared" si="19"/>
        <v>44000</v>
      </c>
      <c r="I169" s="35"/>
      <c r="J169" s="35">
        <f t="shared" si="18"/>
        <v>0</v>
      </c>
      <c r="K169" s="35">
        <f t="shared" si="20"/>
        <v>22000</v>
      </c>
      <c r="L169" s="35">
        <f t="shared" si="20"/>
        <v>44000</v>
      </c>
      <c r="M169" s="53"/>
      <c r="N169" s="4"/>
    </row>
    <row r="170" spans="1:14" ht="24" customHeight="1">
      <c r="A170" s="41"/>
      <c r="B170" s="52" t="s">
        <v>193</v>
      </c>
      <c r="C170" s="51"/>
      <c r="D170" s="34"/>
      <c r="E170" s="59">
        <v>1</v>
      </c>
      <c r="F170" s="49" t="s">
        <v>75</v>
      </c>
      <c r="G170" s="56">
        <v>25000</v>
      </c>
      <c r="H170" s="35">
        <f t="shared" si="19"/>
        <v>25000</v>
      </c>
      <c r="I170" s="35"/>
      <c r="J170" s="35">
        <f t="shared" si="18"/>
        <v>0</v>
      </c>
      <c r="K170" s="35">
        <f t="shared" si="20"/>
        <v>25000</v>
      </c>
      <c r="L170" s="35">
        <f t="shared" si="20"/>
        <v>25000</v>
      </c>
      <c r="M170" s="53"/>
      <c r="N170" s="4"/>
    </row>
    <row r="171" spans="1:14" ht="24" customHeight="1">
      <c r="A171" s="41"/>
      <c r="B171" s="52" t="s">
        <v>160</v>
      </c>
      <c r="C171" s="51"/>
      <c r="D171" s="34"/>
      <c r="E171" s="59">
        <v>1</v>
      </c>
      <c r="F171" s="49" t="s">
        <v>103</v>
      </c>
      <c r="G171" s="56"/>
      <c r="H171" s="35">
        <f t="shared" si="19"/>
        <v>0</v>
      </c>
      <c r="I171" s="56">
        <v>260000</v>
      </c>
      <c r="J171" s="35">
        <f t="shared" si="18"/>
        <v>260000</v>
      </c>
      <c r="K171" s="35">
        <f t="shared" si="20"/>
        <v>260000</v>
      </c>
      <c r="L171" s="35">
        <f t="shared" si="20"/>
        <v>260000</v>
      </c>
      <c r="M171" s="36"/>
      <c r="N171" s="4"/>
    </row>
    <row r="172" spans="1:14" ht="24" customHeight="1">
      <c r="A172" s="41"/>
      <c r="B172" s="56"/>
      <c r="C172" s="58"/>
      <c r="D172" s="32"/>
      <c r="E172" s="33"/>
      <c r="F172" s="49"/>
      <c r="G172" s="57"/>
      <c r="H172" s="35"/>
      <c r="I172" s="35"/>
      <c r="J172" s="35"/>
      <c r="K172" s="35"/>
      <c r="L172" s="35"/>
      <c r="M172" s="36"/>
      <c r="N172" s="4"/>
    </row>
    <row r="173" spans="1:14" ht="24" customHeight="1">
      <c r="A173" s="41"/>
      <c r="B173" s="32" t="s">
        <v>49</v>
      </c>
      <c r="C173" s="32"/>
      <c r="D173" s="32"/>
      <c r="E173" s="33"/>
      <c r="F173" s="34"/>
      <c r="G173" s="35"/>
      <c r="H173" s="35">
        <f>SUM(H145:H172)</f>
        <v>1461000</v>
      </c>
      <c r="I173" s="35"/>
      <c r="J173" s="35">
        <f>SUM(J145:J172)</f>
        <v>260000</v>
      </c>
      <c r="K173" s="35"/>
      <c r="L173" s="35">
        <f>SUM(L145:L172)</f>
        <v>1721000</v>
      </c>
      <c r="M173" s="36"/>
      <c r="N173" s="4"/>
    </row>
    <row r="174" spans="1:14" ht="24" customHeight="1">
      <c r="A174" s="41"/>
      <c r="B174" s="56"/>
      <c r="C174" s="58"/>
      <c r="D174" s="32"/>
      <c r="E174" s="33"/>
      <c r="F174" s="49"/>
      <c r="G174" s="57"/>
      <c r="H174" s="35"/>
      <c r="I174" s="35"/>
      <c r="J174" s="35"/>
      <c r="K174" s="35"/>
      <c r="L174" s="35"/>
      <c r="M174" s="36"/>
      <c r="N174" s="4"/>
    </row>
    <row r="175" spans="1:14" ht="24" customHeight="1">
      <c r="A175" s="66">
        <f>A11</f>
        <v>8</v>
      </c>
      <c r="B175" s="67" t="str">
        <f>B11</f>
        <v>가구 공사</v>
      </c>
      <c r="C175" s="149"/>
      <c r="D175" s="150"/>
      <c r="E175" s="150"/>
      <c r="F175" s="150"/>
      <c r="G175" s="150"/>
      <c r="H175" s="150"/>
      <c r="I175" s="150"/>
      <c r="J175" s="150"/>
      <c r="K175" s="150"/>
      <c r="L175" s="150"/>
      <c r="M175" s="151"/>
      <c r="N175" s="4"/>
    </row>
    <row r="176" spans="1:14" ht="24" customHeight="1">
      <c r="A176" s="41"/>
      <c r="B176" s="57" t="s">
        <v>194</v>
      </c>
      <c r="C176" s="61" t="s">
        <v>268</v>
      </c>
      <c r="D176" s="34" t="s">
        <v>266</v>
      </c>
      <c r="E176" s="59">
        <v>1</v>
      </c>
      <c r="F176" s="49" t="s">
        <v>43</v>
      </c>
      <c r="G176" s="57">
        <v>2060000</v>
      </c>
      <c r="H176" s="35">
        <f t="shared" ref="H176:H183" si="21">E176*G176</f>
        <v>2060000</v>
      </c>
      <c r="I176" s="35"/>
      <c r="J176" s="35">
        <f>E176*I176</f>
        <v>0</v>
      </c>
      <c r="K176" s="35">
        <v>2065500</v>
      </c>
      <c r="L176" s="35">
        <f t="shared" ref="L176:L183" si="22">H176+J176</f>
        <v>2060000</v>
      </c>
      <c r="M176" s="53" t="s">
        <v>326</v>
      </c>
      <c r="N176" s="4"/>
    </row>
    <row r="177" spans="1:14" ht="24" customHeight="1">
      <c r="A177" s="41"/>
      <c r="B177" s="57"/>
      <c r="C177" s="61" t="s">
        <v>333</v>
      </c>
      <c r="D177" s="34" t="s">
        <v>334</v>
      </c>
      <c r="E177" s="59">
        <v>1</v>
      </c>
      <c r="F177" s="49" t="s">
        <v>43</v>
      </c>
      <c r="G177" s="57">
        <v>560000</v>
      </c>
      <c r="H177" s="35">
        <f t="shared" si="21"/>
        <v>560000</v>
      </c>
      <c r="I177" s="35"/>
      <c r="J177" s="35">
        <f>E177*I177</f>
        <v>0</v>
      </c>
      <c r="K177" s="35">
        <f>G177+I177</f>
        <v>560000</v>
      </c>
      <c r="L177" s="35">
        <f t="shared" si="22"/>
        <v>560000</v>
      </c>
      <c r="M177" s="53" t="s">
        <v>326</v>
      </c>
      <c r="N177" s="4"/>
    </row>
    <row r="178" spans="1:14" ht="24" customHeight="1">
      <c r="A178" s="41"/>
      <c r="B178" s="57"/>
      <c r="C178" s="61" t="s">
        <v>331</v>
      </c>
      <c r="D178" s="34" t="s">
        <v>332</v>
      </c>
      <c r="E178" s="59">
        <v>1</v>
      </c>
      <c r="F178" s="49" t="s">
        <v>43</v>
      </c>
      <c r="G178" s="57">
        <v>250000</v>
      </c>
      <c r="H178" s="35">
        <f t="shared" si="21"/>
        <v>250000</v>
      </c>
      <c r="I178" s="35"/>
      <c r="J178" s="35">
        <f>E178*I178</f>
        <v>0</v>
      </c>
      <c r="K178" s="35">
        <f>G178+I178</f>
        <v>250000</v>
      </c>
      <c r="L178" s="35">
        <f>H178+J178</f>
        <v>250000</v>
      </c>
      <c r="M178" s="53" t="s">
        <v>326</v>
      </c>
      <c r="N178" s="4"/>
    </row>
    <row r="179" spans="1:14" ht="24" customHeight="1">
      <c r="A179" s="41"/>
      <c r="B179" s="57" t="s">
        <v>195</v>
      </c>
      <c r="C179" s="61" t="s">
        <v>285</v>
      </c>
      <c r="D179" s="32"/>
      <c r="E179" s="33">
        <v>1</v>
      </c>
      <c r="F179" s="49" t="s">
        <v>43</v>
      </c>
      <c r="G179" s="57">
        <v>390000</v>
      </c>
      <c r="H179" s="35">
        <f t="shared" si="21"/>
        <v>390000</v>
      </c>
      <c r="I179" s="35"/>
      <c r="J179" s="35"/>
      <c r="K179" s="35">
        <f>I179+G179</f>
        <v>390000</v>
      </c>
      <c r="L179" s="35">
        <f t="shared" si="22"/>
        <v>390000</v>
      </c>
      <c r="M179" s="53" t="s">
        <v>93</v>
      </c>
      <c r="N179" s="4"/>
    </row>
    <row r="180" spans="1:14" ht="24" customHeight="1">
      <c r="A180" s="41"/>
      <c r="B180" s="57" t="s">
        <v>311</v>
      </c>
      <c r="C180" s="58"/>
      <c r="D180" s="34" t="s">
        <v>266</v>
      </c>
      <c r="E180" s="33">
        <v>1</v>
      </c>
      <c r="F180" s="49" t="s">
        <v>43</v>
      </c>
      <c r="G180" s="57">
        <v>780000</v>
      </c>
      <c r="H180" s="35">
        <f t="shared" si="21"/>
        <v>780000</v>
      </c>
      <c r="I180" s="35"/>
      <c r="J180" s="35"/>
      <c r="K180" s="35">
        <f>I180+G180</f>
        <v>780000</v>
      </c>
      <c r="L180" s="35">
        <f t="shared" si="22"/>
        <v>780000</v>
      </c>
      <c r="M180" s="53" t="s">
        <v>93</v>
      </c>
      <c r="N180" s="4"/>
    </row>
    <row r="181" spans="1:14" ht="24" customHeight="1">
      <c r="A181" s="41"/>
      <c r="B181" s="57"/>
      <c r="C181" s="58" t="s">
        <v>355</v>
      </c>
      <c r="D181" s="34" t="s">
        <v>266</v>
      </c>
      <c r="E181" s="33">
        <v>1</v>
      </c>
      <c r="F181" s="49" t="s">
        <v>43</v>
      </c>
      <c r="G181" s="57">
        <v>100000</v>
      </c>
      <c r="H181" s="35">
        <f t="shared" si="21"/>
        <v>100000</v>
      </c>
      <c r="I181" s="35"/>
      <c r="J181" s="35"/>
      <c r="K181" s="35">
        <f>I181+G181</f>
        <v>100000</v>
      </c>
      <c r="L181" s="35">
        <f>H181+J181</f>
        <v>100000</v>
      </c>
      <c r="M181" s="53" t="s">
        <v>93</v>
      </c>
      <c r="N181" s="4"/>
    </row>
    <row r="182" spans="1:14" ht="24" customHeight="1">
      <c r="A182" s="41"/>
      <c r="B182" s="57" t="s">
        <v>265</v>
      </c>
      <c r="C182" s="58" t="s">
        <v>354</v>
      </c>
      <c r="D182" s="34" t="s">
        <v>267</v>
      </c>
      <c r="E182" s="33">
        <v>1</v>
      </c>
      <c r="F182" s="49" t="s">
        <v>43</v>
      </c>
      <c r="G182" s="57">
        <v>760000</v>
      </c>
      <c r="H182" s="35">
        <f t="shared" si="21"/>
        <v>760000</v>
      </c>
      <c r="I182" s="35"/>
      <c r="J182" s="35"/>
      <c r="K182" s="35">
        <f>I182+G182</f>
        <v>760000</v>
      </c>
      <c r="L182" s="35">
        <f t="shared" si="22"/>
        <v>760000</v>
      </c>
      <c r="M182" s="53" t="s">
        <v>93</v>
      </c>
      <c r="N182" s="4"/>
    </row>
    <row r="183" spans="1:14" ht="24" customHeight="1">
      <c r="A183" s="41"/>
      <c r="B183" s="57" t="s">
        <v>312</v>
      </c>
      <c r="C183" s="61" t="s">
        <v>313</v>
      </c>
      <c r="D183" s="34" t="s">
        <v>266</v>
      </c>
      <c r="E183" s="33">
        <v>1</v>
      </c>
      <c r="F183" s="49" t="s">
        <v>43</v>
      </c>
      <c r="G183" s="57">
        <v>430000</v>
      </c>
      <c r="H183" s="35">
        <f t="shared" si="21"/>
        <v>430000</v>
      </c>
      <c r="I183" s="35"/>
      <c r="J183" s="35"/>
      <c r="K183" s="35">
        <f>I183+G183</f>
        <v>430000</v>
      </c>
      <c r="L183" s="35">
        <f t="shared" si="22"/>
        <v>430000</v>
      </c>
      <c r="M183" s="53" t="s">
        <v>93</v>
      </c>
      <c r="N183" s="4"/>
    </row>
    <row r="184" spans="1:14" ht="24" customHeight="1">
      <c r="A184" s="41"/>
      <c r="B184" s="57"/>
      <c r="C184" s="118"/>
      <c r="D184" s="34"/>
      <c r="E184" s="33"/>
      <c r="F184" s="49"/>
      <c r="G184" s="57"/>
      <c r="H184" s="35"/>
      <c r="I184" s="35"/>
      <c r="J184" s="35"/>
      <c r="K184" s="35"/>
      <c r="L184" s="35"/>
      <c r="M184" s="53"/>
      <c r="N184" s="4"/>
    </row>
    <row r="185" spans="1:14" ht="24" customHeight="1">
      <c r="A185" s="41"/>
      <c r="B185" s="32" t="s">
        <v>49</v>
      </c>
      <c r="C185" s="32"/>
      <c r="D185" s="32"/>
      <c r="E185" s="33"/>
      <c r="F185" s="34"/>
      <c r="G185" s="35"/>
      <c r="H185" s="35">
        <f>SUM(H176:H182)</f>
        <v>4900000</v>
      </c>
      <c r="I185" s="35"/>
      <c r="J185" s="35">
        <f>SUM(J176:J179)</f>
        <v>0</v>
      </c>
      <c r="K185" s="35"/>
      <c r="L185" s="35">
        <f>SUM(L176:L183)</f>
        <v>5330000</v>
      </c>
      <c r="M185" s="36"/>
      <c r="N185" s="4"/>
    </row>
    <row r="186" spans="1:14" ht="24" customHeight="1">
      <c r="A186" s="41"/>
      <c r="B186" s="64"/>
      <c r="C186" s="32"/>
      <c r="D186" s="32"/>
      <c r="E186" s="33"/>
      <c r="F186" s="34"/>
      <c r="G186" s="35"/>
      <c r="H186" s="35"/>
      <c r="I186" s="35"/>
      <c r="J186" s="35"/>
      <c r="K186" s="35"/>
      <c r="L186" s="35"/>
      <c r="M186" s="36"/>
      <c r="N186" s="4"/>
    </row>
    <row r="187" spans="1:14" ht="24" customHeight="1">
      <c r="A187" s="66">
        <f>A12</f>
        <v>9</v>
      </c>
      <c r="B187" s="67" t="str">
        <f>B12</f>
        <v>샤시 공사</v>
      </c>
      <c r="C187" s="149"/>
      <c r="D187" s="150"/>
      <c r="E187" s="150"/>
      <c r="F187" s="150"/>
      <c r="G187" s="150"/>
      <c r="H187" s="150"/>
      <c r="I187" s="150"/>
      <c r="J187" s="150"/>
      <c r="K187" s="150"/>
      <c r="L187" s="150"/>
      <c r="M187" s="151"/>
      <c r="N187" s="4"/>
    </row>
    <row r="188" spans="1:14" ht="24" customHeight="1">
      <c r="A188" s="41"/>
      <c r="B188" s="57" t="s">
        <v>307</v>
      </c>
      <c r="C188" s="61"/>
      <c r="D188" s="34"/>
      <c r="E188" s="62"/>
      <c r="F188" s="63"/>
      <c r="G188" s="57"/>
      <c r="H188" s="35"/>
      <c r="I188" s="35"/>
      <c r="J188" s="35"/>
      <c r="K188" s="35"/>
      <c r="L188" s="35"/>
      <c r="M188" s="53"/>
      <c r="N188" s="4"/>
    </row>
    <row r="189" spans="1:14" ht="24" customHeight="1">
      <c r="A189" s="41"/>
      <c r="B189" s="57" t="s">
        <v>301</v>
      </c>
      <c r="C189" s="61" t="s">
        <v>298</v>
      </c>
      <c r="D189" s="34" t="s">
        <v>306</v>
      </c>
      <c r="E189" s="62">
        <v>1</v>
      </c>
      <c r="F189" s="63" t="s">
        <v>197</v>
      </c>
      <c r="G189" s="57">
        <v>878200</v>
      </c>
      <c r="H189" s="35">
        <f>E189*G189</f>
        <v>878200</v>
      </c>
      <c r="I189" s="35"/>
      <c r="J189" s="35">
        <f>E189*I189</f>
        <v>0</v>
      </c>
      <c r="K189" s="35">
        <f t="shared" ref="K189:L192" si="23">G189+I189</f>
        <v>878200</v>
      </c>
      <c r="L189" s="35">
        <f t="shared" si="23"/>
        <v>878200</v>
      </c>
      <c r="M189" s="53"/>
      <c r="N189" s="4"/>
    </row>
    <row r="190" spans="1:14" ht="24" customHeight="1">
      <c r="A190" s="41"/>
      <c r="B190" s="57"/>
      <c r="C190" s="61" t="s">
        <v>299</v>
      </c>
      <c r="D190" s="34"/>
      <c r="E190" s="62">
        <v>1</v>
      </c>
      <c r="F190" s="63" t="s">
        <v>197</v>
      </c>
      <c r="G190" s="57">
        <v>200000</v>
      </c>
      <c r="H190" s="35">
        <f>E190*G190</f>
        <v>200000</v>
      </c>
      <c r="I190" s="35"/>
      <c r="J190" s="35">
        <f>E190*I190</f>
        <v>0</v>
      </c>
      <c r="K190" s="35">
        <f t="shared" si="23"/>
        <v>200000</v>
      </c>
      <c r="L190" s="35">
        <f t="shared" si="23"/>
        <v>200000</v>
      </c>
      <c r="M190" s="53"/>
      <c r="N190" s="4"/>
    </row>
    <row r="191" spans="1:14" ht="24" customHeight="1">
      <c r="A191" s="41"/>
      <c r="B191" s="57" t="s">
        <v>300</v>
      </c>
      <c r="C191" s="61" t="s">
        <v>302</v>
      </c>
      <c r="D191" s="34" t="s">
        <v>306</v>
      </c>
      <c r="E191" s="62">
        <v>1</v>
      </c>
      <c r="F191" s="63" t="s">
        <v>197</v>
      </c>
      <c r="G191" s="57">
        <v>889500</v>
      </c>
      <c r="H191" s="35">
        <f>E191*G191</f>
        <v>889500</v>
      </c>
      <c r="I191" s="35"/>
      <c r="J191" s="35">
        <f>E191*I191</f>
        <v>0</v>
      </c>
      <c r="K191" s="35">
        <f t="shared" si="23"/>
        <v>889500</v>
      </c>
      <c r="L191" s="35">
        <f t="shared" si="23"/>
        <v>889500</v>
      </c>
      <c r="M191" s="53"/>
      <c r="N191" s="4"/>
    </row>
    <row r="192" spans="1:14" ht="24" customHeight="1">
      <c r="A192" s="41"/>
      <c r="B192" s="57"/>
      <c r="C192" s="61" t="s">
        <v>299</v>
      </c>
      <c r="D192" s="34"/>
      <c r="E192" s="62">
        <v>1</v>
      </c>
      <c r="F192" s="63" t="s">
        <v>197</v>
      </c>
      <c r="G192" s="57">
        <v>200000</v>
      </c>
      <c r="H192" s="35">
        <f>E192*G192</f>
        <v>200000</v>
      </c>
      <c r="I192" s="35"/>
      <c r="J192" s="35">
        <f>E192*I192</f>
        <v>0</v>
      </c>
      <c r="K192" s="35">
        <f t="shared" si="23"/>
        <v>200000</v>
      </c>
      <c r="L192" s="35">
        <f t="shared" si="23"/>
        <v>200000</v>
      </c>
      <c r="M192" s="53"/>
      <c r="N192" s="4"/>
    </row>
    <row r="193" spans="1:14" ht="24" customHeight="1">
      <c r="A193" s="41"/>
      <c r="B193" s="57" t="s">
        <v>303</v>
      </c>
      <c r="C193" s="61" t="s">
        <v>304</v>
      </c>
      <c r="D193" s="34" t="s">
        <v>196</v>
      </c>
      <c r="E193" s="62">
        <v>1</v>
      </c>
      <c r="F193" s="63" t="s">
        <v>197</v>
      </c>
      <c r="G193" s="57">
        <v>2163600</v>
      </c>
      <c r="H193" s="35">
        <f t="shared" ref="H193:H200" si="24">E193*G193</f>
        <v>2163600</v>
      </c>
      <c r="I193" s="35"/>
      <c r="J193" s="35">
        <f t="shared" ref="J193:J200" si="25">E193*I193</f>
        <v>0</v>
      </c>
      <c r="K193" s="35">
        <f t="shared" ref="K193:L200" si="26">G193+I193</f>
        <v>2163600</v>
      </c>
      <c r="L193" s="35">
        <f t="shared" si="26"/>
        <v>2163600</v>
      </c>
      <c r="M193" s="53"/>
      <c r="N193" s="4"/>
    </row>
    <row r="194" spans="1:14" ht="24" customHeight="1">
      <c r="A194" s="41"/>
      <c r="B194" s="57" t="s">
        <v>271</v>
      </c>
      <c r="C194" s="61" t="s">
        <v>305</v>
      </c>
      <c r="D194" s="34" t="s">
        <v>306</v>
      </c>
      <c r="E194" s="62">
        <v>1</v>
      </c>
      <c r="F194" s="63" t="s">
        <v>197</v>
      </c>
      <c r="G194" s="57">
        <v>1054600</v>
      </c>
      <c r="H194" s="35">
        <f t="shared" si="24"/>
        <v>1054600</v>
      </c>
      <c r="I194" s="35"/>
      <c r="J194" s="35">
        <f t="shared" si="25"/>
        <v>0</v>
      </c>
      <c r="K194" s="35">
        <f t="shared" si="26"/>
        <v>1054600</v>
      </c>
      <c r="L194" s="35">
        <f t="shared" si="26"/>
        <v>1054600</v>
      </c>
      <c r="M194" s="53"/>
      <c r="N194" s="4"/>
    </row>
    <row r="195" spans="1:14" ht="24" customHeight="1">
      <c r="A195" s="41"/>
      <c r="B195" s="57" t="s">
        <v>272</v>
      </c>
      <c r="C195" s="61" t="s">
        <v>308</v>
      </c>
      <c r="D195" s="34" t="s">
        <v>196</v>
      </c>
      <c r="E195" s="62">
        <v>1</v>
      </c>
      <c r="F195" s="63" t="s">
        <v>197</v>
      </c>
      <c r="G195" s="57">
        <v>1225300</v>
      </c>
      <c r="H195" s="35">
        <f t="shared" si="24"/>
        <v>1225300</v>
      </c>
      <c r="I195" s="35"/>
      <c r="J195" s="35">
        <f t="shared" si="25"/>
        <v>0</v>
      </c>
      <c r="K195" s="35">
        <f t="shared" si="26"/>
        <v>1225300</v>
      </c>
      <c r="L195" s="35">
        <f t="shared" si="26"/>
        <v>1225300</v>
      </c>
      <c r="M195" s="53"/>
      <c r="N195" s="4"/>
    </row>
    <row r="196" spans="1:14" ht="24" customHeight="1">
      <c r="A196" s="41"/>
      <c r="B196" s="57" t="s">
        <v>198</v>
      </c>
      <c r="C196" s="61" t="s">
        <v>310</v>
      </c>
      <c r="D196" s="34" t="s">
        <v>309</v>
      </c>
      <c r="E196" s="62">
        <v>1</v>
      </c>
      <c r="F196" s="63" t="s">
        <v>197</v>
      </c>
      <c r="G196" s="57">
        <v>720000</v>
      </c>
      <c r="H196" s="35">
        <f t="shared" si="24"/>
        <v>720000</v>
      </c>
      <c r="I196" s="35"/>
      <c r="J196" s="35">
        <f t="shared" si="25"/>
        <v>0</v>
      </c>
      <c r="K196" s="35">
        <f t="shared" si="26"/>
        <v>720000</v>
      </c>
      <c r="L196" s="35">
        <f t="shared" si="26"/>
        <v>720000</v>
      </c>
      <c r="M196" s="53"/>
      <c r="N196" s="4"/>
    </row>
    <row r="197" spans="1:14" ht="24" customHeight="1">
      <c r="A197" s="41"/>
      <c r="B197" s="57" t="s">
        <v>199</v>
      </c>
      <c r="C197" s="61" t="s">
        <v>200</v>
      </c>
      <c r="D197" s="34"/>
      <c r="E197" s="62">
        <v>1</v>
      </c>
      <c r="F197" s="63" t="s">
        <v>197</v>
      </c>
      <c r="G197" s="57"/>
      <c r="H197" s="35">
        <f t="shared" si="24"/>
        <v>0</v>
      </c>
      <c r="I197" s="35"/>
      <c r="J197" s="35">
        <f t="shared" si="25"/>
        <v>0</v>
      </c>
      <c r="K197" s="35">
        <f t="shared" si="26"/>
        <v>0</v>
      </c>
      <c r="L197" s="35">
        <f t="shared" si="26"/>
        <v>0</v>
      </c>
      <c r="M197" s="53"/>
      <c r="N197" s="4"/>
    </row>
    <row r="198" spans="1:14" ht="24" customHeight="1">
      <c r="A198" s="41"/>
      <c r="B198" s="57" t="s">
        <v>100</v>
      </c>
      <c r="C198" s="61" t="s">
        <v>275</v>
      </c>
      <c r="D198" s="34" t="s">
        <v>276</v>
      </c>
      <c r="E198" s="62">
        <v>2</v>
      </c>
      <c r="F198" s="63" t="s">
        <v>197</v>
      </c>
      <c r="G198" s="57">
        <v>50000</v>
      </c>
      <c r="H198" s="35">
        <f>E198*G198</f>
        <v>100000</v>
      </c>
      <c r="I198" s="35"/>
      <c r="J198" s="35">
        <f>E198*I198</f>
        <v>0</v>
      </c>
      <c r="K198" s="35">
        <f>G198+I198</f>
        <v>50000</v>
      </c>
      <c r="L198" s="35">
        <f>H198+J198</f>
        <v>100000</v>
      </c>
      <c r="M198" s="53"/>
      <c r="N198" s="4"/>
    </row>
    <row r="199" spans="1:14" ht="24" customHeight="1">
      <c r="A199" s="41"/>
      <c r="B199" s="57" t="s">
        <v>201</v>
      </c>
      <c r="C199" s="61"/>
      <c r="D199" s="34"/>
      <c r="E199" s="62">
        <v>1</v>
      </c>
      <c r="F199" s="63" t="s">
        <v>197</v>
      </c>
      <c r="G199" s="57">
        <v>300000</v>
      </c>
      <c r="H199" s="35">
        <f t="shared" si="24"/>
        <v>300000</v>
      </c>
      <c r="I199" s="35"/>
      <c r="J199" s="35">
        <f t="shared" si="25"/>
        <v>0</v>
      </c>
      <c r="K199" s="35">
        <f t="shared" si="26"/>
        <v>300000</v>
      </c>
      <c r="L199" s="35">
        <f t="shared" si="26"/>
        <v>300000</v>
      </c>
      <c r="M199" s="53"/>
      <c r="N199" s="4"/>
    </row>
    <row r="200" spans="1:14" ht="24" customHeight="1">
      <c r="A200" s="41"/>
      <c r="B200" s="57" t="s">
        <v>104</v>
      </c>
      <c r="C200" s="61" t="s">
        <v>274</v>
      </c>
      <c r="D200" s="34" t="s">
        <v>273</v>
      </c>
      <c r="E200" s="62">
        <v>1</v>
      </c>
      <c r="F200" s="63" t="s">
        <v>197</v>
      </c>
      <c r="G200" s="57">
        <v>300000</v>
      </c>
      <c r="H200" s="35">
        <f t="shared" si="24"/>
        <v>300000</v>
      </c>
      <c r="I200" s="35"/>
      <c r="J200" s="35">
        <f t="shared" si="25"/>
        <v>0</v>
      </c>
      <c r="K200" s="35">
        <f t="shared" si="26"/>
        <v>300000</v>
      </c>
      <c r="L200" s="35">
        <f t="shared" si="26"/>
        <v>300000</v>
      </c>
      <c r="M200" s="53"/>
      <c r="N200" s="4"/>
    </row>
    <row r="201" spans="1:14" ht="24" customHeight="1">
      <c r="A201" s="41"/>
      <c r="B201" s="64"/>
      <c r="C201" s="61"/>
      <c r="D201" s="32"/>
      <c r="E201" s="62"/>
      <c r="F201" s="63"/>
      <c r="G201" s="57"/>
      <c r="H201" s="35"/>
      <c r="I201" s="35"/>
      <c r="J201" s="35"/>
      <c r="K201" s="35"/>
      <c r="L201" s="35"/>
      <c r="M201" s="36"/>
      <c r="N201" s="4"/>
    </row>
    <row r="202" spans="1:14" ht="24" customHeight="1">
      <c r="A202" s="41"/>
      <c r="B202" s="32" t="s">
        <v>49</v>
      </c>
      <c r="C202" s="32"/>
      <c r="D202" s="32"/>
      <c r="E202" s="33"/>
      <c r="F202" s="34"/>
      <c r="G202" s="35"/>
      <c r="H202" s="35">
        <f>SUM(H188:H201)</f>
        <v>8031200</v>
      </c>
      <c r="I202" s="35"/>
      <c r="J202" s="35">
        <f>SUM(J188:J201)</f>
        <v>0</v>
      </c>
      <c r="K202" s="35"/>
      <c r="L202" s="35">
        <f>SUM(L188:L201)</f>
        <v>8031200</v>
      </c>
      <c r="M202" s="36"/>
      <c r="N202" s="4"/>
    </row>
    <row r="203" spans="1:14" ht="24" customHeight="1">
      <c r="A203" s="41"/>
      <c r="B203" s="64" t="s">
        <v>202</v>
      </c>
      <c r="C203" s="32"/>
      <c r="D203" s="32"/>
      <c r="E203" s="33"/>
      <c r="F203" s="34"/>
      <c r="G203" s="35"/>
      <c r="H203" s="35"/>
      <c r="I203" s="35"/>
      <c r="J203" s="35"/>
      <c r="K203" s="35"/>
      <c r="L203" s="35"/>
      <c r="M203" s="36"/>
      <c r="N203" s="4"/>
    </row>
    <row r="204" spans="1:14" ht="24" customHeight="1">
      <c r="A204" s="66">
        <f>A13</f>
        <v>10</v>
      </c>
      <c r="B204" s="67" t="str">
        <f>B13</f>
        <v>도장 공사</v>
      </c>
      <c r="C204" s="149"/>
      <c r="D204" s="150"/>
      <c r="E204" s="150"/>
      <c r="F204" s="150"/>
      <c r="G204" s="150"/>
      <c r="H204" s="150"/>
      <c r="I204" s="150"/>
      <c r="J204" s="150"/>
      <c r="K204" s="150"/>
      <c r="L204" s="150"/>
      <c r="M204" s="151"/>
      <c r="N204" s="4"/>
    </row>
    <row r="205" spans="1:14" ht="24" customHeight="1">
      <c r="A205" s="41"/>
      <c r="B205" s="57" t="s">
        <v>203</v>
      </c>
      <c r="C205" s="65" t="s">
        <v>204</v>
      </c>
      <c r="D205" s="34" t="s">
        <v>270</v>
      </c>
      <c r="E205" s="50">
        <v>86.64</v>
      </c>
      <c r="F205" s="49" t="s">
        <v>13</v>
      </c>
      <c r="G205" s="57">
        <v>2000</v>
      </c>
      <c r="H205" s="35">
        <f>E205*G205</f>
        <v>173280</v>
      </c>
      <c r="I205" s="35">
        <v>3500</v>
      </c>
      <c r="J205" s="35">
        <f>E205*I205</f>
        <v>303240</v>
      </c>
      <c r="K205" s="35">
        <f>G205+I205</f>
        <v>5500</v>
      </c>
      <c r="L205" s="35">
        <f>H205+J205</f>
        <v>476520</v>
      </c>
      <c r="M205" s="36"/>
      <c r="N205" s="4"/>
    </row>
    <row r="206" spans="1:14" ht="24" customHeight="1">
      <c r="A206" s="41"/>
      <c r="B206" s="57" t="s">
        <v>280</v>
      </c>
      <c r="C206" s="63" t="s">
        <v>281</v>
      </c>
      <c r="D206" s="34"/>
      <c r="E206" s="33">
        <v>1</v>
      </c>
      <c r="F206" s="49" t="s">
        <v>43</v>
      </c>
      <c r="G206" s="57">
        <v>200000</v>
      </c>
      <c r="H206" s="35">
        <f>E206*G206</f>
        <v>200000</v>
      </c>
      <c r="I206" s="35">
        <v>500000</v>
      </c>
      <c r="J206" s="35">
        <f>E206*I206</f>
        <v>500000</v>
      </c>
      <c r="K206" s="35">
        <f>G206+I206</f>
        <v>700000</v>
      </c>
      <c r="L206" s="35">
        <f>H206+J206</f>
        <v>700000</v>
      </c>
      <c r="M206" s="36"/>
      <c r="N206" s="4"/>
    </row>
    <row r="207" spans="1:14" ht="24" customHeight="1">
      <c r="A207" s="41"/>
      <c r="B207" s="64"/>
      <c r="C207" s="58"/>
      <c r="D207" s="32"/>
      <c r="E207" s="33"/>
      <c r="F207" s="49"/>
      <c r="G207" s="57"/>
      <c r="H207" s="35"/>
      <c r="I207" s="35"/>
      <c r="J207" s="35"/>
      <c r="K207" s="35"/>
      <c r="L207" s="35"/>
      <c r="M207" s="36"/>
      <c r="N207" s="4"/>
    </row>
    <row r="208" spans="1:14" ht="24" customHeight="1">
      <c r="A208" s="41"/>
      <c r="B208" s="32" t="s">
        <v>49</v>
      </c>
      <c r="C208" s="32"/>
      <c r="D208" s="32"/>
      <c r="E208" s="33"/>
      <c r="F208" s="34"/>
      <c r="G208" s="35"/>
      <c r="H208" s="35">
        <f>SUM(H205:H207)</f>
        <v>373280</v>
      </c>
      <c r="I208" s="35"/>
      <c r="J208" s="35">
        <f>SUM(J205:J207)</f>
        <v>803240</v>
      </c>
      <c r="K208" s="35"/>
      <c r="L208" s="35">
        <f>SUM(L205:L207)</f>
        <v>1176520</v>
      </c>
      <c r="M208" s="36"/>
      <c r="N208" s="4"/>
    </row>
    <row r="209" spans="1:14" ht="24" customHeight="1">
      <c r="A209" s="41"/>
      <c r="B209" s="64" t="s">
        <v>205</v>
      </c>
      <c r="C209" s="65"/>
      <c r="D209" s="32"/>
      <c r="E209" s="62"/>
      <c r="F209" s="49"/>
      <c r="G209" s="57"/>
      <c r="H209" s="35"/>
      <c r="I209" s="35"/>
      <c r="J209" s="35"/>
      <c r="K209" s="35"/>
      <c r="L209" s="35"/>
      <c r="M209" s="36"/>
      <c r="N209" s="4"/>
    </row>
    <row r="210" spans="1:14" ht="24" customHeight="1">
      <c r="A210" s="41"/>
      <c r="B210" s="64" t="s">
        <v>206</v>
      </c>
      <c r="C210" s="58"/>
      <c r="D210" s="32"/>
      <c r="E210" s="33"/>
      <c r="F210" s="49"/>
      <c r="G210" s="57"/>
      <c r="H210" s="35"/>
      <c r="I210" s="35"/>
      <c r="J210" s="35"/>
      <c r="K210" s="35"/>
      <c r="L210" s="35"/>
      <c r="M210" s="36"/>
      <c r="N210" s="4"/>
    </row>
    <row r="211" spans="1:14" ht="24" customHeight="1">
      <c r="A211" s="66">
        <f>A14</f>
        <v>11</v>
      </c>
      <c r="B211" s="67" t="str">
        <f>B14</f>
        <v>바닥 공사</v>
      </c>
      <c r="C211" s="149"/>
      <c r="D211" s="150"/>
      <c r="E211" s="150"/>
      <c r="F211" s="150"/>
      <c r="G211" s="150"/>
      <c r="H211" s="150"/>
      <c r="I211" s="150"/>
      <c r="J211" s="150"/>
      <c r="K211" s="150"/>
      <c r="L211" s="150"/>
      <c r="M211" s="151"/>
      <c r="N211" s="4"/>
    </row>
    <row r="212" spans="1:14" ht="24" customHeight="1">
      <c r="A212" s="41"/>
      <c r="B212" s="57" t="s">
        <v>296</v>
      </c>
      <c r="C212" s="65" t="s">
        <v>327</v>
      </c>
      <c r="D212" s="34" t="s">
        <v>297</v>
      </c>
      <c r="E212" s="33">
        <v>58</v>
      </c>
      <c r="F212" s="49" t="s">
        <v>13</v>
      </c>
      <c r="G212" s="57">
        <v>31000</v>
      </c>
      <c r="H212" s="35">
        <f>E212*G212</f>
        <v>1798000</v>
      </c>
      <c r="I212" s="35">
        <v>9000</v>
      </c>
      <c r="J212" s="35">
        <f>E212*I212</f>
        <v>522000</v>
      </c>
      <c r="K212" s="35">
        <f>G212+I212</f>
        <v>40000</v>
      </c>
      <c r="L212" s="35">
        <f>H212+J212</f>
        <v>2320000</v>
      </c>
      <c r="M212" s="36"/>
      <c r="N212" s="4"/>
    </row>
    <row r="213" spans="1:14" ht="24" customHeight="1">
      <c r="A213" s="41"/>
      <c r="B213" s="64"/>
      <c r="C213" s="65"/>
      <c r="D213" s="32"/>
      <c r="E213" s="62"/>
      <c r="F213" s="49"/>
      <c r="G213" s="57"/>
      <c r="H213" s="35"/>
      <c r="I213" s="35"/>
      <c r="J213" s="35"/>
      <c r="K213" s="35"/>
      <c r="L213" s="35"/>
      <c r="M213" s="36"/>
      <c r="N213" s="4"/>
    </row>
    <row r="214" spans="1:14" ht="24" customHeight="1">
      <c r="A214" s="41"/>
      <c r="B214" s="64"/>
      <c r="C214" s="58"/>
      <c r="D214" s="32"/>
      <c r="E214" s="33"/>
      <c r="F214" s="49"/>
      <c r="G214" s="57"/>
      <c r="H214" s="35"/>
      <c r="I214" s="35"/>
      <c r="J214" s="35"/>
      <c r="K214" s="35"/>
      <c r="L214" s="35"/>
      <c r="M214" s="36"/>
      <c r="N214" s="4"/>
    </row>
    <row r="215" spans="1:14" ht="24" customHeight="1">
      <c r="A215" s="41"/>
      <c r="B215" s="32" t="s">
        <v>49</v>
      </c>
      <c r="C215" s="32"/>
      <c r="D215" s="32"/>
      <c r="E215" s="33"/>
      <c r="F215" s="34"/>
      <c r="G215" s="35"/>
      <c r="H215" s="35">
        <f>SUM(H212:H214)</f>
        <v>1798000</v>
      </c>
      <c r="I215" s="35"/>
      <c r="J215" s="35">
        <f>SUM(J212:J214)</f>
        <v>522000</v>
      </c>
      <c r="K215" s="35"/>
      <c r="L215" s="35">
        <f>SUM(L212:L214)</f>
        <v>2320000</v>
      </c>
      <c r="M215" s="36"/>
      <c r="N215" s="4"/>
    </row>
    <row r="216" spans="1:14" ht="24" customHeight="1">
      <c r="A216" s="41"/>
      <c r="B216" s="64" t="s">
        <v>328</v>
      </c>
      <c r="C216" s="32"/>
      <c r="D216" s="32"/>
      <c r="E216" s="33"/>
      <c r="F216" s="34"/>
      <c r="G216" s="35"/>
      <c r="H216" s="35"/>
      <c r="I216" s="35"/>
      <c r="J216" s="35"/>
      <c r="K216" s="35"/>
      <c r="L216" s="35"/>
      <c r="M216" s="36"/>
      <c r="N216" s="4"/>
    </row>
    <row r="217" spans="1:14" ht="24" customHeight="1">
      <c r="A217" s="66">
        <f>A15</f>
        <v>12</v>
      </c>
      <c r="B217" s="67" t="str">
        <f>B15</f>
        <v>기타 공사</v>
      </c>
      <c r="C217" s="149"/>
      <c r="D217" s="150"/>
      <c r="E217" s="150"/>
      <c r="F217" s="150"/>
      <c r="G217" s="150"/>
      <c r="H217" s="150"/>
      <c r="I217" s="150"/>
      <c r="J217" s="150"/>
      <c r="K217" s="150"/>
      <c r="L217" s="150"/>
      <c r="M217" s="151"/>
      <c r="N217" s="4"/>
    </row>
    <row r="218" spans="1:14" ht="24" customHeight="1">
      <c r="A218" s="41"/>
      <c r="B218" s="57" t="s">
        <v>314</v>
      </c>
      <c r="C218" s="63" t="s">
        <v>318</v>
      </c>
      <c r="D218" s="34"/>
      <c r="E218" s="33">
        <v>3</v>
      </c>
      <c r="F218" s="49" t="s">
        <v>96</v>
      </c>
      <c r="G218" s="57">
        <v>1650000</v>
      </c>
      <c r="H218" s="35">
        <f>E218*G218</f>
        <v>4950000</v>
      </c>
      <c r="I218" s="35">
        <v>500000</v>
      </c>
      <c r="J218" s="35">
        <f>E218*I218</f>
        <v>1500000</v>
      </c>
      <c r="K218" s="35">
        <f>G218+I218</f>
        <v>2150000</v>
      </c>
      <c r="L218" s="35">
        <f>H218+J218</f>
        <v>6450000</v>
      </c>
      <c r="M218" s="36"/>
      <c r="N218" s="4"/>
    </row>
    <row r="219" spans="1:14" ht="24" customHeight="1">
      <c r="A219" s="41"/>
      <c r="B219" s="57"/>
      <c r="C219" s="63" t="s">
        <v>207</v>
      </c>
      <c r="D219" s="32"/>
      <c r="E219" s="33">
        <v>1</v>
      </c>
      <c r="F219" s="49" t="s">
        <v>43</v>
      </c>
      <c r="G219" s="57">
        <v>100000</v>
      </c>
      <c r="H219" s="35">
        <f>E219*G219</f>
        <v>100000</v>
      </c>
      <c r="I219" s="35"/>
      <c r="J219" s="35">
        <f>E219*I219</f>
        <v>0</v>
      </c>
      <c r="K219" s="35">
        <f>G219+I219</f>
        <v>100000</v>
      </c>
      <c r="L219" s="35">
        <f>H219+J219</f>
        <v>100000</v>
      </c>
      <c r="M219" s="36"/>
      <c r="N219" s="4"/>
    </row>
    <row r="220" spans="1:14" ht="24" customHeight="1">
      <c r="A220" s="41"/>
      <c r="B220" s="64"/>
      <c r="C220" s="65"/>
      <c r="D220" s="32"/>
      <c r="E220" s="62"/>
      <c r="F220" s="49"/>
      <c r="G220" s="57"/>
      <c r="H220" s="35"/>
      <c r="I220" s="35"/>
      <c r="J220" s="35"/>
      <c r="K220" s="35"/>
      <c r="L220" s="35"/>
      <c r="M220" s="36"/>
      <c r="N220" s="4"/>
    </row>
    <row r="221" spans="1:14" ht="24" customHeight="1">
      <c r="A221" s="41"/>
      <c r="B221" s="32" t="s">
        <v>49</v>
      </c>
      <c r="C221" s="32"/>
      <c r="D221" s="32"/>
      <c r="E221" s="33"/>
      <c r="F221" s="34"/>
      <c r="G221" s="35"/>
      <c r="H221" s="35">
        <f>SUM(H218:H220)</f>
        <v>5050000</v>
      </c>
      <c r="I221" s="35"/>
      <c r="J221" s="35">
        <f>SUM(J218:J220)</f>
        <v>1500000</v>
      </c>
      <c r="K221" s="35"/>
      <c r="L221" s="35">
        <f>SUM(L218:L220)</f>
        <v>6550000</v>
      </c>
      <c r="M221" s="36"/>
      <c r="N221" s="4"/>
    </row>
    <row r="222" spans="1:14" ht="24" customHeight="1">
      <c r="A222" s="41"/>
      <c r="B222" s="64" t="s">
        <v>315</v>
      </c>
      <c r="C222" s="65"/>
      <c r="D222" s="32"/>
      <c r="E222" s="62"/>
      <c r="F222" s="49"/>
      <c r="G222" s="57"/>
      <c r="H222" s="35"/>
      <c r="I222" s="35"/>
      <c r="J222" s="35"/>
      <c r="K222" s="35"/>
      <c r="L222" s="35"/>
      <c r="M222" s="36"/>
      <c r="N222" s="4"/>
    </row>
  </sheetData>
  <mergeCells count="19">
    <mergeCell ref="A23:G23"/>
    <mergeCell ref="A24:G24"/>
    <mergeCell ref="B18:M18"/>
    <mergeCell ref="G1:H1"/>
    <mergeCell ref="I1:J1"/>
    <mergeCell ref="K1:L1"/>
    <mergeCell ref="B3:M3"/>
    <mergeCell ref="A16:G16"/>
    <mergeCell ref="C120:M120"/>
    <mergeCell ref="C128:M128"/>
    <mergeCell ref="C86:M86"/>
    <mergeCell ref="C56:M56"/>
    <mergeCell ref="C39:M39"/>
    <mergeCell ref="C217:M217"/>
    <mergeCell ref="C144:M144"/>
    <mergeCell ref="C175:M175"/>
    <mergeCell ref="C187:M187"/>
    <mergeCell ref="C204:M204"/>
    <mergeCell ref="C211:M211"/>
  </mergeCells>
  <phoneticPr fontId="1" type="noConversion"/>
  <printOptions horizontalCentered="1"/>
  <pageMargins left="0" right="0" top="0.51181102362204722" bottom="0.35433070866141736" header="0.27559055118110237" footer="0.15748031496062992"/>
  <pageSetup paperSize="9" scale="61" orientation="landscape" r:id="rId1"/>
  <headerFooter alignWithMargins="0">
    <oddFooter>&amp;C&amp;P/&amp;N</oddFooter>
  </headerFooter>
  <rowBreaks count="6" manualBreakCount="6">
    <brk id="28" max="12" man="1"/>
    <brk id="55" max="12" man="1"/>
    <brk id="85" max="12" man="1"/>
    <brk id="119" max="12" man="1"/>
    <brk id="186" max="12" man="1"/>
    <brk id="210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1"/>
  <sheetViews>
    <sheetView view="pageBreakPreview" zoomScaleSheetLayoutView="100" workbookViewId="0">
      <pane ySplit="1" topLeftCell="A2" activePane="bottomLeft" state="frozen"/>
      <selection pane="bottomLeft" activeCell="C238" sqref="C238"/>
    </sheetView>
  </sheetViews>
  <sheetFormatPr defaultColWidth="9" defaultRowHeight="24" customHeight="1"/>
  <cols>
    <col min="1" max="1" width="4.625" style="6" customWidth="1"/>
    <col min="2" max="2" width="25.5" style="7" customWidth="1"/>
    <col min="3" max="3" width="27.375" style="7" customWidth="1"/>
    <col min="4" max="4" width="10.625" style="7" customWidth="1"/>
    <col min="5" max="5" width="7.375" style="8" customWidth="1"/>
    <col min="6" max="6" width="6.625" style="6" customWidth="1"/>
    <col min="7" max="7" width="11.625" style="9" customWidth="1"/>
    <col min="8" max="8" width="15.625" style="9" customWidth="1"/>
    <col min="9" max="9" width="11.625" style="9" customWidth="1"/>
    <col min="10" max="10" width="15.625" style="9" customWidth="1"/>
    <col min="11" max="11" width="11.625" style="9" customWidth="1"/>
    <col min="12" max="12" width="15.625" style="9" customWidth="1"/>
    <col min="13" max="13" width="8.125" style="9" customWidth="1"/>
    <col min="14" max="14" width="14" style="1" customWidth="1"/>
    <col min="15" max="16384" width="9" style="1"/>
  </cols>
  <sheetData>
    <row r="1" spans="1:13" ht="32.1" customHeight="1">
      <c r="A1" s="13" t="s">
        <v>15</v>
      </c>
      <c r="B1" s="14" t="s">
        <v>16</v>
      </c>
      <c r="C1" s="14" t="s">
        <v>221</v>
      </c>
      <c r="D1" s="14" t="s">
        <v>17</v>
      </c>
      <c r="E1" s="15" t="s">
        <v>18</v>
      </c>
      <c r="F1" s="14" t="s">
        <v>19</v>
      </c>
      <c r="G1" s="158" t="s">
        <v>208</v>
      </c>
      <c r="H1" s="158"/>
      <c r="I1" s="158" t="s">
        <v>209</v>
      </c>
      <c r="J1" s="158"/>
      <c r="K1" s="158" t="s">
        <v>38</v>
      </c>
      <c r="L1" s="158"/>
      <c r="M1" s="16" t="s">
        <v>20</v>
      </c>
    </row>
    <row r="2" spans="1:13" s="12" customFormat="1" ht="32.1" customHeight="1">
      <c r="A2" s="17" t="s">
        <v>21</v>
      </c>
      <c r="B2" s="18" t="s">
        <v>22</v>
      </c>
      <c r="C2" s="18" t="s">
        <v>222</v>
      </c>
      <c r="D2" s="74" t="s">
        <v>223</v>
      </c>
      <c r="E2" s="18" t="s">
        <v>14</v>
      </c>
      <c r="F2" s="18" t="s">
        <v>23</v>
      </c>
      <c r="G2" s="19" t="s">
        <v>24</v>
      </c>
      <c r="H2" s="19" t="s">
        <v>25</v>
      </c>
      <c r="I2" s="19" t="s">
        <v>24</v>
      </c>
      <c r="J2" s="19" t="s">
        <v>25</v>
      </c>
      <c r="K2" s="19" t="s">
        <v>24</v>
      </c>
      <c r="L2" s="19" t="s">
        <v>25</v>
      </c>
      <c r="M2" s="20"/>
    </row>
    <row r="3" spans="1:13" ht="26.45" customHeight="1">
      <c r="A3" s="111" t="s">
        <v>230</v>
      </c>
      <c r="B3" s="156" t="s">
        <v>210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9"/>
    </row>
    <row r="4" spans="1:13" ht="26.45" customHeight="1">
      <c r="A4" s="112">
        <v>1</v>
      </c>
      <c r="B4" s="31" t="s">
        <v>26</v>
      </c>
      <c r="C4" s="32"/>
      <c r="D4" s="32"/>
      <c r="E4" s="33">
        <f>1</f>
        <v>1</v>
      </c>
      <c r="F4" s="34" t="s">
        <v>27</v>
      </c>
      <c r="G4" s="35"/>
      <c r="H4" s="35">
        <f>H38</f>
        <v>572700</v>
      </c>
      <c r="I4" s="35"/>
      <c r="J4" s="35">
        <f>J38</f>
        <v>286350</v>
      </c>
      <c r="K4" s="35"/>
      <c r="L4" s="35">
        <f>L38</f>
        <v>859050</v>
      </c>
      <c r="M4" s="113"/>
    </row>
    <row r="5" spans="1:13" ht="26.45" customHeight="1">
      <c r="A5" s="112">
        <v>2</v>
      </c>
      <c r="B5" s="31" t="s">
        <v>28</v>
      </c>
      <c r="C5" s="32"/>
      <c r="D5" s="32"/>
      <c r="E5" s="33">
        <f>1</f>
        <v>1</v>
      </c>
      <c r="F5" s="34" t="s">
        <v>27</v>
      </c>
      <c r="G5" s="35"/>
      <c r="H5" s="35">
        <f>H57</f>
        <v>1527186</v>
      </c>
      <c r="I5" s="35"/>
      <c r="J5" s="35">
        <f>J57</f>
        <v>1305590</v>
      </c>
      <c r="K5" s="35"/>
      <c r="L5" s="35">
        <f>L57</f>
        <v>2832776</v>
      </c>
      <c r="M5" s="113"/>
    </row>
    <row r="6" spans="1:13" ht="26.45" customHeight="1">
      <c r="A6" s="112">
        <v>3</v>
      </c>
      <c r="B6" s="31" t="s">
        <v>29</v>
      </c>
      <c r="C6" s="32"/>
      <c r="D6" s="32"/>
      <c r="E6" s="33">
        <f>1</f>
        <v>1</v>
      </c>
      <c r="F6" s="34" t="s">
        <v>27</v>
      </c>
      <c r="G6" s="35"/>
      <c r="H6" s="35">
        <f>H91</f>
        <v>497500</v>
      </c>
      <c r="I6" s="35"/>
      <c r="J6" s="35">
        <f>J91</f>
        <v>580000</v>
      </c>
      <c r="K6" s="35"/>
      <c r="L6" s="35">
        <f>L91</f>
        <v>1077500</v>
      </c>
      <c r="M6" s="113"/>
    </row>
    <row r="7" spans="1:13" ht="26.45" customHeight="1">
      <c r="A7" s="112">
        <v>4</v>
      </c>
      <c r="B7" s="31" t="s">
        <v>30</v>
      </c>
      <c r="C7" s="32"/>
      <c r="D7" s="32"/>
      <c r="E7" s="33">
        <f>1</f>
        <v>1</v>
      </c>
      <c r="F7" s="34" t="s">
        <v>27</v>
      </c>
      <c r="G7" s="35"/>
      <c r="H7" s="35">
        <f>H126</f>
        <v>1197500</v>
      </c>
      <c r="I7" s="35"/>
      <c r="J7" s="35">
        <f>J126</f>
        <v>660000</v>
      </c>
      <c r="K7" s="35"/>
      <c r="L7" s="35">
        <f>L126</f>
        <v>1857500</v>
      </c>
      <c r="M7" s="113"/>
    </row>
    <row r="8" spans="1:13" ht="26.45" customHeight="1">
      <c r="A8" s="112">
        <v>5</v>
      </c>
      <c r="B8" s="37" t="s">
        <v>31</v>
      </c>
      <c r="C8" s="32"/>
      <c r="D8" s="32"/>
      <c r="E8" s="33">
        <f>1</f>
        <v>1</v>
      </c>
      <c r="F8" s="34" t="s">
        <v>27</v>
      </c>
      <c r="G8" s="35"/>
      <c r="H8" s="35">
        <f>H135</f>
        <v>1249687</v>
      </c>
      <c r="I8" s="35"/>
      <c r="J8" s="35">
        <f>J135</f>
        <v>2520000</v>
      </c>
      <c r="K8" s="35"/>
      <c r="L8" s="35">
        <f>L135</f>
        <v>3769687</v>
      </c>
      <c r="M8" s="113"/>
    </row>
    <row r="9" spans="1:13" ht="26.45" customHeight="1">
      <c r="A9" s="112">
        <v>6</v>
      </c>
      <c r="B9" s="31" t="s">
        <v>32</v>
      </c>
      <c r="C9" s="32"/>
      <c r="D9" s="32"/>
      <c r="E9" s="33">
        <f>1</f>
        <v>1</v>
      </c>
      <c r="F9" s="34" t="s">
        <v>27</v>
      </c>
      <c r="G9" s="35"/>
      <c r="H9" s="35">
        <f>H151</f>
        <v>390000</v>
      </c>
      <c r="I9" s="35"/>
      <c r="J9" s="35">
        <f>J151</f>
        <v>350000</v>
      </c>
      <c r="K9" s="35"/>
      <c r="L9" s="35">
        <f>L151</f>
        <v>740000</v>
      </c>
      <c r="M9" s="113"/>
    </row>
    <row r="10" spans="1:13" ht="26.45" customHeight="1">
      <c r="A10" s="112">
        <v>7</v>
      </c>
      <c r="B10" s="38" t="s">
        <v>33</v>
      </c>
      <c r="C10" s="32"/>
      <c r="D10" s="32"/>
      <c r="E10" s="33">
        <f>1</f>
        <v>1</v>
      </c>
      <c r="F10" s="34" t="s">
        <v>27</v>
      </c>
      <c r="G10" s="35"/>
      <c r="H10" s="35">
        <f>H184</f>
        <v>0</v>
      </c>
      <c r="I10" s="35"/>
      <c r="J10" s="35">
        <f>J184</f>
        <v>0</v>
      </c>
      <c r="K10" s="35"/>
      <c r="L10" s="35">
        <f>L184</f>
        <v>0</v>
      </c>
      <c r="M10" s="113"/>
    </row>
    <row r="11" spans="1:13" ht="26.45" customHeight="1">
      <c r="A11" s="112">
        <v>8</v>
      </c>
      <c r="B11" s="31" t="s">
        <v>34</v>
      </c>
      <c r="C11" s="32"/>
      <c r="D11" s="32"/>
      <c r="E11" s="33">
        <f>1</f>
        <v>1</v>
      </c>
      <c r="F11" s="34" t="s">
        <v>27</v>
      </c>
      <c r="G11" s="35"/>
      <c r="H11" s="35">
        <f>H205</f>
        <v>8660000</v>
      </c>
      <c r="I11" s="35"/>
      <c r="J11" s="35">
        <f>J205</f>
        <v>0</v>
      </c>
      <c r="K11" s="35"/>
      <c r="L11" s="35">
        <f>L205</f>
        <v>8660000</v>
      </c>
      <c r="M11" s="113"/>
    </row>
    <row r="12" spans="1:13" ht="26.45" customHeight="1">
      <c r="A12" s="112">
        <v>9</v>
      </c>
      <c r="B12" s="31" t="s">
        <v>35</v>
      </c>
      <c r="C12" s="32"/>
      <c r="D12" s="32"/>
      <c r="E12" s="33">
        <f>1</f>
        <v>1</v>
      </c>
      <c r="F12" s="34" t="s">
        <v>27</v>
      </c>
      <c r="G12" s="35"/>
      <c r="H12" s="35">
        <f>H228</f>
        <v>0</v>
      </c>
      <c r="I12" s="35"/>
      <c r="J12" s="35">
        <f>J228</f>
        <v>0</v>
      </c>
      <c r="K12" s="35"/>
      <c r="L12" s="35">
        <f>L228</f>
        <v>0</v>
      </c>
      <c r="M12" s="113"/>
    </row>
    <row r="13" spans="1:13" ht="26.45" customHeight="1">
      <c r="A13" s="112">
        <v>10</v>
      </c>
      <c r="B13" s="31" t="s">
        <v>36</v>
      </c>
      <c r="C13" s="32"/>
      <c r="D13" s="32"/>
      <c r="E13" s="33">
        <f>1</f>
        <v>1</v>
      </c>
      <c r="F13" s="34" t="s">
        <v>27</v>
      </c>
      <c r="G13" s="35"/>
      <c r="H13" s="35">
        <f>H233</f>
        <v>206172</v>
      </c>
      <c r="I13" s="35"/>
      <c r="J13" s="35">
        <f>J233</f>
        <v>515430</v>
      </c>
      <c r="K13" s="35"/>
      <c r="L13" s="35">
        <f>L233</f>
        <v>721602</v>
      </c>
      <c r="M13" s="113"/>
    </row>
    <row r="14" spans="1:13" ht="26.45" customHeight="1">
      <c r="A14" s="112">
        <v>11</v>
      </c>
      <c r="B14" s="31" t="s">
        <v>284</v>
      </c>
      <c r="C14" s="32"/>
      <c r="D14" s="32"/>
      <c r="E14" s="33">
        <f>1</f>
        <v>1</v>
      </c>
      <c r="F14" s="34" t="s">
        <v>27</v>
      </c>
      <c r="G14" s="35"/>
      <c r="H14" s="35">
        <f>H240</f>
        <v>2784650</v>
      </c>
      <c r="I14" s="35"/>
      <c r="J14" s="35">
        <f>J237</f>
        <v>1265750</v>
      </c>
      <c r="K14" s="35"/>
      <c r="L14" s="35">
        <f>L240</f>
        <v>4050400</v>
      </c>
      <c r="M14" s="113"/>
    </row>
    <row r="15" spans="1:13" ht="26.45" customHeight="1">
      <c r="A15" s="112">
        <v>12</v>
      </c>
      <c r="B15" s="31" t="s">
        <v>37</v>
      </c>
      <c r="C15" s="32"/>
      <c r="D15" s="32"/>
      <c r="E15" s="33">
        <f>1</f>
        <v>1</v>
      </c>
      <c r="F15" s="34" t="s">
        <v>27</v>
      </c>
      <c r="G15" s="35"/>
      <c r="H15" s="35">
        <f>H250</f>
        <v>8300000</v>
      </c>
      <c r="I15" s="35"/>
      <c r="J15" s="35">
        <f>J250</f>
        <v>0</v>
      </c>
      <c r="K15" s="35"/>
      <c r="L15" s="35">
        <f>L250</f>
        <v>8300000</v>
      </c>
      <c r="M15" s="113"/>
    </row>
    <row r="16" spans="1:13" ht="26.45" customHeight="1">
      <c r="A16" s="160" t="s">
        <v>211</v>
      </c>
      <c r="B16" s="161"/>
      <c r="C16" s="161"/>
      <c r="D16" s="161"/>
      <c r="E16" s="161"/>
      <c r="F16" s="161"/>
      <c r="G16" s="161"/>
      <c r="H16" s="114">
        <f>SUM(H4:H15)</f>
        <v>25385395</v>
      </c>
      <c r="I16" s="114"/>
      <c r="J16" s="114">
        <f>SUM(J4:J15)</f>
        <v>7483120</v>
      </c>
      <c r="K16" s="114"/>
      <c r="L16" s="114">
        <f>SUM(L4:L15)</f>
        <v>32868515</v>
      </c>
      <c r="M16" s="115"/>
    </row>
    <row r="17" spans="1:14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4" ht="26.45" customHeight="1">
      <c r="A18" s="73" t="s">
        <v>230</v>
      </c>
      <c r="B18" s="156" t="s">
        <v>214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7"/>
    </row>
    <row r="19" spans="1:14" ht="26.45" customHeight="1">
      <c r="A19" s="30" t="s">
        <v>212</v>
      </c>
      <c r="B19" s="31" t="s">
        <v>213</v>
      </c>
      <c r="C19" s="42" t="s">
        <v>215</v>
      </c>
      <c r="D19" s="43"/>
      <c r="E19" s="44">
        <f>1</f>
        <v>1</v>
      </c>
      <c r="F19" s="45" t="s">
        <v>27</v>
      </c>
      <c r="G19" s="46"/>
      <c r="H19" s="46">
        <v>0</v>
      </c>
      <c r="I19" s="116"/>
      <c r="J19" s="46"/>
      <c r="K19" s="46"/>
      <c r="L19" s="46"/>
      <c r="M19" s="36"/>
    </row>
    <row r="20" spans="1:14" ht="26.45" customHeight="1">
      <c r="A20" s="41" t="s">
        <v>216</v>
      </c>
      <c r="B20" s="42" t="s">
        <v>219</v>
      </c>
      <c r="C20" s="42" t="s">
        <v>220</v>
      </c>
      <c r="D20" s="43"/>
      <c r="E20" s="44">
        <f>1</f>
        <v>1</v>
      </c>
      <c r="F20" s="45" t="s">
        <v>27</v>
      </c>
      <c r="G20" s="46"/>
      <c r="H20" s="46">
        <v>0</v>
      </c>
      <c r="I20" s="46"/>
      <c r="J20" s="46"/>
      <c r="K20" s="46"/>
      <c r="L20" s="46"/>
      <c r="M20" s="36"/>
    </row>
    <row r="21" spans="1:14" ht="26.45" customHeight="1">
      <c r="A21" s="41" t="s">
        <v>217</v>
      </c>
      <c r="B21" s="42" t="s">
        <v>224</v>
      </c>
      <c r="C21" s="42" t="s">
        <v>225</v>
      </c>
      <c r="D21" s="43"/>
      <c r="E21" s="44">
        <f>1</f>
        <v>1</v>
      </c>
      <c r="F21" s="45" t="s">
        <v>27</v>
      </c>
      <c r="G21" s="46"/>
      <c r="H21" s="46">
        <v>0</v>
      </c>
      <c r="I21" s="46"/>
      <c r="J21" s="46"/>
      <c r="K21" s="46"/>
      <c r="L21" s="46"/>
      <c r="M21" s="36"/>
    </row>
    <row r="22" spans="1:14" ht="26.45" customHeight="1">
      <c r="A22" s="41" t="s">
        <v>218</v>
      </c>
      <c r="B22" s="42" t="s">
        <v>226</v>
      </c>
      <c r="C22" s="42" t="s">
        <v>227</v>
      </c>
      <c r="D22" s="43"/>
      <c r="E22" s="44">
        <f>1</f>
        <v>1</v>
      </c>
      <c r="F22" s="45" t="s">
        <v>27</v>
      </c>
      <c r="G22" s="46"/>
      <c r="H22" s="46">
        <v>0</v>
      </c>
      <c r="I22" s="46"/>
      <c r="J22" s="46"/>
      <c r="K22" s="46"/>
      <c r="L22" s="46">
        <f>L16*0.1</f>
        <v>3286851.5</v>
      </c>
      <c r="M22" s="36"/>
    </row>
    <row r="23" spans="1:14" ht="26.45" customHeight="1">
      <c r="A23" s="152" t="s">
        <v>211</v>
      </c>
      <c r="B23" s="153"/>
      <c r="C23" s="153"/>
      <c r="D23" s="153"/>
      <c r="E23" s="153"/>
      <c r="F23" s="153"/>
      <c r="G23" s="153"/>
      <c r="H23" s="39">
        <f>SUM(E23:G23)</f>
        <v>0</v>
      </c>
      <c r="I23" s="39"/>
      <c r="J23" s="39">
        <f>SUM(G23:I23)</f>
        <v>0</v>
      </c>
      <c r="K23" s="39"/>
      <c r="L23" s="39">
        <f>SUM(L17:L22)</f>
        <v>3286851.5</v>
      </c>
      <c r="M23" s="40"/>
    </row>
    <row r="24" spans="1:14" ht="26.45" customHeight="1">
      <c r="A24" s="154" t="s">
        <v>228</v>
      </c>
      <c r="B24" s="155"/>
      <c r="C24" s="155"/>
      <c r="D24" s="155"/>
      <c r="E24" s="155"/>
      <c r="F24" s="155"/>
      <c r="G24" s="155"/>
      <c r="H24" s="47">
        <f>H16+H23</f>
        <v>25385395</v>
      </c>
      <c r="I24" s="47"/>
      <c r="J24" s="47">
        <f>J16+J23</f>
        <v>7483120</v>
      </c>
      <c r="K24" s="47"/>
      <c r="L24" s="47">
        <f>L16+L23</f>
        <v>36155366.5</v>
      </c>
      <c r="M24" s="48"/>
      <c r="N24" s="2"/>
    </row>
    <row r="25" spans="1:14" ht="24" customHeight="1">
      <c r="A25" s="22"/>
      <c r="B25" s="23"/>
      <c r="C25" s="23"/>
      <c r="D25" s="23"/>
      <c r="E25" s="24"/>
      <c r="F25" s="22"/>
      <c r="G25" s="25"/>
      <c r="H25" s="25"/>
      <c r="I25" s="25"/>
      <c r="J25" s="25"/>
      <c r="K25" s="22" t="s">
        <v>39</v>
      </c>
      <c r="L25" s="117">
        <f>TRUNC(L24,-5)</f>
        <v>36100000</v>
      </c>
      <c r="M25" s="25"/>
    </row>
    <row r="26" spans="1:14" ht="24" customHeight="1">
      <c r="A26" s="75" t="s">
        <v>229</v>
      </c>
      <c r="B26" s="27"/>
      <c r="C26" s="27"/>
      <c r="D26" s="27"/>
      <c r="E26" s="28"/>
      <c r="F26" s="26"/>
      <c r="G26" s="29"/>
      <c r="H26" s="29"/>
      <c r="I26" s="29"/>
      <c r="J26" s="29"/>
      <c r="K26" s="26"/>
      <c r="L26" s="29"/>
      <c r="M26" s="29"/>
    </row>
    <row r="27" spans="1:14" ht="24" customHeight="1">
      <c r="A27" s="27" t="s">
        <v>40</v>
      </c>
      <c r="B27" s="27"/>
      <c r="C27" s="27"/>
      <c r="D27" s="27"/>
      <c r="E27" s="28"/>
      <c r="F27" s="26"/>
      <c r="G27" s="29"/>
      <c r="H27" s="29"/>
      <c r="I27" s="29"/>
      <c r="J27" s="29"/>
      <c r="K27" s="26"/>
      <c r="L27" s="29"/>
      <c r="M27" s="29"/>
    </row>
    <row r="28" spans="1:14" ht="24" customHeight="1">
      <c r="A28" s="27" t="s">
        <v>41</v>
      </c>
      <c r="B28" s="27"/>
      <c r="C28" s="27"/>
      <c r="D28" s="27"/>
      <c r="E28" s="28"/>
      <c r="F28" s="26"/>
      <c r="G28" s="29"/>
      <c r="H28" s="29"/>
      <c r="I28" s="29"/>
      <c r="J28" s="29"/>
      <c r="K28" s="26"/>
      <c r="L28" s="29"/>
      <c r="M28" s="29"/>
    </row>
    <row r="29" spans="1:14" s="10" customFormat="1" ht="24" customHeight="1">
      <c r="A29" s="68">
        <f>A4</f>
        <v>1</v>
      </c>
      <c r="B29" s="70" t="str">
        <f>B4</f>
        <v>가설 공사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3"/>
    </row>
    <row r="30" spans="1:14" ht="24" customHeight="1">
      <c r="A30" s="41"/>
      <c r="B30" s="32" t="s">
        <v>42</v>
      </c>
      <c r="C30" s="32"/>
      <c r="D30" s="32"/>
      <c r="E30" s="33"/>
      <c r="F30" s="49" t="s">
        <v>43</v>
      </c>
      <c r="G30" s="35">
        <v>280000</v>
      </c>
      <c r="H30" s="35">
        <f t="shared" ref="H30:H36" si="0">E30*G30</f>
        <v>0</v>
      </c>
      <c r="I30" s="35"/>
      <c r="J30" s="35">
        <f t="shared" ref="J30:J36" si="1">E30*I30</f>
        <v>0</v>
      </c>
      <c r="K30" s="35">
        <f t="shared" ref="K30:L36" si="2">G30+I30</f>
        <v>280000</v>
      </c>
      <c r="L30" s="35">
        <f t="shared" si="2"/>
        <v>0</v>
      </c>
      <c r="M30" s="53"/>
      <c r="N30" s="4"/>
    </row>
    <row r="31" spans="1:14" ht="24" customHeight="1">
      <c r="A31" s="41"/>
      <c r="B31" s="32" t="s">
        <v>294</v>
      </c>
      <c r="C31" s="32" t="s">
        <v>295</v>
      </c>
      <c r="D31" s="34"/>
      <c r="E31" s="50"/>
      <c r="F31" s="49" t="s">
        <v>43</v>
      </c>
      <c r="G31" s="35">
        <v>1140000</v>
      </c>
      <c r="H31" s="35">
        <f t="shared" si="0"/>
        <v>0</v>
      </c>
      <c r="I31" s="35">
        <v>260000</v>
      </c>
      <c r="J31" s="35">
        <f t="shared" si="1"/>
        <v>0</v>
      </c>
      <c r="K31" s="35">
        <f t="shared" si="2"/>
        <v>1400000</v>
      </c>
      <c r="L31" s="35">
        <f t="shared" si="2"/>
        <v>0</v>
      </c>
      <c r="M31" s="53" t="s">
        <v>68</v>
      </c>
      <c r="N31" s="4"/>
    </row>
    <row r="32" spans="1:14" ht="24" customHeight="1">
      <c r="A32" s="41"/>
      <c r="B32" s="32"/>
      <c r="C32" s="32"/>
      <c r="D32" s="34" t="s">
        <v>361</v>
      </c>
      <c r="E32" s="50"/>
      <c r="F32" s="49" t="s">
        <v>43</v>
      </c>
      <c r="G32" s="35">
        <v>450000</v>
      </c>
      <c r="H32" s="35">
        <f t="shared" si="0"/>
        <v>0</v>
      </c>
      <c r="I32" s="35">
        <v>260000</v>
      </c>
      <c r="J32" s="35">
        <f>E32*I32</f>
        <v>0</v>
      </c>
      <c r="K32" s="35">
        <f>G32+I32</f>
        <v>710000</v>
      </c>
      <c r="L32" s="35">
        <f>H32+J32</f>
        <v>0</v>
      </c>
      <c r="M32" s="53" t="s">
        <v>93</v>
      </c>
      <c r="N32" s="4"/>
    </row>
    <row r="33" spans="1:14" ht="24" customHeight="1">
      <c r="A33" s="41"/>
      <c r="B33" s="32" t="s">
        <v>44</v>
      </c>
      <c r="C33" s="32" t="s">
        <v>45</v>
      </c>
      <c r="D33" s="34"/>
      <c r="E33" s="50">
        <v>114.54</v>
      </c>
      <c r="F33" s="49" t="s">
        <v>13</v>
      </c>
      <c r="G33" s="35">
        <v>3500</v>
      </c>
      <c r="H33" s="35">
        <f t="shared" si="0"/>
        <v>400890</v>
      </c>
      <c r="I33" s="35"/>
      <c r="J33" s="35">
        <f t="shared" si="1"/>
        <v>0</v>
      </c>
      <c r="K33" s="35">
        <f t="shared" si="2"/>
        <v>3500</v>
      </c>
      <c r="L33" s="35">
        <f t="shared" si="2"/>
        <v>400890</v>
      </c>
      <c r="M33" s="53" t="s">
        <v>68</v>
      </c>
      <c r="N33" s="4"/>
    </row>
    <row r="34" spans="1:14" ht="24" customHeight="1">
      <c r="A34" s="41"/>
      <c r="B34" s="32" t="s">
        <v>46</v>
      </c>
      <c r="C34" s="32"/>
      <c r="D34" s="32"/>
      <c r="E34" s="50">
        <v>114.54</v>
      </c>
      <c r="F34" s="49" t="s">
        <v>13</v>
      </c>
      <c r="G34" s="35">
        <v>1500</v>
      </c>
      <c r="H34" s="35">
        <f t="shared" si="0"/>
        <v>171810</v>
      </c>
      <c r="I34" s="35">
        <v>2500</v>
      </c>
      <c r="J34" s="35">
        <f t="shared" si="1"/>
        <v>286350</v>
      </c>
      <c r="K34" s="35">
        <f t="shared" si="2"/>
        <v>4000</v>
      </c>
      <c r="L34" s="35">
        <f t="shared" si="2"/>
        <v>458160</v>
      </c>
      <c r="M34" s="36"/>
      <c r="N34" s="4"/>
    </row>
    <row r="35" spans="1:14" ht="24" customHeight="1">
      <c r="A35" s="41"/>
      <c r="B35" s="32" t="s">
        <v>47</v>
      </c>
      <c r="C35" s="32"/>
      <c r="D35" s="32"/>
      <c r="E35" s="50"/>
      <c r="F35" s="49" t="s">
        <v>13</v>
      </c>
      <c r="G35" s="35"/>
      <c r="H35" s="35">
        <f t="shared" si="0"/>
        <v>0</v>
      </c>
      <c r="I35" s="35">
        <v>1300</v>
      </c>
      <c r="J35" s="35">
        <f t="shared" si="1"/>
        <v>0</v>
      </c>
      <c r="K35" s="35">
        <f t="shared" si="2"/>
        <v>1300</v>
      </c>
      <c r="L35" s="35">
        <f t="shared" si="2"/>
        <v>0</v>
      </c>
      <c r="M35" s="36"/>
      <c r="N35" s="4"/>
    </row>
    <row r="36" spans="1:14" ht="24" customHeight="1">
      <c r="A36" s="41"/>
      <c r="B36" s="32" t="s">
        <v>48</v>
      </c>
      <c r="C36" s="32"/>
      <c r="D36" s="32"/>
      <c r="E36" s="50"/>
      <c r="F36" s="49" t="s">
        <v>13</v>
      </c>
      <c r="G36" s="35"/>
      <c r="H36" s="35">
        <f t="shared" si="0"/>
        <v>0</v>
      </c>
      <c r="I36" s="35">
        <v>2300</v>
      </c>
      <c r="J36" s="35">
        <f t="shared" si="1"/>
        <v>0</v>
      </c>
      <c r="K36" s="35">
        <f t="shared" si="2"/>
        <v>2300</v>
      </c>
      <c r="L36" s="35">
        <f t="shared" si="2"/>
        <v>0</v>
      </c>
      <c r="M36" s="36"/>
      <c r="N36" s="4"/>
    </row>
    <row r="37" spans="1:14" ht="24" customHeight="1">
      <c r="A37" s="41"/>
      <c r="B37" s="32"/>
      <c r="C37" s="32"/>
      <c r="D37" s="32"/>
      <c r="E37" s="33"/>
      <c r="F37" s="34"/>
      <c r="G37" s="35"/>
      <c r="H37" s="35"/>
      <c r="I37" s="35"/>
      <c r="J37" s="35"/>
      <c r="K37" s="35"/>
      <c r="L37" s="35"/>
      <c r="M37" s="36"/>
      <c r="N37" s="4"/>
    </row>
    <row r="38" spans="1:14" ht="24" customHeight="1">
      <c r="A38" s="41"/>
      <c r="B38" s="32" t="s">
        <v>49</v>
      </c>
      <c r="C38" s="32"/>
      <c r="D38" s="32"/>
      <c r="E38" s="33"/>
      <c r="F38" s="34"/>
      <c r="G38" s="35"/>
      <c r="H38" s="35">
        <f>SUM(H30:H37)</f>
        <v>572700</v>
      </c>
      <c r="I38" s="35"/>
      <c r="J38" s="35">
        <f>SUM(J30:J37)</f>
        <v>286350</v>
      </c>
      <c r="K38" s="35"/>
      <c r="L38" s="35">
        <f>SUM(L30:L37)</f>
        <v>859050</v>
      </c>
      <c r="M38" s="36"/>
      <c r="N38" s="4"/>
    </row>
    <row r="39" spans="1:14" ht="24" customHeight="1">
      <c r="A39" s="41"/>
      <c r="B39" s="55" t="s">
        <v>384</v>
      </c>
      <c r="C39" s="32"/>
      <c r="D39" s="32"/>
      <c r="E39" s="33"/>
      <c r="F39" s="34"/>
      <c r="G39" s="35"/>
      <c r="H39" s="35"/>
      <c r="I39" s="35"/>
      <c r="J39" s="35"/>
      <c r="K39" s="35"/>
      <c r="L39" s="35"/>
      <c r="M39" s="36"/>
      <c r="N39" s="4"/>
    </row>
    <row r="40" spans="1:14" s="10" customFormat="1" ht="24" customHeight="1">
      <c r="A40" s="66">
        <f>A5</f>
        <v>2</v>
      </c>
      <c r="B40" s="69" t="str">
        <f>B5</f>
        <v>철거,설비 공사</v>
      </c>
      <c r="C40" s="149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1"/>
    </row>
    <row r="41" spans="1:14" ht="24" customHeight="1">
      <c r="A41" s="41"/>
      <c r="B41" s="32" t="s">
        <v>50</v>
      </c>
      <c r="C41" s="51" t="s">
        <v>51</v>
      </c>
      <c r="D41" s="32"/>
      <c r="E41" s="50">
        <v>114.54</v>
      </c>
      <c r="F41" s="49" t="s">
        <v>13</v>
      </c>
      <c r="G41" s="35">
        <v>1000</v>
      </c>
      <c r="H41" s="35">
        <f>E41*G41</f>
        <v>114540</v>
      </c>
      <c r="I41" s="35">
        <v>3000</v>
      </c>
      <c r="J41" s="35">
        <f t="shared" ref="J41:J55" si="3">E41*I41</f>
        <v>343620</v>
      </c>
      <c r="K41" s="35">
        <f t="shared" ref="K41:L55" si="4">G41+I41</f>
        <v>4000</v>
      </c>
      <c r="L41" s="35">
        <f t="shared" si="4"/>
        <v>458160</v>
      </c>
      <c r="M41" s="36"/>
      <c r="N41" s="4"/>
    </row>
    <row r="42" spans="1:14" ht="24" customHeight="1">
      <c r="A42" s="41"/>
      <c r="B42" s="52" t="s">
        <v>55</v>
      </c>
      <c r="C42" s="51" t="s">
        <v>422</v>
      </c>
      <c r="D42" s="34"/>
      <c r="E42" s="33"/>
      <c r="F42" s="49" t="s">
        <v>56</v>
      </c>
      <c r="G42" s="35">
        <v>350000</v>
      </c>
      <c r="H42" s="35">
        <f t="shared" ref="H42:H55" si="5">E42*G42</f>
        <v>0</v>
      </c>
      <c r="I42" s="35">
        <v>400000</v>
      </c>
      <c r="J42" s="35">
        <f>E42*I42</f>
        <v>0</v>
      </c>
      <c r="K42" s="35">
        <f t="shared" si="4"/>
        <v>750000</v>
      </c>
      <c r="L42" s="35">
        <f t="shared" si="4"/>
        <v>0</v>
      </c>
      <c r="M42" s="36"/>
      <c r="N42" s="4"/>
    </row>
    <row r="43" spans="1:14" ht="24" customHeight="1">
      <c r="A43" s="41"/>
      <c r="B43" s="52"/>
      <c r="C43" s="51" t="s">
        <v>423</v>
      </c>
      <c r="D43" s="34"/>
      <c r="E43" s="33"/>
      <c r="F43" s="49" t="s">
        <v>56</v>
      </c>
      <c r="G43" s="35">
        <v>200000</v>
      </c>
      <c r="H43" s="35">
        <f t="shared" ref="H43" si="6">E43*G43</f>
        <v>0</v>
      </c>
      <c r="I43" s="35">
        <v>350000</v>
      </c>
      <c r="J43" s="35">
        <f>E43*I43</f>
        <v>0</v>
      </c>
      <c r="K43" s="35">
        <f t="shared" ref="K43" si="7">G43+I43</f>
        <v>550000</v>
      </c>
      <c r="L43" s="35">
        <f t="shared" ref="L43" si="8">H43+J43</f>
        <v>0</v>
      </c>
      <c r="M43" s="36"/>
      <c r="N43" s="4"/>
    </row>
    <row r="44" spans="1:14" ht="24" customHeight="1">
      <c r="A44" s="120"/>
      <c r="B44" s="52" t="s">
        <v>57</v>
      </c>
      <c r="C44" s="51" t="s">
        <v>424</v>
      </c>
      <c r="D44" s="34"/>
      <c r="E44" s="50"/>
      <c r="F44" s="49" t="s">
        <v>59</v>
      </c>
      <c r="G44" s="35">
        <v>2100</v>
      </c>
      <c r="H44" s="35">
        <f t="shared" si="5"/>
        <v>0</v>
      </c>
      <c r="I44" s="35">
        <v>9500</v>
      </c>
      <c r="J44" s="35">
        <f t="shared" si="3"/>
        <v>0</v>
      </c>
      <c r="K44" s="35">
        <f t="shared" si="4"/>
        <v>11600</v>
      </c>
      <c r="L44" s="35">
        <f t="shared" si="4"/>
        <v>0</v>
      </c>
      <c r="M44" s="128"/>
      <c r="N44" s="4"/>
    </row>
    <row r="45" spans="1:14" ht="24" customHeight="1">
      <c r="A45" s="120"/>
      <c r="B45" s="52" t="s">
        <v>57</v>
      </c>
      <c r="C45" s="51" t="s">
        <v>425</v>
      </c>
      <c r="D45" s="34"/>
      <c r="E45" s="50"/>
      <c r="F45" s="49" t="s">
        <v>59</v>
      </c>
      <c r="G45" s="35"/>
      <c r="H45" s="35">
        <f t="shared" ref="H45" si="9">E45*G45</f>
        <v>0</v>
      </c>
      <c r="I45" s="35">
        <v>3500</v>
      </c>
      <c r="J45" s="35">
        <f t="shared" ref="J45" si="10">E45*I45</f>
        <v>0</v>
      </c>
      <c r="K45" s="35">
        <f t="shared" ref="K45" si="11">G45+I45</f>
        <v>3500</v>
      </c>
      <c r="L45" s="35">
        <f t="shared" ref="L45" si="12">H45+J45</f>
        <v>0</v>
      </c>
      <c r="M45" s="128"/>
      <c r="N45" s="4"/>
    </row>
    <row r="46" spans="1:14" ht="24" customHeight="1">
      <c r="A46" s="41"/>
      <c r="B46" s="52" t="s">
        <v>392</v>
      </c>
      <c r="C46" s="51" t="s">
        <v>393</v>
      </c>
      <c r="D46" s="34"/>
      <c r="E46" s="50">
        <v>101.26</v>
      </c>
      <c r="F46" s="49" t="s">
        <v>59</v>
      </c>
      <c r="G46" s="35">
        <v>2100</v>
      </c>
      <c r="H46" s="35">
        <f t="shared" ref="H46" si="13">E46*G46</f>
        <v>212646</v>
      </c>
      <c r="I46" s="35">
        <v>9500</v>
      </c>
      <c r="J46" s="35">
        <f t="shared" ref="J46" si="14">E46*I46</f>
        <v>961970</v>
      </c>
      <c r="K46" s="35">
        <f t="shared" ref="K46" si="15">G46+I46</f>
        <v>11600</v>
      </c>
      <c r="L46" s="35">
        <f t="shared" ref="L46" si="16">H46+J46</f>
        <v>1174616</v>
      </c>
      <c r="M46" s="53"/>
      <c r="N46" s="4"/>
    </row>
    <row r="47" spans="1:14" ht="24" customHeight="1">
      <c r="A47" s="41"/>
      <c r="B47" s="52" t="s">
        <v>258</v>
      </c>
      <c r="C47" s="51" t="s">
        <v>431</v>
      </c>
      <c r="D47" s="32"/>
      <c r="E47" s="33"/>
      <c r="F47" s="49" t="s">
        <v>56</v>
      </c>
      <c r="G47" s="35">
        <v>50000</v>
      </c>
      <c r="H47" s="35">
        <f t="shared" si="5"/>
        <v>0</v>
      </c>
      <c r="I47" s="35">
        <v>100000</v>
      </c>
      <c r="J47" s="35">
        <f t="shared" si="3"/>
        <v>0</v>
      </c>
      <c r="K47" s="35">
        <f t="shared" si="4"/>
        <v>150000</v>
      </c>
      <c r="L47" s="35">
        <f t="shared" si="4"/>
        <v>0</v>
      </c>
      <c r="M47" s="36"/>
      <c r="N47" s="4"/>
    </row>
    <row r="48" spans="1:14" ht="24" customHeight="1">
      <c r="A48" s="41"/>
      <c r="B48" s="52" t="s">
        <v>60</v>
      </c>
      <c r="C48" s="51" t="s">
        <v>432</v>
      </c>
      <c r="D48" s="32"/>
      <c r="E48" s="33"/>
      <c r="F48" s="49" t="s">
        <v>56</v>
      </c>
      <c r="G48" s="35">
        <v>150000</v>
      </c>
      <c r="H48" s="35">
        <f t="shared" si="5"/>
        <v>0</v>
      </c>
      <c r="I48" s="35">
        <v>80000</v>
      </c>
      <c r="J48" s="35">
        <f t="shared" si="3"/>
        <v>0</v>
      </c>
      <c r="K48" s="35">
        <f t="shared" si="4"/>
        <v>230000</v>
      </c>
      <c r="L48" s="35">
        <f t="shared" si="4"/>
        <v>0</v>
      </c>
      <c r="M48" s="53"/>
      <c r="N48" s="4"/>
    </row>
    <row r="49" spans="1:14" ht="24" customHeight="1">
      <c r="A49" s="41"/>
      <c r="B49" s="52" t="s">
        <v>364</v>
      </c>
      <c r="C49" s="51" t="s">
        <v>365</v>
      </c>
      <c r="D49" s="32"/>
      <c r="E49" s="33"/>
      <c r="F49" s="49" t="s">
        <v>56</v>
      </c>
      <c r="G49" s="35">
        <v>100000</v>
      </c>
      <c r="H49" s="35">
        <f t="shared" ref="H49" si="17">E49*G49</f>
        <v>0</v>
      </c>
      <c r="I49" s="35">
        <v>70000</v>
      </c>
      <c r="J49" s="35">
        <f t="shared" ref="J49" si="18">E49*I49</f>
        <v>0</v>
      </c>
      <c r="K49" s="35">
        <f t="shared" ref="K49" si="19">G49+I49</f>
        <v>170000</v>
      </c>
      <c r="L49" s="35">
        <f t="shared" ref="L49" si="20">H49+J49</f>
        <v>0</v>
      </c>
      <c r="M49" s="53" t="s">
        <v>93</v>
      </c>
      <c r="N49" s="4"/>
    </row>
    <row r="50" spans="1:14" ht="24" customHeight="1">
      <c r="A50" s="41"/>
      <c r="B50" s="52" t="s">
        <v>62</v>
      </c>
      <c r="C50" s="51" t="s">
        <v>63</v>
      </c>
      <c r="D50" s="32"/>
      <c r="E50" s="33"/>
      <c r="F50" s="49" t="s">
        <v>56</v>
      </c>
      <c r="G50" s="35">
        <v>70000</v>
      </c>
      <c r="H50" s="35">
        <f t="shared" si="5"/>
        <v>0</v>
      </c>
      <c r="I50" s="35">
        <v>80000</v>
      </c>
      <c r="J50" s="35">
        <f t="shared" si="3"/>
        <v>0</v>
      </c>
      <c r="K50" s="35">
        <f t="shared" si="4"/>
        <v>150000</v>
      </c>
      <c r="L50" s="35">
        <f t="shared" si="4"/>
        <v>0</v>
      </c>
      <c r="M50" s="36"/>
      <c r="N50" s="4"/>
    </row>
    <row r="51" spans="1:14" ht="24" customHeight="1">
      <c r="A51" s="41"/>
      <c r="B51" s="52" t="s">
        <v>64</v>
      </c>
      <c r="C51" s="51" t="s">
        <v>65</v>
      </c>
      <c r="D51" s="34"/>
      <c r="E51" s="33"/>
      <c r="F51" s="49" t="s">
        <v>56</v>
      </c>
      <c r="G51" s="35">
        <v>250000</v>
      </c>
      <c r="H51" s="35">
        <f t="shared" si="5"/>
        <v>0</v>
      </c>
      <c r="I51" s="35">
        <v>250000</v>
      </c>
      <c r="J51" s="35">
        <f t="shared" si="3"/>
        <v>0</v>
      </c>
      <c r="K51" s="35">
        <f t="shared" si="4"/>
        <v>500000</v>
      </c>
      <c r="L51" s="35">
        <f t="shared" si="4"/>
        <v>0</v>
      </c>
      <c r="M51" s="54"/>
      <c r="N51" s="4"/>
    </row>
    <row r="52" spans="1:14" ht="24" customHeight="1">
      <c r="A52" s="41"/>
      <c r="B52" s="52" t="s">
        <v>66</v>
      </c>
      <c r="C52" s="51" t="s">
        <v>390</v>
      </c>
      <c r="D52" s="32"/>
      <c r="E52" s="33"/>
      <c r="F52" s="49" t="s">
        <v>256</v>
      </c>
      <c r="G52" s="35">
        <v>200000</v>
      </c>
      <c r="H52" s="35">
        <f t="shared" si="5"/>
        <v>0</v>
      </c>
      <c r="I52" s="35">
        <v>350000</v>
      </c>
      <c r="J52" s="35">
        <f t="shared" si="3"/>
        <v>0</v>
      </c>
      <c r="K52" s="35">
        <f t="shared" si="4"/>
        <v>550000</v>
      </c>
      <c r="L52" s="35">
        <f t="shared" si="4"/>
        <v>0</v>
      </c>
      <c r="M52" s="54"/>
      <c r="N52" s="4"/>
    </row>
    <row r="53" spans="1:14" ht="24" customHeight="1">
      <c r="A53" s="41"/>
      <c r="B53" s="52" t="s">
        <v>257</v>
      </c>
      <c r="C53" s="51"/>
      <c r="D53" s="32"/>
      <c r="E53" s="33"/>
      <c r="F53" s="49" t="s">
        <v>56</v>
      </c>
      <c r="G53" s="35">
        <v>50000</v>
      </c>
      <c r="H53" s="35">
        <f t="shared" si="5"/>
        <v>0</v>
      </c>
      <c r="I53" s="35">
        <v>80000</v>
      </c>
      <c r="J53" s="35">
        <f t="shared" si="3"/>
        <v>0</v>
      </c>
      <c r="K53" s="35">
        <f t="shared" si="4"/>
        <v>130000</v>
      </c>
      <c r="L53" s="35">
        <f t="shared" si="4"/>
        <v>0</v>
      </c>
      <c r="M53" s="53"/>
      <c r="N53" s="4"/>
    </row>
    <row r="54" spans="1:14" ht="24" customHeight="1">
      <c r="A54" s="41"/>
      <c r="B54" s="52" t="s">
        <v>67</v>
      </c>
      <c r="C54" s="51"/>
      <c r="D54" s="32"/>
      <c r="E54" s="33"/>
      <c r="F54" s="49" t="s">
        <v>56</v>
      </c>
      <c r="G54" s="35">
        <v>350000</v>
      </c>
      <c r="H54" s="35">
        <f t="shared" si="5"/>
        <v>0</v>
      </c>
      <c r="I54" s="35"/>
      <c r="J54" s="35">
        <f t="shared" si="3"/>
        <v>0</v>
      </c>
      <c r="K54" s="35">
        <f t="shared" si="4"/>
        <v>350000</v>
      </c>
      <c r="L54" s="35">
        <f t="shared" si="4"/>
        <v>0</v>
      </c>
      <c r="M54" s="53"/>
      <c r="N54" s="4"/>
    </row>
    <row r="55" spans="1:14" ht="24" customHeight="1">
      <c r="A55" s="41"/>
      <c r="B55" s="32" t="s">
        <v>69</v>
      </c>
      <c r="C55" s="32" t="s">
        <v>70</v>
      </c>
      <c r="D55" s="32"/>
      <c r="E55" s="33">
        <v>2.5</v>
      </c>
      <c r="F55" s="34" t="s">
        <v>71</v>
      </c>
      <c r="G55" s="35">
        <v>480000</v>
      </c>
      <c r="H55" s="35">
        <f t="shared" si="5"/>
        <v>1200000</v>
      </c>
      <c r="I55" s="35"/>
      <c r="J55" s="35">
        <f t="shared" si="3"/>
        <v>0</v>
      </c>
      <c r="K55" s="35">
        <f t="shared" si="4"/>
        <v>480000</v>
      </c>
      <c r="L55" s="35">
        <f t="shared" si="4"/>
        <v>1200000</v>
      </c>
      <c r="M55" s="36"/>
      <c r="N55" s="4"/>
    </row>
    <row r="56" spans="1:14" ht="24" customHeight="1">
      <c r="A56" s="41"/>
      <c r="B56" s="55"/>
      <c r="C56" s="32"/>
      <c r="D56" s="32"/>
      <c r="E56" s="33"/>
      <c r="F56" s="34"/>
      <c r="G56" s="35"/>
      <c r="H56" s="35"/>
      <c r="I56" s="35"/>
      <c r="J56" s="35"/>
      <c r="K56" s="35"/>
      <c r="L56" s="35"/>
      <c r="M56" s="36"/>
      <c r="N56" s="4"/>
    </row>
    <row r="57" spans="1:14" ht="24" customHeight="1">
      <c r="A57" s="41"/>
      <c r="B57" s="32" t="s">
        <v>49</v>
      </c>
      <c r="C57" s="32"/>
      <c r="D57" s="32"/>
      <c r="E57" s="33"/>
      <c r="F57" s="34"/>
      <c r="G57" s="35"/>
      <c r="H57" s="35">
        <f>SUM(H41:H56)</f>
        <v>1527186</v>
      </c>
      <c r="I57" s="35"/>
      <c r="J57" s="35">
        <f>SUM(J41:J56)</f>
        <v>1305590</v>
      </c>
      <c r="K57" s="35"/>
      <c r="L57" s="35">
        <f>SUM(L41:L56)</f>
        <v>2832776</v>
      </c>
      <c r="M57" s="36"/>
      <c r="N57" s="4"/>
    </row>
    <row r="58" spans="1:14" ht="24" customHeight="1">
      <c r="A58" s="41"/>
      <c r="B58" s="55" t="s">
        <v>263</v>
      </c>
      <c r="C58" s="32"/>
      <c r="D58" s="32"/>
      <c r="E58" s="33"/>
      <c r="F58" s="34"/>
      <c r="G58" s="35"/>
      <c r="H58" s="35"/>
      <c r="I58" s="35"/>
      <c r="J58" s="35"/>
      <c r="K58" s="35"/>
      <c r="L58" s="35"/>
      <c r="M58" s="36"/>
      <c r="N58" s="4"/>
    </row>
    <row r="59" spans="1:14" s="10" customFormat="1" ht="24" customHeight="1">
      <c r="A59" s="66">
        <f>A6</f>
        <v>3</v>
      </c>
      <c r="B59" s="69" t="str">
        <f>B6</f>
        <v>목공 공사</v>
      </c>
      <c r="C59" s="149"/>
      <c r="D59" s="150"/>
      <c r="E59" s="150"/>
      <c r="F59" s="150"/>
      <c r="G59" s="150"/>
      <c r="H59" s="150"/>
      <c r="I59" s="150"/>
      <c r="J59" s="150"/>
      <c r="K59" s="150"/>
      <c r="L59" s="150"/>
      <c r="M59" s="151"/>
      <c r="N59" s="11"/>
    </row>
    <row r="60" spans="1:14" ht="24" customHeight="1">
      <c r="A60" s="41"/>
      <c r="B60" s="32" t="s">
        <v>72</v>
      </c>
      <c r="C60" s="32"/>
      <c r="D60" s="32"/>
      <c r="E60" s="33"/>
      <c r="F60" s="49"/>
      <c r="G60" s="35"/>
      <c r="H60" s="35"/>
      <c r="I60" s="35"/>
      <c r="J60" s="35"/>
      <c r="K60" s="35"/>
      <c r="L60" s="35"/>
      <c r="M60" s="36"/>
      <c r="N60" s="4"/>
    </row>
    <row r="61" spans="1:14" ht="24" customHeight="1">
      <c r="A61" s="41"/>
      <c r="B61" s="32" t="s">
        <v>73</v>
      </c>
      <c r="C61" s="32" t="s">
        <v>74</v>
      </c>
      <c r="D61" s="32"/>
      <c r="E61" s="33">
        <v>15</v>
      </c>
      <c r="F61" s="49" t="s">
        <v>75</v>
      </c>
      <c r="G61" s="35">
        <v>4000</v>
      </c>
      <c r="H61" s="35">
        <f t="shared" ref="H61:H87" si="21">E61*G61</f>
        <v>60000</v>
      </c>
      <c r="I61" s="35"/>
      <c r="J61" s="35">
        <f t="shared" ref="J61:J89" si="22">E61*I61</f>
        <v>0</v>
      </c>
      <c r="K61" s="35">
        <f t="shared" ref="K61:L78" si="23">G61+I61</f>
        <v>4000</v>
      </c>
      <c r="L61" s="35">
        <f t="shared" si="23"/>
        <v>60000</v>
      </c>
      <c r="M61" s="36"/>
      <c r="N61" s="4"/>
    </row>
    <row r="62" spans="1:14" ht="24" customHeight="1">
      <c r="A62" s="41"/>
      <c r="B62" s="32" t="s">
        <v>76</v>
      </c>
      <c r="C62" s="32" t="s">
        <v>74</v>
      </c>
      <c r="D62" s="32"/>
      <c r="E62" s="33"/>
      <c r="F62" s="49" t="s">
        <v>75</v>
      </c>
      <c r="G62" s="35">
        <v>6000</v>
      </c>
      <c r="H62" s="35">
        <f t="shared" si="21"/>
        <v>0</v>
      </c>
      <c r="I62" s="35"/>
      <c r="J62" s="35">
        <f t="shared" si="22"/>
        <v>0</v>
      </c>
      <c r="K62" s="35">
        <f t="shared" si="23"/>
        <v>6000</v>
      </c>
      <c r="L62" s="35">
        <f t="shared" si="23"/>
        <v>0</v>
      </c>
      <c r="M62" s="36"/>
      <c r="N62" s="4"/>
    </row>
    <row r="63" spans="1:14" ht="24" customHeight="1">
      <c r="A63" s="41"/>
      <c r="B63" s="32" t="s">
        <v>77</v>
      </c>
      <c r="C63" s="32" t="s">
        <v>78</v>
      </c>
      <c r="D63" s="32"/>
      <c r="E63" s="33">
        <v>1</v>
      </c>
      <c r="F63" s="49" t="s">
        <v>79</v>
      </c>
      <c r="G63" s="35">
        <v>32500</v>
      </c>
      <c r="H63" s="35">
        <f t="shared" si="21"/>
        <v>32500</v>
      </c>
      <c r="I63" s="35"/>
      <c r="J63" s="35">
        <f t="shared" si="22"/>
        <v>0</v>
      </c>
      <c r="K63" s="35">
        <f t="shared" si="23"/>
        <v>32500</v>
      </c>
      <c r="L63" s="35">
        <f t="shared" si="23"/>
        <v>32500</v>
      </c>
      <c r="M63" s="36"/>
      <c r="N63" s="4"/>
    </row>
    <row r="64" spans="1:14" ht="24" customHeight="1">
      <c r="A64" s="41"/>
      <c r="B64" s="32" t="s">
        <v>80</v>
      </c>
      <c r="C64" s="32" t="s">
        <v>81</v>
      </c>
      <c r="D64" s="32"/>
      <c r="E64" s="33">
        <v>2</v>
      </c>
      <c r="F64" s="49" t="s">
        <v>75</v>
      </c>
      <c r="G64" s="35">
        <v>33000</v>
      </c>
      <c r="H64" s="35">
        <f t="shared" si="21"/>
        <v>66000</v>
      </c>
      <c r="I64" s="35"/>
      <c r="J64" s="35">
        <f t="shared" si="22"/>
        <v>0</v>
      </c>
      <c r="K64" s="35">
        <f t="shared" si="23"/>
        <v>33000</v>
      </c>
      <c r="L64" s="35">
        <f t="shared" si="23"/>
        <v>66000</v>
      </c>
      <c r="M64" s="36"/>
      <c r="N64" s="4"/>
    </row>
    <row r="65" spans="1:16" ht="24" customHeight="1">
      <c r="A65" s="41"/>
      <c r="B65" s="32"/>
      <c r="C65" s="32" t="s">
        <v>82</v>
      </c>
      <c r="D65" s="32"/>
      <c r="E65" s="33"/>
      <c r="F65" s="49" t="s">
        <v>75</v>
      </c>
      <c r="G65" s="35">
        <v>39500</v>
      </c>
      <c r="H65" s="35">
        <f t="shared" si="21"/>
        <v>0</v>
      </c>
      <c r="I65" s="35"/>
      <c r="J65" s="35">
        <f t="shared" si="22"/>
        <v>0</v>
      </c>
      <c r="K65" s="35">
        <f t="shared" si="23"/>
        <v>39500</v>
      </c>
      <c r="L65" s="35">
        <f t="shared" si="23"/>
        <v>0</v>
      </c>
      <c r="M65" s="36"/>
      <c r="N65" s="4"/>
    </row>
    <row r="66" spans="1:16" ht="24" customHeight="1">
      <c r="A66" s="41"/>
      <c r="B66" s="32" t="s">
        <v>83</v>
      </c>
      <c r="C66" s="32" t="s">
        <v>259</v>
      </c>
      <c r="D66" s="32"/>
      <c r="E66" s="33"/>
      <c r="F66" s="49" t="s">
        <v>75</v>
      </c>
      <c r="G66" s="35">
        <v>12000</v>
      </c>
      <c r="H66" s="35">
        <f t="shared" si="21"/>
        <v>0</v>
      </c>
      <c r="I66" s="35"/>
      <c r="J66" s="35">
        <f t="shared" si="22"/>
        <v>0</v>
      </c>
      <c r="K66" s="35">
        <f t="shared" si="23"/>
        <v>12000</v>
      </c>
      <c r="L66" s="35">
        <f t="shared" si="23"/>
        <v>0</v>
      </c>
      <c r="M66" s="36"/>
      <c r="N66" s="4"/>
    </row>
    <row r="67" spans="1:16" ht="24" customHeight="1">
      <c r="A67" s="41"/>
      <c r="B67" s="32"/>
      <c r="C67" s="32" t="s">
        <v>81</v>
      </c>
      <c r="D67" s="32"/>
      <c r="E67" s="33">
        <v>2</v>
      </c>
      <c r="F67" s="49" t="s">
        <v>75</v>
      </c>
      <c r="G67" s="35">
        <v>19500</v>
      </c>
      <c r="H67" s="35">
        <f t="shared" si="21"/>
        <v>39000</v>
      </c>
      <c r="I67" s="35"/>
      <c r="J67" s="35">
        <f t="shared" si="22"/>
        <v>0</v>
      </c>
      <c r="K67" s="35">
        <f t="shared" si="23"/>
        <v>19500</v>
      </c>
      <c r="L67" s="35">
        <f t="shared" si="23"/>
        <v>39000</v>
      </c>
      <c r="M67" s="36"/>
      <c r="N67" s="4"/>
    </row>
    <row r="68" spans="1:16" ht="24" customHeight="1">
      <c r="A68" s="41"/>
      <c r="B68" s="32"/>
      <c r="C68" s="32" t="s">
        <v>81</v>
      </c>
      <c r="D68" s="32" t="s">
        <v>360</v>
      </c>
      <c r="E68" s="33"/>
      <c r="F68" s="49" t="s">
        <v>75</v>
      </c>
      <c r="G68" s="35">
        <v>21500</v>
      </c>
      <c r="H68" s="35">
        <f>E68*G68</f>
        <v>0</v>
      </c>
      <c r="I68" s="35"/>
      <c r="J68" s="35">
        <f>E68*I68</f>
        <v>0</v>
      </c>
      <c r="K68" s="35">
        <f>G68+I68</f>
        <v>21500</v>
      </c>
      <c r="L68" s="35">
        <f>H68+J68</f>
        <v>0</v>
      </c>
      <c r="M68" s="36"/>
      <c r="N68" s="4"/>
    </row>
    <row r="69" spans="1:16" ht="24" customHeight="1">
      <c r="A69" s="41"/>
      <c r="B69" s="32"/>
      <c r="C69" s="32" t="s">
        <v>82</v>
      </c>
      <c r="D69" s="32"/>
      <c r="E69" s="33"/>
      <c r="F69" s="49" t="s">
        <v>75</v>
      </c>
      <c r="G69" s="35">
        <v>26500</v>
      </c>
      <c r="H69" s="35">
        <f t="shared" si="21"/>
        <v>0</v>
      </c>
      <c r="I69" s="35"/>
      <c r="J69" s="35">
        <f t="shared" si="22"/>
        <v>0</v>
      </c>
      <c r="K69" s="35">
        <f t="shared" si="23"/>
        <v>26500</v>
      </c>
      <c r="L69" s="35">
        <f t="shared" si="23"/>
        <v>0</v>
      </c>
      <c r="M69" s="36"/>
      <c r="N69" s="4"/>
    </row>
    <row r="70" spans="1:16" ht="24" customHeight="1">
      <c r="A70" s="41"/>
      <c r="B70" s="32"/>
      <c r="C70" s="32" t="s">
        <v>84</v>
      </c>
      <c r="D70" s="32"/>
      <c r="E70" s="33"/>
      <c r="F70" s="49" t="s">
        <v>75</v>
      </c>
      <c r="G70" s="35">
        <v>34500</v>
      </c>
      <c r="H70" s="35">
        <f t="shared" si="21"/>
        <v>0</v>
      </c>
      <c r="I70" s="35"/>
      <c r="J70" s="35">
        <f t="shared" si="22"/>
        <v>0</v>
      </c>
      <c r="K70" s="35">
        <f t="shared" si="23"/>
        <v>34500</v>
      </c>
      <c r="L70" s="35">
        <f t="shared" si="23"/>
        <v>0</v>
      </c>
      <c r="M70" s="36"/>
      <c r="N70" s="4"/>
      <c r="P70" s="5"/>
    </row>
    <row r="71" spans="1:16" ht="24" customHeight="1">
      <c r="A71" s="41"/>
      <c r="B71" s="32" t="s">
        <v>85</v>
      </c>
      <c r="C71" s="32" t="s">
        <v>86</v>
      </c>
      <c r="D71" s="32"/>
      <c r="E71" s="33"/>
      <c r="F71" s="49" t="s">
        <v>75</v>
      </c>
      <c r="G71" s="35">
        <v>7000</v>
      </c>
      <c r="H71" s="35">
        <f t="shared" si="21"/>
        <v>0</v>
      </c>
      <c r="I71" s="35"/>
      <c r="J71" s="35">
        <f t="shared" si="22"/>
        <v>0</v>
      </c>
      <c r="K71" s="35">
        <f t="shared" si="23"/>
        <v>7000</v>
      </c>
      <c r="L71" s="35">
        <f t="shared" si="23"/>
        <v>0</v>
      </c>
      <c r="M71" s="36"/>
      <c r="N71" s="4"/>
    </row>
    <row r="72" spans="1:16" ht="24" customHeight="1">
      <c r="A72" s="41"/>
      <c r="B72" s="32" t="s">
        <v>87</v>
      </c>
      <c r="C72" s="32" t="s">
        <v>88</v>
      </c>
      <c r="D72" s="32"/>
      <c r="E72" s="33"/>
      <c r="F72" s="49" t="s">
        <v>89</v>
      </c>
      <c r="G72" s="35">
        <v>160000</v>
      </c>
      <c r="H72" s="35">
        <f t="shared" si="21"/>
        <v>0</v>
      </c>
      <c r="I72" s="35"/>
      <c r="J72" s="35">
        <f t="shared" si="22"/>
        <v>0</v>
      </c>
      <c r="K72" s="35">
        <f t="shared" si="23"/>
        <v>160000</v>
      </c>
      <c r="L72" s="35">
        <f t="shared" si="23"/>
        <v>0</v>
      </c>
      <c r="M72" s="36"/>
      <c r="N72" s="4"/>
    </row>
    <row r="73" spans="1:16" ht="24" customHeight="1">
      <c r="A73" s="41"/>
      <c r="B73" s="32"/>
      <c r="C73" s="32"/>
      <c r="D73" s="32"/>
      <c r="E73" s="33"/>
      <c r="F73" s="49"/>
      <c r="G73" s="35"/>
      <c r="H73" s="35"/>
      <c r="I73" s="35"/>
      <c r="J73" s="35"/>
      <c r="K73" s="35"/>
      <c r="L73" s="35"/>
      <c r="M73" s="36"/>
      <c r="N73" s="4"/>
    </row>
    <row r="74" spans="1:16" ht="24" customHeight="1">
      <c r="A74" s="41"/>
      <c r="B74" s="32" t="s">
        <v>90</v>
      </c>
      <c r="C74" s="32"/>
      <c r="D74" s="34"/>
      <c r="E74" s="33"/>
      <c r="F74" s="49" t="s">
        <v>75</v>
      </c>
      <c r="G74" s="35">
        <v>3500</v>
      </c>
      <c r="H74" s="35">
        <f t="shared" si="21"/>
        <v>0</v>
      </c>
      <c r="I74" s="35"/>
      <c r="J74" s="35">
        <f t="shared" si="22"/>
        <v>0</v>
      </c>
      <c r="K74" s="35">
        <f t="shared" si="23"/>
        <v>3500</v>
      </c>
      <c r="L74" s="35">
        <f t="shared" si="23"/>
        <v>0</v>
      </c>
      <c r="M74" s="53"/>
      <c r="N74" s="4"/>
    </row>
    <row r="75" spans="1:16" ht="24" customHeight="1">
      <c r="A75" s="41"/>
      <c r="B75" s="32" t="s">
        <v>91</v>
      </c>
      <c r="C75" s="32"/>
      <c r="D75" s="34"/>
      <c r="E75" s="33"/>
      <c r="F75" s="49" t="s">
        <v>75</v>
      </c>
      <c r="G75" s="35">
        <v>3500</v>
      </c>
      <c r="H75" s="35">
        <f t="shared" si="21"/>
        <v>0</v>
      </c>
      <c r="I75" s="35"/>
      <c r="J75" s="35">
        <f t="shared" si="22"/>
        <v>0</v>
      </c>
      <c r="K75" s="35">
        <f t="shared" si="23"/>
        <v>3500</v>
      </c>
      <c r="L75" s="35">
        <f t="shared" si="23"/>
        <v>0</v>
      </c>
      <c r="M75" s="53"/>
      <c r="N75" s="4"/>
    </row>
    <row r="76" spans="1:16" ht="24" customHeight="1">
      <c r="A76" s="41"/>
      <c r="B76" s="32" t="s">
        <v>92</v>
      </c>
      <c r="C76" s="32"/>
      <c r="D76" s="34"/>
      <c r="E76" s="33"/>
      <c r="F76" s="49" t="s">
        <v>75</v>
      </c>
      <c r="G76" s="35">
        <v>3500</v>
      </c>
      <c r="H76" s="35">
        <f t="shared" si="21"/>
        <v>0</v>
      </c>
      <c r="I76" s="35"/>
      <c r="J76" s="35">
        <f t="shared" si="22"/>
        <v>0</v>
      </c>
      <c r="K76" s="35">
        <f t="shared" si="23"/>
        <v>3500</v>
      </c>
      <c r="L76" s="35">
        <f t="shared" si="23"/>
        <v>0</v>
      </c>
      <c r="M76" s="53"/>
      <c r="N76" s="4"/>
    </row>
    <row r="77" spans="1:16" ht="24" customHeight="1">
      <c r="A77" s="41"/>
      <c r="B77" s="32" t="s">
        <v>94</v>
      </c>
      <c r="C77" s="32"/>
      <c r="D77" s="34"/>
      <c r="E77" s="33"/>
      <c r="F77" s="49" t="s">
        <v>75</v>
      </c>
      <c r="G77" s="35">
        <v>15000</v>
      </c>
      <c r="H77" s="35">
        <f t="shared" si="21"/>
        <v>0</v>
      </c>
      <c r="I77" s="35"/>
      <c r="J77" s="35">
        <f t="shared" si="22"/>
        <v>0</v>
      </c>
      <c r="K77" s="35">
        <f t="shared" si="23"/>
        <v>15000</v>
      </c>
      <c r="L77" s="35">
        <f t="shared" si="23"/>
        <v>0</v>
      </c>
      <c r="M77" s="53"/>
      <c r="N77" s="4"/>
    </row>
    <row r="78" spans="1:16" ht="24" customHeight="1">
      <c r="A78" s="41"/>
      <c r="B78" s="32" t="s">
        <v>95</v>
      </c>
      <c r="C78" s="32" t="s">
        <v>440</v>
      </c>
      <c r="D78" s="34"/>
      <c r="E78" s="33"/>
      <c r="F78" s="49" t="s">
        <v>96</v>
      </c>
      <c r="G78" s="35">
        <v>690000</v>
      </c>
      <c r="H78" s="35">
        <f t="shared" si="21"/>
        <v>0</v>
      </c>
      <c r="I78" s="35"/>
      <c r="J78" s="35">
        <f t="shared" si="22"/>
        <v>0</v>
      </c>
      <c r="K78" s="35">
        <f t="shared" si="23"/>
        <v>690000</v>
      </c>
      <c r="L78" s="35">
        <f t="shared" si="23"/>
        <v>0</v>
      </c>
      <c r="M78" s="53" t="s">
        <v>93</v>
      </c>
      <c r="N78" s="4"/>
    </row>
    <row r="79" spans="1:16" ht="24" customHeight="1">
      <c r="A79" s="41"/>
      <c r="B79" s="32" t="s">
        <v>98</v>
      </c>
      <c r="C79" s="32"/>
      <c r="D79" s="34"/>
      <c r="E79" s="33"/>
      <c r="F79" s="49" t="s">
        <v>59</v>
      </c>
      <c r="G79" s="35"/>
      <c r="H79" s="35">
        <f t="shared" si="21"/>
        <v>0</v>
      </c>
      <c r="I79" s="35"/>
      <c r="J79" s="35">
        <f t="shared" si="22"/>
        <v>0</v>
      </c>
      <c r="K79" s="35">
        <f t="shared" ref="K79:L87" si="24">G79+I79</f>
        <v>0</v>
      </c>
      <c r="L79" s="35">
        <f t="shared" si="24"/>
        <v>0</v>
      </c>
      <c r="M79" s="53"/>
      <c r="N79" s="4"/>
    </row>
    <row r="80" spans="1:16" ht="24" customHeight="1">
      <c r="A80" s="41"/>
      <c r="B80" s="32" t="s">
        <v>260</v>
      </c>
      <c r="C80" s="32"/>
      <c r="D80" s="34"/>
      <c r="E80" s="33"/>
      <c r="F80" s="49" t="s">
        <v>43</v>
      </c>
      <c r="G80" s="35">
        <v>250000</v>
      </c>
      <c r="H80" s="35">
        <f t="shared" si="21"/>
        <v>0</v>
      </c>
      <c r="I80" s="35"/>
      <c r="J80" s="35">
        <f t="shared" si="22"/>
        <v>0</v>
      </c>
      <c r="K80" s="35">
        <f t="shared" si="24"/>
        <v>250000</v>
      </c>
      <c r="L80" s="35">
        <f t="shared" si="24"/>
        <v>0</v>
      </c>
      <c r="M80" s="53"/>
      <c r="N80" s="4"/>
    </row>
    <row r="81" spans="1:14" ht="24" customHeight="1">
      <c r="A81" s="41"/>
      <c r="B81" s="32" t="s">
        <v>436</v>
      </c>
      <c r="C81" s="32" t="s">
        <v>437</v>
      </c>
      <c r="D81" s="34"/>
      <c r="E81" s="33"/>
      <c r="F81" s="49" t="s">
        <v>438</v>
      </c>
      <c r="G81" s="35">
        <v>50000</v>
      </c>
      <c r="H81" s="35">
        <f t="shared" ref="H81" si="25">E81*G81</f>
        <v>0</v>
      </c>
      <c r="I81" s="35"/>
      <c r="J81" s="35">
        <f t="shared" ref="J81" si="26">E81*I81</f>
        <v>0</v>
      </c>
      <c r="K81" s="35">
        <f t="shared" ref="K81" si="27">G81+I81</f>
        <v>50000</v>
      </c>
      <c r="L81" s="35">
        <f t="shared" ref="L81" si="28">H81+J81</f>
        <v>0</v>
      </c>
      <c r="M81" s="53"/>
      <c r="N81" s="4"/>
    </row>
    <row r="82" spans="1:14" ht="24" customHeight="1">
      <c r="A82" s="41"/>
      <c r="B82" s="32" t="s">
        <v>261</v>
      </c>
      <c r="C82" s="32" t="s">
        <v>391</v>
      </c>
      <c r="D82" s="34"/>
      <c r="E82" s="33"/>
      <c r="F82" s="49" t="s">
        <v>43</v>
      </c>
      <c r="G82" s="35">
        <v>180000</v>
      </c>
      <c r="H82" s="35">
        <f t="shared" si="21"/>
        <v>0</v>
      </c>
      <c r="I82" s="35"/>
      <c r="J82" s="35">
        <f t="shared" si="22"/>
        <v>0</v>
      </c>
      <c r="K82" s="35">
        <f t="shared" si="24"/>
        <v>180000</v>
      </c>
      <c r="L82" s="35">
        <f t="shared" si="24"/>
        <v>0</v>
      </c>
      <c r="M82" s="53"/>
      <c r="N82" s="4"/>
    </row>
    <row r="83" spans="1:14" ht="24" customHeight="1">
      <c r="A83" s="41"/>
      <c r="B83" s="32" t="s">
        <v>97</v>
      </c>
      <c r="C83" s="32" t="s">
        <v>441</v>
      </c>
      <c r="D83" s="34" t="s">
        <v>442</v>
      </c>
      <c r="E83" s="33"/>
      <c r="F83" s="49" t="s">
        <v>96</v>
      </c>
      <c r="G83" s="35">
        <v>128000</v>
      </c>
      <c r="H83" s="35">
        <f t="shared" si="21"/>
        <v>0</v>
      </c>
      <c r="I83" s="35"/>
      <c r="J83" s="35">
        <f t="shared" si="22"/>
        <v>0</v>
      </c>
      <c r="K83" s="35">
        <f t="shared" si="24"/>
        <v>128000</v>
      </c>
      <c r="L83" s="35">
        <f t="shared" si="24"/>
        <v>0</v>
      </c>
      <c r="M83" s="53"/>
      <c r="N83" s="4"/>
    </row>
    <row r="84" spans="1:14" ht="24" customHeight="1">
      <c r="A84" s="41"/>
      <c r="B84" s="32" t="s">
        <v>97</v>
      </c>
      <c r="C84" s="32" t="s">
        <v>371</v>
      </c>
      <c r="D84" s="34" t="s">
        <v>379</v>
      </c>
      <c r="E84" s="33"/>
      <c r="F84" s="49" t="s">
        <v>96</v>
      </c>
      <c r="G84" s="35">
        <v>148000</v>
      </c>
      <c r="H84" s="35">
        <f t="shared" ref="H84" si="29">E84*G84</f>
        <v>0</v>
      </c>
      <c r="I84" s="35"/>
      <c r="J84" s="35">
        <f t="shared" ref="J84" si="30">E84*I84</f>
        <v>0</v>
      </c>
      <c r="K84" s="35">
        <f t="shared" ref="K84" si="31">G84+I84</f>
        <v>148000</v>
      </c>
      <c r="L84" s="35">
        <f t="shared" ref="L84" si="32">H84+J84</f>
        <v>0</v>
      </c>
      <c r="M84" s="53"/>
      <c r="N84" s="4"/>
    </row>
    <row r="85" spans="1:14" ht="24" customHeight="1">
      <c r="A85" s="41"/>
      <c r="B85" s="32" t="s">
        <v>97</v>
      </c>
      <c r="C85" s="32" t="s">
        <v>371</v>
      </c>
      <c r="D85" s="34" t="s">
        <v>388</v>
      </c>
      <c r="E85" s="33"/>
      <c r="F85" s="49" t="s">
        <v>96</v>
      </c>
      <c r="G85" s="35">
        <v>250000</v>
      </c>
      <c r="H85" s="35">
        <f t="shared" ref="H85" si="33">E85*G85</f>
        <v>0</v>
      </c>
      <c r="I85" s="35"/>
      <c r="J85" s="35">
        <f t="shared" ref="J85" si="34">E85*I85</f>
        <v>0</v>
      </c>
      <c r="K85" s="35">
        <f t="shared" ref="K85" si="35">G85+I85</f>
        <v>250000</v>
      </c>
      <c r="L85" s="35">
        <f t="shared" ref="L85" si="36">H85+J85</f>
        <v>0</v>
      </c>
      <c r="M85" s="53"/>
      <c r="N85" s="4"/>
    </row>
    <row r="86" spans="1:14" ht="24" customHeight="1">
      <c r="A86" s="41"/>
      <c r="B86" s="32" t="s">
        <v>99</v>
      </c>
      <c r="C86" s="32" t="s">
        <v>439</v>
      </c>
      <c r="D86" s="34"/>
      <c r="E86" s="33"/>
      <c r="F86" s="49" t="s">
        <v>96</v>
      </c>
      <c r="G86" s="35">
        <v>35000</v>
      </c>
      <c r="H86" s="35">
        <f t="shared" si="21"/>
        <v>0</v>
      </c>
      <c r="I86" s="35"/>
      <c r="J86" s="35">
        <f t="shared" si="22"/>
        <v>0</v>
      </c>
      <c r="K86" s="35">
        <f t="shared" si="24"/>
        <v>35000</v>
      </c>
      <c r="L86" s="35">
        <f t="shared" si="24"/>
        <v>0</v>
      </c>
      <c r="M86" s="53"/>
      <c r="N86" s="4"/>
    </row>
    <row r="87" spans="1:14" ht="24" customHeight="1">
      <c r="A87" s="41"/>
      <c r="B87" s="32" t="s">
        <v>100</v>
      </c>
      <c r="C87" s="32" t="s">
        <v>101</v>
      </c>
      <c r="D87" s="32"/>
      <c r="E87" s="33">
        <v>1</v>
      </c>
      <c r="F87" s="49" t="s">
        <v>43</v>
      </c>
      <c r="G87" s="35">
        <v>150000</v>
      </c>
      <c r="H87" s="35">
        <f t="shared" si="21"/>
        <v>150000</v>
      </c>
      <c r="I87" s="35"/>
      <c r="J87" s="35">
        <f t="shared" si="22"/>
        <v>0</v>
      </c>
      <c r="K87" s="35">
        <f t="shared" si="24"/>
        <v>150000</v>
      </c>
      <c r="L87" s="35">
        <f t="shared" si="24"/>
        <v>150000</v>
      </c>
      <c r="M87" s="36"/>
      <c r="N87" s="4"/>
    </row>
    <row r="88" spans="1:14" ht="24" customHeight="1">
      <c r="A88" s="41"/>
      <c r="B88" s="32" t="s">
        <v>102</v>
      </c>
      <c r="C88" s="32"/>
      <c r="D88" s="32"/>
      <c r="E88" s="33">
        <v>2</v>
      </c>
      <c r="F88" s="49" t="s">
        <v>103</v>
      </c>
      <c r="G88" s="35"/>
      <c r="H88" s="35">
        <f>E88*G88</f>
        <v>0</v>
      </c>
      <c r="I88" s="35">
        <v>290000</v>
      </c>
      <c r="J88" s="35">
        <f t="shared" si="22"/>
        <v>580000</v>
      </c>
      <c r="K88" s="35">
        <f>G88+I88</f>
        <v>290000</v>
      </c>
      <c r="L88" s="35">
        <f>H88+J88</f>
        <v>580000</v>
      </c>
      <c r="M88" s="36"/>
      <c r="N88" s="4"/>
    </row>
    <row r="89" spans="1:14" ht="24" customHeight="1">
      <c r="A89" s="41"/>
      <c r="B89" s="32" t="s">
        <v>104</v>
      </c>
      <c r="C89" s="32"/>
      <c r="D89" s="32"/>
      <c r="E89" s="33">
        <v>1</v>
      </c>
      <c r="F89" s="49" t="s">
        <v>105</v>
      </c>
      <c r="G89" s="35">
        <v>150000</v>
      </c>
      <c r="H89" s="35">
        <f>E89*G89</f>
        <v>150000</v>
      </c>
      <c r="I89" s="35"/>
      <c r="J89" s="35">
        <f t="shared" si="22"/>
        <v>0</v>
      </c>
      <c r="K89" s="35">
        <f>G89+I89</f>
        <v>150000</v>
      </c>
      <c r="L89" s="35">
        <f>H89+J89</f>
        <v>150000</v>
      </c>
      <c r="M89" s="36"/>
      <c r="N89" s="4"/>
    </row>
    <row r="90" spans="1:14" ht="24" customHeight="1">
      <c r="A90" s="41"/>
      <c r="B90" s="32"/>
      <c r="C90" s="32"/>
      <c r="D90" s="32"/>
      <c r="E90" s="33"/>
      <c r="F90" s="49"/>
      <c r="G90" s="35"/>
      <c r="H90" s="35"/>
      <c r="I90" s="35"/>
      <c r="J90" s="35"/>
      <c r="K90" s="35"/>
      <c r="L90" s="35"/>
      <c r="M90" s="36"/>
      <c r="N90" s="4"/>
    </row>
    <row r="91" spans="1:14" ht="24" customHeight="1">
      <c r="A91" s="41"/>
      <c r="B91" s="32" t="s">
        <v>49</v>
      </c>
      <c r="C91" s="32"/>
      <c r="D91" s="32"/>
      <c r="E91" s="33"/>
      <c r="F91" s="34"/>
      <c r="G91" s="35"/>
      <c r="H91" s="35">
        <f>SUM(H60:H90)</f>
        <v>497500</v>
      </c>
      <c r="I91" s="35"/>
      <c r="J91" s="35">
        <f>SUM(J60:J90)</f>
        <v>580000</v>
      </c>
      <c r="K91" s="35"/>
      <c r="L91" s="35">
        <f>SUM(L60:L90)</f>
        <v>1077500</v>
      </c>
      <c r="M91" s="36"/>
      <c r="N91" s="4"/>
    </row>
    <row r="92" spans="1:14" ht="24" customHeight="1">
      <c r="A92" s="41"/>
      <c r="B92" s="55"/>
      <c r="C92" s="32"/>
      <c r="D92" s="32"/>
      <c r="E92" s="33"/>
      <c r="F92" s="34"/>
      <c r="G92" s="35"/>
      <c r="H92" s="35"/>
      <c r="I92" s="35"/>
      <c r="J92" s="35"/>
      <c r="K92" s="35"/>
      <c r="L92" s="35"/>
      <c r="M92" s="36"/>
      <c r="N92" s="4"/>
    </row>
    <row r="93" spans="1:14" ht="24" customHeight="1">
      <c r="A93" s="41"/>
      <c r="B93" s="55"/>
      <c r="C93" s="32"/>
      <c r="D93" s="32"/>
      <c r="E93" s="33"/>
      <c r="F93" s="34"/>
      <c r="G93" s="35"/>
      <c r="H93" s="35"/>
      <c r="I93" s="35"/>
      <c r="J93" s="35"/>
      <c r="K93" s="35"/>
      <c r="L93" s="35"/>
      <c r="M93" s="36"/>
      <c r="N93" s="4"/>
    </row>
    <row r="94" spans="1:14" s="10" customFormat="1" ht="24" customHeight="1">
      <c r="A94" s="66">
        <f>A7</f>
        <v>4</v>
      </c>
      <c r="B94" s="69" t="str">
        <f>B7</f>
        <v>전기 공사</v>
      </c>
      <c r="C94" s="149"/>
      <c r="D94" s="150"/>
      <c r="E94" s="150"/>
      <c r="F94" s="150"/>
      <c r="G94" s="150"/>
      <c r="H94" s="150"/>
      <c r="I94" s="150"/>
      <c r="J94" s="150"/>
      <c r="K94" s="150"/>
      <c r="L94" s="150"/>
      <c r="M94" s="151"/>
      <c r="N94" s="11"/>
    </row>
    <row r="95" spans="1:14" ht="24" customHeight="1">
      <c r="A95" s="41"/>
      <c r="B95" s="51" t="s">
        <v>106</v>
      </c>
      <c r="C95" s="51" t="s">
        <v>341</v>
      </c>
      <c r="D95" s="34" t="s">
        <v>345</v>
      </c>
      <c r="E95" s="33"/>
      <c r="F95" s="49" t="s">
        <v>75</v>
      </c>
      <c r="G95" s="35">
        <v>30000</v>
      </c>
      <c r="H95" s="35">
        <f t="shared" ref="H95:H124" si="37">E95*G95</f>
        <v>0</v>
      </c>
      <c r="I95" s="35"/>
      <c r="J95" s="35">
        <f>E95*I95</f>
        <v>0</v>
      </c>
      <c r="K95" s="35">
        <f t="shared" ref="K95:L124" si="38">G95+I95</f>
        <v>30000</v>
      </c>
      <c r="L95" s="35">
        <f t="shared" si="38"/>
        <v>0</v>
      </c>
      <c r="M95" s="53"/>
      <c r="N95" s="4"/>
    </row>
    <row r="96" spans="1:14" ht="24" customHeight="1">
      <c r="A96" s="41"/>
      <c r="B96" s="51" t="s">
        <v>108</v>
      </c>
      <c r="C96" s="51" t="s">
        <v>343</v>
      </c>
      <c r="D96" s="34"/>
      <c r="E96" s="33"/>
      <c r="F96" s="49" t="s">
        <v>75</v>
      </c>
      <c r="G96" s="35">
        <v>76000</v>
      </c>
      <c r="H96" s="35">
        <f t="shared" si="37"/>
        <v>0</v>
      </c>
      <c r="I96" s="35"/>
      <c r="J96" s="35">
        <f t="shared" ref="J96:J124" si="39">E96*I96</f>
        <v>0</v>
      </c>
      <c r="K96" s="35">
        <f t="shared" si="38"/>
        <v>76000</v>
      </c>
      <c r="L96" s="35">
        <f t="shared" si="38"/>
        <v>0</v>
      </c>
      <c r="M96" s="53"/>
      <c r="N96" s="4"/>
    </row>
    <row r="97" spans="1:14" ht="24" customHeight="1">
      <c r="A97" s="41"/>
      <c r="B97" s="51" t="s">
        <v>109</v>
      </c>
      <c r="C97" s="51" t="s">
        <v>342</v>
      </c>
      <c r="D97" s="34" t="s">
        <v>345</v>
      </c>
      <c r="E97" s="33"/>
      <c r="F97" s="49" t="s">
        <v>75</v>
      </c>
      <c r="G97" s="35">
        <v>30000</v>
      </c>
      <c r="H97" s="35">
        <f t="shared" si="37"/>
        <v>0</v>
      </c>
      <c r="I97" s="35"/>
      <c r="J97" s="35">
        <f t="shared" si="39"/>
        <v>0</v>
      </c>
      <c r="K97" s="35">
        <f t="shared" si="38"/>
        <v>30000</v>
      </c>
      <c r="L97" s="35">
        <f t="shared" si="38"/>
        <v>0</v>
      </c>
      <c r="M97" s="53"/>
      <c r="N97" s="4"/>
    </row>
    <row r="98" spans="1:14" ht="24" customHeight="1">
      <c r="A98" s="41"/>
      <c r="B98" s="51" t="s">
        <v>110</v>
      </c>
      <c r="C98" s="51" t="s">
        <v>107</v>
      </c>
      <c r="D98" s="34"/>
      <c r="E98" s="33"/>
      <c r="F98" s="49" t="s">
        <v>75</v>
      </c>
      <c r="G98" s="35">
        <v>35000</v>
      </c>
      <c r="H98" s="35">
        <f t="shared" si="37"/>
        <v>0</v>
      </c>
      <c r="I98" s="35"/>
      <c r="J98" s="35">
        <f t="shared" si="39"/>
        <v>0</v>
      </c>
      <c r="K98" s="35">
        <f t="shared" si="38"/>
        <v>35000</v>
      </c>
      <c r="L98" s="35">
        <f t="shared" si="38"/>
        <v>0</v>
      </c>
      <c r="M98" s="53"/>
      <c r="N98" s="4"/>
    </row>
    <row r="99" spans="1:14" ht="24" customHeight="1">
      <c r="A99" s="41"/>
      <c r="B99" s="51" t="s">
        <v>111</v>
      </c>
      <c r="C99" s="51" t="s">
        <v>112</v>
      </c>
      <c r="D99" s="34"/>
      <c r="E99" s="33"/>
      <c r="F99" s="49" t="s">
        <v>75</v>
      </c>
      <c r="G99" s="35">
        <v>15000</v>
      </c>
      <c r="H99" s="35">
        <f t="shared" si="37"/>
        <v>0</v>
      </c>
      <c r="I99" s="35"/>
      <c r="J99" s="35">
        <f t="shared" si="39"/>
        <v>0</v>
      </c>
      <c r="K99" s="35">
        <f t="shared" si="38"/>
        <v>15000</v>
      </c>
      <c r="L99" s="35">
        <f t="shared" si="38"/>
        <v>0</v>
      </c>
      <c r="M99" s="53"/>
      <c r="N99" s="4"/>
    </row>
    <row r="100" spans="1:14" ht="24" customHeight="1">
      <c r="A100" s="41"/>
      <c r="B100" s="51" t="s">
        <v>381</v>
      </c>
      <c r="C100" s="51" t="s">
        <v>112</v>
      </c>
      <c r="D100" s="34" t="s">
        <v>345</v>
      </c>
      <c r="E100" s="33"/>
      <c r="F100" s="49" t="s">
        <v>75</v>
      </c>
      <c r="G100" s="35">
        <v>15000</v>
      </c>
      <c r="H100" s="35">
        <f t="shared" si="37"/>
        <v>0</v>
      </c>
      <c r="I100" s="35"/>
      <c r="J100" s="35">
        <f t="shared" si="39"/>
        <v>0</v>
      </c>
      <c r="K100" s="35">
        <f t="shared" si="38"/>
        <v>15000</v>
      </c>
      <c r="L100" s="35">
        <f t="shared" si="38"/>
        <v>0</v>
      </c>
      <c r="M100" s="53"/>
      <c r="N100" s="4"/>
    </row>
    <row r="101" spans="1:14" ht="24" customHeight="1">
      <c r="A101" s="41"/>
      <c r="B101" s="51" t="s">
        <v>114</v>
      </c>
      <c r="C101" s="51" t="s">
        <v>112</v>
      </c>
      <c r="D101" s="34" t="s">
        <v>345</v>
      </c>
      <c r="E101" s="33"/>
      <c r="F101" s="49" t="s">
        <v>75</v>
      </c>
      <c r="G101" s="35">
        <v>15000</v>
      </c>
      <c r="H101" s="35">
        <f t="shared" si="37"/>
        <v>0</v>
      </c>
      <c r="I101" s="35"/>
      <c r="J101" s="35">
        <f t="shared" si="39"/>
        <v>0</v>
      </c>
      <c r="K101" s="35">
        <f t="shared" si="38"/>
        <v>15000</v>
      </c>
      <c r="L101" s="35">
        <f t="shared" si="38"/>
        <v>0</v>
      </c>
      <c r="M101" s="53"/>
      <c r="N101" s="4"/>
    </row>
    <row r="102" spans="1:14" ht="24" customHeight="1">
      <c r="A102" s="41"/>
      <c r="B102" s="51" t="s">
        <v>115</v>
      </c>
      <c r="C102" s="51" t="s">
        <v>433</v>
      </c>
      <c r="D102" s="32"/>
      <c r="E102" s="33"/>
      <c r="F102" s="49" t="s">
        <v>75</v>
      </c>
      <c r="G102" s="35">
        <v>68000</v>
      </c>
      <c r="H102" s="35">
        <f t="shared" si="37"/>
        <v>0</v>
      </c>
      <c r="I102" s="35"/>
      <c r="J102" s="35">
        <f t="shared" si="39"/>
        <v>0</v>
      </c>
      <c r="K102" s="35">
        <f t="shared" si="38"/>
        <v>68000</v>
      </c>
      <c r="L102" s="35">
        <f t="shared" si="38"/>
        <v>0</v>
      </c>
      <c r="M102" s="53"/>
      <c r="N102" s="4"/>
    </row>
    <row r="103" spans="1:14" ht="24" customHeight="1">
      <c r="A103" s="41"/>
      <c r="B103" s="51" t="s">
        <v>117</v>
      </c>
      <c r="C103" s="51" t="s">
        <v>116</v>
      </c>
      <c r="D103" s="32"/>
      <c r="E103" s="33"/>
      <c r="F103" s="49" t="s">
        <v>75</v>
      </c>
      <c r="G103" s="35">
        <v>150000</v>
      </c>
      <c r="H103" s="35">
        <f t="shared" si="37"/>
        <v>0</v>
      </c>
      <c r="I103" s="35"/>
      <c r="J103" s="35">
        <f t="shared" si="39"/>
        <v>0</v>
      </c>
      <c r="K103" s="35">
        <f t="shared" si="38"/>
        <v>150000</v>
      </c>
      <c r="L103" s="35">
        <f t="shared" si="38"/>
        <v>0</v>
      </c>
      <c r="M103" s="53"/>
      <c r="N103" s="4"/>
    </row>
    <row r="104" spans="1:14" ht="24" customHeight="1">
      <c r="A104" s="41"/>
      <c r="B104" s="51" t="s">
        <v>119</v>
      </c>
      <c r="C104" s="51" t="s">
        <v>373</v>
      </c>
      <c r="D104" s="34" t="s">
        <v>345</v>
      </c>
      <c r="E104" s="33"/>
      <c r="F104" s="49" t="s">
        <v>75</v>
      </c>
      <c r="G104" s="35">
        <v>15000</v>
      </c>
      <c r="H104" s="35">
        <f t="shared" si="37"/>
        <v>0</v>
      </c>
      <c r="I104" s="35"/>
      <c r="J104" s="35">
        <f t="shared" si="39"/>
        <v>0</v>
      </c>
      <c r="K104" s="35">
        <f t="shared" si="38"/>
        <v>15000</v>
      </c>
      <c r="L104" s="35">
        <f t="shared" si="38"/>
        <v>0</v>
      </c>
      <c r="M104" s="53"/>
      <c r="N104" s="4"/>
    </row>
    <row r="105" spans="1:14" ht="24" customHeight="1">
      <c r="A105" s="41"/>
      <c r="B105" s="51" t="s">
        <v>120</v>
      </c>
      <c r="C105" s="51" t="s">
        <v>443</v>
      </c>
      <c r="D105" s="32"/>
      <c r="E105" s="33"/>
      <c r="F105" s="49" t="s">
        <v>75</v>
      </c>
      <c r="G105" s="35">
        <v>15000</v>
      </c>
      <c r="H105" s="35">
        <f t="shared" si="37"/>
        <v>0</v>
      </c>
      <c r="I105" s="35"/>
      <c r="J105" s="35">
        <f t="shared" si="39"/>
        <v>0</v>
      </c>
      <c r="K105" s="35">
        <f t="shared" si="38"/>
        <v>15000</v>
      </c>
      <c r="L105" s="35">
        <f t="shared" si="38"/>
        <v>0</v>
      </c>
      <c r="M105" s="53"/>
      <c r="N105" s="4"/>
    </row>
    <row r="106" spans="1:14" ht="24" customHeight="1">
      <c r="A106" s="41"/>
      <c r="B106" s="51" t="s">
        <v>120</v>
      </c>
      <c r="C106" s="51" t="s">
        <v>351</v>
      </c>
      <c r="D106" s="34" t="s">
        <v>345</v>
      </c>
      <c r="E106" s="33"/>
      <c r="F106" s="49" t="s">
        <v>75</v>
      </c>
      <c r="G106" s="35">
        <v>15000</v>
      </c>
      <c r="H106" s="35">
        <f t="shared" si="37"/>
        <v>0</v>
      </c>
      <c r="I106" s="35"/>
      <c r="J106" s="35">
        <f t="shared" si="39"/>
        <v>0</v>
      </c>
      <c r="K106" s="35">
        <f t="shared" si="38"/>
        <v>15000</v>
      </c>
      <c r="L106" s="35">
        <f t="shared" si="38"/>
        <v>0</v>
      </c>
      <c r="M106" s="53"/>
      <c r="N106" s="4"/>
    </row>
    <row r="107" spans="1:14" ht="24" customHeight="1">
      <c r="A107" s="41"/>
      <c r="B107" s="51" t="s">
        <v>120</v>
      </c>
      <c r="C107" s="51" t="s">
        <v>344</v>
      </c>
      <c r="D107" s="34" t="s">
        <v>345</v>
      </c>
      <c r="E107" s="33"/>
      <c r="F107" s="49" t="s">
        <v>75</v>
      </c>
      <c r="G107" s="35">
        <v>15000</v>
      </c>
      <c r="H107" s="35">
        <f t="shared" si="37"/>
        <v>0</v>
      </c>
      <c r="I107" s="35"/>
      <c r="J107" s="35">
        <f t="shared" si="39"/>
        <v>0</v>
      </c>
      <c r="K107" s="35">
        <f t="shared" si="38"/>
        <v>15000</v>
      </c>
      <c r="L107" s="35">
        <f t="shared" si="38"/>
        <v>0</v>
      </c>
      <c r="M107" s="53"/>
      <c r="N107" s="4"/>
    </row>
    <row r="108" spans="1:14" ht="24" customHeight="1">
      <c r="A108" s="41"/>
      <c r="B108" s="51" t="s">
        <v>122</v>
      </c>
      <c r="C108" s="51" t="s">
        <v>123</v>
      </c>
      <c r="D108" s="32"/>
      <c r="E108" s="33"/>
      <c r="F108" s="49" t="s">
        <v>75</v>
      </c>
      <c r="G108" s="35"/>
      <c r="H108" s="35">
        <f t="shared" si="37"/>
        <v>0</v>
      </c>
      <c r="I108" s="35"/>
      <c r="J108" s="35">
        <f t="shared" si="39"/>
        <v>0</v>
      </c>
      <c r="K108" s="35">
        <f t="shared" si="38"/>
        <v>0</v>
      </c>
      <c r="L108" s="35">
        <f t="shared" si="38"/>
        <v>0</v>
      </c>
      <c r="M108" s="53"/>
      <c r="N108" s="4"/>
    </row>
    <row r="109" spans="1:14" ht="24" customHeight="1">
      <c r="A109" s="41"/>
      <c r="B109" s="51" t="s">
        <v>124</v>
      </c>
      <c r="C109" s="51" t="s">
        <v>125</v>
      </c>
      <c r="D109" s="34" t="s">
        <v>345</v>
      </c>
      <c r="E109" s="33">
        <v>14</v>
      </c>
      <c r="F109" s="49" t="s">
        <v>75</v>
      </c>
      <c r="G109" s="35">
        <v>11500</v>
      </c>
      <c r="H109" s="35">
        <f t="shared" si="37"/>
        <v>161000</v>
      </c>
      <c r="I109" s="35"/>
      <c r="J109" s="35">
        <f t="shared" si="39"/>
        <v>0</v>
      </c>
      <c r="K109" s="35">
        <f t="shared" si="38"/>
        <v>11500</v>
      </c>
      <c r="L109" s="35">
        <f t="shared" si="38"/>
        <v>161000</v>
      </c>
      <c r="M109" s="53" t="s">
        <v>264</v>
      </c>
      <c r="N109" s="4"/>
    </row>
    <row r="110" spans="1:14" ht="24" customHeight="1">
      <c r="A110" s="41"/>
      <c r="B110" s="51"/>
      <c r="C110" s="51" t="s">
        <v>126</v>
      </c>
      <c r="D110" s="34"/>
      <c r="E110" s="33"/>
      <c r="F110" s="49" t="s">
        <v>75</v>
      </c>
      <c r="G110" s="35">
        <v>15000</v>
      </c>
      <c r="H110" s="35">
        <f t="shared" si="37"/>
        <v>0</v>
      </c>
      <c r="I110" s="35"/>
      <c r="J110" s="35">
        <f t="shared" si="39"/>
        <v>0</v>
      </c>
      <c r="K110" s="35">
        <f t="shared" si="38"/>
        <v>15000</v>
      </c>
      <c r="L110" s="35">
        <f t="shared" si="38"/>
        <v>0</v>
      </c>
      <c r="M110" s="53"/>
      <c r="N110" s="4"/>
    </row>
    <row r="111" spans="1:14" ht="24" customHeight="1">
      <c r="A111" s="41"/>
      <c r="B111" s="51"/>
      <c r="C111" s="51" t="s">
        <v>127</v>
      </c>
      <c r="D111" s="34" t="s">
        <v>347</v>
      </c>
      <c r="E111" s="33"/>
      <c r="F111" s="49" t="s">
        <v>75</v>
      </c>
      <c r="G111" s="35">
        <v>15000</v>
      </c>
      <c r="H111" s="35">
        <f t="shared" si="37"/>
        <v>0</v>
      </c>
      <c r="I111" s="35"/>
      <c r="J111" s="35">
        <f t="shared" si="39"/>
        <v>0</v>
      </c>
      <c r="K111" s="35">
        <f t="shared" si="38"/>
        <v>15000</v>
      </c>
      <c r="L111" s="35">
        <f t="shared" si="38"/>
        <v>0</v>
      </c>
      <c r="M111" s="53"/>
      <c r="N111" s="4"/>
    </row>
    <row r="112" spans="1:14" ht="24" customHeight="1">
      <c r="A112" s="41"/>
      <c r="B112" s="51" t="s">
        <v>128</v>
      </c>
      <c r="C112" s="51" t="s">
        <v>374</v>
      </c>
      <c r="D112" s="34" t="s">
        <v>382</v>
      </c>
      <c r="E112" s="50"/>
      <c r="F112" s="49" t="s">
        <v>59</v>
      </c>
      <c r="G112" s="35">
        <v>2700</v>
      </c>
      <c r="H112" s="35">
        <f t="shared" si="37"/>
        <v>0</v>
      </c>
      <c r="I112" s="35"/>
      <c r="J112" s="35">
        <f t="shared" si="39"/>
        <v>0</v>
      </c>
      <c r="K112" s="35">
        <f t="shared" si="38"/>
        <v>2700</v>
      </c>
      <c r="L112" s="35">
        <f t="shared" si="38"/>
        <v>0</v>
      </c>
      <c r="M112" s="53"/>
      <c r="N112" s="4"/>
    </row>
    <row r="113" spans="1:14" ht="24" customHeight="1">
      <c r="A113" s="41"/>
      <c r="B113" s="51" t="s">
        <v>130</v>
      </c>
      <c r="C113" s="51" t="s">
        <v>131</v>
      </c>
      <c r="D113" s="32"/>
      <c r="E113" s="33"/>
      <c r="F113" s="49" t="s">
        <v>75</v>
      </c>
      <c r="G113" s="35"/>
      <c r="H113" s="35">
        <f t="shared" si="37"/>
        <v>0</v>
      </c>
      <c r="I113" s="35"/>
      <c r="J113" s="35">
        <f t="shared" si="39"/>
        <v>0</v>
      </c>
      <c r="K113" s="35">
        <f t="shared" si="38"/>
        <v>0</v>
      </c>
      <c r="L113" s="35">
        <f t="shared" si="38"/>
        <v>0</v>
      </c>
      <c r="M113" s="53"/>
      <c r="N113" s="4"/>
    </row>
    <row r="114" spans="1:14" ht="24" customHeight="1">
      <c r="A114" s="41"/>
      <c r="B114" s="51" t="s">
        <v>132</v>
      </c>
      <c r="C114" s="51" t="s">
        <v>133</v>
      </c>
      <c r="D114" s="32"/>
      <c r="E114" s="50">
        <v>20</v>
      </c>
      <c r="F114" s="49" t="s">
        <v>59</v>
      </c>
      <c r="G114" s="35">
        <v>1700</v>
      </c>
      <c r="H114" s="35">
        <f t="shared" si="37"/>
        <v>34000</v>
      </c>
      <c r="I114" s="35"/>
      <c r="J114" s="35">
        <f t="shared" si="39"/>
        <v>0</v>
      </c>
      <c r="K114" s="35">
        <f t="shared" si="38"/>
        <v>1700</v>
      </c>
      <c r="L114" s="35">
        <f t="shared" si="38"/>
        <v>34000</v>
      </c>
      <c r="M114" s="53"/>
      <c r="N114" s="4"/>
    </row>
    <row r="115" spans="1:14" ht="24" customHeight="1">
      <c r="A115" s="41"/>
      <c r="B115" s="51" t="s">
        <v>380</v>
      </c>
      <c r="C115" s="51"/>
      <c r="D115" s="32"/>
      <c r="E115" s="50"/>
      <c r="F115" s="49" t="s">
        <v>75</v>
      </c>
      <c r="G115" s="35">
        <v>190000</v>
      </c>
      <c r="H115" s="35">
        <f t="shared" ref="H115" si="40">E115*G115</f>
        <v>0</v>
      </c>
      <c r="I115" s="35"/>
      <c r="J115" s="35">
        <f t="shared" ref="J115" si="41">E115*I115</f>
        <v>0</v>
      </c>
      <c r="K115" s="35">
        <f t="shared" ref="K115" si="42">G115+I115</f>
        <v>190000</v>
      </c>
      <c r="L115" s="35">
        <f t="shared" ref="L115" si="43">H115+J115</f>
        <v>0</v>
      </c>
      <c r="M115" s="53"/>
      <c r="N115" s="4"/>
    </row>
    <row r="116" spans="1:14" ht="24" customHeight="1">
      <c r="A116" s="41"/>
      <c r="B116" s="51" t="s">
        <v>134</v>
      </c>
      <c r="C116" s="51" t="s">
        <v>135</v>
      </c>
      <c r="D116" s="32"/>
      <c r="E116" s="50">
        <v>1</v>
      </c>
      <c r="F116" s="49" t="s">
        <v>43</v>
      </c>
      <c r="G116" s="35">
        <v>320000</v>
      </c>
      <c r="H116" s="35">
        <f t="shared" si="37"/>
        <v>320000</v>
      </c>
      <c r="I116" s="35"/>
      <c r="J116" s="35">
        <f t="shared" si="39"/>
        <v>0</v>
      </c>
      <c r="K116" s="35">
        <f t="shared" si="38"/>
        <v>320000</v>
      </c>
      <c r="L116" s="35">
        <f t="shared" si="38"/>
        <v>320000</v>
      </c>
      <c r="M116" s="53" t="s">
        <v>68</v>
      </c>
      <c r="N116" s="4"/>
    </row>
    <row r="117" spans="1:14" ht="24" customHeight="1">
      <c r="A117" s="41"/>
      <c r="B117" s="51" t="s">
        <v>279</v>
      </c>
      <c r="C117" s="51" t="s">
        <v>434</v>
      </c>
      <c r="D117" s="32"/>
      <c r="E117" s="50">
        <v>2</v>
      </c>
      <c r="F117" s="49" t="s">
        <v>43</v>
      </c>
      <c r="G117" s="35">
        <v>100000</v>
      </c>
      <c r="H117" s="35">
        <f t="shared" si="37"/>
        <v>200000</v>
      </c>
      <c r="I117" s="35"/>
      <c r="J117" s="35">
        <f t="shared" si="39"/>
        <v>0</v>
      </c>
      <c r="K117" s="35">
        <f t="shared" si="38"/>
        <v>100000</v>
      </c>
      <c r="L117" s="35">
        <f t="shared" si="38"/>
        <v>200000</v>
      </c>
      <c r="M117" s="53"/>
      <c r="N117" s="4"/>
    </row>
    <row r="118" spans="1:14" ht="24" customHeight="1">
      <c r="A118" s="41"/>
      <c r="B118" s="51" t="s">
        <v>136</v>
      </c>
      <c r="C118" s="51" t="s">
        <v>137</v>
      </c>
      <c r="D118" s="32"/>
      <c r="E118" s="50">
        <v>1</v>
      </c>
      <c r="F118" s="49" t="s">
        <v>43</v>
      </c>
      <c r="G118" s="35">
        <v>450000</v>
      </c>
      <c r="H118" s="35">
        <f t="shared" si="37"/>
        <v>450000</v>
      </c>
      <c r="I118" s="35"/>
      <c r="J118" s="35">
        <f t="shared" si="39"/>
        <v>0</v>
      </c>
      <c r="K118" s="35">
        <f t="shared" si="38"/>
        <v>450000</v>
      </c>
      <c r="L118" s="35">
        <f t="shared" si="38"/>
        <v>450000</v>
      </c>
      <c r="M118" s="53"/>
      <c r="N118" s="4"/>
    </row>
    <row r="119" spans="1:14" ht="24" customHeight="1">
      <c r="A119" s="41"/>
      <c r="B119" s="51" t="s">
        <v>138</v>
      </c>
      <c r="C119" s="51" t="s">
        <v>349</v>
      </c>
      <c r="D119" s="34"/>
      <c r="E119" s="33"/>
      <c r="F119" s="49" t="s">
        <v>75</v>
      </c>
      <c r="G119" s="35">
        <v>280000</v>
      </c>
      <c r="H119" s="35">
        <f t="shared" si="37"/>
        <v>0</v>
      </c>
      <c r="I119" s="35"/>
      <c r="J119" s="35">
        <f t="shared" si="39"/>
        <v>0</v>
      </c>
      <c r="K119" s="35">
        <f t="shared" si="38"/>
        <v>280000</v>
      </c>
      <c r="L119" s="35">
        <f t="shared" si="38"/>
        <v>0</v>
      </c>
      <c r="M119" s="53" t="s">
        <v>68</v>
      </c>
      <c r="N119" s="4"/>
    </row>
    <row r="120" spans="1:14" ht="24" customHeight="1">
      <c r="A120" s="120"/>
      <c r="B120" s="51" t="s">
        <v>139</v>
      </c>
      <c r="C120" s="51"/>
      <c r="D120" s="34"/>
      <c r="E120" s="33"/>
      <c r="F120" s="49" t="s">
        <v>75</v>
      </c>
      <c r="G120" s="35">
        <v>270000</v>
      </c>
      <c r="H120" s="35">
        <f t="shared" si="37"/>
        <v>0</v>
      </c>
      <c r="I120" s="35"/>
      <c r="J120" s="35">
        <f t="shared" si="39"/>
        <v>0</v>
      </c>
      <c r="K120" s="35">
        <f t="shared" si="38"/>
        <v>270000</v>
      </c>
      <c r="L120" s="35">
        <f t="shared" si="38"/>
        <v>0</v>
      </c>
      <c r="M120" s="128" t="s">
        <v>320</v>
      </c>
      <c r="N120" s="4"/>
    </row>
    <row r="121" spans="1:14" ht="24" customHeight="1">
      <c r="A121" s="41"/>
      <c r="B121" s="51" t="s">
        <v>141</v>
      </c>
      <c r="C121" s="51" t="s">
        <v>142</v>
      </c>
      <c r="D121" s="32"/>
      <c r="E121" s="33">
        <v>1</v>
      </c>
      <c r="F121" s="49" t="s">
        <v>96</v>
      </c>
      <c r="G121" s="35"/>
      <c r="H121" s="35">
        <f>E121*G121</f>
        <v>0</v>
      </c>
      <c r="I121" s="35"/>
      <c r="J121" s="35">
        <f t="shared" si="39"/>
        <v>0</v>
      </c>
      <c r="K121" s="35">
        <f t="shared" si="38"/>
        <v>0</v>
      </c>
      <c r="L121" s="35">
        <f t="shared" si="38"/>
        <v>0</v>
      </c>
      <c r="M121" s="53"/>
      <c r="N121" s="4"/>
    </row>
    <row r="122" spans="1:14" ht="24" customHeight="1">
      <c r="A122" s="41"/>
      <c r="B122" s="32" t="s">
        <v>143</v>
      </c>
      <c r="C122" s="51" t="s">
        <v>277</v>
      </c>
      <c r="D122" s="32"/>
      <c r="E122" s="33">
        <v>2</v>
      </c>
      <c r="F122" s="49" t="s">
        <v>103</v>
      </c>
      <c r="G122" s="35"/>
      <c r="H122" s="35">
        <f>E122*G122</f>
        <v>0</v>
      </c>
      <c r="I122" s="35">
        <v>330000</v>
      </c>
      <c r="J122" s="35">
        <f>E122*I122</f>
        <v>660000</v>
      </c>
      <c r="K122" s="35">
        <f>G122+I122</f>
        <v>330000</v>
      </c>
      <c r="L122" s="35">
        <f>H122+J122</f>
        <v>660000</v>
      </c>
      <c r="M122" s="36"/>
      <c r="N122" s="4"/>
    </row>
    <row r="123" spans="1:14" ht="24" customHeight="1">
      <c r="A123" s="41"/>
      <c r="B123" s="32"/>
      <c r="C123" s="51" t="s">
        <v>278</v>
      </c>
      <c r="D123" s="32"/>
      <c r="E123" s="33"/>
      <c r="F123" s="49" t="s">
        <v>103</v>
      </c>
      <c r="G123" s="35"/>
      <c r="H123" s="35">
        <f>E123*G123</f>
        <v>0</v>
      </c>
      <c r="I123" s="35">
        <v>240000</v>
      </c>
      <c r="J123" s="35">
        <f>E123*I123</f>
        <v>0</v>
      </c>
      <c r="K123" s="35">
        <f>G123+I123</f>
        <v>240000</v>
      </c>
      <c r="L123" s="35">
        <f>H123+J123</f>
        <v>0</v>
      </c>
      <c r="M123" s="36"/>
      <c r="N123" s="4"/>
    </row>
    <row r="124" spans="1:14" ht="24" customHeight="1">
      <c r="A124" s="41"/>
      <c r="B124" s="32" t="s">
        <v>100</v>
      </c>
      <c r="C124" s="32"/>
      <c r="D124" s="32"/>
      <c r="E124" s="50">
        <v>25</v>
      </c>
      <c r="F124" s="49" t="s">
        <v>13</v>
      </c>
      <c r="G124" s="35">
        <v>1300</v>
      </c>
      <c r="H124" s="35">
        <f t="shared" si="37"/>
        <v>32500</v>
      </c>
      <c r="I124" s="35"/>
      <c r="J124" s="35">
        <f t="shared" si="39"/>
        <v>0</v>
      </c>
      <c r="K124" s="35">
        <f t="shared" si="38"/>
        <v>1300</v>
      </c>
      <c r="L124" s="35">
        <f t="shared" si="38"/>
        <v>32500</v>
      </c>
      <c r="M124" s="36"/>
      <c r="N124" s="4"/>
    </row>
    <row r="125" spans="1:14" ht="24" customHeight="1">
      <c r="A125" s="41"/>
      <c r="B125" s="32"/>
      <c r="C125" s="32"/>
      <c r="D125" s="32"/>
      <c r="E125" s="33"/>
      <c r="F125" s="49"/>
      <c r="G125" s="35"/>
      <c r="H125" s="35"/>
      <c r="I125" s="35"/>
      <c r="J125" s="35"/>
      <c r="K125" s="35"/>
      <c r="L125" s="35"/>
      <c r="M125" s="36"/>
      <c r="N125" s="4"/>
    </row>
    <row r="126" spans="1:14" ht="24" customHeight="1">
      <c r="A126" s="41"/>
      <c r="B126" s="32" t="s">
        <v>49</v>
      </c>
      <c r="C126" s="32"/>
      <c r="D126" s="32"/>
      <c r="E126" s="33"/>
      <c r="F126" s="34"/>
      <c r="G126" s="35"/>
      <c r="H126" s="35">
        <f>SUM(H95:H125)</f>
        <v>1197500</v>
      </c>
      <c r="I126" s="35"/>
      <c r="J126" s="35">
        <f>SUM(J95:J125)</f>
        <v>660000</v>
      </c>
      <c r="K126" s="35"/>
      <c r="L126" s="35">
        <f>SUM(L95:L125)</f>
        <v>1857500</v>
      </c>
      <c r="M126" s="36"/>
      <c r="N126" s="4"/>
    </row>
    <row r="127" spans="1:14" ht="24" customHeight="1">
      <c r="A127" s="41"/>
      <c r="B127" s="55"/>
      <c r="C127" s="32"/>
      <c r="D127" s="32"/>
      <c r="E127" s="33"/>
      <c r="F127" s="34"/>
      <c r="G127" s="35"/>
      <c r="H127" s="35"/>
      <c r="I127" s="35"/>
      <c r="J127" s="35"/>
      <c r="K127" s="35"/>
      <c r="L127" s="35"/>
      <c r="M127" s="36"/>
      <c r="N127" s="4"/>
    </row>
    <row r="128" spans="1:14" s="10" customFormat="1" ht="24" customHeight="1">
      <c r="A128" s="66">
        <f>A8</f>
        <v>5</v>
      </c>
      <c r="B128" s="69" t="str">
        <f>B8</f>
        <v>도배 공사</v>
      </c>
      <c r="C128" s="149"/>
      <c r="D128" s="150"/>
      <c r="E128" s="150"/>
      <c r="F128" s="150"/>
      <c r="G128" s="150"/>
      <c r="H128" s="150"/>
      <c r="I128" s="150"/>
      <c r="J128" s="150"/>
      <c r="K128" s="150"/>
      <c r="L128" s="150"/>
      <c r="M128" s="151"/>
      <c r="N128" s="11"/>
    </row>
    <row r="129" spans="1:14" ht="24" customHeight="1">
      <c r="A129" s="41"/>
      <c r="B129" s="52" t="s">
        <v>144</v>
      </c>
      <c r="C129" s="51" t="s">
        <v>145</v>
      </c>
      <c r="D129" s="34" t="s">
        <v>457</v>
      </c>
      <c r="E129" s="50">
        <v>114.54</v>
      </c>
      <c r="F129" s="49" t="s">
        <v>13</v>
      </c>
      <c r="G129" s="35">
        <v>3800</v>
      </c>
      <c r="H129" s="35">
        <f>E129*G129</f>
        <v>435252</v>
      </c>
      <c r="I129" s="35"/>
      <c r="J129" s="35">
        <f>E129*I129</f>
        <v>0</v>
      </c>
      <c r="K129" s="35">
        <f t="shared" ref="K129:L131" si="44">G129+I129</f>
        <v>3800</v>
      </c>
      <c r="L129" s="35">
        <f t="shared" si="44"/>
        <v>435252</v>
      </c>
      <c r="M129" s="53"/>
      <c r="N129" s="4"/>
    </row>
    <row r="130" spans="1:14" ht="24" customHeight="1">
      <c r="A130" s="41"/>
      <c r="B130" s="52"/>
      <c r="C130" s="51" t="s">
        <v>146</v>
      </c>
      <c r="D130" s="34" t="s">
        <v>458</v>
      </c>
      <c r="E130" s="50">
        <v>121.25</v>
      </c>
      <c r="F130" s="49" t="s">
        <v>13</v>
      </c>
      <c r="G130" s="35">
        <v>3800</v>
      </c>
      <c r="H130" s="35">
        <f>E130*G130</f>
        <v>460750</v>
      </c>
      <c r="I130" s="35"/>
      <c r="J130" s="35">
        <f>E130*I130</f>
        <v>0</v>
      </c>
      <c r="K130" s="35">
        <f t="shared" si="44"/>
        <v>3800</v>
      </c>
      <c r="L130" s="35">
        <f t="shared" si="44"/>
        <v>460750</v>
      </c>
      <c r="M130" s="53"/>
      <c r="N130" s="4"/>
    </row>
    <row r="131" spans="1:14" ht="24" customHeight="1">
      <c r="A131" s="41"/>
      <c r="B131" s="32"/>
      <c r="C131" s="32" t="s">
        <v>100</v>
      </c>
      <c r="D131" s="34" t="s">
        <v>457</v>
      </c>
      <c r="E131" s="33">
        <f>SUM(E129:E130)</f>
        <v>235.79000000000002</v>
      </c>
      <c r="F131" s="49" t="s">
        <v>13</v>
      </c>
      <c r="G131" s="35">
        <v>1500</v>
      </c>
      <c r="H131" s="35">
        <f>E131*G131</f>
        <v>353685.00000000006</v>
      </c>
      <c r="I131" s="35"/>
      <c r="J131" s="35"/>
      <c r="K131" s="35">
        <f t="shared" si="44"/>
        <v>1500</v>
      </c>
      <c r="L131" s="35">
        <f t="shared" si="44"/>
        <v>353685.00000000006</v>
      </c>
      <c r="M131" s="36"/>
      <c r="N131" s="4"/>
    </row>
    <row r="132" spans="1:14" ht="24" customHeight="1">
      <c r="A132" s="41"/>
      <c r="B132" s="32" t="s">
        <v>358</v>
      </c>
      <c r="C132" s="51"/>
      <c r="D132" s="32"/>
      <c r="E132" s="33"/>
      <c r="F132" s="49" t="s">
        <v>89</v>
      </c>
      <c r="G132" s="35">
        <v>120000</v>
      </c>
      <c r="H132" s="35">
        <f>E132*G132</f>
        <v>0</v>
      </c>
      <c r="I132" s="35">
        <v>130000</v>
      </c>
      <c r="J132" s="35">
        <f>E132*I132</f>
        <v>0</v>
      </c>
      <c r="K132" s="35">
        <f>G132+I132</f>
        <v>250000</v>
      </c>
      <c r="L132" s="35">
        <f>H132+J132</f>
        <v>0</v>
      </c>
      <c r="M132" s="36"/>
      <c r="N132" s="4"/>
    </row>
    <row r="133" spans="1:14" ht="24" customHeight="1">
      <c r="A133" s="41"/>
      <c r="B133" s="32" t="s">
        <v>143</v>
      </c>
      <c r="C133" s="51"/>
      <c r="D133" s="32"/>
      <c r="E133" s="33">
        <v>9</v>
      </c>
      <c r="F133" s="49" t="s">
        <v>103</v>
      </c>
      <c r="G133" s="35"/>
      <c r="H133" s="35">
        <f>E133*G133</f>
        <v>0</v>
      </c>
      <c r="I133" s="35">
        <v>280000</v>
      </c>
      <c r="J133" s="35">
        <f>E133*I133</f>
        <v>2520000</v>
      </c>
      <c r="K133" s="35">
        <f>G133+I133</f>
        <v>280000</v>
      </c>
      <c r="L133" s="35">
        <f>H133+J133</f>
        <v>2520000</v>
      </c>
      <c r="M133" s="54"/>
      <c r="N133" s="4"/>
    </row>
    <row r="134" spans="1:14" ht="24" customHeight="1">
      <c r="A134" s="41"/>
      <c r="B134" s="32"/>
      <c r="C134" s="32"/>
      <c r="D134" s="32"/>
      <c r="E134" s="33"/>
      <c r="F134" s="49"/>
      <c r="G134" s="35"/>
      <c r="H134" s="35"/>
      <c r="I134" s="35"/>
      <c r="J134" s="35"/>
      <c r="K134" s="35"/>
      <c r="L134" s="35"/>
      <c r="M134" s="36"/>
      <c r="N134" s="4"/>
    </row>
    <row r="135" spans="1:14" ht="24" customHeight="1">
      <c r="A135" s="41"/>
      <c r="B135" s="32" t="s">
        <v>49</v>
      </c>
      <c r="C135" s="32"/>
      <c r="D135" s="32"/>
      <c r="E135" s="33"/>
      <c r="F135" s="34"/>
      <c r="G135" s="35"/>
      <c r="H135" s="35">
        <f>SUM(H129:H134)</f>
        <v>1249687</v>
      </c>
      <c r="I135" s="35"/>
      <c r="J135" s="35">
        <f>SUM(J129:J134)</f>
        <v>2520000</v>
      </c>
      <c r="K135" s="35"/>
      <c r="L135" s="35">
        <f>SUM(L129:L134)</f>
        <v>3769687</v>
      </c>
      <c r="M135" s="36"/>
      <c r="N135" s="4"/>
    </row>
    <row r="136" spans="1:14" ht="24" customHeight="1">
      <c r="A136" s="41"/>
      <c r="B136" s="64" t="s">
        <v>462</v>
      </c>
      <c r="C136" s="32"/>
      <c r="D136" s="32"/>
      <c r="E136" s="33"/>
      <c r="F136" s="34"/>
      <c r="G136" s="35"/>
      <c r="H136" s="35"/>
      <c r="I136" s="35"/>
      <c r="J136" s="35"/>
      <c r="K136" s="35"/>
      <c r="L136" s="35"/>
      <c r="M136" s="36"/>
      <c r="N136" s="4"/>
    </row>
    <row r="137" spans="1:14" ht="24" customHeight="1">
      <c r="A137" s="66">
        <f>A9</f>
        <v>6</v>
      </c>
      <c r="B137" s="67" t="str">
        <f>B9</f>
        <v>타일 공사</v>
      </c>
      <c r="C137" s="149" t="s">
        <v>147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1"/>
      <c r="N137" s="4"/>
    </row>
    <row r="138" spans="1:14" ht="24" customHeight="1">
      <c r="A138" s="41"/>
      <c r="B138" s="56" t="s">
        <v>148</v>
      </c>
      <c r="C138" s="51" t="s">
        <v>149</v>
      </c>
      <c r="D138" s="34" t="s">
        <v>150</v>
      </c>
      <c r="E138" s="33"/>
      <c r="F138" s="49" t="s">
        <v>13</v>
      </c>
      <c r="G138" s="35">
        <v>20000</v>
      </c>
      <c r="H138" s="35">
        <f>E138*G138</f>
        <v>0</v>
      </c>
      <c r="I138" s="35"/>
      <c r="J138" s="35">
        <f t="shared" ref="J138:J149" si="45">E138*I138</f>
        <v>0</v>
      </c>
      <c r="K138" s="35">
        <f t="shared" ref="K138:L149" si="46">G138+I138</f>
        <v>20000</v>
      </c>
      <c r="L138" s="35">
        <f t="shared" si="46"/>
        <v>0</v>
      </c>
      <c r="M138" s="36"/>
      <c r="N138" s="4"/>
    </row>
    <row r="139" spans="1:14" ht="24" customHeight="1">
      <c r="A139" s="41"/>
      <c r="B139" s="56" t="s">
        <v>151</v>
      </c>
      <c r="C139" s="51" t="s">
        <v>152</v>
      </c>
      <c r="D139" s="34" t="s">
        <v>150</v>
      </c>
      <c r="E139" s="33"/>
      <c r="F139" s="49" t="s">
        <v>13</v>
      </c>
      <c r="G139" s="35">
        <v>22000</v>
      </c>
      <c r="H139" s="35">
        <f>E139*G139</f>
        <v>0</v>
      </c>
      <c r="I139" s="35"/>
      <c r="J139" s="35">
        <f t="shared" si="45"/>
        <v>0</v>
      </c>
      <c r="K139" s="35">
        <f t="shared" si="46"/>
        <v>22000</v>
      </c>
      <c r="L139" s="35">
        <f t="shared" si="46"/>
        <v>0</v>
      </c>
      <c r="M139" s="36"/>
      <c r="N139" s="4"/>
    </row>
    <row r="140" spans="1:14" ht="24" customHeight="1">
      <c r="A140" s="41"/>
      <c r="B140" s="56" t="s">
        <v>153</v>
      </c>
      <c r="C140" s="51" t="s">
        <v>149</v>
      </c>
      <c r="D140" s="34" t="s">
        <v>150</v>
      </c>
      <c r="E140" s="33"/>
      <c r="F140" s="49" t="s">
        <v>13</v>
      </c>
      <c r="G140" s="35">
        <v>22000</v>
      </c>
      <c r="H140" s="35">
        <f>E140*G140</f>
        <v>0</v>
      </c>
      <c r="I140" s="35"/>
      <c r="J140" s="35">
        <f t="shared" si="45"/>
        <v>0</v>
      </c>
      <c r="K140" s="35">
        <f t="shared" si="46"/>
        <v>22000</v>
      </c>
      <c r="L140" s="35">
        <f t="shared" si="46"/>
        <v>0</v>
      </c>
      <c r="M140" s="36"/>
      <c r="N140" s="4"/>
    </row>
    <row r="141" spans="1:14" ht="24" customHeight="1">
      <c r="A141" s="41"/>
      <c r="B141" s="56" t="s">
        <v>154</v>
      </c>
      <c r="C141" s="51" t="s">
        <v>149</v>
      </c>
      <c r="D141" s="34" t="s">
        <v>150</v>
      </c>
      <c r="E141" s="33"/>
      <c r="F141" s="49" t="s">
        <v>13</v>
      </c>
      <c r="G141" s="35">
        <v>22000</v>
      </c>
      <c r="H141" s="35">
        <f>E141*G141</f>
        <v>0</v>
      </c>
      <c r="I141" s="35"/>
      <c r="J141" s="35">
        <f t="shared" si="45"/>
        <v>0</v>
      </c>
      <c r="K141" s="35">
        <f t="shared" si="46"/>
        <v>22000</v>
      </c>
      <c r="L141" s="35">
        <f t="shared" si="46"/>
        <v>0</v>
      </c>
      <c r="M141" s="36"/>
      <c r="N141" s="4"/>
    </row>
    <row r="142" spans="1:14" ht="24" customHeight="1">
      <c r="A142" s="41"/>
      <c r="B142" s="56" t="s">
        <v>155</v>
      </c>
      <c r="C142" s="51" t="s">
        <v>149</v>
      </c>
      <c r="D142" s="34" t="s">
        <v>150</v>
      </c>
      <c r="E142" s="33"/>
      <c r="F142" s="49" t="s">
        <v>13</v>
      </c>
      <c r="G142" s="57">
        <v>22000</v>
      </c>
      <c r="H142" s="35">
        <f t="shared" ref="H142:H149" si="47">E142*G142</f>
        <v>0</v>
      </c>
      <c r="I142" s="35"/>
      <c r="J142" s="35">
        <f t="shared" si="45"/>
        <v>0</v>
      </c>
      <c r="K142" s="35">
        <f t="shared" si="46"/>
        <v>22000</v>
      </c>
      <c r="L142" s="35">
        <f t="shared" si="46"/>
        <v>0</v>
      </c>
      <c r="M142" s="36"/>
      <c r="N142" s="4"/>
    </row>
    <row r="143" spans="1:14" ht="24" customHeight="1">
      <c r="A143" s="41"/>
      <c r="B143" s="56" t="s">
        <v>156</v>
      </c>
      <c r="C143" s="51" t="s">
        <v>149</v>
      </c>
      <c r="D143" s="34" t="s">
        <v>150</v>
      </c>
      <c r="E143" s="33"/>
      <c r="F143" s="49" t="s">
        <v>13</v>
      </c>
      <c r="G143" s="57">
        <v>22000</v>
      </c>
      <c r="H143" s="35">
        <f t="shared" si="47"/>
        <v>0</v>
      </c>
      <c r="I143" s="35"/>
      <c r="J143" s="35">
        <f t="shared" si="45"/>
        <v>0</v>
      </c>
      <c r="K143" s="35">
        <f t="shared" si="46"/>
        <v>22000</v>
      </c>
      <c r="L143" s="35">
        <f t="shared" si="46"/>
        <v>0</v>
      </c>
      <c r="M143" s="36"/>
      <c r="N143" s="4"/>
    </row>
    <row r="144" spans="1:14" ht="24" customHeight="1">
      <c r="A144" s="41"/>
      <c r="B144" s="56" t="s">
        <v>157</v>
      </c>
      <c r="C144" s="51" t="s">
        <v>435</v>
      </c>
      <c r="D144" s="34" t="s">
        <v>150</v>
      </c>
      <c r="E144" s="33">
        <v>12</v>
      </c>
      <c r="F144" s="49" t="s">
        <v>13</v>
      </c>
      <c r="G144" s="57">
        <v>20000</v>
      </c>
      <c r="H144" s="35">
        <f t="shared" si="47"/>
        <v>240000</v>
      </c>
      <c r="I144" s="35"/>
      <c r="J144" s="35">
        <f t="shared" si="45"/>
        <v>0</v>
      </c>
      <c r="K144" s="35">
        <f t="shared" si="46"/>
        <v>20000</v>
      </c>
      <c r="L144" s="35">
        <f t="shared" si="46"/>
        <v>240000</v>
      </c>
      <c r="M144" s="36"/>
      <c r="N144" s="4"/>
    </row>
    <row r="145" spans="1:14" ht="24" customHeight="1">
      <c r="A145" s="41"/>
      <c r="B145" s="56" t="s">
        <v>158</v>
      </c>
      <c r="C145" s="58" t="s">
        <v>338</v>
      </c>
      <c r="D145" s="34"/>
      <c r="E145" s="33">
        <v>1</v>
      </c>
      <c r="F145" s="49" t="s">
        <v>43</v>
      </c>
      <c r="G145" s="57">
        <v>100000</v>
      </c>
      <c r="H145" s="35">
        <f t="shared" si="47"/>
        <v>100000</v>
      </c>
      <c r="I145" s="35"/>
      <c r="J145" s="35">
        <f t="shared" si="45"/>
        <v>0</v>
      </c>
      <c r="K145" s="35">
        <f t="shared" si="46"/>
        <v>100000</v>
      </c>
      <c r="L145" s="35">
        <f t="shared" si="46"/>
        <v>100000</v>
      </c>
      <c r="M145" s="36"/>
      <c r="N145" s="4"/>
    </row>
    <row r="146" spans="1:14" ht="24" customHeight="1">
      <c r="A146" s="41"/>
      <c r="B146" s="56" t="s">
        <v>363</v>
      </c>
      <c r="C146" s="58" t="s">
        <v>339</v>
      </c>
      <c r="D146" s="34"/>
      <c r="E146" s="33"/>
      <c r="F146" s="49" t="s">
        <v>43</v>
      </c>
      <c r="G146" s="57">
        <v>150000</v>
      </c>
      <c r="H146" s="35">
        <f t="shared" si="47"/>
        <v>0</v>
      </c>
      <c r="I146" s="35"/>
      <c r="J146" s="35">
        <f t="shared" si="45"/>
        <v>0</v>
      </c>
      <c r="K146" s="35">
        <f t="shared" si="46"/>
        <v>150000</v>
      </c>
      <c r="L146" s="35">
        <f t="shared" si="46"/>
        <v>0</v>
      </c>
      <c r="M146" s="36"/>
      <c r="N146" s="4"/>
    </row>
    <row r="147" spans="1:14" ht="24" customHeight="1">
      <c r="A147" s="41"/>
      <c r="B147" s="56" t="s">
        <v>159</v>
      </c>
      <c r="C147" s="58"/>
      <c r="D147" s="34"/>
      <c r="E147" s="33">
        <v>1</v>
      </c>
      <c r="F147" s="49" t="s">
        <v>71</v>
      </c>
      <c r="G147" s="57">
        <v>50000</v>
      </c>
      <c r="H147" s="35">
        <f t="shared" si="47"/>
        <v>50000</v>
      </c>
      <c r="I147" s="35"/>
      <c r="J147" s="35">
        <f t="shared" si="45"/>
        <v>0</v>
      </c>
      <c r="K147" s="35">
        <f t="shared" si="46"/>
        <v>50000</v>
      </c>
      <c r="L147" s="35">
        <f t="shared" si="46"/>
        <v>50000</v>
      </c>
      <c r="M147" s="36"/>
      <c r="N147" s="4"/>
    </row>
    <row r="148" spans="1:14" ht="24" customHeight="1">
      <c r="A148" s="41"/>
      <c r="B148" s="56" t="s">
        <v>160</v>
      </c>
      <c r="C148" s="58" t="s">
        <v>278</v>
      </c>
      <c r="D148" s="34"/>
      <c r="E148" s="33">
        <v>1</v>
      </c>
      <c r="F148" s="49" t="s">
        <v>103</v>
      </c>
      <c r="G148" s="57"/>
      <c r="H148" s="35">
        <f t="shared" si="47"/>
        <v>0</v>
      </c>
      <c r="I148" s="35">
        <v>350000</v>
      </c>
      <c r="J148" s="35">
        <f t="shared" si="45"/>
        <v>350000</v>
      </c>
      <c r="K148" s="35">
        <f t="shared" si="46"/>
        <v>350000</v>
      </c>
      <c r="L148" s="35">
        <f t="shared" si="46"/>
        <v>350000</v>
      </c>
      <c r="M148" s="36"/>
      <c r="N148" s="4"/>
    </row>
    <row r="149" spans="1:14" ht="24" customHeight="1">
      <c r="A149" s="41"/>
      <c r="B149" s="56"/>
      <c r="C149" s="58" t="s">
        <v>282</v>
      </c>
      <c r="D149" s="34"/>
      <c r="E149" s="33"/>
      <c r="F149" s="49" t="s">
        <v>103</v>
      </c>
      <c r="G149" s="57"/>
      <c r="H149" s="35">
        <f t="shared" si="47"/>
        <v>0</v>
      </c>
      <c r="I149" s="35">
        <v>220000</v>
      </c>
      <c r="J149" s="35">
        <f t="shared" si="45"/>
        <v>0</v>
      </c>
      <c r="K149" s="35">
        <f t="shared" si="46"/>
        <v>220000</v>
      </c>
      <c r="L149" s="35">
        <f t="shared" si="46"/>
        <v>0</v>
      </c>
      <c r="M149" s="36"/>
      <c r="N149" s="4"/>
    </row>
    <row r="150" spans="1:14" ht="24" customHeight="1">
      <c r="A150" s="41"/>
      <c r="B150" s="32"/>
      <c r="C150" s="32"/>
      <c r="D150" s="32"/>
      <c r="E150" s="33"/>
      <c r="F150" s="34"/>
      <c r="G150" s="35"/>
      <c r="H150" s="35"/>
      <c r="I150" s="35"/>
      <c r="J150" s="35"/>
      <c r="K150" s="35"/>
      <c r="L150" s="35"/>
      <c r="M150" s="36"/>
      <c r="N150" s="4"/>
    </row>
    <row r="151" spans="1:14" ht="24" customHeight="1">
      <c r="A151" s="41"/>
      <c r="B151" s="32" t="s">
        <v>49</v>
      </c>
      <c r="C151" s="32"/>
      <c r="D151" s="32"/>
      <c r="E151" s="33"/>
      <c r="F151" s="34"/>
      <c r="G151" s="35"/>
      <c r="H151" s="35">
        <f>SUM(H138:H150)</f>
        <v>390000</v>
      </c>
      <c r="I151" s="35"/>
      <c r="J151" s="35">
        <f>SUM(J138:J150)</f>
        <v>350000</v>
      </c>
      <c r="K151" s="35"/>
      <c r="L151" s="35">
        <f>SUM(L138:L150)</f>
        <v>740000</v>
      </c>
      <c r="M151" s="36"/>
      <c r="N151" s="4"/>
    </row>
    <row r="152" spans="1:14" ht="24" customHeight="1">
      <c r="A152" s="41"/>
      <c r="B152" s="64"/>
      <c r="C152" s="32"/>
      <c r="D152" s="32"/>
      <c r="E152" s="33"/>
      <c r="F152" s="34"/>
      <c r="G152" s="35"/>
      <c r="H152" s="35"/>
      <c r="I152" s="35"/>
      <c r="J152" s="35"/>
      <c r="K152" s="35"/>
      <c r="L152" s="35"/>
      <c r="M152" s="36"/>
      <c r="N152" s="4"/>
    </row>
    <row r="153" spans="1:14" ht="24" customHeight="1">
      <c r="A153" s="66">
        <f>A10</f>
        <v>7</v>
      </c>
      <c r="B153" s="67" t="str">
        <f>B10</f>
        <v>욕실 공사</v>
      </c>
      <c r="C153" s="149"/>
      <c r="D153" s="150"/>
      <c r="E153" s="150"/>
      <c r="F153" s="150"/>
      <c r="G153" s="150"/>
      <c r="H153" s="150"/>
      <c r="I153" s="150"/>
      <c r="J153" s="150"/>
      <c r="K153" s="150"/>
      <c r="L153" s="150"/>
      <c r="M153" s="151"/>
      <c r="N153" s="4"/>
    </row>
    <row r="154" spans="1:14" ht="24" hidden="1" customHeight="1">
      <c r="A154" s="41"/>
      <c r="B154" s="52" t="s">
        <v>161</v>
      </c>
      <c r="C154" s="51" t="s">
        <v>375</v>
      </c>
      <c r="D154" s="34" t="s">
        <v>290</v>
      </c>
      <c r="E154" s="59"/>
      <c r="F154" s="49" t="s">
        <v>75</v>
      </c>
      <c r="G154" s="56">
        <v>220000</v>
      </c>
      <c r="H154" s="35">
        <f>E154*G154</f>
        <v>0</v>
      </c>
      <c r="I154" s="35"/>
      <c r="J154" s="35">
        <f t="shared" ref="J154:J182" si="48">E154*I154</f>
        <v>0</v>
      </c>
      <c r="K154" s="35">
        <f>G154+I154</f>
        <v>220000</v>
      </c>
      <c r="L154" s="35">
        <f>H154+J154</f>
        <v>0</v>
      </c>
      <c r="M154" s="53"/>
      <c r="N154" s="4"/>
    </row>
    <row r="155" spans="1:14" ht="24" hidden="1" customHeight="1">
      <c r="A155" s="41"/>
      <c r="B155" s="52" t="s">
        <v>162</v>
      </c>
      <c r="C155" s="60" t="s">
        <v>383</v>
      </c>
      <c r="D155" s="34" t="s">
        <v>290</v>
      </c>
      <c r="E155" s="59"/>
      <c r="F155" s="49" t="s">
        <v>75</v>
      </c>
      <c r="G155" s="56">
        <v>205000</v>
      </c>
      <c r="H155" s="35">
        <f t="shared" ref="H155:H182" si="49">E155*G155</f>
        <v>0</v>
      </c>
      <c r="I155" s="35"/>
      <c r="J155" s="35">
        <f t="shared" si="48"/>
        <v>0</v>
      </c>
      <c r="K155" s="35">
        <f t="shared" ref="K155:L181" si="50">G155+I155</f>
        <v>205000</v>
      </c>
      <c r="L155" s="35">
        <f t="shared" si="50"/>
        <v>0</v>
      </c>
      <c r="M155" s="53"/>
      <c r="N155" s="4"/>
    </row>
    <row r="156" spans="1:14" ht="24" hidden="1" customHeight="1">
      <c r="A156" s="41"/>
      <c r="B156" s="52"/>
      <c r="C156" s="60" t="s">
        <v>163</v>
      </c>
      <c r="D156" s="34"/>
      <c r="E156" s="59"/>
      <c r="F156" s="49" t="s">
        <v>75</v>
      </c>
      <c r="G156" s="56">
        <v>650000</v>
      </c>
      <c r="H156" s="35">
        <f t="shared" si="49"/>
        <v>0</v>
      </c>
      <c r="I156" s="35"/>
      <c r="J156" s="35">
        <f t="shared" si="48"/>
        <v>0</v>
      </c>
      <c r="K156" s="35">
        <f t="shared" si="50"/>
        <v>650000</v>
      </c>
      <c r="L156" s="35">
        <f t="shared" si="50"/>
        <v>0</v>
      </c>
      <c r="M156" s="53"/>
      <c r="N156" s="4"/>
    </row>
    <row r="157" spans="1:14" ht="24" hidden="1" customHeight="1">
      <c r="A157" s="41"/>
      <c r="B157" s="52" t="s">
        <v>164</v>
      </c>
      <c r="C157" s="60" t="s">
        <v>289</v>
      </c>
      <c r="D157" s="34" t="s">
        <v>290</v>
      </c>
      <c r="E157" s="59"/>
      <c r="F157" s="49" t="s">
        <v>75</v>
      </c>
      <c r="G157" s="56">
        <v>58000</v>
      </c>
      <c r="H157" s="35">
        <f t="shared" si="49"/>
        <v>0</v>
      </c>
      <c r="I157" s="35"/>
      <c r="J157" s="35">
        <f t="shared" si="48"/>
        <v>0</v>
      </c>
      <c r="K157" s="35">
        <f t="shared" si="50"/>
        <v>58000</v>
      </c>
      <c r="L157" s="35">
        <f t="shared" si="50"/>
        <v>0</v>
      </c>
      <c r="M157" s="53"/>
      <c r="N157" s="4"/>
    </row>
    <row r="158" spans="1:14" ht="24" hidden="1" customHeight="1">
      <c r="A158" s="41"/>
      <c r="B158" s="52"/>
      <c r="C158" s="60" t="s">
        <v>291</v>
      </c>
      <c r="D158" s="34"/>
      <c r="E158" s="59"/>
      <c r="F158" s="49" t="s">
        <v>75</v>
      </c>
      <c r="G158" s="56">
        <v>85000</v>
      </c>
      <c r="H158" s="35">
        <f t="shared" si="49"/>
        <v>0</v>
      </c>
      <c r="I158" s="35"/>
      <c r="J158" s="35">
        <f t="shared" si="48"/>
        <v>0</v>
      </c>
      <c r="K158" s="35">
        <f t="shared" si="50"/>
        <v>85000</v>
      </c>
      <c r="L158" s="35">
        <f t="shared" si="50"/>
        <v>0</v>
      </c>
      <c r="M158" s="53"/>
      <c r="N158" s="4"/>
    </row>
    <row r="159" spans="1:14" ht="24" hidden="1" customHeight="1">
      <c r="A159" s="41"/>
      <c r="B159" s="52" t="s">
        <v>165</v>
      </c>
      <c r="C159" s="60" t="s">
        <v>378</v>
      </c>
      <c r="D159" s="34" t="s">
        <v>290</v>
      </c>
      <c r="E159" s="59"/>
      <c r="F159" s="49" t="s">
        <v>75</v>
      </c>
      <c r="G159" s="56">
        <v>98000</v>
      </c>
      <c r="H159" s="35">
        <f t="shared" si="49"/>
        <v>0</v>
      </c>
      <c r="I159" s="35"/>
      <c r="J159" s="35">
        <f t="shared" si="48"/>
        <v>0</v>
      </c>
      <c r="K159" s="35">
        <f t="shared" si="50"/>
        <v>98000</v>
      </c>
      <c r="L159" s="35">
        <f t="shared" si="50"/>
        <v>0</v>
      </c>
      <c r="M159" s="53"/>
      <c r="N159" s="4"/>
    </row>
    <row r="160" spans="1:14" ht="24" hidden="1" customHeight="1">
      <c r="A160" s="41"/>
      <c r="B160" s="52" t="s">
        <v>166</v>
      </c>
      <c r="C160" s="60" t="s">
        <v>293</v>
      </c>
      <c r="D160" s="34"/>
      <c r="E160" s="59"/>
      <c r="F160" s="49" t="s">
        <v>75</v>
      </c>
      <c r="G160" s="56">
        <v>204500</v>
      </c>
      <c r="H160" s="35">
        <f t="shared" si="49"/>
        <v>0</v>
      </c>
      <c r="I160" s="35"/>
      <c r="J160" s="35">
        <f t="shared" si="48"/>
        <v>0</v>
      </c>
      <c r="K160" s="35">
        <f t="shared" si="50"/>
        <v>204500</v>
      </c>
      <c r="L160" s="35">
        <f t="shared" si="50"/>
        <v>0</v>
      </c>
      <c r="M160" s="53"/>
      <c r="N160" s="4"/>
    </row>
    <row r="161" spans="1:14" ht="24" hidden="1" customHeight="1">
      <c r="A161" s="41"/>
      <c r="B161" s="52" t="s">
        <v>167</v>
      </c>
      <c r="C161" s="60" t="s">
        <v>444</v>
      </c>
      <c r="D161" s="34" t="s">
        <v>290</v>
      </c>
      <c r="E161" s="59"/>
      <c r="F161" s="49" t="s">
        <v>75</v>
      </c>
      <c r="G161" s="56">
        <v>45000</v>
      </c>
      <c r="H161" s="35">
        <f t="shared" si="49"/>
        <v>0</v>
      </c>
      <c r="I161" s="35"/>
      <c r="J161" s="35">
        <f t="shared" si="48"/>
        <v>0</v>
      </c>
      <c r="K161" s="35">
        <f t="shared" si="50"/>
        <v>45000</v>
      </c>
      <c r="L161" s="35">
        <f t="shared" si="50"/>
        <v>0</v>
      </c>
      <c r="M161" s="53"/>
      <c r="N161" s="4"/>
    </row>
    <row r="162" spans="1:14" ht="24" hidden="1" customHeight="1">
      <c r="A162" s="41"/>
      <c r="B162" s="52" t="s">
        <v>169</v>
      </c>
      <c r="C162" s="60" t="s">
        <v>376</v>
      </c>
      <c r="D162" s="34"/>
      <c r="E162" s="59"/>
      <c r="F162" s="49" t="s">
        <v>75</v>
      </c>
      <c r="G162" s="56">
        <v>290000</v>
      </c>
      <c r="H162" s="35">
        <f t="shared" si="49"/>
        <v>0</v>
      </c>
      <c r="I162" s="35"/>
      <c r="J162" s="35">
        <f t="shared" si="48"/>
        <v>0</v>
      </c>
      <c r="K162" s="35">
        <f t="shared" si="50"/>
        <v>290000</v>
      </c>
      <c r="L162" s="35">
        <f t="shared" si="50"/>
        <v>0</v>
      </c>
      <c r="M162" s="53"/>
      <c r="N162" s="4"/>
    </row>
    <row r="163" spans="1:14" ht="24" hidden="1" customHeight="1">
      <c r="A163" s="41"/>
      <c r="B163" s="52"/>
      <c r="C163" s="60" t="s">
        <v>426</v>
      </c>
      <c r="D163" s="34"/>
      <c r="E163" s="59"/>
      <c r="F163" s="49" t="s">
        <v>75</v>
      </c>
      <c r="G163" s="56">
        <v>295000</v>
      </c>
      <c r="H163" s="35">
        <f t="shared" ref="H163" si="51">E163*G163</f>
        <v>0</v>
      </c>
      <c r="I163" s="35"/>
      <c r="J163" s="35">
        <f t="shared" ref="J163" si="52">E163*I163</f>
        <v>0</v>
      </c>
      <c r="K163" s="35">
        <f t="shared" ref="K163" si="53">G163+I163</f>
        <v>295000</v>
      </c>
      <c r="L163" s="35">
        <f t="shared" ref="L163" si="54">H163+J163</f>
        <v>0</v>
      </c>
      <c r="M163" s="53"/>
      <c r="N163" s="4"/>
    </row>
    <row r="164" spans="1:14" ht="24" hidden="1" customHeight="1">
      <c r="A164" s="41"/>
      <c r="B164" s="52"/>
      <c r="C164" s="60" t="s">
        <v>171</v>
      </c>
      <c r="D164" s="34"/>
      <c r="E164" s="59"/>
      <c r="F164" s="49" t="s">
        <v>75</v>
      </c>
      <c r="G164" s="56">
        <v>295000</v>
      </c>
      <c r="H164" s="35">
        <f t="shared" si="49"/>
        <v>0</v>
      </c>
      <c r="I164" s="35"/>
      <c r="J164" s="35">
        <f t="shared" si="48"/>
        <v>0</v>
      </c>
      <c r="K164" s="35">
        <f t="shared" si="50"/>
        <v>295000</v>
      </c>
      <c r="L164" s="35">
        <f t="shared" si="50"/>
        <v>0</v>
      </c>
      <c r="M164" s="53"/>
      <c r="N164" s="4"/>
    </row>
    <row r="165" spans="1:14" ht="24" hidden="1" customHeight="1">
      <c r="A165" s="41"/>
      <c r="B165" s="52"/>
      <c r="C165" s="60" t="s">
        <v>172</v>
      </c>
      <c r="D165" s="34"/>
      <c r="E165" s="59"/>
      <c r="F165" s="49" t="s">
        <v>75</v>
      </c>
      <c r="G165" s="56">
        <v>295000</v>
      </c>
      <c r="H165" s="35">
        <f t="shared" si="49"/>
        <v>0</v>
      </c>
      <c r="I165" s="35"/>
      <c r="J165" s="35">
        <f t="shared" si="48"/>
        <v>0</v>
      </c>
      <c r="K165" s="35">
        <f t="shared" si="50"/>
        <v>295000</v>
      </c>
      <c r="L165" s="35">
        <f t="shared" si="50"/>
        <v>0</v>
      </c>
      <c r="M165" s="53"/>
      <c r="N165" s="4"/>
    </row>
    <row r="166" spans="1:14" ht="24" hidden="1" customHeight="1">
      <c r="A166" s="41"/>
      <c r="B166" s="52" t="s">
        <v>173</v>
      </c>
      <c r="C166" s="51" t="s">
        <v>174</v>
      </c>
      <c r="D166" s="34"/>
      <c r="E166" s="59"/>
      <c r="F166" s="49" t="s">
        <v>75</v>
      </c>
      <c r="G166" s="56">
        <v>81800</v>
      </c>
      <c r="H166" s="35">
        <f t="shared" si="49"/>
        <v>0</v>
      </c>
      <c r="I166" s="35"/>
      <c r="J166" s="35">
        <f t="shared" si="48"/>
        <v>0</v>
      </c>
      <c r="K166" s="35">
        <f t="shared" si="50"/>
        <v>81800</v>
      </c>
      <c r="L166" s="35">
        <f t="shared" si="50"/>
        <v>0</v>
      </c>
      <c r="M166" s="53"/>
      <c r="N166" s="4"/>
    </row>
    <row r="167" spans="1:14" ht="24" hidden="1" customHeight="1">
      <c r="A167" s="41"/>
      <c r="B167" s="52"/>
      <c r="C167" s="51" t="s">
        <v>175</v>
      </c>
      <c r="D167" s="34"/>
      <c r="E167" s="59"/>
      <c r="F167" s="49" t="s">
        <v>75</v>
      </c>
      <c r="G167" s="56">
        <v>80000</v>
      </c>
      <c r="H167" s="35">
        <f t="shared" si="49"/>
        <v>0</v>
      </c>
      <c r="I167" s="35"/>
      <c r="J167" s="35">
        <f t="shared" si="48"/>
        <v>0</v>
      </c>
      <c r="K167" s="35">
        <f t="shared" si="50"/>
        <v>80000</v>
      </c>
      <c r="L167" s="35">
        <f t="shared" si="50"/>
        <v>0</v>
      </c>
      <c r="M167" s="53"/>
      <c r="N167" s="4"/>
    </row>
    <row r="168" spans="1:14" ht="24" hidden="1" customHeight="1">
      <c r="A168" s="41"/>
      <c r="B168" s="52" t="s">
        <v>176</v>
      </c>
      <c r="C168" s="51" t="s">
        <v>445</v>
      </c>
      <c r="D168" s="34" t="s">
        <v>316</v>
      </c>
      <c r="E168" s="59"/>
      <c r="F168" s="49" t="s">
        <v>96</v>
      </c>
      <c r="G168" s="56">
        <v>320000</v>
      </c>
      <c r="H168" s="35">
        <f t="shared" si="49"/>
        <v>0</v>
      </c>
      <c r="I168" s="35"/>
      <c r="J168" s="35">
        <f t="shared" si="48"/>
        <v>0</v>
      </c>
      <c r="K168" s="35">
        <f t="shared" si="50"/>
        <v>320000</v>
      </c>
      <c r="L168" s="35">
        <f t="shared" si="50"/>
        <v>0</v>
      </c>
      <c r="M168" s="53"/>
      <c r="N168" s="4"/>
    </row>
    <row r="169" spans="1:14" ht="24" hidden="1" customHeight="1">
      <c r="A169" s="41"/>
      <c r="B169" s="52" t="s">
        <v>178</v>
      </c>
      <c r="C169" s="51" t="s">
        <v>177</v>
      </c>
      <c r="D169" s="34"/>
      <c r="E169" s="59"/>
      <c r="F169" s="49" t="s">
        <v>96</v>
      </c>
      <c r="G169" s="56">
        <v>380000</v>
      </c>
      <c r="H169" s="35">
        <f t="shared" si="49"/>
        <v>0</v>
      </c>
      <c r="I169" s="35"/>
      <c r="J169" s="35">
        <f t="shared" si="48"/>
        <v>0</v>
      </c>
      <c r="K169" s="35">
        <f t="shared" si="50"/>
        <v>380000</v>
      </c>
      <c r="L169" s="35">
        <f t="shared" si="50"/>
        <v>0</v>
      </c>
      <c r="M169" s="53"/>
      <c r="N169" s="4"/>
    </row>
    <row r="170" spans="1:14" ht="24" hidden="1" customHeight="1">
      <c r="A170" s="41"/>
      <c r="B170" s="52" t="s">
        <v>179</v>
      </c>
      <c r="C170" s="51" t="s">
        <v>180</v>
      </c>
      <c r="D170" s="34"/>
      <c r="E170" s="59"/>
      <c r="F170" s="49" t="s">
        <v>96</v>
      </c>
      <c r="G170" s="56">
        <v>213000</v>
      </c>
      <c r="H170" s="35">
        <f t="shared" si="49"/>
        <v>0</v>
      </c>
      <c r="I170" s="35"/>
      <c r="J170" s="35">
        <f t="shared" si="48"/>
        <v>0</v>
      </c>
      <c r="K170" s="35">
        <f t="shared" si="50"/>
        <v>213000</v>
      </c>
      <c r="L170" s="35">
        <f t="shared" si="50"/>
        <v>0</v>
      </c>
      <c r="M170" s="53"/>
      <c r="N170" s="4"/>
    </row>
    <row r="171" spans="1:14" ht="24" hidden="1" customHeight="1">
      <c r="A171" s="41"/>
      <c r="B171" s="52" t="s">
        <v>181</v>
      </c>
      <c r="C171" s="51" t="s">
        <v>182</v>
      </c>
      <c r="D171" s="34"/>
      <c r="E171" s="59"/>
      <c r="F171" s="49" t="s">
        <v>75</v>
      </c>
      <c r="G171" s="56">
        <v>450000</v>
      </c>
      <c r="H171" s="35">
        <f t="shared" si="49"/>
        <v>0</v>
      </c>
      <c r="I171" s="35"/>
      <c r="J171" s="35">
        <f t="shared" si="48"/>
        <v>0</v>
      </c>
      <c r="K171" s="35">
        <f t="shared" si="50"/>
        <v>450000</v>
      </c>
      <c r="L171" s="35">
        <f t="shared" si="50"/>
        <v>0</v>
      </c>
      <c r="M171" s="53"/>
      <c r="N171" s="4"/>
    </row>
    <row r="172" spans="1:14" ht="24" hidden="1" customHeight="1">
      <c r="A172" s="41"/>
      <c r="B172" s="52"/>
      <c r="C172" s="51" t="s">
        <v>183</v>
      </c>
      <c r="D172" s="34"/>
      <c r="E172" s="59"/>
      <c r="F172" s="49" t="s">
        <v>75</v>
      </c>
      <c r="G172" s="56">
        <v>220000</v>
      </c>
      <c r="H172" s="35">
        <f t="shared" si="49"/>
        <v>0</v>
      </c>
      <c r="I172" s="35"/>
      <c r="J172" s="35">
        <f t="shared" si="48"/>
        <v>0</v>
      </c>
      <c r="K172" s="35">
        <f t="shared" si="50"/>
        <v>220000</v>
      </c>
      <c r="L172" s="35">
        <f t="shared" si="50"/>
        <v>0</v>
      </c>
      <c r="M172" s="53" t="s">
        <v>68</v>
      </c>
      <c r="N172" s="4"/>
    </row>
    <row r="173" spans="1:14" ht="24" hidden="1" customHeight="1">
      <c r="A173" s="41"/>
      <c r="B173" s="52"/>
      <c r="C173" s="51" t="s">
        <v>184</v>
      </c>
      <c r="D173" s="34"/>
      <c r="E173" s="59"/>
      <c r="F173" s="49" t="s">
        <v>75</v>
      </c>
      <c r="G173" s="56">
        <v>280000</v>
      </c>
      <c r="H173" s="35">
        <f t="shared" si="49"/>
        <v>0</v>
      </c>
      <c r="I173" s="35"/>
      <c r="J173" s="35">
        <f t="shared" si="48"/>
        <v>0</v>
      </c>
      <c r="K173" s="35">
        <f t="shared" si="50"/>
        <v>280000</v>
      </c>
      <c r="L173" s="35">
        <f t="shared" si="50"/>
        <v>0</v>
      </c>
      <c r="M173" s="53"/>
      <c r="N173" s="4"/>
    </row>
    <row r="174" spans="1:14" ht="24" hidden="1" customHeight="1">
      <c r="A174" s="41"/>
      <c r="B174" s="52" t="s">
        <v>185</v>
      </c>
      <c r="C174" s="51" t="s">
        <v>446</v>
      </c>
      <c r="D174" s="34" t="s">
        <v>290</v>
      </c>
      <c r="E174" s="59"/>
      <c r="F174" s="49" t="s">
        <v>96</v>
      </c>
      <c r="G174" s="56">
        <v>47000</v>
      </c>
      <c r="H174" s="35">
        <f t="shared" si="49"/>
        <v>0</v>
      </c>
      <c r="I174" s="35"/>
      <c r="J174" s="35">
        <f t="shared" si="48"/>
        <v>0</v>
      </c>
      <c r="K174" s="35">
        <f t="shared" si="50"/>
        <v>47000</v>
      </c>
      <c r="L174" s="35">
        <f t="shared" si="50"/>
        <v>0</v>
      </c>
      <c r="M174" s="53"/>
      <c r="N174" s="4"/>
    </row>
    <row r="175" spans="1:14" ht="24" hidden="1" customHeight="1">
      <c r="A175" s="41"/>
      <c r="B175" s="52" t="s">
        <v>186</v>
      </c>
      <c r="C175" s="51" t="s">
        <v>187</v>
      </c>
      <c r="D175" s="34"/>
      <c r="E175" s="59"/>
      <c r="F175" s="49" t="s">
        <v>75</v>
      </c>
      <c r="G175" s="56">
        <v>25000</v>
      </c>
      <c r="H175" s="35">
        <f t="shared" si="49"/>
        <v>0</v>
      </c>
      <c r="I175" s="35"/>
      <c r="J175" s="35">
        <f t="shared" si="48"/>
        <v>0</v>
      </c>
      <c r="K175" s="35">
        <f t="shared" si="50"/>
        <v>25000</v>
      </c>
      <c r="L175" s="35">
        <f t="shared" si="50"/>
        <v>0</v>
      </c>
      <c r="M175" s="53"/>
      <c r="N175" s="4"/>
    </row>
    <row r="176" spans="1:14" ht="24" hidden="1" customHeight="1">
      <c r="A176" s="41"/>
      <c r="B176" s="52" t="s">
        <v>188</v>
      </c>
      <c r="C176" s="51" t="s">
        <v>353</v>
      </c>
      <c r="D176" s="34" t="s">
        <v>317</v>
      </c>
      <c r="E176" s="59"/>
      <c r="F176" s="49" t="s">
        <v>75</v>
      </c>
      <c r="G176" s="56">
        <v>37000</v>
      </c>
      <c r="H176" s="35">
        <f t="shared" si="49"/>
        <v>0</v>
      </c>
      <c r="I176" s="35"/>
      <c r="J176" s="35">
        <f t="shared" si="48"/>
        <v>0</v>
      </c>
      <c r="K176" s="35">
        <f t="shared" si="50"/>
        <v>37000</v>
      </c>
      <c r="L176" s="35">
        <f t="shared" si="50"/>
        <v>0</v>
      </c>
      <c r="M176" s="53"/>
      <c r="N176" s="4"/>
    </row>
    <row r="177" spans="1:14" ht="24" hidden="1" customHeight="1">
      <c r="A177" s="41"/>
      <c r="B177" s="52"/>
      <c r="C177" s="51" t="s">
        <v>377</v>
      </c>
      <c r="D177" s="34" t="s">
        <v>372</v>
      </c>
      <c r="E177" s="59"/>
      <c r="F177" s="49" t="s">
        <v>75</v>
      </c>
      <c r="G177" s="56">
        <v>390000</v>
      </c>
      <c r="H177" s="35">
        <f t="shared" si="49"/>
        <v>0</v>
      </c>
      <c r="I177" s="35"/>
      <c r="J177" s="35">
        <f t="shared" si="48"/>
        <v>0</v>
      </c>
      <c r="K177" s="35">
        <f t="shared" si="50"/>
        <v>390000</v>
      </c>
      <c r="L177" s="35">
        <f t="shared" si="50"/>
        <v>0</v>
      </c>
      <c r="M177" s="53"/>
      <c r="N177" s="4"/>
    </row>
    <row r="178" spans="1:14" ht="24" hidden="1" customHeight="1">
      <c r="A178" s="41"/>
      <c r="B178" s="52" t="s">
        <v>190</v>
      </c>
      <c r="C178" s="51"/>
      <c r="D178" s="34"/>
      <c r="E178" s="59"/>
      <c r="F178" s="49" t="s">
        <v>75</v>
      </c>
      <c r="G178" s="56">
        <v>45000</v>
      </c>
      <c r="H178" s="35">
        <f t="shared" si="49"/>
        <v>0</v>
      </c>
      <c r="I178" s="35"/>
      <c r="J178" s="35">
        <f t="shared" si="48"/>
        <v>0</v>
      </c>
      <c r="K178" s="35">
        <f t="shared" si="50"/>
        <v>45000</v>
      </c>
      <c r="L178" s="35">
        <f t="shared" si="50"/>
        <v>0</v>
      </c>
      <c r="M178" s="53"/>
      <c r="N178" s="4"/>
    </row>
    <row r="179" spans="1:14" ht="24" hidden="1" customHeight="1">
      <c r="A179" s="41"/>
      <c r="B179" s="52" t="s">
        <v>191</v>
      </c>
      <c r="C179" s="51" t="s">
        <v>192</v>
      </c>
      <c r="D179" s="34"/>
      <c r="E179" s="59"/>
      <c r="F179" s="49" t="s">
        <v>75</v>
      </c>
      <c r="G179" s="56">
        <v>22000</v>
      </c>
      <c r="H179" s="35">
        <f t="shared" si="49"/>
        <v>0</v>
      </c>
      <c r="I179" s="35"/>
      <c r="J179" s="35">
        <f t="shared" si="48"/>
        <v>0</v>
      </c>
      <c r="K179" s="35">
        <f t="shared" si="50"/>
        <v>22000</v>
      </c>
      <c r="L179" s="35">
        <f t="shared" si="50"/>
        <v>0</v>
      </c>
      <c r="M179" s="53"/>
      <c r="N179" s="4"/>
    </row>
    <row r="180" spans="1:14" ht="24" hidden="1" customHeight="1">
      <c r="A180" s="41"/>
      <c r="B180" s="52" t="s">
        <v>193</v>
      </c>
      <c r="C180" s="51"/>
      <c r="D180" s="34"/>
      <c r="E180" s="59"/>
      <c r="F180" s="49" t="s">
        <v>75</v>
      </c>
      <c r="G180" s="56">
        <v>22000</v>
      </c>
      <c r="H180" s="35">
        <f t="shared" si="49"/>
        <v>0</v>
      </c>
      <c r="I180" s="35"/>
      <c r="J180" s="35">
        <f t="shared" si="48"/>
        <v>0</v>
      </c>
      <c r="K180" s="35">
        <f t="shared" si="50"/>
        <v>22000</v>
      </c>
      <c r="L180" s="35">
        <f t="shared" si="50"/>
        <v>0</v>
      </c>
      <c r="M180" s="53"/>
      <c r="N180" s="4"/>
    </row>
    <row r="181" spans="1:14" ht="24" hidden="1" customHeight="1">
      <c r="A181" s="41"/>
      <c r="B181" s="52" t="s">
        <v>160</v>
      </c>
      <c r="C181" s="51"/>
      <c r="D181" s="34"/>
      <c r="E181" s="59"/>
      <c r="F181" s="49" t="s">
        <v>103</v>
      </c>
      <c r="G181" s="56"/>
      <c r="H181" s="35">
        <f t="shared" si="49"/>
        <v>0</v>
      </c>
      <c r="I181" s="56">
        <v>280000</v>
      </c>
      <c r="J181" s="35">
        <f t="shared" si="48"/>
        <v>0</v>
      </c>
      <c r="K181" s="35">
        <f t="shared" si="50"/>
        <v>280000</v>
      </c>
      <c r="L181" s="35">
        <f t="shared" si="50"/>
        <v>0</v>
      </c>
      <c r="M181" s="36"/>
      <c r="N181" s="4"/>
    </row>
    <row r="182" spans="1:14" ht="24" hidden="1" customHeight="1">
      <c r="A182" s="41"/>
      <c r="B182" s="56" t="s">
        <v>159</v>
      </c>
      <c r="C182" s="58"/>
      <c r="D182" s="34"/>
      <c r="E182" s="33"/>
      <c r="F182" s="49" t="s">
        <v>71</v>
      </c>
      <c r="G182" s="57">
        <v>80000</v>
      </c>
      <c r="H182" s="35">
        <f t="shared" si="49"/>
        <v>0</v>
      </c>
      <c r="I182" s="35"/>
      <c r="J182" s="35">
        <f t="shared" si="48"/>
        <v>0</v>
      </c>
      <c r="K182" s="35">
        <f t="shared" ref="K182" si="55">G182+I182</f>
        <v>80000</v>
      </c>
      <c r="L182" s="35">
        <f t="shared" ref="L182" si="56">H182+J182</f>
        <v>0</v>
      </c>
      <c r="M182" s="36"/>
      <c r="N182" s="4"/>
    </row>
    <row r="183" spans="1:14" ht="24" hidden="1" customHeight="1">
      <c r="A183" s="41"/>
      <c r="B183" s="56"/>
      <c r="C183" s="58"/>
      <c r="D183" s="32"/>
      <c r="E183" s="33"/>
      <c r="F183" s="49"/>
      <c r="G183" s="57"/>
      <c r="H183" s="35"/>
      <c r="I183" s="35"/>
      <c r="J183" s="35"/>
      <c r="K183" s="35"/>
      <c r="L183" s="35"/>
      <c r="M183" s="36"/>
      <c r="N183" s="4"/>
    </row>
    <row r="184" spans="1:14" ht="24" hidden="1" customHeight="1">
      <c r="A184" s="41"/>
      <c r="B184" s="32" t="s">
        <v>49</v>
      </c>
      <c r="C184" s="32"/>
      <c r="D184" s="32"/>
      <c r="E184" s="33"/>
      <c r="F184" s="34"/>
      <c r="G184" s="35"/>
      <c r="H184" s="35">
        <f>SUM(H154:H183)</f>
        <v>0</v>
      </c>
      <c r="I184" s="35"/>
      <c r="J184" s="35">
        <f>SUM(J154:J183)</f>
        <v>0</v>
      </c>
      <c r="K184" s="35"/>
      <c r="L184" s="35">
        <f>SUM(L154:L183)</f>
        <v>0</v>
      </c>
      <c r="M184" s="36"/>
      <c r="N184" s="4"/>
    </row>
    <row r="185" spans="1:14" ht="24" hidden="1" customHeight="1">
      <c r="A185" s="41"/>
      <c r="B185" s="64"/>
      <c r="C185" s="58"/>
      <c r="D185" s="32"/>
      <c r="E185" s="33"/>
      <c r="F185" s="49"/>
      <c r="G185" s="57"/>
      <c r="H185" s="35"/>
      <c r="I185" s="35"/>
      <c r="J185" s="35"/>
      <c r="K185" s="35"/>
      <c r="L185" s="35"/>
      <c r="M185" s="36"/>
      <c r="N185" s="4"/>
    </row>
    <row r="186" spans="1:14" ht="24" customHeight="1">
      <c r="A186" s="66">
        <f>A11</f>
        <v>8</v>
      </c>
      <c r="B186" s="67" t="str">
        <f>B11</f>
        <v>가구 공사</v>
      </c>
      <c r="C186" s="149"/>
      <c r="D186" s="150"/>
      <c r="E186" s="150"/>
      <c r="F186" s="150"/>
      <c r="G186" s="150"/>
      <c r="H186" s="150"/>
      <c r="I186" s="150"/>
      <c r="J186" s="150"/>
      <c r="K186" s="150"/>
      <c r="L186" s="150"/>
      <c r="M186" s="151"/>
      <c r="N186" s="4"/>
    </row>
    <row r="187" spans="1:14" ht="24" customHeight="1">
      <c r="A187" s="41"/>
      <c r="B187" s="57" t="s">
        <v>194</v>
      </c>
      <c r="C187" s="57" t="s">
        <v>450</v>
      </c>
      <c r="D187" s="34" t="s">
        <v>266</v>
      </c>
      <c r="E187" s="59">
        <v>1</v>
      </c>
      <c r="F187" s="49" t="s">
        <v>43</v>
      </c>
      <c r="G187" s="57">
        <v>3750000</v>
      </c>
      <c r="H187" s="35">
        <f t="shared" ref="H187:H201" si="57">E187*G187</f>
        <v>3750000</v>
      </c>
      <c r="I187" s="35"/>
      <c r="J187" s="35">
        <f>E187*I187</f>
        <v>0</v>
      </c>
      <c r="K187" s="35">
        <f>G187+I187</f>
        <v>3750000</v>
      </c>
      <c r="L187" s="35">
        <f t="shared" ref="L187:L201" si="58">H187+J187</f>
        <v>3750000</v>
      </c>
      <c r="M187" s="53" t="s">
        <v>326</v>
      </c>
      <c r="N187" s="4"/>
    </row>
    <row r="188" spans="1:14" ht="24" customHeight="1">
      <c r="A188" s="41"/>
      <c r="B188" s="57"/>
      <c r="C188" s="57" t="s">
        <v>455</v>
      </c>
      <c r="D188" s="34" t="s">
        <v>266</v>
      </c>
      <c r="E188" s="59">
        <v>1</v>
      </c>
      <c r="F188" s="49" t="s">
        <v>43</v>
      </c>
      <c r="G188" s="57">
        <v>720000</v>
      </c>
      <c r="H188" s="35">
        <f t="shared" ref="H188" si="59">E188*G188</f>
        <v>720000</v>
      </c>
      <c r="I188" s="35"/>
      <c r="J188" s="35">
        <f>E188*I188</f>
        <v>0</v>
      </c>
      <c r="K188" s="35">
        <f>G188+I188</f>
        <v>720000</v>
      </c>
      <c r="L188" s="35">
        <f t="shared" ref="L188" si="60">H188+J188</f>
        <v>720000</v>
      </c>
      <c r="M188" s="53" t="s">
        <v>326</v>
      </c>
      <c r="N188" s="4"/>
    </row>
    <row r="189" spans="1:14" ht="24" customHeight="1">
      <c r="A189" s="41"/>
      <c r="B189" s="57"/>
      <c r="C189" s="57" t="s">
        <v>451</v>
      </c>
      <c r="D189" s="34" t="s">
        <v>334</v>
      </c>
      <c r="E189" s="59">
        <v>1</v>
      </c>
      <c r="F189" s="49" t="s">
        <v>43</v>
      </c>
      <c r="G189" s="57">
        <v>495000</v>
      </c>
      <c r="H189" s="35">
        <f t="shared" si="57"/>
        <v>495000</v>
      </c>
      <c r="I189" s="35"/>
      <c r="J189" s="35">
        <f>E189*I189</f>
        <v>0</v>
      </c>
      <c r="K189" s="35">
        <f>G189+I189</f>
        <v>495000</v>
      </c>
      <c r="L189" s="35">
        <f t="shared" si="58"/>
        <v>495000</v>
      </c>
      <c r="M189" s="53" t="s">
        <v>326</v>
      </c>
      <c r="N189" s="4"/>
    </row>
    <row r="190" spans="1:14" ht="24" customHeight="1">
      <c r="A190" s="41"/>
      <c r="B190" s="57"/>
      <c r="C190" s="57" t="s">
        <v>452</v>
      </c>
      <c r="D190" s="34" t="s">
        <v>334</v>
      </c>
      <c r="E190" s="59">
        <v>1</v>
      </c>
      <c r="F190" s="49" t="s">
        <v>43</v>
      </c>
      <c r="G190" s="57">
        <v>135000</v>
      </c>
      <c r="H190" s="35">
        <f t="shared" ref="H190" si="61">E190*G190</f>
        <v>135000</v>
      </c>
      <c r="I190" s="35"/>
      <c r="J190" s="35">
        <f>E190*I190</f>
        <v>0</v>
      </c>
      <c r="K190" s="35">
        <f>G190+I190</f>
        <v>135000</v>
      </c>
      <c r="L190" s="35">
        <f t="shared" ref="L190" si="62">H190+J190</f>
        <v>135000</v>
      </c>
      <c r="M190" s="53" t="s">
        <v>326</v>
      </c>
      <c r="N190" s="4"/>
    </row>
    <row r="191" spans="1:14" ht="24" customHeight="1">
      <c r="A191" s="41"/>
      <c r="B191" s="57"/>
      <c r="C191" s="57" t="s">
        <v>331</v>
      </c>
      <c r="D191" s="34" t="s">
        <v>332</v>
      </c>
      <c r="E191" s="59"/>
      <c r="F191" s="49" t="s">
        <v>43</v>
      </c>
      <c r="G191" s="57">
        <v>250000</v>
      </c>
      <c r="H191" s="35">
        <f t="shared" si="57"/>
        <v>0</v>
      </c>
      <c r="I191" s="35"/>
      <c r="J191" s="35">
        <f>E191*I191</f>
        <v>0</v>
      </c>
      <c r="K191" s="35">
        <f>G191+I191</f>
        <v>250000</v>
      </c>
      <c r="L191" s="35">
        <f t="shared" si="58"/>
        <v>0</v>
      </c>
      <c r="M191" s="53" t="s">
        <v>93</v>
      </c>
      <c r="N191" s="4"/>
    </row>
    <row r="192" spans="1:14" ht="24" customHeight="1">
      <c r="A192" s="41"/>
      <c r="B192" s="57" t="s">
        <v>195</v>
      </c>
      <c r="C192" s="57" t="s">
        <v>453</v>
      </c>
      <c r="D192" s="34" t="s">
        <v>332</v>
      </c>
      <c r="E192" s="33">
        <v>1</v>
      </c>
      <c r="F192" s="49" t="s">
        <v>43</v>
      </c>
      <c r="G192" s="57">
        <v>390000</v>
      </c>
      <c r="H192" s="35">
        <f t="shared" si="57"/>
        <v>390000</v>
      </c>
      <c r="I192" s="35"/>
      <c r="J192" s="35"/>
      <c r="K192" s="35">
        <f t="shared" ref="K192:K201" si="63">I192+G192</f>
        <v>390000</v>
      </c>
      <c r="L192" s="35">
        <f t="shared" si="58"/>
        <v>390000</v>
      </c>
      <c r="M192" s="53" t="s">
        <v>93</v>
      </c>
      <c r="N192" s="4"/>
    </row>
    <row r="193" spans="1:14" ht="24" customHeight="1">
      <c r="A193" s="41"/>
      <c r="B193" s="57" t="s">
        <v>311</v>
      </c>
      <c r="C193" s="119"/>
      <c r="D193" s="34" t="s">
        <v>266</v>
      </c>
      <c r="E193" s="33"/>
      <c r="F193" s="49" t="s">
        <v>43</v>
      </c>
      <c r="G193" s="57">
        <v>1500000</v>
      </c>
      <c r="H193" s="35">
        <f t="shared" si="57"/>
        <v>0</v>
      </c>
      <c r="I193" s="35"/>
      <c r="J193" s="35"/>
      <c r="K193" s="35">
        <f t="shared" si="63"/>
        <v>1500000</v>
      </c>
      <c r="L193" s="35">
        <f t="shared" si="58"/>
        <v>0</v>
      </c>
      <c r="M193" s="53" t="s">
        <v>93</v>
      </c>
      <c r="N193" s="4"/>
    </row>
    <row r="194" spans="1:14" ht="24" customHeight="1">
      <c r="A194" s="41"/>
      <c r="B194" s="57"/>
      <c r="C194" s="119" t="s">
        <v>366</v>
      </c>
      <c r="D194" s="34" t="s">
        <v>266</v>
      </c>
      <c r="E194" s="33"/>
      <c r="F194" s="49" t="s">
        <v>43</v>
      </c>
      <c r="G194" s="57">
        <v>100000</v>
      </c>
      <c r="H194" s="35">
        <f t="shared" si="57"/>
        <v>0</v>
      </c>
      <c r="I194" s="35"/>
      <c r="J194" s="35"/>
      <c r="K194" s="35">
        <f t="shared" si="63"/>
        <v>100000</v>
      </c>
      <c r="L194" s="35">
        <f t="shared" si="58"/>
        <v>0</v>
      </c>
      <c r="M194" s="53" t="s">
        <v>93</v>
      </c>
      <c r="N194" s="4"/>
    </row>
    <row r="195" spans="1:14" ht="24" customHeight="1">
      <c r="A195" s="41"/>
      <c r="B195" s="57" t="s">
        <v>427</v>
      </c>
      <c r="C195" s="119" t="s">
        <v>428</v>
      </c>
      <c r="D195" s="34" t="s">
        <v>266</v>
      </c>
      <c r="E195" s="33"/>
      <c r="F195" s="49" t="s">
        <v>43</v>
      </c>
      <c r="G195" s="57">
        <v>450000</v>
      </c>
      <c r="H195" s="35">
        <f t="shared" ref="H195:H200" si="64">E195*G195</f>
        <v>0</v>
      </c>
      <c r="I195" s="35"/>
      <c r="J195" s="35"/>
      <c r="K195" s="35">
        <f>I195+G195</f>
        <v>450000</v>
      </c>
      <c r="L195" s="35">
        <f>H195+J195</f>
        <v>0</v>
      </c>
      <c r="M195" s="53" t="s">
        <v>386</v>
      </c>
      <c r="N195" s="4"/>
    </row>
    <row r="196" spans="1:14" ht="24" customHeight="1">
      <c r="A196" s="41"/>
      <c r="B196" s="57"/>
      <c r="C196" s="119" t="s">
        <v>429</v>
      </c>
      <c r="D196" s="34" t="s">
        <v>266</v>
      </c>
      <c r="E196" s="33">
        <v>1</v>
      </c>
      <c r="F196" s="49" t="s">
        <v>43</v>
      </c>
      <c r="G196" s="57">
        <v>570000</v>
      </c>
      <c r="H196" s="35">
        <f t="shared" si="64"/>
        <v>570000</v>
      </c>
      <c r="I196" s="35"/>
      <c r="J196" s="35"/>
      <c r="K196" s="35">
        <f>I196+G196</f>
        <v>570000</v>
      </c>
      <c r="L196" s="35">
        <f>H196+J196</f>
        <v>570000</v>
      </c>
      <c r="M196" s="53" t="s">
        <v>386</v>
      </c>
      <c r="N196" s="4"/>
    </row>
    <row r="197" spans="1:14" ht="24" customHeight="1">
      <c r="A197" s="41"/>
      <c r="B197" s="57"/>
      <c r="C197" s="119" t="s">
        <v>454</v>
      </c>
      <c r="D197" s="34" t="s">
        <v>266</v>
      </c>
      <c r="E197" s="33">
        <v>1</v>
      </c>
      <c r="F197" s="49" t="s">
        <v>43</v>
      </c>
      <c r="G197" s="57">
        <v>600000</v>
      </c>
      <c r="H197" s="35">
        <f t="shared" si="64"/>
        <v>600000</v>
      </c>
      <c r="I197" s="35"/>
      <c r="J197" s="35"/>
      <c r="K197" s="35">
        <f>I197+G197</f>
        <v>600000</v>
      </c>
      <c r="L197" s="35">
        <f>H197+J197</f>
        <v>600000</v>
      </c>
      <c r="M197" s="53" t="s">
        <v>386</v>
      </c>
      <c r="N197" s="4"/>
    </row>
    <row r="198" spans="1:14" ht="24" customHeight="1">
      <c r="A198" s="41"/>
      <c r="B198" s="57" t="s">
        <v>362</v>
      </c>
      <c r="C198" s="119" t="s">
        <v>459</v>
      </c>
      <c r="D198" s="34" t="s">
        <v>266</v>
      </c>
      <c r="E198" s="33">
        <v>1</v>
      </c>
      <c r="F198" s="49" t="s">
        <v>43</v>
      </c>
      <c r="G198" s="57">
        <v>2000000</v>
      </c>
      <c r="H198" s="35">
        <f t="shared" si="64"/>
        <v>2000000</v>
      </c>
      <c r="I198" s="35"/>
      <c r="J198" s="35"/>
      <c r="K198" s="35">
        <f>I198+G198</f>
        <v>2000000</v>
      </c>
      <c r="L198" s="35">
        <f>H198+J198</f>
        <v>2000000</v>
      </c>
      <c r="M198" s="53" t="s">
        <v>386</v>
      </c>
      <c r="N198" s="4"/>
    </row>
    <row r="199" spans="1:14" ht="24" customHeight="1">
      <c r="A199" s="41"/>
      <c r="B199" s="57" t="s">
        <v>265</v>
      </c>
      <c r="C199" s="119" t="s">
        <v>421</v>
      </c>
      <c r="D199" s="34" t="s">
        <v>266</v>
      </c>
      <c r="E199" s="33"/>
      <c r="F199" s="49" t="s">
        <v>43</v>
      </c>
      <c r="G199" s="57">
        <v>780000</v>
      </c>
      <c r="H199" s="35">
        <f t="shared" si="64"/>
        <v>0</v>
      </c>
      <c r="I199" s="35"/>
      <c r="J199" s="35"/>
      <c r="K199" s="35">
        <f t="shared" si="63"/>
        <v>780000</v>
      </c>
      <c r="L199" s="35">
        <f t="shared" si="58"/>
        <v>0</v>
      </c>
      <c r="M199" s="53" t="s">
        <v>387</v>
      </c>
      <c r="N199" s="4"/>
    </row>
    <row r="200" spans="1:14" ht="24" customHeight="1">
      <c r="A200" s="41"/>
      <c r="B200" s="57" t="s">
        <v>430</v>
      </c>
      <c r="C200" s="119" t="s">
        <v>447</v>
      </c>
      <c r="D200" s="34" t="s">
        <v>266</v>
      </c>
      <c r="E200" s="33"/>
      <c r="F200" s="49" t="s">
        <v>43</v>
      </c>
      <c r="G200" s="57">
        <v>1250000</v>
      </c>
      <c r="H200" s="35">
        <f t="shared" si="64"/>
        <v>0</v>
      </c>
      <c r="I200" s="35"/>
      <c r="J200" s="35"/>
      <c r="K200" s="35">
        <f t="shared" ref="K200" si="65">I200+G200</f>
        <v>1250000</v>
      </c>
      <c r="L200" s="35">
        <f t="shared" ref="L200" si="66">H200+J200</f>
        <v>0</v>
      </c>
      <c r="M200" s="53" t="s">
        <v>387</v>
      </c>
      <c r="N200" s="4"/>
    </row>
    <row r="201" spans="1:14" ht="24" customHeight="1">
      <c r="A201" s="41"/>
      <c r="B201" s="57" t="s">
        <v>385</v>
      </c>
      <c r="C201" s="61" t="s">
        <v>367</v>
      </c>
      <c r="D201" s="34" t="s">
        <v>266</v>
      </c>
      <c r="E201" s="33"/>
      <c r="F201" s="49" t="s">
        <v>43</v>
      </c>
      <c r="G201" s="57">
        <v>1680000</v>
      </c>
      <c r="H201" s="35">
        <f t="shared" si="57"/>
        <v>0</v>
      </c>
      <c r="I201" s="35"/>
      <c r="J201" s="35"/>
      <c r="K201" s="35">
        <f t="shared" si="63"/>
        <v>1680000</v>
      </c>
      <c r="L201" s="35">
        <f t="shared" si="58"/>
        <v>0</v>
      </c>
      <c r="M201" s="53" t="s">
        <v>93</v>
      </c>
      <c r="N201" s="4"/>
    </row>
    <row r="202" spans="1:14" ht="24" customHeight="1">
      <c r="A202" s="41"/>
      <c r="B202" s="57" t="s">
        <v>418</v>
      </c>
      <c r="C202" s="61"/>
      <c r="D202" s="34" t="s">
        <v>266</v>
      </c>
      <c r="E202" s="33"/>
      <c r="F202" s="49" t="s">
        <v>43</v>
      </c>
      <c r="G202" s="57">
        <v>480000</v>
      </c>
      <c r="H202" s="35">
        <f t="shared" ref="H202" si="67">E202*G202</f>
        <v>0</v>
      </c>
      <c r="I202" s="35"/>
      <c r="J202" s="35"/>
      <c r="K202" s="35">
        <f t="shared" ref="K202" si="68">I202+G202</f>
        <v>480000</v>
      </c>
      <c r="L202" s="35">
        <f t="shared" ref="L202" si="69">H202+J202</f>
        <v>0</v>
      </c>
      <c r="M202" s="53" t="s">
        <v>93</v>
      </c>
      <c r="N202" s="4"/>
    </row>
    <row r="203" spans="1:14" ht="24" customHeight="1">
      <c r="A203" s="41"/>
      <c r="B203" s="57" t="s">
        <v>419</v>
      </c>
      <c r="C203" s="61"/>
      <c r="D203" s="34" t="s">
        <v>266</v>
      </c>
      <c r="E203" s="33"/>
      <c r="F203" s="49" t="s">
        <v>43</v>
      </c>
      <c r="G203" s="57">
        <v>1070000</v>
      </c>
      <c r="H203" s="35">
        <f t="shared" ref="H203" si="70">E203*G203</f>
        <v>0</v>
      </c>
      <c r="I203" s="35"/>
      <c r="J203" s="35"/>
      <c r="K203" s="35">
        <f t="shared" ref="K203" si="71">I203+G203</f>
        <v>1070000</v>
      </c>
      <c r="L203" s="35">
        <f t="shared" ref="L203" si="72">H203+J203</f>
        <v>0</v>
      </c>
      <c r="M203" s="53" t="s">
        <v>93</v>
      </c>
      <c r="N203" s="4"/>
    </row>
    <row r="204" spans="1:14" ht="24" customHeight="1">
      <c r="A204" s="41"/>
      <c r="B204" s="57"/>
      <c r="C204" s="61"/>
      <c r="D204" s="34"/>
      <c r="E204" s="33"/>
      <c r="F204" s="49"/>
      <c r="G204" s="57"/>
      <c r="H204" s="35"/>
      <c r="I204" s="35"/>
      <c r="J204" s="35"/>
      <c r="K204" s="35"/>
      <c r="L204" s="35"/>
      <c r="M204" s="53"/>
      <c r="N204" s="4"/>
    </row>
    <row r="205" spans="1:14" ht="24" customHeight="1">
      <c r="A205" s="41"/>
      <c r="B205" s="32" t="s">
        <v>49</v>
      </c>
      <c r="C205" s="32"/>
      <c r="D205" s="32"/>
      <c r="E205" s="33"/>
      <c r="F205" s="34"/>
      <c r="G205" s="35"/>
      <c r="H205" s="35">
        <f>SUM(H187:H203)</f>
        <v>8660000</v>
      </c>
      <c r="I205" s="35"/>
      <c r="J205" s="35">
        <f>SUM(J187:J192)</f>
        <v>0</v>
      </c>
      <c r="K205" s="35"/>
      <c r="L205" s="35">
        <f>SUM(L187:L203)</f>
        <v>8660000</v>
      </c>
      <c r="M205" s="36"/>
      <c r="N205" s="4"/>
    </row>
    <row r="206" spans="1:14" ht="24" customHeight="1">
      <c r="A206" s="41"/>
      <c r="B206" s="64" t="s">
        <v>465</v>
      </c>
      <c r="C206" s="32"/>
      <c r="D206" s="32"/>
      <c r="E206" s="33"/>
      <c r="F206" s="34"/>
      <c r="G206" s="35"/>
      <c r="H206" s="35"/>
      <c r="I206" s="35"/>
      <c r="J206" s="35"/>
      <c r="K206" s="35"/>
      <c r="L206" s="35"/>
      <c r="M206" s="36"/>
      <c r="N206" s="4"/>
    </row>
    <row r="207" spans="1:14" ht="24" customHeight="1">
      <c r="A207" s="41"/>
      <c r="B207" s="64" t="s">
        <v>467</v>
      </c>
      <c r="C207" s="32"/>
      <c r="D207" s="32"/>
      <c r="E207" s="33"/>
      <c r="F207" s="34"/>
      <c r="G207" s="35"/>
      <c r="H207" s="35"/>
      <c r="I207" s="35"/>
      <c r="J207" s="35"/>
      <c r="K207" s="35"/>
      <c r="L207" s="35"/>
      <c r="M207" s="36"/>
      <c r="N207" s="4"/>
    </row>
    <row r="208" spans="1:14" ht="24" customHeight="1">
      <c r="A208" s="66">
        <f>A12</f>
        <v>9</v>
      </c>
      <c r="B208" s="67" t="str">
        <f>B12</f>
        <v>샤시 공사</v>
      </c>
      <c r="C208" s="149"/>
      <c r="D208" s="150"/>
      <c r="E208" s="150"/>
      <c r="F208" s="150"/>
      <c r="G208" s="150"/>
      <c r="H208" s="150"/>
      <c r="I208" s="150"/>
      <c r="J208" s="150"/>
      <c r="K208" s="150"/>
      <c r="L208" s="150"/>
      <c r="M208" s="151"/>
      <c r="N208" s="4"/>
    </row>
    <row r="209" spans="1:14" ht="24" hidden="1" customHeight="1">
      <c r="A209" s="41"/>
      <c r="B209" s="57"/>
      <c r="C209" s="61"/>
      <c r="D209" s="34" t="s">
        <v>368</v>
      </c>
      <c r="E209" s="62"/>
      <c r="F209" s="63"/>
      <c r="G209" s="57"/>
      <c r="H209" s="35"/>
      <c r="I209" s="35"/>
      <c r="J209" s="35"/>
      <c r="K209" s="35"/>
      <c r="L209" s="35"/>
      <c r="M209" s="53"/>
      <c r="N209" s="4"/>
    </row>
    <row r="210" spans="1:14" ht="24" hidden="1" customHeight="1">
      <c r="A210" s="41"/>
      <c r="B210" s="57" t="s">
        <v>394</v>
      </c>
      <c r="C210" s="61" t="s">
        <v>395</v>
      </c>
      <c r="D210" s="34" t="s">
        <v>196</v>
      </c>
      <c r="E210" s="62"/>
      <c r="F210" s="63" t="s">
        <v>197</v>
      </c>
      <c r="G210" s="57">
        <v>977000</v>
      </c>
      <c r="H210" s="35">
        <f t="shared" ref="H210" si="73">E210*G210</f>
        <v>0</v>
      </c>
      <c r="I210" s="35"/>
      <c r="J210" s="35">
        <f t="shared" ref="J210" si="74">E210*I210</f>
        <v>0</v>
      </c>
      <c r="K210" s="35">
        <f t="shared" ref="K210" si="75">G210+I210</f>
        <v>977000</v>
      </c>
      <c r="L210" s="35">
        <f t="shared" ref="L210" si="76">H210+J210</f>
        <v>0</v>
      </c>
      <c r="M210" s="53"/>
      <c r="N210" s="4"/>
    </row>
    <row r="211" spans="1:14" ht="24" hidden="1" customHeight="1">
      <c r="A211" s="41"/>
      <c r="B211" s="57"/>
      <c r="C211" s="61" t="s">
        <v>397</v>
      </c>
      <c r="D211" s="34" t="s">
        <v>196</v>
      </c>
      <c r="E211" s="62"/>
      <c r="F211" s="63" t="s">
        <v>197</v>
      </c>
      <c r="G211" s="57">
        <v>450400</v>
      </c>
      <c r="H211" s="35">
        <f t="shared" ref="H211" si="77">E211*G211</f>
        <v>0</v>
      </c>
      <c r="I211" s="35"/>
      <c r="J211" s="35">
        <f t="shared" ref="J211" si="78">E211*I211</f>
        <v>0</v>
      </c>
      <c r="K211" s="35">
        <f t="shared" ref="K211" si="79">G211+I211</f>
        <v>450400</v>
      </c>
      <c r="L211" s="35">
        <f t="shared" ref="L211" si="80">H211+J211</f>
        <v>0</v>
      </c>
      <c r="M211" s="53"/>
      <c r="N211" s="4"/>
    </row>
    <row r="212" spans="1:14" ht="24" hidden="1" customHeight="1">
      <c r="A212" s="41"/>
      <c r="B212" s="57"/>
      <c r="C212" s="61" t="s">
        <v>398</v>
      </c>
      <c r="D212" s="34" t="s">
        <v>396</v>
      </c>
      <c r="E212" s="62"/>
      <c r="F212" s="63" t="s">
        <v>197</v>
      </c>
      <c r="G212" s="57">
        <v>215400</v>
      </c>
      <c r="H212" s="35">
        <f t="shared" ref="H212:H213" si="81">E212*G212</f>
        <v>0</v>
      </c>
      <c r="I212" s="35"/>
      <c r="J212" s="35">
        <f t="shared" ref="J212:J213" si="82">E212*I212</f>
        <v>0</v>
      </c>
      <c r="K212" s="35">
        <f t="shared" ref="K212:K213" si="83">G212+I212</f>
        <v>215400</v>
      </c>
      <c r="L212" s="35">
        <f t="shared" ref="L212:L213" si="84">H212+J212</f>
        <v>0</v>
      </c>
      <c r="M212" s="53"/>
      <c r="N212" s="4"/>
    </row>
    <row r="213" spans="1:14" ht="24" hidden="1" customHeight="1">
      <c r="A213" s="41"/>
      <c r="B213" s="57" t="s">
        <v>399</v>
      </c>
      <c r="C213" s="61" t="s">
        <v>400</v>
      </c>
      <c r="D213" s="34" t="s">
        <v>196</v>
      </c>
      <c r="E213" s="62"/>
      <c r="F213" s="63" t="s">
        <v>197</v>
      </c>
      <c r="G213" s="57">
        <v>3632200</v>
      </c>
      <c r="H213" s="35">
        <f t="shared" si="81"/>
        <v>0</v>
      </c>
      <c r="I213" s="35"/>
      <c r="J213" s="35">
        <f t="shared" si="82"/>
        <v>0</v>
      </c>
      <c r="K213" s="35">
        <f t="shared" si="83"/>
        <v>3632200</v>
      </c>
      <c r="L213" s="35">
        <f t="shared" si="84"/>
        <v>0</v>
      </c>
      <c r="M213" s="53"/>
      <c r="N213" s="4"/>
    </row>
    <row r="214" spans="1:14" ht="24" hidden="1" customHeight="1">
      <c r="A214" s="41"/>
      <c r="B214" s="57" t="s">
        <v>401</v>
      </c>
      <c r="C214" s="61" t="s">
        <v>402</v>
      </c>
      <c r="D214" s="34" t="s">
        <v>309</v>
      </c>
      <c r="E214" s="62"/>
      <c r="F214" s="63" t="s">
        <v>197</v>
      </c>
      <c r="G214" s="57">
        <v>693600</v>
      </c>
      <c r="H214" s="35">
        <f t="shared" ref="H214:H226" si="85">E214*G214</f>
        <v>0</v>
      </c>
      <c r="I214" s="35"/>
      <c r="J214" s="35">
        <f t="shared" ref="J214:J226" si="86">E214*I214</f>
        <v>0</v>
      </c>
      <c r="K214" s="35">
        <f t="shared" ref="K214:L226" si="87">G214+I214</f>
        <v>693600</v>
      </c>
      <c r="L214" s="35">
        <f t="shared" si="87"/>
        <v>0</v>
      </c>
      <c r="M214" s="53"/>
      <c r="N214" s="4"/>
    </row>
    <row r="215" spans="1:14" ht="24" hidden="1" customHeight="1">
      <c r="A215" s="41"/>
      <c r="B215" s="57" t="s">
        <v>403</v>
      </c>
      <c r="C215" s="61" t="s">
        <v>404</v>
      </c>
      <c r="D215" s="34" t="s">
        <v>409</v>
      </c>
      <c r="E215" s="62"/>
      <c r="F215" s="63" t="s">
        <v>197</v>
      </c>
      <c r="G215" s="57">
        <v>510100</v>
      </c>
      <c r="H215" s="35">
        <f t="shared" ref="H215" si="88">E215*G215</f>
        <v>0</v>
      </c>
      <c r="I215" s="35"/>
      <c r="J215" s="35">
        <f t="shared" ref="J215" si="89">E215*I215</f>
        <v>0</v>
      </c>
      <c r="K215" s="35">
        <f t="shared" ref="K215" si="90">G215+I215</f>
        <v>510100</v>
      </c>
      <c r="L215" s="35">
        <f t="shared" ref="L215" si="91">H215+J215</f>
        <v>0</v>
      </c>
      <c r="M215" s="53"/>
      <c r="N215" s="4"/>
    </row>
    <row r="216" spans="1:14" ht="24" hidden="1" customHeight="1">
      <c r="A216" s="41"/>
      <c r="B216" s="57" t="s">
        <v>405</v>
      </c>
      <c r="C216" s="61" t="s">
        <v>402</v>
      </c>
      <c r="D216" s="34" t="s">
        <v>309</v>
      </c>
      <c r="E216" s="62"/>
      <c r="F216" s="63" t="s">
        <v>197</v>
      </c>
      <c r="G216" s="57">
        <v>693600</v>
      </c>
      <c r="H216" s="35">
        <f t="shared" si="85"/>
        <v>0</v>
      </c>
      <c r="I216" s="35"/>
      <c r="J216" s="35">
        <f t="shared" si="86"/>
        <v>0</v>
      </c>
      <c r="K216" s="35">
        <f t="shared" si="87"/>
        <v>693600</v>
      </c>
      <c r="L216" s="35">
        <f t="shared" si="87"/>
        <v>0</v>
      </c>
      <c r="M216" s="53"/>
      <c r="N216" s="4"/>
    </row>
    <row r="217" spans="1:14" ht="24" hidden="1" customHeight="1">
      <c r="A217" s="41"/>
      <c r="B217" s="57" t="s">
        <v>406</v>
      </c>
      <c r="C217" s="61" t="s">
        <v>407</v>
      </c>
      <c r="D217" s="34" t="s">
        <v>408</v>
      </c>
      <c r="E217" s="62"/>
      <c r="F217" s="63" t="s">
        <v>197</v>
      </c>
      <c r="G217" s="57">
        <v>1190900</v>
      </c>
      <c r="H217" s="35">
        <f t="shared" si="85"/>
        <v>0</v>
      </c>
      <c r="I217" s="35"/>
      <c r="J217" s="35">
        <f t="shared" si="86"/>
        <v>0</v>
      </c>
      <c r="K217" s="35"/>
      <c r="L217" s="35"/>
      <c r="M217" s="53"/>
      <c r="N217" s="4"/>
    </row>
    <row r="218" spans="1:14" s="127" customFormat="1" ht="24" hidden="1" customHeight="1">
      <c r="A218" s="120"/>
      <c r="B218" s="64" t="s">
        <v>406</v>
      </c>
      <c r="C218" s="121" t="s">
        <v>410</v>
      </c>
      <c r="D218" s="122" t="s">
        <v>408</v>
      </c>
      <c r="E218" s="123"/>
      <c r="F218" s="124" t="s">
        <v>197</v>
      </c>
      <c r="G218" s="64">
        <v>1095000</v>
      </c>
      <c r="H218" s="125">
        <f t="shared" ref="H218:H219" si="92">E218*G218</f>
        <v>0</v>
      </c>
      <c r="I218" s="125"/>
      <c r="J218" s="125">
        <f t="shared" ref="J218:J219" si="93">E218*I218</f>
        <v>0</v>
      </c>
      <c r="K218" s="125">
        <f t="shared" si="87"/>
        <v>1095000</v>
      </c>
      <c r="L218" s="125">
        <f t="shared" si="87"/>
        <v>0</v>
      </c>
      <c r="M218" s="53" t="s">
        <v>326</v>
      </c>
      <c r="N218" s="126"/>
    </row>
    <row r="219" spans="1:14" ht="24" hidden="1" customHeight="1">
      <c r="A219" s="41"/>
      <c r="B219" s="57" t="s">
        <v>411</v>
      </c>
      <c r="C219" s="61" t="s">
        <v>412</v>
      </c>
      <c r="D219" s="34" t="s">
        <v>196</v>
      </c>
      <c r="E219" s="62"/>
      <c r="F219" s="63" t="s">
        <v>197</v>
      </c>
      <c r="G219" s="57">
        <v>1190900</v>
      </c>
      <c r="H219" s="35">
        <f t="shared" si="92"/>
        <v>0</v>
      </c>
      <c r="I219" s="35"/>
      <c r="J219" s="35">
        <f t="shared" si="93"/>
        <v>0</v>
      </c>
      <c r="K219" s="35">
        <f t="shared" ref="K219" si="94">G219+I219</f>
        <v>1190900</v>
      </c>
      <c r="L219" s="35">
        <f t="shared" ref="L219" si="95">H219+J219</f>
        <v>0</v>
      </c>
      <c r="M219" s="53"/>
      <c r="N219" s="4"/>
    </row>
    <row r="220" spans="1:14" ht="24" hidden="1" customHeight="1">
      <c r="A220" s="41"/>
      <c r="B220" s="57" t="s">
        <v>413</v>
      </c>
      <c r="C220" s="61" t="s">
        <v>414</v>
      </c>
      <c r="D220" s="34" t="s">
        <v>408</v>
      </c>
      <c r="E220" s="62"/>
      <c r="F220" s="63" t="s">
        <v>197</v>
      </c>
      <c r="G220" s="57">
        <v>601000</v>
      </c>
      <c r="H220" s="35">
        <f t="shared" ref="H220:H221" si="96">E220*G220</f>
        <v>0</v>
      </c>
      <c r="I220" s="35"/>
      <c r="J220" s="35">
        <f t="shared" ref="J220:J221" si="97">E220*I220</f>
        <v>0</v>
      </c>
      <c r="K220" s="35"/>
      <c r="L220" s="35"/>
      <c r="M220" s="53"/>
      <c r="N220" s="4"/>
    </row>
    <row r="221" spans="1:14" s="127" customFormat="1" ht="24" hidden="1" customHeight="1">
      <c r="A221" s="120"/>
      <c r="B221" s="64" t="s">
        <v>413</v>
      </c>
      <c r="C221" s="121" t="s">
        <v>415</v>
      </c>
      <c r="D221" s="122" t="s">
        <v>408</v>
      </c>
      <c r="E221" s="123"/>
      <c r="F221" s="124" t="s">
        <v>197</v>
      </c>
      <c r="G221" s="64">
        <v>568000</v>
      </c>
      <c r="H221" s="125">
        <f t="shared" si="96"/>
        <v>0</v>
      </c>
      <c r="I221" s="125"/>
      <c r="J221" s="125">
        <f t="shared" si="97"/>
        <v>0</v>
      </c>
      <c r="K221" s="125">
        <f t="shared" si="87"/>
        <v>568000</v>
      </c>
      <c r="L221" s="125">
        <f t="shared" si="87"/>
        <v>0</v>
      </c>
      <c r="M221" s="53" t="s">
        <v>326</v>
      </c>
      <c r="N221" s="126"/>
    </row>
    <row r="222" spans="1:14" ht="24" hidden="1" customHeight="1">
      <c r="A222" s="41"/>
      <c r="B222" s="57" t="s">
        <v>416</v>
      </c>
      <c r="C222" s="61" t="s">
        <v>417</v>
      </c>
      <c r="D222" s="34" t="s">
        <v>196</v>
      </c>
      <c r="E222" s="62"/>
      <c r="F222" s="63" t="s">
        <v>197</v>
      </c>
      <c r="G222" s="57">
        <v>634700</v>
      </c>
      <c r="H222" s="35">
        <f t="shared" ref="H222" si="98">E222*G222</f>
        <v>0</v>
      </c>
      <c r="I222" s="35"/>
      <c r="J222" s="35">
        <f t="shared" ref="J222" si="99">E222*I222</f>
        <v>0</v>
      </c>
      <c r="K222" s="35">
        <f t="shared" ref="K222" si="100">G222+I222</f>
        <v>634700</v>
      </c>
      <c r="L222" s="35">
        <f t="shared" ref="L222" si="101">H222+J222</f>
        <v>0</v>
      </c>
      <c r="M222" s="53"/>
      <c r="N222" s="4"/>
    </row>
    <row r="223" spans="1:14" ht="24" hidden="1" customHeight="1">
      <c r="A223" s="41"/>
      <c r="B223" s="57" t="s">
        <v>199</v>
      </c>
      <c r="C223" s="61" t="s">
        <v>200</v>
      </c>
      <c r="D223" s="34"/>
      <c r="E223" s="62"/>
      <c r="F223" s="63" t="s">
        <v>197</v>
      </c>
      <c r="G223" s="57"/>
      <c r="H223" s="35">
        <f t="shared" si="85"/>
        <v>0</v>
      </c>
      <c r="I223" s="35"/>
      <c r="J223" s="35">
        <f t="shared" si="86"/>
        <v>0</v>
      </c>
      <c r="K223" s="35">
        <f t="shared" si="87"/>
        <v>0</v>
      </c>
      <c r="L223" s="35">
        <f t="shared" si="87"/>
        <v>0</v>
      </c>
      <c r="M223" s="53"/>
      <c r="N223" s="4"/>
    </row>
    <row r="224" spans="1:14" ht="24" hidden="1" customHeight="1">
      <c r="A224" s="41"/>
      <c r="B224" s="57" t="s">
        <v>100</v>
      </c>
      <c r="C224" s="61" t="s">
        <v>420</v>
      </c>
      <c r="D224" s="34"/>
      <c r="E224" s="62"/>
      <c r="F224" s="63" t="s">
        <v>197</v>
      </c>
      <c r="G224" s="57">
        <v>360300</v>
      </c>
      <c r="H224" s="35">
        <f t="shared" si="85"/>
        <v>0</v>
      </c>
      <c r="I224" s="35"/>
      <c r="J224" s="35">
        <f t="shared" si="86"/>
        <v>0</v>
      </c>
      <c r="K224" s="35">
        <f t="shared" si="87"/>
        <v>360300</v>
      </c>
      <c r="L224" s="35">
        <f t="shared" si="87"/>
        <v>0</v>
      </c>
      <c r="M224" s="53"/>
      <c r="N224" s="4"/>
    </row>
    <row r="225" spans="1:14" ht="24" hidden="1" customHeight="1">
      <c r="A225" s="41"/>
      <c r="B225" s="57" t="s">
        <v>201</v>
      </c>
      <c r="C225" s="61"/>
      <c r="D225" s="34"/>
      <c r="E225" s="62"/>
      <c r="F225" s="63" t="s">
        <v>197</v>
      </c>
      <c r="G225" s="57">
        <v>450000</v>
      </c>
      <c r="H225" s="35">
        <f t="shared" si="85"/>
        <v>0</v>
      </c>
      <c r="I225" s="35"/>
      <c r="J225" s="35">
        <f t="shared" si="86"/>
        <v>0</v>
      </c>
      <c r="K225" s="35">
        <f t="shared" si="87"/>
        <v>450000</v>
      </c>
      <c r="L225" s="35">
        <f t="shared" si="87"/>
        <v>0</v>
      </c>
      <c r="M225" s="53"/>
      <c r="N225" s="4"/>
    </row>
    <row r="226" spans="1:14" ht="24" hidden="1" customHeight="1">
      <c r="A226" s="41"/>
      <c r="B226" s="57" t="s">
        <v>104</v>
      </c>
      <c r="C226" s="61" t="s">
        <v>274</v>
      </c>
      <c r="D226" s="34"/>
      <c r="E226" s="62"/>
      <c r="F226" s="63" t="s">
        <v>197</v>
      </c>
      <c r="G226" s="57">
        <v>200000</v>
      </c>
      <c r="H226" s="35">
        <f t="shared" si="85"/>
        <v>0</v>
      </c>
      <c r="I226" s="35"/>
      <c r="J226" s="35">
        <f t="shared" si="86"/>
        <v>0</v>
      </c>
      <c r="K226" s="35">
        <f t="shared" si="87"/>
        <v>200000</v>
      </c>
      <c r="L226" s="35">
        <f t="shared" si="87"/>
        <v>0</v>
      </c>
      <c r="M226" s="53"/>
      <c r="N226" s="4"/>
    </row>
    <row r="227" spans="1:14" ht="24" hidden="1" customHeight="1">
      <c r="A227" s="41"/>
      <c r="B227" s="64"/>
      <c r="C227" s="61"/>
      <c r="D227" s="32"/>
      <c r="E227" s="62"/>
      <c r="F227" s="63"/>
      <c r="G227" s="57"/>
      <c r="H227" s="35"/>
      <c r="I227" s="35"/>
      <c r="J227" s="35"/>
      <c r="K227" s="35"/>
      <c r="L227" s="35"/>
      <c r="M227" s="36"/>
      <c r="N227" s="4"/>
    </row>
    <row r="228" spans="1:14" ht="24" hidden="1" customHeight="1">
      <c r="A228" s="41"/>
      <c r="B228" s="32" t="s">
        <v>49</v>
      </c>
      <c r="C228" s="32"/>
      <c r="D228" s="32"/>
      <c r="E228" s="33"/>
      <c r="F228" s="34"/>
      <c r="G228" s="35"/>
      <c r="H228" s="35">
        <f>SUM(H209:H227)</f>
        <v>0</v>
      </c>
      <c r="I228" s="35"/>
      <c r="J228" s="35">
        <f>SUM(J209:J227)</f>
        <v>0</v>
      </c>
      <c r="K228" s="35"/>
      <c r="L228" s="35">
        <f>SUM(L209:L227)</f>
        <v>0</v>
      </c>
      <c r="M228" s="36"/>
      <c r="N228" s="4"/>
    </row>
    <row r="229" spans="1:14" ht="24" hidden="1" customHeight="1">
      <c r="A229" s="41"/>
      <c r="B229" s="64" t="s">
        <v>202</v>
      </c>
      <c r="C229" s="32"/>
      <c r="D229" s="32"/>
      <c r="E229" s="33"/>
      <c r="F229" s="34"/>
      <c r="G229" s="35"/>
      <c r="H229" s="35"/>
      <c r="I229" s="35"/>
      <c r="J229" s="35"/>
      <c r="K229" s="35"/>
      <c r="L229" s="35"/>
      <c r="M229" s="36"/>
      <c r="N229" s="4"/>
    </row>
    <row r="230" spans="1:14" ht="24" customHeight="1">
      <c r="A230" s="66">
        <f>A13</f>
        <v>10</v>
      </c>
      <c r="B230" s="67" t="str">
        <f>B13</f>
        <v>도장 공사</v>
      </c>
      <c r="C230" s="149"/>
      <c r="D230" s="150"/>
      <c r="E230" s="150"/>
      <c r="F230" s="150"/>
      <c r="G230" s="150"/>
      <c r="H230" s="150"/>
      <c r="I230" s="150"/>
      <c r="J230" s="150"/>
      <c r="K230" s="150"/>
      <c r="L230" s="150"/>
      <c r="M230" s="151"/>
      <c r="N230" s="4"/>
    </row>
    <row r="231" spans="1:14" ht="24" customHeight="1">
      <c r="A231" s="41"/>
      <c r="B231" s="57" t="s">
        <v>203</v>
      </c>
      <c r="C231" s="65" t="s">
        <v>204</v>
      </c>
      <c r="D231" s="34" t="s">
        <v>369</v>
      </c>
      <c r="E231" s="50">
        <v>114.54</v>
      </c>
      <c r="F231" s="49" t="s">
        <v>13</v>
      </c>
      <c r="G231" s="57">
        <v>1800</v>
      </c>
      <c r="H231" s="35">
        <f>E231*G231</f>
        <v>206172</v>
      </c>
      <c r="I231" s="35">
        <v>4500</v>
      </c>
      <c r="J231" s="35">
        <f>E231*I231</f>
        <v>515430</v>
      </c>
      <c r="K231" s="35">
        <f>G231+I231</f>
        <v>6300</v>
      </c>
      <c r="L231" s="35">
        <f>H231+J231</f>
        <v>721602</v>
      </c>
      <c r="M231" s="36"/>
      <c r="N231" s="4"/>
    </row>
    <row r="232" spans="1:14" ht="24" customHeight="1">
      <c r="A232" s="41"/>
      <c r="B232" s="64"/>
      <c r="C232" s="58"/>
      <c r="D232" s="32"/>
      <c r="E232" s="33"/>
      <c r="F232" s="49"/>
      <c r="G232" s="57"/>
      <c r="H232" s="35"/>
      <c r="I232" s="35"/>
      <c r="J232" s="35"/>
      <c r="K232" s="35"/>
      <c r="L232" s="35"/>
      <c r="M232" s="36"/>
      <c r="N232" s="4"/>
    </row>
    <row r="233" spans="1:14" ht="24" customHeight="1">
      <c r="A233" s="41"/>
      <c r="B233" s="32" t="s">
        <v>49</v>
      </c>
      <c r="C233" s="32"/>
      <c r="D233" s="32"/>
      <c r="E233" s="33"/>
      <c r="F233" s="34"/>
      <c r="G233" s="35"/>
      <c r="H233" s="35">
        <f>SUM(H231:H232)</f>
        <v>206172</v>
      </c>
      <c r="I233" s="35"/>
      <c r="J233" s="35">
        <f>SUM(J231:J232)</f>
        <v>515430</v>
      </c>
      <c r="K233" s="35"/>
      <c r="L233" s="35">
        <f>SUM(L231:L232)</f>
        <v>721602</v>
      </c>
      <c r="M233" s="36"/>
      <c r="N233" s="4"/>
    </row>
    <row r="234" spans="1:14" ht="24" customHeight="1">
      <c r="A234" s="41"/>
      <c r="B234" s="64" t="s">
        <v>205</v>
      </c>
      <c r="C234" s="65"/>
      <c r="D234" s="32"/>
      <c r="E234" s="62"/>
      <c r="F234" s="49"/>
      <c r="G234" s="57"/>
      <c r="H234" s="35"/>
      <c r="I234" s="35"/>
      <c r="J234" s="35"/>
      <c r="K234" s="35"/>
      <c r="L234" s="35"/>
      <c r="M234" s="36"/>
      <c r="N234" s="4"/>
    </row>
    <row r="235" spans="1:14" ht="24" customHeight="1">
      <c r="A235" s="41"/>
      <c r="B235" s="64" t="s">
        <v>206</v>
      </c>
      <c r="C235" s="58"/>
      <c r="D235" s="32"/>
      <c r="E235" s="33"/>
      <c r="F235" s="49"/>
      <c r="G235" s="57"/>
      <c r="H235" s="35"/>
      <c r="I235" s="35"/>
      <c r="J235" s="35"/>
      <c r="K235" s="35"/>
      <c r="L235" s="35"/>
      <c r="M235" s="36"/>
      <c r="N235" s="4"/>
    </row>
    <row r="236" spans="1:14" ht="24" customHeight="1">
      <c r="A236" s="66">
        <f>A14</f>
        <v>11</v>
      </c>
      <c r="B236" s="67" t="str">
        <f>B14</f>
        <v>바닥 공사</v>
      </c>
      <c r="C236" s="149"/>
      <c r="D236" s="150"/>
      <c r="E236" s="150"/>
      <c r="F236" s="150"/>
      <c r="G236" s="150"/>
      <c r="H236" s="150"/>
      <c r="I236" s="150"/>
      <c r="J236" s="150"/>
      <c r="K236" s="150"/>
      <c r="L236" s="150"/>
      <c r="M236" s="151"/>
      <c r="N236" s="4"/>
    </row>
    <row r="237" spans="1:14" ht="24" customHeight="1">
      <c r="A237" s="41"/>
      <c r="B237" s="57" t="s">
        <v>448</v>
      </c>
      <c r="C237" s="65" t="s">
        <v>456</v>
      </c>
      <c r="D237" s="34" t="s">
        <v>461</v>
      </c>
      <c r="E237" s="50">
        <v>101.26</v>
      </c>
      <c r="F237" s="49" t="s">
        <v>13</v>
      </c>
      <c r="G237" s="57">
        <v>27500</v>
      </c>
      <c r="H237" s="35">
        <f>E237*G237</f>
        <v>2784650</v>
      </c>
      <c r="I237" s="35">
        <v>12500</v>
      </c>
      <c r="J237" s="35">
        <f>E237*I237</f>
        <v>1265750</v>
      </c>
      <c r="K237" s="35">
        <f>G237+I237</f>
        <v>40000</v>
      </c>
      <c r="L237" s="35">
        <f>H237+J237</f>
        <v>4050400</v>
      </c>
      <c r="M237" s="53"/>
      <c r="N237" s="4"/>
    </row>
    <row r="238" spans="1:14" ht="24" customHeight="1">
      <c r="A238" s="41"/>
      <c r="B238" s="64"/>
      <c r="C238" s="65" t="s">
        <v>463</v>
      </c>
      <c r="D238" s="32"/>
      <c r="E238" s="62"/>
      <c r="F238" s="49"/>
      <c r="G238" s="57"/>
      <c r="H238" s="35"/>
      <c r="I238" s="35"/>
      <c r="J238" s="35"/>
      <c r="K238" s="35"/>
      <c r="L238" s="35"/>
      <c r="M238" s="36"/>
      <c r="N238" s="4"/>
    </row>
    <row r="239" spans="1:14" ht="24" customHeight="1">
      <c r="A239" s="41"/>
      <c r="B239" s="64"/>
      <c r="C239" s="58"/>
      <c r="D239" s="32"/>
      <c r="E239" s="33"/>
      <c r="F239" s="49"/>
      <c r="G239" s="57"/>
      <c r="H239" s="35"/>
      <c r="I239" s="35"/>
      <c r="J239" s="35"/>
      <c r="K239" s="35"/>
      <c r="L239" s="35"/>
      <c r="M239" s="36"/>
      <c r="N239" s="4"/>
    </row>
    <row r="240" spans="1:14" ht="24" customHeight="1">
      <c r="A240" s="41"/>
      <c r="B240" s="32" t="s">
        <v>49</v>
      </c>
      <c r="C240" s="32"/>
      <c r="D240" s="32"/>
      <c r="E240" s="33"/>
      <c r="F240" s="34"/>
      <c r="G240" s="35"/>
      <c r="H240" s="35">
        <f>SUM(H237:H239)</f>
        <v>2784650</v>
      </c>
      <c r="I240" s="35"/>
      <c r="J240" s="35">
        <f>SUM(J237:J239)</f>
        <v>1265750</v>
      </c>
      <c r="K240" s="35"/>
      <c r="L240" s="35">
        <f>SUM(L237:L239)</f>
        <v>4050400</v>
      </c>
      <c r="M240" s="36"/>
      <c r="N240" s="4"/>
    </row>
    <row r="241" spans="1:14" ht="24" customHeight="1">
      <c r="A241" s="41"/>
      <c r="B241" s="64" t="s">
        <v>464</v>
      </c>
      <c r="C241" s="32"/>
      <c r="D241" s="32"/>
      <c r="E241" s="33"/>
      <c r="F241" s="34"/>
      <c r="G241" s="35"/>
      <c r="H241" s="35"/>
      <c r="I241" s="35"/>
      <c r="J241" s="35"/>
      <c r="K241" s="35"/>
      <c r="L241" s="35"/>
      <c r="M241" s="36"/>
      <c r="N241" s="4"/>
    </row>
    <row r="242" spans="1:14" ht="24" customHeight="1">
      <c r="A242" s="66">
        <f>A15</f>
        <v>12</v>
      </c>
      <c r="B242" s="67" t="str">
        <f>B15</f>
        <v>기타 공사</v>
      </c>
      <c r="C242" s="149"/>
      <c r="D242" s="150"/>
      <c r="E242" s="150"/>
      <c r="F242" s="150"/>
      <c r="G242" s="150"/>
      <c r="H242" s="150"/>
      <c r="I242" s="150"/>
      <c r="J242" s="150"/>
      <c r="K242" s="150"/>
      <c r="L242" s="150"/>
      <c r="M242" s="151"/>
      <c r="N242" s="4"/>
    </row>
    <row r="243" spans="1:14" ht="24" customHeight="1">
      <c r="A243" s="41"/>
      <c r="B243" s="57" t="s">
        <v>314</v>
      </c>
      <c r="C243" s="63" t="s">
        <v>449</v>
      </c>
      <c r="D243" s="34"/>
      <c r="E243" s="33">
        <v>4</v>
      </c>
      <c r="F243" s="49" t="s">
        <v>96</v>
      </c>
      <c r="G243" s="57">
        <v>1950000</v>
      </c>
      <c r="H243" s="35">
        <f>E243*G243</f>
        <v>7800000</v>
      </c>
      <c r="I243" s="35"/>
      <c r="J243" s="35">
        <f>E243*I243</f>
        <v>0</v>
      </c>
      <c r="K243" s="35">
        <f>G243+I243</f>
        <v>1950000</v>
      </c>
      <c r="L243" s="35">
        <f>H243+J243</f>
        <v>7800000</v>
      </c>
      <c r="M243" s="36"/>
      <c r="N243" s="4"/>
    </row>
    <row r="244" spans="1:14" ht="24" customHeight="1">
      <c r="A244" s="41"/>
      <c r="B244" s="57"/>
      <c r="C244" s="63" t="s">
        <v>359</v>
      </c>
      <c r="D244" s="32"/>
      <c r="E244" s="33">
        <v>1</v>
      </c>
      <c r="F244" s="49" t="s">
        <v>43</v>
      </c>
      <c r="G244" s="57">
        <v>500000</v>
      </c>
      <c r="H244" s="35">
        <f>E244*G244</f>
        <v>500000</v>
      </c>
      <c r="I244" s="35"/>
      <c r="J244" s="35">
        <f>E244*I244</f>
        <v>0</v>
      </c>
      <c r="K244" s="35">
        <f>G244+I244</f>
        <v>500000</v>
      </c>
      <c r="L244" s="35">
        <f>H244+J244</f>
        <v>500000</v>
      </c>
      <c r="M244" s="36"/>
      <c r="N244" s="4"/>
    </row>
    <row r="245" spans="1:14" ht="24" customHeight="1">
      <c r="A245" s="41"/>
      <c r="B245" s="57"/>
      <c r="C245" s="63"/>
      <c r="D245" s="32"/>
      <c r="E245" s="33"/>
      <c r="F245" s="49"/>
      <c r="G245" s="57"/>
      <c r="H245" s="35"/>
      <c r="I245" s="35"/>
      <c r="J245" s="35"/>
      <c r="K245" s="35"/>
      <c r="L245" s="35"/>
      <c r="M245" s="36"/>
      <c r="N245" s="4"/>
    </row>
    <row r="246" spans="1:14" ht="24" customHeight="1">
      <c r="A246" s="41"/>
      <c r="B246" s="57" t="s">
        <v>357</v>
      </c>
      <c r="C246" s="63" t="s">
        <v>389</v>
      </c>
      <c r="D246" s="34"/>
      <c r="E246" s="50"/>
      <c r="F246" s="49" t="s">
        <v>13</v>
      </c>
      <c r="G246" s="57">
        <v>12000</v>
      </c>
      <c r="H246" s="35">
        <f>E246*G246</f>
        <v>0</v>
      </c>
      <c r="I246" s="35">
        <v>21500</v>
      </c>
      <c r="J246" s="35">
        <f>E246*I246</f>
        <v>0</v>
      </c>
      <c r="K246" s="35">
        <f t="shared" ref="K246:L248" si="102">G246+I246</f>
        <v>33500</v>
      </c>
      <c r="L246" s="35">
        <f t="shared" si="102"/>
        <v>0</v>
      </c>
      <c r="M246" s="36"/>
      <c r="N246" s="4"/>
    </row>
    <row r="247" spans="1:14" ht="24" customHeight="1">
      <c r="A247" s="41"/>
      <c r="B247" s="57"/>
      <c r="C247" s="63" t="s">
        <v>207</v>
      </c>
      <c r="D247" s="32"/>
      <c r="E247" s="33"/>
      <c r="F247" s="49" t="s">
        <v>43</v>
      </c>
      <c r="G247" s="57">
        <v>100000</v>
      </c>
      <c r="H247" s="35">
        <f>E247*G247</f>
        <v>0</v>
      </c>
      <c r="I247" s="35"/>
      <c r="J247" s="35">
        <f>E247*I247</f>
        <v>0</v>
      </c>
      <c r="K247" s="35">
        <f t="shared" si="102"/>
        <v>100000</v>
      </c>
      <c r="L247" s="35">
        <f t="shared" si="102"/>
        <v>0</v>
      </c>
      <c r="M247" s="36"/>
      <c r="N247" s="4"/>
    </row>
    <row r="248" spans="1:14" ht="24" customHeight="1">
      <c r="A248" s="41"/>
      <c r="B248" s="57"/>
      <c r="C248" s="63" t="s">
        <v>370</v>
      </c>
      <c r="D248" s="32"/>
      <c r="E248" s="33"/>
      <c r="F248" s="49" t="s">
        <v>43</v>
      </c>
      <c r="G248" s="57">
        <v>550000</v>
      </c>
      <c r="H248" s="35">
        <f>E248*G248</f>
        <v>0</v>
      </c>
      <c r="I248" s="35"/>
      <c r="J248" s="35">
        <f>E248*I248</f>
        <v>0</v>
      </c>
      <c r="K248" s="35">
        <f t="shared" si="102"/>
        <v>550000</v>
      </c>
      <c r="L248" s="35">
        <f t="shared" si="102"/>
        <v>0</v>
      </c>
      <c r="M248" s="36"/>
      <c r="N248" s="4"/>
    </row>
    <row r="249" spans="1:14" ht="24" customHeight="1">
      <c r="A249" s="41"/>
      <c r="B249" s="64"/>
      <c r="C249" s="65"/>
      <c r="D249" s="32"/>
      <c r="E249" s="62"/>
      <c r="F249" s="49"/>
      <c r="G249" s="57"/>
      <c r="H249" s="35"/>
      <c r="I249" s="35"/>
      <c r="J249" s="35"/>
      <c r="K249" s="35"/>
      <c r="L249" s="35"/>
      <c r="M249" s="36"/>
      <c r="N249" s="4"/>
    </row>
    <row r="250" spans="1:14" ht="24" customHeight="1">
      <c r="A250" s="41"/>
      <c r="B250" s="32" t="s">
        <v>49</v>
      </c>
      <c r="C250" s="32"/>
      <c r="D250" s="32"/>
      <c r="E250" s="33"/>
      <c r="F250" s="34"/>
      <c r="G250" s="35"/>
      <c r="H250" s="35">
        <f>SUM(H243:H249)</f>
        <v>8300000</v>
      </c>
      <c r="I250" s="35"/>
      <c r="J250" s="35">
        <f>SUM(J243:J249)</f>
        <v>0</v>
      </c>
      <c r="K250" s="35"/>
      <c r="L250" s="35">
        <f>SUM(L243:L249)</f>
        <v>8300000</v>
      </c>
      <c r="M250" s="36"/>
      <c r="N250" s="4"/>
    </row>
    <row r="251" spans="1:14" ht="24" customHeight="1">
      <c r="A251" s="41"/>
      <c r="B251" s="64"/>
      <c r="C251" s="65"/>
      <c r="D251" s="32"/>
      <c r="E251" s="62"/>
      <c r="F251" s="49"/>
      <c r="G251" s="57"/>
      <c r="H251" s="35"/>
      <c r="I251" s="35"/>
      <c r="J251" s="35"/>
      <c r="K251" s="35"/>
      <c r="L251" s="35"/>
      <c r="M251" s="36"/>
      <c r="N251" s="4"/>
    </row>
  </sheetData>
  <mergeCells count="19">
    <mergeCell ref="C128:M128"/>
    <mergeCell ref="G1:H1"/>
    <mergeCell ref="I1:J1"/>
    <mergeCell ref="K1:L1"/>
    <mergeCell ref="B3:M3"/>
    <mergeCell ref="A16:G16"/>
    <mergeCell ref="B18:M18"/>
    <mergeCell ref="A23:G23"/>
    <mergeCell ref="A24:G24"/>
    <mergeCell ref="C40:M40"/>
    <mergeCell ref="C59:M59"/>
    <mergeCell ref="C94:M94"/>
    <mergeCell ref="C242:M242"/>
    <mergeCell ref="C137:M137"/>
    <mergeCell ref="C153:M153"/>
    <mergeCell ref="C186:M186"/>
    <mergeCell ref="C208:M208"/>
    <mergeCell ref="C230:M230"/>
    <mergeCell ref="C236:M236"/>
  </mergeCells>
  <phoneticPr fontId="1" type="noConversion"/>
  <printOptions horizontalCentered="1"/>
  <pageMargins left="0" right="0" top="0.51181102362204722" bottom="0.35433070866141736" header="0.27559055118110237" footer="0.15748031496062992"/>
  <pageSetup paperSize="9" scale="58" orientation="landscape" r:id="rId1"/>
  <headerFooter alignWithMargins="0">
    <oddFooter>&amp;C&amp;P/&amp;N</oddFooter>
  </headerFooter>
  <rowBreaks count="7" manualBreakCount="7">
    <brk id="28" max="12" man="1"/>
    <brk id="58" max="12" man="1"/>
    <brk id="93" max="12" man="1"/>
    <brk id="127" max="12" man="1"/>
    <brk id="152" max="12" man="1"/>
    <brk id="185" max="12" man="1"/>
    <brk id="229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1"/>
  <sheetViews>
    <sheetView tabSelected="1" view="pageBreakPreview" zoomScaleSheetLayoutView="100" workbookViewId="0">
      <pane ySplit="1" topLeftCell="A2" activePane="bottomLeft" state="frozen"/>
      <selection pane="bottomLeft" activeCell="C238" sqref="C238"/>
    </sheetView>
  </sheetViews>
  <sheetFormatPr defaultColWidth="9" defaultRowHeight="24" customHeight="1"/>
  <cols>
    <col min="1" max="1" width="4.625" style="6" customWidth="1"/>
    <col min="2" max="2" width="25.5" style="7" customWidth="1"/>
    <col min="3" max="3" width="27.375" style="7" customWidth="1"/>
    <col min="4" max="4" width="10.625" style="7" customWidth="1"/>
    <col min="5" max="5" width="7.375" style="8" customWidth="1"/>
    <col min="6" max="6" width="6.625" style="6" customWidth="1"/>
    <col min="7" max="7" width="11.625" style="9" customWidth="1"/>
    <col min="8" max="8" width="15.625" style="9" customWidth="1"/>
    <col min="9" max="9" width="11.625" style="9" customWidth="1"/>
    <col min="10" max="10" width="15.625" style="9" customWidth="1"/>
    <col min="11" max="11" width="11.625" style="9" customWidth="1"/>
    <col min="12" max="12" width="15.625" style="9" customWidth="1"/>
    <col min="13" max="13" width="8.125" style="9" customWidth="1"/>
    <col min="14" max="14" width="14" style="1" customWidth="1"/>
    <col min="15" max="16384" width="9" style="1"/>
  </cols>
  <sheetData>
    <row r="1" spans="1:13" ht="32.1" customHeight="1">
      <c r="A1" s="13" t="s">
        <v>15</v>
      </c>
      <c r="B1" s="14" t="s">
        <v>16</v>
      </c>
      <c r="C1" s="14" t="s">
        <v>221</v>
      </c>
      <c r="D1" s="14" t="s">
        <v>17</v>
      </c>
      <c r="E1" s="15" t="s">
        <v>18</v>
      </c>
      <c r="F1" s="14" t="s">
        <v>19</v>
      </c>
      <c r="G1" s="158" t="s">
        <v>208</v>
      </c>
      <c r="H1" s="158"/>
      <c r="I1" s="158" t="s">
        <v>209</v>
      </c>
      <c r="J1" s="158"/>
      <c r="K1" s="158" t="s">
        <v>38</v>
      </c>
      <c r="L1" s="158"/>
      <c r="M1" s="16" t="s">
        <v>20</v>
      </c>
    </row>
    <row r="2" spans="1:13" s="12" customFormat="1" ht="32.1" customHeight="1">
      <c r="A2" s="17" t="s">
        <v>21</v>
      </c>
      <c r="B2" s="18" t="s">
        <v>22</v>
      </c>
      <c r="C2" s="18" t="s">
        <v>222</v>
      </c>
      <c r="D2" s="74" t="s">
        <v>223</v>
      </c>
      <c r="E2" s="18" t="s">
        <v>14</v>
      </c>
      <c r="F2" s="18" t="s">
        <v>23</v>
      </c>
      <c r="G2" s="19" t="s">
        <v>24</v>
      </c>
      <c r="H2" s="19" t="s">
        <v>25</v>
      </c>
      <c r="I2" s="19" t="s">
        <v>24</v>
      </c>
      <c r="J2" s="19" t="s">
        <v>25</v>
      </c>
      <c r="K2" s="19" t="s">
        <v>24</v>
      </c>
      <c r="L2" s="19" t="s">
        <v>25</v>
      </c>
      <c r="M2" s="20"/>
    </row>
    <row r="3" spans="1:13" ht="26.45" customHeight="1">
      <c r="A3" s="111" t="s">
        <v>230</v>
      </c>
      <c r="B3" s="156" t="s">
        <v>210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9"/>
    </row>
    <row r="4" spans="1:13" ht="26.45" customHeight="1">
      <c r="A4" s="112">
        <v>1</v>
      </c>
      <c r="B4" s="31" t="s">
        <v>26</v>
      </c>
      <c r="C4" s="32"/>
      <c r="D4" s="32"/>
      <c r="E4" s="33">
        <f>1</f>
        <v>1</v>
      </c>
      <c r="F4" s="34" t="s">
        <v>27</v>
      </c>
      <c r="G4" s="35"/>
      <c r="H4" s="35">
        <f>H38</f>
        <v>572700</v>
      </c>
      <c r="I4" s="35"/>
      <c r="J4" s="35">
        <f>J38</f>
        <v>286350</v>
      </c>
      <c r="K4" s="35"/>
      <c r="L4" s="35">
        <f>L38</f>
        <v>859050</v>
      </c>
      <c r="M4" s="113"/>
    </row>
    <row r="5" spans="1:13" ht="26.45" customHeight="1">
      <c r="A5" s="112">
        <v>2</v>
      </c>
      <c r="B5" s="31" t="s">
        <v>28</v>
      </c>
      <c r="C5" s="32"/>
      <c r="D5" s="32"/>
      <c r="E5" s="33">
        <f>1</f>
        <v>1</v>
      </c>
      <c r="F5" s="34" t="s">
        <v>27</v>
      </c>
      <c r="G5" s="35"/>
      <c r="H5" s="35">
        <f>H57</f>
        <v>1527186</v>
      </c>
      <c r="I5" s="35"/>
      <c r="J5" s="35">
        <f>J57</f>
        <v>1305590</v>
      </c>
      <c r="K5" s="35"/>
      <c r="L5" s="35">
        <f>L57</f>
        <v>2832776</v>
      </c>
      <c r="M5" s="113"/>
    </row>
    <row r="6" spans="1:13" ht="26.45" customHeight="1">
      <c r="A6" s="112">
        <v>3</v>
      </c>
      <c r="B6" s="31" t="s">
        <v>29</v>
      </c>
      <c r="C6" s="32"/>
      <c r="D6" s="32"/>
      <c r="E6" s="33">
        <f>1</f>
        <v>1</v>
      </c>
      <c r="F6" s="34" t="s">
        <v>27</v>
      </c>
      <c r="G6" s="35"/>
      <c r="H6" s="35">
        <f>H91</f>
        <v>497500</v>
      </c>
      <c r="I6" s="35"/>
      <c r="J6" s="35">
        <f>J91</f>
        <v>580000</v>
      </c>
      <c r="K6" s="35"/>
      <c r="L6" s="35">
        <f>L91</f>
        <v>1077500</v>
      </c>
      <c r="M6" s="113"/>
    </row>
    <row r="7" spans="1:13" ht="26.45" customHeight="1">
      <c r="A7" s="112">
        <v>4</v>
      </c>
      <c r="B7" s="31" t="s">
        <v>30</v>
      </c>
      <c r="C7" s="32"/>
      <c r="D7" s="32"/>
      <c r="E7" s="33">
        <f>1</f>
        <v>1</v>
      </c>
      <c r="F7" s="34" t="s">
        <v>27</v>
      </c>
      <c r="G7" s="35"/>
      <c r="H7" s="35">
        <f>H126</f>
        <v>1197500</v>
      </c>
      <c r="I7" s="35"/>
      <c r="J7" s="35">
        <f>J126</f>
        <v>660000</v>
      </c>
      <c r="K7" s="35"/>
      <c r="L7" s="35">
        <f>L126</f>
        <v>1857500</v>
      </c>
      <c r="M7" s="113"/>
    </row>
    <row r="8" spans="1:13" ht="26.45" customHeight="1">
      <c r="A8" s="112">
        <v>5</v>
      </c>
      <c r="B8" s="37" t="s">
        <v>31</v>
      </c>
      <c r="C8" s="32"/>
      <c r="D8" s="32"/>
      <c r="E8" s="33">
        <f>1</f>
        <v>1</v>
      </c>
      <c r="F8" s="34" t="s">
        <v>27</v>
      </c>
      <c r="G8" s="35"/>
      <c r="H8" s="35">
        <f>H135</f>
        <v>1249687</v>
      </c>
      <c r="I8" s="35"/>
      <c r="J8" s="35">
        <f>J135</f>
        <v>2520000</v>
      </c>
      <c r="K8" s="35"/>
      <c r="L8" s="35">
        <f>L135</f>
        <v>3769687</v>
      </c>
      <c r="M8" s="113"/>
    </row>
    <row r="9" spans="1:13" ht="26.45" customHeight="1">
      <c r="A9" s="112">
        <v>6</v>
      </c>
      <c r="B9" s="31" t="s">
        <v>32</v>
      </c>
      <c r="C9" s="32"/>
      <c r="D9" s="32"/>
      <c r="E9" s="33">
        <f>1</f>
        <v>1</v>
      </c>
      <c r="F9" s="34" t="s">
        <v>27</v>
      </c>
      <c r="G9" s="35"/>
      <c r="H9" s="35">
        <f>H151</f>
        <v>390000</v>
      </c>
      <c r="I9" s="35"/>
      <c r="J9" s="35">
        <f>J151</f>
        <v>350000</v>
      </c>
      <c r="K9" s="35"/>
      <c r="L9" s="35">
        <f>L151</f>
        <v>740000</v>
      </c>
      <c r="M9" s="113"/>
    </row>
    <row r="10" spans="1:13" ht="26.45" customHeight="1">
      <c r="A10" s="112">
        <v>7</v>
      </c>
      <c r="B10" s="38" t="s">
        <v>33</v>
      </c>
      <c r="C10" s="32"/>
      <c r="D10" s="32"/>
      <c r="E10" s="33">
        <f>1</f>
        <v>1</v>
      </c>
      <c r="F10" s="34" t="s">
        <v>27</v>
      </c>
      <c r="G10" s="35"/>
      <c r="H10" s="35">
        <f>H184</f>
        <v>0</v>
      </c>
      <c r="I10" s="35"/>
      <c r="J10" s="35">
        <f>J184</f>
        <v>0</v>
      </c>
      <c r="K10" s="35"/>
      <c r="L10" s="35">
        <f>L184</f>
        <v>0</v>
      </c>
      <c r="M10" s="113"/>
    </row>
    <row r="11" spans="1:13" ht="26.45" customHeight="1">
      <c r="A11" s="112">
        <v>8</v>
      </c>
      <c r="B11" s="31" t="s">
        <v>34</v>
      </c>
      <c r="C11" s="32"/>
      <c r="D11" s="32"/>
      <c r="E11" s="33">
        <f>1</f>
        <v>1</v>
      </c>
      <c r="F11" s="34" t="s">
        <v>27</v>
      </c>
      <c r="G11" s="35"/>
      <c r="H11" s="35">
        <f>H205</f>
        <v>8660000</v>
      </c>
      <c r="I11" s="35"/>
      <c r="J11" s="35">
        <f>J205</f>
        <v>0</v>
      </c>
      <c r="K11" s="35"/>
      <c r="L11" s="35">
        <f>L205</f>
        <v>8660000</v>
      </c>
      <c r="M11" s="113"/>
    </row>
    <row r="12" spans="1:13" ht="26.45" customHeight="1">
      <c r="A12" s="112">
        <v>9</v>
      </c>
      <c r="B12" s="31" t="s">
        <v>35</v>
      </c>
      <c r="C12" s="32"/>
      <c r="D12" s="32"/>
      <c r="E12" s="33">
        <f>1</f>
        <v>1</v>
      </c>
      <c r="F12" s="34" t="s">
        <v>27</v>
      </c>
      <c r="G12" s="35"/>
      <c r="H12" s="35">
        <f>H228</f>
        <v>0</v>
      </c>
      <c r="I12" s="35"/>
      <c r="J12" s="35">
        <f>J228</f>
        <v>0</v>
      </c>
      <c r="K12" s="35"/>
      <c r="L12" s="35">
        <f>L228</f>
        <v>0</v>
      </c>
      <c r="M12" s="113"/>
    </row>
    <row r="13" spans="1:13" ht="26.45" customHeight="1">
      <c r="A13" s="112">
        <v>10</v>
      </c>
      <c r="B13" s="31" t="s">
        <v>36</v>
      </c>
      <c r="C13" s="32"/>
      <c r="D13" s="32"/>
      <c r="E13" s="33">
        <f>1</f>
        <v>1</v>
      </c>
      <c r="F13" s="34" t="s">
        <v>27</v>
      </c>
      <c r="G13" s="35"/>
      <c r="H13" s="35">
        <f>H233</f>
        <v>206172</v>
      </c>
      <c r="I13" s="35"/>
      <c r="J13" s="35">
        <f>J233</f>
        <v>515430</v>
      </c>
      <c r="K13" s="35"/>
      <c r="L13" s="35">
        <f>L233</f>
        <v>721602</v>
      </c>
      <c r="M13" s="113"/>
    </row>
    <row r="14" spans="1:13" ht="26.45" customHeight="1">
      <c r="A14" s="112">
        <v>11</v>
      </c>
      <c r="B14" s="31" t="s">
        <v>284</v>
      </c>
      <c r="C14" s="32"/>
      <c r="D14" s="32"/>
      <c r="E14" s="33">
        <f>1</f>
        <v>1</v>
      </c>
      <c r="F14" s="34" t="s">
        <v>27</v>
      </c>
      <c r="G14" s="35"/>
      <c r="H14" s="35">
        <f>H240</f>
        <v>2784650</v>
      </c>
      <c r="I14" s="35"/>
      <c r="J14" s="35">
        <f>J237</f>
        <v>1265750</v>
      </c>
      <c r="K14" s="35"/>
      <c r="L14" s="35">
        <f>L240</f>
        <v>4050400</v>
      </c>
      <c r="M14" s="113"/>
    </row>
    <row r="15" spans="1:13" ht="26.45" customHeight="1">
      <c r="A15" s="112">
        <v>12</v>
      </c>
      <c r="B15" s="31" t="s">
        <v>37</v>
      </c>
      <c r="C15" s="32"/>
      <c r="D15" s="32"/>
      <c r="E15" s="33">
        <f>1</f>
        <v>1</v>
      </c>
      <c r="F15" s="34" t="s">
        <v>27</v>
      </c>
      <c r="G15" s="35"/>
      <c r="H15" s="35">
        <f>H250</f>
        <v>0</v>
      </c>
      <c r="I15" s="35"/>
      <c r="J15" s="35">
        <f>J250</f>
        <v>0</v>
      </c>
      <c r="K15" s="35"/>
      <c r="L15" s="35">
        <f>L250</f>
        <v>0</v>
      </c>
      <c r="M15" s="113"/>
    </row>
    <row r="16" spans="1:13" ht="26.45" customHeight="1">
      <c r="A16" s="160" t="s">
        <v>211</v>
      </c>
      <c r="B16" s="161"/>
      <c r="C16" s="161"/>
      <c r="D16" s="161"/>
      <c r="E16" s="161"/>
      <c r="F16" s="161"/>
      <c r="G16" s="161"/>
      <c r="H16" s="114">
        <f>SUM(H4:H15)</f>
        <v>17085395</v>
      </c>
      <c r="I16" s="114"/>
      <c r="J16" s="114">
        <f>SUM(J4:J15)</f>
        <v>7483120</v>
      </c>
      <c r="K16" s="114"/>
      <c r="L16" s="114">
        <f>SUM(L4:L15)</f>
        <v>24568515</v>
      </c>
      <c r="M16" s="115"/>
    </row>
    <row r="17" spans="1:14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4" ht="26.45" customHeight="1">
      <c r="A18" s="73" t="s">
        <v>230</v>
      </c>
      <c r="B18" s="156" t="s">
        <v>214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7"/>
    </row>
    <row r="19" spans="1:14" ht="26.45" customHeight="1">
      <c r="A19" s="30" t="s">
        <v>212</v>
      </c>
      <c r="B19" s="31" t="s">
        <v>213</v>
      </c>
      <c r="C19" s="42" t="s">
        <v>215</v>
      </c>
      <c r="D19" s="43"/>
      <c r="E19" s="44">
        <f>1</f>
        <v>1</v>
      </c>
      <c r="F19" s="45" t="s">
        <v>27</v>
      </c>
      <c r="G19" s="46"/>
      <c r="H19" s="46">
        <v>0</v>
      </c>
      <c r="I19" s="116"/>
      <c r="J19" s="46"/>
      <c r="K19" s="46"/>
      <c r="L19" s="46"/>
      <c r="M19" s="36"/>
    </row>
    <row r="20" spans="1:14" ht="26.45" customHeight="1">
      <c r="A20" s="41" t="s">
        <v>216</v>
      </c>
      <c r="B20" s="42" t="s">
        <v>219</v>
      </c>
      <c r="C20" s="42" t="s">
        <v>220</v>
      </c>
      <c r="D20" s="43"/>
      <c r="E20" s="44">
        <f>1</f>
        <v>1</v>
      </c>
      <c r="F20" s="45" t="s">
        <v>27</v>
      </c>
      <c r="G20" s="46"/>
      <c r="H20" s="46">
        <v>0</v>
      </c>
      <c r="I20" s="46"/>
      <c r="J20" s="46"/>
      <c r="K20" s="46"/>
      <c r="L20" s="46"/>
      <c r="M20" s="36"/>
    </row>
    <row r="21" spans="1:14" ht="26.45" customHeight="1">
      <c r="A21" s="41" t="s">
        <v>217</v>
      </c>
      <c r="B21" s="42" t="s">
        <v>224</v>
      </c>
      <c r="C21" s="42" t="s">
        <v>225</v>
      </c>
      <c r="D21" s="43"/>
      <c r="E21" s="44">
        <f>1</f>
        <v>1</v>
      </c>
      <c r="F21" s="45" t="s">
        <v>27</v>
      </c>
      <c r="G21" s="46"/>
      <c r="H21" s="46">
        <v>0</v>
      </c>
      <c r="I21" s="46"/>
      <c r="J21" s="46"/>
      <c r="K21" s="46"/>
      <c r="L21" s="46"/>
      <c r="M21" s="36"/>
    </row>
    <row r="22" spans="1:14" ht="26.45" customHeight="1">
      <c r="A22" s="41" t="s">
        <v>218</v>
      </c>
      <c r="B22" s="42" t="s">
        <v>226</v>
      </c>
      <c r="C22" s="42" t="s">
        <v>227</v>
      </c>
      <c r="D22" s="43"/>
      <c r="E22" s="44">
        <f>1</f>
        <v>1</v>
      </c>
      <c r="F22" s="45" t="s">
        <v>27</v>
      </c>
      <c r="G22" s="46"/>
      <c r="H22" s="46">
        <v>0</v>
      </c>
      <c r="I22" s="46"/>
      <c r="J22" s="46"/>
      <c r="K22" s="46"/>
      <c r="L22" s="46">
        <f>L16*0.1</f>
        <v>2456851.5</v>
      </c>
      <c r="M22" s="36"/>
    </row>
    <row r="23" spans="1:14" ht="26.45" customHeight="1">
      <c r="A23" s="152" t="s">
        <v>211</v>
      </c>
      <c r="B23" s="153"/>
      <c r="C23" s="153"/>
      <c r="D23" s="153"/>
      <c r="E23" s="153"/>
      <c r="F23" s="153"/>
      <c r="G23" s="153"/>
      <c r="H23" s="39">
        <f>SUM(E23:G23)</f>
        <v>0</v>
      </c>
      <c r="I23" s="39"/>
      <c r="J23" s="39">
        <f>SUM(G23:I23)</f>
        <v>0</v>
      </c>
      <c r="K23" s="39"/>
      <c r="L23" s="39">
        <f>SUM(L17:L22)</f>
        <v>2456851.5</v>
      </c>
      <c r="M23" s="40"/>
    </row>
    <row r="24" spans="1:14" ht="26.45" customHeight="1">
      <c r="A24" s="154" t="s">
        <v>228</v>
      </c>
      <c r="B24" s="155"/>
      <c r="C24" s="155"/>
      <c r="D24" s="155"/>
      <c r="E24" s="155"/>
      <c r="F24" s="155"/>
      <c r="G24" s="155"/>
      <c r="H24" s="47">
        <f>H16+H23</f>
        <v>17085395</v>
      </c>
      <c r="I24" s="47"/>
      <c r="J24" s="47">
        <f>J16+J23</f>
        <v>7483120</v>
      </c>
      <c r="K24" s="47"/>
      <c r="L24" s="47">
        <f>L16+L23</f>
        <v>27025366.5</v>
      </c>
      <c r="M24" s="48"/>
      <c r="N24" s="2"/>
    </row>
    <row r="25" spans="1:14" ht="24" customHeight="1">
      <c r="A25" s="22"/>
      <c r="B25" s="23"/>
      <c r="C25" s="23"/>
      <c r="D25" s="23"/>
      <c r="E25" s="24"/>
      <c r="F25" s="22"/>
      <c r="G25" s="25"/>
      <c r="H25" s="25"/>
      <c r="I25" s="25"/>
      <c r="J25" s="25"/>
      <c r="K25" s="22" t="s">
        <v>39</v>
      </c>
      <c r="L25" s="117">
        <f>TRUNC(L24,-5)</f>
        <v>27000000</v>
      </c>
      <c r="M25" s="25"/>
    </row>
    <row r="26" spans="1:14" ht="24" customHeight="1">
      <c r="A26" s="75" t="s">
        <v>229</v>
      </c>
      <c r="B26" s="27"/>
      <c r="C26" s="27"/>
      <c r="D26" s="27"/>
      <c r="E26" s="28"/>
      <c r="F26" s="26"/>
      <c r="G26" s="29"/>
      <c r="H26" s="29"/>
      <c r="I26" s="29"/>
      <c r="J26" s="29"/>
      <c r="K26" s="26"/>
      <c r="L26" s="29"/>
      <c r="M26" s="29"/>
    </row>
    <row r="27" spans="1:14" ht="24" customHeight="1">
      <c r="A27" s="27" t="s">
        <v>40</v>
      </c>
      <c r="B27" s="27"/>
      <c r="C27" s="27"/>
      <c r="D27" s="27"/>
      <c r="E27" s="28"/>
      <c r="F27" s="26"/>
      <c r="G27" s="29"/>
      <c r="H27" s="29"/>
      <c r="I27" s="29"/>
      <c r="J27" s="29"/>
      <c r="K27" s="26"/>
      <c r="L27" s="29"/>
      <c r="M27" s="29"/>
    </row>
    <row r="28" spans="1:14" ht="24" customHeight="1">
      <c r="A28" s="27" t="s">
        <v>41</v>
      </c>
      <c r="B28" s="27"/>
      <c r="C28" s="27"/>
      <c r="D28" s="27"/>
      <c r="E28" s="28"/>
      <c r="F28" s="26"/>
      <c r="G28" s="29"/>
      <c r="H28" s="29"/>
      <c r="I28" s="29"/>
      <c r="J28" s="29"/>
      <c r="K28" s="26"/>
      <c r="L28" s="29"/>
      <c r="M28" s="29"/>
    </row>
    <row r="29" spans="1:14" s="10" customFormat="1" ht="24" customHeight="1">
      <c r="A29" s="68">
        <f>A4</f>
        <v>1</v>
      </c>
      <c r="B29" s="70" t="str">
        <f>B4</f>
        <v>가설 공사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3"/>
    </row>
    <row r="30" spans="1:14" ht="24" customHeight="1">
      <c r="A30" s="41"/>
      <c r="B30" s="32" t="s">
        <v>42</v>
      </c>
      <c r="C30" s="32"/>
      <c r="D30" s="32"/>
      <c r="E30" s="33"/>
      <c r="F30" s="49" t="s">
        <v>43</v>
      </c>
      <c r="G30" s="35">
        <v>280000</v>
      </c>
      <c r="H30" s="35">
        <f t="shared" ref="H30:H36" si="0">E30*G30</f>
        <v>0</v>
      </c>
      <c r="I30" s="35"/>
      <c r="J30" s="35">
        <f t="shared" ref="J30:J36" si="1">E30*I30</f>
        <v>0</v>
      </c>
      <c r="K30" s="35">
        <f t="shared" ref="K30:L36" si="2">G30+I30</f>
        <v>280000</v>
      </c>
      <c r="L30" s="35">
        <f t="shared" si="2"/>
        <v>0</v>
      </c>
      <c r="M30" s="53"/>
      <c r="N30" s="4"/>
    </row>
    <row r="31" spans="1:14" ht="24" customHeight="1">
      <c r="A31" s="41"/>
      <c r="B31" s="32" t="s">
        <v>294</v>
      </c>
      <c r="C31" s="32" t="s">
        <v>295</v>
      </c>
      <c r="D31" s="34"/>
      <c r="E31" s="50"/>
      <c r="F31" s="49" t="s">
        <v>43</v>
      </c>
      <c r="G31" s="35">
        <v>1140000</v>
      </c>
      <c r="H31" s="35">
        <f t="shared" si="0"/>
        <v>0</v>
      </c>
      <c r="I31" s="35">
        <v>260000</v>
      </c>
      <c r="J31" s="35">
        <f t="shared" si="1"/>
        <v>0</v>
      </c>
      <c r="K31" s="35">
        <f t="shared" si="2"/>
        <v>1400000</v>
      </c>
      <c r="L31" s="35">
        <f t="shared" si="2"/>
        <v>0</v>
      </c>
      <c r="M31" s="53" t="s">
        <v>68</v>
      </c>
      <c r="N31" s="4"/>
    </row>
    <row r="32" spans="1:14" ht="24" customHeight="1">
      <c r="A32" s="41"/>
      <c r="B32" s="32"/>
      <c r="C32" s="32"/>
      <c r="D32" s="34" t="s">
        <v>361</v>
      </c>
      <c r="E32" s="50"/>
      <c r="F32" s="49" t="s">
        <v>43</v>
      </c>
      <c r="G32" s="35">
        <v>450000</v>
      </c>
      <c r="H32" s="35">
        <f t="shared" si="0"/>
        <v>0</v>
      </c>
      <c r="I32" s="35">
        <v>260000</v>
      </c>
      <c r="J32" s="35">
        <f>E32*I32</f>
        <v>0</v>
      </c>
      <c r="K32" s="35">
        <f>G32+I32</f>
        <v>710000</v>
      </c>
      <c r="L32" s="35">
        <f>H32+J32</f>
        <v>0</v>
      </c>
      <c r="M32" s="53" t="s">
        <v>93</v>
      </c>
      <c r="N32" s="4"/>
    </row>
    <row r="33" spans="1:14" ht="24" customHeight="1">
      <c r="A33" s="41"/>
      <c r="B33" s="32" t="s">
        <v>44</v>
      </c>
      <c r="C33" s="32" t="s">
        <v>45</v>
      </c>
      <c r="D33" s="34"/>
      <c r="E33" s="50">
        <v>114.54</v>
      </c>
      <c r="F33" s="49" t="s">
        <v>13</v>
      </c>
      <c r="G33" s="35">
        <v>3500</v>
      </c>
      <c r="H33" s="35">
        <f t="shared" si="0"/>
        <v>400890</v>
      </c>
      <c r="I33" s="35"/>
      <c r="J33" s="35">
        <f t="shared" si="1"/>
        <v>0</v>
      </c>
      <c r="K33" s="35">
        <f t="shared" si="2"/>
        <v>3500</v>
      </c>
      <c r="L33" s="35">
        <f t="shared" si="2"/>
        <v>400890</v>
      </c>
      <c r="M33" s="53" t="s">
        <v>68</v>
      </c>
      <c r="N33" s="4"/>
    </row>
    <row r="34" spans="1:14" ht="24" customHeight="1">
      <c r="A34" s="41"/>
      <c r="B34" s="32" t="s">
        <v>46</v>
      </c>
      <c r="C34" s="32"/>
      <c r="D34" s="32"/>
      <c r="E34" s="50">
        <v>114.54</v>
      </c>
      <c r="F34" s="49" t="s">
        <v>13</v>
      </c>
      <c r="G34" s="35">
        <v>1500</v>
      </c>
      <c r="H34" s="35">
        <f t="shared" si="0"/>
        <v>171810</v>
      </c>
      <c r="I34" s="35">
        <v>2500</v>
      </c>
      <c r="J34" s="35">
        <f t="shared" si="1"/>
        <v>286350</v>
      </c>
      <c r="K34" s="35">
        <f t="shared" si="2"/>
        <v>4000</v>
      </c>
      <c r="L34" s="35">
        <f t="shared" si="2"/>
        <v>458160</v>
      </c>
      <c r="M34" s="36"/>
      <c r="N34" s="4"/>
    </row>
    <row r="35" spans="1:14" ht="24" customHeight="1">
      <c r="A35" s="41"/>
      <c r="B35" s="32" t="s">
        <v>47</v>
      </c>
      <c r="C35" s="32"/>
      <c r="D35" s="32"/>
      <c r="E35" s="50"/>
      <c r="F35" s="49" t="s">
        <v>13</v>
      </c>
      <c r="G35" s="35"/>
      <c r="H35" s="35">
        <f t="shared" si="0"/>
        <v>0</v>
      </c>
      <c r="I35" s="35">
        <v>1300</v>
      </c>
      <c r="J35" s="35">
        <f t="shared" si="1"/>
        <v>0</v>
      </c>
      <c r="K35" s="35">
        <f t="shared" si="2"/>
        <v>1300</v>
      </c>
      <c r="L35" s="35">
        <f t="shared" si="2"/>
        <v>0</v>
      </c>
      <c r="M35" s="36"/>
      <c r="N35" s="4"/>
    </row>
    <row r="36" spans="1:14" ht="24" customHeight="1">
      <c r="A36" s="41"/>
      <c r="B36" s="32" t="s">
        <v>48</v>
      </c>
      <c r="C36" s="32"/>
      <c r="D36" s="32"/>
      <c r="E36" s="50"/>
      <c r="F36" s="49" t="s">
        <v>13</v>
      </c>
      <c r="G36" s="35"/>
      <c r="H36" s="35">
        <f t="shared" si="0"/>
        <v>0</v>
      </c>
      <c r="I36" s="35">
        <v>2300</v>
      </c>
      <c r="J36" s="35">
        <f t="shared" si="1"/>
        <v>0</v>
      </c>
      <c r="K36" s="35">
        <f t="shared" si="2"/>
        <v>2300</v>
      </c>
      <c r="L36" s="35">
        <f t="shared" si="2"/>
        <v>0</v>
      </c>
      <c r="M36" s="36"/>
      <c r="N36" s="4"/>
    </row>
    <row r="37" spans="1:14" ht="24" customHeight="1">
      <c r="A37" s="41"/>
      <c r="B37" s="32"/>
      <c r="C37" s="32"/>
      <c r="D37" s="32"/>
      <c r="E37" s="33"/>
      <c r="F37" s="34"/>
      <c r="G37" s="35"/>
      <c r="H37" s="35"/>
      <c r="I37" s="35"/>
      <c r="J37" s="35"/>
      <c r="K37" s="35"/>
      <c r="L37" s="35"/>
      <c r="M37" s="36"/>
      <c r="N37" s="4"/>
    </row>
    <row r="38" spans="1:14" ht="24" customHeight="1">
      <c r="A38" s="41"/>
      <c r="B38" s="32" t="s">
        <v>49</v>
      </c>
      <c r="C38" s="32"/>
      <c r="D38" s="32"/>
      <c r="E38" s="33"/>
      <c r="F38" s="34"/>
      <c r="G38" s="35"/>
      <c r="H38" s="35">
        <f>SUM(H30:H37)</f>
        <v>572700</v>
      </c>
      <c r="I38" s="35"/>
      <c r="J38" s="35">
        <f>SUM(J30:J37)</f>
        <v>286350</v>
      </c>
      <c r="K38" s="35"/>
      <c r="L38" s="35">
        <f>SUM(L30:L37)</f>
        <v>859050</v>
      </c>
      <c r="M38" s="36"/>
      <c r="N38" s="4"/>
    </row>
    <row r="39" spans="1:14" ht="24" customHeight="1">
      <c r="A39" s="41"/>
      <c r="B39" s="55"/>
      <c r="C39" s="32"/>
      <c r="D39" s="32"/>
      <c r="E39" s="33"/>
      <c r="F39" s="34"/>
      <c r="G39" s="35"/>
      <c r="H39" s="35"/>
      <c r="I39" s="35"/>
      <c r="J39" s="35"/>
      <c r="K39" s="35"/>
      <c r="L39" s="35"/>
      <c r="M39" s="36"/>
      <c r="N39" s="4"/>
    </row>
    <row r="40" spans="1:14" s="10" customFormat="1" ht="24" customHeight="1">
      <c r="A40" s="66">
        <f>A5</f>
        <v>2</v>
      </c>
      <c r="B40" s="69" t="str">
        <f>B5</f>
        <v>철거,설비 공사</v>
      </c>
      <c r="C40" s="149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1"/>
    </row>
    <row r="41" spans="1:14" ht="24" customHeight="1">
      <c r="A41" s="41"/>
      <c r="B41" s="32" t="s">
        <v>50</v>
      </c>
      <c r="C41" s="51" t="s">
        <v>51</v>
      </c>
      <c r="D41" s="32"/>
      <c r="E41" s="50">
        <v>114.54</v>
      </c>
      <c r="F41" s="49" t="s">
        <v>13</v>
      </c>
      <c r="G41" s="35">
        <v>1000</v>
      </c>
      <c r="H41" s="35">
        <f>E41*G41</f>
        <v>114540</v>
      </c>
      <c r="I41" s="35">
        <v>3000</v>
      </c>
      <c r="J41" s="35">
        <f t="shared" ref="J41:J55" si="3">E41*I41</f>
        <v>343620</v>
      </c>
      <c r="K41" s="35">
        <f t="shared" ref="K41:L55" si="4">G41+I41</f>
        <v>4000</v>
      </c>
      <c r="L41" s="35">
        <f t="shared" si="4"/>
        <v>458160</v>
      </c>
      <c r="M41" s="36"/>
      <c r="N41" s="4"/>
    </row>
    <row r="42" spans="1:14" ht="24" customHeight="1">
      <c r="A42" s="41"/>
      <c r="B42" s="52" t="s">
        <v>55</v>
      </c>
      <c r="C42" s="51" t="s">
        <v>422</v>
      </c>
      <c r="D42" s="34"/>
      <c r="E42" s="33"/>
      <c r="F42" s="49" t="s">
        <v>56</v>
      </c>
      <c r="G42" s="35">
        <v>350000</v>
      </c>
      <c r="H42" s="35">
        <f t="shared" ref="H42:H55" si="5">E42*G42</f>
        <v>0</v>
      </c>
      <c r="I42" s="35">
        <v>400000</v>
      </c>
      <c r="J42" s="35">
        <f>E42*I42</f>
        <v>0</v>
      </c>
      <c r="K42" s="35">
        <f t="shared" si="4"/>
        <v>750000</v>
      </c>
      <c r="L42" s="35">
        <f t="shared" si="4"/>
        <v>0</v>
      </c>
      <c r="M42" s="36"/>
      <c r="N42" s="4"/>
    </row>
    <row r="43" spans="1:14" ht="24" customHeight="1">
      <c r="A43" s="41"/>
      <c r="B43" s="52"/>
      <c r="C43" s="51" t="s">
        <v>423</v>
      </c>
      <c r="D43" s="34"/>
      <c r="E43" s="33"/>
      <c r="F43" s="49" t="s">
        <v>56</v>
      </c>
      <c r="G43" s="35">
        <v>200000</v>
      </c>
      <c r="H43" s="35">
        <f t="shared" si="5"/>
        <v>0</v>
      </c>
      <c r="I43" s="35">
        <v>350000</v>
      </c>
      <c r="J43" s="35">
        <f>E43*I43</f>
        <v>0</v>
      </c>
      <c r="K43" s="35">
        <f t="shared" si="4"/>
        <v>550000</v>
      </c>
      <c r="L43" s="35">
        <f t="shared" si="4"/>
        <v>0</v>
      </c>
      <c r="M43" s="36"/>
      <c r="N43" s="4"/>
    </row>
    <row r="44" spans="1:14" ht="24" customHeight="1">
      <c r="A44" s="120"/>
      <c r="B44" s="52" t="s">
        <v>57</v>
      </c>
      <c r="C44" s="51" t="s">
        <v>424</v>
      </c>
      <c r="D44" s="34"/>
      <c r="E44" s="50"/>
      <c r="F44" s="49" t="s">
        <v>59</v>
      </c>
      <c r="G44" s="35">
        <v>2100</v>
      </c>
      <c r="H44" s="35">
        <f t="shared" si="5"/>
        <v>0</v>
      </c>
      <c r="I44" s="35">
        <v>9500</v>
      </c>
      <c r="J44" s="35">
        <f t="shared" si="3"/>
        <v>0</v>
      </c>
      <c r="K44" s="35">
        <f t="shared" si="4"/>
        <v>11600</v>
      </c>
      <c r="L44" s="35">
        <f t="shared" si="4"/>
        <v>0</v>
      </c>
      <c r="M44" s="128"/>
      <c r="N44" s="4"/>
    </row>
    <row r="45" spans="1:14" ht="24" customHeight="1">
      <c r="A45" s="120"/>
      <c r="B45" s="52"/>
      <c r="C45" s="51" t="s">
        <v>425</v>
      </c>
      <c r="D45" s="34"/>
      <c r="E45" s="50"/>
      <c r="F45" s="49" t="s">
        <v>59</v>
      </c>
      <c r="G45" s="35"/>
      <c r="H45" s="35">
        <f t="shared" si="5"/>
        <v>0</v>
      </c>
      <c r="I45" s="35">
        <v>3500</v>
      </c>
      <c r="J45" s="35">
        <f t="shared" si="3"/>
        <v>0</v>
      </c>
      <c r="K45" s="35">
        <f t="shared" si="4"/>
        <v>3500</v>
      </c>
      <c r="L45" s="35">
        <f t="shared" si="4"/>
        <v>0</v>
      </c>
      <c r="M45" s="128"/>
      <c r="N45" s="4"/>
    </row>
    <row r="46" spans="1:14" ht="24" customHeight="1">
      <c r="A46" s="41"/>
      <c r="B46" s="52"/>
      <c r="C46" s="51" t="s">
        <v>393</v>
      </c>
      <c r="D46" s="34"/>
      <c r="E46" s="50">
        <v>101.26</v>
      </c>
      <c r="F46" s="49" t="s">
        <v>59</v>
      </c>
      <c r="G46" s="35">
        <v>2100</v>
      </c>
      <c r="H46" s="35">
        <f t="shared" si="5"/>
        <v>212646</v>
      </c>
      <c r="I46" s="35">
        <v>9500</v>
      </c>
      <c r="J46" s="35">
        <f t="shared" si="3"/>
        <v>961970</v>
      </c>
      <c r="K46" s="35">
        <f t="shared" si="4"/>
        <v>11600</v>
      </c>
      <c r="L46" s="35">
        <f t="shared" si="4"/>
        <v>1174616</v>
      </c>
      <c r="M46" s="53"/>
      <c r="N46" s="4"/>
    </row>
    <row r="47" spans="1:14" ht="24" customHeight="1">
      <c r="A47" s="41"/>
      <c r="B47" s="52" t="s">
        <v>258</v>
      </c>
      <c r="C47" s="51" t="s">
        <v>431</v>
      </c>
      <c r="D47" s="32"/>
      <c r="E47" s="33"/>
      <c r="F47" s="49" t="s">
        <v>56</v>
      </c>
      <c r="G47" s="35">
        <v>50000</v>
      </c>
      <c r="H47" s="35">
        <f t="shared" si="5"/>
        <v>0</v>
      </c>
      <c r="I47" s="35">
        <v>100000</v>
      </c>
      <c r="J47" s="35">
        <f t="shared" si="3"/>
        <v>0</v>
      </c>
      <c r="K47" s="35">
        <f t="shared" si="4"/>
        <v>150000</v>
      </c>
      <c r="L47" s="35">
        <f t="shared" si="4"/>
        <v>0</v>
      </c>
      <c r="M47" s="36"/>
      <c r="N47" s="4"/>
    </row>
    <row r="48" spans="1:14" ht="24" customHeight="1">
      <c r="A48" s="41"/>
      <c r="B48" s="52" t="s">
        <v>60</v>
      </c>
      <c r="C48" s="51" t="s">
        <v>432</v>
      </c>
      <c r="D48" s="32"/>
      <c r="E48" s="33"/>
      <c r="F48" s="49" t="s">
        <v>56</v>
      </c>
      <c r="G48" s="35">
        <v>150000</v>
      </c>
      <c r="H48" s="35">
        <f t="shared" si="5"/>
        <v>0</v>
      </c>
      <c r="I48" s="35">
        <v>80000</v>
      </c>
      <c r="J48" s="35">
        <f t="shared" si="3"/>
        <v>0</v>
      </c>
      <c r="K48" s="35">
        <f t="shared" si="4"/>
        <v>230000</v>
      </c>
      <c r="L48" s="35">
        <f t="shared" si="4"/>
        <v>0</v>
      </c>
      <c r="M48" s="53"/>
      <c r="N48" s="4"/>
    </row>
    <row r="49" spans="1:14" ht="24" customHeight="1">
      <c r="A49" s="41"/>
      <c r="B49" s="52" t="s">
        <v>364</v>
      </c>
      <c r="C49" s="51" t="s">
        <v>365</v>
      </c>
      <c r="D49" s="32"/>
      <c r="E49" s="33"/>
      <c r="F49" s="49" t="s">
        <v>56</v>
      </c>
      <c r="G49" s="35">
        <v>100000</v>
      </c>
      <c r="H49" s="35">
        <f t="shared" si="5"/>
        <v>0</v>
      </c>
      <c r="I49" s="35">
        <v>70000</v>
      </c>
      <c r="J49" s="35">
        <f t="shared" si="3"/>
        <v>0</v>
      </c>
      <c r="K49" s="35">
        <f t="shared" si="4"/>
        <v>170000</v>
      </c>
      <c r="L49" s="35">
        <f t="shared" si="4"/>
        <v>0</v>
      </c>
      <c r="M49" s="53" t="s">
        <v>93</v>
      </c>
      <c r="N49" s="4"/>
    </row>
    <row r="50" spans="1:14" ht="24" customHeight="1">
      <c r="A50" s="41"/>
      <c r="B50" s="52" t="s">
        <v>62</v>
      </c>
      <c r="C50" s="51" t="s">
        <v>63</v>
      </c>
      <c r="D50" s="32"/>
      <c r="E50" s="33"/>
      <c r="F50" s="49" t="s">
        <v>56</v>
      </c>
      <c r="G50" s="35">
        <v>70000</v>
      </c>
      <c r="H50" s="35">
        <f t="shared" si="5"/>
        <v>0</v>
      </c>
      <c r="I50" s="35">
        <v>80000</v>
      </c>
      <c r="J50" s="35">
        <f t="shared" si="3"/>
        <v>0</v>
      </c>
      <c r="K50" s="35">
        <f t="shared" si="4"/>
        <v>150000</v>
      </c>
      <c r="L50" s="35">
        <f t="shared" si="4"/>
        <v>0</v>
      </c>
      <c r="M50" s="36"/>
      <c r="N50" s="4"/>
    </row>
    <row r="51" spans="1:14" ht="24" customHeight="1">
      <c r="A51" s="41"/>
      <c r="B51" s="52" t="s">
        <v>64</v>
      </c>
      <c r="C51" s="51" t="s">
        <v>65</v>
      </c>
      <c r="D51" s="34"/>
      <c r="E51" s="33"/>
      <c r="F51" s="49" t="s">
        <v>56</v>
      </c>
      <c r="G51" s="35">
        <v>250000</v>
      </c>
      <c r="H51" s="35">
        <f t="shared" si="5"/>
        <v>0</v>
      </c>
      <c r="I51" s="35">
        <v>250000</v>
      </c>
      <c r="J51" s="35">
        <f t="shared" si="3"/>
        <v>0</v>
      </c>
      <c r="K51" s="35">
        <f t="shared" si="4"/>
        <v>500000</v>
      </c>
      <c r="L51" s="35">
        <f t="shared" si="4"/>
        <v>0</v>
      </c>
      <c r="M51" s="54"/>
      <c r="N51" s="4"/>
    </row>
    <row r="52" spans="1:14" ht="24" customHeight="1">
      <c r="A52" s="41"/>
      <c r="B52" s="52" t="s">
        <v>66</v>
      </c>
      <c r="C52" s="51" t="s">
        <v>390</v>
      </c>
      <c r="D52" s="32"/>
      <c r="E52" s="33"/>
      <c r="F52" s="49" t="s">
        <v>256</v>
      </c>
      <c r="G52" s="35">
        <v>200000</v>
      </c>
      <c r="H52" s="35">
        <f t="shared" si="5"/>
        <v>0</v>
      </c>
      <c r="I52" s="35">
        <v>350000</v>
      </c>
      <c r="J52" s="35">
        <f t="shared" si="3"/>
        <v>0</v>
      </c>
      <c r="K52" s="35">
        <f t="shared" si="4"/>
        <v>550000</v>
      </c>
      <c r="L52" s="35">
        <f t="shared" si="4"/>
        <v>0</v>
      </c>
      <c r="M52" s="54"/>
      <c r="N52" s="4"/>
    </row>
    <row r="53" spans="1:14" ht="24" customHeight="1">
      <c r="A53" s="41"/>
      <c r="B53" s="52" t="s">
        <v>257</v>
      </c>
      <c r="C53" s="51"/>
      <c r="D53" s="32"/>
      <c r="E53" s="33"/>
      <c r="F53" s="49" t="s">
        <v>56</v>
      </c>
      <c r="G53" s="35">
        <v>50000</v>
      </c>
      <c r="H53" s="35">
        <f t="shared" si="5"/>
        <v>0</v>
      </c>
      <c r="I53" s="35">
        <v>80000</v>
      </c>
      <c r="J53" s="35">
        <f t="shared" si="3"/>
        <v>0</v>
      </c>
      <c r="K53" s="35">
        <f t="shared" si="4"/>
        <v>130000</v>
      </c>
      <c r="L53" s="35">
        <f t="shared" si="4"/>
        <v>0</v>
      </c>
      <c r="M53" s="53"/>
      <c r="N53" s="4"/>
    </row>
    <row r="54" spans="1:14" ht="24" customHeight="1">
      <c r="A54" s="41"/>
      <c r="B54" s="52" t="s">
        <v>67</v>
      </c>
      <c r="C54" s="51"/>
      <c r="D54" s="32"/>
      <c r="E54" s="33"/>
      <c r="F54" s="49" t="s">
        <v>56</v>
      </c>
      <c r="G54" s="35">
        <v>350000</v>
      </c>
      <c r="H54" s="35">
        <f t="shared" si="5"/>
        <v>0</v>
      </c>
      <c r="I54" s="35"/>
      <c r="J54" s="35">
        <f t="shared" si="3"/>
        <v>0</v>
      </c>
      <c r="K54" s="35">
        <f t="shared" si="4"/>
        <v>350000</v>
      </c>
      <c r="L54" s="35">
        <f t="shared" si="4"/>
        <v>0</v>
      </c>
      <c r="M54" s="53"/>
      <c r="N54" s="4"/>
    </row>
    <row r="55" spans="1:14" ht="24" customHeight="1">
      <c r="A55" s="41"/>
      <c r="B55" s="32" t="s">
        <v>69</v>
      </c>
      <c r="C55" s="32" t="s">
        <v>70</v>
      </c>
      <c r="D55" s="32"/>
      <c r="E55" s="33">
        <v>2.5</v>
      </c>
      <c r="F55" s="34" t="s">
        <v>71</v>
      </c>
      <c r="G55" s="35">
        <v>480000</v>
      </c>
      <c r="H55" s="35">
        <f t="shared" si="5"/>
        <v>1200000</v>
      </c>
      <c r="I55" s="35"/>
      <c r="J55" s="35">
        <f t="shared" si="3"/>
        <v>0</v>
      </c>
      <c r="K55" s="35">
        <f t="shared" si="4"/>
        <v>480000</v>
      </c>
      <c r="L55" s="35">
        <f t="shared" si="4"/>
        <v>1200000</v>
      </c>
      <c r="M55" s="36"/>
      <c r="N55" s="4"/>
    </row>
    <row r="56" spans="1:14" ht="24" customHeight="1">
      <c r="A56" s="41"/>
      <c r="B56" s="55"/>
      <c r="C56" s="32"/>
      <c r="D56" s="32"/>
      <c r="E56" s="33"/>
      <c r="F56" s="34"/>
      <c r="G56" s="35"/>
      <c r="H56" s="35"/>
      <c r="I56" s="35"/>
      <c r="J56" s="35"/>
      <c r="K56" s="35"/>
      <c r="L56" s="35"/>
      <c r="M56" s="36"/>
      <c r="N56" s="4"/>
    </row>
    <row r="57" spans="1:14" ht="24" customHeight="1">
      <c r="A57" s="41"/>
      <c r="B57" s="32" t="s">
        <v>49</v>
      </c>
      <c r="C57" s="32"/>
      <c r="D57" s="32"/>
      <c r="E57" s="33"/>
      <c r="F57" s="34"/>
      <c r="G57" s="35"/>
      <c r="H57" s="35">
        <f>SUM(H41:H56)</f>
        <v>1527186</v>
      </c>
      <c r="I57" s="35"/>
      <c r="J57" s="35">
        <f>SUM(J41:J56)</f>
        <v>1305590</v>
      </c>
      <c r="K57" s="35"/>
      <c r="L57" s="35">
        <f>SUM(L41:L56)</f>
        <v>2832776</v>
      </c>
      <c r="M57" s="36"/>
      <c r="N57" s="4"/>
    </row>
    <row r="58" spans="1:14" ht="24" customHeight="1">
      <c r="A58" s="41"/>
      <c r="B58" s="55" t="s">
        <v>263</v>
      </c>
      <c r="C58" s="32"/>
      <c r="D58" s="32"/>
      <c r="E58" s="33"/>
      <c r="F58" s="34"/>
      <c r="G58" s="35"/>
      <c r="H58" s="35"/>
      <c r="I58" s="35"/>
      <c r="J58" s="35"/>
      <c r="K58" s="35"/>
      <c r="L58" s="35"/>
      <c r="M58" s="36"/>
      <c r="N58" s="4"/>
    </row>
    <row r="59" spans="1:14" s="10" customFormat="1" ht="24" customHeight="1">
      <c r="A59" s="66">
        <f>A6</f>
        <v>3</v>
      </c>
      <c r="B59" s="69" t="str">
        <f>B6</f>
        <v>목공 공사</v>
      </c>
      <c r="C59" s="149"/>
      <c r="D59" s="150"/>
      <c r="E59" s="150"/>
      <c r="F59" s="150"/>
      <c r="G59" s="150"/>
      <c r="H59" s="150"/>
      <c r="I59" s="150"/>
      <c r="J59" s="150"/>
      <c r="K59" s="150"/>
      <c r="L59" s="150"/>
      <c r="M59" s="151"/>
      <c r="N59" s="11"/>
    </row>
    <row r="60" spans="1:14" ht="24" customHeight="1">
      <c r="A60" s="41"/>
      <c r="B60" s="32" t="s">
        <v>72</v>
      </c>
      <c r="C60" s="32"/>
      <c r="D60" s="32"/>
      <c r="E60" s="33"/>
      <c r="F60" s="49"/>
      <c r="G60" s="35"/>
      <c r="H60" s="35"/>
      <c r="I60" s="35"/>
      <c r="J60" s="35"/>
      <c r="K60" s="35"/>
      <c r="L60" s="35"/>
      <c r="M60" s="36"/>
      <c r="N60" s="4"/>
    </row>
    <row r="61" spans="1:14" ht="24" customHeight="1">
      <c r="A61" s="41"/>
      <c r="B61" s="32" t="s">
        <v>73</v>
      </c>
      <c r="C61" s="32" t="s">
        <v>74</v>
      </c>
      <c r="D61" s="32"/>
      <c r="E61" s="33">
        <v>15</v>
      </c>
      <c r="F61" s="49" t="s">
        <v>75</v>
      </c>
      <c r="G61" s="35">
        <v>4000</v>
      </c>
      <c r="H61" s="35">
        <f t="shared" ref="H61:H87" si="6">E61*G61</f>
        <v>60000</v>
      </c>
      <c r="I61" s="35"/>
      <c r="J61" s="35">
        <f t="shared" ref="J61:J89" si="7">E61*I61</f>
        <v>0</v>
      </c>
      <c r="K61" s="35">
        <f t="shared" ref="K61:L78" si="8">G61+I61</f>
        <v>4000</v>
      </c>
      <c r="L61" s="35">
        <f t="shared" si="8"/>
        <v>60000</v>
      </c>
      <c r="M61" s="36"/>
      <c r="N61" s="4"/>
    </row>
    <row r="62" spans="1:14" ht="24" customHeight="1">
      <c r="A62" s="41"/>
      <c r="B62" s="32" t="s">
        <v>76</v>
      </c>
      <c r="C62" s="32" t="s">
        <v>74</v>
      </c>
      <c r="D62" s="32"/>
      <c r="E62" s="33"/>
      <c r="F62" s="49" t="s">
        <v>75</v>
      </c>
      <c r="G62" s="35">
        <v>6000</v>
      </c>
      <c r="H62" s="35">
        <f t="shared" si="6"/>
        <v>0</v>
      </c>
      <c r="I62" s="35"/>
      <c r="J62" s="35">
        <f t="shared" si="7"/>
        <v>0</v>
      </c>
      <c r="K62" s="35">
        <f t="shared" si="8"/>
        <v>6000</v>
      </c>
      <c r="L62" s="35">
        <f t="shared" si="8"/>
        <v>0</v>
      </c>
      <c r="M62" s="36"/>
      <c r="N62" s="4"/>
    </row>
    <row r="63" spans="1:14" ht="24" customHeight="1">
      <c r="A63" s="41"/>
      <c r="B63" s="32" t="s">
        <v>77</v>
      </c>
      <c r="C63" s="32" t="s">
        <v>78</v>
      </c>
      <c r="D63" s="32"/>
      <c r="E63" s="33">
        <v>1</v>
      </c>
      <c r="F63" s="49" t="s">
        <v>79</v>
      </c>
      <c r="G63" s="35">
        <v>32500</v>
      </c>
      <c r="H63" s="35">
        <f t="shared" si="6"/>
        <v>32500</v>
      </c>
      <c r="I63" s="35"/>
      <c r="J63" s="35">
        <f t="shared" si="7"/>
        <v>0</v>
      </c>
      <c r="K63" s="35">
        <f t="shared" si="8"/>
        <v>32500</v>
      </c>
      <c r="L63" s="35">
        <f t="shared" si="8"/>
        <v>32500</v>
      </c>
      <c r="M63" s="36"/>
      <c r="N63" s="4"/>
    </row>
    <row r="64" spans="1:14" ht="24" customHeight="1">
      <c r="A64" s="41"/>
      <c r="B64" s="32" t="s">
        <v>80</v>
      </c>
      <c r="C64" s="32" t="s">
        <v>81</v>
      </c>
      <c r="D64" s="32"/>
      <c r="E64" s="33">
        <v>2</v>
      </c>
      <c r="F64" s="49" t="s">
        <v>75</v>
      </c>
      <c r="G64" s="35">
        <v>33000</v>
      </c>
      <c r="H64" s="35">
        <f t="shared" si="6"/>
        <v>66000</v>
      </c>
      <c r="I64" s="35"/>
      <c r="J64" s="35">
        <f t="shared" si="7"/>
        <v>0</v>
      </c>
      <c r="K64" s="35">
        <f t="shared" si="8"/>
        <v>33000</v>
      </c>
      <c r="L64" s="35">
        <f t="shared" si="8"/>
        <v>66000</v>
      </c>
      <c r="M64" s="36"/>
      <c r="N64" s="4"/>
    </row>
    <row r="65" spans="1:16" ht="24" customHeight="1">
      <c r="A65" s="41"/>
      <c r="B65" s="32"/>
      <c r="C65" s="32" t="s">
        <v>82</v>
      </c>
      <c r="D65" s="32"/>
      <c r="E65" s="33"/>
      <c r="F65" s="49" t="s">
        <v>75</v>
      </c>
      <c r="G65" s="35">
        <v>39500</v>
      </c>
      <c r="H65" s="35">
        <f t="shared" si="6"/>
        <v>0</v>
      </c>
      <c r="I65" s="35"/>
      <c r="J65" s="35">
        <f t="shared" si="7"/>
        <v>0</v>
      </c>
      <c r="K65" s="35">
        <f t="shared" si="8"/>
        <v>39500</v>
      </c>
      <c r="L65" s="35">
        <f t="shared" si="8"/>
        <v>0</v>
      </c>
      <c r="M65" s="36"/>
      <c r="N65" s="4"/>
    </row>
    <row r="66" spans="1:16" ht="24" customHeight="1">
      <c r="A66" s="41"/>
      <c r="B66" s="32" t="s">
        <v>83</v>
      </c>
      <c r="C66" s="32" t="s">
        <v>259</v>
      </c>
      <c r="D66" s="32"/>
      <c r="E66" s="33"/>
      <c r="F66" s="49" t="s">
        <v>75</v>
      </c>
      <c r="G66" s="35">
        <v>12000</v>
      </c>
      <c r="H66" s="35">
        <f t="shared" si="6"/>
        <v>0</v>
      </c>
      <c r="I66" s="35"/>
      <c r="J66" s="35">
        <f t="shared" si="7"/>
        <v>0</v>
      </c>
      <c r="K66" s="35">
        <f t="shared" si="8"/>
        <v>12000</v>
      </c>
      <c r="L66" s="35">
        <f t="shared" si="8"/>
        <v>0</v>
      </c>
      <c r="M66" s="36"/>
      <c r="N66" s="4"/>
    </row>
    <row r="67" spans="1:16" ht="24" customHeight="1">
      <c r="A67" s="41"/>
      <c r="B67" s="32"/>
      <c r="C67" s="32" t="s">
        <v>81</v>
      </c>
      <c r="D67" s="32"/>
      <c r="E67" s="33">
        <v>2</v>
      </c>
      <c r="F67" s="49" t="s">
        <v>75</v>
      </c>
      <c r="G67" s="35">
        <v>19500</v>
      </c>
      <c r="H67" s="35">
        <f t="shared" si="6"/>
        <v>39000</v>
      </c>
      <c r="I67" s="35"/>
      <c r="J67" s="35">
        <f t="shared" si="7"/>
        <v>0</v>
      </c>
      <c r="K67" s="35">
        <f t="shared" si="8"/>
        <v>19500</v>
      </c>
      <c r="L67" s="35">
        <f t="shared" si="8"/>
        <v>39000</v>
      </c>
      <c r="M67" s="36"/>
      <c r="N67" s="4"/>
    </row>
    <row r="68" spans="1:16" ht="24" customHeight="1">
      <c r="A68" s="41"/>
      <c r="B68" s="32"/>
      <c r="C68" s="32" t="s">
        <v>81</v>
      </c>
      <c r="D68" s="32" t="s">
        <v>360</v>
      </c>
      <c r="E68" s="33"/>
      <c r="F68" s="49" t="s">
        <v>75</v>
      </c>
      <c r="G68" s="35">
        <v>21500</v>
      </c>
      <c r="H68" s="35">
        <f>E68*G68</f>
        <v>0</v>
      </c>
      <c r="I68" s="35"/>
      <c r="J68" s="35">
        <f>E68*I68</f>
        <v>0</v>
      </c>
      <c r="K68" s="35">
        <f>G68+I68</f>
        <v>21500</v>
      </c>
      <c r="L68" s="35">
        <f>H68+J68</f>
        <v>0</v>
      </c>
      <c r="M68" s="36"/>
      <c r="N68" s="4"/>
    </row>
    <row r="69" spans="1:16" ht="24" customHeight="1">
      <c r="A69" s="41"/>
      <c r="B69" s="32"/>
      <c r="C69" s="32" t="s">
        <v>82</v>
      </c>
      <c r="D69" s="32"/>
      <c r="E69" s="33"/>
      <c r="F69" s="49" t="s">
        <v>75</v>
      </c>
      <c r="G69" s="35">
        <v>26500</v>
      </c>
      <c r="H69" s="35">
        <f t="shared" si="6"/>
        <v>0</v>
      </c>
      <c r="I69" s="35"/>
      <c r="J69" s="35">
        <f t="shared" si="7"/>
        <v>0</v>
      </c>
      <c r="K69" s="35">
        <f t="shared" si="8"/>
        <v>26500</v>
      </c>
      <c r="L69" s="35">
        <f t="shared" si="8"/>
        <v>0</v>
      </c>
      <c r="M69" s="36"/>
      <c r="N69" s="4"/>
    </row>
    <row r="70" spans="1:16" ht="24" customHeight="1">
      <c r="A70" s="41"/>
      <c r="B70" s="32"/>
      <c r="C70" s="32" t="s">
        <v>84</v>
      </c>
      <c r="D70" s="32"/>
      <c r="E70" s="33"/>
      <c r="F70" s="49" t="s">
        <v>75</v>
      </c>
      <c r="G70" s="35">
        <v>34500</v>
      </c>
      <c r="H70" s="35">
        <f t="shared" si="6"/>
        <v>0</v>
      </c>
      <c r="I70" s="35"/>
      <c r="J70" s="35">
        <f t="shared" si="7"/>
        <v>0</v>
      </c>
      <c r="K70" s="35">
        <f t="shared" si="8"/>
        <v>34500</v>
      </c>
      <c r="L70" s="35">
        <f t="shared" si="8"/>
        <v>0</v>
      </c>
      <c r="M70" s="36"/>
      <c r="N70" s="4"/>
      <c r="P70" s="5"/>
    </row>
    <row r="71" spans="1:16" ht="24" customHeight="1">
      <c r="A71" s="41"/>
      <c r="B71" s="32" t="s">
        <v>85</v>
      </c>
      <c r="C71" s="32" t="s">
        <v>86</v>
      </c>
      <c r="D71" s="32"/>
      <c r="E71" s="33"/>
      <c r="F71" s="49" t="s">
        <v>75</v>
      </c>
      <c r="G71" s="35">
        <v>7000</v>
      </c>
      <c r="H71" s="35">
        <f t="shared" si="6"/>
        <v>0</v>
      </c>
      <c r="I71" s="35"/>
      <c r="J71" s="35">
        <f t="shared" si="7"/>
        <v>0</v>
      </c>
      <c r="K71" s="35">
        <f t="shared" si="8"/>
        <v>7000</v>
      </c>
      <c r="L71" s="35">
        <f t="shared" si="8"/>
        <v>0</v>
      </c>
      <c r="M71" s="36"/>
      <c r="N71" s="4"/>
    </row>
    <row r="72" spans="1:16" ht="24" customHeight="1">
      <c r="A72" s="41"/>
      <c r="B72" s="32" t="s">
        <v>87</v>
      </c>
      <c r="C72" s="32" t="s">
        <v>88</v>
      </c>
      <c r="D72" s="32"/>
      <c r="E72" s="33"/>
      <c r="F72" s="49" t="s">
        <v>89</v>
      </c>
      <c r="G72" s="35">
        <v>160000</v>
      </c>
      <c r="H72" s="35">
        <f t="shared" si="6"/>
        <v>0</v>
      </c>
      <c r="I72" s="35"/>
      <c r="J72" s="35">
        <f t="shared" si="7"/>
        <v>0</v>
      </c>
      <c r="K72" s="35">
        <f t="shared" si="8"/>
        <v>160000</v>
      </c>
      <c r="L72" s="35">
        <f t="shared" si="8"/>
        <v>0</v>
      </c>
      <c r="M72" s="36"/>
      <c r="N72" s="4"/>
    </row>
    <row r="73" spans="1:16" ht="24" customHeight="1">
      <c r="A73" s="41"/>
      <c r="B73" s="32"/>
      <c r="C73" s="32"/>
      <c r="D73" s="32"/>
      <c r="E73" s="33"/>
      <c r="F73" s="49"/>
      <c r="G73" s="35"/>
      <c r="H73" s="35"/>
      <c r="I73" s="35"/>
      <c r="J73" s="35"/>
      <c r="K73" s="35"/>
      <c r="L73" s="35"/>
      <c r="M73" s="36"/>
      <c r="N73" s="4"/>
    </row>
    <row r="74" spans="1:16" ht="24" customHeight="1">
      <c r="A74" s="41"/>
      <c r="B74" s="32" t="s">
        <v>90</v>
      </c>
      <c r="C74" s="32"/>
      <c r="D74" s="34"/>
      <c r="E74" s="33"/>
      <c r="F74" s="49" t="s">
        <v>75</v>
      </c>
      <c r="G74" s="35">
        <v>3500</v>
      </c>
      <c r="H74" s="35">
        <f t="shared" si="6"/>
        <v>0</v>
      </c>
      <c r="I74" s="35"/>
      <c r="J74" s="35">
        <f t="shared" si="7"/>
        <v>0</v>
      </c>
      <c r="K74" s="35">
        <f t="shared" si="8"/>
        <v>3500</v>
      </c>
      <c r="L74" s="35">
        <f t="shared" si="8"/>
        <v>0</v>
      </c>
      <c r="M74" s="53"/>
      <c r="N74" s="4"/>
    </row>
    <row r="75" spans="1:16" ht="24" customHeight="1">
      <c r="A75" s="41"/>
      <c r="B75" s="32" t="s">
        <v>91</v>
      </c>
      <c r="C75" s="32"/>
      <c r="D75" s="34"/>
      <c r="E75" s="33"/>
      <c r="F75" s="49" t="s">
        <v>75</v>
      </c>
      <c r="G75" s="35">
        <v>3500</v>
      </c>
      <c r="H75" s="35">
        <f t="shared" si="6"/>
        <v>0</v>
      </c>
      <c r="I75" s="35"/>
      <c r="J75" s="35">
        <f t="shared" si="7"/>
        <v>0</v>
      </c>
      <c r="K75" s="35">
        <f t="shared" si="8"/>
        <v>3500</v>
      </c>
      <c r="L75" s="35">
        <f t="shared" si="8"/>
        <v>0</v>
      </c>
      <c r="M75" s="53"/>
      <c r="N75" s="4"/>
    </row>
    <row r="76" spans="1:16" ht="24" customHeight="1">
      <c r="A76" s="41"/>
      <c r="B76" s="32" t="s">
        <v>92</v>
      </c>
      <c r="C76" s="32"/>
      <c r="D76" s="34"/>
      <c r="E76" s="33"/>
      <c r="F76" s="49" t="s">
        <v>75</v>
      </c>
      <c r="G76" s="35">
        <v>3500</v>
      </c>
      <c r="H76" s="35">
        <f t="shared" si="6"/>
        <v>0</v>
      </c>
      <c r="I76" s="35"/>
      <c r="J76" s="35">
        <f t="shared" si="7"/>
        <v>0</v>
      </c>
      <c r="K76" s="35">
        <f t="shared" si="8"/>
        <v>3500</v>
      </c>
      <c r="L76" s="35">
        <f t="shared" si="8"/>
        <v>0</v>
      </c>
      <c r="M76" s="53"/>
      <c r="N76" s="4"/>
    </row>
    <row r="77" spans="1:16" ht="24" customHeight="1">
      <c r="A77" s="41"/>
      <c r="B77" s="32" t="s">
        <v>94</v>
      </c>
      <c r="C77" s="32"/>
      <c r="D77" s="34"/>
      <c r="E77" s="33"/>
      <c r="F77" s="49" t="s">
        <v>75</v>
      </c>
      <c r="G77" s="35">
        <v>15000</v>
      </c>
      <c r="H77" s="35">
        <f t="shared" si="6"/>
        <v>0</v>
      </c>
      <c r="I77" s="35"/>
      <c r="J77" s="35">
        <f t="shared" si="7"/>
        <v>0</v>
      </c>
      <c r="K77" s="35">
        <f t="shared" si="8"/>
        <v>15000</v>
      </c>
      <c r="L77" s="35">
        <f t="shared" si="8"/>
        <v>0</v>
      </c>
      <c r="M77" s="53"/>
      <c r="N77" s="4"/>
    </row>
    <row r="78" spans="1:16" ht="24" customHeight="1">
      <c r="A78" s="41"/>
      <c r="B78" s="32" t="s">
        <v>95</v>
      </c>
      <c r="C78" s="32" t="s">
        <v>440</v>
      </c>
      <c r="D78" s="34"/>
      <c r="E78" s="33"/>
      <c r="F78" s="49" t="s">
        <v>96</v>
      </c>
      <c r="G78" s="35">
        <v>690000</v>
      </c>
      <c r="H78" s="35">
        <f t="shared" si="6"/>
        <v>0</v>
      </c>
      <c r="I78" s="35"/>
      <c r="J78" s="35">
        <f t="shared" si="7"/>
        <v>0</v>
      </c>
      <c r="K78" s="35">
        <f t="shared" si="8"/>
        <v>690000</v>
      </c>
      <c r="L78" s="35">
        <f t="shared" si="8"/>
        <v>0</v>
      </c>
      <c r="M78" s="53" t="s">
        <v>93</v>
      </c>
      <c r="N78" s="4"/>
    </row>
    <row r="79" spans="1:16" ht="24" customHeight="1">
      <c r="A79" s="41"/>
      <c r="B79" s="32" t="s">
        <v>98</v>
      </c>
      <c r="C79" s="32"/>
      <c r="D79" s="34"/>
      <c r="E79" s="33"/>
      <c r="F79" s="49" t="s">
        <v>59</v>
      </c>
      <c r="G79" s="35"/>
      <c r="H79" s="35">
        <f t="shared" si="6"/>
        <v>0</v>
      </c>
      <c r="I79" s="35"/>
      <c r="J79" s="35">
        <f t="shared" si="7"/>
        <v>0</v>
      </c>
      <c r="K79" s="35">
        <f t="shared" ref="K79:L87" si="9">G79+I79</f>
        <v>0</v>
      </c>
      <c r="L79" s="35">
        <f t="shared" si="9"/>
        <v>0</v>
      </c>
      <c r="M79" s="53"/>
      <c r="N79" s="4"/>
    </row>
    <row r="80" spans="1:16" ht="24" customHeight="1">
      <c r="A80" s="41"/>
      <c r="B80" s="32" t="s">
        <v>260</v>
      </c>
      <c r="C80" s="32"/>
      <c r="D80" s="34"/>
      <c r="E80" s="33"/>
      <c r="F80" s="49" t="s">
        <v>43</v>
      </c>
      <c r="G80" s="35">
        <v>250000</v>
      </c>
      <c r="H80" s="35">
        <f t="shared" si="6"/>
        <v>0</v>
      </c>
      <c r="I80" s="35"/>
      <c r="J80" s="35">
        <f t="shared" si="7"/>
        <v>0</v>
      </c>
      <c r="K80" s="35">
        <f t="shared" si="9"/>
        <v>250000</v>
      </c>
      <c r="L80" s="35">
        <f t="shared" si="9"/>
        <v>0</v>
      </c>
      <c r="M80" s="53"/>
      <c r="N80" s="4"/>
    </row>
    <row r="81" spans="1:14" ht="24" customHeight="1">
      <c r="A81" s="41"/>
      <c r="B81" s="32" t="s">
        <v>436</v>
      </c>
      <c r="C81" s="32" t="s">
        <v>437</v>
      </c>
      <c r="D81" s="34"/>
      <c r="E81" s="33"/>
      <c r="F81" s="49" t="s">
        <v>75</v>
      </c>
      <c r="G81" s="35">
        <v>50000</v>
      </c>
      <c r="H81" s="35">
        <f t="shared" si="6"/>
        <v>0</v>
      </c>
      <c r="I81" s="35"/>
      <c r="J81" s="35">
        <f t="shared" si="7"/>
        <v>0</v>
      </c>
      <c r="K81" s="35">
        <f t="shared" si="9"/>
        <v>50000</v>
      </c>
      <c r="L81" s="35">
        <f t="shared" si="9"/>
        <v>0</v>
      </c>
      <c r="M81" s="53"/>
      <c r="N81" s="4"/>
    </row>
    <row r="82" spans="1:14" ht="24" customHeight="1">
      <c r="A82" s="41"/>
      <c r="B82" s="32" t="s">
        <v>261</v>
      </c>
      <c r="C82" s="32" t="s">
        <v>391</v>
      </c>
      <c r="D82" s="34"/>
      <c r="E82" s="33"/>
      <c r="F82" s="49" t="s">
        <v>43</v>
      </c>
      <c r="G82" s="35">
        <v>180000</v>
      </c>
      <c r="H82" s="35">
        <f t="shared" si="6"/>
        <v>0</v>
      </c>
      <c r="I82" s="35"/>
      <c r="J82" s="35">
        <f t="shared" si="7"/>
        <v>0</v>
      </c>
      <c r="K82" s="35">
        <f t="shared" si="9"/>
        <v>180000</v>
      </c>
      <c r="L82" s="35">
        <f t="shared" si="9"/>
        <v>0</v>
      </c>
      <c r="M82" s="53"/>
      <c r="N82" s="4"/>
    </row>
    <row r="83" spans="1:14" ht="24" customHeight="1">
      <c r="A83" s="41"/>
      <c r="B83" s="32" t="s">
        <v>97</v>
      </c>
      <c r="C83" s="32" t="s">
        <v>441</v>
      </c>
      <c r="D83" s="34" t="s">
        <v>442</v>
      </c>
      <c r="E83" s="33"/>
      <c r="F83" s="49" t="s">
        <v>96</v>
      </c>
      <c r="G83" s="35">
        <v>128000</v>
      </c>
      <c r="H83" s="35">
        <f t="shared" si="6"/>
        <v>0</v>
      </c>
      <c r="I83" s="35"/>
      <c r="J83" s="35">
        <f t="shared" si="7"/>
        <v>0</v>
      </c>
      <c r="K83" s="35">
        <f t="shared" si="9"/>
        <v>128000</v>
      </c>
      <c r="L83" s="35">
        <f t="shared" si="9"/>
        <v>0</v>
      </c>
      <c r="M83" s="53"/>
      <c r="N83" s="4"/>
    </row>
    <row r="84" spans="1:14" ht="24" customHeight="1">
      <c r="A84" s="41"/>
      <c r="B84" s="32" t="s">
        <v>97</v>
      </c>
      <c r="C84" s="32" t="s">
        <v>371</v>
      </c>
      <c r="D84" s="34" t="s">
        <v>379</v>
      </c>
      <c r="E84" s="33"/>
      <c r="F84" s="49" t="s">
        <v>96</v>
      </c>
      <c r="G84" s="35">
        <v>148000</v>
      </c>
      <c r="H84" s="35">
        <f t="shared" si="6"/>
        <v>0</v>
      </c>
      <c r="I84" s="35"/>
      <c r="J84" s="35">
        <f t="shared" si="7"/>
        <v>0</v>
      </c>
      <c r="K84" s="35">
        <f t="shared" si="9"/>
        <v>148000</v>
      </c>
      <c r="L84" s="35">
        <f t="shared" si="9"/>
        <v>0</v>
      </c>
      <c r="M84" s="53"/>
      <c r="N84" s="4"/>
    </row>
    <row r="85" spans="1:14" ht="24" customHeight="1">
      <c r="A85" s="41"/>
      <c r="B85" s="32" t="s">
        <v>97</v>
      </c>
      <c r="C85" s="32" t="s">
        <v>371</v>
      </c>
      <c r="D85" s="34" t="s">
        <v>388</v>
      </c>
      <c r="E85" s="33"/>
      <c r="F85" s="49" t="s">
        <v>96</v>
      </c>
      <c r="G85" s="35">
        <v>250000</v>
      </c>
      <c r="H85" s="35">
        <f t="shared" si="6"/>
        <v>0</v>
      </c>
      <c r="I85" s="35"/>
      <c r="J85" s="35">
        <f t="shared" si="7"/>
        <v>0</v>
      </c>
      <c r="K85" s="35">
        <f t="shared" si="9"/>
        <v>250000</v>
      </c>
      <c r="L85" s="35">
        <f t="shared" si="9"/>
        <v>0</v>
      </c>
      <c r="M85" s="53"/>
      <c r="N85" s="4"/>
    </row>
    <row r="86" spans="1:14" ht="24" customHeight="1">
      <c r="A86" s="41"/>
      <c r="B86" s="32" t="s">
        <v>99</v>
      </c>
      <c r="C86" s="32" t="s">
        <v>439</v>
      </c>
      <c r="D86" s="34"/>
      <c r="E86" s="33"/>
      <c r="F86" s="49" t="s">
        <v>96</v>
      </c>
      <c r="G86" s="35">
        <v>35000</v>
      </c>
      <c r="H86" s="35">
        <f t="shared" si="6"/>
        <v>0</v>
      </c>
      <c r="I86" s="35"/>
      <c r="J86" s="35">
        <f t="shared" si="7"/>
        <v>0</v>
      </c>
      <c r="K86" s="35">
        <f t="shared" si="9"/>
        <v>35000</v>
      </c>
      <c r="L86" s="35">
        <f t="shared" si="9"/>
        <v>0</v>
      </c>
      <c r="M86" s="53"/>
      <c r="N86" s="4"/>
    </row>
    <row r="87" spans="1:14" ht="24" customHeight="1">
      <c r="A87" s="41"/>
      <c r="B87" s="32" t="s">
        <v>100</v>
      </c>
      <c r="C87" s="32" t="s">
        <v>101</v>
      </c>
      <c r="D87" s="32"/>
      <c r="E87" s="33">
        <v>1</v>
      </c>
      <c r="F87" s="49" t="s">
        <v>43</v>
      </c>
      <c r="G87" s="35">
        <v>150000</v>
      </c>
      <c r="H87" s="35">
        <f t="shared" si="6"/>
        <v>150000</v>
      </c>
      <c r="I87" s="35"/>
      <c r="J87" s="35">
        <f t="shared" si="7"/>
        <v>0</v>
      </c>
      <c r="K87" s="35">
        <f t="shared" si="9"/>
        <v>150000</v>
      </c>
      <c r="L87" s="35">
        <f t="shared" si="9"/>
        <v>150000</v>
      </c>
      <c r="M87" s="36"/>
      <c r="N87" s="4"/>
    </row>
    <row r="88" spans="1:14" ht="24" customHeight="1">
      <c r="A88" s="41"/>
      <c r="B88" s="32" t="s">
        <v>102</v>
      </c>
      <c r="C88" s="32"/>
      <c r="D88" s="32"/>
      <c r="E88" s="33">
        <v>2</v>
      </c>
      <c r="F88" s="49" t="s">
        <v>103</v>
      </c>
      <c r="G88" s="35"/>
      <c r="H88" s="35">
        <f>E88*G88</f>
        <v>0</v>
      </c>
      <c r="I88" s="35">
        <v>290000</v>
      </c>
      <c r="J88" s="35">
        <f t="shared" si="7"/>
        <v>580000</v>
      </c>
      <c r="K88" s="35">
        <f>G88+I88</f>
        <v>290000</v>
      </c>
      <c r="L88" s="35">
        <f>H88+J88</f>
        <v>580000</v>
      </c>
      <c r="M88" s="36"/>
      <c r="N88" s="4"/>
    </row>
    <row r="89" spans="1:14" ht="24" customHeight="1">
      <c r="A89" s="41"/>
      <c r="B89" s="32" t="s">
        <v>104</v>
      </c>
      <c r="C89" s="32"/>
      <c r="D89" s="32"/>
      <c r="E89" s="33">
        <v>1</v>
      </c>
      <c r="F89" s="49" t="s">
        <v>105</v>
      </c>
      <c r="G89" s="35">
        <v>150000</v>
      </c>
      <c r="H89" s="35">
        <f>E89*G89</f>
        <v>150000</v>
      </c>
      <c r="I89" s="35"/>
      <c r="J89" s="35">
        <f t="shared" si="7"/>
        <v>0</v>
      </c>
      <c r="K89" s="35">
        <f>G89+I89</f>
        <v>150000</v>
      </c>
      <c r="L89" s="35">
        <f>H89+J89</f>
        <v>150000</v>
      </c>
      <c r="M89" s="36"/>
      <c r="N89" s="4"/>
    </row>
    <row r="90" spans="1:14" ht="24" customHeight="1">
      <c r="A90" s="41"/>
      <c r="B90" s="32"/>
      <c r="C90" s="32"/>
      <c r="D90" s="32"/>
      <c r="E90" s="33"/>
      <c r="F90" s="49"/>
      <c r="G90" s="35"/>
      <c r="H90" s="35"/>
      <c r="I90" s="35"/>
      <c r="J90" s="35"/>
      <c r="K90" s="35"/>
      <c r="L90" s="35"/>
      <c r="M90" s="36"/>
      <c r="N90" s="4"/>
    </row>
    <row r="91" spans="1:14" ht="24" customHeight="1">
      <c r="A91" s="41"/>
      <c r="B91" s="32" t="s">
        <v>49</v>
      </c>
      <c r="C91" s="32"/>
      <c r="D91" s="32"/>
      <c r="E91" s="33"/>
      <c r="F91" s="34"/>
      <c r="G91" s="35"/>
      <c r="H91" s="35">
        <f>SUM(H60:H90)</f>
        <v>497500</v>
      </c>
      <c r="I91" s="35"/>
      <c r="J91" s="35">
        <f>SUM(J60:J90)</f>
        <v>580000</v>
      </c>
      <c r="K91" s="35"/>
      <c r="L91" s="35">
        <f>SUM(L60:L90)</f>
        <v>1077500</v>
      </c>
      <c r="M91" s="36"/>
      <c r="N91" s="4"/>
    </row>
    <row r="92" spans="1:14" ht="24" customHeight="1">
      <c r="A92" s="41"/>
      <c r="B92" s="55"/>
      <c r="C92" s="32"/>
      <c r="D92" s="32"/>
      <c r="E92" s="33"/>
      <c r="F92" s="34"/>
      <c r="G92" s="35"/>
      <c r="H92" s="35"/>
      <c r="I92" s="35"/>
      <c r="J92" s="35"/>
      <c r="K92" s="35"/>
      <c r="L92" s="35"/>
      <c r="M92" s="36"/>
      <c r="N92" s="4"/>
    </row>
    <row r="93" spans="1:14" ht="24" customHeight="1">
      <c r="A93" s="41"/>
      <c r="B93" s="55"/>
      <c r="C93" s="32"/>
      <c r="D93" s="32"/>
      <c r="E93" s="33"/>
      <c r="F93" s="34"/>
      <c r="G93" s="35"/>
      <c r="H93" s="35"/>
      <c r="I93" s="35"/>
      <c r="J93" s="35"/>
      <c r="K93" s="35"/>
      <c r="L93" s="35"/>
      <c r="M93" s="36"/>
      <c r="N93" s="4"/>
    </row>
    <row r="94" spans="1:14" s="10" customFormat="1" ht="24" customHeight="1">
      <c r="A94" s="66">
        <f>A7</f>
        <v>4</v>
      </c>
      <c r="B94" s="69" t="str">
        <f>B7</f>
        <v>전기 공사</v>
      </c>
      <c r="C94" s="149"/>
      <c r="D94" s="150"/>
      <c r="E94" s="150"/>
      <c r="F94" s="150"/>
      <c r="G94" s="150"/>
      <c r="H94" s="150"/>
      <c r="I94" s="150"/>
      <c r="J94" s="150"/>
      <c r="K94" s="150"/>
      <c r="L94" s="150"/>
      <c r="M94" s="151"/>
      <c r="N94" s="11"/>
    </row>
    <row r="95" spans="1:14" ht="24" customHeight="1">
      <c r="A95" s="41"/>
      <c r="B95" s="51" t="s">
        <v>106</v>
      </c>
      <c r="C95" s="51" t="s">
        <v>341</v>
      </c>
      <c r="D95" s="34" t="s">
        <v>345</v>
      </c>
      <c r="E95" s="33"/>
      <c r="F95" s="49" t="s">
        <v>75</v>
      </c>
      <c r="G95" s="35">
        <v>30000</v>
      </c>
      <c r="H95" s="35">
        <f t="shared" ref="H95:H124" si="10">E95*G95</f>
        <v>0</v>
      </c>
      <c r="I95" s="35"/>
      <c r="J95" s="35">
        <f>E95*I95</f>
        <v>0</v>
      </c>
      <c r="K95" s="35">
        <f t="shared" ref="K95:L124" si="11">G95+I95</f>
        <v>30000</v>
      </c>
      <c r="L95" s="35">
        <f t="shared" si="11"/>
        <v>0</v>
      </c>
      <c r="M95" s="53"/>
      <c r="N95" s="4"/>
    </row>
    <row r="96" spans="1:14" ht="24" customHeight="1">
      <c r="A96" s="41"/>
      <c r="B96" s="51" t="s">
        <v>108</v>
      </c>
      <c r="C96" s="51" t="s">
        <v>343</v>
      </c>
      <c r="D96" s="34"/>
      <c r="E96" s="33"/>
      <c r="F96" s="49" t="s">
        <v>75</v>
      </c>
      <c r="G96" s="35">
        <v>76000</v>
      </c>
      <c r="H96" s="35">
        <f t="shared" si="10"/>
        <v>0</v>
      </c>
      <c r="I96" s="35"/>
      <c r="J96" s="35">
        <f t="shared" ref="J96:J124" si="12">E96*I96</f>
        <v>0</v>
      </c>
      <c r="K96" s="35">
        <f t="shared" si="11"/>
        <v>76000</v>
      </c>
      <c r="L96" s="35">
        <f t="shared" si="11"/>
        <v>0</v>
      </c>
      <c r="M96" s="53"/>
      <c r="N96" s="4"/>
    </row>
    <row r="97" spans="1:14" ht="24" customHeight="1">
      <c r="A97" s="41"/>
      <c r="B97" s="51" t="s">
        <v>109</v>
      </c>
      <c r="C97" s="51" t="s">
        <v>342</v>
      </c>
      <c r="D97" s="34" t="s">
        <v>345</v>
      </c>
      <c r="E97" s="33"/>
      <c r="F97" s="49" t="s">
        <v>75</v>
      </c>
      <c r="G97" s="35">
        <v>30000</v>
      </c>
      <c r="H97" s="35">
        <f t="shared" si="10"/>
        <v>0</v>
      </c>
      <c r="I97" s="35"/>
      <c r="J97" s="35">
        <f t="shared" si="12"/>
        <v>0</v>
      </c>
      <c r="K97" s="35">
        <f t="shared" si="11"/>
        <v>30000</v>
      </c>
      <c r="L97" s="35">
        <f t="shared" si="11"/>
        <v>0</v>
      </c>
      <c r="M97" s="53"/>
      <c r="N97" s="4"/>
    </row>
    <row r="98" spans="1:14" ht="24" customHeight="1">
      <c r="A98" s="41"/>
      <c r="B98" s="51" t="s">
        <v>110</v>
      </c>
      <c r="C98" s="51" t="s">
        <v>107</v>
      </c>
      <c r="D98" s="34"/>
      <c r="E98" s="33"/>
      <c r="F98" s="49" t="s">
        <v>75</v>
      </c>
      <c r="G98" s="35">
        <v>35000</v>
      </c>
      <c r="H98" s="35">
        <f t="shared" si="10"/>
        <v>0</v>
      </c>
      <c r="I98" s="35"/>
      <c r="J98" s="35">
        <f t="shared" si="12"/>
        <v>0</v>
      </c>
      <c r="K98" s="35">
        <f t="shared" si="11"/>
        <v>35000</v>
      </c>
      <c r="L98" s="35">
        <f t="shared" si="11"/>
        <v>0</v>
      </c>
      <c r="M98" s="53"/>
      <c r="N98" s="4"/>
    </row>
    <row r="99" spans="1:14" ht="24" customHeight="1">
      <c r="A99" s="41"/>
      <c r="B99" s="51" t="s">
        <v>111</v>
      </c>
      <c r="C99" s="51" t="s">
        <v>112</v>
      </c>
      <c r="D99" s="34"/>
      <c r="E99" s="33"/>
      <c r="F99" s="49" t="s">
        <v>75</v>
      </c>
      <c r="G99" s="35">
        <v>15000</v>
      </c>
      <c r="H99" s="35">
        <f t="shared" si="10"/>
        <v>0</v>
      </c>
      <c r="I99" s="35"/>
      <c r="J99" s="35">
        <f t="shared" si="12"/>
        <v>0</v>
      </c>
      <c r="K99" s="35">
        <f t="shared" si="11"/>
        <v>15000</v>
      </c>
      <c r="L99" s="35">
        <f t="shared" si="11"/>
        <v>0</v>
      </c>
      <c r="M99" s="53"/>
      <c r="N99" s="4"/>
    </row>
    <row r="100" spans="1:14" ht="24" customHeight="1">
      <c r="A100" s="41"/>
      <c r="B100" s="51" t="s">
        <v>381</v>
      </c>
      <c r="C100" s="51" t="s">
        <v>112</v>
      </c>
      <c r="D100" s="34" t="s">
        <v>345</v>
      </c>
      <c r="E100" s="33"/>
      <c r="F100" s="49" t="s">
        <v>75</v>
      </c>
      <c r="G100" s="35">
        <v>15000</v>
      </c>
      <c r="H100" s="35">
        <f t="shared" si="10"/>
        <v>0</v>
      </c>
      <c r="I100" s="35"/>
      <c r="J100" s="35">
        <f t="shared" si="12"/>
        <v>0</v>
      </c>
      <c r="K100" s="35">
        <f t="shared" si="11"/>
        <v>15000</v>
      </c>
      <c r="L100" s="35">
        <f t="shared" si="11"/>
        <v>0</v>
      </c>
      <c r="M100" s="53"/>
      <c r="N100" s="4"/>
    </row>
    <row r="101" spans="1:14" ht="24" customHeight="1">
      <c r="A101" s="41"/>
      <c r="B101" s="51" t="s">
        <v>114</v>
      </c>
      <c r="C101" s="51" t="s">
        <v>112</v>
      </c>
      <c r="D101" s="34" t="s">
        <v>345</v>
      </c>
      <c r="E101" s="33"/>
      <c r="F101" s="49" t="s">
        <v>75</v>
      </c>
      <c r="G101" s="35">
        <v>15000</v>
      </c>
      <c r="H101" s="35">
        <f t="shared" si="10"/>
        <v>0</v>
      </c>
      <c r="I101" s="35"/>
      <c r="J101" s="35">
        <f t="shared" si="12"/>
        <v>0</v>
      </c>
      <c r="K101" s="35">
        <f t="shared" si="11"/>
        <v>15000</v>
      </c>
      <c r="L101" s="35">
        <f t="shared" si="11"/>
        <v>0</v>
      </c>
      <c r="M101" s="53"/>
      <c r="N101" s="4"/>
    </row>
    <row r="102" spans="1:14" ht="24" customHeight="1">
      <c r="A102" s="41"/>
      <c r="B102" s="51" t="s">
        <v>115</v>
      </c>
      <c r="C102" s="51" t="s">
        <v>116</v>
      </c>
      <c r="D102" s="32"/>
      <c r="E102" s="33"/>
      <c r="F102" s="49" t="s">
        <v>75</v>
      </c>
      <c r="G102" s="35">
        <v>68000</v>
      </c>
      <c r="H102" s="35">
        <f t="shared" si="10"/>
        <v>0</v>
      </c>
      <c r="I102" s="35"/>
      <c r="J102" s="35">
        <f t="shared" si="12"/>
        <v>0</v>
      </c>
      <c r="K102" s="35">
        <f t="shared" si="11"/>
        <v>68000</v>
      </c>
      <c r="L102" s="35">
        <f t="shared" si="11"/>
        <v>0</v>
      </c>
      <c r="M102" s="53"/>
      <c r="N102" s="4"/>
    </row>
    <row r="103" spans="1:14" ht="24" customHeight="1">
      <c r="A103" s="41"/>
      <c r="B103" s="51" t="s">
        <v>117</v>
      </c>
      <c r="C103" s="51" t="s">
        <v>116</v>
      </c>
      <c r="D103" s="32"/>
      <c r="E103" s="33"/>
      <c r="F103" s="49" t="s">
        <v>75</v>
      </c>
      <c r="G103" s="35">
        <v>150000</v>
      </c>
      <c r="H103" s="35">
        <f t="shared" si="10"/>
        <v>0</v>
      </c>
      <c r="I103" s="35"/>
      <c r="J103" s="35">
        <f t="shared" si="12"/>
        <v>0</v>
      </c>
      <c r="K103" s="35">
        <f t="shared" si="11"/>
        <v>150000</v>
      </c>
      <c r="L103" s="35">
        <f t="shared" si="11"/>
        <v>0</v>
      </c>
      <c r="M103" s="53"/>
      <c r="N103" s="4"/>
    </row>
    <row r="104" spans="1:14" ht="24" customHeight="1">
      <c r="A104" s="41"/>
      <c r="B104" s="51" t="s">
        <v>119</v>
      </c>
      <c r="C104" s="51" t="s">
        <v>373</v>
      </c>
      <c r="D104" s="34" t="s">
        <v>345</v>
      </c>
      <c r="E104" s="33"/>
      <c r="F104" s="49" t="s">
        <v>75</v>
      </c>
      <c r="G104" s="35">
        <v>15000</v>
      </c>
      <c r="H104" s="35">
        <f t="shared" si="10"/>
        <v>0</v>
      </c>
      <c r="I104" s="35"/>
      <c r="J104" s="35">
        <f t="shared" si="12"/>
        <v>0</v>
      </c>
      <c r="K104" s="35">
        <f t="shared" si="11"/>
        <v>15000</v>
      </c>
      <c r="L104" s="35">
        <f t="shared" si="11"/>
        <v>0</v>
      </c>
      <c r="M104" s="53"/>
      <c r="N104" s="4"/>
    </row>
    <row r="105" spans="1:14" ht="24" customHeight="1">
      <c r="A105" s="41"/>
      <c r="B105" s="51" t="s">
        <v>120</v>
      </c>
      <c r="C105" s="51" t="s">
        <v>121</v>
      </c>
      <c r="D105" s="32"/>
      <c r="E105" s="33"/>
      <c r="F105" s="49" t="s">
        <v>75</v>
      </c>
      <c r="G105" s="35">
        <v>15000</v>
      </c>
      <c r="H105" s="35">
        <f t="shared" si="10"/>
        <v>0</v>
      </c>
      <c r="I105" s="35"/>
      <c r="J105" s="35">
        <f t="shared" si="12"/>
        <v>0</v>
      </c>
      <c r="K105" s="35">
        <f t="shared" si="11"/>
        <v>15000</v>
      </c>
      <c r="L105" s="35">
        <f t="shared" si="11"/>
        <v>0</v>
      </c>
      <c r="M105" s="53"/>
      <c r="N105" s="4"/>
    </row>
    <row r="106" spans="1:14" ht="24" customHeight="1">
      <c r="A106" s="41"/>
      <c r="B106" s="51" t="s">
        <v>120</v>
      </c>
      <c r="C106" s="51" t="s">
        <v>351</v>
      </c>
      <c r="D106" s="34" t="s">
        <v>345</v>
      </c>
      <c r="E106" s="33"/>
      <c r="F106" s="49" t="s">
        <v>75</v>
      </c>
      <c r="G106" s="35">
        <v>15000</v>
      </c>
      <c r="H106" s="35">
        <f t="shared" si="10"/>
        <v>0</v>
      </c>
      <c r="I106" s="35"/>
      <c r="J106" s="35">
        <f t="shared" si="12"/>
        <v>0</v>
      </c>
      <c r="K106" s="35">
        <f t="shared" si="11"/>
        <v>15000</v>
      </c>
      <c r="L106" s="35">
        <f t="shared" si="11"/>
        <v>0</v>
      </c>
      <c r="M106" s="53"/>
      <c r="N106" s="4"/>
    </row>
    <row r="107" spans="1:14" ht="24" customHeight="1">
      <c r="A107" s="41"/>
      <c r="B107" s="51" t="s">
        <v>120</v>
      </c>
      <c r="C107" s="51" t="s">
        <v>344</v>
      </c>
      <c r="D107" s="34" t="s">
        <v>345</v>
      </c>
      <c r="E107" s="33"/>
      <c r="F107" s="49" t="s">
        <v>75</v>
      </c>
      <c r="G107" s="35">
        <v>15000</v>
      </c>
      <c r="H107" s="35">
        <f t="shared" si="10"/>
        <v>0</v>
      </c>
      <c r="I107" s="35"/>
      <c r="J107" s="35">
        <f t="shared" si="12"/>
        <v>0</v>
      </c>
      <c r="K107" s="35">
        <f t="shared" si="11"/>
        <v>15000</v>
      </c>
      <c r="L107" s="35">
        <f t="shared" si="11"/>
        <v>0</v>
      </c>
      <c r="M107" s="53"/>
      <c r="N107" s="4"/>
    </row>
    <row r="108" spans="1:14" ht="24" customHeight="1">
      <c r="A108" s="41"/>
      <c r="B108" s="51" t="s">
        <v>122</v>
      </c>
      <c r="C108" s="51" t="s">
        <v>123</v>
      </c>
      <c r="D108" s="32"/>
      <c r="E108" s="33"/>
      <c r="F108" s="49" t="s">
        <v>75</v>
      </c>
      <c r="G108" s="35"/>
      <c r="H108" s="35">
        <f t="shared" si="10"/>
        <v>0</v>
      </c>
      <c r="I108" s="35"/>
      <c r="J108" s="35">
        <f t="shared" si="12"/>
        <v>0</v>
      </c>
      <c r="K108" s="35">
        <f t="shared" si="11"/>
        <v>0</v>
      </c>
      <c r="L108" s="35">
        <f t="shared" si="11"/>
        <v>0</v>
      </c>
      <c r="M108" s="53"/>
      <c r="N108" s="4"/>
    </row>
    <row r="109" spans="1:14" ht="24" customHeight="1">
      <c r="A109" s="41"/>
      <c r="B109" s="51" t="s">
        <v>124</v>
      </c>
      <c r="C109" s="51" t="s">
        <v>125</v>
      </c>
      <c r="D109" s="34" t="s">
        <v>345</v>
      </c>
      <c r="E109" s="33">
        <v>14</v>
      </c>
      <c r="F109" s="49" t="s">
        <v>75</v>
      </c>
      <c r="G109" s="35">
        <v>11500</v>
      </c>
      <c r="H109" s="35">
        <f t="shared" si="10"/>
        <v>161000</v>
      </c>
      <c r="I109" s="35"/>
      <c r="J109" s="35">
        <f t="shared" si="12"/>
        <v>0</v>
      </c>
      <c r="K109" s="35">
        <f t="shared" si="11"/>
        <v>11500</v>
      </c>
      <c r="L109" s="35">
        <f t="shared" si="11"/>
        <v>161000</v>
      </c>
      <c r="M109" s="53" t="s">
        <v>466</v>
      </c>
      <c r="N109" s="4"/>
    </row>
    <row r="110" spans="1:14" ht="24" customHeight="1">
      <c r="A110" s="41"/>
      <c r="B110" s="51"/>
      <c r="C110" s="51" t="s">
        <v>126</v>
      </c>
      <c r="D110" s="34"/>
      <c r="E110" s="33"/>
      <c r="F110" s="49" t="s">
        <v>75</v>
      </c>
      <c r="G110" s="35">
        <v>15000</v>
      </c>
      <c r="H110" s="35">
        <f t="shared" si="10"/>
        <v>0</v>
      </c>
      <c r="I110" s="35"/>
      <c r="J110" s="35">
        <f t="shared" si="12"/>
        <v>0</v>
      </c>
      <c r="K110" s="35">
        <f t="shared" si="11"/>
        <v>15000</v>
      </c>
      <c r="L110" s="35">
        <f t="shared" si="11"/>
        <v>0</v>
      </c>
      <c r="M110" s="53"/>
      <c r="N110" s="4"/>
    </row>
    <row r="111" spans="1:14" ht="24" customHeight="1">
      <c r="A111" s="41"/>
      <c r="B111" s="51"/>
      <c r="C111" s="51" t="s">
        <v>127</v>
      </c>
      <c r="D111" s="34" t="s">
        <v>347</v>
      </c>
      <c r="E111" s="33"/>
      <c r="F111" s="49" t="s">
        <v>75</v>
      </c>
      <c r="G111" s="35">
        <v>15000</v>
      </c>
      <c r="H111" s="35">
        <f t="shared" si="10"/>
        <v>0</v>
      </c>
      <c r="I111" s="35"/>
      <c r="J111" s="35">
        <f t="shared" si="12"/>
        <v>0</v>
      </c>
      <c r="K111" s="35">
        <f t="shared" si="11"/>
        <v>15000</v>
      </c>
      <c r="L111" s="35">
        <f t="shared" si="11"/>
        <v>0</v>
      </c>
      <c r="M111" s="53"/>
      <c r="N111" s="4"/>
    </row>
    <row r="112" spans="1:14" ht="24" customHeight="1">
      <c r="A112" s="41"/>
      <c r="B112" s="51" t="s">
        <v>128</v>
      </c>
      <c r="C112" s="51" t="s">
        <v>374</v>
      </c>
      <c r="D112" s="34" t="s">
        <v>382</v>
      </c>
      <c r="E112" s="50"/>
      <c r="F112" s="49" t="s">
        <v>59</v>
      </c>
      <c r="G112" s="35">
        <v>2700</v>
      </c>
      <c r="H112" s="35">
        <f t="shared" si="10"/>
        <v>0</v>
      </c>
      <c r="I112" s="35"/>
      <c r="J112" s="35">
        <f t="shared" si="12"/>
        <v>0</v>
      </c>
      <c r="K112" s="35">
        <f t="shared" si="11"/>
        <v>2700</v>
      </c>
      <c r="L112" s="35">
        <f t="shared" si="11"/>
        <v>0</v>
      </c>
      <c r="M112" s="53"/>
      <c r="N112" s="4"/>
    </row>
    <row r="113" spans="1:14" ht="24" customHeight="1">
      <c r="A113" s="41"/>
      <c r="B113" s="51" t="s">
        <v>130</v>
      </c>
      <c r="C113" s="51" t="s">
        <v>131</v>
      </c>
      <c r="D113" s="32"/>
      <c r="E113" s="33"/>
      <c r="F113" s="49" t="s">
        <v>75</v>
      </c>
      <c r="G113" s="35"/>
      <c r="H113" s="35">
        <f t="shared" si="10"/>
        <v>0</v>
      </c>
      <c r="I113" s="35"/>
      <c r="J113" s="35">
        <f t="shared" si="12"/>
        <v>0</v>
      </c>
      <c r="K113" s="35">
        <f t="shared" si="11"/>
        <v>0</v>
      </c>
      <c r="L113" s="35">
        <f t="shared" si="11"/>
        <v>0</v>
      </c>
      <c r="M113" s="53"/>
      <c r="N113" s="4"/>
    </row>
    <row r="114" spans="1:14" ht="24" customHeight="1">
      <c r="A114" s="41"/>
      <c r="B114" s="51" t="s">
        <v>132</v>
      </c>
      <c r="C114" s="51" t="s">
        <v>133</v>
      </c>
      <c r="D114" s="32"/>
      <c r="E114" s="50">
        <v>20</v>
      </c>
      <c r="F114" s="49" t="s">
        <v>59</v>
      </c>
      <c r="G114" s="35">
        <v>1700</v>
      </c>
      <c r="H114" s="35">
        <f t="shared" si="10"/>
        <v>34000</v>
      </c>
      <c r="I114" s="35"/>
      <c r="J114" s="35">
        <f t="shared" si="12"/>
        <v>0</v>
      </c>
      <c r="K114" s="35">
        <f t="shared" si="11"/>
        <v>1700</v>
      </c>
      <c r="L114" s="35">
        <f t="shared" si="11"/>
        <v>34000</v>
      </c>
      <c r="M114" s="53"/>
      <c r="N114" s="4"/>
    </row>
    <row r="115" spans="1:14" ht="24" customHeight="1">
      <c r="A115" s="41"/>
      <c r="B115" s="51" t="s">
        <v>380</v>
      </c>
      <c r="C115" s="51"/>
      <c r="D115" s="32"/>
      <c r="E115" s="50"/>
      <c r="F115" s="49" t="s">
        <v>75</v>
      </c>
      <c r="G115" s="35">
        <v>190000</v>
      </c>
      <c r="H115" s="35">
        <f t="shared" si="10"/>
        <v>0</v>
      </c>
      <c r="I115" s="35"/>
      <c r="J115" s="35">
        <f t="shared" si="12"/>
        <v>0</v>
      </c>
      <c r="K115" s="35">
        <f t="shared" si="11"/>
        <v>190000</v>
      </c>
      <c r="L115" s="35">
        <f t="shared" si="11"/>
        <v>0</v>
      </c>
      <c r="M115" s="53"/>
      <c r="N115" s="4"/>
    </row>
    <row r="116" spans="1:14" ht="24" customHeight="1">
      <c r="A116" s="41"/>
      <c r="B116" s="51" t="s">
        <v>134</v>
      </c>
      <c r="C116" s="51" t="s">
        <v>135</v>
      </c>
      <c r="D116" s="32"/>
      <c r="E116" s="50">
        <v>1</v>
      </c>
      <c r="F116" s="49" t="s">
        <v>43</v>
      </c>
      <c r="G116" s="35">
        <v>320000</v>
      </c>
      <c r="H116" s="35">
        <f t="shared" si="10"/>
        <v>320000</v>
      </c>
      <c r="I116" s="35"/>
      <c r="J116" s="35">
        <f t="shared" si="12"/>
        <v>0</v>
      </c>
      <c r="K116" s="35">
        <f t="shared" si="11"/>
        <v>320000</v>
      </c>
      <c r="L116" s="35">
        <f t="shared" si="11"/>
        <v>320000</v>
      </c>
      <c r="M116" s="53" t="s">
        <v>68</v>
      </c>
      <c r="N116" s="4"/>
    </row>
    <row r="117" spans="1:14" ht="24" customHeight="1">
      <c r="A117" s="41"/>
      <c r="B117" s="51" t="s">
        <v>279</v>
      </c>
      <c r="C117" s="51" t="s">
        <v>434</v>
      </c>
      <c r="D117" s="32"/>
      <c r="E117" s="50">
        <v>2</v>
      </c>
      <c r="F117" s="49" t="s">
        <v>43</v>
      </c>
      <c r="G117" s="35">
        <v>100000</v>
      </c>
      <c r="H117" s="35">
        <f t="shared" si="10"/>
        <v>200000</v>
      </c>
      <c r="I117" s="35"/>
      <c r="J117" s="35">
        <f t="shared" si="12"/>
        <v>0</v>
      </c>
      <c r="K117" s="35">
        <f t="shared" si="11"/>
        <v>100000</v>
      </c>
      <c r="L117" s="35">
        <f t="shared" si="11"/>
        <v>200000</v>
      </c>
      <c r="M117" s="53"/>
      <c r="N117" s="4"/>
    </row>
    <row r="118" spans="1:14" ht="24" customHeight="1">
      <c r="A118" s="41"/>
      <c r="B118" s="51" t="s">
        <v>136</v>
      </c>
      <c r="C118" s="51" t="s">
        <v>137</v>
      </c>
      <c r="D118" s="32"/>
      <c r="E118" s="50">
        <v>1</v>
      </c>
      <c r="F118" s="49" t="s">
        <v>43</v>
      </c>
      <c r="G118" s="35">
        <v>450000</v>
      </c>
      <c r="H118" s="35">
        <f t="shared" si="10"/>
        <v>450000</v>
      </c>
      <c r="I118" s="35"/>
      <c r="J118" s="35">
        <f t="shared" si="12"/>
        <v>0</v>
      </c>
      <c r="K118" s="35">
        <f t="shared" si="11"/>
        <v>450000</v>
      </c>
      <c r="L118" s="35">
        <f t="shared" si="11"/>
        <v>450000</v>
      </c>
      <c r="M118" s="53"/>
      <c r="N118" s="4"/>
    </row>
    <row r="119" spans="1:14" ht="24" customHeight="1">
      <c r="A119" s="41"/>
      <c r="B119" s="51" t="s">
        <v>138</v>
      </c>
      <c r="C119" s="51" t="s">
        <v>349</v>
      </c>
      <c r="D119" s="34"/>
      <c r="E119" s="33"/>
      <c r="F119" s="49" t="s">
        <v>75</v>
      </c>
      <c r="G119" s="35">
        <v>280000</v>
      </c>
      <c r="H119" s="35">
        <f t="shared" si="10"/>
        <v>0</v>
      </c>
      <c r="I119" s="35"/>
      <c r="J119" s="35">
        <f t="shared" si="12"/>
        <v>0</v>
      </c>
      <c r="K119" s="35">
        <f t="shared" si="11"/>
        <v>280000</v>
      </c>
      <c r="L119" s="35">
        <f t="shared" si="11"/>
        <v>0</v>
      </c>
      <c r="M119" s="53" t="s">
        <v>68</v>
      </c>
      <c r="N119" s="4"/>
    </row>
    <row r="120" spans="1:14" ht="24" customHeight="1">
      <c r="A120" s="120"/>
      <c r="B120" s="51" t="s">
        <v>139</v>
      </c>
      <c r="C120" s="51"/>
      <c r="D120" s="34"/>
      <c r="E120" s="33"/>
      <c r="F120" s="49" t="s">
        <v>75</v>
      </c>
      <c r="G120" s="35">
        <v>270000</v>
      </c>
      <c r="H120" s="35">
        <f t="shared" si="10"/>
        <v>0</v>
      </c>
      <c r="I120" s="35"/>
      <c r="J120" s="35">
        <f t="shared" si="12"/>
        <v>0</v>
      </c>
      <c r="K120" s="35">
        <f t="shared" si="11"/>
        <v>270000</v>
      </c>
      <c r="L120" s="35">
        <f t="shared" si="11"/>
        <v>0</v>
      </c>
      <c r="M120" s="128" t="s">
        <v>320</v>
      </c>
      <c r="N120" s="4"/>
    </row>
    <row r="121" spans="1:14" ht="24" customHeight="1">
      <c r="A121" s="41"/>
      <c r="B121" s="51" t="s">
        <v>141</v>
      </c>
      <c r="C121" s="51" t="s">
        <v>142</v>
      </c>
      <c r="D121" s="32"/>
      <c r="E121" s="33">
        <v>1</v>
      </c>
      <c r="F121" s="49" t="s">
        <v>96</v>
      </c>
      <c r="G121" s="35"/>
      <c r="H121" s="35">
        <f>E121*G121</f>
        <v>0</v>
      </c>
      <c r="I121" s="35"/>
      <c r="J121" s="35">
        <f t="shared" si="12"/>
        <v>0</v>
      </c>
      <c r="K121" s="35">
        <f t="shared" si="11"/>
        <v>0</v>
      </c>
      <c r="L121" s="35">
        <f t="shared" si="11"/>
        <v>0</v>
      </c>
      <c r="M121" s="53"/>
      <c r="N121" s="4"/>
    </row>
    <row r="122" spans="1:14" ht="24" customHeight="1">
      <c r="A122" s="41"/>
      <c r="B122" s="32" t="s">
        <v>143</v>
      </c>
      <c r="C122" s="51" t="s">
        <v>277</v>
      </c>
      <c r="D122" s="32"/>
      <c r="E122" s="33">
        <v>2</v>
      </c>
      <c r="F122" s="49" t="s">
        <v>103</v>
      </c>
      <c r="G122" s="35"/>
      <c r="H122" s="35">
        <f>E122*G122</f>
        <v>0</v>
      </c>
      <c r="I122" s="35">
        <v>330000</v>
      </c>
      <c r="J122" s="35">
        <f>E122*I122</f>
        <v>660000</v>
      </c>
      <c r="K122" s="35">
        <f>G122+I122</f>
        <v>330000</v>
      </c>
      <c r="L122" s="35">
        <f>H122+J122</f>
        <v>660000</v>
      </c>
      <c r="M122" s="36"/>
      <c r="N122" s="4"/>
    </row>
    <row r="123" spans="1:14" ht="24" customHeight="1">
      <c r="A123" s="41"/>
      <c r="B123" s="32"/>
      <c r="C123" s="51" t="s">
        <v>278</v>
      </c>
      <c r="D123" s="32"/>
      <c r="E123" s="33"/>
      <c r="F123" s="49" t="s">
        <v>103</v>
      </c>
      <c r="G123" s="35"/>
      <c r="H123" s="35">
        <f>E123*G123</f>
        <v>0</v>
      </c>
      <c r="I123" s="35">
        <v>240000</v>
      </c>
      <c r="J123" s="35">
        <f>E123*I123</f>
        <v>0</v>
      </c>
      <c r="K123" s="35">
        <f>G123+I123</f>
        <v>240000</v>
      </c>
      <c r="L123" s="35">
        <f>H123+J123</f>
        <v>0</v>
      </c>
      <c r="M123" s="36"/>
      <c r="N123" s="4"/>
    </row>
    <row r="124" spans="1:14" ht="24" customHeight="1">
      <c r="A124" s="41"/>
      <c r="B124" s="32" t="s">
        <v>100</v>
      </c>
      <c r="C124" s="32"/>
      <c r="D124" s="32"/>
      <c r="E124" s="50">
        <v>25</v>
      </c>
      <c r="F124" s="49" t="s">
        <v>13</v>
      </c>
      <c r="G124" s="35">
        <v>1300</v>
      </c>
      <c r="H124" s="35">
        <f t="shared" si="10"/>
        <v>32500</v>
      </c>
      <c r="I124" s="35"/>
      <c r="J124" s="35">
        <f t="shared" si="12"/>
        <v>0</v>
      </c>
      <c r="K124" s="35">
        <f t="shared" si="11"/>
        <v>1300</v>
      </c>
      <c r="L124" s="35">
        <f t="shared" si="11"/>
        <v>32500</v>
      </c>
      <c r="M124" s="36"/>
      <c r="N124" s="4"/>
    </row>
    <row r="125" spans="1:14" ht="24" customHeight="1">
      <c r="A125" s="41"/>
      <c r="B125" s="32"/>
      <c r="C125" s="32"/>
      <c r="D125" s="32"/>
      <c r="E125" s="33"/>
      <c r="F125" s="49"/>
      <c r="G125" s="35"/>
      <c r="H125" s="35"/>
      <c r="I125" s="35"/>
      <c r="J125" s="35"/>
      <c r="K125" s="35"/>
      <c r="L125" s="35"/>
      <c r="M125" s="36"/>
      <c r="N125" s="4"/>
    </row>
    <row r="126" spans="1:14" ht="24" customHeight="1">
      <c r="A126" s="41"/>
      <c r="B126" s="32" t="s">
        <v>49</v>
      </c>
      <c r="C126" s="32"/>
      <c r="D126" s="32"/>
      <c r="E126" s="33"/>
      <c r="F126" s="34"/>
      <c r="G126" s="35"/>
      <c r="H126" s="35">
        <f>SUM(H95:H125)</f>
        <v>1197500</v>
      </c>
      <c r="I126" s="35"/>
      <c r="J126" s="35">
        <f>SUM(J95:J125)</f>
        <v>660000</v>
      </c>
      <c r="K126" s="35"/>
      <c r="L126" s="35">
        <f>SUM(L95:L125)</f>
        <v>1857500</v>
      </c>
      <c r="M126" s="36"/>
      <c r="N126" s="4"/>
    </row>
    <row r="127" spans="1:14" ht="24" customHeight="1">
      <c r="A127" s="41"/>
      <c r="B127" s="55"/>
      <c r="C127" s="32"/>
      <c r="D127" s="32"/>
      <c r="E127" s="33"/>
      <c r="F127" s="34"/>
      <c r="G127" s="35"/>
      <c r="H127" s="35"/>
      <c r="I127" s="35"/>
      <c r="J127" s="35"/>
      <c r="K127" s="35"/>
      <c r="L127" s="35"/>
      <c r="M127" s="36"/>
      <c r="N127" s="4"/>
    </row>
    <row r="128" spans="1:14" s="10" customFormat="1" ht="24" customHeight="1">
      <c r="A128" s="66">
        <f>A8</f>
        <v>5</v>
      </c>
      <c r="B128" s="69" t="str">
        <f>B8</f>
        <v>도배 공사</v>
      </c>
      <c r="C128" s="149"/>
      <c r="D128" s="150"/>
      <c r="E128" s="150"/>
      <c r="F128" s="150"/>
      <c r="G128" s="150"/>
      <c r="H128" s="150"/>
      <c r="I128" s="150"/>
      <c r="J128" s="150"/>
      <c r="K128" s="150"/>
      <c r="L128" s="150"/>
      <c r="M128" s="151"/>
      <c r="N128" s="11"/>
    </row>
    <row r="129" spans="1:14" ht="24" customHeight="1">
      <c r="A129" s="41"/>
      <c r="B129" s="52" t="s">
        <v>144</v>
      </c>
      <c r="C129" s="51" t="s">
        <v>145</v>
      </c>
      <c r="D129" s="34" t="s">
        <v>457</v>
      </c>
      <c r="E129" s="50">
        <v>114.54</v>
      </c>
      <c r="F129" s="49" t="s">
        <v>13</v>
      </c>
      <c r="G129" s="35">
        <v>3800</v>
      </c>
      <c r="H129" s="35">
        <f>E129*G129</f>
        <v>435252</v>
      </c>
      <c r="I129" s="35"/>
      <c r="J129" s="35">
        <f>E129*I129</f>
        <v>0</v>
      </c>
      <c r="K129" s="35">
        <f t="shared" ref="K129:L131" si="13">G129+I129</f>
        <v>3800</v>
      </c>
      <c r="L129" s="35">
        <f t="shared" si="13"/>
        <v>435252</v>
      </c>
      <c r="M129" s="53"/>
      <c r="N129" s="4"/>
    </row>
    <row r="130" spans="1:14" ht="24" customHeight="1">
      <c r="A130" s="41"/>
      <c r="B130" s="52"/>
      <c r="C130" s="51" t="s">
        <v>146</v>
      </c>
      <c r="D130" s="34" t="s">
        <v>457</v>
      </c>
      <c r="E130" s="50">
        <v>121.25</v>
      </c>
      <c r="F130" s="49" t="s">
        <v>13</v>
      </c>
      <c r="G130" s="35">
        <v>3800</v>
      </c>
      <c r="H130" s="35">
        <f>E130*G130</f>
        <v>460750</v>
      </c>
      <c r="I130" s="35"/>
      <c r="J130" s="35">
        <f>E130*I130</f>
        <v>0</v>
      </c>
      <c r="K130" s="35">
        <f t="shared" si="13"/>
        <v>3800</v>
      </c>
      <c r="L130" s="35">
        <f t="shared" si="13"/>
        <v>460750</v>
      </c>
      <c r="M130" s="53"/>
      <c r="N130" s="4"/>
    </row>
    <row r="131" spans="1:14" ht="24" customHeight="1">
      <c r="A131" s="41"/>
      <c r="B131" s="32"/>
      <c r="C131" s="32" t="s">
        <v>100</v>
      </c>
      <c r="D131" s="34" t="s">
        <v>457</v>
      </c>
      <c r="E131" s="33">
        <f>SUM(E129:E130)</f>
        <v>235.79000000000002</v>
      </c>
      <c r="F131" s="49" t="s">
        <v>13</v>
      </c>
      <c r="G131" s="35">
        <v>1500</v>
      </c>
      <c r="H131" s="35">
        <f>E131*G131</f>
        <v>353685.00000000006</v>
      </c>
      <c r="I131" s="35"/>
      <c r="J131" s="35"/>
      <c r="K131" s="35">
        <f t="shared" si="13"/>
        <v>1500</v>
      </c>
      <c r="L131" s="35">
        <f t="shared" si="13"/>
        <v>353685.00000000006</v>
      </c>
      <c r="M131" s="36"/>
      <c r="N131" s="4"/>
    </row>
    <row r="132" spans="1:14" ht="24" customHeight="1">
      <c r="A132" s="41"/>
      <c r="B132" s="32" t="s">
        <v>358</v>
      </c>
      <c r="C132" s="51"/>
      <c r="D132" s="32"/>
      <c r="E132" s="33"/>
      <c r="F132" s="49" t="s">
        <v>89</v>
      </c>
      <c r="G132" s="35">
        <v>120000</v>
      </c>
      <c r="H132" s="35">
        <f>E132*G132</f>
        <v>0</v>
      </c>
      <c r="I132" s="35">
        <v>130000</v>
      </c>
      <c r="J132" s="35">
        <f>E132*I132</f>
        <v>0</v>
      </c>
      <c r="K132" s="35">
        <f>G132+I132</f>
        <v>250000</v>
      </c>
      <c r="L132" s="35">
        <f>H132+J132</f>
        <v>0</v>
      </c>
      <c r="M132" s="36"/>
      <c r="N132" s="4"/>
    </row>
    <row r="133" spans="1:14" ht="24" customHeight="1">
      <c r="A133" s="41"/>
      <c r="B133" s="32" t="s">
        <v>143</v>
      </c>
      <c r="C133" s="51"/>
      <c r="D133" s="32"/>
      <c r="E133" s="33">
        <v>9</v>
      </c>
      <c r="F133" s="49" t="s">
        <v>103</v>
      </c>
      <c r="G133" s="35"/>
      <c r="H133" s="35">
        <f>E133*G133</f>
        <v>0</v>
      </c>
      <c r="I133" s="35">
        <v>280000</v>
      </c>
      <c r="J133" s="35">
        <f>E133*I133</f>
        <v>2520000</v>
      </c>
      <c r="K133" s="35">
        <f>G133+I133</f>
        <v>280000</v>
      </c>
      <c r="L133" s="35">
        <f>H133+J133</f>
        <v>2520000</v>
      </c>
      <c r="M133" s="54"/>
      <c r="N133" s="4"/>
    </row>
    <row r="134" spans="1:14" ht="24" customHeight="1">
      <c r="A134" s="41"/>
      <c r="B134" s="32"/>
      <c r="C134" s="32"/>
      <c r="D134" s="32"/>
      <c r="E134" s="33"/>
      <c r="F134" s="49"/>
      <c r="G134" s="35"/>
      <c r="H134" s="35"/>
      <c r="I134" s="35"/>
      <c r="J134" s="35"/>
      <c r="K134" s="35"/>
      <c r="L134" s="35"/>
      <c r="M134" s="36"/>
      <c r="N134" s="4"/>
    </row>
    <row r="135" spans="1:14" ht="24" customHeight="1">
      <c r="A135" s="41"/>
      <c r="B135" s="32" t="s">
        <v>49</v>
      </c>
      <c r="C135" s="32"/>
      <c r="D135" s="32"/>
      <c r="E135" s="33"/>
      <c r="F135" s="34"/>
      <c r="G135" s="35"/>
      <c r="H135" s="35">
        <f>SUM(H129:H134)</f>
        <v>1249687</v>
      </c>
      <c r="I135" s="35"/>
      <c r="J135" s="35">
        <f>SUM(J129:J134)</f>
        <v>2520000</v>
      </c>
      <c r="K135" s="35"/>
      <c r="L135" s="35">
        <f>SUM(L129:L134)</f>
        <v>3769687</v>
      </c>
      <c r="M135" s="36"/>
      <c r="N135" s="4"/>
    </row>
    <row r="136" spans="1:14" ht="24" customHeight="1">
      <c r="A136" s="41"/>
      <c r="B136" s="64" t="s">
        <v>462</v>
      </c>
      <c r="C136" s="32"/>
      <c r="D136" s="32"/>
      <c r="E136" s="33"/>
      <c r="F136" s="34"/>
      <c r="G136" s="35"/>
      <c r="H136" s="35"/>
      <c r="I136" s="35"/>
      <c r="J136" s="35"/>
      <c r="K136" s="35"/>
      <c r="L136" s="35"/>
      <c r="M136" s="36"/>
      <c r="N136" s="4"/>
    </row>
    <row r="137" spans="1:14" ht="24" customHeight="1">
      <c r="A137" s="66">
        <f>A9</f>
        <v>6</v>
      </c>
      <c r="B137" s="67" t="str">
        <f>B9</f>
        <v>타일 공사</v>
      </c>
      <c r="C137" s="149" t="s">
        <v>147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1"/>
      <c r="N137" s="4"/>
    </row>
    <row r="138" spans="1:14" ht="24" customHeight="1">
      <c r="A138" s="41"/>
      <c r="B138" s="56" t="s">
        <v>148</v>
      </c>
      <c r="C138" s="51" t="s">
        <v>149</v>
      </c>
      <c r="D138" s="34" t="s">
        <v>150</v>
      </c>
      <c r="E138" s="33"/>
      <c r="F138" s="49" t="s">
        <v>13</v>
      </c>
      <c r="G138" s="35">
        <v>20000</v>
      </c>
      <c r="H138" s="35">
        <f>E138*G138</f>
        <v>0</v>
      </c>
      <c r="I138" s="35"/>
      <c r="J138" s="35">
        <f t="shared" ref="J138:J149" si="14">E138*I138</f>
        <v>0</v>
      </c>
      <c r="K138" s="35">
        <f t="shared" ref="K138:L149" si="15">G138+I138</f>
        <v>20000</v>
      </c>
      <c r="L138" s="35">
        <f t="shared" si="15"/>
        <v>0</v>
      </c>
      <c r="M138" s="36"/>
      <c r="N138" s="4"/>
    </row>
    <row r="139" spans="1:14" ht="24" customHeight="1">
      <c r="A139" s="41"/>
      <c r="B139" s="56" t="s">
        <v>151</v>
      </c>
      <c r="C139" s="51" t="s">
        <v>152</v>
      </c>
      <c r="D139" s="34" t="s">
        <v>150</v>
      </c>
      <c r="E139" s="33"/>
      <c r="F139" s="49" t="s">
        <v>13</v>
      </c>
      <c r="G139" s="35">
        <v>22000</v>
      </c>
      <c r="H139" s="35">
        <f>E139*G139</f>
        <v>0</v>
      </c>
      <c r="I139" s="35"/>
      <c r="J139" s="35">
        <f t="shared" si="14"/>
        <v>0</v>
      </c>
      <c r="K139" s="35">
        <f t="shared" si="15"/>
        <v>22000</v>
      </c>
      <c r="L139" s="35">
        <f t="shared" si="15"/>
        <v>0</v>
      </c>
      <c r="M139" s="36"/>
      <c r="N139" s="4"/>
    </row>
    <row r="140" spans="1:14" ht="24" customHeight="1">
      <c r="A140" s="41"/>
      <c r="B140" s="56" t="s">
        <v>153</v>
      </c>
      <c r="C140" s="51" t="s">
        <v>149</v>
      </c>
      <c r="D140" s="34" t="s">
        <v>150</v>
      </c>
      <c r="E140" s="33"/>
      <c r="F140" s="49" t="s">
        <v>13</v>
      </c>
      <c r="G140" s="35">
        <v>22000</v>
      </c>
      <c r="H140" s="35">
        <f>E140*G140</f>
        <v>0</v>
      </c>
      <c r="I140" s="35"/>
      <c r="J140" s="35">
        <f t="shared" si="14"/>
        <v>0</v>
      </c>
      <c r="K140" s="35">
        <f t="shared" si="15"/>
        <v>22000</v>
      </c>
      <c r="L140" s="35">
        <f t="shared" si="15"/>
        <v>0</v>
      </c>
      <c r="M140" s="36"/>
      <c r="N140" s="4"/>
    </row>
    <row r="141" spans="1:14" ht="24" customHeight="1">
      <c r="A141" s="41"/>
      <c r="B141" s="56" t="s">
        <v>154</v>
      </c>
      <c r="C141" s="51" t="s">
        <v>149</v>
      </c>
      <c r="D141" s="34" t="s">
        <v>150</v>
      </c>
      <c r="E141" s="33"/>
      <c r="F141" s="49" t="s">
        <v>13</v>
      </c>
      <c r="G141" s="35">
        <v>22000</v>
      </c>
      <c r="H141" s="35">
        <f>E141*G141</f>
        <v>0</v>
      </c>
      <c r="I141" s="35"/>
      <c r="J141" s="35">
        <f t="shared" si="14"/>
        <v>0</v>
      </c>
      <c r="K141" s="35">
        <f t="shared" si="15"/>
        <v>22000</v>
      </c>
      <c r="L141" s="35">
        <f t="shared" si="15"/>
        <v>0</v>
      </c>
      <c r="M141" s="36"/>
      <c r="N141" s="4"/>
    </row>
    <row r="142" spans="1:14" ht="24" customHeight="1">
      <c r="A142" s="41"/>
      <c r="B142" s="56" t="s">
        <v>155</v>
      </c>
      <c r="C142" s="51" t="s">
        <v>149</v>
      </c>
      <c r="D142" s="34" t="s">
        <v>150</v>
      </c>
      <c r="E142" s="33"/>
      <c r="F142" s="49" t="s">
        <v>13</v>
      </c>
      <c r="G142" s="57">
        <v>22000</v>
      </c>
      <c r="H142" s="35">
        <f t="shared" ref="H142:H149" si="16">E142*G142</f>
        <v>0</v>
      </c>
      <c r="I142" s="35"/>
      <c r="J142" s="35">
        <f t="shared" si="14"/>
        <v>0</v>
      </c>
      <c r="K142" s="35">
        <f t="shared" si="15"/>
        <v>22000</v>
      </c>
      <c r="L142" s="35">
        <f t="shared" si="15"/>
        <v>0</v>
      </c>
      <c r="M142" s="36"/>
      <c r="N142" s="4"/>
    </row>
    <row r="143" spans="1:14" ht="24" customHeight="1">
      <c r="A143" s="41"/>
      <c r="B143" s="56" t="s">
        <v>156</v>
      </c>
      <c r="C143" s="51" t="s">
        <v>149</v>
      </c>
      <c r="D143" s="34" t="s">
        <v>150</v>
      </c>
      <c r="E143" s="33"/>
      <c r="F143" s="49" t="s">
        <v>13</v>
      </c>
      <c r="G143" s="57">
        <v>22000</v>
      </c>
      <c r="H143" s="35">
        <f t="shared" si="16"/>
        <v>0</v>
      </c>
      <c r="I143" s="35"/>
      <c r="J143" s="35">
        <f t="shared" si="14"/>
        <v>0</v>
      </c>
      <c r="K143" s="35">
        <f t="shared" si="15"/>
        <v>22000</v>
      </c>
      <c r="L143" s="35">
        <f t="shared" si="15"/>
        <v>0</v>
      </c>
      <c r="M143" s="36"/>
      <c r="N143" s="4"/>
    </row>
    <row r="144" spans="1:14" ht="24" customHeight="1">
      <c r="A144" s="41"/>
      <c r="B144" s="56" t="s">
        <v>157</v>
      </c>
      <c r="C144" s="51" t="s">
        <v>149</v>
      </c>
      <c r="D144" s="34" t="s">
        <v>150</v>
      </c>
      <c r="E144" s="33">
        <v>12</v>
      </c>
      <c r="F144" s="49" t="s">
        <v>13</v>
      </c>
      <c r="G144" s="57">
        <v>20000</v>
      </c>
      <c r="H144" s="35">
        <f t="shared" si="16"/>
        <v>240000</v>
      </c>
      <c r="I144" s="35"/>
      <c r="J144" s="35">
        <f t="shared" si="14"/>
        <v>0</v>
      </c>
      <c r="K144" s="35">
        <f t="shared" si="15"/>
        <v>20000</v>
      </c>
      <c r="L144" s="35">
        <f t="shared" si="15"/>
        <v>240000</v>
      </c>
      <c r="M144" s="36"/>
      <c r="N144" s="4"/>
    </row>
    <row r="145" spans="1:14" ht="24" customHeight="1">
      <c r="A145" s="41"/>
      <c r="B145" s="56" t="s">
        <v>158</v>
      </c>
      <c r="C145" s="58" t="s">
        <v>338</v>
      </c>
      <c r="D145" s="34"/>
      <c r="E145" s="33">
        <v>1</v>
      </c>
      <c r="F145" s="49" t="s">
        <v>43</v>
      </c>
      <c r="G145" s="57">
        <v>100000</v>
      </c>
      <c r="H145" s="35">
        <f t="shared" si="16"/>
        <v>100000</v>
      </c>
      <c r="I145" s="35"/>
      <c r="J145" s="35">
        <f t="shared" si="14"/>
        <v>0</v>
      </c>
      <c r="K145" s="35">
        <f t="shared" si="15"/>
        <v>100000</v>
      </c>
      <c r="L145" s="35">
        <f t="shared" si="15"/>
        <v>100000</v>
      </c>
      <c r="M145" s="36"/>
      <c r="N145" s="4"/>
    </row>
    <row r="146" spans="1:14" ht="24" customHeight="1">
      <c r="A146" s="41"/>
      <c r="B146" s="56" t="s">
        <v>363</v>
      </c>
      <c r="C146" s="58" t="s">
        <v>339</v>
      </c>
      <c r="D146" s="34"/>
      <c r="E146" s="33"/>
      <c r="F146" s="49" t="s">
        <v>43</v>
      </c>
      <c r="G146" s="57">
        <v>150000</v>
      </c>
      <c r="H146" s="35">
        <f t="shared" si="16"/>
        <v>0</v>
      </c>
      <c r="I146" s="35"/>
      <c r="J146" s="35">
        <f t="shared" si="14"/>
        <v>0</v>
      </c>
      <c r="K146" s="35">
        <f t="shared" si="15"/>
        <v>150000</v>
      </c>
      <c r="L146" s="35">
        <f t="shared" si="15"/>
        <v>0</v>
      </c>
      <c r="M146" s="36"/>
      <c r="N146" s="4"/>
    </row>
    <row r="147" spans="1:14" ht="24" customHeight="1">
      <c r="A147" s="41"/>
      <c r="B147" s="56" t="s">
        <v>159</v>
      </c>
      <c r="C147" s="58"/>
      <c r="D147" s="34"/>
      <c r="E147" s="33">
        <v>1</v>
      </c>
      <c r="F147" s="49" t="s">
        <v>71</v>
      </c>
      <c r="G147" s="57">
        <v>50000</v>
      </c>
      <c r="H147" s="35">
        <f t="shared" si="16"/>
        <v>50000</v>
      </c>
      <c r="I147" s="35"/>
      <c r="J147" s="35">
        <f t="shared" si="14"/>
        <v>0</v>
      </c>
      <c r="K147" s="35">
        <f t="shared" si="15"/>
        <v>50000</v>
      </c>
      <c r="L147" s="35">
        <f t="shared" si="15"/>
        <v>50000</v>
      </c>
      <c r="M147" s="36"/>
      <c r="N147" s="4"/>
    </row>
    <row r="148" spans="1:14" ht="24" customHeight="1">
      <c r="A148" s="41"/>
      <c r="B148" s="56" t="s">
        <v>160</v>
      </c>
      <c r="C148" s="58" t="s">
        <v>278</v>
      </c>
      <c r="D148" s="34"/>
      <c r="E148" s="33">
        <v>1</v>
      </c>
      <c r="F148" s="49" t="s">
        <v>103</v>
      </c>
      <c r="G148" s="57"/>
      <c r="H148" s="35">
        <f t="shared" si="16"/>
        <v>0</v>
      </c>
      <c r="I148" s="35">
        <v>350000</v>
      </c>
      <c r="J148" s="35">
        <f t="shared" si="14"/>
        <v>350000</v>
      </c>
      <c r="K148" s="35">
        <f t="shared" si="15"/>
        <v>350000</v>
      </c>
      <c r="L148" s="35">
        <f t="shared" si="15"/>
        <v>350000</v>
      </c>
      <c r="M148" s="36"/>
      <c r="N148" s="4"/>
    </row>
    <row r="149" spans="1:14" ht="24" customHeight="1">
      <c r="A149" s="41"/>
      <c r="B149" s="56"/>
      <c r="C149" s="58" t="s">
        <v>282</v>
      </c>
      <c r="D149" s="34"/>
      <c r="E149" s="33"/>
      <c r="F149" s="49" t="s">
        <v>103</v>
      </c>
      <c r="G149" s="57"/>
      <c r="H149" s="35">
        <f t="shared" si="16"/>
        <v>0</v>
      </c>
      <c r="I149" s="35">
        <v>220000</v>
      </c>
      <c r="J149" s="35">
        <f t="shared" si="14"/>
        <v>0</v>
      </c>
      <c r="K149" s="35">
        <f t="shared" si="15"/>
        <v>220000</v>
      </c>
      <c r="L149" s="35">
        <f t="shared" si="15"/>
        <v>0</v>
      </c>
      <c r="M149" s="36"/>
      <c r="N149" s="4"/>
    </row>
    <row r="150" spans="1:14" ht="24" customHeight="1">
      <c r="A150" s="41"/>
      <c r="B150" s="32"/>
      <c r="C150" s="32"/>
      <c r="D150" s="32"/>
      <c r="E150" s="33"/>
      <c r="F150" s="34"/>
      <c r="G150" s="35"/>
      <c r="H150" s="35"/>
      <c r="I150" s="35"/>
      <c r="J150" s="35"/>
      <c r="K150" s="35"/>
      <c r="L150" s="35"/>
      <c r="M150" s="36"/>
      <c r="N150" s="4"/>
    </row>
    <row r="151" spans="1:14" ht="24" customHeight="1">
      <c r="A151" s="41"/>
      <c r="B151" s="32" t="s">
        <v>49</v>
      </c>
      <c r="C151" s="32"/>
      <c r="D151" s="32"/>
      <c r="E151" s="33"/>
      <c r="F151" s="34"/>
      <c r="G151" s="35"/>
      <c r="H151" s="35">
        <f>SUM(H138:H150)</f>
        <v>390000</v>
      </c>
      <c r="I151" s="35"/>
      <c r="J151" s="35">
        <f>SUM(J138:J150)</f>
        <v>350000</v>
      </c>
      <c r="K151" s="35"/>
      <c r="L151" s="35">
        <f>SUM(L138:L150)</f>
        <v>740000</v>
      </c>
      <c r="M151" s="36"/>
      <c r="N151" s="4"/>
    </row>
    <row r="152" spans="1:14" ht="24" customHeight="1">
      <c r="A152" s="41"/>
      <c r="B152" s="64"/>
      <c r="C152" s="32"/>
      <c r="D152" s="32"/>
      <c r="E152" s="33"/>
      <c r="F152" s="34"/>
      <c r="G152" s="35"/>
      <c r="H152" s="35"/>
      <c r="I152" s="35"/>
      <c r="J152" s="35"/>
      <c r="K152" s="35"/>
      <c r="L152" s="35"/>
      <c r="M152" s="36"/>
      <c r="N152" s="4"/>
    </row>
    <row r="153" spans="1:14" ht="24" customHeight="1">
      <c r="A153" s="66">
        <f>A10</f>
        <v>7</v>
      </c>
      <c r="B153" s="67" t="str">
        <f>B10</f>
        <v>욕실 공사</v>
      </c>
      <c r="C153" s="149"/>
      <c r="D153" s="150"/>
      <c r="E153" s="150"/>
      <c r="F153" s="150"/>
      <c r="G153" s="150"/>
      <c r="H153" s="150"/>
      <c r="I153" s="150"/>
      <c r="J153" s="150"/>
      <c r="K153" s="150"/>
      <c r="L153" s="150"/>
      <c r="M153" s="151"/>
      <c r="N153" s="4"/>
    </row>
    <row r="154" spans="1:14" ht="24" hidden="1" customHeight="1">
      <c r="A154" s="41"/>
      <c r="B154" s="52" t="s">
        <v>161</v>
      </c>
      <c r="C154" s="51" t="s">
        <v>375</v>
      </c>
      <c r="D154" s="34" t="s">
        <v>290</v>
      </c>
      <c r="E154" s="59"/>
      <c r="F154" s="49" t="s">
        <v>75</v>
      </c>
      <c r="G154" s="56">
        <v>220000</v>
      </c>
      <c r="H154" s="35">
        <f>E154*G154</f>
        <v>0</v>
      </c>
      <c r="I154" s="35"/>
      <c r="J154" s="35">
        <f t="shared" ref="J154:J182" si="17">E154*I154</f>
        <v>0</v>
      </c>
      <c r="K154" s="35">
        <f>G154+I154</f>
        <v>220000</v>
      </c>
      <c r="L154" s="35">
        <f>H154+J154</f>
        <v>0</v>
      </c>
      <c r="M154" s="53"/>
      <c r="N154" s="4"/>
    </row>
    <row r="155" spans="1:14" ht="24" hidden="1" customHeight="1">
      <c r="A155" s="41"/>
      <c r="B155" s="52" t="s">
        <v>162</v>
      </c>
      <c r="C155" s="60" t="s">
        <v>383</v>
      </c>
      <c r="D155" s="34" t="s">
        <v>290</v>
      </c>
      <c r="E155" s="59"/>
      <c r="F155" s="49" t="s">
        <v>75</v>
      </c>
      <c r="G155" s="56">
        <v>205000</v>
      </c>
      <c r="H155" s="35">
        <f t="shared" ref="H155:H182" si="18">E155*G155</f>
        <v>0</v>
      </c>
      <c r="I155" s="35"/>
      <c r="J155" s="35">
        <f t="shared" si="17"/>
        <v>0</v>
      </c>
      <c r="K155" s="35">
        <f t="shared" ref="K155:L181" si="19">G155+I155</f>
        <v>205000</v>
      </c>
      <c r="L155" s="35">
        <f t="shared" si="19"/>
        <v>0</v>
      </c>
      <c r="M155" s="53"/>
      <c r="N155" s="4"/>
    </row>
    <row r="156" spans="1:14" ht="24" hidden="1" customHeight="1">
      <c r="A156" s="41"/>
      <c r="B156" s="52"/>
      <c r="C156" s="60" t="s">
        <v>163</v>
      </c>
      <c r="D156" s="34"/>
      <c r="E156" s="59"/>
      <c r="F156" s="49" t="s">
        <v>75</v>
      </c>
      <c r="G156" s="56">
        <v>650000</v>
      </c>
      <c r="H156" s="35">
        <f t="shared" si="18"/>
        <v>0</v>
      </c>
      <c r="I156" s="35"/>
      <c r="J156" s="35">
        <f t="shared" si="17"/>
        <v>0</v>
      </c>
      <c r="K156" s="35">
        <f t="shared" si="19"/>
        <v>650000</v>
      </c>
      <c r="L156" s="35">
        <f t="shared" si="19"/>
        <v>0</v>
      </c>
      <c r="M156" s="53"/>
      <c r="N156" s="4"/>
    </row>
    <row r="157" spans="1:14" ht="24" hidden="1" customHeight="1">
      <c r="A157" s="41"/>
      <c r="B157" s="52" t="s">
        <v>164</v>
      </c>
      <c r="C157" s="60" t="s">
        <v>289</v>
      </c>
      <c r="D157" s="34" t="s">
        <v>290</v>
      </c>
      <c r="E157" s="59"/>
      <c r="F157" s="49" t="s">
        <v>75</v>
      </c>
      <c r="G157" s="56">
        <v>58000</v>
      </c>
      <c r="H157" s="35">
        <f t="shared" si="18"/>
        <v>0</v>
      </c>
      <c r="I157" s="35"/>
      <c r="J157" s="35">
        <f t="shared" si="17"/>
        <v>0</v>
      </c>
      <c r="K157" s="35">
        <f t="shared" si="19"/>
        <v>58000</v>
      </c>
      <c r="L157" s="35">
        <f t="shared" si="19"/>
        <v>0</v>
      </c>
      <c r="M157" s="53"/>
      <c r="N157" s="4"/>
    </row>
    <row r="158" spans="1:14" ht="24" hidden="1" customHeight="1">
      <c r="A158" s="41"/>
      <c r="B158" s="52"/>
      <c r="C158" s="60" t="s">
        <v>291</v>
      </c>
      <c r="D158" s="34"/>
      <c r="E158" s="59"/>
      <c r="F158" s="49" t="s">
        <v>75</v>
      </c>
      <c r="G158" s="56">
        <v>85000</v>
      </c>
      <c r="H158" s="35">
        <f t="shared" si="18"/>
        <v>0</v>
      </c>
      <c r="I158" s="35"/>
      <c r="J158" s="35">
        <f t="shared" si="17"/>
        <v>0</v>
      </c>
      <c r="K158" s="35">
        <f t="shared" si="19"/>
        <v>85000</v>
      </c>
      <c r="L158" s="35">
        <f t="shared" si="19"/>
        <v>0</v>
      </c>
      <c r="M158" s="53"/>
      <c r="N158" s="4"/>
    </row>
    <row r="159" spans="1:14" ht="24" hidden="1" customHeight="1">
      <c r="A159" s="41"/>
      <c r="B159" s="52" t="s">
        <v>165</v>
      </c>
      <c r="C159" s="60" t="s">
        <v>378</v>
      </c>
      <c r="D159" s="34" t="s">
        <v>290</v>
      </c>
      <c r="E159" s="59"/>
      <c r="F159" s="49" t="s">
        <v>75</v>
      </c>
      <c r="G159" s="56">
        <v>98000</v>
      </c>
      <c r="H159" s="35">
        <f t="shared" si="18"/>
        <v>0</v>
      </c>
      <c r="I159" s="35"/>
      <c r="J159" s="35">
        <f t="shared" si="17"/>
        <v>0</v>
      </c>
      <c r="K159" s="35">
        <f t="shared" si="19"/>
        <v>98000</v>
      </c>
      <c r="L159" s="35">
        <f t="shared" si="19"/>
        <v>0</v>
      </c>
      <c r="M159" s="53"/>
      <c r="N159" s="4"/>
    </row>
    <row r="160" spans="1:14" ht="24" hidden="1" customHeight="1">
      <c r="A160" s="41"/>
      <c r="B160" s="52" t="s">
        <v>166</v>
      </c>
      <c r="C160" s="60" t="s">
        <v>293</v>
      </c>
      <c r="D160" s="34"/>
      <c r="E160" s="59"/>
      <c r="F160" s="49" t="s">
        <v>75</v>
      </c>
      <c r="G160" s="56">
        <v>204500</v>
      </c>
      <c r="H160" s="35">
        <f t="shared" si="18"/>
        <v>0</v>
      </c>
      <c r="I160" s="35"/>
      <c r="J160" s="35">
        <f t="shared" si="17"/>
        <v>0</v>
      </c>
      <c r="K160" s="35">
        <f t="shared" si="19"/>
        <v>204500</v>
      </c>
      <c r="L160" s="35">
        <f t="shared" si="19"/>
        <v>0</v>
      </c>
      <c r="M160" s="53"/>
      <c r="N160" s="4"/>
    </row>
    <row r="161" spans="1:14" ht="24" hidden="1" customHeight="1">
      <c r="A161" s="41"/>
      <c r="B161" s="52" t="s">
        <v>167</v>
      </c>
      <c r="C161" s="60" t="s">
        <v>444</v>
      </c>
      <c r="D161" s="34" t="s">
        <v>290</v>
      </c>
      <c r="E161" s="59"/>
      <c r="F161" s="49" t="s">
        <v>75</v>
      </c>
      <c r="G161" s="56">
        <v>45000</v>
      </c>
      <c r="H161" s="35">
        <f t="shared" si="18"/>
        <v>0</v>
      </c>
      <c r="I161" s="35"/>
      <c r="J161" s="35">
        <f t="shared" si="17"/>
        <v>0</v>
      </c>
      <c r="K161" s="35">
        <f t="shared" si="19"/>
        <v>45000</v>
      </c>
      <c r="L161" s="35">
        <f t="shared" si="19"/>
        <v>0</v>
      </c>
      <c r="M161" s="53"/>
      <c r="N161" s="4"/>
    </row>
    <row r="162" spans="1:14" ht="24" hidden="1" customHeight="1">
      <c r="A162" s="41"/>
      <c r="B162" s="52" t="s">
        <v>169</v>
      </c>
      <c r="C162" s="60" t="s">
        <v>376</v>
      </c>
      <c r="D162" s="34"/>
      <c r="E162" s="59"/>
      <c r="F162" s="49" t="s">
        <v>75</v>
      </c>
      <c r="G162" s="56">
        <v>290000</v>
      </c>
      <c r="H162" s="35">
        <f t="shared" si="18"/>
        <v>0</v>
      </c>
      <c r="I162" s="35"/>
      <c r="J162" s="35">
        <f t="shared" si="17"/>
        <v>0</v>
      </c>
      <c r="K162" s="35">
        <f t="shared" si="19"/>
        <v>290000</v>
      </c>
      <c r="L162" s="35">
        <f t="shared" si="19"/>
        <v>0</v>
      </c>
      <c r="M162" s="53"/>
      <c r="N162" s="4"/>
    </row>
    <row r="163" spans="1:14" ht="24" hidden="1" customHeight="1">
      <c r="A163" s="41"/>
      <c r="B163" s="52"/>
      <c r="C163" s="60" t="s">
        <v>426</v>
      </c>
      <c r="D163" s="34"/>
      <c r="E163" s="59"/>
      <c r="F163" s="49" t="s">
        <v>75</v>
      </c>
      <c r="G163" s="56">
        <v>295000</v>
      </c>
      <c r="H163" s="35">
        <f t="shared" si="18"/>
        <v>0</v>
      </c>
      <c r="I163" s="35"/>
      <c r="J163" s="35">
        <f t="shared" si="17"/>
        <v>0</v>
      </c>
      <c r="K163" s="35">
        <f t="shared" si="19"/>
        <v>295000</v>
      </c>
      <c r="L163" s="35">
        <f t="shared" si="19"/>
        <v>0</v>
      </c>
      <c r="M163" s="53"/>
      <c r="N163" s="4"/>
    </row>
    <row r="164" spans="1:14" ht="24" hidden="1" customHeight="1">
      <c r="A164" s="41"/>
      <c r="B164" s="52"/>
      <c r="C164" s="60" t="s">
        <v>171</v>
      </c>
      <c r="D164" s="34"/>
      <c r="E164" s="59"/>
      <c r="F164" s="49" t="s">
        <v>75</v>
      </c>
      <c r="G164" s="56">
        <v>295000</v>
      </c>
      <c r="H164" s="35">
        <f t="shared" si="18"/>
        <v>0</v>
      </c>
      <c r="I164" s="35"/>
      <c r="J164" s="35">
        <f t="shared" si="17"/>
        <v>0</v>
      </c>
      <c r="K164" s="35">
        <f t="shared" si="19"/>
        <v>295000</v>
      </c>
      <c r="L164" s="35">
        <f t="shared" si="19"/>
        <v>0</v>
      </c>
      <c r="M164" s="53"/>
      <c r="N164" s="4"/>
    </row>
    <row r="165" spans="1:14" ht="24" hidden="1" customHeight="1">
      <c r="A165" s="41"/>
      <c r="B165" s="52"/>
      <c r="C165" s="60" t="s">
        <v>172</v>
      </c>
      <c r="D165" s="34"/>
      <c r="E165" s="59"/>
      <c r="F165" s="49" t="s">
        <v>75</v>
      </c>
      <c r="G165" s="56">
        <v>295000</v>
      </c>
      <c r="H165" s="35">
        <f t="shared" si="18"/>
        <v>0</v>
      </c>
      <c r="I165" s="35"/>
      <c r="J165" s="35">
        <f t="shared" si="17"/>
        <v>0</v>
      </c>
      <c r="K165" s="35">
        <f t="shared" si="19"/>
        <v>295000</v>
      </c>
      <c r="L165" s="35">
        <f t="shared" si="19"/>
        <v>0</v>
      </c>
      <c r="M165" s="53"/>
      <c r="N165" s="4"/>
    </row>
    <row r="166" spans="1:14" ht="24" hidden="1" customHeight="1">
      <c r="A166" s="41"/>
      <c r="B166" s="52" t="s">
        <v>173</v>
      </c>
      <c r="C166" s="51" t="s">
        <v>174</v>
      </c>
      <c r="D166" s="34"/>
      <c r="E166" s="59"/>
      <c r="F166" s="49" t="s">
        <v>75</v>
      </c>
      <c r="G166" s="56">
        <v>81800</v>
      </c>
      <c r="H166" s="35">
        <f t="shared" si="18"/>
        <v>0</v>
      </c>
      <c r="I166" s="35"/>
      <c r="J166" s="35">
        <f t="shared" si="17"/>
        <v>0</v>
      </c>
      <c r="K166" s="35">
        <f t="shared" si="19"/>
        <v>81800</v>
      </c>
      <c r="L166" s="35">
        <f t="shared" si="19"/>
        <v>0</v>
      </c>
      <c r="M166" s="53"/>
      <c r="N166" s="4"/>
    </row>
    <row r="167" spans="1:14" ht="24" hidden="1" customHeight="1">
      <c r="A167" s="41"/>
      <c r="B167" s="52"/>
      <c r="C167" s="51" t="s">
        <v>175</v>
      </c>
      <c r="D167" s="34"/>
      <c r="E167" s="59"/>
      <c r="F167" s="49" t="s">
        <v>75</v>
      </c>
      <c r="G167" s="56">
        <v>80000</v>
      </c>
      <c r="H167" s="35">
        <f t="shared" si="18"/>
        <v>0</v>
      </c>
      <c r="I167" s="35"/>
      <c r="J167" s="35">
        <f t="shared" si="17"/>
        <v>0</v>
      </c>
      <c r="K167" s="35">
        <f t="shared" si="19"/>
        <v>80000</v>
      </c>
      <c r="L167" s="35">
        <f t="shared" si="19"/>
        <v>0</v>
      </c>
      <c r="M167" s="53"/>
      <c r="N167" s="4"/>
    </row>
    <row r="168" spans="1:14" ht="24" hidden="1" customHeight="1">
      <c r="A168" s="41"/>
      <c r="B168" s="52" t="s">
        <v>176</v>
      </c>
      <c r="C168" s="51" t="s">
        <v>445</v>
      </c>
      <c r="D168" s="34" t="s">
        <v>316</v>
      </c>
      <c r="E168" s="59"/>
      <c r="F168" s="49" t="s">
        <v>96</v>
      </c>
      <c r="G168" s="56">
        <v>320000</v>
      </c>
      <c r="H168" s="35">
        <f t="shared" si="18"/>
        <v>0</v>
      </c>
      <c r="I168" s="35"/>
      <c r="J168" s="35">
        <f t="shared" si="17"/>
        <v>0</v>
      </c>
      <c r="K168" s="35">
        <f t="shared" si="19"/>
        <v>320000</v>
      </c>
      <c r="L168" s="35">
        <f t="shared" si="19"/>
        <v>0</v>
      </c>
      <c r="M168" s="53"/>
      <c r="N168" s="4"/>
    </row>
    <row r="169" spans="1:14" ht="24" hidden="1" customHeight="1">
      <c r="A169" s="41"/>
      <c r="B169" s="52" t="s">
        <v>178</v>
      </c>
      <c r="C169" s="51" t="s">
        <v>177</v>
      </c>
      <c r="D169" s="34"/>
      <c r="E169" s="59"/>
      <c r="F169" s="49" t="s">
        <v>96</v>
      </c>
      <c r="G169" s="56">
        <v>380000</v>
      </c>
      <c r="H169" s="35">
        <f t="shared" si="18"/>
        <v>0</v>
      </c>
      <c r="I169" s="35"/>
      <c r="J169" s="35">
        <f t="shared" si="17"/>
        <v>0</v>
      </c>
      <c r="K169" s="35">
        <f t="shared" si="19"/>
        <v>380000</v>
      </c>
      <c r="L169" s="35">
        <f t="shared" si="19"/>
        <v>0</v>
      </c>
      <c r="M169" s="53"/>
      <c r="N169" s="4"/>
    </row>
    <row r="170" spans="1:14" ht="24" hidden="1" customHeight="1">
      <c r="A170" s="41"/>
      <c r="B170" s="52" t="s">
        <v>179</v>
      </c>
      <c r="C170" s="51" t="s">
        <v>180</v>
      </c>
      <c r="D170" s="34"/>
      <c r="E170" s="59"/>
      <c r="F170" s="49" t="s">
        <v>96</v>
      </c>
      <c r="G170" s="56">
        <v>213000</v>
      </c>
      <c r="H170" s="35">
        <f t="shared" si="18"/>
        <v>0</v>
      </c>
      <c r="I170" s="35"/>
      <c r="J170" s="35">
        <f t="shared" si="17"/>
        <v>0</v>
      </c>
      <c r="K170" s="35">
        <f t="shared" si="19"/>
        <v>213000</v>
      </c>
      <c r="L170" s="35">
        <f t="shared" si="19"/>
        <v>0</v>
      </c>
      <c r="M170" s="53"/>
      <c r="N170" s="4"/>
    </row>
    <row r="171" spans="1:14" ht="24" hidden="1" customHeight="1">
      <c r="A171" s="41"/>
      <c r="B171" s="52" t="s">
        <v>181</v>
      </c>
      <c r="C171" s="51" t="s">
        <v>182</v>
      </c>
      <c r="D171" s="34"/>
      <c r="E171" s="59"/>
      <c r="F171" s="49" t="s">
        <v>75</v>
      </c>
      <c r="G171" s="56">
        <v>450000</v>
      </c>
      <c r="H171" s="35">
        <f t="shared" si="18"/>
        <v>0</v>
      </c>
      <c r="I171" s="35"/>
      <c r="J171" s="35">
        <f t="shared" si="17"/>
        <v>0</v>
      </c>
      <c r="K171" s="35">
        <f t="shared" si="19"/>
        <v>450000</v>
      </c>
      <c r="L171" s="35">
        <f t="shared" si="19"/>
        <v>0</v>
      </c>
      <c r="M171" s="53"/>
      <c r="N171" s="4"/>
    </row>
    <row r="172" spans="1:14" ht="24" hidden="1" customHeight="1">
      <c r="A172" s="41"/>
      <c r="B172" s="52"/>
      <c r="C172" s="51" t="s">
        <v>183</v>
      </c>
      <c r="D172" s="34"/>
      <c r="E172" s="59"/>
      <c r="F172" s="49" t="s">
        <v>75</v>
      </c>
      <c r="G172" s="56">
        <v>220000</v>
      </c>
      <c r="H172" s="35">
        <f t="shared" si="18"/>
        <v>0</v>
      </c>
      <c r="I172" s="35"/>
      <c r="J172" s="35">
        <f t="shared" si="17"/>
        <v>0</v>
      </c>
      <c r="K172" s="35">
        <f t="shared" si="19"/>
        <v>220000</v>
      </c>
      <c r="L172" s="35">
        <f t="shared" si="19"/>
        <v>0</v>
      </c>
      <c r="M172" s="53" t="s">
        <v>68</v>
      </c>
      <c r="N172" s="4"/>
    </row>
    <row r="173" spans="1:14" ht="24" hidden="1" customHeight="1">
      <c r="A173" s="41"/>
      <c r="B173" s="52"/>
      <c r="C173" s="51" t="s">
        <v>184</v>
      </c>
      <c r="D173" s="34"/>
      <c r="E173" s="59"/>
      <c r="F173" s="49" t="s">
        <v>75</v>
      </c>
      <c r="G173" s="56">
        <v>280000</v>
      </c>
      <c r="H173" s="35">
        <f t="shared" si="18"/>
        <v>0</v>
      </c>
      <c r="I173" s="35"/>
      <c r="J173" s="35">
        <f t="shared" si="17"/>
        <v>0</v>
      </c>
      <c r="K173" s="35">
        <f t="shared" si="19"/>
        <v>280000</v>
      </c>
      <c r="L173" s="35">
        <f t="shared" si="19"/>
        <v>0</v>
      </c>
      <c r="M173" s="53"/>
      <c r="N173" s="4"/>
    </row>
    <row r="174" spans="1:14" ht="24" hidden="1" customHeight="1">
      <c r="A174" s="41"/>
      <c r="B174" s="52" t="s">
        <v>185</v>
      </c>
      <c r="C174" s="51" t="s">
        <v>446</v>
      </c>
      <c r="D174" s="34" t="s">
        <v>290</v>
      </c>
      <c r="E174" s="59"/>
      <c r="F174" s="49" t="s">
        <v>96</v>
      </c>
      <c r="G174" s="56">
        <v>47000</v>
      </c>
      <c r="H174" s="35">
        <f t="shared" si="18"/>
        <v>0</v>
      </c>
      <c r="I174" s="35"/>
      <c r="J174" s="35">
        <f t="shared" si="17"/>
        <v>0</v>
      </c>
      <c r="K174" s="35">
        <f t="shared" si="19"/>
        <v>47000</v>
      </c>
      <c r="L174" s="35">
        <f t="shared" si="19"/>
        <v>0</v>
      </c>
      <c r="M174" s="53"/>
      <c r="N174" s="4"/>
    </row>
    <row r="175" spans="1:14" ht="24" hidden="1" customHeight="1">
      <c r="A175" s="41"/>
      <c r="B175" s="52" t="s">
        <v>186</v>
      </c>
      <c r="C175" s="51" t="s">
        <v>187</v>
      </c>
      <c r="D175" s="34"/>
      <c r="E175" s="59"/>
      <c r="F175" s="49" t="s">
        <v>75</v>
      </c>
      <c r="G175" s="56">
        <v>25000</v>
      </c>
      <c r="H175" s="35">
        <f t="shared" si="18"/>
        <v>0</v>
      </c>
      <c r="I175" s="35"/>
      <c r="J175" s="35">
        <f t="shared" si="17"/>
        <v>0</v>
      </c>
      <c r="K175" s="35">
        <f t="shared" si="19"/>
        <v>25000</v>
      </c>
      <c r="L175" s="35">
        <f t="shared" si="19"/>
        <v>0</v>
      </c>
      <c r="M175" s="53"/>
      <c r="N175" s="4"/>
    </row>
    <row r="176" spans="1:14" ht="24" hidden="1" customHeight="1">
      <c r="A176" s="41"/>
      <c r="B176" s="52" t="s">
        <v>188</v>
      </c>
      <c r="C176" s="51" t="s">
        <v>353</v>
      </c>
      <c r="D176" s="34" t="s">
        <v>317</v>
      </c>
      <c r="E176" s="59"/>
      <c r="F176" s="49" t="s">
        <v>75</v>
      </c>
      <c r="G176" s="56">
        <v>37000</v>
      </c>
      <c r="H176" s="35">
        <f t="shared" si="18"/>
        <v>0</v>
      </c>
      <c r="I176" s="35"/>
      <c r="J176" s="35">
        <f t="shared" si="17"/>
        <v>0</v>
      </c>
      <c r="K176" s="35">
        <f t="shared" si="19"/>
        <v>37000</v>
      </c>
      <c r="L176" s="35">
        <f t="shared" si="19"/>
        <v>0</v>
      </c>
      <c r="M176" s="53"/>
      <c r="N176" s="4"/>
    </row>
    <row r="177" spans="1:14" ht="24" hidden="1" customHeight="1">
      <c r="A177" s="41"/>
      <c r="B177" s="52"/>
      <c r="C177" s="51" t="s">
        <v>377</v>
      </c>
      <c r="D177" s="34" t="s">
        <v>372</v>
      </c>
      <c r="E177" s="59"/>
      <c r="F177" s="49" t="s">
        <v>75</v>
      </c>
      <c r="G177" s="56">
        <v>390000</v>
      </c>
      <c r="H177" s="35">
        <f t="shared" si="18"/>
        <v>0</v>
      </c>
      <c r="I177" s="35"/>
      <c r="J177" s="35">
        <f t="shared" si="17"/>
        <v>0</v>
      </c>
      <c r="K177" s="35">
        <f t="shared" si="19"/>
        <v>390000</v>
      </c>
      <c r="L177" s="35">
        <f t="shared" si="19"/>
        <v>0</v>
      </c>
      <c r="M177" s="53"/>
      <c r="N177" s="4"/>
    </row>
    <row r="178" spans="1:14" ht="24" hidden="1" customHeight="1">
      <c r="A178" s="41"/>
      <c r="B178" s="52" t="s">
        <v>190</v>
      </c>
      <c r="C178" s="51"/>
      <c r="D178" s="34"/>
      <c r="E178" s="59"/>
      <c r="F178" s="49" t="s">
        <v>75</v>
      </c>
      <c r="G178" s="56">
        <v>45000</v>
      </c>
      <c r="H178" s="35">
        <f t="shared" si="18"/>
        <v>0</v>
      </c>
      <c r="I178" s="35"/>
      <c r="J178" s="35">
        <f t="shared" si="17"/>
        <v>0</v>
      </c>
      <c r="K178" s="35">
        <f t="shared" si="19"/>
        <v>45000</v>
      </c>
      <c r="L178" s="35">
        <f t="shared" si="19"/>
        <v>0</v>
      </c>
      <c r="M178" s="53"/>
      <c r="N178" s="4"/>
    </row>
    <row r="179" spans="1:14" ht="24" hidden="1" customHeight="1">
      <c r="A179" s="41"/>
      <c r="B179" s="52" t="s">
        <v>191</v>
      </c>
      <c r="C179" s="51" t="s">
        <v>192</v>
      </c>
      <c r="D179" s="34"/>
      <c r="E179" s="59"/>
      <c r="F179" s="49" t="s">
        <v>75</v>
      </c>
      <c r="G179" s="56">
        <v>22000</v>
      </c>
      <c r="H179" s="35">
        <f t="shared" si="18"/>
        <v>0</v>
      </c>
      <c r="I179" s="35"/>
      <c r="J179" s="35">
        <f t="shared" si="17"/>
        <v>0</v>
      </c>
      <c r="K179" s="35">
        <f t="shared" si="19"/>
        <v>22000</v>
      </c>
      <c r="L179" s="35">
        <f t="shared" si="19"/>
        <v>0</v>
      </c>
      <c r="M179" s="53"/>
      <c r="N179" s="4"/>
    </row>
    <row r="180" spans="1:14" ht="24" hidden="1" customHeight="1">
      <c r="A180" s="41"/>
      <c r="B180" s="52" t="s">
        <v>193</v>
      </c>
      <c r="C180" s="51"/>
      <c r="D180" s="34"/>
      <c r="E180" s="59"/>
      <c r="F180" s="49" t="s">
        <v>75</v>
      </c>
      <c r="G180" s="56">
        <v>22000</v>
      </c>
      <c r="H180" s="35">
        <f t="shared" si="18"/>
        <v>0</v>
      </c>
      <c r="I180" s="35"/>
      <c r="J180" s="35">
        <f t="shared" si="17"/>
        <v>0</v>
      </c>
      <c r="K180" s="35">
        <f t="shared" si="19"/>
        <v>22000</v>
      </c>
      <c r="L180" s="35">
        <f t="shared" si="19"/>
        <v>0</v>
      </c>
      <c r="M180" s="53"/>
      <c r="N180" s="4"/>
    </row>
    <row r="181" spans="1:14" ht="24" hidden="1" customHeight="1">
      <c r="A181" s="41"/>
      <c r="B181" s="52" t="s">
        <v>160</v>
      </c>
      <c r="C181" s="51"/>
      <c r="D181" s="34"/>
      <c r="E181" s="59"/>
      <c r="F181" s="49" t="s">
        <v>103</v>
      </c>
      <c r="G181" s="56"/>
      <c r="H181" s="35">
        <f t="shared" si="18"/>
        <v>0</v>
      </c>
      <c r="I181" s="56">
        <v>280000</v>
      </c>
      <c r="J181" s="35">
        <f t="shared" si="17"/>
        <v>0</v>
      </c>
      <c r="K181" s="35">
        <f t="shared" si="19"/>
        <v>280000</v>
      </c>
      <c r="L181" s="35">
        <f t="shared" si="19"/>
        <v>0</v>
      </c>
      <c r="M181" s="36"/>
      <c r="N181" s="4"/>
    </row>
    <row r="182" spans="1:14" ht="24" hidden="1" customHeight="1">
      <c r="A182" s="41"/>
      <c r="B182" s="56" t="s">
        <v>159</v>
      </c>
      <c r="C182" s="58"/>
      <c r="D182" s="34"/>
      <c r="E182" s="33"/>
      <c r="F182" s="49" t="s">
        <v>71</v>
      </c>
      <c r="G182" s="57">
        <v>80000</v>
      </c>
      <c r="H182" s="35">
        <f t="shared" si="18"/>
        <v>0</v>
      </c>
      <c r="I182" s="35"/>
      <c r="J182" s="35">
        <f t="shared" si="17"/>
        <v>0</v>
      </c>
      <c r="K182" s="35">
        <f t="shared" ref="K182:L182" si="20">G182+I182</f>
        <v>80000</v>
      </c>
      <c r="L182" s="35">
        <f t="shared" si="20"/>
        <v>0</v>
      </c>
      <c r="M182" s="36"/>
      <c r="N182" s="4"/>
    </row>
    <row r="183" spans="1:14" ht="24" hidden="1" customHeight="1">
      <c r="A183" s="41"/>
      <c r="B183" s="56"/>
      <c r="C183" s="58"/>
      <c r="D183" s="32"/>
      <c r="E183" s="33"/>
      <c r="F183" s="49"/>
      <c r="G183" s="57"/>
      <c r="H183" s="35"/>
      <c r="I183" s="35"/>
      <c r="J183" s="35"/>
      <c r="K183" s="35"/>
      <c r="L183" s="35"/>
      <c r="M183" s="36"/>
      <c r="N183" s="4"/>
    </row>
    <row r="184" spans="1:14" ht="24" hidden="1" customHeight="1">
      <c r="A184" s="41"/>
      <c r="B184" s="32" t="s">
        <v>49</v>
      </c>
      <c r="C184" s="32"/>
      <c r="D184" s="32"/>
      <c r="E184" s="33"/>
      <c r="F184" s="34"/>
      <c r="G184" s="35"/>
      <c r="H184" s="35">
        <f>SUM(H154:H183)</f>
        <v>0</v>
      </c>
      <c r="I184" s="35"/>
      <c r="J184" s="35">
        <f>SUM(J154:J183)</f>
        <v>0</v>
      </c>
      <c r="K184" s="35"/>
      <c r="L184" s="35">
        <f>SUM(L154:L183)</f>
        <v>0</v>
      </c>
      <c r="M184" s="36"/>
      <c r="N184" s="4"/>
    </row>
    <row r="185" spans="1:14" ht="24" hidden="1" customHeight="1">
      <c r="A185" s="41"/>
      <c r="B185" s="64"/>
      <c r="C185" s="58"/>
      <c r="D185" s="32"/>
      <c r="E185" s="33"/>
      <c r="F185" s="49"/>
      <c r="G185" s="57"/>
      <c r="H185" s="35"/>
      <c r="I185" s="35"/>
      <c r="J185" s="35"/>
      <c r="K185" s="35"/>
      <c r="L185" s="35"/>
      <c r="M185" s="36"/>
      <c r="N185" s="4"/>
    </row>
    <row r="186" spans="1:14" ht="24" customHeight="1">
      <c r="A186" s="66">
        <f>A11</f>
        <v>8</v>
      </c>
      <c r="B186" s="67" t="str">
        <f>B11</f>
        <v>가구 공사</v>
      </c>
      <c r="C186" s="149"/>
      <c r="D186" s="150"/>
      <c r="E186" s="150"/>
      <c r="F186" s="150"/>
      <c r="G186" s="150"/>
      <c r="H186" s="150"/>
      <c r="I186" s="150"/>
      <c r="J186" s="150"/>
      <c r="K186" s="150"/>
      <c r="L186" s="150"/>
      <c r="M186" s="151"/>
      <c r="N186" s="4"/>
    </row>
    <row r="187" spans="1:14" ht="24" customHeight="1">
      <c r="A187" s="41"/>
      <c r="B187" s="57" t="s">
        <v>194</v>
      </c>
      <c r="C187" s="57" t="s">
        <v>450</v>
      </c>
      <c r="D187" s="34" t="s">
        <v>266</v>
      </c>
      <c r="E187" s="59">
        <v>1</v>
      </c>
      <c r="F187" s="49" t="s">
        <v>43</v>
      </c>
      <c r="G187" s="57">
        <v>3750000</v>
      </c>
      <c r="H187" s="35">
        <f t="shared" ref="H187:H203" si="21">E187*G187</f>
        <v>3750000</v>
      </c>
      <c r="I187" s="35"/>
      <c r="J187" s="35">
        <f>E187*I187</f>
        <v>0</v>
      </c>
      <c r="K187" s="35">
        <f>G187+I187</f>
        <v>3750000</v>
      </c>
      <c r="L187" s="35">
        <f t="shared" ref="L187:L203" si="22">H187+J187</f>
        <v>3750000</v>
      </c>
      <c r="M187" s="53" t="s">
        <v>326</v>
      </c>
      <c r="N187" s="4"/>
    </row>
    <row r="188" spans="1:14" ht="24" customHeight="1">
      <c r="A188" s="41"/>
      <c r="B188" s="57"/>
      <c r="C188" s="57" t="s">
        <v>455</v>
      </c>
      <c r="D188" s="34" t="s">
        <v>266</v>
      </c>
      <c r="E188" s="59">
        <v>1</v>
      </c>
      <c r="F188" s="49" t="s">
        <v>43</v>
      </c>
      <c r="G188" s="57">
        <v>720000</v>
      </c>
      <c r="H188" s="35">
        <f t="shared" si="21"/>
        <v>720000</v>
      </c>
      <c r="I188" s="35"/>
      <c r="J188" s="35">
        <f>E188*I188</f>
        <v>0</v>
      </c>
      <c r="K188" s="35">
        <f>G188+I188</f>
        <v>720000</v>
      </c>
      <c r="L188" s="35">
        <f t="shared" si="22"/>
        <v>720000</v>
      </c>
      <c r="M188" s="53" t="s">
        <v>326</v>
      </c>
      <c r="N188" s="4"/>
    </row>
    <row r="189" spans="1:14" ht="24" customHeight="1">
      <c r="A189" s="41"/>
      <c r="B189" s="57"/>
      <c r="C189" s="57" t="s">
        <v>460</v>
      </c>
      <c r="D189" s="34" t="s">
        <v>334</v>
      </c>
      <c r="E189" s="59">
        <v>1</v>
      </c>
      <c r="F189" s="49" t="s">
        <v>43</v>
      </c>
      <c r="G189" s="57">
        <v>495000</v>
      </c>
      <c r="H189" s="35">
        <f t="shared" si="21"/>
        <v>495000</v>
      </c>
      <c r="I189" s="35"/>
      <c r="J189" s="35">
        <f>E189*I189</f>
        <v>0</v>
      </c>
      <c r="K189" s="35">
        <f>G189+I189</f>
        <v>495000</v>
      </c>
      <c r="L189" s="35">
        <f t="shared" si="22"/>
        <v>495000</v>
      </c>
      <c r="M189" s="53" t="s">
        <v>326</v>
      </c>
      <c r="N189" s="4"/>
    </row>
    <row r="190" spans="1:14" ht="24" customHeight="1">
      <c r="A190" s="41"/>
      <c r="B190" s="57"/>
      <c r="C190" s="57" t="s">
        <v>452</v>
      </c>
      <c r="D190" s="34" t="s">
        <v>334</v>
      </c>
      <c r="E190" s="59">
        <v>1</v>
      </c>
      <c r="F190" s="49" t="s">
        <v>43</v>
      </c>
      <c r="G190" s="57">
        <v>135000</v>
      </c>
      <c r="H190" s="35">
        <f t="shared" si="21"/>
        <v>135000</v>
      </c>
      <c r="I190" s="35"/>
      <c r="J190" s="35">
        <f>E190*I190</f>
        <v>0</v>
      </c>
      <c r="K190" s="35">
        <f>G190+I190</f>
        <v>135000</v>
      </c>
      <c r="L190" s="35">
        <f t="shared" si="22"/>
        <v>135000</v>
      </c>
      <c r="M190" s="53" t="s">
        <v>326</v>
      </c>
      <c r="N190" s="4"/>
    </row>
    <row r="191" spans="1:14" ht="24" customHeight="1">
      <c r="A191" s="41"/>
      <c r="B191" s="57"/>
      <c r="C191" s="57" t="s">
        <v>331</v>
      </c>
      <c r="D191" s="34" t="s">
        <v>332</v>
      </c>
      <c r="E191" s="59"/>
      <c r="F191" s="49" t="s">
        <v>43</v>
      </c>
      <c r="G191" s="57">
        <v>250000</v>
      </c>
      <c r="H191" s="35">
        <f t="shared" si="21"/>
        <v>0</v>
      </c>
      <c r="I191" s="35"/>
      <c r="J191" s="35">
        <f>E191*I191</f>
        <v>0</v>
      </c>
      <c r="K191" s="35">
        <f>G191+I191</f>
        <v>250000</v>
      </c>
      <c r="L191" s="35">
        <f t="shared" si="22"/>
        <v>0</v>
      </c>
      <c r="M191" s="53" t="s">
        <v>93</v>
      </c>
      <c r="N191" s="4"/>
    </row>
    <row r="192" spans="1:14" ht="24" customHeight="1">
      <c r="A192" s="41"/>
      <c r="B192" s="57" t="s">
        <v>195</v>
      </c>
      <c r="C192" s="57" t="s">
        <v>453</v>
      </c>
      <c r="D192" s="34" t="s">
        <v>332</v>
      </c>
      <c r="E192" s="33">
        <v>1</v>
      </c>
      <c r="F192" s="49" t="s">
        <v>43</v>
      </c>
      <c r="G192" s="57">
        <v>390000</v>
      </c>
      <c r="H192" s="35">
        <f t="shared" si="21"/>
        <v>390000</v>
      </c>
      <c r="I192" s="35"/>
      <c r="J192" s="35"/>
      <c r="K192" s="35">
        <f t="shared" ref="K192:K203" si="23">I192+G192</f>
        <v>390000</v>
      </c>
      <c r="L192" s="35">
        <f t="shared" si="22"/>
        <v>390000</v>
      </c>
      <c r="M192" s="53" t="s">
        <v>93</v>
      </c>
      <c r="N192" s="4"/>
    </row>
    <row r="193" spans="1:14" ht="24" customHeight="1">
      <c r="A193" s="41"/>
      <c r="B193" s="57" t="s">
        <v>311</v>
      </c>
      <c r="C193" s="119"/>
      <c r="D193" s="34" t="s">
        <v>266</v>
      </c>
      <c r="E193" s="33"/>
      <c r="F193" s="49" t="s">
        <v>43</v>
      </c>
      <c r="G193" s="57">
        <v>1500000</v>
      </c>
      <c r="H193" s="35">
        <f t="shared" si="21"/>
        <v>0</v>
      </c>
      <c r="I193" s="35"/>
      <c r="J193" s="35"/>
      <c r="K193" s="35">
        <f t="shared" si="23"/>
        <v>1500000</v>
      </c>
      <c r="L193" s="35">
        <f t="shared" si="22"/>
        <v>0</v>
      </c>
      <c r="M193" s="53" t="s">
        <v>93</v>
      </c>
      <c r="N193" s="4"/>
    </row>
    <row r="194" spans="1:14" ht="24" customHeight="1">
      <c r="A194" s="41"/>
      <c r="B194" s="57"/>
      <c r="C194" s="119" t="s">
        <v>366</v>
      </c>
      <c r="D194" s="34" t="s">
        <v>266</v>
      </c>
      <c r="E194" s="33"/>
      <c r="F194" s="49" t="s">
        <v>43</v>
      </c>
      <c r="G194" s="57">
        <v>100000</v>
      </c>
      <c r="H194" s="35">
        <f t="shared" si="21"/>
        <v>0</v>
      </c>
      <c r="I194" s="35"/>
      <c r="J194" s="35"/>
      <c r="K194" s="35">
        <f t="shared" si="23"/>
        <v>100000</v>
      </c>
      <c r="L194" s="35">
        <f t="shared" si="22"/>
        <v>0</v>
      </c>
      <c r="M194" s="53" t="s">
        <v>93</v>
      </c>
      <c r="N194" s="4"/>
    </row>
    <row r="195" spans="1:14" ht="24" customHeight="1">
      <c r="A195" s="41"/>
      <c r="B195" s="57" t="s">
        <v>427</v>
      </c>
      <c r="C195" s="119" t="s">
        <v>428</v>
      </c>
      <c r="D195" s="34" t="s">
        <v>266</v>
      </c>
      <c r="E195" s="33"/>
      <c r="F195" s="49" t="s">
        <v>43</v>
      </c>
      <c r="G195" s="57">
        <v>450000</v>
      </c>
      <c r="H195" s="35">
        <f t="shared" si="21"/>
        <v>0</v>
      </c>
      <c r="I195" s="35"/>
      <c r="J195" s="35"/>
      <c r="K195" s="35">
        <f>I195+G195</f>
        <v>450000</v>
      </c>
      <c r="L195" s="35">
        <f>H195+J195</f>
        <v>0</v>
      </c>
      <c r="M195" s="53" t="s">
        <v>386</v>
      </c>
      <c r="N195" s="4"/>
    </row>
    <row r="196" spans="1:14" ht="24" customHeight="1">
      <c r="A196" s="41"/>
      <c r="B196" s="57"/>
      <c r="C196" s="119" t="s">
        <v>429</v>
      </c>
      <c r="D196" s="34" t="s">
        <v>266</v>
      </c>
      <c r="E196" s="33">
        <v>1</v>
      </c>
      <c r="F196" s="49" t="s">
        <v>43</v>
      </c>
      <c r="G196" s="57">
        <v>570000</v>
      </c>
      <c r="H196" s="35">
        <f t="shared" si="21"/>
        <v>570000</v>
      </c>
      <c r="I196" s="35"/>
      <c r="J196" s="35"/>
      <c r="K196" s="35">
        <f>I196+G196</f>
        <v>570000</v>
      </c>
      <c r="L196" s="35">
        <f>H196+J196</f>
        <v>570000</v>
      </c>
      <c r="M196" s="53" t="s">
        <v>386</v>
      </c>
      <c r="N196" s="4"/>
    </row>
    <row r="197" spans="1:14" ht="24" customHeight="1">
      <c r="A197" s="41"/>
      <c r="B197" s="57"/>
      <c r="C197" s="119" t="s">
        <v>454</v>
      </c>
      <c r="D197" s="34" t="s">
        <v>266</v>
      </c>
      <c r="E197" s="33">
        <v>1</v>
      </c>
      <c r="F197" s="49" t="s">
        <v>43</v>
      </c>
      <c r="G197" s="57">
        <v>600000</v>
      </c>
      <c r="H197" s="35">
        <f t="shared" si="21"/>
        <v>600000</v>
      </c>
      <c r="I197" s="35"/>
      <c r="J197" s="35"/>
      <c r="K197" s="35">
        <f>I197+G197</f>
        <v>600000</v>
      </c>
      <c r="L197" s="35">
        <f>H197+J197</f>
        <v>600000</v>
      </c>
      <c r="M197" s="53" t="s">
        <v>386</v>
      </c>
      <c r="N197" s="4"/>
    </row>
    <row r="198" spans="1:14" ht="24" customHeight="1">
      <c r="A198" s="41"/>
      <c r="B198" s="57" t="s">
        <v>362</v>
      </c>
      <c r="C198" s="119" t="s">
        <v>459</v>
      </c>
      <c r="D198" s="34" t="s">
        <v>266</v>
      </c>
      <c r="E198" s="33">
        <v>1</v>
      </c>
      <c r="F198" s="49" t="s">
        <v>43</v>
      </c>
      <c r="G198" s="57">
        <v>2000000</v>
      </c>
      <c r="H198" s="35">
        <f t="shared" si="21"/>
        <v>2000000</v>
      </c>
      <c r="I198" s="35"/>
      <c r="J198" s="35"/>
      <c r="K198" s="35">
        <f>I198+G198</f>
        <v>2000000</v>
      </c>
      <c r="L198" s="35">
        <f>H198+J198</f>
        <v>2000000</v>
      </c>
      <c r="M198" s="53" t="s">
        <v>386</v>
      </c>
      <c r="N198" s="4"/>
    </row>
    <row r="199" spans="1:14" ht="24" customHeight="1">
      <c r="A199" s="41"/>
      <c r="B199" s="57" t="s">
        <v>265</v>
      </c>
      <c r="C199" s="119" t="s">
        <v>421</v>
      </c>
      <c r="D199" s="34" t="s">
        <v>266</v>
      </c>
      <c r="E199" s="33"/>
      <c r="F199" s="49" t="s">
        <v>43</v>
      </c>
      <c r="G199" s="57">
        <v>780000</v>
      </c>
      <c r="H199" s="35">
        <f t="shared" si="21"/>
        <v>0</v>
      </c>
      <c r="I199" s="35"/>
      <c r="J199" s="35"/>
      <c r="K199" s="35">
        <f t="shared" si="23"/>
        <v>780000</v>
      </c>
      <c r="L199" s="35">
        <f t="shared" si="22"/>
        <v>0</v>
      </c>
      <c r="M199" s="53" t="s">
        <v>387</v>
      </c>
      <c r="N199" s="4"/>
    </row>
    <row r="200" spans="1:14" ht="24" customHeight="1">
      <c r="A200" s="41"/>
      <c r="B200" s="57" t="s">
        <v>430</v>
      </c>
      <c r="C200" s="119" t="s">
        <v>447</v>
      </c>
      <c r="D200" s="34" t="s">
        <v>266</v>
      </c>
      <c r="E200" s="33"/>
      <c r="F200" s="49" t="s">
        <v>43</v>
      </c>
      <c r="G200" s="57">
        <v>1250000</v>
      </c>
      <c r="H200" s="35">
        <f t="shared" si="21"/>
        <v>0</v>
      </c>
      <c r="I200" s="35"/>
      <c r="J200" s="35"/>
      <c r="K200" s="35">
        <f t="shared" si="23"/>
        <v>1250000</v>
      </c>
      <c r="L200" s="35">
        <f t="shared" si="22"/>
        <v>0</v>
      </c>
      <c r="M200" s="53" t="s">
        <v>387</v>
      </c>
      <c r="N200" s="4"/>
    </row>
    <row r="201" spans="1:14" ht="24" customHeight="1">
      <c r="A201" s="41"/>
      <c r="B201" s="57" t="s">
        <v>385</v>
      </c>
      <c r="C201" s="61" t="s">
        <v>367</v>
      </c>
      <c r="D201" s="34" t="s">
        <v>266</v>
      </c>
      <c r="E201" s="33"/>
      <c r="F201" s="49" t="s">
        <v>43</v>
      </c>
      <c r="G201" s="57">
        <v>1680000</v>
      </c>
      <c r="H201" s="35">
        <f t="shared" si="21"/>
        <v>0</v>
      </c>
      <c r="I201" s="35"/>
      <c r="J201" s="35"/>
      <c r="K201" s="35">
        <f t="shared" si="23"/>
        <v>1680000</v>
      </c>
      <c r="L201" s="35">
        <f t="shared" si="22"/>
        <v>0</v>
      </c>
      <c r="M201" s="53" t="s">
        <v>93</v>
      </c>
      <c r="N201" s="4"/>
    </row>
    <row r="202" spans="1:14" ht="24" customHeight="1">
      <c r="A202" s="41"/>
      <c r="B202" s="57" t="s">
        <v>418</v>
      </c>
      <c r="C202" s="61"/>
      <c r="D202" s="34" t="s">
        <v>266</v>
      </c>
      <c r="E202" s="33"/>
      <c r="F202" s="49" t="s">
        <v>43</v>
      </c>
      <c r="G202" s="57">
        <v>480000</v>
      </c>
      <c r="H202" s="35">
        <f t="shared" si="21"/>
        <v>0</v>
      </c>
      <c r="I202" s="35"/>
      <c r="J202" s="35"/>
      <c r="K202" s="35">
        <f t="shared" si="23"/>
        <v>480000</v>
      </c>
      <c r="L202" s="35">
        <f t="shared" si="22"/>
        <v>0</v>
      </c>
      <c r="M202" s="53" t="s">
        <v>93</v>
      </c>
      <c r="N202" s="4"/>
    </row>
    <row r="203" spans="1:14" ht="24" customHeight="1">
      <c r="A203" s="41"/>
      <c r="B203" s="57" t="s">
        <v>419</v>
      </c>
      <c r="C203" s="61"/>
      <c r="D203" s="34" t="s">
        <v>266</v>
      </c>
      <c r="E203" s="33"/>
      <c r="F203" s="49" t="s">
        <v>43</v>
      </c>
      <c r="G203" s="57">
        <v>1070000</v>
      </c>
      <c r="H203" s="35">
        <f t="shared" si="21"/>
        <v>0</v>
      </c>
      <c r="I203" s="35"/>
      <c r="J203" s="35"/>
      <c r="K203" s="35">
        <f t="shared" si="23"/>
        <v>1070000</v>
      </c>
      <c r="L203" s="35">
        <f t="shared" si="22"/>
        <v>0</v>
      </c>
      <c r="M203" s="53" t="s">
        <v>93</v>
      </c>
      <c r="N203" s="4"/>
    </row>
    <row r="204" spans="1:14" ht="24" customHeight="1">
      <c r="A204" s="41"/>
      <c r="B204" s="57"/>
      <c r="C204" s="61"/>
      <c r="D204" s="34"/>
      <c r="E204" s="33"/>
      <c r="F204" s="49"/>
      <c r="G204" s="57"/>
      <c r="H204" s="35"/>
      <c r="I204" s="35"/>
      <c r="J204" s="35"/>
      <c r="K204" s="35"/>
      <c r="L204" s="35"/>
      <c r="M204" s="53"/>
      <c r="N204" s="4"/>
    </row>
    <row r="205" spans="1:14" ht="24" customHeight="1">
      <c r="A205" s="41"/>
      <c r="B205" s="32" t="s">
        <v>49</v>
      </c>
      <c r="C205" s="32"/>
      <c r="D205" s="32"/>
      <c r="E205" s="33"/>
      <c r="F205" s="34"/>
      <c r="G205" s="35"/>
      <c r="H205" s="35">
        <f>SUM(H187:H203)</f>
        <v>8660000</v>
      </c>
      <c r="I205" s="35"/>
      <c r="J205" s="35">
        <f>SUM(J187:J192)</f>
        <v>0</v>
      </c>
      <c r="K205" s="35"/>
      <c r="L205" s="35">
        <f>SUM(L187:L203)</f>
        <v>8660000</v>
      </c>
      <c r="M205" s="36"/>
      <c r="N205" s="4"/>
    </row>
    <row r="206" spans="1:14" ht="24" customHeight="1">
      <c r="A206" s="41"/>
      <c r="B206" s="64" t="s">
        <v>465</v>
      </c>
      <c r="C206" s="32"/>
      <c r="D206" s="32"/>
      <c r="E206" s="33"/>
      <c r="F206" s="34"/>
      <c r="G206" s="35"/>
      <c r="H206" s="35"/>
      <c r="I206" s="35"/>
      <c r="J206" s="35"/>
      <c r="K206" s="35"/>
      <c r="L206" s="35"/>
      <c r="M206" s="36"/>
      <c r="N206" s="4"/>
    </row>
    <row r="207" spans="1:14" ht="24" customHeight="1">
      <c r="A207" s="41"/>
      <c r="B207" s="64" t="s">
        <v>467</v>
      </c>
      <c r="C207" s="32"/>
      <c r="D207" s="32"/>
      <c r="E207" s="33"/>
      <c r="F207" s="34"/>
      <c r="G207" s="35"/>
      <c r="H207" s="35"/>
      <c r="I207" s="35"/>
      <c r="J207" s="35"/>
      <c r="K207" s="35"/>
      <c r="L207" s="35"/>
      <c r="M207" s="36"/>
      <c r="N207" s="4"/>
    </row>
    <row r="208" spans="1:14" ht="24" customHeight="1">
      <c r="A208" s="66">
        <f>A12</f>
        <v>9</v>
      </c>
      <c r="B208" s="67" t="str">
        <f>B12</f>
        <v>샤시 공사</v>
      </c>
      <c r="C208" s="149"/>
      <c r="D208" s="150"/>
      <c r="E208" s="150"/>
      <c r="F208" s="150"/>
      <c r="G208" s="150"/>
      <c r="H208" s="150"/>
      <c r="I208" s="150"/>
      <c r="J208" s="150"/>
      <c r="K208" s="150"/>
      <c r="L208" s="150"/>
      <c r="M208" s="151"/>
      <c r="N208" s="4"/>
    </row>
    <row r="209" spans="1:14" ht="24" hidden="1" customHeight="1">
      <c r="A209" s="41"/>
      <c r="B209" s="57"/>
      <c r="C209" s="61"/>
      <c r="D209" s="34" t="s">
        <v>368</v>
      </c>
      <c r="E209" s="62"/>
      <c r="F209" s="63"/>
      <c r="G209" s="57"/>
      <c r="H209" s="35"/>
      <c r="I209" s="35"/>
      <c r="J209" s="35"/>
      <c r="K209" s="35"/>
      <c r="L209" s="35"/>
      <c r="M209" s="53"/>
      <c r="N209" s="4"/>
    </row>
    <row r="210" spans="1:14" ht="24" hidden="1" customHeight="1">
      <c r="A210" s="41"/>
      <c r="B210" s="57" t="s">
        <v>394</v>
      </c>
      <c r="C210" s="61" t="s">
        <v>395</v>
      </c>
      <c r="D210" s="34" t="s">
        <v>196</v>
      </c>
      <c r="E210" s="62"/>
      <c r="F210" s="63" t="s">
        <v>197</v>
      </c>
      <c r="G210" s="57">
        <v>977000</v>
      </c>
      <c r="H210" s="35">
        <f t="shared" ref="H210:H226" si="24">E210*G210</f>
        <v>0</v>
      </c>
      <c r="I210" s="35"/>
      <c r="J210" s="35">
        <f t="shared" ref="J210:J226" si="25">E210*I210</f>
        <v>0</v>
      </c>
      <c r="K210" s="35">
        <f t="shared" ref="K210:L225" si="26">G210+I210</f>
        <v>977000</v>
      </c>
      <c r="L210" s="35">
        <f t="shared" si="26"/>
        <v>0</v>
      </c>
      <c r="M210" s="53"/>
      <c r="N210" s="4"/>
    </row>
    <row r="211" spans="1:14" ht="24" hidden="1" customHeight="1">
      <c r="A211" s="41"/>
      <c r="B211" s="57"/>
      <c r="C211" s="61" t="s">
        <v>397</v>
      </c>
      <c r="D211" s="34" t="s">
        <v>196</v>
      </c>
      <c r="E211" s="62"/>
      <c r="F211" s="63" t="s">
        <v>197</v>
      </c>
      <c r="G211" s="57">
        <v>450400</v>
      </c>
      <c r="H211" s="35">
        <f t="shared" si="24"/>
        <v>0</v>
      </c>
      <c r="I211" s="35"/>
      <c r="J211" s="35">
        <f t="shared" si="25"/>
        <v>0</v>
      </c>
      <c r="K211" s="35">
        <f t="shared" si="26"/>
        <v>450400</v>
      </c>
      <c r="L211" s="35">
        <f t="shared" si="26"/>
        <v>0</v>
      </c>
      <c r="M211" s="53"/>
      <c r="N211" s="4"/>
    </row>
    <row r="212" spans="1:14" ht="24" hidden="1" customHeight="1">
      <c r="A212" s="41"/>
      <c r="B212" s="57"/>
      <c r="C212" s="61" t="s">
        <v>398</v>
      </c>
      <c r="D212" s="34" t="s">
        <v>396</v>
      </c>
      <c r="E212" s="62"/>
      <c r="F212" s="63" t="s">
        <v>197</v>
      </c>
      <c r="G212" s="57">
        <v>215400</v>
      </c>
      <c r="H212" s="35">
        <f t="shared" si="24"/>
        <v>0</v>
      </c>
      <c r="I212" s="35"/>
      <c r="J212" s="35">
        <f t="shared" si="25"/>
        <v>0</v>
      </c>
      <c r="K212" s="35">
        <f t="shared" si="26"/>
        <v>215400</v>
      </c>
      <c r="L212" s="35">
        <f t="shared" si="26"/>
        <v>0</v>
      </c>
      <c r="M212" s="53"/>
      <c r="N212" s="4"/>
    </row>
    <row r="213" spans="1:14" ht="24" hidden="1" customHeight="1">
      <c r="A213" s="41"/>
      <c r="B213" s="57" t="s">
        <v>399</v>
      </c>
      <c r="C213" s="61" t="s">
        <v>400</v>
      </c>
      <c r="D213" s="34" t="s">
        <v>196</v>
      </c>
      <c r="E213" s="62"/>
      <c r="F213" s="63" t="s">
        <v>197</v>
      </c>
      <c r="G213" s="57">
        <v>3632200</v>
      </c>
      <c r="H213" s="35">
        <f t="shared" si="24"/>
        <v>0</v>
      </c>
      <c r="I213" s="35"/>
      <c r="J213" s="35">
        <f t="shared" si="25"/>
        <v>0</v>
      </c>
      <c r="K213" s="35">
        <f t="shared" si="26"/>
        <v>3632200</v>
      </c>
      <c r="L213" s="35">
        <f t="shared" si="26"/>
        <v>0</v>
      </c>
      <c r="M213" s="53"/>
      <c r="N213" s="4"/>
    </row>
    <row r="214" spans="1:14" ht="24" hidden="1" customHeight="1">
      <c r="A214" s="41"/>
      <c r="B214" s="57" t="s">
        <v>401</v>
      </c>
      <c r="C214" s="61" t="s">
        <v>402</v>
      </c>
      <c r="D214" s="34" t="s">
        <v>309</v>
      </c>
      <c r="E214" s="62"/>
      <c r="F214" s="63" t="s">
        <v>197</v>
      </c>
      <c r="G214" s="57">
        <v>693600</v>
      </c>
      <c r="H214" s="35">
        <f t="shared" si="24"/>
        <v>0</v>
      </c>
      <c r="I214" s="35"/>
      <c r="J214" s="35">
        <f t="shared" si="25"/>
        <v>0</v>
      </c>
      <c r="K214" s="35">
        <f t="shared" si="26"/>
        <v>693600</v>
      </c>
      <c r="L214" s="35">
        <f t="shared" si="26"/>
        <v>0</v>
      </c>
      <c r="M214" s="53"/>
      <c r="N214" s="4"/>
    </row>
    <row r="215" spans="1:14" ht="24" hidden="1" customHeight="1">
      <c r="A215" s="41"/>
      <c r="B215" s="57" t="s">
        <v>403</v>
      </c>
      <c r="C215" s="61" t="s">
        <v>404</v>
      </c>
      <c r="D215" s="34" t="s">
        <v>409</v>
      </c>
      <c r="E215" s="62"/>
      <c r="F215" s="63" t="s">
        <v>197</v>
      </c>
      <c r="G215" s="57">
        <v>510100</v>
      </c>
      <c r="H215" s="35">
        <f t="shared" si="24"/>
        <v>0</v>
      </c>
      <c r="I215" s="35"/>
      <c r="J215" s="35">
        <f t="shared" si="25"/>
        <v>0</v>
      </c>
      <c r="K215" s="35">
        <f t="shared" si="26"/>
        <v>510100</v>
      </c>
      <c r="L215" s="35">
        <f t="shared" si="26"/>
        <v>0</v>
      </c>
      <c r="M215" s="53"/>
      <c r="N215" s="4"/>
    </row>
    <row r="216" spans="1:14" ht="24" hidden="1" customHeight="1">
      <c r="A216" s="41"/>
      <c r="B216" s="57" t="s">
        <v>405</v>
      </c>
      <c r="C216" s="61" t="s">
        <v>402</v>
      </c>
      <c r="D216" s="34" t="s">
        <v>309</v>
      </c>
      <c r="E216" s="62"/>
      <c r="F216" s="63" t="s">
        <v>197</v>
      </c>
      <c r="G216" s="57">
        <v>693600</v>
      </c>
      <c r="H216" s="35">
        <f t="shared" si="24"/>
        <v>0</v>
      </c>
      <c r="I216" s="35"/>
      <c r="J216" s="35">
        <f t="shared" si="25"/>
        <v>0</v>
      </c>
      <c r="K216" s="35">
        <f t="shared" si="26"/>
        <v>693600</v>
      </c>
      <c r="L216" s="35">
        <f t="shared" si="26"/>
        <v>0</v>
      </c>
      <c r="M216" s="53"/>
      <c r="N216" s="4"/>
    </row>
    <row r="217" spans="1:14" ht="24" hidden="1" customHeight="1">
      <c r="A217" s="41"/>
      <c r="B217" s="57" t="s">
        <v>406</v>
      </c>
      <c r="C217" s="61" t="s">
        <v>407</v>
      </c>
      <c r="D217" s="34" t="s">
        <v>408</v>
      </c>
      <c r="E217" s="62"/>
      <c r="F217" s="63" t="s">
        <v>197</v>
      </c>
      <c r="G217" s="57">
        <v>1190900</v>
      </c>
      <c r="H217" s="35">
        <f t="shared" si="24"/>
        <v>0</v>
      </c>
      <c r="I217" s="35"/>
      <c r="J217" s="35">
        <f t="shared" si="25"/>
        <v>0</v>
      </c>
      <c r="K217" s="35"/>
      <c r="L217" s="35"/>
      <c r="M217" s="53"/>
      <c r="N217" s="4"/>
    </row>
    <row r="218" spans="1:14" s="127" customFormat="1" ht="24" hidden="1" customHeight="1">
      <c r="A218" s="120"/>
      <c r="B218" s="64" t="s">
        <v>406</v>
      </c>
      <c r="C218" s="121" t="s">
        <v>410</v>
      </c>
      <c r="D218" s="122" t="s">
        <v>408</v>
      </c>
      <c r="E218" s="123"/>
      <c r="F218" s="124" t="s">
        <v>197</v>
      </c>
      <c r="G218" s="64">
        <v>1095000</v>
      </c>
      <c r="H218" s="125">
        <f t="shared" si="24"/>
        <v>0</v>
      </c>
      <c r="I218" s="125"/>
      <c r="J218" s="125">
        <f t="shared" si="25"/>
        <v>0</v>
      </c>
      <c r="K218" s="125">
        <f t="shared" si="26"/>
        <v>1095000</v>
      </c>
      <c r="L218" s="125">
        <f t="shared" si="26"/>
        <v>0</v>
      </c>
      <c r="M218" s="53" t="s">
        <v>326</v>
      </c>
      <c r="N218" s="126"/>
    </row>
    <row r="219" spans="1:14" ht="24" hidden="1" customHeight="1">
      <c r="A219" s="41"/>
      <c r="B219" s="57" t="s">
        <v>411</v>
      </c>
      <c r="C219" s="61" t="s">
        <v>412</v>
      </c>
      <c r="D219" s="34" t="s">
        <v>196</v>
      </c>
      <c r="E219" s="62"/>
      <c r="F219" s="63" t="s">
        <v>197</v>
      </c>
      <c r="G219" s="57">
        <v>1190900</v>
      </c>
      <c r="H219" s="35">
        <f t="shared" si="24"/>
        <v>0</v>
      </c>
      <c r="I219" s="35"/>
      <c r="J219" s="35">
        <f t="shared" si="25"/>
        <v>0</v>
      </c>
      <c r="K219" s="35">
        <f t="shared" si="26"/>
        <v>1190900</v>
      </c>
      <c r="L219" s="35">
        <f t="shared" si="26"/>
        <v>0</v>
      </c>
      <c r="M219" s="53"/>
      <c r="N219" s="4"/>
    </row>
    <row r="220" spans="1:14" ht="24" hidden="1" customHeight="1">
      <c r="A220" s="41"/>
      <c r="B220" s="57" t="s">
        <v>413</v>
      </c>
      <c r="C220" s="61" t="s">
        <v>414</v>
      </c>
      <c r="D220" s="34" t="s">
        <v>408</v>
      </c>
      <c r="E220" s="62"/>
      <c r="F220" s="63" t="s">
        <v>197</v>
      </c>
      <c r="G220" s="57">
        <v>601000</v>
      </c>
      <c r="H220" s="35">
        <f t="shared" si="24"/>
        <v>0</v>
      </c>
      <c r="I220" s="35"/>
      <c r="J220" s="35">
        <f t="shared" si="25"/>
        <v>0</v>
      </c>
      <c r="K220" s="35"/>
      <c r="L220" s="35"/>
      <c r="M220" s="53"/>
      <c r="N220" s="4"/>
    </row>
    <row r="221" spans="1:14" s="127" customFormat="1" ht="24" hidden="1" customHeight="1">
      <c r="A221" s="120"/>
      <c r="B221" s="64" t="s">
        <v>413</v>
      </c>
      <c r="C221" s="121" t="s">
        <v>415</v>
      </c>
      <c r="D221" s="122" t="s">
        <v>408</v>
      </c>
      <c r="E221" s="123"/>
      <c r="F221" s="124" t="s">
        <v>197</v>
      </c>
      <c r="G221" s="64">
        <v>568000</v>
      </c>
      <c r="H221" s="125">
        <f t="shared" si="24"/>
        <v>0</v>
      </c>
      <c r="I221" s="125"/>
      <c r="J221" s="125">
        <f t="shared" si="25"/>
        <v>0</v>
      </c>
      <c r="K221" s="125">
        <f t="shared" si="26"/>
        <v>568000</v>
      </c>
      <c r="L221" s="125">
        <f t="shared" si="26"/>
        <v>0</v>
      </c>
      <c r="M221" s="53" t="s">
        <v>326</v>
      </c>
      <c r="N221" s="126"/>
    </row>
    <row r="222" spans="1:14" ht="24" hidden="1" customHeight="1">
      <c r="A222" s="41"/>
      <c r="B222" s="57" t="s">
        <v>416</v>
      </c>
      <c r="C222" s="61" t="s">
        <v>417</v>
      </c>
      <c r="D222" s="34" t="s">
        <v>196</v>
      </c>
      <c r="E222" s="62"/>
      <c r="F222" s="63" t="s">
        <v>197</v>
      </c>
      <c r="G222" s="57">
        <v>634700</v>
      </c>
      <c r="H222" s="35">
        <f t="shared" si="24"/>
        <v>0</v>
      </c>
      <c r="I222" s="35"/>
      <c r="J222" s="35">
        <f t="shared" si="25"/>
        <v>0</v>
      </c>
      <c r="K222" s="35">
        <f t="shared" si="26"/>
        <v>634700</v>
      </c>
      <c r="L222" s="35">
        <f t="shared" si="26"/>
        <v>0</v>
      </c>
      <c r="M222" s="53"/>
      <c r="N222" s="4"/>
    </row>
    <row r="223" spans="1:14" ht="24" hidden="1" customHeight="1">
      <c r="A223" s="41"/>
      <c r="B223" s="57" t="s">
        <v>199</v>
      </c>
      <c r="C223" s="61" t="s">
        <v>200</v>
      </c>
      <c r="D223" s="34"/>
      <c r="E223" s="62"/>
      <c r="F223" s="63" t="s">
        <v>197</v>
      </c>
      <c r="G223" s="57"/>
      <c r="H223" s="35">
        <f t="shared" si="24"/>
        <v>0</v>
      </c>
      <c r="I223" s="35"/>
      <c r="J223" s="35">
        <f t="shared" si="25"/>
        <v>0</v>
      </c>
      <c r="K223" s="35">
        <f t="shared" si="26"/>
        <v>0</v>
      </c>
      <c r="L223" s="35">
        <f t="shared" si="26"/>
        <v>0</v>
      </c>
      <c r="M223" s="53"/>
      <c r="N223" s="4"/>
    </row>
    <row r="224" spans="1:14" ht="24" hidden="1" customHeight="1">
      <c r="A224" s="41"/>
      <c r="B224" s="57" t="s">
        <v>100</v>
      </c>
      <c r="C224" s="61" t="s">
        <v>420</v>
      </c>
      <c r="D224" s="34"/>
      <c r="E224" s="62"/>
      <c r="F224" s="63" t="s">
        <v>197</v>
      </c>
      <c r="G224" s="57">
        <v>360300</v>
      </c>
      <c r="H224" s="35">
        <f t="shared" si="24"/>
        <v>0</v>
      </c>
      <c r="I224" s="35"/>
      <c r="J224" s="35">
        <f t="shared" si="25"/>
        <v>0</v>
      </c>
      <c r="K224" s="35">
        <f t="shared" si="26"/>
        <v>360300</v>
      </c>
      <c r="L224" s="35">
        <f t="shared" si="26"/>
        <v>0</v>
      </c>
      <c r="M224" s="53"/>
      <c r="N224" s="4"/>
    </row>
    <row r="225" spans="1:14" ht="24" hidden="1" customHeight="1">
      <c r="A225" s="41"/>
      <c r="B225" s="57" t="s">
        <v>201</v>
      </c>
      <c r="C225" s="61"/>
      <c r="D225" s="34"/>
      <c r="E225" s="62"/>
      <c r="F225" s="63" t="s">
        <v>197</v>
      </c>
      <c r="G225" s="57">
        <v>450000</v>
      </c>
      <c r="H225" s="35">
        <f t="shared" si="24"/>
        <v>0</v>
      </c>
      <c r="I225" s="35"/>
      <c r="J225" s="35">
        <f t="shared" si="25"/>
        <v>0</v>
      </c>
      <c r="K225" s="35">
        <f t="shared" si="26"/>
        <v>450000</v>
      </c>
      <c r="L225" s="35">
        <f t="shared" si="26"/>
        <v>0</v>
      </c>
      <c r="M225" s="53"/>
      <c r="N225" s="4"/>
    </row>
    <row r="226" spans="1:14" ht="24" hidden="1" customHeight="1">
      <c r="A226" s="41"/>
      <c r="B226" s="57" t="s">
        <v>104</v>
      </c>
      <c r="C226" s="61" t="s">
        <v>274</v>
      </c>
      <c r="D226" s="34"/>
      <c r="E226" s="62"/>
      <c r="F226" s="63" t="s">
        <v>197</v>
      </c>
      <c r="G226" s="57">
        <v>200000</v>
      </c>
      <c r="H226" s="35">
        <f t="shared" si="24"/>
        <v>0</v>
      </c>
      <c r="I226" s="35"/>
      <c r="J226" s="35">
        <f t="shared" si="25"/>
        <v>0</v>
      </c>
      <c r="K226" s="35">
        <f t="shared" ref="K226:L226" si="27">G226+I226</f>
        <v>200000</v>
      </c>
      <c r="L226" s="35">
        <f t="shared" si="27"/>
        <v>0</v>
      </c>
      <c r="M226" s="53"/>
      <c r="N226" s="4"/>
    </row>
    <row r="227" spans="1:14" ht="24" hidden="1" customHeight="1">
      <c r="A227" s="41"/>
      <c r="B227" s="64"/>
      <c r="C227" s="61"/>
      <c r="D227" s="32"/>
      <c r="E227" s="62"/>
      <c r="F227" s="63"/>
      <c r="G227" s="57"/>
      <c r="H227" s="35"/>
      <c r="I227" s="35"/>
      <c r="J227" s="35"/>
      <c r="K227" s="35"/>
      <c r="L227" s="35"/>
      <c r="M227" s="36"/>
      <c r="N227" s="4"/>
    </row>
    <row r="228" spans="1:14" ht="24" hidden="1" customHeight="1">
      <c r="A228" s="41"/>
      <c r="B228" s="32" t="s">
        <v>49</v>
      </c>
      <c r="C228" s="32"/>
      <c r="D228" s="32"/>
      <c r="E228" s="33"/>
      <c r="F228" s="34"/>
      <c r="G228" s="35"/>
      <c r="H228" s="35">
        <f>SUM(H209:H227)</f>
        <v>0</v>
      </c>
      <c r="I228" s="35"/>
      <c r="J228" s="35">
        <f>SUM(J209:J227)</f>
        <v>0</v>
      </c>
      <c r="K228" s="35"/>
      <c r="L228" s="35">
        <f>SUM(L209:L227)</f>
        <v>0</v>
      </c>
      <c r="M228" s="36"/>
      <c r="N228" s="4"/>
    </row>
    <row r="229" spans="1:14" ht="24" hidden="1" customHeight="1">
      <c r="A229" s="41"/>
      <c r="B229" s="64" t="s">
        <v>202</v>
      </c>
      <c r="C229" s="32"/>
      <c r="D229" s="32"/>
      <c r="E229" s="33"/>
      <c r="F229" s="34"/>
      <c r="G229" s="35"/>
      <c r="H229" s="35"/>
      <c r="I229" s="35"/>
      <c r="J229" s="35"/>
      <c r="K229" s="35"/>
      <c r="L229" s="35"/>
      <c r="M229" s="36"/>
      <c r="N229" s="4"/>
    </row>
    <row r="230" spans="1:14" ht="24" customHeight="1">
      <c r="A230" s="66">
        <f>A13</f>
        <v>10</v>
      </c>
      <c r="B230" s="67" t="str">
        <f>B13</f>
        <v>도장 공사</v>
      </c>
      <c r="C230" s="149"/>
      <c r="D230" s="150"/>
      <c r="E230" s="150"/>
      <c r="F230" s="150"/>
      <c r="G230" s="150"/>
      <c r="H230" s="150"/>
      <c r="I230" s="150"/>
      <c r="J230" s="150"/>
      <c r="K230" s="150"/>
      <c r="L230" s="150"/>
      <c r="M230" s="151"/>
      <c r="N230" s="4"/>
    </row>
    <row r="231" spans="1:14" ht="24" customHeight="1">
      <c r="A231" s="41"/>
      <c r="B231" s="57" t="s">
        <v>203</v>
      </c>
      <c r="C231" s="65" t="s">
        <v>204</v>
      </c>
      <c r="D231" s="34" t="s">
        <v>369</v>
      </c>
      <c r="E231" s="50">
        <v>114.54</v>
      </c>
      <c r="F231" s="49" t="s">
        <v>13</v>
      </c>
      <c r="G231" s="57">
        <v>1800</v>
      </c>
      <c r="H231" s="35">
        <f>E231*G231</f>
        <v>206172</v>
      </c>
      <c r="I231" s="35">
        <v>4500</v>
      </c>
      <c r="J231" s="35">
        <f>E231*I231</f>
        <v>515430</v>
      </c>
      <c r="K231" s="35">
        <f>G231+I231</f>
        <v>6300</v>
      </c>
      <c r="L231" s="35">
        <f>H231+J231</f>
        <v>721602</v>
      </c>
      <c r="M231" s="36"/>
      <c r="N231" s="4"/>
    </row>
    <row r="232" spans="1:14" ht="24" customHeight="1">
      <c r="A232" s="41"/>
      <c r="B232" s="64"/>
      <c r="C232" s="58"/>
      <c r="D232" s="32"/>
      <c r="E232" s="33"/>
      <c r="F232" s="49"/>
      <c r="G232" s="57"/>
      <c r="H232" s="35"/>
      <c r="I232" s="35"/>
      <c r="J232" s="35"/>
      <c r="K232" s="35"/>
      <c r="L232" s="35"/>
      <c r="M232" s="36"/>
      <c r="N232" s="4"/>
    </row>
    <row r="233" spans="1:14" ht="24" customHeight="1">
      <c r="A233" s="41"/>
      <c r="B233" s="32" t="s">
        <v>49</v>
      </c>
      <c r="C233" s="32"/>
      <c r="D233" s="32"/>
      <c r="E233" s="33"/>
      <c r="F233" s="34"/>
      <c r="G233" s="35"/>
      <c r="H233" s="35">
        <f>SUM(H231:H232)</f>
        <v>206172</v>
      </c>
      <c r="I233" s="35"/>
      <c r="J233" s="35">
        <f>SUM(J231:J232)</f>
        <v>515430</v>
      </c>
      <c r="K233" s="35"/>
      <c r="L233" s="35">
        <f>SUM(L231:L232)</f>
        <v>721602</v>
      </c>
      <c r="M233" s="36"/>
      <c r="N233" s="4"/>
    </row>
    <row r="234" spans="1:14" ht="24" customHeight="1">
      <c r="A234" s="41"/>
      <c r="B234" s="64" t="s">
        <v>205</v>
      </c>
      <c r="C234" s="65"/>
      <c r="D234" s="32"/>
      <c r="E234" s="62"/>
      <c r="F234" s="49"/>
      <c r="G234" s="57"/>
      <c r="H234" s="35"/>
      <c r="I234" s="35"/>
      <c r="J234" s="35"/>
      <c r="K234" s="35"/>
      <c r="L234" s="35"/>
      <c r="M234" s="36"/>
      <c r="N234" s="4"/>
    </row>
    <row r="235" spans="1:14" ht="24" customHeight="1">
      <c r="A235" s="41"/>
      <c r="B235" s="64" t="s">
        <v>206</v>
      </c>
      <c r="C235" s="58"/>
      <c r="D235" s="32"/>
      <c r="E235" s="33"/>
      <c r="F235" s="49"/>
      <c r="G235" s="57"/>
      <c r="H235" s="35"/>
      <c r="I235" s="35"/>
      <c r="J235" s="35"/>
      <c r="K235" s="35"/>
      <c r="L235" s="35"/>
      <c r="M235" s="36"/>
      <c r="N235" s="4"/>
    </row>
    <row r="236" spans="1:14" ht="24" customHeight="1">
      <c r="A236" s="66">
        <f>A14</f>
        <v>11</v>
      </c>
      <c r="B236" s="67" t="str">
        <f>B14</f>
        <v>바닥 공사</v>
      </c>
      <c r="C236" s="149"/>
      <c r="D236" s="150"/>
      <c r="E236" s="150"/>
      <c r="F236" s="150"/>
      <c r="G236" s="150"/>
      <c r="H236" s="150"/>
      <c r="I236" s="150"/>
      <c r="J236" s="150"/>
      <c r="K236" s="150"/>
      <c r="L236" s="150"/>
      <c r="M236" s="151"/>
      <c r="N236" s="4"/>
    </row>
    <row r="237" spans="1:14" ht="24" customHeight="1">
      <c r="A237" s="41"/>
      <c r="B237" s="57" t="s">
        <v>448</v>
      </c>
      <c r="C237" s="65" t="s">
        <v>456</v>
      </c>
      <c r="D237" s="34" t="s">
        <v>461</v>
      </c>
      <c r="E237" s="50">
        <v>101.26</v>
      </c>
      <c r="F237" s="49" t="s">
        <v>13</v>
      </c>
      <c r="G237" s="57">
        <v>27500</v>
      </c>
      <c r="H237" s="35">
        <f>E237*G237</f>
        <v>2784650</v>
      </c>
      <c r="I237" s="35">
        <v>12500</v>
      </c>
      <c r="J237" s="35">
        <f>E237*I237</f>
        <v>1265750</v>
      </c>
      <c r="K237" s="35">
        <f>G237+I237</f>
        <v>40000</v>
      </c>
      <c r="L237" s="35">
        <f>H237+J237</f>
        <v>4050400</v>
      </c>
      <c r="M237" s="53"/>
      <c r="N237" s="4"/>
    </row>
    <row r="238" spans="1:14" ht="24" customHeight="1">
      <c r="A238" s="41"/>
      <c r="B238" s="64"/>
      <c r="C238" s="65" t="s">
        <v>463</v>
      </c>
      <c r="D238" s="32"/>
      <c r="E238" s="62"/>
      <c r="F238" s="49"/>
      <c r="G238" s="57"/>
      <c r="H238" s="35"/>
      <c r="I238" s="35"/>
      <c r="J238" s="35"/>
      <c r="K238" s="35"/>
      <c r="L238" s="35"/>
      <c r="M238" s="36"/>
      <c r="N238" s="4"/>
    </row>
    <row r="239" spans="1:14" ht="24" customHeight="1">
      <c r="A239" s="41"/>
      <c r="B239" s="64"/>
      <c r="C239" s="58"/>
      <c r="D239" s="32"/>
      <c r="E239" s="33"/>
      <c r="F239" s="49"/>
      <c r="G239" s="57"/>
      <c r="H239" s="35"/>
      <c r="I239" s="35"/>
      <c r="J239" s="35"/>
      <c r="K239" s="35"/>
      <c r="L239" s="35"/>
      <c r="M239" s="36"/>
      <c r="N239" s="4"/>
    </row>
    <row r="240" spans="1:14" ht="24" customHeight="1">
      <c r="A240" s="41"/>
      <c r="B240" s="32" t="s">
        <v>49</v>
      </c>
      <c r="C240" s="32"/>
      <c r="D240" s="32"/>
      <c r="E240" s="33"/>
      <c r="F240" s="34"/>
      <c r="G240" s="35"/>
      <c r="H240" s="35">
        <f>SUM(H237:H239)</f>
        <v>2784650</v>
      </c>
      <c r="I240" s="35"/>
      <c r="J240" s="35">
        <f>SUM(J237:J239)</f>
        <v>1265750</v>
      </c>
      <c r="K240" s="35"/>
      <c r="L240" s="35">
        <f>SUM(L237:L239)</f>
        <v>4050400</v>
      </c>
      <c r="M240" s="36"/>
      <c r="N240" s="4"/>
    </row>
    <row r="241" spans="1:14" ht="24" customHeight="1">
      <c r="A241" s="41"/>
      <c r="B241" s="64" t="s">
        <v>464</v>
      </c>
      <c r="C241" s="32"/>
      <c r="D241" s="32"/>
      <c r="E241" s="33"/>
      <c r="F241" s="34"/>
      <c r="G241" s="35"/>
      <c r="H241" s="35"/>
      <c r="I241" s="35"/>
      <c r="J241" s="35"/>
      <c r="K241" s="35"/>
      <c r="L241" s="35"/>
      <c r="M241" s="36"/>
      <c r="N241" s="4"/>
    </row>
    <row r="242" spans="1:14" ht="24" customHeight="1">
      <c r="A242" s="66">
        <f>A15</f>
        <v>12</v>
      </c>
      <c r="B242" s="67" t="str">
        <f>B15</f>
        <v>기타 공사</v>
      </c>
      <c r="C242" s="149"/>
      <c r="D242" s="150"/>
      <c r="E242" s="150"/>
      <c r="F242" s="150"/>
      <c r="G242" s="150"/>
      <c r="H242" s="150"/>
      <c r="I242" s="150"/>
      <c r="J242" s="150"/>
      <c r="K242" s="150"/>
      <c r="L242" s="150"/>
      <c r="M242" s="151"/>
      <c r="N242" s="4"/>
    </row>
    <row r="243" spans="1:14" ht="24" customHeight="1">
      <c r="A243" s="41"/>
      <c r="B243" s="57" t="s">
        <v>314</v>
      </c>
      <c r="C243" s="63" t="s">
        <v>318</v>
      </c>
      <c r="D243" s="34"/>
      <c r="E243" s="33"/>
      <c r="F243" s="49" t="s">
        <v>96</v>
      </c>
      <c r="G243" s="57">
        <v>1950000</v>
      </c>
      <c r="H243" s="35">
        <f>E243*G243</f>
        <v>0</v>
      </c>
      <c r="I243" s="35"/>
      <c r="J243" s="35">
        <f>E243*I243</f>
        <v>0</v>
      </c>
      <c r="K243" s="35">
        <f>G243+I243</f>
        <v>1950000</v>
      </c>
      <c r="L243" s="35">
        <f>H243+J243</f>
        <v>0</v>
      </c>
      <c r="M243" s="36"/>
      <c r="N243" s="4"/>
    </row>
    <row r="244" spans="1:14" ht="24" customHeight="1">
      <c r="A244" s="41"/>
      <c r="B244" s="57"/>
      <c r="C244" s="63" t="s">
        <v>359</v>
      </c>
      <c r="D244" s="32"/>
      <c r="E244" s="33"/>
      <c r="F244" s="49" t="s">
        <v>43</v>
      </c>
      <c r="G244" s="57">
        <v>500000</v>
      </c>
      <c r="H244" s="35">
        <f>E244*G244</f>
        <v>0</v>
      </c>
      <c r="I244" s="35"/>
      <c r="J244" s="35">
        <f>E244*I244</f>
        <v>0</v>
      </c>
      <c r="K244" s="35">
        <f>G244+I244</f>
        <v>500000</v>
      </c>
      <c r="L244" s="35">
        <f>H244+J244</f>
        <v>0</v>
      </c>
      <c r="M244" s="36"/>
      <c r="N244" s="4"/>
    </row>
    <row r="245" spans="1:14" ht="24" customHeight="1">
      <c r="A245" s="41"/>
      <c r="B245" s="57"/>
      <c r="C245" s="63"/>
      <c r="D245" s="32"/>
      <c r="E245" s="33"/>
      <c r="F245" s="49"/>
      <c r="G245" s="57"/>
      <c r="H245" s="35"/>
      <c r="I245" s="35"/>
      <c r="J245" s="35"/>
      <c r="K245" s="35"/>
      <c r="L245" s="35"/>
      <c r="M245" s="36"/>
      <c r="N245" s="4"/>
    </row>
    <row r="246" spans="1:14" ht="24" customHeight="1">
      <c r="A246" s="41"/>
      <c r="B246" s="57" t="s">
        <v>357</v>
      </c>
      <c r="C246" s="63" t="s">
        <v>389</v>
      </c>
      <c r="D246" s="34"/>
      <c r="E246" s="50"/>
      <c r="F246" s="49" t="s">
        <v>13</v>
      </c>
      <c r="G246" s="57">
        <v>12000</v>
      </c>
      <c r="H246" s="35">
        <f>E246*G246</f>
        <v>0</v>
      </c>
      <c r="I246" s="35">
        <v>21500</v>
      </c>
      <c r="J246" s="35">
        <f>E246*I246</f>
        <v>0</v>
      </c>
      <c r="K246" s="35">
        <f t="shared" ref="K246:L248" si="28">G246+I246</f>
        <v>33500</v>
      </c>
      <c r="L246" s="35">
        <f t="shared" si="28"/>
        <v>0</v>
      </c>
      <c r="M246" s="36"/>
      <c r="N246" s="4"/>
    </row>
    <row r="247" spans="1:14" ht="24" customHeight="1">
      <c r="A247" s="41"/>
      <c r="B247" s="57"/>
      <c r="C247" s="63" t="s">
        <v>207</v>
      </c>
      <c r="D247" s="32"/>
      <c r="E247" s="33"/>
      <c r="F247" s="49" t="s">
        <v>43</v>
      </c>
      <c r="G247" s="57">
        <v>100000</v>
      </c>
      <c r="H247" s="35">
        <f>E247*G247</f>
        <v>0</v>
      </c>
      <c r="I247" s="35"/>
      <c r="J247" s="35">
        <f>E247*I247</f>
        <v>0</v>
      </c>
      <c r="K247" s="35">
        <f t="shared" si="28"/>
        <v>100000</v>
      </c>
      <c r="L247" s="35">
        <f t="shared" si="28"/>
        <v>0</v>
      </c>
      <c r="M247" s="36"/>
      <c r="N247" s="4"/>
    </row>
    <row r="248" spans="1:14" ht="24" customHeight="1">
      <c r="A248" s="41"/>
      <c r="B248" s="57"/>
      <c r="C248" s="63" t="s">
        <v>370</v>
      </c>
      <c r="D248" s="32"/>
      <c r="E248" s="33"/>
      <c r="F248" s="49" t="s">
        <v>43</v>
      </c>
      <c r="G248" s="57">
        <v>550000</v>
      </c>
      <c r="H248" s="35">
        <f>E248*G248</f>
        <v>0</v>
      </c>
      <c r="I248" s="35"/>
      <c r="J248" s="35">
        <f>E248*I248</f>
        <v>0</v>
      </c>
      <c r="K248" s="35">
        <f t="shared" si="28"/>
        <v>550000</v>
      </c>
      <c r="L248" s="35">
        <f t="shared" si="28"/>
        <v>0</v>
      </c>
      <c r="M248" s="36"/>
      <c r="N248" s="4"/>
    </row>
    <row r="249" spans="1:14" ht="24" customHeight="1">
      <c r="A249" s="41"/>
      <c r="B249" s="64"/>
      <c r="C249" s="65"/>
      <c r="D249" s="32"/>
      <c r="E249" s="62"/>
      <c r="F249" s="49"/>
      <c r="G249" s="57"/>
      <c r="H249" s="35"/>
      <c r="I249" s="35"/>
      <c r="J249" s="35"/>
      <c r="K249" s="35"/>
      <c r="L249" s="35"/>
      <c r="M249" s="36"/>
      <c r="N249" s="4"/>
    </row>
    <row r="250" spans="1:14" ht="24" customHeight="1">
      <c r="A250" s="41"/>
      <c r="B250" s="32" t="s">
        <v>49</v>
      </c>
      <c r="C250" s="32"/>
      <c r="D250" s="32"/>
      <c r="E250" s="33"/>
      <c r="F250" s="34"/>
      <c r="G250" s="35"/>
      <c r="H250" s="35">
        <f>SUM(H243:H249)</f>
        <v>0</v>
      </c>
      <c r="I250" s="35"/>
      <c r="J250" s="35">
        <f>SUM(J243:J249)</f>
        <v>0</v>
      </c>
      <c r="K250" s="35"/>
      <c r="L250" s="35">
        <f>SUM(L243:L249)</f>
        <v>0</v>
      </c>
      <c r="M250" s="36"/>
      <c r="N250" s="4"/>
    </row>
    <row r="251" spans="1:14" ht="24" customHeight="1">
      <c r="A251" s="41"/>
      <c r="B251" s="64"/>
      <c r="C251" s="65"/>
      <c r="D251" s="32"/>
      <c r="E251" s="62"/>
      <c r="F251" s="49"/>
      <c r="G251" s="57"/>
      <c r="H251" s="35"/>
      <c r="I251" s="35"/>
      <c r="J251" s="35"/>
      <c r="K251" s="35"/>
      <c r="L251" s="35"/>
      <c r="M251" s="36"/>
      <c r="N251" s="4"/>
    </row>
  </sheetData>
  <mergeCells count="19">
    <mergeCell ref="C128:M128"/>
    <mergeCell ref="G1:H1"/>
    <mergeCell ref="I1:J1"/>
    <mergeCell ref="K1:L1"/>
    <mergeCell ref="B3:M3"/>
    <mergeCell ref="A16:G16"/>
    <mergeCell ref="B18:M18"/>
    <mergeCell ref="A23:G23"/>
    <mergeCell ref="A24:G24"/>
    <mergeCell ref="C40:M40"/>
    <mergeCell ref="C59:M59"/>
    <mergeCell ref="C94:M94"/>
    <mergeCell ref="C242:M242"/>
    <mergeCell ref="C137:M137"/>
    <mergeCell ref="C153:M153"/>
    <mergeCell ref="C186:M186"/>
    <mergeCell ref="C208:M208"/>
    <mergeCell ref="C230:M230"/>
    <mergeCell ref="C236:M236"/>
  </mergeCells>
  <phoneticPr fontId="1" type="noConversion"/>
  <printOptions horizontalCentered="1"/>
  <pageMargins left="0" right="0" top="0.51181102362204722" bottom="0.35433070866141736" header="0.27559055118110237" footer="0.15748031496062992"/>
  <pageSetup paperSize="9" scale="49" orientation="landscape" r:id="rId1"/>
  <headerFooter alignWithMargins="0">
    <oddFooter>&amp;C&amp;P/&amp;N</oddFooter>
  </headerFooter>
  <rowBreaks count="7" manualBreakCount="7">
    <brk id="28" max="12" man="1"/>
    <brk id="58" max="12" man="1"/>
    <brk id="93" max="12" man="1"/>
    <brk id="127" max="12" man="1"/>
    <brk id="152" max="12" man="1"/>
    <brk id="185" max="12" man="1"/>
    <brk id="22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7</vt:i4>
      </vt:variant>
    </vt:vector>
  </HeadingPairs>
  <TitlesOfParts>
    <vt:vector size="11" baseType="lpstr">
      <vt:lpstr>갑지</vt:lpstr>
      <vt:lpstr>내역</vt:lpstr>
      <vt:lpstr>추가수정사항포함</vt:lpstr>
      <vt:lpstr>추가수정사항포함 (2)</vt:lpstr>
      <vt:lpstr>갑지!Print_Area</vt:lpstr>
      <vt:lpstr>내역!Print_Area</vt:lpstr>
      <vt:lpstr>추가수정사항포함!Print_Area</vt:lpstr>
      <vt:lpstr>'추가수정사항포함 (2)'!Print_Area</vt:lpstr>
      <vt:lpstr>내역!Print_Titles</vt:lpstr>
      <vt:lpstr>추가수정사항포함!Print_Titles</vt:lpstr>
      <vt:lpstr>'추가수정사항포함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ㅡ</dc:creator>
  <cp:lastModifiedBy>진환 김</cp:lastModifiedBy>
  <cp:lastPrinted>2025-11-05T08:08:24Z</cp:lastPrinted>
  <dcterms:created xsi:type="dcterms:W3CDTF">2010-09-27T08:18:57Z</dcterms:created>
  <dcterms:modified xsi:type="dcterms:W3CDTF">2025-11-05T08:08:36Z</dcterms:modified>
</cp:coreProperties>
</file>