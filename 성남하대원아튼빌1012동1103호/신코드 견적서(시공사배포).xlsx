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28680" yWindow="-120" windowWidth="29040" windowHeight="15600" activeTab="2"/>
  </bookViews>
  <sheets>
    <sheet name="갑지" sheetId="1" r:id="rId1"/>
    <sheet name="을지" sheetId="2" r:id="rId2"/>
    <sheet name="견적상세" sheetId="3" r:id="rId3"/>
    <sheet name="추가항목기입" sheetId="5" r:id="rId4"/>
  </sheets>
  <externalReferences>
    <externalReference r:id="rId5"/>
  </externalReferences>
  <definedNames>
    <definedName name="_xlnm._FilterDatabase" localSheetId="2" hidden="1">견적상세!$B$7:$P$131</definedName>
    <definedName name="_xlnm._FilterDatabase" localSheetId="1" hidden="1">을지!$B$6:$L$19</definedName>
    <definedName name="_xlnm.Criteria" localSheetId="2">견적상세!#REF!</definedName>
    <definedName name="_xlnm.Criteria" localSheetId="1">을지!#REF!</definedName>
    <definedName name="_xlnm.Extract" localSheetId="2">견적상세!#REF!</definedName>
    <definedName name="_xlnm.Extract" localSheetId="1">을지!#REF!</definedName>
    <definedName name="_xlnm.Print_Area" localSheetId="0">갑지!$A$1:$S$38</definedName>
    <definedName name="_xlnm.Print_Area" localSheetId="2">견적상세!$B$4:$P$213</definedName>
    <definedName name="_xlnm.Print_Area" localSheetId="1">을지!$A$1:$M$33</definedName>
    <definedName name="_xlnm.Print_Titles" localSheetId="2">견적상세!$4:$6</definedName>
    <definedName name="_xlnm.Print_Titles" localSheetId="1">을지!$4:$6</definedName>
    <definedName name="Z_10536104_0E64_4A8A_B8EB_350A9C64C4A2_.wvu.FilterData" localSheetId="2" hidden="1">견적상세!#REF!</definedName>
    <definedName name="Z_10536104_0E64_4A8A_B8EB_350A9C64C4A2_.wvu.FilterData" localSheetId="1" hidden="1">을지!$B$6:$L$7</definedName>
    <definedName name="Z_36490584_63F3_4820_9C77_C0ACBE2E7352_.wvu.FilterData" localSheetId="2" hidden="1">견적상세!#REF!</definedName>
    <definedName name="Z_36490584_63F3_4820_9C77_C0ACBE2E7352_.wvu.FilterData" localSheetId="1" hidden="1">을지!$B$6:$L$7</definedName>
    <definedName name="Z_36A399FF_F820_430D_902D_77A2D0ECD5E6_.wvu.FilterData" localSheetId="2" hidden="1">견적상세!#REF!</definedName>
    <definedName name="Z_36A399FF_F820_430D_902D_77A2D0ECD5E6_.wvu.FilterData" localSheetId="1" hidden="1">을지!$B$6:$L$7</definedName>
    <definedName name="Z_45AF7ABC_C91C_40A2_8E41_4F934B64DC7F_.wvu.FilterData" localSheetId="2" hidden="1">견적상세!#REF!</definedName>
    <definedName name="Z_45AF7ABC_C91C_40A2_8E41_4F934B64DC7F_.wvu.FilterData" localSheetId="1" hidden="1">을지!$B$6:$L$7</definedName>
    <definedName name="Z_7B679CAE_8830_40A3_AD28_488D9EEB1569_.wvu.FilterData" localSheetId="2" hidden="1">견적상세!#REF!</definedName>
    <definedName name="Z_7B679CAE_8830_40A3_AD28_488D9EEB1569_.wvu.FilterData" localSheetId="1" hidden="1">을지!$B$6:$L$7</definedName>
    <definedName name="Z_7BA0B48A_9071_476D_863B_D4CE90B4C656_.wvu.FilterData" localSheetId="2" hidden="1">견적상세!#REF!</definedName>
    <definedName name="Z_7BA0B48A_9071_476D_863B_D4CE90B4C656_.wvu.FilterData" localSheetId="1" hidden="1">을지!$B$6:$L$7</definedName>
    <definedName name="Z_7E05862C_D43D_44D0_A97D_28C36C18102A_.wvu.Cols" localSheetId="2" hidden="1">견적상세!#REF!</definedName>
    <definedName name="Z_7E05862C_D43D_44D0_A97D_28C36C18102A_.wvu.Cols" localSheetId="1" hidden="1">을지!#REF!</definedName>
    <definedName name="Z_7E05862C_D43D_44D0_A97D_28C36C18102A_.wvu.FilterData" localSheetId="2" hidden="1">견적상세!#REF!</definedName>
    <definedName name="Z_7E05862C_D43D_44D0_A97D_28C36C18102A_.wvu.FilterData" localSheetId="1" hidden="1">을지!$B$6:$L$7</definedName>
    <definedName name="Z_7E05862C_D43D_44D0_A97D_28C36C18102A_.wvu.PrintTitles" localSheetId="2" hidden="1">견적상세!#REF!</definedName>
    <definedName name="Z_7E05862C_D43D_44D0_A97D_28C36C18102A_.wvu.PrintTitles" localSheetId="1" hidden="1">을지!$4:$6</definedName>
    <definedName name="Z_92EF67B4_0D69_44C8_9FC9_90514B925B90_.wvu.FilterData" localSheetId="2" hidden="1">견적상세!#REF!</definedName>
    <definedName name="Z_92EF67B4_0D69_44C8_9FC9_90514B925B90_.wvu.FilterData" localSheetId="1" hidden="1">을지!$B$6:$L$7</definedName>
    <definedName name="Z_930D7B07_2430_431A_A363_1194B5B947CB_.wvu.FilterData" localSheetId="2" hidden="1">견적상세!#REF!</definedName>
    <definedName name="Z_930D7B07_2430_431A_A363_1194B5B947CB_.wvu.FilterData" localSheetId="1" hidden="1">을지!$B$6:$L$7</definedName>
    <definedName name="Z_9515CA11_5519_49A0_A08A_E2E5B3AA7463_.wvu.FilterData" localSheetId="2" hidden="1">견적상세!#REF!</definedName>
    <definedName name="Z_9515CA11_5519_49A0_A08A_E2E5B3AA7463_.wvu.FilterData" localSheetId="1" hidden="1">을지!$B$6:$L$7</definedName>
    <definedName name="Z_9DE8BD91_71A1_478A_B643_6993D84B585E_.wvu.FilterData" localSheetId="2" hidden="1">견적상세!#REF!</definedName>
    <definedName name="Z_9DE8BD91_71A1_478A_B643_6993D84B585E_.wvu.FilterData" localSheetId="1" hidden="1">을지!$B$6:$L$7</definedName>
    <definedName name="Z_9EA98FDB_344F_4C39_ADC0_9258BE816757_.wvu.Cols" localSheetId="2" hidden="1">견적상세!#REF!</definedName>
    <definedName name="Z_9EA98FDB_344F_4C39_ADC0_9258BE816757_.wvu.Cols" localSheetId="1" hidden="1">을지!#REF!</definedName>
    <definedName name="Z_9EA98FDB_344F_4C39_ADC0_9258BE816757_.wvu.FilterData" localSheetId="2" hidden="1">견적상세!#REF!</definedName>
    <definedName name="Z_9EA98FDB_344F_4C39_ADC0_9258BE816757_.wvu.FilterData" localSheetId="1" hidden="1">을지!$B$6:$L$7</definedName>
    <definedName name="Z_9EA98FDB_344F_4C39_ADC0_9258BE816757_.wvu.PrintTitles" localSheetId="2" hidden="1">견적상세!#REF!</definedName>
    <definedName name="Z_9EA98FDB_344F_4C39_ADC0_9258BE816757_.wvu.PrintTitles" localSheetId="1" hidden="1">을지!$4:$6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29" i="3"/>
  <c r="P24" i="2"/>
  <c r="P25"/>
  <c r="P26"/>
  <c r="P27"/>
  <c r="P28"/>
  <c r="P29"/>
  <c r="P30"/>
  <c r="N193" i="3"/>
  <c r="N192"/>
  <c r="O192" s="1"/>
  <c r="N191"/>
  <c r="N190"/>
  <c r="N189"/>
  <c r="N188"/>
  <c r="N187"/>
  <c r="N186"/>
  <c r="N185"/>
  <c r="N184"/>
  <c r="O184" s="1"/>
  <c r="N183"/>
  <c r="N182"/>
  <c r="N181"/>
  <c r="N180"/>
  <c r="N179"/>
  <c r="N178"/>
  <c r="N177"/>
  <c r="L193"/>
  <c r="L192"/>
  <c r="L191"/>
  <c r="L190"/>
  <c r="L189"/>
  <c r="L188"/>
  <c r="L187"/>
  <c r="L186"/>
  <c r="O186" s="1"/>
  <c r="L185"/>
  <c r="L184"/>
  <c r="L183"/>
  <c r="L182"/>
  <c r="L181"/>
  <c r="L180"/>
  <c r="L179"/>
  <c r="L178"/>
  <c r="O178" s="1"/>
  <c r="L177"/>
  <c r="T83"/>
  <c r="T89"/>
  <c r="T90"/>
  <c r="T93"/>
  <c r="T98"/>
  <c r="T106"/>
  <c r="T107"/>
  <c r="T108"/>
  <c r="L137"/>
  <c r="L136"/>
  <c r="L135"/>
  <c r="L134"/>
  <c r="N137"/>
  <c r="N136"/>
  <c r="O136" s="1"/>
  <c r="N135"/>
  <c r="N134"/>
  <c r="N133"/>
  <c r="K133"/>
  <c r="L133" s="1"/>
  <c r="K129"/>
  <c r="L129" s="1"/>
  <c r="O129" s="1"/>
  <c r="K128"/>
  <c r="L128" s="1"/>
  <c r="K127"/>
  <c r="L127" s="1"/>
  <c r="K126"/>
  <c r="L126" s="1"/>
  <c r="O126" s="1"/>
  <c r="K121"/>
  <c r="L121" s="1"/>
  <c r="K119"/>
  <c r="L119" s="1"/>
  <c r="N129"/>
  <c r="N128"/>
  <c r="N127"/>
  <c r="N126"/>
  <c r="N125"/>
  <c r="N124"/>
  <c r="N123"/>
  <c r="N122"/>
  <c r="N121"/>
  <c r="N120"/>
  <c r="N119"/>
  <c r="N118"/>
  <c r="N117"/>
  <c r="L124"/>
  <c r="L123"/>
  <c r="L122"/>
  <c r="L120"/>
  <c r="L118"/>
  <c r="L117"/>
  <c r="O183" l="1"/>
  <c r="O134"/>
  <c r="O133"/>
  <c r="O135"/>
  <c r="O117"/>
  <c r="O179"/>
  <c r="O187"/>
  <c r="O177"/>
  <c r="O118"/>
  <c r="O180"/>
  <c r="O188"/>
  <c r="O181"/>
  <c r="O189"/>
  <c r="O193"/>
  <c r="O182"/>
  <c r="O190"/>
  <c r="O185"/>
  <c r="O191"/>
  <c r="O137"/>
  <c r="O121"/>
  <c r="O119"/>
  <c r="O122"/>
  <c r="O120"/>
  <c r="M83"/>
  <c r="N62"/>
  <c r="O62" s="1"/>
  <c r="N61"/>
  <c r="O61" s="1"/>
  <c r="N60"/>
  <c r="O60" s="1"/>
  <c r="N56"/>
  <c r="O56" s="1"/>
  <c r="N49"/>
  <c r="O49" s="1"/>
  <c r="N48"/>
  <c r="O48" s="1"/>
  <c r="J8"/>
  <c r="K8"/>
  <c r="L8" s="1"/>
  <c r="N8"/>
  <c r="J9"/>
  <c r="K9"/>
  <c r="L9"/>
  <c r="N9"/>
  <c r="J10"/>
  <c r="K10"/>
  <c r="L10" s="1"/>
  <c r="M10"/>
  <c r="N10" s="1"/>
  <c r="J11"/>
  <c r="K11"/>
  <c r="L11"/>
  <c r="M11"/>
  <c r="N11"/>
  <c r="J12"/>
  <c r="K12"/>
  <c r="L12" s="1"/>
  <c r="N12"/>
  <c r="J13"/>
  <c r="K13"/>
  <c r="L13" s="1"/>
  <c r="N13"/>
  <c r="J14"/>
  <c r="K14"/>
  <c r="L14"/>
  <c r="N14"/>
  <c r="J15"/>
  <c r="K15"/>
  <c r="L15" s="1"/>
  <c r="M15"/>
  <c r="N15" s="1"/>
  <c r="J16"/>
  <c r="K16"/>
  <c r="L16"/>
  <c r="N16"/>
  <c r="J17"/>
  <c r="K17"/>
  <c r="L17" s="1"/>
  <c r="M17"/>
  <c r="N17" s="1"/>
  <c r="J18"/>
  <c r="K18"/>
  <c r="L18" s="1"/>
  <c r="N18"/>
  <c r="J19"/>
  <c r="K19"/>
  <c r="L19" s="1"/>
  <c r="N19"/>
  <c r="J20"/>
  <c r="K20"/>
  <c r="L20"/>
  <c r="N20"/>
  <c r="J21"/>
  <c r="K21"/>
  <c r="L21" s="1"/>
  <c r="N21"/>
  <c r="J23"/>
  <c r="K23"/>
  <c r="L23" s="1"/>
  <c r="N23"/>
  <c r="J24"/>
  <c r="K24"/>
  <c r="L24"/>
  <c r="N24"/>
  <c r="J25"/>
  <c r="K25"/>
  <c r="L25" s="1"/>
  <c r="N25"/>
  <c r="J26"/>
  <c r="K26"/>
  <c r="L26" s="1"/>
  <c r="M26"/>
  <c r="N26" s="1"/>
  <c r="J27"/>
  <c r="K27"/>
  <c r="L27" s="1"/>
  <c r="N27"/>
  <c r="J28"/>
  <c r="K28"/>
  <c r="L28"/>
  <c r="M28"/>
  <c r="N28"/>
  <c r="J29"/>
  <c r="K29"/>
  <c r="L29"/>
  <c r="N29"/>
  <c r="J30"/>
  <c r="K30"/>
  <c r="L30" s="1"/>
  <c r="N30"/>
  <c r="J31"/>
  <c r="K31"/>
  <c r="L31" s="1"/>
  <c r="M31"/>
  <c r="N31" s="1"/>
  <c r="J32"/>
  <c r="K32"/>
  <c r="L32" s="1"/>
  <c r="M32"/>
  <c r="N32" s="1"/>
  <c r="J33"/>
  <c r="K33"/>
  <c r="L33" s="1"/>
  <c r="N33"/>
  <c r="J34"/>
  <c r="K34"/>
  <c r="L34" s="1"/>
  <c r="N34"/>
  <c r="J35"/>
  <c r="K35"/>
  <c r="L35" s="1"/>
  <c r="M35"/>
  <c r="N35" s="1"/>
  <c r="J36"/>
  <c r="K36"/>
  <c r="L36" s="1"/>
  <c r="M36"/>
  <c r="N36" s="1"/>
  <c r="J37"/>
  <c r="K37"/>
  <c r="L37"/>
  <c r="N37"/>
  <c r="J38"/>
  <c r="K38"/>
  <c r="L38" s="1"/>
  <c r="M38"/>
  <c r="N38" s="1"/>
  <c r="J39"/>
  <c r="K39"/>
  <c r="L39" s="1"/>
  <c r="M39"/>
  <c r="N39"/>
  <c r="J40"/>
  <c r="K40"/>
  <c r="L40"/>
  <c r="M40"/>
  <c r="N40"/>
  <c r="J41"/>
  <c r="K41"/>
  <c r="L41"/>
  <c r="M41"/>
  <c r="N41" s="1"/>
  <c r="J42"/>
  <c r="K42"/>
  <c r="L42" s="1"/>
  <c r="M42"/>
  <c r="N42" s="1"/>
  <c r="J43"/>
  <c r="K43"/>
  <c r="L43" s="1"/>
  <c r="M43"/>
  <c r="N43" s="1"/>
  <c r="J44"/>
  <c r="K44"/>
  <c r="L44" s="1"/>
  <c r="N44"/>
  <c r="J45"/>
  <c r="K45"/>
  <c r="L45" s="1"/>
  <c r="M45"/>
  <c r="N45" s="1"/>
  <c r="J46"/>
  <c r="K46"/>
  <c r="L46" s="1"/>
  <c r="M46"/>
  <c r="N46" s="1"/>
  <c r="J47"/>
  <c r="K47"/>
  <c r="L47" s="1"/>
  <c r="M47"/>
  <c r="N47" s="1"/>
  <c r="J48"/>
  <c r="J49"/>
  <c r="J50"/>
  <c r="K50"/>
  <c r="L50" s="1"/>
  <c r="M50"/>
  <c r="N50" s="1"/>
  <c r="J51"/>
  <c r="K51"/>
  <c r="L51" s="1"/>
  <c r="M51"/>
  <c r="N51" s="1"/>
  <c r="J52"/>
  <c r="K52"/>
  <c r="L52" s="1"/>
  <c r="M52"/>
  <c r="N52" s="1"/>
  <c r="O52" s="1"/>
  <c r="J53"/>
  <c r="K53"/>
  <c r="L53" s="1"/>
  <c r="M53"/>
  <c r="N53" s="1"/>
  <c r="J54"/>
  <c r="K54"/>
  <c r="L54" s="1"/>
  <c r="M54"/>
  <c r="N54" s="1"/>
  <c r="J55"/>
  <c r="K55"/>
  <c r="L55" s="1"/>
  <c r="N55"/>
  <c r="J56"/>
  <c r="J57"/>
  <c r="K57"/>
  <c r="L57" s="1"/>
  <c r="M57"/>
  <c r="N57" s="1"/>
  <c r="J58"/>
  <c r="K58"/>
  <c r="L58" s="1"/>
  <c r="M58"/>
  <c r="N58" s="1"/>
  <c r="J59"/>
  <c r="K59"/>
  <c r="L59"/>
  <c r="M59"/>
  <c r="N59" s="1"/>
  <c r="J60"/>
  <c r="J61"/>
  <c r="J62"/>
  <c r="J63"/>
  <c r="K63"/>
  <c r="L63" s="1"/>
  <c r="M63"/>
  <c r="N63" s="1"/>
  <c r="J64"/>
  <c r="K64"/>
  <c r="L64" s="1"/>
  <c r="M64"/>
  <c r="N64" s="1"/>
  <c r="J65"/>
  <c r="K65"/>
  <c r="L65" s="1"/>
  <c r="M65"/>
  <c r="N65" s="1"/>
  <c r="J66"/>
  <c r="K66"/>
  <c r="L66" s="1"/>
  <c r="N66"/>
  <c r="J67"/>
  <c r="K67"/>
  <c r="L67" s="1"/>
  <c r="N67"/>
  <c r="J68"/>
  <c r="K68"/>
  <c r="L68" s="1"/>
  <c r="N68"/>
  <c r="O68" s="1"/>
  <c r="J69"/>
  <c r="K69"/>
  <c r="L69" s="1"/>
  <c r="N69"/>
  <c r="J70"/>
  <c r="K70"/>
  <c r="L70" s="1"/>
  <c r="N70"/>
  <c r="J71"/>
  <c r="K71"/>
  <c r="L71" s="1"/>
  <c r="M71"/>
  <c r="N71" s="1"/>
  <c r="J72"/>
  <c r="K72"/>
  <c r="L72" s="1"/>
  <c r="N72"/>
  <c r="J73"/>
  <c r="K73"/>
  <c r="L73" s="1"/>
  <c r="N73"/>
  <c r="J74"/>
  <c r="K74"/>
  <c r="L74" s="1"/>
  <c r="N74"/>
  <c r="J75"/>
  <c r="K75"/>
  <c r="L75" s="1"/>
  <c r="N75"/>
  <c r="J76"/>
  <c r="K76"/>
  <c r="L76" s="1"/>
  <c r="M76"/>
  <c r="N76"/>
  <c r="J77"/>
  <c r="K77"/>
  <c r="L77" s="1"/>
  <c r="N77"/>
  <c r="J78"/>
  <c r="H79"/>
  <c r="J80"/>
  <c r="K80"/>
  <c r="L80" s="1"/>
  <c r="M80"/>
  <c r="N80" s="1"/>
  <c r="J81"/>
  <c r="K81"/>
  <c r="L81" s="1"/>
  <c r="M81"/>
  <c r="N81"/>
  <c r="J82"/>
  <c r="K82"/>
  <c r="L82"/>
  <c r="M82"/>
  <c r="N82" s="1"/>
  <c r="O82" s="1"/>
  <c r="J83"/>
  <c r="K83"/>
  <c r="L83" s="1"/>
  <c r="N83"/>
  <c r="J84"/>
  <c r="K84"/>
  <c r="L84" s="1"/>
  <c r="M84"/>
  <c r="N84" s="1"/>
  <c r="J85"/>
  <c r="K85"/>
  <c r="L85" s="1"/>
  <c r="N85"/>
  <c r="J86"/>
  <c r="K86"/>
  <c r="L86" s="1"/>
  <c r="N86"/>
  <c r="J87"/>
  <c r="H88"/>
  <c r="J89"/>
  <c r="K89"/>
  <c r="L89" s="1"/>
  <c r="M89"/>
  <c r="N89"/>
  <c r="J90"/>
  <c r="K90"/>
  <c r="L90" s="1"/>
  <c r="M90"/>
  <c r="N90" s="1"/>
  <c r="J91"/>
  <c r="L91"/>
  <c r="N91"/>
  <c r="J92"/>
  <c r="L92"/>
  <c r="N92"/>
  <c r="J93"/>
  <c r="M93"/>
  <c r="N93" s="1"/>
  <c r="K93"/>
  <c r="L93" s="1"/>
  <c r="J94"/>
  <c r="K94"/>
  <c r="L94" s="1"/>
  <c r="M94"/>
  <c r="N94" s="1"/>
  <c r="J95"/>
  <c r="H96"/>
  <c r="J97"/>
  <c r="K97"/>
  <c r="L97" s="1"/>
  <c r="M97"/>
  <c r="N97" s="1"/>
  <c r="J98"/>
  <c r="M98"/>
  <c r="N98"/>
  <c r="K98"/>
  <c r="L98" s="1"/>
  <c r="J99"/>
  <c r="K99"/>
  <c r="L99" s="1"/>
  <c r="M99"/>
  <c r="N99" s="1"/>
  <c r="J100"/>
  <c r="K100"/>
  <c r="L100" s="1"/>
  <c r="M100"/>
  <c r="N100"/>
  <c r="J101"/>
  <c r="K101"/>
  <c r="L101" s="1"/>
  <c r="M101"/>
  <c r="N101"/>
  <c r="J102"/>
  <c r="L102"/>
  <c r="N102"/>
  <c r="J103"/>
  <c r="H104"/>
  <c r="J105"/>
  <c r="L105"/>
  <c r="N105"/>
  <c r="J106"/>
  <c r="L106"/>
  <c r="N106"/>
  <c r="O106" s="1"/>
  <c r="J107"/>
  <c r="N107"/>
  <c r="L107"/>
  <c r="J108"/>
  <c r="L108"/>
  <c r="N108"/>
  <c r="J109"/>
  <c r="L109"/>
  <c r="N109"/>
  <c r="J110"/>
  <c r="L110"/>
  <c r="N110"/>
  <c r="J111"/>
  <c r="L111"/>
  <c r="N111"/>
  <c r="J112"/>
  <c r="L112"/>
  <c r="N112"/>
  <c r="J113"/>
  <c r="L113"/>
  <c r="N113"/>
  <c r="J114"/>
  <c r="K114"/>
  <c r="L114"/>
  <c r="M114"/>
  <c r="N114" s="1"/>
  <c r="J115"/>
  <c r="K115"/>
  <c r="L115" s="1"/>
  <c r="M115"/>
  <c r="N115" s="1"/>
  <c r="J116"/>
  <c r="L116"/>
  <c r="N116"/>
  <c r="J117"/>
  <c r="J118"/>
  <c r="J119"/>
  <c r="J120"/>
  <c r="J121"/>
  <c r="J122"/>
  <c r="J123"/>
  <c r="O123"/>
  <c r="J124"/>
  <c r="O124"/>
  <c r="J125"/>
  <c r="K125"/>
  <c r="L125" s="1"/>
  <c r="J126"/>
  <c r="J127"/>
  <c r="O127"/>
  <c r="J128"/>
  <c r="O128"/>
  <c r="J129"/>
  <c r="J130"/>
  <c r="K130"/>
  <c r="L130" s="1"/>
  <c r="M130"/>
  <c r="N130" s="1"/>
  <c r="J131"/>
  <c r="H132"/>
  <c r="J133"/>
  <c r="J134"/>
  <c r="J135"/>
  <c r="J136"/>
  <c r="J137"/>
  <c r="J138"/>
  <c r="K138"/>
  <c r="L138"/>
  <c r="M138"/>
  <c r="N138" s="1"/>
  <c r="J139"/>
  <c r="K139"/>
  <c r="L139" s="1"/>
  <c r="M139"/>
  <c r="N139"/>
  <c r="J140"/>
  <c r="K140"/>
  <c r="L140" s="1"/>
  <c r="M140"/>
  <c r="N140" s="1"/>
  <c r="J141"/>
  <c r="K141"/>
  <c r="L141" s="1"/>
  <c r="M141"/>
  <c r="N141" s="1"/>
  <c r="J142"/>
  <c r="K142"/>
  <c r="L142" s="1"/>
  <c r="M142"/>
  <c r="N142" s="1"/>
  <c r="J143"/>
  <c r="K143"/>
  <c r="L143" s="1"/>
  <c r="M143"/>
  <c r="N143"/>
  <c r="J144"/>
  <c r="K144"/>
  <c r="L144"/>
  <c r="N144"/>
  <c r="J145"/>
  <c r="L145"/>
  <c r="N145"/>
  <c r="J146"/>
  <c r="L146"/>
  <c r="N146"/>
  <c r="J147"/>
  <c r="K147"/>
  <c r="L147" s="1"/>
  <c r="N147"/>
  <c r="J148"/>
  <c r="H149"/>
  <c r="J150"/>
  <c r="K150"/>
  <c r="L150" s="1"/>
  <c r="M150"/>
  <c r="N150" s="1"/>
  <c r="J151"/>
  <c r="K151"/>
  <c r="L151" s="1"/>
  <c r="M151"/>
  <c r="N151" s="1"/>
  <c r="J152"/>
  <c r="K152"/>
  <c r="L152"/>
  <c r="M152"/>
  <c r="N152" s="1"/>
  <c r="J153"/>
  <c r="K153"/>
  <c r="L153"/>
  <c r="M153"/>
  <c r="N153" s="1"/>
  <c r="J154"/>
  <c r="K154"/>
  <c r="L154" s="1"/>
  <c r="M154"/>
  <c r="N154"/>
  <c r="J155"/>
  <c r="K155"/>
  <c r="L155" s="1"/>
  <c r="M155"/>
  <c r="N155" s="1"/>
  <c r="J156"/>
  <c r="K156"/>
  <c r="L156" s="1"/>
  <c r="M156"/>
  <c r="N156" s="1"/>
  <c r="J157"/>
  <c r="K157"/>
  <c r="L157" s="1"/>
  <c r="N157"/>
  <c r="J158"/>
  <c r="K158"/>
  <c r="L158" s="1"/>
  <c r="N158"/>
  <c r="J159"/>
  <c r="K159"/>
  <c r="L159" s="1"/>
  <c r="N159"/>
  <c r="J160"/>
  <c r="H161"/>
  <c r="J162"/>
  <c r="L162"/>
  <c r="M162"/>
  <c r="N162" s="1"/>
  <c r="J163"/>
  <c r="L163"/>
  <c r="N163"/>
  <c r="J164"/>
  <c r="L164"/>
  <c r="M164"/>
  <c r="N164" s="1"/>
  <c r="J165"/>
  <c r="H166"/>
  <c r="J167"/>
  <c r="L167"/>
  <c r="N167"/>
  <c r="O167"/>
  <c r="J168"/>
  <c r="L168"/>
  <c r="N168"/>
  <c r="O168"/>
  <c r="J169"/>
  <c r="L169"/>
  <c r="O169" s="1"/>
  <c r="N169"/>
  <c r="J170"/>
  <c r="L170"/>
  <c r="N170"/>
  <c r="O170"/>
  <c r="J171"/>
  <c r="L171"/>
  <c r="N171"/>
  <c r="O171"/>
  <c r="J172"/>
  <c r="L172"/>
  <c r="N172"/>
  <c r="J173"/>
  <c r="K173"/>
  <c r="L173" s="1"/>
  <c r="O173" s="1"/>
  <c r="M173"/>
  <c r="N173"/>
  <c r="J174"/>
  <c r="H175"/>
  <c r="J176"/>
  <c r="L176"/>
  <c r="N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L194"/>
  <c r="N194"/>
  <c r="J195"/>
  <c r="L195"/>
  <c r="N195"/>
  <c r="J196"/>
  <c r="L196"/>
  <c r="N196"/>
  <c r="J197"/>
  <c r="L197"/>
  <c r="N197"/>
  <c r="J198"/>
  <c r="L198"/>
  <c r="N198"/>
  <c r="J199"/>
  <c r="L199"/>
  <c r="N199"/>
  <c r="J200"/>
  <c r="L200"/>
  <c r="N200"/>
  <c r="O200" s="1"/>
  <c r="J201"/>
  <c r="L201"/>
  <c r="N201"/>
  <c r="L202"/>
  <c r="M202"/>
  <c r="N202"/>
  <c r="J203"/>
  <c r="H204"/>
  <c r="J205"/>
  <c r="K205"/>
  <c r="L205" s="1"/>
  <c r="M205"/>
  <c r="N205" s="1"/>
  <c r="J206"/>
  <c r="K206"/>
  <c r="L206"/>
  <c r="N206"/>
  <c r="J207"/>
  <c r="K207"/>
  <c r="L207" s="1"/>
  <c r="N207"/>
  <c r="J208"/>
  <c r="K208"/>
  <c r="L208" s="1"/>
  <c r="N208"/>
  <c r="J209"/>
  <c r="K209"/>
  <c r="L209" s="1"/>
  <c r="N209"/>
  <c r="J210"/>
  <c r="K210"/>
  <c r="L210" s="1"/>
  <c r="N210"/>
  <c r="J211"/>
  <c r="K211"/>
  <c r="L211" s="1"/>
  <c r="N211"/>
  <c r="J212"/>
  <c r="K212"/>
  <c r="L212" s="1"/>
  <c r="M212"/>
  <c r="N212" s="1"/>
  <c r="J213"/>
  <c r="O64" l="1"/>
  <c r="O142"/>
  <c r="O144"/>
  <c r="O114"/>
  <c r="O44"/>
  <c r="O23"/>
  <c r="S23" s="1"/>
  <c r="O8"/>
  <c r="O29"/>
  <c r="O12"/>
  <c r="O157"/>
  <c r="O72"/>
  <c r="O16"/>
  <c r="O210"/>
  <c r="O130"/>
  <c r="O33"/>
  <c r="S33" s="1"/>
  <c r="O176"/>
  <c r="O158"/>
  <c r="O24"/>
  <c r="S24" s="1"/>
  <c r="O172"/>
  <c r="O174" s="1"/>
  <c r="O97"/>
  <c r="O59"/>
  <c r="O41"/>
  <c r="O37"/>
  <c r="O26"/>
  <c r="S26" s="1"/>
  <c r="O20"/>
  <c r="S20" s="1"/>
  <c r="O212"/>
  <c r="O153"/>
  <c r="O207"/>
  <c r="O206"/>
  <c r="O198"/>
  <c r="O211"/>
  <c r="O208"/>
  <c r="L165"/>
  <c r="O159"/>
  <c r="O150"/>
  <c r="O138"/>
  <c r="O75"/>
  <c r="O40"/>
  <c r="O36"/>
  <c r="O34"/>
  <c r="O31"/>
  <c r="O27"/>
  <c r="S27" s="1"/>
  <c r="N213"/>
  <c r="O55"/>
  <c r="O162"/>
  <c r="O141"/>
  <c r="O13"/>
  <c r="O156"/>
  <c r="O46"/>
  <c r="O42"/>
  <c r="O143"/>
  <c r="O115"/>
  <c r="O74"/>
  <c r="O67"/>
  <c r="O9"/>
  <c r="O101"/>
  <c r="O201"/>
  <c r="O197"/>
  <c r="O195"/>
  <c r="O110"/>
  <c r="O89"/>
  <c r="O71"/>
  <c r="O65"/>
  <c r="O53"/>
  <c r="O25"/>
  <c r="S25" s="1"/>
  <c r="O11"/>
  <c r="O199"/>
  <c r="O14"/>
  <c r="O76"/>
  <c r="O35"/>
  <c r="O32"/>
  <c r="O30"/>
  <c r="S30" s="1"/>
  <c r="O99"/>
  <c r="O57"/>
  <c r="O54"/>
  <c r="O10"/>
  <c r="O196"/>
  <c r="O164"/>
  <c r="O70"/>
  <c r="O45"/>
  <c r="O38"/>
  <c r="O21"/>
  <c r="O17"/>
  <c r="O152"/>
  <c r="O202"/>
  <c r="N174"/>
  <c r="O58"/>
  <c r="O15"/>
  <c r="N165"/>
  <c r="O163"/>
  <c r="O147"/>
  <c r="O146"/>
  <c r="O145"/>
  <c r="O116"/>
  <c r="O111"/>
  <c r="O108"/>
  <c r="N131"/>
  <c r="O102"/>
  <c r="O205"/>
  <c r="O194"/>
  <c r="N203"/>
  <c r="O112"/>
  <c r="O90"/>
  <c r="L174"/>
  <c r="N160"/>
  <c r="O151"/>
  <c r="L160"/>
  <c r="O73"/>
  <c r="O209"/>
  <c r="N148"/>
  <c r="O125"/>
  <c r="O47"/>
  <c r="O43"/>
  <c r="O51"/>
  <c r="O155"/>
  <c r="O140"/>
  <c r="O81"/>
  <c r="O50"/>
  <c r="O28"/>
  <c r="S28" s="1"/>
  <c r="O19"/>
  <c r="S19" s="1"/>
  <c r="O94"/>
  <c r="O154"/>
  <c r="O139"/>
  <c r="O109"/>
  <c r="O105"/>
  <c r="O85"/>
  <c r="O66"/>
  <c r="O113"/>
  <c r="O39"/>
  <c r="L203"/>
  <c r="O92"/>
  <c r="O100"/>
  <c r="N103"/>
  <c r="N95"/>
  <c r="O91"/>
  <c r="O80"/>
  <c r="L87"/>
  <c r="O84"/>
  <c r="O86"/>
  <c r="N87"/>
  <c r="O83"/>
  <c r="O77"/>
  <c r="O69"/>
  <c r="O63"/>
  <c r="N78"/>
  <c r="O18"/>
  <c r="O98"/>
  <c r="L103"/>
  <c r="O107"/>
  <c r="L131"/>
  <c r="O93"/>
  <c r="L95"/>
  <c r="L213"/>
  <c r="L148"/>
  <c r="L78"/>
  <c r="O148" l="1"/>
  <c r="O165"/>
  <c r="O203"/>
  <c r="O103"/>
  <c r="O78"/>
  <c r="O160"/>
  <c r="O95"/>
  <c r="O131"/>
  <c r="O213"/>
  <c r="O87"/>
  <c r="H23" i="2" l="1"/>
  <c r="I23"/>
  <c r="K23" l="1"/>
  <c r="P31" l="1"/>
  <c r="P32" l="1"/>
  <c r="H31"/>
  <c r="D31" l="1"/>
  <c r="D29"/>
  <c r="D27"/>
  <c r="D26"/>
  <c r="D25"/>
  <c r="D24"/>
  <c r="D22"/>
  <c r="D21"/>
  <c r="H30" l="1"/>
  <c r="C20"/>
  <c r="J14"/>
  <c r="K8"/>
  <c r="D14" i="1"/>
  <c r="I27" i="2" l="1"/>
  <c r="H29"/>
  <c r="I28"/>
  <c r="H27"/>
  <c r="I30"/>
  <c r="I24" l="1"/>
  <c r="K27"/>
  <c r="I26"/>
  <c r="H26"/>
  <c r="I22"/>
  <c r="H22"/>
  <c r="H24"/>
  <c r="I29" l="1"/>
  <c r="K29" s="1"/>
  <c r="K30"/>
  <c r="H28"/>
  <c r="K28" s="1"/>
  <c r="I25"/>
  <c r="H25"/>
  <c r="H7"/>
  <c r="H13" s="1"/>
  <c r="K26"/>
  <c r="K24"/>
  <c r="K22"/>
  <c r="I21"/>
  <c r="H21"/>
  <c r="K25" l="1"/>
  <c r="H32"/>
  <c r="K21"/>
  <c r="H14" l="1"/>
  <c r="K7" l="1"/>
  <c r="I7"/>
  <c r="K9" l="1"/>
  <c r="I31"/>
  <c r="I13"/>
  <c r="I14" l="1"/>
  <c r="K13"/>
  <c r="K14" s="1"/>
  <c r="K16" s="1"/>
  <c r="K19" s="1"/>
  <c r="E18" i="1" s="1"/>
  <c r="D16" s="1"/>
  <c r="K31" i="2"/>
  <c r="K32" s="1"/>
  <c r="I32"/>
</calcChain>
</file>

<file path=xl/sharedStrings.xml><?xml version="1.0" encoding="utf-8"?>
<sst xmlns="http://schemas.openxmlformats.org/spreadsheetml/2006/main" count="1024" uniqueCount="797">
  <si>
    <t>(</t>
  </si>
  <si>
    <t>계약확정 서명란</t>
    <phoneticPr fontId="3" type="noConversion"/>
  </si>
  <si>
    <t>천장목공</t>
    <phoneticPr fontId="3" type="noConversion"/>
  </si>
  <si>
    <t>비    고</t>
    <phoneticPr fontId="13" type="noConversion"/>
  </si>
  <si>
    <t>노무비</t>
    <phoneticPr fontId="3" type="noConversion"/>
  </si>
  <si>
    <t>경비</t>
    <phoneticPr fontId="3" type="noConversion"/>
  </si>
  <si>
    <t>합계</t>
    <phoneticPr fontId="3" type="noConversion"/>
  </si>
  <si>
    <t>1</t>
    <phoneticPr fontId="6" type="noConversion"/>
  </si>
  <si>
    <t>기본공사비</t>
    <phoneticPr fontId="3" type="noConversion"/>
  </si>
  <si>
    <t>가</t>
    <phoneticPr fontId="6" type="noConversion"/>
  </si>
  <si>
    <t>기본공사비</t>
    <phoneticPr fontId="6" type="noConversion"/>
  </si>
  <si>
    <t>공사관리비</t>
    <phoneticPr fontId="3" type="noConversion"/>
  </si>
  <si>
    <t>SUB-TOTAL</t>
  </si>
  <si>
    <t>2</t>
    <phoneticPr fontId="6" type="noConversion"/>
  </si>
  <si>
    <t>간접공사비</t>
  </si>
  <si>
    <t>산재/고용보험료</t>
    <phoneticPr fontId="3" type="noConversion"/>
  </si>
  <si>
    <t>노무비의 4.67%</t>
    <phoneticPr fontId="6" type="noConversion"/>
  </si>
  <si>
    <t>%</t>
  </si>
  <si>
    <t>공과잡비</t>
    <phoneticPr fontId="3" type="noConversion"/>
  </si>
  <si>
    <t>T O T A L</t>
  </si>
  <si>
    <t>단수 조정</t>
  </si>
  <si>
    <t>가</t>
    <phoneticPr fontId="6" type="noConversion"/>
  </si>
  <si>
    <t>1</t>
    <phoneticPr fontId="6" type="noConversion"/>
  </si>
  <si>
    <t>LOT</t>
  </si>
  <si>
    <t>2</t>
  </si>
  <si>
    <t>4</t>
    <phoneticPr fontId="3" type="noConversion"/>
  </si>
  <si>
    <t>10</t>
    <phoneticPr fontId="3" type="noConversion"/>
  </si>
  <si>
    <t>합   계</t>
    <phoneticPr fontId="6" type="noConversion"/>
  </si>
  <si>
    <t>항              목</t>
    <phoneticPr fontId="6" type="noConversion"/>
  </si>
  <si>
    <t>오더번호</t>
    <phoneticPr fontId="3" type="noConversion"/>
  </si>
  <si>
    <t>비  고</t>
    <phoneticPr fontId="3" type="noConversion"/>
  </si>
  <si>
    <t>노  무  비</t>
  </si>
  <si>
    <t>단가</t>
    <phoneticPr fontId="3" type="noConversion"/>
  </si>
  <si>
    <t>계</t>
    <phoneticPr fontId="3" type="noConversion"/>
  </si>
  <si>
    <t>t</t>
    <phoneticPr fontId="3" type="noConversion"/>
  </si>
  <si>
    <t>EA</t>
  </si>
  <si>
    <t>M</t>
  </si>
  <si>
    <t>㎡</t>
    <phoneticPr fontId="3" type="noConversion"/>
  </si>
  <si>
    <t>- 전용면적 기준</t>
    <phoneticPr fontId="3" type="noConversion"/>
  </si>
  <si>
    <t>- 방1개기준</t>
  </si>
  <si>
    <t>set</t>
  </si>
  <si>
    <t>평</t>
  </si>
  <si>
    <t>소   계</t>
    <phoneticPr fontId="6" type="noConversion"/>
  </si>
  <si>
    <t>- 엑셀 + 미장 +단열 33t(벽, 천장) + 석고1p</t>
  </si>
  <si>
    <t>- 창호 1틀기준 1실, 수평몰탈, 거실 분합창 수평 기준</t>
  </si>
  <si>
    <t>- 세탁기단차 70mm 높이 기준</t>
    <phoneticPr fontId="3" type="noConversion"/>
  </si>
  <si>
    <t>소   계</t>
    <phoneticPr fontId="6" type="noConversion"/>
  </si>
  <si>
    <t>- 열반사 단열재 + 각재 30t + 석고보드2p</t>
  </si>
  <si>
    <t>- 열반사 단열재 + 아이소핑크 10t + 각재 30t + 석고보드2p</t>
  </si>
  <si>
    <t>- 열반사 단열재 + 아이소핑크 30t + 각재 30t + 석고보드2p</t>
  </si>
  <si>
    <t>- 열반사 단열재 + 각재 30t + 방수석고2p</t>
  </si>
  <si>
    <t>- 열반사 단열재 + 아이소핑크 30t + 각재 30t + 방수석고2p</t>
  </si>
  <si>
    <t>- 벽체신설 (중문파티션 포함)</t>
  </si>
  <si>
    <t>- 터닝도어 1개소당 (배수관 목공 포함)</t>
  </si>
  <si>
    <t>- 폴딩도어 1개소당</t>
  </si>
  <si>
    <t>- 창틀 시공비 별도</t>
  </si>
  <si>
    <t>소   계</t>
    <phoneticPr fontId="6" type="noConversion"/>
  </si>
  <si>
    <t>- 우물천장 메인등</t>
  </si>
  <si>
    <t>- 매립형 우물천장 간접조명</t>
  </si>
  <si>
    <t>- 매립형 등박스 간접조명</t>
  </si>
  <si>
    <t>- 돌출형 등박스 간접조명</t>
  </si>
  <si>
    <t>- 3m X 1.2m 기준</t>
    <phoneticPr fontId="3" type="noConversion"/>
  </si>
  <si>
    <t>소   계</t>
    <phoneticPr fontId="6" type="noConversion"/>
  </si>
  <si>
    <t>소   계</t>
    <phoneticPr fontId="6" type="noConversion"/>
  </si>
  <si>
    <t>기타항목 기입</t>
  </si>
  <si>
    <t>추가 사항 세부 내용 기입</t>
    <phoneticPr fontId="3" type="noConversion"/>
  </si>
  <si>
    <t>EA</t>
    <phoneticPr fontId="3" type="noConversion"/>
  </si>
  <si>
    <t>- 우물천장 + MDF몰딩, 필름시공비 별도 [3.5m x 3.5m 기준]</t>
    <phoneticPr fontId="3" type="noConversion"/>
  </si>
  <si>
    <t>- 우물천장 간접조명형[3.5m x 3.5m 기준]</t>
    <phoneticPr fontId="3" type="noConversion"/>
  </si>
  <si>
    <t>- 간접조명형 [3.5m, 사전철거 기준]</t>
    <phoneticPr fontId="3" type="noConversion"/>
  </si>
  <si>
    <t>- 이노실링 기준 [3.5m, 사전철거 기준]</t>
    <phoneticPr fontId="3" type="noConversion"/>
  </si>
  <si>
    <t xml:space="preserve">재료비 </t>
    <phoneticPr fontId="3" type="noConversion"/>
  </si>
  <si>
    <t xml:space="preserve">노무비 </t>
    <phoneticPr fontId="3" type="noConversion"/>
  </si>
  <si>
    <t>총계</t>
    <phoneticPr fontId="3" type="noConversion"/>
  </si>
  <si>
    <t>JOB
NO</t>
    <phoneticPr fontId="13" type="noConversion"/>
  </si>
  <si>
    <t>별첨 명세와 같이 견적합니다. / We are pleased to submit you our estimate as specified on attached sheet(s).</t>
    <phoneticPr fontId="6" type="noConversion"/>
  </si>
  <si>
    <r>
      <t>견적조건</t>
    </r>
    <r>
      <rPr>
        <sz val="16"/>
        <rFont val="-윤고딕310"/>
        <family val="1"/>
        <charset val="129"/>
      </rPr>
      <t>/Terms</t>
    </r>
    <phoneticPr fontId="6" type="noConversion"/>
  </si>
  <si>
    <r>
      <t>비  고</t>
    </r>
    <r>
      <rPr>
        <sz val="16"/>
        <rFont val="-윤고딕310"/>
        <family val="1"/>
        <charset val="129"/>
      </rPr>
      <t>/Remark</t>
    </r>
    <phoneticPr fontId="6" type="noConversion"/>
  </si>
  <si>
    <r>
      <t>제 출 처</t>
    </r>
    <r>
      <rPr>
        <sz val="16"/>
        <rFont val="-윤고딕310"/>
        <family val="1"/>
        <charset val="129"/>
      </rPr>
      <t>/To</t>
    </r>
    <phoneticPr fontId="6" type="noConversion"/>
  </si>
  <si>
    <r>
      <t>금 액</t>
    </r>
    <r>
      <rPr>
        <sz val="16"/>
        <rFont val="-윤고딕310"/>
        <family val="1"/>
        <charset val="129"/>
      </rPr>
      <t>/Amount</t>
    </r>
    <phoneticPr fontId="6" type="noConversion"/>
  </si>
  <si>
    <t>&lt;RH대리점용&gt;</t>
    <phoneticPr fontId="3" type="noConversion"/>
  </si>
  <si>
    <t>(인)</t>
    <phoneticPr fontId="3" type="noConversion"/>
  </si>
  <si>
    <t xml:space="preserve">RH대리점 : </t>
    <phoneticPr fontId="3" type="noConversion"/>
  </si>
  <si>
    <t xml:space="preserve">한샘관리자 : </t>
    <phoneticPr fontId="3" type="noConversion"/>
  </si>
  <si>
    <r>
      <t>견 적 일 자</t>
    </r>
    <r>
      <rPr>
        <sz val="16"/>
        <rFont val="-윤고딕310"/>
        <family val="1"/>
        <charset val="129"/>
      </rPr>
      <t>/Date</t>
    </r>
    <phoneticPr fontId="6" type="noConversion"/>
  </si>
  <si>
    <t xml:space="preserve">담당 RD : </t>
    <phoneticPr fontId="3" type="noConversion"/>
  </si>
  <si>
    <t xml:space="preserve">시공협력사 : </t>
    <phoneticPr fontId="3" type="noConversion"/>
  </si>
  <si>
    <t xml:space="preserve"> - 최초견적금액 공사완료여부 관계없이 해달월 DR부과 원칙</t>
    <phoneticPr fontId="3" type="noConversion"/>
  </si>
  <si>
    <t xml:space="preserve"> - 계약 확정 시 공사확정 서명란에 날인 후 한샘관리자에게 회신 원칙</t>
    <phoneticPr fontId="3" type="noConversion"/>
  </si>
  <si>
    <t xml:space="preserve"> - 현장실측 후 D+2일내 견적서 전달 원칙</t>
    <phoneticPr fontId="3" type="noConversion"/>
  </si>
  <si>
    <t>단위</t>
    <phoneticPr fontId="6" type="noConversion"/>
  </si>
  <si>
    <t>수량</t>
    <phoneticPr fontId="13" type="noConversion"/>
  </si>
  <si>
    <t>자재비</t>
    <phoneticPr fontId="3" type="noConversion"/>
  </si>
  <si>
    <t>자    재    비</t>
    <phoneticPr fontId="3" type="noConversion"/>
  </si>
  <si>
    <t>항목</t>
    <phoneticPr fontId="6" type="noConversion"/>
  </si>
  <si>
    <t>평</t>
    <phoneticPr fontId="3" type="noConversion"/>
  </si>
  <si>
    <t>총액</t>
    <phoneticPr fontId="3" type="noConversion"/>
  </si>
  <si>
    <t>JOB 
NO</t>
    <phoneticPr fontId="13" type="noConversion"/>
  </si>
  <si>
    <t>합   계</t>
    <phoneticPr fontId="6" type="noConversion"/>
  </si>
  <si>
    <t>소   계</t>
    <phoneticPr fontId="3" type="noConversion"/>
  </si>
  <si>
    <t>대표이사 :</t>
    <phoneticPr fontId="3" type="noConversion"/>
  </si>
  <si>
    <t>) 대리점 공급가 VAT 별도</t>
    <phoneticPr fontId="9" type="noConversion"/>
  </si>
  <si>
    <t>철거</t>
    <phoneticPr fontId="6" type="noConversion"/>
  </si>
  <si>
    <t>단열</t>
    <phoneticPr fontId="6" type="noConversion"/>
  </si>
  <si>
    <t>목공</t>
    <phoneticPr fontId="6" type="noConversion"/>
  </si>
  <si>
    <t>타일</t>
    <phoneticPr fontId="6" type="noConversion"/>
  </si>
  <si>
    <t>필름</t>
    <phoneticPr fontId="6" type="noConversion"/>
  </si>
  <si>
    <t>도배</t>
    <phoneticPr fontId="6" type="noConversion"/>
  </si>
  <si>
    <t>도장</t>
    <phoneticPr fontId="6" type="noConversion"/>
  </si>
  <si>
    <t>기타</t>
    <phoneticPr fontId="6" type="noConversion"/>
  </si>
  <si>
    <t>-</t>
    <phoneticPr fontId="3" type="noConversion"/>
  </si>
  <si>
    <t>기             준</t>
    <phoneticPr fontId="3" type="noConversion"/>
  </si>
  <si>
    <t>기준</t>
    <phoneticPr fontId="3" type="noConversion"/>
  </si>
  <si>
    <t>평</t>
    <phoneticPr fontId="3" type="noConversion"/>
  </si>
  <si>
    <t>set</t>
    <phoneticPr fontId="3" type="noConversion"/>
  </si>
  <si>
    <t>- 필름 대리점 별도 발주, 부자재 포함 기준</t>
    <phoneticPr fontId="3" type="noConversion"/>
  </si>
  <si>
    <t>- 평천장 조명 (MR16 5개 기준)</t>
    <phoneticPr fontId="3" type="noConversion"/>
  </si>
  <si>
    <r>
      <t>공 사 명</t>
    </r>
    <r>
      <rPr>
        <sz val="16"/>
        <rFont val="-윤고딕310"/>
        <family val="1"/>
        <charset val="129"/>
      </rPr>
      <t xml:space="preserve"> /Project</t>
    </r>
    <phoneticPr fontId="6" type="noConversion"/>
  </si>
  <si>
    <t xml:space="preserve"> 공 사 견 적 서 / ESTIMATE </t>
    <phoneticPr fontId="6" type="noConversion"/>
  </si>
  <si>
    <t>대리점 서명</t>
    <phoneticPr fontId="3" type="noConversion"/>
  </si>
  <si>
    <t>공사확정 서명란</t>
    <phoneticPr fontId="3" type="noConversion"/>
  </si>
  <si>
    <t>EA</t>
    <phoneticPr fontId="3" type="noConversion"/>
  </si>
  <si>
    <t>- 천장 조명 위치이동 등(천정만 해당)</t>
    <phoneticPr fontId="3" type="noConversion"/>
  </si>
  <si>
    <t xml:space="preserve"> - 한샘外공사 견적금액</t>
    <phoneticPr fontId="3" type="noConversion"/>
  </si>
  <si>
    <t xml:space="preserve"> - 현장상황에 따른 시공금액변동 가능</t>
    <phoneticPr fontId="3" type="noConversion"/>
  </si>
  <si>
    <t xml:space="preserve"> - 추가 작업 발생시 금액 사전 협의 후 진행 원칙</t>
    <phoneticPr fontId="3" type="noConversion"/>
  </si>
  <si>
    <t>- 1.5㎡ 기준</t>
    <phoneticPr fontId="3" type="noConversion"/>
  </si>
  <si>
    <t>-</t>
    <phoneticPr fontId="3" type="noConversion"/>
  </si>
  <si>
    <t>M</t>
    <phoneticPr fontId="3" type="noConversion"/>
  </si>
  <si>
    <t>- 벽체1면 상작업 및 석고보드 마감 [각재+석고보드2p기준]</t>
    <phoneticPr fontId="3" type="noConversion"/>
  </si>
  <si>
    <t>- 벽체1면 상작업 및 석고보드 마감 [각재+석고보드1p기준]</t>
    <phoneticPr fontId="3" type="noConversion"/>
  </si>
  <si>
    <t>- 한샘 평패키지 시공비 기준 / 자재는 대리점 발주 기준</t>
    <phoneticPr fontId="3" type="noConversion"/>
  </si>
  <si>
    <t>20,000/평</t>
    <phoneticPr fontId="3" type="noConversion"/>
  </si>
  <si>
    <t>대리점 지급단가의 4%</t>
    <phoneticPr fontId="3" type="noConversion"/>
  </si>
  <si>
    <t>EA</t>
    <phoneticPr fontId="3" type="noConversion"/>
  </si>
  <si>
    <t>- 발코니 보조주방 1세트기준</t>
    <phoneticPr fontId="3" type="noConversion"/>
  </si>
  <si>
    <t>- 벽박이장문틀, 문선, 문짝 철거 포함 도어1개기준/미장별도</t>
    <phoneticPr fontId="3" type="noConversion"/>
  </si>
  <si>
    <t>- 거실장 1m이하 기준/높이 850mm 이상 상하길이 적용(x2)</t>
    <phoneticPr fontId="3" type="noConversion"/>
  </si>
  <si>
    <t>- 1.5m이하 빌트인 화장대 기준(일반 화장대 기타 단품장 1만적용)</t>
    <phoneticPr fontId="3" type="noConversion"/>
  </si>
  <si>
    <t xml:space="preserve">- </t>
    <phoneticPr fontId="3" type="noConversion"/>
  </si>
  <si>
    <t>- 폴리싱타일 1평기준(최소진입비25만)/ex)10평의 경우 10ea수량발주</t>
    <phoneticPr fontId="3" type="noConversion"/>
  </si>
  <si>
    <t>- 데코타일 1평기준(최소진입비25만)/ex)25평의 경우 25ea수량발주</t>
    <phoneticPr fontId="3" type="noConversion"/>
  </si>
  <si>
    <t>- 방1개기준 / 이중장판시 2개 적용</t>
    <phoneticPr fontId="3" type="noConversion"/>
  </si>
  <si>
    <t>- 1틀기준 / 창호팀 철거 예외분만 해당 (확장시 선철거 필요)</t>
    <phoneticPr fontId="3" type="noConversion"/>
  </si>
  <si>
    <t>- 1평기준 / 공급면적평수 32평 = 32EA수량발주</t>
    <phoneticPr fontId="3" type="noConversion"/>
  </si>
  <si>
    <t>- 도어 문선철거 1개 기준</t>
    <phoneticPr fontId="3" type="noConversion"/>
  </si>
  <si>
    <t>- 우물천장 철거 1세트 기준</t>
    <phoneticPr fontId="3" type="noConversion"/>
  </si>
  <si>
    <t>- 등박스 목공철거 1세트 기준(사이즈무관)</t>
    <phoneticPr fontId="3" type="noConversion"/>
  </si>
  <si>
    <t>- 천장 전체철거(우물천장포함)1평당기준</t>
    <phoneticPr fontId="3" type="noConversion"/>
  </si>
  <si>
    <t>- 현관루버 철거 1m기준 / 하프의 경우 50% 적용/ 미장 작업포함</t>
    <phoneticPr fontId="3" type="noConversion"/>
  </si>
  <si>
    <t>- 목공칸막이, 날개벽철거(목공,석고보드,단열재포함) 높이2400mm이하, 1M기준</t>
    <phoneticPr fontId="3" type="noConversion"/>
  </si>
  <si>
    <t>- 벽박이 상단 하리 등 부분조적벽 1개 기준</t>
    <phoneticPr fontId="3" type="noConversion"/>
  </si>
  <si>
    <t>- 비내력 조적벽 1M기준/ 콘크리트 내력벽(옹벽) 철거 불가</t>
    <phoneticPr fontId="3" type="noConversion"/>
  </si>
  <si>
    <t>- 목공 아트월 1M기준/높이 2400mm 이하</t>
    <phoneticPr fontId="3" type="noConversion"/>
  </si>
  <si>
    <t>- 타일 아트월 1M기준/높이 2400mm 이하</t>
    <phoneticPr fontId="3" type="noConversion"/>
  </si>
  <si>
    <t>- 1평이하 철거 기준, 디딤석 포함</t>
    <phoneticPr fontId="3" type="noConversion"/>
  </si>
  <si>
    <t>- 주방 벽타일 철거 1M기준/ 높이 1200mm 이하</t>
    <phoneticPr fontId="3" type="noConversion"/>
  </si>
  <si>
    <t>- 현관타일 철거 미포함 / ex)현관타일 철거 1개 + 현관타일 단 낮춤 1개 = 10만</t>
    <phoneticPr fontId="3" type="noConversion"/>
  </si>
  <si>
    <t>- 욕실 욕조부 바닥 고뫄스</t>
    <phoneticPr fontId="3" type="noConversion"/>
  </si>
  <si>
    <t>- 욕실 전체 바닥 방수몰탈 기준, 미장포함</t>
    <phoneticPr fontId="3" type="noConversion"/>
  </si>
  <si>
    <t>- 급수관 냉, 온수 기존면 이동 기준/ 세면부 모음작업, 샤워부 높이조절 등</t>
    <phoneticPr fontId="3" type="noConversion"/>
  </si>
  <si>
    <t>- 바닥 배수 -&gt; 벽 배수 전환 / 철거, 매립 1개 기준</t>
    <phoneticPr fontId="3" type="noConversion"/>
  </si>
  <si>
    <t>- 욕실 A면 세면대부 조적젠다이 시공 1세트 기준</t>
    <phoneticPr fontId="3" type="noConversion"/>
  </si>
  <si>
    <t>- 욕실 A면 전체 조적젠다이 시공 1세트 기준</t>
    <phoneticPr fontId="3" type="noConversion"/>
  </si>
  <si>
    <t>- 조명/건조대/버티칼/거울류/블라인드/현관방충망 등 포함 1현장기준 1EA로 계산, 단품철거현장에서 발생시 개당 1만 적용</t>
    <phoneticPr fontId="3" type="noConversion"/>
  </si>
  <si>
    <t>- 실내외 엘리베이터 등 작업현장 보양 및 정리비용, 1현장 기준 1EA로 계산</t>
    <phoneticPr fontId="3" type="noConversion"/>
  </si>
  <si>
    <t>- 플로베니아 1800x900 바닥보양 1개 기준</t>
    <phoneticPr fontId="3" type="noConversion"/>
  </si>
  <si>
    <t>- 급수관 냉, 온수 기존면 이동 기준</t>
    <phoneticPr fontId="3" type="noConversion"/>
  </si>
  <si>
    <t>- 급수관 냉, 온수 1조 신설 1면 꺾음 기준</t>
    <phoneticPr fontId="3" type="noConversion"/>
  </si>
  <si>
    <t>- 급수관 냉, 온수 1조 신설 2면 꺾음 기준</t>
    <phoneticPr fontId="3" type="noConversion"/>
  </si>
  <si>
    <t>- 발코니 단올림 1실 기준/ 난방설비 미포함</t>
    <phoneticPr fontId="3" type="noConversion"/>
  </si>
  <si>
    <t>- 세탁기 단올림 1실 기준/ 70mm 표준높이</t>
    <phoneticPr fontId="3" type="noConversion"/>
  </si>
  <si>
    <t>설비</t>
    <phoneticPr fontId="6" type="noConversion"/>
  </si>
  <si>
    <t>확장</t>
    <phoneticPr fontId="6" type="noConversion"/>
  </si>
  <si>
    <t>3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</si>
  <si>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</si>
  <si>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</si>
  <si>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</si>
  <si>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</si>
  <si>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</si>
  <si>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11</t>
    <phoneticPr fontId="3" type="noConversion"/>
  </si>
  <si>
    <t>확장</t>
    <phoneticPr fontId="3" type="noConversion"/>
  </si>
  <si>
    <t>- 시공표준 각재30t + 석고보드1p [3.5m x 3.5m 기준]</t>
    <phoneticPr fontId="3" type="noConversion"/>
  </si>
  <si>
    <t>- 터닝도어, 폴딩도어, 기타목공틀시공, 철거 후 필요부위 마감 부위</t>
    <phoneticPr fontId="3" type="noConversion"/>
  </si>
  <si>
    <t>- 자재는 사전현장 준비 必 / ex) 25평의 경우 25EA 수량 발주</t>
    <phoneticPr fontId="3" type="noConversion"/>
  </si>
  <si>
    <t>- 걸레받이 선시공, 자재는 사전현장 준비 必 / ex) 25평의 경우 25EA 수량 발주</t>
    <phoneticPr fontId="3" type="noConversion"/>
  </si>
  <si>
    <t>- 월플러스13~16박스, 380*790*9, 5pcs, 1.5㎡/box, 자재는 대리점 발주 기준</t>
    <phoneticPr fontId="3" type="noConversion"/>
  </si>
  <si>
    <t>- 월플러스9~12박스, 380*790*9, 5pcs, 1.5㎡/box, 자재는 대리점 발주 기준</t>
    <phoneticPr fontId="3" type="noConversion"/>
  </si>
  <si>
    <t>- 월플러스1~8박스, 380*790*9, 5pcs, 1.5㎡/box, 자재는 대리점 발주 기준</t>
    <phoneticPr fontId="3" type="noConversion"/>
  </si>
  <si>
    <t>- 선로작업 별도비용</t>
    <phoneticPr fontId="3" type="noConversion"/>
  </si>
  <si>
    <t>EA</t>
    <phoneticPr fontId="6" type="noConversion"/>
  </si>
  <si>
    <t>- 6구 이하</t>
    <phoneticPr fontId="3" type="noConversion"/>
  </si>
  <si>
    <t>전기/조명</t>
    <phoneticPr fontId="6" type="noConversion"/>
  </si>
  <si>
    <t>- 누전차단기 자재비 포함</t>
    <phoneticPr fontId="3" type="noConversion"/>
  </si>
  <si>
    <t>- 욕실바닥 타일교체 기준</t>
    <phoneticPr fontId="3" type="noConversion"/>
  </si>
  <si>
    <t>- 전체 타일시공(덧방 시공기준, 철거면 시공시 18만추가)(메가타일 제외)</t>
    <phoneticPr fontId="3" type="noConversion"/>
  </si>
  <si>
    <t>- 1실 (3.5m X 1.2m) 기준,1~3실 적용 / ex)2실의 경우 22.8만 x 2 = 45.6만</t>
    <phoneticPr fontId="3" type="noConversion"/>
  </si>
  <si>
    <t>- 1실 (3.5m X 1.2m) 기준,4실 이상적용 / ex)4실의 경우 19.2만 x 4 = 76.8만</t>
    <phoneticPr fontId="3" type="noConversion"/>
  </si>
  <si>
    <t>- 단 발생시 ㎡계산 / 2평의 경우 2 x 3.3 = 6.6EA = 7EA x 3만 = 21만</t>
    <phoneticPr fontId="3" type="noConversion"/>
  </si>
  <si>
    <t>- 특수타일 1㎡기준(특수규격600x600,포셰린,폴리싱등)/천연대리석 제외/ex)2평의 경우 2x3.3=6.6EA=7EA x 3.6만=25.2만</t>
    <phoneticPr fontId="3" type="noConversion"/>
  </si>
  <si>
    <t>- 일반타일 1㎡기준(일반규격/도기,자기질)/ex)2평의 경우 2x3.3=6.6EA=7EA x 2.6만=18.2만</t>
    <phoneticPr fontId="3" type="noConversion"/>
  </si>
  <si>
    <t>- ex) 1실 탄성코트 도장작업시, 1실*30만=30만</t>
    <phoneticPr fontId="3" type="noConversion"/>
  </si>
  <si>
    <t>- ex) 2실 탄성코트 도장작업시, 2실*20만=40만</t>
    <phoneticPr fontId="3" type="noConversion"/>
  </si>
  <si>
    <t>- ex) 1실 세라믹코트 도장작업시, 1실*30만=30만</t>
    <phoneticPr fontId="3" type="noConversion"/>
  </si>
  <si>
    <t>- ex) 3실이상 탄성코트 도장작업시, 3실*15.6만=46.8만</t>
    <phoneticPr fontId="3" type="noConversion"/>
  </si>
  <si>
    <t>- ex) 3실이상 세라믹코트 도장작업시, 3실*19.8만=59.4만</t>
    <phoneticPr fontId="3" type="noConversion"/>
  </si>
  <si>
    <t>- ex) 2실 세라믹코트 도장작업시, 1실*20만=40만</t>
    <phoneticPr fontId="3" type="noConversion"/>
  </si>
  <si>
    <t>- 기본퍼티(문틀포함)제외 / 부분미장급 퍼티작업 진행시, 1현장 기준 1EA로 계산</t>
    <phoneticPr fontId="3" type="noConversion"/>
  </si>
  <si>
    <t xml:space="preserve"> 2020 HANSSEM STYLE PACKAGE ESTIMATE VER 2.0</t>
    <phoneticPr fontId="3" type="noConversion"/>
  </si>
  <si>
    <t>- ㅡ자 부엌, ㄱ자 부엌 3.5M 이하</t>
    <phoneticPr fontId="3" type="noConversion"/>
  </si>
  <si>
    <t>- ㅡ자 부엌, ㄱ자 부엌 5M 이하</t>
    <phoneticPr fontId="3" type="noConversion"/>
  </si>
  <si>
    <t>- ㄱ자 부엌 5M 이상</t>
    <phoneticPr fontId="3" type="noConversion"/>
  </si>
  <si>
    <t>- ㄷ자, ㅁ자, 병렬 부엌 12M 이하</t>
    <phoneticPr fontId="3" type="noConversion"/>
  </si>
  <si>
    <t>- 합판마루, 강마루, 원목마루 1평기준(최소진입비25만)/ex)25평의 경우 25ea수량발주</t>
    <phoneticPr fontId="3" type="noConversion"/>
  </si>
  <si>
    <t>- 강화마루 1평기준(최소진입비25만)/ex)25평의 경우 25ea수량발주</t>
    <phoneticPr fontId="3" type="noConversion"/>
  </si>
  <si>
    <t>부엌
철거</t>
    <phoneticPr fontId="3" type="noConversion"/>
  </si>
  <si>
    <t>수납
철거</t>
    <phoneticPr fontId="3" type="noConversion"/>
  </si>
  <si>
    <t>바닥
철거</t>
    <phoneticPr fontId="3" type="noConversion"/>
  </si>
  <si>
    <t>창호
철거</t>
    <phoneticPr fontId="3" type="noConversion"/>
  </si>
  <si>
    <t>- 도어 문짝철거 1개 기준</t>
    <phoneticPr fontId="3" type="noConversion"/>
  </si>
  <si>
    <t>- 도어1세트기준[문틀, 문짝, 문턱, 문선, 인방 포함/3방,4방동일]</t>
    <phoneticPr fontId="3" type="noConversion"/>
  </si>
  <si>
    <t>- 도어 문턱철거 1개 기준 / 문턱철거, 문턱미장 포함시</t>
    <phoneticPr fontId="3" type="noConversion"/>
  </si>
  <si>
    <t>- 도어 문턱 미장 1개 기준, 미장만 작업시</t>
    <phoneticPr fontId="3" type="noConversion"/>
  </si>
  <si>
    <t>- 중문철거 1세트 기준(종류,길이 상관없음)</t>
    <phoneticPr fontId="3" type="noConversion"/>
  </si>
  <si>
    <t>목공
철거</t>
    <phoneticPr fontId="3" type="noConversion"/>
  </si>
  <si>
    <t>벽체
철거</t>
    <phoneticPr fontId="3" type="noConversion"/>
  </si>
  <si>
    <t>타일
철거</t>
    <phoneticPr fontId="3" type="noConversion"/>
  </si>
  <si>
    <t>- 발코니 바닥타일 철거 1㎡ 기준 / ex) 1평기준 3.3㎡ - 3.3EA[예시]2평의 경우 2 x 3.3 = 6.6EA = 7EA</t>
    <phoneticPr fontId="3" type="noConversion"/>
  </si>
  <si>
    <t>- 욕실철거 1세트기준/ 천장,내부기구 기본철거(덧방 기준, 도기 및 장철거)</t>
    <phoneticPr fontId="3" type="noConversion"/>
  </si>
  <si>
    <t>- 욕조철거 1개 기준 / 4면조적 욕조의 경우 5만 추가</t>
    <phoneticPr fontId="3" type="noConversion"/>
  </si>
  <si>
    <t>- 욕실 벽1면 철거 기준 / 타일 접착상태 불량으로 휴판넬 설치 불가능시</t>
    <phoneticPr fontId="3" type="noConversion"/>
  </si>
  <si>
    <t>- 라지에이터 철거 후 엑셀연결 매립, 미장 포함</t>
    <phoneticPr fontId="3" type="noConversion"/>
  </si>
  <si>
    <t>- 급수관 냉,온수 1조 신설 1면꺾음 기준</t>
    <phoneticPr fontId="3" type="noConversion"/>
  </si>
  <si>
    <t>- 급수관 냉,온수 1조 신설 2면꺾음 기준</t>
    <phoneticPr fontId="3" type="noConversion"/>
  </si>
  <si>
    <t>욕실
철거</t>
    <phoneticPr fontId="3" type="noConversion"/>
  </si>
  <si>
    <t>기타
철거</t>
    <phoneticPr fontId="3" type="noConversion"/>
  </si>
  <si>
    <t>- 전기 복스 작업 1개 기준, 콘센트 내부 박스작업</t>
    <phoneticPr fontId="3" type="noConversion"/>
  </si>
  <si>
    <t>- 총 철거비의 10% 기준 [설비 비용제외]</t>
    <phoneticPr fontId="3" type="noConversion"/>
  </si>
  <si>
    <t>- 1m 미만, 기존면 입수전 내림설비 기준</t>
    <phoneticPr fontId="3" type="noConversion"/>
  </si>
  <si>
    <t>- 식기세척기,프리스탠딩오븐,빌트인오븐,세탁기,세척기등(후드,쿡탑,싱크볼,수전,쌀통,벽장부착형EA기건조기제외)</t>
    <phoneticPr fontId="3" type="noConversion"/>
  </si>
  <si>
    <t>- 독립형 단독 아일랜드 1세트 기준(카운터 타입 아일랜드 대상아님, M포함)</t>
    <phoneticPr fontId="3" type="noConversion"/>
  </si>
  <si>
    <t>거실 발코니 확장 1실 기준 / 엑셀작업, 미장(수평몰탈) 포함, 단열제외 / 4M이상 시 5만원 추가</t>
    <phoneticPr fontId="3" type="noConversion"/>
  </si>
  <si>
    <t>방/주방 발코니 확장 1실 기준 / 엑셀작업, 미장(수평몰탈) 포함, 단열제외 / 3M이상 시 5만원 추가</t>
    <phoneticPr fontId="3" type="noConversion"/>
  </si>
  <si>
    <t>- 도배면적 1㎡기준/벽지대리점별도발주, 부자재포함/ex)공급면적평수 x 2.5 x 3.3/ 기존또는추가확장부위개소당1.5평추가</t>
    <phoneticPr fontId="3" type="noConversion"/>
  </si>
  <si>
    <t>도배</t>
    <phoneticPr fontId="3" type="noConversion"/>
  </si>
  <si>
    <t>필름</t>
    <phoneticPr fontId="3" type="noConversion"/>
  </si>
  <si>
    <t>디딤판 철거 ( 대리석 면적 넓음 )</t>
    <phoneticPr fontId="3" type="noConversion"/>
  </si>
  <si>
    <t>[                                                    ]</t>
    <phoneticPr fontId="3" type="noConversion"/>
  </si>
  <si>
    <t>- ㄷ자, ㅁ자, 병렬 부엌 12M 이상</t>
    <phoneticPr fontId="3" type="noConversion"/>
  </si>
  <si>
    <t>- 현관장도어1개기준/하프신발장은50%적용</t>
    <phoneticPr fontId="3" type="noConversion"/>
  </si>
  <si>
    <t>부엌철거_ㅡ자, ㄱ자(5M 미만) [단위 : set]</t>
  </si>
  <si>
    <t>부엌철거_ㅡ자, ㄱ자(5M 이상) [단위 : set]</t>
  </si>
  <si>
    <t>부엌철거_ㄷ자, ㅁ자, 병렬형(12M 미만) [단위 : set]</t>
  </si>
  <si>
    <t>부엌철거_ㄷ자, ㅁ자, 병렬형(12M 이상) [단위 : set]</t>
  </si>
  <si>
    <t>부엌철거_아일랜드 [단위 : set]</t>
  </si>
  <si>
    <t>부엌철거_발코니 보조주방 [단위 : set]</t>
  </si>
  <si>
    <t>부엌철거_옵션기기류 [단위 : EA]</t>
  </si>
  <si>
    <t>부엌철거_입수전 공사 [단위 : EA]</t>
  </si>
  <si>
    <t>수납철거_현관장 [단위 : EA]</t>
  </si>
  <si>
    <t>수납철거_붙박이장, 이동장, 장롱 [단위 : EA]</t>
  </si>
  <si>
    <t>수납철거_벽박이장, 창고장 [단위 : EA]</t>
  </si>
  <si>
    <t>수납철거_거실장 [단위 : M]</t>
  </si>
  <si>
    <t>수납철거_빌트인 화장대 [단위 : EA]</t>
  </si>
  <si>
    <t>수납철거_기타단품장 [단위 : EA]</t>
  </si>
  <si>
    <t>현관장 도어 1개 기준 / 하프신발장은 50% 적용</t>
  </si>
  <si>
    <t>붙박이장, 이동장, 장롱 도어 1개 기준 / 슬라이딩 도어 개당 2개 산정</t>
  </si>
  <si>
    <t>벽박이장 문틀, 문선, 문짝철거 포함 도어 1개 기준 / 미장 별도</t>
  </si>
  <si>
    <t>거실장 1M이하 기준 / 높이 850mm 이상 상하길이 적용 (x2)</t>
  </si>
  <si>
    <t>1.5M이하 빌트인 화장대 기준 (일반 화장대 기타 단품장 1만 적용)</t>
  </si>
  <si>
    <t>3.5M 이하 ㄱ부엌 1세트 기준 [키큰장 포함]</t>
  </si>
  <si>
    <t>5M 이하 ㄱ부엌 1세트 기준 [키큰장 포함]</t>
  </si>
  <si>
    <t>5M 이상 ㄱ부엌 1세트 기준 [키큰장 포함]</t>
  </si>
  <si>
    <t>12M 이하 ㄷ부엌 1세트 기준 [키큰장 포함]</t>
  </si>
  <si>
    <t>12M 이상 ㅁ부엌 1세트 기준 [키큰장 포함]</t>
  </si>
  <si>
    <t>독립형 단독 아일랜드 1세트 기준 (카운터 타입 아일랜드 대상아님, M포함)</t>
  </si>
  <si>
    <t>발코니 보조주방 1세트 기준</t>
  </si>
  <si>
    <t>식기세척기, 프리스텐딩오븐, 빌트인 오븐, 세탁기, 세척기 등 (후드, 쿡탑, 싱크볼, 수전, 쌀통, 벽장부착형 식기건조기 제외)</t>
  </si>
  <si>
    <t>1m 미만 / 기존면 입수전 내림설비 기준</t>
  </si>
  <si>
    <t>바닥철거_장판 (방1개 기준) [단위 : EA]</t>
  </si>
  <si>
    <t>바닥철거_폴리싱타일 [단위 : 평]</t>
  </si>
  <si>
    <t>바닥철거_바탕작업(바닥샌딩) [단위 : 평]</t>
  </si>
  <si>
    <t>바닥철거_바탕작업(프라이머, 급결) [단위 : 평]</t>
  </si>
  <si>
    <t>합판마루, 강마루, 원목마루 1평 기준 (최소진입비 25만) / ex}실측면적 기준 25평의 경우 25EA 수량 발주 / 본드제거, 바닥면 정리</t>
  </si>
  <si>
    <t>강화마루 1평 기준 / 최소진입비 25만 / ex} 25평의 경우 25EA 수량 발주</t>
  </si>
  <si>
    <t>테코타일 1평 기준 / 최소진입비 25만 / ex} 25평의 경우 25EA 수량 발주</t>
  </si>
  <si>
    <t>방1개 기준 / 이중장판시 2개 적용 / 거실,주방 개별 실로 구분</t>
  </si>
  <si>
    <t>폴리싱타일 1평 기준 / 최소진입비 25만 / ex} 10평의 경우 10EA 수량 발주</t>
  </si>
  <si>
    <t xml:space="preserve">한지 장판 경우 </t>
  </si>
  <si>
    <t>실간 바닥 단차가 발생 경우, 바닥 평활도가 심하게 차이나는 경우 (현장점검)</t>
  </si>
  <si>
    <t>황토/모래질 바닥 인 경우</t>
  </si>
  <si>
    <t>창호철거_거실분합창 [단위 : EA]</t>
  </si>
  <si>
    <t>창호철거_작은방분합창 [단위 : EA]</t>
  </si>
  <si>
    <t>거실분합창 1틀기준 / 창호팀 철거 예외분만 해당 [확장시 선철거 필요]</t>
  </si>
  <si>
    <t>작은방분합창 1틀기준 / 창호팀 철거 예외분만 해당 [확장시 선철거 필요]</t>
  </si>
  <si>
    <t>목공철거_몰딩 [단위 : 평]</t>
  </si>
  <si>
    <t>목공철거_걸레받이 [단위 : 평]</t>
  </si>
  <si>
    <t>목공철거_도어(문틀, 문짝, 문선, 인방 포함) [단위 : set]</t>
  </si>
  <si>
    <t>목공철거_도어(문짝만 철거) [단위 : EA]</t>
  </si>
  <si>
    <t>목공철거_도어(문선만 철거) [단위 : EA]</t>
  </si>
  <si>
    <t>목공철거_문턱제거(문턱철거, 문턱미장 포함) [단위 : EA]</t>
  </si>
  <si>
    <t>목공철거_문턱미장(문턱미장만 작업) [단위 : EA]</t>
  </si>
  <si>
    <t>목공철거_중문 [단위 : set]</t>
  </si>
  <si>
    <t>목공철거_천장철거 우물천장 [단위 : set]</t>
  </si>
  <si>
    <t>목공철거_천장철거 천장등박스 [단위 : set]</t>
  </si>
  <si>
    <t>목공철거_천장철거 전체 [단위 : 평]</t>
  </si>
  <si>
    <t>목공철거_현관루버 [단위 : M]</t>
  </si>
  <si>
    <t>몰딩철거 1평 기준 / ex) 공급면적평수 32평  = 32EA 수량 발주</t>
  </si>
  <si>
    <t>걸레받이철거 1평 기준 / ex) 공급면적평수 32평  = 32EA 수량 발주</t>
  </si>
  <si>
    <t>도어 1세트 기준 [문틀, 문짝, 문선, 인방 포함 / 3방, 4방 동일]</t>
  </si>
  <si>
    <t>도어 문짝철거 1개 기준</t>
  </si>
  <si>
    <t>도어 문선철거 1개 기준</t>
  </si>
  <si>
    <t>도어 문턱철거 1개 기준 / 문턱철거, 문턱미장 포함시</t>
  </si>
  <si>
    <t>도어 문턱미장 1개 기준, 미장만 작업시</t>
  </si>
  <si>
    <t>중문철거 1세트 기준 (종류,길이 상관없음)</t>
  </si>
  <si>
    <t>우물천장 철거 1세트 기준</t>
  </si>
  <si>
    <t>등박스 목공철거 1세트 기준 (사이즈 무관)</t>
  </si>
  <si>
    <t>천장 전체철거 (우물천장 포함) 1평당 기준</t>
  </si>
  <si>
    <t>현관 루버 철거 1M 기준 / 하프의 경우 50%적용 / 미장 작업 포함</t>
  </si>
  <si>
    <t>벽체철거_가벽 [단위 : M]</t>
  </si>
  <si>
    <t>벽체철거_조적벽(부분) [단위 : EA]</t>
  </si>
  <si>
    <t>벽체철거_조적벽(날개) [단위 : M]</t>
  </si>
  <si>
    <t>벽체철거_아트월(목공) [단위 : M]</t>
  </si>
  <si>
    <t>벽체철거_아트월(타일) [단위 : M]</t>
  </si>
  <si>
    <t>목공 칸막이,날개벽 철거 [목공,석고보드,단열재 포함], 높이 2400mm 이하, 1M 기준</t>
  </si>
  <si>
    <t>벽박이 상단 하리 등 부분조적벽 1개 기준</t>
  </si>
  <si>
    <t>비내력 조적벽 1M 기준 / 콘크리트 내력벽(옹벽) 철거 불가</t>
  </si>
  <si>
    <t>목공 아트월 1M 기준 / 높이 2400mm 이하</t>
  </si>
  <si>
    <t>타일 아트월 1M 기준 / 높이 2400mm 이하</t>
  </si>
  <si>
    <t>타일철거_주방 [단위 : M]</t>
  </si>
  <si>
    <t>타일철거_발코니 바닥 [단위 : ㎡]</t>
  </si>
  <si>
    <t>타일철거_현관 [단위 : 평]</t>
  </si>
  <si>
    <t>타일철거_현관타일 단 낮춤 [단위 : EA]</t>
  </si>
  <si>
    <t>주방 벽타일 철거 1M 기준 / 높이 1200mm 이하</t>
  </si>
  <si>
    <t>발코니 바닥타일 철거 1㎡ 기준 / ex) 1평기준 3.3㎡ = 3.3 EA [예시] 2평의 경우 2 x 3.3 = 6.6EA = 7EA</t>
  </si>
  <si>
    <t>현관타일 1평이하 철거 기준 / 디딤석 포함</t>
  </si>
  <si>
    <t>현관타일 단 낮춤 기준 / 현관타일 철거 미포함 / ex) 현관타일 철거 1개 + 현관타일 단 낮춤 1개 = 10만</t>
  </si>
  <si>
    <t>욕실철거_기본 [단위 : set]</t>
  </si>
  <si>
    <t>욕실철거_옵션_욕조 [단위 : EA]</t>
  </si>
  <si>
    <t>욕실철거_옵션_벽타일(1면) [단위 : EA]</t>
  </si>
  <si>
    <t>욕실철거_바닥방수 [단위 : EA]</t>
  </si>
  <si>
    <t>욕실철거_욕조방수 [단위 : EA]</t>
  </si>
  <si>
    <t>욕실철거_라지에이터 [단위 : EA]</t>
  </si>
  <si>
    <t>욕실설비_급수관 신설(냉온수 1면꺾음) [단위 : EA]</t>
  </si>
  <si>
    <t>욕실설비_급수관 신설(냉온수 2면꺾음) [단위 : EA]</t>
  </si>
  <si>
    <t>욕실설비_급수관 이동 [단위 : EA]</t>
  </si>
  <si>
    <t>욕실설비_P트랩 전환 [단위 : EA]</t>
  </si>
  <si>
    <t>욕실설비_조적 젠다이 시공(숏) [단위 : EA]</t>
  </si>
  <si>
    <t>욕실설비_조적 젠다이 시공(롱) [단위 : EA]</t>
  </si>
  <si>
    <t>욕실 철거 1세트 기준 / 천장, 내부기구 기본철거 (덧방 기준, 도기 및 장철거)</t>
  </si>
  <si>
    <t>욕조 철거 1개 기준 / 4면조적 욕조의 경우 5만 추가</t>
  </si>
  <si>
    <t>욕실 벽1면 철거 기준, 타일 접착상태 불량으로 휴판넬 설치 불가능시</t>
  </si>
  <si>
    <t>욕실 전체 바닥 방수몰탈 기준, 미장포함 (액체방수 2차)</t>
  </si>
  <si>
    <t>욕실 욕조부 바닥 고뫄스</t>
  </si>
  <si>
    <t>라디에이터 철거 후 엑셀연결, 매립, 미장 포함</t>
  </si>
  <si>
    <t>급수관 냉,온수 1조 신설 1면꺾음 기준</t>
  </si>
  <si>
    <t>급수관 냉,온수 1조 신설 2면꺾음 기준</t>
  </si>
  <si>
    <t>급수관 냉,온수 기존면 이동 기준 / 세면부 모음작업, 샤워부 높이조절 등</t>
  </si>
  <si>
    <t>바닥 배수 → 벽 배수 전환 / 철거,매립 1개 기준</t>
  </si>
  <si>
    <t>욕실 A면 세면대부 조적젠다이 시공 1세트 기준</t>
  </si>
  <si>
    <t>욕실 A면 전체 조직젠다이 시공 1세트 기준</t>
  </si>
  <si>
    <t>기타철거_잡철물 [단위 : EA]</t>
  </si>
  <si>
    <t>기타철거_보양 (실내외) [단위 : EA]</t>
  </si>
  <si>
    <t>기타철거_보양(바닥) [단위 : EA]</t>
  </si>
  <si>
    <t>기타철거_복스작업 [단위 : EA]</t>
  </si>
  <si>
    <t>철거_폐기물처리(총 철거비의 10%)</t>
  </si>
  <si>
    <t>철거_기타항목기입</t>
  </si>
  <si>
    <t>조명 / 건조대 / 버티칼 / 거울류 / 블라인드 / 현관방충망 등 포함 1현장 기준 1EA로 계산, 단품철거 현장에서 발생시 개당 1만 적용</t>
  </si>
  <si>
    <t>실내외 및 엘리베이터 등 작업현장 보양 및 정리비용, 1현장 기준 1EA로 계산</t>
  </si>
  <si>
    <t>플로베니아 1800x900 바닥보양 1개 기준 , 플라베니아 1장=0.5평 기준 계산</t>
  </si>
  <si>
    <t xml:space="preserve">전기 복스 작업 1개 기준, 콘센트 내부 박스작업 </t>
  </si>
  <si>
    <t>총 철거비의 10%기준 [설비 비용제외]</t>
  </si>
  <si>
    <t>설비_급수관 신설(냉온수 1면꺾음) [단위 : EA]</t>
  </si>
  <si>
    <t>설비_급수관 신설(냉온수 2면꺾음) [단위 : EA]</t>
  </si>
  <si>
    <t>설비_발코니 단올림 [단위 : EA]</t>
  </si>
  <si>
    <t>설비_세탁기 단올림(단차미장) [단위 : EA]</t>
  </si>
  <si>
    <t>엑셀 + 미장 +단열 33t(벽, 천장) + 석고1p</t>
  </si>
  <si>
    <t>거실 발코니 확장 1실 기준 / 엑셀작업,미장(수평몰탈) 포함, 단열제외 / 4m 이상 시 5만원 추가</t>
  </si>
  <si>
    <t>방/주방 발코니 확장 1실 기준 / 엑셀작업,미장(수평몰탈) 포함, 단열제외 / 3m 이상 시 5만원 추가</t>
  </si>
  <si>
    <t>창호 1틀기준 1실, 수평몰탈, 거실 분합창 수평 기준</t>
  </si>
  <si>
    <t>세탁기단차 70mm 높이 기준</t>
  </si>
  <si>
    <t>단열_기본단열(표준) [단위 : M]</t>
  </si>
  <si>
    <t>단열_발코니단열 (표준단열) [단위 : EA]</t>
  </si>
  <si>
    <t>단열_발코니단열 (보조단열) [단위 : EA]</t>
  </si>
  <si>
    <t>단열_보조단열 1안 [단위 : M]</t>
  </si>
  <si>
    <t>단열_보조단열 2안 [단위 : M]</t>
  </si>
  <si>
    <t>열반사 단열재 + 아이소핑크 30t + 각재 30t + 석고보드2p</t>
  </si>
  <si>
    <t>열반사 단열재 + 아이소핑크 30t + 각재 30t + 방수석고2p</t>
  </si>
  <si>
    <t>열반사 단열재 + 각재 30t + 방수석고2p</t>
  </si>
  <si>
    <t>열반사 단열재 + 각재 30t + 석고보드2p</t>
  </si>
  <si>
    <t>열반사 단열재 + 아이소핑크 10t + 각재 30t + 석고보드2p</t>
  </si>
  <si>
    <t>목공_확장_거실발코니(단과-설비제외) [단위 : EA]</t>
  </si>
  <si>
    <t>목공_확장_방/주방(단과-설비제외) [단위 : EA]</t>
  </si>
  <si>
    <t>목공_우물천장 [단위 : EA]</t>
  </si>
  <si>
    <t>목공_간접우물천장 [단위 : EA]</t>
  </si>
  <si>
    <t>목공_일자간접조명 [단위 : EA]</t>
  </si>
  <si>
    <t>목공_이노실링(일자간접등박스) [단위 : EA]</t>
  </si>
  <si>
    <t>목공_천정평탄화 [단위 : EA]</t>
  </si>
  <si>
    <t>목공_벽체수평, 보강(2p기준) [단위 : M]</t>
  </si>
  <si>
    <t>목공_벽체수평, 보강(1p기준) [단위 : M]</t>
  </si>
  <si>
    <t>목공_가벽시공 [단위 : M]</t>
  </si>
  <si>
    <t>목공_터닝도어 목공틀 [단위 : EA]</t>
  </si>
  <si>
    <t>목공_폴딩도어 목공틀 [단위 : EA]</t>
  </si>
  <si>
    <t>목공_하프파티션 [단위 : EA]</t>
  </si>
  <si>
    <t>목공_벽지판넬 [단위 : EA]</t>
  </si>
  <si>
    <t>목공_천정몰딩 시공 [단위 : 평]</t>
  </si>
  <si>
    <t>목공_걸레받이 시공 [단위 : 평]</t>
  </si>
  <si>
    <t>목공_아트월 시공(1~8박스) [단위 : EA]</t>
  </si>
  <si>
    <t>목공_아트월 시공(9~12박스) [단위 : EA]</t>
  </si>
  <si>
    <t>목공_아트월 시공(13~16박스) [단위 : EA]</t>
  </si>
  <si>
    <t>목공_기타항목 기입</t>
  </si>
  <si>
    <t>목공단열(천장 + 3면단열) 아이소핑크 30t + 열반사필름 + 각재(상작업) +석고보드1P,2P (E보드) 
PKG 단과반 한정 운영</t>
  </si>
  <si>
    <t>우물천장 + MDF몰딩, 필름시공비 별도 [3.5m x 3.5m 기준]</t>
  </si>
  <si>
    <t>우물천장 간접조명형[3.5m x 3.5m 기준]</t>
  </si>
  <si>
    <t>간접조명형 [3.5m, 사전철거 기준]</t>
  </si>
  <si>
    <t>이노실링 기준 [3.5m, 사전철거 기준]</t>
  </si>
  <si>
    <t>시공표준 각재30t + 석고보드1p 마감[3.5m x 3.5m 기준]</t>
  </si>
  <si>
    <t>벽체1면 상작업 및 석고보드 마감 [각재+석고보드2p기준]</t>
  </si>
  <si>
    <t>벽체1면 상작업 및 석고보드 마감 [각재+석고보드1p기준]</t>
  </si>
  <si>
    <t>벽체신설 (중문파티션 포함)</t>
  </si>
  <si>
    <t>터닝도어 1개소당 (배수관 목공 포함)</t>
  </si>
  <si>
    <t>폴딩도어 1개소당</t>
  </si>
  <si>
    <t>창틀 시공비 별도</t>
  </si>
  <si>
    <t>각재 + MDF(5분할 700mm) 기준</t>
  </si>
  <si>
    <t>걸레받이 선시공, 자재는 사전현장 준비 必 / ex) 공급면적기준 25평의 경우 25EA 수량 발주</t>
  </si>
  <si>
    <t>월플러스 380*790*9, 5pcs, 1.5㎡/box, 자재(월플러스) 대리점 발주</t>
  </si>
  <si>
    <t>급수관 냉,온수 기존면 이동 기준</t>
  </si>
  <si>
    <t>발코니 단올림 1실 기준 / 난방설비 미포함</t>
  </si>
  <si>
    <t>세탁기 단올림 1실 기준 / 70mm 표준 높이</t>
  </si>
  <si>
    <t>확장_거실발코니(종합-단열포함) [단위 : EA]</t>
  </si>
  <si>
    <t>확장_방/주방(종합-단열포함) [단위 : EA]</t>
  </si>
  <si>
    <t>확장_거실발코니(단과-단열제외) [단위 : EA]</t>
  </si>
  <si>
    <t>확장_방/주방(단과-단열제외) [단위 : EA]</t>
  </si>
  <si>
    <t>확장_거실발코니 단올림 [단위 : EA]</t>
  </si>
  <si>
    <t>확장_단차미장 [단위 : EA]</t>
  </si>
  <si>
    <t>전기_등 배선작업 (천정) [단위 : EA]</t>
  </si>
  <si>
    <t>전기_거실우물천장 (메인등) [단위 : EA]</t>
  </si>
  <si>
    <t>전기_거실우물천장 (간접조명) [단위 : EA]</t>
  </si>
  <si>
    <t>전기_거실천장 등박스 간접조명 (매립형) [단위 : EA]</t>
  </si>
  <si>
    <t>전기_거실천장 등박스 간접조명 (돌출형) [단위 : EA]</t>
  </si>
  <si>
    <t>전기_거실 복도 천장 [단위 : EA]</t>
  </si>
  <si>
    <t>전기_복스작업 [단위 : EA]</t>
  </si>
  <si>
    <t>전기_배전반 교체 [단위 : EA]</t>
  </si>
  <si>
    <t>전기_누전차단기 설치(교체) [단위 : EA]</t>
  </si>
  <si>
    <t>전기_기타항목기입</t>
  </si>
  <si>
    <t>천장 조명 위치이동 등(천정만 해당)</t>
  </si>
  <si>
    <t>우물천장 메인등</t>
  </si>
  <si>
    <t>매립형 우물천장 간접조명</t>
  </si>
  <si>
    <t>매립형 등박스 간접조명</t>
  </si>
  <si>
    <t>돌출형 등박스 간접조명</t>
  </si>
  <si>
    <t>평천장 조명 (MR16 5개 기준)</t>
  </si>
  <si>
    <t>선로작업 별도비용</t>
  </si>
  <si>
    <t>6구 이하</t>
  </si>
  <si>
    <t>누전차단기 자재비포함</t>
  </si>
  <si>
    <t>타일_주방 벽타일 [단위 : EA]</t>
  </si>
  <si>
    <t>타일_현관 바닥타일 [단위 : EA]</t>
  </si>
  <si>
    <t>타일_욕실 바닥타일 [단위 : EA]</t>
  </si>
  <si>
    <t>타일_욕실 전체타일 [단위 : EA]</t>
  </si>
  <si>
    <t>타일_기본 발코니 (1~3실 기준) [단위 : EA]</t>
  </si>
  <si>
    <t>타일_대형 발코니 (4~5실 기준) [단위 : EA]</t>
  </si>
  <si>
    <t>타일_발코니 창고장 [단위 : ㎡]</t>
  </si>
  <si>
    <t>타일_특수타일 [단위 : ㎡]</t>
  </si>
  <si>
    <t>타일_일반타일(아트월 등) [단위 : ㎡]</t>
  </si>
  <si>
    <t>타일_기타항목기입</t>
  </si>
  <si>
    <t>3m X 1.2m 기준</t>
  </si>
  <si>
    <t>1.5㎡ 기준</t>
  </si>
  <si>
    <t>욕실바닥 타일교체 기준</t>
  </si>
  <si>
    <t>전체 타일시공(덧방 시공기준, 철거면 시공시 18만 추가 (메가타일 제외)</t>
  </si>
  <si>
    <t>1실 (3.5m X 1.2m) 기준, 1~3실 적용 / ex) 2실의 경우 22.8만 x 2 = 45.6만</t>
  </si>
  <si>
    <t>1실 (3.5m X 1.2m) 기준, 4실 이상적용 / ex) 4실읠 경우 19.2만 x 4 = 76.8만</t>
  </si>
  <si>
    <t xml:space="preserve">단 발생시 ㎡ 계산 / ex) 2평의 경우 2 x 3.3 = 6.6EA = 7EA x 3만 =21만  </t>
  </si>
  <si>
    <t xml:space="preserve">특수타일 1㎡ 기준 (특수규격 600x600, 포세린, 폴리싱 등) / 천연대리석 제외 / ex) 2평의 경우 2 x 3.3 = 6.6EA = 7EA x 3.6만 =25.2만  </t>
  </si>
  <si>
    <t>일반타일 1㎡ 기준 (일반규격 / 도기,자기질) / ex) 2평의 경우 2 x 3.3 = 6.6EA = 7EA x 2.6만 = 18.2만</t>
  </si>
  <si>
    <t/>
  </si>
  <si>
    <t>- 한샘 평패키지 시공비 기준 / 자재는 대리점 발주 기준</t>
  </si>
  <si>
    <t>조명_전체조명시공 [단위 : 평]</t>
  </si>
  <si>
    <t>도배_실크벽지 시공 [단위 : ㎡]</t>
  </si>
  <si>
    <t>도배_바탕작업 퍼티 [단위 : EA]</t>
  </si>
  <si>
    <t>도배_기타항목기입</t>
  </si>
  <si>
    <t>도배면적 1㎡기준 / 벽지 대리점 별도발주, 부자재 포함 / 기본퍼티 포함 / ex) 공급면적평수 x 2.5 x 3.3 [예시] 공급면적 25평의 경우 25 x 2.5 x 3.3 = 206.25㎡ 207EA 발주</t>
  </si>
  <si>
    <t>기본퍼티 (문틀포함) 제외 / 부분미장급 퍼티작업 진행시, 1현장 기준 1EA로 계산</t>
  </si>
  <si>
    <t>도장_탄성코트(1실) [단위 : EA]</t>
  </si>
  <si>
    <t>도장_탄성코트(2실) [단위 : EA]</t>
  </si>
  <si>
    <t>도장_탄성코트(3실 이상) [단위 : EA]</t>
  </si>
  <si>
    <t>도장_세라믹코트(1실) [단위 : EA]</t>
  </si>
  <si>
    <t>도장_세라믹코트(2실) [단위 : EA]</t>
  </si>
  <si>
    <t>도장_세라믹코트(3실 이상) [단위 : EA]</t>
  </si>
  <si>
    <t>도장_기타항목기입</t>
  </si>
  <si>
    <t>ex) 1실 탄성코트 도장작업시, 1실 * 30만 = 30만</t>
  </si>
  <si>
    <t>ex) 2실 탄성코트 도장작업시, 2실 * 20만 = 40만</t>
  </si>
  <si>
    <t>ex) 3실 탄성코트 도장작업시, 3실 * 15.6만 = 46.8만</t>
  </si>
  <si>
    <t>필름_현관방화문 [단위 : EA]</t>
  </si>
  <si>
    <t>필름 대리점 별도 발주, 부자재 포함 기준</t>
  </si>
  <si>
    <t>공사마감_공사 후 마감작업 [단위 : EA]</t>
  </si>
  <si>
    <t>공사마감_빨래건조대 [단위 : EA]</t>
  </si>
  <si>
    <t>공사마감_방화문 액세서리 설치 [단위 : EA]</t>
  </si>
  <si>
    <t>공사마감_발코니 냉온수 수도교체 [단위 : EA]</t>
  </si>
  <si>
    <t>공사마감_화재감지기커버 교체 [단위 : EA]</t>
  </si>
  <si>
    <t>공사마감_방송스피커캡 교체 [단위 : EA]</t>
  </si>
  <si>
    <t>공사마감_기타항목기입</t>
  </si>
  <si>
    <t>부엌철거_ㅡ자, ㄱ자(3.5M 미만) [단위 : set]</t>
    <phoneticPr fontId="3" type="noConversion"/>
  </si>
  <si>
    <t>ㅡ자, ㄱ자(3.5M 미만) [단위 : set]</t>
  </si>
  <si>
    <t>ㅡ자, ㄱ자(5M 미만) [단위 : set]</t>
  </si>
  <si>
    <t>소   계</t>
  </si>
  <si>
    <t>설비</t>
  </si>
  <si>
    <t>확장</t>
  </si>
  <si>
    <t>단열</t>
  </si>
  <si>
    <t>목공</t>
  </si>
  <si>
    <t>전기/조명</t>
  </si>
  <si>
    <t>타일</t>
  </si>
  <si>
    <t>도배</t>
  </si>
  <si>
    <t>도장</t>
  </si>
  <si>
    <t>필름</t>
  </si>
  <si>
    <t>기타항목기입</t>
  </si>
  <si>
    <t>기타</t>
  </si>
  <si>
    <t>ㅡ자, ㄱ자(5M 이상) [단위 : set]</t>
  </si>
  <si>
    <t>ㄷ자, ㅁ자, 병렬형(12M 미만) [단위 : set]</t>
  </si>
  <si>
    <t>ㄷ자, ㅁ자, 병렬형(12M 이상) [단위 : set]</t>
  </si>
  <si>
    <t>아일랜드 [단위 : set]</t>
  </si>
  <si>
    <t>발코니 보조주방 [단위 : set]</t>
  </si>
  <si>
    <t>옵션기기류 [단위 : EA]</t>
  </si>
  <si>
    <t>입수전 공사 [단위 : EA]</t>
  </si>
  <si>
    <t>현관장 [단위 : EA]</t>
  </si>
  <si>
    <t>붙박이장, 이동장, 장롱 [단위 : EA]</t>
  </si>
  <si>
    <t>벽박이장, 창고장 [단위 : EA]</t>
  </si>
  <si>
    <t>거실장 [단위 : M]</t>
  </si>
  <si>
    <t>빌트인 화장대 [단위 : EA]</t>
  </si>
  <si>
    <t>마루(본드접착식) [단위 : 평]</t>
  </si>
  <si>
    <t>강화마루 [단위 : 평]</t>
  </si>
  <si>
    <t>데코타일 [단위 : 평]</t>
  </si>
  <si>
    <t>장판 (방1개 기준) [단위 : EA]</t>
  </si>
  <si>
    <t>폴리싱타일 [단위 : 평]</t>
  </si>
  <si>
    <t>바탕작업(한지장판샌딩) [단위 : 평]</t>
  </si>
  <si>
    <t>바탕작업(바닥샌딩) [단위 : 평]</t>
  </si>
  <si>
    <t>바탕작업(프라이머, 급결) [단위 : 평]</t>
  </si>
  <si>
    <t>거실분합창 [단위 : EA]</t>
  </si>
  <si>
    <t>작은방분합창 [단위 : EA]</t>
  </si>
  <si>
    <t>몰딩 [단위 : 평]</t>
  </si>
  <si>
    <t>걸레받이 [단위 : 평]</t>
  </si>
  <si>
    <t>도어(문틀, 문짝, 문선, 인방 포함) [단위 : set]</t>
  </si>
  <si>
    <t>도어(문짝만 철거) [단위 : EA]</t>
  </si>
  <si>
    <t>도어(문선만 철거) [단위 : EA]</t>
  </si>
  <si>
    <t>문턱제거(문턱철거, 문턱미장 포함) [단위 : EA]</t>
  </si>
  <si>
    <t>문턱미장(문턱미장만 작업) [단위 : EA]</t>
  </si>
  <si>
    <t>중문 [단위 : set]</t>
  </si>
  <si>
    <t>천장철거 우물천장 [단위 : set]</t>
  </si>
  <si>
    <t>천장철거 천장등박스 [단위 : set]</t>
  </si>
  <si>
    <t>천장철거 전체 [단위 : 평]</t>
  </si>
  <si>
    <t>현관루버 [단위 : M]</t>
  </si>
  <si>
    <t>현관방화문 [단위 : EA]</t>
  </si>
  <si>
    <t>탄성코트(1실) [단위 : EA]</t>
  </si>
  <si>
    <t>탄성코트(2실) [단위 : EA]</t>
  </si>
  <si>
    <t>탄성코트(3실 이상) [단위 : EA]</t>
  </si>
  <si>
    <t>세라믹코트(1실) [단위 : EA]</t>
  </si>
  <si>
    <t>세라믹코트(2실) [단위 : EA]</t>
  </si>
  <si>
    <t>세라믹코트(3실 이상) [단위 : EA]</t>
  </si>
  <si>
    <t>실크벽지 시공 [단위 : ㎡]</t>
  </si>
  <si>
    <t>바탕작업 퍼티 [단위 : EA]</t>
  </si>
  <si>
    <t>주방 벽타일 [단위 : EA]</t>
  </si>
  <si>
    <t>현관 바닥타일 [단위 : EA]</t>
  </si>
  <si>
    <t>욕실 바닥타일 [단위 : EA]</t>
  </si>
  <si>
    <t>욕실 전체타일 [단위 : EA]</t>
  </si>
  <si>
    <t>기본 발코니 (1~3실 기준) [단위 : EA]</t>
  </si>
  <si>
    <t>대형 발코니 (4~5실 기준) [단위 : EA]</t>
  </si>
  <si>
    <t>발코니 창고장 [단위 : ㎡]</t>
  </si>
  <si>
    <t>특수타일 [단위 : ㎡]</t>
  </si>
  <si>
    <t>일반타일(아트월 등) [단위 : ㎡]</t>
  </si>
  <si>
    <t>등 배선작업 (천정) [단위 : EA]</t>
  </si>
  <si>
    <t>거실우물천장 (메인등) [단위 : EA]</t>
  </si>
  <si>
    <t>거실우물천장 (간접조명) [단위 : EA]</t>
  </si>
  <si>
    <t>거실천장 등박스 간접조명 (매립형) [단위 : EA]</t>
  </si>
  <si>
    <t>거실천장 등박스 간접조명 (돌출형) [단위 : EA]</t>
  </si>
  <si>
    <t>거실 복도 천장 [단위 : EA]</t>
  </si>
  <si>
    <t>복스작업 [단위 : EA]</t>
  </si>
  <si>
    <t>배전반 교체 [단위 : EA]</t>
  </si>
  <si>
    <t>누전차단기 설치(교체) [단위 : EA]</t>
  </si>
  <si>
    <t>우물천장 [단위 : EA]</t>
  </si>
  <si>
    <t>간접우물천장 [단위 : EA]</t>
  </si>
  <si>
    <t>일자간접조명 [단위 : EA]</t>
  </si>
  <si>
    <t>이노실링(일자간접등박스) [단위 : EA]</t>
  </si>
  <si>
    <t>천정평탄화 [단위 : EA]</t>
  </si>
  <si>
    <t>벽체수평, 보강(2p기준) [단위 : M]</t>
  </si>
  <si>
    <t>벽체수평, 보강(1p기준) [단위 : M]</t>
  </si>
  <si>
    <t>가벽시공 [단위 : M]</t>
  </si>
  <si>
    <t>터닝도어 목공틀 [단위 : EA]</t>
  </si>
  <si>
    <t>폴딩도어 목공틀 [단위 : EA]</t>
  </si>
  <si>
    <t>하프파티션 [단위 : EA]</t>
  </si>
  <si>
    <t>벽지판넬 [단위 : EA]</t>
  </si>
  <si>
    <t>천정몰딩 시공 [단위 : 평]</t>
  </si>
  <si>
    <t>걸레받이 시공 [단위 : 평]</t>
  </si>
  <si>
    <t>아트월 시공(1~8박스) [단위 : EA]</t>
  </si>
  <si>
    <t>아트월 시공(9~12박스) [단위 : EA]</t>
  </si>
  <si>
    <t>아트월 시공(13~16박스) [단위 : EA]</t>
  </si>
  <si>
    <t>기본단열(표준) [단위 : M]</t>
  </si>
  <si>
    <t>발코니단열 (표준단열) [단위 : EA]</t>
  </si>
  <si>
    <t>발코니단열 (보조단열) [단위 : EA]</t>
  </si>
  <si>
    <t>보조단열 1안 [단위 : M]</t>
  </si>
  <si>
    <t>보조단열 2안 [단위 : M]</t>
  </si>
  <si>
    <t>거실발코니(종합-단열포함) [단위 : EA]</t>
  </si>
  <si>
    <t>방/주방(종합-단열포함) [단위 : EA]</t>
  </si>
  <si>
    <t>거실발코니(단과-단열제외) [단위 : EA]</t>
  </si>
  <si>
    <t>방/주방(단과-단열제외) [단위 : EA]</t>
  </si>
  <si>
    <t>거실발코니 단올림 [단위 : EA]</t>
  </si>
  <si>
    <t>단차미장 [단위 : EA]</t>
  </si>
  <si>
    <t>거실발코니(단과-설비제외) [단위 : EA]</t>
  </si>
  <si>
    <t>방/주방(단과-설비제외) [단위 : EA]</t>
  </si>
  <si>
    <t>욕실급수관 신설(냉온수 1면꺾음) [단위 : EA]</t>
  </si>
  <si>
    <t>욕실급수관 신설(냉온수 2면꺾음) [단위 : EA]</t>
  </si>
  <si>
    <t>욕실급수관 이동 [단위 : EA]</t>
  </si>
  <si>
    <t>욕실P트랩 전환 [단위 : EA]</t>
  </si>
  <si>
    <t>욕실조적 젠다이 시공(숏) [단위 : EA]</t>
  </si>
  <si>
    <t>욕실조적 젠다이 시공(롱) [단위 : EA]</t>
  </si>
  <si>
    <t>급수관 신설(냉온수 1면꺾음) [단위 : EA]</t>
  </si>
  <si>
    <t>급수관 신설(냉온수 2면꺾음) [단위 : EA]</t>
  </si>
  <si>
    <t>급수관 이동 [단위 : EA]</t>
  </si>
  <si>
    <t>발코니 단올림 [단위 : EA]</t>
  </si>
  <si>
    <t>세탁기 단올림(단차미장) [단위 : EA]</t>
  </si>
  <si>
    <t>벽체가벽 [단위 : M]</t>
  </si>
  <si>
    <t>벽체조적벽(부분) [단위 : EA]</t>
  </si>
  <si>
    <t>벽체조적벽(날개) [단위 : M]</t>
  </si>
  <si>
    <t>벽체아트월(목공) [단위 : M]</t>
  </si>
  <si>
    <t>벽체아트월(타일) [단위 : M]</t>
  </si>
  <si>
    <t>타일주방 [단위 : M]</t>
  </si>
  <si>
    <t>타일발코니 바닥 [단위 : ㎡]</t>
  </si>
  <si>
    <t>타일현관 [단위 : 평]</t>
  </si>
  <si>
    <t>타일현관타일 단 낮춤 [단위 : EA]</t>
  </si>
  <si>
    <t>욕실기본 [단위 : set]</t>
  </si>
  <si>
    <t>욕실옵션_욕조 [단위 : EA]</t>
  </si>
  <si>
    <t>욕실옵션_벽타일(1면) [단위 : EA]</t>
  </si>
  <si>
    <t>욕실바닥방수 [단위 : EA]</t>
  </si>
  <si>
    <t>욕실욕조방수 [단위 : EA]</t>
  </si>
  <si>
    <t>욕실라지에이터 [단위 : EA]</t>
  </si>
  <si>
    <t>기타잡철물 [단위 : EA]</t>
  </si>
  <si>
    <t>기타보양 (실내외) [단위 : EA]</t>
  </si>
  <si>
    <t>기타보양(바닥) [단위 : EA]</t>
  </si>
  <si>
    <t>기타복스작업 [단위 : EA]</t>
  </si>
  <si>
    <t>폐기물처리(총 철거비의 10%)</t>
  </si>
  <si>
    <t>자재는 사전현장 준비 必, / ex) 공급면적기준 25평의 경우 25EA 수량 발주</t>
    <phoneticPr fontId="3" type="noConversion"/>
  </si>
  <si>
    <t>월플러스 380*790*9, 5pcs, 1.5㎡/box, 자재(월플러스) 대리점 발주</t>
    <phoneticPr fontId="3" type="noConversion"/>
  </si>
  <si>
    <t>ex) 1실 세라믹코트 도장작업시, 1실*30만=30만</t>
    <phoneticPr fontId="3" type="noConversion"/>
  </si>
  <si>
    <t>ex) 2실 세라믹코트 도장작업시, 1실*20만=40만</t>
    <phoneticPr fontId="3" type="noConversion"/>
  </si>
  <si>
    <t>ex) 3실이상 세라믹코트 도장작업시, 3실*19.8만=59.4만</t>
    <phoneticPr fontId="3" type="noConversion"/>
  </si>
  <si>
    <t xml:space="preserve">필름_기타항목기입 </t>
    <phoneticPr fontId="3" type="noConversion"/>
  </si>
  <si>
    <t xml:space="preserve">기타항목기입 </t>
  </si>
  <si>
    <t>필름_중문 [단위 : EA]</t>
  </si>
  <si>
    <t xml:space="preserve">**중문 1세트 기준 </t>
  </si>
  <si>
    <t>필름_도어(문틀, 문짝, 문선, 인방 포함_민자)</t>
  </si>
  <si>
    <t>**도어, 문틀, 인방, 문선 포함 1세트기준, 민자기준</t>
  </si>
  <si>
    <t>필름_도어(문틀, 문짝, 문선, 인방 포함_굴곡)</t>
  </si>
  <si>
    <t>**도어, 문틀, 인방, 문선 포함 1세트기준, 굴곡기준</t>
  </si>
  <si>
    <t>필름_도어(문틀_민자)</t>
  </si>
  <si>
    <t>**민자문틀 1세트 기준 (문선, 인방 포함)</t>
  </si>
  <si>
    <t>필름_도어(문틀_굴곡)</t>
  </si>
  <si>
    <t>**굴곡문틀 1세트 기준 (문선, 인방 포함), 굴곡 R값, 필름 2방이상</t>
  </si>
  <si>
    <t>필름_도어(민자문짝)</t>
  </si>
  <si>
    <t>**민자 문짝(양면기준)</t>
  </si>
  <si>
    <t>필름_도어(타공문짝)</t>
  </si>
  <si>
    <t>**타공 문짝 1세트 기준</t>
  </si>
  <si>
    <t>필름_도어(양각,음각문짝)</t>
  </si>
  <si>
    <t>**양각, 음각 문짝 기준</t>
  </si>
  <si>
    <t>필름_도어(문선, 인방)</t>
  </si>
  <si>
    <t>**문틀 랩핑 미시공시 개당, 5만 미만시 5만원 청구</t>
  </si>
  <si>
    <t>필름_창호(단창_쪽창)</t>
  </si>
  <si>
    <t>**창호틀 기준, 단면기준, 실리콘 함 / 가로 120cm, 세로 50cm 이하</t>
  </si>
  <si>
    <t>필름_창호(단창_반창)</t>
  </si>
  <si>
    <t>**창호틀 기준, 단면기준, 실리콘 포함 / 가로 240cm, 세로 150cm 이하</t>
  </si>
  <si>
    <t>필름_창호(단창_장창)</t>
  </si>
  <si>
    <t>**창호틀 기준, 단면기준, 실리콘 포함 / 가로 240cm, 세로 151cm 이상 / 양면 2EA로 적용</t>
  </si>
  <si>
    <t>필름_창호(이중창_쪽창)</t>
  </si>
  <si>
    <t>**창호틀 기준, 단면기준, 실리콘 포함 / 가로 120cm, 세로 50cm 이하</t>
  </si>
  <si>
    <t>필름_창호(이중창_반창)</t>
  </si>
  <si>
    <t>필름_창호(이중창_장창)</t>
  </si>
  <si>
    <t>**창호틀 기준, 단면기준, 실리콘 포함 / 가로 240cm, 세로 151cm 이상 /양면 2EA로 적용</t>
  </si>
  <si>
    <t>필름_창호(시스템_쪽창)</t>
  </si>
  <si>
    <t>**창호틀 기준, 단면기준, 실리콘포함 / 가로 120cm, 세로 50cm 이하</t>
  </si>
  <si>
    <t>필름_창호(시스템_반창)</t>
  </si>
  <si>
    <t>필름_창호(시스템_장창)</t>
  </si>
  <si>
    <t>**창호틀 기준, 단면기준, 실리콘 포함 / 가로 240cm, 세로 231cm 이상</t>
  </si>
  <si>
    <t>필름_천장몰딩(도배선철거)</t>
  </si>
  <si>
    <t>**평몰딩, 마이너스 몰딩 기준, 도배 선철거 기준</t>
  </si>
  <si>
    <t>필름_천장몰딩(도배미철거)</t>
  </si>
  <si>
    <t>**평몰딩, 마이너스 몰딩 기준, 도배 미철거 기준</t>
  </si>
  <si>
    <t>필름_걸레받이몰딩(도배선철거)</t>
  </si>
  <si>
    <t>**평 걸레받이 기준, 도배 선철거 기준</t>
  </si>
  <si>
    <t>필름_걸레받이몰딩(도배미철거)</t>
  </si>
  <si>
    <t>**평 걸레받이 기준, 도배 미철거 기준</t>
  </si>
  <si>
    <t>필름_천장등박스(일반)</t>
  </si>
  <si>
    <t>**일반 등박스</t>
  </si>
  <si>
    <t>필름_천장등박스(굴곡)</t>
  </si>
  <si>
    <t>**굴곡 등박스</t>
  </si>
  <si>
    <t xml:space="preserve">필름_가벽 신설부 필름작업 [단위 : EA] </t>
  </si>
  <si>
    <t xml:space="preserve">**1.5m이내 / 1면 필름 기준 </t>
  </si>
  <si>
    <t>목공_등박스 [단위 : EA]</t>
  </si>
  <si>
    <t>목공_커튼박스 [단위 : EA]</t>
  </si>
  <si>
    <t>목공_터닝도어 문선시공 [단위 : EA]</t>
  </si>
  <si>
    <t>목공_포켓도어틀 [단위 : EA]</t>
  </si>
  <si>
    <t>목공_하프파티션 창틀시공 [단위 : EA]</t>
  </si>
  <si>
    <t>목공_천장보강 [단위 : EA]</t>
  </si>
  <si>
    <t>에어컨 등박스 설치 등</t>
    <phoneticPr fontId="3" type="noConversion"/>
  </si>
  <si>
    <t>확장공사 외 커튼박스 추가 작업시 (확장공사 커튼박스 작업 포함)</t>
    <phoneticPr fontId="3" type="noConversion"/>
  </si>
  <si>
    <t>터닝도어 1개소 / 문선,인방 시공 기준</t>
    <phoneticPr fontId="3" type="noConversion"/>
  </si>
  <si>
    <t>댐퍼레일, 도어 제품 별도 / 가로 2.4M 이내</t>
    <phoneticPr fontId="3" type="noConversion"/>
  </si>
  <si>
    <t>하프파티션 유리 제품 별도 / 1.5m X 1.5m내 통유리 설치 기준</t>
    <phoneticPr fontId="3" type="noConversion"/>
  </si>
  <si>
    <t>천장 훼손부  목공 보강 / 기준 1.5㎡ 이내</t>
    <phoneticPr fontId="3" type="noConversion"/>
  </si>
  <si>
    <t>단열_E보드단열 [단위 : M]</t>
    <phoneticPr fontId="3" type="noConversion"/>
  </si>
  <si>
    <t>E보드단열 [단위 : M]</t>
    <phoneticPr fontId="3" type="noConversion"/>
  </si>
  <si>
    <t>설비_배수구이동(위치변경) [단위 : EA]</t>
  </si>
  <si>
    <t>설비_현관 단올림 [단위 : EA]</t>
  </si>
  <si>
    <t>발코니 배수구 이동</t>
    <phoneticPr fontId="3" type="noConversion"/>
  </si>
  <si>
    <t>타일철거_발코니 소형 단 철거 [단위 : EA]</t>
    <phoneticPr fontId="3" type="noConversion"/>
  </si>
  <si>
    <t>발코니 소형 단 철거 [단위 : EA]</t>
    <phoneticPr fontId="3" type="noConversion"/>
  </si>
  <si>
    <t>철거_에어컨 배관 매립 (2M 이내) [단위 : EA]</t>
  </si>
  <si>
    <t>철거_에어컨 배관 매립 (2M 이상) [단위 : EA]</t>
  </si>
  <si>
    <t>**에어컨 배관 설치 별도 / 철거면적 2M 이내</t>
  </si>
  <si>
    <t>**에어컨 배관 설치 별도 / 철거면적 2M 이상</t>
  </si>
  <si>
    <t>에어컨 배관 매립 (2M 이내) [단위 : EA]</t>
    <phoneticPr fontId="3" type="noConversion"/>
  </si>
  <si>
    <t>에어컨 배관 매립 (2M 이상) [단위 : EA]</t>
    <phoneticPr fontId="3" type="noConversion"/>
  </si>
  <si>
    <t>욕실철거_바닥철거 [단위 : EA]</t>
  </si>
  <si>
    <t>욕실철거_전체철거 [단위 : EA]</t>
  </si>
  <si>
    <t>욕실철거_UBR철거 [단위 : EA]</t>
  </si>
  <si>
    <t>바닥철거 [단위 : EA]</t>
    <phoneticPr fontId="3" type="noConversion"/>
  </si>
  <si>
    <t>전체철거 [단위 : EA]</t>
    <phoneticPr fontId="3" type="noConversion"/>
  </si>
  <si>
    <t>UBR철거 [단위 : EA]</t>
    <phoneticPr fontId="3" type="noConversion"/>
  </si>
  <si>
    <t>전기_인덕션 전기배선, 누전차단기 설치 [단위 : EA]</t>
  </si>
  <si>
    <t>전기_현관 하부조명작업 [단위 : EA]</t>
  </si>
  <si>
    <t>전기_스위치, 콘센트 이설/증설(옹벽)</t>
  </si>
  <si>
    <t>전기_스위치, 콘센트 이설/증설(석고벽)</t>
  </si>
  <si>
    <t>현관 하부조명작업 [단위 : EA]</t>
    <phoneticPr fontId="3" type="noConversion"/>
  </si>
  <si>
    <t>배전반 누전차단기 및 통진단자함 신설기준</t>
    <phoneticPr fontId="3" type="noConversion"/>
  </si>
  <si>
    <t xml:space="preserve">현관장 하부 조명 전기 작업 시 </t>
    <phoneticPr fontId="3" type="noConversion"/>
  </si>
  <si>
    <t>콘센트, 스위치, 온도조절기, 통신유닛 이설/증설 복스 포함, 옹벽기준 (선로 작업 2미터 미만), 복스 및 선로 철거, 복스 및 CD관 삽입, 선로 연결</t>
    <phoneticPr fontId="3" type="noConversion"/>
  </si>
  <si>
    <t>콘센트, 스위치, 온도조절기, 통신유닛 이설/증설 복스 포함, 석고벽 기준 (선로 작업 2미터 미만), 복스 및 선로 철거, 복스 및 CD관 삽입, 선로 연결</t>
    <phoneticPr fontId="3" type="noConversion"/>
  </si>
  <si>
    <t>**실리콘 마감 등 공사 후 마감작업 / 공용면적평수 35평 이하 = 24만, 35평~45평 = 34만, 45평 초과 = 44만 (종합공사시 적용)</t>
  </si>
  <si>
    <t>**필요자재 RD 준비 : 도어말발굽, 도어클로저, 도어고리 등</t>
  </si>
  <si>
    <t>**세탁기 유가, 욕실 유가 교체</t>
  </si>
  <si>
    <t>중문 [단위 : EA]</t>
    <phoneticPr fontId="3" type="noConversion"/>
  </si>
  <si>
    <t>도어(문틀, 문짝, 문선, 인방 포함_민자)</t>
  </si>
  <si>
    <t>도어(문틀, 문짝, 문선, 인방 포함_굴곡)</t>
  </si>
  <si>
    <t>도어(문틀_민자)</t>
  </si>
  <si>
    <t>도어(문틀_굴곡)</t>
  </si>
  <si>
    <t>도어(민자문짝)</t>
  </si>
  <si>
    <t>도어(타공문짝)</t>
  </si>
  <si>
    <t>도어(양각,음각문짝)</t>
  </si>
  <si>
    <t>도어(문선, 인방)</t>
  </si>
  <si>
    <t>창호(단창_쪽창)</t>
  </si>
  <si>
    <t>창호(단창_반창)</t>
  </si>
  <si>
    <t>창호(단창_장창)</t>
  </si>
  <si>
    <t>창호(이중창_쪽창)</t>
  </si>
  <si>
    <t>창호(이중창_반창)</t>
  </si>
  <si>
    <t>창호(이중창_장창)</t>
  </si>
  <si>
    <t>창호(시스템_쪽창)</t>
  </si>
  <si>
    <t>창호(시스템_반창)</t>
  </si>
  <si>
    <t>창호(시스템_장창)</t>
  </si>
  <si>
    <t>천장몰딩(도배선철거)</t>
  </si>
  <si>
    <t>천장몰딩(도배미철거)</t>
  </si>
  <si>
    <t>걸레받이몰딩(도배선철거)</t>
  </si>
  <si>
    <t>걸레받이몰딩(도배미철거)</t>
  </si>
  <si>
    <t>천장등박스(일반)</t>
  </si>
  <si>
    <t>천장등박스(굴곡)</t>
  </si>
  <si>
    <t xml:space="preserve">가벽 신설부 필름작업 [단위 : EA] </t>
  </si>
  <si>
    <t>기준</t>
    <phoneticPr fontId="3" type="noConversion"/>
  </si>
  <si>
    <t>기타항목기입</t>
    <phoneticPr fontId="3" type="noConversion"/>
  </si>
  <si>
    <t>기타항목기입</t>
    <phoneticPr fontId="3" type="noConversion"/>
  </si>
  <si>
    <t>한샘 평패키지 시공비 기준 / 자재는 대리점 발주 기준</t>
    <phoneticPr fontId="3" type="noConversion"/>
  </si>
  <si>
    <t>바닥철거_마루(본드접착식)  [단위 : 평]</t>
  </si>
  <si>
    <t>바닥철거_강화마루  [단위 : 평]</t>
  </si>
  <si>
    <t>바닥철거_데코타일  [단위 : 평]</t>
  </si>
  <si>
    <t>바닥철거_바탕작업(한지장판샌딩) [단위 : EA]</t>
  </si>
  <si>
    <t>설비_급수관 이동  [단위 : EA]</t>
    <phoneticPr fontId="3" type="noConversion"/>
  </si>
  <si>
    <t>욕실 바닥 타일 철거(방수포함)</t>
    <phoneticPr fontId="3" type="noConversion"/>
  </si>
  <si>
    <t>욕실 전체 타일 철거(방수포함)</t>
    <phoneticPr fontId="3" type="noConversion"/>
  </si>
  <si>
    <t>URB 욕실 철거 , 설비, 방수 작업 포함</t>
    <phoneticPr fontId="3" type="noConversion"/>
  </si>
  <si>
    <t xml:space="preserve">세탁기 바닥 면적 기준 </t>
    <phoneticPr fontId="3" type="noConversion"/>
  </si>
  <si>
    <t xml:space="preserve"> 중문 설치부 현관부 단올림</t>
    <phoneticPr fontId="3" type="noConversion"/>
  </si>
  <si>
    <t>E보드 23T 기준 (900x2440)</t>
    <phoneticPr fontId="3" type="noConversion"/>
  </si>
  <si>
    <t>공사마감_배수구 유가 교체  [단위 : EA]</t>
    <phoneticPr fontId="3" type="noConversion"/>
  </si>
  <si>
    <t>공사 후 마감작업 [단위 : EA]</t>
    <phoneticPr fontId="3" type="noConversion"/>
  </si>
  <si>
    <t>빨래건조대 [단위 : EA]</t>
    <phoneticPr fontId="3" type="noConversion"/>
  </si>
  <si>
    <t>방화문 액세서리 설치 [단위 : EA]</t>
    <phoneticPr fontId="3" type="noConversion"/>
  </si>
  <si>
    <t>발코니 냉온수 수도교체 [단위 : EA]</t>
    <phoneticPr fontId="3" type="noConversion"/>
  </si>
  <si>
    <t>화재감지기커버 교체 [단위 : EA]</t>
    <phoneticPr fontId="3" type="noConversion"/>
  </si>
  <si>
    <t>방송스피커캡 교체 [단위 : EA]</t>
    <phoneticPr fontId="3" type="noConversion"/>
  </si>
  <si>
    <t>배수구 유가 교체  [단위 : EA]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</si>
  <si>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</si>
  <si>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</si>
  <si>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</si>
  <si>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평</t>
    <phoneticPr fontId="3" type="noConversion"/>
  </si>
  <si>
    <t>평</t>
    <phoneticPr fontId="3" type="noConversion"/>
  </si>
  <si>
    <t>인덕션 전기배선, 누전차단기 설치 [단위 : EA]</t>
    <phoneticPr fontId="3" type="noConversion"/>
  </si>
  <si>
    <t>스위치, 콘센트 이설/증설(옹벽) [단위 : EA]</t>
    <phoneticPr fontId="3" type="noConversion"/>
  </si>
  <si>
    <t>스위치, 콘센트 이설/증설(석고벽) [단위 : EA]</t>
    <phoneticPr fontId="3" type="noConversion"/>
  </si>
  <si>
    <t>EA</t>
    <phoneticPr fontId="3" type="noConversion"/>
  </si>
  <si>
    <t>**시공가능, 자재 대리점 공급</t>
    <phoneticPr fontId="3" type="noConversion"/>
  </si>
  <si>
    <t>**시공가능, 자재 OMS 발주</t>
    <phoneticPr fontId="3" type="noConversion"/>
  </si>
  <si>
    <t>**시공가능, 자재 대리점 공급</t>
    <phoneticPr fontId="3" type="noConversion"/>
  </si>
  <si>
    <t>**시공가능, 자재 대리점 공급</t>
    <phoneticPr fontId="3" type="noConversion"/>
  </si>
  <si>
    <t>배수구이동(위치변경) [단위 : EA]</t>
    <phoneticPr fontId="3" type="noConversion"/>
  </si>
  <si>
    <t>현관 단올림 [단위 : EA]</t>
    <phoneticPr fontId="3" type="noConversion"/>
  </si>
</sst>
</file>

<file path=xl/styles.xml><?xml version="1.0" encoding="utf-8"?>
<styleSheet xmlns="http://schemas.openxmlformats.org/spreadsheetml/2006/main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yyyy&quot;년&quot;\ m&quot;월&quot;\ d&quot;일&quot;;@"/>
    <numFmt numFmtId="177" formatCode="#,##0.00_ ;[Red]\-#,##0.00\ "/>
    <numFmt numFmtId="178" formatCode="_-* #,##0_-;\-* #,##0_-;_-* &quot;-&quot;??_-;_-@_-"/>
    <numFmt numFmtId="179" formatCode="#,##0.0_);[Red]\(#,##0.0\)"/>
    <numFmt numFmtId="180" formatCode="#,##0_ ;[Red]\-#,##0\ "/>
  </numFmts>
  <fonts count="5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2"/>
      <name val="굴림체"/>
      <family val="3"/>
      <charset val="129"/>
    </font>
    <font>
      <sz val="8"/>
      <name val="돋움"/>
      <family val="3"/>
      <charset val="129"/>
    </font>
    <font>
      <sz val="18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0"/>
      <name val="바탕체"/>
      <family val="1"/>
      <charset val="129"/>
    </font>
    <font>
      <sz val="8"/>
      <name val="바탕체"/>
      <family val="1"/>
      <charset val="129"/>
    </font>
    <font>
      <sz val="10"/>
      <color indexed="8"/>
      <name val="돋움체"/>
      <family val="3"/>
      <charset val="129"/>
    </font>
    <font>
      <sz val="11"/>
      <color indexed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-윤고딕310"/>
      <family val="1"/>
      <charset val="129"/>
    </font>
    <font>
      <sz val="11"/>
      <color theme="0" tint="-0.249977111117893"/>
      <name val="-윤고딕310"/>
      <family val="1"/>
      <charset val="129"/>
    </font>
    <font>
      <sz val="18"/>
      <name val="-윤고딕310"/>
      <family val="1"/>
      <charset val="129"/>
    </font>
    <font>
      <sz val="18"/>
      <color theme="1"/>
      <name val="-윤고딕310"/>
      <family val="1"/>
      <charset val="129"/>
    </font>
    <font>
      <b/>
      <sz val="16"/>
      <name val="-윤고딕310"/>
      <family val="1"/>
      <charset val="129"/>
    </font>
    <font>
      <sz val="16"/>
      <name val="-윤고딕310"/>
      <family val="1"/>
      <charset val="129"/>
    </font>
    <font>
      <b/>
      <sz val="18"/>
      <name val="-윤고딕310"/>
      <family val="1"/>
      <charset val="129"/>
    </font>
    <font>
      <sz val="16"/>
      <color theme="1"/>
      <name val="-윤고딕310"/>
      <family val="1"/>
      <charset val="129"/>
    </font>
    <font>
      <b/>
      <sz val="26"/>
      <name val="-윤고딕320"/>
      <family val="1"/>
      <charset val="129"/>
    </font>
    <font>
      <b/>
      <sz val="16"/>
      <color theme="1"/>
      <name val="-윤고딕310"/>
      <family val="1"/>
      <charset val="129"/>
    </font>
    <font>
      <b/>
      <sz val="14"/>
      <color theme="0"/>
      <name val="-윤고딕320"/>
      <family val="1"/>
      <charset val="129"/>
    </font>
    <font>
      <sz val="14"/>
      <color rgb="FFFF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0" tint="-0.249977111117893"/>
      <name val="맑은 고딕"/>
      <family val="3"/>
      <charset val="129"/>
      <scheme val="minor"/>
    </font>
    <font>
      <sz val="16"/>
      <color theme="0" tint="-0.249977111117893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8"/>
      <color theme="1"/>
      <name val="-윤고딕310"/>
      <family val="1"/>
      <charset val="129"/>
    </font>
    <font>
      <b/>
      <u/>
      <sz val="20"/>
      <name val="-윤고딕310"/>
      <family val="1"/>
      <charset val="129"/>
    </font>
    <font>
      <b/>
      <sz val="18"/>
      <color theme="0"/>
      <name val="-윤고딕310"/>
      <family val="1"/>
      <charset val="129"/>
    </font>
    <font>
      <b/>
      <sz val="14"/>
      <color theme="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1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10" fillId="0" borderId="0"/>
    <xf numFmtId="0" fontId="10" fillId="0" borderId="0"/>
    <xf numFmtId="0" fontId="12" fillId="0" borderId="0"/>
    <xf numFmtId="41" fontId="2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</cellStyleXfs>
  <cellXfs count="466">
    <xf numFmtId="0" fontId="0" fillId="0" borderId="0" xfId="0">
      <alignment vertical="center"/>
    </xf>
    <xf numFmtId="0" fontId="2" fillId="0" borderId="0" xfId="2" applyFont="1">
      <alignment vertical="center"/>
    </xf>
    <xf numFmtId="0" fontId="4" fillId="0" borderId="0" xfId="2" applyFont="1" applyFill="1" applyBorder="1">
      <alignment vertical="center"/>
    </xf>
    <xf numFmtId="0" fontId="2" fillId="0" borderId="0" xfId="2" applyFont="1" applyFill="1" applyAlignment="1">
      <alignment horizontal="center" vertical="center"/>
    </xf>
    <xf numFmtId="0" fontId="2" fillId="0" borderId="0" xfId="2" applyFont="1" applyFill="1">
      <alignment vertical="center"/>
    </xf>
    <xf numFmtId="0" fontId="11" fillId="0" borderId="0" xfId="2" applyFont="1" applyFill="1" applyBorder="1" applyAlignment="1">
      <alignment vertical="center"/>
    </xf>
    <xf numFmtId="0" fontId="2" fillId="0" borderId="0" xfId="2" applyFont="1" applyFill="1" applyBorder="1">
      <alignment vertical="center"/>
    </xf>
    <xf numFmtId="0" fontId="11" fillId="0" borderId="0" xfId="2" applyFont="1" applyFill="1" applyBorder="1" applyAlignment="1">
      <alignment horizontal="center" wrapText="1"/>
    </xf>
    <xf numFmtId="0" fontId="11" fillId="2" borderId="0" xfId="2" applyFont="1" applyFill="1" applyBorder="1" applyAlignment="1">
      <alignment horizontal="center" wrapText="1"/>
    </xf>
    <xf numFmtId="41" fontId="16" fillId="0" borderId="17" xfId="1" applyFont="1" applyFill="1" applyBorder="1" applyAlignment="1">
      <alignment horizontal="right" vertical="center"/>
    </xf>
    <xf numFmtId="49" fontId="16" fillId="0" borderId="0" xfId="7" applyNumberFormat="1" applyFont="1" applyFill="1" applyBorder="1" applyAlignment="1">
      <alignment vertical="center"/>
    </xf>
    <xf numFmtId="41" fontId="17" fillId="0" borderId="18" xfId="1" applyFont="1" applyBorder="1">
      <alignment vertical="center"/>
    </xf>
    <xf numFmtId="41" fontId="17" fillId="0" borderId="24" xfId="1" applyFont="1" applyBorder="1">
      <alignment vertical="center"/>
    </xf>
    <xf numFmtId="41" fontId="17" fillId="0" borderId="17" xfId="1" applyFont="1" applyBorder="1">
      <alignment vertical="center"/>
    </xf>
    <xf numFmtId="41" fontId="17" fillId="0" borderId="32" xfId="1" applyFont="1" applyBorder="1">
      <alignment vertical="center"/>
    </xf>
    <xf numFmtId="41" fontId="17" fillId="0" borderId="33" xfId="1" applyFont="1" applyBorder="1">
      <alignment vertical="center"/>
    </xf>
    <xf numFmtId="41" fontId="17" fillId="0" borderId="0" xfId="1" applyFont="1" applyFill="1" applyBorder="1">
      <alignment vertical="center"/>
    </xf>
    <xf numFmtId="49" fontId="18" fillId="0" borderId="0" xfId="7" applyNumberFormat="1" applyFont="1" applyFill="1" applyBorder="1" applyAlignment="1">
      <alignment vertical="center"/>
    </xf>
    <xf numFmtId="0" fontId="16" fillId="0" borderId="0" xfId="7" applyNumberFormat="1" applyFont="1" applyFill="1" applyBorder="1" applyAlignment="1">
      <alignment vertical="center"/>
    </xf>
    <xf numFmtId="41" fontId="17" fillId="0" borderId="18" xfId="1" applyFont="1" applyFill="1" applyBorder="1">
      <alignment vertical="center"/>
    </xf>
    <xf numFmtId="41" fontId="17" fillId="0" borderId="17" xfId="1" applyFont="1" applyFill="1" applyBorder="1">
      <alignment vertical="center"/>
    </xf>
    <xf numFmtId="41" fontId="17" fillId="0" borderId="30" xfId="1" applyFont="1" applyBorder="1">
      <alignment vertical="center"/>
    </xf>
    <xf numFmtId="41" fontId="16" fillId="0" borderId="0" xfId="8" applyFont="1" applyFill="1" applyBorder="1" applyAlignment="1">
      <alignment vertical="center"/>
    </xf>
    <xf numFmtId="0" fontId="16" fillId="0" borderId="0" xfId="8" applyNumberFormat="1" applyFont="1" applyFill="1" applyBorder="1" applyAlignment="1">
      <alignment vertical="center"/>
    </xf>
    <xf numFmtId="41" fontId="18" fillId="0" borderId="0" xfId="8" applyFont="1" applyFill="1" applyBorder="1" applyAlignment="1">
      <alignment vertical="center"/>
    </xf>
    <xf numFmtId="41" fontId="16" fillId="0" borderId="0" xfId="1" applyFont="1" applyFill="1" applyBorder="1" applyAlignment="1">
      <alignment horizontal="right" vertical="center"/>
    </xf>
    <xf numFmtId="0" fontId="18" fillId="0" borderId="0" xfId="8" applyNumberFormat="1" applyFont="1" applyFill="1" applyBorder="1" applyAlignment="1">
      <alignment vertical="center"/>
    </xf>
    <xf numFmtId="41" fontId="17" fillId="0" borderId="12" xfId="1" applyFont="1" applyBorder="1">
      <alignment vertical="center"/>
    </xf>
    <xf numFmtId="41" fontId="17" fillId="0" borderId="33" xfId="1" applyFont="1" applyFill="1" applyBorder="1">
      <alignment vertical="center"/>
    </xf>
    <xf numFmtId="41" fontId="17" fillId="0" borderId="34" xfId="1" applyFont="1" applyFill="1" applyBorder="1">
      <alignment vertical="center"/>
    </xf>
    <xf numFmtId="41" fontId="17" fillId="0" borderId="38" xfId="1" applyFont="1" applyBorder="1">
      <alignment vertical="center"/>
    </xf>
    <xf numFmtId="41" fontId="17" fillId="0" borderId="39" xfId="1" applyFont="1" applyBorder="1">
      <alignment vertical="center"/>
    </xf>
    <xf numFmtId="41" fontId="16" fillId="0" borderId="18" xfId="1" applyFont="1" applyFill="1" applyBorder="1" applyAlignment="1">
      <alignment horizontal="right" vertical="center"/>
    </xf>
    <xf numFmtId="41" fontId="16" fillId="0" borderId="33" xfId="1" applyFont="1" applyFill="1" applyBorder="1" applyAlignment="1">
      <alignment horizontal="right" vertical="center"/>
    </xf>
    <xf numFmtId="0" fontId="16" fillId="0" borderId="40" xfId="8" applyNumberFormat="1" applyFont="1" applyFill="1" applyBorder="1" applyAlignment="1">
      <alignment vertical="center"/>
    </xf>
    <xf numFmtId="41" fontId="17" fillId="0" borderId="36" xfId="1" applyFont="1" applyFill="1" applyBorder="1">
      <alignment vertical="center"/>
    </xf>
    <xf numFmtId="41" fontId="17" fillId="0" borderId="37" xfId="1" applyFont="1" applyFill="1" applyBorder="1">
      <alignment vertical="center"/>
    </xf>
    <xf numFmtId="41" fontId="17" fillId="0" borderId="35" xfId="1" applyFont="1" applyFill="1" applyBorder="1">
      <alignment vertical="center"/>
    </xf>
    <xf numFmtId="41" fontId="17" fillId="0" borderId="4" xfId="1" applyFont="1" applyFill="1" applyBorder="1">
      <alignment vertical="center"/>
    </xf>
    <xf numFmtId="41" fontId="17" fillId="0" borderId="16" xfId="1" applyFont="1" applyFill="1" applyBorder="1">
      <alignment vertical="center"/>
    </xf>
    <xf numFmtId="41" fontId="17" fillId="0" borderId="41" xfId="1" applyFont="1" applyFill="1" applyBorder="1">
      <alignment vertical="center"/>
    </xf>
    <xf numFmtId="41" fontId="17" fillId="0" borderId="42" xfId="1" applyFont="1" applyFill="1" applyBorder="1">
      <alignment vertical="center"/>
    </xf>
    <xf numFmtId="41" fontId="17" fillId="0" borderId="23" xfId="1" applyFont="1" applyFill="1" applyBorder="1">
      <alignment vertical="center"/>
    </xf>
    <xf numFmtId="41" fontId="17" fillId="0" borderId="36" xfId="1" applyFont="1" applyBorder="1">
      <alignment vertical="center"/>
    </xf>
    <xf numFmtId="41" fontId="17" fillId="0" borderId="23" xfId="1" applyFont="1" applyBorder="1">
      <alignment vertical="center"/>
    </xf>
    <xf numFmtId="41" fontId="17" fillId="0" borderId="31" xfId="1" applyFont="1" applyBorder="1">
      <alignment vertical="center"/>
    </xf>
    <xf numFmtId="41" fontId="17" fillId="0" borderId="41" xfId="1" applyFont="1" applyBorder="1">
      <alignment vertical="center"/>
    </xf>
    <xf numFmtId="41" fontId="17" fillId="0" borderId="37" xfId="1" applyFont="1" applyBorder="1">
      <alignment vertical="center"/>
    </xf>
    <xf numFmtId="41" fontId="17" fillId="0" borderId="43" xfId="1" applyFont="1" applyFill="1" applyBorder="1">
      <alignment vertical="center"/>
    </xf>
    <xf numFmtId="41" fontId="17" fillId="0" borderId="44" xfId="1" applyFont="1" applyFill="1" applyBorder="1">
      <alignment vertical="center"/>
    </xf>
    <xf numFmtId="41" fontId="16" fillId="0" borderId="0" xfId="1" applyFont="1" applyFill="1" applyBorder="1" applyAlignment="1">
      <alignment vertical="center"/>
    </xf>
    <xf numFmtId="0" fontId="19" fillId="0" borderId="0" xfId="2" applyFont="1">
      <alignment vertical="center"/>
    </xf>
    <xf numFmtId="0" fontId="20" fillId="0" borderId="0" xfId="2" applyFont="1" applyFill="1" applyBorder="1">
      <alignment vertical="center"/>
    </xf>
    <xf numFmtId="0" fontId="21" fillId="0" borderId="0" xfId="3" applyFont="1" applyBorder="1" applyAlignment="1">
      <alignment horizontal="left"/>
    </xf>
    <xf numFmtId="0" fontId="21" fillId="0" borderId="0" xfId="3" applyFont="1" applyBorder="1" applyAlignment="1">
      <alignment vertical="center"/>
    </xf>
    <xf numFmtId="0" fontId="22" fillId="0" borderId="0" xfId="2" applyFont="1" applyBorder="1">
      <alignment vertical="center"/>
    </xf>
    <xf numFmtId="0" fontId="21" fillId="0" borderId="0" xfId="3" applyFont="1" applyBorder="1" applyAlignment="1">
      <alignment horizontal="left" vertical="center"/>
    </xf>
    <xf numFmtId="176" fontId="21" fillId="0" borderId="0" xfId="3" applyNumberFormat="1" applyFont="1" applyBorder="1" applyAlignment="1">
      <alignment vertical="center"/>
    </xf>
    <xf numFmtId="0" fontId="25" fillId="0" borderId="0" xfId="3" applyFont="1" applyBorder="1" applyAlignment="1">
      <alignment horizontal="center" vertical="center"/>
    </xf>
    <xf numFmtId="0" fontId="19" fillId="0" borderId="0" xfId="2" applyFont="1" applyBorder="1">
      <alignment vertical="center"/>
    </xf>
    <xf numFmtId="0" fontId="24" fillId="0" borderId="0" xfId="3" applyFont="1" applyBorder="1" applyAlignment="1">
      <alignment horizontal="right" vertical="top"/>
    </xf>
    <xf numFmtId="0" fontId="24" fillId="0" borderId="0" xfId="3" applyFont="1" applyBorder="1" applyAlignment="1">
      <alignment horizontal="left" vertical="top"/>
    </xf>
    <xf numFmtId="0" fontId="21" fillId="0" borderId="0" xfId="3" applyFont="1" applyBorder="1" applyAlignment="1">
      <alignment vertical="top"/>
    </xf>
    <xf numFmtId="0" fontId="21" fillId="0" borderId="0" xfId="3" applyFont="1" applyBorder="1" applyAlignment="1">
      <alignment horizontal="left" vertical="top"/>
    </xf>
    <xf numFmtId="0" fontId="21" fillId="0" borderId="1" xfId="3" applyFont="1" applyBorder="1" applyAlignment="1">
      <alignment horizontal="left"/>
    </xf>
    <xf numFmtId="0" fontId="21" fillId="0" borderId="1" xfId="3" applyFont="1" applyBorder="1" applyAlignment="1">
      <alignment vertical="center"/>
    </xf>
    <xf numFmtId="0" fontId="22" fillId="0" borderId="1" xfId="2" applyFont="1" applyBorder="1">
      <alignment vertical="center"/>
    </xf>
    <xf numFmtId="0" fontId="21" fillId="0" borderId="0" xfId="3" applyFont="1" applyBorder="1" applyAlignment="1">
      <alignment horizontal="center" vertical="center"/>
    </xf>
    <xf numFmtId="0" fontId="25" fillId="0" borderId="0" xfId="3" applyFont="1" applyBorder="1" applyAlignment="1"/>
    <xf numFmtId="0" fontId="19" fillId="0" borderId="0" xfId="0" applyFont="1">
      <alignment vertical="center"/>
    </xf>
    <xf numFmtId="0" fontId="21" fillId="0" borderId="0" xfId="3" applyFont="1" applyAlignment="1">
      <alignment vertical="center"/>
    </xf>
    <xf numFmtId="0" fontId="22" fillId="0" borderId="0" xfId="2" applyFont="1">
      <alignment vertical="center"/>
    </xf>
    <xf numFmtId="0" fontId="21" fillId="0" borderId="0" xfId="5" applyFont="1" applyBorder="1" applyAlignment="1">
      <alignment vertical="center"/>
    </xf>
    <xf numFmtId="0" fontId="21" fillId="0" borderId="0" xfId="3" applyFont="1" applyBorder="1" applyAlignment="1"/>
    <xf numFmtId="0" fontId="21" fillId="0" borderId="0" xfId="3" applyFont="1" applyBorder="1" applyAlignment="1">
      <alignment horizontal="center"/>
    </xf>
    <xf numFmtId="0" fontId="21" fillId="0" borderId="0" xfId="3" applyFont="1" applyAlignment="1"/>
    <xf numFmtId="0" fontId="25" fillId="0" borderId="0" xfId="3" applyFont="1" applyBorder="1" applyAlignment="1">
      <alignment vertical="center"/>
    </xf>
    <xf numFmtId="0" fontId="23" fillId="0" borderId="0" xfId="3" applyFont="1" applyAlignment="1">
      <alignment horizontal="left" vertical="center"/>
    </xf>
    <xf numFmtId="0" fontId="23" fillId="0" borderId="0" xfId="3" applyFont="1" applyAlignment="1"/>
    <xf numFmtId="0" fontId="25" fillId="0" borderId="0" xfId="6" applyFont="1" applyBorder="1" applyAlignment="1">
      <alignment vertical="center"/>
    </xf>
    <xf numFmtId="0" fontId="21" fillId="0" borderId="1" xfId="3" applyFont="1" applyBorder="1" applyAlignment="1"/>
    <xf numFmtId="0" fontId="21" fillId="0" borderId="10" xfId="3" applyFont="1" applyBorder="1" applyAlignment="1">
      <alignment vertical="center"/>
    </xf>
    <xf numFmtId="0" fontId="21" fillId="0" borderId="10" xfId="3" applyFont="1" applyBorder="1" applyAlignment="1"/>
    <xf numFmtId="0" fontId="21" fillId="0" borderId="10" xfId="3" applyFont="1" applyBorder="1" applyAlignment="1">
      <alignment horizontal="left" vertical="center"/>
    </xf>
    <xf numFmtId="0" fontId="22" fillId="0" borderId="10" xfId="2" applyFont="1" applyBorder="1">
      <alignment vertical="center"/>
    </xf>
    <xf numFmtId="0" fontId="23" fillId="0" borderId="0" xfId="3" applyFont="1" applyBorder="1" applyAlignment="1">
      <alignment vertical="center"/>
    </xf>
    <xf numFmtId="0" fontId="24" fillId="0" borderId="0" xfId="3" applyFont="1" applyBorder="1" applyAlignment="1"/>
    <xf numFmtId="0" fontId="23" fillId="0" borderId="0" xfId="3" applyFont="1" applyFill="1" applyBorder="1" applyAlignment="1">
      <alignment vertical="center"/>
    </xf>
    <xf numFmtId="0" fontId="24" fillId="0" borderId="0" xfId="5" applyFont="1" applyBorder="1" applyAlignment="1">
      <alignment vertical="center"/>
    </xf>
    <xf numFmtId="0" fontId="24" fillId="0" borderId="0" xfId="3" applyFont="1" applyBorder="1" applyAlignment="1">
      <alignment vertical="center"/>
    </xf>
    <xf numFmtId="0" fontId="23" fillId="0" borderId="0" xfId="6" applyFont="1" applyBorder="1" applyAlignment="1">
      <alignment vertical="center"/>
    </xf>
    <xf numFmtId="0" fontId="24" fillId="0" borderId="0" xfId="6" applyFont="1" applyBorder="1" applyAlignment="1">
      <alignment vertical="center"/>
    </xf>
    <xf numFmtId="0" fontId="26" fillId="0" borderId="0" xfId="0" applyFont="1" applyBorder="1">
      <alignment vertical="center"/>
    </xf>
    <xf numFmtId="0" fontId="23" fillId="0" borderId="0" xfId="3" applyFont="1" applyBorder="1" applyAlignment="1">
      <alignment horizontal="left" vertical="center"/>
    </xf>
    <xf numFmtId="0" fontId="23" fillId="0" borderId="45" xfId="3" applyFont="1" applyBorder="1" applyAlignment="1">
      <alignment vertical="center"/>
    </xf>
    <xf numFmtId="0" fontId="24" fillId="0" borderId="45" xfId="5" applyFont="1" applyBorder="1" applyAlignment="1">
      <alignment vertical="center"/>
    </xf>
    <xf numFmtId="0" fontId="24" fillId="0" borderId="45" xfId="3" applyFont="1" applyBorder="1" applyAlignment="1">
      <alignment vertical="center"/>
    </xf>
    <xf numFmtId="0" fontId="21" fillId="0" borderId="45" xfId="3" applyFont="1" applyBorder="1" applyAlignment="1">
      <alignment vertical="center"/>
    </xf>
    <xf numFmtId="0" fontId="24" fillId="0" borderId="45" xfId="6" applyFont="1" applyBorder="1" applyAlignment="1">
      <alignment vertical="center"/>
    </xf>
    <xf numFmtId="0" fontId="28" fillId="0" borderId="0" xfId="2" applyFont="1" applyBorder="1" applyAlignment="1">
      <alignment vertical="center"/>
    </xf>
    <xf numFmtId="0" fontId="23" fillId="3" borderId="0" xfId="3" applyFont="1" applyFill="1" applyBorder="1" applyAlignment="1">
      <alignment vertical="center"/>
    </xf>
    <xf numFmtId="0" fontId="28" fillId="3" borderId="0" xfId="2" applyFont="1" applyFill="1" applyBorder="1" applyAlignment="1">
      <alignment vertical="center"/>
    </xf>
    <xf numFmtId="0" fontId="23" fillId="0" borderId="0" xfId="3" applyFont="1" applyFill="1" applyBorder="1" applyAlignment="1">
      <alignment horizontal="right" vertical="center"/>
    </xf>
    <xf numFmtId="49" fontId="30" fillId="0" borderId="0" xfId="7" applyNumberFormat="1" applyFont="1" applyFill="1" applyBorder="1" applyAlignment="1">
      <alignment vertical="center"/>
    </xf>
    <xf numFmtId="0" fontId="31" fillId="0" borderId="0" xfId="7" applyNumberFormat="1" applyFont="1" applyFill="1" applyBorder="1" applyAlignment="1">
      <alignment vertical="center"/>
    </xf>
    <xf numFmtId="49" fontId="31" fillId="0" borderId="0" xfId="7" applyNumberFormat="1" applyFont="1" applyFill="1" applyBorder="1" applyAlignment="1">
      <alignment vertical="center"/>
    </xf>
    <xf numFmtId="0" fontId="32" fillId="0" borderId="0" xfId="2" applyFont="1">
      <alignment vertical="center"/>
    </xf>
    <xf numFmtId="0" fontId="33" fillId="0" borderId="0" xfId="2" applyFont="1" applyFill="1" applyBorder="1">
      <alignment vertical="center"/>
    </xf>
    <xf numFmtId="0" fontId="34" fillId="0" borderId="0" xfId="2" applyFont="1" applyFill="1" applyBorder="1">
      <alignment vertical="center"/>
    </xf>
    <xf numFmtId="0" fontId="35" fillId="0" borderId="0" xfId="2" applyFont="1">
      <alignment vertical="center"/>
    </xf>
    <xf numFmtId="49" fontId="31" fillId="8" borderId="0" xfId="7" applyNumberFormat="1" applyFont="1" applyFill="1" applyBorder="1" applyAlignment="1">
      <alignment vertical="center"/>
    </xf>
    <xf numFmtId="0" fontId="31" fillId="8" borderId="0" xfId="7" applyNumberFormat="1" applyFont="1" applyFill="1" applyBorder="1" applyAlignment="1">
      <alignment vertical="center"/>
    </xf>
    <xf numFmtId="49" fontId="16" fillId="8" borderId="0" xfId="7" applyNumberFormat="1" applyFont="1" applyFill="1" applyBorder="1" applyAlignment="1">
      <alignment vertical="center"/>
    </xf>
    <xf numFmtId="0" fontId="18" fillId="8" borderId="0" xfId="8" applyNumberFormat="1" applyFont="1" applyFill="1" applyBorder="1" applyAlignment="1">
      <alignment vertical="center"/>
    </xf>
    <xf numFmtId="41" fontId="18" fillId="8" borderId="0" xfId="8" applyFont="1" applyFill="1" applyBorder="1" applyAlignment="1">
      <alignment vertical="center"/>
    </xf>
    <xf numFmtId="0" fontId="16" fillId="8" borderId="0" xfId="7" applyNumberFormat="1" applyFont="1" applyFill="1" applyBorder="1" applyAlignment="1">
      <alignment vertical="center"/>
    </xf>
    <xf numFmtId="0" fontId="23" fillId="0" borderId="0" xfId="3" applyFont="1" applyFill="1" applyBorder="1" applyAlignment="1">
      <alignment horizontal="center" vertical="center"/>
    </xf>
    <xf numFmtId="41" fontId="17" fillId="0" borderId="13" xfId="1" applyFont="1" applyBorder="1">
      <alignment vertical="center"/>
    </xf>
    <xf numFmtId="41" fontId="17" fillId="0" borderId="6" xfId="1" applyFont="1" applyFill="1" applyBorder="1">
      <alignment vertical="center"/>
    </xf>
    <xf numFmtId="41" fontId="17" fillId="0" borderId="31" xfId="1" applyFont="1" applyFill="1" applyBorder="1">
      <alignment vertical="center"/>
    </xf>
    <xf numFmtId="41" fontId="17" fillId="0" borderId="0" xfId="1" applyFont="1" applyBorder="1">
      <alignment vertical="center"/>
    </xf>
    <xf numFmtId="41" fontId="17" fillId="0" borderId="6" xfId="1" applyFont="1" applyBorder="1">
      <alignment vertical="center"/>
    </xf>
    <xf numFmtId="41" fontId="17" fillId="0" borderId="13" xfId="1" applyFont="1" applyFill="1" applyBorder="1">
      <alignment vertical="center"/>
    </xf>
    <xf numFmtId="41" fontId="39" fillId="7" borderId="11" xfId="1" applyFont="1" applyFill="1" applyBorder="1" applyAlignment="1">
      <alignment horizontal="center" vertical="center" shrinkToFit="1"/>
    </xf>
    <xf numFmtId="41" fontId="39" fillId="7" borderId="26" xfId="1" applyFont="1" applyFill="1" applyBorder="1" applyAlignment="1">
      <alignment horizontal="center" vertical="center" shrinkToFit="1"/>
    </xf>
    <xf numFmtId="41" fontId="39" fillId="7" borderId="27" xfId="1" applyFont="1" applyFill="1" applyBorder="1" applyAlignment="1">
      <alignment horizontal="center" vertical="center" shrinkToFit="1"/>
    </xf>
    <xf numFmtId="0" fontId="40" fillId="9" borderId="17" xfId="10" quotePrefix="1" applyNumberFormat="1" applyFont="1" applyFill="1" applyBorder="1" applyAlignment="1" applyProtection="1">
      <alignment horizontal="center" vertical="center"/>
      <protection locked="0"/>
    </xf>
    <xf numFmtId="0" fontId="41" fillId="9" borderId="17" xfId="10" applyFont="1" applyFill="1" applyBorder="1" applyAlignment="1" applyProtection="1">
      <alignment horizontal="left" vertical="center"/>
      <protection locked="0"/>
    </xf>
    <xf numFmtId="49" fontId="42" fillId="0" borderId="17" xfId="11" quotePrefix="1" applyNumberFormat="1" applyFont="1" applyFill="1" applyBorder="1" applyAlignment="1">
      <alignment horizontal="center" vertical="center"/>
    </xf>
    <xf numFmtId="0" fontId="16" fillId="0" borderId="17" xfId="11" applyFont="1" applyFill="1" applyBorder="1" applyAlignment="1">
      <alignment horizontal="center" vertical="center"/>
    </xf>
    <xf numFmtId="179" fontId="16" fillId="0" borderId="17" xfId="11" applyNumberFormat="1" applyFont="1" applyFill="1" applyBorder="1" applyAlignment="1">
      <alignment horizontal="center" vertical="center"/>
    </xf>
    <xf numFmtId="41" fontId="16" fillId="0" borderId="29" xfId="1" applyFont="1" applyFill="1" applyBorder="1" applyAlignment="1">
      <alignment horizontal="right" vertical="center"/>
    </xf>
    <xf numFmtId="49" fontId="45" fillId="0" borderId="30" xfId="11" applyNumberFormat="1" applyFont="1" applyFill="1" applyBorder="1" applyAlignment="1">
      <alignment horizontal="left" vertical="center"/>
    </xf>
    <xf numFmtId="49" fontId="46" fillId="0" borderId="30" xfId="11" applyNumberFormat="1" applyFont="1" applyFill="1" applyBorder="1" applyAlignment="1">
      <alignment horizontal="center" vertical="center"/>
    </xf>
    <xf numFmtId="49" fontId="45" fillId="0" borderId="17" xfId="12" applyNumberFormat="1" applyFont="1" applyFill="1" applyBorder="1" applyAlignment="1" applyProtection="1">
      <alignment horizontal="center" vertical="center"/>
      <protection locked="0"/>
    </xf>
    <xf numFmtId="179" fontId="45" fillId="0" borderId="17" xfId="11" applyNumberFormat="1" applyFont="1" applyFill="1" applyBorder="1" applyAlignment="1">
      <alignment horizontal="center" vertical="center"/>
    </xf>
    <xf numFmtId="41" fontId="45" fillId="0" borderId="29" xfId="1" applyFont="1" applyFill="1" applyBorder="1" applyAlignment="1">
      <alignment horizontal="right" vertical="center"/>
    </xf>
    <xf numFmtId="41" fontId="45" fillId="0" borderId="28" xfId="1" applyFont="1" applyFill="1" applyBorder="1" applyAlignment="1">
      <alignment horizontal="right" vertical="center" shrinkToFit="1"/>
    </xf>
    <xf numFmtId="41" fontId="45" fillId="0" borderId="29" xfId="1" applyFont="1" applyFill="1" applyBorder="1" applyAlignment="1">
      <alignment horizontal="right" vertical="center" shrinkToFit="1"/>
    </xf>
    <xf numFmtId="49" fontId="45" fillId="0" borderId="30" xfId="7" applyNumberFormat="1" applyFont="1" applyFill="1" applyBorder="1" applyAlignment="1">
      <alignment horizontal="center" vertical="center"/>
    </xf>
    <xf numFmtId="41" fontId="16" fillId="0" borderId="11" xfId="1" applyFont="1" applyFill="1" applyBorder="1" applyAlignment="1">
      <alignment horizontal="right" vertical="center"/>
    </xf>
    <xf numFmtId="0" fontId="45" fillId="0" borderId="30" xfId="10" applyFont="1" applyFill="1" applyBorder="1">
      <alignment vertical="center"/>
    </xf>
    <xf numFmtId="0" fontId="45" fillId="0" borderId="17" xfId="12" applyFont="1" applyFill="1" applyBorder="1" applyAlignment="1" applyProtection="1">
      <alignment horizontal="center" vertical="center"/>
      <protection locked="0"/>
    </xf>
    <xf numFmtId="0" fontId="45" fillId="0" borderId="17" xfId="10" applyFont="1" applyFill="1" applyBorder="1">
      <alignment vertical="center"/>
    </xf>
    <xf numFmtId="49" fontId="46" fillId="0" borderId="30" xfId="11" applyNumberFormat="1" applyFont="1" applyFill="1" applyBorder="1" applyAlignment="1">
      <alignment horizontal="left" vertical="center"/>
    </xf>
    <xf numFmtId="0" fontId="44" fillId="0" borderId="31" xfId="11" applyFont="1" applyFill="1" applyBorder="1" applyAlignment="1">
      <alignment horizontal="center" vertical="center"/>
    </xf>
    <xf numFmtId="41" fontId="45" fillId="0" borderId="16" xfId="1" applyFont="1" applyFill="1" applyBorder="1" applyAlignment="1">
      <alignment horizontal="right" vertical="center" shrinkToFit="1"/>
    </xf>
    <xf numFmtId="41" fontId="16" fillId="0" borderId="2" xfId="1" applyFont="1" applyFill="1" applyBorder="1" applyAlignment="1">
      <alignment horizontal="right" vertical="center"/>
    </xf>
    <xf numFmtId="41" fontId="16" fillId="0" borderId="11" xfId="1" applyFont="1" applyFill="1" applyBorder="1" applyAlignment="1">
      <alignment horizontal="right" vertical="center" shrinkToFit="1"/>
    </xf>
    <xf numFmtId="0" fontId="45" fillId="0" borderId="30" xfId="10" applyFont="1" applyFill="1" applyBorder="1" applyAlignment="1">
      <alignment horizontal="left" vertical="center"/>
    </xf>
    <xf numFmtId="49" fontId="45" fillId="0" borderId="17" xfId="11" applyNumberFormat="1" applyFont="1" applyFill="1" applyBorder="1" applyAlignment="1">
      <alignment horizontal="left" vertical="center"/>
    </xf>
    <xf numFmtId="49" fontId="46" fillId="0" borderId="17" xfId="11" applyNumberFormat="1" applyFont="1" applyFill="1" applyBorder="1" applyAlignment="1">
      <alignment horizontal="center" vertical="center"/>
    </xf>
    <xf numFmtId="49" fontId="45" fillId="0" borderId="17" xfId="7" applyNumberFormat="1" applyFont="1" applyFill="1" applyBorder="1" applyAlignment="1">
      <alignment horizontal="center" vertical="center"/>
    </xf>
    <xf numFmtId="0" fontId="45" fillId="0" borderId="30" xfId="7" applyNumberFormat="1" applyFont="1" applyFill="1" applyBorder="1" applyAlignment="1">
      <alignment horizontal="center" vertical="center"/>
    </xf>
    <xf numFmtId="0" fontId="45" fillId="0" borderId="17" xfId="11" applyFont="1" applyFill="1" applyBorder="1" applyAlignment="1">
      <alignment horizontal="center" vertical="center"/>
    </xf>
    <xf numFmtId="49" fontId="41" fillId="8" borderId="16" xfId="8" applyNumberFormat="1" applyFont="1" applyFill="1" applyBorder="1" applyAlignment="1">
      <alignment horizontal="center" vertical="center"/>
    </xf>
    <xf numFmtId="0" fontId="41" fillId="8" borderId="17" xfId="10" applyFont="1" applyFill="1" applyBorder="1" applyAlignment="1" applyProtection="1">
      <alignment horizontal="center" vertical="center"/>
      <protection locked="0"/>
    </xf>
    <xf numFmtId="49" fontId="41" fillId="8" borderId="17" xfId="7" applyNumberFormat="1" applyFont="1" applyFill="1" applyBorder="1" applyAlignment="1">
      <alignment horizontal="center" vertical="center" wrapText="1" shrinkToFit="1"/>
    </xf>
    <xf numFmtId="49" fontId="31" fillId="8" borderId="17" xfId="7" applyNumberFormat="1" applyFont="1" applyFill="1" applyBorder="1" applyAlignment="1">
      <alignment horizontal="center" vertical="center"/>
    </xf>
    <xf numFmtId="177" fontId="31" fillId="8" borderId="17" xfId="8" applyNumberFormat="1" applyFont="1" applyFill="1" applyBorder="1" applyAlignment="1">
      <alignment horizontal="right" vertical="center"/>
    </xf>
    <xf numFmtId="41" fontId="41" fillId="8" borderId="29" xfId="1" applyFont="1" applyFill="1" applyBorder="1" applyAlignment="1">
      <alignment horizontal="right" vertical="center"/>
    </xf>
    <xf numFmtId="41" fontId="31" fillId="0" borderId="0" xfId="1" applyFont="1" applyFill="1" applyBorder="1" applyAlignment="1">
      <alignment horizontal="right" vertical="center"/>
    </xf>
    <xf numFmtId="0" fontId="41" fillId="9" borderId="17" xfId="10" quotePrefix="1" applyNumberFormat="1" applyFont="1" applyFill="1" applyBorder="1" applyAlignment="1" applyProtection="1">
      <alignment horizontal="center" vertical="center"/>
      <protection locked="0"/>
    </xf>
    <xf numFmtId="0" fontId="41" fillId="9" borderId="17" xfId="10" applyFont="1" applyFill="1" applyBorder="1" applyAlignment="1" applyProtection="1">
      <alignment vertical="center"/>
      <protection locked="0"/>
    </xf>
    <xf numFmtId="0" fontId="43" fillId="0" borderId="16" xfId="10" quotePrefix="1" applyNumberFormat="1" applyFont="1" applyFill="1" applyBorder="1" applyAlignment="1" applyProtection="1">
      <alignment horizontal="center" vertical="center"/>
      <protection locked="0"/>
    </xf>
    <xf numFmtId="41" fontId="31" fillId="8" borderId="17" xfId="8" applyNumberFormat="1" applyFont="1" applyFill="1" applyBorder="1" applyAlignment="1">
      <alignment horizontal="right" vertical="center"/>
    </xf>
    <xf numFmtId="41" fontId="41" fillId="8" borderId="29" xfId="8" applyNumberFormat="1" applyFont="1" applyFill="1" applyBorder="1" applyAlignment="1">
      <alignment horizontal="right" vertical="center"/>
    </xf>
    <xf numFmtId="41" fontId="31" fillId="8" borderId="0" xfId="1" applyFont="1" applyFill="1" applyBorder="1" applyAlignment="1">
      <alignment horizontal="right" vertical="center"/>
    </xf>
    <xf numFmtId="49" fontId="47" fillId="0" borderId="17" xfId="10" applyNumberFormat="1" applyFont="1" applyFill="1" applyBorder="1" applyAlignment="1" applyProtection="1">
      <alignment horizontal="center" vertical="center"/>
      <protection locked="0"/>
    </xf>
    <xf numFmtId="49" fontId="16" fillId="4" borderId="0" xfId="7" applyNumberFormat="1" applyFont="1" applyFill="1" applyBorder="1" applyAlignment="1">
      <alignment vertical="center"/>
    </xf>
    <xf numFmtId="0" fontId="43" fillId="4" borderId="16" xfId="10" quotePrefix="1" applyNumberFormat="1" applyFont="1" applyFill="1" applyBorder="1" applyAlignment="1" applyProtection="1">
      <alignment vertical="center"/>
      <protection locked="0"/>
    </xf>
    <xf numFmtId="0" fontId="45" fillId="0" borderId="17" xfId="2" applyFont="1" applyFill="1" applyBorder="1" applyAlignment="1">
      <alignment horizontal="left" vertical="center"/>
    </xf>
    <xf numFmtId="49" fontId="45" fillId="0" borderId="17" xfId="2" applyNumberFormat="1" applyFont="1" applyFill="1" applyBorder="1" applyAlignment="1">
      <alignment horizontal="left" vertical="center" wrapText="1"/>
    </xf>
    <xf numFmtId="49" fontId="46" fillId="4" borderId="17" xfId="11" applyNumberFormat="1" applyFont="1" applyFill="1" applyBorder="1" applyAlignment="1">
      <alignment horizontal="center" vertical="center"/>
    </xf>
    <xf numFmtId="0" fontId="45" fillId="4" borderId="17" xfId="12" applyFont="1" applyFill="1" applyBorder="1" applyAlignment="1" applyProtection="1">
      <alignment horizontal="center" vertical="center"/>
      <protection locked="0"/>
    </xf>
    <xf numFmtId="179" fontId="45" fillId="4" borderId="17" xfId="11" applyNumberFormat="1" applyFont="1" applyFill="1" applyBorder="1" applyAlignment="1">
      <alignment horizontal="center" vertical="center"/>
    </xf>
    <xf numFmtId="49" fontId="45" fillId="4" borderId="17" xfId="7" applyNumberFormat="1" applyFont="1" applyFill="1" applyBorder="1" applyAlignment="1">
      <alignment horizontal="center" vertical="center"/>
    </xf>
    <xf numFmtId="49" fontId="18" fillId="4" borderId="0" xfId="7" applyNumberFormat="1" applyFont="1" applyFill="1" applyBorder="1" applyAlignment="1">
      <alignment vertical="center"/>
    </xf>
    <xf numFmtId="0" fontId="16" fillId="4" borderId="17" xfId="8" applyNumberFormat="1" applyFont="1" applyFill="1" applyBorder="1" applyAlignment="1">
      <alignment vertical="center"/>
    </xf>
    <xf numFmtId="41" fontId="16" fillId="4" borderId="16" xfId="8" applyFont="1" applyFill="1" applyBorder="1" applyAlignment="1">
      <alignment vertical="center"/>
    </xf>
    <xf numFmtId="41" fontId="16" fillId="4" borderId="11" xfId="1" applyFont="1" applyFill="1" applyBorder="1" applyAlignment="1">
      <alignment horizontal="right" vertical="center"/>
    </xf>
    <xf numFmtId="0" fontId="16" fillId="4" borderId="33" xfId="8" applyNumberFormat="1" applyFont="1" applyFill="1" applyBorder="1" applyAlignment="1">
      <alignment vertical="center"/>
    </xf>
    <xf numFmtId="41" fontId="16" fillId="4" borderId="37" xfId="8" applyFont="1" applyFill="1" applyBorder="1" applyAlignment="1">
      <alignment vertical="center"/>
    </xf>
    <xf numFmtId="0" fontId="16" fillId="4" borderId="18" xfId="8" applyNumberFormat="1" applyFont="1" applyFill="1" applyBorder="1" applyAlignment="1">
      <alignment vertical="center"/>
    </xf>
    <xf numFmtId="41" fontId="16" fillId="4" borderId="36" xfId="8" applyFont="1" applyFill="1" applyBorder="1" applyAlignment="1">
      <alignment vertical="center"/>
    </xf>
    <xf numFmtId="0" fontId="45" fillId="4" borderId="17" xfId="10" applyFont="1" applyFill="1" applyBorder="1" applyAlignment="1" applyProtection="1">
      <alignment horizontal="left" vertical="center"/>
      <protection locked="0"/>
    </xf>
    <xf numFmtId="0" fontId="16" fillId="4" borderId="0" xfId="8" applyNumberFormat="1" applyFont="1" applyFill="1" applyBorder="1" applyAlignment="1">
      <alignment vertical="center"/>
    </xf>
    <xf numFmtId="41" fontId="16" fillId="4" borderId="0" xfId="8" applyFont="1" applyFill="1" applyBorder="1" applyAlignment="1">
      <alignment vertical="center"/>
    </xf>
    <xf numFmtId="49" fontId="48" fillId="8" borderId="0" xfId="7" applyNumberFormat="1" applyFont="1" applyFill="1" applyBorder="1" applyAlignment="1">
      <alignment vertical="center"/>
    </xf>
    <xf numFmtId="49" fontId="49" fillId="8" borderId="16" xfId="8" applyNumberFormat="1" applyFont="1" applyFill="1" applyBorder="1" applyAlignment="1">
      <alignment horizontal="center" vertical="center"/>
    </xf>
    <xf numFmtId="0" fontId="49" fillId="8" borderId="17" xfId="10" applyFont="1" applyFill="1" applyBorder="1" applyAlignment="1" applyProtection="1">
      <alignment horizontal="center" vertical="center"/>
      <protection locked="0"/>
    </xf>
    <xf numFmtId="49" fontId="48" fillId="8" borderId="17" xfId="7" applyNumberFormat="1" applyFont="1" applyFill="1" applyBorder="1" applyAlignment="1">
      <alignment horizontal="center" vertical="center"/>
    </xf>
    <xf numFmtId="177" fontId="48" fillId="8" borderId="17" xfId="8" applyNumberFormat="1" applyFont="1" applyFill="1" applyBorder="1" applyAlignment="1">
      <alignment horizontal="right" vertical="center"/>
    </xf>
    <xf numFmtId="41" fontId="48" fillId="8" borderId="17" xfId="8" applyNumberFormat="1" applyFont="1" applyFill="1" applyBorder="1" applyAlignment="1">
      <alignment horizontal="right" vertical="center"/>
    </xf>
    <xf numFmtId="41" fontId="49" fillId="8" borderId="29" xfId="1" applyFont="1" applyFill="1" applyBorder="1" applyAlignment="1">
      <alignment horizontal="right" vertical="center"/>
    </xf>
    <xf numFmtId="0" fontId="48" fillId="8" borderId="0" xfId="8" applyNumberFormat="1" applyFont="1" applyFill="1" applyBorder="1" applyAlignment="1">
      <alignment vertical="center"/>
    </xf>
    <xf numFmtId="41" fontId="48" fillId="8" borderId="0" xfId="8" applyFont="1" applyFill="1" applyBorder="1" applyAlignment="1">
      <alignment vertical="center"/>
    </xf>
    <xf numFmtId="41" fontId="48" fillId="8" borderId="0" xfId="1" applyFont="1" applyFill="1" applyBorder="1" applyAlignment="1">
      <alignment horizontal="right" vertical="center"/>
    </xf>
    <xf numFmtId="49" fontId="47" fillId="0" borderId="17" xfId="10" quotePrefix="1" applyNumberFormat="1" applyFont="1" applyFill="1" applyBorder="1" applyAlignment="1" applyProtection="1">
      <alignment horizontal="center" vertical="center"/>
      <protection locked="0"/>
    </xf>
    <xf numFmtId="41" fontId="45" fillId="0" borderId="29" xfId="1" applyFont="1" applyFill="1" applyBorder="1" applyAlignment="1">
      <alignment horizontal="center" vertical="center"/>
    </xf>
    <xf numFmtId="0" fontId="45" fillId="0" borderId="17" xfId="7" applyNumberFormat="1" applyFont="1" applyFill="1" applyBorder="1" applyAlignment="1">
      <alignment vertical="center" wrapText="1" shrinkToFit="1"/>
    </xf>
    <xf numFmtId="49" fontId="45" fillId="0" borderId="17" xfId="10" quotePrefix="1" applyNumberFormat="1" applyFont="1" applyFill="1" applyBorder="1" applyAlignment="1" applyProtection="1">
      <alignment vertical="center"/>
      <protection locked="0"/>
    </xf>
    <xf numFmtId="49" fontId="45" fillId="0" borderId="17" xfId="10" quotePrefix="1" applyNumberFormat="1" applyFont="1" applyFill="1" applyBorder="1" applyAlignment="1" applyProtection="1">
      <alignment horizontal="center" vertical="center"/>
      <protection locked="0"/>
    </xf>
    <xf numFmtId="0" fontId="16" fillId="0" borderId="16" xfId="10" quotePrefix="1" applyNumberFormat="1" applyFont="1" applyFill="1" applyBorder="1" applyAlignment="1" applyProtection="1">
      <alignment horizontal="center" vertical="center"/>
      <protection locked="0"/>
    </xf>
    <xf numFmtId="0" fontId="45" fillId="0" borderId="17" xfId="10" applyFont="1" applyFill="1" applyBorder="1" applyAlignment="1" applyProtection="1">
      <alignment vertical="center"/>
      <protection locked="0"/>
    </xf>
    <xf numFmtId="49" fontId="45" fillId="0" borderId="17" xfId="10" applyNumberFormat="1" applyFont="1" applyFill="1" applyBorder="1" applyAlignment="1" applyProtection="1">
      <alignment vertical="center"/>
      <protection locked="0"/>
    </xf>
    <xf numFmtId="49" fontId="45" fillId="0" borderId="17" xfId="10" applyNumberFormat="1" applyFont="1" applyFill="1" applyBorder="1" applyAlignment="1" applyProtection="1">
      <alignment horizontal="center" vertical="center"/>
      <protection locked="0"/>
    </xf>
    <xf numFmtId="0" fontId="45" fillId="0" borderId="17" xfId="7" quotePrefix="1" applyNumberFormat="1" applyFont="1" applyFill="1" applyBorder="1" applyAlignment="1">
      <alignment vertical="center" wrapText="1" shrinkToFit="1"/>
    </xf>
    <xf numFmtId="0" fontId="18" fillId="0" borderId="16" xfId="10" quotePrefix="1" applyNumberFormat="1" applyFont="1" applyFill="1" applyBorder="1" applyAlignment="1" applyProtection="1">
      <alignment horizontal="center" vertical="center"/>
      <protection locked="0"/>
    </xf>
    <xf numFmtId="0" fontId="2" fillId="0" borderId="17" xfId="7" quotePrefix="1" applyNumberFormat="1" applyFont="1" applyFill="1" applyBorder="1" applyAlignment="1">
      <alignment vertical="center" wrapText="1" shrinkToFit="1"/>
    </xf>
    <xf numFmtId="49" fontId="2" fillId="0" borderId="17" xfId="10" applyNumberFormat="1" applyFont="1" applyFill="1" applyBorder="1" applyAlignment="1" applyProtection="1">
      <alignment vertical="center"/>
      <protection locked="0"/>
    </xf>
    <xf numFmtId="41" fontId="16" fillId="8" borderId="0" xfId="1" applyFont="1" applyFill="1" applyBorder="1" applyAlignment="1">
      <alignment horizontal="right" vertical="center"/>
    </xf>
    <xf numFmtId="0" fontId="43" fillId="0" borderId="16" xfId="10" quotePrefix="1" applyNumberFormat="1" applyFont="1" applyFill="1" applyBorder="1" applyAlignment="1" applyProtection="1">
      <alignment vertical="center"/>
      <protection locked="0"/>
    </xf>
    <xf numFmtId="49" fontId="46" fillId="0" borderId="17" xfId="11" applyNumberFormat="1" applyFont="1" applyFill="1" applyBorder="1" applyAlignment="1">
      <alignment horizontal="left" vertical="center"/>
    </xf>
    <xf numFmtId="0" fontId="18" fillId="0" borderId="32" xfId="10" quotePrefix="1" applyNumberFormat="1" applyFont="1" applyFill="1" applyBorder="1" applyAlignment="1" applyProtection="1">
      <alignment horizontal="center" vertical="center"/>
      <protection locked="0"/>
    </xf>
    <xf numFmtId="0" fontId="2" fillId="0" borderId="32" xfId="2" applyFont="1" applyFill="1" applyBorder="1" applyAlignment="1">
      <alignment vertical="center"/>
    </xf>
    <xf numFmtId="49" fontId="2" fillId="0" borderId="30" xfId="11" applyNumberFormat="1" applyFont="1" applyFill="1" applyBorder="1" applyAlignment="1">
      <alignment horizontal="left" vertical="center"/>
    </xf>
    <xf numFmtId="0" fontId="18" fillId="0" borderId="41" xfId="10" quotePrefix="1" applyNumberFormat="1" applyFont="1" applyFill="1" applyBorder="1" applyAlignment="1" applyProtection="1">
      <alignment horizontal="center" vertical="center"/>
      <protection locked="0"/>
    </xf>
    <xf numFmtId="49" fontId="50" fillId="0" borderId="17" xfId="10" quotePrefix="1" applyNumberFormat="1" applyFont="1" applyFill="1" applyBorder="1" applyAlignment="1" applyProtection="1">
      <alignment horizontal="left" vertical="center"/>
      <protection locked="0"/>
    </xf>
    <xf numFmtId="49" fontId="50" fillId="0" borderId="17" xfId="10" quotePrefix="1" applyNumberFormat="1" applyFont="1" applyFill="1" applyBorder="1" applyAlignment="1" applyProtection="1">
      <alignment horizontal="center" vertical="center"/>
      <protection locked="0"/>
    </xf>
    <xf numFmtId="49" fontId="45" fillId="0" borderId="17" xfId="10" quotePrefix="1" applyNumberFormat="1" applyFont="1" applyFill="1" applyBorder="1" applyAlignment="1" applyProtection="1">
      <alignment horizontal="left" vertical="center"/>
      <protection locked="0"/>
    </xf>
    <xf numFmtId="0" fontId="2" fillId="0" borderId="17" xfId="10" applyFont="1" applyFill="1" applyBorder="1" applyAlignment="1" applyProtection="1">
      <alignment vertical="center"/>
      <protection locked="0"/>
    </xf>
    <xf numFmtId="49" fontId="2" fillId="0" borderId="17" xfId="10" quotePrefix="1" applyNumberFormat="1" applyFont="1" applyFill="1" applyBorder="1" applyAlignment="1" applyProtection="1">
      <alignment horizontal="left" vertical="center"/>
      <protection locked="0"/>
    </xf>
    <xf numFmtId="49" fontId="45" fillId="0" borderId="17" xfId="10" applyNumberFormat="1" applyFont="1" applyFill="1" applyBorder="1" applyAlignment="1" applyProtection="1">
      <alignment horizontal="left" vertical="center"/>
      <protection locked="0"/>
    </xf>
    <xf numFmtId="0" fontId="45" fillId="0" borderId="17" xfId="7" applyNumberFormat="1" applyFont="1" applyFill="1" applyBorder="1" applyAlignment="1">
      <alignment horizontal="left" vertical="center" wrapText="1" shrinkToFit="1"/>
    </xf>
    <xf numFmtId="49" fontId="45" fillId="0" borderId="17" xfId="7" applyNumberFormat="1" applyFont="1" applyFill="1" applyBorder="1" applyAlignment="1">
      <alignment horizontal="left" vertical="center"/>
    </xf>
    <xf numFmtId="0" fontId="2" fillId="0" borderId="17" xfId="7" applyNumberFormat="1" applyFont="1" applyFill="1" applyBorder="1" applyAlignment="1">
      <alignment horizontal="left" vertical="center" wrapText="1" shrinkToFit="1"/>
    </xf>
    <xf numFmtId="49" fontId="2" fillId="0" borderId="17" xfId="7" applyNumberFormat="1" applyFont="1" applyFill="1" applyBorder="1" applyAlignment="1">
      <alignment horizontal="left" vertical="center"/>
    </xf>
    <xf numFmtId="41" fontId="41" fillId="8" borderId="29" xfId="1" applyFont="1" applyFill="1" applyBorder="1" applyAlignment="1">
      <alignment horizontal="center" vertical="center"/>
    </xf>
    <xf numFmtId="49" fontId="2" fillId="0" borderId="17" xfId="10" applyNumberFormat="1" applyFont="1" applyFill="1" applyBorder="1" applyAlignment="1" applyProtection="1">
      <alignment horizontal="left" vertical="center"/>
      <protection locked="0"/>
    </xf>
    <xf numFmtId="0" fontId="41" fillId="6" borderId="17" xfId="10" quotePrefix="1" applyNumberFormat="1" applyFont="1" applyFill="1" applyBorder="1" applyAlignment="1" applyProtection="1">
      <alignment horizontal="center" vertical="center"/>
      <protection locked="0"/>
    </xf>
    <xf numFmtId="0" fontId="41" fillId="6" borderId="17" xfId="10" applyFont="1" applyFill="1" applyBorder="1" applyAlignment="1" applyProtection="1">
      <alignment vertical="center"/>
      <protection locked="0"/>
    </xf>
    <xf numFmtId="49" fontId="51" fillId="0" borderId="17" xfId="10" applyNumberFormat="1" applyFont="1" applyFill="1" applyBorder="1" applyAlignment="1" applyProtection="1">
      <alignment horizontal="center" vertical="center"/>
      <protection locked="0"/>
    </xf>
    <xf numFmtId="0" fontId="31" fillId="0" borderId="16" xfId="10" quotePrefix="1" applyNumberFormat="1" applyFont="1" applyFill="1" applyBorder="1" applyAlignment="1" applyProtection="1">
      <alignment horizontal="center" vertical="center"/>
      <protection locked="0"/>
    </xf>
    <xf numFmtId="49" fontId="41" fillId="8" borderId="23" xfId="8" applyNumberFormat="1" applyFont="1" applyFill="1" applyBorder="1" applyAlignment="1">
      <alignment horizontal="center" vertical="center"/>
    </xf>
    <xf numFmtId="0" fontId="41" fillId="8" borderId="24" xfId="10" applyFont="1" applyFill="1" applyBorder="1" applyAlignment="1" applyProtection="1">
      <alignment horizontal="center" vertical="center"/>
      <protection locked="0"/>
    </xf>
    <xf numFmtId="49" fontId="31" fillId="8" borderId="24" xfId="7" applyNumberFormat="1" applyFont="1" applyFill="1" applyBorder="1" applyAlignment="1">
      <alignment horizontal="center" vertical="center"/>
    </xf>
    <xf numFmtId="177" fontId="31" fillId="8" borderId="24" xfId="8" applyNumberFormat="1" applyFont="1" applyFill="1" applyBorder="1" applyAlignment="1">
      <alignment horizontal="right" vertical="center"/>
    </xf>
    <xf numFmtId="41" fontId="31" fillId="8" borderId="24" xfId="8" applyNumberFormat="1" applyFont="1" applyFill="1" applyBorder="1" applyAlignment="1">
      <alignment horizontal="right" vertical="center"/>
    </xf>
    <xf numFmtId="41" fontId="41" fillId="8" borderId="47" xfId="1" applyFont="1" applyFill="1" applyBorder="1" applyAlignment="1">
      <alignment horizontal="right" vertical="center"/>
    </xf>
    <xf numFmtId="41" fontId="31" fillId="8" borderId="0" xfId="1" applyFont="1" applyFill="1" applyBorder="1" applyAlignment="1">
      <alignment vertical="center"/>
    </xf>
    <xf numFmtId="49" fontId="43" fillId="0" borderId="0" xfId="7" applyNumberFormat="1" applyFont="1" applyFill="1" applyBorder="1" applyAlignment="1">
      <alignment horizontal="center" vertical="center"/>
    </xf>
    <xf numFmtId="49" fontId="16" fillId="0" borderId="0" xfId="7" applyNumberFormat="1" applyFont="1" applyFill="1" applyBorder="1" applyAlignment="1">
      <alignment horizontal="left" vertical="center" wrapText="1" shrinkToFit="1"/>
    </xf>
    <xf numFmtId="49" fontId="16" fillId="0" borderId="0" xfId="7" applyNumberFormat="1" applyFont="1" applyFill="1" applyBorder="1" applyAlignment="1">
      <alignment horizontal="center" vertical="center" wrapText="1" shrinkToFit="1"/>
    </xf>
    <xf numFmtId="49" fontId="16" fillId="0" borderId="0" xfId="7" applyNumberFormat="1" applyFont="1" applyFill="1" applyBorder="1" applyAlignment="1">
      <alignment horizontal="center" vertical="center"/>
    </xf>
    <xf numFmtId="177" fontId="16" fillId="0" borderId="0" xfId="8" applyNumberFormat="1" applyFont="1" applyFill="1" applyBorder="1" applyAlignment="1">
      <alignment horizontal="right" vertical="center"/>
    </xf>
    <xf numFmtId="41" fontId="16" fillId="0" borderId="0" xfId="1" applyFont="1" applyFill="1" applyBorder="1" applyAlignment="1">
      <alignment horizontal="right" vertical="center" shrinkToFit="1"/>
    </xf>
    <xf numFmtId="0" fontId="45" fillId="0" borderId="48" xfId="10" applyFont="1" applyFill="1" applyBorder="1" applyAlignment="1">
      <alignment vertical="center"/>
    </xf>
    <xf numFmtId="0" fontId="45" fillId="0" borderId="17" xfId="10" applyFont="1" applyFill="1" applyBorder="1" applyAlignment="1">
      <alignment vertical="center"/>
    </xf>
    <xf numFmtId="41" fontId="45" fillId="11" borderId="28" xfId="1" applyFont="1" applyFill="1" applyBorder="1" applyAlignment="1">
      <alignment horizontal="right" vertical="center" shrinkToFit="1"/>
    </xf>
    <xf numFmtId="41" fontId="45" fillId="11" borderId="28" xfId="1" applyFont="1" applyFill="1" applyBorder="1" applyAlignment="1">
      <alignment horizontal="right" vertical="center"/>
    </xf>
    <xf numFmtId="41" fontId="41" fillId="11" borderId="28" xfId="1" applyFont="1" applyFill="1" applyBorder="1" applyAlignment="1">
      <alignment horizontal="right" vertical="center"/>
    </xf>
    <xf numFmtId="41" fontId="16" fillId="11" borderId="28" xfId="1" applyFont="1" applyFill="1" applyBorder="1" applyAlignment="1">
      <alignment horizontal="right" vertical="center"/>
    </xf>
    <xf numFmtId="41" fontId="41" fillId="11" borderId="28" xfId="8" applyNumberFormat="1" applyFont="1" applyFill="1" applyBorder="1" applyAlignment="1">
      <alignment horizontal="right" vertical="center"/>
    </xf>
    <xf numFmtId="41" fontId="49" fillId="11" borderId="28" xfId="1" applyFont="1" applyFill="1" applyBorder="1" applyAlignment="1">
      <alignment horizontal="right" vertical="center"/>
    </xf>
    <xf numFmtId="41" fontId="41" fillId="11" borderId="21" xfId="1" applyFont="1" applyFill="1" applyBorder="1" applyAlignment="1">
      <alignment horizontal="right" vertical="center"/>
    </xf>
    <xf numFmtId="41" fontId="45" fillId="11" borderId="28" xfId="1" applyFont="1" applyFill="1" applyBorder="1" applyAlignment="1">
      <alignment horizontal="center" vertical="center"/>
    </xf>
    <xf numFmtId="41" fontId="41" fillId="11" borderId="21" xfId="1" applyFont="1" applyFill="1" applyBorder="1" applyAlignment="1">
      <alignment horizontal="center" vertical="center"/>
    </xf>
    <xf numFmtId="41" fontId="45" fillId="11" borderId="28" xfId="1" applyNumberFormat="1" applyFont="1" applyFill="1" applyBorder="1" applyAlignment="1">
      <alignment horizontal="right" vertical="center" shrinkToFit="1"/>
    </xf>
    <xf numFmtId="41" fontId="41" fillId="11" borderId="46" xfId="1" applyFont="1" applyFill="1" applyBorder="1" applyAlignment="1">
      <alignment horizontal="right" vertical="center"/>
    </xf>
    <xf numFmtId="41" fontId="45" fillId="11" borderId="28" xfId="1" applyNumberFormat="1" applyFont="1" applyFill="1" applyBorder="1" applyAlignment="1">
      <alignment horizontal="right" vertical="center"/>
    </xf>
    <xf numFmtId="41" fontId="47" fillId="11" borderId="17" xfId="1" applyFont="1" applyFill="1" applyBorder="1" applyAlignment="1">
      <alignment horizontal="right" vertical="center" shrinkToFit="1"/>
    </xf>
    <xf numFmtId="41" fontId="41" fillId="11" borderId="17" xfId="1" applyFont="1" applyFill="1" applyBorder="1" applyAlignment="1">
      <alignment horizontal="right" vertical="center"/>
    </xf>
    <xf numFmtId="41" fontId="47" fillId="11" borderId="17" xfId="1" applyFont="1" applyFill="1" applyBorder="1" applyAlignment="1">
      <alignment horizontal="right" vertical="center"/>
    </xf>
    <xf numFmtId="41" fontId="49" fillId="11" borderId="17" xfId="1" applyFont="1" applyFill="1" applyBorder="1" applyAlignment="1">
      <alignment horizontal="right" vertical="center"/>
    </xf>
    <xf numFmtId="41" fontId="47" fillId="11" borderId="17" xfId="1" applyFont="1" applyFill="1" applyBorder="1" applyAlignment="1">
      <alignment horizontal="center" vertical="center"/>
    </xf>
    <xf numFmtId="41" fontId="41" fillId="11" borderId="24" xfId="1" applyFont="1" applyFill="1" applyBorder="1" applyAlignment="1">
      <alignment horizontal="right" vertical="center"/>
    </xf>
    <xf numFmtId="0" fontId="43" fillId="0" borderId="17" xfId="10" quotePrefix="1" applyNumberFormat="1" applyFont="1" applyFill="1" applyBorder="1" applyAlignment="1" applyProtection="1">
      <alignment vertical="center"/>
      <protection locked="0"/>
    </xf>
    <xf numFmtId="49" fontId="39" fillId="7" borderId="4" xfId="7" applyNumberFormat="1" applyFont="1" applyFill="1" applyBorder="1" applyAlignment="1">
      <alignment horizontal="left" vertical="center"/>
    </xf>
    <xf numFmtId="49" fontId="47" fillId="0" borderId="0" xfId="7" applyNumberFormat="1" applyFont="1" applyFill="1" applyBorder="1" applyAlignment="1">
      <alignment horizontal="center" vertical="center"/>
    </xf>
    <xf numFmtId="0" fontId="47" fillId="0" borderId="0" xfId="7" applyNumberFormat="1" applyFont="1" applyFill="1" applyBorder="1" applyAlignment="1">
      <alignment horizontal="center" vertical="center"/>
    </xf>
    <xf numFmtId="49" fontId="39" fillId="7" borderId="8" xfId="7" applyNumberFormat="1" applyFont="1" applyFill="1" applyBorder="1" applyAlignment="1">
      <alignment horizontal="left" vertical="center"/>
    </xf>
    <xf numFmtId="49" fontId="39" fillId="7" borderId="11" xfId="8" applyNumberFormat="1" applyFont="1" applyFill="1" applyBorder="1" applyAlignment="1">
      <alignment horizontal="center" vertical="center" shrinkToFit="1"/>
    </xf>
    <xf numFmtId="49" fontId="39" fillId="7" borderId="3" xfId="7" applyNumberFormat="1" applyFont="1" applyFill="1" applyBorder="1" applyAlignment="1">
      <alignment horizontal="center" vertical="center" shrinkToFit="1"/>
    </xf>
    <xf numFmtId="49" fontId="47" fillId="0" borderId="31" xfId="7" applyNumberFormat="1" applyFont="1" applyFill="1" applyBorder="1" applyAlignment="1">
      <alignment horizontal="center" vertical="center"/>
    </xf>
    <xf numFmtId="49" fontId="47" fillId="0" borderId="30" xfId="7" applyNumberFormat="1" applyFont="1" applyFill="1" applyBorder="1" applyAlignment="1">
      <alignment horizontal="center" vertical="center" wrapText="1" shrinkToFit="1"/>
    </xf>
    <xf numFmtId="49" fontId="47" fillId="0" borderId="0" xfId="7" applyNumberFormat="1" applyFont="1" applyFill="1" applyBorder="1" applyAlignment="1">
      <alignment vertical="center"/>
    </xf>
    <xf numFmtId="49" fontId="47" fillId="0" borderId="30" xfId="7" applyNumberFormat="1" applyFont="1" applyFill="1" applyBorder="1" applyAlignment="1">
      <alignment horizontal="left" vertical="center" wrapText="1" shrinkToFit="1"/>
    </xf>
    <xf numFmtId="49" fontId="47" fillId="0" borderId="30" xfId="7" applyNumberFormat="1" applyFont="1" applyFill="1" applyBorder="1" applyAlignment="1">
      <alignment horizontal="center" vertical="center"/>
    </xf>
    <xf numFmtId="177" fontId="47" fillId="0" borderId="30" xfId="8" applyNumberFormat="1" applyFont="1" applyFill="1" applyBorder="1" applyAlignment="1">
      <alignment horizontal="right" vertical="center"/>
    </xf>
    <xf numFmtId="41" fontId="47" fillId="0" borderId="30" xfId="8" applyNumberFormat="1" applyFont="1" applyFill="1" applyBorder="1" applyAlignment="1">
      <alignment horizontal="right" vertical="center" shrinkToFit="1"/>
    </xf>
    <xf numFmtId="49" fontId="47" fillId="0" borderId="19" xfId="7" applyNumberFormat="1" applyFont="1" applyFill="1" applyBorder="1" applyAlignment="1">
      <alignment horizontal="center" vertical="center" wrapText="1" shrinkToFit="1"/>
    </xf>
    <xf numFmtId="49" fontId="43" fillId="0" borderId="0" xfId="7" applyNumberFormat="1" applyFont="1" applyFill="1" applyBorder="1" applyAlignment="1">
      <alignment vertical="center"/>
    </xf>
    <xf numFmtId="0" fontId="43" fillId="0" borderId="0" xfId="7" applyNumberFormat="1" applyFont="1" applyFill="1" applyBorder="1" applyAlignment="1">
      <alignment vertical="center"/>
    </xf>
    <xf numFmtId="49" fontId="47" fillId="0" borderId="16" xfId="8" applyNumberFormat="1" applyFont="1" applyFill="1" applyBorder="1" applyAlignment="1">
      <alignment horizontal="center" vertical="center"/>
    </xf>
    <xf numFmtId="49" fontId="47" fillId="0" borderId="16" xfId="8" applyNumberFormat="1" applyFont="1" applyFill="1" applyBorder="1" applyAlignment="1">
      <alignment horizontal="left" vertical="center"/>
    </xf>
    <xf numFmtId="49" fontId="45" fillId="0" borderId="17" xfId="7" applyNumberFormat="1" applyFont="1" applyFill="1" applyBorder="1" applyAlignment="1">
      <alignment horizontal="center" vertical="center" wrapText="1" shrinkToFit="1"/>
    </xf>
    <xf numFmtId="49" fontId="47" fillId="0" borderId="17" xfId="7" applyNumberFormat="1" applyFont="1" applyFill="1" applyBorder="1" applyAlignment="1">
      <alignment horizontal="left" vertical="center" wrapText="1" shrinkToFit="1"/>
    </xf>
    <xf numFmtId="177" fontId="45" fillId="0" borderId="17" xfId="8" applyNumberFormat="1" applyFont="1" applyFill="1" applyBorder="1" applyAlignment="1">
      <alignment horizontal="right" vertical="center"/>
    </xf>
    <xf numFmtId="41" fontId="45" fillId="0" borderId="17" xfId="8" applyNumberFormat="1" applyFont="1" applyFill="1" applyBorder="1" applyAlignment="1">
      <alignment horizontal="right" vertical="center"/>
    </xf>
    <xf numFmtId="49" fontId="47" fillId="0" borderId="20" xfId="7" applyNumberFormat="1" applyFont="1" applyFill="1" applyBorder="1" applyAlignment="1">
      <alignment horizontal="center" vertical="center" wrapText="1" shrinkToFit="1"/>
    </xf>
    <xf numFmtId="49" fontId="47" fillId="3" borderId="17" xfId="7" applyNumberFormat="1" applyFont="1" applyFill="1" applyBorder="1" applyAlignment="1">
      <alignment horizontal="center" vertical="center" wrapText="1" shrinkToFit="1"/>
    </xf>
    <xf numFmtId="49" fontId="45" fillId="3" borderId="0" xfId="7" applyNumberFormat="1" applyFont="1" applyFill="1" applyBorder="1" applyAlignment="1">
      <alignment horizontal="center" vertical="center"/>
    </xf>
    <xf numFmtId="49" fontId="47" fillId="3" borderId="17" xfId="7" applyNumberFormat="1" applyFont="1" applyFill="1" applyBorder="1" applyAlignment="1">
      <alignment horizontal="left" vertical="center" wrapText="1" shrinkToFit="1"/>
    </xf>
    <xf numFmtId="49" fontId="45" fillId="3" borderId="17" xfId="7" applyNumberFormat="1" applyFont="1" applyFill="1" applyBorder="1" applyAlignment="1">
      <alignment horizontal="center" vertical="center"/>
    </xf>
    <xf numFmtId="177" fontId="45" fillId="3" borderId="17" xfId="8" applyNumberFormat="1" applyFont="1" applyFill="1" applyBorder="1" applyAlignment="1">
      <alignment horizontal="right" vertical="center"/>
    </xf>
    <xf numFmtId="41" fontId="45" fillId="3" borderId="17" xfId="8" applyNumberFormat="1" applyFont="1" applyFill="1" applyBorder="1" applyAlignment="1">
      <alignment horizontal="right" vertical="center"/>
    </xf>
    <xf numFmtId="49" fontId="47" fillId="3" borderId="20" xfId="7" applyNumberFormat="1" applyFont="1" applyFill="1" applyBorder="1" applyAlignment="1">
      <alignment horizontal="center" vertical="center" wrapText="1" shrinkToFit="1"/>
    </xf>
    <xf numFmtId="49" fontId="45" fillId="0" borderId="17" xfId="7" applyNumberFormat="1" applyFont="1" applyFill="1" applyBorder="1" applyAlignment="1">
      <alignment horizontal="left" vertical="center" wrapText="1" shrinkToFit="1"/>
    </xf>
    <xf numFmtId="49" fontId="47" fillId="0" borderId="17" xfId="7" applyNumberFormat="1" applyFont="1" applyFill="1" applyBorder="1" applyAlignment="1">
      <alignment horizontal="center" vertical="center" wrapText="1" shrinkToFit="1"/>
    </xf>
    <xf numFmtId="49" fontId="45" fillId="0" borderId="0" xfId="7" applyNumberFormat="1" applyFont="1" applyFill="1" applyBorder="1" applyAlignment="1">
      <alignment horizontal="left" vertical="center" wrapText="1" shrinkToFit="1"/>
    </xf>
    <xf numFmtId="49" fontId="47" fillId="0" borderId="17" xfId="8" applyNumberFormat="1" applyFont="1" applyFill="1" applyBorder="1" applyAlignment="1">
      <alignment horizontal="center" vertical="center"/>
    </xf>
    <xf numFmtId="177" fontId="45" fillId="0" borderId="17" xfId="9" applyNumberFormat="1" applyFont="1" applyFill="1" applyBorder="1" applyAlignment="1">
      <alignment horizontal="right" vertical="center"/>
    </xf>
    <xf numFmtId="41" fontId="45" fillId="0" borderId="17" xfId="1" applyFont="1" applyFill="1" applyBorder="1" applyAlignment="1">
      <alignment horizontal="right" vertical="center"/>
    </xf>
    <xf numFmtId="49" fontId="45" fillId="0" borderId="20" xfId="7" applyNumberFormat="1" applyFont="1" applyFill="1" applyBorder="1" applyAlignment="1">
      <alignment horizontal="center" vertical="center" wrapText="1" shrinkToFit="1"/>
    </xf>
    <xf numFmtId="178" fontId="2" fillId="0" borderId="17" xfId="8" applyNumberFormat="1" applyFont="1" applyFill="1" applyBorder="1" applyAlignment="1">
      <alignment horizontal="right" vertical="center"/>
    </xf>
    <xf numFmtId="49" fontId="41" fillId="6" borderId="16" xfId="8" applyNumberFormat="1" applyFont="1" applyFill="1" applyBorder="1" applyAlignment="1">
      <alignment horizontal="left" vertical="center"/>
    </xf>
    <xf numFmtId="49" fontId="41" fillId="6" borderId="32" xfId="7" applyNumberFormat="1" applyFont="1" applyFill="1" applyBorder="1" applyAlignment="1">
      <alignment horizontal="center" vertical="center" wrapText="1" shrinkToFit="1"/>
    </xf>
    <xf numFmtId="41" fontId="31" fillId="6" borderId="17" xfId="8" applyNumberFormat="1" applyFont="1" applyFill="1" applyBorder="1" applyAlignment="1">
      <alignment horizontal="right" vertical="center"/>
    </xf>
    <xf numFmtId="41" fontId="41" fillId="6" borderId="17" xfId="8" applyNumberFormat="1" applyFont="1" applyFill="1" applyBorder="1" applyAlignment="1">
      <alignment horizontal="right" vertical="center"/>
    </xf>
    <xf numFmtId="49" fontId="41" fillId="6" borderId="20" xfId="7" applyNumberFormat="1" applyFont="1" applyFill="1" applyBorder="1" applyAlignment="1">
      <alignment horizontal="center" vertical="center" wrapText="1" shrinkToFit="1"/>
    </xf>
    <xf numFmtId="49" fontId="47" fillId="0" borderId="18" xfId="8" applyNumberFormat="1" applyFont="1" applyFill="1" applyBorder="1" applyAlignment="1">
      <alignment horizontal="center" vertical="center"/>
    </xf>
    <xf numFmtId="49" fontId="47" fillId="0" borderId="18" xfId="7" quotePrefix="1" applyNumberFormat="1" applyFont="1" applyFill="1" applyBorder="1" applyAlignment="1">
      <alignment horizontal="center" vertical="center" wrapText="1" shrinkToFit="1"/>
    </xf>
    <xf numFmtId="49" fontId="45" fillId="0" borderId="18" xfId="7" applyNumberFormat="1" applyFont="1" applyFill="1" applyBorder="1" applyAlignment="1">
      <alignment horizontal="left" vertical="center" wrapText="1" shrinkToFit="1"/>
    </xf>
    <xf numFmtId="49" fontId="47" fillId="0" borderId="18" xfId="7" quotePrefix="1" applyNumberFormat="1" applyFont="1" applyFill="1" applyBorder="1" applyAlignment="1">
      <alignment vertical="center" wrapText="1" shrinkToFit="1"/>
    </xf>
    <xf numFmtId="49" fontId="45" fillId="0" borderId="18" xfId="7" applyNumberFormat="1" applyFont="1" applyFill="1" applyBorder="1" applyAlignment="1">
      <alignment horizontal="center" vertical="center"/>
    </xf>
    <xf numFmtId="177" fontId="45" fillId="0" borderId="18" xfId="8" applyNumberFormat="1" applyFont="1" applyFill="1" applyBorder="1" applyAlignment="1">
      <alignment horizontal="right" vertical="center"/>
    </xf>
    <xf numFmtId="41" fontId="45" fillId="0" borderId="18" xfId="8" applyNumberFormat="1" applyFont="1" applyFill="1" applyBorder="1" applyAlignment="1">
      <alignment horizontal="right" vertical="center"/>
    </xf>
    <xf numFmtId="49" fontId="45" fillId="0" borderId="22" xfId="7" applyNumberFormat="1" applyFont="1" applyFill="1" applyBorder="1" applyAlignment="1">
      <alignment vertical="center"/>
    </xf>
    <xf numFmtId="0" fontId="45" fillId="0" borderId="17" xfId="7" applyNumberFormat="1" applyFont="1" applyFill="1" applyBorder="1" applyAlignment="1">
      <alignment horizontal="center" vertical="center" wrapText="1" shrinkToFit="1"/>
    </xf>
    <xf numFmtId="42" fontId="45" fillId="0" borderId="20" xfId="7" applyNumberFormat="1" applyFont="1" applyFill="1" applyBorder="1" applyAlignment="1">
      <alignment vertical="center"/>
    </xf>
    <xf numFmtId="41" fontId="2" fillId="0" borderId="0" xfId="1" applyFont="1">
      <alignment vertical="center"/>
    </xf>
    <xf numFmtId="49" fontId="45" fillId="0" borderId="20" xfId="7" applyNumberFormat="1" applyFont="1" applyFill="1" applyBorder="1" applyAlignment="1">
      <alignment vertical="center"/>
    </xf>
    <xf numFmtId="0" fontId="45" fillId="4" borderId="17" xfId="10" applyFont="1" applyFill="1" applyBorder="1" applyAlignment="1" applyProtection="1">
      <alignment horizontal="center" vertical="center"/>
      <protection locked="0"/>
    </xf>
    <xf numFmtId="49" fontId="47" fillId="0" borderId="23" xfId="8" applyNumberFormat="1" applyFont="1" applyFill="1" applyBorder="1" applyAlignment="1">
      <alignment horizontal="center" vertical="center"/>
    </xf>
    <xf numFmtId="49" fontId="41" fillId="6" borderId="23" xfId="8" applyNumberFormat="1" applyFont="1" applyFill="1" applyBorder="1" applyAlignment="1">
      <alignment horizontal="left" vertical="center"/>
    </xf>
    <xf numFmtId="49" fontId="41" fillId="6" borderId="24" xfId="7" applyNumberFormat="1" applyFont="1" applyFill="1" applyBorder="1" applyAlignment="1">
      <alignment horizontal="center" vertical="center" wrapText="1" shrinkToFit="1"/>
    </xf>
    <xf numFmtId="49" fontId="41" fillId="6" borderId="24" xfId="7" applyNumberFormat="1" applyFont="1" applyFill="1" applyBorder="1" applyAlignment="1">
      <alignment horizontal="left" vertical="center" wrapText="1" shrinkToFit="1"/>
    </xf>
    <xf numFmtId="49" fontId="31" fillId="6" borderId="24" xfId="7" applyNumberFormat="1" applyFont="1" applyFill="1" applyBorder="1" applyAlignment="1">
      <alignment horizontal="center" vertical="center"/>
    </xf>
    <xf numFmtId="177" fontId="31" fillId="6" borderId="24" xfId="8" applyNumberFormat="1" applyFont="1" applyFill="1" applyBorder="1" applyAlignment="1">
      <alignment horizontal="right" vertical="center"/>
    </xf>
    <xf numFmtId="41" fontId="41" fillId="6" borderId="24" xfId="8" applyNumberFormat="1" applyFont="1" applyFill="1" applyBorder="1" applyAlignment="1">
      <alignment horizontal="right" vertical="center"/>
    </xf>
    <xf numFmtId="49" fontId="31" fillId="6" borderId="25" xfId="7" applyNumberFormat="1" applyFont="1" applyFill="1" applyBorder="1" applyAlignment="1">
      <alignment vertical="center"/>
    </xf>
    <xf numFmtId="49" fontId="43" fillId="0" borderId="0" xfId="7" applyNumberFormat="1" applyFont="1" applyFill="1" applyBorder="1" applyAlignment="1">
      <alignment horizontal="left" vertical="center"/>
    </xf>
    <xf numFmtId="41" fontId="16" fillId="0" borderId="0" xfId="8" applyNumberFormat="1" applyFont="1" applyFill="1" applyBorder="1" applyAlignment="1">
      <alignment horizontal="right" vertical="center" shrinkToFit="1"/>
    </xf>
    <xf numFmtId="49" fontId="16" fillId="0" borderId="0" xfId="7" applyNumberFormat="1" applyFont="1" applyFill="1" applyBorder="1" applyAlignment="1">
      <alignment vertical="center" wrapText="1" shrinkToFit="1"/>
    </xf>
    <xf numFmtId="49" fontId="43" fillId="0" borderId="0" xfId="7" quotePrefix="1" applyNumberFormat="1" applyFont="1" applyFill="1" applyBorder="1" applyAlignment="1">
      <alignment horizontal="center" vertical="center"/>
    </xf>
    <xf numFmtId="49" fontId="43" fillId="0" borderId="0" xfId="7" quotePrefix="1" applyNumberFormat="1" applyFont="1" applyFill="1" applyBorder="1" applyAlignment="1">
      <alignment horizontal="left" vertical="center"/>
    </xf>
    <xf numFmtId="49" fontId="16" fillId="0" borderId="0" xfId="7" quotePrefix="1" applyNumberFormat="1" applyFont="1" applyFill="1" applyBorder="1" applyAlignment="1">
      <alignment horizontal="left" vertical="center" wrapText="1" shrinkToFit="1"/>
    </xf>
    <xf numFmtId="49" fontId="41" fillId="0" borderId="0" xfId="7" applyNumberFormat="1" applyFont="1" applyFill="1" applyBorder="1" applyAlignment="1">
      <alignment horizontal="center" vertical="center"/>
    </xf>
    <xf numFmtId="49" fontId="41" fillId="0" borderId="0" xfId="7" applyNumberFormat="1" applyFont="1" applyFill="1" applyBorder="1" applyAlignment="1">
      <alignment horizontal="left" vertical="center"/>
    </xf>
    <xf numFmtId="49" fontId="31" fillId="0" borderId="0" xfId="7" applyNumberFormat="1" applyFont="1" applyFill="1" applyBorder="1" applyAlignment="1">
      <alignment horizontal="left" vertical="center" wrapText="1" shrinkToFit="1"/>
    </xf>
    <xf numFmtId="49" fontId="31" fillId="0" borderId="0" xfId="7" applyNumberFormat="1" applyFont="1" applyFill="1" applyBorder="1" applyAlignment="1">
      <alignment horizontal="center" vertical="center"/>
    </xf>
    <xf numFmtId="177" fontId="31" fillId="0" borderId="0" xfId="8" applyNumberFormat="1" applyFont="1" applyFill="1" applyBorder="1" applyAlignment="1">
      <alignment horizontal="right" vertical="center"/>
    </xf>
    <xf numFmtId="41" fontId="31" fillId="0" borderId="0" xfId="8" applyNumberFormat="1" applyFont="1" applyFill="1" applyBorder="1" applyAlignment="1">
      <alignment horizontal="right" vertical="center" shrinkToFit="1"/>
    </xf>
    <xf numFmtId="49" fontId="31" fillId="0" borderId="0" xfId="7" applyNumberFormat="1" applyFont="1" applyFill="1" applyBorder="1" applyAlignment="1">
      <alignment vertical="center" wrapText="1" shrinkToFit="1"/>
    </xf>
    <xf numFmtId="49" fontId="49" fillId="0" borderId="0" xfId="7" applyNumberFormat="1" applyFont="1" applyFill="1" applyBorder="1" applyAlignment="1">
      <alignment horizontal="center" vertical="center"/>
    </xf>
    <xf numFmtId="49" fontId="49" fillId="0" borderId="0" xfId="7" applyNumberFormat="1" applyFont="1" applyFill="1" applyBorder="1" applyAlignment="1">
      <alignment horizontal="left" vertical="center"/>
    </xf>
    <xf numFmtId="49" fontId="48" fillId="0" borderId="0" xfId="7" applyNumberFormat="1" applyFont="1" applyFill="1" applyBorder="1" applyAlignment="1">
      <alignment horizontal="left" vertical="center" wrapText="1" shrinkToFit="1"/>
    </xf>
    <xf numFmtId="49" fontId="48" fillId="0" borderId="0" xfId="7" applyNumberFormat="1" applyFont="1" applyFill="1" applyBorder="1" applyAlignment="1">
      <alignment horizontal="center" vertical="center"/>
    </xf>
    <xf numFmtId="177" fontId="48" fillId="0" borderId="0" xfId="8" applyNumberFormat="1" applyFont="1" applyFill="1" applyBorder="1" applyAlignment="1">
      <alignment horizontal="right" vertical="center"/>
    </xf>
    <xf numFmtId="41" fontId="48" fillId="0" borderId="0" xfId="8" applyNumberFormat="1" applyFont="1" applyFill="1" applyBorder="1" applyAlignment="1">
      <alignment horizontal="right" vertical="center" shrinkToFit="1"/>
    </xf>
    <xf numFmtId="49" fontId="48" fillId="0" borderId="0" xfId="7" applyNumberFormat="1" applyFont="1" applyFill="1" applyBorder="1" applyAlignment="1">
      <alignment vertical="center" wrapText="1" shrinkToFit="1"/>
    </xf>
    <xf numFmtId="49" fontId="48" fillId="0" borderId="0" xfId="7" applyNumberFormat="1" applyFont="1" applyFill="1" applyBorder="1" applyAlignment="1">
      <alignment vertical="center"/>
    </xf>
    <xf numFmtId="0" fontId="48" fillId="0" borderId="0" xfId="7" applyNumberFormat="1" applyFont="1" applyFill="1" applyBorder="1" applyAlignment="1">
      <alignment vertical="center"/>
    </xf>
    <xf numFmtId="49" fontId="39" fillId="7" borderId="12" xfId="7" applyNumberFormat="1" applyFont="1" applyFill="1" applyBorder="1" applyAlignment="1">
      <alignment horizontal="center" vertical="center" wrapText="1" shrinkToFit="1"/>
    </xf>
    <xf numFmtId="49" fontId="39" fillId="7" borderId="15" xfId="7" applyNumberFormat="1" applyFont="1" applyFill="1" applyBorder="1" applyAlignment="1">
      <alignment horizontal="center" vertical="center" wrapText="1" shrinkToFit="1"/>
    </xf>
    <xf numFmtId="49" fontId="39" fillId="7" borderId="13" xfId="7" applyNumberFormat="1" applyFont="1" applyFill="1" applyBorder="1" applyAlignment="1">
      <alignment horizontal="center" vertical="center" wrapText="1" shrinkToFit="1"/>
    </xf>
    <xf numFmtId="0" fontId="2" fillId="0" borderId="13" xfId="7" quotePrefix="1" applyNumberFormat="1" applyFont="1" applyFill="1" applyBorder="1" applyAlignment="1">
      <alignment horizontal="left" vertical="center" wrapText="1" shrinkToFit="1"/>
    </xf>
    <xf numFmtId="0" fontId="43" fillId="0" borderId="32" xfId="10" quotePrefix="1" applyNumberFormat="1" applyFont="1" applyFill="1" applyBorder="1" applyAlignment="1" applyProtection="1">
      <alignment horizontal="center" vertical="center"/>
      <protection locked="0"/>
    </xf>
    <xf numFmtId="49" fontId="45" fillId="4" borderId="17" xfId="10" applyNumberFormat="1" applyFont="1" applyFill="1" applyBorder="1" applyAlignment="1" applyProtection="1">
      <alignment horizontal="left" vertical="center"/>
      <protection locked="0"/>
    </xf>
    <xf numFmtId="0" fontId="2" fillId="0" borderId="32" xfId="7" quotePrefix="1" applyNumberFormat="1" applyFont="1" applyFill="1" applyBorder="1" applyAlignment="1">
      <alignment vertical="center" wrapText="1" shrinkToFit="1"/>
    </xf>
    <xf numFmtId="0" fontId="2" fillId="0" borderId="30" xfId="7" quotePrefix="1" applyNumberFormat="1" applyFont="1" applyFill="1" applyBorder="1" applyAlignment="1">
      <alignment vertical="center" wrapText="1" shrinkToFit="1"/>
    </xf>
    <xf numFmtId="0" fontId="45" fillId="0" borderId="30" xfId="10" applyFont="1" applyFill="1" applyBorder="1" applyAlignment="1">
      <alignment vertical="center"/>
    </xf>
    <xf numFmtId="0" fontId="45" fillId="0" borderId="19" xfId="10" applyFont="1" applyFill="1" applyBorder="1" applyAlignment="1">
      <alignment vertical="center"/>
    </xf>
    <xf numFmtId="0" fontId="45" fillId="0" borderId="32" xfId="2" applyFont="1" applyFill="1" applyBorder="1" applyAlignment="1">
      <alignment vertical="center"/>
    </xf>
    <xf numFmtId="0" fontId="45" fillId="0" borderId="30" xfId="2" applyFont="1" applyFill="1" applyBorder="1" applyAlignment="1">
      <alignment vertical="center"/>
    </xf>
    <xf numFmtId="49" fontId="16" fillId="0" borderId="30" xfId="7" applyNumberFormat="1" applyFont="1" applyFill="1" applyBorder="1" applyAlignment="1">
      <alignment horizontal="center" vertical="center"/>
    </xf>
    <xf numFmtId="0" fontId="41" fillId="4" borderId="16" xfId="10" quotePrefix="1" applyNumberFormat="1" applyFont="1" applyFill="1" applyBorder="1" applyAlignment="1" applyProtection="1">
      <alignment horizontal="center" vertical="center"/>
      <protection locked="0"/>
    </xf>
    <xf numFmtId="49" fontId="2" fillId="0" borderId="17" xfId="11" quotePrefix="1" applyNumberFormat="1" applyFont="1" applyFill="1" applyBorder="1" applyAlignment="1">
      <alignment horizontal="left" vertical="center"/>
    </xf>
    <xf numFmtId="180" fontId="39" fillId="7" borderId="49" xfId="8" applyNumberFormat="1" applyFont="1" applyFill="1" applyBorder="1" applyAlignment="1">
      <alignment horizontal="center" vertical="center"/>
    </xf>
    <xf numFmtId="180" fontId="39" fillId="7" borderId="7" xfId="8" applyNumberFormat="1" applyFont="1" applyFill="1" applyBorder="1" applyAlignment="1">
      <alignment horizontal="center" vertical="center"/>
    </xf>
    <xf numFmtId="180" fontId="39" fillId="7" borderId="9" xfId="8" applyNumberFormat="1" applyFont="1" applyFill="1" applyBorder="1" applyAlignment="1">
      <alignment horizontal="center" vertical="center"/>
    </xf>
    <xf numFmtId="180" fontId="16" fillId="0" borderId="20" xfId="11" applyNumberFormat="1" applyFont="1" applyFill="1" applyBorder="1" applyAlignment="1">
      <alignment horizontal="center" vertical="center"/>
    </xf>
    <xf numFmtId="180" fontId="45" fillId="0" borderId="20" xfId="11" applyNumberFormat="1" applyFont="1" applyFill="1" applyBorder="1" applyAlignment="1">
      <alignment horizontal="center" vertical="center"/>
    </xf>
    <xf numFmtId="180" fontId="31" fillId="8" borderId="20" xfId="8" applyNumberFormat="1" applyFont="1" applyFill="1" applyBorder="1" applyAlignment="1">
      <alignment horizontal="right" vertical="center"/>
    </xf>
    <xf numFmtId="180" fontId="45" fillId="4" borderId="20" xfId="11" applyNumberFormat="1" applyFont="1" applyFill="1" applyBorder="1" applyAlignment="1">
      <alignment horizontal="center" vertical="center"/>
    </xf>
    <xf numFmtId="180" fontId="48" fillId="8" borderId="20" xfId="8" applyNumberFormat="1" applyFont="1" applyFill="1" applyBorder="1" applyAlignment="1">
      <alignment horizontal="right" vertical="center"/>
    </xf>
    <xf numFmtId="180" fontId="31" fillId="8" borderId="50" xfId="8" applyNumberFormat="1" applyFont="1" applyFill="1" applyBorder="1" applyAlignment="1">
      <alignment horizontal="right" vertical="center"/>
    </xf>
    <xf numFmtId="180" fontId="31" fillId="8" borderId="25" xfId="8" applyNumberFormat="1" applyFont="1" applyFill="1" applyBorder="1" applyAlignment="1">
      <alignment horizontal="right" vertical="center"/>
    </xf>
    <xf numFmtId="180" fontId="16" fillId="0" borderId="0" xfId="8" applyNumberFormat="1" applyFont="1" applyFill="1" applyBorder="1" applyAlignment="1">
      <alignment horizontal="right" vertical="center"/>
    </xf>
    <xf numFmtId="0" fontId="45" fillId="0" borderId="30" xfId="10" applyFont="1" applyFill="1" applyBorder="1" applyAlignment="1">
      <alignment horizontal="left" vertical="center" indent="1"/>
    </xf>
    <xf numFmtId="0" fontId="45" fillId="0" borderId="19" xfId="10" applyFont="1" applyFill="1" applyBorder="1" applyAlignment="1">
      <alignment horizontal="left" vertical="center" indent="1"/>
    </xf>
    <xf numFmtId="0" fontId="45" fillId="0" borderId="17" xfId="10" applyFont="1" applyFill="1" applyBorder="1" applyAlignment="1">
      <alignment horizontal="left" vertical="center" indent="1"/>
    </xf>
    <xf numFmtId="0" fontId="45" fillId="0" borderId="17" xfId="2" applyFont="1" applyFill="1" applyBorder="1" applyAlignment="1">
      <alignment horizontal="left" vertical="center" indent="1"/>
    </xf>
    <xf numFmtId="0" fontId="45" fillId="0" borderId="17" xfId="7" applyNumberFormat="1" applyFont="1" applyFill="1" applyBorder="1" applyAlignment="1">
      <alignment horizontal="left" vertical="center" wrapText="1" indent="1" shrinkToFit="1"/>
    </xf>
    <xf numFmtId="0" fontId="45" fillId="0" borderId="17" xfId="10" applyFont="1" applyFill="1" applyBorder="1" applyAlignment="1" applyProtection="1">
      <alignment horizontal="left" vertical="center" indent="1"/>
      <protection locked="0"/>
    </xf>
    <xf numFmtId="0" fontId="45" fillId="0" borderId="17" xfId="7" quotePrefix="1" applyNumberFormat="1" applyFont="1" applyFill="1" applyBorder="1" applyAlignment="1">
      <alignment horizontal="left" vertical="center" wrapText="1" indent="1" shrinkToFit="1"/>
    </xf>
    <xf numFmtId="0" fontId="2" fillId="0" borderId="17" xfId="7" quotePrefix="1" applyNumberFormat="1" applyFont="1" applyFill="1" applyBorder="1" applyAlignment="1">
      <alignment horizontal="left" vertical="center" wrapText="1" indent="1" shrinkToFit="1"/>
    </xf>
    <xf numFmtId="0" fontId="2" fillId="0" borderId="32" xfId="7" quotePrefix="1" applyNumberFormat="1" applyFont="1" applyFill="1" applyBorder="1" applyAlignment="1">
      <alignment horizontal="left" vertical="center" wrapText="1" indent="1" shrinkToFit="1"/>
    </xf>
    <xf numFmtId="0" fontId="2" fillId="0" borderId="30" xfId="7" quotePrefix="1" applyNumberFormat="1" applyFont="1" applyFill="1" applyBorder="1" applyAlignment="1">
      <alignment horizontal="left" vertical="center" wrapText="1" indent="1" shrinkToFit="1"/>
    </xf>
    <xf numFmtId="0" fontId="2" fillId="0" borderId="17" xfId="10" applyFont="1" applyFill="1" applyBorder="1" applyAlignment="1" applyProtection="1">
      <alignment horizontal="left" vertical="center" indent="1"/>
      <protection locked="0"/>
    </xf>
    <xf numFmtId="0" fontId="41" fillId="8" borderId="17" xfId="10" applyFont="1" applyFill="1" applyBorder="1" applyAlignment="1" applyProtection="1">
      <alignment horizontal="left" vertical="center" indent="1"/>
      <protection locked="0"/>
    </xf>
    <xf numFmtId="0" fontId="41" fillId="9" borderId="17" xfId="10" applyFont="1" applyFill="1" applyBorder="1" applyAlignment="1" applyProtection="1">
      <alignment horizontal="left" vertical="center" indent="1"/>
      <protection locked="0"/>
    </xf>
    <xf numFmtId="0" fontId="2" fillId="0" borderId="17" xfId="7" applyNumberFormat="1" applyFont="1" applyFill="1" applyBorder="1" applyAlignment="1">
      <alignment horizontal="left" vertical="center" wrapText="1" indent="1" shrinkToFit="1"/>
    </xf>
    <xf numFmtId="0" fontId="41" fillId="6" borderId="17" xfId="10" applyFont="1" applyFill="1" applyBorder="1" applyAlignment="1" applyProtection="1">
      <alignment horizontal="left" vertical="center" indent="1"/>
      <protection locked="0"/>
    </xf>
    <xf numFmtId="0" fontId="18" fillId="0" borderId="32" xfId="10" quotePrefix="1" applyNumberFormat="1" applyFont="1" applyFill="1" applyBorder="1" applyAlignment="1" applyProtection="1">
      <alignment vertical="center"/>
      <protection locked="0"/>
    </xf>
    <xf numFmtId="0" fontId="18" fillId="0" borderId="30" xfId="10" quotePrefix="1" applyNumberFormat="1" applyFont="1" applyFill="1" applyBorder="1" applyAlignment="1" applyProtection="1">
      <alignment vertical="center"/>
      <protection locked="0"/>
    </xf>
    <xf numFmtId="0" fontId="18" fillId="0" borderId="17" xfId="10" quotePrefix="1" applyNumberFormat="1" applyFont="1" applyFill="1" applyBorder="1" applyAlignment="1" applyProtection="1">
      <alignment vertical="center"/>
      <protection locked="0"/>
    </xf>
    <xf numFmtId="0" fontId="8" fillId="0" borderId="2" xfId="3" applyFont="1" applyBorder="1" applyAlignment="1">
      <alignment horizontal="center"/>
    </xf>
    <xf numFmtId="0" fontId="8" fillId="0" borderId="3" xfId="3" applyFont="1" applyBorder="1" applyAlignment="1">
      <alignment horizontal="center"/>
    </xf>
    <xf numFmtId="0" fontId="7" fillId="0" borderId="4" xfId="3" applyFont="1" applyBorder="1" applyAlignment="1">
      <alignment horizontal="center"/>
    </xf>
    <xf numFmtId="0" fontId="7" fillId="0" borderId="5" xfId="3" applyFont="1" applyBorder="1" applyAlignment="1">
      <alignment horizontal="center"/>
    </xf>
    <xf numFmtId="0" fontId="7" fillId="0" borderId="6" xfId="3" applyFont="1" applyBorder="1" applyAlignment="1">
      <alignment horizontal="center"/>
    </xf>
    <xf numFmtId="0" fontId="7" fillId="0" borderId="7" xfId="3" applyFont="1" applyBorder="1" applyAlignment="1">
      <alignment horizontal="center"/>
    </xf>
    <xf numFmtId="0" fontId="7" fillId="0" borderId="8" xfId="3" applyFont="1" applyBorder="1" applyAlignment="1">
      <alignment horizontal="center"/>
    </xf>
    <xf numFmtId="0" fontId="7" fillId="0" borderId="9" xfId="3" applyFont="1" applyBorder="1" applyAlignment="1">
      <alignment horizontal="center"/>
    </xf>
    <xf numFmtId="0" fontId="23" fillId="0" borderId="0" xfId="4" applyFont="1" applyBorder="1" applyAlignment="1">
      <alignment horizontal="left" vertical="center"/>
    </xf>
    <xf numFmtId="176" fontId="24" fillId="0" borderId="0" xfId="3" applyNumberFormat="1" applyFont="1" applyBorder="1" applyAlignment="1">
      <alignment horizontal="left" vertical="center"/>
    </xf>
    <xf numFmtId="0" fontId="24" fillId="0" borderId="0" xfId="3" applyFont="1" applyBorder="1" applyAlignment="1">
      <alignment horizontal="left" vertical="center"/>
    </xf>
    <xf numFmtId="42" fontId="23" fillId="0" borderId="0" xfId="3" applyNumberFormat="1" applyFont="1" applyBorder="1" applyAlignment="1">
      <alignment horizontal="center" vertical="top"/>
    </xf>
    <xf numFmtId="0" fontId="38" fillId="10" borderId="2" xfId="3" applyFont="1" applyFill="1" applyBorder="1" applyAlignment="1">
      <alignment horizontal="center" vertical="center"/>
    </xf>
    <xf numFmtId="0" fontId="38" fillId="10" borderId="3" xfId="3" applyFont="1" applyFill="1" applyBorder="1" applyAlignment="1">
      <alignment horizontal="center" vertical="center"/>
    </xf>
    <xf numFmtId="0" fontId="21" fillId="4" borderId="4" xfId="3" applyFont="1" applyFill="1" applyBorder="1" applyAlignment="1">
      <alignment horizontal="center" vertical="center"/>
    </xf>
    <xf numFmtId="0" fontId="21" fillId="4" borderId="5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7" xfId="3" applyFont="1" applyFill="1" applyBorder="1" applyAlignment="1">
      <alignment horizontal="center" vertical="center"/>
    </xf>
    <xf numFmtId="0" fontId="21" fillId="4" borderId="8" xfId="3" applyFont="1" applyFill="1" applyBorder="1" applyAlignment="1">
      <alignment horizontal="center" vertical="center"/>
    </xf>
    <xf numFmtId="0" fontId="21" fillId="4" borderId="9" xfId="3" applyFont="1" applyFill="1" applyBorder="1" applyAlignment="1">
      <alignment horizontal="center" vertical="center"/>
    </xf>
    <xf numFmtId="0" fontId="28" fillId="0" borderId="0" xfId="2" applyFont="1" applyBorder="1" applyAlignment="1">
      <alignment horizontal="center" vertical="center"/>
    </xf>
    <xf numFmtId="0" fontId="23" fillId="0" borderId="0" xfId="3" applyFont="1" applyBorder="1" applyAlignment="1">
      <alignment horizontal="center" vertical="center"/>
    </xf>
    <xf numFmtId="49" fontId="24" fillId="0" borderId="0" xfId="3" applyNumberFormat="1" applyFont="1" applyBorder="1" applyAlignment="1">
      <alignment horizontal="left" vertical="center"/>
    </xf>
    <xf numFmtId="0" fontId="36" fillId="0" borderId="0" xfId="2" applyFont="1" applyAlignment="1">
      <alignment vertical="center"/>
    </xf>
    <xf numFmtId="0" fontId="23" fillId="0" borderId="0" xfId="3" applyFont="1" applyBorder="1" applyAlignment="1">
      <alignment horizontal="left" vertical="center"/>
    </xf>
    <xf numFmtId="0" fontId="29" fillId="5" borderId="0" xfId="2" applyFont="1" applyFill="1" applyAlignment="1">
      <alignment horizontal="center" vertical="center"/>
    </xf>
    <xf numFmtId="0" fontId="27" fillId="0" borderId="0" xfId="3" applyFont="1" applyBorder="1" applyAlignment="1">
      <alignment horizontal="center" vertical="center"/>
    </xf>
    <xf numFmtId="0" fontId="24" fillId="0" borderId="0" xfId="3" applyNumberFormat="1" applyFont="1" applyBorder="1" applyAlignment="1">
      <alignment horizontal="left" vertical="center"/>
    </xf>
    <xf numFmtId="0" fontId="37" fillId="0" borderId="0" xfId="3" applyFont="1" applyBorder="1" applyAlignment="1">
      <alignment horizontal="center" vertical="center"/>
    </xf>
    <xf numFmtId="49" fontId="39" fillId="7" borderId="3" xfId="7" applyNumberFormat="1" applyFont="1" applyFill="1" applyBorder="1" applyAlignment="1">
      <alignment horizontal="center" vertical="center" wrapText="1" shrinkToFit="1"/>
    </xf>
    <xf numFmtId="49" fontId="39" fillId="7" borderId="4" xfId="7" applyNumberFormat="1" applyFont="1" applyFill="1" applyBorder="1" applyAlignment="1">
      <alignment horizontal="center" vertical="center" wrapText="1"/>
    </xf>
    <xf numFmtId="49" fontId="39" fillId="7" borderId="8" xfId="7" applyNumberFormat="1" applyFont="1" applyFill="1" applyBorder="1" applyAlignment="1">
      <alignment horizontal="center" vertical="center"/>
    </xf>
    <xf numFmtId="49" fontId="39" fillId="7" borderId="11" xfId="7" applyNumberFormat="1" applyFont="1" applyFill="1" applyBorder="1" applyAlignment="1">
      <alignment horizontal="center" vertical="center" wrapText="1" shrinkToFit="1"/>
    </xf>
    <xf numFmtId="49" fontId="39" fillId="7" borderId="12" xfId="7" applyNumberFormat="1" applyFont="1" applyFill="1" applyBorder="1" applyAlignment="1">
      <alignment horizontal="center" vertical="center" wrapText="1" shrinkToFit="1"/>
    </xf>
    <xf numFmtId="49" fontId="39" fillId="7" borderId="15" xfId="7" applyNumberFormat="1" applyFont="1" applyFill="1" applyBorder="1" applyAlignment="1">
      <alignment horizontal="center" vertical="center" wrapText="1" shrinkToFit="1"/>
    </xf>
    <xf numFmtId="49" fontId="39" fillId="7" borderId="11" xfId="7" applyNumberFormat="1" applyFont="1" applyFill="1" applyBorder="1" applyAlignment="1">
      <alignment horizontal="center" vertical="center"/>
    </xf>
    <xf numFmtId="49" fontId="39" fillId="7" borderId="12" xfId="8" applyNumberFormat="1" applyFont="1" applyFill="1" applyBorder="1" applyAlignment="1">
      <alignment horizontal="center" vertical="center"/>
    </xf>
    <xf numFmtId="49" fontId="39" fillId="7" borderId="15" xfId="8" applyNumberFormat="1" applyFont="1" applyFill="1" applyBorder="1" applyAlignment="1">
      <alignment horizontal="center" vertical="center"/>
    </xf>
    <xf numFmtId="49" fontId="39" fillId="7" borderId="11" xfId="8" applyNumberFormat="1" applyFont="1" applyFill="1" applyBorder="1" applyAlignment="1">
      <alignment horizontal="center" vertical="center" shrinkToFit="1"/>
    </xf>
    <xf numFmtId="0" fontId="16" fillId="9" borderId="36" xfId="11" applyFont="1" applyFill="1" applyBorder="1" applyAlignment="1">
      <alignment horizontal="center" vertical="center"/>
    </xf>
    <xf numFmtId="0" fontId="16" fillId="9" borderId="51" xfId="11" applyFont="1" applyFill="1" applyBorder="1" applyAlignment="1">
      <alignment horizontal="center" vertical="center"/>
    </xf>
    <xf numFmtId="0" fontId="16" fillId="9" borderId="22" xfId="11" applyFont="1" applyFill="1" applyBorder="1" applyAlignment="1">
      <alignment horizontal="center" vertical="center"/>
    </xf>
    <xf numFmtId="180" fontId="16" fillId="12" borderId="16" xfId="11" applyNumberFormat="1" applyFont="1" applyFill="1" applyBorder="1" applyAlignment="1">
      <alignment horizontal="center" vertical="center"/>
    </xf>
    <xf numFmtId="180" fontId="16" fillId="12" borderId="50" xfId="11" applyNumberFormat="1" applyFont="1" applyFill="1" applyBorder="1" applyAlignment="1">
      <alignment horizontal="center" vertical="center"/>
    </xf>
    <xf numFmtId="180" fontId="16" fillId="12" borderId="20" xfId="11" applyNumberFormat="1" applyFont="1" applyFill="1" applyBorder="1" applyAlignment="1">
      <alignment horizontal="center" vertical="center"/>
    </xf>
    <xf numFmtId="180" fontId="16" fillId="9" borderId="16" xfId="11" applyNumberFormat="1" applyFont="1" applyFill="1" applyBorder="1" applyAlignment="1">
      <alignment horizontal="center" vertical="center"/>
    </xf>
    <xf numFmtId="180" fontId="16" fillId="9" borderId="50" xfId="11" applyNumberFormat="1" applyFont="1" applyFill="1" applyBorder="1" applyAlignment="1">
      <alignment horizontal="center" vertical="center"/>
    </xf>
    <xf numFmtId="180" fontId="16" fillId="9" borderId="20" xfId="11" applyNumberFormat="1" applyFont="1" applyFill="1" applyBorder="1" applyAlignment="1">
      <alignment horizontal="center" vertical="center"/>
    </xf>
    <xf numFmtId="180" fontId="45" fillId="9" borderId="16" xfId="11" applyNumberFormat="1" applyFont="1" applyFill="1" applyBorder="1" applyAlignment="1">
      <alignment horizontal="center" vertical="center"/>
    </xf>
    <xf numFmtId="180" fontId="45" fillId="9" borderId="50" xfId="11" applyNumberFormat="1" applyFont="1" applyFill="1" applyBorder="1" applyAlignment="1">
      <alignment horizontal="center" vertical="center"/>
    </xf>
    <xf numFmtId="180" fontId="45" fillId="9" borderId="20" xfId="11" applyNumberFormat="1" applyFont="1" applyFill="1" applyBorder="1" applyAlignment="1">
      <alignment horizontal="center" vertical="center"/>
    </xf>
    <xf numFmtId="0" fontId="44" fillId="0" borderId="32" xfId="11" applyFont="1" applyFill="1" applyBorder="1" applyAlignment="1">
      <alignment horizontal="center" vertical="center" wrapText="1"/>
    </xf>
    <xf numFmtId="0" fontId="44" fillId="0" borderId="13" xfId="11" applyFont="1" applyFill="1" applyBorder="1" applyAlignment="1">
      <alignment horizontal="center" vertical="center"/>
    </xf>
    <xf numFmtId="0" fontId="44" fillId="0" borderId="30" xfId="11" applyFont="1" applyFill="1" applyBorder="1" applyAlignment="1">
      <alignment horizontal="center" vertical="center"/>
    </xf>
    <xf numFmtId="0" fontId="44" fillId="0" borderId="41" xfId="11" applyFont="1" applyFill="1" applyBorder="1" applyAlignment="1">
      <alignment horizontal="center" vertical="center" wrapText="1"/>
    </xf>
    <xf numFmtId="0" fontId="44" fillId="0" borderId="6" xfId="11" applyFont="1" applyFill="1" applyBorder="1" applyAlignment="1">
      <alignment horizontal="center" vertical="center"/>
    </xf>
    <xf numFmtId="0" fontId="44" fillId="0" borderId="31" xfId="11" applyFont="1" applyFill="1" applyBorder="1" applyAlignment="1">
      <alignment horizontal="center" vertical="center"/>
    </xf>
    <xf numFmtId="0" fontId="43" fillId="0" borderId="32" xfId="10" quotePrefix="1" applyNumberFormat="1" applyFont="1" applyFill="1" applyBorder="1" applyAlignment="1" applyProtection="1">
      <alignment horizontal="center" vertical="center"/>
      <protection locked="0"/>
    </xf>
    <xf numFmtId="0" fontId="43" fillId="0" borderId="30" xfId="10" quotePrefix="1" applyNumberFormat="1" applyFont="1" applyFill="1" applyBorder="1" applyAlignment="1" applyProtection="1">
      <alignment horizontal="center" vertical="center"/>
      <protection locked="0"/>
    </xf>
    <xf numFmtId="0" fontId="44" fillId="0" borderId="13" xfId="11" applyFont="1" applyFill="1" applyBorder="1" applyAlignment="1">
      <alignment horizontal="center" vertical="center" wrapText="1"/>
    </xf>
    <xf numFmtId="0" fontId="44" fillId="0" borderId="30" xfId="11" applyFont="1" applyFill="1" applyBorder="1" applyAlignment="1">
      <alignment horizontal="center" vertical="center" wrapText="1"/>
    </xf>
    <xf numFmtId="41" fontId="39" fillId="7" borderId="14" xfId="1" applyFont="1" applyFill="1" applyBorder="1" applyAlignment="1">
      <alignment horizontal="center" vertical="center" shrinkToFit="1"/>
    </xf>
    <xf numFmtId="41" fontId="39" fillId="7" borderId="3" xfId="1" applyFont="1" applyFill="1" applyBorder="1" applyAlignment="1">
      <alignment horizontal="center" vertical="center" shrinkToFit="1"/>
    </xf>
    <xf numFmtId="41" fontId="39" fillId="7" borderId="26" xfId="1" applyFont="1" applyFill="1" applyBorder="1" applyAlignment="1">
      <alignment horizontal="center" vertical="center" shrinkToFit="1"/>
    </xf>
    <xf numFmtId="41" fontId="39" fillId="7" borderId="27" xfId="1" applyFont="1" applyFill="1" applyBorder="1" applyAlignment="1">
      <alignment horizontal="center" vertical="center" shrinkToFit="1"/>
    </xf>
    <xf numFmtId="49" fontId="39" fillId="7" borderId="13" xfId="8" applyNumberFormat="1" applyFont="1" applyFill="1" applyBorder="1" applyAlignment="1">
      <alignment horizontal="center" vertical="center"/>
    </xf>
    <xf numFmtId="49" fontId="39" fillId="7" borderId="6" xfId="7" applyNumberFormat="1" applyFont="1" applyFill="1" applyBorder="1" applyAlignment="1">
      <alignment horizontal="center" vertical="center"/>
    </xf>
    <xf numFmtId="49" fontId="39" fillId="7" borderId="13" xfId="7" applyNumberFormat="1" applyFont="1" applyFill="1" applyBorder="1" applyAlignment="1">
      <alignment horizontal="center" vertical="center" wrapText="1" shrinkToFit="1"/>
    </xf>
  </cellXfs>
  <cellStyles count="13">
    <cellStyle name="쉼표 [0]" xfId="1" builtinId="6"/>
    <cellStyle name="쉼표 [0] 2" xfId="8"/>
    <cellStyle name="쉼표 [0] 3 2" xfId="9"/>
    <cellStyle name="표준" xfId="0" builtinId="0"/>
    <cellStyle name="표준 2" xfId="11"/>
    <cellStyle name="표준 2 2" xfId="2"/>
    <cellStyle name="표준_Sheet1" xfId="12"/>
    <cellStyle name="표준_대우미래사랑2.3" xfId="7"/>
    <cellStyle name="표준_서울강서타워(최종)_국립 생물자원관 신축공사" xfId="6"/>
    <cellStyle name="표준_수지LG_6차견적2" xfId="3"/>
    <cellStyle name="표준_은민인테리어(3)공무팀양식" xfId="5"/>
    <cellStyle name="표준_최종견적(계약견적)" xfId="10"/>
    <cellStyle name="표준_화성 태현자이모델하우스" xfId="4"/>
  </cellStyles>
  <dxfs count="56"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  <dxf>
      <font>
        <color rgb="FFFF0000"/>
      </font>
    </dxf>
    <dxf>
      <font>
        <color theme="3"/>
      </font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536864</xdr:colOff>
      <xdr:row>1</xdr:row>
      <xdr:rowOff>53245</xdr:rowOff>
    </xdr:from>
    <xdr:to>
      <xdr:col>17</xdr:col>
      <xdr:colOff>901623</xdr:colOff>
      <xdr:row>3</xdr:row>
      <xdr:rowOff>52484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55046" y="261063"/>
          <a:ext cx="1334578" cy="466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2018328</xdr:colOff>
      <xdr:row>0</xdr:row>
      <xdr:rowOff>231321</xdr:rowOff>
    </xdr:from>
    <xdr:to>
      <xdr:col>11</xdr:col>
      <xdr:colOff>3099503</xdr:colOff>
      <xdr:row>2</xdr:row>
      <xdr:rowOff>69035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41007" y="231321"/>
          <a:ext cx="1081175" cy="38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1496785</xdr:colOff>
      <xdr:row>0</xdr:row>
      <xdr:rowOff>204107</xdr:rowOff>
    </xdr:from>
    <xdr:to>
      <xdr:col>15</xdr:col>
      <xdr:colOff>2633051</xdr:colOff>
      <xdr:row>2</xdr:row>
      <xdr:rowOff>72157</xdr:rowOff>
    </xdr:to>
    <xdr:pic>
      <xdr:nvPicPr>
        <xdr:cNvPr id="4" name="그림 3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04821" y="204107"/>
          <a:ext cx="1140076" cy="402811"/>
        </a:xfrm>
        <a:prstGeom prst="rect">
          <a:avLst/>
        </a:prstGeom>
      </xdr:spPr>
    </xdr:pic>
    <xdr:clientData/>
  </xdr:twoCellAnchor>
  <xdr:twoCellAnchor editAs="oneCell">
    <xdr:from>
      <xdr:col>21</xdr:col>
      <xdr:colOff>40822</xdr:colOff>
      <xdr:row>103</xdr:row>
      <xdr:rowOff>380999</xdr:rowOff>
    </xdr:from>
    <xdr:to>
      <xdr:col>33</xdr:col>
      <xdr:colOff>301622</xdr:colOff>
      <xdr:row>113</xdr:row>
      <xdr:rowOff>88319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18929" y="22410963"/>
          <a:ext cx="8411749" cy="29817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3685;&#54633;%20&#47928;&#49436;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. 기본공사 서비스코드 기준정보"/>
      <sheetName val="Sheet2"/>
    </sheetNames>
    <sheetDataSet>
      <sheetData sheetId="0"/>
      <sheetData sheetId="1">
        <row r="2">
          <cell r="A2" t="str">
            <v>부엌철거_ㅡ자, ㄱ자(3.5M 미만) [단위 : set]</v>
          </cell>
          <cell r="B2">
            <v>65000</v>
          </cell>
        </row>
        <row r="3">
          <cell r="A3" t="str">
            <v>부엌철거_ㅡ자, ㄱ자(5M 미만) [단위 : set]</v>
          </cell>
          <cell r="B3">
            <v>80000</v>
          </cell>
        </row>
        <row r="4">
          <cell r="A4" t="str">
            <v>부엌철거_ㅡ자, ㄱ자(5M 이상) [단위 : set]</v>
          </cell>
          <cell r="B4">
            <v>90000</v>
          </cell>
        </row>
        <row r="5">
          <cell r="A5" t="str">
            <v>부엌철거_ㄷ자, ㅁ자, 병렬형(12M 미만) [단위 : set]</v>
          </cell>
          <cell r="B5">
            <v>120000</v>
          </cell>
        </row>
        <row r="6">
          <cell r="A6" t="str">
            <v>부엌철거_ㄷ자, ㅁ자, 병렬형(12M 이상) [단위 : set]</v>
          </cell>
          <cell r="B6">
            <v>140000</v>
          </cell>
        </row>
        <row r="7">
          <cell r="A7" t="str">
            <v>부엌철거_아일랜드 [단위 : set]</v>
          </cell>
          <cell r="B7">
            <v>30000</v>
          </cell>
        </row>
        <row r="8">
          <cell r="A8" t="str">
            <v>부엌철거_발코니 보조주방 [단위 : set]</v>
          </cell>
          <cell r="B8">
            <v>30000</v>
          </cell>
        </row>
        <row r="9">
          <cell r="A9" t="str">
            <v>부엌철거_옵션기기류 [단위 : EA]</v>
          </cell>
          <cell r="B9">
            <v>10000</v>
          </cell>
        </row>
        <row r="10">
          <cell r="A10" t="str">
            <v>부엌철거_입수전 공사 [단위 : EA]</v>
          </cell>
          <cell r="B10">
            <v>70000</v>
          </cell>
        </row>
        <row r="11">
          <cell r="A11" t="str">
            <v>수납철거_현관장 [단위 : EA]</v>
          </cell>
          <cell r="B11">
            <v>10000</v>
          </cell>
        </row>
        <row r="12">
          <cell r="A12" t="str">
            <v>수납철거_벽박이장, 창고장 [단위 : EA]</v>
          </cell>
          <cell r="B12">
            <v>15000</v>
          </cell>
        </row>
        <row r="13">
          <cell r="A13" t="str">
            <v>수납철거_거실장 [단위 : M]</v>
          </cell>
          <cell r="B13">
            <v>10000</v>
          </cell>
        </row>
        <row r="14">
          <cell r="A14" t="str">
            <v>수납철거_빌트인 화장대 [단위 : EA]</v>
          </cell>
          <cell r="B14">
            <v>30000</v>
          </cell>
        </row>
        <row r="15">
          <cell r="A15" t="str">
            <v>수납철거_기타단품장 [단위 : EA]</v>
          </cell>
          <cell r="B15">
            <v>10000</v>
          </cell>
        </row>
        <row r="16">
          <cell r="A16" t="str">
            <v>바닥철거_마루(본드접착식)  [단위 : 평]</v>
          </cell>
          <cell r="B16">
            <v>23000</v>
          </cell>
        </row>
        <row r="17">
          <cell r="A17" t="str">
            <v>바닥철거_강화마루  [단위 : 평]</v>
          </cell>
          <cell r="B17">
            <v>15200</v>
          </cell>
        </row>
        <row r="18">
          <cell r="A18" t="str">
            <v>바닥철거_데코타일  [단위 : 평]</v>
          </cell>
          <cell r="B18">
            <v>15200</v>
          </cell>
        </row>
        <row r="19">
          <cell r="A19" t="str">
            <v>바닥철거_장판 (방1개 기준) [단위 : EA]</v>
          </cell>
          <cell r="B19">
            <v>10000</v>
          </cell>
        </row>
        <row r="20">
          <cell r="A20" t="str">
            <v>바닥철거_폴리싱타일 [단위 : 평]</v>
          </cell>
          <cell r="B20">
            <v>40000</v>
          </cell>
        </row>
        <row r="21">
          <cell r="A21" t="str">
            <v>바닥철거_바탕작업(한지장판샌딩) [단위 : EA]</v>
          </cell>
          <cell r="B21">
            <v>10000</v>
          </cell>
        </row>
        <row r="22">
          <cell r="A22" t="str">
            <v>바닥철거_바탕작업(바닥샌딩) [단위 : 평]</v>
          </cell>
          <cell r="B22">
            <v>5000</v>
          </cell>
        </row>
        <row r="23">
          <cell r="A23" t="str">
            <v>바닥철거_바탕작업(프라이머, 급결) [단위 : 평]</v>
          </cell>
          <cell r="B23">
            <v>7000</v>
          </cell>
        </row>
        <row r="24">
          <cell r="A24" t="str">
            <v>창호철거_거실분합창 [단위 : EA]</v>
          </cell>
          <cell r="B24">
            <v>100000</v>
          </cell>
        </row>
        <row r="25">
          <cell r="A25" t="str">
            <v>창호철거_작은방분합창 [단위 : EA]</v>
          </cell>
          <cell r="B25">
            <v>80000</v>
          </cell>
        </row>
        <row r="26">
          <cell r="A26" t="str">
            <v>목공철거_몰딩 [단위 : 평]</v>
          </cell>
          <cell r="B26">
            <v>1700</v>
          </cell>
        </row>
        <row r="27">
          <cell r="A27" t="str">
            <v>목공철거_걸레받이 [단위 : 평]</v>
          </cell>
          <cell r="B27">
            <v>1700</v>
          </cell>
        </row>
        <row r="28">
          <cell r="A28" t="str">
            <v>목공철거_도어(문틀, 문짝, 문선, 인방 포함) [단위 : set]</v>
          </cell>
          <cell r="B28">
            <v>30000</v>
          </cell>
        </row>
        <row r="29">
          <cell r="A29" t="str">
            <v>목공철거_도어(문짝만 철거) [단위 : EA]</v>
          </cell>
          <cell r="B29">
            <v>10000</v>
          </cell>
        </row>
        <row r="30">
          <cell r="A30" t="str">
            <v>목공철거_도어(문선만 철거) [단위 : EA]</v>
          </cell>
          <cell r="B30">
            <v>5000</v>
          </cell>
        </row>
        <row r="31">
          <cell r="A31" t="str">
            <v>목공철거_문턱제거(문턱철거, 문턱미장 포함) [단위 : EA]</v>
          </cell>
          <cell r="B31">
            <v>30000</v>
          </cell>
        </row>
        <row r="32">
          <cell r="A32" t="str">
            <v>목공철거_문턱미장(문턱미장만 작업) [단위 : EA]</v>
          </cell>
          <cell r="B32">
            <v>10000</v>
          </cell>
        </row>
        <row r="33">
          <cell r="A33" t="str">
            <v>목공철거_중문 [단위 : set]</v>
          </cell>
          <cell r="B33">
            <v>60000</v>
          </cell>
        </row>
        <row r="34">
          <cell r="A34" t="str">
            <v>목공철거_천장철거 우물천장 [단위 : set]</v>
          </cell>
          <cell r="B34">
            <v>100000</v>
          </cell>
        </row>
        <row r="35">
          <cell r="A35" t="str">
            <v>목공철거_천장철거 천장등박스 [단위 : set]</v>
          </cell>
          <cell r="B35">
            <v>30000</v>
          </cell>
        </row>
        <row r="36">
          <cell r="A36" t="str">
            <v>목공철거_천장철거 전체 [단위 : 평]</v>
          </cell>
          <cell r="B36">
            <v>15000</v>
          </cell>
        </row>
        <row r="37">
          <cell r="A37" t="str">
            <v>목공철거_현관루버 [단위 : M]</v>
          </cell>
          <cell r="B37">
            <v>30000</v>
          </cell>
        </row>
        <row r="38">
          <cell r="A38" t="str">
            <v>벽체철거_가벽 [단위 : M]</v>
          </cell>
          <cell r="B38">
            <v>50000</v>
          </cell>
        </row>
        <row r="39">
          <cell r="A39" t="str">
            <v>벽체철거_조적벽(부분) [단위 : EA]</v>
          </cell>
          <cell r="B39">
            <v>30000</v>
          </cell>
        </row>
        <row r="40">
          <cell r="A40" t="str">
            <v>벽체철거_조적벽(날개) [단위 : M]</v>
          </cell>
          <cell r="B40">
            <v>50000</v>
          </cell>
        </row>
        <row r="41">
          <cell r="A41" t="str">
            <v>벽체철거_아트월(목공) [단위 : M]</v>
          </cell>
          <cell r="B41">
            <v>30000</v>
          </cell>
        </row>
        <row r="42">
          <cell r="A42" t="str">
            <v>벽체철거_아트월(타일) [단위 : M]</v>
          </cell>
          <cell r="B42">
            <v>45600</v>
          </cell>
        </row>
        <row r="43">
          <cell r="A43" t="str">
            <v>타일철거_주방 [단위 : M]</v>
          </cell>
          <cell r="B43">
            <v>15000</v>
          </cell>
        </row>
        <row r="44">
          <cell r="A44" t="str">
            <v>타일철거_발코니 바닥 [단위 : ㎡]</v>
          </cell>
          <cell r="B44">
            <v>18000</v>
          </cell>
        </row>
        <row r="45">
          <cell r="A45" t="str">
            <v>타일철거_현관 [단위 : 평]</v>
          </cell>
          <cell r="B45">
            <v>50000</v>
          </cell>
        </row>
        <row r="46">
          <cell r="A46" t="str">
            <v>타일철거_현관타일 단 낮춤 [단위 : EA]</v>
          </cell>
          <cell r="B46">
            <v>50000</v>
          </cell>
        </row>
        <row r="47">
          <cell r="A47" t="str">
            <v>욕실철거_기본 [단위 : set]</v>
          </cell>
          <cell r="B47">
            <v>120000</v>
          </cell>
        </row>
        <row r="48">
          <cell r="A48" t="str">
            <v>욕실철거_옵션_욕조 [단위 : EA]</v>
          </cell>
          <cell r="B48">
            <v>30000</v>
          </cell>
        </row>
        <row r="49">
          <cell r="A49" t="str">
            <v>욕실철거_옵션_벽타일(1면) [단위 : EA]</v>
          </cell>
          <cell r="B49">
            <v>50000</v>
          </cell>
        </row>
        <row r="50">
          <cell r="A50" t="str">
            <v>욕실철거_바닥방수 [단위 : EA]</v>
          </cell>
          <cell r="B50">
            <v>100000</v>
          </cell>
        </row>
        <row r="51">
          <cell r="A51" t="str">
            <v>욕실철거_욕조방수 [단위 : EA]</v>
          </cell>
          <cell r="B51">
            <v>50000</v>
          </cell>
        </row>
        <row r="52">
          <cell r="A52" t="str">
            <v>욕실철거_라지에이터 [단위 : EA]</v>
          </cell>
          <cell r="B52">
            <v>70000</v>
          </cell>
        </row>
        <row r="53">
          <cell r="A53" t="str">
            <v>욕실설비_급수관 신설(냉온수 1면꺾음) [단위 : EA]</v>
          </cell>
          <cell r="B53">
            <v>120000</v>
          </cell>
        </row>
        <row r="54">
          <cell r="A54" t="str">
            <v>욕실설비_급수관 신설(냉온수 2면꺾음) [단위 : EA]</v>
          </cell>
          <cell r="B54">
            <v>180000</v>
          </cell>
        </row>
        <row r="55">
          <cell r="A55" t="str">
            <v>욕실설비_급수관 이동 [단위 : EA]</v>
          </cell>
          <cell r="B55">
            <v>84000</v>
          </cell>
        </row>
        <row r="56">
          <cell r="A56" t="str">
            <v>욕실설비_P트랩 전환 [단위 : EA]</v>
          </cell>
          <cell r="B56">
            <v>84000</v>
          </cell>
        </row>
        <row r="57">
          <cell r="A57" t="str">
            <v>욕실설비_조적 젠다이 시공(숏) [단위 : EA]</v>
          </cell>
          <cell r="B57">
            <v>150000</v>
          </cell>
        </row>
        <row r="58">
          <cell r="A58" t="str">
            <v>욕실설비_조적 젠다이 시공(롱) [단위 : EA]</v>
          </cell>
          <cell r="B58">
            <v>200000</v>
          </cell>
        </row>
        <row r="59">
          <cell r="A59" t="str">
            <v>기타철거_잡철물 [단위 : EA]</v>
          </cell>
          <cell r="B59">
            <v>100000</v>
          </cell>
        </row>
        <row r="60">
          <cell r="A60" t="str">
            <v>기타철거_보양 (실내외) [단위 : EA]</v>
          </cell>
          <cell r="B60">
            <v>150000</v>
          </cell>
        </row>
        <row r="61">
          <cell r="A61" t="str">
            <v>기타철거_보양(바닥) [단위 : EA]</v>
          </cell>
          <cell r="B61">
            <v>5500</v>
          </cell>
        </row>
        <row r="62">
          <cell r="A62" t="str">
            <v>기타철거_복스작업 [단위 : EA]</v>
          </cell>
          <cell r="B62">
            <v>30000</v>
          </cell>
        </row>
        <row r="63">
          <cell r="A63" t="str">
            <v xml:space="preserve">철거_폐기물처리(총 철거비의 10%) </v>
          </cell>
          <cell r="B63">
            <v>0</v>
          </cell>
        </row>
        <row r="64">
          <cell r="A64" t="str">
            <v xml:space="preserve">철거_기타항목기입 </v>
          </cell>
          <cell r="B64">
            <v>0</v>
          </cell>
        </row>
        <row r="65">
          <cell r="A65" t="str">
            <v>설비_급수관 신설(냉온수 1면꺾음) [단위 : EA]</v>
          </cell>
          <cell r="B65">
            <v>120000</v>
          </cell>
        </row>
        <row r="66">
          <cell r="A66" t="str">
            <v>설비_급수관 신설(냉온수 2면꺾음) [단위 : EA]</v>
          </cell>
          <cell r="B66">
            <v>180000</v>
          </cell>
        </row>
        <row r="67">
          <cell r="A67" t="str">
            <v>설비_급수관 이동  [단위 : EA]</v>
          </cell>
          <cell r="B67">
            <v>84000</v>
          </cell>
        </row>
        <row r="68">
          <cell r="A68" t="str">
            <v>설비_수도배관이설 [단위 : EA]</v>
          </cell>
          <cell r="B68">
            <v>84000</v>
          </cell>
        </row>
        <row r="69">
          <cell r="A69" t="str">
            <v>설비_발코니 단올림 [단위 : EA]</v>
          </cell>
          <cell r="B69">
            <v>486000</v>
          </cell>
        </row>
        <row r="70">
          <cell r="A70" t="str">
            <v>설비_세탁기 단올림(단차미장) [단위 : EA]</v>
          </cell>
          <cell r="B70">
            <v>96000</v>
          </cell>
        </row>
        <row r="71">
          <cell r="A71" t="str">
            <v>확장_거실발코니(종합-단열포함) [단위 : EA]</v>
          </cell>
          <cell r="B71">
            <v>1242000</v>
          </cell>
        </row>
        <row r="72">
          <cell r="A72" t="str">
            <v>확장_방/주방(종합-단열포함) [단위 : EA]</v>
          </cell>
          <cell r="B72">
            <v>972000</v>
          </cell>
        </row>
        <row r="73">
          <cell r="A73" t="str">
            <v>확장_거실발코니(단과-단열제외) [단위 : EA]</v>
          </cell>
          <cell r="B73">
            <v>621000</v>
          </cell>
        </row>
        <row r="74">
          <cell r="A74" t="str">
            <v>확장_방/주방(단과-단열제외) [단위 : EA]</v>
          </cell>
          <cell r="B74">
            <v>486000</v>
          </cell>
        </row>
        <row r="75">
          <cell r="A75" t="str">
            <v>확장_거실발코니 단올림 [단위 : EA]</v>
          </cell>
          <cell r="B75">
            <v>486000</v>
          </cell>
        </row>
        <row r="76">
          <cell r="A76" t="str">
            <v>확장_단차미장 [단위 : EA]</v>
          </cell>
          <cell r="B76">
            <v>96000</v>
          </cell>
        </row>
        <row r="77">
          <cell r="A77" t="str">
            <v xml:space="preserve">설비_기타항목기입 </v>
          </cell>
          <cell r="B77">
            <v>0</v>
          </cell>
        </row>
        <row r="78">
          <cell r="A78" t="str">
            <v>단열_기본단열(표준) [단위 : M]</v>
          </cell>
          <cell r="B78">
            <v>100000</v>
          </cell>
        </row>
        <row r="79">
          <cell r="A79" t="str">
            <v>단열_발코니단열 (표준단열) [단위 : EA]</v>
          </cell>
          <cell r="B79">
            <v>117200</v>
          </cell>
        </row>
        <row r="80">
          <cell r="A80" t="str">
            <v>단열_발코니단열 (보조단열) [단위 : EA]</v>
          </cell>
          <cell r="B80">
            <v>101400</v>
          </cell>
        </row>
        <row r="81">
          <cell r="A81" t="str">
            <v>단열_보조단열 1안 [단위 : M]</v>
          </cell>
          <cell r="B81">
            <v>94800</v>
          </cell>
        </row>
        <row r="82">
          <cell r="A82" t="str">
            <v>단열_보조단열 2안 [단위 : M]</v>
          </cell>
          <cell r="B82">
            <v>98800</v>
          </cell>
        </row>
        <row r="83">
          <cell r="A83" t="str">
            <v>목공_확장_거실발코니(단과-설비제외) [단위 : EA]</v>
          </cell>
          <cell r="B83">
            <v>621000</v>
          </cell>
        </row>
        <row r="84">
          <cell r="A84" t="str">
            <v>목공_확장_방/주방(단과-설비제외) [단위 : EA]</v>
          </cell>
          <cell r="B84">
            <v>486000</v>
          </cell>
        </row>
        <row r="85">
          <cell r="A85" t="str">
            <v>목공_우물천장 [단위 : EA]</v>
          </cell>
          <cell r="B85">
            <v>405000</v>
          </cell>
        </row>
        <row r="86">
          <cell r="A86" t="str">
            <v>목공_간접우물천장 [단위 : EA]</v>
          </cell>
          <cell r="B86">
            <v>616000</v>
          </cell>
        </row>
        <row r="87">
          <cell r="A87" t="str">
            <v>목공_일자간접조명 [단위 : EA]</v>
          </cell>
          <cell r="B87">
            <v>255200</v>
          </cell>
        </row>
        <row r="88">
          <cell r="A88" t="str">
            <v>목공_이노실링(일자간접등박스) [단위 : EA]</v>
          </cell>
          <cell r="B88">
            <v>258800</v>
          </cell>
        </row>
        <row r="89">
          <cell r="A89" t="str">
            <v>목공_천정평탄화 [단위 : EA]</v>
          </cell>
          <cell r="B89">
            <v>247200</v>
          </cell>
        </row>
        <row r="90">
          <cell r="A90" t="str">
            <v>목공_벽체수평, 보강(2p기준) [단위 : M]</v>
          </cell>
          <cell r="B90">
            <v>84000</v>
          </cell>
        </row>
        <row r="91">
          <cell r="A91" t="str">
            <v>목공_벽체수평, 보강(1p기준) [단위 : M]</v>
          </cell>
          <cell r="B91">
            <v>71400</v>
          </cell>
        </row>
        <row r="92">
          <cell r="A92" t="str">
            <v>목공_가벽시공 [단위 : M]</v>
          </cell>
          <cell r="B92">
            <v>202500</v>
          </cell>
        </row>
        <row r="93">
          <cell r="A93" t="str">
            <v>목공_터닝도어 목공틀 [단위 : EA]</v>
          </cell>
          <cell r="B93">
            <v>202500</v>
          </cell>
        </row>
        <row r="94">
          <cell r="A94" t="str">
            <v>목공_폴딩도어 목공틀 [단위 : EA]</v>
          </cell>
          <cell r="B94">
            <v>202500</v>
          </cell>
        </row>
        <row r="95">
          <cell r="A95" t="str">
            <v>목공_기타 목공틀 [단위 : EA]</v>
          </cell>
          <cell r="B95">
            <v>202500</v>
          </cell>
        </row>
        <row r="96">
          <cell r="A96" t="str">
            <v>목공_하프파티션 [단위 : EA]</v>
          </cell>
          <cell r="B96">
            <v>278400</v>
          </cell>
        </row>
        <row r="97">
          <cell r="A97" t="str">
            <v>목공_벽지판넬 [단위 : EA]</v>
          </cell>
          <cell r="B97">
            <v>260400</v>
          </cell>
        </row>
        <row r="98">
          <cell r="A98" t="str">
            <v>목공_천정몰딩 시공 [단위 : 평]</v>
          </cell>
          <cell r="B98">
            <v>8100</v>
          </cell>
        </row>
        <row r="99">
          <cell r="A99" t="str">
            <v>목공_걸레받이 시공 [단위 : 평]</v>
          </cell>
          <cell r="B99">
            <v>4300</v>
          </cell>
        </row>
        <row r="100">
          <cell r="A100" t="str">
            <v>목공_아트월 시공(1~8박스) [단위 : EA]</v>
          </cell>
          <cell r="B100">
            <v>201780</v>
          </cell>
        </row>
        <row r="101">
          <cell r="A101" t="str">
            <v>목공_아트월 시공(9~12박스) [단위 : EA]</v>
          </cell>
          <cell r="B101">
            <v>302670</v>
          </cell>
        </row>
        <row r="102">
          <cell r="A102" t="str">
            <v>목공_아트월 시공(13~16박스) [단위 : EA]</v>
          </cell>
          <cell r="B102">
            <v>392350</v>
          </cell>
        </row>
        <row r="103">
          <cell r="A103" t="str">
            <v xml:space="preserve">목공_기타항목 기입 </v>
          </cell>
          <cell r="B103">
            <v>0</v>
          </cell>
        </row>
        <row r="104">
          <cell r="A104" t="str">
            <v>전기_스위치, 콘센트 신설 [단위 : EA]</v>
          </cell>
          <cell r="B104">
            <v>89400</v>
          </cell>
        </row>
        <row r="105">
          <cell r="A105" t="str">
            <v>전기_등 배선작업 (천정) [단위 : EA]</v>
          </cell>
          <cell r="B105">
            <v>32400</v>
          </cell>
        </row>
        <row r="106">
          <cell r="A106" t="str">
            <v>전기_등 배선작업 (전체배선작업) [단위 : EA]</v>
          </cell>
          <cell r="B106">
            <v>32400</v>
          </cell>
        </row>
        <row r="107">
          <cell r="A107" t="str">
            <v>전기_거실우물천장 (메인등) [단위 : EA]</v>
          </cell>
          <cell r="B107">
            <v>32400</v>
          </cell>
        </row>
        <row r="108">
          <cell r="A108" t="str">
            <v>전기_거실우물천장 (간접조명) [단위 : EA]</v>
          </cell>
          <cell r="B108">
            <v>32400</v>
          </cell>
        </row>
        <row r="109">
          <cell r="A109" t="str">
            <v>전기_거실천장 등박스 간접조명 (매립형) [단위 : EA]</v>
          </cell>
          <cell r="B109">
            <v>102600</v>
          </cell>
        </row>
        <row r="110">
          <cell r="A110" t="str">
            <v>전기_거실천장 등박스 간접조명 (돌출형) [단위 : EA]</v>
          </cell>
          <cell r="B110">
            <v>89400</v>
          </cell>
        </row>
        <row r="111">
          <cell r="A111" t="str">
            <v>전기_거실 아트월 천장 [단위 : EA]</v>
          </cell>
          <cell r="B111">
            <v>89400</v>
          </cell>
        </row>
        <row r="112">
          <cell r="A112" t="str">
            <v>전기_거실 복도 천장 [단위 : EA]</v>
          </cell>
          <cell r="B112">
            <v>89400</v>
          </cell>
        </row>
        <row r="113">
          <cell r="A113" t="str">
            <v>전기_복스작업 [단위 : EA]</v>
          </cell>
          <cell r="B113">
            <v>30000</v>
          </cell>
        </row>
        <row r="114">
          <cell r="A114" t="str">
            <v>전기_배전반 교체 [단위 : EA]</v>
          </cell>
          <cell r="B114">
            <v>350000</v>
          </cell>
        </row>
        <row r="115">
          <cell r="A115" t="str">
            <v>전기_누전차단기 설치(교체) [단위 : EA]</v>
          </cell>
          <cell r="B115">
            <v>45000</v>
          </cell>
        </row>
        <row r="116">
          <cell r="A116" t="str">
            <v xml:space="preserve">전기_기타항목기입 </v>
          </cell>
          <cell r="B116">
            <v>0</v>
          </cell>
        </row>
        <row r="117">
          <cell r="A117" t="str">
            <v>조명_전체조명시공 [단위 : 평]</v>
          </cell>
          <cell r="B117">
            <v>8500</v>
          </cell>
        </row>
        <row r="118">
          <cell r="A118" t="str">
            <v xml:space="preserve">조명_기타항목기입 </v>
          </cell>
          <cell r="B118">
            <v>0</v>
          </cell>
        </row>
        <row r="119">
          <cell r="A119" t="str">
            <v>타일_주방 벽타일 [단위 : EA]</v>
          </cell>
          <cell r="B119">
            <v>180000</v>
          </cell>
        </row>
        <row r="120">
          <cell r="A120" t="str">
            <v>타일_현관 바닥타일 [단위 : EA]</v>
          </cell>
          <cell r="B120">
            <v>120000</v>
          </cell>
        </row>
        <row r="121">
          <cell r="A121" t="str">
            <v>타일_욕실 바닥타일 [단위 : EA]</v>
          </cell>
          <cell r="B121">
            <v>240000</v>
          </cell>
        </row>
        <row r="122">
          <cell r="A122" t="str">
            <v>타일_욕실 전체타일 [단위 : EA]</v>
          </cell>
          <cell r="B122">
            <v>360000</v>
          </cell>
        </row>
        <row r="123">
          <cell r="A123" t="str">
            <v>타일_기본 발코니 (1~3실 기준) [단위 : EA]</v>
          </cell>
          <cell r="B123">
            <v>228000</v>
          </cell>
        </row>
        <row r="124">
          <cell r="A124" t="str">
            <v>타일_대형 발코니 (4~5실 기준) [단위 : EA]</v>
          </cell>
          <cell r="B124">
            <v>192000</v>
          </cell>
        </row>
        <row r="125">
          <cell r="A125" t="str">
            <v>타일_발코니 창고장  [단위 : ㎡]</v>
          </cell>
          <cell r="B125">
            <v>30000</v>
          </cell>
        </row>
        <row r="126">
          <cell r="A126" t="str">
            <v>타일_특수타일 [단위 : ㎡]</v>
          </cell>
          <cell r="B126">
            <v>36000</v>
          </cell>
        </row>
        <row r="127">
          <cell r="A127" t="str">
            <v>타일_일반타일(아트월 등) [단위 : ㎡]</v>
          </cell>
          <cell r="B127">
            <v>26000</v>
          </cell>
        </row>
        <row r="128">
          <cell r="A128" t="str">
            <v xml:space="preserve">타일_기타항목기입 </v>
          </cell>
          <cell r="B128">
            <v>0</v>
          </cell>
        </row>
        <row r="129">
          <cell r="A129" t="str">
            <v>도배_실크벽지 시공 [단위 : ㎡]</v>
          </cell>
          <cell r="B129">
            <v>5616</v>
          </cell>
        </row>
        <row r="130">
          <cell r="A130" t="str">
            <v>도배_바탕작업 퍼티 [단위 : EA]</v>
          </cell>
          <cell r="B130">
            <v>220000</v>
          </cell>
        </row>
        <row r="131">
          <cell r="A131" t="str">
            <v xml:space="preserve">도배_기타항목기입 </v>
          </cell>
          <cell r="B131">
            <v>0</v>
          </cell>
        </row>
        <row r="132">
          <cell r="A132" t="str">
            <v>도장_탄성코트(1실) [단위 : EA]</v>
          </cell>
          <cell r="B132">
            <v>300000</v>
          </cell>
        </row>
        <row r="133">
          <cell r="A133" t="str">
            <v>도장_탄성코트(2실) [단위 : EA]</v>
          </cell>
          <cell r="B133">
            <v>200000</v>
          </cell>
        </row>
        <row r="134">
          <cell r="A134" t="str">
            <v>도장_탄성코트(3실 이상) [단위 : EA]</v>
          </cell>
          <cell r="B134">
            <v>156000</v>
          </cell>
        </row>
        <row r="135">
          <cell r="A135" t="str">
            <v>도장_세라믹코트(1실) [단위 : EA]</v>
          </cell>
          <cell r="B135">
            <v>300000</v>
          </cell>
        </row>
        <row r="136">
          <cell r="A136" t="str">
            <v>도장_세라믹코트(2실) [단위 : EA]</v>
          </cell>
          <cell r="B136">
            <v>200000</v>
          </cell>
        </row>
        <row r="137">
          <cell r="A137" t="str">
            <v>도장_세라믹코트(3실 이상) [단위 : EA]</v>
          </cell>
          <cell r="B137">
            <v>198000</v>
          </cell>
        </row>
        <row r="138">
          <cell r="A138" t="str">
            <v xml:space="preserve">도장_기타항목기입 </v>
          </cell>
          <cell r="B138">
            <v>0</v>
          </cell>
        </row>
        <row r="139">
          <cell r="A139" t="str">
            <v>필름_전체필름 [단위 : 평]</v>
          </cell>
          <cell r="B139">
            <v>110000</v>
          </cell>
        </row>
        <row r="140">
          <cell r="A140" t="str">
            <v>필름_현관방화문 [단위 : EA]</v>
          </cell>
          <cell r="B140">
            <v>150000</v>
          </cell>
        </row>
        <row r="141">
          <cell r="A141" t="str">
            <v>필름_창호(단창) (틀당) [단위 : EA]</v>
          </cell>
          <cell r="B141">
            <v>136000</v>
          </cell>
        </row>
        <row r="142">
          <cell r="A142" t="str">
            <v>필름_장호(이중창) (틀당) [단위 : EA]</v>
          </cell>
          <cell r="B142">
            <v>230000</v>
          </cell>
        </row>
        <row r="143">
          <cell r="A143" t="str">
            <v>필름_도어(문틀, 문짝, 문선, 인방 포함) [단위 : set]</v>
          </cell>
          <cell r="B143">
            <v>136000</v>
          </cell>
        </row>
        <row r="144">
          <cell r="A144" t="str">
            <v>필름_도어(문틀) [단위 : EA]</v>
          </cell>
          <cell r="B144">
            <v>72000</v>
          </cell>
        </row>
        <row r="145">
          <cell r="A145" t="str">
            <v>필름_도어(민자문짝) [단위 : EA]</v>
          </cell>
          <cell r="B145">
            <v>72000</v>
          </cell>
        </row>
        <row r="146">
          <cell r="A146" t="str">
            <v>필름_도어(타공문짝) [단위 : EA]</v>
          </cell>
          <cell r="B146">
            <v>85000</v>
          </cell>
        </row>
        <row r="147">
          <cell r="A147" t="str">
            <v>필름_도어(양각,음각문짝) [단위 : EA]</v>
          </cell>
          <cell r="B147">
            <v>95000</v>
          </cell>
        </row>
        <row r="148">
          <cell r="A148" t="str">
            <v>필름_도어(문선, 인방) [단위 : M]</v>
          </cell>
          <cell r="B148">
            <v>5000</v>
          </cell>
        </row>
        <row r="149">
          <cell r="A149" t="str">
            <v>필름_천장몰딩 [단위 : 평]</v>
          </cell>
          <cell r="B149">
            <v>10000</v>
          </cell>
        </row>
        <row r="150">
          <cell r="A150" t="str">
            <v>필름_천장등박스 [단위 : EA]</v>
          </cell>
          <cell r="B150">
            <v>150000</v>
          </cell>
        </row>
        <row r="151">
          <cell r="A151" t="str">
            <v>필름_걸레받이몰딩 [단위 : 평]</v>
          </cell>
          <cell r="B151">
            <v>10000</v>
          </cell>
        </row>
        <row r="152">
          <cell r="A152" t="str">
            <v>필름_주방창 [단위 : set]</v>
          </cell>
          <cell r="B152">
            <v>75000</v>
          </cell>
        </row>
        <row r="153">
          <cell r="A153" t="str">
            <v>필름_도어 (높이 1500mm이상) [단위 : EA]</v>
          </cell>
          <cell r="B153">
            <v>40000</v>
          </cell>
        </row>
        <row r="154">
          <cell r="A154" t="str">
            <v>필름_도어 (높이 1500mm이하) [단위 : EA]</v>
          </cell>
          <cell r="B154">
            <v>20000</v>
          </cell>
        </row>
        <row r="155">
          <cell r="A155" t="str">
            <v>필름_도어 (서랍마이다) [단위 : EA]</v>
          </cell>
          <cell r="B155">
            <v>5000</v>
          </cell>
        </row>
        <row r="156">
          <cell r="A156" t="str">
            <v xml:space="preserve">필름_기타항목기입 </v>
          </cell>
          <cell r="B156">
            <v>0</v>
          </cell>
        </row>
        <row r="157">
          <cell r="A157" t="str">
            <v>공사마감_공사 후 마감작업 [단위 : EA]</v>
          </cell>
          <cell r="B157">
            <v>240000</v>
          </cell>
        </row>
        <row r="158">
          <cell r="A158" t="str">
            <v>공사마감_빨래건조대 [단위 : EA]</v>
          </cell>
          <cell r="B158">
            <v>15000</v>
          </cell>
        </row>
        <row r="159">
          <cell r="A159" t="str">
            <v>공사마감_방화문 액세서리 설치 [단위 : EA]</v>
          </cell>
          <cell r="B159">
            <v>15000</v>
          </cell>
        </row>
        <row r="160">
          <cell r="A160" t="str">
            <v>공사마감_발코니 냉온수 수도교체 [단위 : EA]</v>
          </cell>
          <cell r="B160">
            <v>15000</v>
          </cell>
        </row>
        <row r="161">
          <cell r="A161" t="str">
            <v>공사마감_화재감지기커버 교체 [단위 : EA]</v>
          </cell>
          <cell r="B161">
            <v>15000</v>
          </cell>
        </row>
        <row r="162">
          <cell r="A162" t="str">
            <v>공사마감_방송스피커캡 교체 [단위 : EA]</v>
          </cell>
          <cell r="B162">
            <v>15000</v>
          </cell>
        </row>
        <row r="163">
          <cell r="A163" t="str">
            <v>공사마감_배수구 유가 교체  [단위 : EA]</v>
          </cell>
          <cell r="B163">
            <v>15000</v>
          </cell>
        </row>
        <row r="164">
          <cell r="A164" t="str">
            <v xml:space="preserve">공사마감_공과잡비(4%) </v>
          </cell>
          <cell r="B164">
            <v>0</v>
          </cell>
        </row>
        <row r="165">
          <cell r="A165" t="str">
            <v xml:space="preserve">공사마감_공사관리비 </v>
          </cell>
          <cell r="B165">
            <v>0</v>
          </cell>
        </row>
        <row r="166">
          <cell r="A166" t="str">
            <v xml:space="preserve">공사마감_기타항목기입 </v>
          </cell>
          <cell r="B166">
            <v>0</v>
          </cell>
        </row>
        <row r="167">
          <cell r="A167" t="str">
            <v>수납철거_붙박이장, 이동장, 장롱 [단위 : EA]</v>
          </cell>
          <cell r="B167">
            <v>12000</v>
          </cell>
        </row>
        <row r="168">
          <cell r="A168" t="str">
            <v xml:space="preserve">조명_메인등(3등) [단위 : EA] </v>
          </cell>
          <cell r="B168">
            <v>23800</v>
          </cell>
        </row>
        <row r="169">
          <cell r="A169" t="str">
            <v>조명_메인등(2등) [단위 : EA]</v>
          </cell>
          <cell r="B169">
            <v>19100</v>
          </cell>
        </row>
        <row r="170">
          <cell r="A170" t="str">
            <v>조명_메인등(1등) [단위 : EA]</v>
          </cell>
          <cell r="B170">
            <v>16000</v>
          </cell>
        </row>
        <row r="171">
          <cell r="A171" t="str">
            <v>조명_보조등, 간접등 [단위 : EA]</v>
          </cell>
          <cell r="B171">
            <v>3500</v>
          </cell>
        </row>
        <row r="172">
          <cell r="A172" t="str">
            <v>조명_장식등_팬던트 [단위 : EA]</v>
          </cell>
          <cell r="B172">
            <v>17900</v>
          </cell>
        </row>
        <row r="173">
          <cell r="A173" t="str">
            <v>조명_장식등_팬던트 외 [단위 : EA]</v>
          </cell>
          <cell r="B173">
            <v>8200</v>
          </cell>
        </row>
        <row r="174">
          <cell r="A174" t="str">
            <v>조명_ACC [단위 : EA]</v>
          </cell>
          <cell r="B174">
            <v>4400</v>
          </cell>
        </row>
        <row r="175">
          <cell r="A175" t="str">
            <v>조명_센서연동 [단위 : EA]</v>
          </cell>
          <cell r="B175">
            <v>18200</v>
          </cell>
        </row>
        <row r="176">
          <cell r="A176" t="str">
            <v>조명_타공작업 [단위 : EA]</v>
          </cell>
          <cell r="B176">
            <v>13700</v>
          </cell>
        </row>
        <row r="177">
          <cell r="A177" t="str">
            <v xml:space="preserve">조명_점프작업 [단위 : EA] </v>
          </cell>
          <cell r="B177">
            <v>13100</v>
          </cell>
        </row>
        <row r="178">
          <cell r="A178" t="str">
            <v>조명_복스작업 [단위 : EA]</v>
          </cell>
          <cell r="B178">
            <v>17500</v>
          </cell>
        </row>
        <row r="179">
          <cell r="A179" t="str">
            <v>조명_기타작업(도어락) [단위 : EA]</v>
          </cell>
          <cell r="B179">
            <v>62900</v>
          </cell>
        </row>
        <row r="180">
          <cell r="A180" t="str">
            <v>조명_기타작업(기존제품 회수폐기) [단위 : EA]</v>
          </cell>
          <cell r="B180">
            <v>8300</v>
          </cell>
        </row>
        <row r="181">
          <cell r="A181" t="str">
            <v>조명_진입비(서울,경기,부산)</v>
          </cell>
          <cell r="B181">
            <v>30000</v>
          </cell>
        </row>
        <row r="182">
          <cell r="A182" t="str">
            <v>조명_진입비(서울,경기,부산 外)</v>
          </cell>
          <cell r="B182">
            <v>50000</v>
          </cell>
        </row>
        <row r="184">
          <cell r="B184">
            <v>20033216</v>
          </cell>
        </row>
        <row r="186">
          <cell r="A186" t="str">
            <v>상품명칭</v>
          </cell>
          <cell r="B186" t="str">
            <v>기본공시</v>
          </cell>
        </row>
        <row r="187">
          <cell r="A187" t="str">
            <v>전기_인덕션 전기배선, 누전차단기 설치 [단위 : EA]</v>
          </cell>
          <cell r="B187">
            <v>153400</v>
          </cell>
        </row>
        <row r="188">
          <cell r="A188" t="str">
            <v>전기_현관 하부조명작업 [단위 : EA]</v>
          </cell>
          <cell r="B188">
            <v>32400</v>
          </cell>
        </row>
        <row r="189">
          <cell r="A189" t="str">
            <v>전기_스위치, 콘센트 이설/증설(옹벽)</v>
          </cell>
          <cell r="B189">
            <v>62000</v>
          </cell>
        </row>
        <row r="190">
          <cell r="A190" t="str">
            <v>전기_스위치, 콘센트 이설/증설(석고벽)</v>
          </cell>
          <cell r="B190">
            <v>34000</v>
          </cell>
        </row>
        <row r="191">
          <cell r="A191" t="str">
            <v>욕실철거_바닥철거 [단위 : EA]</v>
          </cell>
          <cell r="B191">
            <v>307800</v>
          </cell>
        </row>
        <row r="192">
          <cell r="A192" t="str">
            <v>욕실철거_전체철거 [단위 : EA]</v>
          </cell>
          <cell r="B192">
            <v>666900</v>
          </cell>
        </row>
        <row r="193">
          <cell r="A193" t="str">
            <v>욕실철거_UBR철거 [단위 : EA]</v>
          </cell>
          <cell r="B193">
            <v>1026000</v>
          </cell>
        </row>
        <row r="194">
          <cell r="A194" t="str">
            <v>철거_에어컨 배관 매립 (2M 이내) [단위 : EA]</v>
          </cell>
          <cell r="B194">
            <v>40000</v>
          </cell>
        </row>
        <row r="195">
          <cell r="A195" t="str">
            <v>철거_에어컨 배관 매립 (2M 이상) [단위 : EA]</v>
          </cell>
          <cell r="B195">
            <v>50000</v>
          </cell>
        </row>
        <row r="196">
          <cell r="A196" t="str">
            <v>타일철거_발코니 소형 단 철거 [단위 : EA]</v>
          </cell>
          <cell r="B196">
            <v>50000</v>
          </cell>
        </row>
        <row r="197">
          <cell r="A197" t="str">
            <v>설비_발코니 배수관 이동 [단위 : EA]</v>
          </cell>
          <cell r="B197">
            <v>84000</v>
          </cell>
        </row>
        <row r="198">
          <cell r="A198" t="str">
            <v>설비_배수구이동(위치변경) [단위 : EA]</v>
          </cell>
          <cell r="B198">
            <v>84000</v>
          </cell>
        </row>
        <row r="199">
          <cell r="A199" t="str">
            <v>설비_현관 단올림 [단위 : EA]</v>
          </cell>
          <cell r="B199">
            <v>96000</v>
          </cell>
        </row>
        <row r="200">
          <cell r="A200" t="str">
            <v>목공_등박스 [단위 : EA]</v>
          </cell>
          <cell r="B200">
            <v>258800</v>
          </cell>
        </row>
        <row r="201">
          <cell r="A201" t="str">
            <v>목공_커튼박스 [단위 : EA]</v>
          </cell>
          <cell r="B201">
            <v>100000</v>
          </cell>
        </row>
        <row r="202">
          <cell r="A202" t="str">
            <v>목공_터닝도어 문선시공 [단위 : EA]</v>
          </cell>
          <cell r="B202">
            <v>26680</v>
          </cell>
        </row>
        <row r="203">
          <cell r="A203" t="str">
            <v>목공_포켓도어틀 [단위 : EA]</v>
          </cell>
          <cell r="B203">
            <v>202500</v>
          </cell>
        </row>
        <row r="204">
          <cell r="A204" t="str">
            <v>목공_하프파티션 창틀시공 [단위 : EA]</v>
          </cell>
          <cell r="B204">
            <v>100000</v>
          </cell>
        </row>
        <row r="205">
          <cell r="A205" t="str">
            <v>목공_천장보강 [단위 : EA]</v>
          </cell>
          <cell r="B205">
            <v>30000</v>
          </cell>
        </row>
        <row r="206">
          <cell r="A206" t="str">
            <v>단열_E보드단열 [단위 : M]</v>
          </cell>
          <cell r="B206">
            <v>50000</v>
          </cell>
        </row>
        <row r="207">
          <cell r="A207" t="str">
            <v>필름_중문 [단위 : EA]</v>
          </cell>
          <cell r="B207">
            <v>150000</v>
          </cell>
        </row>
        <row r="208">
          <cell r="A208" t="str">
            <v>필름_도어(문틀, 문짝, 문선, 인방 포함_민자)</v>
          </cell>
          <cell r="B208">
            <v>110000</v>
          </cell>
        </row>
        <row r="209">
          <cell r="A209" t="str">
            <v>필름_도어(문틀, 문짝, 문선, 인방 포함_굴곡)</v>
          </cell>
          <cell r="B209">
            <v>160000</v>
          </cell>
        </row>
        <row r="210">
          <cell r="A210" t="str">
            <v>필름_도어(문틀_민자)</v>
          </cell>
          <cell r="B210">
            <v>60000</v>
          </cell>
        </row>
        <row r="211">
          <cell r="A211" t="str">
            <v>필름_도어(문틀_굴곡)</v>
          </cell>
          <cell r="B211">
            <v>80000</v>
          </cell>
        </row>
        <row r="212">
          <cell r="A212" t="str">
            <v>필름_도어(민자문짝)</v>
          </cell>
          <cell r="B212">
            <v>60000</v>
          </cell>
        </row>
        <row r="213">
          <cell r="A213" t="str">
            <v>필름_도어(타공문짝)</v>
          </cell>
          <cell r="B213">
            <v>85000</v>
          </cell>
        </row>
        <row r="214">
          <cell r="A214" t="str">
            <v>필름_도어(양각,음각문짝)</v>
          </cell>
          <cell r="B214">
            <v>80000</v>
          </cell>
        </row>
        <row r="215">
          <cell r="A215" t="str">
            <v>필름_도어(문선, 인방)</v>
          </cell>
          <cell r="B215">
            <v>5000</v>
          </cell>
        </row>
        <row r="216">
          <cell r="A216" t="str">
            <v>필름_창호(단창_쪽창)</v>
          </cell>
          <cell r="B216">
            <v>70000</v>
          </cell>
        </row>
        <row r="217">
          <cell r="A217" t="str">
            <v>필름_창호(단창_반창)</v>
          </cell>
          <cell r="B217">
            <v>100000</v>
          </cell>
        </row>
        <row r="218">
          <cell r="A218" t="str">
            <v>필름_창호(단창_장창)</v>
          </cell>
          <cell r="B218">
            <v>136000</v>
          </cell>
        </row>
        <row r="219">
          <cell r="A219" t="str">
            <v>필름_창호(이중창_쪽창)</v>
          </cell>
          <cell r="B219">
            <v>100000</v>
          </cell>
        </row>
        <row r="220">
          <cell r="A220" t="str">
            <v>필름_창호(이중창_반창)</v>
          </cell>
          <cell r="B220">
            <v>160000</v>
          </cell>
        </row>
        <row r="221">
          <cell r="A221" t="str">
            <v>필름_창호(이중창_장창)</v>
          </cell>
          <cell r="B221">
            <v>230000</v>
          </cell>
        </row>
        <row r="222">
          <cell r="A222" t="str">
            <v>필름_창호(시스템_쪽창)</v>
          </cell>
          <cell r="B222">
            <v>105000</v>
          </cell>
        </row>
        <row r="223">
          <cell r="A223" t="str">
            <v>필름_창호(시스템_반창)</v>
          </cell>
          <cell r="B223">
            <v>150000</v>
          </cell>
        </row>
        <row r="224">
          <cell r="A224" t="str">
            <v>필름_창호(시스템_장창)</v>
          </cell>
          <cell r="B224">
            <v>225000</v>
          </cell>
        </row>
        <row r="225">
          <cell r="A225" t="str">
            <v>필름_천장몰딩(도배선철거)</v>
          </cell>
          <cell r="B225">
            <v>9500</v>
          </cell>
        </row>
        <row r="226">
          <cell r="A226" t="str">
            <v>필름_천장몰딩(도배미철거)</v>
          </cell>
          <cell r="B226">
            <v>11000</v>
          </cell>
        </row>
        <row r="227">
          <cell r="A227" t="str">
            <v>필름_걸레받이몰딩(도배선철거)</v>
          </cell>
          <cell r="B227">
            <v>9500</v>
          </cell>
        </row>
        <row r="228">
          <cell r="A228" t="str">
            <v>필름_걸레받이몰딩(도배미철거)</v>
          </cell>
          <cell r="B228">
            <v>11000</v>
          </cell>
        </row>
        <row r="229">
          <cell r="A229" t="str">
            <v>필름_천장등박스(일반)</v>
          </cell>
          <cell r="B229">
            <v>100000</v>
          </cell>
        </row>
        <row r="230">
          <cell r="A230" t="str">
            <v>필름_천장등박스(굴곡)</v>
          </cell>
          <cell r="B230">
            <v>150000</v>
          </cell>
        </row>
        <row r="231">
          <cell r="A231" t="str">
            <v xml:space="preserve">필름_가벽 신설부 필름작업 [단위 : EA] </v>
          </cell>
          <cell r="B231">
            <v>100000</v>
          </cell>
        </row>
        <row r="233">
          <cell r="B233">
            <v>23967296</v>
          </cell>
        </row>
        <row r="235">
          <cell r="A235" t="str">
            <v>상품명칭</v>
          </cell>
          <cell r="B235" t="str">
            <v>기본공시</v>
          </cell>
        </row>
        <row r="236">
          <cell r="A236" t="str">
            <v>목공_아트월 시공(1~8박스) [단위 : EA]</v>
          </cell>
          <cell r="B236">
            <v>194000</v>
          </cell>
        </row>
        <row r="237">
          <cell r="A237" t="str">
            <v>목공_아트월 시공(9~12박스) [단위 : EA]</v>
          </cell>
          <cell r="B237">
            <v>291000</v>
          </cell>
        </row>
        <row r="238">
          <cell r="A238" t="str">
            <v>목공_아트월 시공(13~16박스) [단위 : EA]</v>
          </cell>
          <cell r="B238">
            <v>377220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  <pageSetUpPr fitToPage="1"/>
  </sheetPr>
  <dimension ref="B2:Z122"/>
  <sheetViews>
    <sheetView zoomScale="55" zoomScaleNormal="55" zoomScaleSheetLayoutView="55" workbookViewId="0">
      <selection activeCell="D19" sqref="D19"/>
    </sheetView>
  </sheetViews>
  <sheetFormatPr defaultColWidth="9" defaultRowHeight="16.5"/>
  <cols>
    <col min="1" max="1" width="2.625" style="1" customWidth="1"/>
    <col min="2" max="4" width="15.625" style="1" customWidth="1"/>
    <col min="5" max="5" width="22.625" style="1" customWidth="1"/>
    <col min="6" max="6" width="15.625" style="1" customWidth="1"/>
    <col min="7" max="7" width="37.625" style="1" customWidth="1"/>
    <col min="8" max="8" width="6.625" style="2" customWidth="1"/>
    <col min="9" max="9" width="5.625" style="1" customWidth="1"/>
    <col min="10" max="10" width="18.375" style="1" customWidth="1"/>
    <col min="11" max="14" width="12.625" style="1" customWidth="1"/>
    <col min="15" max="15" width="17.625" style="1" customWidth="1"/>
    <col min="16" max="17" width="12.625" style="1" customWidth="1"/>
    <col min="18" max="18" width="15.625" style="1" customWidth="1"/>
    <col min="19" max="19" width="2.625" style="1" customWidth="1"/>
    <col min="20" max="44" width="12.625" style="1" customWidth="1"/>
    <col min="45" max="16384" width="9" style="1"/>
  </cols>
  <sheetData>
    <row r="2" spans="2:19" ht="9.9499999999999993" customHeight="1"/>
    <row r="3" spans="2:19" ht="27" customHeight="1">
      <c r="B3" s="421" t="s">
        <v>80</v>
      </c>
      <c r="C3" s="421"/>
    </row>
    <row r="4" spans="2:19" ht="27" customHeight="1"/>
    <row r="5" spans="2:19" ht="27" customHeight="1"/>
    <row r="6" spans="2:19" ht="27.95" customHeight="1">
      <c r="B6" s="423" t="s">
        <v>208</v>
      </c>
      <c r="C6" s="423"/>
      <c r="D6" s="423"/>
      <c r="E6" s="423"/>
      <c r="F6" s="423"/>
      <c r="G6" s="423"/>
      <c r="H6" s="423"/>
      <c r="I6" s="423"/>
      <c r="J6" s="423"/>
      <c r="K6" s="423"/>
      <c r="L6" s="423"/>
      <c r="M6" s="423"/>
      <c r="N6" s="423"/>
      <c r="O6" s="423"/>
      <c r="P6" s="423"/>
      <c r="Q6" s="423"/>
      <c r="R6" s="423"/>
    </row>
    <row r="7" spans="2:19" s="4" customFormat="1" ht="9.9499999999999993" customHeight="1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2:19" ht="83.25" customHeight="1">
      <c r="B8" s="424" t="s">
        <v>118</v>
      </c>
      <c r="C8" s="424"/>
      <c r="D8" s="424"/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  <c r="P8" s="424"/>
      <c r="Q8" s="424"/>
      <c r="R8" s="424"/>
    </row>
    <row r="9" spans="2:19" ht="42" customHeight="1">
      <c r="B9" s="426" t="s">
        <v>247</v>
      </c>
      <c r="C9" s="426"/>
      <c r="D9" s="426"/>
      <c r="E9" s="426"/>
      <c r="F9" s="426"/>
      <c r="G9" s="426"/>
      <c r="H9" s="426"/>
      <c r="I9" s="426"/>
      <c r="J9" s="426"/>
      <c r="K9" s="426"/>
      <c r="L9" s="426"/>
      <c r="M9" s="426"/>
      <c r="N9" s="426"/>
      <c r="O9" s="426"/>
      <c r="P9" s="426"/>
      <c r="Q9" s="426"/>
      <c r="R9" s="426"/>
    </row>
    <row r="10" spans="2:19" ht="27" customHeight="1">
      <c r="B10" s="406" t="s">
        <v>78</v>
      </c>
      <c r="C10" s="406"/>
      <c r="D10" s="408"/>
      <c r="E10" s="408"/>
      <c r="F10" s="408"/>
      <c r="G10" s="408"/>
      <c r="H10" s="54"/>
      <c r="I10" s="54"/>
      <c r="J10" s="54"/>
      <c r="K10" s="54"/>
      <c r="L10" s="54"/>
      <c r="M10" s="54"/>
      <c r="N10" s="54"/>
      <c r="O10" s="54"/>
      <c r="P10" s="54"/>
      <c r="Q10" s="55"/>
      <c r="R10" s="55"/>
      <c r="S10" s="51"/>
    </row>
    <row r="11" spans="2:19" ht="27" customHeight="1">
      <c r="B11" s="406"/>
      <c r="C11" s="406"/>
      <c r="D11" s="408"/>
      <c r="E11" s="408"/>
      <c r="F11" s="408"/>
      <c r="G11" s="408"/>
      <c r="H11" s="54"/>
      <c r="I11" s="54"/>
      <c r="J11" s="54"/>
      <c r="K11" s="54"/>
      <c r="L11" s="54"/>
      <c r="M11" s="54"/>
      <c r="N11" s="54"/>
      <c r="O11" s="54"/>
      <c r="P11" s="54"/>
      <c r="Q11" s="55"/>
      <c r="R11" s="55"/>
      <c r="S11" s="51"/>
    </row>
    <row r="12" spans="2:19" ht="27" customHeight="1">
      <c r="B12" s="406" t="s">
        <v>117</v>
      </c>
      <c r="C12" s="406"/>
      <c r="D12" s="420"/>
      <c r="E12" s="425"/>
      <c r="F12" s="425"/>
      <c r="G12" s="425"/>
      <c r="H12" s="54"/>
      <c r="I12" s="54"/>
      <c r="J12" s="54"/>
      <c r="K12" s="54"/>
      <c r="L12" s="54"/>
      <c r="M12" s="54"/>
      <c r="N12" s="54"/>
      <c r="O12" s="53"/>
      <c r="P12" s="54"/>
      <c r="Q12" s="55"/>
      <c r="R12" s="55"/>
      <c r="S12" s="51"/>
    </row>
    <row r="13" spans="2:19" ht="27" customHeight="1">
      <c r="B13" s="406"/>
      <c r="C13" s="406"/>
      <c r="D13" s="425"/>
      <c r="E13" s="425"/>
      <c r="F13" s="425"/>
      <c r="G13" s="425"/>
      <c r="H13" s="54"/>
      <c r="I13" s="54"/>
      <c r="J13" s="54"/>
      <c r="K13" s="54"/>
      <c r="L13" s="54"/>
      <c r="M13" s="54"/>
      <c r="N13" s="54"/>
      <c r="O13" s="56"/>
      <c r="P13" s="54"/>
      <c r="Q13" s="55"/>
      <c r="R13" s="55"/>
      <c r="S13" s="51"/>
    </row>
    <row r="14" spans="2:19" ht="27" customHeight="1">
      <c r="B14" s="406" t="s">
        <v>84</v>
      </c>
      <c r="C14" s="406"/>
      <c r="D14" s="407">
        <f ca="1">TODAY()</f>
        <v>44244</v>
      </c>
      <c r="E14" s="407"/>
      <c r="F14" s="407"/>
      <c r="G14" s="407"/>
      <c r="H14" s="57"/>
      <c r="I14" s="57"/>
      <c r="J14" s="57"/>
      <c r="K14" s="57"/>
      <c r="L14" s="57"/>
      <c r="M14" s="57"/>
      <c r="N14" s="57"/>
      <c r="O14" s="56"/>
      <c r="P14" s="54"/>
      <c r="Q14" s="55"/>
      <c r="R14" s="55"/>
      <c r="S14" s="51"/>
    </row>
    <row r="15" spans="2:19" ht="27" customHeight="1">
      <c r="B15" s="406"/>
      <c r="C15" s="406"/>
      <c r="D15" s="407"/>
      <c r="E15" s="407"/>
      <c r="F15" s="407"/>
      <c r="G15" s="407"/>
      <c r="H15" s="57"/>
      <c r="I15" s="57"/>
      <c r="J15" s="57"/>
      <c r="K15" s="57"/>
      <c r="L15" s="57"/>
      <c r="M15" s="57"/>
      <c r="N15" s="57"/>
      <c r="O15" s="56"/>
      <c r="P15" s="54"/>
      <c r="Q15" s="55"/>
      <c r="R15" s="55"/>
      <c r="S15" s="51"/>
    </row>
    <row r="16" spans="2:19" ht="27" customHeight="1">
      <c r="B16" s="406" t="s">
        <v>79</v>
      </c>
      <c r="C16" s="406"/>
      <c r="D16" s="408" t="str">
        <f>"일금     "&amp;NUMBERSTRING(E18,1)&amp;"원     정"</f>
        <v>일금     일천사백오십일만구천구백원     정</v>
      </c>
      <c r="E16" s="408"/>
      <c r="F16" s="408"/>
      <c r="G16" s="408"/>
      <c r="H16" s="54"/>
      <c r="I16" s="54"/>
      <c r="J16" s="54"/>
      <c r="K16" s="54"/>
      <c r="L16" s="54"/>
      <c r="M16" s="54"/>
      <c r="N16" s="54"/>
      <c r="O16" s="56"/>
      <c r="P16" s="54"/>
      <c r="Q16" s="55"/>
      <c r="R16" s="55"/>
      <c r="S16" s="51"/>
    </row>
    <row r="17" spans="2:26" ht="27" customHeight="1">
      <c r="B17" s="406"/>
      <c r="C17" s="406"/>
      <c r="D17" s="408"/>
      <c r="E17" s="408"/>
      <c r="F17" s="408"/>
      <c r="G17" s="408"/>
      <c r="H17" s="54"/>
      <c r="I17" s="54"/>
      <c r="J17" s="54"/>
      <c r="K17" s="54"/>
      <c r="L17" s="54"/>
      <c r="M17" s="54"/>
      <c r="N17" s="54"/>
      <c r="O17" s="56"/>
      <c r="P17" s="54"/>
      <c r="Q17" s="55"/>
      <c r="R17" s="55"/>
      <c r="S17" s="51"/>
    </row>
    <row r="18" spans="2:26" ht="27" customHeight="1">
      <c r="B18" s="58"/>
      <c r="C18" s="59"/>
      <c r="D18" s="60" t="s">
        <v>0</v>
      </c>
      <c r="E18" s="409">
        <f>을지!K19</f>
        <v>14519900</v>
      </c>
      <c r="F18" s="409"/>
      <c r="G18" s="61" t="s">
        <v>101</v>
      </c>
      <c r="H18" s="52"/>
      <c r="I18" s="62"/>
      <c r="J18" s="62"/>
      <c r="K18" s="62"/>
      <c r="L18" s="62"/>
      <c r="M18" s="62"/>
      <c r="N18" s="62"/>
      <c r="O18" s="63"/>
      <c r="P18" s="54"/>
      <c r="Q18" s="55"/>
      <c r="R18" s="55"/>
      <c r="S18" s="51"/>
    </row>
    <row r="19" spans="2:26" ht="27" customHeight="1" thickBot="1">
      <c r="B19" s="64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6"/>
      <c r="R19" s="66"/>
      <c r="S19" s="51"/>
    </row>
    <row r="20" spans="2:26" ht="9.9499999999999993" customHeight="1" thickTop="1">
      <c r="B20" s="53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5"/>
      <c r="R20" s="55"/>
      <c r="S20" s="51"/>
    </row>
    <row r="21" spans="2:26" ht="30" customHeight="1">
      <c r="B21" s="86" t="s">
        <v>75</v>
      </c>
      <c r="C21" s="54"/>
      <c r="D21" s="54"/>
      <c r="E21" s="54"/>
      <c r="F21" s="54"/>
      <c r="G21" s="67"/>
      <c r="H21" s="68"/>
      <c r="I21" s="67"/>
      <c r="J21" s="69"/>
      <c r="K21" s="69"/>
      <c r="L21" s="69"/>
      <c r="M21" s="69"/>
      <c r="N21" s="69"/>
      <c r="O21" s="69"/>
      <c r="P21" s="70"/>
      <c r="Q21" s="71"/>
      <c r="R21" s="71"/>
      <c r="S21" s="51"/>
    </row>
    <row r="22" spans="2:26" ht="30" customHeight="1">
      <c r="B22" s="54"/>
      <c r="C22" s="72"/>
      <c r="D22" s="72"/>
      <c r="E22" s="72"/>
      <c r="F22" s="54"/>
      <c r="G22" s="54"/>
      <c r="H22" s="73"/>
      <c r="I22" s="74"/>
      <c r="J22" s="69"/>
      <c r="K22" s="69"/>
      <c r="L22" s="69"/>
      <c r="M22" s="69"/>
      <c r="N22" s="69"/>
      <c r="O22" s="69"/>
      <c r="P22" s="75"/>
      <c r="Q22" s="71"/>
      <c r="R22" s="71"/>
      <c r="S22" s="51"/>
    </row>
    <row r="23" spans="2:26" ht="30" customHeight="1">
      <c r="B23" s="94" t="s">
        <v>76</v>
      </c>
      <c r="C23" s="95"/>
      <c r="D23" s="95"/>
      <c r="E23" s="95"/>
      <c r="F23" s="96"/>
      <c r="G23" s="97"/>
      <c r="H23" s="73"/>
      <c r="I23" s="87"/>
      <c r="J23" s="102" t="s">
        <v>82</v>
      </c>
      <c r="K23" s="419"/>
      <c r="L23" s="419"/>
      <c r="M23" s="85"/>
      <c r="N23"/>
      <c r="O23"/>
      <c r="P23"/>
      <c r="Q23"/>
      <c r="R23"/>
      <c r="S23" s="51"/>
    </row>
    <row r="24" spans="2:26" ht="30" customHeight="1">
      <c r="B24" s="89"/>
      <c r="C24" s="88"/>
      <c r="D24" s="88"/>
      <c r="E24" s="88"/>
      <c r="F24" s="89"/>
      <c r="G24" s="54"/>
      <c r="H24" s="73"/>
      <c r="I24" s="87"/>
      <c r="J24" s="102" t="s">
        <v>85</v>
      </c>
      <c r="K24" s="419"/>
      <c r="L24" s="419"/>
      <c r="M24" s="100" t="s">
        <v>81</v>
      </c>
      <c r="N24"/>
      <c r="O24"/>
      <c r="P24"/>
      <c r="Q24"/>
      <c r="R24"/>
      <c r="S24" s="51"/>
    </row>
    <row r="25" spans="2:26" ht="30" customHeight="1">
      <c r="B25" s="408" t="s">
        <v>123</v>
      </c>
      <c r="C25" s="408"/>
      <c r="D25" s="408"/>
      <c r="E25" s="408"/>
      <c r="F25" s="408"/>
      <c r="G25" s="408"/>
      <c r="H25" s="73"/>
      <c r="I25" s="86"/>
      <c r="J25" s="86"/>
      <c r="K25" s="86"/>
      <c r="L25" s="86"/>
      <c r="M25" s="86"/>
      <c r="N25"/>
      <c r="O25"/>
      <c r="P25"/>
      <c r="Q25"/>
      <c r="R25"/>
      <c r="S25" s="51"/>
      <c r="Y25" s="398" t="s">
        <v>1</v>
      </c>
      <c r="Z25" s="399"/>
    </row>
    <row r="26" spans="2:26" ht="30" customHeight="1">
      <c r="B26" s="408" t="s">
        <v>124</v>
      </c>
      <c r="C26" s="408"/>
      <c r="D26" s="408"/>
      <c r="E26" s="408"/>
      <c r="F26" s="408"/>
      <c r="G26" s="408"/>
      <c r="H26" s="73"/>
      <c r="I26" s="86"/>
      <c r="J26" s="86"/>
      <c r="K26" s="86"/>
      <c r="L26" s="86"/>
      <c r="M26" s="86"/>
      <c r="N26"/>
      <c r="O26"/>
      <c r="P26"/>
      <c r="Q26"/>
      <c r="R26"/>
      <c r="S26" s="51"/>
      <c r="Y26" s="400"/>
      <c r="Z26" s="401"/>
    </row>
    <row r="27" spans="2:26" ht="30" customHeight="1">
      <c r="B27" s="420" t="s">
        <v>125</v>
      </c>
      <c r="C27" s="420"/>
      <c r="D27" s="420"/>
      <c r="E27" s="420"/>
      <c r="F27" s="420"/>
      <c r="G27" s="420"/>
      <c r="H27" s="73"/>
      <c r="I27" s="86"/>
      <c r="J27" s="92"/>
      <c r="K27" s="92"/>
      <c r="L27" s="92"/>
      <c r="M27" s="92"/>
      <c r="N27"/>
      <c r="O27"/>
      <c r="P27" s="410" t="s">
        <v>120</v>
      </c>
      <c r="Q27" s="411"/>
      <c r="R27"/>
      <c r="S27" s="51"/>
      <c r="Y27" s="402"/>
      <c r="Z27" s="403"/>
    </row>
    <row r="28" spans="2:26" ht="30" customHeight="1">
      <c r="B28" s="420"/>
      <c r="C28" s="420"/>
      <c r="D28" s="420"/>
      <c r="E28" s="420"/>
      <c r="F28" s="420"/>
      <c r="G28" s="420"/>
      <c r="H28" s="73"/>
      <c r="I28" s="87"/>
      <c r="J28" s="102" t="s">
        <v>86</v>
      </c>
      <c r="K28" s="418"/>
      <c r="L28" s="418"/>
      <c r="M28" s="99"/>
      <c r="N28" s="99"/>
      <c r="O28"/>
      <c r="P28" s="412" t="s">
        <v>119</v>
      </c>
      <c r="Q28" s="413"/>
      <c r="R28"/>
      <c r="S28" s="51"/>
      <c r="Y28" s="404"/>
      <c r="Z28" s="405"/>
    </row>
    <row r="29" spans="2:26" ht="30" customHeight="1">
      <c r="B29" s="422"/>
      <c r="C29" s="422"/>
      <c r="D29" s="422"/>
      <c r="E29" s="422"/>
      <c r="F29" s="422"/>
      <c r="G29" s="422"/>
      <c r="H29" s="73"/>
      <c r="I29" s="87"/>
      <c r="J29" s="116" t="s">
        <v>100</v>
      </c>
      <c r="K29" s="418"/>
      <c r="L29" s="418"/>
      <c r="M29" s="101" t="s">
        <v>81</v>
      </c>
      <c r="N29" s="99"/>
      <c r="O29"/>
      <c r="P29" s="414"/>
      <c r="Q29" s="415"/>
      <c r="R29"/>
      <c r="S29" s="51"/>
    </row>
    <row r="30" spans="2:26" ht="30" customHeight="1">
      <c r="B30" s="85"/>
      <c r="C30" s="90"/>
      <c r="D30" s="90"/>
      <c r="E30" s="90"/>
      <c r="F30" s="85"/>
      <c r="G30" s="54"/>
      <c r="H30" s="73"/>
      <c r="I30" s="86"/>
      <c r="J30" s="85"/>
      <c r="K30" s="99"/>
      <c r="L30" s="99"/>
      <c r="M30" s="93"/>
      <c r="N30" s="77"/>
      <c r="O30"/>
      <c r="P30" s="416"/>
      <c r="Q30" s="417"/>
      <c r="R30"/>
      <c r="S30" s="51"/>
    </row>
    <row r="31" spans="2:26" ht="30" customHeight="1">
      <c r="B31" s="94" t="s">
        <v>77</v>
      </c>
      <c r="C31" s="98"/>
      <c r="D31" s="98"/>
      <c r="E31" s="98"/>
      <c r="F31" s="96"/>
      <c r="G31" s="97"/>
      <c r="H31" s="73"/>
      <c r="I31" s="86"/>
      <c r="J31" s="92"/>
      <c r="K31" s="92"/>
      <c r="L31" s="92"/>
      <c r="M31" s="92"/>
      <c r="N31" s="69"/>
      <c r="O31"/>
      <c r="P31"/>
      <c r="Q31"/>
      <c r="R31"/>
      <c r="S31" s="51"/>
    </row>
    <row r="32" spans="2:26" ht="30" customHeight="1">
      <c r="B32" s="89"/>
      <c r="C32" s="91"/>
      <c r="D32" s="91"/>
      <c r="E32" s="91"/>
      <c r="F32" s="89"/>
      <c r="G32" s="54"/>
      <c r="H32" s="73"/>
      <c r="I32" s="86"/>
      <c r="J32" s="92"/>
      <c r="K32" s="92"/>
      <c r="L32" s="92"/>
      <c r="M32" s="92"/>
      <c r="N32" s="69"/>
      <c r="O32"/>
      <c r="P32"/>
      <c r="Q32"/>
      <c r="R32"/>
      <c r="S32" s="51"/>
    </row>
    <row r="33" spans="2:20" ht="30" customHeight="1">
      <c r="B33" s="420" t="s">
        <v>88</v>
      </c>
      <c r="C33" s="420"/>
      <c r="D33" s="420"/>
      <c r="E33" s="420"/>
      <c r="F33" s="420"/>
      <c r="G33" s="420"/>
      <c r="H33" s="73"/>
      <c r="I33" s="87"/>
      <c r="J33" s="102" t="s">
        <v>83</v>
      </c>
      <c r="K33" s="418"/>
      <c r="L33" s="418"/>
      <c r="M33" s="101" t="s">
        <v>81</v>
      </c>
      <c r="N33" s="99"/>
      <c r="O33"/>
      <c r="P33"/>
      <c r="Q33"/>
      <c r="R33"/>
      <c r="S33" s="51"/>
    </row>
    <row r="34" spans="2:20" ht="30" customHeight="1">
      <c r="B34" s="408" t="s">
        <v>87</v>
      </c>
      <c r="C34" s="408"/>
      <c r="D34" s="408"/>
      <c r="E34" s="408"/>
      <c r="F34" s="408"/>
      <c r="G34" s="408"/>
      <c r="H34" s="73"/>
      <c r="I34" s="87"/>
      <c r="J34" s="87"/>
      <c r="K34" s="99"/>
      <c r="L34" s="99"/>
      <c r="M34" s="99"/>
      <c r="N34" s="99"/>
      <c r="O34" s="99"/>
      <c r="P34"/>
      <c r="Q34"/>
      <c r="R34" s="71"/>
      <c r="S34" s="51"/>
    </row>
    <row r="35" spans="2:20" ht="30" customHeight="1">
      <c r="B35" s="420" t="s">
        <v>89</v>
      </c>
      <c r="C35" s="420"/>
      <c r="D35" s="420"/>
      <c r="E35" s="420"/>
      <c r="F35" s="420"/>
      <c r="G35" s="420"/>
      <c r="H35" s="73"/>
      <c r="I35" s="73"/>
      <c r="J35" s="56"/>
      <c r="K35" s="51"/>
      <c r="L35" s="51"/>
      <c r="M35" s="51"/>
      <c r="N35" s="51"/>
      <c r="O35" s="78"/>
      <c r="P35"/>
      <c r="Q35"/>
      <c r="R35" s="71"/>
      <c r="S35" s="51"/>
    </row>
    <row r="36" spans="2:20" ht="30" customHeight="1" thickBot="1">
      <c r="B36" s="76"/>
      <c r="C36" s="79"/>
      <c r="D36" s="79"/>
      <c r="E36" s="79"/>
      <c r="F36" s="76"/>
      <c r="G36" s="54"/>
      <c r="H36" s="73"/>
      <c r="I36" s="73"/>
      <c r="J36" s="56"/>
      <c r="K36" s="54"/>
      <c r="L36" s="70"/>
      <c r="M36" s="70"/>
      <c r="N36" s="70"/>
      <c r="O36" s="75"/>
      <c r="P36" s="80"/>
      <c r="Q36" s="80"/>
      <c r="R36" s="71"/>
      <c r="S36" s="51"/>
    </row>
    <row r="37" spans="2:20" ht="30" customHeight="1" thickTop="1">
      <c r="B37" s="81"/>
      <c r="C37" s="81"/>
      <c r="D37" s="81"/>
      <c r="E37" s="81"/>
      <c r="F37" s="81"/>
      <c r="G37" s="81"/>
      <c r="H37" s="82"/>
      <c r="I37" s="82"/>
      <c r="J37" s="83"/>
      <c r="K37" s="81"/>
      <c r="L37" s="81"/>
      <c r="M37" s="81"/>
      <c r="N37" s="81"/>
      <c r="O37" s="82"/>
      <c r="P37" s="82"/>
      <c r="Q37" s="84"/>
      <c r="R37" s="84"/>
      <c r="S37" s="51"/>
    </row>
    <row r="38" spans="2:20" ht="15" customHeight="1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6"/>
      <c r="R38" s="6"/>
      <c r="S38" s="7"/>
      <c r="T38" s="8"/>
    </row>
    <row r="39" spans="2:20" ht="27" customHeight="1"/>
    <row r="40" spans="2:20" ht="27" customHeight="1"/>
    <row r="53" spans="2:8">
      <c r="B53" s="1" t="s">
        <v>2</v>
      </c>
    </row>
    <row r="62" spans="2:8" s="106" customFormat="1" ht="20.25">
      <c r="H62" s="107"/>
    </row>
    <row r="73" spans="8:8" s="106" customFormat="1" ht="20.25">
      <c r="H73" s="107"/>
    </row>
    <row r="81" spans="8:8" s="109" customFormat="1" ht="26.25">
      <c r="H81" s="108"/>
    </row>
    <row r="122" spans="8:8" s="106" customFormat="1" ht="20.25">
      <c r="H122" s="107"/>
    </row>
  </sheetData>
  <mergeCells count="30">
    <mergeCell ref="B35:G35"/>
    <mergeCell ref="B3:C3"/>
    <mergeCell ref="B34:G34"/>
    <mergeCell ref="B33:G33"/>
    <mergeCell ref="B28:G28"/>
    <mergeCell ref="B27:G27"/>
    <mergeCell ref="B26:G26"/>
    <mergeCell ref="B25:G25"/>
    <mergeCell ref="B29:G29"/>
    <mergeCell ref="B6:R6"/>
    <mergeCell ref="B8:R8"/>
    <mergeCell ref="B10:C11"/>
    <mergeCell ref="D10:G11"/>
    <mergeCell ref="B12:C13"/>
    <mergeCell ref="D12:G13"/>
    <mergeCell ref="B9:R9"/>
    <mergeCell ref="K33:L33"/>
    <mergeCell ref="K29:L29"/>
    <mergeCell ref="K24:L24"/>
    <mergeCell ref="K23:L23"/>
    <mergeCell ref="K28:L28"/>
    <mergeCell ref="Y25:Z25"/>
    <mergeCell ref="Y26:Z28"/>
    <mergeCell ref="B14:C15"/>
    <mergeCell ref="D14:G15"/>
    <mergeCell ref="B16:C17"/>
    <mergeCell ref="D16:G17"/>
    <mergeCell ref="E18:F18"/>
    <mergeCell ref="P27:Q27"/>
    <mergeCell ref="P28:Q30"/>
  </mergeCells>
  <phoneticPr fontId="3" type="noConversion"/>
  <printOptions horizontalCentered="1"/>
  <pageMargins left="0.19685039370078741" right="0.19685039370078741" top="0.19685039370078741" bottom="0.19685039370078741" header="0.31496062992125984" footer="0.31496062992125984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transitionEvaluation="1" transitionEntry="1">
    <tabColor theme="2" tint="-0.499984740745262"/>
    <pageSetUpPr fitToPage="1"/>
  </sheetPr>
  <dimension ref="B4:WVT123"/>
  <sheetViews>
    <sheetView showGridLines="0" zoomScale="70" zoomScaleNormal="70" zoomScaleSheetLayoutView="70" workbookViewId="0">
      <pane ySplit="5" topLeftCell="A27" activePane="bottomLeft" state="frozen"/>
      <selection activeCell="I26" sqref="I26"/>
      <selection pane="bottomLeft" activeCell="I37" sqref="I37"/>
    </sheetView>
  </sheetViews>
  <sheetFormatPr defaultRowHeight="21" customHeight="1"/>
  <cols>
    <col min="1" max="1" width="2.625" style="10" customWidth="1"/>
    <col min="2" max="2" width="7.125" style="241" customWidth="1"/>
    <col min="3" max="3" width="14" style="332" customWidth="1"/>
    <col min="4" max="4" width="15.625" style="242" customWidth="1"/>
    <col min="5" max="5" width="36.875" style="242" customWidth="1"/>
    <col min="6" max="6" width="13" style="244" customWidth="1"/>
    <col min="7" max="7" width="11" style="245" customWidth="1"/>
    <col min="8" max="8" width="16.625" style="333" customWidth="1"/>
    <col min="9" max="9" width="19" style="333" bestFit="1" customWidth="1"/>
    <col min="10" max="10" width="16.625" style="333" customWidth="1"/>
    <col min="11" max="11" width="19" style="333" bestFit="1" customWidth="1"/>
    <col min="12" max="12" width="42.5" style="334" customWidth="1"/>
    <col min="13" max="13" width="2.625" style="10" customWidth="1"/>
    <col min="14" max="14" width="11.625" style="18" bestFit="1" customWidth="1"/>
    <col min="15" max="16" width="11.625" style="10" bestFit="1" customWidth="1"/>
    <col min="17" max="256" width="9" style="10"/>
    <col min="257" max="257" width="7.125" style="10" customWidth="1"/>
    <col min="258" max="258" width="49.625" style="10" bestFit="1" customWidth="1"/>
    <col min="259" max="259" width="36.875" style="10" customWidth="1"/>
    <col min="260" max="260" width="8.5" style="10" customWidth="1"/>
    <col min="261" max="261" width="11" style="10" customWidth="1"/>
    <col min="262" max="267" width="15" style="10" customWidth="1"/>
    <col min="268" max="268" width="19.625" style="10" customWidth="1"/>
    <col min="269" max="512" width="9" style="10"/>
    <col min="513" max="513" width="7.125" style="10" customWidth="1"/>
    <col min="514" max="514" width="49.625" style="10" bestFit="1" customWidth="1"/>
    <col min="515" max="515" width="36.875" style="10" customWidth="1"/>
    <col min="516" max="516" width="8.5" style="10" customWidth="1"/>
    <col min="517" max="517" width="11" style="10" customWidth="1"/>
    <col min="518" max="523" width="15" style="10" customWidth="1"/>
    <col min="524" max="524" width="19.625" style="10" customWidth="1"/>
    <col min="525" max="768" width="9" style="10"/>
    <col min="769" max="769" width="7.125" style="10" customWidth="1"/>
    <col min="770" max="770" width="49.625" style="10" bestFit="1" customWidth="1"/>
    <col min="771" max="771" width="36.875" style="10" customWidth="1"/>
    <col min="772" max="772" width="8.5" style="10" customWidth="1"/>
    <col min="773" max="773" width="11" style="10" customWidth="1"/>
    <col min="774" max="779" width="15" style="10" customWidth="1"/>
    <col min="780" max="780" width="19.625" style="10" customWidth="1"/>
    <col min="781" max="1024" width="9" style="10"/>
    <col min="1025" max="1025" width="7.125" style="10" customWidth="1"/>
    <col min="1026" max="1026" width="49.625" style="10" bestFit="1" customWidth="1"/>
    <col min="1027" max="1027" width="36.875" style="10" customWidth="1"/>
    <col min="1028" max="1028" width="8.5" style="10" customWidth="1"/>
    <col min="1029" max="1029" width="11" style="10" customWidth="1"/>
    <col min="1030" max="1035" width="15" style="10" customWidth="1"/>
    <col min="1036" max="1036" width="19.625" style="10" customWidth="1"/>
    <col min="1037" max="1280" width="9" style="10"/>
    <col min="1281" max="1281" width="7.125" style="10" customWidth="1"/>
    <col min="1282" max="1282" width="49.625" style="10" bestFit="1" customWidth="1"/>
    <col min="1283" max="1283" width="36.875" style="10" customWidth="1"/>
    <col min="1284" max="1284" width="8.5" style="10" customWidth="1"/>
    <col min="1285" max="1285" width="11" style="10" customWidth="1"/>
    <col min="1286" max="1291" width="15" style="10" customWidth="1"/>
    <col min="1292" max="1292" width="19.625" style="10" customWidth="1"/>
    <col min="1293" max="1536" width="9" style="10"/>
    <col min="1537" max="1537" width="7.125" style="10" customWidth="1"/>
    <col min="1538" max="1538" width="49.625" style="10" bestFit="1" customWidth="1"/>
    <col min="1539" max="1539" width="36.875" style="10" customWidth="1"/>
    <col min="1540" max="1540" width="8.5" style="10" customWidth="1"/>
    <col min="1541" max="1541" width="11" style="10" customWidth="1"/>
    <col min="1542" max="1547" width="15" style="10" customWidth="1"/>
    <col min="1548" max="1548" width="19.625" style="10" customWidth="1"/>
    <col min="1549" max="1792" width="9" style="10"/>
    <col min="1793" max="1793" width="7.125" style="10" customWidth="1"/>
    <col min="1794" max="1794" width="49.625" style="10" bestFit="1" customWidth="1"/>
    <col min="1795" max="1795" width="36.875" style="10" customWidth="1"/>
    <col min="1796" max="1796" width="8.5" style="10" customWidth="1"/>
    <col min="1797" max="1797" width="11" style="10" customWidth="1"/>
    <col min="1798" max="1803" width="15" style="10" customWidth="1"/>
    <col min="1804" max="1804" width="19.625" style="10" customWidth="1"/>
    <col min="1805" max="2048" width="9" style="10"/>
    <col min="2049" max="2049" width="7.125" style="10" customWidth="1"/>
    <col min="2050" max="2050" width="49.625" style="10" bestFit="1" customWidth="1"/>
    <col min="2051" max="2051" width="36.875" style="10" customWidth="1"/>
    <col min="2052" max="2052" width="8.5" style="10" customWidth="1"/>
    <col min="2053" max="2053" width="11" style="10" customWidth="1"/>
    <col min="2054" max="2059" width="15" style="10" customWidth="1"/>
    <col min="2060" max="2060" width="19.625" style="10" customWidth="1"/>
    <col min="2061" max="2304" width="9" style="10"/>
    <col min="2305" max="2305" width="7.125" style="10" customWidth="1"/>
    <col min="2306" max="2306" width="49.625" style="10" bestFit="1" customWidth="1"/>
    <col min="2307" max="2307" width="36.875" style="10" customWidth="1"/>
    <col min="2308" max="2308" width="8.5" style="10" customWidth="1"/>
    <col min="2309" max="2309" width="11" style="10" customWidth="1"/>
    <col min="2310" max="2315" width="15" style="10" customWidth="1"/>
    <col min="2316" max="2316" width="19.625" style="10" customWidth="1"/>
    <col min="2317" max="2560" width="9" style="10"/>
    <col min="2561" max="2561" width="7.125" style="10" customWidth="1"/>
    <col min="2562" max="2562" width="49.625" style="10" bestFit="1" customWidth="1"/>
    <col min="2563" max="2563" width="36.875" style="10" customWidth="1"/>
    <col min="2564" max="2564" width="8.5" style="10" customWidth="1"/>
    <col min="2565" max="2565" width="11" style="10" customWidth="1"/>
    <col min="2566" max="2571" width="15" style="10" customWidth="1"/>
    <col min="2572" max="2572" width="19.625" style="10" customWidth="1"/>
    <col min="2573" max="2816" width="9" style="10"/>
    <col min="2817" max="2817" width="7.125" style="10" customWidth="1"/>
    <col min="2818" max="2818" width="49.625" style="10" bestFit="1" customWidth="1"/>
    <col min="2819" max="2819" width="36.875" style="10" customWidth="1"/>
    <col min="2820" max="2820" width="8.5" style="10" customWidth="1"/>
    <col min="2821" max="2821" width="11" style="10" customWidth="1"/>
    <col min="2822" max="2827" width="15" style="10" customWidth="1"/>
    <col min="2828" max="2828" width="19.625" style="10" customWidth="1"/>
    <col min="2829" max="3072" width="9" style="10"/>
    <col min="3073" max="3073" width="7.125" style="10" customWidth="1"/>
    <col min="3074" max="3074" width="49.625" style="10" bestFit="1" customWidth="1"/>
    <col min="3075" max="3075" width="36.875" style="10" customWidth="1"/>
    <col min="3076" max="3076" width="8.5" style="10" customWidth="1"/>
    <col min="3077" max="3077" width="11" style="10" customWidth="1"/>
    <col min="3078" max="3083" width="15" style="10" customWidth="1"/>
    <col min="3084" max="3084" width="19.625" style="10" customWidth="1"/>
    <col min="3085" max="3328" width="9" style="10"/>
    <col min="3329" max="3329" width="7.125" style="10" customWidth="1"/>
    <col min="3330" max="3330" width="49.625" style="10" bestFit="1" customWidth="1"/>
    <col min="3331" max="3331" width="36.875" style="10" customWidth="1"/>
    <col min="3332" max="3332" width="8.5" style="10" customWidth="1"/>
    <col min="3333" max="3333" width="11" style="10" customWidth="1"/>
    <col min="3334" max="3339" width="15" style="10" customWidth="1"/>
    <col min="3340" max="3340" width="19.625" style="10" customWidth="1"/>
    <col min="3341" max="3584" width="9" style="10"/>
    <col min="3585" max="3585" width="7.125" style="10" customWidth="1"/>
    <col min="3586" max="3586" width="49.625" style="10" bestFit="1" customWidth="1"/>
    <col min="3587" max="3587" width="36.875" style="10" customWidth="1"/>
    <col min="3588" max="3588" width="8.5" style="10" customWidth="1"/>
    <col min="3589" max="3589" width="11" style="10" customWidth="1"/>
    <col min="3590" max="3595" width="15" style="10" customWidth="1"/>
    <col min="3596" max="3596" width="19.625" style="10" customWidth="1"/>
    <col min="3597" max="3840" width="9" style="10"/>
    <col min="3841" max="3841" width="7.125" style="10" customWidth="1"/>
    <col min="3842" max="3842" width="49.625" style="10" bestFit="1" customWidth="1"/>
    <col min="3843" max="3843" width="36.875" style="10" customWidth="1"/>
    <col min="3844" max="3844" width="8.5" style="10" customWidth="1"/>
    <col min="3845" max="3845" width="11" style="10" customWidth="1"/>
    <col min="3846" max="3851" width="15" style="10" customWidth="1"/>
    <col min="3852" max="3852" width="19.625" style="10" customWidth="1"/>
    <col min="3853" max="4096" width="9" style="10"/>
    <col min="4097" max="4097" width="7.125" style="10" customWidth="1"/>
    <col min="4098" max="4098" width="49.625" style="10" bestFit="1" customWidth="1"/>
    <col min="4099" max="4099" width="36.875" style="10" customWidth="1"/>
    <col min="4100" max="4100" width="8.5" style="10" customWidth="1"/>
    <col min="4101" max="4101" width="11" style="10" customWidth="1"/>
    <col min="4102" max="4107" width="15" style="10" customWidth="1"/>
    <col min="4108" max="4108" width="19.625" style="10" customWidth="1"/>
    <col min="4109" max="4352" width="9" style="10"/>
    <col min="4353" max="4353" width="7.125" style="10" customWidth="1"/>
    <col min="4354" max="4354" width="49.625" style="10" bestFit="1" customWidth="1"/>
    <col min="4355" max="4355" width="36.875" style="10" customWidth="1"/>
    <col min="4356" max="4356" width="8.5" style="10" customWidth="1"/>
    <col min="4357" max="4357" width="11" style="10" customWidth="1"/>
    <col min="4358" max="4363" width="15" style="10" customWidth="1"/>
    <col min="4364" max="4364" width="19.625" style="10" customWidth="1"/>
    <col min="4365" max="4608" width="9" style="10"/>
    <col min="4609" max="4609" width="7.125" style="10" customWidth="1"/>
    <col min="4610" max="4610" width="49.625" style="10" bestFit="1" customWidth="1"/>
    <col min="4611" max="4611" width="36.875" style="10" customWidth="1"/>
    <col min="4612" max="4612" width="8.5" style="10" customWidth="1"/>
    <col min="4613" max="4613" width="11" style="10" customWidth="1"/>
    <col min="4614" max="4619" width="15" style="10" customWidth="1"/>
    <col min="4620" max="4620" width="19.625" style="10" customWidth="1"/>
    <col min="4621" max="4864" width="9" style="10"/>
    <col min="4865" max="4865" width="7.125" style="10" customWidth="1"/>
    <col min="4866" max="4866" width="49.625" style="10" bestFit="1" customWidth="1"/>
    <col min="4867" max="4867" width="36.875" style="10" customWidth="1"/>
    <col min="4868" max="4868" width="8.5" style="10" customWidth="1"/>
    <col min="4869" max="4869" width="11" style="10" customWidth="1"/>
    <col min="4870" max="4875" width="15" style="10" customWidth="1"/>
    <col min="4876" max="4876" width="19.625" style="10" customWidth="1"/>
    <col min="4877" max="5120" width="9" style="10"/>
    <col min="5121" max="5121" width="7.125" style="10" customWidth="1"/>
    <col min="5122" max="5122" width="49.625" style="10" bestFit="1" customWidth="1"/>
    <col min="5123" max="5123" width="36.875" style="10" customWidth="1"/>
    <col min="5124" max="5124" width="8.5" style="10" customWidth="1"/>
    <col min="5125" max="5125" width="11" style="10" customWidth="1"/>
    <col min="5126" max="5131" width="15" style="10" customWidth="1"/>
    <col min="5132" max="5132" width="19.625" style="10" customWidth="1"/>
    <col min="5133" max="5376" width="9" style="10"/>
    <col min="5377" max="5377" width="7.125" style="10" customWidth="1"/>
    <col min="5378" max="5378" width="49.625" style="10" bestFit="1" customWidth="1"/>
    <col min="5379" max="5379" width="36.875" style="10" customWidth="1"/>
    <col min="5380" max="5380" width="8.5" style="10" customWidth="1"/>
    <col min="5381" max="5381" width="11" style="10" customWidth="1"/>
    <col min="5382" max="5387" width="15" style="10" customWidth="1"/>
    <col min="5388" max="5388" width="19.625" style="10" customWidth="1"/>
    <col min="5389" max="5632" width="9" style="10"/>
    <col min="5633" max="5633" width="7.125" style="10" customWidth="1"/>
    <col min="5634" max="5634" width="49.625" style="10" bestFit="1" customWidth="1"/>
    <col min="5635" max="5635" width="36.875" style="10" customWidth="1"/>
    <col min="5636" max="5636" width="8.5" style="10" customWidth="1"/>
    <col min="5637" max="5637" width="11" style="10" customWidth="1"/>
    <col min="5638" max="5643" width="15" style="10" customWidth="1"/>
    <col min="5644" max="5644" width="19.625" style="10" customWidth="1"/>
    <col min="5645" max="5888" width="9" style="10"/>
    <col min="5889" max="5889" width="7.125" style="10" customWidth="1"/>
    <col min="5890" max="5890" width="49.625" style="10" bestFit="1" customWidth="1"/>
    <col min="5891" max="5891" width="36.875" style="10" customWidth="1"/>
    <col min="5892" max="5892" width="8.5" style="10" customWidth="1"/>
    <col min="5893" max="5893" width="11" style="10" customWidth="1"/>
    <col min="5894" max="5899" width="15" style="10" customWidth="1"/>
    <col min="5900" max="5900" width="19.625" style="10" customWidth="1"/>
    <col min="5901" max="6144" width="9" style="10"/>
    <col min="6145" max="6145" width="7.125" style="10" customWidth="1"/>
    <col min="6146" max="6146" width="49.625" style="10" bestFit="1" customWidth="1"/>
    <col min="6147" max="6147" width="36.875" style="10" customWidth="1"/>
    <col min="6148" max="6148" width="8.5" style="10" customWidth="1"/>
    <col min="6149" max="6149" width="11" style="10" customWidth="1"/>
    <col min="6150" max="6155" width="15" style="10" customWidth="1"/>
    <col min="6156" max="6156" width="19.625" style="10" customWidth="1"/>
    <col min="6157" max="6400" width="9" style="10"/>
    <col min="6401" max="6401" width="7.125" style="10" customWidth="1"/>
    <col min="6402" max="6402" width="49.625" style="10" bestFit="1" customWidth="1"/>
    <col min="6403" max="6403" width="36.875" style="10" customWidth="1"/>
    <col min="6404" max="6404" width="8.5" style="10" customWidth="1"/>
    <col min="6405" max="6405" width="11" style="10" customWidth="1"/>
    <col min="6406" max="6411" width="15" style="10" customWidth="1"/>
    <col min="6412" max="6412" width="19.625" style="10" customWidth="1"/>
    <col min="6413" max="6656" width="9" style="10"/>
    <col min="6657" max="6657" width="7.125" style="10" customWidth="1"/>
    <col min="6658" max="6658" width="49.625" style="10" bestFit="1" customWidth="1"/>
    <col min="6659" max="6659" width="36.875" style="10" customWidth="1"/>
    <col min="6660" max="6660" width="8.5" style="10" customWidth="1"/>
    <col min="6661" max="6661" width="11" style="10" customWidth="1"/>
    <col min="6662" max="6667" width="15" style="10" customWidth="1"/>
    <col min="6668" max="6668" width="19.625" style="10" customWidth="1"/>
    <col min="6669" max="6912" width="9" style="10"/>
    <col min="6913" max="6913" width="7.125" style="10" customWidth="1"/>
    <col min="6914" max="6914" width="49.625" style="10" bestFit="1" customWidth="1"/>
    <col min="6915" max="6915" width="36.875" style="10" customWidth="1"/>
    <col min="6916" max="6916" width="8.5" style="10" customWidth="1"/>
    <col min="6917" max="6917" width="11" style="10" customWidth="1"/>
    <col min="6918" max="6923" width="15" style="10" customWidth="1"/>
    <col min="6924" max="6924" width="19.625" style="10" customWidth="1"/>
    <col min="6925" max="7168" width="9" style="10"/>
    <col min="7169" max="7169" width="7.125" style="10" customWidth="1"/>
    <col min="7170" max="7170" width="49.625" style="10" bestFit="1" customWidth="1"/>
    <col min="7171" max="7171" width="36.875" style="10" customWidth="1"/>
    <col min="7172" max="7172" width="8.5" style="10" customWidth="1"/>
    <col min="7173" max="7173" width="11" style="10" customWidth="1"/>
    <col min="7174" max="7179" width="15" style="10" customWidth="1"/>
    <col min="7180" max="7180" width="19.625" style="10" customWidth="1"/>
    <col min="7181" max="7424" width="9" style="10"/>
    <col min="7425" max="7425" width="7.125" style="10" customWidth="1"/>
    <col min="7426" max="7426" width="49.625" style="10" bestFit="1" customWidth="1"/>
    <col min="7427" max="7427" width="36.875" style="10" customWidth="1"/>
    <col min="7428" max="7428" width="8.5" style="10" customWidth="1"/>
    <col min="7429" max="7429" width="11" style="10" customWidth="1"/>
    <col min="7430" max="7435" width="15" style="10" customWidth="1"/>
    <col min="7436" max="7436" width="19.625" style="10" customWidth="1"/>
    <col min="7437" max="7680" width="9" style="10"/>
    <col min="7681" max="7681" width="7.125" style="10" customWidth="1"/>
    <col min="7682" max="7682" width="49.625" style="10" bestFit="1" customWidth="1"/>
    <col min="7683" max="7683" width="36.875" style="10" customWidth="1"/>
    <col min="7684" max="7684" width="8.5" style="10" customWidth="1"/>
    <col min="7685" max="7685" width="11" style="10" customWidth="1"/>
    <col min="7686" max="7691" width="15" style="10" customWidth="1"/>
    <col min="7692" max="7692" width="19.625" style="10" customWidth="1"/>
    <col min="7693" max="7936" width="9" style="10"/>
    <col min="7937" max="7937" width="7.125" style="10" customWidth="1"/>
    <col min="7938" max="7938" width="49.625" style="10" bestFit="1" customWidth="1"/>
    <col min="7939" max="7939" width="36.875" style="10" customWidth="1"/>
    <col min="7940" max="7940" width="8.5" style="10" customWidth="1"/>
    <col min="7941" max="7941" width="11" style="10" customWidth="1"/>
    <col min="7942" max="7947" width="15" style="10" customWidth="1"/>
    <col min="7948" max="7948" width="19.625" style="10" customWidth="1"/>
    <col min="7949" max="8192" width="9" style="10"/>
    <col min="8193" max="8193" width="7.125" style="10" customWidth="1"/>
    <col min="8194" max="8194" width="49.625" style="10" bestFit="1" customWidth="1"/>
    <col min="8195" max="8195" width="36.875" style="10" customWidth="1"/>
    <col min="8196" max="8196" width="8.5" style="10" customWidth="1"/>
    <col min="8197" max="8197" width="11" style="10" customWidth="1"/>
    <col min="8198" max="8203" width="15" style="10" customWidth="1"/>
    <col min="8204" max="8204" width="19.625" style="10" customWidth="1"/>
    <col min="8205" max="8448" width="9" style="10"/>
    <col min="8449" max="8449" width="7.125" style="10" customWidth="1"/>
    <col min="8450" max="8450" width="49.625" style="10" bestFit="1" customWidth="1"/>
    <col min="8451" max="8451" width="36.875" style="10" customWidth="1"/>
    <col min="8452" max="8452" width="8.5" style="10" customWidth="1"/>
    <col min="8453" max="8453" width="11" style="10" customWidth="1"/>
    <col min="8454" max="8459" width="15" style="10" customWidth="1"/>
    <col min="8460" max="8460" width="19.625" style="10" customWidth="1"/>
    <col min="8461" max="8704" width="9" style="10"/>
    <col min="8705" max="8705" width="7.125" style="10" customWidth="1"/>
    <col min="8706" max="8706" width="49.625" style="10" bestFit="1" customWidth="1"/>
    <col min="8707" max="8707" width="36.875" style="10" customWidth="1"/>
    <col min="8708" max="8708" width="8.5" style="10" customWidth="1"/>
    <col min="8709" max="8709" width="11" style="10" customWidth="1"/>
    <col min="8710" max="8715" width="15" style="10" customWidth="1"/>
    <col min="8716" max="8716" width="19.625" style="10" customWidth="1"/>
    <col min="8717" max="8960" width="9" style="10"/>
    <col min="8961" max="8961" width="7.125" style="10" customWidth="1"/>
    <col min="8962" max="8962" width="49.625" style="10" bestFit="1" customWidth="1"/>
    <col min="8963" max="8963" width="36.875" style="10" customWidth="1"/>
    <col min="8964" max="8964" width="8.5" style="10" customWidth="1"/>
    <col min="8965" max="8965" width="11" style="10" customWidth="1"/>
    <col min="8966" max="8971" width="15" style="10" customWidth="1"/>
    <col min="8972" max="8972" width="19.625" style="10" customWidth="1"/>
    <col min="8973" max="9216" width="9" style="10"/>
    <col min="9217" max="9217" width="7.125" style="10" customWidth="1"/>
    <col min="9218" max="9218" width="49.625" style="10" bestFit="1" customWidth="1"/>
    <col min="9219" max="9219" width="36.875" style="10" customWidth="1"/>
    <col min="9220" max="9220" width="8.5" style="10" customWidth="1"/>
    <col min="9221" max="9221" width="11" style="10" customWidth="1"/>
    <col min="9222" max="9227" width="15" style="10" customWidth="1"/>
    <col min="9228" max="9228" width="19.625" style="10" customWidth="1"/>
    <col min="9229" max="9472" width="9" style="10"/>
    <col min="9473" max="9473" width="7.125" style="10" customWidth="1"/>
    <col min="9474" max="9474" width="49.625" style="10" bestFit="1" customWidth="1"/>
    <col min="9475" max="9475" width="36.875" style="10" customWidth="1"/>
    <col min="9476" max="9476" width="8.5" style="10" customWidth="1"/>
    <col min="9477" max="9477" width="11" style="10" customWidth="1"/>
    <col min="9478" max="9483" width="15" style="10" customWidth="1"/>
    <col min="9484" max="9484" width="19.625" style="10" customWidth="1"/>
    <col min="9485" max="9728" width="9" style="10"/>
    <col min="9729" max="9729" width="7.125" style="10" customWidth="1"/>
    <col min="9730" max="9730" width="49.625" style="10" bestFit="1" customWidth="1"/>
    <col min="9731" max="9731" width="36.875" style="10" customWidth="1"/>
    <col min="9732" max="9732" width="8.5" style="10" customWidth="1"/>
    <col min="9733" max="9733" width="11" style="10" customWidth="1"/>
    <col min="9734" max="9739" width="15" style="10" customWidth="1"/>
    <col min="9740" max="9740" width="19.625" style="10" customWidth="1"/>
    <col min="9741" max="9984" width="9" style="10"/>
    <col min="9985" max="9985" width="7.125" style="10" customWidth="1"/>
    <col min="9986" max="9986" width="49.625" style="10" bestFit="1" customWidth="1"/>
    <col min="9987" max="9987" width="36.875" style="10" customWidth="1"/>
    <col min="9988" max="9988" width="8.5" style="10" customWidth="1"/>
    <col min="9989" max="9989" width="11" style="10" customWidth="1"/>
    <col min="9990" max="9995" width="15" style="10" customWidth="1"/>
    <col min="9996" max="9996" width="19.625" style="10" customWidth="1"/>
    <col min="9997" max="10240" width="9" style="10"/>
    <col min="10241" max="10241" width="7.125" style="10" customWidth="1"/>
    <col min="10242" max="10242" width="49.625" style="10" bestFit="1" customWidth="1"/>
    <col min="10243" max="10243" width="36.875" style="10" customWidth="1"/>
    <col min="10244" max="10244" width="8.5" style="10" customWidth="1"/>
    <col min="10245" max="10245" width="11" style="10" customWidth="1"/>
    <col min="10246" max="10251" width="15" style="10" customWidth="1"/>
    <col min="10252" max="10252" width="19.625" style="10" customWidth="1"/>
    <col min="10253" max="10496" width="9" style="10"/>
    <col min="10497" max="10497" width="7.125" style="10" customWidth="1"/>
    <col min="10498" max="10498" width="49.625" style="10" bestFit="1" customWidth="1"/>
    <col min="10499" max="10499" width="36.875" style="10" customWidth="1"/>
    <col min="10500" max="10500" width="8.5" style="10" customWidth="1"/>
    <col min="10501" max="10501" width="11" style="10" customWidth="1"/>
    <col min="10502" max="10507" width="15" style="10" customWidth="1"/>
    <col min="10508" max="10508" width="19.625" style="10" customWidth="1"/>
    <col min="10509" max="10752" width="9" style="10"/>
    <col min="10753" max="10753" width="7.125" style="10" customWidth="1"/>
    <col min="10754" max="10754" width="49.625" style="10" bestFit="1" customWidth="1"/>
    <col min="10755" max="10755" width="36.875" style="10" customWidth="1"/>
    <col min="10756" max="10756" width="8.5" style="10" customWidth="1"/>
    <col min="10757" max="10757" width="11" style="10" customWidth="1"/>
    <col min="10758" max="10763" width="15" style="10" customWidth="1"/>
    <col min="10764" max="10764" width="19.625" style="10" customWidth="1"/>
    <col min="10765" max="11008" width="9" style="10"/>
    <col min="11009" max="11009" width="7.125" style="10" customWidth="1"/>
    <col min="11010" max="11010" width="49.625" style="10" bestFit="1" customWidth="1"/>
    <col min="11011" max="11011" width="36.875" style="10" customWidth="1"/>
    <col min="11012" max="11012" width="8.5" style="10" customWidth="1"/>
    <col min="11013" max="11013" width="11" style="10" customWidth="1"/>
    <col min="11014" max="11019" width="15" style="10" customWidth="1"/>
    <col min="11020" max="11020" width="19.625" style="10" customWidth="1"/>
    <col min="11021" max="11264" width="9" style="10"/>
    <col min="11265" max="11265" width="7.125" style="10" customWidth="1"/>
    <col min="11266" max="11266" width="49.625" style="10" bestFit="1" customWidth="1"/>
    <col min="11267" max="11267" width="36.875" style="10" customWidth="1"/>
    <col min="11268" max="11268" width="8.5" style="10" customWidth="1"/>
    <col min="11269" max="11269" width="11" style="10" customWidth="1"/>
    <col min="11270" max="11275" width="15" style="10" customWidth="1"/>
    <col min="11276" max="11276" width="19.625" style="10" customWidth="1"/>
    <col min="11277" max="11520" width="9" style="10"/>
    <col min="11521" max="11521" width="7.125" style="10" customWidth="1"/>
    <col min="11522" max="11522" width="49.625" style="10" bestFit="1" customWidth="1"/>
    <col min="11523" max="11523" width="36.875" style="10" customWidth="1"/>
    <col min="11524" max="11524" width="8.5" style="10" customWidth="1"/>
    <col min="11525" max="11525" width="11" style="10" customWidth="1"/>
    <col min="11526" max="11531" width="15" style="10" customWidth="1"/>
    <col min="11532" max="11532" width="19.625" style="10" customWidth="1"/>
    <col min="11533" max="11776" width="9" style="10"/>
    <col min="11777" max="11777" width="7.125" style="10" customWidth="1"/>
    <col min="11778" max="11778" width="49.625" style="10" bestFit="1" customWidth="1"/>
    <col min="11779" max="11779" width="36.875" style="10" customWidth="1"/>
    <col min="11780" max="11780" width="8.5" style="10" customWidth="1"/>
    <col min="11781" max="11781" width="11" style="10" customWidth="1"/>
    <col min="11782" max="11787" width="15" style="10" customWidth="1"/>
    <col min="11788" max="11788" width="19.625" style="10" customWidth="1"/>
    <col min="11789" max="12032" width="9" style="10"/>
    <col min="12033" max="12033" width="7.125" style="10" customWidth="1"/>
    <col min="12034" max="12034" width="49.625" style="10" bestFit="1" customWidth="1"/>
    <col min="12035" max="12035" width="36.875" style="10" customWidth="1"/>
    <col min="12036" max="12036" width="8.5" style="10" customWidth="1"/>
    <col min="12037" max="12037" width="11" style="10" customWidth="1"/>
    <col min="12038" max="12043" width="15" style="10" customWidth="1"/>
    <col min="12044" max="12044" width="19.625" style="10" customWidth="1"/>
    <col min="12045" max="12288" width="9" style="10"/>
    <col min="12289" max="12289" width="7.125" style="10" customWidth="1"/>
    <col min="12290" max="12290" width="49.625" style="10" bestFit="1" customWidth="1"/>
    <col min="12291" max="12291" width="36.875" style="10" customWidth="1"/>
    <col min="12292" max="12292" width="8.5" style="10" customWidth="1"/>
    <col min="12293" max="12293" width="11" style="10" customWidth="1"/>
    <col min="12294" max="12299" width="15" style="10" customWidth="1"/>
    <col min="12300" max="12300" width="19.625" style="10" customWidth="1"/>
    <col min="12301" max="12544" width="9" style="10"/>
    <col min="12545" max="12545" width="7.125" style="10" customWidth="1"/>
    <col min="12546" max="12546" width="49.625" style="10" bestFit="1" customWidth="1"/>
    <col min="12547" max="12547" width="36.875" style="10" customWidth="1"/>
    <col min="12548" max="12548" width="8.5" style="10" customWidth="1"/>
    <col min="12549" max="12549" width="11" style="10" customWidth="1"/>
    <col min="12550" max="12555" width="15" style="10" customWidth="1"/>
    <col min="12556" max="12556" width="19.625" style="10" customWidth="1"/>
    <col min="12557" max="12800" width="9" style="10"/>
    <col min="12801" max="12801" width="7.125" style="10" customWidth="1"/>
    <col min="12802" max="12802" width="49.625" style="10" bestFit="1" customWidth="1"/>
    <col min="12803" max="12803" width="36.875" style="10" customWidth="1"/>
    <col min="12804" max="12804" width="8.5" style="10" customWidth="1"/>
    <col min="12805" max="12805" width="11" style="10" customWidth="1"/>
    <col min="12806" max="12811" width="15" style="10" customWidth="1"/>
    <col min="12812" max="12812" width="19.625" style="10" customWidth="1"/>
    <col min="12813" max="13056" width="9" style="10"/>
    <col min="13057" max="13057" width="7.125" style="10" customWidth="1"/>
    <col min="13058" max="13058" width="49.625" style="10" bestFit="1" customWidth="1"/>
    <col min="13059" max="13059" width="36.875" style="10" customWidth="1"/>
    <col min="13060" max="13060" width="8.5" style="10" customWidth="1"/>
    <col min="13061" max="13061" width="11" style="10" customWidth="1"/>
    <col min="13062" max="13067" width="15" style="10" customWidth="1"/>
    <col min="13068" max="13068" width="19.625" style="10" customWidth="1"/>
    <col min="13069" max="13312" width="9" style="10"/>
    <col min="13313" max="13313" width="7.125" style="10" customWidth="1"/>
    <col min="13314" max="13314" width="49.625" style="10" bestFit="1" customWidth="1"/>
    <col min="13315" max="13315" width="36.875" style="10" customWidth="1"/>
    <col min="13316" max="13316" width="8.5" style="10" customWidth="1"/>
    <col min="13317" max="13317" width="11" style="10" customWidth="1"/>
    <col min="13318" max="13323" width="15" style="10" customWidth="1"/>
    <col min="13324" max="13324" width="19.625" style="10" customWidth="1"/>
    <col min="13325" max="13568" width="9" style="10"/>
    <col min="13569" max="13569" width="7.125" style="10" customWidth="1"/>
    <col min="13570" max="13570" width="49.625" style="10" bestFit="1" customWidth="1"/>
    <col min="13571" max="13571" width="36.875" style="10" customWidth="1"/>
    <col min="13572" max="13572" width="8.5" style="10" customWidth="1"/>
    <col min="13573" max="13573" width="11" style="10" customWidth="1"/>
    <col min="13574" max="13579" width="15" style="10" customWidth="1"/>
    <col min="13580" max="13580" width="19.625" style="10" customWidth="1"/>
    <col min="13581" max="13824" width="9" style="10"/>
    <col min="13825" max="13825" width="7.125" style="10" customWidth="1"/>
    <col min="13826" max="13826" width="49.625" style="10" bestFit="1" customWidth="1"/>
    <col min="13827" max="13827" width="36.875" style="10" customWidth="1"/>
    <col min="13828" max="13828" width="8.5" style="10" customWidth="1"/>
    <col min="13829" max="13829" width="11" style="10" customWidth="1"/>
    <col min="13830" max="13835" width="15" style="10" customWidth="1"/>
    <col min="13836" max="13836" width="19.625" style="10" customWidth="1"/>
    <col min="13837" max="14080" width="9" style="10"/>
    <col min="14081" max="14081" width="7.125" style="10" customWidth="1"/>
    <col min="14082" max="14082" width="49.625" style="10" bestFit="1" customWidth="1"/>
    <col min="14083" max="14083" width="36.875" style="10" customWidth="1"/>
    <col min="14084" max="14084" width="8.5" style="10" customWidth="1"/>
    <col min="14085" max="14085" width="11" style="10" customWidth="1"/>
    <col min="14086" max="14091" width="15" style="10" customWidth="1"/>
    <col min="14092" max="14092" width="19.625" style="10" customWidth="1"/>
    <col min="14093" max="14336" width="9" style="10"/>
    <col min="14337" max="14337" width="7.125" style="10" customWidth="1"/>
    <col min="14338" max="14338" width="49.625" style="10" bestFit="1" customWidth="1"/>
    <col min="14339" max="14339" width="36.875" style="10" customWidth="1"/>
    <col min="14340" max="14340" width="8.5" style="10" customWidth="1"/>
    <col min="14341" max="14341" width="11" style="10" customWidth="1"/>
    <col min="14342" max="14347" width="15" style="10" customWidth="1"/>
    <col min="14348" max="14348" width="19.625" style="10" customWidth="1"/>
    <col min="14349" max="14592" width="9" style="10"/>
    <col min="14593" max="14593" width="7.125" style="10" customWidth="1"/>
    <col min="14594" max="14594" width="49.625" style="10" bestFit="1" customWidth="1"/>
    <col min="14595" max="14595" width="36.875" style="10" customWidth="1"/>
    <col min="14596" max="14596" width="8.5" style="10" customWidth="1"/>
    <col min="14597" max="14597" width="11" style="10" customWidth="1"/>
    <col min="14598" max="14603" width="15" style="10" customWidth="1"/>
    <col min="14604" max="14604" width="19.625" style="10" customWidth="1"/>
    <col min="14605" max="14848" width="9" style="10"/>
    <col min="14849" max="14849" width="7.125" style="10" customWidth="1"/>
    <col min="14850" max="14850" width="49.625" style="10" bestFit="1" customWidth="1"/>
    <col min="14851" max="14851" width="36.875" style="10" customWidth="1"/>
    <col min="14852" max="14852" width="8.5" style="10" customWidth="1"/>
    <col min="14853" max="14853" width="11" style="10" customWidth="1"/>
    <col min="14854" max="14859" width="15" style="10" customWidth="1"/>
    <col min="14860" max="14860" width="19.625" style="10" customWidth="1"/>
    <col min="14861" max="15104" width="9" style="10"/>
    <col min="15105" max="15105" width="7.125" style="10" customWidth="1"/>
    <col min="15106" max="15106" width="49.625" style="10" bestFit="1" customWidth="1"/>
    <col min="15107" max="15107" width="36.875" style="10" customWidth="1"/>
    <col min="15108" max="15108" width="8.5" style="10" customWidth="1"/>
    <col min="15109" max="15109" width="11" style="10" customWidth="1"/>
    <col min="15110" max="15115" width="15" style="10" customWidth="1"/>
    <col min="15116" max="15116" width="19.625" style="10" customWidth="1"/>
    <col min="15117" max="15360" width="9" style="10"/>
    <col min="15361" max="15361" width="7.125" style="10" customWidth="1"/>
    <col min="15362" max="15362" width="49.625" style="10" bestFit="1" customWidth="1"/>
    <col min="15363" max="15363" width="36.875" style="10" customWidth="1"/>
    <col min="15364" max="15364" width="8.5" style="10" customWidth="1"/>
    <col min="15365" max="15365" width="11" style="10" customWidth="1"/>
    <col min="15366" max="15371" width="15" style="10" customWidth="1"/>
    <col min="15372" max="15372" width="19.625" style="10" customWidth="1"/>
    <col min="15373" max="15616" width="9" style="10"/>
    <col min="15617" max="15617" width="7.125" style="10" customWidth="1"/>
    <col min="15618" max="15618" width="49.625" style="10" bestFit="1" customWidth="1"/>
    <col min="15619" max="15619" width="36.875" style="10" customWidth="1"/>
    <col min="15620" max="15620" width="8.5" style="10" customWidth="1"/>
    <col min="15621" max="15621" width="11" style="10" customWidth="1"/>
    <col min="15622" max="15627" width="15" style="10" customWidth="1"/>
    <col min="15628" max="15628" width="19.625" style="10" customWidth="1"/>
    <col min="15629" max="15872" width="9" style="10"/>
    <col min="15873" max="15873" width="7.125" style="10" customWidth="1"/>
    <col min="15874" max="15874" width="49.625" style="10" bestFit="1" customWidth="1"/>
    <col min="15875" max="15875" width="36.875" style="10" customWidth="1"/>
    <col min="15876" max="15876" width="8.5" style="10" customWidth="1"/>
    <col min="15877" max="15877" width="11" style="10" customWidth="1"/>
    <col min="15878" max="15883" width="15" style="10" customWidth="1"/>
    <col min="15884" max="15884" width="19.625" style="10" customWidth="1"/>
    <col min="15885" max="16128" width="9" style="10"/>
    <col min="16129" max="16129" width="7.125" style="10" customWidth="1"/>
    <col min="16130" max="16130" width="49.625" style="10" bestFit="1" customWidth="1"/>
    <col min="16131" max="16131" width="36.875" style="10" customWidth="1"/>
    <col min="16132" max="16132" width="8.5" style="10" customWidth="1"/>
    <col min="16133" max="16133" width="11" style="10" customWidth="1"/>
    <col min="16134" max="16139" width="15" style="10" customWidth="1"/>
    <col min="16140" max="16140" width="19.625" style="10" customWidth="1"/>
    <col min="16141" max="16384" width="9" style="10"/>
  </cols>
  <sheetData>
    <row r="4" spans="2:14" s="269" customFormat="1" ht="19.5" customHeight="1">
      <c r="B4" s="428" t="s">
        <v>74</v>
      </c>
      <c r="C4" s="268"/>
      <c r="D4" s="430" t="s">
        <v>94</v>
      </c>
      <c r="E4" s="431" t="s">
        <v>112</v>
      </c>
      <c r="F4" s="433" t="s">
        <v>90</v>
      </c>
      <c r="G4" s="434" t="s">
        <v>91</v>
      </c>
      <c r="H4" s="436"/>
      <c r="I4" s="436"/>
      <c r="J4" s="436"/>
      <c r="K4" s="436"/>
      <c r="L4" s="427" t="s">
        <v>3</v>
      </c>
      <c r="N4" s="270"/>
    </row>
    <row r="5" spans="2:14" s="269" customFormat="1" ht="19.5" customHeight="1">
      <c r="B5" s="429"/>
      <c r="C5" s="271"/>
      <c r="D5" s="430"/>
      <c r="E5" s="432"/>
      <c r="F5" s="433"/>
      <c r="G5" s="435"/>
      <c r="H5" s="272" t="s">
        <v>92</v>
      </c>
      <c r="I5" s="272" t="s">
        <v>4</v>
      </c>
      <c r="J5" s="273" t="s">
        <v>5</v>
      </c>
      <c r="K5" s="273" t="s">
        <v>6</v>
      </c>
      <c r="L5" s="427"/>
      <c r="N5" s="270"/>
    </row>
    <row r="6" spans="2:14" s="282" customFormat="1" ht="27" customHeight="1">
      <c r="B6" s="274" t="s">
        <v>7</v>
      </c>
      <c r="C6" s="275" t="s">
        <v>8</v>
      </c>
      <c r="D6" s="276"/>
      <c r="E6" s="277"/>
      <c r="F6" s="278"/>
      <c r="G6" s="279"/>
      <c r="H6" s="280"/>
      <c r="I6" s="280"/>
      <c r="J6" s="280"/>
      <c r="K6" s="280"/>
      <c r="L6" s="281"/>
      <c r="N6" s="283"/>
    </row>
    <row r="7" spans="2:14" s="282" customFormat="1" ht="27" customHeight="1">
      <c r="B7" s="284" t="s">
        <v>9</v>
      </c>
      <c r="C7" s="285"/>
      <c r="D7" s="286" t="s">
        <v>10</v>
      </c>
      <c r="E7" s="287"/>
      <c r="F7" s="152"/>
      <c r="G7" s="288"/>
      <c r="H7" s="289">
        <f>SUM(견적상세!L78,견적상세!L87,견적상세!L95,견적상세!L103,견적상세!L131,견적상세!L148,견적상세!L160,견적상세!L203,견적상세!L174,견적상세!L165,견적상세!L213)</f>
        <v>2035576</v>
      </c>
      <c r="I7" s="289">
        <f>SUM(견적상세!N78,견적상세!N87,견적상세!N95,견적상세!N103,견적상세!N131,견적상세!N148,견적상세!N160,견적상세!N203,견적상세!N174,견적상세!N165,견적상세!N213)</f>
        <v>11348976</v>
      </c>
      <c r="J7" s="289"/>
      <c r="K7" s="289">
        <f>SUM(견적상세!O78,견적상세!O87,견적상세!O95,견적상세!O103,견적상세!O131,견적상세!O148,견적상세!O160,견적상세!O203,견적상세!O174,견적상세!O165,견적상세!O213)</f>
        <v>13384552</v>
      </c>
      <c r="L7" s="290"/>
      <c r="N7" s="283"/>
    </row>
    <row r="8" spans="2:14" ht="27" customHeight="1">
      <c r="B8" s="284"/>
      <c r="C8" s="285"/>
      <c r="D8" s="286" t="s">
        <v>11</v>
      </c>
      <c r="E8" s="286" t="s">
        <v>132</v>
      </c>
      <c r="F8" s="152" t="s">
        <v>95</v>
      </c>
      <c r="G8" s="288">
        <v>30</v>
      </c>
      <c r="H8" s="289"/>
      <c r="I8" s="289"/>
      <c r="J8" s="289">
        <v>20000</v>
      </c>
      <c r="K8" s="289">
        <f>J8*G8</f>
        <v>600000</v>
      </c>
      <c r="L8" s="290"/>
    </row>
    <row r="9" spans="2:14" ht="27" customHeight="1">
      <c r="B9" s="284"/>
      <c r="C9" s="291" t="s">
        <v>12</v>
      </c>
      <c r="D9" s="292"/>
      <c r="E9" s="293"/>
      <c r="F9" s="294"/>
      <c r="G9" s="295"/>
      <c r="H9" s="296"/>
      <c r="I9" s="296"/>
      <c r="J9" s="296"/>
      <c r="K9" s="296">
        <f>SUM(K7:K8)</f>
        <v>13984552</v>
      </c>
      <c r="L9" s="297"/>
    </row>
    <row r="10" spans="2:14" ht="27" customHeight="1">
      <c r="B10" s="284"/>
      <c r="C10" s="284"/>
      <c r="D10" s="286"/>
      <c r="E10" s="298"/>
      <c r="F10" s="152"/>
      <c r="G10" s="288"/>
      <c r="H10" s="289"/>
      <c r="I10" s="289"/>
      <c r="J10" s="289"/>
      <c r="K10" s="289"/>
      <c r="L10" s="290"/>
    </row>
    <row r="11" spans="2:14" ht="27" customHeight="1">
      <c r="B11" s="284" t="s">
        <v>13</v>
      </c>
      <c r="C11" s="299" t="s">
        <v>14</v>
      </c>
      <c r="D11" s="300"/>
      <c r="E11" s="287"/>
      <c r="F11" s="152"/>
      <c r="G11" s="288"/>
      <c r="H11" s="289"/>
      <c r="I11" s="289"/>
      <c r="J11" s="289"/>
      <c r="K11" s="289"/>
      <c r="L11" s="290"/>
    </row>
    <row r="12" spans="2:14" ht="27" customHeight="1">
      <c r="B12" s="284"/>
      <c r="C12" s="301"/>
      <c r="D12" s="286" t="s">
        <v>15</v>
      </c>
      <c r="E12" s="286" t="s">
        <v>16</v>
      </c>
      <c r="F12" s="152" t="s">
        <v>17</v>
      </c>
      <c r="G12" s="302">
        <v>4.67</v>
      </c>
      <c r="H12" s="289"/>
      <c r="I12" s="303"/>
      <c r="J12" s="289"/>
      <c r="K12" s="289"/>
      <c r="L12" s="304"/>
    </row>
    <row r="13" spans="2:14" ht="27" customHeight="1">
      <c r="B13" s="284"/>
      <c r="C13" s="284"/>
      <c r="D13" s="286" t="s">
        <v>18</v>
      </c>
      <c r="E13" s="286" t="s">
        <v>133</v>
      </c>
      <c r="F13" s="152" t="s">
        <v>17</v>
      </c>
      <c r="G13" s="302">
        <v>4</v>
      </c>
      <c r="H13" s="305">
        <f>H7*4%</f>
        <v>81423.040000000008</v>
      </c>
      <c r="I13" s="305">
        <f>I7*4%</f>
        <v>453959.04000000004</v>
      </c>
      <c r="J13" s="289"/>
      <c r="K13" s="289">
        <f>H13+I13</f>
        <v>535382.08000000007</v>
      </c>
      <c r="L13" s="290"/>
    </row>
    <row r="14" spans="2:14" ht="27" customHeight="1">
      <c r="B14" s="284"/>
      <c r="C14" s="291" t="s">
        <v>12</v>
      </c>
      <c r="D14" s="292"/>
      <c r="E14" s="293"/>
      <c r="F14" s="294"/>
      <c r="G14" s="295"/>
      <c r="H14" s="296">
        <f t="shared" ref="H14:K14" si="0">SUM(H12:H13)</f>
        <v>81423.040000000008</v>
      </c>
      <c r="I14" s="296">
        <f t="shared" si="0"/>
        <v>453959.04000000004</v>
      </c>
      <c r="J14" s="296">
        <f t="shared" si="0"/>
        <v>0</v>
      </c>
      <c r="K14" s="296">
        <f t="shared" si="0"/>
        <v>535382.08000000007</v>
      </c>
      <c r="L14" s="297"/>
    </row>
    <row r="15" spans="2:14" ht="27" customHeight="1">
      <c r="B15" s="284"/>
      <c r="C15" s="284"/>
      <c r="D15" s="286"/>
      <c r="E15" s="298"/>
      <c r="F15" s="152"/>
      <c r="G15" s="288"/>
      <c r="H15" s="289"/>
      <c r="I15" s="289"/>
      <c r="J15" s="289"/>
      <c r="K15" s="289"/>
      <c r="L15" s="290"/>
    </row>
    <row r="16" spans="2:14" ht="27" customHeight="1">
      <c r="B16" s="284"/>
      <c r="C16" s="291" t="s">
        <v>19</v>
      </c>
      <c r="D16" s="292"/>
      <c r="E16" s="293"/>
      <c r="F16" s="294"/>
      <c r="G16" s="295"/>
      <c r="H16" s="296"/>
      <c r="I16" s="296"/>
      <c r="J16" s="296"/>
      <c r="K16" s="296">
        <f>K9+K14</f>
        <v>14519934.08</v>
      </c>
      <c r="L16" s="297"/>
    </row>
    <row r="17" spans="2:18" ht="27" customHeight="1">
      <c r="B17" s="284"/>
      <c r="C17" s="285"/>
      <c r="D17" s="286"/>
      <c r="E17" s="289"/>
      <c r="F17" s="152"/>
      <c r="G17" s="302"/>
      <c r="H17" s="289"/>
      <c r="I17" s="289"/>
      <c r="J17" s="289"/>
      <c r="K17" s="289"/>
      <c r="L17" s="290"/>
    </row>
    <row r="18" spans="2:18" ht="27" customHeight="1">
      <c r="B18" s="284"/>
      <c r="C18" s="285"/>
      <c r="D18" s="286" t="s">
        <v>20</v>
      </c>
      <c r="E18" s="298"/>
      <c r="F18" s="152"/>
      <c r="G18" s="288"/>
      <c r="H18" s="289"/>
      <c r="I18" s="289"/>
      <c r="J18" s="289"/>
      <c r="K18" s="289"/>
      <c r="L18" s="290"/>
    </row>
    <row r="19" spans="2:18" ht="27" customHeight="1">
      <c r="B19" s="284"/>
      <c r="C19" s="306"/>
      <c r="D19" s="307" t="s">
        <v>98</v>
      </c>
      <c r="E19" s="308"/>
      <c r="F19" s="308"/>
      <c r="G19" s="308"/>
      <c r="H19" s="309"/>
      <c r="I19" s="309"/>
      <c r="J19" s="309"/>
      <c r="K19" s="309">
        <f>TRUNC(K16,-2)</f>
        <v>14519900</v>
      </c>
      <c r="L19" s="310"/>
    </row>
    <row r="20" spans="2:18" ht="27" customHeight="1">
      <c r="B20" s="311" t="s">
        <v>21</v>
      </c>
      <c r="C20" s="312" t="str">
        <f>C6</f>
        <v>기본공사비</v>
      </c>
      <c r="D20" s="313"/>
      <c r="E20" s="314"/>
      <c r="F20" s="315"/>
      <c r="G20" s="316"/>
      <c r="H20" s="317"/>
      <c r="I20" s="317"/>
      <c r="J20" s="317"/>
      <c r="K20" s="317"/>
      <c r="L20" s="318"/>
    </row>
    <row r="21" spans="2:18" ht="27" customHeight="1">
      <c r="B21" s="284" t="s">
        <v>22</v>
      </c>
      <c r="C21" s="285"/>
      <c r="D21" s="319" t="str">
        <f>견적상세!C7</f>
        <v>철거</v>
      </c>
      <c r="E21" s="287"/>
      <c r="F21" s="152" t="s">
        <v>23</v>
      </c>
      <c r="G21" s="302">
        <v>1</v>
      </c>
      <c r="H21" s="289">
        <f>견적상세!L78</f>
        <v>0</v>
      </c>
      <c r="I21" s="289">
        <f>견적상세!N78</f>
        <v>1637900</v>
      </c>
      <c r="J21" s="289"/>
      <c r="K21" s="289">
        <f t="shared" ref="K21:K31" si="1">H21+I21</f>
        <v>1637900</v>
      </c>
      <c r="L21" s="320"/>
      <c r="M21" s="321"/>
      <c r="N21" s="50"/>
      <c r="O21" s="50"/>
      <c r="P21" s="50"/>
      <c r="R21" s="50"/>
    </row>
    <row r="22" spans="2:18" ht="27" customHeight="1">
      <c r="B22" s="284" t="s">
        <v>24</v>
      </c>
      <c r="C22" s="285"/>
      <c r="D22" s="319" t="str">
        <f>견적상세!C79</f>
        <v>설비</v>
      </c>
      <c r="E22" s="287"/>
      <c r="F22" s="152" t="s">
        <v>23</v>
      </c>
      <c r="G22" s="302">
        <v>1</v>
      </c>
      <c r="H22" s="289">
        <f>견적상세!L87</f>
        <v>0</v>
      </c>
      <c r="I22" s="289">
        <f>견적상세!N87</f>
        <v>96000</v>
      </c>
      <c r="J22" s="289"/>
      <c r="K22" s="289">
        <f t="shared" si="1"/>
        <v>96000</v>
      </c>
      <c r="L22" s="322"/>
      <c r="M22" s="321"/>
      <c r="N22" s="50"/>
      <c r="O22" s="50"/>
      <c r="P22" s="50"/>
    </row>
    <row r="23" spans="2:18" ht="27" customHeight="1">
      <c r="B23" s="284" t="s">
        <v>174</v>
      </c>
      <c r="C23" s="285"/>
      <c r="D23" s="319" t="s">
        <v>181</v>
      </c>
      <c r="E23" s="287"/>
      <c r="F23" s="152" t="s">
        <v>23</v>
      </c>
      <c r="G23" s="302">
        <v>1</v>
      </c>
      <c r="H23" s="289">
        <f>견적상세!L95</f>
        <v>864000</v>
      </c>
      <c r="I23" s="289">
        <f>견적상세!N95</f>
        <v>1080000</v>
      </c>
      <c r="J23" s="289"/>
      <c r="K23" s="289">
        <f t="shared" ref="K23" si="2">H23+I23</f>
        <v>1944000</v>
      </c>
      <c r="L23" s="322"/>
      <c r="M23" s="321"/>
      <c r="N23" s="50"/>
      <c r="O23" s="50"/>
      <c r="P23" s="50"/>
    </row>
    <row r="24" spans="2:18" ht="27" customHeight="1">
      <c r="B24" s="284" t="s">
        <v>25</v>
      </c>
      <c r="C24" s="285"/>
      <c r="D24" s="319" t="str">
        <f>견적상세!C96</f>
        <v>단열</v>
      </c>
      <c r="E24" s="287"/>
      <c r="F24" s="152" t="s">
        <v>23</v>
      </c>
      <c r="G24" s="302">
        <v>1</v>
      </c>
      <c r="H24" s="289">
        <f>견적상세!L103</f>
        <v>0</v>
      </c>
      <c r="I24" s="289">
        <f>견적상세!N103</f>
        <v>0</v>
      </c>
      <c r="J24" s="289"/>
      <c r="K24" s="289">
        <f t="shared" si="1"/>
        <v>0</v>
      </c>
      <c r="L24" s="322"/>
      <c r="M24" s="321"/>
      <c r="N24" s="50"/>
      <c r="O24" s="289"/>
      <c r="P24" s="289">
        <f t="shared" ref="P24:P31" si="3">M24+N24</f>
        <v>0</v>
      </c>
      <c r="Q24" s="322"/>
      <c r="R24" s="321"/>
    </row>
    <row r="25" spans="2:18" ht="27" customHeight="1">
      <c r="B25" s="284" t="s">
        <v>175</v>
      </c>
      <c r="C25" s="285"/>
      <c r="D25" s="323" t="str">
        <f>견적상세!C104</f>
        <v>목공</v>
      </c>
      <c r="E25" s="287"/>
      <c r="F25" s="152" t="s">
        <v>23</v>
      </c>
      <c r="G25" s="302">
        <v>1</v>
      </c>
      <c r="H25" s="289">
        <f>견적상세!L131</f>
        <v>273600</v>
      </c>
      <c r="I25" s="289">
        <f>견적상세!N131</f>
        <v>1196500</v>
      </c>
      <c r="J25" s="289"/>
      <c r="K25" s="289">
        <f t="shared" si="1"/>
        <v>1470100</v>
      </c>
      <c r="L25" s="322"/>
      <c r="M25" s="321"/>
      <c r="N25" s="50"/>
      <c r="O25" s="289"/>
      <c r="P25" s="289">
        <f t="shared" si="3"/>
        <v>0</v>
      </c>
      <c r="Q25" s="322"/>
      <c r="R25" s="321"/>
    </row>
    <row r="26" spans="2:18" ht="27" customHeight="1">
      <c r="B26" s="284" t="s">
        <v>176</v>
      </c>
      <c r="C26" s="285"/>
      <c r="D26" s="319" t="str">
        <f>견적상세!C132</f>
        <v>전기/조명</v>
      </c>
      <c r="E26" s="298"/>
      <c r="F26" s="152" t="s">
        <v>23</v>
      </c>
      <c r="G26" s="302">
        <v>1</v>
      </c>
      <c r="H26" s="289">
        <f>견적상세!L148</f>
        <v>338600</v>
      </c>
      <c r="I26" s="289">
        <f>견적상세!N148</f>
        <v>1541000</v>
      </c>
      <c r="J26" s="289"/>
      <c r="K26" s="289">
        <f t="shared" si="1"/>
        <v>1879600</v>
      </c>
      <c r="L26" s="322"/>
      <c r="M26" s="321"/>
      <c r="N26" s="50"/>
      <c r="O26" s="289"/>
      <c r="P26" s="289">
        <f t="shared" si="3"/>
        <v>0</v>
      </c>
      <c r="Q26" s="322"/>
      <c r="R26" s="321"/>
    </row>
    <row r="27" spans="2:18" ht="27" customHeight="1">
      <c r="B27" s="284" t="s">
        <v>177</v>
      </c>
      <c r="C27" s="285"/>
      <c r="D27" s="319" t="str">
        <f>견적상세!C149</f>
        <v>타일</v>
      </c>
      <c r="E27" s="298"/>
      <c r="F27" s="152" t="s">
        <v>23</v>
      </c>
      <c r="G27" s="302">
        <v>1</v>
      </c>
      <c r="H27" s="289">
        <f>견적상세!L160</f>
        <v>0</v>
      </c>
      <c r="I27" s="289">
        <f>견적상세!N160</f>
        <v>1056000</v>
      </c>
      <c r="J27" s="289"/>
      <c r="K27" s="289">
        <f t="shared" si="1"/>
        <v>1056000</v>
      </c>
      <c r="L27" s="322"/>
      <c r="M27" s="321"/>
      <c r="N27" s="50"/>
      <c r="O27" s="289"/>
      <c r="P27" s="289">
        <f t="shared" si="3"/>
        <v>0</v>
      </c>
      <c r="Q27" s="322"/>
      <c r="R27" s="321"/>
    </row>
    <row r="28" spans="2:18" ht="27" customHeight="1">
      <c r="B28" s="284" t="s">
        <v>178</v>
      </c>
      <c r="C28" s="285"/>
      <c r="D28" s="319" t="s">
        <v>244</v>
      </c>
      <c r="E28" s="298"/>
      <c r="F28" s="152" t="s">
        <v>23</v>
      </c>
      <c r="G28" s="302">
        <v>1</v>
      </c>
      <c r="H28" s="289">
        <f>견적상세!L165</f>
        <v>319376</v>
      </c>
      <c r="I28" s="289">
        <f>견적상세!N165</f>
        <v>1568576</v>
      </c>
      <c r="J28" s="289"/>
      <c r="K28" s="289">
        <f t="shared" si="1"/>
        <v>1887952</v>
      </c>
      <c r="L28" s="322"/>
      <c r="M28" s="321"/>
      <c r="N28" s="50"/>
      <c r="O28" s="289"/>
      <c r="P28" s="289">
        <f t="shared" si="3"/>
        <v>0</v>
      </c>
      <c r="Q28" s="322"/>
      <c r="R28" s="321"/>
    </row>
    <row r="29" spans="2:18" ht="27" customHeight="1">
      <c r="B29" s="284" t="s">
        <v>179</v>
      </c>
      <c r="C29" s="285"/>
      <c r="D29" s="319" t="str">
        <f>견적상세!C166</f>
        <v>도장</v>
      </c>
      <c r="E29" s="298"/>
      <c r="F29" s="152" t="s">
        <v>23</v>
      </c>
      <c r="G29" s="302">
        <v>1</v>
      </c>
      <c r="H29" s="289">
        <f>견적상세!L174</f>
        <v>240000</v>
      </c>
      <c r="I29" s="289">
        <f>견적상세!N174</f>
        <v>750000</v>
      </c>
      <c r="J29" s="289"/>
      <c r="K29" s="289">
        <f t="shared" si="1"/>
        <v>990000</v>
      </c>
      <c r="L29" s="322"/>
      <c r="M29" s="321"/>
      <c r="N29" s="50"/>
      <c r="O29" s="289"/>
      <c r="P29" s="289">
        <f t="shared" si="3"/>
        <v>0</v>
      </c>
      <c r="Q29" s="322"/>
      <c r="R29" s="321"/>
    </row>
    <row r="30" spans="2:18" ht="27" customHeight="1">
      <c r="B30" s="284" t="s">
        <v>26</v>
      </c>
      <c r="C30" s="285"/>
      <c r="D30" s="319" t="s">
        <v>245</v>
      </c>
      <c r="E30" s="298"/>
      <c r="F30" s="152" t="s">
        <v>23</v>
      </c>
      <c r="G30" s="302">
        <v>1</v>
      </c>
      <c r="H30" s="289">
        <f>견적상세!L203</f>
        <v>0</v>
      </c>
      <c r="I30" s="289">
        <f>견적상세!N203</f>
        <v>1868000</v>
      </c>
      <c r="J30" s="289"/>
      <c r="K30" s="289">
        <f t="shared" si="1"/>
        <v>1868000</v>
      </c>
      <c r="L30" s="322"/>
      <c r="M30" s="321"/>
      <c r="N30" s="50"/>
      <c r="O30" s="289"/>
      <c r="P30" s="289">
        <f t="shared" si="3"/>
        <v>0</v>
      </c>
      <c r="Q30" s="322"/>
      <c r="R30" s="321"/>
    </row>
    <row r="31" spans="2:18" ht="27" customHeight="1">
      <c r="B31" s="284" t="s">
        <v>180</v>
      </c>
      <c r="C31" s="285"/>
      <c r="D31" s="319" t="str">
        <f>견적상세!C204</f>
        <v>기타</v>
      </c>
      <c r="E31" s="298"/>
      <c r="F31" s="152" t="s">
        <v>23</v>
      </c>
      <c r="G31" s="302">
        <v>1</v>
      </c>
      <c r="H31" s="289">
        <f>견적상세!L213</f>
        <v>0</v>
      </c>
      <c r="I31" s="289">
        <f>견적상세!N213</f>
        <v>555000</v>
      </c>
      <c r="J31" s="289"/>
      <c r="K31" s="289">
        <f t="shared" si="1"/>
        <v>555000</v>
      </c>
      <c r="L31" s="322"/>
      <c r="M31" s="321"/>
      <c r="O31" s="289"/>
      <c r="P31" s="289">
        <f t="shared" si="3"/>
        <v>0</v>
      </c>
      <c r="Q31" s="322"/>
      <c r="R31" s="321"/>
    </row>
    <row r="32" spans="2:18" ht="27" customHeight="1">
      <c r="B32" s="324"/>
      <c r="C32" s="325"/>
      <c r="D32" s="326" t="s">
        <v>27</v>
      </c>
      <c r="E32" s="327"/>
      <c r="F32" s="328"/>
      <c r="G32" s="329"/>
      <c r="H32" s="330">
        <f>SUM(H21:H31)</f>
        <v>2035576</v>
      </c>
      <c r="I32" s="330">
        <f>SUM(I21:I31)</f>
        <v>11348976</v>
      </c>
      <c r="J32" s="330"/>
      <c r="K32" s="330">
        <f>SUM(K21:K31)</f>
        <v>13384552</v>
      </c>
      <c r="L32" s="331"/>
      <c r="O32" s="330"/>
      <c r="P32" s="330">
        <f>SUM(P21:P31)</f>
        <v>0</v>
      </c>
      <c r="Q32" s="331"/>
    </row>
    <row r="33" spans="2:16140" ht="21" customHeight="1">
      <c r="O33" s="333"/>
      <c r="P33" s="333"/>
      <c r="Q33" s="334"/>
    </row>
    <row r="34" spans="2:16140" ht="21" customHeight="1">
      <c r="O34" s="333"/>
      <c r="P34" s="333"/>
      <c r="Q34" s="334"/>
    </row>
    <row r="43" spans="2:16140" s="242" customFormat="1" ht="21" customHeight="1">
      <c r="B43" s="335"/>
      <c r="C43" s="336"/>
      <c r="F43" s="244"/>
      <c r="G43" s="245"/>
      <c r="H43" s="333"/>
      <c r="I43" s="333"/>
      <c r="J43" s="333"/>
      <c r="K43" s="333"/>
      <c r="L43" s="334"/>
      <c r="M43" s="10"/>
      <c r="N43" s="18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 s="10"/>
      <c r="GM43" s="10"/>
      <c r="GN43" s="10"/>
      <c r="GO43" s="10"/>
      <c r="GP43" s="10"/>
      <c r="GQ43" s="10"/>
      <c r="GR43" s="10"/>
      <c r="GS43" s="10"/>
      <c r="GT43" s="10"/>
      <c r="GU43" s="10"/>
      <c r="GV43" s="10"/>
      <c r="GW43" s="10"/>
      <c r="GX43" s="10"/>
      <c r="GY43" s="10"/>
      <c r="GZ43" s="10"/>
      <c r="HA43" s="10"/>
      <c r="HB43" s="10"/>
      <c r="HC43" s="10"/>
      <c r="HD43" s="10"/>
      <c r="HE43" s="10"/>
      <c r="HF43" s="10"/>
      <c r="HG43" s="10"/>
      <c r="HH43" s="10"/>
      <c r="HI43" s="10"/>
      <c r="HJ43" s="10"/>
      <c r="HK43" s="10"/>
      <c r="HL43" s="10"/>
      <c r="HM43" s="10"/>
      <c r="HN43" s="10"/>
      <c r="HO43" s="10"/>
      <c r="HP43" s="10"/>
      <c r="HQ43" s="10"/>
      <c r="HR43" s="10"/>
      <c r="HS43" s="10"/>
      <c r="HT43" s="10"/>
      <c r="HU43" s="10"/>
      <c r="HV43" s="10"/>
      <c r="HW43" s="10"/>
      <c r="HX43" s="10"/>
      <c r="HY43" s="10"/>
      <c r="HZ43" s="10"/>
      <c r="IA43" s="10"/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  <c r="IM43" s="10"/>
      <c r="IN43" s="10"/>
      <c r="IO43" s="10"/>
      <c r="IP43" s="10"/>
      <c r="IQ43" s="10"/>
      <c r="IR43" s="10"/>
      <c r="IS43" s="10"/>
      <c r="IT43" s="10"/>
      <c r="IU43" s="10"/>
      <c r="IV43" s="10"/>
      <c r="IW43" s="10"/>
      <c r="IX43" s="10"/>
      <c r="IY43" s="10"/>
      <c r="IZ43" s="10"/>
      <c r="JA43" s="10"/>
      <c r="JB43" s="10"/>
      <c r="JC43" s="10"/>
      <c r="JD43" s="10"/>
      <c r="JE43" s="10"/>
      <c r="JF43" s="10"/>
      <c r="JG43" s="10"/>
      <c r="JH43" s="10"/>
      <c r="JI43" s="10"/>
      <c r="JJ43" s="10"/>
      <c r="JK43" s="10"/>
      <c r="JL43" s="10"/>
      <c r="JM43" s="10"/>
      <c r="JN43" s="10"/>
      <c r="JO43" s="10"/>
      <c r="JP43" s="10"/>
      <c r="JQ43" s="10"/>
      <c r="JR43" s="10"/>
      <c r="JS43" s="10"/>
      <c r="JT43" s="10"/>
      <c r="JU43" s="10"/>
      <c r="JV43" s="10"/>
      <c r="JW43" s="10"/>
      <c r="JX43" s="10"/>
      <c r="JY43" s="10"/>
      <c r="JZ43" s="10"/>
      <c r="KA43" s="10"/>
      <c r="KB43" s="10"/>
      <c r="KC43" s="10"/>
      <c r="KD43" s="10"/>
      <c r="KE43" s="10"/>
      <c r="KF43" s="10"/>
      <c r="KG43" s="10"/>
      <c r="KH43" s="10"/>
      <c r="KI43" s="10"/>
      <c r="KJ43" s="10"/>
      <c r="KK43" s="10"/>
      <c r="KL43" s="10"/>
      <c r="KM43" s="10"/>
      <c r="KN43" s="10"/>
      <c r="KO43" s="10"/>
      <c r="KP43" s="10"/>
      <c r="KQ43" s="10"/>
      <c r="KR43" s="10"/>
      <c r="KS43" s="10"/>
      <c r="KT43" s="10"/>
      <c r="KU43" s="10"/>
      <c r="KV43" s="10"/>
      <c r="KW43" s="10"/>
      <c r="KX43" s="10"/>
      <c r="KY43" s="10"/>
      <c r="KZ43" s="10"/>
      <c r="LA43" s="10"/>
      <c r="LB43" s="10"/>
      <c r="LC43" s="10"/>
      <c r="LD43" s="10"/>
      <c r="LE43" s="10"/>
      <c r="LF43" s="10"/>
      <c r="LG43" s="10"/>
      <c r="LH43" s="10"/>
      <c r="LI43" s="10"/>
      <c r="LJ43" s="10"/>
      <c r="LK43" s="10"/>
      <c r="LL43" s="10"/>
      <c r="LM43" s="10"/>
      <c r="LN43" s="10"/>
      <c r="LO43" s="10"/>
      <c r="LP43" s="10"/>
      <c r="LQ43" s="10"/>
      <c r="LR43" s="10"/>
      <c r="LS43" s="10"/>
      <c r="LT43" s="10"/>
      <c r="LU43" s="10"/>
      <c r="LV43" s="10"/>
      <c r="LW43" s="10"/>
      <c r="LX43" s="10"/>
      <c r="LY43" s="10"/>
      <c r="LZ43" s="10"/>
      <c r="MA43" s="10"/>
      <c r="MB43" s="10"/>
      <c r="MC43" s="10"/>
      <c r="MD43" s="10"/>
      <c r="ME43" s="10"/>
      <c r="MF43" s="10"/>
      <c r="MG43" s="10"/>
      <c r="MH43" s="10"/>
      <c r="MI43" s="10"/>
      <c r="MJ43" s="10"/>
      <c r="MK43" s="10"/>
      <c r="ML43" s="10"/>
      <c r="MM43" s="10"/>
      <c r="MN43" s="10"/>
      <c r="MO43" s="10"/>
      <c r="MP43" s="10"/>
      <c r="MQ43" s="10"/>
      <c r="MR43" s="10"/>
      <c r="MS43" s="10"/>
      <c r="MT43" s="10"/>
      <c r="MU43" s="10"/>
      <c r="MV43" s="10"/>
      <c r="MW43" s="10"/>
      <c r="MX43" s="10"/>
      <c r="MY43" s="10"/>
      <c r="MZ43" s="10"/>
      <c r="NA43" s="10"/>
      <c r="NB43" s="10"/>
      <c r="NC43" s="10"/>
      <c r="ND43" s="10"/>
      <c r="NE43" s="10"/>
      <c r="NF43" s="10"/>
      <c r="NG43" s="10"/>
      <c r="NH43" s="10"/>
      <c r="NI43" s="10"/>
      <c r="NJ43" s="10"/>
      <c r="NK43" s="10"/>
      <c r="NL43" s="10"/>
      <c r="NM43" s="10"/>
      <c r="NN43" s="10"/>
      <c r="NO43" s="10"/>
      <c r="NP43" s="10"/>
      <c r="NQ43" s="10"/>
      <c r="NR43" s="10"/>
      <c r="NS43" s="10"/>
      <c r="NT43" s="10"/>
      <c r="NU43" s="10"/>
      <c r="NV43" s="10"/>
      <c r="NW43" s="10"/>
      <c r="NX43" s="10"/>
      <c r="NY43" s="10"/>
      <c r="NZ43" s="10"/>
      <c r="OA43" s="10"/>
      <c r="OB43" s="10"/>
      <c r="OC43" s="10"/>
      <c r="OD43" s="10"/>
      <c r="OE43" s="10"/>
      <c r="OF43" s="10"/>
      <c r="OG43" s="10"/>
      <c r="OH43" s="10"/>
      <c r="OI43" s="10"/>
      <c r="OJ43" s="10"/>
      <c r="OK43" s="10"/>
      <c r="OL43" s="10"/>
      <c r="OM43" s="10"/>
      <c r="ON43" s="10"/>
      <c r="OO43" s="10"/>
      <c r="OP43" s="10"/>
      <c r="OQ43" s="10"/>
      <c r="OR43" s="10"/>
      <c r="OS43" s="10"/>
      <c r="OT43" s="10"/>
      <c r="OU43" s="10"/>
      <c r="OV43" s="10"/>
      <c r="OW43" s="10"/>
      <c r="OX43" s="10"/>
      <c r="OY43" s="10"/>
      <c r="OZ43" s="10"/>
      <c r="PA43" s="10"/>
      <c r="PB43" s="10"/>
      <c r="PC43" s="10"/>
      <c r="PD43" s="10"/>
      <c r="PE43" s="10"/>
      <c r="PF43" s="10"/>
      <c r="PG43" s="10"/>
      <c r="PH43" s="10"/>
      <c r="PI43" s="10"/>
      <c r="PJ43" s="10"/>
      <c r="PK43" s="10"/>
      <c r="PL43" s="10"/>
      <c r="PM43" s="10"/>
      <c r="PN43" s="10"/>
      <c r="PO43" s="10"/>
      <c r="PP43" s="10"/>
      <c r="PQ43" s="10"/>
      <c r="PR43" s="10"/>
      <c r="PS43" s="10"/>
      <c r="PT43" s="10"/>
      <c r="PU43" s="10"/>
      <c r="PV43" s="10"/>
      <c r="PW43" s="10"/>
      <c r="PX43" s="10"/>
      <c r="PY43" s="10"/>
      <c r="PZ43" s="10"/>
      <c r="QA43" s="10"/>
      <c r="QB43" s="10"/>
      <c r="QC43" s="10"/>
      <c r="QD43" s="10"/>
      <c r="QE43" s="10"/>
      <c r="QF43" s="10"/>
      <c r="QG43" s="10"/>
      <c r="QH43" s="10"/>
      <c r="QI43" s="10"/>
      <c r="QJ43" s="10"/>
      <c r="QK43" s="10"/>
      <c r="QL43" s="10"/>
      <c r="QM43" s="10"/>
      <c r="QN43" s="10"/>
      <c r="QO43" s="10"/>
      <c r="QP43" s="10"/>
      <c r="QQ43" s="10"/>
      <c r="QR43" s="10"/>
      <c r="QS43" s="10"/>
      <c r="QT43" s="10"/>
      <c r="QU43" s="10"/>
      <c r="QV43" s="10"/>
      <c r="QW43" s="10"/>
      <c r="QX43" s="10"/>
      <c r="QY43" s="10"/>
      <c r="QZ43" s="10"/>
      <c r="RA43" s="10"/>
      <c r="RB43" s="10"/>
      <c r="RC43" s="10"/>
      <c r="RD43" s="10"/>
      <c r="RE43" s="10"/>
      <c r="RF43" s="10"/>
      <c r="RG43" s="10"/>
      <c r="RH43" s="10"/>
      <c r="RI43" s="10"/>
      <c r="RJ43" s="10"/>
      <c r="RK43" s="10"/>
      <c r="RL43" s="10"/>
      <c r="RM43" s="10"/>
      <c r="RN43" s="10"/>
      <c r="RO43" s="10"/>
      <c r="RP43" s="10"/>
      <c r="RQ43" s="10"/>
      <c r="RR43" s="10"/>
      <c r="RS43" s="10"/>
      <c r="RT43" s="10"/>
      <c r="RU43" s="10"/>
      <c r="RV43" s="10"/>
      <c r="RW43" s="10"/>
      <c r="RX43" s="10"/>
      <c r="RY43" s="10"/>
      <c r="RZ43" s="10"/>
      <c r="SA43" s="10"/>
      <c r="SB43" s="10"/>
      <c r="SC43" s="10"/>
      <c r="SD43" s="10"/>
      <c r="SE43" s="10"/>
      <c r="SF43" s="10"/>
      <c r="SG43" s="10"/>
      <c r="SH43" s="10"/>
      <c r="SI43" s="10"/>
      <c r="SJ43" s="10"/>
      <c r="SK43" s="10"/>
      <c r="SL43" s="10"/>
      <c r="SM43" s="10"/>
      <c r="SN43" s="10"/>
      <c r="SO43" s="10"/>
      <c r="SP43" s="10"/>
      <c r="SQ43" s="10"/>
      <c r="SR43" s="10"/>
      <c r="SS43" s="10"/>
      <c r="ST43" s="10"/>
      <c r="SU43" s="10"/>
      <c r="SV43" s="10"/>
      <c r="SW43" s="10"/>
      <c r="SX43" s="10"/>
      <c r="SY43" s="10"/>
      <c r="SZ43" s="10"/>
      <c r="TA43" s="10"/>
      <c r="TB43" s="10"/>
      <c r="TC43" s="10"/>
      <c r="TD43" s="10"/>
      <c r="TE43" s="10"/>
      <c r="TF43" s="10"/>
      <c r="TG43" s="10"/>
      <c r="TH43" s="10"/>
      <c r="TI43" s="10"/>
      <c r="TJ43" s="10"/>
      <c r="TK43" s="10"/>
      <c r="TL43" s="10"/>
      <c r="TM43" s="10"/>
      <c r="TN43" s="10"/>
      <c r="TO43" s="10"/>
      <c r="TP43" s="10"/>
      <c r="TQ43" s="10"/>
      <c r="TR43" s="10"/>
      <c r="TS43" s="10"/>
      <c r="TT43" s="10"/>
      <c r="TU43" s="10"/>
      <c r="TV43" s="10"/>
      <c r="TW43" s="10"/>
      <c r="TX43" s="10"/>
      <c r="TY43" s="10"/>
      <c r="TZ43" s="10"/>
      <c r="UA43" s="10"/>
      <c r="UB43" s="10"/>
      <c r="UC43" s="10"/>
      <c r="UD43" s="10"/>
      <c r="UE43" s="10"/>
      <c r="UF43" s="10"/>
      <c r="UG43" s="10"/>
      <c r="UH43" s="10"/>
      <c r="UI43" s="10"/>
      <c r="UJ43" s="10"/>
      <c r="UK43" s="10"/>
      <c r="UL43" s="10"/>
      <c r="UM43" s="10"/>
      <c r="UN43" s="10"/>
      <c r="UO43" s="10"/>
      <c r="UP43" s="10"/>
      <c r="UQ43" s="10"/>
      <c r="UR43" s="10"/>
      <c r="US43" s="10"/>
      <c r="UT43" s="10"/>
      <c r="UU43" s="10"/>
      <c r="UV43" s="10"/>
      <c r="UW43" s="10"/>
      <c r="UX43" s="10"/>
      <c r="UY43" s="10"/>
      <c r="UZ43" s="10"/>
      <c r="VA43" s="10"/>
      <c r="VB43" s="10"/>
      <c r="VC43" s="10"/>
      <c r="VD43" s="10"/>
      <c r="VE43" s="10"/>
      <c r="VF43" s="10"/>
      <c r="VG43" s="10"/>
      <c r="VH43" s="10"/>
      <c r="VI43" s="10"/>
      <c r="VJ43" s="10"/>
      <c r="VK43" s="10"/>
      <c r="VL43" s="10"/>
      <c r="VM43" s="10"/>
      <c r="VN43" s="10"/>
      <c r="VO43" s="10"/>
      <c r="VP43" s="10"/>
      <c r="VQ43" s="10"/>
      <c r="VR43" s="10"/>
      <c r="VS43" s="10"/>
      <c r="VT43" s="10"/>
      <c r="VU43" s="10"/>
      <c r="VV43" s="10"/>
      <c r="VW43" s="10"/>
      <c r="VX43" s="10"/>
      <c r="VY43" s="10"/>
      <c r="VZ43" s="10"/>
      <c r="WA43" s="10"/>
      <c r="WB43" s="10"/>
      <c r="WC43" s="10"/>
      <c r="WD43" s="10"/>
      <c r="WE43" s="10"/>
      <c r="WF43" s="10"/>
      <c r="WG43" s="10"/>
      <c r="WH43" s="10"/>
      <c r="WI43" s="10"/>
      <c r="WJ43" s="10"/>
      <c r="WK43" s="10"/>
      <c r="WL43" s="10"/>
      <c r="WM43" s="10"/>
      <c r="WN43" s="10"/>
      <c r="WO43" s="10"/>
      <c r="WP43" s="10"/>
      <c r="WQ43" s="10"/>
      <c r="WR43" s="10"/>
      <c r="WS43" s="10"/>
      <c r="WT43" s="10"/>
      <c r="WU43" s="10"/>
      <c r="WV43" s="10"/>
      <c r="WW43" s="10"/>
      <c r="WX43" s="10"/>
      <c r="WY43" s="10"/>
      <c r="WZ43" s="10"/>
      <c r="XA43" s="10"/>
      <c r="XB43" s="10"/>
      <c r="XC43" s="10"/>
      <c r="XD43" s="10"/>
      <c r="XE43" s="10"/>
      <c r="XF43" s="10"/>
      <c r="XG43" s="10"/>
      <c r="XH43" s="10"/>
      <c r="XI43" s="10"/>
      <c r="XJ43" s="10"/>
      <c r="XK43" s="10"/>
      <c r="XL43" s="10"/>
      <c r="XM43" s="10"/>
      <c r="XN43" s="10"/>
      <c r="XO43" s="10"/>
      <c r="XP43" s="10"/>
      <c r="XQ43" s="10"/>
      <c r="XR43" s="10"/>
      <c r="XS43" s="10"/>
      <c r="XT43" s="10"/>
      <c r="XU43" s="10"/>
      <c r="XV43" s="10"/>
      <c r="XW43" s="10"/>
      <c r="XX43" s="10"/>
      <c r="XY43" s="10"/>
      <c r="XZ43" s="10"/>
      <c r="YA43" s="10"/>
      <c r="YB43" s="10"/>
      <c r="YC43" s="10"/>
      <c r="YD43" s="10"/>
      <c r="YE43" s="10"/>
      <c r="YF43" s="10"/>
      <c r="YG43" s="10"/>
      <c r="YH43" s="10"/>
      <c r="YI43" s="10"/>
      <c r="YJ43" s="10"/>
      <c r="YK43" s="10"/>
      <c r="YL43" s="10"/>
      <c r="YM43" s="10"/>
      <c r="YN43" s="10"/>
      <c r="YO43" s="10"/>
      <c r="YP43" s="10"/>
      <c r="YQ43" s="10"/>
      <c r="YR43" s="10"/>
      <c r="YS43" s="10"/>
      <c r="YT43" s="10"/>
      <c r="YU43" s="10"/>
      <c r="YV43" s="10"/>
      <c r="YW43" s="10"/>
      <c r="YX43" s="10"/>
      <c r="YY43" s="10"/>
      <c r="YZ43" s="10"/>
      <c r="ZA43" s="10"/>
      <c r="ZB43" s="10"/>
      <c r="ZC43" s="10"/>
      <c r="ZD43" s="10"/>
      <c r="ZE43" s="10"/>
      <c r="ZF43" s="10"/>
      <c r="ZG43" s="10"/>
      <c r="ZH43" s="10"/>
      <c r="ZI43" s="10"/>
      <c r="ZJ43" s="10"/>
      <c r="ZK43" s="10"/>
      <c r="ZL43" s="10"/>
      <c r="ZM43" s="10"/>
      <c r="ZN43" s="10"/>
      <c r="ZO43" s="10"/>
      <c r="ZP43" s="10"/>
      <c r="ZQ43" s="10"/>
      <c r="ZR43" s="10"/>
      <c r="ZS43" s="10"/>
      <c r="ZT43" s="10"/>
      <c r="ZU43" s="10"/>
      <c r="ZV43" s="10"/>
      <c r="ZW43" s="10"/>
      <c r="ZX43" s="10"/>
      <c r="ZY43" s="10"/>
      <c r="ZZ43" s="10"/>
      <c r="AAA43" s="10"/>
      <c r="AAB43" s="10"/>
      <c r="AAC43" s="10"/>
      <c r="AAD43" s="10"/>
      <c r="AAE43" s="10"/>
      <c r="AAF43" s="10"/>
      <c r="AAG43" s="10"/>
      <c r="AAH43" s="10"/>
      <c r="AAI43" s="10"/>
      <c r="AAJ43" s="10"/>
      <c r="AAK43" s="10"/>
      <c r="AAL43" s="10"/>
      <c r="AAM43" s="10"/>
      <c r="AAN43" s="10"/>
      <c r="AAO43" s="10"/>
      <c r="AAP43" s="10"/>
      <c r="AAQ43" s="10"/>
      <c r="AAR43" s="10"/>
      <c r="AAS43" s="10"/>
      <c r="AAT43" s="10"/>
      <c r="AAU43" s="10"/>
      <c r="AAV43" s="10"/>
      <c r="AAW43" s="10"/>
      <c r="AAX43" s="10"/>
      <c r="AAY43" s="10"/>
      <c r="AAZ43" s="10"/>
      <c r="ABA43" s="10"/>
      <c r="ABB43" s="10"/>
      <c r="ABC43" s="10"/>
      <c r="ABD43" s="10"/>
      <c r="ABE43" s="10"/>
      <c r="ABF43" s="10"/>
      <c r="ABG43" s="10"/>
      <c r="ABH43" s="10"/>
      <c r="ABI43" s="10"/>
      <c r="ABJ43" s="10"/>
      <c r="ABK43" s="10"/>
      <c r="ABL43" s="10"/>
      <c r="ABM43" s="10"/>
      <c r="ABN43" s="10"/>
      <c r="ABO43" s="10"/>
      <c r="ABP43" s="10"/>
      <c r="ABQ43" s="10"/>
      <c r="ABR43" s="10"/>
      <c r="ABS43" s="10"/>
      <c r="ABT43" s="10"/>
      <c r="ABU43" s="10"/>
      <c r="ABV43" s="10"/>
      <c r="ABW43" s="10"/>
      <c r="ABX43" s="10"/>
      <c r="ABY43" s="10"/>
      <c r="ABZ43" s="10"/>
      <c r="ACA43" s="10"/>
      <c r="ACB43" s="10"/>
      <c r="ACC43" s="10"/>
      <c r="ACD43" s="10"/>
      <c r="ACE43" s="10"/>
      <c r="ACF43" s="10"/>
      <c r="ACG43" s="10"/>
      <c r="ACH43" s="10"/>
      <c r="ACI43" s="10"/>
      <c r="ACJ43" s="10"/>
      <c r="ACK43" s="10"/>
      <c r="ACL43" s="10"/>
      <c r="ACM43" s="10"/>
      <c r="ACN43" s="10"/>
      <c r="ACO43" s="10"/>
      <c r="ACP43" s="10"/>
      <c r="ACQ43" s="10"/>
      <c r="ACR43" s="10"/>
      <c r="ACS43" s="10"/>
      <c r="ACT43" s="10"/>
      <c r="ACU43" s="10"/>
      <c r="ACV43" s="10"/>
      <c r="ACW43" s="10"/>
      <c r="ACX43" s="10"/>
      <c r="ACY43" s="10"/>
      <c r="ACZ43" s="10"/>
      <c r="ADA43" s="10"/>
      <c r="ADB43" s="10"/>
      <c r="ADC43" s="10"/>
      <c r="ADD43" s="10"/>
      <c r="ADE43" s="10"/>
      <c r="ADF43" s="10"/>
      <c r="ADG43" s="10"/>
      <c r="ADH43" s="10"/>
      <c r="ADI43" s="10"/>
      <c r="ADJ43" s="10"/>
      <c r="ADK43" s="10"/>
      <c r="ADL43" s="10"/>
      <c r="ADM43" s="10"/>
      <c r="ADN43" s="10"/>
      <c r="ADO43" s="10"/>
      <c r="ADP43" s="10"/>
      <c r="ADQ43" s="10"/>
      <c r="ADR43" s="10"/>
      <c r="ADS43" s="10"/>
      <c r="ADT43" s="10"/>
      <c r="ADU43" s="10"/>
      <c r="ADV43" s="10"/>
      <c r="ADW43" s="10"/>
      <c r="ADX43" s="10"/>
      <c r="ADY43" s="10"/>
      <c r="ADZ43" s="10"/>
      <c r="AEA43" s="10"/>
      <c r="AEB43" s="10"/>
      <c r="AEC43" s="10"/>
      <c r="AED43" s="10"/>
      <c r="AEE43" s="10"/>
      <c r="AEF43" s="10"/>
      <c r="AEG43" s="10"/>
      <c r="AEH43" s="10"/>
      <c r="AEI43" s="10"/>
      <c r="AEJ43" s="10"/>
      <c r="AEK43" s="10"/>
      <c r="AEL43" s="10"/>
      <c r="AEM43" s="10"/>
      <c r="AEN43" s="10"/>
      <c r="AEO43" s="10"/>
      <c r="AEP43" s="10"/>
      <c r="AEQ43" s="10"/>
      <c r="AER43" s="10"/>
      <c r="AES43" s="10"/>
      <c r="AET43" s="10"/>
      <c r="AEU43" s="10"/>
      <c r="AEV43" s="10"/>
      <c r="AEW43" s="10"/>
      <c r="AEX43" s="10"/>
      <c r="AEY43" s="10"/>
      <c r="AEZ43" s="10"/>
      <c r="AFA43" s="10"/>
      <c r="AFB43" s="10"/>
      <c r="AFC43" s="10"/>
      <c r="AFD43" s="10"/>
      <c r="AFE43" s="10"/>
      <c r="AFF43" s="10"/>
      <c r="AFG43" s="10"/>
      <c r="AFH43" s="10"/>
      <c r="AFI43" s="10"/>
      <c r="AFJ43" s="10"/>
      <c r="AFK43" s="10"/>
      <c r="AFL43" s="10"/>
      <c r="AFM43" s="10"/>
      <c r="AFN43" s="10"/>
      <c r="AFO43" s="10"/>
      <c r="AFP43" s="10"/>
      <c r="AFQ43" s="10"/>
      <c r="AFR43" s="10"/>
      <c r="AFS43" s="10"/>
      <c r="AFT43" s="10"/>
      <c r="AFU43" s="10"/>
      <c r="AFV43" s="10"/>
      <c r="AFW43" s="10"/>
      <c r="AFX43" s="10"/>
      <c r="AFY43" s="10"/>
      <c r="AFZ43" s="10"/>
      <c r="AGA43" s="10"/>
      <c r="AGB43" s="10"/>
      <c r="AGC43" s="10"/>
      <c r="AGD43" s="10"/>
      <c r="AGE43" s="10"/>
      <c r="AGF43" s="10"/>
      <c r="AGG43" s="10"/>
      <c r="AGH43" s="10"/>
      <c r="AGI43" s="10"/>
      <c r="AGJ43" s="10"/>
      <c r="AGK43" s="10"/>
      <c r="AGL43" s="10"/>
      <c r="AGM43" s="10"/>
      <c r="AGN43" s="10"/>
      <c r="AGO43" s="10"/>
      <c r="AGP43" s="10"/>
      <c r="AGQ43" s="10"/>
      <c r="AGR43" s="10"/>
      <c r="AGS43" s="10"/>
      <c r="AGT43" s="10"/>
      <c r="AGU43" s="10"/>
      <c r="AGV43" s="10"/>
      <c r="AGW43" s="10"/>
      <c r="AGX43" s="10"/>
      <c r="AGY43" s="10"/>
      <c r="AGZ43" s="10"/>
      <c r="AHA43" s="10"/>
      <c r="AHB43" s="10"/>
      <c r="AHC43" s="10"/>
      <c r="AHD43" s="10"/>
      <c r="AHE43" s="10"/>
      <c r="AHF43" s="10"/>
      <c r="AHG43" s="10"/>
      <c r="AHH43" s="10"/>
      <c r="AHI43" s="10"/>
      <c r="AHJ43" s="10"/>
      <c r="AHK43" s="10"/>
      <c r="AHL43" s="10"/>
      <c r="AHM43" s="10"/>
      <c r="AHN43" s="10"/>
      <c r="AHO43" s="10"/>
      <c r="AHP43" s="10"/>
      <c r="AHQ43" s="10"/>
      <c r="AHR43" s="10"/>
      <c r="AHS43" s="10"/>
      <c r="AHT43" s="10"/>
      <c r="AHU43" s="10"/>
      <c r="AHV43" s="10"/>
      <c r="AHW43" s="10"/>
      <c r="AHX43" s="10"/>
      <c r="AHY43" s="10"/>
      <c r="AHZ43" s="10"/>
      <c r="AIA43" s="10"/>
      <c r="AIB43" s="10"/>
      <c r="AIC43" s="10"/>
      <c r="AID43" s="10"/>
      <c r="AIE43" s="10"/>
      <c r="AIF43" s="10"/>
      <c r="AIG43" s="10"/>
      <c r="AIH43" s="10"/>
      <c r="AII43" s="10"/>
      <c r="AIJ43" s="10"/>
      <c r="AIK43" s="10"/>
      <c r="AIL43" s="10"/>
      <c r="AIM43" s="10"/>
      <c r="AIN43" s="10"/>
      <c r="AIO43" s="10"/>
      <c r="AIP43" s="10"/>
      <c r="AIQ43" s="10"/>
      <c r="AIR43" s="10"/>
      <c r="AIS43" s="10"/>
      <c r="AIT43" s="10"/>
      <c r="AIU43" s="10"/>
      <c r="AIV43" s="10"/>
      <c r="AIW43" s="10"/>
      <c r="AIX43" s="10"/>
      <c r="AIY43" s="10"/>
      <c r="AIZ43" s="10"/>
      <c r="AJA43" s="10"/>
      <c r="AJB43" s="10"/>
      <c r="AJC43" s="10"/>
      <c r="AJD43" s="10"/>
      <c r="AJE43" s="10"/>
      <c r="AJF43" s="10"/>
      <c r="AJG43" s="10"/>
      <c r="AJH43" s="10"/>
      <c r="AJI43" s="10"/>
      <c r="AJJ43" s="10"/>
      <c r="AJK43" s="10"/>
      <c r="AJL43" s="10"/>
      <c r="AJM43" s="10"/>
      <c r="AJN43" s="10"/>
      <c r="AJO43" s="10"/>
      <c r="AJP43" s="10"/>
      <c r="AJQ43" s="10"/>
      <c r="AJR43" s="10"/>
      <c r="AJS43" s="10"/>
      <c r="AJT43" s="10"/>
      <c r="AJU43" s="10"/>
      <c r="AJV43" s="10"/>
      <c r="AJW43" s="10"/>
      <c r="AJX43" s="10"/>
      <c r="AJY43" s="10"/>
      <c r="AJZ43" s="10"/>
      <c r="AKA43" s="10"/>
      <c r="AKB43" s="10"/>
      <c r="AKC43" s="10"/>
      <c r="AKD43" s="10"/>
      <c r="AKE43" s="10"/>
      <c r="AKF43" s="10"/>
      <c r="AKG43" s="10"/>
      <c r="AKH43" s="10"/>
      <c r="AKI43" s="10"/>
      <c r="AKJ43" s="10"/>
      <c r="AKK43" s="10"/>
      <c r="AKL43" s="10"/>
      <c r="AKM43" s="10"/>
      <c r="AKN43" s="10"/>
      <c r="AKO43" s="10"/>
      <c r="AKP43" s="10"/>
      <c r="AKQ43" s="10"/>
      <c r="AKR43" s="10"/>
      <c r="AKS43" s="10"/>
      <c r="AKT43" s="10"/>
      <c r="AKU43" s="10"/>
      <c r="AKV43" s="10"/>
      <c r="AKW43" s="10"/>
      <c r="AKX43" s="10"/>
      <c r="AKY43" s="10"/>
      <c r="AKZ43" s="10"/>
      <c r="ALA43" s="10"/>
      <c r="ALB43" s="10"/>
      <c r="ALC43" s="10"/>
      <c r="ALD43" s="10"/>
      <c r="ALE43" s="10"/>
      <c r="ALF43" s="10"/>
      <c r="ALG43" s="10"/>
      <c r="ALH43" s="10"/>
      <c r="ALI43" s="10"/>
      <c r="ALJ43" s="10"/>
      <c r="ALK43" s="10"/>
      <c r="ALL43" s="10"/>
      <c r="ALM43" s="10"/>
      <c r="ALN43" s="10"/>
      <c r="ALO43" s="10"/>
      <c r="ALP43" s="10"/>
      <c r="ALQ43" s="10"/>
      <c r="ALR43" s="10"/>
      <c r="ALS43" s="10"/>
      <c r="ALT43" s="10"/>
      <c r="ALU43" s="10"/>
      <c r="ALV43" s="10"/>
      <c r="ALW43" s="10"/>
      <c r="ALX43" s="10"/>
      <c r="ALY43" s="10"/>
      <c r="ALZ43" s="10"/>
      <c r="AMA43" s="10"/>
      <c r="AMB43" s="10"/>
      <c r="AMC43" s="10"/>
      <c r="AMD43" s="10"/>
      <c r="AME43" s="10"/>
      <c r="AMF43" s="10"/>
      <c r="AMG43" s="10"/>
      <c r="AMH43" s="10"/>
      <c r="AMI43" s="10"/>
      <c r="AMJ43" s="10"/>
      <c r="AMK43" s="10"/>
      <c r="AML43" s="10"/>
      <c r="AMM43" s="10"/>
      <c r="AMN43" s="10"/>
      <c r="AMO43" s="10"/>
      <c r="AMP43" s="10"/>
      <c r="AMQ43" s="10"/>
      <c r="AMR43" s="10"/>
      <c r="AMS43" s="10"/>
      <c r="AMT43" s="10"/>
      <c r="AMU43" s="10"/>
      <c r="AMV43" s="10"/>
      <c r="AMW43" s="10"/>
      <c r="AMX43" s="10"/>
      <c r="AMY43" s="10"/>
      <c r="AMZ43" s="10"/>
      <c r="ANA43" s="10"/>
      <c r="ANB43" s="10"/>
      <c r="ANC43" s="10"/>
      <c r="AND43" s="10"/>
      <c r="ANE43" s="10"/>
      <c r="ANF43" s="10"/>
      <c r="ANG43" s="10"/>
      <c r="ANH43" s="10"/>
      <c r="ANI43" s="10"/>
      <c r="ANJ43" s="10"/>
      <c r="ANK43" s="10"/>
      <c r="ANL43" s="10"/>
      <c r="ANM43" s="10"/>
      <c r="ANN43" s="10"/>
      <c r="ANO43" s="10"/>
      <c r="ANP43" s="10"/>
      <c r="ANQ43" s="10"/>
      <c r="ANR43" s="10"/>
      <c r="ANS43" s="10"/>
      <c r="ANT43" s="10"/>
      <c r="ANU43" s="10"/>
      <c r="ANV43" s="10"/>
      <c r="ANW43" s="10"/>
      <c r="ANX43" s="10"/>
      <c r="ANY43" s="10"/>
      <c r="ANZ43" s="10"/>
      <c r="AOA43" s="10"/>
      <c r="AOB43" s="10"/>
      <c r="AOC43" s="10"/>
      <c r="AOD43" s="10"/>
      <c r="AOE43" s="10"/>
      <c r="AOF43" s="10"/>
      <c r="AOG43" s="10"/>
      <c r="AOH43" s="10"/>
      <c r="AOI43" s="10"/>
      <c r="AOJ43" s="10"/>
      <c r="AOK43" s="10"/>
      <c r="AOL43" s="10"/>
      <c r="AOM43" s="10"/>
      <c r="AON43" s="10"/>
      <c r="AOO43" s="10"/>
      <c r="AOP43" s="10"/>
      <c r="AOQ43" s="10"/>
      <c r="AOR43" s="10"/>
      <c r="AOS43" s="10"/>
      <c r="AOT43" s="10"/>
      <c r="AOU43" s="10"/>
      <c r="AOV43" s="10"/>
      <c r="AOW43" s="10"/>
      <c r="AOX43" s="10"/>
      <c r="AOY43" s="10"/>
      <c r="AOZ43" s="10"/>
      <c r="APA43" s="10"/>
      <c r="APB43" s="10"/>
      <c r="APC43" s="10"/>
      <c r="APD43" s="10"/>
      <c r="APE43" s="10"/>
      <c r="APF43" s="10"/>
      <c r="APG43" s="10"/>
      <c r="APH43" s="10"/>
      <c r="API43" s="10"/>
      <c r="APJ43" s="10"/>
      <c r="APK43" s="10"/>
      <c r="APL43" s="10"/>
      <c r="APM43" s="10"/>
      <c r="APN43" s="10"/>
      <c r="APO43" s="10"/>
      <c r="APP43" s="10"/>
      <c r="APQ43" s="10"/>
      <c r="APR43" s="10"/>
      <c r="APS43" s="10"/>
      <c r="APT43" s="10"/>
      <c r="APU43" s="10"/>
      <c r="APV43" s="10"/>
      <c r="APW43" s="10"/>
      <c r="APX43" s="10"/>
      <c r="APY43" s="10"/>
      <c r="APZ43" s="10"/>
      <c r="AQA43" s="10"/>
      <c r="AQB43" s="10"/>
      <c r="AQC43" s="10"/>
      <c r="AQD43" s="10"/>
      <c r="AQE43" s="10"/>
      <c r="AQF43" s="10"/>
      <c r="AQG43" s="10"/>
      <c r="AQH43" s="10"/>
      <c r="AQI43" s="10"/>
      <c r="AQJ43" s="10"/>
      <c r="AQK43" s="10"/>
      <c r="AQL43" s="10"/>
      <c r="AQM43" s="10"/>
      <c r="AQN43" s="10"/>
      <c r="AQO43" s="10"/>
      <c r="AQP43" s="10"/>
      <c r="AQQ43" s="10"/>
      <c r="AQR43" s="10"/>
      <c r="AQS43" s="10"/>
      <c r="AQT43" s="10"/>
      <c r="AQU43" s="10"/>
      <c r="AQV43" s="10"/>
      <c r="AQW43" s="10"/>
      <c r="AQX43" s="10"/>
      <c r="AQY43" s="10"/>
      <c r="AQZ43" s="10"/>
      <c r="ARA43" s="10"/>
      <c r="ARB43" s="10"/>
      <c r="ARC43" s="10"/>
      <c r="ARD43" s="10"/>
      <c r="ARE43" s="10"/>
      <c r="ARF43" s="10"/>
      <c r="ARG43" s="10"/>
      <c r="ARH43" s="10"/>
      <c r="ARI43" s="10"/>
      <c r="ARJ43" s="10"/>
      <c r="ARK43" s="10"/>
      <c r="ARL43" s="10"/>
      <c r="ARM43" s="10"/>
      <c r="ARN43" s="10"/>
      <c r="ARO43" s="10"/>
      <c r="ARP43" s="10"/>
      <c r="ARQ43" s="10"/>
      <c r="ARR43" s="10"/>
      <c r="ARS43" s="10"/>
      <c r="ART43" s="10"/>
      <c r="ARU43" s="10"/>
      <c r="ARV43" s="10"/>
      <c r="ARW43" s="10"/>
      <c r="ARX43" s="10"/>
      <c r="ARY43" s="10"/>
      <c r="ARZ43" s="10"/>
      <c r="ASA43" s="10"/>
      <c r="ASB43" s="10"/>
      <c r="ASC43" s="10"/>
      <c r="ASD43" s="10"/>
      <c r="ASE43" s="10"/>
      <c r="ASF43" s="10"/>
      <c r="ASG43" s="10"/>
      <c r="ASH43" s="10"/>
      <c r="ASI43" s="10"/>
      <c r="ASJ43" s="10"/>
      <c r="ASK43" s="10"/>
      <c r="ASL43" s="10"/>
      <c r="ASM43" s="10"/>
      <c r="ASN43" s="10"/>
      <c r="ASO43" s="10"/>
      <c r="ASP43" s="10"/>
      <c r="ASQ43" s="10"/>
      <c r="ASR43" s="10"/>
      <c r="ASS43" s="10"/>
      <c r="AST43" s="10"/>
      <c r="ASU43" s="10"/>
      <c r="ASV43" s="10"/>
      <c r="ASW43" s="10"/>
      <c r="ASX43" s="10"/>
      <c r="ASY43" s="10"/>
      <c r="ASZ43" s="10"/>
      <c r="ATA43" s="10"/>
      <c r="ATB43" s="10"/>
      <c r="ATC43" s="10"/>
      <c r="ATD43" s="10"/>
      <c r="ATE43" s="10"/>
      <c r="ATF43" s="10"/>
      <c r="ATG43" s="10"/>
      <c r="ATH43" s="10"/>
      <c r="ATI43" s="10"/>
      <c r="ATJ43" s="10"/>
      <c r="ATK43" s="10"/>
      <c r="ATL43" s="10"/>
      <c r="ATM43" s="10"/>
      <c r="ATN43" s="10"/>
      <c r="ATO43" s="10"/>
      <c r="ATP43" s="10"/>
      <c r="ATQ43" s="10"/>
      <c r="ATR43" s="10"/>
      <c r="ATS43" s="10"/>
      <c r="ATT43" s="10"/>
      <c r="ATU43" s="10"/>
      <c r="ATV43" s="10"/>
      <c r="ATW43" s="10"/>
      <c r="ATX43" s="10"/>
      <c r="ATY43" s="10"/>
      <c r="ATZ43" s="10"/>
      <c r="AUA43" s="10"/>
      <c r="AUB43" s="10"/>
      <c r="AUC43" s="10"/>
      <c r="AUD43" s="10"/>
      <c r="AUE43" s="10"/>
      <c r="AUF43" s="10"/>
      <c r="AUG43" s="10"/>
      <c r="AUH43" s="10"/>
      <c r="AUI43" s="10"/>
      <c r="AUJ43" s="10"/>
      <c r="AUK43" s="10"/>
      <c r="AUL43" s="10"/>
      <c r="AUM43" s="10"/>
      <c r="AUN43" s="10"/>
      <c r="AUO43" s="10"/>
      <c r="AUP43" s="10"/>
      <c r="AUQ43" s="10"/>
      <c r="AUR43" s="10"/>
      <c r="AUS43" s="10"/>
      <c r="AUT43" s="10"/>
      <c r="AUU43" s="10"/>
      <c r="AUV43" s="10"/>
      <c r="AUW43" s="10"/>
      <c r="AUX43" s="10"/>
      <c r="AUY43" s="10"/>
      <c r="AUZ43" s="10"/>
      <c r="AVA43" s="10"/>
      <c r="AVB43" s="10"/>
      <c r="AVC43" s="10"/>
      <c r="AVD43" s="10"/>
      <c r="AVE43" s="10"/>
      <c r="AVF43" s="10"/>
      <c r="AVG43" s="10"/>
      <c r="AVH43" s="10"/>
      <c r="AVI43" s="10"/>
      <c r="AVJ43" s="10"/>
      <c r="AVK43" s="10"/>
      <c r="AVL43" s="10"/>
      <c r="AVM43" s="10"/>
      <c r="AVN43" s="10"/>
      <c r="AVO43" s="10"/>
      <c r="AVP43" s="10"/>
      <c r="AVQ43" s="10"/>
      <c r="AVR43" s="10"/>
      <c r="AVS43" s="10"/>
      <c r="AVT43" s="10"/>
      <c r="AVU43" s="10"/>
      <c r="AVV43" s="10"/>
      <c r="AVW43" s="10"/>
      <c r="AVX43" s="10"/>
      <c r="AVY43" s="10"/>
      <c r="AVZ43" s="10"/>
      <c r="AWA43" s="10"/>
      <c r="AWB43" s="10"/>
      <c r="AWC43" s="10"/>
      <c r="AWD43" s="10"/>
      <c r="AWE43" s="10"/>
      <c r="AWF43" s="10"/>
      <c r="AWG43" s="10"/>
      <c r="AWH43" s="10"/>
      <c r="AWI43" s="10"/>
      <c r="AWJ43" s="10"/>
      <c r="AWK43" s="10"/>
      <c r="AWL43" s="10"/>
      <c r="AWM43" s="10"/>
      <c r="AWN43" s="10"/>
      <c r="AWO43" s="10"/>
      <c r="AWP43" s="10"/>
      <c r="AWQ43" s="10"/>
      <c r="AWR43" s="10"/>
      <c r="AWS43" s="10"/>
      <c r="AWT43" s="10"/>
      <c r="AWU43" s="10"/>
      <c r="AWV43" s="10"/>
      <c r="AWW43" s="10"/>
      <c r="AWX43" s="10"/>
      <c r="AWY43" s="10"/>
      <c r="AWZ43" s="10"/>
      <c r="AXA43" s="10"/>
      <c r="AXB43" s="10"/>
      <c r="AXC43" s="10"/>
      <c r="AXD43" s="10"/>
      <c r="AXE43" s="10"/>
      <c r="AXF43" s="10"/>
      <c r="AXG43" s="10"/>
      <c r="AXH43" s="10"/>
      <c r="AXI43" s="10"/>
      <c r="AXJ43" s="10"/>
      <c r="AXK43" s="10"/>
      <c r="AXL43" s="10"/>
      <c r="AXM43" s="10"/>
      <c r="AXN43" s="10"/>
      <c r="AXO43" s="10"/>
      <c r="AXP43" s="10"/>
      <c r="AXQ43" s="10"/>
      <c r="AXR43" s="10"/>
      <c r="AXS43" s="10"/>
      <c r="AXT43" s="10"/>
      <c r="AXU43" s="10"/>
      <c r="AXV43" s="10"/>
      <c r="AXW43" s="10"/>
      <c r="AXX43" s="10"/>
      <c r="AXY43" s="10"/>
      <c r="AXZ43" s="10"/>
      <c r="AYA43" s="10"/>
      <c r="AYB43" s="10"/>
      <c r="AYC43" s="10"/>
      <c r="AYD43" s="10"/>
      <c r="AYE43" s="10"/>
      <c r="AYF43" s="10"/>
      <c r="AYG43" s="10"/>
      <c r="AYH43" s="10"/>
      <c r="AYI43" s="10"/>
      <c r="AYJ43" s="10"/>
      <c r="AYK43" s="10"/>
      <c r="AYL43" s="10"/>
      <c r="AYM43" s="10"/>
      <c r="AYN43" s="10"/>
      <c r="AYO43" s="10"/>
      <c r="AYP43" s="10"/>
      <c r="AYQ43" s="10"/>
      <c r="AYR43" s="10"/>
      <c r="AYS43" s="10"/>
      <c r="AYT43" s="10"/>
      <c r="AYU43" s="10"/>
      <c r="AYV43" s="10"/>
      <c r="AYW43" s="10"/>
      <c r="AYX43" s="10"/>
      <c r="AYY43" s="10"/>
      <c r="AYZ43" s="10"/>
      <c r="AZA43" s="10"/>
      <c r="AZB43" s="10"/>
      <c r="AZC43" s="10"/>
      <c r="AZD43" s="10"/>
      <c r="AZE43" s="10"/>
      <c r="AZF43" s="10"/>
      <c r="AZG43" s="10"/>
      <c r="AZH43" s="10"/>
      <c r="AZI43" s="10"/>
      <c r="AZJ43" s="10"/>
      <c r="AZK43" s="10"/>
      <c r="AZL43" s="10"/>
      <c r="AZM43" s="10"/>
      <c r="AZN43" s="10"/>
      <c r="AZO43" s="10"/>
      <c r="AZP43" s="10"/>
      <c r="AZQ43" s="10"/>
      <c r="AZR43" s="10"/>
      <c r="AZS43" s="10"/>
      <c r="AZT43" s="10"/>
      <c r="AZU43" s="10"/>
      <c r="AZV43" s="10"/>
      <c r="AZW43" s="10"/>
      <c r="AZX43" s="10"/>
      <c r="AZY43" s="10"/>
      <c r="AZZ43" s="10"/>
      <c r="BAA43" s="10"/>
      <c r="BAB43" s="10"/>
      <c r="BAC43" s="10"/>
      <c r="BAD43" s="10"/>
      <c r="BAE43" s="10"/>
      <c r="BAF43" s="10"/>
      <c r="BAG43" s="10"/>
      <c r="BAH43" s="10"/>
      <c r="BAI43" s="10"/>
      <c r="BAJ43" s="10"/>
      <c r="BAK43" s="10"/>
      <c r="BAL43" s="10"/>
      <c r="BAM43" s="10"/>
      <c r="BAN43" s="10"/>
      <c r="BAO43" s="10"/>
      <c r="BAP43" s="10"/>
      <c r="BAQ43" s="10"/>
      <c r="BAR43" s="10"/>
      <c r="BAS43" s="10"/>
      <c r="BAT43" s="10"/>
      <c r="BAU43" s="10"/>
      <c r="BAV43" s="10"/>
      <c r="BAW43" s="10"/>
      <c r="BAX43" s="10"/>
      <c r="BAY43" s="10"/>
      <c r="BAZ43" s="10"/>
      <c r="BBA43" s="10"/>
      <c r="BBB43" s="10"/>
      <c r="BBC43" s="10"/>
      <c r="BBD43" s="10"/>
      <c r="BBE43" s="10"/>
      <c r="BBF43" s="10"/>
      <c r="BBG43" s="10"/>
      <c r="BBH43" s="10"/>
      <c r="BBI43" s="10"/>
      <c r="BBJ43" s="10"/>
      <c r="BBK43" s="10"/>
      <c r="BBL43" s="10"/>
      <c r="BBM43" s="10"/>
      <c r="BBN43" s="10"/>
      <c r="BBO43" s="10"/>
      <c r="BBP43" s="10"/>
      <c r="BBQ43" s="10"/>
      <c r="BBR43" s="10"/>
      <c r="BBS43" s="10"/>
      <c r="BBT43" s="10"/>
      <c r="BBU43" s="10"/>
      <c r="BBV43" s="10"/>
      <c r="BBW43" s="10"/>
      <c r="BBX43" s="10"/>
      <c r="BBY43" s="10"/>
      <c r="BBZ43" s="10"/>
      <c r="BCA43" s="10"/>
      <c r="BCB43" s="10"/>
      <c r="BCC43" s="10"/>
      <c r="BCD43" s="10"/>
      <c r="BCE43" s="10"/>
      <c r="BCF43" s="10"/>
      <c r="BCG43" s="10"/>
      <c r="BCH43" s="10"/>
      <c r="BCI43" s="10"/>
      <c r="BCJ43" s="10"/>
      <c r="BCK43" s="10"/>
      <c r="BCL43" s="10"/>
      <c r="BCM43" s="10"/>
      <c r="BCN43" s="10"/>
      <c r="BCO43" s="10"/>
      <c r="BCP43" s="10"/>
      <c r="BCQ43" s="10"/>
      <c r="BCR43" s="10"/>
      <c r="BCS43" s="10"/>
      <c r="BCT43" s="10"/>
      <c r="BCU43" s="10"/>
      <c r="BCV43" s="10"/>
      <c r="BCW43" s="10"/>
      <c r="BCX43" s="10"/>
      <c r="BCY43" s="10"/>
      <c r="BCZ43" s="10"/>
      <c r="BDA43" s="10"/>
      <c r="BDB43" s="10"/>
      <c r="BDC43" s="10"/>
      <c r="BDD43" s="10"/>
      <c r="BDE43" s="10"/>
      <c r="BDF43" s="10"/>
      <c r="BDG43" s="10"/>
      <c r="BDH43" s="10"/>
      <c r="BDI43" s="10"/>
      <c r="BDJ43" s="10"/>
      <c r="BDK43" s="10"/>
      <c r="BDL43" s="10"/>
      <c r="BDM43" s="10"/>
      <c r="BDN43" s="10"/>
      <c r="BDO43" s="10"/>
      <c r="BDP43" s="10"/>
      <c r="BDQ43" s="10"/>
      <c r="BDR43" s="10"/>
      <c r="BDS43" s="10"/>
      <c r="BDT43" s="10"/>
      <c r="BDU43" s="10"/>
      <c r="BDV43" s="10"/>
      <c r="BDW43" s="10"/>
      <c r="BDX43" s="10"/>
      <c r="BDY43" s="10"/>
      <c r="BDZ43" s="10"/>
      <c r="BEA43" s="10"/>
      <c r="BEB43" s="10"/>
      <c r="BEC43" s="10"/>
      <c r="BED43" s="10"/>
      <c r="BEE43" s="10"/>
      <c r="BEF43" s="10"/>
      <c r="BEG43" s="10"/>
      <c r="BEH43" s="10"/>
      <c r="BEI43" s="10"/>
      <c r="BEJ43" s="10"/>
      <c r="BEK43" s="10"/>
      <c r="BEL43" s="10"/>
      <c r="BEM43" s="10"/>
      <c r="BEN43" s="10"/>
      <c r="BEO43" s="10"/>
      <c r="BEP43" s="10"/>
      <c r="BEQ43" s="10"/>
      <c r="BER43" s="10"/>
      <c r="BES43" s="10"/>
      <c r="BET43" s="10"/>
      <c r="BEU43" s="10"/>
      <c r="BEV43" s="10"/>
      <c r="BEW43" s="10"/>
      <c r="BEX43" s="10"/>
      <c r="BEY43" s="10"/>
      <c r="BEZ43" s="10"/>
      <c r="BFA43" s="10"/>
      <c r="BFB43" s="10"/>
      <c r="BFC43" s="10"/>
      <c r="BFD43" s="10"/>
      <c r="BFE43" s="10"/>
      <c r="BFF43" s="10"/>
      <c r="BFG43" s="10"/>
      <c r="BFH43" s="10"/>
      <c r="BFI43" s="10"/>
      <c r="BFJ43" s="10"/>
      <c r="BFK43" s="10"/>
      <c r="BFL43" s="10"/>
      <c r="BFM43" s="10"/>
      <c r="BFN43" s="10"/>
      <c r="BFO43" s="10"/>
      <c r="BFP43" s="10"/>
      <c r="BFQ43" s="10"/>
      <c r="BFR43" s="10"/>
      <c r="BFS43" s="10"/>
      <c r="BFT43" s="10"/>
      <c r="BFU43" s="10"/>
      <c r="BFV43" s="10"/>
      <c r="BFW43" s="10"/>
      <c r="BFX43" s="10"/>
      <c r="BFY43" s="10"/>
      <c r="BFZ43" s="10"/>
      <c r="BGA43" s="10"/>
      <c r="BGB43" s="10"/>
      <c r="BGC43" s="10"/>
      <c r="BGD43" s="10"/>
      <c r="BGE43" s="10"/>
      <c r="BGF43" s="10"/>
      <c r="BGG43" s="10"/>
      <c r="BGH43" s="10"/>
      <c r="BGI43" s="10"/>
      <c r="BGJ43" s="10"/>
      <c r="BGK43" s="10"/>
      <c r="BGL43" s="10"/>
      <c r="BGM43" s="10"/>
      <c r="BGN43" s="10"/>
      <c r="BGO43" s="10"/>
      <c r="BGP43" s="10"/>
      <c r="BGQ43" s="10"/>
      <c r="BGR43" s="10"/>
      <c r="BGS43" s="10"/>
      <c r="BGT43" s="10"/>
      <c r="BGU43" s="10"/>
      <c r="BGV43" s="10"/>
      <c r="BGW43" s="10"/>
      <c r="BGX43" s="10"/>
      <c r="BGY43" s="10"/>
      <c r="BGZ43" s="10"/>
      <c r="BHA43" s="10"/>
      <c r="BHB43" s="10"/>
      <c r="BHC43" s="10"/>
      <c r="BHD43" s="10"/>
      <c r="BHE43" s="10"/>
      <c r="BHF43" s="10"/>
      <c r="BHG43" s="10"/>
      <c r="BHH43" s="10"/>
      <c r="BHI43" s="10"/>
      <c r="BHJ43" s="10"/>
      <c r="BHK43" s="10"/>
      <c r="BHL43" s="10"/>
      <c r="BHM43" s="10"/>
      <c r="BHN43" s="10"/>
      <c r="BHO43" s="10"/>
      <c r="BHP43" s="10"/>
      <c r="BHQ43" s="10"/>
      <c r="BHR43" s="10"/>
      <c r="BHS43" s="10"/>
      <c r="BHT43" s="10"/>
      <c r="BHU43" s="10"/>
      <c r="BHV43" s="10"/>
      <c r="BHW43" s="10"/>
      <c r="BHX43" s="10"/>
      <c r="BHY43" s="10"/>
      <c r="BHZ43" s="10"/>
      <c r="BIA43" s="10"/>
      <c r="BIB43" s="10"/>
      <c r="BIC43" s="10"/>
      <c r="BID43" s="10"/>
      <c r="BIE43" s="10"/>
      <c r="BIF43" s="10"/>
      <c r="BIG43" s="10"/>
      <c r="BIH43" s="10"/>
      <c r="BII43" s="10"/>
      <c r="BIJ43" s="10"/>
      <c r="BIK43" s="10"/>
      <c r="BIL43" s="10"/>
      <c r="BIM43" s="10"/>
      <c r="BIN43" s="10"/>
      <c r="BIO43" s="10"/>
      <c r="BIP43" s="10"/>
      <c r="BIQ43" s="10"/>
      <c r="BIR43" s="10"/>
      <c r="BIS43" s="10"/>
      <c r="BIT43" s="10"/>
      <c r="BIU43" s="10"/>
      <c r="BIV43" s="10"/>
      <c r="BIW43" s="10"/>
      <c r="BIX43" s="10"/>
      <c r="BIY43" s="10"/>
      <c r="BIZ43" s="10"/>
      <c r="BJA43" s="10"/>
      <c r="BJB43" s="10"/>
      <c r="BJC43" s="10"/>
      <c r="BJD43" s="10"/>
      <c r="BJE43" s="10"/>
      <c r="BJF43" s="10"/>
      <c r="BJG43" s="10"/>
      <c r="BJH43" s="10"/>
      <c r="BJI43" s="10"/>
      <c r="BJJ43" s="10"/>
      <c r="BJK43" s="10"/>
      <c r="BJL43" s="10"/>
      <c r="BJM43" s="10"/>
      <c r="BJN43" s="10"/>
      <c r="BJO43" s="10"/>
      <c r="BJP43" s="10"/>
      <c r="BJQ43" s="10"/>
      <c r="BJR43" s="10"/>
      <c r="BJS43" s="10"/>
      <c r="BJT43" s="10"/>
      <c r="BJU43" s="10"/>
      <c r="BJV43" s="10"/>
      <c r="BJW43" s="10"/>
      <c r="BJX43" s="10"/>
      <c r="BJY43" s="10"/>
      <c r="BJZ43" s="10"/>
      <c r="BKA43" s="10"/>
      <c r="BKB43" s="10"/>
      <c r="BKC43" s="10"/>
      <c r="BKD43" s="10"/>
      <c r="BKE43" s="10"/>
      <c r="BKF43" s="10"/>
      <c r="BKG43" s="10"/>
      <c r="BKH43" s="10"/>
      <c r="BKI43" s="10"/>
      <c r="BKJ43" s="10"/>
      <c r="BKK43" s="10"/>
      <c r="BKL43" s="10"/>
      <c r="BKM43" s="10"/>
      <c r="BKN43" s="10"/>
      <c r="BKO43" s="10"/>
      <c r="BKP43" s="10"/>
      <c r="BKQ43" s="10"/>
      <c r="BKR43" s="10"/>
      <c r="BKS43" s="10"/>
      <c r="BKT43" s="10"/>
      <c r="BKU43" s="10"/>
      <c r="BKV43" s="10"/>
      <c r="BKW43" s="10"/>
      <c r="BKX43" s="10"/>
      <c r="BKY43" s="10"/>
      <c r="BKZ43" s="10"/>
      <c r="BLA43" s="10"/>
      <c r="BLB43" s="10"/>
      <c r="BLC43" s="10"/>
      <c r="BLD43" s="10"/>
      <c r="BLE43" s="10"/>
      <c r="BLF43" s="10"/>
      <c r="BLG43" s="10"/>
      <c r="BLH43" s="10"/>
      <c r="BLI43" s="10"/>
      <c r="BLJ43" s="10"/>
      <c r="BLK43" s="10"/>
      <c r="BLL43" s="10"/>
      <c r="BLM43" s="10"/>
      <c r="BLN43" s="10"/>
      <c r="BLO43" s="10"/>
      <c r="BLP43" s="10"/>
      <c r="BLQ43" s="10"/>
      <c r="BLR43" s="10"/>
      <c r="BLS43" s="10"/>
      <c r="BLT43" s="10"/>
      <c r="BLU43" s="10"/>
      <c r="BLV43" s="10"/>
      <c r="BLW43" s="10"/>
      <c r="BLX43" s="10"/>
      <c r="BLY43" s="10"/>
      <c r="BLZ43" s="10"/>
      <c r="BMA43" s="10"/>
      <c r="BMB43" s="10"/>
      <c r="BMC43" s="10"/>
      <c r="BMD43" s="10"/>
      <c r="BME43" s="10"/>
      <c r="BMF43" s="10"/>
      <c r="BMG43" s="10"/>
      <c r="BMH43" s="10"/>
      <c r="BMI43" s="10"/>
      <c r="BMJ43" s="10"/>
      <c r="BMK43" s="10"/>
      <c r="BML43" s="10"/>
      <c r="BMM43" s="10"/>
      <c r="BMN43" s="10"/>
      <c r="BMO43" s="10"/>
      <c r="BMP43" s="10"/>
      <c r="BMQ43" s="10"/>
      <c r="BMR43" s="10"/>
      <c r="BMS43" s="10"/>
      <c r="BMT43" s="10"/>
      <c r="BMU43" s="10"/>
      <c r="BMV43" s="10"/>
      <c r="BMW43" s="10"/>
      <c r="BMX43" s="10"/>
      <c r="BMY43" s="10"/>
      <c r="BMZ43" s="10"/>
      <c r="BNA43" s="10"/>
      <c r="BNB43" s="10"/>
      <c r="BNC43" s="10"/>
      <c r="BND43" s="10"/>
      <c r="BNE43" s="10"/>
      <c r="BNF43" s="10"/>
      <c r="BNG43" s="10"/>
      <c r="BNH43" s="10"/>
      <c r="BNI43" s="10"/>
      <c r="BNJ43" s="10"/>
      <c r="BNK43" s="10"/>
      <c r="BNL43" s="10"/>
      <c r="BNM43" s="10"/>
      <c r="BNN43" s="10"/>
      <c r="BNO43" s="10"/>
      <c r="BNP43" s="10"/>
      <c r="BNQ43" s="10"/>
      <c r="BNR43" s="10"/>
      <c r="BNS43" s="10"/>
      <c r="BNT43" s="10"/>
      <c r="BNU43" s="10"/>
      <c r="BNV43" s="10"/>
      <c r="BNW43" s="10"/>
      <c r="BNX43" s="10"/>
      <c r="BNY43" s="10"/>
      <c r="BNZ43" s="10"/>
      <c r="BOA43" s="10"/>
      <c r="BOB43" s="10"/>
      <c r="BOC43" s="10"/>
      <c r="BOD43" s="10"/>
      <c r="BOE43" s="10"/>
      <c r="BOF43" s="10"/>
      <c r="BOG43" s="10"/>
      <c r="BOH43" s="10"/>
      <c r="BOI43" s="10"/>
      <c r="BOJ43" s="10"/>
      <c r="BOK43" s="10"/>
      <c r="BOL43" s="10"/>
      <c r="BOM43" s="10"/>
      <c r="BON43" s="10"/>
      <c r="BOO43" s="10"/>
      <c r="BOP43" s="10"/>
      <c r="BOQ43" s="10"/>
      <c r="BOR43" s="10"/>
      <c r="BOS43" s="10"/>
      <c r="BOT43" s="10"/>
      <c r="BOU43" s="10"/>
      <c r="BOV43" s="10"/>
      <c r="BOW43" s="10"/>
      <c r="BOX43" s="10"/>
      <c r="BOY43" s="10"/>
      <c r="BOZ43" s="10"/>
      <c r="BPA43" s="10"/>
      <c r="BPB43" s="10"/>
      <c r="BPC43" s="10"/>
      <c r="BPD43" s="10"/>
      <c r="BPE43" s="10"/>
      <c r="BPF43" s="10"/>
      <c r="BPG43" s="10"/>
      <c r="BPH43" s="10"/>
      <c r="BPI43" s="10"/>
      <c r="BPJ43" s="10"/>
      <c r="BPK43" s="10"/>
      <c r="BPL43" s="10"/>
      <c r="BPM43" s="10"/>
      <c r="BPN43" s="10"/>
      <c r="BPO43" s="10"/>
      <c r="BPP43" s="10"/>
      <c r="BPQ43" s="10"/>
      <c r="BPR43" s="10"/>
      <c r="BPS43" s="10"/>
      <c r="BPT43" s="10"/>
      <c r="BPU43" s="10"/>
      <c r="BPV43" s="10"/>
      <c r="BPW43" s="10"/>
      <c r="BPX43" s="10"/>
      <c r="BPY43" s="10"/>
      <c r="BPZ43" s="10"/>
      <c r="BQA43" s="10"/>
      <c r="BQB43" s="10"/>
      <c r="BQC43" s="10"/>
      <c r="BQD43" s="10"/>
      <c r="BQE43" s="10"/>
      <c r="BQF43" s="10"/>
      <c r="BQG43" s="10"/>
      <c r="BQH43" s="10"/>
      <c r="BQI43" s="10"/>
      <c r="BQJ43" s="10"/>
      <c r="BQK43" s="10"/>
      <c r="BQL43" s="10"/>
      <c r="BQM43" s="10"/>
      <c r="BQN43" s="10"/>
      <c r="BQO43" s="10"/>
      <c r="BQP43" s="10"/>
      <c r="BQQ43" s="10"/>
      <c r="BQR43" s="10"/>
      <c r="BQS43" s="10"/>
      <c r="BQT43" s="10"/>
      <c r="BQU43" s="10"/>
      <c r="BQV43" s="10"/>
      <c r="BQW43" s="10"/>
      <c r="BQX43" s="10"/>
      <c r="BQY43" s="10"/>
      <c r="BQZ43" s="10"/>
      <c r="BRA43" s="10"/>
      <c r="BRB43" s="10"/>
      <c r="BRC43" s="10"/>
      <c r="BRD43" s="10"/>
      <c r="BRE43" s="10"/>
      <c r="BRF43" s="10"/>
      <c r="BRG43" s="10"/>
      <c r="BRH43" s="10"/>
      <c r="BRI43" s="10"/>
      <c r="BRJ43" s="10"/>
      <c r="BRK43" s="10"/>
      <c r="BRL43" s="10"/>
      <c r="BRM43" s="10"/>
      <c r="BRN43" s="10"/>
      <c r="BRO43" s="10"/>
      <c r="BRP43" s="10"/>
      <c r="BRQ43" s="10"/>
      <c r="BRR43" s="10"/>
      <c r="BRS43" s="10"/>
      <c r="BRT43" s="10"/>
      <c r="BRU43" s="10"/>
      <c r="BRV43" s="10"/>
      <c r="BRW43" s="10"/>
      <c r="BRX43" s="10"/>
      <c r="BRY43" s="10"/>
      <c r="BRZ43" s="10"/>
      <c r="BSA43" s="10"/>
      <c r="BSB43" s="10"/>
      <c r="BSC43" s="10"/>
      <c r="BSD43" s="10"/>
      <c r="BSE43" s="10"/>
      <c r="BSF43" s="10"/>
      <c r="BSG43" s="10"/>
      <c r="BSH43" s="10"/>
      <c r="BSI43" s="10"/>
      <c r="BSJ43" s="10"/>
      <c r="BSK43" s="10"/>
      <c r="BSL43" s="10"/>
      <c r="BSM43" s="10"/>
      <c r="BSN43" s="10"/>
      <c r="BSO43" s="10"/>
      <c r="BSP43" s="10"/>
      <c r="BSQ43" s="10"/>
      <c r="BSR43" s="10"/>
      <c r="BSS43" s="10"/>
      <c r="BST43" s="10"/>
      <c r="BSU43" s="10"/>
      <c r="BSV43" s="10"/>
      <c r="BSW43" s="10"/>
      <c r="BSX43" s="10"/>
      <c r="BSY43" s="10"/>
      <c r="BSZ43" s="10"/>
      <c r="BTA43" s="10"/>
      <c r="BTB43" s="10"/>
      <c r="BTC43" s="10"/>
      <c r="BTD43" s="10"/>
      <c r="BTE43" s="10"/>
      <c r="BTF43" s="10"/>
      <c r="BTG43" s="10"/>
      <c r="BTH43" s="10"/>
      <c r="BTI43" s="10"/>
      <c r="BTJ43" s="10"/>
      <c r="BTK43" s="10"/>
      <c r="BTL43" s="10"/>
      <c r="BTM43" s="10"/>
      <c r="BTN43" s="10"/>
      <c r="BTO43" s="10"/>
      <c r="BTP43" s="10"/>
      <c r="BTQ43" s="10"/>
      <c r="BTR43" s="10"/>
      <c r="BTS43" s="10"/>
      <c r="BTT43" s="10"/>
      <c r="BTU43" s="10"/>
      <c r="BTV43" s="10"/>
      <c r="BTW43" s="10"/>
      <c r="BTX43" s="10"/>
      <c r="BTY43" s="10"/>
      <c r="BTZ43" s="10"/>
      <c r="BUA43" s="10"/>
      <c r="BUB43" s="10"/>
      <c r="BUC43" s="10"/>
      <c r="BUD43" s="10"/>
      <c r="BUE43" s="10"/>
      <c r="BUF43" s="10"/>
      <c r="BUG43" s="10"/>
      <c r="BUH43" s="10"/>
      <c r="BUI43" s="10"/>
      <c r="BUJ43" s="10"/>
      <c r="BUK43" s="10"/>
      <c r="BUL43" s="10"/>
      <c r="BUM43" s="10"/>
      <c r="BUN43" s="10"/>
      <c r="BUO43" s="10"/>
      <c r="BUP43" s="10"/>
      <c r="BUQ43" s="10"/>
      <c r="BUR43" s="10"/>
      <c r="BUS43" s="10"/>
      <c r="BUT43" s="10"/>
      <c r="BUU43" s="10"/>
      <c r="BUV43" s="10"/>
      <c r="BUW43" s="10"/>
      <c r="BUX43" s="10"/>
      <c r="BUY43" s="10"/>
      <c r="BUZ43" s="10"/>
      <c r="BVA43" s="10"/>
      <c r="BVB43" s="10"/>
      <c r="BVC43" s="10"/>
      <c r="BVD43" s="10"/>
      <c r="BVE43" s="10"/>
      <c r="BVF43" s="10"/>
      <c r="BVG43" s="10"/>
      <c r="BVH43" s="10"/>
      <c r="BVI43" s="10"/>
      <c r="BVJ43" s="10"/>
      <c r="BVK43" s="10"/>
      <c r="BVL43" s="10"/>
      <c r="BVM43" s="10"/>
      <c r="BVN43" s="10"/>
      <c r="BVO43" s="10"/>
      <c r="BVP43" s="10"/>
      <c r="BVQ43" s="10"/>
      <c r="BVR43" s="10"/>
      <c r="BVS43" s="10"/>
      <c r="BVT43" s="10"/>
      <c r="BVU43" s="10"/>
      <c r="BVV43" s="10"/>
      <c r="BVW43" s="10"/>
      <c r="BVX43" s="10"/>
      <c r="BVY43" s="10"/>
      <c r="BVZ43" s="10"/>
      <c r="BWA43" s="10"/>
      <c r="BWB43" s="10"/>
      <c r="BWC43" s="10"/>
      <c r="BWD43" s="10"/>
      <c r="BWE43" s="10"/>
      <c r="BWF43" s="10"/>
      <c r="BWG43" s="10"/>
      <c r="BWH43" s="10"/>
      <c r="BWI43" s="10"/>
      <c r="BWJ43" s="10"/>
      <c r="BWK43" s="10"/>
      <c r="BWL43" s="10"/>
      <c r="BWM43" s="10"/>
      <c r="BWN43" s="10"/>
      <c r="BWO43" s="10"/>
      <c r="BWP43" s="10"/>
      <c r="BWQ43" s="10"/>
      <c r="BWR43" s="10"/>
      <c r="BWS43" s="10"/>
      <c r="BWT43" s="10"/>
      <c r="BWU43" s="10"/>
      <c r="BWV43" s="10"/>
      <c r="BWW43" s="10"/>
      <c r="BWX43" s="10"/>
      <c r="BWY43" s="10"/>
      <c r="BWZ43" s="10"/>
      <c r="BXA43" s="10"/>
      <c r="BXB43" s="10"/>
      <c r="BXC43" s="10"/>
      <c r="BXD43" s="10"/>
      <c r="BXE43" s="10"/>
      <c r="BXF43" s="10"/>
      <c r="BXG43" s="10"/>
      <c r="BXH43" s="10"/>
      <c r="BXI43" s="10"/>
      <c r="BXJ43" s="10"/>
      <c r="BXK43" s="10"/>
      <c r="BXL43" s="10"/>
      <c r="BXM43" s="10"/>
      <c r="BXN43" s="10"/>
      <c r="BXO43" s="10"/>
      <c r="BXP43" s="10"/>
      <c r="BXQ43" s="10"/>
      <c r="BXR43" s="10"/>
      <c r="BXS43" s="10"/>
      <c r="BXT43" s="10"/>
      <c r="BXU43" s="10"/>
      <c r="BXV43" s="10"/>
      <c r="BXW43" s="10"/>
      <c r="BXX43" s="10"/>
      <c r="BXY43" s="10"/>
      <c r="BXZ43" s="10"/>
      <c r="BYA43" s="10"/>
      <c r="BYB43" s="10"/>
      <c r="BYC43" s="10"/>
      <c r="BYD43" s="10"/>
      <c r="BYE43" s="10"/>
      <c r="BYF43" s="10"/>
      <c r="BYG43" s="10"/>
      <c r="BYH43" s="10"/>
      <c r="BYI43" s="10"/>
      <c r="BYJ43" s="10"/>
      <c r="BYK43" s="10"/>
      <c r="BYL43" s="10"/>
      <c r="BYM43" s="10"/>
      <c r="BYN43" s="10"/>
      <c r="BYO43" s="10"/>
      <c r="BYP43" s="10"/>
      <c r="BYQ43" s="10"/>
      <c r="BYR43" s="10"/>
      <c r="BYS43" s="10"/>
      <c r="BYT43" s="10"/>
      <c r="BYU43" s="10"/>
      <c r="BYV43" s="10"/>
      <c r="BYW43" s="10"/>
      <c r="BYX43" s="10"/>
      <c r="BYY43" s="10"/>
      <c r="BYZ43" s="10"/>
      <c r="BZA43" s="10"/>
      <c r="BZB43" s="10"/>
      <c r="BZC43" s="10"/>
      <c r="BZD43" s="10"/>
      <c r="BZE43" s="10"/>
      <c r="BZF43" s="10"/>
      <c r="BZG43" s="10"/>
      <c r="BZH43" s="10"/>
      <c r="BZI43" s="10"/>
      <c r="BZJ43" s="10"/>
      <c r="BZK43" s="10"/>
      <c r="BZL43" s="10"/>
      <c r="BZM43" s="10"/>
      <c r="BZN43" s="10"/>
      <c r="BZO43" s="10"/>
      <c r="BZP43" s="10"/>
      <c r="BZQ43" s="10"/>
      <c r="BZR43" s="10"/>
      <c r="BZS43" s="10"/>
      <c r="BZT43" s="10"/>
      <c r="BZU43" s="10"/>
      <c r="BZV43" s="10"/>
      <c r="BZW43" s="10"/>
      <c r="BZX43" s="10"/>
      <c r="BZY43" s="10"/>
      <c r="BZZ43" s="10"/>
      <c r="CAA43" s="10"/>
      <c r="CAB43" s="10"/>
      <c r="CAC43" s="10"/>
      <c r="CAD43" s="10"/>
      <c r="CAE43" s="10"/>
      <c r="CAF43" s="10"/>
      <c r="CAG43" s="10"/>
      <c r="CAH43" s="10"/>
      <c r="CAI43" s="10"/>
      <c r="CAJ43" s="10"/>
      <c r="CAK43" s="10"/>
      <c r="CAL43" s="10"/>
      <c r="CAM43" s="10"/>
      <c r="CAN43" s="10"/>
      <c r="CAO43" s="10"/>
      <c r="CAP43" s="10"/>
      <c r="CAQ43" s="10"/>
      <c r="CAR43" s="10"/>
      <c r="CAS43" s="10"/>
      <c r="CAT43" s="10"/>
      <c r="CAU43" s="10"/>
      <c r="CAV43" s="10"/>
      <c r="CAW43" s="10"/>
      <c r="CAX43" s="10"/>
      <c r="CAY43" s="10"/>
      <c r="CAZ43" s="10"/>
      <c r="CBA43" s="10"/>
      <c r="CBB43" s="10"/>
      <c r="CBC43" s="10"/>
      <c r="CBD43" s="10"/>
      <c r="CBE43" s="10"/>
      <c r="CBF43" s="10"/>
      <c r="CBG43" s="10"/>
      <c r="CBH43" s="10"/>
      <c r="CBI43" s="10"/>
      <c r="CBJ43" s="10"/>
      <c r="CBK43" s="10"/>
      <c r="CBL43" s="10"/>
      <c r="CBM43" s="10"/>
      <c r="CBN43" s="10"/>
      <c r="CBO43" s="10"/>
      <c r="CBP43" s="10"/>
      <c r="CBQ43" s="10"/>
      <c r="CBR43" s="10"/>
      <c r="CBS43" s="10"/>
      <c r="CBT43" s="10"/>
      <c r="CBU43" s="10"/>
      <c r="CBV43" s="10"/>
      <c r="CBW43" s="10"/>
      <c r="CBX43" s="10"/>
      <c r="CBY43" s="10"/>
      <c r="CBZ43" s="10"/>
      <c r="CCA43" s="10"/>
      <c r="CCB43" s="10"/>
      <c r="CCC43" s="10"/>
      <c r="CCD43" s="10"/>
      <c r="CCE43" s="10"/>
      <c r="CCF43" s="10"/>
      <c r="CCG43" s="10"/>
      <c r="CCH43" s="10"/>
      <c r="CCI43" s="10"/>
      <c r="CCJ43" s="10"/>
      <c r="CCK43" s="10"/>
      <c r="CCL43" s="10"/>
      <c r="CCM43" s="10"/>
      <c r="CCN43" s="10"/>
      <c r="CCO43" s="10"/>
      <c r="CCP43" s="10"/>
      <c r="CCQ43" s="10"/>
      <c r="CCR43" s="10"/>
      <c r="CCS43" s="10"/>
      <c r="CCT43" s="10"/>
      <c r="CCU43" s="10"/>
      <c r="CCV43" s="10"/>
      <c r="CCW43" s="10"/>
      <c r="CCX43" s="10"/>
      <c r="CCY43" s="10"/>
      <c r="CCZ43" s="10"/>
      <c r="CDA43" s="10"/>
      <c r="CDB43" s="10"/>
      <c r="CDC43" s="10"/>
      <c r="CDD43" s="10"/>
      <c r="CDE43" s="10"/>
      <c r="CDF43" s="10"/>
      <c r="CDG43" s="10"/>
      <c r="CDH43" s="10"/>
      <c r="CDI43" s="10"/>
      <c r="CDJ43" s="10"/>
      <c r="CDK43" s="10"/>
      <c r="CDL43" s="10"/>
      <c r="CDM43" s="10"/>
      <c r="CDN43" s="10"/>
      <c r="CDO43" s="10"/>
      <c r="CDP43" s="10"/>
      <c r="CDQ43" s="10"/>
      <c r="CDR43" s="10"/>
      <c r="CDS43" s="10"/>
      <c r="CDT43" s="10"/>
      <c r="CDU43" s="10"/>
      <c r="CDV43" s="10"/>
      <c r="CDW43" s="10"/>
      <c r="CDX43" s="10"/>
      <c r="CDY43" s="10"/>
      <c r="CDZ43" s="10"/>
      <c r="CEA43" s="10"/>
      <c r="CEB43" s="10"/>
      <c r="CEC43" s="10"/>
      <c r="CED43" s="10"/>
      <c r="CEE43" s="10"/>
      <c r="CEF43" s="10"/>
      <c r="CEG43" s="10"/>
      <c r="CEH43" s="10"/>
      <c r="CEI43" s="10"/>
      <c r="CEJ43" s="10"/>
      <c r="CEK43" s="10"/>
      <c r="CEL43" s="10"/>
      <c r="CEM43" s="10"/>
      <c r="CEN43" s="10"/>
      <c r="CEO43" s="10"/>
      <c r="CEP43" s="10"/>
      <c r="CEQ43" s="10"/>
      <c r="CER43" s="10"/>
      <c r="CES43" s="10"/>
      <c r="CET43" s="10"/>
      <c r="CEU43" s="10"/>
      <c r="CEV43" s="10"/>
      <c r="CEW43" s="10"/>
      <c r="CEX43" s="10"/>
      <c r="CEY43" s="10"/>
      <c r="CEZ43" s="10"/>
      <c r="CFA43" s="10"/>
      <c r="CFB43" s="10"/>
      <c r="CFC43" s="10"/>
      <c r="CFD43" s="10"/>
      <c r="CFE43" s="10"/>
      <c r="CFF43" s="10"/>
      <c r="CFG43" s="10"/>
      <c r="CFH43" s="10"/>
      <c r="CFI43" s="10"/>
      <c r="CFJ43" s="10"/>
      <c r="CFK43" s="10"/>
      <c r="CFL43" s="10"/>
      <c r="CFM43" s="10"/>
      <c r="CFN43" s="10"/>
      <c r="CFO43" s="10"/>
      <c r="CFP43" s="10"/>
      <c r="CFQ43" s="10"/>
      <c r="CFR43" s="10"/>
      <c r="CFS43" s="10"/>
      <c r="CFT43" s="10"/>
      <c r="CFU43" s="10"/>
      <c r="CFV43" s="10"/>
      <c r="CFW43" s="10"/>
      <c r="CFX43" s="10"/>
      <c r="CFY43" s="10"/>
      <c r="CFZ43" s="10"/>
      <c r="CGA43" s="10"/>
      <c r="CGB43" s="10"/>
      <c r="CGC43" s="10"/>
      <c r="CGD43" s="10"/>
      <c r="CGE43" s="10"/>
      <c r="CGF43" s="10"/>
      <c r="CGG43" s="10"/>
      <c r="CGH43" s="10"/>
      <c r="CGI43" s="10"/>
      <c r="CGJ43" s="10"/>
      <c r="CGK43" s="10"/>
      <c r="CGL43" s="10"/>
      <c r="CGM43" s="10"/>
      <c r="CGN43" s="10"/>
      <c r="CGO43" s="10"/>
      <c r="CGP43" s="10"/>
      <c r="CGQ43" s="10"/>
      <c r="CGR43" s="10"/>
      <c r="CGS43" s="10"/>
      <c r="CGT43" s="10"/>
      <c r="CGU43" s="10"/>
      <c r="CGV43" s="10"/>
      <c r="CGW43" s="10"/>
      <c r="CGX43" s="10"/>
      <c r="CGY43" s="10"/>
      <c r="CGZ43" s="10"/>
      <c r="CHA43" s="10"/>
      <c r="CHB43" s="10"/>
      <c r="CHC43" s="10"/>
      <c r="CHD43" s="10"/>
      <c r="CHE43" s="10"/>
      <c r="CHF43" s="10"/>
      <c r="CHG43" s="10"/>
      <c r="CHH43" s="10"/>
      <c r="CHI43" s="10"/>
      <c r="CHJ43" s="10"/>
      <c r="CHK43" s="10"/>
      <c r="CHL43" s="10"/>
      <c r="CHM43" s="10"/>
      <c r="CHN43" s="10"/>
      <c r="CHO43" s="10"/>
      <c r="CHP43" s="10"/>
      <c r="CHQ43" s="10"/>
      <c r="CHR43" s="10"/>
      <c r="CHS43" s="10"/>
      <c r="CHT43" s="10"/>
      <c r="CHU43" s="10"/>
      <c r="CHV43" s="10"/>
      <c r="CHW43" s="10"/>
      <c r="CHX43" s="10"/>
      <c r="CHY43" s="10"/>
      <c r="CHZ43" s="10"/>
      <c r="CIA43" s="10"/>
      <c r="CIB43" s="10"/>
      <c r="CIC43" s="10"/>
      <c r="CID43" s="10"/>
      <c r="CIE43" s="10"/>
      <c r="CIF43" s="10"/>
      <c r="CIG43" s="10"/>
      <c r="CIH43" s="10"/>
      <c r="CII43" s="10"/>
      <c r="CIJ43" s="10"/>
      <c r="CIK43" s="10"/>
      <c r="CIL43" s="10"/>
      <c r="CIM43" s="10"/>
      <c r="CIN43" s="10"/>
      <c r="CIO43" s="10"/>
      <c r="CIP43" s="10"/>
      <c r="CIQ43" s="10"/>
      <c r="CIR43" s="10"/>
      <c r="CIS43" s="10"/>
      <c r="CIT43" s="10"/>
      <c r="CIU43" s="10"/>
      <c r="CIV43" s="10"/>
      <c r="CIW43" s="10"/>
      <c r="CIX43" s="10"/>
      <c r="CIY43" s="10"/>
      <c r="CIZ43" s="10"/>
      <c r="CJA43" s="10"/>
      <c r="CJB43" s="10"/>
      <c r="CJC43" s="10"/>
      <c r="CJD43" s="10"/>
      <c r="CJE43" s="10"/>
      <c r="CJF43" s="10"/>
      <c r="CJG43" s="10"/>
      <c r="CJH43" s="10"/>
      <c r="CJI43" s="10"/>
      <c r="CJJ43" s="10"/>
      <c r="CJK43" s="10"/>
      <c r="CJL43" s="10"/>
      <c r="CJM43" s="10"/>
      <c r="CJN43" s="10"/>
      <c r="CJO43" s="10"/>
      <c r="CJP43" s="10"/>
      <c r="CJQ43" s="10"/>
      <c r="CJR43" s="10"/>
      <c r="CJS43" s="10"/>
      <c r="CJT43" s="10"/>
      <c r="CJU43" s="10"/>
      <c r="CJV43" s="10"/>
      <c r="CJW43" s="10"/>
      <c r="CJX43" s="10"/>
      <c r="CJY43" s="10"/>
      <c r="CJZ43" s="10"/>
      <c r="CKA43" s="10"/>
      <c r="CKB43" s="10"/>
      <c r="CKC43" s="10"/>
      <c r="CKD43" s="10"/>
      <c r="CKE43" s="10"/>
      <c r="CKF43" s="10"/>
      <c r="CKG43" s="10"/>
      <c r="CKH43" s="10"/>
      <c r="CKI43" s="10"/>
      <c r="CKJ43" s="10"/>
      <c r="CKK43" s="10"/>
      <c r="CKL43" s="10"/>
      <c r="CKM43" s="10"/>
      <c r="CKN43" s="10"/>
      <c r="CKO43" s="10"/>
      <c r="CKP43" s="10"/>
      <c r="CKQ43" s="10"/>
      <c r="CKR43" s="10"/>
      <c r="CKS43" s="10"/>
      <c r="CKT43" s="10"/>
      <c r="CKU43" s="10"/>
      <c r="CKV43" s="10"/>
      <c r="CKW43" s="10"/>
      <c r="CKX43" s="10"/>
      <c r="CKY43" s="10"/>
      <c r="CKZ43" s="10"/>
      <c r="CLA43" s="10"/>
      <c r="CLB43" s="10"/>
      <c r="CLC43" s="10"/>
      <c r="CLD43" s="10"/>
      <c r="CLE43" s="10"/>
      <c r="CLF43" s="10"/>
      <c r="CLG43" s="10"/>
      <c r="CLH43" s="10"/>
      <c r="CLI43" s="10"/>
      <c r="CLJ43" s="10"/>
      <c r="CLK43" s="10"/>
      <c r="CLL43" s="10"/>
      <c r="CLM43" s="10"/>
      <c r="CLN43" s="10"/>
      <c r="CLO43" s="10"/>
      <c r="CLP43" s="10"/>
      <c r="CLQ43" s="10"/>
      <c r="CLR43" s="10"/>
      <c r="CLS43" s="10"/>
      <c r="CLT43" s="10"/>
      <c r="CLU43" s="10"/>
      <c r="CLV43" s="10"/>
      <c r="CLW43" s="10"/>
      <c r="CLX43" s="10"/>
      <c r="CLY43" s="10"/>
      <c r="CLZ43" s="10"/>
      <c r="CMA43" s="10"/>
      <c r="CMB43" s="10"/>
      <c r="CMC43" s="10"/>
      <c r="CMD43" s="10"/>
      <c r="CME43" s="10"/>
      <c r="CMF43" s="10"/>
      <c r="CMG43" s="10"/>
      <c r="CMH43" s="10"/>
      <c r="CMI43" s="10"/>
      <c r="CMJ43" s="10"/>
      <c r="CMK43" s="10"/>
      <c r="CML43" s="10"/>
      <c r="CMM43" s="10"/>
      <c r="CMN43" s="10"/>
      <c r="CMO43" s="10"/>
      <c r="CMP43" s="10"/>
      <c r="CMQ43" s="10"/>
      <c r="CMR43" s="10"/>
      <c r="CMS43" s="10"/>
      <c r="CMT43" s="10"/>
      <c r="CMU43" s="10"/>
      <c r="CMV43" s="10"/>
      <c r="CMW43" s="10"/>
      <c r="CMX43" s="10"/>
      <c r="CMY43" s="10"/>
      <c r="CMZ43" s="10"/>
      <c r="CNA43" s="10"/>
      <c r="CNB43" s="10"/>
      <c r="CNC43" s="10"/>
      <c r="CND43" s="10"/>
      <c r="CNE43" s="10"/>
      <c r="CNF43" s="10"/>
      <c r="CNG43" s="10"/>
      <c r="CNH43" s="10"/>
      <c r="CNI43" s="10"/>
      <c r="CNJ43" s="10"/>
      <c r="CNK43" s="10"/>
      <c r="CNL43" s="10"/>
      <c r="CNM43" s="10"/>
      <c r="CNN43" s="10"/>
      <c r="CNO43" s="10"/>
      <c r="CNP43" s="10"/>
      <c r="CNQ43" s="10"/>
      <c r="CNR43" s="10"/>
      <c r="CNS43" s="10"/>
      <c r="CNT43" s="10"/>
      <c r="CNU43" s="10"/>
      <c r="CNV43" s="10"/>
      <c r="CNW43" s="10"/>
      <c r="CNX43" s="10"/>
      <c r="CNY43" s="10"/>
      <c r="CNZ43" s="10"/>
      <c r="COA43" s="10"/>
      <c r="COB43" s="10"/>
      <c r="COC43" s="10"/>
      <c r="COD43" s="10"/>
      <c r="COE43" s="10"/>
      <c r="COF43" s="10"/>
      <c r="COG43" s="10"/>
      <c r="COH43" s="10"/>
      <c r="COI43" s="10"/>
      <c r="COJ43" s="10"/>
      <c r="COK43" s="10"/>
      <c r="COL43" s="10"/>
      <c r="COM43" s="10"/>
      <c r="CON43" s="10"/>
      <c r="COO43" s="10"/>
      <c r="COP43" s="10"/>
      <c r="COQ43" s="10"/>
      <c r="COR43" s="10"/>
      <c r="COS43" s="10"/>
      <c r="COT43" s="10"/>
      <c r="COU43" s="10"/>
      <c r="COV43" s="10"/>
      <c r="COW43" s="10"/>
      <c r="COX43" s="10"/>
      <c r="COY43" s="10"/>
      <c r="COZ43" s="10"/>
      <c r="CPA43" s="10"/>
      <c r="CPB43" s="10"/>
      <c r="CPC43" s="10"/>
      <c r="CPD43" s="10"/>
      <c r="CPE43" s="10"/>
      <c r="CPF43" s="10"/>
      <c r="CPG43" s="10"/>
      <c r="CPH43" s="10"/>
      <c r="CPI43" s="10"/>
      <c r="CPJ43" s="10"/>
      <c r="CPK43" s="10"/>
      <c r="CPL43" s="10"/>
      <c r="CPM43" s="10"/>
      <c r="CPN43" s="10"/>
      <c r="CPO43" s="10"/>
      <c r="CPP43" s="10"/>
      <c r="CPQ43" s="10"/>
      <c r="CPR43" s="10"/>
      <c r="CPS43" s="10"/>
      <c r="CPT43" s="10"/>
      <c r="CPU43" s="10"/>
      <c r="CPV43" s="10"/>
      <c r="CPW43" s="10"/>
      <c r="CPX43" s="10"/>
      <c r="CPY43" s="10"/>
      <c r="CPZ43" s="10"/>
      <c r="CQA43" s="10"/>
      <c r="CQB43" s="10"/>
      <c r="CQC43" s="10"/>
      <c r="CQD43" s="10"/>
      <c r="CQE43" s="10"/>
      <c r="CQF43" s="10"/>
      <c r="CQG43" s="10"/>
      <c r="CQH43" s="10"/>
      <c r="CQI43" s="10"/>
      <c r="CQJ43" s="10"/>
      <c r="CQK43" s="10"/>
      <c r="CQL43" s="10"/>
      <c r="CQM43" s="10"/>
      <c r="CQN43" s="10"/>
      <c r="CQO43" s="10"/>
      <c r="CQP43" s="10"/>
      <c r="CQQ43" s="10"/>
      <c r="CQR43" s="10"/>
      <c r="CQS43" s="10"/>
      <c r="CQT43" s="10"/>
      <c r="CQU43" s="10"/>
      <c r="CQV43" s="10"/>
      <c r="CQW43" s="10"/>
      <c r="CQX43" s="10"/>
      <c r="CQY43" s="10"/>
      <c r="CQZ43" s="10"/>
      <c r="CRA43" s="10"/>
      <c r="CRB43" s="10"/>
      <c r="CRC43" s="10"/>
      <c r="CRD43" s="10"/>
      <c r="CRE43" s="10"/>
      <c r="CRF43" s="10"/>
      <c r="CRG43" s="10"/>
      <c r="CRH43" s="10"/>
      <c r="CRI43" s="10"/>
      <c r="CRJ43" s="10"/>
      <c r="CRK43" s="10"/>
      <c r="CRL43" s="10"/>
      <c r="CRM43" s="10"/>
      <c r="CRN43" s="10"/>
      <c r="CRO43" s="10"/>
      <c r="CRP43" s="10"/>
      <c r="CRQ43" s="10"/>
      <c r="CRR43" s="10"/>
      <c r="CRS43" s="10"/>
      <c r="CRT43" s="10"/>
      <c r="CRU43" s="10"/>
      <c r="CRV43" s="10"/>
      <c r="CRW43" s="10"/>
      <c r="CRX43" s="10"/>
      <c r="CRY43" s="10"/>
      <c r="CRZ43" s="10"/>
      <c r="CSA43" s="10"/>
      <c r="CSB43" s="10"/>
      <c r="CSC43" s="10"/>
      <c r="CSD43" s="10"/>
      <c r="CSE43" s="10"/>
      <c r="CSF43" s="10"/>
      <c r="CSG43" s="10"/>
      <c r="CSH43" s="10"/>
      <c r="CSI43" s="10"/>
      <c r="CSJ43" s="10"/>
      <c r="CSK43" s="10"/>
      <c r="CSL43" s="10"/>
      <c r="CSM43" s="10"/>
      <c r="CSN43" s="10"/>
      <c r="CSO43" s="10"/>
      <c r="CSP43" s="10"/>
      <c r="CSQ43" s="10"/>
      <c r="CSR43" s="10"/>
      <c r="CSS43" s="10"/>
      <c r="CST43" s="10"/>
      <c r="CSU43" s="10"/>
      <c r="CSV43" s="10"/>
      <c r="CSW43" s="10"/>
      <c r="CSX43" s="10"/>
      <c r="CSY43" s="10"/>
      <c r="CSZ43" s="10"/>
      <c r="CTA43" s="10"/>
      <c r="CTB43" s="10"/>
      <c r="CTC43" s="10"/>
      <c r="CTD43" s="10"/>
      <c r="CTE43" s="10"/>
      <c r="CTF43" s="10"/>
      <c r="CTG43" s="10"/>
      <c r="CTH43" s="10"/>
      <c r="CTI43" s="10"/>
      <c r="CTJ43" s="10"/>
      <c r="CTK43" s="10"/>
      <c r="CTL43" s="10"/>
      <c r="CTM43" s="10"/>
      <c r="CTN43" s="10"/>
      <c r="CTO43" s="10"/>
      <c r="CTP43" s="10"/>
      <c r="CTQ43" s="10"/>
      <c r="CTR43" s="10"/>
      <c r="CTS43" s="10"/>
      <c r="CTT43" s="10"/>
      <c r="CTU43" s="10"/>
      <c r="CTV43" s="10"/>
      <c r="CTW43" s="10"/>
      <c r="CTX43" s="10"/>
      <c r="CTY43" s="10"/>
      <c r="CTZ43" s="10"/>
      <c r="CUA43" s="10"/>
      <c r="CUB43" s="10"/>
      <c r="CUC43" s="10"/>
      <c r="CUD43" s="10"/>
      <c r="CUE43" s="10"/>
      <c r="CUF43" s="10"/>
      <c r="CUG43" s="10"/>
      <c r="CUH43" s="10"/>
      <c r="CUI43" s="10"/>
      <c r="CUJ43" s="10"/>
      <c r="CUK43" s="10"/>
      <c r="CUL43" s="10"/>
      <c r="CUM43" s="10"/>
      <c r="CUN43" s="10"/>
      <c r="CUO43" s="10"/>
      <c r="CUP43" s="10"/>
      <c r="CUQ43" s="10"/>
      <c r="CUR43" s="10"/>
      <c r="CUS43" s="10"/>
      <c r="CUT43" s="10"/>
      <c r="CUU43" s="10"/>
      <c r="CUV43" s="10"/>
      <c r="CUW43" s="10"/>
      <c r="CUX43" s="10"/>
      <c r="CUY43" s="10"/>
      <c r="CUZ43" s="10"/>
      <c r="CVA43" s="10"/>
      <c r="CVB43" s="10"/>
      <c r="CVC43" s="10"/>
      <c r="CVD43" s="10"/>
      <c r="CVE43" s="10"/>
      <c r="CVF43" s="10"/>
      <c r="CVG43" s="10"/>
      <c r="CVH43" s="10"/>
      <c r="CVI43" s="10"/>
      <c r="CVJ43" s="10"/>
      <c r="CVK43" s="10"/>
      <c r="CVL43" s="10"/>
      <c r="CVM43" s="10"/>
      <c r="CVN43" s="10"/>
      <c r="CVO43" s="10"/>
      <c r="CVP43" s="10"/>
      <c r="CVQ43" s="10"/>
      <c r="CVR43" s="10"/>
      <c r="CVS43" s="10"/>
      <c r="CVT43" s="10"/>
      <c r="CVU43" s="10"/>
      <c r="CVV43" s="10"/>
      <c r="CVW43" s="10"/>
      <c r="CVX43" s="10"/>
      <c r="CVY43" s="10"/>
      <c r="CVZ43" s="10"/>
      <c r="CWA43" s="10"/>
      <c r="CWB43" s="10"/>
      <c r="CWC43" s="10"/>
      <c r="CWD43" s="10"/>
      <c r="CWE43" s="10"/>
      <c r="CWF43" s="10"/>
      <c r="CWG43" s="10"/>
      <c r="CWH43" s="10"/>
      <c r="CWI43" s="10"/>
      <c r="CWJ43" s="10"/>
      <c r="CWK43" s="10"/>
      <c r="CWL43" s="10"/>
      <c r="CWM43" s="10"/>
      <c r="CWN43" s="10"/>
      <c r="CWO43" s="10"/>
      <c r="CWP43" s="10"/>
      <c r="CWQ43" s="10"/>
      <c r="CWR43" s="10"/>
      <c r="CWS43" s="10"/>
      <c r="CWT43" s="10"/>
      <c r="CWU43" s="10"/>
      <c r="CWV43" s="10"/>
      <c r="CWW43" s="10"/>
      <c r="CWX43" s="10"/>
      <c r="CWY43" s="10"/>
      <c r="CWZ43" s="10"/>
      <c r="CXA43" s="10"/>
      <c r="CXB43" s="10"/>
      <c r="CXC43" s="10"/>
      <c r="CXD43" s="10"/>
      <c r="CXE43" s="10"/>
      <c r="CXF43" s="10"/>
      <c r="CXG43" s="10"/>
      <c r="CXH43" s="10"/>
      <c r="CXI43" s="10"/>
      <c r="CXJ43" s="10"/>
      <c r="CXK43" s="10"/>
      <c r="CXL43" s="10"/>
      <c r="CXM43" s="10"/>
      <c r="CXN43" s="10"/>
      <c r="CXO43" s="10"/>
      <c r="CXP43" s="10"/>
      <c r="CXQ43" s="10"/>
      <c r="CXR43" s="10"/>
      <c r="CXS43" s="10"/>
      <c r="CXT43" s="10"/>
      <c r="CXU43" s="10"/>
      <c r="CXV43" s="10"/>
      <c r="CXW43" s="10"/>
      <c r="CXX43" s="10"/>
      <c r="CXY43" s="10"/>
      <c r="CXZ43" s="10"/>
      <c r="CYA43" s="10"/>
      <c r="CYB43" s="10"/>
      <c r="CYC43" s="10"/>
      <c r="CYD43" s="10"/>
      <c r="CYE43" s="10"/>
      <c r="CYF43" s="10"/>
      <c r="CYG43" s="10"/>
      <c r="CYH43" s="10"/>
      <c r="CYI43" s="10"/>
      <c r="CYJ43" s="10"/>
      <c r="CYK43" s="10"/>
      <c r="CYL43" s="10"/>
      <c r="CYM43" s="10"/>
      <c r="CYN43" s="10"/>
      <c r="CYO43" s="10"/>
      <c r="CYP43" s="10"/>
      <c r="CYQ43" s="10"/>
      <c r="CYR43" s="10"/>
      <c r="CYS43" s="10"/>
      <c r="CYT43" s="10"/>
      <c r="CYU43" s="10"/>
      <c r="CYV43" s="10"/>
      <c r="CYW43" s="10"/>
      <c r="CYX43" s="10"/>
      <c r="CYY43" s="10"/>
      <c r="CYZ43" s="10"/>
      <c r="CZA43" s="10"/>
      <c r="CZB43" s="10"/>
      <c r="CZC43" s="10"/>
      <c r="CZD43" s="10"/>
      <c r="CZE43" s="10"/>
      <c r="CZF43" s="10"/>
      <c r="CZG43" s="10"/>
      <c r="CZH43" s="10"/>
      <c r="CZI43" s="10"/>
      <c r="CZJ43" s="10"/>
      <c r="CZK43" s="10"/>
      <c r="CZL43" s="10"/>
      <c r="CZM43" s="10"/>
      <c r="CZN43" s="10"/>
      <c r="CZO43" s="10"/>
      <c r="CZP43" s="10"/>
      <c r="CZQ43" s="10"/>
      <c r="CZR43" s="10"/>
      <c r="CZS43" s="10"/>
      <c r="CZT43" s="10"/>
      <c r="CZU43" s="10"/>
      <c r="CZV43" s="10"/>
      <c r="CZW43" s="10"/>
      <c r="CZX43" s="10"/>
      <c r="CZY43" s="10"/>
      <c r="CZZ43" s="10"/>
      <c r="DAA43" s="10"/>
      <c r="DAB43" s="10"/>
      <c r="DAC43" s="10"/>
      <c r="DAD43" s="10"/>
      <c r="DAE43" s="10"/>
      <c r="DAF43" s="10"/>
      <c r="DAG43" s="10"/>
      <c r="DAH43" s="10"/>
      <c r="DAI43" s="10"/>
      <c r="DAJ43" s="10"/>
      <c r="DAK43" s="10"/>
      <c r="DAL43" s="10"/>
      <c r="DAM43" s="10"/>
      <c r="DAN43" s="10"/>
      <c r="DAO43" s="10"/>
      <c r="DAP43" s="10"/>
      <c r="DAQ43" s="10"/>
      <c r="DAR43" s="10"/>
      <c r="DAS43" s="10"/>
      <c r="DAT43" s="10"/>
      <c r="DAU43" s="10"/>
      <c r="DAV43" s="10"/>
      <c r="DAW43" s="10"/>
      <c r="DAX43" s="10"/>
      <c r="DAY43" s="10"/>
      <c r="DAZ43" s="10"/>
      <c r="DBA43" s="10"/>
      <c r="DBB43" s="10"/>
      <c r="DBC43" s="10"/>
      <c r="DBD43" s="10"/>
      <c r="DBE43" s="10"/>
      <c r="DBF43" s="10"/>
      <c r="DBG43" s="10"/>
      <c r="DBH43" s="10"/>
      <c r="DBI43" s="10"/>
      <c r="DBJ43" s="10"/>
      <c r="DBK43" s="10"/>
      <c r="DBL43" s="10"/>
      <c r="DBM43" s="10"/>
      <c r="DBN43" s="10"/>
      <c r="DBO43" s="10"/>
      <c r="DBP43" s="10"/>
      <c r="DBQ43" s="10"/>
      <c r="DBR43" s="10"/>
      <c r="DBS43" s="10"/>
      <c r="DBT43" s="10"/>
      <c r="DBU43" s="10"/>
      <c r="DBV43" s="10"/>
      <c r="DBW43" s="10"/>
      <c r="DBX43" s="10"/>
      <c r="DBY43" s="10"/>
      <c r="DBZ43" s="10"/>
      <c r="DCA43" s="10"/>
      <c r="DCB43" s="10"/>
      <c r="DCC43" s="10"/>
      <c r="DCD43" s="10"/>
      <c r="DCE43" s="10"/>
      <c r="DCF43" s="10"/>
      <c r="DCG43" s="10"/>
      <c r="DCH43" s="10"/>
      <c r="DCI43" s="10"/>
      <c r="DCJ43" s="10"/>
      <c r="DCK43" s="10"/>
      <c r="DCL43" s="10"/>
      <c r="DCM43" s="10"/>
      <c r="DCN43" s="10"/>
      <c r="DCO43" s="10"/>
      <c r="DCP43" s="10"/>
      <c r="DCQ43" s="10"/>
      <c r="DCR43" s="10"/>
      <c r="DCS43" s="10"/>
      <c r="DCT43" s="10"/>
      <c r="DCU43" s="10"/>
      <c r="DCV43" s="10"/>
      <c r="DCW43" s="10"/>
      <c r="DCX43" s="10"/>
      <c r="DCY43" s="10"/>
      <c r="DCZ43" s="10"/>
      <c r="DDA43" s="10"/>
      <c r="DDB43" s="10"/>
      <c r="DDC43" s="10"/>
      <c r="DDD43" s="10"/>
      <c r="DDE43" s="10"/>
      <c r="DDF43" s="10"/>
      <c r="DDG43" s="10"/>
      <c r="DDH43" s="10"/>
      <c r="DDI43" s="10"/>
      <c r="DDJ43" s="10"/>
      <c r="DDK43" s="10"/>
      <c r="DDL43" s="10"/>
      <c r="DDM43" s="10"/>
      <c r="DDN43" s="10"/>
      <c r="DDO43" s="10"/>
      <c r="DDP43" s="10"/>
      <c r="DDQ43" s="10"/>
      <c r="DDR43" s="10"/>
      <c r="DDS43" s="10"/>
      <c r="DDT43" s="10"/>
      <c r="DDU43" s="10"/>
      <c r="DDV43" s="10"/>
      <c r="DDW43" s="10"/>
      <c r="DDX43" s="10"/>
      <c r="DDY43" s="10"/>
      <c r="DDZ43" s="10"/>
      <c r="DEA43" s="10"/>
      <c r="DEB43" s="10"/>
      <c r="DEC43" s="10"/>
      <c r="DED43" s="10"/>
      <c r="DEE43" s="10"/>
      <c r="DEF43" s="10"/>
      <c r="DEG43" s="10"/>
      <c r="DEH43" s="10"/>
      <c r="DEI43" s="10"/>
      <c r="DEJ43" s="10"/>
      <c r="DEK43" s="10"/>
      <c r="DEL43" s="10"/>
      <c r="DEM43" s="10"/>
      <c r="DEN43" s="10"/>
      <c r="DEO43" s="10"/>
      <c r="DEP43" s="10"/>
      <c r="DEQ43" s="10"/>
      <c r="DER43" s="10"/>
      <c r="DES43" s="10"/>
      <c r="DET43" s="10"/>
      <c r="DEU43" s="10"/>
      <c r="DEV43" s="10"/>
      <c r="DEW43" s="10"/>
      <c r="DEX43" s="10"/>
      <c r="DEY43" s="10"/>
      <c r="DEZ43" s="10"/>
      <c r="DFA43" s="10"/>
      <c r="DFB43" s="10"/>
      <c r="DFC43" s="10"/>
      <c r="DFD43" s="10"/>
      <c r="DFE43" s="10"/>
      <c r="DFF43" s="10"/>
      <c r="DFG43" s="10"/>
      <c r="DFH43" s="10"/>
      <c r="DFI43" s="10"/>
      <c r="DFJ43" s="10"/>
      <c r="DFK43" s="10"/>
      <c r="DFL43" s="10"/>
      <c r="DFM43" s="10"/>
      <c r="DFN43" s="10"/>
      <c r="DFO43" s="10"/>
      <c r="DFP43" s="10"/>
      <c r="DFQ43" s="10"/>
      <c r="DFR43" s="10"/>
      <c r="DFS43" s="10"/>
      <c r="DFT43" s="10"/>
      <c r="DFU43" s="10"/>
      <c r="DFV43" s="10"/>
      <c r="DFW43" s="10"/>
      <c r="DFX43" s="10"/>
      <c r="DFY43" s="10"/>
      <c r="DFZ43" s="10"/>
      <c r="DGA43" s="10"/>
      <c r="DGB43" s="10"/>
      <c r="DGC43" s="10"/>
      <c r="DGD43" s="10"/>
      <c r="DGE43" s="10"/>
      <c r="DGF43" s="10"/>
      <c r="DGG43" s="10"/>
      <c r="DGH43" s="10"/>
      <c r="DGI43" s="10"/>
      <c r="DGJ43" s="10"/>
      <c r="DGK43" s="10"/>
      <c r="DGL43" s="10"/>
      <c r="DGM43" s="10"/>
      <c r="DGN43" s="10"/>
      <c r="DGO43" s="10"/>
      <c r="DGP43" s="10"/>
      <c r="DGQ43" s="10"/>
      <c r="DGR43" s="10"/>
      <c r="DGS43" s="10"/>
      <c r="DGT43" s="10"/>
      <c r="DGU43" s="10"/>
      <c r="DGV43" s="10"/>
      <c r="DGW43" s="10"/>
      <c r="DGX43" s="10"/>
      <c r="DGY43" s="10"/>
      <c r="DGZ43" s="10"/>
      <c r="DHA43" s="10"/>
      <c r="DHB43" s="10"/>
      <c r="DHC43" s="10"/>
      <c r="DHD43" s="10"/>
      <c r="DHE43" s="10"/>
      <c r="DHF43" s="10"/>
      <c r="DHG43" s="10"/>
      <c r="DHH43" s="10"/>
      <c r="DHI43" s="10"/>
      <c r="DHJ43" s="10"/>
      <c r="DHK43" s="10"/>
      <c r="DHL43" s="10"/>
      <c r="DHM43" s="10"/>
      <c r="DHN43" s="10"/>
      <c r="DHO43" s="10"/>
      <c r="DHP43" s="10"/>
      <c r="DHQ43" s="10"/>
      <c r="DHR43" s="10"/>
      <c r="DHS43" s="10"/>
      <c r="DHT43" s="10"/>
      <c r="DHU43" s="10"/>
      <c r="DHV43" s="10"/>
      <c r="DHW43" s="10"/>
      <c r="DHX43" s="10"/>
      <c r="DHY43" s="10"/>
      <c r="DHZ43" s="10"/>
      <c r="DIA43" s="10"/>
      <c r="DIB43" s="10"/>
      <c r="DIC43" s="10"/>
      <c r="DID43" s="10"/>
      <c r="DIE43" s="10"/>
      <c r="DIF43" s="10"/>
      <c r="DIG43" s="10"/>
      <c r="DIH43" s="10"/>
      <c r="DII43" s="10"/>
      <c r="DIJ43" s="10"/>
      <c r="DIK43" s="10"/>
      <c r="DIL43" s="10"/>
      <c r="DIM43" s="10"/>
      <c r="DIN43" s="10"/>
      <c r="DIO43" s="10"/>
      <c r="DIP43" s="10"/>
      <c r="DIQ43" s="10"/>
      <c r="DIR43" s="10"/>
      <c r="DIS43" s="10"/>
      <c r="DIT43" s="10"/>
      <c r="DIU43" s="10"/>
      <c r="DIV43" s="10"/>
      <c r="DIW43" s="10"/>
      <c r="DIX43" s="10"/>
      <c r="DIY43" s="10"/>
      <c r="DIZ43" s="10"/>
      <c r="DJA43" s="10"/>
      <c r="DJB43" s="10"/>
      <c r="DJC43" s="10"/>
      <c r="DJD43" s="10"/>
      <c r="DJE43" s="10"/>
      <c r="DJF43" s="10"/>
      <c r="DJG43" s="10"/>
      <c r="DJH43" s="10"/>
      <c r="DJI43" s="10"/>
      <c r="DJJ43" s="10"/>
      <c r="DJK43" s="10"/>
      <c r="DJL43" s="10"/>
      <c r="DJM43" s="10"/>
      <c r="DJN43" s="10"/>
      <c r="DJO43" s="10"/>
      <c r="DJP43" s="10"/>
      <c r="DJQ43" s="10"/>
      <c r="DJR43" s="10"/>
      <c r="DJS43" s="10"/>
      <c r="DJT43" s="10"/>
      <c r="DJU43" s="10"/>
      <c r="DJV43" s="10"/>
      <c r="DJW43" s="10"/>
      <c r="DJX43" s="10"/>
      <c r="DJY43" s="10"/>
      <c r="DJZ43" s="10"/>
      <c r="DKA43" s="10"/>
      <c r="DKB43" s="10"/>
      <c r="DKC43" s="10"/>
      <c r="DKD43" s="10"/>
      <c r="DKE43" s="10"/>
      <c r="DKF43" s="10"/>
      <c r="DKG43" s="10"/>
      <c r="DKH43" s="10"/>
      <c r="DKI43" s="10"/>
      <c r="DKJ43" s="10"/>
      <c r="DKK43" s="10"/>
      <c r="DKL43" s="10"/>
      <c r="DKM43" s="10"/>
      <c r="DKN43" s="10"/>
      <c r="DKO43" s="10"/>
      <c r="DKP43" s="10"/>
      <c r="DKQ43" s="10"/>
      <c r="DKR43" s="10"/>
      <c r="DKS43" s="10"/>
      <c r="DKT43" s="10"/>
      <c r="DKU43" s="10"/>
      <c r="DKV43" s="10"/>
      <c r="DKW43" s="10"/>
      <c r="DKX43" s="10"/>
      <c r="DKY43" s="10"/>
      <c r="DKZ43" s="10"/>
      <c r="DLA43" s="10"/>
      <c r="DLB43" s="10"/>
      <c r="DLC43" s="10"/>
      <c r="DLD43" s="10"/>
      <c r="DLE43" s="10"/>
      <c r="DLF43" s="10"/>
      <c r="DLG43" s="10"/>
      <c r="DLH43" s="10"/>
      <c r="DLI43" s="10"/>
      <c r="DLJ43" s="10"/>
      <c r="DLK43" s="10"/>
      <c r="DLL43" s="10"/>
      <c r="DLM43" s="10"/>
      <c r="DLN43" s="10"/>
      <c r="DLO43" s="10"/>
      <c r="DLP43" s="10"/>
      <c r="DLQ43" s="10"/>
      <c r="DLR43" s="10"/>
      <c r="DLS43" s="10"/>
      <c r="DLT43" s="10"/>
      <c r="DLU43" s="10"/>
      <c r="DLV43" s="10"/>
      <c r="DLW43" s="10"/>
      <c r="DLX43" s="10"/>
      <c r="DLY43" s="10"/>
      <c r="DLZ43" s="10"/>
      <c r="DMA43" s="10"/>
      <c r="DMB43" s="10"/>
      <c r="DMC43" s="10"/>
      <c r="DMD43" s="10"/>
      <c r="DME43" s="10"/>
      <c r="DMF43" s="10"/>
      <c r="DMG43" s="10"/>
      <c r="DMH43" s="10"/>
      <c r="DMI43" s="10"/>
      <c r="DMJ43" s="10"/>
      <c r="DMK43" s="10"/>
      <c r="DML43" s="10"/>
      <c r="DMM43" s="10"/>
      <c r="DMN43" s="10"/>
      <c r="DMO43" s="10"/>
      <c r="DMP43" s="10"/>
      <c r="DMQ43" s="10"/>
      <c r="DMR43" s="10"/>
      <c r="DMS43" s="10"/>
      <c r="DMT43" s="10"/>
      <c r="DMU43" s="10"/>
      <c r="DMV43" s="10"/>
      <c r="DMW43" s="10"/>
      <c r="DMX43" s="10"/>
      <c r="DMY43" s="10"/>
      <c r="DMZ43" s="10"/>
      <c r="DNA43" s="10"/>
      <c r="DNB43" s="10"/>
      <c r="DNC43" s="10"/>
      <c r="DND43" s="10"/>
      <c r="DNE43" s="10"/>
      <c r="DNF43" s="10"/>
      <c r="DNG43" s="10"/>
      <c r="DNH43" s="10"/>
      <c r="DNI43" s="10"/>
      <c r="DNJ43" s="10"/>
      <c r="DNK43" s="10"/>
      <c r="DNL43" s="10"/>
      <c r="DNM43" s="10"/>
      <c r="DNN43" s="10"/>
      <c r="DNO43" s="10"/>
      <c r="DNP43" s="10"/>
      <c r="DNQ43" s="10"/>
      <c r="DNR43" s="10"/>
      <c r="DNS43" s="10"/>
      <c r="DNT43" s="10"/>
      <c r="DNU43" s="10"/>
      <c r="DNV43" s="10"/>
      <c r="DNW43" s="10"/>
      <c r="DNX43" s="10"/>
      <c r="DNY43" s="10"/>
      <c r="DNZ43" s="10"/>
      <c r="DOA43" s="10"/>
      <c r="DOB43" s="10"/>
      <c r="DOC43" s="10"/>
      <c r="DOD43" s="10"/>
      <c r="DOE43" s="10"/>
      <c r="DOF43" s="10"/>
      <c r="DOG43" s="10"/>
      <c r="DOH43" s="10"/>
      <c r="DOI43" s="10"/>
      <c r="DOJ43" s="10"/>
      <c r="DOK43" s="10"/>
      <c r="DOL43" s="10"/>
      <c r="DOM43" s="10"/>
      <c r="DON43" s="10"/>
      <c r="DOO43" s="10"/>
      <c r="DOP43" s="10"/>
      <c r="DOQ43" s="10"/>
      <c r="DOR43" s="10"/>
      <c r="DOS43" s="10"/>
      <c r="DOT43" s="10"/>
      <c r="DOU43" s="10"/>
      <c r="DOV43" s="10"/>
      <c r="DOW43" s="10"/>
      <c r="DOX43" s="10"/>
      <c r="DOY43" s="10"/>
      <c r="DOZ43" s="10"/>
      <c r="DPA43" s="10"/>
      <c r="DPB43" s="10"/>
      <c r="DPC43" s="10"/>
      <c r="DPD43" s="10"/>
      <c r="DPE43" s="10"/>
      <c r="DPF43" s="10"/>
      <c r="DPG43" s="10"/>
      <c r="DPH43" s="10"/>
      <c r="DPI43" s="10"/>
      <c r="DPJ43" s="10"/>
      <c r="DPK43" s="10"/>
      <c r="DPL43" s="10"/>
      <c r="DPM43" s="10"/>
      <c r="DPN43" s="10"/>
      <c r="DPO43" s="10"/>
      <c r="DPP43" s="10"/>
      <c r="DPQ43" s="10"/>
      <c r="DPR43" s="10"/>
      <c r="DPS43" s="10"/>
      <c r="DPT43" s="10"/>
      <c r="DPU43" s="10"/>
      <c r="DPV43" s="10"/>
      <c r="DPW43" s="10"/>
      <c r="DPX43" s="10"/>
      <c r="DPY43" s="10"/>
      <c r="DPZ43" s="10"/>
      <c r="DQA43" s="10"/>
      <c r="DQB43" s="10"/>
      <c r="DQC43" s="10"/>
      <c r="DQD43" s="10"/>
      <c r="DQE43" s="10"/>
      <c r="DQF43" s="10"/>
      <c r="DQG43" s="10"/>
      <c r="DQH43" s="10"/>
      <c r="DQI43" s="10"/>
      <c r="DQJ43" s="10"/>
      <c r="DQK43" s="10"/>
      <c r="DQL43" s="10"/>
      <c r="DQM43" s="10"/>
      <c r="DQN43" s="10"/>
      <c r="DQO43" s="10"/>
      <c r="DQP43" s="10"/>
      <c r="DQQ43" s="10"/>
      <c r="DQR43" s="10"/>
      <c r="DQS43" s="10"/>
      <c r="DQT43" s="10"/>
      <c r="DQU43" s="10"/>
      <c r="DQV43" s="10"/>
      <c r="DQW43" s="10"/>
      <c r="DQX43" s="10"/>
      <c r="DQY43" s="10"/>
      <c r="DQZ43" s="10"/>
      <c r="DRA43" s="10"/>
      <c r="DRB43" s="10"/>
      <c r="DRC43" s="10"/>
      <c r="DRD43" s="10"/>
      <c r="DRE43" s="10"/>
      <c r="DRF43" s="10"/>
      <c r="DRG43" s="10"/>
      <c r="DRH43" s="10"/>
      <c r="DRI43" s="10"/>
      <c r="DRJ43" s="10"/>
      <c r="DRK43" s="10"/>
      <c r="DRL43" s="10"/>
      <c r="DRM43" s="10"/>
      <c r="DRN43" s="10"/>
      <c r="DRO43" s="10"/>
      <c r="DRP43" s="10"/>
      <c r="DRQ43" s="10"/>
      <c r="DRR43" s="10"/>
      <c r="DRS43" s="10"/>
      <c r="DRT43" s="10"/>
      <c r="DRU43" s="10"/>
      <c r="DRV43" s="10"/>
      <c r="DRW43" s="10"/>
      <c r="DRX43" s="10"/>
      <c r="DRY43" s="10"/>
      <c r="DRZ43" s="10"/>
      <c r="DSA43" s="10"/>
      <c r="DSB43" s="10"/>
      <c r="DSC43" s="10"/>
      <c r="DSD43" s="10"/>
      <c r="DSE43" s="10"/>
      <c r="DSF43" s="10"/>
      <c r="DSG43" s="10"/>
      <c r="DSH43" s="10"/>
      <c r="DSI43" s="10"/>
      <c r="DSJ43" s="10"/>
      <c r="DSK43" s="10"/>
      <c r="DSL43" s="10"/>
      <c r="DSM43" s="10"/>
      <c r="DSN43" s="10"/>
      <c r="DSO43" s="10"/>
      <c r="DSP43" s="10"/>
      <c r="DSQ43" s="10"/>
      <c r="DSR43" s="10"/>
      <c r="DSS43" s="10"/>
      <c r="DST43" s="10"/>
      <c r="DSU43" s="10"/>
      <c r="DSV43" s="10"/>
      <c r="DSW43" s="10"/>
      <c r="DSX43" s="10"/>
      <c r="DSY43" s="10"/>
      <c r="DSZ43" s="10"/>
      <c r="DTA43" s="10"/>
      <c r="DTB43" s="10"/>
      <c r="DTC43" s="10"/>
      <c r="DTD43" s="10"/>
      <c r="DTE43" s="10"/>
      <c r="DTF43" s="10"/>
      <c r="DTG43" s="10"/>
      <c r="DTH43" s="10"/>
      <c r="DTI43" s="10"/>
      <c r="DTJ43" s="10"/>
      <c r="DTK43" s="10"/>
      <c r="DTL43" s="10"/>
      <c r="DTM43" s="10"/>
      <c r="DTN43" s="10"/>
      <c r="DTO43" s="10"/>
      <c r="DTP43" s="10"/>
      <c r="DTQ43" s="10"/>
      <c r="DTR43" s="10"/>
      <c r="DTS43" s="10"/>
      <c r="DTT43" s="10"/>
      <c r="DTU43" s="10"/>
      <c r="DTV43" s="10"/>
      <c r="DTW43" s="10"/>
      <c r="DTX43" s="10"/>
      <c r="DTY43" s="10"/>
      <c r="DTZ43" s="10"/>
      <c r="DUA43" s="10"/>
      <c r="DUB43" s="10"/>
      <c r="DUC43" s="10"/>
      <c r="DUD43" s="10"/>
      <c r="DUE43" s="10"/>
      <c r="DUF43" s="10"/>
      <c r="DUG43" s="10"/>
      <c r="DUH43" s="10"/>
      <c r="DUI43" s="10"/>
      <c r="DUJ43" s="10"/>
      <c r="DUK43" s="10"/>
      <c r="DUL43" s="10"/>
      <c r="DUM43" s="10"/>
      <c r="DUN43" s="10"/>
      <c r="DUO43" s="10"/>
      <c r="DUP43" s="10"/>
      <c r="DUQ43" s="10"/>
      <c r="DUR43" s="10"/>
      <c r="DUS43" s="10"/>
      <c r="DUT43" s="10"/>
      <c r="DUU43" s="10"/>
      <c r="DUV43" s="10"/>
      <c r="DUW43" s="10"/>
      <c r="DUX43" s="10"/>
      <c r="DUY43" s="10"/>
      <c r="DUZ43" s="10"/>
      <c r="DVA43" s="10"/>
      <c r="DVB43" s="10"/>
      <c r="DVC43" s="10"/>
      <c r="DVD43" s="10"/>
      <c r="DVE43" s="10"/>
      <c r="DVF43" s="10"/>
      <c r="DVG43" s="10"/>
      <c r="DVH43" s="10"/>
      <c r="DVI43" s="10"/>
      <c r="DVJ43" s="10"/>
      <c r="DVK43" s="10"/>
      <c r="DVL43" s="10"/>
      <c r="DVM43" s="10"/>
      <c r="DVN43" s="10"/>
      <c r="DVO43" s="10"/>
      <c r="DVP43" s="10"/>
      <c r="DVQ43" s="10"/>
      <c r="DVR43" s="10"/>
      <c r="DVS43" s="10"/>
      <c r="DVT43" s="10"/>
      <c r="DVU43" s="10"/>
      <c r="DVV43" s="10"/>
      <c r="DVW43" s="10"/>
      <c r="DVX43" s="10"/>
      <c r="DVY43" s="10"/>
      <c r="DVZ43" s="10"/>
      <c r="DWA43" s="10"/>
      <c r="DWB43" s="10"/>
      <c r="DWC43" s="10"/>
      <c r="DWD43" s="10"/>
      <c r="DWE43" s="10"/>
      <c r="DWF43" s="10"/>
      <c r="DWG43" s="10"/>
      <c r="DWH43" s="10"/>
      <c r="DWI43" s="10"/>
      <c r="DWJ43" s="10"/>
      <c r="DWK43" s="10"/>
      <c r="DWL43" s="10"/>
      <c r="DWM43" s="10"/>
      <c r="DWN43" s="10"/>
      <c r="DWO43" s="10"/>
      <c r="DWP43" s="10"/>
      <c r="DWQ43" s="10"/>
      <c r="DWR43" s="10"/>
      <c r="DWS43" s="10"/>
      <c r="DWT43" s="10"/>
      <c r="DWU43" s="10"/>
      <c r="DWV43" s="10"/>
      <c r="DWW43" s="10"/>
      <c r="DWX43" s="10"/>
      <c r="DWY43" s="10"/>
      <c r="DWZ43" s="10"/>
      <c r="DXA43" s="10"/>
      <c r="DXB43" s="10"/>
      <c r="DXC43" s="10"/>
      <c r="DXD43" s="10"/>
      <c r="DXE43" s="10"/>
      <c r="DXF43" s="10"/>
      <c r="DXG43" s="10"/>
      <c r="DXH43" s="10"/>
      <c r="DXI43" s="10"/>
      <c r="DXJ43" s="10"/>
      <c r="DXK43" s="10"/>
      <c r="DXL43" s="10"/>
      <c r="DXM43" s="10"/>
      <c r="DXN43" s="10"/>
      <c r="DXO43" s="10"/>
      <c r="DXP43" s="10"/>
      <c r="DXQ43" s="10"/>
      <c r="DXR43" s="10"/>
      <c r="DXS43" s="10"/>
      <c r="DXT43" s="10"/>
      <c r="DXU43" s="10"/>
      <c r="DXV43" s="10"/>
      <c r="DXW43" s="10"/>
      <c r="DXX43" s="10"/>
      <c r="DXY43" s="10"/>
      <c r="DXZ43" s="10"/>
      <c r="DYA43" s="10"/>
      <c r="DYB43" s="10"/>
      <c r="DYC43" s="10"/>
      <c r="DYD43" s="10"/>
      <c r="DYE43" s="10"/>
      <c r="DYF43" s="10"/>
      <c r="DYG43" s="10"/>
      <c r="DYH43" s="10"/>
      <c r="DYI43" s="10"/>
      <c r="DYJ43" s="10"/>
      <c r="DYK43" s="10"/>
      <c r="DYL43" s="10"/>
      <c r="DYM43" s="10"/>
      <c r="DYN43" s="10"/>
      <c r="DYO43" s="10"/>
      <c r="DYP43" s="10"/>
      <c r="DYQ43" s="10"/>
      <c r="DYR43" s="10"/>
      <c r="DYS43" s="10"/>
      <c r="DYT43" s="10"/>
      <c r="DYU43" s="10"/>
      <c r="DYV43" s="10"/>
      <c r="DYW43" s="10"/>
      <c r="DYX43" s="10"/>
      <c r="DYY43" s="10"/>
      <c r="DYZ43" s="10"/>
      <c r="DZA43" s="10"/>
      <c r="DZB43" s="10"/>
      <c r="DZC43" s="10"/>
      <c r="DZD43" s="10"/>
      <c r="DZE43" s="10"/>
      <c r="DZF43" s="10"/>
      <c r="DZG43" s="10"/>
      <c r="DZH43" s="10"/>
      <c r="DZI43" s="10"/>
      <c r="DZJ43" s="10"/>
      <c r="DZK43" s="10"/>
      <c r="DZL43" s="10"/>
      <c r="DZM43" s="10"/>
      <c r="DZN43" s="10"/>
      <c r="DZO43" s="10"/>
      <c r="DZP43" s="10"/>
      <c r="DZQ43" s="10"/>
      <c r="DZR43" s="10"/>
      <c r="DZS43" s="10"/>
      <c r="DZT43" s="10"/>
      <c r="DZU43" s="10"/>
      <c r="DZV43" s="10"/>
      <c r="DZW43" s="10"/>
      <c r="DZX43" s="10"/>
      <c r="DZY43" s="10"/>
      <c r="DZZ43" s="10"/>
      <c r="EAA43" s="10"/>
      <c r="EAB43" s="10"/>
      <c r="EAC43" s="10"/>
      <c r="EAD43" s="10"/>
      <c r="EAE43" s="10"/>
      <c r="EAF43" s="10"/>
      <c r="EAG43" s="10"/>
      <c r="EAH43" s="10"/>
      <c r="EAI43" s="10"/>
      <c r="EAJ43" s="10"/>
      <c r="EAK43" s="10"/>
      <c r="EAL43" s="10"/>
      <c r="EAM43" s="10"/>
      <c r="EAN43" s="10"/>
      <c r="EAO43" s="10"/>
      <c r="EAP43" s="10"/>
      <c r="EAQ43" s="10"/>
      <c r="EAR43" s="10"/>
      <c r="EAS43" s="10"/>
      <c r="EAT43" s="10"/>
      <c r="EAU43" s="10"/>
      <c r="EAV43" s="10"/>
      <c r="EAW43" s="10"/>
      <c r="EAX43" s="10"/>
      <c r="EAY43" s="10"/>
      <c r="EAZ43" s="10"/>
      <c r="EBA43" s="10"/>
      <c r="EBB43" s="10"/>
      <c r="EBC43" s="10"/>
      <c r="EBD43" s="10"/>
      <c r="EBE43" s="10"/>
      <c r="EBF43" s="10"/>
      <c r="EBG43" s="10"/>
      <c r="EBH43" s="10"/>
      <c r="EBI43" s="10"/>
      <c r="EBJ43" s="10"/>
      <c r="EBK43" s="10"/>
      <c r="EBL43" s="10"/>
      <c r="EBM43" s="10"/>
      <c r="EBN43" s="10"/>
      <c r="EBO43" s="10"/>
      <c r="EBP43" s="10"/>
      <c r="EBQ43" s="10"/>
      <c r="EBR43" s="10"/>
      <c r="EBS43" s="10"/>
      <c r="EBT43" s="10"/>
      <c r="EBU43" s="10"/>
      <c r="EBV43" s="10"/>
      <c r="EBW43" s="10"/>
      <c r="EBX43" s="10"/>
      <c r="EBY43" s="10"/>
      <c r="EBZ43" s="10"/>
      <c r="ECA43" s="10"/>
      <c r="ECB43" s="10"/>
      <c r="ECC43" s="10"/>
      <c r="ECD43" s="10"/>
      <c r="ECE43" s="10"/>
      <c r="ECF43" s="10"/>
      <c r="ECG43" s="10"/>
      <c r="ECH43" s="10"/>
      <c r="ECI43" s="10"/>
      <c r="ECJ43" s="10"/>
      <c r="ECK43" s="10"/>
      <c r="ECL43" s="10"/>
      <c r="ECM43" s="10"/>
      <c r="ECN43" s="10"/>
      <c r="ECO43" s="10"/>
      <c r="ECP43" s="10"/>
      <c r="ECQ43" s="10"/>
      <c r="ECR43" s="10"/>
      <c r="ECS43" s="10"/>
      <c r="ECT43" s="10"/>
      <c r="ECU43" s="10"/>
      <c r="ECV43" s="10"/>
      <c r="ECW43" s="10"/>
      <c r="ECX43" s="10"/>
      <c r="ECY43" s="10"/>
      <c r="ECZ43" s="10"/>
      <c r="EDA43" s="10"/>
      <c r="EDB43" s="10"/>
      <c r="EDC43" s="10"/>
      <c r="EDD43" s="10"/>
      <c r="EDE43" s="10"/>
      <c r="EDF43" s="10"/>
      <c r="EDG43" s="10"/>
      <c r="EDH43" s="10"/>
      <c r="EDI43" s="10"/>
      <c r="EDJ43" s="10"/>
      <c r="EDK43" s="10"/>
      <c r="EDL43" s="10"/>
      <c r="EDM43" s="10"/>
      <c r="EDN43" s="10"/>
      <c r="EDO43" s="10"/>
      <c r="EDP43" s="10"/>
      <c r="EDQ43" s="10"/>
      <c r="EDR43" s="10"/>
      <c r="EDS43" s="10"/>
      <c r="EDT43" s="10"/>
      <c r="EDU43" s="10"/>
      <c r="EDV43" s="10"/>
      <c r="EDW43" s="10"/>
      <c r="EDX43" s="10"/>
      <c r="EDY43" s="10"/>
      <c r="EDZ43" s="10"/>
      <c r="EEA43" s="10"/>
      <c r="EEB43" s="10"/>
      <c r="EEC43" s="10"/>
      <c r="EED43" s="10"/>
      <c r="EEE43" s="10"/>
      <c r="EEF43" s="10"/>
      <c r="EEG43" s="10"/>
      <c r="EEH43" s="10"/>
      <c r="EEI43" s="10"/>
      <c r="EEJ43" s="10"/>
      <c r="EEK43" s="10"/>
      <c r="EEL43" s="10"/>
      <c r="EEM43" s="10"/>
      <c r="EEN43" s="10"/>
      <c r="EEO43" s="10"/>
      <c r="EEP43" s="10"/>
      <c r="EEQ43" s="10"/>
      <c r="EER43" s="10"/>
      <c r="EES43" s="10"/>
      <c r="EET43" s="10"/>
      <c r="EEU43" s="10"/>
      <c r="EEV43" s="10"/>
      <c r="EEW43" s="10"/>
      <c r="EEX43" s="10"/>
      <c r="EEY43" s="10"/>
      <c r="EEZ43" s="10"/>
      <c r="EFA43" s="10"/>
      <c r="EFB43" s="10"/>
      <c r="EFC43" s="10"/>
      <c r="EFD43" s="10"/>
      <c r="EFE43" s="10"/>
      <c r="EFF43" s="10"/>
      <c r="EFG43" s="10"/>
      <c r="EFH43" s="10"/>
      <c r="EFI43" s="10"/>
      <c r="EFJ43" s="10"/>
      <c r="EFK43" s="10"/>
      <c r="EFL43" s="10"/>
      <c r="EFM43" s="10"/>
      <c r="EFN43" s="10"/>
      <c r="EFO43" s="10"/>
      <c r="EFP43" s="10"/>
      <c r="EFQ43" s="10"/>
      <c r="EFR43" s="10"/>
      <c r="EFS43" s="10"/>
      <c r="EFT43" s="10"/>
      <c r="EFU43" s="10"/>
      <c r="EFV43" s="10"/>
      <c r="EFW43" s="10"/>
      <c r="EFX43" s="10"/>
      <c r="EFY43" s="10"/>
      <c r="EFZ43" s="10"/>
      <c r="EGA43" s="10"/>
      <c r="EGB43" s="10"/>
      <c r="EGC43" s="10"/>
      <c r="EGD43" s="10"/>
      <c r="EGE43" s="10"/>
      <c r="EGF43" s="10"/>
      <c r="EGG43" s="10"/>
      <c r="EGH43" s="10"/>
      <c r="EGI43" s="10"/>
      <c r="EGJ43" s="10"/>
      <c r="EGK43" s="10"/>
      <c r="EGL43" s="10"/>
      <c r="EGM43" s="10"/>
      <c r="EGN43" s="10"/>
      <c r="EGO43" s="10"/>
      <c r="EGP43" s="10"/>
      <c r="EGQ43" s="10"/>
      <c r="EGR43" s="10"/>
      <c r="EGS43" s="10"/>
      <c r="EGT43" s="10"/>
      <c r="EGU43" s="10"/>
      <c r="EGV43" s="10"/>
      <c r="EGW43" s="10"/>
      <c r="EGX43" s="10"/>
      <c r="EGY43" s="10"/>
      <c r="EGZ43" s="10"/>
      <c r="EHA43" s="10"/>
      <c r="EHB43" s="10"/>
      <c r="EHC43" s="10"/>
      <c r="EHD43" s="10"/>
      <c r="EHE43" s="10"/>
      <c r="EHF43" s="10"/>
      <c r="EHG43" s="10"/>
      <c r="EHH43" s="10"/>
      <c r="EHI43" s="10"/>
      <c r="EHJ43" s="10"/>
      <c r="EHK43" s="10"/>
      <c r="EHL43" s="10"/>
      <c r="EHM43" s="10"/>
      <c r="EHN43" s="10"/>
      <c r="EHO43" s="10"/>
      <c r="EHP43" s="10"/>
      <c r="EHQ43" s="10"/>
      <c r="EHR43" s="10"/>
      <c r="EHS43" s="10"/>
      <c r="EHT43" s="10"/>
      <c r="EHU43" s="10"/>
      <c r="EHV43" s="10"/>
      <c r="EHW43" s="10"/>
      <c r="EHX43" s="10"/>
      <c r="EHY43" s="10"/>
      <c r="EHZ43" s="10"/>
      <c r="EIA43" s="10"/>
      <c r="EIB43" s="10"/>
      <c r="EIC43" s="10"/>
      <c r="EID43" s="10"/>
      <c r="EIE43" s="10"/>
      <c r="EIF43" s="10"/>
      <c r="EIG43" s="10"/>
      <c r="EIH43" s="10"/>
      <c r="EII43" s="10"/>
      <c r="EIJ43" s="10"/>
      <c r="EIK43" s="10"/>
      <c r="EIL43" s="10"/>
      <c r="EIM43" s="10"/>
      <c r="EIN43" s="10"/>
      <c r="EIO43" s="10"/>
      <c r="EIP43" s="10"/>
      <c r="EIQ43" s="10"/>
      <c r="EIR43" s="10"/>
      <c r="EIS43" s="10"/>
      <c r="EIT43" s="10"/>
      <c r="EIU43" s="10"/>
      <c r="EIV43" s="10"/>
      <c r="EIW43" s="10"/>
      <c r="EIX43" s="10"/>
      <c r="EIY43" s="10"/>
      <c r="EIZ43" s="10"/>
      <c r="EJA43" s="10"/>
      <c r="EJB43" s="10"/>
      <c r="EJC43" s="10"/>
      <c r="EJD43" s="10"/>
      <c r="EJE43" s="10"/>
      <c r="EJF43" s="10"/>
      <c r="EJG43" s="10"/>
      <c r="EJH43" s="10"/>
      <c r="EJI43" s="10"/>
      <c r="EJJ43" s="10"/>
      <c r="EJK43" s="10"/>
      <c r="EJL43" s="10"/>
      <c r="EJM43" s="10"/>
      <c r="EJN43" s="10"/>
      <c r="EJO43" s="10"/>
      <c r="EJP43" s="10"/>
      <c r="EJQ43" s="10"/>
      <c r="EJR43" s="10"/>
      <c r="EJS43" s="10"/>
      <c r="EJT43" s="10"/>
      <c r="EJU43" s="10"/>
      <c r="EJV43" s="10"/>
      <c r="EJW43" s="10"/>
      <c r="EJX43" s="10"/>
      <c r="EJY43" s="10"/>
      <c r="EJZ43" s="10"/>
      <c r="EKA43" s="10"/>
      <c r="EKB43" s="10"/>
      <c r="EKC43" s="10"/>
      <c r="EKD43" s="10"/>
      <c r="EKE43" s="10"/>
      <c r="EKF43" s="10"/>
      <c r="EKG43" s="10"/>
      <c r="EKH43" s="10"/>
      <c r="EKI43" s="10"/>
      <c r="EKJ43" s="10"/>
      <c r="EKK43" s="10"/>
      <c r="EKL43" s="10"/>
      <c r="EKM43" s="10"/>
      <c r="EKN43" s="10"/>
      <c r="EKO43" s="10"/>
      <c r="EKP43" s="10"/>
      <c r="EKQ43" s="10"/>
      <c r="EKR43" s="10"/>
      <c r="EKS43" s="10"/>
      <c r="EKT43" s="10"/>
      <c r="EKU43" s="10"/>
      <c r="EKV43" s="10"/>
      <c r="EKW43" s="10"/>
      <c r="EKX43" s="10"/>
      <c r="EKY43" s="10"/>
      <c r="EKZ43" s="10"/>
      <c r="ELA43" s="10"/>
      <c r="ELB43" s="10"/>
      <c r="ELC43" s="10"/>
      <c r="ELD43" s="10"/>
      <c r="ELE43" s="10"/>
      <c r="ELF43" s="10"/>
      <c r="ELG43" s="10"/>
      <c r="ELH43" s="10"/>
      <c r="ELI43" s="10"/>
      <c r="ELJ43" s="10"/>
      <c r="ELK43" s="10"/>
      <c r="ELL43" s="10"/>
      <c r="ELM43" s="10"/>
      <c r="ELN43" s="10"/>
      <c r="ELO43" s="10"/>
      <c r="ELP43" s="10"/>
      <c r="ELQ43" s="10"/>
      <c r="ELR43" s="10"/>
      <c r="ELS43" s="10"/>
      <c r="ELT43" s="10"/>
      <c r="ELU43" s="10"/>
      <c r="ELV43" s="10"/>
      <c r="ELW43" s="10"/>
      <c r="ELX43" s="10"/>
      <c r="ELY43" s="10"/>
      <c r="ELZ43" s="10"/>
      <c r="EMA43" s="10"/>
      <c r="EMB43" s="10"/>
      <c r="EMC43" s="10"/>
      <c r="EMD43" s="10"/>
      <c r="EME43" s="10"/>
      <c r="EMF43" s="10"/>
      <c r="EMG43" s="10"/>
      <c r="EMH43" s="10"/>
      <c r="EMI43" s="10"/>
      <c r="EMJ43" s="10"/>
      <c r="EMK43" s="10"/>
      <c r="EML43" s="10"/>
      <c r="EMM43" s="10"/>
      <c r="EMN43" s="10"/>
      <c r="EMO43" s="10"/>
      <c r="EMP43" s="10"/>
      <c r="EMQ43" s="10"/>
      <c r="EMR43" s="10"/>
      <c r="EMS43" s="10"/>
      <c r="EMT43" s="10"/>
      <c r="EMU43" s="10"/>
      <c r="EMV43" s="10"/>
      <c r="EMW43" s="10"/>
      <c r="EMX43" s="10"/>
      <c r="EMY43" s="10"/>
      <c r="EMZ43" s="10"/>
      <c r="ENA43" s="10"/>
      <c r="ENB43" s="10"/>
      <c r="ENC43" s="10"/>
      <c r="END43" s="10"/>
      <c r="ENE43" s="10"/>
      <c r="ENF43" s="10"/>
      <c r="ENG43" s="10"/>
      <c r="ENH43" s="10"/>
      <c r="ENI43" s="10"/>
      <c r="ENJ43" s="10"/>
      <c r="ENK43" s="10"/>
      <c r="ENL43" s="10"/>
      <c r="ENM43" s="10"/>
      <c r="ENN43" s="10"/>
      <c r="ENO43" s="10"/>
      <c r="ENP43" s="10"/>
      <c r="ENQ43" s="10"/>
      <c r="ENR43" s="10"/>
      <c r="ENS43" s="10"/>
      <c r="ENT43" s="10"/>
      <c r="ENU43" s="10"/>
      <c r="ENV43" s="10"/>
      <c r="ENW43" s="10"/>
      <c r="ENX43" s="10"/>
      <c r="ENY43" s="10"/>
      <c r="ENZ43" s="10"/>
      <c r="EOA43" s="10"/>
      <c r="EOB43" s="10"/>
      <c r="EOC43" s="10"/>
      <c r="EOD43" s="10"/>
      <c r="EOE43" s="10"/>
      <c r="EOF43" s="10"/>
      <c r="EOG43" s="10"/>
      <c r="EOH43" s="10"/>
      <c r="EOI43" s="10"/>
      <c r="EOJ43" s="10"/>
      <c r="EOK43" s="10"/>
      <c r="EOL43" s="10"/>
      <c r="EOM43" s="10"/>
      <c r="EON43" s="10"/>
      <c r="EOO43" s="10"/>
      <c r="EOP43" s="10"/>
      <c r="EOQ43" s="10"/>
      <c r="EOR43" s="10"/>
      <c r="EOS43" s="10"/>
      <c r="EOT43" s="10"/>
      <c r="EOU43" s="10"/>
      <c r="EOV43" s="10"/>
      <c r="EOW43" s="10"/>
      <c r="EOX43" s="10"/>
      <c r="EOY43" s="10"/>
      <c r="EOZ43" s="10"/>
      <c r="EPA43" s="10"/>
      <c r="EPB43" s="10"/>
      <c r="EPC43" s="10"/>
      <c r="EPD43" s="10"/>
      <c r="EPE43" s="10"/>
      <c r="EPF43" s="10"/>
      <c r="EPG43" s="10"/>
      <c r="EPH43" s="10"/>
      <c r="EPI43" s="10"/>
      <c r="EPJ43" s="10"/>
      <c r="EPK43" s="10"/>
      <c r="EPL43" s="10"/>
      <c r="EPM43" s="10"/>
      <c r="EPN43" s="10"/>
      <c r="EPO43" s="10"/>
      <c r="EPP43" s="10"/>
      <c r="EPQ43" s="10"/>
      <c r="EPR43" s="10"/>
      <c r="EPS43" s="10"/>
      <c r="EPT43" s="10"/>
      <c r="EPU43" s="10"/>
      <c r="EPV43" s="10"/>
      <c r="EPW43" s="10"/>
      <c r="EPX43" s="10"/>
      <c r="EPY43" s="10"/>
      <c r="EPZ43" s="10"/>
      <c r="EQA43" s="10"/>
      <c r="EQB43" s="10"/>
      <c r="EQC43" s="10"/>
      <c r="EQD43" s="10"/>
      <c r="EQE43" s="10"/>
      <c r="EQF43" s="10"/>
      <c r="EQG43" s="10"/>
      <c r="EQH43" s="10"/>
      <c r="EQI43" s="10"/>
      <c r="EQJ43" s="10"/>
      <c r="EQK43" s="10"/>
      <c r="EQL43" s="10"/>
      <c r="EQM43" s="10"/>
      <c r="EQN43" s="10"/>
      <c r="EQO43" s="10"/>
      <c r="EQP43" s="10"/>
      <c r="EQQ43" s="10"/>
      <c r="EQR43" s="10"/>
      <c r="EQS43" s="10"/>
      <c r="EQT43" s="10"/>
      <c r="EQU43" s="10"/>
      <c r="EQV43" s="10"/>
      <c r="EQW43" s="10"/>
      <c r="EQX43" s="10"/>
      <c r="EQY43" s="10"/>
      <c r="EQZ43" s="10"/>
      <c r="ERA43" s="10"/>
      <c r="ERB43" s="10"/>
      <c r="ERC43" s="10"/>
      <c r="ERD43" s="10"/>
      <c r="ERE43" s="10"/>
      <c r="ERF43" s="10"/>
      <c r="ERG43" s="10"/>
      <c r="ERH43" s="10"/>
      <c r="ERI43" s="10"/>
      <c r="ERJ43" s="10"/>
      <c r="ERK43" s="10"/>
      <c r="ERL43" s="10"/>
      <c r="ERM43" s="10"/>
      <c r="ERN43" s="10"/>
      <c r="ERO43" s="10"/>
      <c r="ERP43" s="10"/>
      <c r="ERQ43" s="10"/>
      <c r="ERR43" s="10"/>
      <c r="ERS43" s="10"/>
      <c r="ERT43" s="10"/>
      <c r="ERU43" s="10"/>
      <c r="ERV43" s="10"/>
      <c r="ERW43" s="10"/>
      <c r="ERX43" s="10"/>
      <c r="ERY43" s="10"/>
      <c r="ERZ43" s="10"/>
      <c r="ESA43" s="10"/>
      <c r="ESB43" s="10"/>
      <c r="ESC43" s="10"/>
      <c r="ESD43" s="10"/>
      <c r="ESE43" s="10"/>
      <c r="ESF43" s="10"/>
      <c r="ESG43" s="10"/>
      <c r="ESH43" s="10"/>
      <c r="ESI43" s="10"/>
      <c r="ESJ43" s="10"/>
      <c r="ESK43" s="10"/>
      <c r="ESL43" s="10"/>
      <c r="ESM43" s="10"/>
      <c r="ESN43" s="10"/>
      <c r="ESO43" s="10"/>
      <c r="ESP43" s="10"/>
      <c r="ESQ43" s="10"/>
      <c r="ESR43" s="10"/>
      <c r="ESS43" s="10"/>
      <c r="EST43" s="10"/>
      <c r="ESU43" s="10"/>
      <c r="ESV43" s="10"/>
      <c r="ESW43" s="10"/>
      <c r="ESX43" s="10"/>
      <c r="ESY43" s="10"/>
      <c r="ESZ43" s="10"/>
      <c r="ETA43" s="10"/>
      <c r="ETB43" s="10"/>
      <c r="ETC43" s="10"/>
      <c r="ETD43" s="10"/>
      <c r="ETE43" s="10"/>
      <c r="ETF43" s="10"/>
      <c r="ETG43" s="10"/>
      <c r="ETH43" s="10"/>
      <c r="ETI43" s="10"/>
      <c r="ETJ43" s="10"/>
      <c r="ETK43" s="10"/>
      <c r="ETL43" s="10"/>
      <c r="ETM43" s="10"/>
      <c r="ETN43" s="10"/>
      <c r="ETO43" s="10"/>
      <c r="ETP43" s="10"/>
      <c r="ETQ43" s="10"/>
      <c r="ETR43" s="10"/>
      <c r="ETS43" s="10"/>
      <c r="ETT43" s="10"/>
      <c r="ETU43" s="10"/>
      <c r="ETV43" s="10"/>
      <c r="ETW43" s="10"/>
      <c r="ETX43" s="10"/>
      <c r="ETY43" s="10"/>
      <c r="ETZ43" s="10"/>
      <c r="EUA43" s="10"/>
      <c r="EUB43" s="10"/>
      <c r="EUC43" s="10"/>
      <c r="EUD43" s="10"/>
      <c r="EUE43" s="10"/>
      <c r="EUF43" s="10"/>
      <c r="EUG43" s="10"/>
      <c r="EUH43" s="10"/>
      <c r="EUI43" s="10"/>
      <c r="EUJ43" s="10"/>
      <c r="EUK43" s="10"/>
      <c r="EUL43" s="10"/>
      <c r="EUM43" s="10"/>
      <c r="EUN43" s="10"/>
      <c r="EUO43" s="10"/>
      <c r="EUP43" s="10"/>
      <c r="EUQ43" s="10"/>
      <c r="EUR43" s="10"/>
      <c r="EUS43" s="10"/>
      <c r="EUT43" s="10"/>
      <c r="EUU43" s="10"/>
      <c r="EUV43" s="10"/>
      <c r="EUW43" s="10"/>
      <c r="EUX43" s="10"/>
      <c r="EUY43" s="10"/>
      <c r="EUZ43" s="10"/>
      <c r="EVA43" s="10"/>
      <c r="EVB43" s="10"/>
      <c r="EVC43" s="10"/>
      <c r="EVD43" s="10"/>
      <c r="EVE43" s="10"/>
      <c r="EVF43" s="10"/>
      <c r="EVG43" s="10"/>
      <c r="EVH43" s="10"/>
      <c r="EVI43" s="10"/>
      <c r="EVJ43" s="10"/>
      <c r="EVK43" s="10"/>
      <c r="EVL43" s="10"/>
      <c r="EVM43" s="10"/>
      <c r="EVN43" s="10"/>
      <c r="EVO43" s="10"/>
      <c r="EVP43" s="10"/>
      <c r="EVQ43" s="10"/>
      <c r="EVR43" s="10"/>
      <c r="EVS43" s="10"/>
      <c r="EVT43" s="10"/>
      <c r="EVU43" s="10"/>
      <c r="EVV43" s="10"/>
      <c r="EVW43" s="10"/>
      <c r="EVX43" s="10"/>
      <c r="EVY43" s="10"/>
      <c r="EVZ43" s="10"/>
      <c r="EWA43" s="10"/>
      <c r="EWB43" s="10"/>
      <c r="EWC43" s="10"/>
      <c r="EWD43" s="10"/>
      <c r="EWE43" s="10"/>
      <c r="EWF43" s="10"/>
      <c r="EWG43" s="10"/>
      <c r="EWH43" s="10"/>
      <c r="EWI43" s="10"/>
      <c r="EWJ43" s="10"/>
      <c r="EWK43" s="10"/>
      <c r="EWL43" s="10"/>
      <c r="EWM43" s="10"/>
      <c r="EWN43" s="10"/>
      <c r="EWO43" s="10"/>
      <c r="EWP43" s="10"/>
      <c r="EWQ43" s="10"/>
      <c r="EWR43" s="10"/>
      <c r="EWS43" s="10"/>
      <c r="EWT43" s="10"/>
      <c r="EWU43" s="10"/>
      <c r="EWV43" s="10"/>
      <c r="EWW43" s="10"/>
      <c r="EWX43" s="10"/>
      <c r="EWY43" s="10"/>
      <c r="EWZ43" s="10"/>
      <c r="EXA43" s="10"/>
      <c r="EXB43" s="10"/>
      <c r="EXC43" s="10"/>
      <c r="EXD43" s="10"/>
      <c r="EXE43" s="10"/>
      <c r="EXF43" s="10"/>
      <c r="EXG43" s="10"/>
      <c r="EXH43" s="10"/>
      <c r="EXI43" s="10"/>
      <c r="EXJ43" s="10"/>
      <c r="EXK43" s="10"/>
      <c r="EXL43" s="10"/>
      <c r="EXM43" s="10"/>
      <c r="EXN43" s="10"/>
      <c r="EXO43" s="10"/>
      <c r="EXP43" s="10"/>
      <c r="EXQ43" s="10"/>
      <c r="EXR43" s="10"/>
      <c r="EXS43" s="10"/>
      <c r="EXT43" s="10"/>
      <c r="EXU43" s="10"/>
      <c r="EXV43" s="10"/>
      <c r="EXW43" s="10"/>
      <c r="EXX43" s="10"/>
      <c r="EXY43" s="10"/>
      <c r="EXZ43" s="10"/>
      <c r="EYA43" s="10"/>
      <c r="EYB43" s="10"/>
      <c r="EYC43" s="10"/>
      <c r="EYD43" s="10"/>
      <c r="EYE43" s="10"/>
      <c r="EYF43" s="10"/>
      <c r="EYG43" s="10"/>
      <c r="EYH43" s="10"/>
      <c r="EYI43" s="10"/>
      <c r="EYJ43" s="10"/>
      <c r="EYK43" s="10"/>
      <c r="EYL43" s="10"/>
      <c r="EYM43" s="10"/>
      <c r="EYN43" s="10"/>
      <c r="EYO43" s="10"/>
      <c r="EYP43" s="10"/>
      <c r="EYQ43" s="10"/>
      <c r="EYR43" s="10"/>
      <c r="EYS43" s="10"/>
      <c r="EYT43" s="10"/>
      <c r="EYU43" s="10"/>
      <c r="EYV43" s="10"/>
      <c r="EYW43" s="10"/>
      <c r="EYX43" s="10"/>
      <c r="EYY43" s="10"/>
      <c r="EYZ43" s="10"/>
      <c r="EZA43" s="10"/>
      <c r="EZB43" s="10"/>
      <c r="EZC43" s="10"/>
      <c r="EZD43" s="10"/>
      <c r="EZE43" s="10"/>
      <c r="EZF43" s="10"/>
      <c r="EZG43" s="10"/>
      <c r="EZH43" s="10"/>
      <c r="EZI43" s="10"/>
      <c r="EZJ43" s="10"/>
      <c r="EZK43" s="10"/>
      <c r="EZL43" s="10"/>
      <c r="EZM43" s="10"/>
      <c r="EZN43" s="10"/>
      <c r="EZO43" s="10"/>
      <c r="EZP43" s="10"/>
      <c r="EZQ43" s="10"/>
      <c r="EZR43" s="10"/>
      <c r="EZS43" s="10"/>
      <c r="EZT43" s="10"/>
      <c r="EZU43" s="10"/>
      <c r="EZV43" s="10"/>
      <c r="EZW43" s="10"/>
      <c r="EZX43" s="10"/>
      <c r="EZY43" s="10"/>
      <c r="EZZ43" s="10"/>
      <c r="FAA43" s="10"/>
      <c r="FAB43" s="10"/>
      <c r="FAC43" s="10"/>
      <c r="FAD43" s="10"/>
      <c r="FAE43" s="10"/>
      <c r="FAF43" s="10"/>
      <c r="FAG43" s="10"/>
      <c r="FAH43" s="10"/>
      <c r="FAI43" s="10"/>
      <c r="FAJ43" s="10"/>
      <c r="FAK43" s="10"/>
      <c r="FAL43" s="10"/>
      <c r="FAM43" s="10"/>
      <c r="FAN43" s="10"/>
      <c r="FAO43" s="10"/>
      <c r="FAP43" s="10"/>
      <c r="FAQ43" s="10"/>
      <c r="FAR43" s="10"/>
      <c r="FAS43" s="10"/>
      <c r="FAT43" s="10"/>
      <c r="FAU43" s="10"/>
      <c r="FAV43" s="10"/>
      <c r="FAW43" s="10"/>
      <c r="FAX43" s="10"/>
      <c r="FAY43" s="10"/>
      <c r="FAZ43" s="10"/>
      <c r="FBA43" s="10"/>
      <c r="FBB43" s="10"/>
      <c r="FBC43" s="10"/>
      <c r="FBD43" s="10"/>
      <c r="FBE43" s="10"/>
      <c r="FBF43" s="10"/>
      <c r="FBG43" s="10"/>
      <c r="FBH43" s="10"/>
      <c r="FBI43" s="10"/>
      <c r="FBJ43" s="10"/>
      <c r="FBK43" s="10"/>
      <c r="FBL43" s="10"/>
      <c r="FBM43" s="10"/>
      <c r="FBN43" s="10"/>
      <c r="FBO43" s="10"/>
      <c r="FBP43" s="10"/>
      <c r="FBQ43" s="10"/>
      <c r="FBR43" s="10"/>
      <c r="FBS43" s="10"/>
      <c r="FBT43" s="10"/>
      <c r="FBU43" s="10"/>
      <c r="FBV43" s="10"/>
      <c r="FBW43" s="10"/>
      <c r="FBX43" s="10"/>
      <c r="FBY43" s="10"/>
      <c r="FBZ43" s="10"/>
      <c r="FCA43" s="10"/>
      <c r="FCB43" s="10"/>
      <c r="FCC43" s="10"/>
      <c r="FCD43" s="10"/>
      <c r="FCE43" s="10"/>
      <c r="FCF43" s="10"/>
      <c r="FCG43" s="10"/>
      <c r="FCH43" s="10"/>
      <c r="FCI43" s="10"/>
      <c r="FCJ43" s="10"/>
      <c r="FCK43" s="10"/>
      <c r="FCL43" s="10"/>
      <c r="FCM43" s="10"/>
      <c r="FCN43" s="10"/>
      <c r="FCO43" s="10"/>
      <c r="FCP43" s="10"/>
      <c r="FCQ43" s="10"/>
      <c r="FCR43" s="10"/>
      <c r="FCS43" s="10"/>
      <c r="FCT43" s="10"/>
      <c r="FCU43" s="10"/>
      <c r="FCV43" s="10"/>
      <c r="FCW43" s="10"/>
      <c r="FCX43" s="10"/>
      <c r="FCY43" s="10"/>
      <c r="FCZ43" s="10"/>
      <c r="FDA43" s="10"/>
      <c r="FDB43" s="10"/>
      <c r="FDC43" s="10"/>
      <c r="FDD43" s="10"/>
      <c r="FDE43" s="10"/>
      <c r="FDF43" s="10"/>
      <c r="FDG43" s="10"/>
      <c r="FDH43" s="10"/>
      <c r="FDI43" s="10"/>
      <c r="FDJ43" s="10"/>
      <c r="FDK43" s="10"/>
      <c r="FDL43" s="10"/>
      <c r="FDM43" s="10"/>
      <c r="FDN43" s="10"/>
      <c r="FDO43" s="10"/>
      <c r="FDP43" s="10"/>
      <c r="FDQ43" s="10"/>
      <c r="FDR43" s="10"/>
      <c r="FDS43" s="10"/>
      <c r="FDT43" s="10"/>
      <c r="FDU43" s="10"/>
      <c r="FDV43" s="10"/>
      <c r="FDW43" s="10"/>
      <c r="FDX43" s="10"/>
      <c r="FDY43" s="10"/>
      <c r="FDZ43" s="10"/>
      <c r="FEA43" s="10"/>
      <c r="FEB43" s="10"/>
      <c r="FEC43" s="10"/>
      <c r="FED43" s="10"/>
      <c r="FEE43" s="10"/>
      <c r="FEF43" s="10"/>
      <c r="FEG43" s="10"/>
      <c r="FEH43" s="10"/>
      <c r="FEI43" s="10"/>
      <c r="FEJ43" s="10"/>
      <c r="FEK43" s="10"/>
      <c r="FEL43" s="10"/>
      <c r="FEM43" s="10"/>
      <c r="FEN43" s="10"/>
      <c r="FEO43" s="10"/>
      <c r="FEP43" s="10"/>
      <c r="FEQ43" s="10"/>
      <c r="FER43" s="10"/>
      <c r="FES43" s="10"/>
      <c r="FET43" s="10"/>
      <c r="FEU43" s="10"/>
      <c r="FEV43" s="10"/>
      <c r="FEW43" s="10"/>
      <c r="FEX43" s="10"/>
      <c r="FEY43" s="10"/>
      <c r="FEZ43" s="10"/>
      <c r="FFA43" s="10"/>
      <c r="FFB43" s="10"/>
      <c r="FFC43" s="10"/>
      <c r="FFD43" s="10"/>
      <c r="FFE43" s="10"/>
      <c r="FFF43" s="10"/>
      <c r="FFG43" s="10"/>
      <c r="FFH43" s="10"/>
      <c r="FFI43" s="10"/>
      <c r="FFJ43" s="10"/>
      <c r="FFK43" s="10"/>
      <c r="FFL43" s="10"/>
      <c r="FFM43" s="10"/>
      <c r="FFN43" s="10"/>
      <c r="FFO43" s="10"/>
      <c r="FFP43" s="10"/>
      <c r="FFQ43" s="10"/>
      <c r="FFR43" s="10"/>
      <c r="FFS43" s="10"/>
      <c r="FFT43" s="10"/>
      <c r="FFU43" s="10"/>
      <c r="FFV43" s="10"/>
      <c r="FFW43" s="10"/>
      <c r="FFX43" s="10"/>
      <c r="FFY43" s="10"/>
      <c r="FFZ43" s="10"/>
      <c r="FGA43" s="10"/>
      <c r="FGB43" s="10"/>
      <c r="FGC43" s="10"/>
      <c r="FGD43" s="10"/>
      <c r="FGE43" s="10"/>
      <c r="FGF43" s="10"/>
      <c r="FGG43" s="10"/>
      <c r="FGH43" s="10"/>
      <c r="FGI43" s="10"/>
      <c r="FGJ43" s="10"/>
      <c r="FGK43" s="10"/>
      <c r="FGL43" s="10"/>
      <c r="FGM43" s="10"/>
      <c r="FGN43" s="10"/>
      <c r="FGO43" s="10"/>
      <c r="FGP43" s="10"/>
      <c r="FGQ43" s="10"/>
      <c r="FGR43" s="10"/>
      <c r="FGS43" s="10"/>
      <c r="FGT43" s="10"/>
      <c r="FGU43" s="10"/>
      <c r="FGV43" s="10"/>
      <c r="FGW43" s="10"/>
      <c r="FGX43" s="10"/>
      <c r="FGY43" s="10"/>
      <c r="FGZ43" s="10"/>
      <c r="FHA43" s="10"/>
      <c r="FHB43" s="10"/>
      <c r="FHC43" s="10"/>
      <c r="FHD43" s="10"/>
      <c r="FHE43" s="10"/>
      <c r="FHF43" s="10"/>
      <c r="FHG43" s="10"/>
      <c r="FHH43" s="10"/>
      <c r="FHI43" s="10"/>
      <c r="FHJ43" s="10"/>
      <c r="FHK43" s="10"/>
      <c r="FHL43" s="10"/>
      <c r="FHM43" s="10"/>
      <c r="FHN43" s="10"/>
      <c r="FHO43" s="10"/>
      <c r="FHP43" s="10"/>
      <c r="FHQ43" s="10"/>
      <c r="FHR43" s="10"/>
      <c r="FHS43" s="10"/>
      <c r="FHT43" s="10"/>
      <c r="FHU43" s="10"/>
      <c r="FHV43" s="10"/>
      <c r="FHW43" s="10"/>
      <c r="FHX43" s="10"/>
      <c r="FHY43" s="10"/>
      <c r="FHZ43" s="10"/>
      <c r="FIA43" s="10"/>
      <c r="FIB43" s="10"/>
      <c r="FIC43" s="10"/>
      <c r="FID43" s="10"/>
      <c r="FIE43" s="10"/>
      <c r="FIF43" s="10"/>
      <c r="FIG43" s="10"/>
      <c r="FIH43" s="10"/>
      <c r="FII43" s="10"/>
      <c r="FIJ43" s="10"/>
      <c r="FIK43" s="10"/>
      <c r="FIL43" s="10"/>
      <c r="FIM43" s="10"/>
      <c r="FIN43" s="10"/>
      <c r="FIO43" s="10"/>
      <c r="FIP43" s="10"/>
      <c r="FIQ43" s="10"/>
      <c r="FIR43" s="10"/>
      <c r="FIS43" s="10"/>
      <c r="FIT43" s="10"/>
      <c r="FIU43" s="10"/>
      <c r="FIV43" s="10"/>
      <c r="FIW43" s="10"/>
      <c r="FIX43" s="10"/>
      <c r="FIY43" s="10"/>
      <c r="FIZ43" s="10"/>
      <c r="FJA43" s="10"/>
      <c r="FJB43" s="10"/>
      <c r="FJC43" s="10"/>
      <c r="FJD43" s="10"/>
      <c r="FJE43" s="10"/>
      <c r="FJF43" s="10"/>
      <c r="FJG43" s="10"/>
      <c r="FJH43" s="10"/>
      <c r="FJI43" s="10"/>
      <c r="FJJ43" s="10"/>
      <c r="FJK43" s="10"/>
      <c r="FJL43" s="10"/>
      <c r="FJM43" s="10"/>
      <c r="FJN43" s="10"/>
      <c r="FJO43" s="10"/>
      <c r="FJP43" s="10"/>
      <c r="FJQ43" s="10"/>
      <c r="FJR43" s="10"/>
      <c r="FJS43" s="10"/>
      <c r="FJT43" s="10"/>
      <c r="FJU43" s="10"/>
      <c r="FJV43" s="10"/>
      <c r="FJW43" s="10"/>
      <c r="FJX43" s="10"/>
      <c r="FJY43" s="10"/>
      <c r="FJZ43" s="10"/>
      <c r="FKA43" s="10"/>
      <c r="FKB43" s="10"/>
      <c r="FKC43" s="10"/>
      <c r="FKD43" s="10"/>
      <c r="FKE43" s="10"/>
      <c r="FKF43" s="10"/>
      <c r="FKG43" s="10"/>
      <c r="FKH43" s="10"/>
      <c r="FKI43" s="10"/>
      <c r="FKJ43" s="10"/>
      <c r="FKK43" s="10"/>
      <c r="FKL43" s="10"/>
      <c r="FKM43" s="10"/>
      <c r="FKN43" s="10"/>
      <c r="FKO43" s="10"/>
      <c r="FKP43" s="10"/>
      <c r="FKQ43" s="10"/>
      <c r="FKR43" s="10"/>
      <c r="FKS43" s="10"/>
      <c r="FKT43" s="10"/>
      <c r="FKU43" s="10"/>
      <c r="FKV43" s="10"/>
      <c r="FKW43" s="10"/>
      <c r="FKX43" s="10"/>
      <c r="FKY43" s="10"/>
      <c r="FKZ43" s="10"/>
      <c r="FLA43" s="10"/>
      <c r="FLB43" s="10"/>
      <c r="FLC43" s="10"/>
      <c r="FLD43" s="10"/>
      <c r="FLE43" s="10"/>
      <c r="FLF43" s="10"/>
      <c r="FLG43" s="10"/>
      <c r="FLH43" s="10"/>
      <c r="FLI43" s="10"/>
      <c r="FLJ43" s="10"/>
      <c r="FLK43" s="10"/>
      <c r="FLL43" s="10"/>
      <c r="FLM43" s="10"/>
      <c r="FLN43" s="10"/>
      <c r="FLO43" s="10"/>
      <c r="FLP43" s="10"/>
      <c r="FLQ43" s="10"/>
      <c r="FLR43" s="10"/>
      <c r="FLS43" s="10"/>
      <c r="FLT43" s="10"/>
      <c r="FLU43" s="10"/>
      <c r="FLV43" s="10"/>
      <c r="FLW43" s="10"/>
      <c r="FLX43" s="10"/>
      <c r="FLY43" s="10"/>
      <c r="FLZ43" s="10"/>
      <c r="FMA43" s="10"/>
      <c r="FMB43" s="10"/>
      <c r="FMC43" s="10"/>
      <c r="FMD43" s="10"/>
      <c r="FME43" s="10"/>
      <c r="FMF43" s="10"/>
      <c r="FMG43" s="10"/>
      <c r="FMH43" s="10"/>
      <c r="FMI43" s="10"/>
      <c r="FMJ43" s="10"/>
      <c r="FMK43" s="10"/>
      <c r="FML43" s="10"/>
      <c r="FMM43" s="10"/>
      <c r="FMN43" s="10"/>
      <c r="FMO43" s="10"/>
      <c r="FMP43" s="10"/>
      <c r="FMQ43" s="10"/>
      <c r="FMR43" s="10"/>
      <c r="FMS43" s="10"/>
      <c r="FMT43" s="10"/>
      <c r="FMU43" s="10"/>
      <c r="FMV43" s="10"/>
      <c r="FMW43" s="10"/>
      <c r="FMX43" s="10"/>
      <c r="FMY43" s="10"/>
      <c r="FMZ43" s="10"/>
      <c r="FNA43" s="10"/>
      <c r="FNB43" s="10"/>
      <c r="FNC43" s="10"/>
      <c r="FND43" s="10"/>
      <c r="FNE43" s="10"/>
      <c r="FNF43" s="10"/>
      <c r="FNG43" s="10"/>
      <c r="FNH43" s="10"/>
      <c r="FNI43" s="10"/>
      <c r="FNJ43" s="10"/>
      <c r="FNK43" s="10"/>
      <c r="FNL43" s="10"/>
      <c r="FNM43" s="10"/>
      <c r="FNN43" s="10"/>
      <c r="FNO43" s="10"/>
      <c r="FNP43" s="10"/>
      <c r="FNQ43" s="10"/>
      <c r="FNR43" s="10"/>
      <c r="FNS43" s="10"/>
      <c r="FNT43" s="10"/>
      <c r="FNU43" s="10"/>
      <c r="FNV43" s="10"/>
      <c r="FNW43" s="10"/>
      <c r="FNX43" s="10"/>
      <c r="FNY43" s="10"/>
      <c r="FNZ43" s="10"/>
      <c r="FOA43" s="10"/>
      <c r="FOB43" s="10"/>
      <c r="FOC43" s="10"/>
      <c r="FOD43" s="10"/>
      <c r="FOE43" s="10"/>
      <c r="FOF43" s="10"/>
      <c r="FOG43" s="10"/>
      <c r="FOH43" s="10"/>
      <c r="FOI43" s="10"/>
      <c r="FOJ43" s="10"/>
      <c r="FOK43" s="10"/>
      <c r="FOL43" s="10"/>
      <c r="FOM43" s="10"/>
      <c r="FON43" s="10"/>
      <c r="FOO43" s="10"/>
      <c r="FOP43" s="10"/>
      <c r="FOQ43" s="10"/>
      <c r="FOR43" s="10"/>
      <c r="FOS43" s="10"/>
      <c r="FOT43" s="10"/>
      <c r="FOU43" s="10"/>
      <c r="FOV43" s="10"/>
      <c r="FOW43" s="10"/>
      <c r="FOX43" s="10"/>
      <c r="FOY43" s="10"/>
      <c r="FOZ43" s="10"/>
      <c r="FPA43" s="10"/>
      <c r="FPB43" s="10"/>
      <c r="FPC43" s="10"/>
      <c r="FPD43" s="10"/>
      <c r="FPE43" s="10"/>
      <c r="FPF43" s="10"/>
      <c r="FPG43" s="10"/>
      <c r="FPH43" s="10"/>
      <c r="FPI43" s="10"/>
      <c r="FPJ43" s="10"/>
      <c r="FPK43" s="10"/>
      <c r="FPL43" s="10"/>
      <c r="FPM43" s="10"/>
      <c r="FPN43" s="10"/>
      <c r="FPO43" s="10"/>
      <c r="FPP43" s="10"/>
      <c r="FPQ43" s="10"/>
      <c r="FPR43" s="10"/>
      <c r="FPS43" s="10"/>
      <c r="FPT43" s="10"/>
      <c r="FPU43" s="10"/>
      <c r="FPV43" s="10"/>
      <c r="FPW43" s="10"/>
      <c r="FPX43" s="10"/>
      <c r="FPY43" s="10"/>
      <c r="FPZ43" s="10"/>
      <c r="FQA43" s="10"/>
      <c r="FQB43" s="10"/>
      <c r="FQC43" s="10"/>
      <c r="FQD43" s="10"/>
      <c r="FQE43" s="10"/>
      <c r="FQF43" s="10"/>
      <c r="FQG43" s="10"/>
      <c r="FQH43" s="10"/>
      <c r="FQI43" s="10"/>
      <c r="FQJ43" s="10"/>
      <c r="FQK43" s="10"/>
      <c r="FQL43" s="10"/>
      <c r="FQM43" s="10"/>
      <c r="FQN43" s="10"/>
      <c r="FQO43" s="10"/>
      <c r="FQP43" s="10"/>
      <c r="FQQ43" s="10"/>
      <c r="FQR43" s="10"/>
      <c r="FQS43" s="10"/>
      <c r="FQT43" s="10"/>
      <c r="FQU43" s="10"/>
      <c r="FQV43" s="10"/>
      <c r="FQW43" s="10"/>
      <c r="FQX43" s="10"/>
      <c r="FQY43" s="10"/>
      <c r="FQZ43" s="10"/>
      <c r="FRA43" s="10"/>
      <c r="FRB43" s="10"/>
      <c r="FRC43" s="10"/>
      <c r="FRD43" s="10"/>
      <c r="FRE43" s="10"/>
      <c r="FRF43" s="10"/>
      <c r="FRG43" s="10"/>
      <c r="FRH43" s="10"/>
      <c r="FRI43" s="10"/>
      <c r="FRJ43" s="10"/>
      <c r="FRK43" s="10"/>
      <c r="FRL43" s="10"/>
      <c r="FRM43" s="10"/>
      <c r="FRN43" s="10"/>
      <c r="FRO43" s="10"/>
      <c r="FRP43" s="10"/>
      <c r="FRQ43" s="10"/>
      <c r="FRR43" s="10"/>
      <c r="FRS43" s="10"/>
      <c r="FRT43" s="10"/>
      <c r="FRU43" s="10"/>
      <c r="FRV43" s="10"/>
      <c r="FRW43" s="10"/>
      <c r="FRX43" s="10"/>
      <c r="FRY43" s="10"/>
      <c r="FRZ43" s="10"/>
      <c r="FSA43" s="10"/>
      <c r="FSB43" s="10"/>
      <c r="FSC43" s="10"/>
      <c r="FSD43" s="10"/>
      <c r="FSE43" s="10"/>
      <c r="FSF43" s="10"/>
      <c r="FSG43" s="10"/>
      <c r="FSH43" s="10"/>
      <c r="FSI43" s="10"/>
      <c r="FSJ43" s="10"/>
      <c r="FSK43" s="10"/>
      <c r="FSL43" s="10"/>
      <c r="FSM43" s="10"/>
      <c r="FSN43" s="10"/>
      <c r="FSO43" s="10"/>
      <c r="FSP43" s="10"/>
      <c r="FSQ43" s="10"/>
      <c r="FSR43" s="10"/>
      <c r="FSS43" s="10"/>
      <c r="FST43" s="10"/>
      <c r="FSU43" s="10"/>
      <c r="FSV43" s="10"/>
      <c r="FSW43" s="10"/>
      <c r="FSX43" s="10"/>
      <c r="FSY43" s="10"/>
      <c r="FSZ43" s="10"/>
      <c r="FTA43" s="10"/>
      <c r="FTB43" s="10"/>
      <c r="FTC43" s="10"/>
      <c r="FTD43" s="10"/>
      <c r="FTE43" s="10"/>
      <c r="FTF43" s="10"/>
      <c r="FTG43" s="10"/>
      <c r="FTH43" s="10"/>
      <c r="FTI43" s="10"/>
      <c r="FTJ43" s="10"/>
      <c r="FTK43" s="10"/>
      <c r="FTL43" s="10"/>
      <c r="FTM43" s="10"/>
      <c r="FTN43" s="10"/>
      <c r="FTO43" s="10"/>
      <c r="FTP43" s="10"/>
      <c r="FTQ43" s="10"/>
      <c r="FTR43" s="10"/>
      <c r="FTS43" s="10"/>
      <c r="FTT43" s="10"/>
      <c r="FTU43" s="10"/>
      <c r="FTV43" s="10"/>
      <c r="FTW43" s="10"/>
      <c r="FTX43" s="10"/>
      <c r="FTY43" s="10"/>
      <c r="FTZ43" s="10"/>
      <c r="FUA43" s="10"/>
      <c r="FUB43" s="10"/>
      <c r="FUC43" s="10"/>
      <c r="FUD43" s="10"/>
      <c r="FUE43" s="10"/>
      <c r="FUF43" s="10"/>
      <c r="FUG43" s="10"/>
      <c r="FUH43" s="10"/>
      <c r="FUI43" s="10"/>
      <c r="FUJ43" s="10"/>
      <c r="FUK43" s="10"/>
      <c r="FUL43" s="10"/>
      <c r="FUM43" s="10"/>
      <c r="FUN43" s="10"/>
      <c r="FUO43" s="10"/>
      <c r="FUP43" s="10"/>
      <c r="FUQ43" s="10"/>
      <c r="FUR43" s="10"/>
      <c r="FUS43" s="10"/>
      <c r="FUT43" s="10"/>
      <c r="FUU43" s="10"/>
      <c r="FUV43" s="10"/>
      <c r="FUW43" s="10"/>
      <c r="FUX43" s="10"/>
      <c r="FUY43" s="10"/>
      <c r="FUZ43" s="10"/>
      <c r="FVA43" s="10"/>
      <c r="FVB43" s="10"/>
      <c r="FVC43" s="10"/>
      <c r="FVD43" s="10"/>
      <c r="FVE43" s="10"/>
      <c r="FVF43" s="10"/>
      <c r="FVG43" s="10"/>
      <c r="FVH43" s="10"/>
      <c r="FVI43" s="10"/>
      <c r="FVJ43" s="10"/>
      <c r="FVK43" s="10"/>
      <c r="FVL43" s="10"/>
      <c r="FVM43" s="10"/>
      <c r="FVN43" s="10"/>
      <c r="FVO43" s="10"/>
      <c r="FVP43" s="10"/>
      <c r="FVQ43" s="10"/>
      <c r="FVR43" s="10"/>
      <c r="FVS43" s="10"/>
      <c r="FVT43" s="10"/>
      <c r="FVU43" s="10"/>
      <c r="FVV43" s="10"/>
      <c r="FVW43" s="10"/>
      <c r="FVX43" s="10"/>
      <c r="FVY43" s="10"/>
      <c r="FVZ43" s="10"/>
      <c r="FWA43" s="10"/>
      <c r="FWB43" s="10"/>
      <c r="FWC43" s="10"/>
      <c r="FWD43" s="10"/>
      <c r="FWE43" s="10"/>
      <c r="FWF43" s="10"/>
      <c r="FWG43" s="10"/>
      <c r="FWH43" s="10"/>
      <c r="FWI43" s="10"/>
      <c r="FWJ43" s="10"/>
      <c r="FWK43" s="10"/>
      <c r="FWL43" s="10"/>
      <c r="FWM43" s="10"/>
      <c r="FWN43" s="10"/>
      <c r="FWO43" s="10"/>
      <c r="FWP43" s="10"/>
      <c r="FWQ43" s="10"/>
      <c r="FWR43" s="10"/>
      <c r="FWS43" s="10"/>
      <c r="FWT43" s="10"/>
      <c r="FWU43" s="10"/>
      <c r="FWV43" s="10"/>
      <c r="FWW43" s="10"/>
      <c r="FWX43" s="10"/>
      <c r="FWY43" s="10"/>
      <c r="FWZ43" s="10"/>
      <c r="FXA43" s="10"/>
      <c r="FXB43" s="10"/>
      <c r="FXC43" s="10"/>
      <c r="FXD43" s="10"/>
      <c r="FXE43" s="10"/>
      <c r="FXF43" s="10"/>
      <c r="FXG43" s="10"/>
      <c r="FXH43" s="10"/>
      <c r="FXI43" s="10"/>
      <c r="FXJ43" s="10"/>
      <c r="FXK43" s="10"/>
      <c r="FXL43" s="10"/>
      <c r="FXM43" s="10"/>
      <c r="FXN43" s="10"/>
      <c r="FXO43" s="10"/>
      <c r="FXP43" s="10"/>
      <c r="FXQ43" s="10"/>
      <c r="FXR43" s="10"/>
      <c r="FXS43" s="10"/>
      <c r="FXT43" s="10"/>
      <c r="FXU43" s="10"/>
      <c r="FXV43" s="10"/>
      <c r="FXW43" s="10"/>
      <c r="FXX43" s="10"/>
      <c r="FXY43" s="10"/>
      <c r="FXZ43" s="10"/>
      <c r="FYA43" s="10"/>
      <c r="FYB43" s="10"/>
      <c r="FYC43" s="10"/>
      <c r="FYD43" s="10"/>
      <c r="FYE43" s="10"/>
      <c r="FYF43" s="10"/>
      <c r="FYG43" s="10"/>
      <c r="FYH43" s="10"/>
      <c r="FYI43" s="10"/>
      <c r="FYJ43" s="10"/>
      <c r="FYK43" s="10"/>
      <c r="FYL43" s="10"/>
      <c r="FYM43" s="10"/>
      <c r="FYN43" s="10"/>
      <c r="FYO43" s="10"/>
      <c r="FYP43" s="10"/>
      <c r="FYQ43" s="10"/>
      <c r="FYR43" s="10"/>
      <c r="FYS43" s="10"/>
      <c r="FYT43" s="10"/>
      <c r="FYU43" s="10"/>
      <c r="FYV43" s="10"/>
      <c r="FYW43" s="10"/>
      <c r="FYX43" s="10"/>
      <c r="FYY43" s="10"/>
      <c r="FYZ43" s="10"/>
      <c r="FZA43" s="10"/>
      <c r="FZB43" s="10"/>
      <c r="FZC43" s="10"/>
      <c r="FZD43" s="10"/>
      <c r="FZE43" s="10"/>
      <c r="FZF43" s="10"/>
      <c r="FZG43" s="10"/>
      <c r="FZH43" s="10"/>
      <c r="FZI43" s="10"/>
      <c r="FZJ43" s="10"/>
      <c r="FZK43" s="10"/>
      <c r="FZL43" s="10"/>
      <c r="FZM43" s="10"/>
      <c r="FZN43" s="10"/>
      <c r="FZO43" s="10"/>
      <c r="FZP43" s="10"/>
      <c r="FZQ43" s="10"/>
      <c r="FZR43" s="10"/>
      <c r="FZS43" s="10"/>
      <c r="FZT43" s="10"/>
      <c r="FZU43" s="10"/>
      <c r="FZV43" s="10"/>
      <c r="FZW43" s="10"/>
      <c r="FZX43" s="10"/>
      <c r="FZY43" s="10"/>
      <c r="FZZ43" s="10"/>
      <c r="GAA43" s="10"/>
      <c r="GAB43" s="10"/>
      <c r="GAC43" s="10"/>
      <c r="GAD43" s="10"/>
      <c r="GAE43" s="10"/>
      <c r="GAF43" s="10"/>
      <c r="GAG43" s="10"/>
      <c r="GAH43" s="10"/>
      <c r="GAI43" s="10"/>
      <c r="GAJ43" s="10"/>
      <c r="GAK43" s="10"/>
      <c r="GAL43" s="10"/>
      <c r="GAM43" s="10"/>
      <c r="GAN43" s="10"/>
      <c r="GAO43" s="10"/>
      <c r="GAP43" s="10"/>
      <c r="GAQ43" s="10"/>
      <c r="GAR43" s="10"/>
      <c r="GAS43" s="10"/>
      <c r="GAT43" s="10"/>
      <c r="GAU43" s="10"/>
      <c r="GAV43" s="10"/>
      <c r="GAW43" s="10"/>
      <c r="GAX43" s="10"/>
      <c r="GAY43" s="10"/>
      <c r="GAZ43" s="10"/>
      <c r="GBA43" s="10"/>
      <c r="GBB43" s="10"/>
      <c r="GBC43" s="10"/>
      <c r="GBD43" s="10"/>
      <c r="GBE43" s="10"/>
      <c r="GBF43" s="10"/>
      <c r="GBG43" s="10"/>
      <c r="GBH43" s="10"/>
      <c r="GBI43" s="10"/>
      <c r="GBJ43" s="10"/>
      <c r="GBK43" s="10"/>
      <c r="GBL43" s="10"/>
      <c r="GBM43" s="10"/>
      <c r="GBN43" s="10"/>
      <c r="GBO43" s="10"/>
      <c r="GBP43" s="10"/>
      <c r="GBQ43" s="10"/>
      <c r="GBR43" s="10"/>
      <c r="GBS43" s="10"/>
      <c r="GBT43" s="10"/>
      <c r="GBU43" s="10"/>
      <c r="GBV43" s="10"/>
      <c r="GBW43" s="10"/>
      <c r="GBX43" s="10"/>
      <c r="GBY43" s="10"/>
      <c r="GBZ43" s="10"/>
      <c r="GCA43" s="10"/>
      <c r="GCB43" s="10"/>
      <c r="GCC43" s="10"/>
      <c r="GCD43" s="10"/>
      <c r="GCE43" s="10"/>
      <c r="GCF43" s="10"/>
      <c r="GCG43" s="10"/>
      <c r="GCH43" s="10"/>
      <c r="GCI43" s="10"/>
      <c r="GCJ43" s="10"/>
      <c r="GCK43" s="10"/>
      <c r="GCL43" s="10"/>
      <c r="GCM43" s="10"/>
      <c r="GCN43" s="10"/>
      <c r="GCO43" s="10"/>
      <c r="GCP43" s="10"/>
      <c r="GCQ43" s="10"/>
      <c r="GCR43" s="10"/>
      <c r="GCS43" s="10"/>
      <c r="GCT43" s="10"/>
      <c r="GCU43" s="10"/>
      <c r="GCV43" s="10"/>
      <c r="GCW43" s="10"/>
      <c r="GCX43" s="10"/>
      <c r="GCY43" s="10"/>
      <c r="GCZ43" s="10"/>
      <c r="GDA43" s="10"/>
      <c r="GDB43" s="10"/>
      <c r="GDC43" s="10"/>
      <c r="GDD43" s="10"/>
      <c r="GDE43" s="10"/>
      <c r="GDF43" s="10"/>
      <c r="GDG43" s="10"/>
      <c r="GDH43" s="10"/>
      <c r="GDI43" s="10"/>
      <c r="GDJ43" s="10"/>
      <c r="GDK43" s="10"/>
      <c r="GDL43" s="10"/>
      <c r="GDM43" s="10"/>
      <c r="GDN43" s="10"/>
      <c r="GDO43" s="10"/>
      <c r="GDP43" s="10"/>
      <c r="GDQ43" s="10"/>
      <c r="GDR43" s="10"/>
      <c r="GDS43" s="10"/>
      <c r="GDT43" s="10"/>
      <c r="GDU43" s="10"/>
      <c r="GDV43" s="10"/>
      <c r="GDW43" s="10"/>
      <c r="GDX43" s="10"/>
      <c r="GDY43" s="10"/>
      <c r="GDZ43" s="10"/>
      <c r="GEA43" s="10"/>
      <c r="GEB43" s="10"/>
      <c r="GEC43" s="10"/>
      <c r="GED43" s="10"/>
      <c r="GEE43" s="10"/>
      <c r="GEF43" s="10"/>
      <c r="GEG43" s="10"/>
      <c r="GEH43" s="10"/>
      <c r="GEI43" s="10"/>
      <c r="GEJ43" s="10"/>
      <c r="GEK43" s="10"/>
      <c r="GEL43" s="10"/>
      <c r="GEM43" s="10"/>
      <c r="GEN43" s="10"/>
      <c r="GEO43" s="10"/>
      <c r="GEP43" s="10"/>
      <c r="GEQ43" s="10"/>
      <c r="GER43" s="10"/>
      <c r="GES43" s="10"/>
      <c r="GET43" s="10"/>
      <c r="GEU43" s="10"/>
      <c r="GEV43" s="10"/>
      <c r="GEW43" s="10"/>
      <c r="GEX43" s="10"/>
      <c r="GEY43" s="10"/>
      <c r="GEZ43" s="10"/>
      <c r="GFA43" s="10"/>
      <c r="GFB43" s="10"/>
      <c r="GFC43" s="10"/>
      <c r="GFD43" s="10"/>
      <c r="GFE43" s="10"/>
      <c r="GFF43" s="10"/>
      <c r="GFG43" s="10"/>
      <c r="GFH43" s="10"/>
      <c r="GFI43" s="10"/>
      <c r="GFJ43" s="10"/>
      <c r="GFK43" s="10"/>
      <c r="GFL43" s="10"/>
      <c r="GFM43" s="10"/>
      <c r="GFN43" s="10"/>
      <c r="GFO43" s="10"/>
      <c r="GFP43" s="10"/>
      <c r="GFQ43" s="10"/>
      <c r="GFR43" s="10"/>
      <c r="GFS43" s="10"/>
      <c r="GFT43" s="10"/>
      <c r="GFU43" s="10"/>
      <c r="GFV43" s="10"/>
      <c r="GFW43" s="10"/>
      <c r="GFX43" s="10"/>
      <c r="GFY43" s="10"/>
      <c r="GFZ43" s="10"/>
      <c r="GGA43" s="10"/>
      <c r="GGB43" s="10"/>
      <c r="GGC43" s="10"/>
      <c r="GGD43" s="10"/>
      <c r="GGE43" s="10"/>
      <c r="GGF43" s="10"/>
      <c r="GGG43" s="10"/>
      <c r="GGH43" s="10"/>
      <c r="GGI43" s="10"/>
      <c r="GGJ43" s="10"/>
      <c r="GGK43" s="10"/>
      <c r="GGL43" s="10"/>
      <c r="GGM43" s="10"/>
      <c r="GGN43" s="10"/>
      <c r="GGO43" s="10"/>
      <c r="GGP43" s="10"/>
      <c r="GGQ43" s="10"/>
      <c r="GGR43" s="10"/>
      <c r="GGS43" s="10"/>
      <c r="GGT43" s="10"/>
      <c r="GGU43" s="10"/>
      <c r="GGV43" s="10"/>
      <c r="GGW43" s="10"/>
      <c r="GGX43" s="10"/>
      <c r="GGY43" s="10"/>
      <c r="GGZ43" s="10"/>
      <c r="GHA43" s="10"/>
      <c r="GHB43" s="10"/>
      <c r="GHC43" s="10"/>
      <c r="GHD43" s="10"/>
      <c r="GHE43" s="10"/>
      <c r="GHF43" s="10"/>
      <c r="GHG43" s="10"/>
      <c r="GHH43" s="10"/>
      <c r="GHI43" s="10"/>
      <c r="GHJ43" s="10"/>
      <c r="GHK43" s="10"/>
      <c r="GHL43" s="10"/>
      <c r="GHM43" s="10"/>
      <c r="GHN43" s="10"/>
      <c r="GHO43" s="10"/>
      <c r="GHP43" s="10"/>
      <c r="GHQ43" s="10"/>
      <c r="GHR43" s="10"/>
      <c r="GHS43" s="10"/>
      <c r="GHT43" s="10"/>
      <c r="GHU43" s="10"/>
      <c r="GHV43" s="10"/>
      <c r="GHW43" s="10"/>
      <c r="GHX43" s="10"/>
      <c r="GHY43" s="10"/>
      <c r="GHZ43" s="10"/>
      <c r="GIA43" s="10"/>
      <c r="GIB43" s="10"/>
      <c r="GIC43" s="10"/>
      <c r="GID43" s="10"/>
      <c r="GIE43" s="10"/>
      <c r="GIF43" s="10"/>
      <c r="GIG43" s="10"/>
      <c r="GIH43" s="10"/>
      <c r="GII43" s="10"/>
      <c r="GIJ43" s="10"/>
      <c r="GIK43" s="10"/>
      <c r="GIL43" s="10"/>
      <c r="GIM43" s="10"/>
      <c r="GIN43" s="10"/>
      <c r="GIO43" s="10"/>
      <c r="GIP43" s="10"/>
      <c r="GIQ43" s="10"/>
      <c r="GIR43" s="10"/>
      <c r="GIS43" s="10"/>
      <c r="GIT43" s="10"/>
      <c r="GIU43" s="10"/>
      <c r="GIV43" s="10"/>
      <c r="GIW43" s="10"/>
      <c r="GIX43" s="10"/>
      <c r="GIY43" s="10"/>
      <c r="GIZ43" s="10"/>
      <c r="GJA43" s="10"/>
      <c r="GJB43" s="10"/>
      <c r="GJC43" s="10"/>
      <c r="GJD43" s="10"/>
      <c r="GJE43" s="10"/>
      <c r="GJF43" s="10"/>
      <c r="GJG43" s="10"/>
      <c r="GJH43" s="10"/>
      <c r="GJI43" s="10"/>
      <c r="GJJ43" s="10"/>
      <c r="GJK43" s="10"/>
      <c r="GJL43" s="10"/>
      <c r="GJM43" s="10"/>
      <c r="GJN43" s="10"/>
      <c r="GJO43" s="10"/>
      <c r="GJP43" s="10"/>
      <c r="GJQ43" s="10"/>
      <c r="GJR43" s="10"/>
      <c r="GJS43" s="10"/>
      <c r="GJT43" s="10"/>
      <c r="GJU43" s="10"/>
      <c r="GJV43" s="10"/>
      <c r="GJW43" s="10"/>
      <c r="GJX43" s="10"/>
      <c r="GJY43" s="10"/>
      <c r="GJZ43" s="10"/>
      <c r="GKA43" s="10"/>
      <c r="GKB43" s="10"/>
      <c r="GKC43" s="10"/>
      <c r="GKD43" s="10"/>
      <c r="GKE43" s="10"/>
      <c r="GKF43" s="10"/>
      <c r="GKG43" s="10"/>
      <c r="GKH43" s="10"/>
      <c r="GKI43" s="10"/>
      <c r="GKJ43" s="10"/>
      <c r="GKK43" s="10"/>
      <c r="GKL43" s="10"/>
      <c r="GKM43" s="10"/>
      <c r="GKN43" s="10"/>
      <c r="GKO43" s="10"/>
      <c r="GKP43" s="10"/>
      <c r="GKQ43" s="10"/>
      <c r="GKR43" s="10"/>
      <c r="GKS43" s="10"/>
      <c r="GKT43" s="10"/>
      <c r="GKU43" s="10"/>
      <c r="GKV43" s="10"/>
      <c r="GKW43" s="10"/>
      <c r="GKX43" s="10"/>
      <c r="GKY43" s="10"/>
      <c r="GKZ43" s="10"/>
      <c r="GLA43" s="10"/>
      <c r="GLB43" s="10"/>
      <c r="GLC43" s="10"/>
      <c r="GLD43" s="10"/>
      <c r="GLE43" s="10"/>
      <c r="GLF43" s="10"/>
      <c r="GLG43" s="10"/>
      <c r="GLH43" s="10"/>
      <c r="GLI43" s="10"/>
      <c r="GLJ43" s="10"/>
      <c r="GLK43" s="10"/>
      <c r="GLL43" s="10"/>
      <c r="GLM43" s="10"/>
      <c r="GLN43" s="10"/>
      <c r="GLO43" s="10"/>
      <c r="GLP43" s="10"/>
      <c r="GLQ43" s="10"/>
      <c r="GLR43" s="10"/>
      <c r="GLS43" s="10"/>
      <c r="GLT43" s="10"/>
      <c r="GLU43" s="10"/>
      <c r="GLV43" s="10"/>
      <c r="GLW43" s="10"/>
      <c r="GLX43" s="10"/>
      <c r="GLY43" s="10"/>
      <c r="GLZ43" s="10"/>
      <c r="GMA43" s="10"/>
      <c r="GMB43" s="10"/>
      <c r="GMC43" s="10"/>
      <c r="GMD43" s="10"/>
      <c r="GME43" s="10"/>
      <c r="GMF43" s="10"/>
      <c r="GMG43" s="10"/>
      <c r="GMH43" s="10"/>
      <c r="GMI43" s="10"/>
      <c r="GMJ43" s="10"/>
      <c r="GMK43" s="10"/>
      <c r="GML43" s="10"/>
      <c r="GMM43" s="10"/>
      <c r="GMN43" s="10"/>
      <c r="GMO43" s="10"/>
      <c r="GMP43" s="10"/>
      <c r="GMQ43" s="10"/>
      <c r="GMR43" s="10"/>
      <c r="GMS43" s="10"/>
      <c r="GMT43" s="10"/>
      <c r="GMU43" s="10"/>
      <c r="GMV43" s="10"/>
      <c r="GMW43" s="10"/>
      <c r="GMX43" s="10"/>
      <c r="GMY43" s="10"/>
      <c r="GMZ43" s="10"/>
      <c r="GNA43" s="10"/>
      <c r="GNB43" s="10"/>
      <c r="GNC43" s="10"/>
      <c r="GND43" s="10"/>
      <c r="GNE43" s="10"/>
      <c r="GNF43" s="10"/>
      <c r="GNG43" s="10"/>
      <c r="GNH43" s="10"/>
      <c r="GNI43" s="10"/>
      <c r="GNJ43" s="10"/>
      <c r="GNK43" s="10"/>
      <c r="GNL43" s="10"/>
      <c r="GNM43" s="10"/>
      <c r="GNN43" s="10"/>
      <c r="GNO43" s="10"/>
      <c r="GNP43" s="10"/>
      <c r="GNQ43" s="10"/>
      <c r="GNR43" s="10"/>
      <c r="GNS43" s="10"/>
      <c r="GNT43" s="10"/>
      <c r="GNU43" s="10"/>
      <c r="GNV43" s="10"/>
      <c r="GNW43" s="10"/>
      <c r="GNX43" s="10"/>
      <c r="GNY43" s="10"/>
      <c r="GNZ43" s="10"/>
      <c r="GOA43" s="10"/>
      <c r="GOB43" s="10"/>
      <c r="GOC43" s="10"/>
      <c r="GOD43" s="10"/>
      <c r="GOE43" s="10"/>
      <c r="GOF43" s="10"/>
      <c r="GOG43" s="10"/>
      <c r="GOH43" s="10"/>
      <c r="GOI43" s="10"/>
      <c r="GOJ43" s="10"/>
      <c r="GOK43" s="10"/>
      <c r="GOL43" s="10"/>
      <c r="GOM43" s="10"/>
      <c r="GON43" s="10"/>
      <c r="GOO43" s="10"/>
      <c r="GOP43" s="10"/>
      <c r="GOQ43" s="10"/>
      <c r="GOR43" s="10"/>
      <c r="GOS43" s="10"/>
      <c r="GOT43" s="10"/>
      <c r="GOU43" s="10"/>
      <c r="GOV43" s="10"/>
      <c r="GOW43" s="10"/>
      <c r="GOX43" s="10"/>
      <c r="GOY43" s="10"/>
      <c r="GOZ43" s="10"/>
      <c r="GPA43" s="10"/>
      <c r="GPB43" s="10"/>
      <c r="GPC43" s="10"/>
      <c r="GPD43" s="10"/>
      <c r="GPE43" s="10"/>
      <c r="GPF43" s="10"/>
      <c r="GPG43" s="10"/>
      <c r="GPH43" s="10"/>
      <c r="GPI43" s="10"/>
      <c r="GPJ43" s="10"/>
      <c r="GPK43" s="10"/>
      <c r="GPL43" s="10"/>
      <c r="GPM43" s="10"/>
      <c r="GPN43" s="10"/>
      <c r="GPO43" s="10"/>
      <c r="GPP43" s="10"/>
      <c r="GPQ43" s="10"/>
      <c r="GPR43" s="10"/>
      <c r="GPS43" s="10"/>
      <c r="GPT43" s="10"/>
      <c r="GPU43" s="10"/>
      <c r="GPV43" s="10"/>
      <c r="GPW43" s="10"/>
      <c r="GPX43" s="10"/>
      <c r="GPY43" s="10"/>
      <c r="GPZ43" s="10"/>
      <c r="GQA43" s="10"/>
      <c r="GQB43" s="10"/>
      <c r="GQC43" s="10"/>
      <c r="GQD43" s="10"/>
      <c r="GQE43" s="10"/>
      <c r="GQF43" s="10"/>
      <c r="GQG43" s="10"/>
      <c r="GQH43" s="10"/>
      <c r="GQI43" s="10"/>
      <c r="GQJ43" s="10"/>
      <c r="GQK43" s="10"/>
      <c r="GQL43" s="10"/>
      <c r="GQM43" s="10"/>
      <c r="GQN43" s="10"/>
      <c r="GQO43" s="10"/>
      <c r="GQP43" s="10"/>
      <c r="GQQ43" s="10"/>
      <c r="GQR43" s="10"/>
      <c r="GQS43" s="10"/>
      <c r="GQT43" s="10"/>
      <c r="GQU43" s="10"/>
      <c r="GQV43" s="10"/>
      <c r="GQW43" s="10"/>
      <c r="GQX43" s="10"/>
      <c r="GQY43" s="10"/>
      <c r="GQZ43" s="10"/>
      <c r="GRA43" s="10"/>
      <c r="GRB43" s="10"/>
      <c r="GRC43" s="10"/>
      <c r="GRD43" s="10"/>
      <c r="GRE43" s="10"/>
      <c r="GRF43" s="10"/>
      <c r="GRG43" s="10"/>
      <c r="GRH43" s="10"/>
      <c r="GRI43" s="10"/>
      <c r="GRJ43" s="10"/>
      <c r="GRK43" s="10"/>
      <c r="GRL43" s="10"/>
      <c r="GRM43" s="10"/>
      <c r="GRN43" s="10"/>
      <c r="GRO43" s="10"/>
      <c r="GRP43" s="10"/>
      <c r="GRQ43" s="10"/>
      <c r="GRR43" s="10"/>
      <c r="GRS43" s="10"/>
      <c r="GRT43" s="10"/>
      <c r="GRU43" s="10"/>
      <c r="GRV43" s="10"/>
      <c r="GRW43" s="10"/>
      <c r="GRX43" s="10"/>
      <c r="GRY43" s="10"/>
      <c r="GRZ43" s="10"/>
      <c r="GSA43" s="10"/>
      <c r="GSB43" s="10"/>
      <c r="GSC43" s="10"/>
      <c r="GSD43" s="10"/>
      <c r="GSE43" s="10"/>
      <c r="GSF43" s="10"/>
      <c r="GSG43" s="10"/>
      <c r="GSH43" s="10"/>
      <c r="GSI43" s="10"/>
      <c r="GSJ43" s="10"/>
      <c r="GSK43" s="10"/>
      <c r="GSL43" s="10"/>
      <c r="GSM43" s="10"/>
      <c r="GSN43" s="10"/>
      <c r="GSO43" s="10"/>
      <c r="GSP43" s="10"/>
      <c r="GSQ43" s="10"/>
      <c r="GSR43" s="10"/>
      <c r="GSS43" s="10"/>
      <c r="GST43" s="10"/>
      <c r="GSU43" s="10"/>
      <c r="GSV43" s="10"/>
      <c r="GSW43" s="10"/>
      <c r="GSX43" s="10"/>
      <c r="GSY43" s="10"/>
      <c r="GSZ43" s="10"/>
      <c r="GTA43" s="10"/>
      <c r="GTB43" s="10"/>
      <c r="GTC43" s="10"/>
      <c r="GTD43" s="10"/>
      <c r="GTE43" s="10"/>
      <c r="GTF43" s="10"/>
      <c r="GTG43" s="10"/>
      <c r="GTH43" s="10"/>
      <c r="GTI43" s="10"/>
      <c r="GTJ43" s="10"/>
      <c r="GTK43" s="10"/>
      <c r="GTL43" s="10"/>
      <c r="GTM43" s="10"/>
      <c r="GTN43" s="10"/>
      <c r="GTO43" s="10"/>
      <c r="GTP43" s="10"/>
      <c r="GTQ43" s="10"/>
      <c r="GTR43" s="10"/>
      <c r="GTS43" s="10"/>
      <c r="GTT43" s="10"/>
      <c r="GTU43" s="10"/>
      <c r="GTV43" s="10"/>
      <c r="GTW43" s="10"/>
      <c r="GTX43" s="10"/>
      <c r="GTY43" s="10"/>
      <c r="GTZ43" s="10"/>
      <c r="GUA43" s="10"/>
      <c r="GUB43" s="10"/>
      <c r="GUC43" s="10"/>
      <c r="GUD43" s="10"/>
      <c r="GUE43" s="10"/>
      <c r="GUF43" s="10"/>
      <c r="GUG43" s="10"/>
      <c r="GUH43" s="10"/>
      <c r="GUI43" s="10"/>
      <c r="GUJ43" s="10"/>
      <c r="GUK43" s="10"/>
      <c r="GUL43" s="10"/>
      <c r="GUM43" s="10"/>
      <c r="GUN43" s="10"/>
      <c r="GUO43" s="10"/>
      <c r="GUP43" s="10"/>
      <c r="GUQ43" s="10"/>
      <c r="GUR43" s="10"/>
      <c r="GUS43" s="10"/>
      <c r="GUT43" s="10"/>
      <c r="GUU43" s="10"/>
      <c r="GUV43" s="10"/>
      <c r="GUW43" s="10"/>
      <c r="GUX43" s="10"/>
      <c r="GUY43" s="10"/>
      <c r="GUZ43" s="10"/>
      <c r="GVA43" s="10"/>
      <c r="GVB43" s="10"/>
      <c r="GVC43" s="10"/>
      <c r="GVD43" s="10"/>
      <c r="GVE43" s="10"/>
      <c r="GVF43" s="10"/>
      <c r="GVG43" s="10"/>
      <c r="GVH43" s="10"/>
      <c r="GVI43" s="10"/>
      <c r="GVJ43" s="10"/>
      <c r="GVK43" s="10"/>
      <c r="GVL43" s="10"/>
      <c r="GVM43" s="10"/>
      <c r="GVN43" s="10"/>
      <c r="GVO43" s="10"/>
      <c r="GVP43" s="10"/>
      <c r="GVQ43" s="10"/>
      <c r="GVR43" s="10"/>
      <c r="GVS43" s="10"/>
      <c r="GVT43" s="10"/>
      <c r="GVU43" s="10"/>
      <c r="GVV43" s="10"/>
      <c r="GVW43" s="10"/>
      <c r="GVX43" s="10"/>
      <c r="GVY43" s="10"/>
      <c r="GVZ43" s="10"/>
      <c r="GWA43" s="10"/>
      <c r="GWB43" s="10"/>
      <c r="GWC43" s="10"/>
      <c r="GWD43" s="10"/>
      <c r="GWE43" s="10"/>
      <c r="GWF43" s="10"/>
      <c r="GWG43" s="10"/>
      <c r="GWH43" s="10"/>
      <c r="GWI43" s="10"/>
      <c r="GWJ43" s="10"/>
      <c r="GWK43" s="10"/>
      <c r="GWL43" s="10"/>
      <c r="GWM43" s="10"/>
      <c r="GWN43" s="10"/>
      <c r="GWO43" s="10"/>
      <c r="GWP43" s="10"/>
      <c r="GWQ43" s="10"/>
      <c r="GWR43" s="10"/>
      <c r="GWS43" s="10"/>
      <c r="GWT43" s="10"/>
      <c r="GWU43" s="10"/>
      <c r="GWV43" s="10"/>
      <c r="GWW43" s="10"/>
      <c r="GWX43" s="10"/>
      <c r="GWY43" s="10"/>
      <c r="GWZ43" s="10"/>
      <c r="GXA43" s="10"/>
      <c r="GXB43" s="10"/>
      <c r="GXC43" s="10"/>
      <c r="GXD43" s="10"/>
      <c r="GXE43" s="10"/>
      <c r="GXF43" s="10"/>
      <c r="GXG43" s="10"/>
      <c r="GXH43" s="10"/>
      <c r="GXI43" s="10"/>
      <c r="GXJ43" s="10"/>
      <c r="GXK43" s="10"/>
      <c r="GXL43" s="10"/>
      <c r="GXM43" s="10"/>
      <c r="GXN43" s="10"/>
      <c r="GXO43" s="10"/>
      <c r="GXP43" s="10"/>
      <c r="GXQ43" s="10"/>
      <c r="GXR43" s="10"/>
      <c r="GXS43" s="10"/>
      <c r="GXT43" s="10"/>
      <c r="GXU43" s="10"/>
      <c r="GXV43" s="10"/>
      <c r="GXW43" s="10"/>
      <c r="GXX43" s="10"/>
      <c r="GXY43" s="10"/>
      <c r="GXZ43" s="10"/>
      <c r="GYA43" s="10"/>
      <c r="GYB43" s="10"/>
      <c r="GYC43" s="10"/>
      <c r="GYD43" s="10"/>
      <c r="GYE43" s="10"/>
      <c r="GYF43" s="10"/>
      <c r="GYG43" s="10"/>
      <c r="GYH43" s="10"/>
      <c r="GYI43" s="10"/>
      <c r="GYJ43" s="10"/>
      <c r="GYK43" s="10"/>
      <c r="GYL43" s="10"/>
      <c r="GYM43" s="10"/>
      <c r="GYN43" s="10"/>
      <c r="GYO43" s="10"/>
      <c r="GYP43" s="10"/>
      <c r="GYQ43" s="10"/>
      <c r="GYR43" s="10"/>
      <c r="GYS43" s="10"/>
      <c r="GYT43" s="10"/>
      <c r="GYU43" s="10"/>
      <c r="GYV43" s="10"/>
      <c r="GYW43" s="10"/>
      <c r="GYX43" s="10"/>
      <c r="GYY43" s="10"/>
      <c r="GYZ43" s="10"/>
      <c r="GZA43" s="10"/>
      <c r="GZB43" s="10"/>
      <c r="GZC43" s="10"/>
      <c r="GZD43" s="10"/>
      <c r="GZE43" s="10"/>
      <c r="GZF43" s="10"/>
      <c r="GZG43" s="10"/>
      <c r="GZH43" s="10"/>
      <c r="GZI43" s="10"/>
      <c r="GZJ43" s="10"/>
      <c r="GZK43" s="10"/>
      <c r="GZL43" s="10"/>
      <c r="GZM43" s="10"/>
      <c r="GZN43" s="10"/>
      <c r="GZO43" s="10"/>
      <c r="GZP43" s="10"/>
      <c r="GZQ43" s="10"/>
      <c r="GZR43" s="10"/>
      <c r="GZS43" s="10"/>
      <c r="GZT43" s="10"/>
      <c r="GZU43" s="10"/>
      <c r="GZV43" s="10"/>
      <c r="GZW43" s="10"/>
      <c r="GZX43" s="10"/>
      <c r="GZY43" s="10"/>
      <c r="GZZ43" s="10"/>
      <c r="HAA43" s="10"/>
      <c r="HAB43" s="10"/>
      <c r="HAC43" s="10"/>
      <c r="HAD43" s="10"/>
      <c r="HAE43" s="10"/>
      <c r="HAF43" s="10"/>
      <c r="HAG43" s="10"/>
      <c r="HAH43" s="10"/>
      <c r="HAI43" s="10"/>
      <c r="HAJ43" s="10"/>
      <c r="HAK43" s="10"/>
      <c r="HAL43" s="10"/>
      <c r="HAM43" s="10"/>
      <c r="HAN43" s="10"/>
      <c r="HAO43" s="10"/>
      <c r="HAP43" s="10"/>
      <c r="HAQ43" s="10"/>
      <c r="HAR43" s="10"/>
      <c r="HAS43" s="10"/>
      <c r="HAT43" s="10"/>
      <c r="HAU43" s="10"/>
      <c r="HAV43" s="10"/>
      <c r="HAW43" s="10"/>
      <c r="HAX43" s="10"/>
      <c r="HAY43" s="10"/>
      <c r="HAZ43" s="10"/>
      <c r="HBA43" s="10"/>
      <c r="HBB43" s="10"/>
      <c r="HBC43" s="10"/>
      <c r="HBD43" s="10"/>
      <c r="HBE43" s="10"/>
      <c r="HBF43" s="10"/>
      <c r="HBG43" s="10"/>
      <c r="HBH43" s="10"/>
      <c r="HBI43" s="10"/>
      <c r="HBJ43" s="10"/>
      <c r="HBK43" s="10"/>
      <c r="HBL43" s="10"/>
      <c r="HBM43" s="10"/>
      <c r="HBN43" s="10"/>
      <c r="HBO43" s="10"/>
      <c r="HBP43" s="10"/>
      <c r="HBQ43" s="10"/>
      <c r="HBR43" s="10"/>
      <c r="HBS43" s="10"/>
      <c r="HBT43" s="10"/>
      <c r="HBU43" s="10"/>
      <c r="HBV43" s="10"/>
      <c r="HBW43" s="10"/>
      <c r="HBX43" s="10"/>
      <c r="HBY43" s="10"/>
      <c r="HBZ43" s="10"/>
      <c r="HCA43" s="10"/>
      <c r="HCB43" s="10"/>
      <c r="HCC43" s="10"/>
      <c r="HCD43" s="10"/>
      <c r="HCE43" s="10"/>
      <c r="HCF43" s="10"/>
      <c r="HCG43" s="10"/>
      <c r="HCH43" s="10"/>
      <c r="HCI43" s="10"/>
      <c r="HCJ43" s="10"/>
      <c r="HCK43" s="10"/>
      <c r="HCL43" s="10"/>
      <c r="HCM43" s="10"/>
      <c r="HCN43" s="10"/>
      <c r="HCO43" s="10"/>
      <c r="HCP43" s="10"/>
      <c r="HCQ43" s="10"/>
      <c r="HCR43" s="10"/>
      <c r="HCS43" s="10"/>
      <c r="HCT43" s="10"/>
      <c r="HCU43" s="10"/>
      <c r="HCV43" s="10"/>
      <c r="HCW43" s="10"/>
      <c r="HCX43" s="10"/>
      <c r="HCY43" s="10"/>
      <c r="HCZ43" s="10"/>
      <c r="HDA43" s="10"/>
      <c r="HDB43" s="10"/>
      <c r="HDC43" s="10"/>
      <c r="HDD43" s="10"/>
      <c r="HDE43" s="10"/>
      <c r="HDF43" s="10"/>
      <c r="HDG43" s="10"/>
      <c r="HDH43" s="10"/>
      <c r="HDI43" s="10"/>
      <c r="HDJ43" s="10"/>
      <c r="HDK43" s="10"/>
      <c r="HDL43" s="10"/>
      <c r="HDM43" s="10"/>
      <c r="HDN43" s="10"/>
      <c r="HDO43" s="10"/>
      <c r="HDP43" s="10"/>
      <c r="HDQ43" s="10"/>
      <c r="HDR43" s="10"/>
      <c r="HDS43" s="10"/>
      <c r="HDT43" s="10"/>
      <c r="HDU43" s="10"/>
      <c r="HDV43" s="10"/>
      <c r="HDW43" s="10"/>
      <c r="HDX43" s="10"/>
      <c r="HDY43" s="10"/>
      <c r="HDZ43" s="10"/>
      <c r="HEA43" s="10"/>
      <c r="HEB43" s="10"/>
      <c r="HEC43" s="10"/>
      <c r="HED43" s="10"/>
      <c r="HEE43" s="10"/>
      <c r="HEF43" s="10"/>
      <c r="HEG43" s="10"/>
      <c r="HEH43" s="10"/>
      <c r="HEI43" s="10"/>
      <c r="HEJ43" s="10"/>
      <c r="HEK43" s="10"/>
      <c r="HEL43" s="10"/>
      <c r="HEM43" s="10"/>
      <c r="HEN43" s="10"/>
      <c r="HEO43" s="10"/>
      <c r="HEP43" s="10"/>
      <c r="HEQ43" s="10"/>
      <c r="HER43" s="10"/>
      <c r="HES43" s="10"/>
      <c r="HET43" s="10"/>
      <c r="HEU43" s="10"/>
      <c r="HEV43" s="10"/>
      <c r="HEW43" s="10"/>
      <c r="HEX43" s="10"/>
      <c r="HEY43" s="10"/>
      <c r="HEZ43" s="10"/>
      <c r="HFA43" s="10"/>
      <c r="HFB43" s="10"/>
      <c r="HFC43" s="10"/>
      <c r="HFD43" s="10"/>
      <c r="HFE43" s="10"/>
      <c r="HFF43" s="10"/>
      <c r="HFG43" s="10"/>
      <c r="HFH43" s="10"/>
      <c r="HFI43" s="10"/>
      <c r="HFJ43" s="10"/>
      <c r="HFK43" s="10"/>
      <c r="HFL43" s="10"/>
      <c r="HFM43" s="10"/>
      <c r="HFN43" s="10"/>
      <c r="HFO43" s="10"/>
      <c r="HFP43" s="10"/>
      <c r="HFQ43" s="10"/>
      <c r="HFR43" s="10"/>
      <c r="HFS43" s="10"/>
      <c r="HFT43" s="10"/>
      <c r="HFU43" s="10"/>
      <c r="HFV43" s="10"/>
      <c r="HFW43" s="10"/>
      <c r="HFX43" s="10"/>
      <c r="HFY43" s="10"/>
      <c r="HFZ43" s="10"/>
      <c r="HGA43" s="10"/>
      <c r="HGB43" s="10"/>
      <c r="HGC43" s="10"/>
      <c r="HGD43" s="10"/>
      <c r="HGE43" s="10"/>
      <c r="HGF43" s="10"/>
      <c r="HGG43" s="10"/>
      <c r="HGH43" s="10"/>
      <c r="HGI43" s="10"/>
      <c r="HGJ43" s="10"/>
      <c r="HGK43" s="10"/>
      <c r="HGL43" s="10"/>
      <c r="HGM43" s="10"/>
      <c r="HGN43" s="10"/>
      <c r="HGO43" s="10"/>
      <c r="HGP43" s="10"/>
      <c r="HGQ43" s="10"/>
      <c r="HGR43" s="10"/>
      <c r="HGS43" s="10"/>
      <c r="HGT43" s="10"/>
      <c r="HGU43" s="10"/>
      <c r="HGV43" s="10"/>
      <c r="HGW43" s="10"/>
      <c r="HGX43" s="10"/>
      <c r="HGY43" s="10"/>
      <c r="HGZ43" s="10"/>
      <c r="HHA43" s="10"/>
      <c r="HHB43" s="10"/>
      <c r="HHC43" s="10"/>
      <c r="HHD43" s="10"/>
      <c r="HHE43" s="10"/>
      <c r="HHF43" s="10"/>
      <c r="HHG43" s="10"/>
      <c r="HHH43" s="10"/>
      <c r="HHI43" s="10"/>
      <c r="HHJ43" s="10"/>
      <c r="HHK43" s="10"/>
      <c r="HHL43" s="10"/>
      <c r="HHM43" s="10"/>
      <c r="HHN43" s="10"/>
      <c r="HHO43" s="10"/>
      <c r="HHP43" s="10"/>
      <c r="HHQ43" s="10"/>
      <c r="HHR43" s="10"/>
      <c r="HHS43" s="10"/>
      <c r="HHT43" s="10"/>
      <c r="HHU43" s="10"/>
      <c r="HHV43" s="10"/>
      <c r="HHW43" s="10"/>
      <c r="HHX43" s="10"/>
      <c r="HHY43" s="10"/>
      <c r="HHZ43" s="10"/>
      <c r="HIA43" s="10"/>
      <c r="HIB43" s="10"/>
      <c r="HIC43" s="10"/>
      <c r="HID43" s="10"/>
      <c r="HIE43" s="10"/>
      <c r="HIF43" s="10"/>
      <c r="HIG43" s="10"/>
      <c r="HIH43" s="10"/>
      <c r="HII43" s="10"/>
      <c r="HIJ43" s="10"/>
      <c r="HIK43" s="10"/>
      <c r="HIL43" s="10"/>
      <c r="HIM43" s="10"/>
      <c r="HIN43" s="10"/>
      <c r="HIO43" s="10"/>
      <c r="HIP43" s="10"/>
      <c r="HIQ43" s="10"/>
      <c r="HIR43" s="10"/>
      <c r="HIS43" s="10"/>
      <c r="HIT43" s="10"/>
      <c r="HIU43" s="10"/>
      <c r="HIV43" s="10"/>
      <c r="HIW43" s="10"/>
      <c r="HIX43" s="10"/>
      <c r="HIY43" s="10"/>
      <c r="HIZ43" s="10"/>
      <c r="HJA43" s="10"/>
      <c r="HJB43" s="10"/>
      <c r="HJC43" s="10"/>
      <c r="HJD43" s="10"/>
      <c r="HJE43" s="10"/>
      <c r="HJF43" s="10"/>
      <c r="HJG43" s="10"/>
      <c r="HJH43" s="10"/>
      <c r="HJI43" s="10"/>
      <c r="HJJ43" s="10"/>
      <c r="HJK43" s="10"/>
      <c r="HJL43" s="10"/>
      <c r="HJM43" s="10"/>
      <c r="HJN43" s="10"/>
      <c r="HJO43" s="10"/>
      <c r="HJP43" s="10"/>
      <c r="HJQ43" s="10"/>
      <c r="HJR43" s="10"/>
      <c r="HJS43" s="10"/>
      <c r="HJT43" s="10"/>
      <c r="HJU43" s="10"/>
      <c r="HJV43" s="10"/>
      <c r="HJW43" s="10"/>
      <c r="HJX43" s="10"/>
      <c r="HJY43" s="10"/>
      <c r="HJZ43" s="10"/>
      <c r="HKA43" s="10"/>
      <c r="HKB43" s="10"/>
      <c r="HKC43" s="10"/>
      <c r="HKD43" s="10"/>
      <c r="HKE43" s="10"/>
      <c r="HKF43" s="10"/>
      <c r="HKG43" s="10"/>
      <c r="HKH43" s="10"/>
      <c r="HKI43" s="10"/>
      <c r="HKJ43" s="10"/>
      <c r="HKK43" s="10"/>
      <c r="HKL43" s="10"/>
      <c r="HKM43" s="10"/>
      <c r="HKN43" s="10"/>
      <c r="HKO43" s="10"/>
      <c r="HKP43" s="10"/>
      <c r="HKQ43" s="10"/>
      <c r="HKR43" s="10"/>
      <c r="HKS43" s="10"/>
      <c r="HKT43" s="10"/>
      <c r="HKU43" s="10"/>
      <c r="HKV43" s="10"/>
      <c r="HKW43" s="10"/>
      <c r="HKX43" s="10"/>
      <c r="HKY43" s="10"/>
      <c r="HKZ43" s="10"/>
      <c r="HLA43" s="10"/>
      <c r="HLB43" s="10"/>
      <c r="HLC43" s="10"/>
      <c r="HLD43" s="10"/>
      <c r="HLE43" s="10"/>
      <c r="HLF43" s="10"/>
      <c r="HLG43" s="10"/>
      <c r="HLH43" s="10"/>
      <c r="HLI43" s="10"/>
      <c r="HLJ43" s="10"/>
      <c r="HLK43" s="10"/>
      <c r="HLL43" s="10"/>
      <c r="HLM43" s="10"/>
      <c r="HLN43" s="10"/>
      <c r="HLO43" s="10"/>
      <c r="HLP43" s="10"/>
      <c r="HLQ43" s="10"/>
      <c r="HLR43" s="10"/>
      <c r="HLS43" s="10"/>
      <c r="HLT43" s="10"/>
      <c r="HLU43" s="10"/>
      <c r="HLV43" s="10"/>
      <c r="HLW43" s="10"/>
      <c r="HLX43" s="10"/>
      <c r="HLY43" s="10"/>
      <c r="HLZ43" s="10"/>
      <c r="HMA43" s="10"/>
      <c r="HMB43" s="10"/>
      <c r="HMC43" s="10"/>
      <c r="HMD43" s="10"/>
      <c r="HME43" s="10"/>
      <c r="HMF43" s="10"/>
      <c r="HMG43" s="10"/>
      <c r="HMH43" s="10"/>
      <c r="HMI43" s="10"/>
      <c r="HMJ43" s="10"/>
      <c r="HMK43" s="10"/>
      <c r="HML43" s="10"/>
      <c r="HMM43" s="10"/>
      <c r="HMN43" s="10"/>
      <c r="HMO43" s="10"/>
      <c r="HMP43" s="10"/>
      <c r="HMQ43" s="10"/>
      <c r="HMR43" s="10"/>
      <c r="HMS43" s="10"/>
      <c r="HMT43" s="10"/>
      <c r="HMU43" s="10"/>
      <c r="HMV43" s="10"/>
      <c r="HMW43" s="10"/>
      <c r="HMX43" s="10"/>
      <c r="HMY43" s="10"/>
      <c r="HMZ43" s="10"/>
      <c r="HNA43" s="10"/>
      <c r="HNB43" s="10"/>
      <c r="HNC43" s="10"/>
      <c r="HND43" s="10"/>
      <c r="HNE43" s="10"/>
      <c r="HNF43" s="10"/>
      <c r="HNG43" s="10"/>
      <c r="HNH43" s="10"/>
      <c r="HNI43" s="10"/>
      <c r="HNJ43" s="10"/>
      <c r="HNK43" s="10"/>
      <c r="HNL43" s="10"/>
      <c r="HNM43" s="10"/>
      <c r="HNN43" s="10"/>
      <c r="HNO43" s="10"/>
      <c r="HNP43" s="10"/>
      <c r="HNQ43" s="10"/>
      <c r="HNR43" s="10"/>
      <c r="HNS43" s="10"/>
      <c r="HNT43" s="10"/>
      <c r="HNU43" s="10"/>
      <c r="HNV43" s="10"/>
      <c r="HNW43" s="10"/>
      <c r="HNX43" s="10"/>
      <c r="HNY43" s="10"/>
      <c r="HNZ43" s="10"/>
      <c r="HOA43" s="10"/>
      <c r="HOB43" s="10"/>
      <c r="HOC43" s="10"/>
      <c r="HOD43" s="10"/>
      <c r="HOE43" s="10"/>
      <c r="HOF43" s="10"/>
      <c r="HOG43" s="10"/>
      <c r="HOH43" s="10"/>
      <c r="HOI43" s="10"/>
      <c r="HOJ43" s="10"/>
      <c r="HOK43" s="10"/>
      <c r="HOL43" s="10"/>
      <c r="HOM43" s="10"/>
      <c r="HON43" s="10"/>
      <c r="HOO43" s="10"/>
      <c r="HOP43" s="10"/>
      <c r="HOQ43" s="10"/>
      <c r="HOR43" s="10"/>
      <c r="HOS43" s="10"/>
      <c r="HOT43" s="10"/>
      <c r="HOU43" s="10"/>
      <c r="HOV43" s="10"/>
      <c r="HOW43" s="10"/>
      <c r="HOX43" s="10"/>
      <c r="HOY43" s="10"/>
      <c r="HOZ43" s="10"/>
      <c r="HPA43" s="10"/>
      <c r="HPB43" s="10"/>
      <c r="HPC43" s="10"/>
      <c r="HPD43" s="10"/>
      <c r="HPE43" s="10"/>
      <c r="HPF43" s="10"/>
      <c r="HPG43" s="10"/>
      <c r="HPH43" s="10"/>
      <c r="HPI43" s="10"/>
      <c r="HPJ43" s="10"/>
      <c r="HPK43" s="10"/>
      <c r="HPL43" s="10"/>
      <c r="HPM43" s="10"/>
      <c r="HPN43" s="10"/>
      <c r="HPO43" s="10"/>
      <c r="HPP43" s="10"/>
      <c r="HPQ43" s="10"/>
      <c r="HPR43" s="10"/>
      <c r="HPS43" s="10"/>
      <c r="HPT43" s="10"/>
      <c r="HPU43" s="10"/>
      <c r="HPV43" s="10"/>
      <c r="HPW43" s="10"/>
      <c r="HPX43" s="10"/>
      <c r="HPY43" s="10"/>
      <c r="HPZ43" s="10"/>
      <c r="HQA43" s="10"/>
      <c r="HQB43" s="10"/>
      <c r="HQC43" s="10"/>
      <c r="HQD43" s="10"/>
      <c r="HQE43" s="10"/>
      <c r="HQF43" s="10"/>
      <c r="HQG43" s="10"/>
      <c r="HQH43" s="10"/>
      <c r="HQI43" s="10"/>
      <c r="HQJ43" s="10"/>
      <c r="HQK43" s="10"/>
      <c r="HQL43" s="10"/>
      <c r="HQM43" s="10"/>
      <c r="HQN43" s="10"/>
      <c r="HQO43" s="10"/>
      <c r="HQP43" s="10"/>
      <c r="HQQ43" s="10"/>
      <c r="HQR43" s="10"/>
      <c r="HQS43" s="10"/>
      <c r="HQT43" s="10"/>
      <c r="HQU43" s="10"/>
      <c r="HQV43" s="10"/>
      <c r="HQW43" s="10"/>
      <c r="HQX43" s="10"/>
      <c r="HQY43" s="10"/>
      <c r="HQZ43" s="10"/>
      <c r="HRA43" s="10"/>
      <c r="HRB43" s="10"/>
      <c r="HRC43" s="10"/>
      <c r="HRD43" s="10"/>
      <c r="HRE43" s="10"/>
      <c r="HRF43" s="10"/>
      <c r="HRG43" s="10"/>
      <c r="HRH43" s="10"/>
      <c r="HRI43" s="10"/>
      <c r="HRJ43" s="10"/>
      <c r="HRK43" s="10"/>
      <c r="HRL43" s="10"/>
      <c r="HRM43" s="10"/>
      <c r="HRN43" s="10"/>
      <c r="HRO43" s="10"/>
      <c r="HRP43" s="10"/>
      <c r="HRQ43" s="10"/>
      <c r="HRR43" s="10"/>
      <c r="HRS43" s="10"/>
      <c r="HRT43" s="10"/>
      <c r="HRU43" s="10"/>
      <c r="HRV43" s="10"/>
      <c r="HRW43" s="10"/>
      <c r="HRX43" s="10"/>
      <c r="HRY43" s="10"/>
      <c r="HRZ43" s="10"/>
      <c r="HSA43" s="10"/>
      <c r="HSB43" s="10"/>
      <c r="HSC43" s="10"/>
      <c r="HSD43" s="10"/>
      <c r="HSE43" s="10"/>
      <c r="HSF43" s="10"/>
      <c r="HSG43" s="10"/>
      <c r="HSH43" s="10"/>
      <c r="HSI43" s="10"/>
      <c r="HSJ43" s="10"/>
      <c r="HSK43" s="10"/>
      <c r="HSL43" s="10"/>
      <c r="HSM43" s="10"/>
      <c r="HSN43" s="10"/>
      <c r="HSO43" s="10"/>
      <c r="HSP43" s="10"/>
      <c r="HSQ43" s="10"/>
      <c r="HSR43" s="10"/>
      <c r="HSS43" s="10"/>
      <c r="HST43" s="10"/>
      <c r="HSU43" s="10"/>
      <c r="HSV43" s="10"/>
      <c r="HSW43" s="10"/>
      <c r="HSX43" s="10"/>
      <c r="HSY43" s="10"/>
      <c r="HSZ43" s="10"/>
      <c r="HTA43" s="10"/>
      <c r="HTB43" s="10"/>
      <c r="HTC43" s="10"/>
      <c r="HTD43" s="10"/>
      <c r="HTE43" s="10"/>
      <c r="HTF43" s="10"/>
      <c r="HTG43" s="10"/>
      <c r="HTH43" s="10"/>
      <c r="HTI43" s="10"/>
      <c r="HTJ43" s="10"/>
      <c r="HTK43" s="10"/>
      <c r="HTL43" s="10"/>
      <c r="HTM43" s="10"/>
      <c r="HTN43" s="10"/>
      <c r="HTO43" s="10"/>
      <c r="HTP43" s="10"/>
      <c r="HTQ43" s="10"/>
      <c r="HTR43" s="10"/>
      <c r="HTS43" s="10"/>
      <c r="HTT43" s="10"/>
      <c r="HTU43" s="10"/>
      <c r="HTV43" s="10"/>
      <c r="HTW43" s="10"/>
      <c r="HTX43" s="10"/>
      <c r="HTY43" s="10"/>
      <c r="HTZ43" s="10"/>
      <c r="HUA43" s="10"/>
      <c r="HUB43" s="10"/>
      <c r="HUC43" s="10"/>
      <c r="HUD43" s="10"/>
      <c r="HUE43" s="10"/>
      <c r="HUF43" s="10"/>
      <c r="HUG43" s="10"/>
      <c r="HUH43" s="10"/>
      <c r="HUI43" s="10"/>
      <c r="HUJ43" s="10"/>
      <c r="HUK43" s="10"/>
      <c r="HUL43" s="10"/>
      <c r="HUM43" s="10"/>
      <c r="HUN43" s="10"/>
      <c r="HUO43" s="10"/>
      <c r="HUP43" s="10"/>
      <c r="HUQ43" s="10"/>
      <c r="HUR43" s="10"/>
      <c r="HUS43" s="10"/>
      <c r="HUT43" s="10"/>
      <c r="HUU43" s="10"/>
      <c r="HUV43" s="10"/>
      <c r="HUW43" s="10"/>
      <c r="HUX43" s="10"/>
      <c r="HUY43" s="10"/>
      <c r="HUZ43" s="10"/>
      <c r="HVA43" s="10"/>
      <c r="HVB43" s="10"/>
      <c r="HVC43" s="10"/>
      <c r="HVD43" s="10"/>
      <c r="HVE43" s="10"/>
      <c r="HVF43" s="10"/>
      <c r="HVG43" s="10"/>
      <c r="HVH43" s="10"/>
      <c r="HVI43" s="10"/>
      <c r="HVJ43" s="10"/>
      <c r="HVK43" s="10"/>
      <c r="HVL43" s="10"/>
      <c r="HVM43" s="10"/>
      <c r="HVN43" s="10"/>
      <c r="HVO43" s="10"/>
      <c r="HVP43" s="10"/>
      <c r="HVQ43" s="10"/>
      <c r="HVR43" s="10"/>
      <c r="HVS43" s="10"/>
      <c r="HVT43" s="10"/>
      <c r="HVU43" s="10"/>
      <c r="HVV43" s="10"/>
      <c r="HVW43" s="10"/>
      <c r="HVX43" s="10"/>
      <c r="HVY43" s="10"/>
      <c r="HVZ43" s="10"/>
      <c r="HWA43" s="10"/>
      <c r="HWB43" s="10"/>
      <c r="HWC43" s="10"/>
      <c r="HWD43" s="10"/>
      <c r="HWE43" s="10"/>
      <c r="HWF43" s="10"/>
      <c r="HWG43" s="10"/>
      <c r="HWH43" s="10"/>
      <c r="HWI43" s="10"/>
      <c r="HWJ43" s="10"/>
      <c r="HWK43" s="10"/>
      <c r="HWL43" s="10"/>
      <c r="HWM43" s="10"/>
      <c r="HWN43" s="10"/>
      <c r="HWO43" s="10"/>
      <c r="HWP43" s="10"/>
      <c r="HWQ43" s="10"/>
      <c r="HWR43" s="10"/>
      <c r="HWS43" s="10"/>
      <c r="HWT43" s="10"/>
      <c r="HWU43" s="10"/>
      <c r="HWV43" s="10"/>
      <c r="HWW43" s="10"/>
      <c r="HWX43" s="10"/>
      <c r="HWY43" s="10"/>
      <c r="HWZ43" s="10"/>
      <c r="HXA43" s="10"/>
      <c r="HXB43" s="10"/>
      <c r="HXC43" s="10"/>
      <c r="HXD43" s="10"/>
      <c r="HXE43" s="10"/>
      <c r="HXF43" s="10"/>
      <c r="HXG43" s="10"/>
      <c r="HXH43" s="10"/>
      <c r="HXI43" s="10"/>
      <c r="HXJ43" s="10"/>
      <c r="HXK43" s="10"/>
      <c r="HXL43" s="10"/>
      <c r="HXM43" s="10"/>
      <c r="HXN43" s="10"/>
      <c r="HXO43" s="10"/>
      <c r="HXP43" s="10"/>
      <c r="HXQ43" s="10"/>
      <c r="HXR43" s="10"/>
      <c r="HXS43" s="10"/>
      <c r="HXT43" s="10"/>
      <c r="HXU43" s="10"/>
      <c r="HXV43" s="10"/>
      <c r="HXW43" s="10"/>
      <c r="HXX43" s="10"/>
      <c r="HXY43" s="10"/>
      <c r="HXZ43" s="10"/>
      <c r="HYA43" s="10"/>
      <c r="HYB43" s="10"/>
      <c r="HYC43" s="10"/>
      <c r="HYD43" s="10"/>
      <c r="HYE43" s="10"/>
      <c r="HYF43" s="10"/>
      <c r="HYG43" s="10"/>
      <c r="HYH43" s="10"/>
      <c r="HYI43" s="10"/>
      <c r="HYJ43" s="10"/>
      <c r="HYK43" s="10"/>
      <c r="HYL43" s="10"/>
      <c r="HYM43" s="10"/>
      <c r="HYN43" s="10"/>
      <c r="HYO43" s="10"/>
      <c r="HYP43" s="10"/>
      <c r="HYQ43" s="10"/>
      <c r="HYR43" s="10"/>
      <c r="HYS43" s="10"/>
      <c r="HYT43" s="10"/>
      <c r="HYU43" s="10"/>
      <c r="HYV43" s="10"/>
      <c r="HYW43" s="10"/>
      <c r="HYX43" s="10"/>
      <c r="HYY43" s="10"/>
      <c r="HYZ43" s="10"/>
      <c r="HZA43" s="10"/>
      <c r="HZB43" s="10"/>
      <c r="HZC43" s="10"/>
      <c r="HZD43" s="10"/>
      <c r="HZE43" s="10"/>
      <c r="HZF43" s="10"/>
      <c r="HZG43" s="10"/>
      <c r="HZH43" s="10"/>
      <c r="HZI43" s="10"/>
      <c r="HZJ43" s="10"/>
      <c r="HZK43" s="10"/>
      <c r="HZL43" s="10"/>
      <c r="HZM43" s="10"/>
      <c r="HZN43" s="10"/>
      <c r="HZO43" s="10"/>
      <c r="HZP43" s="10"/>
      <c r="HZQ43" s="10"/>
      <c r="HZR43" s="10"/>
      <c r="HZS43" s="10"/>
      <c r="HZT43" s="10"/>
      <c r="HZU43" s="10"/>
      <c r="HZV43" s="10"/>
      <c r="HZW43" s="10"/>
      <c r="HZX43" s="10"/>
      <c r="HZY43" s="10"/>
      <c r="HZZ43" s="10"/>
      <c r="IAA43" s="10"/>
      <c r="IAB43" s="10"/>
      <c r="IAC43" s="10"/>
      <c r="IAD43" s="10"/>
      <c r="IAE43" s="10"/>
      <c r="IAF43" s="10"/>
      <c r="IAG43" s="10"/>
      <c r="IAH43" s="10"/>
      <c r="IAI43" s="10"/>
      <c r="IAJ43" s="10"/>
      <c r="IAK43" s="10"/>
      <c r="IAL43" s="10"/>
      <c r="IAM43" s="10"/>
      <c r="IAN43" s="10"/>
      <c r="IAO43" s="10"/>
      <c r="IAP43" s="10"/>
      <c r="IAQ43" s="10"/>
      <c r="IAR43" s="10"/>
      <c r="IAS43" s="10"/>
      <c r="IAT43" s="10"/>
      <c r="IAU43" s="10"/>
      <c r="IAV43" s="10"/>
      <c r="IAW43" s="10"/>
      <c r="IAX43" s="10"/>
      <c r="IAY43" s="10"/>
      <c r="IAZ43" s="10"/>
      <c r="IBA43" s="10"/>
      <c r="IBB43" s="10"/>
      <c r="IBC43" s="10"/>
      <c r="IBD43" s="10"/>
      <c r="IBE43" s="10"/>
      <c r="IBF43" s="10"/>
      <c r="IBG43" s="10"/>
      <c r="IBH43" s="10"/>
      <c r="IBI43" s="10"/>
      <c r="IBJ43" s="10"/>
      <c r="IBK43" s="10"/>
      <c r="IBL43" s="10"/>
      <c r="IBM43" s="10"/>
      <c r="IBN43" s="10"/>
      <c r="IBO43" s="10"/>
      <c r="IBP43" s="10"/>
      <c r="IBQ43" s="10"/>
      <c r="IBR43" s="10"/>
      <c r="IBS43" s="10"/>
      <c r="IBT43" s="10"/>
      <c r="IBU43" s="10"/>
      <c r="IBV43" s="10"/>
      <c r="IBW43" s="10"/>
      <c r="IBX43" s="10"/>
      <c r="IBY43" s="10"/>
      <c r="IBZ43" s="10"/>
      <c r="ICA43" s="10"/>
      <c r="ICB43" s="10"/>
      <c r="ICC43" s="10"/>
      <c r="ICD43" s="10"/>
      <c r="ICE43" s="10"/>
      <c r="ICF43" s="10"/>
      <c r="ICG43" s="10"/>
      <c r="ICH43" s="10"/>
      <c r="ICI43" s="10"/>
      <c r="ICJ43" s="10"/>
      <c r="ICK43" s="10"/>
      <c r="ICL43" s="10"/>
      <c r="ICM43" s="10"/>
      <c r="ICN43" s="10"/>
      <c r="ICO43" s="10"/>
      <c r="ICP43" s="10"/>
      <c r="ICQ43" s="10"/>
      <c r="ICR43" s="10"/>
      <c r="ICS43" s="10"/>
      <c r="ICT43" s="10"/>
      <c r="ICU43" s="10"/>
      <c r="ICV43" s="10"/>
      <c r="ICW43" s="10"/>
      <c r="ICX43" s="10"/>
      <c r="ICY43" s="10"/>
      <c r="ICZ43" s="10"/>
      <c r="IDA43" s="10"/>
      <c r="IDB43" s="10"/>
      <c r="IDC43" s="10"/>
      <c r="IDD43" s="10"/>
      <c r="IDE43" s="10"/>
      <c r="IDF43" s="10"/>
      <c r="IDG43" s="10"/>
      <c r="IDH43" s="10"/>
      <c r="IDI43" s="10"/>
      <c r="IDJ43" s="10"/>
      <c r="IDK43" s="10"/>
      <c r="IDL43" s="10"/>
      <c r="IDM43" s="10"/>
      <c r="IDN43" s="10"/>
      <c r="IDO43" s="10"/>
      <c r="IDP43" s="10"/>
      <c r="IDQ43" s="10"/>
      <c r="IDR43" s="10"/>
      <c r="IDS43" s="10"/>
      <c r="IDT43" s="10"/>
      <c r="IDU43" s="10"/>
      <c r="IDV43" s="10"/>
      <c r="IDW43" s="10"/>
      <c r="IDX43" s="10"/>
      <c r="IDY43" s="10"/>
      <c r="IDZ43" s="10"/>
      <c r="IEA43" s="10"/>
      <c r="IEB43" s="10"/>
      <c r="IEC43" s="10"/>
      <c r="IED43" s="10"/>
      <c r="IEE43" s="10"/>
      <c r="IEF43" s="10"/>
      <c r="IEG43" s="10"/>
      <c r="IEH43" s="10"/>
      <c r="IEI43" s="10"/>
      <c r="IEJ43" s="10"/>
      <c r="IEK43" s="10"/>
      <c r="IEL43" s="10"/>
      <c r="IEM43" s="10"/>
      <c r="IEN43" s="10"/>
      <c r="IEO43" s="10"/>
      <c r="IEP43" s="10"/>
      <c r="IEQ43" s="10"/>
      <c r="IER43" s="10"/>
      <c r="IES43" s="10"/>
      <c r="IET43" s="10"/>
      <c r="IEU43" s="10"/>
      <c r="IEV43" s="10"/>
      <c r="IEW43" s="10"/>
      <c r="IEX43" s="10"/>
      <c r="IEY43" s="10"/>
      <c r="IEZ43" s="10"/>
      <c r="IFA43" s="10"/>
      <c r="IFB43" s="10"/>
      <c r="IFC43" s="10"/>
      <c r="IFD43" s="10"/>
      <c r="IFE43" s="10"/>
      <c r="IFF43" s="10"/>
      <c r="IFG43" s="10"/>
      <c r="IFH43" s="10"/>
      <c r="IFI43" s="10"/>
      <c r="IFJ43" s="10"/>
      <c r="IFK43" s="10"/>
      <c r="IFL43" s="10"/>
      <c r="IFM43" s="10"/>
      <c r="IFN43" s="10"/>
      <c r="IFO43" s="10"/>
      <c r="IFP43" s="10"/>
      <c r="IFQ43" s="10"/>
      <c r="IFR43" s="10"/>
      <c r="IFS43" s="10"/>
      <c r="IFT43" s="10"/>
      <c r="IFU43" s="10"/>
      <c r="IFV43" s="10"/>
      <c r="IFW43" s="10"/>
      <c r="IFX43" s="10"/>
      <c r="IFY43" s="10"/>
      <c r="IFZ43" s="10"/>
      <c r="IGA43" s="10"/>
      <c r="IGB43" s="10"/>
      <c r="IGC43" s="10"/>
      <c r="IGD43" s="10"/>
      <c r="IGE43" s="10"/>
      <c r="IGF43" s="10"/>
      <c r="IGG43" s="10"/>
      <c r="IGH43" s="10"/>
      <c r="IGI43" s="10"/>
      <c r="IGJ43" s="10"/>
      <c r="IGK43" s="10"/>
      <c r="IGL43" s="10"/>
      <c r="IGM43" s="10"/>
      <c r="IGN43" s="10"/>
      <c r="IGO43" s="10"/>
      <c r="IGP43" s="10"/>
      <c r="IGQ43" s="10"/>
      <c r="IGR43" s="10"/>
      <c r="IGS43" s="10"/>
      <c r="IGT43" s="10"/>
      <c r="IGU43" s="10"/>
      <c r="IGV43" s="10"/>
      <c r="IGW43" s="10"/>
      <c r="IGX43" s="10"/>
      <c r="IGY43" s="10"/>
      <c r="IGZ43" s="10"/>
      <c r="IHA43" s="10"/>
      <c r="IHB43" s="10"/>
      <c r="IHC43" s="10"/>
      <c r="IHD43" s="10"/>
      <c r="IHE43" s="10"/>
      <c r="IHF43" s="10"/>
      <c r="IHG43" s="10"/>
      <c r="IHH43" s="10"/>
      <c r="IHI43" s="10"/>
      <c r="IHJ43" s="10"/>
      <c r="IHK43" s="10"/>
      <c r="IHL43" s="10"/>
      <c r="IHM43" s="10"/>
      <c r="IHN43" s="10"/>
      <c r="IHO43" s="10"/>
      <c r="IHP43" s="10"/>
      <c r="IHQ43" s="10"/>
      <c r="IHR43" s="10"/>
      <c r="IHS43" s="10"/>
      <c r="IHT43" s="10"/>
      <c r="IHU43" s="10"/>
      <c r="IHV43" s="10"/>
      <c r="IHW43" s="10"/>
      <c r="IHX43" s="10"/>
      <c r="IHY43" s="10"/>
      <c r="IHZ43" s="10"/>
      <c r="IIA43" s="10"/>
      <c r="IIB43" s="10"/>
      <c r="IIC43" s="10"/>
      <c r="IID43" s="10"/>
      <c r="IIE43" s="10"/>
      <c r="IIF43" s="10"/>
      <c r="IIG43" s="10"/>
      <c r="IIH43" s="10"/>
      <c r="III43" s="10"/>
      <c r="IIJ43" s="10"/>
      <c r="IIK43" s="10"/>
      <c r="IIL43" s="10"/>
      <c r="IIM43" s="10"/>
      <c r="IIN43" s="10"/>
      <c r="IIO43" s="10"/>
      <c r="IIP43" s="10"/>
      <c r="IIQ43" s="10"/>
      <c r="IIR43" s="10"/>
      <c r="IIS43" s="10"/>
      <c r="IIT43" s="10"/>
      <c r="IIU43" s="10"/>
      <c r="IIV43" s="10"/>
      <c r="IIW43" s="10"/>
      <c r="IIX43" s="10"/>
      <c r="IIY43" s="10"/>
      <c r="IIZ43" s="10"/>
      <c r="IJA43" s="10"/>
      <c r="IJB43" s="10"/>
      <c r="IJC43" s="10"/>
      <c r="IJD43" s="10"/>
      <c r="IJE43" s="10"/>
      <c r="IJF43" s="10"/>
      <c r="IJG43" s="10"/>
      <c r="IJH43" s="10"/>
      <c r="IJI43" s="10"/>
      <c r="IJJ43" s="10"/>
      <c r="IJK43" s="10"/>
      <c r="IJL43" s="10"/>
      <c r="IJM43" s="10"/>
      <c r="IJN43" s="10"/>
      <c r="IJO43" s="10"/>
      <c r="IJP43" s="10"/>
      <c r="IJQ43" s="10"/>
      <c r="IJR43" s="10"/>
      <c r="IJS43" s="10"/>
      <c r="IJT43" s="10"/>
      <c r="IJU43" s="10"/>
      <c r="IJV43" s="10"/>
      <c r="IJW43" s="10"/>
      <c r="IJX43" s="10"/>
      <c r="IJY43" s="10"/>
      <c r="IJZ43" s="10"/>
      <c r="IKA43" s="10"/>
      <c r="IKB43" s="10"/>
      <c r="IKC43" s="10"/>
      <c r="IKD43" s="10"/>
      <c r="IKE43" s="10"/>
      <c r="IKF43" s="10"/>
      <c r="IKG43" s="10"/>
      <c r="IKH43" s="10"/>
      <c r="IKI43" s="10"/>
      <c r="IKJ43" s="10"/>
      <c r="IKK43" s="10"/>
      <c r="IKL43" s="10"/>
      <c r="IKM43" s="10"/>
      <c r="IKN43" s="10"/>
      <c r="IKO43" s="10"/>
      <c r="IKP43" s="10"/>
      <c r="IKQ43" s="10"/>
      <c r="IKR43" s="10"/>
      <c r="IKS43" s="10"/>
      <c r="IKT43" s="10"/>
      <c r="IKU43" s="10"/>
      <c r="IKV43" s="10"/>
      <c r="IKW43" s="10"/>
      <c r="IKX43" s="10"/>
      <c r="IKY43" s="10"/>
      <c r="IKZ43" s="10"/>
      <c r="ILA43" s="10"/>
      <c r="ILB43" s="10"/>
      <c r="ILC43" s="10"/>
      <c r="ILD43" s="10"/>
      <c r="ILE43" s="10"/>
      <c r="ILF43" s="10"/>
      <c r="ILG43" s="10"/>
      <c r="ILH43" s="10"/>
      <c r="ILI43" s="10"/>
      <c r="ILJ43" s="10"/>
      <c r="ILK43" s="10"/>
      <c r="ILL43" s="10"/>
      <c r="ILM43" s="10"/>
      <c r="ILN43" s="10"/>
      <c r="ILO43" s="10"/>
      <c r="ILP43" s="10"/>
      <c r="ILQ43" s="10"/>
      <c r="ILR43" s="10"/>
      <c r="ILS43" s="10"/>
      <c r="ILT43" s="10"/>
      <c r="ILU43" s="10"/>
      <c r="ILV43" s="10"/>
      <c r="ILW43" s="10"/>
      <c r="ILX43" s="10"/>
      <c r="ILY43" s="10"/>
      <c r="ILZ43" s="10"/>
      <c r="IMA43" s="10"/>
      <c r="IMB43" s="10"/>
      <c r="IMC43" s="10"/>
      <c r="IMD43" s="10"/>
      <c r="IME43" s="10"/>
      <c r="IMF43" s="10"/>
      <c r="IMG43" s="10"/>
      <c r="IMH43" s="10"/>
      <c r="IMI43" s="10"/>
      <c r="IMJ43" s="10"/>
      <c r="IMK43" s="10"/>
      <c r="IML43" s="10"/>
      <c r="IMM43" s="10"/>
      <c r="IMN43" s="10"/>
      <c r="IMO43" s="10"/>
      <c r="IMP43" s="10"/>
      <c r="IMQ43" s="10"/>
      <c r="IMR43" s="10"/>
      <c r="IMS43" s="10"/>
      <c r="IMT43" s="10"/>
      <c r="IMU43" s="10"/>
      <c r="IMV43" s="10"/>
      <c r="IMW43" s="10"/>
      <c r="IMX43" s="10"/>
      <c r="IMY43" s="10"/>
      <c r="IMZ43" s="10"/>
      <c r="INA43" s="10"/>
      <c r="INB43" s="10"/>
      <c r="INC43" s="10"/>
      <c r="IND43" s="10"/>
      <c r="INE43" s="10"/>
      <c r="INF43" s="10"/>
      <c r="ING43" s="10"/>
      <c r="INH43" s="10"/>
      <c r="INI43" s="10"/>
      <c r="INJ43" s="10"/>
      <c r="INK43" s="10"/>
      <c r="INL43" s="10"/>
      <c r="INM43" s="10"/>
      <c r="INN43" s="10"/>
      <c r="INO43" s="10"/>
      <c r="INP43" s="10"/>
      <c r="INQ43" s="10"/>
      <c r="INR43" s="10"/>
      <c r="INS43" s="10"/>
      <c r="INT43" s="10"/>
      <c r="INU43" s="10"/>
      <c r="INV43" s="10"/>
      <c r="INW43" s="10"/>
      <c r="INX43" s="10"/>
      <c r="INY43" s="10"/>
      <c r="INZ43" s="10"/>
      <c r="IOA43" s="10"/>
      <c r="IOB43" s="10"/>
      <c r="IOC43" s="10"/>
      <c r="IOD43" s="10"/>
      <c r="IOE43" s="10"/>
      <c r="IOF43" s="10"/>
      <c r="IOG43" s="10"/>
      <c r="IOH43" s="10"/>
      <c r="IOI43" s="10"/>
      <c r="IOJ43" s="10"/>
      <c r="IOK43" s="10"/>
      <c r="IOL43" s="10"/>
      <c r="IOM43" s="10"/>
      <c r="ION43" s="10"/>
      <c r="IOO43" s="10"/>
      <c r="IOP43" s="10"/>
      <c r="IOQ43" s="10"/>
      <c r="IOR43" s="10"/>
      <c r="IOS43" s="10"/>
      <c r="IOT43" s="10"/>
      <c r="IOU43" s="10"/>
      <c r="IOV43" s="10"/>
      <c r="IOW43" s="10"/>
      <c r="IOX43" s="10"/>
      <c r="IOY43" s="10"/>
      <c r="IOZ43" s="10"/>
      <c r="IPA43" s="10"/>
      <c r="IPB43" s="10"/>
      <c r="IPC43" s="10"/>
      <c r="IPD43" s="10"/>
      <c r="IPE43" s="10"/>
      <c r="IPF43" s="10"/>
      <c r="IPG43" s="10"/>
      <c r="IPH43" s="10"/>
      <c r="IPI43" s="10"/>
      <c r="IPJ43" s="10"/>
      <c r="IPK43" s="10"/>
      <c r="IPL43" s="10"/>
      <c r="IPM43" s="10"/>
      <c r="IPN43" s="10"/>
      <c r="IPO43" s="10"/>
      <c r="IPP43" s="10"/>
      <c r="IPQ43" s="10"/>
      <c r="IPR43" s="10"/>
      <c r="IPS43" s="10"/>
      <c r="IPT43" s="10"/>
      <c r="IPU43" s="10"/>
      <c r="IPV43" s="10"/>
      <c r="IPW43" s="10"/>
      <c r="IPX43" s="10"/>
      <c r="IPY43" s="10"/>
      <c r="IPZ43" s="10"/>
      <c r="IQA43" s="10"/>
      <c r="IQB43" s="10"/>
      <c r="IQC43" s="10"/>
      <c r="IQD43" s="10"/>
      <c r="IQE43" s="10"/>
      <c r="IQF43" s="10"/>
      <c r="IQG43" s="10"/>
      <c r="IQH43" s="10"/>
      <c r="IQI43" s="10"/>
      <c r="IQJ43" s="10"/>
      <c r="IQK43" s="10"/>
      <c r="IQL43" s="10"/>
      <c r="IQM43" s="10"/>
      <c r="IQN43" s="10"/>
      <c r="IQO43" s="10"/>
      <c r="IQP43" s="10"/>
      <c r="IQQ43" s="10"/>
      <c r="IQR43" s="10"/>
      <c r="IQS43" s="10"/>
      <c r="IQT43" s="10"/>
      <c r="IQU43" s="10"/>
      <c r="IQV43" s="10"/>
      <c r="IQW43" s="10"/>
      <c r="IQX43" s="10"/>
      <c r="IQY43" s="10"/>
      <c r="IQZ43" s="10"/>
      <c r="IRA43" s="10"/>
      <c r="IRB43" s="10"/>
      <c r="IRC43" s="10"/>
      <c r="IRD43" s="10"/>
      <c r="IRE43" s="10"/>
      <c r="IRF43" s="10"/>
      <c r="IRG43" s="10"/>
      <c r="IRH43" s="10"/>
      <c r="IRI43" s="10"/>
      <c r="IRJ43" s="10"/>
      <c r="IRK43" s="10"/>
      <c r="IRL43" s="10"/>
      <c r="IRM43" s="10"/>
      <c r="IRN43" s="10"/>
      <c r="IRO43" s="10"/>
      <c r="IRP43" s="10"/>
      <c r="IRQ43" s="10"/>
      <c r="IRR43" s="10"/>
      <c r="IRS43" s="10"/>
      <c r="IRT43" s="10"/>
      <c r="IRU43" s="10"/>
      <c r="IRV43" s="10"/>
      <c r="IRW43" s="10"/>
      <c r="IRX43" s="10"/>
      <c r="IRY43" s="10"/>
      <c r="IRZ43" s="10"/>
      <c r="ISA43" s="10"/>
      <c r="ISB43" s="10"/>
      <c r="ISC43" s="10"/>
      <c r="ISD43" s="10"/>
      <c r="ISE43" s="10"/>
      <c r="ISF43" s="10"/>
      <c r="ISG43" s="10"/>
      <c r="ISH43" s="10"/>
      <c r="ISI43" s="10"/>
      <c r="ISJ43" s="10"/>
      <c r="ISK43" s="10"/>
      <c r="ISL43" s="10"/>
      <c r="ISM43" s="10"/>
      <c r="ISN43" s="10"/>
      <c r="ISO43" s="10"/>
      <c r="ISP43" s="10"/>
      <c r="ISQ43" s="10"/>
      <c r="ISR43" s="10"/>
      <c r="ISS43" s="10"/>
      <c r="IST43" s="10"/>
      <c r="ISU43" s="10"/>
      <c r="ISV43" s="10"/>
      <c r="ISW43" s="10"/>
      <c r="ISX43" s="10"/>
      <c r="ISY43" s="10"/>
      <c r="ISZ43" s="10"/>
      <c r="ITA43" s="10"/>
      <c r="ITB43" s="10"/>
      <c r="ITC43" s="10"/>
      <c r="ITD43" s="10"/>
      <c r="ITE43" s="10"/>
      <c r="ITF43" s="10"/>
      <c r="ITG43" s="10"/>
      <c r="ITH43" s="10"/>
      <c r="ITI43" s="10"/>
      <c r="ITJ43" s="10"/>
      <c r="ITK43" s="10"/>
      <c r="ITL43" s="10"/>
      <c r="ITM43" s="10"/>
      <c r="ITN43" s="10"/>
      <c r="ITO43" s="10"/>
      <c r="ITP43" s="10"/>
      <c r="ITQ43" s="10"/>
      <c r="ITR43" s="10"/>
      <c r="ITS43" s="10"/>
      <c r="ITT43" s="10"/>
      <c r="ITU43" s="10"/>
      <c r="ITV43" s="10"/>
      <c r="ITW43" s="10"/>
      <c r="ITX43" s="10"/>
      <c r="ITY43" s="10"/>
      <c r="ITZ43" s="10"/>
      <c r="IUA43" s="10"/>
      <c r="IUB43" s="10"/>
      <c r="IUC43" s="10"/>
      <c r="IUD43" s="10"/>
      <c r="IUE43" s="10"/>
      <c r="IUF43" s="10"/>
      <c r="IUG43" s="10"/>
      <c r="IUH43" s="10"/>
      <c r="IUI43" s="10"/>
      <c r="IUJ43" s="10"/>
      <c r="IUK43" s="10"/>
      <c r="IUL43" s="10"/>
      <c r="IUM43" s="10"/>
      <c r="IUN43" s="10"/>
      <c r="IUO43" s="10"/>
      <c r="IUP43" s="10"/>
      <c r="IUQ43" s="10"/>
      <c r="IUR43" s="10"/>
      <c r="IUS43" s="10"/>
      <c r="IUT43" s="10"/>
      <c r="IUU43" s="10"/>
      <c r="IUV43" s="10"/>
      <c r="IUW43" s="10"/>
      <c r="IUX43" s="10"/>
      <c r="IUY43" s="10"/>
      <c r="IUZ43" s="10"/>
      <c r="IVA43" s="10"/>
      <c r="IVB43" s="10"/>
      <c r="IVC43" s="10"/>
      <c r="IVD43" s="10"/>
      <c r="IVE43" s="10"/>
      <c r="IVF43" s="10"/>
      <c r="IVG43" s="10"/>
      <c r="IVH43" s="10"/>
      <c r="IVI43" s="10"/>
      <c r="IVJ43" s="10"/>
      <c r="IVK43" s="10"/>
      <c r="IVL43" s="10"/>
      <c r="IVM43" s="10"/>
      <c r="IVN43" s="10"/>
      <c r="IVO43" s="10"/>
      <c r="IVP43" s="10"/>
      <c r="IVQ43" s="10"/>
      <c r="IVR43" s="10"/>
      <c r="IVS43" s="10"/>
      <c r="IVT43" s="10"/>
      <c r="IVU43" s="10"/>
      <c r="IVV43" s="10"/>
      <c r="IVW43" s="10"/>
      <c r="IVX43" s="10"/>
      <c r="IVY43" s="10"/>
      <c r="IVZ43" s="10"/>
      <c r="IWA43" s="10"/>
      <c r="IWB43" s="10"/>
      <c r="IWC43" s="10"/>
      <c r="IWD43" s="10"/>
      <c r="IWE43" s="10"/>
      <c r="IWF43" s="10"/>
      <c r="IWG43" s="10"/>
      <c r="IWH43" s="10"/>
      <c r="IWI43" s="10"/>
      <c r="IWJ43" s="10"/>
      <c r="IWK43" s="10"/>
      <c r="IWL43" s="10"/>
      <c r="IWM43" s="10"/>
      <c r="IWN43" s="10"/>
      <c r="IWO43" s="10"/>
      <c r="IWP43" s="10"/>
      <c r="IWQ43" s="10"/>
      <c r="IWR43" s="10"/>
      <c r="IWS43" s="10"/>
      <c r="IWT43" s="10"/>
      <c r="IWU43" s="10"/>
      <c r="IWV43" s="10"/>
      <c r="IWW43" s="10"/>
      <c r="IWX43" s="10"/>
      <c r="IWY43" s="10"/>
      <c r="IWZ43" s="10"/>
      <c r="IXA43" s="10"/>
      <c r="IXB43" s="10"/>
      <c r="IXC43" s="10"/>
      <c r="IXD43" s="10"/>
      <c r="IXE43" s="10"/>
      <c r="IXF43" s="10"/>
      <c r="IXG43" s="10"/>
      <c r="IXH43" s="10"/>
      <c r="IXI43" s="10"/>
      <c r="IXJ43" s="10"/>
      <c r="IXK43" s="10"/>
      <c r="IXL43" s="10"/>
      <c r="IXM43" s="10"/>
      <c r="IXN43" s="10"/>
      <c r="IXO43" s="10"/>
      <c r="IXP43" s="10"/>
      <c r="IXQ43" s="10"/>
      <c r="IXR43" s="10"/>
      <c r="IXS43" s="10"/>
      <c r="IXT43" s="10"/>
      <c r="IXU43" s="10"/>
      <c r="IXV43" s="10"/>
      <c r="IXW43" s="10"/>
      <c r="IXX43" s="10"/>
      <c r="IXY43" s="10"/>
      <c r="IXZ43" s="10"/>
      <c r="IYA43" s="10"/>
      <c r="IYB43" s="10"/>
      <c r="IYC43" s="10"/>
      <c r="IYD43" s="10"/>
      <c r="IYE43" s="10"/>
      <c r="IYF43" s="10"/>
      <c r="IYG43" s="10"/>
      <c r="IYH43" s="10"/>
      <c r="IYI43" s="10"/>
      <c r="IYJ43" s="10"/>
      <c r="IYK43" s="10"/>
      <c r="IYL43" s="10"/>
      <c r="IYM43" s="10"/>
      <c r="IYN43" s="10"/>
      <c r="IYO43" s="10"/>
      <c r="IYP43" s="10"/>
      <c r="IYQ43" s="10"/>
      <c r="IYR43" s="10"/>
      <c r="IYS43" s="10"/>
      <c r="IYT43" s="10"/>
      <c r="IYU43" s="10"/>
      <c r="IYV43" s="10"/>
      <c r="IYW43" s="10"/>
      <c r="IYX43" s="10"/>
      <c r="IYY43" s="10"/>
      <c r="IYZ43" s="10"/>
      <c r="IZA43" s="10"/>
      <c r="IZB43" s="10"/>
      <c r="IZC43" s="10"/>
      <c r="IZD43" s="10"/>
      <c r="IZE43" s="10"/>
      <c r="IZF43" s="10"/>
      <c r="IZG43" s="10"/>
      <c r="IZH43" s="10"/>
      <c r="IZI43" s="10"/>
      <c r="IZJ43" s="10"/>
      <c r="IZK43" s="10"/>
      <c r="IZL43" s="10"/>
      <c r="IZM43" s="10"/>
      <c r="IZN43" s="10"/>
      <c r="IZO43" s="10"/>
      <c r="IZP43" s="10"/>
      <c r="IZQ43" s="10"/>
      <c r="IZR43" s="10"/>
      <c r="IZS43" s="10"/>
      <c r="IZT43" s="10"/>
      <c r="IZU43" s="10"/>
      <c r="IZV43" s="10"/>
      <c r="IZW43" s="10"/>
      <c r="IZX43" s="10"/>
      <c r="IZY43" s="10"/>
      <c r="IZZ43" s="10"/>
      <c r="JAA43" s="10"/>
      <c r="JAB43" s="10"/>
      <c r="JAC43" s="10"/>
      <c r="JAD43" s="10"/>
      <c r="JAE43" s="10"/>
      <c r="JAF43" s="10"/>
      <c r="JAG43" s="10"/>
      <c r="JAH43" s="10"/>
      <c r="JAI43" s="10"/>
      <c r="JAJ43" s="10"/>
      <c r="JAK43" s="10"/>
      <c r="JAL43" s="10"/>
      <c r="JAM43" s="10"/>
      <c r="JAN43" s="10"/>
      <c r="JAO43" s="10"/>
      <c r="JAP43" s="10"/>
      <c r="JAQ43" s="10"/>
      <c r="JAR43" s="10"/>
      <c r="JAS43" s="10"/>
      <c r="JAT43" s="10"/>
      <c r="JAU43" s="10"/>
      <c r="JAV43" s="10"/>
      <c r="JAW43" s="10"/>
      <c r="JAX43" s="10"/>
      <c r="JAY43" s="10"/>
      <c r="JAZ43" s="10"/>
      <c r="JBA43" s="10"/>
      <c r="JBB43" s="10"/>
      <c r="JBC43" s="10"/>
      <c r="JBD43" s="10"/>
      <c r="JBE43" s="10"/>
      <c r="JBF43" s="10"/>
      <c r="JBG43" s="10"/>
      <c r="JBH43" s="10"/>
      <c r="JBI43" s="10"/>
      <c r="JBJ43" s="10"/>
      <c r="JBK43" s="10"/>
      <c r="JBL43" s="10"/>
      <c r="JBM43" s="10"/>
      <c r="JBN43" s="10"/>
      <c r="JBO43" s="10"/>
      <c r="JBP43" s="10"/>
      <c r="JBQ43" s="10"/>
      <c r="JBR43" s="10"/>
      <c r="JBS43" s="10"/>
      <c r="JBT43" s="10"/>
      <c r="JBU43" s="10"/>
      <c r="JBV43" s="10"/>
      <c r="JBW43" s="10"/>
      <c r="JBX43" s="10"/>
      <c r="JBY43" s="10"/>
      <c r="JBZ43" s="10"/>
      <c r="JCA43" s="10"/>
      <c r="JCB43" s="10"/>
      <c r="JCC43" s="10"/>
      <c r="JCD43" s="10"/>
      <c r="JCE43" s="10"/>
      <c r="JCF43" s="10"/>
      <c r="JCG43" s="10"/>
      <c r="JCH43" s="10"/>
      <c r="JCI43" s="10"/>
      <c r="JCJ43" s="10"/>
      <c r="JCK43" s="10"/>
      <c r="JCL43" s="10"/>
      <c r="JCM43" s="10"/>
      <c r="JCN43" s="10"/>
      <c r="JCO43" s="10"/>
      <c r="JCP43" s="10"/>
      <c r="JCQ43" s="10"/>
      <c r="JCR43" s="10"/>
      <c r="JCS43" s="10"/>
      <c r="JCT43" s="10"/>
      <c r="JCU43" s="10"/>
      <c r="JCV43" s="10"/>
      <c r="JCW43" s="10"/>
      <c r="JCX43" s="10"/>
      <c r="JCY43" s="10"/>
      <c r="JCZ43" s="10"/>
      <c r="JDA43" s="10"/>
      <c r="JDB43" s="10"/>
      <c r="JDC43" s="10"/>
      <c r="JDD43" s="10"/>
      <c r="JDE43" s="10"/>
      <c r="JDF43" s="10"/>
      <c r="JDG43" s="10"/>
      <c r="JDH43" s="10"/>
      <c r="JDI43" s="10"/>
      <c r="JDJ43" s="10"/>
      <c r="JDK43" s="10"/>
      <c r="JDL43" s="10"/>
      <c r="JDM43" s="10"/>
      <c r="JDN43" s="10"/>
      <c r="JDO43" s="10"/>
      <c r="JDP43" s="10"/>
      <c r="JDQ43" s="10"/>
      <c r="JDR43" s="10"/>
      <c r="JDS43" s="10"/>
      <c r="JDT43" s="10"/>
      <c r="JDU43" s="10"/>
      <c r="JDV43" s="10"/>
      <c r="JDW43" s="10"/>
      <c r="JDX43" s="10"/>
      <c r="JDY43" s="10"/>
      <c r="JDZ43" s="10"/>
      <c r="JEA43" s="10"/>
      <c r="JEB43" s="10"/>
      <c r="JEC43" s="10"/>
      <c r="JED43" s="10"/>
      <c r="JEE43" s="10"/>
      <c r="JEF43" s="10"/>
      <c r="JEG43" s="10"/>
      <c r="JEH43" s="10"/>
      <c r="JEI43" s="10"/>
      <c r="JEJ43" s="10"/>
      <c r="JEK43" s="10"/>
      <c r="JEL43" s="10"/>
      <c r="JEM43" s="10"/>
      <c r="JEN43" s="10"/>
      <c r="JEO43" s="10"/>
      <c r="JEP43" s="10"/>
      <c r="JEQ43" s="10"/>
      <c r="JER43" s="10"/>
      <c r="JES43" s="10"/>
      <c r="JET43" s="10"/>
      <c r="JEU43" s="10"/>
      <c r="JEV43" s="10"/>
      <c r="JEW43" s="10"/>
      <c r="JEX43" s="10"/>
      <c r="JEY43" s="10"/>
      <c r="JEZ43" s="10"/>
      <c r="JFA43" s="10"/>
      <c r="JFB43" s="10"/>
      <c r="JFC43" s="10"/>
      <c r="JFD43" s="10"/>
      <c r="JFE43" s="10"/>
      <c r="JFF43" s="10"/>
      <c r="JFG43" s="10"/>
      <c r="JFH43" s="10"/>
      <c r="JFI43" s="10"/>
      <c r="JFJ43" s="10"/>
      <c r="JFK43" s="10"/>
      <c r="JFL43" s="10"/>
      <c r="JFM43" s="10"/>
      <c r="JFN43" s="10"/>
      <c r="JFO43" s="10"/>
      <c r="JFP43" s="10"/>
      <c r="JFQ43" s="10"/>
      <c r="JFR43" s="10"/>
      <c r="JFS43" s="10"/>
      <c r="JFT43" s="10"/>
      <c r="JFU43" s="10"/>
      <c r="JFV43" s="10"/>
      <c r="JFW43" s="10"/>
      <c r="JFX43" s="10"/>
      <c r="JFY43" s="10"/>
      <c r="JFZ43" s="10"/>
      <c r="JGA43" s="10"/>
      <c r="JGB43" s="10"/>
      <c r="JGC43" s="10"/>
      <c r="JGD43" s="10"/>
      <c r="JGE43" s="10"/>
      <c r="JGF43" s="10"/>
      <c r="JGG43" s="10"/>
      <c r="JGH43" s="10"/>
      <c r="JGI43" s="10"/>
      <c r="JGJ43" s="10"/>
      <c r="JGK43" s="10"/>
      <c r="JGL43" s="10"/>
      <c r="JGM43" s="10"/>
      <c r="JGN43" s="10"/>
      <c r="JGO43" s="10"/>
      <c r="JGP43" s="10"/>
      <c r="JGQ43" s="10"/>
      <c r="JGR43" s="10"/>
      <c r="JGS43" s="10"/>
      <c r="JGT43" s="10"/>
      <c r="JGU43" s="10"/>
      <c r="JGV43" s="10"/>
      <c r="JGW43" s="10"/>
      <c r="JGX43" s="10"/>
      <c r="JGY43" s="10"/>
      <c r="JGZ43" s="10"/>
      <c r="JHA43" s="10"/>
      <c r="JHB43" s="10"/>
      <c r="JHC43" s="10"/>
      <c r="JHD43" s="10"/>
      <c r="JHE43" s="10"/>
      <c r="JHF43" s="10"/>
      <c r="JHG43" s="10"/>
      <c r="JHH43" s="10"/>
      <c r="JHI43" s="10"/>
      <c r="JHJ43" s="10"/>
      <c r="JHK43" s="10"/>
      <c r="JHL43" s="10"/>
      <c r="JHM43" s="10"/>
      <c r="JHN43" s="10"/>
      <c r="JHO43" s="10"/>
      <c r="JHP43" s="10"/>
      <c r="JHQ43" s="10"/>
      <c r="JHR43" s="10"/>
      <c r="JHS43" s="10"/>
      <c r="JHT43" s="10"/>
      <c r="JHU43" s="10"/>
      <c r="JHV43" s="10"/>
      <c r="JHW43" s="10"/>
      <c r="JHX43" s="10"/>
      <c r="JHY43" s="10"/>
      <c r="JHZ43" s="10"/>
      <c r="JIA43" s="10"/>
      <c r="JIB43" s="10"/>
      <c r="JIC43" s="10"/>
      <c r="JID43" s="10"/>
      <c r="JIE43" s="10"/>
      <c r="JIF43" s="10"/>
      <c r="JIG43" s="10"/>
      <c r="JIH43" s="10"/>
      <c r="JII43" s="10"/>
      <c r="JIJ43" s="10"/>
      <c r="JIK43" s="10"/>
      <c r="JIL43" s="10"/>
      <c r="JIM43" s="10"/>
      <c r="JIN43" s="10"/>
      <c r="JIO43" s="10"/>
      <c r="JIP43" s="10"/>
      <c r="JIQ43" s="10"/>
      <c r="JIR43" s="10"/>
      <c r="JIS43" s="10"/>
      <c r="JIT43" s="10"/>
      <c r="JIU43" s="10"/>
      <c r="JIV43" s="10"/>
      <c r="JIW43" s="10"/>
      <c r="JIX43" s="10"/>
      <c r="JIY43" s="10"/>
      <c r="JIZ43" s="10"/>
      <c r="JJA43" s="10"/>
      <c r="JJB43" s="10"/>
      <c r="JJC43" s="10"/>
      <c r="JJD43" s="10"/>
      <c r="JJE43" s="10"/>
      <c r="JJF43" s="10"/>
      <c r="JJG43" s="10"/>
      <c r="JJH43" s="10"/>
      <c r="JJI43" s="10"/>
      <c r="JJJ43" s="10"/>
      <c r="JJK43" s="10"/>
      <c r="JJL43" s="10"/>
      <c r="JJM43" s="10"/>
      <c r="JJN43" s="10"/>
      <c r="JJO43" s="10"/>
      <c r="JJP43" s="10"/>
      <c r="JJQ43" s="10"/>
      <c r="JJR43" s="10"/>
      <c r="JJS43" s="10"/>
      <c r="JJT43" s="10"/>
      <c r="JJU43" s="10"/>
      <c r="JJV43" s="10"/>
      <c r="JJW43" s="10"/>
      <c r="JJX43" s="10"/>
      <c r="JJY43" s="10"/>
      <c r="JJZ43" s="10"/>
      <c r="JKA43" s="10"/>
      <c r="JKB43" s="10"/>
      <c r="JKC43" s="10"/>
      <c r="JKD43" s="10"/>
      <c r="JKE43" s="10"/>
      <c r="JKF43" s="10"/>
      <c r="JKG43" s="10"/>
      <c r="JKH43" s="10"/>
      <c r="JKI43" s="10"/>
      <c r="JKJ43" s="10"/>
      <c r="JKK43" s="10"/>
      <c r="JKL43" s="10"/>
      <c r="JKM43" s="10"/>
      <c r="JKN43" s="10"/>
      <c r="JKO43" s="10"/>
      <c r="JKP43" s="10"/>
      <c r="JKQ43" s="10"/>
      <c r="JKR43" s="10"/>
      <c r="JKS43" s="10"/>
      <c r="JKT43" s="10"/>
      <c r="JKU43" s="10"/>
      <c r="JKV43" s="10"/>
      <c r="JKW43" s="10"/>
      <c r="JKX43" s="10"/>
      <c r="JKY43" s="10"/>
      <c r="JKZ43" s="10"/>
      <c r="JLA43" s="10"/>
      <c r="JLB43" s="10"/>
      <c r="JLC43" s="10"/>
      <c r="JLD43" s="10"/>
      <c r="JLE43" s="10"/>
      <c r="JLF43" s="10"/>
      <c r="JLG43" s="10"/>
      <c r="JLH43" s="10"/>
      <c r="JLI43" s="10"/>
      <c r="JLJ43" s="10"/>
      <c r="JLK43" s="10"/>
      <c r="JLL43" s="10"/>
      <c r="JLM43" s="10"/>
      <c r="JLN43" s="10"/>
      <c r="JLO43" s="10"/>
      <c r="JLP43" s="10"/>
      <c r="JLQ43" s="10"/>
      <c r="JLR43" s="10"/>
      <c r="JLS43" s="10"/>
      <c r="JLT43" s="10"/>
      <c r="JLU43" s="10"/>
      <c r="JLV43" s="10"/>
      <c r="JLW43" s="10"/>
      <c r="JLX43" s="10"/>
      <c r="JLY43" s="10"/>
      <c r="JLZ43" s="10"/>
      <c r="JMA43" s="10"/>
      <c r="JMB43" s="10"/>
      <c r="JMC43" s="10"/>
      <c r="JMD43" s="10"/>
      <c r="JME43" s="10"/>
      <c r="JMF43" s="10"/>
      <c r="JMG43" s="10"/>
      <c r="JMH43" s="10"/>
      <c r="JMI43" s="10"/>
      <c r="JMJ43" s="10"/>
      <c r="JMK43" s="10"/>
      <c r="JML43" s="10"/>
      <c r="JMM43" s="10"/>
      <c r="JMN43" s="10"/>
      <c r="JMO43" s="10"/>
      <c r="JMP43" s="10"/>
      <c r="JMQ43" s="10"/>
      <c r="JMR43" s="10"/>
      <c r="JMS43" s="10"/>
      <c r="JMT43" s="10"/>
      <c r="JMU43" s="10"/>
      <c r="JMV43" s="10"/>
      <c r="JMW43" s="10"/>
      <c r="JMX43" s="10"/>
      <c r="JMY43" s="10"/>
      <c r="JMZ43" s="10"/>
      <c r="JNA43" s="10"/>
      <c r="JNB43" s="10"/>
      <c r="JNC43" s="10"/>
      <c r="JND43" s="10"/>
      <c r="JNE43" s="10"/>
      <c r="JNF43" s="10"/>
      <c r="JNG43" s="10"/>
      <c r="JNH43" s="10"/>
      <c r="JNI43" s="10"/>
      <c r="JNJ43" s="10"/>
      <c r="JNK43" s="10"/>
      <c r="JNL43" s="10"/>
      <c r="JNM43" s="10"/>
      <c r="JNN43" s="10"/>
      <c r="JNO43" s="10"/>
      <c r="JNP43" s="10"/>
      <c r="JNQ43" s="10"/>
      <c r="JNR43" s="10"/>
      <c r="JNS43" s="10"/>
      <c r="JNT43" s="10"/>
      <c r="JNU43" s="10"/>
      <c r="JNV43" s="10"/>
      <c r="JNW43" s="10"/>
      <c r="JNX43" s="10"/>
      <c r="JNY43" s="10"/>
      <c r="JNZ43" s="10"/>
      <c r="JOA43" s="10"/>
      <c r="JOB43" s="10"/>
      <c r="JOC43" s="10"/>
      <c r="JOD43" s="10"/>
      <c r="JOE43" s="10"/>
      <c r="JOF43" s="10"/>
      <c r="JOG43" s="10"/>
      <c r="JOH43" s="10"/>
      <c r="JOI43" s="10"/>
      <c r="JOJ43" s="10"/>
      <c r="JOK43" s="10"/>
      <c r="JOL43" s="10"/>
      <c r="JOM43" s="10"/>
      <c r="JON43" s="10"/>
      <c r="JOO43" s="10"/>
      <c r="JOP43" s="10"/>
      <c r="JOQ43" s="10"/>
      <c r="JOR43" s="10"/>
      <c r="JOS43" s="10"/>
      <c r="JOT43" s="10"/>
      <c r="JOU43" s="10"/>
      <c r="JOV43" s="10"/>
      <c r="JOW43" s="10"/>
      <c r="JOX43" s="10"/>
      <c r="JOY43" s="10"/>
      <c r="JOZ43" s="10"/>
      <c r="JPA43" s="10"/>
      <c r="JPB43" s="10"/>
      <c r="JPC43" s="10"/>
      <c r="JPD43" s="10"/>
      <c r="JPE43" s="10"/>
      <c r="JPF43" s="10"/>
      <c r="JPG43" s="10"/>
      <c r="JPH43" s="10"/>
      <c r="JPI43" s="10"/>
      <c r="JPJ43" s="10"/>
      <c r="JPK43" s="10"/>
      <c r="JPL43" s="10"/>
      <c r="JPM43" s="10"/>
      <c r="JPN43" s="10"/>
      <c r="JPO43" s="10"/>
      <c r="JPP43" s="10"/>
      <c r="JPQ43" s="10"/>
      <c r="JPR43" s="10"/>
      <c r="JPS43" s="10"/>
      <c r="JPT43" s="10"/>
      <c r="JPU43" s="10"/>
      <c r="JPV43" s="10"/>
      <c r="JPW43" s="10"/>
      <c r="JPX43" s="10"/>
      <c r="JPY43" s="10"/>
      <c r="JPZ43" s="10"/>
      <c r="JQA43" s="10"/>
      <c r="JQB43" s="10"/>
      <c r="JQC43" s="10"/>
      <c r="JQD43" s="10"/>
      <c r="JQE43" s="10"/>
      <c r="JQF43" s="10"/>
      <c r="JQG43" s="10"/>
      <c r="JQH43" s="10"/>
      <c r="JQI43" s="10"/>
      <c r="JQJ43" s="10"/>
      <c r="JQK43" s="10"/>
      <c r="JQL43" s="10"/>
      <c r="JQM43" s="10"/>
      <c r="JQN43" s="10"/>
      <c r="JQO43" s="10"/>
      <c r="JQP43" s="10"/>
      <c r="JQQ43" s="10"/>
      <c r="JQR43" s="10"/>
      <c r="JQS43" s="10"/>
      <c r="JQT43" s="10"/>
      <c r="JQU43" s="10"/>
      <c r="JQV43" s="10"/>
      <c r="JQW43" s="10"/>
      <c r="JQX43" s="10"/>
      <c r="JQY43" s="10"/>
      <c r="JQZ43" s="10"/>
      <c r="JRA43" s="10"/>
      <c r="JRB43" s="10"/>
      <c r="JRC43" s="10"/>
      <c r="JRD43" s="10"/>
      <c r="JRE43" s="10"/>
      <c r="JRF43" s="10"/>
      <c r="JRG43" s="10"/>
      <c r="JRH43" s="10"/>
      <c r="JRI43" s="10"/>
      <c r="JRJ43" s="10"/>
      <c r="JRK43" s="10"/>
      <c r="JRL43" s="10"/>
      <c r="JRM43" s="10"/>
      <c r="JRN43" s="10"/>
      <c r="JRO43" s="10"/>
      <c r="JRP43" s="10"/>
      <c r="JRQ43" s="10"/>
      <c r="JRR43" s="10"/>
      <c r="JRS43" s="10"/>
      <c r="JRT43" s="10"/>
      <c r="JRU43" s="10"/>
      <c r="JRV43" s="10"/>
      <c r="JRW43" s="10"/>
      <c r="JRX43" s="10"/>
      <c r="JRY43" s="10"/>
      <c r="JRZ43" s="10"/>
      <c r="JSA43" s="10"/>
      <c r="JSB43" s="10"/>
      <c r="JSC43" s="10"/>
      <c r="JSD43" s="10"/>
      <c r="JSE43" s="10"/>
      <c r="JSF43" s="10"/>
      <c r="JSG43" s="10"/>
      <c r="JSH43" s="10"/>
      <c r="JSI43" s="10"/>
      <c r="JSJ43" s="10"/>
      <c r="JSK43" s="10"/>
      <c r="JSL43" s="10"/>
      <c r="JSM43" s="10"/>
      <c r="JSN43" s="10"/>
      <c r="JSO43" s="10"/>
      <c r="JSP43" s="10"/>
      <c r="JSQ43" s="10"/>
      <c r="JSR43" s="10"/>
      <c r="JSS43" s="10"/>
      <c r="JST43" s="10"/>
      <c r="JSU43" s="10"/>
      <c r="JSV43" s="10"/>
      <c r="JSW43" s="10"/>
      <c r="JSX43" s="10"/>
      <c r="JSY43" s="10"/>
      <c r="JSZ43" s="10"/>
      <c r="JTA43" s="10"/>
      <c r="JTB43" s="10"/>
      <c r="JTC43" s="10"/>
      <c r="JTD43" s="10"/>
      <c r="JTE43" s="10"/>
      <c r="JTF43" s="10"/>
      <c r="JTG43" s="10"/>
      <c r="JTH43" s="10"/>
      <c r="JTI43" s="10"/>
      <c r="JTJ43" s="10"/>
      <c r="JTK43" s="10"/>
      <c r="JTL43" s="10"/>
      <c r="JTM43" s="10"/>
      <c r="JTN43" s="10"/>
      <c r="JTO43" s="10"/>
      <c r="JTP43" s="10"/>
      <c r="JTQ43" s="10"/>
      <c r="JTR43" s="10"/>
      <c r="JTS43" s="10"/>
      <c r="JTT43" s="10"/>
      <c r="JTU43" s="10"/>
      <c r="JTV43" s="10"/>
      <c r="JTW43" s="10"/>
      <c r="JTX43" s="10"/>
      <c r="JTY43" s="10"/>
      <c r="JTZ43" s="10"/>
      <c r="JUA43" s="10"/>
      <c r="JUB43" s="10"/>
      <c r="JUC43" s="10"/>
      <c r="JUD43" s="10"/>
      <c r="JUE43" s="10"/>
      <c r="JUF43" s="10"/>
      <c r="JUG43" s="10"/>
      <c r="JUH43" s="10"/>
      <c r="JUI43" s="10"/>
      <c r="JUJ43" s="10"/>
      <c r="JUK43" s="10"/>
      <c r="JUL43" s="10"/>
      <c r="JUM43" s="10"/>
      <c r="JUN43" s="10"/>
      <c r="JUO43" s="10"/>
      <c r="JUP43" s="10"/>
      <c r="JUQ43" s="10"/>
      <c r="JUR43" s="10"/>
      <c r="JUS43" s="10"/>
      <c r="JUT43" s="10"/>
      <c r="JUU43" s="10"/>
      <c r="JUV43" s="10"/>
      <c r="JUW43" s="10"/>
      <c r="JUX43" s="10"/>
      <c r="JUY43" s="10"/>
      <c r="JUZ43" s="10"/>
      <c r="JVA43" s="10"/>
      <c r="JVB43" s="10"/>
      <c r="JVC43" s="10"/>
      <c r="JVD43" s="10"/>
      <c r="JVE43" s="10"/>
      <c r="JVF43" s="10"/>
      <c r="JVG43" s="10"/>
      <c r="JVH43" s="10"/>
      <c r="JVI43" s="10"/>
      <c r="JVJ43" s="10"/>
      <c r="JVK43" s="10"/>
      <c r="JVL43" s="10"/>
      <c r="JVM43" s="10"/>
      <c r="JVN43" s="10"/>
      <c r="JVO43" s="10"/>
      <c r="JVP43" s="10"/>
      <c r="JVQ43" s="10"/>
      <c r="JVR43" s="10"/>
      <c r="JVS43" s="10"/>
      <c r="JVT43" s="10"/>
      <c r="JVU43" s="10"/>
      <c r="JVV43" s="10"/>
      <c r="JVW43" s="10"/>
      <c r="JVX43" s="10"/>
      <c r="JVY43" s="10"/>
      <c r="JVZ43" s="10"/>
      <c r="JWA43" s="10"/>
      <c r="JWB43" s="10"/>
      <c r="JWC43" s="10"/>
      <c r="JWD43" s="10"/>
      <c r="JWE43" s="10"/>
      <c r="JWF43" s="10"/>
      <c r="JWG43" s="10"/>
      <c r="JWH43" s="10"/>
      <c r="JWI43" s="10"/>
      <c r="JWJ43" s="10"/>
      <c r="JWK43" s="10"/>
      <c r="JWL43" s="10"/>
      <c r="JWM43" s="10"/>
      <c r="JWN43" s="10"/>
      <c r="JWO43" s="10"/>
      <c r="JWP43" s="10"/>
      <c r="JWQ43" s="10"/>
      <c r="JWR43" s="10"/>
      <c r="JWS43" s="10"/>
      <c r="JWT43" s="10"/>
      <c r="JWU43" s="10"/>
      <c r="JWV43" s="10"/>
      <c r="JWW43" s="10"/>
      <c r="JWX43" s="10"/>
      <c r="JWY43" s="10"/>
      <c r="JWZ43" s="10"/>
      <c r="JXA43" s="10"/>
      <c r="JXB43" s="10"/>
      <c r="JXC43" s="10"/>
      <c r="JXD43" s="10"/>
      <c r="JXE43" s="10"/>
      <c r="JXF43" s="10"/>
      <c r="JXG43" s="10"/>
      <c r="JXH43" s="10"/>
      <c r="JXI43" s="10"/>
      <c r="JXJ43" s="10"/>
      <c r="JXK43" s="10"/>
      <c r="JXL43" s="10"/>
      <c r="JXM43" s="10"/>
      <c r="JXN43" s="10"/>
      <c r="JXO43" s="10"/>
      <c r="JXP43" s="10"/>
      <c r="JXQ43" s="10"/>
      <c r="JXR43" s="10"/>
      <c r="JXS43" s="10"/>
      <c r="JXT43" s="10"/>
      <c r="JXU43" s="10"/>
      <c r="JXV43" s="10"/>
      <c r="JXW43" s="10"/>
      <c r="JXX43" s="10"/>
      <c r="JXY43" s="10"/>
      <c r="JXZ43" s="10"/>
      <c r="JYA43" s="10"/>
      <c r="JYB43" s="10"/>
      <c r="JYC43" s="10"/>
      <c r="JYD43" s="10"/>
      <c r="JYE43" s="10"/>
      <c r="JYF43" s="10"/>
      <c r="JYG43" s="10"/>
      <c r="JYH43" s="10"/>
      <c r="JYI43" s="10"/>
      <c r="JYJ43" s="10"/>
      <c r="JYK43" s="10"/>
      <c r="JYL43" s="10"/>
      <c r="JYM43" s="10"/>
      <c r="JYN43" s="10"/>
      <c r="JYO43" s="10"/>
      <c r="JYP43" s="10"/>
      <c r="JYQ43" s="10"/>
      <c r="JYR43" s="10"/>
      <c r="JYS43" s="10"/>
      <c r="JYT43" s="10"/>
      <c r="JYU43" s="10"/>
      <c r="JYV43" s="10"/>
      <c r="JYW43" s="10"/>
      <c r="JYX43" s="10"/>
      <c r="JYY43" s="10"/>
      <c r="JYZ43" s="10"/>
      <c r="JZA43" s="10"/>
      <c r="JZB43" s="10"/>
      <c r="JZC43" s="10"/>
      <c r="JZD43" s="10"/>
      <c r="JZE43" s="10"/>
      <c r="JZF43" s="10"/>
      <c r="JZG43" s="10"/>
      <c r="JZH43" s="10"/>
      <c r="JZI43" s="10"/>
      <c r="JZJ43" s="10"/>
      <c r="JZK43" s="10"/>
      <c r="JZL43" s="10"/>
      <c r="JZM43" s="10"/>
      <c r="JZN43" s="10"/>
      <c r="JZO43" s="10"/>
      <c r="JZP43" s="10"/>
      <c r="JZQ43" s="10"/>
      <c r="JZR43" s="10"/>
      <c r="JZS43" s="10"/>
      <c r="JZT43" s="10"/>
      <c r="JZU43" s="10"/>
      <c r="JZV43" s="10"/>
      <c r="JZW43" s="10"/>
      <c r="JZX43" s="10"/>
      <c r="JZY43" s="10"/>
      <c r="JZZ43" s="10"/>
      <c r="KAA43" s="10"/>
      <c r="KAB43" s="10"/>
      <c r="KAC43" s="10"/>
      <c r="KAD43" s="10"/>
      <c r="KAE43" s="10"/>
      <c r="KAF43" s="10"/>
      <c r="KAG43" s="10"/>
      <c r="KAH43" s="10"/>
      <c r="KAI43" s="10"/>
      <c r="KAJ43" s="10"/>
      <c r="KAK43" s="10"/>
      <c r="KAL43" s="10"/>
      <c r="KAM43" s="10"/>
      <c r="KAN43" s="10"/>
      <c r="KAO43" s="10"/>
      <c r="KAP43" s="10"/>
      <c r="KAQ43" s="10"/>
      <c r="KAR43" s="10"/>
      <c r="KAS43" s="10"/>
      <c r="KAT43" s="10"/>
      <c r="KAU43" s="10"/>
      <c r="KAV43" s="10"/>
      <c r="KAW43" s="10"/>
      <c r="KAX43" s="10"/>
      <c r="KAY43" s="10"/>
      <c r="KAZ43" s="10"/>
      <c r="KBA43" s="10"/>
      <c r="KBB43" s="10"/>
      <c r="KBC43" s="10"/>
      <c r="KBD43" s="10"/>
      <c r="KBE43" s="10"/>
      <c r="KBF43" s="10"/>
      <c r="KBG43" s="10"/>
      <c r="KBH43" s="10"/>
      <c r="KBI43" s="10"/>
      <c r="KBJ43" s="10"/>
      <c r="KBK43" s="10"/>
      <c r="KBL43" s="10"/>
      <c r="KBM43" s="10"/>
      <c r="KBN43" s="10"/>
      <c r="KBO43" s="10"/>
      <c r="KBP43" s="10"/>
      <c r="KBQ43" s="10"/>
      <c r="KBR43" s="10"/>
      <c r="KBS43" s="10"/>
      <c r="KBT43" s="10"/>
      <c r="KBU43" s="10"/>
      <c r="KBV43" s="10"/>
      <c r="KBW43" s="10"/>
      <c r="KBX43" s="10"/>
      <c r="KBY43" s="10"/>
      <c r="KBZ43" s="10"/>
      <c r="KCA43" s="10"/>
      <c r="KCB43" s="10"/>
      <c r="KCC43" s="10"/>
      <c r="KCD43" s="10"/>
      <c r="KCE43" s="10"/>
      <c r="KCF43" s="10"/>
      <c r="KCG43" s="10"/>
      <c r="KCH43" s="10"/>
      <c r="KCI43" s="10"/>
      <c r="KCJ43" s="10"/>
      <c r="KCK43" s="10"/>
      <c r="KCL43" s="10"/>
      <c r="KCM43" s="10"/>
      <c r="KCN43" s="10"/>
      <c r="KCO43" s="10"/>
      <c r="KCP43" s="10"/>
      <c r="KCQ43" s="10"/>
      <c r="KCR43" s="10"/>
      <c r="KCS43" s="10"/>
      <c r="KCT43" s="10"/>
      <c r="KCU43" s="10"/>
      <c r="KCV43" s="10"/>
      <c r="KCW43" s="10"/>
      <c r="KCX43" s="10"/>
      <c r="KCY43" s="10"/>
      <c r="KCZ43" s="10"/>
      <c r="KDA43" s="10"/>
      <c r="KDB43" s="10"/>
      <c r="KDC43" s="10"/>
      <c r="KDD43" s="10"/>
      <c r="KDE43" s="10"/>
      <c r="KDF43" s="10"/>
      <c r="KDG43" s="10"/>
      <c r="KDH43" s="10"/>
      <c r="KDI43" s="10"/>
      <c r="KDJ43" s="10"/>
      <c r="KDK43" s="10"/>
      <c r="KDL43" s="10"/>
      <c r="KDM43" s="10"/>
      <c r="KDN43" s="10"/>
      <c r="KDO43" s="10"/>
      <c r="KDP43" s="10"/>
      <c r="KDQ43" s="10"/>
      <c r="KDR43" s="10"/>
      <c r="KDS43" s="10"/>
      <c r="KDT43" s="10"/>
      <c r="KDU43" s="10"/>
      <c r="KDV43" s="10"/>
      <c r="KDW43" s="10"/>
      <c r="KDX43" s="10"/>
      <c r="KDY43" s="10"/>
      <c r="KDZ43" s="10"/>
      <c r="KEA43" s="10"/>
      <c r="KEB43" s="10"/>
      <c r="KEC43" s="10"/>
      <c r="KED43" s="10"/>
      <c r="KEE43" s="10"/>
      <c r="KEF43" s="10"/>
      <c r="KEG43" s="10"/>
      <c r="KEH43" s="10"/>
      <c r="KEI43" s="10"/>
      <c r="KEJ43" s="10"/>
      <c r="KEK43" s="10"/>
      <c r="KEL43" s="10"/>
      <c r="KEM43" s="10"/>
      <c r="KEN43" s="10"/>
      <c r="KEO43" s="10"/>
      <c r="KEP43" s="10"/>
      <c r="KEQ43" s="10"/>
      <c r="KER43" s="10"/>
      <c r="KES43" s="10"/>
      <c r="KET43" s="10"/>
      <c r="KEU43" s="10"/>
      <c r="KEV43" s="10"/>
      <c r="KEW43" s="10"/>
      <c r="KEX43" s="10"/>
      <c r="KEY43" s="10"/>
      <c r="KEZ43" s="10"/>
      <c r="KFA43" s="10"/>
      <c r="KFB43" s="10"/>
      <c r="KFC43" s="10"/>
      <c r="KFD43" s="10"/>
      <c r="KFE43" s="10"/>
      <c r="KFF43" s="10"/>
      <c r="KFG43" s="10"/>
      <c r="KFH43" s="10"/>
      <c r="KFI43" s="10"/>
      <c r="KFJ43" s="10"/>
      <c r="KFK43" s="10"/>
      <c r="KFL43" s="10"/>
      <c r="KFM43" s="10"/>
      <c r="KFN43" s="10"/>
      <c r="KFO43" s="10"/>
      <c r="KFP43" s="10"/>
      <c r="KFQ43" s="10"/>
      <c r="KFR43" s="10"/>
      <c r="KFS43" s="10"/>
      <c r="KFT43" s="10"/>
      <c r="KFU43" s="10"/>
      <c r="KFV43" s="10"/>
      <c r="KFW43" s="10"/>
      <c r="KFX43" s="10"/>
      <c r="KFY43" s="10"/>
      <c r="KFZ43" s="10"/>
      <c r="KGA43" s="10"/>
      <c r="KGB43" s="10"/>
      <c r="KGC43" s="10"/>
      <c r="KGD43" s="10"/>
      <c r="KGE43" s="10"/>
      <c r="KGF43" s="10"/>
      <c r="KGG43" s="10"/>
      <c r="KGH43" s="10"/>
      <c r="KGI43" s="10"/>
      <c r="KGJ43" s="10"/>
      <c r="KGK43" s="10"/>
      <c r="KGL43" s="10"/>
      <c r="KGM43" s="10"/>
      <c r="KGN43" s="10"/>
      <c r="KGO43" s="10"/>
      <c r="KGP43" s="10"/>
      <c r="KGQ43" s="10"/>
      <c r="KGR43" s="10"/>
      <c r="KGS43" s="10"/>
      <c r="KGT43" s="10"/>
      <c r="KGU43" s="10"/>
      <c r="KGV43" s="10"/>
      <c r="KGW43" s="10"/>
      <c r="KGX43" s="10"/>
      <c r="KGY43" s="10"/>
      <c r="KGZ43" s="10"/>
      <c r="KHA43" s="10"/>
      <c r="KHB43" s="10"/>
      <c r="KHC43" s="10"/>
      <c r="KHD43" s="10"/>
      <c r="KHE43" s="10"/>
      <c r="KHF43" s="10"/>
      <c r="KHG43" s="10"/>
      <c r="KHH43" s="10"/>
      <c r="KHI43" s="10"/>
      <c r="KHJ43" s="10"/>
      <c r="KHK43" s="10"/>
      <c r="KHL43" s="10"/>
      <c r="KHM43" s="10"/>
      <c r="KHN43" s="10"/>
      <c r="KHO43" s="10"/>
      <c r="KHP43" s="10"/>
      <c r="KHQ43" s="10"/>
      <c r="KHR43" s="10"/>
      <c r="KHS43" s="10"/>
      <c r="KHT43" s="10"/>
      <c r="KHU43" s="10"/>
      <c r="KHV43" s="10"/>
      <c r="KHW43" s="10"/>
      <c r="KHX43" s="10"/>
      <c r="KHY43" s="10"/>
      <c r="KHZ43" s="10"/>
      <c r="KIA43" s="10"/>
      <c r="KIB43" s="10"/>
      <c r="KIC43" s="10"/>
      <c r="KID43" s="10"/>
      <c r="KIE43" s="10"/>
      <c r="KIF43" s="10"/>
      <c r="KIG43" s="10"/>
      <c r="KIH43" s="10"/>
      <c r="KII43" s="10"/>
      <c r="KIJ43" s="10"/>
      <c r="KIK43" s="10"/>
      <c r="KIL43" s="10"/>
      <c r="KIM43" s="10"/>
      <c r="KIN43" s="10"/>
      <c r="KIO43" s="10"/>
      <c r="KIP43" s="10"/>
      <c r="KIQ43" s="10"/>
      <c r="KIR43" s="10"/>
      <c r="KIS43" s="10"/>
      <c r="KIT43" s="10"/>
      <c r="KIU43" s="10"/>
      <c r="KIV43" s="10"/>
      <c r="KIW43" s="10"/>
      <c r="KIX43" s="10"/>
      <c r="KIY43" s="10"/>
      <c r="KIZ43" s="10"/>
      <c r="KJA43" s="10"/>
      <c r="KJB43" s="10"/>
      <c r="KJC43" s="10"/>
      <c r="KJD43" s="10"/>
      <c r="KJE43" s="10"/>
      <c r="KJF43" s="10"/>
      <c r="KJG43" s="10"/>
      <c r="KJH43" s="10"/>
      <c r="KJI43" s="10"/>
      <c r="KJJ43" s="10"/>
      <c r="KJK43" s="10"/>
      <c r="KJL43" s="10"/>
      <c r="KJM43" s="10"/>
      <c r="KJN43" s="10"/>
      <c r="KJO43" s="10"/>
      <c r="KJP43" s="10"/>
      <c r="KJQ43" s="10"/>
      <c r="KJR43" s="10"/>
      <c r="KJS43" s="10"/>
      <c r="KJT43" s="10"/>
      <c r="KJU43" s="10"/>
      <c r="KJV43" s="10"/>
      <c r="KJW43" s="10"/>
      <c r="KJX43" s="10"/>
      <c r="KJY43" s="10"/>
      <c r="KJZ43" s="10"/>
      <c r="KKA43" s="10"/>
      <c r="KKB43" s="10"/>
      <c r="KKC43" s="10"/>
      <c r="KKD43" s="10"/>
      <c r="KKE43" s="10"/>
      <c r="KKF43" s="10"/>
      <c r="KKG43" s="10"/>
      <c r="KKH43" s="10"/>
      <c r="KKI43" s="10"/>
      <c r="KKJ43" s="10"/>
      <c r="KKK43" s="10"/>
      <c r="KKL43" s="10"/>
      <c r="KKM43" s="10"/>
      <c r="KKN43" s="10"/>
      <c r="KKO43" s="10"/>
      <c r="KKP43" s="10"/>
      <c r="KKQ43" s="10"/>
      <c r="KKR43" s="10"/>
      <c r="KKS43" s="10"/>
      <c r="KKT43" s="10"/>
      <c r="KKU43" s="10"/>
      <c r="KKV43" s="10"/>
      <c r="KKW43" s="10"/>
      <c r="KKX43" s="10"/>
      <c r="KKY43" s="10"/>
      <c r="KKZ43" s="10"/>
      <c r="KLA43" s="10"/>
      <c r="KLB43" s="10"/>
      <c r="KLC43" s="10"/>
      <c r="KLD43" s="10"/>
      <c r="KLE43" s="10"/>
      <c r="KLF43" s="10"/>
      <c r="KLG43" s="10"/>
      <c r="KLH43" s="10"/>
      <c r="KLI43" s="10"/>
      <c r="KLJ43" s="10"/>
      <c r="KLK43" s="10"/>
      <c r="KLL43" s="10"/>
      <c r="KLM43" s="10"/>
      <c r="KLN43" s="10"/>
      <c r="KLO43" s="10"/>
      <c r="KLP43" s="10"/>
      <c r="KLQ43" s="10"/>
      <c r="KLR43" s="10"/>
      <c r="KLS43" s="10"/>
      <c r="KLT43" s="10"/>
      <c r="KLU43" s="10"/>
      <c r="KLV43" s="10"/>
      <c r="KLW43" s="10"/>
      <c r="KLX43" s="10"/>
      <c r="KLY43" s="10"/>
      <c r="KLZ43" s="10"/>
      <c r="KMA43" s="10"/>
      <c r="KMB43" s="10"/>
      <c r="KMC43" s="10"/>
      <c r="KMD43" s="10"/>
      <c r="KME43" s="10"/>
      <c r="KMF43" s="10"/>
      <c r="KMG43" s="10"/>
      <c r="KMH43" s="10"/>
      <c r="KMI43" s="10"/>
      <c r="KMJ43" s="10"/>
      <c r="KMK43" s="10"/>
      <c r="KML43" s="10"/>
      <c r="KMM43" s="10"/>
      <c r="KMN43" s="10"/>
      <c r="KMO43" s="10"/>
      <c r="KMP43" s="10"/>
      <c r="KMQ43" s="10"/>
      <c r="KMR43" s="10"/>
      <c r="KMS43" s="10"/>
      <c r="KMT43" s="10"/>
      <c r="KMU43" s="10"/>
      <c r="KMV43" s="10"/>
      <c r="KMW43" s="10"/>
      <c r="KMX43" s="10"/>
      <c r="KMY43" s="10"/>
      <c r="KMZ43" s="10"/>
      <c r="KNA43" s="10"/>
      <c r="KNB43" s="10"/>
      <c r="KNC43" s="10"/>
      <c r="KND43" s="10"/>
      <c r="KNE43" s="10"/>
      <c r="KNF43" s="10"/>
      <c r="KNG43" s="10"/>
      <c r="KNH43" s="10"/>
      <c r="KNI43" s="10"/>
      <c r="KNJ43" s="10"/>
      <c r="KNK43" s="10"/>
      <c r="KNL43" s="10"/>
      <c r="KNM43" s="10"/>
      <c r="KNN43" s="10"/>
      <c r="KNO43" s="10"/>
      <c r="KNP43" s="10"/>
      <c r="KNQ43" s="10"/>
      <c r="KNR43" s="10"/>
      <c r="KNS43" s="10"/>
      <c r="KNT43" s="10"/>
      <c r="KNU43" s="10"/>
      <c r="KNV43" s="10"/>
      <c r="KNW43" s="10"/>
      <c r="KNX43" s="10"/>
      <c r="KNY43" s="10"/>
      <c r="KNZ43" s="10"/>
      <c r="KOA43" s="10"/>
      <c r="KOB43" s="10"/>
      <c r="KOC43" s="10"/>
      <c r="KOD43" s="10"/>
      <c r="KOE43" s="10"/>
      <c r="KOF43" s="10"/>
      <c r="KOG43" s="10"/>
      <c r="KOH43" s="10"/>
      <c r="KOI43" s="10"/>
      <c r="KOJ43" s="10"/>
      <c r="KOK43" s="10"/>
      <c r="KOL43" s="10"/>
      <c r="KOM43" s="10"/>
      <c r="KON43" s="10"/>
      <c r="KOO43" s="10"/>
      <c r="KOP43" s="10"/>
      <c r="KOQ43" s="10"/>
      <c r="KOR43" s="10"/>
      <c r="KOS43" s="10"/>
      <c r="KOT43" s="10"/>
      <c r="KOU43" s="10"/>
      <c r="KOV43" s="10"/>
      <c r="KOW43" s="10"/>
      <c r="KOX43" s="10"/>
      <c r="KOY43" s="10"/>
      <c r="KOZ43" s="10"/>
      <c r="KPA43" s="10"/>
      <c r="KPB43" s="10"/>
      <c r="KPC43" s="10"/>
      <c r="KPD43" s="10"/>
      <c r="KPE43" s="10"/>
      <c r="KPF43" s="10"/>
      <c r="KPG43" s="10"/>
      <c r="KPH43" s="10"/>
      <c r="KPI43" s="10"/>
      <c r="KPJ43" s="10"/>
      <c r="KPK43" s="10"/>
      <c r="KPL43" s="10"/>
      <c r="KPM43" s="10"/>
      <c r="KPN43" s="10"/>
      <c r="KPO43" s="10"/>
      <c r="KPP43" s="10"/>
      <c r="KPQ43" s="10"/>
      <c r="KPR43" s="10"/>
      <c r="KPS43" s="10"/>
      <c r="KPT43" s="10"/>
      <c r="KPU43" s="10"/>
      <c r="KPV43" s="10"/>
      <c r="KPW43" s="10"/>
      <c r="KPX43" s="10"/>
      <c r="KPY43" s="10"/>
      <c r="KPZ43" s="10"/>
      <c r="KQA43" s="10"/>
      <c r="KQB43" s="10"/>
      <c r="KQC43" s="10"/>
      <c r="KQD43" s="10"/>
      <c r="KQE43" s="10"/>
      <c r="KQF43" s="10"/>
      <c r="KQG43" s="10"/>
      <c r="KQH43" s="10"/>
      <c r="KQI43" s="10"/>
      <c r="KQJ43" s="10"/>
      <c r="KQK43" s="10"/>
      <c r="KQL43" s="10"/>
      <c r="KQM43" s="10"/>
      <c r="KQN43" s="10"/>
      <c r="KQO43" s="10"/>
      <c r="KQP43" s="10"/>
      <c r="KQQ43" s="10"/>
      <c r="KQR43" s="10"/>
      <c r="KQS43" s="10"/>
      <c r="KQT43" s="10"/>
      <c r="KQU43" s="10"/>
      <c r="KQV43" s="10"/>
      <c r="KQW43" s="10"/>
      <c r="KQX43" s="10"/>
      <c r="KQY43" s="10"/>
      <c r="KQZ43" s="10"/>
      <c r="KRA43" s="10"/>
      <c r="KRB43" s="10"/>
      <c r="KRC43" s="10"/>
      <c r="KRD43" s="10"/>
      <c r="KRE43" s="10"/>
      <c r="KRF43" s="10"/>
      <c r="KRG43" s="10"/>
      <c r="KRH43" s="10"/>
      <c r="KRI43" s="10"/>
      <c r="KRJ43" s="10"/>
      <c r="KRK43" s="10"/>
      <c r="KRL43" s="10"/>
      <c r="KRM43" s="10"/>
      <c r="KRN43" s="10"/>
      <c r="KRO43" s="10"/>
      <c r="KRP43" s="10"/>
      <c r="KRQ43" s="10"/>
      <c r="KRR43" s="10"/>
      <c r="KRS43" s="10"/>
      <c r="KRT43" s="10"/>
      <c r="KRU43" s="10"/>
      <c r="KRV43" s="10"/>
      <c r="KRW43" s="10"/>
      <c r="KRX43" s="10"/>
      <c r="KRY43" s="10"/>
      <c r="KRZ43" s="10"/>
      <c r="KSA43" s="10"/>
      <c r="KSB43" s="10"/>
      <c r="KSC43" s="10"/>
      <c r="KSD43" s="10"/>
      <c r="KSE43" s="10"/>
      <c r="KSF43" s="10"/>
      <c r="KSG43" s="10"/>
      <c r="KSH43" s="10"/>
      <c r="KSI43" s="10"/>
      <c r="KSJ43" s="10"/>
      <c r="KSK43" s="10"/>
      <c r="KSL43" s="10"/>
      <c r="KSM43" s="10"/>
      <c r="KSN43" s="10"/>
      <c r="KSO43" s="10"/>
      <c r="KSP43" s="10"/>
      <c r="KSQ43" s="10"/>
      <c r="KSR43" s="10"/>
      <c r="KSS43" s="10"/>
      <c r="KST43" s="10"/>
      <c r="KSU43" s="10"/>
      <c r="KSV43" s="10"/>
      <c r="KSW43" s="10"/>
      <c r="KSX43" s="10"/>
      <c r="KSY43" s="10"/>
      <c r="KSZ43" s="10"/>
      <c r="KTA43" s="10"/>
      <c r="KTB43" s="10"/>
      <c r="KTC43" s="10"/>
      <c r="KTD43" s="10"/>
      <c r="KTE43" s="10"/>
      <c r="KTF43" s="10"/>
      <c r="KTG43" s="10"/>
      <c r="KTH43" s="10"/>
      <c r="KTI43" s="10"/>
      <c r="KTJ43" s="10"/>
      <c r="KTK43" s="10"/>
      <c r="KTL43" s="10"/>
      <c r="KTM43" s="10"/>
      <c r="KTN43" s="10"/>
      <c r="KTO43" s="10"/>
      <c r="KTP43" s="10"/>
      <c r="KTQ43" s="10"/>
      <c r="KTR43" s="10"/>
      <c r="KTS43" s="10"/>
      <c r="KTT43" s="10"/>
      <c r="KTU43" s="10"/>
      <c r="KTV43" s="10"/>
      <c r="KTW43" s="10"/>
      <c r="KTX43" s="10"/>
      <c r="KTY43" s="10"/>
      <c r="KTZ43" s="10"/>
      <c r="KUA43" s="10"/>
      <c r="KUB43" s="10"/>
      <c r="KUC43" s="10"/>
      <c r="KUD43" s="10"/>
      <c r="KUE43" s="10"/>
      <c r="KUF43" s="10"/>
      <c r="KUG43" s="10"/>
      <c r="KUH43" s="10"/>
      <c r="KUI43" s="10"/>
      <c r="KUJ43" s="10"/>
      <c r="KUK43" s="10"/>
      <c r="KUL43" s="10"/>
      <c r="KUM43" s="10"/>
      <c r="KUN43" s="10"/>
      <c r="KUO43" s="10"/>
      <c r="KUP43" s="10"/>
      <c r="KUQ43" s="10"/>
      <c r="KUR43" s="10"/>
      <c r="KUS43" s="10"/>
      <c r="KUT43" s="10"/>
      <c r="KUU43" s="10"/>
      <c r="KUV43" s="10"/>
      <c r="KUW43" s="10"/>
      <c r="KUX43" s="10"/>
      <c r="KUY43" s="10"/>
      <c r="KUZ43" s="10"/>
      <c r="KVA43" s="10"/>
      <c r="KVB43" s="10"/>
      <c r="KVC43" s="10"/>
      <c r="KVD43" s="10"/>
      <c r="KVE43" s="10"/>
      <c r="KVF43" s="10"/>
      <c r="KVG43" s="10"/>
      <c r="KVH43" s="10"/>
      <c r="KVI43" s="10"/>
      <c r="KVJ43" s="10"/>
      <c r="KVK43" s="10"/>
      <c r="KVL43" s="10"/>
      <c r="KVM43" s="10"/>
      <c r="KVN43" s="10"/>
      <c r="KVO43" s="10"/>
      <c r="KVP43" s="10"/>
      <c r="KVQ43" s="10"/>
      <c r="KVR43" s="10"/>
      <c r="KVS43" s="10"/>
      <c r="KVT43" s="10"/>
      <c r="KVU43" s="10"/>
      <c r="KVV43" s="10"/>
      <c r="KVW43" s="10"/>
      <c r="KVX43" s="10"/>
      <c r="KVY43" s="10"/>
      <c r="KVZ43" s="10"/>
      <c r="KWA43" s="10"/>
      <c r="KWB43" s="10"/>
      <c r="KWC43" s="10"/>
      <c r="KWD43" s="10"/>
      <c r="KWE43" s="10"/>
      <c r="KWF43" s="10"/>
      <c r="KWG43" s="10"/>
      <c r="KWH43" s="10"/>
      <c r="KWI43" s="10"/>
      <c r="KWJ43" s="10"/>
      <c r="KWK43" s="10"/>
      <c r="KWL43" s="10"/>
      <c r="KWM43" s="10"/>
      <c r="KWN43" s="10"/>
      <c r="KWO43" s="10"/>
      <c r="KWP43" s="10"/>
      <c r="KWQ43" s="10"/>
      <c r="KWR43" s="10"/>
      <c r="KWS43" s="10"/>
      <c r="KWT43" s="10"/>
      <c r="KWU43" s="10"/>
      <c r="KWV43" s="10"/>
      <c r="KWW43" s="10"/>
      <c r="KWX43" s="10"/>
      <c r="KWY43" s="10"/>
      <c r="KWZ43" s="10"/>
      <c r="KXA43" s="10"/>
      <c r="KXB43" s="10"/>
      <c r="KXC43" s="10"/>
      <c r="KXD43" s="10"/>
      <c r="KXE43" s="10"/>
      <c r="KXF43" s="10"/>
      <c r="KXG43" s="10"/>
      <c r="KXH43" s="10"/>
      <c r="KXI43" s="10"/>
      <c r="KXJ43" s="10"/>
      <c r="KXK43" s="10"/>
      <c r="KXL43" s="10"/>
      <c r="KXM43" s="10"/>
      <c r="KXN43" s="10"/>
      <c r="KXO43" s="10"/>
      <c r="KXP43" s="10"/>
      <c r="KXQ43" s="10"/>
      <c r="KXR43" s="10"/>
      <c r="KXS43" s="10"/>
      <c r="KXT43" s="10"/>
      <c r="KXU43" s="10"/>
      <c r="KXV43" s="10"/>
      <c r="KXW43" s="10"/>
      <c r="KXX43" s="10"/>
      <c r="KXY43" s="10"/>
      <c r="KXZ43" s="10"/>
      <c r="KYA43" s="10"/>
      <c r="KYB43" s="10"/>
      <c r="KYC43" s="10"/>
      <c r="KYD43" s="10"/>
      <c r="KYE43" s="10"/>
      <c r="KYF43" s="10"/>
      <c r="KYG43" s="10"/>
      <c r="KYH43" s="10"/>
      <c r="KYI43" s="10"/>
      <c r="KYJ43" s="10"/>
      <c r="KYK43" s="10"/>
      <c r="KYL43" s="10"/>
      <c r="KYM43" s="10"/>
      <c r="KYN43" s="10"/>
      <c r="KYO43" s="10"/>
      <c r="KYP43" s="10"/>
      <c r="KYQ43" s="10"/>
      <c r="KYR43" s="10"/>
      <c r="KYS43" s="10"/>
      <c r="KYT43" s="10"/>
      <c r="KYU43" s="10"/>
      <c r="KYV43" s="10"/>
      <c r="KYW43" s="10"/>
      <c r="KYX43" s="10"/>
      <c r="KYY43" s="10"/>
      <c r="KYZ43" s="10"/>
      <c r="KZA43" s="10"/>
      <c r="KZB43" s="10"/>
      <c r="KZC43" s="10"/>
      <c r="KZD43" s="10"/>
      <c r="KZE43" s="10"/>
      <c r="KZF43" s="10"/>
      <c r="KZG43" s="10"/>
      <c r="KZH43" s="10"/>
      <c r="KZI43" s="10"/>
      <c r="KZJ43" s="10"/>
      <c r="KZK43" s="10"/>
      <c r="KZL43" s="10"/>
      <c r="KZM43" s="10"/>
      <c r="KZN43" s="10"/>
      <c r="KZO43" s="10"/>
      <c r="KZP43" s="10"/>
      <c r="KZQ43" s="10"/>
      <c r="KZR43" s="10"/>
      <c r="KZS43" s="10"/>
      <c r="KZT43" s="10"/>
      <c r="KZU43" s="10"/>
      <c r="KZV43" s="10"/>
      <c r="KZW43" s="10"/>
      <c r="KZX43" s="10"/>
      <c r="KZY43" s="10"/>
      <c r="KZZ43" s="10"/>
      <c r="LAA43" s="10"/>
      <c r="LAB43" s="10"/>
      <c r="LAC43" s="10"/>
      <c r="LAD43" s="10"/>
      <c r="LAE43" s="10"/>
      <c r="LAF43" s="10"/>
      <c r="LAG43" s="10"/>
      <c r="LAH43" s="10"/>
      <c r="LAI43" s="10"/>
      <c r="LAJ43" s="10"/>
      <c r="LAK43" s="10"/>
      <c r="LAL43" s="10"/>
      <c r="LAM43" s="10"/>
      <c r="LAN43" s="10"/>
      <c r="LAO43" s="10"/>
      <c r="LAP43" s="10"/>
      <c r="LAQ43" s="10"/>
      <c r="LAR43" s="10"/>
      <c r="LAS43" s="10"/>
      <c r="LAT43" s="10"/>
      <c r="LAU43" s="10"/>
      <c r="LAV43" s="10"/>
      <c r="LAW43" s="10"/>
      <c r="LAX43" s="10"/>
      <c r="LAY43" s="10"/>
      <c r="LAZ43" s="10"/>
      <c r="LBA43" s="10"/>
      <c r="LBB43" s="10"/>
      <c r="LBC43" s="10"/>
      <c r="LBD43" s="10"/>
      <c r="LBE43" s="10"/>
      <c r="LBF43" s="10"/>
      <c r="LBG43" s="10"/>
      <c r="LBH43" s="10"/>
      <c r="LBI43" s="10"/>
      <c r="LBJ43" s="10"/>
      <c r="LBK43" s="10"/>
      <c r="LBL43" s="10"/>
      <c r="LBM43" s="10"/>
      <c r="LBN43" s="10"/>
      <c r="LBO43" s="10"/>
      <c r="LBP43" s="10"/>
      <c r="LBQ43" s="10"/>
      <c r="LBR43" s="10"/>
      <c r="LBS43" s="10"/>
      <c r="LBT43" s="10"/>
      <c r="LBU43" s="10"/>
      <c r="LBV43" s="10"/>
      <c r="LBW43" s="10"/>
      <c r="LBX43" s="10"/>
      <c r="LBY43" s="10"/>
      <c r="LBZ43" s="10"/>
      <c r="LCA43" s="10"/>
      <c r="LCB43" s="10"/>
      <c r="LCC43" s="10"/>
      <c r="LCD43" s="10"/>
      <c r="LCE43" s="10"/>
      <c r="LCF43" s="10"/>
      <c r="LCG43" s="10"/>
      <c r="LCH43" s="10"/>
      <c r="LCI43" s="10"/>
      <c r="LCJ43" s="10"/>
      <c r="LCK43" s="10"/>
      <c r="LCL43" s="10"/>
      <c r="LCM43" s="10"/>
      <c r="LCN43" s="10"/>
      <c r="LCO43" s="10"/>
      <c r="LCP43" s="10"/>
      <c r="LCQ43" s="10"/>
      <c r="LCR43" s="10"/>
      <c r="LCS43" s="10"/>
      <c r="LCT43" s="10"/>
      <c r="LCU43" s="10"/>
      <c r="LCV43" s="10"/>
      <c r="LCW43" s="10"/>
      <c r="LCX43" s="10"/>
      <c r="LCY43" s="10"/>
      <c r="LCZ43" s="10"/>
      <c r="LDA43" s="10"/>
      <c r="LDB43" s="10"/>
      <c r="LDC43" s="10"/>
      <c r="LDD43" s="10"/>
      <c r="LDE43" s="10"/>
      <c r="LDF43" s="10"/>
      <c r="LDG43" s="10"/>
      <c r="LDH43" s="10"/>
      <c r="LDI43" s="10"/>
      <c r="LDJ43" s="10"/>
      <c r="LDK43" s="10"/>
      <c r="LDL43" s="10"/>
      <c r="LDM43" s="10"/>
      <c r="LDN43" s="10"/>
      <c r="LDO43" s="10"/>
      <c r="LDP43" s="10"/>
      <c r="LDQ43" s="10"/>
      <c r="LDR43" s="10"/>
      <c r="LDS43" s="10"/>
      <c r="LDT43" s="10"/>
      <c r="LDU43" s="10"/>
      <c r="LDV43" s="10"/>
      <c r="LDW43" s="10"/>
      <c r="LDX43" s="10"/>
      <c r="LDY43" s="10"/>
      <c r="LDZ43" s="10"/>
      <c r="LEA43" s="10"/>
      <c r="LEB43" s="10"/>
      <c r="LEC43" s="10"/>
      <c r="LED43" s="10"/>
      <c r="LEE43" s="10"/>
      <c r="LEF43" s="10"/>
      <c r="LEG43" s="10"/>
      <c r="LEH43" s="10"/>
      <c r="LEI43" s="10"/>
      <c r="LEJ43" s="10"/>
      <c r="LEK43" s="10"/>
      <c r="LEL43" s="10"/>
      <c r="LEM43" s="10"/>
      <c r="LEN43" s="10"/>
      <c r="LEO43" s="10"/>
      <c r="LEP43" s="10"/>
      <c r="LEQ43" s="10"/>
      <c r="LER43" s="10"/>
      <c r="LES43" s="10"/>
      <c r="LET43" s="10"/>
      <c r="LEU43" s="10"/>
      <c r="LEV43" s="10"/>
      <c r="LEW43" s="10"/>
      <c r="LEX43" s="10"/>
      <c r="LEY43" s="10"/>
      <c r="LEZ43" s="10"/>
      <c r="LFA43" s="10"/>
      <c r="LFB43" s="10"/>
      <c r="LFC43" s="10"/>
      <c r="LFD43" s="10"/>
      <c r="LFE43" s="10"/>
      <c r="LFF43" s="10"/>
      <c r="LFG43" s="10"/>
      <c r="LFH43" s="10"/>
      <c r="LFI43" s="10"/>
      <c r="LFJ43" s="10"/>
      <c r="LFK43" s="10"/>
      <c r="LFL43" s="10"/>
      <c r="LFM43" s="10"/>
      <c r="LFN43" s="10"/>
      <c r="LFO43" s="10"/>
      <c r="LFP43" s="10"/>
      <c r="LFQ43" s="10"/>
      <c r="LFR43" s="10"/>
      <c r="LFS43" s="10"/>
      <c r="LFT43" s="10"/>
      <c r="LFU43" s="10"/>
      <c r="LFV43" s="10"/>
      <c r="LFW43" s="10"/>
      <c r="LFX43" s="10"/>
      <c r="LFY43" s="10"/>
      <c r="LFZ43" s="10"/>
      <c r="LGA43" s="10"/>
      <c r="LGB43" s="10"/>
      <c r="LGC43" s="10"/>
      <c r="LGD43" s="10"/>
      <c r="LGE43" s="10"/>
      <c r="LGF43" s="10"/>
      <c r="LGG43" s="10"/>
      <c r="LGH43" s="10"/>
      <c r="LGI43" s="10"/>
      <c r="LGJ43" s="10"/>
      <c r="LGK43" s="10"/>
      <c r="LGL43" s="10"/>
      <c r="LGM43" s="10"/>
      <c r="LGN43" s="10"/>
      <c r="LGO43" s="10"/>
      <c r="LGP43" s="10"/>
      <c r="LGQ43" s="10"/>
      <c r="LGR43" s="10"/>
      <c r="LGS43" s="10"/>
      <c r="LGT43" s="10"/>
      <c r="LGU43" s="10"/>
      <c r="LGV43" s="10"/>
      <c r="LGW43" s="10"/>
      <c r="LGX43" s="10"/>
      <c r="LGY43" s="10"/>
      <c r="LGZ43" s="10"/>
      <c r="LHA43" s="10"/>
      <c r="LHB43" s="10"/>
      <c r="LHC43" s="10"/>
      <c r="LHD43" s="10"/>
      <c r="LHE43" s="10"/>
      <c r="LHF43" s="10"/>
      <c r="LHG43" s="10"/>
      <c r="LHH43" s="10"/>
      <c r="LHI43" s="10"/>
      <c r="LHJ43" s="10"/>
      <c r="LHK43" s="10"/>
      <c r="LHL43" s="10"/>
      <c r="LHM43" s="10"/>
      <c r="LHN43" s="10"/>
      <c r="LHO43" s="10"/>
      <c r="LHP43" s="10"/>
      <c r="LHQ43" s="10"/>
      <c r="LHR43" s="10"/>
      <c r="LHS43" s="10"/>
      <c r="LHT43" s="10"/>
      <c r="LHU43" s="10"/>
      <c r="LHV43" s="10"/>
      <c r="LHW43" s="10"/>
      <c r="LHX43" s="10"/>
      <c r="LHY43" s="10"/>
      <c r="LHZ43" s="10"/>
      <c r="LIA43" s="10"/>
      <c r="LIB43" s="10"/>
      <c r="LIC43" s="10"/>
      <c r="LID43" s="10"/>
      <c r="LIE43" s="10"/>
      <c r="LIF43" s="10"/>
      <c r="LIG43" s="10"/>
      <c r="LIH43" s="10"/>
      <c r="LII43" s="10"/>
      <c r="LIJ43" s="10"/>
      <c r="LIK43" s="10"/>
      <c r="LIL43" s="10"/>
      <c r="LIM43" s="10"/>
      <c r="LIN43" s="10"/>
      <c r="LIO43" s="10"/>
      <c r="LIP43" s="10"/>
      <c r="LIQ43" s="10"/>
      <c r="LIR43" s="10"/>
      <c r="LIS43" s="10"/>
      <c r="LIT43" s="10"/>
      <c r="LIU43" s="10"/>
      <c r="LIV43" s="10"/>
      <c r="LIW43" s="10"/>
      <c r="LIX43" s="10"/>
      <c r="LIY43" s="10"/>
      <c r="LIZ43" s="10"/>
      <c r="LJA43" s="10"/>
      <c r="LJB43" s="10"/>
      <c r="LJC43" s="10"/>
      <c r="LJD43" s="10"/>
      <c r="LJE43" s="10"/>
      <c r="LJF43" s="10"/>
      <c r="LJG43" s="10"/>
      <c r="LJH43" s="10"/>
      <c r="LJI43" s="10"/>
      <c r="LJJ43" s="10"/>
      <c r="LJK43" s="10"/>
      <c r="LJL43" s="10"/>
      <c r="LJM43" s="10"/>
      <c r="LJN43" s="10"/>
      <c r="LJO43" s="10"/>
      <c r="LJP43" s="10"/>
      <c r="LJQ43" s="10"/>
      <c r="LJR43" s="10"/>
      <c r="LJS43" s="10"/>
      <c r="LJT43" s="10"/>
      <c r="LJU43" s="10"/>
      <c r="LJV43" s="10"/>
      <c r="LJW43" s="10"/>
      <c r="LJX43" s="10"/>
      <c r="LJY43" s="10"/>
      <c r="LJZ43" s="10"/>
      <c r="LKA43" s="10"/>
      <c r="LKB43" s="10"/>
      <c r="LKC43" s="10"/>
      <c r="LKD43" s="10"/>
      <c r="LKE43" s="10"/>
      <c r="LKF43" s="10"/>
      <c r="LKG43" s="10"/>
      <c r="LKH43" s="10"/>
      <c r="LKI43" s="10"/>
      <c r="LKJ43" s="10"/>
      <c r="LKK43" s="10"/>
      <c r="LKL43" s="10"/>
      <c r="LKM43" s="10"/>
      <c r="LKN43" s="10"/>
      <c r="LKO43" s="10"/>
      <c r="LKP43" s="10"/>
      <c r="LKQ43" s="10"/>
      <c r="LKR43" s="10"/>
      <c r="LKS43" s="10"/>
      <c r="LKT43" s="10"/>
      <c r="LKU43" s="10"/>
      <c r="LKV43" s="10"/>
      <c r="LKW43" s="10"/>
      <c r="LKX43" s="10"/>
      <c r="LKY43" s="10"/>
      <c r="LKZ43" s="10"/>
      <c r="LLA43" s="10"/>
      <c r="LLB43" s="10"/>
      <c r="LLC43" s="10"/>
      <c r="LLD43" s="10"/>
      <c r="LLE43" s="10"/>
      <c r="LLF43" s="10"/>
      <c r="LLG43" s="10"/>
      <c r="LLH43" s="10"/>
      <c r="LLI43" s="10"/>
      <c r="LLJ43" s="10"/>
      <c r="LLK43" s="10"/>
      <c r="LLL43" s="10"/>
      <c r="LLM43" s="10"/>
      <c r="LLN43" s="10"/>
      <c r="LLO43" s="10"/>
      <c r="LLP43" s="10"/>
      <c r="LLQ43" s="10"/>
      <c r="LLR43" s="10"/>
      <c r="LLS43" s="10"/>
      <c r="LLT43" s="10"/>
      <c r="LLU43" s="10"/>
      <c r="LLV43" s="10"/>
      <c r="LLW43" s="10"/>
      <c r="LLX43" s="10"/>
      <c r="LLY43" s="10"/>
      <c r="LLZ43" s="10"/>
      <c r="LMA43" s="10"/>
      <c r="LMB43" s="10"/>
      <c r="LMC43" s="10"/>
      <c r="LMD43" s="10"/>
      <c r="LME43" s="10"/>
      <c r="LMF43" s="10"/>
      <c r="LMG43" s="10"/>
      <c r="LMH43" s="10"/>
      <c r="LMI43" s="10"/>
      <c r="LMJ43" s="10"/>
      <c r="LMK43" s="10"/>
      <c r="LML43" s="10"/>
      <c r="LMM43" s="10"/>
      <c r="LMN43" s="10"/>
      <c r="LMO43" s="10"/>
      <c r="LMP43" s="10"/>
      <c r="LMQ43" s="10"/>
      <c r="LMR43" s="10"/>
      <c r="LMS43" s="10"/>
      <c r="LMT43" s="10"/>
      <c r="LMU43" s="10"/>
      <c r="LMV43" s="10"/>
      <c r="LMW43" s="10"/>
      <c r="LMX43" s="10"/>
      <c r="LMY43" s="10"/>
      <c r="LMZ43" s="10"/>
      <c r="LNA43" s="10"/>
      <c r="LNB43" s="10"/>
      <c r="LNC43" s="10"/>
      <c r="LND43" s="10"/>
      <c r="LNE43" s="10"/>
      <c r="LNF43" s="10"/>
      <c r="LNG43" s="10"/>
      <c r="LNH43" s="10"/>
      <c r="LNI43" s="10"/>
      <c r="LNJ43" s="10"/>
      <c r="LNK43" s="10"/>
      <c r="LNL43" s="10"/>
      <c r="LNM43" s="10"/>
      <c r="LNN43" s="10"/>
      <c r="LNO43" s="10"/>
      <c r="LNP43" s="10"/>
      <c r="LNQ43" s="10"/>
      <c r="LNR43" s="10"/>
      <c r="LNS43" s="10"/>
      <c r="LNT43" s="10"/>
      <c r="LNU43" s="10"/>
      <c r="LNV43" s="10"/>
      <c r="LNW43" s="10"/>
      <c r="LNX43" s="10"/>
      <c r="LNY43" s="10"/>
      <c r="LNZ43" s="10"/>
      <c r="LOA43" s="10"/>
      <c r="LOB43" s="10"/>
      <c r="LOC43" s="10"/>
      <c r="LOD43" s="10"/>
      <c r="LOE43" s="10"/>
      <c r="LOF43" s="10"/>
      <c r="LOG43" s="10"/>
      <c r="LOH43" s="10"/>
      <c r="LOI43" s="10"/>
      <c r="LOJ43" s="10"/>
      <c r="LOK43" s="10"/>
      <c r="LOL43" s="10"/>
      <c r="LOM43" s="10"/>
      <c r="LON43" s="10"/>
      <c r="LOO43" s="10"/>
      <c r="LOP43" s="10"/>
      <c r="LOQ43" s="10"/>
      <c r="LOR43" s="10"/>
      <c r="LOS43" s="10"/>
      <c r="LOT43" s="10"/>
      <c r="LOU43" s="10"/>
      <c r="LOV43" s="10"/>
      <c r="LOW43" s="10"/>
      <c r="LOX43" s="10"/>
      <c r="LOY43" s="10"/>
      <c r="LOZ43" s="10"/>
      <c r="LPA43" s="10"/>
      <c r="LPB43" s="10"/>
      <c r="LPC43" s="10"/>
      <c r="LPD43" s="10"/>
      <c r="LPE43" s="10"/>
      <c r="LPF43" s="10"/>
      <c r="LPG43" s="10"/>
      <c r="LPH43" s="10"/>
      <c r="LPI43" s="10"/>
      <c r="LPJ43" s="10"/>
      <c r="LPK43" s="10"/>
      <c r="LPL43" s="10"/>
      <c r="LPM43" s="10"/>
      <c r="LPN43" s="10"/>
      <c r="LPO43" s="10"/>
      <c r="LPP43" s="10"/>
      <c r="LPQ43" s="10"/>
      <c r="LPR43" s="10"/>
      <c r="LPS43" s="10"/>
      <c r="LPT43" s="10"/>
      <c r="LPU43" s="10"/>
      <c r="LPV43" s="10"/>
      <c r="LPW43" s="10"/>
      <c r="LPX43" s="10"/>
      <c r="LPY43" s="10"/>
      <c r="LPZ43" s="10"/>
      <c r="LQA43" s="10"/>
      <c r="LQB43" s="10"/>
      <c r="LQC43" s="10"/>
      <c r="LQD43" s="10"/>
      <c r="LQE43" s="10"/>
      <c r="LQF43" s="10"/>
      <c r="LQG43" s="10"/>
      <c r="LQH43" s="10"/>
      <c r="LQI43" s="10"/>
      <c r="LQJ43" s="10"/>
      <c r="LQK43" s="10"/>
      <c r="LQL43" s="10"/>
      <c r="LQM43" s="10"/>
      <c r="LQN43" s="10"/>
      <c r="LQO43" s="10"/>
      <c r="LQP43" s="10"/>
      <c r="LQQ43" s="10"/>
      <c r="LQR43" s="10"/>
      <c r="LQS43" s="10"/>
      <c r="LQT43" s="10"/>
      <c r="LQU43" s="10"/>
      <c r="LQV43" s="10"/>
      <c r="LQW43" s="10"/>
      <c r="LQX43" s="10"/>
      <c r="LQY43" s="10"/>
      <c r="LQZ43" s="10"/>
      <c r="LRA43" s="10"/>
      <c r="LRB43" s="10"/>
      <c r="LRC43" s="10"/>
      <c r="LRD43" s="10"/>
      <c r="LRE43" s="10"/>
      <c r="LRF43" s="10"/>
      <c r="LRG43" s="10"/>
      <c r="LRH43" s="10"/>
      <c r="LRI43" s="10"/>
      <c r="LRJ43" s="10"/>
      <c r="LRK43" s="10"/>
      <c r="LRL43" s="10"/>
      <c r="LRM43" s="10"/>
      <c r="LRN43" s="10"/>
      <c r="LRO43" s="10"/>
      <c r="LRP43" s="10"/>
      <c r="LRQ43" s="10"/>
      <c r="LRR43" s="10"/>
      <c r="LRS43" s="10"/>
      <c r="LRT43" s="10"/>
      <c r="LRU43" s="10"/>
      <c r="LRV43" s="10"/>
      <c r="LRW43" s="10"/>
      <c r="LRX43" s="10"/>
      <c r="LRY43" s="10"/>
      <c r="LRZ43" s="10"/>
      <c r="LSA43" s="10"/>
      <c r="LSB43" s="10"/>
      <c r="LSC43" s="10"/>
      <c r="LSD43" s="10"/>
      <c r="LSE43" s="10"/>
      <c r="LSF43" s="10"/>
      <c r="LSG43" s="10"/>
      <c r="LSH43" s="10"/>
      <c r="LSI43" s="10"/>
      <c r="LSJ43" s="10"/>
      <c r="LSK43" s="10"/>
      <c r="LSL43" s="10"/>
      <c r="LSM43" s="10"/>
      <c r="LSN43" s="10"/>
      <c r="LSO43" s="10"/>
      <c r="LSP43" s="10"/>
      <c r="LSQ43" s="10"/>
      <c r="LSR43" s="10"/>
      <c r="LSS43" s="10"/>
      <c r="LST43" s="10"/>
      <c r="LSU43" s="10"/>
      <c r="LSV43" s="10"/>
      <c r="LSW43" s="10"/>
      <c r="LSX43" s="10"/>
      <c r="LSY43" s="10"/>
      <c r="LSZ43" s="10"/>
      <c r="LTA43" s="10"/>
      <c r="LTB43" s="10"/>
      <c r="LTC43" s="10"/>
      <c r="LTD43" s="10"/>
      <c r="LTE43" s="10"/>
      <c r="LTF43" s="10"/>
      <c r="LTG43" s="10"/>
      <c r="LTH43" s="10"/>
      <c r="LTI43" s="10"/>
      <c r="LTJ43" s="10"/>
      <c r="LTK43" s="10"/>
      <c r="LTL43" s="10"/>
      <c r="LTM43" s="10"/>
      <c r="LTN43" s="10"/>
      <c r="LTO43" s="10"/>
      <c r="LTP43" s="10"/>
      <c r="LTQ43" s="10"/>
      <c r="LTR43" s="10"/>
      <c r="LTS43" s="10"/>
      <c r="LTT43" s="10"/>
      <c r="LTU43" s="10"/>
      <c r="LTV43" s="10"/>
      <c r="LTW43" s="10"/>
      <c r="LTX43" s="10"/>
      <c r="LTY43" s="10"/>
      <c r="LTZ43" s="10"/>
      <c r="LUA43" s="10"/>
      <c r="LUB43" s="10"/>
      <c r="LUC43" s="10"/>
      <c r="LUD43" s="10"/>
      <c r="LUE43" s="10"/>
      <c r="LUF43" s="10"/>
      <c r="LUG43" s="10"/>
      <c r="LUH43" s="10"/>
      <c r="LUI43" s="10"/>
      <c r="LUJ43" s="10"/>
      <c r="LUK43" s="10"/>
      <c r="LUL43" s="10"/>
      <c r="LUM43" s="10"/>
      <c r="LUN43" s="10"/>
      <c r="LUO43" s="10"/>
      <c r="LUP43" s="10"/>
      <c r="LUQ43" s="10"/>
      <c r="LUR43" s="10"/>
      <c r="LUS43" s="10"/>
      <c r="LUT43" s="10"/>
      <c r="LUU43" s="10"/>
      <c r="LUV43" s="10"/>
      <c r="LUW43" s="10"/>
      <c r="LUX43" s="10"/>
      <c r="LUY43" s="10"/>
      <c r="LUZ43" s="10"/>
      <c r="LVA43" s="10"/>
      <c r="LVB43" s="10"/>
      <c r="LVC43" s="10"/>
      <c r="LVD43" s="10"/>
      <c r="LVE43" s="10"/>
      <c r="LVF43" s="10"/>
      <c r="LVG43" s="10"/>
      <c r="LVH43" s="10"/>
      <c r="LVI43" s="10"/>
      <c r="LVJ43" s="10"/>
      <c r="LVK43" s="10"/>
      <c r="LVL43" s="10"/>
      <c r="LVM43" s="10"/>
      <c r="LVN43" s="10"/>
      <c r="LVO43" s="10"/>
      <c r="LVP43" s="10"/>
      <c r="LVQ43" s="10"/>
      <c r="LVR43" s="10"/>
      <c r="LVS43" s="10"/>
      <c r="LVT43" s="10"/>
      <c r="LVU43" s="10"/>
      <c r="LVV43" s="10"/>
      <c r="LVW43" s="10"/>
      <c r="LVX43" s="10"/>
      <c r="LVY43" s="10"/>
      <c r="LVZ43" s="10"/>
      <c r="LWA43" s="10"/>
      <c r="LWB43" s="10"/>
      <c r="LWC43" s="10"/>
      <c r="LWD43" s="10"/>
      <c r="LWE43" s="10"/>
      <c r="LWF43" s="10"/>
      <c r="LWG43" s="10"/>
      <c r="LWH43" s="10"/>
      <c r="LWI43" s="10"/>
      <c r="LWJ43" s="10"/>
      <c r="LWK43" s="10"/>
      <c r="LWL43" s="10"/>
      <c r="LWM43" s="10"/>
      <c r="LWN43" s="10"/>
      <c r="LWO43" s="10"/>
      <c r="LWP43" s="10"/>
      <c r="LWQ43" s="10"/>
      <c r="LWR43" s="10"/>
      <c r="LWS43" s="10"/>
      <c r="LWT43" s="10"/>
      <c r="LWU43" s="10"/>
      <c r="LWV43" s="10"/>
      <c r="LWW43" s="10"/>
      <c r="LWX43" s="10"/>
      <c r="LWY43" s="10"/>
      <c r="LWZ43" s="10"/>
      <c r="LXA43" s="10"/>
      <c r="LXB43" s="10"/>
      <c r="LXC43" s="10"/>
      <c r="LXD43" s="10"/>
      <c r="LXE43" s="10"/>
      <c r="LXF43" s="10"/>
      <c r="LXG43" s="10"/>
      <c r="LXH43" s="10"/>
      <c r="LXI43" s="10"/>
      <c r="LXJ43" s="10"/>
      <c r="LXK43" s="10"/>
      <c r="LXL43" s="10"/>
      <c r="LXM43" s="10"/>
      <c r="LXN43" s="10"/>
      <c r="LXO43" s="10"/>
      <c r="LXP43" s="10"/>
      <c r="LXQ43" s="10"/>
      <c r="LXR43" s="10"/>
      <c r="LXS43" s="10"/>
      <c r="LXT43" s="10"/>
      <c r="LXU43" s="10"/>
      <c r="LXV43" s="10"/>
      <c r="LXW43" s="10"/>
      <c r="LXX43" s="10"/>
      <c r="LXY43" s="10"/>
      <c r="LXZ43" s="10"/>
      <c r="LYA43" s="10"/>
      <c r="LYB43" s="10"/>
      <c r="LYC43" s="10"/>
      <c r="LYD43" s="10"/>
      <c r="LYE43" s="10"/>
      <c r="LYF43" s="10"/>
      <c r="LYG43" s="10"/>
      <c r="LYH43" s="10"/>
      <c r="LYI43" s="10"/>
      <c r="LYJ43" s="10"/>
      <c r="LYK43" s="10"/>
      <c r="LYL43" s="10"/>
      <c r="LYM43" s="10"/>
      <c r="LYN43" s="10"/>
      <c r="LYO43" s="10"/>
      <c r="LYP43" s="10"/>
      <c r="LYQ43" s="10"/>
      <c r="LYR43" s="10"/>
      <c r="LYS43" s="10"/>
      <c r="LYT43" s="10"/>
      <c r="LYU43" s="10"/>
      <c r="LYV43" s="10"/>
      <c r="LYW43" s="10"/>
      <c r="LYX43" s="10"/>
      <c r="LYY43" s="10"/>
      <c r="LYZ43" s="10"/>
      <c r="LZA43" s="10"/>
      <c r="LZB43" s="10"/>
      <c r="LZC43" s="10"/>
      <c r="LZD43" s="10"/>
      <c r="LZE43" s="10"/>
      <c r="LZF43" s="10"/>
      <c r="LZG43" s="10"/>
      <c r="LZH43" s="10"/>
      <c r="LZI43" s="10"/>
      <c r="LZJ43" s="10"/>
      <c r="LZK43" s="10"/>
      <c r="LZL43" s="10"/>
      <c r="LZM43" s="10"/>
      <c r="LZN43" s="10"/>
      <c r="LZO43" s="10"/>
      <c r="LZP43" s="10"/>
      <c r="LZQ43" s="10"/>
      <c r="LZR43" s="10"/>
      <c r="LZS43" s="10"/>
      <c r="LZT43" s="10"/>
      <c r="LZU43" s="10"/>
      <c r="LZV43" s="10"/>
      <c r="LZW43" s="10"/>
      <c r="LZX43" s="10"/>
      <c r="LZY43" s="10"/>
      <c r="LZZ43" s="10"/>
      <c r="MAA43" s="10"/>
      <c r="MAB43" s="10"/>
      <c r="MAC43" s="10"/>
      <c r="MAD43" s="10"/>
      <c r="MAE43" s="10"/>
      <c r="MAF43" s="10"/>
      <c r="MAG43" s="10"/>
      <c r="MAH43" s="10"/>
      <c r="MAI43" s="10"/>
      <c r="MAJ43" s="10"/>
      <c r="MAK43" s="10"/>
      <c r="MAL43" s="10"/>
      <c r="MAM43" s="10"/>
      <c r="MAN43" s="10"/>
      <c r="MAO43" s="10"/>
      <c r="MAP43" s="10"/>
      <c r="MAQ43" s="10"/>
      <c r="MAR43" s="10"/>
      <c r="MAS43" s="10"/>
      <c r="MAT43" s="10"/>
      <c r="MAU43" s="10"/>
      <c r="MAV43" s="10"/>
      <c r="MAW43" s="10"/>
      <c r="MAX43" s="10"/>
      <c r="MAY43" s="10"/>
      <c r="MAZ43" s="10"/>
      <c r="MBA43" s="10"/>
      <c r="MBB43" s="10"/>
      <c r="MBC43" s="10"/>
      <c r="MBD43" s="10"/>
      <c r="MBE43" s="10"/>
      <c r="MBF43" s="10"/>
      <c r="MBG43" s="10"/>
      <c r="MBH43" s="10"/>
      <c r="MBI43" s="10"/>
      <c r="MBJ43" s="10"/>
      <c r="MBK43" s="10"/>
      <c r="MBL43" s="10"/>
      <c r="MBM43" s="10"/>
      <c r="MBN43" s="10"/>
      <c r="MBO43" s="10"/>
      <c r="MBP43" s="10"/>
      <c r="MBQ43" s="10"/>
      <c r="MBR43" s="10"/>
      <c r="MBS43" s="10"/>
      <c r="MBT43" s="10"/>
      <c r="MBU43" s="10"/>
      <c r="MBV43" s="10"/>
      <c r="MBW43" s="10"/>
      <c r="MBX43" s="10"/>
      <c r="MBY43" s="10"/>
      <c r="MBZ43" s="10"/>
      <c r="MCA43" s="10"/>
      <c r="MCB43" s="10"/>
      <c r="MCC43" s="10"/>
      <c r="MCD43" s="10"/>
      <c r="MCE43" s="10"/>
      <c r="MCF43" s="10"/>
      <c r="MCG43" s="10"/>
      <c r="MCH43" s="10"/>
      <c r="MCI43" s="10"/>
      <c r="MCJ43" s="10"/>
      <c r="MCK43" s="10"/>
      <c r="MCL43" s="10"/>
      <c r="MCM43" s="10"/>
      <c r="MCN43" s="10"/>
      <c r="MCO43" s="10"/>
      <c r="MCP43" s="10"/>
      <c r="MCQ43" s="10"/>
      <c r="MCR43" s="10"/>
      <c r="MCS43" s="10"/>
      <c r="MCT43" s="10"/>
      <c r="MCU43" s="10"/>
      <c r="MCV43" s="10"/>
      <c r="MCW43" s="10"/>
      <c r="MCX43" s="10"/>
      <c r="MCY43" s="10"/>
      <c r="MCZ43" s="10"/>
      <c r="MDA43" s="10"/>
      <c r="MDB43" s="10"/>
      <c r="MDC43" s="10"/>
      <c r="MDD43" s="10"/>
      <c r="MDE43" s="10"/>
      <c r="MDF43" s="10"/>
      <c r="MDG43" s="10"/>
      <c r="MDH43" s="10"/>
      <c r="MDI43" s="10"/>
      <c r="MDJ43" s="10"/>
      <c r="MDK43" s="10"/>
      <c r="MDL43" s="10"/>
      <c r="MDM43" s="10"/>
      <c r="MDN43" s="10"/>
      <c r="MDO43" s="10"/>
      <c r="MDP43" s="10"/>
      <c r="MDQ43" s="10"/>
      <c r="MDR43" s="10"/>
      <c r="MDS43" s="10"/>
      <c r="MDT43" s="10"/>
      <c r="MDU43" s="10"/>
      <c r="MDV43" s="10"/>
      <c r="MDW43" s="10"/>
      <c r="MDX43" s="10"/>
      <c r="MDY43" s="10"/>
      <c r="MDZ43" s="10"/>
      <c r="MEA43" s="10"/>
      <c r="MEB43" s="10"/>
      <c r="MEC43" s="10"/>
      <c r="MED43" s="10"/>
      <c r="MEE43" s="10"/>
      <c r="MEF43" s="10"/>
      <c r="MEG43" s="10"/>
      <c r="MEH43" s="10"/>
      <c r="MEI43" s="10"/>
      <c r="MEJ43" s="10"/>
      <c r="MEK43" s="10"/>
      <c r="MEL43" s="10"/>
      <c r="MEM43" s="10"/>
      <c r="MEN43" s="10"/>
      <c r="MEO43" s="10"/>
      <c r="MEP43" s="10"/>
      <c r="MEQ43" s="10"/>
      <c r="MER43" s="10"/>
      <c r="MES43" s="10"/>
      <c r="MET43" s="10"/>
      <c r="MEU43" s="10"/>
      <c r="MEV43" s="10"/>
      <c r="MEW43" s="10"/>
      <c r="MEX43" s="10"/>
      <c r="MEY43" s="10"/>
      <c r="MEZ43" s="10"/>
      <c r="MFA43" s="10"/>
      <c r="MFB43" s="10"/>
      <c r="MFC43" s="10"/>
      <c r="MFD43" s="10"/>
      <c r="MFE43" s="10"/>
      <c r="MFF43" s="10"/>
      <c r="MFG43" s="10"/>
      <c r="MFH43" s="10"/>
      <c r="MFI43" s="10"/>
      <c r="MFJ43" s="10"/>
      <c r="MFK43" s="10"/>
      <c r="MFL43" s="10"/>
      <c r="MFM43" s="10"/>
      <c r="MFN43" s="10"/>
      <c r="MFO43" s="10"/>
      <c r="MFP43" s="10"/>
      <c r="MFQ43" s="10"/>
      <c r="MFR43" s="10"/>
      <c r="MFS43" s="10"/>
      <c r="MFT43" s="10"/>
      <c r="MFU43" s="10"/>
      <c r="MFV43" s="10"/>
      <c r="MFW43" s="10"/>
      <c r="MFX43" s="10"/>
      <c r="MFY43" s="10"/>
      <c r="MFZ43" s="10"/>
      <c r="MGA43" s="10"/>
      <c r="MGB43" s="10"/>
      <c r="MGC43" s="10"/>
      <c r="MGD43" s="10"/>
      <c r="MGE43" s="10"/>
      <c r="MGF43" s="10"/>
      <c r="MGG43" s="10"/>
      <c r="MGH43" s="10"/>
      <c r="MGI43" s="10"/>
      <c r="MGJ43" s="10"/>
      <c r="MGK43" s="10"/>
      <c r="MGL43" s="10"/>
      <c r="MGM43" s="10"/>
      <c r="MGN43" s="10"/>
      <c r="MGO43" s="10"/>
      <c r="MGP43" s="10"/>
      <c r="MGQ43" s="10"/>
      <c r="MGR43" s="10"/>
      <c r="MGS43" s="10"/>
      <c r="MGT43" s="10"/>
      <c r="MGU43" s="10"/>
      <c r="MGV43" s="10"/>
      <c r="MGW43" s="10"/>
      <c r="MGX43" s="10"/>
      <c r="MGY43" s="10"/>
      <c r="MGZ43" s="10"/>
      <c r="MHA43" s="10"/>
      <c r="MHB43" s="10"/>
      <c r="MHC43" s="10"/>
      <c r="MHD43" s="10"/>
      <c r="MHE43" s="10"/>
      <c r="MHF43" s="10"/>
      <c r="MHG43" s="10"/>
      <c r="MHH43" s="10"/>
      <c r="MHI43" s="10"/>
      <c r="MHJ43" s="10"/>
      <c r="MHK43" s="10"/>
      <c r="MHL43" s="10"/>
      <c r="MHM43" s="10"/>
      <c r="MHN43" s="10"/>
      <c r="MHO43" s="10"/>
      <c r="MHP43" s="10"/>
      <c r="MHQ43" s="10"/>
      <c r="MHR43" s="10"/>
      <c r="MHS43" s="10"/>
      <c r="MHT43" s="10"/>
      <c r="MHU43" s="10"/>
      <c r="MHV43" s="10"/>
      <c r="MHW43" s="10"/>
      <c r="MHX43" s="10"/>
      <c r="MHY43" s="10"/>
      <c r="MHZ43" s="10"/>
      <c r="MIA43" s="10"/>
      <c r="MIB43" s="10"/>
      <c r="MIC43" s="10"/>
      <c r="MID43" s="10"/>
      <c r="MIE43" s="10"/>
      <c r="MIF43" s="10"/>
      <c r="MIG43" s="10"/>
      <c r="MIH43" s="10"/>
      <c r="MII43" s="10"/>
      <c r="MIJ43" s="10"/>
      <c r="MIK43" s="10"/>
      <c r="MIL43" s="10"/>
      <c r="MIM43" s="10"/>
      <c r="MIN43" s="10"/>
      <c r="MIO43" s="10"/>
      <c r="MIP43" s="10"/>
      <c r="MIQ43" s="10"/>
      <c r="MIR43" s="10"/>
      <c r="MIS43" s="10"/>
      <c r="MIT43" s="10"/>
      <c r="MIU43" s="10"/>
      <c r="MIV43" s="10"/>
      <c r="MIW43" s="10"/>
      <c r="MIX43" s="10"/>
      <c r="MIY43" s="10"/>
      <c r="MIZ43" s="10"/>
      <c r="MJA43" s="10"/>
      <c r="MJB43" s="10"/>
      <c r="MJC43" s="10"/>
      <c r="MJD43" s="10"/>
      <c r="MJE43" s="10"/>
      <c r="MJF43" s="10"/>
      <c r="MJG43" s="10"/>
      <c r="MJH43" s="10"/>
      <c r="MJI43" s="10"/>
      <c r="MJJ43" s="10"/>
      <c r="MJK43" s="10"/>
      <c r="MJL43" s="10"/>
      <c r="MJM43" s="10"/>
      <c r="MJN43" s="10"/>
      <c r="MJO43" s="10"/>
      <c r="MJP43" s="10"/>
      <c r="MJQ43" s="10"/>
      <c r="MJR43" s="10"/>
      <c r="MJS43" s="10"/>
      <c r="MJT43" s="10"/>
      <c r="MJU43" s="10"/>
      <c r="MJV43" s="10"/>
      <c r="MJW43" s="10"/>
      <c r="MJX43" s="10"/>
      <c r="MJY43" s="10"/>
      <c r="MJZ43" s="10"/>
      <c r="MKA43" s="10"/>
      <c r="MKB43" s="10"/>
      <c r="MKC43" s="10"/>
      <c r="MKD43" s="10"/>
      <c r="MKE43" s="10"/>
      <c r="MKF43" s="10"/>
      <c r="MKG43" s="10"/>
      <c r="MKH43" s="10"/>
      <c r="MKI43" s="10"/>
      <c r="MKJ43" s="10"/>
      <c r="MKK43" s="10"/>
      <c r="MKL43" s="10"/>
      <c r="MKM43" s="10"/>
      <c r="MKN43" s="10"/>
      <c r="MKO43" s="10"/>
      <c r="MKP43" s="10"/>
      <c r="MKQ43" s="10"/>
      <c r="MKR43" s="10"/>
      <c r="MKS43" s="10"/>
      <c r="MKT43" s="10"/>
      <c r="MKU43" s="10"/>
      <c r="MKV43" s="10"/>
      <c r="MKW43" s="10"/>
      <c r="MKX43" s="10"/>
      <c r="MKY43" s="10"/>
      <c r="MKZ43" s="10"/>
      <c r="MLA43" s="10"/>
      <c r="MLB43" s="10"/>
      <c r="MLC43" s="10"/>
      <c r="MLD43" s="10"/>
      <c r="MLE43" s="10"/>
      <c r="MLF43" s="10"/>
      <c r="MLG43" s="10"/>
      <c r="MLH43" s="10"/>
      <c r="MLI43" s="10"/>
      <c r="MLJ43" s="10"/>
      <c r="MLK43" s="10"/>
      <c r="MLL43" s="10"/>
      <c r="MLM43" s="10"/>
      <c r="MLN43" s="10"/>
      <c r="MLO43" s="10"/>
      <c r="MLP43" s="10"/>
      <c r="MLQ43" s="10"/>
      <c r="MLR43" s="10"/>
      <c r="MLS43" s="10"/>
      <c r="MLT43" s="10"/>
      <c r="MLU43" s="10"/>
      <c r="MLV43" s="10"/>
      <c r="MLW43" s="10"/>
      <c r="MLX43" s="10"/>
      <c r="MLY43" s="10"/>
      <c r="MLZ43" s="10"/>
      <c r="MMA43" s="10"/>
      <c r="MMB43" s="10"/>
      <c r="MMC43" s="10"/>
      <c r="MMD43" s="10"/>
      <c r="MME43" s="10"/>
      <c r="MMF43" s="10"/>
      <c r="MMG43" s="10"/>
      <c r="MMH43" s="10"/>
      <c r="MMI43" s="10"/>
      <c r="MMJ43" s="10"/>
      <c r="MMK43" s="10"/>
      <c r="MML43" s="10"/>
      <c r="MMM43" s="10"/>
      <c r="MMN43" s="10"/>
      <c r="MMO43" s="10"/>
      <c r="MMP43" s="10"/>
      <c r="MMQ43" s="10"/>
      <c r="MMR43" s="10"/>
      <c r="MMS43" s="10"/>
      <c r="MMT43" s="10"/>
      <c r="MMU43" s="10"/>
      <c r="MMV43" s="10"/>
      <c r="MMW43" s="10"/>
      <c r="MMX43" s="10"/>
      <c r="MMY43" s="10"/>
      <c r="MMZ43" s="10"/>
      <c r="MNA43" s="10"/>
      <c r="MNB43" s="10"/>
      <c r="MNC43" s="10"/>
      <c r="MND43" s="10"/>
      <c r="MNE43" s="10"/>
      <c r="MNF43" s="10"/>
      <c r="MNG43" s="10"/>
      <c r="MNH43" s="10"/>
      <c r="MNI43" s="10"/>
      <c r="MNJ43" s="10"/>
      <c r="MNK43" s="10"/>
      <c r="MNL43" s="10"/>
      <c r="MNM43" s="10"/>
      <c r="MNN43" s="10"/>
      <c r="MNO43" s="10"/>
      <c r="MNP43" s="10"/>
      <c r="MNQ43" s="10"/>
      <c r="MNR43" s="10"/>
      <c r="MNS43" s="10"/>
      <c r="MNT43" s="10"/>
      <c r="MNU43" s="10"/>
      <c r="MNV43" s="10"/>
      <c r="MNW43" s="10"/>
      <c r="MNX43" s="10"/>
      <c r="MNY43" s="10"/>
      <c r="MNZ43" s="10"/>
      <c r="MOA43" s="10"/>
      <c r="MOB43" s="10"/>
      <c r="MOC43" s="10"/>
      <c r="MOD43" s="10"/>
      <c r="MOE43" s="10"/>
      <c r="MOF43" s="10"/>
      <c r="MOG43" s="10"/>
      <c r="MOH43" s="10"/>
      <c r="MOI43" s="10"/>
      <c r="MOJ43" s="10"/>
      <c r="MOK43" s="10"/>
      <c r="MOL43" s="10"/>
      <c r="MOM43" s="10"/>
      <c r="MON43" s="10"/>
      <c r="MOO43" s="10"/>
      <c r="MOP43" s="10"/>
      <c r="MOQ43" s="10"/>
      <c r="MOR43" s="10"/>
      <c r="MOS43" s="10"/>
      <c r="MOT43" s="10"/>
      <c r="MOU43" s="10"/>
      <c r="MOV43" s="10"/>
      <c r="MOW43" s="10"/>
      <c r="MOX43" s="10"/>
      <c r="MOY43" s="10"/>
      <c r="MOZ43" s="10"/>
      <c r="MPA43" s="10"/>
      <c r="MPB43" s="10"/>
      <c r="MPC43" s="10"/>
      <c r="MPD43" s="10"/>
      <c r="MPE43" s="10"/>
      <c r="MPF43" s="10"/>
      <c r="MPG43" s="10"/>
      <c r="MPH43" s="10"/>
      <c r="MPI43" s="10"/>
      <c r="MPJ43" s="10"/>
      <c r="MPK43" s="10"/>
      <c r="MPL43" s="10"/>
      <c r="MPM43" s="10"/>
      <c r="MPN43" s="10"/>
      <c r="MPO43" s="10"/>
      <c r="MPP43" s="10"/>
      <c r="MPQ43" s="10"/>
      <c r="MPR43" s="10"/>
      <c r="MPS43" s="10"/>
      <c r="MPT43" s="10"/>
      <c r="MPU43" s="10"/>
      <c r="MPV43" s="10"/>
      <c r="MPW43" s="10"/>
      <c r="MPX43" s="10"/>
      <c r="MPY43" s="10"/>
      <c r="MPZ43" s="10"/>
      <c r="MQA43" s="10"/>
      <c r="MQB43" s="10"/>
      <c r="MQC43" s="10"/>
      <c r="MQD43" s="10"/>
      <c r="MQE43" s="10"/>
      <c r="MQF43" s="10"/>
      <c r="MQG43" s="10"/>
      <c r="MQH43" s="10"/>
      <c r="MQI43" s="10"/>
      <c r="MQJ43" s="10"/>
      <c r="MQK43" s="10"/>
      <c r="MQL43" s="10"/>
      <c r="MQM43" s="10"/>
      <c r="MQN43" s="10"/>
      <c r="MQO43" s="10"/>
      <c r="MQP43" s="10"/>
      <c r="MQQ43" s="10"/>
      <c r="MQR43" s="10"/>
      <c r="MQS43" s="10"/>
      <c r="MQT43" s="10"/>
      <c r="MQU43" s="10"/>
      <c r="MQV43" s="10"/>
      <c r="MQW43" s="10"/>
      <c r="MQX43" s="10"/>
      <c r="MQY43" s="10"/>
      <c r="MQZ43" s="10"/>
      <c r="MRA43" s="10"/>
      <c r="MRB43" s="10"/>
      <c r="MRC43" s="10"/>
      <c r="MRD43" s="10"/>
      <c r="MRE43" s="10"/>
      <c r="MRF43" s="10"/>
      <c r="MRG43" s="10"/>
      <c r="MRH43" s="10"/>
      <c r="MRI43" s="10"/>
      <c r="MRJ43" s="10"/>
      <c r="MRK43" s="10"/>
      <c r="MRL43" s="10"/>
      <c r="MRM43" s="10"/>
      <c r="MRN43" s="10"/>
      <c r="MRO43" s="10"/>
      <c r="MRP43" s="10"/>
      <c r="MRQ43" s="10"/>
      <c r="MRR43" s="10"/>
      <c r="MRS43" s="10"/>
      <c r="MRT43" s="10"/>
      <c r="MRU43" s="10"/>
      <c r="MRV43" s="10"/>
      <c r="MRW43" s="10"/>
      <c r="MRX43" s="10"/>
      <c r="MRY43" s="10"/>
      <c r="MRZ43" s="10"/>
      <c r="MSA43" s="10"/>
      <c r="MSB43" s="10"/>
      <c r="MSC43" s="10"/>
      <c r="MSD43" s="10"/>
      <c r="MSE43" s="10"/>
      <c r="MSF43" s="10"/>
      <c r="MSG43" s="10"/>
      <c r="MSH43" s="10"/>
      <c r="MSI43" s="10"/>
      <c r="MSJ43" s="10"/>
      <c r="MSK43" s="10"/>
      <c r="MSL43" s="10"/>
      <c r="MSM43" s="10"/>
      <c r="MSN43" s="10"/>
      <c r="MSO43" s="10"/>
      <c r="MSP43" s="10"/>
      <c r="MSQ43" s="10"/>
      <c r="MSR43" s="10"/>
      <c r="MSS43" s="10"/>
      <c r="MST43" s="10"/>
      <c r="MSU43" s="10"/>
      <c r="MSV43" s="10"/>
      <c r="MSW43" s="10"/>
      <c r="MSX43" s="10"/>
      <c r="MSY43" s="10"/>
      <c r="MSZ43" s="10"/>
      <c r="MTA43" s="10"/>
      <c r="MTB43" s="10"/>
      <c r="MTC43" s="10"/>
      <c r="MTD43" s="10"/>
      <c r="MTE43" s="10"/>
      <c r="MTF43" s="10"/>
      <c r="MTG43" s="10"/>
      <c r="MTH43" s="10"/>
      <c r="MTI43" s="10"/>
      <c r="MTJ43" s="10"/>
      <c r="MTK43" s="10"/>
      <c r="MTL43" s="10"/>
      <c r="MTM43" s="10"/>
      <c r="MTN43" s="10"/>
      <c r="MTO43" s="10"/>
      <c r="MTP43" s="10"/>
      <c r="MTQ43" s="10"/>
      <c r="MTR43" s="10"/>
      <c r="MTS43" s="10"/>
      <c r="MTT43" s="10"/>
      <c r="MTU43" s="10"/>
      <c r="MTV43" s="10"/>
      <c r="MTW43" s="10"/>
      <c r="MTX43" s="10"/>
      <c r="MTY43" s="10"/>
      <c r="MTZ43" s="10"/>
      <c r="MUA43" s="10"/>
      <c r="MUB43" s="10"/>
      <c r="MUC43" s="10"/>
      <c r="MUD43" s="10"/>
      <c r="MUE43" s="10"/>
      <c r="MUF43" s="10"/>
      <c r="MUG43" s="10"/>
      <c r="MUH43" s="10"/>
      <c r="MUI43" s="10"/>
      <c r="MUJ43" s="10"/>
      <c r="MUK43" s="10"/>
      <c r="MUL43" s="10"/>
      <c r="MUM43" s="10"/>
      <c r="MUN43" s="10"/>
      <c r="MUO43" s="10"/>
      <c r="MUP43" s="10"/>
      <c r="MUQ43" s="10"/>
      <c r="MUR43" s="10"/>
      <c r="MUS43" s="10"/>
      <c r="MUT43" s="10"/>
      <c r="MUU43" s="10"/>
      <c r="MUV43" s="10"/>
      <c r="MUW43" s="10"/>
      <c r="MUX43" s="10"/>
      <c r="MUY43" s="10"/>
      <c r="MUZ43" s="10"/>
      <c r="MVA43" s="10"/>
      <c r="MVB43" s="10"/>
      <c r="MVC43" s="10"/>
      <c r="MVD43" s="10"/>
      <c r="MVE43" s="10"/>
      <c r="MVF43" s="10"/>
      <c r="MVG43" s="10"/>
      <c r="MVH43" s="10"/>
      <c r="MVI43" s="10"/>
      <c r="MVJ43" s="10"/>
      <c r="MVK43" s="10"/>
      <c r="MVL43" s="10"/>
      <c r="MVM43" s="10"/>
      <c r="MVN43" s="10"/>
      <c r="MVO43" s="10"/>
      <c r="MVP43" s="10"/>
      <c r="MVQ43" s="10"/>
      <c r="MVR43" s="10"/>
      <c r="MVS43" s="10"/>
      <c r="MVT43" s="10"/>
      <c r="MVU43" s="10"/>
      <c r="MVV43" s="10"/>
      <c r="MVW43" s="10"/>
      <c r="MVX43" s="10"/>
      <c r="MVY43" s="10"/>
      <c r="MVZ43" s="10"/>
      <c r="MWA43" s="10"/>
      <c r="MWB43" s="10"/>
      <c r="MWC43" s="10"/>
      <c r="MWD43" s="10"/>
      <c r="MWE43" s="10"/>
      <c r="MWF43" s="10"/>
      <c r="MWG43" s="10"/>
      <c r="MWH43" s="10"/>
      <c r="MWI43" s="10"/>
      <c r="MWJ43" s="10"/>
      <c r="MWK43" s="10"/>
      <c r="MWL43" s="10"/>
      <c r="MWM43" s="10"/>
      <c r="MWN43" s="10"/>
      <c r="MWO43" s="10"/>
      <c r="MWP43" s="10"/>
      <c r="MWQ43" s="10"/>
      <c r="MWR43" s="10"/>
      <c r="MWS43" s="10"/>
      <c r="MWT43" s="10"/>
      <c r="MWU43" s="10"/>
      <c r="MWV43" s="10"/>
      <c r="MWW43" s="10"/>
      <c r="MWX43" s="10"/>
      <c r="MWY43" s="10"/>
      <c r="MWZ43" s="10"/>
      <c r="MXA43" s="10"/>
      <c r="MXB43" s="10"/>
      <c r="MXC43" s="10"/>
      <c r="MXD43" s="10"/>
      <c r="MXE43" s="10"/>
      <c r="MXF43" s="10"/>
      <c r="MXG43" s="10"/>
      <c r="MXH43" s="10"/>
      <c r="MXI43" s="10"/>
      <c r="MXJ43" s="10"/>
      <c r="MXK43" s="10"/>
      <c r="MXL43" s="10"/>
      <c r="MXM43" s="10"/>
      <c r="MXN43" s="10"/>
      <c r="MXO43" s="10"/>
      <c r="MXP43" s="10"/>
      <c r="MXQ43" s="10"/>
      <c r="MXR43" s="10"/>
      <c r="MXS43" s="10"/>
      <c r="MXT43" s="10"/>
      <c r="MXU43" s="10"/>
      <c r="MXV43" s="10"/>
      <c r="MXW43" s="10"/>
      <c r="MXX43" s="10"/>
      <c r="MXY43" s="10"/>
      <c r="MXZ43" s="10"/>
      <c r="MYA43" s="10"/>
      <c r="MYB43" s="10"/>
      <c r="MYC43" s="10"/>
      <c r="MYD43" s="10"/>
      <c r="MYE43" s="10"/>
      <c r="MYF43" s="10"/>
      <c r="MYG43" s="10"/>
      <c r="MYH43" s="10"/>
      <c r="MYI43" s="10"/>
      <c r="MYJ43" s="10"/>
      <c r="MYK43" s="10"/>
      <c r="MYL43" s="10"/>
      <c r="MYM43" s="10"/>
      <c r="MYN43" s="10"/>
      <c r="MYO43" s="10"/>
      <c r="MYP43" s="10"/>
      <c r="MYQ43" s="10"/>
      <c r="MYR43" s="10"/>
      <c r="MYS43" s="10"/>
      <c r="MYT43" s="10"/>
      <c r="MYU43" s="10"/>
      <c r="MYV43" s="10"/>
      <c r="MYW43" s="10"/>
      <c r="MYX43" s="10"/>
      <c r="MYY43" s="10"/>
      <c r="MYZ43" s="10"/>
      <c r="MZA43" s="10"/>
      <c r="MZB43" s="10"/>
      <c r="MZC43" s="10"/>
      <c r="MZD43" s="10"/>
      <c r="MZE43" s="10"/>
      <c r="MZF43" s="10"/>
      <c r="MZG43" s="10"/>
      <c r="MZH43" s="10"/>
      <c r="MZI43" s="10"/>
      <c r="MZJ43" s="10"/>
      <c r="MZK43" s="10"/>
      <c r="MZL43" s="10"/>
      <c r="MZM43" s="10"/>
      <c r="MZN43" s="10"/>
      <c r="MZO43" s="10"/>
      <c r="MZP43" s="10"/>
      <c r="MZQ43" s="10"/>
      <c r="MZR43" s="10"/>
      <c r="MZS43" s="10"/>
      <c r="MZT43" s="10"/>
      <c r="MZU43" s="10"/>
      <c r="MZV43" s="10"/>
      <c r="MZW43" s="10"/>
      <c r="MZX43" s="10"/>
      <c r="MZY43" s="10"/>
      <c r="MZZ43" s="10"/>
      <c r="NAA43" s="10"/>
      <c r="NAB43" s="10"/>
      <c r="NAC43" s="10"/>
      <c r="NAD43" s="10"/>
      <c r="NAE43" s="10"/>
      <c r="NAF43" s="10"/>
      <c r="NAG43" s="10"/>
      <c r="NAH43" s="10"/>
      <c r="NAI43" s="10"/>
      <c r="NAJ43" s="10"/>
      <c r="NAK43" s="10"/>
      <c r="NAL43" s="10"/>
      <c r="NAM43" s="10"/>
      <c r="NAN43" s="10"/>
      <c r="NAO43" s="10"/>
      <c r="NAP43" s="10"/>
      <c r="NAQ43" s="10"/>
      <c r="NAR43" s="10"/>
      <c r="NAS43" s="10"/>
      <c r="NAT43" s="10"/>
      <c r="NAU43" s="10"/>
      <c r="NAV43" s="10"/>
      <c r="NAW43" s="10"/>
      <c r="NAX43" s="10"/>
      <c r="NAY43" s="10"/>
      <c r="NAZ43" s="10"/>
      <c r="NBA43" s="10"/>
      <c r="NBB43" s="10"/>
      <c r="NBC43" s="10"/>
      <c r="NBD43" s="10"/>
      <c r="NBE43" s="10"/>
      <c r="NBF43" s="10"/>
      <c r="NBG43" s="10"/>
      <c r="NBH43" s="10"/>
      <c r="NBI43" s="10"/>
      <c r="NBJ43" s="10"/>
      <c r="NBK43" s="10"/>
      <c r="NBL43" s="10"/>
      <c r="NBM43" s="10"/>
      <c r="NBN43" s="10"/>
      <c r="NBO43" s="10"/>
      <c r="NBP43" s="10"/>
      <c r="NBQ43" s="10"/>
      <c r="NBR43" s="10"/>
      <c r="NBS43" s="10"/>
      <c r="NBT43" s="10"/>
      <c r="NBU43" s="10"/>
      <c r="NBV43" s="10"/>
      <c r="NBW43" s="10"/>
      <c r="NBX43" s="10"/>
      <c r="NBY43" s="10"/>
      <c r="NBZ43" s="10"/>
      <c r="NCA43" s="10"/>
      <c r="NCB43" s="10"/>
      <c r="NCC43" s="10"/>
      <c r="NCD43" s="10"/>
      <c r="NCE43" s="10"/>
      <c r="NCF43" s="10"/>
      <c r="NCG43" s="10"/>
      <c r="NCH43" s="10"/>
      <c r="NCI43" s="10"/>
      <c r="NCJ43" s="10"/>
      <c r="NCK43" s="10"/>
      <c r="NCL43" s="10"/>
      <c r="NCM43" s="10"/>
      <c r="NCN43" s="10"/>
      <c r="NCO43" s="10"/>
      <c r="NCP43" s="10"/>
      <c r="NCQ43" s="10"/>
      <c r="NCR43" s="10"/>
      <c r="NCS43" s="10"/>
      <c r="NCT43" s="10"/>
      <c r="NCU43" s="10"/>
      <c r="NCV43" s="10"/>
      <c r="NCW43" s="10"/>
      <c r="NCX43" s="10"/>
      <c r="NCY43" s="10"/>
      <c r="NCZ43" s="10"/>
      <c r="NDA43" s="10"/>
      <c r="NDB43" s="10"/>
      <c r="NDC43" s="10"/>
      <c r="NDD43" s="10"/>
      <c r="NDE43" s="10"/>
      <c r="NDF43" s="10"/>
      <c r="NDG43" s="10"/>
      <c r="NDH43" s="10"/>
      <c r="NDI43" s="10"/>
      <c r="NDJ43" s="10"/>
      <c r="NDK43" s="10"/>
      <c r="NDL43" s="10"/>
      <c r="NDM43" s="10"/>
      <c r="NDN43" s="10"/>
      <c r="NDO43" s="10"/>
      <c r="NDP43" s="10"/>
      <c r="NDQ43" s="10"/>
      <c r="NDR43" s="10"/>
      <c r="NDS43" s="10"/>
      <c r="NDT43" s="10"/>
      <c r="NDU43" s="10"/>
      <c r="NDV43" s="10"/>
      <c r="NDW43" s="10"/>
      <c r="NDX43" s="10"/>
      <c r="NDY43" s="10"/>
      <c r="NDZ43" s="10"/>
      <c r="NEA43" s="10"/>
      <c r="NEB43" s="10"/>
      <c r="NEC43" s="10"/>
      <c r="NED43" s="10"/>
      <c r="NEE43" s="10"/>
      <c r="NEF43" s="10"/>
      <c r="NEG43" s="10"/>
      <c r="NEH43" s="10"/>
      <c r="NEI43" s="10"/>
      <c r="NEJ43" s="10"/>
      <c r="NEK43" s="10"/>
      <c r="NEL43" s="10"/>
      <c r="NEM43" s="10"/>
      <c r="NEN43" s="10"/>
      <c r="NEO43" s="10"/>
      <c r="NEP43" s="10"/>
      <c r="NEQ43" s="10"/>
      <c r="NER43" s="10"/>
      <c r="NES43" s="10"/>
      <c r="NET43" s="10"/>
      <c r="NEU43" s="10"/>
      <c r="NEV43" s="10"/>
      <c r="NEW43" s="10"/>
      <c r="NEX43" s="10"/>
      <c r="NEY43" s="10"/>
      <c r="NEZ43" s="10"/>
      <c r="NFA43" s="10"/>
      <c r="NFB43" s="10"/>
      <c r="NFC43" s="10"/>
      <c r="NFD43" s="10"/>
      <c r="NFE43" s="10"/>
      <c r="NFF43" s="10"/>
      <c r="NFG43" s="10"/>
      <c r="NFH43" s="10"/>
      <c r="NFI43" s="10"/>
      <c r="NFJ43" s="10"/>
      <c r="NFK43" s="10"/>
      <c r="NFL43" s="10"/>
      <c r="NFM43" s="10"/>
      <c r="NFN43" s="10"/>
      <c r="NFO43" s="10"/>
      <c r="NFP43" s="10"/>
      <c r="NFQ43" s="10"/>
      <c r="NFR43" s="10"/>
      <c r="NFS43" s="10"/>
      <c r="NFT43" s="10"/>
      <c r="NFU43" s="10"/>
      <c r="NFV43" s="10"/>
      <c r="NFW43" s="10"/>
      <c r="NFX43" s="10"/>
      <c r="NFY43" s="10"/>
      <c r="NFZ43" s="10"/>
      <c r="NGA43" s="10"/>
      <c r="NGB43" s="10"/>
      <c r="NGC43" s="10"/>
      <c r="NGD43" s="10"/>
      <c r="NGE43" s="10"/>
      <c r="NGF43" s="10"/>
      <c r="NGG43" s="10"/>
      <c r="NGH43" s="10"/>
      <c r="NGI43" s="10"/>
      <c r="NGJ43" s="10"/>
      <c r="NGK43" s="10"/>
      <c r="NGL43" s="10"/>
      <c r="NGM43" s="10"/>
      <c r="NGN43" s="10"/>
      <c r="NGO43" s="10"/>
      <c r="NGP43" s="10"/>
      <c r="NGQ43" s="10"/>
      <c r="NGR43" s="10"/>
      <c r="NGS43" s="10"/>
      <c r="NGT43" s="10"/>
      <c r="NGU43" s="10"/>
      <c r="NGV43" s="10"/>
      <c r="NGW43" s="10"/>
      <c r="NGX43" s="10"/>
      <c r="NGY43" s="10"/>
      <c r="NGZ43" s="10"/>
      <c r="NHA43" s="10"/>
      <c r="NHB43" s="10"/>
      <c r="NHC43" s="10"/>
      <c r="NHD43" s="10"/>
      <c r="NHE43" s="10"/>
      <c r="NHF43" s="10"/>
      <c r="NHG43" s="10"/>
      <c r="NHH43" s="10"/>
      <c r="NHI43" s="10"/>
      <c r="NHJ43" s="10"/>
      <c r="NHK43" s="10"/>
      <c r="NHL43" s="10"/>
      <c r="NHM43" s="10"/>
      <c r="NHN43" s="10"/>
      <c r="NHO43" s="10"/>
      <c r="NHP43" s="10"/>
      <c r="NHQ43" s="10"/>
      <c r="NHR43" s="10"/>
      <c r="NHS43" s="10"/>
      <c r="NHT43" s="10"/>
      <c r="NHU43" s="10"/>
      <c r="NHV43" s="10"/>
      <c r="NHW43" s="10"/>
      <c r="NHX43" s="10"/>
      <c r="NHY43" s="10"/>
      <c r="NHZ43" s="10"/>
      <c r="NIA43" s="10"/>
      <c r="NIB43" s="10"/>
      <c r="NIC43" s="10"/>
      <c r="NID43" s="10"/>
      <c r="NIE43" s="10"/>
      <c r="NIF43" s="10"/>
      <c r="NIG43" s="10"/>
      <c r="NIH43" s="10"/>
      <c r="NII43" s="10"/>
      <c r="NIJ43" s="10"/>
      <c r="NIK43" s="10"/>
      <c r="NIL43" s="10"/>
      <c r="NIM43" s="10"/>
      <c r="NIN43" s="10"/>
      <c r="NIO43" s="10"/>
      <c r="NIP43" s="10"/>
      <c r="NIQ43" s="10"/>
      <c r="NIR43" s="10"/>
      <c r="NIS43" s="10"/>
      <c r="NIT43" s="10"/>
      <c r="NIU43" s="10"/>
      <c r="NIV43" s="10"/>
      <c r="NIW43" s="10"/>
      <c r="NIX43" s="10"/>
      <c r="NIY43" s="10"/>
      <c r="NIZ43" s="10"/>
      <c r="NJA43" s="10"/>
      <c r="NJB43" s="10"/>
      <c r="NJC43" s="10"/>
      <c r="NJD43" s="10"/>
      <c r="NJE43" s="10"/>
      <c r="NJF43" s="10"/>
      <c r="NJG43" s="10"/>
      <c r="NJH43" s="10"/>
      <c r="NJI43" s="10"/>
      <c r="NJJ43" s="10"/>
      <c r="NJK43" s="10"/>
      <c r="NJL43" s="10"/>
      <c r="NJM43" s="10"/>
      <c r="NJN43" s="10"/>
      <c r="NJO43" s="10"/>
      <c r="NJP43" s="10"/>
      <c r="NJQ43" s="10"/>
      <c r="NJR43" s="10"/>
      <c r="NJS43" s="10"/>
      <c r="NJT43" s="10"/>
      <c r="NJU43" s="10"/>
      <c r="NJV43" s="10"/>
      <c r="NJW43" s="10"/>
      <c r="NJX43" s="10"/>
      <c r="NJY43" s="10"/>
      <c r="NJZ43" s="10"/>
      <c r="NKA43" s="10"/>
      <c r="NKB43" s="10"/>
      <c r="NKC43" s="10"/>
      <c r="NKD43" s="10"/>
      <c r="NKE43" s="10"/>
      <c r="NKF43" s="10"/>
      <c r="NKG43" s="10"/>
      <c r="NKH43" s="10"/>
      <c r="NKI43" s="10"/>
      <c r="NKJ43" s="10"/>
      <c r="NKK43" s="10"/>
      <c r="NKL43" s="10"/>
      <c r="NKM43" s="10"/>
      <c r="NKN43" s="10"/>
      <c r="NKO43" s="10"/>
      <c r="NKP43" s="10"/>
      <c r="NKQ43" s="10"/>
      <c r="NKR43" s="10"/>
      <c r="NKS43" s="10"/>
      <c r="NKT43" s="10"/>
      <c r="NKU43" s="10"/>
      <c r="NKV43" s="10"/>
      <c r="NKW43" s="10"/>
      <c r="NKX43" s="10"/>
      <c r="NKY43" s="10"/>
      <c r="NKZ43" s="10"/>
      <c r="NLA43" s="10"/>
      <c r="NLB43" s="10"/>
      <c r="NLC43" s="10"/>
      <c r="NLD43" s="10"/>
      <c r="NLE43" s="10"/>
      <c r="NLF43" s="10"/>
      <c r="NLG43" s="10"/>
      <c r="NLH43" s="10"/>
      <c r="NLI43" s="10"/>
      <c r="NLJ43" s="10"/>
      <c r="NLK43" s="10"/>
      <c r="NLL43" s="10"/>
      <c r="NLM43" s="10"/>
      <c r="NLN43" s="10"/>
      <c r="NLO43" s="10"/>
      <c r="NLP43" s="10"/>
      <c r="NLQ43" s="10"/>
      <c r="NLR43" s="10"/>
      <c r="NLS43" s="10"/>
      <c r="NLT43" s="10"/>
      <c r="NLU43" s="10"/>
      <c r="NLV43" s="10"/>
      <c r="NLW43" s="10"/>
      <c r="NLX43" s="10"/>
      <c r="NLY43" s="10"/>
      <c r="NLZ43" s="10"/>
      <c r="NMA43" s="10"/>
      <c r="NMB43" s="10"/>
      <c r="NMC43" s="10"/>
      <c r="NMD43" s="10"/>
      <c r="NME43" s="10"/>
      <c r="NMF43" s="10"/>
      <c r="NMG43" s="10"/>
      <c r="NMH43" s="10"/>
      <c r="NMI43" s="10"/>
      <c r="NMJ43" s="10"/>
      <c r="NMK43" s="10"/>
      <c r="NML43" s="10"/>
      <c r="NMM43" s="10"/>
      <c r="NMN43" s="10"/>
      <c r="NMO43" s="10"/>
      <c r="NMP43" s="10"/>
      <c r="NMQ43" s="10"/>
      <c r="NMR43" s="10"/>
      <c r="NMS43" s="10"/>
      <c r="NMT43" s="10"/>
      <c r="NMU43" s="10"/>
      <c r="NMV43" s="10"/>
      <c r="NMW43" s="10"/>
      <c r="NMX43" s="10"/>
      <c r="NMY43" s="10"/>
      <c r="NMZ43" s="10"/>
      <c r="NNA43" s="10"/>
      <c r="NNB43" s="10"/>
      <c r="NNC43" s="10"/>
      <c r="NND43" s="10"/>
      <c r="NNE43" s="10"/>
      <c r="NNF43" s="10"/>
      <c r="NNG43" s="10"/>
      <c r="NNH43" s="10"/>
      <c r="NNI43" s="10"/>
      <c r="NNJ43" s="10"/>
      <c r="NNK43" s="10"/>
      <c r="NNL43" s="10"/>
      <c r="NNM43" s="10"/>
      <c r="NNN43" s="10"/>
      <c r="NNO43" s="10"/>
      <c r="NNP43" s="10"/>
      <c r="NNQ43" s="10"/>
      <c r="NNR43" s="10"/>
      <c r="NNS43" s="10"/>
      <c r="NNT43" s="10"/>
      <c r="NNU43" s="10"/>
      <c r="NNV43" s="10"/>
      <c r="NNW43" s="10"/>
      <c r="NNX43" s="10"/>
      <c r="NNY43" s="10"/>
      <c r="NNZ43" s="10"/>
      <c r="NOA43" s="10"/>
      <c r="NOB43" s="10"/>
      <c r="NOC43" s="10"/>
      <c r="NOD43" s="10"/>
      <c r="NOE43" s="10"/>
      <c r="NOF43" s="10"/>
      <c r="NOG43" s="10"/>
      <c r="NOH43" s="10"/>
      <c r="NOI43" s="10"/>
      <c r="NOJ43" s="10"/>
      <c r="NOK43" s="10"/>
      <c r="NOL43" s="10"/>
      <c r="NOM43" s="10"/>
      <c r="NON43" s="10"/>
      <c r="NOO43" s="10"/>
      <c r="NOP43" s="10"/>
      <c r="NOQ43" s="10"/>
      <c r="NOR43" s="10"/>
      <c r="NOS43" s="10"/>
      <c r="NOT43" s="10"/>
      <c r="NOU43" s="10"/>
      <c r="NOV43" s="10"/>
      <c r="NOW43" s="10"/>
      <c r="NOX43" s="10"/>
      <c r="NOY43" s="10"/>
      <c r="NOZ43" s="10"/>
      <c r="NPA43" s="10"/>
      <c r="NPB43" s="10"/>
      <c r="NPC43" s="10"/>
      <c r="NPD43" s="10"/>
      <c r="NPE43" s="10"/>
      <c r="NPF43" s="10"/>
      <c r="NPG43" s="10"/>
      <c r="NPH43" s="10"/>
      <c r="NPI43" s="10"/>
      <c r="NPJ43" s="10"/>
      <c r="NPK43" s="10"/>
      <c r="NPL43" s="10"/>
      <c r="NPM43" s="10"/>
      <c r="NPN43" s="10"/>
      <c r="NPO43" s="10"/>
      <c r="NPP43" s="10"/>
      <c r="NPQ43" s="10"/>
      <c r="NPR43" s="10"/>
      <c r="NPS43" s="10"/>
      <c r="NPT43" s="10"/>
      <c r="NPU43" s="10"/>
      <c r="NPV43" s="10"/>
      <c r="NPW43" s="10"/>
      <c r="NPX43" s="10"/>
      <c r="NPY43" s="10"/>
      <c r="NPZ43" s="10"/>
      <c r="NQA43" s="10"/>
      <c r="NQB43" s="10"/>
      <c r="NQC43" s="10"/>
      <c r="NQD43" s="10"/>
      <c r="NQE43" s="10"/>
      <c r="NQF43" s="10"/>
      <c r="NQG43" s="10"/>
      <c r="NQH43" s="10"/>
      <c r="NQI43" s="10"/>
      <c r="NQJ43" s="10"/>
      <c r="NQK43" s="10"/>
      <c r="NQL43" s="10"/>
      <c r="NQM43" s="10"/>
      <c r="NQN43" s="10"/>
      <c r="NQO43" s="10"/>
      <c r="NQP43" s="10"/>
      <c r="NQQ43" s="10"/>
      <c r="NQR43" s="10"/>
      <c r="NQS43" s="10"/>
      <c r="NQT43" s="10"/>
      <c r="NQU43" s="10"/>
      <c r="NQV43" s="10"/>
      <c r="NQW43" s="10"/>
      <c r="NQX43" s="10"/>
      <c r="NQY43" s="10"/>
      <c r="NQZ43" s="10"/>
      <c r="NRA43" s="10"/>
      <c r="NRB43" s="10"/>
      <c r="NRC43" s="10"/>
      <c r="NRD43" s="10"/>
      <c r="NRE43" s="10"/>
      <c r="NRF43" s="10"/>
      <c r="NRG43" s="10"/>
      <c r="NRH43" s="10"/>
      <c r="NRI43" s="10"/>
      <c r="NRJ43" s="10"/>
      <c r="NRK43" s="10"/>
      <c r="NRL43" s="10"/>
      <c r="NRM43" s="10"/>
      <c r="NRN43" s="10"/>
      <c r="NRO43" s="10"/>
      <c r="NRP43" s="10"/>
      <c r="NRQ43" s="10"/>
      <c r="NRR43" s="10"/>
      <c r="NRS43" s="10"/>
      <c r="NRT43" s="10"/>
      <c r="NRU43" s="10"/>
      <c r="NRV43" s="10"/>
      <c r="NRW43" s="10"/>
      <c r="NRX43" s="10"/>
      <c r="NRY43" s="10"/>
      <c r="NRZ43" s="10"/>
      <c r="NSA43" s="10"/>
      <c r="NSB43" s="10"/>
      <c r="NSC43" s="10"/>
      <c r="NSD43" s="10"/>
      <c r="NSE43" s="10"/>
      <c r="NSF43" s="10"/>
      <c r="NSG43" s="10"/>
      <c r="NSH43" s="10"/>
      <c r="NSI43" s="10"/>
      <c r="NSJ43" s="10"/>
      <c r="NSK43" s="10"/>
      <c r="NSL43" s="10"/>
      <c r="NSM43" s="10"/>
      <c r="NSN43" s="10"/>
      <c r="NSO43" s="10"/>
      <c r="NSP43" s="10"/>
      <c r="NSQ43" s="10"/>
      <c r="NSR43" s="10"/>
      <c r="NSS43" s="10"/>
      <c r="NST43" s="10"/>
      <c r="NSU43" s="10"/>
      <c r="NSV43" s="10"/>
      <c r="NSW43" s="10"/>
      <c r="NSX43" s="10"/>
      <c r="NSY43" s="10"/>
      <c r="NSZ43" s="10"/>
      <c r="NTA43" s="10"/>
      <c r="NTB43" s="10"/>
      <c r="NTC43" s="10"/>
      <c r="NTD43" s="10"/>
      <c r="NTE43" s="10"/>
      <c r="NTF43" s="10"/>
      <c r="NTG43" s="10"/>
      <c r="NTH43" s="10"/>
      <c r="NTI43" s="10"/>
      <c r="NTJ43" s="10"/>
      <c r="NTK43" s="10"/>
      <c r="NTL43" s="10"/>
      <c r="NTM43" s="10"/>
      <c r="NTN43" s="10"/>
      <c r="NTO43" s="10"/>
      <c r="NTP43" s="10"/>
      <c r="NTQ43" s="10"/>
      <c r="NTR43" s="10"/>
      <c r="NTS43" s="10"/>
      <c r="NTT43" s="10"/>
      <c r="NTU43" s="10"/>
      <c r="NTV43" s="10"/>
      <c r="NTW43" s="10"/>
      <c r="NTX43" s="10"/>
      <c r="NTY43" s="10"/>
      <c r="NTZ43" s="10"/>
      <c r="NUA43" s="10"/>
      <c r="NUB43" s="10"/>
      <c r="NUC43" s="10"/>
      <c r="NUD43" s="10"/>
      <c r="NUE43" s="10"/>
      <c r="NUF43" s="10"/>
      <c r="NUG43" s="10"/>
      <c r="NUH43" s="10"/>
      <c r="NUI43" s="10"/>
      <c r="NUJ43" s="10"/>
      <c r="NUK43" s="10"/>
      <c r="NUL43" s="10"/>
      <c r="NUM43" s="10"/>
      <c r="NUN43" s="10"/>
      <c r="NUO43" s="10"/>
      <c r="NUP43" s="10"/>
      <c r="NUQ43" s="10"/>
      <c r="NUR43" s="10"/>
      <c r="NUS43" s="10"/>
      <c r="NUT43" s="10"/>
      <c r="NUU43" s="10"/>
      <c r="NUV43" s="10"/>
      <c r="NUW43" s="10"/>
      <c r="NUX43" s="10"/>
      <c r="NUY43" s="10"/>
      <c r="NUZ43" s="10"/>
      <c r="NVA43" s="10"/>
      <c r="NVB43" s="10"/>
      <c r="NVC43" s="10"/>
      <c r="NVD43" s="10"/>
      <c r="NVE43" s="10"/>
      <c r="NVF43" s="10"/>
      <c r="NVG43" s="10"/>
      <c r="NVH43" s="10"/>
      <c r="NVI43" s="10"/>
      <c r="NVJ43" s="10"/>
      <c r="NVK43" s="10"/>
      <c r="NVL43" s="10"/>
      <c r="NVM43" s="10"/>
      <c r="NVN43" s="10"/>
      <c r="NVO43" s="10"/>
      <c r="NVP43" s="10"/>
      <c r="NVQ43" s="10"/>
      <c r="NVR43" s="10"/>
      <c r="NVS43" s="10"/>
      <c r="NVT43" s="10"/>
      <c r="NVU43" s="10"/>
      <c r="NVV43" s="10"/>
      <c r="NVW43" s="10"/>
      <c r="NVX43" s="10"/>
      <c r="NVY43" s="10"/>
      <c r="NVZ43" s="10"/>
      <c r="NWA43" s="10"/>
      <c r="NWB43" s="10"/>
      <c r="NWC43" s="10"/>
      <c r="NWD43" s="10"/>
      <c r="NWE43" s="10"/>
      <c r="NWF43" s="10"/>
      <c r="NWG43" s="10"/>
      <c r="NWH43" s="10"/>
      <c r="NWI43" s="10"/>
      <c r="NWJ43" s="10"/>
      <c r="NWK43" s="10"/>
      <c r="NWL43" s="10"/>
      <c r="NWM43" s="10"/>
      <c r="NWN43" s="10"/>
      <c r="NWO43" s="10"/>
      <c r="NWP43" s="10"/>
      <c r="NWQ43" s="10"/>
      <c r="NWR43" s="10"/>
      <c r="NWS43" s="10"/>
      <c r="NWT43" s="10"/>
      <c r="NWU43" s="10"/>
      <c r="NWV43" s="10"/>
      <c r="NWW43" s="10"/>
      <c r="NWX43" s="10"/>
      <c r="NWY43" s="10"/>
      <c r="NWZ43" s="10"/>
      <c r="NXA43" s="10"/>
      <c r="NXB43" s="10"/>
      <c r="NXC43" s="10"/>
      <c r="NXD43" s="10"/>
      <c r="NXE43" s="10"/>
      <c r="NXF43" s="10"/>
      <c r="NXG43" s="10"/>
      <c r="NXH43" s="10"/>
      <c r="NXI43" s="10"/>
      <c r="NXJ43" s="10"/>
      <c r="NXK43" s="10"/>
      <c r="NXL43" s="10"/>
      <c r="NXM43" s="10"/>
      <c r="NXN43" s="10"/>
      <c r="NXO43" s="10"/>
      <c r="NXP43" s="10"/>
      <c r="NXQ43" s="10"/>
      <c r="NXR43" s="10"/>
      <c r="NXS43" s="10"/>
      <c r="NXT43" s="10"/>
      <c r="NXU43" s="10"/>
      <c r="NXV43" s="10"/>
      <c r="NXW43" s="10"/>
      <c r="NXX43" s="10"/>
      <c r="NXY43" s="10"/>
      <c r="NXZ43" s="10"/>
      <c r="NYA43" s="10"/>
      <c r="NYB43" s="10"/>
      <c r="NYC43" s="10"/>
      <c r="NYD43" s="10"/>
      <c r="NYE43" s="10"/>
      <c r="NYF43" s="10"/>
      <c r="NYG43" s="10"/>
      <c r="NYH43" s="10"/>
      <c r="NYI43" s="10"/>
      <c r="NYJ43" s="10"/>
      <c r="NYK43" s="10"/>
      <c r="NYL43" s="10"/>
      <c r="NYM43" s="10"/>
      <c r="NYN43" s="10"/>
      <c r="NYO43" s="10"/>
      <c r="NYP43" s="10"/>
      <c r="NYQ43" s="10"/>
      <c r="NYR43" s="10"/>
      <c r="NYS43" s="10"/>
      <c r="NYT43" s="10"/>
      <c r="NYU43" s="10"/>
      <c r="NYV43" s="10"/>
      <c r="NYW43" s="10"/>
      <c r="NYX43" s="10"/>
      <c r="NYY43" s="10"/>
      <c r="NYZ43" s="10"/>
      <c r="NZA43" s="10"/>
      <c r="NZB43" s="10"/>
      <c r="NZC43" s="10"/>
      <c r="NZD43" s="10"/>
      <c r="NZE43" s="10"/>
      <c r="NZF43" s="10"/>
      <c r="NZG43" s="10"/>
      <c r="NZH43" s="10"/>
      <c r="NZI43" s="10"/>
      <c r="NZJ43" s="10"/>
      <c r="NZK43" s="10"/>
      <c r="NZL43" s="10"/>
      <c r="NZM43" s="10"/>
      <c r="NZN43" s="10"/>
      <c r="NZO43" s="10"/>
      <c r="NZP43" s="10"/>
      <c r="NZQ43" s="10"/>
      <c r="NZR43" s="10"/>
      <c r="NZS43" s="10"/>
      <c r="NZT43" s="10"/>
      <c r="NZU43" s="10"/>
      <c r="NZV43" s="10"/>
      <c r="NZW43" s="10"/>
      <c r="NZX43" s="10"/>
      <c r="NZY43" s="10"/>
      <c r="NZZ43" s="10"/>
      <c r="OAA43" s="10"/>
      <c r="OAB43" s="10"/>
      <c r="OAC43" s="10"/>
      <c r="OAD43" s="10"/>
      <c r="OAE43" s="10"/>
      <c r="OAF43" s="10"/>
      <c r="OAG43" s="10"/>
      <c r="OAH43" s="10"/>
      <c r="OAI43" s="10"/>
      <c r="OAJ43" s="10"/>
      <c r="OAK43" s="10"/>
      <c r="OAL43" s="10"/>
      <c r="OAM43" s="10"/>
      <c r="OAN43" s="10"/>
      <c r="OAO43" s="10"/>
      <c r="OAP43" s="10"/>
      <c r="OAQ43" s="10"/>
      <c r="OAR43" s="10"/>
      <c r="OAS43" s="10"/>
      <c r="OAT43" s="10"/>
      <c r="OAU43" s="10"/>
      <c r="OAV43" s="10"/>
      <c r="OAW43" s="10"/>
      <c r="OAX43" s="10"/>
      <c r="OAY43" s="10"/>
      <c r="OAZ43" s="10"/>
      <c r="OBA43" s="10"/>
      <c r="OBB43" s="10"/>
      <c r="OBC43" s="10"/>
      <c r="OBD43" s="10"/>
      <c r="OBE43" s="10"/>
      <c r="OBF43" s="10"/>
      <c r="OBG43" s="10"/>
      <c r="OBH43" s="10"/>
      <c r="OBI43" s="10"/>
      <c r="OBJ43" s="10"/>
      <c r="OBK43" s="10"/>
      <c r="OBL43" s="10"/>
      <c r="OBM43" s="10"/>
      <c r="OBN43" s="10"/>
      <c r="OBO43" s="10"/>
      <c r="OBP43" s="10"/>
      <c r="OBQ43" s="10"/>
      <c r="OBR43" s="10"/>
      <c r="OBS43" s="10"/>
      <c r="OBT43" s="10"/>
      <c r="OBU43" s="10"/>
      <c r="OBV43" s="10"/>
      <c r="OBW43" s="10"/>
      <c r="OBX43" s="10"/>
      <c r="OBY43" s="10"/>
      <c r="OBZ43" s="10"/>
      <c r="OCA43" s="10"/>
      <c r="OCB43" s="10"/>
      <c r="OCC43" s="10"/>
      <c r="OCD43" s="10"/>
      <c r="OCE43" s="10"/>
      <c r="OCF43" s="10"/>
      <c r="OCG43" s="10"/>
      <c r="OCH43" s="10"/>
      <c r="OCI43" s="10"/>
      <c r="OCJ43" s="10"/>
      <c r="OCK43" s="10"/>
      <c r="OCL43" s="10"/>
      <c r="OCM43" s="10"/>
      <c r="OCN43" s="10"/>
      <c r="OCO43" s="10"/>
      <c r="OCP43" s="10"/>
      <c r="OCQ43" s="10"/>
      <c r="OCR43" s="10"/>
      <c r="OCS43" s="10"/>
      <c r="OCT43" s="10"/>
      <c r="OCU43" s="10"/>
      <c r="OCV43" s="10"/>
      <c r="OCW43" s="10"/>
      <c r="OCX43" s="10"/>
      <c r="OCY43" s="10"/>
      <c r="OCZ43" s="10"/>
      <c r="ODA43" s="10"/>
      <c r="ODB43" s="10"/>
      <c r="ODC43" s="10"/>
      <c r="ODD43" s="10"/>
      <c r="ODE43" s="10"/>
      <c r="ODF43" s="10"/>
      <c r="ODG43" s="10"/>
      <c r="ODH43" s="10"/>
      <c r="ODI43" s="10"/>
      <c r="ODJ43" s="10"/>
      <c r="ODK43" s="10"/>
      <c r="ODL43" s="10"/>
      <c r="ODM43" s="10"/>
      <c r="ODN43" s="10"/>
      <c r="ODO43" s="10"/>
      <c r="ODP43" s="10"/>
      <c r="ODQ43" s="10"/>
      <c r="ODR43" s="10"/>
      <c r="ODS43" s="10"/>
      <c r="ODT43" s="10"/>
      <c r="ODU43" s="10"/>
      <c r="ODV43" s="10"/>
      <c r="ODW43" s="10"/>
      <c r="ODX43" s="10"/>
      <c r="ODY43" s="10"/>
      <c r="ODZ43" s="10"/>
      <c r="OEA43" s="10"/>
      <c r="OEB43" s="10"/>
      <c r="OEC43" s="10"/>
      <c r="OED43" s="10"/>
      <c r="OEE43" s="10"/>
      <c r="OEF43" s="10"/>
      <c r="OEG43" s="10"/>
      <c r="OEH43" s="10"/>
      <c r="OEI43" s="10"/>
      <c r="OEJ43" s="10"/>
      <c r="OEK43" s="10"/>
      <c r="OEL43" s="10"/>
      <c r="OEM43" s="10"/>
      <c r="OEN43" s="10"/>
      <c r="OEO43" s="10"/>
      <c r="OEP43" s="10"/>
      <c r="OEQ43" s="10"/>
      <c r="OER43" s="10"/>
      <c r="OES43" s="10"/>
      <c r="OET43" s="10"/>
      <c r="OEU43" s="10"/>
      <c r="OEV43" s="10"/>
      <c r="OEW43" s="10"/>
      <c r="OEX43" s="10"/>
      <c r="OEY43" s="10"/>
      <c r="OEZ43" s="10"/>
      <c r="OFA43" s="10"/>
      <c r="OFB43" s="10"/>
      <c r="OFC43" s="10"/>
      <c r="OFD43" s="10"/>
      <c r="OFE43" s="10"/>
      <c r="OFF43" s="10"/>
      <c r="OFG43" s="10"/>
      <c r="OFH43" s="10"/>
      <c r="OFI43" s="10"/>
      <c r="OFJ43" s="10"/>
      <c r="OFK43" s="10"/>
      <c r="OFL43" s="10"/>
      <c r="OFM43" s="10"/>
      <c r="OFN43" s="10"/>
      <c r="OFO43" s="10"/>
      <c r="OFP43" s="10"/>
      <c r="OFQ43" s="10"/>
      <c r="OFR43" s="10"/>
      <c r="OFS43" s="10"/>
      <c r="OFT43" s="10"/>
      <c r="OFU43" s="10"/>
      <c r="OFV43" s="10"/>
      <c r="OFW43" s="10"/>
      <c r="OFX43" s="10"/>
      <c r="OFY43" s="10"/>
      <c r="OFZ43" s="10"/>
      <c r="OGA43" s="10"/>
      <c r="OGB43" s="10"/>
      <c r="OGC43" s="10"/>
      <c r="OGD43" s="10"/>
      <c r="OGE43" s="10"/>
      <c r="OGF43" s="10"/>
      <c r="OGG43" s="10"/>
      <c r="OGH43" s="10"/>
      <c r="OGI43" s="10"/>
      <c r="OGJ43" s="10"/>
      <c r="OGK43" s="10"/>
      <c r="OGL43" s="10"/>
      <c r="OGM43" s="10"/>
      <c r="OGN43" s="10"/>
      <c r="OGO43" s="10"/>
      <c r="OGP43" s="10"/>
      <c r="OGQ43" s="10"/>
      <c r="OGR43" s="10"/>
      <c r="OGS43" s="10"/>
      <c r="OGT43" s="10"/>
      <c r="OGU43" s="10"/>
      <c r="OGV43" s="10"/>
      <c r="OGW43" s="10"/>
      <c r="OGX43" s="10"/>
      <c r="OGY43" s="10"/>
      <c r="OGZ43" s="10"/>
      <c r="OHA43" s="10"/>
      <c r="OHB43" s="10"/>
      <c r="OHC43" s="10"/>
      <c r="OHD43" s="10"/>
      <c r="OHE43" s="10"/>
      <c r="OHF43" s="10"/>
      <c r="OHG43" s="10"/>
      <c r="OHH43" s="10"/>
      <c r="OHI43" s="10"/>
      <c r="OHJ43" s="10"/>
      <c r="OHK43" s="10"/>
      <c r="OHL43" s="10"/>
      <c r="OHM43" s="10"/>
      <c r="OHN43" s="10"/>
      <c r="OHO43" s="10"/>
      <c r="OHP43" s="10"/>
      <c r="OHQ43" s="10"/>
      <c r="OHR43" s="10"/>
      <c r="OHS43" s="10"/>
      <c r="OHT43" s="10"/>
      <c r="OHU43" s="10"/>
      <c r="OHV43" s="10"/>
      <c r="OHW43" s="10"/>
      <c r="OHX43" s="10"/>
      <c r="OHY43" s="10"/>
      <c r="OHZ43" s="10"/>
      <c r="OIA43" s="10"/>
      <c r="OIB43" s="10"/>
      <c r="OIC43" s="10"/>
      <c r="OID43" s="10"/>
      <c r="OIE43" s="10"/>
      <c r="OIF43" s="10"/>
      <c r="OIG43" s="10"/>
      <c r="OIH43" s="10"/>
      <c r="OII43" s="10"/>
      <c r="OIJ43" s="10"/>
      <c r="OIK43" s="10"/>
      <c r="OIL43" s="10"/>
      <c r="OIM43" s="10"/>
      <c r="OIN43" s="10"/>
      <c r="OIO43" s="10"/>
      <c r="OIP43" s="10"/>
      <c r="OIQ43" s="10"/>
      <c r="OIR43" s="10"/>
      <c r="OIS43" s="10"/>
      <c r="OIT43" s="10"/>
      <c r="OIU43" s="10"/>
      <c r="OIV43" s="10"/>
      <c r="OIW43" s="10"/>
      <c r="OIX43" s="10"/>
      <c r="OIY43" s="10"/>
      <c r="OIZ43" s="10"/>
      <c r="OJA43" s="10"/>
      <c r="OJB43" s="10"/>
      <c r="OJC43" s="10"/>
      <c r="OJD43" s="10"/>
      <c r="OJE43" s="10"/>
      <c r="OJF43" s="10"/>
      <c r="OJG43" s="10"/>
      <c r="OJH43" s="10"/>
      <c r="OJI43" s="10"/>
      <c r="OJJ43" s="10"/>
      <c r="OJK43" s="10"/>
      <c r="OJL43" s="10"/>
      <c r="OJM43" s="10"/>
      <c r="OJN43" s="10"/>
      <c r="OJO43" s="10"/>
      <c r="OJP43" s="10"/>
      <c r="OJQ43" s="10"/>
      <c r="OJR43" s="10"/>
      <c r="OJS43" s="10"/>
      <c r="OJT43" s="10"/>
      <c r="OJU43" s="10"/>
      <c r="OJV43" s="10"/>
      <c r="OJW43" s="10"/>
      <c r="OJX43" s="10"/>
      <c r="OJY43" s="10"/>
      <c r="OJZ43" s="10"/>
      <c r="OKA43" s="10"/>
      <c r="OKB43" s="10"/>
      <c r="OKC43" s="10"/>
      <c r="OKD43" s="10"/>
      <c r="OKE43" s="10"/>
      <c r="OKF43" s="10"/>
      <c r="OKG43" s="10"/>
      <c r="OKH43" s="10"/>
      <c r="OKI43" s="10"/>
      <c r="OKJ43" s="10"/>
      <c r="OKK43" s="10"/>
      <c r="OKL43" s="10"/>
      <c r="OKM43" s="10"/>
      <c r="OKN43" s="10"/>
      <c r="OKO43" s="10"/>
      <c r="OKP43" s="10"/>
      <c r="OKQ43" s="10"/>
      <c r="OKR43" s="10"/>
      <c r="OKS43" s="10"/>
      <c r="OKT43" s="10"/>
      <c r="OKU43" s="10"/>
      <c r="OKV43" s="10"/>
      <c r="OKW43" s="10"/>
      <c r="OKX43" s="10"/>
      <c r="OKY43" s="10"/>
      <c r="OKZ43" s="10"/>
      <c r="OLA43" s="10"/>
      <c r="OLB43" s="10"/>
      <c r="OLC43" s="10"/>
      <c r="OLD43" s="10"/>
      <c r="OLE43" s="10"/>
      <c r="OLF43" s="10"/>
      <c r="OLG43" s="10"/>
      <c r="OLH43" s="10"/>
      <c r="OLI43" s="10"/>
      <c r="OLJ43" s="10"/>
      <c r="OLK43" s="10"/>
      <c r="OLL43" s="10"/>
      <c r="OLM43" s="10"/>
      <c r="OLN43" s="10"/>
      <c r="OLO43" s="10"/>
      <c r="OLP43" s="10"/>
      <c r="OLQ43" s="10"/>
      <c r="OLR43" s="10"/>
      <c r="OLS43" s="10"/>
      <c r="OLT43" s="10"/>
      <c r="OLU43" s="10"/>
      <c r="OLV43" s="10"/>
      <c r="OLW43" s="10"/>
      <c r="OLX43" s="10"/>
      <c r="OLY43" s="10"/>
      <c r="OLZ43" s="10"/>
      <c r="OMA43" s="10"/>
      <c r="OMB43" s="10"/>
      <c r="OMC43" s="10"/>
      <c r="OMD43" s="10"/>
      <c r="OME43" s="10"/>
      <c r="OMF43" s="10"/>
      <c r="OMG43" s="10"/>
      <c r="OMH43" s="10"/>
      <c r="OMI43" s="10"/>
      <c r="OMJ43" s="10"/>
      <c r="OMK43" s="10"/>
      <c r="OML43" s="10"/>
      <c r="OMM43" s="10"/>
      <c r="OMN43" s="10"/>
      <c r="OMO43" s="10"/>
      <c r="OMP43" s="10"/>
      <c r="OMQ43" s="10"/>
      <c r="OMR43" s="10"/>
      <c r="OMS43" s="10"/>
      <c r="OMT43" s="10"/>
      <c r="OMU43" s="10"/>
      <c r="OMV43" s="10"/>
      <c r="OMW43" s="10"/>
      <c r="OMX43" s="10"/>
      <c r="OMY43" s="10"/>
      <c r="OMZ43" s="10"/>
      <c r="ONA43" s="10"/>
      <c r="ONB43" s="10"/>
      <c r="ONC43" s="10"/>
      <c r="OND43" s="10"/>
      <c r="ONE43" s="10"/>
      <c r="ONF43" s="10"/>
      <c r="ONG43" s="10"/>
      <c r="ONH43" s="10"/>
      <c r="ONI43" s="10"/>
      <c r="ONJ43" s="10"/>
      <c r="ONK43" s="10"/>
      <c r="ONL43" s="10"/>
      <c r="ONM43" s="10"/>
      <c r="ONN43" s="10"/>
      <c r="ONO43" s="10"/>
      <c r="ONP43" s="10"/>
      <c r="ONQ43" s="10"/>
      <c r="ONR43" s="10"/>
      <c r="ONS43" s="10"/>
      <c r="ONT43" s="10"/>
      <c r="ONU43" s="10"/>
      <c r="ONV43" s="10"/>
      <c r="ONW43" s="10"/>
      <c r="ONX43" s="10"/>
      <c r="ONY43" s="10"/>
      <c r="ONZ43" s="10"/>
      <c r="OOA43" s="10"/>
      <c r="OOB43" s="10"/>
      <c r="OOC43" s="10"/>
      <c r="OOD43" s="10"/>
      <c r="OOE43" s="10"/>
      <c r="OOF43" s="10"/>
      <c r="OOG43" s="10"/>
      <c r="OOH43" s="10"/>
      <c r="OOI43" s="10"/>
      <c r="OOJ43" s="10"/>
      <c r="OOK43" s="10"/>
      <c r="OOL43" s="10"/>
      <c r="OOM43" s="10"/>
      <c r="OON43" s="10"/>
      <c r="OOO43" s="10"/>
      <c r="OOP43" s="10"/>
      <c r="OOQ43" s="10"/>
      <c r="OOR43" s="10"/>
      <c r="OOS43" s="10"/>
      <c r="OOT43" s="10"/>
      <c r="OOU43" s="10"/>
      <c r="OOV43" s="10"/>
      <c r="OOW43" s="10"/>
      <c r="OOX43" s="10"/>
      <c r="OOY43" s="10"/>
      <c r="OOZ43" s="10"/>
      <c r="OPA43" s="10"/>
      <c r="OPB43" s="10"/>
      <c r="OPC43" s="10"/>
      <c r="OPD43" s="10"/>
      <c r="OPE43" s="10"/>
      <c r="OPF43" s="10"/>
      <c r="OPG43" s="10"/>
      <c r="OPH43" s="10"/>
      <c r="OPI43" s="10"/>
      <c r="OPJ43" s="10"/>
      <c r="OPK43" s="10"/>
      <c r="OPL43" s="10"/>
      <c r="OPM43" s="10"/>
      <c r="OPN43" s="10"/>
      <c r="OPO43" s="10"/>
      <c r="OPP43" s="10"/>
      <c r="OPQ43" s="10"/>
      <c r="OPR43" s="10"/>
      <c r="OPS43" s="10"/>
      <c r="OPT43" s="10"/>
      <c r="OPU43" s="10"/>
      <c r="OPV43" s="10"/>
      <c r="OPW43" s="10"/>
      <c r="OPX43" s="10"/>
      <c r="OPY43" s="10"/>
      <c r="OPZ43" s="10"/>
      <c r="OQA43" s="10"/>
      <c r="OQB43" s="10"/>
      <c r="OQC43" s="10"/>
      <c r="OQD43" s="10"/>
      <c r="OQE43" s="10"/>
      <c r="OQF43" s="10"/>
      <c r="OQG43" s="10"/>
      <c r="OQH43" s="10"/>
      <c r="OQI43" s="10"/>
      <c r="OQJ43" s="10"/>
      <c r="OQK43" s="10"/>
      <c r="OQL43" s="10"/>
      <c r="OQM43" s="10"/>
      <c r="OQN43" s="10"/>
      <c r="OQO43" s="10"/>
      <c r="OQP43" s="10"/>
      <c r="OQQ43" s="10"/>
      <c r="OQR43" s="10"/>
      <c r="OQS43" s="10"/>
      <c r="OQT43" s="10"/>
      <c r="OQU43" s="10"/>
      <c r="OQV43" s="10"/>
      <c r="OQW43" s="10"/>
      <c r="OQX43" s="10"/>
      <c r="OQY43" s="10"/>
      <c r="OQZ43" s="10"/>
      <c r="ORA43" s="10"/>
      <c r="ORB43" s="10"/>
      <c r="ORC43" s="10"/>
      <c r="ORD43" s="10"/>
      <c r="ORE43" s="10"/>
      <c r="ORF43" s="10"/>
      <c r="ORG43" s="10"/>
      <c r="ORH43" s="10"/>
      <c r="ORI43" s="10"/>
      <c r="ORJ43" s="10"/>
      <c r="ORK43" s="10"/>
      <c r="ORL43" s="10"/>
      <c r="ORM43" s="10"/>
      <c r="ORN43" s="10"/>
      <c r="ORO43" s="10"/>
      <c r="ORP43" s="10"/>
      <c r="ORQ43" s="10"/>
      <c r="ORR43" s="10"/>
      <c r="ORS43" s="10"/>
      <c r="ORT43" s="10"/>
      <c r="ORU43" s="10"/>
      <c r="ORV43" s="10"/>
      <c r="ORW43" s="10"/>
      <c r="ORX43" s="10"/>
      <c r="ORY43" s="10"/>
      <c r="ORZ43" s="10"/>
      <c r="OSA43" s="10"/>
      <c r="OSB43" s="10"/>
      <c r="OSC43" s="10"/>
      <c r="OSD43" s="10"/>
      <c r="OSE43" s="10"/>
      <c r="OSF43" s="10"/>
      <c r="OSG43" s="10"/>
      <c r="OSH43" s="10"/>
      <c r="OSI43" s="10"/>
      <c r="OSJ43" s="10"/>
      <c r="OSK43" s="10"/>
      <c r="OSL43" s="10"/>
      <c r="OSM43" s="10"/>
      <c r="OSN43" s="10"/>
      <c r="OSO43" s="10"/>
      <c r="OSP43" s="10"/>
      <c r="OSQ43" s="10"/>
      <c r="OSR43" s="10"/>
      <c r="OSS43" s="10"/>
      <c r="OST43" s="10"/>
      <c r="OSU43" s="10"/>
      <c r="OSV43" s="10"/>
      <c r="OSW43" s="10"/>
      <c r="OSX43" s="10"/>
      <c r="OSY43" s="10"/>
      <c r="OSZ43" s="10"/>
      <c r="OTA43" s="10"/>
      <c r="OTB43" s="10"/>
      <c r="OTC43" s="10"/>
      <c r="OTD43" s="10"/>
      <c r="OTE43" s="10"/>
      <c r="OTF43" s="10"/>
      <c r="OTG43" s="10"/>
      <c r="OTH43" s="10"/>
      <c r="OTI43" s="10"/>
      <c r="OTJ43" s="10"/>
      <c r="OTK43" s="10"/>
      <c r="OTL43" s="10"/>
      <c r="OTM43" s="10"/>
      <c r="OTN43" s="10"/>
      <c r="OTO43" s="10"/>
      <c r="OTP43" s="10"/>
      <c r="OTQ43" s="10"/>
      <c r="OTR43" s="10"/>
      <c r="OTS43" s="10"/>
      <c r="OTT43" s="10"/>
      <c r="OTU43" s="10"/>
      <c r="OTV43" s="10"/>
      <c r="OTW43" s="10"/>
      <c r="OTX43" s="10"/>
      <c r="OTY43" s="10"/>
      <c r="OTZ43" s="10"/>
      <c r="OUA43" s="10"/>
      <c r="OUB43" s="10"/>
      <c r="OUC43" s="10"/>
      <c r="OUD43" s="10"/>
      <c r="OUE43" s="10"/>
      <c r="OUF43" s="10"/>
      <c r="OUG43" s="10"/>
      <c r="OUH43" s="10"/>
      <c r="OUI43" s="10"/>
      <c r="OUJ43" s="10"/>
      <c r="OUK43" s="10"/>
      <c r="OUL43" s="10"/>
      <c r="OUM43" s="10"/>
      <c r="OUN43" s="10"/>
      <c r="OUO43" s="10"/>
      <c r="OUP43" s="10"/>
      <c r="OUQ43" s="10"/>
      <c r="OUR43" s="10"/>
      <c r="OUS43" s="10"/>
      <c r="OUT43" s="10"/>
      <c r="OUU43" s="10"/>
      <c r="OUV43" s="10"/>
      <c r="OUW43" s="10"/>
      <c r="OUX43" s="10"/>
      <c r="OUY43" s="10"/>
      <c r="OUZ43" s="10"/>
      <c r="OVA43" s="10"/>
      <c r="OVB43" s="10"/>
      <c r="OVC43" s="10"/>
      <c r="OVD43" s="10"/>
      <c r="OVE43" s="10"/>
      <c r="OVF43" s="10"/>
      <c r="OVG43" s="10"/>
      <c r="OVH43" s="10"/>
      <c r="OVI43" s="10"/>
      <c r="OVJ43" s="10"/>
      <c r="OVK43" s="10"/>
      <c r="OVL43" s="10"/>
      <c r="OVM43" s="10"/>
      <c r="OVN43" s="10"/>
      <c r="OVO43" s="10"/>
      <c r="OVP43" s="10"/>
      <c r="OVQ43" s="10"/>
      <c r="OVR43" s="10"/>
      <c r="OVS43" s="10"/>
      <c r="OVT43" s="10"/>
      <c r="OVU43" s="10"/>
      <c r="OVV43" s="10"/>
      <c r="OVW43" s="10"/>
      <c r="OVX43" s="10"/>
      <c r="OVY43" s="10"/>
      <c r="OVZ43" s="10"/>
      <c r="OWA43" s="10"/>
      <c r="OWB43" s="10"/>
      <c r="OWC43" s="10"/>
      <c r="OWD43" s="10"/>
      <c r="OWE43" s="10"/>
      <c r="OWF43" s="10"/>
      <c r="OWG43" s="10"/>
      <c r="OWH43" s="10"/>
      <c r="OWI43" s="10"/>
      <c r="OWJ43" s="10"/>
      <c r="OWK43" s="10"/>
      <c r="OWL43" s="10"/>
      <c r="OWM43" s="10"/>
      <c r="OWN43" s="10"/>
      <c r="OWO43" s="10"/>
      <c r="OWP43" s="10"/>
      <c r="OWQ43" s="10"/>
      <c r="OWR43" s="10"/>
      <c r="OWS43" s="10"/>
      <c r="OWT43" s="10"/>
      <c r="OWU43" s="10"/>
      <c r="OWV43" s="10"/>
      <c r="OWW43" s="10"/>
      <c r="OWX43" s="10"/>
      <c r="OWY43" s="10"/>
      <c r="OWZ43" s="10"/>
      <c r="OXA43" s="10"/>
      <c r="OXB43" s="10"/>
      <c r="OXC43" s="10"/>
      <c r="OXD43" s="10"/>
      <c r="OXE43" s="10"/>
      <c r="OXF43" s="10"/>
      <c r="OXG43" s="10"/>
      <c r="OXH43" s="10"/>
      <c r="OXI43" s="10"/>
      <c r="OXJ43" s="10"/>
      <c r="OXK43" s="10"/>
      <c r="OXL43" s="10"/>
      <c r="OXM43" s="10"/>
      <c r="OXN43" s="10"/>
      <c r="OXO43" s="10"/>
      <c r="OXP43" s="10"/>
      <c r="OXQ43" s="10"/>
      <c r="OXR43" s="10"/>
      <c r="OXS43" s="10"/>
      <c r="OXT43" s="10"/>
      <c r="OXU43" s="10"/>
      <c r="OXV43" s="10"/>
      <c r="OXW43" s="10"/>
      <c r="OXX43" s="10"/>
      <c r="OXY43" s="10"/>
      <c r="OXZ43" s="10"/>
      <c r="OYA43" s="10"/>
      <c r="OYB43" s="10"/>
      <c r="OYC43" s="10"/>
      <c r="OYD43" s="10"/>
      <c r="OYE43" s="10"/>
      <c r="OYF43" s="10"/>
      <c r="OYG43" s="10"/>
      <c r="OYH43" s="10"/>
      <c r="OYI43" s="10"/>
      <c r="OYJ43" s="10"/>
      <c r="OYK43" s="10"/>
      <c r="OYL43" s="10"/>
      <c r="OYM43" s="10"/>
      <c r="OYN43" s="10"/>
      <c r="OYO43" s="10"/>
      <c r="OYP43" s="10"/>
      <c r="OYQ43" s="10"/>
      <c r="OYR43" s="10"/>
      <c r="OYS43" s="10"/>
      <c r="OYT43" s="10"/>
      <c r="OYU43" s="10"/>
      <c r="OYV43" s="10"/>
      <c r="OYW43" s="10"/>
      <c r="OYX43" s="10"/>
      <c r="OYY43" s="10"/>
      <c r="OYZ43" s="10"/>
      <c r="OZA43" s="10"/>
      <c r="OZB43" s="10"/>
      <c r="OZC43" s="10"/>
      <c r="OZD43" s="10"/>
      <c r="OZE43" s="10"/>
      <c r="OZF43" s="10"/>
      <c r="OZG43" s="10"/>
      <c r="OZH43" s="10"/>
      <c r="OZI43" s="10"/>
      <c r="OZJ43" s="10"/>
      <c r="OZK43" s="10"/>
      <c r="OZL43" s="10"/>
      <c r="OZM43" s="10"/>
      <c r="OZN43" s="10"/>
      <c r="OZO43" s="10"/>
      <c r="OZP43" s="10"/>
      <c r="OZQ43" s="10"/>
      <c r="OZR43" s="10"/>
      <c r="OZS43" s="10"/>
      <c r="OZT43" s="10"/>
      <c r="OZU43" s="10"/>
      <c r="OZV43" s="10"/>
      <c r="OZW43" s="10"/>
      <c r="OZX43" s="10"/>
      <c r="OZY43" s="10"/>
      <c r="OZZ43" s="10"/>
      <c r="PAA43" s="10"/>
      <c r="PAB43" s="10"/>
      <c r="PAC43" s="10"/>
      <c r="PAD43" s="10"/>
      <c r="PAE43" s="10"/>
      <c r="PAF43" s="10"/>
      <c r="PAG43" s="10"/>
      <c r="PAH43" s="10"/>
      <c r="PAI43" s="10"/>
      <c r="PAJ43" s="10"/>
      <c r="PAK43" s="10"/>
      <c r="PAL43" s="10"/>
      <c r="PAM43" s="10"/>
      <c r="PAN43" s="10"/>
      <c r="PAO43" s="10"/>
      <c r="PAP43" s="10"/>
      <c r="PAQ43" s="10"/>
      <c r="PAR43" s="10"/>
      <c r="PAS43" s="10"/>
      <c r="PAT43" s="10"/>
      <c r="PAU43" s="10"/>
      <c r="PAV43" s="10"/>
      <c r="PAW43" s="10"/>
      <c r="PAX43" s="10"/>
      <c r="PAY43" s="10"/>
      <c r="PAZ43" s="10"/>
      <c r="PBA43" s="10"/>
      <c r="PBB43" s="10"/>
      <c r="PBC43" s="10"/>
      <c r="PBD43" s="10"/>
      <c r="PBE43" s="10"/>
      <c r="PBF43" s="10"/>
      <c r="PBG43" s="10"/>
      <c r="PBH43" s="10"/>
      <c r="PBI43" s="10"/>
      <c r="PBJ43" s="10"/>
      <c r="PBK43" s="10"/>
      <c r="PBL43" s="10"/>
      <c r="PBM43" s="10"/>
      <c r="PBN43" s="10"/>
      <c r="PBO43" s="10"/>
      <c r="PBP43" s="10"/>
      <c r="PBQ43" s="10"/>
      <c r="PBR43" s="10"/>
      <c r="PBS43" s="10"/>
      <c r="PBT43" s="10"/>
      <c r="PBU43" s="10"/>
      <c r="PBV43" s="10"/>
      <c r="PBW43" s="10"/>
      <c r="PBX43" s="10"/>
      <c r="PBY43" s="10"/>
      <c r="PBZ43" s="10"/>
      <c r="PCA43" s="10"/>
      <c r="PCB43" s="10"/>
      <c r="PCC43" s="10"/>
      <c r="PCD43" s="10"/>
      <c r="PCE43" s="10"/>
      <c r="PCF43" s="10"/>
      <c r="PCG43" s="10"/>
      <c r="PCH43" s="10"/>
      <c r="PCI43" s="10"/>
      <c r="PCJ43" s="10"/>
      <c r="PCK43" s="10"/>
      <c r="PCL43" s="10"/>
      <c r="PCM43" s="10"/>
      <c r="PCN43" s="10"/>
      <c r="PCO43" s="10"/>
      <c r="PCP43" s="10"/>
      <c r="PCQ43" s="10"/>
      <c r="PCR43" s="10"/>
      <c r="PCS43" s="10"/>
      <c r="PCT43" s="10"/>
      <c r="PCU43" s="10"/>
      <c r="PCV43" s="10"/>
      <c r="PCW43" s="10"/>
      <c r="PCX43" s="10"/>
      <c r="PCY43" s="10"/>
      <c r="PCZ43" s="10"/>
      <c r="PDA43" s="10"/>
      <c r="PDB43" s="10"/>
      <c r="PDC43" s="10"/>
      <c r="PDD43" s="10"/>
      <c r="PDE43" s="10"/>
      <c r="PDF43" s="10"/>
      <c r="PDG43" s="10"/>
      <c r="PDH43" s="10"/>
      <c r="PDI43" s="10"/>
      <c r="PDJ43" s="10"/>
      <c r="PDK43" s="10"/>
      <c r="PDL43" s="10"/>
      <c r="PDM43" s="10"/>
      <c r="PDN43" s="10"/>
      <c r="PDO43" s="10"/>
      <c r="PDP43" s="10"/>
      <c r="PDQ43" s="10"/>
      <c r="PDR43" s="10"/>
      <c r="PDS43" s="10"/>
      <c r="PDT43" s="10"/>
      <c r="PDU43" s="10"/>
      <c r="PDV43" s="10"/>
      <c r="PDW43" s="10"/>
      <c r="PDX43" s="10"/>
      <c r="PDY43" s="10"/>
      <c r="PDZ43" s="10"/>
      <c r="PEA43" s="10"/>
      <c r="PEB43" s="10"/>
      <c r="PEC43" s="10"/>
      <c r="PED43" s="10"/>
      <c r="PEE43" s="10"/>
      <c r="PEF43" s="10"/>
      <c r="PEG43" s="10"/>
      <c r="PEH43" s="10"/>
      <c r="PEI43" s="10"/>
      <c r="PEJ43" s="10"/>
      <c r="PEK43" s="10"/>
      <c r="PEL43" s="10"/>
      <c r="PEM43" s="10"/>
      <c r="PEN43" s="10"/>
      <c r="PEO43" s="10"/>
      <c r="PEP43" s="10"/>
      <c r="PEQ43" s="10"/>
      <c r="PER43" s="10"/>
      <c r="PES43" s="10"/>
      <c r="PET43" s="10"/>
      <c r="PEU43" s="10"/>
      <c r="PEV43" s="10"/>
      <c r="PEW43" s="10"/>
      <c r="PEX43" s="10"/>
      <c r="PEY43" s="10"/>
      <c r="PEZ43" s="10"/>
      <c r="PFA43" s="10"/>
      <c r="PFB43" s="10"/>
      <c r="PFC43" s="10"/>
      <c r="PFD43" s="10"/>
      <c r="PFE43" s="10"/>
      <c r="PFF43" s="10"/>
      <c r="PFG43" s="10"/>
      <c r="PFH43" s="10"/>
      <c r="PFI43" s="10"/>
      <c r="PFJ43" s="10"/>
      <c r="PFK43" s="10"/>
      <c r="PFL43" s="10"/>
      <c r="PFM43" s="10"/>
      <c r="PFN43" s="10"/>
      <c r="PFO43" s="10"/>
      <c r="PFP43" s="10"/>
      <c r="PFQ43" s="10"/>
      <c r="PFR43" s="10"/>
      <c r="PFS43" s="10"/>
      <c r="PFT43" s="10"/>
      <c r="PFU43" s="10"/>
      <c r="PFV43" s="10"/>
      <c r="PFW43" s="10"/>
      <c r="PFX43" s="10"/>
      <c r="PFY43" s="10"/>
      <c r="PFZ43" s="10"/>
      <c r="PGA43" s="10"/>
      <c r="PGB43" s="10"/>
      <c r="PGC43" s="10"/>
      <c r="PGD43" s="10"/>
      <c r="PGE43" s="10"/>
      <c r="PGF43" s="10"/>
      <c r="PGG43" s="10"/>
      <c r="PGH43" s="10"/>
      <c r="PGI43" s="10"/>
      <c r="PGJ43" s="10"/>
      <c r="PGK43" s="10"/>
      <c r="PGL43" s="10"/>
      <c r="PGM43" s="10"/>
      <c r="PGN43" s="10"/>
      <c r="PGO43" s="10"/>
      <c r="PGP43" s="10"/>
      <c r="PGQ43" s="10"/>
      <c r="PGR43" s="10"/>
      <c r="PGS43" s="10"/>
      <c r="PGT43" s="10"/>
      <c r="PGU43" s="10"/>
      <c r="PGV43" s="10"/>
      <c r="PGW43" s="10"/>
      <c r="PGX43" s="10"/>
      <c r="PGY43" s="10"/>
      <c r="PGZ43" s="10"/>
      <c r="PHA43" s="10"/>
      <c r="PHB43" s="10"/>
      <c r="PHC43" s="10"/>
      <c r="PHD43" s="10"/>
      <c r="PHE43" s="10"/>
      <c r="PHF43" s="10"/>
      <c r="PHG43" s="10"/>
      <c r="PHH43" s="10"/>
      <c r="PHI43" s="10"/>
      <c r="PHJ43" s="10"/>
      <c r="PHK43" s="10"/>
      <c r="PHL43" s="10"/>
      <c r="PHM43" s="10"/>
      <c r="PHN43" s="10"/>
      <c r="PHO43" s="10"/>
      <c r="PHP43" s="10"/>
      <c r="PHQ43" s="10"/>
      <c r="PHR43" s="10"/>
      <c r="PHS43" s="10"/>
      <c r="PHT43" s="10"/>
      <c r="PHU43" s="10"/>
      <c r="PHV43" s="10"/>
      <c r="PHW43" s="10"/>
      <c r="PHX43" s="10"/>
      <c r="PHY43" s="10"/>
      <c r="PHZ43" s="10"/>
      <c r="PIA43" s="10"/>
      <c r="PIB43" s="10"/>
      <c r="PIC43" s="10"/>
      <c r="PID43" s="10"/>
      <c r="PIE43" s="10"/>
      <c r="PIF43" s="10"/>
      <c r="PIG43" s="10"/>
      <c r="PIH43" s="10"/>
      <c r="PII43" s="10"/>
      <c r="PIJ43" s="10"/>
      <c r="PIK43" s="10"/>
      <c r="PIL43" s="10"/>
      <c r="PIM43" s="10"/>
      <c r="PIN43" s="10"/>
      <c r="PIO43" s="10"/>
      <c r="PIP43" s="10"/>
      <c r="PIQ43" s="10"/>
      <c r="PIR43" s="10"/>
      <c r="PIS43" s="10"/>
      <c r="PIT43" s="10"/>
      <c r="PIU43" s="10"/>
      <c r="PIV43" s="10"/>
      <c r="PIW43" s="10"/>
      <c r="PIX43" s="10"/>
      <c r="PIY43" s="10"/>
      <c r="PIZ43" s="10"/>
      <c r="PJA43" s="10"/>
      <c r="PJB43" s="10"/>
      <c r="PJC43" s="10"/>
      <c r="PJD43" s="10"/>
      <c r="PJE43" s="10"/>
      <c r="PJF43" s="10"/>
      <c r="PJG43" s="10"/>
      <c r="PJH43" s="10"/>
      <c r="PJI43" s="10"/>
      <c r="PJJ43" s="10"/>
      <c r="PJK43" s="10"/>
      <c r="PJL43" s="10"/>
      <c r="PJM43" s="10"/>
      <c r="PJN43" s="10"/>
      <c r="PJO43" s="10"/>
      <c r="PJP43" s="10"/>
      <c r="PJQ43" s="10"/>
      <c r="PJR43" s="10"/>
      <c r="PJS43" s="10"/>
      <c r="PJT43" s="10"/>
      <c r="PJU43" s="10"/>
      <c r="PJV43" s="10"/>
      <c r="PJW43" s="10"/>
      <c r="PJX43" s="10"/>
      <c r="PJY43" s="10"/>
      <c r="PJZ43" s="10"/>
      <c r="PKA43" s="10"/>
      <c r="PKB43" s="10"/>
      <c r="PKC43" s="10"/>
      <c r="PKD43" s="10"/>
      <c r="PKE43" s="10"/>
      <c r="PKF43" s="10"/>
      <c r="PKG43" s="10"/>
      <c r="PKH43" s="10"/>
      <c r="PKI43" s="10"/>
      <c r="PKJ43" s="10"/>
      <c r="PKK43" s="10"/>
      <c r="PKL43" s="10"/>
      <c r="PKM43" s="10"/>
      <c r="PKN43" s="10"/>
      <c r="PKO43" s="10"/>
      <c r="PKP43" s="10"/>
      <c r="PKQ43" s="10"/>
      <c r="PKR43" s="10"/>
      <c r="PKS43" s="10"/>
      <c r="PKT43" s="10"/>
      <c r="PKU43" s="10"/>
      <c r="PKV43" s="10"/>
      <c r="PKW43" s="10"/>
      <c r="PKX43" s="10"/>
      <c r="PKY43" s="10"/>
      <c r="PKZ43" s="10"/>
      <c r="PLA43" s="10"/>
      <c r="PLB43" s="10"/>
      <c r="PLC43" s="10"/>
      <c r="PLD43" s="10"/>
      <c r="PLE43" s="10"/>
      <c r="PLF43" s="10"/>
      <c r="PLG43" s="10"/>
      <c r="PLH43" s="10"/>
      <c r="PLI43" s="10"/>
      <c r="PLJ43" s="10"/>
      <c r="PLK43" s="10"/>
      <c r="PLL43" s="10"/>
      <c r="PLM43" s="10"/>
      <c r="PLN43" s="10"/>
      <c r="PLO43" s="10"/>
      <c r="PLP43" s="10"/>
      <c r="PLQ43" s="10"/>
      <c r="PLR43" s="10"/>
      <c r="PLS43" s="10"/>
      <c r="PLT43" s="10"/>
      <c r="PLU43" s="10"/>
      <c r="PLV43" s="10"/>
      <c r="PLW43" s="10"/>
      <c r="PLX43" s="10"/>
      <c r="PLY43" s="10"/>
      <c r="PLZ43" s="10"/>
      <c r="PMA43" s="10"/>
      <c r="PMB43" s="10"/>
      <c r="PMC43" s="10"/>
      <c r="PMD43" s="10"/>
      <c r="PME43" s="10"/>
      <c r="PMF43" s="10"/>
      <c r="PMG43" s="10"/>
      <c r="PMH43" s="10"/>
      <c r="PMI43" s="10"/>
      <c r="PMJ43" s="10"/>
      <c r="PMK43" s="10"/>
      <c r="PML43" s="10"/>
      <c r="PMM43" s="10"/>
      <c r="PMN43" s="10"/>
      <c r="PMO43" s="10"/>
      <c r="PMP43" s="10"/>
      <c r="PMQ43" s="10"/>
      <c r="PMR43" s="10"/>
      <c r="PMS43" s="10"/>
      <c r="PMT43" s="10"/>
      <c r="PMU43" s="10"/>
      <c r="PMV43" s="10"/>
      <c r="PMW43" s="10"/>
      <c r="PMX43" s="10"/>
      <c r="PMY43" s="10"/>
      <c r="PMZ43" s="10"/>
      <c r="PNA43" s="10"/>
      <c r="PNB43" s="10"/>
      <c r="PNC43" s="10"/>
      <c r="PND43" s="10"/>
      <c r="PNE43" s="10"/>
      <c r="PNF43" s="10"/>
      <c r="PNG43" s="10"/>
      <c r="PNH43" s="10"/>
      <c r="PNI43" s="10"/>
      <c r="PNJ43" s="10"/>
      <c r="PNK43" s="10"/>
      <c r="PNL43" s="10"/>
      <c r="PNM43" s="10"/>
      <c r="PNN43" s="10"/>
      <c r="PNO43" s="10"/>
      <c r="PNP43" s="10"/>
      <c r="PNQ43" s="10"/>
      <c r="PNR43" s="10"/>
      <c r="PNS43" s="10"/>
      <c r="PNT43" s="10"/>
      <c r="PNU43" s="10"/>
      <c r="PNV43" s="10"/>
      <c r="PNW43" s="10"/>
      <c r="PNX43" s="10"/>
      <c r="PNY43" s="10"/>
      <c r="PNZ43" s="10"/>
      <c r="POA43" s="10"/>
      <c r="POB43" s="10"/>
      <c r="POC43" s="10"/>
      <c r="POD43" s="10"/>
      <c r="POE43" s="10"/>
      <c r="POF43" s="10"/>
      <c r="POG43" s="10"/>
      <c r="POH43" s="10"/>
      <c r="POI43" s="10"/>
      <c r="POJ43" s="10"/>
      <c r="POK43" s="10"/>
      <c r="POL43" s="10"/>
      <c r="POM43" s="10"/>
      <c r="PON43" s="10"/>
      <c r="POO43" s="10"/>
      <c r="POP43" s="10"/>
      <c r="POQ43" s="10"/>
      <c r="POR43" s="10"/>
      <c r="POS43" s="10"/>
      <c r="POT43" s="10"/>
      <c r="POU43" s="10"/>
      <c r="POV43" s="10"/>
      <c r="POW43" s="10"/>
      <c r="POX43" s="10"/>
      <c r="POY43" s="10"/>
      <c r="POZ43" s="10"/>
      <c r="PPA43" s="10"/>
      <c r="PPB43" s="10"/>
      <c r="PPC43" s="10"/>
      <c r="PPD43" s="10"/>
      <c r="PPE43" s="10"/>
      <c r="PPF43" s="10"/>
      <c r="PPG43" s="10"/>
      <c r="PPH43" s="10"/>
      <c r="PPI43" s="10"/>
      <c r="PPJ43" s="10"/>
      <c r="PPK43" s="10"/>
      <c r="PPL43" s="10"/>
      <c r="PPM43" s="10"/>
      <c r="PPN43" s="10"/>
      <c r="PPO43" s="10"/>
      <c r="PPP43" s="10"/>
      <c r="PPQ43" s="10"/>
      <c r="PPR43" s="10"/>
      <c r="PPS43" s="10"/>
      <c r="PPT43" s="10"/>
      <c r="PPU43" s="10"/>
      <c r="PPV43" s="10"/>
      <c r="PPW43" s="10"/>
      <c r="PPX43" s="10"/>
      <c r="PPY43" s="10"/>
      <c r="PPZ43" s="10"/>
      <c r="PQA43" s="10"/>
      <c r="PQB43" s="10"/>
      <c r="PQC43" s="10"/>
      <c r="PQD43" s="10"/>
      <c r="PQE43" s="10"/>
      <c r="PQF43" s="10"/>
      <c r="PQG43" s="10"/>
      <c r="PQH43" s="10"/>
      <c r="PQI43" s="10"/>
      <c r="PQJ43" s="10"/>
      <c r="PQK43" s="10"/>
      <c r="PQL43" s="10"/>
      <c r="PQM43" s="10"/>
      <c r="PQN43" s="10"/>
      <c r="PQO43" s="10"/>
      <c r="PQP43" s="10"/>
      <c r="PQQ43" s="10"/>
      <c r="PQR43" s="10"/>
      <c r="PQS43" s="10"/>
      <c r="PQT43" s="10"/>
      <c r="PQU43" s="10"/>
      <c r="PQV43" s="10"/>
      <c r="PQW43" s="10"/>
      <c r="PQX43" s="10"/>
      <c r="PQY43" s="10"/>
      <c r="PQZ43" s="10"/>
      <c r="PRA43" s="10"/>
      <c r="PRB43" s="10"/>
      <c r="PRC43" s="10"/>
      <c r="PRD43" s="10"/>
      <c r="PRE43" s="10"/>
      <c r="PRF43" s="10"/>
      <c r="PRG43" s="10"/>
      <c r="PRH43" s="10"/>
      <c r="PRI43" s="10"/>
      <c r="PRJ43" s="10"/>
      <c r="PRK43" s="10"/>
      <c r="PRL43" s="10"/>
      <c r="PRM43" s="10"/>
      <c r="PRN43" s="10"/>
      <c r="PRO43" s="10"/>
      <c r="PRP43" s="10"/>
      <c r="PRQ43" s="10"/>
      <c r="PRR43" s="10"/>
      <c r="PRS43" s="10"/>
      <c r="PRT43" s="10"/>
      <c r="PRU43" s="10"/>
      <c r="PRV43" s="10"/>
      <c r="PRW43" s="10"/>
      <c r="PRX43" s="10"/>
      <c r="PRY43" s="10"/>
      <c r="PRZ43" s="10"/>
      <c r="PSA43" s="10"/>
      <c r="PSB43" s="10"/>
      <c r="PSC43" s="10"/>
      <c r="PSD43" s="10"/>
      <c r="PSE43" s="10"/>
      <c r="PSF43" s="10"/>
      <c r="PSG43" s="10"/>
      <c r="PSH43" s="10"/>
      <c r="PSI43" s="10"/>
      <c r="PSJ43" s="10"/>
      <c r="PSK43" s="10"/>
      <c r="PSL43" s="10"/>
      <c r="PSM43" s="10"/>
      <c r="PSN43" s="10"/>
      <c r="PSO43" s="10"/>
      <c r="PSP43" s="10"/>
      <c r="PSQ43" s="10"/>
      <c r="PSR43" s="10"/>
      <c r="PSS43" s="10"/>
      <c r="PST43" s="10"/>
      <c r="PSU43" s="10"/>
      <c r="PSV43" s="10"/>
      <c r="PSW43" s="10"/>
      <c r="PSX43" s="10"/>
      <c r="PSY43" s="10"/>
      <c r="PSZ43" s="10"/>
      <c r="PTA43" s="10"/>
      <c r="PTB43" s="10"/>
      <c r="PTC43" s="10"/>
      <c r="PTD43" s="10"/>
      <c r="PTE43" s="10"/>
      <c r="PTF43" s="10"/>
      <c r="PTG43" s="10"/>
      <c r="PTH43" s="10"/>
      <c r="PTI43" s="10"/>
      <c r="PTJ43" s="10"/>
      <c r="PTK43" s="10"/>
      <c r="PTL43" s="10"/>
      <c r="PTM43" s="10"/>
      <c r="PTN43" s="10"/>
      <c r="PTO43" s="10"/>
      <c r="PTP43" s="10"/>
      <c r="PTQ43" s="10"/>
      <c r="PTR43" s="10"/>
      <c r="PTS43" s="10"/>
      <c r="PTT43" s="10"/>
      <c r="PTU43" s="10"/>
      <c r="PTV43" s="10"/>
      <c r="PTW43" s="10"/>
      <c r="PTX43" s="10"/>
      <c r="PTY43" s="10"/>
      <c r="PTZ43" s="10"/>
      <c r="PUA43" s="10"/>
      <c r="PUB43" s="10"/>
      <c r="PUC43" s="10"/>
      <c r="PUD43" s="10"/>
      <c r="PUE43" s="10"/>
      <c r="PUF43" s="10"/>
      <c r="PUG43" s="10"/>
      <c r="PUH43" s="10"/>
      <c r="PUI43" s="10"/>
      <c r="PUJ43" s="10"/>
      <c r="PUK43" s="10"/>
      <c r="PUL43" s="10"/>
      <c r="PUM43" s="10"/>
      <c r="PUN43" s="10"/>
      <c r="PUO43" s="10"/>
      <c r="PUP43" s="10"/>
      <c r="PUQ43" s="10"/>
      <c r="PUR43" s="10"/>
      <c r="PUS43" s="10"/>
      <c r="PUT43" s="10"/>
      <c r="PUU43" s="10"/>
      <c r="PUV43" s="10"/>
      <c r="PUW43" s="10"/>
      <c r="PUX43" s="10"/>
      <c r="PUY43" s="10"/>
      <c r="PUZ43" s="10"/>
      <c r="PVA43" s="10"/>
      <c r="PVB43" s="10"/>
      <c r="PVC43" s="10"/>
      <c r="PVD43" s="10"/>
      <c r="PVE43" s="10"/>
      <c r="PVF43" s="10"/>
      <c r="PVG43" s="10"/>
      <c r="PVH43" s="10"/>
      <c r="PVI43" s="10"/>
      <c r="PVJ43" s="10"/>
      <c r="PVK43" s="10"/>
      <c r="PVL43" s="10"/>
      <c r="PVM43" s="10"/>
      <c r="PVN43" s="10"/>
      <c r="PVO43" s="10"/>
      <c r="PVP43" s="10"/>
      <c r="PVQ43" s="10"/>
      <c r="PVR43" s="10"/>
      <c r="PVS43" s="10"/>
      <c r="PVT43" s="10"/>
      <c r="PVU43" s="10"/>
      <c r="PVV43" s="10"/>
      <c r="PVW43" s="10"/>
      <c r="PVX43" s="10"/>
      <c r="PVY43" s="10"/>
      <c r="PVZ43" s="10"/>
      <c r="PWA43" s="10"/>
      <c r="PWB43" s="10"/>
      <c r="PWC43" s="10"/>
      <c r="PWD43" s="10"/>
      <c r="PWE43" s="10"/>
      <c r="PWF43" s="10"/>
      <c r="PWG43" s="10"/>
      <c r="PWH43" s="10"/>
      <c r="PWI43" s="10"/>
      <c r="PWJ43" s="10"/>
      <c r="PWK43" s="10"/>
      <c r="PWL43" s="10"/>
      <c r="PWM43" s="10"/>
      <c r="PWN43" s="10"/>
      <c r="PWO43" s="10"/>
      <c r="PWP43" s="10"/>
      <c r="PWQ43" s="10"/>
      <c r="PWR43" s="10"/>
      <c r="PWS43" s="10"/>
      <c r="PWT43" s="10"/>
      <c r="PWU43" s="10"/>
      <c r="PWV43" s="10"/>
      <c r="PWW43" s="10"/>
      <c r="PWX43" s="10"/>
      <c r="PWY43" s="10"/>
      <c r="PWZ43" s="10"/>
      <c r="PXA43" s="10"/>
      <c r="PXB43" s="10"/>
      <c r="PXC43" s="10"/>
      <c r="PXD43" s="10"/>
      <c r="PXE43" s="10"/>
      <c r="PXF43" s="10"/>
      <c r="PXG43" s="10"/>
      <c r="PXH43" s="10"/>
      <c r="PXI43" s="10"/>
      <c r="PXJ43" s="10"/>
      <c r="PXK43" s="10"/>
      <c r="PXL43" s="10"/>
      <c r="PXM43" s="10"/>
      <c r="PXN43" s="10"/>
      <c r="PXO43" s="10"/>
      <c r="PXP43" s="10"/>
      <c r="PXQ43" s="10"/>
      <c r="PXR43" s="10"/>
      <c r="PXS43" s="10"/>
      <c r="PXT43" s="10"/>
      <c r="PXU43" s="10"/>
      <c r="PXV43" s="10"/>
      <c r="PXW43" s="10"/>
      <c r="PXX43" s="10"/>
      <c r="PXY43" s="10"/>
      <c r="PXZ43" s="10"/>
      <c r="PYA43" s="10"/>
      <c r="PYB43" s="10"/>
      <c r="PYC43" s="10"/>
      <c r="PYD43" s="10"/>
      <c r="PYE43" s="10"/>
      <c r="PYF43" s="10"/>
      <c r="PYG43" s="10"/>
      <c r="PYH43" s="10"/>
      <c r="PYI43" s="10"/>
      <c r="PYJ43" s="10"/>
      <c r="PYK43" s="10"/>
      <c r="PYL43" s="10"/>
      <c r="PYM43" s="10"/>
      <c r="PYN43" s="10"/>
      <c r="PYO43" s="10"/>
      <c r="PYP43" s="10"/>
      <c r="PYQ43" s="10"/>
      <c r="PYR43" s="10"/>
      <c r="PYS43" s="10"/>
      <c r="PYT43" s="10"/>
      <c r="PYU43" s="10"/>
      <c r="PYV43" s="10"/>
      <c r="PYW43" s="10"/>
      <c r="PYX43" s="10"/>
      <c r="PYY43" s="10"/>
      <c r="PYZ43" s="10"/>
      <c r="PZA43" s="10"/>
      <c r="PZB43" s="10"/>
      <c r="PZC43" s="10"/>
      <c r="PZD43" s="10"/>
      <c r="PZE43" s="10"/>
      <c r="PZF43" s="10"/>
      <c r="PZG43" s="10"/>
      <c r="PZH43" s="10"/>
      <c r="PZI43" s="10"/>
      <c r="PZJ43" s="10"/>
      <c r="PZK43" s="10"/>
      <c r="PZL43" s="10"/>
      <c r="PZM43" s="10"/>
      <c r="PZN43" s="10"/>
      <c r="PZO43" s="10"/>
      <c r="PZP43" s="10"/>
      <c r="PZQ43" s="10"/>
      <c r="PZR43" s="10"/>
      <c r="PZS43" s="10"/>
      <c r="PZT43" s="10"/>
      <c r="PZU43" s="10"/>
      <c r="PZV43" s="10"/>
      <c r="PZW43" s="10"/>
      <c r="PZX43" s="10"/>
      <c r="PZY43" s="10"/>
      <c r="PZZ43" s="10"/>
      <c r="QAA43" s="10"/>
      <c r="QAB43" s="10"/>
      <c r="QAC43" s="10"/>
      <c r="QAD43" s="10"/>
      <c r="QAE43" s="10"/>
      <c r="QAF43" s="10"/>
      <c r="QAG43" s="10"/>
      <c r="QAH43" s="10"/>
      <c r="QAI43" s="10"/>
      <c r="QAJ43" s="10"/>
      <c r="QAK43" s="10"/>
      <c r="QAL43" s="10"/>
      <c r="QAM43" s="10"/>
      <c r="QAN43" s="10"/>
      <c r="QAO43" s="10"/>
      <c r="QAP43" s="10"/>
      <c r="QAQ43" s="10"/>
      <c r="QAR43" s="10"/>
      <c r="QAS43" s="10"/>
      <c r="QAT43" s="10"/>
      <c r="QAU43" s="10"/>
      <c r="QAV43" s="10"/>
      <c r="QAW43" s="10"/>
      <c r="QAX43" s="10"/>
      <c r="QAY43" s="10"/>
      <c r="QAZ43" s="10"/>
      <c r="QBA43" s="10"/>
      <c r="QBB43" s="10"/>
      <c r="QBC43" s="10"/>
      <c r="QBD43" s="10"/>
      <c r="QBE43" s="10"/>
      <c r="QBF43" s="10"/>
      <c r="QBG43" s="10"/>
      <c r="QBH43" s="10"/>
      <c r="QBI43" s="10"/>
      <c r="QBJ43" s="10"/>
      <c r="QBK43" s="10"/>
      <c r="QBL43" s="10"/>
      <c r="QBM43" s="10"/>
      <c r="QBN43" s="10"/>
      <c r="QBO43" s="10"/>
      <c r="QBP43" s="10"/>
      <c r="QBQ43" s="10"/>
      <c r="QBR43" s="10"/>
      <c r="QBS43" s="10"/>
      <c r="QBT43" s="10"/>
      <c r="QBU43" s="10"/>
      <c r="QBV43" s="10"/>
      <c r="QBW43" s="10"/>
      <c r="QBX43" s="10"/>
      <c r="QBY43" s="10"/>
      <c r="QBZ43" s="10"/>
      <c r="QCA43" s="10"/>
      <c r="QCB43" s="10"/>
      <c r="QCC43" s="10"/>
      <c r="QCD43" s="10"/>
      <c r="QCE43" s="10"/>
      <c r="QCF43" s="10"/>
      <c r="QCG43" s="10"/>
      <c r="QCH43" s="10"/>
      <c r="QCI43" s="10"/>
      <c r="QCJ43" s="10"/>
      <c r="QCK43" s="10"/>
      <c r="QCL43" s="10"/>
      <c r="QCM43" s="10"/>
      <c r="QCN43" s="10"/>
      <c r="QCO43" s="10"/>
      <c r="QCP43" s="10"/>
      <c r="QCQ43" s="10"/>
      <c r="QCR43" s="10"/>
      <c r="QCS43" s="10"/>
      <c r="QCT43" s="10"/>
      <c r="QCU43" s="10"/>
      <c r="QCV43" s="10"/>
      <c r="QCW43" s="10"/>
      <c r="QCX43" s="10"/>
      <c r="QCY43" s="10"/>
      <c r="QCZ43" s="10"/>
      <c r="QDA43" s="10"/>
      <c r="QDB43" s="10"/>
      <c r="QDC43" s="10"/>
      <c r="QDD43" s="10"/>
      <c r="QDE43" s="10"/>
      <c r="QDF43" s="10"/>
      <c r="QDG43" s="10"/>
      <c r="QDH43" s="10"/>
      <c r="QDI43" s="10"/>
      <c r="QDJ43" s="10"/>
      <c r="QDK43" s="10"/>
      <c r="QDL43" s="10"/>
      <c r="QDM43" s="10"/>
      <c r="QDN43" s="10"/>
      <c r="QDO43" s="10"/>
      <c r="QDP43" s="10"/>
      <c r="QDQ43" s="10"/>
      <c r="QDR43" s="10"/>
      <c r="QDS43" s="10"/>
      <c r="QDT43" s="10"/>
      <c r="QDU43" s="10"/>
      <c r="QDV43" s="10"/>
      <c r="QDW43" s="10"/>
      <c r="QDX43" s="10"/>
      <c r="QDY43" s="10"/>
      <c r="QDZ43" s="10"/>
      <c r="QEA43" s="10"/>
      <c r="QEB43" s="10"/>
      <c r="QEC43" s="10"/>
      <c r="QED43" s="10"/>
      <c r="QEE43" s="10"/>
      <c r="QEF43" s="10"/>
      <c r="QEG43" s="10"/>
      <c r="QEH43" s="10"/>
      <c r="QEI43" s="10"/>
      <c r="QEJ43" s="10"/>
      <c r="QEK43" s="10"/>
      <c r="QEL43" s="10"/>
      <c r="QEM43" s="10"/>
      <c r="QEN43" s="10"/>
      <c r="QEO43" s="10"/>
      <c r="QEP43" s="10"/>
      <c r="QEQ43" s="10"/>
      <c r="QER43" s="10"/>
      <c r="QES43" s="10"/>
      <c r="QET43" s="10"/>
      <c r="QEU43" s="10"/>
      <c r="QEV43" s="10"/>
      <c r="QEW43" s="10"/>
      <c r="QEX43" s="10"/>
      <c r="QEY43" s="10"/>
      <c r="QEZ43" s="10"/>
      <c r="QFA43" s="10"/>
      <c r="QFB43" s="10"/>
      <c r="QFC43" s="10"/>
      <c r="QFD43" s="10"/>
      <c r="QFE43" s="10"/>
      <c r="QFF43" s="10"/>
      <c r="QFG43" s="10"/>
      <c r="QFH43" s="10"/>
      <c r="QFI43" s="10"/>
      <c r="QFJ43" s="10"/>
      <c r="QFK43" s="10"/>
      <c r="QFL43" s="10"/>
      <c r="QFM43" s="10"/>
      <c r="QFN43" s="10"/>
      <c r="QFO43" s="10"/>
      <c r="QFP43" s="10"/>
      <c r="QFQ43" s="10"/>
      <c r="QFR43" s="10"/>
      <c r="QFS43" s="10"/>
      <c r="QFT43" s="10"/>
      <c r="QFU43" s="10"/>
      <c r="QFV43" s="10"/>
      <c r="QFW43" s="10"/>
      <c r="QFX43" s="10"/>
      <c r="QFY43" s="10"/>
      <c r="QFZ43" s="10"/>
      <c r="QGA43" s="10"/>
      <c r="QGB43" s="10"/>
      <c r="QGC43" s="10"/>
      <c r="QGD43" s="10"/>
      <c r="QGE43" s="10"/>
      <c r="QGF43" s="10"/>
      <c r="QGG43" s="10"/>
      <c r="QGH43" s="10"/>
      <c r="QGI43" s="10"/>
      <c r="QGJ43" s="10"/>
      <c r="QGK43" s="10"/>
      <c r="QGL43" s="10"/>
      <c r="QGM43" s="10"/>
      <c r="QGN43" s="10"/>
      <c r="QGO43" s="10"/>
      <c r="QGP43" s="10"/>
      <c r="QGQ43" s="10"/>
      <c r="QGR43" s="10"/>
      <c r="QGS43" s="10"/>
      <c r="QGT43" s="10"/>
      <c r="QGU43" s="10"/>
      <c r="QGV43" s="10"/>
      <c r="QGW43" s="10"/>
      <c r="QGX43" s="10"/>
      <c r="QGY43" s="10"/>
      <c r="QGZ43" s="10"/>
      <c r="QHA43" s="10"/>
      <c r="QHB43" s="10"/>
      <c r="QHC43" s="10"/>
      <c r="QHD43" s="10"/>
      <c r="QHE43" s="10"/>
      <c r="QHF43" s="10"/>
      <c r="QHG43" s="10"/>
      <c r="QHH43" s="10"/>
      <c r="QHI43" s="10"/>
      <c r="QHJ43" s="10"/>
      <c r="QHK43" s="10"/>
      <c r="QHL43" s="10"/>
      <c r="QHM43" s="10"/>
      <c r="QHN43" s="10"/>
      <c r="QHO43" s="10"/>
      <c r="QHP43" s="10"/>
      <c r="QHQ43" s="10"/>
      <c r="QHR43" s="10"/>
      <c r="QHS43" s="10"/>
      <c r="QHT43" s="10"/>
      <c r="QHU43" s="10"/>
      <c r="QHV43" s="10"/>
      <c r="QHW43" s="10"/>
      <c r="QHX43" s="10"/>
      <c r="QHY43" s="10"/>
      <c r="QHZ43" s="10"/>
      <c r="QIA43" s="10"/>
      <c r="QIB43" s="10"/>
      <c r="QIC43" s="10"/>
      <c r="QID43" s="10"/>
      <c r="QIE43" s="10"/>
      <c r="QIF43" s="10"/>
      <c r="QIG43" s="10"/>
      <c r="QIH43" s="10"/>
      <c r="QII43" s="10"/>
      <c r="QIJ43" s="10"/>
      <c r="QIK43" s="10"/>
      <c r="QIL43" s="10"/>
      <c r="QIM43" s="10"/>
      <c r="QIN43" s="10"/>
      <c r="QIO43" s="10"/>
      <c r="QIP43" s="10"/>
      <c r="QIQ43" s="10"/>
      <c r="QIR43" s="10"/>
      <c r="QIS43" s="10"/>
      <c r="QIT43" s="10"/>
      <c r="QIU43" s="10"/>
      <c r="QIV43" s="10"/>
      <c r="QIW43" s="10"/>
      <c r="QIX43" s="10"/>
      <c r="QIY43" s="10"/>
      <c r="QIZ43" s="10"/>
      <c r="QJA43" s="10"/>
      <c r="QJB43" s="10"/>
      <c r="QJC43" s="10"/>
      <c r="QJD43" s="10"/>
      <c r="QJE43" s="10"/>
      <c r="QJF43" s="10"/>
      <c r="QJG43" s="10"/>
      <c r="QJH43" s="10"/>
      <c r="QJI43" s="10"/>
      <c r="QJJ43" s="10"/>
      <c r="QJK43" s="10"/>
      <c r="QJL43" s="10"/>
      <c r="QJM43" s="10"/>
      <c r="QJN43" s="10"/>
      <c r="QJO43" s="10"/>
      <c r="QJP43" s="10"/>
      <c r="QJQ43" s="10"/>
      <c r="QJR43" s="10"/>
      <c r="QJS43" s="10"/>
      <c r="QJT43" s="10"/>
      <c r="QJU43" s="10"/>
      <c r="QJV43" s="10"/>
      <c r="QJW43" s="10"/>
      <c r="QJX43" s="10"/>
      <c r="QJY43" s="10"/>
      <c r="QJZ43" s="10"/>
      <c r="QKA43" s="10"/>
      <c r="QKB43" s="10"/>
      <c r="QKC43" s="10"/>
      <c r="QKD43" s="10"/>
      <c r="QKE43" s="10"/>
      <c r="QKF43" s="10"/>
      <c r="QKG43" s="10"/>
      <c r="QKH43" s="10"/>
      <c r="QKI43" s="10"/>
      <c r="QKJ43" s="10"/>
      <c r="QKK43" s="10"/>
      <c r="QKL43" s="10"/>
      <c r="QKM43" s="10"/>
      <c r="QKN43" s="10"/>
      <c r="QKO43" s="10"/>
      <c r="QKP43" s="10"/>
      <c r="QKQ43" s="10"/>
      <c r="QKR43" s="10"/>
      <c r="QKS43" s="10"/>
      <c r="QKT43" s="10"/>
      <c r="QKU43" s="10"/>
      <c r="QKV43" s="10"/>
      <c r="QKW43" s="10"/>
      <c r="QKX43" s="10"/>
      <c r="QKY43" s="10"/>
      <c r="QKZ43" s="10"/>
      <c r="QLA43" s="10"/>
      <c r="QLB43" s="10"/>
      <c r="QLC43" s="10"/>
      <c r="QLD43" s="10"/>
      <c r="QLE43" s="10"/>
      <c r="QLF43" s="10"/>
      <c r="QLG43" s="10"/>
      <c r="QLH43" s="10"/>
      <c r="QLI43" s="10"/>
      <c r="QLJ43" s="10"/>
      <c r="QLK43" s="10"/>
      <c r="QLL43" s="10"/>
      <c r="QLM43" s="10"/>
      <c r="QLN43" s="10"/>
      <c r="QLO43" s="10"/>
      <c r="QLP43" s="10"/>
      <c r="QLQ43" s="10"/>
      <c r="QLR43" s="10"/>
      <c r="QLS43" s="10"/>
      <c r="QLT43" s="10"/>
      <c r="QLU43" s="10"/>
      <c r="QLV43" s="10"/>
      <c r="QLW43" s="10"/>
      <c r="QLX43" s="10"/>
      <c r="QLY43" s="10"/>
      <c r="QLZ43" s="10"/>
      <c r="QMA43" s="10"/>
      <c r="QMB43" s="10"/>
      <c r="QMC43" s="10"/>
      <c r="QMD43" s="10"/>
      <c r="QME43" s="10"/>
      <c r="QMF43" s="10"/>
      <c r="QMG43" s="10"/>
      <c r="QMH43" s="10"/>
      <c r="QMI43" s="10"/>
      <c r="QMJ43" s="10"/>
      <c r="QMK43" s="10"/>
      <c r="QML43" s="10"/>
      <c r="QMM43" s="10"/>
      <c r="QMN43" s="10"/>
      <c r="QMO43" s="10"/>
      <c r="QMP43" s="10"/>
      <c r="QMQ43" s="10"/>
      <c r="QMR43" s="10"/>
      <c r="QMS43" s="10"/>
      <c r="QMT43" s="10"/>
      <c r="QMU43" s="10"/>
      <c r="QMV43" s="10"/>
      <c r="QMW43" s="10"/>
      <c r="QMX43" s="10"/>
      <c r="QMY43" s="10"/>
      <c r="QMZ43" s="10"/>
      <c r="QNA43" s="10"/>
      <c r="QNB43" s="10"/>
      <c r="QNC43" s="10"/>
      <c r="QND43" s="10"/>
      <c r="QNE43" s="10"/>
      <c r="QNF43" s="10"/>
      <c r="QNG43" s="10"/>
      <c r="QNH43" s="10"/>
      <c r="QNI43" s="10"/>
      <c r="QNJ43" s="10"/>
      <c r="QNK43" s="10"/>
      <c r="QNL43" s="10"/>
      <c r="QNM43" s="10"/>
      <c r="QNN43" s="10"/>
      <c r="QNO43" s="10"/>
      <c r="QNP43" s="10"/>
      <c r="QNQ43" s="10"/>
      <c r="QNR43" s="10"/>
      <c r="QNS43" s="10"/>
      <c r="QNT43" s="10"/>
      <c r="QNU43" s="10"/>
      <c r="QNV43" s="10"/>
      <c r="QNW43" s="10"/>
      <c r="QNX43" s="10"/>
      <c r="QNY43" s="10"/>
      <c r="QNZ43" s="10"/>
      <c r="QOA43" s="10"/>
      <c r="QOB43" s="10"/>
      <c r="QOC43" s="10"/>
      <c r="QOD43" s="10"/>
      <c r="QOE43" s="10"/>
      <c r="QOF43" s="10"/>
      <c r="QOG43" s="10"/>
      <c r="QOH43" s="10"/>
      <c r="QOI43" s="10"/>
      <c r="QOJ43" s="10"/>
      <c r="QOK43" s="10"/>
      <c r="QOL43" s="10"/>
      <c r="QOM43" s="10"/>
      <c r="QON43" s="10"/>
      <c r="QOO43" s="10"/>
      <c r="QOP43" s="10"/>
      <c r="QOQ43" s="10"/>
      <c r="QOR43" s="10"/>
      <c r="QOS43" s="10"/>
      <c r="QOT43" s="10"/>
      <c r="QOU43" s="10"/>
      <c r="QOV43" s="10"/>
      <c r="QOW43" s="10"/>
      <c r="QOX43" s="10"/>
      <c r="QOY43" s="10"/>
      <c r="QOZ43" s="10"/>
      <c r="QPA43" s="10"/>
      <c r="QPB43" s="10"/>
      <c r="QPC43" s="10"/>
      <c r="QPD43" s="10"/>
      <c r="QPE43" s="10"/>
      <c r="QPF43" s="10"/>
      <c r="QPG43" s="10"/>
      <c r="QPH43" s="10"/>
      <c r="QPI43" s="10"/>
      <c r="QPJ43" s="10"/>
      <c r="QPK43" s="10"/>
      <c r="QPL43" s="10"/>
      <c r="QPM43" s="10"/>
      <c r="QPN43" s="10"/>
      <c r="QPO43" s="10"/>
      <c r="QPP43" s="10"/>
      <c r="QPQ43" s="10"/>
      <c r="QPR43" s="10"/>
      <c r="QPS43" s="10"/>
      <c r="QPT43" s="10"/>
      <c r="QPU43" s="10"/>
      <c r="QPV43" s="10"/>
      <c r="QPW43" s="10"/>
      <c r="QPX43" s="10"/>
      <c r="QPY43" s="10"/>
      <c r="QPZ43" s="10"/>
      <c r="QQA43" s="10"/>
      <c r="QQB43" s="10"/>
      <c r="QQC43" s="10"/>
      <c r="QQD43" s="10"/>
      <c r="QQE43" s="10"/>
      <c r="QQF43" s="10"/>
      <c r="QQG43" s="10"/>
      <c r="QQH43" s="10"/>
      <c r="QQI43" s="10"/>
      <c r="QQJ43" s="10"/>
      <c r="QQK43" s="10"/>
      <c r="QQL43" s="10"/>
      <c r="QQM43" s="10"/>
      <c r="QQN43" s="10"/>
      <c r="QQO43" s="10"/>
      <c r="QQP43" s="10"/>
      <c r="QQQ43" s="10"/>
      <c r="QQR43" s="10"/>
      <c r="QQS43" s="10"/>
      <c r="QQT43" s="10"/>
      <c r="QQU43" s="10"/>
      <c r="QQV43" s="10"/>
      <c r="QQW43" s="10"/>
      <c r="QQX43" s="10"/>
      <c r="QQY43" s="10"/>
      <c r="QQZ43" s="10"/>
      <c r="QRA43" s="10"/>
      <c r="QRB43" s="10"/>
      <c r="QRC43" s="10"/>
      <c r="QRD43" s="10"/>
      <c r="QRE43" s="10"/>
      <c r="QRF43" s="10"/>
      <c r="QRG43" s="10"/>
      <c r="QRH43" s="10"/>
      <c r="QRI43" s="10"/>
      <c r="QRJ43" s="10"/>
      <c r="QRK43" s="10"/>
      <c r="QRL43" s="10"/>
      <c r="QRM43" s="10"/>
      <c r="QRN43" s="10"/>
      <c r="QRO43" s="10"/>
      <c r="QRP43" s="10"/>
      <c r="QRQ43" s="10"/>
      <c r="QRR43" s="10"/>
      <c r="QRS43" s="10"/>
      <c r="QRT43" s="10"/>
      <c r="QRU43" s="10"/>
      <c r="QRV43" s="10"/>
      <c r="QRW43" s="10"/>
      <c r="QRX43" s="10"/>
      <c r="QRY43" s="10"/>
      <c r="QRZ43" s="10"/>
      <c r="QSA43" s="10"/>
      <c r="QSB43" s="10"/>
      <c r="QSC43" s="10"/>
      <c r="QSD43" s="10"/>
      <c r="QSE43" s="10"/>
      <c r="QSF43" s="10"/>
      <c r="QSG43" s="10"/>
      <c r="QSH43" s="10"/>
      <c r="QSI43" s="10"/>
      <c r="QSJ43" s="10"/>
      <c r="QSK43" s="10"/>
      <c r="QSL43" s="10"/>
      <c r="QSM43" s="10"/>
      <c r="QSN43" s="10"/>
      <c r="QSO43" s="10"/>
      <c r="QSP43" s="10"/>
      <c r="QSQ43" s="10"/>
      <c r="QSR43" s="10"/>
      <c r="QSS43" s="10"/>
      <c r="QST43" s="10"/>
      <c r="QSU43" s="10"/>
      <c r="QSV43" s="10"/>
      <c r="QSW43" s="10"/>
      <c r="QSX43" s="10"/>
      <c r="QSY43" s="10"/>
      <c r="QSZ43" s="10"/>
      <c r="QTA43" s="10"/>
      <c r="QTB43" s="10"/>
      <c r="QTC43" s="10"/>
      <c r="QTD43" s="10"/>
      <c r="QTE43" s="10"/>
      <c r="QTF43" s="10"/>
      <c r="QTG43" s="10"/>
      <c r="QTH43" s="10"/>
      <c r="QTI43" s="10"/>
      <c r="QTJ43" s="10"/>
      <c r="QTK43" s="10"/>
      <c r="QTL43" s="10"/>
      <c r="QTM43" s="10"/>
      <c r="QTN43" s="10"/>
      <c r="QTO43" s="10"/>
      <c r="QTP43" s="10"/>
      <c r="QTQ43" s="10"/>
      <c r="QTR43" s="10"/>
      <c r="QTS43" s="10"/>
      <c r="QTT43" s="10"/>
      <c r="QTU43" s="10"/>
      <c r="QTV43" s="10"/>
      <c r="QTW43" s="10"/>
      <c r="QTX43" s="10"/>
      <c r="QTY43" s="10"/>
      <c r="QTZ43" s="10"/>
      <c r="QUA43" s="10"/>
      <c r="QUB43" s="10"/>
      <c r="QUC43" s="10"/>
      <c r="QUD43" s="10"/>
      <c r="QUE43" s="10"/>
      <c r="QUF43" s="10"/>
      <c r="QUG43" s="10"/>
      <c r="QUH43" s="10"/>
      <c r="QUI43" s="10"/>
      <c r="QUJ43" s="10"/>
      <c r="QUK43" s="10"/>
      <c r="QUL43" s="10"/>
      <c r="QUM43" s="10"/>
      <c r="QUN43" s="10"/>
      <c r="QUO43" s="10"/>
      <c r="QUP43" s="10"/>
      <c r="QUQ43" s="10"/>
      <c r="QUR43" s="10"/>
      <c r="QUS43" s="10"/>
      <c r="QUT43" s="10"/>
      <c r="QUU43" s="10"/>
      <c r="QUV43" s="10"/>
      <c r="QUW43" s="10"/>
      <c r="QUX43" s="10"/>
      <c r="QUY43" s="10"/>
      <c r="QUZ43" s="10"/>
      <c r="QVA43" s="10"/>
      <c r="QVB43" s="10"/>
      <c r="QVC43" s="10"/>
      <c r="QVD43" s="10"/>
      <c r="QVE43" s="10"/>
      <c r="QVF43" s="10"/>
      <c r="QVG43" s="10"/>
      <c r="QVH43" s="10"/>
      <c r="QVI43" s="10"/>
      <c r="QVJ43" s="10"/>
      <c r="QVK43" s="10"/>
      <c r="QVL43" s="10"/>
      <c r="QVM43" s="10"/>
      <c r="QVN43" s="10"/>
      <c r="QVO43" s="10"/>
      <c r="QVP43" s="10"/>
      <c r="QVQ43" s="10"/>
      <c r="QVR43" s="10"/>
      <c r="QVS43" s="10"/>
      <c r="QVT43" s="10"/>
      <c r="QVU43" s="10"/>
      <c r="QVV43" s="10"/>
      <c r="QVW43" s="10"/>
      <c r="QVX43" s="10"/>
      <c r="QVY43" s="10"/>
      <c r="QVZ43" s="10"/>
      <c r="QWA43" s="10"/>
      <c r="QWB43" s="10"/>
      <c r="QWC43" s="10"/>
      <c r="QWD43" s="10"/>
      <c r="QWE43" s="10"/>
      <c r="QWF43" s="10"/>
      <c r="QWG43" s="10"/>
      <c r="QWH43" s="10"/>
      <c r="QWI43" s="10"/>
      <c r="QWJ43" s="10"/>
      <c r="QWK43" s="10"/>
      <c r="QWL43" s="10"/>
      <c r="QWM43" s="10"/>
      <c r="QWN43" s="10"/>
      <c r="QWO43" s="10"/>
      <c r="QWP43" s="10"/>
      <c r="QWQ43" s="10"/>
      <c r="QWR43" s="10"/>
      <c r="QWS43" s="10"/>
      <c r="QWT43" s="10"/>
      <c r="QWU43" s="10"/>
      <c r="QWV43" s="10"/>
      <c r="QWW43" s="10"/>
      <c r="QWX43" s="10"/>
      <c r="QWY43" s="10"/>
      <c r="QWZ43" s="10"/>
      <c r="QXA43" s="10"/>
      <c r="QXB43" s="10"/>
      <c r="QXC43" s="10"/>
      <c r="QXD43" s="10"/>
      <c r="QXE43" s="10"/>
      <c r="QXF43" s="10"/>
      <c r="QXG43" s="10"/>
      <c r="QXH43" s="10"/>
      <c r="QXI43" s="10"/>
      <c r="QXJ43" s="10"/>
      <c r="QXK43" s="10"/>
      <c r="QXL43" s="10"/>
      <c r="QXM43" s="10"/>
      <c r="QXN43" s="10"/>
      <c r="QXO43" s="10"/>
      <c r="QXP43" s="10"/>
      <c r="QXQ43" s="10"/>
      <c r="QXR43" s="10"/>
      <c r="QXS43" s="10"/>
      <c r="QXT43" s="10"/>
      <c r="QXU43" s="10"/>
      <c r="QXV43" s="10"/>
      <c r="QXW43" s="10"/>
      <c r="QXX43" s="10"/>
      <c r="QXY43" s="10"/>
      <c r="QXZ43" s="10"/>
      <c r="QYA43" s="10"/>
      <c r="QYB43" s="10"/>
      <c r="QYC43" s="10"/>
      <c r="QYD43" s="10"/>
      <c r="QYE43" s="10"/>
      <c r="QYF43" s="10"/>
      <c r="QYG43" s="10"/>
      <c r="QYH43" s="10"/>
      <c r="QYI43" s="10"/>
      <c r="QYJ43" s="10"/>
      <c r="QYK43" s="10"/>
      <c r="QYL43" s="10"/>
      <c r="QYM43" s="10"/>
      <c r="QYN43" s="10"/>
      <c r="QYO43" s="10"/>
      <c r="QYP43" s="10"/>
      <c r="QYQ43" s="10"/>
      <c r="QYR43" s="10"/>
      <c r="QYS43" s="10"/>
      <c r="QYT43" s="10"/>
      <c r="QYU43" s="10"/>
      <c r="QYV43" s="10"/>
      <c r="QYW43" s="10"/>
      <c r="QYX43" s="10"/>
      <c r="QYY43" s="10"/>
      <c r="QYZ43" s="10"/>
      <c r="QZA43" s="10"/>
      <c r="QZB43" s="10"/>
      <c r="QZC43" s="10"/>
      <c r="QZD43" s="10"/>
      <c r="QZE43" s="10"/>
      <c r="QZF43" s="10"/>
      <c r="QZG43" s="10"/>
      <c r="QZH43" s="10"/>
      <c r="QZI43" s="10"/>
      <c r="QZJ43" s="10"/>
      <c r="QZK43" s="10"/>
      <c r="QZL43" s="10"/>
      <c r="QZM43" s="10"/>
      <c r="QZN43" s="10"/>
      <c r="QZO43" s="10"/>
      <c r="QZP43" s="10"/>
      <c r="QZQ43" s="10"/>
      <c r="QZR43" s="10"/>
      <c r="QZS43" s="10"/>
      <c r="QZT43" s="10"/>
      <c r="QZU43" s="10"/>
      <c r="QZV43" s="10"/>
      <c r="QZW43" s="10"/>
      <c r="QZX43" s="10"/>
      <c r="QZY43" s="10"/>
      <c r="QZZ43" s="10"/>
      <c r="RAA43" s="10"/>
      <c r="RAB43" s="10"/>
      <c r="RAC43" s="10"/>
      <c r="RAD43" s="10"/>
      <c r="RAE43" s="10"/>
      <c r="RAF43" s="10"/>
      <c r="RAG43" s="10"/>
      <c r="RAH43" s="10"/>
      <c r="RAI43" s="10"/>
      <c r="RAJ43" s="10"/>
      <c r="RAK43" s="10"/>
      <c r="RAL43" s="10"/>
      <c r="RAM43" s="10"/>
      <c r="RAN43" s="10"/>
      <c r="RAO43" s="10"/>
      <c r="RAP43" s="10"/>
      <c r="RAQ43" s="10"/>
      <c r="RAR43" s="10"/>
      <c r="RAS43" s="10"/>
      <c r="RAT43" s="10"/>
      <c r="RAU43" s="10"/>
      <c r="RAV43" s="10"/>
      <c r="RAW43" s="10"/>
      <c r="RAX43" s="10"/>
      <c r="RAY43" s="10"/>
      <c r="RAZ43" s="10"/>
      <c r="RBA43" s="10"/>
      <c r="RBB43" s="10"/>
      <c r="RBC43" s="10"/>
      <c r="RBD43" s="10"/>
      <c r="RBE43" s="10"/>
      <c r="RBF43" s="10"/>
      <c r="RBG43" s="10"/>
      <c r="RBH43" s="10"/>
      <c r="RBI43" s="10"/>
      <c r="RBJ43" s="10"/>
      <c r="RBK43" s="10"/>
      <c r="RBL43" s="10"/>
      <c r="RBM43" s="10"/>
      <c r="RBN43" s="10"/>
      <c r="RBO43" s="10"/>
      <c r="RBP43" s="10"/>
      <c r="RBQ43" s="10"/>
      <c r="RBR43" s="10"/>
      <c r="RBS43" s="10"/>
      <c r="RBT43" s="10"/>
      <c r="RBU43" s="10"/>
      <c r="RBV43" s="10"/>
      <c r="RBW43" s="10"/>
      <c r="RBX43" s="10"/>
      <c r="RBY43" s="10"/>
      <c r="RBZ43" s="10"/>
      <c r="RCA43" s="10"/>
      <c r="RCB43" s="10"/>
      <c r="RCC43" s="10"/>
      <c r="RCD43" s="10"/>
      <c r="RCE43" s="10"/>
      <c r="RCF43" s="10"/>
      <c r="RCG43" s="10"/>
      <c r="RCH43" s="10"/>
      <c r="RCI43" s="10"/>
      <c r="RCJ43" s="10"/>
      <c r="RCK43" s="10"/>
      <c r="RCL43" s="10"/>
      <c r="RCM43" s="10"/>
      <c r="RCN43" s="10"/>
      <c r="RCO43" s="10"/>
      <c r="RCP43" s="10"/>
      <c r="RCQ43" s="10"/>
      <c r="RCR43" s="10"/>
      <c r="RCS43" s="10"/>
      <c r="RCT43" s="10"/>
      <c r="RCU43" s="10"/>
      <c r="RCV43" s="10"/>
      <c r="RCW43" s="10"/>
      <c r="RCX43" s="10"/>
      <c r="RCY43" s="10"/>
      <c r="RCZ43" s="10"/>
      <c r="RDA43" s="10"/>
      <c r="RDB43" s="10"/>
      <c r="RDC43" s="10"/>
      <c r="RDD43" s="10"/>
      <c r="RDE43" s="10"/>
      <c r="RDF43" s="10"/>
      <c r="RDG43" s="10"/>
      <c r="RDH43" s="10"/>
      <c r="RDI43" s="10"/>
      <c r="RDJ43" s="10"/>
      <c r="RDK43" s="10"/>
      <c r="RDL43" s="10"/>
      <c r="RDM43" s="10"/>
      <c r="RDN43" s="10"/>
      <c r="RDO43" s="10"/>
      <c r="RDP43" s="10"/>
      <c r="RDQ43" s="10"/>
      <c r="RDR43" s="10"/>
      <c r="RDS43" s="10"/>
      <c r="RDT43" s="10"/>
      <c r="RDU43" s="10"/>
      <c r="RDV43" s="10"/>
      <c r="RDW43" s="10"/>
      <c r="RDX43" s="10"/>
      <c r="RDY43" s="10"/>
      <c r="RDZ43" s="10"/>
      <c r="REA43" s="10"/>
      <c r="REB43" s="10"/>
      <c r="REC43" s="10"/>
      <c r="RED43" s="10"/>
      <c r="REE43" s="10"/>
      <c r="REF43" s="10"/>
      <c r="REG43" s="10"/>
      <c r="REH43" s="10"/>
      <c r="REI43" s="10"/>
      <c r="REJ43" s="10"/>
      <c r="REK43" s="10"/>
      <c r="REL43" s="10"/>
      <c r="REM43" s="10"/>
      <c r="REN43" s="10"/>
      <c r="REO43" s="10"/>
      <c r="REP43" s="10"/>
      <c r="REQ43" s="10"/>
      <c r="RER43" s="10"/>
      <c r="RES43" s="10"/>
      <c r="RET43" s="10"/>
      <c r="REU43" s="10"/>
      <c r="REV43" s="10"/>
      <c r="REW43" s="10"/>
      <c r="REX43" s="10"/>
      <c r="REY43" s="10"/>
      <c r="REZ43" s="10"/>
      <c r="RFA43" s="10"/>
      <c r="RFB43" s="10"/>
      <c r="RFC43" s="10"/>
      <c r="RFD43" s="10"/>
      <c r="RFE43" s="10"/>
      <c r="RFF43" s="10"/>
      <c r="RFG43" s="10"/>
      <c r="RFH43" s="10"/>
      <c r="RFI43" s="10"/>
      <c r="RFJ43" s="10"/>
      <c r="RFK43" s="10"/>
      <c r="RFL43" s="10"/>
      <c r="RFM43" s="10"/>
      <c r="RFN43" s="10"/>
      <c r="RFO43" s="10"/>
      <c r="RFP43" s="10"/>
      <c r="RFQ43" s="10"/>
      <c r="RFR43" s="10"/>
      <c r="RFS43" s="10"/>
      <c r="RFT43" s="10"/>
      <c r="RFU43" s="10"/>
      <c r="RFV43" s="10"/>
      <c r="RFW43" s="10"/>
      <c r="RFX43" s="10"/>
      <c r="RFY43" s="10"/>
      <c r="RFZ43" s="10"/>
      <c r="RGA43" s="10"/>
      <c r="RGB43" s="10"/>
      <c r="RGC43" s="10"/>
      <c r="RGD43" s="10"/>
      <c r="RGE43" s="10"/>
      <c r="RGF43" s="10"/>
      <c r="RGG43" s="10"/>
      <c r="RGH43" s="10"/>
      <c r="RGI43" s="10"/>
      <c r="RGJ43" s="10"/>
      <c r="RGK43" s="10"/>
      <c r="RGL43" s="10"/>
      <c r="RGM43" s="10"/>
      <c r="RGN43" s="10"/>
      <c r="RGO43" s="10"/>
      <c r="RGP43" s="10"/>
      <c r="RGQ43" s="10"/>
      <c r="RGR43" s="10"/>
      <c r="RGS43" s="10"/>
      <c r="RGT43" s="10"/>
      <c r="RGU43" s="10"/>
      <c r="RGV43" s="10"/>
      <c r="RGW43" s="10"/>
      <c r="RGX43" s="10"/>
      <c r="RGY43" s="10"/>
      <c r="RGZ43" s="10"/>
      <c r="RHA43" s="10"/>
      <c r="RHB43" s="10"/>
      <c r="RHC43" s="10"/>
      <c r="RHD43" s="10"/>
      <c r="RHE43" s="10"/>
      <c r="RHF43" s="10"/>
      <c r="RHG43" s="10"/>
      <c r="RHH43" s="10"/>
      <c r="RHI43" s="10"/>
      <c r="RHJ43" s="10"/>
      <c r="RHK43" s="10"/>
      <c r="RHL43" s="10"/>
      <c r="RHM43" s="10"/>
      <c r="RHN43" s="10"/>
      <c r="RHO43" s="10"/>
      <c r="RHP43" s="10"/>
      <c r="RHQ43" s="10"/>
      <c r="RHR43" s="10"/>
      <c r="RHS43" s="10"/>
      <c r="RHT43" s="10"/>
      <c r="RHU43" s="10"/>
      <c r="RHV43" s="10"/>
      <c r="RHW43" s="10"/>
      <c r="RHX43" s="10"/>
      <c r="RHY43" s="10"/>
      <c r="RHZ43" s="10"/>
      <c r="RIA43" s="10"/>
      <c r="RIB43" s="10"/>
      <c r="RIC43" s="10"/>
      <c r="RID43" s="10"/>
      <c r="RIE43" s="10"/>
      <c r="RIF43" s="10"/>
      <c r="RIG43" s="10"/>
      <c r="RIH43" s="10"/>
      <c r="RII43" s="10"/>
      <c r="RIJ43" s="10"/>
      <c r="RIK43" s="10"/>
      <c r="RIL43" s="10"/>
      <c r="RIM43" s="10"/>
      <c r="RIN43" s="10"/>
      <c r="RIO43" s="10"/>
      <c r="RIP43" s="10"/>
      <c r="RIQ43" s="10"/>
      <c r="RIR43" s="10"/>
      <c r="RIS43" s="10"/>
      <c r="RIT43" s="10"/>
      <c r="RIU43" s="10"/>
      <c r="RIV43" s="10"/>
      <c r="RIW43" s="10"/>
      <c r="RIX43" s="10"/>
      <c r="RIY43" s="10"/>
      <c r="RIZ43" s="10"/>
      <c r="RJA43" s="10"/>
      <c r="RJB43" s="10"/>
      <c r="RJC43" s="10"/>
      <c r="RJD43" s="10"/>
      <c r="RJE43" s="10"/>
      <c r="RJF43" s="10"/>
      <c r="RJG43" s="10"/>
      <c r="RJH43" s="10"/>
      <c r="RJI43" s="10"/>
      <c r="RJJ43" s="10"/>
      <c r="RJK43" s="10"/>
      <c r="RJL43" s="10"/>
      <c r="RJM43" s="10"/>
      <c r="RJN43" s="10"/>
      <c r="RJO43" s="10"/>
      <c r="RJP43" s="10"/>
      <c r="RJQ43" s="10"/>
      <c r="RJR43" s="10"/>
      <c r="RJS43" s="10"/>
      <c r="RJT43" s="10"/>
      <c r="RJU43" s="10"/>
      <c r="RJV43" s="10"/>
      <c r="RJW43" s="10"/>
      <c r="RJX43" s="10"/>
      <c r="RJY43" s="10"/>
      <c r="RJZ43" s="10"/>
      <c r="RKA43" s="10"/>
      <c r="RKB43" s="10"/>
      <c r="RKC43" s="10"/>
      <c r="RKD43" s="10"/>
      <c r="RKE43" s="10"/>
      <c r="RKF43" s="10"/>
      <c r="RKG43" s="10"/>
      <c r="RKH43" s="10"/>
      <c r="RKI43" s="10"/>
      <c r="RKJ43" s="10"/>
      <c r="RKK43" s="10"/>
      <c r="RKL43" s="10"/>
      <c r="RKM43" s="10"/>
      <c r="RKN43" s="10"/>
      <c r="RKO43" s="10"/>
      <c r="RKP43" s="10"/>
      <c r="RKQ43" s="10"/>
      <c r="RKR43" s="10"/>
      <c r="RKS43" s="10"/>
      <c r="RKT43" s="10"/>
      <c r="RKU43" s="10"/>
      <c r="RKV43" s="10"/>
      <c r="RKW43" s="10"/>
      <c r="RKX43" s="10"/>
      <c r="RKY43" s="10"/>
      <c r="RKZ43" s="10"/>
      <c r="RLA43" s="10"/>
      <c r="RLB43" s="10"/>
      <c r="RLC43" s="10"/>
      <c r="RLD43" s="10"/>
      <c r="RLE43" s="10"/>
      <c r="RLF43" s="10"/>
      <c r="RLG43" s="10"/>
      <c r="RLH43" s="10"/>
      <c r="RLI43" s="10"/>
      <c r="RLJ43" s="10"/>
      <c r="RLK43" s="10"/>
      <c r="RLL43" s="10"/>
      <c r="RLM43" s="10"/>
      <c r="RLN43" s="10"/>
      <c r="RLO43" s="10"/>
      <c r="RLP43" s="10"/>
      <c r="RLQ43" s="10"/>
      <c r="RLR43" s="10"/>
      <c r="RLS43" s="10"/>
      <c r="RLT43" s="10"/>
      <c r="RLU43" s="10"/>
      <c r="RLV43" s="10"/>
      <c r="RLW43" s="10"/>
      <c r="RLX43" s="10"/>
      <c r="RLY43" s="10"/>
      <c r="RLZ43" s="10"/>
      <c r="RMA43" s="10"/>
      <c r="RMB43" s="10"/>
      <c r="RMC43" s="10"/>
      <c r="RMD43" s="10"/>
      <c r="RME43" s="10"/>
      <c r="RMF43" s="10"/>
      <c r="RMG43" s="10"/>
      <c r="RMH43" s="10"/>
      <c r="RMI43" s="10"/>
      <c r="RMJ43" s="10"/>
      <c r="RMK43" s="10"/>
      <c r="RML43" s="10"/>
      <c r="RMM43" s="10"/>
      <c r="RMN43" s="10"/>
      <c r="RMO43" s="10"/>
      <c r="RMP43" s="10"/>
      <c r="RMQ43" s="10"/>
      <c r="RMR43" s="10"/>
      <c r="RMS43" s="10"/>
      <c r="RMT43" s="10"/>
      <c r="RMU43" s="10"/>
      <c r="RMV43" s="10"/>
      <c r="RMW43" s="10"/>
      <c r="RMX43" s="10"/>
      <c r="RMY43" s="10"/>
      <c r="RMZ43" s="10"/>
      <c r="RNA43" s="10"/>
      <c r="RNB43" s="10"/>
      <c r="RNC43" s="10"/>
      <c r="RND43" s="10"/>
      <c r="RNE43" s="10"/>
      <c r="RNF43" s="10"/>
      <c r="RNG43" s="10"/>
      <c r="RNH43" s="10"/>
      <c r="RNI43" s="10"/>
      <c r="RNJ43" s="10"/>
      <c r="RNK43" s="10"/>
      <c r="RNL43" s="10"/>
      <c r="RNM43" s="10"/>
      <c r="RNN43" s="10"/>
      <c r="RNO43" s="10"/>
      <c r="RNP43" s="10"/>
      <c r="RNQ43" s="10"/>
      <c r="RNR43" s="10"/>
      <c r="RNS43" s="10"/>
      <c r="RNT43" s="10"/>
      <c r="RNU43" s="10"/>
      <c r="RNV43" s="10"/>
      <c r="RNW43" s="10"/>
      <c r="RNX43" s="10"/>
      <c r="RNY43" s="10"/>
      <c r="RNZ43" s="10"/>
      <c r="ROA43" s="10"/>
      <c r="ROB43" s="10"/>
      <c r="ROC43" s="10"/>
      <c r="ROD43" s="10"/>
      <c r="ROE43" s="10"/>
      <c r="ROF43" s="10"/>
      <c r="ROG43" s="10"/>
      <c r="ROH43" s="10"/>
      <c r="ROI43" s="10"/>
      <c r="ROJ43" s="10"/>
      <c r="ROK43" s="10"/>
      <c r="ROL43" s="10"/>
      <c r="ROM43" s="10"/>
      <c r="RON43" s="10"/>
      <c r="ROO43" s="10"/>
      <c r="ROP43" s="10"/>
      <c r="ROQ43" s="10"/>
      <c r="ROR43" s="10"/>
      <c r="ROS43" s="10"/>
      <c r="ROT43" s="10"/>
      <c r="ROU43" s="10"/>
      <c r="ROV43" s="10"/>
      <c r="ROW43" s="10"/>
      <c r="ROX43" s="10"/>
      <c r="ROY43" s="10"/>
      <c r="ROZ43" s="10"/>
      <c r="RPA43" s="10"/>
      <c r="RPB43" s="10"/>
      <c r="RPC43" s="10"/>
      <c r="RPD43" s="10"/>
      <c r="RPE43" s="10"/>
      <c r="RPF43" s="10"/>
      <c r="RPG43" s="10"/>
      <c r="RPH43" s="10"/>
      <c r="RPI43" s="10"/>
      <c r="RPJ43" s="10"/>
      <c r="RPK43" s="10"/>
      <c r="RPL43" s="10"/>
      <c r="RPM43" s="10"/>
      <c r="RPN43" s="10"/>
      <c r="RPO43" s="10"/>
      <c r="RPP43" s="10"/>
      <c r="RPQ43" s="10"/>
      <c r="RPR43" s="10"/>
      <c r="RPS43" s="10"/>
      <c r="RPT43" s="10"/>
      <c r="RPU43" s="10"/>
      <c r="RPV43" s="10"/>
      <c r="RPW43" s="10"/>
      <c r="RPX43" s="10"/>
      <c r="RPY43" s="10"/>
      <c r="RPZ43" s="10"/>
      <c r="RQA43" s="10"/>
      <c r="RQB43" s="10"/>
      <c r="RQC43" s="10"/>
      <c r="RQD43" s="10"/>
      <c r="RQE43" s="10"/>
      <c r="RQF43" s="10"/>
      <c r="RQG43" s="10"/>
      <c r="RQH43" s="10"/>
      <c r="RQI43" s="10"/>
      <c r="RQJ43" s="10"/>
      <c r="RQK43" s="10"/>
      <c r="RQL43" s="10"/>
      <c r="RQM43" s="10"/>
      <c r="RQN43" s="10"/>
      <c r="RQO43" s="10"/>
      <c r="RQP43" s="10"/>
      <c r="RQQ43" s="10"/>
      <c r="RQR43" s="10"/>
      <c r="RQS43" s="10"/>
      <c r="RQT43" s="10"/>
      <c r="RQU43" s="10"/>
      <c r="RQV43" s="10"/>
      <c r="RQW43" s="10"/>
      <c r="RQX43" s="10"/>
      <c r="RQY43" s="10"/>
      <c r="RQZ43" s="10"/>
      <c r="RRA43" s="10"/>
      <c r="RRB43" s="10"/>
      <c r="RRC43" s="10"/>
      <c r="RRD43" s="10"/>
      <c r="RRE43" s="10"/>
      <c r="RRF43" s="10"/>
      <c r="RRG43" s="10"/>
      <c r="RRH43" s="10"/>
      <c r="RRI43" s="10"/>
      <c r="RRJ43" s="10"/>
      <c r="RRK43" s="10"/>
      <c r="RRL43" s="10"/>
      <c r="RRM43" s="10"/>
      <c r="RRN43" s="10"/>
      <c r="RRO43" s="10"/>
      <c r="RRP43" s="10"/>
      <c r="RRQ43" s="10"/>
      <c r="RRR43" s="10"/>
      <c r="RRS43" s="10"/>
      <c r="RRT43" s="10"/>
      <c r="RRU43" s="10"/>
      <c r="RRV43" s="10"/>
      <c r="RRW43" s="10"/>
      <c r="RRX43" s="10"/>
      <c r="RRY43" s="10"/>
      <c r="RRZ43" s="10"/>
      <c r="RSA43" s="10"/>
      <c r="RSB43" s="10"/>
      <c r="RSC43" s="10"/>
      <c r="RSD43" s="10"/>
      <c r="RSE43" s="10"/>
      <c r="RSF43" s="10"/>
      <c r="RSG43" s="10"/>
      <c r="RSH43" s="10"/>
      <c r="RSI43" s="10"/>
      <c r="RSJ43" s="10"/>
      <c r="RSK43" s="10"/>
      <c r="RSL43" s="10"/>
      <c r="RSM43" s="10"/>
      <c r="RSN43" s="10"/>
      <c r="RSO43" s="10"/>
      <c r="RSP43" s="10"/>
      <c r="RSQ43" s="10"/>
      <c r="RSR43" s="10"/>
      <c r="RSS43" s="10"/>
      <c r="RST43" s="10"/>
      <c r="RSU43" s="10"/>
      <c r="RSV43" s="10"/>
      <c r="RSW43" s="10"/>
      <c r="RSX43" s="10"/>
      <c r="RSY43" s="10"/>
      <c r="RSZ43" s="10"/>
      <c r="RTA43" s="10"/>
      <c r="RTB43" s="10"/>
      <c r="RTC43" s="10"/>
      <c r="RTD43" s="10"/>
      <c r="RTE43" s="10"/>
      <c r="RTF43" s="10"/>
      <c r="RTG43" s="10"/>
      <c r="RTH43" s="10"/>
      <c r="RTI43" s="10"/>
      <c r="RTJ43" s="10"/>
      <c r="RTK43" s="10"/>
      <c r="RTL43" s="10"/>
      <c r="RTM43" s="10"/>
      <c r="RTN43" s="10"/>
      <c r="RTO43" s="10"/>
      <c r="RTP43" s="10"/>
      <c r="RTQ43" s="10"/>
      <c r="RTR43" s="10"/>
      <c r="RTS43" s="10"/>
      <c r="RTT43" s="10"/>
      <c r="RTU43" s="10"/>
      <c r="RTV43" s="10"/>
      <c r="RTW43" s="10"/>
      <c r="RTX43" s="10"/>
      <c r="RTY43" s="10"/>
      <c r="RTZ43" s="10"/>
      <c r="RUA43" s="10"/>
      <c r="RUB43" s="10"/>
      <c r="RUC43" s="10"/>
      <c r="RUD43" s="10"/>
      <c r="RUE43" s="10"/>
      <c r="RUF43" s="10"/>
      <c r="RUG43" s="10"/>
      <c r="RUH43" s="10"/>
      <c r="RUI43" s="10"/>
      <c r="RUJ43" s="10"/>
      <c r="RUK43" s="10"/>
      <c r="RUL43" s="10"/>
      <c r="RUM43" s="10"/>
      <c r="RUN43" s="10"/>
      <c r="RUO43" s="10"/>
      <c r="RUP43" s="10"/>
      <c r="RUQ43" s="10"/>
      <c r="RUR43" s="10"/>
      <c r="RUS43" s="10"/>
      <c r="RUT43" s="10"/>
      <c r="RUU43" s="10"/>
      <c r="RUV43" s="10"/>
      <c r="RUW43" s="10"/>
      <c r="RUX43" s="10"/>
      <c r="RUY43" s="10"/>
      <c r="RUZ43" s="10"/>
      <c r="RVA43" s="10"/>
      <c r="RVB43" s="10"/>
      <c r="RVC43" s="10"/>
      <c r="RVD43" s="10"/>
      <c r="RVE43" s="10"/>
      <c r="RVF43" s="10"/>
      <c r="RVG43" s="10"/>
      <c r="RVH43" s="10"/>
      <c r="RVI43" s="10"/>
      <c r="RVJ43" s="10"/>
      <c r="RVK43" s="10"/>
      <c r="RVL43" s="10"/>
      <c r="RVM43" s="10"/>
      <c r="RVN43" s="10"/>
      <c r="RVO43" s="10"/>
      <c r="RVP43" s="10"/>
      <c r="RVQ43" s="10"/>
      <c r="RVR43" s="10"/>
      <c r="RVS43" s="10"/>
      <c r="RVT43" s="10"/>
      <c r="RVU43" s="10"/>
      <c r="RVV43" s="10"/>
      <c r="RVW43" s="10"/>
      <c r="RVX43" s="10"/>
      <c r="RVY43" s="10"/>
      <c r="RVZ43" s="10"/>
      <c r="RWA43" s="10"/>
      <c r="RWB43" s="10"/>
      <c r="RWC43" s="10"/>
      <c r="RWD43" s="10"/>
      <c r="RWE43" s="10"/>
      <c r="RWF43" s="10"/>
      <c r="RWG43" s="10"/>
      <c r="RWH43" s="10"/>
      <c r="RWI43" s="10"/>
      <c r="RWJ43" s="10"/>
      <c r="RWK43" s="10"/>
      <c r="RWL43" s="10"/>
      <c r="RWM43" s="10"/>
      <c r="RWN43" s="10"/>
      <c r="RWO43" s="10"/>
      <c r="RWP43" s="10"/>
      <c r="RWQ43" s="10"/>
      <c r="RWR43" s="10"/>
      <c r="RWS43" s="10"/>
      <c r="RWT43" s="10"/>
      <c r="RWU43" s="10"/>
      <c r="RWV43" s="10"/>
      <c r="RWW43" s="10"/>
      <c r="RWX43" s="10"/>
      <c r="RWY43" s="10"/>
      <c r="RWZ43" s="10"/>
      <c r="RXA43" s="10"/>
      <c r="RXB43" s="10"/>
      <c r="RXC43" s="10"/>
      <c r="RXD43" s="10"/>
      <c r="RXE43" s="10"/>
      <c r="RXF43" s="10"/>
      <c r="RXG43" s="10"/>
      <c r="RXH43" s="10"/>
      <c r="RXI43" s="10"/>
      <c r="RXJ43" s="10"/>
      <c r="RXK43" s="10"/>
      <c r="RXL43" s="10"/>
      <c r="RXM43" s="10"/>
      <c r="RXN43" s="10"/>
      <c r="RXO43" s="10"/>
      <c r="RXP43" s="10"/>
      <c r="RXQ43" s="10"/>
      <c r="RXR43" s="10"/>
      <c r="RXS43" s="10"/>
      <c r="RXT43" s="10"/>
      <c r="RXU43" s="10"/>
      <c r="RXV43" s="10"/>
      <c r="RXW43" s="10"/>
      <c r="RXX43" s="10"/>
      <c r="RXY43" s="10"/>
      <c r="RXZ43" s="10"/>
      <c r="RYA43" s="10"/>
      <c r="RYB43" s="10"/>
      <c r="RYC43" s="10"/>
      <c r="RYD43" s="10"/>
      <c r="RYE43" s="10"/>
      <c r="RYF43" s="10"/>
      <c r="RYG43" s="10"/>
      <c r="RYH43" s="10"/>
      <c r="RYI43" s="10"/>
      <c r="RYJ43" s="10"/>
      <c r="RYK43" s="10"/>
      <c r="RYL43" s="10"/>
      <c r="RYM43" s="10"/>
      <c r="RYN43" s="10"/>
      <c r="RYO43" s="10"/>
      <c r="RYP43" s="10"/>
      <c r="RYQ43" s="10"/>
      <c r="RYR43" s="10"/>
      <c r="RYS43" s="10"/>
      <c r="RYT43" s="10"/>
      <c r="RYU43" s="10"/>
      <c r="RYV43" s="10"/>
      <c r="RYW43" s="10"/>
      <c r="RYX43" s="10"/>
      <c r="RYY43" s="10"/>
      <c r="RYZ43" s="10"/>
      <c r="RZA43" s="10"/>
      <c r="RZB43" s="10"/>
      <c r="RZC43" s="10"/>
      <c r="RZD43" s="10"/>
      <c r="RZE43" s="10"/>
      <c r="RZF43" s="10"/>
      <c r="RZG43" s="10"/>
      <c r="RZH43" s="10"/>
      <c r="RZI43" s="10"/>
      <c r="RZJ43" s="10"/>
      <c r="RZK43" s="10"/>
      <c r="RZL43" s="10"/>
      <c r="RZM43" s="10"/>
      <c r="RZN43" s="10"/>
      <c r="RZO43" s="10"/>
      <c r="RZP43" s="10"/>
      <c r="RZQ43" s="10"/>
      <c r="RZR43" s="10"/>
      <c r="RZS43" s="10"/>
      <c r="RZT43" s="10"/>
      <c r="RZU43" s="10"/>
      <c r="RZV43" s="10"/>
      <c r="RZW43" s="10"/>
      <c r="RZX43" s="10"/>
      <c r="RZY43" s="10"/>
      <c r="RZZ43" s="10"/>
      <c r="SAA43" s="10"/>
      <c r="SAB43" s="10"/>
      <c r="SAC43" s="10"/>
      <c r="SAD43" s="10"/>
      <c r="SAE43" s="10"/>
      <c r="SAF43" s="10"/>
      <c r="SAG43" s="10"/>
      <c r="SAH43" s="10"/>
      <c r="SAI43" s="10"/>
      <c r="SAJ43" s="10"/>
      <c r="SAK43" s="10"/>
      <c r="SAL43" s="10"/>
      <c r="SAM43" s="10"/>
      <c r="SAN43" s="10"/>
      <c r="SAO43" s="10"/>
      <c r="SAP43" s="10"/>
      <c r="SAQ43" s="10"/>
      <c r="SAR43" s="10"/>
      <c r="SAS43" s="10"/>
      <c r="SAT43" s="10"/>
      <c r="SAU43" s="10"/>
      <c r="SAV43" s="10"/>
      <c r="SAW43" s="10"/>
      <c r="SAX43" s="10"/>
      <c r="SAY43" s="10"/>
      <c r="SAZ43" s="10"/>
      <c r="SBA43" s="10"/>
      <c r="SBB43" s="10"/>
      <c r="SBC43" s="10"/>
      <c r="SBD43" s="10"/>
      <c r="SBE43" s="10"/>
      <c r="SBF43" s="10"/>
      <c r="SBG43" s="10"/>
      <c r="SBH43" s="10"/>
      <c r="SBI43" s="10"/>
      <c r="SBJ43" s="10"/>
      <c r="SBK43" s="10"/>
      <c r="SBL43" s="10"/>
      <c r="SBM43" s="10"/>
      <c r="SBN43" s="10"/>
      <c r="SBO43" s="10"/>
      <c r="SBP43" s="10"/>
      <c r="SBQ43" s="10"/>
      <c r="SBR43" s="10"/>
      <c r="SBS43" s="10"/>
      <c r="SBT43" s="10"/>
      <c r="SBU43" s="10"/>
      <c r="SBV43" s="10"/>
      <c r="SBW43" s="10"/>
      <c r="SBX43" s="10"/>
      <c r="SBY43" s="10"/>
      <c r="SBZ43" s="10"/>
      <c r="SCA43" s="10"/>
      <c r="SCB43" s="10"/>
      <c r="SCC43" s="10"/>
      <c r="SCD43" s="10"/>
      <c r="SCE43" s="10"/>
      <c r="SCF43" s="10"/>
      <c r="SCG43" s="10"/>
      <c r="SCH43" s="10"/>
      <c r="SCI43" s="10"/>
      <c r="SCJ43" s="10"/>
      <c r="SCK43" s="10"/>
      <c r="SCL43" s="10"/>
      <c r="SCM43" s="10"/>
      <c r="SCN43" s="10"/>
      <c r="SCO43" s="10"/>
      <c r="SCP43" s="10"/>
      <c r="SCQ43" s="10"/>
      <c r="SCR43" s="10"/>
      <c r="SCS43" s="10"/>
      <c r="SCT43" s="10"/>
      <c r="SCU43" s="10"/>
      <c r="SCV43" s="10"/>
      <c r="SCW43" s="10"/>
      <c r="SCX43" s="10"/>
      <c r="SCY43" s="10"/>
      <c r="SCZ43" s="10"/>
      <c r="SDA43" s="10"/>
      <c r="SDB43" s="10"/>
      <c r="SDC43" s="10"/>
      <c r="SDD43" s="10"/>
      <c r="SDE43" s="10"/>
      <c r="SDF43" s="10"/>
      <c r="SDG43" s="10"/>
      <c r="SDH43" s="10"/>
      <c r="SDI43" s="10"/>
      <c r="SDJ43" s="10"/>
      <c r="SDK43" s="10"/>
      <c r="SDL43" s="10"/>
      <c r="SDM43" s="10"/>
      <c r="SDN43" s="10"/>
      <c r="SDO43" s="10"/>
      <c r="SDP43" s="10"/>
      <c r="SDQ43" s="10"/>
      <c r="SDR43" s="10"/>
      <c r="SDS43" s="10"/>
      <c r="SDT43" s="10"/>
      <c r="SDU43" s="10"/>
      <c r="SDV43" s="10"/>
      <c r="SDW43" s="10"/>
      <c r="SDX43" s="10"/>
      <c r="SDY43" s="10"/>
      <c r="SDZ43" s="10"/>
      <c r="SEA43" s="10"/>
      <c r="SEB43" s="10"/>
      <c r="SEC43" s="10"/>
      <c r="SED43" s="10"/>
      <c r="SEE43" s="10"/>
      <c r="SEF43" s="10"/>
      <c r="SEG43" s="10"/>
      <c r="SEH43" s="10"/>
      <c r="SEI43" s="10"/>
      <c r="SEJ43" s="10"/>
      <c r="SEK43" s="10"/>
      <c r="SEL43" s="10"/>
      <c r="SEM43" s="10"/>
      <c r="SEN43" s="10"/>
      <c r="SEO43" s="10"/>
      <c r="SEP43" s="10"/>
      <c r="SEQ43" s="10"/>
      <c r="SER43" s="10"/>
      <c r="SES43" s="10"/>
      <c r="SET43" s="10"/>
      <c r="SEU43" s="10"/>
      <c r="SEV43" s="10"/>
      <c r="SEW43" s="10"/>
      <c r="SEX43" s="10"/>
      <c r="SEY43" s="10"/>
      <c r="SEZ43" s="10"/>
      <c r="SFA43" s="10"/>
      <c r="SFB43" s="10"/>
      <c r="SFC43" s="10"/>
      <c r="SFD43" s="10"/>
      <c r="SFE43" s="10"/>
      <c r="SFF43" s="10"/>
      <c r="SFG43" s="10"/>
      <c r="SFH43" s="10"/>
      <c r="SFI43" s="10"/>
      <c r="SFJ43" s="10"/>
      <c r="SFK43" s="10"/>
      <c r="SFL43" s="10"/>
      <c r="SFM43" s="10"/>
      <c r="SFN43" s="10"/>
      <c r="SFO43" s="10"/>
      <c r="SFP43" s="10"/>
      <c r="SFQ43" s="10"/>
      <c r="SFR43" s="10"/>
      <c r="SFS43" s="10"/>
      <c r="SFT43" s="10"/>
      <c r="SFU43" s="10"/>
      <c r="SFV43" s="10"/>
      <c r="SFW43" s="10"/>
      <c r="SFX43" s="10"/>
      <c r="SFY43" s="10"/>
      <c r="SFZ43" s="10"/>
      <c r="SGA43" s="10"/>
      <c r="SGB43" s="10"/>
      <c r="SGC43" s="10"/>
      <c r="SGD43" s="10"/>
      <c r="SGE43" s="10"/>
      <c r="SGF43" s="10"/>
      <c r="SGG43" s="10"/>
      <c r="SGH43" s="10"/>
      <c r="SGI43" s="10"/>
      <c r="SGJ43" s="10"/>
      <c r="SGK43" s="10"/>
      <c r="SGL43" s="10"/>
      <c r="SGM43" s="10"/>
      <c r="SGN43" s="10"/>
      <c r="SGO43" s="10"/>
      <c r="SGP43" s="10"/>
      <c r="SGQ43" s="10"/>
      <c r="SGR43" s="10"/>
      <c r="SGS43" s="10"/>
      <c r="SGT43" s="10"/>
      <c r="SGU43" s="10"/>
      <c r="SGV43" s="10"/>
      <c r="SGW43" s="10"/>
      <c r="SGX43" s="10"/>
      <c r="SGY43" s="10"/>
      <c r="SGZ43" s="10"/>
      <c r="SHA43" s="10"/>
      <c r="SHB43" s="10"/>
      <c r="SHC43" s="10"/>
      <c r="SHD43" s="10"/>
      <c r="SHE43" s="10"/>
      <c r="SHF43" s="10"/>
      <c r="SHG43" s="10"/>
      <c r="SHH43" s="10"/>
      <c r="SHI43" s="10"/>
      <c r="SHJ43" s="10"/>
      <c r="SHK43" s="10"/>
      <c r="SHL43" s="10"/>
      <c r="SHM43" s="10"/>
      <c r="SHN43" s="10"/>
      <c r="SHO43" s="10"/>
      <c r="SHP43" s="10"/>
      <c r="SHQ43" s="10"/>
      <c r="SHR43" s="10"/>
      <c r="SHS43" s="10"/>
      <c r="SHT43" s="10"/>
      <c r="SHU43" s="10"/>
      <c r="SHV43" s="10"/>
      <c r="SHW43" s="10"/>
      <c r="SHX43" s="10"/>
      <c r="SHY43" s="10"/>
      <c r="SHZ43" s="10"/>
      <c r="SIA43" s="10"/>
      <c r="SIB43" s="10"/>
      <c r="SIC43" s="10"/>
      <c r="SID43" s="10"/>
      <c r="SIE43" s="10"/>
      <c r="SIF43" s="10"/>
      <c r="SIG43" s="10"/>
      <c r="SIH43" s="10"/>
      <c r="SII43" s="10"/>
      <c r="SIJ43" s="10"/>
      <c r="SIK43" s="10"/>
      <c r="SIL43" s="10"/>
      <c r="SIM43" s="10"/>
      <c r="SIN43" s="10"/>
      <c r="SIO43" s="10"/>
      <c r="SIP43" s="10"/>
      <c r="SIQ43" s="10"/>
      <c r="SIR43" s="10"/>
      <c r="SIS43" s="10"/>
      <c r="SIT43" s="10"/>
      <c r="SIU43" s="10"/>
      <c r="SIV43" s="10"/>
      <c r="SIW43" s="10"/>
      <c r="SIX43" s="10"/>
      <c r="SIY43" s="10"/>
      <c r="SIZ43" s="10"/>
      <c r="SJA43" s="10"/>
      <c r="SJB43" s="10"/>
      <c r="SJC43" s="10"/>
      <c r="SJD43" s="10"/>
      <c r="SJE43" s="10"/>
      <c r="SJF43" s="10"/>
      <c r="SJG43" s="10"/>
      <c r="SJH43" s="10"/>
      <c r="SJI43" s="10"/>
      <c r="SJJ43" s="10"/>
      <c r="SJK43" s="10"/>
      <c r="SJL43" s="10"/>
      <c r="SJM43" s="10"/>
      <c r="SJN43" s="10"/>
      <c r="SJO43" s="10"/>
      <c r="SJP43" s="10"/>
      <c r="SJQ43" s="10"/>
      <c r="SJR43" s="10"/>
      <c r="SJS43" s="10"/>
      <c r="SJT43" s="10"/>
      <c r="SJU43" s="10"/>
      <c r="SJV43" s="10"/>
      <c r="SJW43" s="10"/>
      <c r="SJX43" s="10"/>
      <c r="SJY43" s="10"/>
      <c r="SJZ43" s="10"/>
      <c r="SKA43" s="10"/>
      <c r="SKB43" s="10"/>
      <c r="SKC43" s="10"/>
      <c r="SKD43" s="10"/>
      <c r="SKE43" s="10"/>
      <c r="SKF43" s="10"/>
      <c r="SKG43" s="10"/>
      <c r="SKH43" s="10"/>
      <c r="SKI43" s="10"/>
      <c r="SKJ43" s="10"/>
      <c r="SKK43" s="10"/>
      <c r="SKL43" s="10"/>
      <c r="SKM43" s="10"/>
      <c r="SKN43" s="10"/>
      <c r="SKO43" s="10"/>
      <c r="SKP43" s="10"/>
      <c r="SKQ43" s="10"/>
      <c r="SKR43" s="10"/>
      <c r="SKS43" s="10"/>
      <c r="SKT43" s="10"/>
      <c r="SKU43" s="10"/>
      <c r="SKV43" s="10"/>
      <c r="SKW43" s="10"/>
      <c r="SKX43" s="10"/>
      <c r="SKY43" s="10"/>
      <c r="SKZ43" s="10"/>
      <c r="SLA43" s="10"/>
      <c r="SLB43" s="10"/>
      <c r="SLC43" s="10"/>
      <c r="SLD43" s="10"/>
      <c r="SLE43" s="10"/>
      <c r="SLF43" s="10"/>
      <c r="SLG43" s="10"/>
      <c r="SLH43" s="10"/>
      <c r="SLI43" s="10"/>
      <c r="SLJ43" s="10"/>
      <c r="SLK43" s="10"/>
      <c r="SLL43" s="10"/>
      <c r="SLM43" s="10"/>
      <c r="SLN43" s="10"/>
      <c r="SLO43" s="10"/>
      <c r="SLP43" s="10"/>
      <c r="SLQ43" s="10"/>
      <c r="SLR43" s="10"/>
      <c r="SLS43" s="10"/>
      <c r="SLT43" s="10"/>
      <c r="SLU43" s="10"/>
      <c r="SLV43" s="10"/>
      <c r="SLW43" s="10"/>
      <c r="SLX43" s="10"/>
      <c r="SLY43" s="10"/>
      <c r="SLZ43" s="10"/>
      <c r="SMA43" s="10"/>
      <c r="SMB43" s="10"/>
      <c r="SMC43" s="10"/>
      <c r="SMD43" s="10"/>
      <c r="SME43" s="10"/>
      <c r="SMF43" s="10"/>
      <c r="SMG43" s="10"/>
      <c r="SMH43" s="10"/>
      <c r="SMI43" s="10"/>
      <c r="SMJ43" s="10"/>
      <c r="SMK43" s="10"/>
      <c r="SML43" s="10"/>
      <c r="SMM43" s="10"/>
      <c r="SMN43" s="10"/>
      <c r="SMO43" s="10"/>
      <c r="SMP43" s="10"/>
      <c r="SMQ43" s="10"/>
      <c r="SMR43" s="10"/>
      <c r="SMS43" s="10"/>
      <c r="SMT43" s="10"/>
      <c r="SMU43" s="10"/>
      <c r="SMV43" s="10"/>
      <c r="SMW43" s="10"/>
      <c r="SMX43" s="10"/>
      <c r="SMY43" s="10"/>
      <c r="SMZ43" s="10"/>
      <c r="SNA43" s="10"/>
      <c r="SNB43" s="10"/>
      <c r="SNC43" s="10"/>
      <c r="SND43" s="10"/>
      <c r="SNE43" s="10"/>
      <c r="SNF43" s="10"/>
      <c r="SNG43" s="10"/>
      <c r="SNH43" s="10"/>
      <c r="SNI43" s="10"/>
      <c r="SNJ43" s="10"/>
      <c r="SNK43" s="10"/>
      <c r="SNL43" s="10"/>
      <c r="SNM43" s="10"/>
      <c r="SNN43" s="10"/>
      <c r="SNO43" s="10"/>
      <c r="SNP43" s="10"/>
      <c r="SNQ43" s="10"/>
      <c r="SNR43" s="10"/>
      <c r="SNS43" s="10"/>
      <c r="SNT43" s="10"/>
      <c r="SNU43" s="10"/>
      <c r="SNV43" s="10"/>
      <c r="SNW43" s="10"/>
      <c r="SNX43" s="10"/>
      <c r="SNY43" s="10"/>
      <c r="SNZ43" s="10"/>
      <c r="SOA43" s="10"/>
      <c r="SOB43" s="10"/>
      <c r="SOC43" s="10"/>
      <c r="SOD43" s="10"/>
      <c r="SOE43" s="10"/>
      <c r="SOF43" s="10"/>
      <c r="SOG43" s="10"/>
      <c r="SOH43" s="10"/>
      <c r="SOI43" s="10"/>
      <c r="SOJ43" s="10"/>
      <c r="SOK43" s="10"/>
      <c r="SOL43" s="10"/>
      <c r="SOM43" s="10"/>
      <c r="SON43" s="10"/>
      <c r="SOO43" s="10"/>
      <c r="SOP43" s="10"/>
      <c r="SOQ43" s="10"/>
      <c r="SOR43" s="10"/>
      <c r="SOS43" s="10"/>
      <c r="SOT43" s="10"/>
      <c r="SOU43" s="10"/>
      <c r="SOV43" s="10"/>
      <c r="SOW43" s="10"/>
      <c r="SOX43" s="10"/>
      <c r="SOY43" s="10"/>
      <c r="SOZ43" s="10"/>
      <c r="SPA43" s="10"/>
      <c r="SPB43" s="10"/>
      <c r="SPC43" s="10"/>
      <c r="SPD43" s="10"/>
      <c r="SPE43" s="10"/>
      <c r="SPF43" s="10"/>
      <c r="SPG43" s="10"/>
      <c r="SPH43" s="10"/>
      <c r="SPI43" s="10"/>
      <c r="SPJ43" s="10"/>
      <c r="SPK43" s="10"/>
      <c r="SPL43" s="10"/>
      <c r="SPM43" s="10"/>
      <c r="SPN43" s="10"/>
      <c r="SPO43" s="10"/>
      <c r="SPP43" s="10"/>
      <c r="SPQ43" s="10"/>
      <c r="SPR43" s="10"/>
      <c r="SPS43" s="10"/>
      <c r="SPT43" s="10"/>
      <c r="SPU43" s="10"/>
      <c r="SPV43" s="10"/>
      <c r="SPW43" s="10"/>
      <c r="SPX43" s="10"/>
      <c r="SPY43" s="10"/>
      <c r="SPZ43" s="10"/>
      <c r="SQA43" s="10"/>
      <c r="SQB43" s="10"/>
      <c r="SQC43" s="10"/>
      <c r="SQD43" s="10"/>
      <c r="SQE43" s="10"/>
      <c r="SQF43" s="10"/>
      <c r="SQG43" s="10"/>
      <c r="SQH43" s="10"/>
      <c r="SQI43" s="10"/>
      <c r="SQJ43" s="10"/>
      <c r="SQK43" s="10"/>
      <c r="SQL43" s="10"/>
      <c r="SQM43" s="10"/>
      <c r="SQN43" s="10"/>
      <c r="SQO43" s="10"/>
      <c r="SQP43" s="10"/>
      <c r="SQQ43" s="10"/>
      <c r="SQR43" s="10"/>
      <c r="SQS43" s="10"/>
      <c r="SQT43" s="10"/>
      <c r="SQU43" s="10"/>
      <c r="SQV43" s="10"/>
      <c r="SQW43" s="10"/>
      <c r="SQX43" s="10"/>
      <c r="SQY43" s="10"/>
      <c r="SQZ43" s="10"/>
      <c r="SRA43" s="10"/>
      <c r="SRB43" s="10"/>
      <c r="SRC43" s="10"/>
      <c r="SRD43" s="10"/>
      <c r="SRE43" s="10"/>
      <c r="SRF43" s="10"/>
      <c r="SRG43" s="10"/>
      <c r="SRH43" s="10"/>
      <c r="SRI43" s="10"/>
      <c r="SRJ43" s="10"/>
      <c r="SRK43" s="10"/>
      <c r="SRL43" s="10"/>
      <c r="SRM43" s="10"/>
      <c r="SRN43" s="10"/>
      <c r="SRO43" s="10"/>
      <c r="SRP43" s="10"/>
      <c r="SRQ43" s="10"/>
      <c r="SRR43" s="10"/>
      <c r="SRS43" s="10"/>
      <c r="SRT43" s="10"/>
      <c r="SRU43" s="10"/>
      <c r="SRV43" s="10"/>
      <c r="SRW43" s="10"/>
      <c r="SRX43" s="10"/>
      <c r="SRY43" s="10"/>
      <c r="SRZ43" s="10"/>
      <c r="SSA43" s="10"/>
      <c r="SSB43" s="10"/>
      <c r="SSC43" s="10"/>
      <c r="SSD43" s="10"/>
      <c r="SSE43" s="10"/>
      <c r="SSF43" s="10"/>
      <c r="SSG43" s="10"/>
      <c r="SSH43" s="10"/>
      <c r="SSI43" s="10"/>
      <c r="SSJ43" s="10"/>
      <c r="SSK43" s="10"/>
      <c r="SSL43" s="10"/>
      <c r="SSM43" s="10"/>
      <c r="SSN43" s="10"/>
      <c r="SSO43" s="10"/>
      <c r="SSP43" s="10"/>
      <c r="SSQ43" s="10"/>
      <c r="SSR43" s="10"/>
      <c r="SSS43" s="10"/>
      <c r="SST43" s="10"/>
      <c r="SSU43" s="10"/>
      <c r="SSV43" s="10"/>
      <c r="SSW43" s="10"/>
      <c r="SSX43" s="10"/>
      <c r="SSY43" s="10"/>
      <c r="SSZ43" s="10"/>
      <c r="STA43" s="10"/>
      <c r="STB43" s="10"/>
      <c r="STC43" s="10"/>
      <c r="STD43" s="10"/>
      <c r="STE43" s="10"/>
      <c r="STF43" s="10"/>
      <c r="STG43" s="10"/>
      <c r="STH43" s="10"/>
      <c r="STI43" s="10"/>
      <c r="STJ43" s="10"/>
      <c r="STK43" s="10"/>
      <c r="STL43" s="10"/>
      <c r="STM43" s="10"/>
      <c r="STN43" s="10"/>
      <c r="STO43" s="10"/>
      <c r="STP43" s="10"/>
      <c r="STQ43" s="10"/>
      <c r="STR43" s="10"/>
      <c r="STS43" s="10"/>
      <c r="STT43" s="10"/>
      <c r="STU43" s="10"/>
      <c r="STV43" s="10"/>
      <c r="STW43" s="10"/>
      <c r="STX43" s="10"/>
      <c r="STY43" s="10"/>
      <c r="STZ43" s="10"/>
      <c r="SUA43" s="10"/>
      <c r="SUB43" s="10"/>
      <c r="SUC43" s="10"/>
      <c r="SUD43" s="10"/>
      <c r="SUE43" s="10"/>
      <c r="SUF43" s="10"/>
      <c r="SUG43" s="10"/>
      <c r="SUH43" s="10"/>
      <c r="SUI43" s="10"/>
      <c r="SUJ43" s="10"/>
      <c r="SUK43" s="10"/>
      <c r="SUL43" s="10"/>
      <c r="SUM43" s="10"/>
      <c r="SUN43" s="10"/>
      <c r="SUO43" s="10"/>
      <c r="SUP43" s="10"/>
      <c r="SUQ43" s="10"/>
      <c r="SUR43" s="10"/>
      <c r="SUS43" s="10"/>
      <c r="SUT43" s="10"/>
      <c r="SUU43" s="10"/>
      <c r="SUV43" s="10"/>
      <c r="SUW43" s="10"/>
      <c r="SUX43" s="10"/>
      <c r="SUY43" s="10"/>
      <c r="SUZ43" s="10"/>
      <c r="SVA43" s="10"/>
      <c r="SVB43" s="10"/>
      <c r="SVC43" s="10"/>
      <c r="SVD43" s="10"/>
      <c r="SVE43" s="10"/>
      <c r="SVF43" s="10"/>
      <c r="SVG43" s="10"/>
      <c r="SVH43" s="10"/>
      <c r="SVI43" s="10"/>
      <c r="SVJ43" s="10"/>
      <c r="SVK43" s="10"/>
      <c r="SVL43" s="10"/>
      <c r="SVM43" s="10"/>
      <c r="SVN43" s="10"/>
      <c r="SVO43" s="10"/>
      <c r="SVP43" s="10"/>
      <c r="SVQ43" s="10"/>
      <c r="SVR43" s="10"/>
      <c r="SVS43" s="10"/>
      <c r="SVT43" s="10"/>
      <c r="SVU43" s="10"/>
      <c r="SVV43" s="10"/>
      <c r="SVW43" s="10"/>
      <c r="SVX43" s="10"/>
      <c r="SVY43" s="10"/>
      <c r="SVZ43" s="10"/>
      <c r="SWA43" s="10"/>
      <c r="SWB43" s="10"/>
      <c r="SWC43" s="10"/>
      <c r="SWD43" s="10"/>
      <c r="SWE43" s="10"/>
      <c r="SWF43" s="10"/>
      <c r="SWG43" s="10"/>
      <c r="SWH43" s="10"/>
      <c r="SWI43" s="10"/>
      <c r="SWJ43" s="10"/>
      <c r="SWK43" s="10"/>
      <c r="SWL43" s="10"/>
      <c r="SWM43" s="10"/>
      <c r="SWN43" s="10"/>
      <c r="SWO43" s="10"/>
      <c r="SWP43" s="10"/>
      <c r="SWQ43" s="10"/>
      <c r="SWR43" s="10"/>
      <c r="SWS43" s="10"/>
      <c r="SWT43" s="10"/>
      <c r="SWU43" s="10"/>
      <c r="SWV43" s="10"/>
      <c r="SWW43" s="10"/>
      <c r="SWX43" s="10"/>
      <c r="SWY43" s="10"/>
      <c r="SWZ43" s="10"/>
      <c r="SXA43" s="10"/>
      <c r="SXB43" s="10"/>
      <c r="SXC43" s="10"/>
      <c r="SXD43" s="10"/>
      <c r="SXE43" s="10"/>
      <c r="SXF43" s="10"/>
      <c r="SXG43" s="10"/>
      <c r="SXH43" s="10"/>
      <c r="SXI43" s="10"/>
      <c r="SXJ43" s="10"/>
      <c r="SXK43" s="10"/>
      <c r="SXL43" s="10"/>
      <c r="SXM43" s="10"/>
      <c r="SXN43" s="10"/>
      <c r="SXO43" s="10"/>
      <c r="SXP43" s="10"/>
      <c r="SXQ43" s="10"/>
      <c r="SXR43" s="10"/>
      <c r="SXS43" s="10"/>
      <c r="SXT43" s="10"/>
      <c r="SXU43" s="10"/>
      <c r="SXV43" s="10"/>
      <c r="SXW43" s="10"/>
      <c r="SXX43" s="10"/>
      <c r="SXY43" s="10"/>
      <c r="SXZ43" s="10"/>
      <c r="SYA43" s="10"/>
      <c r="SYB43" s="10"/>
      <c r="SYC43" s="10"/>
      <c r="SYD43" s="10"/>
      <c r="SYE43" s="10"/>
      <c r="SYF43" s="10"/>
      <c r="SYG43" s="10"/>
      <c r="SYH43" s="10"/>
      <c r="SYI43" s="10"/>
      <c r="SYJ43" s="10"/>
      <c r="SYK43" s="10"/>
      <c r="SYL43" s="10"/>
      <c r="SYM43" s="10"/>
      <c r="SYN43" s="10"/>
      <c r="SYO43" s="10"/>
      <c r="SYP43" s="10"/>
      <c r="SYQ43" s="10"/>
      <c r="SYR43" s="10"/>
      <c r="SYS43" s="10"/>
      <c r="SYT43" s="10"/>
      <c r="SYU43" s="10"/>
      <c r="SYV43" s="10"/>
      <c r="SYW43" s="10"/>
      <c r="SYX43" s="10"/>
      <c r="SYY43" s="10"/>
      <c r="SYZ43" s="10"/>
      <c r="SZA43" s="10"/>
      <c r="SZB43" s="10"/>
      <c r="SZC43" s="10"/>
      <c r="SZD43" s="10"/>
      <c r="SZE43" s="10"/>
      <c r="SZF43" s="10"/>
      <c r="SZG43" s="10"/>
      <c r="SZH43" s="10"/>
      <c r="SZI43" s="10"/>
      <c r="SZJ43" s="10"/>
      <c r="SZK43" s="10"/>
      <c r="SZL43" s="10"/>
      <c r="SZM43" s="10"/>
      <c r="SZN43" s="10"/>
      <c r="SZO43" s="10"/>
      <c r="SZP43" s="10"/>
      <c r="SZQ43" s="10"/>
      <c r="SZR43" s="10"/>
      <c r="SZS43" s="10"/>
      <c r="SZT43" s="10"/>
      <c r="SZU43" s="10"/>
      <c r="SZV43" s="10"/>
      <c r="SZW43" s="10"/>
      <c r="SZX43" s="10"/>
      <c r="SZY43" s="10"/>
      <c r="SZZ43" s="10"/>
      <c r="TAA43" s="10"/>
      <c r="TAB43" s="10"/>
      <c r="TAC43" s="10"/>
      <c r="TAD43" s="10"/>
      <c r="TAE43" s="10"/>
      <c r="TAF43" s="10"/>
      <c r="TAG43" s="10"/>
      <c r="TAH43" s="10"/>
      <c r="TAI43" s="10"/>
      <c r="TAJ43" s="10"/>
      <c r="TAK43" s="10"/>
      <c r="TAL43" s="10"/>
      <c r="TAM43" s="10"/>
      <c r="TAN43" s="10"/>
      <c r="TAO43" s="10"/>
      <c r="TAP43" s="10"/>
      <c r="TAQ43" s="10"/>
      <c r="TAR43" s="10"/>
      <c r="TAS43" s="10"/>
      <c r="TAT43" s="10"/>
      <c r="TAU43" s="10"/>
      <c r="TAV43" s="10"/>
      <c r="TAW43" s="10"/>
      <c r="TAX43" s="10"/>
      <c r="TAY43" s="10"/>
      <c r="TAZ43" s="10"/>
      <c r="TBA43" s="10"/>
      <c r="TBB43" s="10"/>
      <c r="TBC43" s="10"/>
      <c r="TBD43" s="10"/>
      <c r="TBE43" s="10"/>
      <c r="TBF43" s="10"/>
      <c r="TBG43" s="10"/>
      <c r="TBH43" s="10"/>
      <c r="TBI43" s="10"/>
      <c r="TBJ43" s="10"/>
      <c r="TBK43" s="10"/>
      <c r="TBL43" s="10"/>
      <c r="TBM43" s="10"/>
      <c r="TBN43" s="10"/>
      <c r="TBO43" s="10"/>
      <c r="TBP43" s="10"/>
      <c r="TBQ43" s="10"/>
      <c r="TBR43" s="10"/>
      <c r="TBS43" s="10"/>
      <c r="TBT43" s="10"/>
      <c r="TBU43" s="10"/>
      <c r="TBV43" s="10"/>
      <c r="TBW43" s="10"/>
      <c r="TBX43" s="10"/>
      <c r="TBY43" s="10"/>
      <c r="TBZ43" s="10"/>
      <c r="TCA43" s="10"/>
      <c r="TCB43" s="10"/>
      <c r="TCC43" s="10"/>
      <c r="TCD43" s="10"/>
      <c r="TCE43" s="10"/>
      <c r="TCF43" s="10"/>
      <c r="TCG43" s="10"/>
      <c r="TCH43" s="10"/>
      <c r="TCI43" s="10"/>
      <c r="TCJ43" s="10"/>
      <c r="TCK43" s="10"/>
      <c r="TCL43" s="10"/>
      <c r="TCM43" s="10"/>
      <c r="TCN43" s="10"/>
      <c r="TCO43" s="10"/>
      <c r="TCP43" s="10"/>
      <c r="TCQ43" s="10"/>
      <c r="TCR43" s="10"/>
      <c r="TCS43" s="10"/>
      <c r="TCT43" s="10"/>
      <c r="TCU43" s="10"/>
      <c r="TCV43" s="10"/>
      <c r="TCW43" s="10"/>
      <c r="TCX43" s="10"/>
      <c r="TCY43" s="10"/>
      <c r="TCZ43" s="10"/>
      <c r="TDA43" s="10"/>
      <c r="TDB43" s="10"/>
      <c r="TDC43" s="10"/>
      <c r="TDD43" s="10"/>
      <c r="TDE43" s="10"/>
      <c r="TDF43" s="10"/>
      <c r="TDG43" s="10"/>
      <c r="TDH43" s="10"/>
      <c r="TDI43" s="10"/>
      <c r="TDJ43" s="10"/>
      <c r="TDK43" s="10"/>
      <c r="TDL43" s="10"/>
      <c r="TDM43" s="10"/>
      <c r="TDN43" s="10"/>
      <c r="TDO43" s="10"/>
      <c r="TDP43" s="10"/>
      <c r="TDQ43" s="10"/>
      <c r="TDR43" s="10"/>
      <c r="TDS43" s="10"/>
      <c r="TDT43" s="10"/>
      <c r="TDU43" s="10"/>
      <c r="TDV43" s="10"/>
      <c r="TDW43" s="10"/>
      <c r="TDX43" s="10"/>
      <c r="TDY43" s="10"/>
      <c r="TDZ43" s="10"/>
      <c r="TEA43" s="10"/>
      <c r="TEB43" s="10"/>
      <c r="TEC43" s="10"/>
      <c r="TED43" s="10"/>
      <c r="TEE43" s="10"/>
      <c r="TEF43" s="10"/>
      <c r="TEG43" s="10"/>
      <c r="TEH43" s="10"/>
      <c r="TEI43" s="10"/>
      <c r="TEJ43" s="10"/>
      <c r="TEK43" s="10"/>
      <c r="TEL43" s="10"/>
      <c r="TEM43" s="10"/>
      <c r="TEN43" s="10"/>
      <c r="TEO43" s="10"/>
      <c r="TEP43" s="10"/>
      <c r="TEQ43" s="10"/>
      <c r="TER43" s="10"/>
      <c r="TES43" s="10"/>
      <c r="TET43" s="10"/>
      <c r="TEU43" s="10"/>
      <c r="TEV43" s="10"/>
      <c r="TEW43" s="10"/>
      <c r="TEX43" s="10"/>
      <c r="TEY43" s="10"/>
      <c r="TEZ43" s="10"/>
      <c r="TFA43" s="10"/>
      <c r="TFB43" s="10"/>
      <c r="TFC43" s="10"/>
      <c r="TFD43" s="10"/>
      <c r="TFE43" s="10"/>
      <c r="TFF43" s="10"/>
      <c r="TFG43" s="10"/>
      <c r="TFH43" s="10"/>
      <c r="TFI43" s="10"/>
      <c r="TFJ43" s="10"/>
      <c r="TFK43" s="10"/>
      <c r="TFL43" s="10"/>
      <c r="TFM43" s="10"/>
      <c r="TFN43" s="10"/>
      <c r="TFO43" s="10"/>
      <c r="TFP43" s="10"/>
      <c r="TFQ43" s="10"/>
      <c r="TFR43" s="10"/>
      <c r="TFS43" s="10"/>
      <c r="TFT43" s="10"/>
      <c r="TFU43" s="10"/>
      <c r="TFV43" s="10"/>
      <c r="TFW43" s="10"/>
      <c r="TFX43" s="10"/>
      <c r="TFY43" s="10"/>
      <c r="TFZ43" s="10"/>
      <c r="TGA43" s="10"/>
      <c r="TGB43" s="10"/>
      <c r="TGC43" s="10"/>
      <c r="TGD43" s="10"/>
      <c r="TGE43" s="10"/>
      <c r="TGF43" s="10"/>
      <c r="TGG43" s="10"/>
      <c r="TGH43" s="10"/>
      <c r="TGI43" s="10"/>
      <c r="TGJ43" s="10"/>
      <c r="TGK43" s="10"/>
      <c r="TGL43" s="10"/>
      <c r="TGM43" s="10"/>
      <c r="TGN43" s="10"/>
      <c r="TGO43" s="10"/>
      <c r="TGP43" s="10"/>
      <c r="TGQ43" s="10"/>
      <c r="TGR43" s="10"/>
      <c r="TGS43" s="10"/>
      <c r="TGT43" s="10"/>
      <c r="TGU43" s="10"/>
      <c r="TGV43" s="10"/>
      <c r="TGW43" s="10"/>
      <c r="TGX43" s="10"/>
      <c r="TGY43" s="10"/>
      <c r="TGZ43" s="10"/>
      <c r="THA43" s="10"/>
      <c r="THB43" s="10"/>
      <c r="THC43" s="10"/>
      <c r="THD43" s="10"/>
      <c r="THE43" s="10"/>
      <c r="THF43" s="10"/>
      <c r="THG43" s="10"/>
      <c r="THH43" s="10"/>
      <c r="THI43" s="10"/>
      <c r="THJ43" s="10"/>
      <c r="THK43" s="10"/>
      <c r="THL43" s="10"/>
      <c r="THM43" s="10"/>
      <c r="THN43" s="10"/>
      <c r="THO43" s="10"/>
      <c r="THP43" s="10"/>
      <c r="THQ43" s="10"/>
      <c r="THR43" s="10"/>
      <c r="THS43" s="10"/>
      <c r="THT43" s="10"/>
      <c r="THU43" s="10"/>
      <c r="THV43" s="10"/>
      <c r="THW43" s="10"/>
      <c r="THX43" s="10"/>
      <c r="THY43" s="10"/>
      <c r="THZ43" s="10"/>
      <c r="TIA43" s="10"/>
      <c r="TIB43" s="10"/>
      <c r="TIC43" s="10"/>
      <c r="TID43" s="10"/>
      <c r="TIE43" s="10"/>
      <c r="TIF43" s="10"/>
      <c r="TIG43" s="10"/>
      <c r="TIH43" s="10"/>
      <c r="TII43" s="10"/>
      <c r="TIJ43" s="10"/>
      <c r="TIK43" s="10"/>
      <c r="TIL43" s="10"/>
      <c r="TIM43" s="10"/>
      <c r="TIN43" s="10"/>
      <c r="TIO43" s="10"/>
      <c r="TIP43" s="10"/>
      <c r="TIQ43" s="10"/>
      <c r="TIR43" s="10"/>
      <c r="TIS43" s="10"/>
      <c r="TIT43" s="10"/>
      <c r="TIU43" s="10"/>
      <c r="TIV43" s="10"/>
      <c r="TIW43" s="10"/>
      <c r="TIX43" s="10"/>
      <c r="TIY43" s="10"/>
      <c r="TIZ43" s="10"/>
      <c r="TJA43" s="10"/>
      <c r="TJB43" s="10"/>
      <c r="TJC43" s="10"/>
      <c r="TJD43" s="10"/>
      <c r="TJE43" s="10"/>
      <c r="TJF43" s="10"/>
      <c r="TJG43" s="10"/>
      <c r="TJH43" s="10"/>
      <c r="TJI43" s="10"/>
      <c r="TJJ43" s="10"/>
      <c r="TJK43" s="10"/>
      <c r="TJL43" s="10"/>
      <c r="TJM43" s="10"/>
      <c r="TJN43" s="10"/>
      <c r="TJO43" s="10"/>
      <c r="TJP43" s="10"/>
      <c r="TJQ43" s="10"/>
      <c r="TJR43" s="10"/>
      <c r="TJS43" s="10"/>
      <c r="TJT43" s="10"/>
      <c r="TJU43" s="10"/>
      <c r="TJV43" s="10"/>
      <c r="TJW43" s="10"/>
      <c r="TJX43" s="10"/>
      <c r="TJY43" s="10"/>
      <c r="TJZ43" s="10"/>
      <c r="TKA43" s="10"/>
      <c r="TKB43" s="10"/>
      <c r="TKC43" s="10"/>
      <c r="TKD43" s="10"/>
      <c r="TKE43" s="10"/>
      <c r="TKF43" s="10"/>
      <c r="TKG43" s="10"/>
      <c r="TKH43" s="10"/>
      <c r="TKI43" s="10"/>
      <c r="TKJ43" s="10"/>
      <c r="TKK43" s="10"/>
      <c r="TKL43" s="10"/>
      <c r="TKM43" s="10"/>
      <c r="TKN43" s="10"/>
      <c r="TKO43" s="10"/>
      <c r="TKP43" s="10"/>
      <c r="TKQ43" s="10"/>
      <c r="TKR43" s="10"/>
      <c r="TKS43" s="10"/>
      <c r="TKT43" s="10"/>
      <c r="TKU43" s="10"/>
      <c r="TKV43" s="10"/>
      <c r="TKW43" s="10"/>
      <c r="TKX43" s="10"/>
      <c r="TKY43" s="10"/>
      <c r="TKZ43" s="10"/>
      <c r="TLA43" s="10"/>
      <c r="TLB43" s="10"/>
      <c r="TLC43" s="10"/>
      <c r="TLD43" s="10"/>
      <c r="TLE43" s="10"/>
      <c r="TLF43" s="10"/>
      <c r="TLG43" s="10"/>
      <c r="TLH43" s="10"/>
      <c r="TLI43" s="10"/>
      <c r="TLJ43" s="10"/>
      <c r="TLK43" s="10"/>
      <c r="TLL43" s="10"/>
      <c r="TLM43" s="10"/>
      <c r="TLN43" s="10"/>
      <c r="TLO43" s="10"/>
      <c r="TLP43" s="10"/>
      <c r="TLQ43" s="10"/>
      <c r="TLR43" s="10"/>
      <c r="TLS43" s="10"/>
      <c r="TLT43" s="10"/>
      <c r="TLU43" s="10"/>
      <c r="TLV43" s="10"/>
      <c r="TLW43" s="10"/>
      <c r="TLX43" s="10"/>
      <c r="TLY43" s="10"/>
      <c r="TLZ43" s="10"/>
      <c r="TMA43" s="10"/>
      <c r="TMB43" s="10"/>
      <c r="TMC43" s="10"/>
      <c r="TMD43" s="10"/>
      <c r="TME43" s="10"/>
      <c r="TMF43" s="10"/>
      <c r="TMG43" s="10"/>
      <c r="TMH43" s="10"/>
      <c r="TMI43" s="10"/>
      <c r="TMJ43" s="10"/>
      <c r="TMK43" s="10"/>
      <c r="TML43" s="10"/>
      <c r="TMM43" s="10"/>
      <c r="TMN43" s="10"/>
      <c r="TMO43" s="10"/>
      <c r="TMP43" s="10"/>
      <c r="TMQ43" s="10"/>
      <c r="TMR43" s="10"/>
      <c r="TMS43" s="10"/>
      <c r="TMT43" s="10"/>
      <c r="TMU43" s="10"/>
      <c r="TMV43" s="10"/>
      <c r="TMW43" s="10"/>
      <c r="TMX43" s="10"/>
      <c r="TMY43" s="10"/>
      <c r="TMZ43" s="10"/>
      <c r="TNA43" s="10"/>
      <c r="TNB43" s="10"/>
      <c r="TNC43" s="10"/>
      <c r="TND43" s="10"/>
      <c r="TNE43" s="10"/>
      <c r="TNF43" s="10"/>
      <c r="TNG43" s="10"/>
      <c r="TNH43" s="10"/>
      <c r="TNI43" s="10"/>
      <c r="TNJ43" s="10"/>
      <c r="TNK43" s="10"/>
      <c r="TNL43" s="10"/>
      <c r="TNM43" s="10"/>
      <c r="TNN43" s="10"/>
      <c r="TNO43" s="10"/>
      <c r="TNP43" s="10"/>
      <c r="TNQ43" s="10"/>
      <c r="TNR43" s="10"/>
      <c r="TNS43" s="10"/>
      <c r="TNT43" s="10"/>
      <c r="TNU43" s="10"/>
      <c r="TNV43" s="10"/>
      <c r="TNW43" s="10"/>
      <c r="TNX43" s="10"/>
      <c r="TNY43" s="10"/>
      <c r="TNZ43" s="10"/>
      <c r="TOA43" s="10"/>
      <c r="TOB43" s="10"/>
      <c r="TOC43" s="10"/>
      <c r="TOD43" s="10"/>
      <c r="TOE43" s="10"/>
      <c r="TOF43" s="10"/>
      <c r="TOG43" s="10"/>
      <c r="TOH43" s="10"/>
      <c r="TOI43" s="10"/>
      <c r="TOJ43" s="10"/>
      <c r="TOK43" s="10"/>
      <c r="TOL43" s="10"/>
      <c r="TOM43" s="10"/>
      <c r="TON43" s="10"/>
      <c r="TOO43" s="10"/>
      <c r="TOP43" s="10"/>
      <c r="TOQ43" s="10"/>
      <c r="TOR43" s="10"/>
      <c r="TOS43" s="10"/>
      <c r="TOT43" s="10"/>
      <c r="TOU43" s="10"/>
      <c r="TOV43" s="10"/>
      <c r="TOW43" s="10"/>
      <c r="TOX43" s="10"/>
      <c r="TOY43" s="10"/>
      <c r="TOZ43" s="10"/>
      <c r="TPA43" s="10"/>
      <c r="TPB43" s="10"/>
      <c r="TPC43" s="10"/>
      <c r="TPD43" s="10"/>
      <c r="TPE43" s="10"/>
      <c r="TPF43" s="10"/>
      <c r="TPG43" s="10"/>
      <c r="TPH43" s="10"/>
      <c r="TPI43" s="10"/>
      <c r="TPJ43" s="10"/>
      <c r="TPK43" s="10"/>
      <c r="TPL43" s="10"/>
      <c r="TPM43" s="10"/>
      <c r="TPN43" s="10"/>
      <c r="TPO43" s="10"/>
      <c r="TPP43" s="10"/>
      <c r="TPQ43" s="10"/>
      <c r="TPR43" s="10"/>
      <c r="TPS43" s="10"/>
      <c r="TPT43" s="10"/>
      <c r="TPU43" s="10"/>
      <c r="TPV43" s="10"/>
      <c r="TPW43" s="10"/>
      <c r="TPX43" s="10"/>
      <c r="TPY43" s="10"/>
      <c r="TPZ43" s="10"/>
      <c r="TQA43" s="10"/>
      <c r="TQB43" s="10"/>
      <c r="TQC43" s="10"/>
      <c r="TQD43" s="10"/>
      <c r="TQE43" s="10"/>
      <c r="TQF43" s="10"/>
      <c r="TQG43" s="10"/>
      <c r="TQH43" s="10"/>
      <c r="TQI43" s="10"/>
      <c r="TQJ43" s="10"/>
      <c r="TQK43" s="10"/>
      <c r="TQL43" s="10"/>
      <c r="TQM43" s="10"/>
      <c r="TQN43" s="10"/>
      <c r="TQO43" s="10"/>
      <c r="TQP43" s="10"/>
      <c r="TQQ43" s="10"/>
      <c r="TQR43" s="10"/>
      <c r="TQS43" s="10"/>
      <c r="TQT43" s="10"/>
      <c r="TQU43" s="10"/>
      <c r="TQV43" s="10"/>
      <c r="TQW43" s="10"/>
      <c r="TQX43" s="10"/>
      <c r="TQY43" s="10"/>
      <c r="TQZ43" s="10"/>
      <c r="TRA43" s="10"/>
      <c r="TRB43" s="10"/>
      <c r="TRC43" s="10"/>
      <c r="TRD43" s="10"/>
      <c r="TRE43" s="10"/>
      <c r="TRF43" s="10"/>
      <c r="TRG43" s="10"/>
      <c r="TRH43" s="10"/>
      <c r="TRI43" s="10"/>
      <c r="TRJ43" s="10"/>
      <c r="TRK43" s="10"/>
      <c r="TRL43" s="10"/>
      <c r="TRM43" s="10"/>
      <c r="TRN43" s="10"/>
      <c r="TRO43" s="10"/>
      <c r="TRP43" s="10"/>
      <c r="TRQ43" s="10"/>
      <c r="TRR43" s="10"/>
      <c r="TRS43" s="10"/>
      <c r="TRT43" s="10"/>
      <c r="TRU43" s="10"/>
      <c r="TRV43" s="10"/>
      <c r="TRW43" s="10"/>
      <c r="TRX43" s="10"/>
      <c r="TRY43" s="10"/>
      <c r="TRZ43" s="10"/>
      <c r="TSA43" s="10"/>
      <c r="TSB43" s="10"/>
      <c r="TSC43" s="10"/>
      <c r="TSD43" s="10"/>
      <c r="TSE43" s="10"/>
      <c r="TSF43" s="10"/>
      <c r="TSG43" s="10"/>
      <c r="TSH43" s="10"/>
      <c r="TSI43" s="10"/>
      <c r="TSJ43" s="10"/>
      <c r="TSK43" s="10"/>
      <c r="TSL43" s="10"/>
      <c r="TSM43" s="10"/>
      <c r="TSN43" s="10"/>
      <c r="TSO43" s="10"/>
      <c r="TSP43" s="10"/>
      <c r="TSQ43" s="10"/>
      <c r="TSR43" s="10"/>
      <c r="TSS43" s="10"/>
      <c r="TST43" s="10"/>
      <c r="TSU43" s="10"/>
      <c r="TSV43" s="10"/>
      <c r="TSW43" s="10"/>
      <c r="TSX43" s="10"/>
      <c r="TSY43" s="10"/>
      <c r="TSZ43" s="10"/>
      <c r="TTA43" s="10"/>
      <c r="TTB43" s="10"/>
      <c r="TTC43" s="10"/>
      <c r="TTD43" s="10"/>
      <c r="TTE43" s="10"/>
      <c r="TTF43" s="10"/>
      <c r="TTG43" s="10"/>
      <c r="TTH43" s="10"/>
      <c r="TTI43" s="10"/>
      <c r="TTJ43" s="10"/>
      <c r="TTK43" s="10"/>
      <c r="TTL43" s="10"/>
      <c r="TTM43" s="10"/>
      <c r="TTN43" s="10"/>
      <c r="TTO43" s="10"/>
      <c r="TTP43" s="10"/>
      <c r="TTQ43" s="10"/>
      <c r="TTR43" s="10"/>
      <c r="TTS43" s="10"/>
      <c r="TTT43" s="10"/>
      <c r="TTU43" s="10"/>
      <c r="TTV43" s="10"/>
      <c r="TTW43" s="10"/>
      <c r="TTX43" s="10"/>
      <c r="TTY43" s="10"/>
      <c r="TTZ43" s="10"/>
      <c r="TUA43" s="10"/>
      <c r="TUB43" s="10"/>
      <c r="TUC43" s="10"/>
      <c r="TUD43" s="10"/>
      <c r="TUE43" s="10"/>
      <c r="TUF43" s="10"/>
      <c r="TUG43" s="10"/>
      <c r="TUH43" s="10"/>
      <c r="TUI43" s="10"/>
      <c r="TUJ43" s="10"/>
      <c r="TUK43" s="10"/>
      <c r="TUL43" s="10"/>
      <c r="TUM43" s="10"/>
      <c r="TUN43" s="10"/>
      <c r="TUO43" s="10"/>
      <c r="TUP43" s="10"/>
      <c r="TUQ43" s="10"/>
      <c r="TUR43" s="10"/>
      <c r="TUS43" s="10"/>
      <c r="TUT43" s="10"/>
      <c r="TUU43" s="10"/>
      <c r="TUV43" s="10"/>
      <c r="TUW43" s="10"/>
      <c r="TUX43" s="10"/>
      <c r="TUY43" s="10"/>
      <c r="TUZ43" s="10"/>
      <c r="TVA43" s="10"/>
      <c r="TVB43" s="10"/>
      <c r="TVC43" s="10"/>
      <c r="TVD43" s="10"/>
      <c r="TVE43" s="10"/>
      <c r="TVF43" s="10"/>
      <c r="TVG43" s="10"/>
      <c r="TVH43" s="10"/>
      <c r="TVI43" s="10"/>
      <c r="TVJ43" s="10"/>
      <c r="TVK43" s="10"/>
      <c r="TVL43" s="10"/>
      <c r="TVM43" s="10"/>
      <c r="TVN43" s="10"/>
      <c r="TVO43" s="10"/>
      <c r="TVP43" s="10"/>
      <c r="TVQ43" s="10"/>
      <c r="TVR43" s="10"/>
      <c r="TVS43" s="10"/>
      <c r="TVT43" s="10"/>
      <c r="TVU43" s="10"/>
      <c r="TVV43" s="10"/>
      <c r="TVW43" s="10"/>
      <c r="TVX43" s="10"/>
      <c r="TVY43" s="10"/>
      <c r="TVZ43" s="10"/>
      <c r="TWA43" s="10"/>
      <c r="TWB43" s="10"/>
      <c r="TWC43" s="10"/>
      <c r="TWD43" s="10"/>
      <c r="TWE43" s="10"/>
      <c r="TWF43" s="10"/>
      <c r="TWG43" s="10"/>
      <c r="TWH43" s="10"/>
      <c r="TWI43" s="10"/>
      <c r="TWJ43" s="10"/>
      <c r="TWK43" s="10"/>
      <c r="TWL43" s="10"/>
      <c r="TWM43" s="10"/>
      <c r="TWN43" s="10"/>
      <c r="TWO43" s="10"/>
      <c r="TWP43" s="10"/>
      <c r="TWQ43" s="10"/>
      <c r="TWR43" s="10"/>
      <c r="TWS43" s="10"/>
      <c r="TWT43" s="10"/>
      <c r="TWU43" s="10"/>
      <c r="TWV43" s="10"/>
      <c r="TWW43" s="10"/>
      <c r="TWX43" s="10"/>
      <c r="TWY43" s="10"/>
      <c r="TWZ43" s="10"/>
      <c r="TXA43" s="10"/>
      <c r="TXB43" s="10"/>
      <c r="TXC43" s="10"/>
      <c r="TXD43" s="10"/>
      <c r="TXE43" s="10"/>
      <c r="TXF43" s="10"/>
      <c r="TXG43" s="10"/>
      <c r="TXH43" s="10"/>
      <c r="TXI43" s="10"/>
      <c r="TXJ43" s="10"/>
      <c r="TXK43" s="10"/>
      <c r="TXL43" s="10"/>
      <c r="TXM43" s="10"/>
      <c r="TXN43" s="10"/>
      <c r="TXO43" s="10"/>
      <c r="TXP43" s="10"/>
      <c r="TXQ43" s="10"/>
      <c r="TXR43" s="10"/>
      <c r="TXS43" s="10"/>
      <c r="TXT43" s="10"/>
      <c r="TXU43" s="10"/>
      <c r="TXV43" s="10"/>
      <c r="TXW43" s="10"/>
      <c r="TXX43" s="10"/>
      <c r="TXY43" s="10"/>
      <c r="TXZ43" s="10"/>
      <c r="TYA43" s="10"/>
      <c r="TYB43" s="10"/>
      <c r="TYC43" s="10"/>
      <c r="TYD43" s="10"/>
      <c r="TYE43" s="10"/>
      <c r="TYF43" s="10"/>
      <c r="TYG43" s="10"/>
      <c r="TYH43" s="10"/>
      <c r="TYI43" s="10"/>
      <c r="TYJ43" s="10"/>
      <c r="TYK43" s="10"/>
      <c r="TYL43" s="10"/>
      <c r="TYM43" s="10"/>
      <c r="TYN43" s="10"/>
      <c r="TYO43" s="10"/>
      <c r="TYP43" s="10"/>
      <c r="TYQ43" s="10"/>
      <c r="TYR43" s="10"/>
      <c r="TYS43" s="10"/>
      <c r="TYT43" s="10"/>
      <c r="TYU43" s="10"/>
      <c r="TYV43" s="10"/>
      <c r="TYW43" s="10"/>
      <c r="TYX43" s="10"/>
      <c r="TYY43" s="10"/>
      <c r="TYZ43" s="10"/>
      <c r="TZA43" s="10"/>
      <c r="TZB43" s="10"/>
      <c r="TZC43" s="10"/>
      <c r="TZD43" s="10"/>
      <c r="TZE43" s="10"/>
      <c r="TZF43" s="10"/>
      <c r="TZG43" s="10"/>
      <c r="TZH43" s="10"/>
      <c r="TZI43" s="10"/>
      <c r="TZJ43" s="10"/>
      <c r="TZK43" s="10"/>
      <c r="TZL43" s="10"/>
      <c r="TZM43" s="10"/>
      <c r="TZN43" s="10"/>
      <c r="TZO43" s="10"/>
      <c r="TZP43" s="10"/>
      <c r="TZQ43" s="10"/>
      <c r="TZR43" s="10"/>
      <c r="TZS43" s="10"/>
      <c r="TZT43" s="10"/>
      <c r="TZU43" s="10"/>
      <c r="TZV43" s="10"/>
      <c r="TZW43" s="10"/>
      <c r="TZX43" s="10"/>
      <c r="TZY43" s="10"/>
      <c r="TZZ43" s="10"/>
      <c r="UAA43" s="10"/>
      <c r="UAB43" s="10"/>
      <c r="UAC43" s="10"/>
      <c r="UAD43" s="10"/>
      <c r="UAE43" s="10"/>
      <c r="UAF43" s="10"/>
      <c r="UAG43" s="10"/>
      <c r="UAH43" s="10"/>
      <c r="UAI43" s="10"/>
      <c r="UAJ43" s="10"/>
      <c r="UAK43" s="10"/>
      <c r="UAL43" s="10"/>
      <c r="UAM43" s="10"/>
      <c r="UAN43" s="10"/>
      <c r="UAO43" s="10"/>
      <c r="UAP43" s="10"/>
      <c r="UAQ43" s="10"/>
      <c r="UAR43" s="10"/>
      <c r="UAS43" s="10"/>
      <c r="UAT43" s="10"/>
      <c r="UAU43" s="10"/>
      <c r="UAV43" s="10"/>
      <c r="UAW43" s="10"/>
      <c r="UAX43" s="10"/>
      <c r="UAY43" s="10"/>
      <c r="UAZ43" s="10"/>
      <c r="UBA43" s="10"/>
      <c r="UBB43" s="10"/>
      <c r="UBC43" s="10"/>
      <c r="UBD43" s="10"/>
      <c r="UBE43" s="10"/>
      <c r="UBF43" s="10"/>
      <c r="UBG43" s="10"/>
      <c r="UBH43" s="10"/>
      <c r="UBI43" s="10"/>
      <c r="UBJ43" s="10"/>
      <c r="UBK43" s="10"/>
      <c r="UBL43" s="10"/>
      <c r="UBM43" s="10"/>
      <c r="UBN43" s="10"/>
      <c r="UBO43" s="10"/>
      <c r="UBP43" s="10"/>
      <c r="UBQ43" s="10"/>
      <c r="UBR43" s="10"/>
      <c r="UBS43" s="10"/>
      <c r="UBT43" s="10"/>
      <c r="UBU43" s="10"/>
      <c r="UBV43" s="10"/>
      <c r="UBW43" s="10"/>
      <c r="UBX43" s="10"/>
      <c r="UBY43" s="10"/>
      <c r="UBZ43" s="10"/>
      <c r="UCA43" s="10"/>
      <c r="UCB43" s="10"/>
      <c r="UCC43" s="10"/>
      <c r="UCD43" s="10"/>
      <c r="UCE43" s="10"/>
      <c r="UCF43" s="10"/>
      <c r="UCG43" s="10"/>
      <c r="UCH43" s="10"/>
      <c r="UCI43" s="10"/>
      <c r="UCJ43" s="10"/>
      <c r="UCK43" s="10"/>
      <c r="UCL43" s="10"/>
      <c r="UCM43" s="10"/>
      <c r="UCN43" s="10"/>
      <c r="UCO43" s="10"/>
      <c r="UCP43" s="10"/>
      <c r="UCQ43" s="10"/>
      <c r="UCR43" s="10"/>
      <c r="UCS43" s="10"/>
      <c r="UCT43" s="10"/>
      <c r="UCU43" s="10"/>
      <c r="UCV43" s="10"/>
      <c r="UCW43" s="10"/>
      <c r="UCX43" s="10"/>
      <c r="UCY43" s="10"/>
      <c r="UCZ43" s="10"/>
      <c r="UDA43" s="10"/>
      <c r="UDB43" s="10"/>
      <c r="UDC43" s="10"/>
      <c r="UDD43" s="10"/>
      <c r="UDE43" s="10"/>
      <c r="UDF43" s="10"/>
      <c r="UDG43" s="10"/>
      <c r="UDH43" s="10"/>
      <c r="UDI43" s="10"/>
      <c r="UDJ43" s="10"/>
      <c r="UDK43" s="10"/>
      <c r="UDL43" s="10"/>
      <c r="UDM43" s="10"/>
      <c r="UDN43" s="10"/>
      <c r="UDO43" s="10"/>
      <c r="UDP43" s="10"/>
      <c r="UDQ43" s="10"/>
      <c r="UDR43" s="10"/>
      <c r="UDS43" s="10"/>
      <c r="UDT43" s="10"/>
      <c r="UDU43" s="10"/>
      <c r="UDV43" s="10"/>
      <c r="UDW43" s="10"/>
      <c r="UDX43" s="10"/>
      <c r="UDY43" s="10"/>
      <c r="UDZ43" s="10"/>
      <c r="UEA43" s="10"/>
      <c r="UEB43" s="10"/>
      <c r="UEC43" s="10"/>
      <c r="UED43" s="10"/>
      <c r="UEE43" s="10"/>
      <c r="UEF43" s="10"/>
      <c r="UEG43" s="10"/>
      <c r="UEH43" s="10"/>
      <c r="UEI43" s="10"/>
      <c r="UEJ43" s="10"/>
      <c r="UEK43" s="10"/>
      <c r="UEL43" s="10"/>
      <c r="UEM43" s="10"/>
      <c r="UEN43" s="10"/>
      <c r="UEO43" s="10"/>
      <c r="UEP43" s="10"/>
      <c r="UEQ43" s="10"/>
      <c r="UER43" s="10"/>
      <c r="UES43" s="10"/>
      <c r="UET43" s="10"/>
      <c r="UEU43" s="10"/>
      <c r="UEV43" s="10"/>
      <c r="UEW43" s="10"/>
      <c r="UEX43" s="10"/>
      <c r="UEY43" s="10"/>
      <c r="UEZ43" s="10"/>
      <c r="UFA43" s="10"/>
      <c r="UFB43" s="10"/>
      <c r="UFC43" s="10"/>
      <c r="UFD43" s="10"/>
      <c r="UFE43" s="10"/>
      <c r="UFF43" s="10"/>
      <c r="UFG43" s="10"/>
      <c r="UFH43" s="10"/>
      <c r="UFI43" s="10"/>
      <c r="UFJ43" s="10"/>
      <c r="UFK43" s="10"/>
      <c r="UFL43" s="10"/>
      <c r="UFM43" s="10"/>
      <c r="UFN43" s="10"/>
      <c r="UFO43" s="10"/>
      <c r="UFP43" s="10"/>
      <c r="UFQ43" s="10"/>
      <c r="UFR43" s="10"/>
      <c r="UFS43" s="10"/>
      <c r="UFT43" s="10"/>
      <c r="UFU43" s="10"/>
      <c r="UFV43" s="10"/>
      <c r="UFW43" s="10"/>
      <c r="UFX43" s="10"/>
      <c r="UFY43" s="10"/>
      <c r="UFZ43" s="10"/>
      <c r="UGA43" s="10"/>
      <c r="UGB43" s="10"/>
      <c r="UGC43" s="10"/>
      <c r="UGD43" s="10"/>
      <c r="UGE43" s="10"/>
      <c r="UGF43" s="10"/>
      <c r="UGG43" s="10"/>
      <c r="UGH43" s="10"/>
      <c r="UGI43" s="10"/>
      <c r="UGJ43" s="10"/>
      <c r="UGK43" s="10"/>
      <c r="UGL43" s="10"/>
      <c r="UGM43" s="10"/>
      <c r="UGN43" s="10"/>
      <c r="UGO43" s="10"/>
      <c r="UGP43" s="10"/>
      <c r="UGQ43" s="10"/>
      <c r="UGR43" s="10"/>
      <c r="UGS43" s="10"/>
      <c r="UGT43" s="10"/>
      <c r="UGU43" s="10"/>
      <c r="UGV43" s="10"/>
      <c r="UGW43" s="10"/>
      <c r="UGX43" s="10"/>
      <c r="UGY43" s="10"/>
      <c r="UGZ43" s="10"/>
      <c r="UHA43" s="10"/>
      <c r="UHB43" s="10"/>
      <c r="UHC43" s="10"/>
      <c r="UHD43" s="10"/>
      <c r="UHE43" s="10"/>
      <c r="UHF43" s="10"/>
      <c r="UHG43" s="10"/>
      <c r="UHH43" s="10"/>
      <c r="UHI43" s="10"/>
      <c r="UHJ43" s="10"/>
      <c r="UHK43" s="10"/>
      <c r="UHL43" s="10"/>
      <c r="UHM43" s="10"/>
      <c r="UHN43" s="10"/>
      <c r="UHO43" s="10"/>
      <c r="UHP43" s="10"/>
      <c r="UHQ43" s="10"/>
      <c r="UHR43" s="10"/>
      <c r="UHS43" s="10"/>
      <c r="UHT43" s="10"/>
      <c r="UHU43" s="10"/>
      <c r="UHV43" s="10"/>
      <c r="UHW43" s="10"/>
      <c r="UHX43" s="10"/>
      <c r="UHY43" s="10"/>
      <c r="UHZ43" s="10"/>
      <c r="UIA43" s="10"/>
      <c r="UIB43" s="10"/>
      <c r="UIC43" s="10"/>
      <c r="UID43" s="10"/>
      <c r="UIE43" s="10"/>
      <c r="UIF43" s="10"/>
      <c r="UIG43" s="10"/>
      <c r="UIH43" s="10"/>
      <c r="UII43" s="10"/>
      <c r="UIJ43" s="10"/>
      <c r="UIK43" s="10"/>
      <c r="UIL43" s="10"/>
      <c r="UIM43" s="10"/>
      <c r="UIN43" s="10"/>
      <c r="UIO43" s="10"/>
      <c r="UIP43" s="10"/>
      <c r="UIQ43" s="10"/>
      <c r="UIR43" s="10"/>
      <c r="UIS43" s="10"/>
      <c r="UIT43" s="10"/>
      <c r="UIU43" s="10"/>
      <c r="UIV43" s="10"/>
      <c r="UIW43" s="10"/>
      <c r="UIX43" s="10"/>
      <c r="UIY43" s="10"/>
      <c r="UIZ43" s="10"/>
      <c r="UJA43" s="10"/>
      <c r="UJB43" s="10"/>
      <c r="UJC43" s="10"/>
      <c r="UJD43" s="10"/>
      <c r="UJE43" s="10"/>
      <c r="UJF43" s="10"/>
      <c r="UJG43" s="10"/>
      <c r="UJH43" s="10"/>
      <c r="UJI43" s="10"/>
      <c r="UJJ43" s="10"/>
      <c r="UJK43" s="10"/>
      <c r="UJL43" s="10"/>
      <c r="UJM43" s="10"/>
      <c r="UJN43" s="10"/>
      <c r="UJO43" s="10"/>
      <c r="UJP43" s="10"/>
      <c r="UJQ43" s="10"/>
      <c r="UJR43" s="10"/>
      <c r="UJS43" s="10"/>
      <c r="UJT43" s="10"/>
      <c r="UJU43" s="10"/>
      <c r="UJV43" s="10"/>
      <c r="UJW43" s="10"/>
      <c r="UJX43" s="10"/>
      <c r="UJY43" s="10"/>
      <c r="UJZ43" s="10"/>
      <c r="UKA43" s="10"/>
      <c r="UKB43" s="10"/>
      <c r="UKC43" s="10"/>
      <c r="UKD43" s="10"/>
      <c r="UKE43" s="10"/>
      <c r="UKF43" s="10"/>
      <c r="UKG43" s="10"/>
      <c r="UKH43" s="10"/>
      <c r="UKI43" s="10"/>
      <c r="UKJ43" s="10"/>
      <c r="UKK43" s="10"/>
      <c r="UKL43" s="10"/>
      <c r="UKM43" s="10"/>
      <c r="UKN43" s="10"/>
      <c r="UKO43" s="10"/>
      <c r="UKP43" s="10"/>
      <c r="UKQ43" s="10"/>
      <c r="UKR43" s="10"/>
      <c r="UKS43" s="10"/>
      <c r="UKT43" s="10"/>
      <c r="UKU43" s="10"/>
      <c r="UKV43" s="10"/>
      <c r="UKW43" s="10"/>
      <c r="UKX43" s="10"/>
      <c r="UKY43" s="10"/>
      <c r="UKZ43" s="10"/>
      <c r="ULA43" s="10"/>
      <c r="ULB43" s="10"/>
      <c r="ULC43" s="10"/>
      <c r="ULD43" s="10"/>
      <c r="ULE43" s="10"/>
      <c r="ULF43" s="10"/>
      <c r="ULG43" s="10"/>
      <c r="ULH43" s="10"/>
      <c r="ULI43" s="10"/>
      <c r="ULJ43" s="10"/>
      <c r="ULK43" s="10"/>
      <c r="ULL43" s="10"/>
      <c r="ULM43" s="10"/>
      <c r="ULN43" s="10"/>
      <c r="ULO43" s="10"/>
      <c r="ULP43" s="10"/>
      <c r="ULQ43" s="10"/>
      <c r="ULR43" s="10"/>
      <c r="ULS43" s="10"/>
      <c r="ULT43" s="10"/>
      <c r="ULU43" s="10"/>
      <c r="ULV43" s="10"/>
      <c r="ULW43" s="10"/>
      <c r="ULX43" s="10"/>
      <c r="ULY43" s="10"/>
      <c r="ULZ43" s="10"/>
      <c r="UMA43" s="10"/>
      <c r="UMB43" s="10"/>
      <c r="UMC43" s="10"/>
      <c r="UMD43" s="10"/>
      <c r="UME43" s="10"/>
      <c r="UMF43" s="10"/>
      <c r="UMG43" s="10"/>
      <c r="UMH43" s="10"/>
      <c r="UMI43" s="10"/>
      <c r="UMJ43" s="10"/>
      <c r="UMK43" s="10"/>
      <c r="UML43" s="10"/>
      <c r="UMM43" s="10"/>
      <c r="UMN43" s="10"/>
      <c r="UMO43" s="10"/>
      <c r="UMP43" s="10"/>
      <c r="UMQ43" s="10"/>
      <c r="UMR43" s="10"/>
      <c r="UMS43" s="10"/>
      <c r="UMT43" s="10"/>
      <c r="UMU43" s="10"/>
      <c r="UMV43" s="10"/>
      <c r="UMW43" s="10"/>
      <c r="UMX43" s="10"/>
      <c r="UMY43" s="10"/>
      <c r="UMZ43" s="10"/>
      <c r="UNA43" s="10"/>
      <c r="UNB43" s="10"/>
      <c r="UNC43" s="10"/>
      <c r="UND43" s="10"/>
      <c r="UNE43" s="10"/>
      <c r="UNF43" s="10"/>
      <c r="UNG43" s="10"/>
      <c r="UNH43" s="10"/>
      <c r="UNI43" s="10"/>
      <c r="UNJ43" s="10"/>
      <c r="UNK43" s="10"/>
      <c r="UNL43" s="10"/>
      <c r="UNM43" s="10"/>
      <c r="UNN43" s="10"/>
      <c r="UNO43" s="10"/>
      <c r="UNP43" s="10"/>
      <c r="UNQ43" s="10"/>
      <c r="UNR43" s="10"/>
      <c r="UNS43" s="10"/>
      <c r="UNT43" s="10"/>
      <c r="UNU43" s="10"/>
      <c r="UNV43" s="10"/>
      <c r="UNW43" s="10"/>
      <c r="UNX43" s="10"/>
      <c r="UNY43" s="10"/>
      <c r="UNZ43" s="10"/>
      <c r="UOA43" s="10"/>
      <c r="UOB43" s="10"/>
      <c r="UOC43" s="10"/>
      <c r="UOD43" s="10"/>
      <c r="UOE43" s="10"/>
      <c r="UOF43" s="10"/>
      <c r="UOG43" s="10"/>
      <c r="UOH43" s="10"/>
      <c r="UOI43" s="10"/>
      <c r="UOJ43" s="10"/>
      <c r="UOK43" s="10"/>
      <c r="UOL43" s="10"/>
      <c r="UOM43" s="10"/>
      <c r="UON43" s="10"/>
      <c r="UOO43" s="10"/>
      <c r="UOP43" s="10"/>
      <c r="UOQ43" s="10"/>
      <c r="UOR43" s="10"/>
      <c r="UOS43" s="10"/>
      <c r="UOT43" s="10"/>
      <c r="UOU43" s="10"/>
      <c r="UOV43" s="10"/>
      <c r="UOW43" s="10"/>
      <c r="UOX43" s="10"/>
      <c r="UOY43" s="10"/>
      <c r="UOZ43" s="10"/>
      <c r="UPA43" s="10"/>
      <c r="UPB43" s="10"/>
      <c r="UPC43" s="10"/>
      <c r="UPD43" s="10"/>
      <c r="UPE43" s="10"/>
      <c r="UPF43" s="10"/>
      <c r="UPG43" s="10"/>
      <c r="UPH43" s="10"/>
      <c r="UPI43" s="10"/>
      <c r="UPJ43" s="10"/>
      <c r="UPK43" s="10"/>
      <c r="UPL43" s="10"/>
      <c r="UPM43" s="10"/>
      <c r="UPN43" s="10"/>
      <c r="UPO43" s="10"/>
      <c r="UPP43" s="10"/>
      <c r="UPQ43" s="10"/>
      <c r="UPR43" s="10"/>
      <c r="UPS43" s="10"/>
      <c r="UPT43" s="10"/>
      <c r="UPU43" s="10"/>
      <c r="UPV43" s="10"/>
      <c r="UPW43" s="10"/>
      <c r="UPX43" s="10"/>
      <c r="UPY43" s="10"/>
      <c r="UPZ43" s="10"/>
      <c r="UQA43" s="10"/>
      <c r="UQB43" s="10"/>
      <c r="UQC43" s="10"/>
      <c r="UQD43" s="10"/>
      <c r="UQE43" s="10"/>
      <c r="UQF43" s="10"/>
      <c r="UQG43" s="10"/>
      <c r="UQH43" s="10"/>
      <c r="UQI43" s="10"/>
      <c r="UQJ43" s="10"/>
      <c r="UQK43" s="10"/>
      <c r="UQL43" s="10"/>
      <c r="UQM43" s="10"/>
      <c r="UQN43" s="10"/>
      <c r="UQO43" s="10"/>
      <c r="UQP43" s="10"/>
      <c r="UQQ43" s="10"/>
      <c r="UQR43" s="10"/>
      <c r="UQS43" s="10"/>
      <c r="UQT43" s="10"/>
      <c r="UQU43" s="10"/>
      <c r="UQV43" s="10"/>
      <c r="UQW43" s="10"/>
      <c r="UQX43" s="10"/>
      <c r="UQY43" s="10"/>
      <c r="UQZ43" s="10"/>
      <c r="URA43" s="10"/>
      <c r="URB43" s="10"/>
      <c r="URC43" s="10"/>
      <c r="URD43" s="10"/>
      <c r="URE43" s="10"/>
      <c r="URF43" s="10"/>
      <c r="URG43" s="10"/>
      <c r="URH43" s="10"/>
      <c r="URI43" s="10"/>
      <c r="URJ43" s="10"/>
      <c r="URK43" s="10"/>
      <c r="URL43" s="10"/>
      <c r="URM43" s="10"/>
      <c r="URN43" s="10"/>
      <c r="URO43" s="10"/>
      <c r="URP43" s="10"/>
      <c r="URQ43" s="10"/>
      <c r="URR43" s="10"/>
      <c r="URS43" s="10"/>
      <c r="URT43" s="10"/>
      <c r="URU43" s="10"/>
      <c r="URV43" s="10"/>
      <c r="URW43" s="10"/>
      <c r="URX43" s="10"/>
      <c r="URY43" s="10"/>
      <c r="URZ43" s="10"/>
      <c r="USA43" s="10"/>
      <c r="USB43" s="10"/>
      <c r="USC43" s="10"/>
      <c r="USD43" s="10"/>
      <c r="USE43" s="10"/>
      <c r="USF43" s="10"/>
      <c r="USG43" s="10"/>
      <c r="USH43" s="10"/>
      <c r="USI43" s="10"/>
      <c r="USJ43" s="10"/>
      <c r="USK43" s="10"/>
      <c r="USL43" s="10"/>
      <c r="USM43" s="10"/>
      <c r="USN43" s="10"/>
      <c r="USO43" s="10"/>
      <c r="USP43" s="10"/>
      <c r="USQ43" s="10"/>
      <c r="USR43" s="10"/>
      <c r="USS43" s="10"/>
      <c r="UST43" s="10"/>
      <c r="USU43" s="10"/>
      <c r="USV43" s="10"/>
      <c r="USW43" s="10"/>
      <c r="USX43" s="10"/>
      <c r="USY43" s="10"/>
      <c r="USZ43" s="10"/>
      <c r="UTA43" s="10"/>
      <c r="UTB43" s="10"/>
      <c r="UTC43" s="10"/>
      <c r="UTD43" s="10"/>
      <c r="UTE43" s="10"/>
      <c r="UTF43" s="10"/>
      <c r="UTG43" s="10"/>
      <c r="UTH43" s="10"/>
      <c r="UTI43" s="10"/>
      <c r="UTJ43" s="10"/>
      <c r="UTK43" s="10"/>
      <c r="UTL43" s="10"/>
      <c r="UTM43" s="10"/>
      <c r="UTN43" s="10"/>
      <c r="UTO43" s="10"/>
      <c r="UTP43" s="10"/>
      <c r="UTQ43" s="10"/>
      <c r="UTR43" s="10"/>
      <c r="UTS43" s="10"/>
      <c r="UTT43" s="10"/>
      <c r="UTU43" s="10"/>
      <c r="UTV43" s="10"/>
      <c r="UTW43" s="10"/>
      <c r="UTX43" s="10"/>
      <c r="UTY43" s="10"/>
      <c r="UTZ43" s="10"/>
      <c r="UUA43" s="10"/>
      <c r="UUB43" s="10"/>
      <c r="UUC43" s="10"/>
      <c r="UUD43" s="10"/>
      <c r="UUE43" s="10"/>
      <c r="UUF43" s="10"/>
      <c r="UUG43" s="10"/>
      <c r="UUH43" s="10"/>
      <c r="UUI43" s="10"/>
      <c r="UUJ43" s="10"/>
      <c r="UUK43" s="10"/>
      <c r="UUL43" s="10"/>
      <c r="UUM43" s="10"/>
      <c r="UUN43" s="10"/>
      <c r="UUO43" s="10"/>
      <c r="UUP43" s="10"/>
      <c r="UUQ43" s="10"/>
      <c r="UUR43" s="10"/>
      <c r="UUS43" s="10"/>
      <c r="UUT43" s="10"/>
      <c r="UUU43" s="10"/>
      <c r="UUV43" s="10"/>
      <c r="UUW43" s="10"/>
      <c r="UUX43" s="10"/>
      <c r="UUY43" s="10"/>
      <c r="UUZ43" s="10"/>
      <c r="UVA43" s="10"/>
      <c r="UVB43" s="10"/>
      <c r="UVC43" s="10"/>
      <c r="UVD43" s="10"/>
      <c r="UVE43" s="10"/>
      <c r="UVF43" s="10"/>
      <c r="UVG43" s="10"/>
      <c r="UVH43" s="10"/>
      <c r="UVI43" s="10"/>
      <c r="UVJ43" s="10"/>
      <c r="UVK43" s="10"/>
      <c r="UVL43" s="10"/>
      <c r="UVM43" s="10"/>
      <c r="UVN43" s="10"/>
      <c r="UVO43" s="10"/>
      <c r="UVP43" s="10"/>
      <c r="UVQ43" s="10"/>
      <c r="UVR43" s="10"/>
      <c r="UVS43" s="10"/>
      <c r="UVT43" s="10"/>
      <c r="UVU43" s="10"/>
      <c r="UVV43" s="10"/>
      <c r="UVW43" s="10"/>
      <c r="UVX43" s="10"/>
      <c r="UVY43" s="10"/>
      <c r="UVZ43" s="10"/>
      <c r="UWA43" s="10"/>
      <c r="UWB43" s="10"/>
      <c r="UWC43" s="10"/>
      <c r="UWD43" s="10"/>
      <c r="UWE43" s="10"/>
      <c r="UWF43" s="10"/>
      <c r="UWG43" s="10"/>
      <c r="UWH43" s="10"/>
      <c r="UWI43" s="10"/>
      <c r="UWJ43" s="10"/>
      <c r="UWK43" s="10"/>
      <c r="UWL43" s="10"/>
      <c r="UWM43" s="10"/>
      <c r="UWN43" s="10"/>
      <c r="UWO43" s="10"/>
      <c r="UWP43" s="10"/>
      <c r="UWQ43" s="10"/>
      <c r="UWR43" s="10"/>
      <c r="UWS43" s="10"/>
      <c r="UWT43" s="10"/>
      <c r="UWU43" s="10"/>
      <c r="UWV43" s="10"/>
      <c r="UWW43" s="10"/>
      <c r="UWX43" s="10"/>
      <c r="UWY43" s="10"/>
      <c r="UWZ43" s="10"/>
      <c r="UXA43" s="10"/>
      <c r="UXB43" s="10"/>
      <c r="UXC43" s="10"/>
      <c r="UXD43" s="10"/>
      <c r="UXE43" s="10"/>
      <c r="UXF43" s="10"/>
      <c r="UXG43" s="10"/>
      <c r="UXH43" s="10"/>
      <c r="UXI43" s="10"/>
      <c r="UXJ43" s="10"/>
      <c r="UXK43" s="10"/>
      <c r="UXL43" s="10"/>
      <c r="UXM43" s="10"/>
      <c r="UXN43" s="10"/>
      <c r="UXO43" s="10"/>
      <c r="UXP43" s="10"/>
      <c r="UXQ43" s="10"/>
      <c r="UXR43" s="10"/>
      <c r="UXS43" s="10"/>
      <c r="UXT43" s="10"/>
      <c r="UXU43" s="10"/>
      <c r="UXV43" s="10"/>
      <c r="UXW43" s="10"/>
      <c r="UXX43" s="10"/>
      <c r="UXY43" s="10"/>
      <c r="UXZ43" s="10"/>
      <c r="UYA43" s="10"/>
      <c r="UYB43" s="10"/>
      <c r="UYC43" s="10"/>
      <c r="UYD43" s="10"/>
      <c r="UYE43" s="10"/>
      <c r="UYF43" s="10"/>
      <c r="UYG43" s="10"/>
      <c r="UYH43" s="10"/>
      <c r="UYI43" s="10"/>
      <c r="UYJ43" s="10"/>
      <c r="UYK43" s="10"/>
      <c r="UYL43" s="10"/>
      <c r="UYM43" s="10"/>
      <c r="UYN43" s="10"/>
      <c r="UYO43" s="10"/>
      <c r="UYP43" s="10"/>
      <c r="UYQ43" s="10"/>
      <c r="UYR43" s="10"/>
      <c r="UYS43" s="10"/>
      <c r="UYT43" s="10"/>
      <c r="UYU43" s="10"/>
      <c r="UYV43" s="10"/>
      <c r="UYW43" s="10"/>
      <c r="UYX43" s="10"/>
      <c r="UYY43" s="10"/>
      <c r="UYZ43" s="10"/>
      <c r="UZA43" s="10"/>
      <c r="UZB43" s="10"/>
      <c r="UZC43" s="10"/>
      <c r="UZD43" s="10"/>
      <c r="UZE43" s="10"/>
      <c r="UZF43" s="10"/>
      <c r="UZG43" s="10"/>
      <c r="UZH43" s="10"/>
      <c r="UZI43" s="10"/>
      <c r="UZJ43" s="10"/>
      <c r="UZK43" s="10"/>
      <c r="UZL43" s="10"/>
      <c r="UZM43" s="10"/>
      <c r="UZN43" s="10"/>
      <c r="UZO43" s="10"/>
      <c r="UZP43" s="10"/>
      <c r="UZQ43" s="10"/>
      <c r="UZR43" s="10"/>
      <c r="UZS43" s="10"/>
      <c r="UZT43" s="10"/>
      <c r="UZU43" s="10"/>
      <c r="UZV43" s="10"/>
      <c r="UZW43" s="10"/>
      <c r="UZX43" s="10"/>
      <c r="UZY43" s="10"/>
      <c r="UZZ43" s="10"/>
      <c r="VAA43" s="10"/>
      <c r="VAB43" s="10"/>
      <c r="VAC43" s="10"/>
      <c r="VAD43" s="10"/>
      <c r="VAE43" s="10"/>
      <c r="VAF43" s="10"/>
      <c r="VAG43" s="10"/>
      <c r="VAH43" s="10"/>
      <c r="VAI43" s="10"/>
      <c r="VAJ43" s="10"/>
      <c r="VAK43" s="10"/>
      <c r="VAL43" s="10"/>
      <c r="VAM43" s="10"/>
      <c r="VAN43" s="10"/>
      <c r="VAO43" s="10"/>
      <c r="VAP43" s="10"/>
      <c r="VAQ43" s="10"/>
      <c r="VAR43" s="10"/>
      <c r="VAS43" s="10"/>
      <c r="VAT43" s="10"/>
      <c r="VAU43" s="10"/>
      <c r="VAV43" s="10"/>
      <c r="VAW43" s="10"/>
      <c r="VAX43" s="10"/>
      <c r="VAY43" s="10"/>
      <c r="VAZ43" s="10"/>
      <c r="VBA43" s="10"/>
      <c r="VBB43" s="10"/>
      <c r="VBC43" s="10"/>
      <c r="VBD43" s="10"/>
      <c r="VBE43" s="10"/>
      <c r="VBF43" s="10"/>
      <c r="VBG43" s="10"/>
      <c r="VBH43" s="10"/>
      <c r="VBI43" s="10"/>
      <c r="VBJ43" s="10"/>
      <c r="VBK43" s="10"/>
      <c r="VBL43" s="10"/>
      <c r="VBM43" s="10"/>
      <c r="VBN43" s="10"/>
      <c r="VBO43" s="10"/>
      <c r="VBP43" s="10"/>
      <c r="VBQ43" s="10"/>
      <c r="VBR43" s="10"/>
      <c r="VBS43" s="10"/>
      <c r="VBT43" s="10"/>
      <c r="VBU43" s="10"/>
      <c r="VBV43" s="10"/>
      <c r="VBW43" s="10"/>
      <c r="VBX43" s="10"/>
      <c r="VBY43" s="10"/>
      <c r="VBZ43" s="10"/>
      <c r="VCA43" s="10"/>
      <c r="VCB43" s="10"/>
      <c r="VCC43" s="10"/>
      <c r="VCD43" s="10"/>
      <c r="VCE43" s="10"/>
      <c r="VCF43" s="10"/>
      <c r="VCG43" s="10"/>
      <c r="VCH43" s="10"/>
      <c r="VCI43" s="10"/>
      <c r="VCJ43" s="10"/>
      <c r="VCK43" s="10"/>
      <c r="VCL43" s="10"/>
      <c r="VCM43" s="10"/>
      <c r="VCN43" s="10"/>
      <c r="VCO43" s="10"/>
      <c r="VCP43" s="10"/>
      <c r="VCQ43" s="10"/>
      <c r="VCR43" s="10"/>
      <c r="VCS43" s="10"/>
      <c r="VCT43" s="10"/>
      <c r="VCU43" s="10"/>
      <c r="VCV43" s="10"/>
      <c r="VCW43" s="10"/>
      <c r="VCX43" s="10"/>
      <c r="VCY43" s="10"/>
      <c r="VCZ43" s="10"/>
      <c r="VDA43" s="10"/>
      <c r="VDB43" s="10"/>
      <c r="VDC43" s="10"/>
      <c r="VDD43" s="10"/>
      <c r="VDE43" s="10"/>
      <c r="VDF43" s="10"/>
      <c r="VDG43" s="10"/>
      <c r="VDH43" s="10"/>
      <c r="VDI43" s="10"/>
      <c r="VDJ43" s="10"/>
      <c r="VDK43" s="10"/>
      <c r="VDL43" s="10"/>
      <c r="VDM43" s="10"/>
      <c r="VDN43" s="10"/>
      <c r="VDO43" s="10"/>
      <c r="VDP43" s="10"/>
      <c r="VDQ43" s="10"/>
      <c r="VDR43" s="10"/>
      <c r="VDS43" s="10"/>
      <c r="VDT43" s="10"/>
      <c r="VDU43" s="10"/>
      <c r="VDV43" s="10"/>
      <c r="VDW43" s="10"/>
      <c r="VDX43" s="10"/>
      <c r="VDY43" s="10"/>
      <c r="VDZ43" s="10"/>
      <c r="VEA43" s="10"/>
      <c r="VEB43" s="10"/>
      <c r="VEC43" s="10"/>
      <c r="VED43" s="10"/>
      <c r="VEE43" s="10"/>
      <c r="VEF43" s="10"/>
      <c r="VEG43" s="10"/>
      <c r="VEH43" s="10"/>
      <c r="VEI43" s="10"/>
      <c r="VEJ43" s="10"/>
      <c r="VEK43" s="10"/>
      <c r="VEL43" s="10"/>
      <c r="VEM43" s="10"/>
      <c r="VEN43" s="10"/>
      <c r="VEO43" s="10"/>
      <c r="VEP43" s="10"/>
      <c r="VEQ43" s="10"/>
      <c r="VER43" s="10"/>
      <c r="VES43" s="10"/>
      <c r="VET43" s="10"/>
      <c r="VEU43" s="10"/>
      <c r="VEV43" s="10"/>
      <c r="VEW43" s="10"/>
      <c r="VEX43" s="10"/>
      <c r="VEY43" s="10"/>
      <c r="VEZ43" s="10"/>
      <c r="VFA43" s="10"/>
      <c r="VFB43" s="10"/>
      <c r="VFC43" s="10"/>
      <c r="VFD43" s="10"/>
      <c r="VFE43" s="10"/>
      <c r="VFF43" s="10"/>
      <c r="VFG43" s="10"/>
      <c r="VFH43" s="10"/>
      <c r="VFI43" s="10"/>
      <c r="VFJ43" s="10"/>
      <c r="VFK43" s="10"/>
      <c r="VFL43" s="10"/>
      <c r="VFM43" s="10"/>
      <c r="VFN43" s="10"/>
      <c r="VFO43" s="10"/>
      <c r="VFP43" s="10"/>
      <c r="VFQ43" s="10"/>
      <c r="VFR43" s="10"/>
      <c r="VFS43" s="10"/>
      <c r="VFT43" s="10"/>
      <c r="VFU43" s="10"/>
      <c r="VFV43" s="10"/>
      <c r="VFW43" s="10"/>
      <c r="VFX43" s="10"/>
      <c r="VFY43" s="10"/>
      <c r="VFZ43" s="10"/>
      <c r="VGA43" s="10"/>
      <c r="VGB43" s="10"/>
      <c r="VGC43" s="10"/>
      <c r="VGD43" s="10"/>
      <c r="VGE43" s="10"/>
      <c r="VGF43" s="10"/>
      <c r="VGG43" s="10"/>
      <c r="VGH43" s="10"/>
      <c r="VGI43" s="10"/>
      <c r="VGJ43" s="10"/>
      <c r="VGK43" s="10"/>
      <c r="VGL43" s="10"/>
      <c r="VGM43" s="10"/>
      <c r="VGN43" s="10"/>
      <c r="VGO43" s="10"/>
      <c r="VGP43" s="10"/>
      <c r="VGQ43" s="10"/>
      <c r="VGR43" s="10"/>
      <c r="VGS43" s="10"/>
      <c r="VGT43" s="10"/>
      <c r="VGU43" s="10"/>
      <c r="VGV43" s="10"/>
      <c r="VGW43" s="10"/>
      <c r="VGX43" s="10"/>
      <c r="VGY43" s="10"/>
      <c r="VGZ43" s="10"/>
      <c r="VHA43" s="10"/>
      <c r="VHB43" s="10"/>
      <c r="VHC43" s="10"/>
      <c r="VHD43" s="10"/>
      <c r="VHE43" s="10"/>
      <c r="VHF43" s="10"/>
      <c r="VHG43" s="10"/>
      <c r="VHH43" s="10"/>
      <c r="VHI43" s="10"/>
      <c r="VHJ43" s="10"/>
      <c r="VHK43" s="10"/>
      <c r="VHL43" s="10"/>
      <c r="VHM43" s="10"/>
      <c r="VHN43" s="10"/>
      <c r="VHO43" s="10"/>
      <c r="VHP43" s="10"/>
      <c r="VHQ43" s="10"/>
      <c r="VHR43" s="10"/>
      <c r="VHS43" s="10"/>
      <c r="VHT43" s="10"/>
      <c r="VHU43" s="10"/>
      <c r="VHV43" s="10"/>
      <c r="VHW43" s="10"/>
      <c r="VHX43" s="10"/>
      <c r="VHY43" s="10"/>
      <c r="VHZ43" s="10"/>
      <c r="VIA43" s="10"/>
      <c r="VIB43" s="10"/>
      <c r="VIC43" s="10"/>
      <c r="VID43" s="10"/>
      <c r="VIE43" s="10"/>
      <c r="VIF43" s="10"/>
      <c r="VIG43" s="10"/>
      <c r="VIH43" s="10"/>
      <c r="VII43" s="10"/>
      <c r="VIJ43" s="10"/>
      <c r="VIK43" s="10"/>
      <c r="VIL43" s="10"/>
      <c r="VIM43" s="10"/>
      <c r="VIN43" s="10"/>
      <c r="VIO43" s="10"/>
      <c r="VIP43" s="10"/>
      <c r="VIQ43" s="10"/>
      <c r="VIR43" s="10"/>
      <c r="VIS43" s="10"/>
      <c r="VIT43" s="10"/>
      <c r="VIU43" s="10"/>
      <c r="VIV43" s="10"/>
      <c r="VIW43" s="10"/>
      <c r="VIX43" s="10"/>
      <c r="VIY43" s="10"/>
      <c r="VIZ43" s="10"/>
      <c r="VJA43" s="10"/>
      <c r="VJB43" s="10"/>
      <c r="VJC43" s="10"/>
      <c r="VJD43" s="10"/>
      <c r="VJE43" s="10"/>
      <c r="VJF43" s="10"/>
      <c r="VJG43" s="10"/>
      <c r="VJH43" s="10"/>
      <c r="VJI43" s="10"/>
      <c r="VJJ43" s="10"/>
      <c r="VJK43" s="10"/>
      <c r="VJL43" s="10"/>
      <c r="VJM43" s="10"/>
      <c r="VJN43" s="10"/>
      <c r="VJO43" s="10"/>
      <c r="VJP43" s="10"/>
      <c r="VJQ43" s="10"/>
      <c r="VJR43" s="10"/>
      <c r="VJS43" s="10"/>
      <c r="VJT43" s="10"/>
      <c r="VJU43" s="10"/>
      <c r="VJV43" s="10"/>
      <c r="VJW43" s="10"/>
      <c r="VJX43" s="10"/>
      <c r="VJY43" s="10"/>
      <c r="VJZ43" s="10"/>
      <c r="VKA43" s="10"/>
      <c r="VKB43" s="10"/>
      <c r="VKC43" s="10"/>
      <c r="VKD43" s="10"/>
      <c r="VKE43" s="10"/>
      <c r="VKF43" s="10"/>
      <c r="VKG43" s="10"/>
      <c r="VKH43" s="10"/>
      <c r="VKI43" s="10"/>
      <c r="VKJ43" s="10"/>
      <c r="VKK43" s="10"/>
      <c r="VKL43" s="10"/>
      <c r="VKM43" s="10"/>
      <c r="VKN43" s="10"/>
      <c r="VKO43" s="10"/>
      <c r="VKP43" s="10"/>
      <c r="VKQ43" s="10"/>
      <c r="VKR43" s="10"/>
      <c r="VKS43" s="10"/>
      <c r="VKT43" s="10"/>
      <c r="VKU43" s="10"/>
      <c r="VKV43" s="10"/>
      <c r="VKW43" s="10"/>
      <c r="VKX43" s="10"/>
      <c r="VKY43" s="10"/>
      <c r="VKZ43" s="10"/>
      <c r="VLA43" s="10"/>
      <c r="VLB43" s="10"/>
      <c r="VLC43" s="10"/>
      <c r="VLD43" s="10"/>
      <c r="VLE43" s="10"/>
      <c r="VLF43" s="10"/>
      <c r="VLG43" s="10"/>
      <c r="VLH43" s="10"/>
      <c r="VLI43" s="10"/>
      <c r="VLJ43" s="10"/>
      <c r="VLK43" s="10"/>
      <c r="VLL43" s="10"/>
      <c r="VLM43" s="10"/>
      <c r="VLN43" s="10"/>
      <c r="VLO43" s="10"/>
      <c r="VLP43" s="10"/>
      <c r="VLQ43" s="10"/>
      <c r="VLR43" s="10"/>
      <c r="VLS43" s="10"/>
      <c r="VLT43" s="10"/>
      <c r="VLU43" s="10"/>
      <c r="VLV43" s="10"/>
      <c r="VLW43" s="10"/>
      <c r="VLX43" s="10"/>
      <c r="VLY43" s="10"/>
      <c r="VLZ43" s="10"/>
      <c r="VMA43" s="10"/>
      <c r="VMB43" s="10"/>
      <c r="VMC43" s="10"/>
      <c r="VMD43" s="10"/>
      <c r="VME43" s="10"/>
      <c r="VMF43" s="10"/>
      <c r="VMG43" s="10"/>
      <c r="VMH43" s="10"/>
      <c r="VMI43" s="10"/>
      <c r="VMJ43" s="10"/>
      <c r="VMK43" s="10"/>
      <c r="VML43" s="10"/>
      <c r="VMM43" s="10"/>
      <c r="VMN43" s="10"/>
      <c r="VMO43" s="10"/>
      <c r="VMP43" s="10"/>
      <c r="VMQ43" s="10"/>
      <c r="VMR43" s="10"/>
      <c r="VMS43" s="10"/>
      <c r="VMT43" s="10"/>
      <c r="VMU43" s="10"/>
      <c r="VMV43" s="10"/>
      <c r="VMW43" s="10"/>
      <c r="VMX43" s="10"/>
      <c r="VMY43" s="10"/>
      <c r="VMZ43" s="10"/>
      <c r="VNA43" s="10"/>
      <c r="VNB43" s="10"/>
      <c r="VNC43" s="10"/>
      <c r="VND43" s="10"/>
      <c r="VNE43" s="10"/>
      <c r="VNF43" s="10"/>
      <c r="VNG43" s="10"/>
      <c r="VNH43" s="10"/>
      <c r="VNI43" s="10"/>
      <c r="VNJ43" s="10"/>
      <c r="VNK43" s="10"/>
      <c r="VNL43" s="10"/>
      <c r="VNM43" s="10"/>
      <c r="VNN43" s="10"/>
      <c r="VNO43" s="10"/>
      <c r="VNP43" s="10"/>
      <c r="VNQ43" s="10"/>
      <c r="VNR43" s="10"/>
      <c r="VNS43" s="10"/>
      <c r="VNT43" s="10"/>
      <c r="VNU43" s="10"/>
      <c r="VNV43" s="10"/>
      <c r="VNW43" s="10"/>
      <c r="VNX43" s="10"/>
      <c r="VNY43" s="10"/>
      <c r="VNZ43" s="10"/>
      <c r="VOA43" s="10"/>
      <c r="VOB43" s="10"/>
      <c r="VOC43" s="10"/>
      <c r="VOD43" s="10"/>
      <c r="VOE43" s="10"/>
      <c r="VOF43" s="10"/>
      <c r="VOG43" s="10"/>
      <c r="VOH43" s="10"/>
      <c r="VOI43" s="10"/>
      <c r="VOJ43" s="10"/>
      <c r="VOK43" s="10"/>
      <c r="VOL43" s="10"/>
      <c r="VOM43" s="10"/>
      <c r="VON43" s="10"/>
      <c r="VOO43" s="10"/>
      <c r="VOP43" s="10"/>
      <c r="VOQ43" s="10"/>
      <c r="VOR43" s="10"/>
      <c r="VOS43" s="10"/>
      <c r="VOT43" s="10"/>
      <c r="VOU43" s="10"/>
      <c r="VOV43" s="10"/>
      <c r="VOW43" s="10"/>
      <c r="VOX43" s="10"/>
      <c r="VOY43" s="10"/>
      <c r="VOZ43" s="10"/>
      <c r="VPA43" s="10"/>
      <c r="VPB43" s="10"/>
      <c r="VPC43" s="10"/>
      <c r="VPD43" s="10"/>
      <c r="VPE43" s="10"/>
      <c r="VPF43" s="10"/>
      <c r="VPG43" s="10"/>
      <c r="VPH43" s="10"/>
      <c r="VPI43" s="10"/>
      <c r="VPJ43" s="10"/>
      <c r="VPK43" s="10"/>
      <c r="VPL43" s="10"/>
      <c r="VPM43" s="10"/>
      <c r="VPN43" s="10"/>
      <c r="VPO43" s="10"/>
      <c r="VPP43" s="10"/>
      <c r="VPQ43" s="10"/>
      <c r="VPR43" s="10"/>
      <c r="VPS43" s="10"/>
      <c r="VPT43" s="10"/>
      <c r="VPU43" s="10"/>
      <c r="VPV43" s="10"/>
      <c r="VPW43" s="10"/>
      <c r="VPX43" s="10"/>
      <c r="VPY43" s="10"/>
      <c r="VPZ43" s="10"/>
      <c r="VQA43" s="10"/>
      <c r="VQB43" s="10"/>
      <c r="VQC43" s="10"/>
      <c r="VQD43" s="10"/>
      <c r="VQE43" s="10"/>
      <c r="VQF43" s="10"/>
      <c r="VQG43" s="10"/>
      <c r="VQH43" s="10"/>
      <c r="VQI43" s="10"/>
      <c r="VQJ43" s="10"/>
      <c r="VQK43" s="10"/>
      <c r="VQL43" s="10"/>
      <c r="VQM43" s="10"/>
      <c r="VQN43" s="10"/>
      <c r="VQO43" s="10"/>
      <c r="VQP43" s="10"/>
      <c r="VQQ43" s="10"/>
      <c r="VQR43" s="10"/>
      <c r="VQS43" s="10"/>
      <c r="VQT43" s="10"/>
      <c r="VQU43" s="10"/>
      <c r="VQV43" s="10"/>
      <c r="VQW43" s="10"/>
      <c r="VQX43" s="10"/>
      <c r="VQY43" s="10"/>
      <c r="VQZ43" s="10"/>
      <c r="VRA43" s="10"/>
      <c r="VRB43" s="10"/>
      <c r="VRC43" s="10"/>
      <c r="VRD43" s="10"/>
      <c r="VRE43" s="10"/>
      <c r="VRF43" s="10"/>
      <c r="VRG43" s="10"/>
      <c r="VRH43" s="10"/>
      <c r="VRI43" s="10"/>
      <c r="VRJ43" s="10"/>
      <c r="VRK43" s="10"/>
      <c r="VRL43" s="10"/>
      <c r="VRM43" s="10"/>
      <c r="VRN43" s="10"/>
      <c r="VRO43" s="10"/>
      <c r="VRP43" s="10"/>
      <c r="VRQ43" s="10"/>
      <c r="VRR43" s="10"/>
      <c r="VRS43" s="10"/>
      <c r="VRT43" s="10"/>
      <c r="VRU43" s="10"/>
      <c r="VRV43" s="10"/>
      <c r="VRW43" s="10"/>
      <c r="VRX43" s="10"/>
      <c r="VRY43" s="10"/>
      <c r="VRZ43" s="10"/>
      <c r="VSA43" s="10"/>
      <c r="VSB43" s="10"/>
      <c r="VSC43" s="10"/>
      <c r="VSD43" s="10"/>
      <c r="VSE43" s="10"/>
      <c r="VSF43" s="10"/>
      <c r="VSG43" s="10"/>
      <c r="VSH43" s="10"/>
      <c r="VSI43" s="10"/>
      <c r="VSJ43" s="10"/>
      <c r="VSK43" s="10"/>
      <c r="VSL43" s="10"/>
      <c r="VSM43" s="10"/>
      <c r="VSN43" s="10"/>
      <c r="VSO43" s="10"/>
      <c r="VSP43" s="10"/>
      <c r="VSQ43" s="10"/>
      <c r="VSR43" s="10"/>
      <c r="VSS43" s="10"/>
      <c r="VST43" s="10"/>
      <c r="VSU43" s="10"/>
      <c r="VSV43" s="10"/>
      <c r="VSW43" s="10"/>
      <c r="VSX43" s="10"/>
      <c r="VSY43" s="10"/>
      <c r="VSZ43" s="10"/>
      <c r="VTA43" s="10"/>
      <c r="VTB43" s="10"/>
      <c r="VTC43" s="10"/>
      <c r="VTD43" s="10"/>
      <c r="VTE43" s="10"/>
      <c r="VTF43" s="10"/>
      <c r="VTG43" s="10"/>
      <c r="VTH43" s="10"/>
      <c r="VTI43" s="10"/>
      <c r="VTJ43" s="10"/>
      <c r="VTK43" s="10"/>
      <c r="VTL43" s="10"/>
      <c r="VTM43" s="10"/>
      <c r="VTN43" s="10"/>
      <c r="VTO43" s="10"/>
      <c r="VTP43" s="10"/>
      <c r="VTQ43" s="10"/>
      <c r="VTR43" s="10"/>
      <c r="VTS43" s="10"/>
      <c r="VTT43" s="10"/>
      <c r="VTU43" s="10"/>
      <c r="VTV43" s="10"/>
      <c r="VTW43" s="10"/>
      <c r="VTX43" s="10"/>
      <c r="VTY43" s="10"/>
      <c r="VTZ43" s="10"/>
      <c r="VUA43" s="10"/>
      <c r="VUB43" s="10"/>
      <c r="VUC43" s="10"/>
      <c r="VUD43" s="10"/>
      <c r="VUE43" s="10"/>
      <c r="VUF43" s="10"/>
      <c r="VUG43" s="10"/>
      <c r="VUH43" s="10"/>
      <c r="VUI43" s="10"/>
      <c r="VUJ43" s="10"/>
      <c r="VUK43" s="10"/>
      <c r="VUL43" s="10"/>
      <c r="VUM43" s="10"/>
      <c r="VUN43" s="10"/>
      <c r="VUO43" s="10"/>
      <c r="VUP43" s="10"/>
      <c r="VUQ43" s="10"/>
      <c r="VUR43" s="10"/>
      <c r="VUS43" s="10"/>
      <c r="VUT43" s="10"/>
      <c r="VUU43" s="10"/>
      <c r="VUV43" s="10"/>
      <c r="VUW43" s="10"/>
      <c r="VUX43" s="10"/>
      <c r="VUY43" s="10"/>
      <c r="VUZ43" s="10"/>
      <c r="VVA43" s="10"/>
      <c r="VVB43" s="10"/>
      <c r="VVC43" s="10"/>
      <c r="VVD43" s="10"/>
      <c r="VVE43" s="10"/>
      <c r="VVF43" s="10"/>
      <c r="VVG43" s="10"/>
      <c r="VVH43" s="10"/>
      <c r="VVI43" s="10"/>
      <c r="VVJ43" s="10"/>
      <c r="VVK43" s="10"/>
      <c r="VVL43" s="10"/>
      <c r="VVM43" s="10"/>
      <c r="VVN43" s="10"/>
      <c r="VVO43" s="10"/>
      <c r="VVP43" s="10"/>
      <c r="VVQ43" s="10"/>
      <c r="VVR43" s="10"/>
      <c r="VVS43" s="10"/>
      <c r="VVT43" s="10"/>
      <c r="VVU43" s="10"/>
      <c r="VVV43" s="10"/>
      <c r="VVW43" s="10"/>
      <c r="VVX43" s="10"/>
      <c r="VVY43" s="10"/>
      <c r="VVZ43" s="10"/>
      <c r="VWA43" s="10"/>
      <c r="VWB43" s="10"/>
      <c r="VWC43" s="10"/>
      <c r="VWD43" s="10"/>
      <c r="VWE43" s="10"/>
      <c r="VWF43" s="10"/>
      <c r="VWG43" s="10"/>
      <c r="VWH43" s="10"/>
      <c r="VWI43" s="10"/>
      <c r="VWJ43" s="10"/>
      <c r="VWK43" s="10"/>
      <c r="VWL43" s="10"/>
      <c r="VWM43" s="10"/>
      <c r="VWN43" s="10"/>
      <c r="VWO43" s="10"/>
      <c r="VWP43" s="10"/>
      <c r="VWQ43" s="10"/>
      <c r="VWR43" s="10"/>
      <c r="VWS43" s="10"/>
      <c r="VWT43" s="10"/>
      <c r="VWU43" s="10"/>
      <c r="VWV43" s="10"/>
      <c r="VWW43" s="10"/>
      <c r="VWX43" s="10"/>
      <c r="VWY43" s="10"/>
      <c r="VWZ43" s="10"/>
      <c r="VXA43" s="10"/>
      <c r="VXB43" s="10"/>
      <c r="VXC43" s="10"/>
      <c r="VXD43" s="10"/>
      <c r="VXE43" s="10"/>
      <c r="VXF43" s="10"/>
      <c r="VXG43" s="10"/>
      <c r="VXH43" s="10"/>
      <c r="VXI43" s="10"/>
      <c r="VXJ43" s="10"/>
      <c r="VXK43" s="10"/>
      <c r="VXL43" s="10"/>
      <c r="VXM43" s="10"/>
      <c r="VXN43" s="10"/>
      <c r="VXO43" s="10"/>
      <c r="VXP43" s="10"/>
      <c r="VXQ43" s="10"/>
      <c r="VXR43" s="10"/>
      <c r="VXS43" s="10"/>
      <c r="VXT43" s="10"/>
      <c r="VXU43" s="10"/>
      <c r="VXV43" s="10"/>
      <c r="VXW43" s="10"/>
      <c r="VXX43" s="10"/>
      <c r="VXY43" s="10"/>
      <c r="VXZ43" s="10"/>
      <c r="VYA43" s="10"/>
      <c r="VYB43" s="10"/>
      <c r="VYC43" s="10"/>
      <c r="VYD43" s="10"/>
      <c r="VYE43" s="10"/>
      <c r="VYF43" s="10"/>
      <c r="VYG43" s="10"/>
      <c r="VYH43" s="10"/>
      <c r="VYI43" s="10"/>
      <c r="VYJ43" s="10"/>
      <c r="VYK43" s="10"/>
      <c r="VYL43" s="10"/>
      <c r="VYM43" s="10"/>
      <c r="VYN43" s="10"/>
      <c r="VYO43" s="10"/>
      <c r="VYP43" s="10"/>
      <c r="VYQ43" s="10"/>
      <c r="VYR43" s="10"/>
      <c r="VYS43" s="10"/>
      <c r="VYT43" s="10"/>
      <c r="VYU43" s="10"/>
      <c r="VYV43" s="10"/>
      <c r="VYW43" s="10"/>
      <c r="VYX43" s="10"/>
      <c r="VYY43" s="10"/>
      <c r="VYZ43" s="10"/>
      <c r="VZA43" s="10"/>
      <c r="VZB43" s="10"/>
      <c r="VZC43" s="10"/>
      <c r="VZD43" s="10"/>
      <c r="VZE43" s="10"/>
      <c r="VZF43" s="10"/>
      <c r="VZG43" s="10"/>
      <c r="VZH43" s="10"/>
      <c r="VZI43" s="10"/>
      <c r="VZJ43" s="10"/>
      <c r="VZK43" s="10"/>
      <c r="VZL43" s="10"/>
      <c r="VZM43" s="10"/>
      <c r="VZN43" s="10"/>
      <c r="VZO43" s="10"/>
      <c r="VZP43" s="10"/>
      <c r="VZQ43" s="10"/>
      <c r="VZR43" s="10"/>
      <c r="VZS43" s="10"/>
      <c r="VZT43" s="10"/>
      <c r="VZU43" s="10"/>
      <c r="VZV43" s="10"/>
      <c r="VZW43" s="10"/>
      <c r="VZX43" s="10"/>
      <c r="VZY43" s="10"/>
      <c r="VZZ43" s="10"/>
      <c r="WAA43" s="10"/>
      <c r="WAB43" s="10"/>
      <c r="WAC43" s="10"/>
      <c r="WAD43" s="10"/>
      <c r="WAE43" s="10"/>
      <c r="WAF43" s="10"/>
      <c r="WAG43" s="10"/>
      <c r="WAH43" s="10"/>
      <c r="WAI43" s="10"/>
      <c r="WAJ43" s="10"/>
      <c r="WAK43" s="10"/>
      <c r="WAL43" s="10"/>
      <c r="WAM43" s="10"/>
      <c r="WAN43" s="10"/>
      <c r="WAO43" s="10"/>
      <c r="WAP43" s="10"/>
      <c r="WAQ43" s="10"/>
      <c r="WAR43" s="10"/>
      <c r="WAS43" s="10"/>
      <c r="WAT43" s="10"/>
      <c r="WAU43" s="10"/>
      <c r="WAV43" s="10"/>
      <c r="WAW43" s="10"/>
      <c r="WAX43" s="10"/>
      <c r="WAY43" s="10"/>
      <c r="WAZ43" s="10"/>
      <c r="WBA43" s="10"/>
      <c r="WBB43" s="10"/>
      <c r="WBC43" s="10"/>
      <c r="WBD43" s="10"/>
      <c r="WBE43" s="10"/>
      <c r="WBF43" s="10"/>
      <c r="WBG43" s="10"/>
      <c r="WBH43" s="10"/>
      <c r="WBI43" s="10"/>
      <c r="WBJ43" s="10"/>
      <c r="WBK43" s="10"/>
      <c r="WBL43" s="10"/>
      <c r="WBM43" s="10"/>
      <c r="WBN43" s="10"/>
      <c r="WBO43" s="10"/>
      <c r="WBP43" s="10"/>
      <c r="WBQ43" s="10"/>
      <c r="WBR43" s="10"/>
      <c r="WBS43" s="10"/>
      <c r="WBT43" s="10"/>
      <c r="WBU43" s="10"/>
      <c r="WBV43" s="10"/>
      <c r="WBW43" s="10"/>
      <c r="WBX43" s="10"/>
      <c r="WBY43" s="10"/>
      <c r="WBZ43" s="10"/>
      <c r="WCA43" s="10"/>
      <c r="WCB43" s="10"/>
      <c r="WCC43" s="10"/>
      <c r="WCD43" s="10"/>
      <c r="WCE43" s="10"/>
      <c r="WCF43" s="10"/>
      <c r="WCG43" s="10"/>
      <c r="WCH43" s="10"/>
      <c r="WCI43" s="10"/>
      <c r="WCJ43" s="10"/>
      <c r="WCK43" s="10"/>
      <c r="WCL43" s="10"/>
      <c r="WCM43" s="10"/>
      <c r="WCN43" s="10"/>
      <c r="WCO43" s="10"/>
      <c r="WCP43" s="10"/>
      <c r="WCQ43" s="10"/>
      <c r="WCR43" s="10"/>
      <c r="WCS43" s="10"/>
      <c r="WCT43" s="10"/>
      <c r="WCU43" s="10"/>
      <c r="WCV43" s="10"/>
      <c r="WCW43" s="10"/>
      <c r="WCX43" s="10"/>
      <c r="WCY43" s="10"/>
      <c r="WCZ43" s="10"/>
      <c r="WDA43" s="10"/>
      <c r="WDB43" s="10"/>
      <c r="WDC43" s="10"/>
      <c r="WDD43" s="10"/>
      <c r="WDE43" s="10"/>
      <c r="WDF43" s="10"/>
      <c r="WDG43" s="10"/>
      <c r="WDH43" s="10"/>
      <c r="WDI43" s="10"/>
      <c r="WDJ43" s="10"/>
      <c r="WDK43" s="10"/>
      <c r="WDL43" s="10"/>
      <c r="WDM43" s="10"/>
      <c r="WDN43" s="10"/>
      <c r="WDO43" s="10"/>
      <c r="WDP43" s="10"/>
      <c r="WDQ43" s="10"/>
      <c r="WDR43" s="10"/>
      <c r="WDS43" s="10"/>
      <c r="WDT43" s="10"/>
      <c r="WDU43" s="10"/>
      <c r="WDV43" s="10"/>
      <c r="WDW43" s="10"/>
      <c r="WDX43" s="10"/>
      <c r="WDY43" s="10"/>
      <c r="WDZ43" s="10"/>
      <c r="WEA43" s="10"/>
      <c r="WEB43" s="10"/>
      <c r="WEC43" s="10"/>
      <c r="WED43" s="10"/>
      <c r="WEE43" s="10"/>
      <c r="WEF43" s="10"/>
      <c r="WEG43" s="10"/>
      <c r="WEH43" s="10"/>
      <c r="WEI43" s="10"/>
      <c r="WEJ43" s="10"/>
      <c r="WEK43" s="10"/>
      <c r="WEL43" s="10"/>
      <c r="WEM43" s="10"/>
      <c r="WEN43" s="10"/>
      <c r="WEO43" s="10"/>
      <c r="WEP43" s="10"/>
      <c r="WEQ43" s="10"/>
      <c r="WER43" s="10"/>
      <c r="WES43" s="10"/>
      <c r="WET43" s="10"/>
      <c r="WEU43" s="10"/>
      <c r="WEV43" s="10"/>
      <c r="WEW43" s="10"/>
      <c r="WEX43" s="10"/>
      <c r="WEY43" s="10"/>
      <c r="WEZ43" s="10"/>
      <c r="WFA43" s="10"/>
      <c r="WFB43" s="10"/>
      <c r="WFC43" s="10"/>
      <c r="WFD43" s="10"/>
      <c r="WFE43" s="10"/>
      <c r="WFF43" s="10"/>
      <c r="WFG43" s="10"/>
      <c r="WFH43" s="10"/>
      <c r="WFI43" s="10"/>
      <c r="WFJ43" s="10"/>
      <c r="WFK43" s="10"/>
      <c r="WFL43" s="10"/>
      <c r="WFM43" s="10"/>
      <c r="WFN43" s="10"/>
      <c r="WFO43" s="10"/>
      <c r="WFP43" s="10"/>
      <c r="WFQ43" s="10"/>
      <c r="WFR43" s="10"/>
      <c r="WFS43" s="10"/>
      <c r="WFT43" s="10"/>
      <c r="WFU43" s="10"/>
      <c r="WFV43" s="10"/>
      <c r="WFW43" s="10"/>
      <c r="WFX43" s="10"/>
      <c r="WFY43" s="10"/>
      <c r="WFZ43" s="10"/>
      <c r="WGA43" s="10"/>
      <c r="WGB43" s="10"/>
      <c r="WGC43" s="10"/>
      <c r="WGD43" s="10"/>
      <c r="WGE43" s="10"/>
      <c r="WGF43" s="10"/>
      <c r="WGG43" s="10"/>
      <c r="WGH43" s="10"/>
      <c r="WGI43" s="10"/>
      <c r="WGJ43" s="10"/>
      <c r="WGK43" s="10"/>
      <c r="WGL43" s="10"/>
      <c r="WGM43" s="10"/>
      <c r="WGN43" s="10"/>
      <c r="WGO43" s="10"/>
      <c r="WGP43" s="10"/>
      <c r="WGQ43" s="10"/>
      <c r="WGR43" s="10"/>
      <c r="WGS43" s="10"/>
      <c r="WGT43" s="10"/>
      <c r="WGU43" s="10"/>
      <c r="WGV43" s="10"/>
      <c r="WGW43" s="10"/>
      <c r="WGX43" s="10"/>
      <c r="WGY43" s="10"/>
      <c r="WGZ43" s="10"/>
      <c r="WHA43" s="10"/>
      <c r="WHB43" s="10"/>
      <c r="WHC43" s="10"/>
      <c r="WHD43" s="10"/>
      <c r="WHE43" s="10"/>
      <c r="WHF43" s="10"/>
      <c r="WHG43" s="10"/>
      <c r="WHH43" s="10"/>
      <c r="WHI43" s="10"/>
      <c r="WHJ43" s="10"/>
      <c r="WHK43" s="10"/>
      <c r="WHL43" s="10"/>
      <c r="WHM43" s="10"/>
      <c r="WHN43" s="10"/>
      <c r="WHO43" s="10"/>
      <c r="WHP43" s="10"/>
      <c r="WHQ43" s="10"/>
      <c r="WHR43" s="10"/>
      <c r="WHS43" s="10"/>
      <c r="WHT43" s="10"/>
      <c r="WHU43" s="10"/>
      <c r="WHV43" s="10"/>
      <c r="WHW43" s="10"/>
      <c r="WHX43" s="10"/>
      <c r="WHY43" s="10"/>
      <c r="WHZ43" s="10"/>
      <c r="WIA43" s="10"/>
      <c r="WIB43" s="10"/>
      <c r="WIC43" s="10"/>
      <c r="WID43" s="10"/>
      <c r="WIE43" s="10"/>
      <c r="WIF43" s="10"/>
      <c r="WIG43" s="10"/>
      <c r="WIH43" s="10"/>
      <c r="WII43" s="10"/>
      <c r="WIJ43" s="10"/>
      <c r="WIK43" s="10"/>
      <c r="WIL43" s="10"/>
      <c r="WIM43" s="10"/>
      <c r="WIN43" s="10"/>
      <c r="WIO43" s="10"/>
      <c r="WIP43" s="10"/>
      <c r="WIQ43" s="10"/>
      <c r="WIR43" s="10"/>
      <c r="WIS43" s="10"/>
      <c r="WIT43" s="10"/>
      <c r="WIU43" s="10"/>
      <c r="WIV43" s="10"/>
      <c r="WIW43" s="10"/>
      <c r="WIX43" s="10"/>
      <c r="WIY43" s="10"/>
      <c r="WIZ43" s="10"/>
      <c r="WJA43" s="10"/>
      <c r="WJB43" s="10"/>
      <c r="WJC43" s="10"/>
      <c r="WJD43" s="10"/>
      <c r="WJE43" s="10"/>
      <c r="WJF43" s="10"/>
      <c r="WJG43" s="10"/>
      <c r="WJH43" s="10"/>
      <c r="WJI43" s="10"/>
      <c r="WJJ43" s="10"/>
      <c r="WJK43" s="10"/>
      <c r="WJL43" s="10"/>
      <c r="WJM43" s="10"/>
      <c r="WJN43" s="10"/>
      <c r="WJO43" s="10"/>
      <c r="WJP43" s="10"/>
      <c r="WJQ43" s="10"/>
      <c r="WJR43" s="10"/>
      <c r="WJS43" s="10"/>
      <c r="WJT43" s="10"/>
      <c r="WJU43" s="10"/>
      <c r="WJV43" s="10"/>
      <c r="WJW43" s="10"/>
      <c r="WJX43" s="10"/>
      <c r="WJY43" s="10"/>
      <c r="WJZ43" s="10"/>
      <c r="WKA43" s="10"/>
      <c r="WKB43" s="10"/>
      <c r="WKC43" s="10"/>
      <c r="WKD43" s="10"/>
      <c r="WKE43" s="10"/>
      <c r="WKF43" s="10"/>
      <c r="WKG43" s="10"/>
      <c r="WKH43" s="10"/>
      <c r="WKI43" s="10"/>
      <c r="WKJ43" s="10"/>
      <c r="WKK43" s="10"/>
      <c r="WKL43" s="10"/>
      <c r="WKM43" s="10"/>
      <c r="WKN43" s="10"/>
      <c r="WKO43" s="10"/>
      <c r="WKP43" s="10"/>
      <c r="WKQ43" s="10"/>
      <c r="WKR43" s="10"/>
      <c r="WKS43" s="10"/>
      <c r="WKT43" s="10"/>
      <c r="WKU43" s="10"/>
      <c r="WKV43" s="10"/>
      <c r="WKW43" s="10"/>
      <c r="WKX43" s="10"/>
      <c r="WKY43" s="10"/>
      <c r="WKZ43" s="10"/>
      <c r="WLA43" s="10"/>
      <c r="WLB43" s="10"/>
      <c r="WLC43" s="10"/>
      <c r="WLD43" s="10"/>
      <c r="WLE43" s="10"/>
      <c r="WLF43" s="10"/>
      <c r="WLG43" s="10"/>
      <c r="WLH43" s="10"/>
      <c r="WLI43" s="10"/>
      <c r="WLJ43" s="10"/>
      <c r="WLK43" s="10"/>
      <c r="WLL43" s="10"/>
      <c r="WLM43" s="10"/>
      <c r="WLN43" s="10"/>
      <c r="WLO43" s="10"/>
      <c r="WLP43" s="10"/>
      <c r="WLQ43" s="10"/>
      <c r="WLR43" s="10"/>
      <c r="WLS43" s="10"/>
      <c r="WLT43" s="10"/>
      <c r="WLU43" s="10"/>
      <c r="WLV43" s="10"/>
      <c r="WLW43" s="10"/>
      <c r="WLX43" s="10"/>
      <c r="WLY43" s="10"/>
      <c r="WLZ43" s="10"/>
      <c r="WMA43" s="10"/>
      <c r="WMB43" s="10"/>
      <c r="WMC43" s="10"/>
      <c r="WMD43" s="10"/>
      <c r="WME43" s="10"/>
      <c r="WMF43" s="10"/>
      <c r="WMG43" s="10"/>
      <c r="WMH43" s="10"/>
      <c r="WMI43" s="10"/>
      <c r="WMJ43" s="10"/>
      <c r="WMK43" s="10"/>
      <c r="WML43" s="10"/>
      <c r="WMM43" s="10"/>
      <c r="WMN43" s="10"/>
      <c r="WMO43" s="10"/>
      <c r="WMP43" s="10"/>
      <c r="WMQ43" s="10"/>
      <c r="WMR43" s="10"/>
      <c r="WMS43" s="10"/>
      <c r="WMT43" s="10"/>
      <c r="WMU43" s="10"/>
      <c r="WMV43" s="10"/>
      <c r="WMW43" s="10"/>
      <c r="WMX43" s="10"/>
      <c r="WMY43" s="10"/>
      <c r="WMZ43" s="10"/>
      <c r="WNA43" s="10"/>
      <c r="WNB43" s="10"/>
      <c r="WNC43" s="10"/>
      <c r="WND43" s="10"/>
      <c r="WNE43" s="10"/>
      <c r="WNF43" s="10"/>
      <c r="WNG43" s="10"/>
      <c r="WNH43" s="10"/>
      <c r="WNI43" s="10"/>
      <c r="WNJ43" s="10"/>
      <c r="WNK43" s="10"/>
      <c r="WNL43" s="10"/>
      <c r="WNM43" s="10"/>
      <c r="WNN43" s="10"/>
      <c r="WNO43" s="10"/>
      <c r="WNP43" s="10"/>
      <c r="WNQ43" s="10"/>
      <c r="WNR43" s="10"/>
      <c r="WNS43" s="10"/>
      <c r="WNT43" s="10"/>
      <c r="WNU43" s="10"/>
      <c r="WNV43" s="10"/>
      <c r="WNW43" s="10"/>
      <c r="WNX43" s="10"/>
      <c r="WNY43" s="10"/>
      <c r="WNZ43" s="10"/>
      <c r="WOA43" s="10"/>
      <c r="WOB43" s="10"/>
      <c r="WOC43" s="10"/>
      <c r="WOD43" s="10"/>
      <c r="WOE43" s="10"/>
      <c r="WOF43" s="10"/>
      <c r="WOG43" s="10"/>
      <c r="WOH43" s="10"/>
      <c r="WOI43" s="10"/>
      <c r="WOJ43" s="10"/>
      <c r="WOK43" s="10"/>
      <c r="WOL43" s="10"/>
      <c r="WOM43" s="10"/>
      <c r="WON43" s="10"/>
      <c r="WOO43" s="10"/>
      <c r="WOP43" s="10"/>
      <c r="WOQ43" s="10"/>
      <c r="WOR43" s="10"/>
      <c r="WOS43" s="10"/>
      <c r="WOT43" s="10"/>
      <c r="WOU43" s="10"/>
      <c r="WOV43" s="10"/>
      <c r="WOW43" s="10"/>
      <c r="WOX43" s="10"/>
      <c r="WOY43" s="10"/>
      <c r="WOZ43" s="10"/>
      <c r="WPA43" s="10"/>
      <c r="WPB43" s="10"/>
      <c r="WPC43" s="10"/>
      <c r="WPD43" s="10"/>
      <c r="WPE43" s="10"/>
      <c r="WPF43" s="10"/>
      <c r="WPG43" s="10"/>
      <c r="WPH43" s="10"/>
      <c r="WPI43" s="10"/>
      <c r="WPJ43" s="10"/>
      <c r="WPK43" s="10"/>
      <c r="WPL43" s="10"/>
      <c r="WPM43" s="10"/>
      <c r="WPN43" s="10"/>
      <c r="WPO43" s="10"/>
      <c r="WPP43" s="10"/>
      <c r="WPQ43" s="10"/>
      <c r="WPR43" s="10"/>
      <c r="WPS43" s="10"/>
      <c r="WPT43" s="10"/>
      <c r="WPU43" s="10"/>
      <c r="WPV43" s="10"/>
      <c r="WPW43" s="10"/>
      <c r="WPX43" s="10"/>
      <c r="WPY43" s="10"/>
      <c r="WPZ43" s="10"/>
      <c r="WQA43" s="10"/>
      <c r="WQB43" s="10"/>
      <c r="WQC43" s="10"/>
      <c r="WQD43" s="10"/>
      <c r="WQE43" s="10"/>
      <c r="WQF43" s="10"/>
      <c r="WQG43" s="10"/>
      <c r="WQH43" s="10"/>
      <c r="WQI43" s="10"/>
      <c r="WQJ43" s="10"/>
      <c r="WQK43" s="10"/>
      <c r="WQL43" s="10"/>
      <c r="WQM43" s="10"/>
      <c r="WQN43" s="10"/>
      <c r="WQO43" s="10"/>
      <c r="WQP43" s="10"/>
      <c r="WQQ43" s="10"/>
      <c r="WQR43" s="10"/>
      <c r="WQS43" s="10"/>
      <c r="WQT43" s="10"/>
      <c r="WQU43" s="10"/>
      <c r="WQV43" s="10"/>
      <c r="WQW43" s="10"/>
      <c r="WQX43" s="10"/>
      <c r="WQY43" s="10"/>
      <c r="WQZ43" s="10"/>
      <c r="WRA43" s="10"/>
      <c r="WRB43" s="10"/>
      <c r="WRC43" s="10"/>
      <c r="WRD43" s="10"/>
      <c r="WRE43" s="10"/>
      <c r="WRF43" s="10"/>
      <c r="WRG43" s="10"/>
      <c r="WRH43" s="10"/>
      <c r="WRI43" s="10"/>
      <c r="WRJ43" s="10"/>
      <c r="WRK43" s="10"/>
      <c r="WRL43" s="10"/>
      <c r="WRM43" s="10"/>
      <c r="WRN43" s="10"/>
      <c r="WRO43" s="10"/>
      <c r="WRP43" s="10"/>
      <c r="WRQ43" s="10"/>
      <c r="WRR43" s="10"/>
      <c r="WRS43" s="10"/>
      <c r="WRT43" s="10"/>
      <c r="WRU43" s="10"/>
      <c r="WRV43" s="10"/>
      <c r="WRW43" s="10"/>
      <c r="WRX43" s="10"/>
      <c r="WRY43" s="10"/>
      <c r="WRZ43" s="10"/>
      <c r="WSA43" s="10"/>
      <c r="WSB43" s="10"/>
      <c r="WSC43" s="10"/>
      <c r="WSD43" s="10"/>
      <c r="WSE43" s="10"/>
      <c r="WSF43" s="10"/>
      <c r="WSG43" s="10"/>
      <c r="WSH43" s="10"/>
      <c r="WSI43" s="10"/>
      <c r="WSJ43" s="10"/>
      <c r="WSK43" s="10"/>
      <c r="WSL43" s="10"/>
      <c r="WSM43" s="10"/>
      <c r="WSN43" s="10"/>
      <c r="WSO43" s="10"/>
      <c r="WSP43" s="10"/>
      <c r="WSQ43" s="10"/>
      <c r="WSR43" s="10"/>
      <c r="WSS43" s="10"/>
      <c r="WST43" s="10"/>
      <c r="WSU43" s="10"/>
      <c r="WSV43" s="10"/>
      <c r="WSW43" s="10"/>
      <c r="WSX43" s="10"/>
      <c r="WSY43" s="10"/>
      <c r="WSZ43" s="10"/>
      <c r="WTA43" s="10"/>
      <c r="WTB43" s="10"/>
      <c r="WTC43" s="10"/>
      <c r="WTD43" s="10"/>
      <c r="WTE43" s="10"/>
      <c r="WTF43" s="10"/>
      <c r="WTG43" s="10"/>
      <c r="WTH43" s="10"/>
      <c r="WTI43" s="10"/>
      <c r="WTJ43" s="10"/>
      <c r="WTK43" s="10"/>
      <c r="WTL43" s="10"/>
      <c r="WTM43" s="10"/>
      <c r="WTN43" s="10"/>
      <c r="WTO43" s="10"/>
      <c r="WTP43" s="10"/>
      <c r="WTQ43" s="10"/>
      <c r="WTR43" s="10"/>
      <c r="WTS43" s="10"/>
      <c r="WTT43" s="10"/>
      <c r="WTU43" s="10"/>
      <c r="WTV43" s="10"/>
      <c r="WTW43" s="10"/>
      <c r="WTX43" s="10"/>
      <c r="WTY43" s="10"/>
      <c r="WTZ43" s="10"/>
      <c r="WUA43" s="10"/>
      <c r="WUB43" s="10"/>
      <c r="WUC43" s="10"/>
      <c r="WUD43" s="10"/>
      <c r="WUE43" s="10"/>
      <c r="WUF43" s="10"/>
      <c r="WUG43" s="10"/>
      <c r="WUH43" s="10"/>
      <c r="WUI43" s="10"/>
      <c r="WUJ43" s="10"/>
      <c r="WUK43" s="10"/>
      <c r="WUL43" s="10"/>
      <c r="WUM43" s="10"/>
      <c r="WUN43" s="10"/>
      <c r="WUO43" s="10"/>
      <c r="WUP43" s="10"/>
      <c r="WUQ43" s="10"/>
      <c r="WUR43" s="10"/>
      <c r="WUS43" s="10"/>
      <c r="WUT43" s="10"/>
      <c r="WUU43" s="10"/>
      <c r="WUV43" s="10"/>
      <c r="WUW43" s="10"/>
      <c r="WUX43" s="10"/>
      <c r="WUY43" s="10"/>
      <c r="WUZ43" s="10"/>
      <c r="WVA43" s="10"/>
      <c r="WVB43" s="10"/>
      <c r="WVC43" s="10"/>
      <c r="WVD43" s="10"/>
      <c r="WVE43" s="10"/>
      <c r="WVF43" s="10"/>
      <c r="WVG43" s="10"/>
      <c r="WVH43" s="10"/>
      <c r="WVI43" s="10"/>
      <c r="WVJ43" s="10"/>
      <c r="WVK43" s="10"/>
      <c r="WVL43" s="10"/>
      <c r="WVM43" s="10"/>
      <c r="WVN43" s="10"/>
      <c r="WVO43" s="10"/>
      <c r="WVP43" s="10"/>
      <c r="WVQ43" s="10"/>
      <c r="WVR43" s="10"/>
      <c r="WVS43" s="10"/>
      <c r="WVT43" s="10"/>
    </row>
    <row r="45" spans="2:16140" s="242" customFormat="1" ht="21" customHeight="1">
      <c r="B45" s="335"/>
      <c r="C45" s="336"/>
      <c r="F45" s="244"/>
      <c r="G45" s="245"/>
      <c r="H45" s="333"/>
      <c r="I45" s="333"/>
      <c r="J45" s="333"/>
      <c r="K45" s="333"/>
      <c r="L45" s="334"/>
      <c r="M45" s="10"/>
      <c r="N45" s="18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 s="10"/>
      <c r="GM45" s="10"/>
      <c r="GN45" s="10"/>
      <c r="GO45" s="10"/>
      <c r="GP45" s="10"/>
      <c r="GQ45" s="10"/>
      <c r="GR45" s="10"/>
      <c r="GS45" s="10"/>
      <c r="GT45" s="10"/>
      <c r="GU45" s="10"/>
      <c r="GV45" s="10"/>
      <c r="GW45" s="10"/>
      <c r="GX45" s="10"/>
      <c r="GY45" s="10"/>
      <c r="GZ45" s="10"/>
      <c r="HA45" s="10"/>
      <c r="HB45" s="10"/>
      <c r="HC45" s="10"/>
      <c r="HD45" s="10"/>
      <c r="HE45" s="10"/>
      <c r="HF45" s="10"/>
      <c r="HG45" s="10"/>
      <c r="HH45" s="10"/>
      <c r="HI45" s="10"/>
      <c r="HJ45" s="10"/>
      <c r="HK45" s="10"/>
      <c r="HL45" s="10"/>
      <c r="HM45" s="10"/>
      <c r="HN45" s="10"/>
      <c r="HO45" s="10"/>
      <c r="HP45" s="10"/>
      <c r="HQ45" s="10"/>
      <c r="HR45" s="10"/>
      <c r="HS45" s="10"/>
      <c r="HT45" s="10"/>
      <c r="HU45" s="10"/>
      <c r="HV45" s="10"/>
      <c r="HW45" s="10"/>
      <c r="HX45" s="10"/>
      <c r="HY45" s="10"/>
      <c r="HZ45" s="10"/>
      <c r="IA45" s="10"/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  <c r="IM45" s="10"/>
      <c r="IN45" s="10"/>
      <c r="IO45" s="10"/>
      <c r="IP45" s="10"/>
      <c r="IQ45" s="10"/>
      <c r="IR45" s="10"/>
      <c r="IS45" s="10"/>
      <c r="IT45" s="10"/>
      <c r="IU45" s="10"/>
      <c r="IV45" s="10"/>
      <c r="IW45" s="10"/>
      <c r="IX45" s="10"/>
      <c r="IY45" s="10"/>
      <c r="IZ45" s="10"/>
      <c r="JA45" s="10"/>
      <c r="JB45" s="10"/>
      <c r="JC45" s="10"/>
      <c r="JD45" s="10"/>
      <c r="JE45" s="10"/>
      <c r="JF45" s="10"/>
      <c r="JG45" s="10"/>
      <c r="JH45" s="10"/>
      <c r="JI45" s="10"/>
      <c r="JJ45" s="10"/>
      <c r="JK45" s="10"/>
      <c r="JL45" s="10"/>
      <c r="JM45" s="10"/>
      <c r="JN45" s="10"/>
      <c r="JO45" s="10"/>
      <c r="JP45" s="10"/>
      <c r="JQ45" s="10"/>
      <c r="JR45" s="10"/>
      <c r="JS45" s="10"/>
      <c r="JT45" s="10"/>
      <c r="JU45" s="10"/>
      <c r="JV45" s="10"/>
      <c r="JW45" s="10"/>
      <c r="JX45" s="10"/>
      <c r="JY45" s="10"/>
      <c r="JZ45" s="10"/>
      <c r="KA45" s="10"/>
      <c r="KB45" s="10"/>
      <c r="KC45" s="10"/>
      <c r="KD45" s="10"/>
      <c r="KE45" s="10"/>
      <c r="KF45" s="10"/>
      <c r="KG45" s="10"/>
      <c r="KH45" s="10"/>
      <c r="KI45" s="10"/>
      <c r="KJ45" s="10"/>
      <c r="KK45" s="10"/>
      <c r="KL45" s="10"/>
      <c r="KM45" s="10"/>
      <c r="KN45" s="10"/>
      <c r="KO45" s="10"/>
      <c r="KP45" s="10"/>
      <c r="KQ45" s="10"/>
      <c r="KR45" s="10"/>
      <c r="KS45" s="10"/>
      <c r="KT45" s="10"/>
      <c r="KU45" s="10"/>
      <c r="KV45" s="10"/>
      <c r="KW45" s="10"/>
      <c r="KX45" s="10"/>
      <c r="KY45" s="10"/>
      <c r="KZ45" s="10"/>
      <c r="LA45" s="10"/>
      <c r="LB45" s="10"/>
      <c r="LC45" s="10"/>
      <c r="LD45" s="10"/>
      <c r="LE45" s="10"/>
      <c r="LF45" s="10"/>
      <c r="LG45" s="10"/>
      <c r="LH45" s="10"/>
      <c r="LI45" s="10"/>
      <c r="LJ45" s="10"/>
      <c r="LK45" s="10"/>
      <c r="LL45" s="10"/>
      <c r="LM45" s="10"/>
      <c r="LN45" s="10"/>
      <c r="LO45" s="10"/>
      <c r="LP45" s="10"/>
      <c r="LQ45" s="10"/>
      <c r="LR45" s="10"/>
      <c r="LS45" s="10"/>
      <c r="LT45" s="10"/>
      <c r="LU45" s="10"/>
      <c r="LV45" s="10"/>
      <c r="LW45" s="10"/>
      <c r="LX45" s="10"/>
      <c r="LY45" s="10"/>
      <c r="LZ45" s="10"/>
      <c r="MA45" s="10"/>
      <c r="MB45" s="10"/>
      <c r="MC45" s="10"/>
      <c r="MD45" s="10"/>
      <c r="ME45" s="10"/>
      <c r="MF45" s="10"/>
      <c r="MG45" s="10"/>
      <c r="MH45" s="10"/>
      <c r="MI45" s="10"/>
      <c r="MJ45" s="10"/>
      <c r="MK45" s="10"/>
      <c r="ML45" s="10"/>
      <c r="MM45" s="10"/>
      <c r="MN45" s="10"/>
      <c r="MO45" s="10"/>
      <c r="MP45" s="10"/>
      <c r="MQ45" s="10"/>
      <c r="MR45" s="10"/>
      <c r="MS45" s="10"/>
      <c r="MT45" s="10"/>
      <c r="MU45" s="10"/>
      <c r="MV45" s="10"/>
      <c r="MW45" s="10"/>
      <c r="MX45" s="10"/>
      <c r="MY45" s="10"/>
      <c r="MZ45" s="10"/>
      <c r="NA45" s="10"/>
      <c r="NB45" s="10"/>
      <c r="NC45" s="10"/>
      <c r="ND45" s="10"/>
      <c r="NE45" s="10"/>
      <c r="NF45" s="10"/>
      <c r="NG45" s="10"/>
      <c r="NH45" s="10"/>
      <c r="NI45" s="10"/>
      <c r="NJ45" s="10"/>
      <c r="NK45" s="10"/>
      <c r="NL45" s="10"/>
      <c r="NM45" s="10"/>
      <c r="NN45" s="10"/>
      <c r="NO45" s="10"/>
      <c r="NP45" s="10"/>
      <c r="NQ45" s="10"/>
      <c r="NR45" s="10"/>
      <c r="NS45" s="10"/>
      <c r="NT45" s="10"/>
      <c r="NU45" s="10"/>
      <c r="NV45" s="10"/>
      <c r="NW45" s="10"/>
      <c r="NX45" s="10"/>
      <c r="NY45" s="10"/>
      <c r="NZ45" s="10"/>
      <c r="OA45" s="10"/>
      <c r="OB45" s="10"/>
      <c r="OC45" s="10"/>
      <c r="OD45" s="10"/>
      <c r="OE45" s="10"/>
      <c r="OF45" s="10"/>
      <c r="OG45" s="10"/>
      <c r="OH45" s="10"/>
      <c r="OI45" s="10"/>
      <c r="OJ45" s="10"/>
      <c r="OK45" s="10"/>
      <c r="OL45" s="10"/>
      <c r="OM45" s="10"/>
      <c r="ON45" s="10"/>
      <c r="OO45" s="10"/>
      <c r="OP45" s="10"/>
      <c r="OQ45" s="10"/>
      <c r="OR45" s="10"/>
      <c r="OS45" s="10"/>
      <c r="OT45" s="10"/>
      <c r="OU45" s="10"/>
      <c r="OV45" s="10"/>
      <c r="OW45" s="10"/>
      <c r="OX45" s="10"/>
      <c r="OY45" s="10"/>
      <c r="OZ45" s="10"/>
      <c r="PA45" s="10"/>
      <c r="PB45" s="10"/>
      <c r="PC45" s="10"/>
      <c r="PD45" s="10"/>
      <c r="PE45" s="10"/>
      <c r="PF45" s="10"/>
      <c r="PG45" s="10"/>
      <c r="PH45" s="10"/>
      <c r="PI45" s="10"/>
      <c r="PJ45" s="10"/>
      <c r="PK45" s="10"/>
      <c r="PL45" s="10"/>
      <c r="PM45" s="10"/>
      <c r="PN45" s="10"/>
      <c r="PO45" s="10"/>
      <c r="PP45" s="10"/>
      <c r="PQ45" s="10"/>
      <c r="PR45" s="10"/>
      <c r="PS45" s="10"/>
      <c r="PT45" s="10"/>
      <c r="PU45" s="10"/>
      <c r="PV45" s="10"/>
      <c r="PW45" s="10"/>
      <c r="PX45" s="10"/>
      <c r="PY45" s="10"/>
      <c r="PZ45" s="10"/>
      <c r="QA45" s="10"/>
      <c r="QB45" s="10"/>
      <c r="QC45" s="10"/>
      <c r="QD45" s="10"/>
      <c r="QE45" s="10"/>
      <c r="QF45" s="10"/>
      <c r="QG45" s="10"/>
      <c r="QH45" s="10"/>
      <c r="QI45" s="10"/>
      <c r="QJ45" s="10"/>
      <c r="QK45" s="10"/>
      <c r="QL45" s="10"/>
      <c r="QM45" s="10"/>
      <c r="QN45" s="10"/>
      <c r="QO45" s="10"/>
      <c r="QP45" s="10"/>
      <c r="QQ45" s="10"/>
      <c r="QR45" s="10"/>
      <c r="QS45" s="10"/>
      <c r="QT45" s="10"/>
      <c r="QU45" s="10"/>
      <c r="QV45" s="10"/>
      <c r="QW45" s="10"/>
      <c r="QX45" s="10"/>
      <c r="QY45" s="10"/>
      <c r="QZ45" s="10"/>
      <c r="RA45" s="10"/>
      <c r="RB45" s="10"/>
      <c r="RC45" s="10"/>
      <c r="RD45" s="10"/>
      <c r="RE45" s="10"/>
      <c r="RF45" s="10"/>
      <c r="RG45" s="10"/>
      <c r="RH45" s="10"/>
      <c r="RI45" s="10"/>
      <c r="RJ45" s="10"/>
      <c r="RK45" s="10"/>
      <c r="RL45" s="10"/>
      <c r="RM45" s="10"/>
      <c r="RN45" s="10"/>
      <c r="RO45" s="10"/>
      <c r="RP45" s="10"/>
      <c r="RQ45" s="10"/>
      <c r="RR45" s="10"/>
      <c r="RS45" s="10"/>
      <c r="RT45" s="10"/>
      <c r="RU45" s="10"/>
      <c r="RV45" s="10"/>
      <c r="RW45" s="10"/>
      <c r="RX45" s="10"/>
      <c r="RY45" s="10"/>
      <c r="RZ45" s="10"/>
      <c r="SA45" s="10"/>
      <c r="SB45" s="10"/>
      <c r="SC45" s="10"/>
      <c r="SD45" s="10"/>
      <c r="SE45" s="10"/>
      <c r="SF45" s="10"/>
      <c r="SG45" s="10"/>
      <c r="SH45" s="10"/>
      <c r="SI45" s="10"/>
      <c r="SJ45" s="10"/>
      <c r="SK45" s="10"/>
      <c r="SL45" s="10"/>
      <c r="SM45" s="10"/>
      <c r="SN45" s="10"/>
      <c r="SO45" s="10"/>
      <c r="SP45" s="10"/>
      <c r="SQ45" s="10"/>
      <c r="SR45" s="10"/>
      <c r="SS45" s="10"/>
      <c r="ST45" s="10"/>
      <c r="SU45" s="10"/>
      <c r="SV45" s="10"/>
      <c r="SW45" s="10"/>
      <c r="SX45" s="10"/>
      <c r="SY45" s="10"/>
      <c r="SZ45" s="10"/>
      <c r="TA45" s="10"/>
      <c r="TB45" s="10"/>
      <c r="TC45" s="10"/>
      <c r="TD45" s="10"/>
      <c r="TE45" s="10"/>
      <c r="TF45" s="10"/>
      <c r="TG45" s="10"/>
      <c r="TH45" s="10"/>
      <c r="TI45" s="10"/>
      <c r="TJ45" s="10"/>
      <c r="TK45" s="10"/>
      <c r="TL45" s="10"/>
      <c r="TM45" s="10"/>
      <c r="TN45" s="10"/>
      <c r="TO45" s="10"/>
      <c r="TP45" s="10"/>
      <c r="TQ45" s="10"/>
      <c r="TR45" s="10"/>
      <c r="TS45" s="10"/>
      <c r="TT45" s="10"/>
      <c r="TU45" s="10"/>
      <c r="TV45" s="10"/>
      <c r="TW45" s="10"/>
      <c r="TX45" s="10"/>
      <c r="TY45" s="10"/>
      <c r="TZ45" s="10"/>
      <c r="UA45" s="10"/>
      <c r="UB45" s="10"/>
      <c r="UC45" s="10"/>
      <c r="UD45" s="10"/>
      <c r="UE45" s="10"/>
      <c r="UF45" s="10"/>
      <c r="UG45" s="10"/>
      <c r="UH45" s="10"/>
      <c r="UI45" s="10"/>
      <c r="UJ45" s="10"/>
      <c r="UK45" s="10"/>
      <c r="UL45" s="10"/>
      <c r="UM45" s="10"/>
      <c r="UN45" s="10"/>
      <c r="UO45" s="10"/>
      <c r="UP45" s="10"/>
      <c r="UQ45" s="10"/>
      <c r="UR45" s="10"/>
      <c r="US45" s="10"/>
      <c r="UT45" s="10"/>
      <c r="UU45" s="10"/>
      <c r="UV45" s="10"/>
      <c r="UW45" s="10"/>
      <c r="UX45" s="10"/>
      <c r="UY45" s="10"/>
      <c r="UZ45" s="10"/>
      <c r="VA45" s="10"/>
      <c r="VB45" s="10"/>
      <c r="VC45" s="10"/>
      <c r="VD45" s="10"/>
      <c r="VE45" s="10"/>
      <c r="VF45" s="10"/>
      <c r="VG45" s="10"/>
      <c r="VH45" s="10"/>
      <c r="VI45" s="10"/>
      <c r="VJ45" s="10"/>
      <c r="VK45" s="10"/>
      <c r="VL45" s="10"/>
      <c r="VM45" s="10"/>
      <c r="VN45" s="10"/>
      <c r="VO45" s="10"/>
      <c r="VP45" s="10"/>
      <c r="VQ45" s="10"/>
      <c r="VR45" s="10"/>
      <c r="VS45" s="10"/>
      <c r="VT45" s="10"/>
      <c r="VU45" s="10"/>
      <c r="VV45" s="10"/>
      <c r="VW45" s="10"/>
      <c r="VX45" s="10"/>
      <c r="VY45" s="10"/>
      <c r="VZ45" s="10"/>
      <c r="WA45" s="10"/>
      <c r="WB45" s="10"/>
      <c r="WC45" s="10"/>
      <c r="WD45" s="10"/>
      <c r="WE45" s="10"/>
      <c r="WF45" s="10"/>
      <c r="WG45" s="10"/>
      <c r="WH45" s="10"/>
      <c r="WI45" s="10"/>
      <c r="WJ45" s="10"/>
      <c r="WK45" s="10"/>
      <c r="WL45" s="10"/>
      <c r="WM45" s="10"/>
      <c r="WN45" s="10"/>
      <c r="WO45" s="10"/>
      <c r="WP45" s="10"/>
      <c r="WQ45" s="10"/>
      <c r="WR45" s="10"/>
      <c r="WS45" s="10"/>
      <c r="WT45" s="10"/>
      <c r="WU45" s="10"/>
      <c r="WV45" s="10"/>
      <c r="WW45" s="10"/>
      <c r="WX45" s="10"/>
      <c r="WY45" s="10"/>
      <c r="WZ45" s="10"/>
      <c r="XA45" s="10"/>
      <c r="XB45" s="10"/>
      <c r="XC45" s="10"/>
      <c r="XD45" s="10"/>
      <c r="XE45" s="10"/>
      <c r="XF45" s="10"/>
      <c r="XG45" s="10"/>
      <c r="XH45" s="10"/>
      <c r="XI45" s="10"/>
      <c r="XJ45" s="10"/>
      <c r="XK45" s="10"/>
      <c r="XL45" s="10"/>
      <c r="XM45" s="10"/>
      <c r="XN45" s="10"/>
      <c r="XO45" s="10"/>
      <c r="XP45" s="10"/>
      <c r="XQ45" s="10"/>
      <c r="XR45" s="10"/>
      <c r="XS45" s="10"/>
      <c r="XT45" s="10"/>
      <c r="XU45" s="10"/>
      <c r="XV45" s="10"/>
      <c r="XW45" s="10"/>
      <c r="XX45" s="10"/>
      <c r="XY45" s="10"/>
      <c r="XZ45" s="10"/>
      <c r="YA45" s="10"/>
      <c r="YB45" s="10"/>
      <c r="YC45" s="10"/>
      <c r="YD45" s="10"/>
      <c r="YE45" s="10"/>
      <c r="YF45" s="10"/>
      <c r="YG45" s="10"/>
      <c r="YH45" s="10"/>
      <c r="YI45" s="10"/>
      <c r="YJ45" s="10"/>
      <c r="YK45" s="10"/>
      <c r="YL45" s="10"/>
      <c r="YM45" s="10"/>
      <c r="YN45" s="10"/>
      <c r="YO45" s="10"/>
      <c r="YP45" s="10"/>
      <c r="YQ45" s="10"/>
      <c r="YR45" s="10"/>
      <c r="YS45" s="10"/>
      <c r="YT45" s="10"/>
      <c r="YU45" s="10"/>
      <c r="YV45" s="10"/>
      <c r="YW45" s="10"/>
      <c r="YX45" s="10"/>
      <c r="YY45" s="10"/>
      <c r="YZ45" s="10"/>
      <c r="ZA45" s="10"/>
      <c r="ZB45" s="10"/>
      <c r="ZC45" s="10"/>
      <c r="ZD45" s="10"/>
      <c r="ZE45" s="10"/>
      <c r="ZF45" s="10"/>
      <c r="ZG45" s="10"/>
      <c r="ZH45" s="10"/>
      <c r="ZI45" s="10"/>
      <c r="ZJ45" s="10"/>
      <c r="ZK45" s="10"/>
      <c r="ZL45" s="10"/>
      <c r="ZM45" s="10"/>
      <c r="ZN45" s="10"/>
      <c r="ZO45" s="10"/>
      <c r="ZP45" s="10"/>
      <c r="ZQ45" s="10"/>
      <c r="ZR45" s="10"/>
      <c r="ZS45" s="10"/>
      <c r="ZT45" s="10"/>
      <c r="ZU45" s="10"/>
      <c r="ZV45" s="10"/>
      <c r="ZW45" s="10"/>
      <c r="ZX45" s="10"/>
      <c r="ZY45" s="10"/>
      <c r="ZZ45" s="10"/>
      <c r="AAA45" s="10"/>
      <c r="AAB45" s="10"/>
      <c r="AAC45" s="10"/>
      <c r="AAD45" s="10"/>
      <c r="AAE45" s="10"/>
      <c r="AAF45" s="10"/>
      <c r="AAG45" s="10"/>
      <c r="AAH45" s="10"/>
      <c r="AAI45" s="10"/>
      <c r="AAJ45" s="10"/>
      <c r="AAK45" s="10"/>
      <c r="AAL45" s="10"/>
      <c r="AAM45" s="10"/>
      <c r="AAN45" s="10"/>
      <c r="AAO45" s="10"/>
      <c r="AAP45" s="10"/>
      <c r="AAQ45" s="10"/>
      <c r="AAR45" s="10"/>
      <c r="AAS45" s="10"/>
      <c r="AAT45" s="10"/>
      <c r="AAU45" s="10"/>
      <c r="AAV45" s="10"/>
      <c r="AAW45" s="10"/>
      <c r="AAX45" s="10"/>
      <c r="AAY45" s="10"/>
      <c r="AAZ45" s="10"/>
      <c r="ABA45" s="10"/>
      <c r="ABB45" s="10"/>
      <c r="ABC45" s="10"/>
      <c r="ABD45" s="10"/>
      <c r="ABE45" s="10"/>
      <c r="ABF45" s="10"/>
      <c r="ABG45" s="10"/>
      <c r="ABH45" s="10"/>
      <c r="ABI45" s="10"/>
      <c r="ABJ45" s="10"/>
      <c r="ABK45" s="10"/>
      <c r="ABL45" s="10"/>
      <c r="ABM45" s="10"/>
      <c r="ABN45" s="10"/>
      <c r="ABO45" s="10"/>
      <c r="ABP45" s="10"/>
      <c r="ABQ45" s="10"/>
      <c r="ABR45" s="10"/>
      <c r="ABS45" s="10"/>
      <c r="ABT45" s="10"/>
      <c r="ABU45" s="10"/>
      <c r="ABV45" s="10"/>
      <c r="ABW45" s="10"/>
      <c r="ABX45" s="10"/>
      <c r="ABY45" s="10"/>
      <c r="ABZ45" s="10"/>
      <c r="ACA45" s="10"/>
      <c r="ACB45" s="10"/>
      <c r="ACC45" s="10"/>
      <c r="ACD45" s="10"/>
      <c r="ACE45" s="10"/>
      <c r="ACF45" s="10"/>
      <c r="ACG45" s="10"/>
      <c r="ACH45" s="10"/>
      <c r="ACI45" s="10"/>
      <c r="ACJ45" s="10"/>
      <c r="ACK45" s="10"/>
      <c r="ACL45" s="10"/>
      <c r="ACM45" s="10"/>
      <c r="ACN45" s="10"/>
      <c r="ACO45" s="10"/>
      <c r="ACP45" s="10"/>
      <c r="ACQ45" s="10"/>
      <c r="ACR45" s="10"/>
      <c r="ACS45" s="10"/>
      <c r="ACT45" s="10"/>
      <c r="ACU45" s="10"/>
      <c r="ACV45" s="10"/>
      <c r="ACW45" s="10"/>
      <c r="ACX45" s="10"/>
      <c r="ACY45" s="10"/>
      <c r="ACZ45" s="10"/>
      <c r="ADA45" s="10"/>
      <c r="ADB45" s="10"/>
      <c r="ADC45" s="10"/>
      <c r="ADD45" s="10"/>
      <c r="ADE45" s="10"/>
      <c r="ADF45" s="10"/>
      <c r="ADG45" s="10"/>
      <c r="ADH45" s="10"/>
      <c r="ADI45" s="10"/>
      <c r="ADJ45" s="10"/>
      <c r="ADK45" s="10"/>
      <c r="ADL45" s="10"/>
      <c r="ADM45" s="10"/>
      <c r="ADN45" s="10"/>
      <c r="ADO45" s="10"/>
      <c r="ADP45" s="10"/>
      <c r="ADQ45" s="10"/>
      <c r="ADR45" s="10"/>
      <c r="ADS45" s="10"/>
      <c r="ADT45" s="10"/>
      <c r="ADU45" s="10"/>
      <c r="ADV45" s="10"/>
      <c r="ADW45" s="10"/>
      <c r="ADX45" s="10"/>
      <c r="ADY45" s="10"/>
      <c r="ADZ45" s="10"/>
      <c r="AEA45" s="10"/>
      <c r="AEB45" s="10"/>
      <c r="AEC45" s="10"/>
      <c r="AED45" s="10"/>
      <c r="AEE45" s="10"/>
      <c r="AEF45" s="10"/>
      <c r="AEG45" s="10"/>
      <c r="AEH45" s="10"/>
      <c r="AEI45" s="10"/>
      <c r="AEJ45" s="10"/>
      <c r="AEK45" s="10"/>
      <c r="AEL45" s="10"/>
      <c r="AEM45" s="10"/>
      <c r="AEN45" s="10"/>
      <c r="AEO45" s="10"/>
      <c r="AEP45" s="10"/>
      <c r="AEQ45" s="10"/>
      <c r="AER45" s="10"/>
      <c r="AES45" s="10"/>
      <c r="AET45" s="10"/>
      <c r="AEU45" s="10"/>
      <c r="AEV45" s="10"/>
      <c r="AEW45" s="10"/>
      <c r="AEX45" s="10"/>
      <c r="AEY45" s="10"/>
      <c r="AEZ45" s="10"/>
      <c r="AFA45" s="10"/>
      <c r="AFB45" s="10"/>
      <c r="AFC45" s="10"/>
      <c r="AFD45" s="10"/>
      <c r="AFE45" s="10"/>
      <c r="AFF45" s="10"/>
      <c r="AFG45" s="10"/>
      <c r="AFH45" s="10"/>
      <c r="AFI45" s="10"/>
      <c r="AFJ45" s="10"/>
      <c r="AFK45" s="10"/>
      <c r="AFL45" s="10"/>
      <c r="AFM45" s="10"/>
      <c r="AFN45" s="10"/>
      <c r="AFO45" s="10"/>
      <c r="AFP45" s="10"/>
      <c r="AFQ45" s="10"/>
      <c r="AFR45" s="10"/>
      <c r="AFS45" s="10"/>
      <c r="AFT45" s="10"/>
      <c r="AFU45" s="10"/>
      <c r="AFV45" s="10"/>
      <c r="AFW45" s="10"/>
      <c r="AFX45" s="10"/>
      <c r="AFY45" s="10"/>
      <c r="AFZ45" s="10"/>
      <c r="AGA45" s="10"/>
      <c r="AGB45" s="10"/>
      <c r="AGC45" s="10"/>
      <c r="AGD45" s="10"/>
      <c r="AGE45" s="10"/>
      <c r="AGF45" s="10"/>
      <c r="AGG45" s="10"/>
      <c r="AGH45" s="10"/>
      <c r="AGI45" s="10"/>
      <c r="AGJ45" s="10"/>
      <c r="AGK45" s="10"/>
      <c r="AGL45" s="10"/>
      <c r="AGM45" s="10"/>
      <c r="AGN45" s="10"/>
      <c r="AGO45" s="10"/>
      <c r="AGP45" s="10"/>
      <c r="AGQ45" s="10"/>
      <c r="AGR45" s="10"/>
      <c r="AGS45" s="10"/>
      <c r="AGT45" s="10"/>
      <c r="AGU45" s="10"/>
      <c r="AGV45" s="10"/>
      <c r="AGW45" s="10"/>
      <c r="AGX45" s="10"/>
      <c r="AGY45" s="10"/>
      <c r="AGZ45" s="10"/>
      <c r="AHA45" s="10"/>
      <c r="AHB45" s="10"/>
      <c r="AHC45" s="10"/>
      <c r="AHD45" s="10"/>
      <c r="AHE45" s="10"/>
      <c r="AHF45" s="10"/>
      <c r="AHG45" s="10"/>
      <c r="AHH45" s="10"/>
      <c r="AHI45" s="10"/>
      <c r="AHJ45" s="10"/>
      <c r="AHK45" s="10"/>
      <c r="AHL45" s="10"/>
      <c r="AHM45" s="10"/>
      <c r="AHN45" s="10"/>
      <c r="AHO45" s="10"/>
      <c r="AHP45" s="10"/>
      <c r="AHQ45" s="10"/>
      <c r="AHR45" s="10"/>
      <c r="AHS45" s="10"/>
      <c r="AHT45" s="10"/>
      <c r="AHU45" s="10"/>
      <c r="AHV45" s="10"/>
      <c r="AHW45" s="10"/>
      <c r="AHX45" s="10"/>
      <c r="AHY45" s="10"/>
      <c r="AHZ45" s="10"/>
      <c r="AIA45" s="10"/>
      <c r="AIB45" s="10"/>
      <c r="AIC45" s="10"/>
      <c r="AID45" s="10"/>
      <c r="AIE45" s="10"/>
      <c r="AIF45" s="10"/>
      <c r="AIG45" s="10"/>
      <c r="AIH45" s="10"/>
      <c r="AII45" s="10"/>
      <c r="AIJ45" s="10"/>
      <c r="AIK45" s="10"/>
      <c r="AIL45" s="10"/>
      <c r="AIM45" s="10"/>
      <c r="AIN45" s="10"/>
      <c r="AIO45" s="10"/>
      <c r="AIP45" s="10"/>
      <c r="AIQ45" s="10"/>
      <c r="AIR45" s="10"/>
      <c r="AIS45" s="10"/>
      <c r="AIT45" s="10"/>
      <c r="AIU45" s="10"/>
      <c r="AIV45" s="10"/>
      <c r="AIW45" s="10"/>
      <c r="AIX45" s="10"/>
      <c r="AIY45" s="10"/>
      <c r="AIZ45" s="10"/>
      <c r="AJA45" s="10"/>
      <c r="AJB45" s="10"/>
      <c r="AJC45" s="10"/>
      <c r="AJD45" s="10"/>
      <c r="AJE45" s="10"/>
      <c r="AJF45" s="10"/>
      <c r="AJG45" s="10"/>
      <c r="AJH45" s="10"/>
      <c r="AJI45" s="10"/>
      <c r="AJJ45" s="10"/>
      <c r="AJK45" s="10"/>
      <c r="AJL45" s="10"/>
      <c r="AJM45" s="10"/>
      <c r="AJN45" s="10"/>
      <c r="AJO45" s="10"/>
      <c r="AJP45" s="10"/>
      <c r="AJQ45" s="10"/>
      <c r="AJR45" s="10"/>
      <c r="AJS45" s="10"/>
      <c r="AJT45" s="10"/>
      <c r="AJU45" s="10"/>
      <c r="AJV45" s="10"/>
      <c r="AJW45" s="10"/>
      <c r="AJX45" s="10"/>
      <c r="AJY45" s="10"/>
      <c r="AJZ45" s="10"/>
      <c r="AKA45" s="10"/>
      <c r="AKB45" s="10"/>
      <c r="AKC45" s="10"/>
      <c r="AKD45" s="10"/>
      <c r="AKE45" s="10"/>
      <c r="AKF45" s="10"/>
      <c r="AKG45" s="10"/>
      <c r="AKH45" s="10"/>
      <c r="AKI45" s="10"/>
      <c r="AKJ45" s="10"/>
      <c r="AKK45" s="10"/>
      <c r="AKL45" s="10"/>
      <c r="AKM45" s="10"/>
      <c r="AKN45" s="10"/>
      <c r="AKO45" s="10"/>
      <c r="AKP45" s="10"/>
      <c r="AKQ45" s="10"/>
      <c r="AKR45" s="10"/>
      <c r="AKS45" s="10"/>
      <c r="AKT45" s="10"/>
      <c r="AKU45" s="10"/>
      <c r="AKV45" s="10"/>
      <c r="AKW45" s="10"/>
      <c r="AKX45" s="10"/>
      <c r="AKY45" s="10"/>
      <c r="AKZ45" s="10"/>
      <c r="ALA45" s="10"/>
      <c r="ALB45" s="10"/>
      <c r="ALC45" s="10"/>
      <c r="ALD45" s="10"/>
      <c r="ALE45" s="10"/>
      <c r="ALF45" s="10"/>
      <c r="ALG45" s="10"/>
      <c r="ALH45" s="10"/>
      <c r="ALI45" s="10"/>
      <c r="ALJ45" s="10"/>
      <c r="ALK45" s="10"/>
      <c r="ALL45" s="10"/>
      <c r="ALM45" s="10"/>
      <c r="ALN45" s="10"/>
      <c r="ALO45" s="10"/>
      <c r="ALP45" s="10"/>
      <c r="ALQ45" s="10"/>
      <c r="ALR45" s="10"/>
      <c r="ALS45" s="10"/>
      <c r="ALT45" s="10"/>
      <c r="ALU45" s="10"/>
      <c r="ALV45" s="10"/>
      <c r="ALW45" s="10"/>
      <c r="ALX45" s="10"/>
      <c r="ALY45" s="10"/>
      <c r="ALZ45" s="10"/>
      <c r="AMA45" s="10"/>
      <c r="AMB45" s="10"/>
      <c r="AMC45" s="10"/>
      <c r="AMD45" s="10"/>
      <c r="AME45" s="10"/>
      <c r="AMF45" s="10"/>
      <c r="AMG45" s="10"/>
      <c r="AMH45" s="10"/>
      <c r="AMI45" s="10"/>
      <c r="AMJ45" s="10"/>
      <c r="AMK45" s="10"/>
      <c r="AML45" s="10"/>
      <c r="AMM45" s="10"/>
      <c r="AMN45" s="10"/>
      <c r="AMO45" s="10"/>
      <c r="AMP45" s="10"/>
      <c r="AMQ45" s="10"/>
      <c r="AMR45" s="10"/>
      <c r="AMS45" s="10"/>
      <c r="AMT45" s="10"/>
      <c r="AMU45" s="10"/>
      <c r="AMV45" s="10"/>
      <c r="AMW45" s="10"/>
      <c r="AMX45" s="10"/>
      <c r="AMY45" s="10"/>
      <c r="AMZ45" s="10"/>
      <c r="ANA45" s="10"/>
      <c r="ANB45" s="10"/>
      <c r="ANC45" s="10"/>
      <c r="AND45" s="10"/>
      <c r="ANE45" s="10"/>
      <c r="ANF45" s="10"/>
      <c r="ANG45" s="10"/>
      <c r="ANH45" s="10"/>
      <c r="ANI45" s="10"/>
      <c r="ANJ45" s="10"/>
      <c r="ANK45" s="10"/>
      <c r="ANL45" s="10"/>
      <c r="ANM45" s="10"/>
      <c r="ANN45" s="10"/>
      <c r="ANO45" s="10"/>
      <c r="ANP45" s="10"/>
      <c r="ANQ45" s="10"/>
      <c r="ANR45" s="10"/>
      <c r="ANS45" s="10"/>
      <c r="ANT45" s="10"/>
      <c r="ANU45" s="10"/>
      <c r="ANV45" s="10"/>
      <c r="ANW45" s="10"/>
      <c r="ANX45" s="10"/>
      <c r="ANY45" s="10"/>
      <c r="ANZ45" s="10"/>
      <c r="AOA45" s="10"/>
      <c r="AOB45" s="10"/>
      <c r="AOC45" s="10"/>
      <c r="AOD45" s="10"/>
      <c r="AOE45" s="10"/>
      <c r="AOF45" s="10"/>
      <c r="AOG45" s="10"/>
      <c r="AOH45" s="10"/>
      <c r="AOI45" s="10"/>
      <c r="AOJ45" s="10"/>
      <c r="AOK45" s="10"/>
      <c r="AOL45" s="10"/>
      <c r="AOM45" s="10"/>
      <c r="AON45" s="10"/>
      <c r="AOO45" s="10"/>
      <c r="AOP45" s="10"/>
      <c r="AOQ45" s="10"/>
      <c r="AOR45" s="10"/>
      <c r="AOS45" s="10"/>
      <c r="AOT45" s="10"/>
      <c r="AOU45" s="10"/>
      <c r="AOV45" s="10"/>
      <c r="AOW45" s="10"/>
      <c r="AOX45" s="10"/>
      <c r="AOY45" s="10"/>
      <c r="AOZ45" s="10"/>
      <c r="APA45" s="10"/>
      <c r="APB45" s="10"/>
      <c r="APC45" s="10"/>
      <c r="APD45" s="10"/>
      <c r="APE45" s="10"/>
      <c r="APF45" s="10"/>
      <c r="APG45" s="10"/>
      <c r="APH45" s="10"/>
      <c r="API45" s="10"/>
      <c r="APJ45" s="10"/>
      <c r="APK45" s="10"/>
      <c r="APL45" s="10"/>
      <c r="APM45" s="10"/>
      <c r="APN45" s="10"/>
      <c r="APO45" s="10"/>
      <c r="APP45" s="10"/>
      <c r="APQ45" s="10"/>
      <c r="APR45" s="10"/>
      <c r="APS45" s="10"/>
      <c r="APT45" s="10"/>
      <c r="APU45" s="10"/>
      <c r="APV45" s="10"/>
      <c r="APW45" s="10"/>
      <c r="APX45" s="10"/>
      <c r="APY45" s="10"/>
      <c r="APZ45" s="10"/>
      <c r="AQA45" s="10"/>
      <c r="AQB45" s="10"/>
      <c r="AQC45" s="10"/>
      <c r="AQD45" s="10"/>
      <c r="AQE45" s="10"/>
      <c r="AQF45" s="10"/>
      <c r="AQG45" s="10"/>
      <c r="AQH45" s="10"/>
      <c r="AQI45" s="10"/>
      <c r="AQJ45" s="10"/>
      <c r="AQK45" s="10"/>
      <c r="AQL45" s="10"/>
      <c r="AQM45" s="10"/>
      <c r="AQN45" s="10"/>
      <c r="AQO45" s="10"/>
      <c r="AQP45" s="10"/>
      <c r="AQQ45" s="10"/>
      <c r="AQR45" s="10"/>
      <c r="AQS45" s="10"/>
      <c r="AQT45" s="10"/>
      <c r="AQU45" s="10"/>
      <c r="AQV45" s="10"/>
      <c r="AQW45" s="10"/>
      <c r="AQX45" s="10"/>
      <c r="AQY45" s="10"/>
      <c r="AQZ45" s="10"/>
      <c r="ARA45" s="10"/>
      <c r="ARB45" s="10"/>
      <c r="ARC45" s="10"/>
      <c r="ARD45" s="10"/>
      <c r="ARE45" s="10"/>
      <c r="ARF45" s="10"/>
      <c r="ARG45" s="10"/>
      <c r="ARH45" s="10"/>
      <c r="ARI45" s="10"/>
      <c r="ARJ45" s="10"/>
      <c r="ARK45" s="10"/>
      <c r="ARL45" s="10"/>
      <c r="ARM45" s="10"/>
      <c r="ARN45" s="10"/>
      <c r="ARO45" s="10"/>
      <c r="ARP45" s="10"/>
      <c r="ARQ45" s="10"/>
      <c r="ARR45" s="10"/>
      <c r="ARS45" s="10"/>
      <c r="ART45" s="10"/>
      <c r="ARU45" s="10"/>
      <c r="ARV45" s="10"/>
      <c r="ARW45" s="10"/>
      <c r="ARX45" s="10"/>
      <c r="ARY45" s="10"/>
      <c r="ARZ45" s="10"/>
      <c r="ASA45" s="10"/>
      <c r="ASB45" s="10"/>
      <c r="ASC45" s="10"/>
      <c r="ASD45" s="10"/>
      <c r="ASE45" s="10"/>
      <c r="ASF45" s="10"/>
      <c r="ASG45" s="10"/>
      <c r="ASH45" s="10"/>
      <c r="ASI45" s="10"/>
      <c r="ASJ45" s="10"/>
      <c r="ASK45" s="10"/>
      <c r="ASL45" s="10"/>
      <c r="ASM45" s="10"/>
      <c r="ASN45" s="10"/>
      <c r="ASO45" s="10"/>
      <c r="ASP45" s="10"/>
      <c r="ASQ45" s="10"/>
      <c r="ASR45" s="10"/>
      <c r="ASS45" s="10"/>
      <c r="AST45" s="10"/>
      <c r="ASU45" s="10"/>
      <c r="ASV45" s="10"/>
      <c r="ASW45" s="10"/>
      <c r="ASX45" s="10"/>
      <c r="ASY45" s="10"/>
      <c r="ASZ45" s="10"/>
      <c r="ATA45" s="10"/>
      <c r="ATB45" s="10"/>
      <c r="ATC45" s="10"/>
      <c r="ATD45" s="10"/>
      <c r="ATE45" s="10"/>
      <c r="ATF45" s="10"/>
      <c r="ATG45" s="10"/>
      <c r="ATH45" s="10"/>
      <c r="ATI45" s="10"/>
      <c r="ATJ45" s="10"/>
      <c r="ATK45" s="10"/>
      <c r="ATL45" s="10"/>
      <c r="ATM45" s="10"/>
      <c r="ATN45" s="10"/>
      <c r="ATO45" s="10"/>
      <c r="ATP45" s="10"/>
      <c r="ATQ45" s="10"/>
      <c r="ATR45" s="10"/>
      <c r="ATS45" s="10"/>
      <c r="ATT45" s="10"/>
      <c r="ATU45" s="10"/>
      <c r="ATV45" s="10"/>
      <c r="ATW45" s="10"/>
      <c r="ATX45" s="10"/>
      <c r="ATY45" s="10"/>
      <c r="ATZ45" s="10"/>
      <c r="AUA45" s="10"/>
      <c r="AUB45" s="10"/>
      <c r="AUC45" s="10"/>
      <c r="AUD45" s="10"/>
      <c r="AUE45" s="10"/>
      <c r="AUF45" s="10"/>
      <c r="AUG45" s="10"/>
      <c r="AUH45" s="10"/>
      <c r="AUI45" s="10"/>
      <c r="AUJ45" s="10"/>
      <c r="AUK45" s="10"/>
      <c r="AUL45" s="10"/>
      <c r="AUM45" s="10"/>
      <c r="AUN45" s="10"/>
      <c r="AUO45" s="10"/>
      <c r="AUP45" s="10"/>
      <c r="AUQ45" s="10"/>
      <c r="AUR45" s="10"/>
      <c r="AUS45" s="10"/>
      <c r="AUT45" s="10"/>
      <c r="AUU45" s="10"/>
      <c r="AUV45" s="10"/>
      <c r="AUW45" s="10"/>
      <c r="AUX45" s="10"/>
      <c r="AUY45" s="10"/>
      <c r="AUZ45" s="10"/>
      <c r="AVA45" s="10"/>
      <c r="AVB45" s="10"/>
      <c r="AVC45" s="10"/>
      <c r="AVD45" s="10"/>
      <c r="AVE45" s="10"/>
      <c r="AVF45" s="10"/>
      <c r="AVG45" s="10"/>
      <c r="AVH45" s="10"/>
      <c r="AVI45" s="10"/>
      <c r="AVJ45" s="10"/>
      <c r="AVK45" s="10"/>
      <c r="AVL45" s="10"/>
      <c r="AVM45" s="10"/>
      <c r="AVN45" s="10"/>
      <c r="AVO45" s="10"/>
      <c r="AVP45" s="10"/>
      <c r="AVQ45" s="10"/>
      <c r="AVR45" s="10"/>
      <c r="AVS45" s="10"/>
      <c r="AVT45" s="10"/>
      <c r="AVU45" s="10"/>
      <c r="AVV45" s="10"/>
      <c r="AVW45" s="10"/>
      <c r="AVX45" s="10"/>
      <c r="AVY45" s="10"/>
      <c r="AVZ45" s="10"/>
      <c r="AWA45" s="10"/>
      <c r="AWB45" s="10"/>
      <c r="AWC45" s="10"/>
      <c r="AWD45" s="10"/>
      <c r="AWE45" s="10"/>
      <c r="AWF45" s="10"/>
      <c r="AWG45" s="10"/>
      <c r="AWH45" s="10"/>
      <c r="AWI45" s="10"/>
      <c r="AWJ45" s="10"/>
      <c r="AWK45" s="10"/>
      <c r="AWL45" s="10"/>
      <c r="AWM45" s="10"/>
      <c r="AWN45" s="10"/>
      <c r="AWO45" s="10"/>
      <c r="AWP45" s="10"/>
      <c r="AWQ45" s="10"/>
      <c r="AWR45" s="10"/>
      <c r="AWS45" s="10"/>
      <c r="AWT45" s="10"/>
      <c r="AWU45" s="10"/>
      <c r="AWV45" s="10"/>
      <c r="AWW45" s="10"/>
      <c r="AWX45" s="10"/>
      <c r="AWY45" s="10"/>
      <c r="AWZ45" s="10"/>
      <c r="AXA45" s="10"/>
      <c r="AXB45" s="10"/>
      <c r="AXC45" s="10"/>
      <c r="AXD45" s="10"/>
      <c r="AXE45" s="10"/>
      <c r="AXF45" s="10"/>
      <c r="AXG45" s="10"/>
      <c r="AXH45" s="10"/>
      <c r="AXI45" s="10"/>
      <c r="AXJ45" s="10"/>
      <c r="AXK45" s="10"/>
      <c r="AXL45" s="10"/>
      <c r="AXM45" s="10"/>
      <c r="AXN45" s="10"/>
      <c r="AXO45" s="10"/>
      <c r="AXP45" s="10"/>
      <c r="AXQ45" s="10"/>
      <c r="AXR45" s="10"/>
      <c r="AXS45" s="10"/>
      <c r="AXT45" s="10"/>
      <c r="AXU45" s="10"/>
      <c r="AXV45" s="10"/>
      <c r="AXW45" s="10"/>
      <c r="AXX45" s="10"/>
      <c r="AXY45" s="10"/>
      <c r="AXZ45" s="10"/>
      <c r="AYA45" s="10"/>
      <c r="AYB45" s="10"/>
      <c r="AYC45" s="10"/>
      <c r="AYD45" s="10"/>
      <c r="AYE45" s="10"/>
      <c r="AYF45" s="10"/>
      <c r="AYG45" s="10"/>
      <c r="AYH45" s="10"/>
      <c r="AYI45" s="10"/>
      <c r="AYJ45" s="10"/>
      <c r="AYK45" s="10"/>
      <c r="AYL45" s="10"/>
      <c r="AYM45" s="10"/>
      <c r="AYN45" s="10"/>
      <c r="AYO45" s="10"/>
      <c r="AYP45" s="10"/>
      <c r="AYQ45" s="10"/>
      <c r="AYR45" s="10"/>
      <c r="AYS45" s="10"/>
      <c r="AYT45" s="10"/>
      <c r="AYU45" s="10"/>
      <c r="AYV45" s="10"/>
      <c r="AYW45" s="10"/>
      <c r="AYX45" s="10"/>
      <c r="AYY45" s="10"/>
      <c r="AYZ45" s="10"/>
      <c r="AZA45" s="10"/>
      <c r="AZB45" s="10"/>
      <c r="AZC45" s="10"/>
      <c r="AZD45" s="10"/>
      <c r="AZE45" s="10"/>
      <c r="AZF45" s="10"/>
      <c r="AZG45" s="10"/>
      <c r="AZH45" s="10"/>
      <c r="AZI45" s="10"/>
      <c r="AZJ45" s="10"/>
      <c r="AZK45" s="10"/>
      <c r="AZL45" s="10"/>
      <c r="AZM45" s="10"/>
      <c r="AZN45" s="10"/>
      <c r="AZO45" s="10"/>
      <c r="AZP45" s="10"/>
      <c r="AZQ45" s="10"/>
      <c r="AZR45" s="10"/>
      <c r="AZS45" s="10"/>
      <c r="AZT45" s="10"/>
      <c r="AZU45" s="10"/>
      <c r="AZV45" s="10"/>
      <c r="AZW45" s="10"/>
      <c r="AZX45" s="10"/>
      <c r="AZY45" s="10"/>
      <c r="AZZ45" s="10"/>
      <c r="BAA45" s="10"/>
      <c r="BAB45" s="10"/>
      <c r="BAC45" s="10"/>
      <c r="BAD45" s="10"/>
      <c r="BAE45" s="10"/>
      <c r="BAF45" s="10"/>
      <c r="BAG45" s="10"/>
      <c r="BAH45" s="10"/>
      <c r="BAI45" s="10"/>
      <c r="BAJ45" s="10"/>
      <c r="BAK45" s="10"/>
      <c r="BAL45" s="10"/>
      <c r="BAM45" s="10"/>
      <c r="BAN45" s="10"/>
      <c r="BAO45" s="10"/>
      <c r="BAP45" s="10"/>
      <c r="BAQ45" s="10"/>
      <c r="BAR45" s="10"/>
      <c r="BAS45" s="10"/>
      <c r="BAT45" s="10"/>
      <c r="BAU45" s="10"/>
      <c r="BAV45" s="10"/>
      <c r="BAW45" s="10"/>
      <c r="BAX45" s="10"/>
      <c r="BAY45" s="10"/>
      <c r="BAZ45" s="10"/>
      <c r="BBA45" s="10"/>
      <c r="BBB45" s="10"/>
      <c r="BBC45" s="10"/>
      <c r="BBD45" s="10"/>
      <c r="BBE45" s="10"/>
      <c r="BBF45" s="10"/>
      <c r="BBG45" s="10"/>
      <c r="BBH45" s="10"/>
      <c r="BBI45" s="10"/>
      <c r="BBJ45" s="10"/>
      <c r="BBK45" s="10"/>
      <c r="BBL45" s="10"/>
      <c r="BBM45" s="10"/>
      <c r="BBN45" s="10"/>
      <c r="BBO45" s="10"/>
      <c r="BBP45" s="10"/>
      <c r="BBQ45" s="10"/>
      <c r="BBR45" s="10"/>
      <c r="BBS45" s="10"/>
      <c r="BBT45" s="10"/>
      <c r="BBU45" s="10"/>
      <c r="BBV45" s="10"/>
      <c r="BBW45" s="10"/>
      <c r="BBX45" s="10"/>
      <c r="BBY45" s="10"/>
      <c r="BBZ45" s="10"/>
      <c r="BCA45" s="10"/>
      <c r="BCB45" s="10"/>
      <c r="BCC45" s="10"/>
      <c r="BCD45" s="10"/>
      <c r="BCE45" s="10"/>
      <c r="BCF45" s="10"/>
      <c r="BCG45" s="10"/>
      <c r="BCH45" s="10"/>
      <c r="BCI45" s="10"/>
      <c r="BCJ45" s="10"/>
      <c r="BCK45" s="10"/>
      <c r="BCL45" s="10"/>
      <c r="BCM45" s="10"/>
      <c r="BCN45" s="10"/>
      <c r="BCO45" s="10"/>
      <c r="BCP45" s="10"/>
      <c r="BCQ45" s="10"/>
      <c r="BCR45" s="10"/>
      <c r="BCS45" s="10"/>
      <c r="BCT45" s="10"/>
      <c r="BCU45" s="10"/>
      <c r="BCV45" s="10"/>
      <c r="BCW45" s="10"/>
      <c r="BCX45" s="10"/>
      <c r="BCY45" s="10"/>
      <c r="BCZ45" s="10"/>
      <c r="BDA45" s="10"/>
      <c r="BDB45" s="10"/>
      <c r="BDC45" s="10"/>
      <c r="BDD45" s="10"/>
      <c r="BDE45" s="10"/>
      <c r="BDF45" s="10"/>
      <c r="BDG45" s="10"/>
      <c r="BDH45" s="10"/>
      <c r="BDI45" s="10"/>
      <c r="BDJ45" s="10"/>
      <c r="BDK45" s="10"/>
      <c r="BDL45" s="10"/>
      <c r="BDM45" s="10"/>
      <c r="BDN45" s="10"/>
      <c r="BDO45" s="10"/>
      <c r="BDP45" s="10"/>
      <c r="BDQ45" s="10"/>
      <c r="BDR45" s="10"/>
      <c r="BDS45" s="10"/>
      <c r="BDT45" s="10"/>
      <c r="BDU45" s="10"/>
      <c r="BDV45" s="10"/>
      <c r="BDW45" s="10"/>
      <c r="BDX45" s="10"/>
      <c r="BDY45" s="10"/>
      <c r="BDZ45" s="10"/>
      <c r="BEA45" s="10"/>
      <c r="BEB45" s="10"/>
      <c r="BEC45" s="10"/>
      <c r="BED45" s="10"/>
      <c r="BEE45" s="10"/>
      <c r="BEF45" s="10"/>
      <c r="BEG45" s="10"/>
      <c r="BEH45" s="10"/>
      <c r="BEI45" s="10"/>
      <c r="BEJ45" s="10"/>
      <c r="BEK45" s="10"/>
      <c r="BEL45" s="10"/>
      <c r="BEM45" s="10"/>
      <c r="BEN45" s="10"/>
      <c r="BEO45" s="10"/>
      <c r="BEP45" s="10"/>
      <c r="BEQ45" s="10"/>
      <c r="BER45" s="10"/>
      <c r="BES45" s="10"/>
      <c r="BET45" s="10"/>
      <c r="BEU45" s="10"/>
      <c r="BEV45" s="10"/>
      <c r="BEW45" s="10"/>
      <c r="BEX45" s="10"/>
      <c r="BEY45" s="10"/>
      <c r="BEZ45" s="10"/>
      <c r="BFA45" s="10"/>
      <c r="BFB45" s="10"/>
      <c r="BFC45" s="10"/>
      <c r="BFD45" s="10"/>
      <c r="BFE45" s="10"/>
      <c r="BFF45" s="10"/>
      <c r="BFG45" s="10"/>
      <c r="BFH45" s="10"/>
      <c r="BFI45" s="10"/>
      <c r="BFJ45" s="10"/>
      <c r="BFK45" s="10"/>
      <c r="BFL45" s="10"/>
      <c r="BFM45" s="10"/>
      <c r="BFN45" s="10"/>
      <c r="BFO45" s="10"/>
      <c r="BFP45" s="10"/>
      <c r="BFQ45" s="10"/>
      <c r="BFR45" s="10"/>
      <c r="BFS45" s="10"/>
      <c r="BFT45" s="10"/>
      <c r="BFU45" s="10"/>
      <c r="BFV45" s="10"/>
      <c r="BFW45" s="10"/>
      <c r="BFX45" s="10"/>
      <c r="BFY45" s="10"/>
      <c r="BFZ45" s="10"/>
      <c r="BGA45" s="10"/>
      <c r="BGB45" s="10"/>
      <c r="BGC45" s="10"/>
      <c r="BGD45" s="10"/>
      <c r="BGE45" s="10"/>
      <c r="BGF45" s="10"/>
      <c r="BGG45" s="10"/>
      <c r="BGH45" s="10"/>
      <c r="BGI45" s="10"/>
      <c r="BGJ45" s="10"/>
      <c r="BGK45" s="10"/>
      <c r="BGL45" s="10"/>
      <c r="BGM45" s="10"/>
      <c r="BGN45" s="10"/>
      <c r="BGO45" s="10"/>
      <c r="BGP45" s="10"/>
      <c r="BGQ45" s="10"/>
      <c r="BGR45" s="10"/>
      <c r="BGS45" s="10"/>
      <c r="BGT45" s="10"/>
      <c r="BGU45" s="10"/>
      <c r="BGV45" s="10"/>
      <c r="BGW45" s="10"/>
      <c r="BGX45" s="10"/>
      <c r="BGY45" s="10"/>
      <c r="BGZ45" s="10"/>
      <c r="BHA45" s="10"/>
      <c r="BHB45" s="10"/>
      <c r="BHC45" s="10"/>
      <c r="BHD45" s="10"/>
      <c r="BHE45" s="10"/>
      <c r="BHF45" s="10"/>
      <c r="BHG45" s="10"/>
      <c r="BHH45" s="10"/>
      <c r="BHI45" s="10"/>
      <c r="BHJ45" s="10"/>
      <c r="BHK45" s="10"/>
      <c r="BHL45" s="10"/>
      <c r="BHM45" s="10"/>
      <c r="BHN45" s="10"/>
      <c r="BHO45" s="10"/>
      <c r="BHP45" s="10"/>
      <c r="BHQ45" s="10"/>
      <c r="BHR45" s="10"/>
      <c r="BHS45" s="10"/>
      <c r="BHT45" s="10"/>
      <c r="BHU45" s="10"/>
      <c r="BHV45" s="10"/>
      <c r="BHW45" s="10"/>
      <c r="BHX45" s="10"/>
      <c r="BHY45" s="10"/>
      <c r="BHZ45" s="10"/>
      <c r="BIA45" s="10"/>
      <c r="BIB45" s="10"/>
      <c r="BIC45" s="10"/>
      <c r="BID45" s="10"/>
      <c r="BIE45" s="10"/>
      <c r="BIF45" s="10"/>
      <c r="BIG45" s="10"/>
      <c r="BIH45" s="10"/>
      <c r="BII45" s="10"/>
      <c r="BIJ45" s="10"/>
      <c r="BIK45" s="10"/>
      <c r="BIL45" s="10"/>
      <c r="BIM45" s="10"/>
      <c r="BIN45" s="10"/>
      <c r="BIO45" s="10"/>
      <c r="BIP45" s="10"/>
      <c r="BIQ45" s="10"/>
      <c r="BIR45" s="10"/>
      <c r="BIS45" s="10"/>
      <c r="BIT45" s="10"/>
      <c r="BIU45" s="10"/>
      <c r="BIV45" s="10"/>
      <c r="BIW45" s="10"/>
      <c r="BIX45" s="10"/>
      <c r="BIY45" s="10"/>
      <c r="BIZ45" s="10"/>
      <c r="BJA45" s="10"/>
      <c r="BJB45" s="10"/>
      <c r="BJC45" s="10"/>
      <c r="BJD45" s="10"/>
      <c r="BJE45" s="10"/>
      <c r="BJF45" s="10"/>
      <c r="BJG45" s="10"/>
      <c r="BJH45" s="10"/>
      <c r="BJI45" s="10"/>
      <c r="BJJ45" s="10"/>
      <c r="BJK45" s="10"/>
      <c r="BJL45" s="10"/>
      <c r="BJM45" s="10"/>
      <c r="BJN45" s="10"/>
      <c r="BJO45" s="10"/>
      <c r="BJP45" s="10"/>
      <c r="BJQ45" s="10"/>
      <c r="BJR45" s="10"/>
      <c r="BJS45" s="10"/>
      <c r="BJT45" s="10"/>
      <c r="BJU45" s="10"/>
      <c r="BJV45" s="10"/>
      <c r="BJW45" s="10"/>
      <c r="BJX45" s="10"/>
      <c r="BJY45" s="10"/>
      <c r="BJZ45" s="10"/>
      <c r="BKA45" s="10"/>
      <c r="BKB45" s="10"/>
      <c r="BKC45" s="10"/>
      <c r="BKD45" s="10"/>
      <c r="BKE45" s="10"/>
      <c r="BKF45" s="10"/>
      <c r="BKG45" s="10"/>
      <c r="BKH45" s="10"/>
      <c r="BKI45" s="10"/>
      <c r="BKJ45" s="10"/>
      <c r="BKK45" s="10"/>
      <c r="BKL45" s="10"/>
      <c r="BKM45" s="10"/>
      <c r="BKN45" s="10"/>
      <c r="BKO45" s="10"/>
      <c r="BKP45" s="10"/>
      <c r="BKQ45" s="10"/>
      <c r="BKR45" s="10"/>
      <c r="BKS45" s="10"/>
      <c r="BKT45" s="10"/>
      <c r="BKU45" s="10"/>
      <c r="BKV45" s="10"/>
      <c r="BKW45" s="10"/>
      <c r="BKX45" s="10"/>
      <c r="BKY45" s="10"/>
      <c r="BKZ45" s="10"/>
      <c r="BLA45" s="10"/>
      <c r="BLB45" s="10"/>
      <c r="BLC45" s="10"/>
      <c r="BLD45" s="10"/>
      <c r="BLE45" s="10"/>
      <c r="BLF45" s="10"/>
      <c r="BLG45" s="10"/>
      <c r="BLH45" s="10"/>
      <c r="BLI45" s="10"/>
      <c r="BLJ45" s="10"/>
      <c r="BLK45" s="10"/>
      <c r="BLL45" s="10"/>
      <c r="BLM45" s="10"/>
      <c r="BLN45" s="10"/>
      <c r="BLO45" s="10"/>
      <c r="BLP45" s="10"/>
      <c r="BLQ45" s="10"/>
      <c r="BLR45" s="10"/>
      <c r="BLS45" s="10"/>
      <c r="BLT45" s="10"/>
      <c r="BLU45" s="10"/>
      <c r="BLV45" s="10"/>
      <c r="BLW45" s="10"/>
      <c r="BLX45" s="10"/>
      <c r="BLY45" s="10"/>
      <c r="BLZ45" s="10"/>
      <c r="BMA45" s="10"/>
      <c r="BMB45" s="10"/>
      <c r="BMC45" s="10"/>
      <c r="BMD45" s="10"/>
      <c r="BME45" s="10"/>
      <c r="BMF45" s="10"/>
      <c r="BMG45" s="10"/>
      <c r="BMH45" s="10"/>
      <c r="BMI45" s="10"/>
      <c r="BMJ45" s="10"/>
      <c r="BMK45" s="10"/>
      <c r="BML45" s="10"/>
      <c r="BMM45" s="10"/>
      <c r="BMN45" s="10"/>
      <c r="BMO45" s="10"/>
      <c r="BMP45" s="10"/>
      <c r="BMQ45" s="10"/>
      <c r="BMR45" s="10"/>
      <c r="BMS45" s="10"/>
      <c r="BMT45" s="10"/>
      <c r="BMU45" s="10"/>
      <c r="BMV45" s="10"/>
      <c r="BMW45" s="10"/>
      <c r="BMX45" s="10"/>
      <c r="BMY45" s="10"/>
      <c r="BMZ45" s="10"/>
      <c r="BNA45" s="10"/>
      <c r="BNB45" s="10"/>
      <c r="BNC45" s="10"/>
      <c r="BND45" s="10"/>
      <c r="BNE45" s="10"/>
      <c r="BNF45" s="10"/>
      <c r="BNG45" s="10"/>
      <c r="BNH45" s="10"/>
      <c r="BNI45" s="10"/>
      <c r="BNJ45" s="10"/>
      <c r="BNK45" s="10"/>
      <c r="BNL45" s="10"/>
      <c r="BNM45" s="10"/>
      <c r="BNN45" s="10"/>
      <c r="BNO45" s="10"/>
      <c r="BNP45" s="10"/>
      <c r="BNQ45" s="10"/>
      <c r="BNR45" s="10"/>
      <c r="BNS45" s="10"/>
      <c r="BNT45" s="10"/>
      <c r="BNU45" s="10"/>
      <c r="BNV45" s="10"/>
      <c r="BNW45" s="10"/>
      <c r="BNX45" s="10"/>
      <c r="BNY45" s="10"/>
      <c r="BNZ45" s="10"/>
      <c r="BOA45" s="10"/>
      <c r="BOB45" s="10"/>
      <c r="BOC45" s="10"/>
      <c r="BOD45" s="10"/>
      <c r="BOE45" s="10"/>
      <c r="BOF45" s="10"/>
      <c r="BOG45" s="10"/>
      <c r="BOH45" s="10"/>
      <c r="BOI45" s="10"/>
      <c r="BOJ45" s="10"/>
      <c r="BOK45" s="10"/>
      <c r="BOL45" s="10"/>
      <c r="BOM45" s="10"/>
      <c r="BON45" s="10"/>
      <c r="BOO45" s="10"/>
      <c r="BOP45" s="10"/>
      <c r="BOQ45" s="10"/>
      <c r="BOR45" s="10"/>
      <c r="BOS45" s="10"/>
      <c r="BOT45" s="10"/>
      <c r="BOU45" s="10"/>
      <c r="BOV45" s="10"/>
      <c r="BOW45" s="10"/>
      <c r="BOX45" s="10"/>
      <c r="BOY45" s="10"/>
      <c r="BOZ45" s="10"/>
      <c r="BPA45" s="10"/>
      <c r="BPB45" s="10"/>
      <c r="BPC45" s="10"/>
      <c r="BPD45" s="10"/>
      <c r="BPE45" s="10"/>
      <c r="BPF45" s="10"/>
      <c r="BPG45" s="10"/>
      <c r="BPH45" s="10"/>
      <c r="BPI45" s="10"/>
      <c r="BPJ45" s="10"/>
      <c r="BPK45" s="10"/>
      <c r="BPL45" s="10"/>
      <c r="BPM45" s="10"/>
      <c r="BPN45" s="10"/>
      <c r="BPO45" s="10"/>
      <c r="BPP45" s="10"/>
      <c r="BPQ45" s="10"/>
      <c r="BPR45" s="10"/>
      <c r="BPS45" s="10"/>
      <c r="BPT45" s="10"/>
      <c r="BPU45" s="10"/>
      <c r="BPV45" s="10"/>
      <c r="BPW45" s="10"/>
      <c r="BPX45" s="10"/>
      <c r="BPY45" s="10"/>
      <c r="BPZ45" s="10"/>
      <c r="BQA45" s="10"/>
      <c r="BQB45" s="10"/>
      <c r="BQC45" s="10"/>
      <c r="BQD45" s="10"/>
      <c r="BQE45" s="10"/>
      <c r="BQF45" s="10"/>
      <c r="BQG45" s="10"/>
      <c r="BQH45" s="10"/>
      <c r="BQI45" s="10"/>
      <c r="BQJ45" s="10"/>
      <c r="BQK45" s="10"/>
      <c r="BQL45" s="10"/>
      <c r="BQM45" s="10"/>
      <c r="BQN45" s="10"/>
      <c r="BQO45" s="10"/>
      <c r="BQP45" s="10"/>
      <c r="BQQ45" s="10"/>
      <c r="BQR45" s="10"/>
      <c r="BQS45" s="10"/>
      <c r="BQT45" s="10"/>
      <c r="BQU45" s="10"/>
      <c r="BQV45" s="10"/>
      <c r="BQW45" s="10"/>
      <c r="BQX45" s="10"/>
      <c r="BQY45" s="10"/>
      <c r="BQZ45" s="10"/>
      <c r="BRA45" s="10"/>
      <c r="BRB45" s="10"/>
      <c r="BRC45" s="10"/>
      <c r="BRD45" s="10"/>
      <c r="BRE45" s="10"/>
      <c r="BRF45" s="10"/>
      <c r="BRG45" s="10"/>
      <c r="BRH45" s="10"/>
      <c r="BRI45" s="10"/>
      <c r="BRJ45" s="10"/>
      <c r="BRK45" s="10"/>
      <c r="BRL45" s="10"/>
      <c r="BRM45" s="10"/>
      <c r="BRN45" s="10"/>
      <c r="BRO45" s="10"/>
      <c r="BRP45" s="10"/>
      <c r="BRQ45" s="10"/>
      <c r="BRR45" s="10"/>
      <c r="BRS45" s="10"/>
      <c r="BRT45" s="10"/>
      <c r="BRU45" s="10"/>
      <c r="BRV45" s="10"/>
      <c r="BRW45" s="10"/>
      <c r="BRX45" s="10"/>
      <c r="BRY45" s="10"/>
      <c r="BRZ45" s="10"/>
      <c r="BSA45" s="10"/>
      <c r="BSB45" s="10"/>
      <c r="BSC45" s="10"/>
      <c r="BSD45" s="10"/>
      <c r="BSE45" s="10"/>
      <c r="BSF45" s="10"/>
      <c r="BSG45" s="10"/>
      <c r="BSH45" s="10"/>
      <c r="BSI45" s="10"/>
      <c r="BSJ45" s="10"/>
      <c r="BSK45" s="10"/>
      <c r="BSL45" s="10"/>
      <c r="BSM45" s="10"/>
      <c r="BSN45" s="10"/>
      <c r="BSO45" s="10"/>
      <c r="BSP45" s="10"/>
      <c r="BSQ45" s="10"/>
      <c r="BSR45" s="10"/>
      <c r="BSS45" s="10"/>
      <c r="BST45" s="10"/>
      <c r="BSU45" s="10"/>
      <c r="BSV45" s="10"/>
      <c r="BSW45" s="10"/>
      <c r="BSX45" s="10"/>
      <c r="BSY45" s="10"/>
      <c r="BSZ45" s="10"/>
      <c r="BTA45" s="10"/>
      <c r="BTB45" s="10"/>
      <c r="BTC45" s="10"/>
      <c r="BTD45" s="10"/>
      <c r="BTE45" s="10"/>
      <c r="BTF45" s="10"/>
      <c r="BTG45" s="10"/>
      <c r="BTH45" s="10"/>
      <c r="BTI45" s="10"/>
      <c r="BTJ45" s="10"/>
      <c r="BTK45" s="10"/>
      <c r="BTL45" s="10"/>
      <c r="BTM45" s="10"/>
      <c r="BTN45" s="10"/>
      <c r="BTO45" s="10"/>
      <c r="BTP45" s="10"/>
      <c r="BTQ45" s="10"/>
      <c r="BTR45" s="10"/>
      <c r="BTS45" s="10"/>
      <c r="BTT45" s="10"/>
      <c r="BTU45" s="10"/>
      <c r="BTV45" s="10"/>
      <c r="BTW45" s="10"/>
      <c r="BTX45" s="10"/>
      <c r="BTY45" s="10"/>
      <c r="BTZ45" s="10"/>
      <c r="BUA45" s="10"/>
      <c r="BUB45" s="10"/>
      <c r="BUC45" s="10"/>
      <c r="BUD45" s="10"/>
      <c r="BUE45" s="10"/>
      <c r="BUF45" s="10"/>
      <c r="BUG45" s="10"/>
      <c r="BUH45" s="10"/>
      <c r="BUI45" s="10"/>
      <c r="BUJ45" s="10"/>
      <c r="BUK45" s="10"/>
      <c r="BUL45" s="10"/>
      <c r="BUM45" s="10"/>
      <c r="BUN45" s="10"/>
      <c r="BUO45" s="10"/>
      <c r="BUP45" s="10"/>
      <c r="BUQ45" s="10"/>
      <c r="BUR45" s="10"/>
      <c r="BUS45" s="10"/>
      <c r="BUT45" s="10"/>
      <c r="BUU45" s="10"/>
      <c r="BUV45" s="10"/>
      <c r="BUW45" s="10"/>
      <c r="BUX45" s="10"/>
      <c r="BUY45" s="10"/>
      <c r="BUZ45" s="10"/>
      <c r="BVA45" s="10"/>
      <c r="BVB45" s="10"/>
      <c r="BVC45" s="10"/>
      <c r="BVD45" s="10"/>
      <c r="BVE45" s="10"/>
      <c r="BVF45" s="10"/>
      <c r="BVG45" s="10"/>
      <c r="BVH45" s="10"/>
      <c r="BVI45" s="10"/>
      <c r="BVJ45" s="10"/>
      <c r="BVK45" s="10"/>
      <c r="BVL45" s="10"/>
      <c r="BVM45" s="10"/>
      <c r="BVN45" s="10"/>
      <c r="BVO45" s="10"/>
      <c r="BVP45" s="10"/>
      <c r="BVQ45" s="10"/>
      <c r="BVR45" s="10"/>
      <c r="BVS45" s="10"/>
      <c r="BVT45" s="10"/>
      <c r="BVU45" s="10"/>
      <c r="BVV45" s="10"/>
      <c r="BVW45" s="10"/>
      <c r="BVX45" s="10"/>
      <c r="BVY45" s="10"/>
      <c r="BVZ45" s="10"/>
      <c r="BWA45" s="10"/>
      <c r="BWB45" s="10"/>
      <c r="BWC45" s="10"/>
      <c r="BWD45" s="10"/>
      <c r="BWE45" s="10"/>
      <c r="BWF45" s="10"/>
      <c r="BWG45" s="10"/>
      <c r="BWH45" s="10"/>
      <c r="BWI45" s="10"/>
      <c r="BWJ45" s="10"/>
      <c r="BWK45" s="10"/>
      <c r="BWL45" s="10"/>
      <c r="BWM45" s="10"/>
      <c r="BWN45" s="10"/>
      <c r="BWO45" s="10"/>
      <c r="BWP45" s="10"/>
      <c r="BWQ45" s="10"/>
      <c r="BWR45" s="10"/>
      <c r="BWS45" s="10"/>
      <c r="BWT45" s="10"/>
      <c r="BWU45" s="10"/>
      <c r="BWV45" s="10"/>
      <c r="BWW45" s="10"/>
      <c r="BWX45" s="10"/>
      <c r="BWY45" s="10"/>
      <c r="BWZ45" s="10"/>
      <c r="BXA45" s="10"/>
      <c r="BXB45" s="10"/>
      <c r="BXC45" s="10"/>
      <c r="BXD45" s="10"/>
      <c r="BXE45" s="10"/>
      <c r="BXF45" s="10"/>
      <c r="BXG45" s="10"/>
      <c r="BXH45" s="10"/>
      <c r="BXI45" s="10"/>
      <c r="BXJ45" s="10"/>
      <c r="BXK45" s="10"/>
      <c r="BXL45" s="10"/>
      <c r="BXM45" s="10"/>
      <c r="BXN45" s="10"/>
      <c r="BXO45" s="10"/>
      <c r="BXP45" s="10"/>
      <c r="BXQ45" s="10"/>
      <c r="BXR45" s="10"/>
      <c r="BXS45" s="10"/>
      <c r="BXT45" s="10"/>
      <c r="BXU45" s="10"/>
      <c r="BXV45" s="10"/>
      <c r="BXW45" s="10"/>
      <c r="BXX45" s="10"/>
      <c r="BXY45" s="10"/>
      <c r="BXZ45" s="10"/>
      <c r="BYA45" s="10"/>
      <c r="BYB45" s="10"/>
      <c r="BYC45" s="10"/>
      <c r="BYD45" s="10"/>
      <c r="BYE45" s="10"/>
      <c r="BYF45" s="10"/>
      <c r="BYG45" s="10"/>
      <c r="BYH45" s="10"/>
      <c r="BYI45" s="10"/>
      <c r="BYJ45" s="10"/>
      <c r="BYK45" s="10"/>
      <c r="BYL45" s="10"/>
      <c r="BYM45" s="10"/>
      <c r="BYN45" s="10"/>
      <c r="BYO45" s="10"/>
      <c r="BYP45" s="10"/>
      <c r="BYQ45" s="10"/>
      <c r="BYR45" s="10"/>
      <c r="BYS45" s="10"/>
      <c r="BYT45" s="10"/>
      <c r="BYU45" s="10"/>
      <c r="BYV45" s="10"/>
      <c r="BYW45" s="10"/>
      <c r="BYX45" s="10"/>
      <c r="BYY45" s="10"/>
      <c r="BYZ45" s="10"/>
      <c r="BZA45" s="10"/>
      <c r="BZB45" s="10"/>
      <c r="BZC45" s="10"/>
      <c r="BZD45" s="10"/>
      <c r="BZE45" s="10"/>
      <c r="BZF45" s="10"/>
      <c r="BZG45" s="10"/>
      <c r="BZH45" s="10"/>
      <c r="BZI45" s="10"/>
      <c r="BZJ45" s="10"/>
      <c r="BZK45" s="10"/>
      <c r="BZL45" s="10"/>
      <c r="BZM45" s="10"/>
      <c r="BZN45" s="10"/>
      <c r="BZO45" s="10"/>
      <c r="BZP45" s="10"/>
      <c r="BZQ45" s="10"/>
      <c r="BZR45" s="10"/>
      <c r="BZS45" s="10"/>
      <c r="BZT45" s="10"/>
      <c r="BZU45" s="10"/>
      <c r="BZV45" s="10"/>
      <c r="BZW45" s="10"/>
      <c r="BZX45" s="10"/>
      <c r="BZY45" s="10"/>
      <c r="BZZ45" s="10"/>
      <c r="CAA45" s="10"/>
      <c r="CAB45" s="10"/>
      <c r="CAC45" s="10"/>
      <c r="CAD45" s="10"/>
      <c r="CAE45" s="10"/>
      <c r="CAF45" s="10"/>
      <c r="CAG45" s="10"/>
      <c r="CAH45" s="10"/>
      <c r="CAI45" s="10"/>
      <c r="CAJ45" s="10"/>
      <c r="CAK45" s="10"/>
      <c r="CAL45" s="10"/>
      <c r="CAM45" s="10"/>
      <c r="CAN45" s="10"/>
      <c r="CAO45" s="10"/>
      <c r="CAP45" s="10"/>
      <c r="CAQ45" s="10"/>
      <c r="CAR45" s="10"/>
      <c r="CAS45" s="10"/>
      <c r="CAT45" s="10"/>
      <c r="CAU45" s="10"/>
      <c r="CAV45" s="10"/>
      <c r="CAW45" s="10"/>
      <c r="CAX45" s="10"/>
      <c r="CAY45" s="10"/>
      <c r="CAZ45" s="10"/>
      <c r="CBA45" s="10"/>
      <c r="CBB45" s="10"/>
      <c r="CBC45" s="10"/>
      <c r="CBD45" s="10"/>
      <c r="CBE45" s="10"/>
      <c r="CBF45" s="10"/>
      <c r="CBG45" s="10"/>
      <c r="CBH45" s="10"/>
      <c r="CBI45" s="10"/>
      <c r="CBJ45" s="10"/>
      <c r="CBK45" s="10"/>
      <c r="CBL45" s="10"/>
      <c r="CBM45" s="10"/>
      <c r="CBN45" s="10"/>
      <c r="CBO45" s="10"/>
      <c r="CBP45" s="10"/>
      <c r="CBQ45" s="10"/>
      <c r="CBR45" s="10"/>
      <c r="CBS45" s="10"/>
      <c r="CBT45" s="10"/>
      <c r="CBU45" s="10"/>
      <c r="CBV45" s="10"/>
      <c r="CBW45" s="10"/>
      <c r="CBX45" s="10"/>
      <c r="CBY45" s="10"/>
      <c r="CBZ45" s="10"/>
      <c r="CCA45" s="10"/>
      <c r="CCB45" s="10"/>
      <c r="CCC45" s="10"/>
      <c r="CCD45" s="10"/>
      <c r="CCE45" s="10"/>
      <c r="CCF45" s="10"/>
      <c r="CCG45" s="10"/>
      <c r="CCH45" s="10"/>
      <c r="CCI45" s="10"/>
      <c r="CCJ45" s="10"/>
      <c r="CCK45" s="10"/>
      <c r="CCL45" s="10"/>
      <c r="CCM45" s="10"/>
      <c r="CCN45" s="10"/>
      <c r="CCO45" s="10"/>
      <c r="CCP45" s="10"/>
      <c r="CCQ45" s="10"/>
      <c r="CCR45" s="10"/>
      <c r="CCS45" s="10"/>
      <c r="CCT45" s="10"/>
      <c r="CCU45" s="10"/>
      <c r="CCV45" s="10"/>
      <c r="CCW45" s="10"/>
      <c r="CCX45" s="10"/>
      <c r="CCY45" s="10"/>
      <c r="CCZ45" s="10"/>
      <c r="CDA45" s="10"/>
      <c r="CDB45" s="10"/>
      <c r="CDC45" s="10"/>
      <c r="CDD45" s="10"/>
      <c r="CDE45" s="10"/>
      <c r="CDF45" s="10"/>
      <c r="CDG45" s="10"/>
      <c r="CDH45" s="10"/>
      <c r="CDI45" s="10"/>
      <c r="CDJ45" s="10"/>
      <c r="CDK45" s="10"/>
      <c r="CDL45" s="10"/>
      <c r="CDM45" s="10"/>
      <c r="CDN45" s="10"/>
      <c r="CDO45" s="10"/>
      <c r="CDP45" s="10"/>
      <c r="CDQ45" s="10"/>
      <c r="CDR45" s="10"/>
      <c r="CDS45" s="10"/>
      <c r="CDT45" s="10"/>
      <c r="CDU45" s="10"/>
      <c r="CDV45" s="10"/>
      <c r="CDW45" s="10"/>
      <c r="CDX45" s="10"/>
      <c r="CDY45" s="10"/>
      <c r="CDZ45" s="10"/>
      <c r="CEA45" s="10"/>
      <c r="CEB45" s="10"/>
      <c r="CEC45" s="10"/>
      <c r="CED45" s="10"/>
      <c r="CEE45" s="10"/>
      <c r="CEF45" s="10"/>
      <c r="CEG45" s="10"/>
      <c r="CEH45" s="10"/>
      <c r="CEI45" s="10"/>
      <c r="CEJ45" s="10"/>
      <c r="CEK45" s="10"/>
      <c r="CEL45" s="10"/>
      <c r="CEM45" s="10"/>
      <c r="CEN45" s="10"/>
      <c r="CEO45" s="10"/>
      <c r="CEP45" s="10"/>
      <c r="CEQ45" s="10"/>
      <c r="CER45" s="10"/>
      <c r="CES45" s="10"/>
      <c r="CET45" s="10"/>
      <c r="CEU45" s="10"/>
      <c r="CEV45" s="10"/>
      <c r="CEW45" s="10"/>
      <c r="CEX45" s="10"/>
      <c r="CEY45" s="10"/>
      <c r="CEZ45" s="10"/>
      <c r="CFA45" s="10"/>
      <c r="CFB45" s="10"/>
      <c r="CFC45" s="10"/>
      <c r="CFD45" s="10"/>
      <c r="CFE45" s="10"/>
      <c r="CFF45" s="10"/>
      <c r="CFG45" s="10"/>
      <c r="CFH45" s="10"/>
      <c r="CFI45" s="10"/>
      <c r="CFJ45" s="10"/>
      <c r="CFK45" s="10"/>
      <c r="CFL45" s="10"/>
      <c r="CFM45" s="10"/>
      <c r="CFN45" s="10"/>
      <c r="CFO45" s="10"/>
      <c r="CFP45" s="10"/>
      <c r="CFQ45" s="10"/>
      <c r="CFR45" s="10"/>
      <c r="CFS45" s="10"/>
      <c r="CFT45" s="10"/>
      <c r="CFU45" s="10"/>
      <c r="CFV45" s="10"/>
      <c r="CFW45" s="10"/>
      <c r="CFX45" s="10"/>
      <c r="CFY45" s="10"/>
      <c r="CFZ45" s="10"/>
      <c r="CGA45" s="10"/>
      <c r="CGB45" s="10"/>
      <c r="CGC45" s="10"/>
      <c r="CGD45" s="10"/>
      <c r="CGE45" s="10"/>
      <c r="CGF45" s="10"/>
      <c r="CGG45" s="10"/>
      <c r="CGH45" s="10"/>
      <c r="CGI45" s="10"/>
      <c r="CGJ45" s="10"/>
      <c r="CGK45" s="10"/>
      <c r="CGL45" s="10"/>
      <c r="CGM45" s="10"/>
      <c r="CGN45" s="10"/>
      <c r="CGO45" s="10"/>
      <c r="CGP45" s="10"/>
      <c r="CGQ45" s="10"/>
      <c r="CGR45" s="10"/>
      <c r="CGS45" s="10"/>
      <c r="CGT45" s="10"/>
      <c r="CGU45" s="10"/>
      <c r="CGV45" s="10"/>
      <c r="CGW45" s="10"/>
      <c r="CGX45" s="10"/>
      <c r="CGY45" s="10"/>
      <c r="CGZ45" s="10"/>
      <c r="CHA45" s="10"/>
      <c r="CHB45" s="10"/>
      <c r="CHC45" s="10"/>
      <c r="CHD45" s="10"/>
      <c r="CHE45" s="10"/>
      <c r="CHF45" s="10"/>
      <c r="CHG45" s="10"/>
      <c r="CHH45" s="10"/>
      <c r="CHI45" s="10"/>
      <c r="CHJ45" s="10"/>
      <c r="CHK45" s="10"/>
      <c r="CHL45" s="10"/>
      <c r="CHM45" s="10"/>
      <c r="CHN45" s="10"/>
      <c r="CHO45" s="10"/>
      <c r="CHP45" s="10"/>
      <c r="CHQ45" s="10"/>
      <c r="CHR45" s="10"/>
      <c r="CHS45" s="10"/>
      <c r="CHT45" s="10"/>
      <c r="CHU45" s="10"/>
      <c r="CHV45" s="10"/>
      <c r="CHW45" s="10"/>
      <c r="CHX45" s="10"/>
      <c r="CHY45" s="10"/>
      <c r="CHZ45" s="10"/>
      <c r="CIA45" s="10"/>
      <c r="CIB45" s="10"/>
      <c r="CIC45" s="10"/>
      <c r="CID45" s="10"/>
      <c r="CIE45" s="10"/>
      <c r="CIF45" s="10"/>
      <c r="CIG45" s="10"/>
      <c r="CIH45" s="10"/>
      <c r="CII45" s="10"/>
      <c r="CIJ45" s="10"/>
      <c r="CIK45" s="10"/>
      <c r="CIL45" s="10"/>
      <c r="CIM45" s="10"/>
      <c r="CIN45" s="10"/>
      <c r="CIO45" s="10"/>
      <c r="CIP45" s="10"/>
      <c r="CIQ45" s="10"/>
      <c r="CIR45" s="10"/>
      <c r="CIS45" s="10"/>
      <c r="CIT45" s="10"/>
      <c r="CIU45" s="10"/>
      <c r="CIV45" s="10"/>
      <c r="CIW45" s="10"/>
      <c r="CIX45" s="10"/>
      <c r="CIY45" s="10"/>
      <c r="CIZ45" s="10"/>
      <c r="CJA45" s="10"/>
      <c r="CJB45" s="10"/>
      <c r="CJC45" s="10"/>
      <c r="CJD45" s="10"/>
      <c r="CJE45" s="10"/>
      <c r="CJF45" s="10"/>
      <c r="CJG45" s="10"/>
      <c r="CJH45" s="10"/>
      <c r="CJI45" s="10"/>
      <c r="CJJ45" s="10"/>
      <c r="CJK45" s="10"/>
      <c r="CJL45" s="10"/>
      <c r="CJM45" s="10"/>
      <c r="CJN45" s="10"/>
      <c r="CJO45" s="10"/>
      <c r="CJP45" s="10"/>
      <c r="CJQ45" s="10"/>
      <c r="CJR45" s="10"/>
      <c r="CJS45" s="10"/>
      <c r="CJT45" s="10"/>
      <c r="CJU45" s="10"/>
      <c r="CJV45" s="10"/>
      <c r="CJW45" s="10"/>
      <c r="CJX45" s="10"/>
      <c r="CJY45" s="10"/>
      <c r="CJZ45" s="10"/>
      <c r="CKA45" s="10"/>
      <c r="CKB45" s="10"/>
      <c r="CKC45" s="10"/>
      <c r="CKD45" s="10"/>
      <c r="CKE45" s="10"/>
      <c r="CKF45" s="10"/>
      <c r="CKG45" s="10"/>
      <c r="CKH45" s="10"/>
      <c r="CKI45" s="10"/>
      <c r="CKJ45" s="10"/>
      <c r="CKK45" s="10"/>
      <c r="CKL45" s="10"/>
      <c r="CKM45" s="10"/>
      <c r="CKN45" s="10"/>
      <c r="CKO45" s="10"/>
      <c r="CKP45" s="10"/>
      <c r="CKQ45" s="10"/>
      <c r="CKR45" s="10"/>
      <c r="CKS45" s="10"/>
      <c r="CKT45" s="10"/>
      <c r="CKU45" s="10"/>
      <c r="CKV45" s="10"/>
      <c r="CKW45" s="10"/>
      <c r="CKX45" s="10"/>
      <c r="CKY45" s="10"/>
      <c r="CKZ45" s="10"/>
      <c r="CLA45" s="10"/>
      <c r="CLB45" s="10"/>
      <c r="CLC45" s="10"/>
      <c r="CLD45" s="10"/>
      <c r="CLE45" s="10"/>
      <c r="CLF45" s="10"/>
      <c r="CLG45" s="10"/>
      <c r="CLH45" s="10"/>
      <c r="CLI45" s="10"/>
      <c r="CLJ45" s="10"/>
      <c r="CLK45" s="10"/>
      <c r="CLL45" s="10"/>
      <c r="CLM45" s="10"/>
      <c r="CLN45" s="10"/>
      <c r="CLO45" s="10"/>
      <c r="CLP45" s="10"/>
      <c r="CLQ45" s="10"/>
      <c r="CLR45" s="10"/>
      <c r="CLS45" s="10"/>
      <c r="CLT45" s="10"/>
      <c r="CLU45" s="10"/>
      <c r="CLV45" s="10"/>
      <c r="CLW45" s="10"/>
      <c r="CLX45" s="10"/>
      <c r="CLY45" s="10"/>
      <c r="CLZ45" s="10"/>
      <c r="CMA45" s="10"/>
      <c r="CMB45" s="10"/>
      <c r="CMC45" s="10"/>
      <c r="CMD45" s="10"/>
      <c r="CME45" s="10"/>
      <c r="CMF45" s="10"/>
      <c r="CMG45" s="10"/>
      <c r="CMH45" s="10"/>
      <c r="CMI45" s="10"/>
      <c r="CMJ45" s="10"/>
      <c r="CMK45" s="10"/>
      <c r="CML45" s="10"/>
      <c r="CMM45" s="10"/>
      <c r="CMN45" s="10"/>
      <c r="CMO45" s="10"/>
      <c r="CMP45" s="10"/>
      <c r="CMQ45" s="10"/>
      <c r="CMR45" s="10"/>
      <c r="CMS45" s="10"/>
      <c r="CMT45" s="10"/>
      <c r="CMU45" s="10"/>
      <c r="CMV45" s="10"/>
      <c r="CMW45" s="10"/>
      <c r="CMX45" s="10"/>
      <c r="CMY45" s="10"/>
      <c r="CMZ45" s="10"/>
      <c r="CNA45" s="10"/>
      <c r="CNB45" s="10"/>
      <c r="CNC45" s="10"/>
      <c r="CND45" s="10"/>
      <c r="CNE45" s="10"/>
      <c r="CNF45" s="10"/>
      <c r="CNG45" s="10"/>
      <c r="CNH45" s="10"/>
      <c r="CNI45" s="10"/>
      <c r="CNJ45" s="10"/>
      <c r="CNK45" s="10"/>
      <c r="CNL45" s="10"/>
      <c r="CNM45" s="10"/>
      <c r="CNN45" s="10"/>
      <c r="CNO45" s="10"/>
      <c r="CNP45" s="10"/>
      <c r="CNQ45" s="10"/>
      <c r="CNR45" s="10"/>
      <c r="CNS45" s="10"/>
      <c r="CNT45" s="10"/>
      <c r="CNU45" s="10"/>
      <c r="CNV45" s="10"/>
      <c r="CNW45" s="10"/>
      <c r="CNX45" s="10"/>
      <c r="CNY45" s="10"/>
      <c r="CNZ45" s="10"/>
      <c r="COA45" s="10"/>
      <c r="COB45" s="10"/>
      <c r="COC45" s="10"/>
      <c r="COD45" s="10"/>
      <c r="COE45" s="10"/>
      <c r="COF45" s="10"/>
      <c r="COG45" s="10"/>
      <c r="COH45" s="10"/>
      <c r="COI45" s="10"/>
      <c r="COJ45" s="10"/>
      <c r="COK45" s="10"/>
      <c r="COL45" s="10"/>
      <c r="COM45" s="10"/>
      <c r="CON45" s="10"/>
      <c r="COO45" s="10"/>
      <c r="COP45" s="10"/>
      <c r="COQ45" s="10"/>
      <c r="COR45" s="10"/>
      <c r="COS45" s="10"/>
      <c r="COT45" s="10"/>
      <c r="COU45" s="10"/>
      <c r="COV45" s="10"/>
      <c r="COW45" s="10"/>
      <c r="COX45" s="10"/>
      <c r="COY45" s="10"/>
      <c r="COZ45" s="10"/>
      <c r="CPA45" s="10"/>
      <c r="CPB45" s="10"/>
      <c r="CPC45" s="10"/>
      <c r="CPD45" s="10"/>
      <c r="CPE45" s="10"/>
      <c r="CPF45" s="10"/>
      <c r="CPG45" s="10"/>
      <c r="CPH45" s="10"/>
      <c r="CPI45" s="10"/>
      <c r="CPJ45" s="10"/>
      <c r="CPK45" s="10"/>
      <c r="CPL45" s="10"/>
      <c r="CPM45" s="10"/>
      <c r="CPN45" s="10"/>
      <c r="CPO45" s="10"/>
      <c r="CPP45" s="10"/>
      <c r="CPQ45" s="10"/>
      <c r="CPR45" s="10"/>
      <c r="CPS45" s="10"/>
      <c r="CPT45" s="10"/>
      <c r="CPU45" s="10"/>
      <c r="CPV45" s="10"/>
      <c r="CPW45" s="10"/>
      <c r="CPX45" s="10"/>
      <c r="CPY45" s="10"/>
      <c r="CPZ45" s="10"/>
      <c r="CQA45" s="10"/>
      <c r="CQB45" s="10"/>
      <c r="CQC45" s="10"/>
      <c r="CQD45" s="10"/>
      <c r="CQE45" s="10"/>
      <c r="CQF45" s="10"/>
      <c r="CQG45" s="10"/>
      <c r="CQH45" s="10"/>
      <c r="CQI45" s="10"/>
      <c r="CQJ45" s="10"/>
      <c r="CQK45" s="10"/>
      <c r="CQL45" s="10"/>
      <c r="CQM45" s="10"/>
      <c r="CQN45" s="10"/>
      <c r="CQO45" s="10"/>
      <c r="CQP45" s="10"/>
      <c r="CQQ45" s="10"/>
      <c r="CQR45" s="10"/>
      <c r="CQS45" s="10"/>
      <c r="CQT45" s="10"/>
      <c r="CQU45" s="10"/>
      <c r="CQV45" s="10"/>
      <c r="CQW45" s="10"/>
      <c r="CQX45" s="10"/>
      <c r="CQY45" s="10"/>
      <c r="CQZ45" s="10"/>
      <c r="CRA45" s="10"/>
      <c r="CRB45" s="10"/>
      <c r="CRC45" s="10"/>
      <c r="CRD45" s="10"/>
      <c r="CRE45" s="10"/>
      <c r="CRF45" s="10"/>
      <c r="CRG45" s="10"/>
      <c r="CRH45" s="10"/>
      <c r="CRI45" s="10"/>
      <c r="CRJ45" s="10"/>
      <c r="CRK45" s="10"/>
      <c r="CRL45" s="10"/>
      <c r="CRM45" s="10"/>
      <c r="CRN45" s="10"/>
      <c r="CRO45" s="10"/>
      <c r="CRP45" s="10"/>
      <c r="CRQ45" s="10"/>
      <c r="CRR45" s="10"/>
      <c r="CRS45" s="10"/>
      <c r="CRT45" s="10"/>
      <c r="CRU45" s="10"/>
      <c r="CRV45" s="10"/>
      <c r="CRW45" s="10"/>
      <c r="CRX45" s="10"/>
      <c r="CRY45" s="10"/>
      <c r="CRZ45" s="10"/>
      <c r="CSA45" s="10"/>
      <c r="CSB45" s="10"/>
      <c r="CSC45" s="10"/>
      <c r="CSD45" s="10"/>
      <c r="CSE45" s="10"/>
      <c r="CSF45" s="10"/>
      <c r="CSG45" s="10"/>
      <c r="CSH45" s="10"/>
      <c r="CSI45" s="10"/>
      <c r="CSJ45" s="10"/>
      <c r="CSK45" s="10"/>
      <c r="CSL45" s="10"/>
      <c r="CSM45" s="10"/>
      <c r="CSN45" s="10"/>
      <c r="CSO45" s="10"/>
      <c r="CSP45" s="10"/>
      <c r="CSQ45" s="10"/>
      <c r="CSR45" s="10"/>
      <c r="CSS45" s="10"/>
      <c r="CST45" s="10"/>
      <c r="CSU45" s="10"/>
      <c r="CSV45" s="10"/>
      <c r="CSW45" s="10"/>
      <c r="CSX45" s="10"/>
      <c r="CSY45" s="10"/>
      <c r="CSZ45" s="10"/>
      <c r="CTA45" s="10"/>
      <c r="CTB45" s="10"/>
      <c r="CTC45" s="10"/>
      <c r="CTD45" s="10"/>
      <c r="CTE45" s="10"/>
      <c r="CTF45" s="10"/>
      <c r="CTG45" s="10"/>
      <c r="CTH45" s="10"/>
      <c r="CTI45" s="10"/>
      <c r="CTJ45" s="10"/>
      <c r="CTK45" s="10"/>
      <c r="CTL45" s="10"/>
      <c r="CTM45" s="10"/>
      <c r="CTN45" s="10"/>
      <c r="CTO45" s="10"/>
      <c r="CTP45" s="10"/>
      <c r="CTQ45" s="10"/>
      <c r="CTR45" s="10"/>
      <c r="CTS45" s="10"/>
      <c r="CTT45" s="10"/>
      <c r="CTU45" s="10"/>
      <c r="CTV45" s="10"/>
      <c r="CTW45" s="10"/>
      <c r="CTX45" s="10"/>
      <c r="CTY45" s="10"/>
      <c r="CTZ45" s="10"/>
      <c r="CUA45" s="10"/>
      <c r="CUB45" s="10"/>
      <c r="CUC45" s="10"/>
      <c r="CUD45" s="10"/>
      <c r="CUE45" s="10"/>
      <c r="CUF45" s="10"/>
      <c r="CUG45" s="10"/>
      <c r="CUH45" s="10"/>
      <c r="CUI45" s="10"/>
      <c r="CUJ45" s="10"/>
      <c r="CUK45" s="10"/>
      <c r="CUL45" s="10"/>
      <c r="CUM45" s="10"/>
      <c r="CUN45" s="10"/>
      <c r="CUO45" s="10"/>
      <c r="CUP45" s="10"/>
      <c r="CUQ45" s="10"/>
      <c r="CUR45" s="10"/>
      <c r="CUS45" s="10"/>
      <c r="CUT45" s="10"/>
      <c r="CUU45" s="10"/>
      <c r="CUV45" s="10"/>
      <c r="CUW45" s="10"/>
      <c r="CUX45" s="10"/>
      <c r="CUY45" s="10"/>
      <c r="CUZ45" s="10"/>
      <c r="CVA45" s="10"/>
      <c r="CVB45" s="10"/>
      <c r="CVC45" s="10"/>
      <c r="CVD45" s="10"/>
      <c r="CVE45" s="10"/>
      <c r="CVF45" s="10"/>
      <c r="CVG45" s="10"/>
      <c r="CVH45" s="10"/>
      <c r="CVI45" s="10"/>
      <c r="CVJ45" s="10"/>
      <c r="CVK45" s="10"/>
      <c r="CVL45" s="10"/>
      <c r="CVM45" s="10"/>
      <c r="CVN45" s="10"/>
      <c r="CVO45" s="10"/>
      <c r="CVP45" s="10"/>
      <c r="CVQ45" s="10"/>
      <c r="CVR45" s="10"/>
      <c r="CVS45" s="10"/>
      <c r="CVT45" s="10"/>
      <c r="CVU45" s="10"/>
      <c r="CVV45" s="10"/>
      <c r="CVW45" s="10"/>
      <c r="CVX45" s="10"/>
      <c r="CVY45" s="10"/>
      <c r="CVZ45" s="10"/>
      <c r="CWA45" s="10"/>
      <c r="CWB45" s="10"/>
      <c r="CWC45" s="10"/>
      <c r="CWD45" s="10"/>
      <c r="CWE45" s="10"/>
      <c r="CWF45" s="10"/>
      <c r="CWG45" s="10"/>
      <c r="CWH45" s="10"/>
      <c r="CWI45" s="10"/>
      <c r="CWJ45" s="10"/>
      <c r="CWK45" s="10"/>
      <c r="CWL45" s="10"/>
      <c r="CWM45" s="10"/>
      <c r="CWN45" s="10"/>
      <c r="CWO45" s="10"/>
      <c r="CWP45" s="10"/>
      <c r="CWQ45" s="10"/>
      <c r="CWR45" s="10"/>
      <c r="CWS45" s="10"/>
      <c r="CWT45" s="10"/>
      <c r="CWU45" s="10"/>
      <c r="CWV45" s="10"/>
      <c r="CWW45" s="10"/>
      <c r="CWX45" s="10"/>
      <c r="CWY45" s="10"/>
      <c r="CWZ45" s="10"/>
      <c r="CXA45" s="10"/>
      <c r="CXB45" s="10"/>
      <c r="CXC45" s="10"/>
      <c r="CXD45" s="10"/>
      <c r="CXE45" s="10"/>
      <c r="CXF45" s="10"/>
      <c r="CXG45" s="10"/>
      <c r="CXH45" s="10"/>
      <c r="CXI45" s="10"/>
      <c r="CXJ45" s="10"/>
      <c r="CXK45" s="10"/>
      <c r="CXL45" s="10"/>
      <c r="CXM45" s="10"/>
      <c r="CXN45" s="10"/>
      <c r="CXO45" s="10"/>
      <c r="CXP45" s="10"/>
      <c r="CXQ45" s="10"/>
      <c r="CXR45" s="10"/>
      <c r="CXS45" s="10"/>
      <c r="CXT45" s="10"/>
      <c r="CXU45" s="10"/>
      <c r="CXV45" s="10"/>
      <c r="CXW45" s="10"/>
      <c r="CXX45" s="10"/>
      <c r="CXY45" s="10"/>
      <c r="CXZ45" s="10"/>
      <c r="CYA45" s="10"/>
      <c r="CYB45" s="10"/>
      <c r="CYC45" s="10"/>
      <c r="CYD45" s="10"/>
      <c r="CYE45" s="10"/>
      <c r="CYF45" s="10"/>
      <c r="CYG45" s="10"/>
      <c r="CYH45" s="10"/>
      <c r="CYI45" s="10"/>
      <c r="CYJ45" s="10"/>
      <c r="CYK45" s="10"/>
      <c r="CYL45" s="10"/>
      <c r="CYM45" s="10"/>
      <c r="CYN45" s="10"/>
      <c r="CYO45" s="10"/>
      <c r="CYP45" s="10"/>
      <c r="CYQ45" s="10"/>
      <c r="CYR45" s="10"/>
      <c r="CYS45" s="10"/>
      <c r="CYT45" s="10"/>
      <c r="CYU45" s="10"/>
      <c r="CYV45" s="10"/>
      <c r="CYW45" s="10"/>
      <c r="CYX45" s="10"/>
      <c r="CYY45" s="10"/>
      <c r="CYZ45" s="10"/>
      <c r="CZA45" s="10"/>
      <c r="CZB45" s="10"/>
      <c r="CZC45" s="10"/>
      <c r="CZD45" s="10"/>
      <c r="CZE45" s="10"/>
      <c r="CZF45" s="10"/>
      <c r="CZG45" s="10"/>
      <c r="CZH45" s="10"/>
      <c r="CZI45" s="10"/>
      <c r="CZJ45" s="10"/>
      <c r="CZK45" s="10"/>
      <c r="CZL45" s="10"/>
      <c r="CZM45" s="10"/>
      <c r="CZN45" s="10"/>
      <c r="CZO45" s="10"/>
      <c r="CZP45" s="10"/>
      <c r="CZQ45" s="10"/>
      <c r="CZR45" s="10"/>
      <c r="CZS45" s="10"/>
      <c r="CZT45" s="10"/>
      <c r="CZU45" s="10"/>
      <c r="CZV45" s="10"/>
      <c r="CZW45" s="10"/>
      <c r="CZX45" s="10"/>
      <c r="CZY45" s="10"/>
      <c r="CZZ45" s="10"/>
      <c r="DAA45" s="10"/>
      <c r="DAB45" s="10"/>
      <c r="DAC45" s="10"/>
      <c r="DAD45" s="10"/>
      <c r="DAE45" s="10"/>
      <c r="DAF45" s="10"/>
      <c r="DAG45" s="10"/>
      <c r="DAH45" s="10"/>
      <c r="DAI45" s="10"/>
      <c r="DAJ45" s="10"/>
      <c r="DAK45" s="10"/>
      <c r="DAL45" s="10"/>
      <c r="DAM45" s="10"/>
      <c r="DAN45" s="10"/>
      <c r="DAO45" s="10"/>
      <c r="DAP45" s="10"/>
      <c r="DAQ45" s="10"/>
      <c r="DAR45" s="10"/>
      <c r="DAS45" s="10"/>
      <c r="DAT45" s="10"/>
      <c r="DAU45" s="10"/>
      <c r="DAV45" s="10"/>
      <c r="DAW45" s="10"/>
      <c r="DAX45" s="10"/>
      <c r="DAY45" s="10"/>
      <c r="DAZ45" s="10"/>
      <c r="DBA45" s="10"/>
      <c r="DBB45" s="10"/>
      <c r="DBC45" s="10"/>
      <c r="DBD45" s="10"/>
      <c r="DBE45" s="10"/>
      <c r="DBF45" s="10"/>
      <c r="DBG45" s="10"/>
      <c r="DBH45" s="10"/>
      <c r="DBI45" s="10"/>
      <c r="DBJ45" s="10"/>
      <c r="DBK45" s="10"/>
      <c r="DBL45" s="10"/>
      <c r="DBM45" s="10"/>
      <c r="DBN45" s="10"/>
      <c r="DBO45" s="10"/>
      <c r="DBP45" s="10"/>
      <c r="DBQ45" s="10"/>
      <c r="DBR45" s="10"/>
      <c r="DBS45" s="10"/>
      <c r="DBT45" s="10"/>
      <c r="DBU45" s="10"/>
      <c r="DBV45" s="10"/>
      <c r="DBW45" s="10"/>
      <c r="DBX45" s="10"/>
      <c r="DBY45" s="10"/>
      <c r="DBZ45" s="10"/>
      <c r="DCA45" s="10"/>
      <c r="DCB45" s="10"/>
      <c r="DCC45" s="10"/>
      <c r="DCD45" s="10"/>
      <c r="DCE45" s="10"/>
      <c r="DCF45" s="10"/>
      <c r="DCG45" s="10"/>
      <c r="DCH45" s="10"/>
      <c r="DCI45" s="10"/>
      <c r="DCJ45" s="10"/>
      <c r="DCK45" s="10"/>
      <c r="DCL45" s="10"/>
      <c r="DCM45" s="10"/>
      <c r="DCN45" s="10"/>
      <c r="DCO45" s="10"/>
      <c r="DCP45" s="10"/>
      <c r="DCQ45" s="10"/>
      <c r="DCR45" s="10"/>
      <c r="DCS45" s="10"/>
      <c r="DCT45" s="10"/>
      <c r="DCU45" s="10"/>
      <c r="DCV45" s="10"/>
      <c r="DCW45" s="10"/>
      <c r="DCX45" s="10"/>
      <c r="DCY45" s="10"/>
      <c r="DCZ45" s="10"/>
      <c r="DDA45" s="10"/>
      <c r="DDB45" s="10"/>
      <c r="DDC45" s="10"/>
      <c r="DDD45" s="10"/>
      <c r="DDE45" s="10"/>
      <c r="DDF45" s="10"/>
      <c r="DDG45" s="10"/>
      <c r="DDH45" s="10"/>
      <c r="DDI45" s="10"/>
      <c r="DDJ45" s="10"/>
      <c r="DDK45" s="10"/>
      <c r="DDL45" s="10"/>
      <c r="DDM45" s="10"/>
      <c r="DDN45" s="10"/>
      <c r="DDO45" s="10"/>
      <c r="DDP45" s="10"/>
      <c r="DDQ45" s="10"/>
      <c r="DDR45" s="10"/>
      <c r="DDS45" s="10"/>
      <c r="DDT45" s="10"/>
      <c r="DDU45" s="10"/>
      <c r="DDV45" s="10"/>
      <c r="DDW45" s="10"/>
      <c r="DDX45" s="10"/>
      <c r="DDY45" s="10"/>
      <c r="DDZ45" s="10"/>
      <c r="DEA45" s="10"/>
      <c r="DEB45" s="10"/>
      <c r="DEC45" s="10"/>
      <c r="DED45" s="10"/>
      <c r="DEE45" s="10"/>
      <c r="DEF45" s="10"/>
      <c r="DEG45" s="10"/>
      <c r="DEH45" s="10"/>
      <c r="DEI45" s="10"/>
      <c r="DEJ45" s="10"/>
      <c r="DEK45" s="10"/>
      <c r="DEL45" s="10"/>
      <c r="DEM45" s="10"/>
      <c r="DEN45" s="10"/>
      <c r="DEO45" s="10"/>
      <c r="DEP45" s="10"/>
      <c r="DEQ45" s="10"/>
      <c r="DER45" s="10"/>
      <c r="DES45" s="10"/>
      <c r="DET45" s="10"/>
      <c r="DEU45" s="10"/>
      <c r="DEV45" s="10"/>
      <c r="DEW45" s="10"/>
      <c r="DEX45" s="10"/>
      <c r="DEY45" s="10"/>
      <c r="DEZ45" s="10"/>
      <c r="DFA45" s="10"/>
      <c r="DFB45" s="10"/>
      <c r="DFC45" s="10"/>
      <c r="DFD45" s="10"/>
      <c r="DFE45" s="10"/>
      <c r="DFF45" s="10"/>
      <c r="DFG45" s="10"/>
      <c r="DFH45" s="10"/>
      <c r="DFI45" s="10"/>
      <c r="DFJ45" s="10"/>
      <c r="DFK45" s="10"/>
      <c r="DFL45" s="10"/>
      <c r="DFM45" s="10"/>
      <c r="DFN45" s="10"/>
      <c r="DFO45" s="10"/>
      <c r="DFP45" s="10"/>
      <c r="DFQ45" s="10"/>
      <c r="DFR45" s="10"/>
      <c r="DFS45" s="10"/>
      <c r="DFT45" s="10"/>
      <c r="DFU45" s="10"/>
      <c r="DFV45" s="10"/>
      <c r="DFW45" s="10"/>
      <c r="DFX45" s="10"/>
      <c r="DFY45" s="10"/>
      <c r="DFZ45" s="10"/>
      <c r="DGA45" s="10"/>
      <c r="DGB45" s="10"/>
      <c r="DGC45" s="10"/>
      <c r="DGD45" s="10"/>
      <c r="DGE45" s="10"/>
      <c r="DGF45" s="10"/>
      <c r="DGG45" s="10"/>
      <c r="DGH45" s="10"/>
      <c r="DGI45" s="10"/>
      <c r="DGJ45" s="10"/>
      <c r="DGK45" s="10"/>
      <c r="DGL45" s="10"/>
      <c r="DGM45" s="10"/>
      <c r="DGN45" s="10"/>
      <c r="DGO45" s="10"/>
      <c r="DGP45" s="10"/>
      <c r="DGQ45" s="10"/>
      <c r="DGR45" s="10"/>
      <c r="DGS45" s="10"/>
      <c r="DGT45" s="10"/>
      <c r="DGU45" s="10"/>
      <c r="DGV45" s="10"/>
      <c r="DGW45" s="10"/>
      <c r="DGX45" s="10"/>
      <c r="DGY45" s="10"/>
      <c r="DGZ45" s="10"/>
      <c r="DHA45" s="10"/>
      <c r="DHB45" s="10"/>
      <c r="DHC45" s="10"/>
      <c r="DHD45" s="10"/>
      <c r="DHE45" s="10"/>
      <c r="DHF45" s="10"/>
      <c r="DHG45" s="10"/>
      <c r="DHH45" s="10"/>
      <c r="DHI45" s="10"/>
      <c r="DHJ45" s="10"/>
      <c r="DHK45" s="10"/>
      <c r="DHL45" s="10"/>
      <c r="DHM45" s="10"/>
      <c r="DHN45" s="10"/>
      <c r="DHO45" s="10"/>
      <c r="DHP45" s="10"/>
      <c r="DHQ45" s="10"/>
      <c r="DHR45" s="10"/>
      <c r="DHS45" s="10"/>
      <c r="DHT45" s="10"/>
      <c r="DHU45" s="10"/>
      <c r="DHV45" s="10"/>
      <c r="DHW45" s="10"/>
      <c r="DHX45" s="10"/>
      <c r="DHY45" s="10"/>
      <c r="DHZ45" s="10"/>
      <c r="DIA45" s="10"/>
      <c r="DIB45" s="10"/>
      <c r="DIC45" s="10"/>
      <c r="DID45" s="10"/>
      <c r="DIE45" s="10"/>
      <c r="DIF45" s="10"/>
      <c r="DIG45" s="10"/>
      <c r="DIH45" s="10"/>
      <c r="DII45" s="10"/>
      <c r="DIJ45" s="10"/>
      <c r="DIK45" s="10"/>
      <c r="DIL45" s="10"/>
      <c r="DIM45" s="10"/>
      <c r="DIN45" s="10"/>
      <c r="DIO45" s="10"/>
      <c r="DIP45" s="10"/>
      <c r="DIQ45" s="10"/>
      <c r="DIR45" s="10"/>
      <c r="DIS45" s="10"/>
      <c r="DIT45" s="10"/>
      <c r="DIU45" s="10"/>
      <c r="DIV45" s="10"/>
      <c r="DIW45" s="10"/>
      <c r="DIX45" s="10"/>
      <c r="DIY45" s="10"/>
      <c r="DIZ45" s="10"/>
      <c r="DJA45" s="10"/>
      <c r="DJB45" s="10"/>
      <c r="DJC45" s="10"/>
      <c r="DJD45" s="10"/>
      <c r="DJE45" s="10"/>
      <c r="DJF45" s="10"/>
      <c r="DJG45" s="10"/>
      <c r="DJH45" s="10"/>
      <c r="DJI45" s="10"/>
      <c r="DJJ45" s="10"/>
      <c r="DJK45" s="10"/>
      <c r="DJL45" s="10"/>
      <c r="DJM45" s="10"/>
      <c r="DJN45" s="10"/>
      <c r="DJO45" s="10"/>
      <c r="DJP45" s="10"/>
      <c r="DJQ45" s="10"/>
      <c r="DJR45" s="10"/>
      <c r="DJS45" s="10"/>
      <c r="DJT45" s="10"/>
      <c r="DJU45" s="10"/>
      <c r="DJV45" s="10"/>
      <c r="DJW45" s="10"/>
      <c r="DJX45" s="10"/>
      <c r="DJY45" s="10"/>
      <c r="DJZ45" s="10"/>
      <c r="DKA45" s="10"/>
      <c r="DKB45" s="10"/>
      <c r="DKC45" s="10"/>
      <c r="DKD45" s="10"/>
      <c r="DKE45" s="10"/>
      <c r="DKF45" s="10"/>
      <c r="DKG45" s="10"/>
      <c r="DKH45" s="10"/>
      <c r="DKI45" s="10"/>
      <c r="DKJ45" s="10"/>
      <c r="DKK45" s="10"/>
      <c r="DKL45" s="10"/>
      <c r="DKM45" s="10"/>
      <c r="DKN45" s="10"/>
      <c r="DKO45" s="10"/>
      <c r="DKP45" s="10"/>
      <c r="DKQ45" s="10"/>
      <c r="DKR45" s="10"/>
      <c r="DKS45" s="10"/>
      <c r="DKT45" s="10"/>
      <c r="DKU45" s="10"/>
      <c r="DKV45" s="10"/>
      <c r="DKW45" s="10"/>
      <c r="DKX45" s="10"/>
      <c r="DKY45" s="10"/>
      <c r="DKZ45" s="10"/>
      <c r="DLA45" s="10"/>
      <c r="DLB45" s="10"/>
      <c r="DLC45" s="10"/>
      <c r="DLD45" s="10"/>
      <c r="DLE45" s="10"/>
      <c r="DLF45" s="10"/>
      <c r="DLG45" s="10"/>
      <c r="DLH45" s="10"/>
      <c r="DLI45" s="10"/>
      <c r="DLJ45" s="10"/>
      <c r="DLK45" s="10"/>
      <c r="DLL45" s="10"/>
      <c r="DLM45" s="10"/>
      <c r="DLN45" s="10"/>
      <c r="DLO45" s="10"/>
      <c r="DLP45" s="10"/>
      <c r="DLQ45" s="10"/>
      <c r="DLR45" s="10"/>
      <c r="DLS45" s="10"/>
      <c r="DLT45" s="10"/>
      <c r="DLU45" s="10"/>
      <c r="DLV45" s="10"/>
      <c r="DLW45" s="10"/>
      <c r="DLX45" s="10"/>
      <c r="DLY45" s="10"/>
      <c r="DLZ45" s="10"/>
      <c r="DMA45" s="10"/>
      <c r="DMB45" s="10"/>
      <c r="DMC45" s="10"/>
      <c r="DMD45" s="10"/>
      <c r="DME45" s="10"/>
      <c r="DMF45" s="10"/>
      <c r="DMG45" s="10"/>
      <c r="DMH45" s="10"/>
      <c r="DMI45" s="10"/>
      <c r="DMJ45" s="10"/>
      <c r="DMK45" s="10"/>
      <c r="DML45" s="10"/>
      <c r="DMM45" s="10"/>
      <c r="DMN45" s="10"/>
      <c r="DMO45" s="10"/>
      <c r="DMP45" s="10"/>
      <c r="DMQ45" s="10"/>
      <c r="DMR45" s="10"/>
      <c r="DMS45" s="10"/>
      <c r="DMT45" s="10"/>
      <c r="DMU45" s="10"/>
      <c r="DMV45" s="10"/>
      <c r="DMW45" s="10"/>
      <c r="DMX45" s="10"/>
      <c r="DMY45" s="10"/>
      <c r="DMZ45" s="10"/>
      <c r="DNA45" s="10"/>
      <c r="DNB45" s="10"/>
      <c r="DNC45" s="10"/>
      <c r="DND45" s="10"/>
      <c r="DNE45" s="10"/>
      <c r="DNF45" s="10"/>
      <c r="DNG45" s="10"/>
      <c r="DNH45" s="10"/>
      <c r="DNI45" s="10"/>
      <c r="DNJ45" s="10"/>
      <c r="DNK45" s="10"/>
      <c r="DNL45" s="10"/>
      <c r="DNM45" s="10"/>
      <c r="DNN45" s="10"/>
      <c r="DNO45" s="10"/>
      <c r="DNP45" s="10"/>
      <c r="DNQ45" s="10"/>
      <c r="DNR45" s="10"/>
      <c r="DNS45" s="10"/>
      <c r="DNT45" s="10"/>
      <c r="DNU45" s="10"/>
      <c r="DNV45" s="10"/>
      <c r="DNW45" s="10"/>
      <c r="DNX45" s="10"/>
      <c r="DNY45" s="10"/>
      <c r="DNZ45" s="10"/>
      <c r="DOA45" s="10"/>
      <c r="DOB45" s="10"/>
      <c r="DOC45" s="10"/>
      <c r="DOD45" s="10"/>
      <c r="DOE45" s="10"/>
      <c r="DOF45" s="10"/>
      <c r="DOG45" s="10"/>
      <c r="DOH45" s="10"/>
      <c r="DOI45" s="10"/>
      <c r="DOJ45" s="10"/>
      <c r="DOK45" s="10"/>
      <c r="DOL45" s="10"/>
      <c r="DOM45" s="10"/>
      <c r="DON45" s="10"/>
      <c r="DOO45" s="10"/>
      <c r="DOP45" s="10"/>
      <c r="DOQ45" s="10"/>
      <c r="DOR45" s="10"/>
      <c r="DOS45" s="10"/>
      <c r="DOT45" s="10"/>
      <c r="DOU45" s="10"/>
      <c r="DOV45" s="10"/>
      <c r="DOW45" s="10"/>
      <c r="DOX45" s="10"/>
      <c r="DOY45" s="10"/>
      <c r="DOZ45" s="10"/>
      <c r="DPA45" s="10"/>
      <c r="DPB45" s="10"/>
      <c r="DPC45" s="10"/>
      <c r="DPD45" s="10"/>
      <c r="DPE45" s="10"/>
      <c r="DPF45" s="10"/>
      <c r="DPG45" s="10"/>
      <c r="DPH45" s="10"/>
      <c r="DPI45" s="10"/>
      <c r="DPJ45" s="10"/>
      <c r="DPK45" s="10"/>
      <c r="DPL45" s="10"/>
      <c r="DPM45" s="10"/>
      <c r="DPN45" s="10"/>
      <c r="DPO45" s="10"/>
      <c r="DPP45" s="10"/>
      <c r="DPQ45" s="10"/>
      <c r="DPR45" s="10"/>
      <c r="DPS45" s="10"/>
      <c r="DPT45" s="10"/>
      <c r="DPU45" s="10"/>
      <c r="DPV45" s="10"/>
      <c r="DPW45" s="10"/>
      <c r="DPX45" s="10"/>
      <c r="DPY45" s="10"/>
      <c r="DPZ45" s="10"/>
      <c r="DQA45" s="10"/>
      <c r="DQB45" s="10"/>
      <c r="DQC45" s="10"/>
      <c r="DQD45" s="10"/>
      <c r="DQE45" s="10"/>
      <c r="DQF45" s="10"/>
      <c r="DQG45" s="10"/>
      <c r="DQH45" s="10"/>
      <c r="DQI45" s="10"/>
      <c r="DQJ45" s="10"/>
      <c r="DQK45" s="10"/>
      <c r="DQL45" s="10"/>
      <c r="DQM45" s="10"/>
      <c r="DQN45" s="10"/>
      <c r="DQO45" s="10"/>
      <c r="DQP45" s="10"/>
      <c r="DQQ45" s="10"/>
      <c r="DQR45" s="10"/>
      <c r="DQS45" s="10"/>
      <c r="DQT45" s="10"/>
      <c r="DQU45" s="10"/>
      <c r="DQV45" s="10"/>
      <c r="DQW45" s="10"/>
      <c r="DQX45" s="10"/>
      <c r="DQY45" s="10"/>
      <c r="DQZ45" s="10"/>
      <c r="DRA45" s="10"/>
      <c r="DRB45" s="10"/>
      <c r="DRC45" s="10"/>
      <c r="DRD45" s="10"/>
      <c r="DRE45" s="10"/>
      <c r="DRF45" s="10"/>
      <c r="DRG45" s="10"/>
      <c r="DRH45" s="10"/>
      <c r="DRI45" s="10"/>
      <c r="DRJ45" s="10"/>
      <c r="DRK45" s="10"/>
      <c r="DRL45" s="10"/>
      <c r="DRM45" s="10"/>
      <c r="DRN45" s="10"/>
      <c r="DRO45" s="10"/>
      <c r="DRP45" s="10"/>
      <c r="DRQ45" s="10"/>
      <c r="DRR45" s="10"/>
      <c r="DRS45" s="10"/>
      <c r="DRT45" s="10"/>
      <c r="DRU45" s="10"/>
      <c r="DRV45" s="10"/>
      <c r="DRW45" s="10"/>
      <c r="DRX45" s="10"/>
      <c r="DRY45" s="10"/>
      <c r="DRZ45" s="10"/>
      <c r="DSA45" s="10"/>
      <c r="DSB45" s="10"/>
      <c r="DSC45" s="10"/>
      <c r="DSD45" s="10"/>
      <c r="DSE45" s="10"/>
      <c r="DSF45" s="10"/>
      <c r="DSG45" s="10"/>
      <c r="DSH45" s="10"/>
      <c r="DSI45" s="10"/>
      <c r="DSJ45" s="10"/>
      <c r="DSK45" s="10"/>
      <c r="DSL45" s="10"/>
      <c r="DSM45" s="10"/>
      <c r="DSN45" s="10"/>
      <c r="DSO45" s="10"/>
      <c r="DSP45" s="10"/>
      <c r="DSQ45" s="10"/>
      <c r="DSR45" s="10"/>
      <c r="DSS45" s="10"/>
      <c r="DST45" s="10"/>
      <c r="DSU45" s="10"/>
      <c r="DSV45" s="10"/>
      <c r="DSW45" s="10"/>
      <c r="DSX45" s="10"/>
      <c r="DSY45" s="10"/>
      <c r="DSZ45" s="10"/>
      <c r="DTA45" s="10"/>
      <c r="DTB45" s="10"/>
      <c r="DTC45" s="10"/>
      <c r="DTD45" s="10"/>
      <c r="DTE45" s="10"/>
      <c r="DTF45" s="10"/>
      <c r="DTG45" s="10"/>
      <c r="DTH45" s="10"/>
      <c r="DTI45" s="10"/>
      <c r="DTJ45" s="10"/>
      <c r="DTK45" s="10"/>
      <c r="DTL45" s="10"/>
      <c r="DTM45" s="10"/>
      <c r="DTN45" s="10"/>
      <c r="DTO45" s="10"/>
      <c r="DTP45" s="10"/>
      <c r="DTQ45" s="10"/>
      <c r="DTR45" s="10"/>
      <c r="DTS45" s="10"/>
      <c r="DTT45" s="10"/>
      <c r="DTU45" s="10"/>
      <c r="DTV45" s="10"/>
      <c r="DTW45" s="10"/>
      <c r="DTX45" s="10"/>
      <c r="DTY45" s="10"/>
      <c r="DTZ45" s="10"/>
      <c r="DUA45" s="10"/>
      <c r="DUB45" s="10"/>
      <c r="DUC45" s="10"/>
      <c r="DUD45" s="10"/>
      <c r="DUE45" s="10"/>
      <c r="DUF45" s="10"/>
      <c r="DUG45" s="10"/>
      <c r="DUH45" s="10"/>
      <c r="DUI45" s="10"/>
      <c r="DUJ45" s="10"/>
      <c r="DUK45" s="10"/>
      <c r="DUL45" s="10"/>
      <c r="DUM45" s="10"/>
      <c r="DUN45" s="10"/>
      <c r="DUO45" s="10"/>
      <c r="DUP45" s="10"/>
      <c r="DUQ45" s="10"/>
      <c r="DUR45" s="10"/>
      <c r="DUS45" s="10"/>
      <c r="DUT45" s="10"/>
      <c r="DUU45" s="10"/>
      <c r="DUV45" s="10"/>
      <c r="DUW45" s="10"/>
      <c r="DUX45" s="10"/>
      <c r="DUY45" s="10"/>
      <c r="DUZ45" s="10"/>
      <c r="DVA45" s="10"/>
      <c r="DVB45" s="10"/>
      <c r="DVC45" s="10"/>
      <c r="DVD45" s="10"/>
      <c r="DVE45" s="10"/>
      <c r="DVF45" s="10"/>
      <c r="DVG45" s="10"/>
      <c r="DVH45" s="10"/>
      <c r="DVI45" s="10"/>
      <c r="DVJ45" s="10"/>
      <c r="DVK45" s="10"/>
      <c r="DVL45" s="10"/>
      <c r="DVM45" s="10"/>
      <c r="DVN45" s="10"/>
      <c r="DVO45" s="10"/>
      <c r="DVP45" s="10"/>
      <c r="DVQ45" s="10"/>
      <c r="DVR45" s="10"/>
      <c r="DVS45" s="10"/>
      <c r="DVT45" s="10"/>
      <c r="DVU45" s="10"/>
      <c r="DVV45" s="10"/>
      <c r="DVW45" s="10"/>
      <c r="DVX45" s="10"/>
      <c r="DVY45" s="10"/>
      <c r="DVZ45" s="10"/>
      <c r="DWA45" s="10"/>
      <c r="DWB45" s="10"/>
      <c r="DWC45" s="10"/>
      <c r="DWD45" s="10"/>
      <c r="DWE45" s="10"/>
      <c r="DWF45" s="10"/>
      <c r="DWG45" s="10"/>
      <c r="DWH45" s="10"/>
      <c r="DWI45" s="10"/>
      <c r="DWJ45" s="10"/>
      <c r="DWK45" s="10"/>
      <c r="DWL45" s="10"/>
      <c r="DWM45" s="10"/>
      <c r="DWN45" s="10"/>
      <c r="DWO45" s="10"/>
      <c r="DWP45" s="10"/>
      <c r="DWQ45" s="10"/>
      <c r="DWR45" s="10"/>
      <c r="DWS45" s="10"/>
      <c r="DWT45" s="10"/>
      <c r="DWU45" s="10"/>
      <c r="DWV45" s="10"/>
      <c r="DWW45" s="10"/>
      <c r="DWX45" s="10"/>
      <c r="DWY45" s="10"/>
      <c r="DWZ45" s="10"/>
      <c r="DXA45" s="10"/>
      <c r="DXB45" s="10"/>
      <c r="DXC45" s="10"/>
      <c r="DXD45" s="10"/>
      <c r="DXE45" s="10"/>
      <c r="DXF45" s="10"/>
      <c r="DXG45" s="10"/>
      <c r="DXH45" s="10"/>
      <c r="DXI45" s="10"/>
      <c r="DXJ45" s="10"/>
      <c r="DXK45" s="10"/>
      <c r="DXL45" s="10"/>
      <c r="DXM45" s="10"/>
      <c r="DXN45" s="10"/>
      <c r="DXO45" s="10"/>
      <c r="DXP45" s="10"/>
      <c r="DXQ45" s="10"/>
      <c r="DXR45" s="10"/>
      <c r="DXS45" s="10"/>
      <c r="DXT45" s="10"/>
      <c r="DXU45" s="10"/>
      <c r="DXV45" s="10"/>
      <c r="DXW45" s="10"/>
      <c r="DXX45" s="10"/>
      <c r="DXY45" s="10"/>
      <c r="DXZ45" s="10"/>
      <c r="DYA45" s="10"/>
      <c r="DYB45" s="10"/>
      <c r="DYC45" s="10"/>
      <c r="DYD45" s="10"/>
      <c r="DYE45" s="10"/>
      <c r="DYF45" s="10"/>
      <c r="DYG45" s="10"/>
      <c r="DYH45" s="10"/>
      <c r="DYI45" s="10"/>
      <c r="DYJ45" s="10"/>
      <c r="DYK45" s="10"/>
      <c r="DYL45" s="10"/>
      <c r="DYM45" s="10"/>
      <c r="DYN45" s="10"/>
      <c r="DYO45" s="10"/>
      <c r="DYP45" s="10"/>
      <c r="DYQ45" s="10"/>
      <c r="DYR45" s="10"/>
      <c r="DYS45" s="10"/>
      <c r="DYT45" s="10"/>
      <c r="DYU45" s="10"/>
      <c r="DYV45" s="10"/>
      <c r="DYW45" s="10"/>
      <c r="DYX45" s="10"/>
      <c r="DYY45" s="10"/>
      <c r="DYZ45" s="10"/>
      <c r="DZA45" s="10"/>
      <c r="DZB45" s="10"/>
      <c r="DZC45" s="10"/>
      <c r="DZD45" s="10"/>
      <c r="DZE45" s="10"/>
      <c r="DZF45" s="10"/>
      <c r="DZG45" s="10"/>
      <c r="DZH45" s="10"/>
      <c r="DZI45" s="10"/>
      <c r="DZJ45" s="10"/>
      <c r="DZK45" s="10"/>
      <c r="DZL45" s="10"/>
      <c r="DZM45" s="10"/>
      <c r="DZN45" s="10"/>
      <c r="DZO45" s="10"/>
      <c r="DZP45" s="10"/>
      <c r="DZQ45" s="10"/>
      <c r="DZR45" s="10"/>
      <c r="DZS45" s="10"/>
      <c r="DZT45" s="10"/>
      <c r="DZU45" s="10"/>
      <c r="DZV45" s="10"/>
      <c r="DZW45" s="10"/>
      <c r="DZX45" s="10"/>
      <c r="DZY45" s="10"/>
      <c r="DZZ45" s="10"/>
      <c r="EAA45" s="10"/>
      <c r="EAB45" s="10"/>
      <c r="EAC45" s="10"/>
      <c r="EAD45" s="10"/>
      <c r="EAE45" s="10"/>
      <c r="EAF45" s="10"/>
      <c r="EAG45" s="10"/>
      <c r="EAH45" s="10"/>
      <c r="EAI45" s="10"/>
      <c r="EAJ45" s="10"/>
      <c r="EAK45" s="10"/>
      <c r="EAL45" s="10"/>
      <c r="EAM45" s="10"/>
      <c r="EAN45" s="10"/>
      <c r="EAO45" s="10"/>
      <c r="EAP45" s="10"/>
      <c r="EAQ45" s="10"/>
      <c r="EAR45" s="10"/>
      <c r="EAS45" s="10"/>
      <c r="EAT45" s="10"/>
      <c r="EAU45" s="10"/>
      <c r="EAV45" s="10"/>
      <c r="EAW45" s="10"/>
      <c r="EAX45" s="10"/>
      <c r="EAY45" s="10"/>
      <c r="EAZ45" s="10"/>
      <c r="EBA45" s="10"/>
      <c r="EBB45" s="10"/>
      <c r="EBC45" s="10"/>
      <c r="EBD45" s="10"/>
      <c r="EBE45" s="10"/>
      <c r="EBF45" s="10"/>
      <c r="EBG45" s="10"/>
      <c r="EBH45" s="10"/>
      <c r="EBI45" s="10"/>
      <c r="EBJ45" s="10"/>
      <c r="EBK45" s="10"/>
      <c r="EBL45" s="10"/>
      <c r="EBM45" s="10"/>
      <c r="EBN45" s="10"/>
      <c r="EBO45" s="10"/>
      <c r="EBP45" s="10"/>
      <c r="EBQ45" s="10"/>
      <c r="EBR45" s="10"/>
      <c r="EBS45" s="10"/>
      <c r="EBT45" s="10"/>
      <c r="EBU45" s="10"/>
      <c r="EBV45" s="10"/>
      <c r="EBW45" s="10"/>
      <c r="EBX45" s="10"/>
      <c r="EBY45" s="10"/>
      <c r="EBZ45" s="10"/>
      <c r="ECA45" s="10"/>
      <c r="ECB45" s="10"/>
      <c r="ECC45" s="10"/>
      <c r="ECD45" s="10"/>
      <c r="ECE45" s="10"/>
      <c r="ECF45" s="10"/>
      <c r="ECG45" s="10"/>
      <c r="ECH45" s="10"/>
      <c r="ECI45" s="10"/>
      <c r="ECJ45" s="10"/>
      <c r="ECK45" s="10"/>
      <c r="ECL45" s="10"/>
      <c r="ECM45" s="10"/>
      <c r="ECN45" s="10"/>
      <c r="ECO45" s="10"/>
      <c r="ECP45" s="10"/>
      <c r="ECQ45" s="10"/>
      <c r="ECR45" s="10"/>
      <c r="ECS45" s="10"/>
      <c r="ECT45" s="10"/>
      <c r="ECU45" s="10"/>
      <c r="ECV45" s="10"/>
      <c r="ECW45" s="10"/>
      <c r="ECX45" s="10"/>
      <c r="ECY45" s="10"/>
      <c r="ECZ45" s="10"/>
      <c r="EDA45" s="10"/>
      <c r="EDB45" s="10"/>
      <c r="EDC45" s="10"/>
      <c r="EDD45" s="10"/>
      <c r="EDE45" s="10"/>
      <c r="EDF45" s="10"/>
      <c r="EDG45" s="10"/>
      <c r="EDH45" s="10"/>
      <c r="EDI45" s="10"/>
      <c r="EDJ45" s="10"/>
      <c r="EDK45" s="10"/>
      <c r="EDL45" s="10"/>
      <c r="EDM45" s="10"/>
      <c r="EDN45" s="10"/>
      <c r="EDO45" s="10"/>
      <c r="EDP45" s="10"/>
      <c r="EDQ45" s="10"/>
      <c r="EDR45" s="10"/>
      <c r="EDS45" s="10"/>
      <c r="EDT45" s="10"/>
      <c r="EDU45" s="10"/>
      <c r="EDV45" s="10"/>
      <c r="EDW45" s="10"/>
      <c r="EDX45" s="10"/>
      <c r="EDY45" s="10"/>
      <c r="EDZ45" s="10"/>
      <c r="EEA45" s="10"/>
      <c r="EEB45" s="10"/>
      <c r="EEC45" s="10"/>
      <c r="EED45" s="10"/>
      <c r="EEE45" s="10"/>
      <c r="EEF45" s="10"/>
      <c r="EEG45" s="10"/>
      <c r="EEH45" s="10"/>
      <c r="EEI45" s="10"/>
      <c r="EEJ45" s="10"/>
      <c r="EEK45" s="10"/>
      <c r="EEL45" s="10"/>
      <c r="EEM45" s="10"/>
      <c r="EEN45" s="10"/>
      <c r="EEO45" s="10"/>
      <c r="EEP45" s="10"/>
      <c r="EEQ45" s="10"/>
      <c r="EER45" s="10"/>
      <c r="EES45" s="10"/>
      <c r="EET45" s="10"/>
      <c r="EEU45" s="10"/>
      <c r="EEV45" s="10"/>
      <c r="EEW45" s="10"/>
      <c r="EEX45" s="10"/>
      <c r="EEY45" s="10"/>
      <c r="EEZ45" s="10"/>
      <c r="EFA45" s="10"/>
      <c r="EFB45" s="10"/>
      <c r="EFC45" s="10"/>
      <c r="EFD45" s="10"/>
      <c r="EFE45" s="10"/>
      <c r="EFF45" s="10"/>
      <c r="EFG45" s="10"/>
      <c r="EFH45" s="10"/>
      <c r="EFI45" s="10"/>
      <c r="EFJ45" s="10"/>
      <c r="EFK45" s="10"/>
      <c r="EFL45" s="10"/>
      <c r="EFM45" s="10"/>
      <c r="EFN45" s="10"/>
      <c r="EFO45" s="10"/>
      <c r="EFP45" s="10"/>
      <c r="EFQ45" s="10"/>
      <c r="EFR45" s="10"/>
      <c r="EFS45" s="10"/>
      <c r="EFT45" s="10"/>
      <c r="EFU45" s="10"/>
      <c r="EFV45" s="10"/>
      <c r="EFW45" s="10"/>
      <c r="EFX45" s="10"/>
      <c r="EFY45" s="10"/>
      <c r="EFZ45" s="10"/>
      <c r="EGA45" s="10"/>
      <c r="EGB45" s="10"/>
      <c r="EGC45" s="10"/>
      <c r="EGD45" s="10"/>
      <c r="EGE45" s="10"/>
      <c r="EGF45" s="10"/>
      <c r="EGG45" s="10"/>
      <c r="EGH45" s="10"/>
      <c r="EGI45" s="10"/>
      <c r="EGJ45" s="10"/>
      <c r="EGK45" s="10"/>
      <c r="EGL45" s="10"/>
      <c r="EGM45" s="10"/>
      <c r="EGN45" s="10"/>
      <c r="EGO45" s="10"/>
      <c r="EGP45" s="10"/>
      <c r="EGQ45" s="10"/>
      <c r="EGR45" s="10"/>
      <c r="EGS45" s="10"/>
      <c r="EGT45" s="10"/>
      <c r="EGU45" s="10"/>
      <c r="EGV45" s="10"/>
      <c r="EGW45" s="10"/>
      <c r="EGX45" s="10"/>
      <c r="EGY45" s="10"/>
      <c r="EGZ45" s="10"/>
      <c r="EHA45" s="10"/>
      <c r="EHB45" s="10"/>
      <c r="EHC45" s="10"/>
      <c r="EHD45" s="10"/>
      <c r="EHE45" s="10"/>
      <c r="EHF45" s="10"/>
      <c r="EHG45" s="10"/>
      <c r="EHH45" s="10"/>
      <c r="EHI45" s="10"/>
      <c r="EHJ45" s="10"/>
      <c r="EHK45" s="10"/>
      <c r="EHL45" s="10"/>
      <c r="EHM45" s="10"/>
      <c r="EHN45" s="10"/>
      <c r="EHO45" s="10"/>
      <c r="EHP45" s="10"/>
      <c r="EHQ45" s="10"/>
      <c r="EHR45" s="10"/>
      <c r="EHS45" s="10"/>
      <c r="EHT45" s="10"/>
      <c r="EHU45" s="10"/>
      <c r="EHV45" s="10"/>
      <c r="EHW45" s="10"/>
      <c r="EHX45" s="10"/>
      <c r="EHY45" s="10"/>
      <c r="EHZ45" s="10"/>
      <c r="EIA45" s="10"/>
      <c r="EIB45" s="10"/>
      <c r="EIC45" s="10"/>
      <c r="EID45" s="10"/>
      <c r="EIE45" s="10"/>
      <c r="EIF45" s="10"/>
      <c r="EIG45" s="10"/>
      <c r="EIH45" s="10"/>
      <c r="EII45" s="10"/>
      <c r="EIJ45" s="10"/>
      <c r="EIK45" s="10"/>
      <c r="EIL45" s="10"/>
      <c r="EIM45" s="10"/>
      <c r="EIN45" s="10"/>
      <c r="EIO45" s="10"/>
      <c r="EIP45" s="10"/>
      <c r="EIQ45" s="10"/>
      <c r="EIR45" s="10"/>
      <c r="EIS45" s="10"/>
      <c r="EIT45" s="10"/>
      <c r="EIU45" s="10"/>
      <c r="EIV45" s="10"/>
      <c r="EIW45" s="10"/>
      <c r="EIX45" s="10"/>
      <c r="EIY45" s="10"/>
      <c r="EIZ45" s="10"/>
      <c r="EJA45" s="10"/>
      <c r="EJB45" s="10"/>
      <c r="EJC45" s="10"/>
      <c r="EJD45" s="10"/>
      <c r="EJE45" s="10"/>
      <c r="EJF45" s="10"/>
      <c r="EJG45" s="10"/>
      <c r="EJH45" s="10"/>
      <c r="EJI45" s="10"/>
      <c r="EJJ45" s="10"/>
      <c r="EJK45" s="10"/>
      <c r="EJL45" s="10"/>
      <c r="EJM45" s="10"/>
      <c r="EJN45" s="10"/>
      <c r="EJO45" s="10"/>
      <c r="EJP45" s="10"/>
      <c r="EJQ45" s="10"/>
      <c r="EJR45" s="10"/>
      <c r="EJS45" s="10"/>
      <c r="EJT45" s="10"/>
      <c r="EJU45" s="10"/>
      <c r="EJV45" s="10"/>
      <c r="EJW45" s="10"/>
      <c r="EJX45" s="10"/>
      <c r="EJY45" s="10"/>
      <c r="EJZ45" s="10"/>
      <c r="EKA45" s="10"/>
      <c r="EKB45" s="10"/>
      <c r="EKC45" s="10"/>
      <c r="EKD45" s="10"/>
      <c r="EKE45" s="10"/>
      <c r="EKF45" s="10"/>
      <c r="EKG45" s="10"/>
      <c r="EKH45" s="10"/>
      <c r="EKI45" s="10"/>
      <c r="EKJ45" s="10"/>
      <c r="EKK45" s="10"/>
      <c r="EKL45" s="10"/>
      <c r="EKM45" s="10"/>
      <c r="EKN45" s="10"/>
      <c r="EKO45" s="10"/>
      <c r="EKP45" s="10"/>
      <c r="EKQ45" s="10"/>
      <c r="EKR45" s="10"/>
      <c r="EKS45" s="10"/>
      <c r="EKT45" s="10"/>
      <c r="EKU45" s="10"/>
      <c r="EKV45" s="10"/>
      <c r="EKW45" s="10"/>
      <c r="EKX45" s="10"/>
      <c r="EKY45" s="10"/>
      <c r="EKZ45" s="10"/>
      <c r="ELA45" s="10"/>
      <c r="ELB45" s="10"/>
      <c r="ELC45" s="10"/>
      <c r="ELD45" s="10"/>
      <c r="ELE45" s="10"/>
      <c r="ELF45" s="10"/>
      <c r="ELG45" s="10"/>
      <c r="ELH45" s="10"/>
      <c r="ELI45" s="10"/>
      <c r="ELJ45" s="10"/>
      <c r="ELK45" s="10"/>
      <c r="ELL45" s="10"/>
      <c r="ELM45" s="10"/>
      <c r="ELN45" s="10"/>
      <c r="ELO45" s="10"/>
      <c r="ELP45" s="10"/>
      <c r="ELQ45" s="10"/>
      <c r="ELR45" s="10"/>
      <c r="ELS45" s="10"/>
      <c r="ELT45" s="10"/>
      <c r="ELU45" s="10"/>
      <c r="ELV45" s="10"/>
      <c r="ELW45" s="10"/>
      <c r="ELX45" s="10"/>
      <c r="ELY45" s="10"/>
      <c r="ELZ45" s="10"/>
      <c r="EMA45" s="10"/>
      <c r="EMB45" s="10"/>
      <c r="EMC45" s="10"/>
      <c r="EMD45" s="10"/>
      <c r="EME45" s="10"/>
      <c r="EMF45" s="10"/>
      <c r="EMG45" s="10"/>
      <c r="EMH45" s="10"/>
      <c r="EMI45" s="10"/>
      <c r="EMJ45" s="10"/>
      <c r="EMK45" s="10"/>
      <c r="EML45" s="10"/>
      <c r="EMM45" s="10"/>
      <c r="EMN45" s="10"/>
      <c r="EMO45" s="10"/>
      <c r="EMP45" s="10"/>
      <c r="EMQ45" s="10"/>
      <c r="EMR45" s="10"/>
      <c r="EMS45" s="10"/>
      <c r="EMT45" s="10"/>
      <c r="EMU45" s="10"/>
      <c r="EMV45" s="10"/>
      <c r="EMW45" s="10"/>
      <c r="EMX45" s="10"/>
      <c r="EMY45" s="10"/>
      <c r="EMZ45" s="10"/>
      <c r="ENA45" s="10"/>
      <c r="ENB45" s="10"/>
      <c r="ENC45" s="10"/>
      <c r="END45" s="10"/>
      <c r="ENE45" s="10"/>
      <c r="ENF45" s="10"/>
      <c r="ENG45" s="10"/>
      <c r="ENH45" s="10"/>
      <c r="ENI45" s="10"/>
      <c r="ENJ45" s="10"/>
      <c r="ENK45" s="10"/>
      <c r="ENL45" s="10"/>
      <c r="ENM45" s="10"/>
      <c r="ENN45" s="10"/>
      <c r="ENO45" s="10"/>
      <c r="ENP45" s="10"/>
      <c r="ENQ45" s="10"/>
      <c r="ENR45" s="10"/>
      <c r="ENS45" s="10"/>
      <c r="ENT45" s="10"/>
      <c r="ENU45" s="10"/>
      <c r="ENV45" s="10"/>
      <c r="ENW45" s="10"/>
      <c r="ENX45" s="10"/>
      <c r="ENY45" s="10"/>
      <c r="ENZ45" s="10"/>
      <c r="EOA45" s="10"/>
      <c r="EOB45" s="10"/>
      <c r="EOC45" s="10"/>
      <c r="EOD45" s="10"/>
      <c r="EOE45" s="10"/>
      <c r="EOF45" s="10"/>
      <c r="EOG45" s="10"/>
      <c r="EOH45" s="10"/>
      <c r="EOI45" s="10"/>
      <c r="EOJ45" s="10"/>
      <c r="EOK45" s="10"/>
      <c r="EOL45" s="10"/>
      <c r="EOM45" s="10"/>
      <c r="EON45" s="10"/>
      <c r="EOO45" s="10"/>
      <c r="EOP45" s="10"/>
      <c r="EOQ45" s="10"/>
      <c r="EOR45" s="10"/>
      <c r="EOS45" s="10"/>
      <c r="EOT45" s="10"/>
      <c r="EOU45" s="10"/>
      <c r="EOV45" s="10"/>
      <c r="EOW45" s="10"/>
      <c r="EOX45" s="10"/>
      <c r="EOY45" s="10"/>
      <c r="EOZ45" s="10"/>
      <c r="EPA45" s="10"/>
      <c r="EPB45" s="10"/>
      <c r="EPC45" s="10"/>
      <c r="EPD45" s="10"/>
      <c r="EPE45" s="10"/>
      <c r="EPF45" s="10"/>
      <c r="EPG45" s="10"/>
      <c r="EPH45" s="10"/>
      <c r="EPI45" s="10"/>
      <c r="EPJ45" s="10"/>
      <c r="EPK45" s="10"/>
      <c r="EPL45" s="10"/>
      <c r="EPM45" s="10"/>
      <c r="EPN45" s="10"/>
      <c r="EPO45" s="10"/>
      <c r="EPP45" s="10"/>
      <c r="EPQ45" s="10"/>
      <c r="EPR45" s="10"/>
      <c r="EPS45" s="10"/>
      <c r="EPT45" s="10"/>
      <c r="EPU45" s="10"/>
      <c r="EPV45" s="10"/>
      <c r="EPW45" s="10"/>
      <c r="EPX45" s="10"/>
      <c r="EPY45" s="10"/>
      <c r="EPZ45" s="10"/>
      <c r="EQA45" s="10"/>
      <c r="EQB45" s="10"/>
      <c r="EQC45" s="10"/>
      <c r="EQD45" s="10"/>
      <c r="EQE45" s="10"/>
      <c r="EQF45" s="10"/>
      <c r="EQG45" s="10"/>
      <c r="EQH45" s="10"/>
      <c r="EQI45" s="10"/>
      <c r="EQJ45" s="10"/>
      <c r="EQK45" s="10"/>
      <c r="EQL45" s="10"/>
      <c r="EQM45" s="10"/>
      <c r="EQN45" s="10"/>
      <c r="EQO45" s="10"/>
      <c r="EQP45" s="10"/>
      <c r="EQQ45" s="10"/>
      <c r="EQR45" s="10"/>
      <c r="EQS45" s="10"/>
      <c r="EQT45" s="10"/>
      <c r="EQU45" s="10"/>
      <c r="EQV45" s="10"/>
      <c r="EQW45" s="10"/>
      <c r="EQX45" s="10"/>
      <c r="EQY45" s="10"/>
      <c r="EQZ45" s="10"/>
      <c r="ERA45" s="10"/>
      <c r="ERB45" s="10"/>
      <c r="ERC45" s="10"/>
      <c r="ERD45" s="10"/>
      <c r="ERE45" s="10"/>
      <c r="ERF45" s="10"/>
      <c r="ERG45" s="10"/>
      <c r="ERH45" s="10"/>
      <c r="ERI45" s="10"/>
      <c r="ERJ45" s="10"/>
      <c r="ERK45" s="10"/>
      <c r="ERL45" s="10"/>
      <c r="ERM45" s="10"/>
      <c r="ERN45" s="10"/>
      <c r="ERO45" s="10"/>
      <c r="ERP45" s="10"/>
      <c r="ERQ45" s="10"/>
      <c r="ERR45" s="10"/>
      <c r="ERS45" s="10"/>
      <c r="ERT45" s="10"/>
      <c r="ERU45" s="10"/>
      <c r="ERV45" s="10"/>
      <c r="ERW45" s="10"/>
      <c r="ERX45" s="10"/>
      <c r="ERY45" s="10"/>
      <c r="ERZ45" s="10"/>
      <c r="ESA45" s="10"/>
      <c r="ESB45" s="10"/>
      <c r="ESC45" s="10"/>
      <c r="ESD45" s="10"/>
      <c r="ESE45" s="10"/>
      <c r="ESF45" s="10"/>
      <c r="ESG45" s="10"/>
      <c r="ESH45" s="10"/>
      <c r="ESI45" s="10"/>
      <c r="ESJ45" s="10"/>
      <c r="ESK45" s="10"/>
      <c r="ESL45" s="10"/>
      <c r="ESM45" s="10"/>
      <c r="ESN45" s="10"/>
      <c r="ESO45" s="10"/>
      <c r="ESP45" s="10"/>
      <c r="ESQ45" s="10"/>
      <c r="ESR45" s="10"/>
      <c r="ESS45" s="10"/>
      <c r="EST45" s="10"/>
      <c r="ESU45" s="10"/>
      <c r="ESV45" s="10"/>
      <c r="ESW45" s="10"/>
      <c r="ESX45" s="10"/>
      <c r="ESY45" s="10"/>
      <c r="ESZ45" s="10"/>
      <c r="ETA45" s="10"/>
      <c r="ETB45" s="10"/>
      <c r="ETC45" s="10"/>
      <c r="ETD45" s="10"/>
      <c r="ETE45" s="10"/>
      <c r="ETF45" s="10"/>
      <c r="ETG45" s="10"/>
      <c r="ETH45" s="10"/>
      <c r="ETI45" s="10"/>
      <c r="ETJ45" s="10"/>
      <c r="ETK45" s="10"/>
      <c r="ETL45" s="10"/>
      <c r="ETM45" s="10"/>
      <c r="ETN45" s="10"/>
      <c r="ETO45" s="10"/>
      <c r="ETP45" s="10"/>
      <c r="ETQ45" s="10"/>
      <c r="ETR45" s="10"/>
      <c r="ETS45" s="10"/>
      <c r="ETT45" s="10"/>
      <c r="ETU45" s="10"/>
      <c r="ETV45" s="10"/>
      <c r="ETW45" s="10"/>
      <c r="ETX45" s="10"/>
      <c r="ETY45" s="10"/>
      <c r="ETZ45" s="10"/>
      <c r="EUA45" s="10"/>
      <c r="EUB45" s="10"/>
      <c r="EUC45" s="10"/>
      <c r="EUD45" s="10"/>
      <c r="EUE45" s="10"/>
      <c r="EUF45" s="10"/>
      <c r="EUG45" s="10"/>
      <c r="EUH45" s="10"/>
      <c r="EUI45" s="10"/>
      <c r="EUJ45" s="10"/>
      <c r="EUK45" s="10"/>
      <c r="EUL45" s="10"/>
      <c r="EUM45" s="10"/>
      <c r="EUN45" s="10"/>
      <c r="EUO45" s="10"/>
      <c r="EUP45" s="10"/>
      <c r="EUQ45" s="10"/>
      <c r="EUR45" s="10"/>
      <c r="EUS45" s="10"/>
      <c r="EUT45" s="10"/>
      <c r="EUU45" s="10"/>
      <c r="EUV45" s="10"/>
      <c r="EUW45" s="10"/>
      <c r="EUX45" s="10"/>
      <c r="EUY45" s="10"/>
      <c r="EUZ45" s="10"/>
      <c r="EVA45" s="10"/>
      <c r="EVB45" s="10"/>
      <c r="EVC45" s="10"/>
      <c r="EVD45" s="10"/>
      <c r="EVE45" s="10"/>
      <c r="EVF45" s="10"/>
      <c r="EVG45" s="10"/>
      <c r="EVH45" s="10"/>
      <c r="EVI45" s="10"/>
      <c r="EVJ45" s="10"/>
      <c r="EVK45" s="10"/>
      <c r="EVL45" s="10"/>
      <c r="EVM45" s="10"/>
      <c r="EVN45" s="10"/>
      <c r="EVO45" s="10"/>
      <c r="EVP45" s="10"/>
      <c r="EVQ45" s="10"/>
      <c r="EVR45" s="10"/>
      <c r="EVS45" s="10"/>
      <c r="EVT45" s="10"/>
      <c r="EVU45" s="10"/>
      <c r="EVV45" s="10"/>
      <c r="EVW45" s="10"/>
      <c r="EVX45" s="10"/>
      <c r="EVY45" s="10"/>
      <c r="EVZ45" s="10"/>
      <c r="EWA45" s="10"/>
      <c r="EWB45" s="10"/>
      <c r="EWC45" s="10"/>
      <c r="EWD45" s="10"/>
      <c r="EWE45" s="10"/>
      <c r="EWF45" s="10"/>
      <c r="EWG45" s="10"/>
      <c r="EWH45" s="10"/>
      <c r="EWI45" s="10"/>
      <c r="EWJ45" s="10"/>
      <c r="EWK45" s="10"/>
      <c r="EWL45" s="10"/>
      <c r="EWM45" s="10"/>
      <c r="EWN45" s="10"/>
      <c r="EWO45" s="10"/>
      <c r="EWP45" s="10"/>
      <c r="EWQ45" s="10"/>
      <c r="EWR45" s="10"/>
      <c r="EWS45" s="10"/>
      <c r="EWT45" s="10"/>
      <c r="EWU45" s="10"/>
      <c r="EWV45" s="10"/>
      <c r="EWW45" s="10"/>
      <c r="EWX45" s="10"/>
      <c r="EWY45" s="10"/>
      <c r="EWZ45" s="10"/>
      <c r="EXA45" s="10"/>
      <c r="EXB45" s="10"/>
      <c r="EXC45" s="10"/>
      <c r="EXD45" s="10"/>
      <c r="EXE45" s="10"/>
      <c r="EXF45" s="10"/>
      <c r="EXG45" s="10"/>
      <c r="EXH45" s="10"/>
      <c r="EXI45" s="10"/>
      <c r="EXJ45" s="10"/>
      <c r="EXK45" s="10"/>
      <c r="EXL45" s="10"/>
      <c r="EXM45" s="10"/>
      <c r="EXN45" s="10"/>
      <c r="EXO45" s="10"/>
      <c r="EXP45" s="10"/>
      <c r="EXQ45" s="10"/>
      <c r="EXR45" s="10"/>
      <c r="EXS45" s="10"/>
      <c r="EXT45" s="10"/>
      <c r="EXU45" s="10"/>
      <c r="EXV45" s="10"/>
      <c r="EXW45" s="10"/>
      <c r="EXX45" s="10"/>
      <c r="EXY45" s="10"/>
      <c r="EXZ45" s="10"/>
      <c r="EYA45" s="10"/>
      <c r="EYB45" s="10"/>
      <c r="EYC45" s="10"/>
      <c r="EYD45" s="10"/>
      <c r="EYE45" s="10"/>
      <c r="EYF45" s="10"/>
      <c r="EYG45" s="10"/>
      <c r="EYH45" s="10"/>
      <c r="EYI45" s="10"/>
      <c r="EYJ45" s="10"/>
      <c r="EYK45" s="10"/>
      <c r="EYL45" s="10"/>
      <c r="EYM45" s="10"/>
      <c r="EYN45" s="10"/>
      <c r="EYO45" s="10"/>
      <c r="EYP45" s="10"/>
      <c r="EYQ45" s="10"/>
      <c r="EYR45" s="10"/>
      <c r="EYS45" s="10"/>
      <c r="EYT45" s="10"/>
      <c r="EYU45" s="10"/>
      <c r="EYV45" s="10"/>
      <c r="EYW45" s="10"/>
      <c r="EYX45" s="10"/>
      <c r="EYY45" s="10"/>
      <c r="EYZ45" s="10"/>
      <c r="EZA45" s="10"/>
      <c r="EZB45" s="10"/>
      <c r="EZC45" s="10"/>
      <c r="EZD45" s="10"/>
      <c r="EZE45" s="10"/>
      <c r="EZF45" s="10"/>
      <c r="EZG45" s="10"/>
      <c r="EZH45" s="10"/>
      <c r="EZI45" s="10"/>
      <c r="EZJ45" s="10"/>
      <c r="EZK45" s="10"/>
      <c r="EZL45" s="10"/>
      <c r="EZM45" s="10"/>
      <c r="EZN45" s="10"/>
      <c r="EZO45" s="10"/>
      <c r="EZP45" s="10"/>
      <c r="EZQ45" s="10"/>
      <c r="EZR45" s="10"/>
      <c r="EZS45" s="10"/>
      <c r="EZT45" s="10"/>
      <c r="EZU45" s="10"/>
      <c r="EZV45" s="10"/>
      <c r="EZW45" s="10"/>
      <c r="EZX45" s="10"/>
      <c r="EZY45" s="10"/>
      <c r="EZZ45" s="10"/>
      <c r="FAA45" s="10"/>
      <c r="FAB45" s="10"/>
      <c r="FAC45" s="10"/>
      <c r="FAD45" s="10"/>
      <c r="FAE45" s="10"/>
      <c r="FAF45" s="10"/>
      <c r="FAG45" s="10"/>
      <c r="FAH45" s="10"/>
      <c r="FAI45" s="10"/>
      <c r="FAJ45" s="10"/>
      <c r="FAK45" s="10"/>
      <c r="FAL45" s="10"/>
      <c r="FAM45" s="10"/>
      <c r="FAN45" s="10"/>
      <c r="FAO45" s="10"/>
      <c r="FAP45" s="10"/>
      <c r="FAQ45" s="10"/>
      <c r="FAR45" s="10"/>
      <c r="FAS45" s="10"/>
      <c r="FAT45" s="10"/>
      <c r="FAU45" s="10"/>
      <c r="FAV45" s="10"/>
      <c r="FAW45" s="10"/>
      <c r="FAX45" s="10"/>
      <c r="FAY45" s="10"/>
      <c r="FAZ45" s="10"/>
      <c r="FBA45" s="10"/>
      <c r="FBB45" s="10"/>
      <c r="FBC45" s="10"/>
      <c r="FBD45" s="10"/>
      <c r="FBE45" s="10"/>
      <c r="FBF45" s="10"/>
      <c r="FBG45" s="10"/>
      <c r="FBH45" s="10"/>
      <c r="FBI45" s="10"/>
      <c r="FBJ45" s="10"/>
      <c r="FBK45" s="10"/>
      <c r="FBL45" s="10"/>
      <c r="FBM45" s="10"/>
      <c r="FBN45" s="10"/>
      <c r="FBO45" s="10"/>
      <c r="FBP45" s="10"/>
      <c r="FBQ45" s="10"/>
      <c r="FBR45" s="10"/>
      <c r="FBS45" s="10"/>
      <c r="FBT45" s="10"/>
      <c r="FBU45" s="10"/>
      <c r="FBV45" s="10"/>
      <c r="FBW45" s="10"/>
      <c r="FBX45" s="10"/>
      <c r="FBY45" s="10"/>
      <c r="FBZ45" s="10"/>
      <c r="FCA45" s="10"/>
      <c r="FCB45" s="10"/>
      <c r="FCC45" s="10"/>
      <c r="FCD45" s="10"/>
      <c r="FCE45" s="10"/>
      <c r="FCF45" s="10"/>
      <c r="FCG45" s="10"/>
      <c r="FCH45" s="10"/>
      <c r="FCI45" s="10"/>
      <c r="FCJ45" s="10"/>
      <c r="FCK45" s="10"/>
      <c r="FCL45" s="10"/>
      <c r="FCM45" s="10"/>
      <c r="FCN45" s="10"/>
      <c r="FCO45" s="10"/>
      <c r="FCP45" s="10"/>
      <c r="FCQ45" s="10"/>
      <c r="FCR45" s="10"/>
      <c r="FCS45" s="10"/>
      <c r="FCT45" s="10"/>
      <c r="FCU45" s="10"/>
      <c r="FCV45" s="10"/>
      <c r="FCW45" s="10"/>
      <c r="FCX45" s="10"/>
      <c r="FCY45" s="10"/>
      <c r="FCZ45" s="10"/>
      <c r="FDA45" s="10"/>
      <c r="FDB45" s="10"/>
      <c r="FDC45" s="10"/>
      <c r="FDD45" s="10"/>
      <c r="FDE45" s="10"/>
      <c r="FDF45" s="10"/>
      <c r="FDG45" s="10"/>
      <c r="FDH45" s="10"/>
      <c r="FDI45" s="10"/>
      <c r="FDJ45" s="10"/>
      <c r="FDK45" s="10"/>
      <c r="FDL45" s="10"/>
      <c r="FDM45" s="10"/>
      <c r="FDN45" s="10"/>
      <c r="FDO45" s="10"/>
      <c r="FDP45" s="10"/>
      <c r="FDQ45" s="10"/>
      <c r="FDR45" s="10"/>
      <c r="FDS45" s="10"/>
      <c r="FDT45" s="10"/>
      <c r="FDU45" s="10"/>
      <c r="FDV45" s="10"/>
      <c r="FDW45" s="10"/>
      <c r="FDX45" s="10"/>
      <c r="FDY45" s="10"/>
      <c r="FDZ45" s="10"/>
      <c r="FEA45" s="10"/>
      <c r="FEB45" s="10"/>
      <c r="FEC45" s="10"/>
      <c r="FED45" s="10"/>
      <c r="FEE45" s="10"/>
      <c r="FEF45" s="10"/>
      <c r="FEG45" s="10"/>
      <c r="FEH45" s="10"/>
      <c r="FEI45" s="10"/>
      <c r="FEJ45" s="10"/>
      <c r="FEK45" s="10"/>
      <c r="FEL45" s="10"/>
      <c r="FEM45" s="10"/>
      <c r="FEN45" s="10"/>
      <c r="FEO45" s="10"/>
      <c r="FEP45" s="10"/>
      <c r="FEQ45" s="10"/>
      <c r="FER45" s="10"/>
      <c r="FES45" s="10"/>
      <c r="FET45" s="10"/>
      <c r="FEU45" s="10"/>
      <c r="FEV45" s="10"/>
      <c r="FEW45" s="10"/>
      <c r="FEX45" s="10"/>
      <c r="FEY45" s="10"/>
      <c r="FEZ45" s="10"/>
      <c r="FFA45" s="10"/>
      <c r="FFB45" s="10"/>
      <c r="FFC45" s="10"/>
      <c r="FFD45" s="10"/>
      <c r="FFE45" s="10"/>
      <c r="FFF45" s="10"/>
      <c r="FFG45" s="10"/>
      <c r="FFH45" s="10"/>
      <c r="FFI45" s="10"/>
      <c r="FFJ45" s="10"/>
      <c r="FFK45" s="10"/>
      <c r="FFL45" s="10"/>
      <c r="FFM45" s="10"/>
      <c r="FFN45" s="10"/>
      <c r="FFO45" s="10"/>
      <c r="FFP45" s="10"/>
      <c r="FFQ45" s="10"/>
      <c r="FFR45" s="10"/>
      <c r="FFS45" s="10"/>
      <c r="FFT45" s="10"/>
      <c r="FFU45" s="10"/>
      <c r="FFV45" s="10"/>
      <c r="FFW45" s="10"/>
      <c r="FFX45" s="10"/>
      <c r="FFY45" s="10"/>
      <c r="FFZ45" s="10"/>
      <c r="FGA45" s="10"/>
      <c r="FGB45" s="10"/>
      <c r="FGC45" s="10"/>
      <c r="FGD45" s="10"/>
      <c r="FGE45" s="10"/>
      <c r="FGF45" s="10"/>
      <c r="FGG45" s="10"/>
      <c r="FGH45" s="10"/>
      <c r="FGI45" s="10"/>
      <c r="FGJ45" s="10"/>
      <c r="FGK45" s="10"/>
      <c r="FGL45" s="10"/>
      <c r="FGM45" s="10"/>
      <c r="FGN45" s="10"/>
      <c r="FGO45" s="10"/>
      <c r="FGP45" s="10"/>
      <c r="FGQ45" s="10"/>
      <c r="FGR45" s="10"/>
      <c r="FGS45" s="10"/>
      <c r="FGT45" s="10"/>
      <c r="FGU45" s="10"/>
      <c r="FGV45" s="10"/>
      <c r="FGW45" s="10"/>
      <c r="FGX45" s="10"/>
      <c r="FGY45" s="10"/>
      <c r="FGZ45" s="10"/>
      <c r="FHA45" s="10"/>
      <c r="FHB45" s="10"/>
      <c r="FHC45" s="10"/>
      <c r="FHD45" s="10"/>
      <c r="FHE45" s="10"/>
      <c r="FHF45" s="10"/>
      <c r="FHG45" s="10"/>
      <c r="FHH45" s="10"/>
      <c r="FHI45" s="10"/>
      <c r="FHJ45" s="10"/>
      <c r="FHK45" s="10"/>
      <c r="FHL45" s="10"/>
      <c r="FHM45" s="10"/>
      <c r="FHN45" s="10"/>
      <c r="FHO45" s="10"/>
      <c r="FHP45" s="10"/>
      <c r="FHQ45" s="10"/>
      <c r="FHR45" s="10"/>
      <c r="FHS45" s="10"/>
      <c r="FHT45" s="10"/>
      <c r="FHU45" s="10"/>
      <c r="FHV45" s="10"/>
      <c r="FHW45" s="10"/>
      <c r="FHX45" s="10"/>
      <c r="FHY45" s="10"/>
      <c r="FHZ45" s="10"/>
      <c r="FIA45" s="10"/>
      <c r="FIB45" s="10"/>
      <c r="FIC45" s="10"/>
      <c r="FID45" s="10"/>
      <c r="FIE45" s="10"/>
      <c r="FIF45" s="10"/>
      <c r="FIG45" s="10"/>
      <c r="FIH45" s="10"/>
      <c r="FII45" s="10"/>
      <c r="FIJ45" s="10"/>
      <c r="FIK45" s="10"/>
      <c r="FIL45" s="10"/>
      <c r="FIM45" s="10"/>
      <c r="FIN45" s="10"/>
      <c r="FIO45" s="10"/>
      <c r="FIP45" s="10"/>
      <c r="FIQ45" s="10"/>
      <c r="FIR45" s="10"/>
      <c r="FIS45" s="10"/>
      <c r="FIT45" s="10"/>
      <c r="FIU45" s="10"/>
      <c r="FIV45" s="10"/>
      <c r="FIW45" s="10"/>
      <c r="FIX45" s="10"/>
      <c r="FIY45" s="10"/>
      <c r="FIZ45" s="10"/>
      <c r="FJA45" s="10"/>
      <c r="FJB45" s="10"/>
      <c r="FJC45" s="10"/>
      <c r="FJD45" s="10"/>
      <c r="FJE45" s="10"/>
      <c r="FJF45" s="10"/>
      <c r="FJG45" s="10"/>
      <c r="FJH45" s="10"/>
      <c r="FJI45" s="10"/>
      <c r="FJJ45" s="10"/>
      <c r="FJK45" s="10"/>
      <c r="FJL45" s="10"/>
      <c r="FJM45" s="10"/>
      <c r="FJN45" s="10"/>
      <c r="FJO45" s="10"/>
      <c r="FJP45" s="10"/>
      <c r="FJQ45" s="10"/>
      <c r="FJR45" s="10"/>
      <c r="FJS45" s="10"/>
      <c r="FJT45" s="10"/>
      <c r="FJU45" s="10"/>
      <c r="FJV45" s="10"/>
      <c r="FJW45" s="10"/>
      <c r="FJX45" s="10"/>
      <c r="FJY45" s="10"/>
      <c r="FJZ45" s="10"/>
      <c r="FKA45" s="10"/>
      <c r="FKB45" s="10"/>
      <c r="FKC45" s="10"/>
      <c r="FKD45" s="10"/>
      <c r="FKE45" s="10"/>
      <c r="FKF45" s="10"/>
      <c r="FKG45" s="10"/>
      <c r="FKH45" s="10"/>
      <c r="FKI45" s="10"/>
      <c r="FKJ45" s="10"/>
      <c r="FKK45" s="10"/>
      <c r="FKL45" s="10"/>
      <c r="FKM45" s="10"/>
      <c r="FKN45" s="10"/>
      <c r="FKO45" s="10"/>
      <c r="FKP45" s="10"/>
      <c r="FKQ45" s="10"/>
      <c r="FKR45" s="10"/>
      <c r="FKS45" s="10"/>
      <c r="FKT45" s="10"/>
      <c r="FKU45" s="10"/>
      <c r="FKV45" s="10"/>
      <c r="FKW45" s="10"/>
      <c r="FKX45" s="10"/>
      <c r="FKY45" s="10"/>
      <c r="FKZ45" s="10"/>
      <c r="FLA45" s="10"/>
      <c r="FLB45" s="10"/>
      <c r="FLC45" s="10"/>
      <c r="FLD45" s="10"/>
      <c r="FLE45" s="10"/>
      <c r="FLF45" s="10"/>
      <c r="FLG45" s="10"/>
      <c r="FLH45" s="10"/>
      <c r="FLI45" s="10"/>
      <c r="FLJ45" s="10"/>
      <c r="FLK45" s="10"/>
      <c r="FLL45" s="10"/>
      <c r="FLM45" s="10"/>
      <c r="FLN45" s="10"/>
      <c r="FLO45" s="10"/>
      <c r="FLP45" s="10"/>
      <c r="FLQ45" s="10"/>
      <c r="FLR45" s="10"/>
      <c r="FLS45" s="10"/>
      <c r="FLT45" s="10"/>
      <c r="FLU45" s="10"/>
      <c r="FLV45" s="10"/>
      <c r="FLW45" s="10"/>
      <c r="FLX45" s="10"/>
      <c r="FLY45" s="10"/>
      <c r="FLZ45" s="10"/>
      <c r="FMA45" s="10"/>
      <c r="FMB45" s="10"/>
      <c r="FMC45" s="10"/>
      <c r="FMD45" s="10"/>
      <c r="FME45" s="10"/>
      <c r="FMF45" s="10"/>
      <c r="FMG45" s="10"/>
      <c r="FMH45" s="10"/>
      <c r="FMI45" s="10"/>
      <c r="FMJ45" s="10"/>
      <c r="FMK45" s="10"/>
      <c r="FML45" s="10"/>
      <c r="FMM45" s="10"/>
      <c r="FMN45" s="10"/>
      <c r="FMO45" s="10"/>
      <c r="FMP45" s="10"/>
      <c r="FMQ45" s="10"/>
      <c r="FMR45" s="10"/>
      <c r="FMS45" s="10"/>
      <c r="FMT45" s="10"/>
      <c r="FMU45" s="10"/>
      <c r="FMV45" s="10"/>
      <c r="FMW45" s="10"/>
      <c r="FMX45" s="10"/>
      <c r="FMY45" s="10"/>
      <c r="FMZ45" s="10"/>
      <c r="FNA45" s="10"/>
      <c r="FNB45" s="10"/>
      <c r="FNC45" s="10"/>
      <c r="FND45" s="10"/>
      <c r="FNE45" s="10"/>
      <c r="FNF45" s="10"/>
      <c r="FNG45" s="10"/>
      <c r="FNH45" s="10"/>
      <c r="FNI45" s="10"/>
      <c r="FNJ45" s="10"/>
      <c r="FNK45" s="10"/>
      <c r="FNL45" s="10"/>
      <c r="FNM45" s="10"/>
      <c r="FNN45" s="10"/>
      <c r="FNO45" s="10"/>
      <c r="FNP45" s="10"/>
      <c r="FNQ45" s="10"/>
      <c r="FNR45" s="10"/>
      <c r="FNS45" s="10"/>
      <c r="FNT45" s="10"/>
      <c r="FNU45" s="10"/>
      <c r="FNV45" s="10"/>
      <c r="FNW45" s="10"/>
      <c r="FNX45" s="10"/>
      <c r="FNY45" s="10"/>
      <c r="FNZ45" s="10"/>
      <c r="FOA45" s="10"/>
      <c r="FOB45" s="10"/>
      <c r="FOC45" s="10"/>
      <c r="FOD45" s="10"/>
      <c r="FOE45" s="10"/>
      <c r="FOF45" s="10"/>
      <c r="FOG45" s="10"/>
      <c r="FOH45" s="10"/>
      <c r="FOI45" s="10"/>
      <c r="FOJ45" s="10"/>
      <c r="FOK45" s="10"/>
      <c r="FOL45" s="10"/>
      <c r="FOM45" s="10"/>
      <c r="FON45" s="10"/>
      <c r="FOO45" s="10"/>
      <c r="FOP45" s="10"/>
      <c r="FOQ45" s="10"/>
      <c r="FOR45" s="10"/>
      <c r="FOS45" s="10"/>
      <c r="FOT45" s="10"/>
      <c r="FOU45" s="10"/>
      <c r="FOV45" s="10"/>
      <c r="FOW45" s="10"/>
      <c r="FOX45" s="10"/>
      <c r="FOY45" s="10"/>
      <c r="FOZ45" s="10"/>
      <c r="FPA45" s="10"/>
      <c r="FPB45" s="10"/>
      <c r="FPC45" s="10"/>
      <c r="FPD45" s="10"/>
      <c r="FPE45" s="10"/>
      <c r="FPF45" s="10"/>
      <c r="FPG45" s="10"/>
      <c r="FPH45" s="10"/>
      <c r="FPI45" s="10"/>
      <c r="FPJ45" s="10"/>
      <c r="FPK45" s="10"/>
      <c r="FPL45" s="10"/>
      <c r="FPM45" s="10"/>
      <c r="FPN45" s="10"/>
      <c r="FPO45" s="10"/>
      <c r="FPP45" s="10"/>
      <c r="FPQ45" s="10"/>
      <c r="FPR45" s="10"/>
      <c r="FPS45" s="10"/>
      <c r="FPT45" s="10"/>
      <c r="FPU45" s="10"/>
      <c r="FPV45" s="10"/>
      <c r="FPW45" s="10"/>
      <c r="FPX45" s="10"/>
      <c r="FPY45" s="10"/>
      <c r="FPZ45" s="10"/>
      <c r="FQA45" s="10"/>
      <c r="FQB45" s="10"/>
      <c r="FQC45" s="10"/>
      <c r="FQD45" s="10"/>
      <c r="FQE45" s="10"/>
      <c r="FQF45" s="10"/>
      <c r="FQG45" s="10"/>
      <c r="FQH45" s="10"/>
      <c r="FQI45" s="10"/>
      <c r="FQJ45" s="10"/>
      <c r="FQK45" s="10"/>
      <c r="FQL45" s="10"/>
      <c r="FQM45" s="10"/>
      <c r="FQN45" s="10"/>
      <c r="FQO45" s="10"/>
      <c r="FQP45" s="10"/>
      <c r="FQQ45" s="10"/>
      <c r="FQR45" s="10"/>
      <c r="FQS45" s="10"/>
      <c r="FQT45" s="10"/>
      <c r="FQU45" s="10"/>
      <c r="FQV45" s="10"/>
      <c r="FQW45" s="10"/>
      <c r="FQX45" s="10"/>
      <c r="FQY45" s="10"/>
      <c r="FQZ45" s="10"/>
      <c r="FRA45" s="10"/>
      <c r="FRB45" s="10"/>
      <c r="FRC45" s="10"/>
      <c r="FRD45" s="10"/>
      <c r="FRE45" s="10"/>
      <c r="FRF45" s="10"/>
      <c r="FRG45" s="10"/>
      <c r="FRH45" s="10"/>
      <c r="FRI45" s="10"/>
      <c r="FRJ45" s="10"/>
      <c r="FRK45" s="10"/>
      <c r="FRL45" s="10"/>
      <c r="FRM45" s="10"/>
      <c r="FRN45" s="10"/>
      <c r="FRO45" s="10"/>
      <c r="FRP45" s="10"/>
      <c r="FRQ45" s="10"/>
      <c r="FRR45" s="10"/>
      <c r="FRS45" s="10"/>
      <c r="FRT45" s="10"/>
      <c r="FRU45" s="10"/>
      <c r="FRV45" s="10"/>
      <c r="FRW45" s="10"/>
      <c r="FRX45" s="10"/>
      <c r="FRY45" s="10"/>
      <c r="FRZ45" s="10"/>
      <c r="FSA45" s="10"/>
      <c r="FSB45" s="10"/>
      <c r="FSC45" s="10"/>
      <c r="FSD45" s="10"/>
      <c r="FSE45" s="10"/>
      <c r="FSF45" s="10"/>
      <c r="FSG45" s="10"/>
      <c r="FSH45" s="10"/>
      <c r="FSI45" s="10"/>
      <c r="FSJ45" s="10"/>
      <c r="FSK45" s="10"/>
      <c r="FSL45" s="10"/>
      <c r="FSM45" s="10"/>
      <c r="FSN45" s="10"/>
      <c r="FSO45" s="10"/>
      <c r="FSP45" s="10"/>
      <c r="FSQ45" s="10"/>
      <c r="FSR45" s="10"/>
      <c r="FSS45" s="10"/>
      <c r="FST45" s="10"/>
      <c r="FSU45" s="10"/>
      <c r="FSV45" s="10"/>
      <c r="FSW45" s="10"/>
      <c r="FSX45" s="10"/>
      <c r="FSY45" s="10"/>
      <c r="FSZ45" s="10"/>
      <c r="FTA45" s="10"/>
      <c r="FTB45" s="10"/>
      <c r="FTC45" s="10"/>
      <c r="FTD45" s="10"/>
      <c r="FTE45" s="10"/>
      <c r="FTF45" s="10"/>
      <c r="FTG45" s="10"/>
      <c r="FTH45" s="10"/>
      <c r="FTI45" s="10"/>
      <c r="FTJ45" s="10"/>
      <c r="FTK45" s="10"/>
      <c r="FTL45" s="10"/>
      <c r="FTM45" s="10"/>
      <c r="FTN45" s="10"/>
      <c r="FTO45" s="10"/>
      <c r="FTP45" s="10"/>
      <c r="FTQ45" s="10"/>
      <c r="FTR45" s="10"/>
      <c r="FTS45" s="10"/>
      <c r="FTT45" s="10"/>
      <c r="FTU45" s="10"/>
      <c r="FTV45" s="10"/>
      <c r="FTW45" s="10"/>
      <c r="FTX45" s="10"/>
      <c r="FTY45" s="10"/>
      <c r="FTZ45" s="10"/>
      <c r="FUA45" s="10"/>
      <c r="FUB45" s="10"/>
      <c r="FUC45" s="10"/>
      <c r="FUD45" s="10"/>
      <c r="FUE45" s="10"/>
      <c r="FUF45" s="10"/>
      <c r="FUG45" s="10"/>
      <c r="FUH45" s="10"/>
      <c r="FUI45" s="10"/>
      <c r="FUJ45" s="10"/>
      <c r="FUK45" s="10"/>
      <c r="FUL45" s="10"/>
      <c r="FUM45" s="10"/>
      <c r="FUN45" s="10"/>
      <c r="FUO45" s="10"/>
      <c r="FUP45" s="10"/>
      <c r="FUQ45" s="10"/>
      <c r="FUR45" s="10"/>
      <c r="FUS45" s="10"/>
      <c r="FUT45" s="10"/>
      <c r="FUU45" s="10"/>
      <c r="FUV45" s="10"/>
      <c r="FUW45" s="10"/>
      <c r="FUX45" s="10"/>
      <c r="FUY45" s="10"/>
      <c r="FUZ45" s="10"/>
      <c r="FVA45" s="10"/>
      <c r="FVB45" s="10"/>
      <c r="FVC45" s="10"/>
      <c r="FVD45" s="10"/>
      <c r="FVE45" s="10"/>
      <c r="FVF45" s="10"/>
      <c r="FVG45" s="10"/>
      <c r="FVH45" s="10"/>
      <c r="FVI45" s="10"/>
      <c r="FVJ45" s="10"/>
      <c r="FVK45" s="10"/>
      <c r="FVL45" s="10"/>
      <c r="FVM45" s="10"/>
      <c r="FVN45" s="10"/>
      <c r="FVO45" s="10"/>
      <c r="FVP45" s="10"/>
      <c r="FVQ45" s="10"/>
      <c r="FVR45" s="10"/>
      <c r="FVS45" s="10"/>
      <c r="FVT45" s="10"/>
      <c r="FVU45" s="10"/>
      <c r="FVV45" s="10"/>
      <c r="FVW45" s="10"/>
      <c r="FVX45" s="10"/>
      <c r="FVY45" s="10"/>
      <c r="FVZ45" s="10"/>
      <c r="FWA45" s="10"/>
      <c r="FWB45" s="10"/>
      <c r="FWC45" s="10"/>
      <c r="FWD45" s="10"/>
      <c r="FWE45" s="10"/>
      <c r="FWF45" s="10"/>
      <c r="FWG45" s="10"/>
      <c r="FWH45" s="10"/>
      <c r="FWI45" s="10"/>
      <c r="FWJ45" s="10"/>
      <c r="FWK45" s="10"/>
      <c r="FWL45" s="10"/>
      <c r="FWM45" s="10"/>
      <c r="FWN45" s="10"/>
      <c r="FWO45" s="10"/>
      <c r="FWP45" s="10"/>
      <c r="FWQ45" s="10"/>
      <c r="FWR45" s="10"/>
      <c r="FWS45" s="10"/>
      <c r="FWT45" s="10"/>
      <c r="FWU45" s="10"/>
      <c r="FWV45" s="10"/>
      <c r="FWW45" s="10"/>
      <c r="FWX45" s="10"/>
      <c r="FWY45" s="10"/>
      <c r="FWZ45" s="10"/>
      <c r="FXA45" s="10"/>
      <c r="FXB45" s="10"/>
      <c r="FXC45" s="10"/>
      <c r="FXD45" s="10"/>
      <c r="FXE45" s="10"/>
      <c r="FXF45" s="10"/>
      <c r="FXG45" s="10"/>
      <c r="FXH45" s="10"/>
      <c r="FXI45" s="10"/>
      <c r="FXJ45" s="10"/>
      <c r="FXK45" s="10"/>
      <c r="FXL45" s="10"/>
      <c r="FXM45" s="10"/>
      <c r="FXN45" s="10"/>
      <c r="FXO45" s="10"/>
      <c r="FXP45" s="10"/>
      <c r="FXQ45" s="10"/>
      <c r="FXR45" s="10"/>
      <c r="FXS45" s="10"/>
      <c r="FXT45" s="10"/>
      <c r="FXU45" s="10"/>
      <c r="FXV45" s="10"/>
      <c r="FXW45" s="10"/>
      <c r="FXX45" s="10"/>
      <c r="FXY45" s="10"/>
      <c r="FXZ45" s="10"/>
      <c r="FYA45" s="10"/>
      <c r="FYB45" s="10"/>
      <c r="FYC45" s="10"/>
      <c r="FYD45" s="10"/>
      <c r="FYE45" s="10"/>
      <c r="FYF45" s="10"/>
      <c r="FYG45" s="10"/>
      <c r="FYH45" s="10"/>
      <c r="FYI45" s="10"/>
      <c r="FYJ45" s="10"/>
      <c r="FYK45" s="10"/>
      <c r="FYL45" s="10"/>
      <c r="FYM45" s="10"/>
      <c r="FYN45" s="10"/>
      <c r="FYO45" s="10"/>
      <c r="FYP45" s="10"/>
      <c r="FYQ45" s="10"/>
      <c r="FYR45" s="10"/>
      <c r="FYS45" s="10"/>
      <c r="FYT45" s="10"/>
      <c r="FYU45" s="10"/>
      <c r="FYV45" s="10"/>
      <c r="FYW45" s="10"/>
      <c r="FYX45" s="10"/>
      <c r="FYY45" s="10"/>
      <c r="FYZ45" s="10"/>
      <c r="FZA45" s="10"/>
      <c r="FZB45" s="10"/>
      <c r="FZC45" s="10"/>
      <c r="FZD45" s="10"/>
      <c r="FZE45" s="10"/>
      <c r="FZF45" s="10"/>
      <c r="FZG45" s="10"/>
      <c r="FZH45" s="10"/>
      <c r="FZI45" s="10"/>
      <c r="FZJ45" s="10"/>
      <c r="FZK45" s="10"/>
      <c r="FZL45" s="10"/>
      <c r="FZM45" s="10"/>
      <c r="FZN45" s="10"/>
      <c r="FZO45" s="10"/>
      <c r="FZP45" s="10"/>
      <c r="FZQ45" s="10"/>
      <c r="FZR45" s="10"/>
      <c r="FZS45" s="10"/>
      <c r="FZT45" s="10"/>
      <c r="FZU45" s="10"/>
      <c r="FZV45" s="10"/>
      <c r="FZW45" s="10"/>
      <c r="FZX45" s="10"/>
      <c r="FZY45" s="10"/>
      <c r="FZZ45" s="10"/>
      <c r="GAA45" s="10"/>
      <c r="GAB45" s="10"/>
      <c r="GAC45" s="10"/>
      <c r="GAD45" s="10"/>
      <c r="GAE45" s="10"/>
      <c r="GAF45" s="10"/>
      <c r="GAG45" s="10"/>
      <c r="GAH45" s="10"/>
      <c r="GAI45" s="10"/>
      <c r="GAJ45" s="10"/>
      <c r="GAK45" s="10"/>
      <c r="GAL45" s="10"/>
      <c r="GAM45" s="10"/>
      <c r="GAN45" s="10"/>
      <c r="GAO45" s="10"/>
      <c r="GAP45" s="10"/>
      <c r="GAQ45" s="10"/>
      <c r="GAR45" s="10"/>
      <c r="GAS45" s="10"/>
      <c r="GAT45" s="10"/>
      <c r="GAU45" s="10"/>
      <c r="GAV45" s="10"/>
      <c r="GAW45" s="10"/>
      <c r="GAX45" s="10"/>
      <c r="GAY45" s="10"/>
      <c r="GAZ45" s="10"/>
      <c r="GBA45" s="10"/>
      <c r="GBB45" s="10"/>
      <c r="GBC45" s="10"/>
      <c r="GBD45" s="10"/>
      <c r="GBE45" s="10"/>
      <c r="GBF45" s="10"/>
      <c r="GBG45" s="10"/>
      <c r="GBH45" s="10"/>
      <c r="GBI45" s="10"/>
      <c r="GBJ45" s="10"/>
      <c r="GBK45" s="10"/>
      <c r="GBL45" s="10"/>
      <c r="GBM45" s="10"/>
      <c r="GBN45" s="10"/>
      <c r="GBO45" s="10"/>
      <c r="GBP45" s="10"/>
      <c r="GBQ45" s="10"/>
      <c r="GBR45" s="10"/>
      <c r="GBS45" s="10"/>
      <c r="GBT45" s="10"/>
      <c r="GBU45" s="10"/>
      <c r="GBV45" s="10"/>
      <c r="GBW45" s="10"/>
      <c r="GBX45" s="10"/>
      <c r="GBY45" s="10"/>
      <c r="GBZ45" s="10"/>
      <c r="GCA45" s="10"/>
      <c r="GCB45" s="10"/>
      <c r="GCC45" s="10"/>
      <c r="GCD45" s="10"/>
      <c r="GCE45" s="10"/>
      <c r="GCF45" s="10"/>
      <c r="GCG45" s="10"/>
      <c r="GCH45" s="10"/>
      <c r="GCI45" s="10"/>
      <c r="GCJ45" s="10"/>
      <c r="GCK45" s="10"/>
      <c r="GCL45" s="10"/>
      <c r="GCM45" s="10"/>
      <c r="GCN45" s="10"/>
      <c r="GCO45" s="10"/>
      <c r="GCP45" s="10"/>
      <c r="GCQ45" s="10"/>
      <c r="GCR45" s="10"/>
      <c r="GCS45" s="10"/>
      <c r="GCT45" s="10"/>
      <c r="GCU45" s="10"/>
      <c r="GCV45" s="10"/>
      <c r="GCW45" s="10"/>
      <c r="GCX45" s="10"/>
      <c r="GCY45" s="10"/>
      <c r="GCZ45" s="10"/>
      <c r="GDA45" s="10"/>
      <c r="GDB45" s="10"/>
      <c r="GDC45" s="10"/>
      <c r="GDD45" s="10"/>
      <c r="GDE45" s="10"/>
      <c r="GDF45" s="10"/>
      <c r="GDG45" s="10"/>
      <c r="GDH45" s="10"/>
      <c r="GDI45" s="10"/>
      <c r="GDJ45" s="10"/>
      <c r="GDK45" s="10"/>
      <c r="GDL45" s="10"/>
      <c r="GDM45" s="10"/>
      <c r="GDN45" s="10"/>
      <c r="GDO45" s="10"/>
      <c r="GDP45" s="10"/>
      <c r="GDQ45" s="10"/>
      <c r="GDR45" s="10"/>
      <c r="GDS45" s="10"/>
      <c r="GDT45" s="10"/>
      <c r="GDU45" s="10"/>
      <c r="GDV45" s="10"/>
      <c r="GDW45" s="10"/>
      <c r="GDX45" s="10"/>
      <c r="GDY45" s="10"/>
      <c r="GDZ45" s="10"/>
      <c r="GEA45" s="10"/>
      <c r="GEB45" s="10"/>
      <c r="GEC45" s="10"/>
      <c r="GED45" s="10"/>
      <c r="GEE45" s="10"/>
      <c r="GEF45" s="10"/>
      <c r="GEG45" s="10"/>
      <c r="GEH45" s="10"/>
      <c r="GEI45" s="10"/>
      <c r="GEJ45" s="10"/>
      <c r="GEK45" s="10"/>
      <c r="GEL45" s="10"/>
      <c r="GEM45" s="10"/>
      <c r="GEN45" s="10"/>
      <c r="GEO45" s="10"/>
      <c r="GEP45" s="10"/>
      <c r="GEQ45" s="10"/>
      <c r="GER45" s="10"/>
      <c r="GES45" s="10"/>
      <c r="GET45" s="10"/>
      <c r="GEU45" s="10"/>
      <c r="GEV45" s="10"/>
      <c r="GEW45" s="10"/>
      <c r="GEX45" s="10"/>
      <c r="GEY45" s="10"/>
      <c r="GEZ45" s="10"/>
      <c r="GFA45" s="10"/>
      <c r="GFB45" s="10"/>
      <c r="GFC45" s="10"/>
      <c r="GFD45" s="10"/>
      <c r="GFE45" s="10"/>
      <c r="GFF45" s="10"/>
      <c r="GFG45" s="10"/>
      <c r="GFH45" s="10"/>
      <c r="GFI45" s="10"/>
      <c r="GFJ45" s="10"/>
      <c r="GFK45" s="10"/>
      <c r="GFL45" s="10"/>
      <c r="GFM45" s="10"/>
      <c r="GFN45" s="10"/>
      <c r="GFO45" s="10"/>
      <c r="GFP45" s="10"/>
      <c r="GFQ45" s="10"/>
      <c r="GFR45" s="10"/>
      <c r="GFS45" s="10"/>
      <c r="GFT45" s="10"/>
      <c r="GFU45" s="10"/>
      <c r="GFV45" s="10"/>
      <c r="GFW45" s="10"/>
      <c r="GFX45" s="10"/>
      <c r="GFY45" s="10"/>
      <c r="GFZ45" s="10"/>
      <c r="GGA45" s="10"/>
      <c r="GGB45" s="10"/>
      <c r="GGC45" s="10"/>
      <c r="GGD45" s="10"/>
      <c r="GGE45" s="10"/>
      <c r="GGF45" s="10"/>
      <c r="GGG45" s="10"/>
      <c r="GGH45" s="10"/>
      <c r="GGI45" s="10"/>
      <c r="GGJ45" s="10"/>
      <c r="GGK45" s="10"/>
      <c r="GGL45" s="10"/>
      <c r="GGM45" s="10"/>
      <c r="GGN45" s="10"/>
      <c r="GGO45" s="10"/>
      <c r="GGP45" s="10"/>
      <c r="GGQ45" s="10"/>
      <c r="GGR45" s="10"/>
      <c r="GGS45" s="10"/>
      <c r="GGT45" s="10"/>
      <c r="GGU45" s="10"/>
      <c r="GGV45" s="10"/>
      <c r="GGW45" s="10"/>
      <c r="GGX45" s="10"/>
      <c r="GGY45" s="10"/>
      <c r="GGZ45" s="10"/>
      <c r="GHA45" s="10"/>
      <c r="GHB45" s="10"/>
      <c r="GHC45" s="10"/>
      <c r="GHD45" s="10"/>
      <c r="GHE45" s="10"/>
      <c r="GHF45" s="10"/>
      <c r="GHG45" s="10"/>
      <c r="GHH45" s="10"/>
      <c r="GHI45" s="10"/>
      <c r="GHJ45" s="10"/>
      <c r="GHK45" s="10"/>
      <c r="GHL45" s="10"/>
      <c r="GHM45" s="10"/>
      <c r="GHN45" s="10"/>
      <c r="GHO45" s="10"/>
      <c r="GHP45" s="10"/>
      <c r="GHQ45" s="10"/>
      <c r="GHR45" s="10"/>
      <c r="GHS45" s="10"/>
      <c r="GHT45" s="10"/>
      <c r="GHU45" s="10"/>
      <c r="GHV45" s="10"/>
      <c r="GHW45" s="10"/>
      <c r="GHX45" s="10"/>
      <c r="GHY45" s="10"/>
      <c r="GHZ45" s="10"/>
      <c r="GIA45" s="10"/>
      <c r="GIB45" s="10"/>
      <c r="GIC45" s="10"/>
      <c r="GID45" s="10"/>
      <c r="GIE45" s="10"/>
      <c r="GIF45" s="10"/>
      <c r="GIG45" s="10"/>
      <c r="GIH45" s="10"/>
      <c r="GII45" s="10"/>
      <c r="GIJ45" s="10"/>
      <c r="GIK45" s="10"/>
      <c r="GIL45" s="10"/>
      <c r="GIM45" s="10"/>
      <c r="GIN45" s="10"/>
      <c r="GIO45" s="10"/>
      <c r="GIP45" s="10"/>
      <c r="GIQ45" s="10"/>
      <c r="GIR45" s="10"/>
      <c r="GIS45" s="10"/>
      <c r="GIT45" s="10"/>
      <c r="GIU45" s="10"/>
      <c r="GIV45" s="10"/>
      <c r="GIW45" s="10"/>
      <c r="GIX45" s="10"/>
      <c r="GIY45" s="10"/>
      <c r="GIZ45" s="10"/>
      <c r="GJA45" s="10"/>
      <c r="GJB45" s="10"/>
      <c r="GJC45" s="10"/>
      <c r="GJD45" s="10"/>
      <c r="GJE45" s="10"/>
      <c r="GJF45" s="10"/>
      <c r="GJG45" s="10"/>
      <c r="GJH45" s="10"/>
      <c r="GJI45" s="10"/>
      <c r="GJJ45" s="10"/>
      <c r="GJK45" s="10"/>
      <c r="GJL45" s="10"/>
      <c r="GJM45" s="10"/>
      <c r="GJN45" s="10"/>
      <c r="GJO45" s="10"/>
      <c r="GJP45" s="10"/>
      <c r="GJQ45" s="10"/>
      <c r="GJR45" s="10"/>
      <c r="GJS45" s="10"/>
      <c r="GJT45" s="10"/>
      <c r="GJU45" s="10"/>
      <c r="GJV45" s="10"/>
      <c r="GJW45" s="10"/>
      <c r="GJX45" s="10"/>
      <c r="GJY45" s="10"/>
      <c r="GJZ45" s="10"/>
      <c r="GKA45" s="10"/>
      <c r="GKB45" s="10"/>
      <c r="GKC45" s="10"/>
      <c r="GKD45" s="10"/>
      <c r="GKE45" s="10"/>
      <c r="GKF45" s="10"/>
      <c r="GKG45" s="10"/>
      <c r="GKH45" s="10"/>
      <c r="GKI45" s="10"/>
      <c r="GKJ45" s="10"/>
      <c r="GKK45" s="10"/>
      <c r="GKL45" s="10"/>
      <c r="GKM45" s="10"/>
      <c r="GKN45" s="10"/>
      <c r="GKO45" s="10"/>
      <c r="GKP45" s="10"/>
      <c r="GKQ45" s="10"/>
      <c r="GKR45" s="10"/>
      <c r="GKS45" s="10"/>
      <c r="GKT45" s="10"/>
      <c r="GKU45" s="10"/>
      <c r="GKV45" s="10"/>
      <c r="GKW45" s="10"/>
      <c r="GKX45" s="10"/>
      <c r="GKY45" s="10"/>
      <c r="GKZ45" s="10"/>
      <c r="GLA45" s="10"/>
      <c r="GLB45" s="10"/>
      <c r="GLC45" s="10"/>
      <c r="GLD45" s="10"/>
      <c r="GLE45" s="10"/>
      <c r="GLF45" s="10"/>
      <c r="GLG45" s="10"/>
      <c r="GLH45" s="10"/>
      <c r="GLI45" s="10"/>
      <c r="GLJ45" s="10"/>
      <c r="GLK45" s="10"/>
      <c r="GLL45" s="10"/>
      <c r="GLM45" s="10"/>
      <c r="GLN45" s="10"/>
      <c r="GLO45" s="10"/>
      <c r="GLP45" s="10"/>
      <c r="GLQ45" s="10"/>
      <c r="GLR45" s="10"/>
      <c r="GLS45" s="10"/>
      <c r="GLT45" s="10"/>
      <c r="GLU45" s="10"/>
      <c r="GLV45" s="10"/>
      <c r="GLW45" s="10"/>
      <c r="GLX45" s="10"/>
      <c r="GLY45" s="10"/>
      <c r="GLZ45" s="10"/>
      <c r="GMA45" s="10"/>
      <c r="GMB45" s="10"/>
      <c r="GMC45" s="10"/>
      <c r="GMD45" s="10"/>
      <c r="GME45" s="10"/>
      <c r="GMF45" s="10"/>
      <c r="GMG45" s="10"/>
      <c r="GMH45" s="10"/>
      <c r="GMI45" s="10"/>
      <c r="GMJ45" s="10"/>
      <c r="GMK45" s="10"/>
      <c r="GML45" s="10"/>
      <c r="GMM45" s="10"/>
      <c r="GMN45" s="10"/>
      <c r="GMO45" s="10"/>
      <c r="GMP45" s="10"/>
      <c r="GMQ45" s="10"/>
      <c r="GMR45" s="10"/>
      <c r="GMS45" s="10"/>
      <c r="GMT45" s="10"/>
      <c r="GMU45" s="10"/>
      <c r="GMV45" s="10"/>
      <c r="GMW45" s="10"/>
      <c r="GMX45" s="10"/>
      <c r="GMY45" s="10"/>
      <c r="GMZ45" s="10"/>
      <c r="GNA45" s="10"/>
      <c r="GNB45" s="10"/>
      <c r="GNC45" s="10"/>
      <c r="GND45" s="10"/>
      <c r="GNE45" s="10"/>
      <c r="GNF45" s="10"/>
      <c r="GNG45" s="10"/>
      <c r="GNH45" s="10"/>
      <c r="GNI45" s="10"/>
      <c r="GNJ45" s="10"/>
      <c r="GNK45" s="10"/>
      <c r="GNL45" s="10"/>
      <c r="GNM45" s="10"/>
      <c r="GNN45" s="10"/>
      <c r="GNO45" s="10"/>
      <c r="GNP45" s="10"/>
      <c r="GNQ45" s="10"/>
      <c r="GNR45" s="10"/>
      <c r="GNS45" s="10"/>
      <c r="GNT45" s="10"/>
      <c r="GNU45" s="10"/>
      <c r="GNV45" s="10"/>
      <c r="GNW45" s="10"/>
      <c r="GNX45" s="10"/>
      <c r="GNY45" s="10"/>
      <c r="GNZ45" s="10"/>
      <c r="GOA45" s="10"/>
      <c r="GOB45" s="10"/>
      <c r="GOC45" s="10"/>
      <c r="GOD45" s="10"/>
      <c r="GOE45" s="10"/>
      <c r="GOF45" s="10"/>
      <c r="GOG45" s="10"/>
      <c r="GOH45" s="10"/>
      <c r="GOI45" s="10"/>
      <c r="GOJ45" s="10"/>
      <c r="GOK45" s="10"/>
      <c r="GOL45" s="10"/>
      <c r="GOM45" s="10"/>
      <c r="GON45" s="10"/>
      <c r="GOO45" s="10"/>
      <c r="GOP45" s="10"/>
      <c r="GOQ45" s="10"/>
      <c r="GOR45" s="10"/>
      <c r="GOS45" s="10"/>
      <c r="GOT45" s="10"/>
      <c r="GOU45" s="10"/>
      <c r="GOV45" s="10"/>
      <c r="GOW45" s="10"/>
      <c r="GOX45" s="10"/>
      <c r="GOY45" s="10"/>
      <c r="GOZ45" s="10"/>
      <c r="GPA45" s="10"/>
      <c r="GPB45" s="10"/>
      <c r="GPC45" s="10"/>
      <c r="GPD45" s="10"/>
      <c r="GPE45" s="10"/>
      <c r="GPF45" s="10"/>
      <c r="GPG45" s="10"/>
      <c r="GPH45" s="10"/>
      <c r="GPI45" s="10"/>
      <c r="GPJ45" s="10"/>
      <c r="GPK45" s="10"/>
      <c r="GPL45" s="10"/>
      <c r="GPM45" s="10"/>
      <c r="GPN45" s="10"/>
      <c r="GPO45" s="10"/>
      <c r="GPP45" s="10"/>
      <c r="GPQ45" s="10"/>
      <c r="GPR45" s="10"/>
      <c r="GPS45" s="10"/>
      <c r="GPT45" s="10"/>
      <c r="GPU45" s="10"/>
      <c r="GPV45" s="10"/>
      <c r="GPW45" s="10"/>
      <c r="GPX45" s="10"/>
      <c r="GPY45" s="10"/>
      <c r="GPZ45" s="10"/>
      <c r="GQA45" s="10"/>
      <c r="GQB45" s="10"/>
      <c r="GQC45" s="10"/>
      <c r="GQD45" s="10"/>
      <c r="GQE45" s="10"/>
      <c r="GQF45" s="10"/>
      <c r="GQG45" s="10"/>
      <c r="GQH45" s="10"/>
      <c r="GQI45" s="10"/>
      <c r="GQJ45" s="10"/>
      <c r="GQK45" s="10"/>
      <c r="GQL45" s="10"/>
      <c r="GQM45" s="10"/>
      <c r="GQN45" s="10"/>
      <c r="GQO45" s="10"/>
      <c r="GQP45" s="10"/>
      <c r="GQQ45" s="10"/>
      <c r="GQR45" s="10"/>
      <c r="GQS45" s="10"/>
      <c r="GQT45" s="10"/>
      <c r="GQU45" s="10"/>
      <c r="GQV45" s="10"/>
      <c r="GQW45" s="10"/>
      <c r="GQX45" s="10"/>
      <c r="GQY45" s="10"/>
      <c r="GQZ45" s="10"/>
      <c r="GRA45" s="10"/>
      <c r="GRB45" s="10"/>
      <c r="GRC45" s="10"/>
      <c r="GRD45" s="10"/>
      <c r="GRE45" s="10"/>
      <c r="GRF45" s="10"/>
      <c r="GRG45" s="10"/>
      <c r="GRH45" s="10"/>
      <c r="GRI45" s="10"/>
      <c r="GRJ45" s="10"/>
      <c r="GRK45" s="10"/>
      <c r="GRL45" s="10"/>
      <c r="GRM45" s="10"/>
      <c r="GRN45" s="10"/>
      <c r="GRO45" s="10"/>
      <c r="GRP45" s="10"/>
      <c r="GRQ45" s="10"/>
      <c r="GRR45" s="10"/>
      <c r="GRS45" s="10"/>
      <c r="GRT45" s="10"/>
      <c r="GRU45" s="10"/>
      <c r="GRV45" s="10"/>
      <c r="GRW45" s="10"/>
      <c r="GRX45" s="10"/>
      <c r="GRY45" s="10"/>
      <c r="GRZ45" s="10"/>
      <c r="GSA45" s="10"/>
      <c r="GSB45" s="10"/>
      <c r="GSC45" s="10"/>
      <c r="GSD45" s="10"/>
      <c r="GSE45" s="10"/>
      <c r="GSF45" s="10"/>
      <c r="GSG45" s="10"/>
      <c r="GSH45" s="10"/>
      <c r="GSI45" s="10"/>
      <c r="GSJ45" s="10"/>
      <c r="GSK45" s="10"/>
      <c r="GSL45" s="10"/>
      <c r="GSM45" s="10"/>
      <c r="GSN45" s="10"/>
      <c r="GSO45" s="10"/>
      <c r="GSP45" s="10"/>
      <c r="GSQ45" s="10"/>
      <c r="GSR45" s="10"/>
      <c r="GSS45" s="10"/>
      <c r="GST45" s="10"/>
      <c r="GSU45" s="10"/>
      <c r="GSV45" s="10"/>
      <c r="GSW45" s="10"/>
      <c r="GSX45" s="10"/>
      <c r="GSY45" s="10"/>
      <c r="GSZ45" s="10"/>
      <c r="GTA45" s="10"/>
      <c r="GTB45" s="10"/>
      <c r="GTC45" s="10"/>
      <c r="GTD45" s="10"/>
      <c r="GTE45" s="10"/>
      <c r="GTF45" s="10"/>
      <c r="GTG45" s="10"/>
      <c r="GTH45" s="10"/>
      <c r="GTI45" s="10"/>
      <c r="GTJ45" s="10"/>
      <c r="GTK45" s="10"/>
      <c r="GTL45" s="10"/>
      <c r="GTM45" s="10"/>
      <c r="GTN45" s="10"/>
      <c r="GTO45" s="10"/>
      <c r="GTP45" s="10"/>
      <c r="GTQ45" s="10"/>
      <c r="GTR45" s="10"/>
      <c r="GTS45" s="10"/>
      <c r="GTT45" s="10"/>
      <c r="GTU45" s="10"/>
      <c r="GTV45" s="10"/>
      <c r="GTW45" s="10"/>
      <c r="GTX45" s="10"/>
      <c r="GTY45" s="10"/>
      <c r="GTZ45" s="10"/>
      <c r="GUA45" s="10"/>
      <c r="GUB45" s="10"/>
      <c r="GUC45" s="10"/>
      <c r="GUD45" s="10"/>
      <c r="GUE45" s="10"/>
      <c r="GUF45" s="10"/>
      <c r="GUG45" s="10"/>
      <c r="GUH45" s="10"/>
      <c r="GUI45" s="10"/>
      <c r="GUJ45" s="10"/>
      <c r="GUK45" s="10"/>
      <c r="GUL45" s="10"/>
      <c r="GUM45" s="10"/>
      <c r="GUN45" s="10"/>
      <c r="GUO45" s="10"/>
      <c r="GUP45" s="10"/>
      <c r="GUQ45" s="10"/>
      <c r="GUR45" s="10"/>
      <c r="GUS45" s="10"/>
      <c r="GUT45" s="10"/>
      <c r="GUU45" s="10"/>
      <c r="GUV45" s="10"/>
      <c r="GUW45" s="10"/>
      <c r="GUX45" s="10"/>
      <c r="GUY45" s="10"/>
      <c r="GUZ45" s="10"/>
      <c r="GVA45" s="10"/>
      <c r="GVB45" s="10"/>
      <c r="GVC45" s="10"/>
      <c r="GVD45" s="10"/>
      <c r="GVE45" s="10"/>
      <c r="GVF45" s="10"/>
      <c r="GVG45" s="10"/>
      <c r="GVH45" s="10"/>
      <c r="GVI45" s="10"/>
      <c r="GVJ45" s="10"/>
      <c r="GVK45" s="10"/>
      <c r="GVL45" s="10"/>
      <c r="GVM45" s="10"/>
      <c r="GVN45" s="10"/>
      <c r="GVO45" s="10"/>
      <c r="GVP45" s="10"/>
      <c r="GVQ45" s="10"/>
      <c r="GVR45" s="10"/>
      <c r="GVS45" s="10"/>
      <c r="GVT45" s="10"/>
      <c r="GVU45" s="10"/>
      <c r="GVV45" s="10"/>
      <c r="GVW45" s="10"/>
      <c r="GVX45" s="10"/>
      <c r="GVY45" s="10"/>
      <c r="GVZ45" s="10"/>
      <c r="GWA45" s="10"/>
      <c r="GWB45" s="10"/>
      <c r="GWC45" s="10"/>
      <c r="GWD45" s="10"/>
      <c r="GWE45" s="10"/>
      <c r="GWF45" s="10"/>
      <c r="GWG45" s="10"/>
      <c r="GWH45" s="10"/>
      <c r="GWI45" s="10"/>
      <c r="GWJ45" s="10"/>
      <c r="GWK45" s="10"/>
      <c r="GWL45" s="10"/>
      <c r="GWM45" s="10"/>
      <c r="GWN45" s="10"/>
      <c r="GWO45" s="10"/>
      <c r="GWP45" s="10"/>
      <c r="GWQ45" s="10"/>
      <c r="GWR45" s="10"/>
      <c r="GWS45" s="10"/>
      <c r="GWT45" s="10"/>
      <c r="GWU45" s="10"/>
      <c r="GWV45" s="10"/>
      <c r="GWW45" s="10"/>
      <c r="GWX45" s="10"/>
      <c r="GWY45" s="10"/>
      <c r="GWZ45" s="10"/>
      <c r="GXA45" s="10"/>
      <c r="GXB45" s="10"/>
      <c r="GXC45" s="10"/>
      <c r="GXD45" s="10"/>
      <c r="GXE45" s="10"/>
      <c r="GXF45" s="10"/>
      <c r="GXG45" s="10"/>
      <c r="GXH45" s="10"/>
      <c r="GXI45" s="10"/>
      <c r="GXJ45" s="10"/>
      <c r="GXK45" s="10"/>
      <c r="GXL45" s="10"/>
      <c r="GXM45" s="10"/>
      <c r="GXN45" s="10"/>
      <c r="GXO45" s="10"/>
      <c r="GXP45" s="10"/>
      <c r="GXQ45" s="10"/>
      <c r="GXR45" s="10"/>
      <c r="GXS45" s="10"/>
      <c r="GXT45" s="10"/>
      <c r="GXU45" s="10"/>
      <c r="GXV45" s="10"/>
      <c r="GXW45" s="10"/>
      <c r="GXX45" s="10"/>
      <c r="GXY45" s="10"/>
      <c r="GXZ45" s="10"/>
      <c r="GYA45" s="10"/>
      <c r="GYB45" s="10"/>
      <c r="GYC45" s="10"/>
      <c r="GYD45" s="10"/>
      <c r="GYE45" s="10"/>
      <c r="GYF45" s="10"/>
      <c r="GYG45" s="10"/>
      <c r="GYH45" s="10"/>
      <c r="GYI45" s="10"/>
      <c r="GYJ45" s="10"/>
      <c r="GYK45" s="10"/>
      <c r="GYL45" s="10"/>
      <c r="GYM45" s="10"/>
      <c r="GYN45" s="10"/>
      <c r="GYO45" s="10"/>
      <c r="GYP45" s="10"/>
      <c r="GYQ45" s="10"/>
      <c r="GYR45" s="10"/>
      <c r="GYS45" s="10"/>
      <c r="GYT45" s="10"/>
      <c r="GYU45" s="10"/>
      <c r="GYV45" s="10"/>
      <c r="GYW45" s="10"/>
      <c r="GYX45" s="10"/>
      <c r="GYY45" s="10"/>
      <c r="GYZ45" s="10"/>
      <c r="GZA45" s="10"/>
      <c r="GZB45" s="10"/>
      <c r="GZC45" s="10"/>
      <c r="GZD45" s="10"/>
      <c r="GZE45" s="10"/>
      <c r="GZF45" s="10"/>
      <c r="GZG45" s="10"/>
      <c r="GZH45" s="10"/>
      <c r="GZI45" s="10"/>
      <c r="GZJ45" s="10"/>
      <c r="GZK45" s="10"/>
      <c r="GZL45" s="10"/>
      <c r="GZM45" s="10"/>
      <c r="GZN45" s="10"/>
      <c r="GZO45" s="10"/>
      <c r="GZP45" s="10"/>
      <c r="GZQ45" s="10"/>
      <c r="GZR45" s="10"/>
      <c r="GZS45" s="10"/>
      <c r="GZT45" s="10"/>
      <c r="GZU45" s="10"/>
      <c r="GZV45" s="10"/>
      <c r="GZW45" s="10"/>
      <c r="GZX45" s="10"/>
      <c r="GZY45" s="10"/>
      <c r="GZZ45" s="10"/>
      <c r="HAA45" s="10"/>
      <c r="HAB45" s="10"/>
      <c r="HAC45" s="10"/>
      <c r="HAD45" s="10"/>
      <c r="HAE45" s="10"/>
      <c r="HAF45" s="10"/>
      <c r="HAG45" s="10"/>
      <c r="HAH45" s="10"/>
      <c r="HAI45" s="10"/>
      <c r="HAJ45" s="10"/>
      <c r="HAK45" s="10"/>
      <c r="HAL45" s="10"/>
      <c r="HAM45" s="10"/>
      <c r="HAN45" s="10"/>
      <c r="HAO45" s="10"/>
      <c r="HAP45" s="10"/>
      <c r="HAQ45" s="10"/>
      <c r="HAR45" s="10"/>
      <c r="HAS45" s="10"/>
      <c r="HAT45" s="10"/>
      <c r="HAU45" s="10"/>
      <c r="HAV45" s="10"/>
      <c r="HAW45" s="10"/>
      <c r="HAX45" s="10"/>
      <c r="HAY45" s="10"/>
      <c r="HAZ45" s="10"/>
      <c r="HBA45" s="10"/>
      <c r="HBB45" s="10"/>
      <c r="HBC45" s="10"/>
      <c r="HBD45" s="10"/>
      <c r="HBE45" s="10"/>
      <c r="HBF45" s="10"/>
      <c r="HBG45" s="10"/>
      <c r="HBH45" s="10"/>
      <c r="HBI45" s="10"/>
      <c r="HBJ45" s="10"/>
      <c r="HBK45" s="10"/>
      <c r="HBL45" s="10"/>
      <c r="HBM45" s="10"/>
      <c r="HBN45" s="10"/>
      <c r="HBO45" s="10"/>
      <c r="HBP45" s="10"/>
      <c r="HBQ45" s="10"/>
      <c r="HBR45" s="10"/>
      <c r="HBS45" s="10"/>
      <c r="HBT45" s="10"/>
      <c r="HBU45" s="10"/>
      <c r="HBV45" s="10"/>
      <c r="HBW45" s="10"/>
      <c r="HBX45" s="10"/>
      <c r="HBY45" s="10"/>
      <c r="HBZ45" s="10"/>
      <c r="HCA45" s="10"/>
      <c r="HCB45" s="10"/>
      <c r="HCC45" s="10"/>
      <c r="HCD45" s="10"/>
      <c r="HCE45" s="10"/>
      <c r="HCF45" s="10"/>
      <c r="HCG45" s="10"/>
      <c r="HCH45" s="10"/>
      <c r="HCI45" s="10"/>
      <c r="HCJ45" s="10"/>
      <c r="HCK45" s="10"/>
      <c r="HCL45" s="10"/>
      <c r="HCM45" s="10"/>
      <c r="HCN45" s="10"/>
      <c r="HCO45" s="10"/>
      <c r="HCP45" s="10"/>
      <c r="HCQ45" s="10"/>
      <c r="HCR45" s="10"/>
      <c r="HCS45" s="10"/>
      <c r="HCT45" s="10"/>
      <c r="HCU45" s="10"/>
      <c r="HCV45" s="10"/>
      <c r="HCW45" s="10"/>
      <c r="HCX45" s="10"/>
      <c r="HCY45" s="10"/>
      <c r="HCZ45" s="10"/>
      <c r="HDA45" s="10"/>
      <c r="HDB45" s="10"/>
      <c r="HDC45" s="10"/>
      <c r="HDD45" s="10"/>
      <c r="HDE45" s="10"/>
      <c r="HDF45" s="10"/>
      <c r="HDG45" s="10"/>
      <c r="HDH45" s="10"/>
      <c r="HDI45" s="10"/>
      <c r="HDJ45" s="10"/>
      <c r="HDK45" s="10"/>
      <c r="HDL45" s="10"/>
      <c r="HDM45" s="10"/>
      <c r="HDN45" s="10"/>
      <c r="HDO45" s="10"/>
      <c r="HDP45" s="10"/>
      <c r="HDQ45" s="10"/>
      <c r="HDR45" s="10"/>
      <c r="HDS45" s="10"/>
      <c r="HDT45" s="10"/>
      <c r="HDU45" s="10"/>
      <c r="HDV45" s="10"/>
      <c r="HDW45" s="10"/>
      <c r="HDX45" s="10"/>
      <c r="HDY45" s="10"/>
      <c r="HDZ45" s="10"/>
      <c r="HEA45" s="10"/>
      <c r="HEB45" s="10"/>
      <c r="HEC45" s="10"/>
      <c r="HED45" s="10"/>
      <c r="HEE45" s="10"/>
      <c r="HEF45" s="10"/>
      <c r="HEG45" s="10"/>
      <c r="HEH45" s="10"/>
      <c r="HEI45" s="10"/>
      <c r="HEJ45" s="10"/>
      <c r="HEK45" s="10"/>
      <c r="HEL45" s="10"/>
      <c r="HEM45" s="10"/>
      <c r="HEN45" s="10"/>
      <c r="HEO45" s="10"/>
      <c r="HEP45" s="10"/>
      <c r="HEQ45" s="10"/>
      <c r="HER45" s="10"/>
      <c r="HES45" s="10"/>
      <c r="HET45" s="10"/>
      <c r="HEU45" s="10"/>
      <c r="HEV45" s="10"/>
      <c r="HEW45" s="10"/>
      <c r="HEX45" s="10"/>
      <c r="HEY45" s="10"/>
      <c r="HEZ45" s="10"/>
      <c r="HFA45" s="10"/>
      <c r="HFB45" s="10"/>
      <c r="HFC45" s="10"/>
      <c r="HFD45" s="10"/>
      <c r="HFE45" s="10"/>
      <c r="HFF45" s="10"/>
      <c r="HFG45" s="10"/>
      <c r="HFH45" s="10"/>
      <c r="HFI45" s="10"/>
      <c r="HFJ45" s="10"/>
      <c r="HFK45" s="10"/>
      <c r="HFL45" s="10"/>
      <c r="HFM45" s="10"/>
      <c r="HFN45" s="10"/>
      <c r="HFO45" s="10"/>
      <c r="HFP45" s="10"/>
      <c r="HFQ45" s="10"/>
      <c r="HFR45" s="10"/>
      <c r="HFS45" s="10"/>
      <c r="HFT45" s="10"/>
      <c r="HFU45" s="10"/>
      <c r="HFV45" s="10"/>
      <c r="HFW45" s="10"/>
      <c r="HFX45" s="10"/>
      <c r="HFY45" s="10"/>
      <c r="HFZ45" s="10"/>
      <c r="HGA45" s="10"/>
      <c r="HGB45" s="10"/>
      <c r="HGC45" s="10"/>
      <c r="HGD45" s="10"/>
      <c r="HGE45" s="10"/>
      <c r="HGF45" s="10"/>
      <c r="HGG45" s="10"/>
      <c r="HGH45" s="10"/>
      <c r="HGI45" s="10"/>
      <c r="HGJ45" s="10"/>
      <c r="HGK45" s="10"/>
      <c r="HGL45" s="10"/>
      <c r="HGM45" s="10"/>
      <c r="HGN45" s="10"/>
      <c r="HGO45" s="10"/>
      <c r="HGP45" s="10"/>
      <c r="HGQ45" s="10"/>
      <c r="HGR45" s="10"/>
      <c r="HGS45" s="10"/>
      <c r="HGT45" s="10"/>
      <c r="HGU45" s="10"/>
      <c r="HGV45" s="10"/>
      <c r="HGW45" s="10"/>
      <c r="HGX45" s="10"/>
      <c r="HGY45" s="10"/>
      <c r="HGZ45" s="10"/>
      <c r="HHA45" s="10"/>
      <c r="HHB45" s="10"/>
      <c r="HHC45" s="10"/>
      <c r="HHD45" s="10"/>
      <c r="HHE45" s="10"/>
      <c r="HHF45" s="10"/>
      <c r="HHG45" s="10"/>
      <c r="HHH45" s="10"/>
      <c r="HHI45" s="10"/>
      <c r="HHJ45" s="10"/>
      <c r="HHK45" s="10"/>
      <c r="HHL45" s="10"/>
      <c r="HHM45" s="10"/>
      <c r="HHN45" s="10"/>
      <c r="HHO45" s="10"/>
      <c r="HHP45" s="10"/>
      <c r="HHQ45" s="10"/>
      <c r="HHR45" s="10"/>
      <c r="HHS45" s="10"/>
      <c r="HHT45" s="10"/>
      <c r="HHU45" s="10"/>
      <c r="HHV45" s="10"/>
      <c r="HHW45" s="10"/>
      <c r="HHX45" s="10"/>
      <c r="HHY45" s="10"/>
      <c r="HHZ45" s="10"/>
      <c r="HIA45" s="10"/>
      <c r="HIB45" s="10"/>
      <c r="HIC45" s="10"/>
      <c r="HID45" s="10"/>
      <c r="HIE45" s="10"/>
      <c r="HIF45" s="10"/>
      <c r="HIG45" s="10"/>
      <c r="HIH45" s="10"/>
      <c r="HII45" s="10"/>
      <c r="HIJ45" s="10"/>
      <c r="HIK45" s="10"/>
      <c r="HIL45" s="10"/>
      <c r="HIM45" s="10"/>
      <c r="HIN45" s="10"/>
      <c r="HIO45" s="10"/>
      <c r="HIP45" s="10"/>
      <c r="HIQ45" s="10"/>
      <c r="HIR45" s="10"/>
      <c r="HIS45" s="10"/>
      <c r="HIT45" s="10"/>
      <c r="HIU45" s="10"/>
      <c r="HIV45" s="10"/>
      <c r="HIW45" s="10"/>
      <c r="HIX45" s="10"/>
      <c r="HIY45" s="10"/>
      <c r="HIZ45" s="10"/>
      <c r="HJA45" s="10"/>
      <c r="HJB45" s="10"/>
      <c r="HJC45" s="10"/>
      <c r="HJD45" s="10"/>
      <c r="HJE45" s="10"/>
      <c r="HJF45" s="10"/>
      <c r="HJG45" s="10"/>
      <c r="HJH45" s="10"/>
      <c r="HJI45" s="10"/>
      <c r="HJJ45" s="10"/>
      <c r="HJK45" s="10"/>
      <c r="HJL45" s="10"/>
      <c r="HJM45" s="10"/>
      <c r="HJN45" s="10"/>
      <c r="HJO45" s="10"/>
      <c r="HJP45" s="10"/>
      <c r="HJQ45" s="10"/>
      <c r="HJR45" s="10"/>
      <c r="HJS45" s="10"/>
      <c r="HJT45" s="10"/>
      <c r="HJU45" s="10"/>
      <c r="HJV45" s="10"/>
      <c r="HJW45" s="10"/>
      <c r="HJX45" s="10"/>
      <c r="HJY45" s="10"/>
      <c r="HJZ45" s="10"/>
      <c r="HKA45" s="10"/>
      <c r="HKB45" s="10"/>
      <c r="HKC45" s="10"/>
      <c r="HKD45" s="10"/>
      <c r="HKE45" s="10"/>
      <c r="HKF45" s="10"/>
      <c r="HKG45" s="10"/>
      <c r="HKH45" s="10"/>
      <c r="HKI45" s="10"/>
      <c r="HKJ45" s="10"/>
      <c r="HKK45" s="10"/>
      <c r="HKL45" s="10"/>
      <c r="HKM45" s="10"/>
      <c r="HKN45" s="10"/>
      <c r="HKO45" s="10"/>
      <c r="HKP45" s="10"/>
      <c r="HKQ45" s="10"/>
      <c r="HKR45" s="10"/>
      <c r="HKS45" s="10"/>
      <c r="HKT45" s="10"/>
      <c r="HKU45" s="10"/>
      <c r="HKV45" s="10"/>
      <c r="HKW45" s="10"/>
      <c r="HKX45" s="10"/>
      <c r="HKY45" s="10"/>
      <c r="HKZ45" s="10"/>
      <c r="HLA45" s="10"/>
      <c r="HLB45" s="10"/>
      <c r="HLC45" s="10"/>
      <c r="HLD45" s="10"/>
      <c r="HLE45" s="10"/>
      <c r="HLF45" s="10"/>
      <c r="HLG45" s="10"/>
      <c r="HLH45" s="10"/>
      <c r="HLI45" s="10"/>
      <c r="HLJ45" s="10"/>
      <c r="HLK45" s="10"/>
      <c r="HLL45" s="10"/>
      <c r="HLM45" s="10"/>
      <c r="HLN45" s="10"/>
      <c r="HLO45" s="10"/>
      <c r="HLP45" s="10"/>
      <c r="HLQ45" s="10"/>
      <c r="HLR45" s="10"/>
      <c r="HLS45" s="10"/>
      <c r="HLT45" s="10"/>
      <c r="HLU45" s="10"/>
      <c r="HLV45" s="10"/>
      <c r="HLW45" s="10"/>
      <c r="HLX45" s="10"/>
      <c r="HLY45" s="10"/>
      <c r="HLZ45" s="10"/>
      <c r="HMA45" s="10"/>
      <c r="HMB45" s="10"/>
      <c r="HMC45" s="10"/>
      <c r="HMD45" s="10"/>
      <c r="HME45" s="10"/>
      <c r="HMF45" s="10"/>
      <c r="HMG45" s="10"/>
      <c r="HMH45" s="10"/>
      <c r="HMI45" s="10"/>
      <c r="HMJ45" s="10"/>
      <c r="HMK45" s="10"/>
      <c r="HML45" s="10"/>
      <c r="HMM45" s="10"/>
      <c r="HMN45" s="10"/>
      <c r="HMO45" s="10"/>
      <c r="HMP45" s="10"/>
      <c r="HMQ45" s="10"/>
      <c r="HMR45" s="10"/>
      <c r="HMS45" s="10"/>
      <c r="HMT45" s="10"/>
      <c r="HMU45" s="10"/>
      <c r="HMV45" s="10"/>
      <c r="HMW45" s="10"/>
      <c r="HMX45" s="10"/>
      <c r="HMY45" s="10"/>
      <c r="HMZ45" s="10"/>
      <c r="HNA45" s="10"/>
      <c r="HNB45" s="10"/>
      <c r="HNC45" s="10"/>
      <c r="HND45" s="10"/>
      <c r="HNE45" s="10"/>
      <c r="HNF45" s="10"/>
      <c r="HNG45" s="10"/>
      <c r="HNH45" s="10"/>
      <c r="HNI45" s="10"/>
      <c r="HNJ45" s="10"/>
      <c r="HNK45" s="10"/>
      <c r="HNL45" s="10"/>
      <c r="HNM45" s="10"/>
      <c r="HNN45" s="10"/>
      <c r="HNO45" s="10"/>
      <c r="HNP45" s="10"/>
      <c r="HNQ45" s="10"/>
      <c r="HNR45" s="10"/>
      <c r="HNS45" s="10"/>
      <c r="HNT45" s="10"/>
      <c r="HNU45" s="10"/>
      <c r="HNV45" s="10"/>
      <c r="HNW45" s="10"/>
      <c r="HNX45" s="10"/>
      <c r="HNY45" s="10"/>
      <c r="HNZ45" s="10"/>
      <c r="HOA45" s="10"/>
      <c r="HOB45" s="10"/>
      <c r="HOC45" s="10"/>
      <c r="HOD45" s="10"/>
      <c r="HOE45" s="10"/>
      <c r="HOF45" s="10"/>
      <c r="HOG45" s="10"/>
      <c r="HOH45" s="10"/>
      <c r="HOI45" s="10"/>
      <c r="HOJ45" s="10"/>
      <c r="HOK45" s="10"/>
      <c r="HOL45" s="10"/>
      <c r="HOM45" s="10"/>
      <c r="HON45" s="10"/>
      <c r="HOO45" s="10"/>
      <c r="HOP45" s="10"/>
      <c r="HOQ45" s="10"/>
      <c r="HOR45" s="10"/>
      <c r="HOS45" s="10"/>
      <c r="HOT45" s="10"/>
      <c r="HOU45" s="10"/>
      <c r="HOV45" s="10"/>
      <c r="HOW45" s="10"/>
      <c r="HOX45" s="10"/>
      <c r="HOY45" s="10"/>
      <c r="HOZ45" s="10"/>
      <c r="HPA45" s="10"/>
      <c r="HPB45" s="10"/>
      <c r="HPC45" s="10"/>
      <c r="HPD45" s="10"/>
      <c r="HPE45" s="10"/>
      <c r="HPF45" s="10"/>
      <c r="HPG45" s="10"/>
      <c r="HPH45" s="10"/>
      <c r="HPI45" s="10"/>
      <c r="HPJ45" s="10"/>
      <c r="HPK45" s="10"/>
      <c r="HPL45" s="10"/>
      <c r="HPM45" s="10"/>
      <c r="HPN45" s="10"/>
      <c r="HPO45" s="10"/>
      <c r="HPP45" s="10"/>
      <c r="HPQ45" s="10"/>
      <c r="HPR45" s="10"/>
      <c r="HPS45" s="10"/>
      <c r="HPT45" s="10"/>
      <c r="HPU45" s="10"/>
      <c r="HPV45" s="10"/>
      <c r="HPW45" s="10"/>
      <c r="HPX45" s="10"/>
      <c r="HPY45" s="10"/>
      <c r="HPZ45" s="10"/>
      <c r="HQA45" s="10"/>
      <c r="HQB45" s="10"/>
      <c r="HQC45" s="10"/>
      <c r="HQD45" s="10"/>
      <c r="HQE45" s="10"/>
      <c r="HQF45" s="10"/>
      <c r="HQG45" s="10"/>
      <c r="HQH45" s="10"/>
      <c r="HQI45" s="10"/>
      <c r="HQJ45" s="10"/>
      <c r="HQK45" s="10"/>
      <c r="HQL45" s="10"/>
      <c r="HQM45" s="10"/>
      <c r="HQN45" s="10"/>
      <c r="HQO45" s="10"/>
      <c r="HQP45" s="10"/>
      <c r="HQQ45" s="10"/>
      <c r="HQR45" s="10"/>
      <c r="HQS45" s="10"/>
      <c r="HQT45" s="10"/>
      <c r="HQU45" s="10"/>
      <c r="HQV45" s="10"/>
      <c r="HQW45" s="10"/>
      <c r="HQX45" s="10"/>
      <c r="HQY45" s="10"/>
      <c r="HQZ45" s="10"/>
      <c r="HRA45" s="10"/>
      <c r="HRB45" s="10"/>
      <c r="HRC45" s="10"/>
      <c r="HRD45" s="10"/>
      <c r="HRE45" s="10"/>
      <c r="HRF45" s="10"/>
      <c r="HRG45" s="10"/>
      <c r="HRH45" s="10"/>
      <c r="HRI45" s="10"/>
      <c r="HRJ45" s="10"/>
      <c r="HRK45" s="10"/>
      <c r="HRL45" s="10"/>
      <c r="HRM45" s="10"/>
      <c r="HRN45" s="10"/>
      <c r="HRO45" s="10"/>
      <c r="HRP45" s="10"/>
      <c r="HRQ45" s="10"/>
      <c r="HRR45" s="10"/>
      <c r="HRS45" s="10"/>
      <c r="HRT45" s="10"/>
      <c r="HRU45" s="10"/>
      <c r="HRV45" s="10"/>
      <c r="HRW45" s="10"/>
      <c r="HRX45" s="10"/>
      <c r="HRY45" s="10"/>
      <c r="HRZ45" s="10"/>
      <c r="HSA45" s="10"/>
      <c r="HSB45" s="10"/>
      <c r="HSC45" s="10"/>
      <c r="HSD45" s="10"/>
      <c r="HSE45" s="10"/>
      <c r="HSF45" s="10"/>
      <c r="HSG45" s="10"/>
      <c r="HSH45" s="10"/>
      <c r="HSI45" s="10"/>
      <c r="HSJ45" s="10"/>
      <c r="HSK45" s="10"/>
      <c r="HSL45" s="10"/>
      <c r="HSM45" s="10"/>
      <c r="HSN45" s="10"/>
      <c r="HSO45" s="10"/>
      <c r="HSP45" s="10"/>
      <c r="HSQ45" s="10"/>
      <c r="HSR45" s="10"/>
      <c r="HSS45" s="10"/>
      <c r="HST45" s="10"/>
      <c r="HSU45" s="10"/>
      <c r="HSV45" s="10"/>
      <c r="HSW45" s="10"/>
      <c r="HSX45" s="10"/>
      <c r="HSY45" s="10"/>
      <c r="HSZ45" s="10"/>
      <c r="HTA45" s="10"/>
      <c r="HTB45" s="10"/>
      <c r="HTC45" s="10"/>
      <c r="HTD45" s="10"/>
      <c r="HTE45" s="10"/>
      <c r="HTF45" s="10"/>
      <c r="HTG45" s="10"/>
      <c r="HTH45" s="10"/>
      <c r="HTI45" s="10"/>
      <c r="HTJ45" s="10"/>
      <c r="HTK45" s="10"/>
      <c r="HTL45" s="10"/>
      <c r="HTM45" s="10"/>
      <c r="HTN45" s="10"/>
      <c r="HTO45" s="10"/>
      <c r="HTP45" s="10"/>
      <c r="HTQ45" s="10"/>
      <c r="HTR45" s="10"/>
      <c r="HTS45" s="10"/>
      <c r="HTT45" s="10"/>
      <c r="HTU45" s="10"/>
      <c r="HTV45" s="10"/>
      <c r="HTW45" s="10"/>
      <c r="HTX45" s="10"/>
      <c r="HTY45" s="10"/>
      <c r="HTZ45" s="10"/>
      <c r="HUA45" s="10"/>
      <c r="HUB45" s="10"/>
      <c r="HUC45" s="10"/>
      <c r="HUD45" s="10"/>
      <c r="HUE45" s="10"/>
      <c r="HUF45" s="10"/>
      <c r="HUG45" s="10"/>
      <c r="HUH45" s="10"/>
      <c r="HUI45" s="10"/>
      <c r="HUJ45" s="10"/>
      <c r="HUK45" s="10"/>
      <c r="HUL45" s="10"/>
      <c r="HUM45" s="10"/>
      <c r="HUN45" s="10"/>
      <c r="HUO45" s="10"/>
      <c r="HUP45" s="10"/>
      <c r="HUQ45" s="10"/>
      <c r="HUR45" s="10"/>
      <c r="HUS45" s="10"/>
      <c r="HUT45" s="10"/>
      <c r="HUU45" s="10"/>
      <c r="HUV45" s="10"/>
      <c r="HUW45" s="10"/>
      <c r="HUX45" s="10"/>
      <c r="HUY45" s="10"/>
      <c r="HUZ45" s="10"/>
      <c r="HVA45" s="10"/>
      <c r="HVB45" s="10"/>
      <c r="HVC45" s="10"/>
      <c r="HVD45" s="10"/>
      <c r="HVE45" s="10"/>
      <c r="HVF45" s="10"/>
      <c r="HVG45" s="10"/>
      <c r="HVH45" s="10"/>
      <c r="HVI45" s="10"/>
      <c r="HVJ45" s="10"/>
      <c r="HVK45" s="10"/>
      <c r="HVL45" s="10"/>
      <c r="HVM45" s="10"/>
      <c r="HVN45" s="10"/>
      <c r="HVO45" s="10"/>
      <c r="HVP45" s="10"/>
      <c r="HVQ45" s="10"/>
      <c r="HVR45" s="10"/>
      <c r="HVS45" s="10"/>
      <c r="HVT45" s="10"/>
      <c r="HVU45" s="10"/>
      <c r="HVV45" s="10"/>
      <c r="HVW45" s="10"/>
      <c r="HVX45" s="10"/>
      <c r="HVY45" s="10"/>
      <c r="HVZ45" s="10"/>
      <c r="HWA45" s="10"/>
      <c r="HWB45" s="10"/>
      <c r="HWC45" s="10"/>
      <c r="HWD45" s="10"/>
      <c r="HWE45" s="10"/>
      <c r="HWF45" s="10"/>
      <c r="HWG45" s="10"/>
      <c r="HWH45" s="10"/>
      <c r="HWI45" s="10"/>
      <c r="HWJ45" s="10"/>
      <c r="HWK45" s="10"/>
      <c r="HWL45" s="10"/>
      <c r="HWM45" s="10"/>
      <c r="HWN45" s="10"/>
      <c r="HWO45" s="10"/>
      <c r="HWP45" s="10"/>
      <c r="HWQ45" s="10"/>
      <c r="HWR45" s="10"/>
      <c r="HWS45" s="10"/>
      <c r="HWT45" s="10"/>
      <c r="HWU45" s="10"/>
      <c r="HWV45" s="10"/>
      <c r="HWW45" s="10"/>
      <c r="HWX45" s="10"/>
      <c r="HWY45" s="10"/>
      <c r="HWZ45" s="10"/>
      <c r="HXA45" s="10"/>
      <c r="HXB45" s="10"/>
      <c r="HXC45" s="10"/>
      <c r="HXD45" s="10"/>
      <c r="HXE45" s="10"/>
      <c r="HXF45" s="10"/>
      <c r="HXG45" s="10"/>
      <c r="HXH45" s="10"/>
      <c r="HXI45" s="10"/>
      <c r="HXJ45" s="10"/>
      <c r="HXK45" s="10"/>
      <c r="HXL45" s="10"/>
      <c r="HXM45" s="10"/>
      <c r="HXN45" s="10"/>
      <c r="HXO45" s="10"/>
      <c r="HXP45" s="10"/>
      <c r="HXQ45" s="10"/>
      <c r="HXR45" s="10"/>
      <c r="HXS45" s="10"/>
      <c r="HXT45" s="10"/>
      <c r="HXU45" s="10"/>
      <c r="HXV45" s="10"/>
      <c r="HXW45" s="10"/>
      <c r="HXX45" s="10"/>
      <c r="HXY45" s="10"/>
      <c r="HXZ45" s="10"/>
      <c r="HYA45" s="10"/>
      <c r="HYB45" s="10"/>
      <c r="HYC45" s="10"/>
      <c r="HYD45" s="10"/>
      <c r="HYE45" s="10"/>
      <c r="HYF45" s="10"/>
      <c r="HYG45" s="10"/>
      <c r="HYH45" s="10"/>
      <c r="HYI45" s="10"/>
      <c r="HYJ45" s="10"/>
      <c r="HYK45" s="10"/>
      <c r="HYL45" s="10"/>
      <c r="HYM45" s="10"/>
      <c r="HYN45" s="10"/>
      <c r="HYO45" s="10"/>
      <c r="HYP45" s="10"/>
      <c r="HYQ45" s="10"/>
      <c r="HYR45" s="10"/>
      <c r="HYS45" s="10"/>
      <c r="HYT45" s="10"/>
      <c r="HYU45" s="10"/>
      <c r="HYV45" s="10"/>
      <c r="HYW45" s="10"/>
      <c r="HYX45" s="10"/>
      <c r="HYY45" s="10"/>
      <c r="HYZ45" s="10"/>
      <c r="HZA45" s="10"/>
      <c r="HZB45" s="10"/>
      <c r="HZC45" s="10"/>
      <c r="HZD45" s="10"/>
      <c r="HZE45" s="10"/>
      <c r="HZF45" s="10"/>
      <c r="HZG45" s="10"/>
      <c r="HZH45" s="10"/>
      <c r="HZI45" s="10"/>
      <c r="HZJ45" s="10"/>
      <c r="HZK45" s="10"/>
      <c r="HZL45" s="10"/>
      <c r="HZM45" s="10"/>
      <c r="HZN45" s="10"/>
      <c r="HZO45" s="10"/>
      <c r="HZP45" s="10"/>
      <c r="HZQ45" s="10"/>
      <c r="HZR45" s="10"/>
      <c r="HZS45" s="10"/>
      <c r="HZT45" s="10"/>
      <c r="HZU45" s="10"/>
      <c r="HZV45" s="10"/>
      <c r="HZW45" s="10"/>
      <c r="HZX45" s="10"/>
      <c r="HZY45" s="10"/>
      <c r="HZZ45" s="10"/>
      <c r="IAA45" s="10"/>
      <c r="IAB45" s="10"/>
      <c r="IAC45" s="10"/>
      <c r="IAD45" s="10"/>
      <c r="IAE45" s="10"/>
      <c r="IAF45" s="10"/>
      <c r="IAG45" s="10"/>
      <c r="IAH45" s="10"/>
      <c r="IAI45" s="10"/>
      <c r="IAJ45" s="10"/>
      <c r="IAK45" s="10"/>
      <c r="IAL45" s="10"/>
      <c r="IAM45" s="10"/>
      <c r="IAN45" s="10"/>
      <c r="IAO45" s="10"/>
      <c r="IAP45" s="10"/>
      <c r="IAQ45" s="10"/>
      <c r="IAR45" s="10"/>
      <c r="IAS45" s="10"/>
      <c r="IAT45" s="10"/>
      <c r="IAU45" s="10"/>
      <c r="IAV45" s="10"/>
      <c r="IAW45" s="10"/>
      <c r="IAX45" s="10"/>
      <c r="IAY45" s="10"/>
      <c r="IAZ45" s="10"/>
      <c r="IBA45" s="10"/>
      <c r="IBB45" s="10"/>
      <c r="IBC45" s="10"/>
      <c r="IBD45" s="10"/>
      <c r="IBE45" s="10"/>
      <c r="IBF45" s="10"/>
      <c r="IBG45" s="10"/>
      <c r="IBH45" s="10"/>
      <c r="IBI45" s="10"/>
      <c r="IBJ45" s="10"/>
      <c r="IBK45" s="10"/>
      <c r="IBL45" s="10"/>
      <c r="IBM45" s="10"/>
      <c r="IBN45" s="10"/>
      <c r="IBO45" s="10"/>
      <c r="IBP45" s="10"/>
      <c r="IBQ45" s="10"/>
      <c r="IBR45" s="10"/>
      <c r="IBS45" s="10"/>
      <c r="IBT45" s="10"/>
      <c r="IBU45" s="10"/>
      <c r="IBV45" s="10"/>
      <c r="IBW45" s="10"/>
      <c r="IBX45" s="10"/>
      <c r="IBY45" s="10"/>
      <c r="IBZ45" s="10"/>
      <c r="ICA45" s="10"/>
      <c r="ICB45" s="10"/>
      <c r="ICC45" s="10"/>
      <c r="ICD45" s="10"/>
      <c r="ICE45" s="10"/>
      <c r="ICF45" s="10"/>
      <c r="ICG45" s="10"/>
      <c r="ICH45" s="10"/>
      <c r="ICI45" s="10"/>
      <c r="ICJ45" s="10"/>
      <c r="ICK45" s="10"/>
      <c r="ICL45" s="10"/>
      <c r="ICM45" s="10"/>
      <c r="ICN45" s="10"/>
      <c r="ICO45" s="10"/>
      <c r="ICP45" s="10"/>
      <c r="ICQ45" s="10"/>
      <c r="ICR45" s="10"/>
      <c r="ICS45" s="10"/>
      <c r="ICT45" s="10"/>
      <c r="ICU45" s="10"/>
      <c r="ICV45" s="10"/>
      <c r="ICW45" s="10"/>
      <c r="ICX45" s="10"/>
      <c r="ICY45" s="10"/>
      <c r="ICZ45" s="10"/>
      <c r="IDA45" s="10"/>
      <c r="IDB45" s="10"/>
      <c r="IDC45" s="10"/>
      <c r="IDD45" s="10"/>
      <c r="IDE45" s="10"/>
      <c r="IDF45" s="10"/>
      <c r="IDG45" s="10"/>
      <c r="IDH45" s="10"/>
      <c r="IDI45" s="10"/>
      <c r="IDJ45" s="10"/>
      <c r="IDK45" s="10"/>
      <c r="IDL45" s="10"/>
      <c r="IDM45" s="10"/>
      <c r="IDN45" s="10"/>
      <c r="IDO45" s="10"/>
      <c r="IDP45" s="10"/>
      <c r="IDQ45" s="10"/>
      <c r="IDR45" s="10"/>
      <c r="IDS45" s="10"/>
      <c r="IDT45" s="10"/>
      <c r="IDU45" s="10"/>
      <c r="IDV45" s="10"/>
      <c r="IDW45" s="10"/>
      <c r="IDX45" s="10"/>
      <c r="IDY45" s="10"/>
      <c r="IDZ45" s="10"/>
      <c r="IEA45" s="10"/>
      <c r="IEB45" s="10"/>
      <c r="IEC45" s="10"/>
      <c r="IED45" s="10"/>
      <c r="IEE45" s="10"/>
      <c r="IEF45" s="10"/>
      <c r="IEG45" s="10"/>
      <c r="IEH45" s="10"/>
      <c r="IEI45" s="10"/>
      <c r="IEJ45" s="10"/>
      <c r="IEK45" s="10"/>
      <c r="IEL45" s="10"/>
      <c r="IEM45" s="10"/>
      <c r="IEN45" s="10"/>
      <c r="IEO45" s="10"/>
      <c r="IEP45" s="10"/>
      <c r="IEQ45" s="10"/>
      <c r="IER45" s="10"/>
      <c r="IES45" s="10"/>
      <c r="IET45" s="10"/>
      <c r="IEU45" s="10"/>
      <c r="IEV45" s="10"/>
      <c r="IEW45" s="10"/>
      <c r="IEX45" s="10"/>
      <c r="IEY45" s="10"/>
      <c r="IEZ45" s="10"/>
      <c r="IFA45" s="10"/>
      <c r="IFB45" s="10"/>
      <c r="IFC45" s="10"/>
      <c r="IFD45" s="10"/>
      <c r="IFE45" s="10"/>
      <c r="IFF45" s="10"/>
      <c r="IFG45" s="10"/>
      <c r="IFH45" s="10"/>
      <c r="IFI45" s="10"/>
      <c r="IFJ45" s="10"/>
      <c r="IFK45" s="10"/>
      <c r="IFL45" s="10"/>
      <c r="IFM45" s="10"/>
      <c r="IFN45" s="10"/>
      <c r="IFO45" s="10"/>
      <c r="IFP45" s="10"/>
      <c r="IFQ45" s="10"/>
      <c r="IFR45" s="10"/>
      <c r="IFS45" s="10"/>
      <c r="IFT45" s="10"/>
      <c r="IFU45" s="10"/>
      <c r="IFV45" s="10"/>
      <c r="IFW45" s="10"/>
      <c r="IFX45" s="10"/>
      <c r="IFY45" s="10"/>
      <c r="IFZ45" s="10"/>
      <c r="IGA45" s="10"/>
      <c r="IGB45" s="10"/>
      <c r="IGC45" s="10"/>
      <c r="IGD45" s="10"/>
      <c r="IGE45" s="10"/>
      <c r="IGF45" s="10"/>
      <c r="IGG45" s="10"/>
      <c r="IGH45" s="10"/>
      <c r="IGI45" s="10"/>
      <c r="IGJ45" s="10"/>
      <c r="IGK45" s="10"/>
      <c r="IGL45" s="10"/>
      <c r="IGM45" s="10"/>
      <c r="IGN45" s="10"/>
      <c r="IGO45" s="10"/>
      <c r="IGP45" s="10"/>
      <c r="IGQ45" s="10"/>
      <c r="IGR45" s="10"/>
      <c r="IGS45" s="10"/>
      <c r="IGT45" s="10"/>
      <c r="IGU45" s="10"/>
      <c r="IGV45" s="10"/>
      <c r="IGW45" s="10"/>
      <c r="IGX45" s="10"/>
      <c r="IGY45" s="10"/>
      <c r="IGZ45" s="10"/>
      <c r="IHA45" s="10"/>
      <c r="IHB45" s="10"/>
      <c r="IHC45" s="10"/>
      <c r="IHD45" s="10"/>
      <c r="IHE45" s="10"/>
      <c r="IHF45" s="10"/>
      <c r="IHG45" s="10"/>
      <c r="IHH45" s="10"/>
      <c r="IHI45" s="10"/>
      <c r="IHJ45" s="10"/>
      <c r="IHK45" s="10"/>
      <c r="IHL45" s="10"/>
      <c r="IHM45" s="10"/>
      <c r="IHN45" s="10"/>
      <c r="IHO45" s="10"/>
      <c r="IHP45" s="10"/>
      <c r="IHQ45" s="10"/>
      <c r="IHR45" s="10"/>
      <c r="IHS45" s="10"/>
      <c r="IHT45" s="10"/>
      <c r="IHU45" s="10"/>
      <c r="IHV45" s="10"/>
      <c r="IHW45" s="10"/>
      <c r="IHX45" s="10"/>
      <c r="IHY45" s="10"/>
      <c r="IHZ45" s="10"/>
      <c r="IIA45" s="10"/>
      <c r="IIB45" s="10"/>
      <c r="IIC45" s="10"/>
      <c r="IID45" s="10"/>
      <c r="IIE45" s="10"/>
      <c r="IIF45" s="10"/>
      <c r="IIG45" s="10"/>
      <c r="IIH45" s="10"/>
      <c r="III45" s="10"/>
      <c r="IIJ45" s="10"/>
      <c r="IIK45" s="10"/>
      <c r="IIL45" s="10"/>
      <c r="IIM45" s="10"/>
      <c r="IIN45" s="10"/>
      <c r="IIO45" s="10"/>
      <c r="IIP45" s="10"/>
      <c r="IIQ45" s="10"/>
      <c r="IIR45" s="10"/>
      <c r="IIS45" s="10"/>
      <c r="IIT45" s="10"/>
      <c r="IIU45" s="10"/>
      <c r="IIV45" s="10"/>
      <c r="IIW45" s="10"/>
      <c r="IIX45" s="10"/>
      <c r="IIY45" s="10"/>
      <c r="IIZ45" s="10"/>
      <c r="IJA45" s="10"/>
      <c r="IJB45" s="10"/>
      <c r="IJC45" s="10"/>
      <c r="IJD45" s="10"/>
      <c r="IJE45" s="10"/>
      <c r="IJF45" s="10"/>
      <c r="IJG45" s="10"/>
      <c r="IJH45" s="10"/>
      <c r="IJI45" s="10"/>
      <c r="IJJ45" s="10"/>
      <c r="IJK45" s="10"/>
      <c r="IJL45" s="10"/>
      <c r="IJM45" s="10"/>
      <c r="IJN45" s="10"/>
      <c r="IJO45" s="10"/>
      <c r="IJP45" s="10"/>
      <c r="IJQ45" s="10"/>
      <c r="IJR45" s="10"/>
      <c r="IJS45" s="10"/>
      <c r="IJT45" s="10"/>
      <c r="IJU45" s="10"/>
      <c r="IJV45" s="10"/>
      <c r="IJW45" s="10"/>
      <c r="IJX45" s="10"/>
      <c r="IJY45" s="10"/>
      <c r="IJZ45" s="10"/>
      <c r="IKA45" s="10"/>
      <c r="IKB45" s="10"/>
      <c r="IKC45" s="10"/>
      <c r="IKD45" s="10"/>
      <c r="IKE45" s="10"/>
      <c r="IKF45" s="10"/>
      <c r="IKG45" s="10"/>
      <c r="IKH45" s="10"/>
      <c r="IKI45" s="10"/>
      <c r="IKJ45" s="10"/>
      <c r="IKK45" s="10"/>
      <c r="IKL45" s="10"/>
      <c r="IKM45" s="10"/>
      <c r="IKN45" s="10"/>
      <c r="IKO45" s="10"/>
      <c r="IKP45" s="10"/>
      <c r="IKQ45" s="10"/>
      <c r="IKR45" s="10"/>
      <c r="IKS45" s="10"/>
      <c r="IKT45" s="10"/>
      <c r="IKU45" s="10"/>
      <c r="IKV45" s="10"/>
      <c r="IKW45" s="10"/>
      <c r="IKX45" s="10"/>
      <c r="IKY45" s="10"/>
      <c r="IKZ45" s="10"/>
      <c r="ILA45" s="10"/>
      <c r="ILB45" s="10"/>
      <c r="ILC45" s="10"/>
      <c r="ILD45" s="10"/>
      <c r="ILE45" s="10"/>
      <c r="ILF45" s="10"/>
      <c r="ILG45" s="10"/>
      <c r="ILH45" s="10"/>
      <c r="ILI45" s="10"/>
      <c r="ILJ45" s="10"/>
      <c r="ILK45" s="10"/>
      <c r="ILL45" s="10"/>
      <c r="ILM45" s="10"/>
      <c r="ILN45" s="10"/>
      <c r="ILO45" s="10"/>
      <c r="ILP45" s="10"/>
      <c r="ILQ45" s="10"/>
      <c r="ILR45" s="10"/>
      <c r="ILS45" s="10"/>
      <c r="ILT45" s="10"/>
      <c r="ILU45" s="10"/>
      <c r="ILV45" s="10"/>
      <c r="ILW45" s="10"/>
      <c r="ILX45" s="10"/>
      <c r="ILY45" s="10"/>
      <c r="ILZ45" s="10"/>
      <c r="IMA45" s="10"/>
      <c r="IMB45" s="10"/>
      <c r="IMC45" s="10"/>
      <c r="IMD45" s="10"/>
      <c r="IME45" s="10"/>
      <c r="IMF45" s="10"/>
      <c r="IMG45" s="10"/>
      <c r="IMH45" s="10"/>
      <c r="IMI45" s="10"/>
      <c r="IMJ45" s="10"/>
      <c r="IMK45" s="10"/>
      <c r="IML45" s="10"/>
      <c r="IMM45" s="10"/>
      <c r="IMN45" s="10"/>
      <c r="IMO45" s="10"/>
      <c r="IMP45" s="10"/>
      <c r="IMQ45" s="10"/>
      <c r="IMR45" s="10"/>
      <c r="IMS45" s="10"/>
      <c r="IMT45" s="10"/>
      <c r="IMU45" s="10"/>
      <c r="IMV45" s="10"/>
      <c r="IMW45" s="10"/>
      <c r="IMX45" s="10"/>
      <c r="IMY45" s="10"/>
      <c r="IMZ45" s="10"/>
      <c r="INA45" s="10"/>
      <c r="INB45" s="10"/>
      <c r="INC45" s="10"/>
      <c r="IND45" s="10"/>
      <c r="INE45" s="10"/>
      <c r="INF45" s="10"/>
      <c r="ING45" s="10"/>
      <c r="INH45" s="10"/>
      <c r="INI45" s="10"/>
      <c r="INJ45" s="10"/>
      <c r="INK45" s="10"/>
      <c r="INL45" s="10"/>
      <c r="INM45" s="10"/>
      <c r="INN45" s="10"/>
      <c r="INO45" s="10"/>
      <c r="INP45" s="10"/>
      <c r="INQ45" s="10"/>
      <c r="INR45" s="10"/>
      <c r="INS45" s="10"/>
      <c r="INT45" s="10"/>
      <c r="INU45" s="10"/>
      <c r="INV45" s="10"/>
      <c r="INW45" s="10"/>
      <c r="INX45" s="10"/>
      <c r="INY45" s="10"/>
      <c r="INZ45" s="10"/>
      <c r="IOA45" s="10"/>
      <c r="IOB45" s="10"/>
      <c r="IOC45" s="10"/>
      <c r="IOD45" s="10"/>
      <c r="IOE45" s="10"/>
      <c r="IOF45" s="10"/>
      <c r="IOG45" s="10"/>
      <c r="IOH45" s="10"/>
      <c r="IOI45" s="10"/>
      <c r="IOJ45" s="10"/>
      <c r="IOK45" s="10"/>
      <c r="IOL45" s="10"/>
      <c r="IOM45" s="10"/>
      <c r="ION45" s="10"/>
      <c r="IOO45" s="10"/>
      <c r="IOP45" s="10"/>
      <c r="IOQ45" s="10"/>
      <c r="IOR45" s="10"/>
      <c r="IOS45" s="10"/>
      <c r="IOT45" s="10"/>
      <c r="IOU45" s="10"/>
      <c r="IOV45" s="10"/>
      <c r="IOW45" s="10"/>
      <c r="IOX45" s="10"/>
      <c r="IOY45" s="10"/>
      <c r="IOZ45" s="10"/>
      <c r="IPA45" s="10"/>
      <c r="IPB45" s="10"/>
      <c r="IPC45" s="10"/>
      <c r="IPD45" s="10"/>
      <c r="IPE45" s="10"/>
      <c r="IPF45" s="10"/>
      <c r="IPG45" s="10"/>
      <c r="IPH45" s="10"/>
      <c r="IPI45" s="10"/>
      <c r="IPJ45" s="10"/>
      <c r="IPK45" s="10"/>
      <c r="IPL45" s="10"/>
      <c r="IPM45" s="10"/>
      <c r="IPN45" s="10"/>
      <c r="IPO45" s="10"/>
      <c r="IPP45" s="10"/>
      <c r="IPQ45" s="10"/>
      <c r="IPR45" s="10"/>
      <c r="IPS45" s="10"/>
      <c r="IPT45" s="10"/>
      <c r="IPU45" s="10"/>
      <c r="IPV45" s="10"/>
      <c r="IPW45" s="10"/>
      <c r="IPX45" s="10"/>
      <c r="IPY45" s="10"/>
      <c r="IPZ45" s="10"/>
      <c r="IQA45" s="10"/>
      <c r="IQB45" s="10"/>
      <c r="IQC45" s="10"/>
      <c r="IQD45" s="10"/>
      <c r="IQE45" s="10"/>
      <c r="IQF45" s="10"/>
      <c r="IQG45" s="10"/>
      <c r="IQH45" s="10"/>
      <c r="IQI45" s="10"/>
      <c r="IQJ45" s="10"/>
      <c r="IQK45" s="10"/>
      <c r="IQL45" s="10"/>
      <c r="IQM45" s="10"/>
      <c r="IQN45" s="10"/>
      <c r="IQO45" s="10"/>
      <c r="IQP45" s="10"/>
      <c r="IQQ45" s="10"/>
      <c r="IQR45" s="10"/>
      <c r="IQS45" s="10"/>
      <c r="IQT45" s="10"/>
      <c r="IQU45" s="10"/>
      <c r="IQV45" s="10"/>
      <c r="IQW45" s="10"/>
      <c r="IQX45" s="10"/>
      <c r="IQY45" s="10"/>
      <c r="IQZ45" s="10"/>
      <c r="IRA45" s="10"/>
      <c r="IRB45" s="10"/>
      <c r="IRC45" s="10"/>
      <c r="IRD45" s="10"/>
      <c r="IRE45" s="10"/>
      <c r="IRF45" s="10"/>
      <c r="IRG45" s="10"/>
      <c r="IRH45" s="10"/>
      <c r="IRI45" s="10"/>
      <c r="IRJ45" s="10"/>
      <c r="IRK45" s="10"/>
      <c r="IRL45" s="10"/>
      <c r="IRM45" s="10"/>
      <c r="IRN45" s="10"/>
      <c r="IRO45" s="10"/>
      <c r="IRP45" s="10"/>
      <c r="IRQ45" s="10"/>
      <c r="IRR45" s="10"/>
      <c r="IRS45" s="10"/>
      <c r="IRT45" s="10"/>
      <c r="IRU45" s="10"/>
      <c r="IRV45" s="10"/>
      <c r="IRW45" s="10"/>
      <c r="IRX45" s="10"/>
      <c r="IRY45" s="10"/>
      <c r="IRZ45" s="10"/>
      <c r="ISA45" s="10"/>
      <c r="ISB45" s="10"/>
      <c r="ISC45" s="10"/>
      <c r="ISD45" s="10"/>
      <c r="ISE45" s="10"/>
      <c r="ISF45" s="10"/>
      <c r="ISG45" s="10"/>
      <c r="ISH45" s="10"/>
      <c r="ISI45" s="10"/>
      <c r="ISJ45" s="10"/>
      <c r="ISK45" s="10"/>
      <c r="ISL45" s="10"/>
      <c r="ISM45" s="10"/>
      <c r="ISN45" s="10"/>
      <c r="ISO45" s="10"/>
      <c r="ISP45" s="10"/>
      <c r="ISQ45" s="10"/>
      <c r="ISR45" s="10"/>
      <c r="ISS45" s="10"/>
      <c r="IST45" s="10"/>
      <c r="ISU45" s="10"/>
      <c r="ISV45" s="10"/>
      <c r="ISW45" s="10"/>
      <c r="ISX45" s="10"/>
      <c r="ISY45" s="10"/>
      <c r="ISZ45" s="10"/>
      <c r="ITA45" s="10"/>
      <c r="ITB45" s="10"/>
      <c r="ITC45" s="10"/>
      <c r="ITD45" s="10"/>
      <c r="ITE45" s="10"/>
      <c r="ITF45" s="10"/>
      <c r="ITG45" s="10"/>
      <c r="ITH45" s="10"/>
      <c r="ITI45" s="10"/>
      <c r="ITJ45" s="10"/>
      <c r="ITK45" s="10"/>
      <c r="ITL45" s="10"/>
      <c r="ITM45" s="10"/>
      <c r="ITN45" s="10"/>
      <c r="ITO45" s="10"/>
      <c r="ITP45" s="10"/>
      <c r="ITQ45" s="10"/>
      <c r="ITR45" s="10"/>
      <c r="ITS45" s="10"/>
      <c r="ITT45" s="10"/>
      <c r="ITU45" s="10"/>
      <c r="ITV45" s="10"/>
      <c r="ITW45" s="10"/>
      <c r="ITX45" s="10"/>
      <c r="ITY45" s="10"/>
      <c r="ITZ45" s="10"/>
      <c r="IUA45" s="10"/>
      <c r="IUB45" s="10"/>
      <c r="IUC45" s="10"/>
      <c r="IUD45" s="10"/>
      <c r="IUE45" s="10"/>
      <c r="IUF45" s="10"/>
      <c r="IUG45" s="10"/>
      <c r="IUH45" s="10"/>
      <c r="IUI45" s="10"/>
      <c r="IUJ45" s="10"/>
      <c r="IUK45" s="10"/>
      <c r="IUL45" s="10"/>
      <c r="IUM45" s="10"/>
      <c r="IUN45" s="10"/>
      <c r="IUO45" s="10"/>
      <c r="IUP45" s="10"/>
      <c r="IUQ45" s="10"/>
      <c r="IUR45" s="10"/>
      <c r="IUS45" s="10"/>
      <c r="IUT45" s="10"/>
      <c r="IUU45" s="10"/>
      <c r="IUV45" s="10"/>
      <c r="IUW45" s="10"/>
      <c r="IUX45" s="10"/>
      <c r="IUY45" s="10"/>
      <c r="IUZ45" s="10"/>
      <c r="IVA45" s="10"/>
      <c r="IVB45" s="10"/>
      <c r="IVC45" s="10"/>
      <c r="IVD45" s="10"/>
      <c r="IVE45" s="10"/>
      <c r="IVF45" s="10"/>
      <c r="IVG45" s="10"/>
      <c r="IVH45" s="10"/>
      <c r="IVI45" s="10"/>
      <c r="IVJ45" s="10"/>
      <c r="IVK45" s="10"/>
      <c r="IVL45" s="10"/>
      <c r="IVM45" s="10"/>
      <c r="IVN45" s="10"/>
      <c r="IVO45" s="10"/>
      <c r="IVP45" s="10"/>
      <c r="IVQ45" s="10"/>
      <c r="IVR45" s="10"/>
      <c r="IVS45" s="10"/>
      <c r="IVT45" s="10"/>
      <c r="IVU45" s="10"/>
      <c r="IVV45" s="10"/>
      <c r="IVW45" s="10"/>
      <c r="IVX45" s="10"/>
      <c r="IVY45" s="10"/>
      <c r="IVZ45" s="10"/>
      <c r="IWA45" s="10"/>
      <c r="IWB45" s="10"/>
      <c r="IWC45" s="10"/>
      <c r="IWD45" s="10"/>
      <c r="IWE45" s="10"/>
      <c r="IWF45" s="10"/>
      <c r="IWG45" s="10"/>
      <c r="IWH45" s="10"/>
      <c r="IWI45" s="10"/>
      <c r="IWJ45" s="10"/>
      <c r="IWK45" s="10"/>
      <c r="IWL45" s="10"/>
      <c r="IWM45" s="10"/>
      <c r="IWN45" s="10"/>
      <c r="IWO45" s="10"/>
      <c r="IWP45" s="10"/>
      <c r="IWQ45" s="10"/>
      <c r="IWR45" s="10"/>
      <c r="IWS45" s="10"/>
      <c r="IWT45" s="10"/>
      <c r="IWU45" s="10"/>
      <c r="IWV45" s="10"/>
      <c r="IWW45" s="10"/>
      <c r="IWX45" s="10"/>
      <c r="IWY45" s="10"/>
      <c r="IWZ45" s="10"/>
      <c r="IXA45" s="10"/>
      <c r="IXB45" s="10"/>
      <c r="IXC45" s="10"/>
      <c r="IXD45" s="10"/>
      <c r="IXE45" s="10"/>
      <c r="IXF45" s="10"/>
      <c r="IXG45" s="10"/>
      <c r="IXH45" s="10"/>
      <c r="IXI45" s="10"/>
      <c r="IXJ45" s="10"/>
      <c r="IXK45" s="10"/>
      <c r="IXL45" s="10"/>
      <c r="IXM45" s="10"/>
      <c r="IXN45" s="10"/>
      <c r="IXO45" s="10"/>
      <c r="IXP45" s="10"/>
      <c r="IXQ45" s="10"/>
      <c r="IXR45" s="10"/>
      <c r="IXS45" s="10"/>
      <c r="IXT45" s="10"/>
      <c r="IXU45" s="10"/>
      <c r="IXV45" s="10"/>
      <c r="IXW45" s="10"/>
      <c r="IXX45" s="10"/>
      <c r="IXY45" s="10"/>
      <c r="IXZ45" s="10"/>
      <c r="IYA45" s="10"/>
      <c r="IYB45" s="10"/>
      <c r="IYC45" s="10"/>
      <c r="IYD45" s="10"/>
      <c r="IYE45" s="10"/>
      <c r="IYF45" s="10"/>
      <c r="IYG45" s="10"/>
      <c r="IYH45" s="10"/>
      <c r="IYI45" s="10"/>
      <c r="IYJ45" s="10"/>
      <c r="IYK45" s="10"/>
      <c r="IYL45" s="10"/>
      <c r="IYM45" s="10"/>
      <c r="IYN45" s="10"/>
      <c r="IYO45" s="10"/>
      <c r="IYP45" s="10"/>
      <c r="IYQ45" s="10"/>
      <c r="IYR45" s="10"/>
      <c r="IYS45" s="10"/>
      <c r="IYT45" s="10"/>
      <c r="IYU45" s="10"/>
      <c r="IYV45" s="10"/>
      <c r="IYW45" s="10"/>
      <c r="IYX45" s="10"/>
      <c r="IYY45" s="10"/>
      <c r="IYZ45" s="10"/>
      <c r="IZA45" s="10"/>
      <c r="IZB45" s="10"/>
      <c r="IZC45" s="10"/>
      <c r="IZD45" s="10"/>
      <c r="IZE45" s="10"/>
      <c r="IZF45" s="10"/>
      <c r="IZG45" s="10"/>
      <c r="IZH45" s="10"/>
      <c r="IZI45" s="10"/>
      <c r="IZJ45" s="10"/>
      <c r="IZK45" s="10"/>
      <c r="IZL45" s="10"/>
      <c r="IZM45" s="10"/>
      <c r="IZN45" s="10"/>
      <c r="IZO45" s="10"/>
      <c r="IZP45" s="10"/>
      <c r="IZQ45" s="10"/>
      <c r="IZR45" s="10"/>
      <c r="IZS45" s="10"/>
      <c r="IZT45" s="10"/>
      <c r="IZU45" s="10"/>
      <c r="IZV45" s="10"/>
      <c r="IZW45" s="10"/>
      <c r="IZX45" s="10"/>
      <c r="IZY45" s="10"/>
      <c r="IZZ45" s="10"/>
      <c r="JAA45" s="10"/>
      <c r="JAB45" s="10"/>
      <c r="JAC45" s="10"/>
      <c r="JAD45" s="10"/>
      <c r="JAE45" s="10"/>
      <c r="JAF45" s="10"/>
      <c r="JAG45" s="10"/>
      <c r="JAH45" s="10"/>
      <c r="JAI45" s="10"/>
      <c r="JAJ45" s="10"/>
      <c r="JAK45" s="10"/>
      <c r="JAL45" s="10"/>
      <c r="JAM45" s="10"/>
      <c r="JAN45" s="10"/>
      <c r="JAO45" s="10"/>
      <c r="JAP45" s="10"/>
      <c r="JAQ45" s="10"/>
      <c r="JAR45" s="10"/>
      <c r="JAS45" s="10"/>
      <c r="JAT45" s="10"/>
      <c r="JAU45" s="10"/>
      <c r="JAV45" s="10"/>
      <c r="JAW45" s="10"/>
      <c r="JAX45" s="10"/>
      <c r="JAY45" s="10"/>
      <c r="JAZ45" s="10"/>
      <c r="JBA45" s="10"/>
      <c r="JBB45" s="10"/>
      <c r="JBC45" s="10"/>
      <c r="JBD45" s="10"/>
      <c r="JBE45" s="10"/>
      <c r="JBF45" s="10"/>
      <c r="JBG45" s="10"/>
      <c r="JBH45" s="10"/>
      <c r="JBI45" s="10"/>
      <c r="JBJ45" s="10"/>
      <c r="JBK45" s="10"/>
      <c r="JBL45" s="10"/>
      <c r="JBM45" s="10"/>
      <c r="JBN45" s="10"/>
      <c r="JBO45" s="10"/>
      <c r="JBP45" s="10"/>
      <c r="JBQ45" s="10"/>
      <c r="JBR45" s="10"/>
      <c r="JBS45" s="10"/>
      <c r="JBT45" s="10"/>
      <c r="JBU45" s="10"/>
      <c r="JBV45" s="10"/>
      <c r="JBW45" s="10"/>
      <c r="JBX45" s="10"/>
      <c r="JBY45" s="10"/>
      <c r="JBZ45" s="10"/>
      <c r="JCA45" s="10"/>
      <c r="JCB45" s="10"/>
      <c r="JCC45" s="10"/>
      <c r="JCD45" s="10"/>
      <c r="JCE45" s="10"/>
      <c r="JCF45" s="10"/>
      <c r="JCG45" s="10"/>
      <c r="JCH45" s="10"/>
      <c r="JCI45" s="10"/>
      <c r="JCJ45" s="10"/>
      <c r="JCK45" s="10"/>
      <c r="JCL45" s="10"/>
      <c r="JCM45" s="10"/>
      <c r="JCN45" s="10"/>
      <c r="JCO45" s="10"/>
      <c r="JCP45" s="10"/>
      <c r="JCQ45" s="10"/>
      <c r="JCR45" s="10"/>
      <c r="JCS45" s="10"/>
      <c r="JCT45" s="10"/>
      <c r="JCU45" s="10"/>
      <c r="JCV45" s="10"/>
      <c r="JCW45" s="10"/>
      <c r="JCX45" s="10"/>
      <c r="JCY45" s="10"/>
      <c r="JCZ45" s="10"/>
      <c r="JDA45" s="10"/>
      <c r="JDB45" s="10"/>
      <c r="JDC45" s="10"/>
      <c r="JDD45" s="10"/>
      <c r="JDE45" s="10"/>
      <c r="JDF45" s="10"/>
      <c r="JDG45" s="10"/>
      <c r="JDH45" s="10"/>
      <c r="JDI45" s="10"/>
      <c r="JDJ45" s="10"/>
      <c r="JDK45" s="10"/>
      <c r="JDL45" s="10"/>
      <c r="JDM45" s="10"/>
      <c r="JDN45" s="10"/>
      <c r="JDO45" s="10"/>
      <c r="JDP45" s="10"/>
      <c r="JDQ45" s="10"/>
      <c r="JDR45" s="10"/>
      <c r="JDS45" s="10"/>
      <c r="JDT45" s="10"/>
      <c r="JDU45" s="10"/>
      <c r="JDV45" s="10"/>
      <c r="JDW45" s="10"/>
      <c r="JDX45" s="10"/>
      <c r="JDY45" s="10"/>
      <c r="JDZ45" s="10"/>
      <c r="JEA45" s="10"/>
      <c r="JEB45" s="10"/>
      <c r="JEC45" s="10"/>
      <c r="JED45" s="10"/>
      <c r="JEE45" s="10"/>
      <c r="JEF45" s="10"/>
      <c r="JEG45" s="10"/>
      <c r="JEH45" s="10"/>
      <c r="JEI45" s="10"/>
      <c r="JEJ45" s="10"/>
      <c r="JEK45" s="10"/>
      <c r="JEL45" s="10"/>
      <c r="JEM45" s="10"/>
      <c r="JEN45" s="10"/>
      <c r="JEO45" s="10"/>
      <c r="JEP45" s="10"/>
      <c r="JEQ45" s="10"/>
      <c r="JER45" s="10"/>
      <c r="JES45" s="10"/>
      <c r="JET45" s="10"/>
      <c r="JEU45" s="10"/>
      <c r="JEV45" s="10"/>
      <c r="JEW45" s="10"/>
      <c r="JEX45" s="10"/>
      <c r="JEY45" s="10"/>
      <c r="JEZ45" s="10"/>
      <c r="JFA45" s="10"/>
      <c r="JFB45" s="10"/>
      <c r="JFC45" s="10"/>
      <c r="JFD45" s="10"/>
      <c r="JFE45" s="10"/>
      <c r="JFF45" s="10"/>
      <c r="JFG45" s="10"/>
      <c r="JFH45" s="10"/>
      <c r="JFI45" s="10"/>
      <c r="JFJ45" s="10"/>
      <c r="JFK45" s="10"/>
      <c r="JFL45" s="10"/>
      <c r="JFM45" s="10"/>
      <c r="JFN45" s="10"/>
      <c r="JFO45" s="10"/>
      <c r="JFP45" s="10"/>
      <c r="JFQ45" s="10"/>
      <c r="JFR45" s="10"/>
      <c r="JFS45" s="10"/>
      <c r="JFT45" s="10"/>
      <c r="JFU45" s="10"/>
      <c r="JFV45" s="10"/>
      <c r="JFW45" s="10"/>
      <c r="JFX45" s="10"/>
      <c r="JFY45" s="10"/>
      <c r="JFZ45" s="10"/>
      <c r="JGA45" s="10"/>
      <c r="JGB45" s="10"/>
      <c r="JGC45" s="10"/>
      <c r="JGD45" s="10"/>
      <c r="JGE45" s="10"/>
      <c r="JGF45" s="10"/>
      <c r="JGG45" s="10"/>
      <c r="JGH45" s="10"/>
      <c r="JGI45" s="10"/>
      <c r="JGJ45" s="10"/>
      <c r="JGK45" s="10"/>
      <c r="JGL45" s="10"/>
      <c r="JGM45" s="10"/>
      <c r="JGN45" s="10"/>
      <c r="JGO45" s="10"/>
      <c r="JGP45" s="10"/>
      <c r="JGQ45" s="10"/>
      <c r="JGR45" s="10"/>
      <c r="JGS45" s="10"/>
      <c r="JGT45" s="10"/>
      <c r="JGU45" s="10"/>
      <c r="JGV45" s="10"/>
      <c r="JGW45" s="10"/>
      <c r="JGX45" s="10"/>
      <c r="JGY45" s="10"/>
      <c r="JGZ45" s="10"/>
      <c r="JHA45" s="10"/>
      <c r="JHB45" s="10"/>
      <c r="JHC45" s="10"/>
      <c r="JHD45" s="10"/>
      <c r="JHE45" s="10"/>
      <c r="JHF45" s="10"/>
      <c r="JHG45" s="10"/>
      <c r="JHH45" s="10"/>
      <c r="JHI45" s="10"/>
      <c r="JHJ45" s="10"/>
      <c r="JHK45" s="10"/>
      <c r="JHL45" s="10"/>
      <c r="JHM45" s="10"/>
      <c r="JHN45" s="10"/>
      <c r="JHO45" s="10"/>
      <c r="JHP45" s="10"/>
      <c r="JHQ45" s="10"/>
      <c r="JHR45" s="10"/>
      <c r="JHS45" s="10"/>
      <c r="JHT45" s="10"/>
      <c r="JHU45" s="10"/>
      <c r="JHV45" s="10"/>
      <c r="JHW45" s="10"/>
      <c r="JHX45" s="10"/>
      <c r="JHY45" s="10"/>
      <c r="JHZ45" s="10"/>
      <c r="JIA45" s="10"/>
      <c r="JIB45" s="10"/>
      <c r="JIC45" s="10"/>
      <c r="JID45" s="10"/>
      <c r="JIE45" s="10"/>
      <c r="JIF45" s="10"/>
      <c r="JIG45" s="10"/>
      <c r="JIH45" s="10"/>
      <c r="JII45" s="10"/>
      <c r="JIJ45" s="10"/>
      <c r="JIK45" s="10"/>
      <c r="JIL45" s="10"/>
      <c r="JIM45" s="10"/>
      <c r="JIN45" s="10"/>
      <c r="JIO45" s="10"/>
      <c r="JIP45" s="10"/>
      <c r="JIQ45" s="10"/>
      <c r="JIR45" s="10"/>
      <c r="JIS45" s="10"/>
      <c r="JIT45" s="10"/>
      <c r="JIU45" s="10"/>
      <c r="JIV45" s="10"/>
      <c r="JIW45" s="10"/>
      <c r="JIX45" s="10"/>
      <c r="JIY45" s="10"/>
      <c r="JIZ45" s="10"/>
      <c r="JJA45" s="10"/>
      <c r="JJB45" s="10"/>
      <c r="JJC45" s="10"/>
      <c r="JJD45" s="10"/>
      <c r="JJE45" s="10"/>
      <c r="JJF45" s="10"/>
      <c r="JJG45" s="10"/>
      <c r="JJH45" s="10"/>
      <c r="JJI45" s="10"/>
      <c r="JJJ45" s="10"/>
      <c r="JJK45" s="10"/>
      <c r="JJL45" s="10"/>
      <c r="JJM45" s="10"/>
      <c r="JJN45" s="10"/>
      <c r="JJO45" s="10"/>
      <c r="JJP45" s="10"/>
      <c r="JJQ45" s="10"/>
      <c r="JJR45" s="10"/>
      <c r="JJS45" s="10"/>
      <c r="JJT45" s="10"/>
      <c r="JJU45" s="10"/>
      <c r="JJV45" s="10"/>
      <c r="JJW45" s="10"/>
      <c r="JJX45" s="10"/>
      <c r="JJY45" s="10"/>
      <c r="JJZ45" s="10"/>
      <c r="JKA45" s="10"/>
      <c r="JKB45" s="10"/>
      <c r="JKC45" s="10"/>
      <c r="JKD45" s="10"/>
      <c r="JKE45" s="10"/>
      <c r="JKF45" s="10"/>
      <c r="JKG45" s="10"/>
      <c r="JKH45" s="10"/>
      <c r="JKI45" s="10"/>
      <c r="JKJ45" s="10"/>
      <c r="JKK45" s="10"/>
      <c r="JKL45" s="10"/>
      <c r="JKM45" s="10"/>
      <c r="JKN45" s="10"/>
      <c r="JKO45" s="10"/>
      <c r="JKP45" s="10"/>
      <c r="JKQ45" s="10"/>
      <c r="JKR45" s="10"/>
      <c r="JKS45" s="10"/>
      <c r="JKT45" s="10"/>
      <c r="JKU45" s="10"/>
      <c r="JKV45" s="10"/>
      <c r="JKW45" s="10"/>
      <c r="JKX45" s="10"/>
      <c r="JKY45" s="10"/>
      <c r="JKZ45" s="10"/>
      <c r="JLA45" s="10"/>
      <c r="JLB45" s="10"/>
      <c r="JLC45" s="10"/>
      <c r="JLD45" s="10"/>
      <c r="JLE45" s="10"/>
      <c r="JLF45" s="10"/>
      <c r="JLG45" s="10"/>
      <c r="JLH45" s="10"/>
      <c r="JLI45" s="10"/>
      <c r="JLJ45" s="10"/>
      <c r="JLK45" s="10"/>
      <c r="JLL45" s="10"/>
      <c r="JLM45" s="10"/>
      <c r="JLN45" s="10"/>
      <c r="JLO45" s="10"/>
      <c r="JLP45" s="10"/>
      <c r="JLQ45" s="10"/>
      <c r="JLR45" s="10"/>
      <c r="JLS45" s="10"/>
      <c r="JLT45" s="10"/>
      <c r="JLU45" s="10"/>
      <c r="JLV45" s="10"/>
      <c r="JLW45" s="10"/>
      <c r="JLX45" s="10"/>
      <c r="JLY45" s="10"/>
      <c r="JLZ45" s="10"/>
      <c r="JMA45" s="10"/>
      <c r="JMB45" s="10"/>
      <c r="JMC45" s="10"/>
      <c r="JMD45" s="10"/>
      <c r="JME45" s="10"/>
      <c r="JMF45" s="10"/>
      <c r="JMG45" s="10"/>
      <c r="JMH45" s="10"/>
      <c r="JMI45" s="10"/>
      <c r="JMJ45" s="10"/>
      <c r="JMK45" s="10"/>
      <c r="JML45" s="10"/>
      <c r="JMM45" s="10"/>
      <c r="JMN45" s="10"/>
      <c r="JMO45" s="10"/>
      <c r="JMP45" s="10"/>
      <c r="JMQ45" s="10"/>
      <c r="JMR45" s="10"/>
      <c r="JMS45" s="10"/>
      <c r="JMT45" s="10"/>
      <c r="JMU45" s="10"/>
      <c r="JMV45" s="10"/>
      <c r="JMW45" s="10"/>
      <c r="JMX45" s="10"/>
      <c r="JMY45" s="10"/>
      <c r="JMZ45" s="10"/>
      <c r="JNA45" s="10"/>
      <c r="JNB45" s="10"/>
      <c r="JNC45" s="10"/>
      <c r="JND45" s="10"/>
      <c r="JNE45" s="10"/>
      <c r="JNF45" s="10"/>
      <c r="JNG45" s="10"/>
      <c r="JNH45" s="10"/>
      <c r="JNI45" s="10"/>
      <c r="JNJ45" s="10"/>
      <c r="JNK45" s="10"/>
      <c r="JNL45" s="10"/>
      <c r="JNM45" s="10"/>
      <c r="JNN45" s="10"/>
      <c r="JNO45" s="10"/>
      <c r="JNP45" s="10"/>
      <c r="JNQ45" s="10"/>
      <c r="JNR45" s="10"/>
      <c r="JNS45" s="10"/>
      <c r="JNT45" s="10"/>
      <c r="JNU45" s="10"/>
      <c r="JNV45" s="10"/>
      <c r="JNW45" s="10"/>
      <c r="JNX45" s="10"/>
      <c r="JNY45" s="10"/>
      <c r="JNZ45" s="10"/>
      <c r="JOA45" s="10"/>
      <c r="JOB45" s="10"/>
      <c r="JOC45" s="10"/>
      <c r="JOD45" s="10"/>
      <c r="JOE45" s="10"/>
      <c r="JOF45" s="10"/>
      <c r="JOG45" s="10"/>
      <c r="JOH45" s="10"/>
      <c r="JOI45" s="10"/>
      <c r="JOJ45" s="10"/>
      <c r="JOK45" s="10"/>
      <c r="JOL45" s="10"/>
      <c r="JOM45" s="10"/>
      <c r="JON45" s="10"/>
      <c r="JOO45" s="10"/>
      <c r="JOP45" s="10"/>
      <c r="JOQ45" s="10"/>
      <c r="JOR45" s="10"/>
      <c r="JOS45" s="10"/>
      <c r="JOT45" s="10"/>
      <c r="JOU45" s="10"/>
      <c r="JOV45" s="10"/>
      <c r="JOW45" s="10"/>
      <c r="JOX45" s="10"/>
      <c r="JOY45" s="10"/>
      <c r="JOZ45" s="10"/>
      <c r="JPA45" s="10"/>
      <c r="JPB45" s="10"/>
      <c r="JPC45" s="10"/>
      <c r="JPD45" s="10"/>
      <c r="JPE45" s="10"/>
      <c r="JPF45" s="10"/>
      <c r="JPG45" s="10"/>
      <c r="JPH45" s="10"/>
      <c r="JPI45" s="10"/>
      <c r="JPJ45" s="10"/>
      <c r="JPK45" s="10"/>
      <c r="JPL45" s="10"/>
      <c r="JPM45" s="10"/>
      <c r="JPN45" s="10"/>
      <c r="JPO45" s="10"/>
      <c r="JPP45" s="10"/>
      <c r="JPQ45" s="10"/>
      <c r="JPR45" s="10"/>
      <c r="JPS45" s="10"/>
      <c r="JPT45" s="10"/>
      <c r="JPU45" s="10"/>
      <c r="JPV45" s="10"/>
      <c r="JPW45" s="10"/>
      <c r="JPX45" s="10"/>
      <c r="JPY45" s="10"/>
      <c r="JPZ45" s="10"/>
      <c r="JQA45" s="10"/>
      <c r="JQB45" s="10"/>
      <c r="JQC45" s="10"/>
      <c r="JQD45" s="10"/>
      <c r="JQE45" s="10"/>
      <c r="JQF45" s="10"/>
      <c r="JQG45" s="10"/>
      <c r="JQH45" s="10"/>
      <c r="JQI45" s="10"/>
      <c r="JQJ45" s="10"/>
      <c r="JQK45" s="10"/>
      <c r="JQL45" s="10"/>
      <c r="JQM45" s="10"/>
      <c r="JQN45" s="10"/>
      <c r="JQO45" s="10"/>
      <c r="JQP45" s="10"/>
      <c r="JQQ45" s="10"/>
      <c r="JQR45" s="10"/>
      <c r="JQS45" s="10"/>
      <c r="JQT45" s="10"/>
      <c r="JQU45" s="10"/>
      <c r="JQV45" s="10"/>
      <c r="JQW45" s="10"/>
      <c r="JQX45" s="10"/>
      <c r="JQY45" s="10"/>
      <c r="JQZ45" s="10"/>
      <c r="JRA45" s="10"/>
      <c r="JRB45" s="10"/>
      <c r="JRC45" s="10"/>
      <c r="JRD45" s="10"/>
      <c r="JRE45" s="10"/>
      <c r="JRF45" s="10"/>
      <c r="JRG45" s="10"/>
      <c r="JRH45" s="10"/>
      <c r="JRI45" s="10"/>
      <c r="JRJ45" s="10"/>
      <c r="JRK45" s="10"/>
      <c r="JRL45" s="10"/>
      <c r="JRM45" s="10"/>
      <c r="JRN45" s="10"/>
      <c r="JRO45" s="10"/>
      <c r="JRP45" s="10"/>
      <c r="JRQ45" s="10"/>
      <c r="JRR45" s="10"/>
      <c r="JRS45" s="10"/>
      <c r="JRT45" s="10"/>
      <c r="JRU45" s="10"/>
      <c r="JRV45" s="10"/>
      <c r="JRW45" s="10"/>
      <c r="JRX45" s="10"/>
      <c r="JRY45" s="10"/>
      <c r="JRZ45" s="10"/>
      <c r="JSA45" s="10"/>
      <c r="JSB45" s="10"/>
      <c r="JSC45" s="10"/>
      <c r="JSD45" s="10"/>
      <c r="JSE45" s="10"/>
      <c r="JSF45" s="10"/>
      <c r="JSG45" s="10"/>
      <c r="JSH45" s="10"/>
      <c r="JSI45" s="10"/>
      <c r="JSJ45" s="10"/>
      <c r="JSK45" s="10"/>
      <c r="JSL45" s="10"/>
      <c r="JSM45" s="10"/>
      <c r="JSN45" s="10"/>
      <c r="JSO45" s="10"/>
      <c r="JSP45" s="10"/>
      <c r="JSQ45" s="10"/>
      <c r="JSR45" s="10"/>
      <c r="JSS45" s="10"/>
      <c r="JST45" s="10"/>
      <c r="JSU45" s="10"/>
      <c r="JSV45" s="10"/>
      <c r="JSW45" s="10"/>
      <c r="JSX45" s="10"/>
      <c r="JSY45" s="10"/>
      <c r="JSZ45" s="10"/>
      <c r="JTA45" s="10"/>
      <c r="JTB45" s="10"/>
      <c r="JTC45" s="10"/>
      <c r="JTD45" s="10"/>
      <c r="JTE45" s="10"/>
      <c r="JTF45" s="10"/>
      <c r="JTG45" s="10"/>
      <c r="JTH45" s="10"/>
      <c r="JTI45" s="10"/>
      <c r="JTJ45" s="10"/>
      <c r="JTK45" s="10"/>
      <c r="JTL45" s="10"/>
      <c r="JTM45" s="10"/>
      <c r="JTN45" s="10"/>
      <c r="JTO45" s="10"/>
      <c r="JTP45" s="10"/>
      <c r="JTQ45" s="10"/>
      <c r="JTR45" s="10"/>
      <c r="JTS45" s="10"/>
      <c r="JTT45" s="10"/>
      <c r="JTU45" s="10"/>
      <c r="JTV45" s="10"/>
      <c r="JTW45" s="10"/>
      <c r="JTX45" s="10"/>
      <c r="JTY45" s="10"/>
      <c r="JTZ45" s="10"/>
      <c r="JUA45" s="10"/>
      <c r="JUB45" s="10"/>
      <c r="JUC45" s="10"/>
      <c r="JUD45" s="10"/>
      <c r="JUE45" s="10"/>
      <c r="JUF45" s="10"/>
      <c r="JUG45" s="10"/>
      <c r="JUH45" s="10"/>
      <c r="JUI45" s="10"/>
      <c r="JUJ45" s="10"/>
      <c r="JUK45" s="10"/>
      <c r="JUL45" s="10"/>
      <c r="JUM45" s="10"/>
      <c r="JUN45" s="10"/>
      <c r="JUO45" s="10"/>
      <c r="JUP45" s="10"/>
      <c r="JUQ45" s="10"/>
      <c r="JUR45" s="10"/>
      <c r="JUS45" s="10"/>
      <c r="JUT45" s="10"/>
      <c r="JUU45" s="10"/>
      <c r="JUV45" s="10"/>
      <c r="JUW45" s="10"/>
      <c r="JUX45" s="10"/>
      <c r="JUY45" s="10"/>
      <c r="JUZ45" s="10"/>
      <c r="JVA45" s="10"/>
      <c r="JVB45" s="10"/>
      <c r="JVC45" s="10"/>
      <c r="JVD45" s="10"/>
      <c r="JVE45" s="10"/>
      <c r="JVF45" s="10"/>
      <c r="JVG45" s="10"/>
      <c r="JVH45" s="10"/>
      <c r="JVI45" s="10"/>
      <c r="JVJ45" s="10"/>
      <c r="JVK45" s="10"/>
      <c r="JVL45" s="10"/>
      <c r="JVM45" s="10"/>
      <c r="JVN45" s="10"/>
      <c r="JVO45" s="10"/>
      <c r="JVP45" s="10"/>
      <c r="JVQ45" s="10"/>
      <c r="JVR45" s="10"/>
      <c r="JVS45" s="10"/>
      <c r="JVT45" s="10"/>
      <c r="JVU45" s="10"/>
      <c r="JVV45" s="10"/>
      <c r="JVW45" s="10"/>
      <c r="JVX45" s="10"/>
      <c r="JVY45" s="10"/>
      <c r="JVZ45" s="10"/>
      <c r="JWA45" s="10"/>
      <c r="JWB45" s="10"/>
      <c r="JWC45" s="10"/>
      <c r="JWD45" s="10"/>
      <c r="JWE45" s="10"/>
      <c r="JWF45" s="10"/>
      <c r="JWG45" s="10"/>
      <c r="JWH45" s="10"/>
      <c r="JWI45" s="10"/>
      <c r="JWJ45" s="10"/>
      <c r="JWK45" s="10"/>
      <c r="JWL45" s="10"/>
      <c r="JWM45" s="10"/>
      <c r="JWN45" s="10"/>
      <c r="JWO45" s="10"/>
      <c r="JWP45" s="10"/>
      <c r="JWQ45" s="10"/>
      <c r="JWR45" s="10"/>
      <c r="JWS45" s="10"/>
      <c r="JWT45" s="10"/>
      <c r="JWU45" s="10"/>
      <c r="JWV45" s="10"/>
      <c r="JWW45" s="10"/>
      <c r="JWX45" s="10"/>
      <c r="JWY45" s="10"/>
      <c r="JWZ45" s="10"/>
      <c r="JXA45" s="10"/>
      <c r="JXB45" s="10"/>
      <c r="JXC45" s="10"/>
      <c r="JXD45" s="10"/>
      <c r="JXE45" s="10"/>
      <c r="JXF45" s="10"/>
      <c r="JXG45" s="10"/>
      <c r="JXH45" s="10"/>
      <c r="JXI45" s="10"/>
      <c r="JXJ45" s="10"/>
      <c r="JXK45" s="10"/>
      <c r="JXL45" s="10"/>
      <c r="JXM45" s="10"/>
      <c r="JXN45" s="10"/>
      <c r="JXO45" s="10"/>
      <c r="JXP45" s="10"/>
      <c r="JXQ45" s="10"/>
      <c r="JXR45" s="10"/>
      <c r="JXS45" s="10"/>
      <c r="JXT45" s="10"/>
      <c r="JXU45" s="10"/>
      <c r="JXV45" s="10"/>
      <c r="JXW45" s="10"/>
      <c r="JXX45" s="10"/>
      <c r="JXY45" s="10"/>
      <c r="JXZ45" s="10"/>
      <c r="JYA45" s="10"/>
      <c r="JYB45" s="10"/>
      <c r="JYC45" s="10"/>
      <c r="JYD45" s="10"/>
      <c r="JYE45" s="10"/>
      <c r="JYF45" s="10"/>
      <c r="JYG45" s="10"/>
      <c r="JYH45" s="10"/>
      <c r="JYI45" s="10"/>
      <c r="JYJ45" s="10"/>
      <c r="JYK45" s="10"/>
      <c r="JYL45" s="10"/>
      <c r="JYM45" s="10"/>
      <c r="JYN45" s="10"/>
      <c r="JYO45" s="10"/>
      <c r="JYP45" s="10"/>
      <c r="JYQ45" s="10"/>
      <c r="JYR45" s="10"/>
      <c r="JYS45" s="10"/>
      <c r="JYT45" s="10"/>
      <c r="JYU45" s="10"/>
      <c r="JYV45" s="10"/>
      <c r="JYW45" s="10"/>
      <c r="JYX45" s="10"/>
      <c r="JYY45" s="10"/>
      <c r="JYZ45" s="10"/>
      <c r="JZA45" s="10"/>
      <c r="JZB45" s="10"/>
      <c r="JZC45" s="10"/>
      <c r="JZD45" s="10"/>
      <c r="JZE45" s="10"/>
      <c r="JZF45" s="10"/>
      <c r="JZG45" s="10"/>
      <c r="JZH45" s="10"/>
      <c r="JZI45" s="10"/>
      <c r="JZJ45" s="10"/>
      <c r="JZK45" s="10"/>
      <c r="JZL45" s="10"/>
      <c r="JZM45" s="10"/>
      <c r="JZN45" s="10"/>
      <c r="JZO45" s="10"/>
      <c r="JZP45" s="10"/>
      <c r="JZQ45" s="10"/>
      <c r="JZR45" s="10"/>
      <c r="JZS45" s="10"/>
      <c r="JZT45" s="10"/>
      <c r="JZU45" s="10"/>
      <c r="JZV45" s="10"/>
      <c r="JZW45" s="10"/>
      <c r="JZX45" s="10"/>
      <c r="JZY45" s="10"/>
      <c r="JZZ45" s="10"/>
      <c r="KAA45" s="10"/>
      <c r="KAB45" s="10"/>
      <c r="KAC45" s="10"/>
      <c r="KAD45" s="10"/>
      <c r="KAE45" s="10"/>
      <c r="KAF45" s="10"/>
      <c r="KAG45" s="10"/>
      <c r="KAH45" s="10"/>
      <c r="KAI45" s="10"/>
      <c r="KAJ45" s="10"/>
      <c r="KAK45" s="10"/>
      <c r="KAL45" s="10"/>
      <c r="KAM45" s="10"/>
      <c r="KAN45" s="10"/>
      <c r="KAO45" s="10"/>
      <c r="KAP45" s="10"/>
      <c r="KAQ45" s="10"/>
      <c r="KAR45" s="10"/>
      <c r="KAS45" s="10"/>
      <c r="KAT45" s="10"/>
      <c r="KAU45" s="10"/>
      <c r="KAV45" s="10"/>
      <c r="KAW45" s="10"/>
      <c r="KAX45" s="10"/>
      <c r="KAY45" s="10"/>
      <c r="KAZ45" s="10"/>
      <c r="KBA45" s="10"/>
      <c r="KBB45" s="10"/>
      <c r="KBC45" s="10"/>
      <c r="KBD45" s="10"/>
      <c r="KBE45" s="10"/>
      <c r="KBF45" s="10"/>
      <c r="KBG45" s="10"/>
      <c r="KBH45" s="10"/>
      <c r="KBI45" s="10"/>
      <c r="KBJ45" s="10"/>
      <c r="KBK45" s="10"/>
      <c r="KBL45" s="10"/>
      <c r="KBM45" s="10"/>
      <c r="KBN45" s="10"/>
      <c r="KBO45" s="10"/>
      <c r="KBP45" s="10"/>
      <c r="KBQ45" s="10"/>
      <c r="KBR45" s="10"/>
      <c r="KBS45" s="10"/>
      <c r="KBT45" s="10"/>
      <c r="KBU45" s="10"/>
      <c r="KBV45" s="10"/>
      <c r="KBW45" s="10"/>
      <c r="KBX45" s="10"/>
      <c r="KBY45" s="10"/>
      <c r="KBZ45" s="10"/>
      <c r="KCA45" s="10"/>
      <c r="KCB45" s="10"/>
      <c r="KCC45" s="10"/>
      <c r="KCD45" s="10"/>
      <c r="KCE45" s="10"/>
      <c r="KCF45" s="10"/>
      <c r="KCG45" s="10"/>
      <c r="KCH45" s="10"/>
      <c r="KCI45" s="10"/>
      <c r="KCJ45" s="10"/>
      <c r="KCK45" s="10"/>
      <c r="KCL45" s="10"/>
      <c r="KCM45" s="10"/>
      <c r="KCN45" s="10"/>
      <c r="KCO45" s="10"/>
      <c r="KCP45" s="10"/>
      <c r="KCQ45" s="10"/>
      <c r="KCR45" s="10"/>
      <c r="KCS45" s="10"/>
      <c r="KCT45" s="10"/>
      <c r="KCU45" s="10"/>
      <c r="KCV45" s="10"/>
      <c r="KCW45" s="10"/>
      <c r="KCX45" s="10"/>
      <c r="KCY45" s="10"/>
      <c r="KCZ45" s="10"/>
      <c r="KDA45" s="10"/>
      <c r="KDB45" s="10"/>
      <c r="KDC45" s="10"/>
      <c r="KDD45" s="10"/>
      <c r="KDE45" s="10"/>
      <c r="KDF45" s="10"/>
      <c r="KDG45" s="10"/>
      <c r="KDH45" s="10"/>
      <c r="KDI45" s="10"/>
      <c r="KDJ45" s="10"/>
      <c r="KDK45" s="10"/>
      <c r="KDL45" s="10"/>
      <c r="KDM45" s="10"/>
      <c r="KDN45" s="10"/>
      <c r="KDO45" s="10"/>
      <c r="KDP45" s="10"/>
      <c r="KDQ45" s="10"/>
      <c r="KDR45" s="10"/>
      <c r="KDS45" s="10"/>
      <c r="KDT45" s="10"/>
      <c r="KDU45" s="10"/>
      <c r="KDV45" s="10"/>
      <c r="KDW45" s="10"/>
      <c r="KDX45" s="10"/>
      <c r="KDY45" s="10"/>
      <c r="KDZ45" s="10"/>
      <c r="KEA45" s="10"/>
      <c r="KEB45" s="10"/>
      <c r="KEC45" s="10"/>
      <c r="KED45" s="10"/>
      <c r="KEE45" s="10"/>
      <c r="KEF45" s="10"/>
      <c r="KEG45" s="10"/>
      <c r="KEH45" s="10"/>
      <c r="KEI45" s="10"/>
      <c r="KEJ45" s="10"/>
      <c r="KEK45" s="10"/>
      <c r="KEL45" s="10"/>
      <c r="KEM45" s="10"/>
      <c r="KEN45" s="10"/>
      <c r="KEO45" s="10"/>
      <c r="KEP45" s="10"/>
      <c r="KEQ45" s="10"/>
      <c r="KER45" s="10"/>
      <c r="KES45" s="10"/>
      <c r="KET45" s="10"/>
      <c r="KEU45" s="10"/>
      <c r="KEV45" s="10"/>
      <c r="KEW45" s="10"/>
      <c r="KEX45" s="10"/>
      <c r="KEY45" s="10"/>
      <c r="KEZ45" s="10"/>
      <c r="KFA45" s="10"/>
      <c r="KFB45" s="10"/>
      <c r="KFC45" s="10"/>
      <c r="KFD45" s="10"/>
      <c r="KFE45" s="10"/>
      <c r="KFF45" s="10"/>
      <c r="KFG45" s="10"/>
      <c r="KFH45" s="10"/>
      <c r="KFI45" s="10"/>
      <c r="KFJ45" s="10"/>
      <c r="KFK45" s="10"/>
      <c r="KFL45" s="10"/>
      <c r="KFM45" s="10"/>
      <c r="KFN45" s="10"/>
      <c r="KFO45" s="10"/>
      <c r="KFP45" s="10"/>
      <c r="KFQ45" s="10"/>
      <c r="KFR45" s="10"/>
      <c r="KFS45" s="10"/>
      <c r="KFT45" s="10"/>
      <c r="KFU45" s="10"/>
      <c r="KFV45" s="10"/>
      <c r="KFW45" s="10"/>
      <c r="KFX45" s="10"/>
      <c r="KFY45" s="10"/>
      <c r="KFZ45" s="10"/>
      <c r="KGA45" s="10"/>
      <c r="KGB45" s="10"/>
      <c r="KGC45" s="10"/>
      <c r="KGD45" s="10"/>
      <c r="KGE45" s="10"/>
      <c r="KGF45" s="10"/>
      <c r="KGG45" s="10"/>
      <c r="KGH45" s="10"/>
      <c r="KGI45" s="10"/>
      <c r="KGJ45" s="10"/>
      <c r="KGK45" s="10"/>
      <c r="KGL45" s="10"/>
      <c r="KGM45" s="10"/>
      <c r="KGN45" s="10"/>
      <c r="KGO45" s="10"/>
      <c r="KGP45" s="10"/>
      <c r="KGQ45" s="10"/>
      <c r="KGR45" s="10"/>
      <c r="KGS45" s="10"/>
      <c r="KGT45" s="10"/>
      <c r="KGU45" s="10"/>
      <c r="KGV45" s="10"/>
      <c r="KGW45" s="10"/>
      <c r="KGX45" s="10"/>
      <c r="KGY45" s="10"/>
      <c r="KGZ45" s="10"/>
      <c r="KHA45" s="10"/>
      <c r="KHB45" s="10"/>
      <c r="KHC45" s="10"/>
      <c r="KHD45" s="10"/>
      <c r="KHE45" s="10"/>
      <c r="KHF45" s="10"/>
      <c r="KHG45" s="10"/>
      <c r="KHH45" s="10"/>
      <c r="KHI45" s="10"/>
      <c r="KHJ45" s="10"/>
      <c r="KHK45" s="10"/>
      <c r="KHL45" s="10"/>
      <c r="KHM45" s="10"/>
      <c r="KHN45" s="10"/>
      <c r="KHO45" s="10"/>
      <c r="KHP45" s="10"/>
      <c r="KHQ45" s="10"/>
      <c r="KHR45" s="10"/>
      <c r="KHS45" s="10"/>
      <c r="KHT45" s="10"/>
      <c r="KHU45" s="10"/>
      <c r="KHV45" s="10"/>
      <c r="KHW45" s="10"/>
      <c r="KHX45" s="10"/>
      <c r="KHY45" s="10"/>
      <c r="KHZ45" s="10"/>
      <c r="KIA45" s="10"/>
      <c r="KIB45" s="10"/>
      <c r="KIC45" s="10"/>
      <c r="KID45" s="10"/>
      <c r="KIE45" s="10"/>
      <c r="KIF45" s="10"/>
      <c r="KIG45" s="10"/>
      <c r="KIH45" s="10"/>
      <c r="KII45" s="10"/>
      <c r="KIJ45" s="10"/>
      <c r="KIK45" s="10"/>
      <c r="KIL45" s="10"/>
      <c r="KIM45" s="10"/>
      <c r="KIN45" s="10"/>
      <c r="KIO45" s="10"/>
      <c r="KIP45" s="10"/>
      <c r="KIQ45" s="10"/>
      <c r="KIR45" s="10"/>
      <c r="KIS45" s="10"/>
      <c r="KIT45" s="10"/>
      <c r="KIU45" s="10"/>
      <c r="KIV45" s="10"/>
      <c r="KIW45" s="10"/>
      <c r="KIX45" s="10"/>
      <c r="KIY45" s="10"/>
      <c r="KIZ45" s="10"/>
      <c r="KJA45" s="10"/>
      <c r="KJB45" s="10"/>
      <c r="KJC45" s="10"/>
      <c r="KJD45" s="10"/>
      <c r="KJE45" s="10"/>
      <c r="KJF45" s="10"/>
      <c r="KJG45" s="10"/>
      <c r="KJH45" s="10"/>
      <c r="KJI45" s="10"/>
      <c r="KJJ45" s="10"/>
      <c r="KJK45" s="10"/>
      <c r="KJL45" s="10"/>
      <c r="KJM45" s="10"/>
      <c r="KJN45" s="10"/>
      <c r="KJO45" s="10"/>
      <c r="KJP45" s="10"/>
      <c r="KJQ45" s="10"/>
      <c r="KJR45" s="10"/>
      <c r="KJS45" s="10"/>
      <c r="KJT45" s="10"/>
      <c r="KJU45" s="10"/>
      <c r="KJV45" s="10"/>
      <c r="KJW45" s="10"/>
      <c r="KJX45" s="10"/>
      <c r="KJY45" s="10"/>
      <c r="KJZ45" s="10"/>
      <c r="KKA45" s="10"/>
      <c r="KKB45" s="10"/>
      <c r="KKC45" s="10"/>
      <c r="KKD45" s="10"/>
      <c r="KKE45" s="10"/>
      <c r="KKF45" s="10"/>
      <c r="KKG45" s="10"/>
      <c r="KKH45" s="10"/>
      <c r="KKI45" s="10"/>
      <c r="KKJ45" s="10"/>
      <c r="KKK45" s="10"/>
      <c r="KKL45" s="10"/>
      <c r="KKM45" s="10"/>
      <c r="KKN45" s="10"/>
      <c r="KKO45" s="10"/>
      <c r="KKP45" s="10"/>
      <c r="KKQ45" s="10"/>
      <c r="KKR45" s="10"/>
      <c r="KKS45" s="10"/>
      <c r="KKT45" s="10"/>
      <c r="KKU45" s="10"/>
      <c r="KKV45" s="10"/>
      <c r="KKW45" s="10"/>
      <c r="KKX45" s="10"/>
      <c r="KKY45" s="10"/>
      <c r="KKZ45" s="10"/>
      <c r="KLA45" s="10"/>
      <c r="KLB45" s="10"/>
      <c r="KLC45" s="10"/>
      <c r="KLD45" s="10"/>
      <c r="KLE45" s="10"/>
      <c r="KLF45" s="10"/>
      <c r="KLG45" s="10"/>
      <c r="KLH45" s="10"/>
      <c r="KLI45" s="10"/>
      <c r="KLJ45" s="10"/>
      <c r="KLK45" s="10"/>
      <c r="KLL45" s="10"/>
      <c r="KLM45" s="10"/>
      <c r="KLN45" s="10"/>
      <c r="KLO45" s="10"/>
      <c r="KLP45" s="10"/>
      <c r="KLQ45" s="10"/>
      <c r="KLR45" s="10"/>
      <c r="KLS45" s="10"/>
      <c r="KLT45" s="10"/>
      <c r="KLU45" s="10"/>
      <c r="KLV45" s="10"/>
      <c r="KLW45" s="10"/>
      <c r="KLX45" s="10"/>
      <c r="KLY45" s="10"/>
      <c r="KLZ45" s="10"/>
      <c r="KMA45" s="10"/>
      <c r="KMB45" s="10"/>
      <c r="KMC45" s="10"/>
      <c r="KMD45" s="10"/>
      <c r="KME45" s="10"/>
      <c r="KMF45" s="10"/>
      <c r="KMG45" s="10"/>
      <c r="KMH45" s="10"/>
      <c r="KMI45" s="10"/>
      <c r="KMJ45" s="10"/>
      <c r="KMK45" s="10"/>
      <c r="KML45" s="10"/>
      <c r="KMM45" s="10"/>
      <c r="KMN45" s="10"/>
      <c r="KMO45" s="10"/>
      <c r="KMP45" s="10"/>
      <c r="KMQ45" s="10"/>
      <c r="KMR45" s="10"/>
      <c r="KMS45" s="10"/>
      <c r="KMT45" s="10"/>
      <c r="KMU45" s="10"/>
      <c r="KMV45" s="10"/>
      <c r="KMW45" s="10"/>
      <c r="KMX45" s="10"/>
      <c r="KMY45" s="10"/>
      <c r="KMZ45" s="10"/>
      <c r="KNA45" s="10"/>
      <c r="KNB45" s="10"/>
      <c r="KNC45" s="10"/>
      <c r="KND45" s="10"/>
      <c r="KNE45" s="10"/>
      <c r="KNF45" s="10"/>
      <c r="KNG45" s="10"/>
      <c r="KNH45" s="10"/>
      <c r="KNI45" s="10"/>
      <c r="KNJ45" s="10"/>
      <c r="KNK45" s="10"/>
      <c r="KNL45" s="10"/>
      <c r="KNM45" s="10"/>
      <c r="KNN45" s="10"/>
      <c r="KNO45" s="10"/>
      <c r="KNP45" s="10"/>
      <c r="KNQ45" s="10"/>
      <c r="KNR45" s="10"/>
      <c r="KNS45" s="10"/>
      <c r="KNT45" s="10"/>
      <c r="KNU45" s="10"/>
      <c r="KNV45" s="10"/>
      <c r="KNW45" s="10"/>
      <c r="KNX45" s="10"/>
      <c r="KNY45" s="10"/>
      <c r="KNZ45" s="10"/>
      <c r="KOA45" s="10"/>
      <c r="KOB45" s="10"/>
      <c r="KOC45" s="10"/>
      <c r="KOD45" s="10"/>
      <c r="KOE45" s="10"/>
      <c r="KOF45" s="10"/>
      <c r="KOG45" s="10"/>
      <c r="KOH45" s="10"/>
      <c r="KOI45" s="10"/>
      <c r="KOJ45" s="10"/>
      <c r="KOK45" s="10"/>
      <c r="KOL45" s="10"/>
      <c r="KOM45" s="10"/>
      <c r="KON45" s="10"/>
      <c r="KOO45" s="10"/>
      <c r="KOP45" s="10"/>
      <c r="KOQ45" s="10"/>
      <c r="KOR45" s="10"/>
      <c r="KOS45" s="10"/>
      <c r="KOT45" s="10"/>
      <c r="KOU45" s="10"/>
      <c r="KOV45" s="10"/>
      <c r="KOW45" s="10"/>
      <c r="KOX45" s="10"/>
      <c r="KOY45" s="10"/>
      <c r="KOZ45" s="10"/>
      <c r="KPA45" s="10"/>
      <c r="KPB45" s="10"/>
      <c r="KPC45" s="10"/>
      <c r="KPD45" s="10"/>
      <c r="KPE45" s="10"/>
      <c r="KPF45" s="10"/>
      <c r="KPG45" s="10"/>
      <c r="KPH45" s="10"/>
      <c r="KPI45" s="10"/>
      <c r="KPJ45" s="10"/>
      <c r="KPK45" s="10"/>
      <c r="KPL45" s="10"/>
      <c r="KPM45" s="10"/>
      <c r="KPN45" s="10"/>
      <c r="KPO45" s="10"/>
      <c r="KPP45" s="10"/>
      <c r="KPQ45" s="10"/>
      <c r="KPR45" s="10"/>
      <c r="KPS45" s="10"/>
      <c r="KPT45" s="10"/>
      <c r="KPU45" s="10"/>
      <c r="KPV45" s="10"/>
      <c r="KPW45" s="10"/>
      <c r="KPX45" s="10"/>
      <c r="KPY45" s="10"/>
      <c r="KPZ45" s="10"/>
      <c r="KQA45" s="10"/>
      <c r="KQB45" s="10"/>
      <c r="KQC45" s="10"/>
      <c r="KQD45" s="10"/>
      <c r="KQE45" s="10"/>
      <c r="KQF45" s="10"/>
      <c r="KQG45" s="10"/>
      <c r="KQH45" s="10"/>
      <c r="KQI45" s="10"/>
      <c r="KQJ45" s="10"/>
      <c r="KQK45" s="10"/>
      <c r="KQL45" s="10"/>
      <c r="KQM45" s="10"/>
      <c r="KQN45" s="10"/>
      <c r="KQO45" s="10"/>
      <c r="KQP45" s="10"/>
      <c r="KQQ45" s="10"/>
      <c r="KQR45" s="10"/>
      <c r="KQS45" s="10"/>
      <c r="KQT45" s="10"/>
      <c r="KQU45" s="10"/>
      <c r="KQV45" s="10"/>
      <c r="KQW45" s="10"/>
      <c r="KQX45" s="10"/>
      <c r="KQY45" s="10"/>
      <c r="KQZ45" s="10"/>
      <c r="KRA45" s="10"/>
      <c r="KRB45" s="10"/>
      <c r="KRC45" s="10"/>
      <c r="KRD45" s="10"/>
      <c r="KRE45" s="10"/>
      <c r="KRF45" s="10"/>
      <c r="KRG45" s="10"/>
      <c r="KRH45" s="10"/>
      <c r="KRI45" s="10"/>
      <c r="KRJ45" s="10"/>
      <c r="KRK45" s="10"/>
      <c r="KRL45" s="10"/>
      <c r="KRM45" s="10"/>
      <c r="KRN45" s="10"/>
      <c r="KRO45" s="10"/>
      <c r="KRP45" s="10"/>
      <c r="KRQ45" s="10"/>
      <c r="KRR45" s="10"/>
      <c r="KRS45" s="10"/>
      <c r="KRT45" s="10"/>
      <c r="KRU45" s="10"/>
      <c r="KRV45" s="10"/>
      <c r="KRW45" s="10"/>
      <c r="KRX45" s="10"/>
      <c r="KRY45" s="10"/>
      <c r="KRZ45" s="10"/>
      <c r="KSA45" s="10"/>
      <c r="KSB45" s="10"/>
      <c r="KSC45" s="10"/>
      <c r="KSD45" s="10"/>
      <c r="KSE45" s="10"/>
      <c r="KSF45" s="10"/>
      <c r="KSG45" s="10"/>
      <c r="KSH45" s="10"/>
      <c r="KSI45" s="10"/>
      <c r="KSJ45" s="10"/>
      <c r="KSK45" s="10"/>
      <c r="KSL45" s="10"/>
      <c r="KSM45" s="10"/>
      <c r="KSN45" s="10"/>
      <c r="KSO45" s="10"/>
      <c r="KSP45" s="10"/>
      <c r="KSQ45" s="10"/>
      <c r="KSR45" s="10"/>
      <c r="KSS45" s="10"/>
      <c r="KST45" s="10"/>
      <c r="KSU45" s="10"/>
      <c r="KSV45" s="10"/>
      <c r="KSW45" s="10"/>
      <c r="KSX45" s="10"/>
      <c r="KSY45" s="10"/>
      <c r="KSZ45" s="10"/>
      <c r="KTA45" s="10"/>
      <c r="KTB45" s="10"/>
      <c r="KTC45" s="10"/>
      <c r="KTD45" s="10"/>
      <c r="KTE45" s="10"/>
      <c r="KTF45" s="10"/>
      <c r="KTG45" s="10"/>
      <c r="KTH45" s="10"/>
      <c r="KTI45" s="10"/>
      <c r="KTJ45" s="10"/>
      <c r="KTK45" s="10"/>
      <c r="KTL45" s="10"/>
      <c r="KTM45" s="10"/>
      <c r="KTN45" s="10"/>
      <c r="KTO45" s="10"/>
      <c r="KTP45" s="10"/>
      <c r="KTQ45" s="10"/>
      <c r="KTR45" s="10"/>
      <c r="KTS45" s="10"/>
      <c r="KTT45" s="10"/>
      <c r="KTU45" s="10"/>
      <c r="KTV45" s="10"/>
      <c r="KTW45" s="10"/>
      <c r="KTX45" s="10"/>
      <c r="KTY45" s="10"/>
      <c r="KTZ45" s="10"/>
      <c r="KUA45" s="10"/>
      <c r="KUB45" s="10"/>
      <c r="KUC45" s="10"/>
      <c r="KUD45" s="10"/>
      <c r="KUE45" s="10"/>
      <c r="KUF45" s="10"/>
      <c r="KUG45" s="10"/>
      <c r="KUH45" s="10"/>
      <c r="KUI45" s="10"/>
      <c r="KUJ45" s="10"/>
      <c r="KUK45" s="10"/>
      <c r="KUL45" s="10"/>
      <c r="KUM45" s="10"/>
      <c r="KUN45" s="10"/>
      <c r="KUO45" s="10"/>
      <c r="KUP45" s="10"/>
      <c r="KUQ45" s="10"/>
      <c r="KUR45" s="10"/>
      <c r="KUS45" s="10"/>
      <c r="KUT45" s="10"/>
      <c r="KUU45" s="10"/>
      <c r="KUV45" s="10"/>
      <c r="KUW45" s="10"/>
      <c r="KUX45" s="10"/>
      <c r="KUY45" s="10"/>
      <c r="KUZ45" s="10"/>
      <c r="KVA45" s="10"/>
      <c r="KVB45" s="10"/>
      <c r="KVC45" s="10"/>
      <c r="KVD45" s="10"/>
      <c r="KVE45" s="10"/>
      <c r="KVF45" s="10"/>
      <c r="KVG45" s="10"/>
      <c r="KVH45" s="10"/>
      <c r="KVI45" s="10"/>
      <c r="KVJ45" s="10"/>
      <c r="KVK45" s="10"/>
      <c r="KVL45" s="10"/>
      <c r="KVM45" s="10"/>
      <c r="KVN45" s="10"/>
      <c r="KVO45" s="10"/>
      <c r="KVP45" s="10"/>
      <c r="KVQ45" s="10"/>
      <c r="KVR45" s="10"/>
      <c r="KVS45" s="10"/>
      <c r="KVT45" s="10"/>
      <c r="KVU45" s="10"/>
      <c r="KVV45" s="10"/>
      <c r="KVW45" s="10"/>
      <c r="KVX45" s="10"/>
      <c r="KVY45" s="10"/>
      <c r="KVZ45" s="10"/>
      <c r="KWA45" s="10"/>
      <c r="KWB45" s="10"/>
      <c r="KWC45" s="10"/>
      <c r="KWD45" s="10"/>
      <c r="KWE45" s="10"/>
      <c r="KWF45" s="10"/>
      <c r="KWG45" s="10"/>
      <c r="KWH45" s="10"/>
      <c r="KWI45" s="10"/>
      <c r="KWJ45" s="10"/>
      <c r="KWK45" s="10"/>
      <c r="KWL45" s="10"/>
      <c r="KWM45" s="10"/>
      <c r="KWN45" s="10"/>
      <c r="KWO45" s="10"/>
      <c r="KWP45" s="10"/>
      <c r="KWQ45" s="10"/>
      <c r="KWR45" s="10"/>
      <c r="KWS45" s="10"/>
      <c r="KWT45" s="10"/>
      <c r="KWU45" s="10"/>
      <c r="KWV45" s="10"/>
      <c r="KWW45" s="10"/>
      <c r="KWX45" s="10"/>
      <c r="KWY45" s="10"/>
      <c r="KWZ45" s="10"/>
      <c r="KXA45" s="10"/>
      <c r="KXB45" s="10"/>
      <c r="KXC45" s="10"/>
      <c r="KXD45" s="10"/>
      <c r="KXE45" s="10"/>
      <c r="KXF45" s="10"/>
      <c r="KXG45" s="10"/>
      <c r="KXH45" s="10"/>
      <c r="KXI45" s="10"/>
      <c r="KXJ45" s="10"/>
      <c r="KXK45" s="10"/>
      <c r="KXL45" s="10"/>
      <c r="KXM45" s="10"/>
      <c r="KXN45" s="10"/>
      <c r="KXO45" s="10"/>
      <c r="KXP45" s="10"/>
      <c r="KXQ45" s="10"/>
      <c r="KXR45" s="10"/>
      <c r="KXS45" s="10"/>
      <c r="KXT45" s="10"/>
      <c r="KXU45" s="10"/>
      <c r="KXV45" s="10"/>
      <c r="KXW45" s="10"/>
      <c r="KXX45" s="10"/>
      <c r="KXY45" s="10"/>
      <c r="KXZ45" s="10"/>
      <c r="KYA45" s="10"/>
      <c r="KYB45" s="10"/>
      <c r="KYC45" s="10"/>
      <c r="KYD45" s="10"/>
      <c r="KYE45" s="10"/>
      <c r="KYF45" s="10"/>
      <c r="KYG45" s="10"/>
      <c r="KYH45" s="10"/>
      <c r="KYI45" s="10"/>
      <c r="KYJ45" s="10"/>
      <c r="KYK45" s="10"/>
      <c r="KYL45" s="10"/>
      <c r="KYM45" s="10"/>
      <c r="KYN45" s="10"/>
      <c r="KYO45" s="10"/>
      <c r="KYP45" s="10"/>
      <c r="KYQ45" s="10"/>
      <c r="KYR45" s="10"/>
      <c r="KYS45" s="10"/>
      <c r="KYT45" s="10"/>
      <c r="KYU45" s="10"/>
      <c r="KYV45" s="10"/>
      <c r="KYW45" s="10"/>
      <c r="KYX45" s="10"/>
      <c r="KYY45" s="10"/>
      <c r="KYZ45" s="10"/>
      <c r="KZA45" s="10"/>
      <c r="KZB45" s="10"/>
      <c r="KZC45" s="10"/>
      <c r="KZD45" s="10"/>
      <c r="KZE45" s="10"/>
      <c r="KZF45" s="10"/>
      <c r="KZG45" s="10"/>
      <c r="KZH45" s="10"/>
      <c r="KZI45" s="10"/>
      <c r="KZJ45" s="10"/>
      <c r="KZK45" s="10"/>
      <c r="KZL45" s="10"/>
      <c r="KZM45" s="10"/>
      <c r="KZN45" s="10"/>
      <c r="KZO45" s="10"/>
      <c r="KZP45" s="10"/>
      <c r="KZQ45" s="10"/>
      <c r="KZR45" s="10"/>
      <c r="KZS45" s="10"/>
      <c r="KZT45" s="10"/>
      <c r="KZU45" s="10"/>
      <c r="KZV45" s="10"/>
      <c r="KZW45" s="10"/>
      <c r="KZX45" s="10"/>
      <c r="KZY45" s="10"/>
      <c r="KZZ45" s="10"/>
      <c r="LAA45" s="10"/>
      <c r="LAB45" s="10"/>
      <c r="LAC45" s="10"/>
      <c r="LAD45" s="10"/>
      <c r="LAE45" s="10"/>
      <c r="LAF45" s="10"/>
      <c r="LAG45" s="10"/>
      <c r="LAH45" s="10"/>
      <c r="LAI45" s="10"/>
      <c r="LAJ45" s="10"/>
      <c r="LAK45" s="10"/>
      <c r="LAL45" s="10"/>
      <c r="LAM45" s="10"/>
      <c r="LAN45" s="10"/>
      <c r="LAO45" s="10"/>
      <c r="LAP45" s="10"/>
      <c r="LAQ45" s="10"/>
      <c r="LAR45" s="10"/>
      <c r="LAS45" s="10"/>
      <c r="LAT45" s="10"/>
      <c r="LAU45" s="10"/>
      <c r="LAV45" s="10"/>
      <c r="LAW45" s="10"/>
      <c r="LAX45" s="10"/>
      <c r="LAY45" s="10"/>
      <c r="LAZ45" s="10"/>
      <c r="LBA45" s="10"/>
      <c r="LBB45" s="10"/>
      <c r="LBC45" s="10"/>
      <c r="LBD45" s="10"/>
      <c r="LBE45" s="10"/>
      <c r="LBF45" s="10"/>
      <c r="LBG45" s="10"/>
      <c r="LBH45" s="10"/>
      <c r="LBI45" s="10"/>
      <c r="LBJ45" s="10"/>
      <c r="LBK45" s="10"/>
      <c r="LBL45" s="10"/>
      <c r="LBM45" s="10"/>
      <c r="LBN45" s="10"/>
      <c r="LBO45" s="10"/>
      <c r="LBP45" s="10"/>
      <c r="LBQ45" s="10"/>
      <c r="LBR45" s="10"/>
      <c r="LBS45" s="10"/>
      <c r="LBT45" s="10"/>
      <c r="LBU45" s="10"/>
      <c r="LBV45" s="10"/>
      <c r="LBW45" s="10"/>
      <c r="LBX45" s="10"/>
      <c r="LBY45" s="10"/>
      <c r="LBZ45" s="10"/>
      <c r="LCA45" s="10"/>
      <c r="LCB45" s="10"/>
      <c r="LCC45" s="10"/>
      <c r="LCD45" s="10"/>
      <c r="LCE45" s="10"/>
      <c r="LCF45" s="10"/>
      <c r="LCG45" s="10"/>
      <c r="LCH45" s="10"/>
      <c r="LCI45" s="10"/>
      <c r="LCJ45" s="10"/>
      <c r="LCK45" s="10"/>
      <c r="LCL45" s="10"/>
      <c r="LCM45" s="10"/>
      <c r="LCN45" s="10"/>
      <c r="LCO45" s="10"/>
      <c r="LCP45" s="10"/>
      <c r="LCQ45" s="10"/>
      <c r="LCR45" s="10"/>
      <c r="LCS45" s="10"/>
      <c r="LCT45" s="10"/>
      <c r="LCU45" s="10"/>
      <c r="LCV45" s="10"/>
      <c r="LCW45" s="10"/>
      <c r="LCX45" s="10"/>
      <c r="LCY45" s="10"/>
      <c r="LCZ45" s="10"/>
      <c r="LDA45" s="10"/>
      <c r="LDB45" s="10"/>
      <c r="LDC45" s="10"/>
      <c r="LDD45" s="10"/>
      <c r="LDE45" s="10"/>
      <c r="LDF45" s="10"/>
      <c r="LDG45" s="10"/>
      <c r="LDH45" s="10"/>
      <c r="LDI45" s="10"/>
      <c r="LDJ45" s="10"/>
      <c r="LDK45" s="10"/>
      <c r="LDL45" s="10"/>
      <c r="LDM45" s="10"/>
      <c r="LDN45" s="10"/>
      <c r="LDO45" s="10"/>
      <c r="LDP45" s="10"/>
      <c r="LDQ45" s="10"/>
      <c r="LDR45" s="10"/>
      <c r="LDS45" s="10"/>
      <c r="LDT45" s="10"/>
      <c r="LDU45" s="10"/>
      <c r="LDV45" s="10"/>
      <c r="LDW45" s="10"/>
      <c r="LDX45" s="10"/>
      <c r="LDY45" s="10"/>
      <c r="LDZ45" s="10"/>
      <c r="LEA45" s="10"/>
      <c r="LEB45" s="10"/>
      <c r="LEC45" s="10"/>
      <c r="LED45" s="10"/>
      <c r="LEE45" s="10"/>
      <c r="LEF45" s="10"/>
      <c r="LEG45" s="10"/>
      <c r="LEH45" s="10"/>
      <c r="LEI45" s="10"/>
      <c r="LEJ45" s="10"/>
      <c r="LEK45" s="10"/>
      <c r="LEL45" s="10"/>
      <c r="LEM45" s="10"/>
      <c r="LEN45" s="10"/>
      <c r="LEO45" s="10"/>
      <c r="LEP45" s="10"/>
      <c r="LEQ45" s="10"/>
      <c r="LER45" s="10"/>
      <c r="LES45" s="10"/>
      <c r="LET45" s="10"/>
      <c r="LEU45" s="10"/>
      <c r="LEV45" s="10"/>
      <c r="LEW45" s="10"/>
      <c r="LEX45" s="10"/>
      <c r="LEY45" s="10"/>
      <c r="LEZ45" s="10"/>
      <c r="LFA45" s="10"/>
      <c r="LFB45" s="10"/>
      <c r="LFC45" s="10"/>
      <c r="LFD45" s="10"/>
      <c r="LFE45" s="10"/>
      <c r="LFF45" s="10"/>
      <c r="LFG45" s="10"/>
      <c r="LFH45" s="10"/>
      <c r="LFI45" s="10"/>
      <c r="LFJ45" s="10"/>
      <c r="LFK45" s="10"/>
      <c r="LFL45" s="10"/>
      <c r="LFM45" s="10"/>
      <c r="LFN45" s="10"/>
      <c r="LFO45" s="10"/>
      <c r="LFP45" s="10"/>
      <c r="LFQ45" s="10"/>
      <c r="LFR45" s="10"/>
      <c r="LFS45" s="10"/>
      <c r="LFT45" s="10"/>
      <c r="LFU45" s="10"/>
      <c r="LFV45" s="10"/>
      <c r="LFW45" s="10"/>
      <c r="LFX45" s="10"/>
      <c r="LFY45" s="10"/>
      <c r="LFZ45" s="10"/>
      <c r="LGA45" s="10"/>
      <c r="LGB45" s="10"/>
      <c r="LGC45" s="10"/>
      <c r="LGD45" s="10"/>
      <c r="LGE45" s="10"/>
      <c r="LGF45" s="10"/>
      <c r="LGG45" s="10"/>
      <c r="LGH45" s="10"/>
      <c r="LGI45" s="10"/>
      <c r="LGJ45" s="10"/>
      <c r="LGK45" s="10"/>
      <c r="LGL45" s="10"/>
      <c r="LGM45" s="10"/>
      <c r="LGN45" s="10"/>
      <c r="LGO45" s="10"/>
      <c r="LGP45" s="10"/>
      <c r="LGQ45" s="10"/>
      <c r="LGR45" s="10"/>
      <c r="LGS45" s="10"/>
      <c r="LGT45" s="10"/>
      <c r="LGU45" s="10"/>
      <c r="LGV45" s="10"/>
      <c r="LGW45" s="10"/>
      <c r="LGX45" s="10"/>
      <c r="LGY45" s="10"/>
      <c r="LGZ45" s="10"/>
      <c r="LHA45" s="10"/>
      <c r="LHB45" s="10"/>
      <c r="LHC45" s="10"/>
      <c r="LHD45" s="10"/>
      <c r="LHE45" s="10"/>
      <c r="LHF45" s="10"/>
      <c r="LHG45" s="10"/>
      <c r="LHH45" s="10"/>
      <c r="LHI45" s="10"/>
      <c r="LHJ45" s="10"/>
      <c r="LHK45" s="10"/>
      <c r="LHL45" s="10"/>
      <c r="LHM45" s="10"/>
      <c r="LHN45" s="10"/>
      <c r="LHO45" s="10"/>
      <c r="LHP45" s="10"/>
      <c r="LHQ45" s="10"/>
      <c r="LHR45" s="10"/>
      <c r="LHS45" s="10"/>
      <c r="LHT45" s="10"/>
      <c r="LHU45" s="10"/>
      <c r="LHV45" s="10"/>
      <c r="LHW45" s="10"/>
      <c r="LHX45" s="10"/>
      <c r="LHY45" s="10"/>
      <c r="LHZ45" s="10"/>
      <c r="LIA45" s="10"/>
      <c r="LIB45" s="10"/>
      <c r="LIC45" s="10"/>
      <c r="LID45" s="10"/>
      <c r="LIE45" s="10"/>
      <c r="LIF45" s="10"/>
      <c r="LIG45" s="10"/>
      <c r="LIH45" s="10"/>
      <c r="LII45" s="10"/>
      <c r="LIJ45" s="10"/>
      <c r="LIK45" s="10"/>
      <c r="LIL45" s="10"/>
      <c r="LIM45" s="10"/>
      <c r="LIN45" s="10"/>
      <c r="LIO45" s="10"/>
      <c r="LIP45" s="10"/>
      <c r="LIQ45" s="10"/>
      <c r="LIR45" s="10"/>
      <c r="LIS45" s="10"/>
      <c r="LIT45" s="10"/>
      <c r="LIU45" s="10"/>
      <c r="LIV45" s="10"/>
      <c r="LIW45" s="10"/>
      <c r="LIX45" s="10"/>
      <c r="LIY45" s="10"/>
      <c r="LIZ45" s="10"/>
      <c r="LJA45" s="10"/>
      <c r="LJB45" s="10"/>
      <c r="LJC45" s="10"/>
      <c r="LJD45" s="10"/>
      <c r="LJE45" s="10"/>
      <c r="LJF45" s="10"/>
      <c r="LJG45" s="10"/>
      <c r="LJH45" s="10"/>
      <c r="LJI45" s="10"/>
      <c r="LJJ45" s="10"/>
      <c r="LJK45" s="10"/>
      <c r="LJL45" s="10"/>
      <c r="LJM45" s="10"/>
      <c r="LJN45" s="10"/>
      <c r="LJO45" s="10"/>
      <c r="LJP45" s="10"/>
      <c r="LJQ45" s="10"/>
      <c r="LJR45" s="10"/>
      <c r="LJS45" s="10"/>
      <c r="LJT45" s="10"/>
      <c r="LJU45" s="10"/>
      <c r="LJV45" s="10"/>
      <c r="LJW45" s="10"/>
      <c r="LJX45" s="10"/>
      <c r="LJY45" s="10"/>
      <c r="LJZ45" s="10"/>
      <c r="LKA45" s="10"/>
      <c r="LKB45" s="10"/>
      <c r="LKC45" s="10"/>
      <c r="LKD45" s="10"/>
      <c r="LKE45" s="10"/>
      <c r="LKF45" s="10"/>
      <c r="LKG45" s="10"/>
      <c r="LKH45" s="10"/>
      <c r="LKI45" s="10"/>
      <c r="LKJ45" s="10"/>
      <c r="LKK45" s="10"/>
      <c r="LKL45" s="10"/>
      <c r="LKM45" s="10"/>
      <c r="LKN45" s="10"/>
      <c r="LKO45" s="10"/>
      <c r="LKP45" s="10"/>
      <c r="LKQ45" s="10"/>
      <c r="LKR45" s="10"/>
      <c r="LKS45" s="10"/>
      <c r="LKT45" s="10"/>
      <c r="LKU45" s="10"/>
      <c r="LKV45" s="10"/>
      <c r="LKW45" s="10"/>
      <c r="LKX45" s="10"/>
      <c r="LKY45" s="10"/>
      <c r="LKZ45" s="10"/>
      <c r="LLA45" s="10"/>
      <c r="LLB45" s="10"/>
      <c r="LLC45" s="10"/>
      <c r="LLD45" s="10"/>
      <c r="LLE45" s="10"/>
      <c r="LLF45" s="10"/>
      <c r="LLG45" s="10"/>
      <c r="LLH45" s="10"/>
      <c r="LLI45" s="10"/>
      <c r="LLJ45" s="10"/>
      <c r="LLK45" s="10"/>
      <c r="LLL45" s="10"/>
      <c r="LLM45" s="10"/>
      <c r="LLN45" s="10"/>
      <c r="LLO45" s="10"/>
      <c r="LLP45" s="10"/>
      <c r="LLQ45" s="10"/>
      <c r="LLR45" s="10"/>
      <c r="LLS45" s="10"/>
      <c r="LLT45" s="10"/>
      <c r="LLU45" s="10"/>
      <c r="LLV45" s="10"/>
      <c r="LLW45" s="10"/>
      <c r="LLX45" s="10"/>
      <c r="LLY45" s="10"/>
      <c r="LLZ45" s="10"/>
      <c r="LMA45" s="10"/>
      <c r="LMB45" s="10"/>
      <c r="LMC45" s="10"/>
      <c r="LMD45" s="10"/>
      <c r="LME45" s="10"/>
      <c r="LMF45" s="10"/>
      <c r="LMG45" s="10"/>
      <c r="LMH45" s="10"/>
      <c r="LMI45" s="10"/>
      <c r="LMJ45" s="10"/>
      <c r="LMK45" s="10"/>
      <c r="LML45" s="10"/>
      <c r="LMM45" s="10"/>
      <c r="LMN45" s="10"/>
      <c r="LMO45" s="10"/>
      <c r="LMP45" s="10"/>
      <c r="LMQ45" s="10"/>
      <c r="LMR45" s="10"/>
      <c r="LMS45" s="10"/>
      <c r="LMT45" s="10"/>
      <c r="LMU45" s="10"/>
      <c r="LMV45" s="10"/>
      <c r="LMW45" s="10"/>
      <c r="LMX45" s="10"/>
      <c r="LMY45" s="10"/>
      <c r="LMZ45" s="10"/>
      <c r="LNA45" s="10"/>
      <c r="LNB45" s="10"/>
      <c r="LNC45" s="10"/>
      <c r="LND45" s="10"/>
      <c r="LNE45" s="10"/>
      <c r="LNF45" s="10"/>
      <c r="LNG45" s="10"/>
      <c r="LNH45" s="10"/>
      <c r="LNI45" s="10"/>
      <c r="LNJ45" s="10"/>
      <c r="LNK45" s="10"/>
      <c r="LNL45" s="10"/>
      <c r="LNM45" s="10"/>
      <c r="LNN45" s="10"/>
      <c r="LNO45" s="10"/>
      <c r="LNP45" s="10"/>
      <c r="LNQ45" s="10"/>
      <c r="LNR45" s="10"/>
      <c r="LNS45" s="10"/>
      <c r="LNT45" s="10"/>
      <c r="LNU45" s="10"/>
      <c r="LNV45" s="10"/>
      <c r="LNW45" s="10"/>
      <c r="LNX45" s="10"/>
      <c r="LNY45" s="10"/>
      <c r="LNZ45" s="10"/>
      <c r="LOA45" s="10"/>
      <c r="LOB45" s="10"/>
      <c r="LOC45" s="10"/>
      <c r="LOD45" s="10"/>
      <c r="LOE45" s="10"/>
      <c r="LOF45" s="10"/>
      <c r="LOG45" s="10"/>
      <c r="LOH45" s="10"/>
      <c r="LOI45" s="10"/>
      <c r="LOJ45" s="10"/>
      <c r="LOK45" s="10"/>
      <c r="LOL45" s="10"/>
      <c r="LOM45" s="10"/>
      <c r="LON45" s="10"/>
      <c r="LOO45" s="10"/>
      <c r="LOP45" s="10"/>
      <c r="LOQ45" s="10"/>
      <c r="LOR45" s="10"/>
      <c r="LOS45" s="10"/>
      <c r="LOT45" s="10"/>
      <c r="LOU45" s="10"/>
      <c r="LOV45" s="10"/>
      <c r="LOW45" s="10"/>
      <c r="LOX45" s="10"/>
      <c r="LOY45" s="10"/>
      <c r="LOZ45" s="10"/>
      <c r="LPA45" s="10"/>
      <c r="LPB45" s="10"/>
      <c r="LPC45" s="10"/>
      <c r="LPD45" s="10"/>
      <c r="LPE45" s="10"/>
      <c r="LPF45" s="10"/>
      <c r="LPG45" s="10"/>
      <c r="LPH45" s="10"/>
      <c r="LPI45" s="10"/>
      <c r="LPJ45" s="10"/>
      <c r="LPK45" s="10"/>
      <c r="LPL45" s="10"/>
      <c r="LPM45" s="10"/>
      <c r="LPN45" s="10"/>
      <c r="LPO45" s="10"/>
      <c r="LPP45" s="10"/>
      <c r="LPQ45" s="10"/>
      <c r="LPR45" s="10"/>
      <c r="LPS45" s="10"/>
      <c r="LPT45" s="10"/>
      <c r="LPU45" s="10"/>
      <c r="LPV45" s="10"/>
      <c r="LPW45" s="10"/>
      <c r="LPX45" s="10"/>
      <c r="LPY45" s="10"/>
      <c r="LPZ45" s="10"/>
      <c r="LQA45" s="10"/>
      <c r="LQB45" s="10"/>
      <c r="LQC45" s="10"/>
      <c r="LQD45" s="10"/>
      <c r="LQE45" s="10"/>
      <c r="LQF45" s="10"/>
      <c r="LQG45" s="10"/>
      <c r="LQH45" s="10"/>
      <c r="LQI45" s="10"/>
      <c r="LQJ45" s="10"/>
      <c r="LQK45" s="10"/>
      <c r="LQL45" s="10"/>
      <c r="LQM45" s="10"/>
      <c r="LQN45" s="10"/>
      <c r="LQO45" s="10"/>
      <c r="LQP45" s="10"/>
      <c r="LQQ45" s="10"/>
      <c r="LQR45" s="10"/>
      <c r="LQS45" s="10"/>
      <c r="LQT45" s="10"/>
      <c r="LQU45" s="10"/>
      <c r="LQV45" s="10"/>
      <c r="LQW45" s="10"/>
      <c r="LQX45" s="10"/>
      <c r="LQY45" s="10"/>
      <c r="LQZ45" s="10"/>
      <c r="LRA45" s="10"/>
      <c r="LRB45" s="10"/>
      <c r="LRC45" s="10"/>
      <c r="LRD45" s="10"/>
      <c r="LRE45" s="10"/>
      <c r="LRF45" s="10"/>
      <c r="LRG45" s="10"/>
      <c r="LRH45" s="10"/>
      <c r="LRI45" s="10"/>
      <c r="LRJ45" s="10"/>
      <c r="LRK45" s="10"/>
      <c r="LRL45" s="10"/>
      <c r="LRM45" s="10"/>
      <c r="LRN45" s="10"/>
      <c r="LRO45" s="10"/>
      <c r="LRP45" s="10"/>
      <c r="LRQ45" s="10"/>
      <c r="LRR45" s="10"/>
      <c r="LRS45" s="10"/>
      <c r="LRT45" s="10"/>
      <c r="LRU45" s="10"/>
      <c r="LRV45" s="10"/>
      <c r="LRW45" s="10"/>
      <c r="LRX45" s="10"/>
      <c r="LRY45" s="10"/>
      <c r="LRZ45" s="10"/>
      <c r="LSA45" s="10"/>
      <c r="LSB45" s="10"/>
      <c r="LSC45" s="10"/>
      <c r="LSD45" s="10"/>
      <c r="LSE45" s="10"/>
      <c r="LSF45" s="10"/>
      <c r="LSG45" s="10"/>
      <c r="LSH45" s="10"/>
      <c r="LSI45" s="10"/>
      <c r="LSJ45" s="10"/>
      <c r="LSK45" s="10"/>
      <c r="LSL45" s="10"/>
      <c r="LSM45" s="10"/>
      <c r="LSN45" s="10"/>
      <c r="LSO45" s="10"/>
      <c r="LSP45" s="10"/>
      <c r="LSQ45" s="10"/>
      <c r="LSR45" s="10"/>
      <c r="LSS45" s="10"/>
      <c r="LST45" s="10"/>
      <c r="LSU45" s="10"/>
      <c r="LSV45" s="10"/>
      <c r="LSW45" s="10"/>
      <c r="LSX45" s="10"/>
      <c r="LSY45" s="10"/>
      <c r="LSZ45" s="10"/>
      <c r="LTA45" s="10"/>
      <c r="LTB45" s="10"/>
      <c r="LTC45" s="10"/>
      <c r="LTD45" s="10"/>
      <c r="LTE45" s="10"/>
      <c r="LTF45" s="10"/>
      <c r="LTG45" s="10"/>
      <c r="LTH45" s="10"/>
      <c r="LTI45" s="10"/>
      <c r="LTJ45" s="10"/>
      <c r="LTK45" s="10"/>
      <c r="LTL45" s="10"/>
      <c r="LTM45" s="10"/>
      <c r="LTN45" s="10"/>
      <c r="LTO45" s="10"/>
      <c r="LTP45" s="10"/>
      <c r="LTQ45" s="10"/>
      <c r="LTR45" s="10"/>
      <c r="LTS45" s="10"/>
      <c r="LTT45" s="10"/>
      <c r="LTU45" s="10"/>
      <c r="LTV45" s="10"/>
      <c r="LTW45" s="10"/>
      <c r="LTX45" s="10"/>
      <c r="LTY45" s="10"/>
      <c r="LTZ45" s="10"/>
      <c r="LUA45" s="10"/>
      <c r="LUB45" s="10"/>
      <c r="LUC45" s="10"/>
      <c r="LUD45" s="10"/>
      <c r="LUE45" s="10"/>
      <c r="LUF45" s="10"/>
      <c r="LUG45" s="10"/>
      <c r="LUH45" s="10"/>
      <c r="LUI45" s="10"/>
      <c r="LUJ45" s="10"/>
      <c r="LUK45" s="10"/>
      <c r="LUL45" s="10"/>
      <c r="LUM45" s="10"/>
      <c r="LUN45" s="10"/>
      <c r="LUO45" s="10"/>
      <c r="LUP45" s="10"/>
      <c r="LUQ45" s="10"/>
      <c r="LUR45" s="10"/>
      <c r="LUS45" s="10"/>
      <c r="LUT45" s="10"/>
      <c r="LUU45" s="10"/>
      <c r="LUV45" s="10"/>
      <c r="LUW45" s="10"/>
      <c r="LUX45" s="10"/>
      <c r="LUY45" s="10"/>
      <c r="LUZ45" s="10"/>
      <c r="LVA45" s="10"/>
      <c r="LVB45" s="10"/>
      <c r="LVC45" s="10"/>
      <c r="LVD45" s="10"/>
      <c r="LVE45" s="10"/>
      <c r="LVF45" s="10"/>
      <c r="LVG45" s="10"/>
      <c r="LVH45" s="10"/>
      <c r="LVI45" s="10"/>
      <c r="LVJ45" s="10"/>
      <c r="LVK45" s="10"/>
      <c r="LVL45" s="10"/>
      <c r="LVM45" s="10"/>
      <c r="LVN45" s="10"/>
      <c r="LVO45" s="10"/>
      <c r="LVP45" s="10"/>
      <c r="LVQ45" s="10"/>
      <c r="LVR45" s="10"/>
      <c r="LVS45" s="10"/>
      <c r="LVT45" s="10"/>
      <c r="LVU45" s="10"/>
      <c r="LVV45" s="10"/>
      <c r="LVW45" s="10"/>
      <c r="LVX45" s="10"/>
      <c r="LVY45" s="10"/>
      <c r="LVZ45" s="10"/>
      <c r="LWA45" s="10"/>
      <c r="LWB45" s="10"/>
      <c r="LWC45" s="10"/>
      <c r="LWD45" s="10"/>
      <c r="LWE45" s="10"/>
      <c r="LWF45" s="10"/>
      <c r="LWG45" s="10"/>
      <c r="LWH45" s="10"/>
      <c r="LWI45" s="10"/>
      <c r="LWJ45" s="10"/>
      <c r="LWK45" s="10"/>
      <c r="LWL45" s="10"/>
      <c r="LWM45" s="10"/>
      <c r="LWN45" s="10"/>
      <c r="LWO45" s="10"/>
      <c r="LWP45" s="10"/>
      <c r="LWQ45" s="10"/>
      <c r="LWR45" s="10"/>
      <c r="LWS45" s="10"/>
      <c r="LWT45" s="10"/>
      <c r="LWU45" s="10"/>
      <c r="LWV45" s="10"/>
      <c r="LWW45" s="10"/>
      <c r="LWX45" s="10"/>
      <c r="LWY45" s="10"/>
      <c r="LWZ45" s="10"/>
      <c r="LXA45" s="10"/>
      <c r="LXB45" s="10"/>
      <c r="LXC45" s="10"/>
      <c r="LXD45" s="10"/>
      <c r="LXE45" s="10"/>
      <c r="LXF45" s="10"/>
      <c r="LXG45" s="10"/>
      <c r="LXH45" s="10"/>
      <c r="LXI45" s="10"/>
      <c r="LXJ45" s="10"/>
      <c r="LXK45" s="10"/>
      <c r="LXL45" s="10"/>
      <c r="LXM45" s="10"/>
      <c r="LXN45" s="10"/>
      <c r="LXO45" s="10"/>
      <c r="LXP45" s="10"/>
      <c r="LXQ45" s="10"/>
      <c r="LXR45" s="10"/>
      <c r="LXS45" s="10"/>
      <c r="LXT45" s="10"/>
      <c r="LXU45" s="10"/>
      <c r="LXV45" s="10"/>
      <c r="LXW45" s="10"/>
      <c r="LXX45" s="10"/>
      <c r="LXY45" s="10"/>
      <c r="LXZ45" s="10"/>
      <c r="LYA45" s="10"/>
      <c r="LYB45" s="10"/>
      <c r="LYC45" s="10"/>
      <c r="LYD45" s="10"/>
      <c r="LYE45" s="10"/>
      <c r="LYF45" s="10"/>
      <c r="LYG45" s="10"/>
      <c r="LYH45" s="10"/>
      <c r="LYI45" s="10"/>
      <c r="LYJ45" s="10"/>
      <c r="LYK45" s="10"/>
      <c r="LYL45" s="10"/>
      <c r="LYM45" s="10"/>
      <c r="LYN45" s="10"/>
      <c r="LYO45" s="10"/>
      <c r="LYP45" s="10"/>
      <c r="LYQ45" s="10"/>
      <c r="LYR45" s="10"/>
      <c r="LYS45" s="10"/>
      <c r="LYT45" s="10"/>
      <c r="LYU45" s="10"/>
      <c r="LYV45" s="10"/>
      <c r="LYW45" s="10"/>
      <c r="LYX45" s="10"/>
      <c r="LYY45" s="10"/>
      <c r="LYZ45" s="10"/>
      <c r="LZA45" s="10"/>
      <c r="LZB45" s="10"/>
      <c r="LZC45" s="10"/>
      <c r="LZD45" s="10"/>
      <c r="LZE45" s="10"/>
      <c r="LZF45" s="10"/>
      <c r="LZG45" s="10"/>
      <c r="LZH45" s="10"/>
      <c r="LZI45" s="10"/>
      <c r="LZJ45" s="10"/>
      <c r="LZK45" s="10"/>
      <c r="LZL45" s="10"/>
      <c r="LZM45" s="10"/>
      <c r="LZN45" s="10"/>
      <c r="LZO45" s="10"/>
      <c r="LZP45" s="10"/>
      <c r="LZQ45" s="10"/>
      <c r="LZR45" s="10"/>
      <c r="LZS45" s="10"/>
      <c r="LZT45" s="10"/>
      <c r="LZU45" s="10"/>
      <c r="LZV45" s="10"/>
      <c r="LZW45" s="10"/>
      <c r="LZX45" s="10"/>
      <c r="LZY45" s="10"/>
      <c r="LZZ45" s="10"/>
      <c r="MAA45" s="10"/>
      <c r="MAB45" s="10"/>
      <c r="MAC45" s="10"/>
      <c r="MAD45" s="10"/>
      <c r="MAE45" s="10"/>
      <c r="MAF45" s="10"/>
      <c r="MAG45" s="10"/>
      <c r="MAH45" s="10"/>
      <c r="MAI45" s="10"/>
      <c r="MAJ45" s="10"/>
      <c r="MAK45" s="10"/>
      <c r="MAL45" s="10"/>
      <c r="MAM45" s="10"/>
      <c r="MAN45" s="10"/>
      <c r="MAO45" s="10"/>
      <c r="MAP45" s="10"/>
      <c r="MAQ45" s="10"/>
      <c r="MAR45" s="10"/>
      <c r="MAS45" s="10"/>
      <c r="MAT45" s="10"/>
      <c r="MAU45" s="10"/>
      <c r="MAV45" s="10"/>
      <c r="MAW45" s="10"/>
      <c r="MAX45" s="10"/>
      <c r="MAY45" s="10"/>
      <c r="MAZ45" s="10"/>
      <c r="MBA45" s="10"/>
      <c r="MBB45" s="10"/>
      <c r="MBC45" s="10"/>
      <c r="MBD45" s="10"/>
      <c r="MBE45" s="10"/>
      <c r="MBF45" s="10"/>
      <c r="MBG45" s="10"/>
      <c r="MBH45" s="10"/>
      <c r="MBI45" s="10"/>
      <c r="MBJ45" s="10"/>
      <c r="MBK45" s="10"/>
      <c r="MBL45" s="10"/>
      <c r="MBM45" s="10"/>
      <c r="MBN45" s="10"/>
      <c r="MBO45" s="10"/>
      <c r="MBP45" s="10"/>
      <c r="MBQ45" s="10"/>
      <c r="MBR45" s="10"/>
      <c r="MBS45" s="10"/>
      <c r="MBT45" s="10"/>
      <c r="MBU45" s="10"/>
      <c r="MBV45" s="10"/>
      <c r="MBW45" s="10"/>
      <c r="MBX45" s="10"/>
      <c r="MBY45" s="10"/>
      <c r="MBZ45" s="10"/>
      <c r="MCA45" s="10"/>
      <c r="MCB45" s="10"/>
      <c r="MCC45" s="10"/>
      <c r="MCD45" s="10"/>
      <c r="MCE45" s="10"/>
      <c r="MCF45" s="10"/>
      <c r="MCG45" s="10"/>
      <c r="MCH45" s="10"/>
      <c r="MCI45" s="10"/>
      <c r="MCJ45" s="10"/>
      <c r="MCK45" s="10"/>
      <c r="MCL45" s="10"/>
      <c r="MCM45" s="10"/>
      <c r="MCN45" s="10"/>
      <c r="MCO45" s="10"/>
      <c r="MCP45" s="10"/>
      <c r="MCQ45" s="10"/>
      <c r="MCR45" s="10"/>
      <c r="MCS45" s="10"/>
      <c r="MCT45" s="10"/>
      <c r="MCU45" s="10"/>
      <c r="MCV45" s="10"/>
      <c r="MCW45" s="10"/>
      <c r="MCX45" s="10"/>
      <c r="MCY45" s="10"/>
      <c r="MCZ45" s="10"/>
      <c r="MDA45" s="10"/>
      <c r="MDB45" s="10"/>
      <c r="MDC45" s="10"/>
      <c r="MDD45" s="10"/>
      <c r="MDE45" s="10"/>
      <c r="MDF45" s="10"/>
      <c r="MDG45" s="10"/>
      <c r="MDH45" s="10"/>
      <c r="MDI45" s="10"/>
      <c r="MDJ45" s="10"/>
      <c r="MDK45" s="10"/>
      <c r="MDL45" s="10"/>
      <c r="MDM45" s="10"/>
      <c r="MDN45" s="10"/>
      <c r="MDO45" s="10"/>
      <c r="MDP45" s="10"/>
      <c r="MDQ45" s="10"/>
      <c r="MDR45" s="10"/>
      <c r="MDS45" s="10"/>
      <c r="MDT45" s="10"/>
      <c r="MDU45" s="10"/>
      <c r="MDV45" s="10"/>
      <c r="MDW45" s="10"/>
      <c r="MDX45" s="10"/>
      <c r="MDY45" s="10"/>
      <c r="MDZ45" s="10"/>
      <c r="MEA45" s="10"/>
      <c r="MEB45" s="10"/>
      <c r="MEC45" s="10"/>
      <c r="MED45" s="10"/>
      <c r="MEE45" s="10"/>
      <c r="MEF45" s="10"/>
      <c r="MEG45" s="10"/>
      <c r="MEH45" s="10"/>
      <c r="MEI45" s="10"/>
      <c r="MEJ45" s="10"/>
      <c r="MEK45" s="10"/>
      <c r="MEL45" s="10"/>
      <c r="MEM45" s="10"/>
      <c r="MEN45" s="10"/>
      <c r="MEO45" s="10"/>
      <c r="MEP45" s="10"/>
      <c r="MEQ45" s="10"/>
      <c r="MER45" s="10"/>
      <c r="MES45" s="10"/>
      <c r="MET45" s="10"/>
      <c r="MEU45" s="10"/>
      <c r="MEV45" s="10"/>
      <c r="MEW45" s="10"/>
      <c r="MEX45" s="10"/>
      <c r="MEY45" s="10"/>
      <c r="MEZ45" s="10"/>
      <c r="MFA45" s="10"/>
      <c r="MFB45" s="10"/>
      <c r="MFC45" s="10"/>
      <c r="MFD45" s="10"/>
      <c r="MFE45" s="10"/>
      <c r="MFF45" s="10"/>
      <c r="MFG45" s="10"/>
      <c r="MFH45" s="10"/>
      <c r="MFI45" s="10"/>
      <c r="MFJ45" s="10"/>
      <c r="MFK45" s="10"/>
      <c r="MFL45" s="10"/>
      <c r="MFM45" s="10"/>
      <c r="MFN45" s="10"/>
      <c r="MFO45" s="10"/>
      <c r="MFP45" s="10"/>
      <c r="MFQ45" s="10"/>
      <c r="MFR45" s="10"/>
      <c r="MFS45" s="10"/>
      <c r="MFT45" s="10"/>
      <c r="MFU45" s="10"/>
      <c r="MFV45" s="10"/>
      <c r="MFW45" s="10"/>
      <c r="MFX45" s="10"/>
      <c r="MFY45" s="10"/>
      <c r="MFZ45" s="10"/>
      <c r="MGA45" s="10"/>
      <c r="MGB45" s="10"/>
      <c r="MGC45" s="10"/>
      <c r="MGD45" s="10"/>
      <c r="MGE45" s="10"/>
      <c r="MGF45" s="10"/>
      <c r="MGG45" s="10"/>
      <c r="MGH45" s="10"/>
      <c r="MGI45" s="10"/>
      <c r="MGJ45" s="10"/>
      <c r="MGK45" s="10"/>
      <c r="MGL45" s="10"/>
      <c r="MGM45" s="10"/>
      <c r="MGN45" s="10"/>
      <c r="MGO45" s="10"/>
      <c r="MGP45" s="10"/>
      <c r="MGQ45" s="10"/>
      <c r="MGR45" s="10"/>
      <c r="MGS45" s="10"/>
      <c r="MGT45" s="10"/>
      <c r="MGU45" s="10"/>
      <c r="MGV45" s="10"/>
      <c r="MGW45" s="10"/>
      <c r="MGX45" s="10"/>
      <c r="MGY45" s="10"/>
      <c r="MGZ45" s="10"/>
      <c r="MHA45" s="10"/>
      <c r="MHB45" s="10"/>
      <c r="MHC45" s="10"/>
      <c r="MHD45" s="10"/>
      <c r="MHE45" s="10"/>
      <c r="MHF45" s="10"/>
      <c r="MHG45" s="10"/>
      <c r="MHH45" s="10"/>
      <c r="MHI45" s="10"/>
      <c r="MHJ45" s="10"/>
      <c r="MHK45" s="10"/>
      <c r="MHL45" s="10"/>
      <c r="MHM45" s="10"/>
      <c r="MHN45" s="10"/>
      <c r="MHO45" s="10"/>
      <c r="MHP45" s="10"/>
      <c r="MHQ45" s="10"/>
      <c r="MHR45" s="10"/>
      <c r="MHS45" s="10"/>
      <c r="MHT45" s="10"/>
      <c r="MHU45" s="10"/>
      <c r="MHV45" s="10"/>
      <c r="MHW45" s="10"/>
      <c r="MHX45" s="10"/>
      <c r="MHY45" s="10"/>
      <c r="MHZ45" s="10"/>
      <c r="MIA45" s="10"/>
      <c r="MIB45" s="10"/>
      <c r="MIC45" s="10"/>
      <c r="MID45" s="10"/>
      <c r="MIE45" s="10"/>
      <c r="MIF45" s="10"/>
      <c r="MIG45" s="10"/>
      <c r="MIH45" s="10"/>
      <c r="MII45" s="10"/>
      <c r="MIJ45" s="10"/>
      <c r="MIK45" s="10"/>
      <c r="MIL45" s="10"/>
      <c r="MIM45" s="10"/>
      <c r="MIN45" s="10"/>
      <c r="MIO45" s="10"/>
      <c r="MIP45" s="10"/>
      <c r="MIQ45" s="10"/>
      <c r="MIR45" s="10"/>
      <c r="MIS45" s="10"/>
      <c r="MIT45" s="10"/>
      <c r="MIU45" s="10"/>
      <c r="MIV45" s="10"/>
      <c r="MIW45" s="10"/>
      <c r="MIX45" s="10"/>
      <c r="MIY45" s="10"/>
      <c r="MIZ45" s="10"/>
      <c r="MJA45" s="10"/>
      <c r="MJB45" s="10"/>
      <c r="MJC45" s="10"/>
      <c r="MJD45" s="10"/>
      <c r="MJE45" s="10"/>
      <c r="MJF45" s="10"/>
      <c r="MJG45" s="10"/>
      <c r="MJH45" s="10"/>
      <c r="MJI45" s="10"/>
      <c r="MJJ45" s="10"/>
      <c r="MJK45" s="10"/>
      <c r="MJL45" s="10"/>
      <c r="MJM45" s="10"/>
      <c r="MJN45" s="10"/>
      <c r="MJO45" s="10"/>
      <c r="MJP45" s="10"/>
      <c r="MJQ45" s="10"/>
      <c r="MJR45" s="10"/>
      <c r="MJS45" s="10"/>
      <c r="MJT45" s="10"/>
      <c r="MJU45" s="10"/>
      <c r="MJV45" s="10"/>
      <c r="MJW45" s="10"/>
      <c r="MJX45" s="10"/>
      <c r="MJY45" s="10"/>
      <c r="MJZ45" s="10"/>
      <c r="MKA45" s="10"/>
      <c r="MKB45" s="10"/>
      <c r="MKC45" s="10"/>
      <c r="MKD45" s="10"/>
      <c r="MKE45" s="10"/>
      <c r="MKF45" s="10"/>
      <c r="MKG45" s="10"/>
      <c r="MKH45" s="10"/>
      <c r="MKI45" s="10"/>
      <c r="MKJ45" s="10"/>
      <c r="MKK45" s="10"/>
      <c r="MKL45" s="10"/>
      <c r="MKM45" s="10"/>
      <c r="MKN45" s="10"/>
      <c r="MKO45" s="10"/>
      <c r="MKP45" s="10"/>
      <c r="MKQ45" s="10"/>
      <c r="MKR45" s="10"/>
      <c r="MKS45" s="10"/>
      <c r="MKT45" s="10"/>
      <c r="MKU45" s="10"/>
      <c r="MKV45" s="10"/>
      <c r="MKW45" s="10"/>
      <c r="MKX45" s="10"/>
      <c r="MKY45" s="10"/>
      <c r="MKZ45" s="10"/>
      <c r="MLA45" s="10"/>
      <c r="MLB45" s="10"/>
      <c r="MLC45" s="10"/>
      <c r="MLD45" s="10"/>
      <c r="MLE45" s="10"/>
      <c r="MLF45" s="10"/>
      <c r="MLG45" s="10"/>
      <c r="MLH45" s="10"/>
      <c r="MLI45" s="10"/>
      <c r="MLJ45" s="10"/>
      <c r="MLK45" s="10"/>
      <c r="MLL45" s="10"/>
      <c r="MLM45" s="10"/>
      <c r="MLN45" s="10"/>
      <c r="MLO45" s="10"/>
      <c r="MLP45" s="10"/>
      <c r="MLQ45" s="10"/>
      <c r="MLR45" s="10"/>
      <c r="MLS45" s="10"/>
      <c r="MLT45" s="10"/>
      <c r="MLU45" s="10"/>
      <c r="MLV45" s="10"/>
      <c r="MLW45" s="10"/>
      <c r="MLX45" s="10"/>
      <c r="MLY45" s="10"/>
      <c r="MLZ45" s="10"/>
      <c r="MMA45" s="10"/>
      <c r="MMB45" s="10"/>
      <c r="MMC45" s="10"/>
      <c r="MMD45" s="10"/>
      <c r="MME45" s="10"/>
      <c r="MMF45" s="10"/>
      <c r="MMG45" s="10"/>
      <c r="MMH45" s="10"/>
      <c r="MMI45" s="10"/>
      <c r="MMJ45" s="10"/>
      <c r="MMK45" s="10"/>
      <c r="MML45" s="10"/>
      <c r="MMM45" s="10"/>
      <c r="MMN45" s="10"/>
      <c r="MMO45" s="10"/>
      <c r="MMP45" s="10"/>
      <c r="MMQ45" s="10"/>
      <c r="MMR45" s="10"/>
      <c r="MMS45" s="10"/>
      <c r="MMT45" s="10"/>
      <c r="MMU45" s="10"/>
      <c r="MMV45" s="10"/>
      <c r="MMW45" s="10"/>
      <c r="MMX45" s="10"/>
      <c r="MMY45" s="10"/>
      <c r="MMZ45" s="10"/>
      <c r="MNA45" s="10"/>
      <c r="MNB45" s="10"/>
      <c r="MNC45" s="10"/>
      <c r="MND45" s="10"/>
      <c r="MNE45" s="10"/>
      <c r="MNF45" s="10"/>
      <c r="MNG45" s="10"/>
      <c r="MNH45" s="10"/>
      <c r="MNI45" s="10"/>
      <c r="MNJ45" s="10"/>
      <c r="MNK45" s="10"/>
      <c r="MNL45" s="10"/>
      <c r="MNM45" s="10"/>
      <c r="MNN45" s="10"/>
      <c r="MNO45" s="10"/>
      <c r="MNP45" s="10"/>
      <c r="MNQ45" s="10"/>
      <c r="MNR45" s="10"/>
      <c r="MNS45" s="10"/>
      <c r="MNT45" s="10"/>
      <c r="MNU45" s="10"/>
      <c r="MNV45" s="10"/>
      <c r="MNW45" s="10"/>
      <c r="MNX45" s="10"/>
      <c r="MNY45" s="10"/>
      <c r="MNZ45" s="10"/>
      <c r="MOA45" s="10"/>
      <c r="MOB45" s="10"/>
      <c r="MOC45" s="10"/>
      <c r="MOD45" s="10"/>
      <c r="MOE45" s="10"/>
      <c r="MOF45" s="10"/>
      <c r="MOG45" s="10"/>
      <c r="MOH45" s="10"/>
      <c r="MOI45" s="10"/>
      <c r="MOJ45" s="10"/>
      <c r="MOK45" s="10"/>
      <c r="MOL45" s="10"/>
      <c r="MOM45" s="10"/>
      <c r="MON45" s="10"/>
      <c r="MOO45" s="10"/>
      <c r="MOP45" s="10"/>
      <c r="MOQ45" s="10"/>
      <c r="MOR45" s="10"/>
      <c r="MOS45" s="10"/>
      <c r="MOT45" s="10"/>
      <c r="MOU45" s="10"/>
      <c r="MOV45" s="10"/>
      <c r="MOW45" s="10"/>
      <c r="MOX45" s="10"/>
      <c r="MOY45" s="10"/>
      <c r="MOZ45" s="10"/>
      <c r="MPA45" s="10"/>
      <c r="MPB45" s="10"/>
      <c r="MPC45" s="10"/>
      <c r="MPD45" s="10"/>
      <c r="MPE45" s="10"/>
      <c r="MPF45" s="10"/>
      <c r="MPG45" s="10"/>
      <c r="MPH45" s="10"/>
      <c r="MPI45" s="10"/>
      <c r="MPJ45" s="10"/>
      <c r="MPK45" s="10"/>
      <c r="MPL45" s="10"/>
      <c r="MPM45" s="10"/>
      <c r="MPN45" s="10"/>
      <c r="MPO45" s="10"/>
      <c r="MPP45" s="10"/>
      <c r="MPQ45" s="10"/>
      <c r="MPR45" s="10"/>
      <c r="MPS45" s="10"/>
      <c r="MPT45" s="10"/>
      <c r="MPU45" s="10"/>
      <c r="MPV45" s="10"/>
      <c r="MPW45" s="10"/>
      <c r="MPX45" s="10"/>
      <c r="MPY45" s="10"/>
      <c r="MPZ45" s="10"/>
      <c r="MQA45" s="10"/>
      <c r="MQB45" s="10"/>
      <c r="MQC45" s="10"/>
      <c r="MQD45" s="10"/>
      <c r="MQE45" s="10"/>
      <c r="MQF45" s="10"/>
      <c r="MQG45" s="10"/>
      <c r="MQH45" s="10"/>
      <c r="MQI45" s="10"/>
      <c r="MQJ45" s="10"/>
      <c r="MQK45" s="10"/>
      <c r="MQL45" s="10"/>
      <c r="MQM45" s="10"/>
      <c r="MQN45" s="10"/>
      <c r="MQO45" s="10"/>
      <c r="MQP45" s="10"/>
      <c r="MQQ45" s="10"/>
      <c r="MQR45" s="10"/>
      <c r="MQS45" s="10"/>
      <c r="MQT45" s="10"/>
      <c r="MQU45" s="10"/>
      <c r="MQV45" s="10"/>
      <c r="MQW45" s="10"/>
      <c r="MQX45" s="10"/>
      <c r="MQY45" s="10"/>
      <c r="MQZ45" s="10"/>
      <c r="MRA45" s="10"/>
      <c r="MRB45" s="10"/>
      <c r="MRC45" s="10"/>
      <c r="MRD45" s="10"/>
      <c r="MRE45" s="10"/>
      <c r="MRF45" s="10"/>
      <c r="MRG45" s="10"/>
      <c r="MRH45" s="10"/>
      <c r="MRI45" s="10"/>
      <c r="MRJ45" s="10"/>
      <c r="MRK45" s="10"/>
      <c r="MRL45" s="10"/>
      <c r="MRM45" s="10"/>
      <c r="MRN45" s="10"/>
      <c r="MRO45" s="10"/>
      <c r="MRP45" s="10"/>
      <c r="MRQ45" s="10"/>
      <c r="MRR45" s="10"/>
      <c r="MRS45" s="10"/>
      <c r="MRT45" s="10"/>
      <c r="MRU45" s="10"/>
      <c r="MRV45" s="10"/>
      <c r="MRW45" s="10"/>
      <c r="MRX45" s="10"/>
      <c r="MRY45" s="10"/>
      <c r="MRZ45" s="10"/>
      <c r="MSA45" s="10"/>
      <c r="MSB45" s="10"/>
      <c r="MSC45" s="10"/>
      <c r="MSD45" s="10"/>
      <c r="MSE45" s="10"/>
      <c r="MSF45" s="10"/>
      <c r="MSG45" s="10"/>
      <c r="MSH45" s="10"/>
      <c r="MSI45" s="10"/>
      <c r="MSJ45" s="10"/>
      <c r="MSK45" s="10"/>
      <c r="MSL45" s="10"/>
      <c r="MSM45" s="10"/>
      <c r="MSN45" s="10"/>
      <c r="MSO45" s="10"/>
      <c r="MSP45" s="10"/>
      <c r="MSQ45" s="10"/>
      <c r="MSR45" s="10"/>
      <c r="MSS45" s="10"/>
      <c r="MST45" s="10"/>
      <c r="MSU45" s="10"/>
      <c r="MSV45" s="10"/>
      <c r="MSW45" s="10"/>
      <c r="MSX45" s="10"/>
      <c r="MSY45" s="10"/>
      <c r="MSZ45" s="10"/>
      <c r="MTA45" s="10"/>
      <c r="MTB45" s="10"/>
      <c r="MTC45" s="10"/>
      <c r="MTD45" s="10"/>
      <c r="MTE45" s="10"/>
      <c r="MTF45" s="10"/>
      <c r="MTG45" s="10"/>
      <c r="MTH45" s="10"/>
      <c r="MTI45" s="10"/>
      <c r="MTJ45" s="10"/>
      <c r="MTK45" s="10"/>
      <c r="MTL45" s="10"/>
      <c r="MTM45" s="10"/>
      <c r="MTN45" s="10"/>
      <c r="MTO45" s="10"/>
      <c r="MTP45" s="10"/>
      <c r="MTQ45" s="10"/>
      <c r="MTR45" s="10"/>
      <c r="MTS45" s="10"/>
      <c r="MTT45" s="10"/>
      <c r="MTU45" s="10"/>
      <c r="MTV45" s="10"/>
      <c r="MTW45" s="10"/>
      <c r="MTX45" s="10"/>
      <c r="MTY45" s="10"/>
      <c r="MTZ45" s="10"/>
      <c r="MUA45" s="10"/>
      <c r="MUB45" s="10"/>
      <c r="MUC45" s="10"/>
      <c r="MUD45" s="10"/>
      <c r="MUE45" s="10"/>
      <c r="MUF45" s="10"/>
      <c r="MUG45" s="10"/>
      <c r="MUH45" s="10"/>
      <c r="MUI45" s="10"/>
      <c r="MUJ45" s="10"/>
      <c r="MUK45" s="10"/>
      <c r="MUL45" s="10"/>
      <c r="MUM45" s="10"/>
      <c r="MUN45" s="10"/>
      <c r="MUO45" s="10"/>
      <c r="MUP45" s="10"/>
      <c r="MUQ45" s="10"/>
      <c r="MUR45" s="10"/>
      <c r="MUS45" s="10"/>
      <c r="MUT45" s="10"/>
      <c r="MUU45" s="10"/>
      <c r="MUV45" s="10"/>
      <c r="MUW45" s="10"/>
      <c r="MUX45" s="10"/>
      <c r="MUY45" s="10"/>
      <c r="MUZ45" s="10"/>
      <c r="MVA45" s="10"/>
      <c r="MVB45" s="10"/>
      <c r="MVC45" s="10"/>
      <c r="MVD45" s="10"/>
      <c r="MVE45" s="10"/>
      <c r="MVF45" s="10"/>
      <c r="MVG45" s="10"/>
      <c r="MVH45" s="10"/>
      <c r="MVI45" s="10"/>
      <c r="MVJ45" s="10"/>
      <c r="MVK45" s="10"/>
      <c r="MVL45" s="10"/>
      <c r="MVM45" s="10"/>
      <c r="MVN45" s="10"/>
      <c r="MVO45" s="10"/>
      <c r="MVP45" s="10"/>
      <c r="MVQ45" s="10"/>
      <c r="MVR45" s="10"/>
      <c r="MVS45" s="10"/>
      <c r="MVT45" s="10"/>
      <c r="MVU45" s="10"/>
      <c r="MVV45" s="10"/>
      <c r="MVW45" s="10"/>
      <c r="MVX45" s="10"/>
      <c r="MVY45" s="10"/>
      <c r="MVZ45" s="10"/>
      <c r="MWA45" s="10"/>
      <c r="MWB45" s="10"/>
      <c r="MWC45" s="10"/>
      <c r="MWD45" s="10"/>
      <c r="MWE45" s="10"/>
      <c r="MWF45" s="10"/>
      <c r="MWG45" s="10"/>
      <c r="MWH45" s="10"/>
      <c r="MWI45" s="10"/>
      <c r="MWJ45" s="10"/>
      <c r="MWK45" s="10"/>
      <c r="MWL45" s="10"/>
      <c r="MWM45" s="10"/>
      <c r="MWN45" s="10"/>
      <c r="MWO45" s="10"/>
      <c r="MWP45" s="10"/>
      <c r="MWQ45" s="10"/>
      <c r="MWR45" s="10"/>
      <c r="MWS45" s="10"/>
      <c r="MWT45" s="10"/>
      <c r="MWU45" s="10"/>
      <c r="MWV45" s="10"/>
      <c r="MWW45" s="10"/>
      <c r="MWX45" s="10"/>
      <c r="MWY45" s="10"/>
      <c r="MWZ45" s="10"/>
      <c r="MXA45" s="10"/>
      <c r="MXB45" s="10"/>
      <c r="MXC45" s="10"/>
      <c r="MXD45" s="10"/>
      <c r="MXE45" s="10"/>
      <c r="MXF45" s="10"/>
      <c r="MXG45" s="10"/>
      <c r="MXH45" s="10"/>
      <c r="MXI45" s="10"/>
      <c r="MXJ45" s="10"/>
      <c r="MXK45" s="10"/>
      <c r="MXL45" s="10"/>
      <c r="MXM45" s="10"/>
      <c r="MXN45" s="10"/>
      <c r="MXO45" s="10"/>
      <c r="MXP45" s="10"/>
      <c r="MXQ45" s="10"/>
      <c r="MXR45" s="10"/>
      <c r="MXS45" s="10"/>
      <c r="MXT45" s="10"/>
      <c r="MXU45" s="10"/>
      <c r="MXV45" s="10"/>
      <c r="MXW45" s="10"/>
      <c r="MXX45" s="10"/>
      <c r="MXY45" s="10"/>
      <c r="MXZ45" s="10"/>
      <c r="MYA45" s="10"/>
      <c r="MYB45" s="10"/>
      <c r="MYC45" s="10"/>
      <c r="MYD45" s="10"/>
      <c r="MYE45" s="10"/>
      <c r="MYF45" s="10"/>
      <c r="MYG45" s="10"/>
      <c r="MYH45" s="10"/>
      <c r="MYI45" s="10"/>
      <c r="MYJ45" s="10"/>
      <c r="MYK45" s="10"/>
      <c r="MYL45" s="10"/>
      <c r="MYM45" s="10"/>
      <c r="MYN45" s="10"/>
      <c r="MYO45" s="10"/>
      <c r="MYP45" s="10"/>
      <c r="MYQ45" s="10"/>
      <c r="MYR45" s="10"/>
      <c r="MYS45" s="10"/>
      <c r="MYT45" s="10"/>
      <c r="MYU45" s="10"/>
      <c r="MYV45" s="10"/>
      <c r="MYW45" s="10"/>
      <c r="MYX45" s="10"/>
      <c r="MYY45" s="10"/>
      <c r="MYZ45" s="10"/>
      <c r="MZA45" s="10"/>
      <c r="MZB45" s="10"/>
      <c r="MZC45" s="10"/>
      <c r="MZD45" s="10"/>
      <c r="MZE45" s="10"/>
      <c r="MZF45" s="10"/>
      <c r="MZG45" s="10"/>
      <c r="MZH45" s="10"/>
      <c r="MZI45" s="10"/>
      <c r="MZJ45" s="10"/>
      <c r="MZK45" s="10"/>
      <c r="MZL45" s="10"/>
      <c r="MZM45" s="10"/>
      <c r="MZN45" s="10"/>
      <c r="MZO45" s="10"/>
      <c r="MZP45" s="10"/>
      <c r="MZQ45" s="10"/>
      <c r="MZR45" s="10"/>
      <c r="MZS45" s="10"/>
      <c r="MZT45" s="10"/>
      <c r="MZU45" s="10"/>
      <c r="MZV45" s="10"/>
      <c r="MZW45" s="10"/>
      <c r="MZX45" s="10"/>
      <c r="MZY45" s="10"/>
      <c r="MZZ45" s="10"/>
      <c r="NAA45" s="10"/>
      <c r="NAB45" s="10"/>
      <c r="NAC45" s="10"/>
      <c r="NAD45" s="10"/>
      <c r="NAE45" s="10"/>
      <c r="NAF45" s="10"/>
      <c r="NAG45" s="10"/>
      <c r="NAH45" s="10"/>
      <c r="NAI45" s="10"/>
      <c r="NAJ45" s="10"/>
      <c r="NAK45" s="10"/>
      <c r="NAL45" s="10"/>
      <c r="NAM45" s="10"/>
      <c r="NAN45" s="10"/>
      <c r="NAO45" s="10"/>
      <c r="NAP45" s="10"/>
      <c r="NAQ45" s="10"/>
      <c r="NAR45" s="10"/>
      <c r="NAS45" s="10"/>
      <c r="NAT45" s="10"/>
      <c r="NAU45" s="10"/>
      <c r="NAV45" s="10"/>
      <c r="NAW45" s="10"/>
      <c r="NAX45" s="10"/>
      <c r="NAY45" s="10"/>
      <c r="NAZ45" s="10"/>
      <c r="NBA45" s="10"/>
      <c r="NBB45" s="10"/>
      <c r="NBC45" s="10"/>
      <c r="NBD45" s="10"/>
      <c r="NBE45" s="10"/>
      <c r="NBF45" s="10"/>
      <c r="NBG45" s="10"/>
      <c r="NBH45" s="10"/>
      <c r="NBI45" s="10"/>
      <c r="NBJ45" s="10"/>
      <c r="NBK45" s="10"/>
      <c r="NBL45" s="10"/>
      <c r="NBM45" s="10"/>
      <c r="NBN45" s="10"/>
      <c r="NBO45" s="10"/>
      <c r="NBP45" s="10"/>
      <c r="NBQ45" s="10"/>
      <c r="NBR45" s="10"/>
      <c r="NBS45" s="10"/>
      <c r="NBT45" s="10"/>
      <c r="NBU45" s="10"/>
      <c r="NBV45" s="10"/>
      <c r="NBW45" s="10"/>
      <c r="NBX45" s="10"/>
      <c r="NBY45" s="10"/>
      <c r="NBZ45" s="10"/>
      <c r="NCA45" s="10"/>
      <c r="NCB45" s="10"/>
      <c r="NCC45" s="10"/>
      <c r="NCD45" s="10"/>
      <c r="NCE45" s="10"/>
      <c r="NCF45" s="10"/>
      <c r="NCG45" s="10"/>
      <c r="NCH45" s="10"/>
      <c r="NCI45" s="10"/>
      <c r="NCJ45" s="10"/>
      <c r="NCK45" s="10"/>
      <c r="NCL45" s="10"/>
      <c r="NCM45" s="10"/>
      <c r="NCN45" s="10"/>
      <c r="NCO45" s="10"/>
      <c r="NCP45" s="10"/>
      <c r="NCQ45" s="10"/>
      <c r="NCR45" s="10"/>
      <c r="NCS45" s="10"/>
      <c r="NCT45" s="10"/>
      <c r="NCU45" s="10"/>
      <c r="NCV45" s="10"/>
      <c r="NCW45" s="10"/>
      <c r="NCX45" s="10"/>
      <c r="NCY45" s="10"/>
      <c r="NCZ45" s="10"/>
      <c r="NDA45" s="10"/>
      <c r="NDB45" s="10"/>
      <c r="NDC45" s="10"/>
      <c r="NDD45" s="10"/>
      <c r="NDE45" s="10"/>
      <c r="NDF45" s="10"/>
      <c r="NDG45" s="10"/>
      <c r="NDH45" s="10"/>
      <c r="NDI45" s="10"/>
      <c r="NDJ45" s="10"/>
      <c r="NDK45" s="10"/>
      <c r="NDL45" s="10"/>
      <c r="NDM45" s="10"/>
      <c r="NDN45" s="10"/>
      <c r="NDO45" s="10"/>
      <c r="NDP45" s="10"/>
      <c r="NDQ45" s="10"/>
      <c r="NDR45" s="10"/>
      <c r="NDS45" s="10"/>
      <c r="NDT45" s="10"/>
      <c r="NDU45" s="10"/>
      <c r="NDV45" s="10"/>
      <c r="NDW45" s="10"/>
      <c r="NDX45" s="10"/>
      <c r="NDY45" s="10"/>
      <c r="NDZ45" s="10"/>
      <c r="NEA45" s="10"/>
      <c r="NEB45" s="10"/>
      <c r="NEC45" s="10"/>
      <c r="NED45" s="10"/>
      <c r="NEE45" s="10"/>
      <c r="NEF45" s="10"/>
      <c r="NEG45" s="10"/>
      <c r="NEH45" s="10"/>
      <c r="NEI45" s="10"/>
      <c r="NEJ45" s="10"/>
      <c r="NEK45" s="10"/>
      <c r="NEL45" s="10"/>
      <c r="NEM45" s="10"/>
      <c r="NEN45" s="10"/>
      <c r="NEO45" s="10"/>
      <c r="NEP45" s="10"/>
      <c r="NEQ45" s="10"/>
      <c r="NER45" s="10"/>
      <c r="NES45" s="10"/>
      <c r="NET45" s="10"/>
      <c r="NEU45" s="10"/>
      <c r="NEV45" s="10"/>
      <c r="NEW45" s="10"/>
      <c r="NEX45" s="10"/>
      <c r="NEY45" s="10"/>
      <c r="NEZ45" s="10"/>
      <c r="NFA45" s="10"/>
      <c r="NFB45" s="10"/>
      <c r="NFC45" s="10"/>
      <c r="NFD45" s="10"/>
      <c r="NFE45" s="10"/>
      <c r="NFF45" s="10"/>
      <c r="NFG45" s="10"/>
      <c r="NFH45" s="10"/>
      <c r="NFI45" s="10"/>
      <c r="NFJ45" s="10"/>
      <c r="NFK45" s="10"/>
      <c r="NFL45" s="10"/>
      <c r="NFM45" s="10"/>
      <c r="NFN45" s="10"/>
      <c r="NFO45" s="10"/>
      <c r="NFP45" s="10"/>
      <c r="NFQ45" s="10"/>
      <c r="NFR45" s="10"/>
      <c r="NFS45" s="10"/>
      <c r="NFT45" s="10"/>
      <c r="NFU45" s="10"/>
      <c r="NFV45" s="10"/>
      <c r="NFW45" s="10"/>
      <c r="NFX45" s="10"/>
      <c r="NFY45" s="10"/>
      <c r="NFZ45" s="10"/>
      <c r="NGA45" s="10"/>
      <c r="NGB45" s="10"/>
      <c r="NGC45" s="10"/>
      <c r="NGD45" s="10"/>
      <c r="NGE45" s="10"/>
      <c r="NGF45" s="10"/>
      <c r="NGG45" s="10"/>
      <c r="NGH45" s="10"/>
      <c r="NGI45" s="10"/>
      <c r="NGJ45" s="10"/>
      <c r="NGK45" s="10"/>
      <c r="NGL45" s="10"/>
      <c r="NGM45" s="10"/>
      <c r="NGN45" s="10"/>
      <c r="NGO45" s="10"/>
      <c r="NGP45" s="10"/>
      <c r="NGQ45" s="10"/>
      <c r="NGR45" s="10"/>
      <c r="NGS45" s="10"/>
      <c r="NGT45" s="10"/>
      <c r="NGU45" s="10"/>
      <c r="NGV45" s="10"/>
      <c r="NGW45" s="10"/>
      <c r="NGX45" s="10"/>
      <c r="NGY45" s="10"/>
      <c r="NGZ45" s="10"/>
      <c r="NHA45" s="10"/>
      <c r="NHB45" s="10"/>
      <c r="NHC45" s="10"/>
      <c r="NHD45" s="10"/>
      <c r="NHE45" s="10"/>
      <c r="NHF45" s="10"/>
      <c r="NHG45" s="10"/>
      <c r="NHH45" s="10"/>
      <c r="NHI45" s="10"/>
      <c r="NHJ45" s="10"/>
      <c r="NHK45" s="10"/>
      <c r="NHL45" s="10"/>
      <c r="NHM45" s="10"/>
      <c r="NHN45" s="10"/>
      <c r="NHO45" s="10"/>
      <c r="NHP45" s="10"/>
      <c r="NHQ45" s="10"/>
      <c r="NHR45" s="10"/>
      <c r="NHS45" s="10"/>
      <c r="NHT45" s="10"/>
      <c r="NHU45" s="10"/>
      <c r="NHV45" s="10"/>
      <c r="NHW45" s="10"/>
      <c r="NHX45" s="10"/>
      <c r="NHY45" s="10"/>
      <c r="NHZ45" s="10"/>
      <c r="NIA45" s="10"/>
      <c r="NIB45" s="10"/>
      <c r="NIC45" s="10"/>
      <c r="NID45" s="10"/>
      <c r="NIE45" s="10"/>
      <c r="NIF45" s="10"/>
      <c r="NIG45" s="10"/>
      <c r="NIH45" s="10"/>
      <c r="NII45" s="10"/>
      <c r="NIJ45" s="10"/>
      <c r="NIK45" s="10"/>
      <c r="NIL45" s="10"/>
      <c r="NIM45" s="10"/>
      <c r="NIN45" s="10"/>
      <c r="NIO45" s="10"/>
      <c r="NIP45" s="10"/>
      <c r="NIQ45" s="10"/>
      <c r="NIR45" s="10"/>
      <c r="NIS45" s="10"/>
      <c r="NIT45" s="10"/>
      <c r="NIU45" s="10"/>
      <c r="NIV45" s="10"/>
      <c r="NIW45" s="10"/>
      <c r="NIX45" s="10"/>
      <c r="NIY45" s="10"/>
      <c r="NIZ45" s="10"/>
      <c r="NJA45" s="10"/>
      <c r="NJB45" s="10"/>
      <c r="NJC45" s="10"/>
      <c r="NJD45" s="10"/>
      <c r="NJE45" s="10"/>
      <c r="NJF45" s="10"/>
      <c r="NJG45" s="10"/>
      <c r="NJH45" s="10"/>
      <c r="NJI45" s="10"/>
      <c r="NJJ45" s="10"/>
      <c r="NJK45" s="10"/>
      <c r="NJL45" s="10"/>
      <c r="NJM45" s="10"/>
      <c r="NJN45" s="10"/>
      <c r="NJO45" s="10"/>
      <c r="NJP45" s="10"/>
      <c r="NJQ45" s="10"/>
      <c r="NJR45" s="10"/>
      <c r="NJS45" s="10"/>
      <c r="NJT45" s="10"/>
      <c r="NJU45" s="10"/>
      <c r="NJV45" s="10"/>
      <c r="NJW45" s="10"/>
      <c r="NJX45" s="10"/>
      <c r="NJY45" s="10"/>
      <c r="NJZ45" s="10"/>
      <c r="NKA45" s="10"/>
      <c r="NKB45" s="10"/>
      <c r="NKC45" s="10"/>
      <c r="NKD45" s="10"/>
      <c r="NKE45" s="10"/>
      <c r="NKF45" s="10"/>
      <c r="NKG45" s="10"/>
      <c r="NKH45" s="10"/>
      <c r="NKI45" s="10"/>
      <c r="NKJ45" s="10"/>
      <c r="NKK45" s="10"/>
      <c r="NKL45" s="10"/>
      <c r="NKM45" s="10"/>
      <c r="NKN45" s="10"/>
      <c r="NKO45" s="10"/>
      <c r="NKP45" s="10"/>
      <c r="NKQ45" s="10"/>
      <c r="NKR45" s="10"/>
      <c r="NKS45" s="10"/>
      <c r="NKT45" s="10"/>
      <c r="NKU45" s="10"/>
      <c r="NKV45" s="10"/>
      <c r="NKW45" s="10"/>
      <c r="NKX45" s="10"/>
      <c r="NKY45" s="10"/>
      <c r="NKZ45" s="10"/>
      <c r="NLA45" s="10"/>
      <c r="NLB45" s="10"/>
      <c r="NLC45" s="10"/>
      <c r="NLD45" s="10"/>
      <c r="NLE45" s="10"/>
      <c r="NLF45" s="10"/>
      <c r="NLG45" s="10"/>
      <c r="NLH45" s="10"/>
      <c r="NLI45" s="10"/>
      <c r="NLJ45" s="10"/>
      <c r="NLK45" s="10"/>
      <c r="NLL45" s="10"/>
      <c r="NLM45" s="10"/>
      <c r="NLN45" s="10"/>
      <c r="NLO45" s="10"/>
      <c r="NLP45" s="10"/>
      <c r="NLQ45" s="10"/>
      <c r="NLR45" s="10"/>
      <c r="NLS45" s="10"/>
      <c r="NLT45" s="10"/>
      <c r="NLU45" s="10"/>
      <c r="NLV45" s="10"/>
      <c r="NLW45" s="10"/>
      <c r="NLX45" s="10"/>
      <c r="NLY45" s="10"/>
      <c r="NLZ45" s="10"/>
      <c r="NMA45" s="10"/>
      <c r="NMB45" s="10"/>
      <c r="NMC45" s="10"/>
      <c r="NMD45" s="10"/>
      <c r="NME45" s="10"/>
      <c r="NMF45" s="10"/>
      <c r="NMG45" s="10"/>
      <c r="NMH45" s="10"/>
      <c r="NMI45" s="10"/>
      <c r="NMJ45" s="10"/>
      <c r="NMK45" s="10"/>
      <c r="NML45" s="10"/>
      <c r="NMM45" s="10"/>
      <c r="NMN45" s="10"/>
      <c r="NMO45" s="10"/>
      <c r="NMP45" s="10"/>
      <c r="NMQ45" s="10"/>
      <c r="NMR45" s="10"/>
      <c r="NMS45" s="10"/>
      <c r="NMT45" s="10"/>
      <c r="NMU45" s="10"/>
      <c r="NMV45" s="10"/>
      <c r="NMW45" s="10"/>
      <c r="NMX45" s="10"/>
      <c r="NMY45" s="10"/>
      <c r="NMZ45" s="10"/>
      <c r="NNA45" s="10"/>
      <c r="NNB45" s="10"/>
      <c r="NNC45" s="10"/>
      <c r="NND45" s="10"/>
      <c r="NNE45" s="10"/>
      <c r="NNF45" s="10"/>
      <c r="NNG45" s="10"/>
      <c r="NNH45" s="10"/>
      <c r="NNI45" s="10"/>
      <c r="NNJ45" s="10"/>
      <c r="NNK45" s="10"/>
      <c r="NNL45" s="10"/>
      <c r="NNM45" s="10"/>
      <c r="NNN45" s="10"/>
      <c r="NNO45" s="10"/>
      <c r="NNP45" s="10"/>
      <c r="NNQ45" s="10"/>
      <c r="NNR45" s="10"/>
      <c r="NNS45" s="10"/>
      <c r="NNT45" s="10"/>
      <c r="NNU45" s="10"/>
      <c r="NNV45" s="10"/>
      <c r="NNW45" s="10"/>
      <c r="NNX45" s="10"/>
      <c r="NNY45" s="10"/>
      <c r="NNZ45" s="10"/>
      <c r="NOA45" s="10"/>
      <c r="NOB45" s="10"/>
      <c r="NOC45" s="10"/>
      <c r="NOD45" s="10"/>
      <c r="NOE45" s="10"/>
      <c r="NOF45" s="10"/>
      <c r="NOG45" s="10"/>
      <c r="NOH45" s="10"/>
      <c r="NOI45" s="10"/>
      <c r="NOJ45" s="10"/>
      <c r="NOK45" s="10"/>
      <c r="NOL45" s="10"/>
      <c r="NOM45" s="10"/>
      <c r="NON45" s="10"/>
      <c r="NOO45" s="10"/>
      <c r="NOP45" s="10"/>
      <c r="NOQ45" s="10"/>
      <c r="NOR45" s="10"/>
      <c r="NOS45" s="10"/>
      <c r="NOT45" s="10"/>
      <c r="NOU45" s="10"/>
      <c r="NOV45" s="10"/>
      <c r="NOW45" s="10"/>
      <c r="NOX45" s="10"/>
      <c r="NOY45" s="10"/>
      <c r="NOZ45" s="10"/>
      <c r="NPA45" s="10"/>
      <c r="NPB45" s="10"/>
      <c r="NPC45" s="10"/>
      <c r="NPD45" s="10"/>
      <c r="NPE45" s="10"/>
      <c r="NPF45" s="10"/>
      <c r="NPG45" s="10"/>
      <c r="NPH45" s="10"/>
      <c r="NPI45" s="10"/>
      <c r="NPJ45" s="10"/>
      <c r="NPK45" s="10"/>
      <c r="NPL45" s="10"/>
      <c r="NPM45" s="10"/>
      <c r="NPN45" s="10"/>
      <c r="NPO45" s="10"/>
      <c r="NPP45" s="10"/>
      <c r="NPQ45" s="10"/>
      <c r="NPR45" s="10"/>
      <c r="NPS45" s="10"/>
      <c r="NPT45" s="10"/>
      <c r="NPU45" s="10"/>
      <c r="NPV45" s="10"/>
      <c r="NPW45" s="10"/>
      <c r="NPX45" s="10"/>
      <c r="NPY45" s="10"/>
      <c r="NPZ45" s="10"/>
      <c r="NQA45" s="10"/>
      <c r="NQB45" s="10"/>
      <c r="NQC45" s="10"/>
      <c r="NQD45" s="10"/>
      <c r="NQE45" s="10"/>
      <c r="NQF45" s="10"/>
      <c r="NQG45" s="10"/>
      <c r="NQH45" s="10"/>
      <c r="NQI45" s="10"/>
      <c r="NQJ45" s="10"/>
      <c r="NQK45" s="10"/>
      <c r="NQL45" s="10"/>
      <c r="NQM45" s="10"/>
      <c r="NQN45" s="10"/>
      <c r="NQO45" s="10"/>
      <c r="NQP45" s="10"/>
      <c r="NQQ45" s="10"/>
      <c r="NQR45" s="10"/>
      <c r="NQS45" s="10"/>
      <c r="NQT45" s="10"/>
      <c r="NQU45" s="10"/>
      <c r="NQV45" s="10"/>
      <c r="NQW45" s="10"/>
      <c r="NQX45" s="10"/>
      <c r="NQY45" s="10"/>
      <c r="NQZ45" s="10"/>
      <c r="NRA45" s="10"/>
      <c r="NRB45" s="10"/>
      <c r="NRC45" s="10"/>
      <c r="NRD45" s="10"/>
      <c r="NRE45" s="10"/>
      <c r="NRF45" s="10"/>
      <c r="NRG45" s="10"/>
      <c r="NRH45" s="10"/>
      <c r="NRI45" s="10"/>
      <c r="NRJ45" s="10"/>
      <c r="NRK45" s="10"/>
      <c r="NRL45" s="10"/>
      <c r="NRM45" s="10"/>
      <c r="NRN45" s="10"/>
      <c r="NRO45" s="10"/>
      <c r="NRP45" s="10"/>
      <c r="NRQ45" s="10"/>
      <c r="NRR45" s="10"/>
      <c r="NRS45" s="10"/>
      <c r="NRT45" s="10"/>
      <c r="NRU45" s="10"/>
      <c r="NRV45" s="10"/>
      <c r="NRW45" s="10"/>
      <c r="NRX45" s="10"/>
      <c r="NRY45" s="10"/>
      <c r="NRZ45" s="10"/>
      <c r="NSA45" s="10"/>
      <c r="NSB45" s="10"/>
      <c r="NSC45" s="10"/>
      <c r="NSD45" s="10"/>
      <c r="NSE45" s="10"/>
      <c r="NSF45" s="10"/>
      <c r="NSG45" s="10"/>
      <c r="NSH45" s="10"/>
      <c r="NSI45" s="10"/>
      <c r="NSJ45" s="10"/>
      <c r="NSK45" s="10"/>
      <c r="NSL45" s="10"/>
      <c r="NSM45" s="10"/>
      <c r="NSN45" s="10"/>
      <c r="NSO45" s="10"/>
      <c r="NSP45" s="10"/>
      <c r="NSQ45" s="10"/>
      <c r="NSR45" s="10"/>
      <c r="NSS45" s="10"/>
      <c r="NST45" s="10"/>
      <c r="NSU45" s="10"/>
      <c r="NSV45" s="10"/>
      <c r="NSW45" s="10"/>
      <c r="NSX45" s="10"/>
      <c r="NSY45" s="10"/>
      <c r="NSZ45" s="10"/>
      <c r="NTA45" s="10"/>
      <c r="NTB45" s="10"/>
      <c r="NTC45" s="10"/>
      <c r="NTD45" s="10"/>
      <c r="NTE45" s="10"/>
      <c r="NTF45" s="10"/>
      <c r="NTG45" s="10"/>
      <c r="NTH45" s="10"/>
      <c r="NTI45" s="10"/>
      <c r="NTJ45" s="10"/>
      <c r="NTK45" s="10"/>
      <c r="NTL45" s="10"/>
      <c r="NTM45" s="10"/>
      <c r="NTN45" s="10"/>
      <c r="NTO45" s="10"/>
      <c r="NTP45" s="10"/>
      <c r="NTQ45" s="10"/>
      <c r="NTR45" s="10"/>
      <c r="NTS45" s="10"/>
      <c r="NTT45" s="10"/>
      <c r="NTU45" s="10"/>
      <c r="NTV45" s="10"/>
      <c r="NTW45" s="10"/>
      <c r="NTX45" s="10"/>
      <c r="NTY45" s="10"/>
      <c r="NTZ45" s="10"/>
      <c r="NUA45" s="10"/>
      <c r="NUB45" s="10"/>
      <c r="NUC45" s="10"/>
      <c r="NUD45" s="10"/>
      <c r="NUE45" s="10"/>
      <c r="NUF45" s="10"/>
      <c r="NUG45" s="10"/>
      <c r="NUH45" s="10"/>
      <c r="NUI45" s="10"/>
      <c r="NUJ45" s="10"/>
      <c r="NUK45" s="10"/>
      <c r="NUL45" s="10"/>
      <c r="NUM45" s="10"/>
      <c r="NUN45" s="10"/>
      <c r="NUO45" s="10"/>
      <c r="NUP45" s="10"/>
      <c r="NUQ45" s="10"/>
      <c r="NUR45" s="10"/>
      <c r="NUS45" s="10"/>
      <c r="NUT45" s="10"/>
      <c r="NUU45" s="10"/>
      <c r="NUV45" s="10"/>
      <c r="NUW45" s="10"/>
      <c r="NUX45" s="10"/>
      <c r="NUY45" s="10"/>
      <c r="NUZ45" s="10"/>
      <c r="NVA45" s="10"/>
      <c r="NVB45" s="10"/>
      <c r="NVC45" s="10"/>
      <c r="NVD45" s="10"/>
      <c r="NVE45" s="10"/>
      <c r="NVF45" s="10"/>
      <c r="NVG45" s="10"/>
      <c r="NVH45" s="10"/>
      <c r="NVI45" s="10"/>
      <c r="NVJ45" s="10"/>
      <c r="NVK45" s="10"/>
      <c r="NVL45" s="10"/>
      <c r="NVM45" s="10"/>
      <c r="NVN45" s="10"/>
      <c r="NVO45" s="10"/>
      <c r="NVP45" s="10"/>
      <c r="NVQ45" s="10"/>
      <c r="NVR45" s="10"/>
      <c r="NVS45" s="10"/>
      <c r="NVT45" s="10"/>
      <c r="NVU45" s="10"/>
      <c r="NVV45" s="10"/>
      <c r="NVW45" s="10"/>
      <c r="NVX45" s="10"/>
      <c r="NVY45" s="10"/>
      <c r="NVZ45" s="10"/>
      <c r="NWA45" s="10"/>
      <c r="NWB45" s="10"/>
      <c r="NWC45" s="10"/>
      <c r="NWD45" s="10"/>
      <c r="NWE45" s="10"/>
      <c r="NWF45" s="10"/>
      <c r="NWG45" s="10"/>
      <c r="NWH45" s="10"/>
      <c r="NWI45" s="10"/>
      <c r="NWJ45" s="10"/>
      <c r="NWK45" s="10"/>
      <c r="NWL45" s="10"/>
      <c r="NWM45" s="10"/>
      <c r="NWN45" s="10"/>
      <c r="NWO45" s="10"/>
      <c r="NWP45" s="10"/>
      <c r="NWQ45" s="10"/>
      <c r="NWR45" s="10"/>
      <c r="NWS45" s="10"/>
      <c r="NWT45" s="10"/>
      <c r="NWU45" s="10"/>
      <c r="NWV45" s="10"/>
      <c r="NWW45" s="10"/>
      <c r="NWX45" s="10"/>
      <c r="NWY45" s="10"/>
      <c r="NWZ45" s="10"/>
      <c r="NXA45" s="10"/>
      <c r="NXB45" s="10"/>
      <c r="NXC45" s="10"/>
      <c r="NXD45" s="10"/>
      <c r="NXE45" s="10"/>
      <c r="NXF45" s="10"/>
      <c r="NXG45" s="10"/>
      <c r="NXH45" s="10"/>
      <c r="NXI45" s="10"/>
      <c r="NXJ45" s="10"/>
      <c r="NXK45" s="10"/>
      <c r="NXL45" s="10"/>
      <c r="NXM45" s="10"/>
      <c r="NXN45" s="10"/>
      <c r="NXO45" s="10"/>
      <c r="NXP45" s="10"/>
      <c r="NXQ45" s="10"/>
      <c r="NXR45" s="10"/>
      <c r="NXS45" s="10"/>
      <c r="NXT45" s="10"/>
      <c r="NXU45" s="10"/>
      <c r="NXV45" s="10"/>
      <c r="NXW45" s="10"/>
      <c r="NXX45" s="10"/>
      <c r="NXY45" s="10"/>
      <c r="NXZ45" s="10"/>
      <c r="NYA45" s="10"/>
      <c r="NYB45" s="10"/>
      <c r="NYC45" s="10"/>
      <c r="NYD45" s="10"/>
      <c r="NYE45" s="10"/>
      <c r="NYF45" s="10"/>
      <c r="NYG45" s="10"/>
      <c r="NYH45" s="10"/>
      <c r="NYI45" s="10"/>
      <c r="NYJ45" s="10"/>
      <c r="NYK45" s="10"/>
      <c r="NYL45" s="10"/>
      <c r="NYM45" s="10"/>
      <c r="NYN45" s="10"/>
      <c r="NYO45" s="10"/>
      <c r="NYP45" s="10"/>
      <c r="NYQ45" s="10"/>
      <c r="NYR45" s="10"/>
      <c r="NYS45" s="10"/>
      <c r="NYT45" s="10"/>
      <c r="NYU45" s="10"/>
      <c r="NYV45" s="10"/>
      <c r="NYW45" s="10"/>
      <c r="NYX45" s="10"/>
      <c r="NYY45" s="10"/>
      <c r="NYZ45" s="10"/>
      <c r="NZA45" s="10"/>
      <c r="NZB45" s="10"/>
      <c r="NZC45" s="10"/>
      <c r="NZD45" s="10"/>
      <c r="NZE45" s="10"/>
      <c r="NZF45" s="10"/>
      <c r="NZG45" s="10"/>
      <c r="NZH45" s="10"/>
      <c r="NZI45" s="10"/>
      <c r="NZJ45" s="10"/>
      <c r="NZK45" s="10"/>
      <c r="NZL45" s="10"/>
      <c r="NZM45" s="10"/>
      <c r="NZN45" s="10"/>
      <c r="NZO45" s="10"/>
      <c r="NZP45" s="10"/>
      <c r="NZQ45" s="10"/>
      <c r="NZR45" s="10"/>
      <c r="NZS45" s="10"/>
      <c r="NZT45" s="10"/>
      <c r="NZU45" s="10"/>
      <c r="NZV45" s="10"/>
      <c r="NZW45" s="10"/>
      <c r="NZX45" s="10"/>
      <c r="NZY45" s="10"/>
      <c r="NZZ45" s="10"/>
      <c r="OAA45" s="10"/>
      <c r="OAB45" s="10"/>
      <c r="OAC45" s="10"/>
      <c r="OAD45" s="10"/>
      <c r="OAE45" s="10"/>
      <c r="OAF45" s="10"/>
      <c r="OAG45" s="10"/>
      <c r="OAH45" s="10"/>
      <c r="OAI45" s="10"/>
      <c r="OAJ45" s="10"/>
      <c r="OAK45" s="10"/>
      <c r="OAL45" s="10"/>
      <c r="OAM45" s="10"/>
      <c r="OAN45" s="10"/>
      <c r="OAO45" s="10"/>
      <c r="OAP45" s="10"/>
      <c r="OAQ45" s="10"/>
      <c r="OAR45" s="10"/>
      <c r="OAS45" s="10"/>
      <c r="OAT45" s="10"/>
      <c r="OAU45" s="10"/>
      <c r="OAV45" s="10"/>
      <c r="OAW45" s="10"/>
      <c r="OAX45" s="10"/>
      <c r="OAY45" s="10"/>
      <c r="OAZ45" s="10"/>
      <c r="OBA45" s="10"/>
      <c r="OBB45" s="10"/>
      <c r="OBC45" s="10"/>
      <c r="OBD45" s="10"/>
      <c r="OBE45" s="10"/>
      <c r="OBF45" s="10"/>
      <c r="OBG45" s="10"/>
      <c r="OBH45" s="10"/>
      <c r="OBI45" s="10"/>
      <c r="OBJ45" s="10"/>
      <c r="OBK45" s="10"/>
      <c r="OBL45" s="10"/>
      <c r="OBM45" s="10"/>
      <c r="OBN45" s="10"/>
      <c r="OBO45" s="10"/>
      <c r="OBP45" s="10"/>
      <c r="OBQ45" s="10"/>
      <c r="OBR45" s="10"/>
      <c r="OBS45" s="10"/>
      <c r="OBT45" s="10"/>
      <c r="OBU45" s="10"/>
      <c r="OBV45" s="10"/>
      <c r="OBW45" s="10"/>
      <c r="OBX45" s="10"/>
      <c r="OBY45" s="10"/>
      <c r="OBZ45" s="10"/>
      <c r="OCA45" s="10"/>
      <c r="OCB45" s="10"/>
      <c r="OCC45" s="10"/>
      <c r="OCD45" s="10"/>
      <c r="OCE45" s="10"/>
      <c r="OCF45" s="10"/>
      <c r="OCG45" s="10"/>
      <c r="OCH45" s="10"/>
      <c r="OCI45" s="10"/>
      <c r="OCJ45" s="10"/>
      <c r="OCK45" s="10"/>
      <c r="OCL45" s="10"/>
      <c r="OCM45" s="10"/>
      <c r="OCN45" s="10"/>
      <c r="OCO45" s="10"/>
      <c r="OCP45" s="10"/>
      <c r="OCQ45" s="10"/>
      <c r="OCR45" s="10"/>
      <c r="OCS45" s="10"/>
      <c r="OCT45" s="10"/>
      <c r="OCU45" s="10"/>
      <c r="OCV45" s="10"/>
      <c r="OCW45" s="10"/>
      <c r="OCX45" s="10"/>
      <c r="OCY45" s="10"/>
      <c r="OCZ45" s="10"/>
      <c r="ODA45" s="10"/>
      <c r="ODB45" s="10"/>
      <c r="ODC45" s="10"/>
      <c r="ODD45" s="10"/>
      <c r="ODE45" s="10"/>
      <c r="ODF45" s="10"/>
      <c r="ODG45" s="10"/>
      <c r="ODH45" s="10"/>
      <c r="ODI45" s="10"/>
      <c r="ODJ45" s="10"/>
      <c r="ODK45" s="10"/>
      <c r="ODL45" s="10"/>
      <c r="ODM45" s="10"/>
      <c r="ODN45" s="10"/>
      <c r="ODO45" s="10"/>
      <c r="ODP45" s="10"/>
      <c r="ODQ45" s="10"/>
      <c r="ODR45" s="10"/>
      <c r="ODS45" s="10"/>
      <c r="ODT45" s="10"/>
      <c r="ODU45" s="10"/>
      <c r="ODV45" s="10"/>
      <c r="ODW45" s="10"/>
      <c r="ODX45" s="10"/>
      <c r="ODY45" s="10"/>
      <c r="ODZ45" s="10"/>
      <c r="OEA45" s="10"/>
      <c r="OEB45" s="10"/>
      <c r="OEC45" s="10"/>
      <c r="OED45" s="10"/>
      <c r="OEE45" s="10"/>
      <c r="OEF45" s="10"/>
      <c r="OEG45" s="10"/>
      <c r="OEH45" s="10"/>
      <c r="OEI45" s="10"/>
      <c r="OEJ45" s="10"/>
      <c r="OEK45" s="10"/>
      <c r="OEL45" s="10"/>
      <c r="OEM45" s="10"/>
      <c r="OEN45" s="10"/>
      <c r="OEO45" s="10"/>
      <c r="OEP45" s="10"/>
      <c r="OEQ45" s="10"/>
      <c r="OER45" s="10"/>
      <c r="OES45" s="10"/>
      <c r="OET45" s="10"/>
      <c r="OEU45" s="10"/>
      <c r="OEV45" s="10"/>
      <c r="OEW45" s="10"/>
      <c r="OEX45" s="10"/>
      <c r="OEY45" s="10"/>
      <c r="OEZ45" s="10"/>
      <c r="OFA45" s="10"/>
      <c r="OFB45" s="10"/>
      <c r="OFC45" s="10"/>
      <c r="OFD45" s="10"/>
      <c r="OFE45" s="10"/>
      <c r="OFF45" s="10"/>
      <c r="OFG45" s="10"/>
      <c r="OFH45" s="10"/>
      <c r="OFI45" s="10"/>
      <c r="OFJ45" s="10"/>
      <c r="OFK45" s="10"/>
      <c r="OFL45" s="10"/>
      <c r="OFM45" s="10"/>
      <c r="OFN45" s="10"/>
      <c r="OFO45" s="10"/>
      <c r="OFP45" s="10"/>
      <c r="OFQ45" s="10"/>
      <c r="OFR45" s="10"/>
      <c r="OFS45" s="10"/>
      <c r="OFT45" s="10"/>
      <c r="OFU45" s="10"/>
      <c r="OFV45" s="10"/>
      <c r="OFW45" s="10"/>
      <c r="OFX45" s="10"/>
      <c r="OFY45" s="10"/>
      <c r="OFZ45" s="10"/>
      <c r="OGA45" s="10"/>
      <c r="OGB45" s="10"/>
      <c r="OGC45" s="10"/>
      <c r="OGD45" s="10"/>
      <c r="OGE45" s="10"/>
      <c r="OGF45" s="10"/>
      <c r="OGG45" s="10"/>
      <c r="OGH45" s="10"/>
      <c r="OGI45" s="10"/>
      <c r="OGJ45" s="10"/>
      <c r="OGK45" s="10"/>
      <c r="OGL45" s="10"/>
      <c r="OGM45" s="10"/>
      <c r="OGN45" s="10"/>
      <c r="OGO45" s="10"/>
      <c r="OGP45" s="10"/>
      <c r="OGQ45" s="10"/>
      <c r="OGR45" s="10"/>
      <c r="OGS45" s="10"/>
      <c r="OGT45" s="10"/>
      <c r="OGU45" s="10"/>
      <c r="OGV45" s="10"/>
      <c r="OGW45" s="10"/>
      <c r="OGX45" s="10"/>
      <c r="OGY45" s="10"/>
      <c r="OGZ45" s="10"/>
      <c r="OHA45" s="10"/>
      <c r="OHB45" s="10"/>
      <c r="OHC45" s="10"/>
      <c r="OHD45" s="10"/>
      <c r="OHE45" s="10"/>
      <c r="OHF45" s="10"/>
      <c r="OHG45" s="10"/>
      <c r="OHH45" s="10"/>
      <c r="OHI45" s="10"/>
      <c r="OHJ45" s="10"/>
      <c r="OHK45" s="10"/>
      <c r="OHL45" s="10"/>
      <c r="OHM45" s="10"/>
      <c r="OHN45" s="10"/>
      <c r="OHO45" s="10"/>
      <c r="OHP45" s="10"/>
      <c r="OHQ45" s="10"/>
      <c r="OHR45" s="10"/>
      <c r="OHS45" s="10"/>
      <c r="OHT45" s="10"/>
      <c r="OHU45" s="10"/>
      <c r="OHV45" s="10"/>
      <c r="OHW45" s="10"/>
      <c r="OHX45" s="10"/>
      <c r="OHY45" s="10"/>
      <c r="OHZ45" s="10"/>
      <c r="OIA45" s="10"/>
      <c r="OIB45" s="10"/>
      <c r="OIC45" s="10"/>
      <c r="OID45" s="10"/>
      <c r="OIE45" s="10"/>
      <c r="OIF45" s="10"/>
      <c r="OIG45" s="10"/>
      <c r="OIH45" s="10"/>
      <c r="OII45" s="10"/>
      <c r="OIJ45" s="10"/>
      <c r="OIK45" s="10"/>
      <c r="OIL45" s="10"/>
      <c r="OIM45" s="10"/>
      <c r="OIN45" s="10"/>
      <c r="OIO45" s="10"/>
      <c r="OIP45" s="10"/>
      <c r="OIQ45" s="10"/>
      <c r="OIR45" s="10"/>
      <c r="OIS45" s="10"/>
      <c r="OIT45" s="10"/>
      <c r="OIU45" s="10"/>
      <c r="OIV45" s="10"/>
      <c r="OIW45" s="10"/>
      <c r="OIX45" s="10"/>
      <c r="OIY45" s="10"/>
      <c r="OIZ45" s="10"/>
      <c r="OJA45" s="10"/>
      <c r="OJB45" s="10"/>
      <c r="OJC45" s="10"/>
      <c r="OJD45" s="10"/>
      <c r="OJE45" s="10"/>
      <c r="OJF45" s="10"/>
      <c r="OJG45" s="10"/>
      <c r="OJH45" s="10"/>
      <c r="OJI45" s="10"/>
      <c r="OJJ45" s="10"/>
      <c r="OJK45" s="10"/>
      <c r="OJL45" s="10"/>
      <c r="OJM45" s="10"/>
      <c r="OJN45" s="10"/>
      <c r="OJO45" s="10"/>
      <c r="OJP45" s="10"/>
      <c r="OJQ45" s="10"/>
      <c r="OJR45" s="10"/>
      <c r="OJS45" s="10"/>
      <c r="OJT45" s="10"/>
      <c r="OJU45" s="10"/>
      <c r="OJV45" s="10"/>
      <c r="OJW45" s="10"/>
      <c r="OJX45" s="10"/>
      <c r="OJY45" s="10"/>
      <c r="OJZ45" s="10"/>
      <c r="OKA45" s="10"/>
      <c r="OKB45" s="10"/>
      <c r="OKC45" s="10"/>
      <c r="OKD45" s="10"/>
      <c r="OKE45" s="10"/>
      <c r="OKF45" s="10"/>
      <c r="OKG45" s="10"/>
      <c r="OKH45" s="10"/>
      <c r="OKI45" s="10"/>
      <c r="OKJ45" s="10"/>
      <c r="OKK45" s="10"/>
      <c r="OKL45" s="10"/>
      <c r="OKM45" s="10"/>
      <c r="OKN45" s="10"/>
      <c r="OKO45" s="10"/>
      <c r="OKP45" s="10"/>
      <c r="OKQ45" s="10"/>
      <c r="OKR45" s="10"/>
      <c r="OKS45" s="10"/>
      <c r="OKT45" s="10"/>
      <c r="OKU45" s="10"/>
      <c r="OKV45" s="10"/>
      <c r="OKW45" s="10"/>
      <c r="OKX45" s="10"/>
      <c r="OKY45" s="10"/>
      <c r="OKZ45" s="10"/>
      <c r="OLA45" s="10"/>
      <c r="OLB45" s="10"/>
      <c r="OLC45" s="10"/>
      <c r="OLD45" s="10"/>
      <c r="OLE45" s="10"/>
      <c r="OLF45" s="10"/>
      <c r="OLG45" s="10"/>
      <c r="OLH45" s="10"/>
      <c r="OLI45" s="10"/>
      <c r="OLJ45" s="10"/>
      <c r="OLK45" s="10"/>
      <c r="OLL45" s="10"/>
      <c r="OLM45" s="10"/>
      <c r="OLN45" s="10"/>
      <c r="OLO45" s="10"/>
      <c r="OLP45" s="10"/>
      <c r="OLQ45" s="10"/>
      <c r="OLR45" s="10"/>
      <c r="OLS45" s="10"/>
      <c r="OLT45" s="10"/>
      <c r="OLU45" s="10"/>
      <c r="OLV45" s="10"/>
      <c r="OLW45" s="10"/>
      <c r="OLX45" s="10"/>
      <c r="OLY45" s="10"/>
      <c r="OLZ45" s="10"/>
      <c r="OMA45" s="10"/>
      <c r="OMB45" s="10"/>
      <c r="OMC45" s="10"/>
      <c r="OMD45" s="10"/>
      <c r="OME45" s="10"/>
      <c r="OMF45" s="10"/>
      <c r="OMG45" s="10"/>
      <c r="OMH45" s="10"/>
      <c r="OMI45" s="10"/>
      <c r="OMJ45" s="10"/>
      <c r="OMK45" s="10"/>
      <c r="OML45" s="10"/>
      <c r="OMM45" s="10"/>
      <c r="OMN45" s="10"/>
      <c r="OMO45" s="10"/>
      <c r="OMP45" s="10"/>
      <c r="OMQ45" s="10"/>
      <c r="OMR45" s="10"/>
      <c r="OMS45" s="10"/>
      <c r="OMT45" s="10"/>
      <c r="OMU45" s="10"/>
      <c r="OMV45" s="10"/>
      <c r="OMW45" s="10"/>
      <c r="OMX45" s="10"/>
      <c r="OMY45" s="10"/>
      <c r="OMZ45" s="10"/>
      <c r="ONA45" s="10"/>
      <c r="ONB45" s="10"/>
      <c r="ONC45" s="10"/>
      <c r="OND45" s="10"/>
      <c r="ONE45" s="10"/>
      <c r="ONF45" s="10"/>
      <c r="ONG45" s="10"/>
      <c r="ONH45" s="10"/>
      <c r="ONI45" s="10"/>
      <c r="ONJ45" s="10"/>
      <c r="ONK45" s="10"/>
      <c r="ONL45" s="10"/>
      <c r="ONM45" s="10"/>
      <c r="ONN45" s="10"/>
      <c r="ONO45" s="10"/>
      <c r="ONP45" s="10"/>
      <c r="ONQ45" s="10"/>
      <c r="ONR45" s="10"/>
      <c r="ONS45" s="10"/>
      <c r="ONT45" s="10"/>
      <c r="ONU45" s="10"/>
      <c r="ONV45" s="10"/>
      <c r="ONW45" s="10"/>
      <c r="ONX45" s="10"/>
      <c r="ONY45" s="10"/>
      <c r="ONZ45" s="10"/>
      <c r="OOA45" s="10"/>
      <c r="OOB45" s="10"/>
      <c r="OOC45" s="10"/>
      <c r="OOD45" s="10"/>
      <c r="OOE45" s="10"/>
      <c r="OOF45" s="10"/>
      <c r="OOG45" s="10"/>
      <c r="OOH45" s="10"/>
      <c r="OOI45" s="10"/>
      <c r="OOJ45" s="10"/>
      <c r="OOK45" s="10"/>
      <c r="OOL45" s="10"/>
      <c r="OOM45" s="10"/>
      <c r="OON45" s="10"/>
      <c r="OOO45" s="10"/>
      <c r="OOP45" s="10"/>
      <c r="OOQ45" s="10"/>
      <c r="OOR45" s="10"/>
      <c r="OOS45" s="10"/>
      <c r="OOT45" s="10"/>
      <c r="OOU45" s="10"/>
      <c r="OOV45" s="10"/>
      <c r="OOW45" s="10"/>
      <c r="OOX45" s="10"/>
      <c r="OOY45" s="10"/>
      <c r="OOZ45" s="10"/>
      <c r="OPA45" s="10"/>
      <c r="OPB45" s="10"/>
      <c r="OPC45" s="10"/>
      <c r="OPD45" s="10"/>
      <c r="OPE45" s="10"/>
      <c r="OPF45" s="10"/>
      <c r="OPG45" s="10"/>
      <c r="OPH45" s="10"/>
      <c r="OPI45" s="10"/>
      <c r="OPJ45" s="10"/>
      <c r="OPK45" s="10"/>
      <c r="OPL45" s="10"/>
      <c r="OPM45" s="10"/>
      <c r="OPN45" s="10"/>
      <c r="OPO45" s="10"/>
      <c r="OPP45" s="10"/>
      <c r="OPQ45" s="10"/>
      <c r="OPR45" s="10"/>
      <c r="OPS45" s="10"/>
      <c r="OPT45" s="10"/>
      <c r="OPU45" s="10"/>
      <c r="OPV45" s="10"/>
      <c r="OPW45" s="10"/>
      <c r="OPX45" s="10"/>
      <c r="OPY45" s="10"/>
      <c r="OPZ45" s="10"/>
      <c r="OQA45" s="10"/>
      <c r="OQB45" s="10"/>
      <c r="OQC45" s="10"/>
      <c r="OQD45" s="10"/>
      <c r="OQE45" s="10"/>
      <c r="OQF45" s="10"/>
      <c r="OQG45" s="10"/>
      <c r="OQH45" s="10"/>
      <c r="OQI45" s="10"/>
      <c r="OQJ45" s="10"/>
      <c r="OQK45" s="10"/>
      <c r="OQL45" s="10"/>
      <c r="OQM45" s="10"/>
      <c r="OQN45" s="10"/>
      <c r="OQO45" s="10"/>
      <c r="OQP45" s="10"/>
      <c r="OQQ45" s="10"/>
      <c r="OQR45" s="10"/>
      <c r="OQS45" s="10"/>
      <c r="OQT45" s="10"/>
      <c r="OQU45" s="10"/>
      <c r="OQV45" s="10"/>
      <c r="OQW45" s="10"/>
      <c r="OQX45" s="10"/>
      <c r="OQY45" s="10"/>
      <c r="OQZ45" s="10"/>
      <c r="ORA45" s="10"/>
      <c r="ORB45" s="10"/>
      <c r="ORC45" s="10"/>
      <c r="ORD45" s="10"/>
      <c r="ORE45" s="10"/>
      <c r="ORF45" s="10"/>
      <c r="ORG45" s="10"/>
      <c r="ORH45" s="10"/>
      <c r="ORI45" s="10"/>
      <c r="ORJ45" s="10"/>
      <c r="ORK45" s="10"/>
      <c r="ORL45" s="10"/>
      <c r="ORM45" s="10"/>
      <c r="ORN45" s="10"/>
      <c r="ORO45" s="10"/>
      <c r="ORP45" s="10"/>
      <c r="ORQ45" s="10"/>
      <c r="ORR45" s="10"/>
      <c r="ORS45" s="10"/>
      <c r="ORT45" s="10"/>
      <c r="ORU45" s="10"/>
      <c r="ORV45" s="10"/>
      <c r="ORW45" s="10"/>
      <c r="ORX45" s="10"/>
      <c r="ORY45" s="10"/>
      <c r="ORZ45" s="10"/>
      <c r="OSA45" s="10"/>
      <c r="OSB45" s="10"/>
      <c r="OSC45" s="10"/>
      <c r="OSD45" s="10"/>
      <c r="OSE45" s="10"/>
      <c r="OSF45" s="10"/>
      <c r="OSG45" s="10"/>
      <c r="OSH45" s="10"/>
      <c r="OSI45" s="10"/>
      <c r="OSJ45" s="10"/>
      <c r="OSK45" s="10"/>
      <c r="OSL45" s="10"/>
      <c r="OSM45" s="10"/>
      <c r="OSN45" s="10"/>
      <c r="OSO45" s="10"/>
      <c r="OSP45" s="10"/>
      <c r="OSQ45" s="10"/>
      <c r="OSR45" s="10"/>
      <c r="OSS45" s="10"/>
      <c r="OST45" s="10"/>
      <c r="OSU45" s="10"/>
      <c r="OSV45" s="10"/>
      <c r="OSW45" s="10"/>
      <c r="OSX45" s="10"/>
      <c r="OSY45" s="10"/>
      <c r="OSZ45" s="10"/>
      <c r="OTA45" s="10"/>
      <c r="OTB45" s="10"/>
      <c r="OTC45" s="10"/>
      <c r="OTD45" s="10"/>
      <c r="OTE45" s="10"/>
      <c r="OTF45" s="10"/>
      <c r="OTG45" s="10"/>
      <c r="OTH45" s="10"/>
      <c r="OTI45" s="10"/>
      <c r="OTJ45" s="10"/>
      <c r="OTK45" s="10"/>
      <c r="OTL45" s="10"/>
      <c r="OTM45" s="10"/>
      <c r="OTN45" s="10"/>
      <c r="OTO45" s="10"/>
      <c r="OTP45" s="10"/>
      <c r="OTQ45" s="10"/>
      <c r="OTR45" s="10"/>
      <c r="OTS45" s="10"/>
      <c r="OTT45" s="10"/>
      <c r="OTU45" s="10"/>
      <c r="OTV45" s="10"/>
      <c r="OTW45" s="10"/>
      <c r="OTX45" s="10"/>
      <c r="OTY45" s="10"/>
      <c r="OTZ45" s="10"/>
      <c r="OUA45" s="10"/>
      <c r="OUB45" s="10"/>
      <c r="OUC45" s="10"/>
      <c r="OUD45" s="10"/>
      <c r="OUE45" s="10"/>
      <c r="OUF45" s="10"/>
      <c r="OUG45" s="10"/>
      <c r="OUH45" s="10"/>
      <c r="OUI45" s="10"/>
      <c r="OUJ45" s="10"/>
      <c r="OUK45" s="10"/>
      <c r="OUL45" s="10"/>
      <c r="OUM45" s="10"/>
      <c r="OUN45" s="10"/>
      <c r="OUO45" s="10"/>
      <c r="OUP45" s="10"/>
      <c r="OUQ45" s="10"/>
      <c r="OUR45" s="10"/>
      <c r="OUS45" s="10"/>
      <c r="OUT45" s="10"/>
      <c r="OUU45" s="10"/>
      <c r="OUV45" s="10"/>
      <c r="OUW45" s="10"/>
      <c r="OUX45" s="10"/>
      <c r="OUY45" s="10"/>
      <c r="OUZ45" s="10"/>
      <c r="OVA45" s="10"/>
      <c r="OVB45" s="10"/>
      <c r="OVC45" s="10"/>
      <c r="OVD45" s="10"/>
      <c r="OVE45" s="10"/>
      <c r="OVF45" s="10"/>
      <c r="OVG45" s="10"/>
      <c r="OVH45" s="10"/>
      <c r="OVI45" s="10"/>
      <c r="OVJ45" s="10"/>
      <c r="OVK45" s="10"/>
      <c r="OVL45" s="10"/>
      <c r="OVM45" s="10"/>
      <c r="OVN45" s="10"/>
      <c r="OVO45" s="10"/>
      <c r="OVP45" s="10"/>
      <c r="OVQ45" s="10"/>
      <c r="OVR45" s="10"/>
      <c r="OVS45" s="10"/>
      <c r="OVT45" s="10"/>
      <c r="OVU45" s="10"/>
      <c r="OVV45" s="10"/>
      <c r="OVW45" s="10"/>
      <c r="OVX45" s="10"/>
      <c r="OVY45" s="10"/>
      <c r="OVZ45" s="10"/>
      <c r="OWA45" s="10"/>
      <c r="OWB45" s="10"/>
      <c r="OWC45" s="10"/>
      <c r="OWD45" s="10"/>
      <c r="OWE45" s="10"/>
      <c r="OWF45" s="10"/>
      <c r="OWG45" s="10"/>
      <c r="OWH45" s="10"/>
      <c r="OWI45" s="10"/>
      <c r="OWJ45" s="10"/>
      <c r="OWK45" s="10"/>
      <c r="OWL45" s="10"/>
      <c r="OWM45" s="10"/>
      <c r="OWN45" s="10"/>
      <c r="OWO45" s="10"/>
      <c r="OWP45" s="10"/>
      <c r="OWQ45" s="10"/>
      <c r="OWR45" s="10"/>
      <c r="OWS45" s="10"/>
      <c r="OWT45" s="10"/>
      <c r="OWU45" s="10"/>
      <c r="OWV45" s="10"/>
      <c r="OWW45" s="10"/>
      <c r="OWX45" s="10"/>
      <c r="OWY45" s="10"/>
      <c r="OWZ45" s="10"/>
      <c r="OXA45" s="10"/>
      <c r="OXB45" s="10"/>
      <c r="OXC45" s="10"/>
      <c r="OXD45" s="10"/>
      <c r="OXE45" s="10"/>
      <c r="OXF45" s="10"/>
      <c r="OXG45" s="10"/>
      <c r="OXH45" s="10"/>
      <c r="OXI45" s="10"/>
      <c r="OXJ45" s="10"/>
      <c r="OXK45" s="10"/>
      <c r="OXL45" s="10"/>
      <c r="OXM45" s="10"/>
      <c r="OXN45" s="10"/>
      <c r="OXO45" s="10"/>
      <c r="OXP45" s="10"/>
      <c r="OXQ45" s="10"/>
      <c r="OXR45" s="10"/>
      <c r="OXS45" s="10"/>
      <c r="OXT45" s="10"/>
      <c r="OXU45" s="10"/>
      <c r="OXV45" s="10"/>
      <c r="OXW45" s="10"/>
      <c r="OXX45" s="10"/>
      <c r="OXY45" s="10"/>
      <c r="OXZ45" s="10"/>
      <c r="OYA45" s="10"/>
      <c r="OYB45" s="10"/>
      <c r="OYC45" s="10"/>
      <c r="OYD45" s="10"/>
      <c r="OYE45" s="10"/>
      <c r="OYF45" s="10"/>
      <c r="OYG45" s="10"/>
      <c r="OYH45" s="10"/>
      <c r="OYI45" s="10"/>
      <c r="OYJ45" s="10"/>
      <c r="OYK45" s="10"/>
      <c r="OYL45" s="10"/>
      <c r="OYM45" s="10"/>
      <c r="OYN45" s="10"/>
      <c r="OYO45" s="10"/>
      <c r="OYP45" s="10"/>
      <c r="OYQ45" s="10"/>
      <c r="OYR45" s="10"/>
      <c r="OYS45" s="10"/>
      <c r="OYT45" s="10"/>
      <c r="OYU45" s="10"/>
      <c r="OYV45" s="10"/>
      <c r="OYW45" s="10"/>
      <c r="OYX45" s="10"/>
      <c r="OYY45" s="10"/>
      <c r="OYZ45" s="10"/>
      <c r="OZA45" s="10"/>
      <c r="OZB45" s="10"/>
      <c r="OZC45" s="10"/>
      <c r="OZD45" s="10"/>
      <c r="OZE45" s="10"/>
      <c r="OZF45" s="10"/>
      <c r="OZG45" s="10"/>
      <c r="OZH45" s="10"/>
      <c r="OZI45" s="10"/>
      <c r="OZJ45" s="10"/>
      <c r="OZK45" s="10"/>
      <c r="OZL45" s="10"/>
      <c r="OZM45" s="10"/>
      <c r="OZN45" s="10"/>
      <c r="OZO45" s="10"/>
      <c r="OZP45" s="10"/>
      <c r="OZQ45" s="10"/>
      <c r="OZR45" s="10"/>
      <c r="OZS45" s="10"/>
      <c r="OZT45" s="10"/>
      <c r="OZU45" s="10"/>
      <c r="OZV45" s="10"/>
      <c r="OZW45" s="10"/>
      <c r="OZX45" s="10"/>
      <c r="OZY45" s="10"/>
      <c r="OZZ45" s="10"/>
      <c r="PAA45" s="10"/>
      <c r="PAB45" s="10"/>
      <c r="PAC45" s="10"/>
      <c r="PAD45" s="10"/>
      <c r="PAE45" s="10"/>
      <c r="PAF45" s="10"/>
      <c r="PAG45" s="10"/>
      <c r="PAH45" s="10"/>
      <c r="PAI45" s="10"/>
      <c r="PAJ45" s="10"/>
      <c r="PAK45" s="10"/>
      <c r="PAL45" s="10"/>
      <c r="PAM45" s="10"/>
      <c r="PAN45" s="10"/>
      <c r="PAO45" s="10"/>
      <c r="PAP45" s="10"/>
      <c r="PAQ45" s="10"/>
      <c r="PAR45" s="10"/>
      <c r="PAS45" s="10"/>
      <c r="PAT45" s="10"/>
      <c r="PAU45" s="10"/>
      <c r="PAV45" s="10"/>
      <c r="PAW45" s="10"/>
      <c r="PAX45" s="10"/>
      <c r="PAY45" s="10"/>
      <c r="PAZ45" s="10"/>
      <c r="PBA45" s="10"/>
      <c r="PBB45" s="10"/>
      <c r="PBC45" s="10"/>
      <c r="PBD45" s="10"/>
      <c r="PBE45" s="10"/>
      <c r="PBF45" s="10"/>
      <c r="PBG45" s="10"/>
      <c r="PBH45" s="10"/>
      <c r="PBI45" s="10"/>
      <c r="PBJ45" s="10"/>
      <c r="PBK45" s="10"/>
      <c r="PBL45" s="10"/>
      <c r="PBM45" s="10"/>
      <c r="PBN45" s="10"/>
      <c r="PBO45" s="10"/>
      <c r="PBP45" s="10"/>
      <c r="PBQ45" s="10"/>
      <c r="PBR45" s="10"/>
      <c r="PBS45" s="10"/>
      <c r="PBT45" s="10"/>
      <c r="PBU45" s="10"/>
      <c r="PBV45" s="10"/>
      <c r="PBW45" s="10"/>
      <c r="PBX45" s="10"/>
      <c r="PBY45" s="10"/>
      <c r="PBZ45" s="10"/>
      <c r="PCA45" s="10"/>
      <c r="PCB45" s="10"/>
      <c r="PCC45" s="10"/>
      <c r="PCD45" s="10"/>
      <c r="PCE45" s="10"/>
      <c r="PCF45" s="10"/>
      <c r="PCG45" s="10"/>
      <c r="PCH45" s="10"/>
      <c r="PCI45" s="10"/>
      <c r="PCJ45" s="10"/>
      <c r="PCK45" s="10"/>
      <c r="PCL45" s="10"/>
      <c r="PCM45" s="10"/>
      <c r="PCN45" s="10"/>
      <c r="PCO45" s="10"/>
      <c r="PCP45" s="10"/>
      <c r="PCQ45" s="10"/>
      <c r="PCR45" s="10"/>
      <c r="PCS45" s="10"/>
      <c r="PCT45" s="10"/>
      <c r="PCU45" s="10"/>
      <c r="PCV45" s="10"/>
      <c r="PCW45" s="10"/>
      <c r="PCX45" s="10"/>
      <c r="PCY45" s="10"/>
      <c r="PCZ45" s="10"/>
      <c r="PDA45" s="10"/>
      <c r="PDB45" s="10"/>
      <c r="PDC45" s="10"/>
      <c r="PDD45" s="10"/>
      <c r="PDE45" s="10"/>
      <c r="PDF45" s="10"/>
      <c r="PDG45" s="10"/>
      <c r="PDH45" s="10"/>
      <c r="PDI45" s="10"/>
      <c r="PDJ45" s="10"/>
      <c r="PDK45" s="10"/>
      <c r="PDL45" s="10"/>
      <c r="PDM45" s="10"/>
      <c r="PDN45" s="10"/>
      <c r="PDO45" s="10"/>
      <c r="PDP45" s="10"/>
      <c r="PDQ45" s="10"/>
      <c r="PDR45" s="10"/>
      <c r="PDS45" s="10"/>
      <c r="PDT45" s="10"/>
      <c r="PDU45" s="10"/>
      <c r="PDV45" s="10"/>
      <c r="PDW45" s="10"/>
      <c r="PDX45" s="10"/>
      <c r="PDY45" s="10"/>
      <c r="PDZ45" s="10"/>
      <c r="PEA45" s="10"/>
      <c r="PEB45" s="10"/>
      <c r="PEC45" s="10"/>
      <c r="PED45" s="10"/>
      <c r="PEE45" s="10"/>
      <c r="PEF45" s="10"/>
      <c r="PEG45" s="10"/>
      <c r="PEH45" s="10"/>
      <c r="PEI45" s="10"/>
      <c r="PEJ45" s="10"/>
      <c r="PEK45" s="10"/>
      <c r="PEL45" s="10"/>
      <c r="PEM45" s="10"/>
      <c r="PEN45" s="10"/>
      <c r="PEO45" s="10"/>
      <c r="PEP45" s="10"/>
      <c r="PEQ45" s="10"/>
      <c r="PER45" s="10"/>
      <c r="PES45" s="10"/>
      <c r="PET45" s="10"/>
      <c r="PEU45" s="10"/>
      <c r="PEV45" s="10"/>
      <c r="PEW45" s="10"/>
      <c r="PEX45" s="10"/>
      <c r="PEY45" s="10"/>
      <c r="PEZ45" s="10"/>
      <c r="PFA45" s="10"/>
      <c r="PFB45" s="10"/>
      <c r="PFC45" s="10"/>
      <c r="PFD45" s="10"/>
      <c r="PFE45" s="10"/>
      <c r="PFF45" s="10"/>
      <c r="PFG45" s="10"/>
      <c r="PFH45" s="10"/>
      <c r="PFI45" s="10"/>
      <c r="PFJ45" s="10"/>
      <c r="PFK45" s="10"/>
      <c r="PFL45" s="10"/>
      <c r="PFM45" s="10"/>
      <c r="PFN45" s="10"/>
      <c r="PFO45" s="10"/>
      <c r="PFP45" s="10"/>
      <c r="PFQ45" s="10"/>
      <c r="PFR45" s="10"/>
      <c r="PFS45" s="10"/>
      <c r="PFT45" s="10"/>
      <c r="PFU45" s="10"/>
      <c r="PFV45" s="10"/>
      <c r="PFW45" s="10"/>
      <c r="PFX45" s="10"/>
      <c r="PFY45" s="10"/>
      <c r="PFZ45" s="10"/>
      <c r="PGA45" s="10"/>
      <c r="PGB45" s="10"/>
      <c r="PGC45" s="10"/>
      <c r="PGD45" s="10"/>
      <c r="PGE45" s="10"/>
      <c r="PGF45" s="10"/>
      <c r="PGG45" s="10"/>
      <c r="PGH45" s="10"/>
      <c r="PGI45" s="10"/>
      <c r="PGJ45" s="10"/>
      <c r="PGK45" s="10"/>
      <c r="PGL45" s="10"/>
      <c r="PGM45" s="10"/>
      <c r="PGN45" s="10"/>
      <c r="PGO45" s="10"/>
      <c r="PGP45" s="10"/>
      <c r="PGQ45" s="10"/>
      <c r="PGR45" s="10"/>
      <c r="PGS45" s="10"/>
      <c r="PGT45" s="10"/>
      <c r="PGU45" s="10"/>
      <c r="PGV45" s="10"/>
      <c r="PGW45" s="10"/>
      <c r="PGX45" s="10"/>
      <c r="PGY45" s="10"/>
      <c r="PGZ45" s="10"/>
      <c r="PHA45" s="10"/>
      <c r="PHB45" s="10"/>
      <c r="PHC45" s="10"/>
      <c r="PHD45" s="10"/>
      <c r="PHE45" s="10"/>
      <c r="PHF45" s="10"/>
      <c r="PHG45" s="10"/>
      <c r="PHH45" s="10"/>
      <c r="PHI45" s="10"/>
      <c r="PHJ45" s="10"/>
      <c r="PHK45" s="10"/>
      <c r="PHL45" s="10"/>
      <c r="PHM45" s="10"/>
      <c r="PHN45" s="10"/>
      <c r="PHO45" s="10"/>
      <c r="PHP45" s="10"/>
      <c r="PHQ45" s="10"/>
      <c r="PHR45" s="10"/>
      <c r="PHS45" s="10"/>
      <c r="PHT45" s="10"/>
      <c r="PHU45" s="10"/>
      <c r="PHV45" s="10"/>
      <c r="PHW45" s="10"/>
      <c r="PHX45" s="10"/>
      <c r="PHY45" s="10"/>
      <c r="PHZ45" s="10"/>
      <c r="PIA45" s="10"/>
      <c r="PIB45" s="10"/>
      <c r="PIC45" s="10"/>
      <c r="PID45" s="10"/>
      <c r="PIE45" s="10"/>
      <c r="PIF45" s="10"/>
      <c r="PIG45" s="10"/>
      <c r="PIH45" s="10"/>
      <c r="PII45" s="10"/>
      <c r="PIJ45" s="10"/>
      <c r="PIK45" s="10"/>
      <c r="PIL45" s="10"/>
      <c r="PIM45" s="10"/>
      <c r="PIN45" s="10"/>
      <c r="PIO45" s="10"/>
      <c r="PIP45" s="10"/>
      <c r="PIQ45" s="10"/>
      <c r="PIR45" s="10"/>
      <c r="PIS45" s="10"/>
      <c r="PIT45" s="10"/>
      <c r="PIU45" s="10"/>
      <c r="PIV45" s="10"/>
      <c r="PIW45" s="10"/>
      <c r="PIX45" s="10"/>
      <c r="PIY45" s="10"/>
      <c r="PIZ45" s="10"/>
      <c r="PJA45" s="10"/>
      <c r="PJB45" s="10"/>
      <c r="PJC45" s="10"/>
      <c r="PJD45" s="10"/>
      <c r="PJE45" s="10"/>
      <c r="PJF45" s="10"/>
      <c r="PJG45" s="10"/>
      <c r="PJH45" s="10"/>
      <c r="PJI45" s="10"/>
      <c r="PJJ45" s="10"/>
      <c r="PJK45" s="10"/>
      <c r="PJL45" s="10"/>
      <c r="PJM45" s="10"/>
      <c r="PJN45" s="10"/>
      <c r="PJO45" s="10"/>
      <c r="PJP45" s="10"/>
      <c r="PJQ45" s="10"/>
      <c r="PJR45" s="10"/>
      <c r="PJS45" s="10"/>
      <c r="PJT45" s="10"/>
      <c r="PJU45" s="10"/>
      <c r="PJV45" s="10"/>
      <c r="PJW45" s="10"/>
      <c r="PJX45" s="10"/>
      <c r="PJY45" s="10"/>
      <c r="PJZ45" s="10"/>
      <c r="PKA45" s="10"/>
      <c r="PKB45" s="10"/>
      <c r="PKC45" s="10"/>
      <c r="PKD45" s="10"/>
      <c r="PKE45" s="10"/>
      <c r="PKF45" s="10"/>
      <c r="PKG45" s="10"/>
      <c r="PKH45" s="10"/>
      <c r="PKI45" s="10"/>
      <c r="PKJ45" s="10"/>
      <c r="PKK45" s="10"/>
      <c r="PKL45" s="10"/>
      <c r="PKM45" s="10"/>
      <c r="PKN45" s="10"/>
      <c r="PKO45" s="10"/>
      <c r="PKP45" s="10"/>
      <c r="PKQ45" s="10"/>
      <c r="PKR45" s="10"/>
      <c r="PKS45" s="10"/>
      <c r="PKT45" s="10"/>
      <c r="PKU45" s="10"/>
      <c r="PKV45" s="10"/>
      <c r="PKW45" s="10"/>
      <c r="PKX45" s="10"/>
      <c r="PKY45" s="10"/>
      <c r="PKZ45" s="10"/>
      <c r="PLA45" s="10"/>
      <c r="PLB45" s="10"/>
      <c r="PLC45" s="10"/>
      <c r="PLD45" s="10"/>
      <c r="PLE45" s="10"/>
      <c r="PLF45" s="10"/>
      <c r="PLG45" s="10"/>
      <c r="PLH45" s="10"/>
      <c r="PLI45" s="10"/>
      <c r="PLJ45" s="10"/>
      <c r="PLK45" s="10"/>
      <c r="PLL45" s="10"/>
      <c r="PLM45" s="10"/>
      <c r="PLN45" s="10"/>
      <c r="PLO45" s="10"/>
      <c r="PLP45" s="10"/>
      <c r="PLQ45" s="10"/>
      <c r="PLR45" s="10"/>
      <c r="PLS45" s="10"/>
      <c r="PLT45" s="10"/>
      <c r="PLU45" s="10"/>
      <c r="PLV45" s="10"/>
      <c r="PLW45" s="10"/>
      <c r="PLX45" s="10"/>
      <c r="PLY45" s="10"/>
      <c r="PLZ45" s="10"/>
      <c r="PMA45" s="10"/>
      <c r="PMB45" s="10"/>
      <c r="PMC45" s="10"/>
      <c r="PMD45" s="10"/>
      <c r="PME45" s="10"/>
      <c r="PMF45" s="10"/>
      <c r="PMG45" s="10"/>
      <c r="PMH45" s="10"/>
      <c r="PMI45" s="10"/>
      <c r="PMJ45" s="10"/>
      <c r="PMK45" s="10"/>
      <c r="PML45" s="10"/>
      <c r="PMM45" s="10"/>
      <c r="PMN45" s="10"/>
      <c r="PMO45" s="10"/>
      <c r="PMP45" s="10"/>
      <c r="PMQ45" s="10"/>
      <c r="PMR45" s="10"/>
      <c r="PMS45" s="10"/>
      <c r="PMT45" s="10"/>
      <c r="PMU45" s="10"/>
      <c r="PMV45" s="10"/>
      <c r="PMW45" s="10"/>
      <c r="PMX45" s="10"/>
      <c r="PMY45" s="10"/>
      <c r="PMZ45" s="10"/>
      <c r="PNA45" s="10"/>
      <c r="PNB45" s="10"/>
      <c r="PNC45" s="10"/>
      <c r="PND45" s="10"/>
      <c r="PNE45" s="10"/>
      <c r="PNF45" s="10"/>
      <c r="PNG45" s="10"/>
      <c r="PNH45" s="10"/>
      <c r="PNI45" s="10"/>
      <c r="PNJ45" s="10"/>
      <c r="PNK45" s="10"/>
      <c r="PNL45" s="10"/>
      <c r="PNM45" s="10"/>
      <c r="PNN45" s="10"/>
      <c r="PNO45" s="10"/>
      <c r="PNP45" s="10"/>
      <c r="PNQ45" s="10"/>
      <c r="PNR45" s="10"/>
      <c r="PNS45" s="10"/>
      <c r="PNT45" s="10"/>
      <c r="PNU45" s="10"/>
      <c r="PNV45" s="10"/>
      <c r="PNW45" s="10"/>
      <c r="PNX45" s="10"/>
      <c r="PNY45" s="10"/>
      <c r="PNZ45" s="10"/>
      <c r="POA45" s="10"/>
      <c r="POB45" s="10"/>
      <c r="POC45" s="10"/>
      <c r="POD45" s="10"/>
      <c r="POE45" s="10"/>
      <c r="POF45" s="10"/>
      <c r="POG45" s="10"/>
      <c r="POH45" s="10"/>
      <c r="POI45" s="10"/>
      <c r="POJ45" s="10"/>
      <c r="POK45" s="10"/>
      <c r="POL45" s="10"/>
      <c r="POM45" s="10"/>
      <c r="PON45" s="10"/>
      <c r="POO45" s="10"/>
      <c r="POP45" s="10"/>
      <c r="POQ45" s="10"/>
      <c r="POR45" s="10"/>
      <c r="POS45" s="10"/>
      <c r="POT45" s="10"/>
      <c r="POU45" s="10"/>
      <c r="POV45" s="10"/>
      <c r="POW45" s="10"/>
      <c r="POX45" s="10"/>
      <c r="POY45" s="10"/>
      <c r="POZ45" s="10"/>
      <c r="PPA45" s="10"/>
      <c r="PPB45" s="10"/>
      <c r="PPC45" s="10"/>
      <c r="PPD45" s="10"/>
      <c r="PPE45" s="10"/>
      <c r="PPF45" s="10"/>
      <c r="PPG45" s="10"/>
      <c r="PPH45" s="10"/>
      <c r="PPI45" s="10"/>
      <c r="PPJ45" s="10"/>
      <c r="PPK45" s="10"/>
      <c r="PPL45" s="10"/>
      <c r="PPM45" s="10"/>
      <c r="PPN45" s="10"/>
      <c r="PPO45" s="10"/>
      <c r="PPP45" s="10"/>
      <c r="PPQ45" s="10"/>
      <c r="PPR45" s="10"/>
      <c r="PPS45" s="10"/>
      <c r="PPT45" s="10"/>
      <c r="PPU45" s="10"/>
      <c r="PPV45" s="10"/>
      <c r="PPW45" s="10"/>
      <c r="PPX45" s="10"/>
      <c r="PPY45" s="10"/>
      <c r="PPZ45" s="10"/>
      <c r="PQA45" s="10"/>
      <c r="PQB45" s="10"/>
      <c r="PQC45" s="10"/>
      <c r="PQD45" s="10"/>
      <c r="PQE45" s="10"/>
      <c r="PQF45" s="10"/>
      <c r="PQG45" s="10"/>
      <c r="PQH45" s="10"/>
      <c r="PQI45" s="10"/>
      <c r="PQJ45" s="10"/>
      <c r="PQK45" s="10"/>
      <c r="PQL45" s="10"/>
      <c r="PQM45" s="10"/>
      <c r="PQN45" s="10"/>
      <c r="PQO45" s="10"/>
      <c r="PQP45" s="10"/>
      <c r="PQQ45" s="10"/>
      <c r="PQR45" s="10"/>
      <c r="PQS45" s="10"/>
      <c r="PQT45" s="10"/>
      <c r="PQU45" s="10"/>
      <c r="PQV45" s="10"/>
      <c r="PQW45" s="10"/>
      <c r="PQX45" s="10"/>
      <c r="PQY45" s="10"/>
      <c r="PQZ45" s="10"/>
      <c r="PRA45" s="10"/>
      <c r="PRB45" s="10"/>
      <c r="PRC45" s="10"/>
      <c r="PRD45" s="10"/>
      <c r="PRE45" s="10"/>
      <c r="PRF45" s="10"/>
      <c r="PRG45" s="10"/>
      <c r="PRH45" s="10"/>
      <c r="PRI45" s="10"/>
      <c r="PRJ45" s="10"/>
      <c r="PRK45" s="10"/>
      <c r="PRL45" s="10"/>
      <c r="PRM45" s="10"/>
      <c r="PRN45" s="10"/>
      <c r="PRO45" s="10"/>
      <c r="PRP45" s="10"/>
      <c r="PRQ45" s="10"/>
      <c r="PRR45" s="10"/>
      <c r="PRS45" s="10"/>
      <c r="PRT45" s="10"/>
      <c r="PRU45" s="10"/>
      <c r="PRV45" s="10"/>
      <c r="PRW45" s="10"/>
      <c r="PRX45" s="10"/>
      <c r="PRY45" s="10"/>
      <c r="PRZ45" s="10"/>
      <c r="PSA45" s="10"/>
      <c r="PSB45" s="10"/>
      <c r="PSC45" s="10"/>
      <c r="PSD45" s="10"/>
      <c r="PSE45" s="10"/>
      <c r="PSF45" s="10"/>
      <c r="PSG45" s="10"/>
      <c r="PSH45" s="10"/>
      <c r="PSI45" s="10"/>
      <c r="PSJ45" s="10"/>
      <c r="PSK45" s="10"/>
      <c r="PSL45" s="10"/>
      <c r="PSM45" s="10"/>
      <c r="PSN45" s="10"/>
      <c r="PSO45" s="10"/>
      <c r="PSP45" s="10"/>
      <c r="PSQ45" s="10"/>
      <c r="PSR45" s="10"/>
      <c r="PSS45" s="10"/>
      <c r="PST45" s="10"/>
      <c r="PSU45" s="10"/>
      <c r="PSV45" s="10"/>
      <c r="PSW45" s="10"/>
      <c r="PSX45" s="10"/>
      <c r="PSY45" s="10"/>
      <c r="PSZ45" s="10"/>
      <c r="PTA45" s="10"/>
      <c r="PTB45" s="10"/>
      <c r="PTC45" s="10"/>
      <c r="PTD45" s="10"/>
      <c r="PTE45" s="10"/>
      <c r="PTF45" s="10"/>
      <c r="PTG45" s="10"/>
      <c r="PTH45" s="10"/>
      <c r="PTI45" s="10"/>
      <c r="PTJ45" s="10"/>
      <c r="PTK45" s="10"/>
      <c r="PTL45" s="10"/>
      <c r="PTM45" s="10"/>
      <c r="PTN45" s="10"/>
      <c r="PTO45" s="10"/>
      <c r="PTP45" s="10"/>
      <c r="PTQ45" s="10"/>
      <c r="PTR45" s="10"/>
      <c r="PTS45" s="10"/>
      <c r="PTT45" s="10"/>
      <c r="PTU45" s="10"/>
      <c r="PTV45" s="10"/>
      <c r="PTW45" s="10"/>
      <c r="PTX45" s="10"/>
      <c r="PTY45" s="10"/>
      <c r="PTZ45" s="10"/>
      <c r="PUA45" s="10"/>
      <c r="PUB45" s="10"/>
      <c r="PUC45" s="10"/>
      <c r="PUD45" s="10"/>
      <c r="PUE45" s="10"/>
      <c r="PUF45" s="10"/>
      <c r="PUG45" s="10"/>
      <c r="PUH45" s="10"/>
      <c r="PUI45" s="10"/>
      <c r="PUJ45" s="10"/>
      <c r="PUK45" s="10"/>
      <c r="PUL45" s="10"/>
      <c r="PUM45" s="10"/>
      <c r="PUN45" s="10"/>
      <c r="PUO45" s="10"/>
      <c r="PUP45" s="10"/>
      <c r="PUQ45" s="10"/>
      <c r="PUR45" s="10"/>
      <c r="PUS45" s="10"/>
      <c r="PUT45" s="10"/>
      <c r="PUU45" s="10"/>
      <c r="PUV45" s="10"/>
      <c r="PUW45" s="10"/>
      <c r="PUX45" s="10"/>
      <c r="PUY45" s="10"/>
      <c r="PUZ45" s="10"/>
      <c r="PVA45" s="10"/>
      <c r="PVB45" s="10"/>
      <c r="PVC45" s="10"/>
      <c r="PVD45" s="10"/>
      <c r="PVE45" s="10"/>
      <c r="PVF45" s="10"/>
      <c r="PVG45" s="10"/>
      <c r="PVH45" s="10"/>
      <c r="PVI45" s="10"/>
      <c r="PVJ45" s="10"/>
      <c r="PVK45" s="10"/>
      <c r="PVL45" s="10"/>
      <c r="PVM45" s="10"/>
      <c r="PVN45" s="10"/>
      <c r="PVO45" s="10"/>
      <c r="PVP45" s="10"/>
      <c r="PVQ45" s="10"/>
      <c r="PVR45" s="10"/>
      <c r="PVS45" s="10"/>
      <c r="PVT45" s="10"/>
      <c r="PVU45" s="10"/>
      <c r="PVV45" s="10"/>
      <c r="PVW45" s="10"/>
      <c r="PVX45" s="10"/>
      <c r="PVY45" s="10"/>
      <c r="PVZ45" s="10"/>
      <c r="PWA45" s="10"/>
      <c r="PWB45" s="10"/>
      <c r="PWC45" s="10"/>
      <c r="PWD45" s="10"/>
      <c r="PWE45" s="10"/>
      <c r="PWF45" s="10"/>
      <c r="PWG45" s="10"/>
      <c r="PWH45" s="10"/>
      <c r="PWI45" s="10"/>
      <c r="PWJ45" s="10"/>
      <c r="PWK45" s="10"/>
      <c r="PWL45" s="10"/>
      <c r="PWM45" s="10"/>
      <c r="PWN45" s="10"/>
      <c r="PWO45" s="10"/>
      <c r="PWP45" s="10"/>
      <c r="PWQ45" s="10"/>
      <c r="PWR45" s="10"/>
      <c r="PWS45" s="10"/>
      <c r="PWT45" s="10"/>
      <c r="PWU45" s="10"/>
      <c r="PWV45" s="10"/>
      <c r="PWW45" s="10"/>
      <c r="PWX45" s="10"/>
      <c r="PWY45" s="10"/>
      <c r="PWZ45" s="10"/>
      <c r="PXA45" s="10"/>
      <c r="PXB45" s="10"/>
      <c r="PXC45" s="10"/>
      <c r="PXD45" s="10"/>
      <c r="PXE45" s="10"/>
      <c r="PXF45" s="10"/>
      <c r="PXG45" s="10"/>
      <c r="PXH45" s="10"/>
      <c r="PXI45" s="10"/>
      <c r="PXJ45" s="10"/>
      <c r="PXK45" s="10"/>
      <c r="PXL45" s="10"/>
      <c r="PXM45" s="10"/>
      <c r="PXN45" s="10"/>
      <c r="PXO45" s="10"/>
      <c r="PXP45" s="10"/>
      <c r="PXQ45" s="10"/>
      <c r="PXR45" s="10"/>
      <c r="PXS45" s="10"/>
      <c r="PXT45" s="10"/>
      <c r="PXU45" s="10"/>
      <c r="PXV45" s="10"/>
      <c r="PXW45" s="10"/>
      <c r="PXX45" s="10"/>
      <c r="PXY45" s="10"/>
      <c r="PXZ45" s="10"/>
      <c r="PYA45" s="10"/>
      <c r="PYB45" s="10"/>
      <c r="PYC45" s="10"/>
      <c r="PYD45" s="10"/>
      <c r="PYE45" s="10"/>
      <c r="PYF45" s="10"/>
      <c r="PYG45" s="10"/>
      <c r="PYH45" s="10"/>
      <c r="PYI45" s="10"/>
      <c r="PYJ45" s="10"/>
      <c r="PYK45" s="10"/>
      <c r="PYL45" s="10"/>
      <c r="PYM45" s="10"/>
      <c r="PYN45" s="10"/>
      <c r="PYO45" s="10"/>
      <c r="PYP45" s="10"/>
      <c r="PYQ45" s="10"/>
      <c r="PYR45" s="10"/>
      <c r="PYS45" s="10"/>
      <c r="PYT45" s="10"/>
      <c r="PYU45" s="10"/>
      <c r="PYV45" s="10"/>
      <c r="PYW45" s="10"/>
      <c r="PYX45" s="10"/>
      <c r="PYY45" s="10"/>
      <c r="PYZ45" s="10"/>
      <c r="PZA45" s="10"/>
      <c r="PZB45" s="10"/>
      <c r="PZC45" s="10"/>
      <c r="PZD45" s="10"/>
      <c r="PZE45" s="10"/>
      <c r="PZF45" s="10"/>
      <c r="PZG45" s="10"/>
      <c r="PZH45" s="10"/>
      <c r="PZI45" s="10"/>
      <c r="PZJ45" s="10"/>
      <c r="PZK45" s="10"/>
      <c r="PZL45" s="10"/>
      <c r="PZM45" s="10"/>
      <c r="PZN45" s="10"/>
      <c r="PZO45" s="10"/>
      <c r="PZP45" s="10"/>
      <c r="PZQ45" s="10"/>
      <c r="PZR45" s="10"/>
      <c r="PZS45" s="10"/>
      <c r="PZT45" s="10"/>
      <c r="PZU45" s="10"/>
      <c r="PZV45" s="10"/>
      <c r="PZW45" s="10"/>
      <c r="PZX45" s="10"/>
      <c r="PZY45" s="10"/>
      <c r="PZZ45" s="10"/>
      <c r="QAA45" s="10"/>
      <c r="QAB45" s="10"/>
      <c r="QAC45" s="10"/>
      <c r="QAD45" s="10"/>
      <c r="QAE45" s="10"/>
      <c r="QAF45" s="10"/>
      <c r="QAG45" s="10"/>
      <c r="QAH45" s="10"/>
      <c r="QAI45" s="10"/>
      <c r="QAJ45" s="10"/>
      <c r="QAK45" s="10"/>
      <c r="QAL45" s="10"/>
      <c r="QAM45" s="10"/>
      <c r="QAN45" s="10"/>
      <c r="QAO45" s="10"/>
      <c r="QAP45" s="10"/>
      <c r="QAQ45" s="10"/>
      <c r="QAR45" s="10"/>
      <c r="QAS45" s="10"/>
      <c r="QAT45" s="10"/>
      <c r="QAU45" s="10"/>
      <c r="QAV45" s="10"/>
      <c r="QAW45" s="10"/>
      <c r="QAX45" s="10"/>
      <c r="QAY45" s="10"/>
      <c r="QAZ45" s="10"/>
      <c r="QBA45" s="10"/>
      <c r="QBB45" s="10"/>
      <c r="QBC45" s="10"/>
      <c r="QBD45" s="10"/>
      <c r="QBE45" s="10"/>
      <c r="QBF45" s="10"/>
      <c r="QBG45" s="10"/>
      <c r="QBH45" s="10"/>
      <c r="QBI45" s="10"/>
      <c r="QBJ45" s="10"/>
      <c r="QBK45" s="10"/>
      <c r="QBL45" s="10"/>
      <c r="QBM45" s="10"/>
      <c r="QBN45" s="10"/>
      <c r="QBO45" s="10"/>
      <c r="QBP45" s="10"/>
      <c r="QBQ45" s="10"/>
      <c r="QBR45" s="10"/>
      <c r="QBS45" s="10"/>
      <c r="QBT45" s="10"/>
      <c r="QBU45" s="10"/>
      <c r="QBV45" s="10"/>
      <c r="QBW45" s="10"/>
      <c r="QBX45" s="10"/>
      <c r="QBY45" s="10"/>
      <c r="QBZ45" s="10"/>
      <c r="QCA45" s="10"/>
      <c r="QCB45" s="10"/>
      <c r="QCC45" s="10"/>
      <c r="QCD45" s="10"/>
      <c r="QCE45" s="10"/>
      <c r="QCF45" s="10"/>
      <c r="QCG45" s="10"/>
      <c r="QCH45" s="10"/>
      <c r="QCI45" s="10"/>
      <c r="QCJ45" s="10"/>
      <c r="QCK45" s="10"/>
      <c r="QCL45" s="10"/>
      <c r="QCM45" s="10"/>
      <c r="QCN45" s="10"/>
      <c r="QCO45" s="10"/>
      <c r="QCP45" s="10"/>
      <c r="QCQ45" s="10"/>
      <c r="QCR45" s="10"/>
      <c r="QCS45" s="10"/>
      <c r="QCT45" s="10"/>
      <c r="QCU45" s="10"/>
      <c r="QCV45" s="10"/>
      <c r="QCW45" s="10"/>
      <c r="QCX45" s="10"/>
      <c r="QCY45" s="10"/>
      <c r="QCZ45" s="10"/>
      <c r="QDA45" s="10"/>
      <c r="QDB45" s="10"/>
      <c r="QDC45" s="10"/>
      <c r="QDD45" s="10"/>
      <c r="QDE45" s="10"/>
      <c r="QDF45" s="10"/>
      <c r="QDG45" s="10"/>
      <c r="QDH45" s="10"/>
      <c r="QDI45" s="10"/>
      <c r="QDJ45" s="10"/>
      <c r="QDK45" s="10"/>
      <c r="QDL45" s="10"/>
      <c r="QDM45" s="10"/>
      <c r="QDN45" s="10"/>
      <c r="QDO45" s="10"/>
      <c r="QDP45" s="10"/>
      <c r="QDQ45" s="10"/>
      <c r="QDR45" s="10"/>
      <c r="QDS45" s="10"/>
      <c r="QDT45" s="10"/>
      <c r="QDU45" s="10"/>
      <c r="QDV45" s="10"/>
      <c r="QDW45" s="10"/>
      <c r="QDX45" s="10"/>
      <c r="QDY45" s="10"/>
      <c r="QDZ45" s="10"/>
      <c r="QEA45" s="10"/>
      <c r="QEB45" s="10"/>
      <c r="QEC45" s="10"/>
      <c r="QED45" s="10"/>
      <c r="QEE45" s="10"/>
      <c r="QEF45" s="10"/>
      <c r="QEG45" s="10"/>
      <c r="QEH45" s="10"/>
      <c r="QEI45" s="10"/>
      <c r="QEJ45" s="10"/>
      <c r="QEK45" s="10"/>
      <c r="QEL45" s="10"/>
      <c r="QEM45" s="10"/>
      <c r="QEN45" s="10"/>
      <c r="QEO45" s="10"/>
      <c r="QEP45" s="10"/>
      <c r="QEQ45" s="10"/>
      <c r="QER45" s="10"/>
      <c r="QES45" s="10"/>
      <c r="QET45" s="10"/>
      <c r="QEU45" s="10"/>
      <c r="QEV45" s="10"/>
      <c r="QEW45" s="10"/>
      <c r="QEX45" s="10"/>
      <c r="QEY45" s="10"/>
      <c r="QEZ45" s="10"/>
      <c r="QFA45" s="10"/>
      <c r="QFB45" s="10"/>
      <c r="QFC45" s="10"/>
      <c r="QFD45" s="10"/>
      <c r="QFE45" s="10"/>
      <c r="QFF45" s="10"/>
      <c r="QFG45" s="10"/>
      <c r="QFH45" s="10"/>
      <c r="QFI45" s="10"/>
      <c r="QFJ45" s="10"/>
      <c r="QFK45" s="10"/>
      <c r="QFL45" s="10"/>
      <c r="QFM45" s="10"/>
      <c r="QFN45" s="10"/>
      <c r="QFO45" s="10"/>
      <c r="QFP45" s="10"/>
      <c r="QFQ45" s="10"/>
      <c r="QFR45" s="10"/>
      <c r="QFS45" s="10"/>
      <c r="QFT45" s="10"/>
      <c r="QFU45" s="10"/>
      <c r="QFV45" s="10"/>
      <c r="QFW45" s="10"/>
      <c r="QFX45" s="10"/>
      <c r="QFY45" s="10"/>
      <c r="QFZ45" s="10"/>
      <c r="QGA45" s="10"/>
      <c r="QGB45" s="10"/>
      <c r="QGC45" s="10"/>
      <c r="QGD45" s="10"/>
      <c r="QGE45" s="10"/>
      <c r="QGF45" s="10"/>
      <c r="QGG45" s="10"/>
      <c r="QGH45" s="10"/>
      <c r="QGI45" s="10"/>
      <c r="QGJ45" s="10"/>
      <c r="QGK45" s="10"/>
      <c r="QGL45" s="10"/>
      <c r="QGM45" s="10"/>
      <c r="QGN45" s="10"/>
      <c r="QGO45" s="10"/>
      <c r="QGP45" s="10"/>
      <c r="QGQ45" s="10"/>
      <c r="QGR45" s="10"/>
      <c r="QGS45" s="10"/>
      <c r="QGT45" s="10"/>
      <c r="QGU45" s="10"/>
      <c r="QGV45" s="10"/>
      <c r="QGW45" s="10"/>
      <c r="QGX45" s="10"/>
      <c r="QGY45" s="10"/>
      <c r="QGZ45" s="10"/>
      <c r="QHA45" s="10"/>
      <c r="QHB45" s="10"/>
      <c r="QHC45" s="10"/>
      <c r="QHD45" s="10"/>
      <c r="QHE45" s="10"/>
      <c r="QHF45" s="10"/>
      <c r="QHG45" s="10"/>
      <c r="QHH45" s="10"/>
      <c r="QHI45" s="10"/>
      <c r="QHJ45" s="10"/>
      <c r="QHK45" s="10"/>
      <c r="QHL45" s="10"/>
      <c r="QHM45" s="10"/>
      <c r="QHN45" s="10"/>
      <c r="QHO45" s="10"/>
      <c r="QHP45" s="10"/>
      <c r="QHQ45" s="10"/>
      <c r="QHR45" s="10"/>
      <c r="QHS45" s="10"/>
      <c r="QHT45" s="10"/>
      <c r="QHU45" s="10"/>
      <c r="QHV45" s="10"/>
      <c r="QHW45" s="10"/>
      <c r="QHX45" s="10"/>
      <c r="QHY45" s="10"/>
      <c r="QHZ45" s="10"/>
      <c r="QIA45" s="10"/>
      <c r="QIB45" s="10"/>
      <c r="QIC45" s="10"/>
      <c r="QID45" s="10"/>
      <c r="QIE45" s="10"/>
      <c r="QIF45" s="10"/>
      <c r="QIG45" s="10"/>
      <c r="QIH45" s="10"/>
      <c r="QII45" s="10"/>
      <c r="QIJ45" s="10"/>
      <c r="QIK45" s="10"/>
      <c r="QIL45" s="10"/>
      <c r="QIM45" s="10"/>
      <c r="QIN45" s="10"/>
      <c r="QIO45" s="10"/>
      <c r="QIP45" s="10"/>
      <c r="QIQ45" s="10"/>
      <c r="QIR45" s="10"/>
      <c r="QIS45" s="10"/>
      <c r="QIT45" s="10"/>
      <c r="QIU45" s="10"/>
      <c r="QIV45" s="10"/>
      <c r="QIW45" s="10"/>
      <c r="QIX45" s="10"/>
      <c r="QIY45" s="10"/>
      <c r="QIZ45" s="10"/>
      <c r="QJA45" s="10"/>
      <c r="QJB45" s="10"/>
      <c r="QJC45" s="10"/>
      <c r="QJD45" s="10"/>
      <c r="QJE45" s="10"/>
      <c r="QJF45" s="10"/>
      <c r="QJG45" s="10"/>
      <c r="QJH45" s="10"/>
      <c r="QJI45" s="10"/>
      <c r="QJJ45" s="10"/>
      <c r="QJK45" s="10"/>
      <c r="QJL45" s="10"/>
      <c r="QJM45" s="10"/>
      <c r="QJN45" s="10"/>
      <c r="QJO45" s="10"/>
      <c r="QJP45" s="10"/>
      <c r="QJQ45" s="10"/>
      <c r="QJR45" s="10"/>
      <c r="QJS45" s="10"/>
      <c r="QJT45" s="10"/>
      <c r="QJU45" s="10"/>
      <c r="QJV45" s="10"/>
      <c r="QJW45" s="10"/>
      <c r="QJX45" s="10"/>
      <c r="QJY45" s="10"/>
      <c r="QJZ45" s="10"/>
      <c r="QKA45" s="10"/>
      <c r="QKB45" s="10"/>
      <c r="QKC45" s="10"/>
      <c r="QKD45" s="10"/>
      <c r="QKE45" s="10"/>
      <c r="QKF45" s="10"/>
      <c r="QKG45" s="10"/>
      <c r="QKH45" s="10"/>
      <c r="QKI45" s="10"/>
      <c r="QKJ45" s="10"/>
      <c r="QKK45" s="10"/>
      <c r="QKL45" s="10"/>
      <c r="QKM45" s="10"/>
      <c r="QKN45" s="10"/>
      <c r="QKO45" s="10"/>
      <c r="QKP45" s="10"/>
      <c r="QKQ45" s="10"/>
      <c r="QKR45" s="10"/>
      <c r="QKS45" s="10"/>
      <c r="QKT45" s="10"/>
      <c r="QKU45" s="10"/>
      <c r="QKV45" s="10"/>
      <c r="QKW45" s="10"/>
      <c r="QKX45" s="10"/>
      <c r="QKY45" s="10"/>
      <c r="QKZ45" s="10"/>
      <c r="QLA45" s="10"/>
      <c r="QLB45" s="10"/>
      <c r="QLC45" s="10"/>
      <c r="QLD45" s="10"/>
      <c r="QLE45" s="10"/>
      <c r="QLF45" s="10"/>
      <c r="QLG45" s="10"/>
      <c r="QLH45" s="10"/>
      <c r="QLI45" s="10"/>
      <c r="QLJ45" s="10"/>
      <c r="QLK45" s="10"/>
      <c r="QLL45" s="10"/>
      <c r="QLM45" s="10"/>
      <c r="QLN45" s="10"/>
      <c r="QLO45" s="10"/>
      <c r="QLP45" s="10"/>
      <c r="QLQ45" s="10"/>
      <c r="QLR45" s="10"/>
      <c r="QLS45" s="10"/>
      <c r="QLT45" s="10"/>
      <c r="QLU45" s="10"/>
      <c r="QLV45" s="10"/>
      <c r="QLW45" s="10"/>
      <c r="QLX45" s="10"/>
      <c r="QLY45" s="10"/>
      <c r="QLZ45" s="10"/>
      <c r="QMA45" s="10"/>
      <c r="QMB45" s="10"/>
      <c r="QMC45" s="10"/>
      <c r="QMD45" s="10"/>
      <c r="QME45" s="10"/>
      <c r="QMF45" s="10"/>
      <c r="QMG45" s="10"/>
      <c r="QMH45" s="10"/>
      <c r="QMI45" s="10"/>
      <c r="QMJ45" s="10"/>
      <c r="QMK45" s="10"/>
      <c r="QML45" s="10"/>
      <c r="QMM45" s="10"/>
      <c r="QMN45" s="10"/>
      <c r="QMO45" s="10"/>
      <c r="QMP45" s="10"/>
      <c r="QMQ45" s="10"/>
      <c r="QMR45" s="10"/>
      <c r="QMS45" s="10"/>
      <c r="QMT45" s="10"/>
      <c r="QMU45" s="10"/>
      <c r="QMV45" s="10"/>
      <c r="QMW45" s="10"/>
      <c r="QMX45" s="10"/>
      <c r="QMY45" s="10"/>
      <c r="QMZ45" s="10"/>
      <c r="QNA45" s="10"/>
      <c r="QNB45" s="10"/>
      <c r="QNC45" s="10"/>
      <c r="QND45" s="10"/>
      <c r="QNE45" s="10"/>
      <c r="QNF45" s="10"/>
      <c r="QNG45" s="10"/>
      <c r="QNH45" s="10"/>
      <c r="QNI45" s="10"/>
      <c r="QNJ45" s="10"/>
      <c r="QNK45" s="10"/>
      <c r="QNL45" s="10"/>
      <c r="QNM45" s="10"/>
      <c r="QNN45" s="10"/>
      <c r="QNO45" s="10"/>
      <c r="QNP45" s="10"/>
      <c r="QNQ45" s="10"/>
      <c r="QNR45" s="10"/>
      <c r="QNS45" s="10"/>
      <c r="QNT45" s="10"/>
      <c r="QNU45" s="10"/>
      <c r="QNV45" s="10"/>
      <c r="QNW45" s="10"/>
      <c r="QNX45" s="10"/>
      <c r="QNY45" s="10"/>
      <c r="QNZ45" s="10"/>
      <c r="QOA45" s="10"/>
      <c r="QOB45" s="10"/>
      <c r="QOC45" s="10"/>
      <c r="QOD45" s="10"/>
      <c r="QOE45" s="10"/>
      <c r="QOF45" s="10"/>
      <c r="QOG45" s="10"/>
      <c r="QOH45" s="10"/>
      <c r="QOI45" s="10"/>
      <c r="QOJ45" s="10"/>
      <c r="QOK45" s="10"/>
      <c r="QOL45" s="10"/>
      <c r="QOM45" s="10"/>
      <c r="QON45" s="10"/>
      <c r="QOO45" s="10"/>
      <c r="QOP45" s="10"/>
      <c r="QOQ45" s="10"/>
      <c r="QOR45" s="10"/>
      <c r="QOS45" s="10"/>
      <c r="QOT45" s="10"/>
      <c r="QOU45" s="10"/>
      <c r="QOV45" s="10"/>
      <c r="QOW45" s="10"/>
      <c r="QOX45" s="10"/>
      <c r="QOY45" s="10"/>
      <c r="QOZ45" s="10"/>
      <c r="QPA45" s="10"/>
      <c r="QPB45" s="10"/>
      <c r="QPC45" s="10"/>
      <c r="QPD45" s="10"/>
      <c r="QPE45" s="10"/>
      <c r="QPF45" s="10"/>
      <c r="QPG45" s="10"/>
      <c r="QPH45" s="10"/>
      <c r="QPI45" s="10"/>
      <c r="QPJ45" s="10"/>
      <c r="QPK45" s="10"/>
      <c r="QPL45" s="10"/>
      <c r="QPM45" s="10"/>
      <c r="QPN45" s="10"/>
      <c r="QPO45" s="10"/>
      <c r="QPP45" s="10"/>
      <c r="QPQ45" s="10"/>
      <c r="QPR45" s="10"/>
      <c r="QPS45" s="10"/>
      <c r="QPT45" s="10"/>
      <c r="QPU45" s="10"/>
      <c r="QPV45" s="10"/>
      <c r="QPW45" s="10"/>
      <c r="QPX45" s="10"/>
      <c r="QPY45" s="10"/>
      <c r="QPZ45" s="10"/>
      <c r="QQA45" s="10"/>
      <c r="QQB45" s="10"/>
      <c r="QQC45" s="10"/>
      <c r="QQD45" s="10"/>
      <c r="QQE45" s="10"/>
      <c r="QQF45" s="10"/>
      <c r="QQG45" s="10"/>
      <c r="QQH45" s="10"/>
      <c r="QQI45" s="10"/>
      <c r="QQJ45" s="10"/>
      <c r="QQK45" s="10"/>
      <c r="QQL45" s="10"/>
      <c r="QQM45" s="10"/>
      <c r="QQN45" s="10"/>
      <c r="QQO45" s="10"/>
      <c r="QQP45" s="10"/>
      <c r="QQQ45" s="10"/>
      <c r="QQR45" s="10"/>
      <c r="QQS45" s="10"/>
      <c r="QQT45" s="10"/>
      <c r="QQU45" s="10"/>
      <c r="QQV45" s="10"/>
      <c r="QQW45" s="10"/>
      <c r="QQX45" s="10"/>
      <c r="QQY45" s="10"/>
      <c r="QQZ45" s="10"/>
      <c r="QRA45" s="10"/>
      <c r="QRB45" s="10"/>
      <c r="QRC45" s="10"/>
      <c r="QRD45" s="10"/>
      <c r="QRE45" s="10"/>
      <c r="QRF45" s="10"/>
      <c r="QRG45" s="10"/>
      <c r="QRH45" s="10"/>
      <c r="QRI45" s="10"/>
      <c r="QRJ45" s="10"/>
      <c r="QRK45" s="10"/>
      <c r="QRL45" s="10"/>
      <c r="QRM45" s="10"/>
      <c r="QRN45" s="10"/>
      <c r="QRO45" s="10"/>
      <c r="QRP45" s="10"/>
      <c r="QRQ45" s="10"/>
      <c r="QRR45" s="10"/>
      <c r="QRS45" s="10"/>
      <c r="QRT45" s="10"/>
      <c r="QRU45" s="10"/>
      <c r="QRV45" s="10"/>
      <c r="QRW45" s="10"/>
      <c r="QRX45" s="10"/>
      <c r="QRY45" s="10"/>
      <c r="QRZ45" s="10"/>
      <c r="QSA45" s="10"/>
      <c r="QSB45" s="10"/>
      <c r="QSC45" s="10"/>
      <c r="QSD45" s="10"/>
      <c r="QSE45" s="10"/>
      <c r="QSF45" s="10"/>
      <c r="QSG45" s="10"/>
      <c r="QSH45" s="10"/>
      <c r="QSI45" s="10"/>
      <c r="QSJ45" s="10"/>
      <c r="QSK45" s="10"/>
      <c r="QSL45" s="10"/>
      <c r="QSM45" s="10"/>
      <c r="QSN45" s="10"/>
      <c r="QSO45" s="10"/>
      <c r="QSP45" s="10"/>
      <c r="QSQ45" s="10"/>
      <c r="QSR45" s="10"/>
      <c r="QSS45" s="10"/>
      <c r="QST45" s="10"/>
      <c r="QSU45" s="10"/>
      <c r="QSV45" s="10"/>
      <c r="QSW45" s="10"/>
      <c r="QSX45" s="10"/>
      <c r="QSY45" s="10"/>
      <c r="QSZ45" s="10"/>
      <c r="QTA45" s="10"/>
      <c r="QTB45" s="10"/>
      <c r="QTC45" s="10"/>
      <c r="QTD45" s="10"/>
      <c r="QTE45" s="10"/>
      <c r="QTF45" s="10"/>
      <c r="QTG45" s="10"/>
      <c r="QTH45" s="10"/>
      <c r="QTI45" s="10"/>
      <c r="QTJ45" s="10"/>
      <c r="QTK45" s="10"/>
      <c r="QTL45" s="10"/>
      <c r="QTM45" s="10"/>
      <c r="QTN45" s="10"/>
      <c r="QTO45" s="10"/>
      <c r="QTP45" s="10"/>
      <c r="QTQ45" s="10"/>
      <c r="QTR45" s="10"/>
      <c r="QTS45" s="10"/>
      <c r="QTT45" s="10"/>
      <c r="QTU45" s="10"/>
      <c r="QTV45" s="10"/>
      <c r="QTW45" s="10"/>
      <c r="QTX45" s="10"/>
      <c r="QTY45" s="10"/>
      <c r="QTZ45" s="10"/>
      <c r="QUA45" s="10"/>
      <c r="QUB45" s="10"/>
      <c r="QUC45" s="10"/>
      <c r="QUD45" s="10"/>
      <c r="QUE45" s="10"/>
      <c r="QUF45" s="10"/>
      <c r="QUG45" s="10"/>
      <c r="QUH45" s="10"/>
      <c r="QUI45" s="10"/>
      <c r="QUJ45" s="10"/>
      <c r="QUK45" s="10"/>
      <c r="QUL45" s="10"/>
      <c r="QUM45" s="10"/>
      <c r="QUN45" s="10"/>
      <c r="QUO45" s="10"/>
      <c r="QUP45" s="10"/>
      <c r="QUQ45" s="10"/>
      <c r="QUR45" s="10"/>
      <c r="QUS45" s="10"/>
      <c r="QUT45" s="10"/>
      <c r="QUU45" s="10"/>
      <c r="QUV45" s="10"/>
      <c r="QUW45" s="10"/>
      <c r="QUX45" s="10"/>
      <c r="QUY45" s="10"/>
      <c r="QUZ45" s="10"/>
      <c r="QVA45" s="10"/>
      <c r="QVB45" s="10"/>
      <c r="QVC45" s="10"/>
      <c r="QVD45" s="10"/>
      <c r="QVE45" s="10"/>
      <c r="QVF45" s="10"/>
      <c r="QVG45" s="10"/>
      <c r="QVH45" s="10"/>
      <c r="QVI45" s="10"/>
      <c r="QVJ45" s="10"/>
      <c r="QVK45" s="10"/>
      <c r="QVL45" s="10"/>
      <c r="QVM45" s="10"/>
      <c r="QVN45" s="10"/>
      <c r="QVO45" s="10"/>
      <c r="QVP45" s="10"/>
      <c r="QVQ45" s="10"/>
      <c r="QVR45" s="10"/>
      <c r="QVS45" s="10"/>
      <c r="QVT45" s="10"/>
      <c r="QVU45" s="10"/>
      <c r="QVV45" s="10"/>
      <c r="QVW45" s="10"/>
      <c r="QVX45" s="10"/>
      <c r="QVY45" s="10"/>
      <c r="QVZ45" s="10"/>
      <c r="QWA45" s="10"/>
      <c r="QWB45" s="10"/>
      <c r="QWC45" s="10"/>
      <c r="QWD45" s="10"/>
      <c r="QWE45" s="10"/>
      <c r="QWF45" s="10"/>
      <c r="QWG45" s="10"/>
      <c r="QWH45" s="10"/>
      <c r="QWI45" s="10"/>
      <c r="QWJ45" s="10"/>
      <c r="QWK45" s="10"/>
      <c r="QWL45" s="10"/>
      <c r="QWM45" s="10"/>
      <c r="QWN45" s="10"/>
      <c r="QWO45" s="10"/>
      <c r="QWP45" s="10"/>
      <c r="QWQ45" s="10"/>
      <c r="QWR45" s="10"/>
      <c r="QWS45" s="10"/>
      <c r="QWT45" s="10"/>
      <c r="QWU45" s="10"/>
      <c r="QWV45" s="10"/>
      <c r="QWW45" s="10"/>
      <c r="QWX45" s="10"/>
      <c r="QWY45" s="10"/>
      <c r="QWZ45" s="10"/>
      <c r="QXA45" s="10"/>
      <c r="QXB45" s="10"/>
      <c r="QXC45" s="10"/>
      <c r="QXD45" s="10"/>
      <c r="QXE45" s="10"/>
      <c r="QXF45" s="10"/>
      <c r="QXG45" s="10"/>
      <c r="QXH45" s="10"/>
      <c r="QXI45" s="10"/>
      <c r="QXJ45" s="10"/>
      <c r="QXK45" s="10"/>
      <c r="QXL45" s="10"/>
      <c r="QXM45" s="10"/>
      <c r="QXN45" s="10"/>
      <c r="QXO45" s="10"/>
      <c r="QXP45" s="10"/>
      <c r="QXQ45" s="10"/>
      <c r="QXR45" s="10"/>
      <c r="QXS45" s="10"/>
      <c r="QXT45" s="10"/>
      <c r="QXU45" s="10"/>
      <c r="QXV45" s="10"/>
      <c r="QXW45" s="10"/>
      <c r="QXX45" s="10"/>
      <c r="QXY45" s="10"/>
      <c r="QXZ45" s="10"/>
      <c r="QYA45" s="10"/>
      <c r="QYB45" s="10"/>
      <c r="QYC45" s="10"/>
      <c r="QYD45" s="10"/>
      <c r="QYE45" s="10"/>
      <c r="QYF45" s="10"/>
      <c r="QYG45" s="10"/>
      <c r="QYH45" s="10"/>
      <c r="QYI45" s="10"/>
      <c r="QYJ45" s="10"/>
      <c r="QYK45" s="10"/>
      <c r="QYL45" s="10"/>
      <c r="QYM45" s="10"/>
      <c r="QYN45" s="10"/>
      <c r="QYO45" s="10"/>
      <c r="QYP45" s="10"/>
      <c r="QYQ45" s="10"/>
      <c r="QYR45" s="10"/>
      <c r="QYS45" s="10"/>
      <c r="QYT45" s="10"/>
      <c r="QYU45" s="10"/>
      <c r="QYV45" s="10"/>
      <c r="QYW45" s="10"/>
      <c r="QYX45" s="10"/>
      <c r="QYY45" s="10"/>
      <c r="QYZ45" s="10"/>
      <c r="QZA45" s="10"/>
      <c r="QZB45" s="10"/>
      <c r="QZC45" s="10"/>
      <c r="QZD45" s="10"/>
      <c r="QZE45" s="10"/>
      <c r="QZF45" s="10"/>
      <c r="QZG45" s="10"/>
      <c r="QZH45" s="10"/>
      <c r="QZI45" s="10"/>
      <c r="QZJ45" s="10"/>
      <c r="QZK45" s="10"/>
      <c r="QZL45" s="10"/>
      <c r="QZM45" s="10"/>
      <c r="QZN45" s="10"/>
      <c r="QZO45" s="10"/>
      <c r="QZP45" s="10"/>
      <c r="QZQ45" s="10"/>
      <c r="QZR45" s="10"/>
      <c r="QZS45" s="10"/>
      <c r="QZT45" s="10"/>
      <c r="QZU45" s="10"/>
      <c r="QZV45" s="10"/>
      <c r="QZW45" s="10"/>
      <c r="QZX45" s="10"/>
      <c r="QZY45" s="10"/>
      <c r="QZZ45" s="10"/>
      <c r="RAA45" s="10"/>
      <c r="RAB45" s="10"/>
      <c r="RAC45" s="10"/>
      <c r="RAD45" s="10"/>
      <c r="RAE45" s="10"/>
      <c r="RAF45" s="10"/>
      <c r="RAG45" s="10"/>
      <c r="RAH45" s="10"/>
      <c r="RAI45" s="10"/>
      <c r="RAJ45" s="10"/>
      <c r="RAK45" s="10"/>
      <c r="RAL45" s="10"/>
      <c r="RAM45" s="10"/>
      <c r="RAN45" s="10"/>
      <c r="RAO45" s="10"/>
      <c r="RAP45" s="10"/>
      <c r="RAQ45" s="10"/>
      <c r="RAR45" s="10"/>
      <c r="RAS45" s="10"/>
      <c r="RAT45" s="10"/>
      <c r="RAU45" s="10"/>
      <c r="RAV45" s="10"/>
      <c r="RAW45" s="10"/>
      <c r="RAX45" s="10"/>
      <c r="RAY45" s="10"/>
      <c r="RAZ45" s="10"/>
      <c r="RBA45" s="10"/>
      <c r="RBB45" s="10"/>
      <c r="RBC45" s="10"/>
      <c r="RBD45" s="10"/>
      <c r="RBE45" s="10"/>
      <c r="RBF45" s="10"/>
      <c r="RBG45" s="10"/>
      <c r="RBH45" s="10"/>
      <c r="RBI45" s="10"/>
      <c r="RBJ45" s="10"/>
      <c r="RBK45" s="10"/>
      <c r="RBL45" s="10"/>
      <c r="RBM45" s="10"/>
      <c r="RBN45" s="10"/>
      <c r="RBO45" s="10"/>
      <c r="RBP45" s="10"/>
      <c r="RBQ45" s="10"/>
      <c r="RBR45" s="10"/>
      <c r="RBS45" s="10"/>
      <c r="RBT45" s="10"/>
      <c r="RBU45" s="10"/>
      <c r="RBV45" s="10"/>
      <c r="RBW45" s="10"/>
      <c r="RBX45" s="10"/>
      <c r="RBY45" s="10"/>
      <c r="RBZ45" s="10"/>
      <c r="RCA45" s="10"/>
      <c r="RCB45" s="10"/>
      <c r="RCC45" s="10"/>
      <c r="RCD45" s="10"/>
      <c r="RCE45" s="10"/>
      <c r="RCF45" s="10"/>
      <c r="RCG45" s="10"/>
      <c r="RCH45" s="10"/>
      <c r="RCI45" s="10"/>
      <c r="RCJ45" s="10"/>
      <c r="RCK45" s="10"/>
      <c r="RCL45" s="10"/>
      <c r="RCM45" s="10"/>
      <c r="RCN45" s="10"/>
      <c r="RCO45" s="10"/>
      <c r="RCP45" s="10"/>
      <c r="RCQ45" s="10"/>
      <c r="RCR45" s="10"/>
      <c r="RCS45" s="10"/>
      <c r="RCT45" s="10"/>
      <c r="RCU45" s="10"/>
      <c r="RCV45" s="10"/>
      <c r="RCW45" s="10"/>
      <c r="RCX45" s="10"/>
      <c r="RCY45" s="10"/>
      <c r="RCZ45" s="10"/>
      <c r="RDA45" s="10"/>
      <c r="RDB45" s="10"/>
      <c r="RDC45" s="10"/>
      <c r="RDD45" s="10"/>
      <c r="RDE45" s="10"/>
      <c r="RDF45" s="10"/>
      <c r="RDG45" s="10"/>
      <c r="RDH45" s="10"/>
      <c r="RDI45" s="10"/>
      <c r="RDJ45" s="10"/>
      <c r="RDK45" s="10"/>
      <c r="RDL45" s="10"/>
      <c r="RDM45" s="10"/>
      <c r="RDN45" s="10"/>
      <c r="RDO45" s="10"/>
      <c r="RDP45" s="10"/>
      <c r="RDQ45" s="10"/>
      <c r="RDR45" s="10"/>
      <c r="RDS45" s="10"/>
      <c r="RDT45" s="10"/>
      <c r="RDU45" s="10"/>
      <c r="RDV45" s="10"/>
      <c r="RDW45" s="10"/>
      <c r="RDX45" s="10"/>
      <c r="RDY45" s="10"/>
      <c r="RDZ45" s="10"/>
      <c r="REA45" s="10"/>
      <c r="REB45" s="10"/>
      <c r="REC45" s="10"/>
      <c r="RED45" s="10"/>
      <c r="REE45" s="10"/>
      <c r="REF45" s="10"/>
      <c r="REG45" s="10"/>
      <c r="REH45" s="10"/>
      <c r="REI45" s="10"/>
      <c r="REJ45" s="10"/>
      <c r="REK45" s="10"/>
      <c r="REL45" s="10"/>
      <c r="REM45" s="10"/>
      <c r="REN45" s="10"/>
      <c r="REO45" s="10"/>
      <c r="REP45" s="10"/>
      <c r="REQ45" s="10"/>
      <c r="RER45" s="10"/>
      <c r="RES45" s="10"/>
      <c r="RET45" s="10"/>
      <c r="REU45" s="10"/>
      <c r="REV45" s="10"/>
      <c r="REW45" s="10"/>
      <c r="REX45" s="10"/>
      <c r="REY45" s="10"/>
      <c r="REZ45" s="10"/>
      <c r="RFA45" s="10"/>
      <c r="RFB45" s="10"/>
      <c r="RFC45" s="10"/>
      <c r="RFD45" s="10"/>
      <c r="RFE45" s="10"/>
      <c r="RFF45" s="10"/>
      <c r="RFG45" s="10"/>
      <c r="RFH45" s="10"/>
      <c r="RFI45" s="10"/>
      <c r="RFJ45" s="10"/>
      <c r="RFK45" s="10"/>
      <c r="RFL45" s="10"/>
      <c r="RFM45" s="10"/>
      <c r="RFN45" s="10"/>
      <c r="RFO45" s="10"/>
      <c r="RFP45" s="10"/>
      <c r="RFQ45" s="10"/>
      <c r="RFR45" s="10"/>
      <c r="RFS45" s="10"/>
      <c r="RFT45" s="10"/>
      <c r="RFU45" s="10"/>
      <c r="RFV45" s="10"/>
      <c r="RFW45" s="10"/>
      <c r="RFX45" s="10"/>
      <c r="RFY45" s="10"/>
      <c r="RFZ45" s="10"/>
      <c r="RGA45" s="10"/>
      <c r="RGB45" s="10"/>
      <c r="RGC45" s="10"/>
      <c r="RGD45" s="10"/>
      <c r="RGE45" s="10"/>
      <c r="RGF45" s="10"/>
      <c r="RGG45" s="10"/>
      <c r="RGH45" s="10"/>
      <c r="RGI45" s="10"/>
      <c r="RGJ45" s="10"/>
      <c r="RGK45" s="10"/>
      <c r="RGL45" s="10"/>
      <c r="RGM45" s="10"/>
      <c r="RGN45" s="10"/>
      <c r="RGO45" s="10"/>
      <c r="RGP45" s="10"/>
      <c r="RGQ45" s="10"/>
      <c r="RGR45" s="10"/>
      <c r="RGS45" s="10"/>
      <c r="RGT45" s="10"/>
      <c r="RGU45" s="10"/>
      <c r="RGV45" s="10"/>
      <c r="RGW45" s="10"/>
      <c r="RGX45" s="10"/>
      <c r="RGY45" s="10"/>
      <c r="RGZ45" s="10"/>
      <c r="RHA45" s="10"/>
      <c r="RHB45" s="10"/>
      <c r="RHC45" s="10"/>
      <c r="RHD45" s="10"/>
      <c r="RHE45" s="10"/>
      <c r="RHF45" s="10"/>
      <c r="RHG45" s="10"/>
      <c r="RHH45" s="10"/>
      <c r="RHI45" s="10"/>
      <c r="RHJ45" s="10"/>
      <c r="RHK45" s="10"/>
      <c r="RHL45" s="10"/>
      <c r="RHM45" s="10"/>
      <c r="RHN45" s="10"/>
      <c r="RHO45" s="10"/>
      <c r="RHP45" s="10"/>
      <c r="RHQ45" s="10"/>
      <c r="RHR45" s="10"/>
      <c r="RHS45" s="10"/>
      <c r="RHT45" s="10"/>
      <c r="RHU45" s="10"/>
      <c r="RHV45" s="10"/>
      <c r="RHW45" s="10"/>
      <c r="RHX45" s="10"/>
      <c r="RHY45" s="10"/>
      <c r="RHZ45" s="10"/>
      <c r="RIA45" s="10"/>
      <c r="RIB45" s="10"/>
      <c r="RIC45" s="10"/>
      <c r="RID45" s="10"/>
      <c r="RIE45" s="10"/>
      <c r="RIF45" s="10"/>
      <c r="RIG45" s="10"/>
      <c r="RIH45" s="10"/>
      <c r="RII45" s="10"/>
      <c r="RIJ45" s="10"/>
      <c r="RIK45" s="10"/>
      <c r="RIL45" s="10"/>
      <c r="RIM45" s="10"/>
      <c r="RIN45" s="10"/>
      <c r="RIO45" s="10"/>
      <c r="RIP45" s="10"/>
      <c r="RIQ45" s="10"/>
      <c r="RIR45" s="10"/>
      <c r="RIS45" s="10"/>
      <c r="RIT45" s="10"/>
      <c r="RIU45" s="10"/>
      <c r="RIV45" s="10"/>
      <c r="RIW45" s="10"/>
      <c r="RIX45" s="10"/>
      <c r="RIY45" s="10"/>
      <c r="RIZ45" s="10"/>
      <c r="RJA45" s="10"/>
      <c r="RJB45" s="10"/>
      <c r="RJC45" s="10"/>
      <c r="RJD45" s="10"/>
      <c r="RJE45" s="10"/>
      <c r="RJF45" s="10"/>
      <c r="RJG45" s="10"/>
      <c r="RJH45" s="10"/>
      <c r="RJI45" s="10"/>
      <c r="RJJ45" s="10"/>
      <c r="RJK45" s="10"/>
      <c r="RJL45" s="10"/>
      <c r="RJM45" s="10"/>
      <c r="RJN45" s="10"/>
      <c r="RJO45" s="10"/>
      <c r="RJP45" s="10"/>
      <c r="RJQ45" s="10"/>
      <c r="RJR45" s="10"/>
      <c r="RJS45" s="10"/>
      <c r="RJT45" s="10"/>
      <c r="RJU45" s="10"/>
      <c r="RJV45" s="10"/>
      <c r="RJW45" s="10"/>
      <c r="RJX45" s="10"/>
      <c r="RJY45" s="10"/>
      <c r="RJZ45" s="10"/>
      <c r="RKA45" s="10"/>
      <c r="RKB45" s="10"/>
      <c r="RKC45" s="10"/>
      <c r="RKD45" s="10"/>
      <c r="RKE45" s="10"/>
      <c r="RKF45" s="10"/>
      <c r="RKG45" s="10"/>
      <c r="RKH45" s="10"/>
      <c r="RKI45" s="10"/>
      <c r="RKJ45" s="10"/>
      <c r="RKK45" s="10"/>
      <c r="RKL45" s="10"/>
      <c r="RKM45" s="10"/>
      <c r="RKN45" s="10"/>
      <c r="RKO45" s="10"/>
      <c r="RKP45" s="10"/>
      <c r="RKQ45" s="10"/>
      <c r="RKR45" s="10"/>
      <c r="RKS45" s="10"/>
      <c r="RKT45" s="10"/>
      <c r="RKU45" s="10"/>
      <c r="RKV45" s="10"/>
      <c r="RKW45" s="10"/>
      <c r="RKX45" s="10"/>
      <c r="RKY45" s="10"/>
      <c r="RKZ45" s="10"/>
      <c r="RLA45" s="10"/>
      <c r="RLB45" s="10"/>
      <c r="RLC45" s="10"/>
      <c r="RLD45" s="10"/>
      <c r="RLE45" s="10"/>
      <c r="RLF45" s="10"/>
      <c r="RLG45" s="10"/>
      <c r="RLH45" s="10"/>
      <c r="RLI45" s="10"/>
      <c r="RLJ45" s="10"/>
      <c r="RLK45" s="10"/>
      <c r="RLL45" s="10"/>
      <c r="RLM45" s="10"/>
      <c r="RLN45" s="10"/>
      <c r="RLO45" s="10"/>
      <c r="RLP45" s="10"/>
      <c r="RLQ45" s="10"/>
      <c r="RLR45" s="10"/>
      <c r="RLS45" s="10"/>
      <c r="RLT45" s="10"/>
      <c r="RLU45" s="10"/>
      <c r="RLV45" s="10"/>
      <c r="RLW45" s="10"/>
      <c r="RLX45" s="10"/>
      <c r="RLY45" s="10"/>
      <c r="RLZ45" s="10"/>
      <c r="RMA45" s="10"/>
      <c r="RMB45" s="10"/>
      <c r="RMC45" s="10"/>
      <c r="RMD45" s="10"/>
      <c r="RME45" s="10"/>
      <c r="RMF45" s="10"/>
      <c r="RMG45" s="10"/>
      <c r="RMH45" s="10"/>
      <c r="RMI45" s="10"/>
      <c r="RMJ45" s="10"/>
      <c r="RMK45" s="10"/>
      <c r="RML45" s="10"/>
      <c r="RMM45" s="10"/>
      <c r="RMN45" s="10"/>
      <c r="RMO45" s="10"/>
      <c r="RMP45" s="10"/>
      <c r="RMQ45" s="10"/>
      <c r="RMR45" s="10"/>
      <c r="RMS45" s="10"/>
      <c r="RMT45" s="10"/>
      <c r="RMU45" s="10"/>
      <c r="RMV45" s="10"/>
      <c r="RMW45" s="10"/>
      <c r="RMX45" s="10"/>
      <c r="RMY45" s="10"/>
      <c r="RMZ45" s="10"/>
      <c r="RNA45" s="10"/>
      <c r="RNB45" s="10"/>
      <c r="RNC45" s="10"/>
      <c r="RND45" s="10"/>
      <c r="RNE45" s="10"/>
      <c r="RNF45" s="10"/>
      <c r="RNG45" s="10"/>
      <c r="RNH45" s="10"/>
      <c r="RNI45" s="10"/>
      <c r="RNJ45" s="10"/>
      <c r="RNK45" s="10"/>
      <c r="RNL45" s="10"/>
      <c r="RNM45" s="10"/>
      <c r="RNN45" s="10"/>
      <c r="RNO45" s="10"/>
      <c r="RNP45" s="10"/>
      <c r="RNQ45" s="10"/>
      <c r="RNR45" s="10"/>
      <c r="RNS45" s="10"/>
      <c r="RNT45" s="10"/>
      <c r="RNU45" s="10"/>
      <c r="RNV45" s="10"/>
      <c r="RNW45" s="10"/>
      <c r="RNX45" s="10"/>
      <c r="RNY45" s="10"/>
      <c r="RNZ45" s="10"/>
      <c r="ROA45" s="10"/>
      <c r="ROB45" s="10"/>
      <c r="ROC45" s="10"/>
      <c r="ROD45" s="10"/>
      <c r="ROE45" s="10"/>
      <c r="ROF45" s="10"/>
      <c r="ROG45" s="10"/>
      <c r="ROH45" s="10"/>
      <c r="ROI45" s="10"/>
      <c r="ROJ45" s="10"/>
      <c r="ROK45" s="10"/>
      <c r="ROL45" s="10"/>
      <c r="ROM45" s="10"/>
      <c r="RON45" s="10"/>
      <c r="ROO45" s="10"/>
      <c r="ROP45" s="10"/>
      <c r="ROQ45" s="10"/>
      <c r="ROR45" s="10"/>
      <c r="ROS45" s="10"/>
      <c r="ROT45" s="10"/>
      <c r="ROU45" s="10"/>
      <c r="ROV45" s="10"/>
      <c r="ROW45" s="10"/>
      <c r="ROX45" s="10"/>
      <c r="ROY45" s="10"/>
      <c r="ROZ45" s="10"/>
      <c r="RPA45" s="10"/>
      <c r="RPB45" s="10"/>
      <c r="RPC45" s="10"/>
      <c r="RPD45" s="10"/>
      <c r="RPE45" s="10"/>
      <c r="RPF45" s="10"/>
      <c r="RPG45" s="10"/>
      <c r="RPH45" s="10"/>
      <c r="RPI45" s="10"/>
      <c r="RPJ45" s="10"/>
      <c r="RPK45" s="10"/>
      <c r="RPL45" s="10"/>
      <c r="RPM45" s="10"/>
      <c r="RPN45" s="10"/>
      <c r="RPO45" s="10"/>
      <c r="RPP45" s="10"/>
      <c r="RPQ45" s="10"/>
      <c r="RPR45" s="10"/>
      <c r="RPS45" s="10"/>
      <c r="RPT45" s="10"/>
      <c r="RPU45" s="10"/>
      <c r="RPV45" s="10"/>
      <c r="RPW45" s="10"/>
      <c r="RPX45" s="10"/>
      <c r="RPY45" s="10"/>
      <c r="RPZ45" s="10"/>
      <c r="RQA45" s="10"/>
      <c r="RQB45" s="10"/>
      <c r="RQC45" s="10"/>
      <c r="RQD45" s="10"/>
      <c r="RQE45" s="10"/>
      <c r="RQF45" s="10"/>
      <c r="RQG45" s="10"/>
      <c r="RQH45" s="10"/>
      <c r="RQI45" s="10"/>
      <c r="RQJ45" s="10"/>
      <c r="RQK45" s="10"/>
      <c r="RQL45" s="10"/>
      <c r="RQM45" s="10"/>
      <c r="RQN45" s="10"/>
      <c r="RQO45" s="10"/>
      <c r="RQP45" s="10"/>
      <c r="RQQ45" s="10"/>
      <c r="RQR45" s="10"/>
      <c r="RQS45" s="10"/>
      <c r="RQT45" s="10"/>
      <c r="RQU45" s="10"/>
      <c r="RQV45" s="10"/>
      <c r="RQW45" s="10"/>
      <c r="RQX45" s="10"/>
      <c r="RQY45" s="10"/>
      <c r="RQZ45" s="10"/>
      <c r="RRA45" s="10"/>
      <c r="RRB45" s="10"/>
      <c r="RRC45" s="10"/>
      <c r="RRD45" s="10"/>
      <c r="RRE45" s="10"/>
      <c r="RRF45" s="10"/>
      <c r="RRG45" s="10"/>
      <c r="RRH45" s="10"/>
      <c r="RRI45" s="10"/>
      <c r="RRJ45" s="10"/>
      <c r="RRK45" s="10"/>
      <c r="RRL45" s="10"/>
      <c r="RRM45" s="10"/>
      <c r="RRN45" s="10"/>
      <c r="RRO45" s="10"/>
      <c r="RRP45" s="10"/>
      <c r="RRQ45" s="10"/>
      <c r="RRR45" s="10"/>
      <c r="RRS45" s="10"/>
      <c r="RRT45" s="10"/>
      <c r="RRU45" s="10"/>
      <c r="RRV45" s="10"/>
      <c r="RRW45" s="10"/>
      <c r="RRX45" s="10"/>
      <c r="RRY45" s="10"/>
      <c r="RRZ45" s="10"/>
      <c r="RSA45" s="10"/>
      <c r="RSB45" s="10"/>
      <c r="RSC45" s="10"/>
      <c r="RSD45" s="10"/>
      <c r="RSE45" s="10"/>
      <c r="RSF45" s="10"/>
      <c r="RSG45" s="10"/>
      <c r="RSH45" s="10"/>
      <c r="RSI45" s="10"/>
      <c r="RSJ45" s="10"/>
      <c r="RSK45" s="10"/>
      <c r="RSL45" s="10"/>
      <c r="RSM45" s="10"/>
      <c r="RSN45" s="10"/>
      <c r="RSO45" s="10"/>
      <c r="RSP45" s="10"/>
      <c r="RSQ45" s="10"/>
      <c r="RSR45" s="10"/>
      <c r="RSS45" s="10"/>
      <c r="RST45" s="10"/>
      <c r="RSU45" s="10"/>
      <c r="RSV45" s="10"/>
      <c r="RSW45" s="10"/>
      <c r="RSX45" s="10"/>
      <c r="RSY45" s="10"/>
      <c r="RSZ45" s="10"/>
      <c r="RTA45" s="10"/>
      <c r="RTB45" s="10"/>
      <c r="RTC45" s="10"/>
      <c r="RTD45" s="10"/>
      <c r="RTE45" s="10"/>
      <c r="RTF45" s="10"/>
      <c r="RTG45" s="10"/>
      <c r="RTH45" s="10"/>
      <c r="RTI45" s="10"/>
      <c r="RTJ45" s="10"/>
      <c r="RTK45" s="10"/>
      <c r="RTL45" s="10"/>
      <c r="RTM45" s="10"/>
      <c r="RTN45" s="10"/>
      <c r="RTO45" s="10"/>
      <c r="RTP45" s="10"/>
      <c r="RTQ45" s="10"/>
      <c r="RTR45" s="10"/>
      <c r="RTS45" s="10"/>
      <c r="RTT45" s="10"/>
      <c r="RTU45" s="10"/>
      <c r="RTV45" s="10"/>
      <c r="RTW45" s="10"/>
      <c r="RTX45" s="10"/>
      <c r="RTY45" s="10"/>
      <c r="RTZ45" s="10"/>
      <c r="RUA45" s="10"/>
      <c r="RUB45" s="10"/>
      <c r="RUC45" s="10"/>
      <c r="RUD45" s="10"/>
      <c r="RUE45" s="10"/>
      <c r="RUF45" s="10"/>
      <c r="RUG45" s="10"/>
      <c r="RUH45" s="10"/>
      <c r="RUI45" s="10"/>
      <c r="RUJ45" s="10"/>
      <c r="RUK45" s="10"/>
      <c r="RUL45" s="10"/>
      <c r="RUM45" s="10"/>
      <c r="RUN45" s="10"/>
      <c r="RUO45" s="10"/>
      <c r="RUP45" s="10"/>
      <c r="RUQ45" s="10"/>
      <c r="RUR45" s="10"/>
      <c r="RUS45" s="10"/>
      <c r="RUT45" s="10"/>
      <c r="RUU45" s="10"/>
      <c r="RUV45" s="10"/>
      <c r="RUW45" s="10"/>
      <c r="RUX45" s="10"/>
      <c r="RUY45" s="10"/>
      <c r="RUZ45" s="10"/>
      <c r="RVA45" s="10"/>
      <c r="RVB45" s="10"/>
      <c r="RVC45" s="10"/>
      <c r="RVD45" s="10"/>
      <c r="RVE45" s="10"/>
      <c r="RVF45" s="10"/>
      <c r="RVG45" s="10"/>
      <c r="RVH45" s="10"/>
      <c r="RVI45" s="10"/>
      <c r="RVJ45" s="10"/>
      <c r="RVK45" s="10"/>
      <c r="RVL45" s="10"/>
      <c r="RVM45" s="10"/>
      <c r="RVN45" s="10"/>
      <c r="RVO45" s="10"/>
      <c r="RVP45" s="10"/>
      <c r="RVQ45" s="10"/>
      <c r="RVR45" s="10"/>
      <c r="RVS45" s="10"/>
      <c r="RVT45" s="10"/>
      <c r="RVU45" s="10"/>
      <c r="RVV45" s="10"/>
      <c r="RVW45" s="10"/>
      <c r="RVX45" s="10"/>
      <c r="RVY45" s="10"/>
      <c r="RVZ45" s="10"/>
      <c r="RWA45" s="10"/>
      <c r="RWB45" s="10"/>
      <c r="RWC45" s="10"/>
      <c r="RWD45" s="10"/>
      <c r="RWE45" s="10"/>
      <c r="RWF45" s="10"/>
      <c r="RWG45" s="10"/>
      <c r="RWH45" s="10"/>
      <c r="RWI45" s="10"/>
      <c r="RWJ45" s="10"/>
      <c r="RWK45" s="10"/>
      <c r="RWL45" s="10"/>
      <c r="RWM45" s="10"/>
      <c r="RWN45" s="10"/>
      <c r="RWO45" s="10"/>
      <c r="RWP45" s="10"/>
      <c r="RWQ45" s="10"/>
      <c r="RWR45" s="10"/>
      <c r="RWS45" s="10"/>
      <c r="RWT45" s="10"/>
      <c r="RWU45" s="10"/>
      <c r="RWV45" s="10"/>
      <c r="RWW45" s="10"/>
      <c r="RWX45" s="10"/>
      <c r="RWY45" s="10"/>
      <c r="RWZ45" s="10"/>
      <c r="RXA45" s="10"/>
      <c r="RXB45" s="10"/>
      <c r="RXC45" s="10"/>
      <c r="RXD45" s="10"/>
      <c r="RXE45" s="10"/>
      <c r="RXF45" s="10"/>
      <c r="RXG45" s="10"/>
      <c r="RXH45" s="10"/>
      <c r="RXI45" s="10"/>
      <c r="RXJ45" s="10"/>
      <c r="RXK45" s="10"/>
      <c r="RXL45" s="10"/>
      <c r="RXM45" s="10"/>
      <c r="RXN45" s="10"/>
      <c r="RXO45" s="10"/>
      <c r="RXP45" s="10"/>
      <c r="RXQ45" s="10"/>
      <c r="RXR45" s="10"/>
      <c r="RXS45" s="10"/>
      <c r="RXT45" s="10"/>
      <c r="RXU45" s="10"/>
      <c r="RXV45" s="10"/>
      <c r="RXW45" s="10"/>
      <c r="RXX45" s="10"/>
      <c r="RXY45" s="10"/>
      <c r="RXZ45" s="10"/>
      <c r="RYA45" s="10"/>
      <c r="RYB45" s="10"/>
      <c r="RYC45" s="10"/>
      <c r="RYD45" s="10"/>
      <c r="RYE45" s="10"/>
      <c r="RYF45" s="10"/>
      <c r="RYG45" s="10"/>
      <c r="RYH45" s="10"/>
      <c r="RYI45" s="10"/>
      <c r="RYJ45" s="10"/>
      <c r="RYK45" s="10"/>
      <c r="RYL45" s="10"/>
      <c r="RYM45" s="10"/>
      <c r="RYN45" s="10"/>
      <c r="RYO45" s="10"/>
      <c r="RYP45" s="10"/>
      <c r="RYQ45" s="10"/>
      <c r="RYR45" s="10"/>
      <c r="RYS45" s="10"/>
      <c r="RYT45" s="10"/>
      <c r="RYU45" s="10"/>
      <c r="RYV45" s="10"/>
      <c r="RYW45" s="10"/>
      <c r="RYX45" s="10"/>
      <c r="RYY45" s="10"/>
      <c r="RYZ45" s="10"/>
      <c r="RZA45" s="10"/>
      <c r="RZB45" s="10"/>
      <c r="RZC45" s="10"/>
      <c r="RZD45" s="10"/>
      <c r="RZE45" s="10"/>
      <c r="RZF45" s="10"/>
      <c r="RZG45" s="10"/>
      <c r="RZH45" s="10"/>
      <c r="RZI45" s="10"/>
      <c r="RZJ45" s="10"/>
      <c r="RZK45" s="10"/>
      <c r="RZL45" s="10"/>
      <c r="RZM45" s="10"/>
      <c r="RZN45" s="10"/>
      <c r="RZO45" s="10"/>
      <c r="RZP45" s="10"/>
      <c r="RZQ45" s="10"/>
      <c r="RZR45" s="10"/>
      <c r="RZS45" s="10"/>
      <c r="RZT45" s="10"/>
      <c r="RZU45" s="10"/>
      <c r="RZV45" s="10"/>
      <c r="RZW45" s="10"/>
      <c r="RZX45" s="10"/>
      <c r="RZY45" s="10"/>
      <c r="RZZ45" s="10"/>
      <c r="SAA45" s="10"/>
      <c r="SAB45" s="10"/>
      <c r="SAC45" s="10"/>
      <c r="SAD45" s="10"/>
      <c r="SAE45" s="10"/>
      <c r="SAF45" s="10"/>
      <c r="SAG45" s="10"/>
      <c r="SAH45" s="10"/>
      <c r="SAI45" s="10"/>
      <c r="SAJ45" s="10"/>
      <c r="SAK45" s="10"/>
      <c r="SAL45" s="10"/>
      <c r="SAM45" s="10"/>
      <c r="SAN45" s="10"/>
      <c r="SAO45" s="10"/>
      <c r="SAP45" s="10"/>
      <c r="SAQ45" s="10"/>
      <c r="SAR45" s="10"/>
      <c r="SAS45" s="10"/>
      <c r="SAT45" s="10"/>
      <c r="SAU45" s="10"/>
      <c r="SAV45" s="10"/>
      <c r="SAW45" s="10"/>
      <c r="SAX45" s="10"/>
      <c r="SAY45" s="10"/>
      <c r="SAZ45" s="10"/>
      <c r="SBA45" s="10"/>
      <c r="SBB45" s="10"/>
      <c r="SBC45" s="10"/>
      <c r="SBD45" s="10"/>
      <c r="SBE45" s="10"/>
      <c r="SBF45" s="10"/>
      <c r="SBG45" s="10"/>
      <c r="SBH45" s="10"/>
      <c r="SBI45" s="10"/>
      <c r="SBJ45" s="10"/>
      <c r="SBK45" s="10"/>
      <c r="SBL45" s="10"/>
      <c r="SBM45" s="10"/>
      <c r="SBN45" s="10"/>
      <c r="SBO45" s="10"/>
      <c r="SBP45" s="10"/>
      <c r="SBQ45" s="10"/>
      <c r="SBR45" s="10"/>
      <c r="SBS45" s="10"/>
      <c r="SBT45" s="10"/>
      <c r="SBU45" s="10"/>
      <c r="SBV45" s="10"/>
      <c r="SBW45" s="10"/>
      <c r="SBX45" s="10"/>
      <c r="SBY45" s="10"/>
      <c r="SBZ45" s="10"/>
      <c r="SCA45" s="10"/>
      <c r="SCB45" s="10"/>
      <c r="SCC45" s="10"/>
      <c r="SCD45" s="10"/>
      <c r="SCE45" s="10"/>
      <c r="SCF45" s="10"/>
      <c r="SCG45" s="10"/>
      <c r="SCH45" s="10"/>
      <c r="SCI45" s="10"/>
      <c r="SCJ45" s="10"/>
      <c r="SCK45" s="10"/>
      <c r="SCL45" s="10"/>
      <c r="SCM45" s="10"/>
      <c r="SCN45" s="10"/>
      <c r="SCO45" s="10"/>
      <c r="SCP45" s="10"/>
      <c r="SCQ45" s="10"/>
      <c r="SCR45" s="10"/>
      <c r="SCS45" s="10"/>
      <c r="SCT45" s="10"/>
      <c r="SCU45" s="10"/>
      <c r="SCV45" s="10"/>
      <c r="SCW45" s="10"/>
      <c r="SCX45" s="10"/>
      <c r="SCY45" s="10"/>
      <c r="SCZ45" s="10"/>
      <c r="SDA45" s="10"/>
      <c r="SDB45" s="10"/>
      <c r="SDC45" s="10"/>
      <c r="SDD45" s="10"/>
      <c r="SDE45" s="10"/>
      <c r="SDF45" s="10"/>
      <c r="SDG45" s="10"/>
      <c r="SDH45" s="10"/>
      <c r="SDI45" s="10"/>
      <c r="SDJ45" s="10"/>
      <c r="SDK45" s="10"/>
      <c r="SDL45" s="10"/>
      <c r="SDM45" s="10"/>
      <c r="SDN45" s="10"/>
      <c r="SDO45" s="10"/>
      <c r="SDP45" s="10"/>
      <c r="SDQ45" s="10"/>
      <c r="SDR45" s="10"/>
      <c r="SDS45" s="10"/>
      <c r="SDT45" s="10"/>
      <c r="SDU45" s="10"/>
      <c r="SDV45" s="10"/>
      <c r="SDW45" s="10"/>
      <c r="SDX45" s="10"/>
      <c r="SDY45" s="10"/>
      <c r="SDZ45" s="10"/>
      <c r="SEA45" s="10"/>
      <c r="SEB45" s="10"/>
      <c r="SEC45" s="10"/>
      <c r="SED45" s="10"/>
      <c r="SEE45" s="10"/>
      <c r="SEF45" s="10"/>
      <c r="SEG45" s="10"/>
      <c r="SEH45" s="10"/>
      <c r="SEI45" s="10"/>
      <c r="SEJ45" s="10"/>
      <c r="SEK45" s="10"/>
      <c r="SEL45" s="10"/>
      <c r="SEM45" s="10"/>
      <c r="SEN45" s="10"/>
      <c r="SEO45" s="10"/>
      <c r="SEP45" s="10"/>
      <c r="SEQ45" s="10"/>
      <c r="SER45" s="10"/>
      <c r="SES45" s="10"/>
      <c r="SET45" s="10"/>
      <c r="SEU45" s="10"/>
      <c r="SEV45" s="10"/>
      <c r="SEW45" s="10"/>
      <c r="SEX45" s="10"/>
      <c r="SEY45" s="10"/>
      <c r="SEZ45" s="10"/>
      <c r="SFA45" s="10"/>
      <c r="SFB45" s="10"/>
      <c r="SFC45" s="10"/>
      <c r="SFD45" s="10"/>
      <c r="SFE45" s="10"/>
      <c r="SFF45" s="10"/>
      <c r="SFG45" s="10"/>
      <c r="SFH45" s="10"/>
      <c r="SFI45" s="10"/>
      <c r="SFJ45" s="10"/>
      <c r="SFK45" s="10"/>
      <c r="SFL45" s="10"/>
      <c r="SFM45" s="10"/>
      <c r="SFN45" s="10"/>
      <c r="SFO45" s="10"/>
      <c r="SFP45" s="10"/>
      <c r="SFQ45" s="10"/>
      <c r="SFR45" s="10"/>
      <c r="SFS45" s="10"/>
      <c r="SFT45" s="10"/>
      <c r="SFU45" s="10"/>
      <c r="SFV45" s="10"/>
      <c r="SFW45" s="10"/>
      <c r="SFX45" s="10"/>
      <c r="SFY45" s="10"/>
      <c r="SFZ45" s="10"/>
      <c r="SGA45" s="10"/>
      <c r="SGB45" s="10"/>
      <c r="SGC45" s="10"/>
      <c r="SGD45" s="10"/>
      <c r="SGE45" s="10"/>
      <c r="SGF45" s="10"/>
      <c r="SGG45" s="10"/>
      <c r="SGH45" s="10"/>
      <c r="SGI45" s="10"/>
      <c r="SGJ45" s="10"/>
      <c r="SGK45" s="10"/>
      <c r="SGL45" s="10"/>
      <c r="SGM45" s="10"/>
      <c r="SGN45" s="10"/>
      <c r="SGO45" s="10"/>
      <c r="SGP45" s="10"/>
      <c r="SGQ45" s="10"/>
      <c r="SGR45" s="10"/>
      <c r="SGS45" s="10"/>
      <c r="SGT45" s="10"/>
      <c r="SGU45" s="10"/>
      <c r="SGV45" s="10"/>
      <c r="SGW45" s="10"/>
      <c r="SGX45" s="10"/>
      <c r="SGY45" s="10"/>
      <c r="SGZ45" s="10"/>
      <c r="SHA45" s="10"/>
      <c r="SHB45" s="10"/>
      <c r="SHC45" s="10"/>
      <c r="SHD45" s="10"/>
      <c r="SHE45" s="10"/>
      <c r="SHF45" s="10"/>
      <c r="SHG45" s="10"/>
      <c r="SHH45" s="10"/>
      <c r="SHI45" s="10"/>
      <c r="SHJ45" s="10"/>
      <c r="SHK45" s="10"/>
      <c r="SHL45" s="10"/>
      <c r="SHM45" s="10"/>
      <c r="SHN45" s="10"/>
      <c r="SHO45" s="10"/>
      <c r="SHP45" s="10"/>
      <c r="SHQ45" s="10"/>
      <c r="SHR45" s="10"/>
      <c r="SHS45" s="10"/>
      <c r="SHT45" s="10"/>
      <c r="SHU45" s="10"/>
      <c r="SHV45" s="10"/>
      <c r="SHW45" s="10"/>
      <c r="SHX45" s="10"/>
      <c r="SHY45" s="10"/>
      <c r="SHZ45" s="10"/>
      <c r="SIA45" s="10"/>
      <c r="SIB45" s="10"/>
      <c r="SIC45" s="10"/>
      <c r="SID45" s="10"/>
      <c r="SIE45" s="10"/>
      <c r="SIF45" s="10"/>
      <c r="SIG45" s="10"/>
      <c r="SIH45" s="10"/>
      <c r="SII45" s="10"/>
      <c r="SIJ45" s="10"/>
      <c r="SIK45" s="10"/>
      <c r="SIL45" s="10"/>
      <c r="SIM45" s="10"/>
      <c r="SIN45" s="10"/>
      <c r="SIO45" s="10"/>
      <c r="SIP45" s="10"/>
      <c r="SIQ45" s="10"/>
      <c r="SIR45" s="10"/>
      <c r="SIS45" s="10"/>
      <c r="SIT45" s="10"/>
      <c r="SIU45" s="10"/>
      <c r="SIV45" s="10"/>
      <c r="SIW45" s="10"/>
      <c r="SIX45" s="10"/>
      <c r="SIY45" s="10"/>
      <c r="SIZ45" s="10"/>
      <c r="SJA45" s="10"/>
      <c r="SJB45" s="10"/>
      <c r="SJC45" s="10"/>
      <c r="SJD45" s="10"/>
      <c r="SJE45" s="10"/>
      <c r="SJF45" s="10"/>
      <c r="SJG45" s="10"/>
      <c r="SJH45" s="10"/>
      <c r="SJI45" s="10"/>
      <c r="SJJ45" s="10"/>
      <c r="SJK45" s="10"/>
      <c r="SJL45" s="10"/>
      <c r="SJM45" s="10"/>
      <c r="SJN45" s="10"/>
      <c r="SJO45" s="10"/>
      <c r="SJP45" s="10"/>
      <c r="SJQ45" s="10"/>
      <c r="SJR45" s="10"/>
      <c r="SJS45" s="10"/>
      <c r="SJT45" s="10"/>
      <c r="SJU45" s="10"/>
      <c r="SJV45" s="10"/>
      <c r="SJW45" s="10"/>
      <c r="SJX45" s="10"/>
      <c r="SJY45" s="10"/>
      <c r="SJZ45" s="10"/>
      <c r="SKA45" s="10"/>
      <c r="SKB45" s="10"/>
      <c r="SKC45" s="10"/>
      <c r="SKD45" s="10"/>
      <c r="SKE45" s="10"/>
      <c r="SKF45" s="10"/>
      <c r="SKG45" s="10"/>
      <c r="SKH45" s="10"/>
      <c r="SKI45" s="10"/>
      <c r="SKJ45" s="10"/>
      <c r="SKK45" s="10"/>
      <c r="SKL45" s="10"/>
      <c r="SKM45" s="10"/>
      <c r="SKN45" s="10"/>
      <c r="SKO45" s="10"/>
      <c r="SKP45" s="10"/>
      <c r="SKQ45" s="10"/>
      <c r="SKR45" s="10"/>
      <c r="SKS45" s="10"/>
      <c r="SKT45" s="10"/>
      <c r="SKU45" s="10"/>
      <c r="SKV45" s="10"/>
      <c r="SKW45" s="10"/>
      <c r="SKX45" s="10"/>
      <c r="SKY45" s="10"/>
      <c r="SKZ45" s="10"/>
      <c r="SLA45" s="10"/>
      <c r="SLB45" s="10"/>
      <c r="SLC45" s="10"/>
      <c r="SLD45" s="10"/>
      <c r="SLE45" s="10"/>
      <c r="SLF45" s="10"/>
      <c r="SLG45" s="10"/>
      <c r="SLH45" s="10"/>
      <c r="SLI45" s="10"/>
      <c r="SLJ45" s="10"/>
      <c r="SLK45" s="10"/>
      <c r="SLL45" s="10"/>
      <c r="SLM45" s="10"/>
      <c r="SLN45" s="10"/>
      <c r="SLO45" s="10"/>
      <c r="SLP45" s="10"/>
      <c r="SLQ45" s="10"/>
      <c r="SLR45" s="10"/>
      <c r="SLS45" s="10"/>
      <c r="SLT45" s="10"/>
      <c r="SLU45" s="10"/>
      <c r="SLV45" s="10"/>
      <c r="SLW45" s="10"/>
      <c r="SLX45" s="10"/>
      <c r="SLY45" s="10"/>
      <c r="SLZ45" s="10"/>
      <c r="SMA45" s="10"/>
      <c r="SMB45" s="10"/>
      <c r="SMC45" s="10"/>
      <c r="SMD45" s="10"/>
      <c r="SME45" s="10"/>
      <c r="SMF45" s="10"/>
      <c r="SMG45" s="10"/>
      <c r="SMH45" s="10"/>
      <c r="SMI45" s="10"/>
      <c r="SMJ45" s="10"/>
      <c r="SMK45" s="10"/>
      <c r="SML45" s="10"/>
      <c r="SMM45" s="10"/>
      <c r="SMN45" s="10"/>
      <c r="SMO45" s="10"/>
      <c r="SMP45" s="10"/>
      <c r="SMQ45" s="10"/>
      <c r="SMR45" s="10"/>
      <c r="SMS45" s="10"/>
      <c r="SMT45" s="10"/>
      <c r="SMU45" s="10"/>
      <c r="SMV45" s="10"/>
      <c r="SMW45" s="10"/>
      <c r="SMX45" s="10"/>
      <c r="SMY45" s="10"/>
      <c r="SMZ45" s="10"/>
      <c r="SNA45" s="10"/>
      <c r="SNB45" s="10"/>
      <c r="SNC45" s="10"/>
      <c r="SND45" s="10"/>
      <c r="SNE45" s="10"/>
      <c r="SNF45" s="10"/>
      <c r="SNG45" s="10"/>
      <c r="SNH45" s="10"/>
      <c r="SNI45" s="10"/>
      <c r="SNJ45" s="10"/>
      <c r="SNK45" s="10"/>
      <c r="SNL45" s="10"/>
      <c r="SNM45" s="10"/>
      <c r="SNN45" s="10"/>
      <c r="SNO45" s="10"/>
      <c r="SNP45" s="10"/>
      <c r="SNQ45" s="10"/>
      <c r="SNR45" s="10"/>
      <c r="SNS45" s="10"/>
      <c r="SNT45" s="10"/>
      <c r="SNU45" s="10"/>
      <c r="SNV45" s="10"/>
      <c r="SNW45" s="10"/>
      <c r="SNX45" s="10"/>
      <c r="SNY45" s="10"/>
      <c r="SNZ45" s="10"/>
      <c r="SOA45" s="10"/>
      <c r="SOB45" s="10"/>
      <c r="SOC45" s="10"/>
      <c r="SOD45" s="10"/>
      <c r="SOE45" s="10"/>
      <c r="SOF45" s="10"/>
      <c r="SOG45" s="10"/>
      <c r="SOH45" s="10"/>
      <c r="SOI45" s="10"/>
      <c r="SOJ45" s="10"/>
      <c r="SOK45" s="10"/>
      <c r="SOL45" s="10"/>
      <c r="SOM45" s="10"/>
      <c r="SON45" s="10"/>
      <c r="SOO45" s="10"/>
      <c r="SOP45" s="10"/>
      <c r="SOQ45" s="10"/>
      <c r="SOR45" s="10"/>
      <c r="SOS45" s="10"/>
      <c r="SOT45" s="10"/>
      <c r="SOU45" s="10"/>
      <c r="SOV45" s="10"/>
      <c r="SOW45" s="10"/>
      <c r="SOX45" s="10"/>
      <c r="SOY45" s="10"/>
      <c r="SOZ45" s="10"/>
      <c r="SPA45" s="10"/>
      <c r="SPB45" s="10"/>
      <c r="SPC45" s="10"/>
      <c r="SPD45" s="10"/>
      <c r="SPE45" s="10"/>
      <c r="SPF45" s="10"/>
      <c r="SPG45" s="10"/>
      <c r="SPH45" s="10"/>
      <c r="SPI45" s="10"/>
      <c r="SPJ45" s="10"/>
      <c r="SPK45" s="10"/>
      <c r="SPL45" s="10"/>
      <c r="SPM45" s="10"/>
      <c r="SPN45" s="10"/>
      <c r="SPO45" s="10"/>
      <c r="SPP45" s="10"/>
      <c r="SPQ45" s="10"/>
      <c r="SPR45" s="10"/>
      <c r="SPS45" s="10"/>
      <c r="SPT45" s="10"/>
      <c r="SPU45" s="10"/>
      <c r="SPV45" s="10"/>
      <c r="SPW45" s="10"/>
      <c r="SPX45" s="10"/>
      <c r="SPY45" s="10"/>
      <c r="SPZ45" s="10"/>
      <c r="SQA45" s="10"/>
      <c r="SQB45" s="10"/>
      <c r="SQC45" s="10"/>
      <c r="SQD45" s="10"/>
      <c r="SQE45" s="10"/>
      <c r="SQF45" s="10"/>
      <c r="SQG45" s="10"/>
      <c r="SQH45" s="10"/>
      <c r="SQI45" s="10"/>
      <c r="SQJ45" s="10"/>
      <c r="SQK45" s="10"/>
      <c r="SQL45" s="10"/>
      <c r="SQM45" s="10"/>
      <c r="SQN45" s="10"/>
      <c r="SQO45" s="10"/>
      <c r="SQP45" s="10"/>
      <c r="SQQ45" s="10"/>
      <c r="SQR45" s="10"/>
      <c r="SQS45" s="10"/>
      <c r="SQT45" s="10"/>
      <c r="SQU45" s="10"/>
      <c r="SQV45" s="10"/>
      <c r="SQW45" s="10"/>
      <c r="SQX45" s="10"/>
      <c r="SQY45" s="10"/>
      <c r="SQZ45" s="10"/>
      <c r="SRA45" s="10"/>
      <c r="SRB45" s="10"/>
      <c r="SRC45" s="10"/>
      <c r="SRD45" s="10"/>
      <c r="SRE45" s="10"/>
      <c r="SRF45" s="10"/>
      <c r="SRG45" s="10"/>
      <c r="SRH45" s="10"/>
      <c r="SRI45" s="10"/>
      <c r="SRJ45" s="10"/>
      <c r="SRK45" s="10"/>
      <c r="SRL45" s="10"/>
      <c r="SRM45" s="10"/>
      <c r="SRN45" s="10"/>
      <c r="SRO45" s="10"/>
      <c r="SRP45" s="10"/>
      <c r="SRQ45" s="10"/>
      <c r="SRR45" s="10"/>
      <c r="SRS45" s="10"/>
      <c r="SRT45" s="10"/>
      <c r="SRU45" s="10"/>
      <c r="SRV45" s="10"/>
      <c r="SRW45" s="10"/>
      <c r="SRX45" s="10"/>
      <c r="SRY45" s="10"/>
      <c r="SRZ45" s="10"/>
      <c r="SSA45" s="10"/>
      <c r="SSB45" s="10"/>
      <c r="SSC45" s="10"/>
      <c r="SSD45" s="10"/>
      <c r="SSE45" s="10"/>
      <c r="SSF45" s="10"/>
      <c r="SSG45" s="10"/>
      <c r="SSH45" s="10"/>
      <c r="SSI45" s="10"/>
      <c r="SSJ45" s="10"/>
      <c r="SSK45" s="10"/>
      <c r="SSL45" s="10"/>
      <c r="SSM45" s="10"/>
      <c r="SSN45" s="10"/>
      <c r="SSO45" s="10"/>
      <c r="SSP45" s="10"/>
      <c r="SSQ45" s="10"/>
      <c r="SSR45" s="10"/>
      <c r="SSS45" s="10"/>
      <c r="SST45" s="10"/>
      <c r="SSU45" s="10"/>
      <c r="SSV45" s="10"/>
      <c r="SSW45" s="10"/>
      <c r="SSX45" s="10"/>
      <c r="SSY45" s="10"/>
      <c r="SSZ45" s="10"/>
      <c r="STA45" s="10"/>
      <c r="STB45" s="10"/>
      <c r="STC45" s="10"/>
      <c r="STD45" s="10"/>
      <c r="STE45" s="10"/>
      <c r="STF45" s="10"/>
      <c r="STG45" s="10"/>
      <c r="STH45" s="10"/>
      <c r="STI45" s="10"/>
      <c r="STJ45" s="10"/>
      <c r="STK45" s="10"/>
      <c r="STL45" s="10"/>
      <c r="STM45" s="10"/>
      <c r="STN45" s="10"/>
      <c r="STO45" s="10"/>
      <c r="STP45" s="10"/>
      <c r="STQ45" s="10"/>
      <c r="STR45" s="10"/>
      <c r="STS45" s="10"/>
      <c r="STT45" s="10"/>
      <c r="STU45" s="10"/>
      <c r="STV45" s="10"/>
      <c r="STW45" s="10"/>
      <c r="STX45" s="10"/>
      <c r="STY45" s="10"/>
      <c r="STZ45" s="10"/>
      <c r="SUA45" s="10"/>
      <c r="SUB45" s="10"/>
      <c r="SUC45" s="10"/>
      <c r="SUD45" s="10"/>
      <c r="SUE45" s="10"/>
      <c r="SUF45" s="10"/>
      <c r="SUG45" s="10"/>
      <c r="SUH45" s="10"/>
      <c r="SUI45" s="10"/>
      <c r="SUJ45" s="10"/>
      <c r="SUK45" s="10"/>
      <c r="SUL45" s="10"/>
      <c r="SUM45" s="10"/>
      <c r="SUN45" s="10"/>
      <c r="SUO45" s="10"/>
      <c r="SUP45" s="10"/>
      <c r="SUQ45" s="10"/>
      <c r="SUR45" s="10"/>
      <c r="SUS45" s="10"/>
      <c r="SUT45" s="10"/>
      <c r="SUU45" s="10"/>
      <c r="SUV45" s="10"/>
      <c r="SUW45" s="10"/>
      <c r="SUX45" s="10"/>
      <c r="SUY45" s="10"/>
      <c r="SUZ45" s="10"/>
      <c r="SVA45" s="10"/>
      <c r="SVB45" s="10"/>
      <c r="SVC45" s="10"/>
      <c r="SVD45" s="10"/>
      <c r="SVE45" s="10"/>
      <c r="SVF45" s="10"/>
      <c r="SVG45" s="10"/>
      <c r="SVH45" s="10"/>
      <c r="SVI45" s="10"/>
      <c r="SVJ45" s="10"/>
      <c r="SVK45" s="10"/>
      <c r="SVL45" s="10"/>
      <c r="SVM45" s="10"/>
      <c r="SVN45" s="10"/>
      <c r="SVO45" s="10"/>
      <c r="SVP45" s="10"/>
      <c r="SVQ45" s="10"/>
      <c r="SVR45" s="10"/>
      <c r="SVS45" s="10"/>
      <c r="SVT45" s="10"/>
      <c r="SVU45" s="10"/>
      <c r="SVV45" s="10"/>
      <c r="SVW45" s="10"/>
      <c r="SVX45" s="10"/>
      <c r="SVY45" s="10"/>
      <c r="SVZ45" s="10"/>
      <c r="SWA45" s="10"/>
      <c r="SWB45" s="10"/>
      <c r="SWC45" s="10"/>
      <c r="SWD45" s="10"/>
      <c r="SWE45" s="10"/>
      <c r="SWF45" s="10"/>
      <c r="SWG45" s="10"/>
      <c r="SWH45" s="10"/>
      <c r="SWI45" s="10"/>
      <c r="SWJ45" s="10"/>
      <c r="SWK45" s="10"/>
      <c r="SWL45" s="10"/>
      <c r="SWM45" s="10"/>
      <c r="SWN45" s="10"/>
      <c r="SWO45" s="10"/>
      <c r="SWP45" s="10"/>
      <c r="SWQ45" s="10"/>
      <c r="SWR45" s="10"/>
      <c r="SWS45" s="10"/>
      <c r="SWT45" s="10"/>
      <c r="SWU45" s="10"/>
      <c r="SWV45" s="10"/>
      <c r="SWW45" s="10"/>
      <c r="SWX45" s="10"/>
      <c r="SWY45" s="10"/>
      <c r="SWZ45" s="10"/>
      <c r="SXA45" s="10"/>
      <c r="SXB45" s="10"/>
      <c r="SXC45" s="10"/>
      <c r="SXD45" s="10"/>
      <c r="SXE45" s="10"/>
      <c r="SXF45" s="10"/>
      <c r="SXG45" s="10"/>
      <c r="SXH45" s="10"/>
      <c r="SXI45" s="10"/>
      <c r="SXJ45" s="10"/>
      <c r="SXK45" s="10"/>
      <c r="SXL45" s="10"/>
      <c r="SXM45" s="10"/>
      <c r="SXN45" s="10"/>
      <c r="SXO45" s="10"/>
      <c r="SXP45" s="10"/>
      <c r="SXQ45" s="10"/>
      <c r="SXR45" s="10"/>
      <c r="SXS45" s="10"/>
      <c r="SXT45" s="10"/>
      <c r="SXU45" s="10"/>
      <c r="SXV45" s="10"/>
      <c r="SXW45" s="10"/>
      <c r="SXX45" s="10"/>
      <c r="SXY45" s="10"/>
      <c r="SXZ45" s="10"/>
      <c r="SYA45" s="10"/>
      <c r="SYB45" s="10"/>
      <c r="SYC45" s="10"/>
      <c r="SYD45" s="10"/>
      <c r="SYE45" s="10"/>
      <c r="SYF45" s="10"/>
      <c r="SYG45" s="10"/>
      <c r="SYH45" s="10"/>
      <c r="SYI45" s="10"/>
      <c r="SYJ45" s="10"/>
      <c r="SYK45" s="10"/>
      <c r="SYL45" s="10"/>
      <c r="SYM45" s="10"/>
      <c r="SYN45" s="10"/>
      <c r="SYO45" s="10"/>
      <c r="SYP45" s="10"/>
      <c r="SYQ45" s="10"/>
      <c r="SYR45" s="10"/>
      <c r="SYS45" s="10"/>
      <c r="SYT45" s="10"/>
      <c r="SYU45" s="10"/>
      <c r="SYV45" s="10"/>
      <c r="SYW45" s="10"/>
      <c r="SYX45" s="10"/>
      <c r="SYY45" s="10"/>
      <c r="SYZ45" s="10"/>
      <c r="SZA45" s="10"/>
      <c r="SZB45" s="10"/>
      <c r="SZC45" s="10"/>
      <c r="SZD45" s="10"/>
      <c r="SZE45" s="10"/>
      <c r="SZF45" s="10"/>
      <c r="SZG45" s="10"/>
      <c r="SZH45" s="10"/>
      <c r="SZI45" s="10"/>
      <c r="SZJ45" s="10"/>
      <c r="SZK45" s="10"/>
      <c r="SZL45" s="10"/>
      <c r="SZM45" s="10"/>
      <c r="SZN45" s="10"/>
      <c r="SZO45" s="10"/>
      <c r="SZP45" s="10"/>
      <c r="SZQ45" s="10"/>
      <c r="SZR45" s="10"/>
      <c r="SZS45" s="10"/>
      <c r="SZT45" s="10"/>
      <c r="SZU45" s="10"/>
      <c r="SZV45" s="10"/>
      <c r="SZW45" s="10"/>
      <c r="SZX45" s="10"/>
      <c r="SZY45" s="10"/>
      <c r="SZZ45" s="10"/>
      <c r="TAA45" s="10"/>
      <c r="TAB45" s="10"/>
      <c r="TAC45" s="10"/>
      <c r="TAD45" s="10"/>
      <c r="TAE45" s="10"/>
      <c r="TAF45" s="10"/>
      <c r="TAG45" s="10"/>
      <c r="TAH45" s="10"/>
      <c r="TAI45" s="10"/>
      <c r="TAJ45" s="10"/>
      <c r="TAK45" s="10"/>
      <c r="TAL45" s="10"/>
      <c r="TAM45" s="10"/>
      <c r="TAN45" s="10"/>
      <c r="TAO45" s="10"/>
      <c r="TAP45" s="10"/>
      <c r="TAQ45" s="10"/>
      <c r="TAR45" s="10"/>
      <c r="TAS45" s="10"/>
      <c r="TAT45" s="10"/>
      <c r="TAU45" s="10"/>
      <c r="TAV45" s="10"/>
      <c r="TAW45" s="10"/>
      <c r="TAX45" s="10"/>
      <c r="TAY45" s="10"/>
      <c r="TAZ45" s="10"/>
      <c r="TBA45" s="10"/>
      <c r="TBB45" s="10"/>
      <c r="TBC45" s="10"/>
      <c r="TBD45" s="10"/>
      <c r="TBE45" s="10"/>
      <c r="TBF45" s="10"/>
      <c r="TBG45" s="10"/>
      <c r="TBH45" s="10"/>
      <c r="TBI45" s="10"/>
      <c r="TBJ45" s="10"/>
      <c r="TBK45" s="10"/>
      <c r="TBL45" s="10"/>
      <c r="TBM45" s="10"/>
      <c r="TBN45" s="10"/>
      <c r="TBO45" s="10"/>
      <c r="TBP45" s="10"/>
      <c r="TBQ45" s="10"/>
      <c r="TBR45" s="10"/>
      <c r="TBS45" s="10"/>
      <c r="TBT45" s="10"/>
      <c r="TBU45" s="10"/>
      <c r="TBV45" s="10"/>
      <c r="TBW45" s="10"/>
      <c r="TBX45" s="10"/>
      <c r="TBY45" s="10"/>
      <c r="TBZ45" s="10"/>
      <c r="TCA45" s="10"/>
      <c r="TCB45" s="10"/>
      <c r="TCC45" s="10"/>
      <c r="TCD45" s="10"/>
      <c r="TCE45" s="10"/>
      <c r="TCF45" s="10"/>
      <c r="TCG45" s="10"/>
      <c r="TCH45" s="10"/>
      <c r="TCI45" s="10"/>
      <c r="TCJ45" s="10"/>
      <c r="TCK45" s="10"/>
      <c r="TCL45" s="10"/>
      <c r="TCM45" s="10"/>
      <c r="TCN45" s="10"/>
      <c r="TCO45" s="10"/>
      <c r="TCP45" s="10"/>
      <c r="TCQ45" s="10"/>
      <c r="TCR45" s="10"/>
      <c r="TCS45" s="10"/>
      <c r="TCT45" s="10"/>
      <c r="TCU45" s="10"/>
      <c r="TCV45" s="10"/>
      <c r="TCW45" s="10"/>
      <c r="TCX45" s="10"/>
      <c r="TCY45" s="10"/>
      <c r="TCZ45" s="10"/>
      <c r="TDA45" s="10"/>
      <c r="TDB45" s="10"/>
      <c r="TDC45" s="10"/>
      <c r="TDD45" s="10"/>
      <c r="TDE45" s="10"/>
      <c r="TDF45" s="10"/>
      <c r="TDG45" s="10"/>
      <c r="TDH45" s="10"/>
      <c r="TDI45" s="10"/>
      <c r="TDJ45" s="10"/>
      <c r="TDK45" s="10"/>
      <c r="TDL45" s="10"/>
      <c r="TDM45" s="10"/>
      <c r="TDN45" s="10"/>
      <c r="TDO45" s="10"/>
      <c r="TDP45" s="10"/>
      <c r="TDQ45" s="10"/>
      <c r="TDR45" s="10"/>
      <c r="TDS45" s="10"/>
      <c r="TDT45" s="10"/>
      <c r="TDU45" s="10"/>
      <c r="TDV45" s="10"/>
      <c r="TDW45" s="10"/>
      <c r="TDX45" s="10"/>
      <c r="TDY45" s="10"/>
      <c r="TDZ45" s="10"/>
      <c r="TEA45" s="10"/>
      <c r="TEB45" s="10"/>
      <c r="TEC45" s="10"/>
      <c r="TED45" s="10"/>
      <c r="TEE45" s="10"/>
      <c r="TEF45" s="10"/>
      <c r="TEG45" s="10"/>
      <c r="TEH45" s="10"/>
      <c r="TEI45" s="10"/>
      <c r="TEJ45" s="10"/>
      <c r="TEK45" s="10"/>
      <c r="TEL45" s="10"/>
      <c r="TEM45" s="10"/>
      <c r="TEN45" s="10"/>
      <c r="TEO45" s="10"/>
      <c r="TEP45" s="10"/>
      <c r="TEQ45" s="10"/>
      <c r="TER45" s="10"/>
      <c r="TES45" s="10"/>
      <c r="TET45" s="10"/>
      <c r="TEU45" s="10"/>
      <c r="TEV45" s="10"/>
      <c r="TEW45" s="10"/>
      <c r="TEX45" s="10"/>
      <c r="TEY45" s="10"/>
      <c r="TEZ45" s="10"/>
      <c r="TFA45" s="10"/>
      <c r="TFB45" s="10"/>
      <c r="TFC45" s="10"/>
      <c r="TFD45" s="10"/>
      <c r="TFE45" s="10"/>
      <c r="TFF45" s="10"/>
      <c r="TFG45" s="10"/>
      <c r="TFH45" s="10"/>
      <c r="TFI45" s="10"/>
      <c r="TFJ45" s="10"/>
      <c r="TFK45" s="10"/>
      <c r="TFL45" s="10"/>
      <c r="TFM45" s="10"/>
      <c r="TFN45" s="10"/>
      <c r="TFO45" s="10"/>
      <c r="TFP45" s="10"/>
      <c r="TFQ45" s="10"/>
      <c r="TFR45" s="10"/>
      <c r="TFS45" s="10"/>
      <c r="TFT45" s="10"/>
      <c r="TFU45" s="10"/>
      <c r="TFV45" s="10"/>
      <c r="TFW45" s="10"/>
      <c r="TFX45" s="10"/>
      <c r="TFY45" s="10"/>
      <c r="TFZ45" s="10"/>
      <c r="TGA45" s="10"/>
      <c r="TGB45" s="10"/>
      <c r="TGC45" s="10"/>
      <c r="TGD45" s="10"/>
      <c r="TGE45" s="10"/>
      <c r="TGF45" s="10"/>
      <c r="TGG45" s="10"/>
      <c r="TGH45" s="10"/>
      <c r="TGI45" s="10"/>
      <c r="TGJ45" s="10"/>
      <c r="TGK45" s="10"/>
      <c r="TGL45" s="10"/>
      <c r="TGM45" s="10"/>
      <c r="TGN45" s="10"/>
      <c r="TGO45" s="10"/>
      <c r="TGP45" s="10"/>
      <c r="TGQ45" s="10"/>
      <c r="TGR45" s="10"/>
      <c r="TGS45" s="10"/>
      <c r="TGT45" s="10"/>
      <c r="TGU45" s="10"/>
      <c r="TGV45" s="10"/>
      <c r="TGW45" s="10"/>
      <c r="TGX45" s="10"/>
      <c r="TGY45" s="10"/>
      <c r="TGZ45" s="10"/>
      <c r="THA45" s="10"/>
      <c r="THB45" s="10"/>
      <c r="THC45" s="10"/>
      <c r="THD45" s="10"/>
      <c r="THE45" s="10"/>
      <c r="THF45" s="10"/>
      <c r="THG45" s="10"/>
      <c r="THH45" s="10"/>
      <c r="THI45" s="10"/>
      <c r="THJ45" s="10"/>
      <c r="THK45" s="10"/>
      <c r="THL45" s="10"/>
      <c r="THM45" s="10"/>
      <c r="THN45" s="10"/>
      <c r="THO45" s="10"/>
      <c r="THP45" s="10"/>
      <c r="THQ45" s="10"/>
      <c r="THR45" s="10"/>
      <c r="THS45" s="10"/>
      <c r="THT45" s="10"/>
      <c r="THU45" s="10"/>
      <c r="THV45" s="10"/>
      <c r="THW45" s="10"/>
      <c r="THX45" s="10"/>
      <c r="THY45" s="10"/>
      <c r="THZ45" s="10"/>
      <c r="TIA45" s="10"/>
      <c r="TIB45" s="10"/>
      <c r="TIC45" s="10"/>
      <c r="TID45" s="10"/>
      <c r="TIE45" s="10"/>
      <c r="TIF45" s="10"/>
      <c r="TIG45" s="10"/>
      <c r="TIH45" s="10"/>
      <c r="TII45" s="10"/>
      <c r="TIJ45" s="10"/>
      <c r="TIK45" s="10"/>
      <c r="TIL45" s="10"/>
      <c r="TIM45" s="10"/>
      <c r="TIN45" s="10"/>
      <c r="TIO45" s="10"/>
      <c r="TIP45" s="10"/>
      <c r="TIQ45" s="10"/>
      <c r="TIR45" s="10"/>
      <c r="TIS45" s="10"/>
      <c r="TIT45" s="10"/>
      <c r="TIU45" s="10"/>
      <c r="TIV45" s="10"/>
      <c r="TIW45" s="10"/>
      <c r="TIX45" s="10"/>
      <c r="TIY45" s="10"/>
      <c r="TIZ45" s="10"/>
      <c r="TJA45" s="10"/>
      <c r="TJB45" s="10"/>
      <c r="TJC45" s="10"/>
      <c r="TJD45" s="10"/>
      <c r="TJE45" s="10"/>
      <c r="TJF45" s="10"/>
      <c r="TJG45" s="10"/>
      <c r="TJH45" s="10"/>
      <c r="TJI45" s="10"/>
      <c r="TJJ45" s="10"/>
      <c r="TJK45" s="10"/>
      <c r="TJL45" s="10"/>
      <c r="TJM45" s="10"/>
      <c r="TJN45" s="10"/>
      <c r="TJO45" s="10"/>
      <c r="TJP45" s="10"/>
      <c r="TJQ45" s="10"/>
      <c r="TJR45" s="10"/>
      <c r="TJS45" s="10"/>
      <c r="TJT45" s="10"/>
      <c r="TJU45" s="10"/>
      <c r="TJV45" s="10"/>
      <c r="TJW45" s="10"/>
      <c r="TJX45" s="10"/>
      <c r="TJY45" s="10"/>
      <c r="TJZ45" s="10"/>
      <c r="TKA45" s="10"/>
      <c r="TKB45" s="10"/>
      <c r="TKC45" s="10"/>
      <c r="TKD45" s="10"/>
      <c r="TKE45" s="10"/>
      <c r="TKF45" s="10"/>
      <c r="TKG45" s="10"/>
      <c r="TKH45" s="10"/>
      <c r="TKI45" s="10"/>
      <c r="TKJ45" s="10"/>
      <c r="TKK45" s="10"/>
      <c r="TKL45" s="10"/>
      <c r="TKM45" s="10"/>
      <c r="TKN45" s="10"/>
      <c r="TKO45" s="10"/>
      <c r="TKP45" s="10"/>
      <c r="TKQ45" s="10"/>
      <c r="TKR45" s="10"/>
      <c r="TKS45" s="10"/>
      <c r="TKT45" s="10"/>
      <c r="TKU45" s="10"/>
      <c r="TKV45" s="10"/>
      <c r="TKW45" s="10"/>
      <c r="TKX45" s="10"/>
      <c r="TKY45" s="10"/>
      <c r="TKZ45" s="10"/>
      <c r="TLA45" s="10"/>
      <c r="TLB45" s="10"/>
      <c r="TLC45" s="10"/>
      <c r="TLD45" s="10"/>
      <c r="TLE45" s="10"/>
      <c r="TLF45" s="10"/>
      <c r="TLG45" s="10"/>
      <c r="TLH45" s="10"/>
      <c r="TLI45" s="10"/>
      <c r="TLJ45" s="10"/>
      <c r="TLK45" s="10"/>
      <c r="TLL45" s="10"/>
      <c r="TLM45" s="10"/>
      <c r="TLN45" s="10"/>
      <c r="TLO45" s="10"/>
      <c r="TLP45" s="10"/>
      <c r="TLQ45" s="10"/>
      <c r="TLR45" s="10"/>
      <c r="TLS45" s="10"/>
      <c r="TLT45" s="10"/>
      <c r="TLU45" s="10"/>
      <c r="TLV45" s="10"/>
      <c r="TLW45" s="10"/>
      <c r="TLX45" s="10"/>
      <c r="TLY45" s="10"/>
      <c r="TLZ45" s="10"/>
      <c r="TMA45" s="10"/>
      <c r="TMB45" s="10"/>
      <c r="TMC45" s="10"/>
      <c r="TMD45" s="10"/>
      <c r="TME45" s="10"/>
      <c r="TMF45" s="10"/>
      <c r="TMG45" s="10"/>
      <c r="TMH45" s="10"/>
      <c r="TMI45" s="10"/>
      <c r="TMJ45" s="10"/>
      <c r="TMK45" s="10"/>
      <c r="TML45" s="10"/>
      <c r="TMM45" s="10"/>
      <c r="TMN45" s="10"/>
      <c r="TMO45" s="10"/>
      <c r="TMP45" s="10"/>
      <c r="TMQ45" s="10"/>
      <c r="TMR45" s="10"/>
      <c r="TMS45" s="10"/>
      <c r="TMT45" s="10"/>
      <c r="TMU45" s="10"/>
      <c r="TMV45" s="10"/>
      <c r="TMW45" s="10"/>
      <c r="TMX45" s="10"/>
      <c r="TMY45" s="10"/>
      <c r="TMZ45" s="10"/>
      <c r="TNA45" s="10"/>
      <c r="TNB45" s="10"/>
      <c r="TNC45" s="10"/>
      <c r="TND45" s="10"/>
      <c r="TNE45" s="10"/>
      <c r="TNF45" s="10"/>
      <c r="TNG45" s="10"/>
      <c r="TNH45" s="10"/>
      <c r="TNI45" s="10"/>
      <c r="TNJ45" s="10"/>
      <c r="TNK45" s="10"/>
      <c r="TNL45" s="10"/>
      <c r="TNM45" s="10"/>
      <c r="TNN45" s="10"/>
      <c r="TNO45" s="10"/>
      <c r="TNP45" s="10"/>
      <c r="TNQ45" s="10"/>
      <c r="TNR45" s="10"/>
      <c r="TNS45" s="10"/>
      <c r="TNT45" s="10"/>
      <c r="TNU45" s="10"/>
      <c r="TNV45" s="10"/>
      <c r="TNW45" s="10"/>
      <c r="TNX45" s="10"/>
      <c r="TNY45" s="10"/>
      <c r="TNZ45" s="10"/>
      <c r="TOA45" s="10"/>
      <c r="TOB45" s="10"/>
      <c r="TOC45" s="10"/>
      <c r="TOD45" s="10"/>
      <c r="TOE45" s="10"/>
      <c r="TOF45" s="10"/>
      <c r="TOG45" s="10"/>
      <c r="TOH45" s="10"/>
      <c r="TOI45" s="10"/>
      <c r="TOJ45" s="10"/>
      <c r="TOK45" s="10"/>
      <c r="TOL45" s="10"/>
      <c r="TOM45" s="10"/>
      <c r="TON45" s="10"/>
      <c r="TOO45" s="10"/>
      <c r="TOP45" s="10"/>
      <c r="TOQ45" s="10"/>
      <c r="TOR45" s="10"/>
      <c r="TOS45" s="10"/>
      <c r="TOT45" s="10"/>
      <c r="TOU45" s="10"/>
      <c r="TOV45" s="10"/>
      <c r="TOW45" s="10"/>
      <c r="TOX45" s="10"/>
      <c r="TOY45" s="10"/>
      <c r="TOZ45" s="10"/>
      <c r="TPA45" s="10"/>
      <c r="TPB45" s="10"/>
      <c r="TPC45" s="10"/>
      <c r="TPD45" s="10"/>
      <c r="TPE45" s="10"/>
      <c r="TPF45" s="10"/>
      <c r="TPG45" s="10"/>
      <c r="TPH45" s="10"/>
      <c r="TPI45" s="10"/>
      <c r="TPJ45" s="10"/>
      <c r="TPK45" s="10"/>
      <c r="TPL45" s="10"/>
      <c r="TPM45" s="10"/>
      <c r="TPN45" s="10"/>
      <c r="TPO45" s="10"/>
      <c r="TPP45" s="10"/>
      <c r="TPQ45" s="10"/>
      <c r="TPR45" s="10"/>
      <c r="TPS45" s="10"/>
      <c r="TPT45" s="10"/>
      <c r="TPU45" s="10"/>
      <c r="TPV45" s="10"/>
      <c r="TPW45" s="10"/>
      <c r="TPX45" s="10"/>
      <c r="TPY45" s="10"/>
      <c r="TPZ45" s="10"/>
      <c r="TQA45" s="10"/>
      <c r="TQB45" s="10"/>
      <c r="TQC45" s="10"/>
      <c r="TQD45" s="10"/>
      <c r="TQE45" s="10"/>
      <c r="TQF45" s="10"/>
      <c r="TQG45" s="10"/>
      <c r="TQH45" s="10"/>
      <c r="TQI45" s="10"/>
      <c r="TQJ45" s="10"/>
      <c r="TQK45" s="10"/>
      <c r="TQL45" s="10"/>
      <c r="TQM45" s="10"/>
      <c r="TQN45" s="10"/>
      <c r="TQO45" s="10"/>
      <c r="TQP45" s="10"/>
      <c r="TQQ45" s="10"/>
      <c r="TQR45" s="10"/>
      <c r="TQS45" s="10"/>
      <c r="TQT45" s="10"/>
      <c r="TQU45" s="10"/>
      <c r="TQV45" s="10"/>
      <c r="TQW45" s="10"/>
      <c r="TQX45" s="10"/>
      <c r="TQY45" s="10"/>
      <c r="TQZ45" s="10"/>
      <c r="TRA45" s="10"/>
      <c r="TRB45" s="10"/>
      <c r="TRC45" s="10"/>
      <c r="TRD45" s="10"/>
      <c r="TRE45" s="10"/>
      <c r="TRF45" s="10"/>
      <c r="TRG45" s="10"/>
      <c r="TRH45" s="10"/>
      <c r="TRI45" s="10"/>
      <c r="TRJ45" s="10"/>
      <c r="TRK45" s="10"/>
      <c r="TRL45" s="10"/>
      <c r="TRM45" s="10"/>
      <c r="TRN45" s="10"/>
      <c r="TRO45" s="10"/>
      <c r="TRP45" s="10"/>
      <c r="TRQ45" s="10"/>
      <c r="TRR45" s="10"/>
      <c r="TRS45" s="10"/>
      <c r="TRT45" s="10"/>
      <c r="TRU45" s="10"/>
      <c r="TRV45" s="10"/>
      <c r="TRW45" s="10"/>
      <c r="TRX45" s="10"/>
      <c r="TRY45" s="10"/>
      <c r="TRZ45" s="10"/>
      <c r="TSA45" s="10"/>
      <c r="TSB45" s="10"/>
      <c r="TSC45" s="10"/>
      <c r="TSD45" s="10"/>
      <c r="TSE45" s="10"/>
      <c r="TSF45" s="10"/>
      <c r="TSG45" s="10"/>
      <c r="TSH45" s="10"/>
      <c r="TSI45" s="10"/>
      <c r="TSJ45" s="10"/>
      <c r="TSK45" s="10"/>
      <c r="TSL45" s="10"/>
      <c r="TSM45" s="10"/>
      <c r="TSN45" s="10"/>
      <c r="TSO45" s="10"/>
      <c r="TSP45" s="10"/>
      <c r="TSQ45" s="10"/>
      <c r="TSR45" s="10"/>
      <c r="TSS45" s="10"/>
      <c r="TST45" s="10"/>
      <c r="TSU45" s="10"/>
      <c r="TSV45" s="10"/>
      <c r="TSW45" s="10"/>
      <c r="TSX45" s="10"/>
      <c r="TSY45" s="10"/>
      <c r="TSZ45" s="10"/>
      <c r="TTA45" s="10"/>
      <c r="TTB45" s="10"/>
      <c r="TTC45" s="10"/>
      <c r="TTD45" s="10"/>
      <c r="TTE45" s="10"/>
      <c r="TTF45" s="10"/>
      <c r="TTG45" s="10"/>
      <c r="TTH45" s="10"/>
      <c r="TTI45" s="10"/>
      <c r="TTJ45" s="10"/>
      <c r="TTK45" s="10"/>
      <c r="TTL45" s="10"/>
      <c r="TTM45" s="10"/>
      <c r="TTN45" s="10"/>
      <c r="TTO45" s="10"/>
      <c r="TTP45" s="10"/>
      <c r="TTQ45" s="10"/>
      <c r="TTR45" s="10"/>
      <c r="TTS45" s="10"/>
      <c r="TTT45" s="10"/>
      <c r="TTU45" s="10"/>
      <c r="TTV45" s="10"/>
      <c r="TTW45" s="10"/>
      <c r="TTX45" s="10"/>
      <c r="TTY45" s="10"/>
      <c r="TTZ45" s="10"/>
      <c r="TUA45" s="10"/>
      <c r="TUB45" s="10"/>
      <c r="TUC45" s="10"/>
      <c r="TUD45" s="10"/>
      <c r="TUE45" s="10"/>
      <c r="TUF45" s="10"/>
      <c r="TUG45" s="10"/>
      <c r="TUH45" s="10"/>
      <c r="TUI45" s="10"/>
      <c r="TUJ45" s="10"/>
      <c r="TUK45" s="10"/>
      <c r="TUL45" s="10"/>
      <c r="TUM45" s="10"/>
      <c r="TUN45" s="10"/>
      <c r="TUO45" s="10"/>
      <c r="TUP45" s="10"/>
      <c r="TUQ45" s="10"/>
      <c r="TUR45" s="10"/>
      <c r="TUS45" s="10"/>
      <c r="TUT45" s="10"/>
      <c r="TUU45" s="10"/>
      <c r="TUV45" s="10"/>
      <c r="TUW45" s="10"/>
      <c r="TUX45" s="10"/>
      <c r="TUY45" s="10"/>
      <c r="TUZ45" s="10"/>
      <c r="TVA45" s="10"/>
      <c r="TVB45" s="10"/>
      <c r="TVC45" s="10"/>
      <c r="TVD45" s="10"/>
      <c r="TVE45" s="10"/>
      <c r="TVF45" s="10"/>
      <c r="TVG45" s="10"/>
      <c r="TVH45" s="10"/>
      <c r="TVI45" s="10"/>
      <c r="TVJ45" s="10"/>
      <c r="TVK45" s="10"/>
      <c r="TVL45" s="10"/>
      <c r="TVM45" s="10"/>
      <c r="TVN45" s="10"/>
      <c r="TVO45" s="10"/>
      <c r="TVP45" s="10"/>
      <c r="TVQ45" s="10"/>
      <c r="TVR45" s="10"/>
      <c r="TVS45" s="10"/>
      <c r="TVT45" s="10"/>
      <c r="TVU45" s="10"/>
      <c r="TVV45" s="10"/>
      <c r="TVW45" s="10"/>
      <c r="TVX45" s="10"/>
      <c r="TVY45" s="10"/>
      <c r="TVZ45" s="10"/>
      <c r="TWA45" s="10"/>
      <c r="TWB45" s="10"/>
      <c r="TWC45" s="10"/>
      <c r="TWD45" s="10"/>
      <c r="TWE45" s="10"/>
      <c r="TWF45" s="10"/>
      <c r="TWG45" s="10"/>
      <c r="TWH45" s="10"/>
      <c r="TWI45" s="10"/>
      <c r="TWJ45" s="10"/>
      <c r="TWK45" s="10"/>
      <c r="TWL45" s="10"/>
      <c r="TWM45" s="10"/>
      <c r="TWN45" s="10"/>
      <c r="TWO45" s="10"/>
      <c r="TWP45" s="10"/>
      <c r="TWQ45" s="10"/>
      <c r="TWR45" s="10"/>
      <c r="TWS45" s="10"/>
      <c r="TWT45" s="10"/>
      <c r="TWU45" s="10"/>
      <c r="TWV45" s="10"/>
      <c r="TWW45" s="10"/>
      <c r="TWX45" s="10"/>
      <c r="TWY45" s="10"/>
      <c r="TWZ45" s="10"/>
      <c r="TXA45" s="10"/>
      <c r="TXB45" s="10"/>
      <c r="TXC45" s="10"/>
      <c r="TXD45" s="10"/>
      <c r="TXE45" s="10"/>
      <c r="TXF45" s="10"/>
      <c r="TXG45" s="10"/>
      <c r="TXH45" s="10"/>
      <c r="TXI45" s="10"/>
      <c r="TXJ45" s="10"/>
      <c r="TXK45" s="10"/>
      <c r="TXL45" s="10"/>
      <c r="TXM45" s="10"/>
      <c r="TXN45" s="10"/>
      <c r="TXO45" s="10"/>
      <c r="TXP45" s="10"/>
      <c r="TXQ45" s="10"/>
      <c r="TXR45" s="10"/>
      <c r="TXS45" s="10"/>
      <c r="TXT45" s="10"/>
      <c r="TXU45" s="10"/>
      <c r="TXV45" s="10"/>
      <c r="TXW45" s="10"/>
      <c r="TXX45" s="10"/>
      <c r="TXY45" s="10"/>
      <c r="TXZ45" s="10"/>
      <c r="TYA45" s="10"/>
      <c r="TYB45" s="10"/>
      <c r="TYC45" s="10"/>
      <c r="TYD45" s="10"/>
      <c r="TYE45" s="10"/>
      <c r="TYF45" s="10"/>
      <c r="TYG45" s="10"/>
      <c r="TYH45" s="10"/>
      <c r="TYI45" s="10"/>
      <c r="TYJ45" s="10"/>
      <c r="TYK45" s="10"/>
      <c r="TYL45" s="10"/>
      <c r="TYM45" s="10"/>
      <c r="TYN45" s="10"/>
      <c r="TYO45" s="10"/>
      <c r="TYP45" s="10"/>
      <c r="TYQ45" s="10"/>
      <c r="TYR45" s="10"/>
      <c r="TYS45" s="10"/>
      <c r="TYT45" s="10"/>
      <c r="TYU45" s="10"/>
      <c r="TYV45" s="10"/>
      <c r="TYW45" s="10"/>
      <c r="TYX45" s="10"/>
      <c r="TYY45" s="10"/>
      <c r="TYZ45" s="10"/>
      <c r="TZA45" s="10"/>
      <c r="TZB45" s="10"/>
      <c r="TZC45" s="10"/>
      <c r="TZD45" s="10"/>
      <c r="TZE45" s="10"/>
      <c r="TZF45" s="10"/>
      <c r="TZG45" s="10"/>
      <c r="TZH45" s="10"/>
      <c r="TZI45" s="10"/>
      <c r="TZJ45" s="10"/>
      <c r="TZK45" s="10"/>
      <c r="TZL45" s="10"/>
      <c r="TZM45" s="10"/>
      <c r="TZN45" s="10"/>
      <c r="TZO45" s="10"/>
      <c r="TZP45" s="10"/>
      <c r="TZQ45" s="10"/>
      <c r="TZR45" s="10"/>
      <c r="TZS45" s="10"/>
      <c r="TZT45" s="10"/>
      <c r="TZU45" s="10"/>
      <c r="TZV45" s="10"/>
      <c r="TZW45" s="10"/>
      <c r="TZX45" s="10"/>
      <c r="TZY45" s="10"/>
      <c r="TZZ45" s="10"/>
      <c r="UAA45" s="10"/>
      <c r="UAB45" s="10"/>
      <c r="UAC45" s="10"/>
      <c r="UAD45" s="10"/>
      <c r="UAE45" s="10"/>
      <c r="UAF45" s="10"/>
      <c r="UAG45" s="10"/>
      <c r="UAH45" s="10"/>
      <c r="UAI45" s="10"/>
      <c r="UAJ45" s="10"/>
      <c r="UAK45" s="10"/>
      <c r="UAL45" s="10"/>
      <c r="UAM45" s="10"/>
      <c r="UAN45" s="10"/>
      <c r="UAO45" s="10"/>
      <c r="UAP45" s="10"/>
      <c r="UAQ45" s="10"/>
      <c r="UAR45" s="10"/>
      <c r="UAS45" s="10"/>
      <c r="UAT45" s="10"/>
      <c r="UAU45" s="10"/>
      <c r="UAV45" s="10"/>
      <c r="UAW45" s="10"/>
      <c r="UAX45" s="10"/>
      <c r="UAY45" s="10"/>
      <c r="UAZ45" s="10"/>
      <c r="UBA45" s="10"/>
      <c r="UBB45" s="10"/>
      <c r="UBC45" s="10"/>
      <c r="UBD45" s="10"/>
      <c r="UBE45" s="10"/>
      <c r="UBF45" s="10"/>
      <c r="UBG45" s="10"/>
      <c r="UBH45" s="10"/>
      <c r="UBI45" s="10"/>
      <c r="UBJ45" s="10"/>
      <c r="UBK45" s="10"/>
      <c r="UBL45" s="10"/>
      <c r="UBM45" s="10"/>
      <c r="UBN45" s="10"/>
      <c r="UBO45" s="10"/>
      <c r="UBP45" s="10"/>
      <c r="UBQ45" s="10"/>
      <c r="UBR45" s="10"/>
      <c r="UBS45" s="10"/>
      <c r="UBT45" s="10"/>
      <c r="UBU45" s="10"/>
      <c r="UBV45" s="10"/>
      <c r="UBW45" s="10"/>
      <c r="UBX45" s="10"/>
      <c r="UBY45" s="10"/>
      <c r="UBZ45" s="10"/>
      <c r="UCA45" s="10"/>
      <c r="UCB45" s="10"/>
      <c r="UCC45" s="10"/>
      <c r="UCD45" s="10"/>
      <c r="UCE45" s="10"/>
      <c r="UCF45" s="10"/>
      <c r="UCG45" s="10"/>
      <c r="UCH45" s="10"/>
      <c r="UCI45" s="10"/>
      <c r="UCJ45" s="10"/>
      <c r="UCK45" s="10"/>
      <c r="UCL45" s="10"/>
      <c r="UCM45" s="10"/>
      <c r="UCN45" s="10"/>
      <c r="UCO45" s="10"/>
      <c r="UCP45" s="10"/>
      <c r="UCQ45" s="10"/>
      <c r="UCR45" s="10"/>
      <c r="UCS45" s="10"/>
      <c r="UCT45" s="10"/>
      <c r="UCU45" s="10"/>
      <c r="UCV45" s="10"/>
      <c r="UCW45" s="10"/>
      <c r="UCX45" s="10"/>
      <c r="UCY45" s="10"/>
      <c r="UCZ45" s="10"/>
      <c r="UDA45" s="10"/>
      <c r="UDB45" s="10"/>
      <c r="UDC45" s="10"/>
      <c r="UDD45" s="10"/>
      <c r="UDE45" s="10"/>
      <c r="UDF45" s="10"/>
      <c r="UDG45" s="10"/>
      <c r="UDH45" s="10"/>
      <c r="UDI45" s="10"/>
      <c r="UDJ45" s="10"/>
      <c r="UDK45" s="10"/>
      <c r="UDL45" s="10"/>
      <c r="UDM45" s="10"/>
      <c r="UDN45" s="10"/>
      <c r="UDO45" s="10"/>
      <c r="UDP45" s="10"/>
      <c r="UDQ45" s="10"/>
      <c r="UDR45" s="10"/>
      <c r="UDS45" s="10"/>
      <c r="UDT45" s="10"/>
      <c r="UDU45" s="10"/>
      <c r="UDV45" s="10"/>
      <c r="UDW45" s="10"/>
      <c r="UDX45" s="10"/>
      <c r="UDY45" s="10"/>
      <c r="UDZ45" s="10"/>
      <c r="UEA45" s="10"/>
      <c r="UEB45" s="10"/>
      <c r="UEC45" s="10"/>
      <c r="UED45" s="10"/>
      <c r="UEE45" s="10"/>
      <c r="UEF45" s="10"/>
      <c r="UEG45" s="10"/>
      <c r="UEH45" s="10"/>
      <c r="UEI45" s="10"/>
      <c r="UEJ45" s="10"/>
      <c r="UEK45" s="10"/>
      <c r="UEL45" s="10"/>
      <c r="UEM45" s="10"/>
      <c r="UEN45" s="10"/>
      <c r="UEO45" s="10"/>
      <c r="UEP45" s="10"/>
      <c r="UEQ45" s="10"/>
      <c r="UER45" s="10"/>
      <c r="UES45" s="10"/>
      <c r="UET45" s="10"/>
      <c r="UEU45" s="10"/>
      <c r="UEV45" s="10"/>
      <c r="UEW45" s="10"/>
      <c r="UEX45" s="10"/>
      <c r="UEY45" s="10"/>
      <c r="UEZ45" s="10"/>
      <c r="UFA45" s="10"/>
      <c r="UFB45" s="10"/>
      <c r="UFC45" s="10"/>
      <c r="UFD45" s="10"/>
      <c r="UFE45" s="10"/>
      <c r="UFF45" s="10"/>
      <c r="UFG45" s="10"/>
      <c r="UFH45" s="10"/>
      <c r="UFI45" s="10"/>
      <c r="UFJ45" s="10"/>
      <c r="UFK45" s="10"/>
      <c r="UFL45" s="10"/>
      <c r="UFM45" s="10"/>
      <c r="UFN45" s="10"/>
      <c r="UFO45" s="10"/>
      <c r="UFP45" s="10"/>
      <c r="UFQ45" s="10"/>
      <c r="UFR45" s="10"/>
      <c r="UFS45" s="10"/>
      <c r="UFT45" s="10"/>
      <c r="UFU45" s="10"/>
      <c r="UFV45" s="10"/>
      <c r="UFW45" s="10"/>
      <c r="UFX45" s="10"/>
      <c r="UFY45" s="10"/>
      <c r="UFZ45" s="10"/>
      <c r="UGA45" s="10"/>
      <c r="UGB45" s="10"/>
      <c r="UGC45" s="10"/>
      <c r="UGD45" s="10"/>
      <c r="UGE45" s="10"/>
      <c r="UGF45" s="10"/>
      <c r="UGG45" s="10"/>
      <c r="UGH45" s="10"/>
      <c r="UGI45" s="10"/>
      <c r="UGJ45" s="10"/>
      <c r="UGK45" s="10"/>
      <c r="UGL45" s="10"/>
      <c r="UGM45" s="10"/>
      <c r="UGN45" s="10"/>
      <c r="UGO45" s="10"/>
      <c r="UGP45" s="10"/>
      <c r="UGQ45" s="10"/>
      <c r="UGR45" s="10"/>
      <c r="UGS45" s="10"/>
      <c r="UGT45" s="10"/>
      <c r="UGU45" s="10"/>
      <c r="UGV45" s="10"/>
      <c r="UGW45" s="10"/>
      <c r="UGX45" s="10"/>
      <c r="UGY45" s="10"/>
      <c r="UGZ45" s="10"/>
      <c r="UHA45" s="10"/>
      <c r="UHB45" s="10"/>
      <c r="UHC45" s="10"/>
      <c r="UHD45" s="10"/>
      <c r="UHE45" s="10"/>
      <c r="UHF45" s="10"/>
      <c r="UHG45" s="10"/>
      <c r="UHH45" s="10"/>
      <c r="UHI45" s="10"/>
      <c r="UHJ45" s="10"/>
      <c r="UHK45" s="10"/>
      <c r="UHL45" s="10"/>
      <c r="UHM45" s="10"/>
      <c r="UHN45" s="10"/>
      <c r="UHO45" s="10"/>
      <c r="UHP45" s="10"/>
      <c r="UHQ45" s="10"/>
      <c r="UHR45" s="10"/>
      <c r="UHS45" s="10"/>
      <c r="UHT45" s="10"/>
      <c r="UHU45" s="10"/>
      <c r="UHV45" s="10"/>
      <c r="UHW45" s="10"/>
      <c r="UHX45" s="10"/>
      <c r="UHY45" s="10"/>
      <c r="UHZ45" s="10"/>
      <c r="UIA45" s="10"/>
      <c r="UIB45" s="10"/>
      <c r="UIC45" s="10"/>
      <c r="UID45" s="10"/>
      <c r="UIE45" s="10"/>
      <c r="UIF45" s="10"/>
      <c r="UIG45" s="10"/>
      <c r="UIH45" s="10"/>
      <c r="UII45" s="10"/>
      <c r="UIJ45" s="10"/>
      <c r="UIK45" s="10"/>
      <c r="UIL45" s="10"/>
      <c r="UIM45" s="10"/>
      <c r="UIN45" s="10"/>
      <c r="UIO45" s="10"/>
      <c r="UIP45" s="10"/>
      <c r="UIQ45" s="10"/>
      <c r="UIR45" s="10"/>
      <c r="UIS45" s="10"/>
      <c r="UIT45" s="10"/>
      <c r="UIU45" s="10"/>
      <c r="UIV45" s="10"/>
      <c r="UIW45" s="10"/>
      <c r="UIX45" s="10"/>
      <c r="UIY45" s="10"/>
      <c r="UIZ45" s="10"/>
      <c r="UJA45" s="10"/>
      <c r="UJB45" s="10"/>
      <c r="UJC45" s="10"/>
      <c r="UJD45" s="10"/>
      <c r="UJE45" s="10"/>
      <c r="UJF45" s="10"/>
      <c r="UJG45" s="10"/>
      <c r="UJH45" s="10"/>
      <c r="UJI45" s="10"/>
      <c r="UJJ45" s="10"/>
      <c r="UJK45" s="10"/>
      <c r="UJL45" s="10"/>
      <c r="UJM45" s="10"/>
      <c r="UJN45" s="10"/>
      <c r="UJO45" s="10"/>
      <c r="UJP45" s="10"/>
      <c r="UJQ45" s="10"/>
      <c r="UJR45" s="10"/>
      <c r="UJS45" s="10"/>
      <c r="UJT45" s="10"/>
      <c r="UJU45" s="10"/>
      <c r="UJV45" s="10"/>
      <c r="UJW45" s="10"/>
      <c r="UJX45" s="10"/>
      <c r="UJY45" s="10"/>
      <c r="UJZ45" s="10"/>
      <c r="UKA45" s="10"/>
      <c r="UKB45" s="10"/>
      <c r="UKC45" s="10"/>
      <c r="UKD45" s="10"/>
      <c r="UKE45" s="10"/>
      <c r="UKF45" s="10"/>
      <c r="UKG45" s="10"/>
      <c r="UKH45" s="10"/>
      <c r="UKI45" s="10"/>
      <c r="UKJ45" s="10"/>
      <c r="UKK45" s="10"/>
      <c r="UKL45" s="10"/>
      <c r="UKM45" s="10"/>
      <c r="UKN45" s="10"/>
      <c r="UKO45" s="10"/>
      <c r="UKP45" s="10"/>
      <c r="UKQ45" s="10"/>
      <c r="UKR45" s="10"/>
      <c r="UKS45" s="10"/>
      <c r="UKT45" s="10"/>
      <c r="UKU45" s="10"/>
      <c r="UKV45" s="10"/>
      <c r="UKW45" s="10"/>
      <c r="UKX45" s="10"/>
      <c r="UKY45" s="10"/>
      <c r="UKZ45" s="10"/>
      <c r="ULA45" s="10"/>
      <c r="ULB45" s="10"/>
      <c r="ULC45" s="10"/>
      <c r="ULD45" s="10"/>
      <c r="ULE45" s="10"/>
      <c r="ULF45" s="10"/>
      <c r="ULG45" s="10"/>
      <c r="ULH45" s="10"/>
      <c r="ULI45" s="10"/>
      <c r="ULJ45" s="10"/>
      <c r="ULK45" s="10"/>
      <c r="ULL45" s="10"/>
      <c r="ULM45" s="10"/>
      <c r="ULN45" s="10"/>
      <c r="ULO45" s="10"/>
      <c r="ULP45" s="10"/>
      <c r="ULQ45" s="10"/>
      <c r="ULR45" s="10"/>
      <c r="ULS45" s="10"/>
      <c r="ULT45" s="10"/>
      <c r="ULU45" s="10"/>
      <c r="ULV45" s="10"/>
      <c r="ULW45" s="10"/>
      <c r="ULX45" s="10"/>
      <c r="ULY45" s="10"/>
      <c r="ULZ45" s="10"/>
      <c r="UMA45" s="10"/>
      <c r="UMB45" s="10"/>
      <c r="UMC45" s="10"/>
      <c r="UMD45" s="10"/>
      <c r="UME45" s="10"/>
      <c r="UMF45" s="10"/>
      <c r="UMG45" s="10"/>
      <c r="UMH45" s="10"/>
      <c r="UMI45" s="10"/>
      <c r="UMJ45" s="10"/>
      <c r="UMK45" s="10"/>
      <c r="UML45" s="10"/>
      <c r="UMM45" s="10"/>
      <c r="UMN45" s="10"/>
      <c r="UMO45" s="10"/>
      <c r="UMP45" s="10"/>
      <c r="UMQ45" s="10"/>
      <c r="UMR45" s="10"/>
      <c r="UMS45" s="10"/>
      <c r="UMT45" s="10"/>
      <c r="UMU45" s="10"/>
      <c r="UMV45" s="10"/>
      <c r="UMW45" s="10"/>
      <c r="UMX45" s="10"/>
      <c r="UMY45" s="10"/>
      <c r="UMZ45" s="10"/>
      <c r="UNA45" s="10"/>
      <c r="UNB45" s="10"/>
      <c r="UNC45" s="10"/>
      <c r="UND45" s="10"/>
      <c r="UNE45" s="10"/>
      <c r="UNF45" s="10"/>
      <c r="UNG45" s="10"/>
      <c r="UNH45" s="10"/>
      <c r="UNI45" s="10"/>
      <c r="UNJ45" s="10"/>
      <c r="UNK45" s="10"/>
      <c r="UNL45" s="10"/>
      <c r="UNM45" s="10"/>
      <c r="UNN45" s="10"/>
      <c r="UNO45" s="10"/>
      <c r="UNP45" s="10"/>
      <c r="UNQ45" s="10"/>
      <c r="UNR45" s="10"/>
      <c r="UNS45" s="10"/>
      <c r="UNT45" s="10"/>
      <c r="UNU45" s="10"/>
      <c r="UNV45" s="10"/>
      <c r="UNW45" s="10"/>
      <c r="UNX45" s="10"/>
      <c r="UNY45" s="10"/>
      <c r="UNZ45" s="10"/>
      <c r="UOA45" s="10"/>
      <c r="UOB45" s="10"/>
      <c r="UOC45" s="10"/>
      <c r="UOD45" s="10"/>
      <c r="UOE45" s="10"/>
      <c r="UOF45" s="10"/>
      <c r="UOG45" s="10"/>
      <c r="UOH45" s="10"/>
      <c r="UOI45" s="10"/>
      <c r="UOJ45" s="10"/>
      <c r="UOK45" s="10"/>
      <c r="UOL45" s="10"/>
      <c r="UOM45" s="10"/>
      <c r="UON45" s="10"/>
      <c r="UOO45" s="10"/>
      <c r="UOP45" s="10"/>
      <c r="UOQ45" s="10"/>
      <c r="UOR45" s="10"/>
      <c r="UOS45" s="10"/>
      <c r="UOT45" s="10"/>
      <c r="UOU45" s="10"/>
      <c r="UOV45" s="10"/>
      <c r="UOW45" s="10"/>
      <c r="UOX45" s="10"/>
      <c r="UOY45" s="10"/>
      <c r="UOZ45" s="10"/>
      <c r="UPA45" s="10"/>
      <c r="UPB45" s="10"/>
      <c r="UPC45" s="10"/>
      <c r="UPD45" s="10"/>
      <c r="UPE45" s="10"/>
      <c r="UPF45" s="10"/>
      <c r="UPG45" s="10"/>
      <c r="UPH45" s="10"/>
      <c r="UPI45" s="10"/>
      <c r="UPJ45" s="10"/>
      <c r="UPK45" s="10"/>
      <c r="UPL45" s="10"/>
      <c r="UPM45" s="10"/>
      <c r="UPN45" s="10"/>
      <c r="UPO45" s="10"/>
      <c r="UPP45" s="10"/>
      <c r="UPQ45" s="10"/>
      <c r="UPR45" s="10"/>
      <c r="UPS45" s="10"/>
      <c r="UPT45" s="10"/>
      <c r="UPU45" s="10"/>
      <c r="UPV45" s="10"/>
      <c r="UPW45" s="10"/>
      <c r="UPX45" s="10"/>
      <c r="UPY45" s="10"/>
      <c r="UPZ45" s="10"/>
      <c r="UQA45" s="10"/>
      <c r="UQB45" s="10"/>
      <c r="UQC45" s="10"/>
      <c r="UQD45" s="10"/>
      <c r="UQE45" s="10"/>
      <c r="UQF45" s="10"/>
      <c r="UQG45" s="10"/>
      <c r="UQH45" s="10"/>
      <c r="UQI45" s="10"/>
      <c r="UQJ45" s="10"/>
      <c r="UQK45" s="10"/>
      <c r="UQL45" s="10"/>
      <c r="UQM45" s="10"/>
      <c r="UQN45" s="10"/>
      <c r="UQO45" s="10"/>
      <c r="UQP45" s="10"/>
      <c r="UQQ45" s="10"/>
      <c r="UQR45" s="10"/>
      <c r="UQS45" s="10"/>
      <c r="UQT45" s="10"/>
      <c r="UQU45" s="10"/>
      <c r="UQV45" s="10"/>
      <c r="UQW45" s="10"/>
      <c r="UQX45" s="10"/>
      <c r="UQY45" s="10"/>
      <c r="UQZ45" s="10"/>
      <c r="URA45" s="10"/>
      <c r="URB45" s="10"/>
      <c r="URC45" s="10"/>
      <c r="URD45" s="10"/>
      <c r="URE45" s="10"/>
      <c r="URF45" s="10"/>
      <c r="URG45" s="10"/>
      <c r="URH45" s="10"/>
      <c r="URI45" s="10"/>
      <c r="URJ45" s="10"/>
      <c r="URK45" s="10"/>
      <c r="URL45" s="10"/>
      <c r="URM45" s="10"/>
      <c r="URN45" s="10"/>
      <c r="URO45" s="10"/>
      <c r="URP45" s="10"/>
      <c r="URQ45" s="10"/>
      <c r="URR45" s="10"/>
      <c r="URS45" s="10"/>
      <c r="URT45" s="10"/>
      <c r="URU45" s="10"/>
      <c r="URV45" s="10"/>
      <c r="URW45" s="10"/>
      <c r="URX45" s="10"/>
      <c r="URY45" s="10"/>
      <c r="URZ45" s="10"/>
      <c r="USA45" s="10"/>
      <c r="USB45" s="10"/>
      <c r="USC45" s="10"/>
      <c r="USD45" s="10"/>
      <c r="USE45" s="10"/>
      <c r="USF45" s="10"/>
      <c r="USG45" s="10"/>
      <c r="USH45" s="10"/>
      <c r="USI45" s="10"/>
      <c r="USJ45" s="10"/>
      <c r="USK45" s="10"/>
      <c r="USL45" s="10"/>
      <c r="USM45" s="10"/>
      <c r="USN45" s="10"/>
      <c r="USO45" s="10"/>
      <c r="USP45" s="10"/>
      <c r="USQ45" s="10"/>
      <c r="USR45" s="10"/>
      <c r="USS45" s="10"/>
      <c r="UST45" s="10"/>
      <c r="USU45" s="10"/>
      <c r="USV45" s="10"/>
      <c r="USW45" s="10"/>
      <c r="USX45" s="10"/>
      <c r="USY45" s="10"/>
      <c r="USZ45" s="10"/>
      <c r="UTA45" s="10"/>
      <c r="UTB45" s="10"/>
      <c r="UTC45" s="10"/>
      <c r="UTD45" s="10"/>
      <c r="UTE45" s="10"/>
      <c r="UTF45" s="10"/>
      <c r="UTG45" s="10"/>
      <c r="UTH45" s="10"/>
      <c r="UTI45" s="10"/>
      <c r="UTJ45" s="10"/>
      <c r="UTK45" s="10"/>
      <c r="UTL45" s="10"/>
      <c r="UTM45" s="10"/>
      <c r="UTN45" s="10"/>
      <c r="UTO45" s="10"/>
      <c r="UTP45" s="10"/>
      <c r="UTQ45" s="10"/>
      <c r="UTR45" s="10"/>
      <c r="UTS45" s="10"/>
      <c r="UTT45" s="10"/>
      <c r="UTU45" s="10"/>
      <c r="UTV45" s="10"/>
      <c r="UTW45" s="10"/>
      <c r="UTX45" s="10"/>
      <c r="UTY45" s="10"/>
      <c r="UTZ45" s="10"/>
      <c r="UUA45" s="10"/>
      <c r="UUB45" s="10"/>
      <c r="UUC45" s="10"/>
      <c r="UUD45" s="10"/>
      <c r="UUE45" s="10"/>
      <c r="UUF45" s="10"/>
      <c r="UUG45" s="10"/>
      <c r="UUH45" s="10"/>
      <c r="UUI45" s="10"/>
      <c r="UUJ45" s="10"/>
      <c r="UUK45" s="10"/>
      <c r="UUL45" s="10"/>
      <c r="UUM45" s="10"/>
      <c r="UUN45" s="10"/>
      <c r="UUO45" s="10"/>
      <c r="UUP45" s="10"/>
      <c r="UUQ45" s="10"/>
      <c r="UUR45" s="10"/>
      <c r="UUS45" s="10"/>
      <c r="UUT45" s="10"/>
      <c r="UUU45" s="10"/>
      <c r="UUV45" s="10"/>
      <c r="UUW45" s="10"/>
      <c r="UUX45" s="10"/>
      <c r="UUY45" s="10"/>
      <c r="UUZ45" s="10"/>
      <c r="UVA45" s="10"/>
      <c r="UVB45" s="10"/>
      <c r="UVC45" s="10"/>
      <c r="UVD45" s="10"/>
      <c r="UVE45" s="10"/>
      <c r="UVF45" s="10"/>
      <c r="UVG45" s="10"/>
      <c r="UVH45" s="10"/>
      <c r="UVI45" s="10"/>
      <c r="UVJ45" s="10"/>
      <c r="UVK45" s="10"/>
      <c r="UVL45" s="10"/>
      <c r="UVM45" s="10"/>
      <c r="UVN45" s="10"/>
      <c r="UVO45" s="10"/>
      <c r="UVP45" s="10"/>
      <c r="UVQ45" s="10"/>
      <c r="UVR45" s="10"/>
      <c r="UVS45" s="10"/>
      <c r="UVT45" s="10"/>
      <c r="UVU45" s="10"/>
      <c r="UVV45" s="10"/>
      <c r="UVW45" s="10"/>
      <c r="UVX45" s="10"/>
      <c r="UVY45" s="10"/>
      <c r="UVZ45" s="10"/>
      <c r="UWA45" s="10"/>
      <c r="UWB45" s="10"/>
      <c r="UWC45" s="10"/>
      <c r="UWD45" s="10"/>
      <c r="UWE45" s="10"/>
      <c r="UWF45" s="10"/>
      <c r="UWG45" s="10"/>
      <c r="UWH45" s="10"/>
      <c r="UWI45" s="10"/>
      <c r="UWJ45" s="10"/>
      <c r="UWK45" s="10"/>
      <c r="UWL45" s="10"/>
      <c r="UWM45" s="10"/>
      <c r="UWN45" s="10"/>
      <c r="UWO45" s="10"/>
      <c r="UWP45" s="10"/>
      <c r="UWQ45" s="10"/>
      <c r="UWR45" s="10"/>
      <c r="UWS45" s="10"/>
      <c r="UWT45" s="10"/>
      <c r="UWU45" s="10"/>
      <c r="UWV45" s="10"/>
      <c r="UWW45" s="10"/>
      <c r="UWX45" s="10"/>
      <c r="UWY45" s="10"/>
      <c r="UWZ45" s="10"/>
      <c r="UXA45" s="10"/>
      <c r="UXB45" s="10"/>
      <c r="UXC45" s="10"/>
      <c r="UXD45" s="10"/>
      <c r="UXE45" s="10"/>
      <c r="UXF45" s="10"/>
      <c r="UXG45" s="10"/>
      <c r="UXH45" s="10"/>
      <c r="UXI45" s="10"/>
      <c r="UXJ45" s="10"/>
      <c r="UXK45" s="10"/>
      <c r="UXL45" s="10"/>
      <c r="UXM45" s="10"/>
      <c r="UXN45" s="10"/>
      <c r="UXO45" s="10"/>
      <c r="UXP45" s="10"/>
      <c r="UXQ45" s="10"/>
      <c r="UXR45" s="10"/>
      <c r="UXS45" s="10"/>
      <c r="UXT45" s="10"/>
      <c r="UXU45" s="10"/>
      <c r="UXV45" s="10"/>
      <c r="UXW45" s="10"/>
      <c r="UXX45" s="10"/>
      <c r="UXY45" s="10"/>
      <c r="UXZ45" s="10"/>
      <c r="UYA45" s="10"/>
      <c r="UYB45" s="10"/>
      <c r="UYC45" s="10"/>
      <c r="UYD45" s="10"/>
      <c r="UYE45" s="10"/>
      <c r="UYF45" s="10"/>
      <c r="UYG45" s="10"/>
      <c r="UYH45" s="10"/>
      <c r="UYI45" s="10"/>
      <c r="UYJ45" s="10"/>
      <c r="UYK45" s="10"/>
      <c r="UYL45" s="10"/>
      <c r="UYM45" s="10"/>
      <c r="UYN45" s="10"/>
      <c r="UYO45" s="10"/>
      <c r="UYP45" s="10"/>
      <c r="UYQ45" s="10"/>
      <c r="UYR45" s="10"/>
      <c r="UYS45" s="10"/>
      <c r="UYT45" s="10"/>
      <c r="UYU45" s="10"/>
      <c r="UYV45" s="10"/>
      <c r="UYW45" s="10"/>
      <c r="UYX45" s="10"/>
      <c r="UYY45" s="10"/>
      <c r="UYZ45" s="10"/>
      <c r="UZA45" s="10"/>
      <c r="UZB45" s="10"/>
      <c r="UZC45" s="10"/>
      <c r="UZD45" s="10"/>
      <c r="UZE45" s="10"/>
      <c r="UZF45" s="10"/>
      <c r="UZG45" s="10"/>
      <c r="UZH45" s="10"/>
      <c r="UZI45" s="10"/>
      <c r="UZJ45" s="10"/>
      <c r="UZK45" s="10"/>
      <c r="UZL45" s="10"/>
      <c r="UZM45" s="10"/>
      <c r="UZN45" s="10"/>
      <c r="UZO45" s="10"/>
      <c r="UZP45" s="10"/>
      <c r="UZQ45" s="10"/>
      <c r="UZR45" s="10"/>
      <c r="UZS45" s="10"/>
      <c r="UZT45" s="10"/>
      <c r="UZU45" s="10"/>
      <c r="UZV45" s="10"/>
      <c r="UZW45" s="10"/>
      <c r="UZX45" s="10"/>
      <c r="UZY45" s="10"/>
      <c r="UZZ45" s="10"/>
      <c r="VAA45" s="10"/>
      <c r="VAB45" s="10"/>
      <c r="VAC45" s="10"/>
      <c r="VAD45" s="10"/>
      <c r="VAE45" s="10"/>
      <c r="VAF45" s="10"/>
      <c r="VAG45" s="10"/>
      <c r="VAH45" s="10"/>
      <c r="VAI45" s="10"/>
      <c r="VAJ45" s="10"/>
      <c r="VAK45" s="10"/>
      <c r="VAL45" s="10"/>
      <c r="VAM45" s="10"/>
      <c r="VAN45" s="10"/>
      <c r="VAO45" s="10"/>
      <c r="VAP45" s="10"/>
      <c r="VAQ45" s="10"/>
      <c r="VAR45" s="10"/>
      <c r="VAS45" s="10"/>
      <c r="VAT45" s="10"/>
      <c r="VAU45" s="10"/>
      <c r="VAV45" s="10"/>
      <c r="VAW45" s="10"/>
      <c r="VAX45" s="10"/>
      <c r="VAY45" s="10"/>
      <c r="VAZ45" s="10"/>
      <c r="VBA45" s="10"/>
      <c r="VBB45" s="10"/>
      <c r="VBC45" s="10"/>
      <c r="VBD45" s="10"/>
      <c r="VBE45" s="10"/>
      <c r="VBF45" s="10"/>
      <c r="VBG45" s="10"/>
      <c r="VBH45" s="10"/>
      <c r="VBI45" s="10"/>
      <c r="VBJ45" s="10"/>
      <c r="VBK45" s="10"/>
      <c r="VBL45" s="10"/>
      <c r="VBM45" s="10"/>
      <c r="VBN45" s="10"/>
      <c r="VBO45" s="10"/>
      <c r="VBP45" s="10"/>
      <c r="VBQ45" s="10"/>
      <c r="VBR45" s="10"/>
      <c r="VBS45" s="10"/>
      <c r="VBT45" s="10"/>
      <c r="VBU45" s="10"/>
      <c r="VBV45" s="10"/>
      <c r="VBW45" s="10"/>
      <c r="VBX45" s="10"/>
      <c r="VBY45" s="10"/>
      <c r="VBZ45" s="10"/>
      <c r="VCA45" s="10"/>
      <c r="VCB45" s="10"/>
      <c r="VCC45" s="10"/>
      <c r="VCD45" s="10"/>
      <c r="VCE45" s="10"/>
      <c r="VCF45" s="10"/>
      <c r="VCG45" s="10"/>
      <c r="VCH45" s="10"/>
      <c r="VCI45" s="10"/>
      <c r="VCJ45" s="10"/>
      <c r="VCK45" s="10"/>
      <c r="VCL45" s="10"/>
      <c r="VCM45" s="10"/>
      <c r="VCN45" s="10"/>
      <c r="VCO45" s="10"/>
      <c r="VCP45" s="10"/>
      <c r="VCQ45" s="10"/>
      <c r="VCR45" s="10"/>
      <c r="VCS45" s="10"/>
      <c r="VCT45" s="10"/>
      <c r="VCU45" s="10"/>
      <c r="VCV45" s="10"/>
      <c r="VCW45" s="10"/>
      <c r="VCX45" s="10"/>
      <c r="VCY45" s="10"/>
      <c r="VCZ45" s="10"/>
      <c r="VDA45" s="10"/>
      <c r="VDB45" s="10"/>
      <c r="VDC45" s="10"/>
      <c r="VDD45" s="10"/>
      <c r="VDE45" s="10"/>
      <c r="VDF45" s="10"/>
      <c r="VDG45" s="10"/>
      <c r="VDH45" s="10"/>
      <c r="VDI45" s="10"/>
      <c r="VDJ45" s="10"/>
      <c r="VDK45" s="10"/>
      <c r="VDL45" s="10"/>
      <c r="VDM45" s="10"/>
      <c r="VDN45" s="10"/>
      <c r="VDO45" s="10"/>
      <c r="VDP45" s="10"/>
      <c r="VDQ45" s="10"/>
      <c r="VDR45" s="10"/>
      <c r="VDS45" s="10"/>
      <c r="VDT45" s="10"/>
      <c r="VDU45" s="10"/>
      <c r="VDV45" s="10"/>
      <c r="VDW45" s="10"/>
      <c r="VDX45" s="10"/>
      <c r="VDY45" s="10"/>
      <c r="VDZ45" s="10"/>
      <c r="VEA45" s="10"/>
      <c r="VEB45" s="10"/>
      <c r="VEC45" s="10"/>
      <c r="VED45" s="10"/>
      <c r="VEE45" s="10"/>
      <c r="VEF45" s="10"/>
      <c r="VEG45" s="10"/>
      <c r="VEH45" s="10"/>
      <c r="VEI45" s="10"/>
      <c r="VEJ45" s="10"/>
      <c r="VEK45" s="10"/>
      <c r="VEL45" s="10"/>
      <c r="VEM45" s="10"/>
      <c r="VEN45" s="10"/>
      <c r="VEO45" s="10"/>
      <c r="VEP45" s="10"/>
      <c r="VEQ45" s="10"/>
      <c r="VER45" s="10"/>
      <c r="VES45" s="10"/>
      <c r="VET45" s="10"/>
      <c r="VEU45" s="10"/>
      <c r="VEV45" s="10"/>
      <c r="VEW45" s="10"/>
      <c r="VEX45" s="10"/>
      <c r="VEY45" s="10"/>
      <c r="VEZ45" s="10"/>
      <c r="VFA45" s="10"/>
      <c r="VFB45" s="10"/>
      <c r="VFC45" s="10"/>
      <c r="VFD45" s="10"/>
      <c r="VFE45" s="10"/>
      <c r="VFF45" s="10"/>
      <c r="VFG45" s="10"/>
      <c r="VFH45" s="10"/>
      <c r="VFI45" s="10"/>
      <c r="VFJ45" s="10"/>
      <c r="VFK45" s="10"/>
      <c r="VFL45" s="10"/>
      <c r="VFM45" s="10"/>
      <c r="VFN45" s="10"/>
      <c r="VFO45" s="10"/>
      <c r="VFP45" s="10"/>
      <c r="VFQ45" s="10"/>
      <c r="VFR45" s="10"/>
      <c r="VFS45" s="10"/>
      <c r="VFT45" s="10"/>
      <c r="VFU45" s="10"/>
      <c r="VFV45" s="10"/>
      <c r="VFW45" s="10"/>
      <c r="VFX45" s="10"/>
      <c r="VFY45" s="10"/>
      <c r="VFZ45" s="10"/>
      <c r="VGA45" s="10"/>
      <c r="VGB45" s="10"/>
      <c r="VGC45" s="10"/>
      <c r="VGD45" s="10"/>
      <c r="VGE45" s="10"/>
      <c r="VGF45" s="10"/>
      <c r="VGG45" s="10"/>
      <c r="VGH45" s="10"/>
      <c r="VGI45" s="10"/>
      <c r="VGJ45" s="10"/>
      <c r="VGK45" s="10"/>
      <c r="VGL45" s="10"/>
      <c r="VGM45" s="10"/>
      <c r="VGN45" s="10"/>
      <c r="VGO45" s="10"/>
      <c r="VGP45" s="10"/>
      <c r="VGQ45" s="10"/>
      <c r="VGR45" s="10"/>
      <c r="VGS45" s="10"/>
      <c r="VGT45" s="10"/>
      <c r="VGU45" s="10"/>
      <c r="VGV45" s="10"/>
      <c r="VGW45" s="10"/>
      <c r="VGX45" s="10"/>
      <c r="VGY45" s="10"/>
      <c r="VGZ45" s="10"/>
      <c r="VHA45" s="10"/>
      <c r="VHB45" s="10"/>
      <c r="VHC45" s="10"/>
      <c r="VHD45" s="10"/>
      <c r="VHE45" s="10"/>
      <c r="VHF45" s="10"/>
      <c r="VHG45" s="10"/>
      <c r="VHH45" s="10"/>
      <c r="VHI45" s="10"/>
      <c r="VHJ45" s="10"/>
      <c r="VHK45" s="10"/>
      <c r="VHL45" s="10"/>
      <c r="VHM45" s="10"/>
      <c r="VHN45" s="10"/>
      <c r="VHO45" s="10"/>
      <c r="VHP45" s="10"/>
      <c r="VHQ45" s="10"/>
      <c r="VHR45" s="10"/>
      <c r="VHS45" s="10"/>
      <c r="VHT45" s="10"/>
      <c r="VHU45" s="10"/>
      <c r="VHV45" s="10"/>
      <c r="VHW45" s="10"/>
      <c r="VHX45" s="10"/>
      <c r="VHY45" s="10"/>
      <c r="VHZ45" s="10"/>
      <c r="VIA45" s="10"/>
      <c r="VIB45" s="10"/>
      <c r="VIC45" s="10"/>
      <c r="VID45" s="10"/>
      <c r="VIE45" s="10"/>
      <c r="VIF45" s="10"/>
      <c r="VIG45" s="10"/>
      <c r="VIH45" s="10"/>
      <c r="VII45" s="10"/>
      <c r="VIJ45" s="10"/>
      <c r="VIK45" s="10"/>
      <c r="VIL45" s="10"/>
      <c r="VIM45" s="10"/>
      <c r="VIN45" s="10"/>
      <c r="VIO45" s="10"/>
      <c r="VIP45" s="10"/>
      <c r="VIQ45" s="10"/>
      <c r="VIR45" s="10"/>
      <c r="VIS45" s="10"/>
      <c r="VIT45" s="10"/>
      <c r="VIU45" s="10"/>
      <c r="VIV45" s="10"/>
      <c r="VIW45" s="10"/>
      <c r="VIX45" s="10"/>
      <c r="VIY45" s="10"/>
      <c r="VIZ45" s="10"/>
      <c r="VJA45" s="10"/>
      <c r="VJB45" s="10"/>
      <c r="VJC45" s="10"/>
      <c r="VJD45" s="10"/>
      <c r="VJE45" s="10"/>
      <c r="VJF45" s="10"/>
      <c r="VJG45" s="10"/>
      <c r="VJH45" s="10"/>
      <c r="VJI45" s="10"/>
      <c r="VJJ45" s="10"/>
      <c r="VJK45" s="10"/>
      <c r="VJL45" s="10"/>
      <c r="VJM45" s="10"/>
      <c r="VJN45" s="10"/>
      <c r="VJO45" s="10"/>
      <c r="VJP45" s="10"/>
      <c r="VJQ45" s="10"/>
      <c r="VJR45" s="10"/>
      <c r="VJS45" s="10"/>
      <c r="VJT45" s="10"/>
      <c r="VJU45" s="10"/>
      <c r="VJV45" s="10"/>
      <c r="VJW45" s="10"/>
      <c r="VJX45" s="10"/>
      <c r="VJY45" s="10"/>
      <c r="VJZ45" s="10"/>
      <c r="VKA45" s="10"/>
      <c r="VKB45" s="10"/>
      <c r="VKC45" s="10"/>
      <c r="VKD45" s="10"/>
      <c r="VKE45" s="10"/>
      <c r="VKF45" s="10"/>
      <c r="VKG45" s="10"/>
      <c r="VKH45" s="10"/>
      <c r="VKI45" s="10"/>
      <c r="VKJ45" s="10"/>
      <c r="VKK45" s="10"/>
      <c r="VKL45" s="10"/>
      <c r="VKM45" s="10"/>
      <c r="VKN45" s="10"/>
      <c r="VKO45" s="10"/>
      <c r="VKP45" s="10"/>
      <c r="VKQ45" s="10"/>
      <c r="VKR45" s="10"/>
      <c r="VKS45" s="10"/>
      <c r="VKT45" s="10"/>
      <c r="VKU45" s="10"/>
      <c r="VKV45" s="10"/>
      <c r="VKW45" s="10"/>
      <c r="VKX45" s="10"/>
      <c r="VKY45" s="10"/>
      <c r="VKZ45" s="10"/>
      <c r="VLA45" s="10"/>
      <c r="VLB45" s="10"/>
      <c r="VLC45" s="10"/>
      <c r="VLD45" s="10"/>
      <c r="VLE45" s="10"/>
      <c r="VLF45" s="10"/>
      <c r="VLG45" s="10"/>
      <c r="VLH45" s="10"/>
      <c r="VLI45" s="10"/>
      <c r="VLJ45" s="10"/>
      <c r="VLK45" s="10"/>
      <c r="VLL45" s="10"/>
      <c r="VLM45" s="10"/>
      <c r="VLN45" s="10"/>
      <c r="VLO45" s="10"/>
      <c r="VLP45" s="10"/>
      <c r="VLQ45" s="10"/>
      <c r="VLR45" s="10"/>
      <c r="VLS45" s="10"/>
      <c r="VLT45" s="10"/>
      <c r="VLU45" s="10"/>
      <c r="VLV45" s="10"/>
      <c r="VLW45" s="10"/>
      <c r="VLX45" s="10"/>
      <c r="VLY45" s="10"/>
      <c r="VLZ45" s="10"/>
      <c r="VMA45" s="10"/>
      <c r="VMB45" s="10"/>
      <c r="VMC45" s="10"/>
      <c r="VMD45" s="10"/>
      <c r="VME45" s="10"/>
      <c r="VMF45" s="10"/>
      <c r="VMG45" s="10"/>
      <c r="VMH45" s="10"/>
      <c r="VMI45" s="10"/>
      <c r="VMJ45" s="10"/>
      <c r="VMK45" s="10"/>
      <c r="VML45" s="10"/>
      <c r="VMM45" s="10"/>
      <c r="VMN45" s="10"/>
      <c r="VMO45" s="10"/>
      <c r="VMP45" s="10"/>
      <c r="VMQ45" s="10"/>
      <c r="VMR45" s="10"/>
      <c r="VMS45" s="10"/>
      <c r="VMT45" s="10"/>
      <c r="VMU45" s="10"/>
      <c r="VMV45" s="10"/>
      <c r="VMW45" s="10"/>
      <c r="VMX45" s="10"/>
      <c r="VMY45" s="10"/>
      <c r="VMZ45" s="10"/>
      <c r="VNA45" s="10"/>
      <c r="VNB45" s="10"/>
      <c r="VNC45" s="10"/>
      <c r="VND45" s="10"/>
      <c r="VNE45" s="10"/>
      <c r="VNF45" s="10"/>
      <c r="VNG45" s="10"/>
      <c r="VNH45" s="10"/>
      <c r="VNI45" s="10"/>
      <c r="VNJ45" s="10"/>
      <c r="VNK45" s="10"/>
      <c r="VNL45" s="10"/>
      <c r="VNM45" s="10"/>
      <c r="VNN45" s="10"/>
      <c r="VNO45" s="10"/>
      <c r="VNP45" s="10"/>
      <c r="VNQ45" s="10"/>
      <c r="VNR45" s="10"/>
      <c r="VNS45" s="10"/>
      <c r="VNT45" s="10"/>
      <c r="VNU45" s="10"/>
      <c r="VNV45" s="10"/>
      <c r="VNW45" s="10"/>
      <c r="VNX45" s="10"/>
      <c r="VNY45" s="10"/>
      <c r="VNZ45" s="10"/>
      <c r="VOA45" s="10"/>
      <c r="VOB45" s="10"/>
      <c r="VOC45" s="10"/>
      <c r="VOD45" s="10"/>
      <c r="VOE45" s="10"/>
      <c r="VOF45" s="10"/>
      <c r="VOG45" s="10"/>
      <c r="VOH45" s="10"/>
      <c r="VOI45" s="10"/>
      <c r="VOJ45" s="10"/>
      <c r="VOK45" s="10"/>
      <c r="VOL45" s="10"/>
      <c r="VOM45" s="10"/>
      <c r="VON45" s="10"/>
      <c r="VOO45" s="10"/>
      <c r="VOP45" s="10"/>
      <c r="VOQ45" s="10"/>
      <c r="VOR45" s="10"/>
      <c r="VOS45" s="10"/>
      <c r="VOT45" s="10"/>
      <c r="VOU45" s="10"/>
      <c r="VOV45" s="10"/>
      <c r="VOW45" s="10"/>
      <c r="VOX45" s="10"/>
      <c r="VOY45" s="10"/>
      <c r="VOZ45" s="10"/>
      <c r="VPA45" s="10"/>
      <c r="VPB45" s="10"/>
      <c r="VPC45" s="10"/>
      <c r="VPD45" s="10"/>
      <c r="VPE45" s="10"/>
      <c r="VPF45" s="10"/>
      <c r="VPG45" s="10"/>
      <c r="VPH45" s="10"/>
      <c r="VPI45" s="10"/>
      <c r="VPJ45" s="10"/>
      <c r="VPK45" s="10"/>
      <c r="VPL45" s="10"/>
      <c r="VPM45" s="10"/>
      <c r="VPN45" s="10"/>
      <c r="VPO45" s="10"/>
      <c r="VPP45" s="10"/>
      <c r="VPQ45" s="10"/>
      <c r="VPR45" s="10"/>
      <c r="VPS45" s="10"/>
      <c r="VPT45" s="10"/>
      <c r="VPU45" s="10"/>
      <c r="VPV45" s="10"/>
      <c r="VPW45" s="10"/>
      <c r="VPX45" s="10"/>
      <c r="VPY45" s="10"/>
      <c r="VPZ45" s="10"/>
      <c r="VQA45" s="10"/>
      <c r="VQB45" s="10"/>
      <c r="VQC45" s="10"/>
      <c r="VQD45" s="10"/>
      <c r="VQE45" s="10"/>
      <c r="VQF45" s="10"/>
      <c r="VQG45" s="10"/>
      <c r="VQH45" s="10"/>
      <c r="VQI45" s="10"/>
      <c r="VQJ45" s="10"/>
      <c r="VQK45" s="10"/>
      <c r="VQL45" s="10"/>
      <c r="VQM45" s="10"/>
      <c r="VQN45" s="10"/>
      <c r="VQO45" s="10"/>
      <c r="VQP45" s="10"/>
      <c r="VQQ45" s="10"/>
      <c r="VQR45" s="10"/>
      <c r="VQS45" s="10"/>
      <c r="VQT45" s="10"/>
      <c r="VQU45" s="10"/>
      <c r="VQV45" s="10"/>
      <c r="VQW45" s="10"/>
      <c r="VQX45" s="10"/>
      <c r="VQY45" s="10"/>
      <c r="VQZ45" s="10"/>
      <c r="VRA45" s="10"/>
      <c r="VRB45" s="10"/>
      <c r="VRC45" s="10"/>
      <c r="VRD45" s="10"/>
      <c r="VRE45" s="10"/>
      <c r="VRF45" s="10"/>
      <c r="VRG45" s="10"/>
      <c r="VRH45" s="10"/>
      <c r="VRI45" s="10"/>
      <c r="VRJ45" s="10"/>
      <c r="VRK45" s="10"/>
      <c r="VRL45" s="10"/>
      <c r="VRM45" s="10"/>
      <c r="VRN45" s="10"/>
      <c r="VRO45" s="10"/>
      <c r="VRP45" s="10"/>
      <c r="VRQ45" s="10"/>
      <c r="VRR45" s="10"/>
      <c r="VRS45" s="10"/>
      <c r="VRT45" s="10"/>
      <c r="VRU45" s="10"/>
      <c r="VRV45" s="10"/>
      <c r="VRW45" s="10"/>
      <c r="VRX45" s="10"/>
      <c r="VRY45" s="10"/>
      <c r="VRZ45" s="10"/>
      <c r="VSA45" s="10"/>
      <c r="VSB45" s="10"/>
      <c r="VSC45" s="10"/>
      <c r="VSD45" s="10"/>
      <c r="VSE45" s="10"/>
      <c r="VSF45" s="10"/>
      <c r="VSG45" s="10"/>
      <c r="VSH45" s="10"/>
      <c r="VSI45" s="10"/>
      <c r="VSJ45" s="10"/>
      <c r="VSK45" s="10"/>
      <c r="VSL45" s="10"/>
      <c r="VSM45" s="10"/>
      <c r="VSN45" s="10"/>
      <c r="VSO45" s="10"/>
      <c r="VSP45" s="10"/>
      <c r="VSQ45" s="10"/>
      <c r="VSR45" s="10"/>
      <c r="VSS45" s="10"/>
      <c r="VST45" s="10"/>
      <c r="VSU45" s="10"/>
      <c r="VSV45" s="10"/>
      <c r="VSW45" s="10"/>
      <c r="VSX45" s="10"/>
      <c r="VSY45" s="10"/>
      <c r="VSZ45" s="10"/>
      <c r="VTA45" s="10"/>
      <c r="VTB45" s="10"/>
      <c r="VTC45" s="10"/>
      <c r="VTD45" s="10"/>
      <c r="VTE45" s="10"/>
      <c r="VTF45" s="10"/>
      <c r="VTG45" s="10"/>
      <c r="VTH45" s="10"/>
      <c r="VTI45" s="10"/>
      <c r="VTJ45" s="10"/>
      <c r="VTK45" s="10"/>
      <c r="VTL45" s="10"/>
      <c r="VTM45" s="10"/>
      <c r="VTN45" s="10"/>
      <c r="VTO45" s="10"/>
      <c r="VTP45" s="10"/>
      <c r="VTQ45" s="10"/>
      <c r="VTR45" s="10"/>
      <c r="VTS45" s="10"/>
      <c r="VTT45" s="10"/>
      <c r="VTU45" s="10"/>
      <c r="VTV45" s="10"/>
      <c r="VTW45" s="10"/>
      <c r="VTX45" s="10"/>
      <c r="VTY45" s="10"/>
      <c r="VTZ45" s="10"/>
      <c r="VUA45" s="10"/>
      <c r="VUB45" s="10"/>
      <c r="VUC45" s="10"/>
      <c r="VUD45" s="10"/>
      <c r="VUE45" s="10"/>
      <c r="VUF45" s="10"/>
      <c r="VUG45" s="10"/>
      <c r="VUH45" s="10"/>
      <c r="VUI45" s="10"/>
      <c r="VUJ45" s="10"/>
      <c r="VUK45" s="10"/>
      <c r="VUL45" s="10"/>
      <c r="VUM45" s="10"/>
      <c r="VUN45" s="10"/>
      <c r="VUO45" s="10"/>
      <c r="VUP45" s="10"/>
      <c r="VUQ45" s="10"/>
      <c r="VUR45" s="10"/>
      <c r="VUS45" s="10"/>
      <c r="VUT45" s="10"/>
      <c r="VUU45" s="10"/>
      <c r="VUV45" s="10"/>
      <c r="VUW45" s="10"/>
      <c r="VUX45" s="10"/>
      <c r="VUY45" s="10"/>
      <c r="VUZ45" s="10"/>
      <c r="VVA45" s="10"/>
      <c r="VVB45" s="10"/>
      <c r="VVC45" s="10"/>
      <c r="VVD45" s="10"/>
      <c r="VVE45" s="10"/>
      <c r="VVF45" s="10"/>
      <c r="VVG45" s="10"/>
      <c r="VVH45" s="10"/>
      <c r="VVI45" s="10"/>
      <c r="VVJ45" s="10"/>
      <c r="VVK45" s="10"/>
      <c r="VVL45" s="10"/>
      <c r="VVM45" s="10"/>
      <c r="VVN45" s="10"/>
      <c r="VVO45" s="10"/>
      <c r="VVP45" s="10"/>
      <c r="VVQ45" s="10"/>
      <c r="VVR45" s="10"/>
      <c r="VVS45" s="10"/>
      <c r="VVT45" s="10"/>
      <c r="VVU45" s="10"/>
      <c r="VVV45" s="10"/>
      <c r="VVW45" s="10"/>
      <c r="VVX45" s="10"/>
      <c r="VVY45" s="10"/>
      <c r="VVZ45" s="10"/>
      <c r="VWA45" s="10"/>
      <c r="VWB45" s="10"/>
      <c r="VWC45" s="10"/>
      <c r="VWD45" s="10"/>
      <c r="VWE45" s="10"/>
      <c r="VWF45" s="10"/>
      <c r="VWG45" s="10"/>
      <c r="VWH45" s="10"/>
      <c r="VWI45" s="10"/>
      <c r="VWJ45" s="10"/>
      <c r="VWK45" s="10"/>
      <c r="VWL45" s="10"/>
      <c r="VWM45" s="10"/>
      <c r="VWN45" s="10"/>
      <c r="VWO45" s="10"/>
      <c r="VWP45" s="10"/>
      <c r="VWQ45" s="10"/>
      <c r="VWR45" s="10"/>
      <c r="VWS45" s="10"/>
      <c r="VWT45" s="10"/>
      <c r="VWU45" s="10"/>
      <c r="VWV45" s="10"/>
      <c r="VWW45" s="10"/>
      <c r="VWX45" s="10"/>
      <c r="VWY45" s="10"/>
      <c r="VWZ45" s="10"/>
      <c r="VXA45" s="10"/>
      <c r="VXB45" s="10"/>
      <c r="VXC45" s="10"/>
      <c r="VXD45" s="10"/>
      <c r="VXE45" s="10"/>
      <c r="VXF45" s="10"/>
      <c r="VXG45" s="10"/>
      <c r="VXH45" s="10"/>
      <c r="VXI45" s="10"/>
      <c r="VXJ45" s="10"/>
      <c r="VXK45" s="10"/>
      <c r="VXL45" s="10"/>
      <c r="VXM45" s="10"/>
      <c r="VXN45" s="10"/>
      <c r="VXO45" s="10"/>
      <c r="VXP45" s="10"/>
      <c r="VXQ45" s="10"/>
      <c r="VXR45" s="10"/>
      <c r="VXS45" s="10"/>
      <c r="VXT45" s="10"/>
      <c r="VXU45" s="10"/>
      <c r="VXV45" s="10"/>
      <c r="VXW45" s="10"/>
      <c r="VXX45" s="10"/>
      <c r="VXY45" s="10"/>
      <c r="VXZ45" s="10"/>
      <c r="VYA45" s="10"/>
      <c r="VYB45" s="10"/>
      <c r="VYC45" s="10"/>
      <c r="VYD45" s="10"/>
      <c r="VYE45" s="10"/>
      <c r="VYF45" s="10"/>
      <c r="VYG45" s="10"/>
      <c r="VYH45" s="10"/>
      <c r="VYI45" s="10"/>
      <c r="VYJ45" s="10"/>
      <c r="VYK45" s="10"/>
      <c r="VYL45" s="10"/>
      <c r="VYM45" s="10"/>
      <c r="VYN45" s="10"/>
      <c r="VYO45" s="10"/>
      <c r="VYP45" s="10"/>
      <c r="VYQ45" s="10"/>
      <c r="VYR45" s="10"/>
      <c r="VYS45" s="10"/>
      <c r="VYT45" s="10"/>
      <c r="VYU45" s="10"/>
      <c r="VYV45" s="10"/>
      <c r="VYW45" s="10"/>
      <c r="VYX45" s="10"/>
      <c r="VYY45" s="10"/>
      <c r="VYZ45" s="10"/>
      <c r="VZA45" s="10"/>
      <c r="VZB45" s="10"/>
      <c r="VZC45" s="10"/>
      <c r="VZD45" s="10"/>
      <c r="VZE45" s="10"/>
      <c r="VZF45" s="10"/>
      <c r="VZG45" s="10"/>
      <c r="VZH45" s="10"/>
      <c r="VZI45" s="10"/>
      <c r="VZJ45" s="10"/>
      <c r="VZK45" s="10"/>
      <c r="VZL45" s="10"/>
      <c r="VZM45" s="10"/>
      <c r="VZN45" s="10"/>
      <c r="VZO45" s="10"/>
      <c r="VZP45" s="10"/>
      <c r="VZQ45" s="10"/>
      <c r="VZR45" s="10"/>
      <c r="VZS45" s="10"/>
      <c r="VZT45" s="10"/>
      <c r="VZU45" s="10"/>
      <c r="VZV45" s="10"/>
      <c r="VZW45" s="10"/>
      <c r="VZX45" s="10"/>
      <c r="VZY45" s="10"/>
      <c r="VZZ45" s="10"/>
      <c r="WAA45" s="10"/>
      <c r="WAB45" s="10"/>
      <c r="WAC45" s="10"/>
      <c r="WAD45" s="10"/>
      <c r="WAE45" s="10"/>
      <c r="WAF45" s="10"/>
      <c r="WAG45" s="10"/>
      <c r="WAH45" s="10"/>
      <c r="WAI45" s="10"/>
      <c r="WAJ45" s="10"/>
      <c r="WAK45" s="10"/>
      <c r="WAL45" s="10"/>
      <c r="WAM45" s="10"/>
      <c r="WAN45" s="10"/>
      <c r="WAO45" s="10"/>
      <c r="WAP45" s="10"/>
      <c r="WAQ45" s="10"/>
      <c r="WAR45" s="10"/>
      <c r="WAS45" s="10"/>
      <c r="WAT45" s="10"/>
      <c r="WAU45" s="10"/>
      <c r="WAV45" s="10"/>
      <c r="WAW45" s="10"/>
      <c r="WAX45" s="10"/>
      <c r="WAY45" s="10"/>
      <c r="WAZ45" s="10"/>
      <c r="WBA45" s="10"/>
      <c r="WBB45" s="10"/>
      <c r="WBC45" s="10"/>
      <c r="WBD45" s="10"/>
      <c r="WBE45" s="10"/>
      <c r="WBF45" s="10"/>
      <c r="WBG45" s="10"/>
      <c r="WBH45" s="10"/>
      <c r="WBI45" s="10"/>
      <c r="WBJ45" s="10"/>
      <c r="WBK45" s="10"/>
      <c r="WBL45" s="10"/>
      <c r="WBM45" s="10"/>
      <c r="WBN45" s="10"/>
      <c r="WBO45" s="10"/>
      <c r="WBP45" s="10"/>
      <c r="WBQ45" s="10"/>
      <c r="WBR45" s="10"/>
      <c r="WBS45" s="10"/>
      <c r="WBT45" s="10"/>
      <c r="WBU45" s="10"/>
      <c r="WBV45" s="10"/>
      <c r="WBW45" s="10"/>
      <c r="WBX45" s="10"/>
      <c r="WBY45" s="10"/>
      <c r="WBZ45" s="10"/>
      <c r="WCA45" s="10"/>
      <c r="WCB45" s="10"/>
      <c r="WCC45" s="10"/>
      <c r="WCD45" s="10"/>
      <c r="WCE45" s="10"/>
      <c r="WCF45" s="10"/>
      <c r="WCG45" s="10"/>
      <c r="WCH45" s="10"/>
      <c r="WCI45" s="10"/>
      <c r="WCJ45" s="10"/>
      <c r="WCK45" s="10"/>
      <c r="WCL45" s="10"/>
      <c r="WCM45" s="10"/>
      <c r="WCN45" s="10"/>
      <c r="WCO45" s="10"/>
      <c r="WCP45" s="10"/>
      <c r="WCQ45" s="10"/>
      <c r="WCR45" s="10"/>
      <c r="WCS45" s="10"/>
      <c r="WCT45" s="10"/>
      <c r="WCU45" s="10"/>
      <c r="WCV45" s="10"/>
      <c r="WCW45" s="10"/>
      <c r="WCX45" s="10"/>
      <c r="WCY45" s="10"/>
      <c r="WCZ45" s="10"/>
      <c r="WDA45" s="10"/>
      <c r="WDB45" s="10"/>
      <c r="WDC45" s="10"/>
      <c r="WDD45" s="10"/>
      <c r="WDE45" s="10"/>
      <c r="WDF45" s="10"/>
      <c r="WDG45" s="10"/>
      <c r="WDH45" s="10"/>
      <c r="WDI45" s="10"/>
      <c r="WDJ45" s="10"/>
      <c r="WDK45" s="10"/>
      <c r="WDL45" s="10"/>
      <c r="WDM45" s="10"/>
      <c r="WDN45" s="10"/>
      <c r="WDO45" s="10"/>
      <c r="WDP45" s="10"/>
      <c r="WDQ45" s="10"/>
      <c r="WDR45" s="10"/>
      <c r="WDS45" s="10"/>
      <c r="WDT45" s="10"/>
      <c r="WDU45" s="10"/>
      <c r="WDV45" s="10"/>
      <c r="WDW45" s="10"/>
      <c r="WDX45" s="10"/>
      <c r="WDY45" s="10"/>
      <c r="WDZ45" s="10"/>
      <c r="WEA45" s="10"/>
      <c r="WEB45" s="10"/>
      <c r="WEC45" s="10"/>
      <c r="WED45" s="10"/>
      <c r="WEE45" s="10"/>
      <c r="WEF45" s="10"/>
      <c r="WEG45" s="10"/>
      <c r="WEH45" s="10"/>
      <c r="WEI45" s="10"/>
      <c r="WEJ45" s="10"/>
      <c r="WEK45" s="10"/>
      <c r="WEL45" s="10"/>
      <c r="WEM45" s="10"/>
      <c r="WEN45" s="10"/>
      <c r="WEO45" s="10"/>
      <c r="WEP45" s="10"/>
      <c r="WEQ45" s="10"/>
      <c r="WER45" s="10"/>
      <c r="WES45" s="10"/>
      <c r="WET45" s="10"/>
      <c r="WEU45" s="10"/>
      <c r="WEV45" s="10"/>
      <c r="WEW45" s="10"/>
      <c r="WEX45" s="10"/>
      <c r="WEY45" s="10"/>
      <c r="WEZ45" s="10"/>
      <c r="WFA45" s="10"/>
      <c r="WFB45" s="10"/>
      <c r="WFC45" s="10"/>
      <c r="WFD45" s="10"/>
      <c r="WFE45" s="10"/>
      <c r="WFF45" s="10"/>
      <c r="WFG45" s="10"/>
      <c r="WFH45" s="10"/>
      <c r="WFI45" s="10"/>
      <c r="WFJ45" s="10"/>
      <c r="WFK45" s="10"/>
      <c r="WFL45" s="10"/>
      <c r="WFM45" s="10"/>
      <c r="WFN45" s="10"/>
      <c r="WFO45" s="10"/>
      <c r="WFP45" s="10"/>
      <c r="WFQ45" s="10"/>
      <c r="WFR45" s="10"/>
      <c r="WFS45" s="10"/>
      <c r="WFT45" s="10"/>
      <c r="WFU45" s="10"/>
      <c r="WFV45" s="10"/>
      <c r="WFW45" s="10"/>
      <c r="WFX45" s="10"/>
      <c r="WFY45" s="10"/>
      <c r="WFZ45" s="10"/>
      <c r="WGA45" s="10"/>
      <c r="WGB45" s="10"/>
      <c r="WGC45" s="10"/>
      <c r="WGD45" s="10"/>
      <c r="WGE45" s="10"/>
      <c r="WGF45" s="10"/>
      <c r="WGG45" s="10"/>
      <c r="WGH45" s="10"/>
      <c r="WGI45" s="10"/>
      <c r="WGJ45" s="10"/>
      <c r="WGK45" s="10"/>
      <c r="WGL45" s="10"/>
      <c r="WGM45" s="10"/>
      <c r="WGN45" s="10"/>
      <c r="WGO45" s="10"/>
      <c r="WGP45" s="10"/>
      <c r="WGQ45" s="10"/>
      <c r="WGR45" s="10"/>
      <c r="WGS45" s="10"/>
      <c r="WGT45" s="10"/>
      <c r="WGU45" s="10"/>
      <c r="WGV45" s="10"/>
      <c r="WGW45" s="10"/>
      <c r="WGX45" s="10"/>
      <c r="WGY45" s="10"/>
      <c r="WGZ45" s="10"/>
      <c r="WHA45" s="10"/>
      <c r="WHB45" s="10"/>
      <c r="WHC45" s="10"/>
      <c r="WHD45" s="10"/>
      <c r="WHE45" s="10"/>
      <c r="WHF45" s="10"/>
      <c r="WHG45" s="10"/>
      <c r="WHH45" s="10"/>
      <c r="WHI45" s="10"/>
      <c r="WHJ45" s="10"/>
      <c r="WHK45" s="10"/>
      <c r="WHL45" s="10"/>
      <c r="WHM45" s="10"/>
      <c r="WHN45" s="10"/>
      <c r="WHO45" s="10"/>
      <c r="WHP45" s="10"/>
      <c r="WHQ45" s="10"/>
      <c r="WHR45" s="10"/>
      <c r="WHS45" s="10"/>
      <c r="WHT45" s="10"/>
      <c r="WHU45" s="10"/>
      <c r="WHV45" s="10"/>
      <c r="WHW45" s="10"/>
      <c r="WHX45" s="10"/>
      <c r="WHY45" s="10"/>
      <c r="WHZ45" s="10"/>
      <c r="WIA45" s="10"/>
      <c r="WIB45" s="10"/>
      <c r="WIC45" s="10"/>
      <c r="WID45" s="10"/>
      <c r="WIE45" s="10"/>
      <c r="WIF45" s="10"/>
      <c r="WIG45" s="10"/>
      <c r="WIH45" s="10"/>
      <c r="WII45" s="10"/>
      <c r="WIJ45" s="10"/>
      <c r="WIK45" s="10"/>
      <c r="WIL45" s="10"/>
      <c r="WIM45" s="10"/>
      <c r="WIN45" s="10"/>
      <c r="WIO45" s="10"/>
      <c r="WIP45" s="10"/>
      <c r="WIQ45" s="10"/>
      <c r="WIR45" s="10"/>
      <c r="WIS45" s="10"/>
      <c r="WIT45" s="10"/>
      <c r="WIU45" s="10"/>
      <c r="WIV45" s="10"/>
      <c r="WIW45" s="10"/>
      <c r="WIX45" s="10"/>
      <c r="WIY45" s="10"/>
      <c r="WIZ45" s="10"/>
      <c r="WJA45" s="10"/>
      <c r="WJB45" s="10"/>
      <c r="WJC45" s="10"/>
      <c r="WJD45" s="10"/>
      <c r="WJE45" s="10"/>
      <c r="WJF45" s="10"/>
      <c r="WJG45" s="10"/>
      <c r="WJH45" s="10"/>
      <c r="WJI45" s="10"/>
      <c r="WJJ45" s="10"/>
      <c r="WJK45" s="10"/>
      <c r="WJL45" s="10"/>
      <c r="WJM45" s="10"/>
      <c r="WJN45" s="10"/>
      <c r="WJO45" s="10"/>
      <c r="WJP45" s="10"/>
      <c r="WJQ45" s="10"/>
      <c r="WJR45" s="10"/>
      <c r="WJS45" s="10"/>
      <c r="WJT45" s="10"/>
      <c r="WJU45" s="10"/>
      <c r="WJV45" s="10"/>
      <c r="WJW45" s="10"/>
      <c r="WJX45" s="10"/>
      <c r="WJY45" s="10"/>
      <c r="WJZ45" s="10"/>
      <c r="WKA45" s="10"/>
      <c r="WKB45" s="10"/>
      <c r="WKC45" s="10"/>
      <c r="WKD45" s="10"/>
      <c r="WKE45" s="10"/>
      <c r="WKF45" s="10"/>
      <c r="WKG45" s="10"/>
      <c r="WKH45" s="10"/>
      <c r="WKI45" s="10"/>
      <c r="WKJ45" s="10"/>
      <c r="WKK45" s="10"/>
      <c r="WKL45" s="10"/>
      <c r="WKM45" s="10"/>
      <c r="WKN45" s="10"/>
      <c r="WKO45" s="10"/>
      <c r="WKP45" s="10"/>
      <c r="WKQ45" s="10"/>
      <c r="WKR45" s="10"/>
      <c r="WKS45" s="10"/>
      <c r="WKT45" s="10"/>
      <c r="WKU45" s="10"/>
      <c r="WKV45" s="10"/>
      <c r="WKW45" s="10"/>
      <c r="WKX45" s="10"/>
      <c r="WKY45" s="10"/>
      <c r="WKZ45" s="10"/>
      <c r="WLA45" s="10"/>
      <c r="WLB45" s="10"/>
      <c r="WLC45" s="10"/>
      <c r="WLD45" s="10"/>
      <c r="WLE45" s="10"/>
      <c r="WLF45" s="10"/>
      <c r="WLG45" s="10"/>
      <c r="WLH45" s="10"/>
      <c r="WLI45" s="10"/>
      <c r="WLJ45" s="10"/>
      <c r="WLK45" s="10"/>
      <c r="WLL45" s="10"/>
      <c r="WLM45" s="10"/>
      <c r="WLN45" s="10"/>
      <c r="WLO45" s="10"/>
      <c r="WLP45" s="10"/>
      <c r="WLQ45" s="10"/>
      <c r="WLR45" s="10"/>
      <c r="WLS45" s="10"/>
      <c r="WLT45" s="10"/>
      <c r="WLU45" s="10"/>
      <c r="WLV45" s="10"/>
      <c r="WLW45" s="10"/>
      <c r="WLX45" s="10"/>
      <c r="WLY45" s="10"/>
      <c r="WLZ45" s="10"/>
      <c r="WMA45" s="10"/>
      <c r="WMB45" s="10"/>
      <c r="WMC45" s="10"/>
      <c r="WMD45" s="10"/>
      <c r="WME45" s="10"/>
      <c r="WMF45" s="10"/>
      <c r="WMG45" s="10"/>
      <c r="WMH45" s="10"/>
      <c r="WMI45" s="10"/>
      <c r="WMJ45" s="10"/>
      <c r="WMK45" s="10"/>
      <c r="WML45" s="10"/>
      <c r="WMM45" s="10"/>
      <c r="WMN45" s="10"/>
      <c r="WMO45" s="10"/>
      <c r="WMP45" s="10"/>
      <c r="WMQ45" s="10"/>
      <c r="WMR45" s="10"/>
      <c r="WMS45" s="10"/>
      <c r="WMT45" s="10"/>
      <c r="WMU45" s="10"/>
      <c r="WMV45" s="10"/>
      <c r="WMW45" s="10"/>
      <c r="WMX45" s="10"/>
      <c r="WMY45" s="10"/>
      <c r="WMZ45" s="10"/>
      <c r="WNA45" s="10"/>
      <c r="WNB45" s="10"/>
      <c r="WNC45" s="10"/>
      <c r="WND45" s="10"/>
      <c r="WNE45" s="10"/>
      <c r="WNF45" s="10"/>
      <c r="WNG45" s="10"/>
      <c r="WNH45" s="10"/>
      <c r="WNI45" s="10"/>
      <c r="WNJ45" s="10"/>
      <c r="WNK45" s="10"/>
      <c r="WNL45" s="10"/>
      <c r="WNM45" s="10"/>
      <c r="WNN45" s="10"/>
      <c r="WNO45" s="10"/>
      <c r="WNP45" s="10"/>
      <c r="WNQ45" s="10"/>
      <c r="WNR45" s="10"/>
      <c r="WNS45" s="10"/>
      <c r="WNT45" s="10"/>
      <c r="WNU45" s="10"/>
      <c r="WNV45" s="10"/>
      <c r="WNW45" s="10"/>
      <c r="WNX45" s="10"/>
      <c r="WNY45" s="10"/>
      <c r="WNZ45" s="10"/>
      <c r="WOA45" s="10"/>
      <c r="WOB45" s="10"/>
      <c r="WOC45" s="10"/>
      <c r="WOD45" s="10"/>
      <c r="WOE45" s="10"/>
      <c r="WOF45" s="10"/>
      <c r="WOG45" s="10"/>
      <c r="WOH45" s="10"/>
      <c r="WOI45" s="10"/>
      <c r="WOJ45" s="10"/>
      <c r="WOK45" s="10"/>
      <c r="WOL45" s="10"/>
      <c r="WOM45" s="10"/>
      <c r="WON45" s="10"/>
      <c r="WOO45" s="10"/>
      <c r="WOP45" s="10"/>
      <c r="WOQ45" s="10"/>
      <c r="WOR45" s="10"/>
      <c r="WOS45" s="10"/>
      <c r="WOT45" s="10"/>
      <c r="WOU45" s="10"/>
      <c r="WOV45" s="10"/>
      <c r="WOW45" s="10"/>
      <c r="WOX45" s="10"/>
      <c r="WOY45" s="10"/>
      <c r="WOZ45" s="10"/>
      <c r="WPA45" s="10"/>
      <c r="WPB45" s="10"/>
      <c r="WPC45" s="10"/>
      <c r="WPD45" s="10"/>
      <c r="WPE45" s="10"/>
      <c r="WPF45" s="10"/>
      <c r="WPG45" s="10"/>
      <c r="WPH45" s="10"/>
      <c r="WPI45" s="10"/>
      <c r="WPJ45" s="10"/>
      <c r="WPK45" s="10"/>
      <c r="WPL45" s="10"/>
      <c r="WPM45" s="10"/>
      <c r="WPN45" s="10"/>
      <c r="WPO45" s="10"/>
      <c r="WPP45" s="10"/>
      <c r="WPQ45" s="10"/>
      <c r="WPR45" s="10"/>
      <c r="WPS45" s="10"/>
      <c r="WPT45" s="10"/>
      <c r="WPU45" s="10"/>
      <c r="WPV45" s="10"/>
      <c r="WPW45" s="10"/>
      <c r="WPX45" s="10"/>
      <c r="WPY45" s="10"/>
      <c r="WPZ45" s="10"/>
      <c r="WQA45" s="10"/>
      <c r="WQB45" s="10"/>
      <c r="WQC45" s="10"/>
      <c r="WQD45" s="10"/>
      <c r="WQE45" s="10"/>
      <c r="WQF45" s="10"/>
      <c r="WQG45" s="10"/>
      <c r="WQH45" s="10"/>
      <c r="WQI45" s="10"/>
      <c r="WQJ45" s="10"/>
      <c r="WQK45" s="10"/>
      <c r="WQL45" s="10"/>
      <c r="WQM45" s="10"/>
      <c r="WQN45" s="10"/>
      <c r="WQO45" s="10"/>
      <c r="WQP45" s="10"/>
      <c r="WQQ45" s="10"/>
      <c r="WQR45" s="10"/>
      <c r="WQS45" s="10"/>
      <c r="WQT45" s="10"/>
      <c r="WQU45" s="10"/>
      <c r="WQV45" s="10"/>
      <c r="WQW45" s="10"/>
      <c r="WQX45" s="10"/>
      <c r="WQY45" s="10"/>
      <c r="WQZ45" s="10"/>
      <c r="WRA45" s="10"/>
      <c r="WRB45" s="10"/>
      <c r="WRC45" s="10"/>
      <c r="WRD45" s="10"/>
      <c r="WRE45" s="10"/>
      <c r="WRF45" s="10"/>
      <c r="WRG45" s="10"/>
      <c r="WRH45" s="10"/>
      <c r="WRI45" s="10"/>
      <c r="WRJ45" s="10"/>
      <c r="WRK45" s="10"/>
      <c r="WRL45" s="10"/>
      <c r="WRM45" s="10"/>
      <c r="WRN45" s="10"/>
      <c r="WRO45" s="10"/>
      <c r="WRP45" s="10"/>
      <c r="WRQ45" s="10"/>
      <c r="WRR45" s="10"/>
      <c r="WRS45" s="10"/>
      <c r="WRT45" s="10"/>
      <c r="WRU45" s="10"/>
      <c r="WRV45" s="10"/>
      <c r="WRW45" s="10"/>
      <c r="WRX45" s="10"/>
      <c r="WRY45" s="10"/>
      <c r="WRZ45" s="10"/>
      <c r="WSA45" s="10"/>
      <c r="WSB45" s="10"/>
      <c r="WSC45" s="10"/>
      <c r="WSD45" s="10"/>
      <c r="WSE45" s="10"/>
      <c r="WSF45" s="10"/>
      <c r="WSG45" s="10"/>
      <c r="WSH45" s="10"/>
      <c r="WSI45" s="10"/>
      <c r="WSJ45" s="10"/>
      <c r="WSK45" s="10"/>
      <c r="WSL45" s="10"/>
      <c r="WSM45" s="10"/>
      <c r="WSN45" s="10"/>
      <c r="WSO45" s="10"/>
      <c r="WSP45" s="10"/>
      <c r="WSQ45" s="10"/>
      <c r="WSR45" s="10"/>
      <c r="WSS45" s="10"/>
      <c r="WST45" s="10"/>
      <c r="WSU45" s="10"/>
      <c r="WSV45" s="10"/>
      <c r="WSW45" s="10"/>
      <c r="WSX45" s="10"/>
      <c r="WSY45" s="10"/>
      <c r="WSZ45" s="10"/>
      <c r="WTA45" s="10"/>
      <c r="WTB45" s="10"/>
      <c r="WTC45" s="10"/>
      <c r="WTD45" s="10"/>
      <c r="WTE45" s="10"/>
      <c r="WTF45" s="10"/>
      <c r="WTG45" s="10"/>
      <c r="WTH45" s="10"/>
      <c r="WTI45" s="10"/>
      <c r="WTJ45" s="10"/>
      <c r="WTK45" s="10"/>
      <c r="WTL45" s="10"/>
      <c r="WTM45" s="10"/>
      <c r="WTN45" s="10"/>
      <c r="WTO45" s="10"/>
      <c r="WTP45" s="10"/>
      <c r="WTQ45" s="10"/>
      <c r="WTR45" s="10"/>
      <c r="WTS45" s="10"/>
      <c r="WTT45" s="10"/>
      <c r="WTU45" s="10"/>
      <c r="WTV45" s="10"/>
      <c r="WTW45" s="10"/>
      <c r="WTX45" s="10"/>
      <c r="WTY45" s="10"/>
      <c r="WTZ45" s="10"/>
      <c r="WUA45" s="10"/>
      <c r="WUB45" s="10"/>
      <c r="WUC45" s="10"/>
      <c r="WUD45" s="10"/>
      <c r="WUE45" s="10"/>
      <c r="WUF45" s="10"/>
      <c r="WUG45" s="10"/>
      <c r="WUH45" s="10"/>
      <c r="WUI45" s="10"/>
      <c r="WUJ45" s="10"/>
      <c r="WUK45" s="10"/>
      <c r="WUL45" s="10"/>
      <c r="WUM45" s="10"/>
      <c r="WUN45" s="10"/>
      <c r="WUO45" s="10"/>
      <c r="WUP45" s="10"/>
      <c r="WUQ45" s="10"/>
      <c r="WUR45" s="10"/>
      <c r="WUS45" s="10"/>
      <c r="WUT45" s="10"/>
      <c r="WUU45" s="10"/>
      <c r="WUV45" s="10"/>
      <c r="WUW45" s="10"/>
      <c r="WUX45" s="10"/>
      <c r="WUY45" s="10"/>
      <c r="WUZ45" s="10"/>
      <c r="WVA45" s="10"/>
      <c r="WVB45" s="10"/>
      <c r="WVC45" s="10"/>
      <c r="WVD45" s="10"/>
      <c r="WVE45" s="10"/>
      <c r="WVF45" s="10"/>
      <c r="WVG45" s="10"/>
      <c r="WVH45" s="10"/>
      <c r="WVI45" s="10"/>
      <c r="WVJ45" s="10"/>
      <c r="WVK45" s="10"/>
      <c r="WVL45" s="10"/>
      <c r="WVM45" s="10"/>
      <c r="WVN45" s="10"/>
      <c r="WVO45" s="10"/>
      <c r="WVP45" s="10"/>
      <c r="WVQ45" s="10"/>
      <c r="WVR45" s="10"/>
      <c r="WVS45" s="10"/>
      <c r="WVT45" s="10"/>
    </row>
    <row r="50" spans="2:16140" s="242" customFormat="1" ht="21" customHeight="1">
      <c r="B50" s="335"/>
      <c r="C50" s="336"/>
      <c r="F50" s="244"/>
      <c r="G50" s="245"/>
      <c r="H50" s="333"/>
      <c r="I50" s="333"/>
      <c r="J50" s="333"/>
      <c r="K50" s="333"/>
      <c r="L50" s="334"/>
      <c r="M50" s="10"/>
      <c r="N50" s="18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 s="10"/>
      <c r="GM50" s="10"/>
      <c r="GN50" s="10"/>
      <c r="GO50" s="10"/>
      <c r="GP50" s="10"/>
      <c r="GQ50" s="10"/>
      <c r="GR50" s="10"/>
      <c r="GS50" s="10"/>
      <c r="GT50" s="10"/>
      <c r="GU50" s="10"/>
      <c r="GV50" s="10"/>
      <c r="GW50" s="10"/>
      <c r="GX50" s="10"/>
      <c r="GY50" s="10"/>
      <c r="GZ50" s="10"/>
      <c r="HA50" s="10"/>
      <c r="HB50" s="10"/>
      <c r="HC50" s="10"/>
      <c r="HD50" s="10"/>
      <c r="HE50" s="10"/>
      <c r="HF50" s="10"/>
      <c r="HG50" s="10"/>
      <c r="HH50" s="10"/>
      <c r="HI50" s="10"/>
      <c r="HJ50" s="10"/>
      <c r="HK50" s="10"/>
      <c r="HL50" s="10"/>
      <c r="HM50" s="10"/>
      <c r="HN50" s="10"/>
      <c r="HO50" s="10"/>
      <c r="HP50" s="10"/>
      <c r="HQ50" s="10"/>
      <c r="HR50" s="10"/>
      <c r="HS50" s="10"/>
      <c r="HT50" s="10"/>
      <c r="HU50" s="10"/>
      <c r="HV50" s="10"/>
      <c r="HW50" s="10"/>
      <c r="HX50" s="10"/>
      <c r="HY50" s="10"/>
      <c r="HZ50" s="10"/>
      <c r="IA50" s="10"/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  <c r="IM50" s="10"/>
      <c r="IN50" s="10"/>
      <c r="IO50" s="10"/>
      <c r="IP50" s="10"/>
      <c r="IQ50" s="10"/>
      <c r="IR50" s="10"/>
      <c r="IS50" s="10"/>
      <c r="IT50" s="10"/>
      <c r="IU50" s="10"/>
      <c r="IV50" s="10"/>
      <c r="IW50" s="10"/>
      <c r="IX50" s="10"/>
      <c r="IY50" s="10"/>
      <c r="IZ50" s="10"/>
      <c r="JA50" s="10"/>
      <c r="JB50" s="10"/>
      <c r="JC50" s="10"/>
      <c r="JD50" s="10"/>
      <c r="JE50" s="10"/>
      <c r="JF50" s="10"/>
      <c r="JG50" s="10"/>
      <c r="JH50" s="10"/>
      <c r="JI50" s="10"/>
      <c r="JJ50" s="10"/>
      <c r="JK50" s="10"/>
      <c r="JL50" s="10"/>
      <c r="JM50" s="10"/>
      <c r="JN50" s="10"/>
      <c r="JO50" s="10"/>
      <c r="JP50" s="10"/>
      <c r="JQ50" s="10"/>
      <c r="JR50" s="10"/>
      <c r="JS50" s="10"/>
      <c r="JT50" s="10"/>
      <c r="JU50" s="10"/>
      <c r="JV50" s="10"/>
      <c r="JW50" s="10"/>
      <c r="JX50" s="10"/>
      <c r="JY50" s="10"/>
      <c r="JZ50" s="10"/>
      <c r="KA50" s="10"/>
      <c r="KB50" s="10"/>
      <c r="KC50" s="10"/>
      <c r="KD50" s="10"/>
      <c r="KE50" s="10"/>
      <c r="KF50" s="10"/>
      <c r="KG50" s="10"/>
      <c r="KH50" s="10"/>
      <c r="KI50" s="10"/>
      <c r="KJ50" s="10"/>
      <c r="KK50" s="10"/>
      <c r="KL50" s="10"/>
      <c r="KM50" s="10"/>
      <c r="KN50" s="10"/>
      <c r="KO50" s="10"/>
      <c r="KP50" s="10"/>
      <c r="KQ50" s="10"/>
      <c r="KR50" s="10"/>
      <c r="KS50" s="10"/>
      <c r="KT50" s="10"/>
      <c r="KU50" s="10"/>
      <c r="KV50" s="10"/>
      <c r="KW50" s="10"/>
      <c r="KX50" s="10"/>
      <c r="KY50" s="10"/>
      <c r="KZ50" s="10"/>
      <c r="LA50" s="10"/>
      <c r="LB50" s="10"/>
      <c r="LC50" s="10"/>
      <c r="LD50" s="10"/>
      <c r="LE50" s="10"/>
      <c r="LF50" s="10"/>
      <c r="LG50" s="10"/>
      <c r="LH50" s="10"/>
      <c r="LI50" s="10"/>
      <c r="LJ50" s="10"/>
      <c r="LK50" s="10"/>
      <c r="LL50" s="10"/>
      <c r="LM50" s="10"/>
      <c r="LN50" s="10"/>
      <c r="LO50" s="10"/>
      <c r="LP50" s="10"/>
      <c r="LQ50" s="10"/>
      <c r="LR50" s="10"/>
      <c r="LS50" s="10"/>
      <c r="LT50" s="10"/>
      <c r="LU50" s="10"/>
      <c r="LV50" s="10"/>
      <c r="LW50" s="10"/>
      <c r="LX50" s="10"/>
      <c r="LY50" s="10"/>
      <c r="LZ50" s="10"/>
      <c r="MA50" s="10"/>
      <c r="MB50" s="10"/>
      <c r="MC50" s="10"/>
      <c r="MD50" s="10"/>
      <c r="ME50" s="10"/>
      <c r="MF50" s="10"/>
      <c r="MG50" s="10"/>
      <c r="MH50" s="10"/>
      <c r="MI50" s="10"/>
      <c r="MJ50" s="10"/>
      <c r="MK50" s="10"/>
      <c r="ML50" s="10"/>
      <c r="MM50" s="10"/>
      <c r="MN50" s="10"/>
      <c r="MO50" s="10"/>
      <c r="MP50" s="10"/>
      <c r="MQ50" s="10"/>
      <c r="MR50" s="10"/>
      <c r="MS50" s="10"/>
      <c r="MT50" s="10"/>
      <c r="MU50" s="10"/>
      <c r="MV50" s="10"/>
      <c r="MW50" s="10"/>
      <c r="MX50" s="10"/>
      <c r="MY50" s="10"/>
      <c r="MZ50" s="10"/>
      <c r="NA50" s="10"/>
      <c r="NB50" s="10"/>
      <c r="NC50" s="10"/>
      <c r="ND50" s="10"/>
      <c r="NE50" s="10"/>
      <c r="NF50" s="10"/>
      <c r="NG50" s="10"/>
      <c r="NH50" s="10"/>
      <c r="NI50" s="10"/>
      <c r="NJ50" s="10"/>
      <c r="NK50" s="10"/>
      <c r="NL50" s="10"/>
      <c r="NM50" s="10"/>
      <c r="NN50" s="10"/>
      <c r="NO50" s="10"/>
      <c r="NP50" s="10"/>
      <c r="NQ50" s="10"/>
      <c r="NR50" s="10"/>
      <c r="NS50" s="10"/>
      <c r="NT50" s="10"/>
      <c r="NU50" s="10"/>
      <c r="NV50" s="10"/>
      <c r="NW50" s="10"/>
      <c r="NX50" s="10"/>
      <c r="NY50" s="10"/>
      <c r="NZ50" s="10"/>
      <c r="OA50" s="10"/>
      <c r="OB50" s="10"/>
      <c r="OC50" s="10"/>
      <c r="OD50" s="10"/>
      <c r="OE50" s="10"/>
      <c r="OF50" s="10"/>
      <c r="OG50" s="10"/>
      <c r="OH50" s="10"/>
      <c r="OI50" s="10"/>
      <c r="OJ50" s="10"/>
      <c r="OK50" s="10"/>
      <c r="OL50" s="10"/>
      <c r="OM50" s="10"/>
      <c r="ON50" s="10"/>
      <c r="OO50" s="10"/>
      <c r="OP50" s="10"/>
      <c r="OQ50" s="10"/>
      <c r="OR50" s="10"/>
      <c r="OS50" s="10"/>
      <c r="OT50" s="10"/>
      <c r="OU50" s="10"/>
      <c r="OV50" s="10"/>
      <c r="OW50" s="10"/>
      <c r="OX50" s="10"/>
      <c r="OY50" s="10"/>
      <c r="OZ50" s="10"/>
      <c r="PA50" s="10"/>
      <c r="PB50" s="10"/>
      <c r="PC50" s="10"/>
      <c r="PD50" s="10"/>
      <c r="PE50" s="10"/>
      <c r="PF50" s="10"/>
      <c r="PG50" s="10"/>
      <c r="PH50" s="10"/>
      <c r="PI50" s="10"/>
      <c r="PJ50" s="10"/>
      <c r="PK50" s="10"/>
      <c r="PL50" s="10"/>
      <c r="PM50" s="10"/>
      <c r="PN50" s="10"/>
      <c r="PO50" s="10"/>
      <c r="PP50" s="10"/>
      <c r="PQ50" s="10"/>
      <c r="PR50" s="10"/>
      <c r="PS50" s="10"/>
      <c r="PT50" s="10"/>
      <c r="PU50" s="10"/>
      <c r="PV50" s="10"/>
      <c r="PW50" s="10"/>
      <c r="PX50" s="10"/>
      <c r="PY50" s="10"/>
      <c r="PZ50" s="10"/>
      <c r="QA50" s="10"/>
      <c r="QB50" s="10"/>
      <c r="QC50" s="10"/>
      <c r="QD50" s="10"/>
      <c r="QE50" s="10"/>
      <c r="QF50" s="10"/>
      <c r="QG50" s="10"/>
      <c r="QH50" s="10"/>
      <c r="QI50" s="10"/>
      <c r="QJ50" s="10"/>
      <c r="QK50" s="10"/>
      <c r="QL50" s="10"/>
      <c r="QM50" s="10"/>
      <c r="QN50" s="10"/>
      <c r="QO50" s="10"/>
      <c r="QP50" s="10"/>
      <c r="QQ50" s="10"/>
      <c r="QR50" s="10"/>
      <c r="QS50" s="10"/>
      <c r="QT50" s="10"/>
      <c r="QU50" s="10"/>
      <c r="QV50" s="10"/>
      <c r="QW50" s="10"/>
      <c r="QX50" s="10"/>
      <c r="QY50" s="10"/>
      <c r="QZ50" s="10"/>
      <c r="RA50" s="10"/>
      <c r="RB50" s="10"/>
      <c r="RC50" s="10"/>
      <c r="RD50" s="10"/>
      <c r="RE50" s="10"/>
      <c r="RF50" s="10"/>
      <c r="RG50" s="10"/>
      <c r="RH50" s="10"/>
      <c r="RI50" s="10"/>
      <c r="RJ50" s="10"/>
      <c r="RK50" s="10"/>
      <c r="RL50" s="10"/>
      <c r="RM50" s="10"/>
      <c r="RN50" s="10"/>
      <c r="RO50" s="10"/>
      <c r="RP50" s="10"/>
      <c r="RQ50" s="10"/>
      <c r="RR50" s="10"/>
      <c r="RS50" s="10"/>
      <c r="RT50" s="10"/>
      <c r="RU50" s="10"/>
      <c r="RV50" s="10"/>
      <c r="RW50" s="10"/>
      <c r="RX50" s="10"/>
      <c r="RY50" s="10"/>
      <c r="RZ50" s="10"/>
      <c r="SA50" s="10"/>
      <c r="SB50" s="10"/>
      <c r="SC50" s="10"/>
      <c r="SD50" s="10"/>
      <c r="SE50" s="10"/>
      <c r="SF50" s="10"/>
      <c r="SG50" s="10"/>
      <c r="SH50" s="10"/>
      <c r="SI50" s="10"/>
      <c r="SJ50" s="10"/>
      <c r="SK50" s="10"/>
      <c r="SL50" s="10"/>
      <c r="SM50" s="10"/>
      <c r="SN50" s="10"/>
      <c r="SO50" s="10"/>
      <c r="SP50" s="10"/>
      <c r="SQ50" s="10"/>
      <c r="SR50" s="10"/>
      <c r="SS50" s="10"/>
      <c r="ST50" s="10"/>
      <c r="SU50" s="10"/>
      <c r="SV50" s="10"/>
      <c r="SW50" s="10"/>
      <c r="SX50" s="10"/>
      <c r="SY50" s="10"/>
      <c r="SZ50" s="10"/>
      <c r="TA50" s="10"/>
      <c r="TB50" s="10"/>
      <c r="TC50" s="10"/>
      <c r="TD50" s="10"/>
      <c r="TE50" s="10"/>
      <c r="TF50" s="10"/>
      <c r="TG50" s="10"/>
      <c r="TH50" s="10"/>
      <c r="TI50" s="10"/>
      <c r="TJ50" s="10"/>
      <c r="TK50" s="10"/>
      <c r="TL50" s="10"/>
      <c r="TM50" s="10"/>
      <c r="TN50" s="10"/>
      <c r="TO50" s="10"/>
      <c r="TP50" s="10"/>
      <c r="TQ50" s="10"/>
      <c r="TR50" s="10"/>
      <c r="TS50" s="10"/>
      <c r="TT50" s="10"/>
      <c r="TU50" s="10"/>
      <c r="TV50" s="10"/>
      <c r="TW50" s="10"/>
      <c r="TX50" s="10"/>
      <c r="TY50" s="10"/>
      <c r="TZ50" s="10"/>
      <c r="UA50" s="10"/>
      <c r="UB50" s="10"/>
      <c r="UC50" s="10"/>
      <c r="UD50" s="10"/>
      <c r="UE50" s="10"/>
      <c r="UF50" s="10"/>
      <c r="UG50" s="10"/>
      <c r="UH50" s="10"/>
      <c r="UI50" s="10"/>
      <c r="UJ50" s="10"/>
      <c r="UK50" s="10"/>
      <c r="UL50" s="10"/>
      <c r="UM50" s="10"/>
      <c r="UN50" s="10"/>
      <c r="UO50" s="10"/>
      <c r="UP50" s="10"/>
      <c r="UQ50" s="10"/>
      <c r="UR50" s="10"/>
      <c r="US50" s="10"/>
      <c r="UT50" s="10"/>
      <c r="UU50" s="10"/>
      <c r="UV50" s="10"/>
      <c r="UW50" s="10"/>
      <c r="UX50" s="10"/>
      <c r="UY50" s="10"/>
      <c r="UZ50" s="10"/>
      <c r="VA50" s="10"/>
      <c r="VB50" s="10"/>
      <c r="VC50" s="10"/>
      <c r="VD50" s="10"/>
      <c r="VE50" s="10"/>
      <c r="VF50" s="10"/>
      <c r="VG50" s="10"/>
      <c r="VH50" s="10"/>
      <c r="VI50" s="10"/>
      <c r="VJ50" s="10"/>
      <c r="VK50" s="10"/>
      <c r="VL50" s="10"/>
      <c r="VM50" s="10"/>
      <c r="VN50" s="10"/>
      <c r="VO50" s="10"/>
      <c r="VP50" s="10"/>
      <c r="VQ50" s="10"/>
      <c r="VR50" s="10"/>
      <c r="VS50" s="10"/>
      <c r="VT50" s="10"/>
      <c r="VU50" s="10"/>
      <c r="VV50" s="10"/>
      <c r="VW50" s="10"/>
      <c r="VX50" s="10"/>
      <c r="VY50" s="10"/>
      <c r="VZ50" s="10"/>
      <c r="WA50" s="10"/>
      <c r="WB50" s="10"/>
      <c r="WC50" s="10"/>
      <c r="WD50" s="10"/>
      <c r="WE50" s="10"/>
      <c r="WF50" s="10"/>
      <c r="WG50" s="10"/>
      <c r="WH50" s="10"/>
      <c r="WI50" s="10"/>
      <c r="WJ50" s="10"/>
      <c r="WK50" s="10"/>
      <c r="WL50" s="10"/>
      <c r="WM50" s="10"/>
      <c r="WN50" s="10"/>
      <c r="WO50" s="10"/>
      <c r="WP50" s="10"/>
      <c r="WQ50" s="10"/>
      <c r="WR50" s="10"/>
      <c r="WS50" s="10"/>
      <c r="WT50" s="10"/>
      <c r="WU50" s="10"/>
      <c r="WV50" s="10"/>
      <c r="WW50" s="10"/>
      <c r="WX50" s="10"/>
      <c r="WY50" s="10"/>
      <c r="WZ50" s="10"/>
      <c r="XA50" s="10"/>
      <c r="XB50" s="10"/>
      <c r="XC50" s="10"/>
      <c r="XD50" s="10"/>
      <c r="XE50" s="10"/>
      <c r="XF50" s="10"/>
      <c r="XG50" s="10"/>
      <c r="XH50" s="10"/>
      <c r="XI50" s="10"/>
      <c r="XJ50" s="10"/>
      <c r="XK50" s="10"/>
      <c r="XL50" s="10"/>
      <c r="XM50" s="10"/>
      <c r="XN50" s="10"/>
      <c r="XO50" s="10"/>
      <c r="XP50" s="10"/>
      <c r="XQ50" s="10"/>
      <c r="XR50" s="10"/>
      <c r="XS50" s="10"/>
      <c r="XT50" s="10"/>
      <c r="XU50" s="10"/>
      <c r="XV50" s="10"/>
      <c r="XW50" s="10"/>
      <c r="XX50" s="10"/>
      <c r="XY50" s="10"/>
      <c r="XZ50" s="10"/>
      <c r="YA50" s="10"/>
      <c r="YB50" s="10"/>
      <c r="YC50" s="10"/>
      <c r="YD50" s="10"/>
      <c r="YE50" s="10"/>
      <c r="YF50" s="10"/>
      <c r="YG50" s="10"/>
      <c r="YH50" s="10"/>
      <c r="YI50" s="10"/>
      <c r="YJ50" s="10"/>
      <c r="YK50" s="10"/>
      <c r="YL50" s="10"/>
      <c r="YM50" s="10"/>
      <c r="YN50" s="10"/>
      <c r="YO50" s="10"/>
      <c r="YP50" s="10"/>
      <c r="YQ50" s="10"/>
      <c r="YR50" s="10"/>
      <c r="YS50" s="10"/>
      <c r="YT50" s="10"/>
      <c r="YU50" s="10"/>
      <c r="YV50" s="10"/>
      <c r="YW50" s="10"/>
      <c r="YX50" s="10"/>
      <c r="YY50" s="10"/>
      <c r="YZ50" s="10"/>
      <c r="ZA50" s="10"/>
      <c r="ZB50" s="10"/>
      <c r="ZC50" s="10"/>
      <c r="ZD50" s="10"/>
      <c r="ZE50" s="10"/>
      <c r="ZF50" s="10"/>
      <c r="ZG50" s="10"/>
      <c r="ZH50" s="10"/>
      <c r="ZI50" s="10"/>
      <c r="ZJ50" s="10"/>
      <c r="ZK50" s="10"/>
      <c r="ZL50" s="10"/>
      <c r="ZM50" s="10"/>
      <c r="ZN50" s="10"/>
      <c r="ZO50" s="10"/>
      <c r="ZP50" s="10"/>
      <c r="ZQ50" s="10"/>
      <c r="ZR50" s="10"/>
      <c r="ZS50" s="10"/>
      <c r="ZT50" s="10"/>
      <c r="ZU50" s="10"/>
      <c r="ZV50" s="10"/>
      <c r="ZW50" s="10"/>
      <c r="ZX50" s="10"/>
      <c r="ZY50" s="10"/>
      <c r="ZZ50" s="10"/>
      <c r="AAA50" s="10"/>
      <c r="AAB50" s="10"/>
      <c r="AAC50" s="10"/>
      <c r="AAD50" s="10"/>
      <c r="AAE50" s="10"/>
      <c r="AAF50" s="10"/>
      <c r="AAG50" s="10"/>
      <c r="AAH50" s="10"/>
      <c r="AAI50" s="10"/>
      <c r="AAJ50" s="10"/>
      <c r="AAK50" s="10"/>
      <c r="AAL50" s="10"/>
      <c r="AAM50" s="10"/>
      <c r="AAN50" s="10"/>
      <c r="AAO50" s="10"/>
      <c r="AAP50" s="10"/>
      <c r="AAQ50" s="10"/>
      <c r="AAR50" s="10"/>
      <c r="AAS50" s="10"/>
      <c r="AAT50" s="10"/>
      <c r="AAU50" s="10"/>
      <c r="AAV50" s="10"/>
      <c r="AAW50" s="10"/>
      <c r="AAX50" s="10"/>
      <c r="AAY50" s="10"/>
      <c r="AAZ50" s="10"/>
      <c r="ABA50" s="10"/>
      <c r="ABB50" s="10"/>
      <c r="ABC50" s="10"/>
      <c r="ABD50" s="10"/>
      <c r="ABE50" s="10"/>
      <c r="ABF50" s="10"/>
      <c r="ABG50" s="10"/>
      <c r="ABH50" s="10"/>
      <c r="ABI50" s="10"/>
      <c r="ABJ50" s="10"/>
      <c r="ABK50" s="10"/>
      <c r="ABL50" s="10"/>
      <c r="ABM50" s="10"/>
      <c r="ABN50" s="10"/>
      <c r="ABO50" s="10"/>
      <c r="ABP50" s="10"/>
      <c r="ABQ50" s="10"/>
      <c r="ABR50" s="10"/>
      <c r="ABS50" s="10"/>
      <c r="ABT50" s="10"/>
      <c r="ABU50" s="10"/>
      <c r="ABV50" s="10"/>
      <c r="ABW50" s="10"/>
      <c r="ABX50" s="10"/>
      <c r="ABY50" s="10"/>
      <c r="ABZ50" s="10"/>
      <c r="ACA50" s="10"/>
      <c r="ACB50" s="10"/>
      <c r="ACC50" s="10"/>
      <c r="ACD50" s="10"/>
      <c r="ACE50" s="10"/>
      <c r="ACF50" s="10"/>
      <c r="ACG50" s="10"/>
      <c r="ACH50" s="10"/>
      <c r="ACI50" s="10"/>
      <c r="ACJ50" s="10"/>
      <c r="ACK50" s="10"/>
      <c r="ACL50" s="10"/>
      <c r="ACM50" s="10"/>
      <c r="ACN50" s="10"/>
      <c r="ACO50" s="10"/>
      <c r="ACP50" s="10"/>
      <c r="ACQ50" s="10"/>
      <c r="ACR50" s="10"/>
      <c r="ACS50" s="10"/>
      <c r="ACT50" s="10"/>
      <c r="ACU50" s="10"/>
      <c r="ACV50" s="10"/>
      <c r="ACW50" s="10"/>
      <c r="ACX50" s="10"/>
      <c r="ACY50" s="10"/>
      <c r="ACZ50" s="10"/>
      <c r="ADA50" s="10"/>
      <c r="ADB50" s="10"/>
      <c r="ADC50" s="10"/>
      <c r="ADD50" s="10"/>
      <c r="ADE50" s="10"/>
      <c r="ADF50" s="10"/>
      <c r="ADG50" s="10"/>
      <c r="ADH50" s="10"/>
      <c r="ADI50" s="10"/>
      <c r="ADJ50" s="10"/>
      <c r="ADK50" s="10"/>
      <c r="ADL50" s="10"/>
      <c r="ADM50" s="10"/>
      <c r="ADN50" s="10"/>
      <c r="ADO50" s="10"/>
      <c r="ADP50" s="10"/>
      <c r="ADQ50" s="10"/>
      <c r="ADR50" s="10"/>
      <c r="ADS50" s="10"/>
      <c r="ADT50" s="10"/>
      <c r="ADU50" s="10"/>
      <c r="ADV50" s="10"/>
      <c r="ADW50" s="10"/>
      <c r="ADX50" s="10"/>
      <c r="ADY50" s="10"/>
      <c r="ADZ50" s="10"/>
      <c r="AEA50" s="10"/>
      <c r="AEB50" s="10"/>
      <c r="AEC50" s="10"/>
      <c r="AED50" s="10"/>
      <c r="AEE50" s="10"/>
      <c r="AEF50" s="10"/>
      <c r="AEG50" s="10"/>
      <c r="AEH50" s="10"/>
      <c r="AEI50" s="10"/>
      <c r="AEJ50" s="10"/>
      <c r="AEK50" s="10"/>
      <c r="AEL50" s="10"/>
      <c r="AEM50" s="10"/>
      <c r="AEN50" s="10"/>
      <c r="AEO50" s="10"/>
      <c r="AEP50" s="10"/>
      <c r="AEQ50" s="10"/>
      <c r="AER50" s="10"/>
      <c r="AES50" s="10"/>
      <c r="AET50" s="10"/>
      <c r="AEU50" s="10"/>
      <c r="AEV50" s="10"/>
      <c r="AEW50" s="10"/>
      <c r="AEX50" s="10"/>
      <c r="AEY50" s="10"/>
      <c r="AEZ50" s="10"/>
      <c r="AFA50" s="10"/>
      <c r="AFB50" s="10"/>
      <c r="AFC50" s="10"/>
      <c r="AFD50" s="10"/>
      <c r="AFE50" s="10"/>
      <c r="AFF50" s="10"/>
      <c r="AFG50" s="10"/>
      <c r="AFH50" s="10"/>
      <c r="AFI50" s="10"/>
      <c r="AFJ50" s="10"/>
      <c r="AFK50" s="10"/>
      <c r="AFL50" s="10"/>
      <c r="AFM50" s="10"/>
      <c r="AFN50" s="10"/>
      <c r="AFO50" s="10"/>
      <c r="AFP50" s="10"/>
      <c r="AFQ50" s="10"/>
      <c r="AFR50" s="10"/>
      <c r="AFS50" s="10"/>
      <c r="AFT50" s="10"/>
      <c r="AFU50" s="10"/>
      <c r="AFV50" s="10"/>
      <c r="AFW50" s="10"/>
      <c r="AFX50" s="10"/>
      <c r="AFY50" s="10"/>
      <c r="AFZ50" s="10"/>
      <c r="AGA50" s="10"/>
      <c r="AGB50" s="10"/>
      <c r="AGC50" s="10"/>
      <c r="AGD50" s="10"/>
      <c r="AGE50" s="10"/>
      <c r="AGF50" s="10"/>
      <c r="AGG50" s="10"/>
      <c r="AGH50" s="10"/>
      <c r="AGI50" s="10"/>
      <c r="AGJ50" s="10"/>
      <c r="AGK50" s="10"/>
      <c r="AGL50" s="10"/>
      <c r="AGM50" s="10"/>
      <c r="AGN50" s="10"/>
      <c r="AGO50" s="10"/>
      <c r="AGP50" s="10"/>
      <c r="AGQ50" s="10"/>
      <c r="AGR50" s="10"/>
      <c r="AGS50" s="10"/>
      <c r="AGT50" s="10"/>
      <c r="AGU50" s="10"/>
      <c r="AGV50" s="10"/>
      <c r="AGW50" s="10"/>
      <c r="AGX50" s="10"/>
      <c r="AGY50" s="10"/>
      <c r="AGZ50" s="10"/>
      <c r="AHA50" s="10"/>
      <c r="AHB50" s="10"/>
      <c r="AHC50" s="10"/>
      <c r="AHD50" s="10"/>
      <c r="AHE50" s="10"/>
      <c r="AHF50" s="10"/>
      <c r="AHG50" s="10"/>
      <c r="AHH50" s="10"/>
      <c r="AHI50" s="10"/>
      <c r="AHJ50" s="10"/>
      <c r="AHK50" s="10"/>
      <c r="AHL50" s="10"/>
      <c r="AHM50" s="10"/>
      <c r="AHN50" s="10"/>
      <c r="AHO50" s="10"/>
      <c r="AHP50" s="10"/>
      <c r="AHQ50" s="10"/>
      <c r="AHR50" s="10"/>
      <c r="AHS50" s="10"/>
      <c r="AHT50" s="10"/>
      <c r="AHU50" s="10"/>
      <c r="AHV50" s="10"/>
      <c r="AHW50" s="10"/>
      <c r="AHX50" s="10"/>
      <c r="AHY50" s="10"/>
      <c r="AHZ50" s="10"/>
      <c r="AIA50" s="10"/>
      <c r="AIB50" s="10"/>
      <c r="AIC50" s="10"/>
      <c r="AID50" s="10"/>
      <c r="AIE50" s="10"/>
      <c r="AIF50" s="10"/>
      <c r="AIG50" s="10"/>
      <c r="AIH50" s="10"/>
      <c r="AII50" s="10"/>
      <c r="AIJ50" s="10"/>
      <c r="AIK50" s="10"/>
      <c r="AIL50" s="10"/>
      <c r="AIM50" s="10"/>
      <c r="AIN50" s="10"/>
      <c r="AIO50" s="10"/>
      <c r="AIP50" s="10"/>
      <c r="AIQ50" s="10"/>
      <c r="AIR50" s="10"/>
      <c r="AIS50" s="10"/>
      <c r="AIT50" s="10"/>
      <c r="AIU50" s="10"/>
      <c r="AIV50" s="10"/>
      <c r="AIW50" s="10"/>
      <c r="AIX50" s="10"/>
      <c r="AIY50" s="10"/>
      <c r="AIZ50" s="10"/>
      <c r="AJA50" s="10"/>
      <c r="AJB50" s="10"/>
      <c r="AJC50" s="10"/>
      <c r="AJD50" s="10"/>
      <c r="AJE50" s="10"/>
      <c r="AJF50" s="10"/>
      <c r="AJG50" s="10"/>
      <c r="AJH50" s="10"/>
      <c r="AJI50" s="10"/>
      <c r="AJJ50" s="10"/>
      <c r="AJK50" s="10"/>
      <c r="AJL50" s="10"/>
      <c r="AJM50" s="10"/>
      <c r="AJN50" s="10"/>
      <c r="AJO50" s="10"/>
      <c r="AJP50" s="10"/>
      <c r="AJQ50" s="10"/>
      <c r="AJR50" s="10"/>
      <c r="AJS50" s="10"/>
      <c r="AJT50" s="10"/>
      <c r="AJU50" s="10"/>
      <c r="AJV50" s="10"/>
      <c r="AJW50" s="10"/>
      <c r="AJX50" s="10"/>
      <c r="AJY50" s="10"/>
      <c r="AJZ50" s="10"/>
      <c r="AKA50" s="10"/>
      <c r="AKB50" s="10"/>
      <c r="AKC50" s="10"/>
      <c r="AKD50" s="10"/>
      <c r="AKE50" s="10"/>
      <c r="AKF50" s="10"/>
      <c r="AKG50" s="10"/>
      <c r="AKH50" s="10"/>
      <c r="AKI50" s="10"/>
      <c r="AKJ50" s="10"/>
      <c r="AKK50" s="10"/>
      <c r="AKL50" s="10"/>
      <c r="AKM50" s="10"/>
      <c r="AKN50" s="10"/>
      <c r="AKO50" s="10"/>
      <c r="AKP50" s="10"/>
      <c r="AKQ50" s="10"/>
      <c r="AKR50" s="10"/>
      <c r="AKS50" s="10"/>
      <c r="AKT50" s="10"/>
      <c r="AKU50" s="10"/>
      <c r="AKV50" s="10"/>
      <c r="AKW50" s="10"/>
      <c r="AKX50" s="10"/>
      <c r="AKY50" s="10"/>
      <c r="AKZ50" s="10"/>
      <c r="ALA50" s="10"/>
      <c r="ALB50" s="10"/>
      <c r="ALC50" s="10"/>
      <c r="ALD50" s="10"/>
      <c r="ALE50" s="10"/>
      <c r="ALF50" s="10"/>
      <c r="ALG50" s="10"/>
      <c r="ALH50" s="10"/>
      <c r="ALI50" s="10"/>
      <c r="ALJ50" s="10"/>
      <c r="ALK50" s="10"/>
      <c r="ALL50" s="10"/>
      <c r="ALM50" s="10"/>
      <c r="ALN50" s="10"/>
      <c r="ALO50" s="10"/>
      <c r="ALP50" s="10"/>
      <c r="ALQ50" s="10"/>
      <c r="ALR50" s="10"/>
      <c r="ALS50" s="10"/>
      <c r="ALT50" s="10"/>
      <c r="ALU50" s="10"/>
      <c r="ALV50" s="10"/>
      <c r="ALW50" s="10"/>
      <c r="ALX50" s="10"/>
      <c r="ALY50" s="10"/>
      <c r="ALZ50" s="10"/>
      <c r="AMA50" s="10"/>
      <c r="AMB50" s="10"/>
      <c r="AMC50" s="10"/>
      <c r="AMD50" s="10"/>
      <c r="AME50" s="10"/>
      <c r="AMF50" s="10"/>
      <c r="AMG50" s="10"/>
      <c r="AMH50" s="10"/>
      <c r="AMI50" s="10"/>
      <c r="AMJ50" s="10"/>
      <c r="AMK50" s="10"/>
      <c r="AML50" s="10"/>
      <c r="AMM50" s="10"/>
      <c r="AMN50" s="10"/>
      <c r="AMO50" s="10"/>
      <c r="AMP50" s="10"/>
      <c r="AMQ50" s="10"/>
      <c r="AMR50" s="10"/>
      <c r="AMS50" s="10"/>
      <c r="AMT50" s="10"/>
      <c r="AMU50" s="10"/>
      <c r="AMV50" s="10"/>
      <c r="AMW50" s="10"/>
      <c r="AMX50" s="10"/>
      <c r="AMY50" s="10"/>
      <c r="AMZ50" s="10"/>
      <c r="ANA50" s="10"/>
      <c r="ANB50" s="10"/>
      <c r="ANC50" s="10"/>
      <c r="AND50" s="10"/>
      <c r="ANE50" s="10"/>
      <c r="ANF50" s="10"/>
      <c r="ANG50" s="10"/>
      <c r="ANH50" s="10"/>
      <c r="ANI50" s="10"/>
      <c r="ANJ50" s="10"/>
      <c r="ANK50" s="10"/>
      <c r="ANL50" s="10"/>
      <c r="ANM50" s="10"/>
      <c r="ANN50" s="10"/>
      <c r="ANO50" s="10"/>
      <c r="ANP50" s="10"/>
      <c r="ANQ50" s="10"/>
      <c r="ANR50" s="10"/>
      <c r="ANS50" s="10"/>
      <c r="ANT50" s="10"/>
      <c r="ANU50" s="10"/>
      <c r="ANV50" s="10"/>
      <c r="ANW50" s="10"/>
      <c r="ANX50" s="10"/>
      <c r="ANY50" s="10"/>
      <c r="ANZ50" s="10"/>
      <c r="AOA50" s="10"/>
      <c r="AOB50" s="10"/>
      <c r="AOC50" s="10"/>
      <c r="AOD50" s="10"/>
      <c r="AOE50" s="10"/>
      <c r="AOF50" s="10"/>
      <c r="AOG50" s="10"/>
      <c r="AOH50" s="10"/>
      <c r="AOI50" s="10"/>
      <c r="AOJ50" s="10"/>
      <c r="AOK50" s="10"/>
      <c r="AOL50" s="10"/>
      <c r="AOM50" s="10"/>
      <c r="AON50" s="10"/>
      <c r="AOO50" s="10"/>
      <c r="AOP50" s="10"/>
      <c r="AOQ50" s="10"/>
      <c r="AOR50" s="10"/>
      <c r="AOS50" s="10"/>
      <c r="AOT50" s="10"/>
      <c r="AOU50" s="10"/>
      <c r="AOV50" s="10"/>
      <c r="AOW50" s="10"/>
      <c r="AOX50" s="10"/>
      <c r="AOY50" s="10"/>
      <c r="AOZ50" s="10"/>
      <c r="APA50" s="10"/>
      <c r="APB50" s="10"/>
      <c r="APC50" s="10"/>
      <c r="APD50" s="10"/>
      <c r="APE50" s="10"/>
      <c r="APF50" s="10"/>
      <c r="APG50" s="10"/>
      <c r="APH50" s="10"/>
      <c r="API50" s="10"/>
      <c r="APJ50" s="10"/>
      <c r="APK50" s="10"/>
      <c r="APL50" s="10"/>
      <c r="APM50" s="10"/>
      <c r="APN50" s="10"/>
      <c r="APO50" s="10"/>
      <c r="APP50" s="10"/>
      <c r="APQ50" s="10"/>
      <c r="APR50" s="10"/>
      <c r="APS50" s="10"/>
      <c r="APT50" s="10"/>
      <c r="APU50" s="10"/>
      <c r="APV50" s="10"/>
      <c r="APW50" s="10"/>
      <c r="APX50" s="10"/>
      <c r="APY50" s="10"/>
      <c r="APZ50" s="10"/>
      <c r="AQA50" s="10"/>
      <c r="AQB50" s="10"/>
      <c r="AQC50" s="10"/>
      <c r="AQD50" s="10"/>
      <c r="AQE50" s="10"/>
      <c r="AQF50" s="10"/>
      <c r="AQG50" s="10"/>
      <c r="AQH50" s="10"/>
      <c r="AQI50" s="10"/>
      <c r="AQJ50" s="10"/>
      <c r="AQK50" s="10"/>
      <c r="AQL50" s="10"/>
      <c r="AQM50" s="10"/>
      <c r="AQN50" s="10"/>
      <c r="AQO50" s="10"/>
      <c r="AQP50" s="10"/>
      <c r="AQQ50" s="10"/>
      <c r="AQR50" s="10"/>
      <c r="AQS50" s="10"/>
      <c r="AQT50" s="10"/>
      <c r="AQU50" s="10"/>
      <c r="AQV50" s="10"/>
      <c r="AQW50" s="10"/>
      <c r="AQX50" s="10"/>
      <c r="AQY50" s="10"/>
      <c r="AQZ50" s="10"/>
      <c r="ARA50" s="10"/>
      <c r="ARB50" s="10"/>
      <c r="ARC50" s="10"/>
      <c r="ARD50" s="10"/>
      <c r="ARE50" s="10"/>
      <c r="ARF50" s="10"/>
      <c r="ARG50" s="10"/>
      <c r="ARH50" s="10"/>
      <c r="ARI50" s="10"/>
      <c r="ARJ50" s="10"/>
      <c r="ARK50" s="10"/>
      <c r="ARL50" s="10"/>
      <c r="ARM50" s="10"/>
      <c r="ARN50" s="10"/>
      <c r="ARO50" s="10"/>
      <c r="ARP50" s="10"/>
      <c r="ARQ50" s="10"/>
      <c r="ARR50" s="10"/>
      <c r="ARS50" s="10"/>
      <c r="ART50" s="10"/>
      <c r="ARU50" s="10"/>
      <c r="ARV50" s="10"/>
      <c r="ARW50" s="10"/>
      <c r="ARX50" s="10"/>
      <c r="ARY50" s="10"/>
      <c r="ARZ50" s="10"/>
      <c r="ASA50" s="10"/>
      <c r="ASB50" s="10"/>
      <c r="ASC50" s="10"/>
      <c r="ASD50" s="10"/>
      <c r="ASE50" s="10"/>
      <c r="ASF50" s="10"/>
      <c r="ASG50" s="10"/>
      <c r="ASH50" s="10"/>
      <c r="ASI50" s="10"/>
      <c r="ASJ50" s="10"/>
      <c r="ASK50" s="10"/>
      <c r="ASL50" s="10"/>
      <c r="ASM50" s="10"/>
      <c r="ASN50" s="10"/>
      <c r="ASO50" s="10"/>
      <c r="ASP50" s="10"/>
      <c r="ASQ50" s="10"/>
      <c r="ASR50" s="10"/>
      <c r="ASS50" s="10"/>
      <c r="AST50" s="10"/>
      <c r="ASU50" s="10"/>
      <c r="ASV50" s="10"/>
      <c r="ASW50" s="10"/>
      <c r="ASX50" s="10"/>
      <c r="ASY50" s="10"/>
      <c r="ASZ50" s="10"/>
      <c r="ATA50" s="10"/>
      <c r="ATB50" s="10"/>
      <c r="ATC50" s="10"/>
      <c r="ATD50" s="10"/>
      <c r="ATE50" s="10"/>
      <c r="ATF50" s="10"/>
      <c r="ATG50" s="10"/>
      <c r="ATH50" s="10"/>
      <c r="ATI50" s="10"/>
      <c r="ATJ50" s="10"/>
      <c r="ATK50" s="10"/>
      <c r="ATL50" s="10"/>
      <c r="ATM50" s="10"/>
      <c r="ATN50" s="10"/>
      <c r="ATO50" s="10"/>
      <c r="ATP50" s="10"/>
      <c r="ATQ50" s="10"/>
      <c r="ATR50" s="10"/>
      <c r="ATS50" s="10"/>
      <c r="ATT50" s="10"/>
      <c r="ATU50" s="10"/>
      <c r="ATV50" s="10"/>
      <c r="ATW50" s="10"/>
      <c r="ATX50" s="10"/>
      <c r="ATY50" s="10"/>
      <c r="ATZ50" s="10"/>
      <c r="AUA50" s="10"/>
      <c r="AUB50" s="10"/>
      <c r="AUC50" s="10"/>
      <c r="AUD50" s="10"/>
      <c r="AUE50" s="10"/>
      <c r="AUF50" s="10"/>
      <c r="AUG50" s="10"/>
      <c r="AUH50" s="10"/>
      <c r="AUI50" s="10"/>
      <c r="AUJ50" s="10"/>
      <c r="AUK50" s="10"/>
      <c r="AUL50" s="10"/>
      <c r="AUM50" s="10"/>
      <c r="AUN50" s="10"/>
      <c r="AUO50" s="10"/>
      <c r="AUP50" s="10"/>
      <c r="AUQ50" s="10"/>
      <c r="AUR50" s="10"/>
      <c r="AUS50" s="10"/>
      <c r="AUT50" s="10"/>
      <c r="AUU50" s="10"/>
      <c r="AUV50" s="10"/>
      <c r="AUW50" s="10"/>
      <c r="AUX50" s="10"/>
      <c r="AUY50" s="10"/>
      <c r="AUZ50" s="10"/>
      <c r="AVA50" s="10"/>
      <c r="AVB50" s="10"/>
      <c r="AVC50" s="10"/>
      <c r="AVD50" s="10"/>
      <c r="AVE50" s="10"/>
      <c r="AVF50" s="10"/>
      <c r="AVG50" s="10"/>
      <c r="AVH50" s="10"/>
      <c r="AVI50" s="10"/>
      <c r="AVJ50" s="10"/>
      <c r="AVK50" s="10"/>
      <c r="AVL50" s="10"/>
      <c r="AVM50" s="10"/>
      <c r="AVN50" s="10"/>
      <c r="AVO50" s="10"/>
      <c r="AVP50" s="10"/>
      <c r="AVQ50" s="10"/>
      <c r="AVR50" s="10"/>
      <c r="AVS50" s="10"/>
      <c r="AVT50" s="10"/>
      <c r="AVU50" s="10"/>
      <c r="AVV50" s="10"/>
      <c r="AVW50" s="10"/>
      <c r="AVX50" s="10"/>
      <c r="AVY50" s="10"/>
      <c r="AVZ50" s="10"/>
      <c r="AWA50" s="10"/>
      <c r="AWB50" s="10"/>
      <c r="AWC50" s="10"/>
      <c r="AWD50" s="10"/>
      <c r="AWE50" s="10"/>
      <c r="AWF50" s="10"/>
      <c r="AWG50" s="10"/>
      <c r="AWH50" s="10"/>
      <c r="AWI50" s="10"/>
      <c r="AWJ50" s="10"/>
      <c r="AWK50" s="10"/>
      <c r="AWL50" s="10"/>
      <c r="AWM50" s="10"/>
      <c r="AWN50" s="10"/>
      <c r="AWO50" s="10"/>
      <c r="AWP50" s="10"/>
      <c r="AWQ50" s="10"/>
      <c r="AWR50" s="10"/>
      <c r="AWS50" s="10"/>
      <c r="AWT50" s="10"/>
      <c r="AWU50" s="10"/>
      <c r="AWV50" s="10"/>
      <c r="AWW50" s="10"/>
      <c r="AWX50" s="10"/>
      <c r="AWY50" s="10"/>
      <c r="AWZ50" s="10"/>
      <c r="AXA50" s="10"/>
      <c r="AXB50" s="10"/>
      <c r="AXC50" s="10"/>
      <c r="AXD50" s="10"/>
      <c r="AXE50" s="10"/>
      <c r="AXF50" s="10"/>
      <c r="AXG50" s="10"/>
      <c r="AXH50" s="10"/>
      <c r="AXI50" s="10"/>
      <c r="AXJ50" s="10"/>
      <c r="AXK50" s="10"/>
      <c r="AXL50" s="10"/>
      <c r="AXM50" s="10"/>
      <c r="AXN50" s="10"/>
      <c r="AXO50" s="10"/>
      <c r="AXP50" s="10"/>
      <c r="AXQ50" s="10"/>
      <c r="AXR50" s="10"/>
      <c r="AXS50" s="10"/>
      <c r="AXT50" s="10"/>
      <c r="AXU50" s="10"/>
      <c r="AXV50" s="10"/>
      <c r="AXW50" s="10"/>
      <c r="AXX50" s="10"/>
      <c r="AXY50" s="10"/>
      <c r="AXZ50" s="10"/>
      <c r="AYA50" s="10"/>
      <c r="AYB50" s="10"/>
      <c r="AYC50" s="10"/>
      <c r="AYD50" s="10"/>
      <c r="AYE50" s="10"/>
      <c r="AYF50" s="10"/>
      <c r="AYG50" s="10"/>
      <c r="AYH50" s="10"/>
      <c r="AYI50" s="10"/>
      <c r="AYJ50" s="10"/>
      <c r="AYK50" s="10"/>
      <c r="AYL50" s="10"/>
      <c r="AYM50" s="10"/>
      <c r="AYN50" s="10"/>
      <c r="AYO50" s="10"/>
      <c r="AYP50" s="10"/>
      <c r="AYQ50" s="10"/>
      <c r="AYR50" s="10"/>
      <c r="AYS50" s="10"/>
      <c r="AYT50" s="10"/>
      <c r="AYU50" s="10"/>
      <c r="AYV50" s="10"/>
      <c r="AYW50" s="10"/>
      <c r="AYX50" s="10"/>
      <c r="AYY50" s="10"/>
      <c r="AYZ50" s="10"/>
      <c r="AZA50" s="10"/>
      <c r="AZB50" s="10"/>
      <c r="AZC50" s="10"/>
      <c r="AZD50" s="10"/>
      <c r="AZE50" s="10"/>
      <c r="AZF50" s="10"/>
      <c r="AZG50" s="10"/>
      <c r="AZH50" s="10"/>
      <c r="AZI50" s="10"/>
      <c r="AZJ50" s="10"/>
      <c r="AZK50" s="10"/>
      <c r="AZL50" s="10"/>
      <c r="AZM50" s="10"/>
      <c r="AZN50" s="10"/>
      <c r="AZO50" s="10"/>
      <c r="AZP50" s="10"/>
      <c r="AZQ50" s="10"/>
      <c r="AZR50" s="10"/>
      <c r="AZS50" s="10"/>
      <c r="AZT50" s="10"/>
      <c r="AZU50" s="10"/>
      <c r="AZV50" s="10"/>
      <c r="AZW50" s="10"/>
      <c r="AZX50" s="10"/>
      <c r="AZY50" s="10"/>
      <c r="AZZ50" s="10"/>
      <c r="BAA50" s="10"/>
      <c r="BAB50" s="10"/>
      <c r="BAC50" s="10"/>
      <c r="BAD50" s="10"/>
      <c r="BAE50" s="10"/>
      <c r="BAF50" s="10"/>
      <c r="BAG50" s="10"/>
      <c r="BAH50" s="10"/>
      <c r="BAI50" s="10"/>
      <c r="BAJ50" s="10"/>
      <c r="BAK50" s="10"/>
      <c r="BAL50" s="10"/>
      <c r="BAM50" s="10"/>
      <c r="BAN50" s="10"/>
      <c r="BAO50" s="10"/>
      <c r="BAP50" s="10"/>
      <c r="BAQ50" s="10"/>
      <c r="BAR50" s="10"/>
      <c r="BAS50" s="10"/>
      <c r="BAT50" s="10"/>
      <c r="BAU50" s="10"/>
      <c r="BAV50" s="10"/>
      <c r="BAW50" s="10"/>
      <c r="BAX50" s="10"/>
      <c r="BAY50" s="10"/>
      <c r="BAZ50" s="10"/>
      <c r="BBA50" s="10"/>
      <c r="BBB50" s="10"/>
      <c r="BBC50" s="10"/>
      <c r="BBD50" s="10"/>
      <c r="BBE50" s="10"/>
      <c r="BBF50" s="10"/>
      <c r="BBG50" s="10"/>
      <c r="BBH50" s="10"/>
      <c r="BBI50" s="10"/>
      <c r="BBJ50" s="10"/>
      <c r="BBK50" s="10"/>
      <c r="BBL50" s="10"/>
      <c r="BBM50" s="10"/>
      <c r="BBN50" s="10"/>
      <c r="BBO50" s="10"/>
      <c r="BBP50" s="10"/>
      <c r="BBQ50" s="10"/>
      <c r="BBR50" s="10"/>
      <c r="BBS50" s="10"/>
      <c r="BBT50" s="10"/>
      <c r="BBU50" s="10"/>
      <c r="BBV50" s="10"/>
      <c r="BBW50" s="10"/>
      <c r="BBX50" s="10"/>
      <c r="BBY50" s="10"/>
      <c r="BBZ50" s="10"/>
      <c r="BCA50" s="10"/>
      <c r="BCB50" s="10"/>
      <c r="BCC50" s="10"/>
      <c r="BCD50" s="10"/>
      <c r="BCE50" s="10"/>
      <c r="BCF50" s="10"/>
      <c r="BCG50" s="10"/>
      <c r="BCH50" s="10"/>
      <c r="BCI50" s="10"/>
      <c r="BCJ50" s="10"/>
      <c r="BCK50" s="10"/>
      <c r="BCL50" s="10"/>
      <c r="BCM50" s="10"/>
      <c r="BCN50" s="10"/>
      <c r="BCO50" s="10"/>
      <c r="BCP50" s="10"/>
      <c r="BCQ50" s="10"/>
      <c r="BCR50" s="10"/>
      <c r="BCS50" s="10"/>
      <c r="BCT50" s="10"/>
      <c r="BCU50" s="10"/>
      <c r="BCV50" s="10"/>
      <c r="BCW50" s="10"/>
      <c r="BCX50" s="10"/>
      <c r="BCY50" s="10"/>
      <c r="BCZ50" s="10"/>
      <c r="BDA50" s="10"/>
      <c r="BDB50" s="10"/>
      <c r="BDC50" s="10"/>
      <c r="BDD50" s="10"/>
      <c r="BDE50" s="10"/>
      <c r="BDF50" s="10"/>
      <c r="BDG50" s="10"/>
      <c r="BDH50" s="10"/>
      <c r="BDI50" s="10"/>
      <c r="BDJ50" s="10"/>
      <c r="BDK50" s="10"/>
      <c r="BDL50" s="10"/>
      <c r="BDM50" s="10"/>
      <c r="BDN50" s="10"/>
      <c r="BDO50" s="10"/>
      <c r="BDP50" s="10"/>
      <c r="BDQ50" s="10"/>
      <c r="BDR50" s="10"/>
      <c r="BDS50" s="10"/>
      <c r="BDT50" s="10"/>
      <c r="BDU50" s="10"/>
      <c r="BDV50" s="10"/>
      <c r="BDW50" s="10"/>
      <c r="BDX50" s="10"/>
      <c r="BDY50" s="10"/>
      <c r="BDZ50" s="10"/>
      <c r="BEA50" s="10"/>
      <c r="BEB50" s="10"/>
      <c r="BEC50" s="10"/>
      <c r="BED50" s="10"/>
      <c r="BEE50" s="10"/>
      <c r="BEF50" s="10"/>
      <c r="BEG50" s="10"/>
      <c r="BEH50" s="10"/>
      <c r="BEI50" s="10"/>
      <c r="BEJ50" s="10"/>
      <c r="BEK50" s="10"/>
      <c r="BEL50" s="10"/>
      <c r="BEM50" s="10"/>
      <c r="BEN50" s="10"/>
      <c r="BEO50" s="10"/>
      <c r="BEP50" s="10"/>
      <c r="BEQ50" s="10"/>
      <c r="BER50" s="10"/>
      <c r="BES50" s="10"/>
      <c r="BET50" s="10"/>
      <c r="BEU50" s="10"/>
      <c r="BEV50" s="10"/>
      <c r="BEW50" s="10"/>
      <c r="BEX50" s="10"/>
      <c r="BEY50" s="10"/>
      <c r="BEZ50" s="10"/>
      <c r="BFA50" s="10"/>
      <c r="BFB50" s="10"/>
      <c r="BFC50" s="10"/>
      <c r="BFD50" s="10"/>
      <c r="BFE50" s="10"/>
      <c r="BFF50" s="10"/>
      <c r="BFG50" s="10"/>
      <c r="BFH50" s="10"/>
      <c r="BFI50" s="10"/>
      <c r="BFJ50" s="10"/>
      <c r="BFK50" s="10"/>
      <c r="BFL50" s="10"/>
      <c r="BFM50" s="10"/>
      <c r="BFN50" s="10"/>
      <c r="BFO50" s="10"/>
      <c r="BFP50" s="10"/>
      <c r="BFQ50" s="10"/>
      <c r="BFR50" s="10"/>
      <c r="BFS50" s="10"/>
      <c r="BFT50" s="10"/>
      <c r="BFU50" s="10"/>
      <c r="BFV50" s="10"/>
      <c r="BFW50" s="10"/>
      <c r="BFX50" s="10"/>
      <c r="BFY50" s="10"/>
      <c r="BFZ50" s="10"/>
      <c r="BGA50" s="10"/>
      <c r="BGB50" s="10"/>
      <c r="BGC50" s="10"/>
      <c r="BGD50" s="10"/>
      <c r="BGE50" s="10"/>
      <c r="BGF50" s="10"/>
      <c r="BGG50" s="10"/>
      <c r="BGH50" s="10"/>
      <c r="BGI50" s="10"/>
      <c r="BGJ50" s="10"/>
      <c r="BGK50" s="10"/>
      <c r="BGL50" s="10"/>
      <c r="BGM50" s="10"/>
      <c r="BGN50" s="10"/>
      <c r="BGO50" s="10"/>
      <c r="BGP50" s="10"/>
      <c r="BGQ50" s="10"/>
      <c r="BGR50" s="10"/>
      <c r="BGS50" s="10"/>
      <c r="BGT50" s="10"/>
      <c r="BGU50" s="10"/>
      <c r="BGV50" s="10"/>
      <c r="BGW50" s="10"/>
      <c r="BGX50" s="10"/>
      <c r="BGY50" s="10"/>
      <c r="BGZ50" s="10"/>
      <c r="BHA50" s="10"/>
      <c r="BHB50" s="10"/>
      <c r="BHC50" s="10"/>
      <c r="BHD50" s="10"/>
      <c r="BHE50" s="10"/>
      <c r="BHF50" s="10"/>
      <c r="BHG50" s="10"/>
      <c r="BHH50" s="10"/>
      <c r="BHI50" s="10"/>
      <c r="BHJ50" s="10"/>
      <c r="BHK50" s="10"/>
      <c r="BHL50" s="10"/>
      <c r="BHM50" s="10"/>
      <c r="BHN50" s="10"/>
      <c r="BHO50" s="10"/>
      <c r="BHP50" s="10"/>
      <c r="BHQ50" s="10"/>
      <c r="BHR50" s="10"/>
      <c r="BHS50" s="10"/>
      <c r="BHT50" s="10"/>
      <c r="BHU50" s="10"/>
      <c r="BHV50" s="10"/>
      <c r="BHW50" s="10"/>
      <c r="BHX50" s="10"/>
      <c r="BHY50" s="10"/>
      <c r="BHZ50" s="10"/>
      <c r="BIA50" s="10"/>
      <c r="BIB50" s="10"/>
      <c r="BIC50" s="10"/>
      <c r="BID50" s="10"/>
      <c r="BIE50" s="10"/>
      <c r="BIF50" s="10"/>
      <c r="BIG50" s="10"/>
      <c r="BIH50" s="10"/>
      <c r="BII50" s="10"/>
      <c r="BIJ50" s="10"/>
      <c r="BIK50" s="10"/>
      <c r="BIL50" s="10"/>
      <c r="BIM50" s="10"/>
      <c r="BIN50" s="10"/>
      <c r="BIO50" s="10"/>
      <c r="BIP50" s="10"/>
      <c r="BIQ50" s="10"/>
      <c r="BIR50" s="10"/>
      <c r="BIS50" s="10"/>
      <c r="BIT50" s="10"/>
      <c r="BIU50" s="10"/>
      <c r="BIV50" s="10"/>
      <c r="BIW50" s="10"/>
      <c r="BIX50" s="10"/>
      <c r="BIY50" s="10"/>
      <c r="BIZ50" s="10"/>
      <c r="BJA50" s="10"/>
      <c r="BJB50" s="10"/>
      <c r="BJC50" s="10"/>
      <c r="BJD50" s="10"/>
      <c r="BJE50" s="10"/>
      <c r="BJF50" s="10"/>
      <c r="BJG50" s="10"/>
      <c r="BJH50" s="10"/>
      <c r="BJI50" s="10"/>
      <c r="BJJ50" s="10"/>
      <c r="BJK50" s="10"/>
      <c r="BJL50" s="10"/>
      <c r="BJM50" s="10"/>
      <c r="BJN50" s="10"/>
      <c r="BJO50" s="10"/>
      <c r="BJP50" s="10"/>
      <c r="BJQ50" s="10"/>
      <c r="BJR50" s="10"/>
      <c r="BJS50" s="10"/>
      <c r="BJT50" s="10"/>
      <c r="BJU50" s="10"/>
      <c r="BJV50" s="10"/>
      <c r="BJW50" s="10"/>
      <c r="BJX50" s="10"/>
      <c r="BJY50" s="10"/>
      <c r="BJZ50" s="10"/>
      <c r="BKA50" s="10"/>
      <c r="BKB50" s="10"/>
      <c r="BKC50" s="10"/>
      <c r="BKD50" s="10"/>
      <c r="BKE50" s="10"/>
      <c r="BKF50" s="10"/>
      <c r="BKG50" s="10"/>
      <c r="BKH50" s="10"/>
      <c r="BKI50" s="10"/>
      <c r="BKJ50" s="10"/>
      <c r="BKK50" s="10"/>
      <c r="BKL50" s="10"/>
      <c r="BKM50" s="10"/>
      <c r="BKN50" s="10"/>
      <c r="BKO50" s="10"/>
      <c r="BKP50" s="10"/>
      <c r="BKQ50" s="10"/>
      <c r="BKR50" s="10"/>
      <c r="BKS50" s="10"/>
      <c r="BKT50" s="10"/>
      <c r="BKU50" s="10"/>
      <c r="BKV50" s="10"/>
      <c r="BKW50" s="10"/>
      <c r="BKX50" s="10"/>
      <c r="BKY50" s="10"/>
      <c r="BKZ50" s="10"/>
      <c r="BLA50" s="10"/>
      <c r="BLB50" s="10"/>
      <c r="BLC50" s="10"/>
      <c r="BLD50" s="10"/>
      <c r="BLE50" s="10"/>
      <c r="BLF50" s="10"/>
      <c r="BLG50" s="10"/>
      <c r="BLH50" s="10"/>
      <c r="BLI50" s="10"/>
      <c r="BLJ50" s="10"/>
      <c r="BLK50" s="10"/>
      <c r="BLL50" s="10"/>
      <c r="BLM50" s="10"/>
      <c r="BLN50" s="10"/>
      <c r="BLO50" s="10"/>
      <c r="BLP50" s="10"/>
      <c r="BLQ50" s="10"/>
      <c r="BLR50" s="10"/>
      <c r="BLS50" s="10"/>
      <c r="BLT50" s="10"/>
      <c r="BLU50" s="10"/>
      <c r="BLV50" s="10"/>
      <c r="BLW50" s="10"/>
      <c r="BLX50" s="10"/>
      <c r="BLY50" s="10"/>
      <c r="BLZ50" s="10"/>
      <c r="BMA50" s="10"/>
      <c r="BMB50" s="10"/>
      <c r="BMC50" s="10"/>
      <c r="BMD50" s="10"/>
      <c r="BME50" s="10"/>
      <c r="BMF50" s="10"/>
      <c r="BMG50" s="10"/>
      <c r="BMH50" s="10"/>
      <c r="BMI50" s="10"/>
      <c r="BMJ50" s="10"/>
      <c r="BMK50" s="10"/>
      <c r="BML50" s="10"/>
      <c r="BMM50" s="10"/>
      <c r="BMN50" s="10"/>
      <c r="BMO50" s="10"/>
      <c r="BMP50" s="10"/>
      <c r="BMQ50" s="10"/>
      <c r="BMR50" s="10"/>
      <c r="BMS50" s="10"/>
      <c r="BMT50" s="10"/>
      <c r="BMU50" s="10"/>
      <c r="BMV50" s="10"/>
      <c r="BMW50" s="10"/>
      <c r="BMX50" s="10"/>
      <c r="BMY50" s="10"/>
      <c r="BMZ50" s="10"/>
      <c r="BNA50" s="10"/>
      <c r="BNB50" s="10"/>
      <c r="BNC50" s="10"/>
      <c r="BND50" s="10"/>
      <c r="BNE50" s="10"/>
      <c r="BNF50" s="10"/>
      <c r="BNG50" s="10"/>
      <c r="BNH50" s="10"/>
      <c r="BNI50" s="10"/>
      <c r="BNJ50" s="10"/>
      <c r="BNK50" s="10"/>
      <c r="BNL50" s="10"/>
      <c r="BNM50" s="10"/>
      <c r="BNN50" s="10"/>
      <c r="BNO50" s="10"/>
      <c r="BNP50" s="10"/>
      <c r="BNQ50" s="10"/>
      <c r="BNR50" s="10"/>
      <c r="BNS50" s="10"/>
      <c r="BNT50" s="10"/>
      <c r="BNU50" s="10"/>
      <c r="BNV50" s="10"/>
      <c r="BNW50" s="10"/>
      <c r="BNX50" s="10"/>
      <c r="BNY50" s="10"/>
      <c r="BNZ50" s="10"/>
      <c r="BOA50" s="10"/>
      <c r="BOB50" s="10"/>
      <c r="BOC50" s="10"/>
      <c r="BOD50" s="10"/>
      <c r="BOE50" s="10"/>
      <c r="BOF50" s="10"/>
      <c r="BOG50" s="10"/>
      <c r="BOH50" s="10"/>
      <c r="BOI50" s="10"/>
      <c r="BOJ50" s="10"/>
      <c r="BOK50" s="10"/>
      <c r="BOL50" s="10"/>
      <c r="BOM50" s="10"/>
      <c r="BON50" s="10"/>
      <c r="BOO50" s="10"/>
      <c r="BOP50" s="10"/>
      <c r="BOQ50" s="10"/>
      <c r="BOR50" s="10"/>
      <c r="BOS50" s="10"/>
      <c r="BOT50" s="10"/>
      <c r="BOU50" s="10"/>
      <c r="BOV50" s="10"/>
      <c r="BOW50" s="10"/>
      <c r="BOX50" s="10"/>
      <c r="BOY50" s="10"/>
      <c r="BOZ50" s="10"/>
      <c r="BPA50" s="10"/>
      <c r="BPB50" s="10"/>
      <c r="BPC50" s="10"/>
      <c r="BPD50" s="10"/>
      <c r="BPE50" s="10"/>
      <c r="BPF50" s="10"/>
      <c r="BPG50" s="10"/>
      <c r="BPH50" s="10"/>
      <c r="BPI50" s="10"/>
      <c r="BPJ50" s="10"/>
      <c r="BPK50" s="10"/>
      <c r="BPL50" s="10"/>
      <c r="BPM50" s="10"/>
      <c r="BPN50" s="10"/>
      <c r="BPO50" s="10"/>
      <c r="BPP50" s="10"/>
      <c r="BPQ50" s="10"/>
      <c r="BPR50" s="10"/>
      <c r="BPS50" s="10"/>
      <c r="BPT50" s="10"/>
      <c r="BPU50" s="10"/>
      <c r="BPV50" s="10"/>
      <c r="BPW50" s="10"/>
      <c r="BPX50" s="10"/>
      <c r="BPY50" s="10"/>
      <c r="BPZ50" s="10"/>
      <c r="BQA50" s="10"/>
      <c r="BQB50" s="10"/>
      <c r="BQC50" s="10"/>
      <c r="BQD50" s="10"/>
      <c r="BQE50" s="10"/>
      <c r="BQF50" s="10"/>
      <c r="BQG50" s="10"/>
      <c r="BQH50" s="10"/>
      <c r="BQI50" s="10"/>
      <c r="BQJ50" s="10"/>
      <c r="BQK50" s="10"/>
      <c r="BQL50" s="10"/>
      <c r="BQM50" s="10"/>
      <c r="BQN50" s="10"/>
      <c r="BQO50" s="10"/>
      <c r="BQP50" s="10"/>
      <c r="BQQ50" s="10"/>
      <c r="BQR50" s="10"/>
      <c r="BQS50" s="10"/>
      <c r="BQT50" s="10"/>
      <c r="BQU50" s="10"/>
      <c r="BQV50" s="10"/>
      <c r="BQW50" s="10"/>
      <c r="BQX50" s="10"/>
      <c r="BQY50" s="10"/>
      <c r="BQZ50" s="10"/>
      <c r="BRA50" s="10"/>
      <c r="BRB50" s="10"/>
      <c r="BRC50" s="10"/>
      <c r="BRD50" s="10"/>
      <c r="BRE50" s="10"/>
      <c r="BRF50" s="10"/>
      <c r="BRG50" s="10"/>
      <c r="BRH50" s="10"/>
      <c r="BRI50" s="10"/>
      <c r="BRJ50" s="10"/>
      <c r="BRK50" s="10"/>
      <c r="BRL50" s="10"/>
      <c r="BRM50" s="10"/>
      <c r="BRN50" s="10"/>
      <c r="BRO50" s="10"/>
      <c r="BRP50" s="10"/>
      <c r="BRQ50" s="10"/>
      <c r="BRR50" s="10"/>
      <c r="BRS50" s="10"/>
      <c r="BRT50" s="10"/>
      <c r="BRU50" s="10"/>
      <c r="BRV50" s="10"/>
      <c r="BRW50" s="10"/>
      <c r="BRX50" s="10"/>
      <c r="BRY50" s="10"/>
      <c r="BRZ50" s="10"/>
      <c r="BSA50" s="10"/>
      <c r="BSB50" s="10"/>
      <c r="BSC50" s="10"/>
      <c r="BSD50" s="10"/>
      <c r="BSE50" s="10"/>
      <c r="BSF50" s="10"/>
      <c r="BSG50" s="10"/>
      <c r="BSH50" s="10"/>
      <c r="BSI50" s="10"/>
      <c r="BSJ50" s="10"/>
      <c r="BSK50" s="10"/>
      <c r="BSL50" s="10"/>
      <c r="BSM50" s="10"/>
      <c r="BSN50" s="10"/>
      <c r="BSO50" s="10"/>
      <c r="BSP50" s="10"/>
      <c r="BSQ50" s="10"/>
      <c r="BSR50" s="10"/>
      <c r="BSS50" s="10"/>
      <c r="BST50" s="10"/>
      <c r="BSU50" s="10"/>
      <c r="BSV50" s="10"/>
      <c r="BSW50" s="10"/>
      <c r="BSX50" s="10"/>
      <c r="BSY50" s="10"/>
      <c r="BSZ50" s="10"/>
      <c r="BTA50" s="10"/>
      <c r="BTB50" s="10"/>
      <c r="BTC50" s="10"/>
      <c r="BTD50" s="10"/>
      <c r="BTE50" s="10"/>
      <c r="BTF50" s="10"/>
      <c r="BTG50" s="10"/>
      <c r="BTH50" s="10"/>
      <c r="BTI50" s="10"/>
      <c r="BTJ50" s="10"/>
      <c r="BTK50" s="10"/>
      <c r="BTL50" s="10"/>
      <c r="BTM50" s="10"/>
      <c r="BTN50" s="10"/>
      <c r="BTO50" s="10"/>
      <c r="BTP50" s="10"/>
      <c r="BTQ50" s="10"/>
      <c r="BTR50" s="10"/>
      <c r="BTS50" s="10"/>
      <c r="BTT50" s="10"/>
      <c r="BTU50" s="10"/>
      <c r="BTV50" s="10"/>
      <c r="BTW50" s="10"/>
      <c r="BTX50" s="10"/>
      <c r="BTY50" s="10"/>
      <c r="BTZ50" s="10"/>
      <c r="BUA50" s="10"/>
      <c r="BUB50" s="10"/>
      <c r="BUC50" s="10"/>
      <c r="BUD50" s="10"/>
      <c r="BUE50" s="10"/>
      <c r="BUF50" s="10"/>
      <c r="BUG50" s="10"/>
      <c r="BUH50" s="10"/>
      <c r="BUI50" s="10"/>
      <c r="BUJ50" s="10"/>
      <c r="BUK50" s="10"/>
      <c r="BUL50" s="10"/>
      <c r="BUM50" s="10"/>
      <c r="BUN50" s="10"/>
      <c r="BUO50" s="10"/>
      <c r="BUP50" s="10"/>
      <c r="BUQ50" s="10"/>
      <c r="BUR50" s="10"/>
      <c r="BUS50" s="10"/>
      <c r="BUT50" s="10"/>
      <c r="BUU50" s="10"/>
      <c r="BUV50" s="10"/>
      <c r="BUW50" s="10"/>
      <c r="BUX50" s="10"/>
      <c r="BUY50" s="10"/>
      <c r="BUZ50" s="10"/>
      <c r="BVA50" s="10"/>
      <c r="BVB50" s="10"/>
      <c r="BVC50" s="10"/>
      <c r="BVD50" s="10"/>
      <c r="BVE50" s="10"/>
      <c r="BVF50" s="10"/>
      <c r="BVG50" s="10"/>
      <c r="BVH50" s="10"/>
      <c r="BVI50" s="10"/>
      <c r="BVJ50" s="10"/>
      <c r="BVK50" s="10"/>
      <c r="BVL50" s="10"/>
      <c r="BVM50" s="10"/>
      <c r="BVN50" s="10"/>
      <c r="BVO50" s="10"/>
      <c r="BVP50" s="10"/>
      <c r="BVQ50" s="10"/>
      <c r="BVR50" s="10"/>
      <c r="BVS50" s="10"/>
      <c r="BVT50" s="10"/>
      <c r="BVU50" s="10"/>
      <c r="BVV50" s="10"/>
      <c r="BVW50" s="10"/>
      <c r="BVX50" s="10"/>
      <c r="BVY50" s="10"/>
      <c r="BVZ50" s="10"/>
      <c r="BWA50" s="10"/>
      <c r="BWB50" s="10"/>
      <c r="BWC50" s="10"/>
      <c r="BWD50" s="10"/>
      <c r="BWE50" s="10"/>
      <c r="BWF50" s="10"/>
      <c r="BWG50" s="10"/>
      <c r="BWH50" s="10"/>
      <c r="BWI50" s="10"/>
      <c r="BWJ50" s="10"/>
      <c r="BWK50" s="10"/>
      <c r="BWL50" s="10"/>
      <c r="BWM50" s="10"/>
      <c r="BWN50" s="10"/>
      <c r="BWO50" s="10"/>
      <c r="BWP50" s="10"/>
      <c r="BWQ50" s="10"/>
      <c r="BWR50" s="10"/>
      <c r="BWS50" s="10"/>
      <c r="BWT50" s="10"/>
      <c r="BWU50" s="10"/>
      <c r="BWV50" s="10"/>
      <c r="BWW50" s="10"/>
      <c r="BWX50" s="10"/>
      <c r="BWY50" s="10"/>
      <c r="BWZ50" s="10"/>
      <c r="BXA50" s="10"/>
      <c r="BXB50" s="10"/>
      <c r="BXC50" s="10"/>
      <c r="BXD50" s="10"/>
      <c r="BXE50" s="10"/>
      <c r="BXF50" s="10"/>
      <c r="BXG50" s="10"/>
      <c r="BXH50" s="10"/>
      <c r="BXI50" s="10"/>
      <c r="BXJ50" s="10"/>
      <c r="BXK50" s="10"/>
      <c r="BXL50" s="10"/>
      <c r="BXM50" s="10"/>
      <c r="BXN50" s="10"/>
      <c r="BXO50" s="10"/>
      <c r="BXP50" s="10"/>
      <c r="BXQ50" s="10"/>
      <c r="BXR50" s="10"/>
      <c r="BXS50" s="10"/>
      <c r="BXT50" s="10"/>
      <c r="BXU50" s="10"/>
      <c r="BXV50" s="10"/>
      <c r="BXW50" s="10"/>
      <c r="BXX50" s="10"/>
      <c r="BXY50" s="10"/>
      <c r="BXZ50" s="10"/>
      <c r="BYA50" s="10"/>
      <c r="BYB50" s="10"/>
      <c r="BYC50" s="10"/>
      <c r="BYD50" s="10"/>
      <c r="BYE50" s="10"/>
      <c r="BYF50" s="10"/>
      <c r="BYG50" s="10"/>
      <c r="BYH50" s="10"/>
      <c r="BYI50" s="10"/>
      <c r="BYJ50" s="10"/>
      <c r="BYK50" s="10"/>
      <c r="BYL50" s="10"/>
      <c r="BYM50" s="10"/>
      <c r="BYN50" s="10"/>
      <c r="BYO50" s="10"/>
      <c r="BYP50" s="10"/>
      <c r="BYQ50" s="10"/>
      <c r="BYR50" s="10"/>
      <c r="BYS50" s="10"/>
      <c r="BYT50" s="10"/>
      <c r="BYU50" s="10"/>
      <c r="BYV50" s="10"/>
      <c r="BYW50" s="10"/>
      <c r="BYX50" s="10"/>
      <c r="BYY50" s="10"/>
      <c r="BYZ50" s="10"/>
      <c r="BZA50" s="10"/>
      <c r="BZB50" s="10"/>
      <c r="BZC50" s="10"/>
      <c r="BZD50" s="10"/>
      <c r="BZE50" s="10"/>
      <c r="BZF50" s="10"/>
      <c r="BZG50" s="10"/>
      <c r="BZH50" s="10"/>
      <c r="BZI50" s="10"/>
      <c r="BZJ50" s="10"/>
      <c r="BZK50" s="10"/>
      <c r="BZL50" s="10"/>
      <c r="BZM50" s="10"/>
      <c r="BZN50" s="10"/>
      <c r="BZO50" s="10"/>
      <c r="BZP50" s="10"/>
      <c r="BZQ50" s="10"/>
      <c r="BZR50" s="10"/>
      <c r="BZS50" s="10"/>
      <c r="BZT50" s="10"/>
      <c r="BZU50" s="10"/>
      <c r="BZV50" s="10"/>
      <c r="BZW50" s="10"/>
      <c r="BZX50" s="10"/>
      <c r="BZY50" s="10"/>
      <c r="BZZ50" s="10"/>
      <c r="CAA50" s="10"/>
      <c r="CAB50" s="10"/>
      <c r="CAC50" s="10"/>
      <c r="CAD50" s="10"/>
      <c r="CAE50" s="10"/>
      <c r="CAF50" s="10"/>
      <c r="CAG50" s="10"/>
      <c r="CAH50" s="10"/>
      <c r="CAI50" s="10"/>
      <c r="CAJ50" s="10"/>
      <c r="CAK50" s="10"/>
      <c r="CAL50" s="10"/>
      <c r="CAM50" s="10"/>
      <c r="CAN50" s="10"/>
      <c r="CAO50" s="10"/>
      <c r="CAP50" s="10"/>
      <c r="CAQ50" s="10"/>
      <c r="CAR50" s="10"/>
      <c r="CAS50" s="10"/>
      <c r="CAT50" s="10"/>
      <c r="CAU50" s="10"/>
      <c r="CAV50" s="10"/>
      <c r="CAW50" s="10"/>
      <c r="CAX50" s="10"/>
      <c r="CAY50" s="10"/>
      <c r="CAZ50" s="10"/>
      <c r="CBA50" s="10"/>
      <c r="CBB50" s="10"/>
      <c r="CBC50" s="10"/>
      <c r="CBD50" s="10"/>
      <c r="CBE50" s="10"/>
      <c r="CBF50" s="10"/>
      <c r="CBG50" s="10"/>
      <c r="CBH50" s="10"/>
      <c r="CBI50" s="10"/>
      <c r="CBJ50" s="10"/>
      <c r="CBK50" s="10"/>
      <c r="CBL50" s="10"/>
      <c r="CBM50" s="10"/>
      <c r="CBN50" s="10"/>
      <c r="CBO50" s="10"/>
      <c r="CBP50" s="10"/>
      <c r="CBQ50" s="10"/>
      <c r="CBR50" s="10"/>
      <c r="CBS50" s="10"/>
      <c r="CBT50" s="10"/>
      <c r="CBU50" s="10"/>
      <c r="CBV50" s="10"/>
      <c r="CBW50" s="10"/>
      <c r="CBX50" s="10"/>
      <c r="CBY50" s="10"/>
      <c r="CBZ50" s="10"/>
      <c r="CCA50" s="10"/>
      <c r="CCB50" s="10"/>
      <c r="CCC50" s="10"/>
      <c r="CCD50" s="10"/>
      <c r="CCE50" s="10"/>
      <c r="CCF50" s="10"/>
      <c r="CCG50" s="10"/>
      <c r="CCH50" s="10"/>
      <c r="CCI50" s="10"/>
      <c r="CCJ50" s="10"/>
      <c r="CCK50" s="10"/>
      <c r="CCL50" s="10"/>
      <c r="CCM50" s="10"/>
      <c r="CCN50" s="10"/>
      <c r="CCO50" s="10"/>
      <c r="CCP50" s="10"/>
      <c r="CCQ50" s="10"/>
      <c r="CCR50" s="10"/>
      <c r="CCS50" s="10"/>
      <c r="CCT50" s="10"/>
      <c r="CCU50" s="10"/>
      <c r="CCV50" s="10"/>
      <c r="CCW50" s="10"/>
      <c r="CCX50" s="10"/>
      <c r="CCY50" s="10"/>
      <c r="CCZ50" s="10"/>
      <c r="CDA50" s="10"/>
      <c r="CDB50" s="10"/>
      <c r="CDC50" s="10"/>
      <c r="CDD50" s="10"/>
      <c r="CDE50" s="10"/>
      <c r="CDF50" s="10"/>
      <c r="CDG50" s="10"/>
      <c r="CDH50" s="10"/>
      <c r="CDI50" s="10"/>
      <c r="CDJ50" s="10"/>
      <c r="CDK50" s="10"/>
      <c r="CDL50" s="10"/>
      <c r="CDM50" s="10"/>
      <c r="CDN50" s="10"/>
      <c r="CDO50" s="10"/>
      <c r="CDP50" s="10"/>
      <c r="CDQ50" s="10"/>
      <c r="CDR50" s="10"/>
      <c r="CDS50" s="10"/>
      <c r="CDT50" s="10"/>
      <c r="CDU50" s="10"/>
      <c r="CDV50" s="10"/>
      <c r="CDW50" s="10"/>
      <c r="CDX50" s="10"/>
      <c r="CDY50" s="10"/>
      <c r="CDZ50" s="10"/>
      <c r="CEA50" s="10"/>
      <c r="CEB50" s="10"/>
      <c r="CEC50" s="10"/>
      <c r="CED50" s="10"/>
      <c r="CEE50" s="10"/>
      <c r="CEF50" s="10"/>
      <c r="CEG50" s="10"/>
      <c r="CEH50" s="10"/>
      <c r="CEI50" s="10"/>
      <c r="CEJ50" s="10"/>
      <c r="CEK50" s="10"/>
      <c r="CEL50" s="10"/>
      <c r="CEM50" s="10"/>
      <c r="CEN50" s="10"/>
      <c r="CEO50" s="10"/>
      <c r="CEP50" s="10"/>
      <c r="CEQ50" s="10"/>
      <c r="CER50" s="10"/>
      <c r="CES50" s="10"/>
      <c r="CET50" s="10"/>
      <c r="CEU50" s="10"/>
      <c r="CEV50" s="10"/>
      <c r="CEW50" s="10"/>
      <c r="CEX50" s="10"/>
      <c r="CEY50" s="10"/>
      <c r="CEZ50" s="10"/>
      <c r="CFA50" s="10"/>
      <c r="CFB50" s="10"/>
      <c r="CFC50" s="10"/>
      <c r="CFD50" s="10"/>
      <c r="CFE50" s="10"/>
      <c r="CFF50" s="10"/>
      <c r="CFG50" s="10"/>
      <c r="CFH50" s="10"/>
      <c r="CFI50" s="10"/>
      <c r="CFJ50" s="10"/>
      <c r="CFK50" s="10"/>
      <c r="CFL50" s="10"/>
      <c r="CFM50" s="10"/>
      <c r="CFN50" s="10"/>
      <c r="CFO50" s="10"/>
      <c r="CFP50" s="10"/>
      <c r="CFQ50" s="10"/>
      <c r="CFR50" s="10"/>
      <c r="CFS50" s="10"/>
      <c r="CFT50" s="10"/>
      <c r="CFU50" s="10"/>
      <c r="CFV50" s="10"/>
      <c r="CFW50" s="10"/>
      <c r="CFX50" s="10"/>
      <c r="CFY50" s="10"/>
      <c r="CFZ50" s="10"/>
      <c r="CGA50" s="10"/>
      <c r="CGB50" s="10"/>
      <c r="CGC50" s="10"/>
      <c r="CGD50" s="10"/>
      <c r="CGE50" s="10"/>
      <c r="CGF50" s="10"/>
      <c r="CGG50" s="10"/>
      <c r="CGH50" s="10"/>
      <c r="CGI50" s="10"/>
      <c r="CGJ50" s="10"/>
      <c r="CGK50" s="10"/>
      <c r="CGL50" s="10"/>
      <c r="CGM50" s="10"/>
      <c r="CGN50" s="10"/>
      <c r="CGO50" s="10"/>
      <c r="CGP50" s="10"/>
      <c r="CGQ50" s="10"/>
      <c r="CGR50" s="10"/>
      <c r="CGS50" s="10"/>
      <c r="CGT50" s="10"/>
      <c r="CGU50" s="10"/>
      <c r="CGV50" s="10"/>
      <c r="CGW50" s="10"/>
      <c r="CGX50" s="10"/>
      <c r="CGY50" s="10"/>
      <c r="CGZ50" s="10"/>
      <c r="CHA50" s="10"/>
      <c r="CHB50" s="10"/>
      <c r="CHC50" s="10"/>
      <c r="CHD50" s="10"/>
      <c r="CHE50" s="10"/>
      <c r="CHF50" s="10"/>
      <c r="CHG50" s="10"/>
      <c r="CHH50" s="10"/>
      <c r="CHI50" s="10"/>
      <c r="CHJ50" s="10"/>
      <c r="CHK50" s="10"/>
      <c r="CHL50" s="10"/>
      <c r="CHM50" s="10"/>
      <c r="CHN50" s="10"/>
      <c r="CHO50" s="10"/>
      <c r="CHP50" s="10"/>
      <c r="CHQ50" s="10"/>
      <c r="CHR50" s="10"/>
      <c r="CHS50" s="10"/>
      <c r="CHT50" s="10"/>
      <c r="CHU50" s="10"/>
      <c r="CHV50" s="10"/>
      <c r="CHW50" s="10"/>
      <c r="CHX50" s="10"/>
      <c r="CHY50" s="10"/>
      <c r="CHZ50" s="10"/>
      <c r="CIA50" s="10"/>
      <c r="CIB50" s="10"/>
      <c r="CIC50" s="10"/>
      <c r="CID50" s="10"/>
      <c r="CIE50" s="10"/>
      <c r="CIF50" s="10"/>
      <c r="CIG50" s="10"/>
      <c r="CIH50" s="10"/>
      <c r="CII50" s="10"/>
      <c r="CIJ50" s="10"/>
      <c r="CIK50" s="10"/>
      <c r="CIL50" s="10"/>
      <c r="CIM50" s="10"/>
      <c r="CIN50" s="10"/>
      <c r="CIO50" s="10"/>
      <c r="CIP50" s="10"/>
      <c r="CIQ50" s="10"/>
      <c r="CIR50" s="10"/>
      <c r="CIS50" s="10"/>
      <c r="CIT50" s="10"/>
      <c r="CIU50" s="10"/>
      <c r="CIV50" s="10"/>
      <c r="CIW50" s="10"/>
      <c r="CIX50" s="10"/>
      <c r="CIY50" s="10"/>
      <c r="CIZ50" s="10"/>
      <c r="CJA50" s="10"/>
      <c r="CJB50" s="10"/>
      <c r="CJC50" s="10"/>
      <c r="CJD50" s="10"/>
      <c r="CJE50" s="10"/>
      <c r="CJF50" s="10"/>
      <c r="CJG50" s="10"/>
      <c r="CJH50" s="10"/>
      <c r="CJI50" s="10"/>
      <c r="CJJ50" s="10"/>
      <c r="CJK50" s="10"/>
      <c r="CJL50" s="10"/>
      <c r="CJM50" s="10"/>
      <c r="CJN50" s="10"/>
      <c r="CJO50" s="10"/>
      <c r="CJP50" s="10"/>
      <c r="CJQ50" s="10"/>
      <c r="CJR50" s="10"/>
      <c r="CJS50" s="10"/>
      <c r="CJT50" s="10"/>
      <c r="CJU50" s="10"/>
      <c r="CJV50" s="10"/>
      <c r="CJW50" s="10"/>
      <c r="CJX50" s="10"/>
      <c r="CJY50" s="10"/>
      <c r="CJZ50" s="10"/>
      <c r="CKA50" s="10"/>
      <c r="CKB50" s="10"/>
      <c r="CKC50" s="10"/>
      <c r="CKD50" s="10"/>
      <c r="CKE50" s="10"/>
      <c r="CKF50" s="10"/>
      <c r="CKG50" s="10"/>
      <c r="CKH50" s="10"/>
      <c r="CKI50" s="10"/>
      <c r="CKJ50" s="10"/>
      <c r="CKK50" s="10"/>
      <c r="CKL50" s="10"/>
      <c r="CKM50" s="10"/>
      <c r="CKN50" s="10"/>
      <c r="CKO50" s="10"/>
      <c r="CKP50" s="10"/>
      <c r="CKQ50" s="10"/>
      <c r="CKR50" s="10"/>
      <c r="CKS50" s="10"/>
      <c r="CKT50" s="10"/>
      <c r="CKU50" s="10"/>
      <c r="CKV50" s="10"/>
      <c r="CKW50" s="10"/>
      <c r="CKX50" s="10"/>
      <c r="CKY50" s="10"/>
      <c r="CKZ50" s="10"/>
      <c r="CLA50" s="10"/>
      <c r="CLB50" s="10"/>
      <c r="CLC50" s="10"/>
      <c r="CLD50" s="10"/>
      <c r="CLE50" s="10"/>
      <c r="CLF50" s="10"/>
      <c r="CLG50" s="10"/>
      <c r="CLH50" s="10"/>
      <c r="CLI50" s="10"/>
      <c r="CLJ50" s="10"/>
      <c r="CLK50" s="10"/>
      <c r="CLL50" s="10"/>
      <c r="CLM50" s="10"/>
      <c r="CLN50" s="10"/>
      <c r="CLO50" s="10"/>
      <c r="CLP50" s="10"/>
      <c r="CLQ50" s="10"/>
      <c r="CLR50" s="10"/>
      <c r="CLS50" s="10"/>
      <c r="CLT50" s="10"/>
      <c r="CLU50" s="10"/>
      <c r="CLV50" s="10"/>
      <c r="CLW50" s="10"/>
      <c r="CLX50" s="10"/>
      <c r="CLY50" s="10"/>
      <c r="CLZ50" s="10"/>
      <c r="CMA50" s="10"/>
      <c r="CMB50" s="10"/>
      <c r="CMC50" s="10"/>
      <c r="CMD50" s="10"/>
      <c r="CME50" s="10"/>
      <c r="CMF50" s="10"/>
      <c r="CMG50" s="10"/>
      <c r="CMH50" s="10"/>
      <c r="CMI50" s="10"/>
      <c r="CMJ50" s="10"/>
      <c r="CMK50" s="10"/>
      <c r="CML50" s="10"/>
      <c r="CMM50" s="10"/>
      <c r="CMN50" s="10"/>
      <c r="CMO50" s="10"/>
      <c r="CMP50" s="10"/>
      <c r="CMQ50" s="10"/>
      <c r="CMR50" s="10"/>
      <c r="CMS50" s="10"/>
      <c r="CMT50" s="10"/>
      <c r="CMU50" s="10"/>
      <c r="CMV50" s="10"/>
      <c r="CMW50" s="10"/>
      <c r="CMX50" s="10"/>
      <c r="CMY50" s="10"/>
      <c r="CMZ50" s="10"/>
      <c r="CNA50" s="10"/>
      <c r="CNB50" s="10"/>
      <c r="CNC50" s="10"/>
      <c r="CND50" s="10"/>
      <c r="CNE50" s="10"/>
      <c r="CNF50" s="10"/>
      <c r="CNG50" s="10"/>
      <c r="CNH50" s="10"/>
      <c r="CNI50" s="10"/>
      <c r="CNJ50" s="10"/>
      <c r="CNK50" s="10"/>
      <c r="CNL50" s="10"/>
      <c r="CNM50" s="10"/>
      <c r="CNN50" s="10"/>
      <c r="CNO50" s="10"/>
      <c r="CNP50" s="10"/>
      <c r="CNQ50" s="10"/>
      <c r="CNR50" s="10"/>
      <c r="CNS50" s="10"/>
      <c r="CNT50" s="10"/>
      <c r="CNU50" s="10"/>
      <c r="CNV50" s="10"/>
      <c r="CNW50" s="10"/>
      <c r="CNX50" s="10"/>
      <c r="CNY50" s="10"/>
      <c r="CNZ50" s="10"/>
      <c r="COA50" s="10"/>
      <c r="COB50" s="10"/>
      <c r="COC50" s="10"/>
      <c r="COD50" s="10"/>
      <c r="COE50" s="10"/>
      <c r="COF50" s="10"/>
      <c r="COG50" s="10"/>
      <c r="COH50" s="10"/>
      <c r="COI50" s="10"/>
      <c r="COJ50" s="10"/>
      <c r="COK50" s="10"/>
      <c r="COL50" s="10"/>
      <c r="COM50" s="10"/>
      <c r="CON50" s="10"/>
      <c r="COO50" s="10"/>
      <c r="COP50" s="10"/>
      <c r="COQ50" s="10"/>
      <c r="COR50" s="10"/>
      <c r="COS50" s="10"/>
      <c r="COT50" s="10"/>
      <c r="COU50" s="10"/>
      <c r="COV50" s="10"/>
      <c r="COW50" s="10"/>
      <c r="COX50" s="10"/>
      <c r="COY50" s="10"/>
      <c r="COZ50" s="10"/>
      <c r="CPA50" s="10"/>
      <c r="CPB50" s="10"/>
      <c r="CPC50" s="10"/>
      <c r="CPD50" s="10"/>
      <c r="CPE50" s="10"/>
      <c r="CPF50" s="10"/>
      <c r="CPG50" s="10"/>
      <c r="CPH50" s="10"/>
      <c r="CPI50" s="10"/>
      <c r="CPJ50" s="10"/>
      <c r="CPK50" s="10"/>
      <c r="CPL50" s="10"/>
      <c r="CPM50" s="10"/>
      <c r="CPN50" s="10"/>
      <c r="CPO50" s="10"/>
      <c r="CPP50" s="10"/>
      <c r="CPQ50" s="10"/>
      <c r="CPR50" s="10"/>
      <c r="CPS50" s="10"/>
      <c r="CPT50" s="10"/>
      <c r="CPU50" s="10"/>
      <c r="CPV50" s="10"/>
      <c r="CPW50" s="10"/>
      <c r="CPX50" s="10"/>
      <c r="CPY50" s="10"/>
      <c r="CPZ50" s="10"/>
      <c r="CQA50" s="10"/>
      <c r="CQB50" s="10"/>
      <c r="CQC50" s="10"/>
      <c r="CQD50" s="10"/>
      <c r="CQE50" s="10"/>
      <c r="CQF50" s="10"/>
      <c r="CQG50" s="10"/>
      <c r="CQH50" s="10"/>
      <c r="CQI50" s="10"/>
      <c r="CQJ50" s="10"/>
      <c r="CQK50" s="10"/>
      <c r="CQL50" s="10"/>
      <c r="CQM50" s="10"/>
      <c r="CQN50" s="10"/>
      <c r="CQO50" s="10"/>
      <c r="CQP50" s="10"/>
      <c r="CQQ50" s="10"/>
      <c r="CQR50" s="10"/>
      <c r="CQS50" s="10"/>
      <c r="CQT50" s="10"/>
      <c r="CQU50" s="10"/>
      <c r="CQV50" s="10"/>
      <c r="CQW50" s="10"/>
      <c r="CQX50" s="10"/>
      <c r="CQY50" s="10"/>
      <c r="CQZ50" s="10"/>
      <c r="CRA50" s="10"/>
      <c r="CRB50" s="10"/>
      <c r="CRC50" s="10"/>
      <c r="CRD50" s="10"/>
      <c r="CRE50" s="10"/>
      <c r="CRF50" s="10"/>
      <c r="CRG50" s="10"/>
      <c r="CRH50" s="10"/>
      <c r="CRI50" s="10"/>
      <c r="CRJ50" s="10"/>
      <c r="CRK50" s="10"/>
      <c r="CRL50" s="10"/>
      <c r="CRM50" s="10"/>
      <c r="CRN50" s="10"/>
      <c r="CRO50" s="10"/>
      <c r="CRP50" s="10"/>
      <c r="CRQ50" s="10"/>
      <c r="CRR50" s="10"/>
      <c r="CRS50" s="10"/>
      <c r="CRT50" s="10"/>
      <c r="CRU50" s="10"/>
      <c r="CRV50" s="10"/>
      <c r="CRW50" s="10"/>
      <c r="CRX50" s="10"/>
      <c r="CRY50" s="10"/>
      <c r="CRZ50" s="10"/>
      <c r="CSA50" s="10"/>
      <c r="CSB50" s="10"/>
      <c r="CSC50" s="10"/>
      <c r="CSD50" s="10"/>
      <c r="CSE50" s="10"/>
      <c r="CSF50" s="10"/>
      <c r="CSG50" s="10"/>
      <c r="CSH50" s="10"/>
      <c r="CSI50" s="10"/>
      <c r="CSJ50" s="10"/>
      <c r="CSK50" s="10"/>
      <c r="CSL50" s="10"/>
      <c r="CSM50" s="10"/>
      <c r="CSN50" s="10"/>
      <c r="CSO50" s="10"/>
      <c r="CSP50" s="10"/>
      <c r="CSQ50" s="10"/>
      <c r="CSR50" s="10"/>
      <c r="CSS50" s="10"/>
      <c r="CST50" s="10"/>
      <c r="CSU50" s="10"/>
      <c r="CSV50" s="10"/>
      <c r="CSW50" s="10"/>
      <c r="CSX50" s="10"/>
      <c r="CSY50" s="10"/>
      <c r="CSZ50" s="10"/>
      <c r="CTA50" s="10"/>
      <c r="CTB50" s="10"/>
      <c r="CTC50" s="10"/>
      <c r="CTD50" s="10"/>
      <c r="CTE50" s="10"/>
      <c r="CTF50" s="10"/>
      <c r="CTG50" s="10"/>
      <c r="CTH50" s="10"/>
      <c r="CTI50" s="10"/>
      <c r="CTJ50" s="10"/>
      <c r="CTK50" s="10"/>
      <c r="CTL50" s="10"/>
      <c r="CTM50" s="10"/>
      <c r="CTN50" s="10"/>
      <c r="CTO50" s="10"/>
      <c r="CTP50" s="10"/>
      <c r="CTQ50" s="10"/>
      <c r="CTR50" s="10"/>
      <c r="CTS50" s="10"/>
      <c r="CTT50" s="10"/>
      <c r="CTU50" s="10"/>
      <c r="CTV50" s="10"/>
      <c r="CTW50" s="10"/>
      <c r="CTX50" s="10"/>
      <c r="CTY50" s="10"/>
      <c r="CTZ50" s="10"/>
      <c r="CUA50" s="10"/>
      <c r="CUB50" s="10"/>
      <c r="CUC50" s="10"/>
      <c r="CUD50" s="10"/>
      <c r="CUE50" s="10"/>
      <c r="CUF50" s="10"/>
      <c r="CUG50" s="10"/>
      <c r="CUH50" s="10"/>
      <c r="CUI50" s="10"/>
      <c r="CUJ50" s="10"/>
      <c r="CUK50" s="10"/>
      <c r="CUL50" s="10"/>
      <c r="CUM50" s="10"/>
      <c r="CUN50" s="10"/>
      <c r="CUO50" s="10"/>
      <c r="CUP50" s="10"/>
      <c r="CUQ50" s="10"/>
      <c r="CUR50" s="10"/>
      <c r="CUS50" s="10"/>
      <c r="CUT50" s="10"/>
      <c r="CUU50" s="10"/>
      <c r="CUV50" s="10"/>
      <c r="CUW50" s="10"/>
      <c r="CUX50" s="10"/>
      <c r="CUY50" s="10"/>
      <c r="CUZ50" s="10"/>
      <c r="CVA50" s="10"/>
      <c r="CVB50" s="10"/>
      <c r="CVC50" s="10"/>
      <c r="CVD50" s="10"/>
      <c r="CVE50" s="10"/>
      <c r="CVF50" s="10"/>
      <c r="CVG50" s="10"/>
      <c r="CVH50" s="10"/>
      <c r="CVI50" s="10"/>
      <c r="CVJ50" s="10"/>
      <c r="CVK50" s="10"/>
      <c r="CVL50" s="10"/>
      <c r="CVM50" s="10"/>
      <c r="CVN50" s="10"/>
      <c r="CVO50" s="10"/>
      <c r="CVP50" s="10"/>
      <c r="CVQ50" s="10"/>
      <c r="CVR50" s="10"/>
      <c r="CVS50" s="10"/>
      <c r="CVT50" s="10"/>
      <c r="CVU50" s="10"/>
      <c r="CVV50" s="10"/>
      <c r="CVW50" s="10"/>
      <c r="CVX50" s="10"/>
      <c r="CVY50" s="10"/>
      <c r="CVZ50" s="10"/>
      <c r="CWA50" s="10"/>
      <c r="CWB50" s="10"/>
      <c r="CWC50" s="10"/>
      <c r="CWD50" s="10"/>
      <c r="CWE50" s="10"/>
      <c r="CWF50" s="10"/>
      <c r="CWG50" s="10"/>
      <c r="CWH50" s="10"/>
      <c r="CWI50" s="10"/>
      <c r="CWJ50" s="10"/>
      <c r="CWK50" s="10"/>
      <c r="CWL50" s="10"/>
      <c r="CWM50" s="10"/>
      <c r="CWN50" s="10"/>
      <c r="CWO50" s="10"/>
      <c r="CWP50" s="10"/>
      <c r="CWQ50" s="10"/>
      <c r="CWR50" s="10"/>
      <c r="CWS50" s="10"/>
      <c r="CWT50" s="10"/>
      <c r="CWU50" s="10"/>
      <c r="CWV50" s="10"/>
      <c r="CWW50" s="10"/>
      <c r="CWX50" s="10"/>
      <c r="CWY50" s="10"/>
      <c r="CWZ50" s="10"/>
      <c r="CXA50" s="10"/>
      <c r="CXB50" s="10"/>
      <c r="CXC50" s="10"/>
      <c r="CXD50" s="10"/>
      <c r="CXE50" s="10"/>
      <c r="CXF50" s="10"/>
      <c r="CXG50" s="10"/>
      <c r="CXH50" s="10"/>
      <c r="CXI50" s="10"/>
      <c r="CXJ50" s="10"/>
      <c r="CXK50" s="10"/>
      <c r="CXL50" s="10"/>
      <c r="CXM50" s="10"/>
      <c r="CXN50" s="10"/>
      <c r="CXO50" s="10"/>
      <c r="CXP50" s="10"/>
      <c r="CXQ50" s="10"/>
      <c r="CXR50" s="10"/>
      <c r="CXS50" s="10"/>
      <c r="CXT50" s="10"/>
      <c r="CXU50" s="10"/>
      <c r="CXV50" s="10"/>
      <c r="CXW50" s="10"/>
      <c r="CXX50" s="10"/>
      <c r="CXY50" s="10"/>
      <c r="CXZ50" s="10"/>
      <c r="CYA50" s="10"/>
      <c r="CYB50" s="10"/>
      <c r="CYC50" s="10"/>
      <c r="CYD50" s="10"/>
      <c r="CYE50" s="10"/>
      <c r="CYF50" s="10"/>
      <c r="CYG50" s="10"/>
      <c r="CYH50" s="10"/>
      <c r="CYI50" s="10"/>
      <c r="CYJ50" s="10"/>
      <c r="CYK50" s="10"/>
      <c r="CYL50" s="10"/>
      <c r="CYM50" s="10"/>
      <c r="CYN50" s="10"/>
      <c r="CYO50" s="10"/>
      <c r="CYP50" s="10"/>
      <c r="CYQ50" s="10"/>
      <c r="CYR50" s="10"/>
      <c r="CYS50" s="10"/>
      <c r="CYT50" s="10"/>
      <c r="CYU50" s="10"/>
      <c r="CYV50" s="10"/>
      <c r="CYW50" s="10"/>
      <c r="CYX50" s="10"/>
      <c r="CYY50" s="10"/>
      <c r="CYZ50" s="10"/>
      <c r="CZA50" s="10"/>
      <c r="CZB50" s="10"/>
      <c r="CZC50" s="10"/>
      <c r="CZD50" s="10"/>
      <c r="CZE50" s="10"/>
      <c r="CZF50" s="10"/>
      <c r="CZG50" s="10"/>
      <c r="CZH50" s="10"/>
      <c r="CZI50" s="10"/>
      <c r="CZJ50" s="10"/>
      <c r="CZK50" s="10"/>
      <c r="CZL50" s="10"/>
      <c r="CZM50" s="10"/>
      <c r="CZN50" s="10"/>
      <c r="CZO50" s="10"/>
      <c r="CZP50" s="10"/>
      <c r="CZQ50" s="10"/>
      <c r="CZR50" s="10"/>
      <c r="CZS50" s="10"/>
      <c r="CZT50" s="10"/>
      <c r="CZU50" s="10"/>
      <c r="CZV50" s="10"/>
      <c r="CZW50" s="10"/>
      <c r="CZX50" s="10"/>
      <c r="CZY50" s="10"/>
      <c r="CZZ50" s="10"/>
      <c r="DAA50" s="10"/>
      <c r="DAB50" s="10"/>
      <c r="DAC50" s="10"/>
      <c r="DAD50" s="10"/>
      <c r="DAE50" s="10"/>
      <c r="DAF50" s="10"/>
      <c r="DAG50" s="10"/>
      <c r="DAH50" s="10"/>
      <c r="DAI50" s="10"/>
      <c r="DAJ50" s="10"/>
      <c r="DAK50" s="10"/>
      <c r="DAL50" s="10"/>
      <c r="DAM50" s="10"/>
      <c r="DAN50" s="10"/>
      <c r="DAO50" s="10"/>
      <c r="DAP50" s="10"/>
      <c r="DAQ50" s="10"/>
      <c r="DAR50" s="10"/>
      <c r="DAS50" s="10"/>
      <c r="DAT50" s="10"/>
      <c r="DAU50" s="10"/>
      <c r="DAV50" s="10"/>
      <c r="DAW50" s="10"/>
      <c r="DAX50" s="10"/>
      <c r="DAY50" s="10"/>
      <c r="DAZ50" s="10"/>
      <c r="DBA50" s="10"/>
      <c r="DBB50" s="10"/>
      <c r="DBC50" s="10"/>
      <c r="DBD50" s="10"/>
      <c r="DBE50" s="10"/>
      <c r="DBF50" s="10"/>
      <c r="DBG50" s="10"/>
      <c r="DBH50" s="10"/>
      <c r="DBI50" s="10"/>
      <c r="DBJ50" s="10"/>
      <c r="DBK50" s="10"/>
      <c r="DBL50" s="10"/>
      <c r="DBM50" s="10"/>
      <c r="DBN50" s="10"/>
      <c r="DBO50" s="10"/>
      <c r="DBP50" s="10"/>
      <c r="DBQ50" s="10"/>
      <c r="DBR50" s="10"/>
      <c r="DBS50" s="10"/>
      <c r="DBT50" s="10"/>
      <c r="DBU50" s="10"/>
      <c r="DBV50" s="10"/>
      <c r="DBW50" s="10"/>
      <c r="DBX50" s="10"/>
      <c r="DBY50" s="10"/>
      <c r="DBZ50" s="10"/>
      <c r="DCA50" s="10"/>
      <c r="DCB50" s="10"/>
      <c r="DCC50" s="10"/>
      <c r="DCD50" s="10"/>
      <c r="DCE50" s="10"/>
      <c r="DCF50" s="10"/>
      <c r="DCG50" s="10"/>
      <c r="DCH50" s="10"/>
      <c r="DCI50" s="10"/>
      <c r="DCJ50" s="10"/>
      <c r="DCK50" s="10"/>
      <c r="DCL50" s="10"/>
      <c r="DCM50" s="10"/>
      <c r="DCN50" s="10"/>
      <c r="DCO50" s="10"/>
      <c r="DCP50" s="10"/>
      <c r="DCQ50" s="10"/>
      <c r="DCR50" s="10"/>
      <c r="DCS50" s="10"/>
      <c r="DCT50" s="10"/>
      <c r="DCU50" s="10"/>
      <c r="DCV50" s="10"/>
      <c r="DCW50" s="10"/>
      <c r="DCX50" s="10"/>
      <c r="DCY50" s="10"/>
      <c r="DCZ50" s="10"/>
      <c r="DDA50" s="10"/>
      <c r="DDB50" s="10"/>
      <c r="DDC50" s="10"/>
      <c r="DDD50" s="10"/>
      <c r="DDE50" s="10"/>
      <c r="DDF50" s="10"/>
      <c r="DDG50" s="10"/>
      <c r="DDH50" s="10"/>
      <c r="DDI50" s="10"/>
      <c r="DDJ50" s="10"/>
      <c r="DDK50" s="10"/>
      <c r="DDL50" s="10"/>
      <c r="DDM50" s="10"/>
      <c r="DDN50" s="10"/>
      <c r="DDO50" s="10"/>
      <c r="DDP50" s="10"/>
      <c r="DDQ50" s="10"/>
      <c r="DDR50" s="10"/>
      <c r="DDS50" s="10"/>
      <c r="DDT50" s="10"/>
      <c r="DDU50" s="10"/>
      <c r="DDV50" s="10"/>
      <c r="DDW50" s="10"/>
      <c r="DDX50" s="10"/>
      <c r="DDY50" s="10"/>
      <c r="DDZ50" s="10"/>
      <c r="DEA50" s="10"/>
      <c r="DEB50" s="10"/>
      <c r="DEC50" s="10"/>
      <c r="DED50" s="10"/>
      <c r="DEE50" s="10"/>
      <c r="DEF50" s="10"/>
      <c r="DEG50" s="10"/>
      <c r="DEH50" s="10"/>
      <c r="DEI50" s="10"/>
      <c r="DEJ50" s="10"/>
      <c r="DEK50" s="10"/>
      <c r="DEL50" s="10"/>
      <c r="DEM50" s="10"/>
      <c r="DEN50" s="10"/>
      <c r="DEO50" s="10"/>
      <c r="DEP50" s="10"/>
      <c r="DEQ50" s="10"/>
      <c r="DER50" s="10"/>
      <c r="DES50" s="10"/>
      <c r="DET50" s="10"/>
      <c r="DEU50" s="10"/>
      <c r="DEV50" s="10"/>
      <c r="DEW50" s="10"/>
      <c r="DEX50" s="10"/>
      <c r="DEY50" s="10"/>
      <c r="DEZ50" s="10"/>
      <c r="DFA50" s="10"/>
      <c r="DFB50" s="10"/>
      <c r="DFC50" s="10"/>
      <c r="DFD50" s="10"/>
      <c r="DFE50" s="10"/>
      <c r="DFF50" s="10"/>
      <c r="DFG50" s="10"/>
      <c r="DFH50" s="10"/>
      <c r="DFI50" s="10"/>
      <c r="DFJ50" s="10"/>
      <c r="DFK50" s="10"/>
      <c r="DFL50" s="10"/>
      <c r="DFM50" s="10"/>
      <c r="DFN50" s="10"/>
      <c r="DFO50" s="10"/>
      <c r="DFP50" s="10"/>
      <c r="DFQ50" s="10"/>
      <c r="DFR50" s="10"/>
      <c r="DFS50" s="10"/>
      <c r="DFT50" s="10"/>
      <c r="DFU50" s="10"/>
      <c r="DFV50" s="10"/>
      <c r="DFW50" s="10"/>
      <c r="DFX50" s="10"/>
      <c r="DFY50" s="10"/>
      <c r="DFZ50" s="10"/>
      <c r="DGA50" s="10"/>
      <c r="DGB50" s="10"/>
      <c r="DGC50" s="10"/>
      <c r="DGD50" s="10"/>
      <c r="DGE50" s="10"/>
      <c r="DGF50" s="10"/>
      <c r="DGG50" s="10"/>
      <c r="DGH50" s="10"/>
      <c r="DGI50" s="10"/>
      <c r="DGJ50" s="10"/>
      <c r="DGK50" s="10"/>
      <c r="DGL50" s="10"/>
      <c r="DGM50" s="10"/>
      <c r="DGN50" s="10"/>
      <c r="DGO50" s="10"/>
      <c r="DGP50" s="10"/>
      <c r="DGQ50" s="10"/>
      <c r="DGR50" s="10"/>
      <c r="DGS50" s="10"/>
      <c r="DGT50" s="10"/>
      <c r="DGU50" s="10"/>
      <c r="DGV50" s="10"/>
      <c r="DGW50" s="10"/>
      <c r="DGX50" s="10"/>
      <c r="DGY50" s="10"/>
      <c r="DGZ50" s="10"/>
      <c r="DHA50" s="10"/>
      <c r="DHB50" s="10"/>
      <c r="DHC50" s="10"/>
      <c r="DHD50" s="10"/>
      <c r="DHE50" s="10"/>
      <c r="DHF50" s="10"/>
      <c r="DHG50" s="10"/>
      <c r="DHH50" s="10"/>
      <c r="DHI50" s="10"/>
      <c r="DHJ50" s="10"/>
      <c r="DHK50" s="10"/>
      <c r="DHL50" s="10"/>
      <c r="DHM50" s="10"/>
      <c r="DHN50" s="10"/>
      <c r="DHO50" s="10"/>
      <c r="DHP50" s="10"/>
      <c r="DHQ50" s="10"/>
      <c r="DHR50" s="10"/>
      <c r="DHS50" s="10"/>
      <c r="DHT50" s="10"/>
      <c r="DHU50" s="10"/>
      <c r="DHV50" s="10"/>
      <c r="DHW50" s="10"/>
      <c r="DHX50" s="10"/>
      <c r="DHY50" s="10"/>
      <c r="DHZ50" s="10"/>
      <c r="DIA50" s="10"/>
      <c r="DIB50" s="10"/>
      <c r="DIC50" s="10"/>
      <c r="DID50" s="10"/>
      <c r="DIE50" s="10"/>
      <c r="DIF50" s="10"/>
      <c r="DIG50" s="10"/>
      <c r="DIH50" s="10"/>
      <c r="DII50" s="10"/>
      <c r="DIJ50" s="10"/>
      <c r="DIK50" s="10"/>
      <c r="DIL50" s="10"/>
      <c r="DIM50" s="10"/>
      <c r="DIN50" s="10"/>
      <c r="DIO50" s="10"/>
      <c r="DIP50" s="10"/>
      <c r="DIQ50" s="10"/>
      <c r="DIR50" s="10"/>
      <c r="DIS50" s="10"/>
      <c r="DIT50" s="10"/>
      <c r="DIU50" s="10"/>
      <c r="DIV50" s="10"/>
      <c r="DIW50" s="10"/>
      <c r="DIX50" s="10"/>
      <c r="DIY50" s="10"/>
      <c r="DIZ50" s="10"/>
      <c r="DJA50" s="10"/>
      <c r="DJB50" s="10"/>
      <c r="DJC50" s="10"/>
      <c r="DJD50" s="10"/>
      <c r="DJE50" s="10"/>
      <c r="DJF50" s="10"/>
      <c r="DJG50" s="10"/>
      <c r="DJH50" s="10"/>
      <c r="DJI50" s="10"/>
      <c r="DJJ50" s="10"/>
      <c r="DJK50" s="10"/>
      <c r="DJL50" s="10"/>
      <c r="DJM50" s="10"/>
      <c r="DJN50" s="10"/>
      <c r="DJO50" s="10"/>
      <c r="DJP50" s="10"/>
      <c r="DJQ50" s="10"/>
      <c r="DJR50" s="10"/>
      <c r="DJS50" s="10"/>
      <c r="DJT50" s="10"/>
      <c r="DJU50" s="10"/>
      <c r="DJV50" s="10"/>
      <c r="DJW50" s="10"/>
      <c r="DJX50" s="10"/>
      <c r="DJY50" s="10"/>
      <c r="DJZ50" s="10"/>
      <c r="DKA50" s="10"/>
      <c r="DKB50" s="10"/>
      <c r="DKC50" s="10"/>
      <c r="DKD50" s="10"/>
      <c r="DKE50" s="10"/>
      <c r="DKF50" s="10"/>
      <c r="DKG50" s="10"/>
      <c r="DKH50" s="10"/>
      <c r="DKI50" s="10"/>
      <c r="DKJ50" s="10"/>
      <c r="DKK50" s="10"/>
      <c r="DKL50" s="10"/>
      <c r="DKM50" s="10"/>
      <c r="DKN50" s="10"/>
      <c r="DKO50" s="10"/>
      <c r="DKP50" s="10"/>
      <c r="DKQ50" s="10"/>
      <c r="DKR50" s="10"/>
      <c r="DKS50" s="10"/>
      <c r="DKT50" s="10"/>
      <c r="DKU50" s="10"/>
      <c r="DKV50" s="10"/>
      <c r="DKW50" s="10"/>
      <c r="DKX50" s="10"/>
      <c r="DKY50" s="10"/>
      <c r="DKZ50" s="10"/>
      <c r="DLA50" s="10"/>
      <c r="DLB50" s="10"/>
      <c r="DLC50" s="10"/>
      <c r="DLD50" s="10"/>
      <c r="DLE50" s="10"/>
      <c r="DLF50" s="10"/>
      <c r="DLG50" s="10"/>
      <c r="DLH50" s="10"/>
      <c r="DLI50" s="10"/>
      <c r="DLJ50" s="10"/>
      <c r="DLK50" s="10"/>
      <c r="DLL50" s="10"/>
      <c r="DLM50" s="10"/>
      <c r="DLN50" s="10"/>
      <c r="DLO50" s="10"/>
      <c r="DLP50" s="10"/>
      <c r="DLQ50" s="10"/>
      <c r="DLR50" s="10"/>
      <c r="DLS50" s="10"/>
      <c r="DLT50" s="10"/>
      <c r="DLU50" s="10"/>
      <c r="DLV50" s="10"/>
      <c r="DLW50" s="10"/>
      <c r="DLX50" s="10"/>
      <c r="DLY50" s="10"/>
      <c r="DLZ50" s="10"/>
      <c r="DMA50" s="10"/>
      <c r="DMB50" s="10"/>
      <c r="DMC50" s="10"/>
      <c r="DMD50" s="10"/>
      <c r="DME50" s="10"/>
      <c r="DMF50" s="10"/>
      <c r="DMG50" s="10"/>
      <c r="DMH50" s="10"/>
      <c r="DMI50" s="10"/>
      <c r="DMJ50" s="10"/>
      <c r="DMK50" s="10"/>
      <c r="DML50" s="10"/>
      <c r="DMM50" s="10"/>
      <c r="DMN50" s="10"/>
      <c r="DMO50" s="10"/>
      <c r="DMP50" s="10"/>
      <c r="DMQ50" s="10"/>
      <c r="DMR50" s="10"/>
      <c r="DMS50" s="10"/>
      <c r="DMT50" s="10"/>
      <c r="DMU50" s="10"/>
      <c r="DMV50" s="10"/>
      <c r="DMW50" s="10"/>
      <c r="DMX50" s="10"/>
      <c r="DMY50" s="10"/>
      <c r="DMZ50" s="10"/>
      <c r="DNA50" s="10"/>
      <c r="DNB50" s="10"/>
      <c r="DNC50" s="10"/>
      <c r="DND50" s="10"/>
      <c r="DNE50" s="10"/>
      <c r="DNF50" s="10"/>
      <c r="DNG50" s="10"/>
      <c r="DNH50" s="10"/>
      <c r="DNI50" s="10"/>
      <c r="DNJ50" s="10"/>
      <c r="DNK50" s="10"/>
      <c r="DNL50" s="10"/>
      <c r="DNM50" s="10"/>
      <c r="DNN50" s="10"/>
      <c r="DNO50" s="10"/>
      <c r="DNP50" s="10"/>
      <c r="DNQ50" s="10"/>
      <c r="DNR50" s="10"/>
      <c r="DNS50" s="10"/>
      <c r="DNT50" s="10"/>
      <c r="DNU50" s="10"/>
      <c r="DNV50" s="10"/>
      <c r="DNW50" s="10"/>
      <c r="DNX50" s="10"/>
      <c r="DNY50" s="10"/>
      <c r="DNZ50" s="10"/>
      <c r="DOA50" s="10"/>
      <c r="DOB50" s="10"/>
      <c r="DOC50" s="10"/>
      <c r="DOD50" s="10"/>
      <c r="DOE50" s="10"/>
      <c r="DOF50" s="10"/>
      <c r="DOG50" s="10"/>
      <c r="DOH50" s="10"/>
      <c r="DOI50" s="10"/>
      <c r="DOJ50" s="10"/>
      <c r="DOK50" s="10"/>
      <c r="DOL50" s="10"/>
      <c r="DOM50" s="10"/>
      <c r="DON50" s="10"/>
      <c r="DOO50" s="10"/>
      <c r="DOP50" s="10"/>
      <c r="DOQ50" s="10"/>
      <c r="DOR50" s="10"/>
      <c r="DOS50" s="10"/>
      <c r="DOT50" s="10"/>
      <c r="DOU50" s="10"/>
      <c r="DOV50" s="10"/>
      <c r="DOW50" s="10"/>
      <c r="DOX50" s="10"/>
      <c r="DOY50" s="10"/>
      <c r="DOZ50" s="10"/>
      <c r="DPA50" s="10"/>
      <c r="DPB50" s="10"/>
      <c r="DPC50" s="10"/>
      <c r="DPD50" s="10"/>
      <c r="DPE50" s="10"/>
      <c r="DPF50" s="10"/>
      <c r="DPG50" s="10"/>
      <c r="DPH50" s="10"/>
      <c r="DPI50" s="10"/>
      <c r="DPJ50" s="10"/>
      <c r="DPK50" s="10"/>
      <c r="DPL50" s="10"/>
      <c r="DPM50" s="10"/>
      <c r="DPN50" s="10"/>
      <c r="DPO50" s="10"/>
      <c r="DPP50" s="10"/>
      <c r="DPQ50" s="10"/>
      <c r="DPR50" s="10"/>
      <c r="DPS50" s="10"/>
      <c r="DPT50" s="10"/>
      <c r="DPU50" s="10"/>
      <c r="DPV50" s="10"/>
      <c r="DPW50" s="10"/>
      <c r="DPX50" s="10"/>
      <c r="DPY50" s="10"/>
      <c r="DPZ50" s="10"/>
      <c r="DQA50" s="10"/>
      <c r="DQB50" s="10"/>
      <c r="DQC50" s="10"/>
      <c r="DQD50" s="10"/>
      <c r="DQE50" s="10"/>
      <c r="DQF50" s="10"/>
      <c r="DQG50" s="10"/>
      <c r="DQH50" s="10"/>
      <c r="DQI50" s="10"/>
      <c r="DQJ50" s="10"/>
      <c r="DQK50" s="10"/>
      <c r="DQL50" s="10"/>
      <c r="DQM50" s="10"/>
      <c r="DQN50" s="10"/>
      <c r="DQO50" s="10"/>
      <c r="DQP50" s="10"/>
      <c r="DQQ50" s="10"/>
      <c r="DQR50" s="10"/>
      <c r="DQS50" s="10"/>
      <c r="DQT50" s="10"/>
      <c r="DQU50" s="10"/>
      <c r="DQV50" s="10"/>
      <c r="DQW50" s="10"/>
      <c r="DQX50" s="10"/>
      <c r="DQY50" s="10"/>
      <c r="DQZ50" s="10"/>
      <c r="DRA50" s="10"/>
      <c r="DRB50" s="10"/>
      <c r="DRC50" s="10"/>
      <c r="DRD50" s="10"/>
      <c r="DRE50" s="10"/>
      <c r="DRF50" s="10"/>
      <c r="DRG50" s="10"/>
      <c r="DRH50" s="10"/>
      <c r="DRI50" s="10"/>
      <c r="DRJ50" s="10"/>
      <c r="DRK50" s="10"/>
      <c r="DRL50" s="10"/>
      <c r="DRM50" s="10"/>
      <c r="DRN50" s="10"/>
      <c r="DRO50" s="10"/>
      <c r="DRP50" s="10"/>
      <c r="DRQ50" s="10"/>
      <c r="DRR50" s="10"/>
      <c r="DRS50" s="10"/>
      <c r="DRT50" s="10"/>
      <c r="DRU50" s="10"/>
      <c r="DRV50" s="10"/>
      <c r="DRW50" s="10"/>
      <c r="DRX50" s="10"/>
      <c r="DRY50" s="10"/>
      <c r="DRZ50" s="10"/>
      <c r="DSA50" s="10"/>
      <c r="DSB50" s="10"/>
      <c r="DSC50" s="10"/>
      <c r="DSD50" s="10"/>
      <c r="DSE50" s="10"/>
      <c r="DSF50" s="10"/>
      <c r="DSG50" s="10"/>
      <c r="DSH50" s="10"/>
      <c r="DSI50" s="10"/>
      <c r="DSJ50" s="10"/>
      <c r="DSK50" s="10"/>
      <c r="DSL50" s="10"/>
      <c r="DSM50" s="10"/>
      <c r="DSN50" s="10"/>
      <c r="DSO50" s="10"/>
      <c r="DSP50" s="10"/>
      <c r="DSQ50" s="10"/>
      <c r="DSR50" s="10"/>
      <c r="DSS50" s="10"/>
      <c r="DST50" s="10"/>
      <c r="DSU50" s="10"/>
      <c r="DSV50" s="10"/>
      <c r="DSW50" s="10"/>
      <c r="DSX50" s="10"/>
      <c r="DSY50" s="10"/>
      <c r="DSZ50" s="10"/>
      <c r="DTA50" s="10"/>
      <c r="DTB50" s="10"/>
      <c r="DTC50" s="10"/>
      <c r="DTD50" s="10"/>
      <c r="DTE50" s="10"/>
      <c r="DTF50" s="10"/>
      <c r="DTG50" s="10"/>
      <c r="DTH50" s="10"/>
      <c r="DTI50" s="10"/>
      <c r="DTJ50" s="10"/>
      <c r="DTK50" s="10"/>
      <c r="DTL50" s="10"/>
      <c r="DTM50" s="10"/>
      <c r="DTN50" s="10"/>
      <c r="DTO50" s="10"/>
      <c r="DTP50" s="10"/>
      <c r="DTQ50" s="10"/>
      <c r="DTR50" s="10"/>
      <c r="DTS50" s="10"/>
      <c r="DTT50" s="10"/>
      <c r="DTU50" s="10"/>
      <c r="DTV50" s="10"/>
      <c r="DTW50" s="10"/>
      <c r="DTX50" s="10"/>
      <c r="DTY50" s="10"/>
      <c r="DTZ50" s="10"/>
      <c r="DUA50" s="10"/>
      <c r="DUB50" s="10"/>
      <c r="DUC50" s="10"/>
      <c r="DUD50" s="10"/>
      <c r="DUE50" s="10"/>
      <c r="DUF50" s="10"/>
      <c r="DUG50" s="10"/>
      <c r="DUH50" s="10"/>
      <c r="DUI50" s="10"/>
      <c r="DUJ50" s="10"/>
      <c r="DUK50" s="10"/>
      <c r="DUL50" s="10"/>
      <c r="DUM50" s="10"/>
      <c r="DUN50" s="10"/>
      <c r="DUO50" s="10"/>
      <c r="DUP50" s="10"/>
      <c r="DUQ50" s="10"/>
      <c r="DUR50" s="10"/>
      <c r="DUS50" s="10"/>
      <c r="DUT50" s="10"/>
      <c r="DUU50" s="10"/>
      <c r="DUV50" s="10"/>
      <c r="DUW50" s="10"/>
      <c r="DUX50" s="10"/>
      <c r="DUY50" s="10"/>
      <c r="DUZ50" s="10"/>
      <c r="DVA50" s="10"/>
      <c r="DVB50" s="10"/>
      <c r="DVC50" s="10"/>
      <c r="DVD50" s="10"/>
      <c r="DVE50" s="10"/>
      <c r="DVF50" s="10"/>
      <c r="DVG50" s="10"/>
      <c r="DVH50" s="10"/>
      <c r="DVI50" s="10"/>
      <c r="DVJ50" s="10"/>
      <c r="DVK50" s="10"/>
      <c r="DVL50" s="10"/>
      <c r="DVM50" s="10"/>
      <c r="DVN50" s="10"/>
      <c r="DVO50" s="10"/>
      <c r="DVP50" s="10"/>
      <c r="DVQ50" s="10"/>
      <c r="DVR50" s="10"/>
      <c r="DVS50" s="10"/>
      <c r="DVT50" s="10"/>
      <c r="DVU50" s="10"/>
      <c r="DVV50" s="10"/>
      <c r="DVW50" s="10"/>
      <c r="DVX50" s="10"/>
      <c r="DVY50" s="10"/>
      <c r="DVZ50" s="10"/>
      <c r="DWA50" s="10"/>
      <c r="DWB50" s="10"/>
      <c r="DWC50" s="10"/>
      <c r="DWD50" s="10"/>
      <c r="DWE50" s="10"/>
      <c r="DWF50" s="10"/>
      <c r="DWG50" s="10"/>
      <c r="DWH50" s="10"/>
      <c r="DWI50" s="10"/>
      <c r="DWJ50" s="10"/>
      <c r="DWK50" s="10"/>
      <c r="DWL50" s="10"/>
      <c r="DWM50" s="10"/>
      <c r="DWN50" s="10"/>
      <c r="DWO50" s="10"/>
      <c r="DWP50" s="10"/>
      <c r="DWQ50" s="10"/>
      <c r="DWR50" s="10"/>
      <c r="DWS50" s="10"/>
      <c r="DWT50" s="10"/>
      <c r="DWU50" s="10"/>
      <c r="DWV50" s="10"/>
      <c r="DWW50" s="10"/>
      <c r="DWX50" s="10"/>
      <c r="DWY50" s="10"/>
      <c r="DWZ50" s="10"/>
      <c r="DXA50" s="10"/>
      <c r="DXB50" s="10"/>
      <c r="DXC50" s="10"/>
      <c r="DXD50" s="10"/>
      <c r="DXE50" s="10"/>
      <c r="DXF50" s="10"/>
      <c r="DXG50" s="10"/>
      <c r="DXH50" s="10"/>
      <c r="DXI50" s="10"/>
      <c r="DXJ50" s="10"/>
      <c r="DXK50" s="10"/>
      <c r="DXL50" s="10"/>
      <c r="DXM50" s="10"/>
      <c r="DXN50" s="10"/>
      <c r="DXO50" s="10"/>
      <c r="DXP50" s="10"/>
      <c r="DXQ50" s="10"/>
      <c r="DXR50" s="10"/>
      <c r="DXS50" s="10"/>
      <c r="DXT50" s="10"/>
      <c r="DXU50" s="10"/>
      <c r="DXV50" s="10"/>
      <c r="DXW50" s="10"/>
      <c r="DXX50" s="10"/>
      <c r="DXY50" s="10"/>
      <c r="DXZ50" s="10"/>
      <c r="DYA50" s="10"/>
      <c r="DYB50" s="10"/>
      <c r="DYC50" s="10"/>
      <c r="DYD50" s="10"/>
      <c r="DYE50" s="10"/>
      <c r="DYF50" s="10"/>
      <c r="DYG50" s="10"/>
      <c r="DYH50" s="10"/>
      <c r="DYI50" s="10"/>
      <c r="DYJ50" s="10"/>
      <c r="DYK50" s="10"/>
      <c r="DYL50" s="10"/>
      <c r="DYM50" s="10"/>
      <c r="DYN50" s="10"/>
      <c r="DYO50" s="10"/>
      <c r="DYP50" s="10"/>
      <c r="DYQ50" s="10"/>
      <c r="DYR50" s="10"/>
      <c r="DYS50" s="10"/>
      <c r="DYT50" s="10"/>
      <c r="DYU50" s="10"/>
      <c r="DYV50" s="10"/>
      <c r="DYW50" s="10"/>
      <c r="DYX50" s="10"/>
      <c r="DYY50" s="10"/>
      <c r="DYZ50" s="10"/>
      <c r="DZA50" s="10"/>
      <c r="DZB50" s="10"/>
      <c r="DZC50" s="10"/>
      <c r="DZD50" s="10"/>
      <c r="DZE50" s="10"/>
      <c r="DZF50" s="10"/>
      <c r="DZG50" s="10"/>
      <c r="DZH50" s="10"/>
      <c r="DZI50" s="10"/>
      <c r="DZJ50" s="10"/>
      <c r="DZK50" s="10"/>
      <c r="DZL50" s="10"/>
      <c r="DZM50" s="10"/>
      <c r="DZN50" s="10"/>
      <c r="DZO50" s="10"/>
      <c r="DZP50" s="10"/>
      <c r="DZQ50" s="10"/>
      <c r="DZR50" s="10"/>
      <c r="DZS50" s="10"/>
      <c r="DZT50" s="10"/>
      <c r="DZU50" s="10"/>
      <c r="DZV50" s="10"/>
      <c r="DZW50" s="10"/>
      <c r="DZX50" s="10"/>
      <c r="DZY50" s="10"/>
      <c r="DZZ50" s="10"/>
      <c r="EAA50" s="10"/>
      <c r="EAB50" s="10"/>
      <c r="EAC50" s="10"/>
      <c r="EAD50" s="10"/>
      <c r="EAE50" s="10"/>
      <c r="EAF50" s="10"/>
      <c r="EAG50" s="10"/>
      <c r="EAH50" s="10"/>
      <c r="EAI50" s="10"/>
      <c r="EAJ50" s="10"/>
      <c r="EAK50" s="10"/>
      <c r="EAL50" s="10"/>
      <c r="EAM50" s="10"/>
      <c r="EAN50" s="10"/>
      <c r="EAO50" s="10"/>
      <c r="EAP50" s="10"/>
      <c r="EAQ50" s="10"/>
      <c r="EAR50" s="10"/>
      <c r="EAS50" s="10"/>
      <c r="EAT50" s="10"/>
      <c r="EAU50" s="10"/>
      <c r="EAV50" s="10"/>
      <c r="EAW50" s="10"/>
      <c r="EAX50" s="10"/>
      <c r="EAY50" s="10"/>
      <c r="EAZ50" s="10"/>
      <c r="EBA50" s="10"/>
      <c r="EBB50" s="10"/>
      <c r="EBC50" s="10"/>
      <c r="EBD50" s="10"/>
      <c r="EBE50" s="10"/>
      <c r="EBF50" s="10"/>
      <c r="EBG50" s="10"/>
      <c r="EBH50" s="10"/>
      <c r="EBI50" s="10"/>
      <c r="EBJ50" s="10"/>
      <c r="EBK50" s="10"/>
      <c r="EBL50" s="10"/>
      <c r="EBM50" s="10"/>
      <c r="EBN50" s="10"/>
      <c r="EBO50" s="10"/>
      <c r="EBP50" s="10"/>
      <c r="EBQ50" s="10"/>
      <c r="EBR50" s="10"/>
      <c r="EBS50" s="10"/>
      <c r="EBT50" s="10"/>
      <c r="EBU50" s="10"/>
      <c r="EBV50" s="10"/>
      <c r="EBW50" s="10"/>
      <c r="EBX50" s="10"/>
      <c r="EBY50" s="10"/>
      <c r="EBZ50" s="10"/>
      <c r="ECA50" s="10"/>
      <c r="ECB50" s="10"/>
      <c r="ECC50" s="10"/>
      <c r="ECD50" s="10"/>
      <c r="ECE50" s="10"/>
      <c r="ECF50" s="10"/>
      <c r="ECG50" s="10"/>
      <c r="ECH50" s="10"/>
      <c r="ECI50" s="10"/>
      <c r="ECJ50" s="10"/>
      <c r="ECK50" s="10"/>
      <c r="ECL50" s="10"/>
      <c r="ECM50" s="10"/>
      <c r="ECN50" s="10"/>
      <c r="ECO50" s="10"/>
      <c r="ECP50" s="10"/>
      <c r="ECQ50" s="10"/>
      <c r="ECR50" s="10"/>
      <c r="ECS50" s="10"/>
      <c r="ECT50" s="10"/>
      <c r="ECU50" s="10"/>
      <c r="ECV50" s="10"/>
      <c r="ECW50" s="10"/>
      <c r="ECX50" s="10"/>
      <c r="ECY50" s="10"/>
      <c r="ECZ50" s="10"/>
      <c r="EDA50" s="10"/>
      <c r="EDB50" s="10"/>
      <c r="EDC50" s="10"/>
      <c r="EDD50" s="10"/>
      <c r="EDE50" s="10"/>
      <c r="EDF50" s="10"/>
      <c r="EDG50" s="10"/>
      <c r="EDH50" s="10"/>
      <c r="EDI50" s="10"/>
      <c r="EDJ50" s="10"/>
      <c r="EDK50" s="10"/>
      <c r="EDL50" s="10"/>
      <c r="EDM50" s="10"/>
      <c r="EDN50" s="10"/>
      <c r="EDO50" s="10"/>
      <c r="EDP50" s="10"/>
      <c r="EDQ50" s="10"/>
      <c r="EDR50" s="10"/>
      <c r="EDS50" s="10"/>
      <c r="EDT50" s="10"/>
      <c r="EDU50" s="10"/>
      <c r="EDV50" s="10"/>
      <c r="EDW50" s="10"/>
      <c r="EDX50" s="10"/>
      <c r="EDY50" s="10"/>
      <c r="EDZ50" s="10"/>
      <c r="EEA50" s="10"/>
      <c r="EEB50" s="10"/>
      <c r="EEC50" s="10"/>
      <c r="EED50" s="10"/>
      <c r="EEE50" s="10"/>
      <c r="EEF50" s="10"/>
      <c r="EEG50" s="10"/>
      <c r="EEH50" s="10"/>
      <c r="EEI50" s="10"/>
      <c r="EEJ50" s="10"/>
      <c r="EEK50" s="10"/>
      <c r="EEL50" s="10"/>
      <c r="EEM50" s="10"/>
      <c r="EEN50" s="10"/>
      <c r="EEO50" s="10"/>
      <c r="EEP50" s="10"/>
      <c r="EEQ50" s="10"/>
      <c r="EER50" s="10"/>
      <c r="EES50" s="10"/>
      <c r="EET50" s="10"/>
      <c r="EEU50" s="10"/>
      <c r="EEV50" s="10"/>
      <c r="EEW50" s="10"/>
      <c r="EEX50" s="10"/>
      <c r="EEY50" s="10"/>
      <c r="EEZ50" s="10"/>
      <c r="EFA50" s="10"/>
      <c r="EFB50" s="10"/>
      <c r="EFC50" s="10"/>
      <c r="EFD50" s="10"/>
      <c r="EFE50" s="10"/>
      <c r="EFF50" s="10"/>
      <c r="EFG50" s="10"/>
      <c r="EFH50" s="10"/>
      <c r="EFI50" s="10"/>
      <c r="EFJ50" s="10"/>
      <c r="EFK50" s="10"/>
      <c r="EFL50" s="10"/>
      <c r="EFM50" s="10"/>
      <c r="EFN50" s="10"/>
      <c r="EFO50" s="10"/>
      <c r="EFP50" s="10"/>
      <c r="EFQ50" s="10"/>
      <c r="EFR50" s="10"/>
      <c r="EFS50" s="10"/>
      <c r="EFT50" s="10"/>
      <c r="EFU50" s="10"/>
      <c r="EFV50" s="10"/>
      <c r="EFW50" s="10"/>
      <c r="EFX50" s="10"/>
      <c r="EFY50" s="10"/>
      <c r="EFZ50" s="10"/>
      <c r="EGA50" s="10"/>
      <c r="EGB50" s="10"/>
      <c r="EGC50" s="10"/>
      <c r="EGD50" s="10"/>
      <c r="EGE50" s="10"/>
      <c r="EGF50" s="10"/>
      <c r="EGG50" s="10"/>
      <c r="EGH50" s="10"/>
      <c r="EGI50" s="10"/>
      <c r="EGJ50" s="10"/>
      <c r="EGK50" s="10"/>
      <c r="EGL50" s="10"/>
      <c r="EGM50" s="10"/>
      <c r="EGN50" s="10"/>
      <c r="EGO50" s="10"/>
      <c r="EGP50" s="10"/>
      <c r="EGQ50" s="10"/>
      <c r="EGR50" s="10"/>
      <c r="EGS50" s="10"/>
      <c r="EGT50" s="10"/>
      <c r="EGU50" s="10"/>
      <c r="EGV50" s="10"/>
      <c r="EGW50" s="10"/>
      <c r="EGX50" s="10"/>
      <c r="EGY50" s="10"/>
      <c r="EGZ50" s="10"/>
      <c r="EHA50" s="10"/>
      <c r="EHB50" s="10"/>
      <c r="EHC50" s="10"/>
      <c r="EHD50" s="10"/>
      <c r="EHE50" s="10"/>
      <c r="EHF50" s="10"/>
      <c r="EHG50" s="10"/>
      <c r="EHH50" s="10"/>
      <c r="EHI50" s="10"/>
      <c r="EHJ50" s="10"/>
      <c r="EHK50" s="10"/>
      <c r="EHL50" s="10"/>
      <c r="EHM50" s="10"/>
      <c r="EHN50" s="10"/>
      <c r="EHO50" s="10"/>
      <c r="EHP50" s="10"/>
      <c r="EHQ50" s="10"/>
      <c r="EHR50" s="10"/>
      <c r="EHS50" s="10"/>
      <c r="EHT50" s="10"/>
      <c r="EHU50" s="10"/>
      <c r="EHV50" s="10"/>
      <c r="EHW50" s="10"/>
      <c r="EHX50" s="10"/>
      <c r="EHY50" s="10"/>
      <c r="EHZ50" s="10"/>
      <c r="EIA50" s="10"/>
      <c r="EIB50" s="10"/>
      <c r="EIC50" s="10"/>
      <c r="EID50" s="10"/>
      <c r="EIE50" s="10"/>
      <c r="EIF50" s="10"/>
      <c r="EIG50" s="10"/>
      <c r="EIH50" s="10"/>
      <c r="EII50" s="10"/>
      <c r="EIJ50" s="10"/>
      <c r="EIK50" s="10"/>
      <c r="EIL50" s="10"/>
      <c r="EIM50" s="10"/>
      <c r="EIN50" s="10"/>
      <c r="EIO50" s="10"/>
      <c r="EIP50" s="10"/>
      <c r="EIQ50" s="10"/>
      <c r="EIR50" s="10"/>
      <c r="EIS50" s="10"/>
      <c r="EIT50" s="10"/>
      <c r="EIU50" s="10"/>
      <c r="EIV50" s="10"/>
      <c r="EIW50" s="10"/>
      <c r="EIX50" s="10"/>
      <c r="EIY50" s="10"/>
      <c r="EIZ50" s="10"/>
      <c r="EJA50" s="10"/>
      <c r="EJB50" s="10"/>
      <c r="EJC50" s="10"/>
      <c r="EJD50" s="10"/>
      <c r="EJE50" s="10"/>
      <c r="EJF50" s="10"/>
      <c r="EJG50" s="10"/>
      <c r="EJH50" s="10"/>
      <c r="EJI50" s="10"/>
      <c r="EJJ50" s="10"/>
      <c r="EJK50" s="10"/>
      <c r="EJL50" s="10"/>
      <c r="EJM50" s="10"/>
      <c r="EJN50" s="10"/>
      <c r="EJO50" s="10"/>
      <c r="EJP50" s="10"/>
      <c r="EJQ50" s="10"/>
      <c r="EJR50" s="10"/>
      <c r="EJS50" s="10"/>
      <c r="EJT50" s="10"/>
      <c r="EJU50" s="10"/>
      <c r="EJV50" s="10"/>
      <c r="EJW50" s="10"/>
      <c r="EJX50" s="10"/>
      <c r="EJY50" s="10"/>
      <c r="EJZ50" s="10"/>
      <c r="EKA50" s="10"/>
      <c r="EKB50" s="10"/>
      <c r="EKC50" s="10"/>
      <c r="EKD50" s="10"/>
      <c r="EKE50" s="10"/>
      <c r="EKF50" s="10"/>
      <c r="EKG50" s="10"/>
      <c r="EKH50" s="10"/>
      <c r="EKI50" s="10"/>
      <c r="EKJ50" s="10"/>
      <c r="EKK50" s="10"/>
      <c r="EKL50" s="10"/>
      <c r="EKM50" s="10"/>
      <c r="EKN50" s="10"/>
      <c r="EKO50" s="10"/>
      <c r="EKP50" s="10"/>
      <c r="EKQ50" s="10"/>
      <c r="EKR50" s="10"/>
      <c r="EKS50" s="10"/>
      <c r="EKT50" s="10"/>
      <c r="EKU50" s="10"/>
      <c r="EKV50" s="10"/>
      <c r="EKW50" s="10"/>
      <c r="EKX50" s="10"/>
      <c r="EKY50" s="10"/>
      <c r="EKZ50" s="10"/>
      <c r="ELA50" s="10"/>
      <c r="ELB50" s="10"/>
      <c r="ELC50" s="10"/>
      <c r="ELD50" s="10"/>
      <c r="ELE50" s="10"/>
      <c r="ELF50" s="10"/>
      <c r="ELG50" s="10"/>
      <c r="ELH50" s="10"/>
      <c r="ELI50" s="10"/>
      <c r="ELJ50" s="10"/>
      <c r="ELK50" s="10"/>
      <c r="ELL50" s="10"/>
      <c r="ELM50" s="10"/>
      <c r="ELN50" s="10"/>
      <c r="ELO50" s="10"/>
      <c r="ELP50" s="10"/>
      <c r="ELQ50" s="10"/>
      <c r="ELR50" s="10"/>
      <c r="ELS50" s="10"/>
      <c r="ELT50" s="10"/>
      <c r="ELU50" s="10"/>
      <c r="ELV50" s="10"/>
      <c r="ELW50" s="10"/>
      <c r="ELX50" s="10"/>
      <c r="ELY50" s="10"/>
      <c r="ELZ50" s="10"/>
      <c r="EMA50" s="10"/>
      <c r="EMB50" s="10"/>
      <c r="EMC50" s="10"/>
      <c r="EMD50" s="10"/>
      <c r="EME50" s="10"/>
      <c r="EMF50" s="10"/>
      <c r="EMG50" s="10"/>
      <c r="EMH50" s="10"/>
      <c r="EMI50" s="10"/>
      <c r="EMJ50" s="10"/>
      <c r="EMK50" s="10"/>
      <c r="EML50" s="10"/>
      <c r="EMM50" s="10"/>
      <c r="EMN50" s="10"/>
      <c r="EMO50" s="10"/>
      <c r="EMP50" s="10"/>
      <c r="EMQ50" s="10"/>
      <c r="EMR50" s="10"/>
      <c r="EMS50" s="10"/>
      <c r="EMT50" s="10"/>
      <c r="EMU50" s="10"/>
      <c r="EMV50" s="10"/>
      <c r="EMW50" s="10"/>
      <c r="EMX50" s="10"/>
      <c r="EMY50" s="10"/>
      <c r="EMZ50" s="10"/>
      <c r="ENA50" s="10"/>
      <c r="ENB50" s="10"/>
      <c r="ENC50" s="10"/>
      <c r="END50" s="10"/>
      <c r="ENE50" s="10"/>
      <c r="ENF50" s="10"/>
      <c r="ENG50" s="10"/>
      <c r="ENH50" s="10"/>
      <c r="ENI50" s="10"/>
      <c r="ENJ50" s="10"/>
      <c r="ENK50" s="10"/>
      <c r="ENL50" s="10"/>
      <c r="ENM50" s="10"/>
      <c r="ENN50" s="10"/>
      <c r="ENO50" s="10"/>
      <c r="ENP50" s="10"/>
      <c r="ENQ50" s="10"/>
      <c r="ENR50" s="10"/>
      <c r="ENS50" s="10"/>
      <c r="ENT50" s="10"/>
      <c r="ENU50" s="10"/>
      <c r="ENV50" s="10"/>
      <c r="ENW50" s="10"/>
      <c r="ENX50" s="10"/>
      <c r="ENY50" s="10"/>
      <c r="ENZ50" s="10"/>
      <c r="EOA50" s="10"/>
      <c r="EOB50" s="10"/>
      <c r="EOC50" s="10"/>
      <c r="EOD50" s="10"/>
      <c r="EOE50" s="10"/>
      <c r="EOF50" s="10"/>
      <c r="EOG50" s="10"/>
      <c r="EOH50" s="10"/>
      <c r="EOI50" s="10"/>
      <c r="EOJ50" s="10"/>
      <c r="EOK50" s="10"/>
      <c r="EOL50" s="10"/>
      <c r="EOM50" s="10"/>
      <c r="EON50" s="10"/>
      <c r="EOO50" s="10"/>
      <c r="EOP50" s="10"/>
      <c r="EOQ50" s="10"/>
      <c r="EOR50" s="10"/>
      <c r="EOS50" s="10"/>
      <c r="EOT50" s="10"/>
      <c r="EOU50" s="10"/>
      <c r="EOV50" s="10"/>
      <c r="EOW50" s="10"/>
      <c r="EOX50" s="10"/>
      <c r="EOY50" s="10"/>
      <c r="EOZ50" s="10"/>
      <c r="EPA50" s="10"/>
      <c r="EPB50" s="10"/>
      <c r="EPC50" s="10"/>
      <c r="EPD50" s="10"/>
      <c r="EPE50" s="10"/>
      <c r="EPF50" s="10"/>
      <c r="EPG50" s="10"/>
      <c r="EPH50" s="10"/>
      <c r="EPI50" s="10"/>
      <c r="EPJ50" s="10"/>
      <c r="EPK50" s="10"/>
      <c r="EPL50" s="10"/>
      <c r="EPM50" s="10"/>
      <c r="EPN50" s="10"/>
      <c r="EPO50" s="10"/>
      <c r="EPP50" s="10"/>
      <c r="EPQ50" s="10"/>
      <c r="EPR50" s="10"/>
      <c r="EPS50" s="10"/>
      <c r="EPT50" s="10"/>
      <c r="EPU50" s="10"/>
      <c r="EPV50" s="10"/>
      <c r="EPW50" s="10"/>
      <c r="EPX50" s="10"/>
      <c r="EPY50" s="10"/>
      <c r="EPZ50" s="10"/>
      <c r="EQA50" s="10"/>
      <c r="EQB50" s="10"/>
      <c r="EQC50" s="10"/>
      <c r="EQD50" s="10"/>
      <c r="EQE50" s="10"/>
      <c r="EQF50" s="10"/>
      <c r="EQG50" s="10"/>
      <c r="EQH50" s="10"/>
      <c r="EQI50" s="10"/>
      <c r="EQJ50" s="10"/>
      <c r="EQK50" s="10"/>
      <c r="EQL50" s="10"/>
      <c r="EQM50" s="10"/>
      <c r="EQN50" s="10"/>
      <c r="EQO50" s="10"/>
      <c r="EQP50" s="10"/>
      <c r="EQQ50" s="10"/>
      <c r="EQR50" s="10"/>
      <c r="EQS50" s="10"/>
      <c r="EQT50" s="10"/>
      <c r="EQU50" s="10"/>
      <c r="EQV50" s="10"/>
      <c r="EQW50" s="10"/>
      <c r="EQX50" s="10"/>
      <c r="EQY50" s="10"/>
      <c r="EQZ50" s="10"/>
      <c r="ERA50" s="10"/>
      <c r="ERB50" s="10"/>
      <c r="ERC50" s="10"/>
      <c r="ERD50" s="10"/>
      <c r="ERE50" s="10"/>
      <c r="ERF50" s="10"/>
      <c r="ERG50" s="10"/>
      <c r="ERH50" s="10"/>
      <c r="ERI50" s="10"/>
      <c r="ERJ50" s="10"/>
      <c r="ERK50" s="10"/>
      <c r="ERL50" s="10"/>
      <c r="ERM50" s="10"/>
      <c r="ERN50" s="10"/>
      <c r="ERO50" s="10"/>
      <c r="ERP50" s="10"/>
      <c r="ERQ50" s="10"/>
      <c r="ERR50" s="10"/>
      <c r="ERS50" s="10"/>
      <c r="ERT50" s="10"/>
      <c r="ERU50" s="10"/>
      <c r="ERV50" s="10"/>
      <c r="ERW50" s="10"/>
      <c r="ERX50" s="10"/>
      <c r="ERY50" s="10"/>
      <c r="ERZ50" s="10"/>
      <c r="ESA50" s="10"/>
      <c r="ESB50" s="10"/>
      <c r="ESC50" s="10"/>
      <c r="ESD50" s="10"/>
      <c r="ESE50" s="10"/>
      <c r="ESF50" s="10"/>
      <c r="ESG50" s="10"/>
      <c r="ESH50" s="10"/>
      <c r="ESI50" s="10"/>
      <c r="ESJ50" s="10"/>
      <c r="ESK50" s="10"/>
      <c r="ESL50" s="10"/>
      <c r="ESM50" s="10"/>
      <c r="ESN50" s="10"/>
      <c r="ESO50" s="10"/>
      <c r="ESP50" s="10"/>
      <c r="ESQ50" s="10"/>
      <c r="ESR50" s="10"/>
      <c r="ESS50" s="10"/>
      <c r="EST50" s="10"/>
      <c r="ESU50" s="10"/>
      <c r="ESV50" s="10"/>
      <c r="ESW50" s="10"/>
      <c r="ESX50" s="10"/>
      <c r="ESY50" s="10"/>
      <c r="ESZ50" s="10"/>
      <c r="ETA50" s="10"/>
      <c r="ETB50" s="10"/>
      <c r="ETC50" s="10"/>
      <c r="ETD50" s="10"/>
      <c r="ETE50" s="10"/>
      <c r="ETF50" s="10"/>
      <c r="ETG50" s="10"/>
      <c r="ETH50" s="10"/>
      <c r="ETI50" s="10"/>
      <c r="ETJ50" s="10"/>
      <c r="ETK50" s="10"/>
      <c r="ETL50" s="10"/>
      <c r="ETM50" s="10"/>
      <c r="ETN50" s="10"/>
      <c r="ETO50" s="10"/>
      <c r="ETP50" s="10"/>
      <c r="ETQ50" s="10"/>
      <c r="ETR50" s="10"/>
      <c r="ETS50" s="10"/>
      <c r="ETT50" s="10"/>
      <c r="ETU50" s="10"/>
      <c r="ETV50" s="10"/>
      <c r="ETW50" s="10"/>
      <c r="ETX50" s="10"/>
      <c r="ETY50" s="10"/>
      <c r="ETZ50" s="10"/>
      <c r="EUA50" s="10"/>
      <c r="EUB50" s="10"/>
      <c r="EUC50" s="10"/>
      <c r="EUD50" s="10"/>
      <c r="EUE50" s="10"/>
      <c r="EUF50" s="10"/>
      <c r="EUG50" s="10"/>
      <c r="EUH50" s="10"/>
      <c r="EUI50" s="10"/>
      <c r="EUJ50" s="10"/>
      <c r="EUK50" s="10"/>
      <c r="EUL50" s="10"/>
      <c r="EUM50" s="10"/>
      <c r="EUN50" s="10"/>
      <c r="EUO50" s="10"/>
      <c r="EUP50" s="10"/>
      <c r="EUQ50" s="10"/>
      <c r="EUR50" s="10"/>
      <c r="EUS50" s="10"/>
      <c r="EUT50" s="10"/>
      <c r="EUU50" s="10"/>
      <c r="EUV50" s="10"/>
      <c r="EUW50" s="10"/>
      <c r="EUX50" s="10"/>
      <c r="EUY50" s="10"/>
      <c r="EUZ50" s="10"/>
      <c r="EVA50" s="10"/>
      <c r="EVB50" s="10"/>
      <c r="EVC50" s="10"/>
      <c r="EVD50" s="10"/>
      <c r="EVE50" s="10"/>
      <c r="EVF50" s="10"/>
      <c r="EVG50" s="10"/>
      <c r="EVH50" s="10"/>
      <c r="EVI50" s="10"/>
      <c r="EVJ50" s="10"/>
      <c r="EVK50" s="10"/>
      <c r="EVL50" s="10"/>
      <c r="EVM50" s="10"/>
      <c r="EVN50" s="10"/>
      <c r="EVO50" s="10"/>
      <c r="EVP50" s="10"/>
      <c r="EVQ50" s="10"/>
      <c r="EVR50" s="10"/>
      <c r="EVS50" s="10"/>
      <c r="EVT50" s="10"/>
      <c r="EVU50" s="10"/>
      <c r="EVV50" s="10"/>
      <c r="EVW50" s="10"/>
      <c r="EVX50" s="10"/>
      <c r="EVY50" s="10"/>
      <c r="EVZ50" s="10"/>
      <c r="EWA50" s="10"/>
      <c r="EWB50" s="10"/>
      <c r="EWC50" s="10"/>
      <c r="EWD50" s="10"/>
      <c r="EWE50" s="10"/>
      <c r="EWF50" s="10"/>
      <c r="EWG50" s="10"/>
      <c r="EWH50" s="10"/>
      <c r="EWI50" s="10"/>
      <c r="EWJ50" s="10"/>
      <c r="EWK50" s="10"/>
      <c r="EWL50" s="10"/>
      <c r="EWM50" s="10"/>
      <c r="EWN50" s="10"/>
      <c r="EWO50" s="10"/>
      <c r="EWP50" s="10"/>
      <c r="EWQ50" s="10"/>
      <c r="EWR50" s="10"/>
      <c r="EWS50" s="10"/>
      <c r="EWT50" s="10"/>
      <c r="EWU50" s="10"/>
      <c r="EWV50" s="10"/>
      <c r="EWW50" s="10"/>
      <c r="EWX50" s="10"/>
      <c r="EWY50" s="10"/>
      <c r="EWZ50" s="10"/>
      <c r="EXA50" s="10"/>
      <c r="EXB50" s="10"/>
      <c r="EXC50" s="10"/>
      <c r="EXD50" s="10"/>
      <c r="EXE50" s="10"/>
      <c r="EXF50" s="10"/>
      <c r="EXG50" s="10"/>
      <c r="EXH50" s="10"/>
      <c r="EXI50" s="10"/>
      <c r="EXJ50" s="10"/>
      <c r="EXK50" s="10"/>
      <c r="EXL50" s="10"/>
      <c r="EXM50" s="10"/>
      <c r="EXN50" s="10"/>
      <c r="EXO50" s="10"/>
      <c r="EXP50" s="10"/>
      <c r="EXQ50" s="10"/>
      <c r="EXR50" s="10"/>
      <c r="EXS50" s="10"/>
      <c r="EXT50" s="10"/>
      <c r="EXU50" s="10"/>
      <c r="EXV50" s="10"/>
      <c r="EXW50" s="10"/>
      <c r="EXX50" s="10"/>
      <c r="EXY50" s="10"/>
      <c r="EXZ50" s="10"/>
      <c r="EYA50" s="10"/>
      <c r="EYB50" s="10"/>
      <c r="EYC50" s="10"/>
      <c r="EYD50" s="10"/>
      <c r="EYE50" s="10"/>
      <c r="EYF50" s="10"/>
      <c r="EYG50" s="10"/>
      <c r="EYH50" s="10"/>
      <c r="EYI50" s="10"/>
      <c r="EYJ50" s="10"/>
      <c r="EYK50" s="10"/>
      <c r="EYL50" s="10"/>
      <c r="EYM50" s="10"/>
      <c r="EYN50" s="10"/>
      <c r="EYO50" s="10"/>
      <c r="EYP50" s="10"/>
      <c r="EYQ50" s="10"/>
      <c r="EYR50" s="10"/>
      <c r="EYS50" s="10"/>
      <c r="EYT50" s="10"/>
      <c r="EYU50" s="10"/>
      <c r="EYV50" s="10"/>
      <c r="EYW50" s="10"/>
      <c r="EYX50" s="10"/>
      <c r="EYY50" s="10"/>
      <c r="EYZ50" s="10"/>
      <c r="EZA50" s="10"/>
      <c r="EZB50" s="10"/>
      <c r="EZC50" s="10"/>
      <c r="EZD50" s="10"/>
      <c r="EZE50" s="10"/>
      <c r="EZF50" s="10"/>
      <c r="EZG50" s="10"/>
      <c r="EZH50" s="10"/>
      <c r="EZI50" s="10"/>
      <c r="EZJ50" s="10"/>
      <c r="EZK50" s="10"/>
      <c r="EZL50" s="10"/>
      <c r="EZM50" s="10"/>
      <c r="EZN50" s="10"/>
      <c r="EZO50" s="10"/>
      <c r="EZP50" s="10"/>
      <c r="EZQ50" s="10"/>
      <c r="EZR50" s="10"/>
      <c r="EZS50" s="10"/>
      <c r="EZT50" s="10"/>
      <c r="EZU50" s="10"/>
      <c r="EZV50" s="10"/>
      <c r="EZW50" s="10"/>
      <c r="EZX50" s="10"/>
      <c r="EZY50" s="10"/>
      <c r="EZZ50" s="10"/>
      <c r="FAA50" s="10"/>
      <c r="FAB50" s="10"/>
      <c r="FAC50" s="10"/>
      <c r="FAD50" s="10"/>
      <c r="FAE50" s="10"/>
      <c r="FAF50" s="10"/>
      <c r="FAG50" s="10"/>
      <c r="FAH50" s="10"/>
      <c r="FAI50" s="10"/>
      <c r="FAJ50" s="10"/>
      <c r="FAK50" s="10"/>
      <c r="FAL50" s="10"/>
      <c r="FAM50" s="10"/>
      <c r="FAN50" s="10"/>
      <c r="FAO50" s="10"/>
      <c r="FAP50" s="10"/>
      <c r="FAQ50" s="10"/>
      <c r="FAR50" s="10"/>
      <c r="FAS50" s="10"/>
      <c r="FAT50" s="10"/>
      <c r="FAU50" s="10"/>
      <c r="FAV50" s="10"/>
      <c r="FAW50" s="10"/>
      <c r="FAX50" s="10"/>
      <c r="FAY50" s="10"/>
      <c r="FAZ50" s="10"/>
      <c r="FBA50" s="10"/>
      <c r="FBB50" s="10"/>
      <c r="FBC50" s="10"/>
      <c r="FBD50" s="10"/>
      <c r="FBE50" s="10"/>
      <c r="FBF50" s="10"/>
      <c r="FBG50" s="10"/>
      <c r="FBH50" s="10"/>
      <c r="FBI50" s="10"/>
      <c r="FBJ50" s="10"/>
      <c r="FBK50" s="10"/>
      <c r="FBL50" s="10"/>
      <c r="FBM50" s="10"/>
      <c r="FBN50" s="10"/>
      <c r="FBO50" s="10"/>
      <c r="FBP50" s="10"/>
      <c r="FBQ50" s="10"/>
      <c r="FBR50" s="10"/>
      <c r="FBS50" s="10"/>
      <c r="FBT50" s="10"/>
      <c r="FBU50" s="10"/>
      <c r="FBV50" s="10"/>
      <c r="FBW50" s="10"/>
      <c r="FBX50" s="10"/>
      <c r="FBY50" s="10"/>
      <c r="FBZ50" s="10"/>
      <c r="FCA50" s="10"/>
      <c r="FCB50" s="10"/>
      <c r="FCC50" s="10"/>
      <c r="FCD50" s="10"/>
      <c r="FCE50" s="10"/>
      <c r="FCF50" s="10"/>
      <c r="FCG50" s="10"/>
      <c r="FCH50" s="10"/>
      <c r="FCI50" s="10"/>
      <c r="FCJ50" s="10"/>
      <c r="FCK50" s="10"/>
      <c r="FCL50" s="10"/>
      <c r="FCM50" s="10"/>
      <c r="FCN50" s="10"/>
      <c r="FCO50" s="10"/>
      <c r="FCP50" s="10"/>
      <c r="FCQ50" s="10"/>
      <c r="FCR50" s="10"/>
      <c r="FCS50" s="10"/>
      <c r="FCT50" s="10"/>
      <c r="FCU50" s="10"/>
      <c r="FCV50" s="10"/>
      <c r="FCW50" s="10"/>
      <c r="FCX50" s="10"/>
      <c r="FCY50" s="10"/>
      <c r="FCZ50" s="10"/>
      <c r="FDA50" s="10"/>
      <c r="FDB50" s="10"/>
      <c r="FDC50" s="10"/>
      <c r="FDD50" s="10"/>
      <c r="FDE50" s="10"/>
      <c r="FDF50" s="10"/>
      <c r="FDG50" s="10"/>
      <c r="FDH50" s="10"/>
      <c r="FDI50" s="10"/>
      <c r="FDJ50" s="10"/>
      <c r="FDK50" s="10"/>
      <c r="FDL50" s="10"/>
      <c r="FDM50" s="10"/>
      <c r="FDN50" s="10"/>
      <c r="FDO50" s="10"/>
      <c r="FDP50" s="10"/>
      <c r="FDQ50" s="10"/>
      <c r="FDR50" s="10"/>
      <c r="FDS50" s="10"/>
      <c r="FDT50" s="10"/>
      <c r="FDU50" s="10"/>
      <c r="FDV50" s="10"/>
      <c r="FDW50" s="10"/>
      <c r="FDX50" s="10"/>
      <c r="FDY50" s="10"/>
      <c r="FDZ50" s="10"/>
      <c r="FEA50" s="10"/>
      <c r="FEB50" s="10"/>
      <c r="FEC50" s="10"/>
      <c r="FED50" s="10"/>
      <c r="FEE50" s="10"/>
      <c r="FEF50" s="10"/>
      <c r="FEG50" s="10"/>
      <c r="FEH50" s="10"/>
      <c r="FEI50" s="10"/>
      <c r="FEJ50" s="10"/>
      <c r="FEK50" s="10"/>
      <c r="FEL50" s="10"/>
      <c r="FEM50" s="10"/>
      <c r="FEN50" s="10"/>
      <c r="FEO50" s="10"/>
      <c r="FEP50" s="10"/>
      <c r="FEQ50" s="10"/>
      <c r="FER50" s="10"/>
      <c r="FES50" s="10"/>
      <c r="FET50" s="10"/>
      <c r="FEU50" s="10"/>
      <c r="FEV50" s="10"/>
      <c r="FEW50" s="10"/>
      <c r="FEX50" s="10"/>
      <c r="FEY50" s="10"/>
      <c r="FEZ50" s="10"/>
      <c r="FFA50" s="10"/>
      <c r="FFB50" s="10"/>
      <c r="FFC50" s="10"/>
      <c r="FFD50" s="10"/>
      <c r="FFE50" s="10"/>
      <c r="FFF50" s="10"/>
      <c r="FFG50" s="10"/>
      <c r="FFH50" s="10"/>
      <c r="FFI50" s="10"/>
      <c r="FFJ50" s="10"/>
      <c r="FFK50" s="10"/>
      <c r="FFL50" s="10"/>
      <c r="FFM50" s="10"/>
      <c r="FFN50" s="10"/>
      <c r="FFO50" s="10"/>
      <c r="FFP50" s="10"/>
      <c r="FFQ50" s="10"/>
      <c r="FFR50" s="10"/>
      <c r="FFS50" s="10"/>
      <c r="FFT50" s="10"/>
      <c r="FFU50" s="10"/>
      <c r="FFV50" s="10"/>
      <c r="FFW50" s="10"/>
      <c r="FFX50" s="10"/>
      <c r="FFY50" s="10"/>
      <c r="FFZ50" s="10"/>
      <c r="FGA50" s="10"/>
      <c r="FGB50" s="10"/>
      <c r="FGC50" s="10"/>
      <c r="FGD50" s="10"/>
      <c r="FGE50" s="10"/>
      <c r="FGF50" s="10"/>
      <c r="FGG50" s="10"/>
      <c r="FGH50" s="10"/>
      <c r="FGI50" s="10"/>
      <c r="FGJ50" s="10"/>
      <c r="FGK50" s="10"/>
      <c r="FGL50" s="10"/>
      <c r="FGM50" s="10"/>
      <c r="FGN50" s="10"/>
      <c r="FGO50" s="10"/>
      <c r="FGP50" s="10"/>
      <c r="FGQ50" s="10"/>
      <c r="FGR50" s="10"/>
      <c r="FGS50" s="10"/>
      <c r="FGT50" s="10"/>
      <c r="FGU50" s="10"/>
      <c r="FGV50" s="10"/>
      <c r="FGW50" s="10"/>
      <c r="FGX50" s="10"/>
      <c r="FGY50" s="10"/>
      <c r="FGZ50" s="10"/>
      <c r="FHA50" s="10"/>
      <c r="FHB50" s="10"/>
      <c r="FHC50" s="10"/>
      <c r="FHD50" s="10"/>
      <c r="FHE50" s="10"/>
      <c r="FHF50" s="10"/>
      <c r="FHG50" s="10"/>
      <c r="FHH50" s="10"/>
      <c r="FHI50" s="10"/>
      <c r="FHJ50" s="10"/>
      <c r="FHK50" s="10"/>
      <c r="FHL50" s="10"/>
      <c r="FHM50" s="10"/>
      <c r="FHN50" s="10"/>
      <c r="FHO50" s="10"/>
      <c r="FHP50" s="10"/>
      <c r="FHQ50" s="10"/>
      <c r="FHR50" s="10"/>
      <c r="FHS50" s="10"/>
      <c r="FHT50" s="10"/>
      <c r="FHU50" s="10"/>
      <c r="FHV50" s="10"/>
      <c r="FHW50" s="10"/>
      <c r="FHX50" s="10"/>
      <c r="FHY50" s="10"/>
      <c r="FHZ50" s="10"/>
      <c r="FIA50" s="10"/>
      <c r="FIB50" s="10"/>
      <c r="FIC50" s="10"/>
      <c r="FID50" s="10"/>
      <c r="FIE50" s="10"/>
      <c r="FIF50" s="10"/>
      <c r="FIG50" s="10"/>
      <c r="FIH50" s="10"/>
      <c r="FII50" s="10"/>
      <c r="FIJ50" s="10"/>
      <c r="FIK50" s="10"/>
      <c r="FIL50" s="10"/>
      <c r="FIM50" s="10"/>
      <c r="FIN50" s="10"/>
      <c r="FIO50" s="10"/>
      <c r="FIP50" s="10"/>
      <c r="FIQ50" s="10"/>
      <c r="FIR50" s="10"/>
      <c r="FIS50" s="10"/>
      <c r="FIT50" s="10"/>
      <c r="FIU50" s="10"/>
      <c r="FIV50" s="10"/>
      <c r="FIW50" s="10"/>
      <c r="FIX50" s="10"/>
      <c r="FIY50" s="10"/>
      <c r="FIZ50" s="10"/>
      <c r="FJA50" s="10"/>
      <c r="FJB50" s="10"/>
      <c r="FJC50" s="10"/>
      <c r="FJD50" s="10"/>
      <c r="FJE50" s="10"/>
      <c r="FJF50" s="10"/>
      <c r="FJG50" s="10"/>
      <c r="FJH50" s="10"/>
      <c r="FJI50" s="10"/>
      <c r="FJJ50" s="10"/>
      <c r="FJK50" s="10"/>
      <c r="FJL50" s="10"/>
      <c r="FJM50" s="10"/>
      <c r="FJN50" s="10"/>
      <c r="FJO50" s="10"/>
      <c r="FJP50" s="10"/>
      <c r="FJQ50" s="10"/>
      <c r="FJR50" s="10"/>
      <c r="FJS50" s="10"/>
      <c r="FJT50" s="10"/>
      <c r="FJU50" s="10"/>
      <c r="FJV50" s="10"/>
      <c r="FJW50" s="10"/>
      <c r="FJX50" s="10"/>
      <c r="FJY50" s="10"/>
      <c r="FJZ50" s="10"/>
      <c r="FKA50" s="10"/>
      <c r="FKB50" s="10"/>
      <c r="FKC50" s="10"/>
      <c r="FKD50" s="10"/>
      <c r="FKE50" s="10"/>
      <c r="FKF50" s="10"/>
      <c r="FKG50" s="10"/>
      <c r="FKH50" s="10"/>
      <c r="FKI50" s="10"/>
      <c r="FKJ50" s="10"/>
      <c r="FKK50" s="10"/>
      <c r="FKL50" s="10"/>
      <c r="FKM50" s="10"/>
      <c r="FKN50" s="10"/>
      <c r="FKO50" s="10"/>
      <c r="FKP50" s="10"/>
      <c r="FKQ50" s="10"/>
      <c r="FKR50" s="10"/>
      <c r="FKS50" s="10"/>
      <c r="FKT50" s="10"/>
      <c r="FKU50" s="10"/>
      <c r="FKV50" s="10"/>
      <c r="FKW50" s="10"/>
      <c r="FKX50" s="10"/>
      <c r="FKY50" s="10"/>
      <c r="FKZ50" s="10"/>
      <c r="FLA50" s="10"/>
      <c r="FLB50" s="10"/>
      <c r="FLC50" s="10"/>
      <c r="FLD50" s="10"/>
      <c r="FLE50" s="10"/>
      <c r="FLF50" s="10"/>
      <c r="FLG50" s="10"/>
      <c r="FLH50" s="10"/>
      <c r="FLI50" s="10"/>
      <c r="FLJ50" s="10"/>
      <c r="FLK50" s="10"/>
      <c r="FLL50" s="10"/>
      <c r="FLM50" s="10"/>
      <c r="FLN50" s="10"/>
      <c r="FLO50" s="10"/>
      <c r="FLP50" s="10"/>
      <c r="FLQ50" s="10"/>
      <c r="FLR50" s="10"/>
      <c r="FLS50" s="10"/>
      <c r="FLT50" s="10"/>
      <c r="FLU50" s="10"/>
      <c r="FLV50" s="10"/>
      <c r="FLW50" s="10"/>
      <c r="FLX50" s="10"/>
      <c r="FLY50" s="10"/>
      <c r="FLZ50" s="10"/>
      <c r="FMA50" s="10"/>
      <c r="FMB50" s="10"/>
      <c r="FMC50" s="10"/>
      <c r="FMD50" s="10"/>
      <c r="FME50" s="10"/>
      <c r="FMF50" s="10"/>
      <c r="FMG50" s="10"/>
      <c r="FMH50" s="10"/>
      <c r="FMI50" s="10"/>
      <c r="FMJ50" s="10"/>
      <c r="FMK50" s="10"/>
      <c r="FML50" s="10"/>
      <c r="FMM50" s="10"/>
      <c r="FMN50" s="10"/>
      <c r="FMO50" s="10"/>
      <c r="FMP50" s="10"/>
      <c r="FMQ50" s="10"/>
      <c r="FMR50" s="10"/>
      <c r="FMS50" s="10"/>
      <c r="FMT50" s="10"/>
      <c r="FMU50" s="10"/>
      <c r="FMV50" s="10"/>
      <c r="FMW50" s="10"/>
      <c r="FMX50" s="10"/>
      <c r="FMY50" s="10"/>
      <c r="FMZ50" s="10"/>
      <c r="FNA50" s="10"/>
      <c r="FNB50" s="10"/>
      <c r="FNC50" s="10"/>
      <c r="FND50" s="10"/>
      <c r="FNE50" s="10"/>
      <c r="FNF50" s="10"/>
      <c r="FNG50" s="10"/>
      <c r="FNH50" s="10"/>
      <c r="FNI50" s="10"/>
      <c r="FNJ50" s="10"/>
      <c r="FNK50" s="10"/>
      <c r="FNL50" s="10"/>
      <c r="FNM50" s="10"/>
      <c r="FNN50" s="10"/>
      <c r="FNO50" s="10"/>
      <c r="FNP50" s="10"/>
      <c r="FNQ50" s="10"/>
      <c r="FNR50" s="10"/>
      <c r="FNS50" s="10"/>
      <c r="FNT50" s="10"/>
      <c r="FNU50" s="10"/>
      <c r="FNV50" s="10"/>
      <c r="FNW50" s="10"/>
      <c r="FNX50" s="10"/>
      <c r="FNY50" s="10"/>
      <c r="FNZ50" s="10"/>
      <c r="FOA50" s="10"/>
      <c r="FOB50" s="10"/>
      <c r="FOC50" s="10"/>
      <c r="FOD50" s="10"/>
      <c r="FOE50" s="10"/>
      <c r="FOF50" s="10"/>
      <c r="FOG50" s="10"/>
      <c r="FOH50" s="10"/>
      <c r="FOI50" s="10"/>
      <c r="FOJ50" s="10"/>
      <c r="FOK50" s="10"/>
      <c r="FOL50" s="10"/>
      <c r="FOM50" s="10"/>
      <c r="FON50" s="10"/>
      <c r="FOO50" s="10"/>
      <c r="FOP50" s="10"/>
      <c r="FOQ50" s="10"/>
      <c r="FOR50" s="10"/>
      <c r="FOS50" s="10"/>
      <c r="FOT50" s="10"/>
      <c r="FOU50" s="10"/>
      <c r="FOV50" s="10"/>
      <c r="FOW50" s="10"/>
      <c r="FOX50" s="10"/>
      <c r="FOY50" s="10"/>
      <c r="FOZ50" s="10"/>
      <c r="FPA50" s="10"/>
      <c r="FPB50" s="10"/>
      <c r="FPC50" s="10"/>
      <c r="FPD50" s="10"/>
      <c r="FPE50" s="10"/>
      <c r="FPF50" s="10"/>
      <c r="FPG50" s="10"/>
      <c r="FPH50" s="10"/>
      <c r="FPI50" s="10"/>
      <c r="FPJ50" s="10"/>
      <c r="FPK50" s="10"/>
      <c r="FPL50" s="10"/>
      <c r="FPM50" s="10"/>
      <c r="FPN50" s="10"/>
      <c r="FPO50" s="10"/>
      <c r="FPP50" s="10"/>
      <c r="FPQ50" s="10"/>
      <c r="FPR50" s="10"/>
      <c r="FPS50" s="10"/>
      <c r="FPT50" s="10"/>
      <c r="FPU50" s="10"/>
      <c r="FPV50" s="10"/>
      <c r="FPW50" s="10"/>
      <c r="FPX50" s="10"/>
      <c r="FPY50" s="10"/>
      <c r="FPZ50" s="10"/>
      <c r="FQA50" s="10"/>
      <c r="FQB50" s="10"/>
      <c r="FQC50" s="10"/>
      <c r="FQD50" s="10"/>
      <c r="FQE50" s="10"/>
      <c r="FQF50" s="10"/>
      <c r="FQG50" s="10"/>
      <c r="FQH50" s="10"/>
      <c r="FQI50" s="10"/>
      <c r="FQJ50" s="10"/>
      <c r="FQK50" s="10"/>
      <c r="FQL50" s="10"/>
      <c r="FQM50" s="10"/>
      <c r="FQN50" s="10"/>
      <c r="FQO50" s="10"/>
      <c r="FQP50" s="10"/>
      <c r="FQQ50" s="10"/>
      <c r="FQR50" s="10"/>
      <c r="FQS50" s="10"/>
      <c r="FQT50" s="10"/>
      <c r="FQU50" s="10"/>
      <c r="FQV50" s="10"/>
      <c r="FQW50" s="10"/>
      <c r="FQX50" s="10"/>
      <c r="FQY50" s="10"/>
      <c r="FQZ50" s="10"/>
      <c r="FRA50" s="10"/>
      <c r="FRB50" s="10"/>
      <c r="FRC50" s="10"/>
      <c r="FRD50" s="10"/>
      <c r="FRE50" s="10"/>
      <c r="FRF50" s="10"/>
      <c r="FRG50" s="10"/>
      <c r="FRH50" s="10"/>
      <c r="FRI50" s="10"/>
      <c r="FRJ50" s="10"/>
      <c r="FRK50" s="10"/>
      <c r="FRL50" s="10"/>
      <c r="FRM50" s="10"/>
      <c r="FRN50" s="10"/>
      <c r="FRO50" s="10"/>
      <c r="FRP50" s="10"/>
      <c r="FRQ50" s="10"/>
      <c r="FRR50" s="10"/>
      <c r="FRS50" s="10"/>
      <c r="FRT50" s="10"/>
      <c r="FRU50" s="10"/>
      <c r="FRV50" s="10"/>
      <c r="FRW50" s="10"/>
      <c r="FRX50" s="10"/>
      <c r="FRY50" s="10"/>
      <c r="FRZ50" s="10"/>
      <c r="FSA50" s="10"/>
      <c r="FSB50" s="10"/>
      <c r="FSC50" s="10"/>
      <c r="FSD50" s="10"/>
      <c r="FSE50" s="10"/>
      <c r="FSF50" s="10"/>
      <c r="FSG50" s="10"/>
      <c r="FSH50" s="10"/>
      <c r="FSI50" s="10"/>
      <c r="FSJ50" s="10"/>
      <c r="FSK50" s="10"/>
      <c r="FSL50" s="10"/>
      <c r="FSM50" s="10"/>
      <c r="FSN50" s="10"/>
      <c r="FSO50" s="10"/>
      <c r="FSP50" s="10"/>
      <c r="FSQ50" s="10"/>
      <c r="FSR50" s="10"/>
      <c r="FSS50" s="10"/>
      <c r="FST50" s="10"/>
      <c r="FSU50" s="10"/>
      <c r="FSV50" s="10"/>
      <c r="FSW50" s="10"/>
      <c r="FSX50" s="10"/>
      <c r="FSY50" s="10"/>
      <c r="FSZ50" s="10"/>
      <c r="FTA50" s="10"/>
      <c r="FTB50" s="10"/>
      <c r="FTC50" s="10"/>
      <c r="FTD50" s="10"/>
      <c r="FTE50" s="10"/>
      <c r="FTF50" s="10"/>
      <c r="FTG50" s="10"/>
      <c r="FTH50" s="10"/>
      <c r="FTI50" s="10"/>
      <c r="FTJ50" s="10"/>
      <c r="FTK50" s="10"/>
      <c r="FTL50" s="10"/>
      <c r="FTM50" s="10"/>
      <c r="FTN50" s="10"/>
      <c r="FTO50" s="10"/>
      <c r="FTP50" s="10"/>
      <c r="FTQ50" s="10"/>
      <c r="FTR50" s="10"/>
      <c r="FTS50" s="10"/>
      <c r="FTT50" s="10"/>
      <c r="FTU50" s="10"/>
      <c r="FTV50" s="10"/>
      <c r="FTW50" s="10"/>
      <c r="FTX50" s="10"/>
      <c r="FTY50" s="10"/>
      <c r="FTZ50" s="10"/>
      <c r="FUA50" s="10"/>
      <c r="FUB50" s="10"/>
      <c r="FUC50" s="10"/>
      <c r="FUD50" s="10"/>
      <c r="FUE50" s="10"/>
      <c r="FUF50" s="10"/>
      <c r="FUG50" s="10"/>
      <c r="FUH50" s="10"/>
      <c r="FUI50" s="10"/>
      <c r="FUJ50" s="10"/>
      <c r="FUK50" s="10"/>
      <c r="FUL50" s="10"/>
      <c r="FUM50" s="10"/>
      <c r="FUN50" s="10"/>
      <c r="FUO50" s="10"/>
      <c r="FUP50" s="10"/>
      <c r="FUQ50" s="10"/>
      <c r="FUR50" s="10"/>
      <c r="FUS50" s="10"/>
      <c r="FUT50" s="10"/>
      <c r="FUU50" s="10"/>
      <c r="FUV50" s="10"/>
      <c r="FUW50" s="10"/>
      <c r="FUX50" s="10"/>
      <c r="FUY50" s="10"/>
      <c r="FUZ50" s="10"/>
      <c r="FVA50" s="10"/>
      <c r="FVB50" s="10"/>
      <c r="FVC50" s="10"/>
      <c r="FVD50" s="10"/>
      <c r="FVE50" s="10"/>
      <c r="FVF50" s="10"/>
      <c r="FVG50" s="10"/>
      <c r="FVH50" s="10"/>
      <c r="FVI50" s="10"/>
      <c r="FVJ50" s="10"/>
      <c r="FVK50" s="10"/>
      <c r="FVL50" s="10"/>
      <c r="FVM50" s="10"/>
      <c r="FVN50" s="10"/>
      <c r="FVO50" s="10"/>
      <c r="FVP50" s="10"/>
      <c r="FVQ50" s="10"/>
      <c r="FVR50" s="10"/>
      <c r="FVS50" s="10"/>
      <c r="FVT50" s="10"/>
      <c r="FVU50" s="10"/>
      <c r="FVV50" s="10"/>
      <c r="FVW50" s="10"/>
      <c r="FVX50" s="10"/>
      <c r="FVY50" s="10"/>
      <c r="FVZ50" s="10"/>
      <c r="FWA50" s="10"/>
      <c r="FWB50" s="10"/>
      <c r="FWC50" s="10"/>
      <c r="FWD50" s="10"/>
      <c r="FWE50" s="10"/>
      <c r="FWF50" s="10"/>
      <c r="FWG50" s="10"/>
      <c r="FWH50" s="10"/>
      <c r="FWI50" s="10"/>
      <c r="FWJ50" s="10"/>
      <c r="FWK50" s="10"/>
      <c r="FWL50" s="10"/>
      <c r="FWM50" s="10"/>
      <c r="FWN50" s="10"/>
      <c r="FWO50" s="10"/>
      <c r="FWP50" s="10"/>
      <c r="FWQ50" s="10"/>
      <c r="FWR50" s="10"/>
      <c r="FWS50" s="10"/>
      <c r="FWT50" s="10"/>
      <c r="FWU50" s="10"/>
      <c r="FWV50" s="10"/>
      <c r="FWW50" s="10"/>
      <c r="FWX50" s="10"/>
      <c r="FWY50" s="10"/>
      <c r="FWZ50" s="10"/>
      <c r="FXA50" s="10"/>
      <c r="FXB50" s="10"/>
      <c r="FXC50" s="10"/>
      <c r="FXD50" s="10"/>
      <c r="FXE50" s="10"/>
      <c r="FXF50" s="10"/>
      <c r="FXG50" s="10"/>
      <c r="FXH50" s="10"/>
      <c r="FXI50" s="10"/>
      <c r="FXJ50" s="10"/>
      <c r="FXK50" s="10"/>
      <c r="FXL50" s="10"/>
      <c r="FXM50" s="10"/>
      <c r="FXN50" s="10"/>
      <c r="FXO50" s="10"/>
      <c r="FXP50" s="10"/>
      <c r="FXQ50" s="10"/>
      <c r="FXR50" s="10"/>
      <c r="FXS50" s="10"/>
      <c r="FXT50" s="10"/>
      <c r="FXU50" s="10"/>
      <c r="FXV50" s="10"/>
      <c r="FXW50" s="10"/>
      <c r="FXX50" s="10"/>
      <c r="FXY50" s="10"/>
      <c r="FXZ50" s="10"/>
      <c r="FYA50" s="10"/>
      <c r="FYB50" s="10"/>
      <c r="FYC50" s="10"/>
      <c r="FYD50" s="10"/>
      <c r="FYE50" s="10"/>
      <c r="FYF50" s="10"/>
      <c r="FYG50" s="10"/>
      <c r="FYH50" s="10"/>
      <c r="FYI50" s="10"/>
      <c r="FYJ50" s="10"/>
      <c r="FYK50" s="10"/>
      <c r="FYL50" s="10"/>
      <c r="FYM50" s="10"/>
      <c r="FYN50" s="10"/>
      <c r="FYO50" s="10"/>
      <c r="FYP50" s="10"/>
      <c r="FYQ50" s="10"/>
      <c r="FYR50" s="10"/>
      <c r="FYS50" s="10"/>
      <c r="FYT50" s="10"/>
      <c r="FYU50" s="10"/>
      <c r="FYV50" s="10"/>
      <c r="FYW50" s="10"/>
      <c r="FYX50" s="10"/>
      <c r="FYY50" s="10"/>
      <c r="FYZ50" s="10"/>
      <c r="FZA50" s="10"/>
      <c r="FZB50" s="10"/>
      <c r="FZC50" s="10"/>
      <c r="FZD50" s="10"/>
      <c r="FZE50" s="10"/>
      <c r="FZF50" s="10"/>
      <c r="FZG50" s="10"/>
      <c r="FZH50" s="10"/>
      <c r="FZI50" s="10"/>
      <c r="FZJ50" s="10"/>
      <c r="FZK50" s="10"/>
      <c r="FZL50" s="10"/>
      <c r="FZM50" s="10"/>
      <c r="FZN50" s="10"/>
      <c r="FZO50" s="10"/>
      <c r="FZP50" s="10"/>
      <c r="FZQ50" s="10"/>
      <c r="FZR50" s="10"/>
      <c r="FZS50" s="10"/>
      <c r="FZT50" s="10"/>
      <c r="FZU50" s="10"/>
      <c r="FZV50" s="10"/>
      <c r="FZW50" s="10"/>
      <c r="FZX50" s="10"/>
      <c r="FZY50" s="10"/>
      <c r="FZZ50" s="10"/>
      <c r="GAA50" s="10"/>
      <c r="GAB50" s="10"/>
      <c r="GAC50" s="10"/>
      <c r="GAD50" s="10"/>
      <c r="GAE50" s="10"/>
      <c r="GAF50" s="10"/>
      <c r="GAG50" s="10"/>
      <c r="GAH50" s="10"/>
      <c r="GAI50" s="10"/>
      <c r="GAJ50" s="10"/>
      <c r="GAK50" s="10"/>
      <c r="GAL50" s="10"/>
      <c r="GAM50" s="10"/>
      <c r="GAN50" s="10"/>
      <c r="GAO50" s="10"/>
      <c r="GAP50" s="10"/>
      <c r="GAQ50" s="10"/>
      <c r="GAR50" s="10"/>
      <c r="GAS50" s="10"/>
      <c r="GAT50" s="10"/>
      <c r="GAU50" s="10"/>
      <c r="GAV50" s="10"/>
      <c r="GAW50" s="10"/>
      <c r="GAX50" s="10"/>
      <c r="GAY50" s="10"/>
      <c r="GAZ50" s="10"/>
      <c r="GBA50" s="10"/>
      <c r="GBB50" s="10"/>
      <c r="GBC50" s="10"/>
      <c r="GBD50" s="10"/>
      <c r="GBE50" s="10"/>
      <c r="GBF50" s="10"/>
      <c r="GBG50" s="10"/>
      <c r="GBH50" s="10"/>
      <c r="GBI50" s="10"/>
      <c r="GBJ50" s="10"/>
      <c r="GBK50" s="10"/>
      <c r="GBL50" s="10"/>
      <c r="GBM50" s="10"/>
      <c r="GBN50" s="10"/>
      <c r="GBO50" s="10"/>
      <c r="GBP50" s="10"/>
      <c r="GBQ50" s="10"/>
      <c r="GBR50" s="10"/>
      <c r="GBS50" s="10"/>
      <c r="GBT50" s="10"/>
      <c r="GBU50" s="10"/>
      <c r="GBV50" s="10"/>
      <c r="GBW50" s="10"/>
      <c r="GBX50" s="10"/>
      <c r="GBY50" s="10"/>
      <c r="GBZ50" s="10"/>
      <c r="GCA50" s="10"/>
      <c r="GCB50" s="10"/>
      <c r="GCC50" s="10"/>
      <c r="GCD50" s="10"/>
      <c r="GCE50" s="10"/>
      <c r="GCF50" s="10"/>
      <c r="GCG50" s="10"/>
      <c r="GCH50" s="10"/>
      <c r="GCI50" s="10"/>
      <c r="GCJ50" s="10"/>
      <c r="GCK50" s="10"/>
      <c r="GCL50" s="10"/>
      <c r="GCM50" s="10"/>
      <c r="GCN50" s="10"/>
      <c r="GCO50" s="10"/>
      <c r="GCP50" s="10"/>
      <c r="GCQ50" s="10"/>
      <c r="GCR50" s="10"/>
      <c r="GCS50" s="10"/>
      <c r="GCT50" s="10"/>
      <c r="GCU50" s="10"/>
      <c r="GCV50" s="10"/>
      <c r="GCW50" s="10"/>
      <c r="GCX50" s="10"/>
      <c r="GCY50" s="10"/>
      <c r="GCZ50" s="10"/>
      <c r="GDA50" s="10"/>
      <c r="GDB50" s="10"/>
      <c r="GDC50" s="10"/>
      <c r="GDD50" s="10"/>
      <c r="GDE50" s="10"/>
      <c r="GDF50" s="10"/>
      <c r="GDG50" s="10"/>
      <c r="GDH50" s="10"/>
      <c r="GDI50" s="10"/>
      <c r="GDJ50" s="10"/>
      <c r="GDK50" s="10"/>
      <c r="GDL50" s="10"/>
      <c r="GDM50" s="10"/>
      <c r="GDN50" s="10"/>
      <c r="GDO50" s="10"/>
      <c r="GDP50" s="10"/>
      <c r="GDQ50" s="10"/>
      <c r="GDR50" s="10"/>
      <c r="GDS50" s="10"/>
      <c r="GDT50" s="10"/>
      <c r="GDU50" s="10"/>
      <c r="GDV50" s="10"/>
      <c r="GDW50" s="10"/>
      <c r="GDX50" s="10"/>
      <c r="GDY50" s="10"/>
      <c r="GDZ50" s="10"/>
      <c r="GEA50" s="10"/>
      <c r="GEB50" s="10"/>
      <c r="GEC50" s="10"/>
      <c r="GED50" s="10"/>
      <c r="GEE50" s="10"/>
      <c r="GEF50" s="10"/>
      <c r="GEG50" s="10"/>
      <c r="GEH50" s="10"/>
      <c r="GEI50" s="10"/>
      <c r="GEJ50" s="10"/>
      <c r="GEK50" s="10"/>
      <c r="GEL50" s="10"/>
      <c r="GEM50" s="10"/>
      <c r="GEN50" s="10"/>
      <c r="GEO50" s="10"/>
      <c r="GEP50" s="10"/>
      <c r="GEQ50" s="10"/>
      <c r="GER50" s="10"/>
      <c r="GES50" s="10"/>
      <c r="GET50" s="10"/>
      <c r="GEU50" s="10"/>
      <c r="GEV50" s="10"/>
      <c r="GEW50" s="10"/>
      <c r="GEX50" s="10"/>
      <c r="GEY50" s="10"/>
      <c r="GEZ50" s="10"/>
      <c r="GFA50" s="10"/>
      <c r="GFB50" s="10"/>
      <c r="GFC50" s="10"/>
      <c r="GFD50" s="10"/>
      <c r="GFE50" s="10"/>
      <c r="GFF50" s="10"/>
      <c r="GFG50" s="10"/>
      <c r="GFH50" s="10"/>
      <c r="GFI50" s="10"/>
      <c r="GFJ50" s="10"/>
      <c r="GFK50" s="10"/>
      <c r="GFL50" s="10"/>
      <c r="GFM50" s="10"/>
      <c r="GFN50" s="10"/>
      <c r="GFO50" s="10"/>
      <c r="GFP50" s="10"/>
      <c r="GFQ50" s="10"/>
      <c r="GFR50" s="10"/>
      <c r="GFS50" s="10"/>
      <c r="GFT50" s="10"/>
      <c r="GFU50" s="10"/>
      <c r="GFV50" s="10"/>
      <c r="GFW50" s="10"/>
      <c r="GFX50" s="10"/>
      <c r="GFY50" s="10"/>
      <c r="GFZ50" s="10"/>
      <c r="GGA50" s="10"/>
      <c r="GGB50" s="10"/>
      <c r="GGC50" s="10"/>
      <c r="GGD50" s="10"/>
      <c r="GGE50" s="10"/>
      <c r="GGF50" s="10"/>
      <c r="GGG50" s="10"/>
      <c r="GGH50" s="10"/>
      <c r="GGI50" s="10"/>
      <c r="GGJ50" s="10"/>
      <c r="GGK50" s="10"/>
      <c r="GGL50" s="10"/>
      <c r="GGM50" s="10"/>
      <c r="GGN50" s="10"/>
      <c r="GGO50" s="10"/>
      <c r="GGP50" s="10"/>
      <c r="GGQ50" s="10"/>
      <c r="GGR50" s="10"/>
      <c r="GGS50" s="10"/>
      <c r="GGT50" s="10"/>
      <c r="GGU50" s="10"/>
      <c r="GGV50" s="10"/>
      <c r="GGW50" s="10"/>
      <c r="GGX50" s="10"/>
      <c r="GGY50" s="10"/>
      <c r="GGZ50" s="10"/>
      <c r="GHA50" s="10"/>
      <c r="GHB50" s="10"/>
      <c r="GHC50" s="10"/>
      <c r="GHD50" s="10"/>
      <c r="GHE50" s="10"/>
      <c r="GHF50" s="10"/>
      <c r="GHG50" s="10"/>
      <c r="GHH50" s="10"/>
      <c r="GHI50" s="10"/>
      <c r="GHJ50" s="10"/>
      <c r="GHK50" s="10"/>
      <c r="GHL50" s="10"/>
      <c r="GHM50" s="10"/>
      <c r="GHN50" s="10"/>
      <c r="GHO50" s="10"/>
      <c r="GHP50" s="10"/>
      <c r="GHQ50" s="10"/>
      <c r="GHR50" s="10"/>
      <c r="GHS50" s="10"/>
      <c r="GHT50" s="10"/>
      <c r="GHU50" s="10"/>
      <c r="GHV50" s="10"/>
      <c r="GHW50" s="10"/>
      <c r="GHX50" s="10"/>
      <c r="GHY50" s="10"/>
      <c r="GHZ50" s="10"/>
      <c r="GIA50" s="10"/>
      <c r="GIB50" s="10"/>
      <c r="GIC50" s="10"/>
      <c r="GID50" s="10"/>
      <c r="GIE50" s="10"/>
      <c r="GIF50" s="10"/>
      <c r="GIG50" s="10"/>
      <c r="GIH50" s="10"/>
      <c r="GII50" s="10"/>
      <c r="GIJ50" s="10"/>
      <c r="GIK50" s="10"/>
      <c r="GIL50" s="10"/>
      <c r="GIM50" s="10"/>
      <c r="GIN50" s="10"/>
      <c r="GIO50" s="10"/>
      <c r="GIP50" s="10"/>
      <c r="GIQ50" s="10"/>
      <c r="GIR50" s="10"/>
      <c r="GIS50" s="10"/>
      <c r="GIT50" s="10"/>
      <c r="GIU50" s="10"/>
      <c r="GIV50" s="10"/>
      <c r="GIW50" s="10"/>
      <c r="GIX50" s="10"/>
      <c r="GIY50" s="10"/>
      <c r="GIZ50" s="10"/>
      <c r="GJA50" s="10"/>
      <c r="GJB50" s="10"/>
      <c r="GJC50" s="10"/>
      <c r="GJD50" s="10"/>
      <c r="GJE50" s="10"/>
      <c r="GJF50" s="10"/>
      <c r="GJG50" s="10"/>
      <c r="GJH50" s="10"/>
      <c r="GJI50" s="10"/>
      <c r="GJJ50" s="10"/>
      <c r="GJK50" s="10"/>
      <c r="GJL50" s="10"/>
      <c r="GJM50" s="10"/>
      <c r="GJN50" s="10"/>
      <c r="GJO50" s="10"/>
      <c r="GJP50" s="10"/>
      <c r="GJQ50" s="10"/>
      <c r="GJR50" s="10"/>
      <c r="GJS50" s="10"/>
      <c r="GJT50" s="10"/>
      <c r="GJU50" s="10"/>
      <c r="GJV50" s="10"/>
      <c r="GJW50" s="10"/>
      <c r="GJX50" s="10"/>
      <c r="GJY50" s="10"/>
      <c r="GJZ50" s="10"/>
      <c r="GKA50" s="10"/>
      <c r="GKB50" s="10"/>
      <c r="GKC50" s="10"/>
      <c r="GKD50" s="10"/>
      <c r="GKE50" s="10"/>
      <c r="GKF50" s="10"/>
      <c r="GKG50" s="10"/>
      <c r="GKH50" s="10"/>
      <c r="GKI50" s="10"/>
      <c r="GKJ50" s="10"/>
      <c r="GKK50" s="10"/>
      <c r="GKL50" s="10"/>
      <c r="GKM50" s="10"/>
      <c r="GKN50" s="10"/>
      <c r="GKO50" s="10"/>
      <c r="GKP50" s="10"/>
      <c r="GKQ50" s="10"/>
      <c r="GKR50" s="10"/>
      <c r="GKS50" s="10"/>
      <c r="GKT50" s="10"/>
      <c r="GKU50" s="10"/>
      <c r="GKV50" s="10"/>
      <c r="GKW50" s="10"/>
      <c r="GKX50" s="10"/>
      <c r="GKY50" s="10"/>
      <c r="GKZ50" s="10"/>
      <c r="GLA50" s="10"/>
      <c r="GLB50" s="10"/>
      <c r="GLC50" s="10"/>
      <c r="GLD50" s="10"/>
      <c r="GLE50" s="10"/>
      <c r="GLF50" s="10"/>
      <c r="GLG50" s="10"/>
      <c r="GLH50" s="10"/>
      <c r="GLI50" s="10"/>
      <c r="GLJ50" s="10"/>
      <c r="GLK50" s="10"/>
      <c r="GLL50" s="10"/>
      <c r="GLM50" s="10"/>
      <c r="GLN50" s="10"/>
      <c r="GLO50" s="10"/>
      <c r="GLP50" s="10"/>
      <c r="GLQ50" s="10"/>
      <c r="GLR50" s="10"/>
      <c r="GLS50" s="10"/>
      <c r="GLT50" s="10"/>
      <c r="GLU50" s="10"/>
      <c r="GLV50" s="10"/>
      <c r="GLW50" s="10"/>
      <c r="GLX50" s="10"/>
      <c r="GLY50" s="10"/>
      <c r="GLZ50" s="10"/>
      <c r="GMA50" s="10"/>
      <c r="GMB50" s="10"/>
      <c r="GMC50" s="10"/>
      <c r="GMD50" s="10"/>
      <c r="GME50" s="10"/>
      <c r="GMF50" s="10"/>
      <c r="GMG50" s="10"/>
      <c r="GMH50" s="10"/>
      <c r="GMI50" s="10"/>
      <c r="GMJ50" s="10"/>
      <c r="GMK50" s="10"/>
      <c r="GML50" s="10"/>
      <c r="GMM50" s="10"/>
      <c r="GMN50" s="10"/>
      <c r="GMO50" s="10"/>
      <c r="GMP50" s="10"/>
      <c r="GMQ50" s="10"/>
      <c r="GMR50" s="10"/>
      <c r="GMS50" s="10"/>
      <c r="GMT50" s="10"/>
      <c r="GMU50" s="10"/>
      <c r="GMV50" s="10"/>
      <c r="GMW50" s="10"/>
      <c r="GMX50" s="10"/>
      <c r="GMY50" s="10"/>
      <c r="GMZ50" s="10"/>
      <c r="GNA50" s="10"/>
      <c r="GNB50" s="10"/>
      <c r="GNC50" s="10"/>
      <c r="GND50" s="10"/>
      <c r="GNE50" s="10"/>
      <c r="GNF50" s="10"/>
      <c r="GNG50" s="10"/>
      <c r="GNH50" s="10"/>
      <c r="GNI50" s="10"/>
      <c r="GNJ50" s="10"/>
      <c r="GNK50" s="10"/>
      <c r="GNL50" s="10"/>
      <c r="GNM50" s="10"/>
      <c r="GNN50" s="10"/>
      <c r="GNO50" s="10"/>
      <c r="GNP50" s="10"/>
      <c r="GNQ50" s="10"/>
      <c r="GNR50" s="10"/>
      <c r="GNS50" s="10"/>
      <c r="GNT50" s="10"/>
      <c r="GNU50" s="10"/>
      <c r="GNV50" s="10"/>
      <c r="GNW50" s="10"/>
      <c r="GNX50" s="10"/>
      <c r="GNY50" s="10"/>
      <c r="GNZ50" s="10"/>
      <c r="GOA50" s="10"/>
      <c r="GOB50" s="10"/>
      <c r="GOC50" s="10"/>
      <c r="GOD50" s="10"/>
      <c r="GOE50" s="10"/>
      <c r="GOF50" s="10"/>
      <c r="GOG50" s="10"/>
      <c r="GOH50" s="10"/>
      <c r="GOI50" s="10"/>
      <c r="GOJ50" s="10"/>
      <c r="GOK50" s="10"/>
      <c r="GOL50" s="10"/>
      <c r="GOM50" s="10"/>
      <c r="GON50" s="10"/>
      <c r="GOO50" s="10"/>
      <c r="GOP50" s="10"/>
      <c r="GOQ50" s="10"/>
      <c r="GOR50" s="10"/>
      <c r="GOS50" s="10"/>
      <c r="GOT50" s="10"/>
      <c r="GOU50" s="10"/>
      <c r="GOV50" s="10"/>
      <c r="GOW50" s="10"/>
      <c r="GOX50" s="10"/>
      <c r="GOY50" s="10"/>
      <c r="GOZ50" s="10"/>
      <c r="GPA50" s="10"/>
      <c r="GPB50" s="10"/>
      <c r="GPC50" s="10"/>
      <c r="GPD50" s="10"/>
      <c r="GPE50" s="10"/>
      <c r="GPF50" s="10"/>
      <c r="GPG50" s="10"/>
      <c r="GPH50" s="10"/>
      <c r="GPI50" s="10"/>
      <c r="GPJ50" s="10"/>
      <c r="GPK50" s="10"/>
      <c r="GPL50" s="10"/>
      <c r="GPM50" s="10"/>
      <c r="GPN50" s="10"/>
      <c r="GPO50" s="10"/>
      <c r="GPP50" s="10"/>
      <c r="GPQ50" s="10"/>
      <c r="GPR50" s="10"/>
      <c r="GPS50" s="10"/>
      <c r="GPT50" s="10"/>
      <c r="GPU50" s="10"/>
      <c r="GPV50" s="10"/>
      <c r="GPW50" s="10"/>
      <c r="GPX50" s="10"/>
      <c r="GPY50" s="10"/>
      <c r="GPZ50" s="10"/>
      <c r="GQA50" s="10"/>
      <c r="GQB50" s="10"/>
      <c r="GQC50" s="10"/>
      <c r="GQD50" s="10"/>
      <c r="GQE50" s="10"/>
      <c r="GQF50" s="10"/>
      <c r="GQG50" s="10"/>
      <c r="GQH50" s="10"/>
      <c r="GQI50" s="10"/>
      <c r="GQJ50" s="10"/>
      <c r="GQK50" s="10"/>
      <c r="GQL50" s="10"/>
      <c r="GQM50" s="10"/>
      <c r="GQN50" s="10"/>
      <c r="GQO50" s="10"/>
      <c r="GQP50" s="10"/>
      <c r="GQQ50" s="10"/>
      <c r="GQR50" s="10"/>
      <c r="GQS50" s="10"/>
      <c r="GQT50" s="10"/>
      <c r="GQU50" s="10"/>
      <c r="GQV50" s="10"/>
      <c r="GQW50" s="10"/>
      <c r="GQX50" s="10"/>
      <c r="GQY50" s="10"/>
      <c r="GQZ50" s="10"/>
      <c r="GRA50" s="10"/>
      <c r="GRB50" s="10"/>
      <c r="GRC50" s="10"/>
      <c r="GRD50" s="10"/>
      <c r="GRE50" s="10"/>
      <c r="GRF50" s="10"/>
      <c r="GRG50" s="10"/>
      <c r="GRH50" s="10"/>
      <c r="GRI50" s="10"/>
      <c r="GRJ50" s="10"/>
      <c r="GRK50" s="10"/>
      <c r="GRL50" s="10"/>
      <c r="GRM50" s="10"/>
      <c r="GRN50" s="10"/>
      <c r="GRO50" s="10"/>
      <c r="GRP50" s="10"/>
      <c r="GRQ50" s="10"/>
      <c r="GRR50" s="10"/>
      <c r="GRS50" s="10"/>
      <c r="GRT50" s="10"/>
      <c r="GRU50" s="10"/>
      <c r="GRV50" s="10"/>
      <c r="GRW50" s="10"/>
      <c r="GRX50" s="10"/>
      <c r="GRY50" s="10"/>
      <c r="GRZ50" s="10"/>
      <c r="GSA50" s="10"/>
      <c r="GSB50" s="10"/>
      <c r="GSC50" s="10"/>
      <c r="GSD50" s="10"/>
      <c r="GSE50" s="10"/>
      <c r="GSF50" s="10"/>
      <c r="GSG50" s="10"/>
      <c r="GSH50" s="10"/>
      <c r="GSI50" s="10"/>
      <c r="GSJ50" s="10"/>
      <c r="GSK50" s="10"/>
      <c r="GSL50" s="10"/>
      <c r="GSM50" s="10"/>
      <c r="GSN50" s="10"/>
      <c r="GSO50" s="10"/>
      <c r="GSP50" s="10"/>
      <c r="GSQ50" s="10"/>
      <c r="GSR50" s="10"/>
      <c r="GSS50" s="10"/>
      <c r="GST50" s="10"/>
      <c r="GSU50" s="10"/>
      <c r="GSV50" s="10"/>
      <c r="GSW50" s="10"/>
      <c r="GSX50" s="10"/>
      <c r="GSY50" s="10"/>
      <c r="GSZ50" s="10"/>
      <c r="GTA50" s="10"/>
      <c r="GTB50" s="10"/>
      <c r="GTC50" s="10"/>
      <c r="GTD50" s="10"/>
      <c r="GTE50" s="10"/>
      <c r="GTF50" s="10"/>
      <c r="GTG50" s="10"/>
      <c r="GTH50" s="10"/>
      <c r="GTI50" s="10"/>
      <c r="GTJ50" s="10"/>
      <c r="GTK50" s="10"/>
      <c r="GTL50" s="10"/>
      <c r="GTM50" s="10"/>
      <c r="GTN50" s="10"/>
      <c r="GTO50" s="10"/>
      <c r="GTP50" s="10"/>
      <c r="GTQ50" s="10"/>
      <c r="GTR50" s="10"/>
      <c r="GTS50" s="10"/>
      <c r="GTT50" s="10"/>
      <c r="GTU50" s="10"/>
      <c r="GTV50" s="10"/>
      <c r="GTW50" s="10"/>
      <c r="GTX50" s="10"/>
      <c r="GTY50" s="10"/>
      <c r="GTZ50" s="10"/>
      <c r="GUA50" s="10"/>
      <c r="GUB50" s="10"/>
      <c r="GUC50" s="10"/>
      <c r="GUD50" s="10"/>
      <c r="GUE50" s="10"/>
      <c r="GUF50" s="10"/>
      <c r="GUG50" s="10"/>
      <c r="GUH50" s="10"/>
      <c r="GUI50" s="10"/>
      <c r="GUJ50" s="10"/>
      <c r="GUK50" s="10"/>
      <c r="GUL50" s="10"/>
      <c r="GUM50" s="10"/>
      <c r="GUN50" s="10"/>
      <c r="GUO50" s="10"/>
      <c r="GUP50" s="10"/>
      <c r="GUQ50" s="10"/>
      <c r="GUR50" s="10"/>
      <c r="GUS50" s="10"/>
      <c r="GUT50" s="10"/>
      <c r="GUU50" s="10"/>
      <c r="GUV50" s="10"/>
      <c r="GUW50" s="10"/>
      <c r="GUX50" s="10"/>
      <c r="GUY50" s="10"/>
      <c r="GUZ50" s="10"/>
      <c r="GVA50" s="10"/>
      <c r="GVB50" s="10"/>
      <c r="GVC50" s="10"/>
      <c r="GVD50" s="10"/>
      <c r="GVE50" s="10"/>
      <c r="GVF50" s="10"/>
      <c r="GVG50" s="10"/>
      <c r="GVH50" s="10"/>
      <c r="GVI50" s="10"/>
      <c r="GVJ50" s="10"/>
      <c r="GVK50" s="10"/>
      <c r="GVL50" s="10"/>
      <c r="GVM50" s="10"/>
      <c r="GVN50" s="10"/>
      <c r="GVO50" s="10"/>
      <c r="GVP50" s="10"/>
      <c r="GVQ50" s="10"/>
      <c r="GVR50" s="10"/>
      <c r="GVS50" s="10"/>
      <c r="GVT50" s="10"/>
      <c r="GVU50" s="10"/>
      <c r="GVV50" s="10"/>
      <c r="GVW50" s="10"/>
      <c r="GVX50" s="10"/>
      <c r="GVY50" s="10"/>
      <c r="GVZ50" s="10"/>
      <c r="GWA50" s="10"/>
      <c r="GWB50" s="10"/>
      <c r="GWC50" s="10"/>
      <c r="GWD50" s="10"/>
      <c r="GWE50" s="10"/>
      <c r="GWF50" s="10"/>
      <c r="GWG50" s="10"/>
      <c r="GWH50" s="10"/>
      <c r="GWI50" s="10"/>
      <c r="GWJ50" s="10"/>
      <c r="GWK50" s="10"/>
      <c r="GWL50" s="10"/>
      <c r="GWM50" s="10"/>
      <c r="GWN50" s="10"/>
      <c r="GWO50" s="10"/>
      <c r="GWP50" s="10"/>
      <c r="GWQ50" s="10"/>
      <c r="GWR50" s="10"/>
      <c r="GWS50" s="10"/>
      <c r="GWT50" s="10"/>
      <c r="GWU50" s="10"/>
      <c r="GWV50" s="10"/>
      <c r="GWW50" s="10"/>
      <c r="GWX50" s="10"/>
      <c r="GWY50" s="10"/>
      <c r="GWZ50" s="10"/>
      <c r="GXA50" s="10"/>
      <c r="GXB50" s="10"/>
      <c r="GXC50" s="10"/>
      <c r="GXD50" s="10"/>
      <c r="GXE50" s="10"/>
      <c r="GXF50" s="10"/>
      <c r="GXG50" s="10"/>
      <c r="GXH50" s="10"/>
      <c r="GXI50" s="10"/>
      <c r="GXJ50" s="10"/>
      <c r="GXK50" s="10"/>
      <c r="GXL50" s="10"/>
      <c r="GXM50" s="10"/>
      <c r="GXN50" s="10"/>
      <c r="GXO50" s="10"/>
      <c r="GXP50" s="10"/>
      <c r="GXQ50" s="10"/>
      <c r="GXR50" s="10"/>
      <c r="GXS50" s="10"/>
      <c r="GXT50" s="10"/>
      <c r="GXU50" s="10"/>
      <c r="GXV50" s="10"/>
      <c r="GXW50" s="10"/>
      <c r="GXX50" s="10"/>
      <c r="GXY50" s="10"/>
      <c r="GXZ50" s="10"/>
      <c r="GYA50" s="10"/>
      <c r="GYB50" s="10"/>
      <c r="GYC50" s="10"/>
      <c r="GYD50" s="10"/>
      <c r="GYE50" s="10"/>
      <c r="GYF50" s="10"/>
      <c r="GYG50" s="10"/>
      <c r="GYH50" s="10"/>
      <c r="GYI50" s="10"/>
      <c r="GYJ50" s="10"/>
      <c r="GYK50" s="10"/>
      <c r="GYL50" s="10"/>
      <c r="GYM50" s="10"/>
      <c r="GYN50" s="10"/>
      <c r="GYO50" s="10"/>
      <c r="GYP50" s="10"/>
      <c r="GYQ50" s="10"/>
      <c r="GYR50" s="10"/>
      <c r="GYS50" s="10"/>
      <c r="GYT50" s="10"/>
      <c r="GYU50" s="10"/>
      <c r="GYV50" s="10"/>
      <c r="GYW50" s="10"/>
      <c r="GYX50" s="10"/>
      <c r="GYY50" s="10"/>
      <c r="GYZ50" s="10"/>
      <c r="GZA50" s="10"/>
      <c r="GZB50" s="10"/>
      <c r="GZC50" s="10"/>
      <c r="GZD50" s="10"/>
      <c r="GZE50" s="10"/>
      <c r="GZF50" s="10"/>
      <c r="GZG50" s="10"/>
      <c r="GZH50" s="10"/>
      <c r="GZI50" s="10"/>
      <c r="GZJ50" s="10"/>
      <c r="GZK50" s="10"/>
      <c r="GZL50" s="10"/>
      <c r="GZM50" s="10"/>
      <c r="GZN50" s="10"/>
      <c r="GZO50" s="10"/>
      <c r="GZP50" s="10"/>
      <c r="GZQ50" s="10"/>
      <c r="GZR50" s="10"/>
      <c r="GZS50" s="10"/>
      <c r="GZT50" s="10"/>
      <c r="GZU50" s="10"/>
      <c r="GZV50" s="10"/>
      <c r="GZW50" s="10"/>
      <c r="GZX50" s="10"/>
      <c r="GZY50" s="10"/>
      <c r="GZZ50" s="10"/>
      <c r="HAA50" s="10"/>
      <c r="HAB50" s="10"/>
      <c r="HAC50" s="10"/>
      <c r="HAD50" s="10"/>
      <c r="HAE50" s="10"/>
      <c r="HAF50" s="10"/>
      <c r="HAG50" s="10"/>
      <c r="HAH50" s="10"/>
      <c r="HAI50" s="10"/>
      <c r="HAJ50" s="10"/>
      <c r="HAK50" s="10"/>
      <c r="HAL50" s="10"/>
      <c r="HAM50" s="10"/>
      <c r="HAN50" s="10"/>
      <c r="HAO50" s="10"/>
      <c r="HAP50" s="10"/>
      <c r="HAQ50" s="10"/>
      <c r="HAR50" s="10"/>
      <c r="HAS50" s="10"/>
      <c r="HAT50" s="10"/>
      <c r="HAU50" s="10"/>
      <c r="HAV50" s="10"/>
      <c r="HAW50" s="10"/>
      <c r="HAX50" s="10"/>
      <c r="HAY50" s="10"/>
      <c r="HAZ50" s="10"/>
      <c r="HBA50" s="10"/>
      <c r="HBB50" s="10"/>
      <c r="HBC50" s="10"/>
      <c r="HBD50" s="10"/>
      <c r="HBE50" s="10"/>
      <c r="HBF50" s="10"/>
      <c r="HBG50" s="10"/>
      <c r="HBH50" s="10"/>
      <c r="HBI50" s="10"/>
      <c r="HBJ50" s="10"/>
      <c r="HBK50" s="10"/>
      <c r="HBL50" s="10"/>
      <c r="HBM50" s="10"/>
      <c r="HBN50" s="10"/>
      <c r="HBO50" s="10"/>
      <c r="HBP50" s="10"/>
      <c r="HBQ50" s="10"/>
      <c r="HBR50" s="10"/>
      <c r="HBS50" s="10"/>
      <c r="HBT50" s="10"/>
      <c r="HBU50" s="10"/>
      <c r="HBV50" s="10"/>
      <c r="HBW50" s="10"/>
      <c r="HBX50" s="10"/>
      <c r="HBY50" s="10"/>
      <c r="HBZ50" s="10"/>
      <c r="HCA50" s="10"/>
      <c r="HCB50" s="10"/>
      <c r="HCC50" s="10"/>
      <c r="HCD50" s="10"/>
      <c r="HCE50" s="10"/>
      <c r="HCF50" s="10"/>
      <c r="HCG50" s="10"/>
      <c r="HCH50" s="10"/>
      <c r="HCI50" s="10"/>
      <c r="HCJ50" s="10"/>
      <c r="HCK50" s="10"/>
      <c r="HCL50" s="10"/>
      <c r="HCM50" s="10"/>
      <c r="HCN50" s="10"/>
      <c r="HCO50" s="10"/>
      <c r="HCP50" s="10"/>
      <c r="HCQ50" s="10"/>
      <c r="HCR50" s="10"/>
      <c r="HCS50" s="10"/>
      <c r="HCT50" s="10"/>
      <c r="HCU50" s="10"/>
      <c r="HCV50" s="10"/>
      <c r="HCW50" s="10"/>
      <c r="HCX50" s="10"/>
      <c r="HCY50" s="10"/>
      <c r="HCZ50" s="10"/>
      <c r="HDA50" s="10"/>
      <c r="HDB50" s="10"/>
      <c r="HDC50" s="10"/>
      <c r="HDD50" s="10"/>
      <c r="HDE50" s="10"/>
      <c r="HDF50" s="10"/>
      <c r="HDG50" s="10"/>
      <c r="HDH50" s="10"/>
      <c r="HDI50" s="10"/>
      <c r="HDJ50" s="10"/>
      <c r="HDK50" s="10"/>
      <c r="HDL50" s="10"/>
      <c r="HDM50" s="10"/>
      <c r="HDN50" s="10"/>
      <c r="HDO50" s="10"/>
      <c r="HDP50" s="10"/>
      <c r="HDQ50" s="10"/>
      <c r="HDR50" s="10"/>
      <c r="HDS50" s="10"/>
      <c r="HDT50" s="10"/>
      <c r="HDU50" s="10"/>
      <c r="HDV50" s="10"/>
      <c r="HDW50" s="10"/>
      <c r="HDX50" s="10"/>
      <c r="HDY50" s="10"/>
      <c r="HDZ50" s="10"/>
      <c r="HEA50" s="10"/>
      <c r="HEB50" s="10"/>
      <c r="HEC50" s="10"/>
      <c r="HED50" s="10"/>
      <c r="HEE50" s="10"/>
      <c r="HEF50" s="10"/>
      <c r="HEG50" s="10"/>
      <c r="HEH50" s="10"/>
      <c r="HEI50" s="10"/>
      <c r="HEJ50" s="10"/>
      <c r="HEK50" s="10"/>
      <c r="HEL50" s="10"/>
      <c r="HEM50" s="10"/>
      <c r="HEN50" s="10"/>
      <c r="HEO50" s="10"/>
      <c r="HEP50" s="10"/>
      <c r="HEQ50" s="10"/>
      <c r="HER50" s="10"/>
      <c r="HES50" s="10"/>
      <c r="HET50" s="10"/>
      <c r="HEU50" s="10"/>
      <c r="HEV50" s="10"/>
      <c r="HEW50" s="10"/>
      <c r="HEX50" s="10"/>
      <c r="HEY50" s="10"/>
      <c r="HEZ50" s="10"/>
      <c r="HFA50" s="10"/>
      <c r="HFB50" s="10"/>
      <c r="HFC50" s="10"/>
      <c r="HFD50" s="10"/>
      <c r="HFE50" s="10"/>
      <c r="HFF50" s="10"/>
      <c r="HFG50" s="10"/>
      <c r="HFH50" s="10"/>
      <c r="HFI50" s="10"/>
      <c r="HFJ50" s="10"/>
      <c r="HFK50" s="10"/>
      <c r="HFL50" s="10"/>
      <c r="HFM50" s="10"/>
      <c r="HFN50" s="10"/>
      <c r="HFO50" s="10"/>
      <c r="HFP50" s="10"/>
      <c r="HFQ50" s="10"/>
      <c r="HFR50" s="10"/>
      <c r="HFS50" s="10"/>
      <c r="HFT50" s="10"/>
      <c r="HFU50" s="10"/>
      <c r="HFV50" s="10"/>
      <c r="HFW50" s="10"/>
      <c r="HFX50" s="10"/>
      <c r="HFY50" s="10"/>
      <c r="HFZ50" s="10"/>
      <c r="HGA50" s="10"/>
      <c r="HGB50" s="10"/>
      <c r="HGC50" s="10"/>
      <c r="HGD50" s="10"/>
      <c r="HGE50" s="10"/>
      <c r="HGF50" s="10"/>
      <c r="HGG50" s="10"/>
      <c r="HGH50" s="10"/>
      <c r="HGI50" s="10"/>
      <c r="HGJ50" s="10"/>
      <c r="HGK50" s="10"/>
      <c r="HGL50" s="10"/>
      <c r="HGM50" s="10"/>
      <c r="HGN50" s="10"/>
      <c r="HGO50" s="10"/>
      <c r="HGP50" s="10"/>
      <c r="HGQ50" s="10"/>
      <c r="HGR50" s="10"/>
      <c r="HGS50" s="10"/>
      <c r="HGT50" s="10"/>
      <c r="HGU50" s="10"/>
      <c r="HGV50" s="10"/>
      <c r="HGW50" s="10"/>
      <c r="HGX50" s="10"/>
      <c r="HGY50" s="10"/>
      <c r="HGZ50" s="10"/>
      <c r="HHA50" s="10"/>
      <c r="HHB50" s="10"/>
      <c r="HHC50" s="10"/>
      <c r="HHD50" s="10"/>
      <c r="HHE50" s="10"/>
      <c r="HHF50" s="10"/>
      <c r="HHG50" s="10"/>
      <c r="HHH50" s="10"/>
      <c r="HHI50" s="10"/>
      <c r="HHJ50" s="10"/>
      <c r="HHK50" s="10"/>
      <c r="HHL50" s="10"/>
      <c r="HHM50" s="10"/>
      <c r="HHN50" s="10"/>
      <c r="HHO50" s="10"/>
      <c r="HHP50" s="10"/>
      <c r="HHQ50" s="10"/>
      <c r="HHR50" s="10"/>
      <c r="HHS50" s="10"/>
      <c r="HHT50" s="10"/>
      <c r="HHU50" s="10"/>
      <c r="HHV50" s="10"/>
      <c r="HHW50" s="10"/>
      <c r="HHX50" s="10"/>
      <c r="HHY50" s="10"/>
      <c r="HHZ50" s="10"/>
      <c r="HIA50" s="10"/>
      <c r="HIB50" s="10"/>
      <c r="HIC50" s="10"/>
      <c r="HID50" s="10"/>
      <c r="HIE50" s="10"/>
      <c r="HIF50" s="10"/>
      <c r="HIG50" s="10"/>
      <c r="HIH50" s="10"/>
      <c r="HII50" s="10"/>
      <c r="HIJ50" s="10"/>
      <c r="HIK50" s="10"/>
      <c r="HIL50" s="10"/>
      <c r="HIM50" s="10"/>
      <c r="HIN50" s="10"/>
      <c r="HIO50" s="10"/>
      <c r="HIP50" s="10"/>
      <c r="HIQ50" s="10"/>
      <c r="HIR50" s="10"/>
      <c r="HIS50" s="10"/>
      <c r="HIT50" s="10"/>
      <c r="HIU50" s="10"/>
      <c r="HIV50" s="10"/>
      <c r="HIW50" s="10"/>
      <c r="HIX50" s="10"/>
      <c r="HIY50" s="10"/>
      <c r="HIZ50" s="10"/>
      <c r="HJA50" s="10"/>
      <c r="HJB50" s="10"/>
      <c r="HJC50" s="10"/>
      <c r="HJD50" s="10"/>
      <c r="HJE50" s="10"/>
      <c r="HJF50" s="10"/>
      <c r="HJG50" s="10"/>
      <c r="HJH50" s="10"/>
      <c r="HJI50" s="10"/>
      <c r="HJJ50" s="10"/>
      <c r="HJK50" s="10"/>
      <c r="HJL50" s="10"/>
      <c r="HJM50" s="10"/>
      <c r="HJN50" s="10"/>
      <c r="HJO50" s="10"/>
      <c r="HJP50" s="10"/>
      <c r="HJQ50" s="10"/>
      <c r="HJR50" s="10"/>
      <c r="HJS50" s="10"/>
      <c r="HJT50" s="10"/>
      <c r="HJU50" s="10"/>
      <c r="HJV50" s="10"/>
      <c r="HJW50" s="10"/>
      <c r="HJX50" s="10"/>
      <c r="HJY50" s="10"/>
      <c r="HJZ50" s="10"/>
      <c r="HKA50" s="10"/>
      <c r="HKB50" s="10"/>
      <c r="HKC50" s="10"/>
      <c r="HKD50" s="10"/>
      <c r="HKE50" s="10"/>
      <c r="HKF50" s="10"/>
      <c r="HKG50" s="10"/>
      <c r="HKH50" s="10"/>
      <c r="HKI50" s="10"/>
      <c r="HKJ50" s="10"/>
      <c r="HKK50" s="10"/>
      <c r="HKL50" s="10"/>
      <c r="HKM50" s="10"/>
      <c r="HKN50" s="10"/>
      <c r="HKO50" s="10"/>
      <c r="HKP50" s="10"/>
      <c r="HKQ50" s="10"/>
      <c r="HKR50" s="10"/>
      <c r="HKS50" s="10"/>
      <c r="HKT50" s="10"/>
      <c r="HKU50" s="10"/>
      <c r="HKV50" s="10"/>
      <c r="HKW50" s="10"/>
      <c r="HKX50" s="10"/>
      <c r="HKY50" s="10"/>
      <c r="HKZ50" s="10"/>
      <c r="HLA50" s="10"/>
      <c r="HLB50" s="10"/>
      <c r="HLC50" s="10"/>
      <c r="HLD50" s="10"/>
      <c r="HLE50" s="10"/>
      <c r="HLF50" s="10"/>
      <c r="HLG50" s="10"/>
      <c r="HLH50" s="10"/>
      <c r="HLI50" s="10"/>
      <c r="HLJ50" s="10"/>
      <c r="HLK50" s="10"/>
      <c r="HLL50" s="10"/>
      <c r="HLM50" s="10"/>
      <c r="HLN50" s="10"/>
      <c r="HLO50" s="10"/>
      <c r="HLP50" s="10"/>
      <c r="HLQ50" s="10"/>
      <c r="HLR50" s="10"/>
      <c r="HLS50" s="10"/>
      <c r="HLT50" s="10"/>
      <c r="HLU50" s="10"/>
      <c r="HLV50" s="10"/>
      <c r="HLW50" s="10"/>
      <c r="HLX50" s="10"/>
      <c r="HLY50" s="10"/>
      <c r="HLZ50" s="10"/>
      <c r="HMA50" s="10"/>
      <c r="HMB50" s="10"/>
      <c r="HMC50" s="10"/>
      <c r="HMD50" s="10"/>
      <c r="HME50" s="10"/>
      <c r="HMF50" s="10"/>
      <c r="HMG50" s="10"/>
      <c r="HMH50" s="10"/>
      <c r="HMI50" s="10"/>
      <c r="HMJ50" s="10"/>
      <c r="HMK50" s="10"/>
      <c r="HML50" s="10"/>
      <c r="HMM50" s="10"/>
      <c r="HMN50" s="10"/>
      <c r="HMO50" s="10"/>
      <c r="HMP50" s="10"/>
      <c r="HMQ50" s="10"/>
      <c r="HMR50" s="10"/>
      <c r="HMS50" s="10"/>
      <c r="HMT50" s="10"/>
      <c r="HMU50" s="10"/>
      <c r="HMV50" s="10"/>
      <c r="HMW50" s="10"/>
      <c r="HMX50" s="10"/>
      <c r="HMY50" s="10"/>
      <c r="HMZ50" s="10"/>
      <c r="HNA50" s="10"/>
      <c r="HNB50" s="10"/>
      <c r="HNC50" s="10"/>
      <c r="HND50" s="10"/>
      <c r="HNE50" s="10"/>
      <c r="HNF50" s="10"/>
      <c r="HNG50" s="10"/>
      <c r="HNH50" s="10"/>
      <c r="HNI50" s="10"/>
      <c r="HNJ50" s="10"/>
      <c r="HNK50" s="10"/>
      <c r="HNL50" s="10"/>
      <c r="HNM50" s="10"/>
      <c r="HNN50" s="10"/>
      <c r="HNO50" s="10"/>
      <c r="HNP50" s="10"/>
      <c r="HNQ50" s="10"/>
      <c r="HNR50" s="10"/>
      <c r="HNS50" s="10"/>
      <c r="HNT50" s="10"/>
      <c r="HNU50" s="10"/>
      <c r="HNV50" s="10"/>
      <c r="HNW50" s="10"/>
      <c r="HNX50" s="10"/>
      <c r="HNY50" s="10"/>
      <c r="HNZ50" s="10"/>
      <c r="HOA50" s="10"/>
      <c r="HOB50" s="10"/>
      <c r="HOC50" s="10"/>
      <c r="HOD50" s="10"/>
      <c r="HOE50" s="10"/>
      <c r="HOF50" s="10"/>
      <c r="HOG50" s="10"/>
      <c r="HOH50" s="10"/>
      <c r="HOI50" s="10"/>
      <c r="HOJ50" s="10"/>
      <c r="HOK50" s="10"/>
      <c r="HOL50" s="10"/>
      <c r="HOM50" s="10"/>
      <c r="HON50" s="10"/>
      <c r="HOO50" s="10"/>
      <c r="HOP50" s="10"/>
      <c r="HOQ50" s="10"/>
      <c r="HOR50" s="10"/>
      <c r="HOS50" s="10"/>
      <c r="HOT50" s="10"/>
      <c r="HOU50" s="10"/>
      <c r="HOV50" s="10"/>
      <c r="HOW50" s="10"/>
      <c r="HOX50" s="10"/>
      <c r="HOY50" s="10"/>
      <c r="HOZ50" s="10"/>
      <c r="HPA50" s="10"/>
      <c r="HPB50" s="10"/>
      <c r="HPC50" s="10"/>
      <c r="HPD50" s="10"/>
      <c r="HPE50" s="10"/>
      <c r="HPF50" s="10"/>
      <c r="HPG50" s="10"/>
      <c r="HPH50" s="10"/>
      <c r="HPI50" s="10"/>
      <c r="HPJ50" s="10"/>
      <c r="HPK50" s="10"/>
      <c r="HPL50" s="10"/>
      <c r="HPM50" s="10"/>
      <c r="HPN50" s="10"/>
      <c r="HPO50" s="10"/>
      <c r="HPP50" s="10"/>
      <c r="HPQ50" s="10"/>
      <c r="HPR50" s="10"/>
      <c r="HPS50" s="10"/>
      <c r="HPT50" s="10"/>
      <c r="HPU50" s="10"/>
      <c r="HPV50" s="10"/>
      <c r="HPW50" s="10"/>
      <c r="HPX50" s="10"/>
      <c r="HPY50" s="10"/>
      <c r="HPZ50" s="10"/>
      <c r="HQA50" s="10"/>
      <c r="HQB50" s="10"/>
      <c r="HQC50" s="10"/>
      <c r="HQD50" s="10"/>
      <c r="HQE50" s="10"/>
      <c r="HQF50" s="10"/>
      <c r="HQG50" s="10"/>
      <c r="HQH50" s="10"/>
      <c r="HQI50" s="10"/>
      <c r="HQJ50" s="10"/>
      <c r="HQK50" s="10"/>
      <c r="HQL50" s="10"/>
      <c r="HQM50" s="10"/>
      <c r="HQN50" s="10"/>
      <c r="HQO50" s="10"/>
      <c r="HQP50" s="10"/>
      <c r="HQQ50" s="10"/>
      <c r="HQR50" s="10"/>
      <c r="HQS50" s="10"/>
      <c r="HQT50" s="10"/>
      <c r="HQU50" s="10"/>
      <c r="HQV50" s="10"/>
      <c r="HQW50" s="10"/>
      <c r="HQX50" s="10"/>
      <c r="HQY50" s="10"/>
      <c r="HQZ50" s="10"/>
      <c r="HRA50" s="10"/>
      <c r="HRB50" s="10"/>
      <c r="HRC50" s="10"/>
      <c r="HRD50" s="10"/>
      <c r="HRE50" s="10"/>
      <c r="HRF50" s="10"/>
      <c r="HRG50" s="10"/>
      <c r="HRH50" s="10"/>
      <c r="HRI50" s="10"/>
      <c r="HRJ50" s="10"/>
      <c r="HRK50" s="10"/>
      <c r="HRL50" s="10"/>
      <c r="HRM50" s="10"/>
      <c r="HRN50" s="10"/>
      <c r="HRO50" s="10"/>
      <c r="HRP50" s="10"/>
      <c r="HRQ50" s="10"/>
      <c r="HRR50" s="10"/>
      <c r="HRS50" s="10"/>
      <c r="HRT50" s="10"/>
      <c r="HRU50" s="10"/>
      <c r="HRV50" s="10"/>
      <c r="HRW50" s="10"/>
      <c r="HRX50" s="10"/>
      <c r="HRY50" s="10"/>
      <c r="HRZ50" s="10"/>
      <c r="HSA50" s="10"/>
      <c r="HSB50" s="10"/>
      <c r="HSC50" s="10"/>
      <c r="HSD50" s="10"/>
      <c r="HSE50" s="10"/>
      <c r="HSF50" s="10"/>
      <c r="HSG50" s="10"/>
      <c r="HSH50" s="10"/>
      <c r="HSI50" s="10"/>
      <c r="HSJ50" s="10"/>
      <c r="HSK50" s="10"/>
      <c r="HSL50" s="10"/>
      <c r="HSM50" s="10"/>
      <c r="HSN50" s="10"/>
      <c r="HSO50" s="10"/>
      <c r="HSP50" s="10"/>
      <c r="HSQ50" s="10"/>
      <c r="HSR50" s="10"/>
      <c r="HSS50" s="10"/>
      <c r="HST50" s="10"/>
      <c r="HSU50" s="10"/>
      <c r="HSV50" s="10"/>
      <c r="HSW50" s="10"/>
      <c r="HSX50" s="10"/>
      <c r="HSY50" s="10"/>
      <c r="HSZ50" s="10"/>
      <c r="HTA50" s="10"/>
      <c r="HTB50" s="10"/>
      <c r="HTC50" s="10"/>
      <c r="HTD50" s="10"/>
      <c r="HTE50" s="10"/>
      <c r="HTF50" s="10"/>
      <c r="HTG50" s="10"/>
      <c r="HTH50" s="10"/>
      <c r="HTI50" s="10"/>
      <c r="HTJ50" s="10"/>
      <c r="HTK50" s="10"/>
      <c r="HTL50" s="10"/>
      <c r="HTM50" s="10"/>
      <c r="HTN50" s="10"/>
      <c r="HTO50" s="10"/>
      <c r="HTP50" s="10"/>
      <c r="HTQ50" s="10"/>
      <c r="HTR50" s="10"/>
      <c r="HTS50" s="10"/>
      <c r="HTT50" s="10"/>
      <c r="HTU50" s="10"/>
      <c r="HTV50" s="10"/>
      <c r="HTW50" s="10"/>
      <c r="HTX50" s="10"/>
      <c r="HTY50" s="10"/>
      <c r="HTZ50" s="10"/>
      <c r="HUA50" s="10"/>
      <c r="HUB50" s="10"/>
      <c r="HUC50" s="10"/>
      <c r="HUD50" s="10"/>
      <c r="HUE50" s="10"/>
      <c r="HUF50" s="10"/>
      <c r="HUG50" s="10"/>
      <c r="HUH50" s="10"/>
      <c r="HUI50" s="10"/>
      <c r="HUJ50" s="10"/>
      <c r="HUK50" s="10"/>
      <c r="HUL50" s="10"/>
      <c r="HUM50" s="10"/>
      <c r="HUN50" s="10"/>
      <c r="HUO50" s="10"/>
      <c r="HUP50" s="10"/>
      <c r="HUQ50" s="10"/>
      <c r="HUR50" s="10"/>
      <c r="HUS50" s="10"/>
      <c r="HUT50" s="10"/>
      <c r="HUU50" s="10"/>
      <c r="HUV50" s="10"/>
      <c r="HUW50" s="10"/>
      <c r="HUX50" s="10"/>
      <c r="HUY50" s="10"/>
      <c r="HUZ50" s="10"/>
      <c r="HVA50" s="10"/>
      <c r="HVB50" s="10"/>
      <c r="HVC50" s="10"/>
      <c r="HVD50" s="10"/>
      <c r="HVE50" s="10"/>
      <c r="HVF50" s="10"/>
      <c r="HVG50" s="10"/>
      <c r="HVH50" s="10"/>
      <c r="HVI50" s="10"/>
      <c r="HVJ50" s="10"/>
      <c r="HVK50" s="10"/>
      <c r="HVL50" s="10"/>
      <c r="HVM50" s="10"/>
      <c r="HVN50" s="10"/>
      <c r="HVO50" s="10"/>
      <c r="HVP50" s="10"/>
      <c r="HVQ50" s="10"/>
      <c r="HVR50" s="10"/>
      <c r="HVS50" s="10"/>
      <c r="HVT50" s="10"/>
      <c r="HVU50" s="10"/>
      <c r="HVV50" s="10"/>
      <c r="HVW50" s="10"/>
      <c r="HVX50" s="10"/>
      <c r="HVY50" s="10"/>
      <c r="HVZ50" s="10"/>
      <c r="HWA50" s="10"/>
      <c r="HWB50" s="10"/>
      <c r="HWC50" s="10"/>
      <c r="HWD50" s="10"/>
      <c r="HWE50" s="10"/>
      <c r="HWF50" s="10"/>
      <c r="HWG50" s="10"/>
      <c r="HWH50" s="10"/>
      <c r="HWI50" s="10"/>
      <c r="HWJ50" s="10"/>
      <c r="HWK50" s="10"/>
      <c r="HWL50" s="10"/>
      <c r="HWM50" s="10"/>
      <c r="HWN50" s="10"/>
      <c r="HWO50" s="10"/>
      <c r="HWP50" s="10"/>
      <c r="HWQ50" s="10"/>
      <c r="HWR50" s="10"/>
      <c r="HWS50" s="10"/>
      <c r="HWT50" s="10"/>
      <c r="HWU50" s="10"/>
      <c r="HWV50" s="10"/>
      <c r="HWW50" s="10"/>
      <c r="HWX50" s="10"/>
      <c r="HWY50" s="10"/>
      <c r="HWZ50" s="10"/>
      <c r="HXA50" s="10"/>
      <c r="HXB50" s="10"/>
      <c r="HXC50" s="10"/>
      <c r="HXD50" s="10"/>
      <c r="HXE50" s="10"/>
      <c r="HXF50" s="10"/>
      <c r="HXG50" s="10"/>
      <c r="HXH50" s="10"/>
      <c r="HXI50" s="10"/>
      <c r="HXJ50" s="10"/>
      <c r="HXK50" s="10"/>
      <c r="HXL50" s="10"/>
      <c r="HXM50" s="10"/>
      <c r="HXN50" s="10"/>
      <c r="HXO50" s="10"/>
      <c r="HXP50" s="10"/>
      <c r="HXQ50" s="10"/>
      <c r="HXR50" s="10"/>
      <c r="HXS50" s="10"/>
      <c r="HXT50" s="10"/>
      <c r="HXU50" s="10"/>
      <c r="HXV50" s="10"/>
      <c r="HXW50" s="10"/>
      <c r="HXX50" s="10"/>
      <c r="HXY50" s="10"/>
      <c r="HXZ50" s="10"/>
      <c r="HYA50" s="10"/>
      <c r="HYB50" s="10"/>
      <c r="HYC50" s="10"/>
      <c r="HYD50" s="10"/>
      <c r="HYE50" s="10"/>
      <c r="HYF50" s="10"/>
      <c r="HYG50" s="10"/>
      <c r="HYH50" s="10"/>
      <c r="HYI50" s="10"/>
      <c r="HYJ50" s="10"/>
      <c r="HYK50" s="10"/>
      <c r="HYL50" s="10"/>
      <c r="HYM50" s="10"/>
      <c r="HYN50" s="10"/>
      <c r="HYO50" s="10"/>
      <c r="HYP50" s="10"/>
      <c r="HYQ50" s="10"/>
      <c r="HYR50" s="10"/>
      <c r="HYS50" s="10"/>
      <c r="HYT50" s="10"/>
      <c r="HYU50" s="10"/>
      <c r="HYV50" s="10"/>
      <c r="HYW50" s="10"/>
      <c r="HYX50" s="10"/>
      <c r="HYY50" s="10"/>
      <c r="HYZ50" s="10"/>
      <c r="HZA50" s="10"/>
      <c r="HZB50" s="10"/>
      <c r="HZC50" s="10"/>
      <c r="HZD50" s="10"/>
      <c r="HZE50" s="10"/>
      <c r="HZF50" s="10"/>
      <c r="HZG50" s="10"/>
      <c r="HZH50" s="10"/>
      <c r="HZI50" s="10"/>
      <c r="HZJ50" s="10"/>
      <c r="HZK50" s="10"/>
      <c r="HZL50" s="10"/>
      <c r="HZM50" s="10"/>
      <c r="HZN50" s="10"/>
      <c r="HZO50" s="10"/>
      <c r="HZP50" s="10"/>
      <c r="HZQ50" s="10"/>
      <c r="HZR50" s="10"/>
      <c r="HZS50" s="10"/>
      <c r="HZT50" s="10"/>
      <c r="HZU50" s="10"/>
      <c r="HZV50" s="10"/>
      <c r="HZW50" s="10"/>
      <c r="HZX50" s="10"/>
      <c r="HZY50" s="10"/>
      <c r="HZZ50" s="10"/>
      <c r="IAA50" s="10"/>
      <c r="IAB50" s="10"/>
      <c r="IAC50" s="10"/>
      <c r="IAD50" s="10"/>
      <c r="IAE50" s="10"/>
      <c r="IAF50" s="10"/>
      <c r="IAG50" s="10"/>
      <c r="IAH50" s="10"/>
      <c r="IAI50" s="10"/>
      <c r="IAJ50" s="10"/>
      <c r="IAK50" s="10"/>
      <c r="IAL50" s="10"/>
      <c r="IAM50" s="10"/>
      <c r="IAN50" s="10"/>
      <c r="IAO50" s="10"/>
      <c r="IAP50" s="10"/>
      <c r="IAQ50" s="10"/>
      <c r="IAR50" s="10"/>
      <c r="IAS50" s="10"/>
      <c r="IAT50" s="10"/>
      <c r="IAU50" s="10"/>
      <c r="IAV50" s="10"/>
      <c r="IAW50" s="10"/>
      <c r="IAX50" s="10"/>
      <c r="IAY50" s="10"/>
      <c r="IAZ50" s="10"/>
      <c r="IBA50" s="10"/>
      <c r="IBB50" s="10"/>
      <c r="IBC50" s="10"/>
      <c r="IBD50" s="10"/>
      <c r="IBE50" s="10"/>
      <c r="IBF50" s="10"/>
      <c r="IBG50" s="10"/>
      <c r="IBH50" s="10"/>
      <c r="IBI50" s="10"/>
      <c r="IBJ50" s="10"/>
      <c r="IBK50" s="10"/>
      <c r="IBL50" s="10"/>
      <c r="IBM50" s="10"/>
      <c r="IBN50" s="10"/>
      <c r="IBO50" s="10"/>
      <c r="IBP50" s="10"/>
      <c r="IBQ50" s="10"/>
      <c r="IBR50" s="10"/>
      <c r="IBS50" s="10"/>
      <c r="IBT50" s="10"/>
      <c r="IBU50" s="10"/>
      <c r="IBV50" s="10"/>
      <c r="IBW50" s="10"/>
      <c r="IBX50" s="10"/>
      <c r="IBY50" s="10"/>
      <c r="IBZ50" s="10"/>
      <c r="ICA50" s="10"/>
      <c r="ICB50" s="10"/>
      <c r="ICC50" s="10"/>
      <c r="ICD50" s="10"/>
      <c r="ICE50" s="10"/>
      <c r="ICF50" s="10"/>
      <c r="ICG50" s="10"/>
      <c r="ICH50" s="10"/>
      <c r="ICI50" s="10"/>
      <c r="ICJ50" s="10"/>
      <c r="ICK50" s="10"/>
      <c r="ICL50" s="10"/>
      <c r="ICM50" s="10"/>
      <c r="ICN50" s="10"/>
      <c r="ICO50" s="10"/>
      <c r="ICP50" s="10"/>
      <c r="ICQ50" s="10"/>
      <c r="ICR50" s="10"/>
      <c r="ICS50" s="10"/>
      <c r="ICT50" s="10"/>
      <c r="ICU50" s="10"/>
      <c r="ICV50" s="10"/>
      <c r="ICW50" s="10"/>
      <c r="ICX50" s="10"/>
      <c r="ICY50" s="10"/>
      <c r="ICZ50" s="10"/>
      <c r="IDA50" s="10"/>
      <c r="IDB50" s="10"/>
      <c r="IDC50" s="10"/>
      <c r="IDD50" s="10"/>
      <c r="IDE50" s="10"/>
      <c r="IDF50" s="10"/>
      <c r="IDG50" s="10"/>
      <c r="IDH50" s="10"/>
      <c r="IDI50" s="10"/>
      <c r="IDJ50" s="10"/>
      <c r="IDK50" s="10"/>
      <c r="IDL50" s="10"/>
      <c r="IDM50" s="10"/>
      <c r="IDN50" s="10"/>
      <c r="IDO50" s="10"/>
      <c r="IDP50" s="10"/>
      <c r="IDQ50" s="10"/>
      <c r="IDR50" s="10"/>
      <c r="IDS50" s="10"/>
      <c r="IDT50" s="10"/>
      <c r="IDU50" s="10"/>
      <c r="IDV50" s="10"/>
      <c r="IDW50" s="10"/>
      <c r="IDX50" s="10"/>
      <c r="IDY50" s="10"/>
      <c r="IDZ50" s="10"/>
      <c r="IEA50" s="10"/>
      <c r="IEB50" s="10"/>
      <c r="IEC50" s="10"/>
      <c r="IED50" s="10"/>
      <c r="IEE50" s="10"/>
      <c r="IEF50" s="10"/>
      <c r="IEG50" s="10"/>
      <c r="IEH50" s="10"/>
      <c r="IEI50" s="10"/>
      <c r="IEJ50" s="10"/>
      <c r="IEK50" s="10"/>
      <c r="IEL50" s="10"/>
      <c r="IEM50" s="10"/>
      <c r="IEN50" s="10"/>
      <c r="IEO50" s="10"/>
      <c r="IEP50" s="10"/>
      <c r="IEQ50" s="10"/>
      <c r="IER50" s="10"/>
      <c r="IES50" s="10"/>
      <c r="IET50" s="10"/>
      <c r="IEU50" s="10"/>
      <c r="IEV50" s="10"/>
      <c r="IEW50" s="10"/>
      <c r="IEX50" s="10"/>
      <c r="IEY50" s="10"/>
      <c r="IEZ50" s="10"/>
      <c r="IFA50" s="10"/>
      <c r="IFB50" s="10"/>
      <c r="IFC50" s="10"/>
      <c r="IFD50" s="10"/>
      <c r="IFE50" s="10"/>
      <c r="IFF50" s="10"/>
      <c r="IFG50" s="10"/>
      <c r="IFH50" s="10"/>
      <c r="IFI50" s="10"/>
      <c r="IFJ50" s="10"/>
      <c r="IFK50" s="10"/>
      <c r="IFL50" s="10"/>
      <c r="IFM50" s="10"/>
      <c r="IFN50" s="10"/>
      <c r="IFO50" s="10"/>
      <c r="IFP50" s="10"/>
      <c r="IFQ50" s="10"/>
      <c r="IFR50" s="10"/>
      <c r="IFS50" s="10"/>
      <c r="IFT50" s="10"/>
      <c r="IFU50" s="10"/>
      <c r="IFV50" s="10"/>
      <c r="IFW50" s="10"/>
      <c r="IFX50" s="10"/>
      <c r="IFY50" s="10"/>
      <c r="IFZ50" s="10"/>
      <c r="IGA50" s="10"/>
      <c r="IGB50" s="10"/>
      <c r="IGC50" s="10"/>
      <c r="IGD50" s="10"/>
      <c r="IGE50" s="10"/>
      <c r="IGF50" s="10"/>
      <c r="IGG50" s="10"/>
      <c r="IGH50" s="10"/>
      <c r="IGI50" s="10"/>
      <c r="IGJ50" s="10"/>
      <c r="IGK50" s="10"/>
      <c r="IGL50" s="10"/>
      <c r="IGM50" s="10"/>
      <c r="IGN50" s="10"/>
      <c r="IGO50" s="10"/>
      <c r="IGP50" s="10"/>
      <c r="IGQ50" s="10"/>
      <c r="IGR50" s="10"/>
      <c r="IGS50" s="10"/>
      <c r="IGT50" s="10"/>
      <c r="IGU50" s="10"/>
      <c r="IGV50" s="10"/>
      <c r="IGW50" s="10"/>
      <c r="IGX50" s="10"/>
      <c r="IGY50" s="10"/>
      <c r="IGZ50" s="10"/>
      <c r="IHA50" s="10"/>
      <c r="IHB50" s="10"/>
      <c r="IHC50" s="10"/>
      <c r="IHD50" s="10"/>
      <c r="IHE50" s="10"/>
      <c r="IHF50" s="10"/>
      <c r="IHG50" s="10"/>
      <c r="IHH50" s="10"/>
      <c r="IHI50" s="10"/>
      <c r="IHJ50" s="10"/>
      <c r="IHK50" s="10"/>
      <c r="IHL50" s="10"/>
      <c r="IHM50" s="10"/>
      <c r="IHN50" s="10"/>
      <c r="IHO50" s="10"/>
      <c r="IHP50" s="10"/>
      <c r="IHQ50" s="10"/>
      <c r="IHR50" s="10"/>
      <c r="IHS50" s="10"/>
      <c r="IHT50" s="10"/>
      <c r="IHU50" s="10"/>
      <c r="IHV50" s="10"/>
      <c r="IHW50" s="10"/>
      <c r="IHX50" s="10"/>
      <c r="IHY50" s="10"/>
      <c r="IHZ50" s="10"/>
      <c r="IIA50" s="10"/>
      <c r="IIB50" s="10"/>
      <c r="IIC50" s="10"/>
      <c r="IID50" s="10"/>
      <c r="IIE50" s="10"/>
      <c r="IIF50" s="10"/>
      <c r="IIG50" s="10"/>
      <c r="IIH50" s="10"/>
      <c r="III50" s="10"/>
      <c r="IIJ50" s="10"/>
      <c r="IIK50" s="10"/>
      <c r="IIL50" s="10"/>
      <c r="IIM50" s="10"/>
      <c r="IIN50" s="10"/>
      <c r="IIO50" s="10"/>
      <c r="IIP50" s="10"/>
      <c r="IIQ50" s="10"/>
      <c r="IIR50" s="10"/>
      <c r="IIS50" s="10"/>
      <c r="IIT50" s="10"/>
      <c r="IIU50" s="10"/>
      <c r="IIV50" s="10"/>
      <c r="IIW50" s="10"/>
      <c r="IIX50" s="10"/>
      <c r="IIY50" s="10"/>
      <c r="IIZ50" s="10"/>
      <c r="IJA50" s="10"/>
      <c r="IJB50" s="10"/>
      <c r="IJC50" s="10"/>
      <c r="IJD50" s="10"/>
      <c r="IJE50" s="10"/>
      <c r="IJF50" s="10"/>
      <c r="IJG50" s="10"/>
      <c r="IJH50" s="10"/>
      <c r="IJI50" s="10"/>
      <c r="IJJ50" s="10"/>
      <c r="IJK50" s="10"/>
      <c r="IJL50" s="10"/>
      <c r="IJM50" s="10"/>
      <c r="IJN50" s="10"/>
      <c r="IJO50" s="10"/>
      <c r="IJP50" s="10"/>
      <c r="IJQ50" s="10"/>
      <c r="IJR50" s="10"/>
      <c r="IJS50" s="10"/>
      <c r="IJT50" s="10"/>
      <c r="IJU50" s="10"/>
      <c r="IJV50" s="10"/>
      <c r="IJW50" s="10"/>
      <c r="IJX50" s="10"/>
      <c r="IJY50" s="10"/>
      <c r="IJZ50" s="10"/>
      <c r="IKA50" s="10"/>
      <c r="IKB50" s="10"/>
      <c r="IKC50" s="10"/>
      <c r="IKD50" s="10"/>
      <c r="IKE50" s="10"/>
      <c r="IKF50" s="10"/>
      <c r="IKG50" s="10"/>
      <c r="IKH50" s="10"/>
      <c r="IKI50" s="10"/>
      <c r="IKJ50" s="10"/>
      <c r="IKK50" s="10"/>
      <c r="IKL50" s="10"/>
      <c r="IKM50" s="10"/>
      <c r="IKN50" s="10"/>
      <c r="IKO50" s="10"/>
      <c r="IKP50" s="10"/>
      <c r="IKQ50" s="10"/>
      <c r="IKR50" s="10"/>
      <c r="IKS50" s="10"/>
      <c r="IKT50" s="10"/>
      <c r="IKU50" s="10"/>
      <c r="IKV50" s="10"/>
      <c r="IKW50" s="10"/>
      <c r="IKX50" s="10"/>
      <c r="IKY50" s="10"/>
      <c r="IKZ50" s="10"/>
      <c r="ILA50" s="10"/>
      <c r="ILB50" s="10"/>
      <c r="ILC50" s="10"/>
      <c r="ILD50" s="10"/>
      <c r="ILE50" s="10"/>
      <c r="ILF50" s="10"/>
      <c r="ILG50" s="10"/>
      <c r="ILH50" s="10"/>
      <c r="ILI50" s="10"/>
      <c r="ILJ50" s="10"/>
      <c r="ILK50" s="10"/>
      <c r="ILL50" s="10"/>
      <c r="ILM50" s="10"/>
      <c r="ILN50" s="10"/>
      <c r="ILO50" s="10"/>
      <c r="ILP50" s="10"/>
      <c r="ILQ50" s="10"/>
      <c r="ILR50" s="10"/>
      <c r="ILS50" s="10"/>
      <c r="ILT50" s="10"/>
      <c r="ILU50" s="10"/>
      <c r="ILV50" s="10"/>
      <c r="ILW50" s="10"/>
      <c r="ILX50" s="10"/>
      <c r="ILY50" s="10"/>
      <c r="ILZ50" s="10"/>
      <c r="IMA50" s="10"/>
      <c r="IMB50" s="10"/>
      <c r="IMC50" s="10"/>
      <c r="IMD50" s="10"/>
      <c r="IME50" s="10"/>
      <c r="IMF50" s="10"/>
      <c r="IMG50" s="10"/>
      <c r="IMH50" s="10"/>
      <c r="IMI50" s="10"/>
      <c r="IMJ50" s="10"/>
      <c r="IMK50" s="10"/>
      <c r="IML50" s="10"/>
      <c r="IMM50" s="10"/>
      <c r="IMN50" s="10"/>
      <c r="IMO50" s="10"/>
      <c r="IMP50" s="10"/>
      <c r="IMQ50" s="10"/>
      <c r="IMR50" s="10"/>
      <c r="IMS50" s="10"/>
      <c r="IMT50" s="10"/>
      <c r="IMU50" s="10"/>
      <c r="IMV50" s="10"/>
      <c r="IMW50" s="10"/>
      <c r="IMX50" s="10"/>
      <c r="IMY50" s="10"/>
      <c r="IMZ50" s="10"/>
      <c r="INA50" s="10"/>
      <c r="INB50" s="10"/>
      <c r="INC50" s="10"/>
      <c r="IND50" s="10"/>
      <c r="INE50" s="10"/>
      <c r="INF50" s="10"/>
      <c r="ING50" s="10"/>
      <c r="INH50" s="10"/>
      <c r="INI50" s="10"/>
      <c r="INJ50" s="10"/>
      <c r="INK50" s="10"/>
      <c r="INL50" s="10"/>
      <c r="INM50" s="10"/>
      <c r="INN50" s="10"/>
      <c r="INO50" s="10"/>
      <c r="INP50" s="10"/>
      <c r="INQ50" s="10"/>
      <c r="INR50" s="10"/>
      <c r="INS50" s="10"/>
      <c r="INT50" s="10"/>
      <c r="INU50" s="10"/>
      <c r="INV50" s="10"/>
      <c r="INW50" s="10"/>
      <c r="INX50" s="10"/>
      <c r="INY50" s="10"/>
      <c r="INZ50" s="10"/>
      <c r="IOA50" s="10"/>
      <c r="IOB50" s="10"/>
      <c r="IOC50" s="10"/>
      <c r="IOD50" s="10"/>
      <c r="IOE50" s="10"/>
      <c r="IOF50" s="10"/>
      <c r="IOG50" s="10"/>
      <c r="IOH50" s="10"/>
      <c r="IOI50" s="10"/>
      <c r="IOJ50" s="10"/>
      <c r="IOK50" s="10"/>
      <c r="IOL50" s="10"/>
      <c r="IOM50" s="10"/>
      <c r="ION50" s="10"/>
      <c r="IOO50" s="10"/>
      <c r="IOP50" s="10"/>
      <c r="IOQ50" s="10"/>
      <c r="IOR50" s="10"/>
      <c r="IOS50" s="10"/>
      <c r="IOT50" s="10"/>
      <c r="IOU50" s="10"/>
      <c r="IOV50" s="10"/>
      <c r="IOW50" s="10"/>
      <c r="IOX50" s="10"/>
      <c r="IOY50" s="10"/>
      <c r="IOZ50" s="10"/>
      <c r="IPA50" s="10"/>
      <c r="IPB50" s="10"/>
      <c r="IPC50" s="10"/>
      <c r="IPD50" s="10"/>
      <c r="IPE50" s="10"/>
      <c r="IPF50" s="10"/>
      <c r="IPG50" s="10"/>
      <c r="IPH50" s="10"/>
      <c r="IPI50" s="10"/>
      <c r="IPJ50" s="10"/>
      <c r="IPK50" s="10"/>
      <c r="IPL50" s="10"/>
      <c r="IPM50" s="10"/>
      <c r="IPN50" s="10"/>
      <c r="IPO50" s="10"/>
      <c r="IPP50" s="10"/>
      <c r="IPQ50" s="10"/>
      <c r="IPR50" s="10"/>
      <c r="IPS50" s="10"/>
      <c r="IPT50" s="10"/>
      <c r="IPU50" s="10"/>
      <c r="IPV50" s="10"/>
      <c r="IPW50" s="10"/>
      <c r="IPX50" s="10"/>
      <c r="IPY50" s="10"/>
      <c r="IPZ50" s="10"/>
      <c r="IQA50" s="10"/>
      <c r="IQB50" s="10"/>
      <c r="IQC50" s="10"/>
      <c r="IQD50" s="10"/>
      <c r="IQE50" s="10"/>
      <c r="IQF50" s="10"/>
      <c r="IQG50" s="10"/>
      <c r="IQH50" s="10"/>
      <c r="IQI50" s="10"/>
      <c r="IQJ50" s="10"/>
      <c r="IQK50" s="10"/>
      <c r="IQL50" s="10"/>
      <c r="IQM50" s="10"/>
      <c r="IQN50" s="10"/>
      <c r="IQO50" s="10"/>
      <c r="IQP50" s="10"/>
      <c r="IQQ50" s="10"/>
      <c r="IQR50" s="10"/>
      <c r="IQS50" s="10"/>
      <c r="IQT50" s="10"/>
      <c r="IQU50" s="10"/>
      <c r="IQV50" s="10"/>
      <c r="IQW50" s="10"/>
      <c r="IQX50" s="10"/>
      <c r="IQY50" s="10"/>
      <c r="IQZ50" s="10"/>
      <c r="IRA50" s="10"/>
      <c r="IRB50" s="10"/>
      <c r="IRC50" s="10"/>
      <c r="IRD50" s="10"/>
      <c r="IRE50" s="10"/>
      <c r="IRF50" s="10"/>
      <c r="IRG50" s="10"/>
      <c r="IRH50" s="10"/>
      <c r="IRI50" s="10"/>
      <c r="IRJ50" s="10"/>
      <c r="IRK50" s="10"/>
      <c r="IRL50" s="10"/>
      <c r="IRM50" s="10"/>
      <c r="IRN50" s="10"/>
      <c r="IRO50" s="10"/>
      <c r="IRP50" s="10"/>
      <c r="IRQ50" s="10"/>
      <c r="IRR50" s="10"/>
      <c r="IRS50" s="10"/>
      <c r="IRT50" s="10"/>
      <c r="IRU50" s="10"/>
      <c r="IRV50" s="10"/>
      <c r="IRW50" s="10"/>
      <c r="IRX50" s="10"/>
      <c r="IRY50" s="10"/>
      <c r="IRZ50" s="10"/>
      <c r="ISA50" s="10"/>
      <c r="ISB50" s="10"/>
      <c r="ISC50" s="10"/>
      <c r="ISD50" s="10"/>
      <c r="ISE50" s="10"/>
      <c r="ISF50" s="10"/>
      <c r="ISG50" s="10"/>
      <c r="ISH50" s="10"/>
      <c r="ISI50" s="10"/>
      <c r="ISJ50" s="10"/>
      <c r="ISK50" s="10"/>
      <c r="ISL50" s="10"/>
      <c r="ISM50" s="10"/>
      <c r="ISN50" s="10"/>
      <c r="ISO50" s="10"/>
      <c r="ISP50" s="10"/>
      <c r="ISQ50" s="10"/>
      <c r="ISR50" s="10"/>
      <c r="ISS50" s="10"/>
      <c r="IST50" s="10"/>
      <c r="ISU50" s="10"/>
      <c r="ISV50" s="10"/>
      <c r="ISW50" s="10"/>
      <c r="ISX50" s="10"/>
      <c r="ISY50" s="10"/>
      <c r="ISZ50" s="10"/>
      <c r="ITA50" s="10"/>
      <c r="ITB50" s="10"/>
      <c r="ITC50" s="10"/>
      <c r="ITD50" s="10"/>
      <c r="ITE50" s="10"/>
      <c r="ITF50" s="10"/>
      <c r="ITG50" s="10"/>
      <c r="ITH50" s="10"/>
      <c r="ITI50" s="10"/>
      <c r="ITJ50" s="10"/>
      <c r="ITK50" s="10"/>
      <c r="ITL50" s="10"/>
      <c r="ITM50" s="10"/>
      <c r="ITN50" s="10"/>
      <c r="ITO50" s="10"/>
      <c r="ITP50" s="10"/>
      <c r="ITQ50" s="10"/>
      <c r="ITR50" s="10"/>
      <c r="ITS50" s="10"/>
      <c r="ITT50" s="10"/>
      <c r="ITU50" s="10"/>
      <c r="ITV50" s="10"/>
      <c r="ITW50" s="10"/>
      <c r="ITX50" s="10"/>
      <c r="ITY50" s="10"/>
      <c r="ITZ50" s="10"/>
      <c r="IUA50" s="10"/>
      <c r="IUB50" s="10"/>
      <c r="IUC50" s="10"/>
      <c r="IUD50" s="10"/>
      <c r="IUE50" s="10"/>
      <c r="IUF50" s="10"/>
      <c r="IUG50" s="10"/>
      <c r="IUH50" s="10"/>
      <c r="IUI50" s="10"/>
      <c r="IUJ50" s="10"/>
      <c r="IUK50" s="10"/>
      <c r="IUL50" s="10"/>
      <c r="IUM50" s="10"/>
      <c r="IUN50" s="10"/>
      <c r="IUO50" s="10"/>
      <c r="IUP50" s="10"/>
      <c r="IUQ50" s="10"/>
      <c r="IUR50" s="10"/>
      <c r="IUS50" s="10"/>
      <c r="IUT50" s="10"/>
      <c r="IUU50" s="10"/>
      <c r="IUV50" s="10"/>
      <c r="IUW50" s="10"/>
      <c r="IUX50" s="10"/>
      <c r="IUY50" s="10"/>
      <c r="IUZ50" s="10"/>
      <c r="IVA50" s="10"/>
      <c r="IVB50" s="10"/>
      <c r="IVC50" s="10"/>
      <c r="IVD50" s="10"/>
      <c r="IVE50" s="10"/>
      <c r="IVF50" s="10"/>
      <c r="IVG50" s="10"/>
      <c r="IVH50" s="10"/>
      <c r="IVI50" s="10"/>
      <c r="IVJ50" s="10"/>
      <c r="IVK50" s="10"/>
      <c r="IVL50" s="10"/>
      <c r="IVM50" s="10"/>
      <c r="IVN50" s="10"/>
      <c r="IVO50" s="10"/>
      <c r="IVP50" s="10"/>
      <c r="IVQ50" s="10"/>
      <c r="IVR50" s="10"/>
      <c r="IVS50" s="10"/>
      <c r="IVT50" s="10"/>
      <c r="IVU50" s="10"/>
      <c r="IVV50" s="10"/>
      <c r="IVW50" s="10"/>
      <c r="IVX50" s="10"/>
      <c r="IVY50" s="10"/>
      <c r="IVZ50" s="10"/>
      <c r="IWA50" s="10"/>
      <c r="IWB50" s="10"/>
      <c r="IWC50" s="10"/>
      <c r="IWD50" s="10"/>
      <c r="IWE50" s="10"/>
      <c r="IWF50" s="10"/>
      <c r="IWG50" s="10"/>
      <c r="IWH50" s="10"/>
      <c r="IWI50" s="10"/>
      <c r="IWJ50" s="10"/>
      <c r="IWK50" s="10"/>
      <c r="IWL50" s="10"/>
      <c r="IWM50" s="10"/>
      <c r="IWN50" s="10"/>
      <c r="IWO50" s="10"/>
      <c r="IWP50" s="10"/>
      <c r="IWQ50" s="10"/>
      <c r="IWR50" s="10"/>
      <c r="IWS50" s="10"/>
      <c r="IWT50" s="10"/>
      <c r="IWU50" s="10"/>
      <c r="IWV50" s="10"/>
      <c r="IWW50" s="10"/>
      <c r="IWX50" s="10"/>
      <c r="IWY50" s="10"/>
      <c r="IWZ50" s="10"/>
      <c r="IXA50" s="10"/>
      <c r="IXB50" s="10"/>
      <c r="IXC50" s="10"/>
      <c r="IXD50" s="10"/>
      <c r="IXE50" s="10"/>
      <c r="IXF50" s="10"/>
      <c r="IXG50" s="10"/>
      <c r="IXH50" s="10"/>
      <c r="IXI50" s="10"/>
      <c r="IXJ50" s="10"/>
      <c r="IXK50" s="10"/>
      <c r="IXL50" s="10"/>
      <c r="IXM50" s="10"/>
      <c r="IXN50" s="10"/>
      <c r="IXO50" s="10"/>
      <c r="IXP50" s="10"/>
      <c r="IXQ50" s="10"/>
      <c r="IXR50" s="10"/>
      <c r="IXS50" s="10"/>
      <c r="IXT50" s="10"/>
      <c r="IXU50" s="10"/>
      <c r="IXV50" s="10"/>
      <c r="IXW50" s="10"/>
      <c r="IXX50" s="10"/>
      <c r="IXY50" s="10"/>
      <c r="IXZ50" s="10"/>
      <c r="IYA50" s="10"/>
      <c r="IYB50" s="10"/>
      <c r="IYC50" s="10"/>
      <c r="IYD50" s="10"/>
      <c r="IYE50" s="10"/>
      <c r="IYF50" s="10"/>
      <c r="IYG50" s="10"/>
      <c r="IYH50" s="10"/>
      <c r="IYI50" s="10"/>
      <c r="IYJ50" s="10"/>
      <c r="IYK50" s="10"/>
      <c r="IYL50" s="10"/>
      <c r="IYM50" s="10"/>
      <c r="IYN50" s="10"/>
      <c r="IYO50" s="10"/>
      <c r="IYP50" s="10"/>
      <c r="IYQ50" s="10"/>
      <c r="IYR50" s="10"/>
      <c r="IYS50" s="10"/>
      <c r="IYT50" s="10"/>
      <c r="IYU50" s="10"/>
      <c r="IYV50" s="10"/>
      <c r="IYW50" s="10"/>
      <c r="IYX50" s="10"/>
      <c r="IYY50" s="10"/>
      <c r="IYZ50" s="10"/>
      <c r="IZA50" s="10"/>
      <c r="IZB50" s="10"/>
      <c r="IZC50" s="10"/>
      <c r="IZD50" s="10"/>
      <c r="IZE50" s="10"/>
      <c r="IZF50" s="10"/>
      <c r="IZG50" s="10"/>
      <c r="IZH50" s="10"/>
      <c r="IZI50" s="10"/>
      <c r="IZJ50" s="10"/>
      <c r="IZK50" s="10"/>
      <c r="IZL50" s="10"/>
      <c r="IZM50" s="10"/>
      <c r="IZN50" s="10"/>
      <c r="IZO50" s="10"/>
      <c r="IZP50" s="10"/>
      <c r="IZQ50" s="10"/>
      <c r="IZR50" s="10"/>
      <c r="IZS50" s="10"/>
      <c r="IZT50" s="10"/>
      <c r="IZU50" s="10"/>
      <c r="IZV50" s="10"/>
      <c r="IZW50" s="10"/>
      <c r="IZX50" s="10"/>
      <c r="IZY50" s="10"/>
      <c r="IZZ50" s="10"/>
      <c r="JAA50" s="10"/>
      <c r="JAB50" s="10"/>
      <c r="JAC50" s="10"/>
      <c r="JAD50" s="10"/>
      <c r="JAE50" s="10"/>
      <c r="JAF50" s="10"/>
      <c r="JAG50" s="10"/>
      <c r="JAH50" s="10"/>
      <c r="JAI50" s="10"/>
      <c r="JAJ50" s="10"/>
      <c r="JAK50" s="10"/>
      <c r="JAL50" s="10"/>
      <c r="JAM50" s="10"/>
      <c r="JAN50" s="10"/>
      <c r="JAO50" s="10"/>
      <c r="JAP50" s="10"/>
      <c r="JAQ50" s="10"/>
      <c r="JAR50" s="10"/>
      <c r="JAS50" s="10"/>
      <c r="JAT50" s="10"/>
      <c r="JAU50" s="10"/>
      <c r="JAV50" s="10"/>
      <c r="JAW50" s="10"/>
      <c r="JAX50" s="10"/>
      <c r="JAY50" s="10"/>
      <c r="JAZ50" s="10"/>
      <c r="JBA50" s="10"/>
      <c r="JBB50" s="10"/>
      <c r="JBC50" s="10"/>
      <c r="JBD50" s="10"/>
      <c r="JBE50" s="10"/>
      <c r="JBF50" s="10"/>
      <c r="JBG50" s="10"/>
      <c r="JBH50" s="10"/>
      <c r="JBI50" s="10"/>
      <c r="JBJ50" s="10"/>
      <c r="JBK50" s="10"/>
      <c r="JBL50" s="10"/>
      <c r="JBM50" s="10"/>
      <c r="JBN50" s="10"/>
      <c r="JBO50" s="10"/>
      <c r="JBP50" s="10"/>
      <c r="JBQ50" s="10"/>
      <c r="JBR50" s="10"/>
      <c r="JBS50" s="10"/>
      <c r="JBT50" s="10"/>
      <c r="JBU50" s="10"/>
      <c r="JBV50" s="10"/>
      <c r="JBW50" s="10"/>
      <c r="JBX50" s="10"/>
      <c r="JBY50" s="10"/>
      <c r="JBZ50" s="10"/>
      <c r="JCA50" s="10"/>
      <c r="JCB50" s="10"/>
      <c r="JCC50" s="10"/>
      <c r="JCD50" s="10"/>
      <c r="JCE50" s="10"/>
      <c r="JCF50" s="10"/>
      <c r="JCG50" s="10"/>
      <c r="JCH50" s="10"/>
      <c r="JCI50" s="10"/>
      <c r="JCJ50" s="10"/>
      <c r="JCK50" s="10"/>
      <c r="JCL50" s="10"/>
      <c r="JCM50" s="10"/>
      <c r="JCN50" s="10"/>
      <c r="JCO50" s="10"/>
      <c r="JCP50" s="10"/>
      <c r="JCQ50" s="10"/>
      <c r="JCR50" s="10"/>
      <c r="JCS50" s="10"/>
      <c r="JCT50" s="10"/>
      <c r="JCU50" s="10"/>
      <c r="JCV50" s="10"/>
      <c r="JCW50" s="10"/>
      <c r="JCX50" s="10"/>
      <c r="JCY50" s="10"/>
      <c r="JCZ50" s="10"/>
      <c r="JDA50" s="10"/>
      <c r="JDB50" s="10"/>
      <c r="JDC50" s="10"/>
      <c r="JDD50" s="10"/>
      <c r="JDE50" s="10"/>
      <c r="JDF50" s="10"/>
      <c r="JDG50" s="10"/>
      <c r="JDH50" s="10"/>
      <c r="JDI50" s="10"/>
      <c r="JDJ50" s="10"/>
      <c r="JDK50" s="10"/>
      <c r="JDL50" s="10"/>
      <c r="JDM50" s="10"/>
      <c r="JDN50" s="10"/>
      <c r="JDO50" s="10"/>
      <c r="JDP50" s="10"/>
      <c r="JDQ50" s="10"/>
      <c r="JDR50" s="10"/>
      <c r="JDS50" s="10"/>
      <c r="JDT50" s="10"/>
      <c r="JDU50" s="10"/>
      <c r="JDV50" s="10"/>
      <c r="JDW50" s="10"/>
      <c r="JDX50" s="10"/>
      <c r="JDY50" s="10"/>
      <c r="JDZ50" s="10"/>
      <c r="JEA50" s="10"/>
      <c r="JEB50" s="10"/>
      <c r="JEC50" s="10"/>
      <c r="JED50" s="10"/>
      <c r="JEE50" s="10"/>
      <c r="JEF50" s="10"/>
      <c r="JEG50" s="10"/>
      <c r="JEH50" s="10"/>
      <c r="JEI50" s="10"/>
      <c r="JEJ50" s="10"/>
      <c r="JEK50" s="10"/>
      <c r="JEL50" s="10"/>
      <c r="JEM50" s="10"/>
      <c r="JEN50" s="10"/>
      <c r="JEO50" s="10"/>
      <c r="JEP50" s="10"/>
      <c r="JEQ50" s="10"/>
      <c r="JER50" s="10"/>
      <c r="JES50" s="10"/>
      <c r="JET50" s="10"/>
      <c r="JEU50" s="10"/>
      <c r="JEV50" s="10"/>
      <c r="JEW50" s="10"/>
      <c r="JEX50" s="10"/>
      <c r="JEY50" s="10"/>
      <c r="JEZ50" s="10"/>
      <c r="JFA50" s="10"/>
      <c r="JFB50" s="10"/>
      <c r="JFC50" s="10"/>
      <c r="JFD50" s="10"/>
      <c r="JFE50" s="10"/>
      <c r="JFF50" s="10"/>
      <c r="JFG50" s="10"/>
      <c r="JFH50" s="10"/>
      <c r="JFI50" s="10"/>
      <c r="JFJ50" s="10"/>
      <c r="JFK50" s="10"/>
      <c r="JFL50" s="10"/>
      <c r="JFM50" s="10"/>
      <c r="JFN50" s="10"/>
      <c r="JFO50" s="10"/>
      <c r="JFP50" s="10"/>
      <c r="JFQ50" s="10"/>
      <c r="JFR50" s="10"/>
      <c r="JFS50" s="10"/>
      <c r="JFT50" s="10"/>
      <c r="JFU50" s="10"/>
      <c r="JFV50" s="10"/>
      <c r="JFW50" s="10"/>
      <c r="JFX50" s="10"/>
      <c r="JFY50" s="10"/>
      <c r="JFZ50" s="10"/>
      <c r="JGA50" s="10"/>
      <c r="JGB50" s="10"/>
      <c r="JGC50" s="10"/>
      <c r="JGD50" s="10"/>
      <c r="JGE50" s="10"/>
      <c r="JGF50" s="10"/>
      <c r="JGG50" s="10"/>
      <c r="JGH50" s="10"/>
      <c r="JGI50" s="10"/>
      <c r="JGJ50" s="10"/>
      <c r="JGK50" s="10"/>
      <c r="JGL50" s="10"/>
      <c r="JGM50" s="10"/>
      <c r="JGN50" s="10"/>
      <c r="JGO50" s="10"/>
      <c r="JGP50" s="10"/>
      <c r="JGQ50" s="10"/>
      <c r="JGR50" s="10"/>
      <c r="JGS50" s="10"/>
      <c r="JGT50" s="10"/>
      <c r="JGU50" s="10"/>
      <c r="JGV50" s="10"/>
      <c r="JGW50" s="10"/>
      <c r="JGX50" s="10"/>
      <c r="JGY50" s="10"/>
      <c r="JGZ50" s="10"/>
      <c r="JHA50" s="10"/>
      <c r="JHB50" s="10"/>
      <c r="JHC50" s="10"/>
      <c r="JHD50" s="10"/>
      <c r="JHE50" s="10"/>
      <c r="JHF50" s="10"/>
      <c r="JHG50" s="10"/>
      <c r="JHH50" s="10"/>
      <c r="JHI50" s="10"/>
      <c r="JHJ50" s="10"/>
      <c r="JHK50" s="10"/>
      <c r="JHL50" s="10"/>
      <c r="JHM50" s="10"/>
      <c r="JHN50" s="10"/>
      <c r="JHO50" s="10"/>
      <c r="JHP50" s="10"/>
      <c r="JHQ50" s="10"/>
      <c r="JHR50" s="10"/>
      <c r="JHS50" s="10"/>
      <c r="JHT50" s="10"/>
      <c r="JHU50" s="10"/>
      <c r="JHV50" s="10"/>
      <c r="JHW50" s="10"/>
      <c r="JHX50" s="10"/>
      <c r="JHY50" s="10"/>
      <c r="JHZ50" s="10"/>
      <c r="JIA50" s="10"/>
      <c r="JIB50" s="10"/>
      <c r="JIC50" s="10"/>
      <c r="JID50" s="10"/>
      <c r="JIE50" s="10"/>
      <c r="JIF50" s="10"/>
      <c r="JIG50" s="10"/>
      <c r="JIH50" s="10"/>
      <c r="JII50" s="10"/>
      <c r="JIJ50" s="10"/>
      <c r="JIK50" s="10"/>
      <c r="JIL50" s="10"/>
      <c r="JIM50" s="10"/>
      <c r="JIN50" s="10"/>
      <c r="JIO50" s="10"/>
      <c r="JIP50" s="10"/>
      <c r="JIQ50" s="10"/>
      <c r="JIR50" s="10"/>
      <c r="JIS50" s="10"/>
      <c r="JIT50" s="10"/>
      <c r="JIU50" s="10"/>
      <c r="JIV50" s="10"/>
      <c r="JIW50" s="10"/>
      <c r="JIX50" s="10"/>
      <c r="JIY50" s="10"/>
      <c r="JIZ50" s="10"/>
      <c r="JJA50" s="10"/>
      <c r="JJB50" s="10"/>
      <c r="JJC50" s="10"/>
      <c r="JJD50" s="10"/>
      <c r="JJE50" s="10"/>
      <c r="JJF50" s="10"/>
      <c r="JJG50" s="10"/>
      <c r="JJH50" s="10"/>
      <c r="JJI50" s="10"/>
      <c r="JJJ50" s="10"/>
      <c r="JJK50" s="10"/>
      <c r="JJL50" s="10"/>
      <c r="JJM50" s="10"/>
      <c r="JJN50" s="10"/>
      <c r="JJO50" s="10"/>
      <c r="JJP50" s="10"/>
      <c r="JJQ50" s="10"/>
      <c r="JJR50" s="10"/>
      <c r="JJS50" s="10"/>
      <c r="JJT50" s="10"/>
      <c r="JJU50" s="10"/>
      <c r="JJV50" s="10"/>
      <c r="JJW50" s="10"/>
      <c r="JJX50" s="10"/>
      <c r="JJY50" s="10"/>
      <c r="JJZ50" s="10"/>
      <c r="JKA50" s="10"/>
      <c r="JKB50" s="10"/>
      <c r="JKC50" s="10"/>
      <c r="JKD50" s="10"/>
      <c r="JKE50" s="10"/>
      <c r="JKF50" s="10"/>
      <c r="JKG50" s="10"/>
      <c r="JKH50" s="10"/>
      <c r="JKI50" s="10"/>
      <c r="JKJ50" s="10"/>
      <c r="JKK50" s="10"/>
      <c r="JKL50" s="10"/>
      <c r="JKM50" s="10"/>
      <c r="JKN50" s="10"/>
      <c r="JKO50" s="10"/>
      <c r="JKP50" s="10"/>
      <c r="JKQ50" s="10"/>
      <c r="JKR50" s="10"/>
      <c r="JKS50" s="10"/>
      <c r="JKT50" s="10"/>
      <c r="JKU50" s="10"/>
      <c r="JKV50" s="10"/>
      <c r="JKW50" s="10"/>
      <c r="JKX50" s="10"/>
      <c r="JKY50" s="10"/>
      <c r="JKZ50" s="10"/>
      <c r="JLA50" s="10"/>
      <c r="JLB50" s="10"/>
      <c r="JLC50" s="10"/>
      <c r="JLD50" s="10"/>
      <c r="JLE50" s="10"/>
      <c r="JLF50" s="10"/>
      <c r="JLG50" s="10"/>
      <c r="JLH50" s="10"/>
      <c r="JLI50" s="10"/>
      <c r="JLJ50" s="10"/>
      <c r="JLK50" s="10"/>
      <c r="JLL50" s="10"/>
      <c r="JLM50" s="10"/>
      <c r="JLN50" s="10"/>
      <c r="JLO50" s="10"/>
      <c r="JLP50" s="10"/>
      <c r="JLQ50" s="10"/>
      <c r="JLR50" s="10"/>
      <c r="JLS50" s="10"/>
      <c r="JLT50" s="10"/>
      <c r="JLU50" s="10"/>
      <c r="JLV50" s="10"/>
      <c r="JLW50" s="10"/>
      <c r="JLX50" s="10"/>
      <c r="JLY50" s="10"/>
      <c r="JLZ50" s="10"/>
      <c r="JMA50" s="10"/>
      <c r="JMB50" s="10"/>
      <c r="JMC50" s="10"/>
      <c r="JMD50" s="10"/>
      <c r="JME50" s="10"/>
      <c r="JMF50" s="10"/>
      <c r="JMG50" s="10"/>
      <c r="JMH50" s="10"/>
      <c r="JMI50" s="10"/>
      <c r="JMJ50" s="10"/>
      <c r="JMK50" s="10"/>
      <c r="JML50" s="10"/>
      <c r="JMM50" s="10"/>
      <c r="JMN50" s="10"/>
      <c r="JMO50" s="10"/>
      <c r="JMP50" s="10"/>
      <c r="JMQ50" s="10"/>
      <c r="JMR50" s="10"/>
      <c r="JMS50" s="10"/>
      <c r="JMT50" s="10"/>
      <c r="JMU50" s="10"/>
      <c r="JMV50" s="10"/>
      <c r="JMW50" s="10"/>
      <c r="JMX50" s="10"/>
      <c r="JMY50" s="10"/>
      <c r="JMZ50" s="10"/>
      <c r="JNA50" s="10"/>
      <c r="JNB50" s="10"/>
      <c r="JNC50" s="10"/>
      <c r="JND50" s="10"/>
      <c r="JNE50" s="10"/>
      <c r="JNF50" s="10"/>
      <c r="JNG50" s="10"/>
      <c r="JNH50" s="10"/>
      <c r="JNI50" s="10"/>
      <c r="JNJ50" s="10"/>
      <c r="JNK50" s="10"/>
      <c r="JNL50" s="10"/>
      <c r="JNM50" s="10"/>
      <c r="JNN50" s="10"/>
      <c r="JNO50" s="10"/>
      <c r="JNP50" s="10"/>
      <c r="JNQ50" s="10"/>
      <c r="JNR50" s="10"/>
      <c r="JNS50" s="10"/>
      <c r="JNT50" s="10"/>
      <c r="JNU50" s="10"/>
      <c r="JNV50" s="10"/>
      <c r="JNW50" s="10"/>
      <c r="JNX50" s="10"/>
      <c r="JNY50" s="10"/>
      <c r="JNZ50" s="10"/>
      <c r="JOA50" s="10"/>
      <c r="JOB50" s="10"/>
      <c r="JOC50" s="10"/>
      <c r="JOD50" s="10"/>
      <c r="JOE50" s="10"/>
      <c r="JOF50" s="10"/>
      <c r="JOG50" s="10"/>
      <c r="JOH50" s="10"/>
      <c r="JOI50" s="10"/>
      <c r="JOJ50" s="10"/>
      <c r="JOK50" s="10"/>
      <c r="JOL50" s="10"/>
      <c r="JOM50" s="10"/>
      <c r="JON50" s="10"/>
      <c r="JOO50" s="10"/>
      <c r="JOP50" s="10"/>
      <c r="JOQ50" s="10"/>
      <c r="JOR50" s="10"/>
      <c r="JOS50" s="10"/>
      <c r="JOT50" s="10"/>
      <c r="JOU50" s="10"/>
      <c r="JOV50" s="10"/>
      <c r="JOW50" s="10"/>
      <c r="JOX50" s="10"/>
      <c r="JOY50" s="10"/>
      <c r="JOZ50" s="10"/>
      <c r="JPA50" s="10"/>
      <c r="JPB50" s="10"/>
      <c r="JPC50" s="10"/>
      <c r="JPD50" s="10"/>
      <c r="JPE50" s="10"/>
      <c r="JPF50" s="10"/>
      <c r="JPG50" s="10"/>
      <c r="JPH50" s="10"/>
      <c r="JPI50" s="10"/>
      <c r="JPJ50" s="10"/>
      <c r="JPK50" s="10"/>
      <c r="JPL50" s="10"/>
      <c r="JPM50" s="10"/>
      <c r="JPN50" s="10"/>
      <c r="JPO50" s="10"/>
      <c r="JPP50" s="10"/>
      <c r="JPQ50" s="10"/>
      <c r="JPR50" s="10"/>
      <c r="JPS50" s="10"/>
      <c r="JPT50" s="10"/>
      <c r="JPU50" s="10"/>
      <c r="JPV50" s="10"/>
      <c r="JPW50" s="10"/>
      <c r="JPX50" s="10"/>
      <c r="JPY50" s="10"/>
      <c r="JPZ50" s="10"/>
      <c r="JQA50" s="10"/>
      <c r="JQB50" s="10"/>
      <c r="JQC50" s="10"/>
      <c r="JQD50" s="10"/>
      <c r="JQE50" s="10"/>
      <c r="JQF50" s="10"/>
      <c r="JQG50" s="10"/>
      <c r="JQH50" s="10"/>
      <c r="JQI50" s="10"/>
      <c r="JQJ50" s="10"/>
      <c r="JQK50" s="10"/>
      <c r="JQL50" s="10"/>
      <c r="JQM50" s="10"/>
      <c r="JQN50" s="10"/>
      <c r="JQO50" s="10"/>
      <c r="JQP50" s="10"/>
      <c r="JQQ50" s="10"/>
      <c r="JQR50" s="10"/>
      <c r="JQS50" s="10"/>
      <c r="JQT50" s="10"/>
      <c r="JQU50" s="10"/>
      <c r="JQV50" s="10"/>
      <c r="JQW50" s="10"/>
      <c r="JQX50" s="10"/>
      <c r="JQY50" s="10"/>
      <c r="JQZ50" s="10"/>
      <c r="JRA50" s="10"/>
      <c r="JRB50" s="10"/>
      <c r="JRC50" s="10"/>
      <c r="JRD50" s="10"/>
      <c r="JRE50" s="10"/>
      <c r="JRF50" s="10"/>
      <c r="JRG50" s="10"/>
      <c r="JRH50" s="10"/>
      <c r="JRI50" s="10"/>
      <c r="JRJ50" s="10"/>
      <c r="JRK50" s="10"/>
      <c r="JRL50" s="10"/>
      <c r="JRM50" s="10"/>
      <c r="JRN50" s="10"/>
      <c r="JRO50" s="10"/>
      <c r="JRP50" s="10"/>
      <c r="JRQ50" s="10"/>
      <c r="JRR50" s="10"/>
      <c r="JRS50" s="10"/>
      <c r="JRT50" s="10"/>
      <c r="JRU50" s="10"/>
      <c r="JRV50" s="10"/>
      <c r="JRW50" s="10"/>
      <c r="JRX50" s="10"/>
      <c r="JRY50" s="10"/>
      <c r="JRZ50" s="10"/>
      <c r="JSA50" s="10"/>
      <c r="JSB50" s="10"/>
      <c r="JSC50" s="10"/>
      <c r="JSD50" s="10"/>
      <c r="JSE50" s="10"/>
      <c r="JSF50" s="10"/>
      <c r="JSG50" s="10"/>
      <c r="JSH50" s="10"/>
      <c r="JSI50" s="10"/>
      <c r="JSJ50" s="10"/>
      <c r="JSK50" s="10"/>
      <c r="JSL50" s="10"/>
      <c r="JSM50" s="10"/>
      <c r="JSN50" s="10"/>
      <c r="JSO50" s="10"/>
      <c r="JSP50" s="10"/>
      <c r="JSQ50" s="10"/>
      <c r="JSR50" s="10"/>
      <c r="JSS50" s="10"/>
      <c r="JST50" s="10"/>
      <c r="JSU50" s="10"/>
      <c r="JSV50" s="10"/>
      <c r="JSW50" s="10"/>
      <c r="JSX50" s="10"/>
      <c r="JSY50" s="10"/>
      <c r="JSZ50" s="10"/>
      <c r="JTA50" s="10"/>
      <c r="JTB50" s="10"/>
      <c r="JTC50" s="10"/>
      <c r="JTD50" s="10"/>
      <c r="JTE50" s="10"/>
      <c r="JTF50" s="10"/>
      <c r="JTG50" s="10"/>
      <c r="JTH50" s="10"/>
      <c r="JTI50" s="10"/>
      <c r="JTJ50" s="10"/>
      <c r="JTK50" s="10"/>
      <c r="JTL50" s="10"/>
      <c r="JTM50" s="10"/>
      <c r="JTN50" s="10"/>
      <c r="JTO50" s="10"/>
      <c r="JTP50" s="10"/>
      <c r="JTQ50" s="10"/>
      <c r="JTR50" s="10"/>
      <c r="JTS50" s="10"/>
      <c r="JTT50" s="10"/>
      <c r="JTU50" s="10"/>
      <c r="JTV50" s="10"/>
      <c r="JTW50" s="10"/>
      <c r="JTX50" s="10"/>
      <c r="JTY50" s="10"/>
      <c r="JTZ50" s="10"/>
      <c r="JUA50" s="10"/>
      <c r="JUB50" s="10"/>
      <c r="JUC50" s="10"/>
      <c r="JUD50" s="10"/>
      <c r="JUE50" s="10"/>
      <c r="JUF50" s="10"/>
      <c r="JUG50" s="10"/>
      <c r="JUH50" s="10"/>
      <c r="JUI50" s="10"/>
      <c r="JUJ50" s="10"/>
      <c r="JUK50" s="10"/>
      <c r="JUL50" s="10"/>
      <c r="JUM50" s="10"/>
      <c r="JUN50" s="10"/>
      <c r="JUO50" s="10"/>
      <c r="JUP50" s="10"/>
      <c r="JUQ50" s="10"/>
      <c r="JUR50" s="10"/>
      <c r="JUS50" s="10"/>
      <c r="JUT50" s="10"/>
      <c r="JUU50" s="10"/>
      <c r="JUV50" s="10"/>
      <c r="JUW50" s="10"/>
      <c r="JUX50" s="10"/>
      <c r="JUY50" s="10"/>
      <c r="JUZ50" s="10"/>
      <c r="JVA50" s="10"/>
      <c r="JVB50" s="10"/>
      <c r="JVC50" s="10"/>
      <c r="JVD50" s="10"/>
      <c r="JVE50" s="10"/>
      <c r="JVF50" s="10"/>
      <c r="JVG50" s="10"/>
      <c r="JVH50" s="10"/>
      <c r="JVI50" s="10"/>
      <c r="JVJ50" s="10"/>
      <c r="JVK50" s="10"/>
      <c r="JVL50" s="10"/>
      <c r="JVM50" s="10"/>
      <c r="JVN50" s="10"/>
      <c r="JVO50" s="10"/>
      <c r="JVP50" s="10"/>
      <c r="JVQ50" s="10"/>
      <c r="JVR50" s="10"/>
      <c r="JVS50" s="10"/>
      <c r="JVT50" s="10"/>
      <c r="JVU50" s="10"/>
      <c r="JVV50" s="10"/>
      <c r="JVW50" s="10"/>
      <c r="JVX50" s="10"/>
      <c r="JVY50" s="10"/>
      <c r="JVZ50" s="10"/>
      <c r="JWA50" s="10"/>
      <c r="JWB50" s="10"/>
      <c r="JWC50" s="10"/>
      <c r="JWD50" s="10"/>
      <c r="JWE50" s="10"/>
      <c r="JWF50" s="10"/>
      <c r="JWG50" s="10"/>
      <c r="JWH50" s="10"/>
      <c r="JWI50" s="10"/>
      <c r="JWJ50" s="10"/>
      <c r="JWK50" s="10"/>
      <c r="JWL50" s="10"/>
      <c r="JWM50" s="10"/>
      <c r="JWN50" s="10"/>
      <c r="JWO50" s="10"/>
      <c r="JWP50" s="10"/>
      <c r="JWQ50" s="10"/>
      <c r="JWR50" s="10"/>
      <c r="JWS50" s="10"/>
      <c r="JWT50" s="10"/>
      <c r="JWU50" s="10"/>
      <c r="JWV50" s="10"/>
      <c r="JWW50" s="10"/>
      <c r="JWX50" s="10"/>
      <c r="JWY50" s="10"/>
      <c r="JWZ50" s="10"/>
      <c r="JXA50" s="10"/>
      <c r="JXB50" s="10"/>
      <c r="JXC50" s="10"/>
      <c r="JXD50" s="10"/>
      <c r="JXE50" s="10"/>
      <c r="JXF50" s="10"/>
      <c r="JXG50" s="10"/>
      <c r="JXH50" s="10"/>
      <c r="JXI50" s="10"/>
      <c r="JXJ50" s="10"/>
      <c r="JXK50" s="10"/>
      <c r="JXL50" s="10"/>
      <c r="JXM50" s="10"/>
      <c r="JXN50" s="10"/>
      <c r="JXO50" s="10"/>
      <c r="JXP50" s="10"/>
      <c r="JXQ50" s="10"/>
      <c r="JXR50" s="10"/>
      <c r="JXS50" s="10"/>
      <c r="JXT50" s="10"/>
      <c r="JXU50" s="10"/>
      <c r="JXV50" s="10"/>
      <c r="JXW50" s="10"/>
      <c r="JXX50" s="10"/>
      <c r="JXY50" s="10"/>
      <c r="JXZ50" s="10"/>
      <c r="JYA50" s="10"/>
      <c r="JYB50" s="10"/>
      <c r="JYC50" s="10"/>
      <c r="JYD50" s="10"/>
      <c r="JYE50" s="10"/>
      <c r="JYF50" s="10"/>
      <c r="JYG50" s="10"/>
      <c r="JYH50" s="10"/>
      <c r="JYI50" s="10"/>
      <c r="JYJ50" s="10"/>
      <c r="JYK50" s="10"/>
      <c r="JYL50" s="10"/>
      <c r="JYM50" s="10"/>
      <c r="JYN50" s="10"/>
      <c r="JYO50" s="10"/>
      <c r="JYP50" s="10"/>
      <c r="JYQ50" s="10"/>
      <c r="JYR50" s="10"/>
      <c r="JYS50" s="10"/>
      <c r="JYT50" s="10"/>
      <c r="JYU50" s="10"/>
      <c r="JYV50" s="10"/>
      <c r="JYW50" s="10"/>
      <c r="JYX50" s="10"/>
      <c r="JYY50" s="10"/>
      <c r="JYZ50" s="10"/>
      <c r="JZA50" s="10"/>
      <c r="JZB50" s="10"/>
      <c r="JZC50" s="10"/>
      <c r="JZD50" s="10"/>
      <c r="JZE50" s="10"/>
      <c r="JZF50" s="10"/>
      <c r="JZG50" s="10"/>
      <c r="JZH50" s="10"/>
      <c r="JZI50" s="10"/>
      <c r="JZJ50" s="10"/>
      <c r="JZK50" s="10"/>
      <c r="JZL50" s="10"/>
      <c r="JZM50" s="10"/>
      <c r="JZN50" s="10"/>
      <c r="JZO50" s="10"/>
      <c r="JZP50" s="10"/>
      <c r="JZQ50" s="10"/>
      <c r="JZR50" s="10"/>
      <c r="JZS50" s="10"/>
      <c r="JZT50" s="10"/>
      <c r="JZU50" s="10"/>
      <c r="JZV50" s="10"/>
      <c r="JZW50" s="10"/>
      <c r="JZX50" s="10"/>
      <c r="JZY50" s="10"/>
      <c r="JZZ50" s="10"/>
      <c r="KAA50" s="10"/>
      <c r="KAB50" s="10"/>
      <c r="KAC50" s="10"/>
      <c r="KAD50" s="10"/>
      <c r="KAE50" s="10"/>
      <c r="KAF50" s="10"/>
      <c r="KAG50" s="10"/>
      <c r="KAH50" s="10"/>
      <c r="KAI50" s="10"/>
      <c r="KAJ50" s="10"/>
      <c r="KAK50" s="10"/>
      <c r="KAL50" s="10"/>
      <c r="KAM50" s="10"/>
      <c r="KAN50" s="10"/>
      <c r="KAO50" s="10"/>
      <c r="KAP50" s="10"/>
      <c r="KAQ50" s="10"/>
      <c r="KAR50" s="10"/>
      <c r="KAS50" s="10"/>
      <c r="KAT50" s="10"/>
      <c r="KAU50" s="10"/>
      <c r="KAV50" s="10"/>
      <c r="KAW50" s="10"/>
      <c r="KAX50" s="10"/>
      <c r="KAY50" s="10"/>
      <c r="KAZ50" s="10"/>
      <c r="KBA50" s="10"/>
      <c r="KBB50" s="10"/>
      <c r="KBC50" s="10"/>
      <c r="KBD50" s="10"/>
      <c r="KBE50" s="10"/>
      <c r="KBF50" s="10"/>
      <c r="KBG50" s="10"/>
      <c r="KBH50" s="10"/>
      <c r="KBI50" s="10"/>
      <c r="KBJ50" s="10"/>
      <c r="KBK50" s="10"/>
      <c r="KBL50" s="10"/>
      <c r="KBM50" s="10"/>
      <c r="KBN50" s="10"/>
      <c r="KBO50" s="10"/>
      <c r="KBP50" s="10"/>
      <c r="KBQ50" s="10"/>
      <c r="KBR50" s="10"/>
      <c r="KBS50" s="10"/>
      <c r="KBT50" s="10"/>
      <c r="KBU50" s="10"/>
      <c r="KBV50" s="10"/>
      <c r="KBW50" s="10"/>
      <c r="KBX50" s="10"/>
      <c r="KBY50" s="10"/>
      <c r="KBZ50" s="10"/>
      <c r="KCA50" s="10"/>
      <c r="KCB50" s="10"/>
      <c r="KCC50" s="10"/>
      <c r="KCD50" s="10"/>
      <c r="KCE50" s="10"/>
      <c r="KCF50" s="10"/>
      <c r="KCG50" s="10"/>
      <c r="KCH50" s="10"/>
      <c r="KCI50" s="10"/>
      <c r="KCJ50" s="10"/>
      <c r="KCK50" s="10"/>
      <c r="KCL50" s="10"/>
      <c r="KCM50" s="10"/>
      <c r="KCN50" s="10"/>
      <c r="KCO50" s="10"/>
      <c r="KCP50" s="10"/>
      <c r="KCQ50" s="10"/>
      <c r="KCR50" s="10"/>
      <c r="KCS50" s="10"/>
      <c r="KCT50" s="10"/>
      <c r="KCU50" s="10"/>
      <c r="KCV50" s="10"/>
      <c r="KCW50" s="10"/>
      <c r="KCX50" s="10"/>
      <c r="KCY50" s="10"/>
      <c r="KCZ50" s="10"/>
      <c r="KDA50" s="10"/>
      <c r="KDB50" s="10"/>
      <c r="KDC50" s="10"/>
      <c r="KDD50" s="10"/>
      <c r="KDE50" s="10"/>
      <c r="KDF50" s="10"/>
      <c r="KDG50" s="10"/>
      <c r="KDH50" s="10"/>
      <c r="KDI50" s="10"/>
      <c r="KDJ50" s="10"/>
      <c r="KDK50" s="10"/>
      <c r="KDL50" s="10"/>
      <c r="KDM50" s="10"/>
      <c r="KDN50" s="10"/>
      <c r="KDO50" s="10"/>
      <c r="KDP50" s="10"/>
      <c r="KDQ50" s="10"/>
      <c r="KDR50" s="10"/>
      <c r="KDS50" s="10"/>
      <c r="KDT50" s="10"/>
      <c r="KDU50" s="10"/>
      <c r="KDV50" s="10"/>
      <c r="KDW50" s="10"/>
      <c r="KDX50" s="10"/>
      <c r="KDY50" s="10"/>
      <c r="KDZ50" s="10"/>
      <c r="KEA50" s="10"/>
      <c r="KEB50" s="10"/>
      <c r="KEC50" s="10"/>
      <c r="KED50" s="10"/>
      <c r="KEE50" s="10"/>
      <c r="KEF50" s="10"/>
      <c r="KEG50" s="10"/>
      <c r="KEH50" s="10"/>
      <c r="KEI50" s="10"/>
      <c r="KEJ50" s="10"/>
      <c r="KEK50" s="10"/>
      <c r="KEL50" s="10"/>
      <c r="KEM50" s="10"/>
      <c r="KEN50" s="10"/>
      <c r="KEO50" s="10"/>
      <c r="KEP50" s="10"/>
      <c r="KEQ50" s="10"/>
      <c r="KER50" s="10"/>
      <c r="KES50" s="10"/>
      <c r="KET50" s="10"/>
      <c r="KEU50" s="10"/>
      <c r="KEV50" s="10"/>
      <c r="KEW50" s="10"/>
      <c r="KEX50" s="10"/>
      <c r="KEY50" s="10"/>
      <c r="KEZ50" s="10"/>
      <c r="KFA50" s="10"/>
      <c r="KFB50" s="10"/>
      <c r="KFC50" s="10"/>
      <c r="KFD50" s="10"/>
      <c r="KFE50" s="10"/>
      <c r="KFF50" s="10"/>
      <c r="KFG50" s="10"/>
      <c r="KFH50" s="10"/>
      <c r="KFI50" s="10"/>
      <c r="KFJ50" s="10"/>
      <c r="KFK50" s="10"/>
      <c r="KFL50" s="10"/>
      <c r="KFM50" s="10"/>
      <c r="KFN50" s="10"/>
      <c r="KFO50" s="10"/>
      <c r="KFP50" s="10"/>
      <c r="KFQ50" s="10"/>
      <c r="KFR50" s="10"/>
      <c r="KFS50" s="10"/>
      <c r="KFT50" s="10"/>
      <c r="KFU50" s="10"/>
      <c r="KFV50" s="10"/>
      <c r="KFW50" s="10"/>
      <c r="KFX50" s="10"/>
      <c r="KFY50" s="10"/>
      <c r="KFZ50" s="10"/>
      <c r="KGA50" s="10"/>
      <c r="KGB50" s="10"/>
      <c r="KGC50" s="10"/>
      <c r="KGD50" s="10"/>
      <c r="KGE50" s="10"/>
      <c r="KGF50" s="10"/>
      <c r="KGG50" s="10"/>
      <c r="KGH50" s="10"/>
      <c r="KGI50" s="10"/>
      <c r="KGJ50" s="10"/>
      <c r="KGK50" s="10"/>
      <c r="KGL50" s="10"/>
      <c r="KGM50" s="10"/>
      <c r="KGN50" s="10"/>
      <c r="KGO50" s="10"/>
      <c r="KGP50" s="10"/>
      <c r="KGQ50" s="10"/>
      <c r="KGR50" s="10"/>
      <c r="KGS50" s="10"/>
      <c r="KGT50" s="10"/>
      <c r="KGU50" s="10"/>
      <c r="KGV50" s="10"/>
      <c r="KGW50" s="10"/>
      <c r="KGX50" s="10"/>
      <c r="KGY50" s="10"/>
      <c r="KGZ50" s="10"/>
      <c r="KHA50" s="10"/>
      <c r="KHB50" s="10"/>
      <c r="KHC50" s="10"/>
      <c r="KHD50" s="10"/>
      <c r="KHE50" s="10"/>
      <c r="KHF50" s="10"/>
      <c r="KHG50" s="10"/>
      <c r="KHH50" s="10"/>
      <c r="KHI50" s="10"/>
      <c r="KHJ50" s="10"/>
      <c r="KHK50" s="10"/>
      <c r="KHL50" s="10"/>
      <c r="KHM50" s="10"/>
      <c r="KHN50" s="10"/>
      <c r="KHO50" s="10"/>
      <c r="KHP50" s="10"/>
      <c r="KHQ50" s="10"/>
      <c r="KHR50" s="10"/>
      <c r="KHS50" s="10"/>
      <c r="KHT50" s="10"/>
      <c r="KHU50" s="10"/>
      <c r="KHV50" s="10"/>
      <c r="KHW50" s="10"/>
      <c r="KHX50" s="10"/>
      <c r="KHY50" s="10"/>
      <c r="KHZ50" s="10"/>
      <c r="KIA50" s="10"/>
      <c r="KIB50" s="10"/>
      <c r="KIC50" s="10"/>
      <c r="KID50" s="10"/>
      <c r="KIE50" s="10"/>
      <c r="KIF50" s="10"/>
      <c r="KIG50" s="10"/>
      <c r="KIH50" s="10"/>
      <c r="KII50" s="10"/>
      <c r="KIJ50" s="10"/>
      <c r="KIK50" s="10"/>
      <c r="KIL50" s="10"/>
      <c r="KIM50" s="10"/>
      <c r="KIN50" s="10"/>
      <c r="KIO50" s="10"/>
      <c r="KIP50" s="10"/>
      <c r="KIQ50" s="10"/>
      <c r="KIR50" s="10"/>
      <c r="KIS50" s="10"/>
      <c r="KIT50" s="10"/>
      <c r="KIU50" s="10"/>
      <c r="KIV50" s="10"/>
      <c r="KIW50" s="10"/>
      <c r="KIX50" s="10"/>
      <c r="KIY50" s="10"/>
      <c r="KIZ50" s="10"/>
      <c r="KJA50" s="10"/>
      <c r="KJB50" s="10"/>
      <c r="KJC50" s="10"/>
      <c r="KJD50" s="10"/>
      <c r="KJE50" s="10"/>
      <c r="KJF50" s="10"/>
      <c r="KJG50" s="10"/>
      <c r="KJH50" s="10"/>
      <c r="KJI50" s="10"/>
      <c r="KJJ50" s="10"/>
      <c r="KJK50" s="10"/>
      <c r="KJL50" s="10"/>
      <c r="KJM50" s="10"/>
      <c r="KJN50" s="10"/>
      <c r="KJO50" s="10"/>
      <c r="KJP50" s="10"/>
      <c r="KJQ50" s="10"/>
      <c r="KJR50" s="10"/>
      <c r="KJS50" s="10"/>
      <c r="KJT50" s="10"/>
      <c r="KJU50" s="10"/>
      <c r="KJV50" s="10"/>
      <c r="KJW50" s="10"/>
      <c r="KJX50" s="10"/>
      <c r="KJY50" s="10"/>
      <c r="KJZ50" s="10"/>
      <c r="KKA50" s="10"/>
      <c r="KKB50" s="10"/>
      <c r="KKC50" s="10"/>
      <c r="KKD50" s="10"/>
      <c r="KKE50" s="10"/>
      <c r="KKF50" s="10"/>
      <c r="KKG50" s="10"/>
      <c r="KKH50" s="10"/>
      <c r="KKI50" s="10"/>
      <c r="KKJ50" s="10"/>
      <c r="KKK50" s="10"/>
      <c r="KKL50" s="10"/>
      <c r="KKM50" s="10"/>
      <c r="KKN50" s="10"/>
      <c r="KKO50" s="10"/>
      <c r="KKP50" s="10"/>
      <c r="KKQ50" s="10"/>
      <c r="KKR50" s="10"/>
      <c r="KKS50" s="10"/>
      <c r="KKT50" s="10"/>
      <c r="KKU50" s="10"/>
      <c r="KKV50" s="10"/>
      <c r="KKW50" s="10"/>
      <c r="KKX50" s="10"/>
      <c r="KKY50" s="10"/>
      <c r="KKZ50" s="10"/>
      <c r="KLA50" s="10"/>
      <c r="KLB50" s="10"/>
      <c r="KLC50" s="10"/>
      <c r="KLD50" s="10"/>
      <c r="KLE50" s="10"/>
      <c r="KLF50" s="10"/>
      <c r="KLG50" s="10"/>
      <c r="KLH50" s="10"/>
      <c r="KLI50" s="10"/>
      <c r="KLJ50" s="10"/>
      <c r="KLK50" s="10"/>
      <c r="KLL50" s="10"/>
      <c r="KLM50" s="10"/>
      <c r="KLN50" s="10"/>
      <c r="KLO50" s="10"/>
      <c r="KLP50" s="10"/>
      <c r="KLQ50" s="10"/>
      <c r="KLR50" s="10"/>
      <c r="KLS50" s="10"/>
      <c r="KLT50" s="10"/>
      <c r="KLU50" s="10"/>
      <c r="KLV50" s="10"/>
      <c r="KLW50" s="10"/>
      <c r="KLX50" s="10"/>
      <c r="KLY50" s="10"/>
      <c r="KLZ50" s="10"/>
      <c r="KMA50" s="10"/>
      <c r="KMB50" s="10"/>
      <c r="KMC50" s="10"/>
      <c r="KMD50" s="10"/>
      <c r="KME50" s="10"/>
      <c r="KMF50" s="10"/>
      <c r="KMG50" s="10"/>
      <c r="KMH50" s="10"/>
      <c r="KMI50" s="10"/>
      <c r="KMJ50" s="10"/>
      <c r="KMK50" s="10"/>
      <c r="KML50" s="10"/>
      <c r="KMM50" s="10"/>
      <c r="KMN50" s="10"/>
      <c r="KMO50" s="10"/>
      <c r="KMP50" s="10"/>
      <c r="KMQ50" s="10"/>
      <c r="KMR50" s="10"/>
      <c r="KMS50" s="10"/>
      <c r="KMT50" s="10"/>
      <c r="KMU50" s="10"/>
      <c r="KMV50" s="10"/>
      <c r="KMW50" s="10"/>
      <c r="KMX50" s="10"/>
      <c r="KMY50" s="10"/>
      <c r="KMZ50" s="10"/>
      <c r="KNA50" s="10"/>
      <c r="KNB50" s="10"/>
      <c r="KNC50" s="10"/>
      <c r="KND50" s="10"/>
      <c r="KNE50" s="10"/>
      <c r="KNF50" s="10"/>
      <c r="KNG50" s="10"/>
      <c r="KNH50" s="10"/>
      <c r="KNI50" s="10"/>
      <c r="KNJ50" s="10"/>
      <c r="KNK50" s="10"/>
      <c r="KNL50" s="10"/>
      <c r="KNM50" s="10"/>
      <c r="KNN50" s="10"/>
      <c r="KNO50" s="10"/>
      <c r="KNP50" s="10"/>
      <c r="KNQ50" s="10"/>
      <c r="KNR50" s="10"/>
      <c r="KNS50" s="10"/>
      <c r="KNT50" s="10"/>
      <c r="KNU50" s="10"/>
      <c r="KNV50" s="10"/>
      <c r="KNW50" s="10"/>
      <c r="KNX50" s="10"/>
      <c r="KNY50" s="10"/>
      <c r="KNZ50" s="10"/>
      <c r="KOA50" s="10"/>
      <c r="KOB50" s="10"/>
      <c r="KOC50" s="10"/>
      <c r="KOD50" s="10"/>
      <c r="KOE50" s="10"/>
      <c r="KOF50" s="10"/>
      <c r="KOG50" s="10"/>
      <c r="KOH50" s="10"/>
      <c r="KOI50" s="10"/>
      <c r="KOJ50" s="10"/>
      <c r="KOK50" s="10"/>
      <c r="KOL50" s="10"/>
      <c r="KOM50" s="10"/>
      <c r="KON50" s="10"/>
      <c r="KOO50" s="10"/>
      <c r="KOP50" s="10"/>
      <c r="KOQ50" s="10"/>
      <c r="KOR50" s="10"/>
      <c r="KOS50" s="10"/>
      <c r="KOT50" s="10"/>
      <c r="KOU50" s="10"/>
      <c r="KOV50" s="10"/>
      <c r="KOW50" s="10"/>
      <c r="KOX50" s="10"/>
      <c r="KOY50" s="10"/>
      <c r="KOZ50" s="10"/>
      <c r="KPA50" s="10"/>
      <c r="KPB50" s="10"/>
      <c r="KPC50" s="10"/>
      <c r="KPD50" s="10"/>
      <c r="KPE50" s="10"/>
      <c r="KPF50" s="10"/>
      <c r="KPG50" s="10"/>
      <c r="KPH50" s="10"/>
      <c r="KPI50" s="10"/>
      <c r="KPJ50" s="10"/>
      <c r="KPK50" s="10"/>
      <c r="KPL50" s="10"/>
      <c r="KPM50" s="10"/>
      <c r="KPN50" s="10"/>
      <c r="KPO50" s="10"/>
      <c r="KPP50" s="10"/>
      <c r="KPQ50" s="10"/>
      <c r="KPR50" s="10"/>
      <c r="KPS50" s="10"/>
      <c r="KPT50" s="10"/>
      <c r="KPU50" s="10"/>
      <c r="KPV50" s="10"/>
      <c r="KPW50" s="10"/>
      <c r="KPX50" s="10"/>
      <c r="KPY50" s="10"/>
      <c r="KPZ50" s="10"/>
      <c r="KQA50" s="10"/>
      <c r="KQB50" s="10"/>
      <c r="KQC50" s="10"/>
      <c r="KQD50" s="10"/>
      <c r="KQE50" s="10"/>
      <c r="KQF50" s="10"/>
      <c r="KQG50" s="10"/>
      <c r="KQH50" s="10"/>
      <c r="KQI50" s="10"/>
      <c r="KQJ50" s="10"/>
      <c r="KQK50" s="10"/>
      <c r="KQL50" s="10"/>
      <c r="KQM50" s="10"/>
      <c r="KQN50" s="10"/>
      <c r="KQO50" s="10"/>
      <c r="KQP50" s="10"/>
      <c r="KQQ50" s="10"/>
      <c r="KQR50" s="10"/>
      <c r="KQS50" s="10"/>
      <c r="KQT50" s="10"/>
      <c r="KQU50" s="10"/>
      <c r="KQV50" s="10"/>
      <c r="KQW50" s="10"/>
      <c r="KQX50" s="10"/>
      <c r="KQY50" s="10"/>
      <c r="KQZ50" s="10"/>
      <c r="KRA50" s="10"/>
      <c r="KRB50" s="10"/>
      <c r="KRC50" s="10"/>
      <c r="KRD50" s="10"/>
      <c r="KRE50" s="10"/>
      <c r="KRF50" s="10"/>
      <c r="KRG50" s="10"/>
      <c r="KRH50" s="10"/>
      <c r="KRI50" s="10"/>
      <c r="KRJ50" s="10"/>
      <c r="KRK50" s="10"/>
      <c r="KRL50" s="10"/>
      <c r="KRM50" s="10"/>
      <c r="KRN50" s="10"/>
      <c r="KRO50" s="10"/>
      <c r="KRP50" s="10"/>
      <c r="KRQ50" s="10"/>
      <c r="KRR50" s="10"/>
      <c r="KRS50" s="10"/>
      <c r="KRT50" s="10"/>
      <c r="KRU50" s="10"/>
      <c r="KRV50" s="10"/>
      <c r="KRW50" s="10"/>
      <c r="KRX50" s="10"/>
      <c r="KRY50" s="10"/>
      <c r="KRZ50" s="10"/>
      <c r="KSA50" s="10"/>
      <c r="KSB50" s="10"/>
      <c r="KSC50" s="10"/>
      <c r="KSD50" s="10"/>
      <c r="KSE50" s="10"/>
      <c r="KSF50" s="10"/>
      <c r="KSG50" s="10"/>
      <c r="KSH50" s="10"/>
      <c r="KSI50" s="10"/>
      <c r="KSJ50" s="10"/>
      <c r="KSK50" s="10"/>
      <c r="KSL50" s="10"/>
      <c r="KSM50" s="10"/>
      <c r="KSN50" s="10"/>
      <c r="KSO50" s="10"/>
      <c r="KSP50" s="10"/>
      <c r="KSQ50" s="10"/>
      <c r="KSR50" s="10"/>
      <c r="KSS50" s="10"/>
      <c r="KST50" s="10"/>
      <c r="KSU50" s="10"/>
      <c r="KSV50" s="10"/>
      <c r="KSW50" s="10"/>
      <c r="KSX50" s="10"/>
      <c r="KSY50" s="10"/>
      <c r="KSZ50" s="10"/>
      <c r="KTA50" s="10"/>
      <c r="KTB50" s="10"/>
      <c r="KTC50" s="10"/>
      <c r="KTD50" s="10"/>
      <c r="KTE50" s="10"/>
      <c r="KTF50" s="10"/>
      <c r="KTG50" s="10"/>
      <c r="KTH50" s="10"/>
      <c r="KTI50" s="10"/>
      <c r="KTJ50" s="10"/>
      <c r="KTK50" s="10"/>
      <c r="KTL50" s="10"/>
      <c r="KTM50" s="10"/>
      <c r="KTN50" s="10"/>
      <c r="KTO50" s="10"/>
      <c r="KTP50" s="10"/>
      <c r="KTQ50" s="10"/>
      <c r="KTR50" s="10"/>
      <c r="KTS50" s="10"/>
      <c r="KTT50" s="10"/>
      <c r="KTU50" s="10"/>
      <c r="KTV50" s="10"/>
      <c r="KTW50" s="10"/>
      <c r="KTX50" s="10"/>
      <c r="KTY50" s="10"/>
      <c r="KTZ50" s="10"/>
      <c r="KUA50" s="10"/>
      <c r="KUB50" s="10"/>
      <c r="KUC50" s="10"/>
      <c r="KUD50" s="10"/>
      <c r="KUE50" s="10"/>
      <c r="KUF50" s="10"/>
      <c r="KUG50" s="10"/>
      <c r="KUH50" s="10"/>
      <c r="KUI50" s="10"/>
      <c r="KUJ50" s="10"/>
      <c r="KUK50" s="10"/>
      <c r="KUL50" s="10"/>
      <c r="KUM50" s="10"/>
      <c r="KUN50" s="10"/>
      <c r="KUO50" s="10"/>
      <c r="KUP50" s="10"/>
      <c r="KUQ50" s="10"/>
      <c r="KUR50" s="10"/>
      <c r="KUS50" s="10"/>
      <c r="KUT50" s="10"/>
      <c r="KUU50" s="10"/>
      <c r="KUV50" s="10"/>
      <c r="KUW50" s="10"/>
      <c r="KUX50" s="10"/>
      <c r="KUY50" s="10"/>
      <c r="KUZ50" s="10"/>
      <c r="KVA50" s="10"/>
      <c r="KVB50" s="10"/>
      <c r="KVC50" s="10"/>
      <c r="KVD50" s="10"/>
      <c r="KVE50" s="10"/>
      <c r="KVF50" s="10"/>
      <c r="KVG50" s="10"/>
      <c r="KVH50" s="10"/>
      <c r="KVI50" s="10"/>
      <c r="KVJ50" s="10"/>
      <c r="KVK50" s="10"/>
      <c r="KVL50" s="10"/>
      <c r="KVM50" s="10"/>
      <c r="KVN50" s="10"/>
      <c r="KVO50" s="10"/>
      <c r="KVP50" s="10"/>
      <c r="KVQ50" s="10"/>
      <c r="KVR50" s="10"/>
      <c r="KVS50" s="10"/>
      <c r="KVT50" s="10"/>
      <c r="KVU50" s="10"/>
      <c r="KVV50" s="10"/>
      <c r="KVW50" s="10"/>
      <c r="KVX50" s="10"/>
      <c r="KVY50" s="10"/>
      <c r="KVZ50" s="10"/>
      <c r="KWA50" s="10"/>
      <c r="KWB50" s="10"/>
      <c r="KWC50" s="10"/>
      <c r="KWD50" s="10"/>
      <c r="KWE50" s="10"/>
      <c r="KWF50" s="10"/>
      <c r="KWG50" s="10"/>
      <c r="KWH50" s="10"/>
      <c r="KWI50" s="10"/>
      <c r="KWJ50" s="10"/>
      <c r="KWK50" s="10"/>
      <c r="KWL50" s="10"/>
      <c r="KWM50" s="10"/>
      <c r="KWN50" s="10"/>
      <c r="KWO50" s="10"/>
      <c r="KWP50" s="10"/>
      <c r="KWQ50" s="10"/>
      <c r="KWR50" s="10"/>
      <c r="KWS50" s="10"/>
      <c r="KWT50" s="10"/>
      <c r="KWU50" s="10"/>
      <c r="KWV50" s="10"/>
      <c r="KWW50" s="10"/>
      <c r="KWX50" s="10"/>
      <c r="KWY50" s="10"/>
      <c r="KWZ50" s="10"/>
      <c r="KXA50" s="10"/>
      <c r="KXB50" s="10"/>
      <c r="KXC50" s="10"/>
      <c r="KXD50" s="10"/>
      <c r="KXE50" s="10"/>
      <c r="KXF50" s="10"/>
      <c r="KXG50" s="10"/>
      <c r="KXH50" s="10"/>
      <c r="KXI50" s="10"/>
      <c r="KXJ50" s="10"/>
      <c r="KXK50" s="10"/>
      <c r="KXL50" s="10"/>
      <c r="KXM50" s="10"/>
      <c r="KXN50" s="10"/>
      <c r="KXO50" s="10"/>
      <c r="KXP50" s="10"/>
      <c r="KXQ50" s="10"/>
      <c r="KXR50" s="10"/>
      <c r="KXS50" s="10"/>
      <c r="KXT50" s="10"/>
      <c r="KXU50" s="10"/>
      <c r="KXV50" s="10"/>
      <c r="KXW50" s="10"/>
      <c r="KXX50" s="10"/>
      <c r="KXY50" s="10"/>
      <c r="KXZ50" s="10"/>
      <c r="KYA50" s="10"/>
      <c r="KYB50" s="10"/>
      <c r="KYC50" s="10"/>
      <c r="KYD50" s="10"/>
      <c r="KYE50" s="10"/>
      <c r="KYF50" s="10"/>
      <c r="KYG50" s="10"/>
      <c r="KYH50" s="10"/>
      <c r="KYI50" s="10"/>
      <c r="KYJ50" s="10"/>
      <c r="KYK50" s="10"/>
      <c r="KYL50" s="10"/>
      <c r="KYM50" s="10"/>
      <c r="KYN50" s="10"/>
      <c r="KYO50" s="10"/>
      <c r="KYP50" s="10"/>
      <c r="KYQ50" s="10"/>
      <c r="KYR50" s="10"/>
      <c r="KYS50" s="10"/>
      <c r="KYT50" s="10"/>
      <c r="KYU50" s="10"/>
      <c r="KYV50" s="10"/>
      <c r="KYW50" s="10"/>
      <c r="KYX50" s="10"/>
      <c r="KYY50" s="10"/>
      <c r="KYZ50" s="10"/>
      <c r="KZA50" s="10"/>
      <c r="KZB50" s="10"/>
      <c r="KZC50" s="10"/>
      <c r="KZD50" s="10"/>
      <c r="KZE50" s="10"/>
      <c r="KZF50" s="10"/>
      <c r="KZG50" s="10"/>
      <c r="KZH50" s="10"/>
      <c r="KZI50" s="10"/>
      <c r="KZJ50" s="10"/>
      <c r="KZK50" s="10"/>
      <c r="KZL50" s="10"/>
      <c r="KZM50" s="10"/>
      <c r="KZN50" s="10"/>
      <c r="KZO50" s="10"/>
      <c r="KZP50" s="10"/>
      <c r="KZQ50" s="10"/>
      <c r="KZR50" s="10"/>
      <c r="KZS50" s="10"/>
      <c r="KZT50" s="10"/>
      <c r="KZU50" s="10"/>
      <c r="KZV50" s="10"/>
      <c r="KZW50" s="10"/>
      <c r="KZX50" s="10"/>
      <c r="KZY50" s="10"/>
      <c r="KZZ50" s="10"/>
      <c r="LAA50" s="10"/>
      <c r="LAB50" s="10"/>
      <c r="LAC50" s="10"/>
      <c r="LAD50" s="10"/>
      <c r="LAE50" s="10"/>
      <c r="LAF50" s="10"/>
      <c r="LAG50" s="10"/>
      <c r="LAH50" s="10"/>
      <c r="LAI50" s="10"/>
      <c r="LAJ50" s="10"/>
      <c r="LAK50" s="10"/>
      <c r="LAL50" s="10"/>
      <c r="LAM50" s="10"/>
      <c r="LAN50" s="10"/>
      <c r="LAO50" s="10"/>
      <c r="LAP50" s="10"/>
      <c r="LAQ50" s="10"/>
      <c r="LAR50" s="10"/>
      <c r="LAS50" s="10"/>
      <c r="LAT50" s="10"/>
      <c r="LAU50" s="10"/>
      <c r="LAV50" s="10"/>
      <c r="LAW50" s="10"/>
      <c r="LAX50" s="10"/>
      <c r="LAY50" s="10"/>
      <c r="LAZ50" s="10"/>
      <c r="LBA50" s="10"/>
      <c r="LBB50" s="10"/>
      <c r="LBC50" s="10"/>
      <c r="LBD50" s="10"/>
      <c r="LBE50" s="10"/>
      <c r="LBF50" s="10"/>
      <c r="LBG50" s="10"/>
      <c r="LBH50" s="10"/>
      <c r="LBI50" s="10"/>
      <c r="LBJ50" s="10"/>
      <c r="LBK50" s="10"/>
      <c r="LBL50" s="10"/>
      <c r="LBM50" s="10"/>
      <c r="LBN50" s="10"/>
      <c r="LBO50" s="10"/>
      <c r="LBP50" s="10"/>
      <c r="LBQ50" s="10"/>
      <c r="LBR50" s="10"/>
      <c r="LBS50" s="10"/>
      <c r="LBT50" s="10"/>
      <c r="LBU50" s="10"/>
      <c r="LBV50" s="10"/>
      <c r="LBW50" s="10"/>
      <c r="LBX50" s="10"/>
      <c r="LBY50" s="10"/>
      <c r="LBZ50" s="10"/>
      <c r="LCA50" s="10"/>
      <c r="LCB50" s="10"/>
      <c r="LCC50" s="10"/>
      <c r="LCD50" s="10"/>
      <c r="LCE50" s="10"/>
      <c r="LCF50" s="10"/>
      <c r="LCG50" s="10"/>
      <c r="LCH50" s="10"/>
      <c r="LCI50" s="10"/>
      <c r="LCJ50" s="10"/>
      <c r="LCK50" s="10"/>
      <c r="LCL50" s="10"/>
      <c r="LCM50" s="10"/>
      <c r="LCN50" s="10"/>
      <c r="LCO50" s="10"/>
      <c r="LCP50" s="10"/>
      <c r="LCQ50" s="10"/>
      <c r="LCR50" s="10"/>
      <c r="LCS50" s="10"/>
      <c r="LCT50" s="10"/>
      <c r="LCU50" s="10"/>
      <c r="LCV50" s="10"/>
      <c r="LCW50" s="10"/>
      <c r="LCX50" s="10"/>
      <c r="LCY50" s="10"/>
      <c r="LCZ50" s="10"/>
      <c r="LDA50" s="10"/>
      <c r="LDB50" s="10"/>
      <c r="LDC50" s="10"/>
      <c r="LDD50" s="10"/>
      <c r="LDE50" s="10"/>
      <c r="LDF50" s="10"/>
      <c r="LDG50" s="10"/>
      <c r="LDH50" s="10"/>
      <c r="LDI50" s="10"/>
      <c r="LDJ50" s="10"/>
      <c r="LDK50" s="10"/>
      <c r="LDL50" s="10"/>
      <c r="LDM50" s="10"/>
      <c r="LDN50" s="10"/>
      <c r="LDO50" s="10"/>
      <c r="LDP50" s="10"/>
      <c r="LDQ50" s="10"/>
      <c r="LDR50" s="10"/>
      <c r="LDS50" s="10"/>
      <c r="LDT50" s="10"/>
      <c r="LDU50" s="10"/>
      <c r="LDV50" s="10"/>
      <c r="LDW50" s="10"/>
      <c r="LDX50" s="10"/>
      <c r="LDY50" s="10"/>
      <c r="LDZ50" s="10"/>
      <c r="LEA50" s="10"/>
      <c r="LEB50" s="10"/>
      <c r="LEC50" s="10"/>
      <c r="LED50" s="10"/>
      <c r="LEE50" s="10"/>
      <c r="LEF50" s="10"/>
      <c r="LEG50" s="10"/>
      <c r="LEH50" s="10"/>
      <c r="LEI50" s="10"/>
      <c r="LEJ50" s="10"/>
      <c r="LEK50" s="10"/>
      <c r="LEL50" s="10"/>
      <c r="LEM50" s="10"/>
      <c r="LEN50" s="10"/>
      <c r="LEO50" s="10"/>
      <c r="LEP50" s="10"/>
      <c r="LEQ50" s="10"/>
      <c r="LER50" s="10"/>
      <c r="LES50" s="10"/>
      <c r="LET50" s="10"/>
      <c r="LEU50" s="10"/>
      <c r="LEV50" s="10"/>
      <c r="LEW50" s="10"/>
      <c r="LEX50" s="10"/>
      <c r="LEY50" s="10"/>
      <c r="LEZ50" s="10"/>
      <c r="LFA50" s="10"/>
      <c r="LFB50" s="10"/>
      <c r="LFC50" s="10"/>
      <c r="LFD50" s="10"/>
      <c r="LFE50" s="10"/>
      <c r="LFF50" s="10"/>
      <c r="LFG50" s="10"/>
      <c r="LFH50" s="10"/>
      <c r="LFI50" s="10"/>
      <c r="LFJ50" s="10"/>
      <c r="LFK50" s="10"/>
      <c r="LFL50" s="10"/>
      <c r="LFM50" s="10"/>
      <c r="LFN50" s="10"/>
      <c r="LFO50" s="10"/>
      <c r="LFP50" s="10"/>
      <c r="LFQ50" s="10"/>
      <c r="LFR50" s="10"/>
      <c r="LFS50" s="10"/>
      <c r="LFT50" s="10"/>
      <c r="LFU50" s="10"/>
      <c r="LFV50" s="10"/>
      <c r="LFW50" s="10"/>
      <c r="LFX50" s="10"/>
      <c r="LFY50" s="10"/>
      <c r="LFZ50" s="10"/>
      <c r="LGA50" s="10"/>
      <c r="LGB50" s="10"/>
      <c r="LGC50" s="10"/>
      <c r="LGD50" s="10"/>
      <c r="LGE50" s="10"/>
      <c r="LGF50" s="10"/>
      <c r="LGG50" s="10"/>
      <c r="LGH50" s="10"/>
      <c r="LGI50" s="10"/>
      <c r="LGJ50" s="10"/>
      <c r="LGK50" s="10"/>
      <c r="LGL50" s="10"/>
      <c r="LGM50" s="10"/>
      <c r="LGN50" s="10"/>
      <c r="LGO50" s="10"/>
      <c r="LGP50" s="10"/>
      <c r="LGQ50" s="10"/>
      <c r="LGR50" s="10"/>
      <c r="LGS50" s="10"/>
      <c r="LGT50" s="10"/>
      <c r="LGU50" s="10"/>
      <c r="LGV50" s="10"/>
      <c r="LGW50" s="10"/>
      <c r="LGX50" s="10"/>
      <c r="LGY50" s="10"/>
      <c r="LGZ50" s="10"/>
      <c r="LHA50" s="10"/>
      <c r="LHB50" s="10"/>
      <c r="LHC50" s="10"/>
      <c r="LHD50" s="10"/>
      <c r="LHE50" s="10"/>
      <c r="LHF50" s="10"/>
      <c r="LHG50" s="10"/>
      <c r="LHH50" s="10"/>
      <c r="LHI50" s="10"/>
      <c r="LHJ50" s="10"/>
      <c r="LHK50" s="10"/>
      <c r="LHL50" s="10"/>
      <c r="LHM50" s="10"/>
      <c r="LHN50" s="10"/>
      <c r="LHO50" s="10"/>
      <c r="LHP50" s="10"/>
      <c r="LHQ50" s="10"/>
      <c r="LHR50" s="10"/>
      <c r="LHS50" s="10"/>
      <c r="LHT50" s="10"/>
      <c r="LHU50" s="10"/>
      <c r="LHV50" s="10"/>
      <c r="LHW50" s="10"/>
      <c r="LHX50" s="10"/>
      <c r="LHY50" s="10"/>
      <c r="LHZ50" s="10"/>
      <c r="LIA50" s="10"/>
      <c r="LIB50" s="10"/>
      <c r="LIC50" s="10"/>
      <c r="LID50" s="10"/>
      <c r="LIE50" s="10"/>
      <c r="LIF50" s="10"/>
      <c r="LIG50" s="10"/>
      <c r="LIH50" s="10"/>
      <c r="LII50" s="10"/>
      <c r="LIJ50" s="10"/>
      <c r="LIK50" s="10"/>
      <c r="LIL50" s="10"/>
      <c r="LIM50" s="10"/>
      <c r="LIN50" s="10"/>
      <c r="LIO50" s="10"/>
      <c r="LIP50" s="10"/>
      <c r="LIQ50" s="10"/>
      <c r="LIR50" s="10"/>
      <c r="LIS50" s="10"/>
      <c r="LIT50" s="10"/>
      <c r="LIU50" s="10"/>
      <c r="LIV50" s="10"/>
      <c r="LIW50" s="10"/>
      <c r="LIX50" s="10"/>
      <c r="LIY50" s="10"/>
      <c r="LIZ50" s="10"/>
      <c r="LJA50" s="10"/>
      <c r="LJB50" s="10"/>
      <c r="LJC50" s="10"/>
      <c r="LJD50" s="10"/>
      <c r="LJE50" s="10"/>
      <c r="LJF50" s="10"/>
      <c r="LJG50" s="10"/>
      <c r="LJH50" s="10"/>
      <c r="LJI50" s="10"/>
      <c r="LJJ50" s="10"/>
      <c r="LJK50" s="10"/>
      <c r="LJL50" s="10"/>
      <c r="LJM50" s="10"/>
      <c r="LJN50" s="10"/>
      <c r="LJO50" s="10"/>
      <c r="LJP50" s="10"/>
      <c r="LJQ50" s="10"/>
      <c r="LJR50" s="10"/>
      <c r="LJS50" s="10"/>
      <c r="LJT50" s="10"/>
      <c r="LJU50" s="10"/>
      <c r="LJV50" s="10"/>
      <c r="LJW50" s="10"/>
      <c r="LJX50" s="10"/>
      <c r="LJY50" s="10"/>
      <c r="LJZ50" s="10"/>
      <c r="LKA50" s="10"/>
      <c r="LKB50" s="10"/>
      <c r="LKC50" s="10"/>
      <c r="LKD50" s="10"/>
      <c r="LKE50" s="10"/>
      <c r="LKF50" s="10"/>
      <c r="LKG50" s="10"/>
      <c r="LKH50" s="10"/>
      <c r="LKI50" s="10"/>
      <c r="LKJ50" s="10"/>
      <c r="LKK50" s="10"/>
      <c r="LKL50" s="10"/>
      <c r="LKM50" s="10"/>
      <c r="LKN50" s="10"/>
      <c r="LKO50" s="10"/>
      <c r="LKP50" s="10"/>
      <c r="LKQ50" s="10"/>
      <c r="LKR50" s="10"/>
      <c r="LKS50" s="10"/>
      <c r="LKT50" s="10"/>
      <c r="LKU50" s="10"/>
      <c r="LKV50" s="10"/>
      <c r="LKW50" s="10"/>
      <c r="LKX50" s="10"/>
      <c r="LKY50" s="10"/>
      <c r="LKZ50" s="10"/>
      <c r="LLA50" s="10"/>
      <c r="LLB50" s="10"/>
      <c r="LLC50" s="10"/>
      <c r="LLD50" s="10"/>
      <c r="LLE50" s="10"/>
      <c r="LLF50" s="10"/>
      <c r="LLG50" s="10"/>
      <c r="LLH50" s="10"/>
      <c r="LLI50" s="10"/>
      <c r="LLJ50" s="10"/>
      <c r="LLK50" s="10"/>
      <c r="LLL50" s="10"/>
      <c r="LLM50" s="10"/>
      <c r="LLN50" s="10"/>
      <c r="LLO50" s="10"/>
      <c r="LLP50" s="10"/>
      <c r="LLQ50" s="10"/>
      <c r="LLR50" s="10"/>
      <c r="LLS50" s="10"/>
      <c r="LLT50" s="10"/>
      <c r="LLU50" s="10"/>
      <c r="LLV50" s="10"/>
      <c r="LLW50" s="10"/>
      <c r="LLX50" s="10"/>
      <c r="LLY50" s="10"/>
      <c r="LLZ50" s="10"/>
      <c r="LMA50" s="10"/>
      <c r="LMB50" s="10"/>
      <c r="LMC50" s="10"/>
      <c r="LMD50" s="10"/>
      <c r="LME50" s="10"/>
      <c r="LMF50" s="10"/>
      <c r="LMG50" s="10"/>
      <c r="LMH50" s="10"/>
      <c r="LMI50" s="10"/>
      <c r="LMJ50" s="10"/>
      <c r="LMK50" s="10"/>
      <c r="LML50" s="10"/>
      <c r="LMM50" s="10"/>
      <c r="LMN50" s="10"/>
      <c r="LMO50" s="10"/>
      <c r="LMP50" s="10"/>
      <c r="LMQ50" s="10"/>
      <c r="LMR50" s="10"/>
      <c r="LMS50" s="10"/>
      <c r="LMT50" s="10"/>
      <c r="LMU50" s="10"/>
      <c r="LMV50" s="10"/>
      <c r="LMW50" s="10"/>
      <c r="LMX50" s="10"/>
      <c r="LMY50" s="10"/>
      <c r="LMZ50" s="10"/>
      <c r="LNA50" s="10"/>
      <c r="LNB50" s="10"/>
      <c r="LNC50" s="10"/>
      <c r="LND50" s="10"/>
      <c r="LNE50" s="10"/>
      <c r="LNF50" s="10"/>
      <c r="LNG50" s="10"/>
      <c r="LNH50" s="10"/>
      <c r="LNI50" s="10"/>
      <c r="LNJ50" s="10"/>
      <c r="LNK50" s="10"/>
      <c r="LNL50" s="10"/>
      <c r="LNM50" s="10"/>
      <c r="LNN50" s="10"/>
      <c r="LNO50" s="10"/>
      <c r="LNP50" s="10"/>
      <c r="LNQ50" s="10"/>
      <c r="LNR50" s="10"/>
      <c r="LNS50" s="10"/>
      <c r="LNT50" s="10"/>
      <c r="LNU50" s="10"/>
      <c r="LNV50" s="10"/>
      <c r="LNW50" s="10"/>
      <c r="LNX50" s="10"/>
      <c r="LNY50" s="10"/>
      <c r="LNZ50" s="10"/>
      <c r="LOA50" s="10"/>
      <c r="LOB50" s="10"/>
      <c r="LOC50" s="10"/>
      <c r="LOD50" s="10"/>
      <c r="LOE50" s="10"/>
      <c r="LOF50" s="10"/>
      <c r="LOG50" s="10"/>
      <c r="LOH50" s="10"/>
      <c r="LOI50" s="10"/>
      <c r="LOJ50" s="10"/>
      <c r="LOK50" s="10"/>
      <c r="LOL50" s="10"/>
      <c r="LOM50" s="10"/>
      <c r="LON50" s="10"/>
      <c r="LOO50" s="10"/>
      <c r="LOP50" s="10"/>
      <c r="LOQ50" s="10"/>
      <c r="LOR50" s="10"/>
      <c r="LOS50" s="10"/>
      <c r="LOT50" s="10"/>
      <c r="LOU50" s="10"/>
      <c r="LOV50" s="10"/>
      <c r="LOW50" s="10"/>
      <c r="LOX50" s="10"/>
      <c r="LOY50" s="10"/>
      <c r="LOZ50" s="10"/>
      <c r="LPA50" s="10"/>
      <c r="LPB50" s="10"/>
      <c r="LPC50" s="10"/>
      <c r="LPD50" s="10"/>
      <c r="LPE50" s="10"/>
      <c r="LPF50" s="10"/>
      <c r="LPG50" s="10"/>
      <c r="LPH50" s="10"/>
      <c r="LPI50" s="10"/>
      <c r="LPJ50" s="10"/>
      <c r="LPK50" s="10"/>
      <c r="LPL50" s="10"/>
      <c r="LPM50" s="10"/>
      <c r="LPN50" s="10"/>
      <c r="LPO50" s="10"/>
      <c r="LPP50" s="10"/>
      <c r="LPQ50" s="10"/>
      <c r="LPR50" s="10"/>
      <c r="LPS50" s="10"/>
      <c r="LPT50" s="10"/>
      <c r="LPU50" s="10"/>
      <c r="LPV50" s="10"/>
      <c r="LPW50" s="10"/>
      <c r="LPX50" s="10"/>
      <c r="LPY50" s="10"/>
      <c r="LPZ50" s="10"/>
      <c r="LQA50" s="10"/>
      <c r="LQB50" s="10"/>
      <c r="LQC50" s="10"/>
      <c r="LQD50" s="10"/>
      <c r="LQE50" s="10"/>
      <c r="LQF50" s="10"/>
      <c r="LQG50" s="10"/>
      <c r="LQH50" s="10"/>
      <c r="LQI50" s="10"/>
      <c r="LQJ50" s="10"/>
      <c r="LQK50" s="10"/>
      <c r="LQL50" s="10"/>
      <c r="LQM50" s="10"/>
      <c r="LQN50" s="10"/>
      <c r="LQO50" s="10"/>
      <c r="LQP50" s="10"/>
      <c r="LQQ50" s="10"/>
      <c r="LQR50" s="10"/>
      <c r="LQS50" s="10"/>
      <c r="LQT50" s="10"/>
      <c r="LQU50" s="10"/>
      <c r="LQV50" s="10"/>
      <c r="LQW50" s="10"/>
      <c r="LQX50" s="10"/>
      <c r="LQY50" s="10"/>
      <c r="LQZ50" s="10"/>
      <c r="LRA50" s="10"/>
      <c r="LRB50" s="10"/>
      <c r="LRC50" s="10"/>
      <c r="LRD50" s="10"/>
      <c r="LRE50" s="10"/>
      <c r="LRF50" s="10"/>
      <c r="LRG50" s="10"/>
      <c r="LRH50" s="10"/>
      <c r="LRI50" s="10"/>
      <c r="LRJ50" s="10"/>
      <c r="LRK50" s="10"/>
      <c r="LRL50" s="10"/>
      <c r="LRM50" s="10"/>
      <c r="LRN50" s="10"/>
      <c r="LRO50" s="10"/>
      <c r="LRP50" s="10"/>
      <c r="LRQ50" s="10"/>
      <c r="LRR50" s="10"/>
      <c r="LRS50" s="10"/>
      <c r="LRT50" s="10"/>
      <c r="LRU50" s="10"/>
      <c r="LRV50" s="10"/>
      <c r="LRW50" s="10"/>
      <c r="LRX50" s="10"/>
      <c r="LRY50" s="10"/>
      <c r="LRZ50" s="10"/>
      <c r="LSA50" s="10"/>
      <c r="LSB50" s="10"/>
      <c r="LSC50" s="10"/>
      <c r="LSD50" s="10"/>
      <c r="LSE50" s="10"/>
      <c r="LSF50" s="10"/>
      <c r="LSG50" s="10"/>
      <c r="LSH50" s="10"/>
      <c r="LSI50" s="10"/>
      <c r="LSJ50" s="10"/>
      <c r="LSK50" s="10"/>
      <c r="LSL50" s="10"/>
      <c r="LSM50" s="10"/>
      <c r="LSN50" s="10"/>
      <c r="LSO50" s="10"/>
      <c r="LSP50" s="10"/>
      <c r="LSQ50" s="10"/>
      <c r="LSR50" s="10"/>
      <c r="LSS50" s="10"/>
      <c r="LST50" s="10"/>
      <c r="LSU50" s="10"/>
      <c r="LSV50" s="10"/>
      <c r="LSW50" s="10"/>
      <c r="LSX50" s="10"/>
      <c r="LSY50" s="10"/>
      <c r="LSZ50" s="10"/>
      <c r="LTA50" s="10"/>
      <c r="LTB50" s="10"/>
      <c r="LTC50" s="10"/>
      <c r="LTD50" s="10"/>
      <c r="LTE50" s="10"/>
      <c r="LTF50" s="10"/>
      <c r="LTG50" s="10"/>
      <c r="LTH50" s="10"/>
      <c r="LTI50" s="10"/>
      <c r="LTJ50" s="10"/>
      <c r="LTK50" s="10"/>
      <c r="LTL50" s="10"/>
      <c r="LTM50" s="10"/>
      <c r="LTN50" s="10"/>
      <c r="LTO50" s="10"/>
      <c r="LTP50" s="10"/>
      <c r="LTQ50" s="10"/>
      <c r="LTR50" s="10"/>
      <c r="LTS50" s="10"/>
      <c r="LTT50" s="10"/>
      <c r="LTU50" s="10"/>
      <c r="LTV50" s="10"/>
      <c r="LTW50" s="10"/>
      <c r="LTX50" s="10"/>
      <c r="LTY50" s="10"/>
      <c r="LTZ50" s="10"/>
      <c r="LUA50" s="10"/>
      <c r="LUB50" s="10"/>
      <c r="LUC50" s="10"/>
      <c r="LUD50" s="10"/>
      <c r="LUE50" s="10"/>
      <c r="LUF50" s="10"/>
      <c r="LUG50" s="10"/>
      <c r="LUH50" s="10"/>
      <c r="LUI50" s="10"/>
      <c r="LUJ50" s="10"/>
      <c r="LUK50" s="10"/>
      <c r="LUL50" s="10"/>
      <c r="LUM50" s="10"/>
      <c r="LUN50" s="10"/>
      <c r="LUO50" s="10"/>
      <c r="LUP50" s="10"/>
      <c r="LUQ50" s="10"/>
      <c r="LUR50" s="10"/>
      <c r="LUS50" s="10"/>
      <c r="LUT50" s="10"/>
      <c r="LUU50" s="10"/>
      <c r="LUV50" s="10"/>
      <c r="LUW50" s="10"/>
      <c r="LUX50" s="10"/>
      <c r="LUY50" s="10"/>
      <c r="LUZ50" s="10"/>
      <c r="LVA50" s="10"/>
      <c r="LVB50" s="10"/>
      <c r="LVC50" s="10"/>
      <c r="LVD50" s="10"/>
      <c r="LVE50" s="10"/>
      <c r="LVF50" s="10"/>
      <c r="LVG50" s="10"/>
      <c r="LVH50" s="10"/>
      <c r="LVI50" s="10"/>
      <c r="LVJ50" s="10"/>
      <c r="LVK50" s="10"/>
      <c r="LVL50" s="10"/>
      <c r="LVM50" s="10"/>
      <c r="LVN50" s="10"/>
      <c r="LVO50" s="10"/>
      <c r="LVP50" s="10"/>
      <c r="LVQ50" s="10"/>
      <c r="LVR50" s="10"/>
      <c r="LVS50" s="10"/>
      <c r="LVT50" s="10"/>
      <c r="LVU50" s="10"/>
      <c r="LVV50" s="10"/>
      <c r="LVW50" s="10"/>
      <c r="LVX50" s="10"/>
      <c r="LVY50" s="10"/>
      <c r="LVZ50" s="10"/>
      <c r="LWA50" s="10"/>
      <c r="LWB50" s="10"/>
      <c r="LWC50" s="10"/>
      <c r="LWD50" s="10"/>
      <c r="LWE50" s="10"/>
      <c r="LWF50" s="10"/>
      <c r="LWG50" s="10"/>
      <c r="LWH50" s="10"/>
      <c r="LWI50" s="10"/>
      <c r="LWJ50" s="10"/>
      <c r="LWK50" s="10"/>
      <c r="LWL50" s="10"/>
      <c r="LWM50" s="10"/>
      <c r="LWN50" s="10"/>
      <c r="LWO50" s="10"/>
      <c r="LWP50" s="10"/>
      <c r="LWQ50" s="10"/>
      <c r="LWR50" s="10"/>
      <c r="LWS50" s="10"/>
      <c r="LWT50" s="10"/>
      <c r="LWU50" s="10"/>
      <c r="LWV50" s="10"/>
      <c r="LWW50" s="10"/>
      <c r="LWX50" s="10"/>
      <c r="LWY50" s="10"/>
      <c r="LWZ50" s="10"/>
      <c r="LXA50" s="10"/>
      <c r="LXB50" s="10"/>
      <c r="LXC50" s="10"/>
      <c r="LXD50" s="10"/>
      <c r="LXE50" s="10"/>
      <c r="LXF50" s="10"/>
      <c r="LXG50" s="10"/>
      <c r="LXH50" s="10"/>
      <c r="LXI50" s="10"/>
      <c r="LXJ50" s="10"/>
      <c r="LXK50" s="10"/>
      <c r="LXL50" s="10"/>
      <c r="LXM50" s="10"/>
      <c r="LXN50" s="10"/>
      <c r="LXO50" s="10"/>
      <c r="LXP50" s="10"/>
      <c r="LXQ50" s="10"/>
      <c r="LXR50" s="10"/>
      <c r="LXS50" s="10"/>
      <c r="LXT50" s="10"/>
      <c r="LXU50" s="10"/>
      <c r="LXV50" s="10"/>
      <c r="LXW50" s="10"/>
      <c r="LXX50" s="10"/>
      <c r="LXY50" s="10"/>
      <c r="LXZ50" s="10"/>
      <c r="LYA50" s="10"/>
      <c r="LYB50" s="10"/>
      <c r="LYC50" s="10"/>
      <c r="LYD50" s="10"/>
      <c r="LYE50" s="10"/>
      <c r="LYF50" s="10"/>
      <c r="LYG50" s="10"/>
      <c r="LYH50" s="10"/>
      <c r="LYI50" s="10"/>
      <c r="LYJ50" s="10"/>
      <c r="LYK50" s="10"/>
      <c r="LYL50" s="10"/>
      <c r="LYM50" s="10"/>
      <c r="LYN50" s="10"/>
      <c r="LYO50" s="10"/>
      <c r="LYP50" s="10"/>
      <c r="LYQ50" s="10"/>
      <c r="LYR50" s="10"/>
      <c r="LYS50" s="10"/>
      <c r="LYT50" s="10"/>
      <c r="LYU50" s="10"/>
      <c r="LYV50" s="10"/>
      <c r="LYW50" s="10"/>
      <c r="LYX50" s="10"/>
      <c r="LYY50" s="10"/>
      <c r="LYZ50" s="10"/>
      <c r="LZA50" s="10"/>
      <c r="LZB50" s="10"/>
      <c r="LZC50" s="10"/>
      <c r="LZD50" s="10"/>
      <c r="LZE50" s="10"/>
      <c r="LZF50" s="10"/>
      <c r="LZG50" s="10"/>
      <c r="LZH50" s="10"/>
      <c r="LZI50" s="10"/>
      <c r="LZJ50" s="10"/>
      <c r="LZK50" s="10"/>
      <c r="LZL50" s="10"/>
      <c r="LZM50" s="10"/>
      <c r="LZN50" s="10"/>
      <c r="LZO50" s="10"/>
      <c r="LZP50" s="10"/>
      <c r="LZQ50" s="10"/>
      <c r="LZR50" s="10"/>
      <c r="LZS50" s="10"/>
      <c r="LZT50" s="10"/>
      <c r="LZU50" s="10"/>
      <c r="LZV50" s="10"/>
      <c r="LZW50" s="10"/>
      <c r="LZX50" s="10"/>
      <c r="LZY50" s="10"/>
      <c r="LZZ50" s="10"/>
      <c r="MAA50" s="10"/>
      <c r="MAB50" s="10"/>
      <c r="MAC50" s="10"/>
      <c r="MAD50" s="10"/>
      <c r="MAE50" s="10"/>
      <c r="MAF50" s="10"/>
      <c r="MAG50" s="10"/>
      <c r="MAH50" s="10"/>
      <c r="MAI50" s="10"/>
      <c r="MAJ50" s="10"/>
      <c r="MAK50" s="10"/>
      <c r="MAL50" s="10"/>
      <c r="MAM50" s="10"/>
      <c r="MAN50" s="10"/>
      <c r="MAO50" s="10"/>
      <c r="MAP50" s="10"/>
      <c r="MAQ50" s="10"/>
      <c r="MAR50" s="10"/>
      <c r="MAS50" s="10"/>
      <c r="MAT50" s="10"/>
      <c r="MAU50" s="10"/>
      <c r="MAV50" s="10"/>
      <c r="MAW50" s="10"/>
      <c r="MAX50" s="10"/>
      <c r="MAY50" s="10"/>
      <c r="MAZ50" s="10"/>
      <c r="MBA50" s="10"/>
      <c r="MBB50" s="10"/>
      <c r="MBC50" s="10"/>
      <c r="MBD50" s="10"/>
      <c r="MBE50" s="10"/>
      <c r="MBF50" s="10"/>
      <c r="MBG50" s="10"/>
      <c r="MBH50" s="10"/>
      <c r="MBI50" s="10"/>
      <c r="MBJ50" s="10"/>
      <c r="MBK50" s="10"/>
      <c r="MBL50" s="10"/>
      <c r="MBM50" s="10"/>
      <c r="MBN50" s="10"/>
      <c r="MBO50" s="10"/>
      <c r="MBP50" s="10"/>
      <c r="MBQ50" s="10"/>
      <c r="MBR50" s="10"/>
      <c r="MBS50" s="10"/>
      <c r="MBT50" s="10"/>
      <c r="MBU50" s="10"/>
      <c r="MBV50" s="10"/>
      <c r="MBW50" s="10"/>
      <c r="MBX50" s="10"/>
      <c r="MBY50" s="10"/>
      <c r="MBZ50" s="10"/>
      <c r="MCA50" s="10"/>
      <c r="MCB50" s="10"/>
      <c r="MCC50" s="10"/>
      <c r="MCD50" s="10"/>
      <c r="MCE50" s="10"/>
      <c r="MCF50" s="10"/>
      <c r="MCG50" s="10"/>
      <c r="MCH50" s="10"/>
      <c r="MCI50" s="10"/>
      <c r="MCJ50" s="10"/>
      <c r="MCK50" s="10"/>
      <c r="MCL50" s="10"/>
      <c r="MCM50" s="10"/>
      <c r="MCN50" s="10"/>
      <c r="MCO50" s="10"/>
      <c r="MCP50" s="10"/>
      <c r="MCQ50" s="10"/>
      <c r="MCR50" s="10"/>
      <c r="MCS50" s="10"/>
      <c r="MCT50" s="10"/>
      <c r="MCU50" s="10"/>
      <c r="MCV50" s="10"/>
      <c r="MCW50" s="10"/>
      <c r="MCX50" s="10"/>
      <c r="MCY50" s="10"/>
      <c r="MCZ50" s="10"/>
      <c r="MDA50" s="10"/>
      <c r="MDB50" s="10"/>
      <c r="MDC50" s="10"/>
      <c r="MDD50" s="10"/>
      <c r="MDE50" s="10"/>
      <c r="MDF50" s="10"/>
      <c r="MDG50" s="10"/>
      <c r="MDH50" s="10"/>
      <c r="MDI50" s="10"/>
      <c r="MDJ50" s="10"/>
      <c r="MDK50" s="10"/>
      <c r="MDL50" s="10"/>
      <c r="MDM50" s="10"/>
      <c r="MDN50" s="10"/>
      <c r="MDO50" s="10"/>
      <c r="MDP50" s="10"/>
      <c r="MDQ50" s="10"/>
      <c r="MDR50" s="10"/>
      <c r="MDS50" s="10"/>
      <c r="MDT50" s="10"/>
      <c r="MDU50" s="10"/>
      <c r="MDV50" s="10"/>
      <c r="MDW50" s="10"/>
      <c r="MDX50" s="10"/>
      <c r="MDY50" s="10"/>
      <c r="MDZ50" s="10"/>
      <c r="MEA50" s="10"/>
      <c r="MEB50" s="10"/>
      <c r="MEC50" s="10"/>
      <c r="MED50" s="10"/>
      <c r="MEE50" s="10"/>
      <c r="MEF50" s="10"/>
      <c r="MEG50" s="10"/>
      <c r="MEH50" s="10"/>
      <c r="MEI50" s="10"/>
      <c r="MEJ50" s="10"/>
      <c r="MEK50" s="10"/>
      <c r="MEL50" s="10"/>
      <c r="MEM50" s="10"/>
      <c r="MEN50" s="10"/>
      <c r="MEO50" s="10"/>
      <c r="MEP50" s="10"/>
      <c r="MEQ50" s="10"/>
      <c r="MER50" s="10"/>
      <c r="MES50" s="10"/>
      <c r="MET50" s="10"/>
      <c r="MEU50" s="10"/>
      <c r="MEV50" s="10"/>
      <c r="MEW50" s="10"/>
      <c r="MEX50" s="10"/>
      <c r="MEY50" s="10"/>
      <c r="MEZ50" s="10"/>
      <c r="MFA50" s="10"/>
      <c r="MFB50" s="10"/>
      <c r="MFC50" s="10"/>
      <c r="MFD50" s="10"/>
      <c r="MFE50" s="10"/>
      <c r="MFF50" s="10"/>
      <c r="MFG50" s="10"/>
      <c r="MFH50" s="10"/>
      <c r="MFI50" s="10"/>
      <c r="MFJ50" s="10"/>
      <c r="MFK50" s="10"/>
      <c r="MFL50" s="10"/>
      <c r="MFM50" s="10"/>
      <c r="MFN50" s="10"/>
      <c r="MFO50" s="10"/>
      <c r="MFP50" s="10"/>
      <c r="MFQ50" s="10"/>
      <c r="MFR50" s="10"/>
      <c r="MFS50" s="10"/>
      <c r="MFT50" s="10"/>
      <c r="MFU50" s="10"/>
      <c r="MFV50" s="10"/>
      <c r="MFW50" s="10"/>
      <c r="MFX50" s="10"/>
      <c r="MFY50" s="10"/>
      <c r="MFZ50" s="10"/>
      <c r="MGA50" s="10"/>
      <c r="MGB50" s="10"/>
      <c r="MGC50" s="10"/>
      <c r="MGD50" s="10"/>
      <c r="MGE50" s="10"/>
      <c r="MGF50" s="10"/>
      <c r="MGG50" s="10"/>
      <c r="MGH50" s="10"/>
      <c r="MGI50" s="10"/>
      <c r="MGJ50" s="10"/>
      <c r="MGK50" s="10"/>
      <c r="MGL50" s="10"/>
      <c r="MGM50" s="10"/>
      <c r="MGN50" s="10"/>
      <c r="MGO50" s="10"/>
      <c r="MGP50" s="10"/>
      <c r="MGQ50" s="10"/>
      <c r="MGR50" s="10"/>
      <c r="MGS50" s="10"/>
      <c r="MGT50" s="10"/>
      <c r="MGU50" s="10"/>
      <c r="MGV50" s="10"/>
      <c r="MGW50" s="10"/>
      <c r="MGX50" s="10"/>
      <c r="MGY50" s="10"/>
      <c r="MGZ50" s="10"/>
      <c r="MHA50" s="10"/>
      <c r="MHB50" s="10"/>
      <c r="MHC50" s="10"/>
      <c r="MHD50" s="10"/>
      <c r="MHE50" s="10"/>
      <c r="MHF50" s="10"/>
      <c r="MHG50" s="10"/>
      <c r="MHH50" s="10"/>
      <c r="MHI50" s="10"/>
      <c r="MHJ50" s="10"/>
      <c r="MHK50" s="10"/>
      <c r="MHL50" s="10"/>
      <c r="MHM50" s="10"/>
      <c r="MHN50" s="10"/>
      <c r="MHO50" s="10"/>
      <c r="MHP50" s="10"/>
      <c r="MHQ50" s="10"/>
      <c r="MHR50" s="10"/>
      <c r="MHS50" s="10"/>
      <c r="MHT50" s="10"/>
      <c r="MHU50" s="10"/>
      <c r="MHV50" s="10"/>
      <c r="MHW50" s="10"/>
      <c r="MHX50" s="10"/>
      <c r="MHY50" s="10"/>
      <c r="MHZ50" s="10"/>
      <c r="MIA50" s="10"/>
      <c r="MIB50" s="10"/>
      <c r="MIC50" s="10"/>
      <c r="MID50" s="10"/>
      <c r="MIE50" s="10"/>
      <c r="MIF50" s="10"/>
      <c r="MIG50" s="10"/>
      <c r="MIH50" s="10"/>
      <c r="MII50" s="10"/>
      <c r="MIJ50" s="10"/>
      <c r="MIK50" s="10"/>
      <c r="MIL50" s="10"/>
      <c r="MIM50" s="10"/>
      <c r="MIN50" s="10"/>
      <c r="MIO50" s="10"/>
      <c r="MIP50" s="10"/>
      <c r="MIQ50" s="10"/>
      <c r="MIR50" s="10"/>
      <c r="MIS50" s="10"/>
      <c r="MIT50" s="10"/>
      <c r="MIU50" s="10"/>
      <c r="MIV50" s="10"/>
      <c r="MIW50" s="10"/>
      <c r="MIX50" s="10"/>
      <c r="MIY50" s="10"/>
      <c r="MIZ50" s="10"/>
      <c r="MJA50" s="10"/>
      <c r="MJB50" s="10"/>
      <c r="MJC50" s="10"/>
      <c r="MJD50" s="10"/>
      <c r="MJE50" s="10"/>
      <c r="MJF50" s="10"/>
      <c r="MJG50" s="10"/>
      <c r="MJH50" s="10"/>
      <c r="MJI50" s="10"/>
      <c r="MJJ50" s="10"/>
      <c r="MJK50" s="10"/>
      <c r="MJL50" s="10"/>
      <c r="MJM50" s="10"/>
      <c r="MJN50" s="10"/>
      <c r="MJO50" s="10"/>
      <c r="MJP50" s="10"/>
      <c r="MJQ50" s="10"/>
      <c r="MJR50" s="10"/>
      <c r="MJS50" s="10"/>
      <c r="MJT50" s="10"/>
      <c r="MJU50" s="10"/>
      <c r="MJV50" s="10"/>
      <c r="MJW50" s="10"/>
      <c r="MJX50" s="10"/>
      <c r="MJY50" s="10"/>
      <c r="MJZ50" s="10"/>
      <c r="MKA50" s="10"/>
      <c r="MKB50" s="10"/>
      <c r="MKC50" s="10"/>
      <c r="MKD50" s="10"/>
      <c r="MKE50" s="10"/>
      <c r="MKF50" s="10"/>
      <c r="MKG50" s="10"/>
      <c r="MKH50" s="10"/>
      <c r="MKI50" s="10"/>
      <c r="MKJ50" s="10"/>
      <c r="MKK50" s="10"/>
      <c r="MKL50" s="10"/>
      <c r="MKM50" s="10"/>
      <c r="MKN50" s="10"/>
      <c r="MKO50" s="10"/>
      <c r="MKP50" s="10"/>
      <c r="MKQ50" s="10"/>
      <c r="MKR50" s="10"/>
      <c r="MKS50" s="10"/>
      <c r="MKT50" s="10"/>
      <c r="MKU50" s="10"/>
      <c r="MKV50" s="10"/>
      <c r="MKW50" s="10"/>
      <c r="MKX50" s="10"/>
      <c r="MKY50" s="10"/>
      <c r="MKZ50" s="10"/>
      <c r="MLA50" s="10"/>
      <c r="MLB50" s="10"/>
      <c r="MLC50" s="10"/>
      <c r="MLD50" s="10"/>
      <c r="MLE50" s="10"/>
      <c r="MLF50" s="10"/>
      <c r="MLG50" s="10"/>
      <c r="MLH50" s="10"/>
      <c r="MLI50" s="10"/>
      <c r="MLJ50" s="10"/>
      <c r="MLK50" s="10"/>
      <c r="MLL50" s="10"/>
      <c r="MLM50" s="10"/>
      <c r="MLN50" s="10"/>
      <c r="MLO50" s="10"/>
      <c r="MLP50" s="10"/>
      <c r="MLQ50" s="10"/>
      <c r="MLR50" s="10"/>
      <c r="MLS50" s="10"/>
      <c r="MLT50" s="10"/>
      <c r="MLU50" s="10"/>
      <c r="MLV50" s="10"/>
      <c r="MLW50" s="10"/>
      <c r="MLX50" s="10"/>
      <c r="MLY50" s="10"/>
      <c r="MLZ50" s="10"/>
      <c r="MMA50" s="10"/>
      <c r="MMB50" s="10"/>
      <c r="MMC50" s="10"/>
      <c r="MMD50" s="10"/>
      <c r="MME50" s="10"/>
      <c r="MMF50" s="10"/>
      <c r="MMG50" s="10"/>
      <c r="MMH50" s="10"/>
      <c r="MMI50" s="10"/>
      <c r="MMJ50" s="10"/>
      <c r="MMK50" s="10"/>
      <c r="MML50" s="10"/>
      <c r="MMM50" s="10"/>
      <c r="MMN50" s="10"/>
      <c r="MMO50" s="10"/>
      <c r="MMP50" s="10"/>
      <c r="MMQ50" s="10"/>
      <c r="MMR50" s="10"/>
      <c r="MMS50" s="10"/>
      <c r="MMT50" s="10"/>
      <c r="MMU50" s="10"/>
      <c r="MMV50" s="10"/>
      <c r="MMW50" s="10"/>
      <c r="MMX50" s="10"/>
      <c r="MMY50" s="10"/>
      <c r="MMZ50" s="10"/>
      <c r="MNA50" s="10"/>
      <c r="MNB50" s="10"/>
      <c r="MNC50" s="10"/>
      <c r="MND50" s="10"/>
      <c r="MNE50" s="10"/>
      <c r="MNF50" s="10"/>
      <c r="MNG50" s="10"/>
      <c r="MNH50" s="10"/>
      <c r="MNI50" s="10"/>
      <c r="MNJ50" s="10"/>
      <c r="MNK50" s="10"/>
      <c r="MNL50" s="10"/>
      <c r="MNM50" s="10"/>
      <c r="MNN50" s="10"/>
      <c r="MNO50" s="10"/>
      <c r="MNP50" s="10"/>
      <c r="MNQ50" s="10"/>
      <c r="MNR50" s="10"/>
      <c r="MNS50" s="10"/>
      <c r="MNT50" s="10"/>
      <c r="MNU50" s="10"/>
      <c r="MNV50" s="10"/>
      <c r="MNW50" s="10"/>
      <c r="MNX50" s="10"/>
      <c r="MNY50" s="10"/>
      <c r="MNZ50" s="10"/>
      <c r="MOA50" s="10"/>
      <c r="MOB50" s="10"/>
      <c r="MOC50" s="10"/>
      <c r="MOD50" s="10"/>
      <c r="MOE50" s="10"/>
      <c r="MOF50" s="10"/>
      <c r="MOG50" s="10"/>
      <c r="MOH50" s="10"/>
      <c r="MOI50" s="10"/>
      <c r="MOJ50" s="10"/>
      <c r="MOK50" s="10"/>
      <c r="MOL50" s="10"/>
      <c r="MOM50" s="10"/>
      <c r="MON50" s="10"/>
      <c r="MOO50" s="10"/>
      <c r="MOP50" s="10"/>
      <c r="MOQ50" s="10"/>
      <c r="MOR50" s="10"/>
      <c r="MOS50" s="10"/>
      <c r="MOT50" s="10"/>
      <c r="MOU50" s="10"/>
      <c r="MOV50" s="10"/>
      <c r="MOW50" s="10"/>
      <c r="MOX50" s="10"/>
      <c r="MOY50" s="10"/>
      <c r="MOZ50" s="10"/>
      <c r="MPA50" s="10"/>
      <c r="MPB50" s="10"/>
      <c r="MPC50" s="10"/>
      <c r="MPD50" s="10"/>
      <c r="MPE50" s="10"/>
      <c r="MPF50" s="10"/>
      <c r="MPG50" s="10"/>
      <c r="MPH50" s="10"/>
      <c r="MPI50" s="10"/>
      <c r="MPJ50" s="10"/>
      <c r="MPK50" s="10"/>
      <c r="MPL50" s="10"/>
      <c r="MPM50" s="10"/>
      <c r="MPN50" s="10"/>
      <c r="MPO50" s="10"/>
      <c r="MPP50" s="10"/>
      <c r="MPQ50" s="10"/>
      <c r="MPR50" s="10"/>
      <c r="MPS50" s="10"/>
      <c r="MPT50" s="10"/>
      <c r="MPU50" s="10"/>
      <c r="MPV50" s="10"/>
      <c r="MPW50" s="10"/>
      <c r="MPX50" s="10"/>
      <c r="MPY50" s="10"/>
      <c r="MPZ50" s="10"/>
      <c r="MQA50" s="10"/>
      <c r="MQB50" s="10"/>
      <c r="MQC50" s="10"/>
      <c r="MQD50" s="10"/>
      <c r="MQE50" s="10"/>
      <c r="MQF50" s="10"/>
      <c r="MQG50" s="10"/>
      <c r="MQH50" s="10"/>
      <c r="MQI50" s="10"/>
      <c r="MQJ50" s="10"/>
      <c r="MQK50" s="10"/>
      <c r="MQL50" s="10"/>
      <c r="MQM50" s="10"/>
      <c r="MQN50" s="10"/>
      <c r="MQO50" s="10"/>
      <c r="MQP50" s="10"/>
      <c r="MQQ50" s="10"/>
      <c r="MQR50" s="10"/>
      <c r="MQS50" s="10"/>
      <c r="MQT50" s="10"/>
      <c r="MQU50" s="10"/>
      <c r="MQV50" s="10"/>
      <c r="MQW50" s="10"/>
      <c r="MQX50" s="10"/>
      <c r="MQY50" s="10"/>
      <c r="MQZ50" s="10"/>
      <c r="MRA50" s="10"/>
      <c r="MRB50" s="10"/>
      <c r="MRC50" s="10"/>
      <c r="MRD50" s="10"/>
      <c r="MRE50" s="10"/>
      <c r="MRF50" s="10"/>
      <c r="MRG50" s="10"/>
      <c r="MRH50" s="10"/>
      <c r="MRI50" s="10"/>
      <c r="MRJ50" s="10"/>
      <c r="MRK50" s="10"/>
      <c r="MRL50" s="10"/>
      <c r="MRM50" s="10"/>
      <c r="MRN50" s="10"/>
      <c r="MRO50" s="10"/>
      <c r="MRP50" s="10"/>
      <c r="MRQ50" s="10"/>
      <c r="MRR50" s="10"/>
      <c r="MRS50" s="10"/>
      <c r="MRT50" s="10"/>
      <c r="MRU50" s="10"/>
      <c r="MRV50" s="10"/>
      <c r="MRW50" s="10"/>
      <c r="MRX50" s="10"/>
      <c r="MRY50" s="10"/>
      <c r="MRZ50" s="10"/>
      <c r="MSA50" s="10"/>
      <c r="MSB50" s="10"/>
      <c r="MSC50" s="10"/>
      <c r="MSD50" s="10"/>
      <c r="MSE50" s="10"/>
      <c r="MSF50" s="10"/>
      <c r="MSG50" s="10"/>
      <c r="MSH50" s="10"/>
      <c r="MSI50" s="10"/>
      <c r="MSJ50" s="10"/>
      <c r="MSK50" s="10"/>
      <c r="MSL50" s="10"/>
      <c r="MSM50" s="10"/>
      <c r="MSN50" s="10"/>
      <c r="MSO50" s="10"/>
      <c r="MSP50" s="10"/>
      <c r="MSQ50" s="10"/>
      <c r="MSR50" s="10"/>
      <c r="MSS50" s="10"/>
      <c r="MST50" s="10"/>
      <c r="MSU50" s="10"/>
      <c r="MSV50" s="10"/>
      <c r="MSW50" s="10"/>
      <c r="MSX50" s="10"/>
      <c r="MSY50" s="10"/>
      <c r="MSZ50" s="10"/>
      <c r="MTA50" s="10"/>
      <c r="MTB50" s="10"/>
      <c r="MTC50" s="10"/>
      <c r="MTD50" s="10"/>
      <c r="MTE50" s="10"/>
      <c r="MTF50" s="10"/>
      <c r="MTG50" s="10"/>
      <c r="MTH50" s="10"/>
      <c r="MTI50" s="10"/>
      <c r="MTJ50" s="10"/>
      <c r="MTK50" s="10"/>
      <c r="MTL50" s="10"/>
      <c r="MTM50" s="10"/>
      <c r="MTN50" s="10"/>
      <c r="MTO50" s="10"/>
      <c r="MTP50" s="10"/>
      <c r="MTQ50" s="10"/>
      <c r="MTR50" s="10"/>
      <c r="MTS50" s="10"/>
      <c r="MTT50" s="10"/>
      <c r="MTU50" s="10"/>
      <c r="MTV50" s="10"/>
      <c r="MTW50" s="10"/>
      <c r="MTX50" s="10"/>
      <c r="MTY50" s="10"/>
      <c r="MTZ50" s="10"/>
      <c r="MUA50" s="10"/>
      <c r="MUB50" s="10"/>
      <c r="MUC50" s="10"/>
      <c r="MUD50" s="10"/>
      <c r="MUE50" s="10"/>
      <c r="MUF50" s="10"/>
      <c r="MUG50" s="10"/>
      <c r="MUH50" s="10"/>
      <c r="MUI50" s="10"/>
      <c r="MUJ50" s="10"/>
      <c r="MUK50" s="10"/>
      <c r="MUL50" s="10"/>
      <c r="MUM50" s="10"/>
      <c r="MUN50" s="10"/>
      <c r="MUO50" s="10"/>
      <c r="MUP50" s="10"/>
      <c r="MUQ50" s="10"/>
      <c r="MUR50" s="10"/>
      <c r="MUS50" s="10"/>
      <c r="MUT50" s="10"/>
      <c r="MUU50" s="10"/>
      <c r="MUV50" s="10"/>
      <c r="MUW50" s="10"/>
      <c r="MUX50" s="10"/>
      <c r="MUY50" s="10"/>
      <c r="MUZ50" s="10"/>
      <c r="MVA50" s="10"/>
      <c r="MVB50" s="10"/>
      <c r="MVC50" s="10"/>
      <c r="MVD50" s="10"/>
      <c r="MVE50" s="10"/>
      <c r="MVF50" s="10"/>
      <c r="MVG50" s="10"/>
      <c r="MVH50" s="10"/>
      <c r="MVI50" s="10"/>
      <c r="MVJ50" s="10"/>
      <c r="MVK50" s="10"/>
      <c r="MVL50" s="10"/>
      <c r="MVM50" s="10"/>
      <c r="MVN50" s="10"/>
      <c r="MVO50" s="10"/>
      <c r="MVP50" s="10"/>
      <c r="MVQ50" s="10"/>
      <c r="MVR50" s="10"/>
      <c r="MVS50" s="10"/>
      <c r="MVT50" s="10"/>
      <c r="MVU50" s="10"/>
      <c r="MVV50" s="10"/>
      <c r="MVW50" s="10"/>
      <c r="MVX50" s="10"/>
      <c r="MVY50" s="10"/>
      <c r="MVZ50" s="10"/>
      <c r="MWA50" s="10"/>
      <c r="MWB50" s="10"/>
      <c r="MWC50" s="10"/>
      <c r="MWD50" s="10"/>
      <c r="MWE50" s="10"/>
      <c r="MWF50" s="10"/>
      <c r="MWG50" s="10"/>
      <c r="MWH50" s="10"/>
      <c r="MWI50" s="10"/>
      <c r="MWJ50" s="10"/>
      <c r="MWK50" s="10"/>
      <c r="MWL50" s="10"/>
      <c r="MWM50" s="10"/>
      <c r="MWN50" s="10"/>
      <c r="MWO50" s="10"/>
      <c r="MWP50" s="10"/>
      <c r="MWQ50" s="10"/>
      <c r="MWR50" s="10"/>
      <c r="MWS50" s="10"/>
      <c r="MWT50" s="10"/>
      <c r="MWU50" s="10"/>
      <c r="MWV50" s="10"/>
      <c r="MWW50" s="10"/>
      <c r="MWX50" s="10"/>
      <c r="MWY50" s="10"/>
      <c r="MWZ50" s="10"/>
      <c r="MXA50" s="10"/>
      <c r="MXB50" s="10"/>
      <c r="MXC50" s="10"/>
      <c r="MXD50" s="10"/>
      <c r="MXE50" s="10"/>
      <c r="MXF50" s="10"/>
      <c r="MXG50" s="10"/>
      <c r="MXH50" s="10"/>
      <c r="MXI50" s="10"/>
      <c r="MXJ50" s="10"/>
      <c r="MXK50" s="10"/>
      <c r="MXL50" s="10"/>
      <c r="MXM50" s="10"/>
      <c r="MXN50" s="10"/>
      <c r="MXO50" s="10"/>
      <c r="MXP50" s="10"/>
      <c r="MXQ50" s="10"/>
      <c r="MXR50" s="10"/>
      <c r="MXS50" s="10"/>
      <c r="MXT50" s="10"/>
      <c r="MXU50" s="10"/>
      <c r="MXV50" s="10"/>
      <c r="MXW50" s="10"/>
      <c r="MXX50" s="10"/>
      <c r="MXY50" s="10"/>
      <c r="MXZ50" s="10"/>
      <c r="MYA50" s="10"/>
      <c r="MYB50" s="10"/>
      <c r="MYC50" s="10"/>
      <c r="MYD50" s="10"/>
      <c r="MYE50" s="10"/>
      <c r="MYF50" s="10"/>
      <c r="MYG50" s="10"/>
      <c r="MYH50" s="10"/>
      <c r="MYI50" s="10"/>
      <c r="MYJ50" s="10"/>
      <c r="MYK50" s="10"/>
      <c r="MYL50" s="10"/>
      <c r="MYM50" s="10"/>
      <c r="MYN50" s="10"/>
      <c r="MYO50" s="10"/>
      <c r="MYP50" s="10"/>
      <c r="MYQ50" s="10"/>
      <c r="MYR50" s="10"/>
      <c r="MYS50" s="10"/>
      <c r="MYT50" s="10"/>
      <c r="MYU50" s="10"/>
      <c r="MYV50" s="10"/>
      <c r="MYW50" s="10"/>
      <c r="MYX50" s="10"/>
      <c r="MYY50" s="10"/>
      <c r="MYZ50" s="10"/>
      <c r="MZA50" s="10"/>
      <c r="MZB50" s="10"/>
      <c r="MZC50" s="10"/>
      <c r="MZD50" s="10"/>
      <c r="MZE50" s="10"/>
      <c r="MZF50" s="10"/>
      <c r="MZG50" s="10"/>
      <c r="MZH50" s="10"/>
      <c r="MZI50" s="10"/>
      <c r="MZJ50" s="10"/>
      <c r="MZK50" s="10"/>
      <c r="MZL50" s="10"/>
      <c r="MZM50" s="10"/>
      <c r="MZN50" s="10"/>
      <c r="MZO50" s="10"/>
      <c r="MZP50" s="10"/>
      <c r="MZQ50" s="10"/>
      <c r="MZR50" s="10"/>
      <c r="MZS50" s="10"/>
      <c r="MZT50" s="10"/>
      <c r="MZU50" s="10"/>
      <c r="MZV50" s="10"/>
      <c r="MZW50" s="10"/>
      <c r="MZX50" s="10"/>
      <c r="MZY50" s="10"/>
      <c r="MZZ50" s="10"/>
      <c r="NAA50" s="10"/>
      <c r="NAB50" s="10"/>
      <c r="NAC50" s="10"/>
      <c r="NAD50" s="10"/>
      <c r="NAE50" s="10"/>
      <c r="NAF50" s="10"/>
      <c r="NAG50" s="10"/>
      <c r="NAH50" s="10"/>
      <c r="NAI50" s="10"/>
      <c r="NAJ50" s="10"/>
      <c r="NAK50" s="10"/>
      <c r="NAL50" s="10"/>
      <c r="NAM50" s="10"/>
      <c r="NAN50" s="10"/>
      <c r="NAO50" s="10"/>
      <c r="NAP50" s="10"/>
      <c r="NAQ50" s="10"/>
      <c r="NAR50" s="10"/>
      <c r="NAS50" s="10"/>
      <c r="NAT50" s="10"/>
      <c r="NAU50" s="10"/>
      <c r="NAV50" s="10"/>
      <c r="NAW50" s="10"/>
      <c r="NAX50" s="10"/>
      <c r="NAY50" s="10"/>
      <c r="NAZ50" s="10"/>
      <c r="NBA50" s="10"/>
      <c r="NBB50" s="10"/>
      <c r="NBC50" s="10"/>
      <c r="NBD50" s="10"/>
      <c r="NBE50" s="10"/>
      <c r="NBF50" s="10"/>
      <c r="NBG50" s="10"/>
      <c r="NBH50" s="10"/>
      <c r="NBI50" s="10"/>
      <c r="NBJ50" s="10"/>
      <c r="NBK50" s="10"/>
      <c r="NBL50" s="10"/>
      <c r="NBM50" s="10"/>
      <c r="NBN50" s="10"/>
      <c r="NBO50" s="10"/>
      <c r="NBP50" s="10"/>
      <c r="NBQ50" s="10"/>
      <c r="NBR50" s="10"/>
      <c r="NBS50" s="10"/>
      <c r="NBT50" s="10"/>
      <c r="NBU50" s="10"/>
      <c r="NBV50" s="10"/>
      <c r="NBW50" s="10"/>
      <c r="NBX50" s="10"/>
      <c r="NBY50" s="10"/>
      <c r="NBZ50" s="10"/>
      <c r="NCA50" s="10"/>
      <c r="NCB50" s="10"/>
      <c r="NCC50" s="10"/>
      <c r="NCD50" s="10"/>
      <c r="NCE50" s="10"/>
      <c r="NCF50" s="10"/>
      <c r="NCG50" s="10"/>
      <c r="NCH50" s="10"/>
      <c r="NCI50" s="10"/>
      <c r="NCJ50" s="10"/>
      <c r="NCK50" s="10"/>
      <c r="NCL50" s="10"/>
      <c r="NCM50" s="10"/>
      <c r="NCN50" s="10"/>
      <c r="NCO50" s="10"/>
      <c r="NCP50" s="10"/>
      <c r="NCQ50" s="10"/>
      <c r="NCR50" s="10"/>
      <c r="NCS50" s="10"/>
      <c r="NCT50" s="10"/>
      <c r="NCU50" s="10"/>
      <c r="NCV50" s="10"/>
      <c r="NCW50" s="10"/>
      <c r="NCX50" s="10"/>
      <c r="NCY50" s="10"/>
      <c r="NCZ50" s="10"/>
      <c r="NDA50" s="10"/>
      <c r="NDB50" s="10"/>
      <c r="NDC50" s="10"/>
      <c r="NDD50" s="10"/>
      <c r="NDE50" s="10"/>
      <c r="NDF50" s="10"/>
      <c r="NDG50" s="10"/>
      <c r="NDH50" s="10"/>
      <c r="NDI50" s="10"/>
      <c r="NDJ50" s="10"/>
      <c r="NDK50" s="10"/>
      <c r="NDL50" s="10"/>
      <c r="NDM50" s="10"/>
      <c r="NDN50" s="10"/>
      <c r="NDO50" s="10"/>
      <c r="NDP50" s="10"/>
      <c r="NDQ50" s="10"/>
      <c r="NDR50" s="10"/>
      <c r="NDS50" s="10"/>
      <c r="NDT50" s="10"/>
      <c r="NDU50" s="10"/>
      <c r="NDV50" s="10"/>
      <c r="NDW50" s="10"/>
      <c r="NDX50" s="10"/>
      <c r="NDY50" s="10"/>
      <c r="NDZ50" s="10"/>
      <c r="NEA50" s="10"/>
      <c r="NEB50" s="10"/>
      <c r="NEC50" s="10"/>
      <c r="NED50" s="10"/>
      <c r="NEE50" s="10"/>
      <c r="NEF50" s="10"/>
      <c r="NEG50" s="10"/>
      <c r="NEH50" s="10"/>
      <c r="NEI50" s="10"/>
      <c r="NEJ50" s="10"/>
      <c r="NEK50" s="10"/>
      <c r="NEL50" s="10"/>
      <c r="NEM50" s="10"/>
      <c r="NEN50" s="10"/>
      <c r="NEO50" s="10"/>
      <c r="NEP50" s="10"/>
      <c r="NEQ50" s="10"/>
      <c r="NER50" s="10"/>
      <c r="NES50" s="10"/>
      <c r="NET50" s="10"/>
      <c r="NEU50" s="10"/>
      <c r="NEV50" s="10"/>
      <c r="NEW50" s="10"/>
      <c r="NEX50" s="10"/>
      <c r="NEY50" s="10"/>
      <c r="NEZ50" s="10"/>
      <c r="NFA50" s="10"/>
      <c r="NFB50" s="10"/>
      <c r="NFC50" s="10"/>
      <c r="NFD50" s="10"/>
      <c r="NFE50" s="10"/>
      <c r="NFF50" s="10"/>
      <c r="NFG50" s="10"/>
      <c r="NFH50" s="10"/>
      <c r="NFI50" s="10"/>
      <c r="NFJ50" s="10"/>
      <c r="NFK50" s="10"/>
      <c r="NFL50" s="10"/>
      <c r="NFM50" s="10"/>
      <c r="NFN50" s="10"/>
      <c r="NFO50" s="10"/>
      <c r="NFP50" s="10"/>
      <c r="NFQ50" s="10"/>
      <c r="NFR50" s="10"/>
      <c r="NFS50" s="10"/>
      <c r="NFT50" s="10"/>
      <c r="NFU50" s="10"/>
      <c r="NFV50" s="10"/>
      <c r="NFW50" s="10"/>
      <c r="NFX50" s="10"/>
      <c r="NFY50" s="10"/>
      <c r="NFZ50" s="10"/>
      <c r="NGA50" s="10"/>
      <c r="NGB50" s="10"/>
      <c r="NGC50" s="10"/>
      <c r="NGD50" s="10"/>
      <c r="NGE50" s="10"/>
      <c r="NGF50" s="10"/>
      <c r="NGG50" s="10"/>
      <c r="NGH50" s="10"/>
      <c r="NGI50" s="10"/>
      <c r="NGJ50" s="10"/>
      <c r="NGK50" s="10"/>
      <c r="NGL50" s="10"/>
      <c r="NGM50" s="10"/>
      <c r="NGN50" s="10"/>
      <c r="NGO50" s="10"/>
      <c r="NGP50" s="10"/>
      <c r="NGQ50" s="10"/>
      <c r="NGR50" s="10"/>
      <c r="NGS50" s="10"/>
      <c r="NGT50" s="10"/>
      <c r="NGU50" s="10"/>
      <c r="NGV50" s="10"/>
      <c r="NGW50" s="10"/>
      <c r="NGX50" s="10"/>
      <c r="NGY50" s="10"/>
      <c r="NGZ50" s="10"/>
      <c r="NHA50" s="10"/>
      <c r="NHB50" s="10"/>
      <c r="NHC50" s="10"/>
      <c r="NHD50" s="10"/>
      <c r="NHE50" s="10"/>
      <c r="NHF50" s="10"/>
      <c r="NHG50" s="10"/>
      <c r="NHH50" s="10"/>
      <c r="NHI50" s="10"/>
      <c r="NHJ50" s="10"/>
      <c r="NHK50" s="10"/>
      <c r="NHL50" s="10"/>
      <c r="NHM50" s="10"/>
      <c r="NHN50" s="10"/>
      <c r="NHO50" s="10"/>
      <c r="NHP50" s="10"/>
      <c r="NHQ50" s="10"/>
      <c r="NHR50" s="10"/>
      <c r="NHS50" s="10"/>
      <c r="NHT50" s="10"/>
      <c r="NHU50" s="10"/>
      <c r="NHV50" s="10"/>
      <c r="NHW50" s="10"/>
      <c r="NHX50" s="10"/>
      <c r="NHY50" s="10"/>
      <c r="NHZ50" s="10"/>
      <c r="NIA50" s="10"/>
      <c r="NIB50" s="10"/>
      <c r="NIC50" s="10"/>
      <c r="NID50" s="10"/>
      <c r="NIE50" s="10"/>
      <c r="NIF50" s="10"/>
      <c r="NIG50" s="10"/>
      <c r="NIH50" s="10"/>
      <c r="NII50" s="10"/>
      <c r="NIJ50" s="10"/>
      <c r="NIK50" s="10"/>
      <c r="NIL50" s="10"/>
      <c r="NIM50" s="10"/>
      <c r="NIN50" s="10"/>
      <c r="NIO50" s="10"/>
      <c r="NIP50" s="10"/>
      <c r="NIQ50" s="10"/>
      <c r="NIR50" s="10"/>
      <c r="NIS50" s="10"/>
      <c r="NIT50" s="10"/>
      <c r="NIU50" s="10"/>
      <c r="NIV50" s="10"/>
      <c r="NIW50" s="10"/>
      <c r="NIX50" s="10"/>
      <c r="NIY50" s="10"/>
      <c r="NIZ50" s="10"/>
      <c r="NJA50" s="10"/>
      <c r="NJB50" s="10"/>
      <c r="NJC50" s="10"/>
      <c r="NJD50" s="10"/>
      <c r="NJE50" s="10"/>
      <c r="NJF50" s="10"/>
      <c r="NJG50" s="10"/>
      <c r="NJH50" s="10"/>
      <c r="NJI50" s="10"/>
      <c r="NJJ50" s="10"/>
      <c r="NJK50" s="10"/>
      <c r="NJL50" s="10"/>
      <c r="NJM50" s="10"/>
      <c r="NJN50" s="10"/>
      <c r="NJO50" s="10"/>
      <c r="NJP50" s="10"/>
      <c r="NJQ50" s="10"/>
      <c r="NJR50" s="10"/>
      <c r="NJS50" s="10"/>
      <c r="NJT50" s="10"/>
      <c r="NJU50" s="10"/>
      <c r="NJV50" s="10"/>
      <c r="NJW50" s="10"/>
      <c r="NJX50" s="10"/>
      <c r="NJY50" s="10"/>
      <c r="NJZ50" s="10"/>
      <c r="NKA50" s="10"/>
      <c r="NKB50" s="10"/>
      <c r="NKC50" s="10"/>
      <c r="NKD50" s="10"/>
      <c r="NKE50" s="10"/>
      <c r="NKF50" s="10"/>
      <c r="NKG50" s="10"/>
      <c r="NKH50" s="10"/>
      <c r="NKI50" s="10"/>
      <c r="NKJ50" s="10"/>
      <c r="NKK50" s="10"/>
      <c r="NKL50" s="10"/>
      <c r="NKM50" s="10"/>
      <c r="NKN50" s="10"/>
      <c r="NKO50" s="10"/>
      <c r="NKP50" s="10"/>
      <c r="NKQ50" s="10"/>
      <c r="NKR50" s="10"/>
      <c r="NKS50" s="10"/>
      <c r="NKT50" s="10"/>
      <c r="NKU50" s="10"/>
      <c r="NKV50" s="10"/>
      <c r="NKW50" s="10"/>
      <c r="NKX50" s="10"/>
      <c r="NKY50" s="10"/>
      <c r="NKZ50" s="10"/>
      <c r="NLA50" s="10"/>
      <c r="NLB50" s="10"/>
      <c r="NLC50" s="10"/>
      <c r="NLD50" s="10"/>
      <c r="NLE50" s="10"/>
      <c r="NLF50" s="10"/>
      <c r="NLG50" s="10"/>
      <c r="NLH50" s="10"/>
      <c r="NLI50" s="10"/>
      <c r="NLJ50" s="10"/>
      <c r="NLK50" s="10"/>
      <c r="NLL50" s="10"/>
      <c r="NLM50" s="10"/>
      <c r="NLN50" s="10"/>
      <c r="NLO50" s="10"/>
      <c r="NLP50" s="10"/>
      <c r="NLQ50" s="10"/>
      <c r="NLR50" s="10"/>
      <c r="NLS50" s="10"/>
      <c r="NLT50" s="10"/>
      <c r="NLU50" s="10"/>
      <c r="NLV50" s="10"/>
      <c r="NLW50" s="10"/>
      <c r="NLX50" s="10"/>
      <c r="NLY50" s="10"/>
      <c r="NLZ50" s="10"/>
      <c r="NMA50" s="10"/>
      <c r="NMB50" s="10"/>
      <c r="NMC50" s="10"/>
      <c r="NMD50" s="10"/>
      <c r="NME50" s="10"/>
      <c r="NMF50" s="10"/>
      <c r="NMG50" s="10"/>
      <c r="NMH50" s="10"/>
      <c r="NMI50" s="10"/>
      <c r="NMJ50" s="10"/>
      <c r="NMK50" s="10"/>
      <c r="NML50" s="10"/>
      <c r="NMM50" s="10"/>
      <c r="NMN50" s="10"/>
      <c r="NMO50" s="10"/>
      <c r="NMP50" s="10"/>
      <c r="NMQ50" s="10"/>
      <c r="NMR50" s="10"/>
      <c r="NMS50" s="10"/>
      <c r="NMT50" s="10"/>
      <c r="NMU50" s="10"/>
      <c r="NMV50" s="10"/>
      <c r="NMW50" s="10"/>
      <c r="NMX50" s="10"/>
      <c r="NMY50" s="10"/>
      <c r="NMZ50" s="10"/>
      <c r="NNA50" s="10"/>
      <c r="NNB50" s="10"/>
      <c r="NNC50" s="10"/>
      <c r="NND50" s="10"/>
      <c r="NNE50" s="10"/>
      <c r="NNF50" s="10"/>
      <c r="NNG50" s="10"/>
      <c r="NNH50" s="10"/>
      <c r="NNI50" s="10"/>
      <c r="NNJ50" s="10"/>
      <c r="NNK50" s="10"/>
      <c r="NNL50" s="10"/>
      <c r="NNM50" s="10"/>
      <c r="NNN50" s="10"/>
      <c r="NNO50" s="10"/>
      <c r="NNP50" s="10"/>
      <c r="NNQ50" s="10"/>
      <c r="NNR50" s="10"/>
      <c r="NNS50" s="10"/>
      <c r="NNT50" s="10"/>
      <c r="NNU50" s="10"/>
      <c r="NNV50" s="10"/>
      <c r="NNW50" s="10"/>
      <c r="NNX50" s="10"/>
      <c r="NNY50" s="10"/>
      <c r="NNZ50" s="10"/>
      <c r="NOA50" s="10"/>
      <c r="NOB50" s="10"/>
      <c r="NOC50" s="10"/>
      <c r="NOD50" s="10"/>
      <c r="NOE50" s="10"/>
      <c r="NOF50" s="10"/>
      <c r="NOG50" s="10"/>
      <c r="NOH50" s="10"/>
      <c r="NOI50" s="10"/>
      <c r="NOJ50" s="10"/>
      <c r="NOK50" s="10"/>
      <c r="NOL50" s="10"/>
      <c r="NOM50" s="10"/>
      <c r="NON50" s="10"/>
      <c r="NOO50" s="10"/>
      <c r="NOP50" s="10"/>
      <c r="NOQ50" s="10"/>
      <c r="NOR50" s="10"/>
      <c r="NOS50" s="10"/>
      <c r="NOT50" s="10"/>
      <c r="NOU50" s="10"/>
      <c r="NOV50" s="10"/>
      <c r="NOW50" s="10"/>
      <c r="NOX50" s="10"/>
      <c r="NOY50" s="10"/>
      <c r="NOZ50" s="10"/>
      <c r="NPA50" s="10"/>
      <c r="NPB50" s="10"/>
      <c r="NPC50" s="10"/>
      <c r="NPD50" s="10"/>
      <c r="NPE50" s="10"/>
      <c r="NPF50" s="10"/>
      <c r="NPG50" s="10"/>
      <c r="NPH50" s="10"/>
      <c r="NPI50" s="10"/>
      <c r="NPJ50" s="10"/>
      <c r="NPK50" s="10"/>
      <c r="NPL50" s="10"/>
      <c r="NPM50" s="10"/>
      <c r="NPN50" s="10"/>
      <c r="NPO50" s="10"/>
      <c r="NPP50" s="10"/>
      <c r="NPQ50" s="10"/>
      <c r="NPR50" s="10"/>
      <c r="NPS50" s="10"/>
      <c r="NPT50" s="10"/>
      <c r="NPU50" s="10"/>
      <c r="NPV50" s="10"/>
      <c r="NPW50" s="10"/>
      <c r="NPX50" s="10"/>
      <c r="NPY50" s="10"/>
      <c r="NPZ50" s="10"/>
      <c r="NQA50" s="10"/>
      <c r="NQB50" s="10"/>
      <c r="NQC50" s="10"/>
      <c r="NQD50" s="10"/>
      <c r="NQE50" s="10"/>
      <c r="NQF50" s="10"/>
      <c r="NQG50" s="10"/>
      <c r="NQH50" s="10"/>
      <c r="NQI50" s="10"/>
      <c r="NQJ50" s="10"/>
      <c r="NQK50" s="10"/>
      <c r="NQL50" s="10"/>
      <c r="NQM50" s="10"/>
      <c r="NQN50" s="10"/>
      <c r="NQO50" s="10"/>
      <c r="NQP50" s="10"/>
      <c r="NQQ50" s="10"/>
      <c r="NQR50" s="10"/>
      <c r="NQS50" s="10"/>
      <c r="NQT50" s="10"/>
      <c r="NQU50" s="10"/>
      <c r="NQV50" s="10"/>
      <c r="NQW50" s="10"/>
      <c r="NQX50" s="10"/>
      <c r="NQY50" s="10"/>
      <c r="NQZ50" s="10"/>
      <c r="NRA50" s="10"/>
      <c r="NRB50" s="10"/>
      <c r="NRC50" s="10"/>
      <c r="NRD50" s="10"/>
      <c r="NRE50" s="10"/>
      <c r="NRF50" s="10"/>
      <c r="NRG50" s="10"/>
      <c r="NRH50" s="10"/>
      <c r="NRI50" s="10"/>
      <c r="NRJ50" s="10"/>
      <c r="NRK50" s="10"/>
      <c r="NRL50" s="10"/>
      <c r="NRM50" s="10"/>
      <c r="NRN50" s="10"/>
      <c r="NRO50" s="10"/>
      <c r="NRP50" s="10"/>
      <c r="NRQ50" s="10"/>
      <c r="NRR50" s="10"/>
      <c r="NRS50" s="10"/>
      <c r="NRT50" s="10"/>
      <c r="NRU50" s="10"/>
      <c r="NRV50" s="10"/>
      <c r="NRW50" s="10"/>
      <c r="NRX50" s="10"/>
      <c r="NRY50" s="10"/>
      <c r="NRZ50" s="10"/>
      <c r="NSA50" s="10"/>
      <c r="NSB50" s="10"/>
      <c r="NSC50" s="10"/>
      <c r="NSD50" s="10"/>
      <c r="NSE50" s="10"/>
      <c r="NSF50" s="10"/>
      <c r="NSG50" s="10"/>
      <c r="NSH50" s="10"/>
      <c r="NSI50" s="10"/>
      <c r="NSJ50" s="10"/>
      <c r="NSK50" s="10"/>
      <c r="NSL50" s="10"/>
      <c r="NSM50" s="10"/>
      <c r="NSN50" s="10"/>
      <c r="NSO50" s="10"/>
      <c r="NSP50" s="10"/>
      <c r="NSQ50" s="10"/>
      <c r="NSR50" s="10"/>
      <c r="NSS50" s="10"/>
      <c r="NST50" s="10"/>
      <c r="NSU50" s="10"/>
      <c r="NSV50" s="10"/>
      <c r="NSW50" s="10"/>
      <c r="NSX50" s="10"/>
      <c r="NSY50" s="10"/>
      <c r="NSZ50" s="10"/>
      <c r="NTA50" s="10"/>
      <c r="NTB50" s="10"/>
      <c r="NTC50" s="10"/>
      <c r="NTD50" s="10"/>
      <c r="NTE50" s="10"/>
      <c r="NTF50" s="10"/>
      <c r="NTG50" s="10"/>
      <c r="NTH50" s="10"/>
      <c r="NTI50" s="10"/>
      <c r="NTJ50" s="10"/>
      <c r="NTK50" s="10"/>
      <c r="NTL50" s="10"/>
      <c r="NTM50" s="10"/>
      <c r="NTN50" s="10"/>
      <c r="NTO50" s="10"/>
      <c r="NTP50" s="10"/>
      <c r="NTQ50" s="10"/>
      <c r="NTR50" s="10"/>
      <c r="NTS50" s="10"/>
      <c r="NTT50" s="10"/>
      <c r="NTU50" s="10"/>
      <c r="NTV50" s="10"/>
      <c r="NTW50" s="10"/>
      <c r="NTX50" s="10"/>
      <c r="NTY50" s="10"/>
      <c r="NTZ50" s="10"/>
      <c r="NUA50" s="10"/>
      <c r="NUB50" s="10"/>
      <c r="NUC50" s="10"/>
      <c r="NUD50" s="10"/>
      <c r="NUE50" s="10"/>
      <c r="NUF50" s="10"/>
      <c r="NUG50" s="10"/>
      <c r="NUH50" s="10"/>
      <c r="NUI50" s="10"/>
      <c r="NUJ50" s="10"/>
      <c r="NUK50" s="10"/>
      <c r="NUL50" s="10"/>
      <c r="NUM50" s="10"/>
      <c r="NUN50" s="10"/>
      <c r="NUO50" s="10"/>
      <c r="NUP50" s="10"/>
      <c r="NUQ50" s="10"/>
      <c r="NUR50" s="10"/>
      <c r="NUS50" s="10"/>
      <c r="NUT50" s="10"/>
      <c r="NUU50" s="10"/>
      <c r="NUV50" s="10"/>
      <c r="NUW50" s="10"/>
      <c r="NUX50" s="10"/>
      <c r="NUY50" s="10"/>
      <c r="NUZ50" s="10"/>
      <c r="NVA50" s="10"/>
      <c r="NVB50" s="10"/>
      <c r="NVC50" s="10"/>
      <c r="NVD50" s="10"/>
      <c r="NVE50" s="10"/>
      <c r="NVF50" s="10"/>
      <c r="NVG50" s="10"/>
      <c r="NVH50" s="10"/>
      <c r="NVI50" s="10"/>
      <c r="NVJ50" s="10"/>
      <c r="NVK50" s="10"/>
      <c r="NVL50" s="10"/>
      <c r="NVM50" s="10"/>
      <c r="NVN50" s="10"/>
      <c r="NVO50" s="10"/>
      <c r="NVP50" s="10"/>
      <c r="NVQ50" s="10"/>
      <c r="NVR50" s="10"/>
      <c r="NVS50" s="10"/>
      <c r="NVT50" s="10"/>
      <c r="NVU50" s="10"/>
      <c r="NVV50" s="10"/>
      <c r="NVW50" s="10"/>
      <c r="NVX50" s="10"/>
      <c r="NVY50" s="10"/>
      <c r="NVZ50" s="10"/>
      <c r="NWA50" s="10"/>
      <c r="NWB50" s="10"/>
      <c r="NWC50" s="10"/>
      <c r="NWD50" s="10"/>
      <c r="NWE50" s="10"/>
      <c r="NWF50" s="10"/>
      <c r="NWG50" s="10"/>
      <c r="NWH50" s="10"/>
      <c r="NWI50" s="10"/>
      <c r="NWJ50" s="10"/>
      <c r="NWK50" s="10"/>
      <c r="NWL50" s="10"/>
      <c r="NWM50" s="10"/>
      <c r="NWN50" s="10"/>
      <c r="NWO50" s="10"/>
      <c r="NWP50" s="10"/>
      <c r="NWQ50" s="10"/>
      <c r="NWR50" s="10"/>
      <c r="NWS50" s="10"/>
      <c r="NWT50" s="10"/>
      <c r="NWU50" s="10"/>
      <c r="NWV50" s="10"/>
      <c r="NWW50" s="10"/>
      <c r="NWX50" s="10"/>
      <c r="NWY50" s="10"/>
      <c r="NWZ50" s="10"/>
      <c r="NXA50" s="10"/>
      <c r="NXB50" s="10"/>
      <c r="NXC50" s="10"/>
      <c r="NXD50" s="10"/>
      <c r="NXE50" s="10"/>
      <c r="NXF50" s="10"/>
      <c r="NXG50" s="10"/>
      <c r="NXH50" s="10"/>
      <c r="NXI50" s="10"/>
      <c r="NXJ50" s="10"/>
      <c r="NXK50" s="10"/>
      <c r="NXL50" s="10"/>
      <c r="NXM50" s="10"/>
      <c r="NXN50" s="10"/>
      <c r="NXO50" s="10"/>
      <c r="NXP50" s="10"/>
      <c r="NXQ50" s="10"/>
      <c r="NXR50" s="10"/>
      <c r="NXS50" s="10"/>
      <c r="NXT50" s="10"/>
      <c r="NXU50" s="10"/>
      <c r="NXV50" s="10"/>
      <c r="NXW50" s="10"/>
      <c r="NXX50" s="10"/>
      <c r="NXY50" s="10"/>
      <c r="NXZ50" s="10"/>
      <c r="NYA50" s="10"/>
      <c r="NYB50" s="10"/>
      <c r="NYC50" s="10"/>
      <c r="NYD50" s="10"/>
      <c r="NYE50" s="10"/>
      <c r="NYF50" s="10"/>
      <c r="NYG50" s="10"/>
      <c r="NYH50" s="10"/>
      <c r="NYI50" s="10"/>
      <c r="NYJ50" s="10"/>
      <c r="NYK50" s="10"/>
      <c r="NYL50" s="10"/>
      <c r="NYM50" s="10"/>
      <c r="NYN50" s="10"/>
      <c r="NYO50" s="10"/>
      <c r="NYP50" s="10"/>
      <c r="NYQ50" s="10"/>
      <c r="NYR50" s="10"/>
      <c r="NYS50" s="10"/>
      <c r="NYT50" s="10"/>
      <c r="NYU50" s="10"/>
      <c r="NYV50" s="10"/>
      <c r="NYW50" s="10"/>
      <c r="NYX50" s="10"/>
      <c r="NYY50" s="10"/>
      <c r="NYZ50" s="10"/>
      <c r="NZA50" s="10"/>
      <c r="NZB50" s="10"/>
      <c r="NZC50" s="10"/>
      <c r="NZD50" s="10"/>
      <c r="NZE50" s="10"/>
      <c r="NZF50" s="10"/>
      <c r="NZG50" s="10"/>
      <c r="NZH50" s="10"/>
      <c r="NZI50" s="10"/>
      <c r="NZJ50" s="10"/>
      <c r="NZK50" s="10"/>
      <c r="NZL50" s="10"/>
      <c r="NZM50" s="10"/>
      <c r="NZN50" s="10"/>
      <c r="NZO50" s="10"/>
      <c r="NZP50" s="10"/>
      <c r="NZQ50" s="10"/>
      <c r="NZR50" s="10"/>
      <c r="NZS50" s="10"/>
      <c r="NZT50" s="10"/>
      <c r="NZU50" s="10"/>
      <c r="NZV50" s="10"/>
      <c r="NZW50" s="10"/>
      <c r="NZX50" s="10"/>
      <c r="NZY50" s="10"/>
      <c r="NZZ50" s="10"/>
      <c r="OAA50" s="10"/>
      <c r="OAB50" s="10"/>
      <c r="OAC50" s="10"/>
      <c r="OAD50" s="10"/>
      <c r="OAE50" s="10"/>
      <c r="OAF50" s="10"/>
      <c r="OAG50" s="10"/>
      <c r="OAH50" s="10"/>
      <c r="OAI50" s="10"/>
      <c r="OAJ50" s="10"/>
      <c r="OAK50" s="10"/>
      <c r="OAL50" s="10"/>
      <c r="OAM50" s="10"/>
      <c r="OAN50" s="10"/>
      <c r="OAO50" s="10"/>
      <c r="OAP50" s="10"/>
      <c r="OAQ50" s="10"/>
      <c r="OAR50" s="10"/>
      <c r="OAS50" s="10"/>
      <c r="OAT50" s="10"/>
      <c r="OAU50" s="10"/>
      <c r="OAV50" s="10"/>
      <c r="OAW50" s="10"/>
      <c r="OAX50" s="10"/>
      <c r="OAY50" s="10"/>
      <c r="OAZ50" s="10"/>
      <c r="OBA50" s="10"/>
      <c r="OBB50" s="10"/>
      <c r="OBC50" s="10"/>
      <c r="OBD50" s="10"/>
      <c r="OBE50" s="10"/>
      <c r="OBF50" s="10"/>
      <c r="OBG50" s="10"/>
      <c r="OBH50" s="10"/>
      <c r="OBI50" s="10"/>
      <c r="OBJ50" s="10"/>
      <c r="OBK50" s="10"/>
      <c r="OBL50" s="10"/>
      <c r="OBM50" s="10"/>
      <c r="OBN50" s="10"/>
      <c r="OBO50" s="10"/>
      <c r="OBP50" s="10"/>
      <c r="OBQ50" s="10"/>
      <c r="OBR50" s="10"/>
      <c r="OBS50" s="10"/>
      <c r="OBT50" s="10"/>
      <c r="OBU50" s="10"/>
      <c r="OBV50" s="10"/>
      <c r="OBW50" s="10"/>
      <c r="OBX50" s="10"/>
      <c r="OBY50" s="10"/>
      <c r="OBZ50" s="10"/>
      <c r="OCA50" s="10"/>
      <c r="OCB50" s="10"/>
      <c r="OCC50" s="10"/>
      <c r="OCD50" s="10"/>
      <c r="OCE50" s="10"/>
      <c r="OCF50" s="10"/>
      <c r="OCG50" s="10"/>
      <c r="OCH50" s="10"/>
      <c r="OCI50" s="10"/>
      <c r="OCJ50" s="10"/>
      <c r="OCK50" s="10"/>
      <c r="OCL50" s="10"/>
      <c r="OCM50" s="10"/>
      <c r="OCN50" s="10"/>
      <c r="OCO50" s="10"/>
      <c r="OCP50" s="10"/>
      <c r="OCQ50" s="10"/>
      <c r="OCR50" s="10"/>
      <c r="OCS50" s="10"/>
      <c r="OCT50" s="10"/>
      <c r="OCU50" s="10"/>
      <c r="OCV50" s="10"/>
      <c r="OCW50" s="10"/>
      <c r="OCX50" s="10"/>
      <c r="OCY50" s="10"/>
      <c r="OCZ50" s="10"/>
      <c r="ODA50" s="10"/>
      <c r="ODB50" s="10"/>
      <c r="ODC50" s="10"/>
      <c r="ODD50" s="10"/>
      <c r="ODE50" s="10"/>
      <c r="ODF50" s="10"/>
      <c r="ODG50" s="10"/>
      <c r="ODH50" s="10"/>
      <c r="ODI50" s="10"/>
      <c r="ODJ50" s="10"/>
      <c r="ODK50" s="10"/>
      <c r="ODL50" s="10"/>
      <c r="ODM50" s="10"/>
      <c r="ODN50" s="10"/>
      <c r="ODO50" s="10"/>
      <c r="ODP50" s="10"/>
      <c r="ODQ50" s="10"/>
      <c r="ODR50" s="10"/>
      <c r="ODS50" s="10"/>
      <c r="ODT50" s="10"/>
      <c r="ODU50" s="10"/>
      <c r="ODV50" s="10"/>
      <c r="ODW50" s="10"/>
      <c r="ODX50" s="10"/>
      <c r="ODY50" s="10"/>
      <c r="ODZ50" s="10"/>
      <c r="OEA50" s="10"/>
      <c r="OEB50" s="10"/>
      <c r="OEC50" s="10"/>
      <c r="OED50" s="10"/>
      <c r="OEE50" s="10"/>
      <c r="OEF50" s="10"/>
      <c r="OEG50" s="10"/>
      <c r="OEH50" s="10"/>
      <c r="OEI50" s="10"/>
      <c r="OEJ50" s="10"/>
      <c r="OEK50" s="10"/>
      <c r="OEL50" s="10"/>
      <c r="OEM50" s="10"/>
      <c r="OEN50" s="10"/>
      <c r="OEO50" s="10"/>
      <c r="OEP50" s="10"/>
      <c r="OEQ50" s="10"/>
      <c r="OER50" s="10"/>
      <c r="OES50" s="10"/>
      <c r="OET50" s="10"/>
      <c r="OEU50" s="10"/>
      <c r="OEV50" s="10"/>
      <c r="OEW50" s="10"/>
      <c r="OEX50" s="10"/>
      <c r="OEY50" s="10"/>
      <c r="OEZ50" s="10"/>
      <c r="OFA50" s="10"/>
      <c r="OFB50" s="10"/>
      <c r="OFC50" s="10"/>
      <c r="OFD50" s="10"/>
      <c r="OFE50" s="10"/>
      <c r="OFF50" s="10"/>
      <c r="OFG50" s="10"/>
      <c r="OFH50" s="10"/>
      <c r="OFI50" s="10"/>
      <c r="OFJ50" s="10"/>
      <c r="OFK50" s="10"/>
      <c r="OFL50" s="10"/>
      <c r="OFM50" s="10"/>
      <c r="OFN50" s="10"/>
      <c r="OFO50" s="10"/>
      <c r="OFP50" s="10"/>
      <c r="OFQ50" s="10"/>
      <c r="OFR50" s="10"/>
      <c r="OFS50" s="10"/>
      <c r="OFT50" s="10"/>
      <c r="OFU50" s="10"/>
      <c r="OFV50" s="10"/>
      <c r="OFW50" s="10"/>
      <c r="OFX50" s="10"/>
      <c r="OFY50" s="10"/>
      <c r="OFZ50" s="10"/>
      <c r="OGA50" s="10"/>
      <c r="OGB50" s="10"/>
      <c r="OGC50" s="10"/>
      <c r="OGD50" s="10"/>
      <c r="OGE50" s="10"/>
      <c r="OGF50" s="10"/>
      <c r="OGG50" s="10"/>
      <c r="OGH50" s="10"/>
      <c r="OGI50" s="10"/>
      <c r="OGJ50" s="10"/>
      <c r="OGK50" s="10"/>
      <c r="OGL50" s="10"/>
      <c r="OGM50" s="10"/>
      <c r="OGN50" s="10"/>
      <c r="OGO50" s="10"/>
      <c r="OGP50" s="10"/>
      <c r="OGQ50" s="10"/>
      <c r="OGR50" s="10"/>
      <c r="OGS50" s="10"/>
      <c r="OGT50" s="10"/>
      <c r="OGU50" s="10"/>
      <c r="OGV50" s="10"/>
      <c r="OGW50" s="10"/>
      <c r="OGX50" s="10"/>
      <c r="OGY50" s="10"/>
      <c r="OGZ50" s="10"/>
      <c r="OHA50" s="10"/>
      <c r="OHB50" s="10"/>
      <c r="OHC50" s="10"/>
      <c r="OHD50" s="10"/>
      <c r="OHE50" s="10"/>
      <c r="OHF50" s="10"/>
      <c r="OHG50" s="10"/>
      <c r="OHH50" s="10"/>
      <c r="OHI50" s="10"/>
      <c r="OHJ50" s="10"/>
      <c r="OHK50" s="10"/>
      <c r="OHL50" s="10"/>
      <c r="OHM50" s="10"/>
      <c r="OHN50" s="10"/>
      <c r="OHO50" s="10"/>
      <c r="OHP50" s="10"/>
      <c r="OHQ50" s="10"/>
      <c r="OHR50" s="10"/>
      <c r="OHS50" s="10"/>
      <c r="OHT50" s="10"/>
      <c r="OHU50" s="10"/>
      <c r="OHV50" s="10"/>
      <c r="OHW50" s="10"/>
      <c r="OHX50" s="10"/>
      <c r="OHY50" s="10"/>
      <c r="OHZ50" s="10"/>
      <c r="OIA50" s="10"/>
      <c r="OIB50" s="10"/>
      <c r="OIC50" s="10"/>
      <c r="OID50" s="10"/>
      <c r="OIE50" s="10"/>
      <c r="OIF50" s="10"/>
      <c r="OIG50" s="10"/>
      <c r="OIH50" s="10"/>
      <c r="OII50" s="10"/>
      <c r="OIJ50" s="10"/>
      <c r="OIK50" s="10"/>
      <c r="OIL50" s="10"/>
      <c r="OIM50" s="10"/>
      <c r="OIN50" s="10"/>
      <c r="OIO50" s="10"/>
      <c r="OIP50" s="10"/>
      <c r="OIQ50" s="10"/>
      <c r="OIR50" s="10"/>
      <c r="OIS50" s="10"/>
      <c r="OIT50" s="10"/>
      <c r="OIU50" s="10"/>
      <c r="OIV50" s="10"/>
      <c r="OIW50" s="10"/>
      <c r="OIX50" s="10"/>
      <c r="OIY50" s="10"/>
      <c r="OIZ50" s="10"/>
      <c r="OJA50" s="10"/>
      <c r="OJB50" s="10"/>
      <c r="OJC50" s="10"/>
      <c r="OJD50" s="10"/>
      <c r="OJE50" s="10"/>
      <c r="OJF50" s="10"/>
      <c r="OJG50" s="10"/>
      <c r="OJH50" s="10"/>
      <c r="OJI50" s="10"/>
      <c r="OJJ50" s="10"/>
      <c r="OJK50" s="10"/>
      <c r="OJL50" s="10"/>
      <c r="OJM50" s="10"/>
      <c r="OJN50" s="10"/>
      <c r="OJO50" s="10"/>
      <c r="OJP50" s="10"/>
      <c r="OJQ50" s="10"/>
      <c r="OJR50" s="10"/>
      <c r="OJS50" s="10"/>
      <c r="OJT50" s="10"/>
      <c r="OJU50" s="10"/>
      <c r="OJV50" s="10"/>
      <c r="OJW50" s="10"/>
      <c r="OJX50" s="10"/>
      <c r="OJY50" s="10"/>
      <c r="OJZ50" s="10"/>
      <c r="OKA50" s="10"/>
      <c r="OKB50" s="10"/>
      <c r="OKC50" s="10"/>
      <c r="OKD50" s="10"/>
      <c r="OKE50" s="10"/>
      <c r="OKF50" s="10"/>
      <c r="OKG50" s="10"/>
      <c r="OKH50" s="10"/>
      <c r="OKI50" s="10"/>
      <c r="OKJ50" s="10"/>
      <c r="OKK50" s="10"/>
      <c r="OKL50" s="10"/>
      <c r="OKM50" s="10"/>
      <c r="OKN50" s="10"/>
      <c r="OKO50" s="10"/>
      <c r="OKP50" s="10"/>
      <c r="OKQ50" s="10"/>
      <c r="OKR50" s="10"/>
      <c r="OKS50" s="10"/>
      <c r="OKT50" s="10"/>
      <c r="OKU50" s="10"/>
      <c r="OKV50" s="10"/>
      <c r="OKW50" s="10"/>
      <c r="OKX50" s="10"/>
      <c r="OKY50" s="10"/>
      <c r="OKZ50" s="10"/>
      <c r="OLA50" s="10"/>
      <c r="OLB50" s="10"/>
      <c r="OLC50" s="10"/>
      <c r="OLD50" s="10"/>
      <c r="OLE50" s="10"/>
      <c r="OLF50" s="10"/>
      <c r="OLG50" s="10"/>
      <c r="OLH50" s="10"/>
      <c r="OLI50" s="10"/>
      <c r="OLJ50" s="10"/>
      <c r="OLK50" s="10"/>
      <c r="OLL50" s="10"/>
      <c r="OLM50" s="10"/>
      <c r="OLN50" s="10"/>
      <c r="OLO50" s="10"/>
      <c r="OLP50" s="10"/>
      <c r="OLQ50" s="10"/>
      <c r="OLR50" s="10"/>
      <c r="OLS50" s="10"/>
      <c r="OLT50" s="10"/>
      <c r="OLU50" s="10"/>
      <c r="OLV50" s="10"/>
      <c r="OLW50" s="10"/>
      <c r="OLX50" s="10"/>
      <c r="OLY50" s="10"/>
      <c r="OLZ50" s="10"/>
      <c r="OMA50" s="10"/>
      <c r="OMB50" s="10"/>
      <c r="OMC50" s="10"/>
      <c r="OMD50" s="10"/>
      <c r="OME50" s="10"/>
      <c r="OMF50" s="10"/>
      <c r="OMG50" s="10"/>
      <c r="OMH50" s="10"/>
      <c r="OMI50" s="10"/>
      <c r="OMJ50" s="10"/>
      <c r="OMK50" s="10"/>
      <c r="OML50" s="10"/>
      <c r="OMM50" s="10"/>
      <c r="OMN50" s="10"/>
      <c r="OMO50" s="10"/>
      <c r="OMP50" s="10"/>
      <c r="OMQ50" s="10"/>
      <c r="OMR50" s="10"/>
      <c r="OMS50" s="10"/>
      <c r="OMT50" s="10"/>
      <c r="OMU50" s="10"/>
      <c r="OMV50" s="10"/>
      <c r="OMW50" s="10"/>
      <c r="OMX50" s="10"/>
      <c r="OMY50" s="10"/>
      <c r="OMZ50" s="10"/>
      <c r="ONA50" s="10"/>
      <c r="ONB50" s="10"/>
      <c r="ONC50" s="10"/>
      <c r="OND50" s="10"/>
      <c r="ONE50" s="10"/>
      <c r="ONF50" s="10"/>
      <c r="ONG50" s="10"/>
      <c r="ONH50" s="10"/>
      <c r="ONI50" s="10"/>
      <c r="ONJ50" s="10"/>
      <c r="ONK50" s="10"/>
      <c r="ONL50" s="10"/>
      <c r="ONM50" s="10"/>
      <c r="ONN50" s="10"/>
      <c r="ONO50" s="10"/>
      <c r="ONP50" s="10"/>
      <c r="ONQ50" s="10"/>
      <c r="ONR50" s="10"/>
      <c r="ONS50" s="10"/>
      <c r="ONT50" s="10"/>
      <c r="ONU50" s="10"/>
      <c r="ONV50" s="10"/>
      <c r="ONW50" s="10"/>
      <c r="ONX50" s="10"/>
      <c r="ONY50" s="10"/>
      <c r="ONZ50" s="10"/>
      <c r="OOA50" s="10"/>
      <c r="OOB50" s="10"/>
      <c r="OOC50" s="10"/>
      <c r="OOD50" s="10"/>
      <c r="OOE50" s="10"/>
      <c r="OOF50" s="10"/>
      <c r="OOG50" s="10"/>
      <c r="OOH50" s="10"/>
      <c r="OOI50" s="10"/>
      <c r="OOJ50" s="10"/>
      <c r="OOK50" s="10"/>
      <c r="OOL50" s="10"/>
      <c r="OOM50" s="10"/>
      <c r="OON50" s="10"/>
      <c r="OOO50" s="10"/>
      <c r="OOP50" s="10"/>
      <c r="OOQ50" s="10"/>
      <c r="OOR50" s="10"/>
      <c r="OOS50" s="10"/>
      <c r="OOT50" s="10"/>
      <c r="OOU50" s="10"/>
      <c r="OOV50" s="10"/>
      <c r="OOW50" s="10"/>
      <c r="OOX50" s="10"/>
      <c r="OOY50" s="10"/>
      <c r="OOZ50" s="10"/>
      <c r="OPA50" s="10"/>
      <c r="OPB50" s="10"/>
      <c r="OPC50" s="10"/>
      <c r="OPD50" s="10"/>
      <c r="OPE50" s="10"/>
      <c r="OPF50" s="10"/>
      <c r="OPG50" s="10"/>
      <c r="OPH50" s="10"/>
      <c r="OPI50" s="10"/>
      <c r="OPJ50" s="10"/>
      <c r="OPK50" s="10"/>
      <c r="OPL50" s="10"/>
      <c r="OPM50" s="10"/>
      <c r="OPN50" s="10"/>
      <c r="OPO50" s="10"/>
      <c r="OPP50" s="10"/>
      <c r="OPQ50" s="10"/>
      <c r="OPR50" s="10"/>
      <c r="OPS50" s="10"/>
      <c r="OPT50" s="10"/>
      <c r="OPU50" s="10"/>
      <c r="OPV50" s="10"/>
      <c r="OPW50" s="10"/>
      <c r="OPX50" s="10"/>
      <c r="OPY50" s="10"/>
      <c r="OPZ50" s="10"/>
      <c r="OQA50" s="10"/>
      <c r="OQB50" s="10"/>
      <c r="OQC50" s="10"/>
      <c r="OQD50" s="10"/>
      <c r="OQE50" s="10"/>
      <c r="OQF50" s="10"/>
      <c r="OQG50" s="10"/>
      <c r="OQH50" s="10"/>
      <c r="OQI50" s="10"/>
      <c r="OQJ50" s="10"/>
      <c r="OQK50" s="10"/>
      <c r="OQL50" s="10"/>
      <c r="OQM50" s="10"/>
      <c r="OQN50" s="10"/>
      <c r="OQO50" s="10"/>
      <c r="OQP50" s="10"/>
      <c r="OQQ50" s="10"/>
      <c r="OQR50" s="10"/>
      <c r="OQS50" s="10"/>
      <c r="OQT50" s="10"/>
      <c r="OQU50" s="10"/>
      <c r="OQV50" s="10"/>
      <c r="OQW50" s="10"/>
      <c r="OQX50" s="10"/>
      <c r="OQY50" s="10"/>
      <c r="OQZ50" s="10"/>
      <c r="ORA50" s="10"/>
      <c r="ORB50" s="10"/>
      <c r="ORC50" s="10"/>
      <c r="ORD50" s="10"/>
      <c r="ORE50" s="10"/>
      <c r="ORF50" s="10"/>
      <c r="ORG50" s="10"/>
      <c r="ORH50" s="10"/>
      <c r="ORI50" s="10"/>
      <c r="ORJ50" s="10"/>
      <c r="ORK50" s="10"/>
      <c r="ORL50" s="10"/>
      <c r="ORM50" s="10"/>
      <c r="ORN50" s="10"/>
      <c r="ORO50" s="10"/>
      <c r="ORP50" s="10"/>
      <c r="ORQ50" s="10"/>
      <c r="ORR50" s="10"/>
      <c r="ORS50" s="10"/>
      <c r="ORT50" s="10"/>
      <c r="ORU50" s="10"/>
      <c r="ORV50" s="10"/>
      <c r="ORW50" s="10"/>
      <c r="ORX50" s="10"/>
      <c r="ORY50" s="10"/>
      <c r="ORZ50" s="10"/>
      <c r="OSA50" s="10"/>
      <c r="OSB50" s="10"/>
      <c r="OSC50" s="10"/>
      <c r="OSD50" s="10"/>
      <c r="OSE50" s="10"/>
      <c r="OSF50" s="10"/>
      <c r="OSG50" s="10"/>
      <c r="OSH50" s="10"/>
      <c r="OSI50" s="10"/>
      <c r="OSJ50" s="10"/>
      <c r="OSK50" s="10"/>
      <c r="OSL50" s="10"/>
      <c r="OSM50" s="10"/>
      <c r="OSN50" s="10"/>
      <c r="OSO50" s="10"/>
      <c r="OSP50" s="10"/>
      <c r="OSQ50" s="10"/>
      <c r="OSR50" s="10"/>
      <c r="OSS50" s="10"/>
      <c r="OST50" s="10"/>
      <c r="OSU50" s="10"/>
      <c r="OSV50" s="10"/>
      <c r="OSW50" s="10"/>
      <c r="OSX50" s="10"/>
      <c r="OSY50" s="10"/>
      <c r="OSZ50" s="10"/>
      <c r="OTA50" s="10"/>
      <c r="OTB50" s="10"/>
      <c r="OTC50" s="10"/>
      <c r="OTD50" s="10"/>
      <c r="OTE50" s="10"/>
      <c r="OTF50" s="10"/>
      <c r="OTG50" s="10"/>
      <c r="OTH50" s="10"/>
      <c r="OTI50" s="10"/>
      <c r="OTJ50" s="10"/>
      <c r="OTK50" s="10"/>
      <c r="OTL50" s="10"/>
      <c r="OTM50" s="10"/>
      <c r="OTN50" s="10"/>
      <c r="OTO50" s="10"/>
      <c r="OTP50" s="10"/>
      <c r="OTQ50" s="10"/>
      <c r="OTR50" s="10"/>
      <c r="OTS50" s="10"/>
      <c r="OTT50" s="10"/>
      <c r="OTU50" s="10"/>
      <c r="OTV50" s="10"/>
      <c r="OTW50" s="10"/>
      <c r="OTX50" s="10"/>
      <c r="OTY50" s="10"/>
      <c r="OTZ50" s="10"/>
      <c r="OUA50" s="10"/>
      <c r="OUB50" s="10"/>
      <c r="OUC50" s="10"/>
      <c r="OUD50" s="10"/>
      <c r="OUE50" s="10"/>
      <c r="OUF50" s="10"/>
      <c r="OUG50" s="10"/>
      <c r="OUH50" s="10"/>
      <c r="OUI50" s="10"/>
      <c r="OUJ50" s="10"/>
      <c r="OUK50" s="10"/>
      <c r="OUL50" s="10"/>
      <c r="OUM50" s="10"/>
      <c r="OUN50" s="10"/>
      <c r="OUO50" s="10"/>
      <c r="OUP50" s="10"/>
      <c r="OUQ50" s="10"/>
      <c r="OUR50" s="10"/>
      <c r="OUS50" s="10"/>
      <c r="OUT50" s="10"/>
      <c r="OUU50" s="10"/>
      <c r="OUV50" s="10"/>
      <c r="OUW50" s="10"/>
      <c r="OUX50" s="10"/>
      <c r="OUY50" s="10"/>
      <c r="OUZ50" s="10"/>
      <c r="OVA50" s="10"/>
      <c r="OVB50" s="10"/>
      <c r="OVC50" s="10"/>
      <c r="OVD50" s="10"/>
      <c r="OVE50" s="10"/>
      <c r="OVF50" s="10"/>
      <c r="OVG50" s="10"/>
      <c r="OVH50" s="10"/>
      <c r="OVI50" s="10"/>
      <c r="OVJ50" s="10"/>
      <c r="OVK50" s="10"/>
      <c r="OVL50" s="10"/>
      <c r="OVM50" s="10"/>
      <c r="OVN50" s="10"/>
      <c r="OVO50" s="10"/>
      <c r="OVP50" s="10"/>
      <c r="OVQ50" s="10"/>
      <c r="OVR50" s="10"/>
      <c r="OVS50" s="10"/>
      <c r="OVT50" s="10"/>
      <c r="OVU50" s="10"/>
      <c r="OVV50" s="10"/>
      <c r="OVW50" s="10"/>
      <c r="OVX50" s="10"/>
      <c r="OVY50" s="10"/>
      <c r="OVZ50" s="10"/>
      <c r="OWA50" s="10"/>
      <c r="OWB50" s="10"/>
      <c r="OWC50" s="10"/>
      <c r="OWD50" s="10"/>
      <c r="OWE50" s="10"/>
      <c r="OWF50" s="10"/>
      <c r="OWG50" s="10"/>
      <c r="OWH50" s="10"/>
      <c r="OWI50" s="10"/>
      <c r="OWJ50" s="10"/>
      <c r="OWK50" s="10"/>
      <c r="OWL50" s="10"/>
      <c r="OWM50" s="10"/>
      <c r="OWN50" s="10"/>
      <c r="OWO50" s="10"/>
      <c r="OWP50" s="10"/>
      <c r="OWQ50" s="10"/>
      <c r="OWR50" s="10"/>
      <c r="OWS50" s="10"/>
      <c r="OWT50" s="10"/>
      <c r="OWU50" s="10"/>
      <c r="OWV50" s="10"/>
      <c r="OWW50" s="10"/>
      <c r="OWX50" s="10"/>
      <c r="OWY50" s="10"/>
      <c r="OWZ50" s="10"/>
      <c r="OXA50" s="10"/>
      <c r="OXB50" s="10"/>
      <c r="OXC50" s="10"/>
      <c r="OXD50" s="10"/>
      <c r="OXE50" s="10"/>
      <c r="OXF50" s="10"/>
      <c r="OXG50" s="10"/>
      <c r="OXH50" s="10"/>
      <c r="OXI50" s="10"/>
      <c r="OXJ50" s="10"/>
      <c r="OXK50" s="10"/>
      <c r="OXL50" s="10"/>
      <c r="OXM50" s="10"/>
      <c r="OXN50" s="10"/>
      <c r="OXO50" s="10"/>
      <c r="OXP50" s="10"/>
      <c r="OXQ50" s="10"/>
      <c r="OXR50" s="10"/>
      <c r="OXS50" s="10"/>
      <c r="OXT50" s="10"/>
      <c r="OXU50" s="10"/>
      <c r="OXV50" s="10"/>
      <c r="OXW50" s="10"/>
      <c r="OXX50" s="10"/>
      <c r="OXY50" s="10"/>
      <c r="OXZ50" s="10"/>
      <c r="OYA50" s="10"/>
      <c r="OYB50" s="10"/>
      <c r="OYC50" s="10"/>
      <c r="OYD50" s="10"/>
      <c r="OYE50" s="10"/>
      <c r="OYF50" s="10"/>
      <c r="OYG50" s="10"/>
      <c r="OYH50" s="10"/>
      <c r="OYI50" s="10"/>
      <c r="OYJ50" s="10"/>
      <c r="OYK50" s="10"/>
      <c r="OYL50" s="10"/>
      <c r="OYM50" s="10"/>
      <c r="OYN50" s="10"/>
      <c r="OYO50" s="10"/>
      <c r="OYP50" s="10"/>
      <c r="OYQ50" s="10"/>
      <c r="OYR50" s="10"/>
      <c r="OYS50" s="10"/>
      <c r="OYT50" s="10"/>
      <c r="OYU50" s="10"/>
      <c r="OYV50" s="10"/>
      <c r="OYW50" s="10"/>
      <c r="OYX50" s="10"/>
      <c r="OYY50" s="10"/>
      <c r="OYZ50" s="10"/>
      <c r="OZA50" s="10"/>
      <c r="OZB50" s="10"/>
      <c r="OZC50" s="10"/>
      <c r="OZD50" s="10"/>
      <c r="OZE50" s="10"/>
      <c r="OZF50" s="10"/>
      <c r="OZG50" s="10"/>
      <c r="OZH50" s="10"/>
      <c r="OZI50" s="10"/>
      <c r="OZJ50" s="10"/>
      <c r="OZK50" s="10"/>
      <c r="OZL50" s="10"/>
      <c r="OZM50" s="10"/>
      <c r="OZN50" s="10"/>
      <c r="OZO50" s="10"/>
      <c r="OZP50" s="10"/>
      <c r="OZQ50" s="10"/>
      <c r="OZR50" s="10"/>
      <c r="OZS50" s="10"/>
      <c r="OZT50" s="10"/>
      <c r="OZU50" s="10"/>
      <c r="OZV50" s="10"/>
      <c r="OZW50" s="10"/>
      <c r="OZX50" s="10"/>
      <c r="OZY50" s="10"/>
      <c r="OZZ50" s="10"/>
      <c r="PAA50" s="10"/>
      <c r="PAB50" s="10"/>
      <c r="PAC50" s="10"/>
      <c r="PAD50" s="10"/>
      <c r="PAE50" s="10"/>
      <c r="PAF50" s="10"/>
      <c r="PAG50" s="10"/>
      <c r="PAH50" s="10"/>
      <c r="PAI50" s="10"/>
      <c r="PAJ50" s="10"/>
      <c r="PAK50" s="10"/>
      <c r="PAL50" s="10"/>
      <c r="PAM50" s="10"/>
      <c r="PAN50" s="10"/>
      <c r="PAO50" s="10"/>
      <c r="PAP50" s="10"/>
      <c r="PAQ50" s="10"/>
      <c r="PAR50" s="10"/>
      <c r="PAS50" s="10"/>
      <c r="PAT50" s="10"/>
      <c r="PAU50" s="10"/>
      <c r="PAV50" s="10"/>
      <c r="PAW50" s="10"/>
      <c r="PAX50" s="10"/>
      <c r="PAY50" s="10"/>
      <c r="PAZ50" s="10"/>
      <c r="PBA50" s="10"/>
      <c r="PBB50" s="10"/>
      <c r="PBC50" s="10"/>
      <c r="PBD50" s="10"/>
      <c r="PBE50" s="10"/>
      <c r="PBF50" s="10"/>
      <c r="PBG50" s="10"/>
      <c r="PBH50" s="10"/>
      <c r="PBI50" s="10"/>
      <c r="PBJ50" s="10"/>
      <c r="PBK50" s="10"/>
      <c r="PBL50" s="10"/>
      <c r="PBM50" s="10"/>
      <c r="PBN50" s="10"/>
      <c r="PBO50" s="10"/>
      <c r="PBP50" s="10"/>
      <c r="PBQ50" s="10"/>
      <c r="PBR50" s="10"/>
      <c r="PBS50" s="10"/>
      <c r="PBT50" s="10"/>
      <c r="PBU50" s="10"/>
      <c r="PBV50" s="10"/>
      <c r="PBW50" s="10"/>
      <c r="PBX50" s="10"/>
      <c r="PBY50" s="10"/>
      <c r="PBZ50" s="10"/>
      <c r="PCA50" s="10"/>
      <c r="PCB50" s="10"/>
      <c r="PCC50" s="10"/>
      <c r="PCD50" s="10"/>
      <c r="PCE50" s="10"/>
      <c r="PCF50" s="10"/>
      <c r="PCG50" s="10"/>
      <c r="PCH50" s="10"/>
      <c r="PCI50" s="10"/>
      <c r="PCJ50" s="10"/>
      <c r="PCK50" s="10"/>
      <c r="PCL50" s="10"/>
      <c r="PCM50" s="10"/>
      <c r="PCN50" s="10"/>
      <c r="PCO50" s="10"/>
      <c r="PCP50" s="10"/>
      <c r="PCQ50" s="10"/>
      <c r="PCR50" s="10"/>
      <c r="PCS50" s="10"/>
      <c r="PCT50" s="10"/>
      <c r="PCU50" s="10"/>
      <c r="PCV50" s="10"/>
      <c r="PCW50" s="10"/>
      <c r="PCX50" s="10"/>
      <c r="PCY50" s="10"/>
      <c r="PCZ50" s="10"/>
      <c r="PDA50" s="10"/>
      <c r="PDB50" s="10"/>
      <c r="PDC50" s="10"/>
      <c r="PDD50" s="10"/>
      <c r="PDE50" s="10"/>
      <c r="PDF50" s="10"/>
      <c r="PDG50" s="10"/>
      <c r="PDH50" s="10"/>
      <c r="PDI50" s="10"/>
      <c r="PDJ50" s="10"/>
      <c r="PDK50" s="10"/>
      <c r="PDL50" s="10"/>
      <c r="PDM50" s="10"/>
      <c r="PDN50" s="10"/>
      <c r="PDO50" s="10"/>
      <c r="PDP50" s="10"/>
      <c r="PDQ50" s="10"/>
      <c r="PDR50" s="10"/>
      <c r="PDS50" s="10"/>
      <c r="PDT50" s="10"/>
      <c r="PDU50" s="10"/>
      <c r="PDV50" s="10"/>
      <c r="PDW50" s="10"/>
      <c r="PDX50" s="10"/>
      <c r="PDY50" s="10"/>
      <c r="PDZ50" s="10"/>
      <c r="PEA50" s="10"/>
      <c r="PEB50" s="10"/>
      <c r="PEC50" s="10"/>
      <c r="PED50" s="10"/>
      <c r="PEE50" s="10"/>
      <c r="PEF50" s="10"/>
      <c r="PEG50" s="10"/>
      <c r="PEH50" s="10"/>
      <c r="PEI50" s="10"/>
      <c r="PEJ50" s="10"/>
      <c r="PEK50" s="10"/>
      <c r="PEL50" s="10"/>
      <c r="PEM50" s="10"/>
      <c r="PEN50" s="10"/>
      <c r="PEO50" s="10"/>
      <c r="PEP50" s="10"/>
      <c r="PEQ50" s="10"/>
      <c r="PER50" s="10"/>
      <c r="PES50" s="10"/>
      <c r="PET50" s="10"/>
      <c r="PEU50" s="10"/>
      <c r="PEV50" s="10"/>
      <c r="PEW50" s="10"/>
      <c r="PEX50" s="10"/>
      <c r="PEY50" s="10"/>
      <c r="PEZ50" s="10"/>
      <c r="PFA50" s="10"/>
      <c r="PFB50" s="10"/>
      <c r="PFC50" s="10"/>
      <c r="PFD50" s="10"/>
      <c r="PFE50" s="10"/>
      <c r="PFF50" s="10"/>
      <c r="PFG50" s="10"/>
      <c r="PFH50" s="10"/>
      <c r="PFI50" s="10"/>
      <c r="PFJ50" s="10"/>
      <c r="PFK50" s="10"/>
      <c r="PFL50" s="10"/>
      <c r="PFM50" s="10"/>
      <c r="PFN50" s="10"/>
      <c r="PFO50" s="10"/>
      <c r="PFP50" s="10"/>
      <c r="PFQ50" s="10"/>
      <c r="PFR50" s="10"/>
      <c r="PFS50" s="10"/>
      <c r="PFT50" s="10"/>
      <c r="PFU50" s="10"/>
      <c r="PFV50" s="10"/>
      <c r="PFW50" s="10"/>
      <c r="PFX50" s="10"/>
      <c r="PFY50" s="10"/>
      <c r="PFZ50" s="10"/>
      <c r="PGA50" s="10"/>
      <c r="PGB50" s="10"/>
      <c r="PGC50" s="10"/>
      <c r="PGD50" s="10"/>
      <c r="PGE50" s="10"/>
      <c r="PGF50" s="10"/>
      <c r="PGG50" s="10"/>
      <c r="PGH50" s="10"/>
      <c r="PGI50" s="10"/>
      <c r="PGJ50" s="10"/>
      <c r="PGK50" s="10"/>
      <c r="PGL50" s="10"/>
      <c r="PGM50" s="10"/>
      <c r="PGN50" s="10"/>
      <c r="PGO50" s="10"/>
      <c r="PGP50" s="10"/>
      <c r="PGQ50" s="10"/>
      <c r="PGR50" s="10"/>
      <c r="PGS50" s="10"/>
      <c r="PGT50" s="10"/>
      <c r="PGU50" s="10"/>
      <c r="PGV50" s="10"/>
      <c r="PGW50" s="10"/>
      <c r="PGX50" s="10"/>
      <c r="PGY50" s="10"/>
      <c r="PGZ50" s="10"/>
      <c r="PHA50" s="10"/>
      <c r="PHB50" s="10"/>
      <c r="PHC50" s="10"/>
      <c r="PHD50" s="10"/>
      <c r="PHE50" s="10"/>
      <c r="PHF50" s="10"/>
      <c r="PHG50" s="10"/>
      <c r="PHH50" s="10"/>
      <c r="PHI50" s="10"/>
      <c r="PHJ50" s="10"/>
      <c r="PHK50" s="10"/>
      <c r="PHL50" s="10"/>
      <c r="PHM50" s="10"/>
      <c r="PHN50" s="10"/>
      <c r="PHO50" s="10"/>
      <c r="PHP50" s="10"/>
      <c r="PHQ50" s="10"/>
      <c r="PHR50" s="10"/>
      <c r="PHS50" s="10"/>
      <c r="PHT50" s="10"/>
      <c r="PHU50" s="10"/>
      <c r="PHV50" s="10"/>
      <c r="PHW50" s="10"/>
      <c r="PHX50" s="10"/>
      <c r="PHY50" s="10"/>
      <c r="PHZ50" s="10"/>
      <c r="PIA50" s="10"/>
      <c r="PIB50" s="10"/>
      <c r="PIC50" s="10"/>
      <c r="PID50" s="10"/>
      <c r="PIE50" s="10"/>
      <c r="PIF50" s="10"/>
      <c r="PIG50" s="10"/>
      <c r="PIH50" s="10"/>
      <c r="PII50" s="10"/>
      <c r="PIJ50" s="10"/>
      <c r="PIK50" s="10"/>
      <c r="PIL50" s="10"/>
      <c r="PIM50" s="10"/>
      <c r="PIN50" s="10"/>
      <c r="PIO50" s="10"/>
      <c r="PIP50" s="10"/>
      <c r="PIQ50" s="10"/>
      <c r="PIR50" s="10"/>
      <c r="PIS50" s="10"/>
      <c r="PIT50" s="10"/>
      <c r="PIU50" s="10"/>
      <c r="PIV50" s="10"/>
      <c r="PIW50" s="10"/>
      <c r="PIX50" s="10"/>
      <c r="PIY50" s="10"/>
      <c r="PIZ50" s="10"/>
      <c r="PJA50" s="10"/>
      <c r="PJB50" s="10"/>
      <c r="PJC50" s="10"/>
      <c r="PJD50" s="10"/>
      <c r="PJE50" s="10"/>
      <c r="PJF50" s="10"/>
      <c r="PJG50" s="10"/>
      <c r="PJH50" s="10"/>
      <c r="PJI50" s="10"/>
      <c r="PJJ50" s="10"/>
      <c r="PJK50" s="10"/>
      <c r="PJL50" s="10"/>
      <c r="PJM50" s="10"/>
      <c r="PJN50" s="10"/>
      <c r="PJO50" s="10"/>
      <c r="PJP50" s="10"/>
      <c r="PJQ50" s="10"/>
      <c r="PJR50" s="10"/>
      <c r="PJS50" s="10"/>
      <c r="PJT50" s="10"/>
      <c r="PJU50" s="10"/>
      <c r="PJV50" s="10"/>
      <c r="PJW50" s="10"/>
      <c r="PJX50" s="10"/>
      <c r="PJY50" s="10"/>
      <c r="PJZ50" s="10"/>
      <c r="PKA50" s="10"/>
      <c r="PKB50" s="10"/>
      <c r="PKC50" s="10"/>
      <c r="PKD50" s="10"/>
      <c r="PKE50" s="10"/>
      <c r="PKF50" s="10"/>
      <c r="PKG50" s="10"/>
      <c r="PKH50" s="10"/>
      <c r="PKI50" s="10"/>
      <c r="PKJ50" s="10"/>
      <c r="PKK50" s="10"/>
      <c r="PKL50" s="10"/>
      <c r="PKM50" s="10"/>
      <c r="PKN50" s="10"/>
      <c r="PKO50" s="10"/>
      <c r="PKP50" s="10"/>
      <c r="PKQ50" s="10"/>
      <c r="PKR50" s="10"/>
      <c r="PKS50" s="10"/>
      <c r="PKT50" s="10"/>
      <c r="PKU50" s="10"/>
      <c r="PKV50" s="10"/>
      <c r="PKW50" s="10"/>
      <c r="PKX50" s="10"/>
      <c r="PKY50" s="10"/>
      <c r="PKZ50" s="10"/>
      <c r="PLA50" s="10"/>
      <c r="PLB50" s="10"/>
      <c r="PLC50" s="10"/>
      <c r="PLD50" s="10"/>
      <c r="PLE50" s="10"/>
      <c r="PLF50" s="10"/>
      <c r="PLG50" s="10"/>
      <c r="PLH50" s="10"/>
      <c r="PLI50" s="10"/>
      <c r="PLJ50" s="10"/>
      <c r="PLK50" s="10"/>
      <c r="PLL50" s="10"/>
      <c r="PLM50" s="10"/>
      <c r="PLN50" s="10"/>
      <c r="PLO50" s="10"/>
      <c r="PLP50" s="10"/>
      <c r="PLQ50" s="10"/>
      <c r="PLR50" s="10"/>
      <c r="PLS50" s="10"/>
      <c r="PLT50" s="10"/>
      <c r="PLU50" s="10"/>
      <c r="PLV50" s="10"/>
      <c r="PLW50" s="10"/>
      <c r="PLX50" s="10"/>
      <c r="PLY50" s="10"/>
      <c r="PLZ50" s="10"/>
      <c r="PMA50" s="10"/>
      <c r="PMB50" s="10"/>
      <c r="PMC50" s="10"/>
      <c r="PMD50" s="10"/>
      <c r="PME50" s="10"/>
      <c r="PMF50" s="10"/>
      <c r="PMG50" s="10"/>
      <c r="PMH50" s="10"/>
      <c r="PMI50" s="10"/>
      <c r="PMJ50" s="10"/>
      <c r="PMK50" s="10"/>
      <c r="PML50" s="10"/>
      <c r="PMM50" s="10"/>
      <c r="PMN50" s="10"/>
      <c r="PMO50" s="10"/>
      <c r="PMP50" s="10"/>
      <c r="PMQ50" s="10"/>
      <c r="PMR50" s="10"/>
      <c r="PMS50" s="10"/>
      <c r="PMT50" s="10"/>
      <c r="PMU50" s="10"/>
      <c r="PMV50" s="10"/>
      <c r="PMW50" s="10"/>
      <c r="PMX50" s="10"/>
      <c r="PMY50" s="10"/>
      <c r="PMZ50" s="10"/>
      <c r="PNA50" s="10"/>
      <c r="PNB50" s="10"/>
      <c r="PNC50" s="10"/>
      <c r="PND50" s="10"/>
      <c r="PNE50" s="10"/>
      <c r="PNF50" s="10"/>
      <c r="PNG50" s="10"/>
      <c r="PNH50" s="10"/>
      <c r="PNI50" s="10"/>
      <c r="PNJ50" s="10"/>
      <c r="PNK50" s="10"/>
      <c r="PNL50" s="10"/>
      <c r="PNM50" s="10"/>
      <c r="PNN50" s="10"/>
      <c r="PNO50" s="10"/>
      <c r="PNP50" s="10"/>
      <c r="PNQ50" s="10"/>
      <c r="PNR50" s="10"/>
      <c r="PNS50" s="10"/>
      <c r="PNT50" s="10"/>
      <c r="PNU50" s="10"/>
      <c r="PNV50" s="10"/>
      <c r="PNW50" s="10"/>
      <c r="PNX50" s="10"/>
      <c r="PNY50" s="10"/>
      <c r="PNZ50" s="10"/>
      <c r="POA50" s="10"/>
      <c r="POB50" s="10"/>
      <c r="POC50" s="10"/>
      <c r="POD50" s="10"/>
      <c r="POE50" s="10"/>
      <c r="POF50" s="10"/>
      <c r="POG50" s="10"/>
      <c r="POH50" s="10"/>
      <c r="POI50" s="10"/>
      <c r="POJ50" s="10"/>
      <c r="POK50" s="10"/>
      <c r="POL50" s="10"/>
      <c r="POM50" s="10"/>
      <c r="PON50" s="10"/>
      <c r="POO50" s="10"/>
      <c r="POP50" s="10"/>
      <c r="POQ50" s="10"/>
      <c r="POR50" s="10"/>
      <c r="POS50" s="10"/>
      <c r="POT50" s="10"/>
      <c r="POU50" s="10"/>
      <c r="POV50" s="10"/>
      <c r="POW50" s="10"/>
      <c r="POX50" s="10"/>
      <c r="POY50" s="10"/>
      <c r="POZ50" s="10"/>
      <c r="PPA50" s="10"/>
      <c r="PPB50" s="10"/>
      <c r="PPC50" s="10"/>
      <c r="PPD50" s="10"/>
      <c r="PPE50" s="10"/>
      <c r="PPF50" s="10"/>
      <c r="PPG50" s="10"/>
      <c r="PPH50" s="10"/>
      <c r="PPI50" s="10"/>
      <c r="PPJ50" s="10"/>
      <c r="PPK50" s="10"/>
      <c r="PPL50" s="10"/>
      <c r="PPM50" s="10"/>
      <c r="PPN50" s="10"/>
      <c r="PPO50" s="10"/>
      <c r="PPP50" s="10"/>
      <c r="PPQ50" s="10"/>
      <c r="PPR50" s="10"/>
      <c r="PPS50" s="10"/>
      <c r="PPT50" s="10"/>
      <c r="PPU50" s="10"/>
      <c r="PPV50" s="10"/>
      <c r="PPW50" s="10"/>
      <c r="PPX50" s="10"/>
      <c r="PPY50" s="10"/>
      <c r="PPZ50" s="10"/>
      <c r="PQA50" s="10"/>
      <c r="PQB50" s="10"/>
      <c r="PQC50" s="10"/>
      <c r="PQD50" s="10"/>
      <c r="PQE50" s="10"/>
      <c r="PQF50" s="10"/>
      <c r="PQG50" s="10"/>
      <c r="PQH50" s="10"/>
      <c r="PQI50" s="10"/>
      <c r="PQJ50" s="10"/>
      <c r="PQK50" s="10"/>
      <c r="PQL50" s="10"/>
      <c r="PQM50" s="10"/>
      <c r="PQN50" s="10"/>
      <c r="PQO50" s="10"/>
      <c r="PQP50" s="10"/>
      <c r="PQQ50" s="10"/>
      <c r="PQR50" s="10"/>
      <c r="PQS50" s="10"/>
      <c r="PQT50" s="10"/>
      <c r="PQU50" s="10"/>
      <c r="PQV50" s="10"/>
      <c r="PQW50" s="10"/>
      <c r="PQX50" s="10"/>
      <c r="PQY50" s="10"/>
      <c r="PQZ50" s="10"/>
      <c r="PRA50" s="10"/>
      <c r="PRB50" s="10"/>
      <c r="PRC50" s="10"/>
      <c r="PRD50" s="10"/>
      <c r="PRE50" s="10"/>
      <c r="PRF50" s="10"/>
      <c r="PRG50" s="10"/>
      <c r="PRH50" s="10"/>
      <c r="PRI50" s="10"/>
      <c r="PRJ50" s="10"/>
      <c r="PRK50" s="10"/>
      <c r="PRL50" s="10"/>
      <c r="PRM50" s="10"/>
      <c r="PRN50" s="10"/>
      <c r="PRO50" s="10"/>
      <c r="PRP50" s="10"/>
      <c r="PRQ50" s="10"/>
      <c r="PRR50" s="10"/>
      <c r="PRS50" s="10"/>
      <c r="PRT50" s="10"/>
      <c r="PRU50" s="10"/>
      <c r="PRV50" s="10"/>
      <c r="PRW50" s="10"/>
      <c r="PRX50" s="10"/>
      <c r="PRY50" s="10"/>
      <c r="PRZ50" s="10"/>
      <c r="PSA50" s="10"/>
      <c r="PSB50" s="10"/>
      <c r="PSC50" s="10"/>
      <c r="PSD50" s="10"/>
      <c r="PSE50" s="10"/>
      <c r="PSF50" s="10"/>
      <c r="PSG50" s="10"/>
      <c r="PSH50" s="10"/>
      <c r="PSI50" s="10"/>
      <c r="PSJ50" s="10"/>
      <c r="PSK50" s="10"/>
      <c r="PSL50" s="10"/>
      <c r="PSM50" s="10"/>
      <c r="PSN50" s="10"/>
      <c r="PSO50" s="10"/>
      <c r="PSP50" s="10"/>
      <c r="PSQ50" s="10"/>
      <c r="PSR50" s="10"/>
      <c r="PSS50" s="10"/>
      <c r="PST50" s="10"/>
      <c r="PSU50" s="10"/>
      <c r="PSV50" s="10"/>
      <c r="PSW50" s="10"/>
      <c r="PSX50" s="10"/>
      <c r="PSY50" s="10"/>
      <c r="PSZ50" s="10"/>
      <c r="PTA50" s="10"/>
      <c r="PTB50" s="10"/>
      <c r="PTC50" s="10"/>
      <c r="PTD50" s="10"/>
      <c r="PTE50" s="10"/>
      <c r="PTF50" s="10"/>
      <c r="PTG50" s="10"/>
      <c r="PTH50" s="10"/>
      <c r="PTI50" s="10"/>
      <c r="PTJ50" s="10"/>
      <c r="PTK50" s="10"/>
      <c r="PTL50" s="10"/>
      <c r="PTM50" s="10"/>
      <c r="PTN50" s="10"/>
      <c r="PTO50" s="10"/>
      <c r="PTP50" s="10"/>
      <c r="PTQ50" s="10"/>
      <c r="PTR50" s="10"/>
      <c r="PTS50" s="10"/>
      <c r="PTT50" s="10"/>
      <c r="PTU50" s="10"/>
      <c r="PTV50" s="10"/>
      <c r="PTW50" s="10"/>
      <c r="PTX50" s="10"/>
      <c r="PTY50" s="10"/>
      <c r="PTZ50" s="10"/>
      <c r="PUA50" s="10"/>
      <c r="PUB50" s="10"/>
      <c r="PUC50" s="10"/>
      <c r="PUD50" s="10"/>
      <c r="PUE50" s="10"/>
      <c r="PUF50" s="10"/>
      <c r="PUG50" s="10"/>
      <c r="PUH50" s="10"/>
      <c r="PUI50" s="10"/>
      <c r="PUJ50" s="10"/>
      <c r="PUK50" s="10"/>
      <c r="PUL50" s="10"/>
      <c r="PUM50" s="10"/>
      <c r="PUN50" s="10"/>
      <c r="PUO50" s="10"/>
      <c r="PUP50" s="10"/>
      <c r="PUQ50" s="10"/>
      <c r="PUR50" s="10"/>
      <c r="PUS50" s="10"/>
      <c r="PUT50" s="10"/>
      <c r="PUU50" s="10"/>
      <c r="PUV50" s="10"/>
      <c r="PUW50" s="10"/>
      <c r="PUX50" s="10"/>
      <c r="PUY50" s="10"/>
      <c r="PUZ50" s="10"/>
      <c r="PVA50" s="10"/>
      <c r="PVB50" s="10"/>
      <c r="PVC50" s="10"/>
      <c r="PVD50" s="10"/>
      <c r="PVE50" s="10"/>
      <c r="PVF50" s="10"/>
      <c r="PVG50" s="10"/>
      <c r="PVH50" s="10"/>
      <c r="PVI50" s="10"/>
      <c r="PVJ50" s="10"/>
      <c r="PVK50" s="10"/>
      <c r="PVL50" s="10"/>
      <c r="PVM50" s="10"/>
      <c r="PVN50" s="10"/>
      <c r="PVO50" s="10"/>
      <c r="PVP50" s="10"/>
      <c r="PVQ50" s="10"/>
      <c r="PVR50" s="10"/>
      <c r="PVS50" s="10"/>
      <c r="PVT50" s="10"/>
      <c r="PVU50" s="10"/>
      <c r="PVV50" s="10"/>
      <c r="PVW50" s="10"/>
      <c r="PVX50" s="10"/>
      <c r="PVY50" s="10"/>
      <c r="PVZ50" s="10"/>
      <c r="PWA50" s="10"/>
      <c r="PWB50" s="10"/>
      <c r="PWC50" s="10"/>
      <c r="PWD50" s="10"/>
      <c r="PWE50" s="10"/>
      <c r="PWF50" s="10"/>
      <c r="PWG50" s="10"/>
      <c r="PWH50" s="10"/>
      <c r="PWI50" s="10"/>
      <c r="PWJ50" s="10"/>
      <c r="PWK50" s="10"/>
      <c r="PWL50" s="10"/>
      <c r="PWM50" s="10"/>
      <c r="PWN50" s="10"/>
      <c r="PWO50" s="10"/>
      <c r="PWP50" s="10"/>
      <c r="PWQ50" s="10"/>
      <c r="PWR50" s="10"/>
      <c r="PWS50" s="10"/>
      <c r="PWT50" s="10"/>
      <c r="PWU50" s="10"/>
      <c r="PWV50" s="10"/>
      <c r="PWW50" s="10"/>
      <c r="PWX50" s="10"/>
      <c r="PWY50" s="10"/>
      <c r="PWZ50" s="10"/>
      <c r="PXA50" s="10"/>
      <c r="PXB50" s="10"/>
      <c r="PXC50" s="10"/>
      <c r="PXD50" s="10"/>
      <c r="PXE50" s="10"/>
      <c r="PXF50" s="10"/>
      <c r="PXG50" s="10"/>
      <c r="PXH50" s="10"/>
      <c r="PXI50" s="10"/>
      <c r="PXJ50" s="10"/>
      <c r="PXK50" s="10"/>
      <c r="PXL50" s="10"/>
      <c r="PXM50" s="10"/>
      <c r="PXN50" s="10"/>
      <c r="PXO50" s="10"/>
      <c r="PXP50" s="10"/>
      <c r="PXQ50" s="10"/>
      <c r="PXR50" s="10"/>
      <c r="PXS50" s="10"/>
      <c r="PXT50" s="10"/>
      <c r="PXU50" s="10"/>
      <c r="PXV50" s="10"/>
      <c r="PXW50" s="10"/>
      <c r="PXX50" s="10"/>
      <c r="PXY50" s="10"/>
      <c r="PXZ50" s="10"/>
      <c r="PYA50" s="10"/>
      <c r="PYB50" s="10"/>
      <c r="PYC50" s="10"/>
      <c r="PYD50" s="10"/>
      <c r="PYE50" s="10"/>
      <c r="PYF50" s="10"/>
      <c r="PYG50" s="10"/>
      <c r="PYH50" s="10"/>
      <c r="PYI50" s="10"/>
      <c r="PYJ50" s="10"/>
      <c r="PYK50" s="10"/>
      <c r="PYL50" s="10"/>
      <c r="PYM50" s="10"/>
      <c r="PYN50" s="10"/>
      <c r="PYO50" s="10"/>
      <c r="PYP50" s="10"/>
      <c r="PYQ50" s="10"/>
      <c r="PYR50" s="10"/>
      <c r="PYS50" s="10"/>
      <c r="PYT50" s="10"/>
      <c r="PYU50" s="10"/>
      <c r="PYV50" s="10"/>
      <c r="PYW50" s="10"/>
      <c r="PYX50" s="10"/>
      <c r="PYY50" s="10"/>
      <c r="PYZ50" s="10"/>
      <c r="PZA50" s="10"/>
      <c r="PZB50" s="10"/>
      <c r="PZC50" s="10"/>
      <c r="PZD50" s="10"/>
      <c r="PZE50" s="10"/>
      <c r="PZF50" s="10"/>
      <c r="PZG50" s="10"/>
      <c r="PZH50" s="10"/>
      <c r="PZI50" s="10"/>
      <c r="PZJ50" s="10"/>
      <c r="PZK50" s="10"/>
      <c r="PZL50" s="10"/>
      <c r="PZM50" s="10"/>
      <c r="PZN50" s="10"/>
      <c r="PZO50" s="10"/>
      <c r="PZP50" s="10"/>
      <c r="PZQ50" s="10"/>
      <c r="PZR50" s="10"/>
      <c r="PZS50" s="10"/>
      <c r="PZT50" s="10"/>
      <c r="PZU50" s="10"/>
      <c r="PZV50" s="10"/>
      <c r="PZW50" s="10"/>
      <c r="PZX50" s="10"/>
      <c r="PZY50" s="10"/>
      <c r="PZZ50" s="10"/>
      <c r="QAA50" s="10"/>
      <c r="QAB50" s="10"/>
      <c r="QAC50" s="10"/>
      <c r="QAD50" s="10"/>
      <c r="QAE50" s="10"/>
      <c r="QAF50" s="10"/>
      <c r="QAG50" s="10"/>
      <c r="QAH50" s="10"/>
      <c r="QAI50" s="10"/>
      <c r="QAJ50" s="10"/>
      <c r="QAK50" s="10"/>
      <c r="QAL50" s="10"/>
      <c r="QAM50" s="10"/>
      <c r="QAN50" s="10"/>
      <c r="QAO50" s="10"/>
      <c r="QAP50" s="10"/>
      <c r="QAQ50" s="10"/>
      <c r="QAR50" s="10"/>
      <c r="QAS50" s="10"/>
      <c r="QAT50" s="10"/>
      <c r="QAU50" s="10"/>
      <c r="QAV50" s="10"/>
      <c r="QAW50" s="10"/>
      <c r="QAX50" s="10"/>
      <c r="QAY50" s="10"/>
      <c r="QAZ50" s="10"/>
      <c r="QBA50" s="10"/>
      <c r="QBB50" s="10"/>
      <c r="QBC50" s="10"/>
      <c r="QBD50" s="10"/>
      <c r="QBE50" s="10"/>
      <c r="QBF50" s="10"/>
      <c r="QBG50" s="10"/>
      <c r="QBH50" s="10"/>
      <c r="QBI50" s="10"/>
      <c r="QBJ50" s="10"/>
      <c r="QBK50" s="10"/>
      <c r="QBL50" s="10"/>
      <c r="QBM50" s="10"/>
      <c r="QBN50" s="10"/>
      <c r="QBO50" s="10"/>
      <c r="QBP50" s="10"/>
      <c r="QBQ50" s="10"/>
      <c r="QBR50" s="10"/>
      <c r="QBS50" s="10"/>
      <c r="QBT50" s="10"/>
      <c r="QBU50" s="10"/>
      <c r="QBV50" s="10"/>
      <c r="QBW50" s="10"/>
      <c r="QBX50" s="10"/>
      <c r="QBY50" s="10"/>
      <c r="QBZ50" s="10"/>
      <c r="QCA50" s="10"/>
      <c r="QCB50" s="10"/>
      <c r="QCC50" s="10"/>
      <c r="QCD50" s="10"/>
      <c r="QCE50" s="10"/>
      <c r="QCF50" s="10"/>
      <c r="QCG50" s="10"/>
      <c r="QCH50" s="10"/>
      <c r="QCI50" s="10"/>
      <c r="QCJ50" s="10"/>
      <c r="QCK50" s="10"/>
      <c r="QCL50" s="10"/>
      <c r="QCM50" s="10"/>
      <c r="QCN50" s="10"/>
      <c r="QCO50" s="10"/>
      <c r="QCP50" s="10"/>
      <c r="QCQ50" s="10"/>
      <c r="QCR50" s="10"/>
      <c r="QCS50" s="10"/>
      <c r="QCT50" s="10"/>
      <c r="QCU50" s="10"/>
      <c r="QCV50" s="10"/>
      <c r="QCW50" s="10"/>
      <c r="QCX50" s="10"/>
      <c r="QCY50" s="10"/>
      <c r="QCZ50" s="10"/>
      <c r="QDA50" s="10"/>
      <c r="QDB50" s="10"/>
      <c r="QDC50" s="10"/>
      <c r="QDD50" s="10"/>
      <c r="QDE50" s="10"/>
      <c r="QDF50" s="10"/>
      <c r="QDG50" s="10"/>
      <c r="QDH50" s="10"/>
      <c r="QDI50" s="10"/>
      <c r="QDJ50" s="10"/>
      <c r="QDK50" s="10"/>
      <c r="QDL50" s="10"/>
      <c r="QDM50" s="10"/>
      <c r="QDN50" s="10"/>
      <c r="QDO50" s="10"/>
      <c r="QDP50" s="10"/>
      <c r="QDQ50" s="10"/>
      <c r="QDR50" s="10"/>
      <c r="QDS50" s="10"/>
      <c r="QDT50" s="10"/>
      <c r="QDU50" s="10"/>
      <c r="QDV50" s="10"/>
      <c r="QDW50" s="10"/>
      <c r="QDX50" s="10"/>
      <c r="QDY50" s="10"/>
      <c r="QDZ50" s="10"/>
      <c r="QEA50" s="10"/>
      <c r="QEB50" s="10"/>
      <c r="QEC50" s="10"/>
      <c r="QED50" s="10"/>
      <c r="QEE50" s="10"/>
      <c r="QEF50" s="10"/>
      <c r="QEG50" s="10"/>
      <c r="QEH50" s="10"/>
      <c r="QEI50" s="10"/>
      <c r="QEJ50" s="10"/>
      <c r="QEK50" s="10"/>
      <c r="QEL50" s="10"/>
      <c r="QEM50" s="10"/>
      <c r="QEN50" s="10"/>
      <c r="QEO50" s="10"/>
      <c r="QEP50" s="10"/>
      <c r="QEQ50" s="10"/>
      <c r="QER50" s="10"/>
      <c r="QES50" s="10"/>
      <c r="QET50" s="10"/>
      <c r="QEU50" s="10"/>
      <c r="QEV50" s="10"/>
      <c r="QEW50" s="10"/>
      <c r="QEX50" s="10"/>
      <c r="QEY50" s="10"/>
      <c r="QEZ50" s="10"/>
      <c r="QFA50" s="10"/>
      <c r="QFB50" s="10"/>
      <c r="QFC50" s="10"/>
      <c r="QFD50" s="10"/>
      <c r="QFE50" s="10"/>
      <c r="QFF50" s="10"/>
      <c r="QFG50" s="10"/>
      <c r="QFH50" s="10"/>
      <c r="QFI50" s="10"/>
      <c r="QFJ50" s="10"/>
      <c r="QFK50" s="10"/>
      <c r="QFL50" s="10"/>
      <c r="QFM50" s="10"/>
      <c r="QFN50" s="10"/>
      <c r="QFO50" s="10"/>
      <c r="QFP50" s="10"/>
      <c r="QFQ50" s="10"/>
      <c r="QFR50" s="10"/>
      <c r="QFS50" s="10"/>
      <c r="QFT50" s="10"/>
      <c r="QFU50" s="10"/>
      <c r="QFV50" s="10"/>
      <c r="QFW50" s="10"/>
      <c r="QFX50" s="10"/>
      <c r="QFY50" s="10"/>
      <c r="QFZ50" s="10"/>
      <c r="QGA50" s="10"/>
      <c r="QGB50" s="10"/>
      <c r="QGC50" s="10"/>
      <c r="QGD50" s="10"/>
      <c r="QGE50" s="10"/>
      <c r="QGF50" s="10"/>
      <c r="QGG50" s="10"/>
      <c r="QGH50" s="10"/>
      <c r="QGI50" s="10"/>
      <c r="QGJ50" s="10"/>
      <c r="QGK50" s="10"/>
      <c r="QGL50" s="10"/>
      <c r="QGM50" s="10"/>
      <c r="QGN50" s="10"/>
      <c r="QGO50" s="10"/>
      <c r="QGP50" s="10"/>
      <c r="QGQ50" s="10"/>
      <c r="QGR50" s="10"/>
      <c r="QGS50" s="10"/>
      <c r="QGT50" s="10"/>
      <c r="QGU50" s="10"/>
      <c r="QGV50" s="10"/>
      <c r="QGW50" s="10"/>
      <c r="QGX50" s="10"/>
      <c r="QGY50" s="10"/>
      <c r="QGZ50" s="10"/>
      <c r="QHA50" s="10"/>
      <c r="QHB50" s="10"/>
      <c r="QHC50" s="10"/>
      <c r="QHD50" s="10"/>
      <c r="QHE50" s="10"/>
      <c r="QHF50" s="10"/>
      <c r="QHG50" s="10"/>
      <c r="QHH50" s="10"/>
      <c r="QHI50" s="10"/>
      <c r="QHJ50" s="10"/>
      <c r="QHK50" s="10"/>
      <c r="QHL50" s="10"/>
      <c r="QHM50" s="10"/>
      <c r="QHN50" s="10"/>
      <c r="QHO50" s="10"/>
      <c r="QHP50" s="10"/>
      <c r="QHQ50" s="10"/>
      <c r="QHR50" s="10"/>
      <c r="QHS50" s="10"/>
      <c r="QHT50" s="10"/>
      <c r="QHU50" s="10"/>
      <c r="QHV50" s="10"/>
      <c r="QHW50" s="10"/>
      <c r="QHX50" s="10"/>
      <c r="QHY50" s="10"/>
      <c r="QHZ50" s="10"/>
      <c r="QIA50" s="10"/>
      <c r="QIB50" s="10"/>
      <c r="QIC50" s="10"/>
      <c r="QID50" s="10"/>
      <c r="QIE50" s="10"/>
      <c r="QIF50" s="10"/>
      <c r="QIG50" s="10"/>
      <c r="QIH50" s="10"/>
      <c r="QII50" s="10"/>
      <c r="QIJ50" s="10"/>
      <c r="QIK50" s="10"/>
      <c r="QIL50" s="10"/>
      <c r="QIM50" s="10"/>
      <c r="QIN50" s="10"/>
      <c r="QIO50" s="10"/>
      <c r="QIP50" s="10"/>
      <c r="QIQ50" s="10"/>
      <c r="QIR50" s="10"/>
      <c r="QIS50" s="10"/>
      <c r="QIT50" s="10"/>
      <c r="QIU50" s="10"/>
      <c r="QIV50" s="10"/>
      <c r="QIW50" s="10"/>
      <c r="QIX50" s="10"/>
      <c r="QIY50" s="10"/>
      <c r="QIZ50" s="10"/>
      <c r="QJA50" s="10"/>
      <c r="QJB50" s="10"/>
      <c r="QJC50" s="10"/>
      <c r="QJD50" s="10"/>
      <c r="QJE50" s="10"/>
      <c r="QJF50" s="10"/>
      <c r="QJG50" s="10"/>
      <c r="QJH50" s="10"/>
      <c r="QJI50" s="10"/>
      <c r="QJJ50" s="10"/>
      <c r="QJK50" s="10"/>
      <c r="QJL50" s="10"/>
      <c r="QJM50" s="10"/>
      <c r="QJN50" s="10"/>
      <c r="QJO50" s="10"/>
      <c r="QJP50" s="10"/>
      <c r="QJQ50" s="10"/>
      <c r="QJR50" s="10"/>
      <c r="QJS50" s="10"/>
      <c r="QJT50" s="10"/>
      <c r="QJU50" s="10"/>
      <c r="QJV50" s="10"/>
      <c r="QJW50" s="10"/>
      <c r="QJX50" s="10"/>
      <c r="QJY50" s="10"/>
      <c r="QJZ50" s="10"/>
      <c r="QKA50" s="10"/>
      <c r="QKB50" s="10"/>
      <c r="QKC50" s="10"/>
      <c r="QKD50" s="10"/>
      <c r="QKE50" s="10"/>
      <c r="QKF50" s="10"/>
      <c r="QKG50" s="10"/>
      <c r="QKH50" s="10"/>
      <c r="QKI50" s="10"/>
      <c r="QKJ50" s="10"/>
      <c r="QKK50" s="10"/>
      <c r="QKL50" s="10"/>
      <c r="QKM50" s="10"/>
      <c r="QKN50" s="10"/>
      <c r="QKO50" s="10"/>
      <c r="QKP50" s="10"/>
      <c r="QKQ50" s="10"/>
      <c r="QKR50" s="10"/>
      <c r="QKS50" s="10"/>
      <c r="QKT50" s="10"/>
      <c r="QKU50" s="10"/>
      <c r="QKV50" s="10"/>
      <c r="QKW50" s="10"/>
      <c r="QKX50" s="10"/>
      <c r="QKY50" s="10"/>
      <c r="QKZ50" s="10"/>
      <c r="QLA50" s="10"/>
      <c r="QLB50" s="10"/>
      <c r="QLC50" s="10"/>
      <c r="QLD50" s="10"/>
      <c r="QLE50" s="10"/>
      <c r="QLF50" s="10"/>
      <c r="QLG50" s="10"/>
      <c r="QLH50" s="10"/>
      <c r="QLI50" s="10"/>
      <c r="QLJ50" s="10"/>
      <c r="QLK50" s="10"/>
      <c r="QLL50" s="10"/>
      <c r="QLM50" s="10"/>
      <c r="QLN50" s="10"/>
      <c r="QLO50" s="10"/>
      <c r="QLP50" s="10"/>
      <c r="QLQ50" s="10"/>
      <c r="QLR50" s="10"/>
      <c r="QLS50" s="10"/>
      <c r="QLT50" s="10"/>
      <c r="QLU50" s="10"/>
      <c r="QLV50" s="10"/>
      <c r="QLW50" s="10"/>
      <c r="QLX50" s="10"/>
      <c r="QLY50" s="10"/>
      <c r="QLZ50" s="10"/>
      <c r="QMA50" s="10"/>
      <c r="QMB50" s="10"/>
      <c r="QMC50" s="10"/>
      <c r="QMD50" s="10"/>
      <c r="QME50" s="10"/>
      <c r="QMF50" s="10"/>
      <c r="QMG50" s="10"/>
      <c r="QMH50" s="10"/>
      <c r="QMI50" s="10"/>
      <c r="QMJ50" s="10"/>
      <c r="QMK50" s="10"/>
      <c r="QML50" s="10"/>
      <c r="QMM50" s="10"/>
      <c r="QMN50" s="10"/>
      <c r="QMO50" s="10"/>
      <c r="QMP50" s="10"/>
      <c r="QMQ50" s="10"/>
      <c r="QMR50" s="10"/>
      <c r="QMS50" s="10"/>
      <c r="QMT50" s="10"/>
      <c r="QMU50" s="10"/>
      <c r="QMV50" s="10"/>
      <c r="QMW50" s="10"/>
      <c r="QMX50" s="10"/>
      <c r="QMY50" s="10"/>
      <c r="QMZ50" s="10"/>
      <c r="QNA50" s="10"/>
      <c r="QNB50" s="10"/>
      <c r="QNC50" s="10"/>
      <c r="QND50" s="10"/>
      <c r="QNE50" s="10"/>
      <c r="QNF50" s="10"/>
      <c r="QNG50" s="10"/>
      <c r="QNH50" s="10"/>
      <c r="QNI50" s="10"/>
      <c r="QNJ50" s="10"/>
      <c r="QNK50" s="10"/>
      <c r="QNL50" s="10"/>
      <c r="QNM50" s="10"/>
      <c r="QNN50" s="10"/>
      <c r="QNO50" s="10"/>
      <c r="QNP50" s="10"/>
      <c r="QNQ50" s="10"/>
      <c r="QNR50" s="10"/>
      <c r="QNS50" s="10"/>
      <c r="QNT50" s="10"/>
      <c r="QNU50" s="10"/>
      <c r="QNV50" s="10"/>
      <c r="QNW50" s="10"/>
      <c r="QNX50" s="10"/>
      <c r="QNY50" s="10"/>
      <c r="QNZ50" s="10"/>
      <c r="QOA50" s="10"/>
      <c r="QOB50" s="10"/>
      <c r="QOC50" s="10"/>
      <c r="QOD50" s="10"/>
      <c r="QOE50" s="10"/>
      <c r="QOF50" s="10"/>
      <c r="QOG50" s="10"/>
      <c r="QOH50" s="10"/>
      <c r="QOI50" s="10"/>
      <c r="QOJ50" s="10"/>
      <c r="QOK50" s="10"/>
      <c r="QOL50" s="10"/>
      <c r="QOM50" s="10"/>
      <c r="QON50" s="10"/>
      <c r="QOO50" s="10"/>
      <c r="QOP50" s="10"/>
      <c r="QOQ50" s="10"/>
      <c r="QOR50" s="10"/>
      <c r="QOS50" s="10"/>
      <c r="QOT50" s="10"/>
      <c r="QOU50" s="10"/>
      <c r="QOV50" s="10"/>
      <c r="QOW50" s="10"/>
      <c r="QOX50" s="10"/>
      <c r="QOY50" s="10"/>
      <c r="QOZ50" s="10"/>
      <c r="QPA50" s="10"/>
      <c r="QPB50" s="10"/>
      <c r="QPC50" s="10"/>
      <c r="QPD50" s="10"/>
      <c r="QPE50" s="10"/>
      <c r="QPF50" s="10"/>
      <c r="QPG50" s="10"/>
      <c r="QPH50" s="10"/>
      <c r="QPI50" s="10"/>
      <c r="QPJ50" s="10"/>
      <c r="QPK50" s="10"/>
      <c r="QPL50" s="10"/>
      <c r="QPM50" s="10"/>
      <c r="QPN50" s="10"/>
      <c r="QPO50" s="10"/>
      <c r="QPP50" s="10"/>
      <c r="QPQ50" s="10"/>
      <c r="QPR50" s="10"/>
      <c r="QPS50" s="10"/>
      <c r="QPT50" s="10"/>
      <c r="QPU50" s="10"/>
      <c r="QPV50" s="10"/>
      <c r="QPW50" s="10"/>
      <c r="QPX50" s="10"/>
      <c r="QPY50" s="10"/>
      <c r="QPZ50" s="10"/>
      <c r="QQA50" s="10"/>
      <c r="QQB50" s="10"/>
      <c r="QQC50" s="10"/>
      <c r="QQD50" s="10"/>
      <c r="QQE50" s="10"/>
      <c r="QQF50" s="10"/>
      <c r="QQG50" s="10"/>
      <c r="QQH50" s="10"/>
      <c r="QQI50" s="10"/>
      <c r="QQJ50" s="10"/>
      <c r="QQK50" s="10"/>
      <c r="QQL50" s="10"/>
      <c r="QQM50" s="10"/>
      <c r="QQN50" s="10"/>
      <c r="QQO50" s="10"/>
      <c r="QQP50" s="10"/>
      <c r="QQQ50" s="10"/>
      <c r="QQR50" s="10"/>
      <c r="QQS50" s="10"/>
      <c r="QQT50" s="10"/>
      <c r="QQU50" s="10"/>
      <c r="QQV50" s="10"/>
      <c r="QQW50" s="10"/>
      <c r="QQX50" s="10"/>
      <c r="QQY50" s="10"/>
      <c r="QQZ50" s="10"/>
      <c r="QRA50" s="10"/>
      <c r="QRB50" s="10"/>
      <c r="QRC50" s="10"/>
      <c r="QRD50" s="10"/>
      <c r="QRE50" s="10"/>
      <c r="QRF50" s="10"/>
      <c r="QRG50" s="10"/>
      <c r="QRH50" s="10"/>
      <c r="QRI50" s="10"/>
      <c r="QRJ50" s="10"/>
      <c r="QRK50" s="10"/>
      <c r="QRL50" s="10"/>
      <c r="QRM50" s="10"/>
      <c r="QRN50" s="10"/>
      <c r="QRO50" s="10"/>
      <c r="QRP50" s="10"/>
      <c r="QRQ50" s="10"/>
      <c r="QRR50" s="10"/>
      <c r="QRS50" s="10"/>
      <c r="QRT50" s="10"/>
      <c r="QRU50" s="10"/>
      <c r="QRV50" s="10"/>
      <c r="QRW50" s="10"/>
      <c r="QRX50" s="10"/>
      <c r="QRY50" s="10"/>
      <c r="QRZ50" s="10"/>
      <c r="QSA50" s="10"/>
      <c r="QSB50" s="10"/>
      <c r="QSC50" s="10"/>
      <c r="QSD50" s="10"/>
      <c r="QSE50" s="10"/>
      <c r="QSF50" s="10"/>
      <c r="QSG50" s="10"/>
      <c r="QSH50" s="10"/>
      <c r="QSI50" s="10"/>
      <c r="QSJ50" s="10"/>
      <c r="QSK50" s="10"/>
      <c r="QSL50" s="10"/>
      <c r="QSM50" s="10"/>
      <c r="QSN50" s="10"/>
      <c r="QSO50" s="10"/>
      <c r="QSP50" s="10"/>
      <c r="QSQ50" s="10"/>
      <c r="QSR50" s="10"/>
      <c r="QSS50" s="10"/>
      <c r="QST50" s="10"/>
      <c r="QSU50" s="10"/>
      <c r="QSV50" s="10"/>
      <c r="QSW50" s="10"/>
      <c r="QSX50" s="10"/>
      <c r="QSY50" s="10"/>
      <c r="QSZ50" s="10"/>
      <c r="QTA50" s="10"/>
      <c r="QTB50" s="10"/>
      <c r="QTC50" s="10"/>
      <c r="QTD50" s="10"/>
      <c r="QTE50" s="10"/>
      <c r="QTF50" s="10"/>
      <c r="QTG50" s="10"/>
      <c r="QTH50" s="10"/>
      <c r="QTI50" s="10"/>
      <c r="QTJ50" s="10"/>
      <c r="QTK50" s="10"/>
      <c r="QTL50" s="10"/>
      <c r="QTM50" s="10"/>
      <c r="QTN50" s="10"/>
      <c r="QTO50" s="10"/>
      <c r="QTP50" s="10"/>
      <c r="QTQ50" s="10"/>
      <c r="QTR50" s="10"/>
      <c r="QTS50" s="10"/>
      <c r="QTT50" s="10"/>
      <c r="QTU50" s="10"/>
      <c r="QTV50" s="10"/>
      <c r="QTW50" s="10"/>
      <c r="QTX50" s="10"/>
      <c r="QTY50" s="10"/>
      <c r="QTZ50" s="10"/>
      <c r="QUA50" s="10"/>
      <c r="QUB50" s="10"/>
      <c r="QUC50" s="10"/>
      <c r="QUD50" s="10"/>
      <c r="QUE50" s="10"/>
      <c r="QUF50" s="10"/>
      <c r="QUG50" s="10"/>
      <c r="QUH50" s="10"/>
      <c r="QUI50" s="10"/>
      <c r="QUJ50" s="10"/>
      <c r="QUK50" s="10"/>
      <c r="QUL50" s="10"/>
      <c r="QUM50" s="10"/>
      <c r="QUN50" s="10"/>
      <c r="QUO50" s="10"/>
      <c r="QUP50" s="10"/>
      <c r="QUQ50" s="10"/>
      <c r="QUR50" s="10"/>
      <c r="QUS50" s="10"/>
      <c r="QUT50" s="10"/>
      <c r="QUU50" s="10"/>
      <c r="QUV50" s="10"/>
      <c r="QUW50" s="10"/>
      <c r="QUX50" s="10"/>
      <c r="QUY50" s="10"/>
      <c r="QUZ50" s="10"/>
      <c r="QVA50" s="10"/>
      <c r="QVB50" s="10"/>
      <c r="QVC50" s="10"/>
      <c r="QVD50" s="10"/>
      <c r="QVE50" s="10"/>
      <c r="QVF50" s="10"/>
      <c r="QVG50" s="10"/>
      <c r="QVH50" s="10"/>
      <c r="QVI50" s="10"/>
      <c r="QVJ50" s="10"/>
      <c r="QVK50" s="10"/>
      <c r="QVL50" s="10"/>
      <c r="QVM50" s="10"/>
      <c r="QVN50" s="10"/>
      <c r="QVO50" s="10"/>
      <c r="QVP50" s="10"/>
      <c r="QVQ50" s="10"/>
      <c r="QVR50" s="10"/>
      <c r="QVS50" s="10"/>
      <c r="QVT50" s="10"/>
      <c r="QVU50" s="10"/>
      <c r="QVV50" s="10"/>
      <c r="QVW50" s="10"/>
      <c r="QVX50" s="10"/>
      <c r="QVY50" s="10"/>
      <c r="QVZ50" s="10"/>
      <c r="QWA50" s="10"/>
      <c r="QWB50" s="10"/>
      <c r="QWC50" s="10"/>
      <c r="QWD50" s="10"/>
      <c r="QWE50" s="10"/>
      <c r="QWF50" s="10"/>
      <c r="QWG50" s="10"/>
      <c r="QWH50" s="10"/>
      <c r="QWI50" s="10"/>
      <c r="QWJ50" s="10"/>
      <c r="QWK50" s="10"/>
      <c r="QWL50" s="10"/>
      <c r="QWM50" s="10"/>
      <c r="QWN50" s="10"/>
      <c r="QWO50" s="10"/>
      <c r="QWP50" s="10"/>
      <c r="QWQ50" s="10"/>
      <c r="QWR50" s="10"/>
      <c r="QWS50" s="10"/>
      <c r="QWT50" s="10"/>
      <c r="QWU50" s="10"/>
      <c r="QWV50" s="10"/>
      <c r="QWW50" s="10"/>
      <c r="QWX50" s="10"/>
      <c r="QWY50" s="10"/>
      <c r="QWZ50" s="10"/>
      <c r="QXA50" s="10"/>
      <c r="QXB50" s="10"/>
      <c r="QXC50" s="10"/>
      <c r="QXD50" s="10"/>
      <c r="QXE50" s="10"/>
      <c r="QXF50" s="10"/>
      <c r="QXG50" s="10"/>
      <c r="QXH50" s="10"/>
      <c r="QXI50" s="10"/>
      <c r="QXJ50" s="10"/>
      <c r="QXK50" s="10"/>
      <c r="QXL50" s="10"/>
      <c r="QXM50" s="10"/>
      <c r="QXN50" s="10"/>
      <c r="QXO50" s="10"/>
      <c r="QXP50" s="10"/>
      <c r="QXQ50" s="10"/>
      <c r="QXR50" s="10"/>
      <c r="QXS50" s="10"/>
      <c r="QXT50" s="10"/>
      <c r="QXU50" s="10"/>
      <c r="QXV50" s="10"/>
      <c r="QXW50" s="10"/>
      <c r="QXX50" s="10"/>
      <c r="QXY50" s="10"/>
      <c r="QXZ50" s="10"/>
      <c r="QYA50" s="10"/>
      <c r="QYB50" s="10"/>
      <c r="QYC50" s="10"/>
      <c r="QYD50" s="10"/>
      <c r="QYE50" s="10"/>
      <c r="QYF50" s="10"/>
      <c r="QYG50" s="10"/>
      <c r="QYH50" s="10"/>
      <c r="QYI50" s="10"/>
      <c r="QYJ50" s="10"/>
      <c r="QYK50" s="10"/>
      <c r="QYL50" s="10"/>
      <c r="QYM50" s="10"/>
      <c r="QYN50" s="10"/>
      <c r="QYO50" s="10"/>
      <c r="QYP50" s="10"/>
      <c r="QYQ50" s="10"/>
      <c r="QYR50" s="10"/>
      <c r="QYS50" s="10"/>
      <c r="QYT50" s="10"/>
      <c r="QYU50" s="10"/>
      <c r="QYV50" s="10"/>
      <c r="QYW50" s="10"/>
      <c r="QYX50" s="10"/>
      <c r="QYY50" s="10"/>
      <c r="QYZ50" s="10"/>
      <c r="QZA50" s="10"/>
      <c r="QZB50" s="10"/>
      <c r="QZC50" s="10"/>
      <c r="QZD50" s="10"/>
      <c r="QZE50" s="10"/>
      <c r="QZF50" s="10"/>
      <c r="QZG50" s="10"/>
      <c r="QZH50" s="10"/>
      <c r="QZI50" s="10"/>
      <c r="QZJ50" s="10"/>
      <c r="QZK50" s="10"/>
      <c r="QZL50" s="10"/>
      <c r="QZM50" s="10"/>
      <c r="QZN50" s="10"/>
      <c r="QZO50" s="10"/>
      <c r="QZP50" s="10"/>
      <c r="QZQ50" s="10"/>
      <c r="QZR50" s="10"/>
      <c r="QZS50" s="10"/>
      <c r="QZT50" s="10"/>
      <c r="QZU50" s="10"/>
      <c r="QZV50" s="10"/>
      <c r="QZW50" s="10"/>
      <c r="QZX50" s="10"/>
      <c r="QZY50" s="10"/>
      <c r="QZZ50" s="10"/>
      <c r="RAA50" s="10"/>
      <c r="RAB50" s="10"/>
      <c r="RAC50" s="10"/>
      <c r="RAD50" s="10"/>
      <c r="RAE50" s="10"/>
      <c r="RAF50" s="10"/>
      <c r="RAG50" s="10"/>
      <c r="RAH50" s="10"/>
      <c r="RAI50" s="10"/>
      <c r="RAJ50" s="10"/>
      <c r="RAK50" s="10"/>
      <c r="RAL50" s="10"/>
      <c r="RAM50" s="10"/>
      <c r="RAN50" s="10"/>
      <c r="RAO50" s="10"/>
      <c r="RAP50" s="10"/>
      <c r="RAQ50" s="10"/>
      <c r="RAR50" s="10"/>
      <c r="RAS50" s="10"/>
      <c r="RAT50" s="10"/>
      <c r="RAU50" s="10"/>
      <c r="RAV50" s="10"/>
      <c r="RAW50" s="10"/>
      <c r="RAX50" s="10"/>
      <c r="RAY50" s="10"/>
      <c r="RAZ50" s="10"/>
      <c r="RBA50" s="10"/>
      <c r="RBB50" s="10"/>
      <c r="RBC50" s="10"/>
      <c r="RBD50" s="10"/>
      <c r="RBE50" s="10"/>
      <c r="RBF50" s="10"/>
      <c r="RBG50" s="10"/>
      <c r="RBH50" s="10"/>
      <c r="RBI50" s="10"/>
      <c r="RBJ50" s="10"/>
      <c r="RBK50" s="10"/>
      <c r="RBL50" s="10"/>
      <c r="RBM50" s="10"/>
      <c r="RBN50" s="10"/>
      <c r="RBO50" s="10"/>
      <c r="RBP50" s="10"/>
      <c r="RBQ50" s="10"/>
      <c r="RBR50" s="10"/>
      <c r="RBS50" s="10"/>
      <c r="RBT50" s="10"/>
      <c r="RBU50" s="10"/>
      <c r="RBV50" s="10"/>
      <c r="RBW50" s="10"/>
      <c r="RBX50" s="10"/>
      <c r="RBY50" s="10"/>
      <c r="RBZ50" s="10"/>
      <c r="RCA50" s="10"/>
      <c r="RCB50" s="10"/>
      <c r="RCC50" s="10"/>
      <c r="RCD50" s="10"/>
      <c r="RCE50" s="10"/>
      <c r="RCF50" s="10"/>
      <c r="RCG50" s="10"/>
      <c r="RCH50" s="10"/>
      <c r="RCI50" s="10"/>
      <c r="RCJ50" s="10"/>
      <c r="RCK50" s="10"/>
      <c r="RCL50" s="10"/>
      <c r="RCM50" s="10"/>
      <c r="RCN50" s="10"/>
      <c r="RCO50" s="10"/>
      <c r="RCP50" s="10"/>
      <c r="RCQ50" s="10"/>
      <c r="RCR50" s="10"/>
      <c r="RCS50" s="10"/>
      <c r="RCT50" s="10"/>
      <c r="RCU50" s="10"/>
      <c r="RCV50" s="10"/>
      <c r="RCW50" s="10"/>
      <c r="RCX50" s="10"/>
      <c r="RCY50" s="10"/>
      <c r="RCZ50" s="10"/>
      <c r="RDA50" s="10"/>
      <c r="RDB50" s="10"/>
      <c r="RDC50" s="10"/>
      <c r="RDD50" s="10"/>
      <c r="RDE50" s="10"/>
      <c r="RDF50" s="10"/>
      <c r="RDG50" s="10"/>
      <c r="RDH50" s="10"/>
      <c r="RDI50" s="10"/>
      <c r="RDJ50" s="10"/>
      <c r="RDK50" s="10"/>
      <c r="RDL50" s="10"/>
      <c r="RDM50" s="10"/>
      <c r="RDN50" s="10"/>
      <c r="RDO50" s="10"/>
      <c r="RDP50" s="10"/>
      <c r="RDQ50" s="10"/>
      <c r="RDR50" s="10"/>
      <c r="RDS50" s="10"/>
      <c r="RDT50" s="10"/>
      <c r="RDU50" s="10"/>
      <c r="RDV50" s="10"/>
      <c r="RDW50" s="10"/>
      <c r="RDX50" s="10"/>
      <c r="RDY50" s="10"/>
      <c r="RDZ50" s="10"/>
      <c r="REA50" s="10"/>
      <c r="REB50" s="10"/>
      <c r="REC50" s="10"/>
      <c r="RED50" s="10"/>
      <c r="REE50" s="10"/>
      <c r="REF50" s="10"/>
      <c r="REG50" s="10"/>
      <c r="REH50" s="10"/>
      <c r="REI50" s="10"/>
      <c r="REJ50" s="10"/>
      <c r="REK50" s="10"/>
      <c r="REL50" s="10"/>
      <c r="REM50" s="10"/>
      <c r="REN50" s="10"/>
      <c r="REO50" s="10"/>
      <c r="REP50" s="10"/>
      <c r="REQ50" s="10"/>
      <c r="RER50" s="10"/>
      <c r="RES50" s="10"/>
      <c r="RET50" s="10"/>
      <c r="REU50" s="10"/>
      <c r="REV50" s="10"/>
      <c r="REW50" s="10"/>
      <c r="REX50" s="10"/>
      <c r="REY50" s="10"/>
      <c r="REZ50" s="10"/>
      <c r="RFA50" s="10"/>
      <c r="RFB50" s="10"/>
      <c r="RFC50" s="10"/>
      <c r="RFD50" s="10"/>
      <c r="RFE50" s="10"/>
      <c r="RFF50" s="10"/>
      <c r="RFG50" s="10"/>
      <c r="RFH50" s="10"/>
      <c r="RFI50" s="10"/>
      <c r="RFJ50" s="10"/>
      <c r="RFK50" s="10"/>
      <c r="RFL50" s="10"/>
      <c r="RFM50" s="10"/>
      <c r="RFN50" s="10"/>
      <c r="RFO50" s="10"/>
      <c r="RFP50" s="10"/>
      <c r="RFQ50" s="10"/>
      <c r="RFR50" s="10"/>
      <c r="RFS50" s="10"/>
      <c r="RFT50" s="10"/>
      <c r="RFU50" s="10"/>
      <c r="RFV50" s="10"/>
      <c r="RFW50" s="10"/>
      <c r="RFX50" s="10"/>
      <c r="RFY50" s="10"/>
      <c r="RFZ50" s="10"/>
      <c r="RGA50" s="10"/>
      <c r="RGB50" s="10"/>
      <c r="RGC50" s="10"/>
      <c r="RGD50" s="10"/>
      <c r="RGE50" s="10"/>
      <c r="RGF50" s="10"/>
      <c r="RGG50" s="10"/>
      <c r="RGH50" s="10"/>
      <c r="RGI50" s="10"/>
      <c r="RGJ50" s="10"/>
      <c r="RGK50" s="10"/>
      <c r="RGL50" s="10"/>
      <c r="RGM50" s="10"/>
      <c r="RGN50" s="10"/>
      <c r="RGO50" s="10"/>
      <c r="RGP50" s="10"/>
      <c r="RGQ50" s="10"/>
      <c r="RGR50" s="10"/>
      <c r="RGS50" s="10"/>
      <c r="RGT50" s="10"/>
      <c r="RGU50" s="10"/>
      <c r="RGV50" s="10"/>
      <c r="RGW50" s="10"/>
      <c r="RGX50" s="10"/>
      <c r="RGY50" s="10"/>
      <c r="RGZ50" s="10"/>
      <c r="RHA50" s="10"/>
      <c r="RHB50" s="10"/>
      <c r="RHC50" s="10"/>
      <c r="RHD50" s="10"/>
      <c r="RHE50" s="10"/>
      <c r="RHF50" s="10"/>
      <c r="RHG50" s="10"/>
      <c r="RHH50" s="10"/>
      <c r="RHI50" s="10"/>
      <c r="RHJ50" s="10"/>
      <c r="RHK50" s="10"/>
      <c r="RHL50" s="10"/>
      <c r="RHM50" s="10"/>
      <c r="RHN50" s="10"/>
      <c r="RHO50" s="10"/>
      <c r="RHP50" s="10"/>
      <c r="RHQ50" s="10"/>
      <c r="RHR50" s="10"/>
      <c r="RHS50" s="10"/>
      <c r="RHT50" s="10"/>
      <c r="RHU50" s="10"/>
      <c r="RHV50" s="10"/>
      <c r="RHW50" s="10"/>
      <c r="RHX50" s="10"/>
      <c r="RHY50" s="10"/>
      <c r="RHZ50" s="10"/>
      <c r="RIA50" s="10"/>
      <c r="RIB50" s="10"/>
      <c r="RIC50" s="10"/>
      <c r="RID50" s="10"/>
      <c r="RIE50" s="10"/>
      <c r="RIF50" s="10"/>
      <c r="RIG50" s="10"/>
      <c r="RIH50" s="10"/>
      <c r="RII50" s="10"/>
      <c r="RIJ50" s="10"/>
      <c r="RIK50" s="10"/>
      <c r="RIL50" s="10"/>
      <c r="RIM50" s="10"/>
      <c r="RIN50" s="10"/>
      <c r="RIO50" s="10"/>
      <c r="RIP50" s="10"/>
      <c r="RIQ50" s="10"/>
      <c r="RIR50" s="10"/>
      <c r="RIS50" s="10"/>
      <c r="RIT50" s="10"/>
      <c r="RIU50" s="10"/>
      <c r="RIV50" s="10"/>
      <c r="RIW50" s="10"/>
      <c r="RIX50" s="10"/>
      <c r="RIY50" s="10"/>
      <c r="RIZ50" s="10"/>
      <c r="RJA50" s="10"/>
      <c r="RJB50" s="10"/>
      <c r="RJC50" s="10"/>
      <c r="RJD50" s="10"/>
      <c r="RJE50" s="10"/>
      <c r="RJF50" s="10"/>
      <c r="RJG50" s="10"/>
      <c r="RJH50" s="10"/>
      <c r="RJI50" s="10"/>
      <c r="RJJ50" s="10"/>
      <c r="RJK50" s="10"/>
      <c r="RJL50" s="10"/>
      <c r="RJM50" s="10"/>
      <c r="RJN50" s="10"/>
      <c r="RJO50" s="10"/>
      <c r="RJP50" s="10"/>
      <c r="RJQ50" s="10"/>
      <c r="RJR50" s="10"/>
      <c r="RJS50" s="10"/>
      <c r="RJT50" s="10"/>
      <c r="RJU50" s="10"/>
      <c r="RJV50" s="10"/>
      <c r="RJW50" s="10"/>
      <c r="RJX50" s="10"/>
      <c r="RJY50" s="10"/>
      <c r="RJZ50" s="10"/>
      <c r="RKA50" s="10"/>
      <c r="RKB50" s="10"/>
      <c r="RKC50" s="10"/>
      <c r="RKD50" s="10"/>
      <c r="RKE50" s="10"/>
      <c r="RKF50" s="10"/>
      <c r="RKG50" s="10"/>
      <c r="RKH50" s="10"/>
      <c r="RKI50" s="10"/>
      <c r="RKJ50" s="10"/>
      <c r="RKK50" s="10"/>
      <c r="RKL50" s="10"/>
      <c r="RKM50" s="10"/>
      <c r="RKN50" s="10"/>
      <c r="RKO50" s="10"/>
      <c r="RKP50" s="10"/>
      <c r="RKQ50" s="10"/>
      <c r="RKR50" s="10"/>
      <c r="RKS50" s="10"/>
      <c r="RKT50" s="10"/>
      <c r="RKU50" s="10"/>
      <c r="RKV50" s="10"/>
      <c r="RKW50" s="10"/>
      <c r="RKX50" s="10"/>
      <c r="RKY50" s="10"/>
      <c r="RKZ50" s="10"/>
      <c r="RLA50" s="10"/>
      <c r="RLB50" s="10"/>
      <c r="RLC50" s="10"/>
      <c r="RLD50" s="10"/>
      <c r="RLE50" s="10"/>
      <c r="RLF50" s="10"/>
      <c r="RLG50" s="10"/>
      <c r="RLH50" s="10"/>
      <c r="RLI50" s="10"/>
      <c r="RLJ50" s="10"/>
      <c r="RLK50" s="10"/>
      <c r="RLL50" s="10"/>
      <c r="RLM50" s="10"/>
      <c r="RLN50" s="10"/>
      <c r="RLO50" s="10"/>
      <c r="RLP50" s="10"/>
      <c r="RLQ50" s="10"/>
      <c r="RLR50" s="10"/>
      <c r="RLS50" s="10"/>
      <c r="RLT50" s="10"/>
      <c r="RLU50" s="10"/>
      <c r="RLV50" s="10"/>
      <c r="RLW50" s="10"/>
      <c r="RLX50" s="10"/>
      <c r="RLY50" s="10"/>
      <c r="RLZ50" s="10"/>
      <c r="RMA50" s="10"/>
      <c r="RMB50" s="10"/>
      <c r="RMC50" s="10"/>
      <c r="RMD50" s="10"/>
      <c r="RME50" s="10"/>
      <c r="RMF50" s="10"/>
      <c r="RMG50" s="10"/>
      <c r="RMH50" s="10"/>
      <c r="RMI50" s="10"/>
      <c r="RMJ50" s="10"/>
      <c r="RMK50" s="10"/>
      <c r="RML50" s="10"/>
      <c r="RMM50" s="10"/>
      <c r="RMN50" s="10"/>
      <c r="RMO50" s="10"/>
      <c r="RMP50" s="10"/>
      <c r="RMQ50" s="10"/>
      <c r="RMR50" s="10"/>
      <c r="RMS50" s="10"/>
      <c r="RMT50" s="10"/>
      <c r="RMU50" s="10"/>
      <c r="RMV50" s="10"/>
      <c r="RMW50" s="10"/>
      <c r="RMX50" s="10"/>
      <c r="RMY50" s="10"/>
      <c r="RMZ50" s="10"/>
      <c r="RNA50" s="10"/>
      <c r="RNB50" s="10"/>
      <c r="RNC50" s="10"/>
      <c r="RND50" s="10"/>
      <c r="RNE50" s="10"/>
      <c r="RNF50" s="10"/>
      <c r="RNG50" s="10"/>
      <c r="RNH50" s="10"/>
      <c r="RNI50" s="10"/>
      <c r="RNJ50" s="10"/>
      <c r="RNK50" s="10"/>
      <c r="RNL50" s="10"/>
      <c r="RNM50" s="10"/>
      <c r="RNN50" s="10"/>
      <c r="RNO50" s="10"/>
      <c r="RNP50" s="10"/>
      <c r="RNQ50" s="10"/>
      <c r="RNR50" s="10"/>
      <c r="RNS50" s="10"/>
      <c r="RNT50" s="10"/>
      <c r="RNU50" s="10"/>
      <c r="RNV50" s="10"/>
      <c r="RNW50" s="10"/>
      <c r="RNX50" s="10"/>
      <c r="RNY50" s="10"/>
      <c r="RNZ50" s="10"/>
      <c r="ROA50" s="10"/>
      <c r="ROB50" s="10"/>
      <c r="ROC50" s="10"/>
      <c r="ROD50" s="10"/>
      <c r="ROE50" s="10"/>
      <c r="ROF50" s="10"/>
      <c r="ROG50" s="10"/>
      <c r="ROH50" s="10"/>
      <c r="ROI50" s="10"/>
      <c r="ROJ50" s="10"/>
      <c r="ROK50" s="10"/>
      <c r="ROL50" s="10"/>
      <c r="ROM50" s="10"/>
      <c r="RON50" s="10"/>
      <c r="ROO50" s="10"/>
      <c r="ROP50" s="10"/>
      <c r="ROQ50" s="10"/>
      <c r="ROR50" s="10"/>
      <c r="ROS50" s="10"/>
      <c r="ROT50" s="10"/>
      <c r="ROU50" s="10"/>
      <c r="ROV50" s="10"/>
      <c r="ROW50" s="10"/>
      <c r="ROX50" s="10"/>
      <c r="ROY50" s="10"/>
      <c r="ROZ50" s="10"/>
      <c r="RPA50" s="10"/>
      <c r="RPB50" s="10"/>
      <c r="RPC50" s="10"/>
      <c r="RPD50" s="10"/>
      <c r="RPE50" s="10"/>
      <c r="RPF50" s="10"/>
      <c r="RPG50" s="10"/>
      <c r="RPH50" s="10"/>
      <c r="RPI50" s="10"/>
      <c r="RPJ50" s="10"/>
      <c r="RPK50" s="10"/>
      <c r="RPL50" s="10"/>
      <c r="RPM50" s="10"/>
      <c r="RPN50" s="10"/>
      <c r="RPO50" s="10"/>
      <c r="RPP50" s="10"/>
      <c r="RPQ50" s="10"/>
      <c r="RPR50" s="10"/>
      <c r="RPS50" s="10"/>
      <c r="RPT50" s="10"/>
      <c r="RPU50" s="10"/>
      <c r="RPV50" s="10"/>
      <c r="RPW50" s="10"/>
      <c r="RPX50" s="10"/>
      <c r="RPY50" s="10"/>
      <c r="RPZ50" s="10"/>
      <c r="RQA50" s="10"/>
      <c r="RQB50" s="10"/>
      <c r="RQC50" s="10"/>
      <c r="RQD50" s="10"/>
      <c r="RQE50" s="10"/>
      <c r="RQF50" s="10"/>
      <c r="RQG50" s="10"/>
      <c r="RQH50" s="10"/>
      <c r="RQI50" s="10"/>
      <c r="RQJ50" s="10"/>
      <c r="RQK50" s="10"/>
      <c r="RQL50" s="10"/>
      <c r="RQM50" s="10"/>
      <c r="RQN50" s="10"/>
      <c r="RQO50" s="10"/>
      <c r="RQP50" s="10"/>
      <c r="RQQ50" s="10"/>
      <c r="RQR50" s="10"/>
      <c r="RQS50" s="10"/>
      <c r="RQT50" s="10"/>
      <c r="RQU50" s="10"/>
      <c r="RQV50" s="10"/>
      <c r="RQW50" s="10"/>
      <c r="RQX50" s="10"/>
      <c r="RQY50" s="10"/>
      <c r="RQZ50" s="10"/>
      <c r="RRA50" s="10"/>
      <c r="RRB50" s="10"/>
      <c r="RRC50" s="10"/>
      <c r="RRD50" s="10"/>
      <c r="RRE50" s="10"/>
      <c r="RRF50" s="10"/>
      <c r="RRG50" s="10"/>
      <c r="RRH50" s="10"/>
      <c r="RRI50" s="10"/>
      <c r="RRJ50" s="10"/>
      <c r="RRK50" s="10"/>
      <c r="RRL50" s="10"/>
      <c r="RRM50" s="10"/>
      <c r="RRN50" s="10"/>
      <c r="RRO50" s="10"/>
      <c r="RRP50" s="10"/>
      <c r="RRQ50" s="10"/>
      <c r="RRR50" s="10"/>
      <c r="RRS50" s="10"/>
      <c r="RRT50" s="10"/>
      <c r="RRU50" s="10"/>
      <c r="RRV50" s="10"/>
      <c r="RRW50" s="10"/>
      <c r="RRX50" s="10"/>
      <c r="RRY50" s="10"/>
      <c r="RRZ50" s="10"/>
      <c r="RSA50" s="10"/>
      <c r="RSB50" s="10"/>
      <c r="RSC50" s="10"/>
      <c r="RSD50" s="10"/>
      <c r="RSE50" s="10"/>
      <c r="RSF50" s="10"/>
      <c r="RSG50" s="10"/>
      <c r="RSH50" s="10"/>
      <c r="RSI50" s="10"/>
      <c r="RSJ50" s="10"/>
      <c r="RSK50" s="10"/>
      <c r="RSL50" s="10"/>
      <c r="RSM50" s="10"/>
      <c r="RSN50" s="10"/>
      <c r="RSO50" s="10"/>
      <c r="RSP50" s="10"/>
      <c r="RSQ50" s="10"/>
      <c r="RSR50" s="10"/>
      <c r="RSS50" s="10"/>
      <c r="RST50" s="10"/>
      <c r="RSU50" s="10"/>
      <c r="RSV50" s="10"/>
      <c r="RSW50" s="10"/>
      <c r="RSX50" s="10"/>
      <c r="RSY50" s="10"/>
      <c r="RSZ50" s="10"/>
      <c r="RTA50" s="10"/>
      <c r="RTB50" s="10"/>
      <c r="RTC50" s="10"/>
      <c r="RTD50" s="10"/>
      <c r="RTE50" s="10"/>
      <c r="RTF50" s="10"/>
      <c r="RTG50" s="10"/>
      <c r="RTH50" s="10"/>
      <c r="RTI50" s="10"/>
      <c r="RTJ50" s="10"/>
      <c r="RTK50" s="10"/>
      <c r="RTL50" s="10"/>
      <c r="RTM50" s="10"/>
      <c r="RTN50" s="10"/>
      <c r="RTO50" s="10"/>
      <c r="RTP50" s="10"/>
      <c r="RTQ50" s="10"/>
      <c r="RTR50" s="10"/>
      <c r="RTS50" s="10"/>
      <c r="RTT50" s="10"/>
      <c r="RTU50" s="10"/>
      <c r="RTV50" s="10"/>
      <c r="RTW50" s="10"/>
      <c r="RTX50" s="10"/>
      <c r="RTY50" s="10"/>
      <c r="RTZ50" s="10"/>
      <c r="RUA50" s="10"/>
      <c r="RUB50" s="10"/>
      <c r="RUC50" s="10"/>
      <c r="RUD50" s="10"/>
      <c r="RUE50" s="10"/>
      <c r="RUF50" s="10"/>
      <c r="RUG50" s="10"/>
      <c r="RUH50" s="10"/>
      <c r="RUI50" s="10"/>
      <c r="RUJ50" s="10"/>
      <c r="RUK50" s="10"/>
      <c r="RUL50" s="10"/>
      <c r="RUM50" s="10"/>
      <c r="RUN50" s="10"/>
      <c r="RUO50" s="10"/>
      <c r="RUP50" s="10"/>
      <c r="RUQ50" s="10"/>
      <c r="RUR50" s="10"/>
      <c r="RUS50" s="10"/>
      <c r="RUT50" s="10"/>
      <c r="RUU50" s="10"/>
      <c r="RUV50" s="10"/>
      <c r="RUW50" s="10"/>
      <c r="RUX50" s="10"/>
      <c r="RUY50" s="10"/>
      <c r="RUZ50" s="10"/>
      <c r="RVA50" s="10"/>
      <c r="RVB50" s="10"/>
      <c r="RVC50" s="10"/>
      <c r="RVD50" s="10"/>
      <c r="RVE50" s="10"/>
      <c r="RVF50" s="10"/>
      <c r="RVG50" s="10"/>
      <c r="RVH50" s="10"/>
      <c r="RVI50" s="10"/>
      <c r="RVJ50" s="10"/>
      <c r="RVK50" s="10"/>
      <c r="RVL50" s="10"/>
      <c r="RVM50" s="10"/>
      <c r="RVN50" s="10"/>
      <c r="RVO50" s="10"/>
      <c r="RVP50" s="10"/>
      <c r="RVQ50" s="10"/>
      <c r="RVR50" s="10"/>
      <c r="RVS50" s="10"/>
      <c r="RVT50" s="10"/>
      <c r="RVU50" s="10"/>
      <c r="RVV50" s="10"/>
      <c r="RVW50" s="10"/>
      <c r="RVX50" s="10"/>
      <c r="RVY50" s="10"/>
      <c r="RVZ50" s="10"/>
      <c r="RWA50" s="10"/>
      <c r="RWB50" s="10"/>
      <c r="RWC50" s="10"/>
      <c r="RWD50" s="10"/>
      <c r="RWE50" s="10"/>
      <c r="RWF50" s="10"/>
      <c r="RWG50" s="10"/>
      <c r="RWH50" s="10"/>
      <c r="RWI50" s="10"/>
      <c r="RWJ50" s="10"/>
      <c r="RWK50" s="10"/>
      <c r="RWL50" s="10"/>
      <c r="RWM50" s="10"/>
      <c r="RWN50" s="10"/>
      <c r="RWO50" s="10"/>
      <c r="RWP50" s="10"/>
      <c r="RWQ50" s="10"/>
      <c r="RWR50" s="10"/>
      <c r="RWS50" s="10"/>
      <c r="RWT50" s="10"/>
      <c r="RWU50" s="10"/>
      <c r="RWV50" s="10"/>
      <c r="RWW50" s="10"/>
      <c r="RWX50" s="10"/>
      <c r="RWY50" s="10"/>
      <c r="RWZ50" s="10"/>
      <c r="RXA50" s="10"/>
      <c r="RXB50" s="10"/>
      <c r="RXC50" s="10"/>
      <c r="RXD50" s="10"/>
      <c r="RXE50" s="10"/>
      <c r="RXF50" s="10"/>
      <c r="RXG50" s="10"/>
      <c r="RXH50" s="10"/>
      <c r="RXI50" s="10"/>
      <c r="RXJ50" s="10"/>
      <c r="RXK50" s="10"/>
      <c r="RXL50" s="10"/>
      <c r="RXM50" s="10"/>
      <c r="RXN50" s="10"/>
      <c r="RXO50" s="10"/>
      <c r="RXP50" s="10"/>
      <c r="RXQ50" s="10"/>
      <c r="RXR50" s="10"/>
      <c r="RXS50" s="10"/>
      <c r="RXT50" s="10"/>
      <c r="RXU50" s="10"/>
      <c r="RXV50" s="10"/>
      <c r="RXW50" s="10"/>
      <c r="RXX50" s="10"/>
      <c r="RXY50" s="10"/>
      <c r="RXZ50" s="10"/>
      <c r="RYA50" s="10"/>
      <c r="RYB50" s="10"/>
      <c r="RYC50" s="10"/>
      <c r="RYD50" s="10"/>
      <c r="RYE50" s="10"/>
      <c r="RYF50" s="10"/>
      <c r="RYG50" s="10"/>
      <c r="RYH50" s="10"/>
      <c r="RYI50" s="10"/>
      <c r="RYJ50" s="10"/>
      <c r="RYK50" s="10"/>
      <c r="RYL50" s="10"/>
      <c r="RYM50" s="10"/>
      <c r="RYN50" s="10"/>
      <c r="RYO50" s="10"/>
      <c r="RYP50" s="10"/>
      <c r="RYQ50" s="10"/>
      <c r="RYR50" s="10"/>
      <c r="RYS50" s="10"/>
      <c r="RYT50" s="10"/>
      <c r="RYU50" s="10"/>
      <c r="RYV50" s="10"/>
      <c r="RYW50" s="10"/>
      <c r="RYX50" s="10"/>
      <c r="RYY50" s="10"/>
      <c r="RYZ50" s="10"/>
      <c r="RZA50" s="10"/>
      <c r="RZB50" s="10"/>
      <c r="RZC50" s="10"/>
      <c r="RZD50" s="10"/>
      <c r="RZE50" s="10"/>
      <c r="RZF50" s="10"/>
      <c r="RZG50" s="10"/>
      <c r="RZH50" s="10"/>
      <c r="RZI50" s="10"/>
      <c r="RZJ50" s="10"/>
      <c r="RZK50" s="10"/>
      <c r="RZL50" s="10"/>
      <c r="RZM50" s="10"/>
      <c r="RZN50" s="10"/>
      <c r="RZO50" s="10"/>
      <c r="RZP50" s="10"/>
      <c r="RZQ50" s="10"/>
      <c r="RZR50" s="10"/>
      <c r="RZS50" s="10"/>
      <c r="RZT50" s="10"/>
      <c r="RZU50" s="10"/>
      <c r="RZV50" s="10"/>
      <c r="RZW50" s="10"/>
      <c r="RZX50" s="10"/>
      <c r="RZY50" s="10"/>
      <c r="RZZ50" s="10"/>
      <c r="SAA50" s="10"/>
      <c r="SAB50" s="10"/>
      <c r="SAC50" s="10"/>
      <c r="SAD50" s="10"/>
      <c r="SAE50" s="10"/>
      <c r="SAF50" s="10"/>
      <c r="SAG50" s="10"/>
      <c r="SAH50" s="10"/>
      <c r="SAI50" s="10"/>
      <c r="SAJ50" s="10"/>
      <c r="SAK50" s="10"/>
      <c r="SAL50" s="10"/>
      <c r="SAM50" s="10"/>
      <c r="SAN50" s="10"/>
      <c r="SAO50" s="10"/>
      <c r="SAP50" s="10"/>
      <c r="SAQ50" s="10"/>
      <c r="SAR50" s="10"/>
      <c r="SAS50" s="10"/>
      <c r="SAT50" s="10"/>
      <c r="SAU50" s="10"/>
      <c r="SAV50" s="10"/>
      <c r="SAW50" s="10"/>
      <c r="SAX50" s="10"/>
      <c r="SAY50" s="10"/>
      <c r="SAZ50" s="10"/>
      <c r="SBA50" s="10"/>
      <c r="SBB50" s="10"/>
      <c r="SBC50" s="10"/>
      <c r="SBD50" s="10"/>
      <c r="SBE50" s="10"/>
      <c r="SBF50" s="10"/>
      <c r="SBG50" s="10"/>
      <c r="SBH50" s="10"/>
      <c r="SBI50" s="10"/>
      <c r="SBJ50" s="10"/>
      <c r="SBK50" s="10"/>
      <c r="SBL50" s="10"/>
      <c r="SBM50" s="10"/>
      <c r="SBN50" s="10"/>
      <c r="SBO50" s="10"/>
      <c r="SBP50" s="10"/>
      <c r="SBQ50" s="10"/>
      <c r="SBR50" s="10"/>
      <c r="SBS50" s="10"/>
      <c r="SBT50" s="10"/>
      <c r="SBU50" s="10"/>
      <c r="SBV50" s="10"/>
      <c r="SBW50" s="10"/>
      <c r="SBX50" s="10"/>
      <c r="SBY50" s="10"/>
      <c r="SBZ50" s="10"/>
      <c r="SCA50" s="10"/>
      <c r="SCB50" s="10"/>
      <c r="SCC50" s="10"/>
      <c r="SCD50" s="10"/>
      <c r="SCE50" s="10"/>
      <c r="SCF50" s="10"/>
      <c r="SCG50" s="10"/>
      <c r="SCH50" s="10"/>
      <c r="SCI50" s="10"/>
      <c r="SCJ50" s="10"/>
      <c r="SCK50" s="10"/>
      <c r="SCL50" s="10"/>
      <c r="SCM50" s="10"/>
      <c r="SCN50" s="10"/>
      <c r="SCO50" s="10"/>
      <c r="SCP50" s="10"/>
      <c r="SCQ50" s="10"/>
      <c r="SCR50" s="10"/>
      <c r="SCS50" s="10"/>
      <c r="SCT50" s="10"/>
      <c r="SCU50" s="10"/>
      <c r="SCV50" s="10"/>
      <c r="SCW50" s="10"/>
      <c r="SCX50" s="10"/>
      <c r="SCY50" s="10"/>
      <c r="SCZ50" s="10"/>
      <c r="SDA50" s="10"/>
      <c r="SDB50" s="10"/>
      <c r="SDC50" s="10"/>
      <c r="SDD50" s="10"/>
      <c r="SDE50" s="10"/>
      <c r="SDF50" s="10"/>
      <c r="SDG50" s="10"/>
      <c r="SDH50" s="10"/>
      <c r="SDI50" s="10"/>
      <c r="SDJ50" s="10"/>
      <c r="SDK50" s="10"/>
      <c r="SDL50" s="10"/>
      <c r="SDM50" s="10"/>
      <c r="SDN50" s="10"/>
      <c r="SDO50" s="10"/>
      <c r="SDP50" s="10"/>
      <c r="SDQ50" s="10"/>
      <c r="SDR50" s="10"/>
      <c r="SDS50" s="10"/>
      <c r="SDT50" s="10"/>
      <c r="SDU50" s="10"/>
      <c r="SDV50" s="10"/>
      <c r="SDW50" s="10"/>
      <c r="SDX50" s="10"/>
      <c r="SDY50" s="10"/>
      <c r="SDZ50" s="10"/>
      <c r="SEA50" s="10"/>
      <c r="SEB50" s="10"/>
      <c r="SEC50" s="10"/>
      <c r="SED50" s="10"/>
      <c r="SEE50" s="10"/>
      <c r="SEF50" s="10"/>
      <c r="SEG50" s="10"/>
      <c r="SEH50" s="10"/>
      <c r="SEI50" s="10"/>
      <c r="SEJ50" s="10"/>
      <c r="SEK50" s="10"/>
      <c r="SEL50" s="10"/>
      <c r="SEM50" s="10"/>
      <c r="SEN50" s="10"/>
      <c r="SEO50" s="10"/>
      <c r="SEP50" s="10"/>
      <c r="SEQ50" s="10"/>
      <c r="SER50" s="10"/>
      <c r="SES50" s="10"/>
      <c r="SET50" s="10"/>
      <c r="SEU50" s="10"/>
      <c r="SEV50" s="10"/>
      <c r="SEW50" s="10"/>
      <c r="SEX50" s="10"/>
      <c r="SEY50" s="10"/>
      <c r="SEZ50" s="10"/>
      <c r="SFA50" s="10"/>
      <c r="SFB50" s="10"/>
      <c r="SFC50" s="10"/>
      <c r="SFD50" s="10"/>
      <c r="SFE50" s="10"/>
      <c r="SFF50" s="10"/>
      <c r="SFG50" s="10"/>
      <c r="SFH50" s="10"/>
      <c r="SFI50" s="10"/>
      <c r="SFJ50" s="10"/>
      <c r="SFK50" s="10"/>
      <c r="SFL50" s="10"/>
      <c r="SFM50" s="10"/>
      <c r="SFN50" s="10"/>
      <c r="SFO50" s="10"/>
      <c r="SFP50" s="10"/>
      <c r="SFQ50" s="10"/>
      <c r="SFR50" s="10"/>
      <c r="SFS50" s="10"/>
      <c r="SFT50" s="10"/>
      <c r="SFU50" s="10"/>
      <c r="SFV50" s="10"/>
      <c r="SFW50" s="10"/>
      <c r="SFX50" s="10"/>
      <c r="SFY50" s="10"/>
      <c r="SFZ50" s="10"/>
      <c r="SGA50" s="10"/>
      <c r="SGB50" s="10"/>
      <c r="SGC50" s="10"/>
      <c r="SGD50" s="10"/>
      <c r="SGE50" s="10"/>
      <c r="SGF50" s="10"/>
      <c r="SGG50" s="10"/>
      <c r="SGH50" s="10"/>
      <c r="SGI50" s="10"/>
      <c r="SGJ50" s="10"/>
      <c r="SGK50" s="10"/>
      <c r="SGL50" s="10"/>
      <c r="SGM50" s="10"/>
      <c r="SGN50" s="10"/>
      <c r="SGO50" s="10"/>
      <c r="SGP50" s="10"/>
      <c r="SGQ50" s="10"/>
      <c r="SGR50" s="10"/>
      <c r="SGS50" s="10"/>
      <c r="SGT50" s="10"/>
      <c r="SGU50" s="10"/>
      <c r="SGV50" s="10"/>
      <c r="SGW50" s="10"/>
      <c r="SGX50" s="10"/>
      <c r="SGY50" s="10"/>
      <c r="SGZ50" s="10"/>
      <c r="SHA50" s="10"/>
      <c r="SHB50" s="10"/>
      <c r="SHC50" s="10"/>
      <c r="SHD50" s="10"/>
      <c r="SHE50" s="10"/>
      <c r="SHF50" s="10"/>
      <c r="SHG50" s="10"/>
      <c r="SHH50" s="10"/>
      <c r="SHI50" s="10"/>
      <c r="SHJ50" s="10"/>
      <c r="SHK50" s="10"/>
      <c r="SHL50" s="10"/>
      <c r="SHM50" s="10"/>
      <c r="SHN50" s="10"/>
      <c r="SHO50" s="10"/>
      <c r="SHP50" s="10"/>
      <c r="SHQ50" s="10"/>
      <c r="SHR50" s="10"/>
      <c r="SHS50" s="10"/>
      <c r="SHT50" s="10"/>
      <c r="SHU50" s="10"/>
      <c r="SHV50" s="10"/>
      <c r="SHW50" s="10"/>
      <c r="SHX50" s="10"/>
      <c r="SHY50" s="10"/>
      <c r="SHZ50" s="10"/>
      <c r="SIA50" s="10"/>
      <c r="SIB50" s="10"/>
      <c r="SIC50" s="10"/>
      <c r="SID50" s="10"/>
      <c r="SIE50" s="10"/>
      <c r="SIF50" s="10"/>
      <c r="SIG50" s="10"/>
      <c r="SIH50" s="10"/>
      <c r="SII50" s="10"/>
      <c r="SIJ50" s="10"/>
      <c r="SIK50" s="10"/>
      <c r="SIL50" s="10"/>
      <c r="SIM50" s="10"/>
      <c r="SIN50" s="10"/>
      <c r="SIO50" s="10"/>
      <c r="SIP50" s="10"/>
      <c r="SIQ50" s="10"/>
      <c r="SIR50" s="10"/>
      <c r="SIS50" s="10"/>
      <c r="SIT50" s="10"/>
      <c r="SIU50" s="10"/>
      <c r="SIV50" s="10"/>
      <c r="SIW50" s="10"/>
      <c r="SIX50" s="10"/>
      <c r="SIY50" s="10"/>
      <c r="SIZ50" s="10"/>
      <c r="SJA50" s="10"/>
      <c r="SJB50" s="10"/>
      <c r="SJC50" s="10"/>
      <c r="SJD50" s="10"/>
      <c r="SJE50" s="10"/>
      <c r="SJF50" s="10"/>
      <c r="SJG50" s="10"/>
      <c r="SJH50" s="10"/>
      <c r="SJI50" s="10"/>
      <c r="SJJ50" s="10"/>
      <c r="SJK50" s="10"/>
      <c r="SJL50" s="10"/>
      <c r="SJM50" s="10"/>
      <c r="SJN50" s="10"/>
      <c r="SJO50" s="10"/>
      <c r="SJP50" s="10"/>
      <c r="SJQ50" s="10"/>
      <c r="SJR50" s="10"/>
      <c r="SJS50" s="10"/>
      <c r="SJT50" s="10"/>
      <c r="SJU50" s="10"/>
      <c r="SJV50" s="10"/>
      <c r="SJW50" s="10"/>
      <c r="SJX50" s="10"/>
      <c r="SJY50" s="10"/>
      <c r="SJZ50" s="10"/>
      <c r="SKA50" s="10"/>
      <c r="SKB50" s="10"/>
      <c r="SKC50" s="10"/>
      <c r="SKD50" s="10"/>
      <c r="SKE50" s="10"/>
      <c r="SKF50" s="10"/>
      <c r="SKG50" s="10"/>
      <c r="SKH50" s="10"/>
      <c r="SKI50" s="10"/>
      <c r="SKJ50" s="10"/>
      <c r="SKK50" s="10"/>
      <c r="SKL50" s="10"/>
      <c r="SKM50" s="10"/>
      <c r="SKN50" s="10"/>
      <c r="SKO50" s="10"/>
      <c r="SKP50" s="10"/>
      <c r="SKQ50" s="10"/>
      <c r="SKR50" s="10"/>
      <c r="SKS50" s="10"/>
      <c r="SKT50" s="10"/>
      <c r="SKU50" s="10"/>
      <c r="SKV50" s="10"/>
      <c r="SKW50" s="10"/>
      <c r="SKX50" s="10"/>
      <c r="SKY50" s="10"/>
      <c r="SKZ50" s="10"/>
      <c r="SLA50" s="10"/>
      <c r="SLB50" s="10"/>
      <c r="SLC50" s="10"/>
      <c r="SLD50" s="10"/>
      <c r="SLE50" s="10"/>
      <c r="SLF50" s="10"/>
      <c r="SLG50" s="10"/>
      <c r="SLH50" s="10"/>
      <c r="SLI50" s="10"/>
      <c r="SLJ50" s="10"/>
      <c r="SLK50" s="10"/>
      <c r="SLL50" s="10"/>
      <c r="SLM50" s="10"/>
      <c r="SLN50" s="10"/>
      <c r="SLO50" s="10"/>
      <c r="SLP50" s="10"/>
      <c r="SLQ50" s="10"/>
      <c r="SLR50" s="10"/>
      <c r="SLS50" s="10"/>
      <c r="SLT50" s="10"/>
      <c r="SLU50" s="10"/>
      <c r="SLV50" s="10"/>
      <c r="SLW50" s="10"/>
      <c r="SLX50" s="10"/>
      <c r="SLY50" s="10"/>
      <c r="SLZ50" s="10"/>
      <c r="SMA50" s="10"/>
      <c r="SMB50" s="10"/>
      <c r="SMC50" s="10"/>
      <c r="SMD50" s="10"/>
      <c r="SME50" s="10"/>
      <c r="SMF50" s="10"/>
      <c r="SMG50" s="10"/>
      <c r="SMH50" s="10"/>
      <c r="SMI50" s="10"/>
      <c r="SMJ50" s="10"/>
      <c r="SMK50" s="10"/>
      <c r="SML50" s="10"/>
      <c r="SMM50" s="10"/>
      <c r="SMN50" s="10"/>
      <c r="SMO50" s="10"/>
      <c r="SMP50" s="10"/>
      <c r="SMQ50" s="10"/>
      <c r="SMR50" s="10"/>
      <c r="SMS50" s="10"/>
      <c r="SMT50" s="10"/>
      <c r="SMU50" s="10"/>
      <c r="SMV50" s="10"/>
      <c r="SMW50" s="10"/>
      <c r="SMX50" s="10"/>
      <c r="SMY50" s="10"/>
      <c r="SMZ50" s="10"/>
      <c r="SNA50" s="10"/>
      <c r="SNB50" s="10"/>
      <c r="SNC50" s="10"/>
      <c r="SND50" s="10"/>
      <c r="SNE50" s="10"/>
      <c r="SNF50" s="10"/>
      <c r="SNG50" s="10"/>
      <c r="SNH50" s="10"/>
      <c r="SNI50" s="10"/>
      <c r="SNJ50" s="10"/>
      <c r="SNK50" s="10"/>
      <c r="SNL50" s="10"/>
      <c r="SNM50" s="10"/>
      <c r="SNN50" s="10"/>
      <c r="SNO50" s="10"/>
      <c r="SNP50" s="10"/>
      <c r="SNQ50" s="10"/>
      <c r="SNR50" s="10"/>
      <c r="SNS50" s="10"/>
      <c r="SNT50" s="10"/>
      <c r="SNU50" s="10"/>
      <c r="SNV50" s="10"/>
      <c r="SNW50" s="10"/>
      <c r="SNX50" s="10"/>
      <c r="SNY50" s="10"/>
      <c r="SNZ50" s="10"/>
      <c r="SOA50" s="10"/>
      <c r="SOB50" s="10"/>
      <c r="SOC50" s="10"/>
      <c r="SOD50" s="10"/>
      <c r="SOE50" s="10"/>
      <c r="SOF50" s="10"/>
      <c r="SOG50" s="10"/>
      <c r="SOH50" s="10"/>
      <c r="SOI50" s="10"/>
      <c r="SOJ50" s="10"/>
      <c r="SOK50" s="10"/>
      <c r="SOL50" s="10"/>
      <c r="SOM50" s="10"/>
      <c r="SON50" s="10"/>
      <c r="SOO50" s="10"/>
      <c r="SOP50" s="10"/>
      <c r="SOQ50" s="10"/>
      <c r="SOR50" s="10"/>
      <c r="SOS50" s="10"/>
      <c r="SOT50" s="10"/>
      <c r="SOU50" s="10"/>
      <c r="SOV50" s="10"/>
      <c r="SOW50" s="10"/>
      <c r="SOX50" s="10"/>
      <c r="SOY50" s="10"/>
      <c r="SOZ50" s="10"/>
      <c r="SPA50" s="10"/>
      <c r="SPB50" s="10"/>
      <c r="SPC50" s="10"/>
      <c r="SPD50" s="10"/>
      <c r="SPE50" s="10"/>
      <c r="SPF50" s="10"/>
      <c r="SPG50" s="10"/>
      <c r="SPH50" s="10"/>
      <c r="SPI50" s="10"/>
      <c r="SPJ50" s="10"/>
      <c r="SPK50" s="10"/>
      <c r="SPL50" s="10"/>
      <c r="SPM50" s="10"/>
      <c r="SPN50" s="10"/>
      <c r="SPO50" s="10"/>
      <c r="SPP50" s="10"/>
      <c r="SPQ50" s="10"/>
      <c r="SPR50" s="10"/>
      <c r="SPS50" s="10"/>
      <c r="SPT50" s="10"/>
      <c r="SPU50" s="10"/>
      <c r="SPV50" s="10"/>
      <c r="SPW50" s="10"/>
      <c r="SPX50" s="10"/>
      <c r="SPY50" s="10"/>
      <c r="SPZ50" s="10"/>
      <c r="SQA50" s="10"/>
      <c r="SQB50" s="10"/>
      <c r="SQC50" s="10"/>
      <c r="SQD50" s="10"/>
      <c r="SQE50" s="10"/>
      <c r="SQF50" s="10"/>
      <c r="SQG50" s="10"/>
      <c r="SQH50" s="10"/>
      <c r="SQI50" s="10"/>
      <c r="SQJ50" s="10"/>
      <c r="SQK50" s="10"/>
      <c r="SQL50" s="10"/>
      <c r="SQM50" s="10"/>
      <c r="SQN50" s="10"/>
      <c r="SQO50" s="10"/>
      <c r="SQP50" s="10"/>
      <c r="SQQ50" s="10"/>
      <c r="SQR50" s="10"/>
      <c r="SQS50" s="10"/>
      <c r="SQT50" s="10"/>
      <c r="SQU50" s="10"/>
      <c r="SQV50" s="10"/>
      <c r="SQW50" s="10"/>
      <c r="SQX50" s="10"/>
      <c r="SQY50" s="10"/>
      <c r="SQZ50" s="10"/>
      <c r="SRA50" s="10"/>
      <c r="SRB50" s="10"/>
      <c r="SRC50" s="10"/>
      <c r="SRD50" s="10"/>
      <c r="SRE50" s="10"/>
      <c r="SRF50" s="10"/>
      <c r="SRG50" s="10"/>
      <c r="SRH50" s="10"/>
      <c r="SRI50" s="10"/>
      <c r="SRJ50" s="10"/>
      <c r="SRK50" s="10"/>
      <c r="SRL50" s="10"/>
      <c r="SRM50" s="10"/>
      <c r="SRN50" s="10"/>
      <c r="SRO50" s="10"/>
      <c r="SRP50" s="10"/>
      <c r="SRQ50" s="10"/>
      <c r="SRR50" s="10"/>
      <c r="SRS50" s="10"/>
      <c r="SRT50" s="10"/>
      <c r="SRU50" s="10"/>
      <c r="SRV50" s="10"/>
      <c r="SRW50" s="10"/>
      <c r="SRX50" s="10"/>
      <c r="SRY50" s="10"/>
      <c r="SRZ50" s="10"/>
      <c r="SSA50" s="10"/>
      <c r="SSB50" s="10"/>
      <c r="SSC50" s="10"/>
      <c r="SSD50" s="10"/>
      <c r="SSE50" s="10"/>
      <c r="SSF50" s="10"/>
      <c r="SSG50" s="10"/>
      <c r="SSH50" s="10"/>
      <c r="SSI50" s="10"/>
      <c r="SSJ50" s="10"/>
      <c r="SSK50" s="10"/>
      <c r="SSL50" s="10"/>
      <c r="SSM50" s="10"/>
      <c r="SSN50" s="10"/>
      <c r="SSO50" s="10"/>
      <c r="SSP50" s="10"/>
      <c r="SSQ50" s="10"/>
      <c r="SSR50" s="10"/>
      <c r="SSS50" s="10"/>
      <c r="SST50" s="10"/>
      <c r="SSU50" s="10"/>
      <c r="SSV50" s="10"/>
      <c r="SSW50" s="10"/>
      <c r="SSX50" s="10"/>
      <c r="SSY50" s="10"/>
      <c r="SSZ50" s="10"/>
      <c r="STA50" s="10"/>
      <c r="STB50" s="10"/>
      <c r="STC50" s="10"/>
      <c r="STD50" s="10"/>
      <c r="STE50" s="10"/>
      <c r="STF50" s="10"/>
      <c r="STG50" s="10"/>
      <c r="STH50" s="10"/>
      <c r="STI50" s="10"/>
      <c r="STJ50" s="10"/>
      <c r="STK50" s="10"/>
      <c r="STL50" s="10"/>
      <c r="STM50" s="10"/>
      <c r="STN50" s="10"/>
      <c r="STO50" s="10"/>
      <c r="STP50" s="10"/>
      <c r="STQ50" s="10"/>
      <c r="STR50" s="10"/>
      <c r="STS50" s="10"/>
      <c r="STT50" s="10"/>
      <c r="STU50" s="10"/>
      <c r="STV50" s="10"/>
      <c r="STW50" s="10"/>
      <c r="STX50" s="10"/>
      <c r="STY50" s="10"/>
      <c r="STZ50" s="10"/>
      <c r="SUA50" s="10"/>
      <c r="SUB50" s="10"/>
      <c r="SUC50" s="10"/>
      <c r="SUD50" s="10"/>
      <c r="SUE50" s="10"/>
      <c r="SUF50" s="10"/>
      <c r="SUG50" s="10"/>
      <c r="SUH50" s="10"/>
      <c r="SUI50" s="10"/>
      <c r="SUJ50" s="10"/>
      <c r="SUK50" s="10"/>
      <c r="SUL50" s="10"/>
      <c r="SUM50" s="10"/>
      <c r="SUN50" s="10"/>
      <c r="SUO50" s="10"/>
      <c r="SUP50" s="10"/>
      <c r="SUQ50" s="10"/>
      <c r="SUR50" s="10"/>
      <c r="SUS50" s="10"/>
      <c r="SUT50" s="10"/>
      <c r="SUU50" s="10"/>
      <c r="SUV50" s="10"/>
      <c r="SUW50" s="10"/>
      <c r="SUX50" s="10"/>
      <c r="SUY50" s="10"/>
      <c r="SUZ50" s="10"/>
      <c r="SVA50" s="10"/>
      <c r="SVB50" s="10"/>
      <c r="SVC50" s="10"/>
      <c r="SVD50" s="10"/>
      <c r="SVE50" s="10"/>
      <c r="SVF50" s="10"/>
      <c r="SVG50" s="10"/>
      <c r="SVH50" s="10"/>
      <c r="SVI50" s="10"/>
      <c r="SVJ50" s="10"/>
      <c r="SVK50" s="10"/>
      <c r="SVL50" s="10"/>
      <c r="SVM50" s="10"/>
      <c r="SVN50" s="10"/>
      <c r="SVO50" s="10"/>
      <c r="SVP50" s="10"/>
      <c r="SVQ50" s="10"/>
      <c r="SVR50" s="10"/>
      <c r="SVS50" s="10"/>
      <c r="SVT50" s="10"/>
      <c r="SVU50" s="10"/>
      <c r="SVV50" s="10"/>
      <c r="SVW50" s="10"/>
      <c r="SVX50" s="10"/>
      <c r="SVY50" s="10"/>
      <c r="SVZ50" s="10"/>
      <c r="SWA50" s="10"/>
      <c r="SWB50" s="10"/>
      <c r="SWC50" s="10"/>
      <c r="SWD50" s="10"/>
      <c r="SWE50" s="10"/>
      <c r="SWF50" s="10"/>
      <c r="SWG50" s="10"/>
      <c r="SWH50" s="10"/>
      <c r="SWI50" s="10"/>
      <c r="SWJ50" s="10"/>
      <c r="SWK50" s="10"/>
      <c r="SWL50" s="10"/>
      <c r="SWM50" s="10"/>
      <c r="SWN50" s="10"/>
      <c r="SWO50" s="10"/>
      <c r="SWP50" s="10"/>
      <c r="SWQ50" s="10"/>
      <c r="SWR50" s="10"/>
      <c r="SWS50" s="10"/>
      <c r="SWT50" s="10"/>
      <c r="SWU50" s="10"/>
      <c r="SWV50" s="10"/>
      <c r="SWW50" s="10"/>
      <c r="SWX50" s="10"/>
      <c r="SWY50" s="10"/>
      <c r="SWZ50" s="10"/>
      <c r="SXA50" s="10"/>
      <c r="SXB50" s="10"/>
      <c r="SXC50" s="10"/>
      <c r="SXD50" s="10"/>
      <c r="SXE50" s="10"/>
      <c r="SXF50" s="10"/>
      <c r="SXG50" s="10"/>
      <c r="SXH50" s="10"/>
      <c r="SXI50" s="10"/>
      <c r="SXJ50" s="10"/>
      <c r="SXK50" s="10"/>
      <c r="SXL50" s="10"/>
      <c r="SXM50" s="10"/>
      <c r="SXN50" s="10"/>
      <c r="SXO50" s="10"/>
      <c r="SXP50" s="10"/>
      <c r="SXQ50" s="10"/>
      <c r="SXR50" s="10"/>
      <c r="SXS50" s="10"/>
      <c r="SXT50" s="10"/>
      <c r="SXU50" s="10"/>
      <c r="SXV50" s="10"/>
      <c r="SXW50" s="10"/>
      <c r="SXX50" s="10"/>
      <c r="SXY50" s="10"/>
      <c r="SXZ50" s="10"/>
      <c r="SYA50" s="10"/>
      <c r="SYB50" s="10"/>
      <c r="SYC50" s="10"/>
      <c r="SYD50" s="10"/>
      <c r="SYE50" s="10"/>
      <c r="SYF50" s="10"/>
      <c r="SYG50" s="10"/>
      <c r="SYH50" s="10"/>
      <c r="SYI50" s="10"/>
      <c r="SYJ50" s="10"/>
      <c r="SYK50" s="10"/>
      <c r="SYL50" s="10"/>
      <c r="SYM50" s="10"/>
      <c r="SYN50" s="10"/>
      <c r="SYO50" s="10"/>
      <c r="SYP50" s="10"/>
      <c r="SYQ50" s="10"/>
      <c r="SYR50" s="10"/>
      <c r="SYS50" s="10"/>
      <c r="SYT50" s="10"/>
      <c r="SYU50" s="10"/>
      <c r="SYV50" s="10"/>
      <c r="SYW50" s="10"/>
      <c r="SYX50" s="10"/>
      <c r="SYY50" s="10"/>
      <c r="SYZ50" s="10"/>
      <c r="SZA50" s="10"/>
      <c r="SZB50" s="10"/>
      <c r="SZC50" s="10"/>
      <c r="SZD50" s="10"/>
      <c r="SZE50" s="10"/>
      <c r="SZF50" s="10"/>
      <c r="SZG50" s="10"/>
      <c r="SZH50" s="10"/>
      <c r="SZI50" s="10"/>
      <c r="SZJ50" s="10"/>
      <c r="SZK50" s="10"/>
      <c r="SZL50" s="10"/>
      <c r="SZM50" s="10"/>
      <c r="SZN50" s="10"/>
      <c r="SZO50" s="10"/>
      <c r="SZP50" s="10"/>
      <c r="SZQ50" s="10"/>
      <c r="SZR50" s="10"/>
      <c r="SZS50" s="10"/>
      <c r="SZT50" s="10"/>
      <c r="SZU50" s="10"/>
      <c r="SZV50" s="10"/>
      <c r="SZW50" s="10"/>
      <c r="SZX50" s="10"/>
      <c r="SZY50" s="10"/>
      <c r="SZZ50" s="10"/>
      <c r="TAA50" s="10"/>
      <c r="TAB50" s="10"/>
      <c r="TAC50" s="10"/>
      <c r="TAD50" s="10"/>
      <c r="TAE50" s="10"/>
      <c r="TAF50" s="10"/>
      <c r="TAG50" s="10"/>
      <c r="TAH50" s="10"/>
      <c r="TAI50" s="10"/>
      <c r="TAJ50" s="10"/>
      <c r="TAK50" s="10"/>
      <c r="TAL50" s="10"/>
      <c r="TAM50" s="10"/>
      <c r="TAN50" s="10"/>
      <c r="TAO50" s="10"/>
      <c r="TAP50" s="10"/>
      <c r="TAQ50" s="10"/>
      <c r="TAR50" s="10"/>
      <c r="TAS50" s="10"/>
      <c r="TAT50" s="10"/>
      <c r="TAU50" s="10"/>
      <c r="TAV50" s="10"/>
      <c r="TAW50" s="10"/>
      <c r="TAX50" s="10"/>
      <c r="TAY50" s="10"/>
      <c r="TAZ50" s="10"/>
      <c r="TBA50" s="10"/>
      <c r="TBB50" s="10"/>
      <c r="TBC50" s="10"/>
      <c r="TBD50" s="10"/>
      <c r="TBE50" s="10"/>
      <c r="TBF50" s="10"/>
      <c r="TBG50" s="10"/>
      <c r="TBH50" s="10"/>
      <c r="TBI50" s="10"/>
      <c r="TBJ50" s="10"/>
      <c r="TBK50" s="10"/>
      <c r="TBL50" s="10"/>
      <c r="TBM50" s="10"/>
      <c r="TBN50" s="10"/>
      <c r="TBO50" s="10"/>
      <c r="TBP50" s="10"/>
      <c r="TBQ50" s="10"/>
      <c r="TBR50" s="10"/>
      <c r="TBS50" s="10"/>
      <c r="TBT50" s="10"/>
      <c r="TBU50" s="10"/>
      <c r="TBV50" s="10"/>
      <c r="TBW50" s="10"/>
      <c r="TBX50" s="10"/>
      <c r="TBY50" s="10"/>
      <c r="TBZ50" s="10"/>
      <c r="TCA50" s="10"/>
      <c r="TCB50" s="10"/>
      <c r="TCC50" s="10"/>
      <c r="TCD50" s="10"/>
      <c r="TCE50" s="10"/>
      <c r="TCF50" s="10"/>
      <c r="TCG50" s="10"/>
      <c r="TCH50" s="10"/>
      <c r="TCI50" s="10"/>
      <c r="TCJ50" s="10"/>
      <c r="TCK50" s="10"/>
      <c r="TCL50" s="10"/>
      <c r="TCM50" s="10"/>
      <c r="TCN50" s="10"/>
      <c r="TCO50" s="10"/>
      <c r="TCP50" s="10"/>
      <c r="TCQ50" s="10"/>
      <c r="TCR50" s="10"/>
      <c r="TCS50" s="10"/>
      <c r="TCT50" s="10"/>
      <c r="TCU50" s="10"/>
      <c r="TCV50" s="10"/>
      <c r="TCW50" s="10"/>
      <c r="TCX50" s="10"/>
      <c r="TCY50" s="10"/>
      <c r="TCZ50" s="10"/>
      <c r="TDA50" s="10"/>
      <c r="TDB50" s="10"/>
      <c r="TDC50" s="10"/>
      <c r="TDD50" s="10"/>
      <c r="TDE50" s="10"/>
      <c r="TDF50" s="10"/>
      <c r="TDG50" s="10"/>
      <c r="TDH50" s="10"/>
      <c r="TDI50" s="10"/>
      <c r="TDJ50" s="10"/>
      <c r="TDK50" s="10"/>
      <c r="TDL50" s="10"/>
      <c r="TDM50" s="10"/>
      <c r="TDN50" s="10"/>
      <c r="TDO50" s="10"/>
      <c r="TDP50" s="10"/>
      <c r="TDQ50" s="10"/>
      <c r="TDR50" s="10"/>
      <c r="TDS50" s="10"/>
      <c r="TDT50" s="10"/>
      <c r="TDU50" s="10"/>
      <c r="TDV50" s="10"/>
      <c r="TDW50" s="10"/>
      <c r="TDX50" s="10"/>
      <c r="TDY50" s="10"/>
      <c r="TDZ50" s="10"/>
      <c r="TEA50" s="10"/>
      <c r="TEB50" s="10"/>
      <c r="TEC50" s="10"/>
      <c r="TED50" s="10"/>
      <c r="TEE50" s="10"/>
      <c r="TEF50" s="10"/>
      <c r="TEG50" s="10"/>
      <c r="TEH50" s="10"/>
      <c r="TEI50" s="10"/>
      <c r="TEJ50" s="10"/>
      <c r="TEK50" s="10"/>
      <c r="TEL50" s="10"/>
      <c r="TEM50" s="10"/>
      <c r="TEN50" s="10"/>
      <c r="TEO50" s="10"/>
      <c r="TEP50" s="10"/>
      <c r="TEQ50" s="10"/>
      <c r="TER50" s="10"/>
      <c r="TES50" s="10"/>
      <c r="TET50" s="10"/>
      <c r="TEU50" s="10"/>
      <c r="TEV50" s="10"/>
      <c r="TEW50" s="10"/>
      <c r="TEX50" s="10"/>
      <c r="TEY50" s="10"/>
      <c r="TEZ50" s="10"/>
      <c r="TFA50" s="10"/>
      <c r="TFB50" s="10"/>
      <c r="TFC50" s="10"/>
      <c r="TFD50" s="10"/>
      <c r="TFE50" s="10"/>
      <c r="TFF50" s="10"/>
      <c r="TFG50" s="10"/>
      <c r="TFH50" s="10"/>
      <c r="TFI50" s="10"/>
      <c r="TFJ50" s="10"/>
      <c r="TFK50" s="10"/>
      <c r="TFL50" s="10"/>
      <c r="TFM50" s="10"/>
      <c r="TFN50" s="10"/>
      <c r="TFO50" s="10"/>
      <c r="TFP50" s="10"/>
      <c r="TFQ50" s="10"/>
      <c r="TFR50" s="10"/>
      <c r="TFS50" s="10"/>
      <c r="TFT50" s="10"/>
      <c r="TFU50" s="10"/>
      <c r="TFV50" s="10"/>
      <c r="TFW50" s="10"/>
      <c r="TFX50" s="10"/>
      <c r="TFY50" s="10"/>
      <c r="TFZ50" s="10"/>
      <c r="TGA50" s="10"/>
      <c r="TGB50" s="10"/>
      <c r="TGC50" s="10"/>
      <c r="TGD50" s="10"/>
      <c r="TGE50" s="10"/>
      <c r="TGF50" s="10"/>
      <c r="TGG50" s="10"/>
      <c r="TGH50" s="10"/>
      <c r="TGI50" s="10"/>
      <c r="TGJ50" s="10"/>
      <c r="TGK50" s="10"/>
      <c r="TGL50" s="10"/>
      <c r="TGM50" s="10"/>
      <c r="TGN50" s="10"/>
      <c r="TGO50" s="10"/>
      <c r="TGP50" s="10"/>
      <c r="TGQ50" s="10"/>
      <c r="TGR50" s="10"/>
      <c r="TGS50" s="10"/>
      <c r="TGT50" s="10"/>
      <c r="TGU50" s="10"/>
      <c r="TGV50" s="10"/>
      <c r="TGW50" s="10"/>
      <c r="TGX50" s="10"/>
      <c r="TGY50" s="10"/>
      <c r="TGZ50" s="10"/>
      <c r="THA50" s="10"/>
      <c r="THB50" s="10"/>
      <c r="THC50" s="10"/>
      <c r="THD50" s="10"/>
      <c r="THE50" s="10"/>
      <c r="THF50" s="10"/>
      <c r="THG50" s="10"/>
      <c r="THH50" s="10"/>
      <c r="THI50" s="10"/>
      <c r="THJ50" s="10"/>
      <c r="THK50" s="10"/>
      <c r="THL50" s="10"/>
      <c r="THM50" s="10"/>
      <c r="THN50" s="10"/>
      <c r="THO50" s="10"/>
      <c r="THP50" s="10"/>
      <c r="THQ50" s="10"/>
      <c r="THR50" s="10"/>
      <c r="THS50" s="10"/>
      <c r="THT50" s="10"/>
      <c r="THU50" s="10"/>
      <c r="THV50" s="10"/>
      <c r="THW50" s="10"/>
      <c r="THX50" s="10"/>
      <c r="THY50" s="10"/>
      <c r="THZ50" s="10"/>
      <c r="TIA50" s="10"/>
      <c r="TIB50" s="10"/>
      <c r="TIC50" s="10"/>
      <c r="TID50" s="10"/>
      <c r="TIE50" s="10"/>
      <c r="TIF50" s="10"/>
      <c r="TIG50" s="10"/>
      <c r="TIH50" s="10"/>
      <c r="TII50" s="10"/>
      <c r="TIJ50" s="10"/>
      <c r="TIK50" s="10"/>
      <c r="TIL50" s="10"/>
      <c r="TIM50" s="10"/>
      <c r="TIN50" s="10"/>
      <c r="TIO50" s="10"/>
      <c r="TIP50" s="10"/>
      <c r="TIQ50" s="10"/>
      <c r="TIR50" s="10"/>
      <c r="TIS50" s="10"/>
      <c r="TIT50" s="10"/>
      <c r="TIU50" s="10"/>
      <c r="TIV50" s="10"/>
      <c r="TIW50" s="10"/>
      <c r="TIX50" s="10"/>
      <c r="TIY50" s="10"/>
      <c r="TIZ50" s="10"/>
      <c r="TJA50" s="10"/>
      <c r="TJB50" s="10"/>
      <c r="TJC50" s="10"/>
      <c r="TJD50" s="10"/>
      <c r="TJE50" s="10"/>
      <c r="TJF50" s="10"/>
      <c r="TJG50" s="10"/>
      <c r="TJH50" s="10"/>
      <c r="TJI50" s="10"/>
      <c r="TJJ50" s="10"/>
      <c r="TJK50" s="10"/>
      <c r="TJL50" s="10"/>
      <c r="TJM50" s="10"/>
      <c r="TJN50" s="10"/>
      <c r="TJO50" s="10"/>
      <c r="TJP50" s="10"/>
      <c r="TJQ50" s="10"/>
      <c r="TJR50" s="10"/>
      <c r="TJS50" s="10"/>
      <c r="TJT50" s="10"/>
      <c r="TJU50" s="10"/>
      <c r="TJV50" s="10"/>
      <c r="TJW50" s="10"/>
      <c r="TJX50" s="10"/>
      <c r="TJY50" s="10"/>
      <c r="TJZ50" s="10"/>
      <c r="TKA50" s="10"/>
      <c r="TKB50" s="10"/>
      <c r="TKC50" s="10"/>
      <c r="TKD50" s="10"/>
      <c r="TKE50" s="10"/>
      <c r="TKF50" s="10"/>
      <c r="TKG50" s="10"/>
      <c r="TKH50" s="10"/>
      <c r="TKI50" s="10"/>
      <c r="TKJ50" s="10"/>
      <c r="TKK50" s="10"/>
      <c r="TKL50" s="10"/>
      <c r="TKM50" s="10"/>
      <c r="TKN50" s="10"/>
      <c r="TKO50" s="10"/>
      <c r="TKP50" s="10"/>
      <c r="TKQ50" s="10"/>
      <c r="TKR50" s="10"/>
      <c r="TKS50" s="10"/>
      <c r="TKT50" s="10"/>
      <c r="TKU50" s="10"/>
      <c r="TKV50" s="10"/>
      <c r="TKW50" s="10"/>
      <c r="TKX50" s="10"/>
      <c r="TKY50" s="10"/>
      <c r="TKZ50" s="10"/>
      <c r="TLA50" s="10"/>
      <c r="TLB50" s="10"/>
      <c r="TLC50" s="10"/>
      <c r="TLD50" s="10"/>
      <c r="TLE50" s="10"/>
      <c r="TLF50" s="10"/>
      <c r="TLG50" s="10"/>
      <c r="TLH50" s="10"/>
      <c r="TLI50" s="10"/>
      <c r="TLJ50" s="10"/>
      <c r="TLK50" s="10"/>
      <c r="TLL50" s="10"/>
      <c r="TLM50" s="10"/>
      <c r="TLN50" s="10"/>
      <c r="TLO50" s="10"/>
      <c r="TLP50" s="10"/>
      <c r="TLQ50" s="10"/>
      <c r="TLR50" s="10"/>
      <c r="TLS50" s="10"/>
      <c r="TLT50" s="10"/>
      <c r="TLU50" s="10"/>
      <c r="TLV50" s="10"/>
      <c r="TLW50" s="10"/>
      <c r="TLX50" s="10"/>
      <c r="TLY50" s="10"/>
      <c r="TLZ50" s="10"/>
      <c r="TMA50" s="10"/>
      <c r="TMB50" s="10"/>
      <c r="TMC50" s="10"/>
      <c r="TMD50" s="10"/>
      <c r="TME50" s="10"/>
      <c r="TMF50" s="10"/>
      <c r="TMG50" s="10"/>
      <c r="TMH50" s="10"/>
      <c r="TMI50" s="10"/>
      <c r="TMJ50" s="10"/>
      <c r="TMK50" s="10"/>
      <c r="TML50" s="10"/>
      <c r="TMM50" s="10"/>
      <c r="TMN50" s="10"/>
      <c r="TMO50" s="10"/>
      <c r="TMP50" s="10"/>
      <c r="TMQ50" s="10"/>
      <c r="TMR50" s="10"/>
      <c r="TMS50" s="10"/>
      <c r="TMT50" s="10"/>
      <c r="TMU50" s="10"/>
      <c r="TMV50" s="10"/>
      <c r="TMW50" s="10"/>
      <c r="TMX50" s="10"/>
      <c r="TMY50" s="10"/>
      <c r="TMZ50" s="10"/>
      <c r="TNA50" s="10"/>
      <c r="TNB50" s="10"/>
      <c r="TNC50" s="10"/>
      <c r="TND50" s="10"/>
      <c r="TNE50" s="10"/>
      <c r="TNF50" s="10"/>
      <c r="TNG50" s="10"/>
      <c r="TNH50" s="10"/>
      <c r="TNI50" s="10"/>
      <c r="TNJ50" s="10"/>
      <c r="TNK50" s="10"/>
      <c r="TNL50" s="10"/>
      <c r="TNM50" s="10"/>
      <c r="TNN50" s="10"/>
      <c r="TNO50" s="10"/>
      <c r="TNP50" s="10"/>
      <c r="TNQ50" s="10"/>
      <c r="TNR50" s="10"/>
      <c r="TNS50" s="10"/>
      <c r="TNT50" s="10"/>
      <c r="TNU50" s="10"/>
      <c r="TNV50" s="10"/>
      <c r="TNW50" s="10"/>
      <c r="TNX50" s="10"/>
      <c r="TNY50" s="10"/>
      <c r="TNZ50" s="10"/>
      <c r="TOA50" s="10"/>
      <c r="TOB50" s="10"/>
      <c r="TOC50" s="10"/>
      <c r="TOD50" s="10"/>
      <c r="TOE50" s="10"/>
      <c r="TOF50" s="10"/>
      <c r="TOG50" s="10"/>
      <c r="TOH50" s="10"/>
      <c r="TOI50" s="10"/>
      <c r="TOJ50" s="10"/>
      <c r="TOK50" s="10"/>
      <c r="TOL50" s="10"/>
      <c r="TOM50" s="10"/>
      <c r="TON50" s="10"/>
      <c r="TOO50" s="10"/>
      <c r="TOP50" s="10"/>
      <c r="TOQ50" s="10"/>
      <c r="TOR50" s="10"/>
      <c r="TOS50" s="10"/>
      <c r="TOT50" s="10"/>
      <c r="TOU50" s="10"/>
      <c r="TOV50" s="10"/>
      <c r="TOW50" s="10"/>
      <c r="TOX50" s="10"/>
      <c r="TOY50" s="10"/>
      <c r="TOZ50" s="10"/>
      <c r="TPA50" s="10"/>
      <c r="TPB50" s="10"/>
      <c r="TPC50" s="10"/>
      <c r="TPD50" s="10"/>
      <c r="TPE50" s="10"/>
      <c r="TPF50" s="10"/>
      <c r="TPG50" s="10"/>
      <c r="TPH50" s="10"/>
      <c r="TPI50" s="10"/>
      <c r="TPJ50" s="10"/>
      <c r="TPK50" s="10"/>
      <c r="TPL50" s="10"/>
      <c r="TPM50" s="10"/>
      <c r="TPN50" s="10"/>
      <c r="TPO50" s="10"/>
      <c r="TPP50" s="10"/>
      <c r="TPQ50" s="10"/>
      <c r="TPR50" s="10"/>
      <c r="TPS50" s="10"/>
      <c r="TPT50" s="10"/>
      <c r="TPU50" s="10"/>
      <c r="TPV50" s="10"/>
      <c r="TPW50" s="10"/>
      <c r="TPX50" s="10"/>
      <c r="TPY50" s="10"/>
      <c r="TPZ50" s="10"/>
      <c r="TQA50" s="10"/>
      <c r="TQB50" s="10"/>
      <c r="TQC50" s="10"/>
      <c r="TQD50" s="10"/>
      <c r="TQE50" s="10"/>
      <c r="TQF50" s="10"/>
      <c r="TQG50" s="10"/>
      <c r="TQH50" s="10"/>
      <c r="TQI50" s="10"/>
      <c r="TQJ50" s="10"/>
      <c r="TQK50" s="10"/>
      <c r="TQL50" s="10"/>
      <c r="TQM50" s="10"/>
      <c r="TQN50" s="10"/>
      <c r="TQO50" s="10"/>
      <c r="TQP50" s="10"/>
      <c r="TQQ50" s="10"/>
      <c r="TQR50" s="10"/>
      <c r="TQS50" s="10"/>
      <c r="TQT50" s="10"/>
      <c r="TQU50" s="10"/>
      <c r="TQV50" s="10"/>
      <c r="TQW50" s="10"/>
      <c r="TQX50" s="10"/>
      <c r="TQY50" s="10"/>
      <c r="TQZ50" s="10"/>
      <c r="TRA50" s="10"/>
      <c r="TRB50" s="10"/>
      <c r="TRC50" s="10"/>
      <c r="TRD50" s="10"/>
      <c r="TRE50" s="10"/>
      <c r="TRF50" s="10"/>
      <c r="TRG50" s="10"/>
      <c r="TRH50" s="10"/>
      <c r="TRI50" s="10"/>
      <c r="TRJ50" s="10"/>
      <c r="TRK50" s="10"/>
      <c r="TRL50" s="10"/>
      <c r="TRM50" s="10"/>
      <c r="TRN50" s="10"/>
      <c r="TRO50" s="10"/>
      <c r="TRP50" s="10"/>
      <c r="TRQ50" s="10"/>
      <c r="TRR50" s="10"/>
      <c r="TRS50" s="10"/>
      <c r="TRT50" s="10"/>
      <c r="TRU50" s="10"/>
      <c r="TRV50" s="10"/>
      <c r="TRW50" s="10"/>
      <c r="TRX50" s="10"/>
      <c r="TRY50" s="10"/>
      <c r="TRZ50" s="10"/>
      <c r="TSA50" s="10"/>
      <c r="TSB50" s="10"/>
      <c r="TSC50" s="10"/>
      <c r="TSD50" s="10"/>
      <c r="TSE50" s="10"/>
      <c r="TSF50" s="10"/>
      <c r="TSG50" s="10"/>
      <c r="TSH50" s="10"/>
      <c r="TSI50" s="10"/>
      <c r="TSJ50" s="10"/>
      <c r="TSK50" s="10"/>
      <c r="TSL50" s="10"/>
      <c r="TSM50" s="10"/>
      <c r="TSN50" s="10"/>
      <c r="TSO50" s="10"/>
      <c r="TSP50" s="10"/>
      <c r="TSQ50" s="10"/>
      <c r="TSR50" s="10"/>
      <c r="TSS50" s="10"/>
      <c r="TST50" s="10"/>
      <c r="TSU50" s="10"/>
      <c r="TSV50" s="10"/>
      <c r="TSW50" s="10"/>
      <c r="TSX50" s="10"/>
      <c r="TSY50" s="10"/>
      <c r="TSZ50" s="10"/>
      <c r="TTA50" s="10"/>
      <c r="TTB50" s="10"/>
      <c r="TTC50" s="10"/>
      <c r="TTD50" s="10"/>
      <c r="TTE50" s="10"/>
      <c r="TTF50" s="10"/>
      <c r="TTG50" s="10"/>
      <c r="TTH50" s="10"/>
      <c r="TTI50" s="10"/>
      <c r="TTJ50" s="10"/>
      <c r="TTK50" s="10"/>
      <c r="TTL50" s="10"/>
      <c r="TTM50" s="10"/>
      <c r="TTN50" s="10"/>
      <c r="TTO50" s="10"/>
      <c r="TTP50" s="10"/>
      <c r="TTQ50" s="10"/>
      <c r="TTR50" s="10"/>
      <c r="TTS50" s="10"/>
      <c r="TTT50" s="10"/>
      <c r="TTU50" s="10"/>
      <c r="TTV50" s="10"/>
      <c r="TTW50" s="10"/>
      <c r="TTX50" s="10"/>
      <c r="TTY50" s="10"/>
      <c r="TTZ50" s="10"/>
      <c r="TUA50" s="10"/>
      <c r="TUB50" s="10"/>
      <c r="TUC50" s="10"/>
      <c r="TUD50" s="10"/>
      <c r="TUE50" s="10"/>
      <c r="TUF50" s="10"/>
      <c r="TUG50" s="10"/>
      <c r="TUH50" s="10"/>
      <c r="TUI50" s="10"/>
      <c r="TUJ50" s="10"/>
      <c r="TUK50" s="10"/>
      <c r="TUL50" s="10"/>
      <c r="TUM50" s="10"/>
      <c r="TUN50" s="10"/>
      <c r="TUO50" s="10"/>
      <c r="TUP50" s="10"/>
      <c r="TUQ50" s="10"/>
      <c r="TUR50" s="10"/>
      <c r="TUS50" s="10"/>
      <c r="TUT50" s="10"/>
      <c r="TUU50" s="10"/>
      <c r="TUV50" s="10"/>
      <c r="TUW50" s="10"/>
      <c r="TUX50" s="10"/>
      <c r="TUY50" s="10"/>
      <c r="TUZ50" s="10"/>
      <c r="TVA50" s="10"/>
      <c r="TVB50" s="10"/>
      <c r="TVC50" s="10"/>
      <c r="TVD50" s="10"/>
      <c r="TVE50" s="10"/>
      <c r="TVF50" s="10"/>
      <c r="TVG50" s="10"/>
      <c r="TVH50" s="10"/>
      <c r="TVI50" s="10"/>
      <c r="TVJ50" s="10"/>
      <c r="TVK50" s="10"/>
      <c r="TVL50" s="10"/>
      <c r="TVM50" s="10"/>
      <c r="TVN50" s="10"/>
      <c r="TVO50" s="10"/>
      <c r="TVP50" s="10"/>
      <c r="TVQ50" s="10"/>
      <c r="TVR50" s="10"/>
      <c r="TVS50" s="10"/>
      <c r="TVT50" s="10"/>
      <c r="TVU50" s="10"/>
      <c r="TVV50" s="10"/>
      <c r="TVW50" s="10"/>
      <c r="TVX50" s="10"/>
      <c r="TVY50" s="10"/>
      <c r="TVZ50" s="10"/>
      <c r="TWA50" s="10"/>
      <c r="TWB50" s="10"/>
      <c r="TWC50" s="10"/>
      <c r="TWD50" s="10"/>
      <c r="TWE50" s="10"/>
      <c r="TWF50" s="10"/>
      <c r="TWG50" s="10"/>
      <c r="TWH50" s="10"/>
      <c r="TWI50" s="10"/>
      <c r="TWJ50" s="10"/>
      <c r="TWK50" s="10"/>
      <c r="TWL50" s="10"/>
      <c r="TWM50" s="10"/>
      <c r="TWN50" s="10"/>
      <c r="TWO50" s="10"/>
      <c r="TWP50" s="10"/>
      <c r="TWQ50" s="10"/>
      <c r="TWR50" s="10"/>
      <c r="TWS50" s="10"/>
      <c r="TWT50" s="10"/>
      <c r="TWU50" s="10"/>
      <c r="TWV50" s="10"/>
      <c r="TWW50" s="10"/>
      <c r="TWX50" s="10"/>
      <c r="TWY50" s="10"/>
      <c r="TWZ50" s="10"/>
      <c r="TXA50" s="10"/>
      <c r="TXB50" s="10"/>
      <c r="TXC50" s="10"/>
      <c r="TXD50" s="10"/>
      <c r="TXE50" s="10"/>
      <c r="TXF50" s="10"/>
      <c r="TXG50" s="10"/>
      <c r="TXH50" s="10"/>
      <c r="TXI50" s="10"/>
      <c r="TXJ50" s="10"/>
      <c r="TXK50" s="10"/>
      <c r="TXL50" s="10"/>
      <c r="TXM50" s="10"/>
      <c r="TXN50" s="10"/>
      <c r="TXO50" s="10"/>
      <c r="TXP50" s="10"/>
      <c r="TXQ50" s="10"/>
      <c r="TXR50" s="10"/>
      <c r="TXS50" s="10"/>
      <c r="TXT50" s="10"/>
      <c r="TXU50" s="10"/>
      <c r="TXV50" s="10"/>
      <c r="TXW50" s="10"/>
      <c r="TXX50" s="10"/>
      <c r="TXY50" s="10"/>
      <c r="TXZ50" s="10"/>
      <c r="TYA50" s="10"/>
      <c r="TYB50" s="10"/>
      <c r="TYC50" s="10"/>
      <c r="TYD50" s="10"/>
      <c r="TYE50" s="10"/>
      <c r="TYF50" s="10"/>
      <c r="TYG50" s="10"/>
      <c r="TYH50" s="10"/>
      <c r="TYI50" s="10"/>
      <c r="TYJ50" s="10"/>
      <c r="TYK50" s="10"/>
      <c r="TYL50" s="10"/>
      <c r="TYM50" s="10"/>
      <c r="TYN50" s="10"/>
      <c r="TYO50" s="10"/>
      <c r="TYP50" s="10"/>
      <c r="TYQ50" s="10"/>
      <c r="TYR50" s="10"/>
      <c r="TYS50" s="10"/>
      <c r="TYT50" s="10"/>
      <c r="TYU50" s="10"/>
      <c r="TYV50" s="10"/>
      <c r="TYW50" s="10"/>
      <c r="TYX50" s="10"/>
      <c r="TYY50" s="10"/>
      <c r="TYZ50" s="10"/>
      <c r="TZA50" s="10"/>
      <c r="TZB50" s="10"/>
      <c r="TZC50" s="10"/>
      <c r="TZD50" s="10"/>
      <c r="TZE50" s="10"/>
      <c r="TZF50" s="10"/>
      <c r="TZG50" s="10"/>
      <c r="TZH50" s="10"/>
      <c r="TZI50" s="10"/>
      <c r="TZJ50" s="10"/>
      <c r="TZK50" s="10"/>
      <c r="TZL50" s="10"/>
      <c r="TZM50" s="10"/>
      <c r="TZN50" s="10"/>
      <c r="TZO50" s="10"/>
      <c r="TZP50" s="10"/>
      <c r="TZQ50" s="10"/>
      <c r="TZR50" s="10"/>
      <c r="TZS50" s="10"/>
      <c r="TZT50" s="10"/>
      <c r="TZU50" s="10"/>
      <c r="TZV50" s="10"/>
      <c r="TZW50" s="10"/>
      <c r="TZX50" s="10"/>
      <c r="TZY50" s="10"/>
      <c r="TZZ50" s="10"/>
      <c r="UAA50" s="10"/>
      <c r="UAB50" s="10"/>
      <c r="UAC50" s="10"/>
      <c r="UAD50" s="10"/>
      <c r="UAE50" s="10"/>
      <c r="UAF50" s="10"/>
      <c r="UAG50" s="10"/>
      <c r="UAH50" s="10"/>
      <c r="UAI50" s="10"/>
      <c r="UAJ50" s="10"/>
      <c r="UAK50" s="10"/>
      <c r="UAL50" s="10"/>
      <c r="UAM50" s="10"/>
      <c r="UAN50" s="10"/>
      <c r="UAO50" s="10"/>
      <c r="UAP50" s="10"/>
      <c r="UAQ50" s="10"/>
      <c r="UAR50" s="10"/>
      <c r="UAS50" s="10"/>
      <c r="UAT50" s="10"/>
      <c r="UAU50" s="10"/>
      <c r="UAV50" s="10"/>
      <c r="UAW50" s="10"/>
      <c r="UAX50" s="10"/>
      <c r="UAY50" s="10"/>
      <c r="UAZ50" s="10"/>
      <c r="UBA50" s="10"/>
      <c r="UBB50" s="10"/>
      <c r="UBC50" s="10"/>
      <c r="UBD50" s="10"/>
      <c r="UBE50" s="10"/>
      <c r="UBF50" s="10"/>
      <c r="UBG50" s="10"/>
      <c r="UBH50" s="10"/>
      <c r="UBI50" s="10"/>
      <c r="UBJ50" s="10"/>
      <c r="UBK50" s="10"/>
      <c r="UBL50" s="10"/>
      <c r="UBM50" s="10"/>
      <c r="UBN50" s="10"/>
      <c r="UBO50" s="10"/>
      <c r="UBP50" s="10"/>
      <c r="UBQ50" s="10"/>
      <c r="UBR50" s="10"/>
      <c r="UBS50" s="10"/>
      <c r="UBT50" s="10"/>
      <c r="UBU50" s="10"/>
      <c r="UBV50" s="10"/>
      <c r="UBW50" s="10"/>
      <c r="UBX50" s="10"/>
      <c r="UBY50" s="10"/>
      <c r="UBZ50" s="10"/>
      <c r="UCA50" s="10"/>
      <c r="UCB50" s="10"/>
      <c r="UCC50" s="10"/>
      <c r="UCD50" s="10"/>
      <c r="UCE50" s="10"/>
      <c r="UCF50" s="10"/>
      <c r="UCG50" s="10"/>
      <c r="UCH50" s="10"/>
      <c r="UCI50" s="10"/>
      <c r="UCJ50" s="10"/>
      <c r="UCK50" s="10"/>
      <c r="UCL50" s="10"/>
      <c r="UCM50" s="10"/>
      <c r="UCN50" s="10"/>
      <c r="UCO50" s="10"/>
      <c r="UCP50" s="10"/>
      <c r="UCQ50" s="10"/>
      <c r="UCR50" s="10"/>
      <c r="UCS50" s="10"/>
      <c r="UCT50" s="10"/>
      <c r="UCU50" s="10"/>
      <c r="UCV50" s="10"/>
      <c r="UCW50" s="10"/>
      <c r="UCX50" s="10"/>
      <c r="UCY50" s="10"/>
      <c r="UCZ50" s="10"/>
      <c r="UDA50" s="10"/>
      <c r="UDB50" s="10"/>
      <c r="UDC50" s="10"/>
      <c r="UDD50" s="10"/>
      <c r="UDE50" s="10"/>
      <c r="UDF50" s="10"/>
      <c r="UDG50" s="10"/>
      <c r="UDH50" s="10"/>
      <c r="UDI50" s="10"/>
      <c r="UDJ50" s="10"/>
      <c r="UDK50" s="10"/>
      <c r="UDL50" s="10"/>
      <c r="UDM50" s="10"/>
      <c r="UDN50" s="10"/>
      <c r="UDO50" s="10"/>
      <c r="UDP50" s="10"/>
      <c r="UDQ50" s="10"/>
      <c r="UDR50" s="10"/>
      <c r="UDS50" s="10"/>
      <c r="UDT50" s="10"/>
      <c r="UDU50" s="10"/>
      <c r="UDV50" s="10"/>
      <c r="UDW50" s="10"/>
      <c r="UDX50" s="10"/>
      <c r="UDY50" s="10"/>
      <c r="UDZ50" s="10"/>
      <c r="UEA50" s="10"/>
      <c r="UEB50" s="10"/>
      <c r="UEC50" s="10"/>
      <c r="UED50" s="10"/>
      <c r="UEE50" s="10"/>
      <c r="UEF50" s="10"/>
      <c r="UEG50" s="10"/>
      <c r="UEH50" s="10"/>
      <c r="UEI50" s="10"/>
      <c r="UEJ50" s="10"/>
      <c r="UEK50" s="10"/>
      <c r="UEL50" s="10"/>
      <c r="UEM50" s="10"/>
      <c r="UEN50" s="10"/>
      <c r="UEO50" s="10"/>
      <c r="UEP50" s="10"/>
      <c r="UEQ50" s="10"/>
      <c r="UER50" s="10"/>
      <c r="UES50" s="10"/>
      <c r="UET50" s="10"/>
      <c r="UEU50" s="10"/>
      <c r="UEV50" s="10"/>
      <c r="UEW50" s="10"/>
      <c r="UEX50" s="10"/>
      <c r="UEY50" s="10"/>
      <c r="UEZ50" s="10"/>
      <c r="UFA50" s="10"/>
      <c r="UFB50" s="10"/>
      <c r="UFC50" s="10"/>
      <c r="UFD50" s="10"/>
      <c r="UFE50" s="10"/>
      <c r="UFF50" s="10"/>
      <c r="UFG50" s="10"/>
      <c r="UFH50" s="10"/>
      <c r="UFI50" s="10"/>
      <c r="UFJ50" s="10"/>
      <c r="UFK50" s="10"/>
      <c r="UFL50" s="10"/>
      <c r="UFM50" s="10"/>
      <c r="UFN50" s="10"/>
      <c r="UFO50" s="10"/>
      <c r="UFP50" s="10"/>
      <c r="UFQ50" s="10"/>
      <c r="UFR50" s="10"/>
      <c r="UFS50" s="10"/>
      <c r="UFT50" s="10"/>
      <c r="UFU50" s="10"/>
      <c r="UFV50" s="10"/>
      <c r="UFW50" s="10"/>
      <c r="UFX50" s="10"/>
      <c r="UFY50" s="10"/>
      <c r="UFZ50" s="10"/>
      <c r="UGA50" s="10"/>
      <c r="UGB50" s="10"/>
      <c r="UGC50" s="10"/>
      <c r="UGD50" s="10"/>
      <c r="UGE50" s="10"/>
      <c r="UGF50" s="10"/>
      <c r="UGG50" s="10"/>
      <c r="UGH50" s="10"/>
      <c r="UGI50" s="10"/>
      <c r="UGJ50" s="10"/>
      <c r="UGK50" s="10"/>
      <c r="UGL50" s="10"/>
      <c r="UGM50" s="10"/>
      <c r="UGN50" s="10"/>
      <c r="UGO50" s="10"/>
      <c r="UGP50" s="10"/>
      <c r="UGQ50" s="10"/>
      <c r="UGR50" s="10"/>
      <c r="UGS50" s="10"/>
      <c r="UGT50" s="10"/>
      <c r="UGU50" s="10"/>
      <c r="UGV50" s="10"/>
      <c r="UGW50" s="10"/>
      <c r="UGX50" s="10"/>
      <c r="UGY50" s="10"/>
      <c r="UGZ50" s="10"/>
      <c r="UHA50" s="10"/>
      <c r="UHB50" s="10"/>
      <c r="UHC50" s="10"/>
      <c r="UHD50" s="10"/>
      <c r="UHE50" s="10"/>
      <c r="UHF50" s="10"/>
      <c r="UHG50" s="10"/>
      <c r="UHH50" s="10"/>
      <c r="UHI50" s="10"/>
      <c r="UHJ50" s="10"/>
      <c r="UHK50" s="10"/>
      <c r="UHL50" s="10"/>
      <c r="UHM50" s="10"/>
      <c r="UHN50" s="10"/>
      <c r="UHO50" s="10"/>
      <c r="UHP50" s="10"/>
      <c r="UHQ50" s="10"/>
      <c r="UHR50" s="10"/>
      <c r="UHS50" s="10"/>
      <c r="UHT50" s="10"/>
      <c r="UHU50" s="10"/>
      <c r="UHV50" s="10"/>
      <c r="UHW50" s="10"/>
      <c r="UHX50" s="10"/>
      <c r="UHY50" s="10"/>
      <c r="UHZ50" s="10"/>
      <c r="UIA50" s="10"/>
      <c r="UIB50" s="10"/>
      <c r="UIC50" s="10"/>
      <c r="UID50" s="10"/>
      <c r="UIE50" s="10"/>
      <c r="UIF50" s="10"/>
      <c r="UIG50" s="10"/>
      <c r="UIH50" s="10"/>
      <c r="UII50" s="10"/>
      <c r="UIJ50" s="10"/>
      <c r="UIK50" s="10"/>
      <c r="UIL50" s="10"/>
      <c r="UIM50" s="10"/>
      <c r="UIN50" s="10"/>
      <c r="UIO50" s="10"/>
      <c r="UIP50" s="10"/>
      <c r="UIQ50" s="10"/>
      <c r="UIR50" s="10"/>
      <c r="UIS50" s="10"/>
      <c r="UIT50" s="10"/>
      <c r="UIU50" s="10"/>
      <c r="UIV50" s="10"/>
      <c r="UIW50" s="10"/>
      <c r="UIX50" s="10"/>
      <c r="UIY50" s="10"/>
      <c r="UIZ50" s="10"/>
      <c r="UJA50" s="10"/>
      <c r="UJB50" s="10"/>
      <c r="UJC50" s="10"/>
      <c r="UJD50" s="10"/>
      <c r="UJE50" s="10"/>
      <c r="UJF50" s="10"/>
      <c r="UJG50" s="10"/>
      <c r="UJH50" s="10"/>
      <c r="UJI50" s="10"/>
      <c r="UJJ50" s="10"/>
      <c r="UJK50" s="10"/>
      <c r="UJL50" s="10"/>
      <c r="UJM50" s="10"/>
      <c r="UJN50" s="10"/>
      <c r="UJO50" s="10"/>
      <c r="UJP50" s="10"/>
      <c r="UJQ50" s="10"/>
      <c r="UJR50" s="10"/>
      <c r="UJS50" s="10"/>
      <c r="UJT50" s="10"/>
      <c r="UJU50" s="10"/>
      <c r="UJV50" s="10"/>
      <c r="UJW50" s="10"/>
      <c r="UJX50" s="10"/>
      <c r="UJY50" s="10"/>
      <c r="UJZ50" s="10"/>
      <c r="UKA50" s="10"/>
      <c r="UKB50" s="10"/>
      <c r="UKC50" s="10"/>
      <c r="UKD50" s="10"/>
      <c r="UKE50" s="10"/>
      <c r="UKF50" s="10"/>
      <c r="UKG50" s="10"/>
      <c r="UKH50" s="10"/>
      <c r="UKI50" s="10"/>
      <c r="UKJ50" s="10"/>
      <c r="UKK50" s="10"/>
      <c r="UKL50" s="10"/>
      <c r="UKM50" s="10"/>
      <c r="UKN50" s="10"/>
      <c r="UKO50" s="10"/>
      <c r="UKP50" s="10"/>
      <c r="UKQ50" s="10"/>
      <c r="UKR50" s="10"/>
      <c r="UKS50" s="10"/>
      <c r="UKT50" s="10"/>
      <c r="UKU50" s="10"/>
      <c r="UKV50" s="10"/>
      <c r="UKW50" s="10"/>
      <c r="UKX50" s="10"/>
      <c r="UKY50" s="10"/>
      <c r="UKZ50" s="10"/>
      <c r="ULA50" s="10"/>
      <c r="ULB50" s="10"/>
      <c r="ULC50" s="10"/>
      <c r="ULD50" s="10"/>
      <c r="ULE50" s="10"/>
      <c r="ULF50" s="10"/>
      <c r="ULG50" s="10"/>
      <c r="ULH50" s="10"/>
      <c r="ULI50" s="10"/>
      <c r="ULJ50" s="10"/>
      <c r="ULK50" s="10"/>
      <c r="ULL50" s="10"/>
      <c r="ULM50" s="10"/>
      <c r="ULN50" s="10"/>
      <c r="ULO50" s="10"/>
      <c r="ULP50" s="10"/>
      <c r="ULQ50" s="10"/>
      <c r="ULR50" s="10"/>
      <c r="ULS50" s="10"/>
      <c r="ULT50" s="10"/>
      <c r="ULU50" s="10"/>
      <c r="ULV50" s="10"/>
      <c r="ULW50" s="10"/>
      <c r="ULX50" s="10"/>
      <c r="ULY50" s="10"/>
      <c r="ULZ50" s="10"/>
      <c r="UMA50" s="10"/>
      <c r="UMB50" s="10"/>
      <c r="UMC50" s="10"/>
      <c r="UMD50" s="10"/>
      <c r="UME50" s="10"/>
      <c r="UMF50" s="10"/>
      <c r="UMG50" s="10"/>
      <c r="UMH50" s="10"/>
      <c r="UMI50" s="10"/>
      <c r="UMJ50" s="10"/>
      <c r="UMK50" s="10"/>
      <c r="UML50" s="10"/>
      <c r="UMM50" s="10"/>
      <c r="UMN50" s="10"/>
      <c r="UMO50" s="10"/>
      <c r="UMP50" s="10"/>
      <c r="UMQ50" s="10"/>
      <c r="UMR50" s="10"/>
      <c r="UMS50" s="10"/>
      <c r="UMT50" s="10"/>
      <c r="UMU50" s="10"/>
      <c r="UMV50" s="10"/>
      <c r="UMW50" s="10"/>
      <c r="UMX50" s="10"/>
      <c r="UMY50" s="10"/>
      <c r="UMZ50" s="10"/>
      <c r="UNA50" s="10"/>
      <c r="UNB50" s="10"/>
      <c r="UNC50" s="10"/>
      <c r="UND50" s="10"/>
      <c r="UNE50" s="10"/>
      <c r="UNF50" s="10"/>
      <c r="UNG50" s="10"/>
      <c r="UNH50" s="10"/>
      <c r="UNI50" s="10"/>
      <c r="UNJ50" s="10"/>
      <c r="UNK50" s="10"/>
      <c r="UNL50" s="10"/>
      <c r="UNM50" s="10"/>
      <c r="UNN50" s="10"/>
      <c r="UNO50" s="10"/>
      <c r="UNP50" s="10"/>
      <c r="UNQ50" s="10"/>
      <c r="UNR50" s="10"/>
      <c r="UNS50" s="10"/>
      <c r="UNT50" s="10"/>
      <c r="UNU50" s="10"/>
      <c r="UNV50" s="10"/>
      <c r="UNW50" s="10"/>
      <c r="UNX50" s="10"/>
      <c r="UNY50" s="10"/>
      <c r="UNZ50" s="10"/>
      <c r="UOA50" s="10"/>
      <c r="UOB50" s="10"/>
      <c r="UOC50" s="10"/>
      <c r="UOD50" s="10"/>
      <c r="UOE50" s="10"/>
      <c r="UOF50" s="10"/>
      <c r="UOG50" s="10"/>
      <c r="UOH50" s="10"/>
      <c r="UOI50" s="10"/>
      <c r="UOJ50" s="10"/>
      <c r="UOK50" s="10"/>
      <c r="UOL50" s="10"/>
      <c r="UOM50" s="10"/>
      <c r="UON50" s="10"/>
      <c r="UOO50" s="10"/>
      <c r="UOP50" s="10"/>
      <c r="UOQ50" s="10"/>
      <c r="UOR50" s="10"/>
      <c r="UOS50" s="10"/>
      <c r="UOT50" s="10"/>
      <c r="UOU50" s="10"/>
      <c r="UOV50" s="10"/>
      <c r="UOW50" s="10"/>
      <c r="UOX50" s="10"/>
      <c r="UOY50" s="10"/>
      <c r="UOZ50" s="10"/>
      <c r="UPA50" s="10"/>
      <c r="UPB50" s="10"/>
      <c r="UPC50" s="10"/>
      <c r="UPD50" s="10"/>
      <c r="UPE50" s="10"/>
      <c r="UPF50" s="10"/>
      <c r="UPG50" s="10"/>
      <c r="UPH50" s="10"/>
      <c r="UPI50" s="10"/>
      <c r="UPJ50" s="10"/>
      <c r="UPK50" s="10"/>
      <c r="UPL50" s="10"/>
      <c r="UPM50" s="10"/>
      <c r="UPN50" s="10"/>
      <c r="UPO50" s="10"/>
      <c r="UPP50" s="10"/>
      <c r="UPQ50" s="10"/>
      <c r="UPR50" s="10"/>
      <c r="UPS50" s="10"/>
      <c r="UPT50" s="10"/>
      <c r="UPU50" s="10"/>
      <c r="UPV50" s="10"/>
      <c r="UPW50" s="10"/>
      <c r="UPX50" s="10"/>
      <c r="UPY50" s="10"/>
      <c r="UPZ50" s="10"/>
      <c r="UQA50" s="10"/>
      <c r="UQB50" s="10"/>
      <c r="UQC50" s="10"/>
      <c r="UQD50" s="10"/>
      <c r="UQE50" s="10"/>
      <c r="UQF50" s="10"/>
      <c r="UQG50" s="10"/>
      <c r="UQH50" s="10"/>
      <c r="UQI50" s="10"/>
      <c r="UQJ50" s="10"/>
      <c r="UQK50" s="10"/>
      <c r="UQL50" s="10"/>
      <c r="UQM50" s="10"/>
      <c r="UQN50" s="10"/>
      <c r="UQO50" s="10"/>
      <c r="UQP50" s="10"/>
      <c r="UQQ50" s="10"/>
      <c r="UQR50" s="10"/>
      <c r="UQS50" s="10"/>
      <c r="UQT50" s="10"/>
      <c r="UQU50" s="10"/>
      <c r="UQV50" s="10"/>
      <c r="UQW50" s="10"/>
      <c r="UQX50" s="10"/>
      <c r="UQY50" s="10"/>
      <c r="UQZ50" s="10"/>
      <c r="URA50" s="10"/>
      <c r="URB50" s="10"/>
      <c r="URC50" s="10"/>
      <c r="URD50" s="10"/>
      <c r="URE50" s="10"/>
      <c r="URF50" s="10"/>
      <c r="URG50" s="10"/>
      <c r="URH50" s="10"/>
      <c r="URI50" s="10"/>
      <c r="URJ50" s="10"/>
      <c r="URK50" s="10"/>
      <c r="URL50" s="10"/>
      <c r="URM50" s="10"/>
      <c r="URN50" s="10"/>
      <c r="URO50" s="10"/>
      <c r="URP50" s="10"/>
      <c r="URQ50" s="10"/>
      <c r="URR50" s="10"/>
      <c r="URS50" s="10"/>
      <c r="URT50" s="10"/>
      <c r="URU50" s="10"/>
      <c r="URV50" s="10"/>
      <c r="URW50" s="10"/>
      <c r="URX50" s="10"/>
      <c r="URY50" s="10"/>
      <c r="URZ50" s="10"/>
      <c r="USA50" s="10"/>
      <c r="USB50" s="10"/>
      <c r="USC50" s="10"/>
      <c r="USD50" s="10"/>
      <c r="USE50" s="10"/>
      <c r="USF50" s="10"/>
      <c r="USG50" s="10"/>
      <c r="USH50" s="10"/>
      <c r="USI50" s="10"/>
      <c r="USJ50" s="10"/>
      <c r="USK50" s="10"/>
      <c r="USL50" s="10"/>
      <c r="USM50" s="10"/>
      <c r="USN50" s="10"/>
      <c r="USO50" s="10"/>
      <c r="USP50" s="10"/>
      <c r="USQ50" s="10"/>
      <c r="USR50" s="10"/>
      <c r="USS50" s="10"/>
      <c r="UST50" s="10"/>
      <c r="USU50" s="10"/>
      <c r="USV50" s="10"/>
      <c r="USW50" s="10"/>
      <c r="USX50" s="10"/>
      <c r="USY50" s="10"/>
      <c r="USZ50" s="10"/>
      <c r="UTA50" s="10"/>
      <c r="UTB50" s="10"/>
      <c r="UTC50" s="10"/>
      <c r="UTD50" s="10"/>
      <c r="UTE50" s="10"/>
      <c r="UTF50" s="10"/>
      <c r="UTG50" s="10"/>
      <c r="UTH50" s="10"/>
      <c r="UTI50" s="10"/>
      <c r="UTJ50" s="10"/>
      <c r="UTK50" s="10"/>
      <c r="UTL50" s="10"/>
      <c r="UTM50" s="10"/>
      <c r="UTN50" s="10"/>
      <c r="UTO50" s="10"/>
      <c r="UTP50" s="10"/>
      <c r="UTQ50" s="10"/>
      <c r="UTR50" s="10"/>
      <c r="UTS50" s="10"/>
      <c r="UTT50" s="10"/>
      <c r="UTU50" s="10"/>
      <c r="UTV50" s="10"/>
      <c r="UTW50" s="10"/>
      <c r="UTX50" s="10"/>
      <c r="UTY50" s="10"/>
      <c r="UTZ50" s="10"/>
      <c r="UUA50" s="10"/>
      <c r="UUB50" s="10"/>
      <c r="UUC50" s="10"/>
      <c r="UUD50" s="10"/>
      <c r="UUE50" s="10"/>
      <c r="UUF50" s="10"/>
      <c r="UUG50" s="10"/>
      <c r="UUH50" s="10"/>
      <c r="UUI50" s="10"/>
      <c r="UUJ50" s="10"/>
      <c r="UUK50" s="10"/>
      <c r="UUL50" s="10"/>
      <c r="UUM50" s="10"/>
      <c r="UUN50" s="10"/>
      <c r="UUO50" s="10"/>
      <c r="UUP50" s="10"/>
      <c r="UUQ50" s="10"/>
      <c r="UUR50" s="10"/>
      <c r="UUS50" s="10"/>
      <c r="UUT50" s="10"/>
      <c r="UUU50" s="10"/>
      <c r="UUV50" s="10"/>
      <c r="UUW50" s="10"/>
      <c r="UUX50" s="10"/>
      <c r="UUY50" s="10"/>
      <c r="UUZ50" s="10"/>
      <c r="UVA50" s="10"/>
      <c r="UVB50" s="10"/>
      <c r="UVC50" s="10"/>
      <c r="UVD50" s="10"/>
      <c r="UVE50" s="10"/>
      <c r="UVF50" s="10"/>
      <c r="UVG50" s="10"/>
      <c r="UVH50" s="10"/>
      <c r="UVI50" s="10"/>
      <c r="UVJ50" s="10"/>
      <c r="UVK50" s="10"/>
      <c r="UVL50" s="10"/>
      <c r="UVM50" s="10"/>
      <c r="UVN50" s="10"/>
      <c r="UVO50" s="10"/>
      <c r="UVP50" s="10"/>
      <c r="UVQ50" s="10"/>
      <c r="UVR50" s="10"/>
      <c r="UVS50" s="10"/>
      <c r="UVT50" s="10"/>
      <c r="UVU50" s="10"/>
      <c r="UVV50" s="10"/>
      <c r="UVW50" s="10"/>
      <c r="UVX50" s="10"/>
      <c r="UVY50" s="10"/>
      <c r="UVZ50" s="10"/>
      <c r="UWA50" s="10"/>
      <c r="UWB50" s="10"/>
      <c r="UWC50" s="10"/>
      <c r="UWD50" s="10"/>
      <c r="UWE50" s="10"/>
      <c r="UWF50" s="10"/>
      <c r="UWG50" s="10"/>
      <c r="UWH50" s="10"/>
      <c r="UWI50" s="10"/>
      <c r="UWJ50" s="10"/>
      <c r="UWK50" s="10"/>
      <c r="UWL50" s="10"/>
      <c r="UWM50" s="10"/>
      <c r="UWN50" s="10"/>
      <c r="UWO50" s="10"/>
      <c r="UWP50" s="10"/>
      <c r="UWQ50" s="10"/>
      <c r="UWR50" s="10"/>
      <c r="UWS50" s="10"/>
      <c r="UWT50" s="10"/>
      <c r="UWU50" s="10"/>
      <c r="UWV50" s="10"/>
      <c r="UWW50" s="10"/>
      <c r="UWX50" s="10"/>
      <c r="UWY50" s="10"/>
      <c r="UWZ50" s="10"/>
      <c r="UXA50" s="10"/>
      <c r="UXB50" s="10"/>
      <c r="UXC50" s="10"/>
      <c r="UXD50" s="10"/>
      <c r="UXE50" s="10"/>
      <c r="UXF50" s="10"/>
      <c r="UXG50" s="10"/>
      <c r="UXH50" s="10"/>
      <c r="UXI50" s="10"/>
      <c r="UXJ50" s="10"/>
      <c r="UXK50" s="10"/>
      <c r="UXL50" s="10"/>
      <c r="UXM50" s="10"/>
      <c r="UXN50" s="10"/>
      <c r="UXO50" s="10"/>
      <c r="UXP50" s="10"/>
      <c r="UXQ50" s="10"/>
      <c r="UXR50" s="10"/>
      <c r="UXS50" s="10"/>
      <c r="UXT50" s="10"/>
      <c r="UXU50" s="10"/>
      <c r="UXV50" s="10"/>
      <c r="UXW50" s="10"/>
      <c r="UXX50" s="10"/>
      <c r="UXY50" s="10"/>
      <c r="UXZ50" s="10"/>
      <c r="UYA50" s="10"/>
      <c r="UYB50" s="10"/>
      <c r="UYC50" s="10"/>
      <c r="UYD50" s="10"/>
      <c r="UYE50" s="10"/>
      <c r="UYF50" s="10"/>
      <c r="UYG50" s="10"/>
      <c r="UYH50" s="10"/>
      <c r="UYI50" s="10"/>
      <c r="UYJ50" s="10"/>
      <c r="UYK50" s="10"/>
      <c r="UYL50" s="10"/>
      <c r="UYM50" s="10"/>
      <c r="UYN50" s="10"/>
      <c r="UYO50" s="10"/>
      <c r="UYP50" s="10"/>
      <c r="UYQ50" s="10"/>
      <c r="UYR50" s="10"/>
      <c r="UYS50" s="10"/>
      <c r="UYT50" s="10"/>
      <c r="UYU50" s="10"/>
      <c r="UYV50" s="10"/>
      <c r="UYW50" s="10"/>
      <c r="UYX50" s="10"/>
      <c r="UYY50" s="10"/>
      <c r="UYZ50" s="10"/>
      <c r="UZA50" s="10"/>
      <c r="UZB50" s="10"/>
      <c r="UZC50" s="10"/>
      <c r="UZD50" s="10"/>
      <c r="UZE50" s="10"/>
      <c r="UZF50" s="10"/>
      <c r="UZG50" s="10"/>
      <c r="UZH50" s="10"/>
      <c r="UZI50" s="10"/>
      <c r="UZJ50" s="10"/>
      <c r="UZK50" s="10"/>
      <c r="UZL50" s="10"/>
      <c r="UZM50" s="10"/>
      <c r="UZN50" s="10"/>
      <c r="UZO50" s="10"/>
      <c r="UZP50" s="10"/>
      <c r="UZQ50" s="10"/>
      <c r="UZR50" s="10"/>
      <c r="UZS50" s="10"/>
      <c r="UZT50" s="10"/>
      <c r="UZU50" s="10"/>
      <c r="UZV50" s="10"/>
      <c r="UZW50" s="10"/>
      <c r="UZX50" s="10"/>
      <c r="UZY50" s="10"/>
      <c r="UZZ50" s="10"/>
      <c r="VAA50" s="10"/>
      <c r="VAB50" s="10"/>
      <c r="VAC50" s="10"/>
      <c r="VAD50" s="10"/>
      <c r="VAE50" s="10"/>
      <c r="VAF50" s="10"/>
      <c r="VAG50" s="10"/>
      <c r="VAH50" s="10"/>
      <c r="VAI50" s="10"/>
      <c r="VAJ50" s="10"/>
      <c r="VAK50" s="10"/>
      <c r="VAL50" s="10"/>
      <c r="VAM50" s="10"/>
      <c r="VAN50" s="10"/>
      <c r="VAO50" s="10"/>
      <c r="VAP50" s="10"/>
      <c r="VAQ50" s="10"/>
      <c r="VAR50" s="10"/>
      <c r="VAS50" s="10"/>
      <c r="VAT50" s="10"/>
      <c r="VAU50" s="10"/>
      <c r="VAV50" s="10"/>
      <c r="VAW50" s="10"/>
      <c r="VAX50" s="10"/>
      <c r="VAY50" s="10"/>
      <c r="VAZ50" s="10"/>
      <c r="VBA50" s="10"/>
      <c r="VBB50" s="10"/>
      <c r="VBC50" s="10"/>
      <c r="VBD50" s="10"/>
      <c r="VBE50" s="10"/>
      <c r="VBF50" s="10"/>
      <c r="VBG50" s="10"/>
      <c r="VBH50" s="10"/>
      <c r="VBI50" s="10"/>
      <c r="VBJ50" s="10"/>
      <c r="VBK50" s="10"/>
      <c r="VBL50" s="10"/>
      <c r="VBM50" s="10"/>
      <c r="VBN50" s="10"/>
      <c r="VBO50" s="10"/>
      <c r="VBP50" s="10"/>
      <c r="VBQ50" s="10"/>
      <c r="VBR50" s="10"/>
      <c r="VBS50" s="10"/>
      <c r="VBT50" s="10"/>
      <c r="VBU50" s="10"/>
      <c r="VBV50" s="10"/>
      <c r="VBW50" s="10"/>
      <c r="VBX50" s="10"/>
      <c r="VBY50" s="10"/>
      <c r="VBZ50" s="10"/>
      <c r="VCA50" s="10"/>
      <c r="VCB50" s="10"/>
      <c r="VCC50" s="10"/>
      <c r="VCD50" s="10"/>
      <c r="VCE50" s="10"/>
      <c r="VCF50" s="10"/>
      <c r="VCG50" s="10"/>
      <c r="VCH50" s="10"/>
      <c r="VCI50" s="10"/>
      <c r="VCJ50" s="10"/>
      <c r="VCK50" s="10"/>
      <c r="VCL50" s="10"/>
      <c r="VCM50" s="10"/>
      <c r="VCN50" s="10"/>
      <c r="VCO50" s="10"/>
      <c r="VCP50" s="10"/>
      <c r="VCQ50" s="10"/>
      <c r="VCR50" s="10"/>
      <c r="VCS50" s="10"/>
      <c r="VCT50" s="10"/>
      <c r="VCU50" s="10"/>
      <c r="VCV50" s="10"/>
      <c r="VCW50" s="10"/>
      <c r="VCX50" s="10"/>
      <c r="VCY50" s="10"/>
      <c r="VCZ50" s="10"/>
      <c r="VDA50" s="10"/>
      <c r="VDB50" s="10"/>
      <c r="VDC50" s="10"/>
      <c r="VDD50" s="10"/>
      <c r="VDE50" s="10"/>
      <c r="VDF50" s="10"/>
      <c r="VDG50" s="10"/>
      <c r="VDH50" s="10"/>
      <c r="VDI50" s="10"/>
      <c r="VDJ50" s="10"/>
      <c r="VDK50" s="10"/>
      <c r="VDL50" s="10"/>
      <c r="VDM50" s="10"/>
      <c r="VDN50" s="10"/>
      <c r="VDO50" s="10"/>
      <c r="VDP50" s="10"/>
      <c r="VDQ50" s="10"/>
      <c r="VDR50" s="10"/>
      <c r="VDS50" s="10"/>
      <c r="VDT50" s="10"/>
      <c r="VDU50" s="10"/>
      <c r="VDV50" s="10"/>
      <c r="VDW50" s="10"/>
      <c r="VDX50" s="10"/>
      <c r="VDY50" s="10"/>
      <c r="VDZ50" s="10"/>
      <c r="VEA50" s="10"/>
      <c r="VEB50" s="10"/>
      <c r="VEC50" s="10"/>
      <c r="VED50" s="10"/>
      <c r="VEE50" s="10"/>
      <c r="VEF50" s="10"/>
      <c r="VEG50" s="10"/>
      <c r="VEH50" s="10"/>
      <c r="VEI50" s="10"/>
      <c r="VEJ50" s="10"/>
      <c r="VEK50" s="10"/>
      <c r="VEL50" s="10"/>
      <c r="VEM50" s="10"/>
      <c r="VEN50" s="10"/>
      <c r="VEO50" s="10"/>
      <c r="VEP50" s="10"/>
      <c r="VEQ50" s="10"/>
      <c r="VER50" s="10"/>
      <c r="VES50" s="10"/>
      <c r="VET50" s="10"/>
      <c r="VEU50" s="10"/>
      <c r="VEV50" s="10"/>
      <c r="VEW50" s="10"/>
      <c r="VEX50" s="10"/>
      <c r="VEY50" s="10"/>
      <c r="VEZ50" s="10"/>
      <c r="VFA50" s="10"/>
      <c r="VFB50" s="10"/>
      <c r="VFC50" s="10"/>
      <c r="VFD50" s="10"/>
      <c r="VFE50" s="10"/>
      <c r="VFF50" s="10"/>
      <c r="VFG50" s="10"/>
      <c r="VFH50" s="10"/>
      <c r="VFI50" s="10"/>
      <c r="VFJ50" s="10"/>
      <c r="VFK50" s="10"/>
      <c r="VFL50" s="10"/>
      <c r="VFM50" s="10"/>
      <c r="VFN50" s="10"/>
      <c r="VFO50" s="10"/>
      <c r="VFP50" s="10"/>
      <c r="VFQ50" s="10"/>
      <c r="VFR50" s="10"/>
      <c r="VFS50" s="10"/>
      <c r="VFT50" s="10"/>
      <c r="VFU50" s="10"/>
      <c r="VFV50" s="10"/>
      <c r="VFW50" s="10"/>
      <c r="VFX50" s="10"/>
      <c r="VFY50" s="10"/>
      <c r="VFZ50" s="10"/>
      <c r="VGA50" s="10"/>
      <c r="VGB50" s="10"/>
      <c r="VGC50" s="10"/>
      <c r="VGD50" s="10"/>
      <c r="VGE50" s="10"/>
      <c r="VGF50" s="10"/>
      <c r="VGG50" s="10"/>
      <c r="VGH50" s="10"/>
      <c r="VGI50" s="10"/>
      <c r="VGJ50" s="10"/>
      <c r="VGK50" s="10"/>
      <c r="VGL50" s="10"/>
      <c r="VGM50" s="10"/>
      <c r="VGN50" s="10"/>
      <c r="VGO50" s="10"/>
      <c r="VGP50" s="10"/>
      <c r="VGQ50" s="10"/>
      <c r="VGR50" s="10"/>
      <c r="VGS50" s="10"/>
      <c r="VGT50" s="10"/>
      <c r="VGU50" s="10"/>
      <c r="VGV50" s="10"/>
      <c r="VGW50" s="10"/>
      <c r="VGX50" s="10"/>
      <c r="VGY50" s="10"/>
      <c r="VGZ50" s="10"/>
      <c r="VHA50" s="10"/>
      <c r="VHB50" s="10"/>
      <c r="VHC50" s="10"/>
      <c r="VHD50" s="10"/>
      <c r="VHE50" s="10"/>
      <c r="VHF50" s="10"/>
      <c r="VHG50" s="10"/>
      <c r="VHH50" s="10"/>
      <c r="VHI50" s="10"/>
      <c r="VHJ50" s="10"/>
      <c r="VHK50" s="10"/>
      <c r="VHL50" s="10"/>
      <c r="VHM50" s="10"/>
      <c r="VHN50" s="10"/>
      <c r="VHO50" s="10"/>
      <c r="VHP50" s="10"/>
      <c r="VHQ50" s="10"/>
      <c r="VHR50" s="10"/>
      <c r="VHS50" s="10"/>
      <c r="VHT50" s="10"/>
      <c r="VHU50" s="10"/>
      <c r="VHV50" s="10"/>
      <c r="VHW50" s="10"/>
      <c r="VHX50" s="10"/>
      <c r="VHY50" s="10"/>
      <c r="VHZ50" s="10"/>
      <c r="VIA50" s="10"/>
      <c r="VIB50" s="10"/>
      <c r="VIC50" s="10"/>
      <c r="VID50" s="10"/>
      <c r="VIE50" s="10"/>
      <c r="VIF50" s="10"/>
      <c r="VIG50" s="10"/>
      <c r="VIH50" s="10"/>
      <c r="VII50" s="10"/>
      <c r="VIJ50" s="10"/>
      <c r="VIK50" s="10"/>
      <c r="VIL50" s="10"/>
      <c r="VIM50" s="10"/>
      <c r="VIN50" s="10"/>
      <c r="VIO50" s="10"/>
      <c r="VIP50" s="10"/>
      <c r="VIQ50" s="10"/>
      <c r="VIR50" s="10"/>
      <c r="VIS50" s="10"/>
      <c r="VIT50" s="10"/>
      <c r="VIU50" s="10"/>
      <c r="VIV50" s="10"/>
      <c r="VIW50" s="10"/>
      <c r="VIX50" s="10"/>
      <c r="VIY50" s="10"/>
      <c r="VIZ50" s="10"/>
      <c r="VJA50" s="10"/>
      <c r="VJB50" s="10"/>
      <c r="VJC50" s="10"/>
      <c r="VJD50" s="10"/>
      <c r="VJE50" s="10"/>
      <c r="VJF50" s="10"/>
      <c r="VJG50" s="10"/>
      <c r="VJH50" s="10"/>
      <c r="VJI50" s="10"/>
      <c r="VJJ50" s="10"/>
      <c r="VJK50" s="10"/>
      <c r="VJL50" s="10"/>
      <c r="VJM50" s="10"/>
      <c r="VJN50" s="10"/>
      <c r="VJO50" s="10"/>
      <c r="VJP50" s="10"/>
      <c r="VJQ50" s="10"/>
      <c r="VJR50" s="10"/>
      <c r="VJS50" s="10"/>
      <c r="VJT50" s="10"/>
      <c r="VJU50" s="10"/>
      <c r="VJV50" s="10"/>
      <c r="VJW50" s="10"/>
      <c r="VJX50" s="10"/>
      <c r="VJY50" s="10"/>
      <c r="VJZ50" s="10"/>
      <c r="VKA50" s="10"/>
      <c r="VKB50" s="10"/>
      <c r="VKC50" s="10"/>
      <c r="VKD50" s="10"/>
      <c r="VKE50" s="10"/>
      <c r="VKF50" s="10"/>
      <c r="VKG50" s="10"/>
      <c r="VKH50" s="10"/>
      <c r="VKI50" s="10"/>
      <c r="VKJ50" s="10"/>
      <c r="VKK50" s="10"/>
      <c r="VKL50" s="10"/>
      <c r="VKM50" s="10"/>
      <c r="VKN50" s="10"/>
      <c r="VKO50" s="10"/>
      <c r="VKP50" s="10"/>
      <c r="VKQ50" s="10"/>
      <c r="VKR50" s="10"/>
      <c r="VKS50" s="10"/>
      <c r="VKT50" s="10"/>
      <c r="VKU50" s="10"/>
      <c r="VKV50" s="10"/>
      <c r="VKW50" s="10"/>
      <c r="VKX50" s="10"/>
      <c r="VKY50" s="10"/>
      <c r="VKZ50" s="10"/>
      <c r="VLA50" s="10"/>
      <c r="VLB50" s="10"/>
      <c r="VLC50" s="10"/>
      <c r="VLD50" s="10"/>
      <c r="VLE50" s="10"/>
      <c r="VLF50" s="10"/>
      <c r="VLG50" s="10"/>
      <c r="VLH50" s="10"/>
      <c r="VLI50" s="10"/>
      <c r="VLJ50" s="10"/>
      <c r="VLK50" s="10"/>
      <c r="VLL50" s="10"/>
      <c r="VLM50" s="10"/>
      <c r="VLN50" s="10"/>
      <c r="VLO50" s="10"/>
      <c r="VLP50" s="10"/>
      <c r="VLQ50" s="10"/>
      <c r="VLR50" s="10"/>
      <c r="VLS50" s="10"/>
      <c r="VLT50" s="10"/>
      <c r="VLU50" s="10"/>
      <c r="VLV50" s="10"/>
      <c r="VLW50" s="10"/>
      <c r="VLX50" s="10"/>
      <c r="VLY50" s="10"/>
      <c r="VLZ50" s="10"/>
      <c r="VMA50" s="10"/>
      <c r="VMB50" s="10"/>
      <c r="VMC50" s="10"/>
      <c r="VMD50" s="10"/>
      <c r="VME50" s="10"/>
      <c r="VMF50" s="10"/>
      <c r="VMG50" s="10"/>
      <c r="VMH50" s="10"/>
      <c r="VMI50" s="10"/>
      <c r="VMJ50" s="10"/>
      <c r="VMK50" s="10"/>
      <c r="VML50" s="10"/>
      <c r="VMM50" s="10"/>
      <c r="VMN50" s="10"/>
      <c r="VMO50" s="10"/>
      <c r="VMP50" s="10"/>
      <c r="VMQ50" s="10"/>
      <c r="VMR50" s="10"/>
      <c r="VMS50" s="10"/>
      <c r="VMT50" s="10"/>
      <c r="VMU50" s="10"/>
      <c r="VMV50" s="10"/>
      <c r="VMW50" s="10"/>
      <c r="VMX50" s="10"/>
      <c r="VMY50" s="10"/>
      <c r="VMZ50" s="10"/>
      <c r="VNA50" s="10"/>
      <c r="VNB50" s="10"/>
      <c r="VNC50" s="10"/>
      <c r="VND50" s="10"/>
      <c r="VNE50" s="10"/>
      <c r="VNF50" s="10"/>
      <c r="VNG50" s="10"/>
      <c r="VNH50" s="10"/>
      <c r="VNI50" s="10"/>
      <c r="VNJ50" s="10"/>
      <c r="VNK50" s="10"/>
      <c r="VNL50" s="10"/>
      <c r="VNM50" s="10"/>
      <c r="VNN50" s="10"/>
      <c r="VNO50" s="10"/>
      <c r="VNP50" s="10"/>
      <c r="VNQ50" s="10"/>
      <c r="VNR50" s="10"/>
      <c r="VNS50" s="10"/>
      <c r="VNT50" s="10"/>
      <c r="VNU50" s="10"/>
      <c r="VNV50" s="10"/>
      <c r="VNW50" s="10"/>
      <c r="VNX50" s="10"/>
      <c r="VNY50" s="10"/>
      <c r="VNZ50" s="10"/>
      <c r="VOA50" s="10"/>
      <c r="VOB50" s="10"/>
      <c r="VOC50" s="10"/>
      <c r="VOD50" s="10"/>
      <c r="VOE50" s="10"/>
      <c r="VOF50" s="10"/>
      <c r="VOG50" s="10"/>
      <c r="VOH50" s="10"/>
      <c r="VOI50" s="10"/>
      <c r="VOJ50" s="10"/>
      <c r="VOK50" s="10"/>
      <c r="VOL50" s="10"/>
      <c r="VOM50" s="10"/>
      <c r="VON50" s="10"/>
      <c r="VOO50" s="10"/>
      <c r="VOP50" s="10"/>
      <c r="VOQ50" s="10"/>
      <c r="VOR50" s="10"/>
      <c r="VOS50" s="10"/>
      <c r="VOT50" s="10"/>
      <c r="VOU50" s="10"/>
      <c r="VOV50" s="10"/>
      <c r="VOW50" s="10"/>
      <c r="VOX50" s="10"/>
      <c r="VOY50" s="10"/>
      <c r="VOZ50" s="10"/>
      <c r="VPA50" s="10"/>
      <c r="VPB50" s="10"/>
      <c r="VPC50" s="10"/>
      <c r="VPD50" s="10"/>
      <c r="VPE50" s="10"/>
      <c r="VPF50" s="10"/>
      <c r="VPG50" s="10"/>
      <c r="VPH50" s="10"/>
      <c r="VPI50" s="10"/>
      <c r="VPJ50" s="10"/>
      <c r="VPK50" s="10"/>
      <c r="VPL50" s="10"/>
      <c r="VPM50" s="10"/>
      <c r="VPN50" s="10"/>
      <c r="VPO50" s="10"/>
      <c r="VPP50" s="10"/>
      <c r="VPQ50" s="10"/>
      <c r="VPR50" s="10"/>
      <c r="VPS50" s="10"/>
      <c r="VPT50" s="10"/>
      <c r="VPU50" s="10"/>
      <c r="VPV50" s="10"/>
      <c r="VPW50" s="10"/>
      <c r="VPX50" s="10"/>
      <c r="VPY50" s="10"/>
      <c r="VPZ50" s="10"/>
      <c r="VQA50" s="10"/>
      <c r="VQB50" s="10"/>
      <c r="VQC50" s="10"/>
      <c r="VQD50" s="10"/>
      <c r="VQE50" s="10"/>
      <c r="VQF50" s="10"/>
      <c r="VQG50" s="10"/>
      <c r="VQH50" s="10"/>
      <c r="VQI50" s="10"/>
      <c r="VQJ50" s="10"/>
      <c r="VQK50" s="10"/>
      <c r="VQL50" s="10"/>
      <c r="VQM50" s="10"/>
      <c r="VQN50" s="10"/>
      <c r="VQO50" s="10"/>
      <c r="VQP50" s="10"/>
      <c r="VQQ50" s="10"/>
      <c r="VQR50" s="10"/>
      <c r="VQS50" s="10"/>
      <c r="VQT50" s="10"/>
      <c r="VQU50" s="10"/>
      <c r="VQV50" s="10"/>
      <c r="VQW50" s="10"/>
      <c r="VQX50" s="10"/>
      <c r="VQY50" s="10"/>
      <c r="VQZ50" s="10"/>
      <c r="VRA50" s="10"/>
      <c r="VRB50" s="10"/>
      <c r="VRC50" s="10"/>
      <c r="VRD50" s="10"/>
      <c r="VRE50" s="10"/>
      <c r="VRF50" s="10"/>
      <c r="VRG50" s="10"/>
      <c r="VRH50" s="10"/>
      <c r="VRI50" s="10"/>
      <c r="VRJ50" s="10"/>
      <c r="VRK50" s="10"/>
      <c r="VRL50" s="10"/>
      <c r="VRM50" s="10"/>
      <c r="VRN50" s="10"/>
      <c r="VRO50" s="10"/>
      <c r="VRP50" s="10"/>
      <c r="VRQ50" s="10"/>
      <c r="VRR50" s="10"/>
      <c r="VRS50" s="10"/>
      <c r="VRT50" s="10"/>
      <c r="VRU50" s="10"/>
      <c r="VRV50" s="10"/>
      <c r="VRW50" s="10"/>
      <c r="VRX50" s="10"/>
      <c r="VRY50" s="10"/>
      <c r="VRZ50" s="10"/>
      <c r="VSA50" s="10"/>
      <c r="VSB50" s="10"/>
      <c r="VSC50" s="10"/>
      <c r="VSD50" s="10"/>
      <c r="VSE50" s="10"/>
      <c r="VSF50" s="10"/>
      <c r="VSG50" s="10"/>
      <c r="VSH50" s="10"/>
      <c r="VSI50" s="10"/>
      <c r="VSJ50" s="10"/>
      <c r="VSK50" s="10"/>
      <c r="VSL50" s="10"/>
      <c r="VSM50" s="10"/>
      <c r="VSN50" s="10"/>
      <c r="VSO50" s="10"/>
      <c r="VSP50" s="10"/>
      <c r="VSQ50" s="10"/>
      <c r="VSR50" s="10"/>
      <c r="VSS50" s="10"/>
      <c r="VST50" s="10"/>
      <c r="VSU50" s="10"/>
      <c r="VSV50" s="10"/>
      <c r="VSW50" s="10"/>
      <c r="VSX50" s="10"/>
      <c r="VSY50" s="10"/>
      <c r="VSZ50" s="10"/>
      <c r="VTA50" s="10"/>
      <c r="VTB50" s="10"/>
      <c r="VTC50" s="10"/>
      <c r="VTD50" s="10"/>
      <c r="VTE50" s="10"/>
      <c r="VTF50" s="10"/>
      <c r="VTG50" s="10"/>
      <c r="VTH50" s="10"/>
      <c r="VTI50" s="10"/>
      <c r="VTJ50" s="10"/>
      <c r="VTK50" s="10"/>
      <c r="VTL50" s="10"/>
      <c r="VTM50" s="10"/>
      <c r="VTN50" s="10"/>
      <c r="VTO50" s="10"/>
      <c r="VTP50" s="10"/>
      <c r="VTQ50" s="10"/>
      <c r="VTR50" s="10"/>
      <c r="VTS50" s="10"/>
      <c r="VTT50" s="10"/>
      <c r="VTU50" s="10"/>
      <c r="VTV50" s="10"/>
      <c r="VTW50" s="10"/>
      <c r="VTX50" s="10"/>
      <c r="VTY50" s="10"/>
      <c r="VTZ50" s="10"/>
      <c r="VUA50" s="10"/>
      <c r="VUB50" s="10"/>
      <c r="VUC50" s="10"/>
      <c r="VUD50" s="10"/>
      <c r="VUE50" s="10"/>
      <c r="VUF50" s="10"/>
      <c r="VUG50" s="10"/>
      <c r="VUH50" s="10"/>
      <c r="VUI50" s="10"/>
      <c r="VUJ50" s="10"/>
      <c r="VUK50" s="10"/>
      <c r="VUL50" s="10"/>
      <c r="VUM50" s="10"/>
      <c r="VUN50" s="10"/>
      <c r="VUO50" s="10"/>
      <c r="VUP50" s="10"/>
      <c r="VUQ50" s="10"/>
      <c r="VUR50" s="10"/>
      <c r="VUS50" s="10"/>
      <c r="VUT50" s="10"/>
      <c r="VUU50" s="10"/>
      <c r="VUV50" s="10"/>
      <c r="VUW50" s="10"/>
      <c r="VUX50" s="10"/>
      <c r="VUY50" s="10"/>
      <c r="VUZ50" s="10"/>
      <c r="VVA50" s="10"/>
      <c r="VVB50" s="10"/>
      <c r="VVC50" s="10"/>
      <c r="VVD50" s="10"/>
      <c r="VVE50" s="10"/>
      <c r="VVF50" s="10"/>
      <c r="VVG50" s="10"/>
      <c r="VVH50" s="10"/>
      <c r="VVI50" s="10"/>
      <c r="VVJ50" s="10"/>
      <c r="VVK50" s="10"/>
      <c r="VVL50" s="10"/>
      <c r="VVM50" s="10"/>
      <c r="VVN50" s="10"/>
      <c r="VVO50" s="10"/>
      <c r="VVP50" s="10"/>
      <c r="VVQ50" s="10"/>
      <c r="VVR50" s="10"/>
      <c r="VVS50" s="10"/>
      <c r="VVT50" s="10"/>
      <c r="VVU50" s="10"/>
      <c r="VVV50" s="10"/>
      <c r="VVW50" s="10"/>
      <c r="VVX50" s="10"/>
      <c r="VVY50" s="10"/>
      <c r="VVZ50" s="10"/>
      <c r="VWA50" s="10"/>
      <c r="VWB50" s="10"/>
      <c r="VWC50" s="10"/>
      <c r="VWD50" s="10"/>
      <c r="VWE50" s="10"/>
      <c r="VWF50" s="10"/>
      <c r="VWG50" s="10"/>
      <c r="VWH50" s="10"/>
      <c r="VWI50" s="10"/>
      <c r="VWJ50" s="10"/>
      <c r="VWK50" s="10"/>
      <c r="VWL50" s="10"/>
      <c r="VWM50" s="10"/>
      <c r="VWN50" s="10"/>
      <c r="VWO50" s="10"/>
      <c r="VWP50" s="10"/>
      <c r="VWQ50" s="10"/>
      <c r="VWR50" s="10"/>
      <c r="VWS50" s="10"/>
      <c r="VWT50" s="10"/>
      <c r="VWU50" s="10"/>
      <c r="VWV50" s="10"/>
      <c r="VWW50" s="10"/>
      <c r="VWX50" s="10"/>
      <c r="VWY50" s="10"/>
      <c r="VWZ50" s="10"/>
      <c r="VXA50" s="10"/>
      <c r="VXB50" s="10"/>
      <c r="VXC50" s="10"/>
      <c r="VXD50" s="10"/>
      <c r="VXE50" s="10"/>
      <c r="VXF50" s="10"/>
      <c r="VXG50" s="10"/>
      <c r="VXH50" s="10"/>
      <c r="VXI50" s="10"/>
      <c r="VXJ50" s="10"/>
      <c r="VXK50" s="10"/>
      <c r="VXL50" s="10"/>
      <c r="VXM50" s="10"/>
      <c r="VXN50" s="10"/>
      <c r="VXO50" s="10"/>
      <c r="VXP50" s="10"/>
      <c r="VXQ50" s="10"/>
      <c r="VXR50" s="10"/>
      <c r="VXS50" s="10"/>
      <c r="VXT50" s="10"/>
      <c r="VXU50" s="10"/>
      <c r="VXV50" s="10"/>
      <c r="VXW50" s="10"/>
      <c r="VXX50" s="10"/>
      <c r="VXY50" s="10"/>
      <c r="VXZ50" s="10"/>
      <c r="VYA50" s="10"/>
      <c r="VYB50" s="10"/>
      <c r="VYC50" s="10"/>
      <c r="VYD50" s="10"/>
      <c r="VYE50" s="10"/>
      <c r="VYF50" s="10"/>
      <c r="VYG50" s="10"/>
      <c r="VYH50" s="10"/>
      <c r="VYI50" s="10"/>
      <c r="VYJ50" s="10"/>
      <c r="VYK50" s="10"/>
      <c r="VYL50" s="10"/>
      <c r="VYM50" s="10"/>
      <c r="VYN50" s="10"/>
      <c r="VYO50" s="10"/>
      <c r="VYP50" s="10"/>
      <c r="VYQ50" s="10"/>
      <c r="VYR50" s="10"/>
      <c r="VYS50" s="10"/>
      <c r="VYT50" s="10"/>
      <c r="VYU50" s="10"/>
      <c r="VYV50" s="10"/>
      <c r="VYW50" s="10"/>
      <c r="VYX50" s="10"/>
      <c r="VYY50" s="10"/>
      <c r="VYZ50" s="10"/>
      <c r="VZA50" s="10"/>
      <c r="VZB50" s="10"/>
      <c r="VZC50" s="10"/>
      <c r="VZD50" s="10"/>
      <c r="VZE50" s="10"/>
      <c r="VZF50" s="10"/>
      <c r="VZG50" s="10"/>
      <c r="VZH50" s="10"/>
      <c r="VZI50" s="10"/>
      <c r="VZJ50" s="10"/>
      <c r="VZK50" s="10"/>
      <c r="VZL50" s="10"/>
      <c r="VZM50" s="10"/>
      <c r="VZN50" s="10"/>
      <c r="VZO50" s="10"/>
      <c r="VZP50" s="10"/>
      <c r="VZQ50" s="10"/>
      <c r="VZR50" s="10"/>
      <c r="VZS50" s="10"/>
      <c r="VZT50" s="10"/>
      <c r="VZU50" s="10"/>
      <c r="VZV50" s="10"/>
      <c r="VZW50" s="10"/>
      <c r="VZX50" s="10"/>
      <c r="VZY50" s="10"/>
      <c r="VZZ50" s="10"/>
      <c r="WAA50" s="10"/>
      <c r="WAB50" s="10"/>
      <c r="WAC50" s="10"/>
      <c r="WAD50" s="10"/>
      <c r="WAE50" s="10"/>
      <c r="WAF50" s="10"/>
      <c r="WAG50" s="10"/>
      <c r="WAH50" s="10"/>
      <c r="WAI50" s="10"/>
      <c r="WAJ50" s="10"/>
      <c r="WAK50" s="10"/>
      <c r="WAL50" s="10"/>
      <c r="WAM50" s="10"/>
      <c r="WAN50" s="10"/>
      <c r="WAO50" s="10"/>
      <c r="WAP50" s="10"/>
      <c r="WAQ50" s="10"/>
      <c r="WAR50" s="10"/>
      <c r="WAS50" s="10"/>
      <c r="WAT50" s="10"/>
      <c r="WAU50" s="10"/>
      <c r="WAV50" s="10"/>
      <c r="WAW50" s="10"/>
      <c r="WAX50" s="10"/>
      <c r="WAY50" s="10"/>
      <c r="WAZ50" s="10"/>
      <c r="WBA50" s="10"/>
      <c r="WBB50" s="10"/>
      <c r="WBC50" s="10"/>
      <c r="WBD50" s="10"/>
      <c r="WBE50" s="10"/>
      <c r="WBF50" s="10"/>
      <c r="WBG50" s="10"/>
      <c r="WBH50" s="10"/>
      <c r="WBI50" s="10"/>
      <c r="WBJ50" s="10"/>
      <c r="WBK50" s="10"/>
      <c r="WBL50" s="10"/>
      <c r="WBM50" s="10"/>
      <c r="WBN50" s="10"/>
      <c r="WBO50" s="10"/>
      <c r="WBP50" s="10"/>
      <c r="WBQ50" s="10"/>
      <c r="WBR50" s="10"/>
      <c r="WBS50" s="10"/>
      <c r="WBT50" s="10"/>
      <c r="WBU50" s="10"/>
      <c r="WBV50" s="10"/>
      <c r="WBW50" s="10"/>
      <c r="WBX50" s="10"/>
      <c r="WBY50" s="10"/>
      <c r="WBZ50" s="10"/>
      <c r="WCA50" s="10"/>
      <c r="WCB50" s="10"/>
      <c r="WCC50" s="10"/>
      <c r="WCD50" s="10"/>
      <c r="WCE50" s="10"/>
      <c r="WCF50" s="10"/>
      <c r="WCG50" s="10"/>
      <c r="WCH50" s="10"/>
      <c r="WCI50" s="10"/>
      <c r="WCJ50" s="10"/>
      <c r="WCK50" s="10"/>
      <c r="WCL50" s="10"/>
      <c r="WCM50" s="10"/>
      <c r="WCN50" s="10"/>
      <c r="WCO50" s="10"/>
      <c r="WCP50" s="10"/>
      <c r="WCQ50" s="10"/>
      <c r="WCR50" s="10"/>
      <c r="WCS50" s="10"/>
      <c r="WCT50" s="10"/>
      <c r="WCU50" s="10"/>
      <c r="WCV50" s="10"/>
      <c r="WCW50" s="10"/>
      <c r="WCX50" s="10"/>
      <c r="WCY50" s="10"/>
      <c r="WCZ50" s="10"/>
      <c r="WDA50" s="10"/>
      <c r="WDB50" s="10"/>
      <c r="WDC50" s="10"/>
      <c r="WDD50" s="10"/>
      <c r="WDE50" s="10"/>
      <c r="WDF50" s="10"/>
      <c r="WDG50" s="10"/>
      <c r="WDH50" s="10"/>
      <c r="WDI50" s="10"/>
      <c r="WDJ50" s="10"/>
      <c r="WDK50" s="10"/>
      <c r="WDL50" s="10"/>
      <c r="WDM50" s="10"/>
      <c r="WDN50" s="10"/>
      <c r="WDO50" s="10"/>
      <c r="WDP50" s="10"/>
      <c r="WDQ50" s="10"/>
      <c r="WDR50" s="10"/>
      <c r="WDS50" s="10"/>
      <c r="WDT50" s="10"/>
      <c r="WDU50" s="10"/>
      <c r="WDV50" s="10"/>
      <c r="WDW50" s="10"/>
      <c r="WDX50" s="10"/>
      <c r="WDY50" s="10"/>
      <c r="WDZ50" s="10"/>
      <c r="WEA50" s="10"/>
      <c r="WEB50" s="10"/>
      <c r="WEC50" s="10"/>
      <c r="WED50" s="10"/>
      <c r="WEE50" s="10"/>
      <c r="WEF50" s="10"/>
      <c r="WEG50" s="10"/>
      <c r="WEH50" s="10"/>
      <c r="WEI50" s="10"/>
      <c r="WEJ50" s="10"/>
      <c r="WEK50" s="10"/>
      <c r="WEL50" s="10"/>
      <c r="WEM50" s="10"/>
      <c r="WEN50" s="10"/>
      <c r="WEO50" s="10"/>
      <c r="WEP50" s="10"/>
      <c r="WEQ50" s="10"/>
      <c r="WER50" s="10"/>
      <c r="WES50" s="10"/>
      <c r="WET50" s="10"/>
      <c r="WEU50" s="10"/>
      <c r="WEV50" s="10"/>
      <c r="WEW50" s="10"/>
      <c r="WEX50" s="10"/>
      <c r="WEY50" s="10"/>
      <c r="WEZ50" s="10"/>
      <c r="WFA50" s="10"/>
      <c r="WFB50" s="10"/>
      <c r="WFC50" s="10"/>
      <c r="WFD50" s="10"/>
      <c r="WFE50" s="10"/>
      <c r="WFF50" s="10"/>
      <c r="WFG50" s="10"/>
      <c r="WFH50" s="10"/>
      <c r="WFI50" s="10"/>
      <c r="WFJ50" s="10"/>
      <c r="WFK50" s="10"/>
      <c r="WFL50" s="10"/>
      <c r="WFM50" s="10"/>
      <c r="WFN50" s="10"/>
      <c r="WFO50" s="10"/>
      <c r="WFP50" s="10"/>
      <c r="WFQ50" s="10"/>
      <c r="WFR50" s="10"/>
      <c r="WFS50" s="10"/>
      <c r="WFT50" s="10"/>
      <c r="WFU50" s="10"/>
      <c r="WFV50" s="10"/>
      <c r="WFW50" s="10"/>
      <c r="WFX50" s="10"/>
      <c r="WFY50" s="10"/>
      <c r="WFZ50" s="10"/>
      <c r="WGA50" s="10"/>
      <c r="WGB50" s="10"/>
      <c r="WGC50" s="10"/>
      <c r="WGD50" s="10"/>
      <c r="WGE50" s="10"/>
      <c r="WGF50" s="10"/>
      <c r="WGG50" s="10"/>
      <c r="WGH50" s="10"/>
      <c r="WGI50" s="10"/>
      <c r="WGJ50" s="10"/>
      <c r="WGK50" s="10"/>
      <c r="WGL50" s="10"/>
      <c r="WGM50" s="10"/>
      <c r="WGN50" s="10"/>
      <c r="WGO50" s="10"/>
      <c r="WGP50" s="10"/>
      <c r="WGQ50" s="10"/>
      <c r="WGR50" s="10"/>
      <c r="WGS50" s="10"/>
      <c r="WGT50" s="10"/>
      <c r="WGU50" s="10"/>
      <c r="WGV50" s="10"/>
      <c r="WGW50" s="10"/>
      <c r="WGX50" s="10"/>
      <c r="WGY50" s="10"/>
      <c r="WGZ50" s="10"/>
      <c r="WHA50" s="10"/>
      <c r="WHB50" s="10"/>
      <c r="WHC50" s="10"/>
      <c r="WHD50" s="10"/>
      <c r="WHE50" s="10"/>
      <c r="WHF50" s="10"/>
      <c r="WHG50" s="10"/>
      <c r="WHH50" s="10"/>
      <c r="WHI50" s="10"/>
      <c r="WHJ50" s="10"/>
      <c r="WHK50" s="10"/>
      <c r="WHL50" s="10"/>
      <c r="WHM50" s="10"/>
      <c r="WHN50" s="10"/>
      <c r="WHO50" s="10"/>
      <c r="WHP50" s="10"/>
      <c r="WHQ50" s="10"/>
      <c r="WHR50" s="10"/>
      <c r="WHS50" s="10"/>
      <c r="WHT50" s="10"/>
      <c r="WHU50" s="10"/>
      <c r="WHV50" s="10"/>
      <c r="WHW50" s="10"/>
      <c r="WHX50" s="10"/>
      <c r="WHY50" s="10"/>
      <c r="WHZ50" s="10"/>
      <c r="WIA50" s="10"/>
      <c r="WIB50" s="10"/>
      <c r="WIC50" s="10"/>
      <c r="WID50" s="10"/>
      <c r="WIE50" s="10"/>
      <c r="WIF50" s="10"/>
      <c r="WIG50" s="10"/>
      <c r="WIH50" s="10"/>
      <c r="WII50" s="10"/>
      <c r="WIJ50" s="10"/>
      <c r="WIK50" s="10"/>
      <c r="WIL50" s="10"/>
      <c r="WIM50" s="10"/>
      <c r="WIN50" s="10"/>
      <c r="WIO50" s="10"/>
      <c r="WIP50" s="10"/>
      <c r="WIQ50" s="10"/>
      <c r="WIR50" s="10"/>
      <c r="WIS50" s="10"/>
      <c r="WIT50" s="10"/>
      <c r="WIU50" s="10"/>
      <c r="WIV50" s="10"/>
      <c r="WIW50" s="10"/>
      <c r="WIX50" s="10"/>
      <c r="WIY50" s="10"/>
      <c r="WIZ50" s="10"/>
      <c r="WJA50" s="10"/>
      <c r="WJB50" s="10"/>
      <c r="WJC50" s="10"/>
      <c r="WJD50" s="10"/>
      <c r="WJE50" s="10"/>
      <c r="WJF50" s="10"/>
      <c r="WJG50" s="10"/>
      <c r="WJH50" s="10"/>
      <c r="WJI50" s="10"/>
      <c r="WJJ50" s="10"/>
      <c r="WJK50" s="10"/>
      <c r="WJL50" s="10"/>
      <c r="WJM50" s="10"/>
      <c r="WJN50" s="10"/>
      <c r="WJO50" s="10"/>
      <c r="WJP50" s="10"/>
      <c r="WJQ50" s="10"/>
      <c r="WJR50" s="10"/>
      <c r="WJS50" s="10"/>
      <c r="WJT50" s="10"/>
      <c r="WJU50" s="10"/>
      <c r="WJV50" s="10"/>
      <c r="WJW50" s="10"/>
      <c r="WJX50" s="10"/>
      <c r="WJY50" s="10"/>
      <c r="WJZ50" s="10"/>
      <c r="WKA50" s="10"/>
      <c r="WKB50" s="10"/>
      <c r="WKC50" s="10"/>
      <c r="WKD50" s="10"/>
      <c r="WKE50" s="10"/>
      <c r="WKF50" s="10"/>
      <c r="WKG50" s="10"/>
      <c r="WKH50" s="10"/>
      <c r="WKI50" s="10"/>
      <c r="WKJ50" s="10"/>
      <c r="WKK50" s="10"/>
      <c r="WKL50" s="10"/>
      <c r="WKM50" s="10"/>
      <c r="WKN50" s="10"/>
      <c r="WKO50" s="10"/>
      <c r="WKP50" s="10"/>
      <c r="WKQ50" s="10"/>
      <c r="WKR50" s="10"/>
      <c r="WKS50" s="10"/>
      <c r="WKT50" s="10"/>
      <c r="WKU50" s="10"/>
      <c r="WKV50" s="10"/>
      <c r="WKW50" s="10"/>
      <c r="WKX50" s="10"/>
      <c r="WKY50" s="10"/>
      <c r="WKZ50" s="10"/>
      <c r="WLA50" s="10"/>
      <c r="WLB50" s="10"/>
      <c r="WLC50" s="10"/>
      <c r="WLD50" s="10"/>
      <c r="WLE50" s="10"/>
      <c r="WLF50" s="10"/>
      <c r="WLG50" s="10"/>
      <c r="WLH50" s="10"/>
      <c r="WLI50" s="10"/>
      <c r="WLJ50" s="10"/>
      <c r="WLK50" s="10"/>
      <c r="WLL50" s="10"/>
      <c r="WLM50" s="10"/>
      <c r="WLN50" s="10"/>
      <c r="WLO50" s="10"/>
      <c r="WLP50" s="10"/>
      <c r="WLQ50" s="10"/>
      <c r="WLR50" s="10"/>
      <c r="WLS50" s="10"/>
      <c r="WLT50" s="10"/>
      <c r="WLU50" s="10"/>
      <c r="WLV50" s="10"/>
      <c r="WLW50" s="10"/>
      <c r="WLX50" s="10"/>
      <c r="WLY50" s="10"/>
      <c r="WLZ50" s="10"/>
      <c r="WMA50" s="10"/>
      <c r="WMB50" s="10"/>
      <c r="WMC50" s="10"/>
      <c r="WMD50" s="10"/>
      <c r="WME50" s="10"/>
      <c r="WMF50" s="10"/>
      <c r="WMG50" s="10"/>
      <c r="WMH50" s="10"/>
      <c r="WMI50" s="10"/>
      <c r="WMJ50" s="10"/>
      <c r="WMK50" s="10"/>
      <c r="WML50" s="10"/>
      <c r="WMM50" s="10"/>
      <c r="WMN50" s="10"/>
      <c r="WMO50" s="10"/>
      <c r="WMP50" s="10"/>
      <c r="WMQ50" s="10"/>
      <c r="WMR50" s="10"/>
      <c r="WMS50" s="10"/>
      <c r="WMT50" s="10"/>
      <c r="WMU50" s="10"/>
      <c r="WMV50" s="10"/>
      <c r="WMW50" s="10"/>
      <c r="WMX50" s="10"/>
      <c r="WMY50" s="10"/>
      <c r="WMZ50" s="10"/>
      <c r="WNA50" s="10"/>
      <c r="WNB50" s="10"/>
      <c r="WNC50" s="10"/>
      <c r="WND50" s="10"/>
      <c r="WNE50" s="10"/>
      <c r="WNF50" s="10"/>
      <c r="WNG50" s="10"/>
      <c r="WNH50" s="10"/>
      <c r="WNI50" s="10"/>
      <c r="WNJ50" s="10"/>
      <c r="WNK50" s="10"/>
      <c r="WNL50" s="10"/>
      <c r="WNM50" s="10"/>
      <c r="WNN50" s="10"/>
      <c r="WNO50" s="10"/>
      <c r="WNP50" s="10"/>
      <c r="WNQ50" s="10"/>
      <c r="WNR50" s="10"/>
      <c r="WNS50" s="10"/>
      <c r="WNT50" s="10"/>
      <c r="WNU50" s="10"/>
      <c r="WNV50" s="10"/>
      <c r="WNW50" s="10"/>
      <c r="WNX50" s="10"/>
      <c r="WNY50" s="10"/>
      <c r="WNZ50" s="10"/>
      <c r="WOA50" s="10"/>
      <c r="WOB50" s="10"/>
      <c r="WOC50" s="10"/>
      <c r="WOD50" s="10"/>
      <c r="WOE50" s="10"/>
      <c r="WOF50" s="10"/>
      <c r="WOG50" s="10"/>
      <c r="WOH50" s="10"/>
      <c r="WOI50" s="10"/>
      <c r="WOJ50" s="10"/>
      <c r="WOK50" s="10"/>
      <c r="WOL50" s="10"/>
      <c r="WOM50" s="10"/>
      <c r="WON50" s="10"/>
      <c r="WOO50" s="10"/>
      <c r="WOP50" s="10"/>
      <c r="WOQ50" s="10"/>
      <c r="WOR50" s="10"/>
      <c r="WOS50" s="10"/>
      <c r="WOT50" s="10"/>
      <c r="WOU50" s="10"/>
      <c r="WOV50" s="10"/>
      <c r="WOW50" s="10"/>
      <c r="WOX50" s="10"/>
      <c r="WOY50" s="10"/>
      <c r="WOZ50" s="10"/>
      <c r="WPA50" s="10"/>
      <c r="WPB50" s="10"/>
      <c r="WPC50" s="10"/>
      <c r="WPD50" s="10"/>
      <c r="WPE50" s="10"/>
      <c r="WPF50" s="10"/>
      <c r="WPG50" s="10"/>
      <c r="WPH50" s="10"/>
      <c r="WPI50" s="10"/>
      <c r="WPJ50" s="10"/>
      <c r="WPK50" s="10"/>
      <c r="WPL50" s="10"/>
      <c r="WPM50" s="10"/>
      <c r="WPN50" s="10"/>
      <c r="WPO50" s="10"/>
      <c r="WPP50" s="10"/>
      <c r="WPQ50" s="10"/>
      <c r="WPR50" s="10"/>
      <c r="WPS50" s="10"/>
      <c r="WPT50" s="10"/>
      <c r="WPU50" s="10"/>
      <c r="WPV50" s="10"/>
      <c r="WPW50" s="10"/>
      <c r="WPX50" s="10"/>
      <c r="WPY50" s="10"/>
      <c r="WPZ50" s="10"/>
      <c r="WQA50" s="10"/>
      <c r="WQB50" s="10"/>
      <c r="WQC50" s="10"/>
      <c r="WQD50" s="10"/>
      <c r="WQE50" s="10"/>
      <c r="WQF50" s="10"/>
      <c r="WQG50" s="10"/>
      <c r="WQH50" s="10"/>
      <c r="WQI50" s="10"/>
      <c r="WQJ50" s="10"/>
      <c r="WQK50" s="10"/>
      <c r="WQL50" s="10"/>
      <c r="WQM50" s="10"/>
      <c r="WQN50" s="10"/>
      <c r="WQO50" s="10"/>
      <c r="WQP50" s="10"/>
      <c r="WQQ50" s="10"/>
      <c r="WQR50" s="10"/>
      <c r="WQS50" s="10"/>
      <c r="WQT50" s="10"/>
      <c r="WQU50" s="10"/>
      <c r="WQV50" s="10"/>
      <c r="WQW50" s="10"/>
      <c r="WQX50" s="10"/>
      <c r="WQY50" s="10"/>
      <c r="WQZ50" s="10"/>
      <c r="WRA50" s="10"/>
      <c r="WRB50" s="10"/>
      <c r="WRC50" s="10"/>
      <c r="WRD50" s="10"/>
      <c r="WRE50" s="10"/>
      <c r="WRF50" s="10"/>
      <c r="WRG50" s="10"/>
      <c r="WRH50" s="10"/>
      <c r="WRI50" s="10"/>
      <c r="WRJ50" s="10"/>
      <c r="WRK50" s="10"/>
      <c r="WRL50" s="10"/>
      <c r="WRM50" s="10"/>
      <c r="WRN50" s="10"/>
      <c r="WRO50" s="10"/>
      <c r="WRP50" s="10"/>
      <c r="WRQ50" s="10"/>
      <c r="WRR50" s="10"/>
      <c r="WRS50" s="10"/>
      <c r="WRT50" s="10"/>
      <c r="WRU50" s="10"/>
      <c r="WRV50" s="10"/>
      <c r="WRW50" s="10"/>
      <c r="WRX50" s="10"/>
      <c r="WRY50" s="10"/>
      <c r="WRZ50" s="10"/>
      <c r="WSA50" s="10"/>
      <c r="WSB50" s="10"/>
      <c r="WSC50" s="10"/>
      <c r="WSD50" s="10"/>
      <c r="WSE50" s="10"/>
      <c r="WSF50" s="10"/>
      <c r="WSG50" s="10"/>
      <c r="WSH50" s="10"/>
      <c r="WSI50" s="10"/>
      <c r="WSJ50" s="10"/>
      <c r="WSK50" s="10"/>
      <c r="WSL50" s="10"/>
      <c r="WSM50" s="10"/>
      <c r="WSN50" s="10"/>
      <c r="WSO50" s="10"/>
      <c r="WSP50" s="10"/>
      <c r="WSQ50" s="10"/>
      <c r="WSR50" s="10"/>
      <c r="WSS50" s="10"/>
      <c r="WST50" s="10"/>
      <c r="WSU50" s="10"/>
      <c r="WSV50" s="10"/>
      <c r="WSW50" s="10"/>
      <c r="WSX50" s="10"/>
      <c r="WSY50" s="10"/>
      <c r="WSZ50" s="10"/>
      <c r="WTA50" s="10"/>
      <c r="WTB50" s="10"/>
      <c r="WTC50" s="10"/>
      <c r="WTD50" s="10"/>
      <c r="WTE50" s="10"/>
      <c r="WTF50" s="10"/>
      <c r="WTG50" s="10"/>
      <c r="WTH50" s="10"/>
      <c r="WTI50" s="10"/>
      <c r="WTJ50" s="10"/>
      <c r="WTK50" s="10"/>
      <c r="WTL50" s="10"/>
      <c r="WTM50" s="10"/>
      <c r="WTN50" s="10"/>
      <c r="WTO50" s="10"/>
      <c r="WTP50" s="10"/>
      <c r="WTQ50" s="10"/>
      <c r="WTR50" s="10"/>
      <c r="WTS50" s="10"/>
      <c r="WTT50" s="10"/>
      <c r="WTU50" s="10"/>
      <c r="WTV50" s="10"/>
      <c r="WTW50" s="10"/>
      <c r="WTX50" s="10"/>
      <c r="WTY50" s="10"/>
      <c r="WTZ50" s="10"/>
      <c r="WUA50" s="10"/>
      <c r="WUB50" s="10"/>
      <c r="WUC50" s="10"/>
      <c r="WUD50" s="10"/>
      <c r="WUE50" s="10"/>
      <c r="WUF50" s="10"/>
      <c r="WUG50" s="10"/>
      <c r="WUH50" s="10"/>
      <c r="WUI50" s="10"/>
      <c r="WUJ50" s="10"/>
      <c r="WUK50" s="10"/>
      <c r="WUL50" s="10"/>
      <c r="WUM50" s="10"/>
      <c r="WUN50" s="10"/>
      <c r="WUO50" s="10"/>
      <c r="WUP50" s="10"/>
      <c r="WUQ50" s="10"/>
      <c r="WUR50" s="10"/>
      <c r="WUS50" s="10"/>
      <c r="WUT50" s="10"/>
      <c r="WUU50" s="10"/>
      <c r="WUV50" s="10"/>
      <c r="WUW50" s="10"/>
      <c r="WUX50" s="10"/>
      <c r="WUY50" s="10"/>
      <c r="WUZ50" s="10"/>
      <c r="WVA50" s="10"/>
      <c r="WVB50" s="10"/>
      <c r="WVC50" s="10"/>
      <c r="WVD50" s="10"/>
      <c r="WVE50" s="10"/>
      <c r="WVF50" s="10"/>
      <c r="WVG50" s="10"/>
      <c r="WVH50" s="10"/>
      <c r="WVI50" s="10"/>
      <c r="WVJ50" s="10"/>
      <c r="WVK50" s="10"/>
      <c r="WVL50" s="10"/>
      <c r="WVM50" s="10"/>
      <c r="WVN50" s="10"/>
      <c r="WVO50" s="10"/>
      <c r="WVP50" s="10"/>
      <c r="WVQ50" s="10"/>
      <c r="WVR50" s="10"/>
      <c r="WVS50" s="10"/>
      <c r="WVT50" s="10"/>
    </row>
    <row r="53" spans="2:16140" s="242" customFormat="1" ht="21" customHeight="1">
      <c r="B53" s="335"/>
      <c r="C53" s="336"/>
      <c r="F53" s="244"/>
      <c r="G53" s="245"/>
      <c r="H53" s="333"/>
      <c r="I53" s="333"/>
      <c r="J53" s="333"/>
      <c r="K53" s="333"/>
      <c r="L53" s="334"/>
      <c r="M53" s="10"/>
      <c r="N53" s="18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 s="10"/>
      <c r="GM53" s="10"/>
      <c r="GN53" s="10"/>
      <c r="GO53" s="10"/>
      <c r="GP53" s="10"/>
      <c r="GQ53" s="10"/>
      <c r="GR53" s="10"/>
      <c r="GS53" s="10"/>
      <c r="GT53" s="10"/>
      <c r="GU53" s="10"/>
      <c r="GV53" s="10"/>
      <c r="GW53" s="10"/>
      <c r="GX53" s="10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  <c r="HO53" s="10"/>
      <c r="HP53" s="10"/>
      <c r="HQ53" s="10"/>
      <c r="HR53" s="10"/>
      <c r="HS53" s="10"/>
      <c r="HT53" s="10"/>
      <c r="HU53" s="10"/>
      <c r="HV53" s="10"/>
      <c r="HW53" s="10"/>
      <c r="HX53" s="10"/>
      <c r="HY53" s="10"/>
      <c r="HZ53" s="10"/>
      <c r="IA53" s="10"/>
      <c r="IB53" s="10"/>
      <c r="IC53" s="10"/>
      <c r="ID53" s="10"/>
      <c r="IE53" s="10"/>
      <c r="IF53" s="10"/>
      <c r="IG53" s="10"/>
      <c r="IH53" s="10"/>
      <c r="II53" s="10"/>
      <c r="IJ53" s="10"/>
      <c r="IK53" s="10"/>
      <c r="IL53" s="10"/>
      <c r="IM53" s="10"/>
      <c r="IN53" s="10"/>
      <c r="IO53" s="10"/>
      <c r="IP53" s="10"/>
      <c r="IQ53" s="10"/>
      <c r="IR53" s="10"/>
      <c r="IS53" s="10"/>
      <c r="IT53" s="10"/>
      <c r="IU53" s="10"/>
      <c r="IV53" s="10"/>
      <c r="IW53" s="10"/>
      <c r="IX53" s="10"/>
      <c r="IY53" s="10"/>
      <c r="IZ53" s="10"/>
      <c r="JA53" s="10"/>
      <c r="JB53" s="10"/>
      <c r="JC53" s="10"/>
      <c r="JD53" s="10"/>
      <c r="JE53" s="10"/>
      <c r="JF53" s="10"/>
      <c r="JG53" s="10"/>
      <c r="JH53" s="10"/>
      <c r="JI53" s="10"/>
      <c r="JJ53" s="10"/>
      <c r="JK53" s="10"/>
      <c r="JL53" s="10"/>
      <c r="JM53" s="10"/>
      <c r="JN53" s="10"/>
      <c r="JO53" s="10"/>
      <c r="JP53" s="10"/>
      <c r="JQ53" s="10"/>
      <c r="JR53" s="10"/>
      <c r="JS53" s="10"/>
      <c r="JT53" s="10"/>
      <c r="JU53" s="10"/>
      <c r="JV53" s="10"/>
      <c r="JW53" s="10"/>
      <c r="JX53" s="10"/>
      <c r="JY53" s="10"/>
      <c r="JZ53" s="10"/>
      <c r="KA53" s="10"/>
      <c r="KB53" s="10"/>
      <c r="KC53" s="10"/>
      <c r="KD53" s="10"/>
      <c r="KE53" s="10"/>
      <c r="KF53" s="10"/>
      <c r="KG53" s="10"/>
      <c r="KH53" s="10"/>
      <c r="KI53" s="10"/>
      <c r="KJ53" s="10"/>
      <c r="KK53" s="10"/>
      <c r="KL53" s="10"/>
      <c r="KM53" s="10"/>
      <c r="KN53" s="10"/>
      <c r="KO53" s="10"/>
      <c r="KP53" s="10"/>
      <c r="KQ53" s="10"/>
      <c r="KR53" s="10"/>
      <c r="KS53" s="10"/>
      <c r="KT53" s="10"/>
      <c r="KU53" s="10"/>
      <c r="KV53" s="10"/>
      <c r="KW53" s="10"/>
      <c r="KX53" s="10"/>
      <c r="KY53" s="10"/>
      <c r="KZ53" s="10"/>
      <c r="LA53" s="10"/>
      <c r="LB53" s="10"/>
      <c r="LC53" s="10"/>
      <c r="LD53" s="10"/>
      <c r="LE53" s="10"/>
      <c r="LF53" s="10"/>
      <c r="LG53" s="10"/>
      <c r="LH53" s="10"/>
      <c r="LI53" s="10"/>
      <c r="LJ53" s="10"/>
      <c r="LK53" s="10"/>
      <c r="LL53" s="10"/>
      <c r="LM53" s="10"/>
      <c r="LN53" s="10"/>
      <c r="LO53" s="10"/>
      <c r="LP53" s="10"/>
      <c r="LQ53" s="10"/>
      <c r="LR53" s="10"/>
      <c r="LS53" s="10"/>
      <c r="LT53" s="10"/>
      <c r="LU53" s="10"/>
      <c r="LV53" s="10"/>
      <c r="LW53" s="10"/>
      <c r="LX53" s="10"/>
      <c r="LY53" s="10"/>
      <c r="LZ53" s="10"/>
      <c r="MA53" s="10"/>
      <c r="MB53" s="10"/>
      <c r="MC53" s="10"/>
      <c r="MD53" s="10"/>
      <c r="ME53" s="10"/>
      <c r="MF53" s="10"/>
      <c r="MG53" s="10"/>
      <c r="MH53" s="10"/>
      <c r="MI53" s="10"/>
      <c r="MJ53" s="10"/>
      <c r="MK53" s="10"/>
      <c r="ML53" s="10"/>
      <c r="MM53" s="10"/>
      <c r="MN53" s="10"/>
      <c r="MO53" s="10"/>
      <c r="MP53" s="10"/>
      <c r="MQ53" s="10"/>
      <c r="MR53" s="10"/>
      <c r="MS53" s="10"/>
      <c r="MT53" s="10"/>
      <c r="MU53" s="10"/>
      <c r="MV53" s="10"/>
      <c r="MW53" s="10"/>
      <c r="MX53" s="10"/>
      <c r="MY53" s="10"/>
      <c r="MZ53" s="10"/>
      <c r="NA53" s="10"/>
      <c r="NB53" s="10"/>
      <c r="NC53" s="10"/>
      <c r="ND53" s="10"/>
      <c r="NE53" s="10"/>
      <c r="NF53" s="10"/>
      <c r="NG53" s="10"/>
      <c r="NH53" s="10"/>
      <c r="NI53" s="10"/>
      <c r="NJ53" s="10"/>
      <c r="NK53" s="10"/>
      <c r="NL53" s="10"/>
      <c r="NM53" s="10"/>
      <c r="NN53" s="10"/>
      <c r="NO53" s="10"/>
      <c r="NP53" s="10"/>
      <c r="NQ53" s="10"/>
      <c r="NR53" s="10"/>
      <c r="NS53" s="10"/>
      <c r="NT53" s="10"/>
      <c r="NU53" s="10"/>
      <c r="NV53" s="10"/>
      <c r="NW53" s="10"/>
      <c r="NX53" s="10"/>
      <c r="NY53" s="10"/>
      <c r="NZ53" s="10"/>
      <c r="OA53" s="10"/>
      <c r="OB53" s="10"/>
      <c r="OC53" s="10"/>
      <c r="OD53" s="10"/>
      <c r="OE53" s="10"/>
      <c r="OF53" s="10"/>
      <c r="OG53" s="10"/>
      <c r="OH53" s="10"/>
      <c r="OI53" s="10"/>
      <c r="OJ53" s="10"/>
      <c r="OK53" s="10"/>
      <c r="OL53" s="10"/>
      <c r="OM53" s="10"/>
      <c r="ON53" s="10"/>
      <c r="OO53" s="10"/>
      <c r="OP53" s="10"/>
      <c r="OQ53" s="10"/>
      <c r="OR53" s="10"/>
      <c r="OS53" s="10"/>
      <c r="OT53" s="10"/>
      <c r="OU53" s="10"/>
      <c r="OV53" s="10"/>
      <c r="OW53" s="10"/>
      <c r="OX53" s="10"/>
      <c r="OY53" s="10"/>
      <c r="OZ53" s="10"/>
      <c r="PA53" s="10"/>
      <c r="PB53" s="10"/>
      <c r="PC53" s="10"/>
      <c r="PD53" s="10"/>
      <c r="PE53" s="10"/>
      <c r="PF53" s="10"/>
      <c r="PG53" s="10"/>
      <c r="PH53" s="10"/>
      <c r="PI53" s="10"/>
      <c r="PJ53" s="10"/>
      <c r="PK53" s="10"/>
      <c r="PL53" s="10"/>
      <c r="PM53" s="10"/>
      <c r="PN53" s="10"/>
      <c r="PO53" s="10"/>
      <c r="PP53" s="10"/>
      <c r="PQ53" s="10"/>
      <c r="PR53" s="10"/>
      <c r="PS53" s="10"/>
      <c r="PT53" s="10"/>
      <c r="PU53" s="10"/>
      <c r="PV53" s="10"/>
      <c r="PW53" s="10"/>
      <c r="PX53" s="10"/>
      <c r="PY53" s="10"/>
      <c r="PZ53" s="10"/>
      <c r="QA53" s="10"/>
      <c r="QB53" s="10"/>
      <c r="QC53" s="10"/>
      <c r="QD53" s="10"/>
      <c r="QE53" s="10"/>
      <c r="QF53" s="10"/>
      <c r="QG53" s="10"/>
      <c r="QH53" s="10"/>
      <c r="QI53" s="10"/>
      <c r="QJ53" s="10"/>
      <c r="QK53" s="10"/>
      <c r="QL53" s="10"/>
      <c r="QM53" s="10"/>
      <c r="QN53" s="10"/>
      <c r="QO53" s="10"/>
      <c r="QP53" s="10"/>
      <c r="QQ53" s="10"/>
      <c r="QR53" s="10"/>
      <c r="QS53" s="10"/>
      <c r="QT53" s="10"/>
      <c r="QU53" s="10"/>
      <c r="QV53" s="10"/>
      <c r="QW53" s="10"/>
      <c r="QX53" s="10"/>
      <c r="QY53" s="10"/>
      <c r="QZ53" s="10"/>
      <c r="RA53" s="10"/>
      <c r="RB53" s="10"/>
      <c r="RC53" s="10"/>
      <c r="RD53" s="10"/>
      <c r="RE53" s="10"/>
      <c r="RF53" s="10"/>
      <c r="RG53" s="10"/>
      <c r="RH53" s="10"/>
      <c r="RI53" s="10"/>
      <c r="RJ53" s="10"/>
      <c r="RK53" s="10"/>
      <c r="RL53" s="10"/>
      <c r="RM53" s="10"/>
      <c r="RN53" s="10"/>
      <c r="RO53" s="10"/>
      <c r="RP53" s="10"/>
      <c r="RQ53" s="10"/>
      <c r="RR53" s="10"/>
      <c r="RS53" s="10"/>
      <c r="RT53" s="10"/>
      <c r="RU53" s="10"/>
      <c r="RV53" s="10"/>
      <c r="RW53" s="10"/>
      <c r="RX53" s="10"/>
      <c r="RY53" s="10"/>
      <c r="RZ53" s="10"/>
      <c r="SA53" s="10"/>
      <c r="SB53" s="10"/>
      <c r="SC53" s="10"/>
      <c r="SD53" s="10"/>
      <c r="SE53" s="10"/>
      <c r="SF53" s="10"/>
      <c r="SG53" s="10"/>
      <c r="SH53" s="10"/>
      <c r="SI53" s="10"/>
      <c r="SJ53" s="10"/>
      <c r="SK53" s="10"/>
      <c r="SL53" s="10"/>
      <c r="SM53" s="10"/>
      <c r="SN53" s="10"/>
      <c r="SO53" s="10"/>
      <c r="SP53" s="10"/>
      <c r="SQ53" s="10"/>
      <c r="SR53" s="10"/>
      <c r="SS53" s="10"/>
      <c r="ST53" s="10"/>
      <c r="SU53" s="10"/>
      <c r="SV53" s="10"/>
      <c r="SW53" s="10"/>
      <c r="SX53" s="10"/>
      <c r="SY53" s="10"/>
      <c r="SZ53" s="10"/>
      <c r="TA53" s="10"/>
      <c r="TB53" s="10"/>
      <c r="TC53" s="10"/>
      <c r="TD53" s="10"/>
      <c r="TE53" s="10"/>
      <c r="TF53" s="10"/>
      <c r="TG53" s="10"/>
      <c r="TH53" s="10"/>
      <c r="TI53" s="10"/>
      <c r="TJ53" s="10"/>
      <c r="TK53" s="10"/>
      <c r="TL53" s="10"/>
      <c r="TM53" s="10"/>
      <c r="TN53" s="10"/>
      <c r="TO53" s="10"/>
      <c r="TP53" s="10"/>
      <c r="TQ53" s="10"/>
      <c r="TR53" s="10"/>
      <c r="TS53" s="10"/>
      <c r="TT53" s="10"/>
      <c r="TU53" s="10"/>
      <c r="TV53" s="10"/>
      <c r="TW53" s="10"/>
      <c r="TX53" s="10"/>
      <c r="TY53" s="10"/>
      <c r="TZ53" s="10"/>
      <c r="UA53" s="10"/>
      <c r="UB53" s="10"/>
      <c r="UC53" s="10"/>
      <c r="UD53" s="10"/>
      <c r="UE53" s="10"/>
      <c r="UF53" s="10"/>
      <c r="UG53" s="10"/>
      <c r="UH53" s="10"/>
      <c r="UI53" s="10"/>
      <c r="UJ53" s="10"/>
      <c r="UK53" s="10"/>
      <c r="UL53" s="10"/>
      <c r="UM53" s="10"/>
      <c r="UN53" s="10"/>
      <c r="UO53" s="10"/>
      <c r="UP53" s="10"/>
      <c r="UQ53" s="10"/>
      <c r="UR53" s="10"/>
      <c r="US53" s="10"/>
      <c r="UT53" s="10"/>
      <c r="UU53" s="10"/>
      <c r="UV53" s="10"/>
      <c r="UW53" s="10"/>
      <c r="UX53" s="10"/>
      <c r="UY53" s="10"/>
      <c r="UZ53" s="10"/>
      <c r="VA53" s="10"/>
      <c r="VB53" s="10"/>
      <c r="VC53" s="10"/>
      <c r="VD53" s="10"/>
      <c r="VE53" s="10"/>
      <c r="VF53" s="10"/>
      <c r="VG53" s="10"/>
      <c r="VH53" s="10"/>
      <c r="VI53" s="10"/>
      <c r="VJ53" s="10"/>
      <c r="VK53" s="10"/>
      <c r="VL53" s="10"/>
      <c r="VM53" s="10"/>
      <c r="VN53" s="10"/>
      <c r="VO53" s="10"/>
      <c r="VP53" s="10"/>
      <c r="VQ53" s="10"/>
      <c r="VR53" s="10"/>
      <c r="VS53" s="10"/>
      <c r="VT53" s="10"/>
      <c r="VU53" s="10"/>
      <c r="VV53" s="10"/>
      <c r="VW53" s="10"/>
      <c r="VX53" s="10"/>
      <c r="VY53" s="10"/>
      <c r="VZ53" s="10"/>
      <c r="WA53" s="10"/>
      <c r="WB53" s="10"/>
      <c r="WC53" s="10"/>
      <c r="WD53" s="10"/>
      <c r="WE53" s="10"/>
      <c r="WF53" s="10"/>
      <c r="WG53" s="10"/>
      <c r="WH53" s="10"/>
      <c r="WI53" s="10"/>
      <c r="WJ53" s="10"/>
      <c r="WK53" s="10"/>
      <c r="WL53" s="10"/>
      <c r="WM53" s="10"/>
      <c r="WN53" s="10"/>
      <c r="WO53" s="10"/>
      <c r="WP53" s="10"/>
      <c r="WQ53" s="10"/>
      <c r="WR53" s="10"/>
      <c r="WS53" s="10"/>
      <c r="WT53" s="10"/>
      <c r="WU53" s="10"/>
      <c r="WV53" s="10"/>
      <c r="WW53" s="10"/>
      <c r="WX53" s="10"/>
      <c r="WY53" s="10"/>
      <c r="WZ53" s="10"/>
      <c r="XA53" s="10"/>
      <c r="XB53" s="10"/>
      <c r="XC53" s="10"/>
      <c r="XD53" s="10"/>
      <c r="XE53" s="10"/>
      <c r="XF53" s="10"/>
      <c r="XG53" s="10"/>
      <c r="XH53" s="10"/>
      <c r="XI53" s="10"/>
      <c r="XJ53" s="10"/>
      <c r="XK53" s="10"/>
      <c r="XL53" s="10"/>
      <c r="XM53" s="10"/>
      <c r="XN53" s="10"/>
      <c r="XO53" s="10"/>
      <c r="XP53" s="10"/>
      <c r="XQ53" s="10"/>
      <c r="XR53" s="10"/>
      <c r="XS53" s="10"/>
      <c r="XT53" s="10"/>
      <c r="XU53" s="10"/>
      <c r="XV53" s="10"/>
      <c r="XW53" s="10"/>
      <c r="XX53" s="10"/>
      <c r="XY53" s="10"/>
      <c r="XZ53" s="10"/>
      <c r="YA53" s="10"/>
      <c r="YB53" s="10"/>
      <c r="YC53" s="10"/>
      <c r="YD53" s="10"/>
      <c r="YE53" s="10"/>
      <c r="YF53" s="10"/>
      <c r="YG53" s="10"/>
      <c r="YH53" s="10"/>
      <c r="YI53" s="10"/>
      <c r="YJ53" s="10"/>
      <c r="YK53" s="10"/>
      <c r="YL53" s="10"/>
      <c r="YM53" s="10"/>
      <c r="YN53" s="10"/>
      <c r="YO53" s="10"/>
      <c r="YP53" s="10"/>
      <c r="YQ53" s="10"/>
      <c r="YR53" s="10"/>
      <c r="YS53" s="10"/>
      <c r="YT53" s="10"/>
      <c r="YU53" s="10"/>
      <c r="YV53" s="10"/>
      <c r="YW53" s="10"/>
      <c r="YX53" s="10"/>
      <c r="YY53" s="10"/>
      <c r="YZ53" s="10"/>
      <c r="ZA53" s="10"/>
      <c r="ZB53" s="10"/>
      <c r="ZC53" s="10"/>
      <c r="ZD53" s="10"/>
      <c r="ZE53" s="10"/>
      <c r="ZF53" s="10"/>
      <c r="ZG53" s="10"/>
      <c r="ZH53" s="10"/>
      <c r="ZI53" s="10"/>
      <c r="ZJ53" s="10"/>
      <c r="ZK53" s="10"/>
      <c r="ZL53" s="10"/>
      <c r="ZM53" s="10"/>
      <c r="ZN53" s="10"/>
      <c r="ZO53" s="10"/>
      <c r="ZP53" s="10"/>
      <c r="ZQ53" s="10"/>
      <c r="ZR53" s="10"/>
      <c r="ZS53" s="10"/>
      <c r="ZT53" s="10"/>
      <c r="ZU53" s="10"/>
      <c r="ZV53" s="10"/>
      <c r="ZW53" s="10"/>
      <c r="ZX53" s="10"/>
      <c r="ZY53" s="10"/>
      <c r="ZZ53" s="10"/>
      <c r="AAA53" s="10"/>
      <c r="AAB53" s="10"/>
      <c r="AAC53" s="10"/>
      <c r="AAD53" s="10"/>
      <c r="AAE53" s="10"/>
      <c r="AAF53" s="10"/>
      <c r="AAG53" s="10"/>
      <c r="AAH53" s="10"/>
      <c r="AAI53" s="10"/>
      <c r="AAJ53" s="10"/>
      <c r="AAK53" s="10"/>
      <c r="AAL53" s="10"/>
      <c r="AAM53" s="10"/>
      <c r="AAN53" s="10"/>
      <c r="AAO53" s="10"/>
      <c r="AAP53" s="10"/>
      <c r="AAQ53" s="10"/>
      <c r="AAR53" s="10"/>
      <c r="AAS53" s="10"/>
      <c r="AAT53" s="10"/>
      <c r="AAU53" s="10"/>
      <c r="AAV53" s="10"/>
      <c r="AAW53" s="10"/>
      <c r="AAX53" s="10"/>
      <c r="AAY53" s="10"/>
      <c r="AAZ53" s="10"/>
      <c r="ABA53" s="10"/>
      <c r="ABB53" s="10"/>
      <c r="ABC53" s="10"/>
      <c r="ABD53" s="10"/>
      <c r="ABE53" s="10"/>
      <c r="ABF53" s="10"/>
      <c r="ABG53" s="10"/>
      <c r="ABH53" s="10"/>
      <c r="ABI53" s="10"/>
      <c r="ABJ53" s="10"/>
      <c r="ABK53" s="10"/>
      <c r="ABL53" s="10"/>
      <c r="ABM53" s="10"/>
      <c r="ABN53" s="10"/>
      <c r="ABO53" s="10"/>
      <c r="ABP53" s="10"/>
      <c r="ABQ53" s="10"/>
      <c r="ABR53" s="10"/>
      <c r="ABS53" s="10"/>
      <c r="ABT53" s="10"/>
      <c r="ABU53" s="10"/>
      <c r="ABV53" s="10"/>
      <c r="ABW53" s="10"/>
      <c r="ABX53" s="10"/>
      <c r="ABY53" s="10"/>
      <c r="ABZ53" s="10"/>
      <c r="ACA53" s="10"/>
      <c r="ACB53" s="10"/>
      <c r="ACC53" s="10"/>
      <c r="ACD53" s="10"/>
      <c r="ACE53" s="10"/>
      <c r="ACF53" s="10"/>
      <c r="ACG53" s="10"/>
      <c r="ACH53" s="10"/>
      <c r="ACI53" s="10"/>
      <c r="ACJ53" s="10"/>
      <c r="ACK53" s="10"/>
      <c r="ACL53" s="10"/>
      <c r="ACM53" s="10"/>
      <c r="ACN53" s="10"/>
      <c r="ACO53" s="10"/>
      <c r="ACP53" s="10"/>
      <c r="ACQ53" s="10"/>
      <c r="ACR53" s="10"/>
      <c r="ACS53" s="10"/>
      <c r="ACT53" s="10"/>
      <c r="ACU53" s="10"/>
      <c r="ACV53" s="10"/>
      <c r="ACW53" s="10"/>
      <c r="ACX53" s="10"/>
      <c r="ACY53" s="10"/>
      <c r="ACZ53" s="10"/>
      <c r="ADA53" s="10"/>
      <c r="ADB53" s="10"/>
      <c r="ADC53" s="10"/>
      <c r="ADD53" s="10"/>
      <c r="ADE53" s="10"/>
      <c r="ADF53" s="10"/>
      <c r="ADG53" s="10"/>
      <c r="ADH53" s="10"/>
      <c r="ADI53" s="10"/>
      <c r="ADJ53" s="10"/>
      <c r="ADK53" s="10"/>
      <c r="ADL53" s="10"/>
      <c r="ADM53" s="10"/>
      <c r="ADN53" s="10"/>
      <c r="ADO53" s="10"/>
      <c r="ADP53" s="10"/>
      <c r="ADQ53" s="10"/>
      <c r="ADR53" s="10"/>
      <c r="ADS53" s="10"/>
      <c r="ADT53" s="10"/>
      <c r="ADU53" s="10"/>
      <c r="ADV53" s="10"/>
      <c r="ADW53" s="10"/>
      <c r="ADX53" s="10"/>
      <c r="ADY53" s="10"/>
      <c r="ADZ53" s="10"/>
      <c r="AEA53" s="10"/>
      <c r="AEB53" s="10"/>
      <c r="AEC53" s="10"/>
      <c r="AED53" s="10"/>
      <c r="AEE53" s="10"/>
      <c r="AEF53" s="10"/>
      <c r="AEG53" s="10"/>
      <c r="AEH53" s="10"/>
      <c r="AEI53" s="10"/>
      <c r="AEJ53" s="10"/>
      <c r="AEK53" s="10"/>
      <c r="AEL53" s="10"/>
      <c r="AEM53" s="10"/>
      <c r="AEN53" s="10"/>
      <c r="AEO53" s="10"/>
      <c r="AEP53" s="10"/>
      <c r="AEQ53" s="10"/>
      <c r="AER53" s="10"/>
      <c r="AES53" s="10"/>
      <c r="AET53" s="10"/>
      <c r="AEU53" s="10"/>
      <c r="AEV53" s="10"/>
      <c r="AEW53" s="10"/>
      <c r="AEX53" s="10"/>
      <c r="AEY53" s="10"/>
      <c r="AEZ53" s="10"/>
      <c r="AFA53" s="10"/>
      <c r="AFB53" s="10"/>
      <c r="AFC53" s="10"/>
      <c r="AFD53" s="10"/>
      <c r="AFE53" s="10"/>
      <c r="AFF53" s="10"/>
      <c r="AFG53" s="10"/>
      <c r="AFH53" s="10"/>
      <c r="AFI53" s="10"/>
      <c r="AFJ53" s="10"/>
      <c r="AFK53" s="10"/>
      <c r="AFL53" s="10"/>
      <c r="AFM53" s="10"/>
      <c r="AFN53" s="10"/>
      <c r="AFO53" s="10"/>
      <c r="AFP53" s="10"/>
      <c r="AFQ53" s="10"/>
      <c r="AFR53" s="10"/>
      <c r="AFS53" s="10"/>
      <c r="AFT53" s="10"/>
      <c r="AFU53" s="10"/>
      <c r="AFV53" s="10"/>
      <c r="AFW53" s="10"/>
      <c r="AFX53" s="10"/>
      <c r="AFY53" s="10"/>
      <c r="AFZ53" s="10"/>
      <c r="AGA53" s="10"/>
      <c r="AGB53" s="10"/>
      <c r="AGC53" s="10"/>
      <c r="AGD53" s="10"/>
      <c r="AGE53" s="10"/>
      <c r="AGF53" s="10"/>
      <c r="AGG53" s="10"/>
      <c r="AGH53" s="10"/>
      <c r="AGI53" s="10"/>
      <c r="AGJ53" s="10"/>
      <c r="AGK53" s="10"/>
      <c r="AGL53" s="10"/>
      <c r="AGM53" s="10"/>
      <c r="AGN53" s="10"/>
      <c r="AGO53" s="10"/>
      <c r="AGP53" s="10"/>
      <c r="AGQ53" s="10"/>
      <c r="AGR53" s="10"/>
      <c r="AGS53" s="10"/>
      <c r="AGT53" s="10"/>
      <c r="AGU53" s="10"/>
      <c r="AGV53" s="10"/>
      <c r="AGW53" s="10"/>
      <c r="AGX53" s="10"/>
      <c r="AGY53" s="10"/>
      <c r="AGZ53" s="10"/>
      <c r="AHA53" s="10"/>
      <c r="AHB53" s="10"/>
      <c r="AHC53" s="10"/>
      <c r="AHD53" s="10"/>
      <c r="AHE53" s="10"/>
      <c r="AHF53" s="10"/>
      <c r="AHG53" s="10"/>
      <c r="AHH53" s="10"/>
      <c r="AHI53" s="10"/>
      <c r="AHJ53" s="10"/>
      <c r="AHK53" s="10"/>
      <c r="AHL53" s="10"/>
      <c r="AHM53" s="10"/>
      <c r="AHN53" s="10"/>
      <c r="AHO53" s="10"/>
      <c r="AHP53" s="10"/>
      <c r="AHQ53" s="10"/>
      <c r="AHR53" s="10"/>
      <c r="AHS53" s="10"/>
      <c r="AHT53" s="10"/>
      <c r="AHU53" s="10"/>
      <c r="AHV53" s="10"/>
      <c r="AHW53" s="10"/>
      <c r="AHX53" s="10"/>
      <c r="AHY53" s="10"/>
      <c r="AHZ53" s="10"/>
      <c r="AIA53" s="10"/>
      <c r="AIB53" s="10"/>
      <c r="AIC53" s="10"/>
      <c r="AID53" s="10"/>
      <c r="AIE53" s="10"/>
      <c r="AIF53" s="10"/>
      <c r="AIG53" s="10"/>
      <c r="AIH53" s="10"/>
      <c r="AII53" s="10"/>
      <c r="AIJ53" s="10"/>
      <c r="AIK53" s="10"/>
      <c r="AIL53" s="10"/>
      <c r="AIM53" s="10"/>
      <c r="AIN53" s="10"/>
      <c r="AIO53" s="10"/>
      <c r="AIP53" s="10"/>
      <c r="AIQ53" s="10"/>
      <c r="AIR53" s="10"/>
      <c r="AIS53" s="10"/>
      <c r="AIT53" s="10"/>
      <c r="AIU53" s="10"/>
      <c r="AIV53" s="10"/>
      <c r="AIW53" s="10"/>
      <c r="AIX53" s="10"/>
      <c r="AIY53" s="10"/>
      <c r="AIZ53" s="10"/>
      <c r="AJA53" s="10"/>
      <c r="AJB53" s="10"/>
      <c r="AJC53" s="10"/>
      <c r="AJD53" s="10"/>
      <c r="AJE53" s="10"/>
      <c r="AJF53" s="10"/>
      <c r="AJG53" s="10"/>
      <c r="AJH53" s="10"/>
      <c r="AJI53" s="10"/>
      <c r="AJJ53" s="10"/>
      <c r="AJK53" s="10"/>
      <c r="AJL53" s="10"/>
      <c r="AJM53" s="10"/>
      <c r="AJN53" s="10"/>
      <c r="AJO53" s="10"/>
      <c r="AJP53" s="10"/>
      <c r="AJQ53" s="10"/>
      <c r="AJR53" s="10"/>
      <c r="AJS53" s="10"/>
      <c r="AJT53" s="10"/>
      <c r="AJU53" s="10"/>
      <c r="AJV53" s="10"/>
      <c r="AJW53" s="10"/>
      <c r="AJX53" s="10"/>
      <c r="AJY53" s="10"/>
      <c r="AJZ53" s="10"/>
      <c r="AKA53" s="10"/>
      <c r="AKB53" s="10"/>
      <c r="AKC53" s="10"/>
      <c r="AKD53" s="10"/>
      <c r="AKE53" s="10"/>
      <c r="AKF53" s="10"/>
      <c r="AKG53" s="10"/>
      <c r="AKH53" s="10"/>
      <c r="AKI53" s="10"/>
      <c r="AKJ53" s="10"/>
      <c r="AKK53" s="10"/>
      <c r="AKL53" s="10"/>
      <c r="AKM53" s="10"/>
      <c r="AKN53" s="10"/>
      <c r="AKO53" s="10"/>
      <c r="AKP53" s="10"/>
      <c r="AKQ53" s="10"/>
      <c r="AKR53" s="10"/>
      <c r="AKS53" s="10"/>
      <c r="AKT53" s="10"/>
      <c r="AKU53" s="10"/>
      <c r="AKV53" s="10"/>
      <c r="AKW53" s="10"/>
      <c r="AKX53" s="10"/>
      <c r="AKY53" s="10"/>
      <c r="AKZ53" s="10"/>
      <c r="ALA53" s="10"/>
      <c r="ALB53" s="10"/>
      <c r="ALC53" s="10"/>
      <c r="ALD53" s="10"/>
      <c r="ALE53" s="10"/>
      <c r="ALF53" s="10"/>
      <c r="ALG53" s="10"/>
      <c r="ALH53" s="10"/>
      <c r="ALI53" s="10"/>
      <c r="ALJ53" s="10"/>
      <c r="ALK53" s="10"/>
      <c r="ALL53" s="10"/>
      <c r="ALM53" s="10"/>
      <c r="ALN53" s="10"/>
      <c r="ALO53" s="10"/>
      <c r="ALP53" s="10"/>
      <c r="ALQ53" s="10"/>
      <c r="ALR53" s="10"/>
      <c r="ALS53" s="10"/>
      <c r="ALT53" s="10"/>
      <c r="ALU53" s="10"/>
      <c r="ALV53" s="10"/>
      <c r="ALW53" s="10"/>
      <c r="ALX53" s="10"/>
      <c r="ALY53" s="10"/>
      <c r="ALZ53" s="10"/>
      <c r="AMA53" s="10"/>
      <c r="AMB53" s="10"/>
      <c r="AMC53" s="10"/>
      <c r="AMD53" s="10"/>
      <c r="AME53" s="10"/>
      <c r="AMF53" s="10"/>
      <c r="AMG53" s="10"/>
      <c r="AMH53" s="10"/>
      <c r="AMI53" s="10"/>
      <c r="AMJ53" s="10"/>
      <c r="AMK53" s="10"/>
      <c r="AML53" s="10"/>
      <c r="AMM53" s="10"/>
      <c r="AMN53" s="10"/>
      <c r="AMO53" s="10"/>
      <c r="AMP53" s="10"/>
      <c r="AMQ53" s="10"/>
      <c r="AMR53" s="10"/>
      <c r="AMS53" s="10"/>
      <c r="AMT53" s="10"/>
      <c r="AMU53" s="10"/>
      <c r="AMV53" s="10"/>
      <c r="AMW53" s="10"/>
      <c r="AMX53" s="10"/>
      <c r="AMY53" s="10"/>
      <c r="AMZ53" s="10"/>
      <c r="ANA53" s="10"/>
      <c r="ANB53" s="10"/>
      <c r="ANC53" s="10"/>
      <c r="AND53" s="10"/>
      <c r="ANE53" s="10"/>
      <c r="ANF53" s="10"/>
      <c r="ANG53" s="10"/>
      <c r="ANH53" s="10"/>
      <c r="ANI53" s="10"/>
      <c r="ANJ53" s="10"/>
      <c r="ANK53" s="10"/>
      <c r="ANL53" s="10"/>
      <c r="ANM53" s="10"/>
      <c r="ANN53" s="10"/>
      <c r="ANO53" s="10"/>
      <c r="ANP53" s="10"/>
      <c r="ANQ53" s="10"/>
      <c r="ANR53" s="10"/>
      <c r="ANS53" s="10"/>
      <c r="ANT53" s="10"/>
      <c r="ANU53" s="10"/>
      <c r="ANV53" s="10"/>
      <c r="ANW53" s="10"/>
      <c r="ANX53" s="10"/>
      <c r="ANY53" s="10"/>
      <c r="ANZ53" s="10"/>
      <c r="AOA53" s="10"/>
      <c r="AOB53" s="10"/>
      <c r="AOC53" s="10"/>
      <c r="AOD53" s="10"/>
      <c r="AOE53" s="10"/>
      <c r="AOF53" s="10"/>
      <c r="AOG53" s="10"/>
      <c r="AOH53" s="10"/>
      <c r="AOI53" s="10"/>
      <c r="AOJ53" s="10"/>
      <c r="AOK53" s="10"/>
      <c r="AOL53" s="10"/>
      <c r="AOM53" s="10"/>
      <c r="AON53" s="10"/>
      <c r="AOO53" s="10"/>
      <c r="AOP53" s="10"/>
      <c r="AOQ53" s="10"/>
      <c r="AOR53" s="10"/>
      <c r="AOS53" s="10"/>
      <c r="AOT53" s="10"/>
      <c r="AOU53" s="10"/>
      <c r="AOV53" s="10"/>
      <c r="AOW53" s="10"/>
      <c r="AOX53" s="10"/>
      <c r="AOY53" s="10"/>
      <c r="AOZ53" s="10"/>
      <c r="APA53" s="10"/>
      <c r="APB53" s="10"/>
      <c r="APC53" s="10"/>
      <c r="APD53" s="10"/>
      <c r="APE53" s="10"/>
      <c r="APF53" s="10"/>
      <c r="APG53" s="10"/>
      <c r="APH53" s="10"/>
      <c r="API53" s="10"/>
      <c r="APJ53" s="10"/>
      <c r="APK53" s="10"/>
      <c r="APL53" s="10"/>
      <c r="APM53" s="10"/>
      <c r="APN53" s="10"/>
      <c r="APO53" s="10"/>
      <c r="APP53" s="10"/>
      <c r="APQ53" s="10"/>
      <c r="APR53" s="10"/>
      <c r="APS53" s="10"/>
      <c r="APT53" s="10"/>
      <c r="APU53" s="10"/>
      <c r="APV53" s="10"/>
      <c r="APW53" s="10"/>
      <c r="APX53" s="10"/>
      <c r="APY53" s="10"/>
      <c r="APZ53" s="10"/>
      <c r="AQA53" s="10"/>
      <c r="AQB53" s="10"/>
      <c r="AQC53" s="10"/>
      <c r="AQD53" s="10"/>
      <c r="AQE53" s="10"/>
      <c r="AQF53" s="10"/>
      <c r="AQG53" s="10"/>
      <c r="AQH53" s="10"/>
      <c r="AQI53" s="10"/>
      <c r="AQJ53" s="10"/>
      <c r="AQK53" s="10"/>
      <c r="AQL53" s="10"/>
      <c r="AQM53" s="10"/>
      <c r="AQN53" s="10"/>
      <c r="AQO53" s="10"/>
      <c r="AQP53" s="10"/>
      <c r="AQQ53" s="10"/>
      <c r="AQR53" s="10"/>
      <c r="AQS53" s="10"/>
      <c r="AQT53" s="10"/>
      <c r="AQU53" s="10"/>
      <c r="AQV53" s="10"/>
      <c r="AQW53" s="10"/>
      <c r="AQX53" s="10"/>
      <c r="AQY53" s="10"/>
      <c r="AQZ53" s="10"/>
      <c r="ARA53" s="10"/>
      <c r="ARB53" s="10"/>
      <c r="ARC53" s="10"/>
      <c r="ARD53" s="10"/>
      <c r="ARE53" s="10"/>
      <c r="ARF53" s="10"/>
      <c r="ARG53" s="10"/>
      <c r="ARH53" s="10"/>
      <c r="ARI53" s="10"/>
      <c r="ARJ53" s="10"/>
      <c r="ARK53" s="10"/>
      <c r="ARL53" s="10"/>
      <c r="ARM53" s="10"/>
      <c r="ARN53" s="10"/>
      <c r="ARO53" s="10"/>
      <c r="ARP53" s="10"/>
      <c r="ARQ53" s="10"/>
      <c r="ARR53" s="10"/>
      <c r="ARS53" s="10"/>
      <c r="ART53" s="10"/>
      <c r="ARU53" s="10"/>
      <c r="ARV53" s="10"/>
      <c r="ARW53" s="10"/>
      <c r="ARX53" s="10"/>
      <c r="ARY53" s="10"/>
      <c r="ARZ53" s="10"/>
      <c r="ASA53" s="10"/>
      <c r="ASB53" s="10"/>
      <c r="ASC53" s="10"/>
      <c r="ASD53" s="10"/>
      <c r="ASE53" s="10"/>
      <c r="ASF53" s="10"/>
      <c r="ASG53" s="10"/>
      <c r="ASH53" s="10"/>
      <c r="ASI53" s="10"/>
      <c r="ASJ53" s="10"/>
      <c r="ASK53" s="10"/>
      <c r="ASL53" s="10"/>
      <c r="ASM53" s="10"/>
      <c r="ASN53" s="10"/>
      <c r="ASO53" s="10"/>
      <c r="ASP53" s="10"/>
      <c r="ASQ53" s="10"/>
      <c r="ASR53" s="10"/>
      <c r="ASS53" s="10"/>
      <c r="AST53" s="10"/>
      <c r="ASU53" s="10"/>
      <c r="ASV53" s="10"/>
      <c r="ASW53" s="10"/>
      <c r="ASX53" s="10"/>
      <c r="ASY53" s="10"/>
      <c r="ASZ53" s="10"/>
      <c r="ATA53" s="10"/>
      <c r="ATB53" s="10"/>
      <c r="ATC53" s="10"/>
      <c r="ATD53" s="10"/>
      <c r="ATE53" s="10"/>
      <c r="ATF53" s="10"/>
      <c r="ATG53" s="10"/>
      <c r="ATH53" s="10"/>
      <c r="ATI53" s="10"/>
      <c r="ATJ53" s="10"/>
      <c r="ATK53" s="10"/>
      <c r="ATL53" s="10"/>
      <c r="ATM53" s="10"/>
      <c r="ATN53" s="10"/>
      <c r="ATO53" s="10"/>
      <c r="ATP53" s="10"/>
      <c r="ATQ53" s="10"/>
      <c r="ATR53" s="10"/>
      <c r="ATS53" s="10"/>
      <c r="ATT53" s="10"/>
      <c r="ATU53" s="10"/>
      <c r="ATV53" s="10"/>
      <c r="ATW53" s="10"/>
      <c r="ATX53" s="10"/>
      <c r="ATY53" s="10"/>
      <c r="ATZ53" s="10"/>
      <c r="AUA53" s="10"/>
      <c r="AUB53" s="10"/>
      <c r="AUC53" s="10"/>
      <c r="AUD53" s="10"/>
      <c r="AUE53" s="10"/>
      <c r="AUF53" s="10"/>
      <c r="AUG53" s="10"/>
      <c r="AUH53" s="10"/>
      <c r="AUI53" s="10"/>
      <c r="AUJ53" s="10"/>
      <c r="AUK53" s="10"/>
      <c r="AUL53" s="10"/>
      <c r="AUM53" s="10"/>
      <c r="AUN53" s="10"/>
      <c r="AUO53" s="10"/>
      <c r="AUP53" s="10"/>
      <c r="AUQ53" s="10"/>
      <c r="AUR53" s="10"/>
      <c r="AUS53" s="10"/>
      <c r="AUT53" s="10"/>
      <c r="AUU53" s="10"/>
      <c r="AUV53" s="10"/>
      <c r="AUW53" s="10"/>
      <c r="AUX53" s="10"/>
      <c r="AUY53" s="10"/>
      <c r="AUZ53" s="10"/>
      <c r="AVA53" s="10"/>
      <c r="AVB53" s="10"/>
      <c r="AVC53" s="10"/>
      <c r="AVD53" s="10"/>
      <c r="AVE53" s="10"/>
      <c r="AVF53" s="10"/>
      <c r="AVG53" s="10"/>
      <c r="AVH53" s="10"/>
      <c r="AVI53" s="10"/>
      <c r="AVJ53" s="10"/>
      <c r="AVK53" s="10"/>
      <c r="AVL53" s="10"/>
      <c r="AVM53" s="10"/>
      <c r="AVN53" s="10"/>
      <c r="AVO53" s="10"/>
      <c r="AVP53" s="10"/>
      <c r="AVQ53" s="10"/>
      <c r="AVR53" s="10"/>
      <c r="AVS53" s="10"/>
      <c r="AVT53" s="10"/>
      <c r="AVU53" s="10"/>
      <c r="AVV53" s="10"/>
      <c r="AVW53" s="10"/>
      <c r="AVX53" s="10"/>
      <c r="AVY53" s="10"/>
      <c r="AVZ53" s="10"/>
      <c r="AWA53" s="10"/>
      <c r="AWB53" s="10"/>
      <c r="AWC53" s="10"/>
      <c r="AWD53" s="10"/>
      <c r="AWE53" s="10"/>
      <c r="AWF53" s="10"/>
      <c r="AWG53" s="10"/>
      <c r="AWH53" s="10"/>
      <c r="AWI53" s="10"/>
      <c r="AWJ53" s="10"/>
      <c r="AWK53" s="10"/>
      <c r="AWL53" s="10"/>
      <c r="AWM53" s="10"/>
      <c r="AWN53" s="10"/>
      <c r="AWO53" s="10"/>
      <c r="AWP53" s="10"/>
      <c r="AWQ53" s="10"/>
      <c r="AWR53" s="10"/>
      <c r="AWS53" s="10"/>
      <c r="AWT53" s="10"/>
      <c r="AWU53" s="10"/>
      <c r="AWV53" s="10"/>
      <c r="AWW53" s="10"/>
      <c r="AWX53" s="10"/>
      <c r="AWY53" s="10"/>
      <c r="AWZ53" s="10"/>
      <c r="AXA53" s="10"/>
      <c r="AXB53" s="10"/>
      <c r="AXC53" s="10"/>
      <c r="AXD53" s="10"/>
      <c r="AXE53" s="10"/>
      <c r="AXF53" s="10"/>
      <c r="AXG53" s="10"/>
      <c r="AXH53" s="10"/>
      <c r="AXI53" s="10"/>
      <c r="AXJ53" s="10"/>
      <c r="AXK53" s="10"/>
      <c r="AXL53" s="10"/>
      <c r="AXM53" s="10"/>
      <c r="AXN53" s="10"/>
      <c r="AXO53" s="10"/>
      <c r="AXP53" s="10"/>
      <c r="AXQ53" s="10"/>
      <c r="AXR53" s="10"/>
      <c r="AXS53" s="10"/>
      <c r="AXT53" s="10"/>
      <c r="AXU53" s="10"/>
      <c r="AXV53" s="10"/>
      <c r="AXW53" s="10"/>
      <c r="AXX53" s="10"/>
      <c r="AXY53" s="10"/>
      <c r="AXZ53" s="10"/>
      <c r="AYA53" s="10"/>
      <c r="AYB53" s="10"/>
      <c r="AYC53" s="10"/>
      <c r="AYD53" s="10"/>
      <c r="AYE53" s="10"/>
      <c r="AYF53" s="10"/>
      <c r="AYG53" s="10"/>
      <c r="AYH53" s="10"/>
      <c r="AYI53" s="10"/>
      <c r="AYJ53" s="10"/>
      <c r="AYK53" s="10"/>
      <c r="AYL53" s="10"/>
      <c r="AYM53" s="10"/>
      <c r="AYN53" s="10"/>
      <c r="AYO53" s="10"/>
      <c r="AYP53" s="10"/>
      <c r="AYQ53" s="10"/>
      <c r="AYR53" s="10"/>
      <c r="AYS53" s="10"/>
      <c r="AYT53" s="10"/>
      <c r="AYU53" s="10"/>
      <c r="AYV53" s="10"/>
      <c r="AYW53" s="10"/>
      <c r="AYX53" s="10"/>
      <c r="AYY53" s="10"/>
      <c r="AYZ53" s="10"/>
      <c r="AZA53" s="10"/>
      <c r="AZB53" s="10"/>
      <c r="AZC53" s="10"/>
      <c r="AZD53" s="10"/>
      <c r="AZE53" s="10"/>
      <c r="AZF53" s="10"/>
      <c r="AZG53" s="10"/>
      <c r="AZH53" s="10"/>
      <c r="AZI53" s="10"/>
      <c r="AZJ53" s="10"/>
      <c r="AZK53" s="10"/>
      <c r="AZL53" s="10"/>
      <c r="AZM53" s="10"/>
      <c r="AZN53" s="10"/>
      <c r="AZO53" s="10"/>
      <c r="AZP53" s="10"/>
      <c r="AZQ53" s="10"/>
      <c r="AZR53" s="10"/>
      <c r="AZS53" s="10"/>
      <c r="AZT53" s="10"/>
      <c r="AZU53" s="10"/>
      <c r="AZV53" s="10"/>
      <c r="AZW53" s="10"/>
      <c r="AZX53" s="10"/>
      <c r="AZY53" s="10"/>
      <c r="AZZ53" s="10"/>
      <c r="BAA53" s="10"/>
      <c r="BAB53" s="10"/>
      <c r="BAC53" s="10"/>
      <c r="BAD53" s="10"/>
      <c r="BAE53" s="10"/>
      <c r="BAF53" s="10"/>
      <c r="BAG53" s="10"/>
      <c r="BAH53" s="10"/>
      <c r="BAI53" s="10"/>
      <c r="BAJ53" s="10"/>
      <c r="BAK53" s="10"/>
      <c r="BAL53" s="10"/>
      <c r="BAM53" s="10"/>
      <c r="BAN53" s="10"/>
      <c r="BAO53" s="10"/>
      <c r="BAP53" s="10"/>
      <c r="BAQ53" s="10"/>
      <c r="BAR53" s="10"/>
      <c r="BAS53" s="10"/>
      <c r="BAT53" s="10"/>
      <c r="BAU53" s="10"/>
      <c r="BAV53" s="10"/>
      <c r="BAW53" s="10"/>
      <c r="BAX53" s="10"/>
      <c r="BAY53" s="10"/>
      <c r="BAZ53" s="10"/>
      <c r="BBA53" s="10"/>
      <c r="BBB53" s="10"/>
      <c r="BBC53" s="10"/>
      <c r="BBD53" s="10"/>
      <c r="BBE53" s="10"/>
      <c r="BBF53" s="10"/>
      <c r="BBG53" s="10"/>
      <c r="BBH53" s="10"/>
      <c r="BBI53" s="10"/>
      <c r="BBJ53" s="10"/>
      <c r="BBK53" s="10"/>
      <c r="BBL53" s="10"/>
      <c r="BBM53" s="10"/>
      <c r="BBN53" s="10"/>
      <c r="BBO53" s="10"/>
      <c r="BBP53" s="10"/>
      <c r="BBQ53" s="10"/>
      <c r="BBR53" s="10"/>
      <c r="BBS53" s="10"/>
      <c r="BBT53" s="10"/>
      <c r="BBU53" s="10"/>
      <c r="BBV53" s="10"/>
      <c r="BBW53" s="10"/>
      <c r="BBX53" s="10"/>
      <c r="BBY53" s="10"/>
      <c r="BBZ53" s="10"/>
      <c r="BCA53" s="10"/>
      <c r="BCB53" s="10"/>
      <c r="BCC53" s="10"/>
      <c r="BCD53" s="10"/>
      <c r="BCE53" s="10"/>
      <c r="BCF53" s="10"/>
      <c r="BCG53" s="10"/>
      <c r="BCH53" s="10"/>
      <c r="BCI53" s="10"/>
      <c r="BCJ53" s="10"/>
      <c r="BCK53" s="10"/>
      <c r="BCL53" s="10"/>
      <c r="BCM53" s="10"/>
      <c r="BCN53" s="10"/>
      <c r="BCO53" s="10"/>
      <c r="BCP53" s="10"/>
      <c r="BCQ53" s="10"/>
      <c r="BCR53" s="10"/>
      <c r="BCS53" s="10"/>
      <c r="BCT53" s="10"/>
      <c r="BCU53" s="10"/>
      <c r="BCV53" s="10"/>
      <c r="BCW53" s="10"/>
      <c r="BCX53" s="10"/>
      <c r="BCY53" s="10"/>
      <c r="BCZ53" s="10"/>
      <c r="BDA53" s="10"/>
      <c r="BDB53" s="10"/>
      <c r="BDC53" s="10"/>
      <c r="BDD53" s="10"/>
      <c r="BDE53" s="10"/>
      <c r="BDF53" s="10"/>
      <c r="BDG53" s="10"/>
      <c r="BDH53" s="10"/>
      <c r="BDI53" s="10"/>
      <c r="BDJ53" s="10"/>
      <c r="BDK53" s="10"/>
      <c r="BDL53" s="10"/>
      <c r="BDM53" s="10"/>
      <c r="BDN53" s="10"/>
      <c r="BDO53" s="10"/>
      <c r="BDP53" s="10"/>
      <c r="BDQ53" s="10"/>
      <c r="BDR53" s="10"/>
      <c r="BDS53" s="10"/>
      <c r="BDT53" s="10"/>
      <c r="BDU53" s="10"/>
      <c r="BDV53" s="10"/>
      <c r="BDW53" s="10"/>
      <c r="BDX53" s="10"/>
      <c r="BDY53" s="10"/>
      <c r="BDZ53" s="10"/>
      <c r="BEA53" s="10"/>
      <c r="BEB53" s="10"/>
      <c r="BEC53" s="10"/>
      <c r="BED53" s="10"/>
      <c r="BEE53" s="10"/>
      <c r="BEF53" s="10"/>
      <c r="BEG53" s="10"/>
      <c r="BEH53" s="10"/>
      <c r="BEI53" s="10"/>
      <c r="BEJ53" s="10"/>
      <c r="BEK53" s="10"/>
      <c r="BEL53" s="10"/>
      <c r="BEM53" s="10"/>
      <c r="BEN53" s="10"/>
      <c r="BEO53" s="10"/>
      <c r="BEP53" s="10"/>
      <c r="BEQ53" s="10"/>
      <c r="BER53" s="10"/>
      <c r="BES53" s="10"/>
      <c r="BET53" s="10"/>
      <c r="BEU53" s="10"/>
      <c r="BEV53" s="10"/>
      <c r="BEW53" s="10"/>
      <c r="BEX53" s="10"/>
      <c r="BEY53" s="10"/>
      <c r="BEZ53" s="10"/>
      <c r="BFA53" s="10"/>
      <c r="BFB53" s="10"/>
      <c r="BFC53" s="10"/>
      <c r="BFD53" s="10"/>
      <c r="BFE53" s="10"/>
      <c r="BFF53" s="10"/>
      <c r="BFG53" s="10"/>
      <c r="BFH53" s="10"/>
      <c r="BFI53" s="10"/>
      <c r="BFJ53" s="10"/>
      <c r="BFK53" s="10"/>
      <c r="BFL53" s="10"/>
      <c r="BFM53" s="10"/>
      <c r="BFN53" s="10"/>
      <c r="BFO53" s="10"/>
      <c r="BFP53" s="10"/>
      <c r="BFQ53" s="10"/>
      <c r="BFR53" s="10"/>
      <c r="BFS53" s="10"/>
      <c r="BFT53" s="10"/>
      <c r="BFU53" s="10"/>
      <c r="BFV53" s="10"/>
      <c r="BFW53" s="10"/>
      <c r="BFX53" s="10"/>
      <c r="BFY53" s="10"/>
      <c r="BFZ53" s="10"/>
      <c r="BGA53" s="10"/>
      <c r="BGB53" s="10"/>
      <c r="BGC53" s="10"/>
      <c r="BGD53" s="10"/>
      <c r="BGE53" s="10"/>
      <c r="BGF53" s="10"/>
      <c r="BGG53" s="10"/>
      <c r="BGH53" s="10"/>
      <c r="BGI53" s="10"/>
      <c r="BGJ53" s="10"/>
      <c r="BGK53" s="10"/>
      <c r="BGL53" s="10"/>
      <c r="BGM53" s="10"/>
      <c r="BGN53" s="10"/>
      <c r="BGO53" s="10"/>
      <c r="BGP53" s="10"/>
      <c r="BGQ53" s="10"/>
      <c r="BGR53" s="10"/>
      <c r="BGS53" s="10"/>
      <c r="BGT53" s="10"/>
      <c r="BGU53" s="10"/>
      <c r="BGV53" s="10"/>
      <c r="BGW53" s="10"/>
      <c r="BGX53" s="10"/>
      <c r="BGY53" s="10"/>
      <c r="BGZ53" s="10"/>
      <c r="BHA53" s="10"/>
      <c r="BHB53" s="10"/>
      <c r="BHC53" s="10"/>
      <c r="BHD53" s="10"/>
      <c r="BHE53" s="10"/>
      <c r="BHF53" s="10"/>
      <c r="BHG53" s="10"/>
      <c r="BHH53" s="10"/>
      <c r="BHI53" s="10"/>
      <c r="BHJ53" s="10"/>
      <c r="BHK53" s="10"/>
      <c r="BHL53" s="10"/>
      <c r="BHM53" s="10"/>
      <c r="BHN53" s="10"/>
      <c r="BHO53" s="10"/>
      <c r="BHP53" s="10"/>
      <c r="BHQ53" s="10"/>
      <c r="BHR53" s="10"/>
      <c r="BHS53" s="10"/>
      <c r="BHT53" s="10"/>
      <c r="BHU53" s="10"/>
      <c r="BHV53" s="10"/>
      <c r="BHW53" s="10"/>
      <c r="BHX53" s="10"/>
      <c r="BHY53" s="10"/>
      <c r="BHZ53" s="10"/>
      <c r="BIA53" s="10"/>
      <c r="BIB53" s="10"/>
      <c r="BIC53" s="10"/>
      <c r="BID53" s="10"/>
      <c r="BIE53" s="10"/>
      <c r="BIF53" s="10"/>
      <c r="BIG53" s="10"/>
      <c r="BIH53" s="10"/>
      <c r="BII53" s="10"/>
      <c r="BIJ53" s="10"/>
      <c r="BIK53" s="10"/>
      <c r="BIL53" s="10"/>
      <c r="BIM53" s="10"/>
      <c r="BIN53" s="10"/>
      <c r="BIO53" s="10"/>
      <c r="BIP53" s="10"/>
      <c r="BIQ53" s="10"/>
      <c r="BIR53" s="10"/>
      <c r="BIS53" s="10"/>
      <c r="BIT53" s="10"/>
      <c r="BIU53" s="10"/>
      <c r="BIV53" s="10"/>
      <c r="BIW53" s="10"/>
      <c r="BIX53" s="10"/>
      <c r="BIY53" s="10"/>
      <c r="BIZ53" s="10"/>
      <c r="BJA53" s="10"/>
      <c r="BJB53" s="10"/>
      <c r="BJC53" s="10"/>
      <c r="BJD53" s="10"/>
      <c r="BJE53" s="10"/>
      <c r="BJF53" s="10"/>
      <c r="BJG53" s="10"/>
      <c r="BJH53" s="10"/>
      <c r="BJI53" s="10"/>
      <c r="BJJ53" s="10"/>
      <c r="BJK53" s="10"/>
      <c r="BJL53" s="10"/>
      <c r="BJM53" s="10"/>
      <c r="BJN53" s="10"/>
      <c r="BJO53" s="10"/>
      <c r="BJP53" s="10"/>
      <c r="BJQ53" s="10"/>
      <c r="BJR53" s="10"/>
      <c r="BJS53" s="10"/>
      <c r="BJT53" s="10"/>
      <c r="BJU53" s="10"/>
      <c r="BJV53" s="10"/>
      <c r="BJW53" s="10"/>
      <c r="BJX53" s="10"/>
      <c r="BJY53" s="10"/>
      <c r="BJZ53" s="10"/>
      <c r="BKA53" s="10"/>
      <c r="BKB53" s="10"/>
      <c r="BKC53" s="10"/>
      <c r="BKD53" s="10"/>
      <c r="BKE53" s="10"/>
      <c r="BKF53" s="10"/>
      <c r="BKG53" s="10"/>
      <c r="BKH53" s="10"/>
      <c r="BKI53" s="10"/>
      <c r="BKJ53" s="10"/>
      <c r="BKK53" s="10"/>
      <c r="BKL53" s="10"/>
      <c r="BKM53" s="10"/>
      <c r="BKN53" s="10"/>
      <c r="BKO53" s="10"/>
      <c r="BKP53" s="10"/>
      <c r="BKQ53" s="10"/>
      <c r="BKR53" s="10"/>
      <c r="BKS53" s="10"/>
      <c r="BKT53" s="10"/>
      <c r="BKU53" s="10"/>
      <c r="BKV53" s="10"/>
      <c r="BKW53" s="10"/>
      <c r="BKX53" s="10"/>
      <c r="BKY53" s="10"/>
      <c r="BKZ53" s="10"/>
      <c r="BLA53" s="10"/>
      <c r="BLB53" s="10"/>
      <c r="BLC53" s="10"/>
      <c r="BLD53" s="10"/>
      <c r="BLE53" s="10"/>
      <c r="BLF53" s="10"/>
      <c r="BLG53" s="10"/>
      <c r="BLH53" s="10"/>
      <c r="BLI53" s="10"/>
      <c r="BLJ53" s="10"/>
      <c r="BLK53" s="10"/>
      <c r="BLL53" s="10"/>
      <c r="BLM53" s="10"/>
      <c r="BLN53" s="10"/>
      <c r="BLO53" s="10"/>
      <c r="BLP53" s="10"/>
      <c r="BLQ53" s="10"/>
      <c r="BLR53" s="10"/>
      <c r="BLS53" s="10"/>
      <c r="BLT53" s="10"/>
      <c r="BLU53" s="10"/>
      <c r="BLV53" s="10"/>
      <c r="BLW53" s="10"/>
      <c r="BLX53" s="10"/>
      <c r="BLY53" s="10"/>
      <c r="BLZ53" s="10"/>
      <c r="BMA53" s="10"/>
      <c r="BMB53" s="10"/>
      <c r="BMC53" s="10"/>
      <c r="BMD53" s="10"/>
      <c r="BME53" s="10"/>
      <c r="BMF53" s="10"/>
      <c r="BMG53" s="10"/>
      <c r="BMH53" s="10"/>
      <c r="BMI53" s="10"/>
      <c r="BMJ53" s="10"/>
      <c r="BMK53" s="10"/>
      <c r="BML53" s="10"/>
      <c r="BMM53" s="10"/>
      <c r="BMN53" s="10"/>
      <c r="BMO53" s="10"/>
      <c r="BMP53" s="10"/>
      <c r="BMQ53" s="10"/>
      <c r="BMR53" s="10"/>
      <c r="BMS53" s="10"/>
      <c r="BMT53" s="10"/>
      <c r="BMU53" s="10"/>
      <c r="BMV53" s="10"/>
      <c r="BMW53" s="10"/>
      <c r="BMX53" s="10"/>
      <c r="BMY53" s="10"/>
      <c r="BMZ53" s="10"/>
      <c r="BNA53" s="10"/>
      <c r="BNB53" s="10"/>
      <c r="BNC53" s="10"/>
      <c r="BND53" s="10"/>
      <c r="BNE53" s="10"/>
      <c r="BNF53" s="10"/>
      <c r="BNG53" s="10"/>
      <c r="BNH53" s="10"/>
      <c r="BNI53" s="10"/>
      <c r="BNJ53" s="10"/>
      <c r="BNK53" s="10"/>
      <c r="BNL53" s="10"/>
      <c r="BNM53" s="10"/>
      <c r="BNN53" s="10"/>
      <c r="BNO53" s="10"/>
      <c r="BNP53" s="10"/>
      <c r="BNQ53" s="10"/>
      <c r="BNR53" s="10"/>
      <c r="BNS53" s="10"/>
      <c r="BNT53" s="10"/>
      <c r="BNU53" s="10"/>
      <c r="BNV53" s="10"/>
      <c r="BNW53" s="10"/>
      <c r="BNX53" s="10"/>
      <c r="BNY53" s="10"/>
      <c r="BNZ53" s="10"/>
      <c r="BOA53" s="10"/>
      <c r="BOB53" s="10"/>
      <c r="BOC53" s="10"/>
      <c r="BOD53" s="10"/>
      <c r="BOE53" s="10"/>
      <c r="BOF53" s="10"/>
      <c r="BOG53" s="10"/>
      <c r="BOH53" s="10"/>
      <c r="BOI53" s="10"/>
      <c r="BOJ53" s="10"/>
      <c r="BOK53" s="10"/>
      <c r="BOL53" s="10"/>
      <c r="BOM53" s="10"/>
      <c r="BON53" s="10"/>
      <c r="BOO53" s="10"/>
      <c r="BOP53" s="10"/>
      <c r="BOQ53" s="10"/>
      <c r="BOR53" s="10"/>
      <c r="BOS53" s="10"/>
      <c r="BOT53" s="10"/>
      <c r="BOU53" s="10"/>
      <c r="BOV53" s="10"/>
      <c r="BOW53" s="10"/>
      <c r="BOX53" s="10"/>
      <c r="BOY53" s="10"/>
      <c r="BOZ53" s="10"/>
      <c r="BPA53" s="10"/>
      <c r="BPB53" s="10"/>
      <c r="BPC53" s="10"/>
      <c r="BPD53" s="10"/>
      <c r="BPE53" s="10"/>
      <c r="BPF53" s="10"/>
      <c r="BPG53" s="10"/>
      <c r="BPH53" s="10"/>
      <c r="BPI53" s="10"/>
      <c r="BPJ53" s="10"/>
      <c r="BPK53" s="10"/>
      <c r="BPL53" s="10"/>
      <c r="BPM53" s="10"/>
      <c r="BPN53" s="10"/>
      <c r="BPO53" s="10"/>
      <c r="BPP53" s="10"/>
      <c r="BPQ53" s="10"/>
      <c r="BPR53" s="10"/>
      <c r="BPS53" s="10"/>
      <c r="BPT53" s="10"/>
      <c r="BPU53" s="10"/>
      <c r="BPV53" s="10"/>
      <c r="BPW53" s="10"/>
      <c r="BPX53" s="10"/>
      <c r="BPY53" s="10"/>
      <c r="BPZ53" s="10"/>
      <c r="BQA53" s="10"/>
      <c r="BQB53" s="10"/>
      <c r="BQC53" s="10"/>
      <c r="BQD53" s="10"/>
      <c r="BQE53" s="10"/>
      <c r="BQF53" s="10"/>
      <c r="BQG53" s="10"/>
      <c r="BQH53" s="10"/>
      <c r="BQI53" s="10"/>
      <c r="BQJ53" s="10"/>
      <c r="BQK53" s="10"/>
      <c r="BQL53" s="10"/>
      <c r="BQM53" s="10"/>
      <c r="BQN53" s="10"/>
      <c r="BQO53" s="10"/>
      <c r="BQP53" s="10"/>
      <c r="BQQ53" s="10"/>
      <c r="BQR53" s="10"/>
      <c r="BQS53" s="10"/>
      <c r="BQT53" s="10"/>
      <c r="BQU53" s="10"/>
      <c r="BQV53" s="10"/>
      <c r="BQW53" s="10"/>
      <c r="BQX53" s="10"/>
      <c r="BQY53" s="10"/>
      <c r="BQZ53" s="10"/>
      <c r="BRA53" s="10"/>
      <c r="BRB53" s="10"/>
      <c r="BRC53" s="10"/>
      <c r="BRD53" s="10"/>
      <c r="BRE53" s="10"/>
      <c r="BRF53" s="10"/>
      <c r="BRG53" s="10"/>
      <c r="BRH53" s="10"/>
      <c r="BRI53" s="10"/>
      <c r="BRJ53" s="10"/>
      <c r="BRK53" s="10"/>
      <c r="BRL53" s="10"/>
      <c r="BRM53" s="10"/>
      <c r="BRN53" s="10"/>
      <c r="BRO53" s="10"/>
      <c r="BRP53" s="10"/>
      <c r="BRQ53" s="10"/>
      <c r="BRR53" s="10"/>
      <c r="BRS53" s="10"/>
      <c r="BRT53" s="10"/>
      <c r="BRU53" s="10"/>
      <c r="BRV53" s="10"/>
      <c r="BRW53" s="10"/>
      <c r="BRX53" s="10"/>
      <c r="BRY53" s="10"/>
      <c r="BRZ53" s="10"/>
      <c r="BSA53" s="10"/>
      <c r="BSB53" s="10"/>
      <c r="BSC53" s="10"/>
      <c r="BSD53" s="10"/>
      <c r="BSE53" s="10"/>
      <c r="BSF53" s="10"/>
      <c r="BSG53" s="10"/>
      <c r="BSH53" s="10"/>
      <c r="BSI53" s="10"/>
      <c r="BSJ53" s="10"/>
      <c r="BSK53" s="10"/>
      <c r="BSL53" s="10"/>
      <c r="BSM53" s="10"/>
      <c r="BSN53" s="10"/>
      <c r="BSO53" s="10"/>
      <c r="BSP53" s="10"/>
      <c r="BSQ53" s="10"/>
      <c r="BSR53" s="10"/>
      <c r="BSS53" s="10"/>
      <c r="BST53" s="10"/>
      <c r="BSU53" s="10"/>
      <c r="BSV53" s="10"/>
      <c r="BSW53" s="10"/>
      <c r="BSX53" s="10"/>
      <c r="BSY53" s="10"/>
      <c r="BSZ53" s="10"/>
      <c r="BTA53" s="10"/>
      <c r="BTB53" s="10"/>
      <c r="BTC53" s="10"/>
      <c r="BTD53" s="10"/>
      <c r="BTE53" s="10"/>
      <c r="BTF53" s="10"/>
      <c r="BTG53" s="10"/>
      <c r="BTH53" s="10"/>
      <c r="BTI53" s="10"/>
      <c r="BTJ53" s="10"/>
      <c r="BTK53" s="10"/>
      <c r="BTL53" s="10"/>
      <c r="BTM53" s="10"/>
      <c r="BTN53" s="10"/>
      <c r="BTO53" s="10"/>
      <c r="BTP53" s="10"/>
      <c r="BTQ53" s="10"/>
      <c r="BTR53" s="10"/>
      <c r="BTS53" s="10"/>
      <c r="BTT53" s="10"/>
      <c r="BTU53" s="10"/>
      <c r="BTV53" s="10"/>
      <c r="BTW53" s="10"/>
      <c r="BTX53" s="10"/>
      <c r="BTY53" s="10"/>
      <c r="BTZ53" s="10"/>
      <c r="BUA53" s="10"/>
      <c r="BUB53" s="10"/>
      <c r="BUC53" s="10"/>
      <c r="BUD53" s="10"/>
      <c r="BUE53" s="10"/>
      <c r="BUF53" s="10"/>
      <c r="BUG53" s="10"/>
      <c r="BUH53" s="10"/>
      <c r="BUI53" s="10"/>
      <c r="BUJ53" s="10"/>
      <c r="BUK53" s="10"/>
      <c r="BUL53" s="10"/>
      <c r="BUM53" s="10"/>
      <c r="BUN53" s="10"/>
      <c r="BUO53" s="10"/>
      <c r="BUP53" s="10"/>
      <c r="BUQ53" s="10"/>
      <c r="BUR53" s="10"/>
      <c r="BUS53" s="10"/>
      <c r="BUT53" s="10"/>
      <c r="BUU53" s="10"/>
      <c r="BUV53" s="10"/>
      <c r="BUW53" s="10"/>
      <c r="BUX53" s="10"/>
      <c r="BUY53" s="10"/>
      <c r="BUZ53" s="10"/>
      <c r="BVA53" s="10"/>
      <c r="BVB53" s="10"/>
      <c r="BVC53" s="10"/>
      <c r="BVD53" s="10"/>
      <c r="BVE53" s="10"/>
      <c r="BVF53" s="10"/>
      <c r="BVG53" s="10"/>
      <c r="BVH53" s="10"/>
      <c r="BVI53" s="10"/>
      <c r="BVJ53" s="10"/>
      <c r="BVK53" s="10"/>
      <c r="BVL53" s="10"/>
      <c r="BVM53" s="10"/>
      <c r="BVN53" s="10"/>
      <c r="BVO53" s="10"/>
      <c r="BVP53" s="10"/>
      <c r="BVQ53" s="10"/>
      <c r="BVR53" s="10"/>
      <c r="BVS53" s="10"/>
      <c r="BVT53" s="10"/>
      <c r="BVU53" s="10"/>
      <c r="BVV53" s="10"/>
      <c r="BVW53" s="10"/>
      <c r="BVX53" s="10"/>
      <c r="BVY53" s="10"/>
      <c r="BVZ53" s="10"/>
      <c r="BWA53" s="10"/>
      <c r="BWB53" s="10"/>
      <c r="BWC53" s="10"/>
      <c r="BWD53" s="10"/>
      <c r="BWE53" s="10"/>
      <c r="BWF53" s="10"/>
      <c r="BWG53" s="10"/>
      <c r="BWH53" s="10"/>
      <c r="BWI53" s="10"/>
      <c r="BWJ53" s="10"/>
      <c r="BWK53" s="10"/>
      <c r="BWL53" s="10"/>
      <c r="BWM53" s="10"/>
      <c r="BWN53" s="10"/>
      <c r="BWO53" s="10"/>
      <c r="BWP53" s="10"/>
      <c r="BWQ53" s="10"/>
      <c r="BWR53" s="10"/>
      <c r="BWS53" s="10"/>
      <c r="BWT53" s="10"/>
      <c r="BWU53" s="10"/>
      <c r="BWV53" s="10"/>
      <c r="BWW53" s="10"/>
      <c r="BWX53" s="10"/>
      <c r="BWY53" s="10"/>
      <c r="BWZ53" s="10"/>
      <c r="BXA53" s="10"/>
      <c r="BXB53" s="10"/>
      <c r="BXC53" s="10"/>
      <c r="BXD53" s="10"/>
      <c r="BXE53" s="10"/>
      <c r="BXF53" s="10"/>
      <c r="BXG53" s="10"/>
      <c r="BXH53" s="10"/>
      <c r="BXI53" s="10"/>
      <c r="BXJ53" s="10"/>
      <c r="BXK53" s="10"/>
      <c r="BXL53" s="10"/>
      <c r="BXM53" s="10"/>
      <c r="BXN53" s="10"/>
      <c r="BXO53" s="10"/>
      <c r="BXP53" s="10"/>
      <c r="BXQ53" s="10"/>
      <c r="BXR53" s="10"/>
      <c r="BXS53" s="10"/>
      <c r="BXT53" s="10"/>
      <c r="BXU53" s="10"/>
      <c r="BXV53" s="10"/>
      <c r="BXW53" s="10"/>
      <c r="BXX53" s="10"/>
      <c r="BXY53" s="10"/>
      <c r="BXZ53" s="10"/>
      <c r="BYA53" s="10"/>
      <c r="BYB53" s="10"/>
      <c r="BYC53" s="10"/>
      <c r="BYD53" s="10"/>
      <c r="BYE53" s="10"/>
      <c r="BYF53" s="10"/>
      <c r="BYG53" s="10"/>
      <c r="BYH53" s="10"/>
      <c r="BYI53" s="10"/>
      <c r="BYJ53" s="10"/>
      <c r="BYK53" s="10"/>
      <c r="BYL53" s="10"/>
      <c r="BYM53" s="10"/>
      <c r="BYN53" s="10"/>
      <c r="BYO53" s="10"/>
      <c r="BYP53" s="10"/>
      <c r="BYQ53" s="10"/>
      <c r="BYR53" s="10"/>
      <c r="BYS53" s="10"/>
      <c r="BYT53" s="10"/>
      <c r="BYU53" s="10"/>
      <c r="BYV53" s="10"/>
      <c r="BYW53" s="10"/>
      <c r="BYX53" s="10"/>
      <c r="BYY53" s="10"/>
      <c r="BYZ53" s="10"/>
      <c r="BZA53" s="10"/>
      <c r="BZB53" s="10"/>
      <c r="BZC53" s="10"/>
      <c r="BZD53" s="10"/>
      <c r="BZE53" s="10"/>
      <c r="BZF53" s="10"/>
      <c r="BZG53" s="10"/>
      <c r="BZH53" s="10"/>
      <c r="BZI53" s="10"/>
      <c r="BZJ53" s="10"/>
      <c r="BZK53" s="10"/>
      <c r="BZL53" s="10"/>
      <c r="BZM53" s="10"/>
      <c r="BZN53" s="10"/>
      <c r="BZO53" s="10"/>
      <c r="BZP53" s="10"/>
      <c r="BZQ53" s="10"/>
      <c r="BZR53" s="10"/>
      <c r="BZS53" s="10"/>
      <c r="BZT53" s="10"/>
      <c r="BZU53" s="10"/>
      <c r="BZV53" s="10"/>
      <c r="BZW53" s="10"/>
      <c r="BZX53" s="10"/>
      <c r="BZY53" s="10"/>
      <c r="BZZ53" s="10"/>
      <c r="CAA53" s="10"/>
      <c r="CAB53" s="10"/>
      <c r="CAC53" s="10"/>
      <c r="CAD53" s="10"/>
      <c r="CAE53" s="10"/>
      <c r="CAF53" s="10"/>
      <c r="CAG53" s="10"/>
      <c r="CAH53" s="10"/>
      <c r="CAI53" s="10"/>
      <c r="CAJ53" s="10"/>
      <c r="CAK53" s="10"/>
      <c r="CAL53" s="10"/>
      <c r="CAM53" s="10"/>
      <c r="CAN53" s="10"/>
      <c r="CAO53" s="10"/>
      <c r="CAP53" s="10"/>
      <c r="CAQ53" s="10"/>
      <c r="CAR53" s="10"/>
      <c r="CAS53" s="10"/>
      <c r="CAT53" s="10"/>
      <c r="CAU53" s="10"/>
      <c r="CAV53" s="10"/>
      <c r="CAW53" s="10"/>
      <c r="CAX53" s="10"/>
      <c r="CAY53" s="10"/>
      <c r="CAZ53" s="10"/>
      <c r="CBA53" s="10"/>
      <c r="CBB53" s="10"/>
      <c r="CBC53" s="10"/>
      <c r="CBD53" s="10"/>
      <c r="CBE53" s="10"/>
      <c r="CBF53" s="10"/>
      <c r="CBG53" s="10"/>
      <c r="CBH53" s="10"/>
      <c r="CBI53" s="10"/>
      <c r="CBJ53" s="10"/>
      <c r="CBK53" s="10"/>
      <c r="CBL53" s="10"/>
      <c r="CBM53" s="10"/>
      <c r="CBN53" s="10"/>
      <c r="CBO53" s="10"/>
      <c r="CBP53" s="10"/>
      <c r="CBQ53" s="10"/>
      <c r="CBR53" s="10"/>
      <c r="CBS53" s="10"/>
      <c r="CBT53" s="10"/>
      <c r="CBU53" s="10"/>
      <c r="CBV53" s="10"/>
      <c r="CBW53" s="10"/>
      <c r="CBX53" s="10"/>
      <c r="CBY53" s="10"/>
      <c r="CBZ53" s="10"/>
      <c r="CCA53" s="10"/>
      <c r="CCB53" s="10"/>
      <c r="CCC53" s="10"/>
      <c r="CCD53" s="10"/>
      <c r="CCE53" s="10"/>
      <c r="CCF53" s="10"/>
      <c r="CCG53" s="10"/>
      <c r="CCH53" s="10"/>
      <c r="CCI53" s="10"/>
      <c r="CCJ53" s="10"/>
      <c r="CCK53" s="10"/>
      <c r="CCL53" s="10"/>
      <c r="CCM53" s="10"/>
      <c r="CCN53" s="10"/>
      <c r="CCO53" s="10"/>
      <c r="CCP53" s="10"/>
      <c r="CCQ53" s="10"/>
      <c r="CCR53" s="10"/>
      <c r="CCS53" s="10"/>
      <c r="CCT53" s="10"/>
      <c r="CCU53" s="10"/>
      <c r="CCV53" s="10"/>
      <c r="CCW53" s="10"/>
      <c r="CCX53" s="10"/>
      <c r="CCY53" s="10"/>
      <c r="CCZ53" s="10"/>
      <c r="CDA53" s="10"/>
      <c r="CDB53" s="10"/>
      <c r="CDC53" s="10"/>
      <c r="CDD53" s="10"/>
      <c r="CDE53" s="10"/>
      <c r="CDF53" s="10"/>
      <c r="CDG53" s="10"/>
      <c r="CDH53" s="10"/>
      <c r="CDI53" s="10"/>
      <c r="CDJ53" s="10"/>
      <c r="CDK53" s="10"/>
      <c r="CDL53" s="10"/>
      <c r="CDM53" s="10"/>
      <c r="CDN53" s="10"/>
      <c r="CDO53" s="10"/>
      <c r="CDP53" s="10"/>
      <c r="CDQ53" s="10"/>
      <c r="CDR53" s="10"/>
      <c r="CDS53" s="10"/>
      <c r="CDT53" s="10"/>
      <c r="CDU53" s="10"/>
      <c r="CDV53" s="10"/>
      <c r="CDW53" s="10"/>
      <c r="CDX53" s="10"/>
      <c r="CDY53" s="10"/>
      <c r="CDZ53" s="10"/>
      <c r="CEA53" s="10"/>
      <c r="CEB53" s="10"/>
      <c r="CEC53" s="10"/>
      <c r="CED53" s="10"/>
      <c r="CEE53" s="10"/>
      <c r="CEF53" s="10"/>
      <c r="CEG53" s="10"/>
      <c r="CEH53" s="10"/>
      <c r="CEI53" s="10"/>
      <c r="CEJ53" s="10"/>
      <c r="CEK53" s="10"/>
      <c r="CEL53" s="10"/>
      <c r="CEM53" s="10"/>
      <c r="CEN53" s="10"/>
      <c r="CEO53" s="10"/>
      <c r="CEP53" s="10"/>
      <c r="CEQ53" s="10"/>
      <c r="CER53" s="10"/>
      <c r="CES53" s="10"/>
      <c r="CET53" s="10"/>
      <c r="CEU53" s="10"/>
      <c r="CEV53" s="10"/>
      <c r="CEW53" s="10"/>
      <c r="CEX53" s="10"/>
      <c r="CEY53" s="10"/>
      <c r="CEZ53" s="10"/>
      <c r="CFA53" s="10"/>
      <c r="CFB53" s="10"/>
      <c r="CFC53" s="10"/>
      <c r="CFD53" s="10"/>
      <c r="CFE53" s="10"/>
      <c r="CFF53" s="10"/>
      <c r="CFG53" s="10"/>
      <c r="CFH53" s="10"/>
      <c r="CFI53" s="10"/>
      <c r="CFJ53" s="10"/>
      <c r="CFK53" s="10"/>
      <c r="CFL53" s="10"/>
      <c r="CFM53" s="10"/>
      <c r="CFN53" s="10"/>
      <c r="CFO53" s="10"/>
      <c r="CFP53" s="10"/>
      <c r="CFQ53" s="10"/>
      <c r="CFR53" s="10"/>
      <c r="CFS53" s="10"/>
      <c r="CFT53" s="10"/>
      <c r="CFU53" s="10"/>
      <c r="CFV53" s="10"/>
      <c r="CFW53" s="10"/>
      <c r="CFX53" s="10"/>
      <c r="CFY53" s="10"/>
      <c r="CFZ53" s="10"/>
      <c r="CGA53" s="10"/>
      <c r="CGB53" s="10"/>
      <c r="CGC53" s="10"/>
      <c r="CGD53" s="10"/>
      <c r="CGE53" s="10"/>
      <c r="CGF53" s="10"/>
      <c r="CGG53" s="10"/>
      <c r="CGH53" s="10"/>
      <c r="CGI53" s="10"/>
      <c r="CGJ53" s="10"/>
      <c r="CGK53" s="10"/>
      <c r="CGL53" s="10"/>
      <c r="CGM53" s="10"/>
      <c r="CGN53" s="10"/>
      <c r="CGO53" s="10"/>
      <c r="CGP53" s="10"/>
      <c r="CGQ53" s="10"/>
      <c r="CGR53" s="10"/>
      <c r="CGS53" s="10"/>
      <c r="CGT53" s="10"/>
      <c r="CGU53" s="10"/>
      <c r="CGV53" s="10"/>
      <c r="CGW53" s="10"/>
      <c r="CGX53" s="10"/>
      <c r="CGY53" s="10"/>
      <c r="CGZ53" s="10"/>
      <c r="CHA53" s="10"/>
      <c r="CHB53" s="10"/>
      <c r="CHC53" s="10"/>
      <c r="CHD53" s="10"/>
      <c r="CHE53" s="10"/>
      <c r="CHF53" s="10"/>
      <c r="CHG53" s="10"/>
      <c r="CHH53" s="10"/>
      <c r="CHI53" s="10"/>
      <c r="CHJ53" s="10"/>
      <c r="CHK53" s="10"/>
      <c r="CHL53" s="10"/>
      <c r="CHM53" s="10"/>
      <c r="CHN53" s="10"/>
      <c r="CHO53" s="10"/>
      <c r="CHP53" s="10"/>
      <c r="CHQ53" s="10"/>
      <c r="CHR53" s="10"/>
      <c r="CHS53" s="10"/>
      <c r="CHT53" s="10"/>
      <c r="CHU53" s="10"/>
      <c r="CHV53" s="10"/>
      <c r="CHW53" s="10"/>
      <c r="CHX53" s="10"/>
      <c r="CHY53" s="10"/>
      <c r="CHZ53" s="10"/>
      <c r="CIA53" s="10"/>
      <c r="CIB53" s="10"/>
      <c r="CIC53" s="10"/>
      <c r="CID53" s="10"/>
      <c r="CIE53" s="10"/>
      <c r="CIF53" s="10"/>
      <c r="CIG53" s="10"/>
      <c r="CIH53" s="10"/>
      <c r="CII53" s="10"/>
      <c r="CIJ53" s="10"/>
      <c r="CIK53" s="10"/>
      <c r="CIL53" s="10"/>
      <c r="CIM53" s="10"/>
      <c r="CIN53" s="10"/>
      <c r="CIO53" s="10"/>
      <c r="CIP53" s="10"/>
      <c r="CIQ53" s="10"/>
      <c r="CIR53" s="10"/>
      <c r="CIS53" s="10"/>
      <c r="CIT53" s="10"/>
      <c r="CIU53" s="10"/>
      <c r="CIV53" s="10"/>
      <c r="CIW53" s="10"/>
      <c r="CIX53" s="10"/>
      <c r="CIY53" s="10"/>
      <c r="CIZ53" s="10"/>
      <c r="CJA53" s="10"/>
      <c r="CJB53" s="10"/>
      <c r="CJC53" s="10"/>
      <c r="CJD53" s="10"/>
      <c r="CJE53" s="10"/>
      <c r="CJF53" s="10"/>
      <c r="CJG53" s="10"/>
      <c r="CJH53" s="10"/>
      <c r="CJI53" s="10"/>
      <c r="CJJ53" s="10"/>
      <c r="CJK53" s="10"/>
      <c r="CJL53" s="10"/>
      <c r="CJM53" s="10"/>
      <c r="CJN53" s="10"/>
      <c r="CJO53" s="10"/>
      <c r="CJP53" s="10"/>
      <c r="CJQ53" s="10"/>
      <c r="CJR53" s="10"/>
      <c r="CJS53" s="10"/>
      <c r="CJT53" s="10"/>
      <c r="CJU53" s="10"/>
      <c r="CJV53" s="10"/>
      <c r="CJW53" s="10"/>
      <c r="CJX53" s="10"/>
      <c r="CJY53" s="10"/>
      <c r="CJZ53" s="10"/>
      <c r="CKA53" s="10"/>
      <c r="CKB53" s="10"/>
      <c r="CKC53" s="10"/>
      <c r="CKD53" s="10"/>
      <c r="CKE53" s="10"/>
      <c r="CKF53" s="10"/>
      <c r="CKG53" s="10"/>
      <c r="CKH53" s="10"/>
      <c r="CKI53" s="10"/>
      <c r="CKJ53" s="10"/>
      <c r="CKK53" s="10"/>
      <c r="CKL53" s="10"/>
      <c r="CKM53" s="10"/>
      <c r="CKN53" s="10"/>
      <c r="CKO53" s="10"/>
      <c r="CKP53" s="10"/>
      <c r="CKQ53" s="10"/>
      <c r="CKR53" s="10"/>
      <c r="CKS53" s="10"/>
      <c r="CKT53" s="10"/>
      <c r="CKU53" s="10"/>
      <c r="CKV53" s="10"/>
      <c r="CKW53" s="10"/>
      <c r="CKX53" s="10"/>
      <c r="CKY53" s="10"/>
      <c r="CKZ53" s="10"/>
      <c r="CLA53" s="10"/>
      <c r="CLB53" s="10"/>
      <c r="CLC53" s="10"/>
      <c r="CLD53" s="10"/>
      <c r="CLE53" s="10"/>
      <c r="CLF53" s="10"/>
      <c r="CLG53" s="10"/>
      <c r="CLH53" s="10"/>
      <c r="CLI53" s="10"/>
      <c r="CLJ53" s="10"/>
      <c r="CLK53" s="10"/>
      <c r="CLL53" s="10"/>
      <c r="CLM53" s="10"/>
      <c r="CLN53" s="10"/>
      <c r="CLO53" s="10"/>
      <c r="CLP53" s="10"/>
      <c r="CLQ53" s="10"/>
      <c r="CLR53" s="10"/>
      <c r="CLS53" s="10"/>
      <c r="CLT53" s="10"/>
      <c r="CLU53" s="10"/>
      <c r="CLV53" s="10"/>
      <c r="CLW53" s="10"/>
      <c r="CLX53" s="10"/>
      <c r="CLY53" s="10"/>
      <c r="CLZ53" s="10"/>
      <c r="CMA53" s="10"/>
      <c r="CMB53" s="10"/>
      <c r="CMC53" s="10"/>
      <c r="CMD53" s="10"/>
      <c r="CME53" s="10"/>
      <c r="CMF53" s="10"/>
      <c r="CMG53" s="10"/>
      <c r="CMH53" s="10"/>
      <c r="CMI53" s="10"/>
      <c r="CMJ53" s="10"/>
      <c r="CMK53" s="10"/>
      <c r="CML53" s="10"/>
      <c r="CMM53" s="10"/>
      <c r="CMN53" s="10"/>
      <c r="CMO53" s="10"/>
      <c r="CMP53" s="10"/>
      <c r="CMQ53" s="10"/>
      <c r="CMR53" s="10"/>
      <c r="CMS53" s="10"/>
      <c r="CMT53" s="10"/>
      <c r="CMU53" s="10"/>
      <c r="CMV53" s="10"/>
      <c r="CMW53" s="10"/>
      <c r="CMX53" s="10"/>
      <c r="CMY53" s="10"/>
      <c r="CMZ53" s="10"/>
      <c r="CNA53" s="10"/>
      <c r="CNB53" s="10"/>
      <c r="CNC53" s="10"/>
      <c r="CND53" s="10"/>
      <c r="CNE53" s="10"/>
      <c r="CNF53" s="10"/>
      <c r="CNG53" s="10"/>
      <c r="CNH53" s="10"/>
      <c r="CNI53" s="10"/>
      <c r="CNJ53" s="10"/>
      <c r="CNK53" s="10"/>
      <c r="CNL53" s="10"/>
      <c r="CNM53" s="10"/>
      <c r="CNN53" s="10"/>
      <c r="CNO53" s="10"/>
      <c r="CNP53" s="10"/>
      <c r="CNQ53" s="10"/>
      <c r="CNR53" s="10"/>
      <c r="CNS53" s="10"/>
      <c r="CNT53" s="10"/>
      <c r="CNU53" s="10"/>
      <c r="CNV53" s="10"/>
      <c r="CNW53" s="10"/>
      <c r="CNX53" s="10"/>
      <c r="CNY53" s="10"/>
      <c r="CNZ53" s="10"/>
      <c r="COA53" s="10"/>
      <c r="COB53" s="10"/>
      <c r="COC53" s="10"/>
      <c r="COD53" s="10"/>
      <c r="COE53" s="10"/>
      <c r="COF53" s="10"/>
      <c r="COG53" s="10"/>
      <c r="COH53" s="10"/>
      <c r="COI53" s="10"/>
      <c r="COJ53" s="10"/>
      <c r="COK53" s="10"/>
      <c r="COL53" s="10"/>
      <c r="COM53" s="10"/>
      <c r="CON53" s="10"/>
      <c r="COO53" s="10"/>
      <c r="COP53" s="10"/>
      <c r="COQ53" s="10"/>
      <c r="COR53" s="10"/>
      <c r="COS53" s="10"/>
      <c r="COT53" s="10"/>
      <c r="COU53" s="10"/>
      <c r="COV53" s="10"/>
      <c r="COW53" s="10"/>
      <c r="COX53" s="10"/>
      <c r="COY53" s="10"/>
      <c r="COZ53" s="10"/>
      <c r="CPA53" s="10"/>
      <c r="CPB53" s="10"/>
      <c r="CPC53" s="10"/>
      <c r="CPD53" s="10"/>
      <c r="CPE53" s="10"/>
      <c r="CPF53" s="10"/>
      <c r="CPG53" s="10"/>
      <c r="CPH53" s="10"/>
      <c r="CPI53" s="10"/>
      <c r="CPJ53" s="10"/>
      <c r="CPK53" s="10"/>
      <c r="CPL53" s="10"/>
      <c r="CPM53" s="10"/>
      <c r="CPN53" s="10"/>
      <c r="CPO53" s="10"/>
      <c r="CPP53" s="10"/>
      <c r="CPQ53" s="10"/>
      <c r="CPR53" s="10"/>
      <c r="CPS53" s="10"/>
      <c r="CPT53" s="10"/>
      <c r="CPU53" s="10"/>
      <c r="CPV53" s="10"/>
      <c r="CPW53" s="10"/>
      <c r="CPX53" s="10"/>
      <c r="CPY53" s="10"/>
      <c r="CPZ53" s="10"/>
      <c r="CQA53" s="10"/>
      <c r="CQB53" s="10"/>
      <c r="CQC53" s="10"/>
      <c r="CQD53" s="10"/>
      <c r="CQE53" s="10"/>
      <c r="CQF53" s="10"/>
      <c r="CQG53" s="10"/>
      <c r="CQH53" s="10"/>
      <c r="CQI53" s="10"/>
      <c r="CQJ53" s="10"/>
      <c r="CQK53" s="10"/>
      <c r="CQL53" s="10"/>
      <c r="CQM53" s="10"/>
      <c r="CQN53" s="10"/>
      <c r="CQO53" s="10"/>
      <c r="CQP53" s="10"/>
      <c r="CQQ53" s="10"/>
      <c r="CQR53" s="10"/>
      <c r="CQS53" s="10"/>
      <c r="CQT53" s="10"/>
      <c r="CQU53" s="10"/>
      <c r="CQV53" s="10"/>
      <c r="CQW53" s="10"/>
      <c r="CQX53" s="10"/>
      <c r="CQY53" s="10"/>
      <c r="CQZ53" s="10"/>
      <c r="CRA53" s="10"/>
      <c r="CRB53" s="10"/>
      <c r="CRC53" s="10"/>
      <c r="CRD53" s="10"/>
      <c r="CRE53" s="10"/>
      <c r="CRF53" s="10"/>
      <c r="CRG53" s="10"/>
      <c r="CRH53" s="10"/>
      <c r="CRI53" s="10"/>
      <c r="CRJ53" s="10"/>
      <c r="CRK53" s="10"/>
      <c r="CRL53" s="10"/>
      <c r="CRM53" s="10"/>
      <c r="CRN53" s="10"/>
      <c r="CRO53" s="10"/>
      <c r="CRP53" s="10"/>
      <c r="CRQ53" s="10"/>
      <c r="CRR53" s="10"/>
      <c r="CRS53" s="10"/>
      <c r="CRT53" s="10"/>
      <c r="CRU53" s="10"/>
      <c r="CRV53" s="10"/>
      <c r="CRW53" s="10"/>
      <c r="CRX53" s="10"/>
      <c r="CRY53" s="10"/>
      <c r="CRZ53" s="10"/>
      <c r="CSA53" s="10"/>
      <c r="CSB53" s="10"/>
      <c r="CSC53" s="10"/>
      <c r="CSD53" s="10"/>
      <c r="CSE53" s="10"/>
      <c r="CSF53" s="10"/>
      <c r="CSG53" s="10"/>
      <c r="CSH53" s="10"/>
      <c r="CSI53" s="10"/>
      <c r="CSJ53" s="10"/>
      <c r="CSK53" s="10"/>
      <c r="CSL53" s="10"/>
      <c r="CSM53" s="10"/>
      <c r="CSN53" s="10"/>
      <c r="CSO53" s="10"/>
      <c r="CSP53" s="10"/>
      <c r="CSQ53" s="10"/>
      <c r="CSR53" s="10"/>
      <c r="CSS53" s="10"/>
      <c r="CST53" s="10"/>
      <c r="CSU53" s="10"/>
      <c r="CSV53" s="10"/>
      <c r="CSW53" s="10"/>
      <c r="CSX53" s="10"/>
      <c r="CSY53" s="10"/>
      <c r="CSZ53" s="10"/>
      <c r="CTA53" s="10"/>
      <c r="CTB53" s="10"/>
      <c r="CTC53" s="10"/>
      <c r="CTD53" s="10"/>
      <c r="CTE53" s="10"/>
      <c r="CTF53" s="10"/>
      <c r="CTG53" s="10"/>
      <c r="CTH53" s="10"/>
      <c r="CTI53" s="10"/>
      <c r="CTJ53" s="10"/>
      <c r="CTK53" s="10"/>
      <c r="CTL53" s="10"/>
      <c r="CTM53" s="10"/>
      <c r="CTN53" s="10"/>
      <c r="CTO53" s="10"/>
      <c r="CTP53" s="10"/>
      <c r="CTQ53" s="10"/>
      <c r="CTR53" s="10"/>
      <c r="CTS53" s="10"/>
      <c r="CTT53" s="10"/>
      <c r="CTU53" s="10"/>
      <c r="CTV53" s="10"/>
      <c r="CTW53" s="10"/>
      <c r="CTX53" s="10"/>
      <c r="CTY53" s="10"/>
      <c r="CTZ53" s="10"/>
      <c r="CUA53" s="10"/>
      <c r="CUB53" s="10"/>
      <c r="CUC53" s="10"/>
      <c r="CUD53" s="10"/>
      <c r="CUE53" s="10"/>
      <c r="CUF53" s="10"/>
      <c r="CUG53" s="10"/>
      <c r="CUH53" s="10"/>
      <c r="CUI53" s="10"/>
      <c r="CUJ53" s="10"/>
      <c r="CUK53" s="10"/>
      <c r="CUL53" s="10"/>
      <c r="CUM53" s="10"/>
      <c r="CUN53" s="10"/>
      <c r="CUO53" s="10"/>
      <c r="CUP53" s="10"/>
      <c r="CUQ53" s="10"/>
      <c r="CUR53" s="10"/>
      <c r="CUS53" s="10"/>
      <c r="CUT53" s="10"/>
      <c r="CUU53" s="10"/>
      <c r="CUV53" s="10"/>
      <c r="CUW53" s="10"/>
      <c r="CUX53" s="10"/>
      <c r="CUY53" s="10"/>
      <c r="CUZ53" s="10"/>
      <c r="CVA53" s="10"/>
      <c r="CVB53" s="10"/>
      <c r="CVC53" s="10"/>
      <c r="CVD53" s="10"/>
      <c r="CVE53" s="10"/>
      <c r="CVF53" s="10"/>
      <c r="CVG53" s="10"/>
      <c r="CVH53" s="10"/>
      <c r="CVI53" s="10"/>
      <c r="CVJ53" s="10"/>
      <c r="CVK53" s="10"/>
      <c r="CVL53" s="10"/>
      <c r="CVM53" s="10"/>
      <c r="CVN53" s="10"/>
      <c r="CVO53" s="10"/>
      <c r="CVP53" s="10"/>
      <c r="CVQ53" s="10"/>
      <c r="CVR53" s="10"/>
      <c r="CVS53" s="10"/>
      <c r="CVT53" s="10"/>
      <c r="CVU53" s="10"/>
      <c r="CVV53" s="10"/>
      <c r="CVW53" s="10"/>
      <c r="CVX53" s="10"/>
      <c r="CVY53" s="10"/>
      <c r="CVZ53" s="10"/>
      <c r="CWA53" s="10"/>
      <c r="CWB53" s="10"/>
      <c r="CWC53" s="10"/>
      <c r="CWD53" s="10"/>
      <c r="CWE53" s="10"/>
      <c r="CWF53" s="10"/>
      <c r="CWG53" s="10"/>
      <c r="CWH53" s="10"/>
      <c r="CWI53" s="10"/>
      <c r="CWJ53" s="10"/>
      <c r="CWK53" s="10"/>
      <c r="CWL53" s="10"/>
      <c r="CWM53" s="10"/>
      <c r="CWN53" s="10"/>
      <c r="CWO53" s="10"/>
      <c r="CWP53" s="10"/>
      <c r="CWQ53" s="10"/>
      <c r="CWR53" s="10"/>
      <c r="CWS53" s="10"/>
      <c r="CWT53" s="10"/>
      <c r="CWU53" s="10"/>
      <c r="CWV53" s="10"/>
      <c r="CWW53" s="10"/>
      <c r="CWX53" s="10"/>
      <c r="CWY53" s="10"/>
      <c r="CWZ53" s="10"/>
      <c r="CXA53" s="10"/>
      <c r="CXB53" s="10"/>
      <c r="CXC53" s="10"/>
      <c r="CXD53" s="10"/>
      <c r="CXE53" s="10"/>
      <c r="CXF53" s="10"/>
      <c r="CXG53" s="10"/>
      <c r="CXH53" s="10"/>
      <c r="CXI53" s="10"/>
      <c r="CXJ53" s="10"/>
      <c r="CXK53" s="10"/>
      <c r="CXL53" s="10"/>
      <c r="CXM53" s="10"/>
      <c r="CXN53" s="10"/>
      <c r="CXO53" s="10"/>
      <c r="CXP53" s="10"/>
      <c r="CXQ53" s="10"/>
      <c r="CXR53" s="10"/>
      <c r="CXS53" s="10"/>
      <c r="CXT53" s="10"/>
      <c r="CXU53" s="10"/>
      <c r="CXV53" s="10"/>
      <c r="CXW53" s="10"/>
      <c r="CXX53" s="10"/>
      <c r="CXY53" s="10"/>
      <c r="CXZ53" s="10"/>
      <c r="CYA53" s="10"/>
      <c r="CYB53" s="10"/>
      <c r="CYC53" s="10"/>
      <c r="CYD53" s="10"/>
      <c r="CYE53" s="10"/>
      <c r="CYF53" s="10"/>
      <c r="CYG53" s="10"/>
      <c r="CYH53" s="10"/>
      <c r="CYI53" s="10"/>
      <c r="CYJ53" s="10"/>
      <c r="CYK53" s="10"/>
      <c r="CYL53" s="10"/>
      <c r="CYM53" s="10"/>
      <c r="CYN53" s="10"/>
      <c r="CYO53" s="10"/>
      <c r="CYP53" s="10"/>
      <c r="CYQ53" s="10"/>
      <c r="CYR53" s="10"/>
      <c r="CYS53" s="10"/>
      <c r="CYT53" s="10"/>
      <c r="CYU53" s="10"/>
      <c r="CYV53" s="10"/>
      <c r="CYW53" s="10"/>
      <c r="CYX53" s="10"/>
      <c r="CYY53" s="10"/>
      <c r="CYZ53" s="10"/>
      <c r="CZA53" s="10"/>
      <c r="CZB53" s="10"/>
      <c r="CZC53" s="10"/>
      <c r="CZD53" s="10"/>
      <c r="CZE53" s="10"/>
      <c r="CZF53" s="10"/>
      <c r="CZG53" s="10"/>
      <c r="CZH53" s="10"/>
      <c r="CZI53" s="10"/>
      <c r="CZJ53" s="10"/>
      <c r="CZK53" s="10"/>
      <c r="CZL53" s="10"/>
      <c r="CZM53" s="10"/>
      <c r="CZN53" s="10"/>
      <c r="CZO53" s="10"/>
      <c r="CZP53" s="10"/>
      <c r="CZQ53" s="10"/>
      <c r="CZR53" s="10"/>
      <c r="CZS53" s="10"/>
      <c r="CZT53" s="10"/>
      <c r="CZU53" s="10"/>
      <c r="CZV53" s="10"/>
      <c r="CZW53" s="10"/>
      <c r="CZX53" s="10"/>
      <c r="CZY53" s="10"/>
      <c r="CZZ53" s="10"/>
      <c r="DAA53" s="10"/>
      <c r="DAB53" s="10"/>
      <c r="DAC53" s="10"/>
      <c r="DAD53" s="10"/>
      <c r="DAE53" s="10"/>
      <c r="DAF53" s="10"/>
      <c r="DAG53" s="10"/>
      <c r="DAH53" s="10"/>
      <c r="DAI53" s="10"/>
      <c r="DAJ53" s="10"/>
      <c r="DAK53" s="10"/>
      <c r="DAL53" s="10"/>
      <c r="DAM53" s="10"/>
      <c r="DAN53" s="10"/>
      <c r="DAO53" s="10"/>
      <c r="DAP53" s="10"/>
      <c r="DAQ53" s="10"/>
      <c r="DAR53" s="10"/>
      <c r="DAS53" s="10"/>
      <c r="DAT53" s="10"/>
      <c r="DAU53" s="10"/>
      <c r="DAV53" s="10"/>
      <c r="DAW53" s="10"/>
      <c r="DAX53" s="10"/>
      <c r="DAY53" s="10"/>
      <c r="DAZ53" s="10"/>
      <c r="DBA53" s="10"/>
      <c r="DBB53" s="10"/>
      <c r="DBC53" s="10"/>
      <c r="DBD53" s="10"/>
      <c r="DBE53" s="10"/>
      <c r="DBF53" s="10"/>
      <c r="DBG53" s="10"/>
      <c r="DBH53" s="10"/>
      <c r="DBI53" s="10"/>
      <c r="DBJ53" s="10"/>
      <c r="DBK53" s="10"/>
      <c r="DBL53" s="10"/>
      <c r="DBM53" s="10"/>
      <c r="DBN53" s="10"/>
      <c r="DBO53" s="10"/>
      <c r="DBP53" s="10"/>
      <c r="DBQ53" s="10"/>
      <c r="DBR53" s="10"/>
      <c r="DBS53" s="10"/>
      <c r="DBT53" s="10"/>
      <c r="DBU53" s="10"/>
      <c r="DBV53" s="10"/>
      <c r="DBW53" s="10"/>
      <c r="DBX53" s="10"/>
      <c r="DBY53" s="10"/>
      <c r="DBZ53" s="10"/>
      <c r="DCA53" s="10"/>
      <c r="DCB53" s="10"/>
      <c r="DCC53" s="10"/>
      <c r="DCD53" s="10"/>
      <c r="DCE53" s="10"/>
      <c r="DCF53" s="10"/>
      <c r="DCG53" s="10"/>
      <c r="DCH53" s="10"/>
      <c r="DCI53" s="10"/>
      <c r="DCJ53" s="10"/>
      <c r="DCK53" s="10"/>
      <c r="DCL53" s="10"/>
      <c r="DCM53" s="10"/>
      <c r="DCN53" s="10"/>
      <c r="DCO53" s="10"/>
      <c r="DCP53" s="10"/>
      <c r="DCQ53" s="10"/>
      <c r="DCR53" s="10"/>
      <c r="DCS53" s="10"/>
      <c r="DCT53" s="10"/>
      <c r="DCU53" s="10"/>
      <c r="DCV53" s="10"/>
      <c r="DCW53" s="10"/>
      <c r="DCX53" s="10"/>
      <c r="DCY53" s="10"/>
      <c r="DCZ53" s="10"/>
      <c r="DDA53" s="10"/>
      <c r="DDB53" s="10"/>
      <c r="DDC53" s="10"/>
      <c r="DDD53" s="10"/>
      <c r="DDE53" s="10"/>
      <c r="DDF53" s="10"/>
      <c r="DDG53" s="10"/>
      <c r="DDH53" s="10"/>
      <c r="DDI53" s="10"/>
      <c r="DDJ53" s="10"/>
      <c r="DDK53" s="10"/>
      <c r="DDL53" s="10"/>
      <c r="DDM53" s="10"/>
      <c r="DDN53" s="10"/>
      <c r="DDO53" s="10"/>
      <c r="DDP53" s="10"/>
      <c r="DDQ53" s="10"/>
      <c r="DDR53" s="10"/>
      <c r="DDS53" s="10"/>
      <c r="DDT53" s="10"/>
      <c r="DDU53" s="10"/>
      <c r="DDV53" s="10"/>
      <c r="DDW53" s="10"/>
      <c r="DDX53" s="10"/>
      <c r="DDY53" s="10"/>
      <c r="DDZ53" s="10"/>
      <c r="DEA53" s="10"/>
      <c r="DEB53" s="10"/>
      <c r="DEC53" s="10"/>
      <c r="DED53" s="10"/>
      <c r="DEE53" s="10"/>
      <c r="DEF53" s="10"/>
      <c r="DEG53" s="10"/>
      <c r="DEH53" s="10"/>
      <c r="DEI53" s="10"/>
      <c r="DEJ53" s="10"/>
      <c r="DEK53" s="10"/>
      <c r="DEL53" s="10"/>
      <c r="DEM53" s="10"/>
      <c r="DEN53" s="10"/>
      <c r="DEO53" s="10"/>
      <c r="DEP53" s="10"/>
      <c r="DEQ53" s="10"/>
      <c r="DER53" s="10"/>
      <c r="DES53" s="10"/>
      <c r="DET53" s="10"/>
      <c r="DEU53" s="10"/>
      <c r="DEV53" s="10"/>
      <c r="DEW53" s="10"/>
      <c r="DEX53" s="10"/>
      <c r="DEY53" s="10"/>
      <c r="DEZ53" s="10"/>
      <c r="DFA53" s="10"/>
      <c r="DFB53" s="10"/>
      <c r="DFC53" s="10"/>
      <c r="DFD53" s="10"/>
      <c r="DFE53" s="10"/>
      <c r="DFF53" s="10"/>
      <c r="DFG53" s="10"/>
      <c r="DFH53" s="10"/>
      <c r="DFI53" s="10"/>
      <c r="DFJ53" s="10"/>
      <c r="DFK53" s="10"/>
      <c r="DFL53" s="10"/>
      <c r="DFM53" s="10"/>
      <c r="DFN53" s="10"/>
      <c r="DFO53" s="10"/>
      <c r="DFP53" s="10"/>
      <c r="DFQ53" s="10"/>
      <c r="DFR53" s="10"/>
      <c r="DFS53" s="10"/>
      <c r="DFT53" s="10"/>
      <c r="DFU53" s="10"/>
      <c r="DFV53" s="10"/>
      <c r="DFW53" s="10"/>
      <c r="DFX53" s="10"/>
      <c r="DFY53" s="10"/>
      <c r="DFZ53" s="10"/>
      <c r="DGA53" s="10"/>
      <c r="DGB53" s="10"/>
      <c r="DGC53" s="10"/>
      <c r="DGD53" s="10"/>
      <c r="DGE53" s="10"/>
      <c r="DGF53" s="10"/>
      <c r="DGG53" s="10"/>
      <c r="DGH53" s="10"/>
      <c r="DGI53" s="10"/>
      <c r="DGJ53" s="10"/>
      <c r="DGK53" s="10"/>
      <c r="DGL53" s="10"/>
      <c r="DGM53" s="10"/>
      <c r="DGN53" s="10"/>
      <c r="DGO53" s="10"/>
      <c r="DGP53" s="10"/>
      <c r="DGQ53" s="10"/>
      <c r="DGR53" s="10"/>
      <c r="DGS53" s="10"/>
      <c r="DGT53" s="10"/>
      <c r="DGU53" s="10"/>
      <c r="DGV53" s="10"/>
      <c r="DGW53" s="10"/>
      <c r="DGX53" s="10"/>
      <c r="DGY53" s="10"/>
      <c r="DGZ53" s="10"/>
      <c r="DHA53" s="10"/>
      <c r="DHB53" s="10"/>
      <c r="DHC53" s="10"/>
      <c r="DHD53" s="10"/>
      <c r="DHE53" s="10"/>
      <c r="DHF53" s="10"/>
      <c r="DHG53" s="10"/>
      <c r="DHH53" s="10"/>
      <c r="DHI53" s="10"/>
      <c r="DHJ53" s="10"/>
      <c r="DHK53" s="10"/>
      <c r="DHL53" s="10"/>
      <c r="DHM53" s="10"/>
      <c r="DHN53" s="10"/>
      <c r="DHO53" s="10"/>
      <c r="DHP53" s="10"/>
      <c r="DHQ53" s="10"/>
      <c r="DHR53" s="10"/>
      <c r="DHS53" s="10"/>
      <c r="DHT53" s="10"/>
      <c r="DHU53" s="10"/>
      <c r="DHV53" s="10"/>
      <c r="DHW53" s="10"/>
      <c r="DHX53" s="10"/>
      <c r="DHY53" s="10"/>
      <c r="DHZ53" s="10"/>
      <c r="DIA53" s="10"/>
      <c r="DIB53" s="10"/>
      <c r="DIC53" s="10"/>
      <c r="DID53" s="10"/>
      <c r="DIE53" s="10"/>
      <c r="DIF53" s="10"/>
      <c r="DIG53" s="10"/>
      <c r="DIH53" s="10"/>
      <c r="DII53" s="10"/>
      <c r="DIJ53" s="10"/>
      <c r="DIK53" s="10"/>
      <c r="DIL53" s="10"/>
      <c r="DIM53" s="10"/>
      <c r="DIN53" s="10"/>
      <c r="DIO53" s="10"/>
      <c r="DIP53" s="10"/>
      <c r="DIQ53" s="10"/>
      <c r="DIR53" s="10"/>
      <c r="DIS53" s="10"/>
      <c r="DIT53" s="10"/>
      <c r="DIU53" s="10"/>
      <c r="DIV53" s="10"/>
      <c r="DIW53" s="10"/>
      <c r="DIX53" s="10"/>
      <c r="DIY53" s="10"/>
      <c r="DIZ53" s="10"/>
      <c r="DJA53" s="10"/>
      <c r="DJB53" s="10"/>
      <c r="DJC53" s="10"/>
      <c r="DJD53" s="10"/>
      <c r="DJE53" s="10"/>
      <c r="DJF53" s="10"/>
      <c r="DJG53" s="10"/>
      <c r="DJH53" s="10"/>
      <c r="DJI53" s="10"/>
      <c r="DJJ53" s="10"/>
      <c r="DJK53" s="10"/>
      <c r="DJL53" s="10"/>
      <c r="DJM53" s="10"/>
      <c r="DJN53" s="10"/>
      <c r="DJO53" s="10"/>
      <c r="DJP53" s="10"/>
      <c r="DJQ53" s="10"/>
      <c r="DJR53" s="10"/>
      <c r="DJS53" s="10"/>
      <c r="DJT53" s="10"/>
      <c r="DJU53" s="10"/>
      <c r="DJV53" s="10"/>
      <c r="DJW53" s="10"/>
      <c r="DJX53" s="10"/>
      <c r="DJY53" s="10"/>
      <c r="DJZ53" s="10"/>
      <c r="DKA53" s="10"/>
      <c r="DKB53" s="10"/>
      <c r="DKC53" s="10"/>
      <c r="DKD53" s="10"/>
      <c r="DKE53" s="10"/>
      <c r="DKF53" s="10"/>
      <c r="DKG53" s="10"/>
      <c r="DKH53" s="10"/>
      <c r="DKI53" s="10"/>
      <c r="DKJ53" s="10"/>
      <c r="DKK53" s="10"/>
      <c r="DKL53" s="10"/>
      <c r="DKM53" s="10"/>
      <c r="DKN53" s="10"/>
      <c r="DKO53" s="10"/>
      <c r="DKP53" s="10"/>
      <c r="DKQ53" s="10"/>
      <c r="DKR53" s="10"/>
      <c r="DKS53" s="10"/>
      <c r="DKT53" s="10"/>
      <c r="DKU53" s="10"/>
      <c r="DKV53" s="10"/>
      <c r="DKW53" s="10"/>
      <c r="DKX53" s="10"/>
      <c r="DKY53" s="10"/>
      <c r="DKZ53" s="10"/>
      <c r="DLA53" s="10"/>
      <c r="DLB53" s="10"/>
      <c r="DLC53" s="10"/>
      <c r="DLD53" s="10"/>
      <c r="DLE53" s="10"/>
      <c r="DLF53" s="10"/>
      <c r="DLG53" s="10"/>
      <c r="DLH53" s="10"/>
      <c r="DLI53" s="10"/>
      <c r="DLJ53" s="10"/>
      <c r="DLK53" s="10"/>
      <c r="DLL53" s="10"/>
      <c r="DLM53" s="10"/>
      <c r="DLN53" s="10"/>
      <c r="DLO53" s="10"/>
      <c r="DLP53" s="10"/>
      <c r="DLQ53" s="10"/>
      <c r="DLR53" s="10"/>
      <c r="DLS53" s="10"/>
      <c r="DLT53" s="10"/>
      <c r="DLU53" s="10"/>
      <c r="DLV53" s="10"/>
      <c r="DLW53" s="10"/>
      <c r="DLX53" s="10"/>
      <c r="DLY53" s="10"/>
      <c r="DLZ53" s="10"/>
      <c r="DMA53" s="10"/>
      <c r="DMB53" s="10"/>
      <c r="DMC53" s="10"/>
      <c r="DMD53" s="10"/>
      <c r="DME53" s="10"/>
      <c r="DMF53" s="10"/>
      <c r="DMG53" s="10"/>
      <c r="DMH53" s="10"/>
      <c r="DMI53" s="10"/>
      <c r="DMJ53" s="10"/>
      <c r="DMK53" s="10"/>
      <c r="DML53" s="10"/>
      <c r="DMM53" s="10"/>
      <c r="DMN53" s="10"/>
      <c r="DMO53" s="10"/>
      <c r="DMP53" s="10"/>
      <c r="DMQ53" s="10"/>
      <c r="DMR53" s="10"/>
      <c r="DMS53" s="10"/>
      <c r="DMT53" s="10"/>
      <c r="DMU53" s="10"/>
      <c r="DMV53" s="10"/>
      <c r="DMW53" s="10"/>
      <c r="DMX53" s="10"/>
      <c r="DMY53" s="10"/>
      <c r="DMZ53" s="10"/>
      <c r="DNA53" s="10"/>
      <c r="DNB53" s="10"/>
      <c r="DNC53" s="10"/>
      <c r="DND53" s="10"/>
      <c r="DNE53" s="10"/>
      <c r="DNF53" s="10"/>
      <c r="DNG53" s="10"/>
      <c r="DNH53" s="10"/>
      <c r="DNI53" s="10"/>
      <c r="DNJ53" s="10"/>
      <c r="DNK53" s="10"/>
      <c r="DNL53" s="10"/>
      <c r="DNM53" s="10"/>
      <c r="DNN53" s="10"/>
      <c r="DNO53" s="10"/>
      <c r="DNP53" s="10"/>
      <c r="DNQ53" s="10"/>
      <c r="DNR53" s="10"/>
      <c r="DNS53" s="10"/>
      <c r="DNT53" s="10"/>
      <c r="DNU53" s="10"/>
      <c r="DNV53" s="10"/>
      <c r="DNW53" s="10"/>
      <c r="DNX53" s="10"/>
      <c r="DNY53" s="10"/>
      <c r="DNZ53" s="10"/>
      <c r="DOA53" s="10"/>
      <c r="DOB53" s="10"/>
      <c r="DOC53" s="10"/>
      <c r="DOD53" s="10"/>
      <c r="DOE53" s="10"/>
      <c r="DOF53" s="10"/>
      <c r="DOG53" s="10"/>
      <c r="DOH53" s="10"/>
      <c r="DOI53" s="10"/>
      <c r="DOJ53" s="10"/>
      <c r="DOK53" s="10"/>
      <c r="DOL53" s="10"/>
      <c r="DOM53" s="10"/>
      <c r="DON53" s="10"/>
      <c r="DOO53" s="10"/>
      <c r="DOP53" s="10"/>
      <c r="DOQ53" s="10"/>
      <c r="DOR53" s="10"/>
      <c r="DOS53" s="10"/>
      <c r="DOT53" s="10"/>
      <c r="DOU53" s="10"/>
      <c r="DOV53" s="10"/>
      <c r="DOW53" s="10"/>
      <c r="DOX53" s="10"/>
      <c r="DOY53" s="10"/>
      <c r="DOZ53" s="10"/>
      <c r="DPA53" s="10"/>
      <c r="DPB53" s="10"/>
      <c r="DPC53" s="10"/>
      <c r="DPD53" s="10"/>
      <c r="DPE53" s="10"/>
      <c r="DPF53" s="10"/>
      <c r="DPG53" s="10"/>
      <c r="DPH53" s="10"/>
      <c r="DPI53" s="10"/>
      <c r="DPJ53" s="10"/>
      <c r="DPK53" s="10"/>
      <c r="DPL53" s="10"/>
      <c r="DPM53" s="10"/>
      <c r="DPN53" s="10"/>
      <c r="DPO53" s="10"/>
      <c r="DPP53" s="10"/>
      <c r="DPQ53" s="10"/>
      <c r="DPR53" s="10"/>
      <c r="DPS53" s="10"/>
      <c r="DPT53" s="10"/>
      <c r="DPU53" s="10"/>
      <c r="DPV53" s="10"/>
      <c r="DPW53" s="10"/>
      <c r="DPX53" s="10"/>
      <c r="DPY53" s="10"/>
      <c r="DPZ53" s="10"/>
      <c r="DQA53" s="10"/>
      <c r="DQB53" s="10"/>
      <c r="DQC53" s="10"/>
      <c r="DQD53" s="10"/>
      <c r="DQE53" s="10"/>
      <c r="DQF53" s="10"/>
      <c r="DQG53" s="10"/>
      <c r="DQH53" s="10"/>
      <c r="DQI53" s="10"/>
      <c r="DQJ53" s="10"/>
      <c r="DQK53" s="10"/>
      <c r="DQL53" s="10"/>
      <c r="DQM53" s="10"/>
      <c r="DQN53" s="10"/>
      <c r="DQO53" s="10"/>
      <c r="DQP53" s="10"/>
      <c r="DQQ53" s="10"/>
      <c r="DQR53" s="10"/>
      <c r="DQS53" s="10"/>
      <c r="DQT53" s="10"/>
      <c r="DQU53" s="10"/>
      <c r="DQV53" s="10"/>
      <c r="DQW53" s="10"/>
      <c r="DQX53" s="10"/>
      <c r="DQY53" s="10"/>
      <c r="DQZ53" s="10"/>
      <c r="DRA53" s="10"/>
      <c r="DRB53" s="10"/>
      <c r="DRC53" s="10"/>
      <c r="DRD53" s="10"/>
      <c r="DRE53" s="10"/>
      <c r="DRF53" s="10"/>
      <c r="DRG53" s="10"/>
      <c r="DRH53" s="10"/>
      <c r="DRI53" s="10"/>
      <c r="DRJ53" s="10"/>
      <c r="DRK53" s="10"/>
      <c r="DRL53" s="10"/>
      <c r="DRM53" s="10"/>
      <c r="DRN53" s="10"/>
      <c r="DRO53" s="10"/>
      <c r="DRP53" s="10"/>
      <c r="DRQ53" s="10"/>
      <c r="DRR53" s="10"/>
      <c r="DRS53" s="10"/>
      <c r="DRT53" s="10"/>
      <c r="DRU53" s="10"/>
      <c r="DRV53" s="10"/>
      <c r="DRW53" s="10"/>
      <c r="DRX53" s="10"/>
      <c r="DRY53" s="10"/>
      <c r="DRZ53" s="10"/>
      <c r="DSA53" s="10"/>
      <c r="DSB53" s="10"/>
      <c r="DSC53" s="10"/>
      <c r="DSD53" s="10"/>
      <c r="DSE53" s="10"/>
      <c r="DSF53" s="10"/>
      <c r="DSG53" s="10"/>
      <c r="DSH53" s="10"/>
      <c r="DSI53" s="10"/>
      <c r="DSJ53" s="10"/>
      <c r="DSK53" s="10"/>
      <c r="DSL53" s="10"/>
      <c r="DSM53" s="10"/>
      <c r="DSN53" s="10"/>
      <c r="DSO53" s="10"/>
      <c r="DSP53" s="10"/>
      <c r="DSQ53" s="10"/>
      <c r="DSR53" s="10"/>
      <c r="DSS53" s="10"/>
      <c r="DST53" s="10"/>
      <c r="DSU53" s="10"/>
      <c r="DSV53" s="10"/>
      <c r="DSW53" s="10"/>
      <c r="DSX53" s="10"/>
      <c r="DSY53" s="10"/>
      <c r="DSZ53" s="10"/>
      <c r="DTA53" s="10"/>
      <c r="DTB53" s="10"/>
      <c r="DTC53" s="10"/>
      <c r="DTD53" s="10"/>
      <c r="DTE53" s="10"/>
      <c r="DTF53" s="10"/>
      <c r="DTG53" s="10"/>
      <c r="DTH53" s="10"/>
      <c r="DTI53" s="10"/>
      <c r="DTJ53" s="10"/>
      <c r="DTK53" s="10"/>
      <c r="DTL53" s="10"/>
      <c r="DTM53" s="10"/>
      <c r="DTN53" s="10"/>
      <c r="DTO53" s="10"/>
      <c r="DTP53" s="10"/>
      <c r="DTQ53" s="10"/>
      <c r="DTR53" s="10"/>
      <c r="DTS53" s="10"/>
      <c r="DTT53" s="10"/>
      <c r="DTU53" s="10"/>
      <c r="DTV53" s="10"/>
      <c r="DTW53" s="10"/>
      <c r="DTX53" s="10"/>
      <c r="DTY53" s="10"/>
      <c r="DTZ53" s="10"/>
      <c r="DUA53" s="10"/>
      <c r="DUB53" s="10"/>
      <c r="DUC53" s="10"/>
      <c r="DUD53" s="10"/>
      <c r="DUE53" s="10"/>
      <c r="DUF53" s="10"/>
      <c r="DUG53" s="10"/>
      <c r="DUH53" s="10"/>
      <c r="DUI53" s="10"/>
      <c r="DUJ53" s="10"/>
      <c r="DUK53" s="10"/>
      <c r="DUL53" s="10"/>
      <c r="DUM53" s="10"/>
      <c r="DUN53" s="10"/>
      <c r="DUO53" s="10"/>
      <c r="DUP53" s="10"/>
      <c r="DUQ53" s="10"/>
      <c r="DUR53" s="10"/>
      <c r="DUS53" s="10"/>
      <c r="DUT53" s="10"/>
      <c r="DUU53" s="10"/>
      <c r="DUV53" s="10"/>
      <c r="DUW53" s="10"/>
      <c r="DUX53" s="10"/>
      <c r="DUY53" s="10"/>
      <c r="DUZ53" s="10"/>
      <c r="DVA53" s="10"/>
      <c r="DVB53" s="10"/>
      <c r="DVC53" s="10"/>
      <c r="DVD53" s="10"/>
      <c r="DVE53" s="10"/>
      <c r="DVF53" s="10"/>
      <c r="DVG53" s="10"/>
      <c r="DVH53" s="10"/>
      <c r="DVI53" s="10"/>
      <c r="DVJ53" s="10"/>
      <c r="DVK53" s="10"/>
      <c r="DVL53" s="10"/>
      <c r="DVM53" s="10"/>
      <c r="DVN53" s="10"/>
      <c r="DVO53" s="10"/>
      <c r="DVP53" s="10"/>
      <c r="DVQ53" s="10"/>
      <c r="DVR53" s="10"/>
      <c r="DVS53" s="10"/>
      <c r="DVT53" s="10"/>
      <c r="DVU53" s="10"/>
      <c r="DVV53" s="10"/>
      <c r="DVW53" s="10"/>
      <c r="DVX53" s="10"/>
      <c r="DVY53" s="10"/>
      <c r="DVZ53" s="10"/>
      <c r="DWA53" s="10"/>
      <c r="DWB53" s="10"/>
      <c r="DWC53" s="10"/>
      <c r="DWD53" s="10"/>
      <c r="DWE53" s="10"/>
      <c r="DWF53" s="10"/>
      <c r="DWG53" s="10"/>
      <c r="DWH53" s="10"/>
      <c r="DWI53" s="10"/>
      <c r="DWJ53" s="10"/>
      <c r="DWK53" s="10"/>
      <c r="DWL53" s="10"/>
      <c r="DWM53" s="10"/>
      <c r="DWN53" s="10"/>
      <c r="DWO53" s="10"/>
      <c r="DWP53" s="10"/>
      <c r="DWQ53" s="10"/>
      <c r="DWR53" s="10"/>
      <c r="DWS53" s="10"/>
      <c r="DWT53" s="10"/>
      <c r="DWU53" s="10"/>
      <c r="DWV53" s="10"/>
      <c r="DWW53" s="10"/>
      <c r="DWX53" s="10"/>
      <c r="DWY53" s="10"/>
      <c r="DWZ53" s="10"/>
      <c r="DXA53" s="10"/>
      <c r="DXB53" s="10"/>
      <c r="DXC53" s="10"/>
      <c r="DXD53" s="10"/>
      <c r="DXE53" s="10"/>
      <c r="DXF53" s="10"/>
      <c r="DXG53" s="10"/>
      <c r="DXH53" s="10"/>
      <c r="DXI53" s="10"/>
      <c r="DXJ53" s="10"/>
      <c r="DXK53" s="10"/>
      <c r="DXL53" s="10"/>
      <c r="DXM53" s="10"/>
      <c r="DXN53" s="10"/>
      <c r="DXO53" s="10"/>
      <c r="DXP53" s="10"/>
      <c r="DXQ53" s="10"/>
      <c r="DXR53" s="10"/>
      <c r="DXS53" s="10"/>
      <c r="DXT53" s="10"/>
      <c r="DXU53" s="10"/>
      <c r="DXV53" s="10"/>
      <c r="DXW53" s="10"/>
      <c r="DXX53" s="10"/>
      <c r="DXY53" s="10"/>
      <c r="DXZ53" s="10"/>
      <c r="DYA53" s="10"/>
      <c r="DYB53" s="10"/>
      <c r="DYC53" s="10"/>
      <c r="DYD53" s="10"/>
      <c r="DYE53" s="10"/>
      <c r="DYF53" s="10"/>
      <c r="DYG53" s="10"/>
      <c r="DYH53" s="10"/>
      <c r="DYI53" s="10"/>
      <c r="DYJ53" s="10"/>
      <c r="DYK53" s="10"/>
      <c r="DYL53" s="10"/>
      <c r="DYM53" s="10"/>
      <c r="DYN53" s="10"/>
      <c r="DYO53" s="10"/>
      <c r="DYP53" s="10"/>
      <c r="DYQ53" s="10"/>
      <c r="DYR53" s="10"/>
      <c r="DYS53" s="10"/>
      <c r="DYT53" s="10"/>
      <c r="DYU53" s="10"/>
      <c r="DYV53" s="10"/>
      <c r="DYW53" s="10"/>
      <c r="DYX53" s="10"/>
      <c r="DYY53" s="10"/>
      <c r="DYZ53" s="10"/>
      <c r="DZA53" s="10"/>
      <c r="DZB53" s="10"/>
      <c r="DZC53" s="10"/>
      <c r="DZD53" s="10"/>
      <c r="DZE53" s="10"/>
      <c r="DZF53" s="10"/>
      <c r="DZG53" s="10"/>
      <c r="DZH53" s="10"/>
      <c r="DZI53" s="10"/>
      <c r="DZJ53" s="10"/>
      <c r="DZK53" s="10"/>
      <c r="DZL53" s="10"/>
      <c r="DZM53" s="10"/>
      <c r="DZN53" s="10"/>
      <c r="DZO53" s="10"/>
      <c r="DZP53" s="10"/>
      <c r="DZQ53" s="10"/>
      <c r="DZR53" s="10"/>
      <c r="DZS53" s="10"/>
      <c r="DZT53" s="10"/>
      <c r="DZU53" s="10"/>
      <c r="DZV53" s="10"/>
      <c r="DZW53" s="10"/>
      <c r="DZX53" s="10"/>
      <c r="DZY53" s="10"/>
      <c r="DZZ53" s="10"/>
      <c r="EAA53" s="10"/>
      <c r="EAB53" s="10"/>
      <c r="EAC53" s="10"/>
      <c r="EAD53" s="10"/>
      <c r="EAE53" s="10"/>
      <c r="EAF53" s="10"/>
      <c r="EAG53" s="10"/>
      <c r="EAH53" s="10"/>
      <c r="EAI53" s="10"/>
      <c r="EAJ53" s="10"/>
      <c r="EAK53" s="10"/>
      <c r="EAL53" s="10"/>
      <c r="EAM53" s="10"/>
      <c r="EAN53" s="10"/>
      <c r="EAO53" s="10"/>
      <c r="EAP53" s="10"/>
      <c r="EAQ53" s="10"/>
      <c r="EAR53" s="10"/>
      <c r="EAS53" s="10"/>
      <c r="EAT53" s="10"/>
      <c r="EAU53" s="10"/>
      <c r="EAV53" s="10"/>
      <c r="EAW53" s="10"/>
      <c r="EAX53" s="10"/>
      <c r="EAY53" s="10"/>
      <c r="EAZ53" s="10"/>
      <c r="EBA53" s="10"/>
      <c r="EBB53" s="10"/>
      <c r="EBC53" s="10"/>
      <c r="EBD53" s="10"/>
      <c r="EBE53" s="10"/>
      <c r="EBF53" s="10"/>
      <c r="EBG53" s="10"/>
      <c r="EBH53" s="10"/>
      <c r="EBI53" s="10"/>
      <c r="EBJ53" s="10"/>
      <c r="EBK53" s="10"/>
      <c r="EBL53" s="10"/>
      <c r="EBM53" s="10"/>
      <c r="EBN53" s="10"/>
      <c r="EBO53" s="10"/>
      <c r="EBP53" s="10"/>
      <c r="EBQ53" s="10"/>
      <c r="EBR53" s="10"/>
      <c r="EBS53" s="10"/>
      <c r="EBT53" s="10"/>
      <c r="EBU53" s="10"/>
      <c r="EBV53" s="10"/>
      <c r="EBW53" s="10"/>
      <c r="EBX53" s="10"/>
      <c r="EBY53" s="10"/>
      <c r="EBZ53" s="10"/>
      <c r="ECA53" s="10"/>
      <c r="ECB53" s="10"/>
      <c r="ECC53" s="10"/>
      <c r="ECD53" s="10"/>
      <c r="ECE53" s="10"/>
      <c r="ECF53" s="10"/>
      <c r="ECG53" s="10"/>
      <c r="ECH53" s="10"/>
      <c r="ECI53" s="10"/>
      <c r="ECJ53" s="10"/>
      <c r="ECK53" s="10"/>
      <c r="ECL53" s="10"/>
      <c r="ECM53" s="10"/>
      <c r="ECN53" s="10"/>
      <c r="ECO53" s="10"/>
      <c r="ECP53" s="10"/>
      <c r="ECQ53" s="10"/>
      <c r="ECR53" s="10"/>
      <c r="ECS53" s="10"/>
      <c r="ECT53" s="10"/>
      <c r="ECU53" s="10"/>
      <c r="ECV53" s="10"/>
      <c r="ECW53" s="10"/>
      <c r="ECX53" s="10"/>
      <c r="ECY53" s="10"/>
      <c r="ECZ53" s="10"/>
      <c r="EDA53" s="10"/>
      <c r="EDB53" s="10"/>
      <c r="EDC53" s="10"/>
      <c r="EDD53" s="10"/>
      <c r="EDE53" s="10"/>
      <c r="EDF53" s="10"/>
      <c r="EDG53" s="10"/>
      <c r="EDH53" s="10"/>
      <c r="EDI53" s="10"/>
      <c r="EDJ53" s="10"/>
      <c r="EDK53" s="10"/>
      <c r="EDL53" s="10"/>
      <c r="EDM53" s="10"/>
      <c r="EDN53" s="10"/>
      <c r="EDO53" s="10"/>
      <c r="EDP53" s="10"/>
      <c r="EDQ53" s="10"/>
      <c r="EDR53" s="10"/>
      <c r="EDS53" s="10"/>
      <c r="EDT53" s="10"/>
      <c r="EDU53" s="10"/>
      <c r="EDV53" s="10"/>
      <c r="EDW53" s="10"/>
      <c r="EDX53" s="10"/>
      <c r="EDY53" s="10"/>
      <c r="EDZ53" s="10"/>
      <c r="EEA53" s="10"/>
      <c r="EEB53" s="10"/>
      <c r="EEC53" s="10"/>
      <c r="EED53" s="10"/>
      <c r="EEE53" s="10"/>
      <c r="EEF53" s="10"/>
      <c r="EEG53" s="10"/>
      <c r="EEH53" s="10"/>
      <c r="EEI53" s="10"/>
      <c r="EEJ53" s="10"/>
      <c r="EEK53" s="10"/>
      <c r="EEL53" s="10"/>
      <c r="EEM53" s="10"/>
      <c r="EEN53" s="10"/>
      <c r="EEO53" s="10"/>
      <c r="EEP53" s="10"/>
      <c r="EEQ53" s="10"/>
      <c r="EER53" s="10"/>
      <c r="EES53" s="10"/>
      <c r="EET53" s="10"/>
      <c r="EEU53" s="10"/>
      <c r="EEV53" s="10"/>
      <c r="EEW53" s="10"/>
      <c r="EEX53" s="10"/>
      <c r="EEY53" s="10"/>
      <c r="EEZ53" s="10"/>
      <c r="EFA53" s="10"/>
      <c r="EFB53" s="10"/>
      <c r="EFC53" s="10"/>
      <c r="EFD53" s="10"/>
      <c r="EFE53" s="10"/>
      <c r="EFF53" s="10"/>
      <c r="EFG53" s="10"/>
      <c r="EFH53" s="10"/>
      <c r="EFI53" s="10"/>
      <c r="EFJ53" s="10"/>
      <c r="EFK53" s="10"/>
      <c r="EFL53" s="10"/>
      <c r="EFM53" s="10"/>
      <c r="EFN53" s="10"/>
      <c r="EFO53" s="10"/>
      <c r="EFP53" s="10"/>
      <c r="EFQ53" s="10"/>
      <c r="EFR53" s="10"/>
      <c r="EFS53" s="10"/>
      <c r="EFT53" s="10"/>
      <c r="EFU53" s="10"/>
      <c r="EFV53" s="10"/>
      <c r="EFW53" s="10"/>
      <c r="EFX53" s="10"/>
      <c r="EFY53" s="10"/>
      <c r="EFZ53" s="10"/>
      <c r="EGA53" s="10"/>
      <c r="EGB53" s="10"/>
      <c r="EGC53" s="10"/>
      <c r="EGD53" s="10"/>
      <c r="EGE53" s="10"/>
      <c r="EGF53" s="10"/>
      <c r="EGG53" s="10"/>
      <c r="EGH53" s="10"/>
      <c r="EGI53" s="10"/>
      <c r="EGJ53" s="10"/>
      <c r="EGK53" s="10"/>
      <c r="EGL53" s="10"/>
      <c r="EGM53" s="10"/>
      <c r="EGN53" s="10"/>
      <c r="EGO53" s="10"/>
      <c r="EGP53" s="10"/>
      <c r="EGQ53" s="10"/>
      <c r="EGR53" s="10"/>
      <c r="EGS53" s="10"/>
      <c r="EGT53" s="10"/>
      <c r="EGU53" s="10"/>
      <c r="EGV53" s="10"/>
      <c r="EGW53" s="10"/>
      <c r="EGX53" s="10"/>
      <c r="EGY53" s="10"/>
      <c r="EGZ53" s="10"/>
      <c r="EHA53" s="10"/>
      <c r="EHB53" s="10"/>
      <c r="EHC53" s="10"/>
      <c r="EHD53" s="10"/>
      <c r="EHE53" s="10"/>
      <c r="EHF53" s="10"/>
      <c r="EHG53" s="10"/>
      <c r="EHH53" s="10"/>
      <c r="EHI53" s="10"/>
      <c r="EHJ53" s="10"/>
      <c r="EHK53" s="10"/>
      <c r="EHL53" s="10"/>
      <c r="EHM53" s="10"/>
      <c r="EHN53" s="10"/>
      <c r="EHO53" s="10"/>
      <c r="EHP53" s="10"/>
      <c r="EHQ53" s="10"/>
      <c r="EHR53" s="10"/>
      <c r="EHS53" s="10"/>
      <c r="EHT53" s="10"/>
      <c r="EHU53" s="10"/>
      <c r="EHV53" s="10"/>
      <c r="EHW53" s="10"/>
      <c r="EHX53" s="10"/>
      <c r="EHY53" s="10"/>
      <c r="EHZ53" s="10"/>
      <c r="EIA53" s="10"/>
      <c r="EIB53" s="10"/>
      <c r="EIC53" s="10"/>
      <c r="EID53" s="10"/>
      <c r="EIE53" s="10"/>
      <c r="EIF53" s="10"/>
      <c r="EIG53" s="10"/>
      <c r="EIH53" s="10"/>
      <c r="EII53" s="10"/>
      <c r="EIJ53" s="10"/>
      <c r="EIK53" s="10"/>
      <c r="EIL53" s="10"/>
      <c r="EIM53" s="10"/>
      <c r="EIN53" s="10"/>
      <c r="EIO53" s="10"/>
      <c r="EIP53" s="10"/>
      <c r="EIQ53" s="10"/>
      <c r="EIR53" s="10"/>
      <c r="EIS53" s="10"/>
      <c r="EIT53" s="10"/>
      <c r="EIU53" s="10"/>
      <c r="EIV53" s="10"/>
      <c r="EIW53" s="10"/>
      <c r="EIX53" s="10"/>
      <c r="EIY53" s="10"/>
      <c r="EIZ53" s="10"/>
      <c r="EJA53" s="10"/>
      <c r="EJB53" s="10"/>
      <c r="EJC53" s="10"/>
      <c r="EJD53" s="10"/>
      <c r="EJE53" s="10"/>
      <c r="EJF53" s="10"/>
      <c r="EJG53" s="10"/>
      <c r="EJH53" s="10"/>
      <c r="EJI53" s="10"/>
      <c r="EJJ53" s="10"/>
      <c r="EJK53" s="10"/>
      <c r="EJL53" s="10"/>
      <c r="EJM53" s="10"/>
      <c r="EJN53" s="10"/>
      <c r="EJO53" s="10"/>
      <c r="EJP53" s="10"/>
      <c r="EJQ53" s="10"/>
      <c r="EJR53" s="10"/>
      <c r="EJS53" s="10"/>
      <c r="EJT53" s="10"/>
      <c r="EJU53" s="10"/>
      <c r="EJV53" s="10"/>
      <c r="EJW53" s="10"/>
      <c r="EJX53" s="10"/>
      <c r="EJY53" s="10"/>
      <c r="EJZ53" s="10"/>
      <c r="EKA53" s="10"/>
      <c r="EKB53" s="10"/>
      <c r="EKC53" s="10"/>
      <c r="EKD53" s="10"/>
      <c r="EKE53" s="10"/>
      <c r="EKF53" s="10"/>
      <c r="EKG53" s="10"/>
      <c r="EKH53" s="10"/>
      <c r="EKI53" s="10"/>
      <c r="EKJ53" s="10"/>
      <c r="EKK53" s="10"/>
      <c r="EKL53" s="10"/>
      <c r="EKM53" s="10"/>
      <c r="EKN53" s="10"/>
      <c r="EKO53" s="10"/>
      <c r="EKP53" s="10"/>
      <c r="EKQ53" s="10"/>
      <c r="EKR53" s="10"/>
      <c r="EKS53" s="10"/>
      <c r="EKT53" s="10"/>
      <c r="EKU53" s="10"/>
      <c r="EKV53" s="10"/>
      <c r="EKW53" s="10"/>
      <c r="EKX53" s="10"/>
      <c r="EKY53" s="10"/>
      <c r="EKZ53" s="10"/>
      <c r="ELA53" s="10"/>
      <c r="ELB53" s="10"/>
      <c r="ELC53" s="10"/>
      <c r="ELD53" s="10"/>
      <c r="ELE53" s="10"/>
      <c r="ELF53" s="10"/>
      <c r="ELG53" s="10"/>
      <c r="ELH53" s="10"/>
      <c r="ELI53" s="10"/>
      <c r="ELJ53" s="10"/>
      <c r="ELK53" s="10"/>
      <c r="ELL53" s="10"/>
      <c r="ELM53" s="10"/>
      <c r="ELN53" s="10"/>
      <c r="ELO53" s="10"/>
      <c r="ELP53" s="10"/>
      <c r="ELQ53" s="10"/>
      <c r="ELR53" s="10"/>
      <c r="ELS53" s="10"/>
      <c r="ELT53" s="10"/>
      <c r="ELU53" s="10"/>
      <c r="ELV53" s="10"/>
      <c r="ELW53" s="10"/>
      <c r="ELX53" s="10"/>
      <c r="ELY53" s="10"/>
      <c r="ELZ53" s="10"/>
      <c r="EMA53" s="10"/>
      <c r="EMB53" s="10"/>
      <c r="EMC53" s="10"/>
      <c r="EMD53" s="10"/>
      <c r="EME53" s="10"/>
      <c r="EMF53" s="10"/>
      <c r="EMG53" s="10"/>
      <c r="EMH53" s="10"/>
      <c r="EMI53" s="10"/>
      <c r="EMJ53" s="10"/>
      <c r="EMK53" s="10"/>
      <c r="EML53" s="10"/>
      <c r="EMM53" s="10"/>
      <c r="EMN53" s="10"/>
      <c r="EMO53" s="10"/>
      <c r="EMP53" s="10"/>
      <c r="EMQ53" s="10"/>
      <c r="EMR53" s="10"/>
      <c r="EMS53" s="10"/>
      <c r="EMT53" s="10"/>
      <c r="EMU53" s="10"/>
      <c r="EMV53" s="10"/>
      <c r="EMW53" s="10"/>
      <c r="EMX53" s="10"/>
      <c r="EMY53" s="10"/>
      <c r="EMZ53" s="10"/>
      <c r="ENA53" s="10"/>
      <c r="ENB53" s="10"/>
      <c r="ENC53" s="10"/>
      <c r="END53" s="10"/>
      <c r="ENE53" s="10"/>
      <c r="ENF53" s="10"/>
      <c r="ENG53" s="10"/>
      <c r="ENH53" s="10"/>
      <c r="ENI53" s="10"/>
      <c r="ENJ53" s="10"/>
      <c r="ENK53" s="10"/>
      <c r="ENL53" s="10"/>
      <c r="ENM53" s="10"/>
      <c r="ENN53" s="10"/>
      <c r="ENO53" s="10"/>
      <c r="ENP53" s="10"/>
      <c r="ENQ53" s="10"/>
      <c r="ENR53" s="10"/>
      <c r="ENS53" s="10"/>
      <c r="ENT53" s="10"/>
      <c r="ENU53" s="10"/>
      <c r="ENV53" s="10"/>
      <c r="ENW53" s="10"/>
      <c r="ENX53" s="10"/>
      <c r="ENY53" s="10"/>
      <c r="ENZ53" s="10"/>
      <c r="EOA53" s="10"/>
      <c r="EOB53" s="10"/>
      <c r="EOC53" s="10"/>
      <c r="EOD53" s="10"/>
      <c r="EOE53" s="10"/>
      <c r="EOF53" s="10"/>
      <c r="EOG53" s="10"/>
      <c r="EOH53" s="10"/>
      <c r="EOI53" s="10"/>
      <c r="EOJ53" s="10"/>
      <c r="EOK53" s="10"/>
      <c r="EOL53" s="10"/>
      <c r="EOM53" s="10"/>
      <c r="EON53" s="10"/>
      <c r="EOO53" s="10"/>
      <c r="EOP53" s="10"/>
      <c r="EOQ53" s="10"/>
      <c r="EOR53" s="10"/>
      <c r="EOS53" s="10"/>
      <c r="EOT53" s="10"/>
      <c r="EOU53" s="10"/>
      <c r="EOV53" s="10"/>
      <c r="EOW53" s="10"/>
      <c r="EOX53" s="10"/>
      <c r="EOY53" s="10"/>
      <c r="EOZ53" s="10"/>
      <c r="EPA53" s="10"/>
      <c r="EPB53" s="10"/>
      <c r="EPC53" s="10"/>
      <c r="EPD53" s="10"/>
      <c r="EPE53" s="10"/>
      <c r="EPF53" s="10"/>
      <c r="EPG53" s="10"/>
      <c r="EPH53" s="10"/>
      <c r="EPI53" s="10"/>
      <c r="EPJ53" s="10"/>
      <c r="EPK53" s="10"/>
      <c r="EPL53" s="10"/>
      <c r="EPM53" s="10"/>
      <c r="EPN53" s="10"/>
      <c r="EPO53" s="10"/>
      <c r="EPP53" s="10"/>
      <c r="EPQ53" s="10"/>
      <c r="EPR53" s="10"/>
      <c r="EPS53" s="10"/>
      <c r="EPT53" s="10"/>
      <c r="EPU53" s="10"/>
      <c r="EPV53" s="10"/>
      <c r="EPW53" s="10"/>
      <c r="EPX53" s="10"/>
      <c r="EPY53" s="10"/>
      <c r="EPZ53" s="10"/>
      <c r="EQA53" s="10"/>
      <c r="EQB53" s="10"/>
      <c r="EQC53" s="10"/>
      <c r="EQD53" s="10"/>
      <c r="EQE53" s="10"/>
      <c r="EQF53" s="10"/>
      <c r="EQG53" s="10"/>
      <c r="EQH53" s="10"/>
      <c r="EQI53" s="10"/>
      <c r="EQJ53" s="10"/>
      <c r="EQK53" s="10"/>
      <c r="EQL53" s="10"/>
      <c r="EQM53" s="10"/>
      <c r="EQN53" s="10"/>
      <c r="EQO53" s="10"/>
      <c r="EQP53" s="10"/>
      <c r="EQQ53" s="10"/>
      <c r="EQR53" s="10"/>
      <c r="EQS53" s="10"/>
      <c r="EQT53" s="10"/>
      <c r="EQU53" s="10"/>
      <c r="EQV53" s="10"/>
      <c r="EQW53" s="10"/>
      <c r="EQX53" s="10"/>
      <c r="EQY53" s="10"/>
      <c r="EQZ53" s="10"/>
      <c r="ERA53" s="10"/>
      <c r="ERB53" s="10"/>
      <c r="ERC53" s="10"/>
      <c r="ERD53" s="10"/>
      <c r="ERE53" s="10"/>
      <c r="ERF53" s="10"/>
      <c r="ERG53" s="10"/>
      <c r="ERH53" s="10"/>
      <c r="ERI53" s="10"/>
      <c r="ERJ53" s="10"/>
      <c r="ERK53" s="10"/>
      <c r="ERL53" s="10"/>
      <c r="ERM53" s="10"/>
      <c r="ERN53" s="10"/>
      <c r="ERO53" s="10"/>
      <c r="ERP53" s="10"/>
      <c r="ERQ53" s="10"/>
      <c r="ERR53" s="10"/>
      <c r="ERS53" s="10"/>
      <c r="ERT53" s="10"/>
      <c r="ERU53" s="10"/>
      <c r="ERV53" s="10"/>
      <c r="ERW53" s="10"/>
      <c r="ERX53" s="10"/>
      <c r="ERY53" s="10"/>
      <c r="ERZ53" s="10"/>
      <c r="ESA53" s="10"/>
      <c r="ESB53" s="10"/>
      <c r="ESC53" s="10"/>
      <c r="ESD53" s="10"/>
      <c r="ESE53" s="10"/>
      <c r="ESF53" s="10"/>
      <c r="ESG53" s="10"/>
      <c r="ESH53" s="10"/>
      <c r="ESI53" s="10"/>
      <c r="ESJ53" s="10"/>
      <c r="ESK53" s="10"/>
      <c r="ESL53" s="10"/>
      <c r="ESM53" s="10"/>
      <c r="ESN53" s="10"/>
      <c r="ESO53" s="10"/>
      <c r="ESP53" s="10"/>
      <c r="ESQ53" s="10"/>
      <c r="ESR53" s="10"/>
      <c r="ESS53" s="10"/>
      <c r="EST53" s="10"/>
      <c r="ESU53" s="10"/>
      <c r="ESV53" s="10"/>
      <c r="ESW53" s="10"/>
      <c r="ESX53" s="10"/>
      <c r="ESY53" s="10"/>
      <c r="ESZ53" s="10"/>
      <c r="ETA53" s="10"/>
      <c r="ETB53" s="10"/>
      <c r="ETC53" s="10"/>
      <c r="ETD53" s="10"/>
      <c r="ETE53" s="10"/>
      <c r="ETF53" s="10"/>
      <c r="ETG53" s="10"/>
      <c r="ETH53" s="10"/>
      <c r="ETI53" s="10"/>
      <c r="ETJ53" s="10"/>
      <c r="ETK53" s="10"/>
      <c r="ETL53" s="10"/>
      <c r="ETM53" s="10"/>
      <c r="ETN53" s="10"/>
      <c r="ETO53" s="10"/>
      <c r="ETP53" s="10"/>
      <c r="ETQ53" s="10"/>
      <c r="ETR53" s="10"/>
      <c r="ETS53" s="10"/>
      <c r="ETT53" s="10"/>
      <c r="ETU53" s="10"/>
      <c r="ETV53" s="10"/>
      <c r="ETW53" s="10"/>
      <c r="ETX53" s="10"/>
      <c r="ETY53" s="10"/>
      <c r="ETZ53" s="10"/>
      <c r="EUA53" s="10"/>
      <c r="EUB53" s="10"/>
      <c r="EUC53" s="10"/>
      <c r="EUD53" s="10"/>
      <c r="EUE53" s="10"/>
      <c r="EUF53" s="10"/>
      <c r="EUG53" s="10"/>
      <c r="EUH53" s="10"/>
      <c r="EUI53" s="10"/>
      <c r="EUJ53" s="10"/>
      <c r="EUK53" s="10"/>
      <c r="EUL53" s="10"/>
      <c r="EUM53" s="10"/>
      <c r="EUN53" s="10"/>
      <c r="EUO53" s="10"/>
      <c r="EUP53" s="10"/>
      <c r="EUQ53" s="10"/>
      <c r="EUR53" s="10"/>
      <c r="EUS53" s="10"/>
      <c r="EUT53" s="10"/>
      <c r="EUU53" s="10"/>
      <c r="EUV53" s="10"/>
      <c r="EUW53" s="10"/>
      <c r="EUX53" s="10"/>
      <c r="EUY53" s="10"/>
      <c r="EUZ53" s="10"/>
      <c r="EVA53" s="10"/>
      <c r="EVB53" s="10"/>
      <c r="EVC53" s="10"/>
      <c r="EVD53" s="10"/>
      <c r="EVE53" s="10"/>
      <c r="EVF53" s="10"/>
      <c r="EVG53" s="10"/>
      <c r="EVH53" s="10"/>
      <c r="EVI53" s="10"/>
      <c r="EVJ53" s="10"/>
      <c r="EVK53" s="10"/>
      <c r="EVL53" s="10"/>
      <c r="EVM53" s="10"/>
      <c r="EVN53" s="10"/>
      <c r="EVO53" s="10"/>
      <c r="EVP53" s="10"/>
      <c r="EVQ53" s="10"/>
      <c r="EVR53" s="10"/>
      <c r="EVS53" s="10"/>
      <c r="EVT53" s="10"/>
      <c r="EVU53" s="10"/>
      <c r="EVV53" s="10"/>
      <c r="EVW53" s="10"/>
      <c r="EVX53" s="10"/>
      <c r="EVY53" s="10"/>
      <c r="EVZ53" s="10"/>
      <c r="EWA53" s="10"/>
      <c r="EWB53" s="10"/>
      <c r="EWC53" s="10"/>
      <c r="EWD53" s="10"/>
      <c r="EWE53" s="10"/>
      <c r="EWF53" s="10"/>
      <c r="EWG53" s="10"/>
      <c r="EWH53" s="10"/>
      <c r="EWI53" s="10"/>
      <c r="EWJ53" s="10"/>
      <c r="EWK53" s="10"/>
      <c r="EWL53" s="10"/>
      <c r="EWM53" s="10"/>
      <c r="EWN53" s="10"/>
      <c r="EWO53" s="10"/>
      <c r="EWP53" s="10"/>
      <c r="EWQ53" s="10"/>
      <c r="EWR53" s="10"/>
      <c r="EWS53" s="10"/>
      <c r="EWT53" s="10"/>
      <c r="EWU53" s="10"/>
      <c r="EWV53" s="10"/>
      <c r="EWW53" s="10"/>
      <c r="EWX53" s="10"/>
      <c r="EWY53" s="10"/>
      <c r="EWZ53" s="10"/>
      <c r="EXA53" s="10"/>
      <c r="EXB53" s="10"/>
      <c r="EXC53" s="10"/>
      <c r="EXD53" s="10"/>
      <c r="EXE53" s="10"/>
      <c r="EXF53" s="10"/>
      <c r="EXG53" s="10"/>
      <c r="EXH53" s="10"/>
      <c r="EXI53" s="10"/>
      <c r="EXJ53" s="10"/>
      <c r="EXK53" s="10"/>
      <c r="EXL53" s="10"/>
      <c r="EXM53" s="10"/>
      <c r="EXN53" s="10"/>
      <c r="EXO53" s="10"/>
      <c r="EXP53" s="10"/>
      <c r="EXQ53" s="10"/>
      <c r="EXR53" s="10"/>
      <c r="EXS53" s="10"/>
      <c r="EXT53" s="10"/>
      <c r="EXU53" s="10"/>
      <c r="EXV53" s="10"/>
      <c r="EXW53" s="10"/>
      <c r="EXX53" s="10"/>
      <c r="EXY53" s="10"/>
      <c r="EXZ53" s="10"/>
      <c r="EYA53" s="10"/>
      <c r="EYB53" s="10"/>
      <c r="EYC53" s="10"/>
      <c r="EYD53" s="10"/>
      <c r="EYE53" s="10"/>
      <c r="EYF53" s="10"/>
      <c r="EYG53" s="10"/>
      <c r="EYH53" s="10"/>
      <c r="EYI53" s="10"/>
      <c r="EYJ53" s="10"/>
      <c r="EYK53" s="10"/>
      <c r="EYL53" s="10"/>
      <c r="EYM53" s="10"/>
      <c r="EYN53" s="10"/>
      <c r="EYO53" s="10"/>
      <c r="EYP53" s="10"/>
      <c r="EYQ53" s="10"/>
      <c r="EYR53" s="10"/>
      <c r="EYS53" s="10"/>
      <c r="EYT53" s="10"/>
      <c r="EYU53" s="10"/>
      <c r="EYV53" s="10"/>
      <c r="EYW53" s="10"/>
      <c r="EYX53" s="10"/>
      <c r="EYY53" s="10"/>
      <c r="EYZ53" s="10"/>
      <c r="EZA53" s="10"/>
      <c r="EZB53" s="10"/>
      <c r="EZC53" s="10"/>
      <c r="EZD53" s="10"/>
      <c r="EZE53" s="10"/>
      <c r="EZF53" s="10"/>
      <c r="EZG53" s="10"/>
      <c r="EZH53" s="10"/>
      <c r="EZI53" s="10"/>
      <c r="EZJ53" s="10"/>
      <c r="EZK53" s="10"/>
      <c r="EZL53" s="10"/>
      <c r="EZM53" s="10"/>
      <c r="EZN53" s="10"/>
      <c r="EZO53" s="10"/>
      <c r="EZP53" s="10"/>
      <c r="EZQ53" s="10"/>
      <c r="EZR53" s="10"/>
      <c r="EZS53" s="10"/>
      <c r="EZT53" s="10"/>
      <c r="EZU53" s="10"/>
      <c r="EZV53" s="10"/>
      <c r="EZW53" s="10"/>
      <c r="EZX53" s="10"/>
      <c r="EZY53" s="10"/>
      <c r="EZZ53" s="10"/>
      <c r="FAA53" s="10"/>
      <c r="FAB53" s="10"/>
      <c r="FAC53" s="10"/>
      <c r="FAD53" s="10"/>
      <c r="FAE53" s="10"/>
      <c r="FAF53" s="10"/>
      <c r="FAG53" s="10"/>
      <c r="FAH53" s="10"/>
      <c r="FAI53" s="10"/>
      <c r="FAJ53" s="10"/>
      <c r="FAK53" s="10"/>
      <c r="FAL53" s="10"/>
      <c r="FAM53" s="10"/>
      <c r="FAN53" s="10"/>
      <c r="FAO53" s="10"/>
      <c r="FAP53" s="10"/>
      <c r="FAQ53" s="10"/>
      <c r="FAR53" s="10"/>
      <c r="FAS53" s="10"/>
      <c r="FAT53" s="10"/>
      <c r="FAU53" s="10"/>
      <c r="FAV53" s="10"/>
      <c r="FAW53" s="10"/>
      <c r="FAX53" s="10"/>
      <c r="FAY53" s="10"/>
      <c r="FAZ53" s="10"/>
      <c r="FBA53" s="10"/>
      <c r="FBB53" s="10"/>
      <c r="FBC53" s="10"/>
      <c r="FBD53" s="10"/>
      <c r="FBE53" s="10"/>
      <c r="FBF53" s="10"/>
      <c r="FBG53" s="10"/>
      <c r="FBH53" s="10"/>
      <c r="FBI53" s="10"/>
      <c r="FBJ53" s="10"/>
      <c r="FBK53" s="10"/>
      <c r="FBL53" s="10"/>
      <c r="FBM53" s="10"/>
      <c r="FBN53" s="10"/>
      <c r="FBO53" s="10"/>
      <c r="FBP53" s="10"/>
      <c r="FBQ53" s="10"/>
      <c r="FBR53" s="10"/>
      <c r="FBS53" s="10"/>
      <c r="FBT53" s="10"/>
      <c r="FBU53" s="10"/>
      <c r="FBV53" s="10"/>
      <c r="FBW53" s="10"/>
      <c r="FBX53" s="10"/>
      <c r="FBY53" s="10"/>
      <c r="FBZ53" s="10"/>
      <c r="FCA53" s="10"/>
      <c r="FCB53" s="10"/>
      <c r="FCC53" s="10"/>
      <c r="FCD53" s="10"/>
      <c r="FCE53" s="10"/>
      <c r="FCF53" s="10"/>
      <c r="FCG53" s="10"/>
      <c r="FCH53" s="10"/>
      <c r="FCI53" s="10"/>
      <c r="FCJ53" s="10"/>
      <c r="FCK53" s="10"/>
      <c r="FCL53" s="10"/>
      <c r="FCM53" s="10"/>
      <c r="FCN53" s="10"/>
      <c r="FCO53" s="10"/>
      <c r="FCP53" s="10"/>
      <c r="FCQ53" s="10"/>
      <c r="FCR53" s="10"/>
      <c r="FCS53" s="10"/>
      <c r="FCT53" s="10"/>
      <c r="FCU53" s="10"/>
      <c r="FCV53" s="10"/>
      <c r="FCW53" s="10"/>
      <c r="FCX53" s="10"/>
      <c r="FCY53" s="10"/>
      <c r="FCZ53" s="10"/>
      <c r="FDA53" s="10"/>
      <c r="FDB53" s="10"/>
      <c r="FDC53" s="10"/>
      <c r="FDD53" s="10"/>
      <c r="FDE53" s="10"/>
      <c r="FDF53" s="10"/>
      <c r="FDG53" s="10"/>
      <c r="FDH53" s="10"/>
      <c r="FDI53" s="10"/>
      <c r="FDJ53" s="10"/>
      <c r="FDK53" s="10"/>
      <c r="FDL53" s="10"/>
      <c r="FDM53" s="10"/>
      <c r="FDN53" s="10"/>
      <c r="FDO53" s="10"/>
      <c r="FDP53" s="10"/>
      <c r="FDQ53" s="10"/>
      <c r="FDR53" s="10"/>
      <c r="FDS53" s="10"/>
      <c r="FDT53" s="10"/>
      <c r="FDU53" s="10"/>
      <c r="FDV53" s="10"/>
      <c r="FDW53" s="10"/>
      <c r="FDX53" s="10"/>
      <c r="FDY53" s="10"/>
      <c r="FDZ53" s="10"/>
      <c r="FEA53" s="10"/>
      <c r="FEB53" s="10"/>
      <c r="FEC53" s="10"/>
      <c r="FED53" s="10"/>
      <c r="FEE53" s="10"/>
      <c r="FEF53" s="10"/>
      <c r="FEG53" s="10"/>
      <c r="FEH53" s="10"/>
      <c r="FEI53" s="10"/>
      <c r="FEJ53" s="10"/>
      <c r="FEK53" s="10"/>
      <c r="FEL53" s="10"/>
      <c r="FEM53" s="10"/>
      <c r="FEN53" s="10"/>
      <c r="FEO53" s="10"/>
      <c r="FEP53" s="10"/>
      <c r="FEQ53" s="10"/>
      <c r="FER53" s="10"/>
      <c r="FES53" s="10"/>
      <c r="FET53" s="10"/>
      <c r="FEU53" s="10"/>
      <c r="FEV53" s="10"/>
      <c r="FEW53" s="10"/>
      <c r="FEX53" s="10"/>
      <c r="FEY53" s="10"/>
      <c r="FEZ53" s="10"/>
      <c r="FFA53" s="10"/>
      <c r="FFB53" s="10"/>
      <c r="FFC53" s="10"/>
      <c r="FFD53" s="10"/>
      <c r="FFE53" s="10"/>
      <c r="FFF53" s="10"/>
      <c r="FFG53" s="10"/>
      <c r="FFH53" s="10"/>
      <c r="FFI53" s="10"/>
      <c r="FFJ53" s="10"/>
      <c r="FFK53" s="10"/>
      <c r="FFL53" s="10"/>
      <c r="FFM53" s="10"/>
      <c r="FFN53" s="10"/>
      <c r="FFO53" s="10"/>
      <c r="FFP53" s="10"/>
      <c r="FFQ53" s="10"/>
      <c r="FFR53" s="10"/>
      <c r="FFS53" s="10"/>
      <c r="FFT53" s="10"/>
      <c r="FFU53" s="10"/>
      <c r="FFV53" s="10"/>
      <c r="FFW53" s="10"/>
      <c r="FFX53" s="10"/>
      <c r="FFY53" s="10"/>
      <c r="FFZ53" s="10"/>
      <c r="FGA53" s="10"/>
      <c r="FGB53" s="10"/>
      <c r="FGC53" s="10"/>
      <c r="FGD53" s="10"/>
      <c r="FGE53" s="10"/>
      <c r="FGF53" s="10"/>
      <c r="FGG53" s="10"/>
      <c r="FGH53" s="10"/>
      <c r="FGI53" s="10"/>
      <c r="FGJ53" s="10"/>
      <c r="FGK53" s="10"/>
      <c r="FGL53" s="10"/>
      <c r="FGM53" s="10"/>
      <c r="FGN53" s="10"/>
      <c r="FGO53" s="10"/>
      <c r="FGP53" s="10"/>
      <c r="FGQ53" s="10"/>
      <c r="FGR53" s="10"/>
      <c r="FGS53" s="10"/>
      <c r="FGT53" s="10"/>
      <c r="FGU53" s="10"/>
      <c r="FGV53" s="10"/>
      <c r="FGW53" s="10"/>
      <c r="FGX53" s="10"/>
      <c r="FGY53" s="10"/>
      <c r="FGZ53" s="10"/>
      <c r="FHA53" s="10"/>
      <c r="FHB53" s="10"/>
      <c r="FHC53" s="10"/>
      <c r="FHD53" s="10"/>
      <c r="FHE53" s="10"/>
      <c r="FHF53" s="10"/>
      <c r="FHG53" s="10"/>
      <c r="FHH53" s="10"/>
      <c r="FHI53" s="10"/>
      <c r="FHJ53" s="10"/>
      <c r="FHK53" s="10"/>
      <c r="FHL53" s="10"/>
      <c r="FHM53" s="10"/>
      <c r="FHN53" s="10"/>
      <c r="FHO53" s="10"/>
      <c r="FHP53" s="10"/>
      <c r="FHQ53" s="10"/>
      <c r="FHR53" s="10"/>
      <c r="FHS53" s="10"/>
      <c r="FHT53" s="10"/>
      <c r="FHU53" s="10"/>
      <c r="FHV53" s="10"/>
      <c r="FHW53" s="10"/>
      <c r="FHX53" s="10"/>
      <c r="FHY53" s="10"/>
      <c r="FHZ53" s="10"/>
      <c r="FIA53" s="10"/>
      <c r="FIB53" s="10"/>
      <c r="FIC53" s="10"/>
      <c r="FID53" s="10"/>
      <c r="FIE53" s="10"/>
      <c r="FIF53" s="10"/>
      <c r="FIG53" s="10"/>
      <c r="FIH53" s="10"/>
      <c r="FII53" s="10"/>
      <c r="FIJ53" s="10"/>
      <c r="FIK53" s="10"/>
      <c r="FIL53" s="10"/>
      <c r="FIM53" s="10"/>
      <c r="FIN53" s="10"/>
      <c r="FIO53" s="10"/>
      <c r="FIP53" s="10"/>
      <c r="FIQ53" s="10"/>
      <c r="FIR53" s="10"/>
      <c r="FIS53" s="10"/>
      <c r="FIT53" s="10"/>
      <c r="FIU53" s="10"/>
      <c r="FIV53" s="10"/>
      <c r="FIW53" s="10"/>
      <c r="FIX53" s="10"/>
      <c r="FIY53" s="10"/>
      <c r="FIZ53" s="10"/>
      <c r="FJA53" s="10"/>
      <c r="FJB53" s="10"/>
      <c r="FJC53" s="10"/>
      <c r="FJD53" s="10"/>
      <c r="FJE53" s="10"/>
      <c r="FJF53" s="10"/>
      <c r="FJG53" s="10"/>
      <c r="FJH53" s="10"/>
      <c r="FJI53" s="10"/>
      <c r="FJJ53" s="10"/>
      <c r="FJK53" s="10"/>
      <c r="FJL53" s="10"/>
      <c r="FJM53" s="10"/>
      <c r="FJN53" s="10"/>
      <c r="FJO53" s="10"/>
      <c r="FJP53" s="10"/>
      <c r="FJQ53" s="10"/>
      <c r="FJR53" s="10"/>
      <c r="FJS53" s="10"/>
      <c r="FJT53" s="10"/>
      <c r="FJU53" s="10"/>
      <c r="FJV53" s="10"/>
      <c r="FJW53" s="10"/>
      <c r="FJX53" s="10"/>
      <c r="FJY53" s="10"/>
      <c r="FJZ53" s="10"/>
      <c r="FKA53" s="10"/>
      <c r="FKB53" s="10"/>
      <c r="FKC53" s="10"/>
      <c r="FKD53" s="10"/>
      <c r="FKE53" s="10"/>
      <c r="FKF53" s="10"/>
      <c r="FKG53" s="10"/>
      <c r="FKH53" s="10"/>
      <c r="FKI53" s="10"/>
      <c r="FKJ53" s="10"/>
      <c r="FKK53" s="10"/>
      <c r="FKL53" s="10"/>
      <c r="FKM53" s="10"/>
      <c r="FKN53" s="10"/>
      <c r="FKO53" s="10"/>
      <c r="FKP53" s="10"/>
      <c r="FKQ53" s="10"/>
      <c r="FKR53" s="10"/>
      <c r="FKS53" s="10"/>
      <c r="FKT53" s="10"/>
      <c r="FKU53" s="10"/>
      <c r="FKV53" s="10"/>
      <c r="FKW53" s="10"/>
      <c r="FKX53" s="10"/>
      <c r="FKY53" s="10"/>
      <c r="FKZ53" s="10"/>
      <c r="FLA53" s="10"/>
      <c r="FLB53" s="10"/>
      <c r="FLC53" s="10"/>
      <c r="FLD53" s="10"/>
      <c r="FLE53" s="10"/>
      <c r="FLF53" s="10"/>
      <c r="FLG53" s="10"/>
      <c r="FLH53" s="10"/>
      <c r="FLI53" s="10"/>
      <c r="FLJ53" s="10"/>
      <c r="FLK53" s="10"/>
      <c r="FLL53" s="10"/>
      <c r="FLM53" s="10"/>
      <c r="FLN53" s="10"/>
      <c r="FLO53" s="10"/>
      <c r="FLP53" s="10"/>
      <c r="FLQ53" s="10"/>
      <c r="FLR53" s="10"/>
      <c r="FLS53" s="10"/>
      <c r="FLT53" s="10"/>
      <c r="FLU53" s="10"/>
      <c r="FLV53" s="10"/>
      <c r="FLW53" s="10"/>
      <c r="FLX53" s="10"/>
      <c r="FLY53" s="10"/>
      <c r="FLZ53" s="10"/>
      <c r="FMA53" s="10"/>
      <c r="FMB53" s="10"/>
      <c r="FMC53" s="10"/>
      <c r="FMD53" s="10"/>
      <c r="FME53" s="10"/>
      <c r="FMF53" s="10"/>
      <c r="FMG53" s="10"/>
      <c r="FMH53" s="10"/>
      <c r="FMI53" s="10"/>
      <c r="FMJ53" s="10"/>
      <c r="FMK53" s="10"/>
      <c r="FML53" s="10"/>
      <c r="FMM53" s="10"/>
      <c r="FMN53" s="10"/>
      <c r="FMO53" s="10"/>
      <c r="FMP53" s="10"/>
      <c r="FMQ53" s="10"/>
      <c r="FMR53" s="10"/>
      <c r="FMS53" s="10"/>
      <c r="FMT53" s="10"/>
      <c r="FMU53" s="10"/>
      <c r="FMV53" s="10"/>
      <c r="FMW53" s="10"/>
      <c r="FMX53" s="10"/>
      <c r="FMY53" s="10"/>
      <c r="FMZ53" s="10"/>
      <c r="FNA53" s="10"/>
      <c r="FNB53" s="10"/>
      <c r="FNC53" s="10"/>
      <c r="FND53" s="10"/>
      <c r="FNE53" s="10"/>
      <c r="FNF53" s="10"/>
      <c r="FNG53" s="10"/>
      <c r="FNH53" s="10"/>
      <c r="FNI53" s="10"/>
      <c r="FNJ53" s="10"/>
      <c r="FNK53" s="10"/>
      <c r="FNL53" s="10"/>
      <c r="FNM53" s="10"/>
      <c r="FNN53" s="10"/>
      <c r="FNO53" s="10"/>
      <c r="FNP53" s="10"/>
      <c r="FNQ53" s="10"/>
      <c r="FNR53" s="10"/>
      <c r="FNS53" s="10"/>
      <c r="FNT53" s="10"/>
      <c r="FNU53" s="10"/>
      <c r="FNV53" s="10"/>
      <c r="FNW53" s="10"/>
      <c r="FNX53" s="10"/>
      <c r="FNY53" s="10"/>
      <c r="FNZ53" s="10"/>
      <c r="FOA53" s="10"/>
      <c r="FOB53" s="10"/>
      <c r="FOC53" s="10"/>
      <c r="FOD53" s="10"/>
      <c r="FOE53" s="10"/>
      <c r="FOF53" s="10"/>
      <c r="FOG53" s="10"/>
      <c r="FOH53" s="10"/>
      <c r="FOI53" s="10"/>
      <c r="FOJ53" s="10"/>
      <c r="FOK53" s="10"/>
      <c r="FOL53" s="10"/>
      <c r="FOM53" s="10"/>
      <c r="FON53" s="10"/>
      <c r="FOO53" s="10"/>
      <c r="FOP53" s="10"/>
      <c r="FOQ53" s="10"/>
      <c r="FOR53" s="10"/>
      <c r="FOS53" s="10"/>
      <c r="FOT53" s="10"/>
      <c r="FOU53" s="10"/>
      <c r="FOV53" s="10"/>
      <c r="FOW53" s="10"/>
      <c r="FOX53" s="10"/>
      <c r="FOY53" s="10"/>
      <c r="FOZ53" s="10"/>
      <c r="FPA53" s="10"/>
      <c r="FPB53" s="10"/>
      <c r="FPC53" s="10"/>
      <c r="FPD53" s="10"/>
      <c r="FPE53" s="10"/>
      <c r="FPF53" s="10"/>
      <c r="FPG53" s="10"/>
      <c r="FPH53" s="10"/>
      <c r="FPI53" s="10"/>
      <c r="FPJ53" s="10"/>
      <c r="FPK53" s="10"/>
      <c r="FPL53" s="10"/>
      <c r="FPM53" s="10"/>
      <c r="FPN53" s="10"/>
      <c r="FPO53" s="10"/>
      <c r="FPP53" s="10"/>
      <c r="FPQ53" s="10"/>
      <c r="FPR53" s="10"/>
      <c r="FPS53" s="10"/>
      <c r="FPT53" s="10"/>
      <c r="FPU53" s="10"/>
      <c r="FPV53" s="10"/>
      <c r="FPW53" s="10"/>
      <c r="FPX53" s="10"/>
      <c r="FPY53" s="10"/>
      <c r="FPZ53" s="10"/>
      <c r="FQA53" s="10"/>
      <c r="FQB53" s="10"/>
      <c r="FQC53" s="10"/>
      <c r="FQD53" s="10"/>
      <c r="FQE53" s="10"/>
      <c r="FQF53" s="10"/>
      <c r="FQG53" s="10"/>
      <c r="FQH53" s="10"/>
      <c r="FQI53" s="10"/>
      <c r="FQJ53" s="10"/>
      <c r="FQK53" s="10"/>
      <c r="FQL53" s="10"/>
      <c r="FQM53" s="10"/>
      <c r="FQN53" s="10"/>
      <c r="FQO53" s="10"/>
      <c r="FQP53" s="10"/>
      <c r="FQQ53" s="10"/>
      <c r="FQR53" s="10"/>
      <c r="FQS53" s="10"/>
      <c r="FQT53" s="10"/>
      <c r="FQU53" s="10"/>
      <c r="FQV53" s="10"/>
      <c r="FQW53" s="10"/>
      <c r="FQX53" s="10"/>
      <c r="FQY53" s="10"/>
      <c r="FQZ53" s="10"/>
      <c r="FRA53" s="10"/>
      <c r="FRB53" s="10"/>
      <c r="FRC53" s="10"/>
      <c r="FRD53" s="10"/>
      <c r="FRE53" s="10"/>
      <c r="FRF53" s="10"/>
      <c r="FRG53" s="10"/>
      <c r="FRH53" s="10"/>
      <c r="FRI53" s="10"/>
      <c r="FRJ53" s="10"/>
      <c r="FRK53" s="10"/>
      <c r="FRL53" s="10"/>
      <c r="FRM53" s="10"/>
      <c r="FRN53" s="10"/>
      <c r="FRO53" s="10"/>
      <c r="FRP53" s="10"/>
      <c r="FRQ53" s="10"/>
      <c r="FRR53" s="10"/>
      <c r="FRS53" s="10"/>
      <c r="FRT53" s="10"/>
      <c r="FRU53" s="10"/>
      <c r="FRV53" s="10"/>
      <c r="FRW53" s="10"/>
      <c r="FRX53" s="10"/>
      <c r="FRY53" s="10"/>
      <c r="FRZ53" s="10"/>
      <c r="FSA53" s="10"/>
      <c r="FSB53" s="10"/>
      <c r="FSC53" s="10"/>
      <c r="FSD53" s="10"/>
      <c r="FSE53" s="10"/>
      <c r="FSF53" s="10"/>
      <c r="FSG53" s="10"/>
      <c r="FSH53" s="10"/>
      <c r="FSI53" s="10"/>
      <c r="FSJ53" s="10"/>
      <c r="FSK53" s="10"/>
      <c r="FSL53" s="10"/>
      <c r="FSM53" s="10"/>
      <c r="FSN53" s="10"/>
      <c r="FSO53" s="10"/>
      <c r="FSP53" s="10"/>
      <c r="FSQ53" s="10"/>
      <c r="FSR53" s="10"/>
      <c r="FSS53" s="10"/>
      <c r="FST53" s="10"/>
      <c r="FSU53" s="10"/>
      <c r="FSV53" s="10"/>
      <c r="FSW53" s="10"/>
      <c r="FSX53" s="10"/>
      <c r="FSY53" s="10"/>
      <c r="FSZ53" s="10"/>
      <c r="FTA53" s="10"/>
      <c r="FTB53" s="10"/>
      <c r="FTC53" s="10"/>
      <c r="FTD53" s="10"/>
      <c r="FTE53" s="10"/>
      <c r="FTF53" s="10"/>
      <c r="FTG53" s="10"/>
      <c r="FTH53" s="10"/>
      <c r="FTI53" s="10"/>
      <c r="FTJ53" s="10"/>
      <c r="FTK53" s="10"/>
      <c r="FTL53" s="10"/>
      <c r="FTM53" s="10"/>
      <c r="FTN53" s="10"/>
      <c r="FTO53" s="10"/>
      <c r="FTP53" s="10"/>
      <c r="FTQ53" s="10"/>
      <c r="FTR53" s="10"/>
      <c r="FTS53" s="10"/>
      <c r="FTT53" s="10"/>
      <c r="FTU53" s="10"/>
      <c r="FTV53" s="10"/>
      <c r="FTW53" s="10"/>
      <c r="FTX53" s="10"/>
      <c r="FTY53" s="10"/>
      <c r="FTZ53" s="10"/>
      <c r="FUA53" s="10"/>
      <c r="FUB53" s="10"/>
      <c r="FUC53" s="10"/>
      <c r="FUD53" s="10"/>
      <c r="FUE53" s="10"/>
      <c r="FUF53" s="10"/>
      <c r="FUG53" s="10"/>
      <c r="FUH53" s="10"/>
      <c r="FUI53" s="10"/>
      <c r="FUJ53" s="10"/>
      <c r="FUK53" s="10"/>
      <c r="FUL53" s="10"/>
      <c r="FUM53" s="10"/>
      <c r="FUN53" s="10"/>
      <c r="FUO53" s="10"/>
      <c r="FUP53" s="10"/>
      <c r="FUQ53" s="10"/>
      <c r="FUR53" s="10"/>
      <c r="FUS53" s="10"/>
      <c r="FUT53" s="10"/>
      <c r="FUU53" s="10"/>
      <c r="FUV53" s="10"/>
      <c r="FUW53" s="10"/>
      <c r="FUX53" s="10"/>
      <c r="FUY53" s="10"/>
      <c r="FUZ53" s="10"/>
      <c r="FVA53" s="10"/>
      <c r="FVB53" s="10"/>
      <c r="FVC53" s="10"/>
      <c r="FVD53" s="10"/>
      <c r="FVE53" s="10"/>
      <c r="FVF53" s="10"/>
      <c r="FVG53" s="10"/>
      <c r="FVH53" s="10"/>
      <c r="FVI53" s="10"/>
      <c r="FVJ53" s="10"/>
      <c r="FVK53" s="10"/>
      <c r="FVL53" s="10"/>
      <c r="FVM53" s="10"/>
      <c r="FVN53" s="10"/>
      <c r="FVO53" s="10"/>
      <c r="FVP53" s="10"/>
      <c r="FVQ53" s="10"/>
      <c r="FVR53" s="10"/>
      <c r="FVS53" s="10"/>
      <c r="FVT53" s="10"/>
      <c r="FVU53" s="10"/>
      <c r="FVV53" s="10"/>
      <c r="FVW53" s="10"/>
      <c r="FVX53" s="10"/>
      <c r="FVY53" s="10"/>
      <c r="FVZ53" s="10"/>
      <c r="FWA53" s="10"/>
      <c r="FWB53" s="10"/>
      <c r="FWC53" s="10"/>
      <c r="FWD53" s="10"/>
      <c r="FWE53" s="10"/>
      <c r="FWF53" s="10"/>
      <c r="FWG53" s="10"/>
      <c r="FWH53" s="10"/>
      <c r="FWI53" s="10"/>
      <c r="FWJ53" s="10"/>
      <c r="FWK53" s="10"/>
      <c r="FWL53" s="10"/>
      <c r="FWM53" s="10"/>
      <c r="FWN53" s="10"/>
      <c r="FWO53" s="10"/>
      <c r="FWP53" s="10"/>
      <c r="FWQ53" s="10"/>
      <c r="FWR53" s="10"/>
      <c r="FWS53" s="10"/>
      <c r="FWT53" s="10"/>
      <c r="FWU53" s="10"/>
      <c r="FWV53" s="10"/>
      <c r="FWW53" s="10"/>
      <c r="FWX53" s="10"/>
      <c r="FWY53" s="10"/>
      <c r="FWZ53" s="10"/>
      <c r="FXA53" s="10"/>
      <c r="FXB53" s="10"/>
      <c r="FXC53" s="10"/>
      <c r="FXD53" s="10"/>
      <c r="FXE53" s="10"/>
      <c r="FXF53" s="10"/>
      <c r="FXG53" s="10"/>
      <c r="FXH53" s="10"/>
      <c r="FXI53" s="10"/>
      <c r="FXJ53" s="10"/>
      <c r="FXK53" s="10"/>
      <c r="FXL53" s="10"/>
      <c r="FXM53" s="10"/>
      <c r="FXN53" s="10"/>
      <c r="FXO53" s="10"/>
      <c r="FXP53" s="10"/>
      <c r="FXQ53" s="10"/>
      <c r="FXR53" s="10"/>
      <c r="FXS53" s="10"/>
      <c r="FXT53" s="10"/>
      <c r="FXU53" s="10"/>
      <c r="FXV53" s="10"/>
      <c r="FXW53" s="10"/>
      <c r="FXX53" s="10"/>
      <c r="FXY53" s="10"/>
      <c r="FXZ53" s="10"/>
      <c r="FYA53" s="10"/>
      <c r="FYB53" s="10"/>
      <c r="FYC53" s="10"/>
      <c r="FYD53" s="10"/>
      <c r="FYE53" s="10"/>
      <c r="FYF53" s="10"/>
      <c r="FYG53" s="10"/>
      <c r="FYH53" s="10"/>
      <c r="FYI53" s="10"/>
      <c r="FYJ53" s="10"/>
      <c r="FYK53" s="10"/>
      <c r="FYL53" s="10"/>
      <c r="FYM53" s="10"/>
      <c r="FYN53" s="10"/>
      <c r="FYO53" s="10"/>
      <c r="FYP53" s="10"/>
      <c r="FYQ53" s="10"/>
      <c r="FYR53" s="10"/>
      <c r="FYS53" s="10"/>
      <c r="FYT53" s="10"/>
      <c r="FYU53" s="10"/>
      <c r="FYV53" s="10"/>
      <c r="FYW53" s="10"/>
      <c r="FYX53" s="10"/>
      <c r="FYY53" s="10"/>
      <c r="FYZ53" s="10"/>
      <c r="FZA53" s="10"/>
      <c r="FZB53" s="10"/>
      <c r="FZC53" s="10"/>
      <c r="FZD53" s="10"/>
      <c r="FZE53" s="10"/>
      <c r="FZF53" s="10"/>
      <c r="FZG53" s="10"/>
      <c r="FZH53" s="10"/>
      <c r="FZI53" s="10"/>
      <c r="FZJ53" s="10"/>
      <c r="FZK53" s="10"/>
      <c r="FZL53" s="10"/>
      <c r="FZM53" s="10"/>
      <c r="FZN53" s="10"/>
      <c r="FZO53" s="10"/>
      <c r="FZP53" s="10"/>
      <c r="FZQ53" s="10"/>
      <c r="FZR53" s="10"/>
      <c r="FZS53" s="10"/>
      <c r="FZT53" s="10"/>
      <c r="FZU53" s="10"/>
      <c r="FZV53" s="10"/>
      <c r="FZW53" s="10"/>
      <c r="FZX53" s="10"/>
      <c r="FZY53" s="10"/>
      <c r="FZZ53" s="10"/>
      <c r="GAA53" s="10"/>
      <c r="GAB53" s="10"/>
      <c r="GAC53" s="10"/>
      <c r="GAD53" s="10"/>
      <c r="GAE53" s="10"/>
      <c r="GAF53" s="10"/>
      <c r="GAG53" s="10"/>
      <c r="GAH53" s="10"/>
      <c r="GAI53" s="10"/>
      <c r="GAJ53" s="10"/>
      <c r="GAK53" s="10"/>
      <c r="GAL53" s="10"/>
      <c r="GAM53" s="10"/>
      <c r="GAN53" s="10"/>
      <c r="GAO53" s="10"/>
      <c r="GAP53" s="10"/>
      <c r="GAQ53" s="10"/>
      <c r="GAR53" s="10"/>
      <c r="GAS53" s="10"/>
      <c r="GAT53" s="10"/>
      <c r="GAU53" s="10"/>
      <c r="GAV53" s="10"/>
      <c r="GAW53" s="10"/>
      <c r="GAX53" s="10"/>
      <c r="GAY53" s="10"/>
      <c r="GAZ53" s="10"/>
      <c r="GBA53" s="10"/>
      <c r="GBB53" s="10"/>
      <c r="GBC53" s="10"/>
      <c r="GBD53" s="10"/>
      <c r="GBE53" s="10"/>
      <c r="GBF53" s="10"/>
      <c r="GBG53" s="10"/>
      <c r="GBH53" s="10"/>
      <c r="GBI53" s="10"/>
      <c r="GBJ53" s="10"/>
      <c r="GBK53" s="10"/>
      <c r="GBL53" s="10"/>
      <c r="GBM53" s="10"/>
      <c r="GBN53" s="10"/>
      <c r="GBO53" s="10"/>
      <c r="GBP53" s="10"/>
      <c r="GBQ53" s="10"/>
      <c r="GBR53" s="10"/>
      <c r="GBS53" s="10"/>
      <c r="GBT53" s="10"/>
      <c r="GBU53" s="10"/>
      <c r="GBV53" s="10"/>
      <c r="GBW53" s="10"/>
      <c r="GBX53" s="10"/>
      <c r="GBY53" s="10"/>
      <c r="GBZ53" s="10"/>
      <c r="GCA53" s="10"/>
      <c r="GCB53" s="10"/>
      <c r="GCC53" s="10"/>
      <c r="GCD53" s="10"/>
      <c r="GCE53" s="10"/>
      <c r="GCF53" s="10"/>
      <c r="GCG53" s="10"/>
      <c r="GCH53" s="10"/>
      <c r="GCI53" s="10"/>
      <c r="GCJ53" s="10"/>
      <c r="GCK53" s="10"/>
      <c r="GCL53" s="10"/>
      <c r="GCM53" s="10"/>
      <c r="GCN53" s="10"/>
      <c r="GCO53" s="10"/>
      <c r="GCP53" s="10"/>
      <c r="GCQ53" s="10"/>
      <c r="GCR53" s="10"/>
      <c r="GCS53" s="10"/>
      <c r="GCT53" s="10"/>
      <c r="GCU53" s="10"/>
      <c r="GCV53" s="10"/>
      <c r="GCW53" s="10"/>
      <c r="GCX53" s="10"/>
      <c r="GCY53" s="10"/>
      <c r="GCZ53" s="10"/>
      <c r="GDA53" s="10"/>
      <c r="GDB53" s="10"/>
      <c r="GDC53" s="10"/>
      <c r="GDD53" s="10"/>
      <c r="GDE53" s="10"/>
      <c r="GDF53" s="10"/>
      <c r="GDG53" s="10"/>
      <c r="GDH53" s="10"/>
      <c r="GDI53" s="10"/>
      <c r="GDJ53" s="10"/>
      <c r="GDK53" s="10"/>
      <c r="GDL53" s="10"/>
      <c r="GDM53" s="10"/>
      <c r="GDN53" s="10"/>
      <c r="GDO53" s="10"/>
      <c r="GDP53" s="10"/>
      <c r="GDQ53" s="10"/>
      <c r="GDR53" s="10"/>
      <c r="GDS53" s="10"/>
      <c r="GDT53" s="10"/>
      <c r="GDU53" s="10"/>
      <c r="GDV53" s="10"/>
      <c r="GDW53" s="10"/>
      <c r="GDX53" s="10"/>
      <c r="GDY53" s="10"/>
      <c r="GDZ53" s="10"/>
      <c r="GEA53" s="10"/>
      <c r="GEB53" s="10"/>
      <c r="GEC53" s="10"/>
      <c r="GED53" s="10"/>
      <c r="GEE53" s="10"/>
      <c r="GEF53" s="10"/>
      <c r="GEG53" s="10"/>
      <c r="GEH53" s="10"/>
      <c r="GEI53" s="10"/>
      <c r="GEJ53" s="10"/>
      <c r="GEK53" s="10"/>
      <c r="GEL53" s="10"/>
      <c r="GEM53" s="10"/>
      <c r="GEN53" s="10"/>
      <c r="GEO53" s="10"/>
      <c r="GEP53" s="10"/>
      <c r="GEQ53" s="10"/>
      <c r="GER53" s="10"/>
      <c r="GES53" s="10"/>
      <c r="GET53" s="10"/>
      <c r="GEU53" s="10"/>
      <c r="GEV53" s="10"/>
      <c r="GEW53" s="10"/>
      <c r="GEX53" s="10"/>
      <c r="GEY53" s="10"/>
      <c r="GEZ53" s="10"/>
      <c r="GFA53" s="10"/>
      <c r="GFB53" s="10"/>
      <c r="GFC53" s="10"/>
      <c r="GFD53" s="10"/>
      <c r="GFE53" s="10"/>
      <c r="GFF53" s="10"/>
      <c r="GFG53" s="10"/>
      <c r="GFH53" s="10"/>
      <c r="GFI53" s="10"/>
      <c r="GFJ53" s="10"/>
      <c r="GFK53" s="10"/>
      <c r="GFL53" s="10"/>
      <c r="GFM53" s="10"/>
      <c r="GFN53" s="10"/>
      <c r="GFO53" s="10"/>
      <c r="GFP53" s="10"/>
      <c r="GFQ53" s="10"/>
      <c r="GFR53" s="10"/>
      <c r="GFS53" s="10"/>
      <c r="GFT53" s="10"/>
      <c r="GFU53" s="10"/>
      <c r="GFV53" s="10"/>
      <c r="GFW53" s="10"/>
      <c r="GFX53" s="10"/>
      <c r="GFY53" s="10"/>
      <c r="GFZ53" s="10"/>
      <c r="GGA53" s="10"/>
      <c r="GGB53" s="10"/>
      <c r="GGC53" s="10"/>
      <c r="GGD53" s="10"/>
      <c r="GGE53" s="10"/>
      <c r="GGF53" s="10"/>
      <c r="GGG53" s="10"/>
      <c r="GGH53" s="10"/>
      <c r="GGI53" s="10"/>
      <c r="GGJ53" s="10"/>
      <c r="GGK53" s="10"/>
      <c r="GGL53" s="10"/>
      <c r="GGM53" s="10"/>
      <c r="GGN53" s="10"/>
      <c r="GGO53" s="10"/>
      <c r="GGP53" s="10"/>
      <c r="GGQ53" s="10"/>
      <c r="GGR53" s="10"/>
      <c r="GGS53" s="10"/>
      <c r="GGT53" s="10"/>
      <c r="GGU53" s="10"/>
      <c r="GGV53" s="10"/>
      <c r="GGW53" s="10"/>
      <c r="GGX53" s="10"/>
      <c r="GGY53" s="10"/>
      <c r="GGZ53" s="10"/>
      <c r="GHA53" s="10"/>
      <c r="GHB53" s="10"/>
      <c r="GHC53" s="10"/>
      <c r="GHD53" s="10"/>
      <c r="GHE53" s="10"/>
      <c r="GHF53" s="10"/>
      <c r="GHG53" s="10"/>
      <c r="GHH53" s="10"/>
      <c r="GHI53" s="10"/>
      <c r="GHJ53" s="10"/>
      <c r="GHK53" s="10"/>
      <c r="GHL53" s="10"/>
      <c r="GHM53" s="10"/>
      <c r="GHN53" s="10"/>
      <c r="GHO53" s="10"/>
      <c r="GHP53" s="10"/>
      <c r="GHQ53" s="10"/>
      <c r="GHR53" s="10"/>
      <c r="GHS53" s="10"/>
      <c r="GHT53" s="10"/>
      <c r="GHU53" s="10"/>
      <c r="GHV53" s="10"/>
      <c r="GHW53" s="10"/>
      <c r="GHX53" s="10"/>
      <c r="GHY53" s="10"/>
      <c r="GHZ53" s="10"/>
      <c r="GIA53" s="10"/>
      <c r="GIB53" s="10"/>
      <c r="GIC53" s="10"/>
      <c r="GID53" s="10"/>
      <c r="GIE53" s="10"/>
      <c r="GIF53" s="10"/>
      <c r="GIG53" s="10"/>
      <c r="GIH53" s="10"/>
      <c r="GII53" s="10"/>
      <c r="GIJ53" s="10"/>
      <c r="GIK53" s="10"/>
      <c r="GIL53" s="10"/>
      <c r="GIM53" s="10"/>
      <c r="GIN53" s="10"/>
      <c r="GIO53" s="10"/>
      <c r="GIP53" s="10"/>
      <c r="GIQ53" s="10"/>
      <c r="GIR53" s="10"/>
      <c r="GIS53" s="10"/>
      <c r="GIT53" s="10"/>
      <c r="GIU53" s="10"/>
      <c r="GIV53" s="10"/>
      <c r="GIW53" s="10"/>
      <c r="GIX53" s="10"/>
      <c r="GIY53" s="10"/>
      <c r="GIZ53" s="10"/>
      <c r="GJA53" s="10"/>
      <c r="GJB53" s="10"/>
      <c r="GJC53" s="10"/>
      <c r="GJD53" s="10"/>
      <c r="GJE53" s="10"/>
      <c r="GJF53" s="10"/>
      <c r="GJG53" s="10"/>
      <c r="GJH53" s="10"/>
      <c r="GJI53" s="10"/>
      <c r="GJJ53" s="10"/>
      <c r="GJK53" s="10"/>
      <c r="GJL53" s="10"/>
      <c r="GJM53" s="10"/>
      <c r="GJN53" s="10"/>
      <c r="GJO53" s="10"/>
      <c r="GJP53" s="10"/>
      <c r="GJQ53" s="10"/>
      <c r="GJR53" s="10"/>
      <c r="GJS53" s="10"/>
      <c r="GJT53" s="10"/>
      <c r="GJU53" s="10"/>
      <c r="GJV53" s="10"/>
      <c r="GJW53" s="10"/>
      <c r="GJX53" s="10"/>
      <c r="GJY53" s="10"/>
      <c r="GJZ53" s="10"/>
      <c r="GKA53" s="10"/>
      <c r="GKB53" s="10"/>
      <c r="GKC53" s="10"/>
      <c r="GKD53" s="10"/>
      <c r="GKE53" s="10"/>
      <c r="GKF53" s="10"/>
      <c r="GKG53" s="10"/>
      <c r="GKH53" s="10"/>
      <c r="GKI53" s="10"/>
      <c r="GKJ53" s="10"/>
      <c r="GKK53" s="10"/>
      <c r="GKL53" s="10"/>
      <c r="GKM53" s="10"/>
      <c r="GKN53" s="10"/>
      <c r="GKO53" s="10"/>
      <c r="GKP53" s="10"/>
      <c r="GKQ53" s="10"/>
      <c r="GKR53" s="10"/>
      <c r="GKS53" s="10"/>
      <c r="GKT53" s="10"/>
      <c r="GKU53" s="10"/>
      <c r="GKV53" s="10"/>
      <c r="GKW53" s="10"/>
      <c r="GKX53" s="10"/>
      <c r="GKY53" s="10"/>
      <c r="GKZ53" s="10"/>
      <c r="GLA53" s="10"/>
      <c r="GLB53" s="10"/>
      <c r="GLC53" s="10"/>
      <c r="GLD53" s="10"/>
      <c r="GLE53" s="10"/>
      <c r="GLF53" s="10"/>
      <c r="GLG53" s="10"/>
      <c r="GLH53" s="10"/>
      <c r="GLI53" s="10"/>
      <c r="GLJ53" s="10"/>
      <c r="GLK53" s="10"/>
      <c r="GLL53" s="10"/>
      <c r="GLM53" s="10"/>
      <c r="GLN53" s="10"/>
      <c r="GLO53" s="10"/>
      <c r="GLP53" s="10"/>
      <c r="GLQ53" s="10"/>
      <c r="GLR53" s="10"/>
      <c r="GLS53" s="10"/>
      <c r="GLT53" s="10"/>
      <c r="GLU53" s="10"/>
      <c r="GLV53" s="10"/>
      <c r="GLW53" s="10"/>
      <c r="GLX53" s="10"/>
      <c r="GLY53" s="10"/>
      <c r="GLZ53" s="10"/>
      <c r="GMA53" s="10"/>
      <c r="GMB53" s="10"/>
      <c r="GMC53" s="10"/>
      <c r="GMD53" s="10"/>
      <c r="GME53" s="10"/>
      <c r="GMF53" s="10"/>
      <c r="GMG53" s="10"/>
      <c r="GMH53" s="10"/>
      <c r="GMI53" s="10"/>
      <c r="GMJ53" s="10"/>
      <c r="GMK53" s="10"/>
      <c r="GML53" s="10"/>
      <c r="GMM53" s="10"/>
      <c r="GMN53" s="10"/>
      <c r="GMO53" s="10"/>
      <c r="GMP53" s="10"/>
      <c r="GMQ53" s="10"/>
      <c r="GMR53" s="10"/>
      <c r="GMS53" s="10"/>
      <c r="GMT53" s="10"/>
      <c r="GMU53" s="10"/>
      <c r="GMV53" s="10"/>
      <c r="GMW53" s="10"/>
      <c r="GMX53" s="10"/>
      <c r="GMY53" s="10"/>
      <c r="GMZ53" s="10"/>
      <c r="GNA53" s="10"/>
      <c r="GNB53" s="10"/>
      <c r="GNC53" s="10"/>
      <c r="GND53" s="10"/>
      <c r="GNE53" s="10"/>
      <c r="GNF53" s="10"/>
      <c r="GNG53" s="10"/>
      <c r="GNH53" s="10"/>
      <c r="GNI53" s="10"/>
      <c r="GNJ53" s="10"/>
      <c r="GNK53" s="10"/>
      <c r="GNL53" s="10"/>
      <c r="GNM53" s="10"/>
      <c r="GNN53" s="10"/>
      <c r="GNO53" s="10"/>
      <c r="GNP53" s="10"/>
      <c r="GNQ53" s="10"/>
      <c r="GNR53" s="10"/>
      <c r="GNS53" s="10"/>
      <c r="GNT53" s="10"/>
      <c r="GNU53" s="10"/>
      <c r="GNV53" s="10"/>
      <c r="GNW53" s="10"/>
      <c r="GNX53" s="10"/>
      <c r="GNY53" s="10"/>
      <c r="GNZ53" s="10"/>
      <c r="GOA53" s="10"/>
      <c r="GOB53" s="10"/>
      <c r="GOC53" s="10"/>
      <c r="GOD53" s="10"/>
      <c r="GOE53" s="10"/>
      <c r="GOF53" s="10"/>
      <c r="GOG53" s="10"/>
      <c r="GOH53" s="10"/>
      <c r="GOI53" s="10"/>
      <c r="GOJ53" s="10"/>
      <c r="GOK53" s="10"/>
      <c r="GOL53" s="10"/>
      <c r="GOM53" s="10"/>
      <c r="GON53" s="10"/>
      <c r="GOO53" s="10"/>
      <c r="GOP53" s="10"/>
      <c r="GOQ53" s="10"/>
      <c r="GOR53" s="10"/>
      <c r="GOS53" s="10"/>
      <c r="GOT53" s="10"/>
      <c r="GOU53" s="10"/>
      <c r="GOV53" s="10"/>
      <c r="GOW53" s="10"/>
      <c r="GOX53" s="10"/>
      <c r="GOY53" s="10"/>
      <c r="GOZ53" s="10"/>
      <c r="GPA53" s="10"/>
      <c r="GPB53" s="10"/>
      <c r="GPC53" s="10"/>
      <c r="GPD53" s="10"/>
      <c r="GPE53" s="10"/>
      <c r="GPF53" s="10"/>
      <c r="GPG53" s="10"/>
      <c r="GPH53" s="10"/>
      <c r="GPI53" s="10"/>
      <c r="GPJ53" s="10"/>
      <c r="GPK53" s="10"/>
      <c r="GPL53" s="10"/>
      <c r="GPM53" s="10"/>
      <c r="GPN53" s="10"/>
      <c r="GPO53" s="10"/>
      <c r="GPP53" s="10"/>
      <c r="GPQ53" s="10"/>
      <c r="GPR53" s="10"/>
      <c r="GPS53" s="10"/>
      <c r="GPT53" s="10"/>
      <c r="GPU53" s="10"/>
      <c r="GPV53" s="10"/>
      <c r="GPW53" s="10"/>
      <c r="GPX53" s="10"/>
      <c r="GPY53" s="10"/>
      <c r="GPZ53" s="10"/>
      <c r="GQA53" s="10"/>
      <c r="GQB53" s="10"/>
      <c r="GQC53" s="10"/>
      <c r="GQD53" s="10"/>
      <c r="GQE53" s="10"/>
      <c r="GQF53" s="10"/>
      <c r="GQG53" s="10"/>
      <c r="GQH53" s="10"/>
      <c r="GQI53" s="10"/>
      <c r="GQJ53" s="10"/>
      <c r="GQK53" s="10"/>
      <c r="GQL53" s="10"/>
      <c r="GQM53" s="10"/>
      <c r="GQN53" s="10"/>
      <c r="GQO53" s="10"/>
      <c r="GQP53" s="10"/>
      <c r="GQQ53" s="10"/>
      <c r="GQR53" s="10"/>
      <c r="GQS53" s="10"/>
      <c r="GQT53" s="10"/>
      <c r="GQU53" s="10"/>
      <c r="GQV53" s="10"/>
      <c r="GQW53" s="10"/>
      <c r="GQX53" s="10"/>
      <c r="GQY53" s="10"/>
      <c r="GQZ53" s="10"/>
      <c r="GRA53" s="10"/>
      <c r="GRB53" s="10"/>
      <c r="GRC53" s="10"/>
      <c r="GRD53" s="10"/>
      <c r="GRE53" s="10"/>
      <c r="GRF53" s="10"/>
      <c r="GRG53" s="10"/>
      <c r="GRH53" s="10"/>
      <c r="GRI53" s="10"/>
      <c r="GRJ53" s="10"/>
      <c r="GRK53" s="10"/>
      <c r="GRL53" s="10"/>
      <c r="GRM53" s="10"/>
      <c r="GRN53" s="10"/>
      <c r="GRO53" s="10"/>
      <c r="GRP53" s="10"/>
      <c r="GRQ53" s="10"/>
      <c r="GRR53" s="10"/>
      <c r="GRS53" s="10"/>
      <c r="GRT53" s="10"/>
      <c r="GRU53" s="10"/>
      <c r="GRV53" s="10"/>
      <c r="GRW53" s="10"/>
      <c r="GRX53" s="10"/>
      <c r="GRY53" s="10"/>
      <c r="GRZ53" s="10"/>
      <c r="GSA53" s="10"/>
      <c r="GSB53" s="10"/>
      <c r="GSC53" s="10"/>
      <c r="GSD53" s="10"/>
      <c r="GSE53" s="10"/>
      <c r="GSF53" s="10"/>
      <c r="GSG53" s="10"/>
      <c r="GSH53" s="10"/>
      <c r="GSI53" s="10"/>
      <c r="GSJ53" s="10"/>
      <c r="GSK53" s="10"/>
      <c r="GSL53" s="10"/>
      <c r="GSM53" s="10"/>
      <c r="GSN53" s="10"/>
      <c r="GSO53" s="10"/>
      <c r="GSP53" s="10"/>
      <c r="GSQ53" s="10"/>
      <c r="GSR53" s="10"/>
      <c r="GSS53" s="10"/>
      <c r="GST53" s="10"/>
      <c r="GSU53" s="10"/>
      <c r="GSV53" s="10"/>
      <c r="GSW53" s="10"/>
      <c r="GSX53" s="10"/>
      <c r="GSY53" s="10"/>
      <c r="GSZ53" s="10"/>
      <c r="GTA53" s="10"/>
      <c r="GTB53" s="10"/>
      <c r="GTC53" s="10"/>
      <c r="GTD53" s="10"/>
      <c r="GTE53" s="10"/>
      <c r="GTF53" s="10"/>
      <c r="GTG53" s="10"/>
      <c r="GTH53" s="10"/>
      <c r="GTI53" s="10"/>
      <c r="GTJ53" s="10"/>
      <c r="GTK53" s="10"/>
      <c r="GTL53" s="10"/>
      <c r="GTM53" s="10"/>
      <c r="GTN53" s="10"/>
      <c r="GTO53" s="10"/>
      <c r="GTP53" s="10"/>
      <c r="GTQ53" s="10"/>
      <c r="GTR53" s="10"/>
      <c r="GTS53" s="10"/>
      <c r="GTT53" s="10"/>
      <c r="GTU53" s="10"/>
      <c r="GTV53" s="10"/>
      <c r="GTW53" s="10"/>
      <c r="GTX53" s="10"/>
      <c r="GTY53" s="10"/>
      <c r="GTZ53" s="10"/>
      <c r="GUA53" s="10"/>
      <c r="GUB53" s="10"/>
      <c r="GUC53" s="10"/>
      <c r="GUD53" s="10"/>
      <c r="GUE53" s="10"/>
      <c r="GUF53" s="10"/>
      <c r="GUG53" s="10"/>
      <c r="GUH53" s="10"/>
      <c r="GUI53" s="10"/>
      <c r="GUJ53" s="10"/>
      <c r="GUK53" s="10"/>
      <c r="GUL53" s="10"/>
      <c r="GUM53" s="10"/>
      <c r="GUN53" s="10"/>
      <c r="GUO53" s="10"/>
      <c r="GUP53" s="10"/>
      <c r="GUQ53" s="10"/>
      <c r="GUR53" s="10"/>
      <c r="GUS53" s="10"/>
      <c r="GUT53" s="10"/>
      <c r="GUU53" s="10"/>
      <c r="GUV53" s="10"/>
      <c r="GUW53" s="10"/>
      <c r="GUX53" s="10"/>
      <c r="GUY53" s="10"/>
      <c r="GUZ53" s="10"/>
      <c r="GVA53" s="10"/>
      <c r="GVB53" s="10"/>
      <c r="GVC53" s="10"/>
      <c r="GVD53" s="10"/>
      <c r="GVE53" s="10"/>
      <c r="GVF53" s="10"/>
      <c r="GVG53" s="10"/>
      <c r="GVH53" s="10"/>
      <c r="GVI53" s="10"/>
      <c r="GVJ53" s="10"/>
      <c r="GVK53" s="10"/>
      <c r="GVL53" s="10"/>
      <c r="GVM53" s="10"/>
      <c r="GVN53" s="10"/>
      <c r="GVO53" s="10"/>
      <c r="GVP53" s="10"/>
      <c r="GVQ53" s="10"/>
      <c r="GVR53" s="10"/>
      <c r="GVS53" s="10"/>
      <c r="GVT53" s="10"/>
      <c r="GVU53" s="10"/>
      <c r="GVV53" s="10"/>
      <c r="GVW53" s="10"/>
      <c r="GVX53" s="10"/>
      <c r="GVY53" s="10"/>
      <c r="GVZ53" s="10"/>
      <c r="GWA53" s="10"/>
      <c r="GWB53" s="10"/>
      <c r="GWC53" s="10"/>
      <c r="GWD53" s="10"/>
      <c r="GWE53" s="10"/>
      <c r="GWF53" s="10"/>
      <c r="GWG53" s="10"/>
      <c r="GWH53" s="10"/>
      <c r="GWI53" s="10"/>
      <c r="GWJ53" s="10"/>
      <c r="GWK53" s="10"/>
      <c r="GWL53" s="10"/>
      <c r="GWM53" s="10"/>
      <c r="GWN53" s="10"/>
      <c r="GWO53" s="10"/>
      <c r="GWP53" s="10"/>
      <c r="GWQ53" s="10"/>
      <c r="GWR53" s="10"/>
      <c r="GWS53" s="10"/>
      <c r="GWT53" s="10"/>
      <c r="GWU53" s="10"/>
      <c r="GWV53" s="10"/>
      <c r="GWW53" s="10"/>
      <c r="GWX53" s="10"/>
      <c r="GWY53" s="10"/>
      <c r="GWZ53" s="10"/>
      <c r="GXA53" s="10"/>
      <c r="GXB53" s="10"/>
      <c r="GXC53" s="10"/>
      <c r="GXD53" s="10"/>
      <c r="GXE53" s="10"/>
      <c r="GXF53" s="10"/>
      <c r="GXG53" s="10"/>
      <c r="GXH53" s="10"/>
      <c r="GXI53" s="10"/>
      <c r="GXJ53" s="10"/>
      <c r="GXK53" s="10"/>
      <c r="GXL53" s="10"/>
      <c r="GXM53" s="10"/>
      <c r="GXN53" s="10"/>
      <c r="GXO53" s="10"/>
      <c r="GXP53" s="10"/>
      <c r="GXQ53" s="10"/>
      <c r="GXR53" s="10"/>
      <c r="GXS53" s="10"/>
      <c r="GXT53" s="10"/>
      <c r="GXU53" s="10"/>
      <c r="GXV53" s="10"/>
      <c r="GXW53" s="10"/>
      <c r="GXX53" s="10"/>
      <c r="GXY53" s="10"/>
      <c r="GXZ53" s="10"/>
      <c r="GYA53" s="10"/>
      <c r="GYB53" s="10"/>
      <c r="GYC53" s="10"/>
      <c r="GYD53" s="10"/>
      <c r="GYE53" s="10"/>
      <c r="GYF53" s="10"/>
      <c r="GYG53" s="10"/>
      <c r="GYH53" s="10"/>
      <c r="GYI53" s="10"/>
      <c r="GYJ53" s="10"/>
      <c r="GYK53" s="10"/>
      <c r="GYL53" s="10"/>
      <c r="GYM53" s="10"/>
      <c r="GYN53" s="10"/>
      <c r="GYO53" s="10"/>
      <c r="GYP53" s="10"/>
      <c r="GYQ53" s="10"/>
      <c r="GYR53" s="10"/>
      <c r="GYS53" s="10"/>
      <c r="GYT53" s="10"/>
      <c r="GYU53" s="10"/>
      <c r="GYV53" s="10"/>
      <c r="GYW53" s="10"/>
      <c r="GYX53" s="10"/>
      <c r="GYY53" s="10"/>
      <c r="GYZ53" s="10"/>
      <c r="GZA53" s="10"/>
      <c r="GZB53" s="10"/>
      <c r="GZC53" s="10"/>
      <c r="GZD53" s="10"/>
      <c r="GZE53" s="10"/>
      <c r="GZF53" s="10"/>
      <c r="GZG53" s="10"/>
      <c r="GZH53" s="10"/>
      <c r="GZI53" s="10"/>
      <c r="GZJ53" s="10"/>
      <c r="GZK53" s="10"/>
      <c r="GZL53" s="10"/>
      <c r="GZM53" s="10"/>
      <c r="GZN53" s="10"/>
      <c r="GZO53" s="10"/>
      <c r="GZP53" s="10"/>
      <c r="GZQ53" s="10"/>
      <c r="GZR53" s="10"/>
      <c r="GZS53" s="10"/>
      <c r="GZT53" s="10"/>
      <c r="GZU53" s="10"/>
      <c r="GZV53" s="10"/>
      <c r="GZW53" s="10"/>
      <c r="GZX53" s="10"/>
      <c r="GZY53" s="10"/>
      <c r="GZZ53" s="10"/>
      <c r="HAA53" s="10"/>
      <c r="HAB53" s="10"/>
      <c r="HAC53" s="10"/>
      <c r="HAD53" s="10"/>
      <c r="HAE53" s="10"/>
      <c r="HAF53" s="10"/>
      <c r="HAG53" s="10"/>
      <c r="HAH53" s="10"/>
      <c r="HAI53" s="10"/>
      <c r="HAJ53" s="10"/>
      <c r="HAK53" s="10"/>
      <c r="HAL53" s="10"/>
      <c r="HAM53" s="10"/>
      <c r="HAN53" s="10"/>
      <c r="HAO53" s="10"/>
      <c r="HAP53" s="10"/>
      <c r="HAQ53" s="10"/>
      <c r="HAR53" s="10"/>
      <c r="HAS53" s="10"/>
      <c r="HAT53" s="10"/>
      <c r="HAU53" s="10"/>
      <c r="HAV53" s="10"/>
      <c r="HAW53" s="10"/>
      <c r="HAX53" s="10"/>
      <c r="HAY53" s="10"/>
      <c r="HAZ53" s="10"/>
      <c r="HBA53" s="10"/>
      <c r="HBB53" s="10"/>
      <c r="HBC53" s="10"/>
      <c r="HBD53" s="10"/>
      <c r="HBE53" s="10"/>
      <c r="HBF53" s="10"/>
      <c r="HBG53" s="10"/>
      <c r="HBH53" s="10"/>
      <c r="HBI53" s="10"/>
      <c r="HBJ53" s="10"/>
      <c r="HBK53" s="10"/>
      <c r="HBL53" s="10"/>
      <c r="HBM53" s="10"/>
      <c r="HBN53" s="10"/>
      <c r="HBO53" s="10"/>
      <c r="HBP53" s="10"/>
      <c r="HBQ53" s="10"/>
      <c r="HBR53" s="10"/>
      <c r="HBS53" s="10"/>
      <c r="HBT53" s="10"/>
      <c r="HBU53" s="10"/>
      <c r="HBV53" s="10"/>
      <c r="HBW53" s="10"/>
      <c r="HBX53" s="10"/>
      <c r="HBY53" s="10"/>
      <c r="HBZ53" s="10"/>
      <c r="HCA53" s="10"/>
      <c r="HCB53" s="10"/>
      <c r="HCC53" s="10"/>
      <c r="HCD53" s="10"/>
      <c r="HCE53" s="10"/>
      <c r="HCF53" s="10"/>
      <c r="HCG53" s="10"/>
      <c r="HCH53" s="10"/>
      <c r="HCI53" s="10"/>
      <c r="HCJ53" s="10"/>
      <c r="HCK53" s="10"/>
      <c r="HCL53" s="10"/>
      <c r="HCM53" s="10"/>
      <c r="HCN53" s="10"/>
      <c r="HCO53" s="10"/>
      <c r="HCP53" s="10"/>
      <c r="HCQ53" s="10"/>
      <c r="HCR53" s="10"/>
      <c r="HCS53" s="10"/>
      <c r="HCT53" s="10"/>
      <c r="HCU53" s="10"/>
      <c r="HCV53" s="10"/>
      <c r="HCW53" s="10"/>
      <c r="HCX53" s="10"/>
      <c r="HCY53" s="10"/>
      <c r="HCZ53" s="10"/>
      <c r="HDA53" s="10"/>
      <c r="HDB53" s="10"/>
      <c r="HDC53" s="10"/>
      <c r="HDD53" s="10"/>
      <c r="HDE53" s="10"/>
      <c r="HDF53" s="10"/>
      <c r="HDG53" s="10"/>
      <c r="HDH53" s="10"/>
      <c r="HDI53" s="10"/>
      <c r="HDJ53" s="10"/>
      <c r="HDK53" s="10"/>
      <c r="HDL53" s="10"/>
      <c r="HDM53" s="10"/>
      <c r="HDN53" s="10"/>
      <c r="HDO53" s="10"/>
      <c r="HDP53" s="10"/>
      <c r="HDQ53" s="10"/>
      <c r="HDR53" s="10"/>
      <c r="HDS53" s="10"/>
      <c r="HDT53" s="10"/>
      <c r="HDU53" s="10"/>
      <c r="HDV53" s="10"/>
      <c r="HDW53" s="10"/>
      <c r="HDX53" s="10"/>
      <c r="HDY53" s="10"/>
      <c r="HDZ53" s="10"/>
      <c r="HEA53" s="10"/>
      <c r="HEB53" s="10"/>
      <c r="HEC53" s="10"/>
      <c r="HED53" s="10"/>
      <c r="HEE53" s="10"/>
      <c r="HEF53" s="10"/>
      <c r="HEG53" s="10"/>
      <c r="HEH53" s="10"/>
      <c r="HEI53" s="10"/>
      <c r="HEJ53" s="10"/>
      <c r="HEK53" s="10"/>
      <c r="HEL53" s="10"/>
      <c r="HEM53" s="10"/>
      <c r="HEN53" s="10"/>
      <c r="HEO53" s="10"/>
      <c r="HEP53" s="10"/>
      <c r="HEQ53" s="10"/>
      <c r="HER53" s="10"/>
      <c r="HES53" s="10"/>
      <c r="HET53" s="10"/>
      <c r="HEU53" s="10"/>
      <c r="HEV53" s="10"/>
      <c r="HEW53" s="10"/>
      <c r="HEX53" s="10"/>
      <c r="HEY53" s="10"/>
      <c r="HEZ53" s="10"/>
      <c r="HFA53" s="10"/>
      <c r="HFB53" s="10"/>
      <c r="HFC53" s="10"/>
      <c r="HFD53" s="10"/>
      <c r="HFE53" s="10"/>
      <c r="HFF53" s="10"/>
      <c r="HFG53" s="10"/>
      <c r="HFH53" s="10"/>
      <c r="HFI53" s="10"/>
      <c r="HFJ53" s="10"/>
      <c r="HFK53" s="10"/>
      <c r="HFL53" s="10"/>
      <c r="HFM53" s="10"/>
      <c r="HFN53" s="10"/>
      <c r="HFO53" s="10"/>
      <c r="HFP53" s="10"/>
      <c r="HFQ53" s="10"/>
      <c r="HFR53" s="10"/>
      <c r="HFS53" s="10"/>
      <c r="HFT53" s="10"/>
      <c r="HFU53" s="10"/>
      <c r="HFV53" s="10"/>
      <c r="HFW53" s="10"/>
      <c r="HFX53" s="10"/>
      <c r="HFY53" s="10"/>
      <c r="HFZ53" s="10"/>
      <c r="HGA53" s="10"/>
      <c r="HGB53" s="10"/>
      <c r="HGC53" s="10"/>
      <c r="HGD53" s="10"/>
      <c r="HGE53" s="10"/>
      <c r="HGF53" s="10"/>
      <c r="HGG53" s="10"/>
      <c r="HGH53" s="10"/>
      <c r="HGI53" s="10"/>
      <c r="HGJ53" s="10"/>
      <c r="HGK53" s="10"/>
      <c r="HGL53" s="10"/>
      <c r="HGM53" s="10"/>
      <c r="HGN53" s="10"/>
      <c r="HGO53" s="10"/>
      <c r="HGP53" s="10"/>
      <c r="HGQ53" s="10"/>
      <c r="HGR53" s="10"/>
      <c r="HGS53" s="10"/>
      <c r="HGT53" s="10"/>
      <c r="HGU53" s="10"/>
      <c r="HGV53" s="10"/>
      <c r="HGW53" s="10"/>
      <c r="HGX53" s="10"/>
      <c r="HGY53" s="10"/>
      <c r="HGZ53" s="10"/>
      <c r="HHA53" s="10"/>
      <c r="HHB53" s="10"/>
      <c r="HHC53" s="10"/>
      <c r="HHD53" s="10"/>
      <c r="HHE53" s="10"/>
      <c r="HHF53" s="10"/>
      <c r="HHG53" s="10"/>
      <c r="HHH53" s="10"/>
      <c r="HHI53" s="10"/>
      <c r="HHJ53" s="10"/>
      <c r="HHK53" s="10"/>
      <c r="HHL53" s="10"/>
      <c r="HHM53" s="10"/>
      <c r="HHN53" s="10"/>
      <c r="HHO53" s="10"/>
      <c r="HHP53" s="10"/>
      <c r="HHQ53" s="10"/>
      <c r="HHR53" s="10"/>
      <c r="HHS53" s="10"/>
      <c r="HHT53" s="10"/>
      <c r="HHU53" s="10"/>
      <c r="HHV53" s="10"/>
      <c r="HHW53" s="10"/>
      <c r="HHX53" s="10"/>
      <c r="HHY53" s="10"/>
      <c r="HHZ53" s="10"/>
      <c r="HIA53" s="10"/>
      <c r="HIB53" s="10"/>
      <c r="HIC53" s="10"/>
      <c r="HID53" s="10"/>
      <c r="HIE53" s="10"/>
      <c r="HIF53" s="10"/>
      <c r="HIG53" s="10"/>
      <c r="HIH53" s="10"/>
      <c r="HII53" s="10"/>
      <c r="HIJ53" s="10"/>
      <c r="HIK53" s="10"/>
      <c r="HIL53" s="10"/>
      <c r="HIM53" s="10"/>
      <c r="HIN53" s="10"/>
      <c r="HIO53" s="10"/>
      <c r="HIP53" s="10"/>
      <c r="HIQ53" s="10"/>
      <c r="HIR53" s="10"/>
      <c r="HIS53" s="10"/>
      <c r="HIT53" s="10"/>
      <c r="HIU53" s="10"/>
      <c r="HIV53" s="10"/>
      <c r="HIW53" s="10"/>
      <c r="HIX53" s="10"/>
      <c r="HIY53" s="10"/>
      <c r="HIZ53" s="10"/>
      <c r="HJA53" s="10"/>
      <c r="HJB53" s="10"/>
      <c r="HJC53" s="10"/>
      <c r="HJD53" s="10"/>
      <c r="HJE53" s="10"/>
      <c r="HJF53" s="10"/>
      <c r="HJG53" s="10"/>
      <c r="HJH53" s="10"/>
      <c r="HJI53" s="10"/>
      <c r="HJJ53" s="10"/>
      <c r="HJK53" s="10"/>
      <c r="HJL53" s="10"/>
      <c r="HJM53" s="10"/>
      <c r="HJN53" s="10"/>
      <c r="HJO53" s="10"/>
      <c r="HJP53" s="10"/>
      <c r="HJQ53" s="10"/>
      <c r="HJR53" s="10"/>
      <c r="HJS53" s="10"/>
      <c r="HJT53" s="10"/>
      <c r="HJU53" s="10"/>
      <c r="HJV53" s="10"/>
      <c r="HJW53" s="10"/>
      <c r="HJX53" s="10"/>
      <c r="HJY53" s="10"/>
      <c r="HJZ53" s="10"/>
      <c r="HKA53" s="10"/>
      <c r="HKB53" s="10"/>
      <c r="HKC53" s="10"/>
      <c r="HKD53" s="10"/>
      <c r="HKE53" s="10"/>
      <c r="HKF53" s="10"/>
      <c r="HKG53" s="10"/>
      <c r="HKH53" s="10"/>
      <c r="HKI53" s="10"/>
      <c r="HKJ53" s="10"/>
      <c r="HKK53" s="10"/>
      <c r="HKL53" s="10"/>
      <c r="HKM53" s="10"/>
      <c r="HKN53" s="10"/>
      <c r="HKO53" s="10"/>
      <c r="HKP53" s="10"/>
      <c r="HKQ53" s="10"/>
      <c r="HKR53" s="10"/>
      <c r="HKS53" s="10"/>
      <c r="HKT53" s="10"/>
      <c r="HKU53" s="10"/>
      <c r="HKV53" s="10"/>
      <c r="HKW53" s="10"/>
      <c r="HKX53" s="10"/>
      <c r="HKY53" s="10"/>
      <c r="HKZ53" s="10"/>
      <c r="HLA53" s="10"/>
      <c r="HLB53" s="10"/>
      <c r="HLC53" s="10"/>
      <c r="HLD53" s="10"/>
      <c r="HLE53" s="10"/>
      <c r="HLF53" s="10"/>
      <c r="HLG53" s="10"/>
      <c r="HLH53" s="10"/>
      <c r="HLI53" s="10"/>
      <c r="HLJ53" s="10"/>
      <c r="HLK53" s="10"/>
      <c r="HLL53" s="10"/>
      <c r="HLM53" s="10"/>
      <c r="HLN53" s="10"/>
      <c r="HLO53" s="10"/>
      <c r="HLP53" s="10"/>
      <c r="HLQ53" s="10"/>
      <c r="HLR53" s="10"/>
      <c r="HLS53" s="10"/>
      <c r="HLT53" s="10"/>
      <c r="HLU53" s="10"/>
      <c r="HLV53" s="10"/>
      <c r="HLW53" s="10"/>
      <c r="HLX53" s="10"/>
      <c r="HLY53" s="10"/>
      <c r="HLZ53" s="10"/>
      <c r="HMA53" s="10"/>
      <c r="HMB53" s="10"/>
      <c r="HMC53" s="10"/>
      <c r="HMD53" s="10"/>
      <c r="HME53" s="10"/>
      <c r="HMF53" s="10"/>
      <c r="HMG53" s="10"/>
      <c r="HMH53" s="10"/>
      <c r="HMI53" s="10"/>
      <c r="HMJ53" s="10"/>
      <c r="HMK53" s="10"/>
      <c r="HML53" s="10"/>
      <c r="HMM53" s="10"/>
      <c r="HMN53" s="10"/>
      <c r="HMO53" s="10"/>
      <c r="HMP53" s="10"/>
      <c r="HMQ53" s="10"/>
      <c r="HMR53" s="10"/>
      <c r="HMS53" s="10"/>
      <c r="HMT53" s="10"/>
      <c r="HMU53" s="10"/>
      <c r="HMV53" s="10"/>
      <c r="HMW53" s="10"/>
      <c r="HMX53" s="10"/>
      <c r="HMY53" s="10"/>
      <c r="HMZ53" s="10"/>
      <c r="HNA53" s="10"/>
      <c r="HNB53" s="10"/>
      <c r="HNC53" s="10"/>
      <c r="HND53" s="10"/>
      <c r="HNE53" s="10"/>
      <c r="HNF53" s="10"/>
      <c r="HNG53" s="10"/>
      <c r="HNH53" s="10"/>
      <c r="HNI53" s="10"/>
      <c r="HNJ53" s="10"/>
      <c r="HNK53" s="10"/>
      <c r="HNL53" s="10"/>
      <c r="HNM53" s="10"/>
      <c r="HNN53" s="10"/>
      <c r="HNO53" s="10"/>
      <c r="HNP53" s="10"/>
      <c r="HNQ53" s="10"/>
      <c r="HNR53" s="10"/>
      <c r="HNS53" s="10"/>
      <c r="HNT53" s="10"/>
      <c r="HNU53" s="10"/>
      <c r="HNV53" s="10"/>
      <c r="HNW53" s="10"/>
      <c r="HNX53" s="10"/>
      <c r="HNY53" s="10"/>
      <c r="HNZ53" s="10"/>
      <c r="HOA53" s="10"/>
      <c r="HOB53" s="10"/>
      <c r="HOC53" s="10"/>
      <c r="HOD53" s="10"/>
      <c r="HOE53" s="10"/>
      <c r="HOF53" s="10"/>
      <c r="HOG53" s="10"/>
      <c r="HOH53" s="10"/>
      <c r="HOI53" s="10"/>
      <c r="HOJ53" s="10"/>
      <c r="HOK53" s="10"/>
      <c r="HOL53" s="10"/>
      <c r="HOM53" s="10"/>
      <c r="HON53" s="10"/>
      <c r="HOO53" s="10"/>
      <c r="HOP53" s="10"/>
      <c r="HOQ53" s="10"/>
      <c r="HOR53" s="10"/>
      <c r="HOS53" s="10"/>
      <c r="HOT53" s="10"/>
      <c r="HOU53" s="10"/>
      <c r="HOV53" s="10"/>
      <c r="HOW53" s="10"/>
      <c r="HOX53" s="10"/>
      <c r="HOY53" s="10"/>
      <c r="HOZ53" s="10"/>
      <c r="HPA53" s="10"/>
      <c r="HPB53" s="10"/>
      <c r="HPC53" s="10"/>
      <c r="HPD53" s="10"/>
      <c r="HPE53" s="10"/>
      <c r="HPF53" s="10"/>
      <c r="HPG53" s="10"/>
      <c r="HPH53" s="10"/>
      <c r="HPI53" s="10"/>
      <c r="HPJ53" s="10"/>
      <c r="HPK53" s="10"/>
      <c r="HPL53" s="10"/>
      <c r="HPM53" s="10"/>
      <c r="HPN53" s="10"/>
      <c r="HPO53" s="10"/>
      <c r="HPP53" s="10"/>
      <c r="HPQ53" s="10"/>
      <c r="HPR53" s="10"/>
      <c r="HPS53" s="10"/>
      <c r="HPT53" s="10"/>
      <c r="HPU53" s="10"/>
      <c r="HPV53" s="10"/>
      <c r="HPW53" s="10"/>
      <c r="HPX53" s="10"/>
      <c r="HPY53" s="10"/>
      <c r="HPZ53" s="10"/>
      <c r="HQA53" s="10"/>
      <c r="HQB53" s="10"/>
      <c r="HQC53" s="10"/>
      <c r="HQD53" s="10"/>
      <c r="HQE53" s="10"/>
      <c r="HQF53" s="10"/>
      <c r="HQG53" s="10"/>
      <c r="HQH53" s="10"/>
      <c r="HQI53" s="10"/>
      <c r="HQJ53" s="10"/>
      <c r="HQK53" s="10"/>
      <c r="HQL53" s="10"/>
      <c r="HQM53" s="10"/>
      <c r="HQN53" s="10"/>
      <c r="HQO53" s="10"/>
      <c r="HQP53" s="10"/>
      <c r="HQQ53" s="10"/>
      <c r="HQR53" s="10"/>
      <c r="HQS53" s="10"/>
      <c r="HQT53" s="10"/>
      <c r="HQU53" s="10"/>
      <c r="HQV53" s="10"/>
      <c r="HQW53" s="10"/>
      <c r="HQX53" s="10"/>
      <c r="HQY53" s="10"/>
      <c r="HQZ53" s="10"/>
      <c r="HRA53" s="10"/>
      <c r="HRB53" s="10"/>
      <c r="HRC53" s="10"/>
      <c r="HRD53" s="10"/>
      <c r="HRE53" s="10"/>
      <c r="HRF53" s="10"/>
      <c r="HRG53" s="10"/>
      <c r="HRH53" s="10"/>
      <c r="HRI53" s="10"/>
      <c r="HRJ53" s="10"/>
      <c r="HRK53" s="10"/>
      <c r="HRL53" s="10"/>
      <c r="HRM53" s="10"/>
      <c r="HRN53" s="10"/>
      <c r="HRO53" s="10"/>
      <c r="HRP53" s="10"/>
      <c r="HRQ53" s="10"/>
      <c r="HRR53" s="10"/>
      <c r="HRS53" s="10"/>
      <c r="HRT53" s="10"/>
      <c r="HRU53" s="10"/>
      <c r="HRV53" s="10"/>
      <c r="HRW53" s="10"/>
      <c r="HRX53" s="10"/>
      <c r="HRY53" s="10"/>
      <c r="HRZ53" s="10"/>
      <c r="HSA53" s="10"/>
      <c r="HSB53" s="10"/>
      <c r="HSC53" s="10"/>
      <c r="HSD53" s="10"/>
      <c r="HSE53" s="10"/>
      <c r="HSF53" s="10"/>
      <c r="HSG53" s="10"/>
      <c r="HSH53" s="10"/>
      <c r="HSI53" s="10"/>
      <c r="HSJ53" s="10"/>
      <c r="HSK53" s="10"/>
      <c r="HSL53" s="10"/>
      <c r="HSM53" s="10"/>
      <c r="HSN53" s="10"/>
      <c r="HSO53" s="10"/>
      <c r="HSP53" s="10"/>
      <c r="HSQ53" s="10"/>
      <c r="HSR53" s="10"/>
      <c r="HSS53" s="10"/>
      <c r="HST53" s="10"/>
      <c r="HSU53" s="10"/>
      <c r="HSV53" s="10"/>
      <c r="HSW53" s="10"/>
      <c r="HSX53" s="10"/>
      <c r="HSY53" s="10"/>
      <c r="HSZ53" s="10"/>
      <c r="HTA53" s="10"/>
      <c r="HTB53" s="10"/>
      <c r="HTC53" s="10"/>
      <c r="HTD53" s="10"/>
      <c r="HTE53" s="10"/>
      <c r="HTF53" s="10"/>
      <c r="HTG53" s="10"/>
      <c r="HTH53" s="10"/>
      <c r="HTI53" s="10"/>
      <c r="HTJ53" s="10"/>
      <c r="HTK53" s="10"/>
      <c r="HTL53" s="10"/>
      <c r="HTM53" s="10"/>
      <c r="HTN53" s="10"/>
      <c r="HTO53" s="10"/>
      <c r="HTP53" s="10"/>
      <c r="HTQ53" s="10"/>
      <c r="HTR53" s="10"/>
      <c r="HTS53" s="10"/>
      <c r="HTT53" s="10"/>
      <c r="HTU53" s="10"/>
      <c r="HTV53" s="10"/>
      <c r="HTW53" s="10"/>
      <c r="HTX53" s="10"/>
      <c r="HTY53" s="10"/>
      <c r="HTZ53" s="10"/>
      <c r="HUA53" s="10"/>
      <c r="HUB53" s="10"/>
      <c r="HUC53" s="10"/>
      <c r="HUD53" s="10"/>
      <c r="HUE53" s="10"/>
      <c r="HUF53" s="10"/>
      <c r="HUG53" s="10"/>
      <c r="HUH53" s="10"/>
      <c r="HUI53" s="10"/>
      <c r="HUJ53" s="10"/>
      <c r="HUK53" s="10"/>
      <c r="HUL53" s="10"/>
      <c r="HUM53" s="10"/>
      <c r="HUN53" s="10"/>
      <c r="HUO53" s="10"/>
      <c r="HUP53" s="10"/>
      <c r="HUQ53" s="10"/>
      <c r="HUR53" s="10"/>
      <c r="HUS53" s="10"/>
      <c r="HUT53" s="10"/>
      <c r="HUU53" s="10"/>
      <c r="HUV53" s="10"/>
      <c r="HUW53" s="10"/>
      <c r="HUX53" s="10"/>
      <c r="HUY53" s="10"/>
      <c r="HUZ53" s="10"/>
      <c r="HVA53" s="10"/>
      <c r="HVB53" s="10"/>
      <c r="HVC53" s="10"/>
      <c r="HVD53" s="10"/>
      <c r="HVE53" s="10"/>
      <c r="HVF53" s="10"/>
      <c r="HVG53" s="10"/>
      <c r="HVH53" s="10"/>
      <c r="HVI53" s="10"/>
      <c r="HVJ53" s="10"/>
      <c r="HVK53" s="10"/>
      <c r="HVL53" s="10"/>
      <c r="HVM53" s="10"/>
      <c r="HVN53" s="10"/>
      <c r="HVO53" s="10"/>
      <c r="HVP53" s="10"/>
      <c r="HVQ53" s="10"/>
      <c r="HVR53" s="10"/>
      <c r="HVS53" s="10"/>
      <c r="HVT53" s="10"/>
      <c r="HVU53" s="10"/>
      <c r="HVV53" s="10"/>
      <c r="HVW53" s="10"/>
      <c r="HVX53" s="10"/>
      <c r="HVY53" s="10"/>
      <c r="HVZ53" s="10"/>
      <c r="HWA53" s="10"/>
      <c r="HWB53" s="10"/>
      <c r="HWC53" s="10"/>
      <c r="HWD53" s="10"/>
      <c r="HWE53" s="10"/>
      <c r="HWF53" s="10"/>
      <c r="HWG53" s="10"/>
      <c r="HWH53" s="10"/>
      <c r="HWI53" s="10"/>
      <c r="HWJ53" s="10"/>
      <c r="HWK53" s="10"/>
      <c r="HWL53" s="10"/>
      <c r="HWM53" s="10"/>
      <c r="HWN53" s="10"/>
      <c r="HWO53" s="10"/>
      <c r="HWP53" s="10"/>
      <c r="HWQ53" s="10"/>
      <c r="HWR53" s="10"/>
      <c r="HWS53" s="10"/>
      <c r="HWT53" s="10"/>
      <c r="HWU53" s="10"/>
      <c r="HWV53" s="10"/>
      <c r="HWW53" s="10"/>
      <c r="HWX53" s="10"/>
      <c r="HWY53" s="10"/>
      <c r="HWZ53" s="10"/>
      <c r="HXA53" s="10"/>
      <c r="HXB53" s="10"/>
      <c r="HXC53" s="10"/>
      <c r="HXD53" s="10"/>
      <c r="HXE53" s="10"/>
      <c r="HXF53" s="10"/>
      <c r="HXG53" s="10"/>
      <c r="HXH53" s="10"/>
      <c r="HXI53" s="10"/>
      <c r="HXJ53" s="10"/>
      <c r="HXK53" s="10"/>
      <c r="HXL53" s="10"/>
      <c r="HXM53" s="10"/>
      <c r="HXN53" s="10"/>
      <c r="HXO53" s="10"/>
      <c r="HXP53" s="10"/>
      <c r="HXQ53" s="10"/>
      <c r="HXR53" s="10"/>
      <c r="HXS53" s="10"/>
      <c r="HXT53" s="10"/>
      <c r="HXU53" s="10"/>
      <c r="HXV53" s="10"/>
      <c r="HXW53" s="10"/>
      <c r="HXX53" s="10"/>
      <c r="HXY53" s="10"/>
      <c r="HXZ53" s="10"/>
      <c r="HYA53" s="10"/>
      <c r="HYB53" s="10"/>
      <c r="HYC53" s="10"/>
      <c r="HYD53" s="10"/>
      <c r="HYE53" s="10"/>
      <c r="HYF53" s="10"/>
      <c r="HYG53" s="10"/>
      <c r="HYH53" s="10"/>
      <c r="HYI53" s="10"/>
      <c r="HYJ53" s="10"/>
      <c r="HYK53" s="10"/>
      <c r="HYL53" s="10"/>
      <c r="HYM53" s="10"/>
      <c r="HYN53" s="10"/>
      <c r="HYO53" s="10"/>
      <c r="HYP53" s="10"/>
      <c r="HYQ53" s="10"/>
      <c r="HYR53" s="10"/>
      <c r="HYS53" s="10"/>
      <c r="HYT53" s="10"/>
      <c r="HYU53" s="10"/>
      <c r="HYV53" s="10"/>
      <c r="HYW53" s="10"/>
      <c r="HYX53" s="10"/>
      <c r="HYY53" s="10"/>
      <c r="HYZ53" s="10"/>
      <c r="HZA53" s="10"/>
      <c r="HZB53" s="10"/>
      <c r="HZC53" s="10"/>
      <c r="HZD53" s="10"/>
      <c r="HZE53" s="10"/>
      <c r="HZF53" s="10"/>
      <c r="HZG53" s="10"/>
      <c r="HZH53" s="10"/>
      <c r="HZI53" s="10"/>
      <c r="HZJ53" s="10"/>
      <c r="HZK53" s="10"/>
      <c r="HZL53" s="10"/>
      <c r="HZM53" s="10"/>
      <c r="HZN53" s="10"/>
      <c r="HZO53" s="10"/>
      <c r="HZP53" s="10"/>
      <c r="HZQ53" s="10"/>
      <c r="HZR53" s="10"/>
      <c r="HZS53" s="10"/>
      <c r="HZT53" s="10"/>
      <c r="HZU53" s="10"/>
      <c r="HZV53" s="10"/>
      <c r="HZW53" s="10"/>
      <c r="HZX53" s="10"/>
      <c r="HZY53" s="10"/>
      <c r="HZZ53" s="10"/>
      <c r="IAA53" s="10"/>
      <c r="IAB53" s="10"/>
      <c r="IAC53" s="10"/>
      <c r="IAD53" s="10"/>
      <c r="IAE53" s="10"/>
      <c r="IAF53" s="10"/>
      <c r="IAG53" s="10"/>
      <c r="IAH53" s="10"/>
      <c r="IAI53" s="10"/>
      <c r="IAJ53" s="10"/>
      <c r="IAK53" s="10"/>
      <c r="IAL53" s="10"/>
      <c r="IAM53" s="10"/>
      <c r="IAN53" s="10"/>
      <c r="IAO53" s="10"/>
      <c r="IAP53" s="10"/>
      <c r="IAQ53" s="10"/>
      <c r="IAR53" s="10"/>
      <c r="IAS53" s="10"/>
      <c r="IAT53" s="10"/>
      <c r="IAU53" s="10"/>
      <c r="IAV53" s="10"/>
      <c r="IAW53" s="10"/>
      <c r="IAX53" s="10"/>
      <c r="IAY53" s="10"/>
      <c r="IAZ53" s="10"/>
      <c r="IBA53" s="10"/>
      <c r="IBB53" s="10"/>
      <c r="IBC53" s="10"/>
      <c r="IBD53" s="10"/>
      <c r="IBE53" s="10"/>
      <c r="IBF53" s="10"/>
      <c r="IBG53" s="10"/>
      <c r="IBH53" s="10"/>
      <c r="IBI53" s="10"/>
      <c r="IBJ53" s="10"/>
      <c r="IBK53" s="10"/>
      <c r="IBL53" s="10"/>
      <c r="IBM53" s="10"/>
      <c r="IBN53" s="10"/>
      <c r="IBO53" s="10"/>
      <c r="IBP53" s="10"/>
      <c r="IBQ53" s="10"/>
      <c r="IBR53" s="10"/>
      <c r="IBS53" s="10"/>
      <c r="IBT53" s="10"/>
      <c r="IBU53" s="10"/>
      <c r="IBV53" s="10"/>
      <c r="IBW53" s="10"/>
      <c r="IBX53" s="10"/>
      <c r="IBY53" s="10"/>
      <c r="IBZ53" s="10"/>
      <c r="ICA53" s="10"/>
      <c r="ICB53" s="10"/>
      <c r="ICC53" s="10"/>
      <c r="ICD53" s="10"/>
      <c r="ICE53" s="10"/>
      <c r="ICF53" s="10"/>
      <c r="ICG53" s="10"/>
      <c r="ICH53" s="10"/>
      <c r="ICI53" s="10"/>
      <c r="ICJ53" s="10"/>
      <c r="ICK53" s="10"/>
      <c r="ICL53" s="10"/>
      <c r="ICM53" s="10"/>
      <c r="ICN53" s="10"/>
      <c r="ICO53" s="10"/>
      <c r="ICP53" s="10"/>
      <c r="ICQ53" s="10"/>
      <c r="ICR53" s="10"/>
      <c r="ICS53" s="10"/>
      <c r="ICT53" s="10"/>
      <c r="ICU53" s="10"/>
      <c r="ICV53" s="10"/>
      <c r="ICW53" s="10"/>
      <c r="ICX53" s="10"/>
      <c r="ICY53" s="10"/>
      <c r="ICZ53" s="10"/>
      <c r="IDA53" s="10"/>
      <c r="IDB53" s="10"/>
      <c r="IDC53" s="10"/>
      <c r="IDD53" s="10"/>
      <c r="IDE53" s="10"/>
      <c r="IDF53" s="10"/>
      <c r="IDG53" s="10"/>
      <c r="IDH53" s="10"/>
      <c r="IDI53" s="10"/>
      <c r="IDJ53" s="10"/>
      <c r="IDK53" s="10"/>
      <c r="IDL53" s="10"/>
      <c r="IDM53" s="10"/>
      <c r="IDN53" s="10"/>
      <c r="IDO53" s="10"/>
      <c r="IDP53" s="10"/>
      <c r="IDQ53" s="10"/>
      <c r="IDR53" s="10"/>
      <c r="IDS53" s="10"/>
      <c r="IDT53" s="10"/>
      <c r="IDU53" s="10"/>
      <c r="IDV53" s="10"/>
      <c r="IDW53" s="10"/>
      <c r="IDX53" s="10"/>
      <c r="IDY53" s="10"/>
      <c r="IDZ53" s="10"/>
      <c r="IEA53" s="10"/>
      <c r="IEB53" s="10"/>
      <c r="IEC53" s="10"/>
      <c r="IED53" s="10"/>
      <c r="IEE53" s="10"/>
      <c r="IEF53" s="10"/>
      <c r="IEG53" s="10"/>
      <c r="IEH53" s="10"/>
      <c r="IEI53" s="10"/>
      <c r="IEJ53" s="10"/>
      <c r="IEK53" s="10"/>
      <c r="IEL53" s="10"/>
      <c r="IEM53" s="10"/>
      <c r="IEN53" s="10"/>
      <c r="IEO53" s="10"/>
      <c r="IEP53" s="10"/>
      <c r="IEQ53" s="10"/>
      <c r="IER53" s="10"/>
      <c r="IES53" s="10"/>
      <c r="IET53" s="10"/>
      <c r="IEU53" s="10"/>
      <c r="IEV53" s="10"/>
      <c r="IEW53" s="10"/>
      <c r="IEX53" s="10"/>
      <c r="IEY53" s="10"/>
      <c r="IEZ53" s="10"/>
      <c r="IFA53" s="10"/>
      <c r="IFB53" s="10"/>
      <c r="IFC53" s="10"/>
      <c r="IFD53" s="10"/>
      <c r="IFE53" s="10"/>
      <c r="IFF53" s="10"/>
      <c r="IFG53" s="10"/>
      <c r="IFH53" s="10"/>
      <c r="IFI53" s="10"/>
      <c r="IFJ53" s="10"/>
      <c r="IFK53" s="10"/>
      <c r="IFL53" s="10"/>
      <c r="IFM53" s="10"/>
      <c r="IFN53" s="10"/>
      <c r="IFO53" s="10"/>
      <c r="IFP53" s="10"/>
      <c r="IFQ53" s="10"/>
      <c r="IFR53" s="10"/>
      <c r="IFS53" s="10"/>
      <c r="IFT53" s="10"/>
      <c r="IFU53" s="10"/>
      <c r="IFV53" s="10"/>
      <c r="IFW53" s="10"/>
      <c r="IFX53" s="10"/>
      <c r="IFY53" s="10"/>
      <c r="IFZ53" s="10"/>
      <c r="IGA53" s="10"/>
      <c r="IGB53" s="10"/>
      <c r="IGC53" s="10"/>
      <c r="IGD53" s="10"/>
      <c r="IGE53" s="10"/>
      <c r="IGF53" s="10"/>
      <c r="IGG53" s="10"/>
      <c r="IGH53" s="10"/>
      <c r="IGI53" s="10"/>
      <c r="IGJ53" s="10"/>
      <c r="IGK53" s="10"/>
      <c r="IGL53" s="10"/>
      <c r="IGM53" s="10"/>
      <c r="IGN53" s="10"/>
      <c r="IGO53" s="10"/>
      <c r="IGP53" s="10"/>
      <c r="IGQ53" s="10"/>
      <c r="IGR53" s="10"/>
      <c r="IGS53" s="10"/>
      <c r="IGT53" s="10"/>
      <c r="IGU53" s="10"/>
      <c r="IGV53" s="10"/>
      <c r="IGW53" s="10"/>
      <c r="IGX53" s="10"/>
      <c r="IGY53" s="10"/>
      <c r="IGZ53" s="10"/>
      <c r="IHA53" s="10"/>
      <c r="IHB53" s="10"/>
      <c r="IHC53" s="10"/>
      <c r="IHD53" s="10"/>
      <c r="IHE53" s="10"/>
      <c r="IHF53" s="10"/>
      <c r="IHG53" s="10"/>
      <c r="IHH53" s="10"/>
      <c r="IHI53" s="10"/>
      <c r="IHJ53" s="10"/>
      <c r="IHK53" s="10"/>
      <c r="IHL53" s="10"/>
      <c r="IHM53" s="10"/>
      <c r="IHN53" s="10"/>
      <c r="IHO53" s="10"/>
      <c r="IHP53" s="10"/>
      <c r="IHQ53" s="10"/>
      <c r="IHR53" s="10"/>
      <c r="IHS53" s="10"/>
      <c r="IHT53" s="10"/>
      <c r="IHU53" s="10"/>
      <c r="IHV53" s="10"/>
      <c r="IHW53" s="10"/>
      <c r="IHX53" s="10"/>
      <c r="IHY53" s="10"/>
      <c r="IHZ53" s="10"/>
      <c r="IIA53" s="10"/>
      <c r="IIB53" s="10"/>
      <c r="IIC53" s="10"/>
      <c r="IID53" s="10"/>
      <c r="IIE53" s="10"/>
      <c r="IIF53" s="10"/>
      <c r="IIG53" s="10"/>
      <c r="IIH53" s="10"/>
      <c r="III53" s="10"/>
      <c r="IIJ53" s="10"/>
      <c r="IIK53" s="10"/>
      <c r="IIL53" s="10"/>
      <c r="IIM53" s="10"/>
      <c r="IIN53" s="10"/>
      <c r="IIO53" s="10"/>
      <c r="IIP53" s="10"/>
      <c r="IIQ53" s="10"/>
      <c r="IIR53" s="10"/>
      <c r="IIS53" s="10"/>
      <c r="IIT53" s="10"/>
      <c r="IIU53" s="10"/>
      <c r="IIV53" s="10"/>
      <c r="IIW53" s="10"/>
      <c r="IIX53" s="10"/>
      <c r="IIY53" s="10"/>
      <c r="IIZ53" s="10"/>
      <c r="IJA53" s="10"/>
      <c r="IJB53" s="10"/>
      <c r="IJC53" s="10"/>
      <c r="IJD53" s="10"/>
      <c r="IJE53" s="10"/>
      <c r="IJF53" s="10"/>
      <c r="IJG53" s="10"/>
      <c r="IJH53" s="10"/>
      <c r="IJI53" s="10"/>
      <c r="IJJ53" s="10"/>
      <c r="IJK53" s="10"/>
      <c r="IJL53" s="10"/>
      <c r="IJM53" s="10"/>
      <c r="IJN53" s="10"/>
      <c r="IJO53" s="10"/>
      <c r="IJP53" s="10"/>
      <c r="IJQ53" s="10"/>
      <c r="IJR53" s="10"/>
      <c r="IJS53" s="10"/>
      <c r="IJT53" s="10"/>
      <c r="IJU53" s="10"/>
      <c r="IJV53" s="10"/>
      <c r="IJW53" s="10"/>
      <c r="IJX53" s="10"/>
      <c r="IJY53" s="10"/>
      <c r="IJZ53" s="10"/>
      <c r="IKA53" s="10"/>
      <c r="IKB53" s="10"/>
      <c r="IKC53" s="10"/>
      <c r="IKD53" s="10"/>
      <c r="IKE53" s="10"/>
      <c r="IKF53" s="10"/>
      <c r="IKG53" s="10"/>
      <c r="IKH53" s="10"/>
      <c r="IKI53" s="10"/>
      <c r="IKJ53" s="10"/>
      <c r="IKK53" s="10"/>
      <c r="IKL53" s="10"/>
      <c r="IKM53" s="10"/>
      <c r="IKN53" s="10"/>
      <c r="IKO53" s="10"/>
      <c r="IKP53" s="10"/>
      <c r="IKQ53" s="10"/>
      <c r="IKR53" s="10"/>
      <c r="IKS53" s="10"/>
      <c r="IKT53" s="10"/>
      <c r="IKU53" s="10"/>
      <c r="IKV53" s="10"/>
      <c r="IKW53" s="10"/>
      <c r="IKX53" s="10"/>
      <c r="IKY53" s="10"/>
      <c r="IKZ53" s="10"/>
      <c r="ILA53" s="10"/>
      <c r="ILB53" s="10"/>
      <c r="ILC53" s="10"/>
      <c r="ILD53" s="10"/>
      <c r="ILE53" s="10"/>
      <c r="ILF53" s="10"/>
      <c r="ILG53" s="10"/>
      <c r="ILH53" s="10"/>
      <c r="ILI53" s="10"/>
      <c r="ILJ53" s="10"/>
      <c r="ILK53" s="10"/>
      <c r="ILL53" s="10"/>
      <c r="ILM53" s="10"/>
      <c r="ILN53" s="10"/>
      <c r="ILO53" s="10"/>
      <c r="ILP53" s="10"/>
      <c r="ILQ53" s="10"/>
      <c r="ILR53" s="10"/>
      <c r="ILS53" s="10"/>
      <c r="ILT53" s="10"/>
      <c r="ILU53" s="10"/>
      <c r="ILV53" s="10"/>
      <c r="ILW53" s="10"/>
      <c r="ILX53" s="10"/>
      <c r="ILY53" s="10"/>
      <c r="ILZ53" s="10"/>
      <c r="IMA53" s="10"/>
      <c r="IMB53" s="10"/>
      <c r="IMC53" s="10"/>
      <c r="IMD53" s="10"/>
      <c r="IME53" s="10"/>
      <c r="IMF53" s="10"/>
      <c r="IMG53" s="10"/>
      <c r="IMH53" s="10"/>
      <c r="IMI53" s="10"/>
      <c r="IMJ53" s="10"/>
      <c r="IMK53" s="10"/>
      <c r="IML53" s="10"/>
      <c r="IMM53" s="10"/>
      <c r="IMN53" s="10"/>
      <c r="IMO53" s="10"/>
      <c r="IMP53" s="10"/>
      <c r="IMQ53" s="10"/>
      <c r="IMR53" s="10"/>
      <c r="IMS53" s="10"/>
      <c r="IMT53" s="10"/>
      <c r="IMU53" s="10"/>
      <c r="IMV53" s="10"/>
      <c r="IMW53" s="10"/>
      <c r="IMX53" s="10"/>
      <c r="IMY53" s="10"/>
      <c r="IMZ53" s="10"/>
      <c r="INA53" s="10"/>
      <c r="INB53" s="10"/>
      <c r="INC53" s="10"/>
      <c r="IND53" s="10"/>
      <c r="INE53" s="10"/>
      <c r="INF53" s="10"/>
      <c r="ING53" s="10"/>
      <c r="INH53" s="10"/>
      <c r="INI53" s="10"/>
      <c r="INJ53" s="10"/>
      <c r="INK53" s="10"/>
      <c r="INL53" s="10"/>
      <c r="INM53" s="10"/>
      <c r="INN53" s="10"/>
      <c r="INO53" s="10"/>
      <c r="INP53" s="10"/>
      <c r="INQ53" s="10"/>
      <c r="INR53" s="10"/>
      <c r="INS53" s="10"/>
      <c r="INT53" s="10"/>
      <c r="INU53" s="10"/>
      <c r="INV53" s="10"/>
      <c r="INW53" s="10"/>
      <c r="INX53" s="10"/>
      <c r="INY53" s="10"/>
      <c r="INZ53" s="10"/>
      <c r="IOA53" s="10"/>
      <c r="IOB53" s="10"/>
      <c r="IOC53" s="10"/>
      <c r="IOD53" s="10"/>
      <c r="IOE53" s="10"/>
      <c r="IOF53" s="10"/>
      <c r="IOG53" s="10"/>
      <c r="IOH53" s="10"/>
      <c r="IOI53" s="10"/>
      <c r="IOJ53" s="10"/>
      <c r="IOK53" s="10"/>
      <c r="IOL53" s="10"/>
      <c r="IOM53" s="10"/>
      <c r="ION53" s="10"/>
      <c r="IOO53" s="10"/>
      <c r="IOP53" s="10"/>
      <c r="IOQ53" s="10"/>
      <c r="IOR53" s="10"/>
      <c r="IOS53" s="10"/>
      <c r="IOT53" s="10"/>
      <c r="IOU53" s="10"/>
      <c r="IOV53" s="10"/>
      <c r="IOW53" s="10"/>
      <c r="IOX53" s="10"/>
      <c r="IOY53" s="10"/>
      <c r="IOZ53" s="10"/>
      <c r="IPA53" s="10"/>
      <c r="IPB53" s="10"/>
      <c r="IPC53" s="10"/>
      <c r="IPD53" s="10"/>
      <c r="IPE53" s="10"/>
      <c r="IPF53" s="10"/>
      <c r="IPG53" s="10"/>
      <c r="IPH53" s="10"/>
      <c r="IPI53" s="10"/>
      <c r="IPJ53" s="10"/>
      <c r="IPK53" s="10"/>
      <c r="IPL53" s="10"/>
      <c r="IPM53" s="10"/>
      <c r="IPN53" s="10"/>
      <c r="IPO53" s="10"/>
      <c r="IPP53" s="10"/>
      <c r="IPQ53" s="10"/>
      <c r="IPR53" s="10"/>
      <c r="IPS53" s="10"/>
      <c r="IPT53" s="10"/>
      <c r="IPU53" s="10"/>
      <c r="IPV53" s="10"/>
      <c r="IPW53" s="10"/>
      <c r="IPX53" s="10"/>
      <c r="IPY53" s="10"/>
      <c r="IPZ53" s="10"/>
      <c r="IQA53" s="10"/>
      <c r="IQB53" s="10"/>
      <c r="IQC53" s="10"/>
      <c r="IQD53" s="10"/>
      <c r="IQE53" s="10"/>
      <c r="IQF53" s="10"/>
      <c r="IQG53" s="10"/>
      <c r="IQH53" s="10"/>
      <c r="IQI53" s="10"/>
      <c r="IQJ53" s="10"/>
      <c r="IQK53" s="10"/>
      <c r="IQL53" s="10"/>
      <c r="IQM53" s="10"/>
      <c r="IQN53" s="10"/>
      <c r="IQO53" s="10"/>
      <c r="IQP53" s="10"/>
      <c r="IQQ53" s="10"/>
      <c r="IQR53" s="10"/>
      <c r="IQS53" s="10"/>
      <c r="IQT53" s="10"/>
      <c r="IQU53" s="10"/>
      <c r="IQV53" s="10"/>
      <c r="IQW53" s="10"/>
      <c r="IQX53" s="10"/>
      <c r="IQY53" s="10"/>
      <c r="IQZ53" s="10"/>
      <c r="IRA53" s="10"/>
      <c r="IRB53" s="10"/>
      <c r="IRC53" s="10"/>
      <c r="IRD53" s="10"/>
      <c r="IRE53" s="10"/>
      <c r="IRF53" s="10"/>
      <c r="IRG53" s="10"/>
      <c r="IRH53" s="10"/>
      <c r="IRI53" s="10"/>
      <c r="IRJ53" s="10"/>
      <c r="IRK53" s="10"/>
      <c r="IRL53" s="10"/>
      <c r="IRM53" s="10"/>
      <c r="IRN53" s="10"/>
      <c r="IRO53" s="10"/>
      <c r="IRP53" s="10"/>
      <c r="IRQ53" s="10"/>
      <c r="IRR53" s="10"/>
      <c r="IRS53" s="10"/>
      <c r="IRT53" s="10"/>
      <c r="IRU53" s="10"/>
      <c r="IRV53" s="10"/>
      <c r="IRW53" s="10"/>
      <c r="IRX53" s="10"/>
      <c r="IRY53" s="10"/>
      <c r="IRZ53" s="10"/>
      <c r="ISA53" s="10"/>
      <c r="ISB53" s="10"/>
      <c r="ISC53" s="10"/>
      <c r="ISD53" s="10"/>
      <c r="ISE53" s="10"/>
      <c r="ISF53" s="10"/>
      <c r="ISG53" s="10"/>
      <c r="ISH53" s="10"/>
      <c r="ISI53" s="10"/>
      <c r="ISJ53" s="10"/>
      <c r="ISK53" s="10"/>
      <c r="ISL53" s="10"/>
      <c r="ISM53" s="10"/>
      <c r="ISN53" s="10"/>
      <c r="ISO53" s="10"/>
      <c r="ISP53" s="10"/>
      <c r="ISQ53" s="10"/>
      <c r="ISR53" s="10"/>
      <c r="ISS53" s="10"/>
      <c r="IST53" s="10"/>
      <c r="ISU53" s="10"/>
      <c r="ISV53" s="10"/>
      <c r="ISW53" s="10"/>
      <c r="ISX53" s="10"/>
      <c r="ISY53" s="10"/>
      <c r="ISZ53" s="10"/>
      <c r="ITA53" s="10"/>
      <c r="ITB53" s="10"/>
      <c r="ITC53" s="10"/>
      <c r="ITD53" s="10"/>
      <c r="ITE53" s="10"/>
      <c r="ITF53" s="10"/>
      <c r="ITG53" s="10"/>
      <c r="ITH53" s="10"/>
      <c r="ITI53" s="10"/>
      <c r="ITJ53" s="10"/>
      <c r="ITK53" s="10"/>
      <c r="ITL53" s="10"/>
      <c r="ITM53" s="10"/>
      <c r="ITN53" s="10"/>
      <c r="ITO53" s="10"/>
      <c r="ITP53" s="10"/>
      <c r="ITQ53" s="10"/>
      <c r="ITR53" s="10"/>
      <c r="ITS53" s="10"/>
      <c r="ITT53" s="10"/>
      <c r="ITU53" s="10"/>
      <c r="ITV53" s="10"/>
      <c r="ITW53" s="10"/>
      <c r="ITX53" s="10"/>
      <c r="ITY53" s="10"/>
      <c r="ITZ53" s="10"/>
      <c r="IUA53" s="10"/>
      <c r="IUB53" s="10"/>
      <c r="IUC53" s="10"/>
      <c r="IUD53" s="10"/>
      <c r="IUE53" s="10"/>
      <c r="IUF53" s="10"/>
      <c r="IUG53" s="10"/>
      <c r="IUH53" s="10"/>
      <c r="IUI53" s="10"/>
      <c r="IUJ53" s="10"/>
      <c r="IUK53" s="10"/>
      <c r="IUL53" s="10"/>
      <c r="IUM53" s="10"/>
      <c r="IUN53" s="10"/>
      <c r="IUO53" s="10"/>
      <c r="IUP53" s="10"/>
      <c r="IUQ53" s="10"/>
      <c r="IUR53" s="10"/>
      <c r="IUS53" s="10"/>
      <c r="IUT53" s="10"/>
      <c r="IUU53" s="10"/>
      <c r="IUV53" s="10"/>
      <c r="IUW53" s="10"/>
      <c r="IUX53" s="10"/>
      <c r="IUY53" s="10"/>
      <c r="IUZ53" s="10"/>
      <c r="IVA53" s="10"/>
      <c r="IVB53" s="10"/>
      <c r="IVC53" s="10"/>
      <c r="IVD53" s="10"/>
      <c r="IVE53" s="10"/>
      <c r="IVF53" s="10"/>
      <c r="IVG53" s="10"/>
      <c r="IVH53" s="10"/>
      <c r="IVI53" s="10"/>
      <c r="IVJ53" s="10"/>
      <c r="IVK53" s="10"/>
      <c r="IVL53" s="10"/>
      <c r="IVM53" s="10"/>
      <c r="IVN53" s="10"/>
      <c r="IVO53" s="10"/>
      <c r="IVP53" s="10"/>
      <c r="IVQ53" s="10"/>
      <c r="IVR53" s="10"/>
      <c r="IVS53" s="10"/>
      <c r="IVT53" s="10"/>
      <c r="IVU53" s="10"/>
      <c r="IVV53" s="10"/>
      <c r="IVW53" s="10"/>
      <c r="IVX53" s="10"/>
      <c r="IVY53" s="10"/>
      <c r="IVZ53" s="10"/>
      <c r="IWA53" s="10"/>
      <c r="IWB53" s="10"/>
      <c r="IWC53" s="10"/>
      <c r="IWD53" s="10"/>
      <c r="IWE53" s="10"/>
      <c r="IWF53" s="10"/>
      <c r="IWG53" s="10"/>
      <c r="IWH53" s="10"/>
      <c r="IWI53" s="10"/>
      <c r="IWJ53" s="10"/>
      <c r="IWK53" s="10"/>
      <c r="IWL53" s="10"/>
      <c r="IWM53" s="10"/>
      <c r="IWN53" s="10"/>
      <c r="IWO53" s="10"/>
      <c r="IWP53" s="10"/>
      <c r="IWQ53" s="10"/>
      <c r="IWR53" s="10"/>
      <c r="IWS53" s="10"/>
      <c r="IWT53" s="10"/>
      <c r="IWU53" s="10"/>
      <c r="IWV53" s="10"/>
      <c r="IWW53" s="10"/>
      <c r="IWX53" s="10"/>
      <c r="IWY53" s="10"/>
      <c r="IWZ53" s="10"/>
      <c r="IXA53" s="10"/>
      <c r="IXB53" s="10"/>
      <c r="IXC53" s="10"/>
      <c r="IXD53" s="10"/>
      <c r="IXE53" s="10"/>
      <c r="IXF53" s="10"/>
      <c r="IXG53" s="10"/>
      <c r="IXH53" s="10"/>
      <c r="IXI53" s="10"/>
      <c r="IXJ53" s="10"/>
      <c r="IXK53" s="10"/>
      <c r="IXL53" s="10"/>
      <c r="IXM53" s="10"/>
      <c r="IXN53" s="10"/>
      <c r="IXO53" s="10"/>
      <c r="IXP53" s="10"/>
      <c r="IXQ53" s="10"/>
      <c r="IXR53" s="10"/>
      <c r="IXS53" s="10"/>
      <c r="IXT53" s="10"/>
      <c r="IXU53" s="10"/>
      <c r="IXV53" s="10"/>
      <c r="IXW53" s="10"/>
      <c r="IXX53" s="10"/>
      <c r="IXY53" s="10"/>
      <c r="IXZ53" s="10"/>
      <c r="IYA53" s="10"/>
      <c r="IYB53" s="10"/>
      <c r="IYC53" s="10"/>
      <c r="IYD53" s="10"/>
      <c r="IYE53" s="10"/>
      <c r="IYF53" s="10"/>
      <c r="IYG53" s="10"/>
      <c r="IYH53" s="10"/>
      <c r="IYI53" s="10"/>
      <c r="IYJ53" s="10"/>
      <c r="IYK53" s="10"/>
      <c r="IYL53" s="10"/>
      <c r="IYM53" s="10"/>
      <c r="IYN53" s="10"/>
      <c r="IYO53" s="10"/>
      <c r="IYP53" s="10"/>
      <c r="IYQ53" s="10"/>
      <c r="IYR53" s="10"/>
      <c r="IYS53" s="10"/>
      <c r="IYT53" s="10"/>
      <c r="IYU53" s="10"/>
      <c r="IYV53" s="10"/>
      <c r="IYW53" s="10"/>
      <c r="IYX53" s="10"/>
      <c r="IYY53" s="10"/>
      <c r="IYZ53" s="10"/>
      <c r="IZA53" s="10"/>
      <c r="IZB53" s="10"/>
      <c r="IZC53" s="10"/>
      <c r="IZD53" s="10"/>
      <c r="IZE53" s="10"/>
      <c r="IZF53" s="10"/>
      <c r="IZG53" s="10"/>
      <c r="IZH53" s="10"/>
      <c r="IZI53" s="10"/>
      <c r="IZJ53" s="10"/>
      <c r="IZK53" s="10"/>
      <c r="IZL53" s="10"/>
      <c r="IZM53" s="10"/>
      <c r="IZN53" s="10"/>
      <c r="IZO53" s="10"/>
      <c r="IZP53" s="10"/>
      <c r="IZQ53" s="10"/>
      <c r="IZR53" s="10"/>
      <c r="IZS53" s="10"/>
      <c r="IZT53" s="10"/>
      <c r="IZU53" s="10"/>
      <c r="IZV53" s="10"/>
      <c r="IZW53" s="10"/>
      <c r="IZX53" s="10"/>
      <c r="IZY53" s="10"/>
      <c r="IZZ53" s="10"/>
      <c r="JAA53" s="10"/>
      <c r="JAB53" s="10"/>
      <c r="JAC53" s="10"/>
      <c r="JAD53" s="10"/>
      <c r="JAE53" s="10"/>
      <c r="JAF53" s="10"/>
      <c r="JAG53" s="10"/>
      <c r="JAH53" s="10"/>
      <c r="JAI53" s="10"/>
      <c r="JAJ53" s="10"/>
      <c r="JAK53" s="10"/>
      <c r="JAL53" s="10"/>
      <c r="JAM53" s="10"/>
      <c r="JAN53" s="10"/>
      <c r="JAO53" s="10"/>
      <c r="JAP53" s="10"/>
      <c r="JAQ53" s="10"/>
      <c r="JAR53" s="10"/>
      <c r="JAS53" s="10"/>
      <c r="JAT53" s="10"/>
      <c r="JAU53" s="10"/>
      <c r="JAV53" s="10"/>
      <c r="JAW53" s="10"/>
      <c r="JAX53" s="10"/>
      <c r="JAY53" s="10"/>
      <c r="JAZ53" s="10"/>
      <c r="JBA53" s="10"/>
      <c r="JBB53" s="10"/>
      <c r="JBC53" s="10"/>
      <c r="JBD53" s="10"/>
      <c r="JBE53" s="10"/>
      <c r="JBF53" s="10"/>
      <c r="JBG53" s="10"/>
      <c r="JBH53" s="10"/>
      <c r="JBI53" s="10"/>
      <c r="JBJ53" s="10"/>
      <c r="JBK53" s="10"/>
      <c r="JBL53" s="10"/>
      <c r="JBM53" s="10"/>
      <c r="JBN53" s="10"/>
      <c r="JBO53" s="10"/>
      <c r="JBP53" s="10"/>
      <c r="JBQ53" s="10"/>
      <c r="JBR53" s="10"/>
      <c r="JBS53" s="10"/>
      <c r="JBT53" s="10"/>
      <c r="JBU53" s="10"/>
      <c r="JBV53" s="10"/>
      <c r="JBW53" s="10"/>
      <c r="JBX53" s="10"/>
      <c r="JBY53" s="10"/>
      <c r="JBZ53" s="10"/>
      <c r="JCA53" s="10"/>
      <c r="JCB53" s="10"/>
      <c r="JCC53" s="10"/>
      <c r="JCD53" s="10"/>
      <c r="JCE53" s="10"/>
      <c r="JCF53" s="10"/>
      <c r="JCG53" s="10"/>
      <c r="JCH53" s="10"/>
      <c r="JCI53" s="10"/>
      <c r="JCJ53" s="10"/>
      <c r="JCK53" s="10"/>
      <c r="JCL53" s="10"/>
      <c r="JCM53" s="10"/>
      <c r="JCN53" s="10"/>
      <c r="JCO53" s="10"/>
      <c r="JCP53" s="10"/>
      <c r="JCQ53" s="10"/>
      <c r="JCR53" s="10"/>
      <c r="JCS53" s="10"/>
      <c r="JCT53" s="10"/>
      <c r="JCU53" s="10"/>
      <c r="JCV53" s="10"/>
      <c r="JCW53" s="10"/>
      <c r="JCX53" s="10"/>
      <c r="JCY53" s="10"/>
      <c r="JCZ53" s="10"/>
      <c r="JDA53" s="10"/>
      <c r="JDB53" s="10"/>
      <c r="JDC53" s="10"/>
      <c r="JDD53" s="10"/>
      <c r="JDE53" s="10"/>
      <c r="JDF53" s="10"/>
      <c r="JDG53" s="10"/>
      <c r="JDH53" s="10"/>
      <c r="JDI53" s="10"/>
      <c r="JDJ53" s="10"/>
      <c r="JDK53" s="10"/>
      <c r="JDL53" s="10"/>
      <c r="JDM53" s="10"/>
      <c r="JDN53" s="10"/>
      <c r="JDO53" s="10"/>
      <c r="JDP53" s="10"/>
      <c r="JDQ53" s="10"/>
      <c r="JDR53" s="10"/>
      <c r="JDS53" s="10"/>
      <c r="JDT53" s="10"/>
      <c r="JDU53" s="10"/>
      <c r="JDV53" s="10"/>
      <c r="JDW53" s="10"/>
      <c r="JDX53" s="10"/>
      <c r="JDY53" s="10"/>
      <c r="JDZ53" s="10"/>
      <c r="JEA53" s="10"/>
      <c r="JEB53" s="10"/>
      <c r="JEC53" s="10"/>
      <c r="JED53" s="10"/>
      <c r="JEE53" s="10"/>
      <c r="JEF53" s="10"/>
      <c r="JEG53" s="10"/>
      <c r="JEH53" s="10"/>
      <c r="JEI53" s="10"/>
      <c r="JEJ53" s="10"/>
      <c r="JEK53" s="10"/>
      <c r="JEL53" s="10"/>
      <c r="JEM53" s="10"/>
      <c r="JEN53" s="10"/>
      <c r="JEO53" s="10"/>
      <c r="JEP53" s="10"/>
      <c r="JEQ53" s="10"/>
      <c r="JER53" s="10"/>
      <c r="JES53" s="10"/>
      <c r="JET53" s="10"/>
      <c r="JEU53" s="10"/>
      <c r="JEV53" s="10"/>
      <c r="JEW53" s="10"/>
      <c r="JEX53" s="10"/>
      <c r="JEY53" s="10"/>
      <c r="JEZ53" s="10"/>
      <c r="JFA53" s="10"/>
      <c r="JFB53" s="10"/>
      <c r="JFC53" s="10"/>
      <c r="JFD53" s="10"/>
      <c r="JFE53" s="10"/>
      <c r="JFF53" s="10"/>
      <c r="JFG53" s="10"/>
      <c r="JFH53" s="10"/>
      <c r="JFI53" s="10"/>
      <c r="JFJ53" s="10"/>
      <c r="JFK53" s="10"/>
      <c r="JFL53" s="10"/>
      <c r="JFM53" s="10"/>
      <c r="JFN53" s="10"/>
      <c r="JFO53" s="10"/>
      <c r="JFP53" s="10"/>
      <c r="JFQ53" s="10"/>
      <c r="JFR53" s="10"/>
      <c r="JFS53" s="10"/>
      <c r="JFT53" s="10"/>
      <c r="JFU53" s="10"/>
      <c r="JFV53" s="10"/>
      <c r="JFW53" s="10"/>
      <c r="JFX53" s="10"/>
      <c r="JFY53" s="10"/>
      <c r="JFZ53" s="10"/>
      <c r="JGA53" s="10"/>
      <c r="JGB53" s="10"/>
      <c r="JGC53" s="10"/>
      <c r="JGD53" s="10"/>
      <c r="JGE53" s="10"/>
      <c r="JGF53" s="10"/>
      <c r="JGG53" s="10"/>
      <c r="JGH53" s="10"/>
      <c r="JGI53" s="10"/>
      <c r="JGJ53" s="10"/>
      <c r="JGK53" s="10"/>
      <c r="JGL53" s="10"/>
      <c r="JGM53" s="10"/>
      <c r="JGN53" s="10"/>
      <c r="JGO53" s="10"/>
      <c r="JGP53" s="10"/>
      <c r="JGQ53" s="10"/>
      <c r="JGR53" s="10"/>
      <c r="JGS53" s="10"/>
      <c r="JGT53" s="10"/>
      <c r="JGU53" s="10"/>
      <c r="JGV53" s="10"/>
      <c r="JGW53" s="10"/>
      <c r="JGX53" s="10"/>
      <c r="JGY53" s="10"/>
      <c r="JGZ53" s="10"/>
      <c r="JHA53" s="10"/>
      <c r="JHB53" s="10"/>
      <c r="JHC53" s="10"/>
      <c r="JHD53" s="10"/>
      <c r="JHE53" s="10"/>
      <c r="JHF53" s="10"/>
      <c r="JHG53" s="10"/>
      <c r="JHH53" s="10"/>
      <c r="JHI53" s="10"/>
      <c r="JHJ53" s="10"/>
      <c r="JHK53" s="10"/>
      <c r="JHL53" s="10"/>
      <c r="JHM53" s="10"/>
      <c r="JHN53" s="10"/>
      <c r="JHO53" s="10"/>
      <c r="JHP53" s="10"/>
      <c r="JHQ53" s="10"/>
      <c r="JHR53" s="10"/>
      <c r="JHS53" s="10"/>
      <c r="JHT53" s="10"/>
      <c r="JHU53" s="10"/>
      <c r="JHV53" s="10"/>
      <c r="JHW53" s="10"/>
      <c r="JHX53" s="10"/>
      <c r="JHY53" s="10"/>
      <c r="JHZ53" s="10"/>
      <c r="JIA53" s="10"/>
      <c r="JIB53" s="10"/>
      <c r="JIC53" s="10"/>
      <c r="JID53" s="10"/>
      <c r="JIE53" s="10"/>
      <c r="JIF53" s="10"/>
      <c r="JIG53" s="10"/>
      <c r="JIH53" s="10"/>
      <c r="JII53" s="10"/>
      <c r="JIJ53" s="10"/>
      <c r="JIK53" s="10"/>
      <c r="JIL53" s="10"/>
      <c r="JIM53" s="10"/>
      <c r="JIN53" s="10"/>
      <c r="JIO53" s="10"/>
      <c r="JIP53" s="10"/>
      <c r="JIQ53" s="10"/>
      <c r="JIR53" s="10"/>
      <c r="JIS53" s="10"/>
      <c r="JIT53" s="10"/>
      <c r="JIU53" s="10"/>
      <c r="JIV53" s="10"/>
      <c r="JIW53" s="10"/>
      <c r="JIX53" s="10"/>
      <c r="JIY53" s="10"/>
      <c r="JIZ53" s="10"/>
      <c r="JJA53" s="10"/>
      <c r="JJB53" s="10"/>
      <c r="JJC53" s="10"/>
      <c r="JJD53" s="10"/>
      <c r="JJE53" s="10"/>
      <c r="JJF53" s="10"/>
      <c r="JJG53" s="10"/>
      <c r="JJH53" s="10"/>
      <c r="JJI53" s="10"/>
      <c r="JJJ53" s="10"/>
      <c r="JJK53" s="10"/>
      <c r="JJL53" s="10"/>
      <c r="JJM53" s="10"/>
      <c r="JJN53" s="10"/>
      <c r="JJO53" s="10"/>
      <c r="JJP53" s="10"/>
      <c r="JJQ53" s="10"/>
      <c r="JJR53" s="10"/>
      <c r="JJS53" s="10"/>
      <c r="JJT53" s="10"/>
      <c r="JJU53" s="10"/>
      <c r="JJV53" s="10"/>
      <c r="JJW53" s="10"/>
      <c r="JJX53" s="10"/>
      <c r="JJY53" s="10"/>
      <c r="JJZ53" s="10"/>
      <c r="JKA53" s="10"/>
      <c r="JKB53" s="10"/>
      <c r="JKC53" s="10"/>
      <c r="JKD53" s="10"/>
      <c r="JKE53" s="10"/>
      <c r="JKF53" s="10"/>
      <c r="JKG53" s="10"/>
      <c r="JKH53" s="10"/>
      <c r="JKI53" s="10"/>
      <c r="JKJ53" s="10"/>
      <c r="JKK53" s="10"/>
      <c r="JKL53" s="10"/>
      <c r="JKM53" s="10"/>
      <c r="JKN53" s="10"/>
      <c r="JKO53" s="10"/>
      <c r="JKP53" s="10"/>
      <c r="JKQ53" s="10"/>
      <c r="JKR53" s="10"/>
      <c r="JKS53" s="10"/>
      <c r="JKT53" s="10"/>
      <c r="JKU53" s="10"/>
      <c r="JKV53" s="10"/>
      <c r="JKW53" s="10"/>
      <c r="JKX53" s="10"/>
      <c r="JKY53" s="10"/>
      <c r="JKZ53" s="10"/>
      <c r="JLA53" s="10"/>
      <c r="JLB53" s="10"/>
      <c r="JLC53" s="10"/>
      <c r="JLD53" s="10"/>
      <c r="JLE53" s="10"/>
      <c r="JLF53" s="10"/>
      <c r="JLG53" s="10"/>
      <c r="JLH53" s="10"/>
      <c r="JLI53" s="10"/>
      <c r="JLJ53" s="10"/>
      <c r="JLK53" s="10"/>
      <c r="JLL53" s="10"/>
      <c r="JLM53" s="10"/>
      <c r="JLN53" s="10"/>
      <c r="JLO53" s="10"/>
      <c r="JLP53" s="10"/>
      <c r="JLQ53" s="10"/>
      <c r="JLR53" s="10"/>
      <c r="JLS53" s="10"/>
      <c r="JLT53" s="10"/>
      <c r="JLU53" s="10"/>
      <c r="JLV53" s="10"/>
      <c r="JLW53" s="10"/>
      <c r="JLX53" s="10"/>
      <c r="JLY53" s="10"/>
      <c r="JLZ53" s="10"/>
      <c r="JMA53" s="10"/>
      <c r="JMB53" s="10"/>
      <c r="JMC53" s="10"/>
      <c r="JMD53" s="10"/>
      <c r="JME53" s="10"/>
      <c r="JMF53" s="10"/>
      <c r="JMG53" s="10"/>
      <c r="JMH53" s="10"/>
      <c r="JMI53" s="10"/>
      <c r="JMJ53" s="10"/>
      <c r="JMK53" s="10"/>
      <c r="JML53" s="10"/>
      <c r="JMM53" s="10"/>
      <c r="JMN53" s="10"/>
      <c r="JMO53" s="10"/>
      <c r="JMP53" s="10"/>
      <c r="JMQ53" s="10"/>
      <c r="JMR53" s="10"/>
      <c r="JMS53" s="10"/>
      <c r="JMT53" s="10"/>
      <c r="JMU53" s="10"/>
      <c r="JMV53" s="10"/>
      <c r="JMW53" s="10"/>
      <c r="JMX53" s="10"/>
      <c r="JMY53" s="10"/>
      <c r="JMZ53" s="10"/>
      <c r="JNA53" s="10"/>
      <c r="JNB53" s="10"/>
      <c r="JNC53" s="10"/>
      <c r="JND53" s="10"/>
      <c r="JNE53" s="10"/>
      <c r="JNF53" s="10"/>
      <c r="JNG53" s="10"/>
      <c r="JNH53" s="10"/>
      <c r="JNI53" s="10"/>
      <c r="JNJ53" s="10"/>
      <c r="JNK53" s="10"/>
      <c r="JNL53" s="10"/>
      <c r="JNM53" s="10"/>
      <c r="JNN53" s="10"/>
      <c r="JNO53" s="10"/>
      <c r="JNP53" s="10"/>
      <c r="JNQ53" s="10"/>
      <c r="JNR53" s="10"/>
      <c r="JNS53" s="10"/>
      <c r="JNT53" s="10"/>
      <c r="JNU53" s="10"/>
      <c r="JNV53" s="10"/>
      <c r="JNW53" s="10"/>
      <c r="JNX53" s="10"/>
      <c r="JNY53" s="10"/>
      <c r="JNZ53" s="10"/>
      <c r="JOA53" s="10"/>
      <c r="JOB53" s="10"/>
      <c r="JOC53" s="10"/>
      <c r="JOD53" s="10"/>
      <c r="JOE53" s="10"/>
      <c r="JOF53" s="10"/>
      <c r="JOG53" s="10"/>
      <c r="JOH53" s="10"/>
      <c r="JOI53" s="10"/>
      <c r="JOJ53" s="10"/>
      <c r="JOK53" s="10"/>
      <c r="JOL53" s="10"/>
      <c r="JOM53" s="10"/>
      <c r="JON53" s="10"/>
      <c r="JOO53" s="10"/>
      <c r="JOP53" s="10"/>
      <c r="JOQ53" s="10"/>
      <c r="JOR53" s="10"/>
      <c r="JOS53" s="10"/>
      <c r="JOT53" s="10"/>
      <c r="JOU53" s="10"/>
      <c r="JOV53" s="10"/>
      <c r="JOW53" s="10"/>
      <c r="JOX53" s="10"/>
      <c r="JOY53" s="10"/>
      <c r="JOZ53" s="10"/>
      <c r="JPA53" s="10"/>
      <c r="JPB53" s="10"/>
      <c r="JPC53" s="10"/>
      <c r="JPD53" s="10"/>
      <c r="JPE53" s="10"/>
      <c r="JPF53" s="10"/>
      <c r="JPG53" s="10"/>
      <c r="JPH53" s="10"/>
      <c r="JPI53" s="10"/>
      <c r="JPJ53" s="10"/>
      <c r="JPK53" s="10"/>
      <c r="JPL53" s="10"/>
      <c r="JPM53" s="10"/>
      <c r="JPN53" s="10"/>
      <c r="JPO53" s="10"/>
      <c r="JPP53" s="10"/>
      <c r="JPQ53" s="10"/>
      <c r="JPR53" s="10"/>
      <c r="JPS53" s="10"/>
      <c r="JPT53" s="10"/>
      <c r="JPU53" s="10"/>
      <c r="JPV53" s="10"/>
      <c r="JPW53" s="10"/>
      <c r="JPX53" s="10"/>
      <c r="JPY53" s="10"/>
      <c r="JPZ53" s="10"/>
      <c r="JQA53" s="10"/>
      <c r="JQB53" s="10"/>
      <c r="JQC53" s="10"/>
      <c r="JQD53" s="10"/>
      <c r="JQE53" s="10"/>
      <c r="JQF53" s="10"/>
      <c r="JQG53" s="10"/>
      <c r="JQH53" s="10"/>
      <c r="JQI53" s="10"/>
      <c r="JQJ53" s="10"/>
      <c r="JQK53" s="10"/>
      <c r="JQL53" s="10"/>
      <c r="JQM53" s="10"/>
      <c r="JQN53" s="10"/>
      <c r="JQO53" s="10"/>
      <c r="JQP53" s="10"/>
      <c r="JQQ53" s="10"/>
      <c r="JQR53" s="10"/>
      <c r="JQS53" s="10"/>
      <c r="JQT53" s="10"/>
      <c r="JQU53" s="10"/>
      <c r="JQV53" s="10"/>
      <c r="JQW53" s="10"/>
      <c r="JQX53" s="10"/>
      <c r="JQY53" s="10"/>
      <c r="JQZ53" s="10"/>
      <c r="JRA53" s="10"/>
      <c r="JRB53" s="10"/>
      <c r="JRC53" s="10"/>
      <c r="JRD53" s="10"/>
      <c r="JRE53" s="10"/>
      <c r="JRF53" s="10"/>
      <c r="JRG53" s="10"/>
      <c r="JRH53" s="10"/>
      <c r="JRI53" s="10"/>
      <c r="JRJ53" s="10"/>
      <c r="JRK53" s="10"/>
      <c r="JRL53" s="10"/>
      <c r="JRM53" s="10"/>
      <c r="JRN53" s="10"/>
      <c r="JRO53" s="10"/>
      <c r="JRP53" s="10"/>
      <c r="JRQ53" s="10"/>
      <c r="JRR53" s="10"/>
      <c r="JRS53" s="10"/>
      <c r="JRT53" s="10"/>
      <c r="JRU53" s="10"/>
      <c r="JRV53" s="10"/>
      <c r="JRW53" s="10"/>
      <c r="JRX53" s="10"/>
      <c r="JRY53" s="10"/>
      <c r="JRZ53" s="10"/>
      <c r="JSA53" s="10"/>
      <c r="JSB53" s="10"/>
      <c r="JSC53" s="10"/>
      <c r="JSD53" s="10"/>
      <c r="JSE53" s="10"/>
      <c r="JSF53" s="10"/>
      <c r="JSG53" s="10"/>
      <c r="JSH53" s="10"/>
      <c r="JSI53" s="10"/>
      <c r="JSJ53" s="10"/>
      <c r="JSK53" s="10"/>
      <c r="JSL53" s="10"/>
      <c r="JSM53" s="10"/>
      <c r="JSN53" s="10"/>
      <c r="JSO53" s="10"/>
      <c r="JSP53" s="10"/>
      <c r="JSQ53" s="10"/>
      <c r="JSR53" s="10"/>
      <c r="JSS53" s="10"/>
      <c r="JST53" s="10"/>
      <c r="JSU53" s="10"/>
      <c r="JSV53" s="10"/>
      <c r="JSW53" s="10"/>
      <c r="JSX53" s="10"/>
      <c r="JSY53" s="10"/>
      <c r="JSZ53" s="10"/>
      <c r="JTA53" s="10"/>
      <c r="JTB53" s="10"/>
      <c r="JTC53" s="10"/>
      <c r="JTD53" s="10"/>
      <c r="JTE53" s="10"/>
      <c r="JTF53" s="10"/>
      <c r="JTG53" s="10"/>
      <c r="JTH53" s="10"/>
      <c r="JTI53" s="10"/>
      <c r="JTJ53" s="10"/>
      <c r="JTK53" s="10"/>
      <c r="JTL53" s="10"/>
      <c r="JTM53" s="10"/>
      <c r="JTN53" s="10"/>
      <c r="JTO53" s="10"/>
      <c r="JTP53" s="10"/>
      <c r="JTQ53" s="10"/>
      <c r="JTR53" s="10"/>
      <c r="JTS53" s="10"/>
      <c r="JTT53" s="10"/>
      <c r="JTU53" s="10"/>
      <c r="JTV53" s="10"/>
      <c r="JTW53" s="10"/>
      <c r="JTX53" s="10"/>
      <c r="JTY53" s="10"/>
      <c r="JTZ53" s="10"/>
      <c r="JUA53" s="10"/>
      <c r="JUB53" s="10"/>
      <c r="JUC53" s="10"/>
      <c r="JUD53" s="10"/>
      <c r="JUE53" s="10"/>
      <c r="JUF53" s="10"/>
      <c r="JUG53" s="10"/>
      <c r="JUH53" s="10"/>
      <c r="JUI53" s="10"/>
      <c r="JUJ53" s="10"/>
      <c r="JUK53" s="10"/>
      <c r="JUL53" s="10"/>
      <c r="JUM53" s="10"/>
      <c r="JUN53" s="10"/>
      <c r="JUO53" s="10"/>
      <c r="JUP53" s="10"/>
      <c r="JUQ53" s="10"/>
      <c r="JUR53" s="10"/>
      <c r="JUS53" s="10"/>
      <c r="JUT53" s="10"/>
      <c r="JUU53" s="10"/>
      <c r="JUV53" s="10"/>
      <c r="JUW53" s="10"/>
      <c r="JUX53" s="10"/>
      <c r="JUY53" s="10"/>
      <c r="JUZ53" s="10"/>
      <c r="JVA53" s="10"/>
      <c r="JVB53" s="10"/>
      <c r="JVC53" s="10"/>
      <c r="JVD53" s="10"/>
      <c r="JVE53" s="10"/>
      <c r="JVF53" s="10"/>
      <c r="JVG53" s="10"/>
      <c r="JVH53" s="10"/>
      <c r="JVI53" s="10"/>
      <c r="JVJ53" s="10"/>
      <c r="JVK53" s="10"/>
      <c r="JVL53" s="10"/>
      <c r="JVM53" s="10"/>
      <c r="JVN53" s="10"/>
      <c r="JVO53" s="10"/>
      <c r="JVP53" s="10"/>
      <c r="JVQ53" s="10"/>
      <c r="JVR53" s="10"/>
      <c r="JVS53" s="10"/>
      <c r="JVT53" s="10"/>
      <c r="JVU53" s="10"/>
      <c r="JVV53" s="10"/>
      <c r="JVW53" s="10"/>
      <c r="JVX53" s="10"/>
      <c r="JVY53" s="10"/>
      <c r="JVZ53" s="10"/>
      <c r="JWA53" s="10"/>
      <c r="JWB53" s="10"/>
      <c r="JWC53" s="10"/>
      <c r="JWD53" s="10"/>
      <c r="JWE53" s="10"/>
      <c r="JWF53" s="10"/>
      <c r="JWG53" s="10"/>
      <c r="JWH53" s="10"/>
      <c r="JWI53" s="10"/>
      <c r="JWJ53" s="10"/>
      <c r="JWK53" s="10"/>
      <c r="JWL53" s="10"/>
      <c r="JWM53" s="10"/>
      <c r="JWN53" s="10"/>
      <c r="JWO53" s="10"/>
      <c r="JWP53" s="10"/>
      <c r="JWQ53" s="10"/>
      <c r="JWR53" s="10"/>
      <c r="JWS53" s="10"/>
      <c r="JWT53" s="10"/>
      <c r="JWU53" s="10"/>
      <c r="JWV53" s="10"/>
      <c r="JWW53" s="10"/>
      <c r="JWX53" s="10"/>
      <c r="JWY53" s="10"/>
      <c r="JWZ53" s="10"/>
      <c r="JXA53" s="10"/>
      <c r="JXB53" s="10"/>
      <c r="JXC53" s="10"/>
      <c r="JXD53" s="10"/>
      <c r="JXE53" s="10"/>
      <c r="JXF53" s="10"/>
      <c r="JXG53" s="10"/>
      <c r="JXH53" s="10"/>
      <c r="JXI53" s="10"/>
      <c r="JXJ53" s="10"/>
      <c r="JXK53" s="10"/>
      <c r="JXL53" s="10"/>
      <c r="JXM53" s="10"/>
      <c r="JXN53" s="10"/>
      <c r="JXO53" s="10"/>
      <c r="JXP53" s="10"/>
      <c r="JXQ53" s="10"/>
      <c r="JXR53" s="10"/>
      <c r="JXS53" s="10"/>
      <c r="JXT53" s="10"/>
      <c r="JXU53" s="10"/>
      <c r="JXV53" s="10"/>
      <c r="JXW53" s="10"/>
      <c r="JXX53" s="10"/>
      <c r="JXY53" s="10"/>
      <c r="JXZ53" s="10"/>
      <c r="JYA53" s="10"/>
      <c r="JYB53" s="10"/>
      <c r="JYC53" s="10"/>
      <c r="JYD53" s="10"/>
      <c r="JYE53" s="10"/>
      <c r="JYF53" s="10"/>
      <c r="JYG53" s="10"/>
      <c r="JYH53" s="10"/>
      <c r="JYI53" s="10"/>
      <c r="JYJ53" s="10"/>
      <c r="JYK53" s="10"/>
      <c r="JYL53" s="10"/>
      <c r="JYM53" s="10"/>
      <c r="JYN53" s="10"/>
      <c r="JYO53" s="10"/>
      <c r="JYP53" s="10"/>
      <c r="JYQ53" s="10"/>
      <c r="JYR53" s="10"/>
      <c r="JYS53" s="10"/>
      <c r="JYT53" s="10"/>
      <c r="JYU53" s="10"/>
      <c r="JYV53" s="10"/>
      <c r="JYW53" s="10"/>
      <c r="JYX53" s="10"/>
      <c r="JYY53" s="10"/>
      <c r="JYZ53" s="10"/>
      <c r="JZA53" s="10"/>
      <c r="JZB53" s="10"/>
      <c r="JZC53" s="10"/>
      <c r="JZD53" s="10"/>
      <c r="JZE53" s="10"/>
      <c r="JZF53" s="10"/>
      <c r="JZG53" s="10"/>
      <c r="JZH53" s="10"/>
      <c r="JZI53" s="10"/>
      <c r="JZJ53" s="10"/>
      <c r="JZK53" s="10"/>
      <c r="JZL53" s="10"/>
      <c r="JZM53" s="10"/>
      <c r="JZN53" s="10"/>
      <c r="JZO53" s="10"/>
      <c r="JZP53" s="10"/>
      <c r="JZQ53" s="10"/>
      <c r="JZR53" s="10"/>
      <c r="JZS53" s="10"/>
      <c r="JZT53" s="10"/>
      <c r="JZU53" s="10"/>
      <c r="JZV53" s="10"/>
      <c r="JZW53" s="10"/>
      <c r="JZX53" s="10"/>
      <c r="JZY53" s="10"/>
      <c r="JZZ53" s="10"/>
      <c r="KAA53" s="10"/>
      <c r="KAB53" s="10"/>
      <c r="KAC53" s="10"/>
      <c r="KAD53" s="10"/>
      <c r="KAE53" s="10"/>
      <c r="KAF53" s="10"/>
      <c r="KAG53" s="10"/>
      <c r="KAH53" s="10"/>
      <c r="KAI53" s="10"/>
      <c r="KAJ53" s="10"/>
      <c r="KAK53" s="10"/>
      <c r="KAL53" s="10"/>
      <c r="KAM53" s="10"/>
      <c r="KAN53" s="10"/>
      <c r="KAO53" s="10"/>
      <c r="KAP53" s="10"/>
      <c r="KAQ53" s="10"/>
      <c r="KAR53" s="10"/>
      <c r="KAS53" s="10"/>
      <c r="KAT53" s="10"/>
      <c r="KAU53" s="10"/>
      <c r="KAV53" s="10"/>
      <c r="KAW53" s="10"/>
      <c r="KAX53" s="10"/>
      <c r="KAY53" s="10"/>
      <c r="KAZ53" s="10"/>
      <c r="KBA53" s="10"/>
      <c r="KBB53" s="10"/>
      <c r="KBC53" s="10"/>
      <c r="KBD53" s="10"/>
      <c r="KBE53" s="10"/>
      <c r="KBF53" s="10"/>
      <c r="KBG53" s="10"/>
      <c r="KBH53" s="10"/>
      <c r="KBI53" s="10"/>
      <c r="KBJ53" s="10"/>
      <c r="KBK53" s="10"/>
      <c r="KBL53" s="10"/>
      <c r="KBM53" s="10"/>
      <c r="KBN53" s="10"/>
      <c r="KBO53" s="10"/>
      <c r="KBP53" s="10"/>
      <c r="KBQ53" s="10"/>
      <c r="KBR53" s="10"/>
      <c r="KBS53" s="10"/>
      <c r="KBT53" s="10"/>
      <c r="KBU53" s="10"/>
      <c r="KBV53" s="10"/>
      <c r="KBW53" s="10"/>
      <c r="KBX53" s="10"/>
      <c r="KBY53" s="10"/>
      <c r="KBZ53" s="10"/>
      <c r="KCA53" s="10"/>
      <c r="KCB53" s="10"/>
      <c r="KCC53" s="10"/>
      <c r="KCD53" s="10"/>
      <c r="KCE53" s="10"/>
      <c r="KCF53" s="10"/>
      <c r="KCG53" s="10"/>
      <c r="KCH53" s="10"/>
      <c r="KCI53" s="10"/>
      <c r="KCJ53" s="10"/>
      <c r="KCK53" s="10"/>
      <c r="KCL53" s="10"/>
      <c r="KCM53" s="10"/>
      <c r="KCN53" s="10"/>
      <c r="KCO53" s="10"/>
      <c r="KCP53" s="10"/>
      <c r="KCQ53" s="10"/>
      <c r="KCR53" s="10"/>
      <c r="KCS53" s="10"/>
      <c r="KCT53" s="10"/>
      <c r="KCU53" s="10"/>
      <c r="KCV53" s="10"/>
      <c r="KCW53" s="10"/>
      <c r="KCX53" s="10"/>
      <c r="KCY53" s="10"/>
      <c r="KCZ53" s="10"/>
      <c r="KDA53" s="10"/>
      <c r="KDB53" s="10"/>
      <c r="KDC53" s="10"/>
      <c r="KDD53" s="10"/>
      <c r="KDE53" s="10"/>
      <c r="KDF53" s="10"/>
      <c r="KDG53" s="10"/>
      <c r="KDH53" s="10"/>
      <c r="KDI53" s="10"/>
      <c r="KDJ53" s="10"/>
      <c r="KDK53" s="10"/>
      <c r="KDL53" s="10"/>
      <c r="KDM53" s="10"/>
      <c r="KDN53" s="10"/>
      <c r="KDO53" s="10"/>
      <c r="KDP53" s="10"/>
      <c r="KDQ53" s="10"/>
      <c r="KDR53" s="10"/>
      <c r="KDS53" s="10"/>
      <c r="KDT53" s="10"/>
      <c r="KDU53" s="10"/>
      <c r="KDV53" s="10"/>
      <c r="KDW53" s="10"/>
      <c r="KDX53" s="10"/>
      <c r="KDY53" s="10"/>
      <c r="KDZ53" s="10"/>
      <c r="KEA53" s="10"/>
      <c r="KEB53" s="10"/>
      <c r="KEC53" s="10"/>
      <c r="KED53" s="10"/>
      <c r="KEE53" s="10"/>
      <c r="KEF53" s="10"/>
      <c r="KEG53" s="10"/>
      <c r="KEH53" s="10"/>
      <c r="KEI53" s="10"/>
      <c r="KEJ53" s="10"/>
      <c r="KEK53" s="10"/>
      <c r="KEL53" s="10"/>
      <c r="KEM53" s="10"/>
      <c r="KEN53" s="10"/>
      <c r="KEO53" s="10"/>
      <c r="KEP53" s="10"/>
      <c r="KEQ53" s="10"/>
      <c r="KER53" s="10"/>
      <c r="KES53" s="10"/>
      <c r="KET53" s="10"/>
      <c r="KEU53" s="10"/>
      <c r="KEV53" s="10"/>
      <c r="KEW53" s="10"/>
      <c r="KEX53" s="10"/>
      <c r="KEY53" s="10"/>
      <c r="KEZ53" s="10"/>
      <c r="KFA53" s="10"/>
      <c r="KFB53" s="10"/>
      <c r="KFC53" s="10"/>
      <c r="KFD53" s="10"/>
      <c r="KFE53" s="10"/>
      <c r="KFF53" s="10"/>
      <c r="KFG53" s="10"/>
      <c r="KFH53" s="10"/>
      <c r="KFI53" s="10"/>
      <c r="KFJ53" s="10"/>
      <c r="KFK53" s="10"/>
      <c r="KFL53" s="10"/>
      <c r="KFM53" s="10"/>
      <c r="KFN53" s="10"/>
      <c r="KFO53" s="10"/>
      <c r="KFP53" s="10"/>
      <c r="KFQ53" s="10"/>
      <c r="KFR53" s="10"/>
      <c r="KFS53" s="10"/>
      <c r="KFT53" s="10"/>
      <c r="KFU53" s="10"/>
      <c r="KFV53" s="10"/>
      <c r="KFW53" s="10"/>
      <c r="KFX53" s="10"/>
      <c r="KFY53" s="10"/>
      <c r="KFZ53" s="10"/>
      <c r="KGA53" s="10"/>
      <c r="KGB53" s="10"/>
      <c r="KGC53" s="10"/>
      <c r="KGD53" s="10"/>
      <c r="KGE53" s="10"/>
      <c r="KGF53" s="10"/>
      <c r="KGG53" s="10"/>
      <c r="KGH53" s="10"/>
      <c r="KGI53" s="10"/>
      <c r="KGJ53" s="10"/>
      <c r="KGK53" s="10"/>
      <c r="KGL53" s="10"/>
      <c r="KGM53" s="10"/>
      <c r="KGN53" s="10"/>
      <c r="KGO53" s="10"/>
      <c r="KGP53" s="10"/>
      <c r="KGQ53" s="10"/>
      <c r="KGR53" s="10"/>
      <c r="KGS53" s="10"/>
      <c r="KGT53" s="10"/>
      <c r="KGU53" s="10"/>
      <c r="KGV53" s="10"/>
      <c r="KGW53" s="10"/>
      <c r="KGX53" s="10"/>
      <c r="KGY53" s="10"/>
      <c r="KGZ53" s="10"/>
      <c r="KHA53" s="10"/>
      <c r="KHB53" s="10"/>
      <c r="KHC53" s="10"/>
      <c r="KHD53" s="10"/>
      <c r="KHE53" s="10"/>
      <c r="KHF53" s="10"/>
      <c r="KHG53" s="10"/>
      <c r="KHH53" s="10"/>
      <c r="KHI53" s="10"/>
      <c r="KHJ53" s="10"/>
      <c r="KHK53" s="10"/>
      <c r="KHL53" s="10"/>
      <c r="KHM53" s="10"/>
      <c r="KHN53" s="10"/>
      <c r="KHO53" s="10"/>
      <c r="KHP53" s="10"/>
      <c r="KHQ53" s="10"/>
      <c r="KHR53" s="10"/>
      <c r="KHS53" s="10"/>
      <c r="KHT53" s="10"/>
      <c r="KHU53" s="10"/>
      <c r="KHV53" s="10"/>
      <c r="KHW53" s="10"/>
      <c r="KHX53" s="10"/>
      <c r="KHY53" s="10"/>
      <c r="KHZ53" s="10"/>
      <c r="KIA53" s="10"/>
      <c r="KIB53" s="10"/>
      <c r="KIC53" s="10"/>
      <c r="KID53" s="10"/>
      <c r="KIE53" s="10"/>
      <c r="KIF53" s="10"/>
      <c r="KIG53" s="10"/>
      <c r="KIH53" s="10"/>
      <c r="KII53" s="10"/>
      <c r="KIJ53" s="10"/>
      <c r="KIK53" s="10"/>
      <c r="KIL53" s="10"/>
      <c r="KIM53" s="10"/>
      <c r="KIN53" s="10"/>
      <c r="KIO53" s="10"/>
      <c r="KIP53" s="10"/>
      <c r="KIQ53" s="10"/>
      <c r="KIR53" s="10"/>
      <c r="KIS53" s="10"/>
      <c r="KIT53" s="10"/>
      <c r="KIU53" s="10"/>
      <c r="KIV53" s="10"/>
      <c r="KIW53" s="10"/>
      <c r="KIX53" s="10"/>
      <c r="KIY53" s="10"/>
      <c r="KIZ53" s="10"/>
      <c r="KJA53" s="10"/>
      <c r="KJB53" s="10"/>
      <c r="KJC53" s="10"/>
      <c r="KJD53" s="10"/>
      <c r="KJE53" s="10"/>
      <c r="KJF53" s="10"/>
      <c r="KJG53" s="10"/>
      <c r="KJH53" s="10"/>
      <c r="KJI53" s="10"/>
      <c r="KJJ53" s="10"/>
      <c r="KJK53" s="10"/>
      <c r="KJL53" s="10"/>
      <c r="KJM53" s="10"/>
      <c r="KJN53" s="10"/>
      <c r="KJO53" s="10"/>
      <c r="KJP53" s="10"/>
      <c r="KJQ53" s="10"/>
      <c r="KJR53" s="10"/>
      <c r="KJS53" s="10"/>
      <c r="KJT53" s="10"/>
      <c r="KJU53" s="10"/>
      <c r="KJV53" s="10"/>
      <c r="KJW53" s="10"/>
      <c r="KJX53" s="10"/>
      <c r="KJY53" s="10"/>
      <c r="KJZ53" s="10"/>
      <c r="KKA53" s="10"/>
      <c r="KKB53" s="10"/>
      <c r="KKC53" s="10"/>
      <c r="KKD53" s="10"/>
      <c r="KKE53" s="10"/>
      <c r="KKF53" s="10"/>
      <c r="KKG53" s="10"/>
      <c r="KKH53" s="10"/>
      <c r="KKI53" s="10"/>
      <c r="KKJ53" s="10"/>
      <c r="KKK53" s="10"/>
      <c r="KKL53" s="10"/>
      <c r="KKM53" s="10"/>
      <c r="KKN53" s="10"/>
      <c r="KKO53" s="10"/>
      <c r="KKP53" s="10"/>
      <c r="KKQ53" s="10"/>
      <c r="KKR53" s="10"/>
      <c r="KKS53" s="10"/>
      <c r="KKT53" s="10"/>
      <c r="KKU53" s="10"/>
      <c r="KKV53" s="10"/>
      <c r="KKW53" s="10"/>
      <c r="KKX53" s="10"/>
      <c r="KKY53" s="10"/>
      <c r="KKZ53" s="10"/>
      <c r="KLA53" s="10"/>
      <c r="KLB53" s="10"/>
      <c r="KLC53" s="10"/>
      <c r="KLD53" s="10"/>
      <c r="KLE53" s="10"/>
      <c r="KLF53" s="10"/>
      <c r="KLG53" s="10"/>
      <c r="KLH53" s="10"/>
      <c r="KLI53" s="10"/>
      <c r="KLJ53" s="10"/>
      <c r="KLK53" s="10"/>
      <c r="KLL53" s="10"/>
      <c r="KLM53" s="10"/>
      <c r="KLN53" s="10"/>
      <c r="KLO53" s="10"/>
      <c r="KLP53" s="10"/>
      <c r="KLQ53" s="10"/>
      <c r="KLR53" s="10"/>
      <c r="KLS53" s="10"/>
      <c r="KLT53" s="10"/>
      <c r="KLU53" s="10"/>
      <c r="KLV53" s="10"/>
      <c r="KLW53" s="10"/>
      <c r="KLX53" s="10"/>
      <c r="KLY53" s="10"/>
      <c r="KLZ53" s="10"/>
      <c r="KMA53" s="10"/>
      <c r="KMB53" s="10"/>
      <c r="KMC53" s="10"/>
      <c r="KMD53" s="10"/>
      <c r="KME53" s="10"/>
      <c r="KMF53" s="10"/>
      <c r="KMG53" s="10"/>
      <c r="KMH53" s="10"/>
      <c r="KMI53" s="10"/>
      <c r="KMJ53" s="10"/>
      <c r="KMK53" s="10"/>
      <c r="KML53" s="10"/>
      <c r="KMM53" s="10"/>
      <c r="KMN53" s="10"/>
      <c r="KMO53" s="10"/>
      <c r="KMP53" s="10"/>
      <c r="KMQ53" s="10"/>
      <c r="KMR53" s="10"/>
      <c r="KMS53" s="10"/>
      <c r="KMT53" s="10"/>
      <c r="KMU53" s="10"/>
      <c r="KMV53" s="10"/>
      <c r="KMW53" s="10"/>
      <c r="KMX53" s="10"/>
      <c r="KMY53" s="10"/>
      <c r="KMZ53" s="10"/>
      <c r="KNA53" s="10"/>
      <c r="KNB53" s="10"/>
      <c r="KNC53" s="10"/>
      <c r="KND53" s="10"/>
      <c r="KNE53" s="10"/>
      <c r="KNF53" s="10"/>
      <c r="KNG53" s="10"/>
      <c r="KNH53" s="10"/>
      <c r="KNI53" s="10"/>
      <c r="KNJ53" s="10"/>
      <c r="KNK53" s="10"/>
      <c r="KNL53" s="10"/>
      <c r="KNM53" s="10"/>
      <c r="KNN53" s="10"/>
      <c r="KNO53" s="10"/>
      <c r="KNP53" s="10"/>
      <c r="KNQ53" s="10"/>
      <c r="KNR53" s="10"/>
      <c r="KNS53" s="10"/>
      <c r="KNT53" s="10"/>
      <c r="KNU53" s="10"/>
      <c r="KNV53" s="10"/>
      <c r="KNW53" s="10"/>
      <c r="KNX53" s="10"/>
      <c r="KNY53" s="10"/>
      <c r="KNZ53" s="10"/>
      <c r="KOA53" s="10"/>
      <c r="KOB53" s="10"/>
      <c r="KOC53" s="10"/>
      <c r="KOD53" s="10"/>
      <c r="KOE53" s="10"/>
      <c r="KOF53" s="10"/>
      <c r="KOG53" s="10"/>
      <c r="KOH53" s="10"/>
      <c r="KOI53" s="10"/>
      <c r="KOJ53" s="10"/>
      <c r="KOK53" s="10"/>
      <c r="KOL53" s="10"/>
      <c r="KOM53" s="10"/>
      <c r="KON53" s="10"/>
      <c r="KOO53" s="10"/>
      <c r="KOP53" s="10"/>
      <c r="KOQ53" s="10"/>
      <c r="KOR53" s="10"/>
      <c r="KOS53" s="10"/>
      <c r="KOT53" s="10"/>
      <c r="KOU53" s="10"/>
      <c r="KOV53" s="10"/>
      <c r="KOW53" s="10"/>
      <c r="KOX53" s="10"/>
      <c r="KOY53" s="10"/>
      <c r="KOZ53" s="10"/>
      <c r="KPA53" s="10"/>
      <c r="KPB53" s="10"/>
      <c r="KPC53" s="10"/>
      <c r="KPD53" s="10"/>
      <c r="KPE53" s="10"/>
      <c r="KPF53" s="10"/>
      <c r="KPG53" s="10"/>
      <c r="KPH53" s="10"/>
      <c r="KPI53" s="10"/>
      <c r="KPJ53" s="10"/>
      <c r="KPK53" s="10"/>
      <c r="KPL53" s="10"/>
      <c r="KPM53" s="10"/>
      <c r="KPN53" s="10"/>
      <c r="KPO53" s="10"/>
      <c r="KPP53" s="10"/>
      <c r="KPQ53" s="10"/>
      <c r="KPR53" s="10"/>
      <c r="KPS53" s="10"/>
      <c r="KPT53" s="10"/>
      <c r="KPU53" s="10"/>
      <c r="KPV53" s="10"/>
      <c r="KPW53" s="10"/>
      <c r="KPX53" s="10"/>
      <c r="KPY53" s="10"/>
      <c r="KPZ53" s="10"/>
      <c r="KQA53" s="10"/>
      <c r="KQB53" s="10"/>
      <c r="KQC53" s="10"/>
      <c r="KQD53" s="10"/>
      <c r="KQE53" s="10"/>
      <c r="KQF53" s="10"/>
      <c r="KQG53" s="10"/>
      <c r="KQH53" s="10"/>
      <c r="KQI53" s="10"/>
      <c r="KQJ53" s="10"/>
      <c r="KQK53" s="10"/>
      <c r="KQL53" s="10"/>
      <c r="KQM53" s="10"/>
      <c r="KQN53" s="10"/>
      <c r="KQO53" s="10"/>
      <c r="KQP53" s="10"/>
      <c r="KQQ53" s="10"/>
      <c r="KQR53" s="10"/>
      <c r="KQS53" s="10"/>
      <c r="KQT53" s="10"/>
      <c r="KQU53" s="10"/>
      <c r="KQV53" s="10"/>
      <c r="KQW53" s="10"/>
      <c r="KQX53" s="10"/>
      <c r="KQY53" s="10"/>
      <c r="KQZ53" s="10"/>
      <c r="KRA53" s="10"/>
      <c r="KRB53" s="10"/>
      <c r="KRC53" s="10"/>
      <c r="KRD53" s="10"/>
      <c r="KRE53" s="10"/>
      <c r="KRF53" s="10"/>
      <c r="KRG53" s="10"/>
      <c r="KRH53" s="10"/>
      <c r="KRI53" s="10"/>
      <c r="KRJ53" s="10"/>
      <c r="KRK53" s="10"/>
      <c r="KRL53" s="10"/>
      <c r="KRM53" s="10"/>
      <c r="KRN53" s="10"/>
      <c r="KRO53" s="10"/>
      <c r="KRP53" s="10"/>
      <c r="KRQ53" s="10"/>
      <c r="KRR53" s="10"/>
      <c r="KRS53" s="10"/>
      <c r="KRT53" s="10"/>
      <c r="KRU53" s="10"/>
      <c r="KRV53" s="10"/>
      <c r="KRW53" s="10"/>
      <c r="KRX53" s="10"/>
      <c r="KRY53" s="10"/>
      <c r="KRZ53" s="10"/>
      <c r="KSA53" s="10"/>
      <c r="KSB53" s="10"/>
      <c r="KSC53" s="10"/>
      <c r="KSD53" s="10"/>
      <c r="KSE53" s="10"/>
      <c r="KSF53" s="10"/>
      <c r="KSG53" s="10"/>
      <c r="KSH53" s="10"/>
      <c r="KSI53" s="10"/>
      <c r="KSJ53" s="10"/>
      <c r="KSK53" s="10"/>
      <c r="KSL53" s="10"/>
      <c r="KSM53" s="10"/>
      <c r="KSN53" s="10"/>
      <c r="KSO53" s="10"/>
      <c r="KSP53" s="10"/>
      <c r="KSQ53" s="10"/>
      <c r="KSR53" s="10"/>
      <c r="KSS53" s="10"/>
      <c r="KST53" s="10"/>
      <c r="KSU53" s="10"/>
      <c r="KSV53" s="10"/>
      <c r="KSW53" s="10"/>
      <c r="KSX53" s="10"/>
      <c r="KSY53" s="10"/>
      <c r="KSZ53" s="10"/>
      <c r="KTA53" s="10"/>
      <c r="KTB53" s="10"/>
      <c r="KTC53" s="10"/>
      <c r="KTD53" s="10"/>
      <c r="KTE53" s="10"/>
      <c r="KTF53" s="10"/>
      <c r="KTG53" s="10"/>
      <c r="KTH53" s="10"/>
      <c r="KTI53" s="10"/>
      <c r="KTJ53" s="10"/>
      <c r="KTK53" s="10"/>
      <c r="KTL53" s="10"/>
      <c r="KTM53" s="10"/>
      <c r="KTN53" s="10"/>
      <c r="KTO53" s="10"/>
      <c r="KTP53" s="10"/>
      <c r="KTQ53" s="10"/>
      <c r="KTR53" s="10"/>
      <c r="KTS53" s="10"/>
      <c r="KTT53" s="10"/>
      <c r="KTU53" s="10"/>
      <c r="KTV53" s="10"/>
      <c r="KTW53" s="10"/>
      <c r="KTX53" s="10"/>
      <c r="KTY53" s="10"/>
      <c r="KTZ53" s="10"/>
      <c r="KUA53" s="10"/>
      <c r="KUB53" s="10"/>
      <c r="KUC53" s="10"/>
      <c r="KUD53" s="10"/>
      <c r="KUE53" s="10"/>
      <c r="KUF53" s="10"/>
      <c r="KUG53" s="10"/>
      <c r="KUH53" s="10"/>
      <c r="KUI53" s="10"/>
      <c r="KUJ53" s="10"/>
      <c r="KUK53" s="10"/>
      <c r="KUL53" s="10"/>
      <c r="KUM53" s="10"/>
      <c r="KUN53" s="10"/>
      <c r="KUO53" s="10"/>
      <c r="KUP53" s="10"/>
      <c r="KUQ53" s="10"/>
      <c r="KUR53" s="10"/>
      <c r="KUS53" s="10"/>
      <c r="KUT53" s="10"/>
      <c r="KUU53" s="10"/>
      <c r="KUV53" s="10"/>
      <c r="KUW53" s="10"/>
      <c r="KUX53" s="10"/>
      <c r="KUY53" s="10"/>
      <c r="KUZ53" s="10"/>
      <c r="KVA53" s="10"/>
      <c r="KVB53" s="10"/>
      <c r="KVC53" s="10"/>
      <c r="KVD53" s="10"/>
      <c r="KVE53" s="10"/>
      <c r="KVF53" s="10"/>
      <c r="KVG53" s="10"/>
      <c r="KVH53" s="10"/>
      <c r="KVI53" s="10"/>
      <c r="KVJ53" s="10"/>
      <c r="KVK53" s="10"/>
      <c r="KVL53" s="10"/>
      <c r="KVM53" s="10"/>
      <c r="KVN53" s="10"/>
      <c r="KVO53" s="10"/>
      <c r="KVP53" s="10"/>
      <c r="KVQ53" s="10"/>
      <c r="KVR53" s="10"/>
      <c r="KVS53" s="10"/>
      <c r="KVT53" s="10"/>
      <c r="KVU53" s="10"/>
      <c r="KVV53" s="10"/>
      <c r="KVW53" s="10"/>
      <c r="KVX53" s="10"/>
      <c r="KVY53" s="10"/>
      <c r="KVZ53" s="10"/>
      <c r="KWA53" s="10"/>
      <c r="KWB53" s="10"/>
      <c r="KWC53" s="10"/>
      <c r="KWD53" s="10"/>
      <c r="KWE53" s="10"/>
      <c r="KWF53" s="10"/>
      <c r="KWG53" s="10"/>
      <c r="KWH53" s="10"/>
      <c r="KWI53" s="10"/>
      <c r="KWJ53" s="10"/>
      <c r="KWK53" s="10"/>
      <c r="KWL53" s="10"/>
      <c r="KWM53" s="10"/>
      <c r="KWN53" s="10"/>
      <c r="KWO53" s="10"/>
      <c r="KWP53" s="10"/>
      <c r="KWQ53" s="10"/>
      <c r="KWR53" s="10"/>
      <c r="KWS53" s="10"/>
      <c r="KWT53" s="10"/>
      <c r="KWU53" s="10"/>
      <c r="KWV53" s="10"/>
      <c r="KWW53" s="10"/>
      <c r="KWX53" s="10"/>
      <c r="KWY53" s="10"/>
      <c r="KWZ53" s="10"/>
      <c r="KXA53" s="10"/>
      <c r="KXB53" s="10"/>
      <c r="KXC53" s="10"/>
      <c r="KXD53" s="10"/>
      <c r="KXE53" s="10"/>
      <c r="KXF53" s="10"/>
      <c r="KXG53" s="10"/>
      <c r="KXH53" s="10"/>
      <c r="KXI53" s="10"/>
      <c r="KXJ53" s="10"/>
      <c r="KXK53" s="10"/>
      <c r="KXL53" s="10"/>
      <c r="KXM53" s="10"/>
      <c r="KXN53" s="10"/>
      <c r="KXO53" s="10"/>
      <c r="KXP53" s="10"/>
      <c r="KXQ53" s="10"/>
      <c r="KXR53" s="10"/>
      <c r="KXS53" s="10"/>
      <c r="KXT53" s="10"/>
      <c r="KXU53" s="10"/>
      <c r="KXV53" s="10"/>
      <c r="KXW53" s="10"/>
      <c r="KXX53" s="10"/>
      <c r="KXY53" s="10"/>
      <c r="KXZ53" s="10"/>
      <c r="KYA53" s="10"/>
      <c r="KYB53" s="10"/>
      <c r="KYC53" s="10"/>
      <c r="KYD53" s="10"/>
      <c r="KYE53" s="10"/>
      <c r="KYF53" s="10"/>
      <c r="KYG53" s="10"/>
      <c r="KYH53" s="10"/>
      <c r="KYI53" s="10"/>
      <c r="KYJ53" s="10"/>
      <c r="KYK53" s="10"/>
      <c r="KYL53" s="10"/>
      <c r="KYM53" s="10"/>
      <c r="KYN53" s="10"/>
      <c r="KYO53" s="10"/>
      <c r="KYP53" s="10"/>
      <c r="KYQ53" s="10"/>
      <c r="KYR53" s="10"/>
      <c r="KYS53" s="10"/>
      <c r="KYT53" s="10"/>
      <c r="KYU53" s="10"/>
      <c r="KYV53" s="10"/>
      <c r="KYW53" s="10"/>
      <c r="KYX53" s="10"/>
      <c r="KYY53" s="10"/>
      <c r="KYZ53" s="10"/>
      <c r="KZA53" s="10"/>
      <c r="KZB53" s="10"/>
      <c r="KZC53" s="10"/>
      <c r="KZD53" s="10"/>
      <c r="KZE53" s="10"/>
      <c r="KZF53" s="10"/>
      <c r="KZG53" s="10"/>
      <c r="KZH53" s="10"/>
      <c r="KZI53" s="10"/>
      <c r="KZJ53" s="10"/>
      <c r="KZK53" s="10"/>
      <c r="KZL53" s="10"/>
      <c r="KZM53" s="10"/>
      <c r="KZN53" s="10"/>
      <c r="KZO53" s="10"/>
      <c r="KZP53" s="10"/>
      <c r="KZQ53" s="10"/>
      <c r="KZR53" s="10"/>
      <c r="KZS53" s="10"/>
      <c r="KZT53" s="10"/>
      <c r="KZU53" s="10"/>
      <c r="KZV53" s="10"/>
      <c r="KZW53" s="10"/>
      <c r="KZX53" s="10"/>
      <c r="KZY53" s="10"/>
      <c r="KZZ53" s="10"/>
      <c r="LAA53" s="10"/>
      <c r="LAB53" s="10"/>
      <c r="LAC53" s="10"/>
      <c r="LAD53" s="10"/>
      <c r="LAE53" s="10"/>
      <c r="LAF53" s="10"/>
      <c r="LAG53" s="10"/>
      <c r="LAH53" s="10"/>
      <c r="LAI53" s="10"/>
      <c r="LAJ53" s="10"/>
      <c r="LAK53" s="10"/>
      <c r="LAL53" s="10"/>
      <c r="LAM53" s="10"/>
      <c r="LAN53" s="10"/>
      <c r="LAO53" s="10"/>
      <c r="LAP53" s="10"/>
      <c r="LAQ53" s="10"/>
      <c r="LAR53" s="10"/>
      <c r="LAS53" s="10"/>
      <c r="LAT53" s="10"/>
      <c r="LAU53" s="10"/>
      <c r="LAV53" s="10"/>
      <c r="LAW53" s="10"/>
      <c r="LAX53" s="10"/>
      <c r="LAY53" s="10"/>
      <c r="LAZ53" s="10"/>
      <c r="LBA53" s="10"/>
      <c r="LBB53" s="10"/>
      <c r="LBC53" s="10"/>
      <c r="LBD53" s="10"/>
      <c r="LBE53" s="10"/>
      <c r="LBF53" s="10"/>
      <c r="LBG53" s="10"/>
      <c r="LBH53" s="10"/>
      <c r="LBI53" s="10"/>
      <c r="LBJ53" s="10"/>
      <c r="LBK53" s="10"/>
      <c r="LBL53" s="10"/>
      <c r="LBM53" s="10"/>
      <c r="LBN53" s="10"/>
      <c r="LBO53" s="10"/>
      <c r="LBP53" s="10"/>
      <c r="LBQ53" s="10"/>
      <c r="LBR53" s="10"/>
      <c r="LBS53" s="10"/>
      <c r="LBT53" s="10"/>
      <c r="LBU53" s="10"/>
      <c r="LBV53" s="10"/>
      <c r="LBW53" s="10"/>
      <c r="LBX53" s="10"/>
      <c r="LBY53" s="10"/>
      <c r="LBZ53" s="10"/>
      <c r="LCA53" s="10"/>
      <c r="LCB53" s="10"/>
      <c r="LCC53" s="10"/>
      <c r="LCD53" s="10"/>
      <c r="LCE53" s="10"/>
      <c r="LCF53" s="10"/>
      <c r="LCG53" s="10"/>
      <c r="LCH53" s="10"/>
      <c r="LCI53" s="10"/>
      <c r="LCJ53" s="10"/>
      <c r="LCK53" s="10"/>
      <c r="LCL53" s="10"/>
      <c r="LCM53" s="10"/>
      <c r="LCN53" s="10"/>
      <c r="LCO53" s="10"/>
      <c r="LCP53" s="10"/>
      <c r="LCQ53" s="10"/>
      <c r="LCR53" s="10"/>
      <c r="LCS53" s="10"/>
      <c r="LCT53" s="10"/>
      <c r="LCU53" s="10"/>
      <c r="LCV53" s="10"/>
      <c r="LCW53" s="10"/>
      <c r="LCX53" s="10"/>
      <c r="LCY53" s="10"/>
      <c r="LCZ53" s="10"/>
      <c r="LDA53" s="10"/>
      <c r="LDB53" s="10"/>
      <c r="LDC53" s="10"/>
      <c r="LDD53" s="10"/>
      <c r="LDE53" s="10"/>
      <c r="LDF53" s="10"/>
      <c r="LDG53" s="10"/>
      <c r="LDH53" s="10"/>
      <c r="LDI53" s="10"/>
      <c r="LDJ53" s="10"/>
      <c r="LDK53" s="10"/>
      <c r="LDL53" s="10"/>
      <c r="LDM53" s="10"/>
      <c r="LDN53" s="10"/>
      <c r="LDO53" s="10"/>
      <c r="LDP53" s="10"/>
      <c r="LDQ53" s="10"/>
      <c r="LDR53" s="10"/>
      <c r="LDS53" s="10"/>
      <c r="LDT53" s="10"/>
      <c r="LDU53" s="10"/>
      <c r="LDV53" s="10"/>
      <c r="LDW53" s="10"/>
      <c r="LDX53" s="10"/>
      <c r="LDY53" s="10"/>
      <c r="LDZ53" s="10"/>
      <c r="LEA53" s="10"/>
      <c r="LEB53" s="10"/>
      <c r="LEC53" s="10"/>
      <c r="LED53" s="10"/>
      <c r="LEE53" s="10"/>
      <c r="LEF53" s="10"/>
      <c r="LEG53" s="10"/>
      <c r="LEH53" s="10"/>
      <c r="LEI53" s="10"/>
      <c r="LEJ53" s="10"/>
      <c r="LEK53" s="10"/>
      <c r="LEL53" s="10"/>
      <c r="LEM53" s="10"/>
      <c r="LEN53" s="10"/>
      <c r="LEO53" s="10"/>
      <c r="LEP53" s="10"/>
      <c r="LEQ53" s="10"/>
      <c r="LER53" s="10"/>
      <c r="LES53" s="10"/>
      <c r="LET53" s="10"/>
      <c r="LEU53" s="10"/>
      <c r="LEV53" s="10"/>
      <c r="LEW53" s="10"/>
      <c r="LEX53" s="10"/>
      <c r="LEY53" s="10"/>
      <c r="LEZ53" s="10"/>
      <c r="LFA53" s="10"/>
      <c r="LFB53" s="10"/>
      <c r="LFC53" s="10"/>
      <c r="LFD53" s="10"/>
      <c r="LFE53" s="10"/>
      <c r="LFF53" s="10"/>
      <c r="LFG53" s="10"/>
      <c r="LFH53" s="10"/>
      <c r="LFI53" s="10"/>
      <c r="LFJ53" s="10"/>
      <c r="LFK53" s="10"/>
      <c r="LFL53" s="10"/>
      <c r="LFM53" s="10"/>
      <c r="LFN53" s="10"/>
      <c r="LFO53" s="10"/>
      <c r="LFP53" s="10"/>
      <c r="LFQ53" s="10"/>
      <c r="LFR53" s="10"/>
      <c r="LFS53" s="10"/>
      <c r="LFT53" s="10"/>
      <c r="LFU53" s="10"/>
      <c r="LFV53" s="10"/>
      <c r="LFW53" s="10"/>
      <c r="LFX53" s="10"/>
      <c r="LFY53" s="10"/>
      <c r="LFZ53" s="10"/>
      <c r="LGA53" s="10"/>
      <c r="LGB53" s="10"/>
      <c r="LGC53" s="10"/>
      <c r="LGD53" s="10"/>
      <c r="LGE53" s="10"/>
      <c r="LGF53" s="10"/>
      <c r="LGG53" s="10"/>
      <c r="LGH53" s="10"/>
      <c r="LGI53" s="10"/>
      <c r="LGJ53" s="10"/>
      <c r="LGK53" s="10"/>
      <c r="LGL53" s="10"/>
      <c r="LGM53" s="10"/>
      <c r="LGN53" s="10"/>
      <c r="LGO53" s="10"/>
      <c r="LGP53" s="10"/>
      <c r="LGQ53" s="10"/>
      <c r="LGR53" s="10"/>
      <c r="LGS53" s="10"/>
      <c r="LGT53" s="10"/>
      <c r="LGU53" s="10"/>
      <c r="LGV53" s="10"/>
      <c r="LGW53" s="10"/>
      <c r="LGX53" s="10"/>
      <c r="LGY53" s="10"/>
      <c r="LGZ53" s="10"/>
      <c r="LHA53" s="10"/>
      <c r="LHB53" s="10"/>
      <c r="LHC53" s="10"/>
      <c r="LHD53" s="10"/>
      <c r="LHE53" s="10"/>
      <c r="LHF53" s="10"/>
      <c r="LHG53" s="10"/>
      <c r="LHH53" s="10"/>
      <c r="LHI53" s="10"/>
      <c r="LHJ53" s="10"/>
      <c r="LHK53" s="10"/>
      <c r="LHL53" s="10"/>
      <c r="LHM53" s="10"/>
      <c r="LHN53" s="10"/>
      <c r="LHO53" s="10"/>
      <c r="LHP53" s="10"/>
      <c r="LHQ53" s="10"/>
      <c r="LHR53" s="10"/>
      <c r="LHS53" s="10"/>
      <c r="LHT53" s="10"/>
      <c r="LHU53" s="10"/>
      <c r="LHV53" s="10"/>
      <c r="LHW53" s="10"/>
      <c r="LHX53" s="10"/>
      <c r="LHY53" s="10"/>
      <c r="LHZ53" s="10"/>
      <c r="LIA53" s="10"/>
      <c r="LIB53" s="10"/>
      <c r="LIC53" s="10"/>
      <c r="LID53" s="10"/>
      <c r="LIE53" s="10"/>
      <c r="LIF53" s="10"/>
      <c r="LIG53" s="10"/>
      <c r="LIH53" s="10"/>
      <c r="LII53" s="10"/>
      <c r="LIJ53" s="10"/>
      <c r="LIK53" s="10"/>
      <c r="LIL53" s="10"/>
      <c r="LIM53" s="10"/>
      <c r="LIN53" s="10"/>
      <c r="LIO53" s="10"/>
      <c r="LIP53" s="10"/>
      <c r="LIQ53" s="10"/>
      <c r="LIR53" s="10"/>
      <c r="LIS53" s="10"/>
      <c r="LIT53" s="10"/>
      <c r="LIU53" s="10"/>
      <c r="LIV53" s="10"/>
      <c r="LIW53" s="10"/>
      <c r="LIX53" s="10"/>
      <c r="LIY53" s="10"/>
      <c r="LIZ53" s="10"/>
      <c r="LJA53" s="10"/>
      <c r="LJB53" s="10"/>
      <c r="LJC53" s="10"/>
      <c r="LJD53" s="10"/>
      <c r="LJE53" s="10"/>
      <c r="LJF53" s="10"/>
      <c r="LJG53" s="10"/>
      <c r="LJH53" s="10"/>
      <c r="LJI53" s="10"/>
      <c r="LJJ53" s="10"/>
      <c r="LJK53" s="10"/>
      <c r="LJL53" s="10"/>
      <c r="LJM53" s="10"/>
      <c r="LJN53" s="10"/>
      <c r="LJO53" s="10"/>
      <c r="LJP53" s="10"/>
      <c r="LJQ53" s="10"/>
      <c r="LJR53" s="10"/>
      <c r="LJS53" s="10"/>
      <c r="LJT53" s="10"/>
      <c r="LJU53" s="10"/>
      <c r="LJV53" s="10"/>
      <c r="LJW53" s="10"/>
      <c r="LJX53" s="10"/>
      <c r="LJY53" s="10"/>
      <c r="LJZ53" s="10"/>
      <c r="LKA53" s="10"/>
      <c r="LKB53" s="10"/>
      <c r="LKC53" s="10"/>
      <c r="LKD53" s="10"/>
      <c r="LKE53" s="10"/>
      <c r="LKF53" s="10"/>
      <c r="LKG53" s="10"/>
      <c r="LKH53" s="10"/>
      <c r="LKI53" s="10"/>
      <c r="LKJ53" s="10"/>
      <c r="LKK53" s="10"/>
      <c r="LKL53" s="10"/>
      <c r="LKM53" s="10"/>
      <c r="LKN53" s="10"/>
      <c r="LKO53" s="10"/>
      <c r="LKP53" s="10"/>
      <c r="LKQ53" s="10"/>
      <c r="LKR53" s="10"/>
      <c r="LKS53" s="10"/>
      <c r="LKT53" s="10"/>
      <c r="LKU53" s="10"/>
      <c r="LKV53" s="10"/>
      <c r="LKW53" s="10"/>
      <c r="LKX53" s="10"/>
      <c r="LKY53" s="10"/>
      <c r="LKZ53" s="10"/>
      <c r="LLA53" s="10"/>
      <c r="LLB53" s="10"/>
      <c r="LLC53" s="10"/>
      <c r="LLD53" s="10"/>
      <c r="LLE53" s="10"/>
      <c r="LLF53" s="10"/>
      <c r="LLG53" s="10"/>
      <c r="LLH53" s="10"/>
      <c r="LLI53" s="10"/>
      <c r="LLJ53" s="10"/>
      <c r="LLK53" s="10"/>
      <c r="LLL53" s="10"/>
      <c r="LLM53" s="10"/>
      <c r="LLN53" s="10"/>
      <c r="LLO53" s="10"/>
      <c r="LLP53" s="10"/>
      <c r="LLQ53" s="10"/>
      <c r="LLR53" s="10"/>
      <c r="LLS53" s="10"/>
      <c r="LLT53" s="10"/>
      <c r="LLU53" s="10"/>
      <c r="LLV53" s="10"/>
      <c r="LLW53" s="10"/>
      <c r="LLX53" s="10"/>
      <c r="LLY53" s="10"/>
      <c r="LLZ53" s="10"/>
      <c r="LMA53" s="10"/>
      <c r="LMB53" s="10"/>
      <c r="LMC53" s="10"/>
      <c r="LMD53" s="10"/>
      <c r="LME53" s="10"/>
      <c r="LMF53" s="10"/>
      <c r="LMG53" s="10"/>
      <c r="LMH53" s="10"/>
      <c r="LMI53" s="10"/>
      <c r="LMJ53" s="10"/>
      <c r="LMK53" s="10"/>
      <c r="LML53" s="10"/>
      <c r="LMM53" s="10"/>
      <c r="LMN53" s="10"/>
      <c r="LMO53" s="10"/>
      <c r="LMP53" s="10"/>
      <c r="LMQ53" s="10"/>
      <c r="LMR53" s="10"/>
      <c r="LMS53" s="10"/>
      <c r="LMT53" s="10"/>
      <c r="LMU53" s="10"/>
      <c r="LMV53" s="10"/>
      <c r="LMW53" s="10"/>
      <c r="LMX53" s="10"/>
      <c r="LMY53" s="10"/>
      <c r="LMZ53" s="10"/>
      <c r="LNA53" s="10"/>
      <c r="LNB53" s="10"/>
      <c r="LNC53" s="10"/>
      <c r="LND53" s="10"/>
      <c r="LNE53" s="10"/>
      <c r="LNF53" s="10"/>
      <c r="LNG53" s="10"/>
      <c r="LNH53" s="10"/>
      <c r="LNI53" s="10"/>
      <c r="LNJ53" s="10"/>
      <c r="LNK53" s="10"/>
      <c r="LNL53" s="10"/>
      <c r="LNM53" s="10"/>
      <c r="LNN53" s="10"/>
      <c r="LNO53" s="10"/>
      <c r="LNP53" s="10"/>
      <c r="LNQ53" s="10"/>
      <c r="LNR53" s="10"/>
      <c r="LNS53" s="10"/>
      <c r="LNT53" s="10"/>
      <c r="LNU53" s="10"/>
      <c r="LNV53" s="10"/>
      <c r="LNW53" s="10"/>
      <c r="LNX53" s="10"/>
      <c r="LNY53" s="10"/>
      <c r="LNZ53" s="10"/>
      <c r="LOA53" s="10"/>
      <c r="LOB53" s="10"/>
      <c r="LOC53" s="10"/>
      <c r="LOD53" s="10"/>
      <c r="LOE53" s="10"/>
      <c r="LOF53" s="10"/>
      <c r="LOG53" s="10"/>
      <c r="LOH53" s="10"/>
      <c r="LOI53" s="10"/>
      <c r="LOJ53" s="10"/>
      <c r="LOK53" s="10"/>
      <c r="LOL53" s="10"/>
      <c r="LOM53" s="10"/>
      <c r="LON53" s="10"/>
      <c r="LOO53" s="10"/>
      <c r="LOP53" s="10"/>
      <c r="LOQ53" s="10"/>
      <c r="LOR53" s="10"/>
      <c r="LOS53" s="10"/>
      <c r="LOT53" s="10"/>
      <c r="LOU53" s="10"/>
      <c r="LOV53" s="10"/>
      <c r="LOW53" s="10"/>
      <c r="LOX53" s="10"/>
      <c r="LOY53" s="10"/>
      <c r="LOZ53" s="10"/>
      <c r="LPA53" s="10"/>
      <c r="LPB53" s="10"/>
      <c r="LPC53" s="10"/>
      <c r="LPD53" s="10"/>
      <c r="LPE53" s="10"/>
      <c r="LPF53" s="10"/>
      <c r="LPG53" s="10"/>
      <c r="LPH53" s="10"/>
      <c r="LPI53" s="10"/>
      <c r="LPJ53" s="10"/>
      <c r="LPK53" s="10"/>
      <c r="LPL53" s="10"/>
      <c r="LPM53" s="10"/>
      <c r="LPN53" s="10"/>
      <c r="LPO53" s="10"/>
      <c r="LPP53" s="10"/>
      <c r="LPQ53" s="10"/>
      <c r="LPR53" s="10"/>
      <c r="LPS53" s="10"/>
      <c r="LPT53" s="10"/>
      <c r="LPU53" s="10"/>
      <c r="LPV53" s="10"/>
      <c r="LPW53" s="10"/>
      <c r="LPX53" s="10"/>
      <c r="LPY53" s="10"/>
      <c r="LPZ53" s="10"/>
      <c r="LQA53" s="10"/>
      <c r="LQB53" s="10"/>
      <c r="LQC53" s="10"/>
      <c r="LQD53" s="10"/>
      <c r="LQE53" s="10"/>
      <c r="LQF53" s="10"/>
      <c r="LQG53" s="10"/>
      <c r="LQH53" s="10"/>
      <c r="LQI53" s="10"/>
      <c r="LQJ53" s="10"/>
      <c r="LQK53" s="10"/>
      <c r="LQL53" s="10"/>
      <c r="LQM53" s="10"/>
      <c r="LQN53" s="10"/>
      <c r="LQO53" s="10"/>
      <c r="LQP53" s="10"/>
      <c r="LQQ53" s="10"/>
      <c r="LQR53" s="10"/>
      <c r="LQS53" s="10"/>
      <c r="LQT53" s="10"/>
      <c r="LQU53" s="10"/>
      <c r="LQV53" s="10"/>
      <c r="LQW53" s="10"/>
      <c r="LQX53" s="10"/>
      <c r="LQY53" s="10"/>
      <c r="LQZ53" s="10"/>
      <c r="LRA53" s="10"/>
      <c r="LRB53" s="10"/>
      <c r="LRC53" s="10"/>
      <c r="LRD53" s="10"/>
      <c r="LRE53" s="10"/>
      <c r="LRF53" s="10"/>
      <c r="LRG53" s="10"/>
      <c r="LRH53" s="10"/>
      <c r="LRI53" s="10"/>
      <c r="LRJ53" s="10"/>
      <c r="LRK53" s="10"/>
      <c r="LRL53" s="10"/>
      <c r="LRM53" s="10"/>
      <c r="LRN53" s="10"/>
      <c r="LRO53" s="10"/>
      <c r="LRP53" s="10"/>
      <c r="LRQ53" s="10"/>
      <c r="LRR53" s="10"/>
      <c r="LRS53" s="10"/>
      <c r="LRT53" s="10"/>
      <c r="LRU53" s="10"/>
      <c r="LRV53" s="10"/>
      <c r="LRW53" s="10"/>
      <c r="LRX53" s="10"/>
      <c r="LRY53" s="10"/>
      <c r="LRZ53" s="10"/>
      <c r="LSA53" s="10"/>
      <c r="LSB53" s="10"/>
      <c r="LSC53" s="10"/>
      <c r="LSD53" s="10"/>
      <c r="LSE53" s="10"/>
      <c r="LSF53" s="10"/>
      <c r="LSG53" s="10"/>
      <c r="LSH53" s="10"/>
      <c r="LSI53" s="10"/>
      <c r="LSJ53" s="10"/>
      <c r="LSK53" s="10"/>
      <c r="LSL53" s="10"/>
      <c r="LSM53" s="10"/>
      <c r="LSN53" s="10"/>
      <c r="LSO53" s="10"/>
      <c r="LSP53" s="10"/>
      <c r="LSQ53" s="10"/>
      <c r="LSR53" s="10"/>
      <c r="LSS53" s="10"/>
      <c r="LST53" s="10"/>
      <c r="LSU53" s="10"/>
      <c r="LSV53" s="10"/>
      <c r="LSW53" s="10"/>
      <c r="LSX53" s="10"/>
      <c r="LSY53" s="10"/>
      <c r="LSZ53" s="10"/>
      <c r="LTA53" s="10"/>
      <c r="LTB53" s="10"/>
      <c r="LTC53" s="10"/>
      <c r="LTD53" s="10"/>
      <c r="LTE53" s="10"/>
      <c r="LTF53" s="10"/>
      <c r="LTG53" s="10"/>
      <c r="LTH53" s="10"/>
      <c r="LTI53" s="10"/>
      <c r="LTJ53" s="10"/>
      <c r="LTK53" s="10"/>
      <c r="LTL53" s="10"/>
      <c r="LTM53" s="10"/>
      <c r="LTN53" s="10"/>
      <c r="LTO53" s="10"/>
      <c r="LTP53" s="10"/>
      <c r="LTQ53" s="10"/>
      <c r="LTR53" s="10"/>
      <c r="LTS53" s="10"/>
      <c r="LTT53" s="10"/>
      <c r="LTU53" s="10"/>
      <c r="LTV53" s="10"/>
      <c r="LTW53" s="10"/>
      <c r="LTX53" s="10"/>
      <c r="LTY53" s="10"/>
      <c r="LTZ53" s="10"/>
      <c r="LUA53" s="10"/>
      <c r="LUB53" s="10"/>
      <c r="LUC53" s="10"/>
      <c r="LUD53" s="10"/>
      <c r="LUE53" s="10"/>
      <c r="LUF53" s="10"/>
      <c r="LUG53" s="10"/>
      <c r="LUH53" s="10"/>
      <c r="LUI53" s="10"/>
      <c r="LUJ53" s="10"/>
      <c r="LUK53" s="10"/>
      <c r="LUL53" s="10"/>
      <c r="LUM53" s="10"/>
      <c r="LUN53" s="10"/>
      <c r="LUO53" s="10"/>
      <c r="LUP53" s="10"/>
      <c r="LUQ53" s="10"/>
      <c r="LUR53" s="10"/>
      <c r="LUS53" s="10"/>
      <c r="LUT53" s="10"/>
      <c r="LUU53" s="10"/>
      <c r="LUV53" s="10"/>
      <c r="LUW53" s="10"/>
      <c r="LUX53" s="10"/>
      <c r="LUY53" s="10"/>
      <c r="LUZ53" s="10"/>
      <c r="LVA53" s="10"/>
      <c r="LVB53" s="10"/>
      <c r="LVC53" s="10"/>
      <c r="LVD53" s="10"/>
      <c r="LVE53" s="10"/>
      <c r="LVF53" s="10"/>
      <c r="LVG53" s="10"/>
      <c r="LVH53" s="10"/>
      <c r="LVI53" s="10"/>
      <c r="LVJ53" s="10"/>
      <c r="LVK53" s="10"/>
      <c r="LVL53" s="10"/>
      <c r="LVM53" s="10"/>
      <c r="LVN53" s="10"/>
      <c r="LVO53" s="10"/>
      <c r="LVP53" s="10"/>
      <c r="LVQ53" s="10"/>
      <c r="LVR53" s="10"/>
      <c r="LVS53" s="10"/>
      <c r="LVT53" s="10"/>
      <c r="LVU53" s="10"/>
      <c r="LVV53" s="10"/>
      <c r="LVW53" s="10"/>
      <c r="LVX53" s="10"/>
      <c r="LVY53" s="10"/>
      <c r="LVZ53" s="10"/>
      <c r="LWA53" s="10"/>
      <c r="LWB53" s="10"/>
      <c r="LWC53" s="10"/>
      <c r="LWD53" s="10"/>
      <c r="LWE53" s="10"/>
      <c r="LWF53" s="10"/>
      <c r="LWG53" s="10"/>
      <c r="LWH53" s="10"/>
      <c r="LWI53" s="10"/>
      <c r="LWJ53" s="10"/>
      <c r="LWK53" s="10"/>
      <c r="LWL53" s="10"/>
      <c r="LWM53" s="10"/>
      <c r="LWN53" s="10"/>
      <c r="LWO53" s="10"/>
      <c r="LWP53" s="10"/>
      <c r="LWQ53" s="10"/>
      <c r="LWR53" s="10"/>
      <c r="LWS53" s="10"/>
      <c r="LWT53" s="10"/>
      <c r="LWU53" s="10"/>
      <c r="LWV53" s="10"/>
      <c r="LWW53" s="10"/>
      <c r="LWX53" s="10"/>
      <c r="LWY53" s="10"/>
      <c r="LWZ53" s="10"/>
      <c r="LXA53" s="10"/>
      <c r="LXB53" s="10"/>
      <c r="LXC53" s="10"/>
      <c r="LXD53" s="10"/>
      <c r="LXE53" s="10"/>
      <c r="LXF53" s="10"/>
      <c r="LXG53" s="10"/>
      <c r="LXH53" s="10"/>
      <c r="LXI53" s="10"/>
      <c r="LXJ53" s="10"/>
      <c r="LXK53" s="10"/>
      <c r="LXL53" s="10"/>
      <c r="LXM53" s="10"/>
      <c r="LXN53" s="10"/>
      <c r="LXO53" s="10"/>
      <c r="LXP53" s="10"/>
      <c r="LXQ53" s="10"/>
      <c r="LXR53" s="10"/>
      <c r="LXS53" s="10"/>
      <c r="LXT53" s="10"/>
      <c r="LXU53" s="10"/>
      <c r="LXV53" s="10"/>
      <c r="LXW53" s="10"/>
      <c r="LXX53" s="10"/>
      <c r="LXY53" s="10"/>
      <c r="LXZ53" s="10"/>
      <c r="LYA53" s="10"/>
      <c r="LYB53" s="10"/>
      <c r="LYC53" s="10"/>
      <c r="LYD53" s="10"/>
      <c r="LYE53" s="10"/>
      <c r="LYF53" s="10"/>
      <c r="LYG53" s="10"/>
      <c r="LYH53" s="10"/>
      <c r="LYI53" s="10"/>
      <c r="LYJ53" s="10"/>
      <c r="LYK53" s="10"/>
      <c r="LYL53" s="10"/>
      <c r="LYM53" s="10"/>
      <c r="LYN53" s="10"/>
      <c r="LYO53" s="10"/>
      <c r="LYP53" s="10"/>
      <c r="LYQ53" s="10"/>
      <c r="LYR53" s="10"/>
      <c r="LYS53" s="10"/>
      <c r="LYT53" s="10"/>
      <c r="LYU53" s="10"/>
      <c r="LYV53" s="10"/>
      <c r="LYW53" s="10"/>
      <c r="LYX53" s="10"/>
      <c r="LYY53" s="10"/>
      <c r="LYZ53" s="10"/>
      <c r="LZA53" s="10"/>
      <c r="LZB53" s="10"/>
      <c r="LZC53" s="10"/>
      <c r="LZD53" s="10"/>
      <c r="LZE53" s="10"/>
      <c r="LZF53" s="10"/>
      <c r="LZG53" s="10"/>
      <c r="LZH53" s="10"/>
      <c r="LZI53" s="10"/>
      <c r="LZJ53" s="10"/>
      <c r="LZK53" s="10"/>
      <c r="LZL53" s="10"/>
      <c r="LZM53" s="10"/>
      <c r="LZN53" s="10"/>
      <c r="LZO53" s="10"/>
      <c r="LZP53" s="10"/>
      <c r="LZQ53" s="10"/>
      <c r="LZR53" s="10"/>
      <c r="LZS53" s="10"/>
      <c r="LZT53" s="10"/>
      <c r="LZU53" s="10"/>
      <c r="LZV53" s="10"/>
      <c r="LZW53" s="10"/>
      <c r="LZX53" s="10"/>
      <c r="LZY53" s="10"/>
      <c r="LZZ53" s="10"/>
      <c r="MAA53" s="10"/>
      <c r="MAB53" s="10"/>
      <c r="MAC53" s="10"/>
      <c r="MAD53" s="10"/>
      <c r="MAE53" s="10"/>
      <c r="MAF53" s="10"/>
      <c r="MAG53" s="10"/>
      <c r="MAH53" s="10"/>
      <c r="MAI53" s="10"/>
      <c r="MAJ53" s="10"/>
      <c r="MAK53" s="10"/>
      <c r="MAL53" s="10"/>
      <c r="MAM53" s="10"/>
      <c r="MAN53" s="10"/>
      <c r="MAO53" s="10"/>
      <c r="MAP53" s="10"/>
      <c r="MAQ53" s="10"/>
      <c r="MAR53" s="10"/>
      <c r="MAS53" s="10"/>
      <c r="MAT53" s="10"/>
      <c r="MAU53" s="10"/>
      <c r="MAV53" s="10"/>
      <c r="MAW53" s="10"/>
      <c r="MAX53" s="10"/>
      <c r="MAY53" s="10"/>
      <c r="MAZ53" s="10"/>
      <c r="MBA53" s="10"/>
      <c r="MBB53" s="10"/>
      <c r="MBC53" s="10"/>
      <c r="MBD53" s="10"/>
      <c r="MBE53" s="10"/>
      <c r="MBF53" s="10"/>
      <c r="MBG53" s="10"/>
      <c r="MBH53" s="10"/>
      <c r="MBI53" s="10"/>
      <c r="MBJ53" s="10"/>
      <c r="MBK53" s="10"/>
      <c r="MBL53" s="10"/>
      <c r="MBM53" s="10"/>
      <c r="MBN53" s="10"/>
      <c r="MBO53" s="10"/>
      <c r="MBP53" s="10"/>
      <c r="MBQ53" s="10"/>
      <c r="MBR53" s="10"/>
      <c r="MBS53" s="10"/>
      <c r="MBT53" s="10"/>
      <c r="MBU53" s="10"/>
      <c r="MBV53" s="10"/>
      <c r="MBW53" s="10"/>
      <c r="MBX53" s="10"/>
      <c r="MBY53" s="10"/>
      <c r="MBZ53" s="10"/>
      <c r="MCA53" s="10"/>
      <c r="MCB53" s="10"/>
      <c r="MCC53" s="10"/>
      <c r="MCD53" s="10"/>
      <c r="MCE53" s="10"/>
      <c r="MCF53" s="10"/>
      <c r="MCG53" s="10"/>
      <c r="MCH53" s="10"/>
      <c r="MCI53" s="10"/>
      <c r="MCJ53" s="10"/>
      <c r="MCK53" s="10"/>
      <c r="MCL53" s="10"/>
      <c r="MCM53" s="10"/>
      <c r="MCN53" s="10"/>
      <c r="MCO53" s="10"/>
      <c r="MCP53" s="10"/>
      <c r="MCQ53" s="10"/>
      <c r="MCR53" s="10"/>
      <c r="MCS53" s="10"/>
      <c r="MCT53" s="10"/>
      <c r="MCU53" s="10"/>
      <c r="MCV53" s="10"/>
      <c r="MCW53" s="10"/>
      <c r="MCX53" s="10"/>
      <c r="MCY53" s="10"/>
      <c r="MCZ53" s="10"/>
      <c r="MDA53" s="10"/>
      <c r="MDB53" s="10"/>
      <c r="MDC53" s="10"/>
      <c r="MDD53" s="10"/>
      <c r="MDE53" s="10"/>
      <c r="MDF53" s="10"/>
      <c r="MDG53" s="10"/>
      <c r="MDH53" s="10"/>
      <c r="MDI53" s="10"/>
      <c r="MDJ53" s="10"/>
      <c r="MDK53" s="10"/>
      <c r="MDL53" s="10"/>
      <c r="MDM53" s="10"/>
      <c r="MDN53" s="10"/>
      <c r="MDO53" s="10"/>
      <c r="MDP53" s="10"/>
      <c r="MDQ53" s="10"/>
      <c r="MDR53" s="10"/>
      <c r="MDS53" s="10"/>
      <c r="MDT53" s="10"/>
      <c r="MDU53" s="10"/>
      <c r="MDV53" s="10"/>
      <c r="MDW53" s="10"/>
      <c r="MDX53" s="10"/>
      <c r="MDY53" s="10"/>
      <c r="MDZ53" s="10"/>
      <c r="MEA53" s="10"/>
      <c r="MEB53" s="10"/>
      <c r="MEC53" s="10"/>
      <c r="MED53" s="10"/>
      <c r="MEE53" s="10"/>
      <c r="MEF53" s="10"/>
      <c r="MEG53" s="10"/>
      <c r="MEH53" s="10"/>
      <c r="MEI53" s="10"/>
      <c r="MEJ53" s="10"/>
      <c r="MEK53" s="10"/>
      <c r="MEL53" s="10"/>
      <c r="MEM53" s="10"/>
      <c r="MEN53" s="10"/>
      <c r="MEO53" s="10"/>
      <c r="MEP53" s="10"/>
      <c r="MEQ53" s="10"/>
      <c r="MER53" s="10"/>
      <c r="MES53" s="10"/>
      <c r="MET53" s="10"/>
      <c r="MEU53" s="10"/>
      <c r="MEV53" s="10"/>
      <c r="MEW53" s="10"/>
      <c r="MEX53" s="10"/>
      <c r="MEY53" s="10"/>
      <c r="MEZ53" s="10"/>
      <c r="MFA53" s="10"/>
      <c r="MFB53" s="10"/>
      <c r="MFC53" s="10"/>
      <c r="MFD53" s="10"/>
      <c r="MFE53" s="10"/>
      <c r="MFF53" s="10"/>
      <c r="MFG53" s="10"/>
      <c r="MFH53" s="10"/>
      <c r="MFI53" s="10"/>
      <c r="MFJ53" s="10"/>
      <c r="MFK53" s="10"/>
      <c r="MFL53" s="10"/>
      <c r="MFM53" s="10"/>
      <c r="MFN53" s="10"/>
      <c r="MFO53" s="10"/>
      <c r="MFP53" s="10"/>
      <c r="MFQ53" s="10"/>
      <c r="MFR53" s="10"/>
      <c r="MFS53" s="10"/>
      <c r="MFT53" s="10"/>
      <c r="MFU53" s="10"/>
      <c r="MFV53" s="10"/>
      <c r="MFW53" s="10"/>
      <c r="MFX53" s="10"/>
      <c r="MFY53" s="10"/>
      <c r="MFZ53" s="10"/>
      <c r="MGA53" s="10"/>
      <c r="MGB53" s="10"/>
      <c r="MGC53" s="10"/>
      <c r="MGD53" s="10"/>
      <c r="MGE53" s="10"/>
      <c r="MGF53" s="10"/>
      <c r="MGG53" s="10"/>
      <c r="MGH53" s="10"/>
      <c r="MGI53" s="10"/>
      <c r="MGJ53" s="10"/>
      <c r="MGK53" s="10"/>
      <c r="MGL53" s="10"/>
      <c r="MGM53" s="10"/>
      <c r="MGN53" s="10"/>
      <c r="MGO53" s="10"/>
      <c r="MGP53" s="10"/>
      <c r="MGQ53" s="10"/>
      <c r="MGR53" s="10"/>
      <c r="MGS53" s="10"/>
      <c r="MGT53" s="10"/>
      <c r="MGU53" s="10"/>
      <c r="MGV53" s="10"/>
      <c r="MGW53" s="10"/>
      <c r="MGX53" s="10"/>
      <c r="MGY53" s="10"/>
      <c r="MGZ53" s="10"/>
      <c r="MHA53" s="10"/>
      <c r="MHB53" s="10"/>
      <c r="MHC53" s="10"/>
      <c r="MHD53" s="10"/>
      <c r="MHE53" s="10"/>
      <c r="MHF53" s="10"/>
      <c r="MHG53" s="10"/>
      <c r="MHH53" s="10"/>
      <c r="MHI53" s="10"/>
      <c r="MHJ53" s="10"/>
      <c r="MHK53" s="10"/>
      <c r="MHL53" s="10"/>
      <c r="MHM53" s="10"/>
      <c r="MHN53" s="10"/>
      <c r="MHO53" s="10"/>
      <c r="MHP53" s="10"/>
      <c r="MHQ53" s="10"/>
      <c r="MHR53" s="10"/>
      <c r="MHS53" s="10"/>
      <c r="MHT53" s="10"/>
      <c r="MHU53" s="10"/>
      <c r="MHV53" s="10"/>
      <c r="MHW53" s="10"/>
      <c r="MHX53" s="10"/>
      <c r="MHY53" s="10"/>
      <c r="MHZ53" s="10"/>
      <c r="MIA53" s="10"/>
      <c r="MIB53" s="10"/>
      <c r="MIC53" s="10"/>
      <c r="MID53" s="10"/>
      <c r="MIE53" s="10"/>
      <c r="MIF53" s="10"/>
      <c r="MIG53" s="10"/>
      <c r="MIH53" s="10"/>
      <c r="MII53" s="10"/>
      <c r="MIJ53" s="10"/>
      <c r="MIK53" s="10"/>
      <c r="MIL53" s="10"/>
      <c r="MIM53" s="10"/>
      <c r="MIN53" s="10"/>
      <c r="MIO53" s="10"/>
      <c r="MIP53" s="10"/>
      <c r="MIQ53" s="10"/>
      <c r="MIR53" s="10"/>
      <c r="MIS53" s="10"/>
      <c r="MIT53" s="10"/>
      <c r="MIU53" s="10"/>
      <c r="MIV53" s="10"/>
      <c r="MIW53" s="10"/>
      <c r="MIX53" s="10"/>
      <c r="MIY53" s="10"/>
      <c r="MIZ53" s="10"/>
      <c r="MJA53" s="10"/>
      <c r="MJB53" s="10"/>
      <c r="MJC53" s="10"/>
      <c r="MJD53" s="10"/>
      <c r="MJE53" s="10"/>
      <c r="MJF53" s="10"/>
      <c r="MJG53" s="10"/>
      <c r="MJH53" s="10"/>
      <c r="MJI53" s="10"/>
      <c r="MJJ53" s="10"/>
      <c r="MJK53" s="10"/>
      <c r="MJL53" s="10"/>
      <c r="MJM53" s="10"/>
      <c r="MJN53" s="10"/>
      <c r="MJO53" s="10"/>
      <c r="MJP53" s="10"/>
      <c r="MJQ53" s="10"/>
      <c r="MJR53" s="10"/>
      <c r="MJS53" s="10"/>
      <c r="MJT53" s="10"/>
      <c r="MJU53" s="10"/>
      <c r="MJV53" s="10"/>
      <c r="MJW53" s="10"/>
      <c r="MJX53" s="10"/>
      <c r="MJY53" s="10"/>
      <c r="MJZ53" s="10"/>
      <c r="MKA53" s="10"/>
      <c r="MKB53" s="10"/>
      <c r="MKC53" s="10"/>
      <c r="MKD53" s="10"/>
      <c r="MKE53" s="10"/>
      <c r="MKF53" s="10"/>
      <c r="MKG53" s="10"/>
      <c r="MKH53" s="10"/>
      <c r="MKI53" s="10"/>
      <c r="MKJ53" s="10"/>
      <c r="MKK53" s="10"/>
      <c r="MKL53" s="10"/>
      <c r="MKM53" s="10"/>
      <c r="MKN53" s="10"/>
      <c r="MKO53" s="10"/>
      <c r="MKP53" s="10"/>
      <c r="MKQ53" s="10"/>
      <c r="MKR53" s="10"/>
      <c r="MKS53" s="10"/>
      <c r="MKT53" s="10"/>
      <c r="MKU53" s="10"/>
      <c r="MKV53" s="10"/>
      <c r="MKW53" s="10"/>
      <c r="MKX53" s="10"/>
      <c r="MKY53" s="10"/>
      <c r="MKZ53" s="10"/>
      <c r="MLA53" s="10"/>
      <c r="MLB53" s="10"/>
      <c r="MLC53" s="10"/>
      <c r="MLD53" s="10"/>
      <c r="MLE53" s="10"/>
      <c r="MLF53" s="10"/>
      <c r="MLG53" s="10"/>
      <c r="MLH53" s="10"/>
      <c r="MLI53" s="10"/>
      <c r="MLJ53" s="10"/>
      <c r="MLK53" s="10"/>
      <c r="MLL53" s="10"/>
      <c r="MLM53" s="10"/>
      <c r="MLN53" s="10"/>
      <c r="MLO53" s="10"/>
      <c r="MLP53" s="10"/>
      <c r="MLQ53" s="10"/>
      <c r="MLR53" s="10"/>
      <c r="MLS53" s="10"/>
      <c r="MLT53" s="10"/>
      <c r="MLU53" s="10"/>
      <c r="MLV53" s="10"/>
      <c r="MLW53" s="10"/>
      <c r="MLX53" s="10"/>
      <c r="MLY53" s="10"/>
      <c r="MLZ53" s="10"/>
      <c r="MMA53" s="10"/>
      <c r="MMB53" s="10"/>
      <c r="MMC53" s="10"/>
      <c r="MMD53" s="10"/>
      <c r="MME53" s="10"/>
      <c r="MMF53" s="10"/>
      <c r="MMG53" s="10"/>
      <c r="MMH53" s="10"/>
      <c r="MMI53" s="10"/>
      <c r="MMJ53" s="10"/>
      <c r="MMK53" s="10"/>
      <c r="MML53" s="10"/>
      <c r="MMM53" s="10"/>
      <c r="MMN53" s="10"/>
      <c r="MMO53" s="10"/>
      <c r="MMP53" s="10"/>
      <c r="MMQ53" s="10"/>
      <c r="MMR53" s="10"/>
      <c r="MMS53" s="10"/>
      <c r="MMT53" s="10"/>
      <c r="MMU53" s="10"/>
      <c r="MMV53" s="10"/>
      <c r="MMW53" s="10"/>
      <c r="MMX53" s="10"/>
      <c r="MMY53" s="10"/>
      <c r="MMZ53" s="10"/>
      <c r="MNA53" s="10"/>
      <c r="MNB53" s="10"/>
      <c r="MNC53" s="10"/>
      <c r="MND53" s="10"/>
      <c r="MNE53" s="10"/>
      <c r="MNF53" s="10"/>
      <c r="MNG53" s="10"/>
      <c r="MNH53" s="10"/>
      <c r="MNI53" s="10"/>
      <c r="MNJ53" s="10"/>
      <c r="MNK53" s="10"/>
      <c r="MNL53" s="10"/>
      <c r="MNM53" s="10"/>
      <c r="MNN53" s="10"/>
      <c r="MNO53" s="10"/>
      <c r="MNP53" s="10"/>
      <c r="MNQ53" s="10"/>
      <c r="MNR53" s="10"/>
      <c r="MNS53" s="10"/>
      <c r="MNT53" s="10"/>
      <c r="MNU53" s="10"/>
      <c r="MNV53" s="10"/>
      <c r="MNW53" s="10"/>
      <c r="MNX53" s="10"/>
      <c r="MNY53" s="10"/>
      <c r="MNZ53" s="10"/>
      <c r="MOA53" s="10"/>
      <c r="MOB53" s="10"/>
      <c r="MOC53" s="10"/>
      <c r="MOD53" s="10"/>
      <c r="MOE53" s="10"/>
      <c r="MOF53" s="10"/>
      <c r="MOG53" s="10"/>
      <c r="MOH53" s="10"/>
      <c r="MOI53" s="10"/>
      <c r="MOJ53" s="10"/>
      <c r="MOK53" s="10"/>
      <c r="MOL53" s="10"/>
      <c r="MOM53" s="10"/>
      <c r="MON53" s="10"/>
      <c r="MOO53" s="10"/>
      <c r="MOP53" s="10"/>
      <c r="MOQ53" s="10"/>
      <c r="MOR53" s="10"/>
      <c r="MOS53" s="10"/>
      <c r="MOT53" s="10"/>
      <c r="MOU53" s="10"/>
      <c r="MOV53" s="10"/>
      <c r="MOW53" s="10"/>
      <c r="MOX53" s="10"/>
      <c r="MOY53" s="10"/>
      <c r="MOZ53" s="10"/>
      <c r="MPA53" s="10"/>
      <c r="MPB53" s="10"/>
      <c r="MPC53" s="10"/>
      <c r="MPD53" s="10"/>
      <c r="MPE53" s="10"/>
      <c r="MPF53" s="10"/>
      <c r="MPG53" s="10"/>
      <c r="MPH53" s="10"/>
      <c r="MPI53" s="10"/>
      <c r="MPJ53" s="10"/>
      <c r="MPK53" s="10"/>
      <c r="MPL53" s="10"/>
      <c r="MPM53" s="10"/>
      <c r="MPN53" s="10"/>
      <c r="MPO53" s="10"/>
      <c r="MPP53" s="10"/>
      <c r="MPQ53" s="10"/>
      <c r="MPR53" s="10"/>
      <c r="MPS53" s="10"/>
      <c r="MPT53" s="10"/>
      <c r="MPU53" s="10"/>
      <c r="MPV53" s="10"/>
      <c r="MPW53" s="10"/>
      <c r="MPX53" s="10"/>
      <c r="MPY53" s="10"/>
      <c r="MPZ53" s="10"/>
      <c r="MQA53" s="10"/>
      <c r="MQB53" s="10"/>
      <c r="MQC53" s="10"/>
      <c r="MQD53" s="10"/>
      <c r="MQE53" s="10"/>
      <c r="MQF53" s="10"/>
      <c r="MQG53" s="10"/>
      <c r="MQH53" s="10"/>
      <c r="MQI53" s="10"/>
      <c r="MQJ53" s="10"/>
      <c r="MQK53" s="10"/>
      <c r="MQL53" s="10"/>
      <c r="MQM53" s="10"/>
      <c r="MQN53" s="10"/>
      <c r="MQO53" s="10"/>
      <c r="MQP53" s="10"/>
      <c r="MQQ53" s="10"/>
      <c r="MQR53" s="10"/>
      <c r="MQS53" s="10"/>
      <c r="MQT53" s="10"/>
      <c r="MQU53" s="10"/>
      <c r="MQV53" s="10"/>
      <c r="MQW53" s="10"/>
      <c r="MQX53" s="10"/>
      <c r="MQY53" s="10"/>
      <c r="MQZ53" s="10"/>
      <c r="MRA53" s="10"/>
      <c r="MRB53" s="10"/>
      <c r="MRC53" s="10"/>
      <c r="MRD53" s="10"/>
      <c r="MRE53" s="10"/>
      <c r="MRF53" s="10"/>
      <c r="MRG53" s="10"/>
      <c r="MRH53" s="10"/>
      <c r="MRI53" s="10"/>
      <c r="MRJ53" s="10"/>
      <c r="MRK53" s="10"/>
      <c r="MRL53" s="10"/>
      <c r="MRM53" s="10"/>
      <c r="MRN53" s="10"/>
      <c r="MRO53" s="10"/>
      <c r="MRP53" s="10"/>
      <c r="MRQ53" s="10"/>
      <c r="MRR53" s="10"/>
      <c r="MRS53" s="10"/>
      <c r="MRT53" s="10"/>
      <c r="MRU53" s="10"/>
      <c r="MRV53" s="10"/>
      <c r="MRW53" s="10"/>
      <c r="MRX53" s="10"/>
      <c r="MRY53" s="10"/>
      <c r="MRZ53" s="10"/>
      <c r="MSA53" s="10"/>
      <c r="MSB53" s="10"/>
      <c r="MSC53" s="10"/>
      <c r="MSD53" s="10"/>
      <c r="MSE53" s="10"/>
      <c r="MSF53" s="10"/>
      <c r="MSG53" s="10"/>
      <c r="MSH53" s="10"/>
      <c r="MSI53" s="10"/>
      <c r="MSJ53" s="10"/>
      <c r="MSK53" s="10"/>
      <c r="MSL53" s="10"/>
      <c r="MSM53" s="10"/>
      <c r="MSN53" s="10"/>
      <c r="MSO53" s="10"/>
      <c r="MSP53" s="10"/>
      <c r="MSQ53" s="10"/>
      <c r="MSR53" s="10"/>
      <c r="MSS53" s="10"/>
      <c r="MST53" s="10"/>
      <c r="MSU53" s="10"/>
      <c r="MSV53" s="10"/>
      <c r="MSW53" s="10"/>
      <c r="MSX53" s="10"/>
      <c r="MSY53" s="10"/>
      <c r="MSZ53" s="10"/>
      <c r="MTA53" s="10"/>
      <c r="MTB53" s="10"/>
      <c r="MTC53" s="10"/>
      <c r="MTD53" s="10"/>
      <c r="MTE53" s="10"/>
      <c r="MTF53" s="10"/>
      <c r="MTG53" s="10"/>
      <c r="MTH53" s="10"/>
      <c r="MTI53" s="10"/>
      <c r="MTJ53" s="10"/>
      <c r="MTK53" s="10"/>
      <c r="MTL53" s="10"/>
      <c r="MTM53" s="10"/>
      <c r="MTN53" s="10"/>
      <c r="MTO53" s="10"/>
      <c r="MTP53" s="10"/>
      <c r="MTQ53" s="10"/>
      <c r="MTR53" s="10"/>
      <c r="MTS53" s="10"/>
      <c r="MTT53" s="10"/>
      <c r="MTU53" s="10"/>
      <c r="MTV53" s="10"/>
      <c r="MTW53" s="10"/>
      <c r="MTX53" s="10"/>
      <c r="MTY53" s="10"/>
      <c r="MTZ53" s="10"/>
      <c r="MUA53" s="10"/>
      <c r="MUB53" s="10"/>
      <c r="MUC53" s="10"/>
      <c r="MUD53" s="10"/>
      <c r="MUE53" s="10"/>
      <c r="MUF53" s="10"/>
      <c r="MUG53" s="10"/>
      <c r="MUH53" s="10"/>
      <c r="MUI53" s="10"/>
      <c r="MUJ53" s="10"/>
      <c r="MUK53" s="10"/>
      <c r="MUL53" s="10"/>
      <c r="MUM53" s="10"/>
      <c r="MUN53" s="10"/>
      <c r="MUO53" s="10"/>
      <c r="MUP53" s="10"/>
      <c r="MUQ53" s="10"/>
      <c r="MUR53" s="10"/>
      <c r="MUS53" s="10"/>
      <c r="MUT53" s="10"/>
      <c r="MUU53" s="10"/>
      <c r="MUV53" s="10"/>
      <c r="MUW53" s="10"/>
      <c r="MUX53" s="10"/>
      <c r="MUY53" s="10"/>
      <c r="MUZ53" s="10"/>
      <c r="MVA53" s="10"/>
      <c r="MVB53" s="10"/>
      <c r="MVC53" s="10"/>
      <c r="MVD53" s="10"/>
      <c r="MVE53" s="10"/>
      <c r="MVF53" s="10"/>
      <c r="MVG53" s="10"/>
      <c r="MVH53" s="10"/>
      <c r="MVI53" s="10"/>
      <c r="MVJ53" s="10"/>
      <c r="MVK53" s="10"/>
      <c r="MVL53" s="10"/>
      <c r="MVM53" s="10"/>
      <c r="MVN53" s="10"/>
      <c r="MVO53" s="10"/>
      <c r="MVP53" s="10"/>
      <c r="MVQ53" s="10"/>
      <c r="MVR53" s="10"/>
      <c r="MVS53" s="10"/>
      <c r="MVT53" s="10"/>
      <c r="MVU53" s="10"/>
      <c r="MVV53" s="10"/>
      <c r="MVW53" s="10"/>
      <c r="MVX53" s="10"/>
      <c r="MVY53" s="10"/>
      <c r="MVZ53" s="10"/>
      <c r="MWA53" s="10"/>
      <c r="MWB53" s="10"/>
      <c r="MWC53" s="10"/>
      <c r="MWD53" s="10"/>
      <c r="MWE53" s="10"/>
      <c r="MWF53" s="10"/>
      <c r="MWG53" s="10"/>
      <c r="MWH53" s="10"/>
      <c r="MWI53" s="10"/>
      <c r="MWJ53" s="10"/>
      <c r="MWK53" s="10"/>
      <c r="MWL53" s="10"/>
      <c r="MWM53" s="10"/>
      <c r="MWN53" s="10"/>
      <c r="MWO53" s="10"/>
      <c r="MWP53" s="10"/>
      <c r="MWQ53" s="10"/>
      <c r="MWR53" s="10"/>
      <c r="MWS53" s="10"/>
      <c r="MWT53" s="10"/>
      <c r="MWU53" s="10"/>
      <c r="MWV53" s="10"/>
      <c r="MWW53" s="10"/>
      <c r="MWX53" s="10"/>
      <c r="MWY53" s="10"/>
      <c r="MWZ53" s="10"/>
      <c r="MXA53" s="10"/>
      <c r="MXB53" s="10"/>
      <c r="MXC53" s="10"/>
      <c r="MXD53" s="10"/>
      <c r="MXE53" s="10"/>
      <c r="MXF53" s="10"/>
      <c r="MXG53" s="10"/>
      <c r="MXH53" s="10"/>
      <c r="MXI53" s="10"/>
      <c r="MXJ53" s="10"/>
      <c r="MXK53" s="10"/>
      <c r="MXL53" s="10"/>
      <c r="MXM53" s="10"/>
      <c r="MXN53" s="10"/>
      <c r="MXO53" s="10"/>
      <c r="MXP53" s="10"/>
      <c r="MXQ53" s="10"/>
      <c r="MXR53" s="10"/>
      <c r="MXS53" s="10"/>
      <c r="MXT53" s="10"/>
      <c r="MXU53" s="10"/>
      <c r="MXV53" s="10"/>
      <c r="MXW53" s="10"/>
      <c r="MXX53" s="10"/>
      <c r="MXY53" s="10"/>
      <c r="MXZ53" s="10"/>
      <c r="MYA53" s="10"/>
      <c r="MYB53" s="10"/>
      <c r="MYC53" s="10"/>
      <c r="MYD53" s="10"/>
      <c r="MYE53" s="10"/>
      <c r="MYF53" s="10"/>
      <c r="MYG53" s="10"/>
      <c r="MYH53" s="10"/>
      <c r="MYI53" s="10"/>
      <c r="MYJ53" s="10"/>
      <c r="MYK53" s="10"/>
      <c r="MYL53" s="10"/>
      <c r="MYM53" s="10"/>
      <c r="MYN53" s="10"/>
      <c r="MYO53" s="10"/>
      <c r="MYP53" s="10"/>
      <c r="MYQ53" s="10"/>
      <c r="MYR53" s="10"/>
      <c r="MYS53" s="10"/>
      <c r="MYT53" s="10"/>
      <c r="MYU53" s="10"/>
      <c r="MYV53" s="10"/>
      <c r="MYW53" s="10"/>
      <c r="MYX53" s="10"/>
      <c r="MYY53" s="10"/>
      <c r="MYZ53" s="10"/>
      <c r="MZA53" s="10"/>
      <c r="MZB53" s="10"/>
      <c r="MZC53" s="10"/>
      <c r="MZD53" s="10"/>
      <c r="MZE53" s="10"/>
      <c r="MZF53" s="10"/>
      <c r="MZG53" s="10"/>
      <c r="MZH53" s="10"/>
      <c r="MZI53" s="10"/>
      <c r="MZJ53" s="10"/>
      <c r="MZK53" s="10"/>
      <c r="MZL53" s="10"/>
      <c r="MZM53" s="10"/>
      <c r="MZN53" s="10"/>
      <c r="MZO53" s="10"/>
      <c r="MZP53" s="10"/>
      <c r="MZQ53" s="10"/>
      <c r="MZR53" s="10"/>
      <c r="MZS53" s="10"/>
      <c r="MZT53" s="10"/>
      <c r="MZU53" s="10"/>
      <c r="MZV53" s="10"/>
      <c r="MZW53" s="10"/>
      <c r="MZX53" s="10"/>
      <c r="MZY53" s="10"/>
      <c r="MZZ53" s="10"/>
      <c r="NAA53" s="10"/>
      <c r="NAB53" s="10"/>
      <c r="NAC53" s="10"/>
      <c r="NAD53" s="10"/>
      <c r="NAE53" s="10"/>
      <c r="NAF53" s="10"/>
      <c r="NAG53" s="10"/>
      <c r="NAH53" s="10"/>
      <c r="NAI53" s="10"/>
      <c r="NAJ53" s="10"/>
      <c r="NAK53" s="10"/>
      <c r="NAL53" s="10"/>
      <c r="NAM53" s="10"/>
      <c r="NAN53" s="10"/>
      <c r="NAO53" s="10"/>
      <c r="NAP53" s="10"/>
      <c r="NAQ53" s="10"/>
      <c r="NAR53" s="10"/>
      <c r="NAS53" s="10"/>
      <c r="NAT53" s="10"/>
      <c r="NAU53" s="10"/>
      <c r="NAV53" s="10"/>
      <c r="NAW53" s="10"/>
      <c r="NAX53" s="10"/>
      <c r="NAY53" s="10"/>
      <c r="NAZ53" s="10"/>
      <c r="NBA53" s="10"/>
      <c r="NBB53" s="10"/>
      <c r="NBC53" s="10"/>
      <c r="NBD53" s="10"/>
      <c r="NBE53" s="10"/>
      <c r="NBF53" s="10"/>
      <c r="NBG53" s="10"/>
      <c r="NBH53" s="10"/>
      <c r="NBI53" s="10"/>
      <c r="NBJ53" s="10"/>
      <c r="NBK53" s="10"/>
      <c r="NBL53" s="10"/>
      <c r="NBM53" s="10"/>
      <c r="NBN53" s="10"/>
      <c r="NBO53" s="10"/>
      <c r="NBP53" s="10"/>
      <c r="NBQ53" s="10"/>
      <c r="NBR53" s="10"/>
      <c r="NBS53" s="10"/>
      <c r="NBT53" s="10"/>
      <c r="NBU53" s="10"/>
      <c r="NBV53" s="10"/>
      <c r="NBW53" s="10"/>
      <c r="NBX53" s="10"/>
      <c r="NBY53" s="10"/>
      <c r="NBZ53" s="10"/>
      <c r="NCA53" s="10"/>
      <c r="NCB53" s="10"/>
      <c r="NCC53" s="10"/>
      <c r="NCD53" s="10"/>
      <c r="NCE53" s="10"/>
      <c r="NCF53" s="10"/>
      <c r="NCG53" s="10"/>
      <c r="NCH53" s="10"/>
      <c r="NCI53" s="10"/>
      <c r="NCJ53" s="10"/>
      <c r="NCK53" s="10"/>
      <c r="NCL53" s="10"/>
      <c r="NCM53" s="10"/>
      <c r="NCN53" s="10"/>
      <c r="NCO53" s="10"/>
      <c r="NCP53" s="10"/>
      <c r="NCQ53" s="10"/>
      <c r="NCR53" s="10"/>
      <c r="NCS53" s="10"/>
      <c r="NCT53" s="10"/>
      <c r="NCU53" s="10"/>
      <c r="NCV53" s="10"/>
      <c r="NCW53" s="10"/>
      <c r="NCX53" s="10"/>
      <c r="NCY53" s="10"/>
      <c r="NCZ53" s="10"/>
      <c r="NDA53" s="10"/>
      <c r="NDB53" s="10"/>
      <c r="NDC53" s="10"/>
      <c r="NDD53" s="10"/>
      <c r="NDE53" s="10"/>
      <c r="NDF53" s="10"/>
      <c r="NDG53" s="10"/>
      <c r="NDH53" s="10"/>
      <c r="NDI53" s="10"/>
      <c r="NDJ53" s="10"/>
      <c r="NDK53" s="10"/>
      <c r="NDL53" s="10"/>
      <c r="NDM53" s="10"/>
      <c r="NDN53" s="10"/>
      <c r="NDO53" s="10"/>
      <c r="NDP53" s="10"/>
      <c r="NDQ53" s="10"/>
      <c r="NDR53" s="10"/>
      <c r="NDS53" s="10"/>
      <c r="NDT53" s="10"/>
      <c r="NDU53" s="10"/>
      <c r="NDV53" s="10"/>
      <c r="NDW53" s="10"/>
      <c r="NDX53" s="10"/>
      <c r="NDY53" s="10"/>
      <c r="NDZ53" s="10"/>
      <c r="NEA53" s="10"/>
      <c r="NEB53" s="10"/>
      <c r="NEC53" s="10"/>
      <c r="NED53" s="10"/>
      <c r="NEE53" s="10"/>
      <c r="NEF53" s="10"/>
      <c r="NEG53" s="10"/>
      <c r="NEH53" s="10"/>
      <c r="NEI53" s="10"/>
      <c r="NEJ53" s="10"/>
      <c r="NEK53" s="10"/>
      <c r="NEL53" s="10"/>
      <c r="NEM53" s="10"/>
      <c r="NEN53" s="10"/>
      <c r="NEO53" s="10"/>
      <c r="NEP53" s="10"/>
      <c r="NEQ53" s="10"/>
      <c r="NER53" s="10"/>
      <c r="NES53" s="10"/>
      <c r="NET53" s="10"/>
      <c r="NEU53" s="10"/>
      <c r="NEV53" s="10"/>
      <c r="NEW53" s="10"/>
      <c r="NEX53" s="10"/>
      <c r="NEY53" s="10"/>
      <c r="NEZ53" s="10"/>
      <c r="NFA53" s="10"/>
      <c r="NFB53" s="10"/>
      <c r="NFC53" s="10"/>
      <c r="NFD53" s="10"/>
      <c r="NFE53" s="10"/>
      <c r="NFF53" s="10"/>
      <c r="NFG53" s="10"/>
      <c r="NFH53" s="10"/>
      <c r="NFI53" s="10"/>
      <c r="NFJ53" s="10"/>
      <c r="NFK53" s="10"/>
      <c r="NFL53" s="10"/>
      <c r="NFM53" s="10"/>
      <c r="NFN53" s="10"/>
      <c r="NFO53" s="10"/>
      <c r="NFP53" s="10"/>
      <c r="NFQ53" s="10"/>
      <c r="NFR53" s="10"/>
      <c r="NFS53" s="10"/>
      <c r="NFT53" s="10"/>
      <c r="NFU53" s="10"/>
      <c r="NFV53" s="10"/>
      <c r="NFW53" s="10"/>
      <c r="NFX53" s="10"/>
      <c r="NFY53" s="10"/>
      <c r="NFZ53" s="10"/>
      <c r="NGA53" s="10"/>
      <c r="NGB53" s="10"/>
      <c r="NGC53" s="10"/>
      <c r="NGD53" s="10"/>
      <c r="NGE53" s="10"/>
      <c r="NGF53" s="10"/>
      <c r="NGG53" s="10"/>
      <c r="NGH53" s="10"/>
      <c r="NGI53" s="10"/>
      <c r="NGJ53" s="10"/>
      <c r="NGK53" s="10"/>
      <c r="NGL53" s="10"/>
      <c r="NGM53" s="10"/>
      <c r="NGN53" s="10"/>
      <c r="NGO53" s="10"/>
      <c r="NGP53" s="10"/>
      <c r="NGQ53" s="10"/>
      <c r="NGR53" s="10"/>
      <c r="NGS53" s="10"/>
      <c r="NGT53" s="10"/>
      <c r="NGU53" s="10"/>
      <c r="NGV53" s="10"/>
      <c r="NGW53" s="10"/>
      <c r="NGX53" s="10"/>
      <c r="NGY53" s="10"/>
      <c r="NGZ53" s="10"/>
      <c r="NHA53" s="10"/>
      <c r="NHB53" s="10"/>
      <c r="NHC53" s="10"/>
      <c r="NHD53" s="10"/>
      <c r="NHE53" s="10"/>
      <c r="NHF53" s="10"/>
      <c r="NHG53" s="10"/>
      <c r="NHH53" s="10"/>
      <c r="NHI53" s="10"/>
      <c r="NHJ53" s="10"/>
      <c r="NHK53" s="10"/>
      <c r="NHL53" s="10"/>
      <c r="NHM53" s="10"/>
      <c r="NHN53" s="10"/>
      <c r="NHO53" s="10"/>
      <c r="NHP53" s="10"/>
      <c r="NHQ53" s="10"/>
      <c r="NHR53" s="10"/>
      <c r="NHS53" s="10"/>
      <c r="NHT53" s="10"/>
      <c r="NHU53" s="10"/>
      <c r="NHV53" s="10"/>
      <c r="NHW53" s="10"/>
      <c r="NHX53" s="10"/>
      <c r="NHY53" s="10"/>
      <c r="NHZ53" s="10"/>
      <c r="NIA53" s="10"/>
      <c r="NIB53" s="10"/>
      <c r="NIC53" s="10"/>
      <c r="NID53" s="10"/>
      <c r="NIE53" s="10"/>
      <c r="NIF53" s="10"/>
      <c r="NIG53" s="10"/>
      <c r="NIH53" s="10"/>
      <c r="NII53" s="10"/>
      <c r="NIJ53" s="10"/>
      <c r="NIK53" s="10"/>
      <c r="NIL53" s="10"/>
      <c r="NIM53" s="10"/>
      <c r="NIN53" s="10"/>
      <c r="NIO53" s="10"/>
      <c r="NIP53" s="10"/>
      <c r="NIQ53" s="10"/>
      <c r="NIR53" s="10"/>
      <c r="NIS53" s="10"/>
      <c r="NIT53" s="10"/>
      <c r="NIU53" s="10"/>
      <c r="NIV53" s="10"/>
      <c r="NIW53" s="10"/>
      <c r="NIX53" s="10"/>
      <c r="NIY53" s="10"/>
      <c r="NIZ53" s="10"/>
      <c r="NJA53" s="10"/>
      <c r="NJB53" s="10"/>
      <c r="NJC53" s="10"/>
      <c r="NJD53" s="10"/>
      <c r="NJE53" s="10"/>
      <c r="NJF53" s="10"/>
      <c r="NJG53" s="10"/>
      <c r="NJH53" s="10"/>
      <c r="NJI53" s="10"/>
      <c r="NJJ53" s="10"/>
      <c r="NJK53" s="10"/>
      <c r="NJL53" s="10"/>
      <c r="NJM53" s="10"/>
      <c r="NJN53" s="10"/>
      <c r="NJO53" s="10"/>
      <c r="NJP53" s="10"/>
      <c r="NJQ53" s="10"/>
      <c r="NJR53" s="10"/>
      <c r="NJS53" s="10"/>
      <c r="NJT53" s="10"/>
      <c r="NJU53" s="10"/>
      <c r="NJV53" s="10"/>
      <c r="NJW53" s="10"/>
      <c r="NJX53" s="10"/>
      <c r="NJY53" s="10"/>
      <c r="NJZ53" s="10"/>
      <c r="NKA53" s="10"/>
      <c r="NKB53" s="10"/>
      <c r="NKC53" s="10"/>
      <c r="NKD53" s="10"/>
      <c r="NKE53" s="10"/>
      <c r="NKF53" s="10"/>
      <c r="NKG53" s="10"/>
      <c r="NKH53" s="10"/>
      <c r="NKI53" s="10"/>
      <c r="NKJ53" s="10"/>
      <c r="NKK53" s="10"/>
      <c r="NKL53" s="10"/>
      <c r="NKM53" s="10"/>
      <c r="NKN53" s="10"/>
      <c r="NKO53" s="10"/>
      <c r="NKP53" s="10"/>
      <c r="NKQ53" s="10"/>
      <c r="NKR53" s="10"/>
      <c r="NKS53" s="10"/>
      <c r="NKT53" s="10"/>
      <c r="NKU53" s="10"/>
      <c r="NKV53" s="10"/>
      <c r="NKW53" s="10"/>
      <c r="NKX53" s="10"/>
      <c r="NKY53" s="10"/>
      <c r="NKZ53" s="10"/>
      <c r="NLA53" s="10"/>
      <c r="NLB53" s="10"/>
      <c r="NLC53" s="10"/>
      <c r="NLD53" s="10"/>
      <c r="NLE53" s="10"/>
      <c r="NLF53" s="10"/>
      <c r="NLG53" s="10"/>
      <c r="NLH53" s="10"/>
      <c r="NLI53" s="10"/>
      <c r="NLJ53" s="10"/>
      <c r="NLK53" s="10"/>
      <c r="NLL53" s="10"/>
      <c r="NLM53" s="10"/>
      <c r="NLN53" s="10"/>
      <c r="NLO53" s="10"/>
      <c r="NLP53" s="10"/>
      <c r="NLQ53" s="10"/>
      <c r="NLR53" s="10"/>
      <c r="NLS53" s="10"/>
      <c r="NLT53" s="10"/>
      <c r="NLU53" s="10"/>
      <c r="NLV53" s="10"/>
      <c r="NLW53" s="10"/>
      <c r="NLX53" s="10"/>
      <c r="NLY53" s="10"/>
      <c r="NLZ53" s="10"/>
      <c r="NMA53" s="10"/>
      <c r="NMB53" s="10"/>
      <c r="NMC53" s="10"/>
      <c r="NMD53" s="10"/>
      <c r="NME53" s="10"/>
      <c r="NMF53" s="10"/>
      <c r="NMG53" s="10"/>
      <c r="NMH53" s="10"/>
      <c r="NMI53" s="10"/>
      <c r="NMJ53" s="10"/>
      <c r="NMK53" s="10"/>
      <c r="NML53" s="10"/>
      <c r="NMM53" s="10"/>
      <c r="NMN53" s="10"/>
      <c r="NMO53" s="10"/>
      <c r="NMP53" s="10"/>
      <c r="NMQ53" s="10"/>
      <c r="NMR53" s="10"/>
      <c r="NMS53" s="10"/>
      <c r="NMT53" s="10"/>
      <c r="NMU53" s="10"/>
      <c r="NMV53" s="10"/>
      <c r="NMW53" s="10"/>
      <c r="NMX53" s="10"/>
      <c r="NMY53" s="10"/>
      <c r="NMZ53" s="10"/>
      <c r="NNA53" s="10"/>
      <c r="NNB53" s="10"/>
      <c r="NNC53" s="10"/>
      <c r="NND53" s="10"/>
      <c r="NNE53" s="10"/>
      <c r="NNF53" s="10"/>
      <c r="NNG53" s="10"/>
      <c r="NNH53" s="10"/>
      <c r="NNI53" s="10"/>
      <c r="NNJ53" s="10"/>
      <c r="NNK53" s="10"/>
      <c r="NNL53" s="10"/>
      <c r="NNM53" s="10"/>
      <c r="NNN53" s="10"/>
      <c r="NNO53" s="10"/>
      <c r="NNP53" s="10"/>
      <c r="NNQ53" s="10"/>
      <c r="NNR53" s="10"/>
      <c r="NNS53" s="10"/>
      <c r="NNT53" s="10"/>
      <c r="NNU53" s="10"/>
      <c r="NNV53" s="10"/>
      <c r="NNW53" s="10"/>
      <c r="NNX53" s="10"/>
      <c r="NNY53" s="10"/>
      <c r="NNZ53" s="10"/>
      <c r="NOA53" s="10"/>
      <c r="NOB53" s="10"/>
      <c r="NOC53" s="10"/>
      <c r="NOD53" s="10"/>
      <c r="NOE53" s="10"/>
      <c r="NOF53" s="10"/>
      <c r="NOG53" s="10"/>
      <c r="NOH53" s="10"/>
      <c r="NOI53" s="10"/>
      <c r="NOJ53" s="10"/>
      <c r="NOK53" s="10"/>
      <c r="NOL53" s="10"/>
      <c r="NOM53" s="10"/>
      <c r="NON53" s="10"/>
      <c r="NOO53" s="10"/>
      <c r="NOP53" s="10"/>
      <c r="NOQ53" s="10"/>
      <c r="NOR53" s="10"/>
      <c r="NOS53" s="10"/>
      <c r="NOT53" s="10"/>
      <c r="NOU53" s="10"/>
      <c r="NOV53" s="10"/>
      <c r="NOW53" s="10"/>
      <c r="NOX53" s="10"/>
      <c r="NOY53" s="10"/>
      <c r="NOZ53" s="10"/>
      <c r="NPA53" s="10"/>
      <c r="NPB53" s="10"/>
      <c r="NPC53" s="10"/>
      <c r="NPD53" s="10"/>
      <c r="NPE53" s="10"/>
      <c r="NPF53" s="10"/>
      <c r="NPG53" s="10"/>
      <c r="NPH53" s="10"/>
      <c r="NPI53" s="10"/>
      <c r="NPJ53" s="10"/>
      <c r="NPK53" s="10"/>
      <c r="NPL53" s="10"/>
      <c r="NPM53" s="10"/>
      <c r="NPN53" s="10"/>
      <c r="NPO53" s="10"/>
      <c r="NPP53" s="10"/>
      <c r="NPQ53" s="10"/>
      <c r="NPR53" s="10"/>
      <c r="NPS53" s="10"/>
      <c r="NPT53" s="10"/>
      <c r="NPU53" s="10"/>
      <c r="NPV53" s="10"/>
      <c r="NPW53" s="10"/>
      <c r="NPX53" s="10"/>
      <c r="NPY53" s="10"/>
      <c r="NPZ53" s="10"/>
      <c r="NQA53" s="10"/>
      <c r="NQB53" s="10"/>
      <c r="NQC53" s="10"/>
      <c r="NQD53" s="10"/>
      <c r="NQE53" s="10"/>
      <c r="NQF53" s="10"/>
      <c r="NQG53" s="10"/>
      <c r="NQH53" s="10"/>
      <c r="NQI53" s="10"/>
      <c r="NQJ53" s="10"/>
      <c r="NQK53" s="10"/>
      <c r="NQL53" s="10"/>
      <c r="NQM53" s="10"/>
      <c r="NQN53" s="10"/>
      <c r="NQO53" s="10"/>
      <c r="NQP53" s="10"/>
      <c r="NQQ53" s="10"/>
      <c r="NQR53" s="10"/>
      <c r="NQS53" s="10"/>
      <c r="NQT53" s="10"/>
      <c r="NQU53" s="10"/>
      <c r="NQV53" s="10"/>
      <c r="NQW53" s="10"/>
      <c r="NQX53" s="10"/>
      <c r="NQY53" s="10"/>
      <c r="NQZ53" s="10"/>
      <c r="NRA53" s="10"/>
      <c r="NRB53" s="10"/>
      <c r="NRC53" s="10"/>
      <c r="NRD53" s="10"/>
      <c r="NRE53" s="10"/>
      <c r="NRF53" s="10"/>
      <c r="NRG53" s="10"/>
      <c r="NRH53" s="10"/>
      <c r="NRI53" s="10"/>
      <c r="NRJ53" s="10"/>
      <c r="NRK53" s="10"/>
      <c r="NRL53" s="10"/>
      <c r="NRM53" s="10"/>
      <c r="NRN53" s="10"/>
      <c r="NRO53" s="10"/>
      <c r="NRP53" s="10"/>
      <c r="NRQ53" s="10"/>
      <c r="NRR53" s="10"/>
      <c r="NRS53" s="10"/>
      <c r="NRT53" s="10"/>
      <c r="NRU53" s="10"/>
      <c r="NRV53" s="10"/>
      <c r="NRW53" s="10"/>
      <c r="NRX53" s="10"/>
      <c r="NRY53" s="10"/>
      <c r="NRZ53" s="10"/>
      <c r="NSA53" s="10"/>
      <c r="NSB53" s="10"/>
      <c r="NSC53" s="10"/>
      <c r="NSD53" s="10"/>
      <c r="NSE53" s="10"/>
      <c r="NSF53" s="10"/>
      <c r="NSG53" s="10"/>
      <c r="NSH53" s="10"/>
      <c r="NSI53" s="10"/>
      <c r="NSJ53" s="10"/>
      <c r="NSK53" s="10"/>
      <c r="NSL53" s="10"/>
      <c r="NSM53" s="10"/>
      <c r="NSN53" s="10"/>
      <c r="NSO53" s="10"/>
      <c r="NSP53" s="10"/>
      <c r="NSQ53" s="10"/>
      <c r="NSR53" s="10"/>
      <c r="NSS53" s="10"/>
      <c r="NST53" s="10"/>
      <c r="NSU53" s="10"/>
      <c r="NSV53" s="10"/>
      <c r="NSW53" s="10"/>
      <c r="NSX53" s="10"/>
      <c r="NSY53" s="10"/>
      <c r="NSZ53" s="10"/>
      <c r="NTA53" s="10"/>
      <c r="NTB53" s="10"/>
      <c r="NTC53" s="10"/>
      <c r="NTD53" s="10"/>
      <c r="NTE53" s="10"/>
      <c r="NTF53" s="10"/>
      <c r="NTG53" s="10"/>
      <c r="NTH53" s="10"/>
      <c r="NTI53" s="10"/>
      <c r="NTJ53" s="10"/>
      <c r="NTK53" s="10"/>
      <c r="NTL53" s="10"/>
      <c r="NTM53" s="10"/>
      <c r="NTN53" s="10"/>
      <c r="NTO53" s="10"/>
      <c r="NTP53" s="10"/>
      <c r="NTQ53" s="10"/>
      <c r="NTR53" s="10"/>
      <c r="NTS53" s="10"/>
      <c r="NTT53" s="10"/>
      <c r="NTU53" s="10"/>
      <c r="NTV53" s="10"/>
      <c r="NTW53" s="10"/>
      <c r="NTX53" s="10"/>
      <c r="NTY53" s="10"/>
      <c r="NTZ53" s="10"/>
      <c r="NUA53" s="10"/>
      <c r="NUB53" s="10"/>
      <c r="NUC53" s="10"/>
      <c r="NUD53" s="10"/>
      <c r="NUE53" s="10"/>
      <c r="NUF53" s="10"/>
      <c r="NUG53" s="10"/>
      <c r="NUH53" s="10"/>
      <c r="NUI53" s="10"/>
      <c r="NUJ53" s="10"/>
      <c r="NUK53" s="10"/>
      <c r="NUL53" s="10"/>
      <c r="NUM53" s="10"/>
      <c r="NUN53" s="10"/>
      <c r="NUO53" s="10"/>
      <c r="NUP53" s="10"/>
      <c r="NUQ53" s="10"/>
      <c r="NUR53" s="10"/>
      <c r="NUS53" s="10"/>
      <c r="NUT53" s="10"/>
      <c r="NUU53" s="10"/>
      <c r="NUV53" s="10"/>
      <c r="NUW53" s="10"/>
      <c r="NUX53" s="10"/>
      <c r="NUY53" s="10"/>
      <c r="NUZ53" s="10"/>
      <c r="NVA53" s="10"/>
      <c r="NVB53" s="10"/>
      <c r="NVC53" s="10"/>
      <c r="NVD53" s="10"/>
      <c r="NVE53" s="10"/>
      <c r="NVF53" s="10"/>
      <c r="NVG53" s="10"/>
      <c r="NVH53" s="10"/>
      <c r="NVI53" s="10"/>
      <c r="NVJ53" s="10"/>
      <c r="NVK53" s="10"/>
      <c r="NVL53" s="10"/>
      <c r="NVM53" s="10"/>
      <c r="NVN53" s="10"/>
      <c r="NVO53" s="10"/>
      <c r="NVP53" s="10"/>
      <c r="NVQ53" s="10"/>
      <c r="NVR53" s="10"/>
      <c r="NVS53" s="10"/>
      <c r="NVT53" s="10"/>
      <c r="NVU53" s="10"/>
      <c r="NVV53" s="10"/>
      <c r="NVW53" s="10"/>
      <c r="NVX53" s="10"/>
      <c r="NVY53" s="10"/>
      <c r="NVZ53" s="10"/>
      <c r="NWA53" s="10"/>
      <c r="NWB53" s="10"/>
      <c r="NWC53" s="10"/>
      <c r="NWD53" s="10"/>
      <c r="NWE53" s="10"/>
      <c r="NWF53" s="10"/>
      <c r="NWG53" s="10"/>
      <c r="NWH53" s="10"/>
      <c r="NWI53" s="10"/>
      <c r="NWJ53" s="10"/>
      <c r="NWK53" s="10"/>
      <c r="NWL53" s="10"/>
      <c r="NWM53" s="10"/>
      <c r="NWN53" s="10"/>
      <c r="NWO53" s="10"/>
      <c r="NWP53" s="10"/>
      <c r="NWQ53" s="10"/>
      <c r="NWR53" s="10"/>
      <c r="NWS53" s="10"/>
      <c r="NWT53" s="10"/>
      <c r="NWU53" s="10"/>
      <c r="NWV53" s="10"/>
      <c r="NWW53" s="10"/>
      <c r="NWX53" s="10"/>
      <c r="NWY53" s="10"/>
      <c r="NWZ53" s="10"/>
      <c r="NXA53" s="10"/>
      <c r="NXB53" s="10"/>
      <c r="NXC53" s="10"/>
      <c r="NXD53" s="10"/>
      <c r="NXE53" s="10"/>
      <c r="NXF53" s="10"/>
      <c r="NXG53" s="10"/>
      <c r="NXH53" s="10"/>
      <c r="NXI53" s="10"/>
      <c r="NXJ53" s="10"/>
      <c r="NXK53" s="10"/>
      <c r="NXL53" s="10"/>
      <c r="NXM53" s="10"/>
      <c r="NXN53" s="10"/>
      <c r="NXO53" s="10"/>
      <c r="NXP53" s="10"/>
      <c r="NXQ53" s="10"/>
      <c r="NXR53" s="10"/>
      <c r="NXS53" s="10"/>
      <c r="NXT53" s="10"/>
      <c r="NXU53" s="10"/>
      <c r="NXV53" s="10"/>
      <c r="NXW53" s="10"/>
      <c r="NXX53" s="10"/>
      <c r="NXY53" s="10"/>
      <c r="NXZ53" s="10"/>
      <c r="NYA53" s="10"/>
      <c r="NYB53" s="10"/>
      <c r="NYC53" s="10"/>
      <c r="NYD53" s="10"/>
      <c r="NYE53" s="10"/>
      <c r="NYF53" s="10"/>
      <c r="NYG53" s="10"/>
      <c r="NYH53" s="10"/>
      <c r="NYI53" s="10"/>
      <c r="NYJ53" s="10"/>
      <c r="NYK53" s="10"/>
      <c r="NYL53" s="10"/>
      <c r="NYM53" s="10"/>
      <c r="NYN53" s="10"/>
      <c r="NYO53" s="10"/>
      <c r="NYP53" s="10"/>
      <c r="NYQ53" s="10"/>
      <c r="NYR53" s="10"/>
      <c r="NYS53" s="10"/>
      <c r="NYT53" s="10"/>
      <c r="NYU53" s="10"/>
      <c r="NYV53" s="10"/>
      <c r="NYW53" s="10"/>
      <c r="NYX53" s="10"/>
      <c r="NYY53" s="10"/>
      <c r="NYZ53" s="10"/>
      <c r="NZA53" s="10"/>
      <c r="NZB53" s="10"/>
      <c r="NZC53" s="10"/>
      <c r="NZD53" s="10"/>
      <c r="NZE53" s="10"/>
      <c r="NZF53" s="10"/>
      <c r="NZG53" s="10"/>
      <c r="NZH53" s="10"/>
      <c r="NZI53" s="10"/>
      <c r="NZJ53" s="10"/>
      <c r="NZK53" s="10"/>
      <c r="NZL53" s="10"/>
      <c r="NZM53" s="10"/>
      <c r="NZN53" s="10"/>
      <c r="NZO53" s="10"/>
      <c r="NZP53" s="10"/>
      <c r="NZQ53" s="10"/>
      <c r="NZR53" s="10"/>
      <c r="NZS53" s="10"/>
      <c r="NZT53" s="10"/>
      <c r="NZU53" s="10"/>
      <c r="NZV53" s="10"/>
      <c r="NZW53" s="10"/>
      <c r="NZX53" s="10"/>
      <c r="NZY53" s="10"/>
      <c r="NZZ53" s="10"/>
      <c r="OAA53" s="10"/>
      <c r="OAB53" s="10"/>
      <c r="OAC53" s="10"/>
      <c r="OAD53" s="10"/>
      <c r="OAE53" s="10"/>
      <c r="OAF53" s="10"/>
      <c r="OAG53" s="10"/>
      <c r="OAH53" s="10"/>
      <c r="OAI53" s="10"/>
      <c r="OAJ53" s="10"/>
      <c r="OAK53" s="10"/>
      <c r="OAL53" s="10"/>
      <c r="OAM53" s="10"/>
      <c r="OAN53" s="10"/>
      <c r="OAO53" s="10"/>
      <c r="OAP53" s="10"/>
      <c r="OAQ53" s="10"/>
      <c r="OAR53" s="10"/>
      <c r="OAS53" s="10"/>
      <c r="OAT53" s="10"/>
      <c r="OAU53" s="10"/>
      <c r="OAV53" s="10"/>
      <c r="OAW53" s="10"/>
      <c r="OAX53" s="10"/>
      <c r="OAY53" s="10"/>
      <c r="OAZ53" s="10"/>
      <c r="OBA53" s="10"/>
      <c r="OBB53" s="10"/>
      <c r="OBC53" s="10"/>
      <c r="OBD53" s="10"/>
      <c r="OBE53" s="10"/>
      <c r="OBF53" s="10"/>
      <c r="OBG53" s="10"/>
      <c r="OBH53" s="10"/>
      <c r="OBI53" s="10"/>
      <c r="OBJ53" s="10"/>
      <c r="OBK53" s="10"/>
      <c r="OBL53" s="10"/>
      <c r="OBM53" s="10"/>
      <c r="OBN53" s="10"/>
      <c r="OBO53" s="10"/>
      <c r="OBP53" s="10"/>
      <c r="OBQ53" s="10"/>
      <c r="OBR53" s="10"/>
      <c r="OBS53" s="10"/>
      <c r="OBT53" s="10"/>
      <c r="OBU53" s="10"/>
      <c r="OBV53" s="10"/>
      <c r="OBW53" s="10"/>
      <c r="OBX53" s="10"/>
      <c r="OBY53" s="10"/>
      <c r="OBZ53" s="10"/>
      <c r="OCA53" s="10"/>
      <c r="OCB53" s="10"/>
      <c r="OCC53" s="10"/>
      <c r="OCD53" s="10"/>
      <c r="OCE53" s="10"/>
      <c r="OCF53" s="10"/>
      <c r="OCG53" s="10"/>
      <c r="OCH53" s="10"/>
      <c r="OCI53" s="10"/>
      <c r="OCJ53" s="10"/>
      <c r="OCK53" s="10"/>
      <c r="OCL53" s="10"/>
      <c r="OCM53" s="10"/>
      <c r="OCN53" s="10"/>
      <c r="OCO53" s="10"/>
      <c r="OCP53" s="10"/>
      <c r="OCQ53" s="10"/>
      <c r="OCR53" s="10"/>
      <c r="OCS53" s="10"/>
      <c r="OCT53" s="10"/>
      <c r="OCU53" s="10"/>
      <c r="OCV53" s="10"/>
      <c r="OCW53" s="10"/>
      <c r="OCX53" s="10"/>
      <c r="OCY53" s="10"/>
      <c r="OCZ53" s="10"/>
      <c r="ODA53" s="10"/>
      <c r="ODB53" s="10"/>
      <c r="ODC53" s="10"/>
      <c r="ODD53" s="10"/>
      <c r="ODE53" s="10"/>
      <c r="ODF53" s="10"/>
      <c r="ODG53" s="10"/>
      <c r="ODH53" s="10"/>
      <c r="ODI53" s="10"/>
      <c r="ODJ53" s="10"/>
      <c r="ODK53" s="10"/>
      <c r="ODL53" s="10"/>
      <c r="ODM53" s="10"/>
      <c r="ODN53" s="10"/>
      <c r="ODO53" s="10"/>
      <c r="ODP53" s="10"/>
      <c r="ODQ53" s="10"/>
      <c r="ODR53" s="10"/>
      <c r="ODS53" s="10"/>
      <c r="ODT53" s="10"/>
      <c r="ODU53" s="10"/>
      <c r="ODV53" s="10"/>
      <c r="ODW53" s="10"/>
      <c r="ODX53" s="10"/>
      <c r="ODY53" s="10"/>
      <c r="ODZ53" s="10"/>
      <c r="OEA53" s="10"/>
      <c r="OEB53" s="10"/>
      <c r="OEC53" s="10"/>
      <c r="OED53" s="10"/>
      <c r="OEE53" s="10"/>
      <c r="OEF53" s="10"/>
      <c r="OEG53" s="10"/>
      <c r="OEH53" s="10"/>
      <c r="OEI53" s="10"/>
      <c r="OEJ53" s="10"/>
      <c r="OEK53" s="10"/>
      <c r="OEL53" s="10"/>
      <c r="OEM53" s="10"/>
      <c r="OEN53" s="10"/>
      <c r="OEO53" s="10"/>
      <c r="OEP53" s="10"/>
      <c r="OEQ53" s="10"/>
      <c r="OER53" s="10"/>
      <c r="OES53" s="10"/>
      <c r="OET53" s="10"/>
      <c r="OEU53" s="10"/>
      <c r="OEV53" s="10"/>
      <c r="OEW53" s="10"/>
      <c r="OEX53" s="10"/>
      <c r="OEY53" s="10"/>
      <c r="OEZ53" s="10"/>
      <c r="OFA53" s="10"/>
      <c r="OFB53" s="10"/>
      <c r="OFC53" s="10"/>
      <c r="OFD53" s="10"/>
      <c r="OFE53" s="10"/>
      <c r="OFF53" s="10"/>
      <c r="OFG53" s="10"/>
      <c r="OFH53" s="10"/>
      <c r="OFI53" s="10"/>
      <c r="OFJ53" s="10"/>
      <c r="OFK53" s="10"/>
      <c r="OFL53" s="10"/>
      <c r="OFM53" s="10"/>
      <c r="OFN53" s="10"/>
      <c r="OFO53" s="10"/>
      <c r="OFP53" s="10"/>
      <c r="OFQ53" s="10"/>
      <c r="OFR53" s="10"/>
      <c r="OFS53" s="10"/>
      <c r="OFT53" s="10"/>
      <c r="OFU53" s="10"/>
      <c r="OFV53" s="10"/>
      <c r="OFW53" s="10"/>
      <c r="OFX53" s="10"/>
      <c r="OFY53" s="10"/>
      <c r="OFZ53" s="10"/>
      <c r="OGA53" s="10"/>
      <c r="OGB53" s="10"/>
      <c r="OGC53" s="10"/>
      <c r="OGD53" s="10"/>
      <c r="OGE53" s="10"/>
      <c r="OGF53" s="10"/>
      <c r="OGG53" s="10"/>
      <c r="OGH53" s="10"/>
      <c r="OGI53" s="10"/>
      <c r="OGJ53" s="10"/>
      <c r="OGK53" s="10"/>
      <c r="OGL53" s="10"/>
      <c r="OGM53" s="10"/>
      <c r="OGN53" s="10"/>
      <c r="OGO53" s="10"/>
      <c r="OGP53" s="10"/>
      <c r="OGQ53" s="10"/>
      <c r="OGR53" s="10"/>
      <c r="OGS53" s="10"/>
      <c r="OGT53" s="10"/>
      <c r="OGU53" s="10"/>
      <c r="OGV53" s="10"/>
      <c r="OGW53" s="10"/>
      <c r="OGX53" s="10"/>
      <c r="OGY53" s="10"/>
      <c r="OGZ53" s="10"/>
      <c r="OHA53" s="10"/>
      <c r="OHB53" s="10"/>
      <c r="OHC53" s="10"/>
      <c r="OHD53" s="10"/>
      <c r="OHE53" s="10"/>
      <c r="OHF53" s="10"/>
      <c r="OHG53" s="10"/>
      <c r="OHH53" s="10"/>
      <c r="OHI53" s="10"/>
      <c r="OHJ53" s="10"/>
      <c r="OHK53" s="10"/>
      <c r="OHL53" s="10"/>
      <c r="OHM53" s="10"/>
      <c r="OHN53" s="10"/>
      <c r="OHO53" s="10"/>
      <c r="OHP53" s="10"/>
      <c r="OHQ53" s="10"/>
      <c r="OHR53" s="10"/>
      <c r="OHS53" s="10"/>
      <c r="OHT53" s="10"/>
      <c r="OHU53" s="10"/>
      <c r="OHV53" s="10"/>
      <c r="OHW53" s="10"/>
      <c r="OHX53" s="10"/>
      <c r="OHY53" s="10"/>
      <c r="OHZ53" s="10"/>
      <c r="OIA53" s="10"/>
      <c r="OIB53" s="10"/>
      <c r="OIC53" s="10"/>
      <c r="OID53" s="10"/>
      <c r="OIE53" s="10"/>
      <c r="OIF53" s="10"/>
      <c r="OIG53" s="10"/>
      <c r="OIH53" s="10"/>
      <c r="OII53" s="10"/>
      <c r="OIJ53" s="10"/>
      <c r="OIK53" s="10"/>
      <c r="OIL53" s="10"/>
      <c r="OIM53" s="10"/>
      <c r="OIN53" s="10"/>
      <c r="OIO53" s="10"/>
      <c r="OIP53" s="10"/>
      <c r="OIQ53" s="10"/>
      <c r="OIR53" s="10"/>
      <c r="OIS53" s="10"/>
      <c r="OIT53" s="10"/>
      <c r="OIU53" s="10"/>
      <c r="OIV53" s="10"/>
      <c r="OIW53" s="10"/>
      <c r="OIX53" s="10"/>
      <c r="OIY53" s="10"/>
      <c r="OIZ53" s="10"/>
      <c r="OJA53" s="10"/>
      <c r="OJB53" s="10"/>
      <c r="OJC53" s="10"/>
      <c r="OJD53" s="10"/>
      <c r="OJE53" s="10"/>
      <c r="OJF53" s="10"/>
      <c r="OJG53" s="10"/>
      <c r="OJH53" s="10"/>
      <c r="OJI53" s="10"/>
      <c r="OJJ53" s="10"/>
      <c r="OJK53" s="10"/>
      <c r="OJL53" s="10"/>
      <c r="OJM53" s="10"/>
      <c r="OJN53" s="10"/>
      <c r="OJO53" s="10"/>
      <c r="OJP53" s="10"/>
      <c r="OJQ53" s="10"/>
      <c r="OJR53" s="10"/>
      <c r="OJS53" s="10"/>
      <c r="OJT53" s="10"/>
      <c r="OJU53" s="10"/>
      <c r="OJV53" s="10"/>
      <c r="OJW53" s="10"/>
      <c r="OJX53" s="10"/>
      <c r="OJY53" s="10"/>
      <c r="OJZ53" s="10"/>
      <c r="OKA53" s="10"/>
      <c r="OKB53" s="10"/>
      <c r="OKC53" s="10"/>
      <c r="OKD53" s="10"/>
      <c r="OKE53" s="10"/>
      <c r="OKF53" s="10"/>
      <c r="OKG53" s="10"/>
      <c r="OKH53" s="10"/>
      <c r="OKI53" s="10"/>
      <c r="OKJ53" s="10"/>
      <c r="OKK53" s="10"/>
      <c r="OKL53" s="10"/>
      <c r="OKM53" s="10"/>
      <c r="OKN53" s="10"/>
      <c r="OKO53" s="10"/>
      <c r="OKP53" s="10"/>
      <c r="OKQ53" s="10"/>
      <c r="OKR53" s="10"/>
      <c r="OKS53" s="10"/>
      <c r="OKT53" s="10"/>
      <c r="OKU53" s="10"/>
      <c r="OKV53" s="10"/>
      <c r="OKW53" s="10"/>
      <c r="OKX53" s="10"/>
      <c r="OKY53" s="10"/>
      <c r="OKZ53" s="10"/>
      <c r="OLA53" s="10"/>
      <c r="OLB53" s="10"/>
      <c r="OLC53" s="10"/>
      <c r="OLD53" s="10"/>
      <c r="OLE53" s="10"/>
      <c r="OLF53" s="10"/>
      <c r="OLG53" s="10"/>
      <c r="OLH53" s="10"/>
      <c r="OLI53" s="10"/>
      <c r="OLJ53" s="10"/>
      <c r="OLK53" s="10"/>
      <c r="OLL53" s="10"/>
      <c r="OLM53" s="10"/>
      <c r="OLN53" s="10"/>
      <c r="OLO53" s="10"/>
      <c r="OLP53" s="10"/>
      <c r="OLQ53" s="10"/>
      <c r="OLR53" s="10"/>
      <c r="OLS53" s="10"/>
      <c r="OLT53" s="10"/>
      <c r="OLU53" s="10"/>
      <c r="OLV53" s="10"/>
      <c r="OLW53" s="10"/>
      <c r="OLX53" s="10"/>
      <c r="OLY53" s="10"/>
      <c r="OLZ53" s="10"/>
      <c r="OMA53" s="10"/>
      <c r="OMB53" s="10"/>
      <c r="OMC53" s="10"/>
      <c r="OMD53" s="10"/>
      <c r="OME53" s="10"/>
      <c r="OMF53" s="10"/>
      <c r="OMG53" s="10"/>
      <c r="OMH53" s="10"/>
      <c r="OMI53" s="10"/>
      <c r="OMJ53" s="10"/>
      <c r="OMK53" s="10"/>
      <c r="OML53" s="10"/>
      <c r="OMM53" s="10"/>
      <c r="OMN53" s="10"/>
      <c r="OMO53" s="10"/>
      <c r="OMP53" s="10"/>
      <c r="OMQ53" s="10"/>
      <c r="OMR53" s="10"/>
      <c r="OMS53" s="10"/>
      <c r="OMT53" s="10"/>
      <c r="OMU53" s="10"/>
      <c r="OMV53" s="10"/>
      <c r="OMW53" s="10"/>
      <c r="OMX53" s="10"/>
      <c r="OMY53" s="10"/>
      <c r="OMZ53" s="10"/>
      <c r="ONA53" s="10"/>
      <c r="ONB53" s="10"/>
      <c r="ONC53" s="10"/>
      <c r="OND53" s="10"/>
      <c r="ONE53" s="10"/>
      <c r="ONF53" s="10"/>
      <c r="ONG53" s="10"/>
      <c r="ONH53" s="10"/>
      <c r="ONI53" s="10"/>
      <c r="ONJ53" s="10"/>
      <c r="ONK53" s="10"/>
      <c r="ONL53" s="10"/>
      <c r="ONM53" s="10"/>
      <c r="ONN53" s="10"/>
      <c r="ONO53" s="10"/>
      <c r="ONP53" s="10"/>
      <c r="ONQ53" s="10"/>
      <c r="ONR53" s="10"/>
      <c r="ONS53" s="10"/>
      <c r="ONT53" s="10"/>
      <c r="ONU53" s="10"/>
      <c r="ONV53" s="10"/>
      <c r="ONW53" s="10"/>
      <c r="ONX53" s="10"/>
      <c r="ONY53" s="10"/>
      <c r="ONZ53" s="10"/>
      <c r="OOA53" s="10"/>
      <c r="OOB53" s="10"/>
      <c r="OOC53" s="10"/>
      <c r="OOD53" s="10"/>
      <c r="OOE53" s="10"/>
      <c r="OOF53" s="10"/>
      <c r="OOG53" s="10"/>
      <c r="OOH53" s="10"/>
      <c r="OOI53" s="10"/>
      <c r="OOJ53" s="10"/>
      <c r="OOK53" s="10"/>
      <c r="OOL53" s="10"/>
      <c r="OOM53" s="10"/>
      <c r="OON53" s="10"/>
      <c r="OOO53" s="10"/>
      <c r="OOP53" s="10"/>
      <c r="OOQ53" s="10"/>
      <c r="OOR53" s="10"/>
      <c r="OOS53" s="10"/>
      <c r="OOT53" s="10"/>
      <c r="OOU53" s="10"/>
      <c r="OOV53" s="10"/>
      <c r="OOW53" s="10"/>
      <c r="OOX53" s="10"/>
      <c r="OOY53" s="10"/>
      <c r="OOZ53" s="10"/>
      <c r="OPA53" s="10"/>
      <c r="OPB53" s="10"/>
      <c r="OPC53" s="10"/>
      <c r="OPD53" s="10"/>
      <c r="OPE53" s="10"/>
      <c r="OPF53" s="10"/>
      <c r="OPG53" s="10"/>
      <c r="OPH53" s="10"/>
      <c r="OPI53" s="10"/>
      <c r="OPJ53" s="10"/>
      <c r="OPK53" s="10"/>
      <c r="OPL53" s="10"/>
      <c r="OPM53" s="10"/>
      <c r="OPN53" s="10"/>
      <c r="OPO53" s="10"/>
      <c r="OPP53" s="10"/>
      <c r="OPQ53" s="10"/>
      <c r="OPR53" s="10"/>
      <c r="OPS53" s="10"/>
      <c r="OPT53" s="10"/>
      <c r="OPU53" s="10"/>
      <c r="OPV53" s="10"/>
      <c r="OPW53" s="10"/>
      <c r="OPX53" s="10"/>
      <c r="OPY53" s="10"/>
      <c r="OPZ53" s="10"/>
      <c r="OQA53" s="10"/>
      <c r="OQB53" s="10"/>
      <c r="OQC53" s="10"/>
      <c r="OQD53" s="10"/>
      <c r="OQE53" s="10"/>
      <c r="OQF53" s="10"/>
      <c r="OQG53" s="10"/>
      <c r="OQH53" s="10"/>
      <c r="OQI53" s="10"/>
      <c r="OQJ53" s="10"/>
      <c r="OQK53" s="10"/>
      <c r="OQL53" s="10"/>
      <c r="OQM53" s="10"/>
      <c r="OQN53" s="10"/>
      <c r="OQO53" s="10"/>
      <c r="OQP53" s="10"/>
      <c r="OQQ53" s="10"/>
      <c r="OQR53" s="10"/>
      <c r="OQS53" s="10"/>
      <c r="OQT53" s="10"/>
      <c r="OQU53" s="10"/>
      <c r="OQV53" s="10"/>
      <c r="OQW53" s="10"/>
      <c r="OQX53" s="10"/>
      <c r="OQY53" s="10"/>
      <c r="OQZ53" s="10"/>
      <c r="ORA53" s="10"/>
      <c r="ORB53" s="10"/>
      <c r="ORC53" s="10"/>
      <c r="ORD53" s="10"/>
      <c r="ORE53" s="10"/>
      <c r="ORF53" s="10"/>
      <c r="ORG53" s="10"/>
      <c r="ORH53" s="10"/>
      <c r="ORI53" s="10"/>
      <c r="ORJ53" s="10"/>
      <c r="ORK53" s="10"/>
      <c r="ORL53" s="10"/>
      <c r="ORM53" s="10"/>
      <c r="ORN53" s="10"/>
      <c r="ORO53" s="10"/>
      <c r="ORP53" s="10"/>
      <c r="ORQ53" s="10"/>
      <c r="ORR53" s="10"/>
      <c r="ORS53" s="10"/>
      <c r="ORT53" s="10"/>
      <c r="ORU53" s="10"/>
      <c r="ORV53" s="10"/>
      <c r="ORW53" s="10"/>
      <c r="ORX53" s="10"/>
      <c r="ORY53" s="10"/>
      <c r="ORZ53" s="10"/>
      <c r="OSA53" s="10"/>
      <c r="OSB53" s="10"/>
      <c r="OSC53" s="10"/>
      <c r="OSD53" s="10"/>
      <c r="OSE53" s="10"/>
      <c r="OSF53" s="10"/>
      <c r="OSG53" s="10"/>
      <c r="OSH53" s="10"/>
      <c r="OSI53" s="10"/>
      <c r="OSJ53" s="10"/>
      <c r="OSK53" s="10"/>
      <c r="OSL53" s="10"/>
      <c r="OSM53" s="10"/>
      <c r="OSN53" s="10"/>
      <c r="OSO53" s="10"/>
      <c r="OSP53" s="10"/>
      <c r="OSQ53" s="10"/>
      <c r="OSR53" s="10"/>
      <c r="OSS53" s="10"/>
      <c r="OST53" s="10"/>
      <c r="OSU53" s="10"/>
      <c r="OSV53" s="10"/>
      <c r="OSW53" s="10"/>
      <c r="OSX53" s="10"/>
      <c r="OSY53" s="10"/>
      <c r="OSZ53" s="10"/>
      <c r="OTA53" s="10"/>
      <c r="OTB53" s="10"/>
      <c r="OTC53" s="10"/>
      <c r="OTD53" s="10"/>
      <c r="OTE53" s="10"/>
      <c r="OTF53" s="10"/>
      <c r="OTG53" s="10"/>
      <c r="OTH53" s="10"/>
      <c r="OTI53" s="10"/>
      <c r="OTJ53" s="10"/>
      <c r="OTK53" s="10"/>
      <c r="OTL53" s="10"/>
      <c r="OTM53" s="10"/>
      <c r="OTN53" s="10"/>
      <c r="OTO53" s="10"/>
      <c r="OTP53" s="10"/>
      <c r="OTQ53" s="10"/>
      <c r="OTR53" s="10"/>
      <c r="OTS53" s="10"/>
      <c r="OTT53" s="10"/>
      <c r="OTU53" s="10"/>
      <c r="OTV53" s="10"/>
      <c r="OTW53" s="10"/>
      <c r="OTX53" s="10"/>
      <c r="OTY53" s="10"/>
      <c r="OTZ53" s="10"/>
      <c r="OUA53" s="10"/>
      <c r="OUB53" s="10"/>
      <c r="OUC53" s="10"/>
      <c r="OUD53" s="10"/>
      <c r="OUE53" s="10"/>
      <c r="OUF53" s="10"/>
      <c r="OUG53" s="10"/>
      <c r="OUH53" s="10"/>
      <c r="OUI53" s="10"/>
      <c r="OUJ53" s="10"/>
      <c r="OUK53" s="10"/>
      <c r="OUL53" s="10"/>
      <c r="OUM53" s="10"/>
      <c r="OUN53" s="10"/>
      <c r="OUO53" s="10"/>
      <c r="OUP53" s="10"/>
      <c r="OUQ53" s="10"/>
      <c r="OUR53" s="10"/>
      <c r="OUS53" s="10"/>
      <c r="OUT53" s="10"/>
      <c r="OUU53" s="10"/>
      <c r="OUV53" s="10"/>
      <c r="OUW53" s="10"/>
      <c r="OUX53" s="10"/>
      <c r="OUY53" s="10"/>
      <c r="OUZ53" s="10"/>
      <c r="OVA53" s="10"/>
      <c r="OVB53" s="10"/>
      <c r="OVC53" s="10"/>
      <c r="OVD53" s="10"/>
      <c r="OVE53" s="10"/>
      <c r="OVF53" s="10"/>
      <c r="OVG53" s="10"/>
      <c r="OVH53" s="10"/>
      <c r="OVI53" s="10"/>
      <c r="OVJ53" s="10"/>
      <c r="OVK53" s="10"/>
      <c r="OVL53" s="10"/>
      <c r="OVM53" s="10"/>
      <c r="OVN53" s="10"/>
      <c r="OVO53" s="10"/>
      <c r="OVP53" s="10"/>
      <c r="OVQ53" s="10"/>
      <c r="OVR53" s="10"/>
      <c r="OVS53" s="10"/>
      <c r="OVT53" s="10"/>
      <c r="OVU53" s="10"/>
      <c r="OVV53" s="10"/>
      <c r="OVW53" s="10"/>
      <c r="OVX53" s="10"/>
      <c r="OVY53" s="10"/>
      <c r="OVZ53" s="10"/>
      <c r="OWA53" s="10"/>
      <c r="OWB53" s="10"/>
      <c r="OWC53" s="10"/>
      <c r="OWD53" s="10"/>
      <c r="OWE53" s="10"/>
      <c r="OWF53" s="10"/>
      <c r="OWG53" s="10"/>
      <c r="OWH53" s="10"/>
      <c r="OWI53" s="10"/>
      <c r="OWJ53" s="10"/>
      <c r="OWK53" s="10"/>
      <c r="OWL53" s="10"/>
      <c r="OWM53" s="10"/>
      <c r="OWN53" s="10"/>
      <c r="OWO53" s="10"/>
      <c r="OWP53" s="10"/>
      <c r="OWQ53" s="10"/>
      <c r="OWR53" s="10"/>
      <c r="OWS53" s="10"/>
      <c r="OWT53" s="10"/>
      <c r="OWU53" s="10"/>
      <c r="OWV53" s="10"/>
      <c r="OWW53" s="10"/>
      <c r="OWX53" s="10"/>
      <c r="OWY53" s="10"/>
      <c r="OWZ53" s="10"/>
      <c r="OXA53" s="10"/>
      <c r="OXB53" s="10"/>
      <c r="OXC53" s="10"/>
      <c r="OXD53" s="10"/>
      <c r="OXE53" s="10"/>
      <c r="OXF53" s="10"/>
      <c r="OXG53" s="10"/>
      <c r="OXH53" s="10"/>
      <c r="OXI53" s="10"/>
      <c r="OXJ53" s="10"/>
      <c r="OXK53" s="10"/>
      <c r="OXL53" s="10"/>
      <c r="OXM53" s="10"/>
      <c r="OXN53" s="10"/>
      <c r="OXO53" s="10"/>
      <c r="OXP53" s="10"/>
      <c r="OXQ53" s="10"/>
      <c r="OXR53" s="10"/>
      <c r="OXS53" s="10"/>
      <c r="OXT53" s="10"/>
      <c r="OXU53" s="10"/>
      <c r="OXV53" s="10"/>
      <c r="OXW53" s="10"/>
      <c r="OXX53" s="10"/>
      <c r="OXY53" s="10"/>
      <c r="OXZ53" s="10"/>
      <c r="OYA53" s="10"/>
      <c r="OYB53" s="10"/>
      <c r="OYC53" s="10"/>
      <c r="OYD53" s="10"/>
      <c r="OYE53" s="10"/>
      <c r="OYF53" s="10"/>
      <c r="OYG53" s="10"/>
      <c r="OYH53" s="10"/>
      <c r="OYI53" s="10"/>
      <c r="OYJ53" s="10"/>
      <c r="OYK53" s="10"/>
      <c r="OYL53" s="10"/>
      <c r="OYM53" s="10"/>
      <c r="OYN53" s="10"/>
      <c r="OYO53" s="10"/>
      <c r="OYP53" s="10"/>
      <c r="OYQ53" s="10"/>
      <c r="OYR53" s="10"/>
      <c r="OYS53" s="10"/>
      <c r="OYT53" s="10"/>
      <c r="OYU53" s="10"/>
      <c r="OYV53" s="10"/>
      <c r="OYW53" s="10"/>
      <c r="OYX53" s="10"/>
      <c r="OYY53" s="10"/>
      <c r="OYZ53" s="10"/>
      <c r="OZA53" s="10"/>
      <c r="OZB53" s="10"/>
      <c r="OZC53" s="10"/>
      <c r="OZD53" s="10"/>
      <c r="OZE53" s="10"/>
      <c r="OZF53" s="10"/>
      <c r="OZG53" s="10"/>
      <c r="OZH53" s="10"/>
      <c r="OZI53" s="10"/>
      <c r="OZJ53" s="10"/>
      <c r="OZK53" s="10"/>
      <c r="OZL53" s="10"/>
      <c r="OZM53" s="10"/>
      <c r="OZN53" s="10"/>
      <c r="OZO53" s="10"/>
      <c r="OZP53" s="10"/>
      <c r="OZQ53" s="10"/>
      <c r="OZR53" s="10"/>
      <c r="OZS53" s="10"/>
      <c r="OZT53" s="10"/>
      <c r="OZU53" s="10"/>
      <c r="OZV53" s="10"/>
      <c r="OZW53" s="10"/>
      <c r="OZX53" s="10"/>
      <c r="OZY53" s="10"/>
      <c r="OZZ53" s="10"/>
      <c r="PAA53" s="10"/>
      <c r="PAB53" s="10"/>
      <c r="PAC53" s="10"/>
      <c r="PAD53" s="10"/>
      <c r="PAE53" s="10"/>
      <c r="PAF53" s="10"/>
      <c r="PAG53" s="10"/>
      <c r="PAH53" s="10"/>
      <c r="PAI53" s="10"/>
      <c r="PAJ53" s="10"/>
      <c r="PAK53" s="10"/>
      <c r="PAL53" s="10"/>
      <c r="PAM53" s="10"/>
      <c r="PAN53" s="10"/>
      <c r="PAO53" s="10"/>
      <c r="PAP53" s="10"/>
      <c r="PAQ53" s="10"/>
      <c r="PAR53" s="10"/>
      <c r="PAS53" s="10"/>
      <c r="PAT53" s="10"/>
      <c r="PAU53" s="10"/>
      <c r="PAV53" s="10"/>
      <c r="PAW53" s="10"/>
      <c r="PAX53" s="10"/>
      <c r="PAY53" s="10"/>
      <c r="PAZ53" s="10"/>
      <c r="PBA53" s="10"/>
      <c r="PBB53" s="10"/>
      <c r="PBC53" s="10"/>
      <c r="PBD53" s="10"/>
      <c r="PBE53" s="10"/>
      <c r="PBF53" s="10"/>
      <c r="PBG53" s="10"/>
      <c r="PBH53" s="10"/>
      <c r="PBI53" s="10"/>
      <c r="PBJ53" s="10"/>
      <c r="PBK53" s="10"/>
      <c r="PBL53" s="10"/>
      <c r="PBM53" s="10"/>
      <c r="PBN53" s="10"/>
      <c r="PBO53" s="10"/>
      <c r="PBP53" s="10"/>
      <c r="PBQ53" s="10"/>
      <c r="PBR53" s="10"/>
      <c r="PBS53" s="10"/>
      <c r="PBT53" s="10"/>
      <c r="PBU53" s="10"/>
      <c r="PBV53" s="10"/>
      <c r="PBW53" s="10"/>
      <c r="PBX53" s="10"/>
      <c r="PBY53" s="10"/>
      <c r="PBZ53" s="10"/>
      <c r="PCA53" s="10"/>
      <c r="PCB53" s="10"/>
      <c r="PCC53" s="10"/>
      <c r="PCD53" s="10"/>
      <c r="PCE53" s="10"/>
      <c r="PCF53" s="10"/>
      <c r="PCG53" s="10"/>
      <c r="PCH53" s="10"/>
      <c r="PCI53" s="10"/>
      <c r="PCJ53" s="10"/>
      <c r="PCK53" s="10"/>
      <c r="PCL53" s="10"/>
      <c r="PCM53" s="10"/>
      <c r="PCN53" s="10"/>
      <c r="PCO53" s="10"/>
      <c r="PCP53" s="10"/>
      <c r="PCQ53" s="10"/>
      <c r="PCR53" s="10"/>
      <c r="PCS53" s="10"/>
      <c r="PCT53" s="10"/>
      <c r="PCU53" s="10"/>
      <c r="PCV53" s="10"/>
      <c r="PCW53" s="10"/>
      <c r="PCX53" s="10"/>
      <c r="PCY53" s="10"/>
      <c r="PCZ53" s="10"/>
      <c r="PDA53" s="10"/>
      <c r="PDB53" s="10"/>
      <c r="PDC53" s="10"/>
      <c r="PDD53" s="10"/>
      <c r="PDE53" s="10"/>
      <c r="PDF53" s="10"/>
      <c r="PDG53" s="10"/>
      <c r="PDH53" s="10"/>
      <c r="PDI53" s="10"/>
      <c r="PDJ53" s="10"/>
      <c r="PDK53" s="10"/>
      <c r="PDL53" s="10"/>
      <c r="PDM53" s="10"/>
      <c r="PDN53" s="10"/>
      <c r="PDO53" s="10"/>
      <c r="PDP53" s="10"/>
      <c r="PDQ53" s="10"/>
      <c r="PDR53" s="10"/>
      <c r="PDS53" s="10"/>
      <c r="PDT53" s="10"/>
      <c r="PDU53" s="10"/>
      <c r="PDV53" s="10"/>
      <c r="PDW53" s="10"/>
      <c r="PDX53" s="10"/>
      <c r="PDY53" s="10"/>
      <c r="PDZ53" s="10"/>
      <c r="PEA53" s="10"/>
      <c r="PEB53" s="10"/>
      <c r="PEC53" s="10"/>
      <c r="PED53" s="10"/>
      <c r="PEE53" s="10"/>
      <c r="PEF53" s="10"/>
      <c r="PEG53" s="10"/>
      <c r="PEH53" s="10"/>
      <c r="PEI53" s="10"/>
      <c r="PEJ53" s="10"/>
      <c r="PEK53" s="10"/>
      <c r="PEL53" s="10"/>
      <c r="PEM53" s="10"/>
      <c r="PEN53" s="10"/>
      <c r="PEO53" s="10"/>
      <c r="PEP53" s="10"/>
      <c r="PEQ53" s="10"/>
      <c r="PER53" s="10"/>
      <c r="PES53" s="10"/>
      <c r="PET53" s="10"/>
      <c r="PEU53" s="10"/>
      <c r="PEV53" s="10"/>
      <c r="PEW53" s="10"/>
      <c r="PEX53" s="10"/>
      <c r="PEY53" s="10"/>
      <c r="PEZ53" s="10"/>
      <c r="PFA53" s="10"/>
      <c r="PFB53" s="10"/>
      <c r="PFC53" s="10"/>
      <c r="PFD53" s="10"/>
      <c r="PFE53" s="10"/>
      <c r="PFF53" s="10"/>
      <c r="PFG53" s="10"/>
      <c r="PFH53" s="10"/>
      <c r="PFI53" s="10"/>
      <c r="PFJ53" s="10"/>
      <c r="PFK53" s="10"/>
      <c r="PFL53" s="10"/>
      <c r="PFM53" s="10"/>
      <c r="PFN53" s="10"/>
      <c r="PFO53" s="10"/>
      <c r="PFP53" s="10"/>
      <c r="PFQ53" s="10"/>
      <c r="PFR53" s="10"/>
      <c r="PFS53" s="10"/>
      <c r="PFT53" s="10"/>
      <c r="PFU53" s="10"/>
      <c r="PFV53" s="10"/>
      <c r="PFW53" s="10"/>
      <c r="PFX53" s="10"/>
      <c r="PFY53" s="10"/>
      <c r="PFZ53" s="10"/>
      <c r="PGA53" s="10"/>
      <c r="PGB53" s="10"/>
      <c r="PGC53" s="10"/>
      <c r="PGD53" s="10"/>
      <c r="PGE53" s="10"/>
      <c r="PGF53" s="10"/>
      <c r="PGG53" s="10"/>
      <c r="PGH53" s="10"/>
      <c r="PGI53" s="10"/>
      <c r="PGJ53" s="10"/>
      <c r="PGK53" s="10"/>
      <c r="PGL53" s="10"/>
      <c r="PGM53" s="10"/>
      <c r="PGN53" s="10"/>
      <c r="PGO53" s="10"/>
      <c r="PGP53" s="10"/>
      <c r="PGQ53" s="10"/>
      <c r="PGR53" s="10"/>
      <c r="PGS53" s="10"/>
      <c r="PGT53" s="10"/>
      <c r="PGU53" s="10"/>
      <c r="PGV53" s="10"/>
      <c r="PGW53" s="10"/>
      <c r="PGX53" s="10"/>
      <c r="PGY53" s="10"/>
      <c r="PGZ53" s="10"/>
      <c r="PHA53" s="10"/>
      <c r="PHB53" s="10"/>
      <c r="PHC53" s="10"/>
      <c r="PHD53" s="10"/>
      <c r="PHE53" s="10"/>
      <c r="PHF53" s="10"/>
      <c r="PHG53" s="10"/>
      <c r="PHH53" s="10"/>
      <c r="PHI53" s="10"/>
      <c r="PHJ53" s="10"/>
      <c r="PHK53" s="10"/>
      <c r="PHL53" s="10"/>
      <c r="PHM53" s="10"/>
      <c r="PHN53" s="10"/>
      <c r="PHO53" s="10"/>
      <c r="PHP53" s="10"/>
      <c r="PHQ53" s="10"/>
      <c r="PHR53" s="10"/>
      <c r="PHS53" s="10"/>
      <c r="PHT53" s="10"/>
      <c r="PHU53" s="10"/>
      <c r="PHV53" s="10"/>
      <c r="PHW53" s="10"/>
      <c r="PHX53" s="10"/>
      <c r="PHY53" s="10"/>
      <c r="PHZ53" s="10"/>
      <c r="PIA53" s="10"/>
      <c r="PIB53" s="10"/>
      <c r="PIC53" s="10"/>
      <c r="PID53" s="10"/>
      <c r="PIE53" s="10"/>
      <c r="PIF53" s="10"/>
      <c r="PIG53" s="10"/>
      <c r="PIH53" s="10"/>
      <c r="PII53" s="10"/>
      <c r="PIJ53" s="10"/>
      <c r="PIK53" s="10"/>
      <c r="PIL53" s="10"/>
      <c r="PIM53" s="10"/>
      <c r="PIN53" s="10"/>
      <c r="PIO53" s="10"/>
      <c r="PIP53" s="10"/>
      <c r="PIQ53" s="10"/>
      <c r="PIR53" s="10"/>
      <c r="PIS53" s="10"/>
      <c r="PIT53" s="10"/>
      <c r="PIU53" s="10"/>
      <c r="PIV53" s="10"/>
      <c r="PIW53" s="10"/>
      <c r="PIX53" s="10"/>
      <c r="PIY53" s="10"/>
      <c r="PIZ53" s="10"/>
      <c r="PJA53" s="10"/>
      <c r="PJB53" s="10"/>
      <c r="PJC53" s="10"/>
      <c r="PJD53" s="10"/>
      <c r="PJE53" s="10"/>
      <c r="PJF53" s="10"/>
      <c r="PJG53" s="10"/>
      <c r="PJH53" s="10"/>
      <c r="PJI53" s="10"/>
      <c r="PJJ53" s="10"/>
      <c r="PJK53" s="10"/>
      <c r="PJL53" s="10"/>
      <c r="PJM53" s="10"/>
      <c r="PJN53" s="10"/>
      <c r="PJO53" s="10"/>
      <c r="PJP53" s="10"/>
      <c r="PJQ53" s="10"/>
      <c r="PJR53" s="10"/>
      <c r="PJS53" s="10"/>
      <c r="PJT53" s="10"/>
      <c r="PJU53" s="10"/>
      <c r="PJV53" s="10"/>
      <c r="PJW53" s="10"/>
      <c r="PJX53" s="10"/>
      <c r="PJY53" s="10"/>
      <c r="PJZ53" s="10"/>
      <c r="PKA53" s="10"/>
      <c r="PKB53" s="10"/>
      <c r="PKC53" s="10"/>
      <c r="PKD53" s="10"/>
      <c r="PKE53" s="10"/>
      <c r="PKF53" s="10"/>
      <c r="PKG53" s="10"/>
      <c r="PKH53" s="10"/>
      <c r="PKI53" s="10"/>
      <c r="PKJ53" s="10"/>
      <c r="PKK53" s="10"/>
      <c r="PKL53" s="10"/>
      <c r="PKM53" s="10"/>
      <c r="PKN53" s="10"/>
      <c r="PKO53" s="10"/>
      <c r="PKP53" s="10"/>
      <c r="PKQ53" s="10"/>
      <c r="PKR53" s="10"/>
      <c r="PKS53" s="10"/>
      <c r="PKT53" s="10"/>
      <c r="PKU53" s="10"/>
      <c r="PKV53" s="10"/>
      <c r="PKW53" s="10"/>
      <c r="PKX53" s="10"/>
      <c r="PKY53" s="10"/>
      <c r="PKZ53" s="10"/>
      <c r="PLA53" s="10"/>
      <c r="PLB53" s="10"/>
      <c r="PLC53" s="10"/>
      <c r="PLD53" s="10"/>
      <c r="PLE53" s="10"/>
      <c r="PLF53" s="10"/>
      <c r="PLG53" s="10"/>
      <c r="PLH53" s="10"/>
      <c r="PLI53" s="10"/>
      <c r="PLJ53" s="10"/>
      <c r="PLK53" s="10"/>
      <c r="PLL53" s="10"/>
      <c r="PLM53" s="10"/>
      <c r="PLN53" s="10"/>
      <c r="PLO53" s="10"/>
      <c r="PLP53" s="10"/>
      <c r="PLQ53" s="10"/>
      <c r="PLR53" s="10"/>
      <c r="PLS53" s="10"/>
      <c r="PLT53" s="10"/>
      <c r="PLU53" s="10"/>
      <c r="PLV53" s="10"/>
      <c r="PLW53" s="10"/>
      <c r="PLX53" s="10"/>
      <c r="PLY53" s="10"/>
      <c r="PLZ53" s="10"/>
      <c r="PMA53" s="10"/>
      <c r="PMB53" s="10"/>
      <c r="PMC53" s="10"/>
      <c r="PMD53" s="10"/>
      <c r="PME53" s="10"/>
      <c r="PMF53" s="10"/>
      <c r="PMG53" s="10"/>
      <c r="PMH53" s="10"/>
      <c r="PMI53" s="10"/>
      <c r="PMJ53" s="10"/>
      <c r="PMK53" s="10"/>
      <c r="PML53" s="10"/>
      <c r="PMM53" s="10"/>
      <c r="PMN53" s="10"/>
      <c r="PMO53" s="10"/>
      <c r="PMP53" s="10"/>
      <c r="PMQ53" s="10"/>
      <c r="PMR53" s="10"/>
      <c r="PMS53" s="10"/>
      <c r="PMT53" s="10"/>
      <c r="PMU53" s="10"/>
      <c r="PMV53" s="10"/>
      <c r="PMW53" s="10"/>
      <c r="PMX53" s="10"/>
      <c r="PMY53" s="10"/>
      <c r="PMZ53" s="10"/>
      <c r="PNA53" s="10"/>
      <c r="PNB53" s="10"/>
      <c r="PNC53" s="10"/>
      <c r="PND53" s="10"/>
      <c r="PNE53" s="10"/>
      <c r="PNF53" s="10"/>
      <c r="PNG53" s="10"/>
      <c r="PNH53" s="10"/>
      <c r="PNI53" s="10"/>
      <c r="PNJ53" s="10"/>
      <c r="PNK53" s="10"/>
      <c r="PNL53" s="10"/>
      <c r="PNM53" s="10"/>
      <c r="PNN53" s="10"/>
      <c r="PNO53" s="10"/>
      <c r="PNP53" s="10"/>
      <c r="PNQ53" s="10"/>
      <c r="PNR53" s="10"/>
      <c r="PNS53" s="10"/>
      <c r="PNT53" s="10"/>
      <c r="PNU53" s="10"/>
      <c r="PNV53" s="10"/>
      <c r="PNW53" s="10"/>
      <c r="PNX53" s="10"/>
      <c r="PNY53" s="10"/>
      <c r="PNZ53" s="10"/>
      <c r="POA53" s="10"/>
      <c r="POB53" s="10"/>
      <c r="POC53" s="10"/>
      <c r="POD53" s="10"/>
      <c r="POE53" s="10"/>
      <c r="POF53" s="10"/>
      <c r="POG53" s="10"/>
      <c r="POH53" s="10"/>
      <c r="POI53" s="10"/>
      <c r="POJ53" s="10"/>
      <c r="POK53" s="10"/>
      <c r="POL53" s="10"/>
      <c r="POM53" s="10"/>
      <c r="PON53" s="10"/>
      <c r="POO53" s="10"/>
      <c r="POP53" s="10"/>
      <c r="POQ53" s="10"/>
      <c r="POR53" s="10"/>
      <c r="POS53" s="10"/>
      <c r="POT53" s="10"/>
      <c r="POU53" s="10"/>
      <c r="POV53" s="10"/>
      <c r="POW53" s="10"/>
      <c r="POX53" s="10"/>
      <c r="POY53" s="10"/>
      <c r="POZ53" s="10"/>
      <c r="PPA53" s="10"/>
      <c r="PPB53" s="10"/>
      <c r="PPC53" s="10"/>
      <c r="PPD53" s="10"/>
      <c r="PPE53" s="10"/>
      <c r="PPF53" s="10"/>
      <c r="PPG53" s="10"/>
      <c r="PPH53" s="10"/>
      <c r="PPI53" s="10"/>
      <c r="PPJ53" s="10"/>
      <c r="PPK53" s="10"/>
      <c r="PPL53" s="10"/>
      <c r="PPM53" s="10"/>
      <c r="PPN53" s="10"/>
      <c r="PPO53" s="10"/>
      <c r="PPP53" s="10"/>
      <c r="PPQ53" s="10"/>
      <c r="PPR53" s="10"/>
      <c r="PPS53" s="10"/>
      <c r="PPT53" s="10"/>
      <c r="PPU53" s="10"/>
      <c r="PPV53" s="10"/>
      <c r="PPW53" s="10"/>
      <c r="PPX53" s="10"/>
      <c r="PPY53" s="10"/>
      <c r="PPZ53" s="10"/>
      <c r="PQA53" s="10"/>
      <c r="PQB53" s="10"/>
      <c r="PQC53" s="10"/>
      <c r="PQD53" s="10"/>
      <c r="PQE53" s="10"/>
      <c r="PQF53" s="10"/>
      <c r="PQG53" s="10"/>
      <c r="PQH53" s="10"/>
      <c r="PQI53" s="10"/>
      <c r="PQJ53" s="10"/>
      <c r="PQK53" s="10"/>
      <c r="PQL53" s="10"/>
      <c r="PQM53" s="10"/>
      <c r="PQN53" s="10"/>
      <c r="PQO53" s="10"/>
      <c r="PQP53" s="10"/>
      <c r="PQQ53" s="10"/>
      <c r="PQR53" s="10"/>
      <c r="PQS53" s="10"/>
      <c r="PQT53" s="10"/>
      <c r="PQU53" s="10"/>
      <c r="PQV53" s="10"/>
      <c r="PQW53" s="10"/>
      <c r="PQX53" s="10"/>
      <c r="PQY53" s="10"/>
      <c r="PQZ53" s="10"/>
      <c r="PRA53" s="10"/>
      <c r="PRB53" s="10"/>
      <c r="PRC53" s="10"/>
      <c r="PRD53" s="10"/>
      <c r="PRE53" s="10"/>
      <c r="PRF53" s="10"/>
      <c r="PRG53" s="10"/>
      <c r="PRH53" s="10"/>
      <c r="PRI53" s="10"/>
      <c r="PRJ53" s="10"/>
      <c r="PRK53" s="10"/>
      <c r="PRL53" s="10"/>
      <c r="PRM53" s="10"/>
      <c r="PRN53" s="10"/>
      <c r="PRO53" s="10"/>
      <c r="PRP53" s="10"/>
      <c r="PRQ53" s="10"/>
      <c r="PRR53" s="10"/>
      <c r="PRS53" s="10"/>
      <c r="PRT53" s="10"/>
      <c r="PRU53" s="10"/>
      <c r="PRV53" s="10"/>
      <c r="PRW53" s="10"/>
      <c r="PRX53" s="10"/>
      <c r="PRY53" s="10"/>
      <c r="PRZ53" s="10"/>
      <c r="PSA53" s="10"/>
      <c r="PSB53" s="10"/>
      <c r="PSC53" s="10"/>
      <c r="PSD53" s="10"/>
      <c r="PSE53" s="10"/>
      <c r="PSF53" s="10"/>
      <c r="PSG53" s="10"/>
      <c r="PSH53" s="10"/>
      <c r="PSI53" s="10"/>
      <c r="PSJ53" s="10"/>
      <c r="PSK53" s="10"/>
      <c r="PSL53" s="10"/>
      <c r="PSM53" s="10"/>
      <c r="PSN53" s="10"/>
      <c r="PSO53" s="10"/>
      <c r="PSP53" s="10"/>
      <c r="PSQ53" s="10"/>
      <c r="PSR53" s="10"/>
      <c r="PSS53" s="10"/>
      <c r="PST53" s="10"/>
      <c r="PSU53" s="10"/>
      <c r="PSV53" s="10"/>
      <c r="PSW53" s="10"/>
      <c r="PSX53" s="10"/>
      <c r="PSY53" s="10"/>
      <c r="PSZ53" s="10"/>
      <c r="PTA53" s="10"/>
      <c r="PTB53" s="10"/>
      <c r="PTC53" s="10"/>
      <c r="PTD53" s="10"/>
      <c r="PTE53" s="10"/>
      <c r="PTF53" s="10"/>
      <c r="PTG53" s="10"/>
      <c r="PTH53" s="10"/>
      <c r="PTI53" s="10"/>
      <c r="PTJ53" s="10"/>
      <c r="PTK53" s="10"/>
      <c r="PTL53" s="10"/>
      <c r="PTM53" s="10"/>
      <c r="PTN53" s="10"/>
      <c r="PTO53" s="10"/>
      <c r="PTP53" s="10"/>
      <c r="PTQ53" s="10"/>
      <c r="PTR53" s="10"/>
      <c r="PTS53" s="10"/>
      <c r="PTT53" s="10"/>
      <c r="PTU53" s="10"/>
      <c r="PTV53" s="10"/>
      <c r="PTW53" s="10"/>
      <c r="PTX53" s="10"/>
      <c r="PTY53" s="10"/>
      <c r="PTZ53" s="10"/>
      <c r="PUA53" s="10"/>
      <c r="PUB53" s="10"/>
      <c r="PUC53" s="10"/>
      <c r="PUD53" s="10"/>
      <c r="PUE53" s="10"/>
      <c r="PUF53" s="10"/>
      <c r="PUG53" s="10"/>
      <c r="PUH53" s="10"/>
      <c r="PUI53" s="10"/>
      <c r="PUJ53" s="10"/>
      <c r="PUK53" s="10"/>
      <c r="PUL53" s="10"/>
      <c r="PUM53" s="10"/>
      <c r="PUN53" s="10"/>
      <c r="PUO53" s="10"/>
      <c r="PUP53" s="10"/>
      <c r="PUQ53" s="10"/>
      <c r="PUR53" s="10"/>
      <c r="PUS53" s="10"/>
      <c r="PUT53" s="10"/>
      <c r="PUU53" s="10"/>
      <c r="PUV53" s="10"/>
      <c r="PUW53" s="10"/>
      <c r="PUX53" s="10"/>
      <c r="PUY53" s="10"/>
      <c r="PUZ53" s="10"/>
      <c r="PVA53" s="10"/>
      <c r="PVB53" s="10"/>
      <c r="PVC53" s="10"/>
      <c r="PVD53" s="10"/>
      <c r="PVE53" s="10"/>
      <c r="PVF53" s="10"/>
      <c r="PVG53" s="10"/>
      <c r="PVH53" s="10"/>
      <c r="PVI53" s="10"/>
      <c r="PVJ53" s="10"/>
      <c r="PVK53" s="10"/>
      <c r="PVL53" s="10"/>
      <c r="PVM53" s="10"/>
      <c r="PVN53" s="10"/>
      <c r="PVO53" s="10"/>
      <c r="PVP53" s="10"/>
      <c r="PVQ53" s="10"/>
      <c r="PVR53" s="10"/>
      <c r="PVS53" s="10"/>
      <c r="PVT53" s="10"/>
      <c r="PVU53" s="10"/>
      <c r="PVV53" s="10"/>
      <c r="PVW53" s="10"/>
      <c r="PVX53" s="10"/>
      <c r="PVY53" s="10"/>
      <c r="PVZ53" s="10"/>
      <c r="PWA53" s="10"/>
      <c r="PWB53" s="10"/>
      <c r="PWC53" s="10"/>
      <c r="PWD53" s="10"/>
      <c r="PWE53" s="10"/>
      <c r="PWF53" s="10"/>
      <c r="PWG53" s="10"/>
      <c r="PWH53" s="10"/>
      <c r="PWI53" s="10"/>
      <c r="PWJ53" s="10"/>
      <c r="PWK53" s="10"/>
      <c r="PWL53" s="10"/>
      <c r="PWM53" s="10"/>
      <c r="PWN53" s="10"/>
      <c r="PWO53" s="10"/>
      <c r="PWP53" s="10"/>
      <c r="PWQ53" s="10"/>
      <c r="PWR53" s="10"/>
      <c r="PWS53" s="10"/>
      <c r="PWT53" s="10"/>
      <c r="PWU53" s="10"/>
      <c r="PWV53" s="10"/>
      <c r="PWW53" s="10"/>
      <c r="PWX53" s="10"/>
      <c r="PWY53" s="10"/>
      <c r="PWZ53" s="10"/>
      <c r="PXA53" s="10"/>
      <c r="PXB53" s="10"/>
      <c r="PXC53" s="10"/>
      <c r="PXD53" s="10"/>
      <c r="PXE53" s="10"/>
      <c r="PXF53" s="10"/>
      <c r="PXG53" s="10"/>
      <c r="PXH53" s="10"/>
      <c r="PXI53" s="10"/>
      <c r="PXJ53" s="10"/>
      <c r="PXK53" s="10"/>
      <c r="PXL53" s="10"/>
      <c r="PXM53" s="10"/>
      <c r="PXN53" s="10"/>
      <c r="PXO53" s="10"/>
      <c r="PXP53" s="10"/>
      <c r="PXQ53" s="10"/>
      <c r="PXR53" s="10"/>
      <c r="PXS53" s="10"/>
      <c r="PXT53" s="10"/>
      <c r="PXU53" s="10"/>
      <c r="PXV53" s="10"/>
      <c r="PXW53" s="10"/>
      <c r="PXX53" s="10"/>
      <c r="PXY53" s="10"/>
      <c r="PXZ53" s="10"/>
      <c r="PYA53" s="10"/>
      <c r="PYB53" s="10"/>
      <c r="PYC53" s="10"/>
      <c r="PYD53" s="10"/>
      <c r="PYE53" s="10"/>
      <c r="PYF53" s="10"/>
      <c r="PYG53" s="10"/>
      <c r="PYH53" s="10"/>
      <c r="PYI53" s="10"/>
      <c r="PYJ53" s="10"/>
      <c r="PYK53" s="10"/>
      <c r="PYL53" s="10"/>
      <c r="PYM53" s="10"/>
      <c r="PYN53" s="10"/>
      <c r="PYO53" s="10"/>
      <c r="PYP53" s="10"/>
      <c r="PYQ53" s="10"/>
      <c r="PYR53" s="10"/>
      <c r="PYS53" s="10"/>
      <c r="PYT53" s="10"/>
      <c r="PYU53" s="10"/>
      <c r="PYV53" s="10"/>
      <c r="PYW53" s="10"/>
      <c r="PYX53" s="10"/>
      <c r="PYY53" s="10"/>
      <c r="PYZ53" s="10"/>
      <c r="PZA53" s="10"/>
      <c r="PZB53" s="10"/>
      <c r="PZC53" s="10"/>
      <c r="PZD53" s="10"/>
      <c r="PZE53" s="10"/>
      <c r="PZF53" s="10"/>
      <c r="PZG53" s="10"/>
      <c r="PZH53" s="10"/>
      <c r="PZI53" s="10"/>
      <c r="PZJ53" s="10"/>
      <c r="PZK53" s="10"/>
      <c r="PZL53" s="10"/>
      <c r="PZM53" s="10"/>
      <c r="PZN53" s="10"/>
      <c r="PZO53" s="10"/>
      <c r="PZP53" s="10"/>
      <c r="PZQ53" s="10"/>
      <c r="PZR53" s="10"/>
      <c r="PZS53" s="10"/>
      <c r="PZT53" s="10"/>
      <c r="PZU53" s="10"/>
      <c r="PZV53" s="10"/>
      <c r="PZW53" s="10"/>
      <c r="PZX53" s="10"/>
      <c r="PZY53" s="10"/>
      <c r="PZZ53" s="10"/>
      <c r="QAA53" s="10"/>
      <c r="QAB53" s="10"/>
      <c r="QAC53" s="10"/>
      <c r="QAD53" s="10"/>
      <c r="QAE53" s="10"/>
      <c r="QAF53" s="10"/>
      <c r="QAG53" s="10"/>
      <c r="QAH53" s="10"/>
      <c r="QAI53" s="10"/>
      <c r="QAJ53" s="10"/>
      <c r="QAK53" s="10"/>
      <c r="QAL53" s="10"/>
      <c r="QAM53" s="10"/>
      <c r="QAN53" s="10"/>
      <c r="QAO53" s="10"/>
      <c r="QAP53" s="10"/>
      <c r="QAQ53" s="10"/>
      <c r="QAR53" s="10"/>
      <c r="QAS53" s="10"/>
      <c r="QAT53" s="10"/>
      <c r="QAU53" s="10"/>
      <c r="QAV53" s="10"/>
      <c r="QAW53" s="10"/>
      <c r="QAX53" s="10"/>
      <c r="QAY53" s="10"/>
      <c r="QAZ53" s="10"/>
      <c r="QBA53" s="10"/>
      <c r="QBB53" s="10"/>
      <c r="QBC53" s="10"/>
      <c r="QBD53" s="10"/>
      <c r="QBE53" s="10"/>
      <c r="QBF53" s="10"/>
      <c r="QBG53" s="10"/>
      <c r="QBH53" s="10"/>
      <c r="QBI53" s="10"/>
      <c r="QBJ53" s="10"/>
      <c r="QBK53" s="10"/>
      <c r="QBL53" s="10"/>
      <c r="QBM53" s="10"/>
      <c r="QBN53" s="10"/>
      <c r="QBO53" s="10"/>
      <c r="QBP53" s="10"/>
      <c r="QBQ53" s="10"/>
      <c r="QBR53" s="10"/>
      <c r="QBS53" s="10"/>
      <c r="QBT53" s="10"/>
      <c r="QBU53" s="10"/>
      <c r="QBV53" s="10"/>
      <c r="QBW53" s="10"/>
      <c r="QBX53" s="10"/>
      <c r="QBY53" s="10"/>
      <c r="QBZ53" s="10"/>
      <c r="QCA53" s="10"/>
      <c r="QCB53" s="10"/>
      <c r="QCC53" s="10"/>
      <c r="QCD53" s="10"/>
      <c r="QCE53" s="10"/>
      <c r="QCF53" s="10"/>
      <c r="QCG53" s="10"/>
      <c r="QCH53" s="10"/>
      <c r="QCI53" s="10"/>
      <c r="QCJ53" s="10"/>
      <c r="QCK53" s="10"/>
      <c r="QCL53" s="10"/>
      <c r="QCM53" s="10"/>
      <c r="QCN53" s="10"/>
      <c r="QCO53" s="10"/>
      <c r="QCP53" s="10"/>
      <c r="QCQ53" s="10"/>
      <c r="QCR53" s="10"/>
      <c r="QCS53" s="10"/>
      <c r="QCT53" s="10"/>
      <c r="QCU53" s="10"/>
      <c r="QCV53" s="10"/>
      <c r="QCW53" s="10"/>
      <c r="QCX53" s="10"/>
      <c r="QCY53" s="10"/>
      <c r="QCZ53" s="10"/>
      <c r="QDA53" s="10"/>
      <c r="QDB53" s="10"/>
      <c r="QDC53" s="10"/>
      <c r="QDD53" s="10"/>
      <c r="QDE53" s="10"/>
      <c r="QDF53" s="10"/>
      <c r="QDG53" s="10"/>
      <c r="QDH53" s="10"/>
      <c r="QDI53" s="10"/>
      <c r="QDJ53" s="10"/>
      <c r="QDK53" s="10"/>
      <c r="QDL53" s="10"/>
      <c r="QDM53" s="10"/>
      <c r="QDN53" s="10"/>
      <c r="QDO53" s="10"/>
      <c r="QDP53" s="10"/>
      <c r="QDQ53" s="10"/>
      <c r="QDR53" s="10"/>
      <c r="QDS53" s="10"/>
      <c r="QDT53" s="10"/>
      <c r="QDU53" s="10"/>
      <c r="QDV53" s="10"/>
      <c r="QDW53" s="10"/>
      <c r="QDX53" s="10"/>
      <c r="QDY53" s="10"/>
      <c r="QDZ53" s="10"/>
      <c r="QEA53" s="10"/>
      <c r="QEB53" s="10"/>
      <c r="QEC53" s="10"/>
      <c r="QED53" s="10"/>
      <c r="QEE53" s="10"/>
      <c r="QEF53" s="10"/>
      <c r="QEG53" s="10"/>
      <c r="QEH53" s="10"/>
      <c r="QEI53" s="10"/>
      <c r="QEJ53" s="10"/>
      <c r="QEK53" s="10"/>
      <c r="QEL53" s="10"/>
      <c r="QEM53" s="10"/>
      <c r="QEN53" s="10"/>
      <c r="QEO53" s="10"/>
      <c r="QEP53" s="10"/>
      <c r="QEQ53" s="10"/>
      <c r="QER53" s="10"/>
      <c r="QES53" s="10"/>
      <c r="QET53" s="10"/>
      <c r="QEU53" s="10"/>
      <c r="QEV53" s="10"/>
      <c r="QEW53" s="10"/>
      <c r="QEX53" s="10"/>
      <c r="QEY53" s="10"/>
      <c r="QEZ53" s="10"/>
      <c r="QFA53" s="10"/>
      <c r="QFB53" s="10"/>
      <c r="QFC53" s="10"/>
      <c r="QFD53" s="10"/>
      <c r="QFE53" s="10"/>
      <c r="QFF53" s="10"/>
      <c r="QFG53" s="10"/>
      <c r="QFH53" s="10"/>
      <c r="QFI53" s="10"/>
      <c r="QFJ53" s="10"/>
      <c r="QFK53" s="10"/>
      <c r="QFL53" s="10"/>
      <c r="QFM53" s="10"/>
      <c r="QFN53" s="10"/>
      <c r="QFO53" s="10"/>
      <c r="QFP53" s="10"/>
      <c r="QFQ53" s="10"/>
      <c r="QFR53" s="10"/>
      <c r="QFS53" s="10"/>
      <c r="QFT53" s="10"/>
      <c r="QFU53" s="10"/>
      <c r="QFV53" s="10"/>
      <c r="QFW53" s="10"/>
      <c r="QFX53" s="10"/>
      <c r="QFY53" s="10"/>
      <c r="QFZ53" s="10"/>
      <c r="QGA53" s="10"/>
      <c r="QGB53" s="10"/>
      <c r="QGC53" s="10"/>
      <c r="QGD53" s="10"/>
      <c r="QGE53" s="10"/>
      <c r="QGF53" s="10"/>
      <c r="QGG53" s="10"/>
      <c r="QGH53" s="10"/>
      <c r="QGI53" s="10"/>
      <c r="QGJ53" s="10"/>
      <c r="QGK53" s="10"/>
      <c r="QGL53" s="10"/>
      <c r="QGM53" s="10"/>
      <c r="QGN53" s="10"/>
      <c r="QGO53" s="10"/>
      <c r="QGP53" s="10"/>
      <c r="QGQ53" s="10"/>
      <c r="QGR53" s="10"/>
      <c r="QGS53" s="10"/>
      <c r="QGT53" s="10"/>
      <c r="QGU53" s="10"/>
      <c r="QGV53" s="10"/>
      <c r="QGW53" s="10"/>
      <c r="QGX53" s="10"/>
      <c r="QGY53" s="10"/>
      <c r="QGZ53" s="10"/>
      <c r="QHA53" s="10"/>
      <c r="QHB53" s="10"/>
      <c r="QHC53" s="10"/>
      <c r="QHD53" s="10"/>
      <c r="QHE53" s="10"/>
      <c r="QHF53" s="10"/>
      <c r="QHG53" s="10"/>
      <c r="QHH53" s="10"/>
      <c r="QHI53" s="10"/>
      <c r="QHJ53" s="10"/>
      <c r="QHK53" s="10"/>
      <c r="QHL53" s="10"/>
      <c r="QHM53" s="10"/>
      <c r="QHN53" s="10"/>
      <c r="QHO53" s="10"/>
      <c r="QHP53" s="10"/>
      <c r="QHQ53" s="10"/>
      <c r="QHR53" s="10"/>
      <c r="QHS53" s="10"/>
      <c r="QHT53" s="10"/>
      <c r="QHU53" s="10"/>
      <c r="QHV53" s="10"/>
      <c r="QHW53" s="10"/>
      <c r="QHX53" s="10"/>
      <c r="QHY53" s="10"/>
      <c r="QHZ53" s="10"/>
      <c r="QIA53" s="10"/>
      <c r="QIB53" s="10"/>
      <c r="QIC53" s="10"/>
      <c r="QID53" s="10"/>
      <c r="QIE53" s="10"/>
      <c r="QIF53" s="10"/>
      <c r="QIG53" s="10"/>
      <c r="QIH53" s="10"/>
      <c r="QII53" s="10"/>
      <c r="QIJ53" s="10"/>
      <c r="QIK53" s="10"/>
      <c r="QIL53" s="10"/>
      <c r="QIM53" s="10"/>
      <c r="QIN53" s="10"/>
      <c r="QIO53" s="10"/>
      <c r="QIP53" s="10"/>
      <c r="QIQ53" s="10"/>
      <c r="QIR53" s="10"/>
      <c r="QIS53" s="10"/>
      <c r="QIT53" s="10"/>
      <c r="QIU53" s="10"/>
      <c r="QIV53" s="10"/>
      <c r="QIW53" s="10"/>
      <c r="QIX53" s="10"/>
      <c r="QIY53" s="10"/>
      <c r="QIZ53" s="10"/>
      <c r="QJA53" s="10"/>
      <c r="QJB53" s="10"/>
      <c r="QJC53" s="10"/>
      <c r="QJD53" s="10"/>
      <c r="QJE53" s="10"/>
      <c r="QJF53" s="10"/>
      <c r="QJG53" s="10"/>
      <c r="QJH53" s="10"/>
      <c r="QJI53" s="10"/>
      <c r="QJJ53" s="10"/>
      <c r="QJK53" s="10"/>
      <c r="QJL53" s="10"/>
      <c r="QJM53" s="10"/>
      <c r="QJN53" s="10"/>
      <c r="QJO53" s="10"/>
      <c r="QJP53" s="10"/>
      <c r="QJQ53" s="10"/>
      <c r="QJR53" s="10"/>
      <c r="QJS53" s="10"/>
      <c r="QJT53" s="10"/>
      <c r="QJU53" s="10"/>
      <c r="QJV53" s="10"/>
      <c r="QJW53" s="10"/>
      <c r="QJX53" s="10"/>
      <c r="QJY53" s="10"/>
      <c r="QJZ53" s="10"/>
      <c r="QKA53" s="10"/>
      <c r="QKB53" s="10"/>
      <c r="QKC53" s="10"/>
      <c r="QKD53" s="10"/>
      <c r="QKE53" s="10"/>
      <c r="QKF53" s="10"/>
      <c r="QKG53" s="10"/>
      <c r="QKH53" s="10"/>
      <c r="QKI53" s="10"/>
      <c r="QKJ53" s="10"/>
      <c r="QKK53" s="10"/>
      <c r="QKL53" s="10"/>
      <c r="QKM53" s="10"/>
      <c r="QKN53" s="10"/>
      <c r="QKO53" s="10"/>
      <c r="QKP53" s="10"/>
      <c r="QKQ53" s="10"/>
      <c r="QKR53" s="10"/>
      <c r="QKS53" s="10"/>
      <c r="QKT53" s="10"/>
      <c r="QKU53" s="10"/>
      <c r="QKV53" s="10"/>
      <c r="QKW53" s="10"/>
      <c r="QKX53" s="10"/>
      <c r="QKY53" s="10"/>
      <c r="QKZ53" s="10"/>
      <c r="QLA53" s="10"/>
      <c r="QLB53" s="10"/>
      <c r="QLC53" s="10"/>
      <c r="QLD53" s="10"/>
      <c r="QLE53" s="10"/>
      <c r="QLF53" s="10"/>
      <c r="QLG53" s="10"/>
      <c r="QLH53" s="10"/>
      <c r="QLI53" s="10"/>
      <c r="QLJ53" s="10"/>
      <c r="QLK53" s="10"/>
      <c r="QLL53" s="10"/>
      <c r="QLM53" s="10"/>
      <c r="QLN53" s="10"/>
      <c r="QLO53" s="10"/>
      <c r="QLP53" s="10"/>
      <c r="QLQ53" s="10"/>
      <c r="QLR53" s="10"/>
      <c r="QLS53" s="10"/>
      <c r="QLT53" s="10"/>
      <c r="QLU53" s="10"/>
      <c r="QLV53" s="10"/>
      <c r="QLW53" s="10"/>
      <c r="QLX53" s="10"/>
      <c r="QLY53" s="10"/>
      <c r="QLZ53" s="10"/>
      <c r="QMA53" s="10"/>
      <c r="QMB53" s="10"/>
      <c r="QMC53" s="10"/>
      <c r="QMD53" s="10"/>
      <c r="QME53" s="10"/>
      <c r="QMF53" s="10"/>
      <c r="QMG53" s="10"/>
      <c r="QMH53" s="10"/>
      <c r="QMI53" s="10"/>
      <c r="QMJ53" s="10"/>
      <c r="QMK53" s="10"/>
      <c r="QML53" s="10"/>
      <c r="QMM53" s="10"/>
      <c r="QMN53" s="10"/>
      <c r="QMO53" s="10"/>
      <c r="QMP53" s="10"/>
      <c r="QMQ53" s="10"/>
      <c r="QMR53" s="10"/>
      <c r="QMS53" s="10"/>
      <c r="QMT53" s="10"/>
      <c r="QMU53" s="10"/>
      <c r="QMV53" s="10"/>
      <c r="QMW53" s="10"/>
      <c r="QMX53" s="10"/>
      <c r="QMY53" s="10"/>
      <c r="QMZ53" s="10"/>
      <c r="QNA53" s="10"/>
      <c r="QNB53" s="10"/>
      <c r="QNC53" s="10"/>
      <c r="QND53" s="10"/>
      <c r="QNE53" s="10"/>
      <c r="QNF53" s="10"/>
      <c r="QNG53" s="10"/>
      <c r="QNH53" s="10"/>
      <c r="QNI53" s="10"/>
      <c r="QNJ53" s="10"/>
      <c r="QNK53" s="10"/>
      <c r="QNL53" s="10"/>
      <c r="QNM53" s="10"/>
      <c r="QNN53" s="10"/>
      <c r="QNO53" s="10"/>
      <c r="QNP53" s="10"/>
      <c r="QNQ53" s="10"/>
      <c r="QNR53" s="10"/>
      <c r="QNS53" s="10"/>
      <c r="QNT53" s="10"/>
      <c r="QNU53" s="10"/>
      <c r="QNV53" s="10"/>
      <c r="QNW53" s="10"/>
      <c r="QNX53" s="10"/>
      <c r="QNY53" s="10"/>
      <c r="QNZ53" s="10"/>
      <c r="QOA53" s="10"/>
      <c r="QOB53" s="10"/>
      <c r="QOC53" s="10"/>
      <c r="QOD53" s="10"/>
      <c r="QOE53" s="10"/>
      <c r="QOF53" s="10"/>
      <c r="QOG53" s="10"/>
      <c r="QOH53" s="10"/>
      <c r="QOI53" s="10"/>
      <c r="QOJ53" s="10"/>
      <c r="QOK53" s="10"/>
      <c r="QOL53" s="10"/>
      <c r="QOM53" s="10"/>
      <c r="QON53" s="10"/>
      <c r="QOO53" s="10"/>
      <c r="QOP53" s="10"/>
      <c r="QOQ53" s="10"/>
      <c r="QOR53" s="10"/>
      <c r="QOS53" s="10"/>
      <c r="QOT53" s="10"/>
      <c r="QOU53" s="10"/>
      <c r="QOV53" s="10"/>
      <c r="QOW53" s="10"/>
      <c r="QOX53" s="10"/>
      <c r="QOY53" s="10"/>
      <c r="QOZ53" s="10"/>
      <c r="QPA53" s="10"/>
      <c r="QPB53" s="10"/>
      <c r="QPC53" s="10"/>
      <c r="QPD53" s="10"/>
      <c r="QPE53" s="10"/>
      <c r="QPF53" s="10"/>
      <c r="QPG53" s="10"/>
      <c r="QPH53" s="10"/>
      <c r="QPI53" s="10"/>
      <c r="QPJ53" s="10"/>
      <c r="QPK53" s="10"/>
      <c r="QPL53" s="10"/>
      <c r="QPM53" s="10"/>
      <c r="QPN53" s="10"/>
      <c r="QPO53" s="10"/>
      <c r="QPP53" s="10"/>
      <c r="QPQ53" s="10"/>
      <c r="QPR53" s="10"/>
      <c r="QPS53" s="10"/>
      <c r="QPT53" s="10"/>
      <c r="QPU53" s="10"/>
      <c r="QPV53" s="10"/>
      <c r="QPW53" s="10"/>
      <c r="QPX53" s="10"/>
      <c r="QPY53" s="10"/>
      <c r="QPZ53" s="10"/>
      <c r="QQA53" s="10"/>
      <c r="QQB53" s="10"/>
      <c r="QQC53" s="10"/>
      <c r="QQD53" s="10"/>
      <c r="QQE53" s="10"/>
      <c r="QQF53" s="10"/>
      <c r="QQG53" s="10"/>
      <c r="QQH53" s="10"/>
      <c r="QQI53" s="10"/>
      <c r="QQJ53" s="10"/>
      <c r="QQK53" s="10"/>
      <c r="QQL53" s="10"/>
      <c r="QQM53" s="10"/>
      <c r="QQN53" s="10"/>
      <c r="QQO53" s="10"/>
      <c r="QQP53" s="10"/>
      <c r="QQQ53" s="10"/>
      <c r="QQR53" s="10"/>
      <c r="QQS53" s="10"/>
      <c r="QQT53" s="10"/>
      <c r="QQU53" s="10"/>
      <c r="QQV53" s="10"/>
      <c r="QQW53" s="10"/>
      <c r="QQX53" s="10"/>
      <c r="QQY53" s="10"/>
      <c r="QQZ53" s="10"/>
      <c r="QRA53" s="10"/>
      <c r="QRB53" s="10"/>
      <c r="QRC53" s="10"/>
      <c r="QRD53" s="10"/>
      <c r="QRE53" s="10"/>
      <c r="QRF53" s="10"/>
      <c r="QRG53" s="10"/>
      <c r="QRH53" s="10"/>
      <c r="QRI53" s="10"/>
      <c r="QRJ53" s="10"/>
      <c r="QRK53" s="10"/>
      <c r="QRL53" s="10"/>
      <c r="QRM53" s="10"/>
      <c r="QRN53" s="10"/>
      <c r="QRO53" s="10"/>
      <c r="QRP53" s="10"/>
      <c r="QRQ53" s="10"/>
      <c r="QRR53" s="10"/>
      <c r="QRS53" s="10"/>
      <c r="QRT53" s="10"/>
      <c r="QRU53" s="10"/>
      <c r="QRV53" s="10"/>
      <c r="QRW53" s="10"/>
      <c r="QRX53" s="10"/>
      <c r="QRY53" s="10"/>
      <c r="QRZ53" s="10"/>
      <c r="QSA53" s="10"/>
      <c r="QSB53" s="10"/>
      <c r="QSC53" s="10"/>
      <c r="QSD53" s="10"/>
      <c r="QSE53" s="10"/>
      <c r="QSF53" s="10"/>
      <c r="QSG53" s="10"/>
      <c r="QSH53" s="10"/>
      <c r="QSI53" s="10"/>
      <c r="QSJ53" s="10"/>
      <c r="QSK53" s="10"/>
      <c r="QSL53" s="10"/>
      <c r="QSM53" s="10"/>
      <c r="QSN53" s="10"/>
      <c r="QSO53" s="10"/>
      <c r="QSP53" s="10"/>
      <c r="QSQ53" s="10"/>
      <c r="QSR53" s="10"/>
      <c r="QSS53" s="10"/>
      <c r="QST53" s="10"/>
      <c r="QSU53" s="10"/>
      <c r="QSV53" s="10"/>
      <c r="QSW53" s="10"/>
      <c r="QSX53" s="10"/>
      <c r="QSY53" s="10"/>
      <c r="QSZ53" s="10"/>
      <c r="QTA53" s="10"/>
      <c r="QTB53" s="10"/>
      <c r="QTC53" s="10"/>
      <c r="QTD53" s="10"/>
      <c r="QTE53" s="10"/>
      <c r="QTF53" s="10"/>
      <c r="QTG53" s="10"/>
      <c r="QTH53" s="10"/>
      <c r="QTI53" s="10"/>
      <c r="QTJ53" s="10"/>
      <c r="QTK53" s="10"/>
      <c r="QTL53" s="10"/>
      <c r="QTM53" s="10"/>
      <c r="QTN53" s="10"/>
      <c r="QTO53" s="10"/>
      <c r="QTP53" s="10"/>
      <c r="QTQ53" s="10"/>
      <c r="QTR53" s="10"/>
      <c r="QTS53" s="10"/>
      <c r="QTT53" s="10"/>
      <c r="QTU53" s="10"/>
      <c r="QTV53" s="10"/>
      <c r="QTW53" s="10"/>
      <c r="QTX53" s="10"/>
      <c r="QTY53" s="10"/>
      <c r="QTZ53" s="10"/>
      <c r="QUA53" s="10"/>
      <c r="QUB53" s="10"/>
      <c r="QUC53" s="10"/>
      <c r="QUD53" s="10"/>
      <c r="QUE53" s="10"/>
      <c r="QUF53" s="10"/>
      <c r="QUG53" s="10"/>
      <c r="QUH53" s="10"/>
      <c r="QUI53" s="10"/>
      <c r="QUJ53" s="10"/>
      <c r="QUK53" s="10"/>
      <c r="QUL53" s="10"/>
      <c r="QUM53" s="10"/>
      <c r="QUN53" s="10"/>
      <c r="QUO53" s="10"/>
      <c r="QUP53" s="10"/>
      <c r="QUQ53" s="10"/>
      <c r="QUR53" s="10"/>
      <c r="QUS53" s="10"/>
      <c r="QUT53" s="10"/>
      <c r="QUU53" s="10"/>
      <c r="QUV53" s="10"/>
      <c r="QUW53" s="10"/>
      <c r="QUX53" s="10"/>
      <c r="QUY53" s="10"/>
      <c r="QUZ53" s="10"/>
      <c r="QVA53" s="10"/>
      <c r="QVB53" s="10"/>
      <c r="QVC53" s="10"/>
      <c r="QVD53" s="10"/>
      <c r="QVE53" s="10"/>
      <c r="QVF53" s="10"/>
      <c r="QVG53" s="10"/>
      <c r="QVH53" s="10"/>
      <c r="QVI53" s="10"/>
      <c r="QVJ53" s="10"/>
      <c r="QVK53" s="10"/>
      <c r="QVL53" s="10"/>
      <c r="QVM53" s="10"/>
      <c r="QVN53" s="10"/>
      <c r="QVO53" s="10"/>
      <c r="QVP53" s="10"/>
      <c r="QVQ53" s="10"/>
      <c r="QVR53" s="10"/>
      <c r="QVS53" s="10"/>
      <c r="QVT53" s="10"/>
      <c r="QVU53" s="10"/>
      <c r="QVV53" s="10"/>
      <c r="QVW53" s="10"/>
      <c r="QVX53" s="10"/>
      <c r="QVY53" s="10"/>
      <c r="QVZ53" s="10"/>
      <c r="QWA53" s="10"/>
      <c r="QWB53" s="10"/>
      <c r="QWC53" s="10"/>
      <c r="QWD53" s="10"/>
      <c r="QWE53" s="10"/>
      <c r="QWF53" s="10"/>
      <c r="QWG53" s="10"/>
      <c r="QWH53" s="10"/>
      <c r="QWI53" s="10"/>
      <c r="QWJ53" s="10"/>
      <c r="QWK53" s="10"/>
      <c r="QWL53" s="10"/>
      <c r="QWM53" s="10"/>
      <c r="QWN53" s="10"/>
      <c r="QWO53" s="10"/>
      <c r="QWP53" s="10"/>
      <c r="QWQ53" s="10"/>
      <c r="QWR53" s="10"/>
      <c r="QWS53" s="10"/>
      <c r="QWT53" s="10"/>
      <c r="QWU53" s="10"/>
      <c r="QWV53" s="10"/>
      <c r="QWW53" s="10"/>
      <c r="QWX53" s="10"/>
      <c r="QWY53" s="10"/>
      <c r="QWZ53" s="10"/>
      <c r="QXA53" s="10"/>
      <c r="QXB53" s="10"/>
      <c r="QXC53" s="10"/>
      <c r="QXD53" s="10"/>
      <c r="QXE53" s="10"/>
      <c r="QXF53" s="10"/>
      <c r="QXG53" s="10"/>
      <c r="QXH53" s="10"/>
      <c r="QXI53" s="10"/>
      <c r="QXJ53" s="10"/>
      <c r="QXK53" s="10"/>
      <c r="QXL53" s="10"/>
      <c r="QXM53" s="10"/>
      <c r="QXN53" s="10"/>
      <c r="QXO53" s="10"/>
      <c r="QXP53" s="10"/>
      <c r="QXQ53" s="10"/>
      <c r="QXR53" s="10"/>
      <c r="QXS53" s="10"/>
      <c r="QXT53" s="10"/>
      <c r="QXU53" s="10"/>
      <c r="QXV53" s="10"/>
      <c r="QXW53" s="10"/>
      <c r="QXX53" s="10"/>
      <c r="QXY53" s="10"/>
      <c r="QXZ53" s="10"/>
      <c r="QYA53" s="10"/>
      <c r="QYB53" s="10"/>
      <c r="QYC53" s="10"/>
      <c r="QYD53" s="10"/>
      <c r="QYE53" s="10"/>
      <c r="QYF53" s="10"/>
      <c r="QYG53" s="10"/>
      <c r="QYH53" s="10"/>
      <c r="QYI53" s="10"/>
      <c r="QYJ53" s="10"/>
      <c r="QYK53" s="10"/>
      <c r="QYL53" s="10"/>
      <c r="QYM53" s="10"/>
      <c r="QYN53" s="10"/>
      <c r="QYO53" s="10"/>
      <c r="QYP53" s="10"/>
      <c r="QYQ53" s="10"/>
      <c r="QYR53" s="10"/>
      <c r="QYS53" s="10"/>
      <c r="QYT53" s="10"/>
      <c r="QYU53" s="10"/>
      <c r="QYV53" s="10"/>
      <c r="QYW53" s="10"/>
      <c r="QYX53" s="10"/>
      <c r="QYY53" s="10"/>
      <c r="QYZ53" s="10"/>
      <c r="QZA53" s="10"/>
      <c r="QZB53" s="10"/>
      <c r="QZC53" s="10"/>
      <c r="QZD53" s="10"/>
      <c r="QZE53" s="10"/>
      <c r="QZF53" s="10"/>
      <c r="QZG53" s="10"/>
      <c r="QZH53" s="10"/>
      <c r="QZI53" s="10"/>
      <c r="QZJ53" s="10"/>
      <c r="QZK53" s="10"/>
      <c r="QZL53" s="10"/>
      <c r="QZM53" s="10"/>
      <c r="QZN53" s="10"/>
      <c r="QZO53" s="10"/>
      <c r="QZP53" s="10"/>
      <c r="QZQ53" s="10"/>
      <c r="QZR53" s="10"/>
      <c r="QZS53" s="10"/>
      <c r="QZT53" s="10"/>
      <c r="QZU53" s="10"/>
      <c r="QZV53" s="10"/>
      <c r="QZW53" s="10"/>
      <c r="QZX53" s="10"/>
      <c r="QZY53" s="10"/>
      <c r="QZZ53" s="10"/>
      <c r="RAA53" s="10"/>
      <c r="RAB53" s="10"/>
      <c r="RAC53" s="10"/>
      <c r="RAD53" s="10"/>
      <c r="RAE53" s="10"/>
      <c r="RAF53" s="10"/>
      <c r="RAG53" s="10"/>
      <c r="RAH53" s="10"/>
      <c r="RAI53" s="10"/>
      <c r="RAJ53" s="10"/>
      <c r="RAK53" s="10"/>
      <c r="RAL53" s="10"/>
      <c r="RAM53" s="10"/>
      <c r="RAN53" s="10"/>
      <c r="RAO53" s="10"/>
      <c r="RAP53" s="10"/>
      <c r="RAQ53" s="10"/>
      <c r="RAR53" s="10"/>
      <c r="RAS53" s="10"/>
      <c r="RAT53" s="10"/>
      <c r="RAU53" s="10"/>
      <c r="RAV53" s="10"/>
      <c r="RAW53" s="10"/>
      <c r="RAX53" s="10"/>
      <c r="RAY53" s="10"/>
      <c r="RAZ53" s="10"/>
      <c r="RBA53" s="10"/>
      <c r="RBB53" s="10"/>
      <c r="RBC53" s="10"/>
      <c r="RBD53" s="10"/>
      <c r="RBE53" s="10"/>
      <c r="RBF53" s="10"/>
      <c r="RBG53" s="10"/>
      <c r="RBH53" s="10"/>
      <c r="RBI53" s="10"/>
      <c r="RBJ53" s="10"/>
      <c r="RBK53" s="10"/>
      <c r="RBL53" s="10"/>
      <c r="RBM53" s="10"/>
      <c r="RBN53" s="10"/>
      <c r="RBO53" s="10"/>
      <c r="RBP53" s="10"/>
      <c r="RBQ53" s="10"/>
      <c r="RBR53" s="10"/>
      <c r="RBS53" s="10"/>
      <c r="RBT53" s="10"/>
      <c r="RBU53" s="10"/>
      <c r="RBV53" s="10"/>
      <c r="RBW53" s="10"/>
      <c r="RBX53" s="10"/>
      <c r="RBY53" s="10"/>
      <c r="RBZ53" s="10"/>
      <c r="RCA53" s="10"/>
      <c r="RCB53" s="10"/>
      <c r="RCC53" s="10"/>
      <c r="RCD53" s="10"/>
      <c r="RCE53" s="10"/>
      <c r="RCF53" s="10"/>
      <c r="RCG53" s="10"/>
      <c r="RCH53" s="10"/>
      <c r="RCI53" s="10"/>
      <c r="RCJ53" s="10"/>
      <c r="RCK53" s="10"/>
      <c r="RCL53" s="10"/>
      <c r="RCM53" s="10"/>
      <c r="RCN53" s="10"/>
      <c r="RCO53" s="10"/>
      <c r="RCP53" s="10"/>
      <c r="RCQ53" s="10"/>
      <c r="RCR53" s="10"/>
      <c r="RCS53" s="10"/>
      <c r="RCT53" s="10"/>
      <c r="RCU53" s="10"/>
      <c r="RCV53" s="10"/>
      <c r="RCW53" s="10"/>
      <c r="RCX53" s="10"/>
      <c r="RCY53" s="10"/>
      <c r="RCZ53" s="10"/>
      <c r="RDA53" s="10"/>
      <c r="RDB53" s="10"/>
      <c r="RDC53" s="10"/>
      <c r="RDD53" s="10"/>
      <c r="RDE53" s="10"/>
      <c r="RDF53" s="10"/>
      <c r="RDG53" s="10"/>
      <c r="RDH53" s="10"/>
      <c r="RDI53" s="10"/>
      <c r="RDJ53" s="10"/>
      <c r="RDK53" s="10"/>
      <c r="RDL53" s="10"/>
      <c r="RDM53" s="10"/>
      <c r="RDN53" s="10"/>
      <c r="RDO53" s="10"/>
      <c r="RDP53" s="10"/>
      <c r="RDQ53" s="10"/>
      <c r="RDR53" s="10"/>
      <c r="RDS53" s="10"/>
      <c r="RDT53" s="10"/>
      <c r="RDU53" s="10"/>
      <c r="RDV53" s="10"/>
      <c r="RDW53" s="10"/>
      <c r="RDX53" s="10"/>
      <c r="RDY53" s="10"/>
      <c r="RDZ53" s="10"/>
      <c r="REA53" s="10"/>
      <c r="REB53" s="10"/>
      <c r="REC53" s="10"/>
      <c r="RED53" s="10"/>
      <c r="REE53" s="10"/>
      <c r="REF53" s="10"/>
      <c r="REG53" s="10"/>
      <c r="REH53" s="10"/>
      <c r="REI53" s="10"/>
      <c r="REJ53" s="10"/>
      <c r="REK53" s="10"/>
      <c r="REL53" s="10"/>
      <c r="REM53" s="10"/>
      <c r="REN53" s="10"/>
      <c r="REO53" s="10"/>
      <c r="REP53" s="10"/>
      <c r="REQ53" s="10"/>
      <c r="RER53" s="10"/>
      <c r="RES53" s="10"/>
      <c r="RET53" s="10"/>
      <c r="REU53" s="10"/>
      <c r="REV53" s="10"/>
      <c r="REW53" s="10"/>
      <c r="REX53" s="10"/>
      <c r="REY53" s="10"/>
      <c r="REZ53" s="10"/>
      <c r="RFA53" s="10"/>
      <c r="RFB53" s="10"/>
      <c r="RFC53" s="10"/>
      <c r="RFD53" s="10"/>
      <c r="RFE53" s="10"/>
      <c r="RFF53" s="10"/>
      <c r="RFG53" s="10"/>
      <c r="RFH53" s="10"/>
      <c r="RFI53" s="10"/>
      <c r="RFJ53" s="10"/>
      <c r="RFK53" s="10"/>
      <c r="RFL53" s="10"/>
      <c r="RFM53" s="10"/>
      <c r="RFN53" s="10"/>
      <c r="RFO53" s="10"/>
      <c r="RFP53" s="10"/>
      <c r="RFQ53" s="10"/>
      <c r="RFR53" s="10"/>
      <c r="RFS53" s="10"/>
      <c r="RFT53" s="10"/>
      <c r="RFU53" s="10"/>
      <c r="RFV53" s="10"/>
      <c r="RFW53" s="10"/>
      <c r="RFX53" s="10"/>
      <c r="RFY53" s="10"/>
      <c r="RFZ53" s="10"/>
      <c r="RGA53" s="10"/>
      <c r="RGB53" s="10"/>
      <c r="RGC53" s="10"/>
      <c r="RGD53" s="10"/>
      <c r="RGE53" s="10"/>
      <c r="RGF53" s="10"/>
      <c r="RGG53" s="10"/>
      <c r="RGH53" s="10"/>
      <c r="RGI53" s="10"/>
      <c r="RGJ53" s="10"/>
      <c r="RGK53" s="10"/>
      <c r="RGL53" s="10"/>
      <c r="RGM53" s="10"/>
      <c r="RGN53" s="10"/>
      <c r="RGO53" s="10"/>
      <c r="RGP53" s="10"/>
      <c r="RGQ53" s="10"/>
      <c r="RGR53" s="10"/>
      <c r="RGS53" s="10"/>
      <c r="RGT53" s="10"/>
      <c r="RGU53" s="10"/>
      <c r="RGV53" s="10"/>
      <c r="RGW53" s="10"/>
      <c r="RGX53" s="10"/>
      <c r="RGY53" s="10"/>
      <c r="RGZ53" s="10"/>
      <c r="RHA53" s="10"/>
      <c r="RHB53" s="10"/>
      <c r="RHC53" s="10"/>
      <c r="RHD53" s="10"/>
      <c r="RHE53" s="10"/>
      <c r="RHF53" s="10"/>
      <c r="RHG53" s="10"/>
      <c r="RHH53" s="10"/>
      <c r="RHI53" s="10"/>
      <c r="RHJ53" s="10"/>
      <c r="RHK53" s="10"/>
      <c r="RHL53" s="10"/>
      <c r="RHM53" s="10"/>
      <c r="RHN53" s="10"/>
      <c r="RHO53" s="10"/>
      <c r="RHP53" s="10"/>
      <c r="RHQ53" s="10"/>
      <c r="RHR53" s="10"/>
      <c r="RHS53" s="10"/>
      <c r="RHT53" s="10"/>
      <c r="RHU53" s="10"/>
      <c r="RHV53" s="10"/>
      <c r="RHW53" s="10"/>
      <c r="RHX53" s="10"/>
      <c r="RHY53" s="10"/>
      <c r="RHZ53" s="10"/>
      <c r="RIA53" s="10"/>
      <c r="RIB53" s="10"/>
      <c r="RIC53" s="10"/>
      <c r="RID53" s="10"/>
      <c r="RIE53" s="10"/>
      <c r="RIF53" s="10"/>
      <c r="RIG53" s="10"/>
      <c r="RIH53" s="10"/>
      <c r="RII53" s="10"/>
      <c r="RIJ53" s="10"/>
      <c r="RIK53" s="10"/>
      <c r="RIL53" s="10"/>
      <c r="RIM53" s="10"/>
      <c r="RIN53" s="10"/>
      <c r="RIO53" s="10"/>
      <c r="RIP53" s="10"/>
      <c r="RIQ53" s="10"/>
      <c r="RIR53" s="10"/>
      <c r="RIS53" s="10"/>
      <c r="RIT53" s="10"/>
      <c r="RIU53" s="10"/>
      <c r="RIV53" s="10"/>
      <c r="RIW53" s="10"/>
      <c r="RIX53" s="10"/>
      <c r="RIY53" s="10"/>
      <c r="RIZ53" s="10"/>
      <c r="RJA53" s="10"/>
      <c r="RJB53" s="10"/>
      <c r="RJC53" s="10"/>
      <c r="RJD53" s="10"/>
      <c r="RJE53" s="10"/>
      <c r="RJF53" s="10"/>
      <c r="RJG53" s="10"/>
      <c r="RJH53" s="10"/>
      <c r="RJI53" s="10"/>
      <c r="RJJ53" s="10"/>
      <c r="RJK53" s="10"/>
      <c r="RJL53" s="10"/>
      <c r="RJM53" s="10"/>
      <c r="RJN53" s="10"/>
      <c r="RJO53" s="10"/>
      <c r="RJP53" s="10"/>
      <c r="RJQ53" s="10"/>
      <c r="RJR53" s="10"/>
      <c r="RJS53" s="10"/>
      <c r="RJT53" s="10"/>
      <c r="RJU53" s="10"/>
      <c r="RJV53" s="10"/>
      <c r="RJW53" s="10"/>
      <c r="RJX53" s="10"/>
      <c r="RJY53" s="10"/>
      <c r="RJZ53" s="10"/>
      <c r="RKA53" s="10"/>
      <c r="RKB53" s="10"/>
      <c r="RKC53" s="10"/>
      <c r="RKD53" s="10"/>
      <c r="RKE53" s="10"/>
      <c r="RKF53" s="10"/>
      <c r="RKG53" s="10"/>
      <c r="RKH53" s="10"/>
      <c r="RKI53" s="10"/>
      <c r="RKJ53" s="10"/>
      <c r="RKK53" s="10"/>
      <c r="RKL53" s="10"/>
      <c r="RKM53" s="10"/>
      <c r="RKN53" s="10"/>
      <c r="RKO53" s="10"/>
      <c r="RKP53" s="10"/>
      <c r="RKQ53" s="10"/>
      <c r="RKR53" s="10"/>
      <c r="RKS53" s="10"/>
      <c r="RKT53" s="10"/>
      <c r="RKU53" s="10"/>
      <c r="RKV53" s="10"/>
      <c r="RKW53" s="10"/>
      <c r="RKX53" s="10"/>
      <c r="RKY53" s="10"/>
      <c r="RKZ53" s="10"/>
      <c r="RLA53" s="10"/>
      <c r="RLB53" s="10"/>
      <c r="RLC53" s="10"/>
      <c r="RLD53" s="10"/>
      <c r="RLE53" s="10"/>
      <c r="RLF53" s="10"/>
      <c r="RLG53" s="10"/>
      <c r="RLH53" s="10"/>
      <c r="RLI53" s="10"/>
      <c r="RLJ53" s="10"/>
      <c r="RLK53" s="10"/>
      <c r="RLL53" s="10"/>
      <c r="RLM53" s="10"/>
      <c r="RLN53" s="10"/>
      <c r="RLO53" s="10"/>
      <c r="RLP53" s="10"/>
      <c r="RLQ53" s="10"/>
      <c r="RLR53" s="10"/>
      <c r="RLS53" s="10"/>
      <c r="RLT53" s="10"/>
      <c r="RLU53" s="10"/>
      <c r="RLV53" s="10"/>
      <c r="RLW53" s="10"/>
      <c r="RLX53" s="10"/>
      <c r="RLY53" s="10"/>
      <c r="RLZ53" s="10"/>
      <c r="RMA53" s="10"/>
      <c r="RMB53" s="10"/>
      <c r="RMC53" s="10"/>
      <c r="RMD53" s="10"/>
      <c r="RME53" s="10"/>
      <c r="RMF53" s="10"/>
      <c r="RMG53" s="10"/>
      <c r="RMH53" s="10"/>
      <c r="RMI53" s="10"/>
      <c r="RMJ53" s="10"/>
      <c r="RMK53" s="10"/>
      <c r="RML53" s="10"/>
      <c r="RMM53" s="10"/>
      <c r="RMN53" s="10"/>
      <c r="RMO53" s="10"/>
      <c r="RMP53" s="10"/>
      <c r="RMQ53" s="10"/>
      <c r="RMR53" s="10"/>
      <c r="RMS53" s="10"/>
      <c r="RMT53" s="10"/>
      <c r="RMU53" s="10"/>
      <c r="RMV53" s="10"/>
      <c r="RMW53" s="10"/>
      <c r="RMX53" s="10"/>
      <c r="RMY53" s="10"/>
      <c r="RMZ53" s="10"/>
      <c r="RNA53" s="10"/>
      <c r="RNB53" s="10"/>
      <c r="RNC53" s="10"/>
      <c r="RND53" s="10"/>
      <c r="RNE53" s="10"/>
      <c r="RNF53" s="10"/>
      <c r="RNG53" s="10"/>
      <c r="RNH53" s="10"/>
      <c r="RNI53" s="10"/>
      <c r="RNJ53" s="10"/>
      <c r="RNK53" s="10"/>
      <c r="RNL53" s="10"/>
      <c r="RNM53" s="10"/>
      <c r="RNN53" s="10"/>
      <c r="RNO53" s="10"/>
      <c r="RNP53" s="10"/>
      <c r="RNQ53" s="10"/>
      <c r="RNR53" s="10"/>
      <c r="RNS53" s="10"/>
      <c r="RNT53" s="10"/>
      <c r="RNU53" s="10"/>
      <c r="RNV53" s="10"/>
      <c r="RNW53" s="10"/>
      <c r="RNX53" s="10"/>
      <c r="RNY53" s="10"/>
      <c r="RNZ53" s="10"/>
      <c r="ROA53" s="10"/>
      <c r="ROB53" s="10"/>
      <c r="ROC53" s="10"/>
      <c r="ROD53" s="10"/>
      <c r="ROE53" s="10"/>
      <c r="ROF53" s="10"/>
      <c r="ROG53" s="10"/>
      <c r="ROH53" s="10"/>
      <c r="ROI53" s="10"/>
      <c r="ROJ53" s="10"/>
      <c r="ROK53" s="10"/>
      <c r="ROL53" s="10"/>
      <c r="ROM53" s="10"/>
      <c r="RON53" s="10"/>
      <c r="ROO53" s="10"/>
      <c r="ROP53" s="10"/>
      <c r="ROQ53" s="10"/>
      <c r="ROR53" s="10"/>
      <c r="ROS53" s="10"/>
      <c r="ROT53" s="10"/>
      <c r="ROU53" s="10"/>
      <c r="ROV53" s="10"/>
      <c r="ROW53" s="10"/>
      <c r="ROX53" s="10"/>
      <c r="ROY53" s="10"/>
      <c r="ROZ53" s="10"/>
      <c r="RPA53" s="10"/>
      <c r="RPB53" s="10"/>
      <c r="RPC53" s="10"/>
      <c r="RPD53" s="10"/>
      <c r="RPE53" s="10"/>
      <c r="RPF53" s="10"/>
      <c r="RPG53" s="10"/>
      <c r="RPH53" s="10"/>
      <c r="RPI53" s="10"/>
      <c r="RPJ53" s="10"/>
      <c r="RPK53" s="10"/>
      <c r="RPL53" s="10"/>
      <c r="RPM53" s="10"/>
      <c r="RPN53" s="10"/>
      <c r="RPO53" s="10"/>
      <c r="RPP53" s="10"/>
      <c r="RPQ53" s="10"/>
      <c r="RPR53" s="10"/>
      <c r="RPS53" s="10"/>
      <c r="RPT53" s="10"/>
      <c r="RPU53" s="10"/>
      <c r="RPV53" s="10"/>
      <c r="RPW53" s="10"/>
      <c r="RPX53" s="10"/>
      <c r="RPY53" s="10"/>
      <c r="RPZ53" s="10"/>
      <c r="RQA53" s="10"/>
      <c r="RQB53" s="10"/>
      <c r="RQC53" s="10"/>
      <c r="RQD53" s="10"/>
      <c r="RQE53" s="10"/>
      <c r="RQF53" s="10"/>
      <c r="RQG53" s="10"/>
      <c r="RQH53" s="10"/>
      <c r="RQI53" s="10"/>
      <c r="RQJ53" s="10"/>
      <c r="RQK53" s="10"/>
      <c r="RQL53" s="10"/>
      <c r="RQM53" s="10"/>
      <c r="RQN53" s="10"/>
      <c r="RQO53" s="10"/>
      <c r="RQP53" s="10"/>
      <c r="RQQ53" s="10"/>
      <c r="RQR53" s="10"/>
      <c r="RQS53" s="10"/>
      <c r="RQT53" s="10"/>
      <c r="RQU53" s="10"/>
      <c r="RQV53" s="10"/>
      <c r="RQW53" s="10"/>
      <c r="RQX53" s="10"/>
      <c r="RQY53" s="10"/>
      <c r="RQZ53" s="10"/>
      <c r="RRA53" s="10"/>
      <c r="RRB53" s="10"/>
      <c r="RRC53" s="10"/>
      <c r="RRD53" s="10"/>
      <c r="RRE53" s="10"/>
      <c r="RRF53" s="10"/>
      <c r="RRG53" s="10"/>
      <c r="RRH53" s="10"/>
      <c r="RRI53" s="10"/>
      <c r="RRJ53" s="10"/>
      <c r="RRK53" s="10"/>
      <c r="RRL53" s="10"/>
      <c r="RRM53" s="10"/>
      <c r="RRN53" s="10"/>
      <c r="RRO53" s="10"/>
      <c r="RRP53" s="10"/>
      <c r="RRQ53" s="10"/>
      <c r="RRR53" s="10"/>
      <c r="RRS53" s="10"/>
      <c r="RRT53" s="10"/>
      <c r="RRU53" s="10"/>
      <c r="RRV53" s="10"/>
      <c r="RRW53" s="10"/>
      <c r="RRX53" s="10"/>
      <c r="RRY53" s="10"/>
      <c r="RRZ53" s="10"/>
      <c r="RSA53" s="10"/>
      <c r="RSB53" s="10"/>
      <c r="RSC53" s="10"/>
      <c r="RSD53" s="10"/>
      <c r="RSE53" s="10"/>
      <c r="RSF53" s="10"/>
      <c r="RSG53" s="10"/>
      <c r="RSH53" s="10"/>
      <c r="RSI53" s="10"/>
      <c r="RSJ53" s="10"/>
      <c r="RSK53" s="10"/>
      <c r="RSL53" s="10"/>
      <c r="RSM53" s="10"/>
      <c r="RSN53" s="10"/>
      <c r="RSO53" s="10"/>
      <c r="RSP53" s="10"/>
      <c r="RSQ53" s="10"/>
      <c r="RSR53" s="10"/>
      <c r="RSS53" s="10"/>
      <c r="RST53" s="10"/>
      <c r="RSU53" s="10"/>
      <c r="RSV53" s="10"/>
      <c r="RSW53" s="10"/>
      <c r="RSX53" s="10"/>
      <c r="RSY53" s="10"/>
      <c r="RSZ53" s="10"/>
      <c r="RTA53" s="10"/>
      <c r="RTB53" s="10"/>
      <c r="RTC53" s="10"/>
      <c r="RTD53" s="10"/>
      <c r="RTE53" s="10"/>
      <c r="RTF53" s="10"/>
      <c r="RTG53" s="10"/>
      <c r="RTH53" s="10"/>
      <c r="RTI53" s="10"/>
      <c r="RTJ53" s="10"/>
      <c r="RTK53" s="10"/>
      <c r="RTL53" s="10"/>
      <c r="RTM53" s="10"/>
      <c r="RTN53" s="10"/>
      <c r="RTO53" s="10"/>
      <c r="RTP53" s="10"/>
      <c r="RTQ53" s="10"/>
      <c r="RTR53" s="10"/>
      <c r="RTS53" s="10"/>
      <c r="RTT53" s="10"/>
      <c r="RTU53" s="10"/>
      <c r="RTV53" s="10"/>
      <c r="RTW53" s="10"/>
      <c r="RTX53" s="10"/>
      <c r="RTY53" s="10"/>
      <c r="RTZ53" s="10"/>
      <c r="RUA53" s="10"/>
      <c r="RUB53" s="10"/>
      <c r="RUC53" s="10"/>
      <c r="RUD53" s="10"/>
      <c r="RUE53" s="10"/>
      <c r="RUF53" s="10"/>
      <c r="RUG53" s="10"/>
      <c r="RUH53" s="10"/>
      <c r="RUI53" s="10"/>
      <c r="RUJ53" s="10"/>
      <c r="RUK53" s="10"/>
      <c r="RUL53" s="10"/>
      <c r="RUM53" s="10"/>
      <c r="RUN53" s="10"/>
      <c r="RUO53" s="10"/>
      <c r="RUP53" s="10"/>
      <c r="RUQ53" s="10"/>
      <c r="RUR53" s="10"/>
      <c r="RUS53" s="10"/>
      <c r="RUT53" s="10"/>
      <c r="RUU53" s="10"/>
      <c r="RUV53" s="10"/>
      <c r="RUW53" s="10"/>
      <c r="RUX53" s="10"/>
      <c r="RUY53" s="10"/>
      <c r="RUZ53" s="10"/>
      <c r="RVA53" s="10"/>
      <c r="RVB53" s="10"/>
      <c r="RVC53" s="10"/>
      <c r="RVD53" s="10"/>
      <c r="RVE53" s="10"/>
      <c r="RVF53" s="10"/>
      <c r="RVG53" s="10"/>
      <c r="RVH53" s="10"/>
      <c r="RVI53" s="10"/>
      <c r="RVJ53" s="10"/>
      <c r="RVK53" s="10"/>
      <c r="RVL53" s="10"/>
      <c r="RVM53" s="10"/>
      <c r="RVN53" s="10"/>
      <c r="RVO53" s="10"/>
      <c r="RVP53" s="10"/>
      <c r="RVQ53" s="10"/>
      <c r="RVR53" s="10"/>
      <c r="RVS53" s="10"/>
      <c r="RVT53" s="10"/>
      <c r="RVU53" s="10"/>
      <c r="RVV53" s="10"/>
      <c r="RVW53" s="10"/>
      <c r="RVX53" s="10"/>
      <c r="RVY53" s="10"/>
      <c r="RVZ53" s="10"/>
      <c r="RWA53" s="10"/>
      <c r="RWB53" s="10"/>
      <c r="RWC53" s="10"/>
      <c r="RWD53" s="10"/>
      <c r="RWE53" s="10"/>
      <c r="RWF53" s="10"/>
      <c r="RWG53" s="10"/>
      <c r="RWH53" s="10"/>
      <c r="RWI53" s="10"/>
      <c r="RWJ53" s="10"/>
      <c r="RWK53" s="10"/>
      <c r="RWL53" s="10"/>
      <c r="RWM53" s="10"/>
      <c r="RWN53" s="10"/>
      <c r="RWO53" s="10"/>
      <c r="RWP53" s="10"/>
      <c r="RWQ53" s="10"/>
      <c r="RWR53" s="10"/>
      <c r="RWS53" s="10"/>
      <c r="RWT53" s="10"/>
      <c r="RWU53" s="10"/>
      <c r="RWV53" s="10"/>
      <c r="RWW53" s="10"/>
      <c r="RWX53" s="10"/>
      <c r="RWY53" s="10"/>
      <c r="RWZ53" s="10"/>
      <c r="RXA53" s="10"/>
      <c r="RXB53" s="10"/>
      <c r="RXC53" s="10"/>
      <c r="RXD53" s="10"/>
      <c r="RXE53" s="10"/>
      <c r="RXF53" s="10"/>
      <c r="RXG53" s="10"/>
      <c r="RXH53" s="10"/>
      <c r="RXI53" s="10"/>
      <c r="RXJ53" s="10"/>
      <c r="RXK53" s="10"/>
      <c r="RXL53" s="10"/>
      <c r="RXM53" s="10"/>
      <c r="RXN53" s="10"/>
      <c r="RXO53" s="10"/>
      <c r="RXP53" s="10"/>
      <c r="RXQ53" s="10"/>
      <c r="RXR53" s="10"/>
      <c r="RXS53" s="10"/>
      <c r="RXT53" s="10"/>
      <c r="RXU53" s="10"/>
      <c r="RXV53" s="10"/>
      <c r="RXW53" s="10"/>
      <c r="RXX53" s="10"/>
      <c r="RXY53" s="10"/>
      <c r="RXZ53" s="10"/>
      <c r="RYA53" s="10"/>
      <c r="RYB53" s="10"/>
      <c r="RYC53" s="10"/>
      <c r="RYD53" s="10"/>
      <c r="RYE53" s="10"/>
      <c r="RYF53" s="10"/>
      <c r="RYG53" s="10"/>
      <c r="RYH53" s="10"/>
      <c r="RYI53" s="10"/>
      <c r="RYJ53" s="10"/>
      <c r="RYK53" s="10"/>
      <c r="RYL53" s="10"/>
      <c r="RYM53" s="10"/>
      <c r="RYN53" s="10"/>
      <c r="RYO53" s="10"/>
      <c r="RYP53" s="10"/>
      <c r="RYQ53" s="10"/>
      <c r="RYR53" s="10"/>
      <c r="RYS53" s="10"/>
      <c r="RYT53" s="10"/>
      <c r="RYU53" s="10"/>
      <c r="RYV53" s="10"/>
      <c r="RYW53" s="10"/>
      <c r="RYX53" s="10"/>
      <c r="RYY53" s="10"/>
      <c r="RYZ53" s="10"/>
      <c r="RZA53" s="10"/>
      <c r="RZB53" s="10"/>
      <c r="RZC53" s="10"/>
      <c r="RZD53" s="10"/>
      <c r="RZE53" s="10"/>
      <c r="RZF53" s="10"/>
      <c r="RZG53" s="10"/>
      <c r="RZH53" s="10"/>
      <c r="RZI53" s="10"/>
      <c r="RZJ53" s="10"/>
      <c r="RZK53" s="10"/>
      <c r="RZL53" s="10"/>
      <c r="RZM53" s="10"/>
      <c r="RZN53" s="10"/>
      <c r="RZO53" s="10"/>
      <c r="RZP53" s="10"/>
      <c r="RZQ53" s="10"/>
      <c r="RZR53" s="10"/>
      <c r="RZS53" s="10"/>
      <c r="RZT53" s="10"/>
      <c r="RZU53" s="10"/>
      <c r="RZV53" s="10"/>
      <c r="RZW53" s="10"/>
      <c r="RZX53" s="10"/>
      <c r="RZY53" s="10"/>
      <c r="RZZ53" s="10"/>
      <c r="SAA53" s="10"/>
      <c r="SAB53" s="10"/>
      <c r="SAC53" s="10"/>
      <c r="SAD53" s="10"/>
      <c r="SAE53" s="10"/>
      <c r="SAF53" s="10"/>
      <c r="SAG53" s="10"/>
      <c r="SAH53" s="10"/>
      <c r="SAI53" s="10"/>
      <c r="SAJ53" s="10"/>
      <c r="SAK53" s="10"/>
      <c r="SAL53" s="10"/>
      <c r="SAM53" s="10"/>
      <c r="SAN53" s="10"/>
      <c r="SAO53" s="10"/>
      <c r="SAP53" s="10"/>
      <c r="SAQ53" s="10"/>
      <c r="SAR53" s="10"/>
      <c r="SAS53" s="10"/>
      <c r="SAT53" s="10"/>
      <c r="SAU53" s="10"/>
      <c r="SAV53" s="10"/>
      <c r="SAW53" s="10"/>
      <c r="SAX53" s="10"/>
      <c r="SAY53" s="10"/>
      <c r="SAZ53" s="10"/>
      <c r="SBA53" s="10"/>
      <c r="SBB53" s="10"/>
      <c r="SBC53" s="10"/>
      <c r="SBD53" s="10"/>
      <c r="SBE53" s="10"/>
      <c r="SBF53" s="10"/>
      <c r="SBG53" s="10"/>
      <c r="SBH53" s="10"/>
      <c r="SBI53" s="10"/>
      <c r="SBJ53" s="10"/>
      <c r="SBK53" s="10"/>
      <c r="SBL53" s="10"/>
      <c r="SBM53" s="10"/>
      <c r="SBN53" s="10"/>
      <c r="SBO53" s="10"/>
      <c r="SBP53" s="10"/>
      <c r="SBQ53" s="10"/>
      <c r="SBR53" s="10"/>
      <c r="SBS53" s="10"/>
      <c r="SBT53" s="10"/>
      <c r="SBU53" s="10"/>
      <c r="SBV53" s="10"/>
      <c r="SBW53" s="10"/>
      <c r="SBX53" s="10"/>
      <c r="SBY53" s="10"/>
      <c r="SBZ53" s="10"/>
      <c r="SCA53" s="10"/>
      <c r="SCB53" s="10"/>
      <c r="SCC53" s="10"/>
      <c r="SCD53" s="10"/>
      <c r="SCE53" s="10"/>
      <c r="SCF53" s="10"/>
      <c r="SCG53" s="10"/>
      <c r="SCH53" s="10"/>
      <c r="SCI53" s="10"/>
      <c r="SCJ53" s="10"/>
      <c r="SCK53" s="10"/>
      <c r="SCL53" s="10"/>
      <c r="SCM53" s="10"/>
      <c r="SCN53" s="10"/>
      <c r="SCO53" s="10"/>
      <c r="SCP53" s="10"/>
      <c r="SCQ53" s="10"/>
      <c r="SCR53" s="10"/>
      <c r="SCS53" s="10"/>
      <c r="SCT53" s="10"/>
      <c r="SCU53" s="10"/>
      <c r="SCV53" s="10"/>
      <c r="SCW53" s="10"/>
      <c r="SCX53" s="10"/>
      <c r="SCY53" s="10"/>
      <c r="SCZ53" s="10"/>
      <c r="SDA53" s="10"/>
      <c r="SDB53" s="10"/>
      <c r="SDC53" s="10"/>
      <c r="SDD53" s="10"/>
      <c r="SDE53" s="10"/>
      <c r="SDF53" s="10"/>
      <c r="SDG53" s="10"/>
      <c r="SDH53" s="10"/>
      <c r="SDI53" s="10"/>
      <c r="SDJ53" s="10"/>
      <c r="SDK53" s="10"/>
      <c r="SDL53" s="10"/>
      <c r="SDM53" s="10"/>
      <c r="SDN53" s="10"/>
      <c r="SDO53" s="10"/>
      <c r="SDP53" s="10"/>
      <c r="SDQ53" s="10"/>
      <c r="SDR53" s="10"/>
      <c r="SDS53" s="10"/>
      <c r="SDT53" s="10"/>
      <c r="SDU53" s="10"/>
      <c r="SDV53" s="10"/>
      <c r="SDW53" s="10"/>
      <c r="SDX53" s="10"/>
      <c r="SDY53" s="10"/>
      <c r="SDZ53" s="10"/>
      <c r="SEA53" s="10"/>
      <c r="SEB53" s="10"/>
      <c r="SEC53" s="10"/>
      <c r="SED53" s="10"/>
      <c r="SEE53" s="10"/>
      <c r="SEF53" s="10"/>
      <c r="SEG53" s="10"/>
      <c r="SEH53" s="10"/>
      <c r="SEI53" s="10"/>
      <c r="SEJ53" s="10"/>
      <c r="SEK53" s="10"/>
      <c r="SEL53" s="10"/>
      <c r="SEM53" s="10"/>
      <c r="SEN53" s="10"/>
      <c r="SEO53" s="10"/>
      <c r="SEP53" s="10"/>
      <c r="SEQ53" s="10"/>
      <c r="SER53" s="10"/>
      <c r="SES53" s="10"/>
      <c r="SET53" s="10"/>
      <c r="SEU53" s="10"/>
      <c r="SEV53" s="10"/>
      <c r="SEW53" s="10"/>
      <c r="SEX53" s="10"/>
      <c r="SEY53" s="10"/>
      <c r="SEZ53" s="10"/>
      <c r="SFA53" s="10"/>
      <c r="SFB53" s="10"/>
      <c r="SFC53" s="10"/>
      <c r="SFD53" s="10"/>
      <c r="SFE53" s="10"/>
      <c r="SFF53" s="10"/>
      <c r="SFG53" s="10"/>
      <c r="SFH53" s="10"/>
      <c r="SFI53" s="10"/>
      <c r="SFJ53" s="10"/>
      <c r="SFK53" s="10"/>
      <c r="SFL53" s="10"/>
      <c r="SFM53" s="10"/>
      <c r="SFN53" s="10"/>
      <c r="SFO53" s="10"/>
      <c r="SFP53" s="10"/>
      <c r="SFQ53" s="10"/>
      <c r="SFR53" s="10"/>
      <c r="SFS53" s="10"/>
      <c r="SFT53" s="10"/>
      <c r="SFU53" s="10"/>
      <c r="SFV53" s="10"/>
      <c r="SFW53" s="10"/>
      <c r="SFX53" s="10"/>
      <c r="SFY53" s="10"/>
      <c r="SFZ53" s="10"/>
      <c r="SGA53" s="10"/>
      <c r="SGB53" s="10"/>
      <c r="SGC53" s="10"/>
      <c r="SGD53" s="10"/>
      <c r="SGE53" s="10"/>
      <c r="SGF53" s="10"/>
      <c r="SGG53" s="10"/>
      <c r="SGH53" s="10"/>
      <c r="SGI53" s="10"/>
      <c r="SGJ53" s="10"/>
      <c r="SGK53" s="10"/>
      <c r="SGL53" s="10"/>
      <c r="SGM53" s="10"/>
      <c r="SGN53" s="10"/>
      <c r="SGO53" s="10"/>
      <c r="SGP53" s="10"/>
      <c r="SGQ53" s="10"/>
      <c r="SGR53" s="10"/>
      <c r="SGS53" s="10"/>
      <c r="SGT53" s="10"/>
      <c r="SGU53" s="10"/>
      <c r="SGV53" s="10"/>
      <c r="SGW53" s="10"/>
      <c r="SGX53" s="10"/>
      <c r="SGY53" s="10"/>
      <c r="SGZ53" s="10"/>
      <c r="SHA53" s="10"/>
      <c r="SHB53" s="10"/>
      <c r="SHC53" s="10"/>
      <c r="SHD53" s="10"/>
      <c r="SHE53" s="10"/>
      <c r="SHF53" s="10"/>
      <c r="SHG53" s="10"/>
      <c r="SHH53" s="10"/>
      <c r="SHI53" s="10"/>
      <c r="SHJ53" s="10"/>
      <c r="SHK53" s="10"/>
      <c r="SHL53" s="10"/>
      <c r="SHM53" s="10"/>
      <c r="SHN53" s="10"/>
      <c r="SHO53" s="10"/>
      <c r="SHP53" s="10"/>
      <c r="SHQ53" s="10"/>
      <c r="SHR53" s="10"/>
      <c r="SHS53" s="10"/>
      <c r="SHT53" s="10"/>
      <c r="SHU53" s="10"/>
      <c r="SHV53" s="10"/>
      <c r="SHW53" s="10"/>
      <c r="SHX53" s="10"/>
      <c r="SHY53" s="10"/>
      <c r="SHZ53" s="10"/>
      <c r="SIA53" s="10"/>
      <c r="SIB53" s="10"/>
      <c r="SIC53" s="10"/>
      <c r="SID53" s="10"/>
      <c r="SIE53" s="10"/>
      <c r="SIF53" s="10"/>
      <c r="SIG53" s="10"/>
      <c r="SIH53" s="10"/>
      <c r="SII53" s="10"/>
      <c r="SIJ53" s="10"/>
      <c r="SIK53" s="10"/>
      <c r="SIL53" s="10"/>
      <c r="SIM53" s="10"/>
      <c r="SIN53" s="10"/>
      <c r="SIO53" s="10"/>
      <c r="SIP53" s="10"/>
      <c r="SIQ53" s="10"/>
      <c r="SIR53" s="10"/>
      <c r="SIS53" s="10"/>
      <c r="SIT53" s="10"/>
      <c r="SIU53" s="10"/>
      <c r="SIV53" s="10"/>
      <c r="SIW53" s="10"/>
      <c r="SIX53" s="10"/>
      <c r="SIY53" s="10"/>
      <c r="SIZ53" s="10"/>
      <c r="SJA53" s="10"/>
      <c r="SJB53" s="10"/>
      <c r="SJC53" s="10"/>
      <c r="SJD53" s="10"/>
      <c r="SJE53" s="10"/>
      <c r="SJF53" s="10"/>
      <c r="SJG53" s="10"/>
      <c r="SJH53" s="10"/>
      <c r="SJI53" s="10"/>
      <c r="SJJ53" s="10"/>
      <c r="SJK53" s="10"/>
      <c r="SJL53" s="10"/>
      <c r="SJM53" s="10"/>
      <c r="SJN53" s="10"/>
      <c r="SJO53" s="10"/>
      <c r="SJP53" s="10"/>
      <c r="SJQ53" s="10"/>
      <c r="SJR53" s="10"/>
      <c r="SJS53" s="10"/>
      <c r="SJT53" s="10"/>
      <c r="SJU53" s="10"/>
      <c r="SJV53" s="10"/>
      <c r="SJW53" s="10"/>
      <c r="SJX53" s="10"/>
      <c r="SJY53" s="10"/>
      <c r="SJZ53" s="10"/>
      <c r="SKA53" s="10"/>
      <c r="SKB53" s="10"/>
      <c r="SKC53" s="10"/>
      <c r="SKD53" s="10"/>
      <c r="SKE53" s="10"/>
      <c r="SKF53" s="10"/>
      <c r="SKG53" s="10"/>
      <c r="SKH53" s="10"/>
      <c r="SKI53" s="10"/>
      <c r="SKJ53" s="10"/>
      <c r="SKK53" s="10"/>
      <c r="SKL53" s="10"/>
      <c r="SKM53" s="10"/>
      <c r="SKN53" s="10"/>
      <c r="SKO53" s="10"/>
      <c r="SKP53" s="10"/>
      <c r="SKQ53" s="10"/>
      <c r="SKR53" s="10"/>
      <c r="SKS53" s="10"/>
      <c r="SKT53" s="10"/>
      <c r="SKU53" s="10"/>
      <c r="SKV53" s="10"/>
      <c r="SKW53" s="10"/>
      <c r="SKX53" s="10"/>
      <c r="SKY53" s="10"/>
      <c r="SKZ53" s="10"/>
      <c r="SLA53" s="10"/>
      <c r="SLB53" s="10"/>
      <c r="SLC53" s="10"/>
      <c r="SLD53" s="10"/>
      <c r="SLE53" s="10"/>
      <c r="SLF53" s="10"/>
      <c r="SLG53" s="10"/>
      <c r="SLH53" s="10"/>
      <c r="SLI53" s="10"/>
      <c r="SLJ53" s="10"/>
      <c r="SLK53" s="10"/>
      <c r="SLL53" s="10"/>
      <c r="SLM53" s="10"/>
      <c r="SLN53" s="10"/>
      <c r="SLO53" s="10"/>
      <c r="SLP53" s="10"/>
      <c r="SLQ53" s="10"/>
      <c r="SLR53" s="10"/>
      <c r="SLS53" s="10"/>
      <c r="SLT53" s="10"/>
      <c r="SLU53" s="10"/>
      <c r="SLV53" s="10"/>
      <c r="SLW53" s="10"/>
      <c r="SLX53" s="10"/>
      <c r="SLY53" s="10"/>
      <c r="SLZ53" s="10"/>
      <c r="SMA53" s="10"/>
      <c r="SMB53" s="10"/>
      <c r="SMC53" s="10"/>
      <c r="SMD53" s="10"/>
      <c r="SME53" s="10"/>
      <c r="SMF53" s="10"/>
      <c r="SMG53" s="10"/>
      <c r="SMH53" s="10"/>
      <c r="SMI53" s="10"/>
      <c r="SMJ53" s="10"/>
      <c r="SMK53" s="10"/>
      <c r="SML53" s="10"/>
      <c r="SMM53" s="10"/>
      <c r="SMN53" s="10"/>
      <c r="SMO53" s="10"/>
      <c r="SMP53" s="10"/>
      <c r="SMQ53" s="10"/>
      <c r="SMR53" s="10"/>
      <c r="SMS53" s="10"/>
      <c r="SMT53" s="10"/>
      <c r="SMU53" s="10"/>
      <c r="SMV53" s="10"/>
      <c r="SMW53" s="10"/>
      <c r="SMX53" s="10"/>
      <c r="SMY53" s="10"/>
      <c r="SMZ53" s="10"/>
      <c r="SNA53" s="10"/>
      <c r="SNB53" s="10"/>
      <c r="SNC53" s="10"/>
      <c r="SND53" s="10"/>
      <c r="SNE53" s="10"/>
      <c r="SNF53" s="10"/>
      <c r="SNG53" s="10"/>
      <c r="SNH53" s="10"/>
      <c r="SNI53" s="10"/>
      <c r="SNJ53" s="10"/>
      <c r="SNK53" s="10"/>
      <c r="SNL53" s="10"/>
      <c r="SNM53" s="10"/>
      <c r="SNN53" s="10"/>
      <c r="SNO53" s="10"/>
      <c r="SNP53" s="10"/>
      <c r="SNQ53" s="10"/>
      <c r="SNR53" s="10"/>
      <c r="SNS53" s="10"/>
      <c r="SNT53" s="10"/>
      <c r="SNU53" s="10"/>
      <c r="SNV53" s="10"/>
      <c r="SNW53" s="10"/>
      <c r="SNX53" s="10"/>
      <c r="SNY53" s="10"/>
      <c r="SNZ53" s="10"/>
      <c r="SOA53" s="10"/>
      <c r="SOB53" s="10"/>
      <c r="SOC53" s="10"/>
      <c r="SOD53" s="10"/>
      <c r="SOE53" s="10"/>
      <c r="SOF53" s="10"/>
      <c r="SOG53" s="10"/>
      <c r="SOH53" s="10"/>
      <c r="SOI53" s="10"/>
      <c r="SOJ53" s="10"/>
      <c r="SOK53" s="10"/>
      <c r="SOL53" s="10"/>
      <c r="SOM53" s="10"/>
      <c r="SON53" s="10"/>
      <c r="SOO53" s="10"/>
      <c r="SOP53" s="10"/>
      <c r="SOQ53" s="10"/>
      <c r="SOR53" s="10"/>
      <c r="SOS53" s="10"/>
      <c r="SOT53" s="10"/>
      <c r="SOU53" s="10"/>
      <c r="SOV53" s="10"/>
      <c r="SOW53" s="10"/>
      <c r="SOX53" s="10"/>
      <c r="SOY53" s="10"/>
      <c r="SOZ53" s="10"/>
      <c r="SPA53" s="10"/>
      <c r="SPB53" s="10"/>
      <c r="SPC53" s="10"/>
      <c r="SPD53" s="10"/>
      <c r="SPE53" s="10"/>
      <c r="SPF53" s="10"/>
      <c r="SPG53" s="10"/>
      <c r="SPH53" s="10"/>
      <c r="SPI53" s="10"/>
      <c r="SPJ53" s="10"/>
      <c r="SPK53" s="10"/>
      <c r="SPL53" s="10"/>
      <c r="SPM53" s="10"/>
      <c r="SPN53" s="10"/>
      <c r="SPO53" s="10"/>
      <c r="SPP53" s="10"/>
      <c r="SPQ53" s="10"/>
      <c r="SPR53" s="10"/>
      <c r="SPS53" s="10"/>
      <c r="SPT53" s="10"/>
      <c r="SPU53" s="10"/>
      <c r="SPV53" s="10"/>
      <c r="SPW53" s="10"/>
      <c r="SPX53" s="10"/>
      <c r="SPY53" s="10"/>
      <c r="SPZ53" s="10"/>
      <c r="SQA53" s="10"/>
      <c r="SQB53" s="10"/>
      <c r="SQC53" s="10"/>
      <c r="SQD53" s="10"/>
      <c r="SQE53" s="10"/>
      <c r="SQF53" s="10"/>
      <c r="SQG53" s="10"/>
      <c r="SQH53" s="10"/>
      <c r="SQI53" s="10"/>
      <c r="SQJ53" s="10"/>
      <c r="SQK53" s="10"/>
      <c r="SQL53" s="10"/>
      <c r="SQM53" s="10"/>
      <c r="SQN53" s="10"/>
      <c r="SQO53" s="10"/>
      <c r="SQP53" s="10"/>
      <c r="SQQ53" s="10"/>
      <c r="SQR53" s="10"/>
      <c r="SQS53" s="10"/>
      <c r="SQT53" s="10"/>
      <c r="SQU53" s="10"/>
      <c r="SQV53" s="10"/>
      <c r="SQW53" s="10"/>
      <c r="SQX53" s="10"/>
      <c r="SQY53" s="10"/>
      <c r="SQZ53" s="10"/>
      <c r="SRA53" s="10"/>
      <c r="SRB53" s="10"/>
      <c r="SRC53" s="10"/>
      <c r="SRD53" s="10"/>
      <c r="SRE53" s="10"/>
      <c r="SRF53" s="10"/>
      <c r="SRG53" s="10"/>
      <c r="SRH53" s="10"/>
      <c r="SRI53" s="10"/>
      <c r="SRJ53" s="10"/>
      <c r="SRK53" s="10"/>
      <c r="SRL53" s="10"/>
      <c r="SRM53" s="10"/>
      <c r="SRN53" s="10"/>
      <c r="SRO53" s="10"/>
      <c r="SRP53" s="10"/>
      <c r="SRQ53" s="10"/>
      <c r="SRR53" s="10"/>
      <c r="SRS53" s="10"/>
      <c r="SRT53" s="10"/>
      <c r="SRU53" s="10"/>
      <c r="SRV53" s="10"/>
      <c r="SRW53" s="10"/>
      <c r="SRX53" s="10"/>
      <c r="SRY53" s="10"/>
      <c r="SRZ53" s="10"/>
      <c r="SSA53" s="10"/>
      <c r="SSB53" s="10"/>
      <c r="SSC53" s="10"/>
      <c r="SSD53" s="10"/>
      <c r="SSE53" s="10"/>
      <c r="SSF53" s="10"/>
      <c r="SSG53" s="10"/>
      <c r="SSH53" s="10"/>
      <c r="SSI53" s="10"/>
      <c r="SSJ53" s="10"/>
      <c r="SSK53" s="10"/>
      <c r="SSL53" s="10"/>
      <c r="SSM53" s="10"/>
      <c r="SSN53" s="10"/>
      <c r="SSO53" s="10"/>
      <c r="SSP53" s="10"/>
      <c r="SSQ53" s="10"/>
      <c r="SSR53" s="10"/>
      <c r="SSS53" s="10"/>
      <c r="SST53" s="10"/>
      <c r="SSU53" s="10"/>
      <c r="SSV53" s="10"/>
      <c r="SSW53" s="10"/>
      <c r="SSX53" s="10"/>
      <c r="SSY53" s="10"/>
      <c r="SSZ53" s="10"/>
      <c r="STA53" s="10"/>
      <c r="STB53" s="10"/>
      <c r="STC53" s="10"/>
      <c r="STD53" s="10"/>
      <c r="STE53" s="10"/>
      <c r="STF53" s="10"/>
      <c r="STG53" s="10"/>
      <c r="STH53" s="10"/>
      <c r="STI53" s="10"/>
      <c r="STJ53" s="10"/>
      <c r="STK53" s="10"/>
      <c r="STL53" s="10"/>
      <c r="STM53" s="10"/>
      <c r="STN53" s="10"/>
      <c r="STO53" s="10"/>
      <c r="STP53" s="10"/>
      <c r="STQ53" s="10"/>
      <c r="STR53" s="10"/>
      <c r="STS53" s="10"/>
      <c r="STT53" s="10"/>
      <c r="STU53" s="10"/>
      <c r="STV53" s="10"/>
      <c r="STW53" s="10"/>
      <c r="STX53" s="10"/>
      <c r="STY53" s="10"/>
      <c r="STZ53" s="10"/>
      <c r="SUA53" s="10"/>
      <c r="SUB53" s="10"/>
      <c r="SUC53" s="10"/>
      <c r="SUD53" s="10"/>
      <c r="SUE53" s="10"/>
      <c r="SUF53" s="10"/>
      <c r="SUG53" s="10"/>
      <c r="SUH53" s="10"/>
      <c r="SUI53" s="10"/>
      <c r="SUJ53" s="10"/>
      <c r="SUK53" s="10"/>
      <c r="SUL53" s="10"/>
      <c r="SUM53" s="10"/>
      <c r="SUN53" s="10"/>
      <c r="SUO53" s="10"/>
      <c r="SUP53" s="10"/>
      <c r="SUQ53" s="10"/>
      <c r="SUR53" s="10"/>
      <c r="SUS53" s="10"/>
      <c r="SUT53" s="10"/>
      <c r="SUU53" s="10"/>
      <c r="SUV53" s="10"/>
      <c r="SUW53" s="10"/>
      <c r="SUX53" s="10"/>
      <c r="SUY53" s="10"/>
      <c r="SUZ53" s="10"/>
      <c r="SVA53" s="10"/>
      <c r="SVB53" s="10"/>
      <c r="SVC53" s="10"/>
      <c r="SVD53" s="10"/>
      <c r="SVE53" s="10"/>
      <c r="SVF53" s="10"/>
      <c r="SVG53" s="10"/>
      <c r="SVH53" s="10"/>
      <c r="SVI53" s="10"/>
      <c r="SVJ53" s="10"/>
      <c r="SVK53" s="10"/>
      <c r="SVL53" s="10"/>
      <c r="SVM53" s="10"/>
      <c r="SVN53" s="10"/>
      <c r="SVO53" s="10"/>
      <c r="SVP53" s="10"/>
      <c r="SVQ53" s="10"/>
      <c r="SVR53" s="10"/>
      <c r="SVS53" s="10"/>
      <c r="SVT53" s="10"/>
      <c r="SVU53" s="10"/>
      <c r="SVV53" s="10"/>
      <c r="SVW53" s="10"/>
      <c r="SVX53" s="10"/>
      <c r="SVY53" s="10"/>
      <c r="SVZ53" s="10"/>
      <c r="SWA53" s="10"/>
      <c r="SWB53" s="10"/>
      <c r="SWC53" s="10"/>
      <c r="SWD53" s="10"/>
      <c r="SWE53" s="10"/>
      <c r="SWF53" s="10"/>
      <c r="SWG53" s="10"/>
      <c r="SWH53" s="10"/>
      <c r="SWI53" s="10"/>
      <c r="SWJ53" s="10"/>
      <c r="SWK53" s="10"/>
      <c r="SWL53" s="10"/>
      <c r="SWM53" s="10"/>
      <c r="SWN53" s="10"/>
      <c r="SWO53" s="10"/>
      <c r="SWP53" s="10"/>
      <c r="SWQ53" s="10"/>
      <c r="SWR53" s="10"/>
      <c r="SWS53" s="10"/>
      <c r="SWT53" s="10"/>
      <c r="SWU53" s="10"/>
      <c r="SWV53" s="10"/>
      <c r="SWW53" s="10"/>
      <c r="SWX53" s="10"/>
      <c r="SWY53" s="10"/>
      <c r="SWZ53" s="10"/>
      <c r="SXA53" s="10"/>
      <c r="SXB53" s="10"/>
      <c r="SXC53" s="10"/>
      <c r="SXD53" s="10"/>
      <c r="SXE53" s="10"/>
      <c r="SXF53" s="10"/>
      <c r="SXG53" s="10"/>
      <c r="SXH53" s="10"/>
      <c r="SXI53" s="10"/>
      <c r="SXJ53" s="10"/>
      <c r="SXK53" s="10"/>
      <c r="SXL53" s="10"/>
      <c r="SXM53" s="10"/>
      <c r="SXN53" s="10"/>
      <c r="SXO53" s="10"/>
      <c r="SXP53" s="10"/>
      <c r="SXQ53" s="10"/>
      <c r="SXR53" s="10"/>
      <c r="SXS53" s="10"/>
      <c r="SXT53" s="10"/>
      <c r="SXU53" s="10"/>
      <c r="SXV53" s="10"/>
      <c r="SXW53" s="10"/>
      <c r="SXX53" s="10"/>
      <c r="SXY53" s="10"/>
      <c r="SXZ53" s="10"/>
      <c r="SYA53" s="10"/>
      <c r="SYB53" s="10"/>
      <c r="SYC53" s="10"/>
      <c r="SYD53" s="10"/>
      <c r="SYE53" s="10"/>
      <c r="SYF53" s="10"/>
      <c r="SYG53" s="10"/>
      <c r="SYH53" s="10"/>
      <c r="SYI53" s="10"/>
      <c r="SYJ53" s="10"/>
      <c r="SYK53" s="10"/>
      <c r="SYL53" s="10"/>
      <c r="SYM53" s="10"/>
      <c r="SYN53" s="10"/>
      <c r="SYO53" s="10"/>
      <c r="SYP53" s="10"/>
      <c r="SYQ53" s="10"/>
      <c r="SYR53" s="10"/>
      <c r="SYS53" s="10"/>
      <c r="SYT53" s="10"/>
      <c r="SYU53" s="10"/>
      <c r="SYV53" s="10"/>
      <c r="SYW53" s="10"/>
      <c r="SYX53" s="10"/>
      <c r="SYY53" s="10"/>
      <c r="SYZ53" s="10"/>
      <c r="SZA53" s="10"/>
      <c r="SZB53" s="10"/>
      <c r="SZC53" s="10"/>
      <c r="SZD53" s="10"/>
      <c r="SZE53" s="10"/>
      <c r="SZF53" s="10"/>
      <c r="SZG53" s="10"/>
      <c r="SZH53" s="10"/>
      <c r="SZI53" s="10"/>
      <c r="SZJ53" s="10"/>
      <c r="SZK53" s="10"/>
      <c r="SZL53" s="10"/>
      <c r="SZM53" s="10"/>
      <c r="SZN53" s="10"/>
      <c r="SZO53" s="10"/>
      <c r="SZP53" s="10"/>
      <c r="SZQ53" s="10"/>
      <c r="SZR53" s="10"/>
      <c r="SZS53" s="10"/>
      <c r="SZT53" s="10"/>
      <c r="SZU53" s="10"/>
      <c r="SZV53" s="10"/>
      <c r="SZW53" s="10"/>
      <c r="SZX53" s="10"/>
      <c r="SZY53" s="10"/>
      <c r="SZZ53" s="10"/>
      <c r="TAA53" s="10"/>
      <c r="TAB53" s="10"/>
      <c r="TAC53" s="10"/>
      <c r="TAD53" s="10"/>
      <c r="TAE53" s="10"/>
      <c r="TAF53" s="10"/>
      <c r="TAG53" s="10"/>
      <c r="TAH53" s="10"/>
      <c r="TAI53" s="10"/>
      <c r="TAJ53" s="10"/>
      <c r="TAK53" s="10"/>
      <c r="TAL53" s="10"/>
      <c r="TAM53" s="10"/>
      <c r="TAN53" s="10"/>
      <c r="TAO53" s="10"/>
      <c r="TAP53" s="10"/>
      <c r="TAQ53" s="10"/>
      <c r="TAR53" s="10"/>
      <c r="TAS53" s="10"/>
      <c r="TAT53" s="10"/>
      <c r="TAU53" s="10"/>
      <c r="TAV53" s="10"/>
      <c r="TAW53" s="10"/>
      <c r="TAX53" s="10"/>
      <c r="TAY53" s="10"/>
      <c r="TAZ53" s="10"/>
      <c r="TBA53" s="10"/>
      <c r="TBB53" s="10"/>
      <c r="TBC53" s="10"/>
      <c r="TBD53" s="10"/>
      <c r="TBE53" s="10"/>
      <c r="TBF53" s="10"/>
      <c r="TBG53" s="10"/>
      <c r="TBH53" s="10"/>
      <c r="TBI53" s="10"/>
      <c r="TBJ53" s="10"/>
      <c r="TBK53" s="10"/>
      <c r="TBL53" s="10"/>
      <c r="TBM53" s="10"/>
      <c r="TBN53" s="10"/>
      <c r="TBO53" s="10"/>
      <c r="TBP53" s="10"/>
      <c r="TBQ53" s="10"/>
      <c r="TBR53" s="10"/>
      <c r="TBS53" s="10"/>
      <c r="TBT53" s="10"/>
      <c r="TBU53" s="10"/>
      <c r="TBV53" s="10"/>
      <c r="TBW53" s="10"/>
      <c r="TBX53" s="10"/>
      <c r="TBY53" s="10"/>
      <c r="TBZ53" s="10"/>
      <c r="TCA53" s="10"/>
      <c r="TCB53" s="10"/>
      <c r="TCC53" s="10"/>
      <c r="TCD53" s="10"/>
      <c r="TCE53" s="10"/>
      <c r="TCF53" s="10"/>
      <c r="TCG53" s="10"/>
      <c r="TCH53" s="10"/>
      <c r="TCI53" s="10"/>
      <c r="TCJ53" s="10"/>
      <c r="TCK53" s="10"/>
      <c r="TCL53" s="10"/>
      <c r="TCM53" s="10"/>
      <c r="TCN53" s="10"/>
      <c r="TCO53" s="10"/>
      <c r="TCP53" s="10"/>
      <c r="TCQ53" s="10"/>
      <c r="TCR53" s="10"/>
      <c r="TCS53" s="10"/>
      <c r="TCT53" s="10"/>
      <c r="TCU53" s="10"/>
      <c r="TCV53" s="10"/>
      <c r="TCW53" s="10"/>
      <c r="TCX53" s="10"/>
      <c r="TCY53" s="10"/>
      <c r="TCZ53" s="10"/>
      <c r="TDA53" s="10"/>
      <c r="TDB53" s="10"/>
      <c r="TDC53" s="10"/>
      <c r="TDD53" s="10"/>
      <c r="TDE53" s="10"/>
      <c r="TDF53" s="10"/>
      <c r="TDG53" s="10"/>
      <c r="TDH53" s="10"/>
      <c r="TDI53" s="10"/>
      <c r="TDJ53" s="10"/>
      <c r="TDK53" s="10"/>
      <c r="TDL53" s="10"/>
      <c r="TDM53" s="10"/>
      <c r="TDN53" s="10"/>
      <c r="TDO53" s="10"/>
      <c r="TDP53" s="10"/>
      <c r="TDQ53" s="10"/>
      <c r="TDR53" s="10"/>
      <c r="TDS53" s="10"/>
      <c r="TDT53" s="10"/>
      <c r="TDU53" s="10"/>
      <c r="TDV53" s="10"/>
      <c r="TDW53" s="10"/>
      <c r="TDX53" s="10"/>
      <c r="TDY53" s="10"/>
      <c r="TDZ53" s="10"/>
      <c r="TEA53" s="10"/>
      <c r="TEB53" s="10"/>
      <c r="TEC53" s="10"/>
      <c r="TED53" s="10"/>
      <c r="TEE53" s="10"/>
      <c r="TEF53" s="10"/>
      <c r="TEG53" s="10"/>
      <c r="TEH53" s="10"/>
      <c r="TEI53" s="10"/>
      <c r="TEJ53" s="10"/>
      <c r="TEK53" s="10"/>
      <c r="TEL53" s="10"/>
      <c r="TEM53" s="10"/>
      <c r="TEN53" s="10"/>
      <c r="TEO53" s="10"/>
      <c r="TEP53" s="10"/>
      <c r="TEQ53" s="10"/>
      <c r="TER53" s="10"/>
      <c r="TES53" s="10"/>
      <c r="TET53" s="10"/>
      <c r="TEU53" s="10"/>
      <c r="TEV53" s="10"/>
      <c r="TEW53" s="10"/>
      <c r="TEX53" s="10"/>
      <c r="TEY53" s="10"/>
      <c r="TEZ53" s="10"/>
      <c r="TFA53" s="10"/>
      <c r="TFB53" s="10"/>
      <c r="TFC53" s="10"/>
      <c r="TFD53" s="10"/>
      <c r="TFE53" s="10"/>
      <c r="TFF53" s="10"/>
      <c r="TFG53" s="10"/>
      <c r="TFH53" s="10"/>
      <c r="TFI53" s="10"/>
      <c r="TFJ53" s="10"/>
      <c r="TFK53" s="10"/>
      <c r="TFL53" s="10"/>
      <c r="TFM53" s="10"/>
      <c r="TFN53" s="10"/>
      <c r="TFO53" s="10"/>
      <c r="TFP53" s="10"/>
      <c r="TFQ53" s="10"/>
      <c r="TFR53" s="10"/>
      <c r="TFS53" s="10"/>
      <c r="TFT53" s="10"/>
      <c r="TFU53" s="10"/>
      <c r="TFV53" s="10"/>
      <c r="TFW53" s="10"/>
      <c r="TFX53" s="10"/>
      <c r="TFY53" s="10"/>
      <c r="TFZ53" s="10"/>
      <c r="TGA53" s="10"/>
      <c r="TGB53" s="10"/>
      <c r="TGC53" s="10"/>
      <c r="TGD53" s="10"/>
      <c r="TGE53" s="10"/>
      <c r="TGF53" s="10"/>
      <c r="TGG53" s="10"/>
      <c r="TGH53" s="10"/>
      <c r="TGI53" s="10"/>
      <c r="TGJ53" s="10"/>
      <c r="TGK53" s="10"/>
      <c r="TGL53" s="10"/>
      <c r="TGM53" s="10"/>
      <c r="TGN53" s="10"/>
      <c r="TGO53" s="10"/>
      <c r="TGP53" s="10"/>
      <c r="TGQ53" s="10"/>
      <c r="TGR53" s="10"/>
      <c r="TGS53" s="10"/>
      <c r="TGT53" s="10"/>
      <c r="TGU53" s="10"/>
      <c r="TGV53" s="10"/>
      <c r="TGW53" s="10"/>
      <c r="TGX53" s="10"/>
      <c r="TGY53" s="10"/>
      <c r="TGZ53" s="10"/>
      <c r="THA53" s="10"/>
      <c r="THB53" s="10"/>
      <c r="THC53" s="10"/>
      <c r="THD53" s="10"/>
      <c r="THE53" s="10"/>
      <c r="THF53" s="10"/>
      <c r="THG53" s="10"/>
      <c r="THH53" s="10"/>
      <c r="THI53" s="10"/>
      <c r="THJ53" s="10"/>
      <c r="THK53" s="10"/>
      <c r="THL53" s="10"/>
      <c r="THM53" s="10"/>
      <c r="THN53" s="10"/>
      <c r="THO53" s="10"/>
      <c r="THP53" s="10"/>
      <c r="THQ53" s="10"/>
      <c r="THR53" s="10"/>
      <c r="THS53" s="10"/>
      <c r="THT53" s="10"/>
      <c r="THU53" s="10"/>
      <c r="THV53" s="10"/>
      <c r="THW53" s="10"/>
      <c r="THX53" s="10"/>
      <c r="THY53" s="10"/>
      <c r="THZ53" s="10"/>
      <c r="TIA53" s="10"/>
      <c r="TIB53" s="10"/>
      <c r="TIC53" s="10"/>
      <c r="TID53" s="10"/>
      <c r="TIE53" s="10"/>
      <c r="TIF53" s="10"/>
      <c r="TIG53" s="10"/>
      <c r="TIH53" s="10"/>
      <c r="TII53" s="10"/>
      <c r="TIJ53" s="10"/>
      <c r="TIK53" s="10"/>
      <c r="TIL53" s="10"/>
      <c r="TIM53" s="10"/>
      <c r="TIN53" s="10"/>
      <c r="TIO53" s="10"/>
      <c r="TIP53" s="10"/>
      <c r="TIQ53" s="10"/>
      <c r="TIR53" s="10"/>
      <c r="TIS53" s="10"/>
      <c r="TIT53" s="10"/>
      <c r="TIU53" s="10"/>
      <c r="TIV53" s="10"/>
      <c r="TIW53" s="10"/>
      <c r="TIX53" s="10"/>
      <c r="TIY53" s="10"/>
      <c r="TIZ53" s="10"/>
      <c r="TJA53" s="10"/>
      <c r="TJB53" s="10"/>
      <c r="TJC53" s="10"/>
      <c r="TJD53" s="10"/>
      <c r="TJE53" s="10"/>
      <c r="TJF53" s="10"/>
      <c r="TJG53" s="10"/>
      <c r="TJH53" s="10"/>
      <c r="TJI53" s="10"/>
      <c r="TJJ53" s="10"/>
      <c r="TJK53" s="10"/>
      <c r="TJL53" s="10"/>
      <c r="TJM53" s="10"/>
      <c r="TJN53" s="10"/>
      <c r="TJO53" s="10"/>
      <c r="TJP53" s="10"/>
      <c r="TJQ53" s="10"/>
      <c r="TJR53" s="10"/>
      <c r="TJS53" s="10"/>
      <c r="TJT53" s="10"/>
      <c r="TJU53" s="10"/>
      <c r="TJV53" s="10"/>
      <c r="TJW53" s="10"/>
      <c r="TJX53" s="10"/>
      <c r="TJY53" s="10"/>
      <c r="TJZ53" s="10"/>
      <c r="TKA53" s="10"/>
      <c r="TKB53" s="10"/>
      <c r="TKC53" s="10"/>
      <c r="TKD53" s="10"/>
      <c r="TKE53" s="10"/>
      <c r="TKF53" s="10"/>
      <c r="TKG53" s="10"/>
      <c r="TKH53" s="10"/>
      <c r="TKI53" s="10"/>
      <c r="TKJ53" s="10"/>
      <c r="TKK53" s="10"/>
      <c r="TKL53" s="10"/>
      <c r="TKM53" s="10"/>
      <c r="TKN53" s="10"/>
      <c r="TKO53" s="10"/>
      <c r="TKP53" s="10"/>
      <c r="TKQ53" s="10"/>
      <c r="TKR53" s="10"/>
      <c r="TKS53" s="10"/>
      <c r="TKT53" s="10"/>
      <c r="TKU53" s="10"/>
      <c r="TKV53" s="10"/>
      <c r="TKW53" s="10"/>
      <c r="TKX53" s="10"/>
      <c r="TKY53" s="10"/>
      <c r="TKZ53" s="10"/>
      <c r="TLA53" s="10"/>
      <c r="TLB53" s="10"/>
      <c r="TLC53" s="10"/>
      <c r="TLD53" s="10"/>
      <c r="TLE53" s="10"/>
      <c r="TLF53" s="10"/>
      <c r="TLG53" s="10"/>
      <c r="TLH53" s="10"/>
      <c r="TLI53" s="10"/>
      <c r="TLJ53" s="10"/>
      <c r="TLK53" s="10"/>
      <c r="TLL53" s="10"/>
      <c r="TLM53" s="10"/>
      <c r="TLN53" s="10"/>
      <c r="TLO53" s="10"/>
      <c r="TLP53" s="10"/>
      <c r="TLQ53" s="10"/>
      <c r="TLR53" s="10"/>
      <c r="TLS53" s="10"/>
      <c r="TLT53" s="10"/>
      <c r="TLU53" s="10"/>
      <c r="TLV53" s="10"/>
      <c r="TLW53" s="10"/>
      <c r="TLX53" s="10"/>
      <c r="TLY53" s="10"/>
      <c r="TLZ53" s="10"/>
      <c r="TMA53" s="10"/>
      <c r="TMB53" s="10"/>
      <c r="TMC53" s="10"/>
      <c r="TMD53" s="10"/>
      <c r="TME53" s="10"/>
      <c r="TMF53" s="10"/>
      <c r="TMG53" s="10"/>
      <c r="TMH53" s="10"/>
      <c r="TMI53" s="10"/>
      <c r="TMJ53" s="10"/>
      <c r="TMK53" s="10"/>
      <c r="TML53" s="10"/>
      <c r="TMM53" s="10"/>
      <c r="TMN53" s="10"/>
      <c r="TMO53" s="10"/>
      <c r="TMP53" s="10"/>
      <c r="TMQ53" s="10"/>
      <c r="TMR53" s="10"/>
      <c r="TMS53" s="10"/>
      <c r="TMT53" s="10"/>
      <c r="TMU53" s="10"/>
      <c r="TMV53" s="10"/>
      <c r="TMW53" s="10"/>
      <c r="TMX53" s="10"/>
      <c r="TMY53" s="10"/>
      <c r="TMZ53" s="10"/>
      <c r="TNA53" s="10"/>
      <c r="TNB53" s="10"/>
      <c r="TNC53" s="10"/>
      <c r="TND53" s="10"/>
      <c r="TNE53" s="10"/>
      <c r="TNF53" s="10"/>
      <c r="TNG53" s="10"/>
      <c r="TNH53" s="10"/>
      <c r="TNI53" s="10"/>
      <c r="TNJ53" s="10"/>
      <c r="TNK53" s="10"/>
      <c r="TNL53" s="10"/>
      <c r="TNM53" s="10"/>
      <c r="TNN53" s="10"/>
      <c r="TNO53" s="10"/>
      <c r="TNP53" s="10"/>
      <c r="TNQ53" s="10"/>
      <c r="TNR53" s="10"/>
      <c r="TNS53" s="10"/>
      <c r="TNT53" s="10"/>
      <c r="TNU53" s="10"/>
      <c r="TNV53" s="10"/>
      <c r="TNW53" s="10"/>
      <c r="TNX53" s="10"/>
      <c r="TNY53" s="10"/>
      <c r="TNZ53" s="10"/>
      <c r="TOA53" s="10"/>
      <c r="TOB53" s="10"/>
      <c r="TOC53" s="10"/>
      <c r="TOD53" s="10"/>
      <c r="TOE53" s="10"/>
      <c r="TOF53" s="10"/>
      <c r="TOG53" s="10"/>
      <c r="TOH53" s="10"/>
      <c r="TOI53" s="10"/>
      <c r="TOJ53" s="10"/>
      <c r="TOK53" s="10"/>
      <c r="TOL53" s="10"/>
      <c r="TOM53" s="10"/>
      <c r="TON53" s="10"/>
      <c r="TOO53" s="10"/>
      <c r="TOP53" s="10"/>
      <c r="TOQ53" s="10"/>
      <c r="TOR53" s="10"/>
      <c r="TOS53" s="10"/>
      <c r="TOT53" s="10"/>
      <c r="TOU53" s="10"/>
      <c r="TOV53" s="10"/>
      <c r="TOW53" s="10"/>
      <c r="TOX53" s="10"/>
      <c r="TOY53" s="10"/>
      <c r="TOZ53" s="10"/>
      <c r="TPA53" s="10"/>
      <c r="TPB53" s="10"/>
      <c r="TPC53" s="10"/>
      <c r="TPD53" s="10"/>
      <c r="TPE53" s="10"/>
      <c r="TPF53" s="10"/>
      <c r="TPG53" s="10"/>
      <c r="TPH53" s="10"/>
      <c r="TPI53" s="10"/>
      <c r="TPJ53" s="10"/>
      <c r="TPK53" s="10"/>
      <c r="TPL53" s="10"/>
      <c r="TPM53" s="10"/>
      <c r="TPN53" s="10"/>
      <c r="TPO53" s="10"/>
      <c r="TPP53" s="10"/>
      <c r="TPQ53" s="10"/>
      <c r="TPR53" s="10"/>
      <c r="TPS53" s="10"/>
      <c r="TPT53" s="10"/>
      <c r="TPU53" s="10"/>
      <c r="TPV53" s="10"/>
      <c r="TPW53" s="10"/>
      <c r="TPX53" s="10"/>
      <c r="TPY53" s="10"/>
      <c r="TPZ53" s="10"/>
      <c r="TQA53" s="10"/>
      <c r="TQB53" s="10"/>
      <c r="TQC53" s="10"/>
      <c r="TQD53" s="10"/>
      <c r="TQE53" s="10"/>
      <c r="TQF53" s="10"/>
      <c r="TQG53" s="10"/>
      <c r="TQH53" s="10"/>
      <c r="TQI53" s="10"/>
      <c r="TQJ53" s="10"/>
      <c r="TQK53" s="10"/>
      <c r="TQL53" s="10"/>
      <c r="TQM53" s="10"/>
      <c r="TQN53" s="10"/>
      <c r="TQO53" s="10"/>
      <c r="TQP53" s="10"/>
      <c r="TQQ53" s="10"/>
      <c r="TQR53" s="10"/>
      <c r="TQS53" s="10"/>
      <c r="TQT53" s="10"/>
      <c r="TQU53" s="10"/>
      <c r="TQV53" s="10"/>
      <c r="TQW53" s="10"/>
      <c r="TQX53" s="10"/>
      <c r="TQY53" s="10"/>
      <c r="TQZ53" s="10"/>
      <c r="TRA53" s="10"/>
      <c r="TRB53" s="10"/>
      <c r="TRC53" s="10"/>
      <c r="TRD53" s="10"/>
      <c r="TRE53" s="10"/>
      <c r="TRF53" s="10"/>
      <c r="TRG53" s="10"/>
      <c r="TRH53" s="10"/>
      <c r="TRI53" s="10"/>
      <c r="TRJ53" s="10"/>
      <c r="TRK53" s="10"/>
      <c r="TRL53" s="10"/>
      <c r="TRM53" s="10"/>
      <c r="TRN53" s="10"/>
      <c r="TRO53" s="10"/>
      <c r="TRP53" s="10"/>
      <c r="TRQ53" s="10"/>
      <c r="TRR53" s="10"/>
      <c r="TRS53" s="10"/>
      <c r="TRT53" s="10"/>
      <c r="TRU53" s="10"/>
      <c r="TRV53" s="10"/>
      <c r="TRW53" s="10"/>
      <c r="TRX53" s="10"/>
      <c r="TRY53" s="10"/>
      <c r="TRZ53" s="10"/>
      <c r="TSA53" s="10"/>
      <c r="TSB53" s="10"/>
      <c r="TSC53" s="10"/>
      <c r="TSD53" s="10"/>
      <c r="TSE53" s="10"/>
      <c r="TSF53" s="10"/>
      <c r="TSG53" s="10"/>
      <c r="TSH53" s="10"/>
      <c r="TSI53" s="10"/>
      <c r="TSJ53" s="10"/>
      <c r="TSK53" s="10"/>
      <c r="TSL53" s="10"/>
      <c r="TSM53" s="10"/>
      <c r="TSN53" s="10"/>
      <c r="TSO53" s="10"/>
      <c r="TSP53" s="10"/>
      <c r="TSQ53" s="10"/>
      <c r="TSR53" s="10"/>
      <c r="TSS53" s="10"/>
      <c r="TST53" s="10"/>
      <c r="TSU53" s="10"/>
      <c r="TSV53" s="10"/>
      <c r="TSW53" s="10"/>
      <c r="TSX53" s="10"/>
      <c r="TSY53" s="10"/>
      <c r="TSZ53" s="10"/>
      <c r="TTA53" s="10"/>
      <c r="TTB53" s="10"/>
      <c r="TTC53" s="10"/>
      <c r="TTD53" s="10"/>
      <c r="TTE53" s="10"/>
      <c r="TTF53" s="10"/>
      <c r="TTG53" s="10"/>
      <c r="TTH53" s="10"/>
      <c r="TTI53" s="10"/>
      <c r="TTJ53" s="10"/>
      <c r="TTK53" s="10"/>
      <c r="TTL53" s="10"/>
      <c r="TTM53" s="10"/>
      <c r="TTN53" s="10"/>
      <c r="TTO53" s="10"/>
      <c r="TTP53" s="10"/>
      <c r="TTQ53" s="10"/>
      <c r="TTR53" s="10"/>
      <c r="TTS53" s="10"/>
      <c r="TTT53" s="10"/>
      <c r="TTU53" s="10"/>
      <c r="TTV53" s="10"/>
      <c r="TTW53" s="10"/>
      <c r="TTX53" s="10"/>
      <c r="TTY53" s="10"/>
      <c r="TTZ53" s="10"/>
      <c r="TUA53" s="10"/>
      <c r="TUB53" s="10"/>
      <c r="TUC53" s="10"/>
      <c r="TUD53" s="10"/>
      <c r="TUE53" s="10"/>
      <c r="TUF53" s="10"/>
      <c r="TUG53" s="10"/>
      <c r="TUH53" s="10"/>
      <c r="TUI53" s="10"/>
      <c r="TUJ53" s="10"/>
      <c r="TUK53" s="10"/>
      <c r="TUL53" s="10"/>
      <c r="TUM53" s="10"/>
      <c r="TUN53" s="10"/>
      <c r="TUO53" s="10"/>
      <c r="TUP53" s="10"/>
      <c r="TUQ53" s="10"/>
      <c r="TUR53" s="10"/>
      <c r="TUS53" s="10"/>
      <c r="TUT53" s="10"/>
      <c r="TUU53" s="10"/>
      <c r="TUV53" s="10"/>
      <c r="TUW53" s="10"/>
      <c r="TUX53" s="10"/>
      <c r="TUY53" s="10"/>
      <c r="TUZ53" s="10"/>
      <c r="TVA53" s="10"/>
      <c r="TVB53" s="10"/>
      <c r="TVC53" s="10"/>
      <c r="TVD53" s="10"/>
      <c r="TVE53" s="10"/>
      <c r="TVF53" s="10"/>
      <c r="TVG53" s="10"/>
      <c r="TVH53" s="10"/>
      <c r="TVI53" s="10"/>
      <c r="TVJ53" s="10"/>
      <c r="TVK53" s="10"/>
      <c r="TVL53" s="10"/>
      <c r="TVM53" s="10"/>
      <c r="TVN53" s="10"/>
      <c r="TVO53" s="10"/>
      <c r="TVP53" s="10"/>
      <c r="TVQ53" s="10"/>
      <c r="TVR53" s="10"/>
      <c r="TVS53" s="10"/>
      <c r="TVT53" s="10"/>
      <c r="TVU53" s="10"/>
      <c r="TVV53" s="10"/>
      <c r="TVW53" s="10"/>
      <c r="TVX53" s="10"/>
      <c r="TVY53" s="10"/>
      <c r="TVZ53" s="10"/>
      <c r="TWA53" s="10"/>
      <c r="TWB53" s="10"/>
      <c r="TWC53" s="10"/>
      <c r="TWD53" s="10"/>
      <c r="TWE53" s="10"/>
      <c r="TWF53" s="10"/>
      <c r="TWG53" s="10"/>
      <c r="TWH53" s="10"/>
      <c r="TWI53" s="10"/>
      <c r="TWJ53" s="10"/>
      <c r="TWK53" s="10"/>
      <c r="TWL53" s="10"/>
      <c r="TWM53" s="10"/>
      <c r="TWN53" s="10"/>
      <c r="TWO53" s="10"/>
      <c r="TWP53" s="10"/>
      <c r="TWQ53" s="10"/>
      <c r="TWR53" s="10"/>
      <c r="TWS53" s="10"/>
      <c r="TWT53" s="10"/>
      <c r="TWU53" s="10"/>
      <c r="TWV53" s="10"/>
      <c r="TWW53" s="10"/>
      <c r="TWX53" s="10"/>
      <c r="TWY53" s="10"/>
      <c r="TWZ53" s="10"/>
      <c r="TXA53" s="10"/>
      <c r="TXB53" s="10"/>
      <c r="TXC53" s="10"/>
      <c r="TXD53" s="10"/>
      <c r="TXE53" s="10"/>
      <c r="TXF53" s="10"/>
      <c r="TXG53" s="10"/>
      <c r="TXH53" s="10"/>
      <c r="TXI53" s="10"/>
      <c r="TXJ53" s="10"/>
      <c r="TXK53" s="10"/>
      <c r="TXL53" s="10"/>
      <c r="TXM53" s="10"/>
      <c r="TXN53" s="10"/>
      <c r="TXO53" s="10"/>
      <c r="TXP53" s="10"/>
      <c r="TXQ53" s="10"/>
      <c r="TXR53" s="10"/>
      <c r="TXS53" s="10"/>
      <c r="TXT53" s="10"/>
      <c r="TXU53" s="10"/>
      <c r="TXV53" s="10"/>
      <c r="TXW53" s="10"/>
      <c r="TXX53" s="10"/>
      <c r="TXY53" s="10"/>
      <c r="TXZ53" s="10"/>
      <c r="TYA53" s="10"/>
      <c r="TYB53" s="10"/>
      <c r="TYC53" s="10"/>
      <c r="TYD53" s="10"/>
      <c r="TYE53" s="10"/>
      <c r="TYF53" s="10"/>
      <c r="TYG53" s="10"/>
      <c r="TYH53" s="10"/>
      <c r="TYI53" s="10"/>
      <c r="TYJ53" s="10"/>
      <c r="TYK53" s="10"/>
      <c r="TYL53" s="10"/>
      <c r="TYM53" s="10"/>
      <c r="TYN53" s="10"/>
      <c r="TYO53" s="10"/>
      <c r="TYP53" s="10"/>
      <c r="TYQ53" s="10"/>
      <c r="TYR53" s="10"/>
      <c r="TYS53" s="10"/>
      <c r="TYT53" s="10"/>
      <c r="TYU53" s="10"/>
      <c r="TYV53" s="10"/>
      <c r="TYW53" s="10"/>
      <c r="TYX53" s="10"/>
      <c r="TYY53" s="10"/>
      <c r="TYZ53" s="10"/>
      <c r="TZA53" s="10"/>
      <c r="TZB53" s="10"/>
      <c r="TZC53" s="10"/>
      <c r="TZD53" s="10"/>
      <c r="TZE53" s="10"/>
      <c r="TZF53" s="10"/>
      <c r="TZG53" s="10"/>
      <c r="TZH53" s="10"/>
      <c r="TZI53" s="10"/>
      <c r="TZJ53" s="10"/>
      <c r="TZK53" s="10"/>
      <c r="TZL53" s="10"/>
      <c r="TZM53" s="10"/>
      <c r="TZN53" s="10"/>
      <c r="TZO53" s="10"/>
      <c r="TZP53" s="10"/>
      <c r="TZQ53" s="10"/>
      <c r="TZR53" s="10"/>
      <c r="TZS53" s="10"/>
      <c r="TZT53" s="10"/>
      <c r="TZU53" s="10"/>
      <c r="TZV53" s="10"/>
      <c r="TZW53" s="10"/>
      <c r="TZX53" s="10"/>
      <c r="TZY53" s="10"/>
      <c r="TZZ53" s="10"/>
      <c r="UAA53" s="10"/>
      <c r="UAB53" s="10"/>
      <c r="UAC53" s="10"/>
      <c r="UAD53" s="10"/>
      <c r="UAE53" s="10"/>
      <c r="UAF53" s="10"/>
      <c r="UAG53" s="10"/>
      <c r="UAH53" s="10"/>
      <c r="UAI53" s="10"/>
      <c r="UAJ53" s="10"/>
      <c r="UAK53" s="10"/>
      <c r="UAL53" s="10"/>
      <c r="UAM53" s="10"/>
      <c r="UAN53" s="10"/>
      <c r="UAO53" s="10"/>
      <c r="UAP53" s="10"/>
      <c r="UAQ53" s="10"/>
      <c r="UAR53" s="10"/>
      <c r="UAS53" s="10"/>
      <c r="UAT53" s="10"/>
      <c r="UAU53" s="10"/>
      <c r="UAV53" s="10"/>
      <c r="UAW53" s="10"/>
      <c r="UAX53" s="10"/>
      <c r="UAY53" s="10"/>
      <c r="UAZ53" s="10"/>
      <c r="UBA53" s="10"/>
      <c r="UBB53" s="10"/>
      <c r="UBC53" s="10"/>
      <c r="UBD53" s="10"/>
      <c r="UBE53" s="10"/>
      <c r="UBF53" s="10"/>
      <c r="UBG53" s="10"/>
      <c r="UBH53" s="10"/>
      <c r="UBI53" s="10"/>
      <c r="UBJ53" s="10"/>
      <c r="UBK53" s="10"/>
      <c r="UBL53" s="10"/>
      <c r="UBM53" s="10"/>
      <c r="UBN53" s="10"/>
      <c r="UBO53" s="10"/>
      <c r="UBP53" s="10"/>
      <c r="UBQ53" s="10"/>
      <c r="UBR53" s="10"/>
      <c r="UBS53" s="10"/>
      <c r="UBT53" s="10"/>
      <c r="UBU53" s="10"/>
      <c r="UBV53" s="10"/>
      <c r="UBW53" s="10"/>
      <c r="UBX53" s="10"/>
      <c r="UBY53" s="10"/>
      <c r="UBZ53" s="10"/>
      <c r="UCA53" s="10"/>
      <c r="UCB53" s="10"/>
      <c r="UCC53" s="10"/>
      <c r="UCD53" s="10"/>
      <c r="UCE53" s="10"/>
      <c r="UCF53" s="10"/>
      <c r="UCG53" s="10"/>
      <c r="UCH53" s="10"/>
      <c r="UCI53" s="10"/>
      <c r="UCJ53" s="10"/>
      <c r="UCK53" s="10"/>
      <c r="UCL53" s="10"/>
      <c r="UCM53" s="10"/>
      <c r="UCN53" s="10"/>
      <c r="UCO53" s="10"/>
      <c r="UCP53" s="10"/>
      <c r="UCQ53" s="10"/>
      <c r="UCR53" s="10"/>
      <c r="UCS53" s="10"/>
      <c r="UCT53" s="10"/>
      <c r="UCU53" s="10"/>
      <c r="UCV53" s="10"/>
      <c r="UCW53" s="10"/>
      <c r="UCX53" s="10"/>
      <c r="UCY53" s="10"/>
      <c r="UCZ53" s="10"/>
      <c r="UDA53" s="10"/>
      <c r="UDB53" s="10"/>
      <c r="UDC53" s="10"/>
      <c r="UDD53" s="10"/>
      <c r="UDE53" s="10"/>
      <c r="UDF53" s="10"/>
      <c r="UDG53" s="10"/>
      <c r="UDH53" s="10"/>
      <c r="UDI53" s="10"/>
      <c r="UDJ53" s="10"/>
      <c r="UDK53" s="10"/>
      <c r="UDL53" s="10"/>
      <c r="UDM53" s="10"/>
      <c r="UDN53" s="10"/>
      <c r="UDO53" s="10"/>
      <c r="UDP53" s="10"/>
      <c r="UDQ53" s="10"/>
      <c r="UDR53" s="10"/>
      <c r="UDS53" s="10"/>
      <c r="UDT53" s="10"/>
      <c r="UDU53" s="10"/>
      <c r="UDV53" s="10"/>
      <c r="UDW53" s="10"/>
      <c r="UDX53" s="10"/>
      <c r="UDY53" s="10"/>
      <c r="UDZ53" s="10"/>
      <c r="UEA53" s="10"/>
      <c r="UEB53" s="10"/>
      <c r="UEC53" s="10"/>
      <c r="UED53" s="10"/>
      <c r="UEE53" s="10"/>
      <c r="UEF53" s="10"/>
      <c r="UEG53" s="10"/>
      <c r="UEH53" s="10"/>
      <c r="UEI53" s="10"/>
      <c r="UEJ53" s="10"/>
      <c r="UEK53" s="10"/>
      <c r="UEL53" s="10"/>
      <c r="UEM53" s="10"/>
      <c r="UEN53" s="10"/>
      <c r="UEO53" s="10"/>
      <c r="UEP53" s="10"/>
      <c r="UEQ53" s="10"/>
      <c r="UER53" s="10"/>
      <c r="UES53" s="10"/>
      <c r="UET53" s="10"/>
      <c r="UEU53" s="10"/>
      <c r="UEV53" s="10"/>
      <c r="UEW53" s="10"/>
      <c r="UEX53" s="10"/>
      <c r="UEY53" s="10"/>
      <c r="UEZ53" s="10"/>
      <c r="UFA53" s="10"/>
      <c r="UFB53" s="10"/>
      <c r="UFC53" s="10"/>
      <c r="UFD53" s="10"/>
      <c r="UFE53" s="10"/>
      <c r="UFF53" s="10"/>
      <c r="UFG53" s="10"/>
      <c r="UFH53" s="10"/>
      <c r="UFI53" s="10"/>
      <c r="UFJ53" s="10"/>
      <c r="UFK53" s="10"/>
      <c r="UFL53" s="10"/>
      <c r="UFM53" s="10"/>
      <c r="UFN53" s="10"/>
      <c r="UFO53" s="10"/>
      <c r="UFP53" s="10"/>
      <c r="UFQ53" s="10"/>
      <c r="UFR53" s="10"/>
      <c r="UFS53" s="10"/>
      <c r="UFT53" s="10"/>
      <c r="UFU53" s="10"/>
      <c r="UFV53" s="10"/>
      <c r="UFW53" s="10"/>
      <c r="UFX53" s="10"/>
      <c r="UFY53" s="10"/>
      <c r="UFZ53" s="10"/>
      <c r="UGA53" s="10"/>
      <c r="UGB53" s="10"/>
      <c r="UGC53" s="10"/>
      <c r="UGD53" s="10"/>
      <c r="UGE53" s="10"/>
      <c r="UGF53" s="10"/>
      <c r="UGG53" s="10"/>
      <c r="UGH53" s="10"/>
      <c r="UGI53" s="10"/>
      <c r="UGJ53" s="10"/>
      <c r="UGK53" s="10"/>
      <c r="UGL53" s="10"/>
      <c r="UGM53" s="10"/>
      <c r="UGN53" s="10"/>
      <c r="UGO53" s="10"/>
      <c r="UGP53" s="10"/>
      <c r="UGQ53" s="10"/>
      <c r="UGR53" s="10"/>
      <c r="UGS53" s="10"/>
      <c r="UGT53" s="10"/>
      <c r="UGU53" s="10"/>
      <c r="UGV53" s="10"/>
      <c r="UGW53" s="10"/>
      <c r="UGX53" s="10"/>
      <c r="UGY53" s="10"/>
      <c r="UGZ53" s="10"/>
      <c r="UHA53" s="10"/>
      <c r="UHB53" s="10"/>
      <c r="UHC53" s="10"/>
      <c r="UHD53" s="10"/>
      <c r="UHE53" s="10"/>
      <c r="UHF53" s="10"/>
      <c r="UHG53" s="10"/>
      <c r="UHH53" s="10"/>
      <c r="UHI53" s="10"/>
      <c r="UHJ53" s="10"/>
      <c r="UHK53" s="10"/>
      <c r="UHL53" s="10"/>
      <c r="UHM53" s="10"/>
      <c r="UHN53" s="10"/>
      <c r="UHO53" s="10"/>
      <c r="UHP53" s="10"/>
      <c r="UHQ53" s="10"/>
      <c r="UHR53" s="10"/>
      <c r="UHS53" s="10"/>
      <c r="UHT53" s="10"/>
      <c r="UHU53" s="10"/>
      <c r="UHV53" s="10"/>
      <c r="UHW53" s="10"/>
      <c r="UHX53" s="10"/>
      <c r="UHY53" s="10"/>
      <c r="UHZ53" s="10"/>
      <c r="UIA53" s="10"/>
      <c r="UIB53" s="10"/>
      <c r="UIC53" s="10"/>
      <c r="UID53" s="10"/>
      <c r="UIE53" s="10"/>
      <c r="UIF53" s="10"/>
      <c r="UIG53" s="10"/>
      <c r="UIH53" s="10"/>
      <c r="UII53" s="10"/>
      <c r="UIJ53" s="10"/>
      <c r="UIK53" s="10"/>
      <c r="UIL53" s="10"/>
      <c r="UIM53" s="10"/>
      <c r="UIN53" s="10"/>
      <c r="UIO53" s="10"/>
      <c r="UIP53" s="10"/>
      <c r="UIQ53" s="10"/>
      <c r="UIR53" s="10"/>
      <c r="UIS53" s="10"/>
      <c r="UIT53" s="10"/>
      <c r="UIU53" s="10"/>
      <c r="UIV53" s="10"/>
      <c r="UIW53" s="10"/>
      <c r="UIX53" s="10"/>
      <c r="UIY53" s="10"/>
      <c r="UIZ53" s="10"/>
      <c r="UJA53" s="10"/>
      <c r="UJB53" s="10"/>
      <c r="UJC53" s="10"/>
      <c r="UJD53" s="10"/>
      <c r="UJE53" s="10"/>
      <c r="UJF53" s="10"/>
      <c r="UJG53" s="10"/>
      <c r="UJH53" s="10"/>
      <c r="UJI53" s="10"/>
      <c r="UJJ53" s="10"/>
      <c r="UJK53" s="10"/>
      <c r="UJL53" s="10"/>
      <c r="UJM53" s="10"/>
      <c r="UJN53" s="10"/>
      <c r="UJO53" s="10"/>
      <c r="UJP53" s="10"/>
      <c r="UJQ53" s="10"/>
      <c r="UJR53" s="10"/>
      <c r="UJS53" s="10"/>
      <c r="UJT53" s="10"/>
      <c r="UJU53" s="10"/>
      <c r="UJV53" s="10"/>
      <c r="UJW53" s="10"/>
      <c r="UJX53" s="10"/>
      <c r="UJY53" s="10"/>
      <c r="UJZ53" s="10"/>
      <c r="UKA53" s="10"/>
      <c r="UKB53" s="10"/>
      <c r="UKC53" s="10"/>
      <c r="UKD53" s="10"/>
      <c r="UKE53" s="10"/>
      <c r="UKF53" s="10"/>
      <c r="UKG53" s="10"/>
      <c r="UKH53" s="10"/>
      <c r="UKI53" s="10"/>
      <c r="UKJ53" s="10"/>
      <c r="UKK53" s="10"/>
      <c r="UKL53" s="10"/>
      <c r="UKM53" s="10"/>
      <c r="UKN53" s="10"/>
      <c r="UKO53" s="10"/>
      <c r="UKP53" s="10"/>
      <c r="UKQ53" s="10"/>
      <c r="UKR53" s="10"/>
      <c r="UKS53" s="10"/>
      <c r="UKT53" s="10"/>
      <c r="UKU53" s="10"/>
      <c r="UKV53" s="10"/>
      <c r="UKW53" s="10"/>
      <c r="UKX53" s="10"/>
      <c r="UKY53" s="10"/>
      <c r="UKZ53" s="10"/>
      <c r="ULA53" s="10"/>
      <c r="ULB53" s="10"/>
      <c r="ULC53" s="10"/>
      <c r="ULD53" s="10"/>
      <c r="ULE53" s="10"/>
      <c r="ULF53" s="10"/>
      <c r="ULG53" s="10"/>
      <c r="ULH53" s="10"/>
      <c r="ULI53" s="10"/>
      <c r="ULJ53" s="10"/>
      <c r="ULK53" s="10"/>
      <c r="ULL53" s="10"/>
      <c r="ULM53" s="10"/>
      <c r="ULN53" s="10"/>
      <c r="ULO53" s="10"/>
      <c r="ULP53" s="10"/>
      <c r="ULQ53" s="10"/>
      <c r="ULR53" s="10"/>
      <c r="ULS53" s="10"/>
      <c r="ULT53" s="10"/>
      <c r="ULU53" s="10"/>
      <c r="ULV53" s="10"/>
      <c r="ULW53" s="10"/>
      <c r="ULX53" s="10"/>
      <c r="ULY53" s="10"/>
      <c r="ULZ53" s="10"/>
      <c r="UMA53" s="10"/>
      <c r="UMB53" s="10"/>
      <c r="UMC53" s="10"/>
      <c r="UMD53" s="10"/>
      <c r="UME53" s="10"/>
      <c r="UMF53" s="10"/>
      <c r="UMG53" s="10"/>
      <c r="UMH53" s="10"/>
      <c r="UMI53" s="10"/>
      <c r="UMJ53" s="10"/>
      <c r="UMK53" s="10"/>
      <c r="UML53" s="10"/>
      <c r="UMM53" s="10"/>
      <c r="UMN53" s="10"/>
      <c r="UMO53" s="10"/>
      <c r="UMP53" s="10"/>
      <c r="UMQ53" s="10"/>
      <c r="UMR53" s="10"/>
      <c r="UMS53" s="10"/>
      <c r="UMT53" s="10"/>
      <c r="UMU53" s="10"/>
      <c r="UMV53" s="10"/>
      <c r="UMW53" s="10"/>
      <c r="UMX53" s="10"/>
      <c r="UMY53" s="10"/>
      <c r="UMZ53" s="10"/>
      <c r="UNA53" s="10"/>
      <c r="UNB53" s="10"/>
      <c r="UNC53" s="10"/>
      <c r="UND53" s="10"/>
      <c r="UNE53" s="10"/>
      <c r="UNF53" s="10"/>
      <c r="UNG53" s="10"/>
      <c r="UNH53" s="10"/>
      <c r="UNI53" s="10"/>
      <c r="UNJ53" s="10"/>
      <c r="UNK53" s="10"/>
      <c r="UNL53" s="10"/>
      <c r="UNM53" s="10"/>
      <c r="UNN53" s="10"/>
      <c r="UNO53" s="10"/>
      <c r="UNP53" s="10"/>
      <c r="UNQ53" s="10"/>
      <c r="UNR53" s="10"/>
      <c r="UNS53" s="10"/>
      <c r="UNT53" s="10"/>
      <c r="UNU53" s="10"/>
      <c r="UNV53" s="10"/>
      <c r="UNW53" s="10"/>
      <c r="UNX53" s="10"/>
      <c r="UNY53" s="10"/>
      <c r="UNZ53" s="10"/>
      <c r="UOA53" s="10"/>
      <c r="UOB53" s="10"/>
      <c r="UOC53" s="10"/>
      <c r="UOD53" s="10"/>
      <c r="UOE53" s="10"/>
      <c r="UOF53" s="10"/>
      <c r="UOG53" s="10"/>
      <c r="UOH53" s="10"/>
      <c r="UOI53" s="10"/>
      <c r="UOJ53" s="10"/>
      <c r="UOK53" s="10"/>
      <c r="UOL53" s="10"/>
      <c r="UOM53" s="10"/>
      <c r="UON53" s="10"/>
      <c r="UOO53" s="10"/>
      <c r="UOP53" s="10"/>
      <c r="UOQ53" s="10"/>
      <c r="UOR53" s="10"/>
      <c r="UOS53" s="10"/>
      <c r="UOT53" s="10"/>
      <c r="UOU53" s="10"/>
      <c r="UOV53" s="10"/>
      <c r="UOW53" s="10"/>
      <c r="UOX53" s="10"/>
      <c r="UOY53" s="10"/>
      <c r="UOZ53" s="10"/>
      <c r="UPA53" s="10"/>
      <c r="UPB53" s="10"/>
      <c r="UPC53" s="10"/>
      <c r="UPD53" s="10"/>
      <c r="UPE53" s="10"/>
      <c r="UPF53" s="10"/>
      <c r="UPG53" s="10"/>
      <c r="UPH53" s="10"/>
      <c r="UPI53" s="10"/>
      <c r="UPJ53" s="10"/>
      <c r="UPK53" s="10"/>
      <c r="UPL53" s="10"/>
      <c r="UPM53" s="10"/>
      <c r="UPN53" s="10"/>
      <c r="UPO53" s="10"/>
      <c r="UPP53" s="10"/>
      <c r="UPQ53" s="10"/>
      <c r="UPR53" s="10"/>
      <c r="UPS53" s="10"/>
      <c r="UPT53" s="10"/>
      <c r="UPU53" s="10"/>
      <c r="UPV53" s="10"/>
      <c r="UPW53" s="10"/>
      <c r="UPX53" s="10"/>
      <c r="UPY53" s="10"/>
      <c r="UPZ53" s="10"/>
      <c r="UQA53" s="10"/>
      <c r="UQB53" s="10"/>
      <c r="UQC53" s="10"/>
      <c r="UQD53" s="10"/>
      <c r="UQE53" s="10"/>
      <c r="UQF53" s="10"/>
      <c r="UQG53" s="10"/>
      <c r="UQH53" s="10"/>
      <c r="UQI53" s="10"/>
      <c r="UQJ53" s="10"/>
      <c r="UQK53" s="10"/>
      <c r="UQL53" s="10"/>
      <c r="UQM53" s="10"/>
      <c r="UQN53" s="10"/>
      <c r="UQO53" s="10"/>
      <c r="UQP53" s="10"/>
      <c r="UQQ53" s="10"/>
      <c r="UQR53" s="10"/>
      <c r="UQS53" s="10"/>
      <c r="UQT53" s="10"/>
      <c r="UQU53" s="10"/>
      <c r="UQV53" s="10"/>
      <c r="UQW53" s="10"/>
      <c r="UQX53" s="10"/>
      <c r="UQY53" s="10"/>
      <c r="UQZ53" s="10"/>
      <c r="URA53" s="10"/>
      <c r="URB53" s="10"/>
      <c r="URC53" s="10"/>
      <c r="URD53" s="10"/>
      <c r="URE53" s="10"/>
      <c r="URF53" s="10"/>
      <c r="URG53" s="10"/>
      <c r="URH53" s="10"/>
      <c r="URI53" s="10"/>
      <c r="URJ53" s="10"/>
      <c r="URK53" s="10"/>
      <c r="URL53" s="10"/>
      <c r="URM53" s="10"/>
      <c r="URN53" s="10"/>
      <c r="URO53" s="10"/>
      <c r="URP53" s="10"/>
      <c r="URQ53" s="10"/>
      <c r="URR53" s="10"/>
      <c r="URS53" s="10"/>
      <c r="URT53" s="10"/>
      <c r="URU53" s="10"/>
      <c r="URV53" s="10"/>
      <c r="URW53" s="10"/>
      <c r="URX53" s="10"/>
      <c r="URY53" s="10"/>
      <c r="URZ53" s="10"/>
      <c r="USA53" s="10"/>
      <c r="USB53" s="10"/>
      <c r="USC53" s="10"/>
      <c r="USD53" s="10"/>
      <c r="USE53" s="10"/>
      <c r="USF53" s="10"/>
      <c r="USG53" s="10"/>
      <c r="USH53" s="10"/>
      <c r="USI53" s="10"/>
      <c r="USJ53" s="10"/>
      <c r="USK53" s="10"/>
      <c r="USL53" s="10"/>
      <c r="USM53" s="10"/>
      <c r="USN53" s="10"/>
      <c r="USO53" s="10"/>
      <c r="USP53" s="10"/>
      <c r="USQ53" s="10"/>
      <c r="USR53" s="10"/>
      <c r="USS53" s="10"/>
      <c r="UST53" s="10"/>
      <c r="USU53" s="10"/>
      <c r="USV53" s="10"/>
      <c r="USW53" s="10"/>
      <c r="USX53" s="10"/>
      <c r="USY53" s="10"/>
      <c r="USZ53" s="10"/>
      <c r="UTA53" s="10"/>
      <c r="UTB53" s="10"/>
      <c r="UTC53" s="10"/>
      <c r="UTD53" s="10"/>
      <c r="UTE53" s="10"/>
      <c r="UTF53" s="10"/>
      <c r="UTG53" s="10"/>
      <c r="UTH53" s="10"/>
      <c r="UTI53" s="10"/>
      <c r="UTJ53" s="10"/>
      <c r="UTK53" s="10"/>
      <c r="UTL53" s="10"/>
      <c r="UTM53" s="10"/>
      <c r="UTN53" s="10"/>
      <c r="UTO53" s="10"/>
      <c r="UTP53" s="10"/>
      <c r="UTQ53" s="10"/>
      <c r="UTR53" s="10"/>
      <c r="UTS53" s="10"/>
      <c r="UTT53" s="10"/>
      <c r="UTU53" s="10"/>
      <c r="UTV53" s="10"/>
      <c r="UTW53" s="10"/>
      <c r="UTX53" s="10"/>
      <c r="UTY53" s="10"/>
      <c r="UTZ53" s="10"/>
      <c r="UUA53" s="10"/>
      <c r="UUB53" s="10"/>
      <c r="UUC53" s="10"/>
      <c r="UUD53" s="10"/>
      <c r="UUE53" s="10"/>
      <c r="UUF53" s="10"/>
      <c r="UUG53" s="10"/>
      <c r="UUH53" s="10"/>
      <c r="UUI53" s="10"/>
      <c r="UUJ53" s="10"/>
      <c r="UUK53" s="10"/>
      <c r="UUL53" s="10"/>
      <c r="UUM53" s="10"/>
      <c r="UUN53" s="10"/>
      <c r="UUO53" s="10"/>
      <c r="UUP53" s="10"/>
      <c r="UUQ53" s="10"/>
      <c r="UUR53" s="10"/>
      <c r="UUS53" s="10"/>
      <c r="UUT53" s="10"/>
      <c r="UUU53" s="10"/>
      <c r="UUV53" s="10"/>
      <c r="UUW53" s="10"/>
      <c r="UUX53" s="10"/>
      <c r="UUY53" s="10"/>
      <c r="UUZ53" s="10"/>
      <c r="UVA53" s="10"/>
      <c r="UVB53" s="10"/>
      <c r="UVC53" s="10"/>
      <c r="UVD53" s="10"/>
      <c r="UVE53" s="10"/>
      <c r="UVF53" s="10"/>
      <c r="UVG53" s="10"/>
      <c r="UVH53" s="10"/>
      <c r="UVI53" s="10"/>
      <c r="UVJ53" s="10"/>
      <c r="UVK53" s="10"/>
      <c r="UVL53" s="10"/>
      <c r="UVM53" s="10"/>
      <c r="UVN53" s="10"/>
      <c r="UVO53" s="10"/>
      <c r="UVP53" s="10"/>
      <c r="UVQ53" s="10"/>
      <c r="UVR53" s="10"/>
      <c r="UVS53" s="10"/>
      <c r="UVT53" s="10"/>
      <c r="UVU53" s="10"/>
      <c r="UVV53" s="10"/>
      <c r="UVW53" s="10"/>
      <c r="UVX53" s="10"/>
      <c r="UVY53" s="10"/>
      <c r="UVZ53" s="10"/>
      <c r="UWA53" s="10"/>
      <c r="UWB53" s="10"/>
      <c r="UWC53" s="10"/>
      <c r="UWD53" s="10"/>
      <c r="UWE53" s="10"/>
      <c r="UWF53" s="10"/>
      <c r="UWG53" s="10"/>
      <c r="UWH53" s="10"/>
      <c r="UWI53" s="10"/>
      <c r="UWJ53" s="10"/>
      <c r="UWK53" s="10"/>
      <c r="UWL53" s="10"/>
      <c r="UWM53" s="10"/>
      <c r="UWN53" s="10"/>
      <c r="UWO53" s="10"/>
      <c r="UWP53" s="10"/>
      <c r="UWQ53" s="10"/>
      <c r="UWR53" s="10"/>
      <c r="UWS53" s="10"/>
      <c r="UWT53" s="10"/>
      <c r="UWU53" s="10"/>
      <c r="UWV53" s="10"/>
      <c r="UWW53" s="10"/>
      <c r="UWX53" s="10"/>
      <c r="UWY53" s="10"/>
      <c r="UWZ53" s="10"/>
      <c r="UXA53" s="10"/>
      <c r="UXB53" s="10"/>
      <c r="UXC53" s="10"/>
      <c r="UXD53" s="10"/>
      <c r="UXE53" s="10"/>
      <c r="UXF53" s="10"/>
      <c r="UXG53" s="10"/>
      <c r="UXH53" s="10"/>
      <c r="UXI53" s="10"/>
      <c r="UXJ53" s="10"/>
      <c r="UXK53" s="10"/>
      <c r="UXL53" s="10"/>
      <c r="UXM53" s="10"/>
      <c r="UXN53" s="10"/>
      <c r="UXO53" s="10"/>
      <c r="UXP53" s="10"/>
      <c r="UXQ53" s="10"/>
      <c r="UXR53" s="10"/>
      <c r="UXS53" s="10"/>
      <c r="UXT53" s="10"/>
      <c r="UXU53" s="10"/>
      <c r="UXV53" s="10"/>
      <c r="UXW53" s="10"/>
      <c r="UXX53" s="10"/>
      <c r="UXY53" s="10"/>
      <c r="UXZ53" s="10"/>
      <c r="UYA53" s="10"/>
      <c r="UYB53" s="10"/>
      <c r="UYC53" s="10"/>
      <c r="UYD53" s="10"/>
      <c r="UYE53" s="10"/>
      <c r="UYF53" s="10"/>
      <c r="UYG53" s="10"/>
      <c r="UYH53" s="10"/>
      <c r="UYI53" s="10"/>
      <c r="UYJ53" s="10"/>
      <c r="UYK53" s="10"/>
      <c r="UYL53" s="10"/>
      <c r="UYM53" s="10"/>
      <c r="UYN53" s="10"/>
      <c r="UYO53" s="10"/>
      <c r="UYP53" s="10"/>
      <c r="UYQ53" s="10"/>
      <c r="UYR53" s="10"/>
      <c r="UYS53" s="10"/>
      <c r="UYT53" s="10"/>
      <c r="UYU53" s="10"/>
      <c r="UYV53" s="10"/>
      <c r="UYW53" s="10"/>
      <c r="UYX53" s="10"/>
      <c r="UYY53" s="10"/>
      <c r="UYZ53" s="10"/>
      <c r="UZA53" s="10"/>
      <c r="UZB53" s="10"/>
      <c r="UZC53" s="10"/>
      <c r="UZD53" s="10"/>
      <c r="UZE53" s="10"/>
      <c r="UZF53" s="10"/>
      <c r="UZG53" s="10"/>
      <c r="UZH53" s="10"/>
      <c r="UZI53" s="10"/>
      <c r="UZJ53" s="10"/>
      <c r="UZK53" s="10"/>
      <c r="UZL53" s="10"/>
      <c r="UZM53" s="10"/>
      <c r="UZN53" s="10"/>
      <c r="UZO53" s="10"/>
      <c r="UZP53" s="10"/>
      <c r="UZQ53" s="10"/>
      <c r="UZR53" s="10"/>
      <c r="UZS53" s="10"/>
      <c r="UZT53" s="10"/>
      <c r="UZU53" s="10"/>
      <c r="UZV53" s="10"/>
      <c r="UZW53" s="10"/>
      <c r="UZX53" s="10"/>
      <c r="UZY53" s="10"/>
      <c r="UZZ53" s="10"/>
      <c r="VAA53" s="10"/>
      <c r="VAB53" s="10"/>
      <c r="VAC53" s="10"/>
      <c r="VAD53" s="10"/>
      <c r="VAE53" s="10"/>
      <c r="VAF53" s="10"/>
      <c r="VAG53" s="10"/>
      <c r="VAH53" s="10"/>
      <c r="VAI53" s="10"/>
      <c r="VAJ53" s="10"/>
      <c r="VAK53" s="10"/>
      <c r="VAL53" s="10"/>
      <c r="VAM53" s="10"/>
      <c r="VAN53" s="10"/>
      <c r="VAO53" s="10"/>
      <c r="VAP53" s="10"/>
      <c r="VAQ53" s="10"/>
      <c r="VAR53" s="10"/>
      <c r="VAS53" s="10"/>
      <c r="VAT53" s="10"/>
      <c r="VAU53" s="10"/>
      <c r="VAV53" s="10"/>
      <c r="VAW53" s="10"/>
      <c r="VAX53" s="10"/>
      <c r="VAY53" s="10"/>
      <c r="VAZ53" s="10"/>
      <c r="VBA53" s="10"/>
      <c r="VBB53" s="10"/>
      <c r="VBC53" s="10"/>
      <c r="VBD53" s="10"/>
      <c r="VBE53" s="10"/>
      <c r="VBF53" s="10"/>
      <c r="VBG53" s="10"/>
      <c r="VBH53" s="10"/>
      <c r="VBI53" s="10"/>
      <c r="VBJ53" s="10"/>
      <c r="VBK53" s="10"/>
      <c r="VBL53" s="10"/>
      <c r="VBM53" s="10"/>
      <c r="VBN53" s="10"/>
      <c r="VBO53" s="10"/>
      <c r="VBP53" s="10"/>
      <c r="VBQ53" s="10"/>
      <c r="VBR53" s="10"/>
      <c r="VBS53" s="10"/>
      <c r="VBT53" s="10"/>
      <c r="VBU53" s="10"/>
      <c r="VBV53" s="10"/>
      <c r="VBW53" s="10"/>
      <c r="VBX53" s="10"/>
      <c r="VBY53" s="10"/>
      <c r="VBZ53" s="10"/>
      <c r="VCA53" s="10"/>
      <c r="VCB53" s="10"/>
      <c r="VCC53" s="10"/>
      <c r="VCD53" s="10"/>
      <c r="VCE53" s="10"/>
      <c r="VCF53" s="10"/>
      <c r="VCG53" s="10"/>
      <c r="VCH53" s="10"/>
      <c r="VCI53" s="10"/>
      <c r="VCJ53" s="10"/>
      <c r="VCK53" s="10"/>
      <c r="VCL53" s="10"/>
      <c r="VCM53" s="10"/>
      <c r="VCN53" s="10"/>
      <c r="VCO53" s="10"/>
      <c r="VCP53" s="10"/>
      <c r="VCQ53" s="10"/>
      <c r="VCR53" s="10"/>
      <c r="VCS53" s="10"/>
      <c r="VCT53" s="10"/>
      <c r="VCU53" s="10"/>
      <c r="VCV53" s="10"/>
      <c r="VCW53" s="10"/>
      <c r="VCX53" s="10"/>
      <c r="VCY53" s="10"/>
      <c r="VCZ53" s="10"/>
      <c r="VDA53" s="10"/>
      <c r="VDB53" s="10"/>
      <c r="VDC53" s="10"/>
      <c r="VDD53" s="10"/>
      <c r="VDE53" s="10"/>
      <c r="VDF53" s="10"/>
      <c r="VDG53" s="10"/>
      <c r="VDH53" s="10"/>
      <c r="VDI53" s="10"/>
      <c r="VDJ53" s="10"/>
      <c r="VDK53" s="10"/>
      <c r="VDL53" s="10"/>
      <c r="VDM53" s="10"/>
      <c r="VDN53" s="10"/>
      <c r="VDO53" s="10"/>
      <c r="VDP53" s="10"/>
      <c r="VDQ53" s="10"/>
      <c r="VDR53" s="10"/>
      <c r="VDS53" s="10"/>
      <c r="VDT53" s="10"/>
      <c r="VDU53" s="10"/>
      <c r="VDV53" s="10"/>
      <c r="VDW53" s="10"/>
      <c r="VDX53" s="10"/>
      <c r="VDY53" s="10"/>
      <c r="VDZ53" s="10"/>
      <c r="VEA53" s="10"/>
      <c r="VEB53" s="10"/>
      <c r="VEC53" s="10"/>
      <c r="VED53" s="10"/>
      <c r="VEE53" s="10"/>
      <c r="VEF53" s="10"/>
      <c r="VEG53" s="10"/>
      <c r="VEH53" s="10"/>
      <c r="VEI53" s="10"/>
      <c r="VEJ53" s="10"/>
      <c r="VEK53" s="10"/>
      <c r="VEL53" s="10"/>
      <c r="VEM53" s="10"/>
      <c r="VEN53" s="10"/>
      <c r="VEO53" s="10"/>
      <c r="VEP53" s="10"/>
      <c r="VEQ53" s="10"/>
      <c r="VER53" s="10"/>
      <c r="VES53" s="10"/>
      <c r="VET53" s="10"/>
      <c r="VEU53" s="10"/>
      <c r="VEV53" s="10"/>
      <c r="VEW53" s="10"/>
      <c r="VEX53" s="10"/>
      <c r="VEY53" s="10"/>
      <c r="VEZ53" s="10"/>
      <c r="VFA53" s="10"/>
      <c r="VFB53" s="10"/>
      <c r="VFC53" s="10"/>
      <c r="VFD53" s="10"/>
      <c r="VFE53" s="10"/>
      <c r="VFF53" s="10"/>
      <c r="VFG53" s="10"/>
      <c r="VFH53" s="10"/>
      <c r="VFI53" s="10"/>
      <c r="VFJ53" s="10"/>
      <c r="VFK53" s="10"/>
      <c r="VFL53" s="10"/>
      <c r="VFM53" s="10"/>
      <c r="VFN53" s="10"/>
      <c r="VFO53" s="10"/>
      <c r="VFP53" s="10"/>
      <c r="VFQ53" s="10"/>
      <c r="VFR53" s="10"/>
      <c r="VFS53" s="10"/>
      <c r="VFT53" s="10"/>
      <c r="VFU53" s="10"/>
      <c r="VFV53" s="10"/>
      <c r="VFW53" s="10"/>
      <c r="VFX53" s="10"/>
      <c r="VFY53" s="10"/>
      <c r="VFZ53" s="10"/>
      <c r="VGA53" s="10"/>
      <c r="VGB53" s="10"/>
      <c r="VGC53" s="10"/>
      <c r="VGD53" s="10"/>
      <c r="VGE53" s="10"/>
      <c r="VGF53" s="10"/>
      <c r="VGG53" s="10"/>
      <c r="VGH53" s="10"/>
      <c r="VGI53" s="10"/>
      <c r="VGJ53" s="10"/>
      <c r="VGK53" s="10"/>
      <c r="VGL53" s="10"/>
      <c r="VGM53" s="10"/>
      <c r="VGN53" s="10"/>
      <c r="VGO53" s="10"/>
      <c r="VGP53" s="10"/>
      <c r="VGQ53" s="10"/>
      <c r="VGR53" s="10"/>
      <c r="VGS53" s="10"/>
      <c r="VGT53" s="10"/>
      <c r="VGU53" s="10"/>
      <c r="VGV53" s="10"/>
      <c r="VGW53" s="10"/>
      <c r="VGX53" s="10"/>
      <c r="VGY53" s="10"/>
      <c r="VGZ53" s="10"/>
      <c r="VHA53" s="10"/>
      <c r="VHB53" s="10"/>
      <c r="VHC53" s="10"/>
      <c r="VHD53" s="10"/>
      <c r="VHE53" s="10"/>
      <c r="VHF53" s="10"/>
      <c r="VHG53" s="10"/>
      <c r="VHH53" s="10"/>
      <c r="VHI53" s="10"/>
      <c r="VHJ53" s="10"/>
      <c r="VHK53" s="10"/>
      <c r="VHL53" s="10"/>
      <c r="VHM53" s="10"/>
      <c r="VHN53" s="10"/>
      <c r="VHO53" s="10"/>
      <c r="VHP53" s="10"/>
      <c r="VHQ53" s="10"/>
      <c r="VHR53" s="10"/>
      <c r="VHS53" s="10"/>
      <c r="VHT53" s="10"/>
      <c r="VHU53" s="10"/>
      <c r="VHV53" s="10"/>
      <c r="VHW53" s="10"/>
      <c r="VHX53" s="10"/>
      <c r="VHY53" s="10"/>
      <c r="VHZ53" s="10"/>
      <c r="VIA53" s="10"/>
      <c r="VIB53" s="10"/>
      <c r="VIC53" s="10"/>
      <c r="VID53" s="10"/>
      <c r="VIE53" s="10"/>
      <c r="VIF53" s="10"/>
      <c r="VIG53" s="10"/>
      <c r="VIH53" s="10"/>
      <c r="VII53" s="10"/>
      <c r="VIJ53" s="10"/>
      <c r="VIK53" s="10"/>
      <c r="VIL53" s="10"/>
      <c r="VIM53" s="10"/>
      <c r="VIN53" s="10"/>
      <c r="VIO53" s="10"/>
      <c r="VIP53" s="10"/>
      <c r="VIQ53" s="10"/>
      <c r="VIR53" s="10"/>
      <c r="VIS53" s="10"/>
      <c r="VIT53" s="10"/>
      <c r="VIU53" s="10"/>
      <c r="VIV53" s="10"/>
      <c r="VIW53" s="10"/>
      <c r="VIX53" s="10"/>
      <c r="VIY53" s="10"/>
      <c r="VIZ53" s="10"/>
      <c r="VJA53" s="10"/>
      <c r="VJB53" s="10"/>
      <c r="VJC53" s="10"/>
      <c r="VJD53" s="10"/>
      <c r="VJE53" s="10"/>
      <c r="VJF53" s="10"/>
      <c r="VJG53" s="10"/>
      <c r="VJH53" s="10"/>
      <c r="VJI53" s="10"/>
      <c r="VJJ53" s="10"/>
      <c r="VJK53" s="10"/>
      <c r="VJL53" s="10"/>
      <c r="VJM53" s="10"/>
      <c r="VJN53" s="10"/>
      <c r="VJO53" s="10"/>
      <c r="VJP53" s="10"/>
      <c r="VJQ53" s="10"/>
      <c r="VJR53" s="10"/>
      <c r="VJS53" s="10"/>
      <c r="VJT53" s="10"/>
      <c r="VJU53" s="10"/>
      <c r="VJV53" s="10"/>
      <c r="VJW53" s="10"/>
      <c r="VJX53" s="10"/>
      <c r="VJY53" s="10"/>
      <c r="VJZ53" s="10"/>
      <c r="VKA53" s="10"/>
      <c r="VKB53" s="10"/>
      <c r="VKC53" s="10"/>
      <c r="VKD53" s="10"/>
      <c r="VKE53" s="10"/>
      <c r="VKF53" s="10"/>
      <c r="VKG53" s="10"/>
      <c r="VKH53" s="10"/>
      <c r="VKI53" s="10"/>
      <c r="VKJ53" s="10"/>
      <c r="VKK53" s="10"/>
      <c r="VKL53" s="10"/>
      <c r="VKM53" s="10"/>
      <c r="VKN53" s="10"/>
      <c r="VKO53" s="10"/>
      <c r="VKP53" s="10"/>
      <c r="VKQ53" s="10"/>
      <c r="VKR53" s="10"/>
      <c r="VKS53" s="10"/>
      <c r="VKT53" s="10"/>
      <c r="VKU53" s="10"/>
      <c r="VKV53" s="10"/>
      <c r="VKW53" s="10"/>
      <c r="VKX53" s="10"/>
      <c r="VKY53" s="10"/>
      <c r="VKZ53" s="10"/>
      <c r="VLA53" s="10"/>
      <c r="VLB53" s="10"/>
      <c r="VLC53" s="10"/>
      <c r="VLD53" s="10"/>
      <c r="VLE53" s="10"/>
      <c r="VLF53" s="10"/>
      <c r="VLG53" s="10"/>
      <c r="VLH53" s="10"/>
      <c r="VLI53" s="10"/>
      <c r="VLJ53" s="10"/>
      <c r="VLK53" s="10"/>
      <c r="VLL53" s="10"/>
      <c r="VLM53" s="10"/>
      <c r="VLN53" s="10"/>
      <c r="VLO53" s="10"/>
      <c r="VLP53" s="10"/>
      <c r="VLQ53" s="10"/>
      <c r="VLR53" s="10"/>
      <c r="VLS53" s="10"/>
      <c r="VLT53" s="10"/>
      <c r="VLU53" s="10"/>
      <c r="VLV53" s="10"/>
      <c r="VLW53" s="10"/>
      <c r="VLX53" s="10"/>
      <c r="VLY53" s="10"/>
      <c r="VLZ53" s="10"/>
      <c r="VMA53" s="10"/>
      <c r="VMB53" s="10"/>
      <c r="VMC53" s="10"/>
      <c r="VMD53" s="10"/>
      <c r="VME53" s="10"/>
      <c r="VMF53" s="10"/>
      <c r="VMG53" s="10"/>
      <c r="VMH53" s="10"/>
      <c r="VMI53" s="10"/>
      <c r="VMJ53" s="10"/>
      <c r="VMK53" s="10"/>
      <c r="VML53" s="10"/>
      <c r="VMM53" s="10"/>
      <c r="VMN53" s="10"/>
      <c r="VMO53" s="10"/>
      <c r="VMP53" s="10"/>
      <c r="VMQ53" s="10"/>
      <c r="VMR53" s="10"/>
      <c r="VMS53" s="10"/>
      <c r="VMT53" s="10"/>
      <c r="VMU53" s="10"/>
      <c r="VMV53" s="10"/>
      <c r="VMW53" s="10"/>
      <c r="VMX53" s="10"/>
      <c r="VMY53" s="10"/>
      <c r="VMZ53" s="10"/>
      <c r="VNA53" s="10"/>
      <c r="VNB53" s="10"/>
      <c r="VNC53" s="10"/>
      <c r="VND53" s="10"/>
      <c r="VNE53" s="10"/>
      <c r="VNF53" s="10"/>
      <c r="VNG53" s="10"/>
      <c r="VNH53" s="10"/>
      <c r="VNI53" s="10"/>
      <c r="VNJ53" s="10"/>
      <c r="VNK53" s="10"/>
      <c r="VNL53" s="10"/>
      <c r="VNM53" s="10"/>
      <c r="VNN53" s="10"/>
      <c r="VNO53" s="10"/>
      <c r="VNP53" s="10"/>
      <c r="VNQ53" s="10"/>
      <c r="VNR53" s="10"/>
      <c r="VNS53" s="10"/>
      <c r="VNT53" s="10"/>
      <c r="VNU53" s="10"/>
      <c r="VNV53" s="10"/>
      <c r="VNW53" s="10"/>
      <c r="VNX53" s="10"/>
      <c r="VNY53" s="10"/>
      <c r="VNZ53" s="10"/>
      <c r="VOA53" s="10"/>
      <c r="VOB53" s="10"/>
      <c r="VOC53" s="10"/>
      <c r="VOD53" s="10"/>
      <c r="VOE53" s="10"/>
      <c r="VOF53" s="10"/>
      <c r="VOG53" s="10"/>
      <c r="VOH53" s="10"/>
      <c r="VOI53" s="10"/>
      <c r="VOJ53" s="10"/>
      <c r="VOK53" s="10"/>
      <c r="VOL53" s="10"/>
      <c r="VOM53" s="10"/>
      <c r="VON53" s="10"/>
      <c r="VOO53" s="10"/>
      <c r="VOP53" s="10"/>
      <c r="VOQ53" s="10"/>
      <c r="VOR53" s="10"/>
      <c r="VOS53" s="10"/>
      <c r="VOT53" s="10"/>
      <c r="VOU53" s="10"/>
      <c r="VOV53" s="10"/>
      <c r="VOW53" s="10"/>
      <c r="VOX53" s="10"/>
      <c r="VOY53" s="10"/>
      <c r="VOZ53" s="10"/>
      <c r="VPA53" s="10"/>
      <c r="VPB53" s="10"/>
      <c r="VPC53" s="10"/>
      <c r="VPD53" s="10"/>
      <c r="VPE53" s="10"/>
      <c r="VPF53" s="10"/>
      <c r="VPG53" s="10"/>
      <c r="VPH53" s="10"/>
      <c r="VPI53" s="10"/>
      <c r="VPJ53" s="10"/>
      <c r="VPK53" s="10"/>
      <c r="VPL53" s="10"/>
      <c r="VPM53" s="10"/>
      <c r="VPN53" s="10"/>
      <c r="VPO53" s="10"/>
      <c r="VPP53" s="10"/>
      <c r="VPQ53" s="10"/>
      <c r="VPR53" s="10"/>
      <c r="VPS53" s="10"/>
      <c r="VPT53" s="10"/>
      <c r="VPU53" s="10"/>
      <c r="VPV53" s="10"/>
      <c r="VPW53" s="10"/>
      <c r="VPX53" s="10"/>
      <c r="VPY53" s="10"/>
      <c r="VPZ53" s="10"/>
      <c r="VQA53" s="10"/>
      <c r="VQB53" s="10"/>
      <c r="VQC53" s="10"/>
      <c r="VQD53" s="10"/>
      <c r="VQE53" s="10"/>
      <c r="VQF53" s="10"/>
      <c r="VQG53" s="10"/>
      <c r="VQH53" s="10"/>
      <c r="VQI53" s="10"/>
      <c r="VQJ53" s="10"/>
      <c r="VQK53" s="10"/>
      <c r="VQL53" s="10"/>
      <c r="VQM53" s="10"/>
      <c r="VQN53" s="10"/>
      <c r="VQO53" s="10"/>
      <c r="VQP53" s="10"/>
      <c r="VQQ53" s="10"/>
      <c r="VQR53" s="10"/>
      <c r="VQS53" s="10"/>
      <c r="VQT53" s="10"/>
      <c r="VQU53" s="10"/>
      <c r="VQV53" s="10"/>
      <c r="VQW53" s="10"/>
      <c r="VQX53" s="10"/>
      <c r="VQY53" s="10"/>
      <c r="VQZ53" s="10"/>
      <c r="VRA53" s="10"/>
      <c r="VRB53" s="10"/>
      <c r="VRC53" s="10"/>
      <c r="VRD53" s="10"/>
      <c r="VRE53" s="10"/>
      <c r="VRF53" s="10"/>
      <c r="VRG53" s="10"/>
      <c r="VRH53" s="10"/>
      <c r="VRI53" s="10"/>
      <c r="VRJ53" s="10"/>
      <c r="VRK53" s="10"/>
      <c r="VRL53" s="10"/>
      <c r="VRM53" s="10"/>
      <c r="VRN53" s="10"/>
      <c r="VRO53" s="10"/>
      <c r="VRP53" s="10"/>
      <c r="VRQ53" s="10"/>
      <c r="VRR53" s="10"/>
      <c r="VRS53" s="10"/>
      <c r="VRT53" s="10"/>
      <c r="VRU53" s="10"/>
      <c r="VRV53" s="10"/>
      <c r="VRW53" s="10"/>
      <c r="VRX53" s="10"/>
      <c r="VRY53" s="10"/>
      <c r="VRZ53" s="10"/>
      <c r="VSA53" s="10"/>
      <c r="VSB53" s="10"/>
      <c r="VSC53" s="10"/>
      <c r="VSD53" s="10"/>
      <c r="VSE53" s="10"/>
      <c r="VSF53" s="10"/>
      <c r="VSG53" s="10"/>
      <c r="VSH53" s="10"/>
      <c r="VSI53" s="10"/>
      <c r="VSJ53" s="10"/>
      <c r="VSK53" s="10"/>
      <c r="VSL53" s="10"/>
      <c r="VSM53" s="10"/>
      <c r="VSN53" s="10"/>
      <c r="VSO53" s="10"/>
      <c r="VSP53" s="10"/>
      <c r="VSQ53" s="10"/>
      <c r="VSR53" s="10"/>
      <c r="VSS53" s="10"/>
      <c r="VST53" s="10"/>
      <c r="VSU53" s="10"/>
      <c r="VSV53" s="10"/>
      <c r="VSW53" s="10"/>
      <c r="VSX53" s="10"/>
      <c r="VSY53" s="10"/>
      <c r="VSZ53" s="10"/>
      <c r="VTA53" s="10"/>
      <c r="VTB53" s="10"/>
      <c r="VTC53" s="10"/>
      <c r="VTD53" s="10"/>
      <c r="VTE53" s="10"/>
      <c r="VTF53" s="10"/>
      <c r="VTG53" s="10"/>
      <c r="VTH53" s="10"/>
      <c r="VTI53" s="10"/>
      <c r="VTJ53" s="10"/>
      <c r="VTK53" s="10"/>
      <c r="VTL53" s="10"/>
      <c r="VTM53" s="10"/>
      <c r="VTN53" s="10"/>
      <c r="VTO53" s="10"/>
      <c r="VTP53" s="10"/>
      <c r="VTQ53" s="10"/>
      <c r="VTR53" s="10"/>
      <c r="VTS53" s="10"/>
      <c r="VTT53" s="10"/>
      <c r="VTU53" s="10"/>
      <c r="VTV53" s="10"/>
      <c r="VTW53" s="10"/>
      <c r="VTX53" s="10"/>
      <c r="VTY53" s="10"/>
      <c r="VTZ53" s="10"/>
      <c r="VUA53" s="10"/>
      <c r="VUB53" s="10"/>
      <c r="VUC53" s="10"/>
      <c r="VUD53" s="10"/>
      <c r="VUE53" s="10"/>
      <c r="VUF53" s="10"/>
      <c r="VUG53" s="10"/>
      <c r="VUH53" s="10"/>
      <c r="VUI53" s="10"/>
      <c r="VUJ53" s="10"/>
      <c r="VUK53" s="10"/>
      <c r="VUL53" s="10"/>
      <c r="VUM53" s="10"/>
      <c r="VUN53" s="10"/>
      <c r="VUO53" s="10"/>
      <c r="VUP53" s="10"/>
      <c r="VUQ53" s="10"/>
      <c r="VUR53" s="10"/>
      <c r="VUS53" s="10"/>
      <c r="VUT53" s="10"/>
      <c r="VUU53" s="10"/>
      <c r="VUV53" s="10"/>
      <c r="VUW53" s="10"/>
      <c r="VUX53" s="10"/>
      <c r="VUY53" s="10"/>
      <c r="VUZ53" s="10"/>
      <c r="VVA53" s="10"/>
      <c r="VVB53" s="10"/>
      <c r="VVC53" s="10"/>
      <c r="VVD53" s="10"/>
      <c r="VVE53" s="10"/>
      <c r="VVF53" s="10"/>
      <c r="VVG53" s="10"/>
      <c r="VVH53" s="10"/>
      <c r="VVI53" s="10"/>
      <c r="VVJ53" s="10"/>
      <c r="VVK53" s="10"/>
      <c r="VVL53" s="10"/>
      <c r="VVM53" s="10"/>
      <c r="VVN53" s="10"/>
      <c r="VVO53" s="10"/>
      <c r="VVP53" s="10"/>
      <c r="VVQ53" s="10"/>
      <c r="VVR53" s="10"/>
      <c r="VVS53" s="10"/>
      <c r="VVT53" s="10"/>
      <c r="VVU53" s="10"/>
      <c r="VVV53" s="10"/>
      <c r="VVW53" s="10"/>
      <c r="VVX53" s="10"/>
      <c r="VVY53" s="10"/>
      <c r="VVZ53" s="10"/>
      <c r="VWA53" s="10"/>
      <c r="VWB53" s="10"/>
      <c r="VWC53" s="10"/>
      <c r="VWD53" s="10"/>
      <c r="VWE53" s="10"/>
      <c r="VWF53" s="10"/>
      <c r="VWG53" s="10"/>
      <c r="VWH53" s="10"/>
      <c r="VWI53" s="10"/>
      <c r="VWJ53" s="10"/>
      <c r="VWK53" s="10"/>
      <c r="VWL53" s="10"/>
      <c r="VWM53" s="10"/>
      <c r="VWN53" s="10"/>
      <c r="VWO53" s="10"/>
      <c r="VWP53" s="10"/>
      <c r="VWQ53" s="10"/>
      <c r="VWR53" s="10"/>
      <c r="VWS53" s="10"/>
      <c r="VWT53" s="10"/>
      <c r="VWU53" s="10"/>
      <c r="VWV53" s="10"/>
      <c r="VWW53" s="10"/>
      <c r="VWX53" s="10"/>
      <c r="VWY53" s="10"/>
      <c r="VWZ53" s="10"/>
      <c r="VXA53" s="10"/>
      <c r="VXB53" s="10"/>
      <c r="VXC53" s="10"/>
      <c r="VXD53" s="10"/>
      <c r="VXE53" s="10"/>
      <c r="VXF53" s="10"/>
      <c r="VXG53" s="10"/>
      <c r="VXH53" s="10"/>
      <c r="VXI53" s="10"/>
      <c r="VXJ53" s="10"/>
      <c r="VXK53" s="10"/>
      <c r="VXL53" s="10"/>
      <c r="VXM53" s="10"/>
      <c r="VXN53" s="10"/>
      <c r="VXO53" s="10"/>
      <c r="VXP53" s="10"/>
      <c r="VXQ53" s="10"/>
      <c r="VXR53" s="10"/>
      <c r="VXS53" s="10"/>
      <c r="VXT53" s="10"/>
      <c r="VXU53" s="10"/>
      <c r="VXV53" s="10"/>
      <c r="VXW53" s="10"/>
      <c r="VXX53" s="10"/>
      <c r="VXY53" s="10"/>
      <c r="VXZ53" s="10"/>
      <c r="VYA53" s="10"/>
      <c r="VYB53" s="10"/>
      <c r="VYC53" s="10"/>
      <c r="VYD53" s="10"/>
      <c r="VYE53" s="10"/>
      <c r="VYF53" s="10"/>
      <c r="VYG53" s="10"/>
      <c r="VYH53" s="10"/>
      <c r="VYI53" s="10"/>
      <c r="VYJ53" s="10"/>
      <c r="VYK53" s="10"/>
      <c r="VYL53" s="10"/>
      <c r="VYM53" s="10"/>
      <c r="VYN53" s="10"/>
      <c r="VYO53" s="10"/>
      <c r="VYP53" s="10"/>
      <c r="VYQ53" s="10"/>
      <c r="VYR53" s="10"/>
      <c r="VYS53" s="10"/>
      <c r="VYT53" s="10"/>
      <c r="VYU53" s="10"/>
      <c r="VYV53" s="10"/>
      <c r="VYW53" s="10"/>
      <c r="VYX53" s="10"/>
      <c r="VYY53" s="10"/>
      <c r="VYZ53" s="10"/>
      <c r="VZA53" s="10"/>
      <c r="VZB53" s="10"/>
      <c r="VZC53" s="10"/>
      <c r="VZD53" s="10"/>
      <c r="VZE53" s="10"/>
      <c r="VZF53" s="10"/>
      <c r="VZG53" s="10"/>
      <c r="VZH53" s="10"/>
      <c r="VZI53" s="10"/>
      <c r="VZJ53" s="10"/>
      <c r="VZK53" s="10"/>
      <c r="VZL53" s="10"/>
      <c r="VZM53" s="10"/>
      <c r="VZN53" s="10"/>
      <c r="VZO53" s="10"/>
      <c r="VZP53" s="10"/>
      <c r="VZQ53" s="10"/>
      <c r="VZR53" s="10"/>
      <c r="VZS53" s="10"/>
      <c r="VZT53" s="10"/>
      <c r="VZU53" s="10"/>
      <c r="VZV53" s="10"/>
      <c r="VZW53" s="10"/>
      <c r="VZX53" s="10"/>
      <c r="VZY53" s="10"/>
      <c r="VZZ53" s="10"/>
      <c r="WAA53" s="10"/>
      <c r="WAB53" s="10"/>
      <c r="WAC53" s="10"/>
      <c r="WAD53" s="10"/>
      <c r="WAE53" s="10"/>
      <c r="WAF53" s="10"/>
      <c r="WAG53" s="10"/>
      <c r="WAH53" s="10"/>
      <c r="WAI53" s="10"/>
      <c r="WAJ53" s="10"/>
      <c r="WAK53" s="10"/>
      <c r="WAL53" s="10"/>
      <c r="WAM53" s="10"/>
      <c r="WAN53" s="10"/>
      <c r="WAO53" s="10"/>
      <c r="WAP53" s="10"/>
      <c r="WAQ53" s="10"/>
      <c r="WAR53" s="10"/>
      <c r="WAS53" s="10"/>
      <c r="WAT53" s="10"/>
      <c r="WAU53" s="10"/>
      <c r="WAV53" s="10"/>
      <c r="WAW53" s="10"/>
      <c r="WAX53" s="10"/>
      <c r="WAY53" s="10"/>
      <c r="WAZ53" s="10"/>
      <c r="WBA53" s="10"/>
      <c r="WBB53" s="10"/>
      <c r="WBC53" s="10"/>
      <c r="WBD53" s="10"/>
      <c r="WBE53" s="10"/>
      <c r="WBF53" s="10"/>
      <c r="WBG53" s="10"/>
      <c r="WBH53" s="10"/>
      <c r="WBI53" s="10"/>
      <c r="WBJ53" s="10"/>
      <c r="WBK53" s="10"/>
      <c r="WBL53" s="10"/>
      <c r="WBM53" s="10"/>
      <c r="WBN53" s="10"/>
      <c r="WBO53" s="10"/>
      <c r="WBP53" s="10"/>
      <c r="WBQ53" s="10"/>
      <c r="WBR53" s="10"/>
      <c r="WBS53" s="10"/>
      <c r="WBT53" s="10"/>
      <c r="WBU53" s="10"/>
      <c r="WBV53" s="10"/>
      <c r="WBW53" s="10"/>
      <c r="WBX53" s="10"/>
      <c r="WBY53" s="10"/>
      <c r="WBZ53" s="10"/>
      <c r="WCA53" s="10"/>
      <c r="WCB53" s="10"/>
      <c r="WCC53" s="10"/>
      <c r="WCD53" s="10"/>
      <c r="WCE53" s="10"/>
      <c r="WCF53" s="10"/>
      <c r="WCG53" s="10"/>
      <c r="WCH53" s="10"/>
      <c r="WCI53" s="10"/>
      <c r="WCJ53" s="10"/>
      <c r="WCK53" s="10"/>
      <c r="WCL53" s="10"/>
      <c r="WCM53" s="10"/>
      <c r="WCN53" s="10"/>
      <c r="WCO53" s="10"/>
      <c r="WCP53" s="10"/>
      <c r="WCQ53" s="10"/>
      <c r="WCR53" s="10"/>
      <c r="WCS53" s="10"/>
      <c r="WCT53" s="10"/>
      <c r="WCU53" s="10"/>
      <c r="WCV53" s="10"/>
      <c r="WCW53" s="10"/>
      <c r="WCX53" s="10"/>
      <c r="WCY53" s="10"/>
      <c r="WCZ53" s="10"/>
      <c r="WDA53" s="10"/>
      <c r="WDB53" s="10"/>
      <c r="WDC53" s="10"/>
      <c r="WDD53" s="10"/>
      <c r="WDE53" s="10"/>
      <c r="WDF53" s="10"/>
      <c r="WDG53" s="10"/>
      <c r="WDH53" s="10"/>
      <c r="WDI53" s="10"/>
      <c r="WDJ53" s="10"/>
      <c r="WDK53" s="10"/>
      <c r="WDL53" s="10"/>
      <c r="WDM53" s="10"/>
      <c r="WDN53" s="10"/>
      <c r="WDO53" s="10"/>
      <c r="WDP53" s="10"/>
      <c r="WDQ53" s="10"/>
      <c r="WDR53" s="10"/>
      <c r="WDS53" s="10"/>
      <c r="WDT53" s="10"/>
      <c r="WDU53" s="10"/>
      <c r="WDV53" s="10"/>
      <c r="WDW53" s="10"/>
      <c r="WDX53" s="10"/>
      <c r="WDY53" s="10"/>
      <c r="WDZ53" s="10"/>
      <c r="WEA53" s="10"/>
      <c r="WEB53" s="10"/>
      <c r="WEC53" s="10"/>
      <c r="WED53" s="10"/>
      <c r="WEE53" s="10"/>
      <c r="WEF53" s="10"/>
      <c r="WEG53" s="10"/>
      <c r="WEH53" s="10"/>
      <c r="WEI53" s="10"/>
      <c r="WEJ53" s="10"/>
      <c r="WEK53" s="10"/>
      <c r="WEL53" s="10"/>
      <c r="WEM53" s="10"/>
      <c r="WEN53" s="10"/>
      <c r="WEO53" s="10"/>
      <c r="WEP53" s="10"/>
      <c r="WEQ53" s="10"/>
      <c r="WER53" s="10"/>
      <c r="WES53" s="10"/>
      <c r="WET53" s="10"/>
      <c r="WEU53" s="10"/>
      <c r="WEV53" s="10"/>
      <c r="WEW53" s="10"/>
      <c r="WEX53" s="10"/>
      <c r="WEY53" s="10"/>
      <c r="WEZ53" s="10"/>
      <c r="WFA53" s="10"/>
      <c r="WFB53" s="10"/>
      <c r="WFC53" s="10"/>
      <c r="WFD53" s="10"/>
      <c r="WFE53" s="10"/>
      <c r="WFF53" s="10"/>
      <c r="WFG53" s="10"/>
      <c r="WFH53" s="10"/>
      <c r="WFI53" s="10"/>
      <c r="WFJ53" s="10"/>
      <c r="WFK53" s="10"/>
      <c r="WFL53" s="10"/>
      <c r="WFM53" s="10"/>
      <c r="WFN53" s="10"/>
      <c r="WFO53" s="10"/>
      <c r="WFP53" s="10"/>
      <c r="WFQ53" s="10"/>
      <c r="WFR53" s="10"/>
      <c r="WFS53" s="10"/>
      <c r="WFT53" s="10"/>
      <c r="WFU53" s="10"/>
      <c r="WFV53" s="10"/>
      <c r="WFW53" s="10"/>
      <c r="WFX53" s="10"/>
      <c r="WFY53" s="10"/>
      <c r="WFZ53" s="10"/>
      <c r="WGA53" s="10"/>
      <c r="WGB53" s="10"/>
      <c r="WGC53" s="10"/>
      <c r="WGD53" s="10"/>
      <c r="WGE53" s="10"/>
      <c r="WGF53" s="10"/>
      <c r="WGG53" s="10"/>
      <c r="WGH53" s="10"/>
      <c r="WGI53" s="10"/>
      <c r="WGJ53" s="10"/>
      <c r="WGK53" s="10"/>
      <c r="WGL53" s="10"/>
      <c r="WGM53" s="10"/>
      <c r="WGN53" s="10"/>
      <c r="WGO53" s="10"/>
      <c r="WGP53" s="10"/>
      <c r="WGQ53" s="10"/>
      <c r="WGR53" s="10"/>
      <c r="WGS53" s="10"/>
      <c r="WGT53" s="10"/>
      <c r="WGU53" s="10"/>
      <c r="WGV53" s="10"/>
      <c r="WGW53" s="10"/>
      <c r="WGX53" s="10"/>
      <c r="WGY53" s="10"/>
      <c r="WGZ53" s="10"/>
      <c r="WHA53" s="10"/>
      <c r="WHB53" s="10"/>
      <c r="WHC53" s="10"/>
      <c r="WHD53" s="10"/>
      <c r="WHE53" s="10"/>
      <c r="WHF53" s="10"/>
      <c r="WHG53" s="10"/>
      <c r="WHH53" s="10"/>
      <c r="WHI53" s="10"/>
      <c r="WHJ53" s="10"/>
      <c r="WHK53" s="10"/>
      <c r="WHL53" s="10"/>
      <c r="WHM53" s="10"/>
      <c r="WHN53" s="10"/>
      <c r="WHO53" s="10"/>
      <c r="WHP53" s="10"/>
      <c r="WHQ53" s="10"/>
      <c r="WHR53" s="10"/>
      <c r="WHS53" s="10"/>
      <c r="WHT53" s="10"/>
      <c r="WHU53" s="10"/>
      <c r="WHV53" s="10"/>
      <c r="WHW53" s="10"/>
      <c r="WHX53" s="10"/>
      <c r="WHY53" s="10"/>
      <c r="WHZ53" s="10"/>
      <c r="WIA53" s="10"/>
      <c r="WIB53" s="10"/>
      <c r="WIC53" s="10"/>
      <c r="WID53" s="10"/>
      <c r="WIE53" s="10"/>
      <c r="WIF53" s="10"/>
      <c r="WIG53" s="10"/>
      <c r="WIH53" s="10"/>
      <c r="WII53" s="10"/>
      <c r="WIJ53" s="10"/>
      <c r="WIK53" s="10"/>
      <c r="WIL53" s="10"/>
      <c r="WIM53" s="10"/>
      <c r="WIN53" s="10"/>
      <c r="WIO53" s="10"/>
      <c r="WIP53" s="10"/>
      <c r="WIQ53" s="10"/>
      <c r="WIR53" s="10"/>
      <c r="WIS53" s="10"/>
      <c r="WIT53" s="10"/>
      <c r="WIU53" s="10"/>
      <c r="WIV53" s="10"/>
      <c r="WIW53" s="10"/>
      <c r="WIX53" s="10"/>
      <c r="WIY53" s="10"/>
      <c r="WIZ53" s="10"/>
      <c r="WJA53" s="10"/>
      <c r="WJB53" s="10"/>
      <c r="WJC53" s="10"/>
      <c r="WJD53" s="10"/>
      <c r="WJE53" s="10"/>
      <c r="WJF53" s="10"/>
      <c r="WJG53" s="10"/>
      <c r="WJH53" s="10"/>
      <c r="WJI53" s="10"/>
      <c r="WJJ53" s="10"/>
      <c r="WJK53" s="10"/>
      <c r="WJL53" s="10"/>
      <c r="WJM53" s="10"/>
      <c r="WJN53" s="10"/>
      <c r="WJO53" s="10"/>
      <c r="WJP53" s="10"/>
      <c r="WJQ53" s="10"/>
      <c r="WJR53" s="10"/>
      <c r="WJS53" s="10"/>
      <c r="WJT53" s="10"/>
      <c r="WJU53" s="10"/>
      <c r="WJV53" s="10"/>
      <c r="WJW53" s="10"/>
      <c r="WJX53" s="10"/>
      <c r="WJY53" s="10"/>
      <c r="WJZ53" s="10"/>
      <c r="WKA53" s="10"/>
      <c r="WKB53" s="10"/>
      <c r="WKC53" s="10"/>
      <c r="WKD53" s="10"/>
      <c r="WKE53" s="10"/>
      <c r="WKF53" s="10"/>
      <c r="WKG53" s="10"/>
      <c r="WKH53" s="10"/>
      <c r="WKI53" s="10"/>
      <c r="WKJ53" s="10"/>
      <c r="WKK53" s="10"/>
      <c r="WKL53" s="10"/>
      <c r="WKM53" s="10"/>
      <c r="WKN53" s="10"/>
      <c r="WKO53" s="10"/>
      <c r="WKP53" s="10"/>
      <c r="WKQ53" s="10"/>
      <c r="WKR53" s="10"/>
      <c r="WKS53" s="10"/>
      <c r="WKT53" s="10"/>
      <c r="WKU53" s="10"/>
      <c r="WKV53" s="10"/>
      <c r="WKW53" s="10"/>
      <c r="WKX53" s="10"/>
      <c r="WKY53" s="10"/>
      <c r="WKZ53" s="10"/>
      <c r="WLA53" s="10"/>
      <c r="WLB53" s="10"/>
      <c r="WLC53" s="10"/>
      <c r="WLD53" s="10"/>
      <c r="WLE53" s="10"/>
      <c r="WLF53" s="10"/>
      <c r="WLG53" s="10"/>
      <c r="WLH53" s="10"/>
      <c r="WLI53" s="10"/>
      <c r="WLJ53" s="10"/>
      <c r="WLK53" s="10"/>
      <c r="WLL53" s="10"/>
      <c r="WLM53" s="10"/>
      <c r="WLN53" s="10"/>
      <c r="WLO53" s="10"/>
      <c r="WLP53" s="10"/>
      <c r="WLQ53" s="10"/>
      <c r="WLR53" s="10"/>
      <c r="WLS53" s="10"/>
      <c r="WLT53" s="10"/>
      <c r="WLU53" s="10"/>
      <c r="WLV53" s="10"/>
      <c r="WLW53" s="10"/>
      <c r="WLX53" s="10"/>
      <c r="WLY53" s="10"/>
      <c r="WLZ53" s="10"/>
      <c r="WMA53" s="10"/>
      <c r="WMB53" s="10"/>
      <c r="WMC53" s="10"/>
      <c r="WMD53" s="10"/>
      <c r="WME53" s="10"/>
      <c r="WMF53" s="10"/>
      <c r="WMG53" s="10"/>
      <c r="WMH53" s="10"/>
      <c r="WMI53" s="10"/>
      <c r="WMJ53" s="10"/>
      <c r="WMK53" s="10"/>
      <c r="WML53" s="10"/>
      <c r="WMM53" s="10"/>
      <c r="WMN53" s="10"/>
      <c r="WMO53" s="10"/>
      <c r="WMP53" s="10"/>
      <c r="WMQ53" s="10"/>
      <c r="WMR53" s="10"/>
      <c r="WMS53" s="10"/>
      <c r="WMT53" s="10"/>
      <c r="WMU53" s="10"/>
      <c r="WMV53" s="10"/>
      <c r="WMW53" s="10"/>
      <c r="WMX53" s="10"/>
      <c r="WMY53" s="10"/>
      <c r="WMZ53" s="10"/>
      <c r="WNA53" s="10"/>
      <c r="WNB53" s="10"/>
      <c r="WNC53" s="10"/>
      <c r="WND53" s="10"/>
      <c r="WNE53" s="10"/>
      <c r="WNF53" s="10"/>
      <c r="WNG53" s="10"/>
      <c r="WNH53" s="10"/>
      <c r="WNI53" s="10"/>
      <c r="WNJ53" s="10"/>
      <c r="WNK53" s="10"/>
      <c r="WNL53" s="10"/>
      <c r="WNM53" s="10"/>
      <c r="WNN53" s="10"/>
      <c r="WNO53" s="10"/>
      <c r="WNP53" s="10"/>
      <c r="WNQ53" s="10"/>
      <c r="WNR53" s="10"/>
      <c r="WNS53" s="10"/>
      <c r="WNT53" s="10"/>
      <c r="WNU53" s="10"/>
      <c r="WNV53" s="10"/>
      <c r="WNW53" s="10"/>
      <c r="WNX53" s="10"/>
      <c r="WNY53" s="10"/>
      <c r="WNZ53" s="10"/>
      <c r="WOA53" s="10"/>
      <c r="WOB53" s="10"/>
      <c r="WOC53" s="10"/>
      <c r="WOD53" s="10"/>
      <c r="WOE53" s="10"/>
      <c r="WOF53" s="10"/>
      <c r="WOG53" s="10"/>
      <c r="WOH53" s="10"/>
      <c r="WOI53" s="10"/>
      <c r="WOJ53" s="10"/>
      <c r="WOK53" s="10"/>
      <c r="WOL53" s="10"/>
      <c r="WOM53" s="10"/>
      <c r="WON53" s="10"/>
      <c r="WOO53" s="10"/>
      <c r="WOP53" s="10"/>
      <c r="WOQ53" s="10"/>
      <c r="WOR53" s="10"/>
      <c r="WOS53" s="10"/>
      <c r="WOT53" s="10"/>
      <c r="WOU53" s="10"/>
      <c r="WOV53" s="10"/>
      <c r="WOW53" s="10"/>
      <c r="WOX53" s="10"/>
      <c r="WOY53" s="10"/>
      <c r="WOZ53" s="10"/>
      <c r="WPA53" s="10"/>
      <c r="WPB53" s="10"/>
      <c r="WPC53" s="10"/>
      <c r="WPD53" s="10"/>
      <c r="WPE53" s="10"/>
      <c r="WPF53" s="10"/>
      <c r="WPG53" s="10"/>
      <c r="WPH53" s="10"/>
      <c r="WPI53" s="10"/>
      <c r="WPJ53" s="10"/>
      <c r="WPK53" s="10"/>
      <c r="WPL53" s="10"/>
      <c r="WPM53" s="10"/>
      <c r="WPN53" s="10"/>
      <c r="WPO53" s="10"/>
      <c r="WPP53" s="10"/>
      <c r="WPQ53" s="10"/>
      <c r="WPR53" s="10"/>
      <c r="WPS53" s="10"/>
      <c r="WPT53" s="10"/>
      <c r="WPU53" s="10"/>
      <c r="WPV53" s="10"/>
      <c r="WPW53" s="10"/>
      <c r="WPX53" s="10"/>
      <c r="WPY53" s="10"/>
      <c r="WPZ53" s="10"/>
      <c r="WQA53" s="10"/>
      <c r="WQB53" s="10"/>
      <c r="WQC53" s="10"/>
      <c r="WQD53" s="10"/>
      <c r="WQE53" s="10"/>
      <c r="WQF53" s="10"/>
      <c r="WQG53" s="10"/>
      <c r="WQH53" s="10"/>
      <c r="WQI53" s="10"/>
      <c r="WQJ53" s="10"/>
      <c r="WQK53" s="10"/>
      <c r="WQL53" s="10"/>
      <c r="WQM53" s="10"/>
      <c r="WQN53" s="10"/>
      <c r="WQO53" s="10"/>
      <c r="WQP53" s="10"/>
      <c r="WQQ53" s="10"/>
      <c r="WQR53" s="10"/>
      <c r="WQS53" s="10"/>
      <c r="WQT53" s="10"/>
      <c r="WQU53" s="10"/>
      <c r="WQV53" s="10"/>
      <c r="WQW53" s="10"/>
      <c r="WQX53" s="10"/>
      <c r="WQY53" s="10"/>
      <c r="WQZ53" s="10"/>
      <c r="WRA53" s="10"/>
      <c r="WRB53" s="10"/>
      <c r="WRC53" s="10"/>
      <c r="WRD53" s="10"/>
      <c r="WRE53" s="10"/>
      <c r="WRF53" s="10"/>
      <c r="WRG53" s="10"/>
      <c r="WRH53" s="10"/>
      <c r="WRI53" s="10"/>
      <c r="WRJ53" s="10"/>
      <c r="WRK53" s="10"/>
      <c r="WRL53" s="10"/>
      <c r="WRM53" s="10"/>
      <c r="WRN53" s="10"/>
      <c r="WRO53" s="10"/>
      <c r="WRP53" s="10"/>
      <c r="WRQ53" s="10"/>
      <c r="WRR53" s="10"/>
      <c r="WRS53" s="10"/>
      <c r="WRT53" s="10"/>
      <c r="WRU53" s="10"/>
      <c r="WRV53" s="10"/>
      <c r="WRW53" s="10"/>
      <c r="WRX53" s="10"/>
      <c r="WRY53" s="10"/>
      <c r="WRZ53" s="10"/>
      <c r="WSA53" s="10"/>
      <c r="WSB53" s="10"/>
      <c r="WSC53" s="10"/>
      <c r="WSD53" s="10"/>
      <c r="WSE53" s="10"/>
      <c r="WSF53" s="10"/>
      <c r="WSG53" s="10"/>
      <c r="WSH53" s="10"/>
      <c r="WSI53" s="10"/>
      <c r="WSJ53" s="10"/>
      <c r="WSK53" s="10"/>
      <c r="WSL53" s="10"/>
      <c r="WSM53" s="10"/>
      <c r="WSN53" s="10"/>
      <c r="WSO53" s="10"/>
      <c r="WSP53" s="10"/>
      <c r="WSQ53" s="10"/>
      <c r="WSR53" s="10"/>
      <c r="WSS53" s="10"/>
      <c r="WST53" s="10"/>
      <c r="WSU53" s="10"/>
      <c r="WSV53" s="10"/>
      <c r="WSW53" s="10"/>
      <c r="WSX53" s="10"/>
      <c r="WSY53" s="10"/>
      <c r="WSZ53" s="10"/>
      <c r="WTA53" s="10"/>
      <c r="WTB53" s="10"/>
      <c r="WTC53" s="10"/>
      <c r="WTD53" s="10"/>
      <c r="WTE53" s="10"/>
      <c r="WTF53" s="10"/>
      <c r="WTG53" s="10"/>
      <c r="WTH53" s="10"/>
      <c r="WTI53" s="10"/>
      <c r="WTJ53" s="10"/>
      <c r="WTK53" s="10"/>
      <c r="WTL53" s="10"/>
      <c r="WTM53" s="10"/>
      <c r="WTN53" s="10"/>
      <c r="WTO53" s="10"/>
      <c r="WTP53" s="10"/>
      <c r="WTQ53" s="10"/>
      <c r="WTR53" s="10"/>
      <c r="WTS53" s="10"/>
      <c r="WTT53" s="10"/>
      <c r="WTU53" s="10"/>
      <c r="WTV53" s="10"/>
      <c r="WTW53" s="10"/>
      <c r="WTX53" s="10"/>
      <c r="WTY53" s="10"/>
      <c r="WTZ53" s="10"/>
      <c r="WUA53" s="10"/>
      <c r="WUB53" s="10"/>
      <c r="WUC53" s="10"/>
      <c r="WUD53" s="10"/>
      <c r="WUE53" s="10"/>
      <c r="WUF53" s="10"/>
      <c r="WUG53" s="10"/>
      <c r="WUH53" s="10"/>
      <c r="WUI53" s="10"/>
      <c r="WUJ53" s="10"/>
      <c r="WUK53" s="10"/>
      <c r="WUL53" s="10"/>
      <c r="WUM53" s="10"/>
      <c r="WUN53" s="10"/>
      <c r="WUO53" s="10"/>
      <c r="WUP53" s="10"/>
      <c r="WUQ53" s="10"/>
      <c r="WUR53" s="10"/>
      <c r="WUS53" s="10"/>
      <c r="WUT53" s="10"/>
      <c r="WUU53" s="10"/>
      <c r="WUV53" s="10"/>
      <c r="WUW53" s="10"/>
      <c r="WUX53" s="10"/>
      <c r="WUY53" s="10"/>
      <c r="WUZ53" s="10"/>
      <c r="WVA53" s="10"/>
      <c r="WVB53" s="10"/>
      <c r="WVC53" s="10"/>
      <c r="WVD53" s="10"/>
      <c r="WVE53" s="10"/>
      <c r="WVF53" s="10"/>
      <c r="WVG53" s="10"/>
      <c r="WVH53" s="10"/>
      <c r="WVI53" s="10"/>
      <c r="WVJ53" s="10"/>
      <c r="WVK53" s="10"/>
      <c r="WVL53" s="10"/>
      <c r="WVM53" s="10"/>
      <c r="WVN53" s="10"/>
      <c r="WVO53" s="10"/>
      <c r="WVP53" s="10"/>
      <c r="WVQ53" s="10"/>
      <c r="WVR53" s="10"/>
      <c r="WVS53" s="10"/>
      <c r="WVT53" s="10"/>
    </row>
    <row r="55" spans="2:16140" s="242" customFormat="1" ht="21" customHeight="1">
      <c r="B55" s="241"/>
      <c r="C55" s="332"/>
      <c r="D55" s="337"/>
      <c r="F55" s="244"/>
      <c r="G55" s="245"/>
      <c r="H55" s="333"/>
      <c r="I55" s="333"/>
      <c r="J55" s="333"/>
      <c r="K55" s="333"/>
      <c r="L55" s="334"/>
      <c r="M55" s="10"/>
      <c r="N55" s="18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 s="10"/>
      <c r="GM55" s="10"/>
      <c r="GN55" s="10"/>
      <c r="GO55" s="10"/>
      <c r="GP55" s="10"/>
      <c r="GQ55" s="10"/>
      <c r="GR55" s="10"/>
      <c r="GS55" s="10"/>
      <c r="GT55" s="10"/>
      <c r="GU55" s="10"/>
      <c r="GV55" s="10"/>
      <c r="GW55" s="10"/>
      <c r="GX55" s="10"/>
      <c r="GY55" s="10"/>
      <c r="GZ55" s="10"/>
      <c r="HA55" s="10"/>
      <c r="HB55" s="10"/>
      <c r="HC55" s="10"/>
      <c r="HD55" s="10"/>
      <c r="HE55" s="10"/>
      <c r="HF55" s="10"/>
      <c r="HG55" s="10"/>
      <c r="HH55" s="10"/>
      <c r="HI55" s="10"/>
      <c r="HJ55" s="10"/>
      <c r="HK55" s="10"/>
      <c r="HL55" s="10"/>
      <c r="HM55" s="10"/>
      <c r="HN55" s="10"/>
      <c r="HO55" s="10"/>
      <c r="HP55" s="10"/>
      <c r="HQ55" s="10"/>
      <c r="HR55" s="10"/>
      <c r="HS55" s="10"/>
      <c r="HT55" s="10"/>
      <c r="HU55" s="10"/>
      <c r="HV55" s="10"/>
      <c r="HW55" s="10"/>
      <c r="HX55" s="10"/>
      <c r="HY55" s="10"/>
      <c r="HZ55" s="10"/>
      <c r="IA55" s="10"/>
      <c r="IB55" s="10"/>
      <c r="IC55" s="10"/>
      <c r="ID55" s="10"/>
      <c r="IE55" s="10"/>
      <c r="IF55" s="10"/>
      <c r="IG55" s="10"/>
      <c r="IH55" s="10"/>
      <c r="II55" s="10"/>
      <c r="IJ55" s="10"/>
      <c r="IK55" s="10"/>
      <c r="IL55" s="10"/>
      <c r="IM55" s="10"/>
      <c r="IN55" s="10"/>
      <c r="IO55" s="10"/>
      <c r="IP55" s="10"/>
      <c r="IQ55" s="10"/>
      <c r="IR55" s="10"/>
      <c r="IS55" s="10"/>
      <c r="IT55" s="10"/>
      <c r="IU55" s="10"/>
      <c r="IV55" s="10"/>
      <c r="IW55" s="10"/>
      <c r="IX55" s="10"/>
      <c r="IY55" s="10"/>
      <c r="IZ55" s="10"/>
      <c r="JA55" s="10"/>
      <c r="JB55" s="10"/>
      <c r="JC55" s="10"/>
      <c r="JD55" s="10"/>
      <c r="JE55" s="10"/>
      <c r="JF55" s="10"/>
      <c r="JG55" s="10"/>
      <c r="JH55" s="10"/>
      <c r="JI55" s="10"/>
      <c r="JJ55" s="10"/>
      <c r="JK55" s="10"/>
      <c r="JL55" s="10"/>
      <c r="JM55" s="10"/>
      <c r="JN55" s="10"/>
      <c r="JO55" s="10"/>
      <c r="JP55" s="10"/>
      <c r="JQ55" s="10"/>
      <c r="JR55" s="10"/>
      <c r="JS55" s="10"/>
      <c r="JT55" s="10"/>
      <c r="JU55" s="10"/>
      <c r="JV55" s="10"/>
      <c r="JW55" s="10"/>
      <c r="JX55" s="10"/>
      <c r="JY55" s="10"/>
      <c r="JZ55" s="10"/>
      <c r="KA55" s="10"/>
      <c r="KB55" s="10"/>
      <c r="KC55" s="10"/>
      <c r="KD55" s="10"/>
      <c r="KE55" s="10"/>
      <c r="KF55" s="10"/>
      <c r="KG55" s="10"/>
      <c r="KH55" s="10"/>
      <c r="KI55" s="10"/>
      <c r="KJ55" s="10"/>
      <c r="KK55" s="10"/>
      <c r="KL55" s="10"/>
      <c r="KM55" s="10"/>
      <c r="KN55" s="10"/>
      <c r="KO55" s="10"/>
      <c r="KP55" s="10"/>
      <c r="KQ55" s="10"/>
      <c r="KR55" s="10"/>
      <c r="KS55" s="10"/>
      <c r="KT55" s="10"/>
      <c r="KU55" s="10"/>
      <c r="KV55" s="10"/>
      <c r="KW55" s="10"/>
      <c r="KX55" s="10"/>
      <c r="KY55" s="10"/>
      <c r="KZ55" s="10"/>
      <c r="LA55" s="10"/>
      <c r="LB55" s="10"/>
      <c r="LC55" s="10"/>
      <c r="LD55" s="10"/>
      <c r="LE55" s="10"/>
      <c r="LF55" s="10"/>
      <c r="LG55" s="10"/>
      <c r="LH55" s="10"/>
      <c r="LI55" s="10"/>
      <c r="LJ55" s="10"/>
      <c r="LK55" s="10"/>
      <c r="LL55" s="10"/>
      <c r="LM55" s="10"/>
      <c r="LN55" s="10"/>
      <c r="LO55" s="10"/>
      <c r="LP55" s="10"/>
      <c r="LQ55" s="10"/>
      <c r="LR55" s="10"/>
      <c r="LS55" s="10"/>
      <c r="LT55" s="10"/>
      <c r="LU55" s="10"/>
      <c r="LV55" s="10"/>
      <c r="LW55" s="10"/>
      <c r="LX55" s="10"/>
      <c r="LY55" s="10"/>
      <c r="LZ55" s="10"/>
      <c r="MA55" s="10"/>
      <c r="MB55" s="10"/>
      <c r="MC55" s="10"/>
      <c r="MD55" s="10"/>
      <c r="ME55" s="10"/>
      <c r="MF55" s="10"/>
      <c r="MG55" s="10"/>
      <c r="MH55" s="10"/>
      <c r="MI55" s="10"/>
      <c r="MJ55" s="10"/>
      <c r="MK55" s="10"/>
      <c r="ML55" s="10"/>
      <c r="MM55" s="10"/>
      <c r="MN55" s="10"/>
      <c r="MO55" s="10"/>
      <c r="MP55" s="10"/>
      <c r="MQ55" s="10"/>
      <c r="MR55" s="10"/>
      <c r="MS55" s="10"/>
      <c r="MT55" s="10"/>
      <c r="MU55" s="10"/>
      <c r="MV55" s="10"/>
      <c r="MW55" s="10"/>
      <c r="MX55" s="10"/>
      <c r="MY55" s="10"/>
      <c r="MZ55" s="10"/>
      <c r="NA55" s="10"/>
      <c r="NB55" s="10"/>
      <c r="NC55" s="10"/>
      <c r="ND55" s="10"/>
      <c r="NE55" s="10"/>
      <c r="NF55" s="10"/>
      <c r="NG55" s="10"/>
      <c r="NH55" s="10"/>
      <c r="NI55" s="10"/>
      <c r="NJ55" s="10"/>
      <c r="NK55" s="10"/>
      <c r="NL55" s="10"/>
      <c r="NM55" s="10"/>
      <c r="NN55" s="10"/>
      <c r="NO55" s="10"/>
      <c r="NP55" s="10"/>
      <c r="NQ55" s="10"/>
      <c r="NR55" s="10"/>
      <c r="NS55" s="10"/>
      <c r="NT55" s="10"/>
      <c r="NU55" s="10"/>
      <c r="NV55" s="10"/>
      <c r="NW55" s="10"/>
      <c r="NX55" s="10"/>
      <c r="NY55" s="10"/>
      <c r="NZ55" s="10"/>
      <c r="OA55" s="10"/>
      <c r="OB55" s="10"/>
      <c r="OC55" s="10"/>
      <c r="OD55" s="10"/>
      <c r="OE55" s="10"/>
      <c r="OF55" s="10"/>
      <c r="OG55" s="10"/>
      <c r="OH55" s="10"/>
      <c r="OI55" s="10"/>
      <c r="OJ55" s="10"/>
      <c r="OK55" s="10"/>
      <c r="OL55" s="10"/>
      <c r="OM55" s="10"/>
      <c r="ON55" s="10"/>
      <c r="OO55" s="10"/>
      <c r="OP55" s="10"/>
      <c r="OQ55" s="10"/>
      <c r="OR55" s="10"/>
      <c r="OS55" s="10"/>
      <c r="OT55" s="10"/>
      <c r="OU55" s="10"/>
      <c r="OV55" s="10"/>
      <c r="OW55" s="10"/>
      <c r="OX55" s="10"/>
      <c r="OY55" s="10"/>
      <c r="OZ55" s="10"/>
      <c r="PA55" s="10"/>
      <c r="PB55" s="10"/>
      <c r="PC55" s="10"/>
      <c r="PD55" s="10"/>
      <c r="PE55" s="10"/>
      <c r="PF55" s="10"/>
      <c r="PG55" s="10"/>
      <c r="PH55" s="10"/>
      <c r="PI55" s="10"/>
      <c r="PJ55" s="10"/>
      <c r="PK55" s="10"/>
      <c r="PL55" s="10"/>
      <c r="PM55" s="10"/>
      <c r="PN55" s="10"/>
      <c r="PO55" s="10"/>
      <c r="PP55" s="10"/>
      <c r="PQ55" s="10"/>
      <c r="PR55" s="10"/>
      <c r="PS55" s="10"/>
      <c r="PT55" s="10"/>
      <c r="PU55" s="10"/>
      <c r="PV55" s="10"/>
      <c r="PW55" s="10"/>
      <c r="PX55" s="10"/>
      <c r="PY55" s="10"/>
      <c r="PZ55" s="10"/>
      <c r="QA55" s="10"/>
      <c r="QB55" s="10"/>
      <c r="QC55" s="10"/>
      <c r="QD55" s="10"/>
      <c r="QE55" s="10"/>
      <c r="QF55" s="10"/>
      <c r="QG55" s="10"/>
      <c r="QH55" s="10"/>
      <c r="QI55" s="10"/>
      <c r="QJ55" s="10"/>
      <c r="QK55" s="10"/>
      <c r="QL55" s="10"/>
      <c r="QM55" s="10"/>
      <c r="QN55" s="10"/>
      <c r="QO55" s="10"/>
      <c r="QP55" s="10"/>
      <c r="QQ55" s="10"/>
      <c r="QR55" s="10"/>
      <c r="QS55" s="10"/>
      <c r="QT55" s="10"/>
      <c r="QU55" s="10"/>
      <c r="QV55" s="10"/>
      <c r="QW55" s="10"/>
      <c r="QX55" s="10"/>
      <c r="QY55" s="10"/>
      <c r="QZ55" s="10"/>
      <c r="RA55" s="10"/>
      <c r="RB55" s="10"/>
      <c r="RC55" s="10"/>
      <c r="RD55" s="10"/>
      <c r="RE55" s="10"/>
      <c r="RF55" s="10"/>
      <c r="RG55" s="10"/>
      <c r="RH55" s="10"/>
      <c r="RI55" s="10"/>
      <c r="RJ55" s="10"/>
      <c r="RK55" s="10"/>
      <c r="RL55" s="10"/>
      <c r="RM55" s="10"/>
      <c r="RN55" s="10"/>
      <c r="RO55" s="10"/>
      <c r="RP55" s="10"/>
      <c r="RQ55" s="10"/>
      <c r="RR55" s="10"/>
      <c r="RS55" s="10"/>
      <c r="RT55" s="10"/>
      <c r="RU55" s="10"/>
      <c r="RV55" s="10"/>
      <c r="RW55" s="10"/>
      <c r="RX55" s="10"/>
      <c r="RY55" s="10"/>
      <c r="RZ55" s="10"/>
      <c r="SA55" s="10"/>
      <c r="SB55" s="10"/>
      <c r="SC55" s="10"/>
      <c r="SD55" s="10"/>
      <c r="SE55" s="10"/>
      <c r="SF55" s="10"/>
      <c r="SG55" s="10"/>
      <c r="SH55" s="10"/>
      <c r="SI55" s="10"/>
      <c r="SJ55" s="10"/>
      <c r="SK55" s="10"/>
      <c r="SL55" s="10"/>
      <c r="SM55" s="10"/>
      <c r="SN55" s="10"/>
      <c r="SO55" s="10"/>
      <c r="SP55" s="10"/>
      <c r="SQ55" s="10"/>
      <c r="SR55" s="10"/>
      <c r="SS55" s="10"/>
      <c r="ST55" s="10"/>
      <c r="SU55" s="10"/>
      <c r="SV55" s="10"/>
      <c r="SW55" s="10"/>
      <c r="SX55" s="10"/>
      <c r="SY55" s="10"/>
      <c r="SZ55" s="10"/>
      <c r="TA55" s="10"/>
      <c r="TB55" s="10"/>
      <c r="TC55" s="10"/>
      <c r="TD55" s="10"/>
      <c r="TE55" s="10"/>
      <c r="TF55" s="10"/>
      <c r="TG55" s="10"/>
      <c r="TH55" s="10"/>
      <c r="TI55" s="10"/>
      <c r="TJ55" s="10"/>
      <c r="TK55" s="10"/>
      <c r="TL55" s="10"/>
      <c r="TM55" s="10"/>
      <c r="TN55" s="10"/>
      <c r="TO55" s="10"/>
      <c r="TP55" s="10"/>
      <c r="TQ55" s="10"/>
      <c r="TR55" s="10"/>
      <c r="TS55" s="10"/>
      <c r="TT55" s="10"/>
      <c r="TU55" s="10"/>
      <c r="TV55" s="10"/>
      <c r="TW55" s="10"/>
      <c r="TX55" s="10"/>
      <c r="TY55" s="10"/>
      <c r="TZ55" s="10"/>
      <c r="UA55" s="10"/>
      <c r="UB55" s="10"/>
      <c r="UC55" s="10"/>
      <c r="UD55" s="10"/>
      <c r="UE55" s="10"/>
      <c r="UF55" s="10"/>
      <c r="UG55" s="10"/>
      <c r="UH55" s="10"/>
      <c r="UI55" s="10"/>
      <c r="UJ55" s="10"/>
      <c r="UK55" s="10"/>
      <c r="UL55" s="10"/>
      <c r="UM55" s="10"/>
      <c r="UN55" s="10"/>
      <c r="UO55" s="10"/>
      <c r="UP55" s="10"/>
      <c r="UQ55" s="10"/>
      <c r="UR55" s="10"/>
      <c r="US55" s="10"/>
      <c r="UT55" s="10"/>
      <c r="UU55" s="10"/>
      <c r="UV55" s="10"/>
      <c r="UW55" s="10"/>
      <c r="UX55" s="10"/>
      <c r="UY55" s="10"/>
      <c r="UZ55" s="10"/>
      <c r="VA55" s="10"/>
      <c r="VB55" s="10"/>
      <c r="VC55" s="10"/>
      <c r="VD55" s="10"/>
      <c r="VE55" s="10"/>
      <c r="VF55" s="10"/>
      <c r="VG55" s="10"/>
      <c r="VH55" s="10"/>
      <c r="VI55" s="10"/>
      <c r="VJ55" s="10"/>
      <c r="VK55" s="10"/>
      <c r="VL55" s="10"/>
      <c r="VM55" s="10"/>
      <c r="VN55" s="10"/>
      <c r="VO55" s="10"/>
      <c r="VP55" s="10"/>
      <c r="VQ55" s="10"/>
      <c r="VR55" s="10"/>
      <c r="VS55" s="10"/>
      <c r="VT55" s="10"/>
      <c r="VU55" s="10"/>
      <c r="VV55" s="10"/>
      <c r="VW55" s="10"/>
      <c r="VX55" s="10"/>
      <c r="VY55" s="10"/>
      <c r="VZ55" s="10"/>
      <c r="WA55" s="10"/>
      <c r="WB55" s="10"/>
      <c r="WC55" s="10"/>
      <c r="WD55" s="10"/>
      <c r="WE55" s="10"/>
      <c r="WF55" s="10"/>
      <c r="WG55" s="10"/>
      <c r="WH55" s="10"/>
      <c r="WI55" s="10"/>
      <c r="WJ55" s="10"/>
      <c r="WK55" s="10"/>
      <c r="WL55" s="10"/>
      <c r="WM55" s="10"/>
      <c r="WN55" s="10"/>
      <c r="WO55" s="10"/>
      <c r="WP55" s="10"/>
      <c r="WQ55" s="10"/>
      <c r="WR55" s="10"/>
      <c r="WS55" s="10"/>
      <c r="WT55" s="10"/>
      <c r="WU55" s="10"/>
      <c r="WV55" s="10"/>
      <c r="WW55" s="10"/>
      <c r="WX55" s="10"/>
      <c r="WY55" s="10"/>
      <c r="WZ55" s="10"/>
      <c r="XA55" s="10"/>
      <c r="XB55" s="10"/>
      <c r="XC55" s="10"/>
      <c r="XD55" s="10"/>
      <c r="XE55" s="10"/>
      <c r="XF55" s="10"/>
      <c r="XG55" s="10"/>
      <c r="XH55" s="10"/>
      <c r="XI55" s="10"/>
      <c r="XJ55" s="10"/>
      <c r="XK55" s="10"/>
      <c r="XL55" s="10"/>
      <c r="XM55" s="10"/>
      <c r="XN55" s="10"/>
      <c r="XO55" s="10"/>
      <c r="XP55" s="10"/>
      <c r="XQ55" s="10"/>
      <c r="XR55" s="10"/>
      <c r="XS55" s="10"/>
      <c r="XT55" s="10"/>
      <c r="XU55" s="10"/>
      <c r="XV55" s="10"/>
      <c r="XW55" s="10"/>
      <c r="XX55" s="10"/>
      <c r="XY55" s="10"/>
      <c r="XZ55" s="10"/>
      <c r="YA55" s="10"/>
      <c r="YB55" s="10"/>
      <c r="YC55" s="10"/>
      <c r="YD55" s="10"/>
      <c r="YE55" s="10"/>
      <c r="YF55" s="10"/>
      <c r="YG55" s="10"/>
      <c r="YH55" s="10"/>
      <c r="YI55" s="10"/>
      <c r="YJ55" s="10"/>
      <c r="YK55" s="10"/>
      <c r="YL55" s="10"/>
      <c r="YM55" s="10"/>
      <c r="YN55" s="10"/>
      <c r="YO55" s="10"/>
      <c r="YP55" s="10"/>
      <c r="YQ55" s="10"/>
      <c r="YR55" s="10"/>
      <c r="YS55" s="10"/>
      <c r="YT55" s="10"/>
      <c r="YU55" s="10"/>
      <c r="YV55" s="10"/>
      <c r="YW55" s="10"/>
      <c r="YX55" s="10"/>
      <c r="YY55" s="10"/>
      <c r="YZ55" s="10"/>
      <c r="ZA55" s="10"/>
      <c r="ZB55" s="10"/>
      <c r="ZC55" s="10"/>
      <c r="ZD55" s="10"/>
      <c r="ZE55" s="10"/>
      <c r="ZF55" s="10"/>
      <c r="ZG55" s="10"/>
      <c r="ZH55" s="10"/>
      <c r="ZI55" s="10"/>
      <c r="ZJ55" s="10"/>
      <c r="ZK55" s="10"/>
      <c r="ZL55" s="10"/>
      <c r="ZM55" s="10"/>
      <c r="ZN55" s="10"/>
      <c r="ZO55" s="10"/>
      <c r="ZP55" s="10"/>
      <c r="ZQ55" s="10"/>
      <c r="ZR55" s="10"/>
      <c r="ZS55" s="10"/>
      <c r="ZT55" s="10"/>
      <c r="ZU55" s="10"/>
      <c r="ZV55" s="10"/>
      <c r="ZW55" s="10"/>
      <c r="ZX55" s="10"/>
      <c r="ZY55" s="10"/>
      <c r="ZZ55" s="10"/>
      <c r="AAA55" s="10"/>
      <c r="AAB55" s="10"/>
      <c r="AAC55" s="10"/>
      <c r="AAD55" s="10"/>
      <c r="AAE55" s="10"/>
      <c r="AAF55" s="10"/>
      <c r="AAG55" s="10"/>
      <c r="AAH55" s="10"/>
      <c r="AAI55" s="10"/>
      <c r="AAJ55" s="10"/>
      <c r="AAK55" s="10"/>
      <c r="AAL55" s="10"/>
      <c r="AAM55" s="10"/>
      <c r="AAN55" s="10"/>
      <c r="AAO55" s="10"/>
      <c r="AAP55" s="10"/>
      <c r="AAQ55" s="10"/>
      <c r="AAR55" s="10"/>
      <c r="AAS55" s="10"/>
      <c r="AAT55" s="10"/>
      <c r="AAU55" s="10"/>
      <c r="AAV55" s="10"/>
      <c r="AAW55" s="10"/>
      <c r="AAX55" s="10"/>
      <c r="AAY55" s="10"/>
      <c r="AAZ55" s="10"/>
      <c r="ABA55" s="10"/>
      <c r="ABB55" s="10"/>
      <c r="ABC55" s="10"/>
      <c r="ABD55" s="10"/>
      <c r="ABE55" s="10"/>
      <c r="ABF55" s="10"/>
      <c r="ABG55" s="10"/>
      <c r="ABH55" s="10"/>
      <c r="ABI55" s="10"/>
      <c r="ABJ55" s="10"/>
      <c r="ABK55" s="10"/>
      <c r="ABL55" s="10"/>
      <c r="ABM55" s="10"/>
      <c r="ABN55" s="10"/>
      <c r="ABO55" s="10"/>
      <c r="ABP55" s="10"/>
      <c r="ABQ55" s="10"/>
      <c r="ABR55" s="10"/>
      <c r="ABS55" s="10"/>
      <c r="ABT55" s="10"/>
      <c r="ABU55" s="10"/>
      <c r="ABV55" s="10"/>
      <c r="ABW55" s="10"/>
      <c r="ABX55" s="10"/>
      <c r="ABY55" s="10"/>
      <c r="ABZ55" s="10"/>
      <c r="ACA55" s="10"/>
      <c r="ACB55" s="10"/>
      <c r="ACC55" s="10"/>
      <c r="ACD55" s="10"/>
      <c r="ACE55" s="10"/>
      <c r="ACF55" s="10"/>
      <c r="ACG55" s="10"/>
      <c r="ACH55" s="10"/>
      <c r="ACI55" s="10"/>
      <c r="ACJ55" s="10"/>
      <c r="ACK55" s="10"/>
      <c r="ACL55" s="10"/>
      <c r="ACM55" s="10"/>
      <c r="ACN55" s="10"/>
      <c r="ACO55" s="10"/>
      <c r="ACP55" s="10"/>
      <c r="ACQ55" s="10"/>
      <c r="ACR55" s="10"/>
      <c r="ACS55" s="10"/>
      <c r="ACT55" s="10"/>
      <c r="ACU55" s="10"/>
      <c r="ACV55" s="10"/>
      <c r="ACW55" s="10"/>
      <c r="ACX55" s="10"/>
      <c r="ACY55" s="10"/>
      <c r="ACZ55" s="10"/>
      <c r="ADA55" s="10"/>
      <c r="ADB55" s="10"/>
      <c r="ADC55" s="10"/>
      <c r="ADD55" s="10"/>
      <c r="ADE55" s="10"/>
      <c r="ADF55" s="10"/>
      <c r="ADG55" s="10"/>
      <c r="ADH55" s="10"/>
      <c r="ADI55" s="10"/>
      <c r="ADJ55" s="10"/>
      <c r="ADK55" s="10"/>
      <c r="ADL55" s="10"/>
      <c r="ADM55" s="10"/>
      <c r="ADN55" s="10"/>
      <c r="ADO55" s="10"/>
      <c r="ADP55" s="10"/>
      <c r="ADQ55" s="10"/>
      <c r="ADR55" s="10"/>
      <c r="ADS55" s="10"/>
      <c r="ADT55" s="10"/>
      <c r="ADU55" s="10"/>
      <c r="ADV55" s="10"/>
      <c r="ADW55" s="10"/>
      <c r="ADX55" s="10"/>
      <c r="ADY55" s="10"/>
      <c r="ADZ55" s="10"/>
      <c r="AEA55" s="10"/>
      <c r="AEB55" s="10"/>
      <c r="AEC55" s="10"/>
      <c r="AED55" s="10"/>
      <c r="AEE55" s="10"/>
      <c r="AEF55" s="10"/>
      <c r="AEG55" s="10"/>
      <c r="AEH55" s="10"/>
      <c r="AEI55" s="10"/>
      <c r="AEJ55" s="10"/>
      <c r="AEK55" s="10"/>
      <c r="AEL55" s="10"/>
      <c r="AEM55" s="10"/>
      <c r="AEN55" s="10"/>
      <c r="AEO55" s="10"/>
      <c r="AEP55" s="10"/>
      <c r="AEQ55" s="10"/>
      <c r="AER55" s="10"/>
      <c r="AES55" s="10"/>
      <c r="AET55" s="10"/>
      <c r="AEU55" s="10"/>
      <c r="AEV55" s="10"/>
      <c r="AEW55" s="10"/>
      <c r="AEX55" s="10"/>
      <c r="AEY55" s="10"/>
      <c r="AEZ55" s="10"/>
      <c r="AFA55" s="10"/>
      <c r="AFB55" s="10"/>
      <c r="AFC55" s="10"/>
      <c r="AFD55" s="10"/>
      <c r="AFE55" s="10"/>
      <c r="AFF55" s="10"/>
      <c r="AFG55" s="10"/>
      <c r="AFH55" s="10"/>
      <c r="AFI55" s="10"/>
      <c r="AFJ55" s="10"/>
      <c r="AFK55" s="10"/>
      <c r="AFL55" s="10"/>
      <c r="AFM55" s="10"/>
      <c r="AFN55" s="10"/>
      <c r="AFO55" s="10"/>
      <c r="AFP55" s="10"/>
      <c r="AFQ55" s="10"/>
      <c r="AFR55" s="10"/>
      <c r="AFS55" s="10"/>
      <c r="AFT55" s="10"/>
      <c r="AFU55" s="10"/>
      <c r="AFV55" s="10"/>
      <c r="AFW55" s="10"/>
      <c r="AFX55" s="10"/>
      <c r="AFY55" s="10"/>
      <c r="AFZ55" s="10"/>
      <c r="AGA55" s="10"/>
      <c r="AGB55" s="10"/>
      <c r="AGC55" s="10"/>
      <c r="AGD55" s="10"/>
      <c r="AGE55" s="10"/>
      <c r="AGF55" s="10"/>
      <c r="AGG55" s="10"/>
      <c r="AGH55" s="10"/>
      <c r="AGI55" s="10"/>
      <c r="AGJ55" s="10"/>
      <c r="AGK55" s="10"/>
      <c r="AGL55" s="10"/>
      <c r="AGM55" s="10"/>
      <c r="AGN55" s="10"/>
      <c r="AGO55" s="10"/>
      <c r="AGP55" s="10"/>
      <c r="AGQ55" s="10"/>
      <c r="AGR55" s="10"/>
      <c r="AGS55" s="10"/>
      <c r="AGT55" s="10"/>
      <c r="AGU55" s="10"/>
      <c r="AGV55" s="10"/>
      <c r="AGW55" s="10"/>
      <c r="AGX55" s="10"/>
      <c r="AGY55" s="10"/>
      <c r="AGZ55" s="10"/>
      <c r="AHA55" s="10"/>
      <c r="AHB55" s="10"/>
      <c r="AHC55" s="10"/>
      <c r="AHD55" s="10"/>
      <c r="AHE55" s="10"/>
      <c r="AHF55" s="10"/>
      <c r="AHG55" s="10"/>
      <c r="AHH55" s="10"/>
      <c r="AHI55" s="10"/>
      <c r="AHJ55" s="10"/>
      <c r="AHK55" s="10"/>
      <c r="AHL55" s="10"/>
      <c r="AHM55" s="10"/>
      <c r="AHN55" s="10"/>
      <c r="AHO55" s="10"/>
      <c r="AHP55" s="10"/>
      <c r="AHQ55" s="10"/>
      <c r="AHR55" s="10"/>
      <c r="AHS55" s="10"/>
      <c r="AHT55" s="10"/>
      <c r="AHU55" s="10"/>
      <c r="AHV55" s="10"/>
      <c r="AHW55" s="10"/>
      <c r="AHX55" s="10"/>
      <c r="AHY55" s="10"/>
      <c r="AHZ55" s="10"/>
      <c r="AIA55" s="10"/>
      <c r="AIB55" s="10"/>
      <c r="AIC55" s="10"/>
      <c r="AID55" s="10"/>
      <c r="AIE55" s="10"/>
      <c r="AIF55" s="10"/>
      <c r="AIG55" s="10"/>
      <c r="AIH55" s="10"/>
      <c r="AII55" s="10"/>
      <c r="AIJ55" s="10"/>
      <c r="AIK55" s="10"/>
      <c r="AIL55" s="10"/>
      <c r="AIM55" s="10"/>
      <c r="AIN55" s="10"/>
      <c r="AIO55" s="10"/>
      <c r="AIP55" s="10"/>
      <c r="AIQ55" s="10"/>
      <c r="AIR55" s="10"/>
      <c r="AIS55" s="10"/>
      <c r="AIT55" s="10"/>
      <c r="AIU55" s="10"/>
      <c r="AIV55" s="10"/>
      <c r="AIW55" s="10"/>
      <c r="AIX55" s="10"/>
      <c r="AIY55" s="10"/>
      <c r="AIZ55" s="10"/>
      <c r="AJA55" s="10"/>
      <c r="AJB55" s="10"/>
      <c r="AJC55" s="10"/>
      <c r="AJD55" s="10"/>
      <c r="AJE55" s="10"/>
      <c r="AJF55" s="10"/>
      <c r="AJG55" s="10"/>
      <c r="AJH55" s="10"/>
      <c r="AJI55" s="10"/>
      <c r="AJJ55" s="10"/>
      <c r="AJK55" s="10"/>
      <c r="AJL55" s="10"/>
      <c r="AJM55" s="10"/>
      <c r="AJN55" s="10"/>
      <c r="AJO55" s="10"/>
      <c r="AJP55" s="10"/>
      <c r="AJQ55" s="10"/>
      <c r="AJR55" s="10"/>
      <c r="AJS55" s="10"/>
      <c r="AJT55" s="10"/>
      <c r="AJU55" s="10"/>
      <c r="AJV55" s="10"/>
      <c r="AJW55" s="10"/>
      <c r="AJX55" s="10"/>
      <c r="AJY55" s="10"/>
      <c r="AJZ55" s="10"/>
      <c r="AKA55" s="10"/>
      <c r="AKB55" s="10"/>
      <c r="AKC55" s="10"/>
      <c r="AKD55" s="10"/>
      <c r="AKE55" s="10"/>
      <c r="AKF55" s="10"/>
      <c r="AKG55" s="10"/>
      <c r="AKH55" s="10"/>
      <c r="AKI55" s="10"/>
      <c r="AKJ55" s="10"/>
      <c r="AKK55" s="10"/>
      <c r="AKL55" s="10"/>
      <c r="AKM55" s="10"/>
      <c r="AKN55" s="10"/>
      <c r="AKO55" s="10"/>
      <c r="AKP55" s="10"/>
      <c r="AKQ55" s="10"/>
      <c r="AKR55" s="10"/>
      <c r="AKS55" s="10"/>
      <c r="AKT55" s="10"/>
      <c r="AKU55" s="10"/>
      <c r="AKV55" s="10"/>
      <c r="AKW55" s="10"/>
      <c r="AKX55" s="10"/>
      <c r="AKY55" s="10"/>
      <c r="AKZ55" s="10"/>
      <c r="ALA55" s="10"/>
      <c r="ALB55" s="10"/>
      <c r="ALC55" s="10"/>
      <c r="ALD55" s="10"/>
      <c r="ALE55" s="10"/>
      <c r="ALF55" s="10"/>
      <c r="ALG55" s="10"/>
      <c r="ALH55" s="10"/>
      <c r="ALI55" s="10"/>
      <c r="ALJ55" s="10"/>
      <c r="ALK55" s="10"/>
      <c r="ALL55" s="10"/>
      <c r="ALM55" s="10"/>
      <c r="ALN55" s="10"/>
      <c r="ALO55" s="10"/>
      <c r="ALP55" s="10"/>
      <c r="ALQ55" s="10"/>
      <c r="ALR55" s="10"/>
      <c r="ALS55" s="10"/>
      <c r="ALT55" s="10"/>
      <c r="ALU55" s="10"/>
      <c r="ALV55" s="10"/>
      <c r="ALW55" s="10"/>
      <c r="ALX55" s="10"/>
      <c r="ALY55" s="10"/>
      <c r="ALZ55" s="10"/>
      <c r="AMA55" s="10"/>
      <c r="AMB55" s="10"/>
      <c r="AMC55" s="10"/>
      <c r="AMD55" s="10"/>
      <c r="AME55" s="10"/>
      <c r="AMF55" s="10"/>
      <c r="AMG55" s="10"/>
      <c r="AMH55" s="10"/>
      <c r="AMI55" s="10"/>
      <c r="AMJ55" s="10"/>
      <c r="AMK55" s="10"/>
      <c r="AML55" s="10"/>
      <c r="AMM55" s="10"/>
      <c r="AMN55" s="10"/>
      <c r="AMO55" s="10"/>
      <c r="AMP55" s="10"/>
      <c r="AMQ55" s="10"/>
      <c r="AMR55" s="10"/>
      <c r="AMS55" s="10"/>
      <c r="AMT55" s="10"/>
      <c r="AMU55" s="10"/>
      <c r="AMV55" s="10"/>
      <c r="AMW55" s="10"/>
      <c r="AMX55" s="10"/>
      <c r="AMY55" s="10"/>
      <c r="AMZ55" s="10"/>
      <c r="ANA55" s="10"/>
      <c r="ANB55" s="10"/>
      <c r="ANC55" s="10"/>
      <c r="AND55" s="10"/>
      <c r="ANE55" s="10"/>
      <c r="ANF55" s="10"/>
      <c r="ANG55" s="10"/>
      <c r="ANH55" s="10"/>
      <c r="ANI55" s="10"/>
      <c r="ANJ55" s="10"/>
      <c r="ANK55" s="10"/>
      <c r="ANL55" s="10"/>
      <c r="ANM55" s="10"/>
      <c r="ANN55" s="10"/>
      <c r="ANO55" s="10"/>
      <c r="ANP55" s="10"/>
      <c r="ANQ55" s="10"/>
      <c r="ANR55" s="10"/>
      <c r="ANS55" s="10"/>
      <c r="ANT55" s="10"/>
      <c r="ANU55" s="10"/>
      <c r="ANV55" s="10"/>
      <c r="ANW55" s="10"/>
      <c r="ANX55" s="10"/>
      <c r="ANY55" s="10"/>
      <c r="ANZ55" s="10"/>
      <c r="AOA55" s="10"/>
      <c r="AOB55" s="10"/>
      <c r="AOC55" s="10"/>
      <c r="AOD55" s="10"/>
      <c r="AOE55" s="10"/>
      <c r="AOF55" s="10"/>
      <c r="AOG55" s="10"/>
      <c r="AOH55" s="10"/>
      <c r="AOI55" s="10"/>
      <c r="AOJ55" s="10"/>
      <c r="AOK55" s="10"/>
      <c r="AOL55" s="10"/>
      <c r="AOM55" s="10"/>
      <c r="AON55" s="10"/>
      <c r="AOO55" s="10"/>
      <c r="AOP55" s="10"/>
      <c r="AOQ55" s="10"/>
      <c r="AOR55" s="10"/>
      <c r="AOS55" s="10"/>
      <c r="AOT55" s="10"/>
      <c r="AOU55" s="10"/>
      <c r="AOV55" s="10"/>
      <c r="AOW55" s="10"/>
      <c r="AOX55" s="10"/>
      <c r="AOY55" s="10"/>
      <c r="AOZ55" s="10"/>
      <c r="APA55" s="10"/>
      <c r="APB55" s="10"/>
      <c r="APC55" s="10"/>
      <c r="APD55" s="10"/>
      <c r="APE55" s="10"/>
      <c r="APF55" s="10"/>
      <c r="APG55" s="10"/>
      <c r="APH55" s="10"/>
      <c r="API55" s="10"/>
      <c r="APJ55" s="10"/>
      <c r="APK55" s="10"/>
      <c r="APL55" s="10"/>
      <c r="APM55" s="10"/>
      <c r="APN55" s="10"/>
      <c r="APO55" s="10"/>
      <c r="APP55" s="10"/>
      <c r="APQ55" s="10"/>
      <c r="APR55" s="10"/>
      <c r="APS55" s="10"/>
      <c r="APT55" s="10"/>
      <c r="APU55" s="10"/>
      <c r="APV55" s="10"/>
      <c r="APW55" s="10"/>
      <c r="APX55" s="10"/>
      <c r="APY55" s="10"/>
      <c r="APZ55" s="10"/>
      <c r="AQA55" s="10"/>
      <c r="AQB55" s="10"/>
      <c r="AQC55" s="10"/>
      <c r="AQD55" s="10"/>
      <c r="AQE55" s="10"/>
      <c r="AQF55" s="10"/>
      <c r="AQG55" s="10"/>
      <c r="AQH55" s="10"/>
      <c r="AQI55" s="10"/>
      <c r="AQJ55" s="10"/>
      <c r="AQK55" s="10"/>
      <c r="AQL55" s="10"/>
      <c r="AQM55" s="10"/>
      <c r="AQN55" s="10"/>
      <c r="AQO55" s="10"/>
      <c r="AQP55" s="10"/>
      <c r="AQQ55" s="10"/>
      <c r="AQR55" s="10"/>
      <c r="AQS55" s="10"/>
      <c r="AQT55" s="10"/>
      <c r="AQU55" s="10"/>
      <c r="AQV55" s="10"/>
      <c r="AQW55" s="10"/>
      <c r="AQX55" s="10"/>
      <c r="AQY55" s="10"/>
      <c r="AQZ55" s="10"/>
      <c r="ARA55" s="10"/>
      <c r="ARB55" s="10"/>
      <c r="ARC55" s="10"/>
      <c r="ARD55" s="10"/>
      <c r="ARE55" s="10"/>
      <c r="ARF55" s="10"/>
      <c r="ARG55" s="10"/>
      <c r="ARH55" s="10"/>
      <c r="ARI55" s="10"/>
      <c r="ARJ55" s="10"/>
      <c r="ARK55" s="10"/>
      <c r="ARL55" s="10"/>
      <c r="ARM55" s="10"/>
      <c r="ARN55" s="10"/>
      <c r="ARO55" s="10"/>
      <c r="ARP55" s="10"/>
      <c r="ARQ55" s="10"/>
      <c r="ARR55" s="10"/>
      <c r="ARS55" s="10"/>
      <c r="ART55" s="10"/>
      <c r="ARU55" s="10"/>
      <c r="ARV55" s="10"/>
      <c r="ARW55" s="10"/>
      <c r="ARX55" s="10"/>
      <c r="ARY55" s="10"/>
      <c r="ARZ55" s="10"/>
      <c r="ASA55" s="10"/>
      <c r="ASB55" s="10"/>
      <c r="ASC55" s="10"/>
      <c r="ASD55" s="10"/>
      <c r="ASE55" s="10"/>
      <c r="ASF55" s="10"/>
      <c r="ASG55" s="10"/>
      <c r="ASH55" s="10"/>
      <c r="ASI55" s="10"/>
      <c r="ASJ55" s="10"/>
      <c r="ASK55" s="10"/>
      <c r="ASL55" s="10"/>
      <c r="ASM55" s="10"/>
      <c r="ASN55" s="10"/>
      <c r="ASO55" s="10"/>
      <c r="ASP55" s="10"/>
      <c r="ASQ55" s="10"/>
      <c r="ASR55" s="10"/>
      <c r="ASS55" s="10"/>
      <c r="AST55" s="10"/>
      <c r="ASU55" s="10"/>
      <c r="ASV55" s="10"/>
      <c r="ASW55" s="10"/>
      <c r="ASX55" s="10"/>
      <c r="ASY55" s="10"/>
      <c r="ASZ55" s="10"/>
      <c r="ATA55" s="10"/>
      <c r="ATB55" s="10"/>
      <c r="ATC55" s="10"/>
      <c r="ATD55" s="10"/>
      <c r="ATE55" s="10"/>
      <c r="ATF55" s="10"/>
      <c r="ATG55" s="10"/>
      <c r="ATH55" s="10"/>
      <c r="ATI55" s="10"/>
      <c r="ATJ55" s="10"/>
      <c r="ATK55" s="10"/>
      <c r="ATL55" s="10"/>
      <c r="ATM55" s="10"/>
      <c r="ATN55" s="10"/>
      <c r="ATO55" s="10"/>
      <c r="ATP55" s="10"/>
      <c r="ATQ55" s="10"/>
      <c r="ATR55" s="10"/>
      <c r="ATS55" s="10"/>
      <c r="ATT55" s="10"/>
      <c r="ATU55" s="10"/>
      <c r="ATV55" s="10"/>
      <c r="ATW55" s="10"/>
      <c r="ATX55" s="10"/>
      <c r="ATY55" s="10"/>
      <c r="ATZ55" s="10"/>
      <c r="AUA55" s="10"/>
      <c r="AUB55" s="10"/>
      <c r="AUC55" s="10"/>
      <c r="AUD55" s="10"/>
      <c r="AUE55" s="10"/>
      <c r="AUF55" s="10"/>
      <c r="AUG55" s="10"/>
      <c r="AUH55" s="10"/>
      <c r="AUI55" s="10"/>
      <c r="AUJ55" s="10"/>
      <c r="AUK55" s="10"/>
      <c r="AUL55" s="10"/>
      <c r="AUM55" s="10"/>
      <c r="AUN55" s="10"/>
      <c r="AUO55" s="10"/>
      <c r="AUP55" s="10"/>
      <c r="AUQ55" s="10"/>
      <c r="AUR55" s="10"/>
      <c r="AUS55" s="10"/>
      <c r="AUT55" s="10"/>
      <c r="AUU55" s="10"/>
      <c r="AUV55" s="10"/>
      <c r="AUW55" s="10"/>
      <c r="AUX55" s="10"/>
      <c r="AUY55" s="10"/>
      <c r="AUZ55" s="10"/>
      <c r="AVA55" s="10"/>
      <c r="AVB55" s="10"/>
      <c r="AVC55" s="10"/>
      <c r="AVD55" s="10"/>
      <c r="AVE55" s="10"/>
      <c r="AVF55" s="10"/>
      <c r="AVG55" s="10"/>
      <c r="AVH55" s="10"/>
      <c r="AVI55" s="10"/>
      <c r="AVJ55" s="10"/>
      <c r="AVK55" s="10"/>
      <c r="AVL55" s="10"/>
      <c r="AVM55" s="10"/>
      <c r="AVN55" s="10"/>
      <c r="AVO55" s="10"/>
      <c r="AVP55" s="10"/>
      <c r="AVQ55" s="10"/>
      <c r="AVR55" s="10"/>
      <c r="AVS55" s="10"/>
      <c r="AVT55" s="10"/>
      <c r="AVU55" s="10"/>
      <c r="AVV55" s="10"/>
      <c r="AVW55" s="10"/>
      <c r="AVX55" s="10"/>
      <c r="AVY55" s="10"/>
      <c r="AVZ55" s="10"/>
      <c r="AWA55" s="10"/>
      <c r="AWB55" s="10"/>
      <c r="AWC55" s="10"/>
      <c r="AWD55" s="10"/>
      <c r="AWE55" s="10"/>
      <c r="AWF55" s="10"/>
      <c r="AWG55" s="10"/>
      <c r="AWH55" s="10"/>
      <c r="AWI55" s="10"/>
      <c r="AWJ55" s="10"/>
      <c r="AWK55" s="10"/>
      <c r="AWL55" s="10"/>
      <c r="AWM55" s="10"/>
      <c r="AWN55" s="10"/>
      <c r="AWO55" s="10"/>
      <c r="AWP55" s="10"/>
      <c r="AWQ55" s="10"/>
      <c r="AWR55" s="10"/>
      <c r="AWS55" s="10"/>
      <c r="AWT55" s="10"/>
      <c r="AWU55" s="10"/>
      <c r="AWV55" s="10"/>
      <c r="AWW55" s="10"/>
      <c r="AWX55" s="10"/>
      <c r="AWY55" s="10"/>
      <c r="AWZ55" s="10"/>
      <c r="AXA55" s="10"/>
      <c r="AXB55" s="10"/>
      <c r="AXC55" s="10"/>
      <c r="AXD55" s="10"/>
      <c r="AXE55" s="10"/>
      <c r="AXF55" s="10"/>
      <c r="AXG55" s="10"/>
      <c r="AXH55" s="10"/>
      <c r="AXI55" s="10"/>
      <c r="AXJ55" s="10"/>
      <c r="AXK55" s="10"/>
      <c r="AXL55" s="10"/>
      <c r="AXM55" s="10"/>
      <c r="AXN55" s="10"/>
      <c r="AXO55" s="10"/>
      <c r="AXP55" s="10"/>
      <c r="AXQ55" s="10"/>
      <c r="AXR55" s="10"/>
      <c r="AXS55" s="10"/>
      <c r="AXT55" s="10"/>
      <c r="AXU55" s="10"/>
      <c r="AXV55" s="10"/>
      <c r="AXW55" s="10"/>
      <c r="AXX55" s="10"/>
      <c r="AXY55" s="10"/>
      <c r="AXZ55" s="10"/>
      <c r="AYA55" s="10"/>
      <c r="AYB55" s="10"/>
      <c r="AYC55" s="10"/>
      <c r="AYD55" s="10"/>
      <c r="AYE55" s="10"/>
      <c r="AYF55" s="10"/>
      <c r="AYG55" s="10"/>
      <c r="AYH55" s="10"/>
      <c r="AYI55" s="10"/>
      <c r="AYJ55" s="10"/>
      <c r="AYK55" s="10"/>
      <c r="AYL55" s="10"/>
      <c r="AYM55" s="10"/>
      <c r="AYN55" s="10"/>
      <c r="AYO55" s="10"/>
      <c r="AYP55" s="10"/>
      <c r="AYQ55" s="10"/>
      <c r="AYR55" s="10"/>
      <c r="AYS55" s="10"/>
      <c r="AYT55" s="10"/>
      <c r="AYU55" s="10"/>
      <c r="AYV55" s="10"/>
      <c r="AYW55" s="10"/>
      <c r="AYX55" s="10"/>
      <c r="AYY55" s="10"/>
      <c r="AYZ55" s="10"/>
      <c r="AZA55" s="10"/>
      <c r="AZB55" s="10"/>
      <c r="AZC55" s="10"/>
      <c r="AZD55" s="10"/>
      <c r="AZE55" s="10"/>
      <c r="AZF55" s="10"/>
      <c r="AZG55" s="10"/>
      <c r="AZH55" s="10"/>
      <c r="AZI55" s="10"/>
      <c r="AZJ55" s="10"/>
      <c r="AZK55" s="10"/>
      <c r="AZL55" s="10"/>
      <c r="AZM55" s="10"/>
      <c r="AZN55" s="10"/>
      <c r="AZO55" s="10"/>
      <c r="AZP55" s="10"/>
      <c r="AZQ55" s="10"/>
      <c r="AZR55" s="10"/>
      <c r="AZS55" s="10"/>
      <c r="AZT55" s="10"/>
      <c r="AZU55" s="10"/>
      <c r="AZV55" s="10"/>
      <c r="AZW55" s="10"/>
      <c r="AZX55" s="10"/>
      <c r="AZY55" s="10"/>
      <c r="AZZ55" s="10"/>
      <c r="BAA55" s="10"/>
      <c r="BAB55" s="10"/>
      <c r="BAC55" s="10"/>
      <c r="BAD55" s="10"/>
      <c r="BAE55" s="10"/>
      <c r="BAF55" s="10"/>
      <c r="BAG55" s="10"/>
      <c r="BAH55" s="10"/>
      <c r="BAI55" s="10"/>
      <c r="BAJ55" s="10"/>
      <c r="BAK55" s="10"/>
      <c r="BAL55" s="10"/>
      <c r="BAM55" s="10"/>
      <c r="BAN55" s="10"/>
      <c r="BAO55" s="10"/>
      <c r="BAP55" s="10"/>
      <c r="BAQ55" s="10"/>
      <c r="BAR55" s="10"/>
      <c r="BAS55" s="10"/>
      <c r="BAT55" s="10"/>
      <c r="BAU55" s="10"/>
      <c r="BAV55" s="10"/>
      <c r="BAW55" s="10"/>
      <c r="BAX55" s="10"/>
      <c r="BAY55" s="10"/>
      <c r="BAZ55" s="10"/>
      <c r="BBA55" s="10"/>
      <c r="BBB55" s="10"/>
      <c r="BBC55" s="10"/>
      <c r="BBD55" s="10"/>
      <c r="BBE55" s="10"/>
      <c r="BBF55" s="10"/>
      <c r="BBG55" s="10"/>
      <c r="BBH55" s="10"/>
      <c r="BBI55" s="10"/>
      <c r="BBJ55" s="10"/>
      <c r="BBK55" s="10"/>
      <c r="BBL55" s="10"/>
      <c r="BBM55" s="10"/>
      <c r="BBN55" s="10"/>
      <c r="BBO55" s="10"/>
      <c r="BBP55" s="10"/>
      <c r="BBQ55" s="10"/>
      <c r="BBR55" s="10"/>
      <c r="BBS55" s="10"/>
      <c r="BBT55" s="10"/>
      <c r="BBU55" s="10"/>
      <c r="BBV55" s="10"/>
      <c r="BBW55" s="10"/>
      <c r="BBX55" s="10"/>
      <c r="BBY55" s="10"/>
      <c r="BBZ55" s="10"/>
      <c r="BCA55" s="10"/>
      <c r="BCB55" s="10"/>
      <c r="BCC55" s="10"/>
      <c r="BCD55" s="10"/>
      <c r="BCE55" s="10"/>
      <c r="BCF55" s="10"/>
      <c r="BCG55" s="10"/>
      <c r="BCH55" s="10"/>
      <c r="BCI55" s="10"/>
      <c r="BCJ55" s="10"/>
      <c r="BCK55" s="10"/>
      <c r="BCL55" s="10"/>
      <c r="BCM55" s="10"/>
      <c r="BCN55" s="10"/>
      <c r="BCO55" s="10"/>
      <c r="BCP55" s="10"/>
      <c r="BCQ55" s="10"/>
      <c r="BCR55" s="10"/>
      <c r="BCS55" s="10"/>
      <c r="BCT55" s="10"/>
      <c r="BCU55" s="10"/>
      <c r="BCV55" s="10"/>
      <c r="BCW55" s="10"/>
      <c r="BCX55" s="10"/>
      <c r="BCY55" s="10"/>
      <c r="BCZ55" s="10"/>
      <c r="BDA55" s="10"/>
      <c r="BDB55" s="10"/>
      <c r="BDC55" s="10"/>
      <c r="BDD55" s="10"/>
      <c r="BDE55" s="10"/>
      <c r="BDF55" s="10"/>
      <c r="BDG55" s="10"/>
      <c r="BDH55" s="10"/>
      <c r="BDI55" s="10"/>
      <c r="BDJ55" s="10"/>
      <c r="BDK55" s="10"/>
      <c r="BDL55" s="10"/>
      <c r="BDM55" s="10"/>
      <c r="BDN55" s="10"/>
      <c r="BDO55" s="10"/>
      <c r="BDP55" s="10"/>
      <c r="BDQ55" s="10"/>
      <c r="BDR55" s="10"/>
      <c r="BDS55" s="10"/>
      <c r="BDT55" s="10"/>
      <c r="BDU55" s="10"/>
      <c r="BDV55" s="10"/>
      <c r="BDW55" s="10"/>
      <c r="BDX55" s="10"/>
      <c r="BDY55" s="10"/>
      <c r="BDZ55" s="10"/>
      <c r="BEA55" s="10"/>
      <c r="BEB55" s="10"/>
      <c r="BEC55" s="10"/>
      <c r="BED55" s="10"/>
      <c r="BEE55" s="10"/>
      <c r="BEF55" s="10"/>
      <c r="BEG55" s="10"/>
      <c r="BEH55" s="10"/>
      <c r="BEI55" s="10"/>
      <c r="BEJ55" s="10"/>
      <c r="BEK55" s="10"/>
      <c r="BEL55" s="10"/>
      <c r="BEM55" s="10"/>
      <c r="BEN55" s="10"/>
      <c r="BEO55" s="10"/>
      <c r="BEP55" s="10"/>
      <c r="BEQ55" s="10"/>
      <c r="BER55" s="10"/>
      <c r="BES55" s="10"/>
      <c r="BET55" s="10"/>
      <c r="BEU55" s="10"/>
      <c r="BEV55" s="10"/>
      <c r="BEW55" s="10"/>
      <c r="BEX55" s="10"/>
      <c r="BEY55" s="10"/>
      <c r="BEZ55" s="10"/>
      <c r="BFA55" s="10"/>
      <c r="BFB55" s="10"/>
      <c r="BFC55" s="10"/>
      <c r="BFD55" s="10"/>
      <c r="BFE55" s="10"/>
      <c r="BFF55" s="10"/>
      <c r="BFG55" s="10"/>
      <c r="BFH55" s="10"/>
      <c r="BFI55" s="10"/>
      <c r="BFJ55" s="10"/>
      <c r="BFK55" s="10"/>
      <c r="BFL55" s="10"/>
      <c r="BFM55" s="10"/>
      <c r="BFN55" s="10"/>
      <c r="BFO55" s="10"/>
      <c r="BFP55" s="10"/>
      <c r="BFQ55" s="10"/>
      <c r="BFR55" s="10"/>
      <c r="BFS55" s="10"/>
      <c r="BFT55" s="10"/>
      <c r="BFU55" s="10"/>
      <c r="BFV55" s="10"/>
      <c r="BFW55" s="10"/>
      <c r="BFX55" s="10"/>
      <c r="BFY55" s="10"/>
      <c r="BFZ55" s="10"/>
      <c r="BGA55" s="10"/>
      <c r="BGB55" s="10"/>
      <c r="BGC55" s="10"/>
      <c r="BGD55" s="10"/>
      <c r="BGE55" s="10"/>
      <c r="BGF55" s="10"/>
      <c r="BGG55" s="10"/>
      <c r="BGH55" s="10"/>
      <c r="BGI55" s="10"/>
      <c r="BGJ55" s="10"/>
      <c r="BGK55" s="10"/>
      <c r="BGL55" s="10"/>
      <c r="BGM55" s="10"/>
      <c r="BGN55" s="10"/>
      <c r="BGO55" s="10"/>
      <c r="BGP55" s="10"/>
      <c r="BGQ55" s="10"/>
      <c r="BGR55" s="10"/>
      <c r="BGS55" s="10"/>
      <c r="BGT55" s="10"/>
      <c r="BGU55" s="10"/>
      <c r="BGV55" s="10"/>
      <c r="BGW55" s="10"/>
      <c r="BGX55" s="10"/>
      <c r="BGY55" s="10"/>
      <c r="BGZ55" s="10"/>
      <c r="BHA55" s="10"/>
      <c r="BHB55" s="10"/>
      <c r="BHC55" s="10"/>
      <c r="BHD55" s="10"/>
      <c r="BHE55" s="10"/>
      <c r="BHF55" s="10"/>
      <c r="BHG55" s="10"/>
      <c r="BHH55" s="10"/>
      <c r="BHI55" s="10"/>
      <c r="BHJ55" s="10"/>
      <c r="BHK55" s="10"/>
      <c r="BHL55" s="10"/>
      <c r="BHM55" s="10"/>
      <c r="BHN55" s="10"/>
      <c r="BHO55" s="10"/>
      <c r="BHP55" s="10"/>
      <c r="BHQ55" s="10"/>
      <c r="BHR55" s="10"/>
      <c r="BHS55" s="10"/>
      <c r="BHT55" s="10"/>
      <c r="BHU55" s="10"/>
      <c r="BHV55" s="10"/>
      <c r="BHW55" s="10"/>
      <c r="BHX55" s="10"/>
      <c r="BHY55" s="10"/>
      <c r="BHZ55" s="10"/>
      <c r="BIA55" s="10"/>
      <c r="BIB55" s="10"/>
      <c r="BIC55" s="10"/>
      <c r="BID55" s="10"/>
      <c r="BIE55" s="10"/>
      <c r="BIF55" s="10"/>
      <c r="BIG55" s="10"/>
      <c r="BIH55" s="10"/>
      <c r="BII55" s="10"/>
      <c r="BIJ55" s="10"/>
      <c r="BIK55" s="10"/>
      <c r="BIL55" s="10"/>
      <c r="BIM55" s="10"/>
      <c r="BIN55" s="10"/>
      <c r="BIO55" s="10"/>
      <c r="BIP55" s="10"/>
      <c r="BIQ55" s="10"/>
      <c r="BIR55" s="10"/>
      <c r="BIS55" s="10"/>
      <c r="BIT55" s="10"/>
      <c r="BIU55" s="10"/>
      <c r="BIV55" s="10"/>
      <c r="BIW55" s="10"/>
      <c r="BIX55" s="10"/>
      <c r="BIY55" s="10"/>
      <c r="BIZ55" s="10"/>
      <c r="BJA55" s="10"/>
      <c r="BJB55" s="10"/>
      <c r="BJC55" s="10"/>
      <c r="BJD55" s="10"/>
      <c r="BJE55" s="10"/>
      <c r="BJF55" s="10"/>
      <c r="BJG55" s="10"/>
      <c r="BJH55" s="10"/>
      <c r="BJI55" s="10"/>
      <c r="BJJ55" s="10"/>
      <c r="BJK55" s="10"/>
      <c r="BJL55" s="10"/>
      <c r="BJM55" s="10"/>
      <c r="BJN55" s="10"/>
      <c r="BJO55" s="10"/>
      <c r="BJP55" s="10"/>
      <c r="BJQ55" s="10"/>
      <c r="BJR55" s="10"/>
      <c r="BJS55" s="10"/>
      <c r="BJT55" s="10"/>
      <c r="BJU55" s="10"/>
      <c r="BJV55" s="10"/>
      <c r="BJW55" s="10"/>
      <c r="BJX55" s="10"/>
      <c r="BJY55" s="10"/>
      <c r="BJZ55" s="10"/>
      <c r="BKA55" s="10"/>
      <c r="BKB55" s="10"/>
      <c r="BKC55" s="10"/>
      <c r="BKD55" s="10"/>
      <c r="BKE55" s="10"/>
      <c r="BKF55" s="10"/>
      <c r="BKG55" s="10"/>
      <c r="BKH55" s="10"/>
      <c r="BKI55" s="10"/>
      <c r="BKJ55" s="10"/>
      <c r="BKK55" s="10"/>
      <c r="BKL55" s="10"/>
      <c r="BKM55" s="10"/>
      <c r="BKN55" s="10"/>
      <c r="BKO55" s="10"/>
      <c r="BKP55" s="10"/>
      <c r="BKQ55" s="10"/>
      <c r="BKR55" s="10"/>
      <c r="BKS55" s="10"/>
      <c r="BKT55" s="10"/>
      <c r="BKU55" s="10"/>
      <c r="BKV55" s="10"/>
      <c r="BKW55" s="10"/>
      <c r="BKX55" s="10"/>
      <c r="BKY55" s="10"/>
      <c r="BKZ55" s="10"/>
      <c r="BLA55" s="10"/>
      <c r="BLB55" s="10"/>
      <c r="BLC55" s="10"/>
      <c r="BLD55" s="10"/>
      <c r="BLE55" s="10"/>
      <c r="BLF55" s="10"/>
      <c r="BLG55" s="10"/>
      <c r="BLH55" s="10"/>
      <c r="BLI55" s="10"/>
      <c r="BLJ55" s="10"/>
      <c r="BLK55" s="10"/>
      <c r="BLL55" s="10"/>
      <c r="BLM55" s="10"/>
      <c r="BLN55" s="10"/>
      <c r="BLO55" s="10"/>
      <c r="BLP55" s="10"/>
      <c r="BLQ55" s="10"/>
      <c r="BLR55" s="10"/>
      <c r="BLS55" s="10"/>
      <c r="BLT55" s="10"/>
      <c r="BLU55" s="10"/>
      <c r="BLV55" s="10"/>
      <c r="BLW55" s="10"/>
      <c r="BLX55" s="10"/>
      <c r="BLY55" s="10"/>
      <c r="BLZ55" s="10"/>
      <c r="BMA55" s="10"/>
      <c r="BMB55" s="10"/>
      <c r="BMC55" s="10"/>
      <c r="BMD55" s="10"/>
      <c r="BME55" s="10"/>
      <c r="BMF55" s="10"/>
      <c r="BMG55" s="10"/>
      <c r="BMH55" s="10"/>
      <c r="BMI55" s="10"/>
      <c r="BMJ55" s="10"/>
      <c r="BMK55" s="10"/>
      <c r="BML55" s="10"/>
      <c r="BMM55" s="10"/>
      <c r="BMN55" s="10"/>
      <c r="BMO55" s="10"/>
      <c r="BMP55" s="10"/>
      <c r="BMQ55" s="10"/>
      <c r="BMR55" s="10"/>
      <c r="BMS55" s="10"/>
      <c r="BMT55" s="10"/>
      <c r="BMU55" s="10"/>
      <c r="BMV55" s="10"/>
      <c r="BMW55" s="10"/>
      <c r="BMX55" s="10"/>
      <c r="BMY55" s="10"/>
      <c r="BMZ55" s="10"/>
      <c r="BNA55" s="10"/>
      <c r="BNB55" s="10"/>
      <c r="BNC55" s="10"/>
      <c r="BND55" s="10"/>
      <c r="BNE55" s="10"/>
      <c r="BNF55" s="10"/>
      <c r="BNG55" s="10"/>
      <c r="BNH55" s="10"/>
      <c r="BNI55" s="10"/>
      <c r="BNJ55" s="10"/>
      <c r="BNK55" s="10"/>
      <c r="BNL55" s="10"/>
      <c r="BNM55" s="10"/>
      <c r="BNN55" s="10"/>
      <c r="BNO55" s="10"/>
      <c r="BNP55" s="10"/>
      <c r="BNQ55" s="10"/>
      <c r="BNR55" s="10"/>
      <c r="BNS55" s="10"/>
      <c r="BNT55" s="10"/>
      <c r="BNU55" s="10"/>
      <c r="BNV55" s="10"/>
      <c r="BNW55" s="10"/>
      <c r="BNX55" s="10"/>
      <c r="BNY55" s="10"/>
      <c r="BNZ55" s="10"/>
      <c r="BOA55" s="10"/>
      <c r="BOB55" s="10"/>
      <c r="BOC55" s="10"/>
      <c r="BOD55" s="10"/>
      <c r="BOE55" s="10"/>
      <c r="BOF55" s="10"/>
      <c r="BOG55" s="10"/>
      <c r="BOH55" s="10"/>
      <c r="BOI55" s="10"/>
      <c r="BOJ55" s="10"/>
      <c r="BOK55" s="10"/>
      <c r="BOL55" s="10"/>
      <c r="BOM55" s="10"/>
      <c r="BON55" s="10"/>
      <c r="BOO55" s="10"/>
      <c r="BOP55" s="10"/>
      <c r="BOQ55" s="10"/>
      <c r="BOR55" s="10"/>
      <c r="BOS55" s="10"/>
      <c r="BOT55" s="10"/>
      <c r="BOU55" s="10"/>
      <c r="BOV55" s="10"/>
      <c r="BOW55" s="10"/>
      <c r="BOX55" s="10"/>
      <c r="BOY55" s="10"/>
      <c r="BOZ55" s="10"/>
      <c r="BPA55" s="10"/>
      <c r="BPB55" s="10"/>
      <c r="BPC55" s="10"/>
      <c r="BPD55" s="10"/>
      <c r="BPE55" s="10"/>
      <c r="BPF55" s="10"/>
      <c r="BPG55" s="10"/>
      <c r="BPH55" s="10"/>
      <c r="BPI55" s="10"/>
      <c r="BPJ55" s="10"/>
      <c r="BPK55" s="10"/>
      <c r="BPL55" s="10"/>
      <c r="BPM55" s="10"/>
      <c r="BPN55" s="10"/>
      <c r="BPO55" s="10"/>
      <c r="BPP55" s="10"/>
      <c r="BPQ55" s="10"/>
      <c r="BPR55" s="10"/>
      <c r="BPS55" s="10"/>
      <c r="BPT55" s="10"/>
      <c r="BPU55" s="10"/>
      <c r="BPV55" s="10"/>
      <c r="BPW55" s="10"/>
      <c r="BPX55" s="10"/>
      <c r="BPY55" s="10"/>
      <c r="BPZ55" s="10"/>
      <c r="BQA55" s="10"/>
      <c r="BQB55" s="10"/>
      <c r="BQC55" s="10"/>
      <c r="BQD55" s="10"/>
      <c r="BQE55" s="10"/>
      <c r="BQF55" s="10"/>
      <c r="BQG55" s="10"/>
      <c r="BQH55" s="10"/>
      <c r="BQI55" s="10"/>
      <c r="BQJ55" s="10"/>
      <c r="BQK55" s="10"/>
      <c r="BQL55" s="10"/>
      <c r="BQM55" s="10"/>
      <c r="BQN55" s="10"/>
      <c r="BQO55" s="10"/>
      <c r="BQP55" s="10"/>
      <c r="BQQ55" s="10"/>
      <c r="BQR55" s="10"/>
      <c r="BQS55" s="10"/>
      <c r="BQT55" s="10"/>
      <c r="BQU55" s="10"/>
      <c r="BQV55" s="10"/>
      <c r="BQW55" s="10"/>
      <c r="BQX55" s="10"/>
      <c r="BQY55" s="10"/>
      <c r="BQZ55" s="10"/>
      <c r="BRA55" s="10"/>
      <c r="BRB55" s="10"/>
      <c r="BRC55" s="10"/>
      <c r="BRD55" s="10"/>
      <c r="BRE55" s="10"/>
      <c r="BRF55" s="10"/>
      <c r="BRG55" s="10"/>
      <c r="BRH55" s="10"/>
      <c r="BRI55" s="10"/>
      <c r="BRJ55" s="10"/>
      <c r="BRK55" s="10"/>
      <c r="BRL55" s="10"/>
      <c r="BRM55" s="10"/>
      <c r="BRN55" s="10"/>
      <c r="BRO55" s="10"/>
      <c r="BRP55" s="10"/>
      <c r="BRQ55" s="10"/>
      <c r="BRR55" s="10"/>
      <c r="BRS55" s="10"/>
      <c r="BRT55" s="10"/>
      <c r="BRU55" s="10"/>
      <c r="BRV55" s="10"/>
      <c r="BRW55" s="10"/>
      <c r="BRX55" s="10"/>
      <c r="BRY55" s="10"/>
      <c r="BRZ55" s="10"/>
      <c r="BSA55" s="10"/>
      <c r="BSB55" s="10"/>
      <c r="BSC55" s="10"/>
      <c r="BSD55" s="10"/>
      <c r="BSE55" s="10"/>
      <c r="BSF55" s="10"/>
      <c r="BSG55" s="10"/>
      <c r="BSH55" s="10"/>
      <c r="BSI55" s="10"/>
      <c r="BSJ55" s="10"/>
      <c r="BSK55" s="10"/>
      <c r="BSL55" s="10"/>
      <c r="BSM55" s="10"/>
      <c r="BSN55" s="10"/>
      <c r="BSO55" s="10"/>
      <c r="BSP55" s="10"/>
      <c r="BSQ55" s="10"/>
      <c r="BSR55" s="10"/>
      <c r="BSS55" s="10"/>
      <c r="BST55" s="10"/>
      <c r="BSU55" s="10"/>
      <c r="BSV55" s="10"/>
      <c r="BSW55" s="10"/>
      <c r="BSX55" s="10"/>
      <c r="BSY55" s="10"/>
      <c r="BSZ55" s="10"/>
      <c r="BTA55" s="10"/>
      <c r="BTB55" s="10"/>
      <c r="BTC55" s="10"/>
      <c r="BTD55" s="10"/>
      <c r="BTE55" s="10"/>
      <c r="BTF55" s="10"/>
      <c r="BTG55" s="10"/>
      <c r="BTH55" s="10"/>
      <c r="BTI55" s="10"/>
      <c r="BTJ55" s="10"/>
      <c r="BTK55" s="10"/>
      <c r="BTL55" s="10"/>
      <c r="BTM55" s="10"/>
      <c r="BTN55" s="10"/>
      <c r="BTO55" s="10"/>
      <c r="BTP55" s="10"/>
      <c r="BTQ55" s="10"/>
      <c r="BTR55" s="10"/>
      <c r="BTS55" s="10"/>
      <c r="BTT55" s="10"/>
      <c r="BTU55" s="10"/>
      <c r="BTV55" s="10"/>
      <c r="BTW55" s="10"/>
      <c r="BTX55" s="10"/>
      <c r="BTY55" s="10"/>
      <c r="BTZ55" s="10"/>
      <c r="BUA55" s="10"/>
      <c r="BUB55" s="10"/>
      <c r="BUC55" s="10"/>
      <c r="BUD55" s="10"/>
      <c r="BUE55" s="10"/>
      <c r="BUF55" s="10"/>
      <c r="BUG55" s="10"/>
      <c r="BUH55" s="10"/>
      <c r="BUI55" s="10"/>
      <c r="BUJ55" s="10"/>
      <c r="BUK55" s="10"/>
      <c r="BUL55" s="10"/>
      <c r="BUM55" s="10"/>
      <c r="BUN55" s="10"/>
      <c r="BUO55" s="10"/>
      <c r="BUP55" s="10"/>
      <c r="BUQ55" s="10"/>
      <c r="BUR55" s="10"/>
      <c r="BUS55" s="10"/>
      <c r="BUT55" s="10"/>
      <c r="BUU55" s="10"/>
      <c r="BUV55" s="10"/>
      <c r="BUW55" s="10"/>
      <c r="BUX55" s="10"/>
      <c r="BUY55" s="10"/>
      <c r="BUZ55" s="10"/>
      <c r="BVA55" s="10"/>
      <c r="BVB55" s="10"/>
      <c r="BVC55" s="10"/>
      <c r="BVD55" s="10"/>
      <c r="BVE55" s="10"/>
      <c r="BVF55" s="10"/>
      <c r="BVG55" s="10"/>
      <c r="BVH55" s="10"/>
      <c r="BVI55" s="10"/>
      <c r="BVJ55" s="10"/>
      <c r="BVK55" s="10"/>
      <c r="BVL55" s="10"/>
      <c r="BVM55" s="10"/>
      <c r="BVN55" s="10"/>
      <c r="BVO55" s="10"/>
      <c r="BVP55" s="10"/>
      <c r="BVQ55" s="10"/>
      <c r="BVR55" s="10"/>
      <c r="BVS55" s="10"/>
      <c r="BVT55" s="10"/>
      <c r="BVU55" s="10"/>
      <c r="BVV55" s="10"/>
      <c r="BVW55" s="10"/>
      <c r="BVX55" s="10"/>
      <c r="BVY55" s="10"/>
      <c r="BVZ55" s="10"/>
      <c r="BWA55" s="10"/>
      <c r="BWB55" s="10"/>
      <c r="BWC55" s="10"/>
      <c r="BWD55" s="10"/>
      <c r="BWE55" s="10"/>
      <c r="BWF55" s="10"/>
      <c r="BWG55" s="10"/>
      <c r="BWH55" s="10"/>
      <c r="BWI55" s="10"/>
      <c r="BWJ55" s="10"/>
      <c r="BWK55" s="10"/>
      <c r="BWL55" s="10"/>
      <c r="BWM55" s="10"/>
      <c r="BWN55" s="10"/>
      <c r="BWO55" s="10"/>
      <c r="BWP55" s="10"/>
      <c r="BWQ55" s="10"/>
      <c r="BWR55" s="10"/>
      <c r="BWS55" s="10"/>
      <c r="BWT55" s="10"/>
      <c r="BWU55" s="10"/>
      <c r="BWV55" s="10"/>
      <c r="BWW55" s="10"/>
      <c r="BWX55" s="10"/>
      <c r="BWY55" s="10"/>
      <c r="BWZ55" s="10"/>
      <c r="BXA55" s="10"/>
      <c r="BXB55" s="10"/>
      <c r="BXC55" s="10"/>
      <c r="BXD55" s="10"/>
      <c r="BXE55" s="10"/>
      <c r="BXF55" s="10"/>
      <c r="BXG55" s="10"/>
      <c r="BXH55" s="10"/>
      <c r="BXI55" s="10"/>
      <c r="BXJ55" s="10"/>
      <c r="BXK55" s="10"/>
      <c r="BXL55" s="10"/>
      <c r="BXM55" s="10"/>
      <c r="BXN55" s="10"/>
      <c r="BXO55" s="10"/>
      <c r="BXP55" s="10"/>
      <c r="BXQ55" s="10"/>
      <c r="BXR55" s="10"/>
      <c r="BXS55" s="10"/>
      <c r="BXT55" s="10"/>
      <c r="BXU55" s="10"/>
      <c r="BXV55" s="10"/>
      <c r="BXW55" s="10"/>
      <c r="BXX55" s="10"/>
      <c r="BXY55" s="10"/>
      <c r="BXZ55" s="10"/>
      <c r="BYA55" s="10"/>
      <c r="BYB55" s="10"/>
      <c r="BYC55" s="10"/>
      <c r="BYD55" s="10"/>
      <c r="BYE55" s="10"/>
      <c r="BYF55" s="10"/>
      <c r="BYG55" s="10"/>
      <c r="BYH55" s="10"/>
      <c r="BYI55" s="10"/>
      <c r="BYJ55" s="10"/>
      <c r="BYK55" s="10"/>
      <c r="BYL55" s="10"/>
      <c r="BYM55" s="10"/>
      <c r="BYN55" s="10"/>
      <c r="BYO55" s="10"/>
      <c r="BYP55" s="10"/>
      <c r="BYQ55" s="10"/>
      <c r="BYR55" s="10"/>
      <c r="BYS55" s="10"/>
      <c r="BYT55" s="10"/>
      <c r="BYU55" s="10"/>
      <c r="BYV55" s="10"/>
      <c r="BYW55" s="10"/>
      <c r="BYX55" s="10"/>
      <c r="BYY55" s="10"/>
      <c r="BYZ55" s="10"/>
      <c r="BZA55" s="10"/>
      <c r="BZB55" s="10"/>
      <c r="BZC55" s="10"/>
      <c r="BZD55" s="10"/>
      <c r="BZE55" s="10"/>
      <c r="BZF55" s="10"/>
      <c r="BZG55" s="10"/>
      <c r="BZH55" s="10"/>
      <c r="BZI55" s="10"/>
      <c r="BZJ55" s="10"/>
      <c r="BZK55" s="10"/>
      <c r="BZL55" s="10"/>
      <c r="BZM55" s="10"/>
      <c r="BZN55" s="10"/>
      <c r="BZO55" s="10"/>
      <c r="BZP55" s="10"/>
      <c r="BZQ55" s="10"/>
      <c r="BZR55" s="10"/>
      <c r="BZS55" s="10"/>
      <c r="BZT55" s="10"/>
      <c r="BZU55" s="10"/>
      <c r="BZV55" s="10"/>
      <c r="BZW55" s="10"/>
      <c r="BZX55" s="10"/>
      <c r="BZY55" s="10"/>
      <c r="BZZ55" s="10"/>
      <c r="CAA55" s="10"/>
      <c r="CAB55" s="10"/>
      <c r="CAC55" s="10"/>
      <c r="CAD55" s="10"/>
      <c r="CAE55" s="10"/>
      <c r="CAF55" s="10"/>
      <c r="CAG55" s="10"/>
      <c r="CAH55" s="10"/>
      <c r="CAI55" s="10"/>
      <c r="CAJ55" s="10"/>
      <c r="CAK55" s="10"/>
      <c r="CAL55" s="10"/>
      <c r="CAM55" s="10"/>
      <c r="CAN55" s="10"/>
      <c r="CAO55" s="10"/>
      <c r="CAP55" s="10"/>
      <c r="CAQ55" s="10"/>
      <c r="CAR55" s="10"/>
      <c r="CAS55" s="10"/>
      <c r="CAT55" s="10"/>
      <c r="CAU55" s="10"/>
      <c r="CAV55" s="10"/>
      <c r="CAW55" s="10"/>
      <c r="CAX55" s="10"/>
      <c r="CAY55" s="10"/>
      <c r="CAZ55" s="10"/>
      <c r="CBA55" s="10"/>
      <c r="CBB55" s="10"/>
      <c r="CBC55" s="10"/>
      <c r="CBD55" s="10"/>
      <c r="CBE55" s="10"/>
      <c r="CBF55" s="10"/>
      <c r="CBG55" s="10"/>
      <c r="CBH55" s="10"/>
      <c r="CBI55" s="10"/>
      <c r="CBJ55" s="10"/>
      <c r="CBK55" s="10"/>
      <c r="CBL55" s="10"/>
      <c r="CBM55" s="10"/>
      <c r="CBN55" s="10"/>
      <c r="CBO55" s="10"/>
      <c r="CBP55" s="10"/>
      <c r="CBQ55" s="10"/>
      <c r="CBR55" s="10"/>
      <c r="CBS55" s="10"/>
      <c r="CBT55" s="10"/>
      <c r="CBU55" s="10"/>
      <c r="CBV55" s="10"/>
      <c r="CBW55" s="10"/>
      <c r="CBX55" s="10"/>
      <c r="CBY55" s="10"/>
      <c r="CBZ55" s="10"/>
      <c r="CCA55" s="10"/>
      <c r="CCB55" s="10"/>
      <c r="CCC55" s="10"/>
      <c r="CCD55" s="10"/>
      <c r="CCE55" s="10"/>
      <c r="CCF55" s="10"/>
      <c r="CCG55" s="10"/>
      <c r="CCH55" s="10"/>
      <c r="CCI55" s="10"/>
      <c r="CCJ55" s="10"/>
      <c r="CCK55" s="10"/>
      <c r="CCL55" s="10"/>
      <c r="CCM55" s="10"/>
      <c r="CCN55" s="10"/>
      <c r="CCO55" s="10"/>
      <c r="CCP55" s="10"/>
      <c r="CCQ55" s="10"/>
      <c r="CCR55" s="10"/>
      <c r="CCS55" s="10"/>
      <c r="CCT55" s="10"/>
      <c r="CCU55" s="10"/>
      <c r="CCV55" s="10"/>
      <c r="CCW55" s="10"/>
      <c r="CCX55" s="10"/>
      <c r="CCY55" s="10"/>
      <c r="CCZ55" s="10"/>
      <c r="CDA55" s="10"/>
      <c r="CDB55" s="10"/>
      <c r="CDC55" s="10"/>
      <c r="CDD55" s="10"/>
      <c r="CDE55" s="10"/>
      <c r="CDF55" s="10"/>
      <c r="CDG55" s="10"/>
      <c r="CDH55" s="10"/>
      <c r="CDI55" s="10"/>
      <c r="CDJ55" s="10"/>
      <c r="CDK55" s="10"/>
      <c r="CDL55" s="10"/>
      <c r="CDM55" s="10"/>
      <c r="CDN55" s="10"/>
      <c r="CDO55" s="10"/>
      <c r="CDP55" s="10"/>
      <c r="CDQ55" s="10"/>
      <c r="CDR55" s="10"/>
      <c r="CDS55" s="10"/>
      <c r="CDT55" s="10"/>
      <c r="CDU55" s="10"/>
      <c r="CDV55" s="10"/>
      <c r="CDW55" s="10"/>
      <c r="CDX55" s="10"/>
      <c r="CDY55" s="10"/>
      <c r="CDZ55" s="10"/>
      <c r="CEA55" s="10"/>
      <c r="CEB55" s="10"/>
      <c r="CEC55" s="10"/>
      <c r="CED55" s="10"/>
      <c r="CEE55" s="10"/>
      <c r="CEF55" s="10"/>
      <c r="CEG55" s="10"/>
      <c r="CEH55" s="10"/>
      <c r="CEI55" s="10"/>
      <c r="CEJ55" s="10"/>
      <c r="CEK55" s="10"/>
      <c r="CEL55" s="10"/>
      <c r="CEM55" s="10"/>
      <c r="CEN55" s="10"/>
      <c r="CEO55" s="10"/>
      <c r="CEP55" s="10"/>
      <c r="CEQ55" s="10"/>
      <c r="CER55" s="10"/>
      <c r="CES55" s="10"/>
      <c r="CET55" s="10"/>
      <c r="CEU55" s="10"/>
      <c r="CEV55" s="10"/>
      <c r="CEW55" s="10"/>
      <c r="CEX55" s="10"/>
      <c r="CEY55" s="10"/>
      <c r="CEZ55" s="10"/>
      <c r="CFA55" s="10"/>
      <c r="CFB55" s="10"/>
      <c r="CFC55" s="10"/>
      <c r="CFD55" s="10"/>
      <c r="CFE55" s="10"/>
      <c r="CFF55" s="10"/>
      <c r="CFG55" s="10"/>
      <c r="CFH55" s="10"/>
      <c r="CFI55" s="10"/>
      <c r="CFJ55" s="10"/>
      <c r="CFK55" s="10"/>
      <c r="CFL55" s="10"/>
      <c r="CFM55" s="10"/>
      <c r="CFN55" s="10"/>
      <c r="CFO55" s="10"/>
      <c r="CFP55" s="10"/>
      <c r="CFQ55" s="10"/>
      <c r="CFR55" s="10"/>
      <c r="CFS55" s="10"/>
      <c r="CFT55" s="10"/>
      <c r="CFU55" s="10"/>
      <c r="CFV55" s="10"/>
      <c r="CFW55" s="10"/>
      <c r="CFX55" s="10"/>
      <c r="CFY55" s="10"/>
      <c r="CFZ55" s="10"/>
      <c r="CGA55" s="10"/>
      <c r="CGB55" s="10"/>
      <c r="CGC55" s="10"/>
      <c r="CGD55" s="10"/>
      <c r="CGE55" s="10"/>
      <c r="CGF55" s="10"/>
      <c r="CGG55" s="10"/>
      <c r="CGH55" s="10"/>
      <c r="CGI55" s="10"/>
      <c r="CGJ55" s="10"/>
      <c r="CGK55" s="10"/>
      <c r="CGL55" s="10"/>
      <c r="CGM55" s="10"/>
      <c r="CGN55" s="10"/>
      <c r="CGO55" s="10"/>
      <c r="CGP55" s="10"/>
      <c r="CGQ55" s="10"/>
      <c r="CGR55" s="10"/>
      <c r="CGS55" s="10"/>
      <c r="CGT55" s="10"/>
      <c r="CGU55" s="10"/>
      <c r="CGV55" s="10"/>
      <c r="CGW55" s="10"/>
      <c r="CGX55" s="10"/>
      <c r="CGY55" s="10"/>
      <c r="CGZ55" s="10"/>
      <c r="CHA55" s="10"/>
      <c r="CHB55" s="10"/>
      <c r="CHC55" s="10"/>
      <c r="CHD55" s="10"/>
      <c r="CHE55" s="10"/>
      <c r="CHF55" s="10"/>
      <c r="CHG55" s="10"/>
      <c r="CHH55" s="10"/>
      <c r="CHI55" s="10"/>
      <c r="CHJ55" s="10"/>
      <c r="CHK55" s="10"/>
      <c r="CHL55" s="10"/>
      <c r="CHM55" s="10"/>
      <c r="CHN55" s="10"/>
      <c r="CHO55" s="10"/>
      <c r="CHP55" s="10"/>
      <c r="CHQ55" s="10"/>
      <c r="CHR55" s="10"/>
      <c r="CHS55" s="10"/>
      <c r="CHT55" s="10"/>
      <c r="CHU55" s="10"/>
      <c r="CHV55" s="10"/>
      <c r="CHW55" s="10"/>
      <c r="CHX55" s="10"/>
      <c r="CHY55" s="10"/>
      <c r="CHZ55" s="10"/>
      <c r="CIA55" s="10"/>
      <c r="CIB55" s="10"/>
      <c r="CIC55" s="10"/>
      <c r="CID55" s="10"/>
      <c r="CIE55" s="10"/>
      <c r="CIF55" s="10"/>
      <c r="CIG55" s="10"/>
      <c r="CIH55" s="10"/>
      <c r="CII55" s="10"/>
      <c r="CIJ55" s="10"/>
      <c r="CIK55" s="10"/>
      <c r="CIL55" s="10"/>
      <c r="CIM55" s="10"/>
      <c r="CIN55" s="10"/>
      <c r="CIO55" s="10"/>
      <c r="CIP55" s="10"/>
      <c r="CIQ55" s="10"/>
      <c r="CIR55" s="10"/>
      <c r="CIS55" s="10"/>
      <c r="CIT55" s="10"/>
      <c r="CIU55" s="10"/>
      <c r="CIV55" s="10"/>
      <c r="CIW55" s="10"/>
      <c r="CIX55" s="10"/>
      <c r="CIY55" s="10"/>
      <c r="CIZ55" s="10"/>
      <c r="CJA55" s="10"/>
      <c r="CJB55" s="10"/>
      <c r="CJC55" s="10"/>
      <c r="CJD55" s="10"/>
      <c r="CJE55" s="10"/>
      <c r="CJF55" s="10"/>
      <c r="CJG55" s="10"/>
      <c r="CJH55" s="10"/>
      <c r="CJI55" s="10"/>
      <c r="CJJ55" s="10"/>
      <c r="CJK55" s="10"/>
      <c r="CJL55" s="10"/>
      <c r="CJM55" s="10"/>
      <c r="CJN55" s="10"/>
      <c r="CJO55" s="10"/>
      <c r="CJP55" s="10"/>
      <c r="CJQ55" s="10"/>
      <c r="CJR55" s="10"/>
      <c r="CJS55" s="10"/>
      <c r="CJT55" s="10"/>
      <c r="CJU55" s="10"/>
      <c r="CJV55" s="10"/>
      <c r="CJW55" s="10"/>
      <c r="CJX55" s="10"/>
      <c r="CJY55" s="10"/>
      <c r="CJZ55" s="10"/>
      <c r="CKA55" s="10"/>
      <c r="CKB55" s="10"/>
      <c r="CKC55" s="10"/>
      <c r="CKD55" s="10"/>
      <c r="CKE55" s="10"/>
      <c r="CKF55" s="10"/>
      <c r="CKG55" s="10"/>
      <c r="CKH55" s="10"/>
      <c r="CKI55" s="10"/>
      <c r="CKJ55" s="10"/>
      <c r="CKK55" s="10"/>
      <c r="CKL55" s="10"/>
      <c r="CKM55" s="10"/>
      <c r="CKN55" s="10"/>
      <c r="CKO55" s="10"/>
      <c r="CKP55" s="10"/>
      <c r="CKQ55" s="10"/>
      <c r="CKR55" s="10"/>
      <c r="CKS55" s="10"/>
      <c r="CKT55" s="10"/>
      <c r="CKU55" s="10"/>
      <c r="CKV55" s="10"/>
      <c r="CKW55" s="10"/>
      <c r="CKX55" s="10"/>
      <c r="CKY55" s="10"/>
      <c r="CKZ55" s="10"/>
      <c r="CLA55" s="10"/>
      <c r="CLB55" s="10"/>
      <c r="CLC55" s="10"/>
      <c r="CLD55" s="10"/>
      <c r="CLE55" s="10"/>
      <c r="CLF55" s="10"/>
      <c r="CLG55" s="10"/>
      <c r="CLH55" s="10"/>
      <c r="CLI55" s="10"/>
      <c r="CLJ55" s="10"/>
      <c r="CLK55" s="10"/>
      <c r="CLL55" s="10"/>
      <c r="CLM55" s="10"/>
      <c r="CLN55" s="10"/>
      <c r="CLO55" s="10"/>
      <c r="CLP55" s="10"/>
      <c r="CLQ55" s="10"/>
      <c r="CLR55" s="10"/>
      <c r="CLS55" s="10"/>
      <c r="CLT55" s="10"/>
      <c r="CLU55" s="10"/>
      <c r="CLV55" s="10"/>
      <c r="CLW55" s="10"/>
      <c r="CLX55" s="10"/>
      <c r="CLY55" s="10"/>
      <c r="CLZ55" s="10"/>
      <c r="CMA55" s="10"/>
      <c r="CMB55" s="10"/>
      <c r="CMC55" s="10"/>
      <c r="CMD55" s="10"/>
      <c r="CME55" s="10"/>
      <c r="CMF55" s="10"/>
      <c r="CMG55" s="10"/>
      <c r="CMH55" s="10"/>
      <c r="CMI55" s="10"/>
      <c r="CMJ55" s="10"/>
      <c r="CMK55" s="10"/>
      <c r="CML55" s="10"/>
      <c r="CMM55" s="10"/>
      <c r="CMN55" s="10"/>
      <c r="CMO55" s="10"/>
      <c r="CMP55" s="10"/>
      <c r="CMQ55" s="10"/>
      <c r="CMR55" s="10"/>
      <c r="CMS55" s="10"/>
      <c r="CMT55" s="10"/>
      <c r="CMU55" s="10"/>
      <c r="CMV55" s="10"/>
      <c r="CMW55" s="10"/>
      <c r="CMX55" s="10"/>
      <c r="CMY55" s="10"/>
      <c r="CMZ55" s="10"/>
      <c r="CNA55" s="10"/>
      <c r="CNB55" s="10"/>
      <c r="CNC55" s="10"/>
      <c r="CND55" s="10"/>
      <c r="CNE55" s="10"/>
      <c r="CNF55" s="10"/>
      <c r="CNG55" s="10"/>
      <c r="CNH55" s="10"/>
      <c r="CNI55" s="10"/>
      <c r="CNJ55" s="10"/>
      <c r="CNK55" s="10"/>
      <c r="CNL55" s="10"/>
      <c r="CNM55" s="10"/>
      <c r="CNN55" s="10"/>
      <c r="CNO55" s="10"/>
      <c r="CNP55" s="10"/>
      <c r="CNQ55" s="10"/>
      <c r="CNR55" s="10"/>
      <c r="CNS55" s="10"/>
      <c r="CNT55" s="10"/>
      <c r="CNU55" s="10"/>
      <c r="CNV55" s="10"/>
      <c r="CNW55" s="10"/>
      <c r="CNX55" s="10"/>
      <c r="CNY55" s="10"/>
      <c r="CNZ55" s="10"/>
      <c r="COA55" s="10"/>
      <c r="COB55" s="10"/>
      <c r="COC55" s="10"/>
      <c r="COD55" s="10"/>
      <c r="COE55" s="10"/>
      <c r="COF55" s="10"/>
      <c r="COG55" s="10"/>
      <c r="COH55" s="10"/>
      <c r="COI55" s="10"/>
      <c r="COJ55" s="10"/>
      <c r="COK55" s="10"/>
      <c r="COL55" s="10"/>
      <c r="COM55" s="10"/>
      <c r="CON55" s="10"/>
      <c r="COO55" s="10"/>
      <c r="COP55" s="10"/>
      <c r="COQ55" s="10"/>
      <c r="COR55" s="10"/>
      <c r="COS55" s="10"/>
      <c r="COT55" s="10"/>
      <c r="COU55" s="10"/>
      <c r="COV55" s="10"/>
      <c r="COW55" s="10"/>
      <c r="COX55" s="10"/>
      <c r="COY55" s="10"/>
      <c r="COZ55" s="10"/>
      <c r="CPA55" s="10"/>
      <c r="CPB55" s="10"/>
      <c r="CPC55" s="10"/>
      <c r="CPD55" s="10"/>
      <c r="CPE55" s="10"/>
      <c r="CPF55" s="10"/>
      <c r="CPG55" s="10"/>
      <c r="CPH55" s="10"/>
      <c r="CPI55" s="10"/>
      <c r="CPJ55" s="10"/>
      <c r="CPK55" s="10"/>
      <c r="CPL55" s="10"/>
      <c r="CPM55" s="10"/>
      <c r="CPN55" s="10"/>
      <c r="CPO55" s="10"/>
      <c r="CPP55" s="10"/>
      <c r="CPQ55" s="10"/>
      <c r="CPR55" s="10"/>
      <c r="CPS55" s="10"/>
      <c r="CPT55" s="10"/>
      <c r="CPU55" s="10"/>
      <c r="CPV55" s="10"/>
      <c r="CPW55" s="10"/>
      <c r="CPX55" s="10"/>
      <c r="CPY55" s="10"/>
      <c r="CPZ55" s="10"/>
      <c r="CQA55" s="10"/>
      <c r="CQB55" s="10"/>
      <c r="CQC55" s="10"/>
      <c r="CQD55" s="10"/>
      <c r="CQE55" s="10"/>
      <c r="CQF55" s="10"/>
      <c r="CQG55" s="10"/>
      <c r="CQH55" s="10"/>
      <c r="CQI55" s="10"/>
      <c r="CQJ55" s="10"/>
      <c r="CQK55" s="10"/>
      <c r="CQL55" s="10"/>
      <c r="CQM55" s="10"/>
      <c r="CQN55" s="10"/>
      <c r="CQO55" s="10"/>
      <c r="CQP55" s="10"/>
      <c r="CQQ55" s="10"/>
      <c r="CQR55" s="10"/>
      <c r="CQS55" s="10"/>
      <c r="CQT55" s="10"/>
      <c r="CQU55" s="10"/>
      <c r="CQV55" s="10"/>
      <c r="CQW55" s="10"/>
      <c r="CQX55" s="10"/>
      <c r="CQY55" s="10"/>
      <c r="CQZ55" s="10"/>
      <c r="CRA55" s="10"/>
      <c r="CRB55" s="10"/>
      <c r="CRC55" s="10"/>
      <c r="CRD55" s="10"/>
      <c r="CRE55" s="10"/>
      <c r="CRF55" s="10"/>
      <c r="CRG55" s="10"/>
      <c r="CRH55" s="10"/>
      <c r="CRI55" s="10"/>
      <c r="CRJ55" s="10"/>
      <c r="CRK55" s="10"/>
      <c r="CRL55" s="10"/>
      <c r="CRM55" s="10"/>
      <c r="CRN55" s="10"/>
      <c r="CRO55" s="10"/>
      <c r="CRP55" s="10"/>
      <c r="CRQ55" s="10"/>
      <c r="CRR55" s="10"/>
      <c r="CRS55" s="10"/>
      <c r="CRT55" s="10"/>
      <c r="CRU55" s="10"/>
      <c r="CRV55" s="10"/>
      <c r="CRW55" s="10"/>
      <c r="CRX55" s="10"/>
      <c r="CRY55" s="10"/>
      <c r="CRZ55" s="10"/>
      <c r="CSA55" s="10"/>
      <c r="CSB55" s="10"/>
      <c r="CSC55" s="10"/>
      <c r="CSD55" s="10"/>
      <c r="CSE55" s="10"/>
      <c r="CSF55" s="10"/>
      <c r="CSG55" s="10"/>
      <c r="CSH55" s="10"/>
      <c r="CSI55" s="10"/>
      <c r="CSJ55" s="10"/>
      <c r="CSK55" s="10"/>
      <c r="CSL55" s="10"/>
      <c r="CSM55" s="10"/>
      <c r="CSN55" s="10"/>
      <c r="CSO55" s="10"/>
      <c r="CSP55" s="10"/>
      <c r="CSQ55" s="10"/>
      <c r="CSR55" s="10"/>
      <c r="CSS55" s="10"/>
      <c r="CST55" s="10"/>
      <c r="CSU55" s="10"/>
      <c r="CSV55" s="10"/>
      <c r="CSW55" s="10"/>
      <c r="CSX55" s="10"/>
      <c r="CSY55" s="10"/>
      <c r="CSZ55" s="10"/>
      <c r="CTA55" s="10"/>
      <c r="CTB55" s="10"/>
      <c r="CTC55" s="10"/>
      <c r="CTD55" s="10"/>
      <c r="CTE55" s="10"/>
      <c r="CTF55" s="10"/>
      <c r="CTG55" s="10"/>
      <c r="CTH55" s="10"/>
      <c r="CTI55" s="10"/>
      <c r="CTJ55" s="10"/>
      <c r="CTK55" s="10"/>
      <c r="CTL55" s="10"/>
      <c r="CTM55" s="10"/>
      <c r="CTN55" s="10"/>
      <c r="CTO55" s="10"/>
      <c r="CTP55" s="10"/>
      <c r="CTQ55" s="10"/>
      <c r="CTR55" s="10"/>
      <c r="CTS55" s="10"/>
      <c r="CTT55" s="10"/>
      <c r="CTU55" s="10"/>
      <c r="CTV55" s="10"/>
      <c r="CTW55" s="10"/>
      <c r="CTX55" s="10"/>
      <c r="CTY55" s="10"/>
      <c r="CTZ55" s="10"/>
      <c r="CUA55" s="10"/>
      <c r="CUB55" s="10"/>
      <c r="CUC55" s="10"/>
      <c r="CUD55" s="10"/>
      <c r="CUE55" s="10"/>
      <c r="CUF55" s="10"/>
      <c r="CUG55" s="10"/>
      <c r="CUH55" s="10"/>
      <c r="CUI55" s="10"/>
      <c r="CUJ55" s="10"/>
      <c r="CUK55" s="10"/>
      <c r="CUL55" s="10"/>
      <c r="CUM55" s="10"/>
      <c r="CUN55" s="10"/>
      <c r="CUO55" s="10"/>
      <c r="CUP55" s="10"/>
      <c r="CUQ55" s="10"/>
      <c r="CUR55" s="10"/>
      <c r="CUS55" s="10"/>
      <c r="CUT55" s="10"/>
      <c r="CUU55" s="10"/>
      <c r="CUV55" s="10"/>
      <c r="CUW55" s="10"/>
      <c r="CUX55" s="10"/>
      <c r="CUY55" s="10"/>
      <c r="CUZ55" s="10"/>
      <c r="CVA55" s="10"/>
      <c r="CVB55" s="10"/>
      <c r="CVC55" s="10"/>
      <c r="CVD55" s="10"/>
      <c r="CVE55" s="10"/>
      <c r="CVF55" s="10"/>
      <c r="CVG55" s="10"/>
      <c r="CVH55" s="10"/>
      <c r="CVI55" s="10"/>
      <c r="CVJ55" s="10"/>
      <c r="CVK55" s="10"/>
      <c r="CVL55" s="10"/>
      <c r="CVM55" s="10"/>
      <c r="CVN55" s="10"/>
      <c r="CVO55" s="10"/>
      <c r="CVP55" s="10"/>
      <c r="CVQ55" s="10"/>
      <c r="CVR55" s="10"/>
      <c r="CVS55" s="10"/>
      <c r="CVT55" s="10"/>
      <c r="CVU55" s="10"/>
      <c r="CVV55" s="10"/>
      <c r="CVW55" s="10"/>
      <c r="CVX55" s="10"/>
      <c r="CVY55" s="10"/>
      <c r="CVZ55" s="10"/>
      <c r="CWA55" s="10"/>
      <c r="CWB55" s="10"/>
      <c r="CWC55" s="10"/>
      <c r="CWD55" s="10"/>
      <c r="CWE55" s="10"/>
      <c r="CWF55" s="10"/>
      <c r="CWG55" s="10"/>
      <c r="CWH55" s="10"/>
      <c r="CWI55" s="10"/>
      <c r="CWJ55" s="10"/>
      <c r="CWK55" s="10"/>
      <c r="CWL55" s="10"/>
      <c r="CWM55" s="10"/>
      <c r="CWN55" s="10"/>
      <c r="CWO55" s="10"/>
      <c r="CWP55" s="10"/>
      <c r="CWQ55" s="10"/>
      <c r="CWR55" s="10"/>
      <c r="CWS55" s="10"/>
      <c r="CWT55" s="10"/>
      <c r="CWU55" s="10"/>
      <c r="CWV55" s="10"/>
      <c r="CWW55" s="10"/>
      <c r="CWX55" s="10"/>
      <c r="CWY55" s="10"/>
      <c r="CWZ55" s="10"/>
      <c r="CXA55" s="10"/>
      <c r="CXB55" s="10"/>
      <c r="CXC55" s="10"/>
      <c r="CXD55" s="10"/>
      <c r="CXE55" s="10"/>
      <c r="CXF55" s="10"/>
      <c r="CXG55" s="10"/>
      <c r="CXH55" s="10"/>
      <c r="CXI55" s="10"/>
      <c r="CXJ55" s="10"/>
      <c r="CXK55" s="10"/>
      <c r="CXL55" s="10"/>
      <c r="CXM55" s="10"/>
      <c r="CXN55" s="10"/>
      <c r="CXO55" s="10"/>
      <c r="CXP55" s="10"/>
      <c r="CXQ55" s="10"/>
      <c r="CXR55" s="10"/>
      <c r="CXS55" s="10"/>
      <c r="CXT55" s="10"/>
      <c r="CXU55" s="10"/>
      <c r="CXV55" s="10"/>
      <c r="CXW55" s="10"/>
      <c r="CXX55" s="10"/>
      <c r="CXY55" s="10"/>
      <c r="CXZ55" s="10"/>
      <c r="CYA55" s="10"/>
      <c r="CYB55" s="10"/>
      <c r="CYC55" s="10"/>
      <c r="CYD55" s="10"/>
      <c r="CYE55" s="10"/>
      <c r="CYF55" s="10"/>
      <c r="CYG55" s="10"/>
      <c r="CYH55" s="10"/>
      <c r="CYI55" s="10"/>
      <c r="CYJ55" s="10"/>
      <c r="CYK55" s="10"/>
      <c r="CYL55" s="10"/>
      <c r="CYM55" s="10"/>
      <c r="CYN55" s="10"/>
      <c r="CYO55" s="10"/>
      <c r="CYP55" s="10"/>
      <c r="CYQ55" s="10"/>
      <c r="CYR55" s="10"/>
      <c r="CYS55" s="10"/>
      <c r="CYT55" s="10"/>
      <c r="CYU55" s="10"/>
      <c r="CYV55" s="10"/>
      <c r="CYW55" s="10"/>
      <c r="CYX55" s="10"/>
      <c r="CYY55" s="10"/>
      <c r="CYZ55" s="10"/>
      <c r="CZA55" s="10"/>
      <c r="CZB55" s="10"/>
      <c r="CZC55" s="10"/>
      <c r="CZD55" s="10"/>
      <c r="CZE55" s="10"/>
      <c r="CZF55" s="10"/>
      <c r="CZG55" s="10"/>
      <c r="CZH55" s="10"/>
      <c r="CZI55" s="10"/>
      <c r="CZJ55" s="10"/>
      <c r="CZK55" s="10"/>
      <c r="CZL55" s="10"/>
      <c r="CZM55" s="10"/>
      <c r="CZN55" s="10"/>
      <c r="CZO55" s="10"/>
      <c r="CZP55" s="10"/>
      <c r="CZQ55" s="10"/>
      <c r="CZR55" s="10"/>
      <c r="CZS55" s="10"/>
      <c r="CZT55" s="10"/>
      <c r="CZU55" s="10"/>
      <c r="CZV55" s="10"/>
      <c r="CZW55" s="10"/>
      <c r="CZX55" s="10"/>
      <c r="CZY55" s="10"/>
      <c r="CZZ55" s="10"/>
      <c r="DAA55" s="10"/>
      <c r="DAB55" s="10"/>
      <c r="DAC55" s="10"/>
      <c r="DAD55" s="10"/>
      <c r="DAE55" s="10"/>
      <c r="DAF55" s="10"/>
      <c r="DAG55" s="10"/>
      <c r="DAH55" s="10"/>
      <c r="DAI55" s="10"/>
      <c r="DAJ55" s="10"/>
      <c r="DAK55" s="10"/>
      <c r="DAL55" s="10"/>
      <c r="DAM55" s="10"/>
      <c r="DAN55" s="10"/>
      <c r="DAO55" s="10"/>
      <c r="DAP55" s="10"/>
      <c r="DAQ55" s="10"/>
      <c r="DAR55" s="10"/>
      <c r="DAS55" s="10"/>
      <c r="DAT55" s="10"/>
      <c r="DAU55" s="10"/>
      <c r="DAV55" s="10"/>
      <c r="DAW55" s="10"/>
      <c r="DAX55" s="10"/>
      <c r="DAY55" s="10"/>
      <c r="DAZ55" s="10"/>
      <c r="DBA55" s="10"/>
      <c r="DBB55" s="10"/>
      <c r="DBC55" s="10"/>
      <c r="DBD55" s="10"/>
      <c r="DBE55" s="10"/>
      <c r="DBF55" s="10"/>
      <c r="DBG55" s="10"/>
      <c r="DBH55" s="10"/>
      <c r="DBI55" s="10"/>
      <c r="DBJ55" s="10"/>
      <c r="DBK55" s="10"/>
      <c r="DBL55" s="10"/>
      <c r="DBM55" s="10"/>
      <c r="DBN55" s="10"/>
      <c r="DBO55" s="10"/>
      <c r="DBP55" s="10"/>
      <c r="DBQ55" s="10"/>
      <c r="DBR55" s="10"/>
      <c r="DBS55" s="10"/>
      <c r="DBT55" s="10"/>
      <c r="DBU55" s="10"/>
      <c r="DBV55" s="10"/>
      <c r="DBW55" s="10"/>
      <c r="DBX55" s="10"/>
      <c r="DBY55" s="10"/>
      <c r="DBZ55" s="10"/>
      <c r="DCA55" s="10"/>
      <c r="DCB55" s="10"/>
      <c r="DCC55" s="10"/>
      <c r="DCD55" s="10"/>
      <c r="DCE55" s="10"/>
      <c r="DCF55" s="10"/>
      <c r="DCG55" s="10"/>
      <c r="DCH55" s="10"/>
      <c r="DCI55" s="10"/>
      <c r="DCJ55" s="10"/>
      <c r="DCK55" s="10"/>
      <c r="DCL55" s="10"/>
      <c r="DCM55" s="10"/>
      <c r="DCN55" s="10"/>
      <c r="DCO55" s="10"/>
      <c r="DCP55" s="10"/>
      <c r="DCQ55" s="10"/>
      <c r="DCR55" s="10"/>
      <c r="DCS55" s="10"/>
      <c r="DCT55" s="10"/>
      <c r="DCU55" s="10"/>
      <c r="DCV55" s="10"/>
      <c r="DCW55" s="10"/>
      <c r="DCX55" s="10"/>
      <c r="DCY55" s="10"/>
      <c r="DCZ55" s="10"/>
      <c r="DDA55" s="10"/>
      <c r="DDB55" s="10"/>
      <c r="DDC55" s="10"/>
      <c r="DDD55" s="10"/>
      <c r="DDE55" s="10"/>
      <c r="DDF55" s="10"/>
      <c r="DDG55" s="10"/>
      <c r="DDH55" s="10"/>
      <c r="DDI55" s="10"/>
      <c r="DDJ55" s="10"/>
      <c r="DDK55" s="10"/>
      <c r="DDL55" s="10"/>
      <c r="DDM55" s="10"/>
      <c r="DDN55" s="10"/>
      <c r="DDO55" s="10"/>
      <c r="DDP55" s="10"/>
      <c r="DDQ55" s="10"/>
      <c r="DDR55" s="10"/>
      <c r="DDS55" s="10"/>
      <c r="DDT55" s="10"/>
      <c r="DDU55" s="10"/>
      <c r="DDV55" s="10"/>
      <c r="DDW55" s="10"/>
      <c r="DDX55" s="10"/>
      <c r="DDY55" s="10"/>
      <c r="DDZ55" s="10"/>
      <c r="DEA55" s="10"/>
      <c r="DEB55" s="10"/>
      <c r="DEC55" s="10"/>
      <c r="DED55" s="10"/>
      <c r="DEE55" s="10"/>
      <c r="DEF55" s="10"/>
      <c r="DEG55" s="10"/>
      <c r="DEH55" s="10"/>
      <c r="DEI55" s="10"/>
      <c r="DEJ55" s="10"/>
      <c r="DEK55" s="10"/>
      <c r="DEL55" s="10"/>
      <c r="DEM55" s="10"/>
      <c r="DEN55" s="10"/>
      <c r="DEO55" s="10"/>
      <c r="DEP55" s="10"/>
      <c r="DEQ55" s="10"/>
      <c r="DER55" s="10"/>
      <c r="DES55" s="10"/>
      <c r="DET55" s="10"/>
      <c r="DEU55" s="10"/>
      <c r="DEV55" s="10"/>
      <c r="DEW55" s="10"/>
      <c r="DEX55" s="10"/>
      <c r="DEY55" s="10"/>
      <c r="DEZ55" s="10"/>
      <c r="DFA55" s="10"/>
      <c r="DFB55" s="10"/>
      <c r="DFC55" s="10"/>
      <c r="DFD55" s="10"/>
      <c r="DFE55" s="10"/>
      <c r="DFF55" s="10"/>
      <c r="DFG55" s="10"/>
      <c r="DFH55" s="10"/>
      <c r="DFI55" s="10"/>
      <c r="DFJ55" s="10"/>
      <c r="DFK55" s="10"/>
      <c r="DFL55" s="10"/>
      <c r="DFM55" s="10"/>
      <c r="DFN55" s="10"/>
      <c r="DFO55" s="10"/>
      <c r="DFP55" s="10"/>
      <c r="DFQ55" s="10"/>
      <c r="DFR55" s="10"/>
      <c r="DFS55" s="10"/>
      <c r="DFT55" s="10"/>
      <c r="DFU55" s="10"/>
      <c r="DFV55" s="10"/>
      <c r="DFW55" s="10"/>
      <c r="DFX55" s="10"/>
      <c r="DFY55" s="10"/>
      <c r="DFZ55" s="10"/>
      <c r="DGA55" s="10"/>
      <c r="DGB55" s="10"/>
      <c r="DGC55" s="10"/>
      <c r="DGD55" s="10"/>
      <c r="DGE55" s="10"/>
      <c r="DGF55" s="10"/>
      <c r="DGG55" s="10"/>
      <c r="DGH55" s="10"/>
      <c r="DGI55" s="10"/>
      <c r="DGJ55" s="10"/>
      <c r="DGK55" s="10"/>
      <c r="DGL55" s="10"/>
      <c r="DGM55" s="10"/>
      <c r="DGN55" s="10"/>
      <c r="DGO55" s="10"/>
      <c r="DGP55" s="10"/>
      <c r="DGQ55" s="10"/>
      <c r="DGR55" s="10"/>
      <c r="DGS55" s="10"/>
      <c r="DGT55" s="10"/>
      <c r="DGU55" s="10"/>
      <c r="DGV55" s="10"/>
      <c r="DGW55" s="10"/>
      <c r="DGX55" s="10"/>
      <c r="DGY55" s="10"/>
      <c r="DGZ55" s="10"/>
      <c r="DHA55" s="10"/>
      <c r="DHB55" s="10"/>
      <c r="DHC55" s="10"/>
      <c r="DHD55" s="10"/>
      <c r="DHE55" s="10"/>
      <c r="DHF55" s="10"/>
      <c r="DHG55" s="10"/>
      <c r="DHH55" s="10"/>
      <c r="DHI55" s="10"/>
      <c r="DHJ55" s="10"/>
      <c r="DHK55" s="10"/>
      <c r="DHL55" s="10"/>
      <c r="DHM55" s="10"/>
      <c r="DHN55" s="10"/>
      <c r="DHO55" s="10"/>
      <c r="DHP55" s="10"/>
      <c r="DHQ55" s="10"/>
      <c r="DHR55" s="10"/>
      <c r="DHS55" s="10"/>
      <c r="DHT55" s="10"/>
      <c r="DHU55" s="10"/>
      <c r="DHV55" s="10"/>
      <c r="DHW55" s="10"/>
      <c r="DHX55" s="10"/>
      <c r="DHY55" s="10"/>
      <c r="DHZ55" s="10"/>
      <c r="DIA55" s="10"/>
      <c r="DIB55" s="10"/>
      <c r="DIC55" s="10"/>
      <c r="DID55" s="10"/>
      <c r="DIE55" s="10"/>
      <c r="DIF55" s="10"/>
      <c r="DIG55" s="10"/>
      <c r="DIH55" s="10"/>
      <c r="DII55" s="10"/>
      <c r="DIJ55" s="10"/>
      <c r="DIK55" s="10"/>
      <c r="DIL55" s="10"/>
      <c r="DIM55" s="10"/>
      <c r="DIN55" s="10"/>
      <c r="DIO55" s="10"/>
      <c r="DIP55" s="10"/>
      <c r="DIQ55" s="10"/>
      <c r="DIR55" s="10"/>
      <c r="DIS55" s="10"/>
      <c r="DIT55" s="10"/>
      <c r="DIU55" s="10"/>
      <c r="DIV55" s="10"/>
      <c r="DIW55" s="10"/>
      <c r="DIX55" s="10"/>
      <c r="DIY55" s="10"/>
      <c r="DIZ55" s="10"/>
      <c r="DJA55" s="10"/>
      <c r="DJB55" s="10"/>
      <c r="DJC55" s="10"/>
      <c r="DJD55" s="10"/>
      <c r="DJE55" s="10"/>
      <c r="DJF55" s="10"/>
      <c r="DJG55" s="10"/>
      <c r="DJH55" s="10"/>
      <c r="DJI55" s="10"/>
      <c r="DJJ55" s="10"/>
      <c r="DJK55" s="10"/>
      <c r="DJL55" s="10"/>
      <c r="DJM55" s="10"/>
      <c r="DJN55" s="10"/>
      <c r="DJO55" s="10"/>
      <c r="DJP55" s="10"/>
      <c r="DJQ55" s="10"/>
      <c r="DJR55" s="10"/>
      <c r="DJS55" s="10"/>
      <c r="DJT55" s="10"/>
      <c r="DJU55" s="10"/>
      <c r="DJV55" s="10"/>
      <c r="DJW55" s="10"/>
      <c r="DJX55" s="10"/>
      <c r="DJY55" s="10"/>
      <c r="DJZ55" s="10"/>
      <c r="DKA55" s="10"/>
      <c r="DKB55" s="10"/>
      <c r="DKC55" s="10"/>
      <c r="DKD55" s="10"/>
      <c r="DKE55" s="10"/>
      <c r="DKF55" s="10"/>
      <c r="DKG55" s="10"/>
      <c r="DKH55" s="10"/>
      <c r="DKI55" s="10"/>
      <c r="DKJ55" s="10"/>
      <c r="DKK55" s="10"/>
      <c r="DKL55" s="10"/>
      <c r="DKM55" s="10"/>
      <c r="DKN55" s="10"/>
      <c r="DKO55" s="10"/>
      <c r="DKP55" s="10"/>
      <c r="DKQ55" s="10"/>
      <c r="DKR55" s="10"/>
      <c r="DKS55" s="10"/>
      <c r="DKT55" s="10"/>
      <c r="DKU55" s="10"/>
      <c r="DKV55" s="10"/>
      <c r="DKW55" s="10"/>
      <c r="DKX55" s="10"/>
      <c r="DKY55" s="10"/>
      <c r="DKZ55" s="10"/>
      <c r="DLA55" s="10"/>
      <c r="DLB55" s="10"/>
      <c r="DLC55" s="10"/>
      <c r="DLD55" s="10"/>
      <c r="DLE55" s="10"/>
      <c r="DLF55" s="10"/>
      <c r="DLG55" s="10"/>
      <c r="DLH55" s="10"/>
      <c r="DLI55" s="10"/>
      <c r="DLJ55" s="10"/>
      <c r="DLK55" s="10"/>
      <c r="DLL55" s="10"/>
      <c r="DLM55" s="10"/>
      <c r="DLN55" s="10"/>
      <c r="DLO55" s="10"/>
      <c r="DLP55" s="10"/>
      <c r="DLQ55" s="10"/>
      <c r="DLR55" s="10"/>
      <c r="DLS55" s="10"/>
      <c r="DLT55" s="10"/>
      <c r="DLU55" s="10"/>
      <c r="DLV55" s="10"/>
      <c r="DLW55" s="10"/>
      <c r="DLX55" s="10"/>
      <c r="DLY55" s="10"/>
      <c r="DLZ55" s="10"/>
      <c r="DMA55" s="10"/>
      <c r="DMB55" s="10"/>
      <c r="DMC55" s="10"/>
      <c r="DMD55" s="10"/>
      <c r="DME55" s="10"/>
      <c r="DMF55" s="10"/>
      <c r="DMG55" s="10"/>
      <c r="DMH55" s="10"/>
      <c r="DMI55" s="10"/>
      <c r="DMJ55" s="10"/>
      <c r="DMK55" s="10"/>
      <c r="DML55" s="10"/>
      <c r="DMM55" s="10"/>
      <c r="DMN55" s="10"/>
      <c r="DMO55" s="10"/>
      <c r="DMP55" s="10"/>
      <c r="DMQ55" s="10"/>
      <c r="DMR55" s="10"/>
      <c r="DMS55" s="10"/>
      <c r="DMT55" s="10"/>
      <c r="DMU55" s="10"/>
      <c r="DMV55" s="10"/>
      <c r="DMW55" s="10"/>
      <c r="DMX55" s="10"/>
      <c r="DMY55" s="10"/>
      <c r="DMZ55" s="10"/>
      <c r="DNA55" s="10"/>
      <c r="DNB55" s="10"/>
      <c r="DNC55" s="10"/>
      <c r="DND55" s="10"/>
      <c r="DNE55" s="10"/>
      <c r="DNF55" s="10"/>
      <c r="DNG55" s="10"/>
      <c r="DNH55" s="10"/>
      <c r="DNI55" s="10"/>
      <c r="DNJ55" s="10"/>
      <c r="DNK55" s="10"/>
      <c r="DNL55" s="10"/>
      <c r="DNM55" s="10"/>
      <c r="DNN55" s="10"/>
      <c r="DNO55" s="10"/>
      <c r="DNP55" s="10"/>
      <c r="DNQ55" s="10"/>
      <c r="DNR55" s="10"/>
      <c r="DNS55" s="10"/>
      <c r="DNT55" s="10"/>
      <c r="DNU55" s="10"/>
      <c r="DNV55" s="10"/>
      <c r="DNW55" s="10"/>
      <c r="DNX55" s="10"/>
      <c r="DNY55" s="10"/>
      <c r="DNZ55" s="10"/>
      <c r="DOA55" s="10"/>
      <c r="DOB55" s="10"/>
      <c r="DOC55" s="10"/>
      <c r="DOD55" s="10"/>
      <c r="DOE55" s="10"/>
      <c r="DOF55" s="10"/>
      <c r="DOG55" s="10"/>
      <c r="DOH55" s="10"/>
      <c r="DOI55" s="10"/>
      <c r="DOJ55" s="10"/>
      <c r="DOK55" s="10"/>
      <c r="DOL55" s="10"/>
      <c r="DOM55" s="10"/>
      <c r="DON55" s="10"/>
      <c r="DOO55" s="10"/>
      <c r="DOP55" s="10"/>
      <c r="DOQ55" s="10"/>
      <c r="DOR55" s="10"/>
      <c r="DOS55" s="10"/>
      <c r="DOT55" s="10"/>
      <c r="DOU55" s="10"/>
      <c r="DOV55" s="10"/>
      <c r="DOW55" s="10"/>
      <c r="DOX55" s="10"/>
      <c r="DOY55" s="10"/>
      <c r="DOZ55" s="10"/>
      <c r="DPA55" s="10"/>
      <c r="DPB55" s="10"/>
      <c r="DPC55" s="10"/>
      <c r="DPD55" s="10"/>
      <c r="DPE55" s="10"/>
      <c r="DPF55" s="10"/>
      <c r="DPG55" s="10"/>
      <c r="DPH55" s="10"/>
      <c r="DPI55" s="10"/>
      <c r="DPJ55" s="10"/>
      <c r="DPK55" s="10"/>
      <c r="DPL55" s="10"/>
      <c r="DPM55" s="10"/>
      <c r="DPN55" s="10"/>
      <c r="DPO55" s="10"/>
      <c r="DPP55" s="10"/>
      <c r="DPQ55" s="10"/>
      <c r="DPR55" s="10"/>
      <c r="DPS55" s="10"/>
      <c r="DPT55" s="10"/>
      <c r="DPU55" s="10"/>
      <c r="DPV55" s="10"/>
      <c r="DPW55" s="10"/>
      <c r="DPX55" s="10"/>
      <c r="DPY55" s="10"/>
      <c r="DPZ55" s="10"/>
      <c r="DQA55" s="10"/>
      <c r="DQB55" s="10"/>
      <c r="DQC55" s="10"/>
      <c r="DQD55" s="10"/>
      <c r="DQE55" s="10"/>
      <c r="DQF55" s="10"/>
      <c r="DQG55" s="10"/>
      <c r="DQH55" s="10"/>
      <c r="DQI55" s="10"/>
      <c r="DQJ55" s="10"/>
      <c r="DQK55" s="10"/>
      <c r="DQL55" s="10"/>
      <c r="DQM55" s="10"/>
      <c r="DQN55" s="10"/>
      <c r="DQO55" s="10"/>
      <c r="DQP55" s="10"/>
      <c r="DQQ55" s="10"/>
      <c r="DQR55" s="10"/>
      <c r="DQS55" s="10"/>
      <c r="DQT55" s="10"/>
      <c r="DQU55" s="10"/>
      <c r="DQV55" s="10"/>
      <c r="DQW55" s="10"/>
      <c r="DQX55" s="10"/>
      <c r="DQY55" s="10"/>
      <c r="DQZ55" s="10"/>
      <c r="DRA55" s="10"/>
      <c r="DRB55" s="10"/>
      <c r="DRC55" s="10"/>
      <c r="DRD55" s="10"/>
      <c r="DRE55" s="10"/>
      <c r="DRF55" s="10"/>
      <c r="DRG55" s="10"/>
      <c r="DRH55" s="10"/>
      <c r="DRI55" s="10"/>
      <c r="DRJ55" s="10"/>
      <c r="DRK55" s="10"/>
      <c r="DRL55" s="10"/>
      <c r="DRM55" s="10"/>
      <c r="DRN55" s="10"/>
      <c r="DRO55" s="10"/>
      <c r="DRP55" s="10"/>
      <c r="DRQ55" s="10"/>
      <c r="DRR55" s="10"/>
      <c r="DRS55" s="10"/>
      <c r="DRT55" s="10"/>
      <c r="DRU55" s="10"/>
      <c r="DRV55" s="10"/>
      <c r="DRW55" s="10"/>
      <c r="DRX55" s="10"/>
      <c r="DRY55" s="10"/>
      <c r="DRZ55" s="10"/>
      <c r="DSA55" s="10"/>
      <c r="DSB55" s="10"/>
      <c r="DSC55" s="10"/>
      <c r="DSD55" s="10"/>
      <c r="DSE55" s="10"/>
      <c r="DSF55" s="10"/>
      <c r="DSG55" s="10"/>
      <c r="DSH55" s="10"/>
      <c r="DSI55" s="10"/>
      <c r="DSJ55" s="10"/>
      <c r="DSK55" s="10"/>
      <c r="DSL55" s="10"/>
      <c r="DSM55" s="10"/>
      <c r="DSN55" s="10"/>
      <c r="DSO55" s="10"/>
      <c r="DSP55" s="10"/>
      <c r="DSQ55" s="10"/>
      <c r="DSR55" s="10"/>
      <c r="DSS55" s="10"/>
      <c r="DST55" s="10"/>
      <c r="DSU55" s="10"/>
      <c r="DSV55" s="10"/>
      <c r="DSW55" s="10"/>
      <c r="DSX55" s="10"/>
      <c r="DSY55" s="10"/>
      <c r="DSZ55" s="10"/>
      <c r="DTA55" s="10"/>
      <c r="DTB55" s="10"/>
      <c r="DTC55" s="10"/>
      <c r="DTD55" s="10"/>
      <c r="DTE55" s="10"/>
      <c r="DTF55" s="10"/>
      <c r="DTG55" s="10"/>
      <c r="DTH55" s="10"/>
      <c r="DTI55" s="10"/>
      <c r="DTJ55" s="10"/>
      <c r="DTK55" s="10"/>
      <c r="DTL55" s="10"/>
      <c r="DTM55" s="10"/>
      <c r="DTN55" s="10"/>
      <c r="DTO55" s="10"/>
      <c r="DTP55" s="10"/>
      <c r="DTQ55" s="10"/>
      <c r="DTR55" s="10"/>
      <c r="DTS55" s="10"/>
      <c r="DTT55" s="10"/>
      <c r="DTU55" s="10"/>
      <c r="DTV55" s="10"/>
      <c r="DTW55" s="10"/>
      <c r="DTX55" s="10"/>
      <c r="DTY55" s="10"/>
      <c r="DTZ55" s="10"/>
      <c r="DUA55" s="10"/>
      <c r="DUB55" s="10"/>
      <c r="DUC55" s="10"/>
      <c r="DUD55" s="10"/>
      <c r="DUE55" s="10"/>
      <c r="DUF55" s="10"/>
      <c r="DUG55" s="10"/>
      <c r="DUH55" s="10"/>
      <c r="DUI55" s="10"/>
      <c r="DUJ55" s="10"/>
      <c r="DUK55" s="10"/>
      <c r="DUL55" s="10"/>
      <c r="DUM55" s="10"/>
      <c r="DUN55" s="10"/>
      <c r="DUO55" s="10"/>
      <c r="DUP55" s="10"/>
      <c r="DUQ55" s="10"/>
      <c r="DUR55" s="10"/>
      <c r="DUS55" s="10"/>
      <c r="DUT55" s="10"/>
      <c r="DUU55" s="10"/>
      <c r="DUV55" s="10"/>
      <c r="DUW55" s="10"/>
      <c r="DUX55" s="10"/>
      <c r="DUY55" s="10"/>
      <c r="DUZ55" s="10"/>
      <c r="DVA55" s="10"/>
      <c r="DVB55" s="10"/>
      <c r="DVC55" s="10"/>
      <c r="DVD55" s="10"/>
      <c r="DVE55" s="10"/>
      <c r="DVF55" s="10"/>
      <c r="DVG55" s="10"/>
      <c r="DVH55" s="10"/>
      <c r="DVI55" s="10"/>
      <c r="DVJ55" s="10"/>
      <c r="DVK55" s="10"/>
      <c r="DVL55" s="10"/>
      <c r="DVM55" s="10"/>
      <c r="DVN55" s="10"/>
      <c r="DVO55" s="10"/>
      <c r="DVP55" s="10"/>
      <c r="DVQ55" s="10"/>
      <c r="DVR55" s="10"/>
      <c r="DVS55" s="10"/>
      <c r="DVT55" s="10"/>
      <c r="DVU55" s="10"/>
      <c r="DVV55" s="10"/>
      <c r="DVW55" s="10"/>
      <c r="DVX55" s="10"/>
      <c r="DVY55" s="10"/>
      <c r="DVZ55" s="10"/>
      <c r="DWA55" s="10"/>
      <c r="DWB55" s="10"/>
      <c r="DWC55" s="10"/>
      <c r="DWD55" s="10"/>
      <c r="DWE55" s="10"/>
      <c r="DWF55" s="10"/>
      <c r="DWG55" s="10"/>
      <c r="DWH55" s="10"/>
      <c r="DWI55" s="10"/>
      <c r="DWJ55" s="10"/>
      <c r="DWK55" s="10"/>
      <c r="DWL55" s="10"/>
      <c r="DWM55" s="10"/>
      <c r="DWN55" s="10"/>
      <c r="DWO55" s="10"/>
      <c r="DWP55" s="10"/>
      <c r="DWQ55" s="10"/>
      <c r="DWR55" s="10"/>
      <c r="DWS55" s="10"/>
      <c r="DWT55" s="10"/>
      <c r="DWU55" s="10"/>
      <c r="DWV55" s="10"/>
      <c r="DWW55" s="10"/>
      <c r="DWX55" s="10"/>
      <c r="DWY55" s="10"/>
      <c r="DWZ55" s="10"/>
      <c r="DXA55" s="10"/>
      <c r="DXB55" s="10"/>
      <c r="DXC55" s="10"/>
      <c r="DXD55" s="10"/>
      <c r="DXE55" s="10"/>
      <c r="DXF55" s="10"/>
      <c r="DXG55" s="10"/>
      <c r="DXH55" s="10"/>
      <c r="DXI55" s="10"/>
      <c r="DXJ55" s="10"/>
      <c r="DXK55" s="10"/>
      <c r="DXL55" s="10"/>
      <c r="DXM55" s="10"/>
      <c r="DXN55" s="10"/>
      <c r="DXO55" s="10"/>
      <c r="DXP55" s="10"/>
      <c r="DXQ55" s="10"/>
      <c r="DXR55" s="10"/>
      <c r="DXS55" s="10"/>
      <c r="DXT55" s="10"/>
      <c r="DXU55" s="10"/>
      <c r="DXV55" s="10"/>
      <c r="DXW55" s="10"/>
      <c r="DXX55" s="10"/>
      <c r="DXY55" s="10"/>
      <c r="DXZ55" s="10"/>
      <c r="DYA55" s="10"/>
      <c r="DYB55" s="10"/>
      <c r="DYC55" s="10"/>
      <c r="DYD55" s="10"/>
      <c r="DYE55" s="10"/>
      <c r="DYF55" s="10"/>
      <c r="DYG55" s="10"/>
      <c r="DYH55" s="10"/>
      <c r="DYI55" s="10"/>
      <c r="DYJ55" s="10"/>
      <c r="DYK55" s="10"/>
      <c r="DYL55" s="10"/>
      <c r="DYM55" s="10"/>
      <c r="DYN55" s="10"/>
      <c r="DYO55" s="10"/>
      <c r="DYP55" s="10"/>
      <c r="DYQ55" s="10"/>
      <c r="DYR55" s="10"/>
      <c r="DYS55" s="10"/>
      <c r="DYT55" s="10"/>
      <c r="DYU55" s="10"/>
      <c r="DYV55" s="10"/>
      <c r="DYW55" s="10"/>
      <c r="DYX55" s="10"/>
      <c r="DYY55" s="10"/>
      <c r="DYZ55" s="10"/>
      <c r="DZA55" s="10"/>
      <c r="DZB55" s="10"/>
      <c r="DZC55" s="10"/>
      <c r="DZD55" s="10"/>
      <c r="DZE55" s="10"/>
      <c r="DZF55" s="10"/>
      <c r="DZG55" s="10"/>
      <c r="DZH55" s="10"/>
      <c r="DZI55" s="10"/>
      <c r="DZJ55" s="10"/>
      <c r="DZK55" s="10"/>
      <c r="DZL55" s="10"/>
      <c r="DZM55" s="10"/>
      <c r="DZN55" s="10"/>
      <c r="DZO55" s="10"/>
      <c r="DZP55" s="10"/>
      <c r="DZQ55" s="10"/>
      <c r="DZR55" s="10"/>
      <c r="DZS55" s="10"/>
      <c r="DZT55" s="10"/>
      <c r="DZU55" s="10"/>
      <c r="DZV55" s="10"/>
      <c r="DZW55" s="10"/>
      <c r="DZX55" s="10"/>
      <c r="DZY55" s="10"/>
      <c r="DZZ55" s="10"/>
      <c r="EAA55" s="10"/>
      <c r="EAB55" s="10"/>
      <c r="EAC55" s="10"/>
      <c r="EAD55" s="10"/>
      <c r="EAE55" s="10"/>
      <c r="EAF55" s="10"/>
      <c r="EAG55" s="10"/>
      <c r="EAH55" s="10"/>
      <c r="EAI55" s="10"/>
      <c r="EAJ55" s="10"/>
      <c r="EAK55" s="10"/>
      <c r="EAL55" s="10"/>
      <c r="EAM55" s="10"/>
      <c r="EAN55" s="10"/>
      <c r="EAO55" s="10"/>
      <c r="EAP55" s="10"/>
      <c r="EAQ55" s="10"/>
      <c r="EAR55" s="10"/>
      <c r="EAS55" s="10"/>
      <c r="EAT55" s="10"/>
      <c r="EAU55" s="10"/>
      <c r="EAV55" s="10"/>
      <c r="EAW55" s="10"/>
      <c r="EAX55" s="10"/>
      <c r="EAY55" s="10"/>
      <c r="EAZ55" s="10"/>
      <c r="EBA55" s="10"/>
      <c r="EBB55" s="10"/>
      <c r="EBC55" s="10"/>
      <c r="EBD55" s="10"/>
      <c r="EBE55" s="10"/>
      <c r="EBF55" s="10"/>
      <c r="EBG55" s="10"/>
      <c r="EBH55" s="10"/>
      <c r="EBI55" s="10"/>
      <c r="EBJ55" s="10"/>
      <c r="EBK55" s="10"/>
      <c r="EBL55" s="10"/>
      <c r="EBM55" s="10"/>
      <c r="EBN55" s="10"/>
      <c r="EBO55" s="10"/>
      <c r="EBP55" s="10"/>
      <c r="EBQ55" s="10"/>
      <c r="EBR55" s="10"/>
      <c r="EBS55" s="10"/>
      <c r="EBT55" s="10"/>
      <c r="EBU55" s="10"/>
      <c r="EBV55" s="10"/>
      <c r="EBW55" s="10"/>
      <c r="EBX55" s="10"/>
      <c r="EBY55" s="10"/>
      <c r="EBZ55" s="10"/>
      <c r="ECA55" s="10"/>
      <c r="ECB55" s="10"/>
      <c r="ECC55" s="10"/>
      <c r="ECD55" s="10"/>
      <c r="ECE55" s="10"/>
      <c r="ECF55" s="10"/>
      <c r="ECG55" s="10"/>
      <c r="ECH55" s="10"/>
      <c r="ECI55" s="10"/>
      <c r="ECJ55" s="10"/>
      <c r="ECK55" s="10"/>
      <c r="ECL55" s="10"/>
      <c r="ECM55" s="10"/>
      <c r="ECN55" s="10"/>
      <c r="ECO55" s="10"/>
      <c r="ECP55" s="10"/>
      <c r="ECQ55" s="10"/>
      <c r="ECR55" s="10"/>
      <c r="ECS55" s="10"/>
      <c r="ECT55" s="10"/>
      <c r="ECU55" s="10"/>
      <c r="ECV55" s="10"/>
      <c r="ECW55" s="10"/>
      <c r="ECX55" s="10"/>
      <c r="ECY55" s="10"/>
      <c r="ECZ55" s="10"/>
      <c r="EDA55" s="10"/>
      <c r="EDB55" s="10"/>
      <c r="EDC55" s="10"/>
      <c r="EDD55" s="10"/>
      <c r="EDE55" s="10"/>
      <c r="EDF55" s="10"/>
      <c r="EDG55" s="10"/>
      <c r="EDH55" s="10"/>
      <c r="EDI55" s="10"/>
      <c r="EDJ55" s="10"/>
      <c r="EDK55" s="10"/>
      <c r="EDL55" s="10"/>
      <c r="EDM55" s="10"/>
      <c r="EDN55" s="10"/>
      <c r="EDO55" s="10"/>
      <c r="EDP55" s="10"/>
      <c r="EDQ55" s="10"/>
      <c r="EDR55" s="10"/>
      <c r="EDS55" s="10"/>
      <c r="EDT55" s="10"/>
      <c r="EDU55" s="10"/>
      <c r="EDV55" s="10"/>
      <c r="EDW55" s="10"/>
      <c r="EDX55" s="10"/>
      <c r="EDY55" s="10"/>
      <c r="EDZ55" s="10"/>
      <c r="EEA55" s="10"/>
      <c r="EEB55" s="10"/>
      <c r="EEC55" s="10"/>
      <c r="EED55" s="10"/>
      <c r="EEE55" s="10"/>
      <c r="EEF55" s="10"/>
      <c r="EEG55" s="10"/>
      <c r="EEH55" s="10"/>
      <c r="EEI55" s="10"/>
      <c r="EEJ55" s="10"/>
      <c r="EEK55" s="10"/>
      <c r="EEL55" s="10"/>
      <c r="EEM55" s="10"/>
      <c r="EEN55" s="10"/>
      <c r="EEO55" s="10"/>
      <c r="EEP55" s="10"/>
      <c r="EEQ55" s="10"/>
      <c r="EER55" s="10"/>
      <c r="EES55" s="10"/>
      <c r="EET55" s="10"/>
      <c r="EEU55" s="10"/>
      <c r="EEV55" s="10"/>
      <c r="EEW55" s="10"/>
      <c r="EEX55" s="10"/>
      <c r="EEY55" s="10"/>
      <c r="EEZ55" s="10"/>
      <c r="EFA55" s="10"/>
      <c r="EFB55" s="10"/>
      <c r="EFC55" s="10"/>
      <c r="EFD55" s="10"/>
      <c r="EFE55" s="10"/>
      <c r="EFF55" s="10"/>
      <c r="EFG55" s="10"/>
      <c r="EFH55" s="10"/>
      <c r="EFI55" s="10"/>
      <c r="EFJ55" s="10"/>
      <c r="EFK55" s="10"/>
      <c r="EFL55" s="10"/>
      <c r="EFM55" s="10"/>
      <c r="EFN55" s="10"/>
      <c r="EFO55" s="10"/>
      <c r="EFP55" s="10"/>
      <c r="EFQ55" s="10"/>
      <c r="EFR55" s="10"/>
      <c r="EFS55" s="10"/>
      <c r="EFT55" s="10"/>
      <c r="EFU55" s="10"/>
      <c r="EFV55" s="10"/>
      <c r="EFW55" s="10"/>
      <c r="EFX55" s="10"/>
      <c r="EFY55" s="10"/>
      <c r="EFZ55" s="10"/>
      <c r="EGA55" s="10"/>
      <c r="EGB55" s="10"/>
      <c r="EGC55" s="10"/>
      <c r="EGD55" s="10"/>
      <c r="EGE55" s="10"/>
      <c r="EGF55" s="10"/>
      <c r="EGG55" s="10"/>
      <c r="EGH55" s="10"/>
      <c r="EGI55" s="10"/>
      <c r="EGJ55" s="10"/>
      <c r="EGK55" s="10"/>
      <c r="EGL55" s="10"/>
      <c r="EGM55" s="10"/>
      <c r="EGN55" s="10"/>
      <c r="EGO55" s="10"/>
      <c r="EGP55" s="10"/>
      <c r="EGQ55" s="10"/>
      <c r="EGR55" s="10"/>
      <c r="EGS55" s="10"/>
      <c r="EGT55" s="10"/>
      <c r="EGU55" s="10"/>
      <c r="EGV55" s="10"/>
      <c r="EGW55" s="10"/>
      <c r="EGX55" s="10"/>
      <c r="EGY55" s="10"/>
      <c r="EGZ55" s="10"/>
      <c r="EHA55" s="10"/>
      <c r="EHB55" s="10"/>
      <c r="EHC55" s="10"/>
      <c r="EHD55" s="10"/>
      <c r="EHE55" s="10"/>
      <c r="EHF55" s="10"/>
      <c r="EHG55" s="10"/>
      <c r="EHH55" s="10"/>
      <c r="EHI55" s="10"/>
      <c r="EHJ55" s="10"/>
      <c r="EHK55" s="10"/>
      <c r="EHL55" s="10"/>
      <c r="EHM55" s="10"/>
      <c r="EHN55" s="10"/>
      <c r="EHO55" s="10"/>
      <c r="EHP55" s="10"/>
      <c r="EHQ55" s="10"/>
      <c r="EHR55" s="10"/>
      <c r="EHS55" s="10"/>
      <c r="EHT55" s="10"/>
      <c r="EHU55" s="10"/>
      <c r="EHV55" s="10"/>
      <c r="EHW55" s="10"/>
      <c r="EHX55" s="10"/>
      <c r="EHY55" s="10"/>
      <c r="EHZ55" s="10"/>
      <c r="EIA55" s="10"/>
      <c r="EIB55" s="10"/>
      <c r="EIC55" s="10"/>
      <c r="EID55" s="10"/>
      <c r="EIE55" s="10"/>
      <c r="EIF55" s="10"/>
      <c r="EIG55" s="10"/>
      <c r="EIH55" s="10"/>
      <c r="EII55" s="10"/>
      <c r="EIJ55" s="10"/>
      <c r="EIK55" s="10"/>
      <c r="EIL55" s="10"/>
      <c r="EIM55" s="10"/>
      <c r="EIN55" s="10"/>
      <c r="EIO55" s="10"/>
      <c r="EIP55" s="10"/>
      <c r="EIQ55" s="10"/>
      <c r="EIR55" s="10"/>
      <c r="EIS55" s="10"/>
      <c r="EIT55" s="10"/>
      <c r="EIU55" s="10"/>
      <c r="EIV55" s="10"/>
      <c r="EIW55" s="10"/>
      <c r="EIX55" s="10"/>
      <c r="EIY55" s="10"/>
      <c r="EIZ55" s="10"/>
      <c r="EJA55" s="10"/>
      <c r="EJB55" s="10"/>
      <c r="EJC55" s="10"/>
      <c r="EJD55" s="10"/>
      <c r="EJE55" s="10"/>
      <c r="EJF55" s="10"/>
      <c r="EJG55" s="10"/>
      <c r="EJH55" s="10"/>
      <c r="EJI55" s="10"/>
      <c r="EJJ55" s="10"/>
      <c r="EJK55" s="10"/>
      <c r="EJL55" s="10"/>
      <c r="EJM55" s="10"/>
      <c r="EJN55" s="10"/>
      <c r="EJO55" s="10"/>
      <c r="EJP55" s="10"/>
      <c r="EJQ55" s="10"/>
      <c r="EJR55" s="10"/>
      <c r="EJS55" s="10"/>
      <c r="EJT55" s="10"/>
      <c r="EJU55" s="10"/>
      <c r="EJV55" s="10"/>
      <c r="EJW55" s="10"/>
      <c r="EJX55" s="10"/>
      <c r="EJY55" s="10"/>
      <c r="EJZ55" s="10"/>
      <c r="EKA55" s="10"/>
      <c r="EKB55" s="10"/>
      <c r="EKC55" s="10"/>
      <c r="EKD55" s="10"/>
      <c r="EKE55" s="10"/>
      <c r="EKF55" s="10"/>
      <c r="EKG55" s="10"/>
      <c r="EKH55" s="10"/>
      <c r="EKI55" s="10"/>
      <c r="EKJ55" s="10"/>
      <c r="EKK55" s="10"/>
      <c r="EKL55" s="10"/>
      <c r="EKM55" s="10"/>
      <c r="EKN55" s="10"/>
      <c r="EKO55" s="10"/>
      <c r="EKP55" s="10"/>
      <c r="EKQ55" s="10"/>
      <c r="EKR55" s="10"/>
      <c r="EKS55" s="10"/>
      <c r="EKT55" s="10"/>
      <c r="EKU55" s="10"/>
      <c r="EKV55" s="10"/>
      <c r="EKW55" s="10"/>
      <c r="EKX55" s="10"/>
      <c r="EKY55" s="10"/>
      <c r="EKZ55" s="10"/>
      <c r="ELA55" s="10"/>
      <c r="ELB55" s="10"/>
      <c r="ELC55" s="10"/>
      <c r="ELD55" s="10"/>
      <c r="ELE55" s="10"/>
      <c r="ELF55" s="10"/>
      <c r="ELG55" s="10"/>
      <c r="ELH55" s="10"/>
      <c r="ELI55" s="10"/>
      <c r="ELJ55" s="10"/>
      <c r="ELK55" s="10"/>
      <c r="ELL55" s="10"/>
      <c r="ELM55" s="10"/>
      <c r="ELN55" s="10"/>
      <c r="ELO55" s="10"/>
      <c r="ELP55" s="10"/>
      <c r="ELQ55" s="10"/>
      <c r="ELR55" s="10"/>
      <c r="ELS55" s="10"/>
      <c r="ELT55" s="10"/>
      <c r="ELU55" s="10"/>
      <c r="ELV55" s="10"/>
      <c r="ELW55" s="10"/>
      <c r="ELX55" s="10"/>
      <c r="ELY55" s="10"/>
      <c r="ELZ55" s="10"/>
      <c r="EMA55" s="10"/>
      <c r="EMB55" s="10"/>
      <c r="EMC55" s="10"/>
      <c r="EMD55" s="10"/>
      <c r="EME55" s="10"/>
      <c r="EMF55" s="10"/>
      <c r="EMG55" s="10"/>
      <c r="EMH55" s="10"/>
      <c r="EMI55" s="10"/>
      <c r="EMJ55" s="10"/>
      <c r="EMK55" s="10"/>
      <c r="EML55" s="10"/>
      <c r="EMM55" s="10"/>
      <c r="EMN55" s="10"/>
      <c r="EMO55" s="10"/>
      <c r="EMP55" s="10"/>
      <c r="EMQ55" s="10"/>
      <c r="EMR55" s="10"/>
      <c r="EMS55" s="10"/>
      <c r="EMT55" s="10"/>
      <c r="EMU55" s="10"/>
      <c r="EMV55" s="10"/>
      <c r="EMW55" s="10"/>
      <c r="EMX55" s="10"/>
      <c r="EMY55" s="10"/>
      <c r="EMZ55" s="10"/>
      <c r="ENA55" s="10"/>
      <c r="ENB55" s="10"/>
      <c r="ENC55" s="10"/>
      <c r="END55" s="10"/>
      <c r="ENE55" s="10"/>
      <c r="ENF55" s="10"/>
      <c r="ENG55" s="10"/>
      <c r="ENH55" s="10"/>
      <c r="ENI55" s="10"/>
      <c r="ENJ55" s="10"/>
      <c r="ENK55" s="10"/>
      <c r="ENL55" s="10"/>
      <c r="ENM55" s="10"/>
      <c r="ENN55" s="10"/>
      <c r="ENO55" s="10"/>
      <c r="ENP55" s="10"/>
      <c r="ENQ55" s="10"/>
      <c r="ENR55" s="10"/>
      <c r="ENS55" s="10"/>
      <c r="ENT55" s="10"/>
      <c r="ENU55" s="10"/>
      <c r="ENV55" s="10"/>
      <c r="ENW55" s="10"/>
      <c r="ENX55" s="10"/>
      <c r="ENY55" s="10"/>
      <c r="ENZ55" s="10"/>
      <c r="EOA55" s="10"/>
      <c r="EOB55" s="10"/>
      <c r="EOC55" s="10"/>
      <c r="EOD55" s="10"/>
      <c r="EOE55" s="10"/>
      <c r="EOF55" s="10"/>
      <c r="EOG55" s="10"/>
      <c r="EOH55" s="10"/>
      <c r="EOI55" s="10"/>
      <c r="EOJ55" s="10"/>
      <c r="EOK55" s="10"/>
      <c r="EOL55" s="10"/>
      <c r="EOM55" s="10"/>
      <c r="EON55" s="10"/>
      <c r="EOO55" s="10"/>
      <c r="EOP55" s="10"/>
      <c r="EOQ55" s="10"/>
      <c r="EOR55" s="10"/>
      <c r="EOS55" s="10"/>
      <c r="EOT55" s="10"/>
      <c r="EOU55" s="10"/>
      <c r="EOV55" s="10"/>
      <c r="EOW55" s="10"/>
      <c r="EOX55" s="10"/>
      <c r="EOY55" s="10"/>
      <c r="EOZ55" s="10"/>
      <c r="EPA55" s="10"/>
      <c r="EPB55" s="10"/>
      <c r="EPC55" s="10"/>
      <c r="EPD55" s="10"/>
      <c r="EPE55" s="10"/>
      <c r="EPF55" s="10"/>
      <c r="EPG55" s="10"/>
      <c r="EPH55" s="10"/>
      <c r="EPI55" s="10"/>
      <c r="EPJ55" s="10"/>
      <c r="EPK55" s="10"/>
      <c r="EPL55" s="10"/>
      <c r="EPM55" s="10"/>
      <c r="EPN55" s="10"/>
      <c r="EPO55" s="10"/>
      <c r="EPP55" s="10"/>
      <c r="EPQ55" s="10"/>
      <c r="EPR55" s="10"/>
      <c r="EPS55" s="10"/>
      <c r="EPT55" s="10"/>
      <c r="EPU55" s="10"/>
      <c r="EPV55" s="10"/>
      <c r="EPW55" s="10"/>
      <c r="EPX55" s="10"/>
      <c r="EPY55" s="10"/>
      <c r="EPZ55" s="10"/>
      <c r="EQA55" s="10"/>
      <c r="EQB55" s="10"/>
      <c r="EQC55" s="10"/>
      <c r="EQD55" s="10"/>
      <c r="EQE55" s="10"/>
      <c r="EQF55" s="10"/>
      <c r="EQG55" s="10"/>
      <c r="EQH55" s="10"/>
      <c r="EQI55" s="10"/>
      <c r="EQJ55" s="10"/>
      <c r="EQK55" s="10"/>
      <c r="EQL55" s="10"/>
      <c r="EQM55" s="10"/>
      <c r="EQN55" s="10"/>
      <c r="EQO55" s="10"/>
      <c r="EQP55" s="10"/>
      <c r="EQQ55" s="10"/>
      <c r="EQR55" s="10"/>
      <c r="EQS55" s="10"/>
      <c r="EQT55" s="10"/>
      <c r="EQU55" s="10"/>
      <c r="EQV55" s="10"/>
      <c r="EQW55" s="10"/>
      <c r="EQX55" s="10"/>
      <c r="EQY55" s="10"/>
      <c r="EQZ55" s="10"/>
      <c r="ERA55" s="10"/>
      <c r="ERB55" s="10"/>
      <c r="ERC55" s="10"/>
      <c r="ERD55" s="10"/>
      <c r="ERE55" s="10"/>
      <c r="ERF55" s="10"/>
      <c r="ERG55" s="10"/>
      <c r="ERH55" s="10"/>
      <c r="ERI55" s="10"/>
      <c r="ERJ55" s="10"/>
      <c r="ERK55" s="10"/>
      <c r="ERL55" s="10"/>
      <c r="ERM55" s="10"/>
      <c r="ERN55" s="10"/>
      <c r="ERO55" s="10"/>
      <c r="ERP55" s="10"/>
      <c r="ERQ55" s="10"/>
      <c r="ERR55" s="10"/>
      <c r="ERS55" s="10"/>
      <c r="ERT55" s="10"/>
      <c r="ERU55" s="10"/>
      <c r="ERV55" s="10"/>
      <c r="ERW55" s="10"/>
      <c r="ERX55" s="10"/>
      <c r="ERY55" s="10"/>
      <c r="ERZ55" s="10"/>
      <c r="ESA55" s="10"/>
      <c r="ESB55" s="10"/>
      <c r="ESC55" s="10"/>
      <c r="ESD55" s="10"/>
      <c r="ESE55" s="10"/>
      <c r="ESF55" s="10"/>
      <c r="ESG55" s="10"/>
      <c r="ESH55" s="10"/>
      <c r="ESI55" s="10"/>
      <c r="ESJ55" s="10"/>
      <c r="ESK55" s="10"/>
      <c r="ESL55" s="10"/>
      <c r="ESM55" s="10"/>
      <c r="ESN55" s="10"/>
      <c r="ESO55" s="10"/>
      <c r="ESP55" s="10"/>
      <c r="ESQ55" s="10"/>
      <c r="ESR55" s="10"/>
      <c r="ESS55" s="10"/>
      <c r="EST55" s="10"/>
      <c r="ESU55" s="10"/>
      <c r="ESV55" s="10"/>
      <c r="ESW55" s="10"/>
      <c r="ESX55" s="10"/>
      <c r="ESY55" s="10"/>
      <c r="ESZ55" s="10"/>
      <c r="ETA55" s="10"/>
      <c r="ETB55" s="10"/>
      <c r="ETC55" s="10"/>
      <c r="ETD55" s="10"/>
      <c r="ETE55" s="10"/>
      <c r="ETF55" s="10"/>
      <c r="ETG55" s="10"/>
      <c r="ETH55" s="10"/>
      <c r="ETI55" s="10"/>
      <c r="ETJ55" s="10"/>
      <c r="ETK55" s="10"/>
      <c r="ETL55" s="10"/>
      <c r="ETM55" s="10"/>
      <c r="ETN55" s="10"/>
      <c r="ETO55" s="10"/>
      <c r="ETP55" s="10"/>
      <c r="ETQ55" s="10"/>
      <c r="ETR55" s="10"/>
      <c r="ETS55" s="10"/>
      <c r="ETT55" s="10"/>
      <c r="ETU55" s="10"/>
      <c r="ETV55" s="10"/>
      <c r="ETW55" s="10"/>
      <c r="ETX55" s="10"/>
      <c r="ETY55" s="10"/>
      <c r="ETZ55" s="10"/>
      <c r="EUA55" s="10"/>
      <c r="EUB55" s="10"/>
      <c r="EUC55" s="10"/>
      <c r="EUD55" s="10"/>
      <c r="EUE55" s="10"/>
      <c r="EUF55" s="10"/>
      <c r="EUG55" s="10"/>
      <c r="EUH55" s="10"/>
      <c r="EUI55" s="10"/>
      <c r="EUJ55" s="10"/>
      <c r="EUK55" s="10"/>
      <c r="EUL55" s="10"/>
      <c r="EUM55" s="10"/>
      <c r="EUN55" s="10"/>
      <c r="EUO55" s="10"/>
      <c r="EUP55" s="10"/>
      <c r="EUQ55" s="10"/>
      <c r="EUR55" s="10"/>
      <c r="EUS55" s="10"/>
      <c r="EUT55" s="10"/>
      <c r="EUU55" s="10"/>
      <c r="EUV55" s="10"/>
      <c r="EUW55" s="10"/>
      <c r="EUX55" s="10"/>
      <c r="EUY55" s="10"/>
      <c r="EUZ55" s="10"/>
      <c r="EVA55" s="10"/>
      <c r="EVB55" s="10"/>
      <c r="EVC55" s="10"/>
      <c r="EVD55" s="10"/>
      <c r="EVE55" s="10"/>
      <c r="EVF55" s="10"/>
      <c r="EVG55" s="10"/>
      <c r="EVH55" s="10"/>
      <c r="EVI55" s="10"/>
      <c r="EVJ55" s="10"/>
      <c r="EVK55" s="10"/>
      <c r="EVL55" s="10"/>
      <c r="EVM55" s="10"/>
      <c r="EVN55" s="10"/>
      <c r="EVO55" s="10"/>
      <c r="EVP55" s="10"/>
      <c r="EVQ55" s="10"/>
      <c r="EVR55" s="10"/>
      <c r="EVS55" s="10"/>
      <c r="EVT55" s="10"/>
      <c r="EVU55" s="10"/>
      <c r="EVV55" s="10"/>
      <c r="EVW55" s="10"/>
      <c r="EVX55" s="10"/>
      <c r="EVY55" s="10"/>
      <c r="EVZ55" s="10"/>
      <c r="EWA55" s="10"/>
      <c r="EWB55" s="10"/>
      <c r="EWC55" s="10"/>
      <c r="EWD55" s="10"/>
      <c r="EWE55" s="10"/>
      <c r="EWF55" s="10"/>
      <c r="EWG55" s="10"/>
      <c r="EWH55" s="10"/>
      <c r="EWI55" s="10"/>
      <c r="EWJ55" s="10"/>
      <c r="EWK55" s="10"/>
      <c r="EWL55" s="10"/>
      <c r="EWM55" s="10"/>
      <c r="EWN55" s="10"/>
      <c r="EWO55" s="10"/>
      <c r="EWP55" s="10"/>
      <c r="EWQ55" s="10"/>
      <c r="EWR55" s="10"/>
      <c r="EWS55" s="10"/>
      <c r="EWT55" s="10"/>
      <c r="EWU55" s="10"/>
      <c r="EWV55" s="10"/>
      <c r="EWW55" s="10"/>
      <c r="EWX55" s="10"/>
      <c r="EWY55" s="10"/>
      <c r="EWZ55" s="10"/>
      <c r="EXA55" s="10"/>
      <c r="EXB55" s="10"/>
      <c r="EXC55" s="10"/>
      <c r="EXD55" s="10"/>
      <c r="EXE55" s="10"/>
      <c r="EXF55" s="10"/>
      <c r="EXG55" s="10"/>
      <c r="EXH55" s="10"/>
      <c r="EXI55" s="10"/>
      <c r="EXJ55" s="10"/>
      <c r="EXK55" s="10"/>
      <c r="EXL55" s="10"/>
      <c r="EXM55" s="10"/>
      <c r="EXN55" s="10"/>
      <c r="EXO55" s="10"/>
      <c r="EXP55" s="10"/>
      <c r="EXQ55" s="10"/>
      <c r="EXR55" s="10"/>
      <c r="EXS55" s="10"/>
      <c r="EXT55" s="10"/>
      <c r="EXU55" s="10"/>
      <c r="EXV55" s="10"/>
      <c r="EXW55" s="10"/>
      <c r="EXX55" s="10"/>
      <c r="EXY55" s="10"/>
      <c r="EXZ55" s="10"/>
      <c r="EYA55" s="10"/>
      <c r="EYB55" s="10"/>
      <c r="EYC55" s="10"/>
      <c r="EYD55" s="10"/>
      <c r="EYE55" s="10"/>
      <c r="EYF55" s="10"/>
      <c r="EYG55" s="10"/>
      <c r="EYH55" s="10"/>
      <c r="EYI55" s="10"/>
      <c r="EYJ55" s="10"/>
      <c r="EYK55" s="10"/>
      <c r="EYL55" s="10"/>
      <c r="EYM55" s="10"/>
      <c r="EYN55" s="10"/>
      <c r="EYO55" s="10"/>
      <c r="EYP55" s="10"/>
      <c r="EYQ55" s="10"/>
      <c r="EYR55" s="10"/>
      <c r="EYS55" s="10"/>
      <c r="EYT55" s="10"/>
      <c r="EYU55" s="10"/>
      <c r="EYV55" s="10"/>
      <c r="EYW55" s="10"/>
      <c r="EYX55" s="10"/>
      <c r="EYY55" s="10"/>
      <c r="EYZ55" s="10"/>
      <c r="EZA55" s="10"/>
      <c r="EZB55" s="10"/>
      <c r="EZC55" s="10"/>
      <c r="EZD55" s="10"/>
      <c r="EZE55" s="10"/>
      <c r="EZF55" s="10"/>
      <c r="EZG55" s="10"/>
      <c r="EZH55" s="10"/>
      <c r="EZI55" s="10"/>
      <c r="EZJ55" s="10"/>
      <c r="EZK55" s="10"/>
      <c r="EZL55" s="10"/>
      <c r="EZM55" s="10"/>
      <c r="EZN55" s="10"/>
      <c r="EZO55" s="10"/>
      <c r="EZP55" s="10"/>
      <c r="EZQ55" s="10"/>
      <c r="EZR55" s="10"/>
      <c r="EZS55" s="10"/>
      <c r="EZT55" s="10"/>
      <c r="EZU55" s="10"/>
      <c r="EZV55" s="10"/>
      <c r="EZW55" s="10"/>
      <c r="EZX55" s="10"/>
      <c r="EZY55" s="10"/>
      <c r="EZZ55" s="10"/>
      <c r="FAA55" s="10"/>
      <c r="FAB55" s="10"/>
      <c r="FAC55" s="10"/>
      <c r="FAD55" s="10"/>
      <c r="FAE55" s="10"/>
      <c r="FAF55" s="10"/>
      <c r="FAG55" s="10"/>
      <c r="FAH55" s="10"/>
      <c r="FAI55" s="10"/>
      <c r="FAJ55" s="10"/>
      <c r="FAK55" s="10"/>
      <c r="FAL55" s="10"/>
      <c r="FAM55" s="10"/>
      <c r="FAN55" s="10"/>
      <c r="FAO55" s="10"/>
      <c r="FAP55" s="10"/>
      <c r="FAQ55" s="10"/>
      <c r="FAR55" s="10"/>
      <c r="FAS55" s="10"/>
      <c r="FAT55" s="10"/>
      <c r="FAU55" s="10"/>
      <c r="FAV55" s="10"/>
      <c r="FAW55" s="10"/>
      <c r="FAX55" s="10"/>
      <c r="FAY55" s="10"/>
      <c r="FAZ55" s="10"/>
      <c r="FBA55" s="10"/>
      <c r="FBB55" s="10"/>
      <c r="FBC55" s="10"/>
      <c r="FBD55" s="10"/>
      <c r="FBE55" s="10"/>
      <c r="FBF55" s="10"/>
      <c r="FBG55" s="10"/>
      <c r="FBH55" s="10"/>
      <c r="FBI55" s="10"/>
      <c r="FBJ55" s="10"/>
      <c r="FBK55" s="10"/>
      <c r="FBL55" s="10"/>
      <c r="FBM55" s="10"/>
      <c r="FBN55" s="10"/>
      <c r="FBO55" s="10"/>
      <c r="FBP55" s="10"/>
      <c r="FBQ55" s="10"/>
      <c r="FBR55" s="10"/>
      <c r="FBS55" s="10"/>
      <c r="FBT55" s="10"/>
      <c r="FBU55" s="10"/>
      <c r="FBV55" s="10"/>
      <c r="FBW55" s="10"/>
      <c r="FBX55" s="10"/>
      <c r="FBY55" s="10"/>
      <c r="FBZ55" s="10"/>
      <c r="FCA55" s="10"/>
      <c r="FCB55" s="10"/>
      <c r="FCC55" s="10"/>
      <c r="FCD55" s="10"/>
      <c r="FCE55" s="10"/>
      <c r="FCF55" s="10"/>
      <c r="FCG55" s="10"/>
      <c r="FCH55" s="10"/>
      <c r="FCI55" s="10"/>
      <c r="FCJ55" s="10"/>
      <c r="FCK55" s="10"/>
      <c r="FCL55" s="10"/>
      <c r="FCM55" s="10"/>
      <c r="FCN55" s="10"/>
      <c r="FCO55" s="10"/>
      <c r="FCP55" s="10"/>
      <c r="FCQ55" s="10"/>
      <c r="FCR55" s="10"/>
      <c r="FCS55" s="10"/>
      <c r="FCT55" s="10"/>
      <c r="FCU55" s="10"/>
      <c r="FCV55" s="10"/>
      <c r="FCW55" s="10"/>
      <c r="FCX55" s="10"/>
      <c r="FCY55" s="10"/>
      <c r="FCZ55" s="10"/>
      <c r="FDA55" s="10"/>
      <c r="FDB55" s="10"/>
      <c r="FDC55" s="10"/>
      <c r="FDD55" s="10"/>
      <c r="FDE55" s="10"/>
      <c r="FDF55" s="10"/>
      <c r="FDG55" s="10"/>
      <c r="FDH55" s="10"/>
      <c r="FDI55" s="10"/>
      <c r="FDJ55" s="10"/>
      <c r="FDK55" s="10"/>
      <c r="FDL55" s="10"/>
      <c r="FDM55" s="10"/>
      <c r="FDN55" s="10"/>
      <c r="FDO55" s="10"/>
      <c r="FDP55" s="10"/>
      <c r="FDQ55" s="10"/>
      <c r="FDR55" s="10"/>
      <c r="FDS55" s="10"/>
      <c r="FDT55" s="10"/>
      <c r="FDU55" s="10"/>
      <c r="FDV55" s="10"/>
      <c r="FDW55" s="10"/>
      <c r="FDX55" s="10"/>
      <c r="FDY55" s="10"/>
      <c r="FDZ55" s="10"/>
      <c r="FEA55" s="10"/>
      <c r="FEB55" s="10"/>
      <c r="FEC55" s="10"/>
      <c r="FED55" s="10"/>
      <c r="FEE55" s="10"/>
      <c r="FEF55" s="10"/>
      <c r="FEG55" s="10"/>
      <c r="FEH55" s="10"/>
      <c r="FEI55" s="10"/>
      <c r="FEJ55" s="10"/>
      <c r="FEK55" s="10"/>
      <c r="FEL55" s="10"/>
      <c r="FEM55" s="10"/>
      <c r="FEN55" s="10"/>
      <c r="FEO55" s="10"/>
      <c r="FEP55" s="10"/>
      <c r="FEQ55" s="10"/>
      <c r="FER55" s="10"/>
      <c r="FES55" s="10"/>
      <c r="FET55" s="10"/>
      <c r="FEU55" s="10"/>
      <c r="FEV55" s="10"/>
      <c r="FEW55" s="10"/>
      <c r="FEX55" s="10"/>
      <c r="FEY55" s="10"/>
      <c r="FEZ55" s="10"/>
      <c r="FFA55" s="10"/>
      <c r="FFB55" s="10"/>
      <c r="FFC55" s="10"/>
      <c r="FFD55" s="10"/>
      <c r="FFE55" s="10"/>
      <c r="FFF55" s="10"/>
      <c r="FFG55" s="10"/>
      <c r="FFH55" s="10"/>
      <c r="FFI55" s="10"/>
      <c r="FFJ55" s="10"/>
      <c r="FFK55" s="10"/>
      <c r="FFL55" s="10"/>
      <c r="FFM55" s="10"/>
      <c r="FFN55" s="10"/>
      <c r="FFO55" s="10"/>
      <c r="FFP55" s="10"/>
      <c r="FFQ55" s="10"/>
      <c r="FFR55" s="10"/>
      <c r="FFS55" s="10"/>
      <c r="FFT55" s="10"/>
      <c r="FFU55" s="10"/>
      <c r="FFV55" s="10"/>
      <c r="FFW55" s="10"/>
      <c r="FFX55" s="10"/>
      <c r="FFY55" s="10"/>
      <c r="FFZ55" s="10"/>
      <c r="FGA55" s="10"/>
      <c r="FGB55" s="10"/>
      <c r="FGC55" s="10"/>
      <c r="FGD55" s="10"/>
      <c r="FGE55" s="10"/>
      <c r="FGF55" s="10"/>
      <c r="FGG55" s="10"/>
      <c r="FGH55" s="10"/>
      <c r="FGI55" s="10"/>
      <c r="FGJ55" s="10"/>
      <c r="FGK55" s="10"/>
      <c r="FGL55" s="10"/>
      <c r="FGM55" s="10"/>
      <c r="FGN55" s="10"/>
      <c r="FGO55" s="10"/>
      <c r="FGP55" s="10"/>
      <c r="FGQ55" s="10"/>
      <c r="FGR55" s="10"/>
      <c r="FGS55" s="10"/>
      <c r="FGT55" s="10"/>
      <c r="FGU55" s="10"/>
      <c r="FGV55" s="10"/>
      <c r="FGW55" s="10"/>
      <c r="FGX55" s="10"/>
      <c r="FGY55" s="10"/>
      <c r="FGZ55" s="10"/>
      <c r="FHA55" s="10"/>
      <c r="FHB55" s="10"/>
      <c r="FHC55" s="10"/>
      <c r="FHD55" s="10"/>
      <c r="FHE55" s="10"/>
      <c r="FHF55" s="10"/>
      <c r="FHG55" s="10"/>
      <c r="FHH55" s="10"/>
      <c r="FHI55" s="10"/>
      <c r="FHJ55" s="10"/>
      <c r="FHK55" s="10"/>
      <c r="FHL55" s="10"/>
      <c r="FHM55" s="10"/>
      <c r="FHN55" s="10"/>
      <c r="FHO55" s="10"/>
      <c r="FHP55" s="10"/>
      <c r="FHQ55" s="10"/>
      <c r="FHR55" s="10"/>
      <c r="FHS55" s="10"/>
      <c r="FHT55" s="10"/>
      <c r="FHU55" s="10"/>
      <c r="FHV55" s="10"/>
      <c r="FHW55" s="10"/>
      <c r="FHX55" s="10"/>
      <c r="FHY55" s="10"/>
      <c r="FHZ55" s="10"/>
      <c r="FIA55" s="10"/>
      <c r="FIB55" s="10"/>
      <c r="FIC55" s="10"/>
      <c r="FID55" s="10"/>
      <c r="FIE55" s="10"/>
      <c r="FIF55" s="10"/>
      <c r="FIG55" s="10"/>
      <c r="FIH55" s="10"/>
      <c r="FII55" s="10"/>
      <c r="FIJ55" s="10"/>
      <c r="FIK55" s="10"/>
      <c r="FIL55" s="10"/>
      <c r="FIM55" s="10"/>
      <c r="FIN55" s="10"/>
      <c r="FIO55" s="10"/>
      <c r="FIP55" s="10"/>
      <c r="FIQ55" s="10"/>
      <c r="FIR55" s="10"/>
      <c r="FIS55" s="10"/>
      <c r="FIT55" s="10"/>
      <c r="FIU55" s="10"/>
      <c r="FIV55" s="10"/>
      <c r="FIW55" s="10"/>
      <c r="FIX55" s="10"/>
      <c r="FIY55" s="10"/>
      <c r="FIZ55" s="10"/>
      <c r="FJA55" s="10"/>
      <c r="FJB55" s="10"/>
      <c r="FJC55" s="10"/>
      <c r="FJD55" s="10"/>
      <c r="FJE55" s="10"/>
      <c r="FJF55" s="10"/>
      <c r="FJG55" s="10"/>
      <c r="FJH55" s="10"/>
      <c r="FJI55" s="10"/>
      <c r="FJJ55" s="10"/>
      <c r="FJK55" s="10"/>
      <c r="FJL55" s="10"/>
      <c r="FJM55" s="10"/>
      <c r="FJN55" s="10"/>
      <c r="FJO55" s="10"/>
      <c r="FJP55" s="10"/>
      <c r="FJQ55" s="10"/>
      <c r="FJR55" s="10"/>
      <c r="FJS55" s="10"/>
      <c r="FJT55" s="10"/>
      <c r="FJU55" s="10"/>
      <c r="FJV55" s="10"/>
      <c r="FJW55" s="10"/>
      <c r="FJX55" s="10"/>
      <c r="FJY55" s="10"/>
      <c r="FJZ55" s="10"/>
      <c r="FKA55" s="10"/>
      <c r="FKB55" s="10"/>
      <c r="FKC55" s="10"/>
      <c r="FKD55" s="10"/>
      <c r="FKE55" s="10"/>
      <c r="FKF55" s="10"/>
      <c r="FKG55" s="10"/>
      <c r="FKH55" s="10"/>
      <c r="FKI55" s="10"/>
      <c r="FKJ55" s="10"/>
      <c r="FKK55" s="10"/>
      <c r="FKL55" s="10"/>
      <c r="FKM55" s="10"/>
      <c r="FKN55" s="10"/>
      <c r="FKO55" s="10"/>
      <c r="FKP55" s="10"/>
      <c r="FKQ55" s="10"/>
      <c r="FKR55" s="10"/>
      <c r="FKS55" s="10"/>
      <c r="FKT55" s="10"/>
      <c r="FKU55" s="10"/>
      <c r="FKV55" s="10"/>
      <c r="FKW55" s="10"/>
      <c r="FKX55" s="10"/>
      <c r="FKY55" s="10"/>
      <c r="FKZ55" s="10"/>
      <c r="FLA55" s="10"/>
      <c r="FLB55" s="10"/>
      <c r="FLC55" s="10"/>
      <c r="FLD55" s="10"/>
      <c r="FLE55" s="10"/>
      <c r="FLF55" s="10"/>
      <c r="FLG55" s="10"/>
      <c r="FLH55" s="10"/>
      <c r="FLI55" s="10"/>
      <c r="FLJ55" s="10"/>
      <c r="FLK55" s="10"/>
      <c r="FLL55" s="10"/>
      <c r="FLM55" s="10"/>
      <c r="FLN55" s="10"/>
      <c r="FLO55" s="10"/>
      <c r="FLP55" s="10"/>
      <c r="FLQ55" s="10"/>
      <c r="FLR55" s="10"/>
      <c r="FLS55" s="10"/>
      <c r="FLT55" s="10"/>
      <c r="FLU55" s="10"/>
      <c r="FLV55" s="10"/>
      <c r="FLW55" s="10"/>
      <c r="FLX55" s="10"/>
      <c r="FLY55" s="10"/>
      <c r="FLZ55" s="10"/>
      <c r="FMA55" s="10"/>
      <c r="FMB55" s="10"/>
      <c r="FMC55" s="10"/>
      <c r="FMD55" s="10"/>
      <c r="FME55" s="10"/>
      <c r="FMF55" s="10"/>
      <c r="FMG55" s="10"/>
      <c r="FMH55" s="10"/>
      <c r="FMI55" s="10"/>
      <c r="FMJ55" s="10"/>
      <c r="FMK55" s="10"/>
      <c r="FML55" s="10"/>
      <c r="FMM55" s="10"/>
      <c r="FMN55" s="10"/>
      <c r="FMO55" s="10"/>
      <c r="FMP55" s="10"/>
      <c r="FMQ55" s="10"/>
      <c r="FMR55" s="10"/>
      <c r="FMS55" s="10"/>
      <c r="FMT55" s="10"/>
      <c r="FMU55" s="10"/>
      <c r="FMV55" s="10"/>
      <c r="FMW55" s="10"/>
      <c r="FMX55" s="10"/>
      <c r="FMY55" s="10"/>
      <c r="FMZ55" s="10"/>
      <c r="FNA55" s="10"/>
      <c r="FNB55" s="10"/>
      <c r="FNC55" s="10"/>
      <c r="FND55" s="10"/>
      <c r="FNE55" s="10"/>
      <c r="FNF55" s="10"/>
      <c r="FNG55" s="10"/>
      <c r="FNH55" s="10"/>
      <c r="FNI55" s="10"/>
      <c r="FNJ55" s="10"/>
      <c r="FNK55" s="10"/>
      <c r="FNL55" s="10"/>
      <c r="FNM55" s="10"/>
      <c r="FNN55" s="10"/>
      <c r="FNO55" s="10"/>
      <c r="FNP55" s="10"/>
      <c r="FNQ55" s="10"/>
      <c r="FNR55" s="10"/>
      <c r="FNS55" s="10"/>
      <c r="FNT55" s="10"/>
      <c r="FNU55" s="10"/>
      <c r="FNV55" s="10"/>
      <c r="FNW55" s="10"/>
      <c r="FNX55" s="10"/>
      <c r="FNY55" s="10"/>
      <c r="FNZ55" s="10"/>
      <c r="FOA55" s="10"/>
      <c r="FOB55" s="10"/>
      <c r="FOC55" s="10"/>
      <c r="FOD55" s="10"/>
      <c r="FOE55" s="10"/>
      <c r="FOF55" s="10"/>
      <c r="FOG55" s="10"/>
      <c r="FOH55" s="10"/>
      <c r="FOI55" s="10"/>
      <c r="FOJ55" s="10"/>
      <c r="FOK55" s="10"/>
      <c r="FOL55" s="10"/>
      <c r="FOM55" s="10"/>
      <c r="FON55" s="10"/>
      <c r="FOO55" s="10"/>
      <c r="FOP55" s="10"/>
      <c r="FOQ55" s="10"/>
      <c r="FOR55" s="10"/>
      <c r="FOS55" s="10"/>
      <c r="FOT55" s="10"/>
      <c r="FOU55" s="10"/>
      <c r="FOV55" s="10"/>
      <c r="FOW55" s="10"/>
      <c r="FOX55" s="10"/>
      <c r="FOY55" s="10"/>
      <c r="FOZ55" s="10"/>
      <c r="FPA55" s="10"/>
      <c r="FPB55" s="10"/>
      <c r="FPC55" s="10"/>
      <c r="FPD55" s="10"/>
      <c r="FPE55" s="10"/>
      <c r="FPF55" s="10"/>
      <c r="FPG55" s="10"/>
      <c r="FPH55" s="10"/>
      <c r="FPI55" s="10"/>
      <c r="FPJ55" s="10"/>
      <c r="FPK55" s="10"/>
      <c r="FPL55" s="10"/>
      <c r="FPM55" s="10"/>
      <c r="FPN55" s="10"/>
      <c r="FPO55" s="10"/>
      <c r="FPP55" s="10"/>
      <c r="FPQ55" s="10"/>
      <c r="FPR55" s="10"/>
      <c r="FPS55" s="10"/>
      <c r="FPT55" s="10"/>
      <c r="FPU55" s="10"/>
      <c r="FPV55" s="10"/>
      <c r="FPW55" s="10"/>
      <c r="FPX55" s="10"/>
      <c r="FPY55" s="10"/>
      <c r="FPZ55" s="10"/>
      <c r="FQA55" s="10"/>
      <c r="FQB55" s="10"/>
      <c r="FQC55" s="10"/>
      <c r="FQD55" s="10"/>
      <c r="FQE55" s="10"/>
      <c r="FQF55" s="10"/>
      <c r="FQG55" s="10"/>
      <c r="FQH55" s="10"/>
      <c r="FQI55" s="10"/>
      <c r="FQJ55" s="10"/>
      <c r="FQK55" s="10"/>
      <c r="FQL55" s="10"/>
      <c r="FQM55" s="10"/>
      <c r="FQN55" s="10"/>
      <c r="FQO55" s="10"/>
      <c r="FQP55" s="10"/>
      <c r="FQQ55" s="10"/>
      <c r="FQR55" s="10"/>
      <c r="FQS55" s="10"/>
      <c r="FQT55" s="10"/>
      <c r="FQU55" s="10"/>
      <c r="FQV55" s="10"/>
      <c r="FQW55" s="10"/>
      <c r="FQX55" s="10"/>
      <c r="FQY55" s="10"/>
      <c r="FQZ55" s="10"/>
      <c r="FRA55" s="10"/>
      <c r="FRB55" s="10"/>
      <c r="FRC55" s="10"/>
      <c r="FRD55" s="10"/>
      <c r="FRE55" s="10"/>
      <c r="FRF55" s="10"/>
      <c r="FRG55" s="10"/>
      <c r="FRH55" s="10"/>
      <c r="FRI55" s="10"/>
      <c r="FRJ55" s="10"/>
      <c r="FRK55" s="10"/>
      <c r="FRL55" s="10"/>
      <c r="FRM55" s="10"/>
      <c r="FRN55" s="10"/>
      <c r="FRO55" s="10"/>
      <c r="FRP55" s="10"/>
      <c r="FRQ55" s="10"/>
      <c r="FRR55" s="10"/>
      <c r="FRS55" s="10"/>
      <c r="FRT55" s="10"/>
      <c r="FRU55" s="10"/>
      <c r="FRV55" s="10"/>
      <c r="FRW55" s="10"/>
      <c r="FRX55" s="10"/>
      <c r="FRY55" s="10"/>
      <c r="FRZ55" s="10"/>
      <c r="FSA55" s="10"/>
      <c r="FSB55" s="10"/>
      <c r="FSC55" s="10"/>
      <c r="FSD55" s="10"/>
      <c r="FSE55" s="10"/>
      <c r="FSF55" s="10"/>
      <c r="FSG55" s="10"/>
      <c r="FSH55" s="10"/>
      <c r="FSI55" s="10"/>
      <c r="FSJ55" s="10"/>
      <c r="FSK55" s="10"/>
      <c r="FSL55" s="10"/>
      <c r="FSM55" s="10"/>
      <c r="FSN55" s="10"/>
      <c r="FSO55" s="10"/>
      <c r="FSP55" s="10"/>
      <c r="FSQ55" s="10"/>
      <c r="FSR55" s="10"/>
      <c r="FSS55" s="10"/>
      <c r="FST55" s="10"/>
      <c r="FSU55" s="10"/>
      <c r="FSV55" s="10"/>
      <c r="FSW55" s="10"/>
      <c r="FSX55" s="10"/>
      <c r="FSY55" s="10"/>
      <c r="FSZ55" s="10"/>
      <c r="FTA55" s="10"/>
      <c r="FTB55" s="10"/>
      <c r="FTC55" s="10"/>
      <c r="FTD55" s="10"/>
      <c r="FTE55" s="10"/>
      <c r="FTF55" s="10"/>
      <c r="FTG55" s="10"/>
      <c r="FTH55" s="10"/>
      <c r="FTI55" s="10"/>
      <c r="FTJ55" s="10"/>
      <c r="FTK55" s="10"/>
      <c r="FTL55" s="10"/>
      <c r="FTM55" s="10"/>
      <c r="FTN55" s="10"/>
      <c r="FTO55" s="10"/>
      <c r="FTP55" s="10"/>
      <c r="FTQ55" s="10"/>
      <c r="FTR55" s="10"/>
      <c r="FTS55" s="10"/>
      <c r="FTT55" s="10"/>
      <c r="FTU55" s="10"/>
      <c r="FTV55" s="10"/>
      <c r="FTW55" s="10"/>
      <c r="FTX55" s="10"/>
      <c r="FTY55" s="10"/>
      <c r="FTZ55" s="10"/>
      <c r="FUA55" s="10"/>
      <c r="FUB55" s="10"/>
      <c r="FUC55" s="10"/>
      <c r="FUD55" s="10"/>
      <c r="FUE55" s="10"/>
      <c r="FUF55" s="10"/>
      <c r="FUG55" s="10"/>
      <c r="FUH55" s="10"/>
      <c r="FUI55" s="10"/>
      <c r="FUJ55" s="10"/>
      <c r="FUK55" s="10"/>
      <c r="FUL55" s="10"/>
      <c r="FUM55" s="10"/>
      <c r="FUN55" s="10"/>
      <c r="FUO55" s="10"/>
      <c r="FUP55" s="10"/>
      <c r="FUQ55" s="10"/>
      <c r="FUR55" s="10"/>
      <c r="FUS55" s="10"/>
      <c r="FUT55" s="10"/>
      <c r="FUU55" s="10"/>
      <c r="FUV55" s="10"/>
      <c r="FUW55" s="10"/>
      <c r="FUX55" s="10"/>
      <c r="FUY55" s="10"/>
      <c r="FUZ55" s="10"/>
      <c r="FVA55" s="10"/>
      <c r="FVB55" s="10"/>
      <c r="FVC55" s="10"/>
      <c r="FVD55" s="10"/>
      <c r="FVE55" s="10"/>
      <c r="FVF55" s="10"/>
      <c r="FVG55" s="10"/>
      <c r="FVH55" s="10"/>
      <c r="FVI55" s="10"/>
      <c r="FVJ55" s="10"/>
      <c r="FVK55" s="10"/>
      <c r="FVL55" s="10"/>
      <c r="FVM55" s="10"/>
      <c r="FVN55" s="10"/>
      <c r="FVO55" s="10"/>
      <c r="FVP55" s="10"/>
      <c r="FVQ55" s="10"/>
      <c r="FVR55" s="10"/>
      <c r="FVS55" s="10"/>
      <c r="FVT55" s="10"/>
      <c r="FVU55" s="10"/>
      <c r="FVV55" s="10"/>
      <c r="FVW55" s="10"/>
      <c r="FVX55" s="10"/>
      <c r="FVY55" s="10"/>
      <c r="FVZ55" s="10"/>
      <c r="FWA55" s="10"/>
      <c r="FWB55" s="10"/>
      <c r="FWC55" s="10"/>
      <c r="FWD55" s="10"/>
      <c r="FWE55" s="10"/>
      <c r="FWF55" s="10"/>
      <c r="FWG55" s="10"/>
      <c r="FWH55" s="10"/>
      <c r="FWI55" s="10"/>
      <c r="FWJ55" s="10"/>
      <c r="FWK55" s="10"/>
      <c r="FWL55" s="10"/>
      <c r="FWM55" s="10"/>
      <c r="FWN55" s="10"/>
      <c r="FWO55" s="10"/>
      <c r="FWP55" s="10"/>
      <c r="FWQ55" s="10"/>
      <c r="FWR55" s="10"/>
      <c r="FWS55" s="10"/>
      <c r="FWT55" s="10"/>
      <c r="FWU55" s="10"/>
      <c r="FWV55" s="10"/>
      <c r="FWW55" s="10"/>
      <c r="FWX55" s="10"/>
      <c r="FWY55" s="10"/>
      <c r="FWZ55" s="10"/>
      <c r="FXA55" s="10"/>
      <c r="FXB55" s="10"/>
      <c r="FXC55" s="10"/>
      <c r="FXD55" s="10"/>
      <c r="FXE55" s="10"/>
      <c r="FXF55" s="10"/>
      <c r="FXG55" s="10"/>
      <c r="FXH55" s="10"/>
      <c r="FXI55" s="10"/>
      <c r="FXJ55" s="10"/>
      <c r="FXK55" s="10"/>
      <c r="FXL55" s="10"/>
      <c r="FXM55" s="10"/>
      <c r="FXN55" s="10"/>
      <c r="FXO55" s="10"/>
      <c r="FXP55" s="10"/>
      <c r="FXQ55" s="10"/>
      <c r="FXR55" s="10"/>
      <c r="FXS55" s="10"/>
      <c r="FXT55" s="10"/>
      <c r="FXU55" s="10"/>
      <c r="FXV55" s="10"/>
      <c r="FXW55" s="10"/>
      <c r="FXX55" s="10"/>
      <c r="FXY55" s="10"/>
      <c r="FXZ55" s="10"/>
      <c r="FYA55" s="10"/>
      <c r="FYB55" s="10"/>
      <c r="FYC55" s="10"/>
      <c r="FYD55" s="10"/>
      <c r="FYE55" s="10"/>
      <c r="FYF55" s="10"/>
      <c r="FYG55" s="10"/>
      <c r="FYH55" s="10"/>
      <c r="FYI55" s="10"/>
      <c r="FYJ55" s="10"/>
      <c r="FYK55" s="10"/>
      <c r="FYL55" s="10"/>
      <c r="FYM55" s="10"/>
      <c r="FYN55" s="10"/>
      <c r="FYO55" s="10"/>
      <c r="FYP55" s="10"/>
      <c r="FYQ55" s="10"/>
      <c r="FYR55" s="10"/>
      <c r="FYS55" s="10"/>
      <c r="FYT55" s="10"/>
      <c r="FYU55" s="10"/>
      <c r="FYV55" s="10"/>
      <c r="FYW55" s="10"/>
      <c r="FYX55" s="10"/>
      <c r="FYY55" s="10"/>
      <c r="FYZ55" s="10"/>
      <c r="FZA55" s="10"/>
      <c r="FZB55" s="10"/>
      <c r="FZC55" s="10"/>
      <c r="FZD55" s="10"/>
      <c r="FZE55" s="10"/>
      <c r="FZF55" s="10"/>
      <c r="FZG55" s="10"/>
      <c r="FZH55" s="10"/>
      <c r="FZI55" s="10"/>
      <c r="FZJ55" s="10"/>
      <c r="FZK55" s="10"/>
      <c r="FZL55" s="10"/>
      <c r="FZM55" s="10"/>
      <c r="FZN55" s="10"/>
      <c r="FZO55" s="10"/>
      <c r="FZP55" s="10"/>
      <c r="FZQ55" s="10"/>
      <c r="FZR55" s="10"/>
      <c r="FZS55" s="10"/>
      <c r="FZT55" s="10"/>
      <c r="FZU55" s="10"/>
      <c r="FZV55" s="10"/>
      <c r="FZW55" s="10"/>
      <c r="FZX55" s="10"/>
      <c r="FZY55" s="10"/>
      <c r="FZZ55" s="10"/>
      <c r="GAA55" s="10"/>
      <c r="GAB55" s="10"/>
      <c r="GAC55" s="10"/>
      <c r="GAD55" s="10"/>
      <c r="GAE55" s="10"/>
      <c r="GAF55" s="10"/>
      <c r="GAG55" s="10"/>
      <c r="GAH55" s="10"/>
      <c r="GAI55" s="10"/>
      <c r="GAJ55" s="10"/>
      <c r="GAK55" s="10"/>
      <c r="GAL55" s="10"/>
      <c r="GAM55" s="10"/>
      <c r="GAN55" s="10"/>
      <c r="GAO55" s="10"/>
      <c r="GAP55" s="10"/>
      <c r="GAQ55" s="10"/>
      <c r="GAR55" s="10"/>
      <c r="GAS55" s="10"/>
      <c r="GAT55" s="10"/>
      <c r="GAU55" s="10"/>
      <c r="GAV55" s="10"/>
      <c r="GAW55" s="10"/>
      <c r="GAX55" s="10"/>
      <c r="GAY55" s="10"/>
      <c r="GAZ55" s="10"/>
      <c r="GBA55" s="10"/>
      <c r="GBB55" s="10"/>
      <c r="GBC55" s="10"/>
      <c r="GBD55" s="10"/>
      <c r="GBE55" s="10"/>
      <c r="GBF55" s="10"/>
      <c r="GBG55" s="10"/>
      <c r="GBH55" s="10"/>
      <c r="GBI55" s="10"/>
      <c r="GBJ55" s="10"/>
      <c r="GBK55" s="10"/>
      <c r="GBL55" s="10"/>
      <c r="GBM55" s="10"/>
      <c r="GBN55" s="10"/>
      <c r="GBO55" s="10"/>
      <c r="GBP55" s="10"/>
      <c r="GBQ55" s="10"/>
      <c r="GBR55" s="10"/>
      <c r="GBS55" s="10"/>
      <c r="GBT55" s="10"/>
      <c r="GBU55" s="10"/>
      <c r="GBV55" s="10"/>
      <c r="GBW55" s="10"/>
      <c r="GBX55" s="10"/>
      <c r="GBY55" s="10"/>
      <c r="GBZ55" s="10"/>
      <c r="GCA55" s="10"/>
      <c r="GCB55" s="10"/>
      <c r="GCC55" s="10"/>
      <c r="GCD55" s="10"/>
      <c r="GCE55" s="10"/>
      <c r="GCF55" s="10"/>
      <c r="GCG55" s="10"/>
      <c r="GCH55" s="10"/>
      <c r="GCI55" s="10"/>
      <c r="GCJ55" s="10"/>
      <c r="GCK55" s="10"/>
      <c r="GCL55" s="10"/>
      <c r="GCM55" s="10"/>
      <c r="GCN55" s="10"/>
      <c r="GCO55" s="10"/>
      <c r="GCP55" s="10"/>
      <c r="GCQ55" s="10"/>
      <c r="GCR55" s="10"/>
      <c r="GCS55" s="10"/>
      <c r="GCT55" s="10"/>
      <c r="GCU55" s="10"/>
      <c r="GCV55" s="10"/>
      <c r="GCW55" s="10"/>
      <c r="GCX55" s="10"/>
      <c r="GCY55" s="10"/>
      <c r="GCZ55" s="10"/>
      <c r="GDA55" s="10"/>
      <c r="GDB55" s="10"/>
      <c r="GDC55" s="10"/>
      <c r="GDD55" s="10"/>
      <c r="GDE55" s="10"/>
      <c r="GDF55" s="10"/>
      <c r="GDG55" s="10"/>
      <c r="GDH55" s="10"/>
      <c r="GDI55" s="10"/>
      <c r="GDJ55" s="10"/>
      <c r="GDK55" s="10"/>
      <c r="GDL55" s="10"/>
      <c r="GDM55" s="10"/>
      <c r="GDN55" s="10"/>
      <c r="GDO55" s="10"/>
      <c r="GDP55" s="10"/>
      <c r="GDQ55" s="10"/>
      <c r="GDR55" s="10"/>
      <c r="GDS55" s="10"/>
      <c r="GDT55" s="10"/>
      <c r="GDU55" s="10"/>
      <c r="GDV55" s="10"/>
      <c r="GDW55" s="10"/>
      <c r="GDX55" s="10"/>
      <c r="GDY55" s="10"/>
      <c r="GDZ55" s="10"/>
      <c r="GEA55" s="10"/>
      <c r="GEB55" s="10"/>
      <c r="GEC55" s="10"/>
      <c r="GED55" s="10"/>
      <c r="GEE55" s="10"/>
      <c r="GEF55" s="10"/>
      <c r="GEG55" s="10"/>
      <c r="GEH55" s="10"/>
      <c r="GEI55" s="10"/>
      <c r="GEJ55" s="10"/>
      <c r="GEK55" s="10"/>
      <c r="GEL55" s="10"/>
      <c r="GEM55" s="10"/>
      <c r="GEN55" s="10"/>
      <c r="GEO55" s="10"/>
      <c r="GEP55" s="10"/>
      <c r="GEQ55" s="10"/>
      <c r="GER55" s="10"/>
      <c r="GES55" s="10"/>
      <c r="GET55" s="10"/>
      <c r="GEU55" s="10"/>
      <c r="GEV55" s="10"/>
      <c r="GEW55" s="10"/>
      <c r="GEX55" s="10"/>
      <c r="GEY55" s="10"/>
      <c r="GEZ55" s="10"/>
      <c r="GFA55" s="10"/>
      <c r="GFB55" s="10"/>
      <c r="GFC55" s="10"/>
      <c r="GFD55" s="10"/>
      <c r="GFE55" s="10"/>
      <c r="GFF55" s="10"/>
      <c r="GFG55" s="10"/>
      <c r="GFH55" s="10"/>
      <c r="GFI55" s="10"/>
      <c r="GFJ55" s="10"/>
      <c r="GFK55" s="10"/>
      <c r="GFL55" s="10"/>
      <c r="GFM55" s="10"/>
      <c r="GFN55" s="10"/>
      <c r="GFO55" s="10"/>
      <c r="GFP55" s="10"/>
      <c r="GFQ55" s="10"/>
      <c r="GFR55" s="10"/>
      <c r="GFS55" s="10"/>
      <c r="GFT55" s="10"/>
      <c r="GFU55" s="10"/>
      <c r="GFV55" s="10"/>
      <c r="GFW55" s="10"/>
      <c r="GFX55" s="10"/>
      <c r="GFY55" s="10"/>
      <c r="GFZ55" s="10"/>
      <c r="GGA55" s="10"/>
      <c r="GGB55" s="10"/>
      <c r="GGC55" s="10"/>
      <c r="GGD55" s="10"/>
      <c r="GGE55" s="10"/>
      <c r="GGF55" s="10"/>
      <c r="GGG55" s="10"/>
      <c r="GGH55" s="10"/>
      <c r="GGI55" s="10"/>
      <c r="GGJ55" s="10"/>
      <c r="GGK55" s="10"/>
      <c r="GGL55" s="10"/>
      <c r="GGM55" s="10"/>
      <c r="GGN55" s="10"/>
      <c r="GGO55" s="10"/>
      <c r="GGP55" s="10"/>
      <c r="GGQ55" s="10"/>
      <c r="GGR55" s="10"/>
      <c r="GGS55" s="10"/>
      <c r="GGT55" s="10"/>
      <c r="GGU55" s="10"/>
      <c r="GGV55" s="10"/>
      <c r="GGW55" s="10"/>
      <c r="GGX55" s="10"/>
      <c r="GGY55" s="10"/>
      <c r="GGZ55" s="10"/>
      <c r="GHA55" s="10"/>
      <c r="GHB55" s="10"/>
      <c r="GHC55" s="10"/>
      <c r="GHD55" s="10"/>
      <c r="GHE55" s="10"/>
      <c r="GHF55" s="10"/>
      <c r="GHG55" s="10"/>
      <c r="GHH55" s="10"/>
      <c r="GHI55" s="10"/>
      <c r="GHJ55" s="10"/>
      <c r="GHK55" s="10"/>
      <c r="GHL55" s="10"/>
      <c r="GHM55" s="10"/>
      <c r="GHN55" s="10"/>
      <c r="GHO55" s="10"/>
      <c r="GHP55" s="10"/>
      <c r="GHQ55" s="10"/>
      <c r="GHR55" s="10"/>
      <c r="GHS55" s="10"/>
      <c r="GHT55" s="10"/>
      <c r="GHU55" s="10"/>
      <c r="GHV55" s="10"/>
      <c r="GHW55" s="10"/>
      <c r="GHX55" s="10"/>
      <c r="GHY55" s="10"/>
      <c r="GHZ55" s="10"/>
      <c r="GIA55" s="10"/>
      <c r="GIB55" s="10"/>
      <c r="GIC55" s="10"/>
      <c r="GID55" s="10"/>
      <c r="GIE55" s="10"/>
      <c r="GIF55" s="10"/>
      <c r="GIG55" s="10"/>
      <c r="GIH55" s="10"/>
      <c r="GII55" s="10"/>
      <c r="GIJ55" s="10"/>
      <c r="GIK55" s="10"/>
      <c r="GIL55" s="10"/>
      <c r="GIM55" s="10"/>
      <c r="GIN55" s="10"/>
      <c r="GIO55" s="10"/>
      <c r="GIP55" s="10"/>
      <c r="GIQ55" s="10"/>
      <c r="GIR55" s="10"/>
      <c r="GIS55" s="10"/>
      <c r="GIT55" s="10"/>
      <c r="GIU55" s="10"/>
      <c r="GIV55" s="10"/>
      <c r="GIW55" s="10"/>
      <c r="GIX55" s="10"/>
      <c r="GIY55" s="10"/>
      <c r="GIZ55" s="10"/>
      <c r="GJA55" s="10"/>
      <c r="GJB55" s="10"/>
      <c r="GJC55" s="10"/>
      <c r="GJD55" s="10"/>
      <c r="GJE55" s="10"/>
      <c r="GJF55" s="10"/>
      <c r="GJG55" s="10"/>
      <c r="GJH55" s="10"/>
      <c r="GJI55" s="10"/>
      <c r="GJJ55" s="10"/>
      <c r="GJK55" s="10"/>
      <c r="GJL55" s="10"/>
      <c r="GJM55" s="10"/>
      <c r="GJN55" s="10"/>
      <c r="GJO55" s="10"/>
      <c r="GJP55" s="10"/>
      <c r="GJQ55" s="10"/>
      <c r="GJR55" s="10"/>
      <c r="GJS55" s="10"/>
      <c r="GJT55" s="10"/>
      <c r="GJU55" s="10"/>
      <c r="GJV55" s="10"/>
      <c r="GJW55" s="10"/>
      <c r="GJX55" s="10"/>
      <c r="GJY55" s="10"/>
      <c r="GJZ55" s="10"/>
      <c r="GKA55" s="10"/>
      <c r="GKB55" s="10"/>
      <c r="GKC55" s="10"/>
      <c r="GKD55" s="10"/>
      <c r="GKE55" s="10"/>
      <c r="GKF55" s="10"/>
      <c r="GKG55" s="10"/>
      <c r="GKH55" s="10"/>
      <c r="GKI55" s="10"/>
      <c r="GKJ55" s="10"/>
      <c r="GKK55" s="10"/>
      <c r="GKL55" s="10"/>
      <c r="GKM55" s="10"/>
      <c r="GKN55" s="10"/>
      <c r="GKO55" s="10"/>
      <c r="GKP55" s="10"/>
      <c r="GKQ55" s="10"/>
      <c r="GKR55" s="10"/>
      <c r="GKS55" s="10"/>
      <c r="GKT55" s="10"/>
      <c r="GKU55" s="10"/>
      <c r="GKV55" s="10"/>
      <c r="GKW55" s="10"/>
      <c r="GKX55" s="10"/>
      <c r="GKY55" s="10"/>
      <c r="GKZ55" s="10"/>
      <c r="GLA55" s="10"/>
      <c r="GLB55" s="10"/>
      <c r="GLC55" s="10"/>
      <c r="GLD55" s="10"/>
      <c r="GLE55" s="10"/>
      <c r="GLF55" s="10"/>
      <c r="GLG55" s="10"/>
      <c r="GLH55" s="10"/>
      <c r="GLI55" s="10"/>
      <c r="GLJ55" s="10"/>
      <c r="GLK55" s="10"/>
      <c r="GLL55" s="10"/>
      <c r="GLM55" s="10"/>
      <c r="GLN55" s="10"/>
      <c r="GLO55" s="10"/>
      <c r="GLP55" s="10"/>
      <c r="GLQ55" s="10"/>
      <c r="GLR55" s="10"/>
      <c r="GLS55" s="10"/>
      <c r="GLT55" s="10"/>
      <c r="GLU55" s="10"/>
      <c r="GLV55" s="10"/>
      <c r="GLW55" s="10"/>
      <c r="GLX55" s="10"/>
      <c r="GLY55" s="10"/>
      <c r="GLZ55" s="10"/>
      <c r="GMA55" s="10"/>
      <c r="GMB55" s="10"/>
      <c r="GMC55" s="10"/>
      <c r="GMD55" s="10"/>
      <c r="GME55" s="10"/>
      <c r="GMF55" s="10"/>
      <c r="GMG55" s="10"/>
      <c r="GMH55" s="10"/>
      <c r="GMI55" s="10"/>
      <c r="GMJ55" s="10"/>
      <c r="GMK55" s="10"/>
      <c r="GML55" s="10"/>
      <c r="GMM55" s="10"/>
      <c r="GMN55" s="10"/>
      <c r="GMO55" s="10"/>
      <c r="GMP55" s="10"/>
      <c r="GMQ55" s="10"/>
      <c r="GMR55" s="10"/>
      <c r="GMS55" s="10"/>
      <c r="GMT55" s="10"/>
      <c r="GMU55" s="10"/>
      <c r="GMV55" s="10"/>
      <c r="GMW55" s="10"/>
      <c r="GMX55" s="10"/>
      <c r="GMY55" s="10"/>
      <c r="GMZ55" s="10"/>
      <c r="GNA55" s="10"/>
      <c r="GNB55" s="10"/>
      <c r="GNC55" s="10"/>
      <c r="GND55" s="10"/>
      <c r="GNE55" s="10"/>
      <c r="GNF55" s="10"/>
      <c r="GNG55" s="10"/>
      <c r="GNH55" s="10"/>
      <c r="GNI55" s="10"/>
      <c r="GNJ55" s="10"/>
      <c r="GNK55" s="10"/>
      <c r="GNL55" s="10"/>
      <c r="GNM55" s="10"/>
      <c r="GNN55" s="10"/>
      <c r="GNO55" s="10"/>
      <c r="GNP55" s="10"/>
      <c r="GNQ55" s="10"/>
      <c r="GNR55" s="10"/>
      <c r="GNS55" s="10"/>
      <c r="GNT55" s="10"/>
      <c r="GNU55" s="10"/>
      <c r="GNV55" s="10"/>
      <c r="GNW55" s="10"/>
      <c r="GNX55" s="10"/>
      <c r="GNY55" s="10"/>
      <c r="GNZ55" s="10"/>
      <c r="GOA55" s="10"/>
      <c r="GOB55" s="10"/>
      <c r="GOC55" s="10"/>
      <c r="GOD55" s="10"/>
      <c r="GOE55" s="10"/>
      <c r="GOF55" s="10"/>
      <c r="GOG55" s="10"/>
      <c r="GOH55" s="10"/>
      <c r="GOI55" s="10"/>
      <c r="GOJ55" s="10"/>
      <c r="GOK55" s="10"/>
      <c r="GOL55" s="10"/>
      <c r="GOM55" s="10"/>
      <c r="GON55" s="10"/>
      <c r="GOO55" s="10"/>
      <c r="GOP55" s="10"/>
      <c r="GOQ55" s="10"/>
      <c r="GOR55" s="10"/>
      <c r="GOS55" s="10"/>
      <c r="GOT55" s="10"/>
      <c r="GOU55" s="10"/>
      <c r="GOV55" s="10"/>
      <c r="GOW55" s="10"/>
      <c r="GOX55" s="10"/>
      <c r="GOY55" s="10"/>
      <c r="GOZ55" s="10"/>
      <c r="GPA55" s="10"/>
      <c r="GPB55" s="10"/>
      <c r="GPC55" s="10"/>
      <c r="GPD55" s="10"/>
      <c r="GPE55" s="10"/>
      <c r="GPF55" s="10"/>
      <c r="GPG55" s="10"/>
      <c r="GPH55" s="10"/>
      <c r="GPI55" s="10"/>
      <c r="GPJ55" s="10"/>
      <c r="GPK55" s="10"/>
      <c r="GPL55" s="10"/>
      <c r="GPM55" s="10"/>
      <c r="GPN55" s="10"/>
      <c r="GPO55" s="10"/>
      <c r="GPP55" s="10"/>
      <c r="GPQ55" s="10"/>
      <c r="GPR55" s="10"/>
      <c r="GPS55" s="10"/>
      <c r="GPT55" s="10"/>
      <c r="GPU55" s="10"/>
      <c r="GPV55" s="10"/>
      <c r="GPW55" s="10"/>
      <c r="GPX55" s="10"/>
      <c r="GPY55" s="10"/>
      <c r="GPZ55" s="10"/>
      <c r="GQA55" s="10"/>
      <c r="GQB55" s="10"/>
      <c r="GQC55" s="10"/>
      <c r="GQD55" s="10"/>
      <c r="GQE55" s="10"/>
      <c r="GQF55" s="10"/>
      <c r="GQG55" s="10"/>
      <c r="GQH55" s="10"/>
      <c r="GQI55" s="10"/>
      <c r="GQJ55" s="10"/>
      <c r="GQK55" s="10"/>
      <c r="GQL55" s="10"/>
      <c r="GQM55" s="10"/>
      <c r="GQN55" s="10"/>
      <c r="GQO55" s="10"/>
      <c r="GQP55" s="10"/>
      <c r="GQQ55" s="10"/>
      <c r="GQR55" s="10"/>
      <c r="GQS55" s="10"/>
      <c r="GQT55" s="10"/>
      <c r="GQU55" s="10"/>
      <c r="GQV55" s="10"/>
      <c r="GQW55" s="10"/>
      <c r="GQX55" s="10"/>
      <c r="GQY55" s="10"/>
      <c r="GQZ55" s="10"/>
      <c r="GRA55" s="10"/>
      <c r="GRB55" s="10"/>
      <c r="GRC55" s="10"/>
      <c r="GRD55" s="10"/>
      <c r="GRE55" s="10"/>
      <c r="GRF55" s="10"/>
      <c r="GRG55" s="10"/>
      <c r="GRH55" s="10"/>
      <c r="GRI55" s="10"/>
      <c r="GRJ55" s="10"/>
      <c r="GRK55" s="10"/>
      <c r="GRL55" s="10"/>
      <c r="GRM55" s="10"/>
      <c r="GRN55" s="10"/>
      <c r="GRO55" s="10"/>
      <c r="GRP55" s="10"/>
      <c r="GRQ55" s="10"/>
      <c r="GRR55" s="10"/>
      <c r="GRS55" s="10"/>
      <c r="GRT55" s="10"/>
      <c r="GRU55" s="10"/>
      <c r="GRV55" s="10"/>
      <c r="GRW55" s="10"/>
      <c r="GRX55" s="10"/>
      <c r="GRY55" s="10"/>
      <c r="GRZ55" s="10"/>
      <c r="GSA55" s="10"/>
      <c r="GSB55" s="10"/>
      <c r="GSC55" s="10"/>
      <c r="GSD55" s="10"/>
      <c r="GSE55" s="10"/>
      <c r="GSF55" s="10"/>
      <c r="GSG55" s="10"/>
      <c r="GSH55" s="10"/>
      <c r="GSI55" s="10"/>
      <c r="GSJ55" s="10"/>
      <c r="GSK55" s="10"/>
      <c r="GSL55" s="10"/>
      <c r="GSM55" s="10"/>
      <c r="GSN55" s="10"/>
      <c r="GSO55" s="10"/>
      <c r="GSP55" s="10"/>
      <c r="GSQ55" s="10"/>
      <c r="GSR55" s="10"/>
      <c r="GSS55" s="10"/>
      <c r="GST55" s="10"/>
      <c r="GSU55" s="10"/>
      <c r="GSV55" s="10"/>
      <c r="GSW55" s="10"/>
      <c r="GSX55" s="10"/>
      <c r="GSY55" s="10"/>
      <c r="GSZ55" s="10"/>
      <c r="GTA55" s="10"/>
      <c r="GTB55" s="10"/>
      <c r="GTC55" s="10"/>
      <c r="GTD55" s="10"/>
      <c r="GTE55" s="10"/>
      <c r="GTF55" s="10"/>
      <c r="GTG55" s="10"/>
      <c r="GTH55" s="10"/>
      <c r="GTI55" s="10"/>
      <c r="GTJ55" s="10"/>
      <c r="GTK55" s="10"/>
      <c r="GTL55" s="10"/>
      <c r="GTM55" s="10"/>
      <c r="GTN55" s="10"/>
      <c r="GTO55" s="10"/>
      <c r="GTP55" s="10"/>
      <c r="GTQ55" s="10"/>
      <c r="GTR55" s="10"/>
      <c r="GTS55" s="10"/>
      <c r="GTT55" s="10"/>
      <c r="GTU55" s="10"/>
      <c r="GTV55" s="10"/>
      <c r="GTW55" s="10"/>
      <c r="GTX55" s="10"/>
      <c r="GTY55" s="10"/>
      <c r="GTZ55" s="10"/>
      <c r="GUA55" s="10"/>
      <c r="GUB55" s="10"/>
      <c r="GUC55" s="10"/>
      <c r="GUD55" s="10"/>
      <c r="GUE55" s="10"/>
      <c r="GUF55" s="10"/>
      <c r="GUG55" s="10"/>
      <c r="GUH55" s="10"/>
      <c r="GUI55" s="10"/>
      <c r="GUJ55" s="10"/>
      <c r="GUK55" s="10"/>
      <c r="GUL55" s="10"/>
      <c r="GUM55" s="10"/>
      <c r="GUN55" s="10"/>
      <c r="GUO55" s="10"/>
      <c r="GUP55" s="10"/>
      <c r="GUQ55" s="10"/>
      <c r="GUR55" s="10"/>
      <c r="GUS55" s="10"/>
      <c r="GUT55" s="10"/>
      <c r="GUU55" s="10"/>
      <c r="GUV55" s="10"/>
      <c r="GUW55" s="10"/>
      <c r="GUX55" s="10"/>
      <c r="GUY55" s="10"/>
      <c r="GUZ55" s="10"/>
      <c r="GVA55" s="10"/>
      <c r="GVB55" s="10"/>
      <c r="GVC55" s="10"/>
      <c r="GVD55" s="10"/>
      <c r="GVE55" s="10"/>
      <c r="GVF55" s="10"/>
      <c r="GVG55" s="10"/>
      <c r="GVH55" s="10"/>
      <c r="GVI55" s="10"/>
      <c r="GVJ55" s="10"/>
      <c r="GVK55" s="10"/>
      <c r="GVL55" s="10"/>
      <c r="GVM55" s="10"/>
      <c r="GVN55" s="10"/>
      <c r="GVO55" s="10"/>
      <c r="GVP55" s="10"/>
      <c r="GVQ55" s="10"/>
      <c r="GVR55" s="10"/>
      <c r="GVS55" s="10"/>
      <c r="GVT55" s="10"/>
      <c r="GVU55" s="10"/>
      <c r="GVV55" s="10"/>
      <c r="GVW55" s="10"/>
      <c r="GVX55" s="10"/>
      <c r="GVY55" s="10"/>
      <c r="GVZ55" s="10"/>
      <c r="GWA55" s="10"/>
      <c r="GWB55" s="10"/>
      <c r="GWC55" s="10"/>
      <c r="GWD55" s="10"/>
      <c r="GWE55" s="10"/>
      <c r="GWF55" s="10"/>
      <c r="GWG55" s="10"/>
      <c r="GWH55" s="10"/>
      <c r="GWI55" s="10"/>
      <c r="GWJ55" s="10"/>
      <c r="GWK55" s="10"/>
      <c r="GWL55" s="10"/>
      <c r="GWM55" s="10"/>
      <c r="GWN55" s="10"/>
      <c r="GWO55" s="10"/>
      <c r="GWP55" s="10"/>
      <c r="GWQ55" s="10"/>
      <c r="GWR55" s="10"/>
      <c r="GWS55" s="10"/>
      <c r="GWT55" s="10"/>
      <c r="GWU55" s="10"/>
      <c r="GWV55" s="10"/>
      <c r="GWW55" s="10"/>
      <c r="GWX55" s="10"/>
      <c r="GWY55" s="10"/>
      <c r="GWZ55" s="10"/>
      <c r="GXA55" s="10"/>
      <c r="GXB55" s="10"/>
      <c r="GXC55" s="10"/>
      <c r="GXD55" s="10"/>
      <c r="GXE55" s="10"/>
      <c r="GXF55" s="10"/>
      <c r="GXG55" s="10"/>
      <c r="GXH55" s="10"/>
      <c r="GXI55" s="10"/>
      <c r="GXJ55" s="10"/>
      <c r="GXK55" s="10"/>
      <c r="GXL55" s="10"/>
      <c r="GXM55" s="10"/>
      <c r="GXN55" s="10"/>
      <c r="GXO55" s="10"/>
      <c r="GXP55" s="10"/>
      <c r="GXQ55" s="10"/>
      <c r="GXR55" s="10"/>
      <c r="GXS55" s="10"/>
      <c r="GXT55" s="10"/>
      <c r="GXU55" s="10"/>
      <c r="GXV55" s="10"/>
      <c r="GXW55" s="10"/>
      <c r="GXX55" s="10"/>
      <c r="GXY55" s="10"/>
      <c r="GXZ55" s="10"/>
      <c r="GYA55" s="10"/>
      <c r="GYB55" s="10"/>
      <c r="GYC55" s="10"/>
      <c r="GYD55" s="10"/>
      <c r="GYE55" s="10"/>
      <c r="GYF55" s="10"/>
      <c r="GYG55" s="10"/>
      <c r="GYH55" s="10"/>
      <c r="GYI55" s="10"/>
      <c r="GYJ55" s="10"/>
      <c r="GYK55" s="10"/>
      <c r="GYL55" s="10"/>
      <c r="GYM55" s="10"/>
      <c r="GYN55" s="10"/>
      <c r="GYO55" s="10"/>
      <c r="GYP55" s="10"/>
      <c r="GYQ55" s="10"/>
      <c r="GYR55" s="10"/>
      <c r="GYS55" s="10"/>
      <c r="GYT55" s="10"/>
      <c r="GYU55" s="10"/>
      <c r="GYV55" s="10"/>
      <c r="GYW55" s="10"/>
      <c r="GYX55" s="10"/>
      <c r="GYY55" s="10"/>
      <c r="GYZ55" s="10"/>
      <c r="GZA55" s="10"/>
      <c r="GZB55" s="10"/>
      <c r="GZC55" s="10"/>
      <c r="GZD55" s="10"/>
      <c r="GZE55" s="10"/>
      <c r="GZF55" s="10"/>
      <c r="GZG55" s="10"/>
      <c r="GZH55" s="10"/>
      <c r="GZI55" s="10"/>
      <c r="GZJ55" s="10"/>
      <c r="GZK55" s="10"/>
      <c r="GZL55" s="10"/>
      <c r="GZM55" s="10"/>
      <c r="GZN55" s="10"/>
      <c r="GZO55" s="10"/>
      <c r="GZP55" s="10"/>
      <c r="GZQ55" s="10"/>
      <c r="GZR55" s="10"/>
      <c r="GZS55" s="10"/>
      <c r="GZT55" s="10"/>
      <c r="GZU55" s="10"/>
      <c r="GZV55" s="10"/>
      <c r="GZW55" s="10"/>
      <c r="GZX55" s="10"/>
      <c r="GZY55" s="10"/>
      <c r="GZZ55" s="10"/>
      <c r="HAA55" s="10"/>
      <c r="HAB55" s="10"/>
      <c r="HAC55" s="10"/>
      <c r="HAD55" s="10"/>
      <c r="HAE55" s="10"/>
      <c r="HAF55" s="10"/>
      <c r="HAG55" s="10"/>
      <c r="HAH55" s="10"/>
      <c r="HAI55" s="10"/>
      <c r="HAJ55" s="10"/>
      <c r="HAK55" s="10"/>
      <c r="HAL55" s="10"/>
      <c r="HAM55" s="10"/>
      <c r="HAN55" s="10"/>
      <c r="HAO55" s="10"/>
      <c r="HAP55" s="10"/>
      <c r="HAQ55" s="10"/>
      <c r="HAR55" s="10"/>
      <c r="HAS55" s="10"/>
      <c r="HAT55" s="10"/>
      <c r="HAU55" s="10"/>
      <c r="HAV55" s="10"/>
      <c r="HAW55" s="10"/>
      <c r="HAX55" s="10"/>
      <c r="HAY55" s="10"/>
      <c r="HAZ55" s="10"/>
      <c r="HBA55" s="10"/>
      <c r="HBB55" s="10"/>
      <c r="HBC55" s="10"/>
      <c r="HBD55" s="10"/>
      <c r="HBE55" s="10"/>
      <c r="HBF55" s="10"/>
      <c r="HBG55" s="10"/>
      <c r="HBH55" s="10"/>
      <c r="HBI55" s="10"/>
      <c r="HBJ55" s="10"/>
      <c r="HBK55" s="10"/>
      <c r="HBL55" s="10"/>
      <c r="HBM55" s="10"/>
      <c r="HBN55" s="10"/>
      <c r="HBO55" s="10"/>
      <c r="HBP55" s="10"/>
      <c r="HBQ55" s="10"/>
      <c r="HBR55" s="10"/>
      <c r="HBS55" s="10"/>
      <c r="HBT55" s="10"/>
      <c r="HBU55" s="10"/>
      <c r="HBV55" s="10"/>
      <c r="HBW55" s="10"/>
      <c r="HBX55" s="10"/>
      <c r="HBY55" s="10"/>
      <c r="HBZ55" s="10"/>
      <c r="HCA55" s="10"/>
      <c r="HCB55" s="10"/>
      <c r="HCC55" s="10"/>
      <c r="HCD55" s="10"/>
      <c r="HCE55" s="10"/>
      <c r="HCF55" s="10"/>
      <c r="HCG55" s="10"/>
      <c r="HCH55" s="10"/>
      <c r="HCI55" s="10"/>
      <c r="HCJ55" s="10"/>
      <c r="HCK55" s="10"/>
      <c r="HCL55" s="10"/>
      <c r="HCM55" s="10"/>
      <c r="HCN55" s="10"/>
      <c r="HCO55" s="10"/>
      <c r="HCP55" s="10"/>
      <c r="HCQ55" s="10"/>
      <c r="HCR55" s="10"/>
      <c r="HCS55" s="10"/>
      <c r="HCT55" s="10"/>
      <c r="HCU55" s="10"/>
      <c r="HCV55" s="10"/>
      <c r="HCW55" s="10"/>
      <c r="HCX55" s="10"/>
      <c r="HCY55" s="10"/>
      <c r="HCZ55" s="10"/>
      <c r="HDA55" s="10"/>
      <c r="HDB55" s="10"/>
      <c r="HDC55" s="10"/>
      <c r="HDD55" s="10"/>
      <c r="HDE55" s="10"/>
      <c r="HDF55" s="10"/>
      <c r="HDG55" s="10"/>
      <c r="HDH55" s="10"/>
      <c r="HDI55" s="10"/>
      <c r="HDJ55" s="10"/>
      <c r="HDK55" s="10"/>
      <c r="HDL55" s="10"/>
      <c r="HDM55" s="10"/>
      <c r="HDN55" s="10"/>
      <c r="HDO55" s="10"/>
      <c r="HDP55" s="10"/>
      <c r="HDQ55" s="10"/>
      <c r="HDR55" s="10"/>
      <c r="HDS55" s="10"/>
      <c r="HDT55" s="10"/>
      <c r="HDU55" s="10"/>
      <c r="HDV55" s="10"/>
      <c r="HDW55" s="10"/>
      <c r="HDX55" s="10"/>
      <c r="HDY55" s="10"/>
      <c r="HDZ55" s="10"/>
      <c r="HEA55" s="10"/>
      <c r="HEB55" s="10"/>
      <c r="HEC55" s="10"/>
      <c r="HED55" s="10"/>
      <c r="HEE55" s="10"/>
      <c r="HEF55" s="10"/>
      <c r="HEG55" s="10"/>
      <c r="HEH55" s="10"/>
      <c r="HEI55" s="10"/>
      <c r="HEJ55" s="10"/>
      <c r="HEK55" s="10"/>
      <c r="HEL55" s="10"/>
      <c r="HEM55" s="10"/>
      <c r="HEN55" s="10"/>
      <c r="HEO55" s="10"/>
      <c r="HEP55" s="10"/>
      <c r="HEQ55" s="10"/>
      <c r="HER55" s="10"/>
      <c r="HES55" s="10"/>
      <c r="HET55" s="10"/>
      <c r="HEU55" s="10"/>
      <c r="HEV55" s="10"/>
      <c r="HEW55" s="10"/>
      <c r="HEX55" s="10"/>
      <c r="HEY55" s="10"/>
      <c r="HEZ55" s="10"/>
      <c r="HFA55" s="10"/>
      <c r="HFB55" s="10"/>
      <c r="HFC55" s="10"/>
      <c r="HFD55" s="10"/>
      <c r="HFE55" s="10"/>
      <c r="HFF55" s="10"/>
      <c r="HFG55" s="10"/>
      <c r="HFH55" s="10"/>
      <c r="HFI55" s="10"/>
      <c r="HFJ55" s="10"/>
      <c r="HFK55" s="10"/>
      <c r="HFL55" s="10"/>
      <c r="HFM55" s="10"/>
      <c r="HFN55" s="10"/>
      <c r="HFO55" s="10"/>
      <c r="HFP55" s="10"/>
      <c r="HFQ55" s="10"/>
      <c r="HFR55" s="10"/>
      <c r="HFS55" s="10"/>
      <c r="HFT55" s="10"/>
      <c r="HFU55" s="10"/>
      <c r="HFV55" s="10"/>
      <c r="HFW55" s="10"/>
      <c r="HFX55" s="10"/>
      <c r="HFY55" s="10"/>
      <c r="HFZ55" s="10"/>
      <c r="HGA55" s="10"/>
      <c r="HGB55" s="10"/>
      <c r="HGC55" s="10"/>
      <c r="HGD55" s="10"/>
      <c r="HGE55" s="10"/>
      <c r="HGF55" s="10"/>
      <c r="HGG55" s="10"/>
      <c r="HGH55" s="10"/>
      <c r="HGI55" s="10"/>
      <c r="HGJ55" s="10"/>
      <c r="HGK55" s="10"/>
      <c r="HGL55" s="10"/>
      <c r="HGM55" s="10"/>
      <c r="HGN55" s="10"/>
      <c r="HGO55" s="10"/>
      <c r="HGP55" s="10"/>
      <c r="HGQ55" s="10"/>
      <c r="HGR55" s="10"/>
      <c r="HGS55" s="10"/>
      <c r="HGT55" s="10"/>
      <c r="HGU55" s="10"/>
      <c r="HGV55" s="10"/>
      <c r="HGW55" s="10"/>
      <c r="HGX55" s="10"/>
      <c r="HGY55" s="10"/>
      <c r="HGZ55" s="10"/>
      <c r="HHA55" s="10"/>
      <c r="HHB55" s="10"/>
      <c r="HHC55" s="10"/>
      <c r="HHD55" s="10"/>
      <c r="HHE55" s="10"/>
      <c r="HHF55" s="10"/>
      <c r="HHG55" s="10"/>
      <c r="HHH55" s="10"/>
      <c r="HHI55" s="10"/>
      <c r="HHJ55" s="10"/>
      <c r="HHK55" s="10"/>
      <c r="HHL55" s="10"/>
      <c r="HHM55" s="10"/>
      <c r="HHN55" s="10"/>
      <c r="HHO55" s="10"/>
      <c r="HHP55" s="10"/>
      <c r="HHQ55" s="10"/>
      <c r="HHR55" s="10"/>
      <c r="HHS55" s="10"/>
      <c r="HHT55" s="10"/>
      <c r="HHU55" s="10"/>
      <c r="HHV55" s="10"/>
      <c r="HHW55" s="10"/>
      <c r="HHX55" s="10"/>
      <c r="HHY55" s="10"/>
      <c r="HHZ55" s="10"/>
      <c r="HIA55" s="10"/>
      <c r="HIB55" s="10"/>
      <c r="HIC55" s="10"/>
      <c r="HID55" s="10"/>
      <c r="HIE55" s="10"/>
      <c r="HIF55" s="10"/>
      <c r="HIG55" s="10"/>
      <c r="HIH55" s="10"/>
      <c r="HII55" s="10"/>
      <c r="HIJ55" s="10"/>
      <c r="HIK55" s="10"/>
      <c r="HIL55" s="10"/>
      <c r="HIM55" s="10"/>
      <c r="HIN55" s="10"/>
      <c r="HIO55" s="10"/>
      <c r="HIP55" s="10"/>
      <c r="HIQ55" s="10"/>
      <c r="HIR55" s="10"/>
      <c r="HIS55" s="10"/>
      <c r="HIT55" s="10"/>
      <c r="HIU55" s="10"/>
      <c r="HIV55" s="10"/>
      <c r="HIW55" s="10"/>
      <c r="HIX55" s="10"/>
      <c r="HIY55" s="10"/>
      <c r="HIZ55" s="10"/>
      <c r="HJA55" s="10"/>
      <c r="HJB55" s="10"/>
      <c r="HJC55" s="10"/>
      <c r="HJD55" s="10"/>
      <c r="HJE55" s="10"/>
      <c r="HJF55" s="10"/>
      <c r="HJG55" s="10"/>
      <c r="HJH55" s="10"/>
      <c r="HJI55" s="10"/>
      <c r="HJJ55" s="10"/>
      <c r="HJK55" s="10"/>
      <c r="HJL55" s="10"/>
      <c r="HJM55" s="10"/>
      <c r="HJN55" s="10"/>
      <c r="HJO55" s="10"/>
      <c r="HJP55" s="10"/>
      <c r="HJQ55" s="10"/>
      <c r="HJR55" s="10"/>
      <c r="HJS55" s="10"/>
      <c r="HJT55" s="10"/>
      <c r="HJU55" s="10"/>
      <c r="HJV55" s="10"/>
      <c r="HJW55" s="10"/>
      <c r="HJX55" s="10"/>
      <c r="HJY55" s="10"/>
      <c r="HJZ55" s="10"/>
      <c r="HKA55" s="10"/>
      <c r="HKB55" s="10"/>
      <c r="HKC55" s="10"/>
      <c r="HKD55" s="10"/>
      <c r="HKE55" s="10"/>
      <c r="HKF55" s="10"/>
      <c r="HKG55" s="10"/>
      <c r="HKH55" s="10"/>
      <c r="HKI55" s="10"/>
      <c r="HKJ55" s="10"/>
      <c r="HKK55" s="10"/>
      <c r="HKL55" s="10"/>
      <c r="HKM55" s="10"/>
      <c r="HKN55" s="10"/>
      <c r="HKO55" s="10"/>
      <c r="HKP55" s="10"/>
      <c r="HKQ55" s="10"/>
      <c r="HKR55" s="10"/>
      <c r="HKS55" s="10"/>
      <c r="HKT55" s="10"/>
      <c r="HKU55" s="10"/>
      <c r="HKV55" s="10"/>
      <c r="HKW55" s="10"/>
      <c r="HKX55" s="10"/>
      <c r="HKY55" s="10"/>
      <c r="HKZ55" s="10"/>
      <c r="HLA55" s="10"/>
      <c r="HLB55" s="10"/>
      <c r="HLC55" s="10"/>
      <c r="HLD55" s="10"/>
      <c r="HLE55" s="10"/>
      <c r="HLF55" s="10"/>
      <c r="HLG55" s="10"/>
      <c r="HLH55" s="10"/>
      <c r="HLI55" s="10"/>
      <c r="HLJ55" s="10"/>
      <c r="HLK55" s="10"/>
      <c r="HLL55" s="10"/>
      <c r="HLM55" s="10"/>
      <c r="HLN55" s="10"/>
      <c r="HLO55" s="10"/>
      <c r="HLP55" s="10"/>
      <c r="HLQ55" s="10"/>
      <c r="HLR55" s="10"/>
      <c r="HLS55" s="10"/>
      <c r="HLT55" s="10"/>
      <c r="HLU55" s="10"/>
      <c r="HLV55" s="10"/>
      <c r="HLW55" s="10"/>
      <c r="HLX55" s="10"/>
      <c r="HLY55" s="10"/>
      <c r="HLZ55" s="10"/>
      <c r="HMA55" s="10"/>
      <c r="HMB55" s="10"/>
      <c r="HMC55" s="10"/>
      <c r="HMD55" s="10"/>
      <c r="HME55" s="10"/>
      <c r="HMF55" s="10"/>
      <c r="HMG55" s="10"/>
      <c r="HMH55" s="10"/>
      <c r="HMI55" s="10"/>
      <c r="HMJ55" s="10"/>
      <c r="HMK55" s="10"/>
      <c r="HML55" s="10"/>
      <c r="HMM55" s="10"/>
      <c r="HMN55" s="10"/>
      <c r="HMO55" s="10"/>
      <c r="HMP55" s="10"/>
      <c r="HMQ55" s="10"/>
      <c r="HMR55" s="10"/>
      <c r="HMS55" s="10"/>
      <c r="HMT55" s="10"/>
      <c r="HMU55" s="10"/>
      <c r="HMV55" s="10"/>
      <c r="HMW55" s="10"/>
      <c r="HMX55" s="10"/>
      <c r="HMY55" s="10"/>
      <c r="HMZ55" s="10"/>
      <c r="HNA55" s="10"/>
      <c r="HNB55" s="10"/>
      <c r="HNC55" s="10"/>
      <c r="HND55" s="10"/>
      <c r="HNE55" s="10"/>
      <c r="HNF55" s="10"/>
      <c r="HNG55" s="10"/>
      <c r="HNH55" s="10"/>
      <c r="HNI55" s="10"/>
      <c r="HNJ55" s="10"/>
      <c r="HNK55" s="10"/>
      <c r="HNL55" s="10"/>
      <c r="HNM55" s="10"/>
      <c r="HNN55" s="10"/>
      <c r="HNO55" s="10"/>
      <c r="HNP55" s="10"/>
      <c r="HNQ55" s="10"/>
      <c r="HNR55" s="10"/>
      <c r="HNS55" s="10"/>
      <c r="HNT55" s="10"/>
      <c r="HNU55" s="10"/>
      <c r="HNV55" s="10"/>
      <c r="HNW55" s="10"/>
      <c r="HNX55" s="10"/>
      <c r="HNY55" s="10"/>
      <c r="HNZ55" s="10"/>
      <c r="HOA55" s="10"/>
      <c r="HOB55" s="10"/>
      <c r="HOC55" s="10"/>
      <c r="HOD55" s="10"/>
      <c r="HOE55" s="10"/>
      <c r="HOF55" s="10"/>
      <c r="HOG55" s="10"/>
      <c r="HOH55" s="10"/>
      <c r="HOI55" s="10"/>
      <c r="HOJ55" s="10"/>
      <c r="HOK55" s="10"/>
      <c r="HOL55" s="10"/>
      <c r="HOM55" s="10"/>
      <c r="HON55" s="10"/>
      <c r="HOO55" s="10"/>
      <c r="HOP55" s="10"/>
      <c r="HOQ55" s="10"/>
      <c r="HOR55" s="10"/>
      <c r="HOS55" s="10"/>
      <c r="HOT55" s="10"/>
      <c r="HOU55" s="10"/>
      <c r="HOV55" s="10"/>
      <c r="HOW55" s="10"/>
      <c r="HOX55" s="10"/>
      <c r="HOY55" s="10"/>
      <c r="HOZ55" s="10"/>
      <c r="HPA55" s="10"/>
      <c r="HPB55" s="10"/>
      <c r="HPC55" s="10"/>
      <c r="HPD55" s="10"/>
      <c r="HPE55" s="10"/>
      <c r="HPF55" s="10"/>
      <c r="HPG55" s="10"/>
      <c r="HPH55" s="10"/>
      <c r="HPI55" s="10"/>
      <c r="HPJ55" s="10"/>
      <c r="HPK55" s="10"/>
      <c r="HPL55" s="10"/>
      <c r="HPM55" s="10"/>
      <c r="HPN55" s="10"/>
      <c r="HPO55" s="10"/>
      <c r="HPP55" s="10"/>
      <c r="HPQ55" s="10"/>
      <c r="HPR55" s="10"/>
      <c r="HPS55" s="10"/>
      <c r="HPT55" s="10"/>
      <c r="HPU55" s="10"/>
      <c r="HPV55" s="10"/>
      <c r="HPW55" s="10"/>
      <c r="HPX55" s="10"/>
      <c r="HPY55" s="10"/>
      <c r="HPZ55" s="10"/>
      <c r="HQA55" s="10"/>
      <c r="HQB55" s="10"/>
      <c r="HQC55" s="10"/>
      <c r="HQD55" s="10"/>
      <c r="HQE55" s="10"/>
      <c r="HQF55" s="10"/>
      <c r="HQG55" s="10"/>
      <c r="HQH55" s="10"/>
      <c r="HQI55" s="10"/>
      <c r="HQJ55" s="10"/>
      <c r="HQK55" s="10"/>
      <c r="HQL55" s="10"/>
      <c r="HQM55" s="10"/>
      <c r="HQN55" s="10"/>
      <c r="HQO55" s="10"/>
      <c r="HQP55" s="10"/>
      <c r="HQQ55" s="10"/>
      <c r="HQR55" s="10"/>
      <c r="HQS55" s="10"/>
      <c r="HQT55" s="10"/>
      <c r="HQU55" s="10"/>
      <c r="HQV55" s="10"/>
      <c r="HQW55" s="10"/>
      <c r="HQX55" s="10"/>
      <c r="HQY55" s="10"/>
      <c r="HQZ55" s="10"/>
      <c r="HRA55" s="10"/>
      <c r="HRB55" s="10"/>
      <c r="HRC55" s="10"/>
      <c r="HRD55" s="10"/>
      <c r="HRE55" s="10"/>
      <c r="HRF55" s="10"/>
      <c r="HRG55" s="10"/>
      <c r="HRH55" s="10"/>
      <c r="HRI55" s="10"/>
      <c r="HRJ55" s="10"/>
      <c r="HRK55" s="10"/>
      <c r="HRL55" s="10"/>
      <c r="HRM55" s="10"/>
      <c r="HRN55" s="10"/>
      <c r="HRO55" s="10"/>
      <c r="HRP55" s="10"/>
      <c r="HRQ55" s="10"/>
      <c r="HRR55" s="10"/>
      <c r="HRS55" s="10"/>
      <c r="HRT55" s="10"/>
      <c r="HRU55" s="10"/>
      <c r="HRV55" s="10"/>
      <c r="HRW55" s="10"/>
      <c r="HRX55" s="10"/>
      <c r="HRY55" s="10"/>
      <c r="HRZ55" s="10"/>
      <c r="HSA55" s="10"/>
      <c r="HSB55" s="10"/>
      <c r="HSC55" s="10"/>
      <c r="HSD55" s="10"/>
      <c r="HSE55" s="10"/>
      <c r="HSF55" s="10"/>
      <c r="HSG55" s="10"/>
      <c r="HSH55" s="10"/>
      <c r="HSI55" s="10"/>
      <c r="HSJ55" s="10"/>
      <c r="HSK55" s="10"/>
      <c r="HSL55" s="10"/>
      <c r="HSM55" s="10"/>
      <c r="HSN55" s="10"/>
      <c r="HSO55" s="10"/>
      <c r="HSP55" s="10"/>
      <c r="HSQ55" s="10"/>
      <c r="HSR55" s="10"/>
      <c r="HSS55" s="10"/>
      <c r="HST55" s="10"/>
      <c r="HSU55" s="10"/>
      <c r="HSV55" s="10"/>
      <c r="HSW55" s="10"/>
      <c r="HSX55" s="10"/>
      <c r="HSY55" s="10"/>
      <c r="HSZ55" s="10"/>
      <c r="HTA55" s="10"/>
      <c r="HTB55" s="10"/>
      <c r="HTC55" s="10"/>
      <c r="HTD55" s="10"/>
      <c r="HTE55" s="10"/>
      <c r="HTF55" s="10"/>
      <c r="HTG55" s="10"/>
      <c r="HTH55" s="10"/>
      <c r="HTI55" s="10"/>
      <c r="HTJ55" s="10"/>
      <c r="HTK55" s="10"/>
      <c r="HTL55" s="10"/>
      <c r="HTM55" s="10"/>
      <c r="HTN55" s="10"/>
      <c r="HTO55" s="10"/>
      <c r="HTP55" s="10"/>
      <c r="HTQ55" s="10"/>
      <c r="HTR55" s="10"/>
      <c r="HTS55" s="10"/>
      <c r="HTT55" s="10"/>
      <c r="HTU55" s="10"/>
      <c r="HTV55" s="10"/>
      <c r="HTW55" s="10"/>
      <c r="HTX55" s="10"/>
      <c r="HTY55" s="10"/>
      <c r="HTZ55" s="10"/>
      <c r="HUA55" s="10"/>
      <c r="HUB55" s="10"/>
      <c r="HUC55" s="10"/>
      <c r="HUD55" s="10"/>
      <c r="HUE55" s="10"/>
      <c r="HUF55" s="10"/>
      <c r="HUG55" s="10"/>
      <c r="HUH55" s="10"/>
      <c r="HUI55" s="10"/>
      <c r="HUJ55" s="10"/>
      <c r="HUK55" s="10"/>
      <c r="HUL55" s="10"/>
      <c r="HUM55" s="10"/>
      <c r="HUN55" s="10"/>
      <c r="HUO55" s="10"/>
      <c r="HUP55" s="10"/>
      <c r="HUQ55" s="10"/>
      <c r="HUR55" s="10"/>
      <c r="HUS55" s="10"/>
      <c r="HUT55" s="10"/>
      <c r="HUU55" s="10"/>
      <c r="HUV55" s="10"/>
      <c r="HUW55" s="10"/>
      <c r="HUX55" s="10"/>
      <c r="HUY55" s="10"/>
      <c r="HUZ55" s="10"/>
      <c r="HVA55" s="10"/>
      <c r="HVB55" s="10"/>
      <c r="HVC55" s="10"/>
      <c r="HVD55" s="10"/>
      <c r="HVE55" s="10"/>
      <c r="HVF55" s="10"/>
      <c r="HVG55" s="10"/>
      <c r="HVH55" s="10"/>
      <c r="HVI55" s="10"/>
      <c r="HVJ55" s="10"/>
      <c r="HVK55" s="10"/>
      <c r="HVL55" s="10"/>
      <c r="HVM55" s="10"/>
      <c r="HVN55" s="10"/>
      <c r="HVO55" s="10"/>
      <c r="HVP55" s="10"/>
      <c r="HVQ55" s="10"/>
      <c r="HVR55" s="10"/>
      <c r="HVS55" s="10"/>
      <c r="HVT55" s="10"/>
      <c r="HVU55" s="10"/>
      <c r="HVV55" s="10"/>
      <c r="HVW55" s="10"/>
      <c r="HVX55" s="10"/>
      <c r="HVY55" s="10"/>
      <c r="HVZ55" s="10"/>
      <c r="HWA55" s="10"/>
      <c r="HWB55" s="10"/>
      <c r="HWC55" s="10"/>
      <c r="HWD55" s="10"/>
      <c r="HWE55" s="10"/>
      <c r="HWF55" s="10"/>
      <c r="HWG55" s="10"/>
      <c r="HWH55" s="10"/>
      <c r="HWI55" s="10"/>
      <c r="HWJ55" s="10"/>
      <c r="HWK55" s="10"/>
      <c r="HWL55" s="10"/>
      <c r="HWM55" s="10"/>
      <c r="HWN55" s="10"/>
      <c r="HWO55" s="10"/>
      <c r="HWP55" s="10"/>
      <c r="HWQ55" s="10"/>
      <c r="HWR55" s="10"/>
      <c r="HWS55" s="10"/>
      <c r="HWT55" s="10"/>
      <c r="HWU55" s="10"/>
      <c r="HWV55" s="10"/>
      <c r="HWW55" s="10"/>
      <c r="HWX55" s="10"/>
      <c r="HWY55" s="10"/>
      <c r="HWZ55" s="10"/>
      <c r="HXA55" s="10"/>
      <c r="HXB55" s="10"/>
      <c r="HXC55" s="10"/>
      <c r="HXD55" s="10"/>
      <c r="HXE55" s="10"/>
      <c r="HXF55" s="10"/>
      <c r="HXG55" s="10"/>
      <c r="HXH55" s="10"/>
      <c r="HXI55" s="10"/>
      <c r="HXJ55" s="10"/>
      <c r="HXK55" s="10"/>
      <c r="HXL55" s="10"/>
      <c r="HXM55" s="10"/>
      <c r="HXN55" s="10"/>
      <c r="HXO55" s="10"/>
      <c r="HXP55" s="10"/>
      <c r="HXQ55" s="10"/>
      <c r="HXR55" s="10"/>
      <c r="HXS55" s="10"/>
      <c r="HXT55" s="10"/>
      <c r="HXU55" s="10"/>
      <c r="HXV55" s="10"/>
      <c r="HXW55" s="10"/>
      <c r="HXX55" s="10"/>
      <c r="HXY55" s="10"/>
      <c r="HXZ55" s="10"/>
      <c r="HYA55" s="10"/>
      <c r="HYB55" s="10"/>
      <c r="HYC55" s="10"/>
      <c r="HYD55" s="10"/>
      <c r="HYE55" s="10"/>
      <c r="HYF55" s="10"/>
      <c r="HYG55" s="10"/>
      <c r="HYH55" s="10"/>
      <c r="HYI55" s="10"/>
      <c r="HYJ55" s="10"/>
      <c r="HYK55" s="10"/>
      <c r="HYL55" s="10"/>
      <c r="HYM55" s="10"/>
      <c r="HYN55" s="10"/>
      <c r="HYO55" s="10"/>
      <c r="HYP55" s="10"/>
      <c r="HYQ55" s="10"/>
      <c r="HYR55" s="10"/>
      <c r="HYS55" s="10"/>
      <c r="HYT55" s="10"/>
      <c r="HYU55" s="10"/>
      <c r="HYV55" s="10"/>
      <c r="HYW55" s="10"/>
      <c r="HYX55" s="10"/>
      <c r="HYY55" s="10"/>
      <c r="HYZ55" s="10"/>
      <c r="HZA55" s="10"/>
      <c r="HZB55" s="10"/>
      <c r="HZC55" s="10"/>
      <c r="HZD55" s="10"/>
      <c r="HZE55" s="10"/>
      <c r="HZF55" s="10"/>
      <c r="HZG55" s="10"/>
      <c r="HZH55" s="10"/>
      <c r="HZI55" s="10"/>
      <c r="HZJ55" s="10"/>
      <c r="HZK55" s="10"/>
      <c r="HZL55" s="10"/>
      <c r="HZM55" s="10"/>
      <c r="HZN55" s="10"/>
      <c r="HZO55" s="10"/>
      <c r="HZP55" s="10"/>
      <c r="HZQ55" s="10"/>
      <c r="HZR55" s="10"/>
      <c r="HZS55" s="10"/>
      <c r="HZT55" s="10"/>
      <c r="HZU55" s="10"/>
      <c r="HZV55" s="10"/>
      <c r="HZW55" s="10"/>
      <c r="HZX55" s="10"/>
      <c r="HZY55" s="10"/>
      <c r="HZZ55" s="10"/>
      <c r="IAA55" s="10"/>
      <c r="IAB55" s="10"/>
      <c r="IAC55" s="10"/>
      <c r="IAD55" s="10"/>
      <c r="IAE55" s="10"/>
      <c r="IAF55" s="10"/>
      <c r="IAG55" s="10"/>
      <c r="IAH55" s="10"/>
      <c r="IAI55" s="10"/>
      <c r="IAJ55" s="10"/>
      <c r="IAK55" s="10"/>
      <c r="IAL55" s="10"/>
      <c r="IAM55" s="10"/>
      <c r="IAN55" s="10"/>
      <c r="IAO55" s="10"/>
      <c r="IAP55" s="10"/>
      <c r="IAQ55" s="10"/>
      <c r="IAR55" s="10"/>
      <c r="IAS55" s="10"/>
      <c r="IAT55" s="10"/>
      <c r="IAU55" s="10"/>
      <c r="IAV55" s="10"/>
      <c r="IAW55" s="10"/>
      <c r="IAX55" s="10"/>
      <c r="IAY55" s="10"/>
      <c r="IAZ55" s="10"/>
      <c r="IBA55" s="10"/>
      <c r="IBB55" s="10"/>
      <c r="IBC55" s="10"/>
      <c r="IBD55" s="10"/>
      <c r="IBE55" s="10"/>
      <c r="IBF55" s="10"/>
      <c r="IBG55" s="10"/>
      <c r="IBH55" s="10"/>
      <c r="IBI55" s="10"/>
      <c r="IBJ55" s="10"/>
      <c r="IBK55" s="10"/>
      <c r="IBL55" s="10"/>
      <c r="IBM55" s="10"/>
      <c r="IBN55" s="10"/>
      <c r="IBO55" s="10"/>
      <c r="IBP55" s="10"/>
      <c r="IBQ55" s="10"/>
      <c r="IBR55" s="10"/>
      <c r="IBS55" s="10"/>
      <c r="IBT55" s="10"/>
      <c r="IBU55" s="10"/>
      <c r="IBV55" s="10"/>
      <c r="IBW55" s="10"/>
      <c r="IBX55" s="10"/>
      <c r="IBY55" s="10"/>
      <c r="IBZ55" s="10"/>
      <c r="ICA55" s="10"/>
      <c r="ICB55" s="10"/>
      <c r="ICC55" s="10"/>
      <c r="ICD55" s="10"/>
      <c r="ICE55" s="10"/>
      <c r="ICF55" s="10"/>
      <c r="ICG55" s="10"/>
      <c r="ICH55" s="10"/>
      <c r="ICI55" s="10"/>
      <c r="ICJ55" s="10"/>
      <c r="ICK55" s="10"/>
      <c r="ICL55" s="10"/>
      <c r="ICM55" s="10"/>
      <c r="ICN55" s="10"/>
      <c r="ICO55" s="10"/>
      <c r="ICP55" s="10"/>
      <c r="ICQ55" s="10"/>
      <c r="ICR55" s="10"/>
      <c r="ICS55" s="10"/>
      <c r="ICT55" s="10"/>
      <c r="ICU55" s="10"/>
      <c r="ICV55" s="10"/>
      <c r="ICW55" s="10"/>
      <c r="ICX55" s="10"/>
      <c r="ICY55" s="10"/>
      <c r="ICZ55" s="10"/>
      <c r="IDA55" s="10"/>
      <c r="IDB55" s="10"/>
      <c r="IDC55" s="10"/>
      <c r="IDD55" s="10"/>
      <c r="IDE55" s="10"/>
      <c r="IDF55" s="10"/>
      <c r="IDG55" s="10"/>
      <c r="IDH55" s="10"/>
      <c r="IDI55" s="10"/>
      <c r="IDJ55" s="10"/>
      <c r="IDK55" s="10"/>
      <c r="IDL55" s="10"/>
      <c r="IDM55" s="10"/>
      <c r="IDN55" s="10"/>
      <c r="IDO55" s="10"/>
      <c r="IDP55" s="10"/>
      <c r="IDQ55" s="10"/>
      <c r="IDR55" s="10"/>
      <c r="IDS55" s="10"/>
      <c r="IDT55" s="10"/>
      <c r="IDU55" s="10"/>
      <c r="IDV55" s="10"/>
      <c r="IDW55" s="10"/>
      <c r="IDX55" s="10"/>
      <c r="IDY55" s="10"/>
      <c r="IDZ55" s="10"/>
      <c r="IEA55" s="10"/>
      <c r="IEB55" s="10"/>
      <c r="IEC55" s="10"/>
      <c r="IED55" s="10"/>
      <c r="IEE55" s="10"/>
      <c r="IEF55" s="10"/>
      <c r="IEG55" s="10"/>
      <c r="IEH55" s="10"/>
      <c r="IEI55" s="10"/>
      <c r="IEJ55" s="10"/>
      <c r="IEK55" s="10"/>
      <c r="IEL55" s="10"/>
      <c r="IEM55" s="10"/>
      <c r="IEN55" s="10"/>
      <c r="IEO55" s="10"/>
      <c r="IEP55" s="10"/>
      <c r="IEQ55" s="10"/>
      <c r="IER55" s="10"/>
      <c r="IES55" s="10"/>
      <c r="IET55" s="10"/>
      <c r="IEU55" s="10"/>
      <c r="IEV55" s="10"/>
      <c r="IEW55" s="10"/>
      <c r="IEX55" s="10"/>
      <c r="IEY55" s="10"/>
      <c r="IEZ55" s="10"/>
      <c r="IFA55" s="10"/>
      <c r="IFB55" s="10"/>
      <c r="IFC55" s="10"/>
      <c r="IFD55" s="10"/>
      <c r="IFE55" s="10"/>
      <c r="IFF55" s="10"/>
      <c r="IFG55" s="10"/>
      <c r="IFH55" s="10"/>
      <c r="IFI55" s="10"/>
      <c r="IFJ55" s="10"/>
      <c r="IFK55" s="10"/>
      <c r="IFL55" s="10"/>
      <c r="IFM55" s="10"/>
      <c r="IFN55" s="10"/>
      <c r="IFO55" s="10"/>
      <c r="IFP55" s="10"/>
      <c r="IFQ55" s="10"/>
      <c r="IFR55" s="10"/>
      <c r="IFS55" s="10"/>
      <c r="IFT55" s="10"/>
      <c r="IFU55" s="10"/>
      <c r="IFV55" s="10"/>
      <c r="IFW55" s="10"/>
      <c r="IFX55" s="10"/>
      <c r="IFY55" s="10"/>
      <c r="IFZ55" s="10"/>
      <c r="IGA55" s="10"/>
      <c r="IGB55" s="10"/>
      <c r="IGC55" s="10"/>
      <c r="IGD55" s="10"/>
      <c r="IGE55" s="10"/>
      <c r="IGF55" s="10"/>
      <c r="IGG55" s="10"/>
      <c r="IGH55" s="10"/>
      <c r="IGI55" s="10"/>
      <c r="IGJ55" s="10"/>
      <c r="IGK55" s="10"/>
      <c r="IGL55" s="10"/>
      <c r="IGM55" s="10"/>
      <c r="IGN55" s="10"/>
      <c r="IGO55" s="10"/>
      <c r="IGP55" s="10"/>
      <c r="IGQ55" s="10"/>
      <c r="IGR55" s="10"/>
      <c r="IGS55" s="10"/>
      <c r="IGT55" s="10"/>
      <c r="IGU55" s="10"/>
      <c r="IGV55" s="10"/>
      <c r="IGW55" s="10"/>
      <c r="IGX55" s="10"/>
      <c r="IGY55" s="10"/>
      <c r="IGZ55" s="10"/>
      <c r="IHA55" s="10"/>
      <c r="IHB55" s="10"/>
      <c r="IHC55" s="10"/>
      <c r="IHD55" s="10"/>
      <c r="IHE55" s="10"/>
      <c r="IHF55" s="10"/>
      <c r="IHG55" s="10"/>
      <c r="IHH55" s="10"/>
      <c r="IHI55" s="10"/>
      <c r="IHJ55" s="10"/>
      <c r="IHK55" s="10"/>
      <c r="IHL55" s="10"/>
      <c r="IHM55" s="10"/>
      <c r="IHN55" s="10"/>
      <c r="IHO55" s="10"/>
      <c r="IHP55" s="10"/>
      <c r="IHQ55" s="10"/>
      <c r="IHR55" s="10"/>
      <c r="IHS55" s="10"/>
      <c r="IHT55" s="10"/>
      <c r="IHU55" s="10"/>
      <c r="IHV55" s="10"/>
      <c r="IHW55" s="10"/>
      <c r="IHX55" s="10"/>
      <c r="IHY55" s="10"/>
      <c r="IHZ55" s="10"/>
      <c r="IIA55" s="10"/>
      <c r="IIB55" s="10"/>
      <c r="IIC55" s="10"/>
      <c r="IID55" s="10"/>
      <c r="IIE55" s="10"/>
      <c r="IIF55" s="10"/>
      <c r="IIG55" s="10"/>
      <c r="IIH55" s="10"/>
      <c r="III55" s="10"/>
      <c r="IIJ55" s="10"/>
      <c r="IIK55" s="10"/>
      <c r="IIL55" s="10"/>
      <c r="IIM55" s="10"/>
      <c r="IIN55" s="10"/>
      <c r="IIO55" s="10"/>
      <c r="IIP55" s="10"/>
      <c r="IIQ55" s="10"/>
      <c r="IIR55" s="10"/>
      <c r="IIS55" s="10"/>
      <c r="IIT55" s="10"/>
      <c r="IIU55" s="10"/>
      <c r="IIV55" s="10"/>
      <c r="IIW55" s="10"/>
      <c r="IIX55" s="10"/>
      <c r="IIY55" s="10"/>
      <c r="IIZ55" s="10"/>
      <c r="IJA55" s="10"/>
      <c r="IJB55" s="10"/>
      <c r="IJC55" s="10"/>
      <c r="IJD55" s="10"/>
      <c r="IJE55" s="10"/>
      <c r="IJF55" s="10"/>
      <c r="IJG55" s="10"/>
      <c r="IJH55" s="10"/>
      <c r="IJI55" s="10"/>
      <c r="IJJ55" s="10"/>
      <c r="IJK55" s="10"/>
      <c r="IJL55" s="10"/>
      <c r="IJM55" s="10"/>
      <c r="IJN55" s="10"/>
      <c r="IJO55" s="10"/>
      <c r="IJP55" s="10"/>
      <c r="IJQ55" s="10"/>
      <c r="IJR55" s="10"/>
      <c r="IJS55" s="10"/>
      <c r="IJT55" s="10"/>
      <c r="IJU55" s="10"/>
      <c r="IJV55" s="10"/>
      <c r="IJW55" s="10"/>
      <c r="IJX55" s="10"/>
      <c r="IJY55" s="10"/>
      <c r="IJZ55" s="10"/>
      <c r="IKA55" s="10"/>
      <c r="IKB55" s="10"/>
      <c r="IKC55" s="10"/>
      <c r="IKD55" s="10"/>
      <c r="IKE55" s="10"/>
      <c r="IKF55" s="10"/>
      <c r="IKG55" s="10"/>
      <c r="IKH55" s="10"/>
      <c r="IKI55" s="10"/>
      <c r="IKJ55" s="10"/>
      <c r="IKK55" s="10"/>
      <c r="IKL55" s="10"/>
      <c r="IKM55" s="10"/>
      <c r="IKN55" s="10"/>
      <c r="IKO55" s="10"/>
      <c r="IKP55" s="10"/>
      <c r="IKQ55" s="10"/>
      <c r="IKR55" s="10"/>
      <c r="IKS55" s="10"/>
      <c r="IKT55" s="10"/>
      <c r="IKU55" s="10"/>
      <c r="IKV55" s="10"/>
      <c r="IKW55" s="10"/>
      <c r="IKX55" s="10"/>
      <c r="IKY55" s="10"/>
      <c r="IKZ55" s="10"/>
      <c r="ILA55" s="10"/>
      <c r="ILB55" s="10"/>
      <c r="ILC55" s="10"/>
      <c r="ILD55" s="10"/>
      <c r="ILE55" s="10"/>
      <c r="ILF55" s="10"/>
      <c r="ILG55" s="10"/>
      <c r="ILH55" s="10"/>
      <c r="ILI55" s="10"/>
      <c r="ILJ55" s="10"/>
      <c r="ILK55" s="10"/>
      <c r="ILL55" s="10"/>
      <c r="ILM55" s="10"/>
      <c r="ILN55" s="10"/>
      <c r="ILO55" s="10"/>
      <c r="ILP55" s="10"/>
      <c r="ILQ55" s="10"/>
      <c r="ILR55" s="10"/>
      <c r="ILS55" s="10"/>
      <c r="ILT55" s="10"/>
      <c r="ILU55" s="10"/>
      <c r="ILV55" s="10"/>
      <c r="ILW55" s="10"/>
      <c r="ILX55" s="10"/>
      <c r="ILY55" s="10"/>
      <c r="ILZ55" s="10"/>
      <c r="IMA55" s="10"/>
      <c r="IMB55" s="10"/>
      <c r="IMC55" s="10"/>
      <c r="IMD55" s="10"/>
      <c r="IME55" s="10"/>
      <c r="IMF55" s="10"/>
      <c r="IMG55" s="10"/>
      <c r="IMH55" s="10"/>
      <c r="IMI55" s="10"/>
      <c r="IMJ55" s="10"/>
      <c r="IMK55" s="10"/>
      <c r="IML55" s="10"/>
      <c r="IMM55" s="10"/>
      <c r="IMN55" s="10"/>
      <c r="IMO55" s="10"/>
      <c r="IMP55" s="10"/>
      <c r="IMQ55" s="10"/>
      <c r="IMR55" s="10"/>
      <c r="IMS55" s="10"/>
      <c r="IMT55" s="10"/>
      <c r="IMU55" s="10"/>
      <c r="IMV55" s="10"/>
      <c r="IMW55" s="10"/>
      <c r="IMX55" s="10"/>
      <c r="IMY55" s="10"/>
      <c r="IMZ55" s="10"/>
      <c r="INA55" s="10"/>
      <c r="INB55" s="10"/>
      <c r="INC55" s="10"/>
      <c r="IND55" s="10"/>
      <c r="INE55" s="10"/>
      <c r="INF55" s="10"/>
      <c r="ING55" s="10"/>
      <c r="INH55" s="10"/>
      <c r="INI55" s="10"/>
      <c r="INJ55" s="10"/>
      <c r="INK55" s="10"/>
      <c r="INL55" s="10"/>
      <c r="INM55" s="10"/>
      <c r="INN55" s="10"/>
      <c r="INO55" s="10"/>
      <c r="INP55" s="10"/>
      <c r="INQ55" s="10"/>
      <c r="INR55" s="10"/>
      <c r="INS55" s="10"/>
      <c r="INT55" s="10"/>
      <c r="INU55" s="10"/>
      <c r="INV55" s="10"/>
      <c r="INW55" s="10"/>
      <c r="INX55" s="10"/>
      <c r="INY55" s="10"/>
      <c r="INZ55" s="10"/>
      <c r="IOA55" s="10"/>
      <c r="IOB55" s="10"/>
      <c r="IOC55" s="10"/>
      <c r="IOD55" s="10"/>
      <c r="IOE55" s="10"/>
      <c r="IOF55" s="10"/>
      <c r="IOG55" s="10"/>
      <c r="IOH55" s="10"/>
      <c r="IOI55" s="10"/>
      <c r="IOJ55" s="10"/>
      <c r="IOK55" s="10"/>
      <c r="IOL55" s="10"/>
      <c r="IOM55" s="10"/>
      <c r="ION55" s="10"/>
      <c r="IOO55" s="10"/>
      <c r="IOP55" s="10"/>
      <c r="IOQ55" s="10"/>
      <c r="IOR55" s="10"/>
      <c r="IOS55" s="10"/>
      <c r="IOT55" s="10"/>
      <c r="IOU55" s="10"/>
      <c r="IOV55" s="10"/>
      <c r="IOW55" s="10"/>
      <c r="IOX55" s="10"/>
      <c r="IOY55" s="10"/>
      <c r="IOZ55" s="10"/>
      <c r="IPA55" s="10"/>
      <c r="IPB55" s="10"/>
      <c r="IPC55" s="10"/>
      <c r="IPD55" s="10"/>
      <c r="IPE55" s="10"/>
      <c r="IPF55" s="10"/>
      <c r="IPG55" s="10"/>
      <c r="IPH55" s="10"/>
      <c r="IPI55" s="10"/>
      <c r="IPJ55" s="10"/>
      <c r="IPK55" s="10"/>
      <c r="IPL55" s="10"/>
      <c r="IPM55" s="10"/>
      <c r="IPN55" s="10"/>
      <c r="IPO55" s="10"/>
      <c r="IPP55" s="10"/>
      <c r="IPQ55" s="10"/>
      <c r="IPR55" s="10"/>
      <c r="IPS55" s="10"/>
      <c r="IPT55" s="10"/>
      <c r="IPU55" s="10"/>
      <c r="IPV55" s="10"/>
      <c r="IPW55" s="10"/>
      <c r="IPX55" s="10"/>
      <c r="IPY55" s="10"/>
      <c r="IPZ55" s="10"/>
      <c r="IQA55" s="10"/>
      <c r="IQB55" s="10"/>
      <c r="IQC55" s="10"/>
      <c r="IQD55" s="10"/>
      <c r="IQE55" s="10"/>
      <c r="IQF55" s="10"/>
      <c r="IQG55" s="10"/>
      <c r="IQH55" s="10"/>
      <c r="IQI55" s="10"/>
      <c r="IQJ55" s="10"/>
      <c r="IQK55" s="10"/>
      <c r="IQL55" s="10"/>
      <c r="IQM55" s="10"/>
      <c r="IQN55" s="10"/>
      <c r="IQO55" s="10"/>
      <c r="IQP55" s="10"/>
      <c r="IQQ55" s="10"/>
      <c r="IQR55" s="10"/>
      <c r="IQS55" s="10"/>
      <c r="IQT55" s="10"/>
      <c r="IQU55" s="10"/>
      <c r="IQV55" s="10"/>
      <c r="IQW55" s="10"/>
      <c r="IQX55" s="10"/>
      <c r="IQY55" s="10"/>
      <c r="IQZ55" s="10"/>
      <c r="IRA55" s="10"/>
      <c r="IRB55" s="10"/>
      <c r="IRC55" s="10"/>
      <c r="IRD55" s="10"/>
      <c r="IRE55" s="10"/>
      <c r="IRF55" s="10"/>
      <c r="IRG55" s="10"/>
      <c r="IRH55" s="10"/>
      <c r="IRI55" s="10"/>
      <c r="IRJ55" s="10"/>
      <c r="IRK55" s="10"/>
      <c r="IRL55" s="10"/>
      <c r="IRM55" s="10"/>
      <c r="IRN55" s="10"/>
      <c r="IRO55" s="10"/>
      <c r="IRP55" s="10"/>
      <c r="IRQ55" s="10"/>
      <c r="IRR55" s="10"/>
      <c r="IRS55" s="10"/>
      <c r="IRT55" s="10"/>
      <c r="IRU55" s="10"/>
      <c r="IRV55" s="10"/>
      <c r="IRW55" s="10"/>
      <c r="IRX55" s="10"/>
      <c r="IRY55" s="10"/>
      <c r="IRZ55" s="10"/>
      <c r="ISA55" s="10"/>
      <c r="ISB55" s="10"/>
      <c r="ISC55" s="10"/>
      <c r="ISD55" s="10"/>
      <c r="ISE55" s="10"/>
      <c r="ISF55" s="10"/>
      <c r="ISG55" s="10"/>
      <c r="ISH55" s="10"/>
      <c r="ISI55" s="10"/>
      <c r="ISJ55" s="10"/>
      <c r="ISK55" s="10"/>
      <c r="ISL55" s="10"/>
      <c r="ISM55" s="10"/>
      <c r="ISN55" s="10"/>
      <c r="ISO55" s="10"/>
      <c r="ISP55" s="10"/>
      <c r="ISQ55" s="10"/>
      <c r="ISR55" s="10"/>
      <c r="ISS55" s="10"/>
      <c r="IST55" s="10"/>
      <c r="ISU55" s="10"/>
      <c r="ISV55" s="10"/>
      <c r="ISW55" s="10"/>
      <c r="ISX55" s="10"/>
      <c r="ISY55" s="10"/>
      <c r="ISZ55" s="10"/>
      <c r="ITA55" s="10"/>
      <c r="ITB55" s="10"/>
      <c r="ITC55" s="10"/>
      <c r="ITD55" s="10"/>
      <c r="ITE55" s="10"/>
      <c r="ITF55" s="10"/>
      <c r="ITG55" s="10"/>
      <c r="ITH55" s="10"/>
      <c r="ITI55" s="10"/>
      <c r="ITJ55" s="10"/>
      <c r="ITK55" s="10"/>
      <c r="ITL55" s="10"/>
      <c r="ITM55" s="10"/>
      <c r="ITN55" s="10"/>
      <c r="ITO55" s="10"/>
      <c r="ITP55" s="10"/>
      <c r="ITQ55" s="10"/>
      <c r="ITR55" s="10"/>
      <c r="ITS55" s="10"/>
      <c r="ITT55" s="10"/>
      <c r="ITU55" s="10"/>
      <c r="ITV55" s="10"/>
      <c r="ITW55" s="10"/>
      <c r="ITX55" s="10"/>
      <c r="ITY55" s="10"/>
      <c r="ITZ55" s="10"/>
      <c r="IUA55" s="10"/>
      <c r="IUB55" s="10"/>
      <c r="IUC55" s="10"/>
      <c r="IUD55" s="10"/>
      <c r="IUE55" s="10"/>
      <c r="IUF55" s="10"/>
      <c r="IUG55" s="10"/>
      <c r="IUH55" s="10"/>
      <c r="IUI55" s="10"/>
      <c r="IUJ55" s="10"/>
      <c r="IUK55" s="10"/>
      <c r="IUL55" s="10"/>
      <c r="IUM55" s="10"/>
      <c r="IUN55" s="10"/>
      <c r="IUO55" s="10"/>
      <c r="IUP55" s="10"/>
      <c r="IUQ55" s="10"/>
      <c r="IUR55" s="10"/>
      <c r="IUS55" s="10"/>
      <c r="IUT55" s="10"/>
      <c r="IUU55" s="10"/>
      <c r="IUV55" s="10"/>
      <c r="IUW55" s="10"/>
      <c r="IUX55" s="10"/>
      <c r="IUY55" s="10"/>
      <c r="IUZ55" s="10"/>
      <c r="IVA55" s="10"/>
      <c r="IVB55" s="10"/>
      <c r="IVC55" s="10"/>
      <c r="IVD55" s="10"/>
      <c r="IVE55" s="10"/>
      <c r="IVF55" s="10"/>
      <c r="IVG55" s="10"/>
      <c r="IVH55" s="10"/>
      <c r="IVI55" s="10"/>
      <c r="IVJ55" s="10"/>
      <c r="IVK55" s="10"/>
      <c r="IVL55" s="10"/>
      <c r="IVM55" s="10"/>
      <c r="IVN55" s="10"/>
      <c r="IVO55" s="10"/>
      <c r="IVP55" s="10"/>
      <c r="IVQ55" s="10"/>
      <c r="IVR55" s="10"/>
      <c r="IVS55" s="10"/>
      <c r="IVT55" s="10"/>
      <c r="IVU55" s="10"/>
      <c r="IVV55" s="10"/>
      <c r="IVW55" s="10"/>
      <c r="IVX55" s="10"/>
      <c r="IVY55" s="10"/>
      <c r="IVZ55" s="10"/>
      <c r="IWA55" s="10"/>
      <c r="IWB55" s="10"/>
      <c r="IWC55" s="10"/>
      <c r="IWD55" s="10"/>
      <c r="IWE55" s="10"/>
      <c r="IWF55" s="10"/>
      <c r="IWG55" s="10"/>
      <c r="IWH55" s="10"/>
      <c r="IWI55" s="10"/>
      <c r="IWJ55" s="10"/>
      <c r="IWK55" s="10"/>
      <c r="IWL55" s="10"/>
      <c r="IWM55" s="10"/>
      <c r="IWN55" s="10"/>
      <c r="IWO55" s="10"/>
      <c r="IWP55" s="10"/>
      <c r="IWQ55" s="10"/>
      <c r="IWR55" s="10"/>
      <c r="IWS55" s="10"/>
      <c r="IWT55" s="10"/>
      <c r="IWU55" s="10"/>
      <c r="IWV55" s="10"/>
      <c r="IWW55" s="10"/>
      <c r="IWX55" s="10"/>
      <c r="IWY55" s="10"/>
      <c r="IWZ55" s="10"/>
      <c r="IXA55" s="10"/>
      <c r="IXB55" s="10"/>
      <c r="IXC55" s="10"/>
      <c r="IXD55" s="10"/>
      <c r="IXE55" s="10"/>
      <c r="IXF55" s="10"/>
      <c r="IXG55" s="10"/>
      <c r="IXH55" s="10"/>
      <c r="IXI55" s="10"/>
      <c r="IXJ55" s="10"/>
      <c r="IXK55" s="10"/>
      <c r="IXL55" s="10"/>
      <c r="IXM55" s="10"/>
      <c r="IXN55" s="10"/>
      <c r="IXO55" s="10"/>
      <c r="IXP55" s="10"/>
      <c r="IXQ55" s="10"/>
      <c r="IXR55" s="10"/>
      <c r="IXS55" s="10"/>
      <c r="IXT55" s="10"/>
      <c r="IXU55" s="10"/>
      <c r="IXV55" s="10"/>
      <c r="IXW55" s="10"/>
      <c r="IXX55" s="10"/>
      <c r="IXY55" s="10"/>
      <c r="IXZ55" s="10"/>
      <c r="IYA55" s="10"/>
      <c r="IYB55" s="10"/>
      <c r="IYC55" s="10"/>
      <c r="IYD55" s="10"/>
      <c r="IYE55" s="10"/>
      <c r="IYF55" s="10"/>
      <c r="IYG55" s="10"/>
      <c r="IYH55" s="10"/>
      <c r="IYI55" s="10"/>
      <c r="IYJ55" s="10"/>
      <c r="IYK55" s="10"/>
      <c r="IYL55" s="10"/>
      <c r="IYM55" s="10"/>
      <c r="IYN55" s="10"/>
      <c r="IYO55" s="10"/>
      <c r="IYP55" s="10"/>
      <c r="IYQ55" s="10"/>
      <c r="IYR55" s="10"/>
      <c r="IYS55" s="10"/>
      <c r="IYT55" s="10"/>
      <c r="IYU55" s="10"/>
      <c r="IYV55" s="10"/>
      <c r="IYW55" s="10"/>
      <c r="IYX55" s="10"/>
      <c r="IYY55" s="10"/>
      <c r="IYZ55" s="10"/>
      <c r="IZA55" s="10"/>
      <c r="IZB55" s="10"/>
      <c r="IZC55" s="10"/>
      <c r="IZD55" s="10"/>
      <c r="IZE55" s="10"/>
      <c r="IZF55" s="10"/>
      <c r="IZG55" s="10"/>
      <c r="IZH55" s="10"/>
      <c r="IZI55" s="10"/>
      <c r="IZJ55" s="10"/>
      <c r="IZK55" s="10"/>
      <c r="IZL55" s="10"/>
      <c r="IZM55" s="10"/>
      <c r="IZN55" s="10"/>
      <c r="IZO55" s="10"/>
      <c r="IZP55" s="10"/>
      <c r="IZQ55" s="10"/>
      <c r="IZR55" s="10"/>
      <c r="IZS55" s="10"/>
      <c r="IZT55" s="10"/>
      <c r="IZU55" s="10"/>
      <c r="IZV55" s="10"/>
      <c r="IZW55" s="10"/>
      <c r="IZX55" s="10"/>
      <c r="IZY55" s="10"/>
      <c r="IZZ55" s="10"/>
      <c r="JAA55" s="10"/>
      <c r="JAB55" s="10"/>
      <c r="JAC55" s="10"/>
      <c r="JAD55" s="10"/>
      <c r="JAE55" s="10"/>
      <c r="JAF55" s="10"/>
      <c r="JAG55" s="10"/>
      <c r="JAH55" s="10"/>
      <c r="JAI55" s="10"/>
      <c r="JAJ55" s="10"/>
      <c r="JAK55" s="10"/>
      <c r="JAL55" s="10"/>
      <c r="JAM55" s="10"/>
      <c r="JAN55" s="10"/>
      <c r="JAO55" s="10"/>
      <c r="JAP55" s="10"/>
      <c r="JAQ55" s="10"/>
      <c r="JAR55" s="10"/>
      <c r="JAS55" s="10"/>
      <c r="JAT55" s="10"/>
      <c r="JAU55" s="10"/>
      <c r="JAV55" s="10"/>
      <c r="JAW55" s="10"/>
      <c r="JAX55" s="10"/>
      <c r="JAY55" s="10"/>
      <c r="JAZ55" s="10"/>
      <c r="JBA55" s="10"/>
      <c r="JBB55" s="10"/>
      <c r="JBC55" s="10"/>
      <c r="JBD55" s="10"/>
      <c r="JBE55" s="10"/>
      <c r="JBF55" s="10"/>
      <c r="JBG55" s="10"/>
      <c r="JBH55" s="10"/>
      <c r="JBI55" s="10"/>
      <c r="JBJ55" s="10"/>
      <c r="JBK55" s="10"/>
      <c r="JBL55" s="10"/>
      <c r="JBM55" s="10"/>
      <c r="JBN55" s="10"/>
      <c r="JBO55" s="10"/>
      <c r="JBP55" s="10"/>
      <c r="JBQ55" s="10"/>
      <c r="JBR55" s="10"/>
      <c r="JBS55" s="10"/>
      <c r="JBT55" s="10"/>
      <c r="JBU55" s="10"/>
      <c r="JBV55" s="10"/>
      <c r="JBW55" s="10"/>
      <c r="JBX55" s="10"/>
      <c r="JBY55" s="10"/>
      <c r="JBZ55" s="10"/>
      <c r="JCA55" s="10"/>
      <c r="JCB55" s="10"/>
      <c r="JCC55" s="10"/>
      <c r="JCD55" s="10"/>
      <c r="JCE55" s="10"/>
      <c r="JCF55" s="10"/>
      <c r="JCG55" s="10"/>
      <c r="JCH55" s="10"/>
      <c r="JCI55" s="10"/>
      <c r="JCJ55" s="10"/>
      <c r="JCK55" s="10"/>
      <c r="JCL55" s="10"/>
      <c r="JCM55" s="10"/>
      <c r="JCN55" s="10"/>
      <c r="JCO55" s="10"/>
      <c r="JCP55" s="10"/>
      <c r="JCQ55" s="10"/>
      <c r="JCR55" s="10"/>
      <c r="JCS55" s="10"/>
      <c r="JCT55" s="10"/>
      <c r="JCU55" s="10"/>
      <c r="JCV55" s="10"/>
      <c r="JCW55" s="10"/>
      <c r="JCX55" s="10"/>
      <c r="JCY55" s="10"/>
      <c r="JCZ55" s="10"/>
      <c r="JDA55" s="10"/>
      <c r="JDB55" s="10"/>
      <c r="JDC55" s="10"/>
      <c r="JDD55" s="10"/>
      <c r="JDE55" s="10"/>
      <c r="JDF55" s="10"/>
      <c r="JDG55" s="10"/>
      <c r="JDH55" s="10"/>
      <c r="JDI55" s="10"/>
      <c r="JDJ55" s="10"/>
      <c r="JDK55" s="10"/>
      <c r="JDL55" s="10"/>
      <c r="JDM55" s="10"/>
      <c r="JDN55" s="10"/>
      <c r="JDO55" s="10"/>
      <c r="JDP55" s="10"/>
      <c r="JDQ55" s="10"/>
      <c r="JDR55" s="10"/>
      <c r="JDS55" s="10"/>
      <c r="JDT55" s="10"/>
      <c r="JDU55" s="10"/>
      <c r="JDV55" s="10"/>
      <c r="JDW55" s="10"/>
      <c r="JDX55" s="10"/>
      <c r="JDY55" s="10"/>
      <c r="JDZ55" s="10"/>
      <c r="JEA55" s="10"/>
      <c r="JEB55" s="10"/>
      <c r="JEC55" s="10"/>
      <c r="JED55" s="10"/>
      <c r="JEE55" s="10"/>
      <c r="JEF55" s="10"/>
      <c r="JEG55" s="10"/>
      <c r="JEH55" s="10"/>
      <c r="JEI55" s="10"/>
      <c r="JEJ55" s="10"/>
      <c r="JEK55" s="10"/>
      <c r="JEL55" s="10"/>
      <c r="JEM55" s="10"/>
      <c r="JEN55" s="10"/>
      <c r="JEO55" s="10"/>
      <c r="JEP55" s="10"/>
      <c r="JEQ55" s="10"/>
      <c r="JER55" s="10"/>
      <c r="JES55" s="10"/>
      <c r="JET55" s="10"/>
      <c r="JEU55" s="10"/>
      <c r="JEV55" s="10"/>
      <c r="JEW55" s="10"/>
      <c r="JEX55" s="10"/>
      <c r="JEY55" s="10"/>
      <c r="JEZ55" s="10"/>
      <c r="JFA55" s="10"/>
      <c r="JFB55" s="10"/>
      <c r="JFC55" s="10"/>
      <c r="JFD55" s="10"/>
      <c r="JFE55" s="10"/>
      <c r="JFF55" s="10"/>
      <c r="JFG55" s="10"/>
      <c r="JFH55" s="10"/>
      <c r="JFI55" s="10"/>
      <c r="JFJ55" s="10"/>
      <c r="JFK55" s="10"/>
      <c r="JFL55" s="10"/>
      <c r="JFM55" s="10"/>
      <c r="JFN55" s="10"/>
      <c r="JFO55" s="10"/>
      <c r="JFP55" s="10"/>
      <c r="JFQ55" s="10"/>
      <c r="JFR55" s="10"/>
      <c r="JFS55" s="10"/>
      <c r="JFT55" s="10"/>
      <c r="JFU55" s="10"/>
      <c r="JFV55" s="10"/>
      <c r="JFW55" s="10"/>
      <c r="JFX55" s="10"/>
      <c r="JFY55" s="10"/>
      <c r="JFZ55" s="10"/>
      <c r="JGA55" s="10"/>
      <c r="JGB55" s="10"/>
      <c r="JGC55" s="10"/>
      <c r="JGD55" s="10"/>
      <c r="JGE55" s="10"/>
      <c r="JGF55" s="10"/>
      <c r="JGG55" s="10"/>
      <c r="JGH55" s="10"/>
      <c r="JGI55" s="10"/>
      <c r="JGJ55" s="10"/>
      <c r="JGK55" s="10"/>
      <c r="JGL55" s="10"/>
      <c r="JGM55" s="10"/>
      <c r="JGN55" s="10"/>
      <c r="JGO55" s="10"/>
      <c r="JGP55" s="10"/>
      <c r="JGQ55" s="10"/>
      <c r="JGR55" s="10"/>
      <c r="JGS55" s="10"/>
      <c r="JGT55" s="10"/>
      <c r="JGU55" s="10"/>
      <c r="JGV55" s="10"/>
      <c r="JGW55" s="10"/>
      <c r="JGX55" s="10"/>
      <c r="JGY55" s="10"/>
      <c r="JGZ55" s="10"/>
      <c r="JHA55" s="10"/>
      <c r="JHB55" s="10"/>
      <c r="JHC55" s="10"/>
      <c r="JHD55" s="10"/>
      <c r="JHE55" s="10"/>
      <c r="JHF55" s="10"/>
      <c r="JHG55" s="10"/>
      <c r="JHH55" s="10"/>
      <c r="JHI55" s="10"/>
      <c r="JHJ55" s="10"/>
      <c r="JHK55" s="10"/>
      <c r="JHL55" s="10"/>
      <c r="JHM55" s="10"/>
      <c r="JHN55" s="10"/>
      <c r="JHO55" s="10"/>
      <c r="JHP55" s="10"/>
      <c r="JHQ55" s="10"/>
      <c r="JHR55" s="10"/>
      <c r="JHS55" s="10"/>
      <c r="JHT55" s="10"/>
      <c r="JHU55" s="10"/>
      <c r="JHV55" s="10"/>
      <c r="JHW55" s="10"/>
      <c r="JHX55" s="10"/>
      <c r="JHY55" s="10"/>
      <c r="JHZ55" s="10"/>
      <c r="JIA55" s="10"/>
      <c r="JIB55" s="10"/>
      <c r="JIC55" s="10"/>
      <c r="JID55" s="10"/>
      <c r="JIE55" s="10"/>
      <c r="JIF55" s="10"/>
      <c r="JIG55" s="10"/>
      <c r="JIH55" s="10"/>
      <c r="JII55" s="10"/>
      <c r="JIJ55" s="10"/>
      <c r="JIK55" s="10"/>
      <c r="JIL55" s="10"/>
      <c r="JIM55" s="10"/>
      <c r="JIN55" s="10"/>
      <c r="JIO55" s="10"/>
      <c r="JIP55" s="10"/>
      <c r="JIQ55" s="10"/>
      <c r="JIR55" s="10"/>
      <c r="JIS55" s="10"/>
      <c r="JIT55" s="10"/>
      <c r="JIU55" s="10"/>
      <c r="JIV55" s="10"/>
      <c r="JIW55" s="10"/>
      <c r="JIX55" s="10"/>
      <c r="JIY55" s="10"/>
      <c r="JIZ55" s="10"/>
      <c r="JJA55" s="10"/>
      <c r="JJB55" s="10"/>
      <c r="JJC55" s="10"/>
      <c r="JJD55" s="10"/>
      <c r="JJE55" s="10"/>
      <c r="JJF55" s="10"/>
      <c r="JJG55" s="10"/>
      <c r="JJH55" s="10"/>
      <c r="JJI55" s="10"/>
      <c r="JJJ55" s="10"/>
      <c r="JJK55" s="10"/>
      <c r="JJL55" s="10"/>
      <c r="JJM55" s="10"/>
      <c r="JJN55" s="10"/>
      <c r="JJO55" s="10"/>
      <c r="JJP55" s="10"/>
      <c r="JJQ55" s="10"/>
      <c r="JJR55" s="10"/>
      <c r="JJS55" s="10"/>
      <c r="JJT55" s="10"/>
      <c r="JJU55" s="10"/>
      <c r="JJV55" s="10"/>
      <c r="JJW55" s="10"/>
      <c r="JJX55" s="10"/>
      <c r="JJY55" s="10"/>
      <c r="JJZ55" s="10"/>
      <c r="JKA55" s="10"/>
      <c r="JKB55" s="10"/>
      <c r="JKC55" s="10"/>
      <c r="JKD55" s="10"/>
      <c r="JKE55" s="10"/>
      <c r="JKF55" s="10"/>
      <c r="JKG55" s="10"/>
      <c r="JKH55" s="10"/>
      <c r="JKI55" s="10"/>
      <c r="JKJ55" s="10"/>
      <c r="JKK55" s="10"/>
      <c r="JKL55" s="10"/>
      <c r="JKM55" s="10"/>
      <c r="JKN55" s="10"/>
      <c r="JKO55" s="10"/>
      <c r="JKP55" s="10"/>
      <c r="JKQ55" s="10"/>
      <c r="JKR55" s="10"/>
      <c r="JKS55" s="10"/>
      <c r="JKT55" s="10"/>
      <c r="JKU55" s="10"/>
      <c r="JKV55" s="10"/>
      <c r="JKW55" s="10"/>
      <c r="JKX55" s="10"/>
      <c r="JKY55" s="10"/>
      <c r="JKZ55" s="10"/>
      <c r="JLA55" s="10"/>
      <c r="JLB55" s="10"/>
      <c r="JLC55" s="10"/>
      <c r="JLD55" s="10"/>
      <c r="JLE55" s="10"/>
      <c r="JLF55" s="10"/>
      <c r="JLG55" s="10"/>
      <c r="JLH55" s="10"/>
      <c r="JLI55" s="10"/>
      <c r="JLJ55" s="10"/>
      <c r="JLK55" s="10"/>
      <c r="JLL55" s="10"/>
      <c r="JLM55" s="10"/>
      <c r="JLN55" s="10"/>
      <c r="JLO55" s="10"/>
      <c r="JLP55" s="10"/>
      <c r="JLQ55" s="10"/>
      <c r="JLR55" s="10"/>
      <c r="JLS55" s="10"/>
      <c r="JLT55" s="10"/>
      <c r="JLU55" s="10"/>
      <c r="JLV55" s="10"/>
      <c r="JLW55" s="10"/>
      <c r="JLX55" s="10"/>
      <c r="JLY55" s="10"/>
      <c r="JLZ55" s="10"/>
      <c r="JMA55" s="10"/>
      <c r="JMB55" s="10"/>
      <c r="JMC55" s="10"/>
      <c r="JMD55" s="10"/>
      <c r="JME55" s="10"/>
      <c r="JMF55" s="10"/>
      <c r="JMG55" s="10"/>
      <c r="JMH55" s="10"/>
      <c r="JMI55" s="10"/>
      <c r="JMJ55" s="10"/>
      <c r="JMK55" s="10"/>
      <c r="JML55" s="10"/>
      <c r="JMM55" s="10"/>
      <c r="JMN55" s="10"/>
      <c r="JMO55" s="10"/>
      <c r="JMP55" s="10"/>
      <c r="JMQ55" s="10"/>
      <c r="JMR55" s="10"/>
      <c r="JMS55" s="10"/>
      <c r="JMT55" s="10"/>
      <c r="JMU55" s="10"/>
      <c r="JMV55" s="10"/>
      <c r="JMW55" s="10"/>
      <c r="JMX55" s="10"/>
      <c r="JMY55" s="10"/>
      <c r="JMZ55" s="10"/>
      <c r="JNA55" s="10"/>
      <c r="JNB55" s="10"/>
      <c r="JNC55" s="10"/>
      <c r="JND55" s="10"/>
      <c r="JNE55" s="10"/>
      <c r="JNF55" s="10"/>
      <c r="JNG55" s="10"/>
      <c r="JNH55" s="10"/>
      <c r="JNI55" s="10"/>
      <c r="JNJ55" s="10"/>
      <c r="JNK55" s="10"/>
      <c r="JNL55" s="10"/>
      <c r="JNM55" s="10"/>
      <c r="JNN55" s="10"/>
      <c r="JNO55" s="10"/>
      <c r="JNP55" s="10"/>
      <c r="JNQ55" s="10"/>
      <c r="JNR55" s="10"/>
      <c r="JNS55" s="10"/>
      <c r="JNT55" s="10"/>
      <c r="JNU55" s="10"/>
      <c r="JNV55" s="10"/>
      <c r="JNW55" s="10"/>
      <c r="JNX55" s="10"/>
      <c r="JNY55" s="10"/>
      <c r="JNZ55" s="10"/>
      <c r="JOA55" s="10"/>
      <c r="JOB55" s="10"/>
      <c r="JOC55" s="10"/>
      <c r="JOD55" s="10"/>
      <c r="JOE55" s="10"/>
      <c r="JOF55" s="10"/>
      <c r="JOG55" s="10"/>
      <c r="JOH55" s="10"/>
      <c r="JOI55" s="10"/>
      <c r="JOJ55" s="10"/>
      <c r="JOK55" s="10"/>
      <c r="JOL55" s="10"/>
      <c r="JOM55" s="10"/>
      <c r="JON55" s="10"/>
      <c r="JOO55" s="10"/>
      <c r="JOP55" s="10"/>
      <c r="JOQ55" s="10"/>
      <c r="JOR55" s="10"/>
      <c r="JOS55" s="10"/>
      <c r="JOT55" s="10"/>
      <c r="JOU55" s="10"/>
      <c r="JOV55" s="10"/>
      <c r="JOW55" s="10"/>
      <c r="JOX55" s="10"/>
      <c r="JOY55" s="10"/>
      <c r="JOZ55" s="10"/>
      <c r="JPA55" s="10"/>
      <c r="JPB55" s="10"/>
      <c r="JPC55" s="10"/>
      <c r="JPD55" s="10"/>
      <c r="JPE55" s="10"/>
      <c r="JPF55" s="10"/>
      <c r="JPG55" s="10"/>
      <c r="JPH55" s="10"/>
      <c r="JPI55" s="10"/>
      <c r="JPJ55" s="10"/>
      <c r="JPK55" s="10"/>
      <c r="JPL55" s="10"/>
      <c r="JPM55" s="10"/>
      <c r="JPN55" s="10"/>
      <c r="JPO55" s="10"/>
      <c r="JPP55" s="10"/>
      <c r="JPQ55" s="10"/>
      <c r="JPR55" s="10"/>
      <c r="JPS55" s="10"/>
      <c r="JPT55" s="10"/>
      <c r="JPU55" s="10"/>
      <c r="JPV55" s="10"/>
      <c r="JPW55" s="10"/>
      <c r="JPX55" s="10"/>
      <c r="JPY55" s="10"/>
      <c r="JPZ55" s="10"/>
      <c r="JQA55" s="10"/>
      <c r="JQB55" s="10"/>
      <c r="JQC55" s="10"/>
      <c r="JQD55" s="10"/>
      <c r="JQE55" s="10"/>
      <c r="JQF55" s="10"/>
      <c r="JQG55" s="10"/>
      <c r="JQH55" s="10"/>
      <c r="JQI55" s="10"/>
      <c r="JQJ55" s="10"/>
      <c r="JQK55" s="10"/>
      <c r="JQL55" s="10"/>
      <c r="JQM55" s="10"/>
      <c r="JQN55" s="10"/>
      <c r="JQO55" s="10"/>
      <c r="JQP55" s="10"/>
      <c r="JQQ55" s="10"/>
      <c r="JQR55" s="10"/>
      <c r="JQS55" s="10"/>
      <c r="JQT55" s="10"/>
      <c r="JQU55" s="10"/>
      <c r="JQV55" s="10"/>
      <c r="JQW55" s="10"/>
      <c r="JQX55" s="10"/>
      <c r="JQY55" s="10"/>
      <c r="JQZ55" s="10"/>
      <c r="JRA55" s="10"/>
      <c r="JRB55" s="10"/>
      <c r="JRC55" s="10"/>
      <c r="JRD55" s="10"/>
      <c r="JRE55" s="10"/>
      <c r="JRF55" s="10"/>
      <c r="JRG55" s="10"/>
      <c r="JRH55" s="10"/>
      <c r="JRI55" s="10"/>
      <c r="JRJ55" s="10"/>
      <c r="JRK55" s="10"/>
      <c r="JRL55" s="10"/>
      <c r="JRM55" s="10"/>
      <c r="JRN55" s="10"/>
      <c r="JRO55" s="10"/>
      <c r="JRP55" s="10"/>
      <c r="JRQ55" s="10"/>
      <c r="JRR55" s="10"/>
      <c r="JRS55" s="10"/>
      <c r="JRT55" s="10"/>
      <c r="JRU55" s="10"/>
      <c r="JRV55" s="10"/>
      <c r="JRW55" s="10"/>
      <c r="JRX55" s="10"/>
      <c r="JRY55" s="10"/>
      <c r="JRZ55" s="10"/>
      <c r="JSA55" s="10"/>
      <c r="JSB55" s="10"/>
      <c r="JSC55" s="10"/>
      <c r="JSD55" s="10"/>
      <c r="JSE55" s="10"/>
      <c r="JSF55" s="10"/>
      <c r="JSG55" s="10"/>
      <c r="JSH55" s="10"/>
      <c r="JSI55" s="10"/>
      <c r="JSJ55" s="10"/>
      <c r="JSK55" s="10"/>
      <c r="JSL55" s="10"/>
      <c r="JSM55" s="10"/>
      <c r="JSN55" s="10"/>
      <c r="JSO55" s="10"/>
      <c r="JSP55" s="10"/>
      <c r="JSQ55" s="10"/>
      <c r="JSR55" s="10"/>
      <c r="JSS55" s="10"/>
      <c r="JST55" s="10"/>
      <c r="JSU55" s="10"/>
      <c r="JSV55" s="10"/>
      <c r="JSW55" s="10"/>
      <c r="JSX55" s="10"/>
      <c r="JSY55" s="10"/>
      <c r="JSZ55" s="10"/>
      <c r="JTA55" s="10"/>
      <c r="JTB55" s="10"/>
      <c r="JTC55" s="10"/>
      <c r="JTD55" s="10"/>
      <c r="JTE55" s="10"/>
      <c r="JTF55" s="10"/>
      <c r="JTG55" s="10"/>
      <c r="JTH55" s="10"/>
      <c r="JTI55" s="10"/>
      <c r="JTJ55" s="10"/>
      <c r="JTK55" s="10"/>
      <c r="JTL55" s="10"/>
      <c r="JTM55" s="10"/>
      <c r="JTN55" s="10"/>
      <c r="JTO55" s="10"/>
      <c r="JTP55" s="10"/>
      <c r="JTQ55" s="10"/>
      <c r="JTR55" s="10"/>
      <c r="JTS55" s="10"/>
      <c r="JTT55" s="10"/>
      <c r="JTU55" s="10"/>
      <c r="JTV55" s="10"/>
      <c r="JTW55" s="10"/>
      <c r="JTX55" s="10"/>
      <c r="JTY55" s="10"/>
      <c r="JTZ55" s="10"/>
      <c r="JUA55" s="10"/>
      <c r="JUB55" s="10"/>
      <c r="JUC55" s="10"/>
      <c r="JUD55" s="10"/>
      <c r="JUE55" s="10"/>
      <c r="JUF55" s="10"/>
      <c r="JUG55" s="10"/>
      <c r="JUH55" s="10"/>
      <c r="JUI55" s="10"/>
      <c r="JUJ55" s="10"/>
      <c r="JUK55" s="10"/>
      <c r="JUL55" s="10"/>
      <c r="JUM55" s="10"/>
      <c r="JUN55" s="10"/>
      <c r="JUO55" s="10"/>
      <c r="JUP55" s="10"/>
      <c r="JUQ55" s="10"/>
      <c r="JUR55" s="10"/>
      <c r="JUS55" s="10"/>
      <c r="JUT55" s="10"/>
      <c r="JUU55" s="10"/>
      <c r="JUV55" s="10"/>
      <c r="JUW55" s="10"/>
      <c r="JUX55" s="10"/>
      <c r="JUY55" s="10"/>
      <c r="JUZ55" s="10"/>
      <c r="JVA55" s="10"/>
      <c r="JVB55" s="10"/>
      <c r="JVC55" s="10"/>
      <c r="JVD55" s="10"/>
      <c r="JVE55" s="10"/>
      <c r="JVF55" s="10"/>
      <c r="JVG55" s="10"/>
      <c r="JVH55" s="10"/>
      <c r="JVI55" s="10"/>
      <c r="JVJ55" s="10"/>
      <c r="JVK55" s="10"/>
      <c r="JVL55" s="10"/>
      <c r="JVM55" s="10"/>
      <c r="JVN55" s="10"/>
      <c r="JVO55" s="10"/>
      <c r="JVP55" s="10"/>
      <c r="JVQ55" s="10"/>
      <c r="JVR55" s="10"/>
      <c r="JVS55" s="10"/>
      <c r="JVT55" s="10"/>
      <c r="JVU55" s="10"/>
      <c r="JVV55" s="10"/>
      <c r="JVW55" s="10"/>
      <c r="JVX55" s="10"/>
      <c r="JVY55" s="10"/>
      <c r="JVZ55" s="10"/>
      <c r="JWA55" s="10"/>
      <c r="JWB55" s="10"/>
      <c r="JWC55" s="10"/>
      <c r="JWD55" s="10"/>
      <c r="JWE55" s="10"/>
      <c r="JWF55" s="10"/>
      <c r="JWG55" s="10"/>
      <c r="JWH55" s="10"/>
      <c r="JWI55" s="10"/>
      <c r="JWJ55" s="10"/>
      <c r="JWK55" s="10"/>
      <c r="JWL55" s="10"/>
      <c r="JWM55" s="10"/>
      <c r="JWN55" s="10"/>
      <c r="JWO55" s="10"/>
      <c r="JWP55" s="10"/>
      <c r="JWQ55" s="10"/>
      <c r="JWR55" s="10"/>
      <c r="JWS55" s="10"/>
      <c r="JWT55" s="10"/>
      <c r="JWU55" s="10"/>
      <c r="JWV55" s="10"/>
      <c r="JWW55" s="10"/>
      <c r="JWX55" s="10"/>
      <c r="JWY55" s="10"/>
      <c r="JWZ55" s="10"/>
      <c r="JXA55" s="10"/>
      <c r="JXB55" s="10"/>
      <c r="JXC55" s="10"/>
      <c r="JXD55" s="10"/>
      <c r="JXE55" s="10"/>
      <c r="JXF55" s="10"/>
      <c r="JXG55" s="10"/>
      <c r="JXH55" s="10"/>
      <c r="JXI55" s="10"/>
      <c r="JXJ55" s="10"/>
      <c r="JXK55" s="10"/>
      <c r="JXL55" s="10"/>
      <c r="JXM55" s="10"/>
      <c r="JXN55" s="10"/>
      <c r="JXO55" s="10"/>
      <c r="JXP55" s="10"/>
      <c r="JXQ55" s="10"/>
      <c r="JXR55" s="10"/>
      <c r="JXS55" s="10"/>
      <c r="JXT55" s="10"/>
      <c r="JXU55" s="10"/>
      <c r="JXV55" s="10"/>
      <c r="JXW55" s="10"/>
      <c r="JXX55" s="10"/>
      <c r="JXY55" s="10"/>
      <c r="JXZ55" s="10"/>
      <c r="JYA55" s="10"/>
      <c r="JYB55" s="10"/>
      <c r="JYC55" s="10"/>
      <c r="JYD55" s="10"/>
      <c r="JYE55" s="10"/>
      <c r="JYF55" s="10"/>
      <c r="JYG55" s="10"/>
      <c r="JYH55" s="10"/>
      <c r="JYI55" s="10"/>
      <c r="JYJ55" s="10"/>
      <c r="JYK55" s="10"/>
      <c r="JYL55" s="10"/>
      <c r="JYM55" s="10"/>
      <c r="JYN55" s="10"/>
      <c r="JYO55" s="10"/>
      <c r="JYP55" s="10"/>
      <c r="JYQ55" s="10"/>
      <c r="JYR55" s="10"/>
      <c r="JYS55" s="10"/>
      <c r="JYT55" s="10"/>
      <c r="JYU55" s="10"/>
      <c r="JYV55" s="10"/>
      <c r="JYW55" s="10"/>
      <c r="JYX55" s="10"/>
      <c r="JYY55" s="10"/>
      <c r="JYZ55" s="10"/>
      <c r="JZA55" s="10"/>
      <c r="JZB55" s="10"/>
      <c r="JZC55" s="10"/>
      <c r="JZD55" s="10"/>
      <c r="JZE55" s="10"/>
      <c r="JZF55" s="10"/>
      <c r="JZG55" s="10"/>
      <c r="JZH55" s="10"/>
      <c r="JZI55" s="10"/>
      <c r="JZJ55" s="10"/>
      <c r="JZK55" s="10"/>
      <c r="JZL55" s="10"/>
      <c r="JZM55" s="10"/>
      <c r="JZN55" s="10"/>
      <c r="JZO55" s="10"/>
      <c r="JZP55" s="10"/>
      <c r="JZQ55" s="10"/>
      <c r="JZR55" s="10"/>
      <c r="JZS55" s="10"/>
      <c r="JZT55" s="10"/>
      <c r="JZU55" s="10"/>
      <c r="JZV55" s="10"/>
      <c r="JZW55" s="10"/>
      <c r="JZX55" s="10"/>
      <c r="JZY55" s="10"/>
      <c r="JZZ55" s="10"/>
      <c r="KAA55" s="10"/>
      <c r="KAB55" s="10"/>
      <c r="KAC55" s="10"/>
      <c r="KAD55" s="10"/>
      <c r="KAE55" s="10"/>
      <c r="KAF55" s="10"/>
      <c r="KAG55" s="10"/>
      <c r="KAH55" s="10"/>
      <c r="KAI55" s="10"/>
      <c r="KAJ55" s="10"/>
      <c r="KAK55" s="10"/>
      <c r="KAL55" s="10"/>
      <c r="KAM55" s="10"/>
      <c r="KAN55" s="10"/>
      <c r="KAO55" s="10"/>
      <c r="KAP55" s="10"/>
      <c r="KAQ55" s="10"/>
      <c r="KAR55" s="10"/>
      <c r="KAS55" s="10"/>
      <c r="KAT55" s="10"/>
      <c r="KAU55" s="10"/>
      <c r="KAV55" s="10"/>
      <c r="KAW55" s="10"/>
      <c r="KAX55" s="10"/>
      <c r="KAY55" s="10"/>
      <c r="KAZ55" s="10"/>
      <c r="KBA55" s="10"/>
      <c r="KBB55" s="10"/>
      <c r="KBC55" s="10"/>
      <c r="KBD55" s="10"/>
      <c r="KBE55" s="10"/>
      <c r="KBF55" s="10"/>
      <c r="KBG55" s="10"/>
      <c r="KBH55" s="10"/>
      <c r="KBI55" s="10"/>
      <c r="KBJ55" s="10"/>
      <c r="KBK55" s="10"/>
      <c r="KBL55" s="10"/>
      <c r="KBM55" s="10"/>
      <c r="KBN55" s="10"/>
      <c r="KBO55" s="10"/>
      <c r="KBP55" s="10"/>
      <c r="KBQ55" s="10"/>
      <c r="KBR55" s="10"/>
      <c r="KBS55" s="10"/>
      <c r="KBT55" s="10"/>
      <c r="KBU55" s="10"/>
      <c r="KBV55" s="10"/>
      <c r="KBW55" s="10"/>
      <c r="KBX55" s="10"/>
      <c r="KBY55" s="10"/>
      <c r="KBZ55" s="10"/>
      <c r="KCA55" s="10"/>
      <c r="KCB55" s="10"/>
      <c r="KCC55" s="10"/>
      <c r="KCD55" s="10"/>
      <c r="KCE55" s="10"/>
      <c r="KCF55" s="10"/>
      <c r="KCG55" s="10"/>
      <c r="KCH55" s="10"/>
      <c r="KCI55" s="10"/>
      <c r="KCJ55" s="10"/>
      <c r="KCK55" s="10"/>
      <c r="KCL55" s="10"/>
      <c r="KCM55" s="10"/>
      <c r="KCN55" s="10"/>
      <c r="KCO55" s="10"/>
      <c r="KCP55" s="10"/>
      <c r="KCQ55" s="10"/>
      <c r="KCR55" s="10"/>
      <c r="KCS55" s="10"/>
      <c r="KCT55" s="10"/>
      <c r="KCU55" s="10"/>
      <c r="KCV55" s="10"/>
      <c r="KCW55" s="10"/>
      <c r="KCX55" s="10"/>
      <c r="KCY55" s="10"/>
      <c r="KCZ55" s="10"/>
      <c r="KDA55" s="10"/>
      <c r="KDB55" s="10"/>
      <c r="KDC55" s="10"/>
      <c r="KDD55" s="10"/>
      <c r="KDE55" s="10"/>
      <c r="KDF55" s="10"/>
      <c r="KDG55" s="10"/>
      <c r="KDH55" s="10"/>
      <c r="KDI55" s="10"/>
      <c r="KDJ55" s="10"/>
      <c r="KDK55" s="10"/>
      <c r="KDL55" s="10"/>
      <c r="KDM55" s="10"/>
      <c r="KDN55" s="10"/>
      <c r="KDO55" s="10"/>
      <c r="KDP55" s="10"/>
      <c r="KDQ55" s="10"/>
      <c r="KDR55" s="10"/>
      <c r="KDS55" s="10"/>
      <c r="KDT55" s="10"/>
      <c r="KDU55" s="10"/>
      <c r="KDV55" s="10"/>
      <c r="KDW55" s="10"/>
      <c r="KDX55" s="10"/>
      <c r="KDY55" s="10"/>
      <c r="KDZ55" s="10"/>
      <c r="KEA55" s="10"/>
      <c r="KEB55" s="10"/>
      <c r="KEC55" s="10"/>
      <c r="KED55" s="10"/>
      <c r="KEE55" s="10"/>
      <c r="KEF55" s="10"/>
      <c r="KEG55" s="10"/>
      <c r="KEH55" s="10"/>
      <c r="KEI55" s="10"/>
      <c r="KEJ55" s="10"/>
      <c r="KEK55" s="10"/>
      <c r="KEL55" s="10"/>
      <c r="KEM55" s="10"/>
      <c r="KEN55" s="10"/>
      <c r="KEO55" s="10"/>
      <c r="KEP55" s="10"/>
      <c r="KEQ55" s="10"/>
      <c r="KER55" s="10"/>
      <c r="KES55" s="10"/>
      <c r="KET55" s="10"/>
      <c r="KEU55" s="10"/>
      <c r="KEV55" s="10"/>
      <c r="KEW55" s="10"/>
      <c r="KEX55" s="10"/>
      <c r="KEY55" s="10"/>
      <c r="KEZ55" s="10"/>
      <c r="KFA55" s="10"/>
      <c r="KFB55" s="10"/>
      <c r="KFC55" s="10"/>
      <c r="KFD55" s="10"/>
      <c r="KFE55" s="10"/>
      <c r="KFF55" s="10"/>
      <c r="KFG55" s="10"/>
      <c r="KFH55" s="10"/>
      <c r="KFI55" s="10"/>
      <c r="KFJ55" s="10"/>
      <c r="KFK55" s="10"/>
      <c r="KFL55" s="10"/>
      <c r="KFM55" s="10"/>
      <c r="KFN55" s="10"/>
      <c r="KFO55" s="10"/>
      <c r="KFP55" s="10"/>
      <c r="KFQ55" s="10"/>
      <c r="KFR55" s="10"/>
      <c r="KFS55" s="10"/>
      <c r="KFT55" s="10"/>
      <c r="KFU55" s="10"/>
      <c r="KFV55" s="10"/>
      <c r="KFW55" s="10"/>
      <c r="KFX55" s="10"/>
      <c r="KFY55" s="10"/>
      <c r="KFZ55" s="10"/>
      <c r="KGA55" s="10"/>
      <c r="KGB55" s="10"/>
      <c r="KGC55" s="10"/>
      <c r="KGD55" s="10"/>
      <c r="KGE55" s="10"/>
      <c r="KGF55" s="10"/>
      <c r="KGG55" s="10"/>
      <c r="KGH55" s="10"/>
      <c r="KGI55" s="10"/>
      <c r="KGJ55" s="10"/>
      <c r="KGK55" s="10"/>
      <c r="KGL55" s="10"/>
      <c r="KGM55" s="10"/>
      <c r="KGN55" s="10"/>
      <c r="KGO55" s="10"/>
      <c r="KGP55" s="10"/>
      <c r="KGQ55" s="10"/>
      <c r="KGR55" s="10"/>
      <c r="KGS55" s="10"/>
      <c r="KGT55" s="10"/>
      <c r="KGU55" s="10"/>
      <c r="KGV55" s="10"/>
      <c r="KGW55" s="10"/>
      <c r="KGX55" s="10"/>
      <c r="KGY55" s="10"/>
      <c r="KGZ55" s="10"/>
      <c r="KHA55" s="10"/>
      <c r="KHB55" s="10"/>
      <c r="KHC55" s="10"/>
      <c r="KHD55" s="10"/>
      <c r="KHE55" s="10"/>
      <c r="KHF55" s="10"/>
      <c r="KHG55" s="10"/>
      <c r="KHH55" s="10"/>
      <c r="KHI55" s="10"/>
      <c r="KHJ55" s="10"/>
      <c r="KHK55" s="10"/>
      <c r="KHL55" s="10"/>
      <c r="KHM55" s="10"/>
      <c r="KHN55" s="10"/>
      <c r="KHO55" s="10"/>
      <c r="KHP55" s="10"/>
      <c r="KHQ55" s="10"/>
      <c r="KHR55" s="10"/>
      <c r="KHS55" s="10"/>
      <c r="KHT55" s="10"/>
      <c r="KHU55" s="10"/>
      <c r="KHV55" s="10"/>
      <c r="KHW55" s="10"/>
      <c r="KHX55" s="10"/>
      <c r="KHY55" s="10"/>
      <c r="KHZ55" s="10"/>
      <c r="KIA55" s="10"/>
      <c r="KIB55" s="10"/>
      <c r="KIC55" s="10"/>
      <c r="KID55" s="10"/>
      <c r="KIE55" s="10"/>
      <c r="KIF55" s="10"/>
      <c r="KIG55" s="10"/>
      <c r="KIH55" s="10"/>
      <c r="KII55" s="10"/>
      <c r="KIJ55" s="10"/>
      <c r="KIK55" s="10"/>
      <c r="KIL55" s="10"/>
      <c r="KIM55" s="10"/>
      <c r="KIN55" s="10"/>
      <c r="KIO55" s="10"/>
      <c r="KIP55" s="10"/>
      <c r="KIQ55" s="10"/>
      <c r="KIR55" s="10"/>
      <c r="KIS55" s="10"/>
      <c r="KIT55" s="10"/>
      <c r="KIU55" s="10"/>
      <c r="KIV55" s="10"/>
      <c r="KIW55" s="10"/>
      <c r="KIX55" s="10"/>
      <c r="KIY55" s="10"/>
      <c r="KIZ55" s="10"/>
      <c r="KJA55" s="10"/>
      <c r="KJB55" s="10"/>
      <c r="KJC55" s="10"/>
      <c r="KJD55" s="10"/>
      <c r="KJE55" s="10"/>
      <c r="KJF55" s="10"/>
      <c r="KJG55" s="10"/>
      <c r="KJH55" s="10"/>
      <c r="KJI55" s="10"/>
      <c r="KJJ55" s="10"/>
      <c r="KJK55" s="10"/>
      <c r="KJL55" s="10"/>
      <c r="KJM55" s="10"/>
      <c r="KJN55" s="10"/>
      <c r="KJO55" s="10"/>
      <c r="KJP55" s="10"/>
      <c r="KJQ55" s="10"/>
      <c r="KJR55" s="10"/>
      <c r="KJS55" s="10"/>
      <c r="KJT55" s="10"/>
      <c r="KJU55" s="10"/>
      <c r="KJV55" s="10"/>
      <c r="KJW55" s="10"/>
      <c r="KJX55" s="10"/>
      <c r="KJY55" s="10"/>
      <c r="KJZ55" s="10"/>
      <c r="KKA55" s="10"/>
      <c r="KKB55" s="10"/>
      <c r="KKC55" s="10"/>
      <c r="KKD55" s="10"/>
      <c r="KKE55" s="10"/>
      <c r="KKF55" s="10"/>
      <c r="KKG55" s="10"/>
      <c r="KKH55" s="10"/>
      <c r="KKI55" s="10"/>
      <c r="KKJ55" s="10"/>
      <c r="KKK55" s="10"/>
      <c r="KKL55" s="10"/>
      <c r="KKM55" s="10"/>
      <c r="KKN55" s="10"/>
      <c r="KKO55" s="10"/>
      <c r="KKP55" s="10"/>
      <c r="KKQ55" s="10"/>
      <c r="KKR55" s="10"/>
      <c r="KKS55" s="10"/>
      <c r="KKT55" s="10"/>
      <c r="KKU55" s="10"/>
      <c r="KKV55" s="10"/>
      <c r="KKW55" s="10"/>
      <c r="KKX55" s="10"/>
      <c r="KKY55" s="10"/>
      <c r="KKZ55" s="10"/>
      <c r="KLA55" s="10"/>
      <c r="KLB55" s="10"/>
      <c r="KLC55" s="10"/>
      <c r="KLD55" s="10"/>
      <c r="KLE55" s="10"/>
      <c r="KLF55" s="10"/>
      <c r="KLG55" s="10"/>
      <c r="KLH55" s="10"/>
      <c r="KLI55" s="10"/>
      <c r="KLJ55" s="10"/>
      <c r="KLK55" s="10"/>
      <c r="KLL55" s="10"/>
      <c r="KLM55" s="10"/>
      <c r="KLN55" s="10"/>
      <c r="KLO55" s="10"/>
      <c r="KLP55" s="10"/>
      <c r="KLQ55" s="10"/>
      <c r="KLR55" s="10"/>
      <c r="KLS55" s="10"/>
      <c r="KLT55" s="10"/>
      <c r="KLU55" s="10"/>
      <c r="KLV55" s="10"/>
      <c r="KLW55" s="10"/>
      <c r="KLX55" s="10"/>
      <c r="KLY55" s="10"/>
      <c r="KLZ55" s="10"/>
      <c r="KMA55" s="10"/>
      <c r="KMB55" s="10"/>
      <c r="KMC55" s="10"/>
      <c r="KMD55" s="10"/>
      <c r="KME55" s="10"/>
      <c r="KMF55" s="10"/>
      <c r="KMG55" s="10"/>
      <c r="KMH55" s="10"/>
      <c r="KMI55" s="10"/>
      <c r="KMJ55" s="10"/>
      <c r="KMK55" s="10"/>
      <c r="KML55" s="10"/>
      <c r="KMM55" s="10"/>
      <c r="KMN55" s="10"/>
      <c r="KMO55" s="10"/>
      <c r="KMP55" s="10"/>
      <c r="KMQ55" s="10"/>
      <c r="KMR55" s="10"/>
      <c r="KMS55" s="10"/>
      <c r="KMT55" s="10"/>
      <c r="KMU55" s="10"/>
      <c r="KMV55" s="10"/>
      <c r="KMW55" s="10"/>
      <c r="KMX55" s="10"/>
      <c r="KMY55" s="10"/>
      <c r="KMZ55" s="10"/>
      <c r="KNA55" s="10"/>
      <c r="KNB55" s="10"/>
      <c r="KNC55" s="10"/>
      <c r="KND55" s="10"/>
      <c r="KNE55" s="10"/>
      <c r="KNF55" s="10"/>
      <c r="KNG55" s="10"/>
      <c r="KNH55" s="10"/>
      <c r="KNI55" s="10"/>
      <c r="KNJ55" s="10"/>
      <c r="KNK55" s="10"/>
      <c r="KNL55" s="10"/>
      <c r="KNM55" s="10"/>
      <c r="KNN55" s="10"/>
      <c r="KNO55" s="10"/>
      <c r="KNP55" s="10"/>
      <c r="KNQ55" s="10"/>
      <c r="KNR55" s="10"/>
      <c r="KNS55" s="10"/>
      <c r="KNT55" s="10"/>
      <c r="KNU55" s="10"/>
      <c r="KNV55" s="10"/>
      <c r="KNW55" s="10"/>
      <c r="KNX55" s="10"/>
      <c r="KNY55" s="10"/>
      <c r="KNZ55" s="10"/>
      <c r="KOA55" s="10"/>
      <c r="KOB55" s="10"/>
      <c r="KOC55" s="10"/>
      <c r="KOD55" s="10"/>
      <c r="KOE55" s="10"/>
      <c r="KOF55" s="10"/>
      <c r="KOG55" s="10"/>
      <c r="KOH55" s="10"/>
      <c r="KOI55" s="10"/>
      <c r="KOJ55" s="10"/>
      <c r="KOK55" s="10"/>
      <c r="KOL55" s="10"/>
      <c r="KOM55" s="10"/>
      <c r="KON55" s="10"/>
      <c r="KOO55" s="10"/>
      <c r="KOP55" s="10"/>
      <c r="KOQ55" s="10"/>
      <c r="KOR55" s="10"/>
      <c r="KOS55" s="10"/>
      <c r="KOT55" s="10"/>
      <c r="KOU55" s="10"/>
      <c r="KOV55" s="10"/>
      <c r="KOW55" s="10"/>
      <c r="KOX55" s="10"/>
      <c r="KOY55" s="10"/>
      <c r="KOZ55" s="10"/>
      <c r="KPA55" s="10"/>
      <c r="KPB55" s="10"/>
      <c r="KPC55" s="10"/>
      <c r="KPD55" s="10"/>
      <c r="KPE55" s="10"/>
      <c r="KPF55" s="10"/>
      <c r="KPG55" s="10"/>
      <c r="KPH55" s="10"/>
      <c r="KPI55" s="10"/>
      <c r="KPJ55" s="10"/>
      <c r="KPK55" s="10"/>
      <c r="KPL55" s="10"/>
      <c r="KPM55" s="10"/>
      <c r="KPN55" s="10"/>
      <c r="KPO55" s="10"/>
      <c r="KPP55" s="10"/>
      <c r="KPQ55" s="10"/>
      <c r="KPR55" s="10"/>
      <c r="KPS55" s="10"/>
      <c r="KPT55" s="10"/>
      <c r="KPU55" s="10"/>
      <c r="KPV55" s="10"/>
      <c r="KPW55" s="10"/>
      <c r="KPX55" s="10"/>
      <c r="KPY55" s="10"/>
      <c r="KPZ55" s="10"/>
      <c r="KQA55" s="10"/>
      <c r="KQB55" s="10"/>
      <c r="KQC55" s="10"/>
      <c r="KQD55" s="10"/>
      <c r="KQE55" s="10"/>
      <c r="KQF55" s="10"/>
      <c r="KQG55" s="10"/>
      <c r="KQH55" s="10"/>
      <c r="KQI55" s="10"/>
      <c r="KQJ55" s="10"/>
      <c r="KQK55" s="10"/>
      <c r="KQL55" s="10"/>
      <c r="KQM55" s="10"/>
      <c r="KQN55" s="10"/>
      <c r="KQO55" s="10"/>
      <c r="KQP55" s="10"/>
      <c r="KQQ55" s="10"/>
      <c r="KQR55" s="10"/>
      <c r="KQS55" s="10"/>
      <c r="KQT55" s="10"/>
      <c r="KQU55" s="10"/>
      <c r="KQV55" s="10"/>
      <c r="KQW55" s="10"/>
      <c r="KQX55" s="10"/>
      <c r="KQY55" s="10"/>
      <c r="KQZ55" s="10"/>
      <c r="KRA55" s="10"/>
      <c r="KRB55" s="10"/>
      <c r="KRC55" s="10"/>
      <c r="KRD55" s="10"/>
      <c r="KRE55" s="10"/>
      <c r="KRF55" s="10"/>
      <c r="KRG55" s="10"/>
      <c r="KRH55" s="10"/>
      <c r="KRI55" s="10"/>
      <c r="KRJ55" s="10"/>
      <c r="KRK55" s="10"/>
      <c r="KRL55" s="10"/>
      <c r="KRM55" s="10"/>
      <c r="KRN55" s="10"/>
      <c r="KRO55" s="10"/>
      <c r="KRP55" s="10"/>
      <c r="KRQ55" s="10"/>
      <c r="KRR55" s="10"/>
      <c r="KRS55" s="10"/>
      <c r="KRT55" s="10"/>
      <c r="KRU55" s="10"/>
      <c r="KRV55" s="10"/>
      <c r="KRW55" s="10"/>
      <c r="KRX55" s="10"/>
      <c r="KRY55" s="10"/>
      <c r="KRZ55" s="10"/>
      <c r="KSA55" s="10"/>
      <c r="KSB55" s="10"/>
      <c r="KSC55" s="10"/>
      <c r="KSD55" s="10"/>
      <c r="KSE55" s="10"/>
      <c r="KSF55" s="10"/>
      <c r="KSG55" s="10"/>
      <c r="KSH55" s="10"/>
      <c r="KSI55" s="10"/>
      <c r="KSJ55" s="10"/>
      <c r="KSK55" s="10"/>
      <c r="KSL55" s="10"/>
      <c r="KSM55" s="10"/>
      <c r="KSN55" s="10"/>
      <c r="KSO55" s="10"/>
      <c r="KSP55" s="10"/>
      <c r="KSQ55" s="10"/>
      <c r="KSR55" s="10"/>
      <c r="KSS55" s="10"/>
      <c r="KST55" s="10"/>
      <c r="KSU55" s="10"/>
      <c r="KSV55" s="10"/>
      <c r="KSW55" s="10"/>
      <c r="KSX55" s="10"/>
      <c r="KSY55" s="10"/>
      <c r="KSZ55" s="10"/>
      <c r="KTA55" s="10"/>
      <c r="KTB55" s="10"/>
      <c r="KTC55" s="10"/>
      <c r="KTD55" s="10"/>
      <c r="KTE55" s="10"/>
      <c r="KTF55" s="10"/>
      <c r="KTG55" s="10"/>
      <c r="KTH55" s="10"/>
      <c r="KTI55" s="10"/>
      <c r="KTJ55" s="10"/>
      <c r="KTK55" s="10"/>
      <c r="KTL55" s="10"/>
      <c r="KTM55" s="10"/>
      <c r="KTN55" s="10"/>
      <c r="KTO55" s="10"/>
      <c r="KTP55" s="10"/>
      <c r="KTQ55" s="10"/>
      <c r="KTR55" s="10"/>
      <c r="KTS55" s="10"/>
      <c r="KTT55" s="10"/>
      <c r="KTU55" s="10"/>
      <c r="KTV55" s="10"/>
      <c r="KTW55" s="10"/>
      <c r="KTX55" s="10"/>
      <c r="KTY55" s="10"/>
      <c r="KTZ55" s="10"/>
      <c r="KUA55" s="10"/>
      <c r="KUB55" s="10"/>
      <c r="KUC55" s="10"/>
      <c r="KUD55" s="10"/>
      <c r="KUE55" s="10"/>
      <c r="KUF55" s="10"/>
      <c r="KUG55" s="10"/>
      <c r="KUH55" s="10"/>
      <c r="KUI55" s="10"/>
      <c r="KUJ55" s="10"/>
      <c r="KUK55" s="10"/>
      <c r="KUL55" s="10"/>
      <c r="KUM55" s="10"/>
      <c r="KUN55" s="10"/>
      <c r="KUO55" s="10"/>
      <c r="KUP55" s="10"/>
      <c r="KUQ55" s="10"/>
      <c r="KUR55" s="10"/>
      <c r="KUS55" s="10"/>
      <c r="KUT55" s="10"/>
      <c r="KUU55" s="10"/>
      <c r="KUV55" s="10"/>
      <c r="KUW55" s="10"/>
      <c r="KUX55" s="10"/>
      <c r="KUY55" s="10"/>
      <c r="KUZ55" s="10"/>
      <c r="KVA55" s="10"/>
      <c r="KVB55" s="10"/>
      <c r="KVC55" s="10"/>
      <c r="KVD55" s="10"/>
      <c r="KVE55" s="10"/>
      <c r="KVF55" s="10"/>
      <c r="KVG55" s="10"/>
      <c r="KVH55" s="10"/>
      <c r="KVI55" s="10"/>
      <c r="KVJ55" s="10"/>
      <c r="KVK55" s="10"/>
      <c r="KVL55" s="10"/>
      <c r="KVM55" s="10"/>
      <c r="KVN55" s="10"/>
      <c r="KVO55" s="10"/>
      <c r="KVP55" s="10"/>
      <c r="KVQ55" s="10"/>
      <c r="KVR55" s="10"/>
      <c r="KVS55" s="10"/>
      <c r="KVT55" s="10"/>
      <c r="KVU55" s="10"/>
      <c r="KVV55" s="10"/>
      <c r="KVW55" s="10"/>
      <c r="KVX55" s="10"/>
      <c r="KVY55" s="10"/>
      <c r="KVZ55" s="10"/>
      <c r="KWA55" s="10"/>
      <c r="KWB55" s="10"/>
      <c r="KWC55" s="10"/>
      <c r="KWD55" s="10"/>
      <c r="KWE55" s="10"/>
      <c r="KWF55" s="10"/>
      <c r="KWG55" s="10"/>
      <c r="KWH55" s="10"/>
      <c r="KWI55" s="10"/>
      <c r="KWJ55" s="10"/>
      <c r="KWK55" s="10"/>
      <c r="KWL55" s="10"/>
      <c r="KWM55" s="10"/>
      <c r="KWN55" s="10"/>
      <c r="KWO55" s="10"/>
      <c r="KWP55" s="10"/>
      <c r="KWQ55" s="10"/>
      <c r="KWR55" s="10"/>
      <c r="KWS55" s="10"/>
      <c r="KWT55" s="10"/>
      <c r="KWU55" s="10"/>
      <c r="KWV55" s="10"/>
      <c r="KWW55" s="10"/>
      <c r="KWX55" s="10"/>
      <c r="KWY55" s="10"/>
      <c r="KWZ55" s="10"/>
      <c r="KXA55" s="10"/>
      <c r="KXB55" s="10"/>
      <c r="KXC55" s="10"/>
      <c r="KXD55" s="10"/>
      <c r="KXE55" s="10"/>
      <c r="KXF55" s="10"/>
      <c r="KXG55" s="10"/>
      <c r="KXH55" s="10"/>
      <c r="KXI55" s="10"/>
      <c r="KXJ55" s="10"/>
      <c r="KXK55" s="10"/>
      <c r="KXL55" s="10"/>
      <c r="KXM55" s="10"/>
      <c r="KXN55" s="10"/>
      <c r="KXO55" s="10"/>
      <c r="KXP55" s="10"/>
      <c r="KXQ55" s="10"/>
      <c r="KXR55" s="10"/>
      <c r="KXS55" s="10"/>
      <c r="KXT55" s="10"/>
      <c r="KXU55" s="10"/>
      <c r="KXV55" s="10"/>
      <c r="KXW55" s="10"/>
      <c r="KXX55" s="10"/>
      <c r="KXY55" s="10"/>
      <c r="KXZ55" s="10"/>
      <c r="KYA55" s="10"/>
      <c r="KYB55" s="10"/>
      <c r="KYC55" s="10"/>
      <c r="KYD55" s="10"/>
      <c r="KYE55" s="10"/>
      <c r="KYF55" s="10"/>
      <c r="KYG55" s="10"/>
      <c r="KYH55" s="10"/>
      <c r="KYI55" s="10"/>
      <c r="KYJ55" s="10"/>
      <c r="KYK55" s="10"/>
      <c r="KYL55" s="10"/>
      <c r="KYM55" s="10"/>
      <c r="KYN55" s="10"/>
      <c r="KYO55" s="10"/>
      <c r="KYP55" s="10"/>
      <c r="KYQ55" s="10"/>
      <c r="KYR55" s="10"/>
      <c r="KYS55" s="10"/>
      <c r="KYT55" s="10"/>
      <c r="KYU55" s="10"/>
      <c r="KYV55" s="10"/>
      <c r="KYW55" s="10"/>
      <c r="KYX55" s="10"/>
      <c r="KYY55" s="10"/>
      <c r="KYZ55" s="10"/>
      <c r="KZA55" s="10"/>
      <c r="KZB55" s="10"/>
      <c r="KZC55" s="10"/>
      <c r="KZD55" s="10"/>
      <c r="KZE55" s="10"/>
      <c r="KZF55" s="10"/>
      <c r="KZG55" s="10"/>
      <c r="KZH55" s="10"/>
      <c r="KZI55" s="10"/>
      <c r="KZJ55" s="10"/>
      <c r="KZK55" s="10"/>
      <c r="KZL55" s="10"/>
      <c r="KZM55" s="10"/>
      <c r="KZN55" s="10"/>
      <c r="KZO55" s="10"/>
      <c r="KZP55" s="10"/>
      <c r="KZQ55" s="10"/>
      <c r="KZR55" s="10"/>
      <c r="KZS55" s="10"/>
      <c r="KZT55" s="10"/>
      <c r="KZU55" s="10"/>
      <c r="KZV55" s="10"/>
      <c r="KZW55" s="10"/>
      <c r="KZX55" s="10"/>
      <c r="KZY55" s="10"/>
      <c r="KZZ55" s="10"/>
      <c r="LAA55" s="10"/>
      <c r="LAB55" s="10"/>
      <c r="LAC55" s="10"/>
      <c r="LAD55" s="10"/>
      <c r="LAE55" s="10"/>
      <c r="LAF55" s="10"/>
      <c r="LAG55" s="10"/>
      <c r="LAH55" s="10"/>
      <c r="LAI55" s="10"/>
      <c r="LAJ55" s="10"/>
      <c r="LAK55" s="10"/>
      <c r="LAL55" s="10"/>
      <c r="LAM55" s="10"/>
      <c r="LAN55" s="10"/>
      <c r="LAO55" s="10"/>
      <c r="LAP55" s="10"/>
      <c r="LAQ55" s="10"/>
      <c r="LAR55" s="10"/>
      <c r="LAS55" s="10"/>
      <c r="LAT55" s="10"/>
      <c r="LAU55" s="10"/>
      <c r="LAV55" s="10"/>
      <c r="LAW55" s="10"/>
      <c r="LAX55" s="10"/>
      <c r="LAY55" s="10"/>
      <c r="LAZ55" s="10"/>
      <c r="LBA55" s="10"/>
      <c r="LBB55" s="10"/>
      <c r="LBC55" s="10"/>
      <c r="LBD55" s="10"/>
      <c r="LBE55" s="10"/>
      <c r="LBF55" s="10"/>
      <c r="LBG55" s="10"/>
      <c r="LBH55" s="10"/>
      <c r="LBI55" s="10"/>
      <c r="LBJ55" s="10"/>
      <c r="LBK55" s="10"/>
      <c r="LBL55" s="10"/>
      <c r="LBM55" s="10"/>
      <c r="LBN55" s="10"/>
      <c r="LBO55" s="10"/>
      <c r="LBP55" s="10"/>
      <c r="LBQ55" s="10"/>
      <c r="LBR55" s="10"/>
      <c r="LBS55" s="10"/>
      <c r="LBT55" s="10"/>
      <c r="LBU55" s="10"/>
      <c r="LBV55" s="10"/>
      <c r="LBW55" s="10"/>
      <c r="LBX55" s="10"/>
      <c r="LBY55" s="10"/>
      <c r="LBZ55" s="10"/>
      <c r="LCA55" s="10"/>
      <c r="LCB55" s="10"/>
      <c r="LCC55" s="10"/>
      <c r="LCD55" s="10"/>
      <c r="LCE55" s="10"/>
      <c r="LCF55" s="10"/>
      <c r="LCG55" s="10"/>
      <c r="LCH55" s="10"/>
      <c r="LCI55" s="10"/>
      <c r="LCJ55" s="10"/>
      <c r="LCK55" s="10"/>
      <c r="LCL55" s="10"/>
      <c r="LCM55" s="10"/>
      <c r="LCN55" s="10"/>
      <c r="LCO55" s="10"/>
      <c r="LCP55" s="10"/>
      <c r="LCQ55" s="10"/>
      <c r="LCR55" s="10"/>
      <c r="LCS55" s="10"/>
      <c r="LCT55" s="10"/>
      <c r="LCU55" s="10"/>
      <c r="LCV55" s="10"/>
      <c r="LCW55" s="10"/>
      <c r="LCX55" s="10"/>
      <c r="LCY55" s="10"/>
      <c r="LCZ55" s="10"/>
      <c r="LDA55" s="10"/>
      <c r="LDB55" s="10"/>
      <c r="LDC55" s="10"/>
      <c r="LDD55" s="10"/>
      <c r="LDE55" s="10"/>
      <c r="LDF55" s="10"/>
      <c r="LDG55" s="10"/>
      <c r="LDH55" s="10"/>
      <c r="LDI55" s="10"/>
      <c r="LDJ55" s="10"/>
      <c r="LDK55" s="10"/>
      <c r="LDL55" s="10"/>
      <c r="LDM55" s="10"/>
      <c r="LDN55" s="10"/>
      <c r="LDO55" s="10"/>
      <c r="LDP55" s="10"/>
      <c r="LDQ55" s="10"/>
      <c r="LDR55" s="10"/>
      <c r="LDS55" s="10"/>
      <c r="LDT55" s="10"/>
      <c r="LDU55" s="10"/>
      <c r="LDV55" s="10"/>
      <c r="LDW55" s="10"/>
      <c r="LDX55" s="10"/>
      <c r="LDY55" s="10"/>
      <c r="LDZ55" s="10"/>
      <c r="LEA55" s="10"/>
      <c r="LEB55" s="10"/>
      <c r="LEC55" s="10"/>
      <c r="LED55" s="10"/>
      <c r="LEE55" s="10"/>
      <c r="LEF55" s="10"/>
      <c r="LEG55" s="10"/>
      <c r="LEH55" s="10"/>
      <c r="LEI55" s="10"/>
      <c r="LEJ55" s="10"/>
      <c r="LEK55" s="10"/>
      <c r="LEL55" s="10"/>
      <c r="LEM55" s="10"/>
      <c r="LEN55" s="10"/>
      <c r="LEO55" s="10"/>
      <c r="LEP55" s="10"/>
      <c r="LEQ55" s="10"/>
      <c r="LER55" s="10"/>
      <c r="LES55" s="10"/>
      <c r="LET55" s="10"/>
      <c r="LEU55" s="10"/>
      <c r="LEV55" s="10"/>
      <c r="LEW55" s="10"/>
      <c r="LEX55" s="10"/>
      <c r="LEY55" s="10"/>
      <c r="LEZ55" s="10"/>
      <c r="LFA55" s="10"/>
      <c r="LFB55" s="10"/>
      <c r="LFC55" s="10"/>
      <c r="LFD55" s="10"/>
      <c r="LFE55" s="10"/>
      <c r="LFF55" s="10"/>
      <c r="LFG55" s="10"/>
      <c r="LFH55" s="10"/>
      <c r="LFI55" s="10"/>
      <c r="LFJ55" s="10"/>
      <c r="LFK55" s="10"/>
      <c r="LFL55" s="10"/>
      <c r="LFM55" s="10"/>
      <c r="LFN55" s="10"/>
      <c r="LFO55" s="10"/>
      <c r="LFP55" s="10"/>
      <c r="LFQ55" s="10"/>
      <c r="LFR55" s="10"/>
      <c r="LFS55" s="10"/>
      <c r="LFT55" s="10"/>
      <c r="LFU55" s="10"/>
      <c r="LFV55" s="10"/>
      <c r="LFW55" s="10"/>
      <c r="LFX55" s="10"/>
      <c r="LFY55" s="10"/>
      <c r="LFZ55" s="10"/>
      <c r="LGA55" s="10"/>
      <c r="LGB55" s="10"/>
      <c r="LGC55" s="10"/>
      <c r="LGD55" s="10"/>
      <c r="LGE55" s="10"/>
      <c r="LGF55" s="10"/>
      <c r="LGG55" s="10"/>
      <c r="LGH55" s="10"/>
      <c r="LGI55" s="10"/>
      <c r="LGJ55" s="10"/>
      <c r="LGK55" s="10"/>
      <c r="LGL55" s="10"/>
      <c r="LGM55" s="10"/>
      <c r="LGN55" s="10"/>
      <c r="LGO55" s="10"/>
      <c r="LGP55" s="10"/>
      <c r="LGQ55" s="10"/>
      <c r="LGR55" s="10"/>
      <c r="LGS55" s="10"/>
      <c r="LGT55" s="10"/>
      <c r="LGU55" s="10"/>
      <c r="LGV55" s="10"/>
      <c r="LGW55" s="10"/>
      <c r="LGX55" s="10"/>
      <c r="LGY55" s="10"/>
      <c r="LGZ55" s="10"/>
      <c r="LHA55" s="10"/>
      <c r="LHB55" s="10"/>
      <c r="LHC55" s="10"/>
      <c r="LHD55" s="10"/>
      <c r="LHE55" s="10"/>
      <c r="LHF55" s="10"/>
      <c r="LHG55" s="10"/>
      <c r="LHH55" s="10"/>
      <c r="LHI55" s="10"/>
      <c r="LHJ55" s="10"/>
      <c r="LHK55" s="10"/>
      <c r="LHL55" s="10"/>
      <c r="LHM55" s="10"/>
      <c r="LHN55" s="10"/>
      <c r="LHO55" s="10"/>
      <c r="LHP55" s="10"/>
      <c r="LHQ55" s="10"/>
      <c r="LHR55" s="10"/>
      <c r="LHS55" s="10"/>
      <c r="LHT55" s="10"/>
      <c r="LHU55" s="10"/>
      <c r="LHV55" s="10"/>
      <c r="LHW55" s="10"/>
      <c r="LHX55" s="10"/>
      <c r="LHY55" s="10"/>
      <c r="LHZ55" s="10"/>
      <c r="LIA55" s="10"/>
      <c r="LIB55" s="10"/>
      <c r="LIC55" s="10"/>
      <c r="LID55" s="10"/>
      <c r="LIE55" s="10"/>
      <c r="LIF55" s="10"/>
      <c r="LIG55" s="10"/>
      <c r="LIH55" s="10"/>
      <c r="LII55" s="10"/>
      <c r="LIJ55" s="10"/>
      <c r="LIK55" s="10"/>
      <c r="LIL55" s="10"/>
      <c r="LIM55" s="10"/>
      <c r="LIN55" s="10"/>
      <c r="LIO55" s="10"/>
      <c r="LIP55" s="10"/>
      <c r="LIQ55" s="10"/>
      <c r="LIR55" s="10"/>
      <c r="LIS55" s="10"/>
      <c r="LIT55" s="10"/>
      <c r="LIU55" s="10"/>
      <c r="LIV55" s="10"/>
      <c r="LIW55" s="10"/>
      <c r="LIX55" s="10"/>
      <c r="LIY55" s="10"/>
      <c r="LIZ55" s="10"/>
      <c r="LJA55" s="10"/>
      <c r="LJB55" s="10"/>
      <c r="LJC55" s="10"/>
      <c r="LJD55" s="10"/>
      <c r="LJE55" s="10"/>
      <c r="LJF55" s="10"/>
      <c r="LJG55" s="10"/>
      <c r="LJH55" s="10"/>
      <c r="LJI55" s="10"/>
      <c r="LJJ55" s="10"/>
      <c r="LJK55" s="10"/>
      <c r="LJL55" s="10"/>
      <c r="LJM55" s="10"/>
      <c r="LJN55" s="10"/>
      <c r="LJO55" s="10"/>
      <c r="LJP55" s="10"/>
      <c r="LJQ55" s="10"/>
      <c r="LJR55" s="10"/>
      <c r="LJS55" s="10"/>
      <c r="LJT55" s="10"/>
      <c r="LJU55" s="10"/>
      <c r="LJV55" s="10"/>
      <c r="LJW55" s="10"/>
      <c r="LJX55" s="10"/>
      <c r="LJY55" s="10"/>
      <c r="LJZ55" s="10"/>
      <c r="LKA55" s="10"/>
      <c r="LKB55" s="10"/>
      <c r="LKC55" s="10"/>
      <c r="LKD55" s="10"/>
      <c r="LKE55" s="10"/>
      <c r="LKF55" s="10"/>
      <c r="LKG55" s="10"/>
      <c r="LKH55" s="10"/>
      <c r="LKI55" s="10"/>
      <c r="LKJ55" s="10"/>
      <c r="LKK55" s="10"/>
      <c r="LKL55" s="10"/>
      <c r="LKM55" s="10"/>
      <c r="LKN55" s="10"/>
      <c r="LKO55" s="10"/>
      <c r="LKP55" s="10"/>
      <c r="LKQ55" s="10"/>
      <c r="LKR55" s="10"/>
      <c r="LKS55" s="10"/>
      <c r="LKT55" s="10"/>
      <c r="LKU55" s="10"/>
      <c r="LKV55" s="10"/>
      <c r="LKW55" s="10"/>
      <c r="LKX55" s="10"/>
      <c r="LKY55" s="10"/>
      <c r="LKZ55" s="10"/>
      <c r="LLA55" s="10"/>
      <c r="LLB55" s="10"/>
      <c r="LLC55" s="10"/>
      <c r="LLD55" s="10"/>
      <c r="LLE55" s="10"/>
      <c r="LLF55" s="10"/>
      <c r="LLG55" s="10"/>
      <c r="LLH55" s="10"/>
      <c r="LLI55" s="10"/>
      <c r="LLJ55" s="10"/>
      <c r="LLK55" s="10"/>
      <c r="LLL55" s="10"/>
      <c r="LLM55" s="10"/>
      <c r="LLN55" s="10"/>
      <c r="LLO55" s="10"/>
      <c r="LLP55" s="10"/>
      <c r="LLQ55" s="10"/>
      <c r="LLR55" s="10"/>
      <c r="LLS55" s="10"/>
      <c r="LLT55" s="10"/>
      <c r="LLU55" s="10"/>
      <c r="LLV55" s="10"/>
      <c r="LLW55" s="10"/>
      <c r="LLX55" s="10"/>
      <c r="LLY55" s="10"/>
      <c r="LLZ55" s="10"/>
      <c r="LMA55" s="10"/>
      <c r="LMB55" s="10"/>
      <c r="LMC55" s="10"/>
      <c r="LMD55" s="10"/>
      <c r="LME55" s="10"/>
      <c r="LMF55" s="10"/>
      <c r="LMG55" s="10"/>
      <c r="LMH55" s="10"/>
      <c r="LMI55" s="10"/>
      <c r="LMJ55" s="10"/>
      <c r="LMK55" s="10"/>
      <c r="LML55" s="10"/>
      <c r="LMM55" s="10"/>
      <c r="LMN55" s="10"/>
      <c r="LMO55" s="10"/>
      <c r="LMP55" s="10"/>
      <c r="LMQ55" s="10"/>
      <c r="LMR55" s="10"/>
      <c r="LMS55" s="10"/>
      <c r="LMT55" s="10"/>
      <c r="LMU55" s="10"/>
      <c r="LMV55" s="10"/>
      <c r="LMW55" s="10"/>
      <c r="LMX55" s="10"/>
      <c r="LMY55" s="10"/>
      <c r="LMZ55" s="10"/>
      <c r="LNA55" s="10"/>
      <c r="LNB55" s="10"/>
      <c r="LNC55" s="10"/>
      <c r="LND55" s="10"/>
      <c r="LNE55" s="10"/>
      <c r="LNF55" s="10"/>
      <c r="LNG55" s="10"/>
      <c r="LNH55" s="10"/>
      <c r="LNI55" s="10"/>
      <c r="LNJ55" s="10"/>
      <c r="LNK55" s="10"/>
      <c r="LNL55" s="10"/>
      <c r="LNM55" s="10"/>
      <c r="LNN55" s="10"/>
      <c r="LNO55" s="10"/>
      <c r="LNP55" s="10"/>
      <c r="LNQ55" s="10"/>
      <c r="LNR55" s="10"/>
      <c r="LNS55" s="10"/>
      <c r="LNT55" s="10"/>
      <c r="LNU55" s="10"/>
      <c r="LNV55" s="10"/>
      <c r="LNW55" s="10"/>
      <c r="LNX55" s="10"/>
      <c r="LNY55" s="10"/>
      <c r="LNZ55" s="10"/>
      <c r="LOA55" s="10"/>
      <c r="LOB55" s="10"/>
      <c r="LOC55" s="10"/>
      <c r="LOD55" s="10"/>
      <c r="LOE55" s="10"/>
      <c r="LOF55" s="10"/>
      <c r="LOG55" s="10"/>
      <c r="LOH55" s="10"/>
      <c r="LOI55" s="10"/>
      <c r="LOJ55" s="10"/>
      <c r="LOK55" s="10"/>
      <c r="LOL55" s="10"/>
      <c r="LOM55" s="10"/>
      <c r="LON55" s="10"/>
      <c r="LOO55" s="10"/>
      <c r="LOP55" s="10"/>
      <c r="LOQ55" s="10"/>
      <c r="LOR55" s="10"/>
      <c r="LOS55" s="10"/>
      <c r="LOT55" s="10"/>
      <c r="LOU55" s="10"/>
      <c r="LOV55" s="10"/>
      <c r="LOW55" s="10"/>
      <c r="LOX55" s="10"/>
      <c r="LOY55" s="10"/>
      <c r="LOZ55" s="10"/>
      <c r="LPA55" s="10"/>
      <c r="LPB55" s="10"/>
      <c r="LPC55" s="10"/>
      <c r="LPD55" s="10"/>
      <c r="LPE55" s="10"/>
      <c r="LPF55" s="10"/>
      <c r="LPG55" s="10"/>
      <c r="LPH55" s="10"/>
      <c r="LPI55" s="10"/>
      <c r="LPJ55" s="10"/>
      <c r="LPK55" s="10"/>
      <c r="LPL55" s="10"/>
      <c r="LPM55" s="10"/>
      <c r="LPN55" s="10"/>
      <c r="LPO55" s="10"/>
      <c r="LPP55" s="10"/>
      <c r="LPQ55" s="10"/>
      <c r="LPR55" s="10"/>
      <c r="LPS55" s="10"/>
      <c r="LPT55" s="10"/>
      <c r="LPU55" s="10"/>
      <c r="LPV55" s="10"/>
      <c r="LPW55" s="10"/>
      <c r="LPX55" s="10"/>
      <c r="LPY55" s="10"/>
      <c r="LPZ55" s="10"/>
      <c r="LQA55" s="10"/>
      <c r="LQB55" s="10"/>
      <c r="LQC55" s="10"/>
      <c r="LQD55" s="10"/>
      <c r="LQE55" s="10"/>
      <c r="LQF55" s="10"/>
      <c r="LQG55" s="10"/>
      <c r="LQH55" s="10"/>
      <c r="LQI55" s="10"/>
      <c r="LQJ55" s="10"/>
      <c r="LQK55" s="10"/>
      <c r="LQL55" s="10"/>
      <c r="LQM55" s="10"/>
      <c r="LQN55" s="10"/>
      <c r="LQO55" s="10"/>
      <c r="LQP55" s="10"/>
      <c r="LQQ55" s="10"/>
      <c r="LQR55" s="10"/>
      <c r="LQS55" s="10"/>
      <c r="LQT55" s="10"/>
      <c r="LQU55" s="10"/>
      <c r="LQV55" s="10"/>
      <c r="LQW55" s="10"/>
      <c r="LQX55" s="10"/>
      <c r="LQY55" s="10"/>
      <c r="LQZ55" s="10"/>
      <c r="LRA55" s="10"/>
      <c r="LRB55" s="10"/>
      <c r="LRC55" s="10"/>
      <c r="LRD55" s="10"/>
      <c r="LRE55" s="10"/>
      <c r="LRF55" s="10"/>
      <c r="LRG55" s="10"/>
      <c r="LRH55" s="10"/>
      <c r="LRI55" s="10"/>
      <c r="LRJ55" s="10"/>
      <c r="LRK55" s="10"/>
      <c r="LRL55" s="10"/>
      <c r="LRM55" s="10"/>
      <c r="LRN55" s="10"/>
      <c r="LRO55" s="10"/>
      <c r="LRP55" s="10"/>
      <c r="LRQ55" s="10"/>
      <c r="LRR55" s="10"/>
      <c r="LRS55" s="10"/>
      <c r="LRT55" s="10"/>
      <c r="LRU55" s="10"/>
      <c r="LRV55" s="10"/>
      <c r="LRW55" s="10"/>
      <c r="LRX55" s="10"/>
      <c r="LRY55" s="10"/>
      <c r="LRZ55" s="10"/>
      <c r="LSA55" s="10"/>
      <c r="LSB55" s="10"/>
      <c r="LSC55" s="10"/>
      <c r="LSD55" s="10"/>
      <c r="LSE55" s="10"/>
      <c r="LSF55" s="10"/>
      <c r="LSG55" s="10"/>
      <c r="LSH55" s="10"/>
      <c r="LSI55" s="10"/>
      <c r="LSJ55" s="10"/>
      <c r="LSK55" s="10"/>
      <c r="LSL55" s="10"/>
      <c r="LSM55" s="10"/>
      <c r="LSN55" s="10"/>
      <c r="LSO55" s="10"/>
      <c r="LSP55" s="10"/>
      <c r="LSQ55" s="10"/>
      <c r="LSR55" s="10"/>
      <c r="LSS55" s="10"/>
      <c r="LST55" s="10"/>
      <c r="LSU55" s="10"/>
      <c r="LSV55" s="10"/>
      <c r="LSW55" s="10"/>
      <c r="LSX55" s="10"/>
      <c r="LSY55" s="10"/>
      <c r="LSZ55" s="10"/>
      <c r="LTA55" s="10"/>
      <c r="LTB55" s="10"/>
      <c r="LTC55" s="10"/>
      <c r="LTD55" s="10"/>
      <c r="LTE55" s="10"/>
      <c r="LTF55" s="10"/>
      <c r="LTG55" s="10"/>
      <c r="LTH55" s="10"/>
      <c r="LTI55" s="10"/>
      <c r="LTJ55" s="10"/>
      <c r="LTK55" s="10"/>
      <c r="LTL55" s="10"/>
      <c r="LTM55" s="10"/>
      <c r="LTN55" s="10"/>
      <c r="LTO55" s="10"/>
      <c r="LTP55" s="10"/>
      <c r="LTQ55" s="10"/>
      <c r="LTR55" s="10"/>
      <c r="LTS55" s="10"/>
      <c r="LTT55" s="10"/>
      <c r="LTU55" s="10"/>
      <c r="LTV55" s="10"/>
      <c r="LTW55" s="10"/>
      <c r="LTX55" s="10"/>
      <c r="LTY55" s="10"/>
      <c r="LTZ55" s="10"/>
      <c r="LUA55" s="10"/>
      <c r="LUB55" s="10"/>
      <c r="LUC55" s="10"/>
      <c r="LUD55" s="10"/>
      <c r="LUE55" s="10"/>
      <c r="LUF55" s="10"/>
      <c r="LUG55" s="10"/>
      <c r="LUH55" s="10"/>
      <c r="LUI55" s="10"/>
      <c r="LUJ55" s="10"/>
      <c r="LUK55" s="10"/>
      <c r="LUL55" s="10"/>
      <c r="LUM55" s="10"/>
      <c r="LUN55" s="10"/>
      <c r="LUO55" s="10"/>
      <c r="LUP55" s="10"/>
      <c r="LUQ55" s="10"/>
      <c r="LUR55" s="10"/>
      <c r="LUS55" s="10"/>
      <c r="LUT55" s="10"/>
      <c r="LUU55" s="10"/>
      <c r="LUV55" s="10"/>
      <c r="LUW55" s="10"/>
      <c r="LUX55" s="10"/>
      <c r="LUY55" s="10"/>
      <c r="LUZ55" s="10"/>
      <c r="LVA55" s="10"/>
      <c r="LVB55" s="10"/>
      <c r="LVC55" s="10"/>
      <c r="LVD55" s="10"/>
      <c r="LVE55" s="10"/>
      <c r="LVF55" s="10"/>
      <c r="LVG55" s="10"/>
      <c r="LVH55" s="10"/>
      <c r="LVI55" s="10"/>
      <c r="LVJ55" s="10"/>
      <c r="LVK55" s="10"/>
      <c r="LVL55" s="10"/>
      <c r="LVM55" s="10"/>
      <c r="LVN55" s="10"/>
      <c r="LVO55" s="10"/>
      <c r="LVP55" s="10"/>
      <c r="LVQ55" s="10"/>
      <c r="LVR55" s="10"/>
      <c r="LVS55" s="10"/>
      <c r="LVT55" s="10"/>
      <c r="LVU55" s="10"/>
      <c r="LVV55" s="10"/>
      <c r="LVW55" s="10"/>
      <c r="LVX55" s="10"/>
      <c r="LVY55" s="10"/>
      <c r="LVZ55" s="10"/>
      <c r="LWA55" s="10"/>
      <c r="LWB55" s="10"/>
      <c r="LWC55" s="10"/>
      <c r="LWD55" s="10"/>
      <c r="LWE55" s="10"/>
      <c r="LWF55" s="10"/>
      <c r="LWG55" s="10"/>
      <c r="LWH55" s="10"/>
      <c r="LWI55" s="10"/>
      <c r="LWJ55" s="10"/>
      <c r="LWK55" s="10"/>
      <c r="LWL55" s="10"/>
      <c r="LWM55" s="10"/>
      <c r="LWN55" s="10"/>
      <c r="LWO55" s="10"/>
      <c r="LWP55" s="10"/>
      <c r="LWQ55" s="10"/>
      <c r="LWR55" s="10"/>
      <c r="LWS55" s="10"/>
      <c r="LWT55" s="10"/>
      <c r="LWU55" s="10"/>
      <c r="LWV55" s="10"/>
      <c r="LWW55" s="10"/>
      <c r="LWX55" s="10"/>
      <c r="LWY55" s="10"/>
      <c r="LWZ55" s="10"/>
      <c r="LXA55" s="10"/>
      <c r="LXB55" s="10"/>
      <c r="LXC55" s="10"/>
      <c r="LXD55" s="10"/>
      <c r="LXE55" s="10"/>
      <c r="LXF55" s="10"/>
      <c r="LXG55" s="10"/>
      <c r="LXH55" s="10"/>
      <c r="LXI55" s="10"/>
      <c r="LXJ55" s="10"/>
      <c r="LXK55" s="10"/>
      <c r="LXL55" s="10"/>
      <c r="LXM55" s="10"/>
      <c r="LXN55" s="10"/>
      <c r="LXO55" s="10"/>
      <c r="LXP55" s="10"/>
      <c r="LXQ55" s="10"/>
      <c r="LXR55" s="10"/>
      <c r="LXS55" s="10"/>
      <c r="LXT55" s="10"/>
      <c r="LXU55" s="10"/>
      <c r="LXV55" s="10"/>
      <c r="LXW55" s="10"/>
      <c r="LXX55" s="10"/>
      <c r="LXY55" s="10"/>
      <c r="LXZ55" s="10"/>
      <c r="LYA55" s="10"/>
      <c r="LYB55" s="10"/>
      <c r="LYC55" s="10"/>
      <c r="LYD55" s="10"/>
      <c r="LYE55" s="10"/>
      <c r="LYF55" s="10"/>
      <c r="LYG55" s="10"/>
      <c r="LYH55" s="10"/>
      <c r="LYI55" s="10"/>
      <c r="LYJ55" s="10"/>
      <c r="LYK55" s="10"/>
      <c r="LYL55" s="10"/>
      <c r="LYM55" s="10"/>
      <c r="LYN55" s="10"/>
      <c r="LYO55" s="10"/>
      <c r="LYP55" s="10"/>
      <c r="LYQ55" s="10"/>
      <c r="LYR55" s="10"/>
      <c r="LYS55" s="10"/>
      <c r="LYT55" s="10"/>
      <c r="LYU55" s="10"/>
      <c r="LYV55" s="10"/>
      <c r="LYW55" s="10"/>
      <c r="LYX55" s="10"/>
      <c r="LYY55" s="10"/>
      <c r="LYZ55" s="10"/>
      <c r="LZA55" s="10"/>
      <c r="LZB55" s="10"/>
      <c r="LZC55" s="10"/>
      <c r="LZD55" s="10"/>
      <c r="LZE55" s="10"/>
      <c r="LZF55" s="10"/>
      <c r="LZG55" s="10"/>
      <c r="LZH55" s="10"/>
      <c r="LZI55" s="10"/>
      <c r="LZJ55" s="10"/>
      <c r="LZK55" s="10"/>
      <c r="LZL55" s="10"/>
      <c r="LZM55" s="10"/>
      <c r="LZN55" s="10"/>
      <c r="LZO55" s="10"/>
      <c r="LZP55" s="10"/>
      <c r="LZQ55" s="10"/>
      <c r="LZR55" s="10"/>
      <c r="LZS55" s="10"/>
      <c r="LZT55" s="10"/>
      <c r="LZU55" s="10"/>
      <c r="LZV55" s="10"/>
      <c r="LZW55" s="10"/>
      <c r="LZX55" s="10"/>
      <c r="LZY55" s="10"/>
      <c r="LZZ55" s="10"/>
      <c r="MAA55" s="10"/>
      <c r="MAB55" s="10"/>
      <c r="MAC55" s="10"/>
      <c r="MAD55" s="10"/>
      <c r="MAE55" s="10"/>
      <c r="MAF55" s="10"/>
      <c r="MAG55" s="10"/>
      <c r="MAH55" s="10"/>
      <c r="MAI55" s="10"/>
      <c r="MAJ55" s="10"/>
      <c r="MAK55" s="10"/>
      <c r="MAL55" s="10"/>
      <c r="MAM55" s="10"/>
      <c r="MAN55" s="10"/>
      <c r="MAO55" s="10"/>
      <c r="MAP55" s="10"/>
      <c r="MAQ55" s="10"/>
      <c r="MAR55" s="10"/>
      <c r="MAS55" s="10"/>
      <c r="MAT55" s="10"/>
      <c r="MAU55" s="10"/>
      <c r="MAV55" s="10"/>
      <c r="MAW55" s="10"/>
      <c r="MAX55" s="10"/>
      <c r="MAY55" s="10"/>
      <c r="MAZ55" s="10"/>
      <c r="MBA55" s="10"/>
      <c r="MBB55" s="10"/>
      <c r="MBC55" s="10"/>
      <c r="MBD55" s="10"/>
      <c r="MBE55" s="10"/>
      <c r="MBF55" s="10"/>
      <c r="MBG55" s="10"/>
      <c r="MBH55" s="10"/>
      <c r="MBI55" s="10"/>
      <c r="MBJ55" s="10"/>
      <c r="MBK55" s="10"/>
      <c r="MBL55" s="10"/>
      <c r="MBM55" s="10"/>
      <c r="MBN55" s="10"/>
      <c r="MBO55" s="10"/>
      <c r="MBP55" s="10"/>
      <c r="MBQ55" s="10"/>
      <c r="MBR55" s="10"/>
      <c r="MBS55" s="10"/>
      <c r="MBT55" s="10"/>
      <c r="MBU55" s="10"/>
      <c r="MBV55" s="10"/>
      <c r="MBW55" s="10"/>
      <c r="MBX55" s="10"/>
      <c r="MBY55" s="10"/>
      <c r="MBZ55" s="10"/>
      <c r="MCA55" s="10"/>
      <c r="MCB55" s="10"/>
      <c r="MCC55" s="10"/>
      <c r="MCD55" s="10"/>
      <c r="MCE55" s="10"/>
      <c r="MCF55" s="10"/>
      <c r="MCG55" s="10"/>
      <c r="MCH55" s="10"/>
      <c r="MCI55" s="10"/>
      <c r="MCJ55" s="10"/>
      <c r="MCK55" s="10"/>
      <c r="MCL55" s="10"/>
      <c r="MCM55" s="10"/>
      <c r="MCN55" s="10"/>
      <c r="MCO55" s="10"/>
      <c r="MCP55" s="10"/>
      <c r="MCQ55" s="10"/>
      <c r="MCR55" s="10"/>
      <c r="MCS55" s="10"/>
      <c r="MCT55" s="10"/>
      <c r="MCU55" s="10"/>
      <c r="MCV55" s="10"/>
      <c r="MCW55" s="10"/>
      <c r="MCX55" s="10"/>
      <c r="MCY55" s="10"/>
      <c r="MCZ55" s="10"/>
      <c r="MDA55" s="10"/>
      <c r="MDB55" s="10"/>
      <c r="MDC55" s="10"/>
      <c r="MDD55" s="10"/>
      <c r="MDE55" s="10"/>
      <c r="MDF55" s="10"/>
      <c r="MDG55" s="10"/>
      <c r="MDH55" s="10"/>
      <c r="MDI55" s="10"/>
      <c r="MDJ55" s="10"/>
      <c r="MDK55" s="10"/>
      <c r="MDL55" s="10"/>
      <c r="MDM55" s="10"/>
      <c r="MDN55" s="10"/>
      <c r="MDO55" s="10"/>
      <c r="MDP55" s="10"/>
      <c r="MDQ55" s="10"/>
      <c r="MDR55" s="10"/>
      <c r="MDS55" s="10"/>
      <c r="MDT55" s="10"/>
      <c r="MDU55" s="10"/>
      <c r="MDV55" s="10"/>
      <c r="MDW55" s="10"/>
      <c r="MDX55" s="10"/>
      <c r="MDY55" s="10"/>
      <c r="MDZ55" s="10"/>
      <c r="MEA55" s="10"/>
      <c r="MEB55" s="10"/>
      <c r="MEC55" s="10"/>
      <c r="MED55" s="10"/>
      <c r="MEE55" s="10"/>
      <c r="MEF55" s="10"/>
      <c r="MEG55" s="10"/>
      <c r="MEH55" s="10"/>
      <c r="MEI55" s="10"/>
      <c r="MEJ55" s="10"/>
      <c r="MEK55" s="10"/>
      <c r="MEL55" s="10"/>
      <c r="MEM55" s="10"/>
      <c r="MEN55" s="10"/>
      <c r="MEO55" s="10"/>
      <c r="MEP55" s="10"/>
      <c r="MEQ55" s="10"/>
      <c r="MER55" s="10"/>
      <c r="MES55" s="10"/>
      <c r="MET55" s="10"/>
      <c r="MEU55" s="10"/>
      <c r="MEV55" s="10"/>
      <c r="MEW55" s="10"/>
      <c r="MEX55" s="10"/>
      <c r="MEY55" s="10"/>
      <c r="MEZ55" s="10"/>
      <c r="MFA55" s="10"/>
      <c r="MFB55" s="10"/>
      <c r="MFC55" s="10"/>
      <c r="MFD55" s="10"/>
      <c r="MFE55" s="10"/>
      <c r="MFF55" s="10"/>
      <c r="MFG55" s="10"/>
      <c r="MFH55" s="10"/>
      <c r="MFI55" s="10"/>
      <c r="MFJ55" s="10"/>
      <c r="MFK55" s="10"/>
      <c r="MFL55" s="10"/>
      <c r="MFM55" s="10"/>
      <c r="MFN55" s="10"/>
      <c r="MFO55" s="10"/>
      <c r="MFP55" s="10"/>
      <c r="MFQ55" s="10"/>
      <c r="MFR55" s="10"/>
      <c r="MFS55" s="10"/>
      <c r="MFT55" s="10"/>
      <c r="MFU55" s="10"/>
      <c r="MFV55" s="10"/>
      <c r="MFW55" s="10"/>
      <c r="MFX55" s="10"/>
      <c r="MFY55" s="10"/>
      <c r="MFZ55" s="10"/>
      <c r="MGA55" s="10"/>
      <c r="MGB55" s="10"/>
      <c r="MGC55" s="10"/>
      <c r="MGD55" s="10"/>
      <c r="MGE55" s="10"/>
      <c r="MGF55" s="10"/>
      <c r="MGG55" s="10"/>
      <c r="MGH55" s="10"/>
      <c r="MGI55" s="10"/>
      <c r="MGJ55" s="10"/>
      <c r="MGK55" s="10"/>
      <c r="MGL55" s="10"/>
      <c r="MGM55" s="10"/>
      <c r="MGN55" s="10"/>
      <c r="MGO55" s="10"/>
      <c r="MGP55" s="10"/>
      <c r="MGQ55" s="10"/>
      <c r="MGR55" s="10"/>
      <c r="MGS55" s="10"/>
      <c r="MGT55" s="10"/>
      <c r="MGU55" s="10"/>
      <c r="MGV55" s="10"/>
      <c r="MGW55" s="10"/>
      <c r="MGX55" s="10"/>
      <c r="MGY55" s="10"/>
      <c r="MGZ55" s="10"/>
      <c r="MHA55" s="10"/>
      <c r="MHB55" s="10"/>
      <c r="MHC55" s="10"/>
      <c r="MHD55" s="10"/>
      <c r="MHE55" s="10"/>
      <c r="MHF55" s="10"/>
      <c r="MHG55" s="10"/>
      <c r="MHH55" s="10"/>
      <c r="MHI55" s="10"/>
      <c r="MHJ55" s="10"/>
      <c r="MHK55" s="10"/>
      <c r="MHL55" s="10"/>
      <c r="MHM55" s="10"/>
      <c r="MHN55" s="10"/>
      <c r="MHO55" s="10"/>
      <c r="MHP55" s="10"/>
      <c r="MHQ55" s="10"/>
      <c r="MHR55" s="10"/>
      <c r="MHS55" s="10"/>
      <c r="MHT55" s="10"/>
      <c r="MHU55" s="10"/>
      <c r="MHV55" s="10"/>
      <c r="MHW55" s="10"/>
      <c r="MHX55" s="10"/>
      <c r="MHY55" s="10"/>
      <c r="MHZ55" s="10"/>
      <c r="MIA55" s="10"/>
      <c r="MIB55" s="10"/>
      <c r="MIC55" s="10"/>
      <c r="MID55" s="10"/>
      <c r="MIE55" s="10"/>
      <c r="MIF55" s="10"/>
      <c r="MIG55" s="10"/>
      <c r="MIH55" s="10"/>
      <c r="MII55" s="10"/>
      <c r="MIJ55" s="10"/>
      <c r="MIK55" s="10"/>
      <c r="MIL55" s="10"/>
      <c r="MIM55" s="10"/>
      <c r="MIN55" s="10"/>
      <c r="MIO55" s="10"/>
      <c r="MIP55" s="10"/>
      <c r="MIQ55" s="10"/>
      <c r="MIR55" s="10"/>
      <c r="MIS55" s="10"/>
      <c r="MIT55" s="10"/>
      <c r="MIU55" s="10"/>
      <c r="MIV55" s="10"/>
      <c r="MIW55" s="10"/>
      <c r="MIX55" s="10"/>
      <c r="MIY55" s="10"/>
      <c r="MIZ55" s="10"/>
      <c r="MJA55" s="10"/>
      <c r="MJB55" s="10"/>
      <c r="MJC55" s="10"/>
      <c r="MJD55" s="10"/>
      <c r="MJE55" s="10"/>
      <c r="MJF55" s="10"/>
      <c r="MJG55" s="10"/>
      <c r="MJH55" s="10"/>
      <c r="MJI55" s="10"/>
      <c r="MJJ55" s="10"/>
      <c r="MJK55" s="10"/>
      <c r="MJL55" s="10"/>
      <c r="MJM55" s="10"/>
      <c r="MJN55" s="10"/>
      <c r="MJO55" s="10"/>
      <c r="MJP55" s="10"/>
      <c r="MJQ55" s="10"/>
      <c r="MJR55" s="10"/>
      <c r="MJS55" s="10"/>
      <c r="MJT55" s="10"/>
      <c r="MJU55" s="10"/>
      <c r="MJV55" s="10"/>
      <c r="MJW55" s="10"/>
      <c r="MJX55" s="10"/>
      <c r="MJY55" s="10"/>
      <c r="MJZ55" s="10"/>
      <c r="MKA55" s="10"/>
      <c r="MKB55" s="10"/>
      <c r="MKC55" s="10"/>
      <c r="MKD55" s="10"/>
      <c r="MKE55" s="10"/>
      <c r="MKF55" s="10"/>
      <c r="MKG55" s="10"/>
      <c r="MKH55" s="10"/>
      <c r="MKI55" s="10"/>
      <c r="MKJ55" s="10"/>
      <c r="MKK55" s="10"/>
      <c r="MKL55" s="10"/>
      <c r="MKM55" s="10"/>
      <c r="MKN55" s="10"/>
      <c r="MKO55" s="10"/>
      <c r="MKP55" s="10"/>
      <c r="MKQ55" s="10"/>
      <c r="MKR55" s="10"/>
      <c r="MKS55" s="10"/>
      <c r="MKT55" s="10"/>
      <c r="MKU55" s="10"/>
      <c r="MKV55" s="10"/>
      <c r="MKW55" s="10"/>
      <c r="MKX55" s="10"/>
      <c r="MKY55" s="10"/>
      <c r="MKZ55" s="10"/>
      <c r="MLA55" s="10"/>
      <c r="MLB55" s="10"/>
      <c r="MLC55" s="10"/>
      <c r="MLD55" s="10"/>
      <c r="MLE55" s="10"/>
      <c r="MLF55" s="10"/>
      <c r="MLG55" s="10"/>
      <c r="MLH55" s="10"/>
      <c r="MLI55" s="10"/>
      <c r="MLJ55" s="10"/>
      <c r="MLK55" s="10"/>
      <c r="MLL55" s="10"/>
      <c r="MLM55" s="10"/>
      <c r="MLN55" s="10"/>
      <c r="MLO55" s="10"/>
      <c r="MLP55" s="10"/>
      <c r="MLQ55" s="10"/>
      <c r="MLR55" s="10"/>
      <c r="MLS55" s="10"/>
      <c r="MLT55" s="10"/>
      <c r="MLU55" s="10"/>
      <c r="MLV55" s="10"/>
      <c r="MLW55" s="10"/>
      <c r="MLX55" s="10"/>
      <c r="MLY55" s="10"/>
      <c r="MLZ55" s="10"/>
      <c r="MMA55" s="10"/>
      <c r="MMB55" s="10"/>
      <c r="MMC55" s="10"/>
      <c r="MMD55" s="10"/>
      <c r="MME55" s="10"/>
      <c r="MMF55" s="10"/>
      <c r="MMG55" s="10"/>
      <c r="MMH55" s="10"/>
      <c r="MMI55" s="10"/>
      <c r="MMJ55" s="10"/>
      <c r="MMK55" s="10"/>
      <c r="MML55" s="10"/>
      <c r="MMM55" s="10"/>
      <c r="MMN55" s="10"/>
      <c r="MMO55" s="10"/>
      <c r="MMP55" s="10"/>
      <c r="MMQ55" s="10"/>
      <c r="MMR55" s="10"/>
      <c r="MMS55" s="10"/>
      <c r="MMT55" s="10"/>
      <c r="MMU55" s="10"/>
      <c r="MMV55" s="10"/>
      <c r="MMW55" s="10"/>
      <c r="MMX55" s="10"/>
      <c r="MMY55" s="10"/>
      <c r="MMZ55" s="10"/>
      <c r="MNA55" s="10"/>
      <c r="MNB55" s="10"/>
      <c r="MNC55" s="10"/>
      <c r="MND55" s="10"/>
      <c r="MNE55" s="10"/>
      <c r="MNF55" s="10"/>
      <c r="MNG55" s="10"/>
      <c r="MNH55" s="10"/>
      <c r="MNI55" s="10"/>
      <c r="MNJ55" s="10"/>
      <c r="MNK55" s="10"/>
      <c r="MNL55" s="10"/>
      <c r="MNM55" s="10"/>
      <c r="MNN55" s="10"/>
      <c r="MNO55" s="10"/>
      <c r="MNP55" s="10"/>
      <c r="MNQ55" s="10"/>
      <c r="MNR55" s="10"/>
      <c r="MNS55" s="10"/>
      <c r="MNT55" s="10"/>
      <c r="MNU55" s="10"/>
      <c r="MNV55" s="10"/>
      <c r="MNW55" s="10"/>
      <c r="MNX55" s="10"/>
      <c r="MNY55" s="10"/>
      <c r="MNZ55" s="10"/>
      <c r="MOA55" s="10"/>
      <c r="MOB55" s="10"/>
      <c r="MOC55" s="10"/>
      <c r="MOD55" s="10"/>
      <c r="MOE55" s="10"/>
      <c r="MOF55" s="10"/>
      <c r="MOG55" s="10"/>
      <c r="MOH55" s="10"/>
      <c r="MOI55" s="10"/>
      <c r="MOJ55" s="10"/>
      <c r="MOK55" s="10"/>
      <c r="MOL55" s="10"/>
      <c r="MOM55" s="10"/>
      <c r="MON55" s="10"/>
      <c r="MOO55" s="10"/>
      <c r="MOP55" s="10"/>
      <c r="MOQ55" s="10"/>
      <c r="MOR55" s="10"/>
      <c r="MOS55" s="10"/>
      <c r="MOT55" s="10"/>
      <c r="MOU55" s="10"/>
      <c r="MOV55" s="10"/>
      <c r="MOW55" s="10"/>
      <c r="MOX55" s="10"/>
      <c r="MOY55" s="10"/>
      <c r="MOZ55" s="10"/>
      <c r="MPA55" s="10"/>
      <c r="MPB55" s="10"/>
      <c r="MPC55" s="10"/>
      <c r="MPD55" s="10"/>
      <c r="MPE55" s="10"/>
      <c r="MPF55" s="10"/>
      <c r="MPG55" s="10"/>
      <c r="MPH55" s="10"/>
      <c r="MPI55" s="10"/>
      <c r="MPJ55" s="10"/>
      <c r="MPK55" s="10"/>
      <c r="MPL55" s="10"/>
      <c r="MPM55" s="10"/>
      <c r="MPN55" s="10"/>
      <c r="MPO55" s="10"/>
      <c r="MPP55" s="10"/>
      <c r="MPQ55" s="10"/>
      <c r="MPR55" s="10"/>
      <c r="MPS55" s="10"/>
      <c r="MPT55" s="10"/>
      <c r="MPU55" s="10"/>
      <c r="MPV55" s="10"/>
      <c r="MPW55" s="10"/>
      <c r="MPX55" s="10"/>
      <c r="MPY55" s="10"/>
      <c r="MPZ55" s="10"/>
      <c r="MQA55" s="10"/>
      <c r="MQB55" s="10"/>
      <c r="MQC55" s="10"/>
      <c r="MQD55" s="10"/>
      <c r="MQE55" s="10"/>
      <c r="MQF55" s="10"/>
      <c r="MQG55" s="10"/>
      <c r="MQH55" s="10"/>
      <c r="MQI55" s="10"/>
      <c r="MQJ55" s="10"/>
      <c r="MQK55" s="10"/>
      <c r="MQL55" s="10"/>
      <c r="MQM55" s="10"/>
      <c r="MQN55" s="10"/>
      <c r="MQO55" s="10"/>
      <c r="MQP55" s="10"/>
      <c r="MQQ55" s="10"/>
      <c r="MQR55" s="10"/>
      <c r="MQS55" s="10"/>
      <c r="MQT55" s="10"/>
      <c r="MQU55" s="10"/>
      <c r="MQV55" s="10"/>
      <c r="MQW55" s="10"/>
      <c r="MQX55" s="10"/>
      <c r="MQY55" s="10"/>
      <c r="MQZ55" s="10"/>
      <c r="MRA55" s="10"/>
      <c r="MRB55" s="10"/>
      <c r="MRC55" s="10"/>
      <c r="MRD55" s="10"/>
      <c r="MRE55" s="10"/>
      <c r="MRF55" s="10"/>
      <c r="MRG55" s="10"/>
      <c r="MRH55" s="10"/>
      <c r="MRI55" s="10"/>
      <c r="MRJ55" s="10"/>
      <c r="MRK55" s="10"/>
      <c r="MRL55" s="10"/>
      <c r="MRM55" s="10"/>
      <c r="MRN55" s="10"/>
      <c r="MRO55" s="10"/>
      <c r="MRP55" s="10"/>
      <c r="MRQ55" s="10"/>
      <c r="MRR55" s="10"/>
      <c r="MRS55" s="10"/>
      <c r="MRT55" s="10"/>
      <c r="MRU55" s="10"/>
      <c r="MRV55" s="10"/>
      <c r="MRW55" s="10"/>
      <c r="MRX55" s="10"/>
      <c r="MRY55" s="10"/>
      <c r="MRZ55" s="10"/>
      <c r="MSA55" s="10"/>
      <c r="MSB55" s="10"/>
      <c r="MSC55" s="10"/>
      <c r="MSD55" s="10"/>
      <c r="MSE55" s="10"/>
      <c r="MSF55" s="10"/>
      <c r="MSG55" s="10"/>
      <c r="MSH55" s="10"/>
      <c r="MSI55" s="10"/>
      <c r="MSJ55" s="10"/>
      <c r="MSK55" s="10"/>
      <c r="MSL55" s="10"/>
      <c r="MSM55" s="10"/>
      <c r="MSN55" s="10"/>
      <c r="MSO55" s="10"/>
      <c r="MSP55" s="10"/>
      <c r="MSQ55" s="10"/>
      <c r="MSR55" s="10"/>
      <c r="MSS55" s="10"/>
      <c r="MST55" s="10"/>
      <c r="MSU55" s="10"/>
      <c r="MSV55" s="10"/>
      <c r="MSW55" s="10"/>
      <c r="MSX55" s="10"/>
      <c r="MSY55" s="10"/>
      <c r="MSZ55" s="10"/>
      <c r="MTA55" s="10"/>
      <c r="MTB55" s="10"/>
      <c r="MTC55" s="10"/>
      <c r="MTD55" s="10"/>
      <c r="MTE55" s="10"/>
      <c r="MTF55" s="10"/>
      <c r="MTG55" s="10"/>
      <c r="MTH55" s="10"/>
      <c r="MTI55" s="10"/>
      <c r="MTJ55" s="10"/>
      <c r="MTK55" s="10"/>
      <c r="MTL55" s="10"/>
      <c r="MTM55" s="10"/>
      <c r="MTN55" s="10"/>
      <c r="MTO55" s="10"/>
      <c r="MTP55" s="10"/>
      <c r="MTQ55" s="10"/>
      <c r="MTR55" s="10"/>
      <c r="MTS55" s="10"/>
      <c r="MTT55" s="10"/>
      <c r="MTU55" s="10"/>
      <c r="MTV55" s="10"/>
      <c r="MTW55" s="10"/>
      <c r="MTX55" s="10"/>
      <c r="MTY55" s="10"/>
      <c r="MTZ55" s="10"/>
      <c r="MUA55" s="10"/>
      <c r="MUB55" s="10"/>
      <c r="MUC55" s="10"/>
      <c r="MUD55" s="10"/>
      <c r="MUE55" s="10"/>
      <c r="MUF55" s="10"/>
      <c r="MUG55" s="10"/>
      <c r="MUH55" s="10"/>
      <c r="MUI55" s="10"/>
      <c r="MUJ55" s="10"/>
      <c r="MUK55" s="10"/>
      <c r="MUL55" s="10"/>
      <c r="MUM55" s="10"/>
      <c r="MUN55" s="10"/>
      <c r="MUO55" s="10"/>
      <c r="MUP55" s="10"/>
      <c r="MUQ55" s="10"/>
      <c r="MUR55" s="10"/>
      <c r="MUS55" s="10"/>
      <c r="MUT55" s="10"/>
      <c r="MUU55" s="10"/>
      <c r="MUV55" s="10"/>
      <c r="MUW55" s="10"/>
      <c r="MUX55" s="10"/>
      <c r="MUY55" s="10"/>
      <c r="MUZ55" s="10"/>
      <c r="MVA55" s="10"/>
      <c r="MVB55" s="10"/>
      <c r="MVC55" s="10"/>
      <c r="MVD55" s="10"/>
      <c r="MVE55" s="10"/>
      <c r="MVF55" s="10"/>
      <c r="MVG55" s="10"/>
      <c r="MVH55" s="10"/>
      <c r="MVI55" s="10"/>
      <c r="MVJ55" s="10"/>
      <c r="MVK55" s="10"/>
      <c r="MVL55" s="10"/>
      <c r="MVM55" s="10"/>
      <c r="MVN55" s="10"/>
      <c r="MVO55" s="10"/>
      <c r="MVP55" s="10"/>
      <c r="MVQ55" s="10"/>
      <c r="MVR55" s="10"/>
      <c r="MVS55" s="10"/>
      <c r="MVT55" s="10"/>
      <c r="MVU55" s="10"/>
      <c r="MVV55" s="10"/>
      <c r="MVW55" s="10"/>
      <c r="MVX55" s="10"/>
      <c r="MVY55" s="10"/>
      <c r="MVZ55" s="10"/>
      <c r="MWA55" s="10"/>
      <c r="MWB55" s="10"/>
      <c r="MWC55" s="10"/>
      <c r="MWD55" s="10"/>
      <c r="MWE55" s="10"/>
      <c r="MWF55" s="10"/>
      <c r="MWG55" s="10"/>
      <c r="MWH55" s="10"/>
      <c r="MWI55" s="10"/>
      <c r="MWJ55" s="10"/>
      <c r="MWK55" s="10"/>
      <c r="MWL55" s="10"/>
      <c r="MWM55" s="10"/>
      <c r="MWN55" s="10"/>
      <c r="MWO55" s="10"/>
      <c r="MWP55" s="10"/>
      <c r="MWQ55" s="10"/>
      <c r="MWR55" s="10"/>
      <c r="MWS55" s="10"/>
      <c r="MWT55" s="10"/>
      <c r="MWU55" s="10"/>
      <c r="MWV55" s="10"/>
      <c r="MWW55" s="10"/>
      <c r="MWX55" s="10"/>
      <c r="MWY55" s="10"/>
      <c r="MWZ55" s="10"/>
      <c r="MXA55" s="10"/>
      <c r="MXB55" s="10"/>
      <c r="MXC55" s="10"/>
      <c r="MXD55" s="10"/>
      <c r="MXE55" s="10"/>
      <c r="MXF55" s="10"/>
      <c r="MXG55" s="10"/>
      <c r="MXH55" s="10"/>
      <c r="MXI55" s="10"/>
      <c r="MXJ55" s="10"/>
      <c r="MXK55" s="10"/>
      <c r="MXL55" s="10"/>
      <c r="MXM55" s="10"/>
      <c r="MXN55" s="10"/>
      <c r="MXO55" s="10"/>
      <c r="MXP55" s="10"/>
      <c r="MXQ55" s="10"/>
      <c r="MXR55" s="10"/>
      <c r="MXS55" s="10"/>
      <c r="MXT55" s="10"/>
      <c r="MXU55" s="10"/>
      <c r="MXV55" s="10"/>
      <c r="MXW55" s="10"/>
      <c r="MXX55" s="10"/>
      <c r="MXY55" s="10"/>
      <c r="MXZ55" s="10"/>
      <c r="MYA55" s="10"/>
      <c r="MYB55" s="10"/>
      <c r="MYC55" s="10"/>
      <c r="MYD55" s="10"/>
      <c r="MYE55" s="10"/>
      <c r="MYF55" s="10"/>
      <c r="MYG55" s="10"/>
      <c r="MYH55" s="10"/>
      <c r="MYI55" s="10"/>
      <c r="MYJ55" s="10"/>
      <c r="MYK55" s="10"/>
      <c r="MYL55" s="10"/>
      <c r="MYM55" s="10"/>
      <c r="MYN55" s="10"/>
      <c r="MYO55" s="10"/>
      <c r="MYP55" s="10"/>
      <c r="MYQ55" s="10"/>
      <c r="MYR55" s="10"/>
      <c r="MYS55" s="10"/>
      <c r="MYT55" s="10"/>
      <c r="MYU55" s="10"/>
      <c r="MYV55" s="10"/>
      <c r="MYW55" s="10"/>
      <c r="MYX55" s="10"/>
      <c r="MYY55" s="10"/>
      <c r="MYZ55" s="10"/>
      <c r="MZA55" s="10"/>
      <c r="MZB55" s="10"/>
      <c r="MZC55" s="10"/>
      <c r="MZD55" s="10"/>
      <c r="MZE55" s="10"/>
      <c r="MZF55" s="10"/>
      <c r="MZG55" s="10"/>
      <c r="MZH55" s="10"/>
      <c r="MZI55" s="10"/>
      <c r="MZJ55" s="10"/>
      <c r="MZK55" s="10"/>
      <c r="MZL55" s="10"/>
      <c r="MZM55" s="10"/>
      <c r="MZN55" s="10"/>
      <c r="MZO55" s="10"/>
      <c r="MZP55" s="10"/>
      <c r="MZQ55" s="10"/>
      <c r="MZR55" s="10"/>
      <c r="MZS55" s="10"/>
      <c r="MZT55" s="10"/>
      <c r="MZU55" s="10"/>
      <c r="MZV55" s="10"/>
      <c r="MZW55" s="10"/>
      <c r="MZX55" s="10"/>
      <c r="MZY55" s="10"/>
      <c r="MZZ55" s="10"/>
      <c r="NAA55" s="10"/>
      <c r="NAB55" s="10"/>
      <c r="NAC55" s="10"/>
      <c r="NAD55" s="10"/>
      <c r="NAE55" s="10"/>
      <c r="NAF55" s="10"/>
      <c r="NAG55" s="10"/>
      <c r="NAH55" s="10"/>
      <c r="NAI55" s="10"/>
      <c r="NAJ55" s="10"/>
      <c r="NAK55" s="10"/>
      <c r="NAL55" s="10"/>
      <c r="NAM55" s="10"/>
      <c r="NAN55" s="10"/>
      <c r="NAO55" s="10"/>
      <c r="NAP55" s="10"/>
      <c r="NAQ55" s="10"/>
      <c r="NAR55" s="10"/>
      <c r="NAS55" s="10"/>
      <c r="NAT55" s="10"/>
      <c r="NAU55" s="10"/>
      <c r="NAV55" s="10"/>
      <c r="NAW55" s="10"/>
      <c r="NAX55" s="10"/>
      <c r="NAY55" s="10"/>
      <c r="NAZ55" s="10"/>
      <c r="NBA55" s="10"/>
      <c r="NBB55" s="10"/>
      <c r="NBC55" s="10"/>
      <c r="NBD55" s="10"/>
      <c r="NBE55" s="10"/>
      <c r="NBF55" s="10"/>
      <c r="NBG55" s="10"/>
      <c r="NBH55" s="10"/>
      <c r="NBI55" s="10"/>
      <c r="NBJ55" s="10"/>
      <c r="NBK55" s="10"/>
      <c r="NBL55" s="10"/>
      <c r="NBM55" s="10"/>
      <c r="NBN55" s="10"/>
      <c r="NBO55" s="10"/>
      <c r="NBP55" s="10"/>
      <c r="NBQ55" s="10"/>
      <c r="NBR55" s="10"/>
      <c r="NBS55" s="10"/>
      <c r="NBT55" s="10"/>
      <c r="NBU55" s="10"/>
      <c r="NBV55" s="10"/>
      <c r="NBW55" s="10"/>
      <c r="NBX55" s="10"/>
      <c r="NBY55" s="10"/>
      <c r="NBZ55" s="10"/>
      <c r="NCA55" s="10"/>
      <c r="NCB55" s="10"/>
      <c r="NCC55" s="10"/>
      <c r="NCD55" s="10"/>
      <c r="NCE55" s="10"/>
      <c r="NCF55" s="10"/>
      <c r="NCG55" s="10"/>
      <c r="NCH55" s="10"/>
      <c r="NCI55" s="10"/>
      <c r="NCJ55" s="10"/>
      <c r="NCK55" s="10"/>
      <c r="NCL55" s="10"/>
      <c r="NCM55" s="10"/>
      <c r="NCN55" s="10"/>
      <c r="NCO55" s="10"/>
      <c r="NCP55" s="10"/>
      <c r="NCQ55" s="10"/>
      <c r="NCR55" s="10"/>
      <c r="NCS55" s="10"/>
      <c r="NCT55" s="10"/>
      <c r="NCU55" s="10"/>
      <c r="NCV55" s="10"/>
      <c r="NCW55" s="10"/>
      <c r="NCX55" s="10"/>
      <c r="NCY55" s="10"/>
      <c r="NCZ55" s="10"/>
      <c r="NDA55" s="10"/>
      <c r="NDB55" s="10"/>
      <c r="NDC55" s="10"/>
      <c r="NDD55" s="10"/>
      <c r="NDE55" s="10"/>
      <c r="NDF55" s="10"/>
      <c r="NDG55" s="10"/>
      <c r="NDH55" s="10"/>
      <c r="NDI55" s="10"/>
      <c r="NDJ55" s="10"/>
      <c r="NDK55" s="10"/>
      <c r="NDL55" s="10"/>
      <c r="NDM55" s="10"/>
      <c r="NDN55" s="10"/>
      <c r="NDO55" s="10"/>
      <c r="NDP55" s="10"/>
      <c r="NDQ55" s="10"/>
      <c r="NDR55" s="10"/>
      <c r="NDS55" s="10"/>
      <c r="NDT55" s="10"/>
      <c r="NDU55" s="10"/>
      <c r="NDV55" s="10"/>
      <c r="NDW55" s="10"/>
      <c r="NDX55" s="10"/>
      <c r="NDY55" s="10"/>
      <c r="NDZ55" s="10"/>
      <c r="NEA55" s="10"/>
      <c r="NEB55" s="10"/>
      <c r="NEC55" s="10"/>
      <c r="NED55" s="10"/>
      <c r="NEE55" s="10"/>
      <c r="NEF55" s="10"/>
      <c r="NEG55" s="10"/>
      <c r="NEH55" s="10"/>
      <c r="NEI55" s="10"/>
      <c r="NEJ55" s="10"/>
      <c r="NEK55" s="10"/>
      <c r="NEL55" s="10"/>
      <c r="NEM55" s="10"/>
      <c r="NEN55" s="10"/>
      <c r="NEO55" s="10"/>
      <c r="NEP55" s="10"/>
      <c r="NEQ55" s="10"/>
      <c r="NER55" s="10"/>
      <c r="NES55" s="10"/>
      <c r="NET55" s="10"/>
      <c r="NEU55" s="10"/>
      <c r="NEV55" s="10"/>
      <c r="NEW55" s="10"/>
      <c r="NEX55" s="10"/>
      <c r="NEY55" s="10"/>
      <c r="NEZ55" s="10"/>
      <c r="NFA55" s="10"/>
      <c r="NFB55" s="10"/>
      <c r="NFC55" s="10"/>
      <c r="NFD55" s="10"/>
      <c r="NFE55" s="10"/>
      <c r="NFF55" s="10"/>
      <c r="NFG55" s="10"/>
      <c r="NFH55" s="10"/>
      <c r="NFI55" s="10"/>
      <c r="NFJ55" s="10"/>
      <c r="NFK55" s="10"/>
      <c r="NFL55" s="10"/>
      <c r="NFM55" s="10"/>
      <c r="NFN55" s="10"/>
      <c r="NFO55" s="10"/>
      <c r="NFP55" s="10"/>
      <c r="NFQ55" s="10"/>
      <c r="NFR55" s="10"/>
      <c r="NFS55" s="10"/>
      <c r="NFT55" s="10"/>
      <c r="NFU55" s="10"/>
      <c r="NFV55" s="10"/>
      <c r="NFW55" s="10"/>
      <c r="NFX55" s="10"/>
      <c r="NFY55" s="10"/>
      <c r="NFZ55" s="10"/>
      <c r="NGA55" s="10"/>
      <c r="NGB55" s="10"/>
      <c r="NGC55" s="10"/>
      <c r="NGD55" s="10"/>
      <c r="NGE55" s="10"/>
      <c r="NGF55" s="10"/>
      <c r="NGG55" s="10"/>
      <c r="NGH55" s="10"/>
      <c r="NGI55" s="10"/>
      <c r="NGJ55" s="10"/>
      <c r="NGK55" s="10"/>
      <c r="NGL55" s="10"/>
      <c r="NGM55" s="10"/>
      <c r="NGN55" s="10"/>
      <c r="NGO55" s="10"/>
      <c r="NGP55" s="10"/>
      <c r="NGQ55" s="10"/>
      <c r="NGR55" s="10"/>
      <c r="NGS55" s="10"/>
      <c r="NGT55" s="10"/>
      <c r="NGU55" s="10"/>
      <c r="NGV55" s="10"/>
      <c r="NGW55" s="10"/>
      <c r="NGX55" s="10"/>
      <c r="NGY55" s="10"/>
      <c r="NGZ55" s="10"/>
      <c r="NHA55" s="10"/>
      <c r="NHB55" s="10"/>
      <c r="NHC55" s="10"/>
      <c r="NHD55" s="10"/>
      <c r="NHE55" s="10"/>
      <c r="NHF55" s="10"/>
      <c r="NHG55" s="10"/>
      <c r="NHH55" s="10"/>
      <c r="NHI55" s="10"/>
      <c r="NHJ55" s="10"/>
      <c r="NHK55" s="10"/>
      <c r="NHL55" s="10"/>
      <c r="NHM55" s="10"/>
      <c r="NHN55" s="10"/>
      <c r="NHO55" s="10"/>
      <c r="NHP55" s="10"/>
      <c r="NHQ55" s="10"/>
      <c r="NHR55" s="10"/>
      <c r="NHS55" s="10"/>
      <c r="NHT55" s="10"/>
      <c r="NHU55" s="10"/>
      <c r="NHV55" s="10"/>
      <c r="NHW55" s="10"/>
      <c r="NHX55" s="10"/>
      <c r="NHY55" s="10"/>
      <c r="NHZ55" s="10"/>
      <c r="NIA55" s="10"/>
      <c r="NIB55" s="10"/>
      <c r="NIC55" s="10"/>
      <c r="NID55" s="10"/>
      <c r="NIE55" s="10"/>
      <c r="NIF55" s="10"/>
      <c r="NIG55" s="10"/>
      <c r="NIH55" s="10"/>
      <c r="NII55" s="10"/>
      <c r="NIJ55" s="10"/>
      <c r="NIK55" s="10"/>
      <c r="NIL55" s="10"/>
      <c r="NIM55" s="10"/>
      <c r="NIN55" s="10"/>
      <c r="NIO55" s="10"/>
      <c r="NIP55" s="10"/>
      <c r="NIQ55" s="10"/>
      <c r="NIR55" s="10"/>
      <c r="NIS55" s="10"/>
      <c r="NIT55" s="10"/>
      <c r="NIU55" s="10"/>
      <c r="NIV55" s="10"/>
      <c r="NIW55" s="10"/>
      <c r="NIX55" s="10"/>
      <c r="NIY55" s="10"/>
      <c r="NIZ55" s="10"/>
      <c r="NJA55" s="10"/>
      <c r="NJB55" s="10"/>
      <c r="NJC55" s="10"/>
      <c r="NJD55" s="10"/>
      <c r="NJE55" s="10"/>
      <c r="NJF55" s="10"/>
      <c r="NJG55" s="10"/>
      <c r="NJH55" s="10"/>
      <c r="NJI55" s="10"/>
      <c r="NJJ55" s="10"/>
      <c r="NJK55" s="10"/>
      <c r="NJL55" s="10"/>
      <c r="NJM55" s="10"/>
      <c r="NJN55" s="10"/>
      <c r="NJO55" s="10"/>
      <c r="NJP55" s="10"/>
      <c r="NJQ55" s="10"/>
      <c r="NJR55" s="10"/>
      <c r="NJS55" s="10"/>
      <c r="NJT55" s="10"/>
      <c r="NJU55" s="10"/>
      <c r="NJV55" s="10"/>
      <c r="NJW55" s="10"/>
      <c r="NJX55" s="10"/>
      <c r="NJY55" s="10"/>
      <c r="NJZ55" s="10"/>
      <c r="NKA55" s="10"/>
      <c r="NKB55" s="10"/>
      <c r="NKC55" s="10"/>
      <c r="NKD55" s="10"/>
      <c r="NKE55" s="10"/>
      <c r="NKF55" s="10"/>
      <c r="NKG55" s="10"/>
      <c r="NKH55" s="10"/>
      <c r="NKI55" s="10"/>
      <c r="NKJ55" s="10"/>
      <c r="NKK55" s="10"/>
      <c r="NKL55" s="10"/>
      <c r="NKM55" s="10"/>
      <c r="NKN55" s="10"/>
      <c r="NKO55" s="10"/>
      <c r="NKP55" s="10"/>
      <c r="NKQ55" s="10"/>
      <c r="NKR55" s="10"/>
      <c r="NKS55" s="10"/>
      <c r="NKT55" s="10"/>
      <c r="NKU55" s="10"/>
      <c r="NKV55" s="10"/>
      <c r="NKW55" s="10"/>
      <c r="NKX55" s="10"/>
      <c r="NKY55" s="10"/>
      <c r="NKZ55" s="10"/>
      <c r="NLA55" s="10"/>
      <c r="NLB55" s="10"/>
      <c r="NLC55" s="10"/>
      <c r="NLD55" s="10"/>
      <c r="NLE55" s="10"/>
      <c r="NLF55" s="10"/>
      <c r="NLG55" s="10"/>
      <c r="NLH55" s="10"/>
      <c r="NLI55" s="10"/>
      <c r="NLJ55" s="10"/>
      <c r="NLK55" s="10"/>
      <c r="NLL55" s="10"/>
      <c r="NLM55" s="10"/>
      <c r="NLN55" s="10"/>
      <c r="NLO55" s="10"/>
      <c r="NLP55" s="10"/>
      <c r="NLQ55" s="10"/>
      <c r="NLR55" s="10"/>
      <c r="NLS55" s="10"/>
      <c r="NLT55" s="10"/>
      <c r="NLU55" s="10"/>
      <c r="NLV55" s="10"/>
      <c r="NLW55" s="10"/>
      <c r="NLX55" s="10"/>
      <c r="NLY55" s="10"/>
      <c r="NLZ55" s="10"/>
      <c r="NMA55" s="10"/>
      <c r="NMB55" s="10"/>
      <c r="NMC55" s="10"/>
      <c r="NMD55" s="10"/>
      <c r="NME55" s="10"/>
      <c r="NMF55" s="10"/>
      <c r="NMG55" s="10"/>
      <c r="NMH55" s="10"/>
      <c r="NMI55" s="10"/>
      <c r="NMJ55" s="10"/>
      <c r="NMK55" s="10"/>
      <c r="NML55" s="10"/>
      <c r="NMM55" s="10"/>
      <c r="NMN55" s="10"/>
      <c r="NMO55" s="10"/>
      <c r="NMP55" s="10"/>
      <c r="NMQ55" s="10"/>
      <c r="NMR55" s="10"/>
      <c r="NMS55" s="10"/>
      <c r="NMT55" s="10"/>
      <c r="NMU55" s="10"/>
      <c r="NMV55" s="10"/>
      <c r="NMW55" s="10"/>
      <c r="NMX55" s="10"/>
      <c r="NMY55" s="10"/>
      <c r="NMZ55" s="10"/>
      <c r="NNA55" s="10"/>
      <c r="NNB55" s="10"/>
      <c r="NNC55" s="10"/>
      <c r="NND55" s="10"/>
      <c r="NNE55" s="10"/>
      <c r="NNF55" s="10"/>
      <c r="NNG55" s="10"/>
      <c r="NNH55" s="10"/>
      <c r="NNI55" s="10"/>
      <c r="NNJ55" s="10"/>
      <c r="NNK55" s="10"/>
      <c r="NNL55" s="10"/>
      <c r="NNM55" s="10"/>
      <c r="NNN55" s="10"/>
      <c r="NNO55" s="10"/>
      <c r="NNP55" s="10"/>
      <c r="NNQ55" s="10"/>
      <c r="NNR55" s="10"/>
      <c r="NNS55" s="10"/>
      <c r="NNT55" s="10"/>
      <c r="NNU55" s="10"/>
      <c r="NNV55" s="10"/>
      <c r="NNW55" s="10"/>
      <c r="NNX55" s="10"/>
      <c r="NNY55" s="10"/>
      <c r="NNZ55" s="10"/>
      <c r="NOA55" s="10"/>
      <c r="NOB55" s="10"/>
      <c r="NOC55" s="10"/>
      <c r="NOD55" s="10"/>
      <c r="NOE55" s="10"/>
      <c r="NOF55" s="10"/>
      <c r="NOG55" s="10"/>
      <c r="NOH55" s="10"/>
      <c r="NOI55" s="10"/>
      <c r="NOJ55" s="10"/>
      <c r="NOK55" s="10"/>
      <c r="NOL55" s="10"/>
      <c r="NOM55" s="10"/>
      <c r="NON55" s="10"/>
      <c r="NOO55" s="10"/>
      <c r="NOP55" s="10"/>
      <c r="NOQ55" s="10"/>
      <c r="NOR55" s="10"/>
      <c r="NOS55" s="10"/>
      <c r="NOT55" s="10"/>
      <c r="NOU55" s="10"/>
      <c r="NOV55" s="10"/>
      <c r="NOW55" s="10"/>
      <c r="NOX55" s="10"/>
      <c r="NOY55" s="10"/>
      <c r="NOZ55" s="10"/>
      <c r="NPA55" s="10"/>
      <c r="NPB55" s="10"/>
      <c r="NPC55" s="10"/>
      <c r="NPD55" s="10"/>
      <c r="NPE55" s="10"/>
      <c r="NPF55" s="10"/>
      <c r="NPG55" s="10"/>
      <c r="NPH55" s="10"/>
      <c r="NPI55" s="10"/>
      <c r="NPJ55" s="10"/>
      <c r="NPK55" s="10"/>
      <c r="NPL55" s="10"/>
      <c r="NPM55" s="10"/>
      <c r="NPN55" s="10"/>
      <c r="NPO55" s="10"/>
      <c r="NPP55" s="10"/>
      <c r="NPQ55" s="10"/>
      <c r="NPR55" s="10"/>
      <c r="NPS55" s="10"/>
      <c r="NPT55" s="10"/>
      <c r="NPU55" s="10"/>
      <c r="NPV55" s="10"/>
      <c r="NPW55" s="10"/>
      <c r="NPX55" s="10"/>
      <c r="NPY55" s="10"/>
      <c r="NPZ55" s="10"/>
      <c r="NQA55" s="10"/>
      <c r="NQB55" s="10"/>
      <c r="NQC55" s="10"/>
      <c r="NQD55" s="10"/>
      <c r="NQE55" s="10"/>
      <c r="NQF55" s="10"/>
      <c r="NQG55" s="10"/>
      <c r="NQH55" s="10"/>
      <c r="NQI55" s="10"/>
      <c r="NQJ55" s="10"/>
      <c r="NQK55" s="10"/>
      <c r="NQL55" s="10"/>
      <c r="NQM55" s="10"/>
      <c r="NQN55" s="10"/>
      <c r="NQO55" s="10"/>
      <c r="NQP55" s="10"/>
      <c r="NQQ55" s="10"/>
      <c r="NQR55" s="10"/>
      <c r="NQS55" s="10"/>
      <c r="NQT55" s="10"/>
      <c r="NQU55" s="10"/>
      <c r="NQV55" s="10"/>
      <c r="NQW55" s="10"/>
      <c r="NQX55" s="10"/>
      <c r="NQY55" s="10"/>
      <c r="NQZ55" s="10"/>
      <c r="NRA55" s="10"/>
      <c r="NRB55" s="10"/>
      <c r="NRC55" s="10"/>
      <c r="NRD55" s="10"/>
      <c r="NRE55" s="10"/>
      <c r="NRF55" s="10"/>
      <c r="NRG55" s="10"/>
      <c r="NRH55" s="10"/>
      <c r="NRI55" s="10"/>
      <c r="NRJ55" s="10"/>
      <c r="NRK55" s="10"/>
      <c r="NRL55" s="10"/>
      <c r="NRM55" s="10"/>
      <c r="NRN55" s="10"/>
      <c r="NRO55" s="10"/>
      <c r="NRP55" s="10"/>
      <c r="NRQ55" s="10"/>
      <c r="NRR55" s="10"/>
      <c r="NRS55" s="10"/>
      <c r="NRT55" s="10"/>
      <c r="NRU55" s="10"/>
      <c r="NRV55" s="10"/>
      <c r="NRW55" s="10"/>
      <c r="NRX55" s="10"/>
      <c r="NRY55" s="10"/>
      <c r="NRZ55" s="10"/>
      <c r="NSA55" s="10"/>
      <c r="NSB55" s="10"/>
      <c r="NSC55" s="10"/>
      <c r="NSD55" s="10"/>
      <c r="NSE55" s="10"/>
      <c r="NSF55" s="10"/>
      <c r="NSG55" s="10"/>
      <c r="NSH55" s="10"/>
      <c r="NSI55" s="10"/>
      <c r="NSJ55" s="10"/>
      <c r="NSK55" s="10"/>
      <c r="NSL55" s="10"/>
      <c r="NSM55" s="10"/>
      <c r="NSN55" s="10"/>
      <c r="NSO55" s="10"/>
      <c r="NSP55" s="10"/>
      <c r="NSQ55" s="10"/>
      <c r="NSR55" s="10"/>
      <c r="NSS55" s="10"/>
      <c r="NST55" s="10"/>
      <c r="NSU55" s="10"/>
      <c r="NSV55" s="10"/>
      <c r="NSW55" s="10"/>
      <c r="NSX55" s="10"/>
      <c r="NSY55" s="10"/>
      <c r="NSZ55" s="10"/>
      <c r="NTA55" s="10"/>
      <c r="NTB55" s="10"/>
      <c r="NTC55" s="10"/>
      <c r="NTD55" s="10"/>
      <c r="NTE55" s="10"/>
      <c r="NTF55" s="10"/>
      <c r="NTG55" s="10"/>
      <c r="NTH55" s="10"/>
      <c r="NTI55" s="10"/>
      <c r="NTJ55" s="10"/>
      <c r="NTK55" s="10"/>
      <c r="NTL55" s="10"/>
      <c r="NTM55" s="10"/>
      <c r="NTN55" s="10"/>
      <c r="NTO55" s="10"/>
      <c r="NTP55" s="10"/>
      <c r="NTQ55" s="10"/>
      <c r="NTR55" s="10"/>
      <c r="NTS55" s="10"/>
      <c r="NTT55" s="10"/>
      <c r="NTU55" s="10"/>
      <c r="NTV55" s="10"/>
      <c r="NTW55" s="10"/>
      <c r="NTX55" s="10"/>
      <c r="NTY55" s="10"/>
      <c r="NTZ55" s="10"/>
      <c r="NUA55" s="10"/>
      <c r="NUB55" s="10"/>
      <c r="NUC55" s="10"/>
      <c r="NUD55" s="10"/>
      <c r="NUE55" s="10"/>
      <c r="NUF55" s="10"/>
      <c r="NUG55" s="10"/>
      <c r="NUH55" s="10"/>
      <c r="NUI55" s="10"/>
      <c r="NUJ55" s="10"/>
      <c r="NUK55" s="10"/>
      <c r="NUL55" s="10"/>
      <c r="NUM55" s="10"/>
      <c r="NUN55" s="10"/>
      <c r="NUO55" s="10"/>
      <c r="NUP55" s="10"/>
      <c r="NUQ55" s="10"/>
      <c r="NUR55" s="10"/>
      <c r="NUS55" s="10"/>
      <c r="NUT55" s="10"/>
      <c r="NUU55" s="10"/>
      <c r="NUV55" s="10"/>
      <c r="NUW55" s="10"/>
      <c r="NUX55" s="10"/>
      <c r="NUY55" s="10"/>
      <c r="NUZ55" s="10"/>
      <c r="NVA55" s="10"/>
      <c r="NVB55" s="10"/>
      <c r="NVC55" s="10"/>
      <c r="NVD55" s="10"/>
      <c r="NVE55" s="10"/>
      <c r="NVF55" s="10"/>
      <c r="NVG55" s="10"/>
      <c r="NVH55" s="10"/>
      <c r="NVI55" s="10"/>
      <c r="NVJ55" s="10"/>
      <c r="NVK55" s="10"/>
      <c r="NVL55" s="10"/>
      <c r="NVM55" s="10"/>
      <c r="NVN55" s="10"/>
      <c r="NVO55" s="10"/>
      <c r="NVP55" s="10"/>
      <c r="NVQ55" s="10"/>
      <c r="NVR55" s="10"/>
      <c r="NVS55" s="10"/>
      <c r="NVT55" s="10"/>
      <c r="NVU55" s="10"/>
      <c r="NVV55" s="10"/>
      <c r="NVW55" s="10"/>
      <c r="NVX55" s="10"/>
      <c r="NVY55" s="10"/>
      <c r="NVZ55" s="10"/>
      <c r="NWA55" s="10"/>
      <c r="NWB55" s="10"/>
      <c r="NWC55" s="10"/>
      <c r="NWD55" s="10"/>
      <c r="NWE55" s="10"/>
      <c r="NWF55" s="10"/>
      <c r="NWG55" s="10"/>
      <c r="NWH55" s="10"/>
      <c r="NWI55" s="10"/>
      <c r="NWJ55" s="10"/>
      <c r="NWK55" s="10"/>
      <c r="NWL55" s="10"/>
      <c r="NWM55" s="10"/>
      <c r="NWN55" s="10"/>
      <c r="NWO55" s="10"/>
      <c r="NWP55" s="10"/>
      <c r="NWQ55" s="10"/>
      <c r="NWR55" s="10"/>
      <c r="NWS55" s="10"/>
      <c r="NWT55" s="10"/>
      <c r="NWU55" s="10"/>
      <c r="NWV55" s="10"/>
      <c r="NWW55" s="10"/>
      <c r="NWX55" s="10"/>
      <c r="NWY55" s="10"/>
      <c r="NWZ55" s="10"/>
      <c r="NXA55" s="10"/>
      <c r="NXB55" s="10"/>
      <c r="NXC55" s="10"/>
      <c r="NXD55" s="10"/>
      <c r="NXE55" s="10"/>
      <c r="NXF55" s="10"/>
      <c r="NXG55" s="10"/>
      <c r="NXH55" s="10"/>
      <c r="NXI55" s="10"/>
      <c r="NXJ55" s="10"/>
      <c r="NXK55" s="10"/>
      <c r="NXL55" s="10"/>
      <c r="NXM55" s="10"/>
      <c r="NXN55" s="10"/>
      <c r="NXO55" s="10"/>
      <c r="NXP55" s="10"/>
      <c r="NXQ55" s="10"/>
      <c r="NXR55" s="10"/>
      <c r="NXS55" s="10"/>
      <c r="NXT55" s="10"/>
      <c r="NXU55" s="10"/>
      <c r="NXV55" s="10"/>
      <c r="NXW55" s="10"/>
      <c r="NXX55" s="10"/>
      <c r="NXY55" s="10"/>
      <c r="NXZ55" s="10"/>
      <c r="NYA55" s="10"/>
      <c r="NYB55" s="10"/>
      <c r="NYC55" s="10"/>
      <c r="NYD55" s="10"/>
      <c r="NYE55" s="10"/>
      <c r="NYF55" s="10"/>
      <c r="NYG55" s="10"/>
      <c r="NYH55" s="10"/>
      <c r="NYI55" s="10"/>
      <c r="NYJ55" s="10"/>
      <c r="NYK55" s="10"/>
      <c r="NYL55" s="10"/>
      <c r="NYM55" s="10"/>
      <c r="NYN55" s="10"/>
      <c r="NYO55" s="10"/>
      <c r="NYP55" s="10"/>
      <c r="NYQ55" s="10"/>
      <c r="NYR55" s="10"/>
      <c r="NYS55" s="10"/>
      <c r="NYT55" s="10"/>
      <c r="NYU55" s="10"/>
      <c r="NYV55" s="10"/>
      <c r="NYW55" s="10"/>
      <c r="NYX55" s="10"/>
      <c r="NYY55" s="10"/>
      <c r="NYZ55" s="10"/>
      <c r="NZA55" s="10"/>
      <c r="NZB55" s="10"/>
      <c r="NZC55" s="10"/>
      <c r="NZD55" s="10"/>
      <c r="NZE55" s="10"/>
      <c r="NZF55" s="10"/>
      <c r="NZG55" s="10"/>
      <c r="NZH55" s="10"/>
      <c r="NZI55" s="10"/>
      <c r="NZJ55" s="10"/>
      <c r="NZK55" s="10"/>
      <c r="NZL55" s="10"/>
      <c r="NZM55" s="10"/>
      <c r="NZN55" s="10"/>
      <c r="NZO55" s="10"/>
      <c r="NZP55" s="10"/>
      <c r="NZQ55" s="10"/>
      <c r="NZR55" s="10"/>
      <c r="NZS55" s="10"/>
      <c r="NZT55" s="10"/>
      <c r="NZU55" s="10"/>
      <c r="NZV55" s="10"/>
      <c r="NZW55" s="10"/>
      <c r="NZX55" s="10"/>
      <c r="NZY55" s="10"/>
      <c r="NZZ55" s="10"/>
      <c r="OAA55" s="10"/>
      <c r="OAB55" s="10"/>
      <c r="OAC55" s="10"/>
      <c r="OAD55" s="10"/>
      <c r="OAE55" s="10"/>
      <c r="OAF55" s="10"/>
      <c r="OAG55" s="10"/>
      <c r="OAH55" s="10"/>
      <c r="OAI55" s="10"/>
      <c r="OAJ55" s="10"/>
      <c r="OAK55" s="10"/>
      <c r="OAL55" s="10"/>
      <c r="OAM55" s="10"/>
      <c r="OAN55" s="10"/>
      <c r="OAO55" s="10"/>
      <c r="OAP55" s="10"/>
      <c r="OAQ55" s="10"/>
      <c r="OAR55" s="10"/>
      <c r="OAS55" s="10"/>
      <c r="OAT55" s="10"/>
      <c r="OAU55" s="10"/>
      <c r="OAV55" s="10"/>
      <c r="OAW55" s="10"/>
      <c r="OAX55" s="10"/>
      <c r="OAY55" s="10"/>
      <c r="OAZ55" s="10"/>
      <c r="OBA55" s="10"/>
      <c r="OBB55" s="10"/>
      <c r="OBC55" s="10"/>
      <c r="OBD55" s="10"/>
      <c r="OBE55" s="10"/>
      <c r="OBF55" s="10"/>
      <c r="OBG55" s="10"/>
      <c r="OBH55" s="10"/>
      <c r="OBI55" s="10"/>
      <c r="OBJ55" s="10"/>
      <c r="OBK55" s="10"/>
      <c r="OBL55" s="10"/>
      <c r="OBM55" s="10"/>
      <c r="OBN55" s="10"/>
      <c r="OBO55" s="10"/>
      <c r="OBP55" s="10"/>
      <c r="OBQ55" s="10"/>
      <c r="OBR55" s="10"/>
      <c r="OBS55" s="10"/>
      <c r="OBT55" s="10"/>
      <c r="OBU55" s="10"/>
      <c r="OBV55" s="10"/>
      <c r="OBW55" s="10"/>
      <c r="OBX55" s="10"/>
      <c r="OBY55" s="10"/>
      <c r="OBZ55" s="10"/>
      <c r="OCA55" s="10"/>
      <c r="OCB55" s="10"/>
      <c r="OCC55" s="10"/>
      <c r="OCD55" s="10"/>
      <c r="OCE55" s="10"/>
      <c r="OCF55" s="10"/>
      <c r="OCG55" s="10"/>
      <c r="OCH55" s="10"/>
      <c r="OCI55" s="10"/>
      <c r="OCJ55" s="10"/>
      <c r="OCK55" s="10"/>
      <c r="OCL55" s="10"/>
      <c r="OCM55" s="10"/>
      <c r="OCN55" s="10"/>
      <c r="OCO55" s="10"/>
      <c r="OCP55" s="10"/>
      <c r="OCQ55" s="10"/>
      <c r="OCR55" s="10"/>
      <c r="OCS55" s="10"/>
      <c r="OCT55" s="10"/>
      <c r="OCU55" s="10"/>
      <c r="OCV55" s="10"/>
      <c r="OCW55" s="10"/>
      <c r="OCX55" s="10"/>
      <c r="OCY55" s="10"/>
      <c r="OCZ55" s="10"/>
      <c r="ODA55" s="10"/>
      <c r="ODB55" s="10"/>
      <c r="ODC55" s="10"/>
      <c r="ODD55" s="10"/>
      <c r="ODE55" s="10"/>
      <c r="ODF55" s="10"/>
      <c r="ODG55" s="10"/>
      <c r="ODH55" s="10"/>
      <c r="ODI55" s="10"/>
      <c r="ODJ55" s="10"/>
      <c r="ODK55" s="10"/>
      <c r="ODL55" s="10"/>
      <c r="ODM55" s="10"/>
      <c r="ODN55" s="10"/>
      <c r="ODO55" s="10"/>
      <c r="ODP55" s="10"/>
      <c r="ODQ55" s="10"/>
      <c r="ODR55" s="10"/>
      <c r="ODS55" s="10"/>
      <c r="ODT55" s="10"/>
      <c r="ODU55" s="10"/>
      <c r="ODV55" s="10"/>
      <c r="ODW55" s="10"/>
      <c r="ODX55" s="10"/>
      <c r="ODY55" s="10"/>
      <c r="ODZ55" s="10"/>
      <c r="OEA55" s="10"/>
      <c r="OEB55" s="10"/>
      <c r="OEC55" s="10"/>
      <c r="OED55" s="10"/>
      <c r="OEE55" s="10"/>
      <c r="OEF55" s="10"/>
      <c r="OEG55" s="10"/>
      <c r="OEH55" s="10"/>
      <c r="OEI55" s="10"/>
      <c r="OEJ55" s="10"/>
      <c r="OEK55" s="10"/>
      <c r="OEL55" s="10"/>
      <c r="OEM55" s="10"/>
      <c r="OEN55" s="10"/>
      <c r="OEO55" s="10"/>
      <c r="OEP55" s="10"/>
      <c r="OEQ55" s="10"/>
      <c r="OER55" s="10"/>
      <c r="OES55" s="10"/>
      <c r="OET55" s="10"/>
      <c r="OEU55" s="10"/>
      <c r="OEV55" s="10"/>
      <c r="OEW55" s="10"/>
      <c r="OEX55" s="10"/>
      <c r="OEY55" s="10"/>
      <c r="OEZ55" s="10"/>
      <c r="OFA55" s="10"/>
      <c r="OFB55" s="10"/>
      <c r="OFC55" s="10"/>
      <c r="OFD55" s="10"/>
      <c r="OFE55" s="10"/>
      <c r="OFF55" s="10"/>
      <c r="OFG55" s="10"/>
      <c r="OFH55" s="10"/>
      <c r="OFI55" s="10"/>
      <c r="OFJ55" s="10"/>
      <c r="OFK55" s="10"/>
      <c r="OFL55" s="10"/>
      <c r="OFM55" s="10"/>
      <c r="OFN55" s="10"/>
      <c r="OFO55" s="10"/>
      <c r="OFP55" s="10"/>
      <c r="OFQ55" s="10"/>
      <c r="OFR55" s="10"/>
      <c r="OFS55" s="10"/>
      <c r="OFT55" s="10"/>
      <c r="OFU55" s="10"/>
      <c r="OFV55" s="10"/>
      <c r="OFW55" s="10"/>
      <c r="OFX55" s="10"/>
      <c r="OFY55" s="10"/>
      <c r="OFZ55" s="10"/>
      <c r="OGA55" s="10"/>
      <c r="OGB55" s="10"/>
      <c r="OGC55" s="10"/>
      <c r="OGD55" s="10"/>
      <c r="OGE55" s="10"/>
      <c r="OGF55" s="10"/>
      <c r="OGG55" s="10"/>
      <c r="OGH55" s="10"/>
      <c r="OGI55" s="10"/>
      <c r="OGJ55" s="10"/>
      <c r="OGK55" s="10"/>
      <c r="OGL55" s="10"/>
      <c r="OGM55" s="10"/>
      <c r="OGN55" s="10"/>
      <c r="OGO55" s="10"/>
      <c r="OGP55" s="10"/>
      <c r="OGQ55" s="10"/>
      <c r="OGR55" s="10"/>
      <c r="OGS55" s="10"/>
      <c r="OGT55" s="10"/>
      <c r="OGU55" s="10"/>
      <c r="OGV55" s="10"/>
      <c r="OGW55" s="10"/>
      <c r="OGX55" s="10"/>
      <c r="OGY55" s="10"/>
      <c r="OGZ55" s="10"/>
      <c r="OHA55" s="10"/>
      <c r="OHB55" s="10"/>
      <c r="OHC55" s="10"/>
      <c r="OHD55" s="10"/>
      <c r="OHE55" s="10"/>
      <c r="OHF55" s="10"/>
      <c r="OHG55" s="10"/>
      <c r="OHH55" s="10"/>
      <c r="OHI55" s="10"/>
      <c r="OHJ55" s="10"/>
      <c r="OHK55" s="10"/>
      <c r="OHL55" s="10"/>
      <c r="OHM55" s="10"/>
      <c r="OHN55" s="10"/>
      <c r="OHO55" s="10"/>
      <c r="OHP55" s="10"/>
      <c r="OHQ55" s="10"/>
      <c r="OHR55" s="10"/>
      <c r="OHS55" s="10"/>
      <c r="OHT55" s="10"/>
      <c r="OHU55" s="10"/>
      <c r="OHV55" s="10"/>
      <c r="OHW55" s="10"/>
      <c r="OHX55" s="10"/>
      <c r="OHY55" s="10"/>
      <c r="OHZ55" s="10"/>
      <c r="OIA55" s="10"/>
      <c r="OIB55" s="10"/>
      <c r="OIC55" s="10"/>
      <c r="OID55" s="10"/>
      <c r="OIE55" s="10"/>
      <c r="OIF55" s="10"/>
      <c r="OIG55" s="10"/>
      <c r="OIH55" s="10"/>
      <c r="OII55" s="10"/>
      <c r="OIJ55" s="10"/>
      <c r="OIK55" s="10"/>
      <c r="OIL55" s="10"/>
      <c r="OIM55" s="10"/>
      <c r="OIN55" s="10"/>
      <c r="OIO55" s="10"/>
      <c r="OIP55" s="10"/>
      <c r="OIQ55" s="10"/>
      <c r="OIR55" s="10"/>
      <c r="OIS55" s="10"/>
      <c r="OIT55" s="10"/>
      <c r="OIU55" s="10"/>
      <c r="OIV55" s="10"/>
      <c r="OIW55" s="10"/>
      <c r="OIX55" s="10"/>
      <c r="OIY55" s="10"/>
      <c r="OIZ55" s="10"/>
      <c r="OJA55" s="10"/>
      <c r="OJB55" s="10"/>
      <c r="OJC55" s="10"/>
      <c r="OJD55" s="10"/>
      <c r="OJE55" s="10"/>
      <c r="OJF55" s="10"/>
      <c r="OJG55" s="10"/>
      <c r="OJH55" s="10"/>
      <c r="OJI55" s="10"/>
      <c r="OJJ55" s="10"/>
      <c r="OJK55" s="10"/>
      <c r="OJL55" s="10"/>
      <c r="OJM55" s="10"/>
      <c r="OJN55" s="10"/>
      <c r="OJO55" s="10"/>
      <c r="OJP55" s="10"/>
      <c r="OJQ55" s="10"/>
      <c r="OJR55" s="10"/>
      <c r="OJS55" s="10"/>
      <c r="OJT55" s="10"/>
      <c r="OJU55" s="10"/>
      <c r="OJV55" s="10"/>
      <c r="OJW55" s="10"/>
      <c r="OJX55" s="10"/>
      <c r="OJY55" s="10"/>
      <c r="OJZ55" s="10"/>
      <c r="OKA55" s="10"/>
      <c r="OKB55" s="10"/>
      <c r="OKC55" s="10"/>
      <c r="OKD55" s="10"/>
      <c r="OKE55" s="10"/>
      <c r="OKF55" s="10"/>
      <c r="OKG55" s="10"/>
      <c r="OKH55" s="10"/>
      <c r="OKI55" s="10"/>
      <c r="OKJ55" s="10"/>
      <c r="OKK55" s="10"/>
      <c r="OKL55" s="10"/>
      <c r="OKM55" s="10"/>
      <c r="OKN55" s="10"/>
      <c r="OKO55" s="10"/>
      <c r="OKP55" s="10"/>
      <c r="OKQ55" s="10"/>
      <c r="OKR55" s="10"/>
      <c r="OKS55" s="10"/>
      <c r="OKT55" s="10"/>
      <c r="OKU55" s="10"/>
      <c r="OKV55" s="10"/>
      <c r="OKW55" s="10"/>
      <c r="OKX55" s="10"/>
      <c r="OKY55" s="10"/>
      <c r="OKZ55" s="10"/>
      <c r="OLA55" s="10"/>
      <c r="OLB55" s="10"/>
      <c r="OLC55" s="10"/>
      <c r="OLD55" s="10"/>
      <c r="OLE55" s="10"/>
      <c r="OLF55" s="10"/>
      <c r="OLG55" s="10"/>
      <c r="OLH55" s="10"/>
      <c r="OLI55" s="10"/>
      <c r="OLJ55" s="10"/>
      <c r="OLK55" s="10"/>
      <c r="OLL55" s="10"/>
      <c r="OLM55" s="10"/>
      <c r="OLN55" s="10"/>
      <c r="OLO55" s="10"/>
      <c r="OLP55" s="10"/>
      <c r="OLQ55" s="10"/>
      <c r="OLR55" s="10"/>
      <c r="OLS55" s="10"/>
      <c r="OLT55" s="10"/>
      <c r="OLU55" s="10"/>
      <c r="OLV55" s="10"/>
      <c r="OLW55" s="10"/>
      <c r="OLX55" s="10"/>
      <c r="OLY55" s="10"/>
      <c r="OLZ55" s="10"/>
      <c r="OMA55" s="10"/>
      <c r="OMB55" s="10"/>
      <c r="OMC55" s="10"/>
      <c r="OMD55" s="10"/>
      <c r="OME55" s="10"/>
      <c r="OMF55" s="10"/>
      <c r="OMG55" s="10"/>
      <c r="OMH55" s="10"/>
      <c r="OMI55" s="10"/>
      <c r="OMJ55" s="10"/>
      <c r="OMK55" s="10"/>
      <c r="OML55" s="10"/>
      <c r="OMM55" s="10"/>
      <c r="OMN55" s="10"/>
      <c r="OMO55" s="10"/>
      <c r="OMP55" s="10"/>
      <c r="OMQ55" s="10"/>
      <c r="OMR55" s="10"/>
      <c r="OMS55" s="10"/>
      <c r="OMT55" s="10"/>
      <c r="OMU55" s="10"/>
      <c r="OMV55" s="10"/>
      <c r="OMW55" s="10"/>
      <c r="OMX55" s="10"/>
      <c r="OMY55" s="10"/>
      <c r="OMZ55" s="10"/>
      <c r="ONA55" s="10"/>
      <c r="ONB55" s="10"/>
      <c r="ONC55" s="10"/>
      <c r="OND55" s="10"/>
      <c r="ONE55" s="10"/>
      <c r="ONF55" s="10"/>
      <c r="ONG55" s="10"/>
      <c r="ONH55" s="10"/>
      <c r="ONI55" s="10"/>
      <c r="ONJ55" s="10"/>
      <c r="ONK55" s="10"/>
      <c r="ONL55" s="10"/>
      <c r="ONM55" s="10"/>
      <c r="ONN55" s="10"/>
      <c r="ONO55" s="10"/>
      <c r="ONP55" s="10"/>
      <c r="ONQ55" s="10"/>
      <c r="ONR55" s="10"/>
      <c r="ONS55" s="10"/>
      <c r="ONT55" s="10"/>
      <c r="ONU55" s="10"/>
      <c r="ONV55" s="10"/>
      <c r="ONW55" s="10"/>
      <c r="ONX55" s="10"/>
      <c r="ONY55" s="10"/>
      <c r="ONZ55" s="10"/>
      <c r="OOA55" s="10"/>
      <c r="OOB55" s="10"/>
      <c r="OOC55" s="10"/>
      <c r="OOD55" s="10"/>
      <c r="OOE55" s="10"/>
      <c r="OOF55" s="10"/>
      <c r="OOG55" s="10"/>
      <c r="OOH55" s="10"/>
      <c r="OOI55" s="10"/>
      <c r="OOJ55" s="10"/>
      <c r="OOK55" s="10"/>
      <c r="OOL55" s="10"/>
      <c r="OOM55" s="10"/>
      <c r="OON55" s="10"/>
      <c r="OOO55" s="10"/>
      <c r="OOP55" s="10"/>
      <c r="OOQ55" s="10"/>
      <c r="OOR55" s="10"/>
      <c r="OOS55" s="10"/>
      <c r="OOT55" s="10"/>
      <c r="OOU55" s="10"/>
      <c r="OOV55" s="10"/>
      <c r="OOW55" s="10"/>
      <c r="OOX55" s="10"/>
      <c r="OOY55" s="10"/>
      <c r="OOZ55" s="10"/>
      <c r="OPA55" s="10"/>
      <c r="OPB55" s="10"/>
      <c r="OPC55" s="10"/>
      <c r="OPD55" s="10"/>
      <c r="OPE55" s="10"/>
      <c r="OPF55" s="10"/>
      <c r="OPG55" s="10"/>
      <c r="OPH55" s="10"/>
      <c r="OPI55" s="10"/>
      <c r="OPJ55" s="10"/>
      <c r="OPK55" s="10"/>
      <c r="OPL55" s="10"/>
      <c r="OPM55" s="10"/>
      <c r="OPN55" s="10"/>
      <c r="OPO55" s="10"/>
      <c r="OPP55" s="10"/>
      <c r="OPQ55" s="10"/>
      <c r="OPR55" s="10"/>
      <c r="OPS55" s="10"/>
      <c r="OPT55" s="10"/>
      <c r="OPU55" s="10"/>
      <c r="OPV55" s="10"/>
      <c r="OPW55" s="10"/>
      <c r="OPX55" s="10"/>
      <c r="OPY55" s="10"/>
      <c r="OPZ55" s="10"/>
      <c r="OQA55" s="10"/>
      <c r="OQB55" s="10"/>
      <c r="OQC55" s="10"/>
      <c r="OQD55" s="10"/>
      <c r="OQE55" s="10"/>
      <c r="OQF55" s="10"/>
      <c r="OQG55" s="10"/>
      <c r="OQH55" s="10"/>
      <c r="OQI55" s="10"/>
      <c r="OQJ55" s="10"/>
      <c r="OQK55" s="10"/>
      <c r="OQL55" s="10"/>
      <c r="OQM55" s="10"/>
      <c r="OQN55" s="10"/>
      <c r="OQO55" s="10"/>
      <c r="OQP55" s="10"/>
      <c r="OQQ55" s="10"/>
      <c r="OQR55" s="10"/>
      <c r="OQS55" s="10"/>
      <c r="OQT55" s="10"/>
      <c r="OQU55" s="10"/>
      <c r="OQV55" s="10"/>
      <c r="OQW55" s="10"/>
      <c r="OQX55" s="10"/>
      <c r="OQY55" s="10"/>
      <c r="OQZ55" s="10"/>
      <c r="ORA55" s="10"/>
      <c r="ORB55" s="10"/>
      <c r="ORC55" s="10"/>
      <c r="ORD55" s="10"/>
      <c r="ORE55" s="10"/>
      <c r="ORF55" s="10"/>
      <c r="ORG55" s="10"/>
      <c r="ORH55" s="10"/>
      <c r="ORI55" s="10"/>
      <c r="ORJ55" s="10"/>
      <c r="ORK55" s="10"/>
      <c r="ORL55" s="10"/>
      <c r="ORM55" s="10"/>
      <c r="ORN55" s="10"/>
      <c r="ORO55" s="10"/>
      <c r="ORP55" s="10"/>
      <c r="ORQ55" s="10"/>
      <c r="ORR55" s="10"/>
      <c r="ORS55" s="10"/>
      <c r="ORT55" s="10"/>
      <c r="ORU55" s="10"/>
      <c r="ORV55" s="10"/>
      <c r="ORW55" s="10"/>
      <c r="ORX55" s="10"/>
      <c r="ORY55" s="10"/>
      <c r="ORZ55" s="10"/>
      <c r="OSA55" s="10"/>
      <c r="OSB55" s="10"/>
      <c r="OSC55" s="10"/>
      <c r="OSD55" s="10"/>
      <c r="OSE55" s="10"/>
      <c r="OSF55" s="10"/>
      <c r="OSG55" s="10"/>
      <c r="OSH55" s="10"/>
      <c r="OSI55" s="10"/>
      <c r="OSJ55" s="10"/>
      <c r="OSK55" s="10"/>
      <c r="OSL55" s="10"/>
      <c r="OSM55" s="10"/>
      <c r="OSN55" s="10"/>
      <c r="OSO55" s="10"/>
      <c r="OSP55" s="10"/>
      <c r="OSQ55" s="10"/>
      <c r="OSR55" s="10"/>
      <c r="OSS55" s="10"/>
      <c r="OST55" s="10"/>
      <c r="OSU55" s="10"/>
      <c r="OSV55" s="10"/>
      <c r="OSW55" s="10"/>
      <c r="OSX55" s="10"/>
      <c r="OSY55" s="10"/>
      <c r="OSZ55" s="10"/>
      <c r="OTA55" s="10"/>
      <c r="OTB55" s="10"/>
      <c r="OTC55" s="10"/>
      <c r="OTD55" s="10"/>
      <c r="OTE55" s="10"/>
      <c r="OTF55" s="10"/>
      <c r="OTG55" s="10"/>
      <c r="OTH55" s="10"/>
      <c r="OTI55" s="10"/>
      <c r="OTJ55" s="10"/>
      <c r="OTK55" s="10"/>
      <c r="OTL55" s="10"/>
      <c r="OTM55" s="10"/>
      <c r="OTN55" s="10"/>
      <c r="OTO55" s="10"/>
      <c r="OTP55" s="10"/>
      <c r="OTQ55" s="10"/>
      <c r="OTR55" s="10"/>
      <c r="OTS55" s="10"/>
      <c r="OTT55" s="10"/>
      <c r="OTU55" s="10"/>
      <c r="OTV55" s="10"/>
      <c r="OTW55" s="10"/>
      <c r="OTX55" s="10"/>
      <c r="OTY55" s="10"/>
      <c r="OTZ55" s="10"/>
      <c r="OUA55" s="10"/>
      <c r="OUB55" s="10"/>
      <c r="OUC55" s="10"/>
      <c r="OUD55" s="10"/>
      <c r="OUE55" s="10"/>
      <c r="OUF55" s="10"/>
      <c r="OUG55" s="10"/>
      <c r="OUH55" s="10"/>
      <c r="OUI55" s="10"/>
      <c r="OUJ55" s="10"/>
      <c r="OUK55" s="10"/>
      <c r="OUL55" s="10"/>
      <c r="OUM55" s="10"/>
      <c r="OUN55" s="10"/>
      <c r="OUO55" s="10"/>
      <c r="OUP55" s="10"/>
      <c r="OUQ55" s="10"/>
      <c r="OUR55" s="10"/>
      <c r="OUS55" s="10"/>
      <c r="OUT55" s="10"/>
      <c r="OUU55" s="10"/>
      <c r="OUV55" s="10"/>
      <c r="OUW55" s="10"/>
      <c r="OUX55" s="10"/>
      <c r="OUY55" s="10"/>
      <c r="OUZ55" s="10"/>
      <c r="OVA55" s="10"/>
      <c r="OVB55" s="10"/>
      <c r="OVC55" s="10"/>
      <c r="OVD55" s="10"/>
      <c r="OVE55" s="10"/>
      <c r="OVF55" s="10"/>
      <c r="OVG55" s="10"/>
      <c r="OVH55" s="10"/>
      <c r="OVI55" s="10"/>
      <c r="OVJ55" s="10"/>
      <c r="OVK55" s="10"/>
      <c r="OVL55" s="10"/>
      <c r="OVM55" s="10"/>
      <c r="OVN55" s="10"/>
      <c r="OVO55" s="10"/>
      <c r="OVP55" s="10"/>
      <c r="OVQ55" s="10"/>
      <c r="OVR55" s="10"/>
      <c r="OVS55" s="10"/>
      <c r="OVT55" s="10"/>
      <c r="OVU55" s="10"/>
      <c r="OVV55" s="10"/>
      <c r="OVW55" s="10"/>
      <c r="OVX55" s="10"/>
      <c r="OVY55" s="10"/>
      <c r="OVZ55" s="10"/>
      <c r="OWA55" s="10"/>
      <c r="OWB55" s="10"/>
      <c r="OWC55" s="10"/>
      <c r="OWD55" s="10"/>
      <c r="OWE55" s="10"/>
      <c r="OWF55" s="10"/>
      <c r="OWG55" s="10"/>
      <c r="OWH55" s="10"/>
      <c r="OWI55" s="10"/>
      <c r="OWJ55" s="10"/>
      <c r="OWK55" s="10"/>
      <c r="OWL55" s="10"/>
      <c r="OWM55" s="10"/>
      <c r="OWN55" s="10"/>
      <c r="OWO55" s="10"/>
      <c r="OWP55" s="10"/>
      <c r="OWQ55" s="10"/>
      <c r="OWR55" s="10"/>
      <c r="OWS55" s="10"/>
      <c r="OWT55" s="10"/>
      <c r="OWU55" s="10"/>
      <c r="OWV55" s="10"/>
      <c r="OWW55" s="10"/>
      <c r="OWX55" s="10"/>
      <c r="OWY55" s="10"/>
      <c r="OWZ55" s="10"/>
      <c r="OXA55" s="10"/>
      <c r="OXB55" s="10"/>
      <c r="OXC55" s="10"/>
      <c r="OXD55" s="10"/>
      <c r="OXE55" s="10"/>
      <c r="OXF55" s="10"/>
      <c r="OXG55" s="10"/>
      <c r="OXH55" s="10"/>
      <c r="OXI55" s="10"/>
      <c r="OXJ55" s="10"/>
      <c r="OXK55" s="10"/>
      <c r="OXL55" s="10"/>
      <c r="OXM55" s="10"/>
      <c r="OXN55" s="10"/>
      <c r="OXO55" s="10"/>
      <c r="OXP55" s="10"/>
      <c r="OXQ55" s="10"/>
      <c r="OXR55" s="10"/>
      <c r="OXS55" s="10"/>
      <c r="OXT55" s="10"/>
      <c r="OXU55" s="10"/>
      <c r="OXV55" s="10"/>
      <c r="OXW55" s="10"/>
      <c r="OXX55" s="10"/>
      <c r="OXY55" s="10"/>
      <c r="OXZ55" s="10"/>
      <c r="OYA55" s="10"/>
      <c r="OYB55" s="10"/>
      <c r="OYC55" s="10"/>
      <c r="OYD55" s="10"/>
      <c r="OYE55" s="10"/>
      <c r="OYF55" s="10"/>
      <c r="OYG55" s="10"/>
      <c r="OYH55" s="10"/>
      <c r="OYI55" s="10"/>
      <c r="OYJ55" s="10"/>
      <c r="OYK55" s="10"/>
      <c r="OYL55" s="10"/>
      <c r="OYM55" s="10"/>
      <c r="OYN55" s="10"/>
      <c r="OYO55" s="10"/>
      <c r="OYP55" s="10"/>
      <c r="OYQ55" s="10"/>
      <c r="OYR55" s="10"/>
      <c r="OYS55" s="10"/>
      <c r="OYT55" s="10"/>
      <c r="OYU55" s="10"/>
      <c r="OYV55" s="10"/>
      <c r="OYW55" s="10"/>
      <c r="OYX55" s="10"/>
      <c r="OYY55" s="10"/>
      <c r="OYZ55" s="10"/>
      <c r="OZA55" s="10"/>
      <c r="OZB55" s="10"/>
      <c r="OZC55" s="10"/>
      <c r="OZD55" s="10"/>
      <c r="OZE55" s="10"/>
      <c r="OZF55" s="10"/>
      <c r="OZG55" s="10"/>
      <c r="OZH55" s="10"/>
      <c r="OZI55" s="10"/>
      <c r="OZJ55" s="10"/>
      <c r="OZK55" s="10"/>
      <c r="OZL55" s="10"/>
      <c r="OZM55" s="10"/>
      <c r="OZN55" s="10"/>
      <c r="OZO55" s="10"/>
      <c r="OZP55" s="10"/>
      <c r="OZQ55" s="10"/>
      <c r="OZR55" s="10"/>
      <c r="OZS55" s="10"/>
      <c r="OZT55" s="10"/>
      <c r="OZU55" s="10"/>
      <c r="OZV55" s="10"/>
      <c r="OZW55" s="10"/>
      <c r="OZX55" s="10"/>
      <c r="OZY55" s="10"/>
      <c r="OZZ55" s="10"/>
      <c r="PAA55" s="10"/>
      <c r="PAB55" s="10"/>
      <c r="PAC55" s="10"/>
      <c r="PAD55" s="10"/>
      <c r="PAE55" s="10"/>
      <c r="PAF55" s="10"/>
      <c r="PAG55" s="10"/>
      <c r="PAH55" s="10"/>
      <c r="PAI55" s="10"/>
      <c r="PAJ55" s="10"/>
      <c r="PAK55" s="10"/>
      <c r="PAL55" s="10"/>
      <c r="PAM55" s="10"/>
      <c r="PAN55" s="10"/>
      <c r="PAO55" s="10"/>
      <c r="PAP55" s="10"/>
      <c r="PAQ55" s="10"/>
      <c r="PAR55" s="10"/>
      <c r="PAS55" s="10"/>
      <c r="PAT55" s="10"/>
      <c r="PAU55" s="10"/>
      <c r="PAV55" s="10"/>
      <c r="PAW55" s="10"/>
      <c r="PAX55" s="10"/>
      <c r="PAY55" s="10"/>
      <c r="PAZ55" s="10"/>
      <c r="PBA55" s="10"/>
      <c r="PBB55" s="10"/>
      <c r="PBC55" s="10"/>
      <c r="PBD55" s="10"/>
      <c r="PBE55" s="10"/>
      <c r="PBF55" s="10"/>
      <c r="PBG55" s="10"/>
      <c r="PBH55" s="10"/>
      <c r="PBI55" s="10"/>
      <c r="PBJ55" s="10"/>
      <c r="PBK55" s="10"/>
      <c r="PBL55" s="10"/>
      <c r="PBM55" s="10"/>
      <c r="PBN55" s="10"/>
      <c r="PBO55" s="10"/>
      <c r="PBP55" s="10"/>
      <c r="PBQ55" s="10"/>
      <c r="PBR55" s="10"/>
      <c r="PBS55" s="10"/>
      <c r="PBT55" s="10"/>
      <c r="PBU55" s="10"/>
      <c r="PBV55" s="10"/>
      <c r="PBW55" s="10"/>
      <c r="PBX55" s="10"/>
      <c r="PBY55" s="10"/>
      <c r="PBZ55" s="10"/>
      <c r="PCA55" s="10"/>
      <c r="PCB55" s="10"/>
      <c r="PCC55" s="10"/>
      <c r="PCD55" s="10"/>
      <c r="PCE55" s="10"/>
      <c r="PCF55" s="10"/>
      <c r="PCG55" s="10"/>
      <c r="PCH55" s="10"/>
      <c r="PCI55" s="10"/>
      <c r="PCJ55" s="10"/>
      <c r="PCK55" s="10"/>
      <c r="PCL55" s="10"/>
      <c r="PCM55" s="10"/>
      <c r="PCN55" s="10"/>
      <c r="PCO55" s="10"/>
      <c r="PCP55" s="10"/>
      <c r="PCQ55" s="10"/>
      <c r="PCR55" s="10"/>
      <c r="PCS55" s="10"/>
      <c r="PCT55" s="10"/>
      <c r="PCU55" s="10"/>
      <c r="PCV55" s="10"/>
      <c r="PCW55" s="10"/>
      <c r="PCX55" s="10"/>
      <c r="PCY55" s="10"/>
      <c r="PCZ55" s="10"/>
      <c r="PDA55" s="10"/>
      <c r="PDB55" s="10"/>
      <c r="PDC55" s="10"/>
      <c r="PDD55" s="10"/>
      <c r="PDE55" s="10"/>
      <c r="PDF55" s="10"/>
      <c r="PDG55" s="10"/>
      <c r="PDH55" s="10"/>
      <c r="PDI55" s="10"/>
      <c r="PDJ55" s="10"/>
      <c r="PDK55" s="10"/>
      <c r="PDL55" s="10"/>
      <c r="PDM55" s="10"/>
      <c r="PDN55" s="10"/>
      <c r="PDO55" s="10"/>
      <c r="PDP55" s="10"/>
      <c r="PDQ55" s="10"/>
      <c r="PDR55" s="10"/>
      <c r="PDS55" s="10"/>
      <c r="PDT55" s="10"/>
      <c r="PDU55" s="10"/>
      <c r="PDV55" s="10"/>
      <c r="PDW55" s="10"/>
      <c r="PDX55" s="10"/>
      <c r="PDY55" s="10"/>
      <c r="PDZ55" s="10"/>
      <c r="PEA55" s="10"/>
      <c r="PEB55" s="10"/>
      <c r="PEC55" s="10"/>
      <c r="PED55" s="10"/>
      <c r="PEE55" s="10"/>
      <c r="PEF55" s="10"/>
      <c r="PEG55" s="10"/>
      <c r="PEH55" s="10"/>
      <c r="PEI55" s="10"/>
      <c r="PEJ55" s="10"/>
      <c r="PEK55" s="10"/>
      <c r="PEL55" s="10"/>
      <c r="PEM55" s="10"/>
      <c r="PEN55" s="10"/>
      <c r="PEO55" s="10"/>
      <c r="PEP55" s="10"/>
      <c r="PEQ55" s="10"/>
      <c r="PER55" s="10"/>
      <c r="PES55" s="10"/>
      <c r="PET55" s="10"/>
      <c r="PEU55" s="10"/>
      <c r="PEV55" s="10"/>
      <c r="PEW55" s="10"/>
      <c r="PEX55" s="10"/>
      <c r="PEY55" s="10"/>
      <c r="PEZ55" s="10"/>
      <c r="PFA55" s="10"/>
      <c r="PFB55" s="10"/>
      <c r="PFC55" s="10"/>
      <c r="PFD55" s="10"/>
      <c r="PFE55" s="10"/>
      <c r="PFF55" s="10"/>
      <c r="PFG55" s="10"/>
      <c r="PFH55" s="10"/>
      <c r="PFI55" s="10"/>
      <c r="PFJ55" s="10"/>
      <c r="PFK55" s="10"/>
      <c r="PFL55" s="10"/>
      <c r="PFM55" s="10"/>
      <c r="PFN55" s="10"/>
      <c r="PFO55" s="10"/>
      <c r="PFP55" s="10"/>
      <c r="PFQ55" s="10"/>
      <c r="PFR55" s="10"/>
      <c r="PFS55" s="10"/>
      <c r="PFT55" s="10"/>
      <c r="PFU55" s="10"/>
      <c r="PFV55" s="10"/>
      <c r="PFW55" s="10"/>
      <c r="PFX55" s="10"/>
      <c r="PFY55" s="10"/>
      <c r="PFZ55" s="10"/>
      <c r="PGA55" s="10"/>
      <c r="PGB55" s="10"/>
      <c r="PGC55" s="10"/>
      <c r="PGD55" s="10"/>
      <c r="PGE55" s="10"/>
      <c r="PGF55" s="10"/>
      <c r="PGG55" s="10"/>
      <c r="PGH55" s="10"/>
      <c r="PGI55" s="10"/>
      <c r="PGJ55" s="10"/>
      <c r="PGK55" s="10"/>
      <c r="PGL55" s="10"/>
      <c r="PGM55" s="10"/>
      <c r="PGN55" s="10"/>
      <c r="PGO55" s="10"/>
      <c r="PGP55" s="10"/>
      <c r="PGQ55" s="10"/>
      <c r="PGR55" s="10"/>
      <c r="PGS55" s="10"/>
      <c r="PGT55" s="10"/>
      <c r="PGU55" s="10"/>
      <c r="PGV55" s="10"/>
      <c r="PGW55" s="10"/>
      <c r="PGX55" s="10"/>
      <c r="PGY55" s="10"/>
      <c r="PGZ55" s="10"/>
      <c r="PHA55" s="10"/>
      <c r="PHB55" s="10"/>
      <c r="PHC55" s="10"/>
      <c r="PHD55" s="10"/>
      <c r="PHE55" s="10"/>
      <c r="PHF55" s="10"/>
      <c r="PHG55" s="10"/>
      <c r="PHH55" s="10"/>
      <c r="PHI55" s="10"/>
      <c r="PHJ55" s="10"/>
      <c r="PHK55" s="10"/>
      <c r="PHL55" s="10"/>
      <c r="PHM55" s="10"/>
      <c r="PHN55" s="10"/>
      <c r="PHO55" s="10"/>
      <c r="PHP55" s="10"/>
      <c r="PHQ55" s="10"/>
      <c r="PHR55" s="10"/>
      <c r="PHS55" s="10"/>
      <c r="PHT55" s="10"/>
      <c r="PHU55" s="10"/>
      <c r="PHV55" s="10"/>
      <c r="PHW55" s="10"/>
      <c r="PHX55" s="10"/>
      <c r="PHY55" s="10"/>
      <c r="PHZ55" s="10"/>
      <c r="PIA55" s="10"/>
      <c r="PIB55" s="10"/>
      <c r="PIC55" s="10"/>
      <c r="PID55" s="10"/>
      <c r="PIE55" s="10"/>
      <c r="PIF55" s="10"/>
      <c r="PIG55" s="10"/>
      <c r="PIH55" s="10"/>
      <c r="PII55" s="10"/>
      <c r="PIJ55" s="10"/>
      <c r="PIK55" s="10"/>
      <c r="PIL55" s="10"/>
      <c r="PIM55" s="10"/>
      <c r="PIN55" s="10"/>
      <c r="PIO55" s="10"/>
      <c r="PIP55" s="10"/>
      <c r="PIQ55" s="10"/>
      <c r="PIR55" s="10"/>
      <c r="PIS55" s="10"/>
      <c r="PIT55" s="10"/>
      <c r="PIU55" s="10"/>
      <c r="PIV55" s="10"/>
      <c r="PIW55" s="10"/>
      <c r="PIX55" s="10"/>
      <c r="PIY55" s="10"/>
      <c r="PIZ55" s="10"/>
      <c r="PJA55" s="10"/>
      <c r="PJB55" s="10"/>
      <c r="PJC55" s="10"/>
      <c r="PJD55" s="10"/>
      <c r="PJE55" s="10"/>
      <c r="PJF55" s="10"/>
      <c r="PJG55" s="10"/>
      <c r="PJH55" s="10"/>
      <c r="PJI55" s="10"/>
      <c r="PJJ55" s="10"/>
      <c r="PJK55" s="10"/>
      <c r="PJL55" s="10"/>
      <c r="PJM55" s="10"/>
      <c r="PJN55" s="10"/>
      <c r="PJO55" s="10"/>
      <c r="PJP55" s="10"/>
      <c r="PJQ55" s="10"/>
      <c r="PJR55" s="10"/>
      <c r="PJS55" s="10"/>
      <c r="PJT55" s="10"/>
      <c r="PJU55" s="10"/>
      <c r="PJV55" s="10"/>
      <c r="PJW55" s="10"/>
      <c r="PJX55" s="10"/>
      <c r="PJY55" s="10"/>
      <c r="PJZ55" s="10"/>
      <c r="PKA55" s="10"/>
      <c r="PKB55" s="10"/>
      <c r="PKC55" s="10"/>
      <c r="PKD55" s="10"/>
      <c r="PKE55" s="10"/>
      <c r="PKF55" s="10"/>
      <c r="PKG55" s="10"/>
      <c r="PKH55" s="10"/>
      <c r="PKI55" s="10"/>
      <c r="PKJ55" s="10"/>
      <c r="PKK55" s="10"/>
      <c r="PKL55" s="10"/>
      <c r="PKM55" s="10"/>
      <c r="PKN55" s="10"/>
      <c r="PKO55" s="10"/>
      <c r="PKP55" s="10"/>
      <c r="PKQ55" s="10"/>
      <c r="PKR55" s="10"/>
      <c r="PKS55" s="10"/>
      <c r="PKT55" s="10"/>
      <c r="PKU55" s="10"/>
      <c r="PKV55" s="10"/>
      <c r="PKW55" s="10"/>
      <c r="PKX55" s="10"/>
      <c r="PKY55" s="10"/>
      <c r="PKZ55" s="10"/>
      <c r="PLA55" s="10"/>
      <c r="PLB55" s="10"/>
      <c r="PLC55" s="10"/>
      <c r="PLD55" s="10"/>
      <c r="PLE55" s="10"/>
      <c r="PLF55" s="10"/>
      <c r="PLG55" s="10"/>
      <c r="PLH55" s="10"/>
      <c r="PLI55" s="10"/>
      <c r="PLJ55" s="10"/>
      <c r="PLK55" s="10"/>
      <c r="PLL55" s="10"/>
      <c r="PLM55" s="10"/>
      <c r="PLN55" s="10"/>
      <c r="PLO55" s="10"/>
      <c r="PLP55" s="10"/>
      <c r="PLQ55" s="10"/>
      <c r="PLR55" s="10"/>
      <c r="PLS55" s="10"/>
      <c r="PLT55" s="10"/>
      <c r="PLU55" s="10"/>
      <c r="PLV55" s="10"/>
      <c r="PLW55" s="10"/>
      <c r="PLX55" s="10"/>
      <c r="PLY55" s="10"/>
      <c r="PLZ55" s="10"/>
      <c r="PMA55" s="10"/>
      <c r="PMB55" s="10"/>
      <c r="PMC55" s="10"/>
      <c r="PMD55" s="10"/>
      <c r="PME55" s="10"/>
      <c r="PMF55" s="10"/>
      <c r="PMG55" s="10"/>
      <c r="PMH55" s="10"/>
      <c r="PMI55" s="10"/>
      <c r="PMJ55" s="10"/>
      <c r="PMK55" s="10"/>
      <c r="PML55" s="10"/>
      <c r="PMM55" s="10"/>
      <c r="PMN55" s="10"/>
      <c r="PMO55" s="10"/>
      <c r="PMP55" s="10"/>
      <c r="PMQ55" s="10"/>
      <c r="PMR55" s="10"/>
      <c r="PMS55" s="10"/>
      <c r="PMT55" s="10"/>
      <c r="PMU55" s="10"/>
      <c r="PMV55" s="10"/>
      <c r="PMW55" s="10"/>
      <c r="PMX55" s="10"/>
      <c r="PMY55" s="10"/>
      <c r="PMZ55" s="10"/>
      <c r="PNA55" s="10"/>
      <c r="PNB55" s="10"/>
      <c r="PNC55" s="10"/>
      <c r="PND55" s="10"/>
      <c r="PNE55" s="10"/>
      <c r="PNF55" s="10"/>
      <c r="PNG55" s="10"/>
      <c r="PNH55" s="10"/>
      <c r="PNI55" s="10"/>
      <c r="PNJ55" s="10"/>
      <c r="PNK55" s="10"/>
      <c r="PNL55" s="10"/>
      <c r="PNM55" s="10"/>
      <c r="PNN55" s="10"/>
      <c r="PNO55" s="10"/>
      <c r="PNP55" s="10"/>
      <c r="PNQ55" s="10"/>
      <c r="PNR55" s="10"/>
      <c r="PNS55" s="10"/>
      <c r="PNT55" s="10"/>
      <c r="PNU55" s="10"/>
      <c r="PNV55" s="10"/>
      <c r="PNW55" s="10"/>
      <c r="PNX55" s="10"/>
      <c r="PNY55" s="10"/>
      <c r="PNZ55" s="10"/>
      <c r="POA55" s="10"/>
      <c r="POB55" s="10"/>
      <c r="POC55" s="10"/>
      <c r="POD55" s="10"/>
      <c r="POE55" s="10"/>
      <c r="POF55" s="10"/>
      <c r="POG55" s="10"/>
      <c r="POH55" s="10"/>
      <c r="POI55" s="10"/>
      <c r="POJ55" s="10"/>
      <c r="POK55" s="10"/>
      <c r="POL55" s="10"/>
      <c r="POM55" s="10"/>
      <c r="PON55" s="10"/>
      <c r="POO55" s="10"/>
      <c r="POP55" s="10"/>
      <c r="POQ55" s="10"/>
      <c r="POR55" s="10"/>
      <c r="POS55" s="10"/>
      <c r="POT55" s="10"/>
      <c r="POU55" s="10"/>
      <c r="POV55" s="10"/>
      <c r="POW55" s="10"/>
      <c r="POX55" s="10"/>
      <c r="POY55" s="10"/>
      <c r="POZ55" s="10"/>
      <c r="PPA55" s="10"/>
      <c r="PPB55" s="10"/>
      <c r="PPC55" s="10"/>
      <c r="PPD55" s="10"/>
      <c r="PPE55" s="10"/>
      <c r="PPF55" s="10"/>
      <c r="PPG55" s="10"/>
      <c r="PPH55" s="10"/>
      <c r="PPI55" s="10"/>
      <c r="PPJ55" s="10"/>
      <c r="PPK55" s="10"/>
      <c r="PPL55" s="10"/>
      <c r="PPM55" s="10"/>
      <c r="PPN55" s="10"/>
      <c r="PPO55" s="10"/>
      <c r="PPP55" s="10"/>
      <c r="PPQ55" s="10"/>
      <c r="PPR55" s="10"/>
      <c r="PPS55" s="10"/>
      <c r="PPT55" s="10"/>
      <c r="PPU55" s="10"/>
      <c r="PPV55" s="10"/>
      <c r="PPW55" s="10"/>
      <c r="PPX55" s="10"/>
      <c r="PPY55" s="10"/>
      <c r="PPZ55" s="10"/>
      <c r="PQA55" s="10"/>
      <c r="PQB55" s="10"/>
      <c r="PQC55" s="10"/>
      <c r="PQD55" s="10"/>
      <c r="PQE55" s="10"/>
      <c r="PQF55" s="10"/>
      <c r="PQG55" s="10"/>
      <c r="PQH55" s="10"/>
      <c r="PQI55" s="10"/>
      <c r="PQJ55" s="10"/>
      <c r="PQK55" s="10"/>
      <c r="PQL55" s="10"/>
      <c r="PQM55" s="10"/>
      <c r="PQN55" s="10"/>
      <c r="PQO55" s="10"/>
      <c r="PQP55" s="10"/>
      <c r="PQQ55" s="10"/>
      <c r="PQR55" s="10"/>
      <c r="PQS55" s="10"/>
      <c r="PQT55" s="10"/>
      <c r="PQU55" s="10"/>
      <c r="PQV55" s="10"/>
      <c r="PQW55" s="10"/>
      <c r="PQX55" s="10"/>
      <c r="PQY55" s="10"/>
      <c r="PQZ55" s="10"/>
      <c r="PRA55" s="10"/>
      <c r="PRB55" s="10"/>
      <c r="PRC55" s="10"/>
      <c r="PRD55" s="10"/>
      <c r="PRE55" s="10"/>
      <c r="PRF55" s="10"/>
      <c r="PRG55" s="10"/>
      <c r="PRH55" s="10"/>
      <c r="PRI55" s="10"/>
      <c r="PRJ55" s="10"/>
      <c r="PRK55" s="10"/>
      <c r="PRL55" s="10"/>
      <c r="PRM55" s="10"/>
      <c r="PRN55" s="10"/>
      <c r="PRO55" s="10"/>
      <c r="PRP55" s="10"/>
      <c r="PRQ55" s="10"/>
      <c r="PRR55" s="10"/>
      <c r="PRS55" s="10"/>
      <c r="PRT55" s="10"/>
      <c r="PRU55" s="10"/>
      <c r="PRV55" s="10"/>
      <c r="PRW55" s="10"/>
      <c r="PRX55" s="10"/>
      <c r="PRY55" s="10"/>
      <c r="PRZ55" s="10"/>
      <c r="PSA55" s="10"/>
      <c r="PSB55" s="10"/>
      <c r="PSC55" s="10"/>
      <c r="PSD55" s="10"/>
      <c r="PSE55" s="10"/>
      <c r="PSF55" s="10"/>
      <c r="PSG55" s="10"/>
      <c r="PSH55" s="10"/>
      <c r="PSI55" s="10"/>
      <c r="PSJ55" s="10"/>
      <c r="PSK55" s="10"/>
      <c r="PSL55" s="10"/>
      <c r="PSM55" s="10"/>
      <c r="PSN55" s="10"/>
      <c r="PSO55" s="10"/>
      <c r="PSP55" s="10"/>
      <c r="PSQ55" s="10"/>
      <c r="PSR55" s="10"/>
      <c r="PSS55" s="10"/>
      <c r="PST55" s="10"/>
      <c r="PSU55" s="10"/>
      <c r="PSV55" s="10"/>
      <c r="PSW55" s="10"/>
      <c r="PSX55" s="10"/>
      <c r="PSY55" s="10"/>
      <c r="PSZ55" s="10"/>
      <c r="PTA55" s="10"/>
      <c r="PTB55" s="10"/>
      <c r="PTC55" s="10"/>
      <c r="PTD55" s="10"/>
      <c r="PTE55" s="10"/>
      <c r="PTF55" s="10"/>
      <c r="PTG55" s="10"/>
      <c r="PTH55" s="10"/>
      <c r="PTI55" s="10"/>
      <c r="PTJ55" s="10"/>
      <c r="PTK55" s="10"/>
      <c r="PTL55" s="10"/>
      <c r="PTM55" s="10"/>
      <c r="PTN55" s="10"/>
      <c r="PTO55" s="10"/>
      <c r="PTP55" s="10"/>
      <c r="PTQ55" s="10"/>
      <c r="PTR55" s="10"/>
      <c r="PTS55" s="10"/>
      <c r="PTT55" s="10"/>
      <c r="PTU55" s="10"/>
      <c r="PTV55" s="10"/>
      <c r="PTW55" s="10"/>
      <c r="PTX55" s="10"/>
      <c r="PTY55" s="10"/>
      <c r="PTZ55" s="10"/>
      <c r="PUA55" s="10"/>
      <c r="PUB55" s="10"/>
      <c r="PUC55" s="10"/>
      <c r="PUD55" s="10"/>
      <c r="PUE55" s="10"/>
      <c r="PUF55" s="10"/>
      <c r="PUG55" s="10"/>
      <c r="PUH55" s="10"/>
      <c r="PUI55" s="10"/>
      <c r="PUJ55" s="10"/>
      <c r="PUK55" s="10"/>
      <c r="PUL55" s="10"/>
      <c r="PUM55" s="10"/>
      <c r="PUN55" s="10"/>
      <c r="PUO55" s="10"/>
      <c r="PUP55" s="10"/>
      <c r="PUQ55" s="10"/>
      <c r="PUR55" s="10"/>
      <c r="PUS55" s="10"/>
      <c r="PUT55" s="10"/>
      <c r="PUU55" s="10"/>
      <c r="PUV55" s="10"/>
      <c r="PUW55" s="10"/>
      <c r="PUX55" s="10"/>
      <c r="PUY55" s="10"/>
      <c r="PUZ55" s="10"/>
      <c r="PVA55" s="10"/>
      <c r="PVB55" s="10"/>
      <c r="PVC55" s="10"/>
      <c r="PVD55" s="10"/>
      <c r="PVE55" s="10"/>
      <c r="PVF55" s="10"/>
      <c r="PVG55" s="10"/>
      <c r="PVH55" s="10"/>
      <c r="PVI55" s="10"/>
      <c r="PVJ55" s="10"/>
      <c r="PVK55" s="10"/>
      <c r="PVL55" s="10"/>
      <c r="PVM55" s="10"/>
      <c r="PVN55" s="10"/>
      <c r="PVO55" s="10"/>
      <c r="PVP55" s="10"/>
      <c r="PVQ55" s="10"/>
      <c r="PVR55" s="10"/>
      <c r="PVS55" s="10"/>
      <c r="PVT55" s="10"/>
      <c r="PVU55" s="10"/>
      <c r="PVV55" s="10"/>
      <c r="PVW55" s="10"/>
      <c r="PVX55" s="10"/>
      <c r="PVY55" s="10"/>
      <c r="PVZ55" s="10"/>
      <c r="PWA55" s="10"/>
      <c r="PWB55" s="10"/>
      <c r="PWC55" s="10"/>
      <c r="PWD55" s="10"/>
      <c r="PWE55" s="10"/>
      <c r="PWF55" s="10"/>
      <c r="PWG55" s="10"/>
      <c r="PWH55" s="10"/>
      <c r="PWI55" s="10"/>
      <c r="PWJ55" s="10"/>
      <c r="PWK55" s="10"/>
      <c r="PWL55" s="10"/>
      <c r="PWM55" s="10"/>
      <c r="PWN55" s="10"/>
      <c r="PWO55" s="10"/>
      <c r="PWP55" s="10"/>
      <c r="PWQ55" s="10"/>
      <c r="PWR55" s="10"/>
      <c r="PWS55" s="10"/>
      <c r="PWT55" s="10"/>
      <c r="PWU55" s="10"/>
      <c r="PWV55" s="10"/>
      <c r="PWW55" s="10"/>
      <c r="PWX55" s="10"/>
      <c r="PWY55" s="10"/>
      <c r="PWZ55" s="10"/>
      <c r="PXA55" s="10"/>
      <c r="PXB55" s="10"/>
      <c r="PXC55" s="10"/>
      <c r="PXD55" s="10"/>
      <c r="PXE55" s="10"/>
      <c r="PXF55" s="10"/>
      <c r="PXG55" s="10"/>
      <c r="PXH55" s="10"/>
      <c r="PXI55" s="10"/>
      <c r="PXJ55" s="10"/>
      <c r="PXK55" s="10"/>
      <c r="PXL55" s="10"/>
      <c r="PXM55" s="10"/>
      <c r="PXN55" s="10"/>
      <c r="PXO55" s="10"/>
      <c r="PXP55" s="10"/>
      <c r="PXQ55" s="10"/>
      <c r="PXR55" s="10"/>
      <c r="PXS55" s="10"/>
      <c r="PXT55" s="10"/>
      <c r="PXU55" s="10"/>
      <c r="PXV55" s="10"/>
      <c r="PXW55" s="10"/>
      <c r="PXX55" s="10"/>
      <c r="PXY55" s="10"/>
      <c r="PXZ55" s="10"/>
      <c r="PYA55" s="10"/>
      <c r="PYB55" s="10"/>
      <c r="PYC55" s="10"/>
      <c r="PYD55" s="10"/>
      <c r="PYE55" s="10"/>
      <c r="PYF55" s="10"/>
      <c r="PYG55" s="10"/>
      <c r="PYH55" s="10"/>
      <c r="PYI55" s="10"/>
      <c r="PYJ55" s="10"/>
      <c r="PYK55" s="10"/>
      <c r="PYL55" s="10"/>
      <c r="PYM55" s="10"/>
      <c r="PYN55" s="10"/>
      <c r="PYO55" s="10"/>
      <c r="PYP55" s="10"/>
      <c r="PYQ55" s="10"/>
      <c r="PYR55" s="10"/>
      <c r="PYS55" s="10"/>
      <c r="PYT55" s="10"/>
      <c r="PYU55" s="10"/>
      <c r="PYV55" s="10"/>
      <c r="PYW55" s="10"/>
      <c r="PYX55" s="10"/>
      <c r="PYY55" s="10"/>
      <c r="PYZ55" s="10"/>
      <c r="PZA55" s="10"/>
      <c r="PZB55" s="10"/>
      <c r="PZC55" s="10"/>
      <c r="PZD55" s="10"/>
      <c r="PZE55" s="10"/>
      <c r="PZF55" s="10"/>
      <c r="PZG55" s="10"/>
      <c r="PZH55" s="10"/>
      <c r="PZI55" s="10"/>
      <c r="PZJ55" s="10"/>
      <c r="PZK55" s="10"/>
      <c r="PZL55" s="10"/>
      <c r="PZM55" s="10"/>
      <c r="PZN55" s="10"/>
      <c r="PZO55" s="10"/>
      <c r="PZP55" s="10"/>
      <c r="PZQ55" s="10"/>
      <c r="PZR55" s="10"/>
      <c r="PZS55" s="10"/>
      <c r="PZT55" s="10"/>
      <c r="PZU55" s="10"/>
      <c r="PZV55" s="10"/>
      <c r="PZW55" s="10"/>
      <c r="PZX55" s="10"/>
      <c r="PZY55" s="10"/>
      <c r="PZZ55" s="10"/>
      <c r="QAA55" s="10"/>
      <c r="QAB55" s="10"/>
      <c r="QAC55" s="10"/>
      <c r="QAD55" s="10"/>
      <c r="QAE55" s="10"/>
      <c r="QAF55" s="10"/>
      <c r="QAG55" s="10"/>
      <c r="QAH55" s="10"/>
      <c r="QAI55" s="10"/>
      <c r="QAJ55" s="10"/>
      <c r="QAK55" s="10"/>
      <c r="QAL55" s="10"/>
      <c r="QAM55" s="10"/>
      <c r="QAN55" s="10"/>
      <c r="QAO55" s="10"/>
      <c r="QAP55" s="10"/>
      <c r="QAQ55" s="10"/>
      <c r="QAR55" s="10"/>
      <c r="QAS55" s="10"/>
      <c r="QAT55" s="10"/>
      <c r="QAU55" s="10"/>
      <c r="QAV55" s="10"/>
      <c r="QAW55" s="10"/>
      <c r="QAX55" s="10"/>
      <c r="QAY55" s="10"/>
      <c r="QAZ55" s="10"/>
      <c r="QBA55" s="10"/>
      <c r="QBB55" s="10"/>
      <c r="QBC55" s="10"/>
      <c r="QBD55" s="10"/>
      <c r="QBE55" s="10"/>
      <c r="QBF55" s="10"/>
      <c r="QBG55" s="10"/>
      <c r="QBH55" s="10"/>
      <c r="QBI55" s="10"/>
      <c r="QBJ55" s="10"/>
      <c r="QBK55" s="10"/>
      <c r="QBL55" s="10"/>
      <c r="QBM55" s="10"/>
      <c r="QBN55" s="10"/>
      <c r="QBO55" s="10"/>
      <c r="QBP55" s="10"/>
      <c r="QBQ55" s="10"/>
      <c r="QBR55" s="10"/>
      <c r="QBS55" s="10"/>
      <c r="QBT55" s="10"/>
      <c r="QBU55" s="10"/>
      <c r="QBV55" s="10"/>
      <c r="QBW55" s="10"/>
      <c r="QBX55" s="10"/>
      <c r="QBY55" s="10"/>
      <c r="QBZ55" s="10"/>
      <c r="QCA55" s="10"/>
      <c r="QCB55" s="10"/>
      <c r="QCC55" s="10"/>
      <c r="QCD55" s="10"/>
      <c r="QCE55" s="10"/>
      <c r="QCF55" s="10"/>
      <c r="QCG55" s="10"/>
      <c r="QCH55" s="10"/>
      <c r="QCI55" s="10"/>
      <c r="QCJ55" s="10"/>
      <c r="QCK55" s="10"/>
      <c r="QCL55" s="10"/>
      <c r="QCM55" s="10"/>
      <c r="QCN55" s="10"/>
      <c r="QCO55" s="10"/>
      <c r="QCP55" s="10"/>
      <c r="QCQ55" s="10"/>
      <c r="QCR55" s="10"/>
      <c r="QCS55" s="10"/>
      <c r="QCT55" s="10"/>
      <c r="QCU55" s="10"/>
      <c r="QCV55" s="10"/>
      <c r="QCW55" s="10"/>
      <c r="QCX55" s="10"/>
      <c r="QCY55" s="10"/>
      <c r="QCZ55" s="10"/>
      <c r="QDA55" s="10"/>
      <c r="QDB55" s="10"/>
      <c r="QDC55" s="10"/>
      <c r="QDD55" s="10"/>
      <c r="QDE55" s="10"/>
      <c r="QDF55" s="10"/>
      <c r="QDG55" s="10"/>
      <c r="QDH55" s="10"/>
      <c r="QDI55" s="10"/>
      <c r="QDJ55" s="10"/>
      <c r="QDK55" s="10"/>
      <c r="QDL55" s="10"/>
      <c r="QDM55" s="10"/>
      <c r="QDN55" s="10"/>
      <c r="QDO55" s="10"/>
      <c r="QDP55" s="10"/>
      <c r="QDQ55" s="10"/>
      <c r="QDR55" s="10"/>
      <c r="QDS55" s="10"/>
      <c r="QDT55" s="10"/>
      <c r="QDU55" s="10"/>
      <c r="QDV55" s="10"/>
      <c r="QDW55" s="10"/>
      <c r="QDX55" s="10"/>
      <c r="QDY55" s="10"/>
      <c r="QDZ55" s="10"/>
      <c r="QEA55" s="10"/>
      <c r="QEB55" s="10"/>
      <c r="QEC55" s="10"/>
      <c r="QED55" s="10"/>
      <c r="QEE55" s="10"/>
      <c r="QEF55" s="10"/>
      <c r="QEG55" s="10"/>
      <c r="QEH55" s="10"/>
      <c r="QEI55" s="10"/>
      <c r="QEJ55" s="10"/>
      <c r="QEK55" s="10"/>
      <c r="QEL55" s="10"/>
      <c r="QEM55" s="10"/>
      <c r="QEN55" s="10"/>
      <c r="QEO55" s="10"/>
      <c r="QEP55" s="10"/>
      <c r="QEQ55" s="10"/>
      <c r="QER55" s="10"/>
      <c r="QES55" s="10"/>
      <c r="QET55" s="10"/>
      <c r="QEU55" s="10"/>
      <c r="QEV55" s="10"/>
      <c r="QEW55" s="10"/>
      <c r="QEX55" s="10"/>
      <c r="QEY55" s="10"/>
      <c r="QEZ55" s="10"/>
      <c r="QFA55" s="10"/>
      <c r="QFB55" s="10"/>
      <c r="QFC55" s="10"/>
      <c r="QFD55" s="10"/>
      <c r="QFE55" s="10"/>
      <c r="QFF55" s="10"/>
      <c r="QFG55" s="10"/>
      <c r="QFH55" s="10"/>
      <c r="QFI55" s="10"/>
      <c r="QFJ55" s="10"/>
      <c r="QFK55" s="10"/>
      <c r="QFL55" s="10"/>
      <c r="QFM55" s="10"/>
      <c r="QFN55" s="10"/>
      <c r="QFO55" s="10"/>
      <c r="QFP55" s="10"/>
      <c r="QFQ55" s="10"/>
      <c r="QFR55" s="10"/>
      <c r="QFS55" s="10"/>
      <c r="QFT55" s="10"/>
      <c r="QFU55" s="10"/>
      <c r="QFV55" s="10"/>
      <c r="QFW55" s="10"/>
      <c r="QFX55" s="10"/>
      <c r="QFY55" s="10"/>
      <c r="QFZ55" s="10"/>
      <c r="QGA55" s="10"/>
      <c r="QGB55" s="10"/>
      <c r="QGC55" s="10"/>
      <c r="QGD55" s="10"/>
      <c r="QGE55" s="10"/>
      <c r="QGF55" s="10"/>
      <c r="QGG55" s="10"/>
      <c r="QGH55" s="10"/>
      <c r="QGI55" s="10"/>
      <c r="QGJ55" s="10"/>
      <c r="QGK55" s="10"/>
      <c r="QGL55" s="10"/>
      <c r="QGM55" s="10"/>
      <c r="QGN55" s="10"/>
      <c r="QGO55" s="10"/>
      <c r="QGP55" s="10"/>
      <c r="QGQ55" s="10"/>
      <c r="QGR55" s="10"/>
      <c r="QGS55" s="10"/>
      <c r="QGT55" s="10"/>
      <c r="QGU55" s="10"/>
      <c r="QGV55" s="10"/>
      <c r="QGW55" s="10"/>
      <c r="QGX55" s="10"/>
      <c r="QGY55" s="10"/>
      <c r="QGZ55" s="10"/>
      <c r="QHA55" s="10"/>
      <c r="QHB55" s="10"/>
      <c r="QHC55" s="10"/>
      <c r="QHD55" s="10"/>
      <c r="QHE55" s="10"/>
      <c r="QHF55" s="10"/>
      <c r="QHG55" s="10"/>
      <c r="QHH55" s="10"/>
      <c r="QHI55" s="10"/>
      <c r="QHJ55" s="10"/>
      <c r="QHK55" s="10"/>
      <c r="QHL55" s="10"/>
      <c r="QHM55" s="10"/>
      <c r="QHN55" s="10"/>
      <c r="QHO55" s="10"/>
      <c r="QHP55" s="10"/>
      <c r="QHQ55" s="10"/>
      <c r="QHR55" s="10"/>
      <c r="QHS55" s="10"/>
      <c r="QHT55" s="10"/>
      <c r="QHU55" s="10"/>
      <c r="QHV55" s="10"/>
      <c r="QHW55" s="10"/>
      <c r="QHX55" s="10"/>
      <c r="QHY55" s="10"/>
      <c r="QHZ55" s="10"/>
      <c r="QIA55" s="10"/>
      <c r="QIB55" s="10"/>
      <c r="QIC55" s="10"/>
      <c r="QID55" s="10"/>
      <c r="QIE55" s="10"/>
      <c r="QIF55" s="10"/>
      <c r="QIG55" s="10"/>
      <c r="QIH55" s="10"/>
      <c r="QII55" s="10"/>
      <c r="QIJ55" s="10"/>
      <c r="QIK55" s="10"/>
      <c r="QIL55" s="10"/>
      <c r="QIM55" s="10"/>
      <c r="QIN55" s="10"/>
      <c r="QIO55" s="10"/>
      <c r="QIP55" s="10"/>
      <c r="QIQ55" s="10"/>
      <c r="QIR55" s="10"/>
      <c r="QIS55" s="10"/>
      <c r="QIT55" s="10"/>
      <c r="QIU55" s="10"/>
      <c r="QIV55" s="10"/>
      <c r="QIW55" s="10"/>
      <c r="QIX55" s="10"/>
      <c r="QIY55" s="10"/>
      <c r="QIZ55" s="10"/>
      <c r="QJA55" s="10"/>
      <c r="QJB55" s="10"/>
      <c r="QJC55" s="10"/>
      <c r="QJD55" s="10"/>
      <c r="QJE55" s="10"/>
      <c r="QJF55" s="10"/>
      <c r="QJG55" s="10"/>
      <c r="QJH55" s="10"/>
      <c r="QJI55" s="10"/>
      <c r="QJJ55" s="10"/>
      <c r="QJK55" s="10"/>
      <c r="QJL55" s="10"/>
      <c r="QJM55" s="10"/>
      <c r="QJN55" s="10"/>
      <c r="QJO55" s="10"/>
      <c r="QJP55" s="10"/>
      <c r="QJQ55" s="10"/>
      <c r="QJR55" s="10"/>
      <c r="QJS55" s="10"/>
      <c r="QJT55" s="10"/>
      <c r="QJU55" s="10"/>
      <c r="QJV55" s="10"/>
      <c r="QJW55" s="10"/>
      <c r="QJX55" s="10"/>
      <c r="QJY55" s="10"/>
      <c r="QJZ55" s="10"/>
      <c r="QKA55" s="10"/>
      <c r="QKB55" s="10"/>
      <c r="QKC55" s="10"/>
      <c r="QKD55" s="10"/>
      <c r="QKE55" s="10"/>
      <c r="QKF55" s="10"/>
      <c r="QKG55" s="10"/>
      <c r="QKH55" s="10"/>
      <c r="QKI55" s="10"/>
      <c r="QKJ55" s="10"/>
      <c r="QKK55" s="10"/>
      <c r="QKL55" s="10"/>
      <c r="QKM55" s="10"/>
      <c r="QKN55" s="10"/>
      <c r="QKO55" s="10"/>
      <c r="QKP55" s="10"/>
      <c r="QKQ55" s="10"/>
      <c r="QKR55" s="10"/>
      <c r="QKS55" s="10"/>
      <c r="QKT55" s="10"/>
      <c r="QKU55" s="10"/>
      <c r="QKV55" s="10"/>
      <c r="QKW55" s="10"/>
      <c r="QKX55" s="10"/>
      <c r="QKY55" s="10"/>
      <c r="QKZ55" s="10"/>
      <c r="QLA55" s="10"/>
      <c r="QLB55" s="10"/>
      <c r="QLC55" s="10"/>
      <c r="QLD55" s="10"/>
      <c r="QLE55" s="10"/>
      <c r="QLF55" s="10"/>
      <c r="QLG55" s="10"/>
      <c r="QLH55" s="10"/>
      <c r="QLI55" s="10"/>
      <c r="QLJ55" s="10"/>
      <c r="QLK55" s="10"/>
      <c r="QLL55" s="10"/>
      <c r="QLM55" s="10"/>
      <c r="QLN55" s="10"/>
      <c r="QLO55" s="10"/>
      <c r="QLP55" s="10"/>
      <c r="QLQ55" s="10"/>
      <c r="QLR55" s="10"/>
      <c r="QLS55" s="10"/>
      <c r="QLT55" s="10"/>
      <c r="QLU55" s="10"/>
      <c r="QLV55" s="10"/>
      <c r="QLW55" s="10"/>
      <c r="QLX55" s="10"/>
      <c r="QLY55" s="10"/>
      <c r="QLZ55" s="10"/>
      <c r="QMA55" s="10"/>
      <c r="QMB55" s="10"/>
      <c r="QMC55" s="10"/>
      <c r="QMD55" s="10"/>
      <c r="QME55" s="10"/>
      <c r="QMF55" s="10"/>
      <c r="QMG55" s="10"/>
      <c r="QMH55" s="10"/>
      <c r="QMI55" s="10"/>
      <c r="QMJ55" s="10"/>
      <c r="QMK55" s="10"/>
      <c r="QML55" s="10"/>
      <c r="QMM55" s="10"/>
      <c r="QMN55" s="10"/>
      <c r="QMO55" s="10"/>
      <c r="QMP55" s="10"/>
      <c r="QMQ55" s="10"/>
      <c r="QMR55" s="10"/>
      <c r="QMS55" s="10"/>
      <c r="QMT55" s="10"/>
      <c r="QMU55" s="10"/>
      <c r="QMV55" s="10"/>
      <c r="QMW55" s="10"/>
      <c r="QMX55" s="10"/>
      <c r="QMY55" s="10"/>
      <c r="QMZ55" s="10"/>
      <c r="QNA55" s="10"/>
      <c r="QNB55" s="10"/>
      <c r="QNC55" s="10"/>
      <c r="QND55" s="10"/>
      <c r="QNE55" s="10"/>
      <c r="QNF55" s="10"/>
      <c r="QNG55" s="10"/>
      <c r="QNH55" s="10"/>
      <c r="QNI55" s="10"/>
      <c r="QNJ55" s="10"/>
      <c r="QNK55" s="10"/>
      <c r="QNL55" s="10"/>
      <c r="QNM55" s="10"/>
      <c r="QNN55" s="10"/>
      <c r="QNO55" s="10"/>
      <c r="QNP55" s="10"/>
      <c r="QNQ55" s="10"/>
      <c r="QNR55" s="10"/>
      <c r="QNS55" s="10"/>
      <c r="QNT55" s="10"/>
      <c r="QNU55" s="10"/>
      <c r="QNV55" s="10"/>
      <c r="QNW55" s="10"/>
      <c r="QNX55" s="10"/>
      <c r="QNY55" s="10"/>
      <c r="QNZ55" s="10"/>
      <c r="QOA55" s="10"/>
      <c r="QOB55" s="10"/>
      <c r="QOC55" s="10"/>
      <c r="QOD55" s="10"/>
      <c r="QOE55" s="10"/>
      <c r="QOF55" s="10"/>
      <c r="QOG55" s="10"/>
      <c r="QOH55" s="10"/>
      <c r="QOI55" s="10"/>
      <c r="QOJ55" s="10"/>
      <c r="QOK55" s="10"/>
      <c r="QOL55" s="10"/>
      <c r="QOM55" s="10"/>
      <c r="QON55" s="10"/>
      <c r="QOO55" s="10"/>
      <c r="QOP55" s="10"/>
      <c r="QOQ55" s="10"/>
      <c r="QOR55" s="10"/>
      <c r="QOS55" s="10"/>
      <c r="QOT55" s="10"/>
      <c r="QOU55" s="10"/>
      <c r="QOV55" s="10"/>
      <c r="QOW55" s="10"/>
      <c r="QOX55" s="10"/>
      <c r="QOY55" s="10"/>
      <c r="QOZ55" s="10"/>
      <c r="QPA55" s="10"/>
      <c r="QPB55" s="10"/>
      <c r="QPC55" s="10"/>
      <c r="QPD55" s="10"/>
      <c r="QPE55" s="10"/>
      <c r="QPF55" s="10"/>
      <c r="QPG55" s="10"/>
      <c r="QPH55" s="10"/>
      <c r="QPI55" s="10"/>
      <c r="QPJ55" s="10"/>
      <c r="QPK55" s="10"/>
      <c r="QPL55" s="10"/>
      <c r="QPM55" s="10"/>
      <c r="QPN55" s="10"/>
      <c r="QPO55" s="10"/>
      <c r="QPP55" s="10"/>
      <c r="QPQ55" s="10"/>
      <c r="QPR55" s="10"/>
      <c r="QPS55" s="10"/>
      <c r="QPT55" s="10"/>
      <c r="QPU55" s="10"/>
      <c r="QPV55" s="10"/>
      <c r="QPW55" s="10"/>
      <c r="QPX55" s="10"/>
      <c r="QPY55" s="10"/>
      <c r="QPZ55" s="10"/>
      <c r="QQA55" s="10"/>
      <c r="QQB55" s="10"/>
      <c r="QQC55" s="10"/>
      <c r="QQD55" s="10"/>
      <c r="QQE55" s="10"/>
      <c r="QQF55" s="10"/>
      <c r="QQG55" s="10"/>
      <c r="QQH55" s="10"/>
      <c r="QQI55" s="10"/>
      <c r="QQJ55" s="10"/>
      <c r="QQK55" s="10"/>
      <c r="QQL55" s="10"/>
      <c r="QQM55" s="10"/>
      <c r="QQN55" s="10"/>
      <c r="QQO55" s="10"/>
      <c r="QQP55" s="10"/>
      <c r="QQQ55" s="10"/>
      <c r="QQR55" s="10"/>
      <c r="QQS55" s="10"/>
      <c r="QQT55" s="10"/>
      <c r="QQU55" s="10"/>
      <c r="QQV55" s="10"/>
      <c r="QQW55" s="10"/>
      <c r="QQX55" s="10"/>
      <c r="QQY55" s="10"/>
      <c r="QQZ55" s="10"/>
      <c r="QRA55" s="10"/>
      <c r="QRB55" s="10"/>
      <c r="QRC55" s="10"/>
      <c r="QRD55" s="10"/>
      <c r="QRE55" s="10"/>
      <c r="QRF55" s="10"/>
      <c r="QRG55" s="10"/>
      <c r="QRH55" s="10"/>
      <c r="QRI55" s="10"/>
      <c r="QRJ55" s="10"/>
      <c r="QRK55" s="10"/>
      <c r="QRL55" s="10"/>
      <c r="QRM55" s="10"/>
      <c r="QRN55" s="10"/>
      <c r="QRO55" s="10"/>
      <c r="QRP55" s="10"/>
      <c r="QRQ55" s="10"/>
      <c r="QRR55" s="10"/>
      <c r="QRS55" s="10"/>
      <c r="QRT55" s="10"/>
      <c r="QRU55" s="10"/>
      <c r="QRV55" s="10"/>
      <c r="QRW55" s="10"/>
      <c r="QRX55" s="10"/>
      <c r="QRY55" s="10"/>
      <c r="QRZ55" s="10"/>
      <c r="QSA55" s="10"/>
      <c r="QSB55" s="10"/>
      <c r="QSC55" s="10"/>
      <c r="QSD55" s="10"/>
      <c r="QSE55" s="10"/>
      <c r="QSF55" s="10"/>
      <c r="QSG55" s="10"/>
      <c r="QSH55" s="10"/>
      <c r="QSI55" s="10"/>
      <c r="QSJ55" s="10"/>
      <c r="QSK55" s="10"/>
      <c r="QSL55" s="10"/>
      <c r="QSM55" s="10"/>
      <c r="QSN55" s="10"/>
      <c r="QSO55" s="10"/>
      <c r="QSP55" s="10"/>
      <c r="QSQ55" s="10"/>
      <c r="QSR55" s="10"/>
      <c r="QSS55" s="10"/>
      <c r="QST55" s="10"/>
      <c r="QSU55" s="10"/>
      <c r="QSV55" s="10"/>
      <c r="QSW55" s="10"/>
      <c r="QSX55" s="10"/>
      <c r="QSY55" s="10"/>
      <c r="QSZ55" s="10"/>
      <c r="QTA55" s="10"/>
      <c r="QTB55" s="10"/>
      <c r="QTC55" s="10"/>
      <c r="QTD55" s="10"/>
      <c r="QTE55" s="10"/>
      <c r="QTF55" s="10"/>
      <c r="QTG55" s="10"/>
      <c r="QTH55" s="10"/>
      <c r="QTI55" s="10"/>
      <c r="QTJ55" s="10"/>
      <c r="QTK55" s="10"/>
      <c r="QTL55" s="10"/>
      <c r="QTM55" s="10"/>
      <c r="QTN55" s="10"/>
      <c r="QTO55" s="10"/>
      <c r="QTP55" s="10"/>
      <c r="QTQ55" s="10"/>
      <c r="QTR55" s="10"/>
      <c r="QTS55" s="10"/>
      <c r="QTT55" s="10"/>
      <c r="QTU55" s="10"/>
      <c r="QTV55" s="10"/>
      <c r="QTW55" s="10"/>
      <c r="QTX55" s="10"/>
      <c r="QTY55" s="10"/>
      <c r="QTZ55" s="10"/>
      <c r="QUA55" s="10"/>
      <c r="QUB55" s="10"/>
      <c r="QUC55" s="10"/>
      <c r="QUD55" s="10"/>
      <c r="QUE55" s="10"/>
      <c r="QUF55" s="10"/>
      <c r="QUG55" s="10"/>
      <c r="QUH55" s="10"/>
      <c r="QUI55" s="10"/>
      <c r="QUJ55" s="10"/>
      <c r="QUK55" s="10"/>
      <c r="QUL55" s="10"/>
      <c r="QUM55" s="10"/>
      <c r="QUN55" s="10"/>
      <c r="QUO55" s="10"/>
      <c r="QUP55" s="10"/>
      <c r="QUQ55" s="10"/>
      <c r="QUR55" s="10"/>
      <c r="QUS55" s="10"/>
      <c r="QUT55" s="10"/>
      <c r="QUU55" s="10"/>
      <c r="QUV55" s="10"/>
      <c r="QUW55" s="10"/>
      <c r="QUX55" s="10"/>
      <c r="QUY55" s="10"/>
      <c r="QUZ55" s="10"/>
      <c r="QVA55" s="10"/>
      <c r="QVB55" s="10"/>
      <c r="QVC55" s="10"/>
      <c r="QVD55" s="10"/>
      <c r="QVE55" s="10"/>
      <c r="QVF55" s="10"/>
      <c r="QVG55" s="10"/>
      <c r="QVH55" s="10"/>
      <c r="QVI55" s="10"/>
      <c r="QVJ55" s="10"/>
      <c r="QVK55" s="10"/>
      <c r="QVL55" s="10"/>
      <c r="QVM55" s="10"/>
      <c r="QVN55" s="10"/>
      <c r="QVO55" s="10"/>
      <c r="QVP55" s="10"/>
      <c r="QVQ55" s="10"/>
      <c r="QVR55" s="10"/>
      <c r="QVS55" s="10"/>
      <c r="QVT55" s="10"/>
      <c r="QVU55" s="10"/>
      <c r="QVV55" s="10"/>
      <c r="QVW55" s="10"/>
      <c r="QVX55" s="10"/>
      <c r="QVY55" s="10"/>
      <c r="QVZ55" s="10"/>
      <c r="QWA55" s="10"/>
      <c r="QWB55" s="10"/>
      <c r="QWC55" s="10"/>
      <c r="QWD55" s="10"/>
      <c r="QWE55" s="10"/>
      <c r="QWF55" s="10"/>
      <c r="QWG55" s="10"/>
      <c r="QWH55" s="10"/>
      <c r="QWI55" s="10"/>
      <c r="QWJ55" s="10"/>
      <c r="QWK55" s="10"/>
      <c r="QWL55" s="10"/>
      <c r="QWM55" s="10"/>
      <c r="QWN55" s="10"/>
      <c r="QWO55" s="10"/>
      <c r="QWP55" s="10"/>
      <c r="QWQ55" s="10"/>
      <c r="QWR55" s="10"/>
      <c r="QWS55" s="10"/>
      <c r="QWT55" s="10"/>
      <c r="QWU55" s="10"/>
      <c r="QWV55" s="10"/>
      <c r="QWW55" s="10"/>
      <c r="QWX55" s="10"/>
      <c r="QWY55" s="10"/>
      <c r="QWZ55" s="10"/>
      <c r="QXA55" s="10"/>
      <c r="QXB55" s="10"/>
      <c r="QXC55" s="10"/>
      <c r="QXD55" s="10"/>
      <c r="QXE55" s="10"/>
      <c r="QXF55" s="10"/>
      <c r="QXG55" s="10"/>
      <c r="QXH55" s="10"/>
      <c r="QXI55" s="10"/>
      <c r="QXJ55" s="10"/>
      <c r="QXK55" s="10"/>
      <c r="QXL55" s="10"/>
      <c r="QXM55" s="10"/>
      <c r="QXN55" s="10"/>
      <c r="QXO55" s="10"/>
      <c r="QXP55" s="10"/>
      <c r="QXQ55" s="10"/>
      <c r="QXR55" s="10"/>
      <c r="QXS55" s="10"/>
      <c r="QXT55" s="10"/>
      <c r="QXU55" s="10"/>
      <c r="QXV55" s="10"/>
      <c r="QXW55" s="10"/>
      <c r="QXX55" s="10"/>
      <c r="QXY55" s="10"/>
      <c r="QXZ55" s="10"/>
      <c r="QYA55" s="10"/>
      <c r="QYB55" s="10"/>
      <c r="QYC55" s="10"/>
      <c r="QYD55" s="10"/>
      <c r="QYE55" s="10"/>
      <c r="QYF55" s="10"/>
      <c r="QYG55" s="10"/>
      <c r="QYH55" s="10"/>
      <c r="QYI55" s="10"/>
      <c r="QYJ55" s="10"/>
      <c r="QYK55" s="10"/>
      <c r="QYL55" s="10"/>
      <c r="QYM55" s="10"/>
      <c r="QYN55" s="10"/>
      <c r="QYO55" s="10"/>
      <c r="QYP55" s="10"/>
      <c r="QYQ55" s="10"/>
      <c r="QYR55" s="10"/>
      <c r="QYS55" s="10"/>
      <c r="QYT55" s="10"/>
      <c r="QYU55" s="10"/>
      <c r="QYV55" s="10"/>
      <c r="QYW55" s="10"/>
      <c r="QYX55" s="10"/>
      <c r="QYY55" s="10"/>
      <c r="QYZ55" s="10"/>
      <c r="QZA55" s="10"/>
      <c r="QZB55" s="10"/>
      <c r="QZC55" s="10"/>
      <c r="QZD55" s="10"/>
      <c r="QZE55" s="10"/>
      <c r="QZF55" s="10"/>
      <c r="QZG55" s="10"/>
      <c r="QZH55" s="10"/>
      <c r="QZI55" s="10"/>
      <c r="QZJ55" s="10"/>
      <c r="QZK55" s="10"/>
      <c r="QZL55" s="10"/>
      <c r="QZM55" s="10"/>
      <c r="QZN55" s="10"/>
      <c r="QZO55" s="10"/>
      <c r="QZP55" s="10"/>
      <c r="QZQ55" s="10"/>
      <c r="QZR55" s="10"/>
      <c r="QZS55" s="10"/>
      <c r="QZT55" s="10"/>
      <c r="QZU55" s="10"/>
      <c r="QZV55" s="10"/>
      <c r="QZW55" s="10"/>
      <c r="QZX55" s="10"/>
      <c r="QZY55" s="10"/>
      <c r="QZZ55" s="10"/>
      <c r="RAA55" s="10"/>
      <c r="RAB55" s="10"/>
      <c r="RAC55" s="10"/>
      <c r="RAD55" s="10"/>
      <c r="RAE55" s="10"/>
      <c r="RAF55" s="10"/>
      <c r="RAG55" s="10"/>
      <c r="RAH55" s="10"/>
      <c r="RAI55" s="10"/>
      <c r="RAJ55" s="10"/>
      <c r="RAK55" s="10"/>
      <c r="RAL55" s="10"/>
      <c r="RAM55" s="10"/>
      <c r="RAN55" s="10"/>
      <c r="RAO55" s="10"/>
      <c r="RAP55" s="10"/>
      <c r="RAQ55" s="10"/>
      <c r="RAR55" s="10"/>
      <c r="RAS55" s="10"/>
      <c r="RAT55" s="10"/>
      <c r="RAU55" s="10"/>
      <c r="RAV55" s="10"/>
      <c r="RAW55" s="10"/>
      <c r="RAX55" s="10"/>
      <c r="RAY55" s="10"/>
      <c r="RAZ55" s="10"/>
      <c r="RBA55" s="10"/>
      <c r="RBB55" s="10"/>
      <c r="RBC55" s="10"/>
      <c r="RBD55" s="10"/>
      <c r="RBE55" s="10"/>
      <c r="RBF55" s="10"/>
      <c r="RBG55" s="10"/>
      <c r="RBH55" s="10"/>
      <c r="RBI55" s="10"/>
      <c r="RBJ55" s="10"/>
      <c r="RBK55" s="10"/>
      <c r="RBL55" s="10"/>
      <c r="RBM55" s="10"/>
      <c r="RBN55" s="10"/>
      <c r="RBO55" s="10"/>
      <c r="RBP55" s="10"/>
      <c r="RBQ55" s="10"/>
      <c r="RBR55" s="10"/>
      <c r="RBS55" s="10"/>
      <c r="RBT55" s="10"/>
      <c r="RBU55" s="10"/>
      <c r="RBV55" s="10"/>
      <c r="RBW55" s="10"/>
      <c r="RBX55" s="10"/>
      <c r="RBY55" s="10"/>
      <c r="RBZ55" s="10"/>
      <c r="RCA55" s="10"/>
      <c r="RCB55" s="10"/>
      <c r="RCC55" s="10"/>
      <c r="RCD55" s="10"/>
      <c r="RCE55" s="10"/>
      <c r="RCF55" s="10"/>
      <c r="RCG55" s="10"/>
      <c r="RCH55" s="10"/>
      <c r="RCI55" s="10"/>
      <c r="RCJ55" s="10"/>
      <c r="RCK55" s="10"/>
      <c r="RCL55" s="10"/>
      <c r="RCM55" s="10"/>
      <c r="RCN55" s="10"/>
      <c r="RCO55" s="10"/>
      <c r="RCP55" s="10"/>
      <c r="RCQ55" s="10"/>
      <c r="RCR55" s="10"/>
      <c r="RCS55" s="10"/>
      <c r="RCT55" s="10"/>
      <c r="RCU55" s="10"/>
      <c r="RCV55" s="10"/>
      <c r="RCW55" s="10"/>
      <c r="RCX55" s="10"/>
      <c r="RCY55" s="10"/>
      <c r="RCZ55" s="10"/>
      <c r="RDA55" s="10"/>
      <c r="RDB55" s="10"/>
      <c r="RDC55" s="10"/>
      <c r="RDD55" s="10"/>
      <c r="RDE55" s="10"/>
      <c r="RDF55" s="10"/>
      <c r="RDG55" s="10"/>
      <c r="RDH55" s="10"/>
      <c r="RDI55" s="10"/>
      <c r="RDJ55" s="10"/>
      <c r="RDK55" s="10"/>
      <c r="RDL55" s="10"/>
      <c r="RDM55" s="10"/>
      <c r="RDN55" s="10"/>
      <c r="RDO55" s="10"/>
      <c r="RDP55" s="10"/>
      <c r="RDQ55" s="10"/>
      <c r="RDR55" s="10"/>
      <c r="RDS55" s="10"/>
      <c r="RDT55" s="10"/>
      <c r="RDU55" s="10"/>
      <c r="RDV55" s="10"/>
      <c r="RDW55" s="10"/>
      <c r="RDX55" s="10"/>
      <c r="RDY55" s="10"/>
      <c r="RDZ55" s="10"/>
      <c r="REA55" s="10"/>
      <c r="REB55" s="10"/>
      <c r="REC55" s="10"/>
      <c r="RED55" s="10"/>
      <c r="REE55" s="10"/>
      <c r="REF55" s="10"/>
      <c r="REG55" s="10"/>
      <c r="REH55" s="10"/>
      <c r="REI55" s="10"/>
      <c r="REJ55" s="10"/>
      <c r="REK55" s="10"/>
      <c r="REL55" s="10"/>
      <c r="REM55" s="10"/>
      <c r="REN55" s="10"/>
      <c r="REO55" s="10"/>
      <c r="REP55" s="10"/>
      <c r="REQ55" s="10"/>
      <c r="RER55" s="10"/>
      <c r="RES55" s="10"/>
      <c r="RET55" s="10"/>
      <c r="REU55" s="10"/>
      <c r="REV55" s="10"/>
      <c r="REW55" s="10"/>
      <c r="REX55" s="10"/>
      <c r="REY55" s="10"/>
      <c r="REZ55" s="10"/>
      <c r="RFA55" s="10"/>
      <c r="RFB55" s="10"/>
      <c r="RFC55" s="10"/>
      <c r="RFD55" s="10"/>
      <c r="RFE55" s="10"/>
      <c r="RFF55" s="10"/>
      <c r="RFG55" s="10"/>
      <c r="RFH55" s="10"/>
      <c r="RFI55" s="10"/>
      <c r="RFJ55" s="10"/>
      <c r="RFK55" s="10"/>
      <c r="RFL55" s="10"/>
      <c r="RFM55" s="10"/>
      <c r="RFN55" s="10"/>
      <c r="RFO55" s="10"/>
      <c r="RFP55" s="10"/>
      <c r="RFQ55" s="10"/>
      <c r="RFR55" s="10"/>
      <c r="RFS55" s="10"/>
      <c r="RFT55" s="10"/>
      <c r="RFU55" s="10"/>
      <c r="RFV55" s="10"/>
      <c r="RFW55" s="10"/>
      <c r="RFX55" s="10"/>
      <c r="RFY55" s="10"/>
      <c r="RFZ55" s="10"/>
      <c r="RGA55" s="10"/>
      <c r="RGB55" s="10"/>
      <c r="RGC55" s="10"/>
      <c r="RGD55" s="10"/>
      <c r="RGE55" s="10"/>
      <c r="RGF55" s="10"/>
      <c r="RGG55" s="10"/>
      <c r="RGH55" s="10"/>
      <c r="RGI55" s="10"/>
      <c r="RGJ55" s="10"/>
      <c r="RGK55" s="10"/>
      <c r="RGL55" s="10"/>
      <c r="RGM55" s="10"/>
      <c r="RGN55" s="10"/>
      <c r="RGO55" s="10"/>
      <c r="RGP55" s="10"/>
      <c r="RGQ55" s="10"/>
      <c r="RGR55" s="10"/>
      <c r="RGS55" s="10"/>
      <c r="RGT55" s="10"/>
      <c r="RGU55" s="10"/>
      <c r="RGV55" s="10"/>
      <c r="RGW55" s="10"/>
      <c r="RGX55" s="10"/>
      <c r="RGY55" s="10"/>
      <c r="RGZ55" s="10"/>
      <c r="RHA55" s="10"/>
      <c r="RHB55" s="10"/>
      <c r="RHC55" s="10"/>
      <c r="RHD55" s="10"/>
      <c r="RHE55" s="10"/>
      <c r="RHF55" s="10"/>
      <c r="RHG55" s="10"/>
      <c r="RHH55" s="10"/>
      <c r="RHI55" s="10"/>
      <c r="RHJ55" s="10"/>
      <c r="RHK55" s="10"/>
      <c r="RHL55" s="10"/>
      <c r="RHM55" s="10"/>
      <c r="RHN55" s="10"/>
      <c r="RHO55" s="10"/>
      <c r="RHP55" s="10"/>
      <c r="RHQ55" s="10"/>
      <c r="RHR55" s="10"/>
      <c r="RHS55" s="10"/>
      <c r="RHT55" s="10"/>
      <c r="RHU55" s="10"/>
      <c r="RHV55" s="10"/>
      <c r="RHW55" s="10"/>
      <c r="RHX55" s="10"/>
      <c r="RHY55" s="10"/>
      <c r="RHZ55" s="10"/>
      <c r="RIA55" s="10"/>
      <c r="RIB55" s="10"/>
      <c r="RIC55" s="10"/>
      <c r="RID55" s="10"/>
      <c r="RIE55" s="10"/>
      <c r="RIF55" s="10"/>
      <c r="RIG55" s="10"/>
      <c r="RIH55" s="10"/>
      <c r="RII55" s="10"/>
      <c r="RIJ55" s="10"/>
      <c r="RIK55" s="10"/>
      <c r="RIL55" s="10"/>
      <c r="RIM55" s="10"/>
      <c r="RIN55" s="10"/>
      <c r="RIO55" s="10"/>
      <c r="RIP55" s="10"/>
      <c r="RIQ55" s="10"/>
      <c r="RIR55" s="10"/>
      <c r="RIS55" s="10"/>
      <c r="RIT55" s="10"/>
      <c r="RIU55" s="10"/>
      <c r="RIV55" s="10"/>
      <c r="RIW55" s="10"/>
      <c r="RIX55" s="10"/>
      <c r="RIY55" s="10"/>
      <c r="RIZ55" s="10"/>
      <c r="RJA55" s="10"/>
      <c r="RJB55" s="10"/>
      <c r="RJC55" s="10"/>
      <c r="RJD55" s="10"/>
      <c r="RJE55" s="10"/>
      <c r="RJF55" s="10"/>
      <c r="RJG55" s="10"/>
      <c r="RJH55" s="10"/>
      <c r="RJI55" s="10"/>
      <c r="RJJ55" s="10"/>
      <c r="RJK55" s="10"/>
      <c r="RJL55" s="10"/>
      <c r="RJM55" s="10"/>
      <c r="RJN55" s="10"/>
      <c r="RJO55" s="10"/>
      <c r="RJP55" s="10"/>
      <c r="RJQ55" s="10"/>
      <c r="RJR55" s="10"/>
      <c r="RJS55" s="10"/>
      <c r="RJT55" s="10"/>
      <c r="RJU55" s="10"/>
      <c r="RJV55" s="10"/>
      <c r="RJW55" s="10"/>
      <c r="RJX55" s="10"/>
      <c r="RJY55" s="10"/>
      <c r="RJZ55" s="10"/>
      <c r="RKA55" s="10"/>
      <c r="RKB55" s="10"/>
      <c r="RKC55" s="10"/>
      <c r="RKD55" s="10"/>
      <c r="RKE55" s="10"/>
      <c r="RKF55" s="10"/>
      <c r="RKG55" s="10"/>
      <c r="RKH55" s="10"/>
      <c r="RKI55" s="10"/>
      <c r="RKJ55" s="10"/>
      <c r="RKK55" s="10"/>
      <c r="RKL55" s="10"/>
      <c r="RKM55" s="10"/>
      <c r="RKN55" s="10"/>
      <c r="RKO55" s="10"/>
      <c r="RKP55" s="10"/>
      <c r="RKQ55" s="10"/>
      <c r="RKR55" s="10"/>
      <c r="RKS55" s="10"/>
      <c r="RKT55" s="10"/>
      <c r="RKU55" s="10"/>
      <c r="RKV55" s="10"/>
      <c r="RKW55" s="10"/>
      <c r="RKX55" s="10"/>
      <c r="RKY55" s="10"/>
      <c r="RKZ55" s="10"/>
      <c r="RLA55" s="10"/>
      <c r="RLB55" s="10"/>
      <c r="RLC55" s="10"/>
      <c r="RLD55" s="10"/>
      <c r="RLE55" s="10"/>
      <c r="RLF55" s="10"/>
      <c r="RLG55" s="10"/>
      <c r="RLH55" s="10"/>
      <c r="RLI55" s="10"/>
      <c r="RLJ55" s="10"/>
      <c r="RLK55" s="10"/>
      <c r="RLL55" s="10"/>
      <c r="RLM55" s="10"/>
      <c r="RLN55" s="10"/>
      <c r="RLO55" s="10"/>
      <c r="RLP55" s="10"/>
      <c r="RLQ55" s="10"/>
      <c r="RLR55" s="10"/>
      <c r="RLS55" s="10"/>
      <c r="RLT55" s="10"/>
      <c r="RLU55" s="10"/>
      <c r="RLV55" s="10"/>
      <c r="RLW55" s="10"/>
      <c r="RLX55" s="10"/>
      <c r="RLY55" s="10"/>
      <c r="RLZ55" s="10"/>
      <c r="RMA55" s="10"/>
      <c r="RMB55" s="10"/>
      <c r="RMC55" s="10"/>
      <c r="RMD55" s="10"/>
      <c r="RME55" s="10"/>
      <c r="RMF55" s="10"/>
      <c r="RMG55" s="10"/>
      <c r="RMH55" s="10"/>
      <c r="RMI55" s="10"/>
      <c r="RMJ55" s="10"/>
      <c r="RMK55" s="10"/>
      <c r="RML55" s="10"/>
      <c r="RMM55" s="10"/>
      <c r="RMN55" s="10"/>
      <c r="RMO55" s="10"/>
      <c r="RMP55" s="10"/>
      <c r="RMQ55" s="10"/>
      <c r="RMR55" s="10"/>
      <c r="RMS55" s="10"/>
      <c r="RMT55" s="10"/>
      <c r="RMU55" s="10"/>
      <c r="RMV55" s="10"/>
      <c r="RMW55" s="10"/>
      <c r="RMX55" s="10"/>
      <c r="RMY55" s="10"/>
      <c r="RMZ55" s="10"/>
      <c r="RNA55" s="10"/>
      <c r="RNB55" s="10"/>
      <c r="RNC55" s="10"/>
      <c r="RND55" s="10"/>
      <c r="RNE55" s="10"/>
      <c r="RNF55" s="10"/>
      <c r="RNG55" s="10"/>
      <c r="RNH55" s="10"/>
      <c r="RNI55" s="10"/>
      <c r="RNJ55" s="10"/>
      <c r="RNK55" s="10"/>
      <c r="RNL55" s="10"/>
      <c r="RNM55" s="10"/>
      <c r="RNN55" s="10"/>
      <c r="RNO55" s="10"/>
      <c r="RNP55" s="10"/>
      <c r="RNQ55" s="10"/>
      <c r="RNR55" s="10"/>
      <c r="RNS55" s="10"/>
      <c r="RNT55" s="10"/>
      <c r="RNU55" s="10"/>
      <c r="RNV55" s="10"/>
      <c r="RNW55" s="10"/>
      <c r="RNX55" s="10"/>
      <c r="RNY55" s="10"/>
      <c r="RNZ55" s="10"/>
      <c r="ROA55" s="10"/>
      <c r="ROB55" s="10"/>
      <c r="ROC55" s="10"/>
      <c r="ROD55" s="10"/>
      <c r="ROE55" s="10"/>
      <c r="ROF55" s="10"/>
      <c r="ROG55" s="10"/>
      <c r="ROH55" s="10"/>
      <c r="ROI55" s="10"/>
      <c r="ROJ55" s="10"/>
      <c r="ROK55" s="10"/>
      <c r="ROL55" s="10"/>
      <c r="ROM55" s="10"/>
      <c r="RON55" s="10"/>
      <c r="ROO55" s="10"/>
      <c r="ROP55" s="10"/>
      <c r="ROQ55" s="10"/>
      <c r="ROR55" s="10"/>
      <c r="ROS55" s="10"/>
      <c r="ROT55" s="10"/>
      <c r="ROU55" s="10"/>
      <c r="ROV55" s="10"/>
      <c r="ROW55" s="10"/>
      <c r="ROX55" s="10"/>
      <c r="ROY55" s="10"/>
      <c r="ROZ55" s="10"/>
      <c r="RPA55" s="10"/>
      <c r="RPB55" s="10"/>
      <c r="RPC55" s="10"/>
      <c r="RPD55" s="10"/>
      <c r="RPE55" s="10"/>
      <c r="RPF55" s="10"/>
      <c r="RPG55" s="10"/>
      <c r="RPH55" s="10"/>
      <c r="RPI55" s="10"/>
      <c r="RPJ55" s="10"/>
      <c r="RPK55" s="10"/>
      <c r="RPL55" s="10"/>
      <c r="RPM55" s="10"/>
      <c r="RPN55" s="10"/>
      <c r="RPO55" s="10"/>
      <c r="RPP55" s="10"/>
      <c r="RPQ55" s="10"/>
      <c r="RPR55" s="10"/>
      <c r="RPS55" s="10"/>
      <c r="RPT55" s="10"/>
      <c r="RPU55" s="10"/>
      <c r="RPV55" s="10"/>
      <c r="RPW55" s="10"/>
      <c r="RPX55" s="10"/>
      <c r="RPY55" s="10"/>
      <c r="RPZ55" s="10"/>
      <c r="RQA55" s="10"/>
      <c r="RQB55" s="10"/>
      <c r="RQC55" s="10"/>
      <c r="RQD55" s="10"/>
      <c r="RQE55" s="10"/>
      <c r="RQF55" s="10"/>
      <c r="RQG55" s="10"/>
      <c r="RQH55" s="10"/>
      <c r="RQI55" s="10"/>
      <c r="RQJ55" s="10"/>
      <c r="RQK55" s="10"/>
      <c r="RQL55" s="10"/>
      <c r="RQM55" s="10"/>
      <c r="RQN55" s="10"/>
      <c r="RQO55" s="10"/>
      <c r="RQP55" s="10"/>
      <c r="RQQ55" s="10"/>
      <c r="RQR55" s="10"/>
      <c r="RQS55" s="10"/>
      <c r="RQT55" s="10"/>
      <c r="RQU55" s="10"/>
      <c r="RQV55" s="10"/>
      <c r="RQW55" s="10"/>
      <c r="RQX55" s="10"/>
      <c r="RQY55" s="10"/>
      <c r="RQZ55" s="10"/>
      <c r="RRA55" s="10"/>
      <c r="RRB55" s="10"/>
      <c r="RRC55" s="10"/>
      <c r="RRD55" s="10"/>
      <c r="RRE55" s="10"/>
      <c r="RRF55" s="10"/>
      <c r="RRG55" s="10"/>
      <c r="RRH55" s="10"/>
      <c r="RRI55" s="10"/>
      <c r="RRJ55" s="10"/>
      <c r="RRK55" s="10"/>
      <c r="RRL55" s="10"/>
      <c r="RRM55" s="10"/>
      <c r="RRN55" s="10"/>
      <c r="RRO55" s="10"/>
      <c r="RRP55" s="10"/>
      <c r="RRQ55" s="10"/>
      <c r="RRR55" s="10"/>
      <c r="RRS55" s="10"/>
      <c r="RRT55" s="10"/>
      <c r="RRU55" s="10"/>
      <c r="RRV55" s="10"/>
      <c r="RRW55" s="10"/>
      <c r="RRX55" s="10"/>
      <c r="RRY55" s="10"/>
      <c r="RRZ55" s="10"/>
      <c r="RSA55" s="10"/>
      <c r="RSB55" s="10"/>
      <c r="RSC55" s="10"/>
      <c r="RSD55" s="10"/>
      <c r="RSE55" s="10"/>
      <c r="RSF55" s="10"/>
      <c r="RSG55" s="10"/>
      <c r="RSH55" s="10"/>
      <c r="RSI55" s="10"/>
      <c r="RSJ55" s="10"/>
      <c r="RSK55" s="10"/>
      <c r="RSL55" s="10"/>
      <c r="RSM55" s="10"/>
      <c r="RSN55" s="10"/>
      <c r="RSO55" s="10"/>
      <c r="RSP55" s="10"/>
      <c r="RSQ55" s="10"/>
      <c r="RSR55" s="10"/>
      <c r="RSS55" s="10"/>
      <c r="RST55" s="10"/>
      <c r="RSU55" s="10"/>
      <c r="RSV55" s="10"/>
      <c r="RSW55" s="10"/>
      <c r="RSX55" s="10"/>
      <c r="RSY55" s="10"/>
      <c r="RSZ55" s="10"/>
      <c r="RTA55" s="10"/>
      <c r="RTB55" s="10"/>
      <c r="RTC55" s="10"/>
      <c r="RTD55" s="10"/>
      <c r="RTE55" s="10"/>
      <c r="RTF55" s="10"/>
      <c r="RTG55" s="10"/>
      <c r="RTH55" s="10"/>
      <c r="RTI55" s="10"/>
      <c r="RTJ55" s="10"/>
      <c r="RTK55" s="10"/>
      <c r="RTL55" s="10"/>
      <c r="RTM55" s="10"/>
      <c r="RTN55" s="10"/>
      <c r="RTO55" s="10"/>
      <c r="RTP55" s="10"/>
      <c r="RTQ55" s="10"/>
      <c r="RTR55" s="10"/>
      <c r="RTS55" s="10"/>
      <c r="RTT55" s="10"/>
      <c r="RTU55" s="10"/>
      <c r="RTV55" s="10"/>
      <c r="RTW55" s="10"/>
      <c r="RTX55" s="10"/>
      <c r="RTY55" s="10"/>
      <c r="RTZ55" s="10"/>
      <c r="RUA55" s="10"/>
      <c r="RUB55" s="10"/>
      <c r="RUC55" s="10"/>
      <c r="RUD55" s="10"/>
      <c r="RUE55" s="10"/>
      <c r="RUF55" s="10"/>
      <c r="RUG55" s="10"/>
      <c r="RUH55" s="10"/>
      <c r="RUI55" s="10"/>
      <c r="RUJ55" s="10"/>
      <c r="RUK55" s="10"/>
      <c r="RUL55" s="10"/>
      <c r="RUM55" s="10"/>
      <c r="RUN55" s="10"/>
      <c r="RUO55" s="10"/>
      <c r="RUP55" s="10"/>
      <c r="RUQ55" s="10"/>
      <c r="RUR55" s="10"/>
      <c r="RUS55" s="10"/>
      <c r="RUT55" s="10"/>
      <c r="RUU55" s="10"/>
      <c r="RUV55" s="10"/>
      <c r="RUW55" s="10"/>
      <c r="RUX55" s="10"/>
      <c r="RUY55" s="10"/>
      <c r="RUZ55" s="10"/>
      <c r="RVA55" s="10"/>
      <c r="RVB55" s="10"/>
      <c r="RVC55" s="10"/>
      <c r="RVD55" s="10"/>
      <c r="RVE55" s="10"/>
      <c r="RVF55" s="10"/>
      <c r="RVG55" s="10"/>
      <c r="RVH55" s="10"/>
      <c r="RVI55" s="10"/>
      <c r="RVJ55" s="10"/>
      <c r="RVK55" s="10"/>
      <c r="RVL55" s="10"/>
      <c r="RVM55" s="10"/>
      <c r="RVN55" s="10"/>
      <c r="RVO55" s="10"/>
      <c r="RVP55" s="10"/>
      <c r="RVQ55" s="10"/>
      <c r="RVR55" s="10"/>
      <c r="RVS55" s="10"/>
      <c r="RVT55" s="10"/>
      <c r="RVU55" s="10"/>
      <c r="RVV55" s="10"/>
      <c r="RVW55" s="10"/>
      <c r="RVX55" s="10"/>
      <c r="RVY55" s="10"/>
      <c r="RVZ55" s="10"/>
      <c r="RWA55" s="10"/>
      <c r="RWB55" s="10"/>
      <c r="RWC55" s="10"/>
      <c r="RWD55" s="10"/>
      <c r="RWE55" s="10"/>
      <c r="RWF55" s="10"/>
      <c r="RWG55" s="10"/>
      <c r="RWH55" s="10"/>
      <c r="RWI55" s="10"/>
      <c r="RWJ55" s="10"/>
      <c r="RWK55" s="10"/>
      <c r="RWL55" s="10"/>
      <c r="RWM55" s="10"/>
      <c r="RWN55" s="10"/>
      <c r="RWO55" s="10"/>
      <c r="RWP55" s="10"/>
      <c r="RWQ55" s="10"/>
      <c r="RWR55" s="10"/>
      <c r="RWS55" s="10"/>
      <c r="RWT55" s="10"/>
      <c r="RWU55" s="10"/>
      <c r="RWV55" s="10"/>
      <c r="RWW55" s="10"/>
      <c r="RWX55" s="10"/>
      <c r="RWY55" s="10"/>
      <c r="RWZ55" s="10"/>
      <c r="RXA55" s="10"/>
      <c r="RXB55" s="10"/>
      <c r="RXC55" s="10"/>
      <c r="RXD55" s="10"/>
      <c r="RXE55" s="10"/>
      <c r="RXF55" s="10"/>
      <c r="RXG55" s="10"/>
      <c r="RXH55" s="10"/>
      <c r="RXI55" s="10"/>
      <c r="RXJ55" s="10"/>
      <c r="RXK55" s="10"/>
      <c r="RXL55" s="10"/>
      <c r="RXM55" s="10"/>
      <c r="RXN55" s="10"/>
      <c r="RXO55" s="10"/>
      <c r="RXP55" s="10"/>
      <c r="RXQ55" s="10"/>
      <c r="RXR55" s="10"/>
      <c r="RXS55" s="10"/>
      <c r="RXT55" s="10"/>
      <c r="RXU55" s="10"/>
      <c r="RXV55" s="10"/>
      <c r="RXW55" s="10"/>
      <c r="RXX55" s="10"/>
      <c r="RXY55" s="10"/>
      <c r="RXZ55" s="10"/>
      <c r="RYA55" s="10"/>
      <c r="RYB55" s="10"/>
      <c r="RYC55" s="10"/>
      <c r="RYD55" s="10"/>
      <c r="RYE55" s="10"/>
      <c r="RYF55" s="10"/>
      <c r="RYG55" s="10"/>
      <c r="RYH55" s="10"/>
      <c r="RYI55" s="10"/>
      <c r="RYJ55" s="10"/>
      <c r="RYK55" s="10"/>
      <c r="RYL55" s="10"/>
      <c r="RYM55" s="10"/>
      <c r="RYN55" s="10"/>
      <c r="RYO55" s="10"/>
      <c r="RYP55" s="10"/>
      <c r="RYQ55" s="10"/>
      <c r="RYR55" s="10"/>
      <c r="RYS55" s="10"/>
      <c r="RYT55" s="10"/>
      <c r="RYU55" s="10"/>
      <c r="RYV55" s="10"/>
      <c r="RYW55" s="10"/>
      <c r="RYX55" s="10"/>
      <c r="RYY55" s="10"/>
      <c r="RYZ55" s="10"/>
      <c r="RZA55" s="10"/>
      <c r="RZB55" s="10"/>
      <c r="RZC55" s="10"/>
      <c r="RZD55" s="10"/>
      <c r="RZE55" s="10"/>
      <c r="RZF55" s="10"/>
      <c r="RZG55" s="10"/>
      <c r="RZH55" s="10"/>
      <c r="RZI55" s="10"/>
      <c r="RZJ55" s="10"/>
      <c r="RZK55" s="10"/>
      <c r="RZL55" s="10"/>
      <c r="RZM55" s="10"/>
      <c r="RZN55" s="10"/>
      <c r="RZO55" s="10"/>
      <c r="RZP55" s="10"/>
      <c r="RZQ55" s="10"/>
      <c r="RZR55" s="10"/>
      <c r="RZS55" s="10"/>
      <c r="RZT55" s="10"/>
      <c r="RZU55" s="10"/>
      <c r="RZV55" s="10"/>
      <c r="RZW55" s="10"/>
      <c r="RZX55" s="10"/>
      <c r="RZY55" s="10"/>
      <c r="RZZ55" s="10"/>
      <c r="SAA55" s="10"/>
      <c r="SAB55" s="10"/>
      <c r="SAC55" s="10"/>
      <c r="SAD55" s="10"/>
      <c r="SAE55" s="10"/>
      <c r="SAF55" s="10"/>
      <c r="SAG55" s="10"/>
      <c r="SAH55" s="10"/>
      <c r="SAI55" s="10"/>
      <c r="SAJ55" s="10"/>
      <c r="SAK55" s="10"/>
      <c r="SAL55" s="10"/>
      <c r="SAM55" s="10"/>
      <c r="SAN55" s="10"/>
      <c r="SAO55" s="10"/>
      <c r="SAP55" s="10"/>
      <c r="SAQ55" s="10"/>
      <c r="SAR55" s="10"/>
      <c r="SAS55" s="10"/>
      <c r="SAT55" s="10"/>
      <c r="SAU55" s="10"/>
      <c r="SAV55" s="10"/>
      <c r="SAW55" s="10"/>
      <c r="SAX55" s="10"/>
      <c r="SAY55" s="10"/>
      <c r="SAZ55" s="10"/>
      <c r="SBA55" s="10"/>
      <c r="SBB55" s="10"/>
      <c r="SBC55" s="10"/>
      <c r="SBD55" s="10"/>
      <c r="SBE55" s="10"/>
      <c r="SBF55" s="10"/>
      <c r="SBG55" s="10"/>
      <c r="SBH55" s="10"/>
      <c r="SBI55" s="10"/>
      <c r="SBJ55" s="10"/>
      <c r="SBK55" s="10"/>
      <c r="SBL55" s="10"/>
      <c r="SBM55" s="10"/>
      <c r="SBN55" s="10"/>
      <c r="SBO55" s="10"/>
      <c r="SBP55" s="10"/>
      <c r="SBQ55" s="10"/>
      <c r="SBR55" s="10"/>
      <c r="SBS55" s="10"/>
      <c r="SBT55" s="10"/>
      <c r="SBU55" s="10"/>
      <c r="SBV55" s="10"/>
      <c r="SBW55" s="10"/>
      <c r="SBX55" s="10"/>
      <c r="SBY55" s="10"/>
      <c r="SBZ55" s="10"/>
      <c r="SCA55" s="10"/>
      <c r="SCB55" s="10"/>
      <c r="SCC55" s="10"/>
      <c r="SCD55" s="10"/>
      <c r="SCE55" s="10"/>
      <c r="SCF55" s="10"/>
      <c r="SCG55" s="10"/>
      <c r="SCH55" s="10"/>
      <c r="SCI55" s="10"/>
      <c r="SCJ55" s="10"/>
      <c r="SCK55" s="10"/>
      <c r="SCL55" s="10"/>
      <c r="SCM55" s="10"/>
      <c r="SCN55" s="10"/>
      <c r="SCO55" s="10"/>
      <c r="SCP55" s="10"/>
      <c r="SCQ55" s="10"/>
      <c r="SCR55" s="10"/>
      <c r="SCS55" s="10"/>
      <c r="SCT55" s="10"/>
      <c r="SCU55" s="10"/>
      <c r="SCV55" s="10"/>
      <c r="SCW55" s="10"/>
      <c r="SCX55" s="10"/>
      <c r="SCY55" s="10"/>
      <c r="SCZ55" s="10"/>
      <c r="SDA55" s="10"/>
      <c r="SDB55" s="10"/>
      <c r="SDC55" s="10"/>
      <c r="SDD55" s="10"/>
      <c r="SDE55" s="10"/>
      <c r="SDF55" s="10"/>
      <c r="SDG55" s="10"/>
      <c r="SDH55" s="10"/>
      <c r="SDI55" s="10"/>
      <c r="SDJ55" s="10"/>
      <c r="SDK55" s="10"/>
      <c r="SDL55" s="10"/>
      <c r="SDM55" s="10"/>
      <c r="SDN55" s="10"/>
      <c r="SDO55" s="10"/>
      <c r="SDP55" s="10"/>
      <c r="SDQ55" s="10"/>
      <c r="SDR55" s="10"/>
      <c r="SDS55" s="10"/>
      <c r="SDT55" s="10"/>
      <c r="SDU55" s="10"/>
      <c r="SDV55" s="10"/>
      <c r="SDW55" s="10"/>
      <c r="SDX55" s="10"/>
      <c r="SDY55" s="10"/>
      <c r="SDZ55" s="10"/>
      <c r="SEA55" s="10"/>
      <c r="SEB55" s="10"/>
      <c r="SEC55" s="10"/>
      <c r="SED55" s="10"/>
      <c r="SEE55" s="10"/>
      <c r="SEF55" s="10"/>
      <c r="SEG55" s="10"/>
      <c r="SEH55" s="10"/>
      <c r="SEI55" s="10"/>
      <c r="SEJ55" s="10"/>
      <c r="SEK55" s="10"/>
      <c r="SEL55" s="10"/>
      <c r="SEM55" s="10"/>
      <c r="SEN55" s="10"/>
      <c r="SEO55" s="10"/>
      <c r="SEP55" s="10"/>
      <c r="SEQ55" s="10"/>
      <c r="SER55" s="10"/>
      <c r="SES55" s="10"/>
      <c r="SET55" s="10"/>
      <c r="SEU55" s="10"/>
      <c r="SEV55" s="10"/>
      <c r="SEW55" s="10"/>
      <c r="SEX55" s="10"/>
      <c r="SEY55" s="10"/>
      <c r="SEZ55" s="10"/>
      <c r="SFA55" s="10"/>
      <c r="SFB55" s="10"/>
      <c r="SFC55" s="10"/>
      <c r="SFD55" s="10"/>
      <c r="SFE55" s="10"/>
      <c r="SFF55" s="10"/>
      <c r="SFG55" s="10"/>
      <c r="SFH55" s="10"/>
      <c r="SFI55" s="10"/>
      <c r="SFJ55" s="10"/>
      <c r="SFK55" s="10"/>
      <c r="SFL55" s="10"/>
      <c r="SFM55" s="10"/>
      <c r="SFN55" s="10"/>
      <c r="SFO55" s="10"/>
      <c r="SFP55" s="10"/>
      <c r="SFQ55" s="10"/>
      <c r="SFR55" s="10"/>
      <c r="SFS55" s="10"/>
      <c r="SFT55" s="10"/>
      <c r="SFU55" s="10"/>
      <c r="SFV55" s="10"/>
      <c r="SFW55" s="10"/>
      <c r="SFX55" s="10"/>
      <c r="SFY55" s="10"/>
      <c r="SFZ55" s="10"/>
      <c r="SGA55" s="10"/>
      <c r="SGB55" s="10"/>
      <c r="SGC55" s="10"/>
      <c r="SGD55" s="10"/>
      <c r="SGE55" s="10"/>
      <c r="SGF55" s="10"/>
      <c r="SGG55" s="10"/>
      <c r="SGH55" s="10"/>
      <c r="SGI55" s="10"/>
      <c r="SGJ55" s="10"/>
      <c r="SGK55" s="10"/>
      <c r="SGL55" s="10"/>
      <c r="SGM55" s="10"/>
      <c r="SGN55" s="10"/>
      <c r="SGO55" s="10"/>
      <c r="SGP55" s="10"/>
      <c r="SGQ55" s="10"/>
      <c r="SGR55" s="10"/>
      <c r="SGS55" s="10"/>
      <c r="SGT55" s="10"/>
      <c r="SGU55" s="10"/>
      <c r="SGV55" s="10"/>
      <c r="SGW55" s="10"/>
      <c r="SGX55" s="10"/>
      <c r="SGY55" s="10"/>
      <c r="SGZ55" s="10"/>
      <c r="SHA55" s="10"/>
      <c r="SHB55" s="10"/>
      <c r="SHC55" s="10"/>
      <c r="SHD55" s="10"/>
      <c r="SHE55" s="10"/>
      <c r="SHF55" s="10"/>
      <c r="SHG55" s="10"/>
      <c r="SHH55" s="10"/>
      <c r="SHI55" s="10"/>
      <c r="SHJ55" s="10"/>
      <c r="SHK55" s="10"/>
      <c r="SHL55" s="10"/>
      <c r="SHM55" s="10"/>
      <c r="SHN55" s="10"/>
      <c r="SHO55" s="10"/>
      <c r="SHP55" s="10"/>
      <c r="SHQ55" s="10"/>
      <c r="SHR55" s="10"/>
      <c r="SHS55" s="10"/>
      <c r="SHT55" s="10"/>
      <c r="SHU55" s="10"/>
      <c r="SHV55" s="10"/>
      <c r="SHW55" s="10"/>
      <c r="SHX55" s="10"/>
      <c r="SHY55" s="10"/>
      <c r="SHZ55" s="10"/>
      <c r="SIA55" s="10"/>
      <c r="SIB55" s="10"/>
      <c r="SIC55" s="10"/>
      <c r="SID55" s="10"/>
      <c r="SIE55" s="10"/>
      <c r="SIF55" s="10"/>
      <c r="SIG55" s="10"/>
      <c r="SIH55" s="10"/>
      <c r="SII55" s="10"/>
      <c r="SIJ55" s="10"/>
      <c r="SIK55" s="10"/>
      <c r="SIL55" s="10"/>
      <c r="SIM55" s="10"/>
      <c r="SIN55" s="10"/>
      <c r="SIO55" s="10"/>
      <c r="SIP55" s="10"/>
      <c r="SIQ55" s="10"/>
      <c r="SIR55" s="10"/>
      <c r="SIS55" s="10"/>
      <c r="SIT55" s="10"/>
      <c r="SIU55" s="10"/>
      <c r="SIV55" s="10"/>
      <c r="SIW55" s="10"/>
      <c r="SIX55" s="10"/>
      <c r="SIY55" s="10"/>
      <c r="SIZ55" s="10"/>
      <c r="SJA55" s="10"/>
      <c r="SJB55" s="10"/>
      <c r="SJC55" s="10"/>
      <c r="SJD55" s="10"/>
      <c r="SJE55" s="10"/>
      <c r="SJF55" s="10"/>
      <c r="SJG55" s="10"/>
      <c r="SJH55" s="10"/>
      <c r="SJI55" s="10"/>
      <c r="SJJ55" s="10"/>
      <c r="SJK55" s="10"/>
      <c r="SJL55" s="10"/>
      <c r="SJM55" s="10"/>
      <c r="SJN55" s="10"/>
      <c r="SJO55" s="10"/>
      <c r="SJP55" s="10"/>
      <c r="SJQ55" s="10"/>
      <c r="SJR55" s="10"/>
      <c r="SJS55" s="10"/>
      <c r="SJT55" s="10"/>
      <c r="SJU55" s="10"/>
      <c r="SJV55" s="10"/>
      <c r="SJW55" s="10"/>
      <c r="SJX55" s="10"/>
      <c r="SJY55" s="10"/>
      <c r="SJZ55" s="10"/>
      <c r="SKA55" s="10"/>
      <c r="SKB55" s="10"/>
      <c r="SKC55" s="10"/>
      <c r="SKD55" s="10"/>
      <c r="SKE55" s="10"/>
      <c r="SKF55" s="10"/>
      <c r="SKG55" s="10"/>
      <c r="SKH55" s="10"/>
      <c r="SKI55" s="10"/>
      <c r="SKJ55" s="10"/>
      <c r="SKK55" s="10"/>
      <c r="SKL55" s="10"/>
      <c r="SKM55" s="10"/>
      <c r="SKN55" s="10"/>
      <c r="SKO55" s="10"/>
      <c r="SKP55" s="10"/>
      <c r="SKQ55" s="10"/>
      <c r="SKR55" s="10"/>
      <c r="SKS55" s="10"/>
      <c r="SKT55" s="10"/>
      <c r="SKU55" s="10"/>
      <c r="SKV55" s="10"/>
      <c r="SKW55" s="10"/>
      <c r="SKX55" s="10"/>
      <c r="SKY55" s="10"/>
      <c r="SKZ55" s="10"/>
      <c r="SLA55" s="10"/>
      <c r="SLB55" s="10"/>
      <c r="SLC55" s="10"/>
      <c r="SLD55" s="10"/>
      <c r="SLE55" s="10"/>
      <c r="SLF55" s="10"/>
      <c r="SLG55" s="10"/>
      <c r="SLH55" s="10"/>
      <c r="SLI55" s="10"/>
      <c r="SLJ55" s="10"/>
      <c r="SLK55" s="10"/>
      <c r="SLL55" s="10"/>
      <c r="SLM55" s="10"/>
      <c r="SLN55" s="10"/>
      <c r="SLO55" s="10"/>
      <c r="SLP55" s="10"/>
      <c r="SLQ55" s="10"/>
      <c r="SLR55" s="10"/>
      <c r="SLS55" s="10"/>
      <c r="SLT55" s="10"/>
      <c r="SLU55" s="10"/>
      <c r="SLV55" s="10"/>
      <c r="SLW55" s="10"/>
      <c r="SLX55" s="10"/>
      <c r="SLY55" s="10"/>
      <c r="SLZ55" s="10"/>
      <c r="SMA55" s="10"/>
      <c r="SMB55" s="10"/>
      <c r="SMC55" s="10"/>
      <c r="SMD55" s="10"/>
      <c r="SME55" s="10"/>
      <c r="SMF55" s="10"/>
      <c r="SMG55" s="10"/>
      <c r="SMH55" s="10"/>
      <c r="SMI55" s="10"/>
      <c r="SMJ55" s="10"/>
      <c r="SMK55" s="10"/>
      <c r="SML55" s="10"/>
      <c r="SMM55" s="10"/>
      <c r="SMN55" s="10"/>
      <c r="SMO55" s="10"/>
      <c r="SMP55" s="10"/>
      <c r="SMQ55" s="10"/>
      <c r="SMR55" s="10"/>
      <c r="SMS55" s="10"/>
      <c r="SMT55" s="10"/>
      <c r="SMU55" s="10"/>
      <c r="SMV55" s="10"/>
      <c r="SMW55" s="10"/>
      <c r="SMX55" s="10"/>
      <c r="SMY55" s="10"/>
      <c r="SMZ55" s="10"/>
      <c r="SNA55" s="10"/>
      <c r="SNB55" s="10"/>
      <c r="SNC55" s="10"/>
      <c r="SND55" s="10"/>
      <c r="SNE55" s="10"/>
      <c r="SNF55" s="10"/>
      <c r="SNG55" s="10"/>
      <c r="SNH55" s="10"/>
      <c r="SNI55" s="10"/>
      <c r="SNJ55" s="10"/>
      <c r="SNK55" s="10"/>
      <c r="SNL55" s="10"/>
      <c r="SNM55" s="10"/>
      <c r="SNN55" s="10"/>
      <c r="SNO55" s="10"/>
      <c r="SNP55" s="10"/>
      <c r="SNQ55" s="10"/>
      <c r="SNR55" s="10"/>
      <c r="SNS55" s="10"/>
      <c r="SNT55" s="10"/>
      <c r="SNU55" s="10"/>
      <c r="SNV55" s="10"/>
      <c r="SNW55" s="10"/>
      <c r="SNX55" s="10"/>
      <c r="SNY55" s="10"/>
      <c r="SNZ55" s="10"/>
      <c r="SOA55" s="10"/>
      <c r="SOB55" s="10"/>
      <c r="SOC55" s="10"/>
      <c r="SOD55" s="10"/>
      <c r="SOE55" s="10"/>
      <c r="SOF55" s="10"/>
      <c r="SOG55" s="10"/>
      <c r="SOH55" s="10"/>
      <c r="SOI55" s="10"/>
      <c r="SOJ55" s="10"/>
      <c r="SOK55" s="10"/>
      <c r="SOL55" s="10"/>
      <c r="SOM55" s="10"/>
      <c r="SON55" s="10"/>
      <c r="SOO55" s="10"/>
      <c r="SOP55" s="10"/>
      <c r="SOQ55" s="10"/>
      <c r="SOR55" s="10"/>
      <c r="SOS55" s="10"/>
      <c r="SOT55" s="10"/>
      <c r="SOU55" s="10"/>
      <c r="SOV55" s="10"/>
      <c r="SOW55" s="10"/>
      <c r="SOX55" s="10"/>
      <c r="SOY55" s="10"/>
      <c r="SOZ55" s="10"/>
      <c r="SPA55" s="10"/>
      <c r="SPB55" s="10"/>
      <c r="SPC55" s="10"/>
      <c r="SPD55" s="10"/>
      <c r="SPE55" s="10"/>
      <c r="SPF55" s="10"/>
      <c r="SPG55" s="10"/>
      <c r="SPH55" s="10"/>
      <c r="SPI55" s="10"/>
      <c r="SPJ55" s="10"/>
      <c r="SPK55" s="10"/>
      <c r="SPL55" s="10"/>
      <c r="SPM55" s="10"/>
      <c r="SPN55" s="10"/>
      <c r="SPO55" s="10"/>
      <c r="SPP55" s="10"/>
      <c r="SPQ55" s="10"/>
      <c r="SPR55" s="10"/>
      <c r="SPS55" s="10"/>
      <c r="SPT55" s="10"/>
      <c r="SPU55" s="10"/>
      <c r="SPV55" s="10"/>
      <c r="SPW55" s="10"/>
      <c r="SPX55" s="10"/>
      <c r="SPY55" s="10"/>
      <c r="SPZ55" s="10"/>
      <c r="SQA55" s="10"/>
      <c r="SQB55" s="10"/>
      <c r="SQC55" s="10"/>
      <c r="SQD55" s="10"/>
      <c r="SQE55" s="10"/>
      <c r="SQF55" s="10"/>
      <c r="SQG55" s="10"/>
      <c r="SQH55" s="10"/>
      <c r="SQI55" s="10"/>
      <c r="SQJ55" s="10"/>
      <c r="SQK55" s="10"/>
      <c r="SQL55" s="10"/>
      <c r="SQM55" s="10"/>
      <c r="SQN55" s="10"/>
      <c r="SQO55" s="10"/>
      <c r="SQP55" s="10"/>
      <c r="SQQ55" s="10"/>
      <c r="SQR55" s="10"/>
      <c r="SQS55" s="10"/>
      <c r="SQT55" s="10"/>
      <c r="SQU55" s="10"/>
      <c r="SQV55" s="10"/>
      <c r="SQW55" s="10"/>
      <c r="SQX55" s="10"/>
      <c r="SQY55" s="10"/>
      <c r="SQZ55" s="10"/>
      <c r="SRA55" s="10"/>
      <c r="SRB55" s="10"/>
      <c r="SRC55" s="10"/>
      <c r="SRD55" s="10"/>
      <c r="SRE55" s="10"/>
      <c r="SRF55" s="10"/>
      <c r="SRG55" s="10"/>
      <c r="SRH55" s="10"/>
      <c r="SRI55" s="10"/>
      <c r="SRJ55" s="10"/>
      <c r="SRK55" s="10"/>
      <c r="SRL55" s="10"/>
      <c r="SRM55" s="10"/>
      <c r="SRN55" s="10"/>
      <c r="SRO55" s="10"/>
      <c r="SRP55" s="10"/>
      <c r="SRQ55" s="10"/>
      <c r="SRR55" s="10"/>
      <c r="SRS55" s="10"/>
      <c r="SRT55" s="10"/>
      <c r="SRU55" s="10"/>
      <c r="SRV55" s="10"/>
      <c r="SRW55" s="10"/>
      <c r="SRX55" s="10"/>
      <c r="SRY55" s="10"/>
      <c r="SRZ55" s="10"/>
      <c r="SSA55" s="10"/>
      <c r="SSB55" s="10"/>
      <c r="SSC55" s="10"/>
      <c r="SSD55" s="10"/>
      <c r="SSE55" s="10"/>
      <c r="SSF55" s="10"/>
      <c r="SSG55" s="10"/>
      <c r="SSH55" s="10"/>
      <c r="SSI55" s="10"/>
      <c r="SSJ55" s="10"/>
      <c r="SSK55" s="10"/>
      <c r="SSL55" s="10"/>
      <c r="SSM55" s="10"/>
      <c r="SSN55" s="10"/>
      <c r="SSO55" s="10"/>
      <c r="SSP55" s="10"/>
      <c r="SSQ55" s="10"/>
      <c r="SSR55" s="10"/>
      <c r="SSS55" s="10"/>
      <c r="SST55" s="10"/>
      <c r="SSU55" s="10"/>
      <c r="SSV55" s="10"/>
      <c r="SSW55" s="10"/>
      <c r="SSX55" s="10"/>
      <c r="SSY55" s="10"/>
      <c r="SSZ55" s="10"/>
      <c r="STA55" s="10"/>
      <c r="STB55" s="10"/>
      <c r="STC55" s="10"/>
      <c r="STD55" s="10"/>
      <c r="STE55" s="10"/>
      <c r="STF55" s="10"/>
      <c r="STG55" s="10"/>
      <c r="STH55" s="10"/>
      <c r="STI55" s="10"/>
      <c r="STJ55" s="10"/>
      <c r="STK55" s="10"/>
      <c r="STL55" s="10"/>
      <c r="STM55" s="10"/>
      <c r="STN55" s="10"/>
      <c r="STO55" s="10"/>
      <c r="STP55" s="10"/>
      <c r="STQ55" s="10"/>
      <c r="STR55" s="10"/>
      <c r="STS55" s="10"/>
      <c r="STT55" s="10"/>
      <c r="STU55" s="10"/>
      <c r="STV55" s="10"/>
      <c r="STW55" s="10"/>
      <c r="STX55" s="10"/>
      <c r="STY55" s="10"/>
      <c r="STZ55" s="10"/>
      <c r="SUA55" s="10"/>
      <c r="SUB55" s="10"/>
      <c r="SUC55" s="10"/>
      <c r="SUD55" s="10"/>
      <c r="SUE55" s="10"/>
      <c r="SUF55" s="10"/>
      <c r="SUG55" s="10"/>
      <c r="SUH55" s="10"/>
      <c r="SUI55" s="10"/>
      <c r="SUJ55" s="10"/>
      <c r="SUK55" s="10"/>
      <c r="SUL55" s="10"/>
      <c r="SUM55" s="10"/>
      <c r="SUN55" s="10"/>
      <c r="SUO55" s="10"/>
      <c r="SUP55" s="10"/>
      <c r="SUQ55" s="10"/>
      <c r="SUR55" s="10"/>
      <c r="SUS55" s="10"/>
      <c r="SUT55" s="10"/>
      <c r="SUU55" s="10"/>
      <c r="SUV55" s="10"/>
      <c r="SUW55" s="10"/>
      <c r="SUX55" s="10"/>
      <c r="SUY55" s="10"/>
      <c r="SUZ55" s="10"/>
      <c r="SVA55" s="10"/>
      <c r="SVB55" s="10"/>
      <c r="SVC55" s="10"/>
      <c r="SVD55" s="10"/>
      <c r="SVE55" s="10"/>
      <c r="SVF55" s="10"/>
      <c r="SVG55" s="10"/>
      <c r="SVH55" s="10"/>
      <c r="SVI55" s="10"/>
      <c r="SVJ55" s="10"/>
      <c r="SVK55" s="10"/>
      <c r="SVL55" s="10"/>
      <c r="SVM55" s="10"/>
      <c r="SVN55" s="10"/>
      <c r="SVO55" s="10"/>
      <c r="SVP55" s="10"/>
      <c r="SVQ55" s="10"/>
      <c r="SVR55" s="10"/>
      <c r="SVS55" s="10"/>
      <c r="SVT55" s="10"/>
      <c r="SVU55" s="10"/>
      <c r="SVV55" s="10"/>
      <c r="SVW55" s="10"/>
      <c r="SVX55" s="10"/>
      <c r="SVY55" s="10"/>
      <c r="SVZ55" s="10"/>
      <c r="SWA55" s="10"/>
      <c r="SWB55" s="10"/>
      <c r="SWC55" s="10"/>
      <c r="SWD55" s="10"/>
      <c r="SWE55" s="10"/>
      <c r="SWF55" s="10"/>
      <c r="SWG55" s="10"/>
      <c r="SWH55" s="10"/>
      <c r="SWI55" s="10"/>
      <c r="SWJ55" s="10"/>
      <c r="SWK55" s="10"/>
      <c r="SWL55" s="10"/>
      <c r="SWM55" s="10"/>
      <c r="SWN55" s="10"/>
      <c r="SWO55" s="10"/>
      <c r="SWP55" s="10"/>
      <c r="SWQ55" s="10"/>
      <c r="SWR55" s="10"/>
      <c r="SWS55" s="10"/>
      <c r="SWT55" s="10"/>
      <c r="SWU55" s="10"/>
      <c r="SWV55" s="10"/>
      <c r="SWW55" s="10"/>
      <c r="SWX55" s="10"/>
      <c r="SWY55" s="10"/>
      <c r="SWZ55" s="10"/>
      <c r="SXA55" s="10"/>
      <c r="SXB55" s="10"/>
      <c r="SXC55" s="10"/>
      <c r="SXD55" s="10"/>
      <c r="SXE55" s="10"/>
      <c r="SXF55" s="10"/>
      <c r="SXG55" s="10"/>
      <c r="SXH55" s="10"/>
      <c r="SXI55" s="10"/>
      <c r="SXJ55" s="10"/>
      <c r="SXK55" s="10"/>
      <c r="SXL55" s="10"/>
      <c r="SXM55" s="10"/>
      <c r="SXN55" s="10"/>
      <c r="SXO55" s="10"/>
      <c r="SXP55" s="10"/>
      <c r="SXQ55" s="10"/>
      <c r="SXR55" s="10"/>
      <c r="SXS55" s="10"/>
      <c r="SXT55" s="10"/>
      <c r="SXU55" s="10"/>
      <c r="SXV55" s="10"/>
      <c r="SXW55" s="10"/>
      <c r="SXX55" s="10"/>
      <c r="SXY55" s="10"/>
      <c r="SXZ55" s="10"/>
      <c r="SYA55" s="10"/>
      <c r="SYB55" s="10"/>
      <c r="SYC55" s="10"/>
      <c r="SYD55" s="10"/>
      <c r="SYE55" s="10"/>
      <c r="SYF55" s="10"/>
      <c r="SYG55" s="10"/>
      <c r="SYH55" s="10"/>
      <c r="SYI55" s="10"/>
      <c r="SYJ55" s="10"/>
      <c r="SYK55" s="10"/>
      <c r="SYL55" s="10"/>
      <c r="SYM55" s="10"/>
      <c r="SYN55" s="10"/>
      <c r="SYO55" s="10"/>
      <c r="SYP55" s="10"/>
      <c r="SYQ55" s="10"/>
      <c r="SYR55" s="10"/>
      <c r="SYS55" s="10"/>
      <c r="SYT55" s="10"/>
      <c r="SYU55" s="10"/>
      <c r="SYV55" s="10"/>
      <c r="SYW55" s="10"/>
      <c r="SYX55" s="10"/>
      <c r="SYY55" s="10"/>
      <c r="SYZ55" s="10"/>
      <c r="SZA55" s="10"/>
      <c r="SZB55" s="10"/>
      <c r="SZC55" s="10"/>
      <c r="SZD55" s="10"/>
      <c r="SZE55" s="10"/>
      <c r="SZF55" s="10"/>
      <c r="SZG55" s="10"/>
      <c r="SZH55" s="10"/>
      <c r="SZI55" s="10"/>
      <c r="SZJ55" s="10"/>
      <c r="SZK55" s="10"/>
      <c r="SZL55" s="10"/>
      <c r="SZM55" s="10"/>
      <c r="SZN55" s="10"/>
      <c r="SZO55" s="10"/>
      <c r="SZP55" s="10"/>
      <c r="SZQ55" s="10"/>
      <c r="SZR55" s="10"/>
      <c r="SZS55" s="10"/>
      <c r="SZT55" s="10"/>
      <c r="SZU55" s="10"/>
      <c r="SZV55" s="10"/>
      <c r="SZW55" s="10"/>
      <c r="SZX55" s="10"/>
      <c r="SZY55" s="10"/>
      <c r="SZZ55" s="10"/>
      <c r="TAA55" s="10"/>
      <c r="TAB55" s="10"/>
      <c r="TAC55" s="10"/>
      <c r="TAD55" s="10"/>
      <c r="TAE55" s="10"/>
      <c r="TAF55" s="10"/>
      <c r="TAG55" s="10"/>
      <c r="TAH55" s="10"/>
      <c r="TAI55" s="10"/>
      <c r="TAJ55" s="10"/>
      <c r="TAK55" s="10"/>
      <c r="TAL55" s="10"/>
      <c r="TAM55" s="10"/>
      <c r="TAN55" s="10"/>
      <c r="TAO55" s="10"/>
      <c r="TAP55" s="10"/>
      <c r="TAQ55" s="10"/>
      <c r="TAR55" s="10"/>
      <c r="TAS55" s="10"/>
      <c r="TAT55" s="10"/>
      <c r="TAU55" s="10"/>
      <c r="TAV55" s="10"/>
      <c r="TAW55" s="10"/>
      <c r="TAX55" s="10"/>
      <c r="TAY55" s="10"/>
      <c r="TAZ55" s="10"/>
      <c r="TBA55" s="10"/>
      <c r="TBB55" s="10"/>
      <c r="TBC55" s="10"/>
      <c r="TBD55" s="10"/>
      <c r="TBE55" s="10"/>
      <c r="TBF55" s="10"/>
      <c r="TBG55" s="10"/>
      <c r="TBH55" s="10"/>
      <c r="TBI55" s="10"/>
      <c r="TBJ55" s="10"/>
      <c r="TBK55" s="10"/>
      <c r="TBL55" s="10"/>
      <c r="TBM55" s="10"/>
      <c r="TBN55" s="10"/>
      <c r="TBO55" s="10"/>
      <c r="TBP55" s="10"/>
      <c r="TBQ55" s="10"/>
      <c r="TBR55" s="10"/>
      <c r="TBS55" s="10"/>
      <c r="TBT55" s="10"/>
      <c r="TBU55" s="10"/>
      <c r="TBV55" s="10"/>
      <c r="TBW55" s="10"/>
      <c r="TBX55" s="10"/>
      <c r="TBY55" s="10"/>
      <c r="TBZ55" s="10"/>
      <c r="TCA55" s="10"/>
      <c r="TCB55" s="10"/>
      <c r="TCC55" s="10"/>
      <c r="TCD55" s="10"/>
      <c r="TCE55" s="10"/>
      <c r="TCF55" s="10"/>
      <c r="TCG55" s="10"/>
      <c r="TCH55" s="10"/>
      <c r="TCI55" s="10"/>
      <c r="TCJ55" s="10"/>
      <c r="TCK55" s="10"/>
      <c r="TCL55" s="10"/>
      <c r="TCM55" s="10"/>
      <c r="TCN55" s="10"/>
      <c r="TCO55" s="10"/>
      <c r="TCP55" s="10"/>
      <c r="TCQ55" s="10"/>
      <c r="TCR55" s="10"/>
      <c r="TCS55" s="10"/>
      <c r="TCT55" s="10"/>
      <c r="TCU55" s="10"/>
      <c r="TCV55" s="10"/>
      <c r="TCW55" s="10"/>
      <c r="TCX55" s="10"/>
      <c r="TCY55" s="10"/>
      <c r="TCZ55" s="10"/>
      <c r="TDA55" s="10"/>
      <c r="TDB55" s="10"/>
      <c r="TDC55" s="10"/>
      <c r="TDD55" s="10"/>
      <c r="TDE55" s="10"/>
      <c r="TDF55" s="10"/>
      <c r="TDG55" s="10"/>
      <c r="TDH55" s="10"/>
      <c r="TDI55" s="10"/>
      <c r="TDJ55" s="10"/>
      <c r="TDK55" s="10"/>
      <c r="TDL55" s="10"/>
      <c r="TDM55" s="10"/>
      <c r="TDN55" s="10"/>
      <c r="TDO55" s="10"/>
      <c r="TDP55" s="10"/>
      <c r="TDQ55" s="10"/>
      <c r="TDR55" s="10"/>
      <c r="TDS55" s="10"/>
      <c r="TDT55" s="10"/>
      <c r="TDU55" s="10"/>
      <c r="TDV55" s="10"/>
      <c r="TDW55" s="10"/>
      <c r="TDX55" s="10"/>
      <c r="TDY55" s="10"/>
      <c r="TDZ55" s="10"/>
      <c r="TEA55" s="10"/>
      <c r="TEB55" s="10"/>
      <c r="TEC55" s="10"/>
      <c r="TED55" s="10"/>
      <c r="TEE55" s="10"/>
      <c r="TEF55" s="10"/>
      <c r="TEG55" s="10"/>
      <c r="TEH55" s="10"/>
      <c r="TEI55" s="10"/>
      <c r="TEJ55" s="10"/>
      <c r="TEK55" s="10"/>
      <c r="TEL55" s="10"/>
      <c r="TEM55" s="10"/>
      <c r="TEN55" s="10"/>
      <c r="TEO55" s="10"/>
      <c r="TEP55" s="10"/>
      <c r="TEQ55" s="10"/>
      <c r="TER55" s="10"/>
      <c r="TES55" s="10"/>
      <c r="TET55" s="10"/>
      <c r="TEU55" s="10"/>
      <c r="TEV55" s="10"/>
      <c r="TEW55" s="10"/>
      <c r="TEX55" s="10"/>
      <c r="TEY55" s="10"/>
      <c r="TEZ55" s="10"/>
      <c r="TFA55" s="10"/>
      <c r="TFB55" s="10"/>
      <c r="TFC55" s="10"/>
      <c r="TFD55" s="10"/>
      <c r="TFE55" s="10"/>
      <c r="TFF55" s="10"/>
      <c r="TFG55" s="10"/>
      <c r="TFH55" s="10"/>
      <c r="TFI55" s="10"/>
      <c r="TFJ55" s="10"/>
      <c r="TFK55" s="10"/>
      <c r="TFL55" s="10"/>
      <c r="TFM55" s="10"/>
      <c r="TFN55" s="10"/>
      <c r="TFO55" s="10"/>
      <c r="TFP55" s="10"/>
      <c r="TFQ55" s="10"/>
      <c r="TFR55" s="10"/>
      <c r="TFS55" s="10"/>
      <c r="TFT55" s="10"/>
      <c r="TFU55" s="10"/>
      <c r="TFV55" s="10"/>
      <c r="TFW55" s="10"/>
      <c r="TFX55" s="10"/>
      <c r="TFY55" s="10"/>
      <c r="TFZ55" s="10"/>
      <c r="TGA55" s="10"/>
      <c r="TGB55" s="10"/>
      <c r="TGC55" s="10"/>
      <c r="TGD55" s="10"/>
      <c r="TGE55" s="10"/>
      <c r="TGF55" s="10"/>
      <c r="TGG55" s="10"/>
      <c r="TGH55" s="10"/>
      <c r="TGI55" s="10"/>
      <c r="TGJ55" s="10"/>
      <c r="TGK55" s="10"/>
      <c r="TGL55" s="10"/>
      <c r="TGM55" s="10"/>
      <c r="TGN55" s="10"/>
      <c r="TGO55" s="10"/>
      <c r="TGP55" s="10"/>
      <c r="TGQ55" s="10"/>
      <c r="TGR55" s="10"/>
      <c r="TGS55" s="10"/>
      <c r="TGT55" s="10"/>
      <c r="TGU55" s="10"/>
      <c r="TGV55" s="10"/>
      <c r="TGW55" s="10"/>
      <c r="TGX55" s="10"/>
      <c r="TGY55" s="10"/>
      <c r="TGZ55" s="10"/>
      <c r="THA55" s="10"/>
      <c r="THB55" s="10"/>
      <c r="THC55" s="10"/>
      <c r="THD55" s="10"/>
      <c r="THE55" s="10"/>
      <c r="THF55" s="10"/>
      <c r="THG55" s="10"/>
      <c r="THH55" s="10"/>
      <c r="THI55" s="10"/>
      <c r="THJ55" s="10"/>
      <c r="THK55" s="10"/>
      <c r="THL55" s="10"/>
      <c r="THM55" s="10"/>
      <c r="THN55" s="10"/>
      <c r="THO55" s="10"/>
      <c r="THP55" s="10"/>
      <c r="THQ55" s="10"/>
      <c r="THR55" s="10"/>
      <c r="THS55" s="10"/>
      <c r="THT55" s="10"/>
      <c r="THU55" s="10"/>
      <c r="THV55" s="10"/>
      <c r="THW55" s="10"/>
      <c r="THX55" s="10"/>
      <c r="THY55" s="10"/>
      <c r="THZ55" s="10"/>
      <c r="TIA55" s="10"/>
      <c r="TIB55" s="10"/>
      <c r="TIC55" s="10"/>
      <c r="TID55" s="10"/>
      <c r="TIE55" s="10"/>
      <c r="TIF55" s="10"/>
      <c r="TIG55" s="10"/>
      <c r="TIH55" s="10"/>
      <c r="TII55" s="10"/>
      <c r="TIJ55" s="10"/>
      <c r="TIK55" s="10"/>
      <c r="TIL55" s="10"/>
      <c r="TIM55" s="10"/>
      <c r="TIN55" s="10"/>
      <c r="TIO55" s="10"/>
      <c r="TIP55" s="10"/>
      <c r="TIQ55" s="10"/>
      <c r="TIR55" s="10"/>
      <c r="TIS55" s="10"/>
      <c r="TIT55" s="10"/>
      <c r="TIU55" s="10"/>
      <c r="TIV55" s="10"/>
      <c r="TIW55" s="10"/>
      <c r="TIX55" s="10"/>
      <c r="TIY55" s="10"/>
      <c r="TIZ55" s="10"/>
      <c r="TJA55" s="10"/>
      <c r="TJB55" s="10"/>
      <c r="TJC55" s="10"/>
      <c r="TJD55" s="10"/>
      <c r="TJE55" s="10"/>
      <c r="TJF55" s="10"/>
      <c r="TJG55" s="10"/>
      <c r="TJH55" s="10"/>
      <c r="TJI55" s="10"/>
      <c r="TJJ55" s="10"/>
      <c r="TJK55" s="10"/>
      <c r="TJL55" s="10"/>
      <c r="TJM55" s="10"/>
      <c r="TJN55" s="10"/>
      <c r="TJO55" s="10"/>
      <c r="TJP55" s="10"/>
      <c r="TJQ55" s="10"/>
      <c r="TJR55" s="10"/>
      <c r="TJS55" s="10"/>
      <c r="TJT55" s="10"/>
      <c r="TJU55" s="10"/>
      <c r="TJV55" s="10"/>
      <c r="TJW55" s="10"/>
      <c r="TJX55" s="10"/>
      <c r="TJY55" s="10"/>
      <c r="TJZ55" s="10"/>
      <c r="TKA55" s="10"/>
      <c r="TKB55" s="10"/>
      <c r="TKC55" s="10"/>
      <c r="TKD55" s="10"/>
      <c r="TKE55" s="10"/>
      <c r="TKF55" s="10"/>
      <c r="TKG55" s="10"/>
      <c r="TKH55" s="10"/>
      <c r="TKI55" s="10"/>
      <c r="TKJ55" s="10"/>
      <c r="TKK55" s="10"/>
      <c r="TKL55" s="10"/>
      <c r="TKM55" s="10"/>
      <c r="TKN55" s="10"/>
      <c r="TKO55" s="10"/>
      <c r="TKP55" s="10"/>
      <c r="TKQ55" s="10"/>
      <c r="TKR55" s="10"/>
      <c r="TKS55" s="10"/>
      <c r="TKT55" s="10"/>
      <c r="TKU55" s="10"/>
      <c r="TKV55" s="10"/>
      <c r="TKW55" s="10"/>
      <c r="TKX55" s="10"/>
      <c r="TKY55" s="10"/>
      <c r="TKZ55" s="10"/>
      <c r="TLA55" s="10"/>
      <c r="TLB55" s="10"/>
      <c r="TLC55" s="10"/>
      <c r="TLD55" s="10"/>
      <c r="TLE55" s="10"/>
      <c r="TLF55" s="10"/>
      <c r="TLG55" s="10"/>
      <c r="TLH55" s="10"/>
      <c r="TLI55" s="10"/>
      <c r="TLJ55" s="10"/>
      <c r="TLK55" s="10"/>
      <c r="TLL55" s="10"/>
      <c r="TLM55" s="10"/>
      <c r="TLN55" s="10"/>
      <c r="TLO55" s="10"/>
      <c r="TLP55" s="10"/>
      <c r="TLQ55" s="10"/>
      <c r="TLR55" s="10"/>
      <c r="TLS55" s="10"/>
      <c r="TLT55" s="10"/>
      <c r="TLU55" s="10"/>
      <c r="TLV55" s="10"/>
      <c r="TLW55" s="10"/>
      <c r="TLX55" s="10"/>
      <c r="TLY55" s="10"/>
      <c r="TLZ55" s="10"/>
      <c r="TMA55" s="10"/>
      <c r="TMB55" s="10"/>
      <c r="TMC55" s="10"/>
      <c r="TMD55" s="10"/>
      <c r="TME55" s="10"/>
      <c r="TMF55" s="10"/>
      <c r="TMG55" s="10"/>
      <c r="TMH55" s="10"/>
      <c r="TMI55" s="10"/>
      <c r="TMJ55" s="10"/>
      <c r="TMK55" s="10"/>
      <c r="TML55" s="10"/>
      <c r="TMM55" s="10"/>
      <c r="TMN55" s="10"/>
      <c r="TMO55" s="10"/>
      <c r="TMP55" s="10"/>
      <c r="TMQ55" s="10"/>
      <c r="TMR55" s="10"/>
      <c r="TMS55" s="10"/>
      <c r="TMT55" s="10"/>
      <c r="TMU55" s="10"/>
      <c r="TMV55" s="10"/>
      <c r="TMW55" s="10"/>
      <c r="TMX55" s="10"/>
      <c r="TMY55" s="10"/>
      <c r="TMZ55" s="10"/>
      <c r="TNA55" s="10"/>
      <c r="TNB55" s="10"/>
      <c r="TNC55" s="10"/>
      <c r="TND55" s="10"/>
      <c r="TNE55" s="10"/>
      <c r="TNF55" s="10"/>
      <c r="TNG55" s="10"/>
      <c r="TNH55" s="10"/>
      <c r="TNI55" s="10"/>
      <c r="TNJ55" s="10"/>
      <c r="TNK55" s="10"/>
      <c r="TNL55" s="10"/>
      <c r="TNM55" s="10"/>
      <c r="TNN55" s="10"/>
      <c r="TNO55" s="10"/>
      <c r="TNP55" s="10"/>
      <c r="TNQ55" s="10"/>
      <c r="TNR55" s="10"/>
      <c r="TNS55" s="10"/>
      <c r="TNT55" s="10"/>
      <c r="TNU55" s="10"/>
      <c r="TNV55" s="10"/>
      <c r="TNW55" s="10"/>
      <c r="TNX55" s="10"/>
      <c r="TNY55" s="10"/>
      <c r="TNZ55" s="10"/>
      <c r="TOA55" s="10"/>
      <c r="TOB55" s="10"/>
      <c r="TOC55" s="10"/>
      <c r="TOD55" s="10"/>
      <c r="TOE55" s="10"/>
      <c r="TOF55" s="10"/>
      <c r="TOG55" s="10"/>
      <c r="TOH55" s="10"/>
      <c r="TOI55" s="10"/>
      <c r="TOJ55" s="10"/>
      <c r="TOK55" s="10"/>
      <c r="TOL55" s="10"/>
      <c r="TOM55" s="10"/>
      <c r="TON55" s="10"/>
      <c r="TOO55" s="10"/>
      <c r="TOP55" s="10"/>
      <c r="TOQ55" s="10"/>
      <c r="TOR55" s="10"/>
      <c r="TOS55" s="10"/>
      <c r="TOT55" s="10"/>
      <c r="TOU55" s="10"/>
      <c r="TOV55" s="10"/>
      <c r="TOW55" s="10"/>
      <c r="TOX55" s="10"/>
      <c r="TOY55" s="10"/>
      <c r="TOZ55" s="10"/>
      <c r="TPA55" s="10"/>
      <c r="TPB55" s="10"/>
      <c r="TPC55" s="10"/>
      <c r="TPD55" s="10"/>
      <c r="TPE55" s="10"/>
      <c r="TPF55" s="10"/>
      <c r="TPG55" s="10"/>
      <c r="TPH55" s="10"/>
      <c r="TPI55" s="10"/>
      <c r="TPJ55" s="10"/>
      <c r="TPK55" s="10"/>
      <c r="TPL55" s="10"/>
      <c r="TPM55" s="10"/>
      <c r="TPN55" s="10"/>
      <c r="TPO55" s="10"/>
      <c r="TPP55" s="10"/>
      <c r="TPQ55" s="10"/>
      <c r="TPR55" s="10"/>
      <c r="TPS55" s="10"/>
      <c r="TPT55" s="10"/>
      <c r="TPU55" s="10"/>
      <c r="TPV55" s="10"/>
      <c r="TPW55" s="10"/>
      <c r="TPX55" s="10"/>
      <c r="TPY55" s="10"/>
      <c r="TPZ55" s="10"/>
      <c r="TQA55" s="10"/>
      <c r="TQB55" s="10"/>
      <c r="TQC55" s="10"/>
      <c r="TQD55" s="10"/>
      <c r="TQE55" s="10"/>
      <c r="TQF55" s="10"/>
      <c r="TQG55" s="10"/>
      <c r="TQH55" s="10"/>
      <c r="TQI55" s="10"/>
      <c r="TQJ55" s="10"/>
      <c r="TQK55" s="10"/>
      <c r="TQL55" s="10"/>
      <c r="TQM55" s="10"/>
      <c r="TQN55" s="10"/>
      <c r="TQO55" s="10"/>
      <c r="TQP55" s="10"/>
      <c r="TQQ55" s="10"/>
      <c r="TQR55" s="10"/>
      <c r="TQS55" s="10"/>
      <c r="TQT55" s="10"/>
      <c r="TQU55" s="10"/>
      <c r="TQV55" s="10"/>
      <c r="TQW55" s="10"/>
      <c r="TQX55" s="10"/>
      <c r="TQY55" s="10"/>
      <c r="TQZ55" s="10"/>
      <c r="TRA55" s="10"/>
      <c r="TRB55" s="10"/>
      <c r="TRC55" s="10"/>
      <c r="TRD55" s="10"/>
      <c r="TRE55" s="10"/>
      <c r="TRF55" s="10"/>
      <c r="TRG55" s="10"/>
      <c r="TRH55" s="10"/>
      <c r="TRI55" s="10"/>
      <c r="TRJ55" s="10"/>
      <c r="TRK55" s="10"/>
      <c r="TRL55" s="10"/>
      <c r="TRM55" s="10"/>
      <c r="TRN55" s="10"/>
      <c r="TRO55" s="10"/>
      <c r="TRP55" s="10"/>
      <c r="TRQ55" s="10"/>
      <c r="TRR55" s="10"/>
      <c r="TRS55" s="10"/>
      <c r="TRT55" s="10"/>
      <c r="TRU55" s="10"/>
      <c r="TRV55" s="10"/>
      <c r="TRW55" s="10"/>
      <c r="TRX55" s="10"/>
      <c r="TRY55" s="10"/>
      <c r="TRZ55" s="10"/>
      <c r="TSA55" s="10"/>
      <c r="TSB55" s="10"/>
      <c r="TSC55" s="10"/>
      <c r="TSD55" s="10"/>
      <c r="TSE55" s="10"/>
      <c r="TSF55" s="10"/>
      <c r="TSG55" s="10"/>
      <c r="TSH55" s="10"/>
      <c r="TSI55" s="10"/>
      <c r="TSJ55" s="10"/>
      <c r="TSK55" s="10"/>
      <c r="TSL55" s="10"/>
      <c r="TSM55" s="10"/>
      <c r="TSN55" s="10"/>
      <c r="TSO55" s="10"/>
      <c r="TSP55" s="10"/>
      <c r="TSQ55" s="10"/>
      <c r="TSR55" s="10"/>
      <c r="TSS55" s="10"/>
      <c r="TST55" s="10"/>
      <c r="TSU55" s="10"/>
      <c r="TSV55" s="10"/>
      <c r="TSW55" s="10"/>
      <c r="TSX55" s="10"/>
      <c r="TSY55" s="10"/>
      <c r="TSZ55" s="10"/>
      <c r="TTA55" s="10"/>
      <c r="TTB55" s="10"/>
      <c r="TTC55" s="10"/>
      <c r="TTD55" s="10"/>
      <c r="TTE55" s="10"/>
      <c r="TTF55" s="10"/>
      <c r="TTG55" s="10"/>
      <c r="TTH55" s="10"/>
      <c r="TTI55" s="10"/>
      <c r="TTJ55" s="10"/>
      <c r="TTK55" s="10"/>
      <c r="TTL55" s="10"/>
      <c r="TTM55" s="10"/>
      <c r="TTN55" s="10"/>
      <c r="TTO55" s="10"/>
      <c r="TTP55" s="10"/>
      <c r="TTQ55" s="10"/>
      <c r="TTR55" s="10"/>
      <c r="TTS55" s="10"/>
      <c r="TTT55" s="10"/>
      <c r="TTU55" s="10"/>
      <c r="TTV55" s="10"/>
      <c r="TTW55" s="10"/>
      <c r="TTX55" s="10"/>
      <c r="TTY55" s="10"/>
      <c r="TTZ55" s="10"/>
      <c r="TUA55" s="10"/>
      <c r="TUB55" s="10"/>
      <c r="TUC55" s="10"/>
      <c r="TUD55" s="10"/>
      <c r="TUE55" s="10"/>
      <c r="TUF55" s="10"/>
      <c r="TUG55" s="10"/>
      <c r="TUH55" s="10"/>
      <c r="TUI55" s="10"/>
      <c r="TUJ55" s="10"/>
      <c r="TUK55" s="10"/>
      <c r="TUL55" s="10"/>
      <c r="TUM55" s="10"/>
      <c r="TUN55" s="10"/>
      <c r="TUO55" s="10"/>
      <c r="TUP55" s="10"/>
      <c r="TUQ55" s="10"/>
      <c r="TUR55" s="10"/>
      <c r="TUS55" s="10"/>
      <c r="TUT55" s="10"/>
      <c r="TUU55" s="10"/>
      <c r="TUV55" s="10"/>
      <c r="TUW55" s="10"/>
      <c r="TUX55" s="10"/>
      <c r="TUY55" s="10"/>
      <c r="TUZ55" s="10"/>
      <c r="TVA55" s="10"/>
      <c r="TVB55" s="10"/>
      <c r="TVC55" s="10"/>
      <c r="TVD55" s="10"/>
      <c r="TVE55" s="10"/>
      <c r="TVF55" s="10"/>
      <c r="TVG55" s="10"/>
      <c r="TVH55" s="10"/>
      <c r="TVI55" s="10"/>
      <c r="TVJ55" s="10"/>
      <c r="TVK55" s="10"/>
      <c r="TVL55" s="10"/>
      <c r="TVM55" s="10"/>
      <c r="TVN55" s="10"/>
      <c r="TVO55" s="10"/>
      <c r="TVP55" s="10"/>
      <c r="TVQ55" s="10"/>
      <c r="TVR55" s="10"/>
      <c r="TVS55" s="10"/>
      <c r="TVT55" s="10"/>
      <c r="TVU55" s="10"/>
      <c r="TVV55" s="10"/>
      <c r="TVW55" s="10"/>
      <c r="TVX55" s="10"/>
      <c r="TVY55" s="10"/>
      <c r="TVZ55" s="10"/>
      <c r="TWA55" s="10"/>
      <c r="TWB55" s="10"/>
      <c r="TWC55" s="10"/>
      <c r="TWD55" s="10"/>
      <c r="TWE55" s="10"/>
      <c r="TWF55" s="10"/>
      <c r="TWG55" s="10"/>
      <c r="TWH55" s="10"/>
      <c r="TWI55" s="10"/>
      <c r="TWJ55" s="10"/>
      <c r="TWK55" s="10"/>
      <c r="TWL55" s="10"/>
      <c r="TWM55" s="10"/>
      <c r="TWN55" s="10"/>
      <c r="TWO55" s="10"/>
      <c r="TWP55" s="10"/>
      <c r="TWQ55" s="10"/>
      <c r="TWR55" s="10"/>
      <c r="TWS55" s="10"/>
      <c r="TWT55" s="10"/>
      <c r="TWU55" s="10"/>
      <c r="TWV55" s="10"/>
      <c r="TWW55" s="10"/>
      <c r="TWX55" s="10"/>
      <c r="TWY55" s="10"/>
      <c r="TWZ55" s="10"/>
      <c r="TXA55" s="10"/>
      <c r="TXB55" s="10"/>
      <c r="TXC55" s="10"/>
      <c r="TXD55" s="10"/>
      <c r="TXE55" s="10"/>
      <c r="TXF55" s="10"/>
      <c r="TXG55" s="10"/>
      <c r="TXH55" s="10"/>
      <c r="TXI55" s="10"/>
      <c r="TXJ55" s="10"/>
      <c r="TXK55" s="10"/>
      <c r="TXL55" s="10"/>
      <c r="TXM55" s="10"/>
      <c r="TXN55" s="10"/>
      <c r="TXO55" s="10"/>
      <c r="TXP55" s="10"/>
      <c r="TXQ55" s="10"/>
      <c r="TXR55" s="10"/>
      <c r="TXS55" s="10"/>
      <c r="TXT55" s="10"/>
      <c r="TXU55" s="10"/>
      <c r="TXV55" s="10"/>
      <c r="TXW55" s="10"/>
      <c r="TXX55" s="10"/>
      <c r="TXY55" s="10"/>
      <c r="TXZ55" s="10"/>
      <c r="TYA55" s="10"/>
      <c r="TYB55" s="10"/>
      <c r="TYC55" s="10"/>
      <c r="TYD55" s="10"/>
      <c r="TYE55" s="10"/>
      <c r="TYF55" s="10"/>
      <c r="TYG55" s="10"/>
      <c r="TYH55" s="10"/>
      <c r="TYI55" s="10"/>
      <c r="TYJ55" s="10"/>
      <c r="TYK55" s="10"/>
      <c r="TYL55" s="10"/>
      <c r="TYM55" s="10"/>
      <c r="TYN55" s="10"/>
      <c r="TYO55" s="10"/>
      <c r="TYP55" s="10"/>
      <c r="TYQ55" s="10"/>
      <c r="TYR55" s="10"/>
      <c r="TYS55" s="10"/>
      <c r="TYT55" s="10"/>
      <c r="TYU55" s="10"/>
      <c r="TYV55" s="10"/>
      <c r="TYW55" s="10"/>
      <c r="TYX55" s="10"/>
      <c r="TYY55" s="10"/>
      <c r="TYZ55" s="10"/>
      <c r="TZA55" s="10"/>
      <c r="TZB55" s="10"/>
      <c r="TZC55" s="10"/>
      <c r="TZD55" s="10"/>
      <c r="TZE55" s="10"/>
      <c r="TZF55" s="10"/>
      <c r="TZG55" s="10"/>
      <c r="TZH55" s="10"/>
      <c r="TZI55" s="10"/>
      <c r="TZJ55" s="10"/>
      <c r="TZK55" s="10"/>
      <c r="TZL55" s="10"/>
      <c r="TZM55" s="10"/>
      <c r="TZN55" s="10"/>
      <c r="TZO55" s="10"/>
      <c r="TZP55" s="10"/>
      <c r="TZQ55" s="10"/>
      <c r="TZR55" s="10"/>
      <c r="TZS55" s="10"/>
      <c r="TZT55" s="10"/>
      <c r="TZU55" s="10"/>
      <c r="TZV55" s="10"/>
      <c r="TZW55" s="10"/>
      <c r="TZX55" s="10"/>
      <c r="TZY55" s="10"/>
      <c r="TZZ55" s="10"/>
      <c r="UAA55" s="10"/>
      <c r="UAB55" s="10"/>
      <c r="UAC55" s="10"/>
      <c r="UAD55" s="10"/>
      <c r="UAE55" s="10"/>
      <c r="UAF55" s="10"/>
      <c r="UAG55" s="10"/>
      <c r="UAH55" s="10"/>
      <c r="UAI55" s="10"/>
      <c r="UAJ55" s="10"/>
      <c r="UAK55" s="10"/>
      <c r="UAL55" s="10"/>
      <c r="UAM55" s="10"/>
      <c r="UAN55" s="10"/>
      <c r="UAO55" s="10"/>
      <c r="UAP55" s="10"/>
      <c r="UAQ55" s="10"/>
      <c r="UAR55" s="10"/>
      <c r="UAS55" s="10"/>
      <c r="UAT55" s="10"/>
      <c r="UAU55" s="10"/>
      <c r="UAV55" s="10"/>
      <c r="UAW55" s="10"/>
      <c r="UAX55" s="10"/>
      <c r="UAY55" s="10"/>
      <c r="UAZ55" s="10"/>
      <c r="UBA55" s="10"/>
      <c r="UBB55" s="10"/>
      <c r="UBC55" s="10"/>
      <c r="UBD55" s="10"/>
      <c r="UBE55" s="10"/>
      <c r="UBF55" s="10"/>
      <c r="UBG55" s="10"/>
      <c r="UBH55" s="10"/>
      <c r="UBI55" s="10"/>
      <c r="UBJ55" s="10"/>
      <c r="UBK55" s="10"/>
      <c r="UBL55" s="10"/>
      <c r="UBM55" s="10"/>
      <c r="UBN55" s="10"/>
      <c r="UBO55" s="10"/>
      <c r="UBP55" s="10"/>
      <c r="UBQ55" s="10"/>
      <c r="UBR55" s="10"/>
      <c r="UBS55" s="10"/>
      <c r="UBT55" s="10"/>
      <c r="UBU55" s="10"/>
      <c r="UBV55" s="10"/>
      <c r="UBW55" s="10"/>
      <c r="UBX55" s="10"/>
      <c r="UBY55" s="10"/>
      <c r="UBZ55" s="10"/>
      <c r="UCA55" s="10"/>
      <c r="UCB55" s="10"/>
      <c r="UCC55" s="10"/>
      <c r="UCD55" s="10"/>
      <c r="UCE55" s="10"/>
      <c r="UCF55" s="10"/>
      <c r="UCG55" s="10"/>
      <c r="UCH55" s="10"/>
      <c r="UCI55" s="10"/>
      <c r="UCJ55" s="10"/>
      <c r="UCK55" s="10"/>
      <c r="UCL55" s="10"/>
      <c r="UCM55" s="10"/>
      <c r="UCN55" s="10"/>
      <c r="UCO55" s="10"/>
      <c r="UCP55" s="10"/>
      <c r="UCQ55" s="10"/>
      <c r="UCR55" s="10"/>
      <c r="UCS55" s="10"/>
      <c r="UCT55" s="10"/>
      <c r="UCU55" s="10"/>
      <c r="UCV55" s="10"/>
      <c r="UCW55" s="10"/>
      <c r="UCX55" s="10"/>
      <c r="UCY55" s="10"/>
      <c r="UCZ55" s="10"/>
      <c r="UDA55" s="10"/>
      <c r="UDB55" s="10"/>
      <c r="UDC55" s="10"/>
      <c r="UDD55" s="10"/>
      <c r="UDE55" s="10"/>
      <c r="UDF55" s="10"/>
      <c r="UDG55" s="10"/>
      <c r="UDH55" s="10"/>
      <c r="UDI55" s="10"/>
      <c r="UDJ55" s="10"/>
      <c r="UDK55" s="10"/>
      <c r="UDL55" s="10"/>
      <c r="UDM55" s="10"/>
      <c r="UDN55" s="10"/>
      <c r="UDO55" s="10"/>
      <c r="UDP55" s="10"/>
      <c r="UDQ55" s="10"/>
      <c r="UDR55" s="10"/>
      <c r="UDS55" s="10"/>
      <c r="UDT55" s="10"/>
      <c r="UDU55" s="10"/>
      <c r="UDV55" s="10"/>
      <c r="UDW55" s="10"/>
      <c r="UDX55" s="10"/>
      <c r="UDY55" s="10"/>
      <c r="UDZ55" s="10"/>
      <c r="UEA55" s="10"/>
      <c r="UEB55" s="10"/>
      <c r="UEC55" s="10"/>
      <c r="UED55" s="10"/>
      <c r="UEE55" s="10"/>
      <c r="UEF55" s="10"/>
      <c r="UEG55" s="10"/>
      <c r="UEH55" s="10"/>
      <c r="UEI55" s="10"/>
      <c r="UEJ55" s="10"/>
      <c r="UEK55" s="10"/>
      <c r="UEL55" s="10"/>
      <c r="UEM55" s="10"/>
      <c r="UEN55" s="10"/>
      <c r="UEO55" s="10"/>
      <c r="UEP55" s="10"/>
      <c r="UEQ55" s="10"/>
      <c r="UER55" s="10"/>
      <c r="UES55" s="10"/>
      <c r="UET55" s="10"/>
      <c r="UEU55" s="10"/>
      <c r="UEV55" s="10"/>
      <c r="UEW55" s="10"/>
      <c r="UEX55" s="10"/>
      <c r="UEY55" s="10"/>
      <c r="UEZ55" s="10"/>
      <c r="UFA55" s="10"/>
      <c r="UFB55" s="10"/>
      <c r="UFC55" s="10"/>
      <c r="UFD55" s="10"/>
      <c r="UFE55" s="10"/>
      <c r="UFF55" s="10"/>
      <c r="UFG55" s="10"/>
      <c r="UFH55" s="10"/>
      <c r="UFI55" s="10"/>
      <c r="UFJ55" s="10"/>
      <c r="UFK55" s="10"/>
      <c r="UFL55" s="10"/>
      <c r="UFM55" s="10"/>
      <c r="UFN55" s="10"/>
      <c r="UFO55" s="10"/>
      <c r="UFP55" s="10"/>
      <c r="UFQ55" s="10"/>
      <c r="UFR55" s="10"/>
      <c r="UFS55" s="10"/>
      <c r="UFT55" s="10"/>
      <c r="UFU55" s="10"/>
      <c r="UFV55" s="10"/>
      <c r="UFW55" s="10"/>
      <c r="UFX55" s="10"/>
      <c r="UFY55" s="10"/>
      <c r="UFZ55" s="10"/>
      <c r="UGA55" s="10"/>
      <c r="UGB55" s="10"/>
      <c r="UGC55" s="10"/>
      <c r="UGD55" s="10"/>
      <c r="UGE55" s="10"/>
      <c r="UGF55" s="10"/>
      <c r="UGG55" s="10"/>
      <c r="UGH55" s="10"/>
      <c r="UGI55" s="10"/>
      <c r="UGJ55" s="10"/>
      <c r="UGK55" s="10"/>
      <c r="UGL55" s="10"/>
      <c r="UGM55" s="10"/>
      <c r="UGN55" s="10"/>
      <c r="UGO55" s="10"/>
      <c r="UGP55" s="10"/>
      <c r="UGQ55" s="10"/>
      <c r="UGR55" s="10"/>
      <c r="UGS55" s="10"/>
      <c r="UGT55" s="10"/>
      <c r="UGU55" s="10"/>
      <c r="UGV55" s="10"/>
      <c r="UGW55" s="10"/>
      <c r="UGX55" s="10"/>
      <c r="UGY55" s="10"/>
      <c r="UGZ55" s="10"/>
      <c r="UHA55" s="10"/>
      <c r="UHB55" s="10"/>
      <c r="UHC55" s="10"/>
      <c r="UHD55" s="10"/>
      <c r="UHE55" s="10"/>
      <c r="UHF55" s="10"/>
      <c r="UHG55" s="10"/>
      <c r="UHH55" s="10"/>
      <c r="UHI55" s="10"/>
      <c r="UHJ55" s="10"/>
      <c r="UHK55" s="10"/>
      <c r="UHL55" s="10"/>
      <c r="UHM55" s="10"/>
      <c r="UHN55" s="10"/>
      <c r="UHO55" s="10"/>
      <c r="UHP55" s="10"/>
      <c r="UHQ55" s="10"/>
      <c r="UHR55" s="10"/>
      <c r="UHS55" s="10"/>
      <c r="UHT55" s="10"/>
      <c r="UHU55" s="10"/>
      <c r="UHV55" s="10"/>
      <c r="UHW55" s="10"/>
      <c r="UHX55" s="10"/>
      <c r="UHY55" s="10"/>
      <c r="UHZ55" s="10"/>
      <c r="UIA55" s="10"/>
      <c r="UIB55" s="10"/>
      <c r="UIC55" s="10"/>
      <c r="UID55" s="10"/>
      <c r="UIE55" s="10"/>
      <c r="UIF55" s="10"/>
      <c r="UIG55" s="10"/>
      <c r="UIH55" s="10"/>
      <c r="UII55" s="10"/>
      <c r="UIJ55" s="10"/>
      <c r="UIK55" s="10"/>
      <c r="UIL55" s="10"/>
      <c r="UIM55" s="10"/>
      <c r="UIN55" s="10"/>
      <c r="UIO55" s="10"/>
      <c r="UIP55" s="10"/>
      <c r="UIQ55" s="10"/>
      <c r="UIR55" s="10"/>
      <c r="UIS55" s="10"/>
      <c r="UIT55" s="10"/>
      <c r="UIU55" s="10"/>
      <c r="UIV55" s="10"/>
      <c r="UIW55" s="10"/>
      <c r="UIX55" s="10"/>
      <c r="UIY55" s="10"/>
      <c r="UIZ55" s="10"/>
      <c r="UJA55" s="10"/>
      <c r="UJB55" s="10"/>
      <c r="UJC55" s="10"/>
      <c r="UJD55" s="10"/>
      <c r="UJE55" s="10"/>
      <c r="UJF55" s="10"/>
      <c r="UJG55" s="10"/>
      <c r="UJH55" s="10"/>
      <c r="UJI55" s="10"/>
      <c r="UJJ55" s="10"/>
      <c r="UJK55" s="10"/>
      <c r="UJL55" s="10"/>
      <c r="UJM55" s="10"/>
      <c r="UJN55" s="10"/>
      <c r="UJO55" s="10"/>
      <c r="UJP55" s="10"/>
      <c r="UJQ55" s="10"/>
      <c r="UJR55" s="10"/>
      <c r="UJS55" s="10"/>
      <c r="UJT55" s="10"/>
      <c r="UJU55" s="10"/>
      <c r="UJV55" s="10"/>
      <c r="UJW55" s="10"/>
      <c r="UJX55" s="10"/>
      <c r="UJY55" s="10"/>
      <c r="UJZ55" s="10"/>
      <c r="UKA55" s="10"/>
      <c r="UKB55" s="10"/>
      <c r="UKC55" s="10"/>
      <c r="UKD55" s="10"/>
      <c r="UKE55" s="10"/>
      <c r="UKF55" s="10"/>
      <c r="UKG55" s="10"/>
      <c r="UKH55" s="10"/>
      <c r="UKI55" s="10"/>
      <c r="UKJ55" s="10"/>
      <c r="UKK55" s="10"/>
      <c r="UKL55" s="10"/>
      <c r="UKM55" s="10"/>
      <c r="UKN55" s="10"/>
      <c r="UKO55" s="10"/>
      <c r="UKP55" s="10"/>
      <c r="UKQ55" s="10"/>
      <c r="UKR55" s="10"/>
      <c r="UKS55" s="10"/>
      <c r="UKT55" s="10"/>
      <c r="UKU55" s="10"/>
      <c r="UKV55" s="10"/>
      <c r="UKW55" s="10"/>
      <c r="UKX55" s="10"/>
      <c r="UKY55" s="10"/>
      <c r="UKZ55" s="10"/>
      <c r="ULA55" s="10"/>
      <c r="ULB55" s="10"/>
      <c r="ULC55" s="10"/>
      <c r="ULD55" s="10"/>
      <c r="ULE55" s="10"/>
      <c r="ULF55" s="10"/>
      <c r="ULG55" s="10"/>
      <c r="ULH55" s="10"/>
      <c r="ULI55" s="10"/>
      <c r="ULJ55" s="10"/>
      <c r="ULK55" s="10"/>
      <c r="ULL55" s="10"/>
      <c r="ULM55" s="10"/>
      <c r="ULN55" s="10"/>
      <c r="ULO55" s="10"/>
      <c r="ULP55" s="10"/>
      <c r="ULQ55" s="10"/>
      <c r="ULR55" s="10"/>
      <c r="ULS55" s="10"/>
      <c r="ULT55" s="10"/>
      <c r="ULU55" s="10"/>
      <c r="ULV55" s="10"/>
      <c r="ULW55" s="10"/>
      <c r="ULX55" s="10"/>
      <c r="ULY55" s="10"/>
      <c r="ULZ55" s="10"/>
      <c r="UMA55" s="10"/>
      <c r="UMB55" s="10"/>
      <c r="UMC55" s="10"/>
      <c r="UMD55" s="10"/>
      <c r="UME55" s="10"/>
      <c r="UMF55" s="10"/>
      <c r="UMG55" s="10"/>
      <c r="UMH55" s="10"/>
      <c r="UMI55" s="10"/>
      <c r="UMJ55" s="10"/>
      <c r="UMK55" s="10"/>
      <c r="UML55" s="10"/>
      <c r="UMM55" s="10"/>
      <c r="UMN55" s="10"/>
      <c r="UMO55" s="10"/>
      <c r="UMP55" s="10"/>
      <c r="UMQ55" s="10"/>
      <c r="UMR55" s="10"/>
      <c r="UMS55" s="10"/>
      <c r="UMT55" s="10"/>
      <c r="UMU55" s="10"/>
      <c r="UMV55" s="10"/>
      <c r="UMW55" s="10"/>
      <c r="UMX55" s="10"/>
      <c r="UMY55" s="10"/>
      <c r="UMZ55" s="10"/>
      <c r="UNA55" s="10"/>
      <c r="UNB55" s="10"/>
      <c r="UNC55" s="10"/>
      <c r="UND55" s="10"/>
      <c r="UNE55" s="10"/>
      <c r="UNF55" s="10"/>
      <c r="UNG55" s="10"/>
      <c r="UNH55" s="10"/>
      <c r="UNI55" s="10"/>
      <c r="UNJ55" s="10"/>
      <c r="UNK55" s="10"/>
      <c r="UNL55" s="10"/>
      <c r="UNM55" s="10"/>
      <c r="UNN55" s="10"/>
      <c r="UNO55" s="10"/>
      <c r="UNP55" s="10"/>
      <c r="UNQ55" s="10"/>
      <c r="UNR55" s="10"/>
      <c r="UNS55" s="10"/>
      <c r="UNT55" s="10"/>
      <c r="UNU55" s="10"/>
      <c r="UNV55" s="10"/>
      <c r="UNW55" s="10"/>
      <c r="UNX55" s="10"/>
      <c r="UNY55" s="10"/>
      <c r="UNZ55" s="10"/>
      <c r="UOA55" s="10"/>
      <c r="UOB55" s="10"/>
      <c r="UOC55" s="10"/>
      <c r="UOD55" s="10"/>
      <c r="UOE55" s="10"/>
      <c r="UOF55" s="10"/>
      <c r="UOG55" s="10"/>
      <c r="UOH55" s="10"/>
      <c r="UOI55" s="10"/>
      <c r="UOJ55" s="10"/>
      <c r="UOK55" s="10"/>
      <c r="UOL55" s="10"/>
      <c r="UOM55" s="10"/>
      <c r="UON55" s="10"/>
      <c r="UOO55" s="10"/>
      <c r="UOP55" s="10"/>
      <c r="UOQ55" s="10"/>
      <c r="UOR55" s="10"/>
      <c r="UOS55" s="10"/>
      <c r="UOT55" s="10"/>
      <c r="UOU55" s="10"/>
      <c r="UOV55" s="10"/>
      <c r="UOW55" s="10"/>
      <c r="UOX55" s="10"/>
      <c r="UOY55" s="10"/>
      <c r="UOZ55" s="10"/>
      <c r="UPA55" s="10"/>
      <c r="UPB55" s="10"/>
      <c r="UPC55" s="10"/>
      <c r="UPD55" s="10"/>
      <c r="UPE55" s="10"/>
      <c r="UPF55" s="10"/>
      <c r="UPG55" s="10"/>
      <c r="UPH55" s="10"/>
      <c r="UPI55" s="10"/>
      <c r="UPJ55" s="10"/>
      <c r="UPK55" s="10"/>
      <c r="UPL55" s="10"/>
      <c r="UPM55" s="10"/>
      <c r="UPN55" s="10"/>
      <c r="UPO55" s="10"/>
      <c r="UPP55" s="10"/>
      <c r="UPQ55" s="10"/>
      <c r="UPR55" s="10"/>
      <c r="UPS55" s="10"/>
      <c r="UPT55" s="10"/>
      <c r="UPU55" s="10"/>
      <c r="UPV55" s="10"/>
      <c r="UPW55" s="10"/>
      <c r="UPX55" s="10"/>
      <c r="UPY55" s="10"/>
      <c r="UPZ55" s="10"/>
      <c r="UQA55" s="10"/>
      <c r="UQB55" s="10"/>
      <c r="UQC55" s="10"/>
      <c r="UQD55" s="10"/>
      <c r="UQE55" s="10"/>
      <c r="UQF55" s="10"/>
      <c r="UQG55" s="10"/>
      <c r="UQH55" s="10"/>
      <c r="UQI55" s="10"/>
      <c r="UQJ55" s="10"/>
      <c r="UQK55" s="10"/>
      <c r="UQL55" s="10"/>
      <c r="UQM55" s="10"/>
      <c r="UQN55" s="10"/>
      <c r="UQO55" s="10"/>
      <c r="UQP55" s="10"/>
      <c r="UQQ55" s="10"/>
      <c r="UQR55" s="10"/>
      <c r="UQS55" s="10"/>
      <c r="UQT55" s="10"/>
      <c r="UQU55" s="10"/>
      <c r="UQV55" s="10"/>
      <c r="UQW55" s="10"/>
      <c r="UQX55" s="10"/>
      <c r="UQY55" s="10"/>
      <c r="UQZ55" s="10"/>
      <c r="URA55" s="10"/>
      <c r="URB55" s="10"/>
      <c r="URC55" s="10"/>
      <c r="URD55" s="10"/>
      <c r="URE55" s="10"/>
      <c r="URF55" s="10"/>
      <c r="URG55" s="10"/>
      <c r="URH55" s="10"/>
      <c r="URI55" s="10"/>
      <c r="URJ55" s="10"/>
      <c r="URK55" s="10"/>
      <c r="URL55" s="10"/>
      <c r="URM55" s="10"/>
      <c r="URN55" s="10"/>
      <c r="URO55" s="10"/>
      <c r="URP55" s="10"/>
      <c r="URQ55" s="10"/>
      <c r="URR55" s="10"/>
      <c r="URS55" s="10"/>
      <c r="URT55" s="10"/>
      <c r="URU55" s="10"/>
      <c r="URV55" s="10"/>
      <c r="URW55" s="10"/>
      <c r="URX55" s="10"/>
      <c r="URY55" s="10"/>
      <c r="URZ55" s="10"/>
      <c r="USA55" s="10"/>
      <c r="USB55" s="10"/>
      <c r="USC55" s="10"/>
      <c r="USD55" s="10"/>
      <c r="USE55" s="10"/>
      <c r="USF55" s="10"/>
      <c r="USG55" s="10"/>
      <c r="USH55" s="10"/>
      <c r="USI55" s="10"/>
      <c r="USJ55" s="10"/>
      <c r="USK55" s="10"/>
      <c r="USL55" s="10"/>
      <c r="USM55" s="10"/>
      <c r="USN55" s="10"/>
      <c r="USO55" s="10"/>
      <c r="USP55" s="10"/>
      <c r="USQ55" s="10"/>
      <c r="USR55" s="10"/>
      <c r="USS55" s="10"/>
      <c r="UST55" s="10"/>
      <c r="USU55" s="10"/>
      <c r="USV55" s="10"/>
      <c r="USW55" s="10"/>
      <c r="USX55" s="10"/>
      <c r="USY55" s="10"/>
      <c r="USZ55" s="10"/>
      <c r="UTA55" s="10"/>
      <c r="UTB55" s="10"/>
      <c r="UTC55" s="10"/>
      <c r="UTD55" s="10"/>
      <c r="UTE55" s="10"/>
      <c r="UTF55" s="10"/>
      <c r="UTG55" s="10"/>
      <c r="UTH55" s="10"/>
      <c r="UTI55" s="10"/>
      <c r="UTJ55" s="10"/>
      <c r="UTK55" s="10"/>
      <c r="UTL55" s="10"/>
      <c r="UTM55" s="10"/>
      <c r="UTN55" s="10"/>
      <c r="UTO55" s="10"/>
      <c r="UTP55" s="10"/>
      <c r="UTQ55" s="10"/>
      <c r="UTR55" s="10"/>
      <c r="UTS55" s="10"/>
      <c r="UTT55" s="10"/>
      <c r="UTU55" s="10"/>
      <c r="UTV55" s="10"/>
      <c r="UTW55" s="10"/>
      <c r="UTX55" s="10"/>
      <c r="UTY55" s="10"/>
      <c r="UTZ55" s="10"/>
      <c r="UUA55" s="10"/>
      <c r="UUB55" s="10"/>
      <c r="UUC55" s="10"/>
      <c r="UUD55" s="10"/>
      <c r="UUE55" s="10"/>
      <c r="UUF55" s="10"/>
      <c r="UUG55" s="10"/>
      <c r="UUH55" s="10"/>
      <c r="UUI55" s="10"/>
      <c r="UUJ55" s="10"/>
      <c r="UUK55" s="10"/>
      <c r="UUL55" s="10"/>
      <c r="UUM55" s="10"/>
      <c r="UUN55" s="10"/>
      <c r="UUO55" s="10"/>
      <c r="UUP55" s="10"/>
      <c r="UUQ55" s="10"/>
      <c r="UUR55" s="10"/>
      <c r="UUS55" s="10"/>
      <c r="UUT55" s="10"/>
      <c r="UUU55" s="10"/>
      <c r="UUV55" s="10"/>
      <c r="UUW55" s="10"/>
      <c r="UUX55" s="10"/>
      <c r="UUY55" s="10"/>
      <c r="UUZ55" s="10"/>
      <c r="UVA55" s="10"/>
      <c r="UVB55" s="10"/>
      <c r="UVC55" s="10"/>
      <c r="UVD55" s="10"/>
      <c r="UVE55" s="10"/>
      <c r="UVF55" s="10"/>
      <c r="UVG55" s="10"/>
      <c r="UVH55" s="10"/>
      <c r="UVI55" s="10"/>
      <c r="UVJ55" s="10"/>
      <c r="UVK55" s="10"/>
      <c r="UVL55" s="10"/>
      <c r="UVM55" s="10"/>
      <c r="UVN55" s="10"/>
      <c r="UVO55" s="10"/>
      <c r="UVP55" s="10"/>
      <c r="UVQ55" s="10"/>
      <c r="UVR55" s="10"/>
      <c r="UVS55" s="10"/>
      <c r="UVT55" s="10"/>
      <c r="UVU55" s="10"/>
      <c r="UVV55" s="10"/>
      <c r="UVW55" s="10"/>
      <c r="UVX55" s="10"/>
      <c r="UVY55" s="10"/>
      <c r="UVZ55" s="10"/>
      <c r="UWA55" s="10"/>
      <c r="UWB55" s="10"/>
      <c r="UWC55" s="10"/>
      <c r="UWD55" s="10"/>
      <c r="UWE55" s="10"/>
      <c r="UWF55" s="10"/>
      <c r="UWG55" s="10"/>
      <c r="UWH55" s="10"/>
      <c r="UWI55" s="10"/>
      <c r="UWJ55" s="10"/>
      <c r="UWK55" s="10"/>
      <c r="UWL55" s="10"/>
      <c r="UWM55" s="10"/>
      <c r="UWN55" s="10"/>
      <c r="UWO55" s="10"/>
      <c r="UWP55" s="10"/>
      <c r="UWQ55" s="10"/>
      <c r="UWR55" s="10"/>
      <c r="UWS55" s="10"/>
      <c r="UWT55" s="10"/>
      <c r="UWU55" s="10"/>
      <c r="UWV55" s="10"/>
      <c r="UWW55" s="10"/>
      <c r="UWX55" s="10"/>
      <c r="UWY55" s="10"/>
      <c r="UWZ55" s="10"/>
      <c r="UXA55" s="10"/>
      <c r="UXB55" s="10"/>
      <c r="UXC55" s="10"/>
      <c r="UXD55" s="10"/>
      <c r="UXE55" s="10"/>
      <c r="UXF55" s="10"/>
      <c r="UXG55" s="10"/>
      <c r="UXH55" s="10"/>
      <c r="UXI55" s="10"/>
      <c r="UXJ55" s="10"/>
      <c r="UXK55" s="10"/>
      <c r="UXL55" s="10"/>
      <c r="UXM55" s="10"/>
      <c r="UXN55" s="10"/>
      <c r="UXO55" s="10"/>
      <c r="UXP55" s="10"/>
      <c r="UXQ55" s="10"/>
      <c r="UXR55" s="10"/>
      <c r="UXS55" s="10"/>
      <c r="UXT55" s="10"/>
      <c r="UXU55" s="10"/>
      <c r="UXV55" s="10"/>
      <c r="UXW55" s="10"/>
      <c r="UXX55" s="10"/>
      <c r="UXY55" s="10"/>
      <c r="UXZ55" s="10"/>
      <c r="UYA55" s="10"/>
      <c r="UYB55" s="10"/>
      <c r="UYC55" s="10"/>
      <c r="UYD55" s="10"/>
      <c r="UYE55" s="10"/>
      <c r="UYF55" s="10"/>
      <c r="UYG55" s="10"/>
      <c r="UYH55" s="10"/>
      <c r="UYI55" s="10"/>
      <c r="UYJ55" s="10"/>
      <c r="UYK55" s="10"/>
      <c r="UYL55" s="10"/>
      <c r="UYM55" s="10"/>
      <c r="UYN55" s="10"/>
      <c r="UYO55" s="10"/>
      <c r="UYP55" s="10"/>
      <c r="UYQ55" s="10"/>
      <c r="UYR55" s="10"/>
      <c r="UYS55" s="10"/>
      <c r="UYT55" s="10"/>
      <c r="UYU55" s="10"/>
      <c r="UYV55" s="10"/>
      <c r="UYW55" s="10"/>
      <c r="UYX55" s="10"/>
      <c r="UYY55" s="10"/>
      <c r="UYZ55" s="10"/>
      <c r="UZA55" s="10"/>
      <c r="UZB55" s="10"/>
      <c r="UZC55" s="10"/>
      <c r="UZD55" s="10"/>
      <c r="UZE55" s="10"/>
      <c r="UZF55" s="10"/>
      <c r="UZG55" s="10"/>
      <c r="UZH55" s="10"/>
      <c r="UZI55" s="10"/>
      <c r="UZJ55" s="10"/>
      <c r="UZK55" s="10"/>
      <c r="UZL55" s="10"/>
      <c r="UZM55" s="10"/>
      <c r="UZN55" s="10"/>
      <c r="UZO55" s="10"/>
      <c r="UZP55" s="10"/>
      <c r="UZQ55" s="10"/>
      <c r="UZR55" s="10"/>
      <c r="UZS55" s="10"/>
      <c r="UZT55" s="10"/>
      <c r="UZU55" s="10"/>
      <c r="UZV55" s="10"/>
      <c r="UZW55" s="10"/>
      <c r="UZX55" s="10"/>
      <c r="UZY55" s="10"/>
      <c r="UZZ55" s="10"/>
      <c r="VAA55" s="10"/>
      <c r="VAB55" s="10"/>
      <c r="VAC55" s="10"/>
      <c r="VAD55" s="10"/>
      <c r="VAE55" s="10"/>
      <c r="VAF55" s="10"/>
      <c r="VAG55" s="10"/>
      <c r="VAH55" s="10"/>
      <c r="VAI55" s="10"/>
      <c r="VAJ55" s="10"/>
      <c r="VAK55" s="10"/>
      <c r="VAL55" s="10"/>
      <c r="VAM55" s="10"/>
      <c r="VAN55" s="10"/>
      <c r="VAO55" s="10"/>
      <c r="VAP55" s="10"/>
      <c r="VAQ55" s="10"/>
      <c r="VAR55" s="10"/>
      <c r="VAS55" s="10"/>
      <c r="VAT55" s="10"/>
      <c r="VAU55" s="10"/>
      <c r="VAV55" s="10"/>
      <c r="VAW55" s="10"/>
      <c r="VAX55" s="10"/>
      <c r="VAY55" s="10"/>
      <c r="VAZ55" s="10"/>
      <c r="VBA55" s="10"/>
      <c r="VBB55" s="10"/>
      <c r="VBC55" s="10"/>
      <c r="VBD55" s="10"/>
      <c r="VBE55" s="10"/>
      <c r="VBF55" s="10"/>
      <c r="VBG55" s="10"/>
      <c r="VBH55" s="10"/>
      <c r="VBI55" s="10"/>
      <c r="VBJ55" s="10"/>
      <c r="VBK55" s="10"/>
      <c r="VBL55" s="10"/>
      <c r="VBM55" s="10"/>
      <c r="VBN55" s="10"/>
      <c r="VBO55" s="10"/>
      <c r="VBP55" s="10"/>
      <c r="VBQ55" s="10"/>
      <c r="VBR55" s="10"/>
      <c r="VBS55" s="10"/>
      <c r="VBT55" s="10"/>
      <c r="VBU55" s="10"/>
      <c r="VBV55" s="10"/>
      <c r="VBW55" s="10"/>
      <c r="VBX55" s="10"/>
      <c r="VBY55" s="10"/>
      <c r="VBZ55" s="10"/>
      <c r="VCA55" s="10"/>
      <c r="VCB55" s="10"/>
      <c r="VCC55" s="10"/>
      <c r="VCD55" s="10"/>
      <c r="VCE55" s="10"/>
      <c r="VCF55" s="10"/>
      <c r="VCG55" s="10"/>
      <c r="VCH55" s="10"/>
      <c r="VCI55" s="10"/>
      <c r="VCJ55" s="10"/>
      <c r="VCK55" s="10"/>
      <c r="VCL55" s="10"/>
      <c r="VCM55" s="10"/>
      <c r="VCN55" s="10"/>
      <c r="VCO55" s="10"/>
      <c r="VCP55" s="10"/>
      <c r="VCQ55" s="10"/>
      <c r="VCR55" s="10"/>
      <c r="VCS55" s="10"/>
      <c r="VCT55" s="10"/>
      <c r="VCU55" s="10"/>
      <c r="VCV55" s="10"/>
      <c r="VCW55" s="10"/>
      <c r="VCX55" s="10"/>
      <c r="VCY55" s="10"/>
      <c r="VCZ55" s="10"/>
      <c r="VDA55" s="10"/>
      <c r="VDB55" s="10"/>
      <c r="VDC55" s="10"/>
      <c r="VDD55" s="10"/>
      <c r="VDE55" s="10"/>
      <c r="VDF55" s="10"/>
      <c r="VDG55" s="10"/>
      <c r="VDH55" s="10"/>
      <c r="VDI55" s="10"/>
      <c r="VDJ55" s="10"/>
      <c r="VDK55" s="10"/>
      <c r="VDL55" s="10"/>
      <c r="VDM55" s="10"/>
      <c r="VDN55" s="10"/>
      <c r="VDO55" s="10"/>
      <c r="VDP55" s="10"/>
      <c r="VDQ55" s="10"/>
      <c r="VDR55" s="10"/>
      <c r="VDS55" s="10"/>
      <c r="VDT55" s="10"/>
      <c r="VDU55" s="10"/>
      <c r="VDV55" s="10"/>
      <c r="VDW55" s="10"/>
      <c r="VDX55" s="10"/>
      <c r="VDY55" s="10"/>
      <c r="VDZ55" s="10"/>
      <c r="VEA55" s="10"/>
      <c r="VEB55" s="10"/>
      <c r="VEC55" s="10"/>
      <c r="VED55" s="10"/>
      <c r="VEE55" s="10"/>
      <c r="VEF55" s="10"/>
      <c r="VEG55" s="10"/>
      <c r="VEH55" s="10"/>
      <c r="VEI55" s="10"/>
      <c r="VEJ55" s="10"/>
      <c r="VEK55" s="10"/>
      <c r="VEL55" s="10"/>
      <c r="VEM55" s="10"/>
      <c r="VEN55" s="10"/>
      <c r="VEO55" s="10"/>
      <c r="VEP55" s="10"/>
      <c r="VEQ55" s="10"/>
      <c r="VER55" s="10"/>
      <c r="VES55" s="10"/>
      <c r="VET55" s="10"/>
      <c r="VEU55" s="10"/>
      <c r="VEV55" s="10"/>
      <c r="VEW55" s="10"/>
      <c r="VEX55" s="10"/>
      <c r="VEY55" s="10"/>
      <c r="VEZ55" s="10"/>
      <c r="VFA55" s="10"/>
      <c r="VFB55" s="10"/>
      <c r="VFC55" s="10"/>
      <c r="VFD55" s="10"/>
      <c r="VFE55" s="10"/>
      <c r="VFF55" s="10"/>
      <c r="VFG55" s="10"/>
      <c r="VFH55" s="10"/>
      <c r="VFI55" s="10"/>
      <c r="VFJ55" s="10"/>
      <c r="VFK55" s="10"/>
      <c r="VFL55" s="10"/>
      <c r="VFM55" s="10"/>
      <c r="VFN55" s="10"/>
      <c r="VFO55" s="10"/>
      <c r="VFP55" s="10"/>
      <c r="VFQ55" s="10"/>
      <c r="VFR55" s="10"/>
      <c r="VFS55" s="10"/>
      <c r="VFT55" s="10"/>
      <c r="VFU55" s="10"/>
      <c r="VFV55" s="10"/>
      <c r="VFW55" s="10"/>
      <c r="VFX55" s="10"/>
      <c r="VFY55" s="10"/>
      <c r="VFZ55" s="10"/>
      <c r="VGA55" s="10"/>
      <c r="VGB55" s="10"/>
      <c r="VGC55" s="10"/>
      <c r="VGD55" s="10"/>
      <c r="VGE55" s="10"/>
      <c r="VGF55" s="10"/>
      <c r="VGG55" s="10"/>
      <c r="VGH55" s="10"/>
      <c r="VGI55" s="10"/>
      <c r="VGJ55" s="10"/>
      <c r="VGK55" s="10"/>
      <c r="VGL55" s="10"/>
      <c r="VGM55" s="10"/>
      <c r="VGN55" s="10"/>
      <c r="VGO55" s="10"/>
      <c r="VGP55" s="10"/>
      <c r="VGQ55" s="10"/>
      <c r="VGR55" s="10"/>
      <c r="VGS55" s="10"/>
      <c r="VGT55" s="10"/>
      <c r="VGU55" s="10"/>
      <c r="VGV55" s="10"/>
      <c r="VGW55" s="10"/>
      <c r="VGX55" s="10"/>
      <c r="VGY55" s="10"/>
      <c r="VGZ55" s="10"/>
      <c r="VHA55" s="10"/>
      <c r="VHB55" s="10"/>
      <c r="VHC55" s="10"/>
      <c r="VHD55" s="10"/>
      <c r="VHE55" s="10"/>
      <c r="VHF55" s="10"/>
      <c r="VHG55" s="10"/>
      <c r="VHH55" s="10"/>
      <c r="VHI55" s="10"/>
      <c r="VHJ55" s="10"/>
      <c r="VHK55" s="10"/>
      <c r="VHL55" s="10"/>
      <c r="VHM55" s="10"/>
      <c r="VHN55" s="10"/>
      <c r="VHO55" s="10"/>
      <c r="VHP55" s="10"/>
      <c r="VHQ55" s="10"/>
      <c r="VHR55" s="10"/>
      <c r="VHS55" s="10"/>
      <c r="VHT55" s="10"/>
      <c r="VHU55" s="10"/>
      <c r="VHV55" s="10"/>
      <c r="VHW55" s="10"/>
      <c r="VHX55" s="10"/>
      <c r="VHY55" s="10"/>
      <c r="VHZ55" s="10"/>
      <c r="VIA55" s="10"/>
      <c r="VIB55" s="10"/>
      <c r="VIC55" s="10"/>
      <c r="VID55" s="10"/>
      <c r="VIE55" s="10"/>
      <c r="VIF55" s="10"/>
      <c r="VIG55" s="10"/>
      <c r="VIH55" s="10"/>
      <c r="VII55" s="10"/>
      <c r="VIJ55" s="10"/>
      <c r="VIK55" s="10"/>
      <c r="VIL55" s="10"/>
      <c r="VIM55" s="10"/>
      <c r="VIN55" s="10"/>
      <c r="VIO55" s="10"/>
      <c r="VIP55" s="10"/>
      <c r="VIQ55" s="10"/>
      <c r="VIR55" s="10"/>
      <c r="VIS55" s="10"/>
      <c r="VIT55" s="10"/>
      <c r="VIU55" s="10"/>
      <c r="VIV55" s="10"/>
      <c r="VIW55" s="10"/>
      <c r="VIX55" s="10"/>
      <c r="VIY55" s="10"/>
      <c r="VIZ55" s="10"/>
      <c r="VJA55" s="10"/>
      <c r="VJB55" s="10"/>
      <c r="VJC55" s="10"/>
      <c r="VJD55" s="10"/>
      <c r="VJE55" s="10"/>
      <c r="VJF55" s="10"/>
      <c r="VJG55" s="10"/>
      <c r="VJH55" s="10"/>
      <c r="VJI55" s="10"/>
      <c r="VJJ55" s="10"/>
      <c r="VJK55" s="10"/>
      <c r="VJL55" s="10"/>
      <c r="VJM55" s="10"/>
      <c r="VJN55" s="10"/>
      <c r="VJO55" s="10"/>
      <c r="VJP55" s="10"/>
      <c r="VJQ55" s="10"/>
      <c r="VJR55" s="10"/>
      <c r="VJS55" s="10"/>
      <c r="VJT55" s="10"/>
      <c r="VJU55" s="10"/>
      <c r="VJV55" s="10"/>
      <c r="VJW55" s="10"/>
      <c r="VJX55" s="10"/>
      <c r="VJY55" s="10"/>
      <c r="VJZ55" s="10"/>
      <c r="VKA55" s="10"/>
      <c r="VKB55" s="10"/>
      <c r="VKC55" s="10"/>
      <c r="VKD55" s="10"/>
      <c r="VKE55" s="10"/>
      <c r="VKF55" s="10"/>
      <c r="VKG55" s="10"/>
      <c r="VKH55" s="10"/>
      <c r="VKI55" s="10"/>
      <c r="VKJ55" s="10"/>
      <c r="VKK55" s="10"/>
      <c r="VKL55" s="10"/>
      <c r="VKM55" s="10"/>
      <c r="VKN55" s="10"/>
      <c r="VKO55" s="10"/>
      <c r="VKP55" s="10"/>
      <c r="VKQ55" s="10"/>
      <c r="VKR55" s="10"/>
      <c r="VKS55" s="10"/>
      <c r="VKT55" s="10"/>
      <c r="VKU55" s="10"/>
      <c r="VKV55" s="10"/>
      <c r="VKW55" s="10"/>
      <c r="VKX55" s="10"/>
      <c r="VKY55" s="10"/>
      <c r="VKZ55" s="10"/>
      <c r="VLA55" s="10"/>
      <c r="VLB55" s="10"/>
      <c r="VLC55" s="10"/>
      <c r="VLD55" s="10"/>
      <c r="VLE55" s="10"/>
      <c r="VLF55" s="10"/>
      <c r="VLG55" s="10"/>
      <c r="VLH55" s="10"/>
      <c r="VLI55" s="10"/>
      <c r="VLJ55" s="10"/>
      <c r="VLK55" s="10"/>
      <c r="VLL55" s="10"/>
      <c r="VLM55" s="10"/>
      <c r="VLN55" s="10"/>
      <c r="VLO55" s="10"/>
      <c r="VLP55" s="10"/>
      <c r="VLQ55" s="10"/>
      <c r="VLR55" s="10"/>
      <c r="VLS55" s="10"/>
      <c r="VLT55" s="10"/>
      <c r="VLU55" s="10"/>
      <c r="VLV55" s="10"/>
      <c r="VLW55" s="10"/>
      <c r="VLX55" s="10"/>
      <c r="VLY55" s="10"/>
      <c r="VLZ55" s="10"/>
      <c r="VMA55" s="10"/>
      <c r="VMB55" s="10"/>
      <c r="VMC55" s="10"/>
      <c r="VMD55" s="10"/>
      <c r="VME55" s="10"/>
      <c r="VMF55" s="10"/>
      <c r="VMG55" s="10"/>
      <c r="VMH55" s="10"/>
      <c r="VMI55" s="10"/>
      <c r="VMJ55" s="10"/>
      <c r="VMK55" s="10"/>
      <c r="VML55" s="10"/>
      <c r="VMM55" s="10"/>
      <c r="VMN55" s="10"/>
      <c r="VMO55" s="10"/>
      <c r="VMP55" s="10"/>
      <c r="VMQ55" s="10"/>
      <c r="VMR55" s="10"/>
      <c r="VMS55" s="10"/>
      <c r="VMT55" s="10"/>
      <c r="VMU55" s="10"/>
      <c r="VMV55" s="10"/>
      <c r="VMW55" s="10"/>
      <c r="VMX55" s="10"/>
      <c r="VMY55" s="10"/>
      <c r="VMZ55" s="10"/>
      <c r="VNA55" s="10"/>
      <c r="VNB55" s="10"/>
      <c r="VNC55" s="10"/>
      <c r="VND55" s="10"/>
      <c r="VNE55" s="10"/>
      <c r="VNF55" s="10"/>
      <c r="VNG55" s="10"/>
      <c r="VNH55" s="10"/>
      <c r="VNI55" s="10"/>
      <c r="VNJ55" s="10"/>
      <c r="VNK55" s="10"/>
      <c r="VNL55" s="10"/>
      <c r="VNM55" s="10"/>
      <c r="VNN55" s="10"/>
      <c r="VNO55" s="10"/>
      <c r="VNP55" s="10"/>
      <c r="VNQ55" s="10"/>
      <c r="VNR55" s="10"/>
      <c r="VNS55" s="10"/>
      <c r="VNT55" s="10"/>
      <c r="VNU55" s="10"/>
      <c r="VNV55" s="10"/>
      <c r="VNW55" s="10"/>
      <c r="VNX55" s="10"/>
      <c r="VNY55" s="10"/>
      <c r="VNZ55" s="10"/>
      <c r="VOA55" s="10"/>
      <c r="VOB55" s="10"/>
      <c r="VOC55" s="10"/>
      <c r="VOD55" s="10"/>
      <c r="VOE55" s="10"/>
      <c r="VOF55" s="10"/>
      <c r="VOG55" s="10"/>
      <c r="VOH55" s="10"/>
      <c r="VOI55" s="10"/>
      <c r="VOJ55" s="10"/>
      <c r="VOK55" s="10"/>
      <c r="VOL55" s="10"/>
      <c r="VOM55" s="10"/>
      <c r="VON55" s="10"/>
      <c r="VOO55" s="10"/>
      <c r="VOP55" s="10"/>
      <c r="VOQ55" s="10"/>
      <c r="VOR55" s="10"/>
      <c r="VOS55" s="10"/>
      <c r="VOT55" s="10"/>
      <c r="VOU55" s="10"/>
      <c r="VOV55" s="10"/>
      <c r="VOW55" s="10"/>
      <c r="VOX55" s="10"/>
      <c r="VOY55" s="10"/>
      <c r="VOZ55" s="10"/>
      <c r="VPA55" s="10"/>
      <c r="VPB55" s="10"/>
      <c r="VPC55" s="10"/>
      <c r="VPD55" s="10"/>
      <c r="VPE55" s="10"/>
      <c r="VPF55" s="10"/>
      <c r="VPG55" s="10"/>
      <c r="VPH55" s="10"/>
      <c r="VPI55" s="10"/>
      <c r="VPJ55" s="10"/>
      <c r="VPK55" s="10"/>
      <c r="VPL55" s="10"/>
      <c r="VPM55" s="10"/>
      <c r="VPN55" s="10"/>
      <c r="VPO55" s="10"/>
      <c r="VPP55" s="10"/>
      <c r="VPQ55" s="10"/>
      <c r="VPR55" s="10"/>
      <c r="VPS55" s="10"/>
      <c r="VPT55" s="10"/>
      <c r="VPU55" s="10"/>
      <c r="VPV55" s="10"/>
      <c r="VPW55" s="10"/>
      <c r="VPX55" s="10"/>
      <c r="VPY55" s="10"/>
      <c r="VPZ55" s="10"/>
      <c r="VQA55" s="10"/>
      <c r="VQB55" s="10"/>
      <c r="VQC55" s="10"/>
      <c r="VQD55" s="10"/>
      <c r="VQE55" s="10"/>
      <c r="VQF55" s="10"/>
      <c r="VQG55" s="10"/>
      <c r="VQH55" s="10"/>
      <c r="VQI55" s="10"/>
      <c r="VQJ55" s="10"/>
      <c r="VQK55" s="10"/>
      <c r="VQL55" s="10"/>
      <c r="VQM55" s="10"/>
      <c r="VQN55" s="10"/>
      <c r="VQO55" s="10"/>
      <c r="VQP55" s="10"/>
      <c r="VQQ55" s="10"/>
      <c r="VQR55" s="10"/>
      <c r="VQS55" s="10"/>
      <c r="VQT55" s="10"/>
      <c r="VQU55" s="10"/>
      <c r="VQV55" s="10"/>
      <c r="VQW55" s="10"/>
      <c r="VQX55" s="10"/>
      <c r="VQY55" s="10"/>
      <c r="VQZ55" s="10"/>
      <c r="VRA55" s="10"/>
      <c r="VRB55" s="10"/>
      <c r="VRC55" s="10"/>
      <c r="VRD55" s="10"/>
      <c r="VRE55" s="10"/>
      <c r="VRF55" s="10"/>
      <c r="VRG55" s="10"/>
      <c r="VRH55" s="10"/>
      <c r="VRI55" s="10"/>
      <c r="VRJ55" s="10"/>
      <c r="VRK55" s="10"/>
      <c r="VRL55" s="10"/>
      <c r="VRM55" s="10"/>
      <c r="VRN55" s="10"/>
      <c r="VRO55" s="10"/>
      <c r="VRP55" s="10"/>
      <c r="VRQ55" s="10"/>
      <c r="VRR55" s="10"/>
      <c r="VRS55" s="10"/>
      <c r="VRT55" s="10"/>
      <c r="VRU55" s="10"/>
      <c r="VRV55" s="10"/>
      <c r="VRW55" s="10"/>
      <c r="VRX55" s="10"/>
      <c r="VRY55" s="10"/>
      <c r="VRZ55" s="10"/>
      <c r="VSA55" s="10"/>
      <c r="VSB55" s="10"/>
      <c r="VSC55" s="10"/>
      <c r="VSD55" s="10"/>
      <c r="VSE55" s="10"/>
      <c r="VSF55" s="10"/>
      <c r="VSG55" s="10"/>
      <c r="VSH55" s="10"/>
      <c r="VSI55" s="10"/>
      <c r="VSJ55" s="10"/>
      <c r="VSK55" s="10"/>
      <c r="VSL55" s="10"/>
      <c r="VSM55" s="10"/>
      <c r="VSN55" s="10"/>
      <c r="VSO55" s="10"/>
      <c r="VSP55" s="10"/>
      <c r="VSQ55" s="10"/>
      <c r="VSR55" s="10"/>
      <c r="VSS55" s="10"/>
      <c r="VST55" s="10"/>
      <c r="VSU55" s="10"/>
      <c r="VSV55" s="10"/>
      <c r="VSW55" s="10"/>
      <c r="VSX55" s="10"/>
      <c r="VSY55" s="10"/>
      <c r="VSZ55" s="10"/>
      <c r="VTA55" s="10"/>
      <c r="VTB55" s="10"/>
      <c r="VTC55" s="10"/>
      <c r="VTD55" s="10"/>
      <c r="VTE55" s="10"/>
      <c r="VTF55" s="10"/>
      <c r="VTG55" s="10"/>
      <c r="VTH55" s="10"/>
      <c r="VTI55" s="10"/>
      <c r="VTJ55" s="10"/>
      <c r="VTK55" s="10"/>
      <c r="VTL55" s="10"/>
      <c r="VTM55" s="10"/>
      <c r="VTN55" s="10"/>
      <c r="VTO55" s="10"/>
      <c r="VTP55" s="10"/>
      <c r="VTQ55" s="10"/>
      <c r="VTR55" s="10"/>
      <c r="VTS55" s="10"/>
      <c r="VTT55" s="10"/>
      <c r="VTU55" s="10"/>
      <c r="VTV55" s="10"/>
      <c r="VTW55" s="10"/>
      <c r="VTX55" s="10"/>
      <c r="VTY55" s="10"/>
      <c r="VTZ55" s="10"/>
      <c r="VUA55" s="10"/>
      <c r="VUB55" s="10"/>
      <c r="VUC55" s="10"/>
      <c r="VUD55" s="10"/>
      <c r="VUE55" s="10"/>
      <c r="VUF55" s="10"/>
      <c r="VUG55" s="10"/>
      <c r="VUH55" s="10"/>
      <c r="VUI55" s="10"/>
      <c r="VUJ55" s="10"/>
      <c r="VUK55" s="10"/>
      <c r="VUL55" s="10"/>
      <c r="VUM55" s="10"/>
      <c r="VUN55" s="10"/>
      <c r="VUO55" s="10"/>
      <c r="VUP55" s="10"/>
      <c r="VUQ55" s="10"/>
      <c r="VUR55" s="10"/>
      <c r="VUS55" s="10"/>
      <c r="VUT55" s="10"/>
      <c r="VUU55" s="10"/>
      <c r="VUV55" s="10"/>
      <c r="VUW55" s="10"/>
      <c r="VUX55" s="10"/>
      <c r="VUY55" s="10"/>
      <c r="VUZ55" s="10"/>
      <c r="VVA55" s="10"/>
      <c r="VVB55" s="10"/>
      <c r="VVC55" s="10"/>
      <c r="VVD55" s="10"/>
      <c r="VVE55" s="10"/>
      <c r="VVF55" s="10"/>
      <c r="VVG55" s="10"/>
      <c r="VVH55" s="10"/>
      <c r="VVI55" s="10"/>
      <c r="VVJ55" s="10"/>
      <c r="VVK55" s="10"/>
      <c r="VVL55" s="10"/>
      <c r="VVM55" s="10"/>
      <c r="VVN55" s="10"/>
      <c r="VVO55" s="10"/>
      <c r="VVP55" s="10"/>
      <c r="VVQ55" s="10"/>
      <c r="VVR55" s="10"/>
      <c r="VVS55" s="10"/>
      <c r="VVT55" s="10"/>
      <c r="VVU55" s="10"/>
      <c r="VVV55" s="10"/>
      <c r="VVW55" s="10"/>
      <c r="VVX55" s="10"/>
      <c r="VVY55" s="10"/>
      <c r="VVZ55" s="10"/>
      <c r="VWA55" s="10"/>
      <c r="VWB55" s="10"/>
      <c r="VWC55" s="10"/>
      <c r="VWD55" s="10"/>
      <c r="VWE55" s="10"/>
      <c r="VWF55" s="10"/>
      <c r="VWG55" s="10"/>
      <c r="VWH55" s="10"/>
      <c r="VWI55" s="10"/>
      <c r="VWJ55" s="10"/>
      <c r="VWK55" s="10"/>
      <c r="VWL55" s="10"/>
      <c r="VWM55" s="10"/>
      <c r="VWN55" s="10"/>
      <c r="VWO55" s="10"/>
      <c r="VWP55" s="10"/>
      <c r="VWQ55" s="10"/>
      <c r="VWR55" s="10"/>
      <c r="VWS55" s="10"/>
      <c r="VWT55" s="10"/>
      <c r="VWU55" s="10"/>
      <c r="VWV55" s="10"/>
      <c r="VWW55" s="10"/>
      <c r="VWX55" s="10"/>
      <c r="VWY55" s="10"/>
      <c r="VWZ55" s="10"/>
      <c r="VXA55" s="10"/>
      <c r="VXB55" s="10"/>
      <c r="VXC55" s="10"/>
      <c r="VXD55" s="10"/>
      <c r="VXE55" s="10"/>
      <c r="VXF55" s="10"/>
      <c r="VXG55" s="10"/>
      <c r="VXH55" s="10"/>
      <c r="VXI55" s="10"/>
      <c r="VXJ55" s="10"/>
      <c r="VXK55" s="10"/>
      <c r="VXL55" s="10"/>
      <c r="VXM55" s="10"/>
      <c r="VXN55" s="10"/>
      <c r="VXO55" s="10"/>
      <c r="VXP55" s="10"/>
      <c r="VXQ55" s="10"/>
      <c r="VXR55" s="10"/>
      <c r="VXS55" s="10"/>
      <c r="VXT55" s="10"/>
      <c r="VXU55" s="10"/>
      <c r="VXV55" s="10"/>
      <c r="VXW55" s="10"/>
      <c r="VXX55" s="10"/>
      <c r="VXY55" s="10"/>
      <c r="VXZ55" s="10"/>
      <c r="VYA55" s="10"/>
      <c r="VYB55" s="10"/>
      <c r="VYC55" s="10"/>
      <c r="VYD55" s="10"/>
      <c r="VYE55" s="10"/>
      <c r="VYF55" s="10"/>
      <c r="VYG55" s="10"/>
      <c r="VYH55" s="10"/>
      <c r="VYI55" s="10"/>
      <c r="VYJ55" s="10"/>
      <c r="VYK55" s="10"/>
      <c r="VYL55" s="10"/>
      <c r="VYM55" s="10"/>
      <c r="VYN55" s="10"/>
      <c r="VYO55" s="10"/>
      <c r="VYP55" s="10"/>
      <c r="VYQ55" s="10"/>
      <c r="VYR55" s="10"/>
      <c r="VYS55" s="10"/>
      <c r="VYT55" s="10"/>
      <c r="VYU55" s="10"/>
      <c r="VYV55" s="10"/>
      <c r="VYW55" s="10"/>
      <c r="VYX55" s="10"/>
      <c r="VYY55" s="10"/>
      <c r="VYZ55" s="10"/>
      <c r="VZA55" s="10"/>
      <c r="VZB55" s="10"/>
      <c r="VZC55" s="10"/>
      <c r="VZD55" s="10"/>
      <c r="VZE55" s="10"/>
      <c r="VZF55" s="10"/>
      <c r="VZG55" s="10"/>
      <c r="VZH55" s="10"/>
      <c r="VZI55" s="10"/>
      <c r="VZJ55" s="10"/>
      <c r="VZK55" s="10"/>
      <c r="VZL55" s="10"/>
      <c r="VZM55" s="10"/>
      <c r="VZN55" s="10"/>
      <c r="VZO55" s="10"/>
      <c r="VZP55" s="10"/>
      <c r="VZQ55" s="10"/>
      <c r="VZR55" s="10"/>
      <c r="VZS55" s="10"/>
      <c r="VZT55" s="10"/>
      <c r="VZU55" s="10"/>
      <c r="VZV55" s="10"/>
      <c r="VZW55" s="10"/>
      <c r="VZX55" s="10"/>
      <c r="VZY55" s="10"/>
      <c r="VZZ55" s="10"/>
      <c r="WAA55" s="10"/>
      <c r="WAB55" s="10"/>
      <c r="WAC55" s="10"/>
      <c r="WAD55" s="10"/>
      <c r="WAE55" s="10"/>
      <c r="WAF55" s="10"/>
      <c r="WAG55" s="10"/>
      <c r="WAH55" s="10"/>
      <c r="WAI55" s="10"/>
      <c r="WAJ55" s="10"/>
      <c r="WAK55" s="10"/>
      <c r="WAL55" s="10"/>
      <c r="WAM55" s="10"/>
      <c r="WAN55" s="10"/>
      <c r="WAO55" s="10"/>
      <c r="WAP55" s="10"/>
      <c r="WAQ55" s="10"/>
      <c r="WAR55" s="10"/>
      <c r="WAS55" s="10"/>
      <c r="WAT55" s="10"/>
      <c r="WAU55" s="10"/>
      <c r="WAV55" s="10"/>
      <c r="WAW55" s="10"/>
      <c r="WAX55" s="10"/>
      <c r="WAY55" s="10"/>
      <c r="WAZ55" s="10"/>
      <c r="WBA55" s="10"/>
      <c r="WBB55" s="10"/>
      <c r="WBC55" s="10"/>
      <c r="WBD55" s="10"/>
      <c r="WBE55" s="10"/>
      <c r="WBF55" s="10"/>
      <c r="WBG55" s="10"/>
      <c r="WBH55" s="10"/>
      <c r="WBI55" s="10"/>
      <c r="WBJ55" s="10"/>
      <c r="WBK55" s="10"/>
      <c r="WBL55" s="10"/>
      <c r="WBM55" s="10"/>
      <c r="WBN55" s="10"/>
      <c r="WBO55" s="10"/>
      <c r="WBP55" s="10"/>
      <c r="WBQ55" s="10"/>
      <c r="WBR55" s="10"/>
      <c r="WBS55" s="10"/>
      <c r="WBT55" s="10"/>
      <c r="WBU55" s="10"/>
      <c r="WBV55" s="10"/>
      <c r="WBW55" s="10"/>
      <c r="WBX55" s="10"/>
      <c r="WBY55" s="10"/>
      <c r="WBZ55" s="10"/>
      <c r="WCA55" s="10"/>
      <c r="WCB55" s="10"/>
      <c r="WCC55" s="10"/>
      <c r="WCD55" s="10"/>
      <c r="WCE55" s="10"/>
      <c r="WCF55" s="10"/>
      <c r="WCG55" s="10"/>
      <c r="WCH55" s="10"/>
      <c r="WCI55" s="10"/>
      <c r="WCJ55" s="10"/>
      <c r="WCK55" s="10"/>
      <c r="WCL55" s="10"/>
      <c r="WCM55" s="10"/>
      <c r="WCN55" s="10"/>
      <c r="WCO55" s="10"/>
      <c r="WCP55" s="10"/>
      <c r="WCQ55" s="10"/>
      <c r="WCR55" s="10"/>
      <c r="WCS55" s="10"/>
      <c r="WCT55" s="10"/>
      <c r="WCU55" s="10"/>
      <c r="WCV55" s="10"/>
      <c r="WCW55" s="10"/>
      <c r="WCX55" s="10"/>
      <c r="WCY55" s="10"/>
      <c r="WCZ55" s="10"/>
      <c r="WDA55" s="10"/>
      <c r="WDB55" s="10"/>
      <c r="WDC55" s="10"/>
      <c r="WDD55" s="10"/>
      <c r="WDE55" s="10"/>
      <c r="WDF55" s="10"/>
      <c r="WDG55" s="10"/>
      <c r="WDH55" s="10"/>
      <c r="WDI55" s="10"/>
      <c r="WDJ55" s="10"/>
      <c r="WDK55" s="10"/>
      <c r="WDL55" s="10"/>
      <c r="WDM55" s="10"/>
      <c r="WDN55" s="10"/>
      <c r="WDO55" s="10"/>
      <c r="WDP55" s="10"/>
      <c r="WDQ55" s="10"/>
      <c r="WDR55" s="10"/>
      <c r="WDS55" s="10"/>
      <c r="WDT55" s="10"/>
      <c r="WDU55" s="10"/>
      <c r="WDV55" s="10"/>
      <c r="WDW55" s="10"/>
      <c r="WDX55" s="10"/>
      <c r="WDY55" s="10"/>
      <c r="WDZ55" s="10"/>
      <c r="WEA55" s="10"/>
      <c r="WEB55" s="10"/>
      <c r="WEC55" s="10"/>
      <c r="WED55" s="10"/>
      <c r="WEE55" s="10"/>
      <c r="WEF55" s="10"/>
      <c r="WEG55" s="10"/>
      <c r="WEH55" s="10"/>
      <c r="WEI55" s="10"/>
      <c r="WEJ55" s="10"/>
      <c r="WEK55" s="10"/>
      <c r="WEL55" s="10"/>
      <c r="WEM55" s="10"/>
      <c r="WEN55" s="10"/>
      <c r="WEO55" s="10"/>
      <c r="WEP55" s="10"/>
      <c r="WEQ55" s="10"/>
      <c r="WER55" s="10"/>
      <c r="WES55" s="10"/>
      <c r="WET55" s="10"/>
      <c r="WEU55" s="10"/>
      <c r="WEV55" s="10"/>
      <c r="WEW55" s="10"/>
      <c r="WEX55" s="10"/>
      <c r="WEY55" s="10"/>
      <c r="WEZ55" s="10"/>
      <c r="WFA55" s="10"/>
      <c r="WFB55" s="10"/>
      <c r="WFC55" s="10"/>
      <c r="WFD55" s="10"/>
      <c r="WFE55" s="10"/>
      <c r="WFF55" s="10"/>
      <c r="WFG55" s="10"/>
      <c r="WFH55" s="10"/>
      <c r="WFI55" s="10"/>
      <c r="WFJ55" s="10"/>
      <c r="WFK55" s="10"/>
      <c r="WFL55" s="10"/>
      <c r="WFM55" s="10"/>
      <c r="WFN55" s="10"/>
      <c r="WFO55" s="10"/>
      <c r="WFP55" s="10"/>
      <c r="WFQ55" s="10"/>
      <c r="WFR55" s="10"/>
      <c r="WFS55" s="10"/>
      <c r="WFT55" s="10"/>
      <c r="WFU55" s="10"/>
      <c r="WFV55" s="10"/>
      <c r="WFW55" s="10"/>
      <c r="WFX55" s="10"/>
      <c r="WFY55" s="10"/>
      <c r="WFZ55" s="10"/>
      <c r="WGA55" s="10"/>
      <c r="WGB55" s="10"/>
      <c r="WGC55" s="10"/>
      <c r="WGD55" s="10"/>
      <c r="WGE55" s="10"/>
      <c r="WGF55" s="10"/>
      <c r="WGG55" s="10"/>
      <c r="WGH55" s="10"/>
      <c r="WGI55" s="10"/>
      <c r="WGJ55" s="10"/>
      <c r="WGK55" s="10"/>
      <c r="WGL55" s="10"/>
      <c r="WGM55" s="10"/>
      <c r="WGN55" s="10"/>
      <c r="WGO55" s="10"/>
      <c r="WGP55" s="10"/>
      <c r="WGQ55" s="10"/>
      <c r="WGR55" s="10"/>
      <c r="WGS55" s="10"/>
      <c r="WGT55" s="10"/>
      <c r="WGU55" s="10"/>
      <c r="WGV55" s="10"/>
      <c r="WGW55" s="10"/>
      <c r="WGX55" s="10"/>
      <c r="WGY55" s="10"/>
      <c r="WGZ55" s="10"/>
      <c r="WHA55" s="10"/>
      <c r="WHB55" s="10"/>
      <c r="WHC55" s="10"/>
      <c r="WHD55" s="10"/>
      <c r="WHE55" s="10"/>
      <c r="WHF55" s="10"/>
      <c r="WHG55" s="10"/>
      <c r="WHH55" s="10"/>
      <c r="WHI55" s="10"/>
      <c r="WHJ55" s="10"/>
      <c r="WHK55" s="10"/>
      <c r="WHL55" s="10"/>
      <c r="WHM55" s="10"/>
      <c r="WHN55" s="10"/>
      <c r="WHO55" s="10"/>
      <c r="WHP55" s="10"/>
      <c r="WHQ55" s="10"/>
      <c r="WHR55" s="10"/>
      <c r="WHS55" s="10"/>
      <c r="WHT55" s="10"/>
      <c r="WHU55" s="10"/>
      <c r="WHV55" s="10"/>
      <c r="WHW55" s="10"/>
      <c r="WHX55" s="10"/>
      <c r="WHY55" s="10"/>
      <c r="WHZ55" s="10"/>
      <c r="WIA55" s="10"/>
      <c r="WIB55" s="10"/>
      <c r="WIC55" s="10"/>
      <c r="WID55" s="10"/>
      <c r="WIE55" s="10"/>
      <c r="WIF55" s="10"/>
      <c r="WIG55" s="10"/>
      <c r="WIH55" s="10"/>
      <c r="WII55" s="10"/>
      <c r="WIJ55" s="10"/>
      <c r="WIK55" s="10"/>
      <c r="WIL55" s="10"/>
      <c r="WIM55" s="10"/>
      <c r="WIN55" s="10"/>
      <c r="WIO55" s="10"/>
      <c r="WIP55" s="10"/>
      <c r="WIQ55" s="10"/>
      <c r="WIR55" s="10"/>
      <c r="WIS55" s="10"/>
      <c r="WIT55" s="10"/>
      <c r="WIU55" s="10"/>
      <c r="WIV55" s="10"/>
      <c r="WIW55" s="10"/>
      <c r="WIX55" s="10"/>
      <c r="WIY55" s="10"/>
      <c r="WIZ55" s="10"/>
      <c r="WJA55" s="10"/>
      <c r="WJB55" s="10"/>
      <c r="WJC55" s="10"/>
      <c r="WJD55" s="10"/>
      <c r="WJE55" s="10"/>
      <c r="WJF55" s="10"/>
      <c r="WJG55" s="10"/>
      <c r="WJH55" s="10"/>
      <c r="WJI55" s="10"/>
      <c r="WJJ55" s="10"/>
      <c r="WJK55" s="10"/>
      <c r="WJL55" s="10"/>
      <c r="WJM55" s="10"/>
      <c r="WJN55" s="10"/>
      <c r="WJO55" s="10"/>
      <c r="WJP55" s="10"/>
      <c r="WJQ55" s="10"/>
      <c r="WJR55" s="10"/>
      <c r="WJS55" s="10"/>
      <c r="WJT55" s="10"/>
      <c r="WJU55" s="10"/>
      <c r="WJV55" s="10"/>
      <c r="WJW55" s="10"/>
      <c r="WJX55" s="10"/>
      <c r="WJY55" s="10"/>
      <c r="WJZ55" s="10"/>
      <c r="WKA55" s="10"/>
      <c r="WKB55" s="10"/>
      <c r="WKC55" s="10"/>
      <c r="WKD55" s="10"/>
      <c r="WKE55" s="10"/>
      <c r="WKF55" s="10"/>
      <c r="WKG55" s="10"/>
      <c r="WKH55" s="10"/>
      <c r="WKI55" s="10"/>
      <c r="WKJ55" s="10"/>
      <c r="WKK55" s="10"/>
      <c r="WKL55" s="10"/>
      <c r="WKM55" s="10"/>
      <c r="WKN55" s="10"/>
      <c r="WKO55" s="10"/>
      <c r="WKP55" s="10"/>
      <c r="WKQ55" s="10"/>
      <c r="WKR55" s="10"/>
      <c r="WKS55" s="10"/>
      <c r="WKT55" s="10"/>
      <c r="WKU55" s="10"/>
      <c r="WKV55" s="10"/>
      <c r="WKW55" s="10"/>
      <c r="WKX55" s="10"/>
      <c r="WKY55" s="10"/>
      <c r="WKZ55" s="10"/>
      <c r="WLA55" s="10"/>
      <c r="WLB55" s="10"/>
      <c r="WLC55" s="10"/>
      <c r="WLD55" s="10"/>
      <c r="WLE55" s="10"/>
      <c r="WLF55" s="10"/>
      <c r="WLG55" s="10"/>
      <c r="WLH55" s="10"/>
      <c r="WLI55" s="10"/>
      <c r="WLJ55" s="10"/>
      <c r="WLK55" s="10"/>
      <c r="WLL55" s="10"/>
      <c r="WLM55" s="10"/>
      <c r="WLN55" s="10"/>
      <c r="WLO55" s="10"/>
      <c r="WLP55" s="10"/>
      <c r="WLQ55" s="10"/>
      <c r="WLR55" s="10"/>
      <c r="WLS55" s="10"/>
      <c r="WLT55" s="10"/>
      <c r="WLU55" s="10"/>
      <c r="WLV55" s="10"/>
      <c r="WLW55" s="10"/>
      <c r="WLX55" s="10"/>
      <c r="WLY55" s="10"/>
      <c r="WLZ55" s="10"/>
      <c r="WMA55" s="10"/>
      <c r="WMB55" s="10"/>
      <c r="WMC55" s="10"/>
      <c r="WMD55" s="10"/>
      <c r="WME55" s="10"/>
      <c r="WMF55" s="10"/>
      <c r="WMG55" s="10"/>
      <c r="WMH55" s="10"/>
      <c r="WMI55" s="10"/>
      <c r="WMJ55" s="10"/>
      <c r="WMK55" s="10"/>
      <c r="WML55" s="10"/>
      <c r="WMM55" s="10"/>
      <c r="WMN55" s="10"/>
      <c r="WMO55" s="10"/>
      <c r="WMP55" s="10"/>
      <c r="WMQ55" s="10"/>
      <c r="WMR55" s="10"/>
      <c r="WMS55" s="10"/>
      <c r="WMT55" s="10"/>
      <c r="WMU55" s="10"/>
      <c r="WMV55" s="10"/>
      <c r="WMW55" s="10"/>
      <c r="WMX55" s="10"/>
      <c r="WMY55" s="10"/>
      <c r="WMZ55" s="10"/>
      <c r="WNA55" s="10"/>
      <c r="WNB55" s="10"/>
      <c r="WNC55" s="10"/>
      <c r="WND55" s="10"/>
      <c r="WNE55" s="10"/>
      <c r="WNF55" s="10"/>
      <c r="WNG55" s="10"/>
      <c r="WNH55" s="10"/>
      <c r="WNI55" s="10"/>
      <c r="WNJ55" s="10"/>
      <c r="WNK55" s="10"/>
      <c r="WNL55" s="10"/>
      <c r="WNM55" s="10"/>
      <c r="WNN55" s="10"/>
      <c r="WNO55" s="10"/>
      <c r="WNP55" s="10"/>
      <c r="WNQ55" s="10"/>
      <c r="WNR55" s="10"/>
      <c r="WNS55" s="10"/>
      <c r="WNT55" s="10"/>
      <c r="WNU55" s="10"/>
      <c r="WNV55" s="10"/>
      <c r="WNW55" s="10"/>
      <c r="WNX55" s="10"/>
      <c r="WNY55" s="10"/>
      <c r="WNZ55" s="10"/>
      <c r="WOA55" s="10"/>
      <c r="WOB55" s="10"/>
      <c r="WOC55" s="10"/>
      <c r="WOD55" s="10"/>
      <c r="WOE55" s="10"/>
      <c r="WOF55" s="10"/>
      <c r="WOG55" s="10"/>
      <c r="WOH55" s="10"/>
      <c r="WOI55" s="10"/>
      <c r="WOJ55" s="10"/>
      <c r="WOK55" s="10"/>
      <c r="WOL55" s="10"/>
      <c r="WOM55" s="10"/>
      <c r="WON55" s="10"/>
      <c r="WOO55" s="10"/>
      <c r="WOP55" s="10"/>
      <c r="WOQ55" s="10"/>
      <c r="WOR55" s="10"/>
      <c r="WOS55" s="10"/>
      <c r="WOT55" s="10"/>
      <c r="WOU55" s="10"/>
      <c r="WOV55" s="10"/>
      <c r="WOW55" s="10"/>
      <c r="WOX55" s="10"/>
      <c r="WOY55" s="10"/>
      <c r="WOZ55" s="10"/>
      <c r="WPA55" s="10"/>
      <c r="WPB55" s="10"/>
      <c r="WPC55" s="10"/>
      <c r="WPD55" s="10"/>
      <c r="WPE55" s="10"/>
      <c r="WPF55" s="10"/>
      <c r="WPG55" s="10"/>
      <c r="WPH55" s="10"/>
      <c r="WPI55" s="10"/>
      <c r="WPJ55" s="10"/>
      <c r="WPK55" s="10"/>
      <c r="WPL55" s="10"/>
      <c r="WPM55" s="10"/>
      <c r="WPN55" s="10"/>
      <c r="WPO55" s="10"/>
      <c r="WPP55" s="10"/>
      <c r="WPQ55" s="10"/>
      <c r="WPR55" s="10"/>
      <c r="WPS55" s="10"/>
      <c r="WPT55" s="10"/>
      <c r="WPU55" s="10"/>
      <c r="WPV55" s="10"/>
      <c r="WPW55" s="10"/>
      <c r="WPX55" s="10"/>
      <c r="WPY55" s="10"/>
      <c r="WPZ55" s="10"/>
      <c r="WQA55" s="10"/>
      <c r="WQB55" s="10"/>
      <c r="WQC55" s="10"/>
      <c r="WQD55" s="10"/>
      <c r="WQE55" s="10"/>
      <c r="WQF55" s="10"/>
      <c r="WQG55" s="10"/>
      <c r="WQH55" s="10"/>
      <c r="WQI55" s="10"/>
      <c r="WQJ55" s="10"/>
      <c r="WQK55" s="10"/>
      <c r="WQL55" s="10"/>
      <c r="WQM55" s="10"/>
      <c r="WQN55" s="10"/>
      <c r="WQO55" s="10"/>
      <c r="WQP55" s="10"/>
      <c r="WQQ55" s="10"/>
      <c r="WQR55" s="10"/>
      <c r="WQS55" s="10"/>
      <c r="WQT55" s="10"/>
      <c r="WQU55" s="10"/>
      <c r="WQV55" s="10"/>
      <c r="WQW55" s="10"/>
      <c r="WQX55" s="10"/>
      <c r="WQY55" s="10"/>
      <c r="WQZ55" s="10"/>
      <c r="WRA55" s="10"/>
      <c r="WRB55" s="10"/>
      <c r="WRC55" s="10"/>
      <c r="WRD55" s="10"/>
      <c r="WRE55" s="10"/>
      <c r="WRF55" s="10"/>
      <c r="WRG55" s="10"/>
      <c r="WRH55" s="10"/>
      <c r="WRI55" s="10"/>
      <c r="WRJ55" s="10"/>
      <c r="WRK55" s="10"/>
      <c r="WRL55" s="10"/>
      <c r="WRM55" s="10"/>
      <c r="WRN55" s="10"/>
      <c r="WRO55" s="10"/>
      <c r="WRP55" s="10"/>
      <c r="WRQ55" s="10"/>
      <c r="WRR55" s="10"/>
      <c r="WRS55" s="10"/>
      <c r="WRT55" s="10"/>
      <c r="WRU55" s="10"/>
      <c r="WRV55" s="10"/>
      <c r="WRW55" s="10"/>
      <c r="WRX55" s="10"/>
      <c r="WRY55" s="10"/>
      <c r="WRZ55" s="10"/>
      <c r="WSA55" s="10"/>
      <c r="WSB55" s="10"/>
      <c r="WSC55" s="10"/>
      <c r="WSD55" s="10"/>
      <c r="WSE55" s="10"/>
      <c r="WSF55" s="10"/>
      <c r="WSG55" s="10"/>
      <c r="WSH55" s="10"/>
      <c r="WSI55" s="10"/>
      <c r="WSJ55" s="10"/>
      <c r="WSK55" s="10"/>
      <c r="WSL55" s="10"/>
      <c r="WSM55" s="10"/>
      <c r="WSN55" s="10"/>
      <c r="WSO55" s="10"/>
      <c r="WSP55" s="10"/>
      <c r="WSQ55" s="10"/>
      <c r="WSR55" s="10"/>
      <c r="WSS55" s="10"/>
      <c r="WST55" s="10"/>
      <c r="WSU55" s="10"/>
      <c r="WSV55" s="10"/>
      <c r="WSW55" s="10"/>
      <c r="WSX55" s="10"/>
      <c r="WSY55" s="10"/>
      <c r="WSZ55" s="10"/>
      <c r="WTA55" s="10"/>
      <c r="WTB55" s="10"/>
      <c r="WTC55" s="10"/>
      <c r="WTD55" s="10"/>
      <c r="WTE55" s="10"/>
      <c r="WTF55" s="10"/>
      <c r="WTG55" s="10"/>
      <c r="WTH55" s="10"/>
      <c r="WTI55" s="10"/>
      <c r="WTJ55" s="10"/>
      <c r="WTK55" s="10"/>
      <c r="WTL55" s="10"/>
      <c r="WTM55" s="10"/>
      <c r="WTN55" s="10"/>
      <c r="WTO55" s="10"/>
      <c r="WTP55" s="10"/>
      <c r="WTQ55" s="10"/>
      <c r="WTR55" s="10"/>
      <c r="WTS55" s="10"/>
      <c r="WTT55" s="10"/>
      <c r="WTU55" s="10"/>
      <c r="WTV55" s="10"/>
      <c r="WTW55" s="10"/>
      <c r="WTX55" s="10"/>
      <c r="WTY55" s="10"/>
      <c r="WTZ55" s="10"/>
      <c r="WUA55" s="10"/>
      <c r="WUB55" s="10"/>
      <c r="WUC55" s="10"/>
      <c r="WUD55" s="10"/>
      <c r="WUE55" s="10"/>
      <c r="WUF55" s="10"/>
      <c r="WUG55" s="10"/>
      <c r="WUH55" s="10"/>
      <c r="WUI55" s="10"/>
      <c r="WUJ55" s="10"/>
      <c r="WUK55" s="10"/>
      <c r="WUL55" s="10"/>
      <c r="WUM55" s="10"/>
      <c r="WUN55" s="10"/>
      <c r="WUO55" s="10"/>
      <c r="WUP55" s="10"/>
      <c r="WUQ55" s="10"/>
      <c r="WUR55" s="10"/>
      <c r="WUS55" s="10"/>
      <c r="WUT55" s="10"/>
      <c r="WUU55" s="10"/>
      <c r="WUV55" s="10"/>
      <c r="WUW55" s="10"/>
      <c r="WUX55" s="10"/>
      <c r="WUY55" s="10"/>
      <c r="WUZ55" s="10"/>
      <c r="WVA55" s="10"/>
      <c r="WVB55" s="10"/>
      <c r="WVC55" s="10"/>
      <c r="WVD55" s="10"/>
      <c r="WVE55" s="10"/>
      <c r="WVF55" s="10"/>
      <c r="WVG55" s="10"/>
      <c r="WVH55" s="10"/>
      <c r="WVI55" s="10"/>
      <c r="WVJ55" s="10"/>
      <c r="WVK55" s="10"/>
      <c r="WVL55" s="10"/>
      <c r="WVM55" s="10"/>
      <c r="WVN55" s="10"/>
      <c r="WVO55" s="10"/>
      <c r="WVP55" s="10"/>
      <c r="WVQ55" s="10"/>
      <c r="WVR55" s="10"/>
      <c r="WVS55" s="10"/>
      <c r="WVT55" s="10"/>
    </row>
    <row r="56" spans="2:16140" s="242" customFormat="1" ht="21" customHeight="1">
      <c r="B56" s="241"/>
      <c r="C56" s="332"/>
      <c r="D56" s="337"/>
      <c r="F56" s="244"/>
      <c r="G56" s="245"/>
      <c r="H56" s="333"/>
      <c r="I56" s="333"/>
      <c r="J56" s="333"/>
      <c r="K56" s="333"/>
      <c r="L56" s="334"/>
      <c r="M56" s="10"/>
      <c r="N56" s="18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 s="10"/>
      <c r="GM56" s="10"/>
      <c r="GN56" s="10"/>
      <c r="GO56" s="10"/>
      <c r="GP56" s="10"/>
      <c r="GQ56" s="10"/>
      <c r="GR56" s="10"/>
      <c r="GS56" s="10"/>
      <c r="GT56" s="10"/>
      <c r="GU56" s="10"/>
      <c r="GV56" s="10"/>
      <c r="GW56" s="10"/>
      <c r="GX56" s="10"/>
      <c r="GY56" s="10"/>
      <c r="GZ56" s="10"/>
      <c r="HA56" s="10"/>
      <c r="HB56" s="10"/>
      <c r="HC56" s="10"/>
      <c r="HD56" s="10"/>
      <c r="HE56" s="10"/>
      <c r="HF56" s="10"/>
      <c r="HG56" s="10"/>
      <c r="HH56" s="10"/>
      <c r="HI56" s="10"/>
      <c r="HJ56" s="10"/>
      <c r="HK56" s="10"/>
      <c r="HL56" s="10"/>
      <c r="HM56" s="10"/>
      <c r="HN56" s="10"/>
      <c r="HO56" s="10"/>
      <c r="HP56" s="10"/>
      <c r="HQ56" s="10"/>
      <c r="HR56" s="10"/>
      <c r="HS56" s="10"/>
      <c r="HT56" s="10"/>
      <c r="HU56" s="10"/>
      <c r="HV56" s="10"/>
      <c r="HW56" s="10"/>
      <c r="HX56" s="10"/>
      <c r="HY56" s="10"/>
      <c r="HZ56" s="10"/>
      <c r="IA56" s="10"/>
      <c r="IB56" s="10"/>
      <c r="IC56" s="10"/>
      <c r="ID56" s="10"/>
      <c r="IE56" s="10"/>
      <c r="IF56" s="10"/>
      <c r="IG56" s="10"/>
      <c r="IH56" s="10"/>
      <c r="II56" s="10"/>
      <c r="IJ56" s="10"/>
      <c r="IK56" s="10"/>
      <c r="IL56" s="10"/>
      <c r="IM56" s="10"/>
      <c r="IN56" s="10"/>
      <c r="IO56" s="10"/>
      <c r="IP56" s="10"/>
      <c r="IQ56" s="10"/>
      <c r="IR56" s="10"/>
      <c r="IS56" s="10"/>
      <c r="IT56" s="10"/>
      <c r="IU56" s="10"/>
      <c r="IV56" s="10"/>
      <c r="IW56" s="10"/>
      <c r="IX56" s="10"/>
      <c r="IY56" s="10"/>
      <c r="IZ56" s="10"/>
      <c r="JA56" s="10"/>
      <c r="JB56" s="10"/>
      <c r="JC56" s="10"/>
      <c r="JD56" s="10"/>
      <c r="JE56" s="10"/>
      <c r="JF56" s="10"/>
      <c r="JG56" s="10"/>
      <c r="JH56" s="10"/>
      <c r="JI56" s="10"/>
      <c r="JJ56" s="10"/>
      <c r="JK56" s="10"/>
      <c r="JL56" s="10"/>
      <c r="JM56" s="10"/>
      <c r="JN56" s="10"/>
      <c r="JO56" s="10"/>
      <c r="JP56" s="10"/>
      <c r="JQ56" s="10"/>
      <c r="JR56" s="10"/>
      <c r="JS56" s="10"/>
      <c r="JT56" s="10"/>
      <c r="JU56" s="10"/>
      <c r="JV56" s="10"/>
      <c r="JW56" s="10"/>
      <c r="JX56" s="10"/>
      <c r="JY56" s="10"/>
      <c r="JZ56" s="10"/>
      <c r="KA56" s="10"/>
      <c r="KB56" s="10"/>
      <c r="KC56" s="10"/>
      <c r="KD56" s="10"/>
      <c r="KE56" s="10"/>
      <c r="KF56" s="10"/>
      <c r="KG56" s="10"/>
      <c r="KH56" s="10"/>
      <c r="KI56" s="10"/>
      <c r="KJ56" s="10"/>
      <c r="KK56" s="10"/>
      <c r="KL56" s="10"/>
      <c r="KM56" s="10"/>
      <c r="KN56" s="10"/>
      <c r="KO56" s="10"/>
      <c r="KP56" s="10"/>
      <c r="KQ56" s="10"/>
      <c r="KR56" s="10"/>
      <c r="KS56" s="10"/>
      <c r="KT56" s="10"/>
      <c r="KU56" s="10"/>
      <c r="KV56" s="10"/>
      <c r="KW56" s="10"/>
      <c r="KX56" s="10"/>
      <c r="KY56" s="10"/>
      <c r="KZ56" s="10"/>
      <c r="LA56" s="10"/>
      <c r="LB56" s="10"/>
      <c r="LC56" s="10"/>
      <c r="LD56" s="10"/>
      <c r="LE56" s="10"/>
      <c r="LF56" s="10"/>
      <c r="LG56" s="10"/>
      <c r="LH56" s="10"/>
      <c r="LI56" s="10"/>
      <c r="LJ56" s="10"/>
      <c r="LK56" s="10"/>
      <c r="LL56" s="10"/>
      <c r="LM56" s="10"/>
      <c r="LN56" s="10"/>
      <c r="LO56" s="10"/>
      <c r="LP56" s="10"/>
      <c r="LQ56" s="10"/>
      <c r="LR56" s="10"/>
      <c r="LS56" s="10"/>
      <c r="LT56" s="10"/>
      <c r="LU56" s="10"/>
      <c r="LV56" s="10"/>
      <c r="LW56" s="10"/>
      <c r="LX56" s="10"/>
      <c r="LY56" s="10"/>
      <c r="LZ56" s="10"/>
      <c r="MA56" s="10"/>
      <c r="MB56" s="10"/>
      <c r="MC56" s="10"/>
      <c r="MD56" s="10"/>
      <c r="ME56" s="10"/>
      <c r="MF56" s="10"/>
      <c r="MG56" s="10"/>
      <c r="MH56" s="10"/>
      <c r="MI56" s="10"/>
      <c r="MJ56" s="10"/>
      <c r="MK56" s="10"/>
      <c r="ML56" s="10"/>
      <c r="MM56" s="10"/>
      <c r="MN56" s="10"/>
      <c r="MO56" s="10"/>
      <c r="MP56" s="10"/>
      <c r="MQ56" s="10"/>
      <c r="MR56" s="10"/>
      <c r="MS56" s="10"/>
      <c r="MT56" s="10"/>
      <c r="MU56" s="10"/>
      <c r="MV56" s="10"/>
      <c r="MW56" s="10"/>
      <c r="MX56" s="10"/>
      <c r="MY56" s="10"/>
      <c r="MZ56" s="10"/>
      <c r="NA56" s="10"/>
      <c r="NB56" s="10"/>
      <c r="NC56" s="10"/>
      <c r="ND56" s="10"/>
      <c r="NE56" s="10"/>
      <c r="NF56" s="10"/>
      <c r="NG56" s="10"/>
      <c r="NH56" s="10"/>
      <c r="NI56" s="10"/>
      <c r="NJ56" s="10"/>
      <c r="NK56" s="10"/>
      <c r="NL56" s="10"/>
      <c r="NM56" s="10"/>
      <c r="NN56" s="10"/>
      <c r="NO56" s="10"/>
      <c r="NP56" s="10"/>
      <c r="NQ56" s="10"/>
      <c r="NR56" s="10"/>
      <c r="NS56" s="10"/>
      <c r="NT56" s="10"/>
      <c r="NU56" s="10"/>
      <c r="NV56" s="10"/>
      <c r="NW56" s="10"/>
      <c r="NX56" s="10"/>
      <c r="NY56" s="10"/>
      <c r="NZ56" s="10"/>
      <c r="OA56" s="10"/>
      <c r="OB56" s="10"/>
      <c r="OC56" s="10"/>
      <c r="OD56" s="10"/>
      <c r="OE56" s="10"/>
      <c r="OF56" s="10"/>
      <c r="OG56" s="10"/>
      <c r="OH56" s="10"/>
      <c r="OI56" s="10"/>
      <c r="OJ56" s="10"/>
      <c r="OK56" s="10"/>
      <c r="OL56" s="10"/>
      <c r="OM56" s="10"/>
      <c r="ON56" s="10"/>
      <c r="OO56" s="10"/>
      <c r="OP56" s="10"/>
      <c r="OQ56" s="10"/>
      <c r="OR56" s="10"/>
      <c r="OS56" s="10"/>
      <c r="OT56" s="10"/>
      <c r="OU56" s="10"/>
      <c r="OV56" s="10"/>
      <c r="OW56" s="10"/>
      <c r="OX56" s="10"/>
      <c r="OY56" s="10"/>
      <c r="OZ56" s="10"/>
      <c r="PA56" s="10"/>
      <c r="PB56" s="10"/>
      <c r="PC56" s="10"/>
      <c r="PD56" s="10"/>
      <c r="PE56" s="10"/>
      <c r="PF56" s="10"/>
      <c r="PG56" s="10"/>
      <c r="PH56" s="10"/>
      <c r="PI56" s="10"/>
      <c r="PJ56" s="10"/>
      <c r="PK56" s="10"/>
      <c r="PL56" s="10"/>
      <c r="PM56" s="10"/>
      <c r="PN56" s="10"/>
      <c r="PO56" s="10"/>
      <c r="PP56" s="10"/>
      <c r="PQ56" s="10"/>
      <c r="PR56" s="10"/>
      <c r="PS56" s="10"/>
      <c r="PT56" s="10"/>
      <c r="PU56" s="10"/>
      <c r="PV56" s="10"/>
      <c r="PW56" s="10"/>
      <c r="PX56" s="10"/>
      <c r="PY56" s="10"/>
      <c r="PZ56" s="10"/>
      <c r="QA56" s="10"/>
      <c r="QB56" s="10"/>
      <c r="QC56" s="10"/>
      <c r="QD56" s="10"/>
      <c r="QE56" s="10"/>
      <c r="QF56" s="10"/>
      <c r="QG56" s="10"/>
      <c r="QH56" s="10"/>
      <c r="QI56" s="10"/>
      <c r="QJ56" s="10"/>
      <c r="QK56" s="10"/>
      <c r="QL56" s="10"/>
      <c r="QM56" s="10"/>
      <c r="QN56" s="10"/>
      <c r="QO56" s="10"/>
      <c r="QP56" s="10"/>
      <c r="QQ56" s="10"/>
      <c r="QR56" s="10"/>
      <c r="QS56" s="10"/>
      <c r="QT56" s="10"/>
      <c r="QU56" s="10"/>
      <c r="QV56" s="10"/>
      <c r="QW56" s="10"/>
      <c r="QX56" s="10"/>
      <c r="QY56" s="10"/>
      <c r="QZ56" s="10"/>
      <c r="RA56" s="10"/>
      <c r="RB56" s="10"/>
      <c r="RC56" s="10"/>
      <c r="RD56" s="10"/>
      <c r="RE56" s="10"/>
      <c r="RF56" s="10"/>
      <c r="RG56" s="10"/>
      <c r="RH56" s="10"/>
      <c r="RI56" s="10"/>
      <c r="RJ56" s="10"/>
      <c r="RK56" s="10"/>
      <c r="RL56" s="10"/>
      <c r="RM56" s="10"/>
      <c r="RN56" s="10"/>
      <c r="RO56" s="10"/>
      <c r="RP56" s="10"/>
      <c r="RQ56" s="10"/>
      <c r="RR56" s="10"/>
      <c r="RS56" s="10"/>
      <c r="RT56" s="10"/>
      <c r="RU56" s="10"/>
      <c r="RV56" s="10"/>
      <c r="RW56" s="10"/>
      <c r="RX56" s="10"/>
      <c r="RY56" s="10"/>
      <c r="RZ56" s="10"/>
      <c r="SA56" s="10"/>
      <c r="SB56" s="10"/>
      <c r="SC56" s="10"/>
      <c r="SD56" s="10"/>
      <c r="SE56" s="10"/>
      <c r="SF56" s="10"/>
      <c r="SG56" s="10"/>
      <c r="SH56" s="10"/>
      <c r="SI56" s="10"/>
      <c r="SJ56" s="10"/>
      <c r="SK56" s="10"/>
      <c r="SL56" s="10"/>
      <c r="SM56" s="10"/>
      <c r="SN56" s="10"/>
      <c r="SO56" s="10"/>
      <c r="SP56" s="10"/>
      <c r="SQ56" s="10"/>
      <c r="SR56" s="10"/>
      <c r="SS56" s="10"/>
      <c r="ST56" s="10"/>
      <c r="SU56" s="10"/>
      <c r="SV56" s="10"/>
      <c r="SW56" s="10"/>
      <c r="SX56" s="10"/>
      <c r="SY56" s="10"/>
      <c r="SZ56" s="10"/>
      <c r="TA56" s="10"/>
      <c r="TB56" s="10"/>
      <c r="TC56" s="10"/>
      <c r="TD56" s="10"/>
      <c r="TE56" s="10"/>
      <c r="TF56" s="10"/>
      <c r="TG56" s="10"/>
      <c r="TH56" s="10"/>
      <c r="TI56" s="10"/>
      <c r="TJ56" s="10"/>
      <c r="TK56" s="10"/>
      <c r="TL56" s="10"/>
      <c r="TM56" s="10"/>
      <c r="TN56" s="10"/>
      <c r="TO56" s="10"/>
      <c r="TP56" s="10"/>
      <c r="TQ56" s="10"/>
      <c r="TR56" s="10"/>
      <c r="TS56" s="10"/>
      <c r="TT56" s="10"/>
      <c r="TU56" s="10"/>
      <c r="TV56" s="10"/>
      <c r="TW56" s="10"/>
      <c r="TX56" s="10"/>
      <c r="TY56" s="10"/>
      <c r="TZ56" s="10"/>
      <c r="UA56" s="10"/>
      <c r="UB56" s="10"/>
      <c r="UC56" s="10"/>
      <c r="UD56" s="10"/>
      <c r="UE56" s="10"/>
      <c r="UF56" s="10"/>
      <c r="UG56" s="10"/>
      <c r="UH56" s="10"/>
      <c r="UI56" s="10"/>
      <c r="UJ56" s="10"/>
      <c r="UK56" s="10"/>
      <c r="UL56" s="10"/>
      <c r="UM56" s="10"/>
      <c r="UN56" s="10"/>
      <c r="UO56" s="10"/>
      <c r="UP56" s="10"/>
      <c r="UQ56" s="10"/>
      <c r="UR56" s="10"/>
      <c r="US56" s="10"/>
      <c r="UT56" s="10"/>
      <c r="UU56" s="10"/>
      <c r="UV56" s="10"/>
      <c r="UW56" s="10"/>
      <c r="UX56" s="10"/>
      <c r="UY56" s="10"/>
      <c r="UZ56" s="10"/>
      <c r="VA56" s="10"/>
      <c r="VB56" s="10"/>
      <c r="VC56" s="10"/>
      <c r="VD56" s="10"/>
      <c r="VE56" s="10"/>
      <c r="VF56" s="10"/>
      <c r="VG56" s="10"/>
      <c r="VH56" s="10"/>
      <c r="VI56" s="10"/>
      <c r="VJ56" s="10"/>
      <c r="VK56" s="10"/>
      <c r="VL56" s="10"/>
      <c r="VM56" s="10"/>
      <c r="VN56" s="10"/>
      <c r="VO56" s="10"/>
      <c r="VP56" s="10"/>
      <c r="VQ56" s="10"/>
      <c r="VR56" s="10"/>
      <c r="VS56" s="10"/>
      <c r="VT56" s="10"/>
      <c r="VU56" s="10"/>
      <c r="VV56" s="10"/>
      <c r="VW56" s="10"/>
      <c r="VX56" s="10"/>
      <c r="VY56" s="10"/>
      <c r="VZ56" s="10"/>
      <c r="WA56" s="10"/>
      <c r="WB56" s="10"/>
      <c r="WC56" s="10"/>
      <c r="WD56" s="10"/>
      <c r="WE56" s="10"/>
      <c r="WF56" s="10"/>
      <c r="WG56" s="10"/>
      <c r="WH56" s="10"/>
      <c r="WI56" s="10"/>
      <c r="WJ56" s="10"/>
      <c r="WK56" s="10"/>
      <c r="WL56" s="10"/>
      <c r="WM56" s="10"/>
      <c r="WN56" s="10"/>
      <c r="WO56" s="10"/>
      <c r="WP56" s="10"/>
      <c r="WQ56" s="10"/>
      <c r="WR56" s="10"/>
      <c r="WS56" s="10"/>
      <c r="WT56" s="10"/>
      <c r="WU56" s="10"/>
      <c r="WV56" s="10"/>
      <c r="WW56" s="10"/>
      <c r="WX56" s="10"/>
      <c r="WY56" s="10"/>
      <c r="WZ56" s="10"/>
      <c r="XA56" s="10"/>
      <c r="XB56" s="10"/>
      <c r="XC56" s="10"/>
      <c r="XD56" s="10"/>
      <c r="XE56" s="10"/>
      <c r="XF56" s="10"/>
      <c r="XG56" s="10"/>
      <c r="XH56" s="10"/>
      <c r="XI56" s="10"/>
      <c r="XJ56" s="10"/>
      <c r="XK56" s="10"/>
      <c r="XL56" s="10"/>
      <c r="XM56" s="10"/>
      <c r="XN56" s="10"/>
      <c r="XO56" s="10"/>
      <c r="XP56" s="10"/>
      <c r="XQ56" s="10"/>
      <c r="XR56" s="10"/>
      <c r="XS56" s="10"/>
      <c r="XT56" s="10"/>
      <c r="XU56" s="10"/>
      <c r="XV56" s="10"/>
      <c r="XW56" s="10"/>
      <c r="XX56" s="10"/>
      <c r="XY56" s="10"/>
      <c r="XZ56" s="10"/>
      <c r="YA56" s="10"/>
      <c r="YB56" s="10"/>
      <c r="YC56" s="10"/>
      <c r="YD56" s="10"/>
      <c r="YE56" s="10"/>
      <c r="YF56" s="10"/>
      <c r="YG56" s="10"/>
      <c r="YH56" s="10"/>
      <c r="YI56" s="10"/>
      <c r="YJ56" s="10"/>
      <c r="YK56" s="10"/>
      <c r="YL56" s="10"/>
      <c r="YM56" s="10"/>
      <c r="YN56" s="10"/>
      <c r="YO56" s="10"/>
      <c r="YP56" s="10"/>
      <c r="YQ56" s="10"/>
      <c r="YR56" s="10"/>
      <c r="YS56" s="10"/>
      <c r="YT56" s="10"/>
      <c r="YU56" s="10"/>
      <c r="YV56" s="10"/>
      <c r="YW56" s="10"/>
      <c r="YX56" s="10"/>
      <c r="YY56" s="10"/>
      <c r="YZ56" s="10"/>
      <c r="ZA56" s="10"/>
      <c r="ZB56" s="10"/>
      <c r="ZC56" s="10"/>
      <c r="ZD56" s="10"/>
      <c r="ZE56" s="10"/>
      <c r="ZF56" s="10"/>
      <c r="ZG56" s="10"/>
      <c r="ZH56" s="10"/>
      <c r="ZI56" s="10"/>
      <c r="ZJ56" s="10"/>
      <c r="ZK56" s="10"/>
      <c r="ZL56" s="10"/>
      <c r="ZM56" s="10"/>
      <c r="ZN56" s="10"/>
      <c r="ZO56" s="10"/>
      <c r="ZP56" s="10"/>
      <c r="ZQ56" s="10"/>
      <c r="ZR56" s="10"/>
      <c r="ZS56" s="10"/>
      <c r="ZT56" s="10"/>
      <c r="ZU56" s="10"/>
      <c r="ZV56" s="10"/>
      <c r="ZW56" s="10"/>
      <c r="ZX56" s="10"/>
      <c r="ZY56" s="10"/>
      <c r="ZZ56" s="10"/>
      <c r="AAA56" s="10"/>
      <c r="AAB56" s="10"/>
      <c r="AAC56" s="10"/>
      <c r="AAD56" s="10"/>
      <c r="AAE56" s="10"/>
      <c r="AAF56" s="10"/>
      <c r="AAG56" s="10"/>
      <c r="AAH56" s="10"/>
      <c r="AAI56" s="10"/>
      <c r="AAJ56" s="10"/>
      <c r="AAK56" s="10"/>
      <c r="AAL56" s="10"/>
      <c r="AAM56" s="10"/>
      <c r="AAN56" s="10"/>
      <c r="AAO56" s="10"/>
      <c r="AAP56" s="10"/>
      <c r="AAQ56" s="10"/>
      <c r="AAR56" s="10"/>
      <c r="AAS56" s="10"/>
      <c r="AAT56" s="10"/>
      <c r="AAU56" s="10"/>
      <c r="AAV56" s="10"/>
      <c r="AAW56" s="10"/>
      <c r="AAX56" s="10"/>
      <c r="AAY56" s="10"/>
      <c r="AAZ56" s="10"/>
      <c r="ABA56" s="10"/>
      <c r="ABB56" s="10"/>
      <c r="ABC56" s="10"/>
      <c r="ABD56" s="10"/>
      <c r="ABE56" s="10"/>
      <c r="ABF56" s="10"/>
      <c r="ABG56" s="10"/>
      <c r="ABH56" s="10"/>
      <c r="ABI56" s="10"/>
      <c r="ABJ56" s="10"/>
      <c r="ABK56" s="10"/>
      <c r="ABL56" s="10"/>
      <c r="ABM56" s="10"/>
      <c r="ABN56" s="10"/>
      <c r="ABO56" s="10"/>
      <c r="ABP56" s="10"/>
      <c r="ABQ56" s="10"/>
      <c r="ABR56" s="10"/>
      <c r="ABS56" s="10"/>
      <c r="ABT56" s="10"/>
      <c r="ABU56" s="10"/>
      <c r="ABV56" s="10"/>
      <c r="ABW56" s="10"/>
      <c r="ABX56" s="10"/>
      <c r="ABY56" s="10"/>
      <c r="ABZ56" s="10"/>
      <c r="ACA56" s="10"/>
      <c r="ACB56" s="10"/>
      <c r="ACC56" s="10"/>
      <c r="ACD56" s="10"/>
      <c r="ACE56" s="10"/>
      <c r="ACF56" s="10"/>
      <c r="ACG56" s="10"/>
      <c r="ACH56" s="10"/>
      <c r="ACI56" s="10"/>
      <c r="ACJ56" s="10"/>
      <c r="ACK56" s="10"/>
      <c r="ACL56" s="10"/>
      <c r="ACM56" s="10"/>
      <c r="ACN56" s="10"/>
      <c r="ACO56" s="10"/>
      <c r="ACP56" s="10"/>
      <c r="ACQ56" s="10"/>
      <c r="ACR56" s="10"/>
      <c r="ACS56" s="10"/>
      <c r="ACT56" s="10"/>
      <c r="ACU56" s="10"/>
      <c r="ACV56" s="10"/>
      <c r="ACW56" s="10"/>
      <c r="ACX56" s="10"/>
      <c r="ACY56" s="10"/>
      <c r="ACZ56" s="10"/>
      <c r="ADA56" s="10"/>
      <c r="ADB56" s="10"/>
      <c r="ADC56" s="10"/>
      <c r="ADD56" s="10"/>
      <c r="ADE56" s="10"/>
      <c r="ADF56" s="10"/>
      <c r="ADG56" s="10"/>
      <c r="ADH56" s="10"/>
      <c r="ADI56" s="10"/>
      <c r="ADJ56" s="10"/>
      <c r="ADK56" s="10"/>
      <c r="ADL56" s="10"/>
      <c r="ADM56" s="10"/>
      <c r="ADN56" s="10"/>
      <c r="ADO56" s="10"/>
      <c r="ADP56" s="10"/>
      <c r="ADQ56" s="10"/>
      <c r="ADR56" s="10"/>
      <c r="ADS56" s="10"/>
      <c r="ADT56" s="10"/>
      <c r="ADU56" s="10"/>
      <c r="ADV56" s="10"/>
      <c r="ADW56" s="10"/>
      <c r="ADX56" s="10"/>
      <c r="ADY56" s="10"/>
      <c r="ADZ56" s="10"/>
      <c r="AEA56" s="10"/>
      <c r="AEB56" s="10"/>
      <c r="AEC56" s="10"/>
      <c r="AED56" s="10"/>
      <c r="AEE56" s="10"/>
      <c r="AEF56" s="10"/>
      <c r="AEG56" s="10"/>
      <c r="AEH56" s="10"/>
      <c r="AEI56" s="10"/>
      <c r="AEJ56" s="10"/>
      <c r="AEK56" s="10"/>
      <c r="AEL56" s="10"/>
      <c r="AEM56" s="10"/>
      <c r="AEN56" s="10"/>
      <c r="AEO56" s="10"/>
      <c r="AEP56" s="10"/>
      <c r="AEQ56" s="10"/>
      <c r="AER56" s="10"/>
      <c r="AES56" s="10"/>
      <c r="AET56" s="10"/>
      <c r="AEU56" s="10"/>
      <c r="AEV56" s="10"/>
      <c r="AEW56" s="10"/>
      <c r="AEX56" s="10"/>
      <c r="AEY56" s="10"/>
      <c r="AEZ56" s="10"/>
      <c r="AFA56" s="10"/>
      <c r="AFB56" s="10"/>
      <c r="AFC56" s="10"/>
      <c r="AFD56" s="10"/>
      <c r="AFE56" s="10"/>
      <c r="AFF56" s="10"/>
      <c r="AFG56" s="10"/>
      <c r="AFH56" s="10"/>
      <c r="AFI56" s="10"/>
      <c r="AFJ56" s="10"/>
      <c r="AFK56" s="10"/>
      <c r="AFL56" s="10"/>
      <c r="AFM56" s="10"/>
      <c r="AFN56" s="10"/>
      <c r="AFO56" s="10"/>
      <c r="AFP56" s="10"/>
      <c r="AFQ56" s="10"/>
      <c r="AFR56" s="10"/>
      <c r="AFS56" s="10"/>
      <c r="AFT56" s="10"/>
      <c r="AFU56" s="10"/>
      <c r="AFV56" s="10"/>
      <c r="AFW56" s="10"/>
      <c r="AFX56" s="10"/>
      <c r="AFY56" s="10"/>
      <c r="AFZ56" s="10"/>
      <c r="AGA56" s="10"/>
      <c r="AGB56" s="10"/>
      <c r="AGC56" s="10"/>
      <c r="AGD56" s="10"/>
      <c r="AGE56" s="10"/>
      <c r="AGF56" s="10"/>
      <c r="AGG56" s="10"/>
      <c r="AGH56" s="10"/>
      <c r="AGI56" s="10"/>
      <c r="AGJ56" s="10"/>
      <c r="AGK56" s="10"/>
      <c r="AGL56" s="10"/>
      <c r="AGM56" s="10"/>
      <c r="AGN56" s="10"/>
      <c r="AGO56" s="10"/>
      <c r="AGP56" s="10"/>
      <c r="AGQ56" s="10"/>
      <c r="AGR56" s="10"/>
      <c r="AGS56" s="10"/>
      <c r="AGT56" s="10"/>
      <c r="AGU56" s="10"/>
      <c r="AGV56" s="10"/>
      <c r="AGW56" s="10"/>
      <c r="AGX56" s="10"/>
      <c r="AGY56" s="10"/>
      <c r="AGZ56" s="10"/>
      <c r="AHA56" s="10"/>
      <c r="AHB56" s="10"/>
      <c r="AHC56" s="10"/>
      <c r="AHD56" s="10"/>
      <c r="AHE56" s="10"/>
      <c r="AHF56" s="10"/>
      <c r="AHG56" s="10"/>
      <c r="AHH56" s="10"/>
      <c r="AHI56" s="10"/>
      <c r="AHJ56" s="10"/>
      <c r="AHK56" s="10"/>
      <c r="AHL56" s="10"/>
      <c r="AHM56" s="10"/>
      <c r="AHN56" s="10"/>
      <c r="AHO56" s="10"/>
      <c r="AHP56" s="10"/>
      <c r="AHQ56" s="10"/>
      <c r="AHR56" s="10"/>
      <c r="AHS56" s="10"/>
      <c r="AHT56" s="10"/>
      <c r="AHU56" s="10"/>
      <c r="AHV56" s="10"/>
      <c r="AHW56" s="10"/>
      <c r="AHX56" s="10"/>
      <c r="AHY56" s="10"/>
      <c r="AHZ56" s="10"/>
      <c r="AIA56" s="10"/>
      <c r="AIB56" s="10"/>
      <c r="AIC56" s="10"/>
      <c r="AID56" s="10"/>
      <c r="AIE56" s="10"/>
      <c r="AIF56" s="10"/>
      <c r="AIG56" s="10"/>
      <c r="AIH56" s="10"/>
      <c r="AII56" s="10"/>
      <c r="AIJ56" s="10"/>
      <c r="AIK56" s="10"/>
      <c r="AIL56" s="10"/>
      <c r="AIM56" s="10"/>
      <c r="AIN56" s="10"/>
      <c r="AIO56" s="10"/>
      <c r="AIP56" s="10"/>
      <c r="AIQ56" s="10"/>
      <c r="AIR56" s="10"/>
      <c r="AIS56" s="10"/>
      <c r="AIT56" s="10"/>
      <c r="AIU56" s="10"/>
      <c r="AIV56" s="10"/>
      <c r="AIW56" s="10"/>
      <c r="AIX56" s="10"/>
      <c r="AIY56" s="10"/>
      <c r="AIZ56" s="10"/>
      <c r="AJA56" s="10"/>
      <c r="AJB56" s="10"/>
      <c r="AJC56" s="10"/>
      <c r="AJD56" s="10"/>
      <c r="AJE56" s="10"/>
      <c r="AJF56" s="10"/>
      <c r="AJG56" s="10"/>
      <c r="AJH56" s="10"/>
      <c r="AJI56" s="10"/>
      <c r="AJJ56" s="10"/>
      <c r="AJK56" s="10"/>
      <c r="AJL56" s="10"/>
      <c r="AJM56" s="10"/>
      <c r="AJN56" s="10"/>
      <c r="AJO56" s="10"/>
      <c r="AJP56" s="10"/>
      <c r="AJQ56" s="10"/>
      <c r="AJR56" s="10"/>
      <c r="AJS56" s="10"/>
      <c r="AJT56" s="10"/>
      <c r="AJU56" s="10"/>
      <c r="AJV56" s="10"/>
      <c r="AJW56" s="10"/>
      <c r="AJX56" s="10"/>
      <c r="AJY56" s="10"/>
      <c r="AJZ56" s="10"/>
      <c r="AKA56" s="10"/>
      <c r="AKB56" s="10"/>
      <c r="AKC56" s="10"/>
      <c r="AKD56" s="10"/>
      <c r="AKE56" s="10"/>
      <c r="AKF56" s="10"/>
      <c r="AKG56" s="10"/>
      <c r="AKH56" s="10"/>
      <c r="AKI56" s="10"/>
      <c r="AKJ56" s="10"/>
      <c r="AKK56" s="10"/>
      <c r="AKL56" s="10"/>
      <c r="AKM56" s="10"/>
      <c r="AKN56" s="10"/>
      <c r="AKO56" s="10"/>
      <c r="AKP56" s="10"/>
      <c r="AKQ56" s="10"/>
      <c r="AKR56" s="10"/>
      <c r="AKS56" s="10"/>
      <c r="AKT56" s="10"/>
      <c r="AKU56" s="10"/>
      <c r="AKV56" s="10"/>
      <c r="AKW56" s="10"/>
      <c r="AKX56" s="10"/>
      <c r="AKY56" s="10"/>
      <c r="AKZ56" s="10"/>
      <c r="ALA56" s="10"/>
      <c r="ALB56" s="10"/>
      <c r="ALC56" s="10"/>
      <c r="ALD56" s="10"/>
      <c r="ALE56" s="10"/>
      <c r="ALF56" s="10"/>
      <c r="ALG56" s="10"/>
      <c r="ALH56" s="10"/>
      <c r="ALI56" s="10"/>
      <c r="ALJ56" s="10"/>
      <c r="ALK56" s="10"/>
      <c r="ALL56" s="10"/>
      <c r="ALM56" s="10"/>
      <c r="ALN56" s="10"/>
      <c r="ALO56" s="10"/>
      <c r="ALP56" s="10"/>
      <c r="ALQ56" s="10"/>
      <c r="ALR56" s="10"/>
      <c r="ALS56" s="10"/>
      <c r="ALT56" s="10"/>
      <c r="ALU56" s="10"/>
      <c r="ALV56" s="10"/>
      <c r="ALW56" s="10"/>
      <c r="ALX56" s="10"/>
      <c r="ALY56" s="10"/>
      <c r="ALZ56" s="10"/>
      <c r="AMA56" s="10"/>
      <c r="AMB56" s="10"/>
      <c r="AMC56" s="10"/>
      <c r="AMD56" s="10"/>
      <c r="AME56" s="10"/>
      <c r="AMF56" s="10"/>
      <c r="AMG56" s="10"/>
      <c r="AMH56" s="10"/>
      <c r="AMI56" s="10"/>
      <c r="AMJ56" s="10"/>
      <c r="AMK56" s="10"/>
      <c r="AML56" s="10"/>
      <c r="AMM56" s="10"/>
      <c r="AMN56" s="10"/>
      <c r="AMO56" s="10"/>
      <c r="AMP56" s="10"/>
      <c r="AMQ56" s="10"/>
      <c r="AMR56" s="10"/>
      <c r="AMS56" s="10"/>
      <c r="AMT56" s="10"/>
      <c r="AMU56" s="10"/>
      <c r="AMV56" s="10"/>
      <c r="AMW56" s="10"/>
      <c r="AMX56" s="10"/>
      <c r="AMY56" s="10"/>
      <c r="AMZ56" s="10"/>
      <c r="ANA56" s="10"/>
      <c r="ANB56" s="10"/>
      <c r="ANC56" s="10"/>
      <c r="AND56" s="10"/>
      <c r="ANE56" s="10"/>
      <c r="ANF56" s="10"/>
      <c r="ANG56" s="10"/>
      <c r="ANH56" s="10"/>
      <c r="ANI56" s="10"/>
      <c r="ANJ56" s="10"/>
      <c r="ANK56" s="10"/>
      <c r="ANL56" s="10"/>
      <c r="ANM56" s="10"/>
      <c r="ANN56" s="10"/>
      <c r="ANO56" s="10"/>
      <c r="ANP56" s="10"/>
      <c r="ANQ56" s="10"/>
      <c r="ANR56" s="10"/>
      <c r="ANS56" s="10"/>
      <c r="ANT56" s="10"/>
      <c r="ANU56" s="10"/>
      <c r="ANV56" s="10"/>
      <c r="ANW56" s="10"/>
      <c r="ANX56" s="10"/>
      <c r="ANY56" s="10"/>
      <c r="ANZ56" s="10"/>
      <c r="AOA56" s="10"/>
      <c r="AOB56" s="10"/>
      <c r="AOC56" s="10"/>
      <c r="AOD56" s="10"/>
      <c r="AOE56" s="10"/>
      <c r="AOF56" s="10"/>
      <c r="AOG56" s="10"/>
      <c r="AOH56" s="10"/>
      <c r="AOI56" s="10"/>
      <c r="AOJ56" s="10"/>
      <c r="AOK56" s="10"/>
      <c r="AOL56" s="10"/>
      <c r="AOM56" s="10"/>
      <c r="AON56" s="10"/>
      <c r="AOO56" s="10"/>
      <c r="AOP56" s="10"/>
      <c r="AOQ56" s="10"/>
      <c r="AOR56" s="10"/>
      <c r="AOS56" s="10"/>
      <c r="AOT56" s="10"/>
      <c r="AOU56" s="10"/>
      <c r="AOV56" s="10"/>
      <c r="AOW56" s="10"/>
      <c r="AOX56" s="10"/>
      <c r="AOY56" s="10"/>
      <c r="AOZ56" s="10"/>
      <c r="APA56" s="10"/>
      <c r="APB56" s="10"/>
      <c r="APC56" s="10"/>
      <c r="APD56" s="10"/>
      <c r="APE56" s="10"/>
      <c r="APF56" s="10"/>
      <c r="APG56" s="10"/>
      <c r="APH56" s="10"/>
      <c r="API56" s="10"/>
      <c r="APJ56" s="10"/>
      <c r="APK56" s="10"/>
      <c r="APL56" s="10"/>
      <c r="APM56" s="10"/>
      <c r="APN56" s="10"/>
      <c r="APO56" s="10"/>
      <c r="APP56" s="10"/>
      <c r="APQ56" s="10"/>
      <c r="APR56" s="10"/>
      <c r="APS56" s="10"/>
      <c r="APT56" s="10"/>
      <c r="APU56" s="10"/>
      <c r="APV56" s="10"/>
      <c r="APW56" s="10"/>
      <c r="APX56" s="10"/>
      <c r="APY56" s="10"/>
      <c r="APZ56" s="10"/>
      <c r="AQA56" s="10"/>
      <c r="AQB56" s="10"/>
      <c r="AQC56" s="10"/>
      <c r="AQD56" s="10"/>
      <c r="AQE56" s="10"/>
      <c r="AQF56" s="10"/>
      <c r="AQG56" s="10"/>
      <c r="AQH56" s="10"/>
      <c r="AQI56" s="10"/>
      <c r="AQJ56" s="10"/>
      <c r="AQK56" s="10"/>
      <c r="AQL56" s="10"/>
      <c r="AQM56" s="10"/>
      <c r="AQN56" s="10"/>
      <c r="AQO56" s="10"/>
      <c r="AQP56" s="10"/>
      <c r="AQQ56" s="10"/>
      <c r="AQR56" s="10"/>
      <c r="AQS56" s="10"/>
      <c r="AQT56" s="10"/>
      <c r="AQU56" s="10"/>
      <c r="AQV56" s="10"/>
      <c r="AQW56" s="10"/>
      <c r="AQX56" s="10"/>
      <c r="AQY56" s="10"/>
      <c r="AQZ56" s="10"/>
      <c r="ARA56" s="10"/>
      <c r="ARB56" s="10"/>
      <c r="ARC56" s="10"/>
      <c r="ARD56" s="10"/>
      <c r="ARE56" s="10"/>
      <c r="ARF56" s="10"/>
      <c r="ARG56" s="10"/>
      <c r="ARH56" s="10"/>
      <c r="ARI56" s="10"/>
      <c r="ARJ56" s="10"/>
      <c r="ARK56" s="10"/>
      <c r="ARL56" s="10"/>
      <c r="ARM56" s="10"/>
      <c r="ARN56" s="10"/>
      <c r="ARO56" s="10"/>
      <c r="ARP56" s="10"/>
      <c r="ARQ56" s="10"/>
      <c r="ARR56" s="10"/>
      <c r="ARS56" s="10"/>
      <c r="ART56" s="10"/>
      <c r="ARU56" s="10"/>
      <c r="ARV56" s="10"/>
      <c r="ARW56" s="10"/>
      <c r="ARX56" s="10"/>
      <c r="ARY56" s="10"/>
      <c r="ARZ56" s="10"/>
      <c r="ASA56" s="10"/>
      <c r="ASB56" s="10"/>
      <c r="ASC56" s="10"/>
      <c r="ASD56" s="10"/>
      <c r="ASE56" s="10"/>
      <c r="ASF56" s="10"/>
      <c r="ASG56" s="10"/>
      <c r="ASH56" s="10"/>
      <c r="ASI56" s="10"/>
      <c r="ASJ56" s="10"/>
      <c r="ASK56" s="10"/>
      <c r="ASL56" s="10"/>
      <c r="ASM56" s="10"/>
      <c r="ASN56" s="10"/>
      <c r="ASO56" s="10"/>
      <c r="ASP56" s="10"/>
      <c r="ASQ56" s="10"/>
      <c r="ASR56" s="10"/>
      <c r="ASS56" s="10"/>
      <c r="AST56" s="10"/>
      <c r="ASU56" s="10"/>
      <c r="ASV56" s="10"/>
      <c r="ASW56" s="10"/>
      <c r="ASX56" s="10"/>
      <c r="ASY56" s="10"/>
      <c r="ASZ56" s="10"/>
      <c r="ATA56" s="10"/>
      <c r="ATB56" s="10"/>
      <c r="ATC56" s="10"/>
      <c r="ATD56" s="10"/>
      <c r="ATE56" s="10"/>
      <c r="ATF56" s="10"/>
      <c r="ATG56" s="10"/>
      <c r="ATH56" s="10"/>
      <c r="ATI56" s="10"/>
      <c r="ATJ56" s="10"/>
      <c r="ATK56" s="10"/>
      <c r="ATL56" s="10"/>
      <c r="ATM56" s="10"/>
      <c r="ATN56" s="10"/>
      <c r="ATO56" s="10"/>
      <c r="ATP56" s="10"/>
      <c r="ATQ56" s="10"/>
      <c r="ATR56" s="10"/>
      <c r="ATS56" s="10"/>
      <c r="ATT56" s="10"/>
      <c r="ATU56" s="10"/>
      <c r="ATV56" s="10"/>
      <c r="ATW56" s="10"/>
      <c r="ATX56" s="10"/>
      <c r="ATY56" s="10"/>
      <c r="ATZ56" s="10"/>
      <c r="AUA56" s="10"/>
      <c r="AUB56" s="10"/>
      <c r="AUC56" s="10"/>
      <c r="AUD56" s="10"/>
      <c r="AUE56" s="10"/>
      <c r="AUF56" s="10"/>
      <c r="AUG56" s="10"/>
      <c r="AUH56" s="10"/>
      <c r="AUI56" s="10"/>
      <c r="AUJ56" s="10"/>
      <c r="AUK56" s="10"/>
      <c r="AUL56" s="10"/>
      <c r="AUM56" s="10"/>
      <c r="AUN56" s="10"/>
      <c r="AUO56" s="10"/>
      <c r="AUP56" s="10"/>
      <c r="AUQ56" s="10"/>
      <c r="AUR56" s="10"/>
      <c r="AUS56" s="10"/>
      <c r="AUT56" s="10"/>
      <c r="AUU56" s="10"/>
      <c r="AUV56" s="10"/>
      <c r="AUW56" s="10"/>
      <c r="AUX56" s="10"/>
      <c r="AUY56" s="10"/>
      <c r="AUZ56" s="10"/>
      <c r="AVA56" s="10"/>
      <c r="AVB56" s="10"/>
      <c r="AVC56" s="10"/>
      <c r="AVD56" s="10"/>
      <c r="AVE56" s="10"/>
      <c r="AVF56" s="10"/>
      <c r="AVG56" s="10"/>
      <c r="AVH56" s="10"/>
      <c r="AVI56" s="10"/>
      <c r="AVJ56" s="10"/>
      <c r="AVK56" s="10"/>
      <c r="AVL56" s="10"/>
      <c r="AVM56" s="10"/>
      <c r="AVN56" s="10"/>
      <c r="AVO56" s="10"/>
      <c r="AVP56" s="10"/>
      <c r="AVQ56" s="10"/>
      <c r="AVR56" s="10"/>
      <c r="AVS56" s="10"/>
      <c r="AVT56" s="10"/>
      <c r="AVU56" s="10"/>
      <c r="AVV56" s="10"/>
      <c r="AVW56" s="10"/>
      <c r="AVX56" s="10"/>
      <c r="AVY56" s="10"/>
      <c r="AVZ56" s="10"/>
      <c r="AWA56" s="10"/>
      <c r="AWB56" s="10"/>
      <c r="AWC56" s="10"/>
      <c r="AWD56" s="10"/>
      <c r="AWE56" s="10"/>
      <c r="AWF56" s="10"/>
      <c r="AWG56" s="10"/>
      <c r="AWH56" s="10"/>
      <c r="AWI56" s="10"/>
      <c r="AWJ56" s="10"/>
      <c r="AWK56" s="10"/>
      <c r="AWL56" s="10"/>
      <c r="AWM56" s="10"/>
      <c r="AWN56" s="10"/>
      <c r="AWO56" s="10"/>
      <c r="AWP56" s="10"/>
      <c r="AWQ56" s="10"/>
      <c r="AWR56" s="10"/>
      <c r="AWS56" s="10"/>
      <c r="AWT56" s="10"/>
      <c r="AWU56" s="10"/>
      <c r="AWV56" s="10"/>
      <c r="AWW56" s="10"/>
      <c r="AWX56" s="10"/>
      <c r="AWY56" s="10"/>
      <c r="AWZ56" s="10"/>
      <c r="AXA56" s="10"/>
      <c r="AXB56" s="10"/>
      <c r="AXC56" s="10"/>
      <c r="AXD56" s="10"/>
      <c r="AXE56" s="10"/>
      <c r="AXF56" s="10"/>
      <c r="AXG56" s="10"/>
      <c r="AXH56" s="10"/>
      <c r="AXI56" s="10"/>
      <c r="AXJ56" s="10"/>
      <c r="AXK56" s="10"/>
      <c r="AXL56" s="10"/>
      <c r="AXM56" s="10"/>
      <c r="AXN56" s="10"/>
      <c r="AXO56" s="10"/>
      <c r="AXP56" s="10"/>
      <c r="AXQ56" s="10"/>
      <c r="AXR56" s="10"/>
      <c r="AXS56" s="10"/>
      <c r="AXT56" s="10"/>
      <c r="AXU56" s="10"/>
      <c r="AXV56" s="10"/>
      <c r="AXW56" s="10"/>
      <c r="AXX56" s="10"/>
      <c r="AXY56" s="10"/>
      <c r="AXZ56" s="10"/>
      <c r="AYA56" s="10"/>
      <c r="AYB56" s="10"/>
      <c r="AYC56" s="10"/>
      <c r="AYD56" s="10"/>
      <c r="AYE56" s="10"/>
      <c r="AYF56" s="10"/>
      <c r="AYG56" s="10"/>
      <c r="AYH56" s="10"/>
      <c r="AYI56" s="10"/>
      <c r="AYJ56" s="10"/>
      <c r="AYK56" s="10"/>
      <c r="AYL56" s="10"/>
      <c r="AYM56" s="10"/>
      <c r="AYN56" s="10"/>
      <c r="AYO56" s="10"/>
      <c r="AYP56" s="10"/>
      <c r="AYQ56" s="10"/>
      <c r="AYR56" s="10"/>
      <c r="AYS56" s="10"/>
      <c r="AYT56" s="10"/>
      <c r="AYU56" s="10"/>
      <c r="AYV56" s="10"/>
      <c r="AYW56" s="10"/>
      <c r="AYX56" s="10"/>
      <c r="AYY56" s="10"/>
      <c r="AYZ56" s="10"/>
      <c r="AZA56" s="10"/>
      <c r="AZB56" s="10"/>
      <c r="AZC56" s="10"/>
      <c r="AZD56" s="10"/>
      <c r="AZE56" s="10"/>
      <c r="AZF56" s="10"/>
      <c r="AZG56" s="10"/>
      <c r="AZH56" s="10"/>
      <c r="AZI56" s="10"/>
      <c r="AZJ56" s="10"/>
      <c r="AZK56" s="10"/>
      <c r="AZL56" s="10"/>
      <c r="AZM56" s="10"/>
      <c r="AZN56" s="10"/>
      <c r="AZO56" s="10"/>
      <c r="AZP56" s="10"/>
      <c r="AZQ56" s="10"/>
      <c r="AZR56" s="10"/>
      <c r="AZS56" s="10"/>
      <c r="AZT56" s="10"/>
      <c r="AZU56" s="10"/>
      <c r="AZV56" s="10"/>
      <c r="AZW56" s="10"/>
      <c r="AZX56" s="10"/>
      <c r="AZY56" s="10"/>
      <c r="AZZ56" s="10"/>
      <c r="BAA56" s="10"/>
      <c r="BAB56" s="10"/>
      <c r="BAC56" s="10"/>
      <c r="BAD56" s="10"/>
      <c r="BAE56" s="10"/>
      <c r="BAF56" s="10"/>
      <c r="BAG56" s="10"/>
      <c r="BAH56" s="10"/>
      <c r="BAI56" s="10"/>
      <c r="BAJ56" s="10"/>
      <c r="BAK56" s="10"/>
      <c r="BAL56" s="10"/>
      <c r="BAM56" s="10"/>
      <c r="BAN56" s="10"/>
      <c r="BAO56" s="10"/>
      <c r="BAP56" s="10"/>
      <c r="BAQ56" s="10"/>
      <c r="BAR56" s="10"/>
      <c r="BAS56" s="10"/>
      <c r="BAT56" s="10"/>
      <c r="BAU56" s="10"/>
      <c r="BAV56" s="10"/>
      <c r="BAW56" s="10"/>
      <c r="BAX56" s="10"/>
      <c r="BAY56" s="10"/>
      <c r="BAZ56" s="10"/>
      <c r="BBA56" s="10"/>
      <c r="BBB56" s="10"/>
      <c r="BBC56" s="10"/>
      <c r="BBD56" s="10"/>
      <c r="BBE56" s="10"/>
      <c r="BBF56" s="10"/>
      <c r="BBG56" s="10"/>
      <c r="BBH56" s="10"/>
      <c r="BBI56" s="10"/>
      <c r="BBJ56" s="10"/>
      <c r="BBK56" s="10"/>
      <c r="BBL56" s="10"/>
      <c r="BBM56" s="10"/>
      <c r="BBN56" s="10"/>
      <c r="BBO56" s="10"/>
      <c r="BBP56" s="10"/>
      <c r="BBQ56" s="10"/>
      <c r="BBR56" s="10"/>
      <c r="BBS56" s="10"/>
      <c r="BBT56" s="10"/>
      <c r="BBU56" s="10"/>
      <c r="BBV56" s="10"/>
      <c r="BBW56" s="10"/>
      <c r="BBX56" s="10"/>
      <c r="BBY56" s="10"/>
      <c r="BBZ56" s="10"/>
      <c r="BCA56" s="10"/>
      <c r="BCB56" s="10"/>
      <c r="BCC56" s="10"/>
      <c r="BCD56" s="10"/>
      <c r="BCE56" s="10"/>
      <c r="BCF56" s="10"/>
      <c r="BCG56" s="10"/>
      <c r="BCH56" s="10"/>
      <c r="BCI56" s="10"/>
      <c r="BCJ56" s="10"/>
      <c r="BCK56" s="10"/>
      <c r="BCL56" s="10"/>
      <c r="BCM56" s="10"/>
      <c r="BCN56" s="10"/>
      <c r="BCO56" s="10"/>
      <c r="BCP56" s="10"/>
      <c r="BCQ56" s="10"/>
      <c r="BCR56" s="10"/>
      <c r="BCS56" s="10"/>
      <c r="BCT56" s="10"/>
      <c r="BCU56" s="10"/>
      <c r="BCV56" s="10"/>
      <c r="BCW56" s="10"/>
      <c r="BCX56" s="10"/>
      <c r="BCY56" s="10"/>
      <c r="BCZ56" s="10"/>
      <c r="BDA56" s="10"/>
      <c r="BDB56" s="10"/>
      <c r="BDC56" s="10"/>
      <c r="BDD56" s="10"/>
      <c r="BDE56" s="10"/>
      <c r="BDF56" s="10"/>
      <c r="BDG56" s="10"/>
      <c r="BDH56" s="10"/>
      <c r="BDI56" s="10"/>
      <c r="BDJ56" s="10"/>
      <c r="BDK56" s="10"/>
      <c r="BDL56" s="10"/>
      <c r="BDM56" s="10"/>
      <c r="BDN56" s="10"/>
      <c r="BDO56" s="10"/>
      <c r="BDP56" s="10"/>
      <c r="BDQ56" s="10"/>
      <c r="BDR56" s="10"/>
      <c r="BDS56" s="10"/>
      <c r="BDT56" s="10"/>
      <c r="BDU56" s="10"/>
      <c r="BDV56" s="10"/>
      <c r="BDW56" s="10"/>
      <c r="BDX56" s="10"/>
      <c r="BDY56" s="10"/>
      <c r="BDZ56" s="10"/>
      <c r="BEA56" s="10"/>
      <c r="BEB56" s="10"/>
      <c r="BEC56" s="10"/>
      <c r="BED56" s="10"/>
      <c r="BEE56" s="10"/>
      <c r="BEF56" s="10"/>
      <c r="BEG56" s="10"/>
      <c r="BEH56" s="10"/>
      <c r="BEI56" s="10"/>
      <c r="BEJ56" s="10"/>
      <c r="BEK56" s="10"/>
      <c r="BEL56" s="10"/>
      <c r="BEM56" s="10"/>
      <c r="BEN56" s="10"/>
      <c r="BEO56" s="10"/>
      <c r="BEP56" s="10"/>
      <c r="BEQ56" s="10"/>
      <c r="BER56" s="10"/>
      <c r="BES56" s="10"/>
      <c r="BET56" s="10"/>
      <c r="BEU56" s="10"/>
      <c r="BEV56" s="10"/>
      <c r="BEW56" s="10"/>
      <c r="BEX56" s="10"/>
      <c r="BEY56" s="10"/>
      <c r="BEZ56" s="10"/>
      <c r="BFA56" s="10"/>
      <c r="BFB56" s="10"/>
      <c r="BFC56" s="10"/>
      <c r="BFD56" s="10"/>
      <c r="BFE56" s="10"/>
      <c r="BFF56" s="10"/>
      <c r="BFG56" s="10"/>
      <c r="BFH56" s="10"/>
      <c r="BFI56" s="10"/>
      <c r="BFJ56" s="10"/>
      <c r="BFK56" s="10"/>
      <c r="BFL56" s="10"/>
      <c r="BFM56" s="10"/>
      <c r="BFN56" s="10"/>
      <c r="BFO56" s="10"/>
      <c r="BFP56" s="10"/>
      <c r="BFQ56" s="10"/>
      <c r="BFR56" s="10"/>
      <c r="BFS56" s="10"/>
      <c r="BFT56" s="10"/>
      <c r="BFU56" s="10"/>
      <c r="BFV56" s="10"/>
      <c r="BFW56" s="10"/>
      <c r="BFX56" s="10"/>
      <c r="BFY56" s="10"/>
      <c r="BFZ56" s="10"/>
      <c r="BGA56" s="10"/>
      <c r="BGB56" s="10"/>
      <c r="BGC56" s="10"/>
      <c r="BGD56" s="10"/>
      <c r="BGE56" s="10"/>
      <c r="BGF56" s="10"/>
      <c r="BGG56" s="10"/>
      <c r="BGH56" s="10"/>
      <c r="BGI56" s="10"/>
      <c r="BGJ56" s="10"/>
      <c r="BGK56" s="10"/>
      <c r="BGL56" s="10"/>
      <c r="BGM56" s="10"/>
      <c r="BGN56" s="10"/>
      <c r="BGO56" s="10"/>
      <c r="BGP56" s="10"/>
      <c r="BGQ56" s="10"/>
      <c r="BGR56" s="10"/>
      <c r="BGS56" s="10"/>
      <c r="BGT56" s="10"/>
      <c r="BGU56" s="10"/>
      <c r="BGV56" s="10"/>
      <c r="BGW56" s="10"/>
      <c r="BGX56" s="10"/>
      <c r="BGY56" s="10"/>
      <c r="BGZ56" s="10"/>
      <c r="BHA56" s="10"/>
      <c r="BHB56" s="10"/>
      <c r="BHC56" s="10"/>
      <c r="BHD56" s="10"/>
      <c r="BHE56" s="10"/>
      <c r="BHF56" s="10"/>
      <c r="BHG56" s="10"/>
      <c r="BHH56" s="10"/>
      <c r="BHI56" s="10"/>
      <c r="BHJ56" s="10"/>
      <c r="BHK56" s="10"/>
      <c r="BHL56" s="10"/>
      <c r="BHM56" s="10"/>
      <c r="BHN56" s="10"/>
      <c r="BHO56" s="10"/>
      <c r="BHP56" s="10"/>
      <c r="BHQ56" s="10"/>
      <c r="BHR56" s="10"/>
      <c r="BHS56" s="10"/>
      <c r="BHT56" s="10"/>
      <c r="BHU56" s="10"/>
      <c r="BHV56" s="10"/>
      <c r="BHW56" s="10"/>
      <c r="BHX56" s="10"/>
      <c r="BHY56" s="10"/>
      <c r="BHZ56" s="10"/>
      <c r="BIA56" s="10"/>
      <c r="BIB56" s="10"/>
      <c r="BIC56" s="10"/>
      <c r="BID56" s="10"/>
      <c r="BIE56" s="10"/>
      <c r="BIF56" s="10"/>
      <c r="BIG56" s="10"/>
      <c r="BIH56" s="10"/>
      <c r="BII56" s="10"/>
      <c r="BIJ56" s="10"/>
      <c r="BIK56" s="10"/>
      <c r="BIL56" s="10"/>
      <c r="BIM56" s="10"/>
      <c r="BIN56" s="10"/>
      <c r="BIO56" s="10"/>
      <c r="BIP56" s="10"/>
      <c r="BIQ56" s="10"/>
      <c r="BIR56" s="10"/>
      <c r="BIS56" s="10"/>
      <c r="BIT56" s="10"/>
      <c r="BIU56" s="10"/>
      <c r="BIV56" s="10"/>
      <c r="BIW56" s="10"/>
      <c r="BIX56" s="10"/>
      <c r="BIY56" s="10"/>
      <c r="BIZ56" s="10"/>
      <c r="BJA56" s="10"/>
      <c r="BJB56" s="10"/>
      <c r="BJC56" s="10"/>
      <c r="BJD56" s="10"/>
      <c r="BJE56" s="10"/>
      <c r="BJF56" s="10"/>
      <c r="BJG56" s="10"/>
      <c r="BJH56" s="10"/>
      <c r="BJI56" s="10"/>
      <c r="BJJ56" s="10"/>
      <c r="BJK56" s="10"/>
      <c r="BJL56" s="10"/>
      <c r="BJM56" s="10"/>
      <c r="BJN56" s="10"/>
      <c r="BJO56" s="10"/>
      <c r="BJP56" s="10"/>
      <c r="BJQ56" s="10"/>
      <c r="BJR56" s="10"/>
      <c r="BJS56" s="10"/>
      <c r="BJT56" s="10"/>
      <c r="BJU56" s="10"/>
      <c r="BJV56" s="10"/>
      <c r="BJW56" s="10"/>
      <c r="BJX56" s="10"/>
      <c r="BJY56" s="10"/>
      <c r="BJZ56" s="10"/>
      <c r="BKA56" s="10"/>
      <c r="BKB56" s="10"/>
      <c r="BKC56" s="10"/>
      <c r="BKD56" s="10"/>
      <c r="BKE56" s="10"/>
      <c r="BKF56" s="10"/>
      <c r="BKG56" s="10"/>
      <c r="BKH56" s="10"/>
      <c r="BKI56" s="10"/>
      <c r="BKJ56" s="10"/>
      <c r="BKK56" s="10"/>
      <c r="BKL56" s="10"/>
      <c r="BKM56" s="10"/>
      <c r="BKN56" s="10"/>
      <c r="BKO56" s="10"/>
      <c r="BKP56" s="10"/>
      <c r="BKQ56" s="10"/>
      <c r="BKR56" s="10"/>
      <c r="BKS56" s="10"/>
      <c r="BKT56" s="10"/>
      <c r="BKU56" s="10"/>
      <c r="BKV56" s="10"/>
      <c r="BKW56" s="10"/>
      <c r="BKX56" s="10"/>
      <c r="BKY56" s="10"/>
      <c r="BKZ56" s="10"/>
      <c r="BLA56" s="10"/>
      <c r="BLB56" s="10"/>
      <c r="BLC56" s="10"/>
      <c r="BLD56" s="10"/>
      <c r="BLE56" s="10"/>
      <c r="BLF56" s="10"/>
      <c r="BLG56" s="10"/>
      <c r="BLH56" s="10"/>
      <c r="BLI56" s="10"/>
      <c r="BLJ56" s="10"/>
      <c r="BLK56" s="10"/>
      <c r="BLL56" s="10"/>
      <c r="BLM56" s="10"/>
      <c r="BLN56" s="10"/>
      <c r="BLO56" s="10"/>
      <c r="BLP56" s="10"/>
      <c r="BLQ56" s="10"/>
      <c r="BLR56" s="10"/>
      <c r="BLS56" s="10"/>
      <c r="BLT56" s="10"/>
      <c r="BLU56" s="10"/>
      <c r="BLV56" s="10"/>
      <c r="BLW56" s="10"/>
      <c r="BLX56" s="10"/>
      <c r="BLY56" s="10"/>
      <c r="BLZ56" s="10"/>
      <c r="BMA56" s="10"/>
      <c r="BMB56" s="10"/>
      <c r="BMC56" s="10"/>
      <c r="BMD56" s="10"/>
      <c r="BME56" s="10"/>
      <c r="BMF56" s="10"/>
      <c r="BMG56" s="10"/>
      <c r="BMH56" s="10"/>
      <c r="BMI56" s="10"/>
      <c r="BMJ56" s="10"/>
      <c r="BMK56" s="10"/>
      <c r="BML56" s="10"/>
      <c r="BMM56" s="10"/>
      <c r="BMN56" s="10"/>
      <c r="BMO56" s="10"/>
      <c r="BMP56" s="10"/>
      <c r="BMQ56" s="10"/>
      <c r="BMR56" s="10"/>
      <c r="BMS56" s="10"/>
      <c r="BMT56" s="10"/>
      <c r="BMU56" s="10"/>
      <c r="BMV56" s="10"/>
      <c r="BMW56" s="10"/>
      <c r="BMX56" s="10"/>
      <c r="BMY56" s="10"/>
      <c r="BMZ56" s="10"/>
      <c r="BNA56" s="10"/>
      <c r="BNB56" s="10"/>
      <c r="BNC56" s="10"/>
      <c r="BND56" s="10"/>
      <c r="BNE56" s="10"/>
      <c r="BNF56" s="10"/>
      <c r="BNG56" s="10"/>
      <c r="BNH56" s="10"/>
      <c r="BNI56" s="10"/>
      <c r="BNJ56" s="10"/>
      <c r="BNK56" s="10"/>
      <c r="BNL56" s="10"/>
      <c r="BNM56" s="10"/>
      <c r="BNN56" s="10"/>
      <c r="BNO56" s="10"/>
      <c r="BNP56" s="10"/>
      <c r="BNQ56" s="10"/>
      <c r="BNR56" s="10"/>
      <c r="BNS56" s="10"/>
      <c r="BNT56" s="10"/>
      <c r="BNU56" s="10"/>
      <c r="BNV56" s="10"/>
      <c r="BNW56" s="10"/>
      <c r="BNX56" s="10"/>
      <c r="BNY56" s="10"/>
      <c r="BNZ56" s="10"/>
      <c r="BOA56" s="10"/>
      <c r="BOB56" s="10"/>
      <c r="BOC56" s="10"/>
      <c r="BOD56" s="10"/>
      <c r="BOE56" s="10"/>
      <c r="BOF56" s="10"/>
      <c r="BOG56" s="10"/>
      <c r="BOH56" s="10"/>
      <c r="BOI56" s="10"/>
      <c r="BOJ56" s="10"/>
      <c r="BOK56" s="10"/>
      <c r="BOL56" s="10"/>
      <c r="BOM56" s="10"/>
      <c r="BON56" s="10"/>
      <c r="BOO56" s="10"/>
      <c r="BOP56" s="10"/>
      <c r="BOQ56" s="10"/>
      <c r="BOR56" s="10"/>
      <c r="BOS56" s="10"/>
      <c r="BOT56" s="10"/>
      <c r="BOU56" s="10"/>
      <c r="BOV56" s="10"/>
      <c r="BOW56" s="10"/>
      <c r="BOX56" s="10"/>
      <c r="BOY56" s="10"/>
      <c r="BOZ56" s="10"/>
      <c r="BPA56" s="10"/>
      <c r="BPB56" s="10"/>
      <c r="BPC56" s="10"/>
      <c r="BPD56" s="10"/>
      <c r="BPE56" s="10"/>
      <c r="BPF56" s="10"/>
      <c r="BPG56" s="10"/>
      <c r="BPH56" s="10"/>
      <c r="BPI56" s="10"/>
      <c r="BPJ56" s="10"/>
      <c r="BPK56" s="10"/>
      <c r="BPL56" s="10"/>
      <c r="BPM56" s="10"/>
      <c r="BPN56" s="10"/>
      <c r="BPO56" s="10"/>
      <c r="BPP56" s="10"/>
      <c r="BPQ56" s="10"/>
      <c r="BPR56" s="10"/>
      <c r="BPS56" s="10"/>
      <c r="BPT56" s="10"/>
      <c r="BPU56" s="10"/>
      <c r="BPV56" s="10"/>
      <c r="BPW56" s="10"/>
      <c r="BPX56" s="10"/>
      <c r="BPY56" s="10"/>
      <c r="BPZ56" s="10"/>
      <c r="BQA56" s="10"/>
      <c r="BQB56" s="10"/>
      <c r="BQC56" s="10"/>
      <c r="BQD56" s="10"/>
      <c r="BQE56" s="10"/>
      <c r="BQF56" s="10"/>
      <c r="BQG56" s="10"/>
      <c r="BQH56" s="10"/>
      <c r="BQI56" s="10"/>
      <c r="BQJ56" s="10"/>
      <c r="BQK56" s="10"/>
      <c r="BQL56" s="10"/>
      <c r="BQM56" s="10"/>
      <c r="BQN56" s="10"/>
      <c r="BQO56" s="10"/>
      <c r="BQP56" s="10"/>
      <c r="BQQ56" s="10"/>
      <c r="BQR56" s="10"/>
      <c r="BQS56" s="10"/>
      <c r="BQT56" s="10"/>
      <c r="BQU56" s="10"/>
      <c r="BQV56" s="10"/>
      <c r="BQW56" s="10"/>
      <c r="BQX56" s="10"/>
      <c r="BQY56" s="10"/>
      <c r="BQZ56" s="10"/>
      <c r="BRA56" s="10"/>
      <c r="BRB56" s="10"/>
      <c r="BRC56" s="10"/>
      <c r="BRD56" s="10"/>
      <c r="BRE56" s="10"/>
      <c r="BRF56" s="10"/>
      <c r="BRG56" s="10"/>
      <c r="BRH56" s="10"/>
      <c r="BRI56" s="10"/>
      <c r="BRJ56" s="10"/>
      <c r="BRK56" s="10"/>
      <c r="BRL56" s="10"/>
      <c r="BRM56" s="10"/>
      <c r="BRN56" s="10"/>
      <c r="BRO56" s="10"/>
      <c r="BRP56" s="10"/>
      <c r="BRQ56" s="10"/>
      <c r="BRR56" s="10"/>
      <c r="BRS56" s="10"/>
      <c r="BRT56" s="10"/>
      <c r="BRU56" s="10"/>
      <c r="BRV56" s="10"/>
      <c r="BRW56" s="10"/>
      <c r="BRX56" s="10"/>
      <c r="BRY56" s="10"/>
      <c r="BRZ56" s="10"/>
      <c r="BSA56" s="10"/>
      <c r="BSB56" s="10"/>
      <c r="BSC56" s="10"/>
      <c r="BSD56" s="10"/>
      <c r="BSE56" s="10"/>
      <c r="BSF56" s="10"/>
      <c r="BSG56" s="10"/>
      <c r="BSH56" s="10"/>
      <c r="BSI56" s="10"/>
      <c r="BSJ56" s="10"/>
      <c r="BSK56" s="10"/>
      <c r="BSL56" s="10"/>
      <c r="BSM56" s="10"/>
      <c r="BSN56" s="10"/>
      <c r="BSO56" s="10"/>
      <c r="BSP56" s="10"/>
      <c r="BSQ56" s="10"/>
      <c r="BSR56" s="10"/>
      <c r="BSS56" s="10"/>
      <c r="BST56" s="10"/>
      <c r="BSU56" s="10"/>
      <c r="BSV56" s="10"/>
      <c r="BSW56" s="10"/>
      <c r="BSX56" s="10"/>
      <c r="BSY56" s="10"/>
      <c r="BSZ56" s="10"/>
      <c r="BTA56" s="10"/>
      <c r="BTB56" s="10"/>
      <c r="BTC56" s="10"/>
      <c r="BTD56" s="10"/>
      <c r="BTE56" s="10"/>
      <c r="BTF56" s="10"/>
      <c r="BTG56" s="10"/>
      <c r="BTH56" s="10"/>
      <c r="BTI56" s="10"/>
      <c r="BTJ56" s="10"/>
      <c r="BTK56" s="10"/>
      <c r="BTL56" s="10"/>
      <c r="BTM56" s="10"/>
      <c r="BTN56" s="10"/>
      <c r="BTO56" s="10"/>
      <c r="BTP56" s="10"/>
      <c r="BTQ56" s="10"/>
      <c r="BTR56" s="10"/>
      <c r="BTS56" s="10"/>
      <c r="BTT56" s="10"/>
      <c r="BTU56" s="10"/>
      <c r="BTV56" s="10"/>
      <c r="BTW56" s="10"/>
      <c r="BTX56" s="10"/>
      <c r="BTY56" s="10"/>
      <c r="BTZ56" s="10"/>
      <c r="BUA56" s="10"/>
      <c r="BUB56" s="10"/>
      <c r="BUC56" s="10"/>
      <c r="BUD56" s="10"/>
      <c r="BUE56" s="10"/>
      <c r="BUF56" s="10"/>
      <c r="BUG56" s="10"/>
      <c r="BUH56" s="10"/>
      <c r="BUI56" s="10"/>
      <c r="BUJ56" s="10"/>
      <c r="BUK56" s="10"/>
      <c r="BUL56" s="10"/>
      <c r="BUM56" s="10"/>
      <c r="BUN56" s="10"/>
      <c r="BUO56" s="10"/>
      <c r="BUP56" s="10"/>
      <c r="BUQ56" s="10"/>
      <c r="BUR56" s="10"/>
      <c r="BUS56" s="10"/>
      <c r="BUT56" s="10"/>
      <c r="BUU56" s="10"/>
      <c r="BUV56" s="10"/>
      <c r="BUW56" s="10"/>
      <c r="BUX56" s="10"/>
      <c r="BUY56" s="10"/>
      <c r="BUZ56" s="10"/>
      <c r="BVA56" s="10"/>
      <c r="BVB56" s="10"/>
      <c r="BVC56" s="10"/>
      <c r="BVD56" s="10"/>
      <c r="BVE56" s="10"/>
      <c r="BVF56" s="10"/>
      <c r="BVG56" s="10"/>
      <c r="BVH56" s="10"/>
      <c r="BVI56" s="10"/>
      <c r="BVJ56" s="10"/>
      <c r="BVK56" s="10"/>
      <c r="BVL56" s="10"/>
      <c r="BVM56" s="10"/>
      <c r="BVN56" s="10"/>
      <c r="BVO56" s="10"/>
      <c r="BVP56" s="10"/>
      <c r="BVQ56" s="10"/>
      <c r="BVR56" s="10"/>
      <c r="BVS56" s="10"/>
      <c r="BVT56" s="10"/>
      <c r="BVU56" s="10"/>
      <c r="BVV56" s="10"/>
      <c r="BVW56" s="10"/>
      <c r="BVX56" s="10"/>
      <c r="BVY56" s="10"/>
      <c r="BVZ56" s="10"/>
      <c r="BWA56" s="10"/>
      <c r="BWB56" s="10"/>
      <c r="BWC56" s="10"/>
      <c r="BWD56" s="10"/>
      <c r="BWE56" s="10"/>
      <c r="BWF56" s="10"/>
      <c r="BWG56" s="10"/>
      <c r="BWH56" s="10"/>
      <c r="BWI56" s="10"/>
      <c r="BWJ56" s="10"/>
      <c r="BWK56" s="10"/>
      <c r="BWL56" s="10"/>
      <c r="BWM56" s="10"/>
      <c r="BWN56" s="10"/>
      <c r="BWO56" s="10"/>
      <c r="BWP56" s="10"/>
      <c r="BWQ56" s="10"/>
      <c r="BWR56" s="10"/>
      <c r="BWS56" s="10"/>
      <c r="BWT56" s="10"/>
      <c r="BWU56" s="10"/>
      <c r="BWV56" s="10"/>
      <c r="BWW56" s="10"/>
      <c r="BWX56" s="10"/>
      <c r="BWY56" s="10"/>
      <c r="BWZ56" s="10"/>
      <c r="BXA56" s="10"/>
      <c r="BXB56" s="10"/>
      <c r="BXC56" s="10"/>
      <c r="BXD56" s="10"/>
      <c r="BXE56" s="10"/>
      <c r="BXF56" s="10"/>
      <c r="BXG56" s="10"/>
      <c r="BXH56" s="10"/>
      <c r="BXI56" s="10"/>
      <c r="BXJ56" s="10"/>
      <c r="BXK56" s="10"/>
      <c r="BXL56" s="10"/>
      <c r="BXM56" s="10"/>
      <c r="BXN56" s="10"/>
      <c r="BXO56" s="10"/>
      <c r="BXP56" s="10"/>
      <c r="BXQ56" s="10"/>
      <c r="BXR56" s="10"/>
      <c r="BXS56" s="10"/>
      <c r="BXT56" s="10"/>
      <c r="BXU56" s="10"/>
      <c r="BXV56" s="10"/>
      <c r="BXW56" s="10"/>
      <c r="BXX56" s="10"/>
      <c r="BXY56" s="10"/>
      <c r="BXZ56" s="10"/>
      <c r="BYA56" s="10"/>
      <c r="BYB56" s="10"/>
      <c r="BYC56" s="10"/>
      <c r="BYD56" s="10"/>
      <c r="BYE56" s="10"/>
      <c r="BYF56" s="10"/>
      <c r="BYG56" s="10"/>
      <c r="BYH56" s="10"/>
      <c r="BYI56" s="10"/>
      <c r="BYJ56" s="10"/>
      <c r="BYK56" s="10"/>
      <c r="BYL56" s="10"/>
      <c r="BYM56" s="10"/>
      <c r="BYN56" s="10"/>
      <c r="BYO56" s="10"/>
      <c r="BYP56" s="10"/>
      <c r="BYQ56" s="10"/>
      <c r="BYR56" s="10"/>
      <c r="BYS56" s="10"/>
      <c r="BYT56" s="10"/>
      <c r="BYU56" s="10"/>
      <c r="BYV56" s="10"/>
      <c r="BYW56" s="10"/>
      <c r="BYX56" s="10"/>
      <c r="BYY56" s="10"/>
      <c r="BYZ56" s="10"/>
      <c r="BZA56" s="10"/>
      <c r="BZB56" s="10"/>
      <c r="BZC56" s="10"/>
      <c r="BZD56" s="10"/>
      <c r="BZE56" s="10"/>
      <c r="BZF56" s="10"/>
      <c r="BZG56" s="10"/>
      <c r="BZH56" s="10"/>
      <c r="BZI56" s="10"/>
      <c r="BZJ56" s="10"/>
      <c r="BZK56" s="10"/>
      <c r="BZL56" s="10"/>
      <c r="BZM56" s="10"/>
      <c r="BZN56" s="10"/>
      <c r="BZO56" s="10"/>
      <c r="BZP56" s="10"/>
      <c r="BZQ56" s="10"/>
      <c r="BZR56" s="10"/>
      <c r="BZS56" s="10"/>
      <c r="BZT56" s="10"/>
      <c r="BZU56" s="10"/>
      <c r="BZV56" s="10"/>
      <c r="BZW56" s="10"/>
      <c r="BZX56" s="10"/>
      <c r="BZY56" s="10"/>
      <c r="BZZ56" s="10"/>
      <c r="CAA56" s="10"/>
      <c r="CAB56" s="10"/>
      <c r="CAC56" s="10"/>
      <c r="CAD56" s="10"/>
      <c r="CAE56" s="10"/>
      <c r="CAF56" s="10"/>
      <c r="CAG56" s="10"/>
      <c r="CAH56" s="10"/>
      <c r="CAI56" s="10"/>
      <c r="CAJ56" s="10"/>
      <c r="CAK56" s="10"/>
      <c r="CAL56" s="10"/>
      <c r="CAM56" s="10"/>
      <c r="CAN56" s="10"/>
      <c r="CAO56" s="10"/>
      <c r="CAP56" s="10"/>
      <c r="CAQ56" s="10"/>
      <c r="CAR56" s="10"/>
      <c r="CAS56" s="10"/>
      <c r="CAT56" s="10"/>
      <c r="CAU56" s="10"/>
      <c r="CAV56" s="10"/>
      <c r="CAW56" s="10"/>
      <c r="CAX56" s="10"/>
      <c r="CAY56" s="10"/>
      <c r="CAZ56" s="10"/>
      <c r="CBA56" s="10"/>
      <c r="CBB56" s="10"/>
      <c r="CBC56" s="10"/>
      <c r="CBD56" s="10"/>
      <c r="CBE56" s="10"/>
      <c r="CBF56" s="10"/>
      <c r="CBG56" s="10"/>
      <c r="CBH56" s="10"/>
      <c r="CBI56" s="10"/>
      <c r="CBJ56" s="10"/>
      <c r="CBK56" s="10"/>
      <c r="CBL56" s="10"/>
      <c r="CBM56" s="10"/>
      <c r="CBN56" s="10"/>
      <c r="CBO56" s="10"/>
      <c r="CBP56" s="10"/>
      <c r="CBQ56" s="10"/>
      <c r="CBR56" s="10"/>
      <c r="CBS56" s="10"/>
      <c r="CBT56" s="10"/>
      <c r="CBU56" s="10"/>
      <c r="CBV56" s="10"/>
      <c r="CBW56" s="10"/>
      <c r="CBX56" s="10"/>
      <c r="CBY56" s="10"/>
      <c r="CBZ56" s="10"/>
      <c r="CCA56" s="10"/>
      <c r="CCB56" s="10"/>
      <c r="CCC56" s="10"/>
      <c r="CCD56" s="10"/>
      <c r="CCE56" s="10"/>
      <c r="CCF56" s="10"/>
      <c r="CCG56" s="10"/>
      <c r="CCH56" s="10"/>
      <c r="CCI56" s="10"/>
      <c r="CCJ56" s="10"/>
      <c r="CCK56" s="10"/>
      <c r="CCL56" s="10"/>
      <c r="CCM56" s="10"/>
      <c r="CCN56" s="10"/>
      <c r="CCO56" s="10"/>
      <c r="CCP56" s="10"/>
      <c r="CCQ56" s="10"/>
      <c r="CCR56" s="10"/>
      <c r="CCS56" s="10"/>
      <c r="CCT56" s="10"/>
      <c r="CCU56" s="10"/>
      <c r="CCV56" s="10"/>
      <c r="CCW56" s="10"/>
      <c r="CCX56" s="10"/>
      <c r="CCY56" s="10"/>
      <c r="CCZ56" s="10"/>
      <c r="CDA56" s="10"/>
      <c r="CDB56" s="10"/>
      <c r="CDC56" s="10"/>
      <c r="CDD56" s="10"/>
      <c r="CDE56" s="10"/>
      <c r="CDF56" s="10"/>
      <c r="CDG56" s="10"/>
      <c r="CDH56" s="10"/>
      <c r="CDI56" s="10"/>
      <c r="CDJ56" s="10"/>
      <c r="CDK56" s="10"/>
      <c r="CDL56" s="10"/>
      <c r="CDM56" s="10"/>
      <c r="CDN56" s="10"/>
      <c r="CDO56" s="10"/>
      <c r="CDP56" s="10"/>
      <c r="CDQ56" s="10"/>
      <c r="CDR56" s="10"/>
      <c r="CDS56" s="10"/>
      <c r="CDT56" s="10"/>
      <c r="CDU56" s="10"/>
      <c r="CDV56" s="10"/>
      <c r="CDW56" s="10"/>
      <c r="CDX56" s="10"/>
      <c r="CDY56" s="10"/>
      <c r="CDZ56" s="10"/>
      <c r="CEA56" s="10"/>
      <c r="CEB56" s="10"/>
      <c r="CEC56" s="10"/>
      <c r="CED56" s="10"/>
      <c r="CEE56" s="10"/>
      <c r="CEF56" s="10"/>
      <c r="CEG56" s="10"/>
      <c r="CEH56" s="10"/>
      <c r="CEI56" s="10"/>
      <c r="CEJ56" s="10"/>
      <c r="CEK56" s="10"/>
      <c r="CEL56" s="10"/>
      <c r="CEM56" s="10"/>
      <c r="CEN56" s="10"/>
      <c r="CEO56" s="10"/>
      <c r="CEP56" s="10"/>
      <c r="CEQ56" s="10"/>
      <c r="CER56" s="10"/>
      <c r="CES56" s="10"/>
      <c r="CET56" s="10"/>
      <c r="CEU56" s="10"/>
      <c r="CEV56" s="10"/>
      <c r="CEW56" s="10"/>
      <c r="CEX56" s="10"/>
      <c r="CEY56" s="10"/>
      <c r="CEZ56" s="10"/>
      <c r="CFA56" s="10"/>
      <c r="CFB56" s="10"/>
      <c r="CFC56" s="10"/>
      <c r="CFD56" s="10"/>
      <c r="CFE56" s="10"/>
      <c r="CFF56" s="10"/>
      <c r="CFG56" s="10"/>
      <c r="CFH56" s="10"/>
      <c r="CFI56" s="10"/>
      <c r="CFJ56" s="10"/>
      <c r="CFK56" s="10"/>
      <c r="CFL56" s="10"/>
      <c r="CFM56" s="10"/>
      <c r="CFN56" s="10"/>
      <c r="CFO56" s="10"/>
      <c r="CFP56" s="10"/>
      <c r="CFQ56" s="10"/>
      <c r="CFR56" s="10"/>
      <c r="CFS56" s="10"/>
      <c r="CFT56" s="10"/>
      <c r="CFU56" s="10"/>
      <c r="CFV56" s="10"/>
      <c r="CFW56" s="10"/>
      <c r="CFX56" s="10"/>
      <c r="CFY56" s="10"/>
      <c r="CFZ56" s="10"/>
      <c r="CGA56" s="10"/>
      <c r="CGB56" s="10"/>
      <c r="CGC56" s="10"/>
      <c r="CGD56" s="10"/>
      <c r="CGE56" s="10"/>
      <c r="CGF56" s="10"/>
      <c r="CGG56" s="10"/>
      <c r="CGH56" s="10"/>
      <c r="CGI56" s="10"/>
      <c r="CGJ56" s="10"/>
      <c r="CGK56" s="10"/>
      <c r="CGL56" s="10"/>
      <c r="CGM56" s="10"/>
      <c r="CGN56" s="10"/>
      <c r="CGO56" s="10"/>
      <c r="CGP56" s="10"/>
      <c r="CGQ56" s="10"/>
      <c r="CGR56" s="10"/>
      <c r="CGS56" s="10"/>
      <c r="CGT56" s="10"/>
      <c r="CGU56" s="10"/>
      <c r="CGV56" s="10"/>
      <c r="CGW56" s="10"/>
      <c r="CGX56" s="10"/>
      <c r="CGY56" s="10"/>
      <c r="CGZ56" s="10"/>
      <c r="CHA56" s="10"/>
      <c r="CHB56" s="10"/>
      <c r="CHC56" s="10"/>
      <c r="CHD56" s="10"/>
      <c r="CHE56" s="10"/>
      <c r="CHF56" s="10"/>
      <c r="CHG56" s="10"/>
      <c r="CHH56" s="10"/>
      <c r="CHI56" s="10"/>
      <c r="CHJ56" s="10"/>
      <c r="CHK56" s="10"/>
      <c r="CHL56" s="10"/>
      <c r="CHM56" s="10"/>
      <c r="CHN56" s="10"/>
      <c r="CHO56" s="10"/>
      <c r="CHP56" s="10"/>
      <c r="CHQ56" s="10"/>
      <c r="CHR56" s="10"/>
      <c r="CHS56" s="10"/>
      <c r="CHT56" s="10"/>
      <c r="CHU56" s="10"/>
      <c r="CHV56" s="10"/>
      <c r="CHW56" s="10"/>
      <c r="CHX56" s="10"/>
      <c r="CHY56" s="10"/>
      <c r="CHZ56" s="10"/>
      <c r="CIA56" s="10"/>
      <c r="CIB56" s="10"/>
      <c r="CIC56" s="10"/>
      <c r="CID56" s="10"/>
      <c r="CIE56" s="10"/>
      <c r="CIF56" s="10"/>
      <c r="CIG56" s="10"/>
      <c r="CIH56" s="10"/>
      <c r="CII56" s="10"/>
      <c r="CIJ56" s="10"/>
      <c r="CIK56" s="10"/>
      <c r="CIL56" s="10"/>
      <c r="CIM56" s="10"/>
      <c r="CIN56" s="10"/>
      <c r="CIO56" s="10"/>
      <c r="CIP56" s="10"/>
      <c r="CIQ56" s="10"/>
      <c r="CIR56" s="10"/>
      <c r="CIS56" s="10"/>
      <c r="CIT56" s="10"/>
      <c r="CIU56" s="10"/>
      <c r="CIV56" s="10"/>
      <c r="CIW56" s="10"/>
      <c r="CIX56" s="10"/>
      <c r="CIY56" s="10"/>
      <c r="CIZ56" s="10"/>
      <c r="CJA56" s="10"/>
      <c r="CJB56" s="10"/>
      <c r="CJC56" s="10"/>
      <c r="CJD56" s="10"/>
      <c r="CJE56" s="10"/>
      <c r="CJF56" s="10"/>
      <c r="CJG56" s="10"/>
      <c r="CJH56" s="10"/>
      <c r="CJI56" s="10"/>
      <c r="CJJ56" s="10"/>
      <c r="CJK56" s="10"/>
      <c r="CJL56" s="10"/>
      <c r="CJM56" s="10"/>
      <c r="CJN56" s="10"/>
      <c r="CJO56" s="10"/>
      <c r="CJP56" s="10"/>
      <c r="CJQ56" s="10"/>
      <c r="CJR56" s="10"/>
      <c r="CJS56" s="10"/>
      <c r="CJT56" s="10"/>
      <c r="CJU56" s="10"/>
      <c r="CJV56" s="10"/>
      <c r="CJW56" s="10"/>
      <c r="CJX56" s="10"/>
      <c r="CJY56" s="10"/>
      <c r="CJZ56" s="10"/>
      <c r="CKA56" s="10"/>
      <c r="CKB56" s="10"/>
      <c r="CKC56" s="10"/>
      <c r="CKD56" s="10"/>
      <c r="CKE56" s="10"/>
      <c r="CKF56" s="10"/>
      <c r="CKG56" s="10"/>
      <c r="CKH56" s="10"/>
      <c r="CKI56" s="10"/>
      <c r="CKJ56" s="10"/>
      <c r="CKK56" s="10"/>
      <c r="CKL56" s="10"/>
      <c r="CKM56" s="10"/>
      <c r="CKN56" s="10"/>
      <c r="CKO56" s="10"/>
      <c r="CKP56" s="10"/>
      <c r="CKQ56" s="10"/>
      <c r="CKR56" s="10"/>
      <c r="CKS56" s="10"/>
      <c r="CKT56" s="10"/>
      <c r="CKU56" s="10"/>
      <c r="CKV56" s="10"/>
      <c r="CKW56" s="10"/>
      <c r="CKX56" s="10"/>
      <c r="CKY56" s="10"/>
      <c r="CKZ56" s="10"/>
      <c r="CLA56" s="10"/>
      <c r="CLB56" s="10"/>
      <c r="CLC56" s="10"/>
      <c r="CLD56" s="10"/>
      <c r="CLE56" s="10"/>
      <c r="CLF56" s="10"/>
      <c r="CLG56" s="10"/>
      <c r="CLH56" s="10"/>
      <c r="CLI56" s="10"/>
      <c r="CLJ56" s="10"/>
      <c r="CLK56" s="10"/>
      <c r="CLL56" s="10"/>
      <c r="CLM56" s="10"/>
      <c r="CLN56" s="10"/>
      <c r="CLO56" s="10"/>
      <c r="CLP56" s="10"/>
      <c r="CLQ56" s="10"/>
      <c r="CLR56" s="10"/>
      <c r="CLS56" s="10"/>
      <c r="CLT56" s="10"/>
      <c r="CLU56" s="10"/>
      <c r="CLV56" s="10"/>
      <c r="CLW56" s="10"/>
      <c r="CLX56" s="10"/>
      <c r="CLY56" s="10"/>
      <c r="CLZ56" s="10"/>
      <c r="CMA56" s="10"/>
      <c r="CMB56" s="10"/>
      <c r="CMC56" s="10"/>
      <c r="CMD56" s="10"/>
      <c r="CME56" s="10"/>
      <c r="CMF56" s="10"/>
      <c r="CMG56" s="10"/>
      <c r="CMH56" s="10"/>
      <c r="CMI56" s="10"/>
      <c r="CMJ56" s="10"/>
      <c r="CMK56" s="10"/>
      <c r="CML56" s="10"/>
      <c r="CMM56" s="10"/>
      <c r="CMN56" s="10"/>
      <c r="CMO56" s="10"/>
      <c r="CMP56" s="10"/>
      <c r="CMQ56" s="10"/>
      <c r="CMR56" s="10"/>
      <c r="CMS56" s="10"/>
      <c r="CMT56" s="10"/>
      <c r="CMU56" s="10"/>
      <c r="CMV56" s="10"/>
      <c r="CMW56" s="10"/>
      <c r="CMX56" s="10"/>
      <c r="CMY56" s="10"/>
      <c r="CMZ56" s="10"/>
      <c r="CNA56" s="10"/>
      <c r="CNB56" s="10"/>
      <c r="CNC56" s="10"/>
      <c r="CND56" s="10"/>
      <c r="CNE56" s="10"/>
      <c r="CNF56" s="10"/>
      <c r="CNG56" s="10"/>
      <c r="CNH56" s="10"/>
      <c r="CNI56" s="10"/>
      <c r="CNJ56" s="10"/>
      <c r="CNK56" s="10"/>
      <c r="CNL56" s="10"/>
      <c r="CNM56" s="10"/>
      <c r="CNN56" s="10"/>
      <c r="CNO56" s="10"/>
      <c r="CNP56" s="10"/>
      <c r="CNQ56" s="10"/>
      <c r="CNR56" s="10"/>
      <c r="CNS56" s="10"/>
      <c r="CNT56" s="10"/>
      <c r="CNU56" s="10"/>
      <c r="CNV56" s="10"/>
      <c r="CNW56" s="10"/>
      <c r="CNX56" s="10"/>
      <c r="CNY56" s="10"/>
      <c r="CNZ56" s="10"/>
      <c r="COA56" s="10"/>
      <c r="COB56" s="10"/>
      <c r="COC56" s="10"/>
      <c r="COD56" s="10"/>
      <c r="COE56" s="10"/>
      <c r="COF56" s="10"/>
      <c r="COG56" s="10"/>
      <c r="COH56" s="10"/>
      <c r="COI56" s="10"/>
      <c r="COJ56" s="10"/>
      <c r="COK56" s="10"/>
      <c r="COL56" s="10"/>
      <c r="COM56" s="10"/>
      <c r="CON56" s="10"/>
      <c r="COO56" s="10"/>
      <c r="COP56" s="10"/>
      <c r="COQ56" s="10"/>
      <c r="COR56" s="10"/>
      <c r="COS56" s="10"/>
      <c r="COT56" s="10"/>
      <c r="COU56" s="10"/>
      <c r="COV56" s="10"/>
      <c r="COW56" s="10"/>
      <c r="COX56" s="10"/>
      <c r="COY56" s="10"/>
      <c r="COZ56" s="10"/>
      <c r="CPA56" s="10"/>
      <c r="CPB56" s="10"/>
      <c r="CPC56" s="10"/>
      <c r="CPD56" s="10"/>
      <c r="CPE56" s="10"/>
      <c r="CPF56" s="10"/>
      <c r="CPG56" s="10"/>
      <c r="CPH56" s="10"/>
      <c r="CPI56" s="10"/>
      <c r="CPJ56" s="10"/>
      <c r="CPK56" s="10"/>
      <c r="CPL56" s="10"/>
      <c r="CPM56" s="10"/>
      <c r="CPN56" s="10"/>
      <c r="CPO56" s="10"/>
      <c r="CPP56" s="10"/>
      <c r="CPQ56" s="10"/>
      <c r="CPR56" s="10"/>
      <c r="CPS56" s="10"/>
      <c r="CPT56" s="10"/>
      <c r="CPU56" s="10"/>
      <c r="CPV56" s="10"/>
      <c r="CPW56" s="10"/>
      <c r="CPX56" s="10"/>
      <c r="CPY56" s="10"/>
      <c r="CPZ56" s="10"/>
      <c r="CQA56" s="10"/>
      <c r="CQB56" s="10"/>
      <c r="CQC56" s="10"/>
      <c r="CQD56" s="10"/>
      <c r="CQE56" s="10"/>
      <c r="CQF56" s="10"/>
      <c r="CQG56" s="10"/>
      <c r="CQH56" s="10"/>
      <c r="CQI56" s="10"/>
      <c r="CQJ56" s="10"/>
      <c r="CQK56" s="10"/>
      <c r="CQL56" s="10"/>
      <c r="CQM56" s="10"/>
      <c r="CQN56" s="10"/>
      <c r="CQO56" s="10"/>
      <c r="CQP56" s="10"/>
      <c r="CQQ56" s="10"/>
      <c r="CQR56" s="10"/>
      <c r="CQS56" s="10"/>
      <c r="CQT56" s="10"/>
      <c r="CQU56" s="10"/>
      <c r="CQV56" s="10"/>
      <c r="CQW56" s="10"/>
      <c r="CQX56" s="10"/>
      <c r="CQY56" s="10"/>
      <c r="CQZ56" s="10"/>
      <c r="CRA56" s="10"/>
      <c r="CRB56" s="10"/>
      <c r="CRC56" s="10"/>
      <c r="CRD56" s="10"/>
      <c r="CRE56" s="10"/>
      <c r="CRF56" s="10"/>
      <c r="CRG56" s="10"/>
      <c r="CRH56" s="10"/>
      <c r="CRI56" s="10"/>
      <c r="CRJ56" s="10"/>
      <c r="CRK56" s="10"/>
      <c r="CRL56" s="10"/>
      <c r="CRM56" s="10"/>
      <c r="CRN56" s="10"/>
      <c r="CRO56" s="10"/>
      <c r="CRP56" s="10"/>
      <c r="CRQ56" s="10"/>
      <c r="CRR56" s="10"/>
      <c r="CRS56" s="10"/>
      <c r="CRT56" s="10"/>
      <c r="CRU56" s="10"/>
      <c r="CRV56" s="10"/>
      <c r="CRW56" s="10"/>
      <c r="CRX56" s="10"/>
      <c r="CRY56" s="10"/>
      <c r="CRZ56" s="10"/>
      <c r="CSA56" s="10"/>
      <c r="CSB56" s="10"/>
      <c r="CSC56" s="10"/>
      <c r="CSD56" s="10"/>
      <c r="CSE56" s="10"/>
      <c r="CSF56" s="10"/>
      <c r="CSG56" s="10"/>
      <c r="CSH56" s="10"/>
      <c r="CSI56" s="10"/>
      <c r="CSJ56" s="10"/>
      <c r="CSK56" s="10"/>
      <c r="CSL56" s="10"/>
      <c r="CSM56" s="10"/>
      <c r="CSN56" s="10"/>
      <c r="CSO56" s="10"/>
      <c r="CSP56" s="10"/>
      <c r="CSQ56" s="10"/>
      <c r="CSR56" s="10"/>
      <c r="CSS56" s="10"/>
      <c r="CST56" s="10"/>
      <c r="CSU56" s="10"/>
      <c r="CSV56" s="10"/>
      <c r="CSW56" s="10"/>
      <c r="CSX56" s="10"/>
      <c r="CSY56" s="10"/>
      <c r="CSZ56" s="10"/>
      <c r="CTA56" s="10"/>
      <c r="CTB56" s="10"/>
      <c r="CTC56" s="10"/>
      <c r="CTD56" s="10"/>
      <c r="CTE56" s="10"/>
      <c r="CTF56" s="10"/>
      <c r="CTG56" s="10"/>
      <c r="CTH56" s="10"/>
      <c r="CTI56" s="10"/>
      <c r="CTJ56" s="10"/>
      <c r="CTK56" s="10"/>
      <c r="CTL56" s="10"/>
      <c r="CTM56" s="10"/>
      <c r="CTN56" s="10"/>
      <c r="CTO56" s="10"/>
      <c r="CTP56" s="10"/>
      <c r="CTQ56" s="10"/>
      <c r="CTR56" s="10"/>
      <c r="CTS56" s="10"/>
      <c r="CTT56" s="10"/>
      <c r="CTU56" s="10"/>
      <c r="CTV56" s="10"/>
      <c r="CTW56" s="10"/>
      <c r="CTX56" s="10"/>
      <c r="CTY56" s="10"/>
      <c r="CTZ56" s="10"/>
      <c r="CUA56" s="10"/>
      <c r="CUB56" s="10"/>
      <c r="CUC56" s="10"/>
      <c r="CUD56" s="10"/>
      <c r="CUE56" s="10"/>
      <c r="CUF56" s="10"/>
      <c r="CUG56" s="10"/>
      <c r="CUH56" s="10"/>
      <c r="CUI56" s="10"/>
      <c r="CUJ56" s="10"/>
      <c r="CUK56" s="10"/>
      <c r="CUL56" s="10"/>
      <c r="CUM56" s="10"/>
      <c r="CUN56" s="10"/>
      <c r="CUO56" s="10"/>
      <c r="CUP56" s="10"/>
      <c r="CUQ56" s="10"/>
      <c r="CUR56" s="10"/>
      <c r="CUS56" s="10"/>
      <c r="CUT56" s="10"/>
      <c r="CUU56" s="10"/>
      <c r="CUV56" s="10"/>
      <c r="CUW56" s="10"/>
      <c r="CUX56" s="10"/>
      <c r="CUY56" s="10"/>
      <c r="CUZ56" s="10"/>
      <c r="CVA56" s="10"/>
      <c r="CVB56" s="10"/>
      <c r="CVC56" s="10"/>
      <c r="CVD56" s="10"/>
      <c r="CVE56" s="10"/>
      <c r="CVF56" s="10"/>
      <c r="CVG56" s="10"/>
      <c r="CVH56" s="10"/>
      <c r="CVI56" s="10"/>
      <c r="CVJ56" s="10"/>
      <c r="CVK56" s="10"/>
      <c r="CVL56" s="10"/>
      <c r="CVM56" s="10"/>
      <c r="CVN56" s="10"/>
      <c r="CVO56" s="10"/>
      <c r="CVP56" s="10"/>
      <c r="CVQ56" s="10"/>
      <c r="CVR56" s="10"/>
      <c r="CVS56" s="10"/>
      <c r="CVT56" s="10"/>
      <c r="CVU56" s="10"/>
      <c r="CVV56" s="10"/>
      <c r="CVW56" s="10"/>
      <c r="CVX56" s="10"/>
      <c r="CVY56" s="10"/>
      <c r="CVZ56" s="10"/>
      <c r="CWA56" s="10"/>
      <c r="CWB56" s="10"/>
      <c r="CWC56" s="10"/>
      <c r="CWD56" s="10"/>
      <c r="CWE56" s="10"/>
      <c r="CWF56" s="10"/>
      <c r="CWG56" s="10"/>
      <c r="CWH56" s="10"/>
      <c r="CWI56" s="10"/>
      <c r="CWJ56" s="10"/>
      <c r="CWK56" s="10"/>
      <c r="CWL56" s="10"/>
      <c r="CWM56" s="10"/>
      <c r="CWN56" s="10"/>
      <c r="CWO56" s="10"/>
      <c r="CWP56" s="10"/>
      <c r="CWQ56" s="10"/>
      <c r="CWR56" s="10"/>
      <c r="CWS56" s="10"/>
      <c r="CWT56" s="10"/>
      <c r="CWU56" s="10"/>
      <c r="CWV56" s="10"/>
      <c r="CWW56" s="10"/>
      <c r="CWX56" s="10"/>
      <c r="CWY56" s="10"/>
      <c r="CWZ56" s="10"/>
      <c r="CXA56" s="10"/>
      <c r="CXB56" s="10"/>
      <c r="CXC56" s="10"/>
      <c r="CXD56" s="10"/>
      <c r="CXE56" s="10"/>
      <c r="CXF56" s="10"/>
      <c r="CXG56" s="10"/>
      <c r="CXH56" s="10"/>
      <c r="CXI56" s="10"/>
      <c r="CXJ56" s="10"/>
      <c r="CXK56" s="10"/>
      <c r="CXL56" s="10"/>
      <c r="CXM56" s="10"/>
      <c r="CXN56" s="10"/>
      <c r="CXO56" s="10"/>
      <c r="CXP56" s="10"/>
      <c r="CXQ56" s="10"/>
      <c r="CXR56" s="10"/>
      <c r="CXS56" s="10"/>
      <c r="CXT56" s="10"/>
      <c r="CXU56" s="10"/>
      <c r="CXV56" s="10"/>
      <c r="CXW56" s="10"/>
      <c r="CXX56" s="10"/>
      <c r="CXY56" s="10"/>
      <c r="CXZ56" s="10"/>
      <c r="CYA56" s="10"/>
      <c r="CYB56" s="10"/>
      <c r="CYC56" s="10"/>
      <c r="CYD56" s="10"/>
      <c r="CYE56" s="10"/>
      <c r="CYF56" s="10"/>
      <c r="CYG56" s="10"/>
      <c r="CYH56" s="10"/>
      <c r="CYI56" s="10"/>
      <c r="CYJ56" s="10"/>
      <c r="CYK56" s="10"/>
      <c r="CYL56" s="10"/>
      <c r="CYM56" s="10"/>
      <c r="CYN56" s="10"/>
      <c r="CYO56" s="10"/>
      <c r="CYP56" s="10"/>
      <c r="CYQ56" s="10"/>
      <c r="CYR56" s="10"/>
      <c r="CYS56" s="10"/>
      <c r="CYT56" s="10"/>
      <c r="CYU56" s="10"/>
      <c r="CYV56" s="10"/>
      <c r="CYW56" s="10"/>
      <c r="CYX56" s="10"/>
      <c r="CYY56" s="10"/>
      <c r="CYZ56" s="10"/>
      <c r="CZA56" s="10"/>
      <c r="CZB56" s="10"/>
      <c r="CZC56" s="10"/>
      <c r="CZD56" s="10"/>
      <c r="CZE56" s="10"/>
      <c r="CZF56" s="10"/>
      <c r="CZG56" s="10"/>
      <c r="CZH56" s="10"/>
      <c r="CZI56" s="10"/>
      <c r="CZJ56" s="10"/>
      <c r="CZK56" s="10"/>
      <c r="CZL56" s="10"/>
      <c r="CZM56" s="10"/>
      <c r="CZN56" s="10"/>
      <c r="CZO56" s="10"/>
      <c r="CZP56" s="10"/>
      <c r="CZQ56" s="10"/>
      <c r="CZR56" s="10"/>
      <c r="CZS56" s="10"/>
      <c r="CZT56" s="10"/>
      <c r="CZU56" s="10"/>
      <c r="CZV56" s="10"/>
      <c r="CZW56" s="10"/>
      <c r="CZX56" s="10"/>
      <c r="CZY56" s="10"/>
      <c r="CZZ56" s="10"/>
      <c r="DAA56" s="10"/>
      <c r="DAB56" s="10"/>
      <c r="DAC56" s="10"/>
      <c r="DAD56" s="10"/>
      <c r="DAE56" s="10"/>
      <c r="DAF56" s="10"/>
      <c r="DAG56" s="10"/>
      <c r="DAH56" s="10"/>
      <c r="DAI56" s="10"/>
      <c r="DAJ56" s="10"/>
      <c r="DAK56" s="10"/>
      <c r="DAL56" s="10"/>
      <c r="DAM56" s="10"/>
      <c r="DAN56" s="10"/>
      <c r="DAO56" s="10"/>
      <c r="DAP56" s="10"/>
      <c r="DAQ56" s="10"/>
      <c r="DAR56" s="10"/>
      <c r="DAS56" s="10"/>
      <c r="DAT56" s="10"/>
      <c r="DAU56" s="10"/>
      <c r="DAV56" s="10"/>
      <c r="DAW56" s="10"/>
      <c r="DAX56" s="10"/>
      <c r="DAY56" s="10"/>
      <c r="DAZ56" s="10"/>
      <c r="DBA56" s="10"/>
      <c r="DBB56" s="10"/>
      <c r="DBC56" s="10"/>
      <c r="DBD56" s="10"/>
      <c r="DBE56" s="10"/>
      <c r="DBF56" s="10"/>
      <c r="DBG56" s="10"/>
      <c r="DBH56" s="10"/>
      <c r="DBI56" s="10"/>
      <c r="DBJ56" s="10"/>
      <c r="DBK56" s="10"/>
      <c r="DBL56" s="10"/>
      <c r="DBM56" s="10"/>
      <c r="DBN56" s="10"/>
      <c r="DBO56" s="10"/>
      <c r="DBP56" s="10"/>
      <c r="DBQ56" s="10"/>
      <c r="DBR56" s="10"/>
      <c r="DBS56" s="10"/>
      <c r="DBT56" s="10"/>
      <c r="DBU56" s="10"/>
      <c r="DBV56" s="10"/>
      <c r="DBW56" s="10"/>
      <c r="DBX56" s="10"/>
      <c r="DBY56" s="10"/>
      <c r="DBZ56" s="10"/>
      <c r="DCA56" s="10"/>
      <c r="DCB56" s="10"/>
      <c r="DCC56" s="10"/>
      <c r="DCD56" s="10"/>
      <c r="DCE56" s="10"/>
      <c r="DCF56" s="10"/>
      <c r="DCG56" s="10"/>
      <c r="DCH56" s="10"/>
      <c r="DCI56" s="10"/>
      <c r="DCJ56" s="10"/>
      <c r="DCK56" s="10"/>
      <c r="DCL56" s="10"/>
      <c r="DCM56" s="10"/>
      <c r="DCN56" s="10"/>
      <c r="DCO56" s="10"/>
      <c r="DCP56" s="10"/>
      <c r="DCQ56" s="10"/>
      <c r="DCR56" s="10"/>
      <c r="DCS56" s="10"/>
      <c r="DCT56" s="10"/>
      <c r="DCU56" s="10"/>
      <c r="DCV56" s="10"/>
      <c r="DCW56" s="10"/>
      <c r="DCX56" s="10"/>
      <c r="DCY56" s="10"/>
      <c r="DCZ56" s="10"/>
      <c r="DDA56" s="10"/>
      <c r="DDB56" s="10"/>
      <c r="DDC56" s="10"/>
      <c r="DDD56" s="10"/>
      <c r="DDE56" s="10"/>
      <c r="DDF56" s="10"/>
      <c r="DDG56" s="10"/>
      <c r="DDH56" s="10"/>
      <c r="DDI56" s="10"/>
      <c r="DDJ56" s="10"/>
      <c r="DDK56" s="10"/>
      <c r="DDL56" s="10"/>
      <c r="DDM56" s="10"/>
      <c r="DDN56" s="10"/>
      <c r="DDO56" s="10"/>
      <c r="DDP56" s="10"/>
      <c r="DDQ56" s="10"/>
      <c r="DDR56" s="10"/>
      <c r="DDS56" s="10"/>
      <c r="DDT56" s="10"/>
      <c r="DDU56" s="10"/>
      <c r="DDV56" s="10"/>
      <c r="DDW56" s="10"/>
      <c r="DDX56" s="10"/>
      <c r="DDY56" s="10"/>
      <c r="DDZ56" s="10"/>
      <c r="DEA56" s="10"/>
      <c r="DEB56" s="10"/>
      <c r="DEC56" s="10"/>
      <c r="DED56" s="10"/>
      <c r="DEE56" s="10"/>
      <c r="DEF56" s="10"/>
      <c r="DEG56" s="10"/>
      <c r="DEH56" s="10"/>
      <c r="DEI56" s="10"/>
      <c r="DEJ56" s="10"/>
      <c r="DEK56" s="10"/>
      <c r="DEL56" s="10"/>
      <c r="DEM56" s="10"/>
      <c r="DEN56" s="10"/>
      <c r="DEO56" s="10"/>
      <c r="DEP56" s="10"/>
      <c r="DEQ56" s="10"/>
      <c r="DER56" s="10"/>
      <c r="DES56" s="10"/>
      <c r="DET56" s="10"/>
      <c r="DEU56" s="10"/>
      <c r="DEV56" s="10"/>
      <c r="DEW56" s="10"/>
      <c r="DEX56" s="10"/>
      <c r="DEY56" s="10"/>
      <c r="DEZ56" s="10"/>
      <c r="DFA56" s="10"/>
      <c r="DFB56" s="10"/>
      <c r="DFC56" s="10"/>
      <c r="DFD56" s="10"/>
      <c r="DFE56" s="10"/>
      <c r="DFF56" s="10"/>
      <c r="DFG56" s="10"/>
      <c r="DFH56" s="10"/>
      <c r="DFI56" s="10"/>
      <c r="DFJ56" s="10"/>
      <c r="DFK56" s="10"/>
      <c r="DFL56" s="10"/>
      <c r="DFM56" s="10"/>
      <c r="DFN56" s="10"/>
      <c r="DFO56" s="10"/>
      <c r="DFP56" s="10"/>
      <c r="DFQ56" s="10"/>
      <c r="DFR56" s="10"/>
      <c r="DFS56" s="10"/>
      <c r="DFT56" s="10"/>
      <c r="DFU56" s="10"/>
      <c r="DFV56" s="10"/>
      <c r="DFW56" s="10"/>
      <c r="DFX56" s="10"/>
      <c r="DFY56" s="10"/>
      <c r="DFZ56" s="10"/>
      <c r="DGA56" s="10"/>
      <c r="DGB56" s="10"/>
      <c r="DGC56" s="10"/>
      <c r="DGD56" s="10"/>
      <c r="DGE56" s="10"/>
      <c r="DGF56" s="10"/>
      <c r="DGG56" s="10"/>
      <c r="DGH56" s="10"/>
      <c r="DGI56" s="10"/>
      <c r="DGJ56" s="10"/>
      <c r="DGK56" s="10"/>
      <c r="DGL56" s="10"/>
      <c r="DGM56" s="10"/>
      <c r="DGN56" s="10"/>
      <c r="DGO56" s="10"/>
      <c r="DGP56" s="10"/>
      <c r="DGQ56" s="10"/>
      <c r="DGR56" s="10"/>
      <c r="DGS56" s="10"/>
      <c r="DGT56" s="10"/>
      <c r="DGU56" s="10"/>
      <c r="DGV56" s="10"/>
      <c r="DGW56" s="10"/>
      <c r="DGX56" s="10"/>
      <c r="DGY56" s="10"/>
      <c r="DGZ56" s="10"/>
      <c r="DHA56" s="10"/>
      <c r="DHB56" s="10"/>
      <c r="DHC56" s="10"/>
      <c r="DHD56" s="10"/>
      <c r="DHE56" s="10"/>
      <c r="DHF56" s="10"/>
      <c r="DHG56" s="10"/>
      <c r="DHH56" s="10"/>
      <c r="DHI56" s="10"/>
      <c r="DHJ56" s="10"/>
      <c r="DHK56" s="10"/>
      <c r="DHL56" s="10"/>
      <c r="DHM56" s="10"/>
      <c r="DHN56" s="10"/>
      <c r="DHO56" s="10"/>
      <c r="DHP56" s="10"/>
      <c r="DHQ56" s="10"/>
      <c r="DHR56" s="10"/>
      <c r="DHS56" s="10"/>
      <c r="DHT56" s="10"/>
      <c r="DHU56" s="10"/>
      <c r="DHV56" s="10"/>
      <c r="DHW56" s="10"/>
      <c r="DHX56" s="10"/>
      <c r="DHY56" s="10"/>
      <c r="DHZ56" s="10"/>
      <c r="DIA56" s="10"/>
      <c r="DIB56" s="10"/>
      <c r="DIC56" s="10"/>
      <c r="DID56" s="10"/>
      <c r="DIE56" s="10"/>
      <c r="DIF56" s="10"/>
      <c r="DIG56" s="10"/>
      <c r="DIH56" s="10"/>
      <c r="DII56" s="10"/>
      <c r="DIJ56" s="10"/>
      <c r="DIK56" s="10"/>
      <c r="DIL56" s="10"/>
      <c r="DIM56" s="10"/>
      <c r="DIN56" s="10"/>
      <c r="DIO56" s="10"/>
      <c r="DIP56" s="10"/>
      <c r="DIQ56" s="10"/>
      <c r="DIR56" s="10"/>
      <c r="DIS56" s="10"/>
      <c r="DIT56" s="10"/>
      <c r="DIU56" s="10"/>
      <c r="DIV56" s="10"/>
      <c r="DIW56" s="10"/>
      <c r="DIX56" s="10"/>
      <c r="DIY56" s="10"/>
      <c r="DIZ56" s="10"/>
      <c r="DJA56" s="10"/>
      <c r="DJB56" s="10"/>
      <c r="DJC56" s="10"/>
      <c r="DJD56" s="10"/>
      <c r="DJE56" s="10"/>
      <c r="DJF56" s="10"/>
      <c r="DJG56" s="10"/>
      <c r="DJH56" s="10"/>
      <c r="DJI56" s="10"/>
      <c r="DJJ56" s="10"/>
      <c r="DJK56" s="10"/>
      <c r="DJL56" s="10"/>
      <c r="DJM56" s="10"/>
      <c r="DJN56" s="10"/>
      <c r="DJO56" s="10"/>
      <c r="DJP56" s="10"/>
      <c r="DJQ56" s="10"/>
      <c r="DJR56" s="10"/>
      <c r="DJS56" s="10"/>
      <c r="DJT56" s="10"/>
      <c r="DJU56" s="10"/>
      <c r="DJV56" s="10"/>
      <c r="DJW56" s="10"/>
      <c r="DJX56" s="10"/>
      <c r="DJY56" s="10"/>
      <c r="DJZ56" s="10"/>
      <c r="DKA56" s="10"/>
      <c r="DKB56" s="10"/>
      <c r="DKC56" s="10"/>
      <c r="DKD56" s="10"/>
      <c r="DKE56" s="10"/>
      <c r="DKF56" s="10"/>
      <c r="DKG56" s="10"/>
      <c r="DKH56" s="10"/>
      <c r="DKI56" s="10"/>
      <c r="DKJ56" s="10"/>
      <c r="DKK56" s="10"/>
      <c r="DKL56" s="10"/>
      <c r="DKM56" s="10"/>
      <c r="DKN56" s="10"/>
      <c r="DKO56" s="10"/>
      <c r="DKP56" s="10"/>
      <c r="DKQ56" s="10"/>
      <c r="DKR56" s="10"/>
      <c r="DKS56" s="10"/>
      <c r="DKT56" s="10"/>
      <c r="DKU56" s="10"/>
      <c r="DKV56" s="10"/>
      <c r="DKW56" s="10"/>
      <c r="DKX56" s="10"/>
      <c r="DKY56" s="10"/>
      <c r="DKZ56" s="10"/>
      <c r="DLA56" s="10"/>
      <c r="DLB56" s="10"/>
      <c r="DLC56" s="10"/>
      <c r="DLD56" s="10"/>
      <c r="DLE56" s="10"/>
      <c r="DLF56" s="10"/>
      <c r="DLG56" s="10"/>
      <c r="DLH56" s="10"/>
      <c r="DLI56" s="10"/>
      <c r="DLJ56" s="10"/>
      <c r="DLK56" s="10"/>
      <c r="DLL56" s="10"/>
      <c r="DLM56" s="10"/>
      <c r="DLN56" s="10"/>
      <c r="DLO56" s="10"/>
      <c r="DLP56" s="10"/>
      <c r="DLQ56" s="10"/>
      <c r="DLR56" s="10"/>
      <c r="DLS56" s="10"/>
      <c r="DLT56" s="10"/>
      <c r="DLU56" s="10"/>
      <c r="DLV56" s="10"/>
      <c r="DLW56" s="10"/>
      <c r="DLX56" s="10"/>
      <c r="DLY56" s="10"/>
      <c r="DLZ56" s="10"/>
      <c r="DMA56" s="10"/>
      <c r="DMB56" s="10"/>
      <c r="DMC56" s="10"/>
      <c r="DMD56" s="10"/>
      <c r="DME56" s="10"/>
      <c r="DMF56" s="10"/>
      <c r="DMG56" s="10"/>
      <c r="DMH56" s="10"/>
      <c r="DMI56" s="10"/>
      <c r="DMJ56" s="10"/>
      <c r="DMK56" s="10"/>
      <c r="DML56" s="10"/>
      <c r="DMM56" s="10"/>
      <c r="DMN56" s="10"/>
      <c r="DMO56" s="10"/>
      <c r="DMP56" s="10"/>
      <c r="DMQ56" s="10"/>
      <c r="DMR56" s="10"/>
      <c r="DMS56" s="10"/>
      <c r="DMT56" s="10"/>
      <c r="DMU56" s="10"/>
      <c r="DMV56" s="10"/>
      <c r="DMW56" s="10"/>
      <c r="DMX56" s="10"/>
      <c r="DMY56" s="10"/>
      <c r="DMZ56" s="10"/>
      <c r="DNA56" s="10"/>
      <c r="DNB56" s="10"/>
      <c r="DNC56" s="10"/>
      <c r="DND56" s="10"/>
      <c r="DNE56" s="10"/>
      <c r="DNF56" s="10"/>
      <c r="DNG56" s="10"/>
      <c r="DNH56" s="10"/>
      <c r="DNI56" s="10"/>
      <c r="DNJ56" s="10"/>
      <c r="DNK56" s="10"/>
      <c r="DNL56" s="10"/>
      <c r="DNM56" s="10"/>
      <c r="DNN56" s="10"/>
      <c r="DNO56" s="10"/>
      <c r="DNP56" s="10"/>
      <c r="DNQ56" s="10"/>
      <c r="DNR56" s="10"/>
      <c r="DNS56" s="10"/>
      <c r="DNT56" s="10"/>
      <c r="DNU56" s="10"/>
      <c r="DNV56" s="10"/>
      <c r="DNW56" s="10"/>
      <c r="DNX56" s="10"/>
      <c r="DNY56" s="10"/>
      <c r="DNZ56" s="10"/>
      <c r="DOA56" s="10"/>
      <c r="DOB56" s="10"/>
      <c r="DOC56" s="10"/>
      <c r="DOD56" s="10"/>
      <c r="DOE56" s="10"/>
      <c r="DOF56" s="10"/>
      <c r="DOG56" s="10"/>
      <c r="DOH56" s="10"/>
      <c r="DOI56" s="10"/>
      <c r="DOJ56" s="10"/>
      <c r="DOK56" s="10"/>
      <c r="DOL56" s="10"/>
      <c r="DOM56" s="10"/>
      <c r="DON56" s="10"/>
      <c r="DOO56" s="10"/>
      <c r="DOP56" s="10"/>
      <c r="DOQ56" s="10"/>
      <c r="DOR56" s="10"/>
      <c r="DOS56" s="10"/>
      <c r="DOT56" s="10"/>
      <c r="DOU56" s="10"/>
      <c r="DOV56" s="10"/>
      <c r="DOW56" s="10"/>
      <c r="DOX56" s="10"/>
      <c r="DOY56" s="10"/>
      <c r="DOZ56" s="10"/>
      <c r="DPA56" s="10"/>
      <c r="DPB56" s="10"/>
      <c r="DPC56" s="10"/>
      <c r="DPD56" s="10"/>
      <c r="DPE56" s="10"/>
      <c r="DPF56" s="10"/>
      <c r="DPG56" s="10"/>
      <c r="DPH56" s="10"/>
      <c r="DPI56" s="10"/>
      <c r="DPJ56" s="10"/>
      <c r="DPK56" s="10"/>
      <c r="DPL56" s="10"/>
      <c r="DPM56" s="10"/>
      <c r="DPN56" s="10"/>
      <c r="DPO56" s="10"/>
      <c r="DPP56" s="10"/>
      <c r="DPQ56" s="10"/>
      <c r="DPR56" s="10"/>
      <c r="DPS56" s="10"/>
      <c r="DPT56" s="10"/>
      <c r="DPU56" s="10"/>
      <c r="DPV56" s="10"/>
      <c r="DPW56" s="10"/>
      <c r="DPX56" s="10"/>
      <c r="DPY56" s="10"/>
      <c r="DPZ56" s="10"/>
      <c r="DQA56" s="10"/>
      <c r="DQB56" s="10"/>
      <c r="DQC56" s="10"/>
      <c r="DQD56" s="10"/>
      <c r="DQE56" s="10"/>
      <c r="DQF56" s="10"/>
      <c r="DQG56" s="10"/>
      <c r="DQH56" s="10"/>
      <c r="DQI56" s="10"/>
      <c r="DQJ56" s="10"/>
      <c r="DQK56" s="10"/>
      <c r="DQL56" s="10"/>
      <c r="DQM56" s="10"/>
      <c r="DQN56" s="10"/>
      <c r="DQO56" s="10"/>
      <c r="DQP56" s="10"/>
      <c r="DQQ56" s="10"/>
      <c r="DQR56" s="10"/>
      <c r="DQS56" s="10"/>
      <c r="DQT56" s="10"/>
      <c r="DQU56" s="10"/>
      <c r="DQV56" s="10"/>
      <c r="DQW56" s="10"/>
      <c r="DQX56" s="10"/>
      <c r="DQY56" s="10"/>
      <c r="DQZ56" s="10"/>
      <c r="DRA56" s="10"/>
      <c r="DRB56" s="10"/>
      <c r="DRC56" s="10"/>
      <c r="DRD56" s="10"/>
      <c r="DRE56" s="10"/>
      <c r="DRF56" s="10"/>
      <c r="DRG56" s="10"/>
      <c r="DRH56" s="10"/>
      <c r="DRI56" s="10"/>
      <c r="DRJ56" s="10"/>
      <c r="DRK56" s="10"/>
      <c r="DRL56" s="10"/>
      <c r="DRM56" s="10"/>
      <c r="DRN56" s="10"/>
      <c r="DRO56" s="10"/>
      <c r="DRP56" s="10"/>
      <c r="DRQ56" s="10"/>
      <c r="DRR56" s="10"/>
      <c r="DRS56" s="10"/>
      <c r="DRT56" s="10"/>
      <c r="DRU56" s="10"/>
      <c r="DRV56" s="10"/>
      <c r="DRW56" s="10"/>
      <c r="DRX56" s="10"/>
      <c r="DRY56" s="10"/>
      <c r="DRZ56" s="10"/>
      <c r="DSA56" s="10"/>
      <c r="DSB56" s="10"/>
      <c r="DSC56" s="10"/>
      <c r="DSD56" s="10"/>
      <c r="DSE56" s="10"/>
      <c r="DSF56" s="10"/>
      <c r="DSG56" s="10"/>
      <c r="DSH56" s="10"/>
      <c r="DSI56" s="10"/>
      <c r="DSJ56" s="10"/>
      <c r="DSK56" s="10"/>
      <c r="DSL56" s="10"/>
      <c r="DSM56" s="10"/>
      <c r="DSN56" s="10"/>
      <c r="DSO56" s="10"/>
      <c r="DSP56" s="10"/>
      <c r="DSQ56" s="10"/>
      <c r="DSR56" s="10"/>
      <c r="DSS56" s="10"/>
      <c r="DST56" s="10"/>
      <c r="DSU56" s="10"/>
      <c r="DSV56" s="10"/>
      <c r="DSW56" s="10"/>
      <c r="DSX56" s="10"/>
      <c r="DSY56" s="10"/>
      <c r="DSZ56" s="10"/>
      <c r="DTA56" s="10"/>
      <c r="DTB56" s="10"/>
      <c r="DTC56" s="10"/>
      <c r="DTD56" s="10"/>
      <c r="DTE56" s="10"/>
      <c r="DTF56" s="10"/>
      <c r="DTG56" s="10"/>
      <c r="DTH56" s="10"/>
      <c r="DTI56" s="10"/>
      <c r="DTJ56" s="10"/>
      <c r="DTK56" s="10"/>
      <c r="DTL56" s="10"/>
      <c r="DTM56" s="10"/>
      <c r="DTN56" s="10"/>
      <c r="DTO56" s="10"/>
      <c r="DTP56" s="10"/>
      <c r="DTQ56" s="10"/>
      <c r="DTR56" s="10"/>
      <c r="DTS56" s="10"/>
      <c r="DTT56" s="10"/>
      <c r="DTU56" s="10"/>
      <c r="DTV56" s="10"/>
      <c r="DTW56" s="10"/>
      <c r="DTX56" s="10"/>
      <c r="DTY56" s="10"/>
      <c r="DTZ56" s="10"/>
      <c r="DUA56" s="10"/>
      <c r="DUB56" s="10"/>
      <c r="DUC56" s="10"/>
      <c r="DUD56" s="10"/>
      <c r="DUE56" s="10"/>
      <c r="DUF56" s="10"/>
      <c r="DUG56" s="10"/>
      <c r="DUH56" s="10"/>
      <c r="DUI56" s="10"/>
      <c r="DUJ56" s="10"/>
      <c r="DUK56" s="10"/>
      <c r="DUL56" s="10"/>
      <c r="DUM56" s="10"/>
      <c r="DUN56" s="10"/>
      <c r="DUO56" s="10"/>
      <c r="DUP56" s="10"/>
      <c r="DUQ56" s="10"/>
      <c r="DUR56" s="10"/>
      <c r="DUS56" s="10"/>
      <c r="DUT56" s="10"/>
      <c r="DUU56" s="10"/>
      <c r="DUV56" s="10"/>
      <c r="DUW56" s="10"/>
      <c r="DUX56" s="10"/>
      <c r="DUY56" s="10"/>
      <c r="DUZ56" s="10"/>
      <c r="DVA56" s="10"/>
      <c r="DVB56" s="10"/>
      <c r="DVC56" s="10"/>
      <c r="DVD56" s="10"/>
      <c r="DVE56" s="10"/>
      <c r="DVF56" s="10"/>
      <c r="DVG56" s="10"/>
      <c r="DVH56" s="10"/>
      <c r="DVI56" s="10"/>
      <c r="DVJ56" s="10"/>
      <c r="DVK56" s="10"/>
      <c r="DVL56" s="10"/>
      <c r="DVM56" s="10"/>
      <c r="DVN56" s="10"/>
      <c r="DVO56" s="10"/>
      <c r="DVP56" s="10"/>
      <c r="DVQ56" s="10"/>
      <c r="DVR56" s="10"/>
      <c r="DVS56" s="10"/>
      <c r="DVT56" s="10"/>
      <c r="DVU56" s="10"/>
      <c r="DVV56" s="10"/>
      <c r="DVW56" s="10"/>
      <c r="DVX56" s="10"/>
      <c r="DVY56" s="10"/>
      <c r="DVZ56" s="10"/>
      <c r="DWA56" s="10"/>
      <c r="DWB56" s="10"/>
      <c r="DWC56" s="10"/>
      <c r="DWD56" s="10"/>
      <c r="DWE56" s="10"/>
      <c r="DWF56" s="10"/>
      <c r="DWG56" s="10"/>
      <c r="DWH56" s="10"/>
      <c r="DWI56" s="10"/>
      <c r="DWJ56" s="10"/>
      <c r="DWK56" s="10"/>
      <c r="DWL56" s="10"/>
      <c r="DWM56" s="10"/>
      <c r="DWN56" s="10"/>
      <c r="DWO56" s="10"/>
      <c r="DWP56" s="10"/>
      <c r="DWQ56" s="10"/>
      <c r="DWR56" s="10"/>
      <c r="DWS56" s="10"/>
      <c r="DWT56" s="10"/>
      <c r="DWU56" s="10"/>
      <c r="DWV56" s="10"/>
      <c r="DWW56" s="10"/>
      <c r="DWX56" s="10"/>
      <c r="DWY56" s="10"/>
      <c r="DWZ56" s="10"/>
      <c r="DXA56" s="10"/>
      <c r="DXB56" s="10"/>
      <c r="DXC56" s="10"/>
      <c r="DXD56" s="10"/>
      <c r="DXE56" s="10"/>
      <c r="DXF56" s="10"/>
      <c r="DXG56" s="10"/>
      <c r="DXH56" s="10"/>
      <c r="DXI56" s="10"/>
      <c r="DXJ56" s="10"/>
      <c r="DXK56" s="10"/>
      <c r="DXL56" s="10"/>
      <c r="DXM56" s="10"/>
      <c r="DXN56" s="10"/>
      <c r="DXO56" s="10"/>
      <c r="DXP56" s="10"/>
      <c r="DXQ56" s="10"/>
      <c r="DXR56" s="10"/>
      <c r="DXS56" s="10"/>
      <c r="DXT56" s="10"/>
      <c r="DXU56" s="10"/>
      <c r="DXV56" s="10"/>
      <c r="DXW56" s="10"/>
      <c r="DXX56" s="10"/>
      <c r="DXY56" s="10"/>
      <c r="DXZ56" s="10"/>
      <c r="DYA56" s="10"/>
      <c r="DYB56" s="10"/>
      <c r="DYC56" s="10"/>
      <c r="DYD56" s="10"/>
      <c r="DYE56" s="10"/>
      <c r="DYF56" s="10"/>
      <c r="DYG56" s="10"/>
      <c r="DYH56" s="10"/>
      <c r="DYI56" s="10"/>
      <c r="DYJ56" s="10"/>
      <c r="DYK56" s="10"/>
      <c r="DYL56" s="10"/>
      <c r="DYM56" s="10"/>
      <c r="DYN56" s="10"/>
      <c r="DYO56" s="10"/>
      <c r="DYP56" s="10"/>
      <c r="DYQ56" s="10"/>
      <c r="DYR56" s="10"/>
      <c r="DYS56" s="10"/>
      <c r="DYT56" s="10"/>
      <c r="DYU56" s="10"/>
      <c r="DYV56" s="10"/>
      <c r="DYW56" s="10"/>
      <c r="DYX56" s="10"/>
      <c r="DYY56" s="10"/>
      <c r="DYZ56" s="10"/>
      <c r="DZA56" s="10"/>
      <c r="DZB56" s="10"/>
      <c r="DZC56" s="10"/>
      <c r="DZD56" s="10"/>
      <c r="DZE56" s="10"/>
      <c r="DZF56" s="10"/>
      <c r="DZG56" s="10"/>
      <c r="DZH56" s="10"/>
      <c r="DZI56" s="10"/>
      <c r="DZJ56" s="10"/>
      <c r="DZK56" s="10"/>
      <c r="DZL56" s="10"/>
      <c r="DZM56" s="10"/>
      <c r="DZN56" s="10"/>
      <c r="DZO56" s="10"/>
      <c r="DZP56" s="10"/>
      <c r="DZQ56" s="10"/>
      <c r="DZR56" s="10"/>
      <c r="DZS56" s="10"/>
      <c r="DZT56" s="10"/>
      <c r="DZU56" s="10"/>
      <c r="DZV56" s="10"/>
      <c r="DZW56" s="10"/>
      <c r="DZX56" s="10"/>
      <c r="DZY56" s="10"/>
      <c r="DZZ56" s="10"/>
      <c r="EAA56" s="10"/>
      <c r="EAB56" s="10"/>
      <c r="EAC56" s="10"/>
      <c r="EAD56" s="10"/>
      <c r="EAE56" s="10"/>
      <c r="EAF56" s="10"/>
      <c r="EAG56" s="10"/>
      <c r="EAH56" s="10"/>
      <c r="EAI56" s="10"/>
      <c r="EAJ56" s="10"/>
      <c r="EAK56" s="10"/>
      <c r="EAL56" s="10"/>
      <c r="EAM56" s="10"/>
      <c r="EAN56" s="10"/>
      <c r="EAO56" s="10"/>
      <c r="EAP56" s="10"/>
      <c r="EAQ56" s="10"/>
      <c r="EAR56" s="10"/>
      <c r="EAS56" s="10"/>
      <c r="EAT56" s="10"/>
      <c r="EAU56" s="10"/>
      <c r="EAV56" s="10"/>
      <c r="EAW56" s="10"/>
      <c r="EAX56" s="10"/>
      <c r="EAY56" s="10"/>
      <c r="EAZ56" s="10"/>
      <c r="EBA56" s="10"/>
      <c r="EBB56" s="10"/>
      <c r="EBC56" s="10"/>
      <c r="EBD56" s="10"/>
      <c r="EBE56" s="10"/>
      <c r="EBF56" s="10"/>
      <c r="EBG56" s="10"/>
      <c r="EBH56" s="10"/>
      <c r="EBI56" s="10"/>
      <c r="EBJ56" s="10"/>
      <c r="EBK56" s="10"/>
      <c r="EBL56" s="10"/>
      <c r="EBM56" s="10"/>
      <c r="EBN56" s="10"/>
      <c r="EBO56" s="10"/>
      <c r="EBP56" s="10"/>
      <c r="EBQ56" s="10"/>
      <c r="EBR56" s="10"/>
      <c r="EBS56" s="10"/>
      <c r="EBT56" s="10"/>
      <c r="EBU56" s="10"/>
      <c r="EBV56" s="10"/>
      <c r="EBW56" s="10"/>
      <c r="EBX56" s="10"/>
      <c r="EBY56" s="10"/>
      <c r="EBZ56" s="10"/>
      <c r="ECA56" s="10"/>
      <c r="ECB56" s="10"/>
      <c r="ECC56" s="10"/>
      <c r="ECD56" s="10"/>
      <c r="ECE56" s="10"/>
      <c r="ECF56" s="10"/>
      <c r="ECG56" s="10"/>
      <c r="ECH56" s="10"/>
      <c r="ECI56" s="10"/>
      <c r="ECJ56" s="10"/>
      <c r="ECK56" s="10"/>
      <c r="ECL56" s="10"/>
      <c r="ECM56" s="10"/>
      <c r="ECN56" s="10"/>
      <c r="ECO56" s="10"/>
      <c r="ECP56" s="10"/>
      <c r="ECQ56" s="10"/>
      <c r="ECR56" s="10"/>
      <c r="ECS56" s="10"/>
      <c r="ECT56" s="10"/>
      <c r="ECU56" s="10"/>
      <c r="ECV56" s="10"/>
      <c r="ECW56" s="10"/>
      <c r="ECX56" s="10"/>
      <c r="ECY56" s="10"/>
      <c r="ECZ56" s="10"/>
      <c r="EDA56" s="10"/>
      <c r="EDB56" s="10"/>
      <c r="EDC56" s="10"/>
      <c r="EDD56" s="10"/>
      <c r="EDE56" s="10"/>
      <c r="EDF56" s="10"/>
      <c r="EDG56" s="10"/>
      <c r="EDH56" s="10"/>
      <c r="EDI56" s="10"/>
      <c r="EDJ56" s="10"/>
      <c r="EDK56" s="10"/>
      <c r="EDL56" s="10"/>
      <c r="EDM56" s="10"/>
      <c r="EDN56" s="10"/>
      <c r="EDO56" s="10"/>
      <c r="EDP56" s="10"/>
      <c r="EDQ56" s="10"/>
      <c r="EDR56" s="10"/>
      <c r="EDS56" s="10"/>
      <c r="EDT56" s="10"/>
      <c r="EDU56" s="10"/>
      <c r="EDV56" s="10"/>
      <c r="EDW56" s="10"/>
      <c r="EDX56" s="10"/>
      <c r="EDY56" s="10"/>
      <c r="EDZ56" s="10"/>
      <c r="EEA56" s="10"/>
      <c r="EEB56" s="10"/>
      <c r="EEC56" s="10"/>
      <c r="EED56" s="10"/>
      <c r="EEE56" s="10"/>
      <c r="EEF56" s="10"/>
      <c r="EEG56" s="10"/>
      <c r="EEH56" s="10"/>
      <c r="EEI56" s="10"/>
      <c r="EEJ56" s="10"/>
      <c r="EEK56" s="10"/>
      <c r="EEL56" s="10"/>
      <c r="EEM56" s="10"/>
      <c r="EEN56" s="10"/>
      <c r="EEO56" s="10"/>
      <c r="EEP56" s="10"/>
      <c r="EEQ56" s="10"/>
      <c r="EER56" s="10"/>
      <c r="EES56" s="10"/>
      <c r="EET56" s="10"/>
      <c r="EEU56" s="10"/>
      <c r="EEV56" s="10"/>
      <c r="EEW56" s="10"/>
      <c r="EEX56" s="10"/>
      <c r="EEY56" s="10"/>
      <c r="EEZ56" s="10"/>
      <c r="EFA56" s="10"/>
      <c r="EFB56" s="10"/>
      <c r="EFC56" s="10"/>
      <c r="EFD56" s="10"/>
      <c r="EFE56" s="10"/>
      <c r="EFF56" s="10"/>
      <c r="EFG56" s="10"/>
      <c r="EFH56" s="10"/>
      <c r="EFI56" s="10"/>
      <c r="EFJ56" s="10"/>
      <c r="EFK56" s="10"/>
      <c r="EFL56" s="10"/>
      <c r="EFM56" s="10"/>
      <c r="EFN56" s="10"/>
      <c r="EFO56" s="10"/>
      <c r="EFP56" s="10"/>
      <c r="EFQ56" s="10"/>
      <c r="EFR56" s="10"/>
      <c r="EFS56" s="10"/>
      <c r="EFT56" s="10"/>
      <c r="EFU56" s="10"/>
      <c r="EFV56" s="10"/>
      <c r="EFW56" s="10"/>
      <c r="EFX56" s="10"/>
      <c r="EFY56" s="10"/>
      <c r="EFZ56" s="10"/>
      <c r="EGA56" s="10"/>
      <c r="EGB56" s="10"/>
      <c r="EGC56" s="10"/>
      <c r="EGD56" s="10"/>
      <c r="EGE56" s="10"/>
      <c r="EGF56" s="10"/>
      <c r="EGG56" s="10"/>
      <c r="EGH56" s="10"/>
      <c r="EGI56" s="10"/>
      <c r="EGJ56" s="10"/>
      <c r="EGK56" s="10"/>
      <c r="EGL56" s="10"/>
      <c r="EGM56" s="10"/>
      <c r="EGN56" s="10"/>
      <c r="EGO56" s="10"/>
      <c r="EGP56" s="10"/>
      <c r="EGQ56" s="10"/>
      <c r="EGR56" s="10"/>
      <c r="EGS56" s="10"/>
      <c r="EGT56" s="10"/>
      <c r="EGU56" s="10"/>
      <c r="EGV56" s="10"/>
      <c r="EGW56" s="10"/>
      <c r="EGX56" s="10"/>
      <c r="EGY56" s="10"/>
      <c r="EGZ56" s="10"/>
      <c r="EHA56" s="10"/>
      <c r="EHB56" s="10"/>
      <c r="EHC56" s="10"/>
      <c r="EHD56" s="10"/>
      <c r="EHE56" s="10"/>
      <c r="EHF56" s="10"/>
      <c r="EHG56" s="10"/>
      <c r="EHH56" s="10"/>
      <c r="EHI56" s="10"/>
      <c r="EHJ56" s="10"/>
      <c r="EHK56" s="10"/>
      <c r="EHL56" s="10"/>
      <c r="EHM56" s="10"/>
      <c r="EHN56" s="10"/>
      <c r="EHO56" s="10"/>
      <c r="EHP56" s="10"/>
      <c r="EHQ56" s="10"/>
      <c r="EHR56" s="10"/>
      <c r="EHS56" s="10"/>
      <c r="EHT56" s="10"/>
      <c r="EHU56" s="10"/>
      <c r="EHV56" s="10"/>
      <c r="EHW56" s="10"/>
      <c r="EHX56" s="10"/>
      <c r="EHY56" s="10"/>
      <c r="EHZ56" s="10"/>
      <c r="EIA56" s="10"/>
      <c r="EIB56" s="10"/>
      <c r="EIC56" s="10"/>
      <c r="EID56" s="10"/>
      <c r="EIE56" s="10"/>
      <c r="EIF56" s="10"/>
      <c r="EIG56" s="10"/>
      <c r="EIH56" s="10"/>
      <c r="EII56" s="10"/>
      <c r="EIJ56" s="10"/>
      <c r="EIK56" s="10"/>
      <c r="EIL56" s="10"/>
      <c r="EIM56" s="10"/>
      <c r="EIN56" s="10"/>
      <c r="EIO56" s="10"/>
      <c r="EIP56" s="10"/>
      <c r="EIQ56" s="10"/>
      <c r="EIR56" s="10"/>
      <c r="EIS56" s="10"/>
      <c r="EIT56" s="10"/>
      <c r="EIU56" s="10"/>
      <c r="EIV56" s="10"/>
      <c r="EIW56" s="10"/>
      <c r="EIX56" s="10"/>
      <c r="EIY56" s="10"/>
      <c r="EIZ56" s="10"/>
      <c r="EJA56" s="10"/>
      <c r="EJB56" s="10"/>
      <c r="EJC56" s="10"/>
      <c r="EJD56" s="10"/>
      <c r="EJE56" s="10"/>
      <c r="EJF56" s="10"/>
      <c r="EJG56" s="10"/>
      <c r="EJH56" s="10"/>
      <c r="EJI56" s="10"/>
      <c r="EJJ56" s="10"/>
      <c r="EJK56" s="10"/>
      <c r="EJL56" s="10"/>
      <c r="EJM56" s="10"/>
      <c r="EJN56" s="10"/>
      <c r="EJO56" s="10"/>
      <c r="EJP56" s="10"/>
      <c r="EJQ56" s="10"/>
      <c r="EJR56" s="10"/>
      <c r="EJS56" s="10"/>
      <c r="EJT56" s="10"/>
      <c r="EJU56" s="10"/>
      <c r="EJV56" s="10"/>
      <c r="EJW56" s="10"/>
      <c r="EJX56" s="10"/>
      <c r="EJY56" s="10"/>
      <c r="EJZ56" s="10"/>
      <c r="EKA56" s="10"/>
      <c r="EKB56" s="10"/>
      <c r="EKC56" s="10"/>
      <c r="EKD56" s="10"/>
      <c r="EKE56" s="10"/>
      <c r="EKF56" s="10"/>
      <c r="EKG56" s="10"/>
      <c r="EKH56" s="10"/>
      <c r="EKI56" s="10"/>
      <c r="EKJ56" s="10"/>
      <c r="EKK56" s="10"/>
      <c r="EKL56" s="10"/>
      <c r="EKM56" s="10"/>
      <c r="EKN56" s="10"/>
      <c r="EKO56" s="10"/>
      <c r="EKP56" s="10"/>
      <c r="EKQ56" s="10"/>
      <c r="EKR56" s="10"/>
      <c r="EKS56" s="10"/>
      <c r="EKT56" s="10"/>
      <c r="EKU56" s="10"/>
      <c r="EKV56" s="10"/>
      <c r="EKW56" s="10"/>
      <c r="EKX56" s="10"/>
      <c r="EKY56" s="10"/>
      <c r="EKZ56" s="10"/>
      <c r="ELA56" s="10"/>
      <c r="ELB56" s="10"/>
      <c r="ELC56" s="10"/>
      <c r="ELD56" s="10"/>
      <c r="ELE56" s="10"/>
      <c r="ELF56" s="10"/>
      <c r="ELG56" s="10"/>
      <c r="ELH56" s="10"/>
      <c r="ELI56" s="10"/>
      <c r="ELJ56" s="10"/>
      <c r="ELK56" s="10"/>
      <c r="ELL56" s="10"/>
      <c r="ELM56" s="10"/>
      <c r="ELN56" s="10"/>
      <c r="ELO56" s="10"/>
      <c r="ELP56" s="10"/>
      <c r="ELQ56" s="10"/>
      <c r="ELR56" s="10"/>
      <c r="ELS56" s="10"/>
      <c r="ELT56" s="10"/>
      <c r="ELU56" s="10"/>
      <c r="ELV56" s="10"/>
      <c r="ELW56" s="10"/>
      <c r="ELX56" s="10"/>
      <c r="ELY56" s="10"/>
      <c r="ELZ56" s="10"/>
      <c r="EMA56" s="10"/>
      <c r="EMB56" s="10"/>
      <c r="EMC56" s="10"/>
      <c r="EMD56" s="10"/>
      <c r="EME56" s="10"/>
      <c r="EMF56" s="10"/>
      <c r="EMG56" s="10"/>
      <c r="EMH56" s="10"/>
      <c r="EMI56" s="10"/>
      <c r="EMJ56" s="10"/>
      <c r="EMK56" s="10"/>
      <c r="EML56" s="10"/>
      <c r="EMM56" s="10"/>
      <c r="EMN56" s="10"/>
      <c r="EMO56" s="10"/>
      <c r="EMP56" s="10"/>
      <c r="EMQ56" s="10"/>
      <c r="EMR56" s="10"/>
      <c r="EMS56" s="10"/>
      <c r="EMT56" s="10"/>
      <c r="EMU56" s="10"/>
      <c r="EMV56" s="10"/>
      <c r="EMW56" s="10"/>
      <c r="EMX56" s="10"/>
      <c r="EMY56" s="10"/>
      <c r="EMZ56" s="10"/>
      <c r="ENA56" s="10"/>
      <c r="ENB56" s="10"/>
      <c r="ENC56" s="10"/>
      <c r="END56" s="10"/>
      <c r="ENE56" s="10"/>
      <c r="ENF56" s="10"/>
      <c r="ENG56" s="10"/>
      <c r="ENH56" s="10"/>
      <c r="ENI56" s="10"/>
      <c r="ENJ56" s="10"/>
      <c r="ENK56" s="10"/>
      <c r="ENL56" s="10"/>
      <c r="ENM56" s="10"/>
      <c r="ENN56" s="10"/>
      <c r="ENO56" s="10"/>
      <c r="ENP56" s="10"/>
      <c r="ENQ56" s="10"/>
      <c r="ENR56" s="10"/>
      <c r="ENS56" s="10"/>
      <c r="ENT56" s="10"/>
      <c r="ENU56" s="10"/>
      <c r="ENV56" s="10"/>
      <c r="ENW56" s="10"/>
      <c r="ENX56" s="10"/>
      <c r="ENY56" s="10"/>
      <c r="ENZ56" s="10"/>
      <c r="EOA56" s="10"/>
      <c r="EOB56" s="10"/>
      <c r="EOC56" s="10"/>
      <c r="EOD56" s="10"/>
      <c r="EOE56" s="10"/>
      <c r="EOF56" s="10"/>
      <c r="EOG56" s="10"/>
      <c r="EOH56" s="10"/>
      <c r="EOI56" s="10"/>
      <c r="EOJ56" s="10"/>
      <c r="EOK56" s="10"/>
      <c r="EOL56" s="10"/>
      <c r="EOM56" s="10"/>
      <c r="EON56" s="10"/>
      <c r="EOO56" s="10"/>
      <c r="EOP56" s="10"/>
      <c r="EOQ56" s="10"/>
      <c r="EOR56" s="10"/>
      <c r="EOS56" s="10"/>
      <c r="EOT56" s="10"/>
      <c r="EOU56" s="10"/>
      <c r="EOV56" s="10"/>
      <c r="EOW56" s="10"/>
      <c r="EOX56" s="10"/>
      <c r="EOY56" s="10"/>
      <c r="EOZ56" s="10"/>
      <c r="EPA56" s="10"/>
      <c r="EPB56" s="10"/>
      <c r="EPC56" s="10"/>
      <c r="EPD56" s="10"/>
      <c r="EPE56" s="10"/>
      <c r="EPF56" s="10"/>
      <c r="EPG56" s="10"/>
      <c r="EPH56" s="10"/>
      <c r="EPI56" s="10"/>
      <c r="EPJ56" s="10"/>
      <c r="EPK56" s="10"/>
      <c r="EPL56" s="10"/>
      <c r="EPM56" s="10"/>
      <c r="EPN56" s="10"/>
      <c r="EPO56" s="10"/>
      <c r="EPP56" s="10"/>
      <c r="EPQ56" s="10"/>
      <c r="EPR56" s="10"/>
      <c r="EPS56" s="10"/>
      <c r="EPT56" s="10"/>
      <c r="EPU56" s="10"/>
      <c r="EPV56" s="10"/>
      <c r="EPW56" s="10"/>
      <c r="EPX56" s="10"/>
      <c r="EPY56" s="10"/>
      <c r="EPZ56" s="10"/>
      <c r="EQA56" s="10"/>
      <c r="EQB56" s="10"/>
      <c r="EQC56" s="10"/>
      <c r="EQD56" s="10"/>
      <c r="EQE56" s="10"/>
      <c r="EQF56" s="10"/>
      <c r="EQG56" s="10"/>
      <c r="EQH56" s="10"/>
      <c r="EQI56" s="10"/>
      <c r="EQJ56" s="10"/>
      <c r="EQK56" s="10"/>
      <c r="EQL56" s="10"/>
      <c r="EQM56" s="10"/>
      <c r="EQN56" s="10"/>
      <c r="EQO56" s="10"/>
      <c r="EQP56" s="10"/>
      <c r="EQQ56" s="10"/>
      <c r="EQR56" s="10"/>
      <c r="EQS56" s="10"/>
      <c r="EQT56" s="10"/>
      <c r="EQU56" s="10"/>
      <c r="EQV56" s="10"/>
      <c r="EQW56" s="10"/>
      <c r="EQX56" s="10"/>
      <c r="EQY56" s="10"/>
      <c r="EQZ56" s="10"/>
      <c r="ERA56" s="10"/>
      <c r="ERB56" s="10"/>
      <c r="ERC56" s="10"/>
      <c r="ERD56" s="10"/>
      <c r="ERE56" s="10"/>
      <c r="ERF56" s="10"/>
      <c r="ERG56" s="10"/>
      <c r="ERH56" s="10"/>
      <c r="ERI56" s="10"/>
      <c r="ERJ56" s="10"/>
      <c r="ERK56" s="10"/>
      <c r="ERL56" s="10"/>
      <c r="ERM56" s="10"/>
      <c r="ERN56" s="10"/>
      <c r="ERO56" s="10"/>
      <c r="ERP56" s="10"/>
      <c r="ERQ56" s="10"/>
      <c r="ERR56" s="10"/>
      <c r="ERS56" s="10"/>
      <c r="ERT56" s="10"/>
      <c r="ERU56" s="10"/>
      <c r="ERV56" s="10"/>
      <c r="ERW56" s="10"/>
      <c r="ERX56" s="10"/>
      <c r="ERY56" s="10"/>
      <c r="ERZ56" s="10"/>
      <c r="ESA56" s="10"/>
      <c r="ESB56" s="10"/>
      <c r="ESC56" s="10"/>
      <c r="ESD56" s="10"/>
      <c r="ESE56" s="10"/>
      <c r="ESF56" s="10"/>
      <c r="ESG56" s="10"/>
      <c r="ESH56" s="10"/>
      <c r="ESI56" s="10"/>
      <c r="ESJ56" s="10"/>
      <c r="ESK56" s="10"/>
      <c r="ESL56" s="10"/>
      <c r="ESM56" s="10"/>
      <c r="ESN56" s="10"/>
      <c r="ESO56" s="10"/>
      <c r="ESP56" s="10"/>
      <c r="ESQ56" s="10"/>
      <c r="ESR56" s="10"/>
      <c r="ESS56" s="10"/>
      <c r="EST56" s="10"/>
      <c r="ESU56" s="10"/>
      <c r="ESV56" s="10"/>
      <c r="ESW56" s="10"/>
      <c r="ESX56" s="10"/>
      <c r="ESY56" s="10"/>
      <c r="ESZ56" s="10"/>
      <c r="ETA56" s="10"/>
      <c r="ETB56" s="10"/>
      <c r="ETC56" s="10"/>
      <c r="ETD56" s="10"/>
      <c r="ETE56" s="10"/>
      <c r="ETF56" s="10"/>
      <c r="ETG56" s="10"/>
      <c r="ETH56" s="10"/>
      <c r="ETI56" s="10"/>
      <c r="ETJ56" s="10"/>
      <c r="ETK56" s="10"/>
      <c r="ETL56" s="10"/>
      <c r="ETM56" s="10"/>
      <c r="ETN56" s="10"/>
      <c r="ETO56" s="10"/>
      <c r="ETP56" s="10"/>
      <c r="ETQ56" s="10"/>
      <c r="ETR56" s="10"/>
      <c r="ETS56" s="10"/>
      <c r="ETT56" s="10"/>
      <c r="ETU56" s="10"/>
      <c r="ETV56" s="10"/>
      <c r="ETW56" s="10"/>
      <c r="ETX56" s="10"/>
      <c r="ETY56" s="10"/>
      <c r="ETZ56" s="10"/>
      <c r="EUA56" s="10"/>
      <c r="EUB56" s="10"/>
      <c r="EUC56" s="10"/>
      <c r="EUD56" s="10"/>
      <c r="EUE56" s="10"/>
      <c r="EUF56" s="10"/>
      <c r="EUG56" s="10"/>
      <c r="EUH56" s="10"/>
      <c r="EUI56" s="10"/>
      <c r="EUJ56" s="10"/>
      <c r="EUK56" s="10"/>
      <c r="EUL56" s="10"/>
      <c r="EUM56" s="10"/>
      <c r="EUN56" s="10"/>
      <c r="EUO56" s="10"/>
      <c r="EUP56" s="10"/>
      <c r="EUQ56" s="10"/>
      <c r="EUR56" s="10"/>
      <c r="EUS56" s="10"/>
      <c r="EUT56" s="10"/>
      <c r="EUU56" s="10"/>
      <c r="EUV56" s="10"/>
      <c r="EUW56" s="10"/>
      <c r="EUX56" s="10"/>
      <c r="EUY56" s="10"/>
      <c r="EUZ56" s="10"/>
      <c r="EVA56" s="10"/>
      <c r="EVB56" s="10"/>
      <c r="EVC56" s="10"/>
      <c r="EVD56" s="10"/>
      <c r="EVE56" s="10"/>
      <c r="EVF56" s="10"/>
      <c r="EVG56" s="10"/>
      <c r="EVH56" s="10"/>
      <c r="EVI56" s="10"/>
      <c r="EVJ56" s="10"/>
      <c r="EVK56" s="10"/>
      <c r="EVL56" s="10"/>
      <c r="EVM56" s="10"/>
      <c r="EVN56" s="10"/>
      <c r="EVO56" s="10"/>
      <c r="EVP56" s="10"/>
      <c r="EVQ56" s="10"/>
      <c r="EVR56" s="10"/>
      <c r="EVS56" s="10"/>
      <c r="EVT56" s="10"/>
      <c r="EVU56" s="10"/>
      <c r="EVV56" s="10"/>
      <c r="EVW56" s="10"/>
      <c r="EVX56" s="10"/>
      <c r="EVY56" s="10"/>
      <c r="EVZ56" s="10"/>
      <c r="EWA56" s="10"/>
      <c r="EWB56" s="10"/>
      <c r="EWC56" s="10"/>
      <c r="EWD56" s="10"/>
      <c r="EWE56" s="10"/>
      <c r="EWF56" s="10"/>
      <c r="EWG56" s="10"/>
      <c r="EWH56" s="10"/>
      <c r="EWI56" s="10"/>
      <c r="EWJ56" s="10"/>
      <c r="EWK56" s="10"/>
      <c r="EWL56" s="10"/>
      <c r="EWM56" s="10"/>
      <c r="EWN56" s="10"/>
      <c r="EWO56" s="10"/>
      <c r="EWP56" s="10"/>
      <c r="EWQ56" s="10"/>
      <c r="EWR56" s="10"/>
      <c r="EWS56" s="10"/>
      <c r="EWT56" s="10"/>
      <c r="EWU56" s="10"/>
      <c r="EWV56" s="10"/>
      <c r="EWW56" s="10"/>
      <c r="EWX56" s="10"/>
      <c r="EWY56" s="10"/>
      <c r="EWZ56" s="10"/>
      <c r="EXA56" s="10"/>
      <c r="EXB56" s="10"/>
      <c r="EXC56" s="10"/>
      <c r="EXD56" s="10"/>
      <c r="EXE56" s="10"/>
      <c r="EXF56" s="10"/>
      <c r="EXG56" s="10"/>
      <c r="EXH56" s="10"/>
      <c r="EXI56" s="10"/>
      <c r="EXJ56" s="10"/>
      <c r="EXK56" s="10"/>
      <c r="EXL56" s="10"/>
      <c r="EXM56" s="10"/>
      <c r="EXN56" s="10"/>
      <c r="EXO56" s="10"/>
      <c r="EXP56" s="10"/>
      <c r="EXQ56" s="10"/>
      <c r="EXR56" s="10"/>
      <c r="EXS56" s="10"/>
      <c r="EXT56" s="10"/>
      <c r="EXU56" s="10"/>
      <c r="EXV56" s="10"/>
      <c r="EXW56" s="10"/>
      <c r="EXX56" s="10"/>
      <c r="EXY56" s="10"/>
      <c r="EXZ56" s="10"/>
      <c r="EYA56" s="10"/>
      <c r="EYB56" s="10"/>
      <c r="EYC56" s="10"/>
      <c r="EYD56" s="10"/>
      <c r="EYE56" s="10"/>
      <c r="EYF56" s="10"/>
      <c r="EYG56" s="10"/>
      <c r="EYH56" s="10"/>
      <c r="EYI56" s="10"/>
      <c r="EYJ56" s="10"/>
      <c r="EYK56" s="10"/>
      <c r="EYL56" s="10"/>
      <c r="EYM56" s="10"/>
      <c r="EYN56" s="10"/>
      <c r="EYO56" s="10"/>
      <c r="EYP56" s="10"/>
      <c r="EYQ56" s="10"/>
      <c r="EYR56" s="10"/>
      <c r="EYS56" s="10"/>
      <c r="EYT56" s="10"/>
      <c r="EYU56" s="10"/>
      <c r="EYV56" s="10"/>
      <c r="EYW56" s="10"/>
      <c r="EYX56" s="10"/>
      <c r="EYY56" s="10"/>
      <c r="EYZ56" s="10"/>
      <c r="EZA56" s="10"/>
      <c r="EZB56" s="10"/>
      <c r="EZC56" s="10"/>
      <c r="EZD56" s="10"/>
      <c r="EZE56" s="10"/>
      <c r="EZF56" s="10"/>
      <c r="EZG56" s="10"/>
      <c r="EZH56" s="10"/>
      <c r="EZI56" s="10"/>
      <c r="EZJ56" s="10"/>
      <c r="EZK56" s="10"/>
      <c r="EZL56" s="10"/>
      <c r="EZM56" s="10"/>
      <c r="EZN56" s="10"/>
      <c r="EZO56" s="10"/>
      <c r="EZP56" s="10"/>
      <c r="EZQ56" s="10"/>
      <c r="EZR56" s="10"/>
      <c r="EZS56" s="10"/>
      <c r="EZT56" s="10"/>
      <c r="EZU56" s="10"/>
      <c r="EZV56" s="10"/>
      <c r="EZW56" s="10"/>
      <c r="EZX56" s="10"/>
      <c r="EZY56" s="10"/>
      <c r="EZZ56" s="10"/>
      <c r="FAA56" s="10"/>
      <c r="FAB56" s="10"/>
      <c r="FAC56" s="10"/>
      <c r="FAD56" s="10"/>
      <c r="FAE56" s="10"/>
      <c r="FAF56" s="10"/>
      <c r="FAG56" s="10"/>
      <c r="FAH56" s="10"/>
      <c r="FAI56" s="10"/>
      <c r="FAJ56" s="10"/>
      <c r="FAK56" s="10"/>
      <c r="FAL56" s="10"/>
      <c r="FAM56" s="10"/>
      <c r="FAN56" s="10"/>
      <c r="FAO56" s="10"/>
      <c r="FAP56" s="10"/>
      <c r="FAQ56" s="10"/>
      <c r="FAR56" s="10"/>
      <c r="FAS56" s="10"/>
      <c r="FAT56" s="10"/>
      <c r="FAU56" s="10"/>
      <c r="FAV56" s="10"/>
      <c r="FAW56" s="10"/>
      <c r="FAX56" s="10"/>
      <c r="FAY56" s="10"/>
      <c r="FAZ56" s="10"/>
      <c r="FBA56" s="10"/>
      <c r="FBB56" s="10"/>
      <c r="FBC56" s="10"/>
      <c r="FBD56" s="10"/>
      <c r="FBE56" s="10"/>
      <c r="FBF56" s="10"/>
      <c r="FBG56" s="10"/>
      <c r="FBH56" s="10"/>
      <c r="FBI56" s="10"/>
      <c r="FBJ56" s="10"/>
      <c r="FBK56" s="10"/>
      <c r="FBL56" s="10"/>
      <c r="FBM56" s="10"/>
      <c r="FBN56" s="10"/>
      <c r="FBO56" s="10"/>
      <c r="FBP56" s="10"/>
      <c r="FBQ56" s="10"/>
      <c r="FBR56" s="10"/>
      <c r="FBS56" s="10"/>
      <c r="FBT56" s="10"/>
      <c r="FBU56" s="10"/>
      <c r="FBV56" s="10"/>
      <c r="FBW56" s="10"/>
      <c r="FBX56" s="10"/>
      <c r="FBY56" s="10"/>
      <c r="FBZ56" s="10"/>
      <c r="FCA56" s="10"/>
      <c r="FCB56" s="10"/>
      <c r="FCC56" s="10"/>
      <c r="FCD56" s="10"/>
      <c r="FCE56" s="10"/>
      <c r="FCF56" s="10"/>
      <c r="FCG56" s="10"/>
      <c r="FCH56" s="10"/>
      <c r="FCI56" s="10"/>
      <c r="FCJ56" s="10"/>
      <c r="FCK56" s="10"/>
      <c r="FCL56" s="10"/>
      <c r="FCM56" s="10"/>
      <c r="FCN56" s="10"/>
      <c r="FCO56" s="10"/>
      <c r="FCP56" s="10"/>
      <c r="FCQ56" s="10"/>
      <c r="FCR56" s="10"/>
      <c r="FCS56" s="10"/>
      <c r="FCT56" s="10"/>
      <c r="FCU56" s="10"/>
      <c r="FCV56" s="10"/>
      <c r="FCW56" s="10"/>
      <c r="FCX56" s="10"/>
      <c r="FCY56" s="10"/>
      <c r="FCZ56" s="10"/>
      <c r="FDA56" s="10"/>
      <c r="FDB56" s="10"/>
      <c r="FDC56" s="10"/>
      <c r="FDD56" s="10"/>
      <c r="FDE56" s="10"/>
      <c r="FDF56" s="10"/>
      <c r="FDG56" s="10"/>
      <c r="FDH56" s="10"/>
      <c r="FDI56" s="10"/>
      <c r="FDJ56" s="10"/>
      <c r="FDK56" s="10"/>
      <c r="FDL56" s="10"/>
      <c r="FDM56" s="10"/>
      <c r="FDN56" s="10"/>
      <c r="FDO56" s="10"/>
      <c r="FDP56" s="10"/>
      <c r="FDQ56" s="10"/>
      <c r="FDR56" s="10"/>
      <c r="FDS56" s="10"/>
      <c r="FDT56" s="10"/>
      <c r="FDU56" s="10"/>
      <c r="FDV56" s="10"/>
      <c r="FDW56" s="10"/>
      <c r="FDX56" s="10"/>
      <c r="FDY56" s="10"/>
      <c r="FDZ56" s="10"/>
      <c r="FEA56" s="10"/>
      <c r="FEB56" s="10"/>
      <c r="FEC56" s="10"/>
      <c r="FED56" s="10"/>
      <c r="FEE56" s="10"/>
      <c r="FEF56" s="10"/>
      <c r="FEG56" s="10"/>
      <c r="FEH56" s="10"/>
      <c r="FEI56" s="10"/>
      <c r="FEJ56" s="10"/>
      <c r="FEK56" s="10"/>
      <c r="FEL56" s="10"/>
      <c r="FEM56" s="10"/>
      <c r="FEN56" s="10"/>
      <c r="FEO56" s="10"/>
      <c r="FEP56" s="10"/>
      <c r="FEQ56" s="10"/>
      <c r="FER56" s="10"/>
      <c r="FES56" s="10"/>
      <c r="FET56" s="10"/>
      <c r="FEU56" s="10"/>
      <c r="FEV56" s="10"/>
      <c r="FEW56" s="10"/>
      <c r="FEX56" s="10"/>
      <c r="FEY56" s="10"/>
      <c r="FEZ56" s="10"/>
      <c r="FFA56" s="10"/>
      <c r="FFB56" s="10"/>
      <c r="FFC56" s="10"/>
      <c r="FFD56" s="10"/>
      <c r="FFE56" s="10"/>
      <c r="FFF56" s="10"/>
      <c r="FFG56" s="10"/>
      <c r="FFH56" s="10"/>
      <c r="FFI56" s="10"/>
      <c r="FFJ56" s="10"/>
      <c r="FFK56" s="10"/>
      <c r="FFL56" s="10"/>
      <c r="FFM56" s="10"/>
      <c r="FFN56" s="10"/>
      <c r="FFO56" s="10"/>
      <c r="FFP56" s="10"/>
      <c r="FFQ56" s="10"/>
      <c r="FFR56" s="10"/>
      <c r="FFS56" s="10"/>
      <c r="FFT56" s="10"/>
      <c r="FFU56" s="10"/>
      <c r="FFV56" s="10"/>
      <c r="FFW56" s="10"/>
      <c r="FFX56" s="10"/>
      <c r="FFY56" s="10"/>
      <c r="FFZ56" s="10"/>
      <c r="FGA56" s="10"/>
      <c r="FGB56" s="10"/>
      <c r="FGC56" s="10"/>
      <c r="FGD56" s="10"/>
      <c r="FGE56" s="10"/>
      <c r="FGF56" s="10"/>
      <c r="FGG56" s="10"/>
      <c r="FGH56" s="10"/>
      <c r="FGI56" s="10"/>
      <c r="FGJ56" s="10"/>
      <c r="FGK56" s="10"/>
      <c r="FGL56" s="10"/>
      <c r="FGM56" s="10"/>
      <c r="FGN56" s="10"/>
      <c r="FGO56" s="10"/>
      <c r="FGP56" s="10"/>
      <c r="FGQ56" s="10"/>
      <c r="FGR56" s="10"/>
      <c r="FGS56" s="10"/>
      <c r="FGT56" s="10"/>
      <c r="FGU56" s="10"/>
      <c r="FGV56" s="10"/>
      <c r="FGW56" s="10"/>
      <c r="FGX56" s="10"/>
      <c r="FGY56" s="10"/>
      <c r="FGZ56" s="10"/>
      <c r="FHA56" s="10"/>
      <c r="FHB56" s="10"/>
      <c r="FHC56" s="10"/>
      <c r="FHD56" s="10"/>
      <c r="FHE56" s="10"/>
      <c r="FHF56" s="10"/>
      <c r="FHG56" s="10"/>
      <c r="FHH56" s="10"/>
      <c r="FHI56" s="10"/>
      <c r="FHJ56" s="10"/>
      <c r="FHK56" s="10"/>
      <c r="FHL56" s="10"/>
      <c r="FHM56" s="10"/>
      <c r="FHN56" s="10"/>
      <c r="FHO56" s="10"/>
      <c r="FHP56" s="10"/>
      <c r="FHQ56" s="10"/>
      <c r="FHR56" s="10"/>
      <c r="FHS56" s="10"/>
      <c r="FHT56" s="10"/>
      <c r="FHU56" s="10"/>
      <c r="FHV56" s="10"/>
      <c r="FHW56" s="10"/>
      <c r="FHX56" s="10"/>
      <c r="FHY56" s="10"/>
      <c r="FHZ56" s="10"/>
      <c r="FIA56" s="10"/>
      <c r="FIB56" s="10"/>
      <c r="FIC56" s="10"/>
      <c r="FID56" s="10"/>
      <c r="FIE56" s="10"/>
      <c r="FIF56" s="10"/>
      <c r="FIG56" s="10"/>
      <c r="FIH56" s="10"/>
      <c r="FII56" s="10"/>
      <c r="FIJ56" s="10"/>
      <c r="FIK56" s="10"/>
      <c r="FIL56" s="10"/>
      <c r="FIM56" s="10"/>
      <c r="FIN56" s="10"/>
      <c r="FIO56" s="10"/>
      <c r="FIP56" s="10"/>
      <c r="FIQ56" s="10"/>
      <c r="FIR56" s="10"/>
      <c r="FIS56" s="10"/>
      <c r="FIT56" s="10"/>
      <c r="FIU56" s="10"/>
      <c r="FIV56" s="10"/>
      <c r="FIW56" s="10"/>
      <c r="FIX56" s="10"/>
      <c r="FIY56" s="10"/>
      <c r="FIZ56" s="10"/>
      <c r="FJA56" s="10"/>
      <c r="FJB56" s="10"/>
      <c r="FJC56" s="10"/>
      <c r="FJD56" s="10"/>
      <c r="FJE56" s="10"/>
      <c r="FJF56" s="10"/>
      <c r="FJG56" s="10"/>
      <c r="FJH56" s="10"/>
      <c r="FJI56" s="10"/>
      <c r="FJJ56" s="10"/>
      <c r="FJK56" s="10"/>
      <c r="FJL56" s="10"/>
      <c r="FJM56" s="10"/>
      <c r="FJN56" s="10"/>
      <c r="FJO56" s="10"/>
      <c r="FJP56" s="10"/>
      <c r="FJQ56" s="10"/>
      <c r="FJR56" s="10"/>
      <c r="FJS56" s="10"/>
      <c r="FJT56" s="10"/>
      <c r="FJU56" s="10"/>
      <c r="FJV56" s="10"/>
      <c r="FJW56" s="10"/>
      <c r="FJX56" s="10"/>
      <c r="FJY56" s="10"/>
      <c r="FJZ56" s="10"/>
      <c r="FKA56" s="10"/>
      <c r="FKB56" s="10"/>
      <c r="FKC56" s="10"/>
      <c r="FKD56" s="10"/>
      <c r="FKE56" s="10"/>
      <c r="FKF56" s="10"/>
      <c r="FKG56" s="10"/>
      <c r="FKH56" s="10"/>
      <c r="FKI56" s="10"/>
      <c r="FKJ56" s="10"/>
      <c r="FKK56" s="10"/>
      <c r="FKL56" s="10"/>
      <c r="FKM56" s="10"/>
      <c r="FKN56" s="10"/>
      <c r="FKO56" s="10"/>
      <c r="FKP56" s="10"/>
      <c r="FKQ56" s="10"/>
      <c r="FKR56" s="10"/>
      <c r="FKS56" s="10"/>
      <c r="FKT56" s="10"/>
      <c r="FKU56" s="10"/>
      <c r="FKV56" s="10"/>
      <c r="FKW56" s="10"/>
      <c r="FKX56" s="10"/>
      <c r="FKY56" s="10"/>
      <c r="FKZ56" s="10"/>
      <c r="FLA56" s="10"/>
      <c r="FLB56" s="10"/>
      <c r="FLC56" s="10"/>
      <c r="FLD56" s="10"/>
      <c r="FLE56" s="10"/>
      <c r="FLF56" s="10"/>
      <c r="FLG56" s="10"/>
      <c r="FLH56" s="10"/>
      <c r="FLI56" s="10"/>
      <c r="FLJ56" s="10"/>
      <c r="FLK56" s="10"/>
      <c r="FLL56" s="10"/>
      <c r="FLM56" s="10"/>
      <c r="FLN56" s="10"/>
      <c r="FLO56" s="10"/>
      <c r="FLP56" s="10"/>
      <c r="FLQ56" s="10"/>
      <c r="FLR56" s="10"/>
      <c r="FLS56" s="10"/>
      <c r="FLT56" s="10"/>
      <c r="FLU56" s="10"/>
      <c r="FLV56" s="10"/>
      <c r="FLW56" s="10"/>
      <c r="FLX56" s="10"/>
      <c r="FLY56" s="10"/>
      <c r="FLZ56" s="10"/>
      <c r="FMA56" s="10"/>
      <c r="FMB56" s="10"/>
      <c r="FMC56" s="10"/>
      <c r="FMD56" s="10"/>
      <c r="FME56" s="10"/>
      <c r="FMF56" s="10"/>
      <c r="FMG56" s="10"/>
      <c r="FMH56" s="10"/>
      <c r="FMI56" s="10"/>
      <c r="FMJ56" s="10"/>
      <c r="FMK56" s="10"/>
      <c r="FML56" s="10"/>
      <c r="FMM56" s="10"/>
      <c r="FMN56" s="10"/>
      <c r="FMO56" s="10"/>
      <c r="FMP56" s="10"/>
      <c r="FMQ56" s="10"/>
      <c r="FMR56" s="10"/>
      <c r="FMS56" s="10"/>
      <c r="FMT56" s="10"/>
      <c r="FMU56" s="10"/>
      <c r="FMV56" s="10"/>
      <c r="FMW56" s="10"/>
      <c r="FMX56" s="10"/>
      <c r="FMY56" s="10"/>
      <c r="FMZ56" s="10"/>
      <c r="FNA56" s="10"/>
      <c r="FNB56" s="10"/>
      <c r="FNC56" s="10"/>
      <c r="FND56" s="10"/>
      <c r="FNE56" s="10"/>
      <c r="FNF56" s="10"/>
      <c r="FNG56" s="10"/>
      <c r="FNH56" s="10"/>
      <c r="FNI56" s="10"/>
      <c r="FNJ56" s="10"/>
      <c r="FNK56" s="10"/>
      <c r="FNL56" s="10"/>
      <c r="FNM56" s="10"/>
      <c r="FNN56" s="10"/>
      <c r="FNO56" s="10"/>
      <c r="FNP56" s="10"/>
      <c r="FNQ56" s="10"/>
      <c r="FNR56" s="10"/>
      <c r="FNS56" s="10"/>
      <c r="FNT56" s="10"/>
      <c r="FNU56" s="10"/>
      <c r="FNV56" s="10"/>
      <c r="FNW56" s="10"/>
      <c r="FNX56" s="10"/>
      <c r="FNY56" s="10"/>
      <c r="FNZ56" s="10"/>
      <c r="FOA56" s="10"/>
      <c r="FOB56" s="10"/>
      <c r="FOC56" s="10"/>
      <c r="FOD56" s="10"/>
      <c r="FOE56" s="10"/>
      <c r="FOF56" s="10"/>
      <c r="FOG56" s="10"/>
      <c r="FOH56" s="10"/>
      <c r="FOI56" s="10"/>
      <c r="FOJ56" s="10"/>
      <c r="FOK56" s="10"/>
      <c r="FOL56" s="10"/>
      <c r="FOM56" s="10"/>
      <c r="FON56" s="10"/>
      <c r="FOO56" s="10"/>
      <c r="FOP56" s="10"/>
      <c r="FOQ56" s="10"/>
      <c r="FOR56" s="10"/>
      <c r="FOS56" s="10"/>
      <c r="FOT56" s="10"/>
      <c r="FOU56" s="10"/>
      <c r="FOV56" s="10"/>
      <c r="FOW56" s="10"/>
      <c r="FOX56" s="10"/>
      <c r="FOY56" s="10"/>
      <c r="FOZ56" s="10"/>
      <c r="FPA56" s="10"/>
      <c r="FPB56" s="10"/>
      <c r="FPC56" s="10"/>
      <c r="FPD56" s="10"/>
      <c r="FPE56" s="10"/>
      <c r="FPF56" s="10"/>
      <c r="FPG56" s="10"/>
      <c r="FPH56" s="10"/>
      <c r="FPI56" s="10"/>
      <c r="FPJ56" s="10"/>
      <c r="FPK56" s="10"/>
      <c r="FPL56" s="10"/>
      <c r="FPM56" s="10"/>
      <c r="FPN56" s="10"/>
      <c r="FPO56" s="10"/>
      <c r="FPP56" s="10"/>
      <c r="FPQ56" s="10"/>
      <c r="FPR56" s="10"/>
      <c r="FPS56" s="10"/>
      <c r="FPT56" s="10"/>
      <c r="FPU56" s="10"/>
      <c r="FPV56" s="10"/>
      <c r="FPW56" s="10"/>
      <c r="FPX56" s="10"/>
      <c r="FPY56" s="10"/>
      <c r="FPZ56" s="10"/>
      <c r="FQA56" s="10"/>
      <c r="FQB56" s="10"/>
      <c r="FQC56" s="10"/>
      <c r="FQD56" s="10"/>
      <c r="FQE56" s="10"/>
      <c r="FQF56" s="10"/>
      <c r="FQG56" s="10"/>
      <c r="FQH56" s="10"/>
      <c r="FQI56" s="10"/>
      <c r="FQJ56" s="10"/>
      <c r="FQK56" s="10"/>
      <c r="FQL56" s="10"/>
      <c r="FQM56" s="10"/>
      <c r="FQN56" s="10"/>
      <c r="FQO56" s="10"/>
      <c r="FQP56" s="10"/>
      <c r="FQQ56" s="10"/>
      <c r="FQR56" s="10"/>
      <c r="FQS56" s="10"/>
      <c r="FQT56" s="10"/>
      <c r="FQU56" s="10"/>
      <c r="FQV56" s="10"/>
      <c r="FQW56" s="10"/>
      <c r="FQX56" s="10"/>
      <c r="FQY56" s="10"/>
      <c r="FQZ56" s="10"/>
      <c r="FRA56" s="10"/>
      <c r="FRB56" s="10"/>
      <c r="FRC56" s="10"/>
      <c r="FRD56" s="10"/>
      <c r="FRE56" s="10"/>
      <c r="FRF56" s="10"/>
      <c r="FRG56" s="10"/>
      <c r="FRH56" s="10"/>
      <c r="FRI56" s="10"/>
      <c r="FRJ56" s="10"/>
      <c r="FRK56" s="10"/>
      <c r="FRL56" s="10"/>
      <c r="FRM56" s="10"/>
      <c r="FRN56" s="10"/>
      <c r="FRO56" s="10"/>
      <c r="FRP56" s="10"/>
      <c r="FRQ56" s="10"/>
      <c r="FRR56" s="10"/>
      <c r="FRS56" s="10"/>
      <c r="FRT56" s="10"/>
      <c r="FRU56" s="10"/>
      <c r="FRV56" s="10"/>
      <c r="FRW56" s="10"/>
      <c r="FRX56" s="10"/>
      <c r="FRY56" s="10"/>
      <c r="FRZ56" s="10"/>
      <c r="FSA56" s="10"/>
      <c r="FSB56" s="10"/>
      <c r="FSC56" s="10"/>
      <c r="FSD56" s="10"/>
      <c r="FSE56" s="10"/>
      <c r="FSF56" s="10"/>
      <c r="FSG56" s="10"/>
      <c r="FSH56" s="10"/>
      <c r="FSI56" s="10"/>
      <c r="FSJ56" s="10"/>
      <c r="FSK56" s="10"/>
      <c r="FSL56" s="10"/>
      <c r="FSM56" s="10"/>
      <c r="FSN56" s="10"/>
      <c r="FSO56" s="10"/>
      <c r="FSP56" s="10"/>
      <c r="FSQ56" s="10"/>
      <c r="FSR56" s="10"/>
      <c r="FSS56" s="10"/>
      <c r="FST56" s="10"/>
      <c r="FSU56" s="10"/>
      <c r="FSV56" s="10"/>
      <c r="FSW56" s="10"/>
      <c r="FSX56" s="10"/>
      <c r="FSY56" s="10"/>
      <c r="FSZ56" s="10"/>
      <c r="FTA56" s="10"/>
      <c r="FTB56" s="10"/>
      <c r="FTC56" s="10"/>
      <c r="FTD56" s="10"/>
      <c r="FTE56" s="10"/>
      <c r="FTF56" s="10"/>
      <c r="FTG56" s="10"/>
      <c r="FTH56" s="10"/>
      <c r="FTI56" s="10"/>
      <c r="FTJ56" s="10"/>
      <c r="FTK56" s="10"/>
      <c r="FTL56" s="10"/>
      <c r="FTM56" s="10"/>
      <c r="FTN56" s="10"/>
      <c r="FTO56" s="10"/>
      <c r="FTP56" s="10"/>
      <c r="FTQ56" s="10"/>
      <c r="FTR56" s="10"/>
      <c r="FTS56" s="10"/>
      <c r="FTT56" s="10"/>
      <c r="FTU56" s="10"/>
      <c r="FTV56" s="10"/>
      <c r="FTW56" s="10"/>
      <c r="FTX56" s="10"/>
      <c r="FTY56" s="10"/>
      <c r="FTZ56" s="10"/>
      <c r="FUA56" s="10"/>
      <c r="FUB56" s="10"/>
      <c r="FUC56" s="10"/>
      <c r="FUD56" s="10"/>
      <c r="FUE56" s="10"/>
      <c r="FUF56" s="10"/>
      <c r="FUG56" s="10"/>
      <c r="FUH56" s="10"/>
      <c r="FUI56" s="10"/>
      <c r="FUJ56" s="10"/>
      <c r="FUK56" s="10"/>
      <c r="FUL56" s="10"/>
      <c r="FUM56" s="10"/>
      <c r="FUN56" s="10"/>
      <c r="FUO56" s="10"/>
      <c r="FUP56" s="10"/>
      <c r="FUQ56" s="10"/>
      <c r="FUR56" s="10"/>
      <c r="FUS56" s="10"/>
      <c r="FUT56" s="10"/>
      <c r="FUU56" s="10"/>
      <c r="FUV56" s="10"/>
      <c r="FUW56" s="10"/>
      <c r="FUX56" s="10"/>
      <c r="FUY56" s="10"/>
      <c r="FUZ56" s="10"/>
      <c r="FVA56" s="10"/>
      <c r="FVB56" s="10"/>
      <c r="FVC56" s="10"/>
      <c r="FVD56" s="10"/>
      <c r="FVE56" s="10"/>
      <c r="FVF56" s="10"/>
      <c r="FVG56" s="10"/>
      <c r="FVH56" s="10"/>
      <c r="FVI56" s="10"/>
      <c r="FVJ56" s="10"/>
      <c r="FVK56" s="10"/>
      <c r="FVL56" s="10"/>
      <c r="FVM56" s="10"/>
      <c r="FVN56" s="10"/>
      <c r="FVO56" s="10"/>
      <c r="FVP56" s="10"/>
      <c r="FVQ56" s="10"/>
      <c r="FVR56" s="10"/>
      <c r="FVS56" s="10"/>
      <c r="FVT56" s="10"/>
      <c r="FVU56" s="10"/>
      <c r="FVV56" s="10"/>
      <c r="FVW56" s="10"/>
      <c r="FVX56" s="10"/>
      <c r="FVY56" s="10"/>
      <c r="FVZ56" s="10"/>
      <c r="FWA56" s="10"/>
      <c r="FWB56" s="10"/>
      <c r="FWC56" s="10"/>
      <c r="FWD56" s="10"/>
      <c r="FWE56" s="10"/>
      <c r="FWF56" s="10"/>
      <c r="FWG56" s="10"/>
      <c r="FWH56" s="10"/>
      <c r="FWI56" s="10"/>
      <c r="FWJ56" s="10"/>
      <c r="FWK56" s="10"/>
      <c r="FWL56" s="10"/>
      <c r="FWM56" s="10"/>
      <c r="FWN56" s="10"/>
      <c r="FWO56" s="10"/>
      <c r="FWP56" s="10"/>
      <c r="FWQ56" s="10"/>
      <c r="FWR56" s="10"/>
      <c r="FWS56" s="10"/>
      <c r="FWT56" s="10"/>
      <c r="FWU56" s="10"/>
      <c r="FWV56" s="10"/>
      <c r="FWW56" s="10"/>
      <c r="FWX56" s="10"/>
      <c r="FWY56" s="10"/>
      <c r="FWZ56" s="10"/>
      <c r="FXA56" s="10"/>
      <c r="FXB56" s="10"/>
      <c r="FXC56" s="10"/>
      <c r="FXD56" s="10"/>
      <c r="FXE56" s="10"/>
      <c r="FXF56" s="10"/>
      <c r="FXG56" s="10"/>
      <c r="FXH56" s="10"/>
      <c r="FXI56" s="10"/>
      <c r="FXJ56" s="10"/>
      <c r="FXK56" s="10"/>
      <c r="FXL56" s="10"/>
      <c r="FXM56" s="10"/>
      <c r="FXN56" s="10"/>
      <c r="FXO56" s="10"/>
      <c r="FXP56" s="10"/>
      <c r="FXQ56" s="10"/>
      <c r="FXR56" s="10"/>
      <c r="FXS56" s="10"/>
      <c r="FXT56" s="10"/>
      <c r="FXU56" s="10"/>
      <c r="FXV56" s="10"/>
      <c r="FXW56" s="10"/>
      <c r="FXX56" s="10"/>
      <c r="FXY56" s="10"/>
      <c r="FXZ56" s="10"/>
      <c r="FYA56" s="10"/>
      <c r="FYB56" s="10"/>
      <c r="FYC56" s="10"/>
      <c r="FYD56" s="10"/>
      <c r="FYE56" s="10"/>
      <c r="FYF56" s="10"/>
      <c r="FYG56" s="10"/>
      <c r="FYH56" s="10"/>
      <c r="FYI56" s="10"/>
      <c r="FYJ56" s="10"/>
      <c r="FYK56" s="10"/>
      <c r="FYL56" s="10"/>
      <c r="FYM56" s="10"/>
      <c r="FYN56" s="10"/>
      <c r="FYO56" s="10"/>
      <c r="FYP56" s="10"/>
      <c r="FYQ56" s="10"/>
      <c r="FYR56" s="10"/>
      <c r="FYS56" s="10"/>
      <c r="FYT56" s="10"/>
      <c r="FYU56" s="10"/>
      <c r="FYV56" s="10"/>
      <c r="FYW56" s="10"/>
      <c r="FYX56" s="10"/>
      <c r="FYY56" s="10"/>
      <c r="FYZ56" s="10"/>
      <c r="FZA56" s="10"/>
      <c r="FZB56" s="10"/>
      <c r="FZC56" s="10"/>
      <c r="FZD56" s="10"/>
      <c r="FZE56" s="10"/>
      <c r="FZF56" s="10"/>
      <c r="FZG56" s="10"/>
      <c r="FZH56" s="10"/>
      <c r="FZI56" s="10"/>
      <c r="FZJ56" s="10"/>
      <c r="FZK56" s="10"/>
      <c r="FZL56" s="10"/>
      <c r="FZM56" s="10"/>
      <c r="FZN56" s="10"/>
      <c r="FZO56" s="10"/>
      <c r="FZP56" s="10"/>
      <c r="FZQ56" s="10"/>
      <c r="FZR56" s="10"/>
      <c r="FZS56" s="10"/>
      <c r="FZT56" s="10"/>
      <c r="FZU56" s="10"/>
      <c r="FZV56" s="10"/>
      <c r="FZW56" s="10"/>
      <c r="FZX56" s="10"/>
      <c r="FZY56" s="10"/>
      <c r="FZZ56" s="10"/>
      <c r="GAA56" s="10"/>
      <c r="GAB56" s="10"/>
      <c r="GAC56" s="10"/>
      <c r="GAD56" s="10"/>
      <c r="GAE56" s="10"/>
      <c r="GAF56" s="10"/>
      <c r="GAG56" s="10"/>
      <c r="GAH56" s="10"/>
      <c r="GAI56" s="10"/>
      <c r="GAJ56" s="10"/>
      <c r="GAK56" s="10"/>
      <c r="GAL56" s="10"/>
      <c r="GAM56" s="10"/>
      <c r="GAN56" s="10"/>
      <c r="GAO56" s="10"/>
      <c r="GAP56" s="10"/>
      <c r="GAQ56" s="10"/>
      <c r="GAR56" s="10"/>
      <c r="GAS56" s="10"/>
      <c r="GAT56" s="10"/>
      <c r="GAU56" s="10"/>
      <c r="GAV56" s="10"/>
      <c r="GAW56" s="10"/>
      <c r="GAX56" s="10"/>
      <c r="GAY56" s="10"/>
      <c r="GAZ56" s="10"/>
      <c r="GBA56" s="10"/>
      <c r="GBB56" s="10"/>
      <c r="GBC56" s="10"/>
      <c r="GBD56" s="10"/>
      <c r="GBE56" s="10"/>
      <c r="GBF56" s="10"/>
      <c r="GBG56" s="10"/>
      <c r="GBH56" s="10"/>
      <c r="GBI56" s="10"/>
      <c r="GBJ56" s="10"/>
      <c r="GBK56" s="10"/>
      <c r="GBL56" s="10"/>
      <c r="GBM56" s="10"/>
      <c r="GBN56" s="10"/>
      <c r="GBO56" s="10"/>
      <c r="GBP56" s="10"/>
      <c r="GBQ56" s="10"/>
      <c r="GBR56" s="10"/>
      <c r="GBS56" s="10"/>
      <c r="GBT56" s="10"/>
      <c r="GBU56" s="10"/>
      <c r="GBV56" s="10"/>
      <c r="GBW56" s="10"/>
      <c r="GBX56" s="10"/>
      <c r="GBY56" s="10"/>
      <c r="GBZ56" s="10"/>
      <c r="GCA56" s="10"/>
      <c r="GCB56" s="10"/>
      <c r="GCC56" s="10"/>
      <c r="GCD56" s="10"/>
      <c r="GCE56" s="10"/>
      <c r="GCF56" s="10"/>
      <c r="GCG56" s="10"/>
      <c r="GCH56" s="10"/>
      <c r="GCI56" s="10"/>
      <c r="GCJ56" s="10"/>
      <c r="GCK56" s="10"/>
      <c r="GCL56" s="10"/>
      <c r="GCM56" s="10"/>
      <c r="GCN56" s="10"/>
      <c r="GCO56" s="10"/>
      <c r="GCP56" s="10"/>
      <c r="GCQ56" s="10"/>
      <c r="GCR56" s="10"/>
      <c r="GCS56" s="10"/>
      <c r="GCT56" s="10"/>
      <c r="GCU56" s="10"/>
      <c r="GCV56" s="10"/>
      <c r="GCW56" s="10"/>
      <c r="GCX56" s="10"/>
      <c r="GCY56" s="10"/>
      <c r="GCZ56" s="10"/>
      <c r="GDA56" s="10"/>
      <c r="GDB56" s="10"/>
      <c r="GDC56" s="10"/>
      <c r="GDD56" s="10"/>
      <c r="GDE56" s="10"/>
      <c r="GDF56" s="10"/>
      <c r="GDG56" s="10"/>
      <c r="GDH56" s="10"/>
      <c r="GDI56" s="10"/>
      <c r="GDJ56" s="10"/>
      <c r="GDK56" s="10"/>
      <c r="GDL56" s="10"/>
      <c r="GDM56" s="10"/>
      <c r="GDN56" s="10"/>
      <c r="GDO56" s="10"/>
      <c r="GDP56" s="10"/>
      <c r="GDQ56" s="10"/>
      <c r="GDR56" s="10"/>
      <c r="GDS56" s="10"/>
      <c r="GDT56" s="10"/>
      <c r="GDU56" s="10"/>
      <c r="GDV56" s="10"/>
      <c r="GDW56" s="10"/>
      <c r="GDX56" s="10"/>
      <c r="GDY56" s="10"/>
      <c r="GDZ56" s="10"/>
      <c r="GEA56" s="10"/>
      <c r="GEB56" s="10"/>
      <c r="GEC56" s="10"/>
      <c r="GED56" s="10"/>
      <c r="GEE56" s="10"/>
      <c r="GEF56" s="10"/>
      <c r="GEG56" s="10"/>
      <c r="GEH56" s="10"/>
      <c r="GEI56" s="10"/>
      <c r="GEJ56" s="10"/>
      <c r="GEK56" s="10"/>
      <c r="GEL56" s="10"/>
      <c r="GEM56" s="10"/>
      <c r="GEN56" s="10"/>
      <c r="GEO56" s="10"/>
      <c r="GEP56" s="10"/>
      <c r="GEQ56" s="10"/>
      <c r="GER56" s="10"/>
      <c r="GES56" s="10"/>
      <c r="GET56" s="10"/>
      <c r="GEU56" s="10"/>
      <c r="GEV56" s="10"/>
      <c r="GEW56" s="10"/>
      <c r="GEX56" s="10"/>
      <c r="GEY56" s="10"/>
      <c r="GEZ56" s="10"/>
      <c r="GFA56" s="10"/>
      <c r="GFB56" s="10"/>
      <c r="GFC56" s="10"/>
      <c r="GFD56" s="10"/>
      <c r="GFE56" s="10"/>
      <c r="GFF56" s="10"/>
      <c r="GFG56" s="10"/>
      <c r="GFH56" s="10"/>
      <c r="GFI56" s="10"/>
      <c r="GFJ56" s="10"/>
      <c r="GFK56" s="10"/>
      <c r="GFL56" s="10"/>
      <c r="GFM56" s="10"/>
      <c r="GFN56" s="10"/>
      <c r="GFO56" s="10"/>
      <c r="GFP56" s="10"/>
      <c r="GFQ56" s="10"/>
      <c r="GFR56" s="10"/>
      <c r="GFS56" s="10"/>
      <c r="GFT56" s="10"/>
      <c r="GFU56" s="10"/>
      <c r="GFV56" s="10"/>
      <c r="GFW56" s="10"/>
      <c r="GFX56" s="10"/>
      <c r="GFY56" s="10"/>
      <c r="GFZ56" s="10"/>
      <c r="GGA56" s="10"/>
      <c r="GGB56" s="10"/>
      <c r="GGC56" s="10"/>
      <c r="GGD56" s="10"/>
      <c r="GGE56" s="10"/>
      <c r="GGF56" s="10"/>
      <c r="GGG56" s="10"/>
      <c r="GGH56" s="10"/>
      <c r="GGI56" s="10"/>
      <c r="GGJ56" s="10"/>
      <c r="GGK56" s="10"/>
      <c r="GGL56" s="10"/>
      <c r="GGM56" s="10"/>
      <c r="GGN56" s="10"/>
      <c r="GGO56" s="10"/>
      <c r="GGP56" s="10"/>
      <c r="GGQ56" s="10"/>
      <c r="GGR56" s="10"/>
      <c r="GGS56" s="10"/>
      <c r="GGT56" s="10"/>
      <c r="GGU56" s="10"/>
      <c r="GGV56" s="10"/>
      <c r="GGW56" s="10"/>
      <c r="GGX56" s="10"/>
      <c r="GGY56" s="10"/>
      <c r="GGZ56" s="10"/>
      <c r="GHA56" s="10"/>
      <c r="GHB56" s="10"/>
      <c r="GHC56" s="10"/>
      <c r="GHD56" s="10"/>
      <c r="GHE56" s="10"/>
      <c r="GHF56" s="10"/>
      <c r="GHG56" s="10"/>
      <c r="GHH56" s="10"/>
      <c r="GHI56" s="10"/>
      <c r="GHJ56" s="10"/>
      <c r="GHK56" s="10"/>
      <c r="GHL56" s="10"/>
      <c r="GHM56" s="10"/>
      <c r="GHN56" s="10"/>
      <c r="GHO56" s="10"/>
      <c r="GHP56" s="10"/>
      <c r="GHQ56" s="10"/>
      <c r="GHR56" s="10"/>
      <c r="GHS56" s="10"/>
      <c r="GHT56" s="10"/>
      <c r="GHU56" s="10"/>
      <c r="GHV56" s="10"/>
      <c r="GHW56" s="10"/>
      <c r="GHX56" s="10"/>
      <c r="GHY56" s="10"/>
      <c r="GHZ56" s="10"/>
      <c r="GIA56" s="10"/>
      <c r="GIB56" s="10"/>
      <c r="GIC56" s="10"/>
      <c r="GID56" s="10"/>
      <c r="GIE56" s="10"/>
      <c r="GIF56" s="10"/>
      <c r="GIG56" s="10"/>
      <c r="GIH56" s="10"/>
      <c r="GII56" s="10"/>
      <c r="GIJ56" s="10"/>
      <c r="GIK56" s="10"/>
      <c r="GIL56" s="10"/>
      <c r="GIM56" s="10"/>
      <c r="GIN56" s="10"/>
      <c r="GIO56" s="10"/>
      <c r="GIP56" s="10"/>
      <c r="GIQ56" s="10"/>
      <c r="GIR56" s="10"/>
      <c r="GIS56" s="10"/>
      <c r="GIT56" s="10"/>
      <c r="GIU56" s="10"/>
      <c r="GIV56" s="10"/>
      <c r="GIW56" s="10"/>
      <c r="GIX56" s="10"/>
      <c r="GIY56" s="10"/>
      <c r="GIZ56" s="10"/>
      <c r="GJA56" s="10"/>
      <c r="GJB56" s="10"/>
      <c r="GJC56" s="10"/>
      <c r="GJD56" s="10"/>
      <c r="GJE56" s="10"/>
      <c r="GJF56" s="10"/>
      <c r="GJG56" s="10"/>
      <c r="GJH56" s="10"/>
      <c r="GJI56" s="10"/>
      <c r="GJJ56" s="10"/>
      <c r="GJK56" s="10"/>
      <c r="GJL56" s="10"/>
      <c r="GJM56" s="10"/>
      <c r="GJN56" s="10"/>
      <c r="GJO56" s="10"/>
      <c r="GJP56" s="10"/>
      <c r="GJQ56" s="10"/>
      <c r="GJR56" s="10"/>
      <c r="GJS56" s="10"/>
      <c r="GJT56" s="10"/>
      <c r="GJU56" s="10"/>
      <c r="GJV56" s="10"/>
      <c r="GJW56" s="10"/>
      <c r="GJX56" s="10"/>
      <c r="GJY56" s="10"/>
      <c r="GJZ56" s="10"/>
      <c r="GKA56" s="10"/>
      <c r="GKB56" s="10"/>
      <c r="GKC56" s="10"/>
      <c r="GKD56" s="10"/>
      <c r="GKE56" s="10"/>
      <c r="GKF56" s="10"/>
      <c r="GKG56" s="10"/>
      <c r="GKH56" s="10"/>
      <c r="GKI56" s="10"/>
      <c r="GKJ56" s="10"/>
      <c r="GKK56" s="10"/>
      <c r="GKL56" s="10"/>
      <c r="GKM56" s="10"/>
      <c r="GKN56" s="10"/>
      <c r="GKO56" s="10"/>
      <c r="GKP56" s="10"/>
      <c r="GKQ56" s="10"/>
      <c r="GKR56" s="10"/>
      <c r="GKS56" s="10"/>
      <c r="GKT56" s="10"/>
      <c r="GKU56" s="10"/>
      <c r="GKV56" s="10"/>
      <c r="GKW56" s="10"/>
      <c r="GKX56" s="10"/>
      <c r="GKY56" s="10"/>
      <c r="GKZ56" s="10"/>
      <c r="GLA56" s="10"/>
      <c r="GLB56" s="10"/>
      <c r="GLC56" s="10"/>
      <c r="GLD56" s="10"/>
      <c r="GLE56" s="10"/>
      <c r="GLF56" s="10"/>
      <c r="GLG56" s="10"/>
      <c r="GLH56" s="10"/>
      <c r="GLI56" s="10"/>
      <c r="GLJ56" s="10"/>
      <c r="GLK56" s="10"/>
      <c r="GLL56" s="10"/>
      <c r="GLM56" s="10"/>
      <c r="GLN56" s="10"/>
      <c r="GLO56" s="10"/>
      <c r="GLP56" s="10"/>
      <c r="GLQ56" s="10"/>
      <c r="GLR56" s="10"/>
      <c r="GLS56" s="10"/>
      <c r="GLT56" s="10"/>
      <c r="GLU56" s="10"/>
      <c r="GLV56" s="10"/>
      <c r="GLW56" s="10"/>
      <c r="GLX56" s="10"/>
      <c r="GLY56" s="10"/>
      <c r="GLZ56" s="10"/>
      <c r="GMA56" s="10"/>
      <c r="GMB56" s="10"/>
      <c r="GMC56" s="10"/>
      <c r="GMD56" s="10"/>
      <c r="GME56" s="10"/>
      <c r="GMF56" s="10"/>
      <c r="GMG56" s="10"/>
      <c r="GMH56" s="10"/>
      <c r="GMI56" s="10"/>
      <c r="GMJ56" s="10"/>
      <c r="GMK56" s="10"/>
      <c r="GML56" s="10"/>
      <c r="GMM56" s="10"/>
      <c r="GMN56" s="10"/>
      <c r="GMO56" s="10"/>
      <c r="GMP56" s="10"/>
      <c r="GMQ56" s="10"/>
      <c r="GMR56" s="10"/>
      <c r="GMS56" s="10"/>
      <c r="GMT56" s="10"/>
      <c r="GMU56" s="10"/>
      <c r="GMV56" s="10"/>
      <c r="GMW56" s="10"/>
      <c r="GMX56" s="10"/>
      <c r="GMY56" s="10"/>
      <c r="GMZ56" s="10"/>
      <c r="GNA56" s="10"/>
      <c r="GNB56" s="10"/>
      <c r="GNC56" s="10"/>
      <c r="GND56" s="10"/>
      <c r="GNE56" s="10"/>
      <c r="GNF56" s="10"/>
      <c r="GNG56" s="10"/>
      <c r="GNH56" s="10"/>
      <c r="GNI56" s="10"/>
      <c r="GNJ56" s="10"/>
      <c r="GNK56" s="10"/>
      <c r="GNL56" s="10"/>
      <c r="GNM56" s="10"/>
      <c r="GNN56" s="10"/>
      <c r="GNO56" s="10"/>
      <c r="GNP56" s="10"/>
      <c r="GNQ56" s="10"/>
      <c r="GNR56" s="10"/>
      <c r="GNS56" s="10"/>
      <c r="GNT56" s="10"/>
      <c r="GNU56" s="10"/>
      <c r="GNV56" s="10"/>
      <c r="GNW56" s="10"/>
      <c r="GNX56" s="10"/>
      <c r="GNY56" s="10"/>
      <c r="GNZ56" s="10"/>
      <c r="GOA56" s="10"/>
      <c r="GOB56" s="10"/>
      <c r="GOC56" s="10"/>
      <c r="GOD56" s="10"/>
      <c r="GOE56" s="10"/>
      <c r="GOF56" s="10"/>
      <c r="GOG56" s="10"/>
      <c r="GOH56" s="10"/>
      <c r="GOI56" s="10"/>
      <c r="GOJ56" s="10"/>
      <c r="GOK56" s="10"/>
      <c r="GOL56" s="10"/>
      <c r="GOM56" s="10"/>
      <c r="GON56" s="10"/>
      <c r="GOO56" s="10"/>
      <c r="GOP56" s="10"/>
      <c r="GOQ56" s="10"/>
      <c r="GOR56" s="10"/>
      <c r="GOS56" s="10"/>
      <c r="GOT56" s="10"/>
      <c r="GOU56" s="10"/>
      <c r="GOV56" s="10"/>
      <c r="GOW56" s="10"/>
      <c r="GOX56" s="10"/>
      <c r="GOY56" s="10"/>
      <c r="GOZ56" s="10"/>
      <c r="GPA56" s="10"/>
      <c r="GPB56" s="10"/>
      <c r="GPC56" s="10"/>
      <c r="GPD56" s="10"/>
      <c r="GPE56" s="10"/>
      <c r="GPF56" s="10"/>
      <c r="GPG56" s="10"/>
      <c r="GPH56" s="10"/>
      <c r="GPI56" s="10"/>
      <c r="GPJ56" s="10"/>
      <c r="GPK56" s="10"/>
      <c r="GPL56" s="10"/>
      <c r="GPM56" s="10"/>
      <c r="GPN56" s="10"/>
      <c r="GPO56" s="10"/>
      <c r="GPP56" s="10"/>
      <c r="GPQ56" s="10"/>
      <c r="GPR56" s="10"/>
      <c r="GPS56" s="10"/>
      <c r="GPT56" s="10"/>
      <c r="GPU56" s="10"/>
      <c r="GPV56" s="10"/>
      <c r="GPW56" s="10"/>
      <c r="GPX56" s="10"/>
      <c r="GPY56" s="10"/>
      <c r="GPZ56" s="10"/>
      <c r="GQA56" s="10"/>
      <c r="GQB56" s="10"/>
      <c r="GQC56" s="10"/>
      <c r="GQD56" s="10"/>
      <c r="GQE56" s="10"/>
      <c r="GQF56" s="10"/>
      <c r="GQG56" s="10"/>
      <c r="GQH56" s="10"/>
      <c r="GQI56" s="10"/>
      <c r="GQJ56" s="10"/>
      <c r="GQK56" s="10"/>
      <c r="GQL56" s="10"/>
      <c r="GQM56" s="10"/>
      <c r="GQN56" s="10"/>
      <c r="GQO56" s="10"/>
      <c r="GQP56" s="10"/>
      <c r="GQQ56" s="10"/>
      <c r="GQR56" s="10"/>
      <c r="GQS56" s="10"/>
      <c r="GQT56" s="10"/>
      <c r="GQU56" s="10"/>
      <c r="GQV56" s="10"/>
      <c r="GQW56" s="10"/>
      <c r="GQX56" s="10"/>
      <c r="GQY56" s="10"/>
      <c r="GQZ56" s="10"/>
      <c r="GRA56" s="10"/>
      <c r="GRB56" s="10"/>
      <c r="GRC56" s="10"/>
      <c r="GRD56" s="10"/>
      <c r="GRE56" s="10"/>
      <c r="GRF56" s="10"/>
      <c r="GRG56" s="10"/>
      <c r="GRH56" s="10"/>
      <c r="GRI56" s="10"/>
      <c r="GRJ56" s="10"/>
      <c r="GRK56" s="10"/>
      <c r="GRL56" s="10"/>
      <c r="GRM56" s="10"/>
      <c r="GRN56" s="10"/>
      <c r="GRO56" s="10"/>
      <c r="GRP56" s="10"/>
      <c r="GRQ56" s="10"/>
      <c r="GRR56" s="10"/>
      <c r="GRS56" s="10"/>
      <c r="GRT56" s="10"/>
      <c r="GRU56" s="10"/>
      <c r="GRV56" s="10"/>
      <c r="GRW56" s="10"/>
      <c r="GRX56" s="10"/>
      <c r="GRY56" s="10"/>
      <c r="GRZ56" s="10"/>
      <c r="GSA56" s="10"/>
      <c r="GSB56" s="10"/>
      <c r="GSC56" s="10"/>
      <c r="GSD56" s="10"/>
      <c r="GSE56" s="10"/>
      <c r="GSF56" s="10"/>
      <c r="GSG56" s="10"/>
      <c r="GSH56" s="10"/>
      <c r="GSI56" s="10"/>
      <c r="GSJ56" s="10"/>
      <c r="GSK56" s="10"/>
      <c r="GSL56" s="10"/>
      <c r="GSM56" s="10"/>
      <c r="GSN56" s="10"/>
      <c r="GSO56" s="10"/>
      <c r="GSP56" s="10"/>
      <c r="GSQ56" s="10"/>
      <c r="GSR56" s="10"/>
      <c r="GSS56" s="10"/>
      <c r="GST56" s="10"/>
      <c r="GSU56" s="10"/>
      <c r="GSV56" s="10"/>
      <c r="GSW56" s="10"/>
      <c r="GSX56" s="10"/>
      <c r="GSY56" s="10"/>
      <c r="GSZ56" s="10"/>
      <c r="GTA56" s="10"/>
      <c r="GTB56" s="10"/>
      <c r="GTC56" s="10"/>
      <c r="GTD56" s="10"/>
      <c r="GTE56" s="10"/>
      <c r="GTF56" s="10"/>
      <c r="GTG56" s="10"/>
      <c r="GTH56" s="10"/>
      <c r="GTI56" s="10"/>
      <c r="GTJ56" s="10"/>
      <c r="GTK56" s="10"/>
      <c r="GTL56" s="10"/>
      <c r="GTM56" s="10"/>
      <c r="GTN56" s="10"/>
      <c r="GTO56" s="10"/>
      <c r="GTP56" s="10"/>
      <c r="GTQ56" s="10"/>
      <c r="GTR56" s="10"/>
      <c r="GTS56" s="10"/>
      <c r="GTT56" s="10"/>
      <c r="GTU56" s="10"/>
      <c r="GTV56" s="10"/>
      <c r="GTW56" s="10"/>
      <c r="GTX56" s="10"/>
      <c r="GTY56" s="10"/>
      <c r="GTZ56" s="10"/>
      <c r="GUA56" s="10"/>
      <c r="GUB56" s="10"/>
      <c r="GUC56" s="10"/>
      <c r="GUD56" s="10"/>
      <c r="GUE56" s="10"/>
      <c r="GUF56" s="10"/>
      <c r="GUG56" s="10"/>
      <c r="GUH56" s="10"/>
      <c r="GUI56" s="10"/>
      <c r="GUJ56" s="10"/>
      <c r="GUK56" s="10"/>
      <c r="GUL56" s="10"/>
      <c r="GUM56" s="10"/>
      <c r="GUN56" s="10"/>
      <c r="GUO56" s="10"/>
      <c r="GUP56" s="10"/>
      <c r="GUQ56" s="10"/>
      <c r="GUR56" s="10"/>
      <c r="GUS56" s="10"/>
      <c r="GUT56" s="10"/>
      <c r="GUU56" s="10"/>
      <c r="GUV56" s="10"/>
      <c r="GUW56" s="10"/>
      <c r="GUX56" s="10"/>
      <c r="GUY56" s="10"/>
      <c r="GUZ56" s="10"/>
      <c r="GVA56" s="10"/>
      <c r="GVB56" s="10"/>
      <c r="GVC56" s="10"/>
      <c r="GVD56" s="10"/>
      <c r="GVE56" s="10"/>
      <c r="GVF56" s="10"/>
      <c r="GVG56" s="10"/>
      <c r="GVH56" s="10"/>
      <c r="GVI56" s="10"/>
      <c r="GVJ56" s="10"/>
      <c r="GVK56" s="10"/>
      <c r="GVL56" s="10"/>
      <c r="GVM56" s="10"/>
      <c r="GVN56" s="10"/>
      <c r="GVO56" s="10"/>
      <c r="GVP56" s="10"/>
      <c r="GVQ56" s="10"/>
      <c r="GVR56" s="10"/>
      <c r="GVS56" s="10"/>
      <c r="GVT56" s="10"/>
      <c r="GVU56" s="10"/>
      <c r="GVV56" s="10"/>
      <c r="GVW56" s="10"/>
      <c r="GVX56" s="10"/>
      <c r="GVY56" s="10"/>
      <c r="GVZ56" s="10"/>
      <c r="GWA56" s="10"/>
      <c r="GWB56" s="10"/>
      <c r="GWC56" s="10"/>
      <c r="GWD56" s="10"/>
      <c r="GWE56" s="10"/>
      <c r="GWF56" s="10"/>
      <c r="GWG56" s="10"/>
      <c r="GWH56" s="10"/>
      <c r="GWI56" s="10"/>
      <c r="GWJ56" s="10"/>
      <c r="GWK56" s="10"/>
      <c r="GWL56" s="10"/>
      <c r="GWM56" s="10"/>
      <c r="GWN56" s="10"/>
      <c r="GWO56" s="10"/>
      <c r="GWP56" s="10"/>
      <c r="GWQ56" s="10"/>
      <c r="GWR56" s="10"/>
      <c r="GWS56" s="10"/>
      <c r="GWT56" s="10"/>
      <c r="GWU56" s="10"/>
      <c r="GWV56" s="10"/>
      <c r="GWW56" s="10"/>
      <c r="GWX56" s="10"/>
      <c r="GWY56" s="10"/>
      <c r="GWZ56" s="10"/>
      <c r="GXA56" s="10"/>
      <c r="GXB56" s="10"/>
      <c r="GXC56" s="10"/>
      <c r="GXD56" s="10"/>
      <c r="GXE56" s="10"/>
      <c r="GXF56" s="10"/>
      <c r="GXG56" s="10"/>
      <c r="GXH56" s="10"/>
      <c r="GXI56" s="10"/>
      <c r="GXJ56" s="10"/>
      <c r="GXK56" s="10"/>
      <c r="GXL56" s="10"/>
      <c r="GXM56" s="10"/>
      <c r="GXN56" s="10"/>
      <c r="GXO56" s="10"/>
      <c r="GXP56" s="10"/>
      <c r="GXQ56" s="10"/>
      <c r="GXR56" s="10"/>
      <c r="GXS56" s="10"/>
      <c r="GXT56" s="10"/>
      <c r="GXU56" s="10"/>
      <c r="GXV56" s="10"/>
      <c r="GXW56" s="10"/>
      <c r="GXX56" s="10"/>
      <c r="GXY56" s="10"/>
      <c r="GXZ56" s="10"/>
      <c r="GYA56" s="10"/>
      <c r="GYB56" s="10"/>
      <c r="GYC56" s="10"/>
      <c r="GYD56" s="10"/>
      <c r="GYE56" s="10"/>
      <c r="GYF56" s="10"/>
      <c r="GYG56" s="10"/>
      <c r="GYH56" s="10"/>
      <c r="GYI56" s="10"/>
      <c r="GYJ56" s="10"/>
      <c r="GYK56" s="10"/>
      <c r="GYL56" s="10"/>
      <c r="GYM56" s="10"/>
      <c r="GYN56" s="10"/>
      <c r="GYO56" s="10"/>
      <c r="GYP56" s="10"/>
      <c r="GYQ56" s="10"/>
      <c r="GYR56" s="10"/>
      <c r="GYS56" s="10"/>
      <c r="GYT56" s="10"/>
      <c r="GYU56" s="10"/>
      <c r="GYV56" s="10"/>
      <c r="GYW56" s="10"/>
      <c r="GYX56" s="10"/>
      <c r="GYY56" s="10"/>
      <c r="GYZ56" s="10"/>
      <c r="GZA56" s="10"/>
      <c r="GZB56" s="10"/>
      <c r="GZC56" s="10"/>
      <c r="GZD56" s="10"/>
      <c r="GZE56" s="10"/>
      <c r="GZF56" s="10"/>
      <c r="GZG56" s="10"/>
      <c r="GZH56" s="10"/>
      <c r="GZI56" s="10"/>
      <c r="GZJ56" s="10"/>
      <c r="GZK56" s="10"/>
      <c r="GZL56" s="10"/>
      <c r="GZM56" s="10"/>
      <c r="GZN56" s="10"/>
      <c r="GZO56" s="10"/>
      <c r="GZP56" s="10"/>
      <c r="GZQ56" s="10"/>
      <c r="GZR56" s="10"/>
      <c r="GZS56" s="10"/>
      <c r="GZT56" s="10"/>
      <c r="GZU56" s="10"/>
      <c r="GZV56" s="10"/>
      <c r="GZW56" s="10"/>
      <c r="GZX56" s="10"/>
      <c r="GZY56" s="10"/>
      <c r="GZZ56" s="10"/>
      <c r="HAA56" s="10"/>
      <c r="HAB56" s="10"/>
      <c r="HAC56" s="10"/>
      <c r="HAD56" s="10"/>
      <c r="HAE56" s="10"/>
      <c r="HAF56" s="10"/>
      <c r="HAG56" s="10"/>
      <c r="HAH56" s="10"/>
      <c r="HAI56" s="10"/>
      <c r="HAJ56" s="10"/>
      <c r="HAK56" s="10"/>
      <c r="HAL56" s="10"/>
      <c r="HAM56" s="10"/>
      <c r="HAN56" s="10"/>
      <c r="HAO56" s="10"/>
      <c r="HAP56" s="10"/>
      <c r="HAQ56" s="10"/>
      <c r="HAR56" s="10"/>
      <c r="HAS56" s="10"/>
      <c r="HAT56" s="10"/>
      <c r="HAU56" s="10"/>
      <c r="HAV56" s="10"/>
      <c r="HAW56" s="10"/>
      <c r="HAX56" s="10"/>
      <c r="HAY56" s="10"/>
      <c r="HAZ56" s="10"/>
      <c r="HBA56" s="10"/>
      <c r="HBB56" s="10"/>
      <c r="HBC56" s="10"/>
      <c r="HBD56" s="10"/>
      <c r="HBE56" s="10"/>
      <c r="HBF56" s="10"/>
      <c r="HBG56" s="10"/>
      <c r="HBH56" s="10"/>
      <c r="HBI56" s="10"/>
      <c r="HBJ56" s="10"/>
      <c r="HBK56" s="10"/>
      <c r="HBL56" s="10"/>
      <c r="HBM56" s="10"/>
      <c r="HBN56" s="10"/>
      <c r="HBO56" s="10"/>
      <c r="HBP56" s="10"/>
      <c r="HBQ56" s="10"/>
      <c r="HBR56" s="10"/>
      <c r="HBS56" s="10"/>
      <c r="HBT56" s="10"/>
      <c r="HBU56" s="10"/>
      <c r="HBV56" s="10"/>
      <c r="HBW56" s="10"/>
      <c r="HBX56" s="10"/>
      <c r="HBY56" s="10"/>
      <c r="HBZ56" s="10"/>
      <c r="HCA56" s="10"/>
      <c r="HCB56" s="10"/>
      <c r="HCC56" s="10"/>
      <c r="HCD56" s="10"/>
      <c r="HCE56" s="10"/>
      <c r="HCF56" s="10"/>
      <c r="HCG56" s="10"/>
      <c r="HCH56" s="10"/>
      <c r="HCI56" s="10"/>
      <c r="HCJ56" s="10"/>
      <c r="HCK56" s="10"/>
      <c r="HCL56" s="10"/>
      <c r="HCM56" s="10"/>
      <c r="HCN56" s="10"/>
      <c r="HCO56" s="10"/>
      <c r="HCP56" s="10"/>
      <c r="HCQ56" s="10"/>
      <c r="HCR56" s="10"/>
      <c r="HCS56" s="10"/>
      <c r="HCT56" s="10"/>
      <c r="HCU56" s="10"/>
      <c r="HCV56" s="10"/>
      <c r="HCW56" s="10"/>
      <c r="HCX56" s="10"/>
      <c r="HCY56" s="10"/>
      <c r="HCZ56" s="10"/>
      <c r="HDA56" s="10"/>
      <c r="HDB56" s="10"/>
      <c r="HDC56" s="10"/>
      <c r="HDD56" s="10"/>
      <c r="HDE56" s="10"/>
      <c r="HDF56" s="10"/>
      <c r="HDG56" s="10"/>
      <c r="HDH56" s="10"/>
      <c r="HDI56" s="10"/>
      <c r="HDJ56" s="10"/>
      <c r="HDK56" s="10"/>
      <c r="HDL56" s="10"/>
      <c r="HDM56" s="10"/>
      <c r="HDN56" s="10"/>
      <c r="HDO56" s="10"/>
      <c r="HDP56" s="10"/>
      <c r="HDQ56" s="10"/>
      <c r="HDR56" s="10"/>
      <c r="HDS56" s="10"/>
      <c r="HDT56" s="10"/>
      <c r="HDU56" s="10"/>
      <c r="HDV56" s="10"/>
      <c r="HDW56" s="10"/>
      <c r="HDX56" s="10"/>
      <c r="HDY56" s="10"/>
      <c r="HDZ56" s="10"/>
      <c r="HEA56" s="10"/>
      <c r="HEB56" s="10"/>
      <c r="HEC56" s="10"/>
      <c r="HED56" s="10"/>
      <c r="HEE56" s="10"/>
      <c r="HEF56" s="10"/>
      <c r="HEG56" s="10"/>
      <c r="HEH56" s="10"/>
      <c r="HEI56" s="10"/>
      <c r="HEJ56" s="10"/>
      <c r="HEK56" s="10"/>
      <c r="HEL56" s="10"/>
      <c r="HEM56" s="10"/>
      <c r="HEN56" s="10"/>
      <c r="HEO56" s="10"/>
      <c r="HEP56" s="10"/>
      <c r="HEQ56" s="10"/>
      <c r="HER56" s="10"/>
      <c r="HES56" s="10"/>
      <c r="HET56" s="10"/>
      <c r="HEU56" s="10"/>
      <c r="HEV56" s="10"/>
      <c r="HEW56" s="10"/>
      <c r="HEX56" s="10"/>
      <c r="HEY56" s="10"/>
      <c r="HEZ56" s="10"/>
      <c r="HFA56" s="10"/>
      <c r="HFB56" s="10"/>
      <c r="HFC56" s="10"/>
      <c r="HFD56" s="10"/>
      <c r="HFE56" s="10"/>
      <c r="HFF56" s="10"/>
      <c r="HFG56" s="10"/>
      <c r="HFH56" s="10"/>
      <c r="HFI56" s="10"/>
      <c r="HFJ56" s="10"/>
      <c r="HFK56" s="10"/>
      <c r="HFL56" s="10"/>
      <c r="HFM56" s="10"/>
      <c r="HFN56" s="10"/>
      <c r="HFO56" s="10"/>
      <c r="HFP56" s="10"/>
      <c r="HFQ56" s="10"/>
      <c r="HFR56" s="10"/>
      <c r="HFS56" s="10"/>
      <c r="HFT56" s="10"/>
      <c r="HFU56" s="10"/>
      <c r="HFV56" s="10"/>
      <c r="HFW56" s="10"/>
      <c r="HFX56" s="10"/>
      <c r="HFY56" s="10"/>
      <c r="HFZ56" s="10"/>
      <c r="HGA56" s="10"/>
      <c r="HGB56" s="10"/>
      <c r="HGC56" s="10"/>
      <c r="HGD56" s="10"/>
      <c r="HGE56" s="10"/>
      <c r="HGF56" s="10"/>
      <c r="HGG56" s="10"/>
      <c r="HGH56" s="10"/>
      <c r="HGI56" s="10"/>
      <c r="HGJ56" s="10"/>
      <c r="HGK56" s="10"/>
      <c r="HGL56" s="10"/>
      <c r="HGM56" s="10"/>
      <c r="HGN56" s="10"/>
      <c r="HGO56" s="10"/>
      <c r="HGP56" s="10"/>
      <c r="HGQ56" s="10"/>
      <c r="HGR56" s="10"/>
      <c r="HGS56" s="10"/>
      <c r="HGT56" s="10"/>
      <c r="HGU56" s="10"/>
      <c r="HGV56" s="10"/>
      <c r="HGW56" s="10"/>
      <c r="HGX56" s="10"/>
      <c r="HGY56" s="10"/>
      <c r="HGZ56" s="10"/>
      <c r="HHA56" s="10"/>
      <c r="HHB56" s="10"/>
      <c r="HHC56" s="10"/>
      <c r="HHD56" s="10"/>
      <c r="HHE56" s="10"/>
      <c r="HHF56" s="10"/>
      <c r="HHG56" s="10"/>
      <c r="HHH56" s="10"/>
      <c r="HHI56" s="10"/>
      <c r="HHJ56" s="10"/>
      <c r="HHK56" s="10"/>
      <c r="HHL56" s="10"/>
      <c r="HHM56" s="10"/>
      <c r="HHN56" s="10"/>
      <c r="HHO56" s="10"/>
      <c r="HHP56" s="10"/>
      <c r="HHQ56" s="10"/>
      <c r="HHR56" s="10"/>
      <c r="HHS56" s="10"/>
      <c r="HHT56" s="10"/>
      <c r="HHU56" s="10"/>
      <c r="HHV56" s="10"/>
      <c r="HHW56" s="10"/>
      <c r="HHX56" s="10"/>
      <c r="HHY56" s="10"/>
      <c r="HHZ56" s="10"/>
      <c r="HIA56" s="10"/>
      <c r="HIB56" s="10"/>
      <c r="HIC56" s="10"/>
      <c r="HID56" s="10"/>
      <c r="HIE56" s="10"/>
      <c r="HIF56" s="10"/>
      <c r="HIG56" s="10"/>
      <c r="HIH56" s="10"/>
      <c r="HII56" s="10"/>
      <c r="HIJ56" s="10"/>
      <c r="HIK56" s="10"/>
      <c r="HIL56" s="10"/>
      <c r="HIM56" s="10"/>
      <c r="HIN56" s="10"/>
      <c r="HIO56" s="10"/>
      <c r="HIP56" s="10"/>
      <c r="HIQ56" s="10"/>
      <c r="HIR56" s="10"/>
      <c r="HIS56" s="10"/>
      <c r="HIT56" s="10"/>
      <c r="HIU56" s="10"/>
      <c r="HIV56" s="10"/>
      <c r="HIW56" s="10"/>
      <c r="HIX56" s="10"/>
      <c r="HIY56" s="10"/>
      <c r="HIZ56" s="10"/>
      <c r="HJA56" s="10"/>
      <c r="HJB56" s="10"/>
      <c r="HJC56" s="10"/>
      <c r="HJD56" s="10"/>
      <c r="HJE56" s="10"/>
      <c r="HJF56" s="10"/>
      <c r="HJG56" s="10"/>
      <c r="HJH56" s="10"/>
      <c r="HJI56" s="10"/>
      <c r="HJJ56" s="10"/>
      <c r="HJK56" s="10"/>
      <c r="HJL56" s="10"/>
      <c r="HJM56" s="10"/>
      <c r="HJN56" s="10"/>
      <c r="HJO56" s="10"/>
      <c r="HJP56" s="10"/>
      <c r="HJQ56" s="10"/>
      <c r="HJR56" s="10"/>
      <c r="HJS56" s="10"/>
      <c r="HJT56" s="10"/>
      <c r="HJU56" s="10"/>
      <c r="HJV56" s="10"/>
      <c r="HJW56" s="10"/>
      <c r="HJX56" s="10"/>
      <c r="HJY56" s="10"/>
      <c r="HJZ56" s="10"/>
      <c r="HKA56" s="10"/>
      <c r="HKB56" s="10"/>
      <c r="HKC56" s="10"/>
      <c r="HKD56" s="10"/>
      <c r="HKE56" s="10"/>
      <c r="HKF56" s="10"/>
      <c r="HKG56" s="10"/>
      <c r="HKH56" s="10"/>
      <c r="HKI56" s="10"/>
      <c r="HKJ56" s="10"/>
      <c r="HKK56" s="10"/>
      <c r="HKL56" s="10"/>
      <c r="HKM56" s="10"/>
      <c r="HKN56" s="10"/>
      <c r="HKO56" s="10"/>
      <c r="HKP56" s="10"/>
      <c r="HKQ56" s="10"/>
      <c r="HKR56" s="10"/>
      <c r="HKS56" s="10"/>
      <c r="HKT56" s="10"/>
      <c r="HKU56" s="10"/>
      <c r="HKV56" s="10"/>
      <c r="HKW56" s="10"/>
      <c r="HKX56" s="10"/>
      <c r="HKY56" s="10"/>
      <c r="HKZ56" s="10"/>
      <c r="HLA56" s="10"/>
      <c r="HLB56" s="10"/>
      <c r="HLC56" s="10"/>
      <c r="HLD56" s="10"/>
      <c r="HLE56" s="10"/>
      <c r="HLF56" s="10"/>
      <c r="HLG56" s="10"/>
      <c r="HLH56" s="10"/>
      <c r="HLI56" s="10"/>
      <c r="HLJ56" s="10"/>
      <c r="HLK56" s="10"/>
      <c r="HLL56" s="10"/>
      <c r="HLM56" s="10"/>
      <c r="HLN56" s="10"/>
      <c r="HLO56" s="10"/>
      <c r="HLP56" s="10"/>
      <c r="HLQ56" s="10"/>
      <c r="HLR56" s="10"/>
      <c r="HLS56" s="10"/>
      <c r="HLT56" s="10"/>
      <c r="HLU56" s="10"/>
      <c r="HLV56" s="10"/>
      <c r="HLW56" s="10"/>
      <c r="HLX56" s="10"/>
      <c r="HLY56" s="10"/>
      <c r="HLZ56" s="10"/>
      <c r="HMA56" s="10"/>
      <c r="HMB56" s="10"/>
      <c r="HMC56" s="10"/>
      <c r="HMD56" s="10"/>
      <c r="HME56" s="10"/>
      <c r="HMF56" s="10"/>
      <c r="HMG56" s="10"/>
      <c r="HMH56" s="10"/>
      <c r="HMI56" s="10"/>
      <c r="HMJ56" s="10"/>
      <c r="HMK56" s="10"/>
      <c r="HML56" s="10"/>
      <c r="HMM56" s="10"/>
      <c r="HMN56" s="10"/>
      <c r="HMO56" s="10"/>
      <c r="HMP56" s="10"/>
      <c r="HMQ56" s="10"/>
      <c r="HMR56" s="10"/>
      <c r="HMS56" s="10"/>
      <c r="HMT56" s="10"/>
      <c r="HMU56" s="10"/>
      <c r="HMV56" s="10"/>
      <c r="HMW56" s="10"/>
      <c r="HMX56" s="10"/>
      <c r="HMY56" s="10"/>
      <c r="HMZ56" s="10"/>
      <c r="HNA56" s="10"/>
      <c r="HNB56" s="10"/>
      <c r="HNC56" s="10"/>
      <c r="HND56" s="10"/>
      <c r="HNE56" s="10"/>
      <c r="HNF56" s="10"/>
      <c r="HNG56" s="10"/>
      <c r="HNH56" s="10"/>
      <c r="HNI56" s="10"/>
      <c r="HNJ56" s="10"/>
      <c r="HNK56" s="10"/>
      <c r="HNL56" s="10"/>
      <c r="HNM56" s="10"/>
      <c r="HNN56" s="10"/>
      <c r="HNO56" s="10"/>
      <c r="HNP56" s="10"/>
      <c r="HNQ56" s="10"/>
      <c r="HNR56" s="10"/>
      <c r="HNS56" s="10"/>
      <c r="HNT56" s="10"/>
      <c r="HNU56" s="10"/>
      <c r="HNV56" s="10"/>
      <c r="HNW56" s="10"/>
      <c r="HNX56" s="10"/>
      <c r="HNY56" s="10"/>
      <c r="HNZ56" s="10"/>
      <c r="HOA56" s="10"/>
      <c r="HOB56" s="10"/>
      <c r="HOC56" s="10"/>
      <c r="HOD56" s="10"/>
      <c r="HOE56" s="10"/>
      <c r="HOF56" s="10"/>
      <c r="HOG56" s="10"/>
      <c r="HOH56" s="10"/>
      <c r="HOI56" s="10"/>
      <c r="HOJ56" s="10"/>
      <c r="HOK56" s="10"/>
      <c r="HOL56" s="10"/>
      <c r="HOM56" s="10"/>
      <c r="HON56" s="10"/>
      <c r="HOO56" s="10"/>
      <c r="HOP56" s="10"/>
      <c r="HOQ56" s="10"/>
      <c r="HOR56" s="10"/>
      <c r="HOS56" s="10"/>
      <c r="HOT56" s="10"/>
      <c r="HOU56" s="10"/>
      <c r="HOV56" s="10"/>
      <c r="HOW56" s="10"/>
      <c r="HOX56" s="10"/>
      <c r="HOY56" s="10"/>
      <c r="HOZ56" s="10"/>
      <c r="HPA56" s="10"/>
      <c r="HPB56" s="10"/>
      <c r="HPC56" s="10"/>
      <c r="HPD56" s="10"/>
      <c r="HPE56" s="10"/>
      <c r="HPF56" s="10"/>
      <c r="HPG56" s="10"/>
      <c r="HPH56" s="10"/>
      <c r="HPI56" s="10"/>
      <c r="HPJ56" s="10"/>
      <c r="HPK56" s="10"/>
      <c r="HPL56" s="10"/>
      <c r="HPM56" s="10"/>
      <c r="HPN56" s="10"/>
      <c r="HPO56" s="10"/>
      <c r="HPP56" s="10"/>
      <c r="HPQ56" s="10"/>
      <c r="HPR56" s="10"/>
      <c r="HPS56" s="10"/>
      <c r="HPT56" s="10"/>
      <c r="HPU56" s="10"/>
      <c r="HPV56" s="10"/>
      <c r="HPW56" s="10"/>
      <c r="HPX56" s="10"/>
      <c r="HPY56" s="10"/>
      <c r="HPZ56" s="10"/>
      <c r="HQA56" s="10"/>
      <c r="HQB56" s="10"/>
      <c r="HQC56" s="10"/>
      <c r="HQD56" s="10"/>
      <c r="HQE56" s="10"/>
      <c r="HQF56" s="10"/>
      <c r="HQG56" s="10"/>
      <c r="HQH56" s="10"/>
      <c r="HQI56" s="10"/>
      <c r="HQJ56" s="10"/>
      <c r="HQK56" s="10"/>
      <c r="HQL56" s="10"/>
      <c r="HQM56" s="10"/>
      <c r="HQN56" s="10"/>
      <c r="HQO56" s="10"/>
      <c r="HQP56" s="10"/>
      <c r="HQQ56" s="10"/>
      <c r="HQR56" s="10"/>
      <c r="HQS56" s="10"/>
      <c r="HQT56" s="10"/>
      <c r="HQU56" s="10"/>
      <c r="HQV56" s="10"/>
      <c r="HQW56" s="10"/>
      <c r="HQX56" s="10"/>
      <c r="HQY56" s="10"/>
      <c r="HQZ56" s="10"/>
      <c r="HRA56" s="10"/>
      <c r="HRB56" s="10"/>
      <c r="HRC56" s="10"/>
      <c r="HRD56" s="10"/>
      <c r="HRE56" s="10"/>
      <c r="HRF56" s="10"/>
      <c r="HRG56" s="10"/>
      <c r="HRH56" s="10"/>
      <c r="HRI56" s="10"/>
      <c r="HRJ56" s="10"/>
      <c r="HRK56" s="10"/>
      <c r="HRL56" s="10"/>
      <c r="HRM56" s="10"/>
      <c r="HRN56" s="10"/>
      <c r="HRO56" s="10"/>
      <c r="HRP56" s="10"/>
      <c r="HRQ56" s="10"/>
      <c r="HRR56" s="10"/>
      <c r="HRS56" s="10"/>
      <c r="HRT56" s="10"/>
      <c r="HRU56" s="10"/>
      <c r="HRV56" s="10"/>
      <c r="HRW56" s="10"/>
      <c r="HRX56" s="10"/>
      <c r="HRY56" s="10"/>
      <c r="HRZ56" s="10"/>
      <c r="HSA56" s="10"/>
      <c r="HSB56" s="10"/>
      <c r="HSC56" s="10"/>
      <c r="HSD56" s="10"/>
      <c r="HSE56" s="10"/>
      <c r="HSF56" s="10"/>
      <c r="HSG56" s="10"/>
      <c r="HSH56" s="10"/>
      <c r="HSI56" s="10"/>
      <c r="HSJ56" s="10"/>
      <c r="HSK56" s="10"/>
      <c r="HSL56" s="10"/>
      <c r="HSM56" s="10"/>
      <c r="HSN56" s="10"/>
      <c r="HSO56" s="10"/>
      <c r="HSP56" s="10"/>
      <c r="HSQ56" s="10"/>
      <c r="HSR56" s="10"/>
      <c r="HSS56" s="10"/>
      <c r="HST56" s="10"/>
      <c r="HSU56" s="10"/>
      <c r="HSV56" s="10"/>
      <c r="HSW56" s="10"/>
      <c r="HSX56" s="10"/>
      <c r="HSY56" s="10"/>
      <c r="HSZ56" s="10"/>
      <c r="HTA56" s="10"/>
      <c r="HTB56" s="10"/>
      <c r="HTC56" s="10"/>
      <c r="HTD56" s="10"/>
      <c r="HTE56" s="10"/>
      <c r="HTF56" s="10"/>
      <c r="HTG56" s="10"/>
      <c r="HTH56" s="10"/>
      <c r="HTI56" s="10"/>
      <c r="HTJ56" s="10"/>
      <c r="HTK56" s="10"/>
      <c r="HTL56" s="10"/>
      <c r="HTM56" s="10"/>
      <c r="HTN56" s="10"/>
      <c r="HTO56" s="10"/>
      <c r="HTP56" s="10"/>
      <c r="HTQ56" s="10"/>
      <c r="HTR56" s="10"/>
      <c r="HTS56" s="10"/>
      <c r="HTT56" s="10"/>
      <c r="HTU56" s="10"/>
      <c r="HTV56" s="10"/>
      <c r="HTW56" s="10"/>
      <c r="HTX56" s="10"/>
      <c r="HTY56" s="10"/>
      <c r="HTZ56" s="10"/>
      <c r="HUA56" s="10"/>
      <c r="HUB56" s="10"/>
      <c r="HUC56" s="10"/>
      <c r="HUD56" s="10"/>
      <c r="HUE56" s="10"/>
      <c r="HUF56" s="10"/>
      <c r="HUG56" s="10"/>
      <c r="HUH56" s="10"/>
      <c r="HUI56" s="10"/>
      <c r="HUJ56" s="10"/>
      <c r="HUK56" s="10"/>
      <c r="HUL56" s="10"/>
      <c r="HUM56" s="10"/>
      <c r="HUN56" s="10"/>
      <c r="HUO56" s="10"/>
      <c r="HUP56" s="10"/>
      <c r="HUQ56" s="10"/>
      <c r="HUR56" s="10"/>
      <c r="HUS56" s="10"/>
      <c r="HUT56" s="10"/>
      <c r="HUU56" s="10"/>
      <c r="HUV56" s="10"/>
      <c r="HUW56" s="10"/>
      <c r="HUX56" s="10"/>
      <c r="HUY56" s="10"/>
      <c r="HUZ56" s="10"/>
      <c r="HVA56" s="10"/>
      <c r="HVB56" s="10"/>
      <c r="HVC56" s="10"/>
      <c r="HVD56" s="10"/>
      <c r="HVE56" s="10"/>
      <c r="HVF56" s="10"/>
      <c r="HVG56" s="10"/>
      <c r="HVH56" s="10"/>
      <c r="HVI56" s="10"/>
      <c r="HVJ56" s="10"/>
      <c r="HVK56" s="10"/>
      <c r="HVL56" s="10"/>
      <c r="HVM56" s="10"/>
      <c r="HVN56" s="10"/>
      <c r="HVO56" s="10"/>
      <c r="HVP56" s="10"/>
      <c r="HVQ56" s="10"/>
      <c r="HVR56" s="10"/>
      <c r="HVS56" s="10"/>
      <c r="HVT56" s="10"/>
      <c r="HVU56" s="10"/>
      <c r="HVV56" s="10"/>
      <c r="HVW56" s="10"/>
      <c r="HVX56" s="10"/>
      <c r="HVY56" s="10"/>
      <c r="HVZ56" s="10"/>
      <c r="HWA56" s="10"/>
      <c r="HWB56" s="10"/>
      <c r="HWC56" s="10"/>
      <c r="HWD56" s="10"/>
      <c r="HWE56" s="10"/>
      <c r="HWF56" s="10"/>
      <c r="HWG56" s="10"/>
      <c r="HWH56" s="10"/>
      <c r="HWI56" s="10"/>
      <c r="HWJ56" s="10"/>
      <c r="HWK56" s="10"/>
      <c r="HWL56" s="10"/>
      <c r="HWM56" s="10"/>
      <c r="HWN56" s="10"/>
      <c r="HWO56" s="10"/>
      <c r="HWP56" s="10"/>
      <c r="HWQ56" s="10"/>
      <c r="HWR56" s="10"/>
      <c r="HWS56" s="10"/>
      <c r="HWT56" s="10"/>
      <c r="HWU56" s="10"/>
      <c r="HWV56" s="10"/>
      <c r="HWW56" s="10"/>
      <c r="HWX56" s="10"/>
      <c r="HWY56" s="10"/>
      <c r="HWZ56" s="10"/>
      <c r="HXA56" s="10"/>
      <c r="HXB56" s="10"/>
      <c r="HXC56" s="10"/>
      <c r="HXD56" s="10"/>
      <c r="HXE56" s="10"/>
      <c r="HXF56" s="10"/>
      <c r="HXG56" s="10"/>
      <c r="HXH56" s="10"/>
      <c r="HXI56" s="10"/>
      <c r="HXJ56" s="10"/>
      <c r="HXK56" s="10"/>
      <c r="HXL56" s="10"/>
      <c r="HXM56" s="10"/>
      <c r="HXN56" s="10"/>
      <c r="HXO56" s="10"/>
      <c r="HXP56" s="10"/>
      <c r="HXQ56" s="10"/>
      <c r="HXR56" s="10"/>
      <c r="HXS56" s="10"/>
      <c r="HXT56" s="10"/>
      <c r="HXU56" s="10"/>
      <c r="HXV56" s="10"/>
      <c r="HXW56" s="10"/>
      <c r="HXX56" s="10"/>
      <c r="HXY56" s="10"/>
      <c r="HXZ56" s="10"/>
      <c r="HYA56" s="10"/>
      <c r="HYB56" s="10"/>
      <c r="HYC56" s="10"/>
      <c r="HYD56" s="10"/>
      <c r="HYE56" s="10"/>
      <c r="HYF56" s="10"/>
      <c r="HYG56" s="10"/>
      <c r="HYH56" s="10"/>
      <c r="HYI56" s="10"/>
      <c r="HYJ56" s="10"/>
      <c r="HYK56" s="10"/>
      <c r="HYL56" s="10"/>
      <c r="HYM56" s="10"/>
      <c r="HYN56" s="10"/>
      <c r="HYO56" s="10"/>
      <c r="HYP56" s="10"/>
      <c r="HYQ56" s="10"/>
      <c r="HYR56" s="10"/>
      <c r="HYS56" s="10"/>
      <c r="HYT56" s="10"/>
      <c r="HYU56" s="10"/>
      <c r="HYV56" s="10"/>
      <c r="HYW56" s="10"/>
      <c r="HYX56" s="10"/>
      <c r="HYY56" s="10"/>
      <c r="HYZ56" s="10"/>
      <c r="HZA56" s="10"/>
      <c r="HZB56" s="10"/>
      <c r="HZC56" s="10"/>
      <c r="HZD56" s="10"/>
      <c r="HZE56" s="10"/>
      <c r="HZF56" s="10"/>
      <c r="HZG56" s="10"/>
      <c r="HZH56" s="10"/>
      <c r="HZI56" s="10"/>
      <c r="HZJ56" s="10"/>
      <c r="HZK56" s="10"/>
      <c r="HZL56" s="10"/>
      <c r="HZM56" s="10"/>
      <c r="HZN56" s="10"/>
      <c r="HZO56" s="10"/>
      <c r="HZP56" s="10"/>
      <c r="HZQ56" s="10"/>
      <c r="HZR56" s="10"/>
      <c r="HZS56" s="10"/>
      <c r="HZT56" s="10"/>
      <c r="HZU56" s="10"/>
      <c r="HZV56" s="10"/>
      <c r="HZW56" s="10"/>
      <c r="HZX56" s="10"/>
      <c r="HZY56" s="10"/>
      <c r="HZZ56" s="10"/>
      <c r="IAA56" s="10"/>
      <c r="IAB56" s="10"/>
      <c r="IAC56" s="10"/>
      <c r="IAD56" s="10"/>
      <c r="IAE56" s="10"/>
      <c r="IAF56" s="10"/>
      <c r="IAG56" s="10"/>
      <c r="IAH56" s="10"/>
      <c r="IAI56" s="10"/>
      <c r="IAJ56" s="10"/>
      <c r="IAK56" s="10"/>
      <c r="IAL56" s="10"/>
      <c r="IAM56" s="10"/>
      <c r="IAN56" s="10"/>
      <c r="IAO56" s="10"/>
      <c r="IAP56" s="10"/>
      <c r="IAQ56" s="10"/>
      <c r="IAR56" s="10"/>
      <c r="IAS56" s="10"/>
      <c r="IAT56" s="10"/>
      <c r="IAU56" s="10"/>
      <c r="IAV56" s="10"/>
      <c r="IAW56" s="10"/>
      <c r="IAX56" s="10"/>
      <c r="IAY56" s="10"/>
      <c r="IAZ56" s="10"/>
      <c r="IBA56" s="10"/>
      <c r="IBB56" s="10"/>
      <c r="IBC56" s="10"/>
      <c r="IBD56" s="10"/>
      <c r="IBE56" s="10"/>
      <c r="IBF56" s="10"/>
      <c r="IBG56" s="10"/>
      <c r="IBH56" s="10"/>
      <c r="IBI56" s="10"/>
      <c r="IBJ56" s="10"/>
      <c r="IBK56" s="10"/>
      <c r="IBL56" s="10"/>
      <c r="IBM56" s="10"/>
      <c r="IBN56" s="10"/>
      <c r="IBO56" s="10"/>
      <c r="IBP56" s="10"/>
      <c r="IBQ56" s="10"/>
      <c r="IBR56" s="10"/>
      <c r="IBS56" s="10"/>
      <c r="IBT56" s="10"/>
      <c r="IBU56" s="10"/>
      <c r="IBV56" s="10"/>
      <c r="IBW56" s="10"/>
      <c r="IBX56" s="10"/>
      <c r="IBY56" s="10"/>
      <c r="IBZ56" s="10"/>
      <c r="ICA56" s="10"/>
      <c r="ICB56" s="10"/>
      <c r="ICC56" s="10"/>
      <c r="ICD56" s="10"/>
      <c r="ICE56" s="10"/>
      <c r="ICF56" s="10"/>
      <c r="ICG56" s="10"/>
      <c r="ICH56" s="10"/>
      <c r="ICI56" s="10"/>
      <c r="ICJ56" s="10"/>
      <c r="ICK56" s="10"/>
      <c r="ICL56" s="10"/>
      <c r="ICM56" s="10"/>
      <c r="ICN56" s="10"/>
      <c r="ICO56" s="10"/>
      <c r="ICP56" s="10"/>
      <c r="ICQ56" s="10"/>
      <c r="ICR56" s="10"/>
      <c r="ICS56" s="10"/>
      <c r="ICT56" s="10"/>
      <c r="ICU56" s="10"/>
      <c r="ICV56" s="10"/>
      <c r="ICW56" s="10"/>
      <c r="ICX56" s="10"/>
      <c r="ICY56" s="10"/>
      <c r="ICZ56" s="10"/>
      <c r="IDA56" s="10"/>
      <c r="IDB56" s="10"/>
      <c r="IDC56" s="10"/>
      <c r="IDD56" s="10"/>
      <c r="IDE56" s="10"/>
      <c r="IDF56" s="10"/>
      <c r="IDG56" s="10"/>
      <c r="IDH56" s="10"/>
      <c r="IDI56" s="10"/>
      <c r="IDJ56" s="10"/>
      <c r="IDK56" s="10"/>
      <c r="IDL56" s="10"/>
      <c r="IDM56" s="10"/>
      <c r="IDN56" s="10"/>
      <c r="IDO56" s="10"/>
      <c r="IDP56" s="10"/>
      <c r="IDQ56" s="10"/>
      <c r="IDR56" s="10"/>
      <c r="IDS56" s="10"/>
      <c r="IDT56" s="10"/>
      <c r="IDU56" s="10"/>
      <c r="IDV56" s="10"/>
      <c r="IDW56" s="10"/>
      <c r="IDX56" s="10"/>
      <c r="IDY56" s="10"/>
      <c r="IDZ56" s="10"/>
      <c r="IEA56" s="10"/>
      <c r="IEB56" s="10"/>
      <c r="IEC56" s="10"/>
      <c r="IED56" s="10"/>
      <c r="IEE56" s="10"/>
      <c r="IEF56" s="10"/>
      <c r="IEG56" s="10"/>
      <c r="IEH56" s="10"/>
      <c r="IEI56" s="10"/>
      <c r="IEJ56" s="10"/>
      <c r="IEK56" s="10"/>
      <c r="IEL56" s="10"/>
      <c r="IEM56" s="10"/>
      <c r="IEN56" s="10"/>
      <c r="IEO56" s="10"/>
      <c r="IEP56" s="10"/>
      <c r="IEQ56" s="10"/>
      <c r="IER56" s="10"/>
      <c r="IES56" s="10"/>
      <c r="IET56" s="10"/>
      <c r="IEU56" s="10"/>
      <c r="IEV56" s="10"/>
      <c r="IEW56" s="10"/>
      <c r="IEX56" s="10"/>
      <c r="IEY56" s="10"/>
      <c r="IEZ56" s="10"/>
      <c r="IFA56" s="10"/>
      <c r="IFB56" s="10"/>
      <c r="IFC56" s="10"/>
      <c r="IFD56" s="10"/>
      <c r="IFE56" s="10"/>
      <c r="IFF56" s="10"/>
      <c r="IFG56" s="10"/>
      <c r="IFH56" s="10"/>
      <c r="IFI56" s="10"/>
      <c r="IFJ56" s="10"/>
      <c r="IFK56" s="10"/>
      <c r="IFL56" s="10"/>
      <c r="IFM56" s="10"/>
      <c r="IFN56" s="10"/>
      <c r="IFO56" s="10"/>
      <c r="IFP56" s="10"/>
      <c r="IFQ56" s="10"/>
      <c r="IFR56" s="10"/>
      <c r="IFS56" s="10"/>
      <c r="IFT56" s="10"/>
      <c r="IFU56" s="10"/>
      <c r="IFV56" s="10"/>
      <c r="IFW56" s="10"/>
      <c r="IFX56" s="10"/>
      <c r="IFY56" s="10"/>
      <c r="IFZ56" s="10"/>
      <c r="IGA56" s="10"/>
      <c r="IGB56" s="10"/>
      <c r="IGC56" s="10"/>
      <c r="IGD56" s="10"/>
      <c r="IGE56" s="10"/>
      <c r="IGF56" s="10"/>
      <c r="IGG56" s="10"/>
      <c r="IGH56" s="10"/>
      <c r="IGI56" s="10"/>
      <c r="IGJ56" s="10"/>
      <c r="IGK56" s="10"/>
      <c r="IGL56" s="10"/>
      <c r="IGM56" s="10"/>
      <c r="IGN56" s="10"/>
      <c r="IGO56" s="10"/>
      <c r="IGP56" s="10"/>
      <c r="IGQ56" s="10"/>
      <c r="IGR56" s="10"/>
      <c r="IGS56" s="10"/>
      <c r="IGT56" s="10"/>
      <c r="IGU56" s="10"/>
      <c r="IGV56" s="10"/>
      <c r="IGW56" s="10"/>
      <c r="IGX56" s="10"/>
      <c r="IGY56" s="10"/>
      <c r="IGZ56" s="10"/>
      <c r="IHA56" s="10"/>
      <c r="IHB56" s="10"/>
      <c r="IHC56" s="10"/>
      <c r="IHD56" s="10"/>
      <c r="IHE56" s="10"/>
      <c r="IHF56" s="10"/>
      <c r="IHG56" s="10"/>
      <c r="IHH56" s="10"/>
      <c r="IHI56" s="10"/>
      <c r="IHJ56" s="10"/>
      <c r="IHK56" s="10"/>
      <c r="IHL56" s="10"/>
      <c r="IHM56" s="10"/>
      <c r="IHN56" s="10"/>
      <c r="IHO56" s="10"/>
      <c r="IHP56" s="10"/>
      <c r="IHQ56" s="10"/>
      <c r="IHR56" s="10"/>
      <c r="IHS56" s="10"/>
      <c r="IHT56" s="10"/>
      <c r="IHU56" s="10"/>
      <c r="IHV56" s="10"/>
      <c r="IHW56" s="10"/>
      <c r="IHX56" s="10"/>
      <c r="IHY56" s="10"/>
      <c r="IHZ56" s="10"/>
      <c r="IIA56" s="10"/>
      <c r="IIB56" s="10"/>
      <c r="IIC56" s="10"/>
      <c r="IID56" s="10"/>
      <c r="IIE56" s="10"/>
      <c r="IIF56" s="10"/>
      <c r="IIG56" s="10"/>
      <c r="IIH56" s="10"/>
      <c r="III56" s="10"/>
      <c r="IIJ56" s="10"/>
      <c r="IIK56" s="10"/>
      <c r="IIL56" s="10"/>
      <c r="IIM56" s="10"/>
      <c r="IIN56" s="10"/>
      <c r="IIO56" s="10"/>
      <c r="IIP56" s="10"/>
      <c r="IIQ56" s="10"/>
      <c r="IIR56" s="10"/>
      <c r="IIS56" s="10"/>
      <c r="IIT56" s="10"/>
      <c r="IIU56" s="10"/>
      <c r="IIV56" s="10"/>
      <c r="IIW56" s="10"/>
      <c r="IIX56" s="10"/>
      <c r="IIY56" s="10"/>
      <c r="IIZ56" s="10"/>
      <c r="IJA56" s="10"/>
      <c r="IJB56" s="10"/>
      <c r="IJC56" s="10"/>
      <c r="IJD56" s="10"/>
      <c r="IJE56" s="10"/>
      <c r="IJF56" s="10"/>
      <c r="IJG56" s="10"/>
      <c r="IJH56" s="10"/>
      <c r="IJI56" s="10"/>
      <c r="IJJ56" s="10"/>
      <c r="IJK56" s="10"/>
      <c r="IJL56" s="10"/>
      <c r="IJM56" s="10"/>
      <c r="IJN56" s="10"/>
      <c r="IJO56" s="10"/>
      <c r="IJP56" s="10"/>
      <c r="IJQ56" s="10"/>
      <c r="IJR56" s="10"/>
      <c r="IJS56" s="10"/>
      <c r="IJT56" s="10"/>
      <c r="IJU56" s="10"/>
      <c r="IJV56" s="10"/>
      <c r="IJW56" s="10"/>
      <c r="IJX56" s="10"/>
      <c r="IJY56" s="10"/>
      <c r="IJZ56" s="10"/>
      <c r="IKA56" s="10"/>
      <c r="IKB56" s="10"/>
      <c r="IKC56" s="10"/>
      <c r="IKD56" s="10"/>
      <c r="IKE56" s="10"/>
      <c r="IKF56" s="10"/>
      <c r="IKG56" s="10"/>
      <c r="IKH56" s="10"/>
      <c r="IKI56" s="10"/>
      <c r="IKJ56" s="10"/>
      <c r="IKK56" s="10"/>
      <c r="IKL56" s="10"/>
      <c r="IKM56" s="10"/>
      <c r="IKN56" s="10"/>
      <c r="IKO56" s="10"/>
      <c r="IKP56" s="10"/>
      <c r="IKQ56" s="10"/>
      <c r="IKR56" s="10"/>
      <c r="IKS56" s="10"/>
      <c r="IKT56" s="10"/>
      <c r="IKU56" s="10"/>
      <c r="IKV56" s="10"/>
      <c r="IKW56" s="10"/>
      <c r="IKX56" s="10"/>
      <c r="IKY56" s="10"/>
      <c r="IKZ56" s="10"/>
      <c r="ILA56" s="10"/>
      <c r="ILB56" s="10"/>
      <c r="ILC56" s="10"/>
      <c r="ILD56" s="10"/>
      <c r="ILE56" s="10"/>
      <c r="ILF56" s="10"/>
      <c r="ILG56" s="10"/>
      <c r="ILH56" s="10"/>
      <c r="ILI56" s="10"/>
      <c r="ILJ56" s="10"/>
      <c r="ILK56" s="10"/>
      <c r="ILL56" s="10"/>
      <c r="ILM56" s="10"/>
      <c r="ILN56" s="10"/>
      <c r="ILO56" s="10"/>
      <c r="ILP56" s="10"/>
      <c r="ILQ56" s="10"/>
      <c r="ILR56" s="10"/>
      <c r="ILS56" s="10"/>
      <c r="ILT56" s="10"/>
      <c r="ILU56" s="10"/>
      <c r="ILV56" s="10"/>
      <c r="ILW56" s="10"/>
      <c r="ILX56" s="10"/>
      <c r="ILY56" s="10"/>
      <c r="ILZ56" s="10"/>
      <c r="IMA56" s="10"/>
      <c r="IMB56" s="10"/>
      <c r="IMC56" s="10"/>
      <c r="IMD56" s="10"/>
      <c r="IME56" s="10"/>
      <c r="IMF56" s="10"/>
      <c r="IMG56" s="10"/>
      <c r="IMH56" s="10"/>
      <c r="IMI56" s="10"/>
      <c r="IMJ56" s="10"/>
      <c r="IMK56" s="10"/>
      <c r="IML56" s="10"/>
      <c r="IMM56" s="10"/>
      <c r="IMN56" s="10"/>
      <c r="IMO56" s="10"/>
      <c r="IMP56" s="10"/>
      <c r="IMQ56" s="10"/>
      <c r="IMR56" s="10"/>
      <c r="IMS56" s="10"/>
      <c r="IMT56" s="10"/>
      <c r="IMU56" s="10"/>
      <c r="IMV56" s="10"/>
      <c r="IMW56" s="10"/>
      <c r="IMX56" s="10"/>
      <c r="IMY56" s="10"/>
      <c r="IMZ56" s="10"/>
      <c r="INA56" s="10"/>
      <c r="INB56" s="10"/>
      <c r="INC56" s="10"/>
      <c r="IND56" s="10"/>
      <c r="INE56" s="10"/>
      <c r="INF56" s="10"/>
      <c r="ING56" s="10"/>
      <c r="INH56" s="10"/>
      <c r="INI56" s="10"/>
      <c r="INJ56" s="10"/>
      <c r="INK56" s="10"/>
      <c r="INL56" s="10"/>
      <c r="INM56" s="10"/>
      <c r="INN56" s="10"/>
      <c r="INO56" s="10"/>
      <c r="INP56" s="10"/>
      <c r="INQ56" s="10"/>
      <c r="INR56" s="10"/>
      <c r="INS56" s="10"/>
      <c r="INT56" s="10"/>
      <c r="INU56" s="10"/>
      <c r="INV56" s="10"/>
      <c r="INW56" s="10"/>
      <c r="INX56" s="10"/>
      <c r="INY56" s="10"/>
      <c r="INZ56" s="10"/>
      <c r="IOA56" s="10"/>
      <c r="IOB56" s="10"/>
      <c r="IOC56" s="10"/>
      <c r="IOD56" s="10"/>
      <c r="IOE56" s="10"/>
      <c r="IOF56" s="10"/>
      <c r="IOG56" s="10"/>
      <c r="IOH56" s="10"/>
      <c r="IOI56" s="10"/>
      <c r="IOJ56" s="10"/>
      <c r="IOK56" s="10"/>
      <c r="IOL56" s="10"/>
      <c r="IOM56" s="10"/>
      <c r="ION56" s="10"/>
      <c r="IOO56" s="10"/>
      <c r="IOP56" s="10"/>
      <c r="IOQ56" s="10"/>
      <c r="IOR56" s="10"/>
      <c r="IOS56" s="10"/>
      <c r="IOT56" s="10"/>
      <c r="IOU56" s="10"/>
      <c r="IOV56" s="10"/>
      <c r="IOW56" s="10"/>
      <c r="IOX56" s="10"/>
      <c r="IOY56" s="10"/>
      <c r="IOZ56" s="10"/>
      <c r="IPA56" s="10"/>
      <c r="IPB56" s="10"/>
      <c r="IPC56" s="10"/>
      <c r="IPD56" s="10"/>
      <c r="IPE56" s="10"/>
      <c r="IPF56" s="10"/>
      <c r="IPG56" s="10"/>
      <c r="IPH56" s="10"/>
      <c r="IPI56" s="10"/>
      <c r="IPJ56" s="10"/>
      <c r="IPK56" s="10"/>
      <c r="IPL56" s="10"/>
      <c r="IPM56" s="10"/>
      <c r="IPN56" s="10"/>
      <c r="IPO56" s="10"/>
      <c r="IPP56" s="10"/>
      <c r="IPQ56" s="10"/>
      <c r="IPR56" s="10"/>
      <c r="IPS56" s="10"/>
      <c r="IPT56" s="10"/>
      <c r="IPU56" s="10"/>
      <c r="IPV56" s="10"/>
      <c r="IPW56" s="10"/>
      <c r="IPX56" s="10"/>
      <c r="IPY56" s="10"/>
      <c r="IPZ56" s="10"/>
      <c r="IQA56" s="10"/>
      <c r="IQB56" s="10"/>
      <c r="IQC56" s="10"/>
      <c r="IQD56" s="10"/>
      <c r="IQE56" s="10"/>
      <c r="IQF56" s="10"/>
      <c r="IQG56" s="10"/>
      <c r="IQH56" s="10"/>
      <c r="IQI56" s="10"/>
      <c r="IQJ56" s="10"/>
      <c r="IQK56" s="10"/>
      <c r="IQL56" s="10"/>
      <c r="IQM56" s="10"/>
      <c r="IQN56" s="10"/>
      <c r="IQO56" s="10"/>
      <c r="IQP56" s="10"/>
      <c r="IQQ56" s="10"/>
      <c r="IQR56" s="10"/>
      <c r="IQS56" s="10"/>
      <c r="IQT56" s="10"/>
      <c r="IQU56" s="10"/>
      <c r="IQV56" s="10"/>
      <c r="IQW56" s="10"/>
      <c r="IQX56" s="10"/>
      <c r="IQY56" s="10"/>
      <c r="IQZ56" s="10"/>
      <c r="IRA56" s="10"/>
      <c r="IRB56" s="10"/>
      <c r="IRC56" s="10"/>
      <c r="IRD56" s="10"/>
      <c r="IRE56" s="10"/>
      <c r="IRF56" s="10"/>
      <c r="IRG56" s="10"/>
      <c r="IRH56" s="10"/>
      <c r="IRI56" s="10"/>
      <c r="IRJ56" s="10"/>
      <c r="IRK56" s="10"/>
      <c r="IRL56" s="10"/>
      <c r="IRM56" s="10"/>
      <c r="IRN56" s="10"/>
      <c r="IRO56" s="10"/>
      <c r="IRP56" s="10"/>
      <c r="IRQ56" s="10"/>
      <c r="IRR56" s="10"/>
      <c r="IRS56" s="10"/>
      <c r="IRT56" s="10"/>
      <c r="IRU56" s="10"/>
      <c r="IRV56" s="10"/>
      <c r="IRW56" s="10"/>
      <c r="IRX56" s="10"/>
      <c r="IRY56" s="10"/>
      <c r="IRZ56" s="10"/>
      <c r="ISA56" s="10"/>
      <c r="ISB56" s="10"/>
      <c r="ISC56" s="10"/>
      <c r="ISD56" s="10"/>
      <c r="ISE56" s="10"/>
      <c r="ISF56" s="10"/>
      <c r="ISG56" s="10"/>
      <c r="ISH56" s="10"/>
      <c r="ISI56" s="10"/>
      <c r="ISJ56" s="10"/>
      <c r="ISK56" s="10"/>
      <c r="ISL56" s="10"/>
      <c r="ISM56" s="10"/>
      <c r="ISN56" s="10"/>
      <c r="ISO56" s="10"/>
      <c r="ISP56" s="10"/>
      <c r="ISQ56" s="10"/>
      <c r="ISR56" s="10"/>
      <c r="ISS56" s="10"/>
      <c r="IST56" s="10"/>
      <c r="ISU56" s="10"/>
      <c r="ISV56" s="10"/>
      <c r="ISW56" s="10"/>
      <c r="ISX56" s="10"/>
      <c r="ISY56" s="10"/>
      <c r="ISZ56" s="10"/>
      <c r="ITA56" s="10"/>
      <c r="ITB56" s="10"/>
      <c r="ITC56" s="10"/>
      <c r="ITD56" s="10"/>
      <c r="ITE56" s="10"/>
      <c r="ITF56" s="10"/>
      <c r="ITG56" s="10"/>
      <c r="ITH56" s="10"/>
      <c r="ITI56" s="10"/>
      <c r="ITJ56" s="10"/>
      <c r="ITK56" s="10"/>
      <c r="ITL56" s="10"/>
      <c r="ITM56" s="10"/>
      <c r="ITN56" s="10"/>
      <c r="ITO56" s="10"/>
      <c r="ITP56" s="10"/>
      <c r="ITQ56" s="10"/>
      <c r="ITR56" s="10"/>
      <c r="ITS56" s="10"/>
      <c r="ITT56" s="10"/>
      <c r="ITU56" s="10"/>
      <c r="ITV56" s="10"/>
      <c r="ITW56" s="10"/>
      <c r="ITX56" s="10"/>
      <c r="ITY56" s="10"/>
      <c r="ITZ56" s="10"/>
      <c r="IUA56" s="10"/>
      <c r="IUB56" s="10"/>
      <c r="IUC56" s="10"/>
      <c r="IUD56" s="10"/>
      <c r="IUE56" s="10"/>
      <c r="IUF56" s="10"/>
      <c r="IUG56" s="10"/>
      <c r="IUH56" s="10"/>
      <c r="IUI56" s="10"/>
      <c r="IUJ56" s="10"/>
      <c r="IUK56" s="10"/>
      <c r="IUL56" s="10"/>
      <c r="IUM56" s="10"/>
      <c r="IUN56" s="10"/>
      <c r="IUO56" s="10"/>
      <c r="IUP56" s="10"/>
      <c r="IUQ56" s="10"/>
      <c r="IUR56" s="10"/>
      <c r="IUS56" s="10"/>
      <c r="IUT56" s="10"/>
      <c r="IUU56" s="10"/>
      <c r="IUV56" s="10"/>
      <c r="IUW56" s="10"/>
      <c r="IUX56" s="10"/>
      <c r="IUY56" s="10"/>
      <c r="IUZ56" s="10"/>
      <c r="IVA56" s="10"/>
      <c r="IVB56" s="10"/>
      <c r="IVC56" s="10"/>
      <c r="IVD56" s="10"/>
      <c r="IVE56" s="10"/>
      <c r="IVF56" s="10"/>
      <c r="IVG56" s="10"/>
      <c r="IVH56" s="10"/>
      <c r="IVI56" s="10"/>
      <c r="IVJ56" s="10"/>
      <c r="IVK56" s="10"/>
      <c r="IVL56" s="10"/>
      <c r="IVM56" s="10"/>
      <c r="IVN56" s="10"/>
      <c r="IVO56" s="10"/>
      <c r="IVP56" s="10"/>
      <c r="IVQ56" s="10"/>
      <c r="IVR56" s="10"/>
      <c r="IVS56" s="10"/>
      <c r="IVT56" s="10"/>
      <c r="IVU56" s="10"/>
      <c r="IVV56" s="10"/>
      <c r="IVW56" s="10"/>
      <c r="IVX56" s="10"/>
      <c r="IVY56" s="10"/>
      <c r="IVZ56" s="10"/>
      <c r="IWA56" s="10"/>
      <c r="IWB56" s="10"/>
      <c r="IWC56" s="10"/>
      <c r="IWD56" s="10"/>
      <c r="IWE56" s="10"/>
      <c r="IWF56" s="10"/>
      <c r="IWG56" s="10"/>
      <c r="IWH56" s="10"/>
      <c r="IWI56" s="10"/>
      <c r="IWJ56" s="10"/>
      <c r="IWK56" s="10"/>
      <c r="IWL56" s="10"/>
      <c r="IWM56" s="10"/>
      <c r="IWN56" s="10"/>
      <c r="IWO56" s="10"/>
      <c r="IWP56" s="10"/>
      <c r="IWQ56" s="10"/>
      <c r="IWR56" s="10"/>
      <c r="IWS56" s="10"/>
      <c r="IWT56" s="10"/>
      <c r="IWU56" s="10"/>
      <c r="IWV56" s="10"/>
      <c r="IWW56" s="10"/>
      <c r="IWX56" s="10"/>
      <c r="IWY56" s="10"/>
      <c r="IWZ56" s="10"/>
      <c r="IXA56" s="10"/>
      <c r="IXB56" s="10"/>
      <c r="IXC56" s="10"/>
      <c r="IXD56" s="10"/>
      <c r="IXE56" s="10"/>
      <c r="IXF56" s="10"/>
      <c r="IXG56" s="10"/>
      <c r="IXH56" s="10"/>
      <c r="IXI56" s="10"/>
      <c r="IXJ56" s="10"/>
      <c r="IXK56" s="10"/>
      <c r="IXL56" s="10"/>
      <c r="IXM56" s="10"/>
      <c r="IXN56" s="10"/>
      <c r="IXO56" s="10"/>
      <c r="IXP56" s="10"/>
      <c r="IXQ56" s="10"/>
      <c r="IXR56" s="10"/>
      <c r="IXS56" s="10"/>
      <c r="IXT56" s="10"/>
      <c r="IXU56" s="10"/>
      <c r="IXV56" s="10"/>
      <c r="IXW56" s="10"/>
      <c r="IXX56" s="10"/>
      <c r="IXY56" s="10"/>
      <c r="IXZ56" s="10"/>
      <c r="IYA56" s="10"/>
      <c r="IYB56" s="10"/>
      <c r="IYC56" s="10"/>
      <c r="IYD56" s="10"/>
      <c r="IYE56" s="10"/>
      <c r="IYF56" s="10"/>
      <c r="IYG56" s="10"/>
      <c r="IYH56" s="10"/>
      <c r="IYI56" s="10"/>
      <c r="IYJ56" s="10"/>
      <c r="IYK56" s="10"/>
      <c r="IYL56" s="10"/>
      <c r="IYM56" s="10"/>
      <c r="IYN56" s="10"/>
      <c r="IYO56" s="10"/>
      <c r="IYP56" s="10"/>
      <c r="IYQ56" s="10"/>
      <c r="IYR56" s="10"/>
      <c r="IYS56" s="10"/>
      <c r="IYT56" s="10"/>
      <c r="IYU56" s="10"/>
      <c r="IYV56" s="10"/>
      <c r="IYW56" s="10"/>
      <c r="IYX56" s="10"/>
      <c r="IYY56" s="10"/>
      <c r="IYZ56" s="10"/>
      <c r="IZA56" s="10"/>
      <c r="IZB56" s="10"/>
      <c r="IZC56" s="10"/>
      <c r="IZD56" s="10"/>
      <c r="IZE56" s="10"/>
      <c r="IZF56" s="10"/>
      <c r="IZG56" s="10"/>
      <c r="IZH56" s="10"/>
      <c r="IZI56" s="10"/>
      <c r="IZJ56" s="10"/>
      <c r="IZK56" s="10"/>
      <c r="IZL56" s="10"/>
      <c r="IZM56" s="10"/>
      <c r="IZN56" s="10"/>
      <c r="IZO56" s="10"/>
      <c r="IZP56" s="10"/>
      <c r="IZQ56" s="10"/>
      <c r="IZR56" s="10"/>
      <c r="IZS56" s="10"/>
      <c r="IZT56" s="10"/>
      <c r="IZU56" s="10"/>
      <c r="IZV56" s="10"/>
      <c r="IZW56" s="10"/>
      <c r="IZX56" s="10"/>
      <c r="IZY56" s="10"/>
      <c r="IZZ56" s="10"/>
      <c r="JAA56" s="10"/>
      <c r="JAB56" s="10"/>
      <c r="JAC56" s="10"/>
      <c r="JAD56" s="10"/>
      <c r="JAE56" s="10"/>
      <c r="JAF56" s="10"/>
      <c r="JAG56" s="10"/>
      <c r="JAH56" s="10"/>
      <c r="JAI56" s="10"/>
      <c r="JAJ56" s="10"/>
      <c r="JAK56" s="10"/>
      <c r="JAL56" s="10"/>
      <c r="JAM56" s="10"/>
      <c r="JAN56" s="10"/>
      <c r="JAO56" s="10"/>
      <c r="JAP56" s="10"/>
      <c r="JAQ56" s="10"/>
      <c r="JAR56" s="10"/>
      <c r="JAS56" s="10"/>
      <c r="JAT56" s="10"/>
      <c r="JAU56" s="10"/>
      <c r="JAV56" s="10"/>
      <c r="JAW56" s="10"/>
      <c r="JAX56" s="10"/>
      <c r="JAY56" s="10"/>
      <c r="JAZ56" s="10"/>
      <c r="JBA56" s="10"/>
      <c r="JBB56" s="10"/>
      <c r="JBC56" s="10"/>
      <c r="JBD56" s="10"/>
      <c r="JBE56" s="10"/>
      <c r="JBF56" s="10"/>
      <c r="JBG56" s="10"/>
      <c r="JBH56" s="10"/>
      <c r="JBI56" s="10"/>
      <c r="JBJ56" s="10"/>
      <c r="JBK56" s="10"/>
      <c r="JBL56" s="10"/>
      <c r="JBM56" s="10"/>
      <c r="JBN56" s="10"/>
      <c r="JBO56" s="10"/>
      <c r="JBP56" s="10"/>
      <c r="JBQ56" s="10"/>
      <c r="JBR56" s="10"/>
      <c r="JBS56" s="10"/>
      <c r="JBT56" s="10"/>
      <c r="JBU56" s="10"/>
      <c r="JBV56" s="10"/>
      <c r="JBW56" s="10"/>
      <c r="JBX56" s="10"/>
      <c r="JBY56" s="10"/>
      <c r="JBZ56" s="10"/>
      <c r="JCA56" s="10"/>
      <c r="JCB56" s="10"/>
      <c r="JCC56" s="10"/>
      <c r="JCD56" s="10"/>
      <c r="JCE56" s="10"/>
      <c r="JCF56" s="10"/>
      <c r="JCG56" s="10"/>
      <c r="JCH56" s="10"/>
      <c r="JCI56" s="10"/>
      <c r="JCJ56" s="10"/>
      <c r="JCK56" s="10"/>
      <c r="JCL56" s="10"/>
      <c r="JCM56" s="10"/>
      <c r="JCN56" s="10"/>
      <c r="JCO56" s="10"/>
      <c r="JCP56" s="10"/>
      <c r="JCQ56" s="10"/>
      <c r="JCR56" s="10"/>
      <c r="JCS56" s="10"/>
      <c r="JCT56" s="10"/>
      <c r="JCU56" s="10"/>
      <c r="JCV56" s="10"/>
      <c r="JCW56" s="10"/>
      <c r="JCX56" s="10"/>
      <c r="JCY56" s="10"/>
      <c r="JCZ56" s="10"/>
      <c r="JDA56" s="10"/>
      <c r="JDB56" s="10"/>
      <c r="JDC56" s="10"/>
      <c r="JDD56" s="10"/>
      <c r="JDE56" s="10"/>
      <c r="JDF56" s="10"/>
      <c r="JDG56" s="10"/>
      <c r="JDH56" s="10"/>
      <c r="JDI56" s="10"/>
      <c r="JDJ56" s="10"/>
      <c r="JDK56" s="10"/>
      <c r="JDL56" s="10"/>
      <c r="JDM56" s="10"/>
      <c r="JDN56" s="10"/>
      <c r="JDO56" s="10"/>
      <c r="JDP56" s="10"/>
      <c r="JDQ56" s="10"/>
      <c r="JDR56" s="10"/>
      <c r="JDS56" s="10"/>
      <c r="JDT56" s="10"/>
      <c r="JDU56" s="10"/>
      <c r="JDV56" s="10"/>
      <c r="JDW56" s="10"/>
      <c r="JDX56" s="10"/>
      <c r="JDY56" s="10"/>
      <c r="JDZ56" s="10"/>
      <c r="JEA56" s="10"/>
      <c r="JEB56" s="10"/>
      <c r="JEC56" s="10"/>
      <c r="JED56" s="10"/>
      <c r="JEE56" s="10"/>
      <c r="JEF56" s="10"/>
      <c r="JEG56" s="10"/>
      <c r="JEH56" s="10"/>
      <c r="JEI56" s="10"/>
      <c r="JEJ56" s="10"/>
      <c r="JEK56" s="10"/>
      <c r="JEL56" s="10"/>
      <c r="JEM56" s="10"/>
      <c r="JEN56" s="10"/>
      <c r="JEO56" s="10"/>
      <c r="JEP56" s="10"/>
      <c r="JEQ56" s="10"/>
      <c r="JER56" s="10"/>
      <c r="JES56" s="10"/>
      <c r="JET56" s="10"/>
      <c r="JEU56" s="10"/>
      <c r="JEV56" s="10"/>
      <c r="JEW56" s="10"/>
      <c r="JEX56" s="10"/>
      <c r="JEY56" s="10"/>
      <c r="JEZ56" s="10"/>
      <c r="JFA56" s="10"/>
      <c r="JFB56" s="10"/>
      <c r="JFC56" s="10"/>
      <c r="JFD56" s="10"/>
      <c r="JFE56" s="10"/>
      <c r="JFF56" s="10"/>
      <c r="JFG56" s="10"/>
      <c r="JFH56" s="10"/>
      <c r="JFI56" s="10"/>
      <c r="JFJ56" s="10"/>
      <c r="JFK56" s="10"/>
      <c r="JFL56" s="10"/>
      <c r="JFM56" s="10"/>
      <c r="JFN56" s="10"/>
      <c r="JFO56" s="10"/>
      <c r="JFP56" s="10"/>
      <c r="JFQ56" s="10"/>
      <c r="JFR56" s="10"/>
      <c r="JFS56" s="10"/>
      <c r="JFT56" s="10"/>
      <c r="JFU56" s="10"/>
      <c r="JFV56" s="10"/>
      <c r="JFW56" s="10"/>
      <c r="JFX56" s="10"/>
      <c r="JFY56" s="10"/>
      <c r="JFZ56" s="10"/>
      <c r="JGA56" s="10"/>
      <c r="JGB56" s="10"/>
      <c r="JGC56" s="10"/>
      <c r="JGD56" s="10"/>
      <c r="JGE56" s="10"/>
      <c r="JGF56" s="10"/>
      <c r="JGG56" s="10"/>
      <c r="JGH56" s="10"/>
      <c r="JGI56" s="10"/>
      <c r="JGJ56" s="10"/>
      <c r="JGK56" s="10"/>
      <c r="JGL56" s="10"/>
      <c r="JGM56" s="10"/>
      <c r="JGN56" s="10"/>
      <c r="JGO56" s="10"/>
      <c r="JGP56" s="10"/>
      <c r="JGQ56" s="10"/>
      <c r="JGR56" s="10"/>
      <c r="JGS56" s="10"/>
      <c r="JGT56" s="10"/>
      <c r="JGU56" s="10"/>
      <c r="JGV56" s="10"/>
      <c r="JGW56" s="10"/>
      <c r="JGX56" s="10"/>
      <c r="JGY56" s="10"/>
      <c r="JGZ56" s="10"/>
      <c r="JHA56" s="10"/>
      <c r="JHB56" s="10"/>
      <c r="JHC56" s="10"/>
      <c r="JHD56" s="10"/>
      <c r="JHE56" s="10"/>
      <c r="JHF56" s="10"/>
      <c r="JHG56" s="10"/>
      <c r="JHH56" s="10"/>
      <c r="JHI56" s="10"/>
      <c r="JHJ56" s="10"/>
      <c r="JHK56" s="10"/>
      <c r="JHL56" s="10"/>
      <c r="JHM56" s="10"/>
      <c r="JHN56" s="10"/>
      <c r="JHO56" s="10"/>
      <c r="JHP56" s="10"/>
      <c r="JHQ56" s="10"/>
      <c r="JHR56" s="10"/>
      <c r="JHS56" s="10"/>
      <c r="JHT56" s="10"/>
      <c r="JHU56" s="10"/>
      <c r="JHV56" s="10"/>
      <c r="JHW56" s="10"/>
      <c r="JHX56" s="10"/>
      <c r="JHY56" s="10"/>
      <c r="JHZ56" s="10"/>
      <c r="JIA56" s="10"/>
      <c r="JIB56" s="10"/>
      <c r="JIC56" s="10"/>
      <c r="JID56" s="10"/>
      <c r="JIE56" s="10"/>
      <c r="JIF56" s="10"/>
      <c r="JIG56" s="10"/>
      <c r="JIH56" s="10"/>
      <c r="JII56" s="10"/>
      <c r="JIJ56" s="10"/>
      <c r="JIK56" s="10"/>
      <c r="JIL56" s="10"/>
      <c r="JIM56" s="10"/>
      <c r="JIN56" s="10"/>
      <c r="JIO56" s="10"/>
      <c r="JIP56" s="10"/>
      <c r="JIQ56" s="10"/>
      <c r="JIR56" s="10"/>
      <c r="JIS56" s="10"/>
      <c r="JIT56" s="10"/>
      <c r="JIU56" s="10"/>
      <c r="JIV56" s="10"/>
      <c r="JIW56" s="10"/>
      <c r="JIX56" s="10"/>
      <c r="JIY56" s="10"/>
      <c r="JIZ56" s="10"/>
      <c r="JJA56" s="10"/>
      <c r="JJB56" s="10"/>
      <c r="JJC56" s="10"/>
      <c r="JJD56" s="10"/>
      <c r="JJE56" s="10"/>
      <c r="JJF56" s="10"/>
      <c r="JJG56" s="10"/>
      <c r="JJH56" s="10"/>
      <c r="JJI56" s="10"/>
      <c r="JJJ56" s="10"/>
      <c r="JJK56" s="10"/>
      <c r="JJL56" s="10"/>
      <c r="JJM56" s="10"/>
      <c r="JJN56" s="10"/>
      <c r="JJO56" s="10"/>
      <c r="JJP56" s="10"/>
      <c r="JJQ56" s="10"/>
      <c r="JJR56" s="10"/>
      <c r="JJS56" s="10"/>
      <c r="JJT56" s="10"/>
      <c r="JJU56" s="10"/>
      <c r="JJV56" s="10"/>
      <c r="JJW56" s="10"/>
      <c r="JJX56" s="10"/>
      <c r="JJY56" s="10"/>
      <c r="JJZ56" s="10"/>
      <c r="JKA56" s="10"/>
      <c r="JKB56" s="10"/>
      <c r="JKC56" s="10"/>
      <c r="JKD56" s="10"/>
      <c r="JKE56" s="10"/>
      <c r="JKF56" s="10"/>
      <c r="JKG56" s="10"/>
      <c r="JKH56" s="10"/>
      <c r="JKI56" s="10"/>
      <c r="JKJ56" s="10"/>
      <c r="JKK56" s="10"/>
      <c r="JKL56" s="10"/>
      <c r="JKM56" s="10"/>
      <c r="JKN56" s="10"/>
      <c r="JKO56" s="10"/>
      <c r="JKP56" s="10"/>
      <c r="JKQ56" s="10"/>
      <c r="JKR56" s="10"/>
      <c r="JKS56" s="10"/>
      <c r="JKT56" s="10"/>
      <c r="JKU56" s="10"/>
      <c r="JKV56" s="10"/>
      <c r="JKW56" s="10"/>
      <c r="JKX56" s="10"/>
      <c r="JKY56" s="10"/>
      <c r="JKZ56" s="10"/>
      <c r="JLA56" s="10"/>
      <c r="JLB56" s="10"/>
      <c r="JLC56" s="10"/>
      <c r="JLD56" s="10"/>
      <c r="JLE56" s="10"/>
      <c r="JLF56" s="10"/>
      <c r="JLG56" s="10"/>
      <c r="JLH56" s="10"/>
      <c r="JLI56" s="10"/>
      <c r="JLJ56" s="10"/>
      <c r="JLK56" s="10"/>
      <c r="JLL56" s="10"/>
      <c r="JLM56" s="10"/>
      <c r="JLN56" s="10"/>
      <c r="JLO56" s="10"/>
      <c r="JLP56" s="10"/>
      <c r="JLQ56" s="10"/>
      <c r="JLR56" s="10"/>
      <c r="JLS56" s="10"/>
      <c r="JLT56" s="10"/>
      <c r="JLU56" s="10"/>
      <c r="JLV56" s="10"/>
      <c r="JLW56" s="10"/>
      <c r="JLX56" s="10"/>
      <c r="JLY56" s="10"/>
      <c r="JLZ56" s="10"/>
      <c r="JMA56" s="10"/>
      <c r="JMB56" s="10"/>
      <c r="JMC56" s="10"/>
      <c r="JMD56" s="10"/>
      <c r="JME56" s="10"/>
      <c r="JMF56" s="10"/>
      <c r="JMG56" s="10"/>
      <c r="JMH56" s="10"/>
      <c r="JMI56" s="10"/>
      <c r="JMJ56" s="10"/>
      <c r="JMK56" s="10"/>
      <c r="JML56" s="10"/>
      <c r="JMM56" s="10"/>
      <c r="JMN56" s="10"/>
      <c r="JMO56" s="10"/>
      <c r="JMP56" s="10"/>
      <c r="JMQ56" s="10"/>
      <c r="JMR56" s="10"/>
      <c r="JMS56" s="10"/>
      <c r="JMT56" s="10"/>
      <c r="JMU56" s="10"/>
      <c r="JMV56" s="10"/>
      <c r="JMW56" s="10"/>
      <c r="JMX56" s="10"/>
      <c r="JMY56" s="10"/>
      <c r="JMZ56" s="10"/>
      <c r="JNA56" s="10"/>
      <c r="JNB56" s="10"/>
      <c r="JNC56" s="10"/>
      <c r="JND56" s="10"/>
      <c r="JNE56" s="10"/>
      <c r="JNF56" s="10"/>
      <c r="JNG56" s="10"/>
      <c r="JNH56" s="10"/>
      <c r="JNI56" s="10"/>
      <c r="JNJ56" s="10"/>
      <c r="JNK56" s="10"/>
      <c r="JNL56" s="10"/>
      <c r="JNM56" s="10"/>
      <c r="JNN56" s="10"/>
      <c r="JNO56" s="10"/>
      <c r="JNP56" s="10"/>
      <c r="JNQ56" s="10"/>
      <c r="JNR56" s="10"/>
      <c r="JNS56" s="10"/>
      <c r="JNT56" s="10"/>
      <c r="JNU56" s="10"/>
      <c r="JNV56" s="10"/>
      <c r="JNW56" s="10"/>
      <c r="JNX56" s="10"/>
      <c r="JNY56" s="10"/>
      <c r="JNZ56" s="10"/>
      <c r="JOA56" s="10"/>
      <c r="JOB56" s="10"/>
      <c r="JOC56" s="10"/>
      <c r="JOD56" s="10"/>
      <c r="JOE56" s="10"/>
      <c r="JOF56" s="10"/>
      <c r="JOG56" s="10"/>
      <c r="JOH56" s="10"/>
      <c r="JOI56" s="10"/>
      <c r="JOJ56" s="10"/>
      <c r="JOK56" s="10"/>
      <c r="JOL56" s="10"/>
      <c r="JOM56" s="10"/>
      <c r="JON56" s="10"/>
      <c r="JOO56" s="10"/>
      <c r="JOP56" s="10"/>
      <c r="JOQ56" s="10"/>
      <c r="JOR56" s="10"/>
      <c r="JOS56" s="10"/>
      <c r="JOT56" s="10"/>
      <c r="JOU56" s="10"/>
      <c r="JOV56" s="10"/>
      <c r="JOW56" s="10"/>
      <c r="JOX56" s="10"/>
      <c r="JOY56" s="10"/>
      <c r="JOZ56" s="10"/>
      <c r="JPA56" s="10"/>
      <c r="JPB56" s="10"/>
      <c r="JPC56" s="10"/>
      <c r="JPD56" s="10"/>
      <c r="JPE56" s="10"/>
      <c r="JPF56" s="10"/>
      <c r="JPG56" s="10"/>
      <c r="JPH56" s="10"/>
      <c r="JPI56" s="10"/>
      <c r="JPJ56" s="10"/>
      <c r="JPK56" s="10"/>
      <c r="JPL56" s="10"/>
      <c r="JPM56" s="10"/>
      <c r="JPN56" s="10"/>
      <c r="JPO56" s="10"/>
      <c r="JPP56" s="10"/>
      <c r="JPQ56" s="10"/>
      <c r="JPR56" s="10"/>
      <c r="JPS56" s="10"/>
      <c r="JPT56" s="10"/>
      <c r="JPU56" s="10"/>
      <c r="JPV56" s="10"/>
      <c r="JPW56" s="10"/>
      <c r="JPX56" s="10"/>
      <c r="JPY56" s="10"/>
      <c r="JPZ56" s="10"/>
      <c r="JQA56" s="10"/>
      <c r="JQB56" s="10"/>
      <c r="JQC56" s="10"/>
      <c r="JQD56" s="10"/>
      <c r="JQE56" s="10"/>
      <c r="JQF56" s="10"/>
      <c r="JQG56" s="10"/>
      <c r="JQH56" s="10"/>
      <c r="JQI56" s="10"/>
      <c r="JQJ56" s="10"/>
      <c r="JQK56" s="10"/>
      <c r="JQL56" s="10"/>
      <c r="JQM56" s="10"/>
      <c r="JQN56" s="10"/>
      <c r="JQO56" s="10"/>
      <c r="JQP56" s="10"/>
      <c r="JQQ56" s="10"/>
      <c r="JQR56" s="10"/>
      <c r="JQS56" s="10"/>
      <c r="JQT56" s="10"/>
      <c r="JQU56" s="10"/>
      <c r="JQV56" s="10"/>
      <c r="JQW56" s="10"/>
      <c r="JQX56" s="10"/>
      <c r="JQY56" s="10"/>
      <c r="JQZ56" s="10"/>
      <c r="JRA56" s="10"/>
      <c r="JRB56" s="10"/>
      <c r="JRC56" s="10"/>
      <c r="JRD56" s="10"/>
      <c r="JRE56" s="10"/>
      <c r="JRF56" s="10"/>
      <c r="JRG56" s="10"/>
      <c r="JRH56" s="10"/>
      <c r="JRI56" s="10"/>
      <c r="JRJ56" s="10"/>
      <c r="JRK56" s="10"/>
      <c r="JRL56" s="10"/>
      <c r="JRM56" s="10"/>
      <c r="JRN56" s="10"/>
      <c r="JRO56" s="10"/>
      <c r="JRP56" s="10"/>
      <c r="JRQ56" s="10"/>
      <c r="JRR56" s="10"/>
      <c r="JRS56" s="10"/>
      <c r="JRT56" s="10"/>
      <c r="JRU56" s="10"/>
      <c r="JRV56" s="10"/>
      <c r="JRW56" s="10"/>
      <c r="JRX56" s="10"/>
      <c r="JRY56" s="10"/>
      <c r="JRZ56" s="10"/>
      <c r="JSA56" s="10"/>
      <c r="JSB56" s="10"/>
      <c r="JSC56" s="10"/>
      <c r="JSD56" s="10"/>
      <c r="JSE56" s="10"/>
      <c r="JSF56" s="10"/>
      <c r="JSG56" s="10"/>
      <c r="JSH56" s="10"/>
      <c r="JSI56" s="10"/>
      <c r="JSJ56" s="10"/>
      <c r="JSK56" s="10"/>
      <c r="JSL56" s="10"/>
      <c r="JSM56" s="10"/>
      <c r="JSN56" s="10"/>
      <c r="JSO56" s="10"/>
      <c r="JSP56" s="10"/>
      <c r="JSQ56" s="10"/>
      <c r="JSR56" s="10"/>
      <c r="JSS56" s="10"/>
      <c r="JST56" s="10"/>
      <c r="JSU56" s="10"/>
      <c r="JSV56" s="10"/>
      <c r="JSW56" s="10"/>
      <c r="JSX56" s="10"/>
      <c r="JSY56" s="10"/>
      <c r="JSZ56" s="10"/>
      <c r="JTA56" s="10"/>
      <c r="JTB56" s="10"/>
      <c r="JTC56" s="10"/>
      <c r="JTD56" s="10"/>
      <c r="JTE56" s="10"/>
      <c r="JTF56" s="10"/>
      <c r="JTG56" s="10"/>
      <c r="JTH56" s="10"/>
      <c r="JTI56" s="10"/>
      <c r="JTJ56" s="10"/>
      <c r="JTK56" s="10"/>
      <c r="JTL56" s="10"/>
      <c r="JTM56" s="10"/>
      <c r="JTN56" s="10"/>
      <c r="JTO56" s="10"/>
      <c r="JTP56" s="10"/>
      <c r="JTQ56" s="10"/>
      <c r="JTR56" s="10"/>
      <c r="JTS56" s="10"/>
      <c r="JTT56" s="10"/>
      <c r="JTU56" s="10"/>
      <c r="JTV56" s="10"/>
      <c r="JTW56" s="10"/>
      <c r="JTX56" s="10"/>
      <c r="JTY56" s="10"/>
      <c r="JTZ56" s="10"/>
      <c r="JUA56" s="10"/>
      <c r="JUB56" s="10"/>
      <c r="JUC56" s="10"/>
      <c r="JUD56" s="10"/>
      <c r="JUE56" s="10"/>
      <c r="JUF56" s="10"/>
      <c r="JUG56" s="10"/>
      <c r="JUH56" s="10"/>
      <c r="JUI56" s="10"/>
      <c r="JUJ56" s="10"/>
      <c r="JUK56" s="10"/>
      <c r="JUL56" s="10"/>
      <c r="JUM56" s="10"/>
      <c r="JUN56" s="10"/>
      <c r="JUO56" s="10"/>
      <c r="JUP56" s="10"/>
      <c r="JUQ56" s="10"/>
      <c r="JUR56" s="10"/>
      <c r="JUS56" s="10"/>
      <c r="JUT56" s="10"/>
      <c r="JUU56" s="10"/>
      <c r="JUV56" s="10"/>
      <c r="JUW56" s="10"/>
      <c r="JUX56" s="10"/>
      <c r="JUY56" s="10"/>
      <c r="JUZ56" s="10"/>
      <c r="JVA56" s="10"/>
      <c r="JVB56" s="10"/>
      <c r="JVC56" s="10"/>
      <c r="JVD56" s="10"/>
      <c r="JVE56" s="10"/>
      <c r="JVF56" s="10"/>
      <c r="JVG56" s="10"/>
      <c r="JVH56" s="10"/>
      <c r="JVI56" s="10"/>
      <c r="JVJ56" s="10"/>
      <c r="JVK56" s="10"/>
      <c r="JVL56" s="10"/>
      <c r="JVM56" s="10"/>
      <c r="JVN56" s="10"/>
      <c r="JVO56" s="10"/>
      <c r="JVP56" s="10"/>
      <c r="JVQ56" s="10"/>
      <c r="JVR56" s="10"/>
      <c r="JVS56" s="10"/>
      <c r="JVT56" s="10"/>
      <c r="JVU56" s="10"/>
      <c r="JVV56" s="10"/>
      <c r="JVW56" s="10"/>
      <c r="JVX56" s="10"/>
      <c r="JVY56" s="10"/>
      <c r="JVZ56" s="10"/>
      <c r="JWA56" s="10"/>
      <c r="JWB56" s="10"/>
      <c r="JWC56" s="10"/>
      <c r="JWD56" s="10"/>
      <c r="JWE56" s="10"/>
      <c r="JWF56" s="10"/>
      <c r="JWG56" s="10"/>
      <c r="JWH56" s="10"/>
      <c r="JWI56" s="10"/>
      <c r="JWJ56" s="10"/>
      <c r="JWK56" s="10"/>
      <c r="JWL56" s="10"/>
      <c r="JWM56" s="10"/>
      <c r="JWN56" s="10"/>
      <c r="JWO56" s="10"/>
      <c r="JWP56" s="10"/>
      <c r="JWQ56" s="10"/>
      <c r="JWR56" s="10"/>
      <c r="JWS56" s="10"/>
      <c r="JWT56" s="10"/>
      <c r="JWU56" s="10"/>
      <c r="JWV56" s="10"/>
      <c r="JWW56" s="10"/>
      <c r="JWX56" s="10"/>
      <c r="JWY56" s="10"/>
      <c r="JWZ56" s="10"/>
      <c r="JXA56" s="10"/>
      <c r="JXB56" s="10"/>
      <c r="JXC56" s="10"/>
      <c r="JXD56" s="10"/>
      <c r="JXE56" s="10"/>
      <c r="JXF56" s="10"/>
      <c r="JXG56" s="10"/>
      <c r="JXH56" s="10"/>
      <c r="JXI56" s="10"/>
      <c r="JXJ56" s="10"/>
      <c r="JXK56" s="10"/>
      <c r="JXL56" s="10"/>
      <c r="JXM56" s="10"/>
      <c r="JXN56" s="10"/>
      <c r="JXO56" s="10"/>
      <c r="JXP56" s="10"/>
      <c r="JXQ56" s="10"/>
      <c r="JXR56" s="10"/>
      <c r="JXS56" s="10"/>
      <c r="JXT56" s="10"/>
      <c r="JXU56" s="10"/>
      <c r="JXV56" s="10"/>
      <c r="JXW56" s="10"/>
      <c r="JXX56" s="10"/>
      <c r="JXY56" s="10"/>
      <c r="JXZ56" s="10"/>
      <c r="JYA56" s="10"/>
      <c r="JYB56" s="10"/>
      <c r="JYC56" s="10"/>
      <c r="JYD56" s="10"/>
      <c r="JYE56" s="10"/>
      <c r="JYF56" s="10"/>
      <c r="JYG56" s="10"/>
      <c r="JYH56" s="10"/>
      <c r="JYI56" s="10"/>
      <c r="JYJ56" s="10"/>
      <c r="JYK56" s="10"/>
      <c r="JYL56" s="10"/>
      <c r="JYM56" s="10"/>
      <c r="JYN56" s="10"/>
      <c r="JYO56" s="10"/>
      <c r="JYP56" s="10"/>
      <c r="JYQ56" s="10"/>
      <c r="JYR56" s="10"/>
      <c r="JYS56" s="10"/>
      <c r="JYT56" s="10"/>
      <c r="JYU56" s="10"/>
      <c r="JYV56" s="10"/>
      <c r="JYW56" s="10"/>
      <c r="JYX56" s="10"/>
      <c r="JYY56" s="10"/>
      <c r="JYZ56" s="10"/>
      <c r="JZA56" s="10"/>
      <c r="JZB56" s="10"/>
      <c r="JZC56" s="10"/>
      <c r="JZD56" s="10"/>
      <c r="JZE56" s="10"/>
      <c r="JZF56" s="10"/>
      <c r="JZG56" s="10"/>
      <c r="JZH56" s="10"/>
      <c r="JZI56" s="10"/>
      <c r="JZJ56" s="10"/>
      <c r="JZK56" s="10"/>
      <c r="JZL56" s="10"/>
      <c r="JZM56" s="10"/>
      <c r="JZN56" s="10"/>
      <c r="JZO56" s="10"/>
      <c r="JZP56" s="10"/>
      <c r="JZQ56" s="10"/>
      <c r="JZR56" s="10"/>
      <c r="JZS56" s="10"/>
      <c r="JZT56" s="10"/>
      <c r="JZU56" s="10"/>
      <c r="JZV56" s="10"/>
      <c r="JZW56" s="10"/>
      <c r="JZX56" s="10"/>
      <c r="JZY56" s="10"/>
      <c r="JZZ56" s="10"/>
      <c r="KAA56" s="10"/>
      <c r="KAB56" s="10"/>
      <c r="KAC56" s="10"/>
      <c r="KAD56" s="10"/>
      <c r="KAE56" s="10"/>
      <c r="KAF56" s="10"/>
      <c r="KAG56" s="10"/>
      <c r="KAH56" s="10"/>
      <c r="KAI56" s="10"/>
      <c r="KAJ56" s="10"/>
      <c r="KAK56" s="10"/>
      <c r="KAL56" s="10"/>
      <c r="KAM56" s="10"/>
      <c r="KAN56" s="10"/>
      <c r="KAO56" s="10"/>
      <c r="KAP56" s="10"/>
      <c r="KAQ56" s="10"/>
      <c r="KAR56" s="10"/>
      <c r="KAS56" s="10"/>
      <c r="KAT56" s="10"/>
      <c r="KAU56" s="10"/>
      <c r="KAV56" s="10"/>
      <c r="KAW56" s="10"/>
      <c r="KAX56" s="10"/>
      <c r="KAY56" s="10"/>
      <c r="KAZ56" s="10"/>
      <c r="KBA56" s="10"/>
      <c r="KBB56" s="10"/>
      <c r="KBC56" s="10"/>
      <c r="KBD56" s="10"/>
      <c r="KBE56" s="10"/>
      <c r="KBF56" s="10"/>
      <c r="KBG56" s="10"/>
      <c r="KBH56" s="10"/>
      <c r="KBI56" s="10"/>
      <c r="KBJ56" s="10"/>
      <c r="KBK56" s="10"/>
      <c r="KBL56" s="10"/>
      <c r="KBM56" s="10"/>
      <c r="KBN56" s="10"/>
      <c r="KBO56" s="10"/>
      <c r="KBP56" s="10"/>
      <c r="KBQ56" s="10"/>
      <c r="KBR56" s="10"/>
      <c r="KBS56" s="10"/>
      <c r="KBT56" s="10"/>
      <c r="KBU56" s="10"/>
      <c r="KBV56" s="10"/>
      <c r="KBW56" s="10"/>
      <c r="KBX56" s="10"/>
      <c r="KBY56" s="10"/>
      <c r="KBZ56" s="10"/>
      <c r="KCA56" s="10"/>
      <c r="KCB56" s="10"/>
      <c r="KCC56" s="10"/>
      <c r="KCD56" s="10"/>
      <c r="KCE56" s="10"/>
      <c r="KCF56" s="10"/>
      <c r="KCG56" s="10"/>
      <c r="KCH56" s="10"/>
      <c r="KCI56" s="10"/>
      <c r="KCJ56" s="10"/>
      <c r="KCK56" s="10"/>
      <c r="KCL56" s="10"/>
      <c r="KCM56" s="10"/>
      <c r="KCN56" s="10"/>
      <c r="KCO56" s="10"/>
      <c r="KCP56" s="10"/>
      <c r="KCQ56" s="10"/>
      <c r="KCR56" s="10"/>
      <c r="KCS56" s="10"/>
      <c r="KCT56" s="10"/>
      <c r="KCU56" s="10"/>
      <c r="KCV56" s="10"/>
      <c r="KCW56" s="10"/>
      <c r="KCX56" s="10"/>
      <c r="KCY56" s="10"/>
      <c r="KCZ56" s="10"/>
      <c r="KDA56" s="10"/>
      <c r="KDB56" s="10"/>
      <c r="KDC56" s="10"/>
      <c r="KDD56" s="10"/>
      <c r="KDE56" s="10"/>
      <c r="KDF56" s="10"/>
      <c r="KDG56" s="10"/>
      <c r="KDH56" s="10"/>
      <c r="KDI56" s="10"/>
      <c r="KDJ56" s="10"/>
      <c r="KDK56" s="10"/>
      <c r="KDL56" s="10"/>
      <c r="KDM56" s="10"/>
      <c r="KDN56" s="10"/>
      <c r="KDO56" s="10"/>
      <c r="KDP56" s="10"/>
      <c r="KDQ56" s="10"/>
      <c r="KDR56" s="10"/>
      <c r="KDS56" s="10"/>
      <c r="KDT56" s="10"/>
      <c r="KDU56" s="10"/>
      <c r="KDV56" s="10"/>
      <c r="KDW56" s="10"/>
      <c r="KDX56" s="10"/>
      <c r="KDY56" s="10"/>
      <c r="KDZ56" s="10"/>
      <c r="KEA56" s="10"/>
      <c r="KEB56" s="10"/>
      <c r="KEC56" s="10"/>
      <c r="KED56" s="10"/>
      <c r="KEE56" s="10"/>
      <c r="KEF56" s="10"/>
      <c r="KEG56" s="10"/>
      <c r="KEH56" s="10"/>
      <c r="KEI56" s="10"/>
      <c r="KEJ56" s="10"/>
      <c r="KEK56" s="10"/>
      <c r="KEL56" s="10"/>
      <c r="KEM56" s="10"/>
      <c r="KEN56" s="10"/>
      <c r="KEO56" s="10"/>
      <c r="KEP56" s="10"/>
      <c r="KEQ56" s="10"/>
      <c r="KER56" s="10"/>
      <c r="KES56" s="10"/>
      <c r="KET56" s="10"/>
      <c r="KEU56" s="10"/>
      <c r="KEV56" s="10"/>
      <c r="KEW56" s="10"/>
      <c r="KEX56" s="10"/>
      <c r="KEY56" s="10"/>
      <c r="KEZ56" s="10"/>
      <c r="KFA56" s="10"/>
      <c r="KFB56" s="10"/>
      <c r="KFC56" s="10"/>
      <c r="KFD56" s="10"/>
      <c r="KFE56" s="10"/>
      <c r="KFF56" s="10"/>
      <c r="KFG56" s="10"/>
      <c r="KFH56" s="10"/>
      <c r="KFI56" s="10"/>
      <c r="KFJ56" s="10"/>
      <c r="KFK56" s="10"/>
      <c r="KFL56" s="10"/>
      <c r="KFM56" s="10"/>
      <c r="KFN56" s="10"/>
      <c r="KFO56" s="10"/>
      <c r="KFP56" s="10"/>
      <c r="KFQ56" s="10"/>
      <c r="KFR56" s="10"/>
      <c r="KFS56" s="10"/>
      <c r="KFT56" s="10"/>
      <c r="KFU56" s="10"/>
      <c r="KFV56" s="10"/>
      <c r="KFW56" s="10"/>
      <c r="KFX56" s="10"/>
      <c r="KFY56" s="10"/>
      <c r="KFZ56" s="10"/>
      <c r="KGA56" s="10"/>
      <c r="KGB56" s="10"/>
      <c r="KGC56" s="10"/>
      <c r="KGD56" s="10"/>
      <c r="KGE56" s="10"/>
      <c r="KGF56" s="10"/>
      <c r="KGG56" s="10"/>
      <c r="KGH56" s="10"/>
      <c r="KGI56" s="10"/>
      <c r="KGJ56" s="10"/>
      <c r="KGK56" s="10"/>
      <c r="KGL56" s="10"/>
      <c r="KGM56" s="10"/>
      <c r="KGN56" s="10"/>
      <c r="KGO56" s="10"/>
      <c r="KGP56" s="10"/>
      <c r="KGQ56" s="10"/>
      <c r="KGR56" s="10"/>
      <c r="KGS56" s="10"/>
      <c r="KGT56" s="10"/>
      <c r="KGU56" s="10"/>
      <c r="KGV56" s="10"/>
      <c r="KGW56" s="10"/>
      <c r="KGX56" s="10"/>
      <c r="KGY56" s="10"/>
      <c r="KGZ56" s="10"/>
      <c r="KHA56" s="10"/>
      <c r="KHB56" s="10"/>
      <c r="KHC56" s="10"/>
      <c r="KHD56" s="10"/>
      <c r="KHE56" s="10"/>
      <c r="KHF56" s="10"/>
      <c r="KHG56" s="10"/>
      <c r="KHH56" s="10"/>
      <c r="KHI56" s="10"/>
      <c r="KHJ56" s="10"/>
      <c r="KHK56" s="10"/>
      <c r="KHL56" s="10"/>
      <c r="KHM56" s="10"/>
      <c r="KHN56" s="10"/>
      <c r="KHO56" s="10"/>
      <c r="KHP56" s="10"/>
      <c r="KHQ56" s="10"/>
      <c r="KHR56" s="10"/>
      <c r="KHS56" s="10"/>
      <c r="KHT56" s="10"/>
      <c r="KHU56" s="10"/>
      <c r="KHV56" s="10"/>
      <c r="KHW56" s="10"/>
      <c r="KHX56" s="10"/>
      <c r="KHY56" s="10"/>
      <c r="KHZ56" s="10"/>
      <c r="KIA56" s="10"/>
      <c r="KIB56" s="10"/>
      <c r="KIC56" s="10"/>
      <c r="KID56" s="10"/>
      <c r="KIE56" s="10"/>
      <c r="KIF56" s="10"/>
      <c r="KIG56" s="10"/>
      <c r="KIH56" s="10"/>
      <c r="KII56" s="10"/>
      <c r="KIJ56" s="10"/>
      <c r="KIK56" s="10"/>
      <c r="KIL56" s="10"/>
      <c r="KIM56" s="10"/>
      <c r="KIN56" s="10"/>
      <c r="KIO56" s="10"/>
      <c r="KIP56" s="10"/>
      <c r="KIQ56" s="10"/>
      <c r="KIR56" s="10"/>
      <c r="KIS56" s="10"/>
      <c r="KIT56" s="10"/>
      <c r="KIU56" s="10"/>
      <c r="KIV56" s="10"/>
      <c r="KIW56" s="10"/>
      <c r="KIX56" s="10"/>
      <c r="KIY56" s="10"/>
      <c r="KIZ56" s="10"/>
      <c r="KJA56" s="10"/>
      <c r="KJB56" s="10"/>
      <c r="KJC56" s="10"/>
      <c r="KJD56" s="10"/>
      <c r="KJE56" s="10"/>
      <c r="KJF56" s="10"/>
      <c r="KJG56" s="10"/>
      <c r="KJH56" s="10"/>
      <c r="KJI56" s="10"/>
      <c r="KJJ56" s="10"/>
      <c r="KJK56" s="10"/>
      <c r="KJL56" s="10"/>
      <c r="KJM56" s="10"/>
      <c r="KJN56" s="10"/>
      <c r="KJO56" s="10"/>
      <c r="KJP56" s="10"/>
      <c r="KJQ56" s="10"/>
      <c r="KJR56" s="10"/>
      <c r="KJS56" s="10"/>
      <c r="KJT56" s="10"/>
      <c r="KJU56" s="10"/>
      <c r="KJV56" s="10"/>
      <c r="KJW56" s="10"/>
      <c r="KJX56" s="10"/>
      <c r="KJY56" s="10"/>
      <c r="KJZ56" s="10"/>
      <c r="KKA56" s="10"/>
      <c r="KKB56" s="10"/>
      <c r="KKC56" s="10"/>
      <c r="KKD56" s="10"/>
      <c r="KKE56" s="10"/>
      <c r="KKF56" s="10"/>
      <c r="KKG56" s="10"/>
      <c r="KKH56" s="10"/>
      <c r="KKI56" s="10"/>
      <c r="KKJ56" s="10"/>
      <c r="KKK56" s="10"/>
      <c r="KKL56" s="10"/>
      <c r="KKM56" s="10"/>
      <c r="KKN56" s="10"/>
      <c r="KKO56" s="10"/>
      <c r="KKP56" s="10"/>
      <c r="KKQ56" s="10"/>
      <c r="KKR56" s="10"/>
      <c r="KKS56" s="10"/>
      <c r="KKT56" s="10"/>
      <c r="KKU56" s="10"/>
      <c r="KKV56" s="10"/>
      <c r="KKW56" s="10"/>
      <c r="KKX56" s="10"/>
      <c r="KKY56" s="10"/>
      <c r="KKZ56" s="10"/>
      <c r="KLA56" s="10"/>
      <c r="KLB56" s="10"/>
      <c r="KLC56" s="10"/>
      <c r="KLD56" s="10"/>
      <c r="KLE56" s="10"/>
      <c r="KLF56" s="10"/>
      <c r="KLG56" s="10"/>
      <c r="KLH56" s="10"/>
      <c r="KLI56" s="10"/>
      <c r="KLJ56" s="10"/>
      <c r="KLK56" s="10"/>
      <c r="KLL56" s="10"/>
      <c r="KLM56" s="10"/>
      <c r="KLN56" s="10"/>
      <c r="KLO56" s="10"/>
      <c r="KLP56" s="10"/>
      <c r="KLQ56" s="10"/>
      <c r="KLR56" s="10"/>
      <c r="KLS56" s="10"/>
      <c r="KLT56" s="10"/>
      <c r="KLU56" s="10"/>
      <c r="KLV56" s="10"/>
      <c r="KLW56" s="10"/>
      <c r="KLX56" s="10"/>
      <c r="KLY56" s="10"/>
      <c r="KLZ56" s="10"/>
      <c r="KMA56" s="10"/>
      <c r="KMB56" s="10"/>
      <c r="KMC56" s="10"/>
      <c r="KMD56" s="10"/>
      <c r="KME56" s="10"/>
      <c r="KMF56" s="10"/>
      <c r="KMG56" s="10"/>
      <c r="KMH56" s="10"/>
      <c r="KMI56" s="10"/>
      <c r="KMJ56" s="10"/>
      <c r="KMK56" s="10"/>
      <c r="KML56" s="10"/>
      <c r="KMM56" s="10"/>
      <c r="KMN56" s="10"/>
      <c r="KMO56" s="10"/>
      <c r="KMP56" s="10"/>
      <c r="KMQ56" s="10"/>
      <c r="KMR56" s="10"/>
      <c r="KMS56" s="10"/>
      <c r="KMT56" s="10"/>
      <c r="KMU56" s="10"/>
      <c r="KMV56" s="10"/>
      <c r="KMW56" s="10"/>
      <c r="KMX56" s="10"/>
      <c r="KMY56" s="10"/>
      <c r="KMZ56" s="10"/>
      <c r="KNA56" s="10"/>
      <c r="KNB56" s="10"/>
      <c r="KNC56" s="10"/>
      <c r="KND56" s="10"/>
      <c r="KNE56" s="10"/>
      <c r="KNF56" s="10"/>
      <c r="KNG56" s="10"/>
      <c r="KNH56" s="10"/>
      <c r="KNI56" s="10"/>
      <c r="KNJ56" s="10"/>
      <c r="KNK56" s="10"/>
      <c r="KNL56" s="10"/>
      <c r="KNM56" s="10"/>
      <c r="KNN56" s="10"/>
      <c r="KNO56" s="10"/>
      <c r="KNP56" s="10"/>
      <c r="KNQ56" s="10"/>
      <c r="KNR56" s="10"/>
      <c r="KNS56" s="10"/>
      <c r="KNT56" s="10"/>
      <c r="KNU56" s="10"/>
      <c r="KNV56" s="10"/>
      <c r="KNW56" s="10"/>
      <c r="KNX56" s="10"/>
      <c r="KNY56" s="10"/>
      <c r="KNZ56" s="10"/>
      <c r="KOA56" s="10"/>
      <c r="KOB56" s="10"/>
      <c r="KOC56" s="10"/>
      <c r="KOD56" s="10"/>
      <c r="KOE56" s="10"/>
      <c r="KOF56" s="10"/>
      <c r="KOG56" s="10"/>
      <c r="KOH56" s="10"/>
      <c r="KOI56" s="10"/>
      <c r="KOJ56" s="10"/>
      <c r="KOK56" s="10"/>
      <c r="KOL56" s="10"/>
      <c r="KOM56" s="10"/>
      <c r="KON56" s="10"/>
      <c r="KOO56" s="10"/>
      <c r="KOP56" s="10"/>
      <c r="KOQ56" s="10"/>
      <c r="KOR56" s="10"/>
      <c r="KOS56" s="10"/>
      <c r="KOT56" s="10"/>
      <c r="KOU56" s="10"/>
      <c r="KOV56" s="10"/>
      <c r="KOW56" s="10"/>
      <c r="KOX56" s="10"/>
      <c r="KOY56" s="10"/>
      <c r="KOZ56" s="10"/>
      <c r="KPA56" s="10"/>
      <c r="KPB56" s="10"/>
      <c r="KPC56" s="10"/>
      <c r="KPD56" s="10"/>
      <c r="KPE56" s="10"/>
      <c r="KPF56" s="10"/>
      <c r="KPG56" s="10"/>
      <c r="KPH56" s="10"/>
      <c r="KPI56" s="10"/>
      <c r="KPJ56" s="10"/>
      <c r="KPK56" s="10"/>
      <c r="KPL56" s="10"/>
      <c r="KPM56" s="10"/>
      <c r="KPN56" s="10"/>
      <c r="KPO56" s="10"/>
      <c r="KPP56" s="10"/>
      <c r="KPQ56" s="10"/>
      <c r="KPR56" s="10"/>
      <c r="KPS56" s="10"/>
      <c r="KPT56" s="10"/>
      <c r="KPU56" s="10"/>
      <c r="KPV56" s="10"/>
      <c r="KPW56" s="10"/>
      <c r="KPX56" s="10"/>
      <c r="KPY56" s="10"/>
      <c r="KPZ56" s="10"/>
      <c r="KQA56" s="10"/>
      <c r="KQB56" s="10"/>
      <c r="KQC56" s="10"/>
      <c r="KQD56" s="10"/>
      <c r="KQE56" s="10"/>
      <c r="KQF56" s="10"/>
      <c r="KQG56" s="10"/>
      <c r="KQH56" s="10"/>
      <c r="KQI56" s="10"/>
      <c r="KQJ56" s="10"/>
      <c r="KQK56" s="10"/>
      <c r="KQL56" s="10"/>
      <c r="KQM56" s="10"/>
      <c r="KQN56" s="10"/>
      <c r="KQO56" s="10"/>
      <c r="KQP56" s="10"/>
      <c r="KQQ56" s="10"/>
      <c r="KQR56" s="10"/>
      <c r="KQS56" s="10"/>
      <c r="KQT56" s="10"/>
      <c r="KQU56" s="10"/>
      <c r="KQV56" s="10"/>
      <c r="KQW56" s="10"/>
      <c r="KQX56" s="10"/>
      <c r="KQY56" s="10"/>
      <c r="KQZ56" s="10"/>
      <c r="KRA56" s="10"/>
      <c r="KRB56" s="10"/>
      <c r="KRC56" s="10"/>
      <c r="KRD56" s="10"/>
      <c r="KRE56" s="10"/>
      <c r="KRF56" s="10"/>
      <c r="KRG56" s="10"/>
      <c r="KRH56" s="10"/>
      <c r="KRI56" s="10"/>
      <c r="KRJ56" s="10"/>
      <c r="KRK56" s="10"/>
      <c r="KRL56" s="10"/>
      <c r="KRM56" s="10"/>
      <c r="KRN56" s="10"/>
      <c r="KRO56" s="10"/>
      <c r="KRP56" s="10"/>
      <c r="KRQ56" s="10"/>
      <c r="KRR56" s="10"/>
      <c r="KRS56" s="10"/>
      <c r="KRT56" s="10"/>
      <c r="KRU56" s="10"/>
      <c r="KRV56" s="10"/>
      <c r="KRW56" s="10"/>
      <c r="KRX56" s="10"/>
      <c r="KRY56" s="10"/>
      <c r="KRZ56" s="10"/>
      <c r="KSA56" s="10"/>
      <c r="KSB56" s="10"/>
      <c r="KSC56" s="10"/>
      <c r="KSD56" s="10"/>
      <c r="KSE56" s="10"/>
      <c r="KSF56" s="10"/>
      <c r="KSG56" s="10"/>
      <c r="KSH56" s="10"/>
      <c r="KSI56" s="10"/>
      <c r="KSJ56" s="10"/>
      <c r="KSK56" s="10"/>
      <c r="KSL56" s="10"/>
      <c r="KSM56" s="10"/>
      <c r="KSN56" s="10"/>
      <c r="KSO56" s="10"/>
      <c r="KSP56" s="10"/>
      <c r="KSQ56" s="10"/>
      <c r="KSR56" s="10"/>
      <c r="KSS56" s="10"/>
      <c r="KST56" s="10"/>
      <c r="KSU56" s="10"/>
      <c r="KSV56" s="10"/>
      <c r="KSW56" s="10"/>
      <c r="KSX56" s="10"/>
      <c r="KSY56" s="10"/>
      <c r="KSZ56" s="10"/>
      <c r="KTA56" s="10"/>
      <c r="KTB56" s="10"/>
      <c r="KTC56" s="10"/>
      <c r="KTD56" s="10"/>
      <c r="KTE56" s="10"/>
      <c r="KTF56" s="10"/>
      <c r="KTG56" s="10"/>
      <c r="KTH56" s="10"/>
      <c r="KTI56" s="10"/>
      <c r="KTJ56" s="10"/>
      <c r="KTK56" s="10"/>
      <c r="KTL56" s="10"/>
      <c r="KTM56" s="10"/>
      <c r="KTN56" s="10"/>
      <c r="KTO56" s="10"/>
      <c r="KTP56" s="10"/>
      <c r="KTQ56" s="10"/>
      <c r="KTR56" s="10"/>
      <c r="KTS56" s="10"/>
      <c r="KTT56" s="10"/>
      <c r="KTU56" s="10"/>
      <c r="KTV56" s="10"/>
      <c r="KTW56" s="10"/>
      <c r="KTX56" s="10"/>
      <c r="KTY56" s="10"/>
      <c r="KTZ56" s="10"/>
      <c r="KUA56" s="10"/>
      <c r="KUB56" s="10"/>
      <c r="KUC56" s="10"/>
      <c r="KUD56" s="10"/>
      <c r="KUE56" s="10"/>
      <c r="KUF56" s="10"/>
      <c r="KUG56" s="10"/>
      <c r="KUH56" s="10"/>
      <c r="KUI56" s="10"/>
      <c r="KUJ56" s="10"/>
      <c r="KUK56" s="10"/>
      <c r="KUL56" s="10"/>
      <c r="KUM56" s="10"/>
      <c r="KUN56" s="10"/>
      <c r="KUO56" s="10"/>
      <c r="KUP56" s="10"/>
      <c r="KUQ56" s="10"/>
      <c r="KUR56" s="10"/>
      <c r="KUS56" s="10"/>
      <c r="KUT56" s="10"/>
      <c r="KUU56" s="10"/>
      <c r="KUV56" s="10"/>
      <c r="KUW56" s="10"/>
      <c r="KUX56" s="10"/>
      <c r="KUY56" s="10"/>
      <c r="KUZ56" s="10"/>
      <c r="KVA56" s="10"/>
      <c r="KVB56" s="10"/>
      <c r="KVC56" s="10"/>
      <c r="KVD56" s="10"/>
      <c r="KVE56" s="10"/>
      <c r="KVF56" s="10"/>
      <c r="KVG56" s="10"/>
      <c r="KVH56" s="10"/>
      <c r="KVI56" s="10"/>
      <c r="KVJ56" s="10"/>
      <c r="KVK56" s="10"/>
      <c r="KVL56" s="10"/>
      <c r="KVM56" s="10"/>
      <c r="KVN56" s="10"/>
      <c r="KVO56" s="10"/>
      <c r="KVP56" s="10"/>
      <c r="KVQ56" s="10"/>
      <c r="KVR56" s="10"/>
      <c r="KVS56" s="10"/>
      <c r="KVT56" s="10"/>
      <c r="KVU56" s="10"/>
      <c r="KVV56" s="10"/>
      <c r="KVW56" s="10"/>
      <c r="KVX56" s="10"/>
      <c r="KVY56" s="10"/>
      <c r="KVZ56" s="10"/>
      <c r="KWA56" s="10"/>
      <c r="KWB56" s="10"/>
      <c r="KWC56" s="10"/>
      <c r="KWD56" s="10"/>
      <c r="KWE56" s="10"/>
      <c r="KWF56" s="10"/>
      <c r="KWG56" s="10"/>
      <c r="KWH56" s="10"/>
      <c r="KWI56" s="10"/>
      <c r="KWJ56" s="10"/>
      <c r="KWK56" s="10"/>
      <c r="KWL56" s="10"/>
      <c r="KWM56" s="10"/>
      <c r="KWN56" s="10"/>
      <c r="KWO56" s="10"/>
      <c r="KWP56" s="10"/>
      <c r="KWQ56" s="10"/>
      <c r="KWR56" s="10"/>
      <c r="KWS56" s="10"/>
      <c r="KWT56" s="10"/>
      <c r="KWU56" s="10"/>
      <c r="KWV56" s="10"/>
      <c r="KWW56" s="10"/>
      <c r="KWX56" s="10"/>
      <c r="KWY56" s="10"/>
      <c r="KWZ56" s="10"/>
      <c r="KXA56" s="10"/>
      <c r="KXB56" s="10"/>
      <c r="KXC56" s="10"/>
      <c r="KXD56" s="10"/>
      <c r="KXE56" s="10"/>
      <c r="KXF56" s="10"/>
      <c r="KXG56" s="10"/>
      <c r="KXH56" s="10"/>
      <c r="KXI56" s="10"/>
      <c r="KXJ56" s="10"/>
      <c r="KXK56" s="10"/>
      <c r="KXL56" s="10"/>
      <c r="KXM56" s="10"/>
      <c r="KXN56" s="10"/>
      <c r="KXO56" s="10"/>
      <c r="KXP56" s="10"/>
      <c r="KXQ56" s="10"/>
      <c r="KXR56" s="10"/>
      <c r="KXS56" s="10"/>
      <c r="KXT56" s="10"/>
      <c r="KXU56" s="10"/>
      <c r="KXV56" s="10"/>
      <c r="KXW56" s="10"/>
      <c r="KXX56" s="10"/>
      <c r="KXY56" s="10"/>
      <c r="KXZ56" s="10"/>
      <c r="KYA56" s="10"/>
      <c r="KYB56" s="10"/>
      <c r="KYC56" s="10"/>
      <c r="KYD56" s="10"/>
      <c r="KYE56" s="10"/>
      <c r="KYF56" s="10"/>
      <c r="KYG56" s="10"/>
      <c r="KYH56" s="10"/>
      <c r="KYI56" s="10"/>
      <c r="KYJ56" s="10"/>
      <c r="KYK56" s="10"/>
      <c r="KYL56" s="10"/>
      <c r="KYM56" s="10"/>
      <c r="KYN56" s="10"/>
      <c r="KYO56" s="10"/>
      <c r="KYP56" s="10"/>
      <c r="KYQ56" s="10"/>
      <c r="KYR56" s="10"/>
      <c r="KYS56" s="10"/>
      <c r="KYT56" s="10"/>
      <c r="KYU56" s="10"/>
      <c r="KYV56" s="10"/>
      <c r="KYW56" s="10"/>
      <c r="KYX56" s="10"/>
      <c r="KYY56" s="10"/>
      <c r="KYZ56" s="10"/>
      <c r="KZA56" s="10"/>
      <c r="KZB56" s="10"/>
      <c r="KZC56" s="10"/>
      <c r="KZD56" s="10"/>
      <c r="KZE56" s="10"/>
      <c r="KZF56" s="10"/>
      <c r="KZG56" s="10"/>
      <c r="KZH56" s="10"/>
      <c r="KZI56" s="10"/>
      <c r="KZJ56" s="10"/>
      <c r="KZK56" s="10"/>
      <c r="KZL56" s="10"/>
      <c r="KZM56" s="10"/>
      <c r="KZN56" s="10"/>
      <c r="KZO56" s="10"/>
      <c r="KZP56" s="10"/>
      <c r="KZQ56" s="10"/>
      <c r="KZR56" s="10"/>
      <c r="KZS56" s="10"/>
      <c r="KZT56" s="10"/>
      <c r="KZU56" s="10"/>
      <c r="KZV56" s="10"/>
      <c r="KZW56" s="10"/>
      <c r="KZX56" s="10"/>
      <c r="KZY56" s="10"/>
      <c r="KZZ56" s="10"/>
      <c r="LAA56" s="10"/>
      <c r="LAB56" s="10"/>
      <c r="LAC56" s="10"/>
      <c r="LAD56" s="10"/>
      <c r="LAE56" s="10"/>
      <c r="LAF56" s="10"/>
      <c r="LAG56" s="10"/>
      <c r="LAH56" s="10"/>
      <c r="LAI56" s="10"/>
      <c r="LAJ56" s="10"/>
      <c r="LAK56" s="10"/>
      <c r="LAL56" s="10"/>
      <c r="LAM56" s="10"/>
      <c r="LAN56" s="10"/>
      <c r="LAO56" s="10"/>
      <c r="LAP56" s="10"/>
      <c r="LAQ56" s="10"/>
      <c r="LAR56" s="10"/>
      <c r="LAS56" s="10"/>
      <c r="LAT56" s="10"/>
      <c r="LAU56" s="10"/>
      <c r="LAV56" s="10"/>
      <c r="LAW56" s="10"/>
      <c r="LAX56" s="10"/>
      <c r="LAY56" s="10"/>
      <c r="LAZ56" s="10"/>
      <c r="LBA56" s="10"/>
      <c r="LBB56" s="10"/>
      <c r="LBC56" s="10"/>
      <c r="LBD56" s="10"/>
      <c r="LBE56" s="10"/>
      <c r="LBF56" s="10"/>
      <c r="LBG56" s="10"/>
      <c r="LBH56" s="10"/>
      <c r="LBI56" s="10"/>
      <c r="LBJ56" s="10"/>
      <c r="LBK56" s="10"/>
      <c r="LBL56" s="10"/>
      <c r="LBM56" s="10"/>
      <c r="LBN56" s="10"/>
      <c r="LBO56" s="10"/>
      <c r="LBP56" s="10"/>
      <c r="LBQ56" s="10"/>
      <c r="LBR56" s="10"/>
      <c r="LBS56" s="10"/>
      <c r="LBT56" s="10"/>
      <c r="LBU56" s="10"/>
      <c r="LBV56" s="10"/>
      <c r="LBW56" s="10"/>
      <c r="LBX56" s="10"/>
      <c r="LBY56" s="10"/>
      <c r="LBZ56" s="10"/>
      <c r="LCA56" s="10"/>
      <c r="LCB56" s="10"/>
      <c r="LCC56" s="10"/>
      <c r="LCD56" s="10"/>
      <c r="LCE56" s="10"/>
      <c r="LCF56" s="10"/>
      <c r="LCG56" s="10"/>
      <c r="LCH56" s="10"/>
      <c r="LCI56" s="10"/>
      <c r="LCJ56" s="10"/>
      <c r="LCK56" s="10"/>
      <c r="LCL56" s="10"/>
      <c r="LCM56" s="10"/>
      <c r="LCN56" s="10"/>
      <c r="LCO56" s="10"/>
      <c r="LCP56" s="10"/>
      <c r="LCQ56" s="10"/>
      <c r="LCR56" s="10"/>
      <c r="LCS56" s="10"/>
      <c r="LCT56" s="10"/>
      <c r="LCU56" s="10"/>
      <c r="LCV56" s="10"/>
      <c r="LCW56" s="10"/>
      <c r="LCX56" s="10"/>
      <c r="LCY56" s="10"/>
      <c r="LCZ56" s="10"/>
      <c r="LDA56" s="10"/>
      <c r="LDB56" s="10"/>
      <c r="LDC56" s="10"/>
      <c r="LDD56" s="10"/>
      <c r="LDE56" s="10"/>
      <c r="LDF56" s="10"/>
      <c r="LDG56" s="10"/>
      <c r="LDH56" s="10"/>
      <c r="LDI56" s="10"/>
      <c r="LDJ56" s="10"/>
      <c r="LDK56" s="10"/>
      <c r="LDL56" s="10"/>
      <c r="LDM56" s="10"/>
      <c r="LDN56" s="10"/>
      <c r="LDO56" s="10"/>
      <c r="LDP56" s="10"/>
      <c r="LDQ56" s="10"/>
      <c r="LDR56" s="10"/>
      <c r="LDS56" s="10"/>
      <c r="LDT56" s="10"/>
      <c r="LDU56" s="10"/>
      <c r="LDV56" s="10"/>
      <c r="LDW56" s="10"/>
      <c r="LDX56" s="10"/>
      <c r="LDY56" s="10"/>
      <c r="LDZ56" s="10"/>
      <c r="LEA56" s="10"/>
      <c r="LEB56" s="10"/>
      <c r="LEC56" s="10"/>
      <c r="LED56" s="10"/>
      <c r="LEE56" s="10"/>
      <c r="LEF56" s="10"/>
      <c r="LEG56" s="10"/>
      <c r="LEH56" s="10"/>
      <c r="LEI56" s="10"/>
      <c r="LEJ56" s="10"/>
      <c r="LEK56" s="10"/>
      <c r="LEL56" s="10"/>
      <c r="LEM56" s="10"/>
      <c r="LEN56" s="10"/>
      <c r="LEO56" s="10"/>
      <c r="LEP56" s="10"/>
      <c r="LEQ56" s="10"/>
      <c r="LER56" s="10"/>
      <c r="LES56" s="10"/>
      <c r="LET56" s="10"/>
      <c r="LEU56" s="10"/>
      <c r="LEV56" s="10"/>
      <c r="LEW56" s="10"/>
      <c r="LEX56" s="10"/>
      <c r="LEY56" s="10"/>
      <c r="LEZ56" s="10"/>
      <c r="LFA56" s="10"/>
      <c r="LFB56" s="10"/>
      <c r="LFC56" s="10"/>
      <c r="LFD56" s="10"/>
      <c r="LFE56" s="10"/>
      <c r="LFF56" s="10"/>
      <c r="LFG56" s="10"/>
      <c r="LFH56" s="10"/>
      <c r="LFI56" s="10"/>
      <c r="LFJ56" s="10"/>
      <c r="LFK56" s="10"/>
      <c r="LFL56" s="10"/>
      <c r="LFM56" s="10"/>
      <c r="LFN56" s="10"/>
      <c r="LFO56" s="10"/>
      <c r="LFP56" s="10"/>
      <c r="LFQ56" s="10"/>
      <c r="LFR56" s="10"/>
      <c r="LFS56" s="10"/>
      <c r="LFT56" s="10"/>
      <c r="LFU56" s="10"/>
      <c r="LFV56" s="10"/>
      <c r="LFW56" s="10"/>
      <c r="LFX56" s="10"/>
      <c r="LFY56" s="10"/>
      <c r="LFZ56" s="10"/>
      <c r="LGA56" s="10"/>
      <c r="LGB56" s="10"/>
      <c r="LGC56" s="10"/>
      <c r="LGD56" s="10"/>
      <c r="LGE56" s="10"/>
      <c r="LGF56" s="10"/>
      <c r="LGG56" s="10"/>
      <c r="LGH56" s="10"/>
      <c r="LGI56" s="10"/>
      <c r="LGJ56" s="10"/>
      <c r="LGK56" s="10"/>
      <c r="LGL56" s="10"/>
      <c r="LGM56" s="10"/>
      <c r="LGN56" s="10"/>
      <c r="LGO56" s="10"/>
      <c r="LGP56" s="10"/>
      <c r="LGQ56" s="10"/>
      <c r="LGR56" s="10"/>
      <c r="LGS56" s="10"/>
      <c r="LGT56" s="10"/>
      <c r="LGU56" s="10"/>
      <c r="LGV56" s="10"/>
      <c r="LGW56" s="10"/>
      <c r="LGX56" s="10"/>
      <c r="LGY56" s="10"/>
      <c r="LGZ56" s="10"/>
      <c r="LHA56" s="10"/>
      <c r="LHB56" s="10"/>
      <c r="LHC56" s="10"/>
      <c r="LHD56" s="10"/>
      <c r="LHE56" s="10"/>
      <c r="LHF56" s="10"/>
      <c r="LHG56" s="10"/>
      <c r="LHH56" s="10"/>
      <c r="LHI56" s="10"/>
      <c r="LHJ56" s="10"/>
      <c r="LHK56" s="10"/>
      <c r="LHL56" s="10"/>
      <c r="LHM56" s="10"/>
      <c r="LHN56" s="10"/>
      <c r="LHO56" s="10"/>
      <c r="LHP56" s="10"/>
      <c r="LHQ56" s="10"/>
      <c r="LHR56" s="10"/>
      <c r="LHS56" s="10"/>
      <c r="LHT56" s="10"/>
      <c r="LHU56" s="10"/>
      <c r="LHV56" s="10"/>
      <c r="LHW56" s="10"/>
      <c r="LHX56" s="10"/>
      <c r="LHY56" s="10"/>
      <c r="LHZ56" s="10"/>
      <c r="LIA56" s="10"/>
      <c r="LIB56" s="10"/>
      <c r="LIC56" s="10"/>
      <c r="LID56" s="10"/>
      <c r="LIE56" s="10"/>
      <c r="LIF56" s="10"/>
      <c r="LIG56" s="10"/>
      <c r="LIH56" s="10"/>
      <c r="LII56" s="10"/>
      <c r="LIJ56" s="10"/>
      <c r="LIK56" s="10"/>
      <c r="LIL56" s="10"/>
      <c r="LIM56" s="10"/>
      <c r="LIN56" s="10"/>
      <c r="LIO56" s="10"/>
      <c r="LIP56" s="10"/>
      <c r="LIQ56" s="10"/>
      <c r="LIR56" s="10"/>
      <c r="LIS56" s="10"/>
      <c r="LIT56" s="10"/>
      <c r="LIU56" s="10"/>
      <c r="LIV56" s="10"/>
      <c r="LIW56" s="10"/>
      <c r="LIX56" s="10"/>
      <c r="LIY56" s="10"/>
      <c r="LIZ56" s="10"/>
      <c r="LJA56" s="10"/>
      <c r="LJB56" s="10"/>
      <c r="LJC56" s="10"/>
      <c r="LJD56" s="10"/>
      <c r="LJE56" s="10"/>
      <c r="LJF56" s="10"/>
      <c r="LJG56" s="10"/>
      <c r="LJH56" s="10"/>
      <c r="LJI56" s="10"/>
      <c r="LJJ56" s="10"/>
      <c r="LJK56" s="10"/>
      <c r="LJL56" s="10"/>
      <c r="LJM56" s="10"/>
      <c r="LJN56" s="10"/>
      <c r="LJO56" s="10"/>
      <c r="LJP56" s="10"/>
      <c r="LJQ56" s="10"/>
      <c r="LJR56" s="10"/>
      <c r="LJS56" s="10"/>
      <c r="LJT56" s="10"/>
      <c r="LJU56" s="10"/>
      <c r="LJV56" s="10"/>
      <c r="LJW56" s="10"/>
      <c r="LJX56" s="10"/>
      <c r="LJY56" s="10"/>
      <c r="LJZ56" s="10"/>
      <c r="LKA56" s="10"/>
      <c r="LKB56" s="10"/>
      <c r="LKC56" s="10"/>
      <c r="LKD56" s="10"/>
      <c r="LKE56" s="10"/>
      <c r="LKF56" s="10"/>
      <c r="LKG56" s="10"/>
      <c r="LKH56" s="10"/>
      <c r="LKI56" s="10"/>
      <c r="LKJ56" s="10"/>
      <c r="LKK56" s="10"/>
      <c r="LKL56" s="10"/>
      <c r="LKM56" s="10"/>
      <c r="LKN56" s="10"/>
      <c r="LKO56" s="10"/>
      <c r="LKP56" s="10"/>
      <c r="LKQ56" s="10"/>
      <c r="LKR56" s="10"/>
      <c r="LKS56" s="10"/>
      <c r="LKT56" s="10"/>
      <c r="LKU56" s="10"/>
      <c r="LKV56" s="10"/>
      <c r="LKW56" s="10"/>
      <c r="LKX56" s="10"/>
      <c r="LKY56" s="10"/>
      <c r="LKZ56" s="10"/>
      <c r="LLA56" s="10"/>
      <c r="LLB56" s="10"/>
      <c r="LLC56" s="10"/>
      <c r="LLD56" s="10"/>
      <c r="LLE56" s="10"/>
      <c r="LLF56" s="10"/>
      <c r="LLG56" s="10"/>
      <c r="LLH56" s="10"/>
      <c r="LLI56" s="10"/>
      <c r="LLJ56" s="10"/>
      <c r="LLK56" s="10"/>
      <c r="LLL56" s="10"/>
      <c r="LLM56" s="10"/>
      <c r="LLN56" s="10"/>
      <c r="LLO56" s="10"/>
      <c r="LLP56" s="10"/>
      <c r="LLQ56" s="10"/>
      <c r="LLR56" s="10"/>
      <c r="LLS56" s="10"/>
      <c r="LLT56" s="10"/>
      <c r="LLU56" s="10"/>
      <c r="LLV56" s="10"/>
      <c r="LLW56" s="10"/>
      <c r="LLX56" s="10"/>
      <c r="LLY56" s="10"/>
      <c r="LLZ56" s="10"/>
      <c r="LMA56" s="10"/>
      <c r="LMB56" s="10"/>
      <c r="LMC56" s="10"/>
      <c r="LMD56" s="10"/>
      <c r="LME56" s="10"/>
      <c r="LMF56" s="10"/>
      <c r="LMG56" s="10"/>
      <c r="LMH56" s="10"/>
      <c r="LMI56" s="10"/>
      <c r="LMJ56" s="10"/>
      <c r="LMK56" s="10"/>
      <c r="LML56" s="10"/>
      <c r="LMM56" s="10"/>
      <c r="LMN56" s="10"/>
      <c r="LMO56" s="10"/>
      <c r="LMP56" s="10"/>
      <c r="LMQ56" s="10"/>
      <c r="LMR56" s="10"/>
      <c r="LMS56" s="10"/>
      <c r="LMT56" s="10"/>
      <c r="LMU56" s="10"/>
      <c r="LMV56" s="10"/>
      <c r="LMW56" s="10"/>
      <c r="LMX56" s="10"/>
      <c r="LMY56" s="10"/>
      <c r="LMZ56" s="10"/>
      <c r="LNA56" s="10"/>
      <c r="LNB56" s="10"/>
      <c r="LNC56" s="10"/>
      <c r="LND56" s="10"/>
      <c r="LNE56" s="10"/>
      <c r="LNF56" s="10"/>
      <c r="LNG56" s="10"/>
      <c r="LNH56" s="10"/>
      <c r="LNI56" s="10"/>
      <c r="LNJ56" s="10"/>
      <c r="LNK56" s="10"/>
      <c r="LNL56" s="10"/>
      <c r="LNM56" s="10"/>
      <c r="LNN56" s="10"/>
      <c r="LNO56" s="10"/>
      <c r="LNP56" s="10"/>
      <c r="LNQ56" s="10"/>
      <c r="LNR56" s="10"/>
      <c r="LNS56" s="10"/>
      <c r="LNT56" s="10"/>
      <c r="LNU56" s="10"/>
      <c r="LNV56" s="10"/>
      <c r="LNW56" s="10"/>
      <c r="LNX56" s="10"/>
      <c r="LNY56" s="10"/>
      <c r="LNZ56" s="10"/>
      <c r="LOA56" s="10"/>
      <c r="LOB56" s="10"/>
      <c r="LOC56" s="10"/>
      <c r="LOD56" s="10"/>
      <c r="LOE56" s="10"/>
      <c r="LOF56" s="10"/>
      <c r="LOG56" s="10"/>
      <c r="LOH56" s="10"/>
      <c r="LOI56" s="10"/>
      <c r="LOJ56" s="10"/>
      <c r="LOK56" s="10"/>
      <c r="LOL56" s="10"/>
      <c r="LOM56" s="10"/>
      <c r="LON56" s="10"/>
      <c r="LOO56" s="10"/>
      <c r="LOP56" s="10"/>
      <c r="LOQ56" s="10"/>
      <c r="LOR56" s="10"/>
      <c r="LOS56" s="10"/>
      <c r="LOT56" s="10"/>
      <c r="LOU56" s="10"/>
      <c r="LOV56" s="10"/>
      <c r="LOW56" s="10"/>
      <c r="LOX56" s="10"/>
      <c r="LOY56" s="10"/>
      <c r="LOZ56" s="10"/>
      <c r="LPA56" s="10"/>
      <c r="LPB56" s="10"/>
      <c r="LPC56" s="10"/>
      <c r="LPD56" s="10"/>
      <c r="LPE56" s="10"/>
      <c r="LPF56" s="10"/>
      <c r="LPG56" s="10"/>
      <c r="LPH56" s="10"/>
      <c r="LPI56" s="10"/>
      <c r="LPJ56" s="10"/>
      <c r="LPK56" s="10"/>
      <c r="LPL56" s="10"/>
      <c r="LPM56" s="10"/>
      <c r="LPN56" s="10"/>
      <c r="LPO56" s="10"/>
      <c r="LPP56" s="10"/>
      <c r="LPQ56" s="10"/>
      <c r="LPR56" s="10"/>
      <c r="LPS56" s="10"/>
      <c r="LPT56" s="10"/>
      <c r="LPU56" s="10"/>
      <c r="LPV56" s="10"/>
      <c r="LPW56" s="10"/>
      <c r="LPX56" s="10"/>
      <c r="LPY56" s="10"/>
      <c r="LPZ56" s="10"/>
      <c r="LQA56" s="10"/>
      <c r="LQB56" s="10"/>
      <c r="LQC56" s="10"/>
      <c r="LQD56" s="10"/>
      <c r="LQE56" s="10"/>
      <c r="LQF56" s="10"/>
      <c r="LQG56" s="10"/>
      <c r="LQH56" s="10"/>
      <c r="LQI56" s="10"/>
      <c r="LQJ56" s="10"/>
      <c r="LQK56" s="10"/>
      <c r="LQL56" s="10"/>
      <c r="LQM56" s="10"/>
      <c r="LQN56" s="10"/>
      <c r="LQO56" s="10"/>
      <c r="LQP56" s="10"/>
      <c r="LQQ56" s="10"/>
      <c r="LQR56" s="10"/>
      <c r="LQS56" s="10"/>
      <c r="LQT56" s="10"/>
      <c r="LQU56" s="10"/>
      <c r="LQV56" s="10"/>
      <c r="LQW56" s="10"/>
      <c r="LQX56" s="10"/>
      <c r="LQY56" s="10"/>
      <c r="LQZ56" s="10"/>
      <c r="LRA56" s="10"/>
      <c r="LRB56" s="10"/>
      <c r="LRC56" s="10"/>
      <c r="LRD56" s="10"/>
      <c r="LRE56" s="10"/>
      <c r="LRF56" s="10"/>
      <c r="LRG56" s="10"/>
      <c r="LRH56" s="10"/>
      <c r="LRI56" s="10"/>
      <c r="LRJ56" s="10"/>
      <c r="LRK56" s="10"/>
      <c r="LRL56" s="10"/>
      <c r="LRM56" s="10"/>
      <c r="LRN56" s="10"/>
      <c r="LRO56" s="10"/>
      <c r="LRP56" s="10"/>
      <c r="LRQ56" s="10"/>
      <c r="LRR56" s="10"/>
      <c r="LRS56" s="10"/>
      <c r="LRT56" s="10"/>
      <c r="LRU56" s="10"/>
      <c r="LRV56" s="10"/>
      <c r="LRW56" s="10"/>
      <c r="LRX56" s="10"/>
      <c r="LRY56" s="10"/>
      <c r="LRZ56" s="10"/>
      <c r="LSA56" s="10"/>
      <c r="LSB56" s="10"/>
      <c r="LSC56" s="10"/>
      <c r="LSD56" s="10"/>
      <c r="LSE56" s="10"/>
      <c r="LSF56" s="10"/>
      <c r="LSG56" s="10"/>
      <c r="LSH56" s="10"/>
      <c r="LSI56" s="10"/>
      <c r="LSJ56" s="10"/>
      <c r="LSK56" s="10"/>
      <c r="LSL56" s="10"/>
      <c r="LSM56" s="10"/>
      <c r="LSN56" s="10"/>
      <c r="LSO56" s="10"/>
      <c r="LSP56" s="10"/>
      <c r="LSQ56" s="10"/>
      <c r="LSR56" s="10"/>
      <c r="LSS56" s="10"/>
      <c r="LST56" s="10"/>
      <c r="LSU56" s="10"/>
      <c r="LSV56" s="10"/>
      <c r="LSW56" s="10"/>
      <c r="LSX56" s="10"/>
      <c r="LSY56" s="10"/>
      <c r="LSZ56" s="10"/>
      <c r="LTA56" s="10"/>
      <c r="LTB56" s="10"/>
      <c r="LTC56" s="10"/>
      <c r="LTD56" s="10"/>
      <c r="LTE56" s="10"/>
      <c r="LTF56" s="10"/>
      <c r="LTG56" s="10"/>
      <c r="LTH56" s="10"/>
      <c r="LTI56" s="10"/>
      <c r="LTJ56" s="10"/>
      <c r="LTK56" s="10"/>
      <c r="LTL56" s="10"/>
      <c r="LTM56" s="10"/>
      <c r="LTN56" s="10"/>
      <c r="LTO56" s="10"/>
      <c r="LTP56" s="10"/>
      <c r="LTQ56" s="10"/>
      <c r="LTR56" s="10"/>
      <c r="LTS56" s="10"/>
      <c r="LTT56" s="10"/>
      <c r="LTU56" s="10"/>
      <c r="LTV56" s="10"/>
      <c r="LTW56" s="10"/>
      <c r="LTX56" s="10"/>
      <c r="LTY56" s="10"/>
      <c r="LTZ56" s="10"/>
      <c r="LUA56" s="10"/>
      <c r="LUB56" s="10"/>
      <c r="LUC56" s="10"/>
      <c r="LUD56" s="10"/>
      <c r="LUE56" s="10"/>
      <c r="LUF56" s="10"/>
      <c r="LUG56" s="10"/>
      <c r="LUH56" s="10"/>
      <c r="LUI56" s="10"/>
      <c r="LUJ56" s="10"/>
      <c r="LUK56" s="10"/>
      <c r="LUL56" s="10"/>
      <c r="LUM56" s="10"/>
      <c r="LUN56" s="10"/>
      <c r="LUO56" s="10"/>
      <c r="LUP56" s="10"/>
      <c r="LUQ56" s="10"/>
      <c r="LUR56" s="10"/>
      <c r="LUS56" s="10"/>
      <c r="LUT56" s="10"/>
      <c r="LUU56" s="10"/>
      <c r="LUV56" s="10"/>
      <c r="LUW56" s="10"/>
      <c r="LUX56" s="10"/>
      <c r="LUY56" s="10"/>
      <c r="LUZ56" s="10"/>
      <c r="LVA56" s="10"/>
      <c r="LVB56" s="10"/>
      <c r="LVC56" s="10"/>
      <c r="LVD56" s="10"/>
      <c r="LVE56" s="10"/>
      <c r="LVF56" s="10"/>
      <c r="LVG56" s="10"/>
      <c r="LVH56" s="10"/>
      <c r="LVI56" s="10"/>
      <c r="LVJ56" s="10"/>
      <c r="LVK56" s="10"/>
      <c r="LVL56" s="10"/>
      <c r="LVM56" s="10"/>
      <c r="LVN56" s="10"/>
      <c r="LVO56" s="10"/>
      <c r="LVP56" s="10"/>
      <c r="LVQ56" s="10"/>
      <c r="LVR56" s="10"/>
      <c r="LVS56" s="10"/>
      <c r="LVT56" s="10"/>
      <c r="LVU56" s="10"/>
      <c r="LVV56" s="10"/>
      <c r="LVW56" s="10"/>
      <c r="LVX56" s="10"/>
      <c r="LVY56" s="10"/>
      <c r="LVZ56" s="10"/>
      <c r="LWA56" s="10"/>
      <c r="LWB56" s="10"/>
      <c r="LWC56" s="10"/>
      <c r="LWD56" s="10"/>
      <c r="LWE56" s="10"/>
      <c r="LWF56" s="10"/>
      <c r="LWG56" s="10"/>
      <c r="LWH56" s="10"/>
      <c r="LWI56" s="10"/>
      <c r="LWJ56" s="10"/>
      <c r="LWK56" s="10"/>
      <c r="LWL56" s="10"/>
      <c r="LWM56" s="10"/>
      <c r="LWN56" s="10"/>
      <c r="LWO56" s="10"/>
      <c r="LWP56" s="10"/>
      <c r="LWQ56" s="10"/>
      <c r="LWR56" s="10"/>
      <c r="LWS56" s="10"/>
      <c r="LWT56" s="10"/>
      <c r="LWU56" s="10"/>
      <c r="LWV56" s="10"/>
      <c r="LWW56" s="10"/>
      <c r="LWX56" s="10"/>
      <c r="LWY56" s="10"/>
      <c r="LWZ56" s="10"/>
      <c r="LXA56" s="10"/>
      <c r="LXB56" s="10"/>
      <c r="LXC56" s="10"/>
      <c r="LXD56" s="10"/>
      <c r="LXE56" s="10"/>
      <c r="LXF56" s="10"/>
      <c r="LXG56" s="10"/>
      <c r="LXH56" s="10"/>
      <c r="LXI56" s="10"/>
      <c r="LXJ56" s="10"/>
      <c r="LXK56" s="10"/>
      <c r="LXL56" s="10"/>
      <c r="LXM56" s="10"/>
      <c r="LXN56" s="10"/>
      <c r="LXO56" s="10"/>
      <c r="LXP56" s="10"/>
      <c r="LXQ56" s="10"/>
      <c r="LXR56" s="10"/>
      <c r="LXS56" s="10"/>
      <c r="LXT56" s="10"/>
      <c r="LXU56" s="10"/>
      <c r="LXV56" s="10"/>
      <c r="LXW56" s="10"/>
      <c r="LXX56" s="10"/>
      <c r="LXY56" s="10"/>
      <c r="LXZ56" s="10"/>
      <c r="LYA56" s="10"/>
      <c r="LYB56" s="10"/>
      <c r="LYC56" s="10"/>
      <c r="LYD56" s="10"/>
      <c r="LYE56" s="10"/>
      <c r="LYF56" s="10"/>
      <c r="LYG56" s="10"/>
      <c r="LYH56" s="10"/>
      <c r="LYI56" s="10"/>
      <c r="LYJ56" s="10"/>
      <c r="LYK56" s="10"/>
      <c r="LYL56" s="10"/>
      <c r="LYM56" s="10"/>
      <c r="LYN56" s="10"/>
      <c r="LYO56" s="10"/>
      <c r="LYP56" s="10"/>
      <c r="LYQ56" s="10"/>
      <c r="LYR56" s="10"/>
      <c r="LYS56" s="10"/>
      <c r="LYT56" s="10"/>
      <c r="LYU56" s="10"/>
      <c r="LYV56" s="10"/>
      <c r="LYW56" s="10"/>
      <c r="LYX56" s="10"/>
      <c r="LYY56" s="10"/>
      <c r="LYZ56" s="10"/>
      <c r="LZA56" s="10"/>
      <c r="LZB56" s="10"/>
      <c r="LZC56" s="10"/>
      <c r="LZD56" s="10"/>
      <c r="LZE56" s="10"/>
      <c r="LZF56" s="10"/>
      <c r="LZG56" s="10"/>
      <c r="LZH56" s="10"/>
      <c r="LZI56" s="10"/>
      <c r="LZJ56" s="10"/>
      <c r="LZK56" s="10"/>
      <c r="LZL56" s="10"/>
      <c r="LZM56" s="10"/>
      <c r="LZN56" s="10"/>
      <c r="LZO56" s="10"/>
      <c r="LZP56" s="10"/>
      <c r="LZQ56" s="10"/>
      <c r="LZR56" s="10"/>
      <c r="LZS56" s="10"/>
      <c r="LZT56" s="10"/>
      <c r="LZU56" s="10"/>
      <c r="LZV56" s="10"/>
      <c r="LZW56" s="10"/>
      <c r="LZX56" s="10"/>
      <c r="LZY56" s="10"/>
      <c r="LZZ56" s="10"/>
      <c r="MAA56" s="10"/>
      <c r="MAB56" s="10"/>
      <c r="MAC56" s="10"/>
      <c r="MAD56" s="10"/>
      <c r="MAE56" s="10"/>
      <c r="MAF56" s="10"/>
      <c r="MAG56" s="10"/>
      <c r="MAH56" s="10"/>
      <c r="MAI56" s="10"/>
      <c r="MAJ56" s="10"/>
      <c r="MAK56" s="10"/>
      <c r="MAL56" s="10"/>
      <c r="MAM56" s="10"/>
      <c r="MAN56" s="10"/>
      <c r="MAO56" s="10"/>
      <c r="MAP56" s="10"/>
      <c r="MAQ56" s="10"/>
      <c r="MAR56" s="10"/>
      <c r="MAS56" s="10"/>
      <c r="MAT56" s="10"/>
      <c r="MAU56" s="10"/>
      <c r="MAV56" s="10"/>
      <c r="MAW56" s="10"/>
      <c r="MAX56" s="10"/>
      <c r="MAY56" s="10"/>
      <c r="MAZ56" s="10"/>
      <c r="MBA56" s="10"/>
      <c r="MBB56" s="10"/>
      <c r="MBC56" s="10"/>
      <c r="MBD56" s="10"/>
      <c r="MBE56" s="10"/>
      <c r="MBF56" s="10"/>
      <c r="MBG56" s="10"/>
      <c r="MBH56" s="10"/>
      <c r="MBI56" s="10"/>
      <c r="MBJ56" s="10"/>
      <c r="MBK56" s="10"/>
      <c r="MBL56" s="10"/>
      <c r="MBM56" s="10"/>
      <c r="MBN56" s="10"/>
      <c r="MBO56" s="10"/>
      <c r="MBP56" s="10"/>
      <c r="MBQ56" s="10"/>
      <c r="MBR56" s="10"/>
      <c r="MBS56" s="10"/>
      <c r="MBT56" s="10"/>
      <c r="MBU56" s="10"/>
      <c r="MBV56" s="10"/>
      <c r="MBW56" s="10"/>
      <c r="MBX56" s="10"/>
      <c r="MBY56" s="10"/>
      <c r="MBZ56" s="10"/>
      <c r="MCA56" s="10"/>
      <c r="MCB56" s="10"/>
      <c r="MCC56" s="10"/>
      <c r="MCD56" s="10"/>
      <c r="MCE56" s="10"/>
      <c r="MCF56" s="10"/>
      <c r="MCG56" s="10"/>
      <c r="MCH56" s="10"/>
      <c r="MCI56" s="10"/>
      <c r="MCJ56" s="10"/>
      <c r="MCK56" s="10"/>
      <c r="MCL56" s="10"/>
      <c r="MCM56" s="10"/>
      <c r="MCN56" s="10"/>
      <c r="MCO56" s="10"/>
      <c r="MCP56" s="10"/>
      <c r="MCQ56" s="10"/>
      <c r="MCR56" s="10"/>
      <c r="MCS56" s="10"/>
      <c r="MCT56" s="10"/>
      <c r="MCU56" s="10"/>
      <c r="MCV56" s="10"/>
      <c r="MCW56" s="10"/>
      <c r="MCX56" s="10"/>
      <c r="MCY56" s="10"/>
      <c r="MCZ56" s="10"/>
      <c r="MDA56" s="10"/>
      <c r="MDB56" s="10"/>
      <c r="MDC56" s="10"/>
      <c r="MDD56" s="10"/>
      <c r="MDE56" s="10"/>
      <c r="MDF56" s="10"/>
      <c r="MDG56" s="10"/>
      <c r="MDH56" s="10"/>
      <c r="MDI56" s="10"/>
      <c r="MDJ56" s="10"/>
      <c r="MDK56" s="10"/>
      <c r="MDL56" s="10"/>
      <c r="MDM56" s="10"/>
      <c r="MDN56" s="10"/>
      <c r="MDO56" s="10"/>
      <c r="MDP56" s="10"/>
      <c r="MDQ56" s="10"/>
      <c r="MDR56" s="10"/>
      <c r="MDS56" s="10"/>
      <c r="MDT56" s="10"/>
      <c r="MDU56" s="10"/>
      <c r="MDV56" s="10"/>
      <c r="MDW56" s="10"/>
      <c r="MDX56" s="10"/>
      <c r="MDY56" s="10"/>
      <c r="MDZ56" s="10"/>
      <c r="MEA56" s="10"/>
      <c r="MEB56" s="10"/>
      <c r="MEC56" s="10"/>
      <c r="MED56" s="10"/>
      <c r="MEE56" s="10"/>
      <c r="MEF56" s="10"/>
      <c r="MEG56" s="10"/>
      <c r="MEH56" s="10"/>
      <c r="MEI56" s="10"/>
      <c r="MEJ56" s="10"/>
      <c r="MEK56" s="10"/>
      <c r="MEL56" s="10"/>
      <c r="MEM56" s="10"/>
      <c r="MEN56" s="10"/>
      <c r="MEO56" s="10"/>
      <c r="MEP56" s="10"/>
      <c r="MEQ56" s="10"/>
      <c r="MER56" s="10"/>
      <c r="MES56" s="10"/>
      <c r="MET56" s="10"/>
      <c r="MEU56" s="10"/>
      <c r="MEV56" s="10"/>
      <c r="MEW56" s="10"/>
      <c r="MEX56" s="10"/>
      <c r="MEY56" s="10"/>
      <c r="MEZ56" s="10"/>
      <c r="MFA56" s="10"/>
      <c r="MFB56" s="10"/>
      <c r="MFC56" s="10"/>
      <c r="MFD56" s="10"/>
      <c r="MFE56" s="10"/>
      <c r="MFF56" s="10"/>
      <c r="MFG56" s="10"/>
      <c r="MFH56" s="10"/>
      <c r="MFI56" s="10"/>
      <c r="MFJ56" s="10"/>
      <c r="MFK56" s="10"/>
      <c r="MFL56" s="10"/>
      <c r="MFM56" s="10"/>
      <c r="MFN56" s="10"/>
      <c r="MFO56" s="10"/>
      <c r="MFP56" s="10"/>
      <c r="MFQ56" s="10"/>
      <c r="MFR56" s="10"/>
      <c r="MFS56" s="10"/>
      <c r="MFT56" s="10"/>
      <c r="MFU56" s="10"/>
      <c r="MFV56" s="10"/>
      <c r="MFW56" s="10"/>
      <c r="MFX56" s="10"/>
      <c r="MFY56" s="10"/>
      <c r="MFZ56" s="10"/>
      <c r="MGA56" s="10"/>
      <c r="MGB56" s="10"/>
      <c r="MGC56" s="10"/>
      <c r="MGD56" s="10"/>
      <c r="MGE56" s="10"/>
      <c r="MGF56" s="10"/>
      <c r="MGG56" s="10"/>
      <c r="MGH56" s="10"/>
      <c r="MGI56" s="10"/>
      <c r="MGJ56" s="10"/>
      <c r="MGK56" s="10"/>
      <c r="MGL56" s="10"/>
      <c r="MGM56" s="10"/>
      <c r="MGN56" s="10"/>
      <c r="MGO56" s="10"/>
      <c r="MGP56" s="10"/>
      <c r="MGQ56" s="10"/>
      <c r="MGR56" s="10"/>
      <c r="MGS56" s="10"/>
      <c r="MGT56" s="10"/>
      <c r="MGU56" s="10"/>
      <c r="MGV56" s="10"/>
      <c r="MGW56" s="10"/>
      <c r="MGX56" s="10"/>
      <c r="MGY56" s="10"/>
      <c r="MGZ56" s="10"/>
      <c r="MHA56" s="10"/>
      <c r="MHB56" s="10"/>
      <c r="MHC56" s="10"/>
      <c r="MHD56" s="10"/>
      <c r="MHE56" s="10"/>
      <c r="MHF56" s="10"/>
      <c r="MHG56" s="10"/>
      <c r="MHH56" s="10"/>
      <c r="MHI56" s="10"/>
      <c r="MHJ56" s="10"/>
      <c r="MHK56" s="10"/>
      <c r="MHL56" s="10"/>
      <c r="MHM56" s="10"/>
      <c r="MHN56" s="10"/>
      <c r="MHO56" s="10"/>
      <c r="MHP56" s="10"/>
      <c r="MHQ56" s="10"/>
      <c r="MHR56" s="10"/>
      <c r="MHS56" s="10"/>
      <c r="MHT56" s="10"/>
      <c r="MHU56" s="10"/>
      <c r="MHV56" s="10"/>
      <c r="MHW56" s="10"/>
      <c r="MHX56" s="10"/>
      <c r="MHY56" s="10"/>
      <c r="MHZ56" s="10"/>
      <c r="MIA56" s="10"/>
      <c r="MIB56" s="10"/>
      <c r="MIC56" s="10"/>
      <c r="MID56" s="10"/>
      <c r="MIE56" s="10"/>
      <c r="MIF56" s="10"/>
      <c r="MIG56" s="10"/>
      <c r="MIH56" s="10"/>
      <c r="MII56" s="10"/>
      <c r="MIJ56" s="10"/>
      <c r="MIK56" s="10"/>
      <c r="MIL56" s="10"/>
      <c r="MIM56" s="10"/>
      <c r="MIN56" s="10"/>
      <c r="MIO56" s="10"/>
      <c r="MIP56" s="10"/>
      <c r="MIQ56" s="10"/>
      <c r="MIR56" s="10"/>
      <c r="MIS56" s="10"/>
      <c r="MIT56" s="10"/>
      <c r="MIU56" s="10"/>
      <c r="MIV56" s="10"/>
      <c r="MIW56" s="10"/>
      <c r="MIX56" s="10"/>
      <c r="MIY56" s="10"/>
      <c r="MIZ56" s="10"/>
      <c r="MJA56" s="10"/>
      <c r="MJB56" s="10"/>
      <c r="MJC56" s="10"/>
      <c r="MJD56" s="10"/>
      <c r="MJE56" s="10"/>
      <c r="MJF56" s="10"/>
      <c r="MJG56" s="10"/>
      <c r="MJH56" s="10"/>
      <c r="MJI56" s="10"/>
      <c r="MJJ56" s="10"/>
      <c r="MJK56" s="10"/>
      <c r="MJL56" s="10"/>
      <c r="MJM56" s="10"/>
      <c r="MJN56" s="10"/>
      <c r="MJO56" s="10"/>
      <c r="MJP56" s="10"/>
      <c r="MJQ56" s="10"/>
      <c r="MJR56" s="10"/>
      <c r="MJS56" s="10"/>
      <c r="MJT56" s="10"/>
      <c r="MJU56" s="10"/>
      <c r="MJV56" s="10"/>
      <c r="MJW56" s="10"/>
      <c r="MJX56" s="10"/>
      <c r="MJY56" s="10"/>
      <c r="MJZ56" s="10"/>
      <c r="MKA56" s="10"/>
      <c r="MKB56" s="10"/>
      <c r="MKC56" s="10"/>
      <c r="MKD56" s="10"/>
      <c r="MKE56" s="10"/>
      <c r="MKF56" s="10"/>
      <c r="MKG56" s="10"/>
      <c r="MKH56" s="10"/>
      <c r="MKI56" s="10"/>
      <c r="MKJ56" s="10"/>
      <c r="MKK56" s="10"/>
      <c r="MKL56" s="10"/>
      <c r="MKM56" s="10"/>
      <c r="MKN56" s="10"/>
      <c r="MKO56" s="10"/>
      <c r="MKP56" s="10"/>
      <c r="MKQ56" s="10"/>
      <c r="MKR56" s="10"/>
      <c r="MKS56" s="10"/>
      <c r="MKT56" s="10"/>
      <c r="MKU56" s="10"/>
      <c r="MKV56" s="10"/>
      <c r="MKW56" s="10"/>
      <c r="MKX56" s="10"/>
      <c r="MKY56" s="10"/>
      <c r="MKZ56" s="10"/>
      <c r="MLA56" s="10"/>
      <c r="MLB56" s="10"/>
      <c r="MLC56" s="10"/>
      <c r="MLD56" s="10"/>
      <c r="MLE56" s="10"/>
      <c r="MLF56" s="10"/>
      <c r="MLG56" s="10"/>
      <c r="MLH56" s="10"/>
      <c r="MLI56" s="10"/>
      <c r="MLJ56" s="10"/>
      <c r="MLK56" s="10"/>
      <c r="MLL56" s="10"/>
      <c r="MLM56" s="10"/>
      <c r="MLN56" s="10"/>
      <c r="MLO56" s="10"/>
      <c r="MLP56" s="10"/>
      <c r="MLQ56" s="10"/>
      <c r="MLR56" s="10"/>
      <c r="MLS56" s="10"/>
      <c r="MLT56" s="10"/>
      <c r="MLU56" s="10"/>
      <c r="MLV56" s="10"/>
      <c r="MLW56" s="10"/>
      <c r="MLX56" s="10"/>
      <c r="MLY56" s="10"/>
      <c r="MLZ56" s="10"/>
      <c r="MMA56" s="10"/>
      <c r="MMB56" s="10"/>
      <c r="MMC56" s="10"/>
      <c r="MMD56" s="10"/>
      <c r="MME56" s="10"/>
      <c r="MMF56" s="10"/>
      <c r="MMG56" s="10"/>
      <c r="MMH56" s="10"/>
      <c r="MMI56" s="10"/>
      <c r="MMJ56" s="10"/>
      <c r="MMK56" s="10"/>
      <c r="MML56" s="10"/>
      <c r="MMM56" s="10"/>
      <c r="MMN56" s="10"/>
      <c r="MMO56" s="10"/>
      <c r="MMP56" s="10"/>
      <c r="MMQ56" s="10"/>
      <c r="MMR56" s="10"/>
      <c r="MMS56" s="10"/>
      <c r="MMT56" s="10"/>
      <c r="MMU56" s="10"/>
      <c r="MMV56" s="10"/>
      <c r="MMW56" s="10"/>
      <c r="MMX56" s="10"/>
      <c r="MMY56" s="10"/>
      <c r="MMZ56" s="10"/>
      <c r="MNA56" s="10"/>
      <c r="MNB56" s="10"/>
      <c r="MNC56" s="10"/>
      <c r="MND56" s="10"/>
      <c r="MNE56" s="10"/>
      <c r="MNF56" s="10"/>
      <c r="MNG56" s="10"/>
      <c r="MNH56" s="10"/>
      <c r="MNI56" s="10"/>
      <c r="MNJ56" s="10"/>
      <c r="MNK56" s="10"/>
      <c r="MNL56" s="10"/>
      <c r="MNM56" s="10"/>
      <c r="MNN56" s="10"/>
      <c r="MNO56" s="10"/>
      <c r="MNP56" s="10"/>
      <c r="MNQ56" s="10"/>
      <c r="MNR56" s="10"/>
      <c r="MNS56" s="10"/>
      <c r="MNT56" s="10"/>
      <c r="MNU56" s="10"/>
      <c r="MNV56" s="10"/>
      <c r="MNW56" s="10"/>
      <c r="MNX56" s="10"/>
      <c r="MNY56" s="10"/>
      <c r="MNZ56" s="10"/>
      <c r="MOA56" s="10"/>
      <c r="MOB56" s="10"/>
      <c r="MOC56" s="10"/>
      <c r="MOD56" s="10"/>
      <c r="MOE56" s="10"/>
      <c r="MOF56" s="10"/>
      <c r="MOG56" s="10"/>
      <c r="MOH56" s="10"/>
      <c r="MOI56" s="10"/>
      <c r="MOJ56" s="10"/>
      <c r="MOK56" s="10"/>
      <c r="MOL56" s="10"/>
      <c r="MOM56" s="10"/>
      <c r="MON56" s="10"/>
      <c r="MOO56" s="10"/>
      <c r="MOP56" s="10"/>
      <c r="MOQ56" s="10"/>
      <c r="MOR56" s="10"/>
      <c r="MOS56" s="10"/>
      <c r="MOT56" s="10"/>
      <c r="MOU56" s="10"/>
      <c r="MOV56" s="10"/>
      <c r="MOW56" s="10"/>
      <c r="MOX56" s="10"/>
      <c r="MOY56" s="10"/>
      <c r="MOZ56" s="10"/>
      <c r="MPA56" s="10"/>
      <c r="MPB56" s="10"/>
      <c r="MPC56" s="10"/>
      <c r="MPD56" s="10"/>
      <c r="MPE56" s="10"/>
      <c r="MPF56" s="10"/>
      <c r="MPG56" s="10"/>
      <c r="MPH56" s="10"/>
      <c r="MPI56" s="10"/>
      <c r="MPJ56" s="10"/>
      <c r="MPK56" s="10"/>
      <c r="MPL56" s="10"/>
      <c r="MPM56" s="10"/>
      <c r="MPN56" s="10"/>
      <c r="MPO56" s="10"/>
      <c r="MPP56" s="10"/>
      <c r="MPQ56" s="10"/>
      <c r="MPR56" s="10"/>
      <c r="MPS56" s="10"/>
      <c r="MPT56" s="10"/>
      <c r="MPU56" s="10"/>
      <c r="MPV56" s="10"/>
      <c r="MPW56" s="10"/>
      <c r="MPX56" s="10"/>
      <c r="MPY56" s="10"/>
      <c r="MPZ56" s="10"/>
      <c r="MQA56" s="10"/>
      <c r="MQB56" s="10"/>
      <c r="MQC56" s="10"/>
      <c r="MQD56" s="10"/>
      <c r="MQE56" s="10"/>
      <c r="MQF56" s="10"/>
      <c r="MQG56" s="10"/>
      <c r="MQH56" s="10"/>
      <c r="MQI56" s="10"/>
      <c r="MQJ56" s="10"/>
      <c r="MQK56" s="10"/>
      <c r="MQL56" s="10"/>
      <c r="MQM56" s="10"/>
      <c r="MQN56" s="10"/>
      <c r="MQO56" s="10"/>
      <c r="MQP56" s="10"/>
      <c r="MQQ56" s="10"/>
      <c r="MQR56" s="10"/>
      <c r="MQS56" s="10"/>
      <c r="MQT56" s="10"/>
      <c r="MQU56" s="10"/>
      <c r="MQV56" s="10"/>
      <c r="MQW56" s="10"/>
      <c r="MQX56" s="10"/>
      <c r="MQY56" s="10"/>
      <c r="MQZ56" s="10"/>
      <c r="MRA56" s="10"/>
      <c r="MRB56" s="10"/>
      <c r="MRC56" s="10"/>
      <c r="MRD56" s="10"/>
      <c r="MRE56" s="10"/>
      <c r="MRF56" s="10"/>
      <c r="MRG56" s="10"/>
      <c r="MRH56" s="10"/>
      <c r="MRI56" s="10"/>
      <c r="MRJ56" s="10"/>
      <c r="MRK56" s="10"/>
      <c r="MRL56" s="10"/>
      <c r="MRM56" s="10"/>
      <c r="MRN56" s="10"/>
      <c r="MRO56" s="10"/>
      <c r="MRP56" s="10"/>
      <c r="MRQ56" s="10"/>
      <c r="MRR56" s="10"/>
      <c r="MRS56" s="10"/>
      <c r="MRT56" s="10"/>
      <c r="MRU56" s="10"/>
      <c r="MRV56" s="10"/>
      <c r="MRW56" s="10"/>
      <c r="MRX56" s="10"/>
      <c r="MRY56" s="10"/>
      <c r="MRZ56" s="10"/>
      <c r="MSA56" s="10"/>
      <c r="MSB56" s="10"/>
      <c r="MSC56" s="10"/>
      <c r="MSD56" s="10"/>
      <c r="MSE56" s="10"/>
      <c r="MSF56" s="10"/>
      <c r="MSG56" s="10"/>
      <c r="MSH56" s="10"/>
      <c r="MSI56" s="10"/>
      <c r="MSJ56" s="10"/>
      <c r="MSK56" s="10"/>
      <c r="MSL56" s="10"/>
      <c r="MSM56" s="10"/>
      <c r="MSN56" s="10"/>
      <c r="MSO56" s="10"/>
      <c r="MSP56" s="10"/>
      <c r="MSQ56" s="10"/>
      <c r="MSR56" s="10"/>
      <c r="MSS56" s="10"/>
      <c r="MST56" s="10"/>
      <c r="MSU56" s="10"/>
      <c r="MSV56" s="10"/>
      <c r="MSW56" s="10"/>
      <c r="MSX56" s="10"/>
      <c r="MSY56" s="10"/>
      <c r="MSZ56" s="10"/>
      <c r="MTA56" s="10"/>
      <c r="MTB56" s="10"/>
      <c r="MTC56" s="10"/>
      <c r="MTD56" s="10"/>
      <c r="MTE56" s="10"/>
      <c r="MTF56" s="10"/>
      <c r="MTG56" s="10"/>
      <c r="MTH56" s="10"/>
      <c r="MTI56" s="10"/>
      <c r="MTJ56" s="10"/>
      <c r="MTK56" s="10"/>
      <c r="MTL56" s="10"/>
      <c r="MTM56" s="10"/>
      <c r="MTN56" s="10"/>
      <c r="MTO56" s="10"/>
      <c r="MTP56" s="10"/>
      <c r="MTQ56" s="10"/>
      <c r="MTR56" s="10"/>
      <c r="MTS56" s="10"/>
      <c r="MTT56" s="10"/>
      <c r="MTU56" s="10"/>
      <c r="MTV56" s="10"/>
      <c r="MTW56" s="10"/>
      <c r="MTX56" s="10"/>
      <c r="MTY56" s="10"/>
      <c r="MTZ56" s="10"/>
      <c r="MUA56" s="10"/>
      <c r="MUB56" s="10"/>
      <c r="MUC56" s="10"/>
      <c r="MUD56" s="10"/>
      <c r="MUE56" s="10"/>
      <c r="MUF56" s="10"/>
      <c r="MUG56" s="10"/>
      <c r="MUH56" s="10"/>
      <c r="MUI56" s="10"/>
      <c r="MUJ56" s="10"/>
      <c r="MUK56" s="10"/>
      <c r="MUL56" s="10"/>
      <c r="MUM56" s="10"/>
      <c r="MUN56" s="10"/>
      <c r="MUO56" s="10"/>
      <c r="MUP56" s="10"/>
      <c r="MUQ56" s="10"/>
      <c r="MUR56" s="10"/>
      <c r="MUS56" s="10"/>
      <c r="MUT56" s="10"/>
      <c r="MUU56" s="10"/>
      <c r="MUV56" s="10"/>
      <c r="MUW56" s="10"/>
      <c r="MUX56" s="10"/>
      <c r="MUY56" s="10"/>
      <c r="MUZ56" s="10"/>
      <c r="MVA56" s="10"/>
      <c r="MVB56" s="10"/>
      <c r="MVC56" s="10"/>
      <c r="MVD56" s="10"/>
      <c r="MVE56" s="10"/>
      <c r="MVF56" s="10"/>
      <c r="MVG56" s="10"/>
      <c r="MVH56" s="10"/>
      <c r="MVI56" s="10"/>
      <c r="MVJ56" s="10"/>
      <c r="MVK56" s="10"/>
      <c r="MVL56" s="10"/>
      <c r="MVM56" s="10"/>
      <c r="MVN56" s="10"/>
      <c r="MVO56" s="10"/>
      <c r="MVP56" s="10"/>
      <c r="MVQ56" s="10"/>
      <c r="MVR56" s="10"/>
      <c r="MVS56" s="10"/>
      <c r="MVT56" s="10"/>
      <c r="MVU56" s="10"/>
      <c r="MVV56" s="10"/>
      <c r="MVW56" s="10"/>
      <c r="MVX56" s="10"/>
      <c r="MVY56" s="10"/>
      <c r="MVZ56" s="10"/>
      <c r="MWA56" s="10"/>
      <c r="MWB56" s="10"/>
      <c r="MWC56" s="10"/>
      <c r="MWD56" s="10"/>
      <c r="MWE56" s="10"/>
      <c r="MWF56" s="10"/>
      <c r="MWG56" s="10"/>
      <c r="MWH56" s="10"/>
      <c r="MWI56" s="10"/>
      <c r="MWJ56" s="10"/>
      <c r="MWK56" s="10"/>
      <c r="MWL56" s="10"/>
      <c r="MWM56" s="10"/>
      <c r="MWN56" s="10"/>
      <c r="MWO56" s="10"/>
      <c r="MWP56" s="10"/>
      <c r="MWQ56" s="10"/>
      <c r="MWR56" s="10"/>
      <c r="MWS56" s="10"/>
      <c r="MWT56" s="10"/>
      <c r="MWU56" s="10"/>
      <c r="MWV56" s="10"/>
      <c r="MWW56" s="10"/>
      <c r="MWX56" s="10"/>
      <c r="MWY56" s="10"/>
      <c r="MWZ56" s="10"/>
      <c r="MXA56" s="10"/>
      <c r="MXB56" s="10"/>
      <c r="MXC56" s="10"/>
      <c r="MXD56" s="10"/>
      <c r="MXE56" s="10"/>
      <c r="MXF56" s="10"/>
      <c r="MXG56" s="10"/>
      <c r="MXH56" s="10"/>
      <c r="MXI56" s="10"/>
      <c r="MXJ56" s="10"/>
      <c r="MXK56" s="10"/>
      <c r="MXL56" s="10"/>
      <c r="MXM56" s="10"/>
      <c r="MXN56" s="10"/>
      <c r="MXO56" s="10"/>
      <c r="MXP56" s="10"/>
      <c r="MXQ56" s="10"/>
      <c r="MXR56" s="10"/>
      <c r="MXS56" s="10"/>
      <c r="MXT56" s="10"/>
      <c r="MXU56" s="10"/>
      <c r="MXV56" s="10"/>
      <c r="MXW56" s="10"/>
      <c r="MXX56" s="10"/>
      <c r="MXY56" s="10"/>
      <c r="MXZ56" s="10"/>
      <c r="MYA56" s="10"/>
      <c r="MYB56" s="10"/>
      <c r="MYC56" s="10"/>
      <c r="MYD56" s="10"/>
      <c r="MYE56" s="10"/>
      <c r="MYF56" s="10"/>
      <c r="MYG56" s="10"/>
      <c r="MYH56" s="10"/>
      <c r="MYI56" s="10"/>
      <c r="MYJ56" s="10"/>
      <c r="MYK56" s="10"/>
      <c r="MYL56" s="10"/>
      <c r="MYM56" s="10"/>
      <c r="MYN56" s="10"/>
      <c r="MYO56" s="10"/>
      <c r="MYP56" s="10"/>
      <c r="MYQ56" s="10"/>
      <c r="MYR56" s="10"/>
      <c r="MYS56" s="10"/>
      <c r="MYT56" s="10"/>
      <c r="MYU56" s="10"/>
      <c r="MYV56" s="10"/>
      <c r="MYW56" s="10"/>
      <c r="MYX56" s="10"/>
      <c r="MYY56" s="10"/>
      <c r="MYZ56" s="10"/>
      <c r="MZA56" s="10"/>
      <c r="MZB56" s="10"/>
      <c r="MZC56" s="10"/>
      <c r="MZD56" s="10"/>
      <c r="MZE56" s="10"/>
      <c r="MZF56" s="10"/>
      <c r="MZG56" s="10"/>
      <c r="MZH56" s="10"/>
      <c r="MZI56" s="10"/>
      <c r="MZJ56" s="10"/>
      <c r="MZK56" s="10"/>
      <c r="MZL56" s="10"/>
      <c r="MZM56" s="10"/>
      <c r="MZN56" s="10"/>
      <c r="MZO56" s="10"/>
      <c r="MZP56" s="10"/>
      <c r="MZQ56" s="10"/>
      <c r="MZR56" s="10"/>
      <c r="MZS56" s="10"/>
      <c r="MZT56" s="10"/>
      <c r="MZU56" s="10"/>
      <c r="MZV56" s="10"/>
      <c r="MZW56" s="10"/>
      <c r="MZX56" s="10"/>
      <c r="MZY56" s="10"/>
      <c r="MZZ56" s="10"/>
      <c r="NAA56" s="10"/>
      <c r="NAB56" s="10"/>
      <c r="NAC56" s="10"/>
      <c r="NAD56" s="10"/>
      <c r="NAE56" s="10"/>
      <c r="NAF56" s="10"/>
      <c r="NAG56" s="10"/>
      <c r="NAH56" s="10"/>
      <c r="NAI56" s="10"/>
      <c r="NAJ56" s="10"/>
      <c r="NAK56" s="10"/>
      <c r="NAL56" s="10"/>
      <c r="NAM56" s="10"/>
      <c r="NAN56" s="10"/>
      <c r="NAO56" s="10"/>
      <c r="NAP56" s="10"/>
      <c r="NAQ56" s="10"/>
      <c r="NAR56" s="10"/>
      <c r="NAS56" s="10"/>
      <c r="NAT56" s="10"/>
      <c r="NAU56" s="10"/>
      <c r="NAV56" s="10"/>
      <c r="NAW56" s="10"/>
      <c r="NAX56" s="10"/>
      <c r="NAY56" s="10"/>
      <c r="NAZ56" s="10"/>
      <c r="NBA56" s="10"/>
      <c r="NBB56" s="10"/>
      <c r="NBC56" s="10"/>
      <c r="NBD56" s="10"/>
      <c r="NBE56" s="10"/>
      <c r="NBF56" s="10"/>
      <c r="NBG56" s="10"/>
      <c r="NBH56" s="10"/>
      <c r="NBI56" s="10"/>
      <c r="NBJ56" s="10"/>
      <c r="NBK56" s="10"/>
      <c r="NBL56" s="10"/>
      <c r="NBM56" s="10"/>
      <c r="NBN56" s="10"/>
      <c r="NBO56" s="10"/>
      <c r="NBP56" s="10"/>
      <c r="NBQ56" s="10"/>
      <c r="NBR56" s="10"/>
      <c r="NBS56" s="10"/>
      <c r="NBT56" s="10"/>
      <c r="NBU56" s="10"/>
      <c r="NBV56" s="10"/>
      <c r="NBW56" s="10"/>
      <c r="NBX56" s="10"/>
      <c r="NBY56" s="10"/>
      <c r="NBZ56" s="10"/>
      <c r="NCA56" s="10"/>
      <c r="NCB56" s="10"/>
      <c r="NCC56" s="10"/>
      <c r="NCD56" s="10"/>
      <c r="NCE56" s="10"/>
      <c r="NCF56" s="10"/>
      <c r="NCG56" s="10"/>
      <c r="NCH56" s="10"/>
      <c r="NCI56" s="10"/>
      <c r="NCJ56" s="10"/>
      <c r="NCK56" s="10"/>
      <c r="NCL56" s="10"/>
      <c r="NCM56" s="10"/>
      <c r="NCN56" s="10"/>
      <c r="NCO56" s="10"/>
      <c r="NCP56" s="10"/>
      <c r="NCQ56" s="10"/>
      <c r="NCR56" s="10"/>
      <c r="NCS56" s="10"/>
      <c r="NCT56" s="10"/>
      <c r="NCU56" s="10"/>
      <c r="NCV56" s="10"/>
      <c r="NCW56" s="10"/>
      <c r="NCX56" s="10"/>
      <c r="NCY56" s="10"/>
      <c r="NCZ56" s="10"/>
      <c r="NDA56" s="10"/>
      <c r="NDB56" s="10"/>
      <c r="NDC56" s="10"/>
      <c r="NDD56" s="10"/>
      <c r="NDE56" s="10"/>
      <c r="NDF56" s="10"/>
      <c r="NDG56" s="10"/>
      <c r="NDH56" s="10"/>
      <c r="NDI56" s="10"/>
      <c r="NDJ56" s="10"/>
      <c r="NDK56" s="10"/>
      <c r="NDL56" s="10"/>
      <c r="NDM56" s="10"/>
      <c r="NDN56" s="10"/>
      <c r="NDO56" s="10"/>
      <c r="NDP56" s="10"/>
      <c r="NDQ56" s="10"/>
      <c r="NDR56" s="10"/>
      <c r="NDS56" s="10"/>
      <c r="NDT56" s="10"/>
      <c r="NDU56" s="10"/>
      <c r="NDV56" s="10"/>
      <c r="NDW56" s="10"/>
      <c r="NDX56" s="10"/>
      <c r="NDY56" s="10"/>
      <c r="NDZ56" s="10"/>
      <c r="NEA56" s="10"/>
      <c r="NEB56" s="10"/>
      <c r="NEC56" s="10"/>
      <c r="NED56" s="10"/>
      <c r="NEE56" s="10"/>
      <c r="NEF56" s="10"/>
      <c r="NEG56" s="10"/>
      <c r="NEH56" s="10"/>
      <c r="NEI56" s="10"/>
      <c r="NEJ56" s="10"/>
      <c r="NEK56" s="10"/>
      <c r="NEL56" s="10"/>
      <c r="NEM56" s="10"/>
      <c r="NEN56" s="10"/>
      <c r="NEO56" s="10"/>
      <c r="NEP56" s="10"/>
      <c r="NEQ56" s="10"/>
      <c r="NER56" s="10"/>
      <c r="NES56" s="10"/>
      <c r="NET56" s="10"/>
      <c r="NEU56" s="10"/>
      <c r="NEV56" s="10"/>
      <c r="NEW56" s="10"/>
      <c r="NEX56" s="10"/>
      <c r="NEY56" s="10"/>
      <c r="NEZ56" s="10"/>
      <c r="NFA56" s="10"/>
      <c r="NFB56" s="10"/>
      <c r="NFC56" s="10"/>
      <c r="NFD56" s="10"/>
      <c r="NFE56" s="10"/>
      <c r="NFF56" s="10"/>
      <c r="NFG56" s="10"/>
      <c r="NFH56" s="10"/>
      <c r="NFI56" s="10"/>
      <c r="NFJ56" s="10"/>
      <c r="NFK56" s="10"/>
      <c r="NFL56" s="10"/>
      <c r="NFM56" s="10"/>
      <c r="NFN56" s="10"/>
      <c r="NFO56" s="10"/>
      <c r="NFP56" s="10"/>
      <c r="NFQ56" s="10"/>
      <c r="NFR56" s="10"/>
      <c r="NFS56" s="10"/>
      <c r="NFT56" s="10"/>
      <c r="NFU56" s="10"/>
      <c r="NFV56" s="10"/>
      <c r="NFW56" s="10"/>
      <c r="NFX56" s="10"/>
      <c r="NFY56" s="10"/>
      <c r="NFZ56" s="10"/>
      <c r="NGA56" s="10"/>
      <c r="NGB56" s="10"/>
      <c r="NGC56" s="10"/>
      <c r="NGD56" s="10"/>
      <c r="NGE56" s="10"/>
      <c r="NGF56" s="10"/>
      <c r="NGG56" s="10"/>
      <c r="NGH56" s="10"/>
      <c r="NGI56" s="10"/>
      <c r="NGJ56" s="10"/>
      <c r="NGK56" s="10"/>
      <c r="NGL56" s="10"/>
      <c r="NGM56" s="10"/>
      <c r="NGN56" s="10"/>
      <c r="NGO56" s="10"/>
      <c r="NGP56" s="10"/>
      <c r="NGQ56" s="10"/>
      <c r="NGR56" s="10"/>
      <c r="NGS56" s="10"/>
      <c r="NGT56" s="10"/>
      <c r="NGU56" s="10"/>
      <c r="NGV56" s="10"/>
      <c r="NGW56" s="10"/>
      <c r="NGX56" s="10"/>
      <c r="NGY56" s="10"/>
      <c r="NGZ56" s="10"/>
      <c r="NHA56" s="10"/>
      <c r="NHB56" s="10"/>
      <c r="NHC56" s="10"/>
      <c r="NHD56" s="10"/>
      <c r="NHE56" s="10"/>
      <c r="NHF56" s="10"/>
      <c r="NHG56" s="10"/>
      <c r="NHH56" s="10"/>
      <c r="NHI56" s="10"/>
      <c r="NHJ56" s="10"/>
      <c r="NHK56" s="10"/>
      <c r="NHL56" s="10"/>
      <c r="NHM56" s="10"/>
      <c r="NHN56" s="10"/>
      <c r="NHO56" s="10"/>
      <c r="NHP56" s="10"/>
      <c r="NHQ56" s="10"/>
      <c r="NHR56" s="10"/>
      <c r="NHS56" s="10"/>
      <c r="NHT56" s="10"/>
      <c r="NHU56" s="10"/>
      <c r="NHV56" s="10"/>
      <c r="NHW56" s="10"/>
      <c r="NHX56" s="10"/>
      <c r="NHY56" s="10"/>
      <c r="NHZ56" s="10"/>
      <c r="NIA56" s="10"/>
      <c r="NIB56" s="10"/>
      <c r="NIC56" s="10"/>
      <c r="NID56" s="10"/>
      <c r="NIE56" s="10"/>
      <c r="NIF56" s="10"/>
      <c r="NIG56" s="10"/>
      <c r="NIH56" s="10"/>
      <c r="NII56" s="10"/>
      <c r="NIJ56" s="10"/>
      <c r="NIK56" s="10"/>
      <c r="NIL56" s="10"/>
      <c r="NIM56" s="10"/>
      <c r="NIN56" s="10"/>
      <c r="NIO56" s="10"/>
      <c r="NIP56" s="10"/>
      <c r="NIQ56" s="10"/>
      <c r="NIR56" s="10"/>
      <c r="NIS56" s="10"/>
      <c r="NIT56" s="10"/>
      <c r="NIU56" s="10"/>
      <c r="NIV56" s="10"/>
      <c r="NIW56" s="10"/>
      <c r="NIX56" s="10"/>
      <c r="NIY56" s="10"/>
      <c r="NIZ56" s="10"/>
      <c r="NJA56" s="10"/>
      <c r="NJB56" s="10"/>
      <c r="NJC56" s="10"/>
      <c r="NJD56" s="10"/>
      <c r="NJE56" s="10"/>
      <c r="NJF56" s="10"/>
      <c r="NJG56" s="10"/>
      <c r="NJH56" s="10"/>
      <c r="NJI56" s="10"/>
      <c r="NJJ56" s="10"/>
      <c r="NJK56" s="10"/>
      <c r="NJL56" s="10"/>
      <c r="NJM56" s="10"/>
      <c r="NJN56" s="10"/>
      <c r="NJO56" s="10"/>
      <c r="NJP56" s="10"/>
      <c r="NJQ56" s="10"/>
      <c r="NJR56" s="10"/>
      <c r="NJS56" s="10"/>
      <c r="NJT56" s="10"/>
      <c r="NJU56" s="10"/>
      <c r="NJV56" s="10"/>
      <c r="NJW56" s="10"/>
      <c r="NJX56" s="10"/>
      <c r="NJY56" s="10"/>
      <c r="NJZ56" s="10"/>
      <c r="NKA56" s="10"/>
      <c r="NKB56" s="10"/>
      <c r="NKC56" s="10"/>
      <c r="NKD56" s="10"/>
      <c r="NKE56" s="10"/>
      <c r="NKF56" s="10"/>
      <c r="NKG56" s="10"/>
      <c r="NKH56" s="10"/>
      <c r="NKI56" s="10"/>
      <c r="NKJ56" s="10"/>
      <c r="NKK56" s="10"/>
      <c r="NKL56" s="10"/>
      <c r="NKM56" s="10"/>
      <c r="NKN56" s="10"/>
      <c r="NKO56" s="10"/>
      <c r="NKP56" s="10"/>
      <c r="NKQ56" s="10"/>
      <c r="NKR56" s="10"/>
      <c r="NKS56" s="10"/>
      <c r="NKT56" s="10"/>
      <c r="NKU56" s="10"/>
      <c r="NKV56" s="10"/>
      <c r="NKW56" s="10"/>
      <c r="NKX56" s="10"/>
      <c r="NKY56" s="10"/>
      <c r="NKZ56" s="10"/>
      <c r="NLA56" s="10"/>
      <c r="NLB56" s="10"/>
      <c r="NLC56" s="10"/>
      <c r="NLD56" s="10"/>
      <c r="NLE56" s="10"/>
      <c r="NLF56" s="10"/>
      <c r="NLG56" s="10"/>
      <c r="NLH56" s="10"/>
      <c r="NLI56" s="10"/>
      <c r="NLJ56" s="10"/>
      <c r="NLK56" s="10"/>
      <c r="NLL56" s="10"/>
      <c r="NLM56" s="10"/>
      <c r="NLN56" s="10"/>
      <c r="NLO56" s="10"/>
      <c r="NLP56" s="10"/>
      <c r="NLQ56" s="10"/>
      <c r="NLR56" s="10"/>
      <c r="NLS56" s="10"/>
      <c r="NLT56" s="10"/>
      <c r="NLU56" s="10"/>
      <c r="NLV56" s="10"/>
      <c r="NLW56" s="10"/>
      <c r="NLX56" s="10"/>
      <c r="NLY56" s="10"/>
      <c r="NLZ56" s="10"/>
      <c r="NMA56" s="10"/>
      <c r="NMB56" s="10"/>
      <c r="NMC56" s="10"/>
      <c r="NMD56" s="10"/>
      <c r="NME56" s="10"/>
      <c r="NMF56" s="10"/>
      <c r="NMG56" s="10"/>
      <c r="NMH56" s="10"/>
      <c r="NMI56" s="10"/>
      <c r="NMJ56" s="10"/>
      <c r="NMK56" s="10"/>
      <c r="NML56" s="10"/>
      <c r="NMM56" s="10"/>
      <c r="NMN56" s="10"/>
      <c r="NMO56" s="10"/>
      <c r="NMP56" s="10"/>
      <c r="NMQ56" s="10"/>
      <c r="NMR56" s="10"/>
      <c r="NMS56" s="10"/>
      <c r="NMT56" s="10"/>
      <c r="NMU56" s="10"/>
      <c r="NMV56" s="10"/>
      <c r="NMW56" s="10"/>
      <c r="NMX56" s="10"/>
      <c r="NMY56" s="10"/>
      <c r="NMZ56" s="10"/>
      <c r="NNA56" s="10"/>
      <c r="NNB56" s="10"/>
      <c r="NNC56" s="10"/>
      <c r="NND56" s="10"/>
      <c r="NNE56" s="10"/>
      <c r="NNF56" s="10"/>
      <c r="NNG56" s="10"/>
      <c r="NNH56" s="10"/>
      <c r="NNI56" s="10"/>
      <c r="NNJ56" s="10"/>
      <c r="NNK56" s="10"/>
      <c r="NNL56" s="10"/>
      <c r="NNM56" s="10"/>
      <c r="NNN56" s="10"/>
      <c r="NNO56" s="10"/>
      <c r="NNP56" s="10"/>
      <c r="NNQ56" s="10"/>
      <c r="NNR56" s="10"/>
      <c r="NNS56" s="10"/>
      <c r="NNT56" s="10"/>
      <c r="NNU56" s="10"/>
      <c r="NNV56" s="10"/>
      <c r="NNW56" s="10"/>
      <c r="NNX56" s="10"/>
      <c r="NNY56" s="10"/>
      <c r="NNZ56" s="10"/>
      <c r="NOA56" s="10"/>
      <c r="NOB56" s="10"/>
      <c r="NOC56" s="10"/>
      <c r="NOD56" s="10"/>
      <c r="NOE56" s="10"/>
      <c r="NOF56" s="10"/>
      <c r="NOG56" s="10"/>
      <c r="NOH56" s="10"/>
      <c r="NOI56" s="10"/>
      <c r="NOJ56" s="10"/>
      <c r="NOK56" s="10"/>
      <c r="NOL56" s="10"/>
      <c r="NOM56" s="10"/>
      <c r="NON56" s="10"/>
      <c r="NOO56" s="10"/>
      <c r="NOP56" s="10"/>
      <c r="NOQ56" s="10"/>
      <c r="NOR56" s="10"/>
      <c r="NOS56" s="10"/>
      <c r="NOT56" s="10"/>
      <c r="NOU56" s="10"/>
      <c r="NOV56" s="10"/>
      <c r="NOW56" s="10"/>
      <c r="NOX56" s="10"/>
      <c r="NOY56" s="10"/>
      <c r="NOZ56" s="10"/>
      <c r="NPA56" s="10"/>
      <c r="NPB56" s="10"/>
      <c r="NPC56" s="10"/>
      <c r="NPD56" s="10"/>
      <c r="NPE56" s="10"/>
      <c r="NPF56" s="10"/>
      <c r="NPG56" s="10"/>
      <c r="NPH56" s="10"/>
      <c r="NPI56" s="10"/>
      <c r="NPJ56" s="10"/>
      <c r="NPK56" s="10"/>
      <c r="NPL56" s="10"/>
      <c r="NPM56" s="10"/>
      <c r="NPN56" s="10"/>
      <c r="NPO56" s="10"/>
      <c r="NPP56" s="10"/>
      <c r="NPQ56" s="10"/>
      <c r="NPR56" s="10"/>
      <c r="NPS56" s="10"/>
      <c r="NPT56" s="10"/>
      <c r="NPU56" s="10"/>
      <c r="NPV56" s="10"/>
      <c r="NPW56" s="10"/>
      <c r="NPX56" s="10"/>
      <c r="NPY56" s="10"/>
      <c r="NPZ56" s="10"/>
      <c r="NQA56" s="10"/>
      <c r="NQB56" s="10"/>
      <c r="NQC56" s="10"/>
      <c r="NQD56" s="10"/>
      <c r="NQE56" s="10"/>
      <c r="NQF56" s="10"/>
      <c r="NQG56" s="10"/>
      <c r="NQH56" s="10"/>
      <c r="NQI56" s="10"/>
      <c r="NQJ56" s="10"/>
      <c r="NQK56" s="10"/>
      <c r="NQL56" s="10"/>
      <c r="NQM56" s="10"/>
      <c r="NQN56" s="10"/>
      <c r="NQO56" s="10"/>
      <c r="NQP56" s="10"/>
      <c r="NQQ56" s="10"/>
      <c r="NQR56" s="10"/>
      <c r="NQS56" s="10"/>
      <c r="NQT56" s="10"/>
      <c r="NQU56" s="10"/>
      <c r="NQV56" s="10"/>
      <c r="NQW56" s="10"/>
      <c r="NQX56" s="10"/>
      <c r="NQY56" s="10"/>
      <c r="NQZ56" s="10"/>
      <c r="NRA56" s="10"/>
      <c r="NRB56" s="10"/>
      <c r="NRC56" s="10"/>
      <c r="NRD56" s="10"/>
      <c r="NRE56" s="10"/>
      <c r="NRF56" s="10"/>
      <c r="NRG56" s="10"/>
      <c r="NRH56" s="10"/>
      <c r="NRI56" s="10"/>
      <c r="NRJ56" s="10"/>
      <c r="NRK56" s="10"/>
      <c r="NRL56" s="10"/>
      <c r="NRM56" s="10"/>
      <c r="NRN56" s="10"/>
      <c r="NRO56" s="10"/>
      <c r="NRP56" s="10"/>
      <c r="NRQ56" s="10"/>
      <c r="NRR56" s="10"/>
      <c r="NRS56" s="10"/>
      <c r="NRT56" s="10"/>
      <c r="NRU56" s="10"/>
      <c r="NRV56" s="10"/>
      <c r="NRW56" s="10"/>
      <c r="NRX56" s="10"/>
      <c r="NRY56" s="10"/>
      <c r="NRZ56" s="10"/>
      <c r="NSA56" s="10"/>
      <c r="NSB56" s="10"/>
      <c r="NSC56" s="10"/>
      <c r="NSD56" s="10"/>
      <c r="NSE56" s="10"/>
      <c r="NSF56" s="10"/>
      <c r="NSG56" s="10"/>
      <c r="NSH56" s="10"/>
      <c r="NSI56" s="10"/>
      <c r="NSJ56" s="10"/>
      <c r="NSK56" s="10"/>
      <c r="NSL56" s="10"/>
      <c r="NSM56" s="10"/>
      <c r="NSN56" s="10"/>
      <c r="NSO56" s="10"/>
      <c r="NSP56" s="10"/>
      <c r="NSQ56" s="10"/>
      <c r="NSR56" s="10"/>
      <c r="NSS56" s="10"/>
      <c r="NST56" s="10"/>
      <c r="NSU56" s="10"/>
      <c r="NSV56" s="10"/>
      <c r="NSW56" s="10"/>
      <c r="NSX56" s="10"/>
      <c r="NSY56" s="10"/>
      <c r="NSZ56" s="10"/>
      <c r="NTA56" s="10"/>
      <c r="NTB56" s="10"/>
      <c r="NTC56" s="10"/>
      <c r="NTD56" s="10"/>
      <c r="NTE56" s="10"/>
      <c r="NTF56" s="10"/>
      <c r="NTG56" s="10"/>
      <c r="NTH56" s="10"/>
      <c r="NTI56" s="10"/>
      <c r="NTJ56" s="10"/>
      <c r="NTK56" s="10"/>
      <c r="NTL56" s="10"/>
      <c r="NTM56" s="10"/>
      <c r="NTN56" s="10"/>
      <c r="NTO56" s="10"/>
      <c r="NTP56" s="10"/>
      <c r="NTQ56" s="10"/>
      <c r="NTR56" s="10"/>
      <c r="NTS56" s="10"/>
      <c r="NTT56" s="10"/>
      <c r="NTU56" s="10"/>
      <c r="NTV56" s="10"/>
      <c r="NTW56" s="10"/>
      <c r="NTX56" s="10"/>
      <c r="NTY56" s="10"/>
      <c r="NTZ56" s="10"/>
      <c r="NUA56" s="10"/>
      <c r="NUB56" s="10"/>
      <c r="NUC56" s="10"/>
      <c r="NUD56" s="10"/>
      <c r="NUE56" s="10"/>
      <c r="NUF56" s="10"/>
      <c r="NUG56" s="10"/>
      <c r="NUH56" s="10"/>
      <c r="NUI56" s="10"/>
      <c r="NUJ56" s="10"/>
      <c r="NUK56" s="10"/>
      <c r="NUL56" s="10"/>
      <c r="NUM56" s="10"/>
      <c r="NUN56" s="10"/>
      <c r="NUO56" s="10"/>
      <c r="NUP56" s="10"/>
      <c r="NUQ56" s="10"/>
      <c r="NUR56" s="10"/>
      <c r="NUS56" s="10"/>
      <c r="NUT56" s="10"/>
      <c r="NUU56" s="10"/>
      <c r="NUV56" s="10"/>
      <c r="NUW56" s="10"/>
      <c r="NUX56" s="10"/>
      <c r="NUY56" s="10"/>
      <c r="NUZ56" s="10"/>
      <c r="NVA56" s="10"/>
      <c r="NVB56" s="10"/>
      <c r="NVC56" s="10"/>
      <c r="NVD56" s="10"/>
      <c r="NVE56" s="10"/>
      <c r="NVF56" s="10"/>
      <c r="NVG56" s="10"/>
      <c r="NVH56" s="10"/>
      <c r="NVI56" s="10"/>
      <c r="NVJ56" s="10"/>
      <c r="NVK56" s="10"/>
      <c r="NVL56" s="10"/>
      <c r="NVM56" s="10"/>
      <c r="NVN56" s="10"/>
      <c r="NVO56" s="10"/>
      <c r="NVP56" s="10"/>
      <c r="NVQ56" s="10"/>
      <c r="NVR56" s="10"/>
      <c r="NVS56" s="10"/>
      <c r="NVT56" s="10"/>
      <c r="NVU56" s="10"/>
      <c r="NVV56" s="10"/>
      <c r="NVW56" s="10"/>
      <c r="NVX56" s="10"/>
      <c r="NVY56" s="10"/>
      <c r="NVZ56" s="10"/>
      <c r="NWA56" s="10"/>
      <c r="NWB56" s="10"/>
      <c r="NWC56" s="10"/>
      <c r="NWD56" s="10"/>
      <c r="NWE56" s="10"/>
      <c r="NWF56" s="10"/>
      <c r="NWG56" s="10"/>
      <c r="NWH56" s="10"/>
      <c r="NWI56" s="10"/>
      <c r="NWJ56" s="10"/>
      <c r="NWK56" s="10"/>
      <c r="NWL56" s="10"/>
      <c r="NWM56" s="10"/>
      <c r="NWN56" s="10"/>
      <c r="NWO56" s="10"/>
      <c r="NWP56" s="10"/>
      <c r="NWQ56" s="10"/>
      <c r="NWR56" s="10"/>
      <c r="NWS56" s="10"/>
      <c r="NWT56" s="10"/>
      <c r="NWU56" s="10"/>
      <c r="NWV56" s="10"/>
      <c r="NWW56" s="10"/>
      <c r="NWX56" s="10"/>
      <c r="NWY56" s="10"/>
      <c r="NWZ56" s="10"/>
      <c r="NXA56" s="10"/>
      <c r="NXB56" s="10"/>
      <c r="NXC56" s="10"/>
      <c r="NXD56" s="10"/>
      <c r="NXE56" s="10"/>
      <c r="NXF56" s="10"/>
      <c r="NXG56" s="10"/>
      <c r="NXH56" s="10"/>
      <c r="NXI56" s="10"/>
      <c r="NXJ56" s="10"/>
      <c r="NXK56" s="10"/>
      <c r="NXL56" s="10"/>
      <c r="NXM56" s="10"/>
      <c r="NXN56" s="10"/>
      <c r="NXO56" s="10"/>
      <c r="NXP56" s="10"/>
      <c r="NXQ56" s="10"/>
      <c r="NXR56" s="10"/>
      <c r="NXS56" s="10"/>
      <c r="NXT56" s="10"/>
      <c r="NXU56" s="10"/>
      <c r="NXV56" s="10"/>
      <c r="NXW56" s="10"/>
      <c r="NXX56" s="10"/>
      <c r="NXY56" s="10"/>
      <c r="NXZ56" s="10"/>
      <c r="NYA56" s="10"/>
      <c r="NYB56" s="10"/>
      <c r="NYC56" s="10"/>
      <c r="NYD56" s="10"/>
      <c r="NYE56" s="10"/>
      <c r="NYF56" s="10"/>
      <c r="NYG56" s="10"/>
      <c r="NYH56" s="10"/>
      <c r="NYI56" s="10"/>
      <c r="NYJ56" s="10"/>
      <c r="NYK56" s="10"/>
      <c r="NYL56" s="10"/>
      <c r="NYM56" s="10"/>
      <c r="NYN56" s="10"/>
      <c r="NYO56" s="10"/>
      <c r="NYP56" s="10"/>
      <c r="NYQ56" s="10"/>
      <c r="NYR56" s="10"/>
      <c r="NYS56" s="10"/>
      <c r="NYT56" s="10"/>
      <c r="NYU56" s="10"/>
      <c r="NYV56" s="10"/>
      <c r="NYW56" s="10"/>
      <c r="NYX56" s="10"/>
      <c r="NYY56" s="10"/>
      <c r="NYZ56" s="10"/>
      <c r="NZA56" s="10"/>
      <c r="NZB56" s="10"/>
      <c r="NZC56" s="10"/>
      <c r="NZD56" s="10"/>
      <c r="NZE56" s="10"/>
      <c r="NZF56" s="10"/>
      <c r="NZG56" s="10"/>
      <c r="NZH56" s="10"/>
      <c r="NZI56" s="10"/>
      <c r="NZJ56" s="10"/>
      <c r="NZK56" s="10"/>
      <c r="NZL56" s="10"/>
      <c r="NZM56" s="10"/>
      <c r="NZN56" s="10"/>
      <c r="NZO56" s="10"/>
      <c r="NZP56" s="10"/>
      <c r="NZQ56" s="10"/>
      <c r="NZR56" s="10"/>
      <c r="NZS56" s="10"/>
      <c r="NZT56" s="10"/>
      <c r="NZU56" s="10"/>
      <c r="NZV56" s="10"/>
      <c r="NZW56" s="10"/>
      <c r="NZX56" s="10"/>
      <c r="NZY56" s="10"/>
      <c r="NZZ56" s="10"/>
      <c r="OAA56" s="10"/>
      <c r="OAB56" s="10"/>
      <c r="OAC56" s="10"/>
      <c r="OAD56" s="10"/>
      <c r="OAE56" s="10"/>
      <c r="OAF56" s="10"/>
      <c r="OAG56" s="10"/>
      <c r="OAH56" s="10"/>
      <c r="OAI56" s="10"/>
      <c r="OAJ56" s="10"/>
      <c r="OAK56" s="10"/>
      <c r="OAL56" s="10"/>
      <c r="OAM56" s="10"/>
      <c r="OAN56" s="10"/>
      <c r="OAO56" s="10"/>
      <c r="OAP56" s="10"/>
      <c r="OAQ56" s="10"/>
      <c r="OAR56" s="10"/>
      <c r="OAS56" s="10"/>
      <c r="OAT56" s="10"/>
      <c r="OAU56" s="10"/>
      <c r="OAV56" s="10"/>
      <c r="OAW56" s="10"/>
      <c r="OAX56" s="10"/>
      <c r="OAY56" s="10"/>
      <c r="OAZ56" s="10"/>
      <c r="OBA56" s="10"/>
      <c r="OBB56" s="10"/>
      <c r="OBC56" s="10"/>
      <c r="OBD56" s="10"/>
      <c r="OBE56" s="10"/>
      <c r="OBF56" s="10"/>
      <c r="OBG56" s="10"/>
      <c r="OBH56" s="10"/>
      <c r="OBI56" s="10"/>
      <c r="OBJ56" s="10"/>
      <c r="OBK56" s="10"/>
      <c r="OBL56" s="10"/>
      <c r="OBM56" s="10"/>
      <c r="OBN56" s="10"/>
      <c r="OBO56" s="10"/>
      <c r="OBP56" s="10"/>
      <c r="OBQ56" s="10"/>
      <c r="OBR56" s="10"/>
      <c r="OBS56" s="10"/>
      <c r="OBT56" s="10"/>
      <c r="OBU56" s="10"/>
      <c r="OBV56" s="10"/>
      <c r="OBW56" s="10"/>
      <c r="OBX56" s="10"/>
      <c r="OBY56" s="10"/>
      <c r="OBZ56" s="10"/>
      <c r="OCA56" s="10"/>
      <c r="OCB56" s="10"/>
      <c r="OCC56" s="10"/>
      <c r="OCD56" s="10"/>
      <c r="OCE56" s="10"/>
      <c r="OCF56" s="10"/>
      <c r="OCG56" s="10"/>
      <c r="OCH56" s="10"/>
      <c r="OCI56" s="10"/>
      <c r="OCJ56" s="10"/>
      <c r="OCK56" s="10"/>
      <c r="OCL56" s="10"/>
      <c r="OCM56" s="10"/>
      <c r="OCN56" s="10"/>
      <c r="OCO56" s="10"/>
      <c r="OCP56" s="10"/>
      <c r="OCQ56" s="10"/>
      <c r="OCR56" s="10"/>
      <c r="OCS56" s="10"/>
      <c r="OCT56" s="10"/>
      <c r="OCU56" s="10"/>
      <c r="OCV56" s="10"/>
      <c r="OCW56" s="10"/>
      <c r="OCX56" s="10"/>
      <c r="OCY56" s="10"/>
      <c r="OCZ56" s="10"/>
      <c r="ODA56" s="10"/>
      <c r="ODB56" s="10"/>
      <c r="ODC56" s="10"/>
      <c r="ODD56" s="10"/>
      <c r="ODE56" s="10"/>
      <c r="ODF56" s="10"/>
      <c r="ODG56" s="10"/>
      <c r="ODH56" s="10"/>
      <c r="ODI56" s="10"/>
      <c r="ODJ56" s="10"/>
      <c r="ODK56" s="10"/>
      <c r="ODL56" s="10"/>
      <c r="ODM56" s="10"/>
      <c r="ODN56" s="10"/>
      <c r="ODO56" s="10"/>
      <c r="ODP56" s="10"/>
      <c r="ODQ56" s="10"/>
      <c r="ODR56" s="10"/>
      <c r="ODS56" s="10"/>
      <c r="ODT56" s="10"/>
      <c r="ODU56" s="10"/>
      <c r="ODV56" s="10"/>
      <c r="ODW56" s="10"/>
      <c r="ODX56" s="10"/>
      <c r="ODY56" s="10"/>
      <c r="ODZ56" s="10"/>
      <c r="OEA56" s="10"/>
      <c r="OEB56" s="10"/>
      <c r="OEC56" s="10"/>
      <c r="OED56" s="10"/>
      <c r="OEE56" s="10"/>
      <c r="OEF56" s="10"/>
      <c r="OEG56" s="10"/>
      <c r="OEH56" s="10"/>
      <c r="OEI56" s="10"/>
      <c r="OEJ56" s="10"/>
      <c r="OEK56" s="10"/>
      <c r="OEL56" s="10"/>
      <c r="OEM56" s="10"/>
      <c r="OEN56" s="10"/>
      <c r="OEO56" s="10"/>
      <c r="OEP56" s="10"/>
      <c r="OEQ56" s="10"/>
      <c r="OER56" s="10"/>
      <c r="OES56" s="10"/>
      <c r="OET56" s="10"/>
      <c r="OEU56" s="10"/>
      <c r="OEV56" s="10"/>
      <c r="OEW56" s="10"/>
      <c r="OEX56" s="10"/>
      <c r="OEY56" s="10"/>
      <c r="OEZ56" s="10"/>
      <c r="OFA56" s="10"/>
      <c r="OFB56" s="10"/>
      <c r="OFC56" s="10"/>
      <c r="OFD56" s="10"/>
      <c r="OFE56" s="10"/>
      <c r="OFF56" s="10"/>
      <c r="OFG56" s="10"/>
      <c r="OFH56" s="10"/>
      <c r="OFI56" s="10"/>
      <c r="OFJ56" s="10"/>
      <c r="OFK56" s="10"/>
      <c r="OFL56" s="10"/>
      <c r="OFM56" s="10"/>
      <c r="OFN56" s="10"/>
      <c r="OFO56" s="10"/>
      <c r="OFP56" s="10"/>
      <c r="OFQ56" s="10"/>
      <c r="OFR56" s="10"/>
      <c r="OFS56" s="10"/>
      <c r="OFT56" s="10"/>
      <c r="OFU56" s="10"/>
      <c r="OFV56" s="10"/>
      <c r="OFW56" s="10"/>
      <c r="OFX56" s="10"/>
      <c r="OFY56" s="10"/>
      <c r="OFZ56" s="10"/>
      <c r="OGA56" s="10"/>
      <c r="OGB56" s="10"/>
      <c r="OGC56" s="10"/>
      <c r="OGD56" s="10"/>
      <c r="OGE56" s="10"/>
      <c r="OGF56" s="10"/>
      <c r="OGG56" s="10"/>
      <c r="OGH56" s="10"/>
      <c r="OGI56" s="10"/>
      <c r="OGJ56" s="10"/>
      <c r="OGK56" s="10"/>
      <c r="OGL56" s="10"/>
      <c r="OGM56" s="10"/>
      <c r="OGN56" s="10"/>
      <c r="OGO56" s="10"/>
      <c r="OGP56" s="10"/>
      <c r="OGQ56" s="10"/>
      <c r="OGR56" s="10"/>
      <c r="OGS56" s="10"/>
      <c r="OGT56" s="10"/>
      <c r="OGU56" s="10"/>
      <c r="OGV56" s="10"/>
      <c r="OGW56" s="10"/>
      <c r="OGX56" s="10"/>
      <c r="OGY56" s="10"/>
      <c r="OGZ56" s="10"/>
      <c r="OHA56" s="10"/>
      <c r="OHB56" s="10"/>
      <c r="OHC56" s="10"/>
      <c r="OHD56" s="10"/>
      <c r="OHE56" s="10"/>
      <c r="OHF56" s="10"/>
      <c r="OHG56" s="10"/>
      <c r="OHH56" s="10"/>
      <c r="OHI56" s="10"/>
      <c r="OHJ56" s="10"/>
      <c r="OHK56" s="10"/>
      <c r="OHL56" s="10"/>
      <c r="OHM56" s="10"/>
      <c r="OHN56" s="10"/>
      <c r="OHO56" s="10"/>
      <c r="OHP56" s="10"/>
      <c r="OHQ56" s="10"/>
      <c r="OHR56" s="10"/>
      <c r="OHS56" s="10"/>
      <c r="OHT56" s="10"/>
      <c r="OHU56" s="10"/>
      <c r="OHV56" s="10"/>
      <c r="OHW56" s="10"/>
      <c r="OHX56" s="10"/>
      <c r="OHY56" s="10"/>
      <c r="OHZ56" s="10"/>
      <c r="OIA56" s="10"/>
      <c r="OIB56" s="10"/>
      <c r="OIC56" s="10"/>
      <c r="OID56" s="10"/>
      <c r="OIE56" s="10"/>
      <c r="OIF56" s="10"/>
      <c r="OIG56" s="10"/>
      <c r="OIH56" s="10"/>
      <c r="OII56" s="10"/>
      <c r="OIJ56" s="10"/>
      <c r="OIK56" s="10"/>
      <c r="OIL56" s="10"/>
      <c r="OIM56" s="10"/>
      <c r="OIN56" s="10"/>
      <c r="OIO56" s="10"/>
      <c r="OIP56" s="10"/>
      <c r="OIQ56" s="10"/>
      <c r="OIR56" s="10"/>
      <c r="OIS56" s="10"/>
      <c r="OIT56" s="10"/>
      <c r="OIU56" s="10"/>
      <c r="OIV56" s="10"/>
      <c r="OIW56" s="10"/>
      <c r="OIX56" s="10"/>
      <c r="OIY56" s="10"/>
      <c r="OIZ56" s="10"/>
      <c r="OJA56" s="10"/>
      <c r="OJB56" s="10"/>
      <c r="OJC56" s="10"/>
      <c r="OJD56" s="10"/>
      <c r="OJE56" s="10"/>
      <c r="OJF56" s="10"/>
      <c r="OJG56" s="10"/>
      <c r="OJH56" s="10"/>
      <c r="OJI56" s="10"/>
      <c r="OJJ56" s="10"/>
      <c r="OJK56" s="10"/>
      <c r="OJL56" s="10"/>
      <c r="OJM56" s="10"/>
      <c r="OJN56" s="10"/>
      <c r="OJO56" s="10"/>
      <c r="OJP56" s="10"/>
      <c r="OJQ56" s="10"/>
      <c r="OJR56" s="10"/>
      <c r="OJS56" s="10"/>
      <c r="OJT56" s="10"/>
      <c r="OJU56" s="10"/>
      <c r="OJV56" s="10"/>
      <c r="OJW56" s="10"/>
      <c r="OJX56" s="10"/>
      <c r="OJY56" s="10"/>
      <c r="OJZ56" s="10"/>
      <c r="OKA56" s="10"/>
      <c r="OKB56" s="10"/>
      <c r="OKC56" s="10"/>
      <c r="OKD56" s="10"/>
      <c r="OKE56" s="10"/>
      <c r="OKF56" s="10"/>
      <c r="OKG56" s="10"/>
      <c r="OKH56" s="10"/>
      <c r="OKI56" s="10"/>
      <c r="OKJ56" s="10"/>
      <c r="OKK56" s="10"/>
      <c r="OKL56" s="10"/>
      <c r="OKM56" s="10"/>
      <c r="OKN56" s="10"/>
      <c r="OKO56" s="10"/>
      <c r="OKP56" s="10"/>
      <c r="OKQ56" s="10"/>
      <c r="OKR56" s="10"/>
      <c r="OKS56" s="10"/>
      <c r="OKT56" s="10"/>
      <c r="OKU56" s="10"/>
      <c r="OKV56" s="10"/>
      <c r="OKW56" s="10"/>
      <c r="OKX56" s="10"/>
      <c r="OKY56" s="10"/>
      <c r="OKZ56" s="10"/>
      <c r="OLA56" s="10"/>
      <c r="OLB56" s="10"/>
      <c r="OLC56" s="10"/>
      <c r="OLD56" s="10"/>
      <c r="OLE56" s="10"/>
      <c r="OLF56" s="10"/>
      <c r="OLG56" s="10"/>
      <c r="OLH56" s="10"/>
      <c r="OLI56" s="10"/>
      <c r="OLJ56" s="10"/>
      <c r="OLK56" s="10"/>
      <c r="OLL56" s="10"/>
      <c r="OLM56" s="10"/>
      <c r="OLN56" s="10"/>
      <c r="OLO56" s="10"/>
      <c r="OLP56" s="10"/>
      <c r="OLQ56" s="10"/>
      <c r="OLR56" s="10"/>
      <c r="OLS56" s="10"/>
      <c r="OLT56" s="10"/>
      <c r="OLU56" s="10"/>
      <c r="OLV56" s="10"/>
      <c r="OLW56" s="10"/>
      <c r="OLX56" s="10"/>
      <c r="OLY56" s="10"/>
      <c r="OLZ56" s="10"/>
      <c r="OMA56" s="10"/>
      <c r="OMB56" s="10"/>
      <c r="OMC56" s="10"/>
      <c r="OMD56" s="10"/>
      <c r="OME56" s="10"/>
      <c r="OMF56" s="10"/>
      <c r="OMG56" s="10"/>
      <c r="OMH56" s="10"/>
      <c r="OMI56" s="10"/>
      <c r="OMJ56" s="10"/>
      <c r="OMK56" s="10"/>
      <c r="OML56" s="10"/>
      <c r="OMM56" s="10"/>
      <c r="OMN56" s="10"/>
      <c r="OMO56" s="10"/>
      <c r="OMP56" s="10"/>
      <c r="OMQ56" s="10"/>
      <c r="OMR56" s="10"/>
      <c r="OMS56" s="10"/>
      <c r="OMT56" s="10"/>
      <c r="OMU56" s="10"/>
      <c r="OMV56" s="10"/>
      <c r="OMW56" s="10"/>
      <c r="OMX56" s="10"/>
      <c r="OMY56" s="10"/>
      <c r="OMZ56" s="10"/>
      <c r="ONA56" s="10"/>
      <c r="ONB56" s="10"/>
      <c r="ONC56" s="10"/>
      <c r="OND56" s="10"/>
      <c r="ONE56" s="10"/>
      <c r="ONF56" s="10"/>
      <c r="ONG56" s="10"/>
      <c r="ONH56" s="10"/>
      <c r="ONI56" s="10"/>
      <c r="ONJ56" s="10"/>
      <c r="ONK56" s="10"/>
      <c r="ONL56" s="10"/>
      <c r="ONM56" s="10"/>
      <c r="ONN56" s="10"/>
      <c r="ONO56" s="10"/>
      <c r="ONP56" s="10"/>
      <c r="ONQ56" s="10"/>
      <c r="ONR56" s="10"/>
      <c r="ONS56" s="10"/>
      <c r="ONT56" s="10"/>
      <c r="ONU56" s="10"/>
      <c r="ONV56" s="10"/>
      <c r="ONW56" s="10"/>
      <c r="ONX56" s="10"/>
      <c r="ONY56" s="10"/>
      <c r="ONZ56" s="10"/>
      <c r="OOA56" s="10"/>
      <c r="OOB56" s="10"/>
      <c r="OOC56" s="10"/>
      <c r="OOD56" s="10"/>
      <c r="OOE56" s="10"/>
      <c r="OOF56" s="10"/>
      <c r="OOG56" s="10"/>
      <c r="OOH56" s="10"/>
      <c r="OOI56" s="10"/>
      <c r="OOJ56" s="10"/>
      <c r="OOK56" s="10"/>
      <c r="OOL56" s="10"/>
      <c r="OOM56" s="10"/>
      <c r="OON56" s="10"/>
      <c r="OOO56" s="10"/>
      <c r="OOP56" s="10"/>
      <c r="OOQ56" s="10"/>
      <c r="OOR56" s="10"/>
      <c r="OOS56" s="10"/>
      <c r="OOT56" s="10"/>
      <c r="OOU56" s="10"/>
      <c r="OOV56" s="10"/>
      <c r="OOW56" s="10"/>
      <c r="OOX56" s="10"/>
      <c r="OOY56" s="10"/>
      <c r="OOZ56" s="10"/>
      <c r="OPA56" s="10"/>
      <c r="OPB56" s="10"/>
      <c r="OPC56" s="10"/>
      <c r="OPD56" s="10"/>
      <c r="OPE56" s="10"/>
      <c r="OPF56" s="10"/>
      <c r="OPG56" s="10"/>
      <c r="OPH56" s="10"/>
      <c r="OPI56" s="10"/>
      <c r="OPJ56" s="10"/>
      <c r="OPK56" s="10"/>
      <c r="OPL56" s="10"/>
      <c r="OPM56" s="10"/>
      <c r="OPN56" s="10"/>
      <c r="OPO56" s="10"/>
      <c r="OPP56" s="10"/>
      <c r="OPQ56" s="10"/>
      <c r="OPR56" s="10"/>
      <c r="OPS56" s="10"/>
      <c r="OPT56" s="10"/>
      <c r="OPU56" s="10"/>
      <c r="OPV56" s="10"/>
      <c r="OPW56" s="10"/>
      <c r="OPX56" s="10"/>
      <c r="OPY56" s="10"/>
      <c r="OPZ56" s="10"/>
      <c r="OQA56" s="10"/>
      <c r="OQB56" s="10"/>
      <c r="OQC56" s="10"/>
      <c r="OQD56" s="10"/>
      <c r="OQE56" s="10"/>
      <c r="OQF56" s="10"/>
      <c r="OQG56" s="10"/>
      <c r="OQH56" s="10"/>
      <c r="OQI56" s="10"/>
      <c r="OQJ56" s="10"/>
      <c r="OQK56" s="10"/>
      <c r="OQL56" s="10"/>
      <c r="OQM56" s="10"/>
      <c r="OQN56" s="10"/>
      <c r="OQO56" s="10"/>
      <c r="OQP56" s="10"/>
      <c r="OQQ56" s="10"/>
      <c r="OQR56" s="10"/>
      <c r="OQS56" s="10"/>
      <c r="OQT56" s="10"/>
      <c r="OQU56" s="10"/>
      <c r="OQV56" s="10"/>
      <c r="OQW56" s="10"/>
      <c r="OQX56" s="10"/>
      <c r="OQY56" s="10"/>
      <c r="OQZ56" s="10"/>
      <c r="ORA56" s="10"/>
      <c r="ORB56" s="10"/>
      <c r="ORC56" s="10"/>
      <c r="ORD56" s="10"/>
      <c r="ORE56" s="10"/>
      <c r="ORF56" s="10"/>
      <c r="ORG56" s="10"/>
      <c r="ORH56" s="10"/>
      <c r="ORI56" s="10"/>
      <c r="ORJ56" s="10"/>
      <c r="ORK56" s="10"/>
      <c r="ORL56" s="10"/>
      <c r="ORM56" s="10"/>
      <c r="ORN56" s="10"/>
      <c r="ORO56" s="10"/>
      <c r="ORP56" s="10"/>
      <c r="ORQ56" s="10"/>
      <c r="ORR56" s="10"/>
      <c r="ORS56" s="10"/>
      <c r="ORT56" s="10"/>
      <c r="ORU56" s="10"/>
      <c r="ORV56" s="10"/>
      <c r="ORW56" s="10"/>
      <c r="ORX56" s="10"/>
      <c r="ORY56" s="10"/>
      <c r="ORZ56" s="10"/>
      <c r="OSA56" s="10"/>
      <c r="OSB56" s="10"/>
      <c r="OSC56" s="10"/>
      <c r="OSD56" s="10"/>
      <c r="OSE56" s="10"/>
      <c r="OSF56" s="10"/>
      <c r="OSG56" s="10"/>
      <c r="OSH56" s="10"/>
      <c r="OSI56" s="10"/>
      <c r="OSJ56" s="10"/>
      <c r="OSK56" s="10"/>
      <c r="OSL56" s="10"/>
      <c r="OSM56" s="10"/>
      <c r="OSN56" s="10"/>
      <c r="OSO56" s="10"/>
      <c r="OSP56" s="10"/>
      <c r="OSQ56" s="10"/>
      <c r="OSR56" s="10"/>
      <c r="OSS56" s="10"/>
      <c r="OST56" s="10"/>
      <c r="OSU56" s="10"/>
      <c r="OSV56" s="10"/>
      <c r="OSW56" s="10"/>
      <c r="OSX56" s="10"/>
      <c r="OSY56" s="10"/>
      <c r="OSZ56" s="10"/>
      <c r="OTA56" s="10"/>
      <c r="OTB56" s="10"/>
      <c r="OTC56" s="10"/>
      <c r="OTD56" s="10"/>
      <c r="OTE56" s="10"/>
      <c r="OTF56" s="10"/>
      <c r="OTG56" s="10"/>
      <c r="OTH56" s="10"/>
      <c r="OTI56" s="10"/>
      <c r="OTJ56" s="10"/>
      <c r="OTK56" s="10"/>
      <c r="OTL56" s="10"/>
      <c r="OTM56" s="10"/>
      <c r="OTN56" s="10"/>
      <c r="OTO56" s="10"/>
      <c r="OTP56" s="10"/>
      <c r="OTQ56" s="10"/>
      <c r="OTR56" s="10"/>
      <c r="OTS56" s="10"/>
      <c r="OTT56" s="10"/>
      <c r="OTU56" s="10"/>
      <c r="OTV56" s="10"/>
      <c r="OTW56" s="10"/>
      <c r="OTX56" s="10"/>
      <c r="OTY56" s="10"/>
      <c r="OTZ56" s="10"/>
      <c r="OUA56" s="10"/>
      <c r="OUB56" s="10"/>
      <c r="OUC56" s="10"/>
      <c r="OUD56" s="10"/>
      <c r="OUE56" s="10"/>
      <c r="OUF56" s="10"/>
      <c r="OUG56" s="10"/>
      <c r="OUH56" s="10"/>
      <c r="OUI56" s="10"/>
      <c r="OUJ56" s="10"/>
      <c r="OUK56" s="10"/>
      <c r="OUL56" s="10"/>
      <c r="OUM56" s="10"/>
      <c r="OUN56" s="10"/>
      <c r="OUO56" s="10"/>
      <c r="OUP56" s="10"/>
      <c r="OUQ56" s="10"/>
      <c r="OUR56" s="10"/>
      <c r="OUS56" s="10"/>
      <c r="OUT56" s="10"/>
      <c r="OUU56" s="10"/>
      <c r="OUV56" s="10"/>
      <c r="OUW56" s="10"/>
      <c r="OUX56" s="10"/>
      <c r="OUY56" s="10"/>
      <c r="OUZ56" s="10"/>
      <c r="OVA56" s="10"/>
      <c r="OVB56" s="10"/>
      <c r="OVC56" s="10"/>
      <c r="OVD56" s="10"/>
      <c r="OVE56" s="10"/>
      <c r="OVF56" s="10"/>
      <c r="OVG56" s="10"/>
      <c r="OVH56" s="10"/>
      <c r="OVI56" s="10"/>
      <c r="OVJ56" s="10"/>
      <c r="OVK56" s="10"/>
      <c r="OVL56" s="10"/>
      <c r="OVM56" s="10"/>
      <c r="OVN56" s="10"/>
      <c r="OVO56" s="10"/>
      <c r="OVP56" s="10"/>
      <c r="OVQ56" s="10"/>
      <c r="OVR56" s="10"/>
      <c r="OVS56" s="10"/>
      <c r="OVT56" s="10"/>
      <c r="OVU56" s="10"/>
      <c r="OVV56" s="10"/>
      <c r="OVW56" s="10"/>
      <c r="OVX56" s="10"/>
      <c r="OVY56" s="10"/>
      <c r="OVZ56" s="10"/>
      <c r="OWA56" s="10"/>
      <c r="OWB56" s="10"/>
      <c r="OWC56" s="10"/>
      <c r="OWD56" s="10"/>
      <c r="OWE56" s="10"/>
      <c r="OWF56" s="10"/>
      <c r="OWG56" s="10"/>
      <c r="OWH56" s="10"/>
      <c r="OWI56" s="10"/>
      <c r="OWJ56" s="10"/>
      <c r="OWK56" s="10"/>
      <c r="OWL56" s="10"/>
      <c r="OWM56" s="10"/>
      <c r="OWN56" s="10"/>
      <c r="OWO56" s="10"/>
      <c r="OWP56" s="10"/>
      <c r="OWQ56" s="10"/>
      <c r="OWR56" s="10"/>
      <c r="OWS56" s="10"/>
      <c r="OWT56" s="10"/>
      <c r="OWU56" s="10"/>
      <c r="OWV56" s="10"/>
      <c r="OWW56" s="10"/>
      <c r="OWX56" s="10"/>
      <c r="OWY56" s="10"/>
      <c r="OWZ56" s="10"/>
      <c r="OXA56" s="10"/>
      <c r="OXB56" s="10"/>
      <c r="OXC56" s="10"/>
      <c r="OXD56" s="10"/>
      <c r="OXE56" s="10"/>
      <c r="OXF56" s="10"/>
      <c r="OXG56" s="10"/>
      <c r="OXH56" s="10"/>
      <c r="OXI56" s="10"/>
      <c r="OXJ56" s="10"/>
      <c r="OXK56" s="10"/>
      <c r="OXL56" s="10"/>
      <c r="OXM56" s="10"/>
      <c r="OXN56" s="10"/>
      <c r="OXO56" s="10"/>
      <c r="OXP56" s="10"/>
      <c r="OXQ56" s="10"/>
      <c r="OXR56" s="10"/>
      <c r="OXS56" s="10"/>
      <c r="OXT56" s="10"/>
      <c r="OXU56" s="10"/>
      <c r="OXV56" s="10"/>
      <c r="OXW56" s="10"/>
      <c r="OXX56" s="10"/>
      <c r="OXY56" s="10"/>
      <c r="OXZ56" s="10"/>
      <c r="OYA56" s="10"/>
      <c r="OYB56" s="10"/>
      <c r="OYC56" s="10"/>
      <c r="OYD56" s="10"/>
      <c r="OYE56" s="10"/>
      <c r="OYF56" s="10"/>
      <c r="OYG56" s="10"/>
      <c r="OYH56" s="10"/>
      <c r="OYI56" s="10"/>
      <c r="OYJ56" s="10"/>
      <c r="OYK56" s="10"/>
      <c r="OYL56" s="10"/>
      <c r="OYM56" s="10"/>
      <c r="OYN56" s="10"/>
      <c r="OYO56" s="10"/>
      <c r="OYP56" s="10"/>
      <c r="OYQ56" s="10"/>
      <c r="OYR56" s="10"/>
      <c r="OYS56" s="10"/>
      <c r="OYT56" s="10"/>
      <c r="OYU56" s="10"/>
      <c r="OYV56" s="10"/>
      <c r="OYW56" s="10"/>
      <c r="OYX56" s="10"/>
      <c r="OYY56" s="10"/>
      <c r="OYZ56" s="10"/>
      <c r="OZA56" s="10"/>
      <c r="OZB56" s="10"/>
      <c r="OZC56" s="10"/>
      <c r="OZD56" s="10"/>
      <c r="OZE56" s="10"/>
      <c r="OZF56" s="10"/>
      <c r="OZG56" s="10"/>
      <c r="OZH56" s="10"/>
      <c r="OZI56" s="10"/>
      <c r="OZJ56" s="10"/>
      <c r="OZK56" s="10"/>
      <c r="OZL56" s="10"/>
      <c r="OZM56" s="10"/>
      <c r="OZN56" s="10"/>
      <c r="OZO56" s="10"/>
      <c r="OZP56" s="10"/>
      <c r="OZQ56" s="10"/>
      <c r="OZR56" s="10"/>
      <c r="OZS56" s="10"/>
      <c r="OZT56" s="10"/>
      <c r="OZU56" s="10"/>
      <c r="OZV56" s="10"/>
      <c r="OZW56" s="10"/>
      <c r="OZX56" s="10"/>
      <c r="OZY56" s="10"/>
      <c r="OZZ56" s="10"/>
      <c r="PAA56" s="10"/>
      <c r="PAB56" s="10"/>
      <c r="PAC56" s="10"/>
      <c r="PAD56" s="10"/>
      <c r="PAE56" s="10"/>
      <c r="PAF56" s="10"/>
      <c r="PAG56" s="10"/>
      <c r="PAH56" s="10"/>
      <c r="PAI56" s="10"/>
      <c r="PAJ56" s="10"/>
      <c r="PAK56" s="10"/>
      <c r="PAL56" s="10"/>
      <c r="PAM56" s="10"/>
      <c r="PAN56" s="10"/>
      <c r="PAO56" s="10"/>
      <c r="PAP56" s="10"/>
      <c r="PAQ56" s="10"/>
      <c r="PAR56" s="10"/>
      <c r="PAS56" s="10"/>
      <c r="PAT56" s="10"/>
      <c r="PAU56" s="10"/>
      <c r="PAV56" s="10"/>
      <c r="PAW56" s="10"/>
      <c r="PAX56" s="10"/>
      <c r="PAY56" s="10"/>
      <c r="PAZ56" s="10"/>
      <c r="PBA56" s="10"/>
      <c r="PBB56" s="10"/>
      <c r="PBC56" s="10"/>
      <c r="PBD56" s="10"/>
      <c r="PBE56" s="10"/>
      <c r="PBF56" s="10"/>
      <c r="PBG56" s="10"/>
      <c r="PBH56" s="10"/>
      <c r="PBI56" s="10"/>
      <c r="PBJ56" s="10"/>
      <c r="PBK56" s="10"/>
      <c r="PBL56" s="10"/>
      <c r="PBM56" s="10"/>
      <c r="PBN56" s="10"/>
      <c r="PBO56" s="10"/>
      <c r="PBP56" s="10"/>
      <c r="PBQ56" s="10"/>
      <c r="PBR56" s="10"/>
      <c r="PBS56" s="10"/>
      <c r="PBT56" s="10"/>
      <c r="PBU56" s="10"/>
      <c r="PBV56" s="10"/>
      <c r="PBW56" s="10"/>
      <c r="PBX56" s="10"/>
      <c r="PBY56" s="10"/>
      <c r="PBZ56" s="10"/>
      <c r="PCA56" s="10"/>
      <c r="PCB56" s="10"/>
      <c r="PCC56" s="10"/>
      <c r="PCD56" s="10"/>
      <c r="PCE56" s="10"/>
      <c r="PCF56" s="10"/>
      <c r="PCG56" s="10"/>
      <c r="PCH56" s="10"/>
      <c r="PCI56" s="10"/>
      <c r="PCJ56" s="10"/>
      <c r="PCK56" s="10"/>
      <c r="PCL56" s="10"/>
      <c r="PCM56" s="10"/>
      <c r="PCN56" s="10"/>
      <c r="PCO56" s="10"/>
      <c r="PCP56" s="10"/>
      <c r="PCQ56" s="10"/>
      <c r="PCR56" s="10"/>
      <c r="PCS56" s="10"/>
      <c r="PCT56" s="10"/>
      <c r="PCU56" s="10"/>
      <c r="PCV56" s="10"/>
      <c r="PCW56" s="10"/>
      <c r="PCX56" s="10"/>
      <c r="PCY56" s="10"/>
      <c r="PCZ56" s="10"/>
      <c r="PDA56" s="10"/>
      <c r="PDB56" s="10"/>
      <c r="PDC56" s="10"/>
      <c r="PDD56" s="10"/>
      <c r="PDE56" s="10"/>
      <c r="PDF56" s="10"/>
      <c r="PDG56" s="10"/>
      <c r="PDH56" s="10"/>
      <c r="PDI56" s="10"/>
      <c r="PDJ56" s="10"/>
      <c r="PDK56" s="10"/>
      <c r="PDL56" s="10"/>
      <c r="PDM56" s="10"/>
      <c r="PDN56" s="10"/>
      <c r="PDO56" s="10"/>
      <c r="PDP56" s="10"/>
      <c r="PDQ56" s="10"/>
      <c r="PDR56" s="10"/>
      <c r="PDS56" s="10"/>
      <c r="PDT56" s="10"/>
      <c r="PDU56" s="10"/>
      <c r="PDV56" s="10"/>
      <c r="PDW56" s="10"/>
      <c r="PDX56" s="10"/>
      <c r="PDY56" s="10"/>
      <c r="PDZ56" s="10"/>
      <c r="PEA56" s="10"/>
      <c r="PEB56" s="10"/>
      <c r="PEC56" s="10"/>
      <c r="PED56" s="10"/>
      <c r="PEE56" s="10"/>
      <c r="PEF56" s="10"/>
      <c r="PEG56" s="10"/>
      <c r="PEH56" s="10"/>
      <c r="PEI56" s="10"/>
      <c r="PEJ56" s="10"/>
      <c r="PEK56" s="10"/>
      <c r="PEL56" s="10"/>
      <c r="PEM56" s="10"/>
      <c r="PEN56" s="10"/>
      <c r="PEO56" s="10"/>
      <c r="PEP56" s="10"/>
      <c r="PEQ56" s="10"/>
      <c r="PER56" s="10"/>
      <c r="PES56" s="10"/>
      <c r="PET56" s="10"/>
      <c r="PEU56" s="10"/>
      <c r="PEV56" s="10"/>
      <c r="PEW56" s="10"/>
      <c r="PEX56" s="10"/>
      <c r="PEY56" s="10"/>
      <c r="PEZ56" s="10"/>
      <c r="PFA56" s="10"/>
      <c r="PFB56" s="10"/>
      <c r="PFC56" s="10"/>
      <c r="PFD56" s="10"/>
      <c r="PFE56" s="10"/>
      <c r="PFF56" s="10"/>
      <c r="PFG56" s="10"/>
      <c r="PFH56" s="10"/>
      <c r="PFI56" s="10"/>
      <c r="PFJ56" s="10"/>
      <c r="PFK56" s="10"/>
      <c r="PFL56" s="10"/>
      <c r="PFM56" s="10"/>
      <c r="PFN56" s="10"/>
      <c r="PFO56" s="10"/>
      <c r="PFP56" s="10"/>
      <c r="PFQ56" s="10"/>
      <c r="PFR56" s="10"/>
      <c r="PFS56" s="10"/>
      <c r="PFT56" s="10"/>
      <c r="PFU56" s="10"/>
      <c r="PFV56" s="10"/>
      <c r="PFW56" s="10"/>
      <c r="PFX56" s="10"/>
      <c r="PFY56" s="10"/>
      <c r="PFZ56" s="10"/>
      <c r="PGA56" s="10"/>
      <c r="PGB56" s="10"/>
      <c r="PGC56" s="10"/>
      <c r="PGD56" s="10"/>
      <c r="PGE56" s="10"/>
      <c r="PGF56" s="10"/>
      <c r="PGG56" s="10"/>
      <c r="PGH56" s="10"/>
      <c r="PGI56" s="10"/>
      <c r="PGJ56" s="10"/>
      <c r="PGK56" s="10"/>
      <c r="PGL56" s="10"/>
      <c r="PGM56" s="10"/>
      <c r="PGN56" s="10"/>
      <c r="PGO56" s="10"/>
      <c r="PGP56" s="10"/>
      <c r="PGQ56" s="10"/>
      <c r="PGR56" s="10"/>
      <c r="PGS56" s="10"/>
      <c r="PGT56" s="10"/>
      <c r="PGU56" s="10"/>
      <c r="PGV56" s="10"/>
      <c r="PGW56" s="10"/>
      <c r="PGX56" s="10"/>
      <c r="PGY56" s="10"/>
      <c r="PGZ56" s="10"/>
      <c r="PHA56" s="10"/>
      <c r="PHB56" s="10"/>
      <c r="PHC56" s="10"/>
      <c r="PHD56" s="10"/>
      <c r="PHE56" s="10"/>
      <c r="PHF56" s="10"/>
      <c r="PHG56" s="10"/>
      <c r="PHH56" s="10"/>
      <c r="PHI56" s="10"/>
      <c r="PHJ56" s="10"/>
      <c r="PHK56" s="10"/>
      <c r="PHL56" s="10"/>
      <c r="PHM56" s="10"/>
      <c r="PHN56" s="10"/>
      <c r="PHO56" s="10"/>
      <c r="PHP56" s="10"/>
      <c r="PHQ56" s="10"/>
      <c r="PHR56" s="10"/>
      <c r="PHS56" s="10"/>
      <c r="PHT56" s="10"/>
      <c r="PHU56" s="10"/>
      <c r="PHV56" s="10"/>
      <c r="PHW56" s="10"/>
      <c r="PHX56" s="10"/>
      <c r="PHY56" s="10"/>
      <c r="PHZ56" s="10"/>
      <c r="PIA56" s="10"/>
      <c r="PIB56" s="10"/>
      <c r="PIC56" s="10"/>
      <c r="PID56" s="10"/>
      <c r="PIE56" s="10"/>
      <c r="PIF56" s="10"/>
      <c r="PIG56" s="10"/>
      <c r="PIH56" s="10"/>
      <c r="PII56" s="10"/>
      <c r="PIJ56" s="10"/>
      <c r="PIK56" s="10"/>
      <c r="PIL56" s="10"/>
      <c r="PIM56" s="10"/>
      <c r="PIN56" s="10"/>
      <c r="PIO56" s="10"/>
      <c r="PIP56" s="10"/>
      <c r="PIQ56" s="10"/>
      <c r="PIR56" s="10"/>
      <c r="PIS56" s="10"/>
      <c r="PIT56" s="10"/>
      <c r="PIU56" s="10"/>
      <c r="PIV56" s="10"/>
      <c r="PIW56" s="10"/>
      <c r="PIX56" s="10"/>
      <c r="PIY56" s="10"/>
      <c r="PIZ56" s="10"/>
      <c r="PJA56" s="10"/>
      <c r="PJB56" s="10"/>
      <c r="PJC56" s="10"/>
      <c r="PJD56" s="10"/>
      <c r="PJE56" s="10"/>
      <c r="PJF56" s="10"/>
      <c r="PJG56" s="10"/>
      <c r="PJH56" s="10"/>
      <c r="PJI56" s="10"/>
      <c r="PJJ56" s="10"/>
      <c r="PJK56" s="10"/>
      <c r="PJL56" s="10"/>
      <c r="PJM56" s="10"/>
      <c r="PJN56" s="10"/>
      <c r="PJO56" s="10"/>
      <c r="PJP56" s="10"/>
      <c r="PJQ56" s="10"/>
      <c r="PJR56" s="10"/>
      <c r="PJS56" s="10"/>
      <c r="PJT56" s="10"/>
      <c r="PJU56" s="10"/>
      <c r="PJV56" s="10"/>
      <c r="PJW56" s="10"/>
      <c r="PJX56" s="10"/>
      <c r="PJY56" s="10"/>
      <c r="PJZ56" s="10"/>
      <c r="PKA56" s="10"/>
      <c r="PKB56" s="10"/>
      <c r="PKC56" s="10"/>
      <c r="PKD56" s="10"/>
      <c r="PKE56" s="10"/>
      <c r="PKF56" s="10"/>
      <c r="PKG56" s="10"/>
      <c r="PKH56" s="10"/>
      <c r="PKI56" s="10"/>
      <c r="PKJ56" s="10"/>
      <c r="PKK56" s="10"/>
      <c r="PKL56" s="10"/>
      <c r="PKM56" s="10"/>
      <c r="PKN56" s="10"/>
      <c r="PKO56" s="10"/>
      <c r="PKP56" s="10"/>
      <c r="PKQ56" s="10"/>
      <c r="PKR56" s="10"/>
      <c r="PKS56" s="10"/>
      <c r="PKT56" s="10"/>
      <c r="PKU56" s="10"/>
      <c r="PKV56" s="10"/>
      <c r="PKW56" s="10"/>
      <c r="PKX56" s="10"/>
      <c r="PKY56" s="10"/>
      <c r="PKZ56" s="10"/>
      <c r="PLA56" s="10"/>
      <c r="PLB56" s="10"/>
      <c r="PLC56" s="10"/>
      <c r="PLD56" s="10"/>
      <c r="PLE56" s="10"/>
      <c r="PLF56" s="10"/>
      <c r="PLG56" s="10"/>
      <c r="PLH56" s="10"/>
      <c r="PLI56" s="10"/>
      <c r="PLJ56" s="10"/>
      <c r="PLK56" s="10"/>
      <c r="PLL56" s="10"/>
      <c r="PLM56" s="10"/>
      <c r="PLN56" s="10"/>
      <c r="PLO56" s="10"/>
      <c r="PLP56" s="10"/>
      <c r="PLQ56" s="10"/>
      <c r="PLR56" s="10"/>
      <c r="PLS56" s="10"/>
      <c r="PLT56" s="10"/>
      <c r="PLU56" s="10"/>
      <c r="PLV56" s="10"/>
      <c r="PLW56" s="10"/>
      <c r="PLX56" s="10"/>
      <c r="PLY56" s="10"/>
      <c r="PLZ56" s="10"/>
      <c r="PMA56" s="10"/>
      <c r="PMB56" s="10"/>
      <c r="PMC56" s="10"/>
      <c r="PMD56" s="10"/>
      <c r="PME56" s="10"/>
      <c r="PMF56" s="10"/>
      <c r="PMG56" s="10"/>
      <c r="PMH56" s="10"/>
      <c r="PMI56" s="10"/>
      <c r="PMJ56" s="10"/>
      <c r="PMK56" s="10"/>
      <c r="PML56" s="10"/>
      <c r="PMM56" s="10"/>
      <c r="PMN56" s="10"/>
      <c r="PMO56" s="10"/>
      <c r="PMP56" s="10"/>
      <c r="PMQ56" s="10"/>
      <c r="PMR56" s="10"/>
      <c r="PMS56" s="10"/>
      <c r="PMT56" s="10"/>
      <c r="PMU56" s="10"/>
      <c r="PMV56" s="10"/>
      <c r="PMW56" s="10"/>
      <c r="PMX56" s="10"/>
      <c r="PMY56" s="10"/>
      <c r="PMZ56" s="10"/>
      <c r="PNA56" s="10"/>
      <c r="PNB56" s="10"/>
      <c r="PNC56" s="10"/>
      <c r="PND56" s="10"/>
      <c r="PNE56" s="10"/>
      <c r="PNF56" s="10"/>
      <c r="PNG56" s="10"/>
      <c r="PNH56" s="10"/>
      <c r="PNI56" s="10"/>
      <c r="PNJ56" s="10"/>
      <c r="PNK56" s="10"/>
      <c r="PNL56" s="10"/>
      <c r="PNM56" s="10"/>
      <c r="PNN56" s="10"/>
      <c r="PNO56" s="10"/>
      <c r="PNP56" s="10"/>
      <c r="PNQ56" s="10"/>
      <c r="PNR56" s="10"/>
      <c r="PNS56" s="10"/>
      <c r="PNT56" s="10"/>
      <c r="PNU56" s="10"/>
      <c r="PNV56" s="10"/>
      <c r="PNW56" s="10"/>
      <c r="PNX56" s="10"/>
      <c r="PNY56" s="10"/>
      <c r="PNZ56" s="10"/>
      <c r="POA56" s="10"/>
      <c r="POB56" s="10"/>
      <c r="POC56" s="10"/>
      <c r="POD56" s="10"/>
      <c r="POE56" s="10"/>
      <c r="POF56" s="10"/>
      <c r="POG56" s="10"/>
      <c r="POH56" s="10"/>
      <c r="POI56" s="10"/>
      <c r="POJ56" s="10"/>
      <c r="POK56" s="10"/>
      <c r="POL56" s="10"/>
      <c r="POM56" s="10"/>
      <c r="PON56" s="10"/>
      <c r="POO56" s="10"/>
      <c r="POP56" s="10"/>
      <c r="POQ56" s="10"/>
      <c r="POR56" s="10"/>
      <c r="POS56" s="10"/>
      <c r="POT56" s="10"/>
      <c r="POU56" s="10"/>
      <c r="POV56" s="10"/>
      <c r="POW56" s="10"/>
      <c r="POX56" s="10"/>
      <c r="POY56" s="10"/>
      <c r="POZ56" s="10"/>
      <c r="PPA56" s="10"/>
      <c r="PPB56" s="10"/>
      <c r="PPC56" s="10"/>
      <c r="PPD56" s="10"/>
      <c r="PPE56" s="10"/>
      <c r="PPF56" s="10"/>
      <c r="PPG56" s="10"/>
      <c r="PPH56" s="10"/>
      <c r="PPI56" s="10"/>
      <c r="PPJ56" s="10"/>
      <c r="PPK56" s="10"/>
      <c r="PPL56" s="10"/>
      <c r="PPM56" s="10"/>
      <c r="PPN56" s="10"/>
      <c r="PPO56" s="10"/>
      <c r="PPP56" s="10"/>
      <c r="PPQ56" s="10"/>
      <c r="PPR56" s="10"/>
      <c r="PPS56" s="10"/>
      <c r="PPT56" s="10"/>
      <c r="PPU56" s="10"/>
      <c r="PPV56" s="10"/>
      <c r="PPW56" s="10"/>
      <c r="PPX56" s="10"/>
      <c r="PPY56" s="10"/>
      <c r="PPZ56" s="10"/>
      <c r="PQA56" s="10"/>
      <c r="PQB56" s="10"/>
      <c r="PQC56" s="10"/>
      <c r="PQD56" s="10"/>
      <c r="PQE56" s="10"/>
      <c r="PQF56" s="10"/>
      <c r="PQG56" s="10"/>
      <c r="PQH56" s="10"/>
      <c r="PQI56" s="10"/>
      <c r="PQJ56" s="10"/>
      <c r="PQK56" s="10"/>
      <c r="PQL56" s="10"/>
      <c r="PQM56" s="10"/>
      <c r="PQN56" s="10"/>
      <c r="PQO56" s="10"/>
      <c r="PQP56" s="10"/>
      <c r="PQQ56" s="10"/>
      <c r="PQR56" s="10"/>
      <c r="PQS56" s="10"/>
      <c r="PQT56" s="10"/>
      <c r="PQU56" s="10"/>
      <c r="PQV56" s="10"/>
      <c r="PQW56" s="10"/>
      <c r="PQX56" s="10"/>
      <c r="PQY56" s="10"/>
      <c r="PQZ56" s="10"/>
      <c r="PRA56" s="10"/>
      <c r="PRB56" s="10"/>
      <c r="PRC56" s="10"/>
      <c r="PRD56" s="10"/>
      <c r="PRE56" s="10"/>
      <c r="PRF56" s="10"/>
      <c r="PRG56" s="10"/>
      <c r="PRH56" s="10"/>
      <c r="PRI56" s="10"/>
      <c r="PRJ56" s="10"/>
      <c r="PRK56" s="10"/>
      <c r="PRL56" s="10"/>
      <c r="PRM56" s="10"/>
      <c r="PRN56" s="10"/>
      <c r="PRO56" s="10"/>
      <c r="PRP56" s="10"/>
      <c r="PRQ56" s="10"/>
      <c r="PRR56" s="10"/>
      <c r="PRS56" s="10"/>
      <c r="PRT56" s="10"/>
      <c r="PRU56" s="10"/>
      <c r="PRV56" s="10"/>
      <c r="PRW56" s="10"/>
      <c r="PRX56" s="10"/>
      <c r="PRY56" s="10"/>
      <c r="PRZ56" s="10"/>
      <c r="PSA56" s="10"/>
      <c r="PSB56" s="10"/>
      <c r="PSC56" s="10"/>
      <c r="PSD56" s="10"/>
      <c r="PSE56" s="10"/>
      <c r="PSF56" s="10"/>
      <c r="PSG56" s="10"/>
      <c r="PSH56" s="10"/>
      <c r="PSI56" s="10"/>
      <c r="PSJ56" s="10"/>
      <c r="PSK56" s="10"/>
      <c r="PSL56" s="10"/>
      <c r="PSM56" s="10"/>
      <c r="PSN56" s="10"/>
      <c r="PSO56" s="10"/>
      <c r="PSP56" s="10"/>
      <c r="PSQ56" s="10"/>
      <c r="PSR56" s="10"/>
      <c r="PSS56" s="10"/>
      <c r="PST56" s="10"/>
      <c r="PSU56" s="10"/>
      <c r="PSV56" s="10"/>
      <c r="PSW56" s="10"/>
      <c r="PSX56" s="10"/>
      <c r="PSY56" s="10"/>
      <c r="PSZ56" s="10"/>
      <c r="PTA56" s="10"/>
      <c r="PTB56" s="10"/>
      <c r="PTC56" s="10"/>
      <c r="PTD56" s="10"/>
      <c r="PTE56" s="10"/>
      <c r="PTF56" s="10"/>
      <c r="PTG56" s="10"/>
      <c r="PTH56" s="10"/>
      <c r="PTI56" s="10"/>
      <c r="PTJ56" s="10"/>
      <c r="PTK56" s="10"/>
      <c r="PTL56" s="10"/>
      <c r="PTM56" s="10"/>
      <c r="PTN56" s="10"/>
      <c r="PTO56" s="10"/>
      <c r="PTP56" s="10"/>
      <c r="PTQ56" s="10"/>
      <c r="PTR56" s="10"/>
      <c r="PTS56" s="10"/>
      <c r="PTT56" s="10"/>
      <c r="PTU56" s="10"/>
      <c r="PTV56" s="10"/>
      <c r="PTW56" s="10"/>
      <c r="PTX56" s="10"/>
      <c r="PTY56" s="10"/>
      <c r="PTZ56" s="10"/>
      <c r="PUA56" s="10"/>
      <c r="PUB56" s="10"/>
      <c r="PUC56" s="10"/>
      <c r="PUD56" s="10"/>
      <c r="PUE56" s="10"/>
      <c r="PUF56" s="10"/>
      <c r="PUG56" s="10"/>
      <c r="PUH56" s="10"/>
      <c r="PUI56" s="10"/>
      <c r="PUJ56" s="10"/>
      <c r="PUK56" s="10"/>
      <c r="PUL56" s="10"/>
      <c r="PUM56" s="10"/>
      <c r="PUN56" s="10"/>
      <c r="PUO56" s="10"/>
      <c r="PUP56" s="10"/>
      <c r="PUQ56" s="10"/>
      <c r="PUR56" s="10"/>
      <c r="PUS56" s="10"/>
      <c r="PUT56" s="10"/>
      <c r="PUU56" s="10"/>
      <c r="PUV56" s="10"/>
      <c r="PUW56" s="10"/>
      <c r="PUX56" s="10"/>
      <c r="PUY56" s="10"/>
      <c r="PUZ56" s="10"/>
      <c r="PVA56" s="10"/>
      <c r="PVB56" s="10"/>
      <c r="PVC56" s="10"/>
      <c r="PVD56" s="10"/>
      <c r="PVE56" s="10"/>
      <c r="PVF56" s="10"/>
      <c r="PVG56" s="10"/>
      <c r="PVH56" s="10"/>
      <c r="PVI56" s="10"/>
      <c r="PVJ56" s="10"/>
      <c r="PVK56" s="10"/>
      <c r="PVL56" s="10"/>
      <c r="PVM56" s="10"/>
      <c r="PVN56" s="10"/>
      <c r="PVO56" s="10"/>
      <c r="PVP56" s="10"/>
      <c r="PVQ56" s="10"/>
      <c r="PVR56" s="10"/>
      <c r="PVS56" s="10"/>
      <c r="PVT56" s="10"/>
      <c r="PVU56" s="10"/>
      <c r="PVV56" s="10"/>
      <c r="PVW56" s="10"/>
      <c r="PVX56" s="10"/>
      <c r="PVY56" s="10"/>
      <c r="PVZ56" s="10"/>
      <c r="PWA56" s="10"/>
      <c r="PWB56" s="10"/>
      <c r="PWC56" s="10"/>
      <c r="PWD56" s="10"/>
      <c r="PWE56" s="10"/>
      <c r="PWF56" s="10"/>
      <c r="PWG56" s="10"/>
      <c r="PWH56" s="10"/>
      <c r="PWI56" s="10"/>
      <c r="PWJ56" s="10"/>
      <c r="PWK56" s="10"/>
      <c r="PWL56" s="10"/>
      <c r="PWM56" s="10"/>
      <c r="PWN56" s="10"/>
      <c r="PWO56" s="10"/>
      <c r="PWP56" s="10"/>
      <c r="PWQ56" s="10"/>
      <c r="PWR56" s="10"/>
      <c r="PWS56" s="10"/>
      <c r="PWT56" s="10"/>
      <c r="PWU56" s="10"/>
      <c r="PWV56" s="10"/>
      <c r="PWW56" s="10"/>
      <c r="PWX56" s="10"/>
      <c r="PWY56" s="10"/>
      <c r="PWZ56" s="10"/>
      <c r="PXA56" s="10"/>
      <c r="PXB56" s="10"/>
      <c r="PXC56" s="10"/>
      <c r="PXD56" s="10"/>
      <c r="PXE56" s="10"/>
      <c r="PXF56" s="10"/>
      <c r="PXG56" s="10"/>
      <c r="PXH56" s="10"/>
      <c r="PXI56" s="10"/>
      <c r="PXJ56" s="10"/>
      <c r="PXK56" s="10"/>
      <c r="PXL56" s="10"/>
      <c r="PXM56" s="10"/>
      <c r="PXN56" s="10"/>
      <c r="PXO56" s="10"/>
      <c r="PXP56" s="10"/>
      <c r="PXQ56" s="10"/>
      <c r="PXR56" s="10"/>
      <c r="PXS56" s="10"/>
      <c r="PXT56" s="10"/>
      <c r="PXU56" s="10"/>
      <c r="PXV56" s="10"/>
      <c r="PXW56" s="10"/>
      <c r="PXX56" s="10"/>
      <c r="PXY56" s="10"/>
      <c r="PXZ56" s="10"/>
      <c r="PYA56" s="10"/>
      <c r="PYB56" s="10"/>
      <c r="PYC56" s="10"/>
      <c r="PYD56" s="10"/>
      <c r="PYE56" s="10"/>
      <c r="PYF56" s="10"/>
      <c r="PYG56" s="10"/>
      <c r="PYH56" s="10"/>
      <c r="PYI56" s="10"/>
      <c r="PYJ56" s="10"/>
      <c r="PYK56" s="10"/>
      <c r="PYL56" s="10"/>
      <c r="PYM56" s="10"/>
      <c r="PYN56" s="10"/>
      <c r="PYO56" s="10"/>
      <c r="PYP56" s="10"/>
      <c r="PYQ56" s="10"/>
      <c r="PYR56" s="10"/>
      <c r="PYS56" s="10"/>
      <c r="PYT56" s="10"/>
      <c r="PYU56" s="10"/>
      <c r="PYV56" s="10"/>
      <c r="PYW56" s="10"/>
      <c r="PYX56" s="10"/>
      <c r="PYY56" s="10"/>
      <c r="PYZ56" s="10"/>
      <c r="PZA56" s="10"/>
      <c r="PZB56" s="10"/>
      <c r="PZC56" s="10"/>
      <c r="PZD56" s="10"/>
      <c r="PZE56" s="10"/>
      <c r="PZF56" s="10"/>
      <c r="PZG56" s="10"/>
      <c r="PZH56" s="10"/>
      <c r="PZI56" s="10"/>
      <c r="PZJ56" s="10"/>
      <c r="PZK56" s="10"/>
      <c r="PZL56" s="10"/>
      <c r="PZM56" s="10"/>
      <c r="PZN56" s="10"/>
      <c r="PZO56" s="10"/>
      <c r="PZP56" s="10"/>
      <c r="PZQ56" s="10"/>
      <c r="PZR56" s="10"/>
      <c r="PZS56" s="10"/>
      <c r="PZT56" s="10"/>
      <c r="PZU56" s="10"/>
      <c r="PZV56" s="10"/>
      <c r="PZW56" s="10"/>
      <c r="PZX56" s="10"/>
      <c r="PZY56" s="10"/>
      <c r="PZZ56" s="10"/>
      <c r="QAA56" s="10"/>
      <c r="QAB56" s="10"/>
      <c r="QAC56" s="10"/>
      <c r="QAD56" s="10"/>
      <c r="QAE56" s="10"/>
      <c r="QAF56" s="10"/>
      <c r="QAG56" s="10"/>
      <c r="QAH56" s="10"/>
      <c r="QAI56" s="10"/>
      <c r="QAJ56" s="10"/>
      <c r="QAK56" s="10"/>
      <c r="QAL56" s="10"/>
      <c r="QAM56" s="10"/>
      <c r="QAN56" s="10"/>
      <c r="QAO56" s="10"/>
      <c r="QAP56" s="10"/>
      <c r="QAQ56" s="10"/>
      <c r="QAR56" s="10"/>
      <c r="QAS56" s="10"/>
      <c r="QAT56" s="10"/>
      <c r="QAU56" s="10"/>
      <c r="QAV56" s="10"/>
      <c r="QAW56" s="10"/>
      <c r="QAX56" s="10"/>
      <c r="QAY56" s="10"/>
      <c r="QAZ56" s="10"/>
      <c r="QBA56" s="10"/>
      <c r="QBB56" s="10"/>
      <c r="QBC56" s="10"/>
      <c r="QBD56" s="10"/>
      <c r="QBE56" s="10"/>
      <c r="QBF56" s="10"/>
      <c r="QBG56" s="10"/>
      <c r="QBH56" s="10"/>
      <c r="QBI56" s="10"/>
      <c r="QBJ56" s="10"/>
      <c r="QBK56" s="10"/>
      <c r="QBL56" s="10"/>
      <c r="QBM56" s="10"/>
      <c r="QBN56" s="10"/>
      <c r="QBO56" s="10"/>
      <c r="QBP56" s="10"/>
      <c r="QBQ56" s="10"/>
      <c r="QBR56" s="10"/>
      <c r="QBS56" s="10"/>
      <c r="QBT56" s="10"/>
      <c r="QBU56" s="10"/>
      <c r="QBV56" s="10"/>
      <c r="QBW56" s="10"/>
      <c r="QBX56" s="10"/>
      <c r="QBY56" s="10"/>
      <c r="QBZ56" s="10"/>
      <c r="QCA56" s="10"/>
      <c r="QCB56" s="10"/>
      <c r="QCC56" s="10"/>
      <c r="QCD56" s="10"/>
      <c r="QCE56" s="10"/>
      <c r="QCF56" s="10"/>
      <c r="QCG56" s="10"/>
      <c r="QCH56" s="10"/>
      <c r="QCI56" s="10"/>
      <c r="QCJ56" s="10"/>
      <c r="QCK56" s="10"/>
      <c r="QCL56" s="10"/>
      <c r="QCM56" s="10"/>
      <c r="QCN56" s="10"/>
      <c r="QCO56" s="10"/>
      <c r="QCP56" s="10"/>
      <c r="QCQ56" s="10"/>
      <c r="QCR56" s="10"/>
      <c r="QCS56" s="10"/>
      <c r="QCT56" s="10"/>
      <c r="QCU56" s="10"/>
      <c r="QCV56" s="10"/>
      <c r="QCW56" s="10"/>
      <c r="QCX56" s="10"/>
      <c r="QCY56" s="10"/>
      <c r="QCZ56" s="10"/>
      <c r="QDA56" s="10"/>
      <c r="QDB56" s="10"/>
      <c r="QDC56" s="10"/>
      <c r="QDD56" s="10"/>
      <c r="QDE56" s="10"/>
      <c r="QDF56" s="10"/>
      <c r="QDG56" s="10"/>
      <c r="QDH56" s="10"/>
      <c r="QDI56" s="10"/>
      <c r="QDJ56" s="10"/>
      <c r="QDK56" s="10"/>
      <c r="QDL56" s="10"/>
      <c r="QDM56" s="10"/>
      <c r="QDN56" s="10"/>
      <c r="QDO56" s="10"/>
      <c r="QDP56" s="10"/>
      <c r="QDQ56" s="10"/>
      <c r="QDR56" s="10"/>
      <c r="QDS56" s="10"/>
      <c r="QDT56" s="10"/>
      <c r="QDU56" s="10"/>
      <c r="QDV56" s="10"/>
      <c r="QDW56" s="10"/>
      <c r="QDX56" s="10"/>
      <c r="QDY56" s="10"/>
      <c r="QDZ56" s="10"/>
      <c r="QEA56" s="10"/>
      <c r="QEB56" s="10"/>
      <c r="QEC56" s="10"/>
      <c r="QED56" s="10"/>
      <c r="QEE56" s="10"/>
      <c r="QEF56" s="10"/>
      <c r="QEG56" s="10"/>
      <c r="QEH56" s="10"/>
      <c r="QEI56" s="10"/>
      <c r="QEJ56" s="10"/>
      <c r="QEK56" s="10"/>
      <c r="QEL56" s="10"/>
      <c r="QEM56" s="10"/>
      <c r="QEN56" s="10"/>
      <c r="QEO56" s="10"/>
      <c r="QEP56" s="10"/>
      <c r="QEQ56" s="10"/>
      <c r="QER56" s="10"/>
      <c r="QES56" s="10"/>
      <c r="QET56" s="10"/>
      <c r="QEU56" s="10"/>
      <c r="QEV56" s="10"/>
      <c r="QEW56" s="10"/>
      <c r="QEX56" s="10"/>
      <c r="QEY56" s="10"/>
      <c r="QEZ56" s="10"/>
      <c r="QFA56" s="10"/>
      <c r="QFB56" s="10"/>
      <c r="QFC56" s="10"/>
      <c r="QFD56" s="10"/>
      <c r="QFE56" s="10"/>
      <c r="QFF56" s="10"/>
      <c r="QFG56" s="10"/>
      <c r="QFH56" s="10"/>
      <c r="QFI56" s="10"/>
      <c r="QFJ56" s="10"/>
      <c r="QFK56" s="10"/>
      <c r="QFL56" s="10"/>
      <c r="QFM56" s="10"/>
      <c r="QFN56" s="10"/>
      <c r="QFO56" s="10"/>
      <c r="QFP56" s="10"/>
      <c r="QFQ56" s="10"/>
      <c r="QFR56" s="10"/>
      <c r="QFS56" s="10"/>
      <c r="QFT56" s="10"/>
      <c r="QFU56" s="10"/>
      <c r="QFV56" s="10"/>
      <c r="QFW56" s="10"/>
      <c r="QFX56" s="10"/>
      <c r="QFY56" s="10"/>
      <c r="QFZ56" s="10"/>
      <c r="QGA56" s="10"/>
      <c r="QGB56" s="10"/>
      <c r="QGC56" s="10"/>
      <c r="QGD56" s="10"/>
      <c r="QGE56" s="10"/>
      <c r="QGF56" s="10"/>
      <c r="QGG56" s="10"/>
      <c r="QGH56" s="10"/>
      <c r="QGI56" s="10"/>
      <c r="QGJ56" s="10"/>
      <c r="QGK56" s="10"/>
      <c r="QGL56" s="10"/>
      <c r="QGM56" s="10"/>
      <c r="QGN56" s="10"/>
      <c r="QGO56" s="10"/>
      <c r="QGP56" s="10"/>
      <c r="QGQ56" s="10"/>
      <c r="QGR56" s="10"/>
      <c r="QGS56" s="10"/>
      <c r="QGT56" s="10"/>
      <c r="QGU56" s="10"/>
      <c r="QGV56" s="10"/>
      <c r="QGW56" s="10"/>
      <c r="QGX56" s="10"/>
      <c r="QGY56" s="10"/>
      <c r="QGZ56" s="10"/>
      <c r="QHA56" s="10"/>
      <c r="QHB56" s="10"/>
      <c r="QHC56" s="10"/>
      <c r="QHD56" s="10"/>
      <c r="QHE56" s="10"/>
      <c r="QHF56" s="10"/>
      <c r="QHG56" s="10"/>
      <c r="QHH56" s="10"/>
      <c r="QHI56" s="10"/>
      <c r="QHJ56" s="10"/>
      <c r="QHK56" s="10"/>
      <c r="QHL56" s="10"/>
      <c r="QHM56" s="10"/>
      <c r="QHN56" s="10"/>
      <c r="QHO56" s="10"/>
      <c r="QHP56" s="10"/>
      <c r="QHQ56" s="10"/>
      <c r="QHR56" s="10"/>
      <c r="QHS56" s="10"/>
      <c r="QHT56" s="10"/>
      <c r="QHU56" s="10"/>
      <c r="QHV56" s="10"/>
      <c r="QHW56" s="10"/>
      <c r="QHX56" s="10"/>
      <c r="QHY56" s="10"/>
      <c r="QHZ56" s="10"/>
      <c r="QIA56" s="10"/>
      <c r="QIB56" s="10"/>
      <c r="QIC56" s="10"/>
      <c r="QID56" s="10"/>
      <c r="QIE56" s="10"/>
      <c r="QIF56" s="10"/>
      <c r="QIG56" s="10"/>
      <c r="QIH56" s="10"/>
      <c r="QII56" s="10"/>
      <c r="QIJ56" s="10"/>
      <c r="QIK56" s="10"/>
      <c r="QIL56" s="10"/>
      <c r="QIM56" s="10"/>
      <c r="QIN56" s="10"/>
      <c r="QIO56" s="10"/>
      <c r="QIP56" s="10"/>
      <c r="QIQ56" s="10"/>
      <c r="QIR56" s="10"/>
      <c r="QIS56" s="10"/>
      <c r="QIT56" s="10"/>
      <c r="QIU56" s="10"/>
      <c r="QIV56" s="10"/>
      <c r="QIW56" s="10"/>
      <c r="QIX56" s="10"/>
      <c r="QIY56" s="10"/>
      <c r="QIZ56" s="10"/>
      <c r="QJA56" s="10"/>
      <c r="QJB56" s="10"/>
      <c r="QJC56" s="10"/>
      <c r="QJD56" s="10"/>
      <c r="QJE56" s="10"/>
      <c r="QJF56" s="10"/>
      <c r="QJG56" s="10"/>
      <c r="QJH56" s="10"/>
      <c r="QJI56" s="10"/>
      <c r="QJJ56" s="10"/>
      <c r="QJK56" s="10"/>
      <c r="QJL56" s="10"/>
      <c r="QJM56" s="10"/>
      <c r="QJN56" s="10"/>
      <c r="QJO56" s="10"/>
      <c r="QJP56" s="10"/>
      <c r="QJQ56" s="10"/>
      <c r="QJR56" s="10"/>
      <c r="QJS56" s="10"/>
      <c r="QJT56" s="10"/>
      <c r="QJU56" s="10"/>
      <c r="QJV56" s="10"/>
      <c r="QJW56" s="10"/>
      <c r="QJX56" s="10"/>
      <c r="QJY56" s="10"/>
      <c r="QJZ56" s="10"/>
      <c r="QKA56" s="10"/>
      <c r="QKB56" s="10"/>
      <c r="QKC56" s="10"/>
      <c r="QKD56" s="10"/>
      <c r="QKE56" s="10"/>
      <c r="QKF56" s="10"/>
      <c r="QKG56" s="10"/>
      <c r="QKH56" s="10"/>
      <c r="QKI56" s="10"/>
      <c r="QKJ56" s="10"/>
      <c r="QKK56" s="10"/>
      <c r="QKL56" s="10"/>
      <c r="QKM56" s="10"/>
      <c r="QKN56" s="10"/>
      <c r="QKO56" s="10"/>
      <c r="QKP56" s="10"/>
      <c r="QKQ56" s="10"/>
      <c r="QKR56" s="10"/>
      <c r="QKS56" s="10"/>
      <c r="QKT56" s="10"/>
      <c r="QKU56" s="10"/>
      <c r="QKV56" s="10"/>
      <c r="QKW56" s="10"/>
      <c r="QKX56" s="10"/>
      <c r="QKY56" s="10"/>
      <c r="QKZ56" s="10"/>
      <c r="QLA56" s="10"/>
      <c r="QLB56" s="10"/>
      <c r="QLC56" s="10"/>
      <c r="QLD56" s="10"/>
      <c r="QLE56" s="10"/>
      <c r="QLF56" s="10"/>
      <c r="QLG56" s="10"/>
      <c r="QLH56" s="10"/>
      <c r="QLI56" s="10"/>
      <c r="QLJ56" s="10"/>
      <c r="QLK56" s="10"/>
      <c r="QLL56" s="10"/>
      <c r="QLM56" s="10"/>
      <c r="QLN56" s="10"/>
      <c r="QLO56" s="10"/>
      <c r="QLP56" s="10"/>
      <c r="QLQ56" s="10"/>
      <c r="QLR56" s="10"/>
      <c r="QLS56" s="10"/>
      <c r="QLT56" s="10"/>
      <c r="QLU56" s="10"/>
      <c r="QLV56" s="10"/>
      <c r="QLW56" s="10"/>
      <c r="QLX56" s="10"/>
      <c r="QLY56" s="10"/>
      <c r="QLZ56" s="10"/>
      <c r="QMA56" s="10"/>
      <c r="QMB56" s="10"/>
      <c r="QMC56" s="10"/>
      <c r="QMD56" s="10"/>
      <c r="QME56" s="10"/>
      <c r="QMF56" s="10"/>
      <c r="QMG56" s="10"/>
      <c r="QMH56" s="10"/>
      <c r="QMI56" s="10"/>
      <c r="QMJ56" s="10"/>
      <c r="QMK56" s="10"/>
      <c r="QML56" s="10"/>
      <c r="QMM56" s="10"/>
      <c r="QMN56" s="10"/>
      <c r="QMO56" s="10"/>
      <c r="QMP56" s="10"/>
      <c r="QMQ56" s="10"/>
      <c r="QMR56" s="10"/>
      <c r="QMS56" s="10"/>
      <c r="QMT56" s="10"/>
      <c r="QMU56" s="10"/>
      <c r="QMV56" s="10"/>
      <c r="QMW56" s="10"/>
      <c r="QMX56" s="10"/>
      <c r="QMY56" s="10"/>
      <c r="QMZ56" s="10"/>
      <c r="QNA56" s="10"/>
      <c r="QNB56" s="10"/>
      <c r="QNC56" s="10"/>
      <c r="QND56" s="10"/>
      <c r="QNE56" s="10"/>
      <c r="QNF56" s="10"/>
      <c r="QNG56" s="10"/>
      <c r="QNH56" s="10"/>
      <c r="QNI56" s="10"/>
      <c r="QNJ56" s="10"/>
      <c r="QNK56" s="10"/>
      <c r="QNL56" s="10"/>
      <c r="QNM56" s="10"/>
      <c r="QNN56" s="10"/>
      <c r="QNO56" s="10"/>
      <c r="QNP56" s="10"/>
      <c r="QNQ56" s="10"/>
      <c r="QNR56" s="10"/>
      <c r="QNS56" s="10"/>
      <c r="QNT56" s="10"/>
      <c r="QNU56" s="10"/>
      <c r="QNV56" s="10"/>
      <c r="QNW56" s="10"/>
      <c r="QNX56" s="10"/>
      <c r="QNY56" s="10"/>
      <c r="QNZ56" s="10"/>
      <c r="QOA56" s="10"/>
      <c r="QOB56" s="10"/>
      <c r="QOC56" s="10"/>
      <c r="QOD56" s="10"/>
      <c r="QOE56" s="10"/>
      <c r="QOF56" s="10"/>
      <c r="QOG56" s="10"/>
      <c r="QOH56" s="10"/>
      <c r="QOI56" s="10"/>
      <c r="QOJ56" s="10"/>
      <c r="QOK56" s="10"/>
      <c r="QOL56" s="10"/>
      <c r="QOM56" s="10"/>
      <c r="QON56" s="10"/>
      <c r="QOO56" s="10"/>
      <c r="QOP56" s="10"/>
      <c r="QOQ56" s="10"/>
      <c r="QOR56" s="10"/>
      <c r="QOS56" s="10"/>
      <c r="QOT56" s="10"/>
      <c r="QOU56" s="10"/>
      <c r="QOV56" s="10"/>
      <c r="QOW56" s="10"/>
      <c r="QOX56" s="10"/>
      <c r="QOY56" s="10"/>
      <c r="QOZ56" s="10"/>
      <c r="QPA56" s="10"/>
      <c r="QPB56" s="10"/>
      <c r="QPC56" s="10"/>
      <c r="QPD56" s="10"/>
      <c r="QPE56" s="10"/>
      <c r="QPF56" s="10"/>
      <c r="QPG56" s="10"/>
      <c r="QPH56" s="10"/>
      <c r="QPI56" s="10"/>
      <c r="QPJ56" s="10"/>
      <c r="QPK56" s="10"/>
      <c r="QPL56" s="10"/>
      <c r="QPM56" s="10"/>
      <c r="QPN56" s="10"/>
      <c r="QPO56" s="10"/>
      <c r="QPP56" s="10"/>
      <c r="QPQ56" s="10"/>
      <c r="QPR56" s="10"/>
      <c r="QPS56" s="10"/>
      <c r="QPT56" s="10"/>
      <c r="QPU56" s="10"/>
      <c r="QPV56" s="10"/>
      <c r="QPW56" s="10"/>
      <c r="QPX56" s="10"/>
      <c r="QPY56" s="10"/>
      <c r="QPZ56" s="10"/>
      <c r="QQA56" s="10"/>
      <c r="QQB56" s="10"/>
      <c r="QQC56" s="10"/>
      <c r="QQD56" s="10"/>
      <c r="QQE56" s="10"/>
      <c r="QQF56" s="10"/>
      <c r="QQG56" s="10"/>
      <c r="QQH56" s="10"/>
      <c r="QQI56" s="10"/>
      <c r="QQJ56" s="10"/>
      <c r="QQK56" s="10"/>
      <c r="QQL56" s="10"/>
      <c r="QQM56" s="10"/>
      <c r="QQN56" s="10"/>
      <c r="QQO56" s="10"/>
      <c r="QQP56" s="10"/>
      <c r="QQQ56" s="10"/>
      <c r="QQR56" s="10"/>
      <c r="QQS56" s="10"/>
      <c r="QQT56" s="10"/>
      <c r="QQU56" s="10"/>
      <c r="QQV56" s="10"/>
      <c r="QQW56" s="10"/>
      <c r="QQX56" s="10"/>
      <c r="QQY56" s="10"/>
      <c r="QQZ56" s="10"/>
      <c r="QRA56" s="10"/>
      <c r="QRB56" s="10"/>
      <c r="QRC56" s="10"/>
      <c r="QRD56" s="10"/>
      <c r="QRE56" s="10"/>
      <c r="QRF56" s="10"/>
      <c r="QRG56" s="10"/>
      <c r="QRH56" s="10"/>
      <c r="QRI56" s="10"/>
      <c r="QRJ56" s="10"/>
      <c r="QRK56" s="10"/>
      <c r="QRL56" s="10"/>
      <c r="QRM56" s="10"/>
      <c r="QRN56" s="10"/>
      <c r="QRO56" s="10"/>
      <c r="QRP56" s="10"/>
      <c r="QRQ56" s="10"/>
      <c r="QRR56" s="10"/>
      <c r="QRS56" s="10"/>
      <c r="QRT56" s="10"/>
      <c r="QRU56" s="10"/>
      <c r="QRV56" s="10"/>
      <c r="QRW56" s="10"/>
      <c r="QRX56" s="10"/>
      <c r="QRY56" s="10"/>
      <c r="QRZ56" s="10"/>
      <c r="QSA56" s="10"/>
      <c r="QSB56" s="10"/>
      <c r="QSC56" s="10"/>
      <c r="QSD56" s="10"/>
      <c r="QSE56" s="10"/>
      <c r="QSF56" s="10"/>
      <c r="QSG56" s="10"/>
      <c r="QSH56" s="10"/>
      <c r="QSI56" s="10"/>
      <c r="QSJ56" s="10"/>
      <c r="QSK56" s="10"/>
      <c r="QSL56" s="10"/>
      <c r="QSM56" s="10"/>
      <c r="QSN56" s="10"/>
      <c r="QSO56" s="10"/>
      <c r="QSP56" s="10"/>
      <c r="QSQ56" s="10"/>
      <c r="QSR56" s="10"/>
      <c r="QSS56" s="10"/>
      <c r="QST56" s="10"/>
      <c r="QSU56" s="10"/>
      <c r="QSV56" s="10"/>
      <c r="QSW56" s="10"/>
      <c r="QSX56" s="10"/>
      <c r="QSY56" s="10"/>
      <c r="QSZ56" s="10"/>
      <c r="QTA56" s="10"/>
      <c r="QTB56" s="10"/>
      <c r="QTC56" s="10"/>
      <c r="QTD56" s="10"/>
      <c r="QTE56" s="10"/>
      <c r="QTF56" s="10"/>
      <c r="QTG56" s="10"/>
      <c r="QTH56" s="10"/>
      <c r="QTI56" s="10"/>
      <c r="QTJ56" s="10"/>
      <c r="QTK56" s="10"/>
      <c r="QTL56" s="10"/>
      <c r="QTM56" s="10"/>
      <c r="QTN56" s="10"/>
      <c r="QTO56" s="10"/>
      <c r="QTP56" s="10"/>
      <c r="QTQ56" s="10"/>
      <c r="QTR56" s="10"/>
      <c r="QTS56" s="10"/>
      <c r="QTT56" s="10"/>
      <c r="QTU56" s="10"/>
      <c r="QTV56" s="10"/>
      <c r="QTW56" s="10"/>
      <c r="QTX56" s="10"/>
      <c r="QTY56" s="10"/>
      <c r="QTZ56" s="10"/>
      <c r="QUA56" s="10"/>
      <c r="QUB56" s="10"/>
      <c r="QUC56" s="10"/>
      <c r="QUD56" s="10"/>
      <c r="QUE56" s="10"/>
      <c r="QUF56" s="10"/>
      <c r="QUG56" s="10"/>
      <c r="QUH56" s="10"/>
      <c r="QUI56" s="10"/>
      <c r="QUJ56" s="10"/>
      <c r="QUK56" s="10"/>
      <c r="QUL56" s="10"/>
      <c r="QUM56" s="10"/>
      <c r="QUN56" s="10"/>
      <c r="QUO56" s="10"/>
      <c r="QUP56" s="10"/>
      <c r="QUQ56" s="10"/>
      <c r="QUR56" s="10"/>
      <c r="QUS56" s="10"/>
      <c r="QUT56" s="10"/>
      <c r="QUU56" s="10"/>
      <c r="QUV56" s="10"/>
      <c r="QUW56" s="10"/>
      <c r="QUX56" s="10"/>
      <c r="QUY56" s="10"/>
      <c r="QUZ56" s="10"/>
      <c r="QVA56" s="10"/>
      <c r="QVB56" s="10"/>
      <c r="QVC56" s="10"/>
      <c r="QVD56" s="10"/>
      <c r="QVE56" s="10"/>
      <c r="QVF56" s="10"/>
      <c r="QVG56" s="10"/>
      <c r="QVH56" s="10"/>
      <c r="QVI56" s="10"/>
      <c r="QVJ56" s="10"/>
      <c r="QVK56" s="10"/>
      <c r="QVL56" s="10"/>
      <c r="QVM56" s="10"/>
      <c r="QVN56" s="10"/>
      <c r="QVO56" s="10"/>
      <c r="QVP56" s="10"/>
      <c r="QVQ56" s="10"/>
      <c r="QVR56" s="10"/>
      <c r="QVS56" s="10"/>
      <c r="QVT56" s="10"/>
      <c r="QVU56" s="10"/>
      <c r="QVV56" s="10"/>
      <c r="QVW56" s="10"/>
      <c r="QVX56" s="10"/>
      <c r="QVY56" s="10"/>
      <c r="QVZ56" s="10"/>
      <c r="QWA56" s="10"/>
      <c r="QWB56" s="10"/>
      <c r="QWC56" s="10"/>
      <c r="QWD56" s="10"/>
      <c r="QWE56" s="10"/>
      <c r="QWF56" s="10"/>
      <c r="QWG56" s="10"/>
      <c r="QWH56" s="10"/>
      <c r="QWI56" s="10"/>
      <c r="QWJ56" s="10"/>
      <c r="QWK56" s="10"/>
      <c r="QWL56" s="10"/>
      <c r="QWM56" s="10"/>
      <c r="QWN56" s="10"/>
      <c r="QWO56" s="10"/>
      <c r="QWP56" s="10"/>
      <c r="QWQ56" s="10"/>
      <c r="QWR56" s="10"/>
      <c r="QWS56" s="10"/>
      <c r="QWT56" s="10"/>
      <c r="QWU56" s="10"/>
      <c r="QWV56" s="10"/>
      <c r="QWW56" s="10"/>
      <c r="QWX56" s="10"/>
      <c r="QWY56" s="10"/>
      <c r="QWZ56" s="10"/>
      <c r="QXA56" s="10"/>
      <c r="QXB56" s="10"/>
      <c r="QXC56" s="10"/>
      <c r="QXD56" s="10"/>
      <c r="QXE56" s="10"/>
      <c r="QXF56" s="10"/>
      <c r="QXG56" s="10"/>
      <c r="QXH56" s="10"/>
      <c r="QXI56" s="10"/>
      <c r="QXJ56" s="10"/>
      <c r="QXK56" s="10"/>
      <c r="QXL56" s="10"/>
      <c r="QXM56" s="10"/>
      <c r="QXN56" s="10"/>
      <c r="QXO56" s="10"/>
      <c r="QXP56" s="10"/>
      <c r="QXQ56" s="10"/>
      <c r="QXR56" s="10"/>
      <c r="QXS56" s="10"/>
      <c r="QXT56" s="10"/>
      <c r="QXU56" s="10"/>
      <c r="QXV56" s="10"/>
      <c r="QXW56" s="10"/>
      <c r="QXX56" s="10"/>
      <c r="QXY56" s="10"/>
      <c r="QXZ56" s="10"/>
      <c r="QYA56" s="10"/>
      <c r="QYB56" s="10"/>
      <c r="QYC56" s="10"/>
      <c r="QYD56" s="10"/>
      <c r="QYE56" s="10"/>
      <c r="QYF56" s="10"/>
      <c r="QYG56" s="10"/>
      <c r="QYH56" s="10"/>
      <c r="QYI56" s="10"/>
      <c r="QYJ56" s="10"/>
      <c r="QYK56" s="10"/>
      <c r="QYL56" s="10"/>
      <c r="QYM56" s="10"/>
      <c r="QYN56" s="10"/>
      <c r="QYO56" s="10"/>
      <c r="QYP56" s="10"/>
      <c r="QYQ56" s="10"/>
      <c r="QYR56" s="10"/>
      <c r="QYS56" s="10"/>
      <c r="QYT56" s="10"/>
      <c r="QYU56" s="10"/>
      <c r="QYV56" s="10"/>
      <c r="QYW56" s="10"/>
      <c r="QYX56" s="10"/>
      <c r="QYY56" s="10"/>
      <c r="QYZ56" s="10"/>
      <c r="QZA56" s="10"/>
      <c r="QZB56" s="10"/>
      <c r="QZC56" s="10"/>
      <c r="QZD56" s="10"/>
      <c r="QZE56" s="10"/>
      <c r="QZF56" s="10"/>
      <c r="QZG56" s="10"/>
      <c r="QZH56" s="10"/>
      <c r="QZI56" s="10"/>
      <c r="QZJ56" s="10"/>
      <c r="QZK56" s="10"/>
      <c r="QZL56" s="10"/>
      <c r="QZM56" s="10"/>
      <c r="QZN56" s="10"/>
      <c r="QZO56" s="10"/>
      <c r="QZP56" s="10"/>
      <c r="QZQ56" s="10"/>
      <c r="QZR56" s="10"/>
      <c r="QZS56" s="10"/>
      <c r="QZT56" s="10"/>
      <c r="QZU56" s="10"/>
      <c r="QZV56" s="10"/>
      <c r="QZW56" s="10"/>
      <c r="QZX56" s="10"/>
      <c r="QZY56" s="10"/>
      <c r="QZZ56" s="10"/>
      <c r="RAA56" s="10"/>
      <c r="RAB56" s="10"/>
      <c r="RAC56" s="10"/>
      <c r="RAD56" s="10"/>
      <c r="RAE56" s="10"/>
      <c r="RAF56" s="10"/>
      <c r="RAG56" s="10"/>
      <c r="RAH56" s="10"/>
      <c r="RAI56" s="10"/>
      <c r="RAJ56" s="10"/>
      <c r="RAK56" s="10"/>
      <c r="RAL56" s="10"/>
      <c r="RAM56" s="10"/>
      <c r="RAN56" s="10"/>
      <c r="RAO56" s="10"/>
      <c r="RAP56" s="10"/>
      <c r="RAQ56" s="10"/>
      <c r="RAR56" s="10"/>
      <c r="RAS56" s="10"/>
      <c r="RAT56" s="10"/>
      <c r="RAU56" s="10"/>
      <c r="RAV56" s="10"/>
      <c r="RAW56" s="10"/>
      <c r="RAX56" s="10"/>
      <c r="RAY56" s="10"/>
      <c r="RAZ56" s="10"/>
      <c r="RBA56" s="10"/>
      <c r="RBB56" s="10"/>
      <c r="RBC56" s="10"/>
      <c r="RBD56" s="10"/>
      <c r="RBE56" s="10"/>
      <c r="RBF56" s="10"/>
      <c r="RBG56" s="10"/>
      <c r="RBH56" s="10"/>
      <c r="RBI56" s="10"/>
      <c r="RBJ56" s="10"/>
      <c r="RBK56" s="10"/>
      <c r="RBL56" s="10"/>
      <c r="RBM56" s="10"/>
      <c r="RBN56" s="10"/>
      <c r="RBO56" s="10"/>
      <c r="RBP56" s="10"/>
      <c r="RBQ56" s="10"/>
      <c r="RBR56" s="10"/>
      <c r="RBS56" s="10"/>
      <c r="RBT56" s="10"/>
      <c r="RBU56" s="10"/>
      <c r="RBV56" s="10"/>
      <c r="RBW56" s="10"/>
      <c r="RBX56" s="10"/>
      <c r="RBY56" s="10"/>
      <c r="RBZ56" s="10"/>
      <c r="RCA56" s="10"/>
      <c r="RCB56" s="10"/>
      <c r="RCC56" s="10"/>
      <c r="RCD56" s="10"/>
      <c r="RCE56" s="10"/>
      <c r="RCF56" s="10"/>
      <c r="RCG56" s="10"/>
      <c r="RCH56" s="10"/>
      <c r="RCI56" s="10"/>
      <c r="RCJ56" s="10"/>
      <c r="RCK56" s="10"/>
      <c r="RCL56" s="10"/>
      <c r="RCM56" s="10"/>
      <c r="RCN56" s="10"/>
      <c r="RCO56" s="10"/>
      <c r="RCP56" s="10"/>
      <c r="RCQ56" s="10"/>
      <c r="RCR56" s="10"/>
      <c r="RCS56" s="10"/>
      <c r="RCT56" s="10"/>
      <c r="RCU56" s="10"/>
      <c r="RCV56" s="10"/>
      <c r="RCW56" s="10"/>
      <c r="RCX56" s="10"/>
      <c r="RCY56" s="10"/>
      <c r="RCZ56" s="10"/>
      <c r="RDA56" s="10"/>
      <c r="RDB56" s="10"/>
      <c r="RDC56" s="10"/>
      <c r="RDD56" s="10"/>
      <c r="RDE56" s="10"/>
      <c r="RDF56" s="10"/>
      <c r="RDG56" s="10"/>
      <c r="RDH56" s="10"/>
      <c r="RDI56" s="10"/>
      <c r="RDJ56" s="10"/>
      <c r="RDK56" s="10"/>
      <c r="RDL56" s="10"/>
      <c r="RDM56" s="10"/>
      <c r="RDN56" s="10"/>
      <c r="RDO56" s="10"/>
      <c r="RDP56" s="10"/>
      <c r="RDQ56" s="10"/>
      <c r="RDR56" s="10"/>
      <c r="RDS56" s="10"/>
      <c r="RDT56" s="10"/>
      <c r="RDU56" s="10"/>
      <c r="RDV56" s="10"/>
      <c r="RDW56" s="10"/>
      <c r="RDX56" s="10"/>
      <c r="RDY56" s="10"/>
      <c r="RDZ56" s="10"/>
      <c r="REA56" s="10"/>
      <c r="REB56" s="10"/>
      <c r="REC56" s="10"/>
      <c r="RED56" s="10"/>
      <c r="REE56" s="10"/>
      <c r="REF56" s="10"/>
      <c r="REG56" s="10"/>
      <c r="REH56" s="10"/>
      <c r="REI56" s="10"/>
      <c r="REJ56" s="10"/>
      <c r="REK56" s="10"/>
      <c r="REL56" s="10"/>
      <c r="REM56" s="10"/>
      <c r="REN56" s="10"/>
      <c r="REO56" s="10"/>
      <c r="REP56" s="10"/>
      <c r="REQ56" s="10"/>
      <c r="RER56" s="10"/>
      <c r="RES56" s="10"/>
      <c r="RET56" s="10"/>
      <c r="REU56" s="10"/>
      <c r="REV56" s="10"/>
      <c r="REW56" s="10"/>
      <c r="REX56" s="10"/>
      <c r="REY56" s="10"/>
      <c r="REZ56" s="10"/>
      <c r="RFA56" s="10"/>
      <c r="RFB56" s="10"/>
      <c r="RFC56" s="10"/>
      <c r="RFD56" s="10"/>
      <c r="RFE56" s="10"/>
      <c r="RFF56" s="10"/>
      <c r="RFG56" s="10"/>
      <c r="RFH56" s="10"/>
      <c r="RFI56" s="10"/>
      <c r="RFJ56" s="10"/>
      <c r="RFK56" s="10"/>
      <c r="RFL56" s="10"/>
      <c r="RFM56" s="10"/>
      <c r="RFN56" s="10"/>
      <c r="RFO56" s="10"/>
      <c r="RFP56" s="10"/>
      <c r="RFQ56" s="10"/>
      <c r="RFR56" s="10"/>
      <c r="RFS56" s="10"/>
      <c r="RFT56" s="10"/>
      <c r="RFU56" s="10"/>
      <c r="RFV56" s="10"/>
      <c r="RFW56" s="10"/>
      <c r="RFX56" s="10"/>
      <c r="RFY56" s="10"/>
      <c r="RFZ56" s="10"/>
      <c r="RGA56" s="10"/>
      <c r="RGB56" s="10"/>
      <c r="RGC56" s="10"/>
      <c r="RGD56" s="10"/>
      <c r="RGE56" s="10"/>
      <c r="RGF56" s="10"/>
      <c r="RGG56" s="10"/>
      <c r="RGH56" s="10"/>
      <c r="RGI56" s="10"/>
      <c r="RGJ56" s="10"/>
      <c r="RGK56" s="10"/>
      <c r="RGL56" s="10"/>
      <c r="RGM56" s="10"/>
      <c r="RGN56" s="10"/>
      <c r="RGO56" s="10"/>
      <c r="RGP56" s="10"/>
      <c r="RGQ56" s="10"/>
      <c r="RGR56" s="10"/>
      <c r="RGS56" s="10"/>
      <c r="RGT56" s="10"/>
      <c r="RGU56" s="10"/>
      <c r="RGV56" s="10"/>
      <c r="RGW56" s="10"/>
      <c r="RGX56" s="10"/>
      <c r="RGY56" s="10"/>
      <c r="RGZ56" s="10"/>
      <c r="RHA56" s="10"/>
      <c r="RHB56" s="10"/>
      <c r="RHC56" s="10"/>
      <c r="RHD56" s="10"/>
      <c r="RHE56" s="10"/>
      <c r="RHF56" s="10"/>
      <c r="RHG56" s="10"/>
      <c r="RHH56" s="10"/>
      <c r="RHI56" s="10"/>
      <c r="RHJ56" s="10"/>
      <c r="RHK56" s="10"/>
      <c r="RHL56" s="10"/>
      <c r="RHM56" s="10"/>
      <c r="RHN56" s="10"/>
      <c r="RHO56" s="10"/>
      <c r="RHP56" s="10"/>
      <c r="RHQ56" s="10"/>
      <c r="RHR56" s="10"/>
      <c r="RHS56" s="10"/>
      <c r="RHT56" s="10"/>
      <c r="RHU56" s="10"/>
      <c r="RHV56" s="10"/>
      <c r="RHW56" s="10"/>
      <c r="RHX56" s="10"/>
      <c r="RHY56" s="10"/>
      <c r="RHZ56" s="10"/>
      <c r="RIA56" s="10"/>
      <c r="RIB56" s="10"/>
      <c r="RIC56" s="10"/>
      <c r="RID56" s="10"/>
      <c r="RIE56" s="10"/>
      <c r="RIF56" s="10"/>
      <c r="RIG56" s="10"/>
      <c r="RIH56" s="10"/>
      <c r="RII56" s="10"/>
      <c r="RIJ56" s="10"/>
      <c r="RIK56" s="10"/>
      <c r="RIL56" s="10"/>
      <c r="RIM56" s="10"/>
      <c r="RIN56" s="10"/>
      <c r="RIO56" s="10"/>
      <c r="RIP56" s="10"/>
      <c r="RIQ56" s="10"/>
      <c r="RIR56" s="10"/>
      <c r="RIS56" s="10"/>
      <c r="RIT56" s="10"/>
      <c r="RIU56" s="10"/>
      <c r="RIV56" s="10"/>
      <c r="RIW56" s="10"/>
      <c r="RIX56" s="10"/>
      <c r="RIY56" s="10"/>
      <c r="RIZ56" s="10"/>
      <c r="RJA56" s="10"/>
      <c r="RJB56" s="10"/>
      <c r="RJC56" s="10"/>
      <c r="RJD56" s="10"/>
      <c r="RJE56" s="10"/>
      <c r="RJF56" s="10"/>
      <c r="RJG56" s="10"/>
      <c r="RJH56" s="10"/>
      <c r="RJI56" s="10"/>
      <c r="RJJ56" s="10"/>
      <c r="RJK56" s="10"/>
      <c r="RJL56" s="10"/>
      <c r="RJM56" s="10"/>
      <c r="RJN56" s="10"/>
      <c r="RJO56" s="10"/>
      <c r="RJP56" s="10"/>
      <c r="RJQ56" s="10"/>
      <c r="RJR56" s="10"/>
      <c r="RJS56" s="10"/>
      <c r="RJT56" s="10"/>
      <c r="RJU56" s="10"/>
      <c r="RJV56" s="10"/>
      <c r="RJW56" s="10"/>
      <c r="RJX56" s="10"/>
      <c r="RJY56" s="10"/>
      <c r="RJZ56" s="10"/>
      <c r="RKA56" s="10"/>
      <c r="RKB56" s="10"/>
      <c r="RKC56" s="10"/>
      <c r="RKD56" s="10"/>
      <c r="RKE56" s="10"/>
      <c r="RKF56" s="10"/>
      <c r="RKG56" s="10"/>
      <c r="RKH56" s="10"/>
      <c r="RKI56" s="10"/>
      <c r="RKJ56" s="10"/>
      <c r="RKK56" s="10"/>
      <c r="RKL56" s="10"/>
      <c r="RKM56" s="10"/>
      <c r="RKN56" s="10"/>
      <c r="RKO56" s="10"/>
      <c r="RKP56" s="10"/>
      <c r="RKQ56" s="10"/>
      <c r="RKR56" s="10"/>
      <c r="RKS56" s="10"/>
      <c r="RKT56" s="10"/>
      <c r="RKU56" s="10"/>
      <c r="RKV56" s="10"/>
      <c r="RKW56" s="10"/>
      <c r="RKX56" s="10"/>
      <c r="RKY56" s="10"/>
      <c r="RKZ56" s="10"/>
      <c r="RLA56" s="10"/>
      <c r="RLB56" s="10"/>
      <c r="RLC56" s="10"/>
      <c r="RLD56" s="10"/>
      <c r="RLE56" s="10"/>
      <c r="RLF56" s="10"/>
      <c r="RLG56" s="10"/>
      <c r="RLH56" s="10"/>
      <c r="RLI56" s="10"/>
      <c r="RLJ56" s="10"/>
      <c r="RLK56" s="10"/>
      <c r="RLL56" s="10"/>
      <c r="RLM56" s="10"/>
      <c r="RLN56" s="10"/>
      <c r="RLO56" s="10"/>
      <c r="RLP56" s="10"/>
      <c r="RLQ56" s="10"/>
      <c r="RLR56" s="10"/>
      <c r="RLS56" s="10"/>
      <c r="RLT56" s="10"/>
      <c r="RLU56" s="10"/>
      <c r="RLV56" s="10"/>
      <c r="RLW56" s="10"/>
      <c r="RLX56" s="10"/>
      <c r="RLY56" s="10"/>
      <c r="RLZ56" s="10"/>
      <c r="RMA56" s="10"/>
      <c r="RMB56" s="10"/>
      <c r="RMC56" s="10"/>
      <c r="RMD56" s="10"/>
      <c r="RME56" s="10"/>
      <c r="RMF56" s="10"/>
      <c r="RMG56" s="10"/>
      <c r="RMH56" s="10"/>
      <c r="RMI56" s="10"/>
      <c r="RMJ56" s="10"/>
      <c r="RMK56" s="10"/>
      <c r="RML56" s="10"/>
      <c r="RMM56" s="10"/>
      <c r="RMN56" s="10"/>
      <c r="RMO56" s="10"/>
      <c r="RMP56" s="10"/>
      <c r="RMQ56" s="10"/>
      <c r="RMR56" s="10"/>
      <c r="RMS56" s="10"/>
      <c r="RMT56" s="10"/>
      <c r="RMU56" s="10"/>
      <c r="RMV56" s="10"/>
      <c r="RMW56" s="10"/>
      <c r="RMX56" s="10"/>
      <c r="RMY56" s="10"/>
      <c r="RMZ56" s="10"/>
      <c r="RNA56" s="10"/>
      <c r="RNB56" s="10"/>
      <c r="RNC56" s="10"/>
      <c r="RND56" s="10"/>
      <c r="RNE56" s="10"/>
      <c r="RNF56" s="10"/>
      <c r="RNG56" s="10"/>
      <c r="RNH56" s="10"/>
      <c r="RNI56" s="10"/>
      <c r="RNJ56" s="10"/>
      <c r="RNK56" s="10"/>
      <c r="RNL56" s="10"/>
      <c r="RNM56" s="10"/>
      <c r="RNN56" s="10"/>
      <c r="RNO56" s="10"/>
      <c r="RNP56" s="10"/>
      <c r="RNQ56" s="10"/>
      <c r="RNR56" s="10"/>
      <c r="RNS56" s="10"/>
      <c r="RNT56" s="10"/>
      <c r="RNU56" s="10"/>
      <c r="RNV56" s="10"/>
      <c r="RNW56" s="10"/>
      <c r="RNX56" s="10"/>
      <c r="RNY56" s="10"/>
      <c r="RNZ56" s="10"/>
      <c r="ROA56" s="10"/>
      <c r="ROB56" s="10"/>
      <c r="ROC56" s="10"/>
      <c r="ROD56" s="10"/>
      <c r="ROE56" s="10"/>
      <c r="ROF56" s="10"/>
      <c r="ROG56" s="10"/>
      <c r="ROH56" s="10"/>
      <c r="ROI56" s="10"/>
      <c r="ROJ56" s="10"/>
      <c r="ROK56" s="10"/>
      <c r="ROL56" s="10"/>
      <c r="ROM56" s="10"/>
      <c r="RON56" s="10"/>
      <c r="ROO56" s="10"/>
      <c r="ROP56" s="10"/>
      <c r="ROQ56" s="10"/>
      <c r="ROR56" s="10"/>
      <c r="ROS56" s="10"/>
      <c r="ROT56" s="10"/>
      <c r="ROU56" s="10"/>
      <c r="ROV56" s="10"/>
      <c r="ROW56" s="10"/>
      <c r="ROX56" s="10"/>
      <c r="ROY56" s="10"/>
      <c r="ROZ56" s="10"/>
      <c r="RPA56" s="10"/>
      <c r="RPB56" s="10"/>
      <c r="RPC56" s="10"/>
      <c r="RPD56" s="10"/>
      <c r="RPE56" s="10"/>
      <c r="RPF56" s="10"/>
      <c r="RPG56" s="10"/>
      <c r="RPH56" s="10"/>
      <c r="RPI56" s="10"/>
      <c r="RPJ56" s="10"/>
      <c r="RPK56" s="10"/>
      <c r="RPL56" s="10"/>
      <c r="RPM56" s="10"/>
      <c r="RPN56" s="10"/>
      <c r="RPO56" s="10"/>
      <c r="RPP56" s="10"/>
      <c r="RPQ56" s="10"/>
      <c r="RPR56" s="10"/>
      <c r="RPS56" s="10"/>
      <c r="RPT56" s="10"/>
      <c r="RPU56" s="10"/>
      <c r="RPV56" s="10"/>
      <c r="RPW56" s="10"/>
      <c r="RPX56" s="10"/>
      <c r="RPY56" s="10"/>
      <c r="RPZ56" s="10"/>
      <c r="RQA56" s="10"/>
      <c r="RQB56" s="10"/>
      <c r="RQC56" s="10"/>
      <c r="RQD56" s="10"/>
      <c r="RQE56" s="10"/>
      <c r="RQF56" s="10"/>
      <c r="RQG56" s="10"/>
      <c r="RQH56" s="10"/>
      <c r="RQI56" s="10"/>
      <c r="RQJ56" s="10"/>
      <c r="RQK56" s="10"/>
      <c r="RQL56" s="10"/>
      <c r="RQM56" s="10"/>
      <c r="RQN56" s="10"/>
      <c r="RQO56" s="10"/>
      <c r="RQP56" s="10"/>
      <c r="RQQ56" s="10"/>
      <c r="RQR56" s="10"/>
      <c r="RQS56" s="10"/>
      <c r="RQT56" s="10"/>
      <c r="RQU56" s="10"/>
      <c r="RQV56" s="10"/>
      <c r="RQW56" s="10"/>
      <c r="RQX56" s="10"/>
      <c r="RQY56" s="10"/>
      <c r="RQZ56" s="10"/>
      <c r="RRA56" s="10"/>
      <c r="RRB56" s="10"/>
      <c r="RRC56" s="10"/>
      <c r="RRD56" s="10"/>
      <c r="RRE56" s="10"/>
      <c r="RRF56" s="10"/>
      <c r="RRG56" s="10"/>
      <c r="RRH56" s="10"/>
      <c r="RRI56" s="10"/>
      <c r="RRJ56" s="10"/>
      <c r="RRK56" s="10"/>
      <c r="RRL56" s="10"/>
      <c r="RRM56" s="10"/>
      <c r="RRN56" s="10"/>
      <c r="RRO56" s="10"/>
      <c r="RRP56" s="10"/>
      <c r="RRQ56" s="10"/>
      <c r="RRR56" s="10"/>
      <c r="RRS56" s="10"/>
      <c r="RRT56" s="10"/>
      <c r="RRU56" s="10"/>
      <c r="RRV56" s="10"/>
      <c r="RRW56" s="10"/>
      <c r="RRX56" s="10"/>
      <c r="RRY56" s="10"/>
      <c r="RRZ56" s="10"/>
      <c r="RSA56" s="10"/>
      <c r="RSB56" s="10"/>
      <c r="RSC56" s="10"/>
      <c r="RSD56" s="10"/>
      <c r="RSE56" s="10"/>
      <c r="RSF56" s="10"/>
      <c r="RSG56" s="10"/>
      <c r="RSH56" s="10"/>
      <c r="RSI56" s="10"/>
      <c r="RSJ56" s="10"/>
      <c r="RSK56" s="10"/>
      <c r="RSL56" s="10"/>
      <c r="RSM56" s="10"/>
      <c r="RSN56" s="10"/>
      <c r="RSO56" s="10"/>
      <c r="RSP56" s="10"/>
      <c r="RSQ56" s="10"/>
      <c r="RSR56" s="10"/>
      <c r="RSS56" s="10"/>
      <c r="RST56" s="10"/>
      <c r="RSU56" s="10"/>
      <c r="RSV56" s="10"/>
      <c r="RSW56" s="10"/>
      <c r="RSX56" s="10"/>
      <c r="RSY56" s="10"/>
      <c r="RSZ56" s="10"/>
      <c r="RTA56" s="10"/>
      <c r="RTB56" s="10"/>
      <c r="RTC56" s="10"/>
      <c r="RTD56" s="10"/>
      <c r="RTE56" s="10"/>
      <c r="RTF56" s="10"/>
      <c r="RTG56" s="10"/>
      <c r="RTH56" s="10"/>
      <c r="RTI56" s="10"/>
      <c r="RTJ56" s="10"/>
      <c r="RTK56" s="10"/>
      <c r="RTL56" s="10"/>
      <c r="RTM56" s="10"/>
      <c r="RTN56" s="10"/>
      <c r="RTO56" s="10"/>
      <c r="RTP56" s="10"/>
      <c r="RTQ56" s="10"/>
      <c r="RTR56" s="10"/>
      <c r="RTS56" s="10"/>
      <c r="RTT56" s="10"/>
      <c r="RTU56" s="10"/>
      <c r="RTV56" s="10"/>
      <c r="RTW56" s="10"/>
      <c r="RTX56" s="10"/>
      <c r="RTY56" s="10"/>
      <c r="RTZ56" s="10"/>
      <c r="RUA56" s="10"/>
      <c r="RUB56" s="10"/>
      <c r="RUC56" s="10"/>
      <c r="RUD56" s="10"/>
      <c r="RUE56" s="10"/>
      <c r="RUF56" s="10"/>
      <c r="RUG56" s="10"/>
      <c r="RUH56" s="10"/>
      <c r="RUI56" s="10"/>
      <c r="RUJ56" s="10"/>
      <c r="RUK56" s="10"/>
      <c r="RUL56" s="10"/>
      <c r="RUM56" s="10"/>
      <c r="RUN56" s="10"/>
      <c r="RUO56" s="10"/>
      <c r="RUP56" s="10"/>
      <c r="RUQ56" s="10"/>
      <c r="RUR56" s="10"/>
      <c r="RUS56" s="10"/>
      <c r="RUT56" s="10"/>
      <c r="RUU56" s="10"/>
      <c r="RUV56" s="10"/>
      <c r="RUW56" s="10"/>
      <c r="RUX56" s="10"/>
      <c r="RUY56" s="10"/>
      <c r="RUZ56" s="10"/>
      <c r="RVA56" s="10"/>
      <c r="RVB56" s="10"/>
      <c r="RVC56" s="10"/>
      <c r="RVD56" s="10"/>
      <c r="RVE56" s="10"/>
      <c r="RVF56" s="10"/>
      <c r="RVG56" s="10"/>
      <c r="RVH56" s="10"/>
      <c r="RVI56" s="10"/>
      <c r="RVJ56" s="10"/>
      <c r="RVK56" s="10"/>
      <c r="RVL56" s="10"/>
      <c r="RVM56" s="10"/>
      <c r="RVN56" s="10"/>
      <c r="RVO56" s="10"/>
      <c r="RVP56" s="10"/>
      <c r="RVQ56" s="10"/>
      <c r="RVR56" s="10"/>
      <c r="RVS56" s="10"/>
      <c r="RVT56" s="10"/>
      <c r="RVU56" s="10"/>
      <c r="RVV56" s="10"/>
      <c r="RVW56" s="10"/>
      <c r="RVX56" s="10"/>
      <c r="RVY56" s="10"/>
      <c r="RVZ56" s="10"/>
      <c r="RWA56" s="10"/>
      <c r="RWB56" s="10"/>
      <c r="RWC56" s="10"/>
      <c r="RWD56" s="10"/>
      <c r="RWE56" s="10"/>
      <c r="RWF56" s="10"/>
      <c r="RWG56" s="10"/>
      <c r="RWH56" s="10"/>
      <c r="RWI56" s="10"/>
      <c r="RWJ56" s="10"/>
      <c r="RWK56" s="10"/>
      <c r="RWL56" s="10"/>
      <c r="RWM56" s="10"/>
      <c r="RWN56" s="10"/>
      <c r="RWO56" s="10"/>
      <c r="RWP56" s="10"/>
      <c r="RWQ56" s="10"/>
      <c r="RWR56" s="10"/>
      <c r="RWS56" s="10"/>
      <c r="RWT56" s="10"/>
      <c r="RWU56" s="10"/>
      <c r="RWV56" s="10"/>
      <c r="RWW56" s="10"/>
      <c r="RWX56" s="10"/>
      <c r="RWY56" s="10"/>
      <c r="RWZ56" s="10"/>
      <c r="RXA56" s="10"/>
      <c r="RXB56" s="10"/>
      <c r="RXC56" s="10"/>
      <c r="RXD56" s="10"/>
      <c r="RXE56" s="10"/>
      <c r="RXF56" s="10"/>
      <c r="RXG56" s="10"/>
      <c r="RXH56" s="10"/>
      <c r="RXI56" s="10"/>
      <c r="RXJ56" s="10"/>
      <c r="RXK56" s="10"/>
      <c r="RXL56" s="10"/>
      <c r="RXM56" s="10"/>
      <c r="RXN56" s="10"/>
      <c r="RXO56" s="10"/>
      <c r="RXP56" s="10"/>
      <c r="RXQ56" s="10"/>
      <c r="RXR56" s="10"/>
      <c r="RXS56" s="10"/>
      <c r="RXT56" s="10"/>
      <c r="RXU56" s="10"/>
      <c r="RXV56" s="10"/>
      <c r="RXW56" s="10"/>
      <c r="RXX56" s="10"/>
      <c r="RXY56" s="10"/>
      <c r="RXZ56" s="10"/>
      <c r="RYA56" s="10"/>
      <c r="RYB56" s="10"/>
      <c r="RYC56" s="10"/>
      <c r="RYD56" s="10"/>
      <c r="RYE56" s="10"/>
      <c r="RYF56" s="10"/>
      <c r="RYG56" s="10"/>
      <c r="RYH56" s="10"/>
      <c r="RYI56" s="10"/>
      <c r="RYJ56" s="10"/>
      <c r="RYK56" s="10"/>
      <c r="RYL56" s="10"/>
      <c r="RYM56" s="10"/>
      <c r="RYN56" s="10"/>
      <c r="RYO56" s="10"/>
      <c r="RYP56" s="10"/>
      <c r="RYQ56" s="10"/>
      <c r="RYR56" s="10"/>
      <c r="RYS56" s="10"/>
      <c r="RYT56" s="10"/>
      <c r="RYU56" s="10"/>
      <c r="RYV56" s="10"/>
      <c r="RYW56" s="10"/>
      <c r="RYX56" s="10"/>
      <c r="RYY56" s="10"/>
      <c r="RYZ56" s="10"/>
      <c r="RZA56" s="10"/>
      <c r="RZB56" s="10"/>
      <c r="RZC56" s="10"/>
      <c r="RZD56" s="10"/>
      <c r="RZE56" s="10"/>
      <c r="RZF56" s="10"/>
      <c r="RZG56" s="10"/>
      <c r="RZH56" s="10"/>
      <c r="RZI56" s="10"/>
      <c r="RZJ56" s="10"/>
      <c r="RZK56" s="10"/>
      <c r="RZL56" s="10"/>
      <c r="RZM56" s="10"/>
      <c r="RZN56" s="10"/>
      <c r="RZO56" s="10"/>
      <c r="RZP56" s="10"/>
      <c r="RZQ56" s="10"/>
      <c r="RZR56" s="10"/>
      <c r="RZS56" s="10"/>
      <c r="RZT56" s="10"/>
      <c r="RZU56" s="10"/>
      <c r="RZV56" s="10"/>
      <c r="RZW56" s="10"/>
      <c r="RZX56" s="10"/>
      <c r="RZY56" s="10"/>
      <c r="RZZ56" s="10"/>
      <c r="SAA56" s="10"/>
      <c r="SAB56" s="10"/>
      <c r="SAC56" s="10"/>
      <c r="SAD56" s="10"/>
      <c r="SAE56" s="10"/>
      <c r="SAF56" s="10"/>
      <c r="SAG56" s="10"/>
      <c r="SAH56" s="10"/>
      <c r="SAI56" s="10"/>
      <c r="SAJ56" s="10"/>
      <c r="SAK56" s="10"/>
      <c r="SAL56" s="10"/>
      <c r="SAM56" s="10"/>
      <c r="SAN56" s="10"/>
      <c r="SAO56" s="10"/>
      <c r="SAP56" s="10"/>
      <c r="SAQ56" s="10"/>
      <c r="SAR56" s="10"/>
      <c r="SAS56" s="10"/>
      <c r="SAT56" s="10"/>
      <c r="SAU56" s="10"/>
      <c r="SAV56" s="10"/>
      <c r="SAW56" s="10"/>
      <c r="SAX56" s="10"/>
      <c r="SAY56" s="10"/>
      <c r="SAZ56" s="10"/>
      <c r="SBA56" s="10"/>
      <c r="SBB56" s="10"/>
      <c r="SBC56" s="10"/>
      <c r="SBD56" s="10"/>
      <c r="SBE56" s="10"/>
      <c r="SBF56" s="10"/>
      <c r="SBG56" s="10"/>
      <c r="SBH56" s="10"/>
      <c r="SBI56" s="10"/>
      <c r="SBJ56" s="10"/>
      <c r="SBK56" s="10"/>
      <c r="SBL56" s="10"/>
      <c r="SBM56" s="10"/>
      <c r="SBN56" s="10"/>
      <c r="SBO56" s="10"/>
      <c r="SBP56" s="10"/>
      <c r="SBQ56" s="10"/>
      <c r="SBR56" s="10"/>
      <c r="SBS56" s="10"/>
      <c r="SBT56" s="10"/>
      <c r="SBU56" s="10"/>
      <c r="SBV56" s="10"/>
      <c r="SBW56" s="10"/>
      <c r="SBX56" s="10"/>
      <c r="SBY56" s="10"/>
      <c r="SBZ56" s="10"/>
      <c r="SCA56" s="10"/>
      <c r="SCB56" s="10"/>
      <c r="SCC56" s="10"/>
      <c r="SCD56" s="10"/>
      <c r="SCE56" s="10"/>
      <c r="SCF56" s="10"/>
      <c r="SCG56" s="10"/>
      <c r="SCH56" s="10"/>
      <c r="SCI56" s="10"/>
      <c r="SCJ56" s="10"/>
      <c r="SCK56" s="10"/>
      <c r="SCL56" s="10"/>
      <c r="SCM56" s="10"/>
      <c r="SCN56" s="10"/>
      <c r="SCO56" s="10"/>
      <c r="SCP56" s="10"/>
      <c r="SCQ56" s="10"/>
      <c r="SCR56" s="10"/>
      <c r="SCS56" s="10"/>
      <c r="SCT56" s="10"/>
      <c r="SCU56" s="10"/>
      <c r="SCV56" s="10"/>
      <c r="SCW56" s="10"/>
      <c r="SCX56" s="10"/>
      <c r="SCY56" s="10"/>
      <c r="SCZ56" s="10"/>
      <c r="SDA56" s="10"/>
      <c r="SDB56" s="10"/>
      <c r="SDC56" s="10"/>
      <c r="SDD56" s="10"/>
      <c r="SDE56" s="10"/>
      <c r="SDF56" s="10"/>
      <c r="SDG56" s="10"/>
      <c r="SDH56" s="10"/>
      <c r="SDI56" s="10"/>
      <c r="SDJ56" s="10"/>
      <c r="SDK56" s="10"/>
      <c r="SDL56" s="10"/>
      <c r="SDM56" s="10"/>
      <c r="SDN56" s="10"/>
      <c r="SDO56" s="10"/>
      <c r="SDP56" s="10"/>
      <c r="SDQ56" s="10"/>
      <c r="SDR56" s="10"/>
      <c r="SDS56" s="10"/>
      <c r="SDT56" s="10"/>
      <c r="SDU56" s="10"/>
      <c r="SDV56" s="10"/>
      <c r="SDW56" s="10"/>
      <c r="SDX56" s="10"/>
      <c r="SDY56" s="10"/>
      <c r="SDZ56" s="10"/>
      <c r="SEA56" s="10"/>
      <c r="SEB56" s="10"/>
      <c r="SEC56" s="10"/>
      <c r="SED56" s="10"/>
      <c r="SEE56" s="10"/>
      <c r="SEF56" s="10"/>
      <c r="SEG56" s="10"/>
      <c r="SEH56" s="10"/>
      <c r="SEI56" s="10"/>
      <c r="SEJ56" s="10"/>
      <c r="SEK56" s="10"/>
      <c r="SEL56" s="10"/>
      <c r="SEM56" s="10"/>
      <c r="SEN56" s="10"/>
      <c r="SEO56" s="10"/>
      <c r="SEP56" s="10"/>
      <c r="SEQ56" s="10"/>
      <c r="SER56" s="10"/>
      <c r="SES56" s="10"/>
      <c r="SET56" s="10"/>
      <c r="SEU56" s="10"/>
      <c r="SEV56" s="10"/>
      <c r="SEW56" s="10"/>
      <c r="SEX56" s="10"/>
      <c r="SEY56" s="10"/>
      <c r="SEZ56" s="10"/>
      <c r="SFA56" s="10"/>
      <c r="SFB56" s="10"/>
      <c r="SFC56" s="10"/>
      <c r="SFD56" s="10"/>
      <c r="SFE56" s="10"/>
      <c r="SFF56" s="10"/>
      <c r="SFG56" s="10"/>
      <c r="SFH56" s="10"/>
      <c r="SFI56" s="10"/>
      <c r="SFJ56" s="10"/>
      <c r="SFK56" s="10"/>
      <c r="SFL56" s="10"/>
      <c r="SFM56" s="10"/>
      <c r="SFN56" s="10"/>
      <c r="SFO56" s="10"/>
      <c r="SFP56" s="10"/>
      <c r="SFQ56" s="10"/>
      <c r="SFR56" s="10"/>
      <c r="SFS56" s="10"/>
      <c r="SFT56" s="10"/>
      <c r="SFU56" s="10"/>
      <c r="SFV56" s="10"/>
      <c r="SFW56" s="10"/>
      <c r="SFX56" s="10"/>
      <c r="SFY56" s="10"/>
      <c r="SFZ56" s="10"/>
      <c r="SGA56" s="10"/>
      <c r="SGB56" s="10"/>
      <c r="SGC56" s="10"/>
      <c r="SGD56" s="10"/>
      <c r="SGE56" s="10"/>
      <c r="SGF56" s="10"/>
      <c r="SGG56" s="10"/>
      <c r="SGH56" s="10"/>
      <c r="SGI56" s="10"/>
      <c r="SGJ56" s="10"/>
      <c r="SGK56" s="10"/>
      <c r="SGL56" s="10"/>
      <c r="SGM56" s="10"/>
      <c r="SGN56" s="10"/>
      <c r="SGO56" s="10"/>
      <c r="SGP56" s="10"/>
      <c r="SGQ56" s="10"/>
      <c r="SGR56" s="10"/>
      <c r="SGS56" s="10"/>
      <c r="SGT56" s="10"/>
      <c r="SGU56" s="10"/>
      <c r="SGV56" s="10"/>
      <c r="SGW56" s="10"/>
      <c r="SGX56" s="10"/>
      <c r="SGY56" s="10"/>
      <c r="SGZ56" s="10"/>
      <c r="SHA56" s="10"/>
      <c r="SHB56" s="10"/>
      <c r="SHC56" s="10"/>
      <c r="SHD56" s="10"/>
      <c r="SHE56" s="10"/>
      <c r="SHF56" s="10"/>
      <c r="SHG56" s="10"/>
      <c r="SHH56" s="10"/>
      <c r="SHI56" s="10"/>
      <c r="SHJ56" s="10"/>
      <c r="SHK56" s="10"/>
      <c r="SHL56" s="10"/>
      <c r="SHM56" s="10"/>
      <c r="SHN56" s="10"/>
      <c r="SHO56" s="10"/>
      <c r="SHP56" s="10"/>
      <c r="SHQ56" s="10"/>
      <c r="SHR56" s="10"/>
      <c r="SHS56" s="10"/>
      <c r="SHT56" s="10"/>
      <c r="SHU56" s="10"/>
      <c r="SHV56" s="10"/>
      <c r="SHW56" s="10"/>
      <c r="SHX56" s="10"/>
      <c r="SHY56" s="10"/>
      <c r="SHZ56" s="10"/>
      <c r="SIA56" s="10"/>
      <c r="SIB56" s="10"/>
      <c r="SIC56" s="10"/>
      <c r="SID56" s="10"/>
      <c r="SIE56" s="10"/>
      <c r="SIF56" s="10"/>
      <c r="SIG56" s="10"/>
      <c r="SIH56" s="10"/>
      <c r="SII56" s="10"/>
      <c r="SIJ56" s="10"/>
      <c r="SIK56" s="10"/>
      <c r="SIL56" s="10"/>
      <c r="SIM56" s="10"/>
      <c r="SIN56" s="10"/>
      <c r="SIO56" s="10"/>
      <c r="SIP56" s="10"/>
      <c r="SIQ56" s="10"/>
      <c r="SIR56" s="10"/>
      <c r="SIS56" s="10"/>
      <c r="SIT56" s="10"/>
      <c r="SIU56" s="10"/>
      <c r="SIV56" s="10"/>
      <c r="SIW56" s="10"/>
      <c r="SIX56" s="10"/>
      <c r="SIY56" s="10"/>
      <c r="SIZ56" s="10"/>
      <c r="SJA56" s="10"/>
      <c r="SJB56" s="10"/>
      <c r="SJC56" s="10"/>
      <c r="SJD56" s="10"/>
      <c r="SJE56" s="10"/>
      <c r="SJF56" s="10"/>
      <c r="SJG56" s="10"/>
      <c r="SJH56" s="10"/>
      <c r="SJI56" s="10"/>
      <c r="SJJ56" s="10"/>
      <c r="SJK56" s="10"/>
      <c r="SJL56" s="10"/>
      <c r="SJM56" s="10"/>
      <c r="SJN56" s="10"/>
      <c r="SJO56" s="10"/>
      <c r="SJP56" s="10"/>
      <c r="SJQ56" s="10"/>
      <c r="SJR56" s="10"/>
      <c r="SJS56" s="10"/>
      <c r="SJT56" s="10"/>
      <c r="SJU56" s="10"/>
      <c r="SJV56" s="10"/>
      <c r="SJW56" s="10"/>
      <c r="SJX56" s="10"/>
      <c r="SJY56" s="10"/>
      <c r="SJZ56" s="10"/>
      <c r="SKA56" s="10"/>
      <c r="SKB56" s="10"/>
      <c r="SKC56" s="10"/>
      <c r="SKD56" s="10"/>
      <c r="SKE56" s="10"/>
      <c r="SKF56" s="10"/>
      <c r="SKG56" s="10"/>
      <c r="SKH56" s="10"/>
      <c r="SKI56" s="10"/>
      <c r="SKJ56" s="10"/>
      <c r="SKK56" s="10"/>
      <c r="SKL56" s="10"/>
      <c r="SKM56" s="10"/>
      <c r="SKN56" s="10"/>
      <c r="SKO56" s="10"/>
      <c r="SKP56" s="10"/>
      <c r="SKQ56" s="10"/>
      <c r="SKR56" s="10"/>
      <c r="SKS56" s="10"/>
      <c r="SKT56" s="10"/>
      <c r="SKU56" s="10"/>
      <c r="SKV56" s="10"/>
      <c r="SKW56" s="10"/>
      <c r="SKX56" s="10"/>
      <c r="SKY56" s="10"/>
      <c r="SKZ56" s="10"/>
      <c r="SLA56" s="10"/>
      <c r="SLB56" s="10"/>
      <c r="SLC56" s="10"/>
      <c r="SLD56" s="10"/>
      <c r="SLE56" s="10"/>
      <c r="SLF56" s="10"/>
      <c r="SLG56" s="10"/>
      <c r="SLH56" s="10"/>
      <c r="SLI56" s="10"/>
      <c r="SLJ56" s="10"/>
      <c r="SLK56" s="10"/>
      <c r="SLL56" s="10"/>
      <c r="SLM56" s="10"/>
      <c r="SLN56" s="10"/>
      <c r="SLO56" s="10"/>
      <c r="SLP56" s="10"/>
      <c r="SLQ56" s="10"/>
      <c r="SLR56" s="10"/>
      <c r="SLS56" s="10"/>
      <c r="SLT56" s="10"/>
      <c r="SLU56" s="10"/>
      <c r="SLV56" s="10"/>
      <c r="SLW56" s="10"/>
      <c r="SLX56" s="10"/>
      <c r="SLY56" s="10"/>
      <c r="SLZ56" s="10"/>
      <c r="SMA56" s="10"/>
      <c r="SMB56" s="10"/>
      <c r="SMC56" s="10"/>
      <c r="SMD56" s="10"/>
      <c r="SME56" s="10"/>
      <c r="SMF56" s="10"/>
      <c r="SMG56" s="10"/>
      <c r="SMH56" s="10"/>
      <c r="SMI56" s="10"/>
      <c r="SMJ56" s="10"/>
      <c r="SMK56" s="10"/>
      <c r="SML56" s="10"/>
      <c r="SMM56" s="10"/>
      <c r="SMN56" s="10"/>
      <c r="SMO56" s="10"/>
      <c r="SMP56" s="10"/>
      <c r="SMQ56" s="10"/>
      <c r="SMR56" s="10"/>
      <c r="SMS56" s="10"/>
      <c r="SMT56" s="10"/>
      <c r="SMU56" s="10"/>
      <c r="SMV56" s="10"/>
      <c r="SMW56" s="10"/>
      <c r="SMX56" s="10"/>
      <c r="SMY56" s="10"/>
      <c r="SMZ56" s="10"/>
      <c r="SNA56" s="10"/>
      <c r="SNB56" s="10"/>
      <c r="SNC56" s="10"/>
      <c r="SND56" s="10"/>
      <c r="SNE56" s="10"/>
      <c r="SNF56" s="10"/>
      <c r="SNG56" s="10"/>
      <c r="SNH56" s="10"/>
      <c r="SNI56" s="10"/>
      <c r="SNJ56" s="10"/>
      <c r="SNK56" s="10"/>
      <c r="SNL56" s="10"/>
      <c r="SNM56" s="10"/>
      <c r="SNN56" s="10"/>
      <c r="SNO56" s="10"/>
      <c r="SNP56" s="10"/>
      <c r="SNQ56" s="10"/>
      <c r="SNR56" s="10"/>
      <c r="SNS56" s="10"/>
      <c r="SNT56" s="10"/>
      <c r="SNU56" s="10"/>
      <c r="SNV56" s="10"/>
      <c r="SNW56" s="10"/>
      <c r="SNX56" s="10"/>
      <c r="SNY56" s="10"/>
      <c r="SNZ56" s="10"/>
      <c r="SOA56" s="10"/>
      <c r="SOB56" s="10"/>
      <c r="SOC56" s="10"/>
      <c r="SOD56" s="10"/>
      <c r="SOE56" s="10"/>
      <c r="SOF56" s="10"/>
      <c r="SOG56" s="10"/>
      <c r="SOH56" s="10"/>
      <c r="SOI56" s="10"/>
      <c r="SOJ56" s="10"/>
      <c r="SOK56" s="10"/>
      <c r="SOL56" s="10"/>
      <c r="SOM56" s="10"/>
      <c r="SON56" s="10"/>
      <c r="SOO56" s="10"/>
      <c r="SOP56" s="10"/>
      <c r="SOQ56" s="10"/>
      <c r="SOR56" s="10"/>
      <c r="SOS56" s="10"/>
      <c r="SOT56" s="10"/>
      <c r="SOU56" s="10"/>
      <c r="SOV56" s="10"/>
      <c r="SOW56" s="10"/>
      <c r="SOX56" s="10"/>
      <c r="SOY56" s="10"/>
      <c r="SOZ56" s="10"/>
      <c r="SPA56" s="10"/>
      <c r="SPB56" s="10"/>
      <c r="SPC56" s="10"/>
      <c r="SPD56" s="10"/>
      <c r="SPE56" s="10"/>
      <c r="SPF56" s="10"/>
      <c r="SPG56" s="10"/>
      <c r="SPH56" s="10"/>
      <c r="SPI56" s="10"/>
      <c r="SPJ56" s="10"/>
      <c r="SPK56" s="10"/>
      <c r="SPL56" s="10"/>
      <c r="SPM56" s="10"/>
      <c r="SPN56" s="10"/>
      <c r="SPO56" s="10"/>
      <c r="SPP56" s="10"/>
      <c r="SPQ56" s="10"/>
      <c r="SPR56" s="10"/>
      <c r="SPS56" s="10"/>
      <c r="SPT56" s="10"/>
      <c r="SPU56" s="10"/>
      <c r="SPV56" s="10"/>
      <c r="SPW56" s="10"/>
      <c r="SPX56" s="10"/>
      <c r="SPY56" s="10"/>
      <c r="SPZ56" s="10"/>
      <c r="SQA56" s="10"/>
      <c r="SQB56" s="10"/>
      <c r="SQC56" s="10"/>
      <c r="SQD56" s="10"/>
      <c r="SQE56" s="10"/>
      <c r="SQF56" s="10"/>
      <c r="SQG56" s="10"/>
      <c r="SQH56" s="10"/>
      <c r="SQI56" s="10"/>
      <c r="SQJ56" s="10"/>
      <c r="SQK56" s="10"/>
      <c r="SQL56" s="10"/>
      <c r="SQM56" s="10"/>
      <c r="SQN56" s="10"/>
      <c r="SQO56" s="10"/>
      <c r="SQP56" s="10"/>
      <c r="SQQ56" s="10"/>
      <c r="SQR56" s="10"/>
      <c r="SQS56" s="10"/>
      <c r="SQT56" s="10"/>
      <c r="SQU56" s="10"/>
      <c r="SQV56" s="10"/>
      <c r="SQW56" s="10"/>
      <c r="SQX56" s="10"/>
      <c r="SQY56" s="10"/>
      <c r="SQZ56" s="10"/>
      <c r="SRA56" s="10"/>
      <c r="SRB56" s="10"/>
      <c r="SRC56" s="10"/>
      <c r="SRD56" s="10"/>
      <c r="SRE56" s="10"/>
      <c r="SRF56" s="10"/>
      <c r="SRG56" s="10"/>
      <c r="SRH56" s="10"/>
      <c r="SRI56" s="10"/>
      <c r="SRJ56" s="10"/>
      <c r="SRK56" s="10"/>
      <c r="SRL56" s="10"/>
      <c r="SRM56" s="10"/>
      <c r="SRN56" s="10"/>
      <c r="SRO56" s="10"/>
      <c r="SRP56" s="10"/>
      <c r="SRQ56" s="10"/>
      <c r="SRR56" s="10"/>
      <c r="SRS56" s="10"/>
      <c r="SRT56" s="10"/>
      <c r="SRU56" s="10"/>
      <c r="SRV56" s="10"/>
      <c r="SRW56" s="10"/>
      <c r="SRX56" s="10"/>
      <c r="SRY56" s="10"/>
      <c r="SRZ56" s="10"/>
      <c r="SSA56" s="10"/>
      <c r="SSB56" s="10"/>
      <c r="SSC56" s="10"/>
      <c r="SSD56" s="10"/>
      <c r="SSE56" s="10"/>
      <c r="SSF56" s="10"/>
      <c r="SSG56" s="10"/>
      <c r="SSH56" s="10"/>
      <c r="SSI56" s="10"/>
      <c r="SSJ56" s="10"/>
      <c r="SSK56" s="10"/>
      <c r="SSL56" s="10"/>
      <c r="SSM56" s="10"/>
      <c r="SSN56" s="10"/>
      <c r="SSO56" s="10"/>
      <c r="SSP56" s="10"/>
      <c r="SSQ56" s="10"/>
      <c r="SSR56" s="10"/>
      <c r="SSS56" s="10"/>
      <c r="SST56" s="10"/>
      <c r="SSU56" s="10"/>
      <c r="SSV56" s="10"/>
      <c r="SSW56" s="10"/>
      <c r="SSX56" s="10"/>
      <c r="SSY56" s="10"/>
      <c r="SSZ56" s="10"/>
      <c r="STA56" s="10"/>
      <c r="STB56" s="10"/>
      <c r="STC56" s="10"/>
      <c r="STD56" s="10"/>
      <c r="STE56" s="10"/>
      <c r="STF56" s="10"/>
      <c r="STG56" s="10"/>
      <c r="STH56" s="10"/>
      <c r="STI56" s="10"/>
      <c r="STJ56" s="10"/>
      <c r="STK56" s="10"/>
      <c r="STL56" s="10"/>
      <c r="STM56" s="10"/>
      <c r="STN56" s="10"/>
      <c r="STO56" s="10"/>
      <c r="STP56" s="10"/>
      <c r="STQ56" s="10"/>
      <c r="STR56" s="10"/>
      <c r="STS56" s="10"/>
      <c r="STT56" s="10"/>
      <c r="STU56" s="10"/>
      <c r="STV56" s="10"/>
      <c r="STW56" s="10"/>
      <c r="STX56" s="10"/>
      <c r="STY56" s="10"/>
      <c r="STZ56" s="10"/>
      <c r="SUA56" s="10"/>
      <c r="SUB56" s="10"/>
      <c r="SUC56" s="10"/>
      <c r="SUD56" s="10"/>
      <c r="SUE56" s="10"/>
      <c r="SUF56" s="10"/>
      <c r="SUG56" s="10"/>
      <c r="SUH56" s="10"/>
      <c r="SUI56" s="10"/>
      <c r="SUJ56" s="10"/>
      <c r="SUK56" s="10"/>
      <c r="SUL56" s="10"/>
      <c r="SUM56" s="10"/>
      <c r="SUN56" s="10"/>
      <c r="SUO56" s="10"/>
      <c r="SUP56" s="10"/>
      <c r="SUQ56" s="10"/>
      <c r="SUR56" s="10"/>
      <c r="SUS56" s="10"/>
      <c r="SUT56" s="10"/>
      <c r="SUU56" s="10"/>
      <c r="SUV56" s="10"/>
      <c r="SUW56" s="10"/>
      <c r="SUX56" s="10"/>
      <c r="SUY56" s="10"/>
      <c r="SUZ56" s="10"/>
      <c r="SVA56" s="10"/>
      <c r="SVB56" s="10"/>
      <c r="SVC56" s="10"/>
      <c r="SVD56" s="10"/>
      <c r="SVE56" s="10"/>
      <c r="SVF56" s="10"/>
      <c r="SVG56" s="10"/>
      <c r="SVH56" s="10"/>
      <c r="SVI56" s="10"/>
      <c r="SVJ56" s="10"/>
      <c r="SVK56" s="10"/>
      <c r="SVL56" s="10"/>
      <c r="SVM56" s="10"/>
      <c r="SVN56" s="10"/>
      <c r="SVO56" s="10"/>
      <c r="SVP56" s="10"/>
      <c r="SVQ56" s="10"/>
      <c r="SVR56" s="10"/>
      <c r="SVS56" s="10"/>
      <c r="SVT56" s="10"/>
      <c r="SVU56" s="10"/>
      <c r="SVV56" s="10"/>
      <c r="SVW56" s="10"/>
      <c r="SVX56" s="10"/>
      <c r="SVY56" s="10"/>
      <c r="SVZ56" s="10"/>
      <c r="SWA56" s="10"/>
      <c r="SWB56" s="10"/>
      <c r="SWC56" s="10"/>
      <c r="SWD56" s="10"/>
      <c r="SWE56" s="10"/>
      <c r="SWF56" s="10"/>
      <c r="SWG56" s="10"/>
      <c r="SWH56" s="10"/>
      <c r="SWI56" s="10"/>
      <c r="SWJ56" s="10"/>
      <c r="SWK56" s="10"/>
      <c r="SWL56" s="10"/>
      <c r="SWM56" s="10"/>
      <c r="SWN56" s="10"/>
      <c r="SWO56" s="10"/>
      <c r="SWP56" s="10"/>
      <c r="SWQ56" s="10"/>
      <c r="SWR56" s="10"/>
      <c r="SWS56" s="10"/>
      <c r="SWT56" s="10"/>
      <c r="SWU56" s="10"/>
      <c r="SWV56" s="10"/>
      <c r="SWW56" s="10"/>
      <c r="SWX56" s="10"/>
      <c r="SWY56" s="10"/>
      <c r="SWZ56" s="10"/>
      <c r="SXA56" s="10"/>
      <c r="SXB56" s="10"/>
      <c r="SXC56" s="10"/>
      <c r="SXD56" s="10"/>
      <c r="SXE56" s="10"/>
      <c r="SXF56" s="10"/>
      <c r="SXG56" s="10"/>
      <c r="SXH56" s="10"/>
      <c r="SXI56" s="10"/>
      <c r="SXJ56" s="10"/>
      <c r="SXK56" s="10"/>
      <c r="SXL56" s="10"/>
      <c r="SXM56" s="10"/>
      <c r="SXN56" s="10"/>
      <c r="SXO56" s="10"/>
      <c r="SXP56" s="10"/>
      <c r="SXQ56" s="10"/>
      <c r="SXR56" s="10"/>
      <c r="SXS56" s="10"/>
      <c r="SXT56" s="10"/>
      <c r="SXU56" s="10"/>
      <c r="SXV56" s="10"/>
      <c r="SXW56" s="10"/>
      <c r="SXX56" s="10"/>
      <c r="SXY56" s="10"/>
      <c r="SXZ56" s="10"/>
      <c r="SYA56" s="10"/>
      <c r="SYB56" s="10"/>
      <c r="SYC56" s="10"/>
      <c r="SYD56" s="10"/>
      <c r="SYE56" s="10"/>
      <c r="SYF56" s="10"/>
      <c r="SYG56" s="10"/>
      <c r="SYH56" s="10"/>
      <c r="SYI56" s="10"/>
      <c r="SYJ56" s="10"/>
      <c r="SYK56" s="10"/>
      <c r="SYL56" s="10"/>
      <c r="SYM56" s="10"/>
      <c r="SYN56" s="10"/>
      <c r="SYO56" s="10"/>
      <c r="SYP56" s="10"/>
      <c r="SYQ56" s="10"/>
      <c r="SYR56" s="10"/>
      <c r="SYS56" s="10"/>
      <c r="SYT56" s="10"/>
      <c r="SYU56" s="10"/>
      <c r="SYV56" s="10"/>
      <c r="SYW56" s="10"/>
      <c r="SYX56" s="10"/>
      <c r="SYY56" s="10"/>
      <c r="SYZ56" s="10"/>
      <c r="SZA56" s="10"/>
      <c r="SZB56" s="10"/>
      <c r="SZC56" s="10"/>
      <c r="SZD56" s="10"/>
      <c r="SZE56" s="10"/>
      <c r="SZF56" s="10"/>
      <c r="SZG56" s="10"/>
      <c r="SZH56" s="10"/>
      <c r="SZI56" s="10"/>
      <c r="SZJ56" s="10"/>
      <c r="SZK56" s="10"/>
      <c r="SZL56" s="10"/>
      <c r="SZM56" s="10"/>
      <c r="SZN56" s="10"/>
      <c r="SZO56" s="10"/>
      <c r="SZP56" s="10"/>
      <c r="SZQ56" s="10"/>
      <c r="SZR56" s="10"/>
      <c r="SZS56" s="10"/>
      <c r="SZT56" s="10"/>
      <c r="SZU56" s="10"/>
      <c r="SZV56" s="10"/>
      <c r="SZW56" s="10"/>
      <c r="SZX56" s="10"/>
      <c r="SZY56" s="10"/>
      <c r="SZZ56" s="10"/>
      <c r="TAA56" s="10"/>
      <c r="TAB56" s="10"/>
      <c r="TAC56" s="10"/>
      <c r="TAD56" s="10"/>
      <c r="TAE56" s="10"/>
      <c r="TAF56" s="10"/>
      <c r="TAG56" s="10"/>
      <c r="TAH56" s="10"/>
      <c r="TAI56" s="10"/>
      <c r="TAJ56" s="10"/>
      <c r="TAK56" s="10"/>
      <c r="TAL56" s="10"/>
      <c r="TAM56" s="10"/>
      <c r="TAN56" s="10"/>
      <c r="TAO56" s="10"/>
      <c r="TAP56" s="10"/>
      <c r="TAQ56" s="10"/>
      <c r="TAR56" s="10"/>
      <c r="TAS56" s="10"/>
      <c r="TAT56" s="10"/>
      <c r="TAU56" s="10"/>
      <c r="TAV56" s="10"/>
      <c r="TAW56" s="10"/>
      <c r="TAX56" s="10"/>
      <c r="TAY56" s="10"/>
      <c r="TAZ56" s="10"/>
      <c r="TBA56" s="10"/>
      <c r="TBB56" s="10"/>
      <c r="TBC56" s="10"/>
      <c r="TBD56" s="10"/>
      <c r="TBE56" s="10"/>
      <c r="TBF56" s="10"/>
      <c r="TBG56" s="10"/>
      <c r="TBH56" s="10"/>
      <c r="TBI56" s="10"/>
      <c r="TBJ56" s="10"/>
      <c r="TBK56" s="10"/>
      <c r="TBL56" s="10"/>
      <c r="TBM56" s="10"/>
      <c r="TBN56" s="10"/>
      <c r="TBO56" s="10"/>
      <c r="TBP56" s="10"/>
      <c r="TBQ56" s="10"/>
      <c r="TBR56" s="10"/>
      <c r="TBS56" s="10"/>
      <c r="TBT56" s="10"/>
      <c r="TBU56" s="10"/>
      <c r="TBV56" s="10"/>
      <c r="TBW56" s="10"/>
      <c r="TBX56" s="10"/>
      <c r="TBY56" s="10"/>
      <c r="TBZ56" s="10"/>
      <c r="TCA56" s="10"/>
      <c r="TCB56" s="10"/>
      <c r="TCC56" s="10"/>
      <c r="TCD56" s="10"/>
      <c r="TCE56" s="10"/>
      <c r="TCF56" s="10"/>
      <c r="TCG56" s="10"/>
      <c r="TCH56" s="10"/>
      <c r="TCI56" s="10"/>
      <c r="TCJ56" s="10"/>
      <c r="TCK56" s="10"/>
      <c r="TCL56" s="10"/>
      <c r="TCM56" s="10"/>
      <c r="TCN56" s="10"/>
      <c r="TCO56" s="10"/>
      <c r="TCP56" s="10"/>
      <c r="TCQ56" s="10"/>
      <c r="TCR56" s="10"/>
      <c r="TCS56" s="10"/>
      <c r="TCT56" s="10"/>
      <c r="TCU56" s="10"/>
      <c r="TCV56" s="10"/>
      <c r="TCW56" s="10"/>
      <c r="TCX56" s="10"/>
      <c r="TCY56" s="10"/>
      <c r="TCZ56" s="10"/>
      <c r="TDA56" s="10"/>
      <c r="TDB56" s="10"/>
      <c r="TDC56" s="10"/>
      <c r="TDD56" s="10"/>
      <c r="TDE56" s="10"/>
      <c r="TDF56" s="10"/>
      <c r="TDG56" s="10"/>
      <c r="TDH56" s="10"/>
      <c r="TDI56" s="10"/>
      <c r="TDJ56" s="10"/>
      <c r="TDK56" s="10"/>
      <c r="TDL56" s="10"/>
      <c r="TDM56" s="10"/>
      <c r="TDN56" s="10"/>
      <c r="TDO56" s="10"/>
      <c r="TDP56" s="10"/>
      <c r="TDQ56" s="10"/>
      <c r="TDR56" s="10"/>
      <c r="TDS56" s="10"/>
      <c r="TDT56" s="10"/>
      <c r="TDU56" s="10"/>
      <c r="TDV56" s="10"/>
      <c r="TDW56" s="10"/>
      <c r="TDX56" s="10"/>
      <c r="TDY56" s="10"/>
      <c r="TDZ56" s="10"/>
      <c r="TEA56" s="10"/>
      <c r="TEB56" s="10"/>
      <c r="TEC56" s="10"/>
      <c r="TED56" s="10"/>
      <c r="TEE56" s="10"/>
      <c r="TEF56" s="10"/>
      <c r="TEG56" s="10"/>
      <c r="TEH56" s="10"/>
      <c r="TEI56" s="10"/>
      <c r="TEJ56" s="10"/>
      <c r="TEK56" s="10"/>
      <c r="TEL56" s="10"/>
      <c r="TEM56" s="10"/>
      <c r="TEN56" s="10"/>
      <c r="TEO56" s="10"/>
      <c r="TEP56" s="10"/>
      <c r="TEQ56" s="10"/>
      <c r="TER56" s="10"/>
      <c r="TES56" s="10"/>
      <c r="TET56" s="10"/>
      <c r="TEU56" s="10"/>
      <c r="TEV56" s="10"/>
      <c r="TEW56" s="10"/>
      <c r="TEX56" s="10"/>
      <c r="TEY56" s="10"/>
      <c r="TEZ56" s="10"/>
      <c r="TFA56" s="10"/>
      <c r="TFB56" s="10"/>
      <c r="TFC56" s="10"/>
      <c r="TFD56" s="10"/>
      <c r="TFE56" s="10"/>
      <c r="TFF56" s="10"/>
      <c r="TFG56" s="10"/>
      <c r="TFH56" s="10"/>
      <c r="TFI56" s="10"/>
      <c r="TFJ56" s="10"/>
      <c r="TFK56" s="10"/>
      <c r="TFL56" s="10"/>
      <c r="TFM56" s="10"/>
      <c r="TFN56" s="10"/>
      <c r="TFO56" s="10"/>
      <c r="TFP56" s="10"/>
      <c r="TFQ56" s="10"/>
      <c r="TFR56" s="10"/>
      <c r="TFS56" s="10"/>
      <c r="TFT56" s="10"/>
      <c r="TFU56" s="10"/>
      <c r="TFV56" s="10"/>
      <c r="TFW56" s="10"/>
      <c r="TFX56" s="10"/>
      <c r="TFY56" s="10"/>
      <c r="TFZ56" s="10"/>
      <c r="TGA56" s="10"/>
      <c r="TGB56" s="10"/>
      <c r="TGC56" s="10"/>
      <c r="TGD56" s="10"/>
      <c r="TGE56" s="10"/>
      <c r="TGF56" s="10"/>
      <c r="TGG56" s="10"/>
      <c r="TGH56" s="10"/>
      <c r="TGI56" s="10"/>
      <c r="TGJ56" s="10"/>
      <c r="TGK56" s="10"/>
      <c r="TGL56" s="10"/>
      <c r="TGM56" s="10"/>
      <c r="TGN56" s="10"/>
      <c r="TGO56" s="10"/>
      <c r="TGP56" s="10"/>
      <c r="TGQ56" s="10"/>
      <c r="TGR56" s="10"/>
      <c r="TGS56" s="10"/>
      <c r="TGT56" s="10"/>
      <c r="TGU56" s="10"/>
      <c r="TGV56" s="10"/>
      <c r="TGW56" s="10"/>
      <c r="TGX56" s="10"/>
      <c r="TGY56" s="10"/>
      <c r="TGZ56" s="10"/>
      <c r="THA56" s="10"/>
      <c r="THB56" s="10"/>
      <c r="THC56" s="10"/>
      <c r="THD56" s="10"/>
      <c r="THE56" s="10"/>
      <c r="THF56" s="10"/>
      <c r="THG56" s="10"/>
      <c r="THH56" s="10"/>
      <c r="THI56" s="10"/>
      <c r="THJ56" s="10"/>
      <c r="THK56" s="10"/>
      <c r="THL56" s="10"/>
      <c r="THM56" s="10"/>
      <c r="THN56" s="10"/>
      <c r="THO56" s="10"/>
      <c r="THP56" s="10"/>
      <c r="THQ56" s="10"/>
      <c r="THR56" s="10"/>
      <c r="THS56" s="10"/>
      <c r="THT56" s="10"/>
      <c r="THU56" s="10"/>
      <c r="THV56" s="10"/>
      <c r="THW56" s="10"/>
      <c r="THX56" s="10"/>
      <c r="THY56" s="10"/>
      <c r="THZ56" s="10"/>
      <c r="TIA56" s="10"/>
      <c r="TIB56" s="10"/>
      <c r="TIC56" s="10"/>
      <c r="TID56" s="10"/>
      <c r="TIE56" s="10"/>
      <c r="TIF56" s="10"/>
      <c r="TIG56" s="10"/>
      <c r="TIH56" s="10"/>
      <c r="TII56" s="10"/>
      <c r="TIJ56" s="10"/>
      <c r="TIK56" s="10"/>
      <c r="TIL56" s="10"/>
      <c r="TIM56" s="10"/>
      <c r="TIN56" s="10"/>
      <c r="TIO56" s="10"/>
      <c r="TIP56" s="10"/>
      <c r="TIQ56" s="10"/>
      <c r="TIR56" s="10"/>
      <c r="TIS56" s="10"/>
      <c r="TIT56" s="10"/>
      <c r="TIU56" s="10"/>
      <c r="TIV56" s="10"/>
      <c r="TIW56" s="10"/>
      <c r="TIX56" s="10"/>
      <c r="TIY56" s="10"/>
      <c r="TIZ56" s="10"/>
      <c r="TJA56" s="10"/>
      <c r="TJB56" s="10"/>
      <c r="TJC56" s="10"/>
      <c r="TJD56" s="10"/>
      <c r="TJE56" s="10"/>
      <c r="TJF56" s="10"/>
      <c r="TJG56" s="10"/>
      <c r="TJH56" s="10"/>
      <c r="TJI56" s="10"/>
      <c r="TJJ56" s="10"/>
      <c r="TJK56" s="10"/>
      <c r="TJL56" s="10"/>
      <c r="TJM56" s="10"/>
      <c r="TJN56" s="10"/>
      <c r="TJO56" s="10"/>
      <c r="TJP56" s="10"/>
      <c r="TJQ56" s="10"/>
      <c r="TJR56" s="10"/>
      <c r="TJS56" s="10"/>
      <c r="TJT56" s="10"/>
      <c r="TJU56" s="10"/>
      <c r="TJV56" s="10"/>
      <c r="TJW56" s="10"/>
      <c r="TJX56" s="10"/>
      <c r="TJY56" s="10"/>
      <c r="TJZ56" s="10"/>
      <c r="TKA56" s="10"/>
      <c r="TKB56" s="10"/>
      <c r="TKC56" s="10"/>
      <c r="TKD56" s="10"/>
      <c r="TKE56" s="10"/>
      <c r="TKF56" s="10"/>
      <c r="TKG56" s="10"/>
      <c r="TKH56" s="10"/>
      <c r="TKI56" s="10"/>
      <c r="TKJ56" s="10"/>
      <c r="TKK56" s="10"/>
      <c r="TKL56" s="10"/>
      <c r="TKM56" s="10"/>
      <c r="TKN56" s="10"/>
      <c r="TKO56" s="10"/>
      <c r="TKP56" s="10"/>
      <c r="TKQ56" s="10"/>
      <c r="TKR56" s="10"/>
      <c r="TKS56" s="10"/>
      <c r="TKT56" s="10"/>
      <c r="TKU56" s="10"/>
      <c r="TKV56" s="10"/>
      <c r="TKW56" s="10"/>
      <c r="TKX56" s="10"/>
      <c r="TKY56" s="10"/>
      <c r="TKZ56" s="10"/>
      <c r="TLA56" s="10"/>
      <c r="TLB56" s="10"/>
      <c r="TLC56" s="10"/>
      <c r="TLD56" s="10"/>
      <c r="TLE56" s="10"/>
      <c r="TLF56" s="10"/>
      <c r="TLG56" s="10"/>
      <c r="TLH56" s="10"/>
      <c r="TLI56" s="10"/>
      <c r="TLJ56" s="10"/>
      <c r="TLK56" s="10"/>
      <c r="TLL56" s="10"/>
      <c r="TLM56" s="10"/>
      <c r="TLN56" s="10"/>
      <c r="TLO56" s="10"/>
      <c r="TLP56" s="10"/>
      <c r="TLQ56" s="10"/>
      <c r="TLR56" s="10"/>
      <c r="TLS56" s="10"/>
      <c r="TLT56" s="10"/>
      <c r="TLU56" s="10"/>
      <c r="TLV56" s="10"/>
      <c r="TLW56" s="10"/>
      <c r="TLX56" s="10"/>
      <c r="TLY56" s="10"/>
      <c r="TLZ56" s="10"/>
      <c r="TMA56" s="10"/>
      <c r="TMB56" s="10"/>
      <c r="TMC56" s="10"/>
      <c r="TMD56" s="10"/>
      <c r="TME56" s="10"/>
      <c r="TMF56" s="10"/>
      <c r="TMG56" s="10"/>
      <c r="TMH56" s="10"/>
      <c r="TMI56" s="10"/>
      <c r="TMJ56" s="10"/>
      <c r="TMK56" s="10"/>
      <c r="TML56" s="10"/>
      <c r="TMM56" s="10"/>
      <c r="TMN56" s="10"/>
      <c r="TMO56" s="10"/>
      <c r="TMP56" s="10"/>
      <c r="TMQ56" s="10"/>
      <c r="TMR56" s="10"/>
      <c r="TMS56" s="10"/>
      <c r="TMT56" s="10"/>
      <c r="TMU56" s="10"/>
      <c r="TMV56" s="10"/>
      <c r="TMW56" s="10"/>
      <c r="TMX56" s="10"/>
      <c r="TMY56" s="10"/>
      <c r="TMZ56" s="10"/>
      <c r="TNA56" s="10"/>
      <c r="TNB56" s="10"/>
      <c r="TNC56" s="10"/>
      <c r="TND56" s="10"/>
      <c r="TNE56" s="10"/>
      <c r="TNF56" s="10"/>
      <c r="TNG56" s="10"/>
      <c r="TNH56" s="10"/>
      <c r="TNI56" s="10"/>
      <c r="TNJ56" s="10"/>
      <c r="TNK56" s="10"/>
      <c r="TNL56" s="10"/>
      <c r="TNM56" s="10"/>
      <c r="TNN56" s="10"/>
      <c r="TNO56" s="10"/>
      <c r="TNP56" s="10"/>
      <c r="TNQ56" s="10"/>
      <c r="TNR56" s="10"/>
      <c r="TNS56" s="10"/>
      <c r="TNT56" s="10"/>
      <c r="TNU56" s="10"/>
      <c r="TNV56" s="10"/>
      <c r="TNW56" s="10"/>
      <c r="TNX56" s="10"/>
      <c r="TNY56" s="10"/>
      <c r="TNZ56" s="10"/>
      <c r="TOA56" s="10"/>
      <c r="TOB56" s="10"/>
      <c r="TOC56" s="10"/>
      <c r="TOD56" s="10"/>
      <c r="TOE56" s="10"/>
      <c r="TOF56" s="10"/>
      <c r="TOG56" s="10"/>
      <c r="TOH56" s="10"/>
      <c r="TOI56" s="10"/>
      <c r="TOJ56" s="10"/>
      <c r="TOK56" s="10"/>
      <c r="TOL56" s="10"/>
      <c r="TOM56" s="10"/>
      <c r="TON56" s="10"/>
      <c r="TOO56" s="10"/>
      <c r="TOP56" s="10"/>
      <c r="TOQ56" s="10"/>
      <c r="TOR56" s="10"/>
      <c r="TOS56" s="10"/>
      <c r="TOT56" s="10"/>
      <c r="TOU56" s="10"/>
      <c r="TOV56" s="10"/>
      <c r="TOW56" s="10"/>
      <c r="TOX56" s="10"/>
      <c r="TOY56" s="10"/>
      <c r="TOZ56" s="10"/>
      <c r="TPA56" s="10"/>
      <c r="TPB56" s="10"/>
      <c r="TPC56" s="10"/>
      <c r="TPD56" s="10"/>
      <c r="TPE56" s="10"/>
      <c r="TPF56" s="10"/>
      <c r="TPG56" s="10"/>
      <c r="TPH56" s="10"/>
      <c r="TPI56" s="10"/>
      <c r="TPJ56" s="10"/>
      <c r="TPK56" s="10"/>
      <c r="TPL56" s="10"/>
      <c r="TPM56" s="10"/>
      <c r="TPN56" s="10"/>
      <c r="TPO56" s="10"/>
      <c r="TPP56" s="10"/>
      <c r="TPQ56" s="10"/>
      <c r="TPR56" s="10"/>
      <c r="TPS56" s="10"/>
      <c r="TPT56" s="10"/>
      <c r="TPU56" s="10"/>
      <c r="TPV56" s="10"/>
      <c r="TPW56" s="10"/>
      <c r="TPX56" s="10"/>
      <c r="TPY56" s="10"/>
      <c r="TPZ56" s="10"/>
      <c r="TQA56" s="10"/>
      <c r="TQB56" s="10"/>
      <c r="TQC56" s="10"/>
      <c r="TQD56" s="10"/>
      <c r="TQE56" s="10"/>
      <c r="TQF56" s="10"/>
      <c r="TQG56" s="10"/>
      <c r="TQH56" s="10"/>
      <c r="TQI56" s="10"/>
      <c r="TQJ56" s="10"/>
      <c r="TQK56" s="10"/>
      <c r="TQL56" s="10"/>
      <c r="TQM56" s="10"/>
      <c r="TQN56" s="10"/>
      <c r="TQO56" s="10"/>
      <c r="TQP56" s="10"/>
      <c r="TQQ56" s="10"/>
      <c r="TQR56" s="10"/>
      <c r="TQS56" s="10"/>
      <c r="TQT56" s="10"/>
      <c r="TQU56" s="10"/>
      <c r="TQV56" s="10"/>
      <c r="TQW56" s="10"/>
      <c r="TQX56" s="10"/>
      <c r="TQY56" s="10"/>
      <c r="TQZ56" s="10"/>
      <c r="TRA56" s="10"/>
      <c r="TRB56" s="10"/>
      <c r="TRC56" s="10"/>
      <c r="TRD56" s="10"/>
      <c r="TRE56" s="10"/>
      <c r="TRF56" s="10"/>
      <c r="TRG56" s="10"/>
      <c r="TRH56" s="10"/>
      <c r="TRI56" s="10"/>
      <c r="TRJ56" s="10"/>
      <c r="TRK56" s="10"/>
      <c r="TRL56" s="10"/>
      <c r="TRM56" s="10"/>
      <c r="TRN56" s="10"/>
      <c r="TRO56" s="10"/>
      <c r="TRP56" s="10"/>
      <c r="TRQ56" s="10"/>
      <c r="TRR56" s="10"/>
      <c r="TRS56" s="10"/>
      <c r="TRT56" s="10"/>
      <c r="TRU56" s="10"/>
      <c r="TRV56" s="10"/>
      <c r="TRW56" s="10"/>
      <c r="TRX56" s="10"/>
      <c r="TRY56" s="10"/>
      <c r="TRZ56" s="10"/>
      <c r="TSA56" s="10"/>
      <c r="TSB56" s="10"/>
      <c r="TSC56" s="10"/>
      <c r="TSD56" s="10"/>
      <c r="TSE56" s="10"/>
      <c r="TSF56" s="10"/>
      <c r="TSG56" s="10"/>
      <c r="TSH56" s="10"/>
      <c r="TSI56" s="10"/>
      <c r="TSJ56" s="10"/>
      <c r="TSK56" s="10"/>
      <c r="TSL56" s="10"/>
      <c r="TSM56" s="10"/>
      <c r="TSN56" s="10"/>
      <c r="TSO56" s="10"/>
      <c r="TSP56" s="10"/>
      <c r="TSQ56" s="10"/>
      <c r="TSR56" s="10"/>
      <c r="TSS56" s="10"/>
      <c r="TST56" s="10"/>
      <c r="TSU56" s="10"/>
      <c r="TSV56" s="10"/>
      <c r="TSW56" s="10"/>
      <c r="TSX56" s="10"/>
      <c r="TSY56" s="10"/>
      <c r="TSZ56" s="10"/>
      <c r="TTA56" s="10"/>
      <c r="TTB56" s="10"/>
      <c r="TTC56" s="10"/>
      <c r="TTD56" s="10"/>
      <c r="TTE56" s="10"/>
      <c r="TTF56" s="10"/>
      <c r="TTG56" s="10"/>
      <c r="TTH56" s="10"/>
      <c r="TTI56" s="10"/>
      <c r="TTJ56" s="10"/>
      <c r="TTK56" s="10"/>
      <c r="TTL56" s="10"/>
      <c r="TTM56" s="10"/>
      <c r="TTN56" s="10"/>
      <c r="TTO56" s="10"/>
      <c r="TTP56" s="10"/>
      <c r="TTQ56" s="10"/>
      <c r="TTR56" s="10"/>
      <c r="TTS56" s="10"/>
      <c r="TTT56" s="10"/>
      <c r="TTU56" s="10"/>
      <c r="TTV56" s="10"/>
      <c r="TTW56" s="10"/>
      <c r="TTX56" s="10"/>
      <c r="TTY56" s="10"/>
      <c r="TTZ56" s="10"/>
      <c r="TUA56" s="10"/>
      <c r="TUB56" s="10"/>
      <c r="TUC56" s="10"/>
      <c r="TUD56" s="10"/>
      <c r="TUE56" s="10"/>
      <c r="TUF56" s="10"/>
      <c r="TUG56" s="10"/>
      <c r="TUH56" s="10"/>
      <c r="TUI56" s="10"/>
      <c r="TUJ56" s="10"/>
      <c r="TUK56" s="10"/>
      <c r="TUL56" s="10"/>
      <c r="TUM56" s="10"/>
      <c r="TUN56" s="10"/>
      <c r="TUO56" s="10"/>
      <c r="TUP56" s="10"/>
      <c r="TUQ56" s="10"/>
      <c r="TUR56" s="10"/>
      <c r="TUS56" s="10"/>
      <c r="TUT56" s="10"/>
      <c r="TUU56" s="10"/>
      <c r="TUV56" s="10"/>
      <c r="TUW56" s="10"/>
      <c r="TUX56" s="10"/>
      <c r="TUY56" s="10"/>
      <c r="TUZ56" s="10"/>
      <c r="TVA56" s="10"/>
      <c r="TVB56" s="10"/>
      <c r="TVC56" s="10"/>
      <c r="TVD56" s="10"/>
      <c r="TVE56" s="10"/>
      <c r="TVF56" s="10"/>
      <c r="TVG56" s="10"/>
      <c r="TVH56" s="10"/>
      <c r="TVI56" s="10"/>
      <c r="TVJ56" s="10"/>
      <c r="TVK56" s="10"/>
      <c r="TVL56" s="10"/>
      <c r="TVM56" s="10"/>
      <c r="TVN56" s="10"/>
      <c r="TVO56" s="10"/>
      <c r="TVP56" s="10"/>
      <c r="TVQ56" s="10"/>
      <c r="TVR56" s="10"/>
      <c r="TVS56" s="10"/>
      <c r="TVT56" s="10"/>
      <c r="TVU56" s="10"/>
      <c r="TVV56" s="10"/>
      <c r="TVW56" s="10"/>
      <c r="TVX56" s="10"/>
      <c r="TVY56" s="10"/>
      <c r="TVZ56" s="10"/>
      <c r="TWA56" s="10"/>
      <c r="TWB56" s="10"/>
      <c r="TWC56" s="10"/>
      <c r="TWD56" s="10"/>
      <c r="TWE56" s="10"/>
      <c r="TWF56" s="10"/>
      <c r="TWG56" s="10"/>
      <c r="TWH56" s="10"/>
      <c r="TWI56" s="10"/>
      <c r="TWJ56" s="10"/>
      <c r="TWK56" s="10"/>
      <c r="TWL56" s="10"/>
      <c r="TWM56" s="10"/>
      <c r="TWN56" s="10"/>
      <c r="TWO56" s="10"/>
      <c r="TWP56" s="10"/>
      <c r="TWQ56" s="10"/>
      <c r="TWR56" s="10"/>
      <c r="TWS56" s="10"/>
      <c r="TWT56" s="10"/>
      <c r="TWU56" s="10"/>
      <c r="TWV56" s="10"/>
      <c r="TWW56" s="10"/>
      <c r="TWX56" s="10"/>
      <c r="TWY56" s="10"/>
      <c r="TWZ56" s="10"/>
      <c r="TXA56" s="10"/>
      <c r="TXB56" s="10"/>
      <c r="TXC56" s="10"/>
      <c r="TXD56" s="10"/>
      <c r="TXE56" s="10"/>
      <c r="TXF56" s="10"/>
      <c r="TXG56" s="10"/>
      <c r="TXH56" s="10"/>
      <c r="TXI56" s="10"/>
      <c r="TXJ56" s="10"/>
      <c r="TXK56" s="10"/>
      <c r="TXL56" s="10"/>
      <c r="TXM56" s="10"/>
      <c r="TXN56" s="10"/>
      <c r="TXO56" s="10"/>
      <c r="TXP56" s="10"/>
      <c r="TXQ56" s="10"/>
      <c r="TXR56" s="10"/>
      <c r="TXS56" s="10"/>
      <c r="TXT56" s="10"/>
      <c r="TXU56" s="10"/>
      <c r="TXV56" s="10"/>
      <c r="TXW56" s="10"/>
      <c r="TXX56" s="10"/>
      <c r="TXY56" s="10"/>
      <c r="TXZ56" s="10"/>
      <c r="TYA56" s="10"/>
      <c r="TYB56" s="10"/>
      <c r="TYC56" s="10"/>
      <c r="TYD56" s="10"/>
      <c r="TYE56" s="10"/>
      <c r="TYF56" s="10"/>
      <c r="TYG56" s="10"/>
      <c r="TYH56" s="10"/>
      <c r="TYI56" s="10"/>
      <c r="TYJ56" s="10"/>
      <c r="TYK56" s="10"/>
      <c r="TYL56" s="10"/>
      <c r="TYM56" s="10"/>
      <c r="TYN56" s="10"/>
      <c r="TYO56" s="10"/>
      <c r="TYP56" s="10"/>
      <c r="TYQ56" s="10"/>
      <c r="TYR56" s="10"/>
      <c r="TYS56" s="10"/>
      <c r="TYT56" s="10"/>
      <c r="TYU56" s="10"/>
      <c r="TYV56" s="10"/>
      <c r="TYW56" s="10"/>
      <c r="TYX56" s="10"/>
      <c r="TYY56" s="10"/>
      <c r="TYZ56" s="10"/>
      <c r="TZA56" s="10"/>
      <c r="TZB56" s="10"/>
      <c r="TZC56" s="10"/>
      <c r="TZD56" s="10"/>
      <c r="TZE56" s="10"/>
      <c r="TZF56" s="10"/>
      <c r="TZG56" s="10"/>
      <c r="TZH56" s="10"/>
      <c r="TZI56" s="10"/>
      <c r="TZJ56" s="10"/>
      <c r="TZK56" s="10"/>
      <c r="TZL56" s="10"/>
      <c r="TZM56" s="10"/>
      <c r="TZN56" s="10"/>
      <c r="TZO56" s="10"/>
      <c r="TZP56" s="10"/>
      <c r="TZQ56" s="10"/>
      <c r="TZR56" s="10"/>
      <c r="TZS56" s="10"/>
      <c r="TZT56" s="10"/>
      <c r="TZU56" s="10"/>
      <c r="TZV56" s="10"/>
      <c r="TZW56" s="10"/>
      <c r="TZX56" s="10"/>
      <c r="TZY56" s="10"/>
      <c r="TZZ56" s="10"/>
      <c r="UAA56" s="10"/>
      <c r="UAB56" s="10"/>
      <c r="UAC56" s="10"/>
      <c r="UAD56" s="10"/>
      <c r="UAE56" s="10"/>
      <c r="UAF56" s="10"/>
      <c r="UAG56" s="10"/>
      <c r="UAH56" s="10"/>
      <c r="UAI56" s="10"/>
      <c r="UAJ56" s="10"/>
      <c r="UAK56" s="10"/>
      <c r="UAL56" s="10"/>
      <c r="UAM56" s="10"/>
      <c r="UAN56" s="10"/>
      <c r="UAO56" s="10"/>
      <c r="UAP56" s="10"/>
      <c r="UAQ56" s="10"/>
      <c r="UAR56" s="10"/>
      <c r="UAS56" s="10"/>
      <c r="UAT56" s="10"/>
      <c r="UAU56" s="10"/>
      <c r="UAV56" s="10"/>
      <c r="UAW56" s="10"/>
      <c r="UAX56" s="10"/>
      <c r="UAY56" s="10"/>
      <c r="UAZ56" s="10"/>
      <c r="UBA56" s="10"/>
      <c r="UBB56" s="10"/>
      <c r="UBC56" s="10"/>
      <c r="UBD56" s="10"/>
      <c r="UBE56" s="10"/>
      <c r="UBF56" s="10"/>
      <c r="UBG56" s="10"/>
      <c r="UBH56" s="10"/>
      <c r="UBI56" s="10"/>
      <c r="UBJ56" s="10"/>
      <c r="UBK56" s="10"/>
      <c r="UBL56" s="10"/>
      <c r="UBM56" s="10"/>
      <c r="UBN56" s="10"/>
      <c r="UBO56" s="10"/>
      <c r="UBP56" s="10"/>
      <c r="UBQ56" s="10"/>
      <c r="UBR56" s="10"/>
      <c r="UBS56" s="10"/>
      <c r="UBT56" s="10"/>
      <c r="UBU56" s="10"/>
      <c r="UBV56" s="10"/>
      <c r="UBW56" s="10"/>
      <c r="UBX56" s="10"/>
      <c r="UBY56" s="10"/>
      <c r="UBZ56" s="10"/>
      <c r="UCA56" s="10"/>
      <c r="UCB56" s="10"/>
      <c r="UCC56" s="10"/>
      <c r="UCD56" s="10"/>
      <c r="UCE56" s="10"/>
      <c r="UCF56" s="10"/>
      <c r="UCG56" s="10"/>
      <c r="UCH56" s="10"/>
      <c r="UCI56" s="10"/>
      <c r="UCJ56" s="10"/>
      <c r="UCK56" s="10"/>
      <c r="UCL56" s="10"/>
      <c r="UCM56" s="10"/>
      <c r="UCN56" s="10"/>
      <c r="UCO56" s="10"/>
      <c r="UCP56" s="10"/>
      <c r="UCQ56" s="10"/>
      <c r="UCR56" s="10"/>
      <c r="UCS56" s="10"/>
      <c r="UCT56" s="10"/>
      <c r="UCU56" s="10"/>
      <c r="UCV56" s="10"/>
      <c r="UCW56" s="10"/>
      <c r="UCX56" s="10"/>
      <c r="UCY56" s="10"/>
      <c r="UCZ56" s="10"/>
      <c r="UDA56" s="10"/>
      <c r="UDB56" s="10"/>
      <c r="UDC56" s="10"/>
      <c r="UDD56" s="10"/>
      <c r="UDE56" s="10"/>
      <c r="UDF56" s="10"/>
      <c r="UDG56" s="10"/>
      <c r="UDH56" s="10"/>
      <c r="UDI56" s="10"/>
      <c r="UDJ56" s="10"/>
      <c r="UDK56" s="10"/>
      <c r="UDL56" s="10"/>
      <c r="UDM56" s="10"/>
      <c r="UDN56" s="10"/>
      <c r="UDO56" s="10"/>
      <c r="UDP56" s="10"/>
      <c r="UDQ56" s="10"/>
      <c r="UDR56" s="10"/>
      <c r="UDS56" s="10"/>
      <c r="UDT56" s="10"/>
      <c r="UDU56" s="10"/>
      <c r="UDV56" s="10"/>
      <c r="UDW56" s="10"/>
      <c r="UDX56" s="10"/>
      <c r="UDY56" s="10"/>
      <c r="UDZ56" s="10"/>
      <c r="UEA56" s="10"/>
      <c r="UEB56" s="10"/>
      <c r="UEC56" s="10"/>
      <c r="UED56" s="10"/>
      <c r="UEE56" s="10"/>
      <c r="UEF56" s="10"/>
      <c r="UEG56" s="10"/>
      <c r="UEH56" s="10"/>
      <c r="UEI56" s="10"/>
      <c r="UEJ56" s="10"/>
      <c r="UEK56" s="10"/>
      <c r="UEL56" s="10"/>
      <c r="UEM56" s="10"/>
      <c r="UEN56" s="10"/>
      <c r="UEO56" s="10"/>
      <c r="UEP56" s="10"/>
      <c r="UEQ56" s="10"/>
      <c r="UER56" s="10"/>
      <c r="UES56" s="10"/>
      <c r="UET56" s="10"/>
      <c r="UEU56" s="10"/>
      <c r="UEV56" s="10"/>
      <c r="UEW56" s="10"/>
      <c r="UEX56" s="10"/>
      <c r="UEY56" s="10"/>
      <c r="UEZ56" s="10"/>
      <c r="UFA56" s="10"/>
      <c r="UFB56" s="10"/>
      <c r="UFC56" s="10"/>
      <c r="UFD56" s="10"/>
      <c r="UFE56" s="10"/>
      <c r="UFF56" s="10"/>
      <c r="UFG56" s="10"/>
      <c r="UFH56" s="10"/>
      <c r="UFI56" s="10"/>
      <c r="UFJ56" s="10"/>
      <c r="UFK56" s="10"/>
      <c r="UFL56" s="10"/>
      <c r="UFM56" s="10"/>
      <c r="UFN56" s="10"/>
      <c r="UFO56" s="10"/>
      <c r="UFP56" s="10"/>
      <c r="UFQ56" s="10"/>
      <c r="UFR56" s="10"/>
      <c r="UFS56" s="10"/>
      <c r="UFT56" s="10"/>
      <c r="UFU56" s="10"/>
      <c r="UFV56" s="10"/>
      <c r="UFW56" s="10"/>
      <c r="UFX56" s="10"/>
      <c r="UFY56" s="10"/>
      <c r="UFZ56" s="10"/>
      <c r="UGA56" s="10"/>
      <c r="UGB56" s="10"/>
      <c r="UGC56" s="10"/>
      <c r="UGD56" s="10"/>
      <c r="UGE56" s="10"/>
      <c r="UGF56" s="10"/>
      <c r="UGG56" s="10"/>
      <c r="UGH56" s="10"/>
      <c r="UGI56" s="10"/>
      <c r="UGJ56" s="10"/>
      <c r="UGK56" s="10"/>
      <c r="UGL56" s="10"/>
      <c r="UGM56" s="10"/>
      <c r="UGN56" s="10"/>
      <c r="UGO56" s="10"/>
      <c r="UGP56" s="10"/>
      <c r="UGQ56" s="10"/>
      <c r="UGR56" s="10"/>
      <c r="UGS56" s="10"/>
      <c r="UGT56" s="10"/>
      <c r="UGU56" s="10"/>
      <c r="UGV56" s="10"/>
      <c r="UGW56" s="10"/>
      <c r="UGX56" s="10"/>
      <c r="UGY56" s="10"/>
      <c r="UGZ56" s="10"/>
      <c r="UHA56" s="10"/>
      <c r="UHB56" s="10"/>
      <c r="UHC56" s="10"/>
      <c r="UHD56" s="10"/>
      <c r="UHE56" s="10"/>
      <c r="UHF56" s="10"/>
      <c r="UHG56" s="10"/>
      <c r="UHH56" s="10"/>
      <c r="UHI56" s="10"/>
      <c r="UHJ56" s="10"/>
      <c r="UHK56" s="10"/>
      <c r="UHL56" s="10"/>
      <c r="UHM56" s="10"/>
      <c r="UHN56" s="10"/>
      <c r="UHO56" s="10"/>
      <c r="UHP56" s="10"/>
      <c r="UHQ56" s="10"/>
      <c r="UHR56" s="10"/>
      <c r="UHS56" s="10"/>
      <c r="UHT56" s="10"/>
      <c r="UHU56" s="10"/>
      <c r="UHV56" s="10"/>
      <c r="UHW56" s="10"/>
      <c r="UHX56" s="10"/>
      <c r="UHY56" s="10"/>
      <c r="UHZ56" s="10"/>
      <c r="UIA56" s="10"/>
      <c r="UIB56" s="10"/>
      <c r="UIC56" s="10"/>
      <c r="UID56" s="10"/>
      <c r="UIE56" s="10"/>
      <c r="UIF56" s="10"/>
      <c r="UIG56" s="10"/>
      <c r="UIH56" s="10"/>
      <c r="UII56" s="10"/>
      <c r="UIJ56" s="10"/>
      <c r="UIK56" s="10"/>
      <c r="UIL56" s="10"/>
      <c r="UIM56" s="10"/>
      <c r="UIN56" s="10"/>
      <c r="UIO56" s="10"/>
      <c r="UIP56" s="10"/>
      <c r="UIQ56" s="10"/>
      <c r="UIR56" s="10"/>
      <c r="UIS56" s="10"/>
      <c r="UIT56" s="10"/>
      <c r="UIU56" s="10"/>
      <c r="UIV56" s="10"/>
      <c r="UIW56" s="10"/>
      <c r="UIX56" s="10"/>
      <c r="UIY56" s="10"/>
      <c r="UIZ56" s="10"/>
      <c r="UJA56" s="10"/>
      <c r="UJB56" s="10"/>
      <c r="UJC56" s="10"/>
      <c r="UJD56" s="10"/>
      <c r="UJE56" s="10"/>
      <c r="UJF56" s="10"/>
      <c r="UJG56" s="10"/>
      <c r="UJH56" s="10"/>
      <c r="UJI56" s="10"/>
      <c r="UJJ56" s="10"/>
      <c r="UJK56" s="10"/>
      <c r="UJL56" s="10"/>
      <c r="UJM56" s="10"/>
      <c r="UJN56" s="10"/>
      <c r="UJO56" s="10"/>
      <c r="UJP56" s="10"/>
      <c r="UJQ56" s="10"/>
      <c r="UJR56" s="10"/>
      <c r="UJS56" s="10"/>
      <c r="UJT56" s="10"/>
      <c r="UJU56" s="10"/>
      <c r="UJV56" s="10"/>
      <c r="UJW56" s="10"/>
      <c r="UJX56" s="10"/>
      <c r="UJY56" s="10"/>
      <c r="UJZ56" s="10"/>
      <c r="UKA56" s="10"/>
      <c r="UKB56" s="10"/>
      <c r="UKC56" s="10"/>
      <c r="UKD56" s="10"/>
      <c r="UKE56" s="10"/>
      <c r="UKF56" s="10"/>
      <c r="UKG56" s="10"/>
      <c r="UKH56" s="10"/>
      <c r="UKI56" s="10"/>
      <c r="UKJ56" s="10"/>
      <c r="UKK56" s="10"/>
      <c r="UKL56" s="10"/>
      <c r="UKM56" s="10"/>
      <c r="UKN56" s="10"/>
      <c r="UKO56" s="10"/>
      <c r="UKP56" s="10"/>
      <c r="UKQ56" s="10"/>
      <c r="UKR56" s="10"/>
      <c r="UKS56" s="10"/>
      <c r="UKT56" s="10"/>
      <c r="UKU56" s="10"/>
      <c r="UKV56" s="10"/>
      <c r="UKW56" s="10"/>
      <c r="UKX56" s="10"/>
      <c r="UKY56" s="10"/>
      <c r="UKZ56" s="10"/>
      <c r="ULA56" s="10"/>
      <c r="ULB56" s="10"/>
      <c r="ULC56" s="10"/>
      <c r="ULD56" s="10"/>
      <c r="ULE56" s="10"/>
      <c r="ULF56" s="10"/>
      <c r="ULG56" s="10"/>
      <c r="ULH56" s="10"/>
      <c r="ULI56" s="10"/>
      <c r="ULJ56" s="10"/>
      <c r="ULK56" s="10"/>
      <c r="ULL56" s="10"/>
      <c r="ULM56" s="10"/>
      <c r="ULN56" s="10"/>
      <c r="ULO56" s="10"/>
      <c r="ULP56" s="10"/>
      <c r="ULQ56" s="10"/>
      <c r="ULR56" s="10"/>
      <c r="ULS56" s="10"/>
      <c r="ULT56" s="10"/>
      <c r="ULU56" s="10"/>
      <c r="ULV56" s="10"/>
      <c r="ULW56" s="10"/>
      <c r="ULX56" s="10"/>
      <c r="ULY56" s="10"/>
      <c r="ULZ56" s="10"/>
      <c r="UMA56" s="10"/>
      <c r="UMB56" s="10"/>
      <c r="UMC56" s="10"/>
      <c r="UMD56" s="10"/>
      <c r="UME56" s="10"/>
      <c r="UMF56" s="10"/>
      <c r="UMG56" s="10"/>
      <c r="UMH56" s="10"/>
      <c r="UMI56" s="10"/>
      <c r="UMJ56" s="10"/>
      <c r="UMK56" s="10"/>
      <c r="UML56" s="10"/>
      <c r="UMM56" s="10"/>
      <c r="UMN56" s="10"/>
      <c r="UMO56" s="10"/>
      <c r="UMP56" s="10"/>
      <c r="UMQ56" s="10"/>
      <c r="UMR56" s="10"/>
      <c r="UMS56" s="10"/>
      <c r="UMT56" s="10"/>
      <c r="UMU56" s="10"/>
      <c r="UMV56" s="10"/>
      <c r="UMW56" s="10"/>
      <c r="UMX56" s="10"/>
      <c r="UMY56" s="10"/>
      <c r="UMZ56" s="10"/>
      <c r="UNA56" s="10"/>
      <c r="UNB56" s="10"/>
      <c r="UNC56" s="10"/>
      <c r="UND56" s="10"/>
      <c r="UNE56" s="10"/>
      <c r="UNF56" s="10"/>
      <c r="UNG56" s="10"/>
      <c r="UNH56" s="10"/>
      <c r="UNI56" s="10"/>
      <c r="UNJ56" s="10"/>
      <c r="UNK56" s="10"/>
      <c r="UNL56" s="10"/>
      <c r="UNM56" s="10"/>
      <c r="UNN56" s="10"/>
      <c r="UNO56" s="10"/>
      <c r="UNP56" s="10"/>
      <c r="UNQ56" s="10"/>
      <c r="UNR56" s="10"/>
      <c r="UNS56" s="10"/>
      <c r="UNT56" s="10"/>
      <c r="UNU56" s="10"/>
      <c r="UNV56" s="10"/>
      <c r="UNW56" s="10"/>
      <c r="UNX56" s="10"/>
      <c r="UNY56" s="10"/>
      <c r="UNZ56" s="10"/>
      <c r="UOA56" s="10"/>
      <c r="UOB56" s="10"/>
      <c r="UOC56" s="10"/>
      <c r="UOD56" s="10"/>
      <c r="UOE56" s="10"/>
      <c r="UOF56" s="10"/>
      <c r="UOG56" s="10"/>
      <c r="UOH56" s="10"/>
      <c r="UOI56" s="10"/>
      <c r="UOJ56" s="10"/>
      <c r="UOK56" s="10"/>
      <c r="UOL56" s="10"/>
      <c r="UOM56" s="10"/>
      <c r="UON56" s="10"/>
      <c r="UOO56" s="10"/>
      <c r="UOP56" s="10"/>
      <c r="UOQ56" s="10"/>
      <c r="UOR56" s="10"/>
      <c r="UOS56" s="10"/>
      <c r="UOT56" s="10"/>
      <c r="UOU56" s="10"/>
      <c r="UOV56" s="10"/>
      <c r="UOW56" s="10"/>
      <c r="UOX56" s="10"/>
      <c r="UOY56" s="10"/>
      <c r="UOZ56" s="10"/>
      <c r="UPA56" s="10"/>
      <c r="UPB56" s="10"/>
      <c r="UPC56" s="10"/>
      <c r="UPD56" s="10"/>
      <c r="UPE56" s="10"/>
      <c r="UPF56" s="10"/>
      <c r="UPG56" s="10"/>
      <c r="UPH56" s="10"/>
      <c r="UPI56" s="10"/>
      <c r="UPJ56" s="10"/>
      <c r="UPK56" s="10"/>
      <c r="UPL56" s="10"/>
      <c r="UPM56" s="10"/>
      <c r="UPN56" s="10"/>
      <c r="UPO56" s="10"/>
      <c r="UPP56" s="10"/>
      <c r="UPQ56" s="10"/>
      <c r="UPR56" s="10"/>
      <c r="UPS56" s="10"/>
      <c r="UPT56" s="10"/>
      <c r="UPU56" s="10"/>
      <c r="UPV56" s="10"/>
      <c r="UPW56" s="10"/>
      <c r="UPX56" s="10"/>
      <c r="UPY56" s="10"/>
      <c r="UPZ56" s="10"/>
      <c r="UQA56" s="10"/>
      <c r="UQB56" s="10"/>
      <c r="UQC56" s="10"/>
      <c r="UQD56" s="10"/>
      <c r="UQE56" s="10"/>
      <c r="UQF56" s="10"/>
      <c r="UQG56" s="10"/>
      <c r="UQH56" s="10"/>
      <c r="UQI56" s="10"/>
      <c r="UQJ56" s="10"/>
      <c r="UQK56" s="10"/>
      <c r="UQL56" s="10"/>
      <c r="UQM56" s="10"/>
      <c r="UQN56" s="10"/>
      <c r="UQO56" s="10"/>
      <c r="UQP56" s="10"/>
      <c r="UQQ56" s="10"/>
      <c r="UQR56" s="10"/>
      <c r="UQS56" s="10"/>
      <c r="UQT56" s="10"/>
      <c r="UQU56" s="10"/>
      <c r="UQV56" s="10"/>
      <c r="UQW56" s="10"/>
      <c r="UQX56" s="10"/>
      <c r="UQY56" s="10"/>
      <c r="UQZ56" s="10"/>
      <c r="URA56" s="10"/>
      <c r="URB56" s="10"/>
      <c r="URC56" s="10"/>
      <c r="URD56" s="10"/>
      <c r="URE56" s="10"/>
      <c r="URF56" s="10"/>
      <c r="URG56" s="10"/>
      <c r="URH56" s="10"/>
      <c r="URI56" s="10"/>
      <c r="URJ56" s="10"/>
      <c r="URK56" s="10"/>
      <c r="URL56" s="10"/>
      <c r="URM56" s="10"/>
      <c r="URN56" s="10"/>
      <c r="URO56" s="10"/>
      <c r="URP56" s="10"/>
      <c r="URQ56" s="10"/>
      <c r="URR56" s="10"/>
      <c r="URS56" s="10"/>
      <c r="URT56" s="10"/>
      <c r="URU56" s="10"/>
      <c r="URV56" s="10"/>
      <c r="URW56" s="10"/>
      <c r="URX56" s="10"/>
      <c r="URY56" s="10"/>
      <c r="URZ56" s="10"/>
      <c r="USA56" s="10"/>
      <c r="USB56" s="10"/>
      <c r="USC56" s="10"/>
      <c r="USD56" s="10"/>
      <c r="USE56" s="10"/>
      <c r="USF56" s="10"/>
      <c r="USG56" s="10"/>
      <c r="USH56" s="10"/>
      <c r="USI56" s="10"/>
      <c r="USJ56" s="10"/>
      <c r="USK56" s="10"/>
      <c r="USL56" s="10"/>
      <c r="USM56" s="10"/>
      <c r="USN56" s="10"/>
      <c r="USO56" s="10"/>
      <c r="USP56" s="10"/>
      <c r="USQ56" s="10"/>
      <c r="USR56" s="10"/>
      <c r="USS56" s="10"/>
      <c r="UST56" s="10"/>
      <c r="USU56" s="10"/>
      <c r="USV56" s="10"/>
      <c r="USW56" s="10"/>
      <c r="USX56" s="10"/>
      <c r="USY56" s="10"/>
      <c r="USZ56" s="10"/>
      <c r="UTA56" s="10"/>
      <c r="UTB56" s="10"/>
      <c r="UTC56" s="10"/>
      <c r="UTD56" s="10"/>
      <c r="UTE56" s="10"/>
      <c r="UTF56" s="10"/>
      <c r="UTG56" s="10"/>
      <c r="UTH56" s="10"/>
      <c r="UTI56" s="10"/>
      <c r="UTJ56" s="10"/>
      <c r="UTK56" s="10"/>
      <c r="UTL56" s="10"/>
      <c r="UTM56" s="10"/>
      <c r="UTN56" s="10"/>
      <c r="UTO56" s="10"/>
      <c r="UTP56" s="10"/>
      <c r="UTQ56" s="10"/>
      <c r="UTR56" s="10"/>
      <c r="UTS56" s="10"/>
      <c r="UTT56" s="10"/>
      <c r="UTU56" s="10"/>
      <c r="UTV56" s="10"/>
      <c r="UTW56" s="10"/>
      <c r="UTX56" s="10"/>
      <c r="UTY56" s="10"/>
      <c r="UTZ56" s="10"/>
      <c r="UUA56" s="10"/>
      <c r="UUB56" s="10"/>
      <c r="UUC56" s="10"/>
      <c r="UUD56" s="10"/>
      <c r="UUE56" s="10"/>
      <c r="UUF56" s="10"/>
      <c r="UUG56" s="10"/>
      <c r="UUH56" s="10"/>
      <c r="UUI56" s="10"/>
      <c r="UUJ56" s="10"/>
      <c r="UUK56" s="10"/>
      <c r="UUL56" s="10"/>
      <c r="UUM56" s="10"/>
      <c r="UUN56" s="10"/>
      <c r="UUO56" s="10"/>
      <c r="UUP56" s="10"/>
      <c r="UUQ56" s="10"/>
      <c r="UUR56" s="10"/>
      <c r="UUS56" s="10"/>
      <c r="UUT56" s="10"/>
      <c r="UUU56" s="10"/>
      <c r="UUV56" s="10"/>
      <c r="UUW56" s="10"/>
      <c r="UUX56" s="10"/>
      <c r="UUY56" s="10"/>
      <c r="UUZ56" s="10"/>
      <c r="UVA56" s="10"/>
      <c r="UVB56" s="10"/>
      <c r="UVC56" s="10"/>
      <c r="UVD56" s="10"/>
      <c r="UVE56" s="10"/>
      <c r="UVF56" s="10"/>
      <c r="UVG56" s="10"/>
      <c r="UVH56" s="10"/>
      <c r="UVI56" s="10"/>
      <c r="UVJ56" s="10"/>
      <c r="UVK56" s="10"/>
      <c r="UVL56" s="10"/>
      <c r="UVM56" s="10"/>
      <c r="UVN56" s="10"/>
      <c r="UVO56" s="10"/>
      <c r="UVP56" s="10"/>
      <c r="UVQ56" s="10"/>
      <c r="UVR56" s="10"/>
      <c r="UVS56" s="10"/>
      <c r="UVT56" s="10"/>
      <c r="UVU56" s="10"/>
      <c r="UVV56" s="10"/>
      <c r="UVW56" s="10"/>
      <c r="UVX56" s="10"/>
      <c r="UVY56" s="10"/>
      <c r="UVZ56" s="10"/>
      <c r="UWA56" s="10"/>
      <c r="UWB56" s="10"/>
      <c r="UWC56" s="10"/>
      <c r="UWD56" s="10"/>
      <c r="UWE56" s="10"/>
      <c r="UWF56" s="10"/>
      <c r="UWG56" s="10"/>
      <c r="UWH56" s="10"/>
      <c r="UWI56" s="10"/>
      <c r="UWJ56" s="10"/>
      <c r="UWK56" s="10"/>
      <c r="UWL56" s="10"/>
      <c r="UWM56" s="10"/>
      <c r="UWN56" s="10"/>
      <c r="UWO56" s="10"/>
      <c r="UWP56" s="10"/>
      <c r="UWQ56" s="10"/>
      <c r="UWR56" s="10"/>
      <c r="UWS56" s="10"/>
      <c r="UWT56" s="10"/>
      <c r="UWU56" s="10"/>
      <c r="UWV56" s="10"/>
      <c r="UWW56" s="10"/>
      <c r="UWX56" s="10"/>
      <c r="UWY56" s="10"/>
      <c r="UWZ56" s="10"/>
      <c r="UXA56" s="10"/>
      <c r="UXB56" s="10"/>
      <c r="UXC56" s="10"/>
      <c r="UXD56" s="10"/>
      <c r="UXE56" s="10"/>
      <c r="UXF56" s="10"/>
      <c r="UXG56" s="10"/>
      <c r="UXH56" s="10"/>
      <c r="UXI56" s="10"/>
      <c r="UXJ56" s="10"/>
      <c r="UXK56" s="10"/>
      <c r="UXL56" s="10"/>
      <c r="UXM56" s="10"/>
      <c r="UXN56" s="10"/>
      <c r="UXO56" s="10"/>
      <c r="UXP56" s="10"/>
      <c r="UXQ56" s="10"/>
      <c r="UXR56" s="10"/>
      <c r="UXS56" s="10"/>
      <c r="UXT56" s="10"/>
      <c r="UXU56" s="10"/>
      <c r="UXV56" s="10"/>
      <c r="UXW56" s="10"/>
      <c r="UXX56" s="10"/>
      <c r="UXY56" s="10"/>
      <c r="UXZ56" s="10"/>
      <c r="UYA56" s="10"/>
      <c r="UYB56" s="10"/>
      <c r="UYC56" s="10"/>
      <c r="UYD56" s="10"/>
      <c r="UYE56" s="10"/>
      <c r="UYF56" s="10"/>
      <c r="UYG56" s="10"/>
      <c r="UYH56" s="10"/>
      <c r="UYI56" s="10"/>
      <c r="UYJ56" s="10"/>
      <c r="UYK56" s="10"/>
      <c r="UYL56" s="10"/>
      <c r="UYM56" s="10"/>
      <c r="UYN56" s="10"/>
      <c r="UYO56" s="10"/>
      <c r="UYP56" s="10"/>
      <c r="UYQ56" s="10"/>
      <c r="UYR56" s="10"/>
      <c r="UYS56" s="10"/>
      <c r="UYT56" s="10"/>
      <c r="UYU56" s="10"/>
      <c r="UYV56" s="10"/>
      <c r="UYW56" s="10"/>
      <c r="UYX56" s="10"/>
      <c r="UYY56" s="10"/>
      <c r="UYZ56" s="10"/>
      <c r="UZA56" s="10"/>
      <c r="UZB56" s="10"/>
      <c r="UZC56" s="10"/>
      <c r="UZD56" s="10"/>
      <c r="UZE56" s="10"/>
      <c r="UZF56" s="10"/>
      <c r="UZG56" s="10"/>
      <c r="UZH56" s="10"/>
      <c r="UZI56" s="10"/>
      <c r="UZJ56" s="10"/>
      <c r="UZK56" s="10"/>
      <c r="UZL56" s="10"/>
      <c r="UZM56" s="10"/>
      <c r="UZN56" s="10"/>
      <c r="UZO56" s="10"/>
      <c r="UZP56" s="10"/>
      <c r="UZQ56" s="10"/>
      <c r="UZR56" s="10"/>
      <c r="UZS56" s="10"/>
      <c r="UZT56" s="10"/>
      <c r="UZU56" s="10"/>
      <c r="UZV56" s="10"/>
      <c r="UZW56" s="10"/>
      <c r="UZX56" s="10"/>
      <c r="UZY56" s="10"/>
      <c r="UZZ56" s="10"/>
      <c r="VAA56" s="10"/>
      <c r="VAB56" s="10"/>
      <c r="VAC56" s="10"/>
      <c r="VAD56" s="10"/>
      <c r="VAE56" s="10"/>
      <c r="VAF56" s="10"/>
      <c r="VAG56" s="10"/>
      <c r="VAH56" s="10"/>
      <c r="VAI56" s="10"/>
      <c r="VAJ56" s="10"/>
      <c r="VAK56" s="10"/>
      <c r="VAL56" s="10"/>
      <c r="VAM56" s="10"/>
      <c r="VAN56" s="10"/>
      <c r="VAO56" s="10"/>
      <c r="VAP56" s="10"/>
      <c r="VAQ56" s="10"/>
      <c r="VAR56" s="10"/>
      <c r="VAS56" s="10"/>
      <c r="VAT56" s="10"/>
      <c r="VAU56" s="10"/>
      <c r="VAV56" s="10"/>
      <c r="VAW56" s="10"/>
      <c r="VAX56" s="10"/>
      <c r="VAY56" s="10"/>
      <c r="VAZ56" s="10"/>
      <c r="VBA56" s="10"/>
      <c r="VBB56" s="10"/>
      <c r="VBC56" s="10"/>
      <c r="VBD56" s="10"/>
      <c r="VBE56" s="10"/>
      <c r="VBF56" s="10"/>
      <c r="VBG56" s="10"/>
      <c r="VBH56" s="10"/>
      <c r="VBI56" s="10"/>
      <c r="VBJ56" s="10"/>
      <c r="VBK56" s="10"/>
      <c r="VBL56" s="10"/>
      <c r="VBM56" s="10"/>
      <c r="VBN56" s="10"/>
      <c r="VBO56" s="10"/>
      <c r="VBP56" s="10"/>
      <c r="VBQ56" s="10"/>
      <c r="VBR56" s="10"/>
      <c r="VBS56" s="10"/>
      <c r="VBT56" s="10"/>
      <c r="VBU56" s="10"/>
      <c r="VBV56" s="10"/>
      <c r="VBW56" s="10"/>
      <c r="VBX56" s="10"/>
      <c r="VBY56" s="10"/>
      <c r="VBZ56" s="10"/>
      <c r="VCA56" s="10"/>
      <c r="VCB56" s="10"/>
      <c r="VCC56" s="10"/>
      <c r="VCD56" s="10"/>
      <c r="VCE56" s="10"/>
      <c r="VCF56" s="10"/>
      <c r="VCG56" s="10"/>
      <c r="VCH56" s="10"/>
      <c r="VCI56" s="10"/>
      <c r="VCJ56" s="10"/>
      <c r="VCK56" s="10"/>
      <c r="VCL56" s="10"/>
      <c r="VCM56" s="10"/>
      <c r="VCN56" s="10"/>
      <c r="VCO56" s="10"/>
      <c r="VCP56" s="10"/>
      <c r="VCQ56" s="10"/>
      <c r="VCR56" s="10"/>
      <c r="VCS56" s="10"/>
      <c r="VCT56" s="10"/>
      <c r="VCU56" s="10"/>
      <c r="VCV56" s="10"/>
      <c r="VCW56" s="10"/>
      <c r="VCX56" s="10"/>
      <c r="VCY56" s="10"/>
      <c r="VCZ56" s="10"/>
      <c r="VDA56" s="10"/>
      <c r="VDB56" s="10"/>
      <c r="VDC56" s="10"/>
      <c r="VDD56" s="10"/>
      <c r="VDE56" s="10"/>
      <c r="VDF56" s="10"/>
      <c r="VDG56" s="10"/>
      <c r="VDH56" s="10"/>
      <c r="VDI56" s="10"/>
      <c r="VDJ56" s="10"/>
      <c r="VDK56" s="10"/>
      <c r="VDL56" s="10"/>
      <c r="VDM56" s="10"/>
      <c r="VDN56" s="10"/>
      <c r="VDO56" s="10"/>
      <c r="VDP56" s="10"/>
      <c r="VDQ56" s="10"/>
      <c r="VDR56" s="10"/>
      <c r="VDS56" s="10"/>
      <c r="VDT56" s="10"/>
      <c r="VDU56" s="10"/>
      <c r="VDV56" s="10"/>
      <c r="VDW56" s="10"/>
      <c r="VDX56" s="10"/>
      <c r="VDY56" s="10"/>
      <c r="VDZ56" s="10"/>
      <c r="VEA56" s="10"/>
      <c r="VEB56" s="10"/>
      <c r="VEC56" s="10"/>
      <c r="VED56" s="10"/>
      <c r="VEE56" s="10"/>
      <c r="VEF56" s="10"/>
      <c r="VEG56" s="10"/>
      <c r="VEH56" s="10"/>
      <c r="VEI56" s="10"/>
      <c r="VEJ56" s="10"/>
      <c r="VEK56" s="10"/>
      <c r="VEL56" s="10"/>
      <c r="VEM56" s="10"/>
      <c r="VEN56" s="10"/>
      <c r="VEO56" s="10"/>
      <c r="VEP56" s="10"/>
      <c r="VEQ56" s="10"/>
      <c r="VER56" s="10"/>
      <c r="VES56" s="10"/>
      <c r="VET56" s="10"/>
      <c r="VEU56" s="10"/>
      <c r="VEV56" s="10"/>
      <c r="VEW56" s="10"/>
      <c r="VEX56" s="10"/>
      <c r="VEY56" s="10"/>
      <c r="VEZ56" s="10"/>
      <c r="VFA56" s="10"/>
      <c r="VFB56" s="10"/>
      <c r="VFC56" s="10"/>
      <c r="VFD56" s="10"/>
      <c r="VFE56" s="10"/>
      <c r="VFF56" s="10"/>
      <c r="VFG56" s="10"/>
      <c r="VFH56" s="10"/>
      <c r="VFI56" s="10"/>
      <c r="VFJ56" s="10"/>
      <c r="VFK56" s="10"/>
      <c r="VFL56" s="10"/>
      <c r="VFM56" s="10"/>
      <c r="VFN56" s="10"/>
      <c r="VFO56" s="10"/>
      <c r="VFP56" s="10"/>
      <c r="VFQ56" s="10"/>
      <c r="VFR56" s="10"/>
      <c r="VFS56" s="10"/>
      <c r="VFT56" s="10"/>
      <c r="VFU56" s="10"/>
      <c r="VFV56" s="10"/>
      <c r="VFW56" s="10"/>
      <c r="VFX56" s="10"/>
      <c r="VFY56" s="10"/>
      <c r="VFZ56" s="10"/>
      <c r="VGA56" s="10"/>
      <c r="VGB56" s="10"/>
      <c r="VGC56" s="10"/>
      <c r="VGD56" s="10"/>
      <c r="VGE56" s="10"/>
      <c r="VGF56" s="10"/>
      <c r="VGG56" s="10"/>
      <c r="VGH56" s="10"/>
      <c r="VGI56" s="10"/>
      <c r="VGJ56" s="10"/>
      <c r="VGK56" s="10"/>
      <c r="VGL56" s="10"/>
      <c r="VGM56" s="10"/>
      <c r="VGN56" s="10"/>
      <c r="VGO56" s="10"/>
      <c r="VGP56" s="10"/>
      <c r="VGQ56" s="10"/>
      <c r="VGR56" s="10"/>
      <c r="VGS56" s="10"/>
      <c r="VGT56" s="10"/>
      <c r="VGU56" s="10"/>
      <c r="VGV56" s="10"/>
      <c r="VGW56" s="10"/>
      <c r="VGX56" s="10"/>
      <c r="VGY56" s="10"/>
      <c r="VGZ56" s="10"/>
      <c r="VHA56" s="10"/>
      <c r="VHB56" s="10"/>
      <c r="VHC56" s="10"/>
      <c r="VHD56" s="10"/>
      <c r="VHE56" s="10"/>
      <c r="VHF56" s="10"/>
      <c r="VHG56" s="10"/>
      <c r="VHH56" s="10"/>
      <c r="VHI56" s="10"/>
      <c r="VHJ56" s="10"/>
      <c r="VHK56" s="10"/>
      <c r="VHL56" s="10"/>
      <c r="VHM56" s="10"/>
      <c r="VHN56" s="10"/>
      <c r="VHO56" s="10"/>
      <c r="VHP56" s="10"/>
      <c r="VHQ56" s="10"/>
      <c r="VHR56" s="10"/>
      <c r="VHS56" s="10"/>
      <c r="VHT56" s="10"/>
      <c r="VHU56" s="10"/>
      <c r="VHV56" s="10"/>
      <c r="VHW56" s="10"/>
      <c r="VHX56" s="10"/>
      <c r="VHY56" s="10"/>
      <c r="VHZ56" s="10"/>
      <c r="VIA56" s="10"/>
      <c r="VIB56" s="10"/>
      <c r="VIC56" s="10"/>
      <c r="VID56" s="10"/>
      <c r="VIE56" s="10"/>
      <c r="VIF56" s="10"/>
      <c r="VIG56" s="10"/>
      <c r="VIH56" s="10"/>
      <c r="VII56" s="10"/>
      <c r="VIJ56" s="10"/>
      <c r="VIK56" s="10"/>
      <c r="VIL56" s="10"/>
      <c r="VIM56" s="10"/>
      <c r="VIN56" s="10"/>
      <c r="VIO56" s="10"/>
      <c r="VIP56" s="10"/>
      <c r="VIQ56" s="10"/>
      <c r="VIR56" s="10"/>
      <c r="VIS56" s="10"/>
      <c r="VIT56" s="10"/>
      <c r="VIU56" s="10"/>
      <c r="VIV56" s="10"/>
      <c r="VIW56" s="10"/>
      <c r="VIX56" s="10"/>
      <c r="VIY56" s="10"/>
      <c r="VIZ56" s="10"/>
      <c r="VJA56" s="10"/>
      <c r="VJB56" s="10"/>
      <c r="VJC56" s="10"/>
      <c r="VJD56" s="10"/>
      <c r="VJE56" s="10"/>
      <c r="VJF56" s="10"/>
      <c r="VJG56" s="10"/>
      <c r="VJH56" s="10"/>
      <c r="VJI56" s="10"/>
      <c r="VJJ56" s="10"/>
      <c r="VJK56" s="10"/>
      <c r="VJL56" s="10"/>
      <c r="VJM56" s="10"/>
      <c r="VJN56" s="10"/>
      <c r="VJO56" s="10"/>
      <c r="VJP56" s="10"/>
      <c r="VJQ56" s="10"/>
      <c r="VJR56" s="10"/>
      <c r="VJS56" s="10"/>
      <c r="VJT56" s="10"/>
      <c r="VJU56" s="10"/>
      <c r="VJV56" s="10"/>
      <c r="VJW56" s="10"/>
      <c r="VJX56" s="10"/>
      <c r="VJY56" s="10"/>
      <c r="VJZ56" s="10"/>
      <c r="VKA56" s="10"/>
      <c r="VKB56" s="10"/>
      <c r="VKC56" s="10"/>
      <c r="VKD56" s="10"/>
      <c r="VKE56" s="10"/>
      <c r="VKF56" s="10"/>
      <c r="VKG56" s="10"/>
      <c r="VKH56" s="10"/>
      <c r="VKI56" s="10"/>
      <c r="VKJ56" s="10"/>
      <c r="VKK56" s="10"/>
      <c r="VKL56" s="10"/>
      <c r="VKM56" s="10"/>
      <c r="VKN56" s="10"/>
      <c r="VKO56" s="10"/>
      <c r="VKP56" s="10"/>
      <c r="VKQ56" s="10"/>
      <c r="VKR56" s="10"/>
      <c r="VKS56" s="10"/>
      <c r="VKT56" s="10"/>
      <c r="VKU56" s="10"/>
      <c r="VKV56" s="10"/>
      <c r="VKW56" s="10"/>
      <c r="VKX56" s="10"/>
      <c r="VKY56" s="10"/>
      <c r="VKZ56" s="10"/>
      <c r="VLA56" s="10"/>
      <c r="VLB56" s="10"/>
      <c r="VLC56" s="10"/>
      <c r="VLD56" s="10"/>
      <c r="VLE56" s="10"/>
      <c r="VLF56" s="10"/>
      <c r="VLG56" s="10"/>
      <c r="VLH56" s="10"/>
      <c r="VLI56" s="10"/>
      <c r="VLJ56" s="10"/>
      <c r="VLK56" s="10"/>
      <c r="VLL56" s="10"/>
      <c r="VLM56" s="10"/>
      <c r="VLN56" s="10"/>
      <c r="VLO56" s="10"/>
      <c r="VLP56" s="10"/>
      <c r="VLQ56" s="10"/>
      <c r="VLR56" s="10"/>
      <c r="VLS56" s="10"/>
      <c r="VLT56" s="10"/>
      <c r="VLU56" s="10"/>
      <c r="VLV56" s="10"/>
      <c r="VLW56" s="10"/>
      <c r="VLX56" s="10"/>
      <c r="VLY56" s="10"/>
      <c r="VLZ56" s="10"/>
      <c r="VMA56" s="10"/>
      <c r="VMB56" s="10"/>
      <c r="VMC56" s="10"/>
      <c r="VMD56" s="10"/>
      <c r="VME56" s="10"/>
      <c r="VMF56" s="10"/>
      <c r="VMG56" s="10"/>
      <c r="VMH56" s="10"/>
      <c r="VMI56" s="10"/>
      <c r="VMJ56" s="10"/>
      <c r="VMK56" s="10"/>
      <c r="VML56" s="10"/>
      <c r="VMM56" s="10"/>
      <c r="VMN56" s="10"/>
      <c r="VMO56" s="10"/>
      <c r="VMP56" s="10"/>
      <c r="VMQ56" s="10"/>
      <c r="VMR56" s="10"/>
      <c r="VMS56" s="10"/>
      <c r="VMT56" s="10"/>
      <c r="VMU56" s="10"/>
      <c r="VMV56" s="10"/>
      <c r="VMW56" s="10"/>
      <c r="VMX56" s="10"/>
      <c r="VMY56" s="10"/>
      <c r="VMZ56" s="10"/>
      <c r="VNA56" s="10"/>
      <c r="VNB56" s="10"/>
      <c r="VNC56" s="10"/>
      <c r="VND56" s="10"/>
      <c r="VNE56" s="10"/>
      <c r="VNF56" s="10"/>
      <c r="VNG56" s="10"/>
      <c r="VNH56" s="10"/>
      <c r="VNI56" s="10"/>
      <c r="VNJ56" s="10"/>
      <c r="VNK56" s="10"/>
      <c r="VNL56" s="10"/>
      <c r="VNM56" s="10"/>
      <c r="VNN56" s="10"/>
      <c r="VNO56" s="10"/>
      <c r="VNP56" s="10"/>
      <c r="VNQ56" s="10"/>
      <c r="VNR56" s="10"/>
      <c r="VNS56" s="10"/>
      <c r="VNT56" s="10"/>
      <c r="VNU56" s="10"/>
      <c r="VNV56" s="10"/>
      <c r="VNW56" s="10"/>
      <c r="VNX56" s="10"/>
      <c r="VNY56" s="10"/>
      <c r="VNZ56" s="10"/>
      <c r="VOA56" s="10"/>
      <c r="VOB56" s="10"/>
      <c r="VOC56" s="10"/>
      <c r="VOD56" s="10"/>
      <c r="VOE56" s="10"/>
      <c r="VOF56" s="10"/>
      <c r="VOG56" s="10"/>
      <c r="VOH56" s="10"/>
      <c r="VOI56" s="10"/>
      <c r="VOJ56" s="10"/>
      <c r="VOK56" s="10"/>
      <c r="VOL56" s="10"/>
      <c r="VOM56" s="10"/>
      <c r="VON56" s="10"/>
      <c r="VOO56" s="10"/>
      <c r="VOP56" s="10"/>
      <c r="VOQ56" s="10"/>
      <c r="VOR56" s="10"/>
      <c r="VOS56" s="10"/>
      <c r="VOT56" s="10"/>
      <c r="VOU56" s="10"/>
      <c r="VOV56" s="10"/>
      <c r="VOW56" s="10"/>
      <c r="VOX56" s="10"/>
      <c r="VOY56" s="10"/>
      <c r="VOZ56" s="10"/>
      <c r="VPA56" s="10"/>
      <c r="VPB56" s="10"/>
      <c r="VPC56" s="10"/>
      <c r="VPD56" s="10"/>
      <c r="VPE56" s="10"/>
      <c r="VPF56" s="10"/>
      <c r="VPG56" s="10"/>
      <c r="VPH56" s="10"/>
      <c r="VPI56" s="10"/>
      <c r="VPJ56" s="10"/>
      <c r="VPK56" s="10"/>
      <c r="VPL56" s="10"/>
      <c r="VPM56" s="10"/>
      <c r="VPN56" s="10"/>
      <c r="VPO56" s="10"/>
      <c r="VPP56" s="10"/>
      <c r="VPQ56" s="10"/>
      <c r="VPR56" s="10"/>
      <c r="VPS56" s="10"/>
      <c r="VPT56" s="10"/>
      <c r="VPU56" s="10"/>
      <c r="VPV56" s="10"/>
      <c r="VPW56" s="10"/>
      <c r="VPX56" s="10"/>
      <c r="VPY56" s="10"/>
      <c r="VPZ56" s="10"/>
      <c r="VQA56" s="10"/>
      <c r="VQB56" s="10"/>
      <c r="VQC56" s="10"/>
      <c r="VQD56" s="10"/>
      <c r="VQE56" s="10"/>
      <c r="VQF56" s="10"/>
      <c r="VQG56" s="10"/>
      <c r="VQH56" s="10"/>
      <c r="VQI56" s="10"/>
      <c r="VQJ56" s="10"/>
      <c r="VQK56" s="10"/>
      <c r="VQL56" s="10"/>
      <c r="VQM56" s="10"/>
      <c r="VQN56" s="10"/>
      <c r="VQO56" s="10"/>
      <c r="VQP56" s="10"/>
      <c r="VQQ56" s="10"/>
      <c r="VQR56" s="10"/>
      <c r="VQS56" s="10"/>
      <c r="VQT56" s="10"/>
      <c r="VQU56" s="10"/>
      <c r="VQV56" s="10"/>
      <c r="VQW56" s="10"/>
      <c r="VQX56" s="10"/>
      <c r="VQY56" s="10"/>
      <c r="VQZ56" s="10"/>
      <c r="VRA56" s="10"/>
      <c r="VRB56" s="10"/>
      <c r="VRC56" s="10"/>
      <c r="VRD56" s="10"/>
      <c r="VRE56" s="10"/>
      <c r="VRF56" s="10"/>
      <c r="VRG56" s="10"/>
      <c r="VRH56" s="10"/>
      <c r="VRI56" s="10"/>
      <c r="VRJ56" s="10"/>
      <c r="VRK56" s="10"/>
      <c r="VRL56" s="10"/>
      <c r="VRM56" s="10"/>
      <c r="VRN56" s="10"/>
      <c r="VRO56" s="10"/>
      <c r="VRP56" s="10"/>
      <c r="VRQ56" s="10"/>
      <c r="VRR56" s="10"/>
      <c r="VRS56" s="10"/>
      <c r="VRT56" s="10"/>
      <c r="VRU56" s="10"/>
      <c r="VRV56" s="10"/>
      <c r="VRW56" s="10"/>
      <c r="VRX56" s="10"/>
      <c r="VRY56" s="10"/>
      <c r="VRZ56" s="10"/>
      <c r="VSA56" s="10"/>
      <c r="VSB56" s="10"/>
      <c r="VSC56" s="10"/>
      <c r="VSD56" s="10"/>
      <c r="VSE56" s="10"/>
      <c r="VSF56" s="10"/>
      <c r="VSG56" s="10"/>
      <c r="VSH56" s="10"/>
      <c r="VSI56" s="10"/>
      <c r="VSJ56" s="10"/>
      <c r="VSK56" s="10"/>
      <c r="VSL56" s="10"/>
      <c r="VSM56" s="10"/>
      <c r="VSN56" s="10"/>
      <c r="VSO56" s="10"/>
      <c r="VSP56" s="10"/>
      <c r="VSQ56" s="10"/>
      <c r="VSR56" s="10"/>
      <c r="VSS56" s="10"/>
      <c r="VST56" s="10"/>
      <c r="VSU56" s="10"/>
      <c r="VSV56" s="10"/>
      <c r="VSW56" s="10"/>
      <c r="VSX56" s="10"/>
      <c r="VSY56" s="10"/>
      <c r="VSZ56" s="10"/>
      <c r="VTA56" s="10"/>
      <c r="VTB56" s="10"/>
      <c r="VTC56" s="10"/>
      <c r="VTD56" s="10"/>
      <c r="VTE56" s="10"/>
      <c r="VTF56" s="10"/>
      <c r="VTG56" s="10"/>
      <c r="VTH56" s="10"/>
      <c r="VTI56" s="10"/>
      <c r="VTJ56" s="10"/>
      <c r="VTK56" s="10"/>
      <c r="VTL56" s="10"/>
      <c r="VTM56" s="10"/>
      <c r="VTN56" s="10"/>
      <c r="VTO56" s="10"/>
      <c r="VTP56" s="10"/>
      <c r="VTQ56" s="10"/>
      <c r="VTR56" s="10"/>
      <c r="VTS56" s="10"/>
      <c r="VTT56" s="10"/>
      <c r="VTU56" s="10"/>
      <c r="VTV56" s="10"/>
      <c r="VTW56" s="10"/>
      <c r="VTX56" s="10"/>
      <c r="VTY56" s="10"/>
      <c r="VTZ56" s="10"/>
      <c r="VUA56" s="10"/>
      <c r="VUB56" s="10"/>
      <c r="VUC56" s="10"/>
      <c r="VUD56" s="10"/>
      <c r="VUE56" s="10"/>
      <c r="VUF56" s="10"/>
      <c r="VUG56" s="10"/>
      <c r="VUH56" s="10"/>
      <c r="VUI56" s="10"/>
      <c r="VUJ56" s="10"/>
      <c r="VUK56" s="10"/>
      <c r="VUL56" s="10"/>
      <c r="VUM56" s="10"/>
      <c r="VUN56" s="10"/>
      <c r="VUO56" s="10"/>
      <c r="VUP56" s="10"/>
      <c r="VUQ56" s="10"/>
      <c r="VUR56" s="10"/>
      <c r="VUS56" s="10"/>
      <c r="VUT56" s="10"/>
      <c r="VUU56" s="10"/>
      <c r="VUV56" s="10"/>
      <c r="VUW56" s="10"/>
      <c r="VUX56" s="10"/>
      <c r="VUY56" s="10"/>
      <c r="VUZ56" s="10"/>
      <c r="VVA56" s="10"/>
      <c r="VVB56" s="10"/>
      <c r="VVC56" s="10"/>
      <c r="VVD56" s="10"/>
      <c r="VVE56" s="10"/>
      <c r="VVF56" s="10"/>
      <c r="VVG56" s="10"/>
      <c r="VVH56" s="10"/>
      <c r="VVI56" s="10"/>
      <c r="VVJ56" s="10"/>
      <c r="VVK56" s="10"/>
      <c r="VVL56" s="10"/>
      <c r="VVM56" s="10"/>
      <c r="VVN56" s="10"/>
      <c r="VVO56" s="10"/>
      <c r="VVP56" s="10"/>
      <c r="VVQ56" s="10"/>
      <c r="VVR56" s="10"/>
      <c r="VVS56" s="10"/>
      <c r="VVT56" s="10"/>
      <c r="VVU56" s="10"/>
      <c r="VVV56" s="10"/>
      <c r="VVW56" s="10"/>
      <c r="VVX56" s="10"/>
      <c r="VVY56" s="10"/>
      <c r="VVZ56" s="10"/>
      <c r="VWA56" s="10"/>
      <c r="VWB56" s="10"/>
      <c r="VWC56" s="10"/>
      <c r="VWD56" s="10"/>
      <c r="VWE56" s="10"/>
      <c r="VWF56" s="10"/>
      <c r="VWG56" s="10"/>
      <c r="VWH56" s="10"/>
      <c r="VWI56" s="10"/>
      <c r="VWJ56" s="10"/>
      <c r="VWK56" s="10"/>
      <c r="VWL56" s="10"/>
      <c r="VWM56" s="10"/>
      <c r="VWN56" s="10"/>
      <c r="VWO56" s="10"/>
      <c r="VWP56" s="10"/>
      <c r="VWQ56" s="10"/>
      <c r="VWR56" s="10"/>
      <c r="VWS56" s="10"/>
      <c r="VWT56" s="10"/>
      <c r="VWU56" s="10"/>
      <c r="VWV56" s="10"/>
      <c r="VWW56" s="10"/>
      <c r="VWX56" s="10"/>
      <c r="VWY56" s="10"/>
      <c r="VWZ56" s="10"/>
      <c r="VXA56" s="10"/>
      <c r="VXB56" s="10"/>
      <c r="VXC56" s="10"/>
      <c r="VXD56" s="10"/>
      <c r="VXE56" s="10"/>
      <c r="VXF56" s="10"/>
      <c r="VXG56" s="10"/>
      <c r="VXH56" s="10"/>
      <c r="VXI56" s="10"/>
      <c r="VXJ56" s="10"/>
      <c r="VXK56" s="10"/>
      <c r="VXL56" s="10"/>
      <c r="VXM56" s="10"/>
      <c r="VXN56" s="10"/>
      <c r="VXO56" s="10"/>
      <c r="VXP56" s="10"/>
      <c r="VXQ56" s="10"/>
      <c r="VXR56" s="10"/>
      <c r="VXS56" s="10"/>
      <c r="VXT56" s="10"/>
      <c r="VXU56" s="10"/>
      <c r="VXV56" s="10"/>
      <c r="VXW56" s="10"/>
      <c r="VXX56" s="10"/>
      <c r="VXY56" s="10"/>
      <c r="VXZ56" s="10"/>
      <c r="VYA56" s="10"/>
      <c r="VYB56" s="10"/>
      <c r="VYC56" s="10"/>
      <c r="VYD56" s="10"/>
      <c r="VYE56" s="10"/>
      <c r="VYF56" s="10"/>
      <c r="VYG56" s="10"/>
      <c r="VYH56" s="10"/>
      <c r="VYI56" s="10"/>
      <c r="VYJ56" s="10"/>
      <c r="VYK56" s="10"/>
      <c r="VYL56" s="10"/>
      <c r="VYM56" s="10"/>
      <c r="VYN56" s="10"/>
      <c r="VYO56" s="10"/>
      <c r="VYP56" s="10"/>
      <c r="VYQ56" s="10"/>
      <c r="VYR56" s="10"/>
      <c r="VYS56" s="10"/>
      <c r="VYT56" s="10"/>
      <c r="VYU56" s="10"/>
      <c r="VYV56" s="10"/>
      <c r="VYW56" s="10"/>
      <c r="VYX56" s="10"/>
      <c r="VYY56" s="10"/>
      <c r="VYZ56" s="10"/>
      <c r="VZA56" s="10"/>
      <c r="VZB56" s="10"/>
      <c r="VZC56" s="10"/>
      <c r="VZD56" s="10"/>
      <c r="VZE56" s="10"/>
      <c r="VZF56" s="10"/>
      <c r="VZG56" s="10"/>
      <c r="VZH56" s="10"/>
      <c r="VZI56" s="10"/>
      <c r="VZJ56" s="10"/>
      <c r="VZK56" s="10"/>
      <c r="VZL56" s="10"/>
      <c r="VZM56" s="10"/>
      <c r="VZN56" s="10"/>
      <c r="VZO56" s="10"/>
      <c r="VZP56" s="10"/>
      <c r="VZQ56" s="10"/>
      <c r="VZR56" s="10"/>
      <c r="VZS56" s="10"/>
      <c r="VZT56" s="10"/>
      <c r="VZU56" s="10"/>
      <c r="VZV56" s="10"/>
      <c r="VZW56" s="10"/>
      <c r="VZX56" s="10"/>
      <c r="VZY56" s="10"/>
      <c r="VZZ56" s="10"/>
      <c r="WAA56" s="10"/>
      <c r="WAB56" s="10"/>
      <c r="WAC56" s="10"/>
      <c r="WAD56" s="10"/>
      <c r="WAE56" s="10"/>
      <c r="WAF56" s="10"/>
      <c r="WAG56" s="10"/>
      <c r="WAH56" s="10"/>
      <c r="WAI56" s="10"/>
      <c r="WAJ56" s="10"/>
      <c r="WAK56" s="10"/>
      <c r="WAL56" s="10"/>
      <c r="WAM56" s="10"/>
      <c r="WAN56" s="10"/>
      <c r="WAO56" s="10"/>
      <c r="WAP56" s="10"/>
      <c r="WAQ56" s="10"/>
      <c r="WAR56" s="10"/>
      <c r="WAS56" s="10"/>
      <c r="WAT56" s="10"/>
      <c r="WAU56" s="10"/>
      <c r="WAV56" s="10"/>
      <c r="WAW56" s="10"/>
      <c r="WAX56" s="10"/>
      <c r="WAY56" s="10"/>
      <c r="WAZ56" s="10"/>
      <c r="WBA56" s="10"/>
      <c r="WBB56" s="10"/>
      <c r="WBC56" s="10"/>
      <c r="WBD56" s="10"/>
      <c r="WBE56" s="10"/>
      <c r="WBF56" s="10"/>
      <c r="WBG56" s="10"/>
      <c r="WBH56" s="10"/>
      <c r="WBI56" s="10"/>
      <c r="WBJ56" s="10"/>
      <c r="WBK56" s="10"/>
      <c r="WBL56" s="10"/>
      <c r="WBM56" s="10"/>
      <c r="WBN56" s="10"/>
      <c r="WBO56" s="10"/>
      <c r="WBP56" s="10"/>
      <c r="WBQ56" s="10"/>
      <c r="WBR56" s="10"/>
      <c r="WBS56" s="10"/>
      <c r="WBT56" s="10"/>
      <c r="WBU56" s="10"/>
      <c r="WBV56" s="10"/>
      <c r="WBW56" s="10"/>
      <c r="WBX56" s="10"/>
      <c r="WBY56" s="10"/>
      <c r="WBZ56" s="10"/>
      <c r="WCA56" s="10"/>
      <c r="WCB56" s="10"/>
      <c r="WCC56" s="10"/>
      <c r="WCD56" s="10"/>
      <c r="WCE56" s="10"/>
      <c r="WCF56" s="10"/>
      <c r="WCG56" s="10"/>
      <c r="WCH56" s="10"/>
      <c r="WCI56" s="10"/>
      <c r="WCJ56" s="10"/>
      <c r="WCK56" s="10"/>
      <c r="WCL56" s="10"/>
      <c r="WCM56" s="10"/>
      <c r="WCN56" s="10"/>
      <c r="WCO56" s="10"/>
      <c r="WCP56" s="10"/>
      <c r="WCQ56" s="10"/>
      <c r="WCR56" s="10"/>
      <c r="WCS56" s="10"/>
      <c r="WCT56" s="10"/>
      <c r="WCU56" s="10"/>
      <c r="WCV56" s="10"/>
      <c r="WCW56" s="10"/>
      <c r="WCX56" s="10"/>
      <c r="WCY56" s="10"/>
      <c r="WCZ56" s="10"/>
      <c r="WDA56" s="10"/>
      <c r="WDB56" s="10"/>
      <c r="WDC56" s="10"/>
      <c r="WDD56" s="10"/>
      <c r="WDE56" s="10"/>
      <c r="WDF56" s="10"/>
      <c r="WDG56" s="10"/>
      <c r="WDH56" s="10"/>
      <c r="WDI56" s="10"/>
      <c r="WDJ56" s="10"/>
      <c r="WDK56" s="10"/>
      <c r="WDL56" s="10"/>
      <c r="WDM56" s="10"/>
      <c r="WDN56" s="10"/>
      <c r="WDO56" s="10"/>
      <c r="WDP56" s="10"/>
      <c r="WDQ56" s="10"/>
      <c r="WDR56" s="10"/>
      <c r="WDS56" s="10"/>
      <c r="WDT56" s="10"/>
      <c r="WDU56" s="10"/>
      <c r="WDV56" s="10"/>
      <c r="WDW56" s="10"/>
      <c r="WDX56" s="10"/>
      <c r="WDY56" s="10"/>
      <c r="WDZ56" s="10"/>
      <c r="WEA56" s="10"/>
      <c r="WEB56" s="10"/>
      <c r="WEC56" s="10"/>
      <c r="WED56" s="10"/>
      <c r="WEE56" s="10"/>
      <c r="WEF56" s="10"/>
      <c r="WEG56" s="10"/>
      <c r="WEH56" s="10"/>
      <c r="WEI56" s="10"/>
      <c r="WEJ56" s="10"/>
      <c r="WEK56" s="10"/>
      <c r="WEL56" s="10"/>
      <c r="WEM56" s="10"/>
      <c r="WEN56" s="10"/>
      <c r="WEO56" s="10"/>
      <c r="WEP56" s="10"/>
      <c r="WEQ56" s="10"/>
      <c r="WER56" s="10"/>
      <c r="WES56" s="10"/>
      <c r="WET56" s="10"/>
      <c r="WEU56" s="10"/>
      <c r="WEV56" s="10"/>
      <c r="WEW56" s="10"/>
      <c r="WEX56" s="10"/>
      <c r="WEY56" s="10"/>
      <c r="WEZ56" s="10"/>
      <c r="WFA56" s="10"/>
      <c r="WFB56" s="10"/>
      <c r="WFC56" s="10"/>
      <c r="WFD56" s="10"/>
      <c r="WFE56" s="10"/>
      <c r="WFF56" s="10"/>
      <c r="WFG56" s="10"/>
      <c r="WFH56" s="10"/>
      <c r="WFI56" s="10"/>
      <c r="WFJ56" s="10"/>
      <c r="WFK56" s="10"/>
      <c r="WFL56" s="10"/>
      <c r="WFM56" s="10"/>
      <c r="WFN56" s="10"/>
      <c r="WFO56" s="10"/>
      <c r="WFP56" s="10"/>
      <c r="WFQ56" s="10"/>
      <c r="WFR56" s="10"/>
      <c r="WFS56" s="10"/>
      <c r="WFT56" s="10"/>
      <c r="WFU56" s="10"/>
      <c r="WFV56" s="10"/>
      <c r="WFW56" s="10"/>
      <c r="WFX56" s="10"/>
      <c r="WFY56" s="10"/>
      <c r="WFZ56" s="10"/>
      <c r="WGA56" s="10"/>
      <c r="WGB56" s="10"/>
      <c r="WGC56" s="10"/>
      <c r="WGD56" s="10"/>
      <c r="WGE56" s="10"/>
      <c r="WGF56" s="10"/>
      <c r="WGG56" s="10"/>
      <c r="WGH56" s="10"/>
      <c r="WGI56" s="10"/>
      <c r="WGJ56" s="10"/>
      <c r="WGK56" s="10"/>
      <c r="WGL56" s="10"/>
      <c r="WGM56" s="10"/>
      <c r="WGN56" s="10"/>
      <c r="WGO56" s="10"/>
      <c r="WGP56" s="10"/>
      <c r="WGQ56" s="10"/>
      <c r="WGR56" s="10"/>
      <c r="WGS56" s="10"/>
      <c r="WGT56" s="10"/>
      <c r="WGU56" s="10"/>
      <c r="WGV56" s="10"/>
      <c r="WGW56" s="10"/>
      <c r="WGX56" s="10"/>
      <c r="WGY56" s="10"/>
      <c r="WGZ56" s="10"/>
      <c r="WHA56" s="10"/>
      <c r="WHB56" s="10"/>
      <c r="WHC56" s="10"/>
      <c r="WHD56" s="10"/>
      <c r="WHE56" s="10"/>
      <c r="WHF56" s="10"/>
      <c r="WHG56" s="10"/>
      <c r="WHH56" s="10"/>
      <c r="WHI56" s="10"/>
      <c r="WHJ56" s="10"/>
      <c r="WHK56" s="10"/>
      <c r="WHL56" s="10"/>
      <c r="WHM56" s="10"/>
      <c r="WHN56" s="10"/>
      <c r="WHO56" s="10"/>
      <c r="WHP56" s="10"/>
      <c r="WHQ56" s="10"/>
      <c r="WHR56" s="10"/>
      <c r="WHS56" s="10"/>
      <c r="WHT56" s="10"/>
      <c r="WHU56" s="10"/>
      <c r="WHV56" s="10"/>
      <c r="WHW56" s="10"/>
      <c r="WHX56" s="10"/>
      <c r="WHY56" s="10"/>
      <c r="WHZ56" s="10"/>
      <c r="WIA56" s="10"/>
      <c r="WIB56" s="10"/>
      <c r="WIC56" s="10"/>
      <c r="WID56" s="10"/>
      <c r="WIE56" s="10"/>
      <c r="WIF56" s="10"/>
      <c r="WIG56" s="10"/>
      <c r="WIH56" s="10"/>
      <c r="WII56" s="10"/>
      <c r="WIJ56" s="10"/>
      <c r="WIK56" s="10"/>
      <c r="WIL56" s="10"/>
      <c r="WIM56" s="10"/>
      <c r="WIN56" s="10"/>
      <c r="WIO56" s="10"/>
      <c r="WIP56" s="10"/>
      <c r="WIQ56" s="10"/>
      <c r="WIR56" s="10"/>
      <c r="WIS56" s="10"/>
      <c r="WIT56" s="10"/>
      <c r="WIU56" s="10"/>
      <c r="WIV56" s="10"/>
      <c r="WIW56" s="10"/>
      <c r="WIX56" s="10"/>
      <c r="WIY56" s="10"/>
      <c r="WIZ56" s="10"/>
      <c r="WJA56" s="10"/>
      <c r="WJB56" s="10"/>
      <c r="WJC56" s="10"/>
      <c r="WJD56" s="10"/>
      <c r="WJE56" s="10"/>
      <c r="WJF56" s="10"/>
      <c r="WJG56" s="10"/>
      <c r="WJH56" s="10"/>
      <c r="WJI56" s="10"/>
      <c r="WJJ56" s="10"/>
      <c r="WJK56" s="10"/>
      <c r="WJL56" s="10"/>
      <c r="WJM56" s="10"/>
      <c r="WJN56" s="10"/>
      <c r="WJO56" s="10"/>
      <c r="WJP56" s="10"/>
      <c r="WJQ56" s="10"/>
      <c r="WJR56" s="10"/>
      <c r="WJS56" s="10"/>
      <c r="WJT56" s="10"/>
      <c r="WJU56" s="10"/>
      <c r="WJV56" s="10"/>
      <c r="WJW56" s="10"/>
      <c r="WJX56" s="10"/>
      <c r="WJY56" s="10"/>
      <c r="WJZ56" s="10"/>
      <c r="WKA56" s="10"/>
      <c r="WKB56" s="10"/>
      <c r="WKC56" s="10"/>
      <c r="WKD56" s="10"/>
      <c r="WKE56" s="10"/>
      <c r="WKF56" s="10"/>
      <c r="WKG56" s="10"/>
      <c r="WKH56" s="10"/>
      <c r="WKI56" s="10"/>
      <c r="WKJ56" s="10"/>
      <c r="WKK56" s="10"/>
      <c r="WKL56" s="10"/>
      <c r="WKM56" s="10"/>
      <c r="WKN56" s="10"/>
      <c r="WKO56" s="10"/>
      <c r="WKP56" s="10"/>
      <c r="WKQ56" s="10"/>
      <c r="WKR56" s="10"/>
      <c r="WKS56" s="10"/>
      <c r="WKT56" s="10"/>
      <c r="WKU56" s="10"/>
      <c r="WKV56" s="10"/>
      <c r="WKW56" s="10"/>
      <c r="WKX56" s="10"/>
      <c r="WKY56" s="10"/>
      <c r="WKZ56" s="10"/>
      <c r="WLA56" s="10"/>
      <c r="WLB56" s="10"/>
      <c r="WLC56" s="10"/>
      <c r="WLD56" s="10"/>
      <c r="WLE56" s="10"/>
      <c r="WLF56" s="10"/>
      <c r="WLG56" s="10"/>
      <c r="WLH56" s="10"/>
      <c r="WLI56" s="10"/>
      <c r="WLJ56" s="10"/>
      <c r="WLK56" s="10"/>
      <c r="WLL56" s="10"/>
      <c r="WLM56" s="10"/>
      <c r="WLN56" s="10"/>
      <c r="WLO56" s="10"/>
      <c r="WLP56" s="10"/>
      <c r="WLQ56" s="10"/>
      <c r="WLR56" s="10"/>
      <c r="WLS56" s="10"/>
      <c r="WLT56" s="10"/>
      <c r="WLU56" s="10"/>
      <c r="WLV56" s="10"/>
      <c r="WLW56" s="10"/>
      <c r="WLX56" s="10"/>
      <c r="WLY56" s="10"/>
      <c r="WLZ56" s="10"/>
      <c r="WMA56" s="10"/>
      <c r="WMB56" s="10"/>
      <c r="WMC56" s="10"/>
      <c r="WMD56" s="10"/>
      <c r="WME56" s="10"/>
      <c r="WMF56" s="10"/>
      <c r="WMG56" s="10"/>
      <c r="WMH56" s="10"/>
      <c r="WMI56" s="10"/>
      <c r="WMJ56" s="10"/>
      <c r="WMK56" s="10"/>
      <c r="WML56" s="10"/>
      <c r="WMM56" s="10"/>
      <c r="WMN56" s="10"/>
      <c r="WMO56" s="10"/>
      <c r="WMP56" s="10"/>
      <c r="WMQ56" s="10"/>
      <c r="WMR56" s="10"/>
      <c r="WMS56" s="10"/>
      <c r="WMT56" s="10"/>
      <c r="WMU56" s="10"/>
      <c r="WMV56" s="10"/>
      <c r="WMW56" s="10"/>
      <c r="WMX56" s="10"/>
      <c r="WMY56" s="10"/>
      <c r="WMZ56" s="10"/>
      <c r="WNA56" s="10"/>
      <c r="WNB56" s="10"/>
      <c r="WNC56" s="10"/>
      <c r="WND56" s="10"/>
      <c r="WNE56" s="10"/>
      <c r="WNF56" s="10"/>
      <c r="WNG56" s="10"/>
      <c r="WNH56" s="10"/>
      <c r="WNI56" s="10"/>
      <c r="WNJ56" s="10"/>
      <c r="WNK56" s="10"/>
      <c r="WNL56" s="10"/>
      <c r="WNM56" s="10"/>
      <c r="WNN56" s="10"/>
      <c r="WNO56" s="10"/>
      <c r="WNP56" s="10"/>
      <c r="WNQ56" s="10"/>
      <c r="WNR56" s="10"/>
      <c r="WNS56" s="10"/>
      <c r="WNT56" s="10"/>
      <c r="WNU56" s="10"/>
      <c r="WNV56" s="10"/>
      <c r="WNW56" s="10"/>
      <c r="WNX56" s="10"/>
      <c r="WNY56" s="10"/>
      <c r="WNZ56" s="10"/>
      <c r="WOA56" s="10"/>
      <c r="WOB56" s="10"/>
      <c r="WOC56" s="10"/>
      <c r="WOD56" s="10"/>
      <c r="WOE56" s="10"/>
      <c r="WOF56" s="10"/>
      <c r="WOG56" s="10"/>
      <c r="WOH56" s="10"/>
      <c r="WOI56" s="10"/>
      <c r="WOJ56" s="10"/>
      <c r="WOK56" s="10"/>
      <c r="WOL56" s="10"/>
      <c r="WOM56" s="10"/>
      <c r="WON56" s="10"/>
      <c r="WOO56" s="10"/>
      <c r="WOP56" s="10"/>
      <c r="WOQ56" s="10"/>
      <c r="WOR56" s="10"/>
      <c r="WOS56" s="10"/>
      <c r="WOT56" s="10"/>
      <c r="WOU56" s="10"/>
      <c r="WOV56" s="10"/>
      <c r="WOW56" s="10"/>
      <c r="WOX56" s="10"/>
      <c r="WOY56" s="10"/>
      <c r="WOZ56" s="10"/>
      <c r="WPA56" s="10"/>
      <c r="WPB56" s="10"/>
      <c r="WPC56" s="10"/>
      <c r="WPD56" s="10"/>
      <c r="WPE56" s="10"/>
      <c r="WPF56" s="10"/>
      <c r="WPG56" s="10"/>
      <c r="WPH56" s="10"/>
      <c r="WPI56" s="10"/>
      <c r="WPJ56" s="10"/>
      <c r="WPK56" s="10"/>
      <c r="WPL56" s="10"/>
      <c r="WPM56" s="10"/>
      <c r="WPN56" s="10"/>
      <c r="WPO56" s="10"/>
      <c r="WPP56" s="10"/>
      <c r="WPQ56" s="10"/>
      <c r="WPR56" s="10"/>
      <c r="WPS56" s="10"/>
      <c r="WPT56" s="10"/>
      <c r="WPU56" s="10"/>
      <c r="WPV56" s="10"/>
      <c r="WPW56" s="10"/>
      <c r="WPX56" s="10"/>
      <c r="WPY56" s="10"/>
      <c r="WPZ56" s="10"/>
      <c r="WQA56" s="10"/>
      <c r="WQB56" s="10"/>
      <c r="WQC56" s="10"/>
      <c r="WQD56" s="10"/>
      <c r="WQE56" s="10"/>
      <c r="WQF56" s="10"/>
      <c r="WQG56" s="10"/>
      <c r="WQH56" s="10"/>
      <c r="WQI56" s="10"/>
      <c r="WQJ56" s="10"/>
      <c r="WQK56" s="10"/>
      <c r="WQL56" s="10"/>
      <c r="WQM56" s="10"/>
      <c r="WQN56" s="10"/>
      <c r="WQO56" s="10"/>
      <c r="WQP56" s="10"/>
      <c r="WQQ56" s="10"/>
      <c r="WQR56" s="10"/>
      <c r="WQS56" s="10"/>
      <c r="WQT56" s="10"/>
      <c r="WQU56" s="10"/>
      <c r="WQV56" s="10"/>
      <c r="WQW56" s="10"/>
      <c r="WQX56" s="10"/>
      <c r="WQY56" s="10"/>
      <c r="WQZ56" s="10"/>
      <c r="WRA56" s="10"/>
      <c r="WRB56" s="10"/>
      <c r="WRC56" s="10"/>
      <c r="WRD56" s="10"/>
      <c r="WRE56" s="10"/>
      <c r="WRF56" s="10"/>
      <c r="WRG56" s="10"/>
      <c r="WRH56" s="10"/>
      <c r="WRI56" s="10"/>
      <c r="WRJ56" s="10"/>
      <c r="WRK56" s="10"/>
      <c r="WRL56" s="10"/>
      <c r="WRM56" s="10"/>
      <c r="WRN56" s="10"/>
      <c r="WRO56" s="10"/>
      <c r="WRP56" s="10"/>
      <c r="WRQ56" s="10"/>
      <c r="WRR56" s="10"/>
      <c r="WRS56" s="10"/>
      <c r="WRT56" s="10"/>
      <c r="WRU56" s="10"/>
      <c r="WRV56" s="10"/>
      <c r="WRW56" s="10"/>
      <c r="WRX56" s="10"/>
      <c r="WRY56" s="10"/>
      <c r="WRZ56" s="10"/>
      <c r="WSA56" s="10"/>
      <c r="WSB56" s="10"/>
      <c r="WSC56" s="10"/>
      <c r="WSD56" s="10"/>
      <c r="WSE56" s="10"/>
      <c r="WSF56" s="10"/>
      <c r="WSG56" s="10"/>
      <c r="WSH56" s="10"/>
      <c r="WSI56" s="10"/>
      <c r="WSJ56" s="10"/>
      <c r="WSK56" s="10"/>
      <c r="WSL56" s="10"/>
      <c r="WSM56" s="10"/>
      <c r="WSN56" s="10"/>
      <c r="WSO56" s="10"/>
      <c r="WSP56" s="10"/>
      <c r="WSQ56" s="10"/>
      <c r="WSR56" s="10"/>
      <c r="WSS56" s="10"/>
      <c r="WST56" s="10"/>
      <c r="WSU56" s="10"/>
      <c r="WSV56" s="10"/>
      <c r="WSW56" s="10"/>
      <c r="WSX56" s="10"/>
      <c r="WSY56" s="10"/>
      <c r="WSZ56" s="10"/>
      <c r="WTA56" s="10"/>
      <c r="WTB56" s="10"/>
      <c r="WTC56" s="10"/>
      <c r="WTD56" s="10"/>
      <c r="WTE56" s="10"/>
      <c r="WTF56" s="10"/>
      <c r="WTG56" s="10"/>
      <c r="WTH56" s="10"/>
      <c r="WTI56" s="10"/>
      <c r="WTJ56" s="10"/>
      <c r="WTK56" s="10"/>
      <c r="WTL56" s="10"/>
      <c r="WTM56" s="10"/>
      <c r="WTN56" s="10"/>
      <c r="WTO56" s="10"/>
      <c r="WTP56" s="10"/>
      <c r="WTQ56" s="10"/>
      <c r="WTR56" s="10"/>
      <c r="WTS56" s="10"/>
      <c r="WTT56" s="10"/>
      <c r="WTU56" s="10"/>
      <c r="WTV56" s="10"/>
      <c r="WTW56" s="10"/>
      <c r="WTX56" s="10"/>
      <c r="WTY56" s="10"/>
      <c r="WTZ56" s="10"/>
      <c r="WUA56" s="10"/>
      <c r="WUB56" s="10"/>
      <c r="WUC56" s="10"/>
      <c r="WUD56" s="10"/>
      <c r="WUE56" s="10"/>
      <c r="WUF56" s="10"/>
      <c r="WUG56" s="10"/>
      <c r="WUH56" s="10"/>
      <c r="WUI56" s="10"/>
      <c r="WUJ56" s="10"/>
      <c r="WUK56" s="10"/>
      <c r="WUL56" s="10"/>
      <c r="WUM56" s="10"/>
      <c r="WUN56" s="10"/>
      <c r="WUO56" s="10"/>
      <c r="WUP56" s="10"/>
      <c r="WUQ56" s="10"/>
      <c r="WUR56" s="10"/>
      <c r="WUS56" s="10"/>
      <c r="WUT56" s="10"/>
      <c r="WUU56" s="10"/>
      <c r="WUV56" s="10"/>
      <c r="WUW56" s="10"/>
      <c r="WUX56" s="10"/>
      <c r="WUY56" s="10"/>
      <c r="WUZ56" s="10"/>
      <c r="WVA56" s="10"/>
      <c r="WVB56" s="10"/>
      <c r="WVC56" s="10"/>
      <c r="WVD56" s="10"/>
      <c r="WVE56" s="10"/>
      <c r="WVF56" s="10"/>
      <c r="WVG56" s="10"/>
      <c r="WVH56" s="10"/>
      <c r="WVI56" s="10"/>
      <c r="WVJ56" s="10"/>
      <c r="WVK56" s="10"/>
      <c r="WVL56" s="10"/>
      <c r="WVM56" s="10"/>
      <c r="WVN56" s="10"/>
      <c r="WVO56" s="10"/>
      <c r="WVP56" s="10"/>
      <c r="WVQ56" s="10"/>
      <c r="WVR56" s="10"/>
      <c r="WVS56" s="10"/>
      <c r="WVT56" s="10"/>
    </row>
    <row r="57" spans="2:16140" s="242" customFormat="1" ht="21" customHeight="1">
      <c r="B57" s="241"/>
      <c r="C57" s="332"/>
      <c r="D57" s="337"/>
      <c r="F57" s="244"/>
      <c r="G57" s="245"/>
      <c r="H57" s="333"/>
      <c r="I57" s="333"/>
      <c r="J57" s="333"/>
      <c r="K57" s="333"/>
      <c r="L57" s="334"/>
      <c r="M57" s="10"/>
      <c r="N57" s="18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 s="10"/>
      <c r="GM57" s="10"/>
      <c r="GN57" s="10"/>
      <c r="GO57" s="10"/>
      <c r="GP57" s="10"/>
      <c r="GQ57" s="10"/>
      <c r="GR57" s="10"/>
      <c r="GS57" s="10"/>
      <c r="GT57" s="10"/>
      <c r="GU57" s="10"/>
      <c r="GV57" s="10"/>
      <c r="GW57" s="10"/>
      <c r="GX57" s="10"/>
      <c r="GY57" s="10"/>
      <c r="GZ57" s="10"/>
      <c r="HA57" s="10"/>
      <c r="HB57" s="10"/>
      <c r="HC57" s="10"/>
      <c r="HD57" s="10"/>
      <c r="HE57" s="10"/>
      <c r="HF57" s="10"/>
      <c r="HG57" s="10"/>
      <c r="HH57" s="10"/>
      <c r="HI57" s="10"/>
      <c r="HJ57" s="10"/>
      <c r="HK57" s="10"/>
      <c r="HL57" s="10"/>
      <c r="HM57" s="10"/>
      <c r="HN57" s="10"/>
      <c r="HO57" s="10"/>
      <c r="HP57" s="10"/>
      <c r="HQ57" s="10"/>
      <c r="HR57" s="10"/>
      <c r="HS57" s="10"/>
      <c r="HT57" s="10"/>
      <c r="HU57" s="10"/>
      <c r="HV57" s="10"/>
      <c r="HW57" s="10"/>
      <c r="HX57" s="10"/>
      <c r="HY57" s="10"/>
      <c r="HZ57" s="10"/>
      <c r="IA57" s="10"/>
      <c r="IB57" s="10"/>
      <c r="IC57" s="10"/>
      <c r="ID57" s="10"/>
      <c r="IE57" s="10"/>
      <c r="IF57" s="10"/>
      <c r="IG57" s="10"/>
      <c r="IH57" s="10"/>
      <c r="II57" s="10"/>
      <c r="IJ57" s="10"/>
      <c r="IK57" s="10"/>
      <c r="IL57" s="10"/>
      <c r="IM57" s="10"/>
      <c r="IN57" s="10"/>
      <c r="IO57" s="10"/>
      <c r="IP57" s="10"/>
      <c r="IQ57" s="10"/>
      <c r="IR57" s="10"/>
      <c r="IS57" s="10"/>
      <c r="IT57" s="10"/>
      <c r="IU57" s="10"/>
      <c r="IV57" s="10"/>
      <c r="IW57" s="10"/>
      <c r="IX57" s="10"/>
      <c r="IY57" s="10"/>
      <c r="IZ57" s="10"/>
      <c r="JA57" s="10"/>
      <c r="JB57" s="10"/>
      <c r="JC57" s="10"/>
      <c r="JD57" s="10"/>
      <c r="JE57" s="10"/>
      <c r="JF57" s="10"/>
      <c r="JG57" s="10"/>
      <c r="JH57" s="10"/>
      <c r="JI57" s="10"/>
      <c r="JJ57" s="10"/>
      <c r="JK57" s="10"/>
      <c r="JL57" s="10"/>
      <c r="JM57" s="10"/>
      <c r="JN57" s="10"/>
      <c r="JO57" s="10"/>
      <c r="JP57" s="10"/>
      <c r="JQ57" s="10"/>
      <c r="JR57" s="10"/>
      <c r="JS57" s="10"/>
      <c r="JT57" s="10"/>
      <c r="JU57" s="10"/>
      <c r="JV57" s="10"/>
      <c r="JW57" s="10"/>
      <c r="JX57" s="10"/>
      <c r="JY57" s="10"/>
      <c r="JZ57" s="10"/>
      <c r="KA57" s="10"/>
      <c r="KB57" s="10"/>
      <c r="KC57" s="10"/>
      <c r="KD57" s="10"/>
      <c r="KE57" s="10"/>
      <c r="KF57" s="10"/>
      <c r="KG57" s="10"/>
      <c r="KH57" s="10"/>
      <c r="KI57" s="10"/>
      <c r="KJ57" s="10"/>
      <c r="KK57" s="10"/>
      <c r="KL57" s="10"/>
      <c r="KM57" s="10"/>
      <c r="KN57" s="10"/>
      <c r="KO57" s="10"/>
      <c r="KP57" s="10"/>
      <c r="KQ57" s="10"/>
      <c r="KR57" s="10"/>
      <c r="KS57" s="10"/>
      <c r="KT57" s="10"/>
      <c r="KU57" s="10"/>
      <c r="KV57" s="10"/>
      <c r="KW57" s="10"/>
      <c r="KX57" s="10"/>
      <c r="KY57" s="10"/>
      <c r="KZ57" s="10"/>
      <c r="LA57" s="10"/>
      <c r="LB57" s="10"/>
      <c r="LC57" s="10"/>
      <c r="LD57" s="10"/>
      <c r="LE57" s="10"/>
      <c r="LF57" s="10"/>
      <c r="LG57" s="10"/>
      <c r="LH57" s="10"/>
      <c r="LI57" s="10"/>
      <c r="LJ57" s="10"/>
      <c r="LK57" s="10"/>
      <c r="LL57" s="10"/>
      <c r="LM57" s="10"/>
      <c r="LN57" s="10"/>
      <c r="LO57" s="10"/>
      <c r="LP57" s="10"/>
      <c r="LQ57" s="10"/>
      <c r="LR57" s="10"/>
      <c r="LS57" s="10"/>
      <c r="LT57" s="10"/>
      <c r="LU57" s="10"/>
      <c r="LV57" s="10"/>
      <c r="LW57" s="10"/>
      <c r="LX57" s="10"/>
      <c r="LY57" s="10"/>
      <c r="LZ57" s="10"/>
      <c r="MA57" s="10"/>
      <c r="MB57" s="10"/>
      <c r="MC57" s="10"/>
      <c r="MD57" s="10"/>
      <c r="ME57" s="10"/>
      <c r="MF57" s="10"/>
      <c r="MG57" s="10"/>
      <c r="MH57" s="10"/>
      <c r="MI57" s="10"/>
      <c r="MJ57" s="10"/>
      <c r="MK57" s="10"/>
      <c r="ML57" s="10"/>
      <c r="MM57" s="10"/>
      <c r="MN57" s="10"/>
      <c r="MO57" s="10"/>
      <c r="MP57" s="10"/>
      <c r="MQ57" s="10"/>
      <c r="MR57" s="10"/>
      <c r="MS57" s="10"/>
      <c r="MT57" s="10"/>
      <c r="MU57" s="10"/>
      <c r="MV57" s="10"/>
      <c r="MW57" s="10"/>
      <c r="MX57" s="10"/>
      <c r="MY57" s="10"/>
      <c r="MZ57" s="10"/>
      <c r="NA57" s="10"/>
      <c r="NB57" s="10"/>
      <c r="NC57" s="10"/>
      <c r="ND57" s="10"/>
      <c r="NE57" s="10"/>
      <c r="NF57" s="10"/>
      <c r="NG57" s="10"/>
      <c r="NH57" s="10"/>
      <c r="NI57" s="10"/>
      <c r="NJ57" s="10"/>
      <c r="NK57" s="10"/>
      <c r="NL57" s="10"/>
      <c r="NM57" s="10"/>
      <c r="NN57" s="10"/>
      <c r="NO57" s="10"/>
      <c r="NP57" s="10"/>
      <c r="NQ57" s="10"/>
      <c r="NR57" s="10"/>
      <c r="NS57" s="10"/>
      <c r="NT57" s="10"/>
      <c r="NU57" s="10"/>
      <c r="NV57" s="10"/>
      <c r="NW57" s="10"/>
      <c r="NX57" s="10"/>
      <c r="NY57" s="10"/>
      <c r="NZ57" s="10"/>
      <c r="OA57" s="10"/>
      <c r="OB57" s="10"/>
      <c r="OC57" s="10"/>
      <c r="OD57" s="10"/>
      <c r="OE57" s="10"/>
      <c r="OF57" s="10"/>
      <c r="OG57" s="10"/>
      <c r="OH57" s="10"/>
      <c r="OI57" s="10"/>
      <c r="OJ57" s="10"/>
      <c r="OK57" s="10"/>
      <c r="OL57" s="10"/>
      <c r="OM57" s="10"/>
      <c r="ON57" s="10"/>
      <c r="OO57" s="10"/>
      <c r="OP57" s="10"/>
      <c r="OQ57" s="10"/>
      <c r="OR57" s="10"/>
      <c r="OS57" s="10"/>
      <c r="OT57" s="10"/>
      <c r="OU57" s="10"/>
      <c r="OV57" s="10"/>
      <c r="OW57" s="10"/>
      <c r="OX57" s="10"/>
      <c r="OY57" s="10"/>
      <c r="OZ57" s="10"/>
      <c r="PA57" s="10"/>
      <c r="PB57" s="10"/>
      <c r="PC57" s="10"/>
      <c r="PD57" s="10"/>
      <c r="PE57" s="10"/>
      <c r="PF57" s="10"/>
      <c r="PG57" s="10"/>
      <c r="PH57" s="10"/>
      <c r="PI57" s="10"/>
      <c r="PJ57" s="10"/>
      <c r="PK57" s="10"/>
      <c r="PL57" s="10"/>
      <c r="PM57" s="10"/>
      <c r="PN57" s="10"/>
      <c r="PO57" s="10"/>
      <c r="PP57" s="10"/>
      <c r="PQ57" s="10"/>
      <c r="PR57" s="10"/>
      <c r="PS57" s="10"/>
      <c r="PT57" s="10"/>
      <c r="PU57" s="10"/>
      <c r="PV57" s="10"/>
      <c r="PW57" s="10"/>
      <c r="PX57" s="10"/>
      <c r="PY57" s="10"/>
      <c r="PZ57" s="10"/>
      <c r="QA57" s="10"/>
      <c r="QB57" s="10"/>
      <c r="QC57" s="10"/>
      <c r="QD57" s="10"/>
      <c r="QE57" s="10"/>
      <c r="QF57" s="10"/>
      <c r="QG57" s="10"/>
      <c r="QH57" s="10"/>
      <c r="QI57" s="10"/>
      <c r="QJ57" s="10"/>
      <c r="QK57" s="10"/>
      <c r="QL57" s="10"/>
      <c r="QM57" s="10"/>
      <c r="QN57" s="10"/>
      <c r="QO57" s="10"/>
      <c r="QP57" s="10"/>
      <c r="QQ57" s="10"/>
      <c r="QR57" s="10"/>
      <c r="QS57" s="10"/>
      <c r="QT57" s="10"/>
      <c r="QU57" s="10"/>
      <c r="QV57" s="10"/>
      <c r="QW57" s="10"/>
      <c r="QX57" s="10"/>
      <c r="QY57" s="10"/>
      <c r="QZ57" s="10"/>
      <c r="RA57" s="10"/>
      <c r="RB57" s="10"/>
      <c r="RC57" s="10"/>
      <c r="RD57" s="10"/>
      <c r="RE57" s="10"/>
      <c r="RF57" s="10"/>
      <c r="RG57" s="10"/>
      <c r="RH57" s="10"/>
      <c r="RI57" s="10"/>
      <c r="RJ57" s="10"/>
      <c r="RK57" s="10"/>
      <c r="RL57" s="10"/>
      <c r="RM57" s="10"/>
      <c r="RN57" s="10"/>
      <c r="RO57" s="10"/>
      <c r="RP57" s="10"/>
      <c r="RQ57" s="10"/>
      <c r="RR57" s="10"/>
      <c r="RS57" s="10"/>
      <c r="RT57" s="10"/>
      <c r="RU57" s="10"/>
      <c r="RV57" s="10"/>
      <c r="RW57" s="10"/>
      <c r="RX57" s="10"/>
      <c r="RY57" s="10"/>
      <c r="RZ57" s="10"/>
      <c r="SA57" s="10"/>
      <c r="SB57" s="10"/>
      <c r="SC57" s="10"/>
      <c r="SD57" s="10"/>
      <c r="SE57" s="10"/>
      <c r="SF57" s="10"/>
      <c r="SG57" s="10"/>
      <c r="SH57" s="10"/>
      <c r="SI57" s="10"/>
      <c r="SJ57" s="10"/>
      <c r="SK57" s="10"/>
      <c r="SL57" s="10"/>
      <c r="SM57" s="10"/>
      <c r="SN57" s="10"/>
      <c r="SO57" s="10"/>
      <c r="SP57" s="10"/>
      <c r="SQ57" s="10"/>
      <c r="SR57" s="10"/>
      <c r="SS57" s="10"/>
      <c r="ST57" s="10"/>
      <c r="SU57" s="10"/>
      <c r="SV57" s="10"/>
      <c r="SW57" s="10"/>
      <c r="SX57" s="10"/>
      <c r="SY57" s="10"/>
      <c r="SZ57" s="10"/>
      <c r="TA57" s="10"/>
      <c r="TB57" s="10"/>
      <c r="TC57" s="10"/>
      <c r="TD57" s="10"/>
      <c r="TE57" s="10"/>
      <c r="TF57" s="10"/>
      <c r="TG57" s="10"/>
      <c r="TH57" s="10"/>
      <c r="TI57" s="10"/>
      <c r="TJ57" s="10"/>
      <c r="TK57" s="10"/>
      <c r="TL57" s="10"/>
      <c r="TM57" s="10"/>
      <c r="TN57" s="10"/>
      <c r="TO57" s="10"/>
      <c r="TP57" s="10"/>
      <c r="TQ57" s="10"/>
      <c r="TR57" s="10"/>
      <c r="TS57" s="10"/>
      <c r="TT57" s="10"/>
      <c r="TU57" s="10"/>
      <c r="TV57" s="10"/>
      <c r="TW57" s="10"/>
      <c r="TX57" s="10"/>
      <c r="TY57" s="10"/>
      <c r="TZ57" s="10"/>
      <c r="UA57" s="10"/>
      <c r="UB57" s="10"/>
      <c r="UC57" s="10"/>
      <c r="UD57" s="10"/>
      <c r="UE57" s="10"/>
      <c r="UF57" s="10"/>
      <c r="UG57" s="10"/>
      <c r="UH57" s="10"/>
      <c r="UI57" s="10"/>
      <c r="UJ57" s="10"/>
      <c r="UK57" s="10"/>
      <c r="UL57" s="10"/>
      <c r="UM57" s="10"/>
      <c r="UN57" s="10"/>
      <c r="UO57" s="10"/>
      <c r="UP57" s="10"/>
      <c r="UQ57" s="10"/>
      <c r="UR57" s="10"/>
      <c r="US57" s="10"/>
      <c r="UT57" s="10"/>
      <c r="UU57" s="10"/>
      <c r="UV57" s="10"/>
      <c r="UW57" s="10"/>
      <c r="UX57" s="10"/>
      <c r="UY57" s="10"/>
      <c r="UZ57" s="10"/>
      <c r="VA57" s="10"/>
      <c r="VB57" s="10"/>
      <c r="VC57" s="10"/>
      <c r="VD57" s="10"/>
      <c r="VE57" s="10"/>
      <c r="VF57" s="10"/>
      <c r="VG57" s="10"/>
      <c r="VH57" s="10"/>
      <c r="VI57" s="10"/>
      <c r="VJ57" s="10"/>
      <c r="VK57" s="10"/>
      <c r="VL57" s="10"/>
      <c r="VM57" s="10"/>
      <c r="VN57" s="10"/>
      <c r="VO57" s="10"/>
      <c r="VP57" s="10"/>
      <c r="VQ57" s="10"/>
      <c r="VR57" s="10"/>
      <c r="VS57" s="10"/>
      <c r="VT57" s="10"/>
      <c r="VU57" s="10"/>
      <c r="VV57" s="10"/>
      <c r="VW57" s="10"/>
      <c r="VX57" s="10"/>
      <c r="VY57" s="10"/>
      <c r="VZ57" s="10"/>
      <c r="WA57" s="10"/>
      <c r="WB57" s="10"/>
      <c r="WC57" s="10"/>
      <c r="WD57" s="10"/>
      <c r="WE57" s="10"/>
      <c r="WF57" s="10"/>
      <c r="WG57" s="10"/>
      <c r="WH57" s="10"/>
      <c r="WI57" s="10"/>
      <c r="WJ57" s="10"/>
      <c r="WK57" s="10"/>
      <c r="WL57" s="10"/>
      <c r="WM57" s="10"/>
      <c r="WN57" s="10"/>
      <c r="WO57" s="10"/>
      <c r="WP57" s="10"/>
      <c r="WQ57" s="10"/>
      <c r="WR57" s="10"/>
      <c r="WS57" s="10"/>
      <c r="WT57" s="10"/>
      <c r="WU57" s="10"/>
      <c r="WV57" s="10"/>
      <c r="WW57" s="10"/>
      <c r="WX57" s="10"/>
      <c r="WY57" s="10"/>
      <c r="WZ57" s="10"/>
      <c r="XA57" s="10"/>
      <c r="XB57" s="10"/>
      <c r="XC57" s="10"/>
      <c r="XD57" s="10"/>
      <c r="XE57" s="10"/>
      <c r="XF57" s="10"/>
      <c r="XG57" s="10"/>
      <c r="XH57" s="10"/>
      <c r="XI57" s="10"/>
      <c r="XJ57" s="10"/>
      <c r="XK57" s="10"/>
      <c r="XL57" s="10"/>
      <c r="XM57" s="10"/>
      <c r="XN57" s="10"/>
      <c r="XO57" s="10"/>
      <c r="XP57" s="10"/>
      <c r="XQ57" s="10"/>
      <c r="XR57" s="10"/>
      <c r="XS57" s="10"/>
      <c r="XT57" s="10"/>
      <c r="XU57" s="10"/>
      <c r="XV57" s="10"/>
      <c r="XW57" s="10"/>
      <c r="XX57" s="10"/>
      <c r="XY57" s="10"/>
      <c r="XZ57" s="10"/>
      <c r="YA57" s="10"/>
      <c r="YB57" s="10"/>
      <c r="YC57" s="10"/>
      <c r="YD57" s="10"/>
      <c r="YE57" s="10"/>
      <c r="YF57" s="10"/>
      <c r="YG57" s="10"/>
      <c r="YH57" s="10"/>
      <c r="YI57" s="10"/>
      <c r="YJ57" s="10"/>
      <c r="YK57" s="10"/>
      <c r="YL57" s="10"/>
      <c r="YM57" s="10"/>
      <c r="YN57" s="10"/>
      <c r="YO57" s="10"/>
      <c r="YP57" s="10"/>
      <c r="YQ57" s="10"/>
      <c r="YR57" s="10"/>
      <c r="YS57" s="10"/>
      <c r="YT57" s="10"/>
      <c r="YU57" s="10"/>
      <c r="YV57" s="10"/>
      <c r="YW57" s="10"/>
      <c r="YX57" s="10"/>
      <c r="YY57" s="10"/>
      <c r="YZ57" s="10"/>
      <c r="ZA57" s="10"/>
      <c r="ZB57" s="10"/>
      <c r="ZC57" s="10"/>
      <c r="ZD57" s="10"/>
      <c r="ZE57" s="10"/>
      <c r="ZF57" s="10"/>
      <c r="ZG57" s="10"/>
      <c r="ZH57" s="10"/>
      <c r="ZI57" s="10"/>
      <c r="ZJ57" s="10"/>
      <c r="ZK57" s="10"/>
      <c r="ZL57" s="10"/>
      <c r="ZM57" s="10"/>
      <c r="ZN57" s="10"/>
      <c r="ZO57" s="10"/>
      <c r="ZP57" s="10"/>
      <c r="ZQ57" s="10"/>
      <c r="ZR57" s="10"/>
      <c r="ZS57" s="10"/>
      <c r="ZT57" s="10"/>
      <c r="ZU57" s="10"/>
      <c r="ZV57" s="10"/>
      <c r="ZW57" s="10"/>
      <c r="ZX57" s="10"/>
      <c r="ZY57" s="10"/>
      <c r="ZZ57" s="10"/>
      <c r="AAA57" s="10"/>
      <c r="AAB57" s="10"/>
      <c r="AAC57" s="10"/>
      <c r="AAD57" s="10"/>
      <c r="AAE57" s="10"/>
      <c r="AAF57" s="10"/>
      <c r="AAG57" s="10"/>
      <c r="AAH57" s="10"/>
      <c r="AAI57" s="10"/>
      <c r="AAJ57" s="10"/>
      <c r="AAK57" s="10"/>
      <c r="AAL57" s="10"/>
      <c r="AAM57" s="10"/>
      <c r="AAN57" s="10"/>
      <c r="AAO57" s="10"/>
      <c r="AAP57" s="10"/>
      <c r="AAQ57" s="10"/>
      <c r="AAR57" s="10"/>
      <c r="AAS57" s="10"/>
      <c r="AAT57" s="10"/>
      <c r="AAU57" s="10"/>
      <c r="AAV57" s="10"/>
      <c r="AAW57" s="10"/>
      <c r="AAX57" s="10"/>
      <c r="AAY57" s="10"/>
      <c r="AAZ57" s="10"/>
      <c r="ABA57" s="10"/>
      <c r="ABB57" s="10"/>
      <c r="ABC57" s="10"/>
      <c r="ABD57" s="10"/>
      <c r="ABE57" s="10"/>
      <c r="ABF57" s="10"/>
      <c r="ABG57" s="10"/>
      <c r="ABH57" s="10"/>
      <c r="ABI57" s="10"/>
      <c r="ABJ57" s="10"/>
      <c r="ABK57" s="10"/>
      <c r="ABL57" s="10"/>
      <c r="ABM57" s="10"/>
      <c r="ABN57" s="10"/>
      <c r="ABO57" s="10"/>
      <c r="ABP57" s="10"/>
      <c r="ABQ57" s="10"/>
      <c r="ABR57" s="10"/>
      <c r="ABS57" s="10"/>
      <c r="ABT57" s="10"/>
      <c r="ABU57" s="10"/>
      <c r="ABV57" s="10"/>
      <c r="ABW57" s="10"/>
      <c r="ABX57" s="10"/>
      <c r="ABY57" s="10"/>
      <c r="ABZ57" s="10"/>
      <c r="ACA57" s="10"/>
      <c r="ACB57" s="10"/>
      <c r="ACC57" s="10"/>
      <c r="ACD57" s="10"/>
      <c r="ACE57" s="10"/>
      <c r="ACF57" s="10"/>
      <c r="ACG57" s="10"/>
      <c r="ACH57" s="10"/>
      <c r="ACI57" s="10"/>
      <c r="ACJ57" s="10"/>
      <c r="ACK57" s="10"/>
      <c r="ACL57" s="10"/>
      <c r="ACM57" s="10"/>
      <c r="ACN57" s="10"/>
      <c r="ACO57" s="10"/>
      <c r="ACP57" s="10"/>
      <c r="ACQ57" s="10"/>
      <c r="ACR57" s="10"/>
      <c r="ACS57" s="10"/>
      <c r="ACT57" s="10"/>
      <c r="ACU57" s="10"/>
      <c r="ACV57" s="10"/>
      <c r="ACW57" s="10"/>
      <c r="ACX57" s="10"/>
      <c r="ACY57" s="10"/>
      <c r="ACZ57" s="10"/>
      <c r="ADA57" s="10"/>
      <c r="ADB57" s="10"/>
      <c r="ADC57" s="10"/>
      <c r="ADD57" s="10"/>
      <c r="ADE57" s="10"/>
      <c r="ADF57" s="10"/>
      <c r="ADG57" s="10"/>
      <c r="ADH57" s="10"/>
      <c r="ADI57" s="10"/>
      <c r="ADJ57" s="10"/>
      <c r="ADK57" s="10"/>
      <c r="ADL57" s="10"/>
      <c r="ADM57" s="10"/>
      <c r="ADN57" s="10"/>
      <c r="ADO57" s="10"/>
      <c r="ADP57" s="10"/>
      <c r="ADQ57" s="10"/>
      <c r="ADR57" s="10"/>
      <c r="ADS57" s="10"/>
      <c r="ADT57" s="10"/>
      <c r="ADU57" s="10"/>
      <c r="ADV57" s="10"/>
      <c r="ADW57" s="10"/>
      <c r="ADX57" s="10"/>
      <c r="ADY57" s="10"/>
      <c r="ADZ57" s="10"/>
      <c r="AEA57" s="10"/>
      <c r="AEB57" s="10"/>
      <c r="AEC57" s="10"/>
      <c r="AED57" s="10"/>
      <c r="AEE57" s="10"/>
      <c r="AEF57" s="10"/>
      <c r="AEG57" s="10"/>
      <c r="AEH57" s="10"/>
      <c r="AEI57" s="10"/>
      <c r="AEJ57" s="10"/>
      <c r="AEK57" s="10"/>
      <c r="AEL57" s="10"/>
      <c r="AEM57" s="10"/>
      <c r="AEN57" s="10"/>
      <c r="AEO57" s="10"/>
      <c r="AEP57" s="10"/>
      <c r="AEQ57" s="10"/>
      <c r="AER57" s="10"/>
      <c r="AES57" s="10"/>
      <c r="AET57" s="10"/>
      <c r="AEU57" s="10"/>
      <c r="AEV57" s="10"/>
      <c r="AEW57" s="10"/>
      <c r="AEX57" s="10"/>
      <c r="AEY57" s="10"/>
      <c r="AEZ57" s="10"/>
      <c r="AFA57" s="10"/>
      <c r="AFB57" s="10"/>
      <c r="AFC57" s="10"/>
      <c r="AFD57" s="10"/>
      <c r="AFE57" s="10"/>
      <c r="AFF57" s="10"/>
      <c r="AFG57" s="10"/>
      <c r="AFH57" s="10"/>
      <c r="AFI57" s="10"/>
      <c r="AFJ57" s="10"/>
      <c r="AFK57" s="10"/>
      <c r="AFL57" s="10"/>
      <c r="AFM57" s="10"/>
      <c r="AFN57" s="10"/>
      <c r="AFO57" s="10"/>
      <c r="AFP57" s="10"/>
      <c r="AFQ57" s="10"/>
      <c r="AFR57" s="10"/>
      <c r="AFS57" s="10"/>
      <c r="AFT57" s="10"/>
      <c r="AFU57" s="10"/>
      <c r="AFV57" s="10"/>
      <c r="AFW57" s="10"/>
      <c r="AFX57" s="10"/>
      <c r="AFY57" s="10"/>
      <c r="AFZ57" s="10"/>
      <c r="AGA57" s="10"/>
      <c r="AGB57" s="10"/>
      <c r="AGC57" s="10"/>
      <c r="AGD57" s="10"/>
      <c r="AGE57" s="10"/>
      <c r="AGF57" s="10"/>
      <c r="AGG57" s="10"/>
      <c r="AGH57" s="10"/>
      <c r="AGI57" s="10"/>
      <c r="AGJ57" s="10"/>
      <c r="AGK57" s="10"/>
      <c r="AGL57" s="10"/>
      <c r="AGM57" s="10"/>
      <c r="AGN57" s="10"/>
      <c r="AGO57" s="10"/>
      <c r="AGP57" s="10"/>
      <c r="AGQ57" s="10"/>
      <c r="AGR57" s="10"/>
      <c r="AGS57" s="10"/>
      <c r="AGT57" s="10"/>
      <c r="AGU57" s="10"/>
      <c r="AGV57" s="10"/>
      <c r="AGW57" s="10"/>
      <c r="AGX57" s="10"/>
      <c r="AGY57" s="10"/>
      <c r="AGZ57" s="10"/>
      <c r="AHA57" s="10"/>
      <c r="AHB57" s="10"/>
      <c r="AHC57" s="10"/>
      <c r="AHD57" s="10"/>
      <c r="AHE57" s="10"/>
      <c r="AHF57" s="10"/>
      <c r="AHG57" s="10"/>
      <c r="AHH57" s="10"/>
      <c r="AHI57" s="10"/>
      <c r="AHJ57" s="10"/>
      <c r="AHK57" s="10"/>
      <c r="AHL57" s="10"/>
      <c r="AHM57" s="10"/>
      <c r="AHN57" s="10"/>
      <c r="AHO57" s="10"/>
      <c r="AHP57" s="10"/>
      <c r="AHQ57" s="10"/>
      <c r="AHR57" s="10"/>
      <c r="AHS57" s="10"/>
      <c r="AHT57" s="10"/>
      <c r="AHU57" s="10"/>
      <c r="AHV57" s="10"/>
      <c r="AHW57" s="10"/>
      <c r="AHX57" s="10"/>
      <c r="AHY57" s="10"/>
      <c r="AHZ57" s="10"/>
      <c r="AIA57" s="10"/>
      <c r="AIB57" s="10"/>
      <c r="AIC57" s="10"/>
      <c r="AID57" s="10"/>
      <c r="AIE57" s="10"/>
      <c r="AIF57" s="10"/>
      <c r="AIG57" s="10"/>
      <c r="AIH57" s="10"/>
      <c r="AII57" s="10"/>
      <c r="AIJ57" s="10"/>
      <c r="AIK57" s="10"/>
      <c r="AIL57" s="10"/>
      <c r="AIM57" s="10"/>
      <c r="AIN57" s="10"/>
      <c r="AIO57" s="10"/>
      <c r="AIP57" s="10"/>
      <c r="AIQ57" s="10"/>
      <c r="AIR57" s="10"/>
      <c r="AIS57" s="10"/>
      <c r="AIT57" s="10"/>
      <c r="AIU57" s="10"/>
      <c r="AIV57" s="10"/>
      <c r="AIW57" s="10"/>
      <c r="AIX57" s="10"/>
      <c r="AIY57" s="10"/>
      <c r="AIZ57" s="10"/>
      <c r="AJA57" s="10"/>
      <c r="AJB57" s="10"/>
      <c r="AJC57" s="10"/>
      <c r="AJD57" s="10"/>
      <c r="AJE57" s="10"/>
      <c r="AJF57" s="10"/>
      <c r="AJG57" s="10"/>
      <c r="AJH57" s="10"/>
      <c r="AJI57" s="10"/>
      <c r="AJJ57" s="10"/>
      <c r="AJK57" s="10"/>
      <c r="AJL57" s="10"/>
      <c r="AJM57" s="10"/>
      <c r="AJN57" s="10"/>
      <c r="AJO57" s="10"/>
      <c r="AJP57" s="10"/>
      <c r="AJQ57" s="10"/>
      <c r="AJR57" s="10"/>
      <c r="AJS57" s="10"/>
      <c r="AJT57" s="10"/>
      <c r="AJU57" s="10"/>
      <c r="AJV57" s="10"/>
      <c r="AJW57" s="10"/>
      <c r="AJX57" s="10"/>
      <c r="AJY57" s="10"/>
      <c r="AJZ57" s="10"/>
      <c r="AKA57" s="10"/>
      <c r="AKB57" s="10"/>
      <c r="AKC57" s="10"/>
      <c r="AKD57" s="10"/>
      <c r="AKE57" s="10"/>
      <c r="AKF57" s="10"/>
      <c r="AKG57" s="10"/>
      <c r="AKH57" s="10"/>
      <c r="AKI57" s="10"/>
      <c r="AKJ57" s="10"/>
      <c r="AKK57" s="10"/>
      <c r="AKL57" s="10"/>
      <c r="AKM57" s="10"/>
      <c r="AKN57" s="10"/>
      <c r="AKO57" s="10"/>
      <c r="AKP57" s="10"/>
      <c r="AKQ57" s="10"/>
      <c r="AKR57" s="10"/>
      <c r="AKS57" s="10"/>
      <c r="AKT57" s="10"/>
      <c r="AKU57" s="10"/>
      <c r="AKV57" s="10"/>
      <c r="AKW57" s="10"/>
      <c r="AKX57" s="10"/>
      <c r="AKY57" s="10"/>
      <c r="AKZ57" s="10"/>
      <c r="ALA57" s="10"/>
      <c r="ALB57" s="10"/>
      <c r="ALC57" s="10"/>
      <c r="ALD57" s="10"/>
      <c r="ALE57" s="10"/>
      <c r="ALF57" s="10"/>
      <c r="ALG57" s="10"/>
      <c r="ALH57" s="10"/>
      <c r="ALI57" s="10"/>
      <c r="ALJ57" s="10"/>
      <c r="ALK57" s="10"/>
      <c r="ALL57" s="10"/>
      <c r="ALM57" s="10"/>
      <c r="ALN57" s="10"/>
      <c r="ALO57" s="10"/>
      <c r="ALP57" s="10"/>
      <c r="ALQ57" s="10"/>
      <c r="ALR57" s="10"/>
      <c r="ALS57" s="10"/>
      <c r="ALT57" s="10"/>
      <c r="ALU57" s="10"/>
      <c r="ALV57" s="10"/>
      <c r="ALW57" s="10"/>
      <c r="ALX57" s="10"/>
      <c r="ALY57" s="10"/>
      <c r="ALZ57" s="10"/>
      <c r="AMA57" s="10"/>
      <c r="AMB57" s="10"/>
      <c r="AMC57" s="10"/>
      <c r="AMD57" s="10"/>
      <c r="AME57" s="10"/>
      <c r="AMF57" s="10"/>
      <c r="AMG57" s="10"/>
      <c r="AMH57" s="10"/>
      <c r="AMI57" s="10"/>
      <c r="AMJ57" s="10"/>
      <c r="AMK57" s="10"/>
      <c r="AML57" s="10"/>
      <c r="AMM57" s="10"/>
      <c r="AMN57" s="10"/>
      <c r="AMO57" s="10"/>
      <c r="AMP57" s="10"/>
      <c r="AMQ57" s="10"/>
      <c r="AMR57" s="10"/>
      <c r="AMS57" s="10"/>
      <c r="AMT57" s="10"/>
      <c r="AMU57" s="10"/>
      <c r="AMV57" s="10"/>
      <c r="AMW57" s="10"/>
      <c r="AMX57" s="10"/>
      <c r="AMY57" s="10"/>
      <c r="AMZ57" s="10"/>
      <c r="ANA57" s="10"/>
      <c r="ANB57" s="10"/>
      <c r="ANC57" s="10"/>
      <c r="AND57" s="10"/>
      <c r="ANE57" s="10"/>
      <c r="ANF57" s="10"/>
      <c r="ANG57" s="10"/>
      <c r="ANH57" s="10"/>
      <c r="ANI57" s="10"/>
      <c r="ANJ57" s="10"/>
      <c r="ANK57" s="10"/>
      <c r="ANL57" s="10"/>
      <c r="ANM57" s="10"/>
      <c r="ANN57" s="10"/>
      <c r="ANO57" s="10"/>
      <c r="ANP57" s="10"/>
      <c r="ANQ57" s="10"/>
      <c r="ANR57" s="10"/>
      <c r="ANS57" s="10"/>
      <c r="ANT57" s="10"/>
      <c r="ANU57" s="10"/>
      <c r="ANV57" s="10"/>
      <c r="ANW57" s="10"/>
      <c r="ANX57" s="10"/>
      <c r="ANY57" s="10"/>
      <c r="ANZ57" s="10"/>
      <c r="AOA57" s="10"/>
      <c r="AOB57" s="10"/>
      <c r="AOC57" s="10"/>
      <c r="AOD57" s="10"/>
      <c r="AOE57" s="10"/>
      <c r="AOF57" s="10"/>
      <c r="AOG57" s="10"/>
      <c r="AOH57" s="10"/>
      <c r="AOI57" s="10"/>
      <c r="AOJ57" s="10"/>
      <c r="AOK57" s="10"/>
      <c r="AOL57" s="10"/>
      <c r="AOM57" s="10"/>
      <c r="AON57" s="10"/>
      <c r="AOO57" s="10"/>
      <c r="AOP57" s="10"/>
      <c r="AOQ57" s="10"/>
      <c r="AOR57" s="10"/>
      <c r="AOS57" s="10"/>
      <c r="AOT57" s="10"/>
      <c r="AOU57" s="10"/>
      <c r="AOV57" s="10"/>
      <c r="AOW57" s="10"/>
      <c r="AOX57" s="10"/>
      <c r="AOY57" s="10"/>
      <c r="AOZ57" s="10"/>
      <c r="APA57" s="10"/>
      <c r="APB57" s="10"/>
      <c r="APC57" s="10"/>
      <c r="APD57" s="10"/>
      <c r="APE57" s="10"/>
      <c r="APF57" s="10"/>
      <c r="APG57" s="10"/>
      <c r="APH57" s="10"/>
      <c r="API57" s="10"/>
      <c r="APJ57" s="10"/>
      <c r="APK57" s="10"/>
      <c r="APL57" s="10"/>
      <c r="APM57" s="10"/>
      <c r="APN57" s="10"/>
      <c r="APO57" s="10"/>
      <c r="APP57" s="10"/>
      <c r="APQ57" s="10"/>
      <c r="APR57" s="10"/>
      <c r="APS57" s="10"/>
      <c r="APT57" s="10"/>
      <c r="APU57" s="10"/>
      <c r="APV57" s="10"/>
      <c r="APW57" s="10"/>
      <c r="APX57" s="10"/>
      <c r="APY57" s="10"/>
      <c r="APZ57" s="10"/>
      <c r="AQA57" s="10"/>
      <c r="AQB57" s="10"/>
      <c r="AQC57" s="10"/>
      <c r="AQD57" s="10"/>
      <c r="AQE57" s="10"/>
      <c r="AQF57" s="10"/>
      <c r="AQG57" s="10"/>
      <c r="AQH57" s="10"/>
      <c r="AQI57" s="10"/>
      <c r="AQJ57" s="10"/>
      <c r="AQK57" s="10"/>
      <c r="AQL57" s="10"/>
      <c r="AQM57" s="10"/>
      <c r="AQN57" s="10"/>
      <c r="AQO57" s="10"/>
      <c r="AQP57" s="10"/>
      <c r="AQQ57" s="10"/>
      <c r="AQR57" s="10"/>
      <c r="AQS57" s="10"/>
      <c r="AQT57" s="10"/>
      <c r="AQU57" s="10"/>
      <c r="AQV57" s="10"/>
      <c r="AQW57" s="10"/>
      <c r="AQX57" s="10"/>
      <c r="AQY57" s="10"/>
      <c r="AQZ57" s="10"/>
      <c r="ARA57" s="10"/>
      <c r="ARB57" s="10"/>
      <c r="ARC57" s="10"/>
      <c r="ARD57" s="10"/>
      <c r="ARE57" s="10"/>
      <c r="ARF57" s="10"/>
      <c r="ARG57" s="10"/>
      <c r="ARH57" s="10"/>
      <c r="ARI57" s="10"/>
      <c r="ARJ57" s="10"/>
      <c r="ARK57" s="10"/>
      <c r="ARL57" s="10"/>
      <c r="ARM57" s="10"/>
      <c r="ARN57" s="10"/>
      <c r="ARO57" s="10"/>
      <c r="ARP57" s="10"/>
      <c r="ARQ57" s="10"/>
      <c r="ARR57" s="10"/>
      <c r="ARS57" s="10"/>
      <c r="ART57" s="10"/>
      <c r="ARU57" s="10"/>
      <c r="ARV57" s="10"/>
      <c r="ARW57" s="10"/>
      <c r="ARX57" s="10"/>
      <c r="ARY57" s="10"/>
      <c r="ARZ57" s="10"/>
      <c r="ASA57" s="10"/>
      <c r="ASB57" s="10"/>
      <c r="ASC57" s="10"/>
      <c r="ASD57" s="10"/>
      <c r="ASE57" s="10"/>
      <c r="ASF57" s="10"/>
      <c r="ASG57" s="10"/>
      <c r="ASH57" s="10"/>
      <c r="ASI57" s="10"/>
      <c r="ASJ57" s="10"/>
      <c r="ASK57" s="10"/>
      <c r="ASL57" s="10"/>
      <c r="ASM57" s="10"/>
      <c r="ASN57" s="10"/>
      <c r="ASO57" s="10"/>
      <c r="ASP57" s="10"/>
      <c r="ASQ57" s="10"/>
      <c r="ASR57" s="10"/>
      <c r="ASS57" s="10"/>
      <c r="AST57" s="10"/>
      <c r="ASU57" s="10"/>
      <c r="ASV57" s="10"/>
      <c r="ASW57" s="10"/>
      <c r="ASX57" s="10"/>
      <c r="ASY57" s="10"/>
      <c r="ASZ57" s="10"/>
      <c r="ATA57" s="10"/>
      <c r="ATB57" s="10"/>
      <c r="ATC57" s="10"/>
      <c r="ATD57" s="10"/>
      <c r="ATE57" s="10"/>
      <c r="ATF57" s="10"/>
      <c r="ATG57" s="10"/>
      <c r="ATH57" s="10"/>
      <c r="ATI57" s="10"/>
      <c r="ATJ57" s="10"/>
      <c r="ATK57" s="10"/>
      <c r="ATL57" s="10"/>
      <c r="ATM57" s="10"/>
      <c r="ATN57" s="10"/>
      <c r="ATO57" s="10"/>
      <c r="ATP57" s="10"/>
      <c r="ATQ57" s="10"/>
      <c r="ATR57" s="10"/>
      <c r="ATS57" s="10"/>
      <c r="ATT57" s="10"/>
      <c r="ATU57" s="10"/>
      <c r="ATV57" s="10"/>
      <c r="ATW57" s="10"/>
      <c r="ATX57" s="10"/>
      <c r="ATY57" s="10"/>
      <c r="ATZ57" s="10"/>
      <c r="AUA57" s="10"/>
      <c r="AUB57" s="10"/>
      <c r="AUC57" s="10"/>
      <c r="AUD57" s="10"/>
      <c r="AUE57" s="10"/>
      <c r="AUF57" s="10"/>
      <c r="AUG57" s="10"/>
      <c r="AUH57" s="10"/>
      <c r="AUI57" s="10"/>
      <c r="AUJ57" s="10"/>
      <c r="AUK57" s="10"/>
      <c r="AUL57" s="10"/>
      <c r="AUM57" s="10"/>
      <c r="AUN57" s="10"/>
      <c r="AUO57" s="10"/>
      <c r="AUP57" s="10"/>
      <c r="AUQ57" s="10"/>
      <c r="AUR57" s="10"/>
      <c r="AUS57" s="10"/>
      <c r="AUT57" s="10"/>
      <c r="AUU57" s="10"/>
      <c r="AUV57" s="10"/>
      <c r="AUW57" s="10"/>
      <c r="AUX57" s="10"/>
      <c r="AUY57" s="10"/>
      <c r="AUZ57" s="10"/>
      <c r="AVA57" s="10"/>
      <c r="AVB57" s="10"/>
      <c r="AVC57" s="10"/>
      <c r="AVD57" s="10"/>
      <c r="AVE57" s="10"/>
      <c r="AVF57" s="10"/>
      <c r="AVG57" s="10"/>
      <c r="AVH57" s="10"/>
      <c r="AVI57" s="10"/>
      <c r="AVJ57" s="10"/>
      <c r="AVK57" s="10"/>
      <c r="AVL57" s="10"/>
      <c r="AVM57" s="10"/>
      <c r="AVN57" s="10"/>
      <c r="AVO57" s="10"/>
      <c r="AVP57" s="10"/>
      <c r="AVQ57" s="10"/>
      <c r="AVR57" s="10"/>
      <c r="AVS57" s="10"/>
      <c r="AVT57" s="10"/>
      <c r="AVU57" s="10"/>
      <c r="AVV57" s="10"/>
      <c r="AVW57" s="10"/>
      <c r="AVX57" s="10"/>
      <c r="AVY57" s="10"/>
      <c r="AVZ57" s="10"/>
      <c r="AWA57" s="10"/>
      <c r="AWB57" s="10"/>
      <c r="AWC57" s="10"/>
      <c r="AWD57" s="10"/>
      <c r="AWE57" s="10"/>
      <c r="AWF57" s="10"/>
      <c r="AWG57" s="10"/>
      <c r="AWH57" s="10"/>
      <c r="AWI57" s="10"/>
      <c r="AWJ57" s="10"/>
      <c r="AWK57" s="10"/>
      <c r="AWL57" s="10"/>
      <c r="AWM57" s="10"/>
      <c r="AWN57" s="10"/>
      <c r="AWO57" s="10"/>
      <c r="AWP57" s="10"/>
      <c r="AWQ57" s="10"/>
      <c r="AWR57" s="10"/>
      <c r="AWS57" s="10"/>
      <c r="AWT57" s="10"/>
      <c r="AWU57" s="10"/>
      <c r="AWV57" s="10"/>
      <c r="AWW57" s="10"/>
      <c r="AWX57" s="10"/>
      <c r="AWY57" s="10"/>
      <c r="AWZ57" s="10"/>
      <c r="AXA57" s="10"/>
      <c r="AXB57" s="10"/>
      <c r="AXC57" s="10"/>
      <c r="AXD57" s="10"/>
      <c r="AXE57" s="10"/>
      <c r="AXF57" s="10"/>
      <c r="AXG57" s="10"/>
      <c r="AXH57" s="10"/>
      <c r="AXI57" s="10"/>
      <c r="AXJ57" s="10"/>
      <c r="AXK57" s="10"/>
      <c r="AXL57" s="10"/>
      <c r="AXM57" s="10"/>
      <c r="AXN57" s="10"/>
      <c r="AXO57" s="10"/>
      <c r="AXP57" s="10"/>
      <c r="AXQ57" s="10"/>
      <c r="AXR57" s="10"/>
      <c r="AXS57" s="10"/>
      <c r="AXT57" s="10"/>
      <c r="AXU57" s="10"/>
      <c r="AXV57" s="10"/>
      <c r="AXW57" s="10"/>
      <c r="AXX57" s="10"/>
      <c r="AXY57" s="10"/>
      <c r="AXZ57" s="10"/>
      <c r="AYA57" s="10"/>
      <c r="AYB57" s="10"/>
      <c r="AYC57" s="10"/>
      <c r="AYD57" s="10"/>
      <c r="AYE57" s="10"/>
      <c r="AYF57" s="10"/>
      <c r="AYG57" s="10"/>
      <c r="AYH57" s="10"/>
      <c r="AYI57" s="10"/>
      <c r="AYJ57" s="10"/>
      <c r="AYK57" s="10"/>
      <c r="AYL57" s="10"/>
      <c r="AYM57" s="10"/>
      <c r="AYN57" s="10"/>
      <c r="AYO57" s="10"/>
      <c r="AYP57" s="10"/>
      <c r="AYQ57" s="10"/>
      <c r="AYR57" s="10"/>
      <c r="AYS57" s="10"/>
      <c r="AYT57" s="10"/>
      <c r="AYU57" s="10"/>
      <c r="AYV57" s="10"/>
      <c r="AYW57" s="10"/>
      <c r="AYX57" s="10"/>
      <c r="AYY57" s="10"/>
      <c r="AYZ57" s="10"/>
      <c r="AZA57" s="10"/>
      <c r="AZB57" s="10"/>
      <c r="AZC57" s="10"/>
      <c r="AZD57" s="10"/>
      <c r="AZE57" s="10"/>
      <c r="AZF57" s="10"/>
      <c r="AZG57" s="10"/>
      <c r="AZH57" s="10"/>
      <c r="AZI57" s="10"/>
      <c r="AZJ57" s="10"/>
      <c r="AZK57" s="10"/>
      <c r="AZL57" s="10"/>
      <c r="AZM57" s="10"/>
      <c r="AZN57" s="10"/>
      <c r="AZO57" s="10"/>
      <c r="AZP57" s="10"/>
      <c r="AZQ57" s="10"/>
      <c r="AZR57" s="10"/>
      <c r="AZS57" s="10"/>
      <c r="AZT57" s="10"/>
      <c r="AZU57" s="10"/>
      <c r="AZV57" s="10"/>
      <c r="AZW57" s="10"/>
      <c r="AZX57" s="10"/>
      <c r="AZY57" s="10"/>
      <c r="AZZ57" s="10"/>
      <c r="BAA57" s="10"/>
      <c r="BAB57" s="10"/>
      <c r="BAC57" s="10"/>
      <c r="BAD57" s="10"/>
      <c r="BAE57" s="10"/>
      <c r="BAF57" s="10"/>
      <c r="BAG57" s="10"/>
      <c r="BAH57" s="10"/>
      <c r="BAI57" s="10"/>
      <c r="BAJ57" s="10"/>
      <c r="BAK57" s="10"/>
      <c r="BAL57" s="10"/>
      <c r="BAM57" s="10"/>
      <c r="BAN57" s="10"/>
      <c r="BAO57" s="10"/>
      <c r="BAP57" s="10"/>
      <c r="BAQ57" s="10"/>
      <c r="BAR57" s="10"/>
      <c r="BAS57" s="10"/>
      <c r="BAT57" s="10"/>
      <c r="BAU57" s="10"/>
      <c r="BAV57" s="10"/>
      <c r="BAW57" s="10"/>
      <c r="BAX57" s="10"/>
      <c r="BAY57" s="10"/>
      <c r="BAZ57" s="10"/>
      <c r="BBA57" s="10"/>
      <c r="BBB57" s="10"/>
      <c r="BBC57" s="10"/>
      <c r="BBD57" s="10"/>
      <c r="BBE57" s="10"/>
      <c r="BBF57" s="10"/>
      <c r="BBG57" s="10"/>
      <c r="BBH57" s="10"/>
      <c r="BBI57" s="10"/>
      <c r="BBJ57" s="10"/>
      <c r="BBK57" s="10"/>
      <c r="BBL57" s="10"/>
      <c r="BBM57" s="10"/>
      <c r="BBN57" s="10"/>
      <c r="BBO57" s="10"/>
      <c r="BBP57" s="10"/>
      <c r="BBQ57" s="10"/>
      <c r="BBR57" s="10"/>
      <c r="BBS57" s="10"/>
      <c r="BBT57" s="10"/>
      <c r="BBU57" s="10"/>
      <c r="BBV57" s="10"/>
      <c r="BBW57" s="10"/>
      <c r="BBX57" s="10"/>
      <c r="BBY57" s="10"/>
      <c r="BBZ57" s="10"/>
      <c r="BCA57" s="10"/>
      <c r="BCB57" s="10"/>
      <c r="BCC57" s="10"/>
      <c r="BCD57" s="10"/>
      <c r="BCE57" s="10"/>
      <c r="BCF57" s="10"/>
      <c r="BCG57" s="10"/>
      <c r="BCH57" s="10"/>
      <c r="BCI57" s="10"/>
      <c r="BCJ57" s="10"/>
      <c r="BCK57" s="10"/>
      <c r="BCL57" s="10"/>
      <c r="BCM57" s="10"/>
      <c r="BCN57" s="10"/>
      <c r="BCO57" s="10"/>
      <c r="BCP57" s="10"/>
      <c r="BCQ57" s="10"/>
      <c r="BCR57" s="10"/>
      <c r="BCS57" s="10"/>
      <c r="BCT57" s="10"/>
      <c r="BCU57" s="10"/>
      <c r="BCV57" s="10"/>
      <c r="BCW57" s="10"/>
      <c r="BCX57" s="10"/>
      <c r="BCY57" s="10"/>
      <c r="BCZ57" s="10"/>
      <c r="BDA57" s="10"/>
      <c r="BDB57" s="10"/>
      <c r="BDC57" s="10"/>
      <c r="BDD57" s="10"/>
      <c r="BDE57" s="10"/>
      <c r="BDF57" s="10"/>
      <c r="BDG57" s="10"/>
      <c r="BDH57" s="10"/>
      <c r="BDI57" s="10"/>
      <c r="BDJ57" s="10"/>
      <c r="BDK57" s="10"/>
      <c r="BDL57" s="10"/>
      <c r="BDM57" s="10"/>
      <c r="BDN57" s="10"/>
      <c r="BDO57" s="10"/>
      <c r="BDP57" s="10"/>
      <c r="BDQ57" s="10"/>
      <c r="BDR57" s="10"/>
      <c r="BDS57" s="10"/>
      <c r="BDT57" s="10"/>
      <c r="BDU57" s="10"/>
      <c r="BDV57" s="10"/>
      <c r="BDW57" s="10"/>
      <c r="BDX57" s="10"/>
      <c r="BDY57" s="10"/>
      <c r="BDZ57" s="10"/>
      <c r="BEA57" s="10"/>
      <c r="BEB57" s="10"/>
      <c r="BEC57" s="10"/>
      <c r="BED57" s="10"/>
      <c r="BEE57" s="10"/>
      <c r="BEF57" s="10"/>
      <c r="BEG57" s="10"/>
      <c r="BEH57" s="10"/>
      <c r="BEI57" s="10"/>
      <c r="BEJ57" s="10"/>
      <c r="BEK57" s="10"/>
      <c r="BEL57" s="10"/>
      <c r="BEM57" s="10"/>
      <c r="BEN57" s="10"/>
      <c r="BEO57" s="10"/>
      <c r="BEP57" s="10"/>
      <c r="BEQ57" s="10"/>
      <c r="BER57" s="10"/>
      <c r="BES57" s="10"/>
      <c r="BET57" s="10"/>
      <c r="BEU57" s="10"/>
      <c r="BEV57" s="10"/>
      <c r="BEW57" s="10"/>
      <c r="BEX57" s="10"/>
      <c r="BEY57" s="10"/>
      <c r="BEZ57" s="10"/>
      <c r="BFA57" s="10"/>
      <c r="BFB57" s="10"/>
      <c r="BFC57" s="10"/>
      <c r="BFD57" s="10"/>
      <c r="BFE57" s="10"/>
      <c r="BFF57" s="10"/>
      <c r="BFG57" s="10"/>
      <c r="BFH57" s="10"/>
      <c r="BFI57" s="10"/>
      <c r="BFJ57" s="10"/>
      <c r="BFK57" s="10"/>
      <c r="BFL57" s="10"/>
      <c r="BFM57" s="10"/>
      <c r="BFN57" s="10"/>
      <c r="BFO57" s="10"/>
      <c r="BFP57" s="10"/>
      <c r="BFQ57" s="10"/>
      <c r="BFR57" s="10"/>
      <c r="BFS57" s="10"/>
      <c r="BFT57" s="10"/>
      <c r="BFU57" s="10"/>
      <c r="BFV57" s="10"/>
      <c r="BFW57" s="10"/>
      <c r="BFX57" s="10"/>
      <c r="BFY57" s="10"/>
      <c r="BFZ57" s="10"/>
      <c r="BGA57" s="10"/>
      <c r="BGB57" s="10"/>
      <c r="BGC57" s="10"/>
      <c r="BGD57" s="10"/>
      <c r="BGE57" s="10"/>
      <c r="BGF57" s="10"/>
      <c r="BGG57" s="10"/>
      <c r="BGH57" s="10"/>
      <c r="BGI57" s="10"/>
      <c r="BGJ57" s="10"/>
      <c r="BGK57" s="10"/>
      <c r="BGL57" s="10"/>
      <c r="BGM57" s="10"/>
      <c r="BGN57" s="10"/>
      <c r="BGO57" s="10"/>
      <c r="BGP57" s="10"/>
      <c r="BGQ57" s="10"/>
      <c r="BGR57" s="10"/>
      <c r="BGS57" s="10"/>
      <c r="BGT57" s="10"/>
      <c r="BGU57" s="10"/>
      <c r="BGV57" s="10"/>
      <c r="BGW57" s="10"/>
      <c r="BGX57" s="10"/>
      <c r="BGY57" s="10"/>
      <c r="BGZ57" s="10"/>
      <c r="BHA57" s="10"/>
      <c r="BHB57" s="10"/>
      <c r="BHC57" s="10"/>
      <c r="BHD57" s="10"/>
      <c r="BHE57" s="10"/>
      <c r="BHF57" s="10"/>
      <c r="BHG57" s="10"/>
      <c r="BHH57" s="10"/>
      <c r="BHI57" s="10"/>
      <c r="BHJ57" s="10"/>
      <c r="BHK57" s="10"/>
      <c r="BHL57" s="10"/>
      <c r="BHM57" s="10"/>
      <c r="BHN57" s="10"/>
      <c r="BHO57" s="10"/>
      <c r="BHP57" s="10"/>
      <c r="BHQ57" s="10"/>
      <c r="BHR57" s="10"/>
      <c r="BHS57" s="10"/>
      <c r="BHT57" s="10"/>
      <c r="BHU57" s="10"/>
      <c r="BHV57" s="10"/>
      <c r="BHW57" s="10"/>
      <c r="BHX57" s="10"/>
      <c r="BHY57" s="10"/>
      <c r="BHZ57" s="10"/>
      <c r="BIA57" s="10"/>
      <c r="BIB57" s="10"/>
      <c r="BIC57" s="10"/>
      <c r="BID57" s="10"/>
      <c r="BIE57" s="10"/>
      <c r="BIF57" s="10"/>
      <c r="BIG57" s="10"/>
      <c r="BIH57" s="10"/>
      <c r="BII57" s="10"/>
      <c r="BIJ57" s="10"/>
      <c r="BIK57" s="10"/>
      <c r="BIL57" s="10"/>
      <c r="BIM57" s="10"/>
      <c r="BIN57" s="10"/>
      <c r="BIO57" s="10"/>
      <c r="BIP57" s="10"/>
      <c r="BIQ57" s="10"/>
      <c r="BIR57" s="10"/>
      <c r="BIS57" s="10"/>
      <c r="BIT57" s="10"/>
      <c r="BIU57" s="10"/>
      <c r="BIV57" s="10"/>
      <c r="BIW57" s="10"/>
      <c r="BIX57" s="10"/>
      <c r="BIY57" s="10"/>
      <c r="BIZ57" s="10"/>
      <c r="BJA57" s="10"/>
      <c r="BJB57" s="10"/>
      <c r="BJC57" s="10"/>
      <c r="BJD57" s="10"/>
      <c r="BJE57" s="10"/>
      <c r="BJF57" s="10"/>
      <c r="BJG57" s="10"/>
      <c r="BJH57" s="10"/>
      <c r="BJI57" s="10"/>
      <c r="BJJ57" s="10"/>
      <c r="BJK57" s="10"/>
      <c r="BJL57" s="10"/>
      <c r="BJM57" s="10"/>
      <c r="BJN57" s="10"/>
      <c r="BJO57" s="10"/>
      <c r="BJP57" s="10"/>
      <c r="BJQ57" s="10"/>
      <c r="BJR57" s="10"/>
      <c r="BJS57" s="10"/>
      <c r="BJT57" s="10"/>
      <c r="BJU57" s="10"/>
      <c r="BJV57" s="10"/>
      <c r="BJW57" s="10"/>
      <c r="BJX57" s="10"/>
      <c r="BJY57" s="10"/>
      <c r="BJZ57" s="10"/>
      <c r="BKA57" s="10"/>
      <c r="BKB57" s="10"/>
      <c r="BKC57" s="10"/>
      <c r="BKD57" s="10"/>
      <c r="BKE57" s="10"/>
      <c r="BKF57" s="10"/>
      <c r="BKG57" s="10"/>
      <c r="BKH57" s="10"/>
      <c r="BKI57" s="10"/>
      <c r="BKJ57" s="10"/>
      <c r="BKK57" s="10"/>
      <c r="BKL57" s="10"/>
      <c r="BKM57" s="10"/>
      <c r="BKN57" s="10"/>
      <c r="BKO57" s="10"/>
      <c r="BKP57" s="10"/>
      <c r="BKQ57" s="10"/>
      <c r="BKR57" s="10"/>
      <c r="BKS57" s="10"/>
      <c r="BKT57" s="10"/>
      <c r="BKU57" s="10"/>
      <c r="BKV57" s="10"/>
      <c r="BKW57" s="10"/>
      <c r="BKX57" s="10"/>
      <c r="BKY57" s="10"/>
      <c r="BKZ57" s="10"/>
      <c r="BLA57" s="10"/>
      <c r="BLB57" s="10"/>
      <c r="BLC57" s="10"/>
      <c r="BLD57" s="10"/>
      <c r="BLE57" s="10"/>
      <c r="BLF57" s="10"/>
      <c r="BLG57" s="10"/>
      <c r="BLH57" s="10"/>
      <c r="BLI57" s="10"/>
      <c r="BLJ57" s="10"/>
      <c r="BLK57" s="10"/>
      <c r="BLL57" s="10"/>
      <c r="BLM57" s="10"/>
      <c r="BLN57" s="10"/>
      <c r="BLO57" s="10"/>
      <c r="BLP57" s="10"/>
      <c r="BLQ57" s="10"/>
      <c r="BLR57" s="10"/>
      <c r="BLS57" s="10"/>
      <c r="BLT57" s="10"/>
      <c r="BLU57" s="10"/>
      <c r="BLV57" s="10"/>
      <c r="BLW57" s="10"/>
      <c r="BLX57" s="10"/>
      <c r="BLY57" s="10"/>
      <c r="BLZ57" s="10"/>
      <c r="BMA57" s="10"/>
      <c r="BMB57" s="10"/>
      <c r="BMC57" s="10"/>
      <c r="BMD57" s="10"/>
      <c r="BME57" s="10"/>
      <c r="BMF57" s="10"/>
      <c r="BMG57" s="10"/>
      <c r="BMH57" s="10"/>
      <c r="BMI57" s="10"/>
      <c r="BMJ57" s="10"/>
      <c r="BMK57" s="10"/>
      <c r="BML57" s="10"/>
      <c r="BMM57" s="10"/>
      <c r="BMN57" s="10"/>
      <c r="BMO57" s="10"/>
      <c r="BMP57" s="10"/>
      <c r="BMQ57" s="10"/>
      <c r="BMR57" s="10"/>
      <c r="BMS57" s="10"/>
      <c r="BMT57" s="10"/>
      <c r="BMU57" s="10"/>
      <c r="BMV57" s="10"/>
      <c r="BMW57" s="10"/>
      <c r="BMX57" s="10"/>
      <c r="BMY57" s="10"/>
      <c r="BMZ57" s="10"/>
      <c r="BNA57" s="10"/>
      <c r="BNB57" s="10"/>
      <c r="BNC57" s="10"/>
      <c r="BND57" s="10"/>
      <c r="BNE57" s="10"/>
      <c r="BNF57" s="10"/>
      <c r="BNG57" s="10"/>
      <c r="BNH57" s="10"/>
      <c r="BNI57" s="10"/>
      <c r="BNJ57" s="10"/>
      <c r="BNK57" s="10"/>
      <c r="BNL57" s="10"/>
      <c r="BNM57" s="10"/>
      <c r="BNN57" s="10"/>
      <c r="BNO57" s="10"/>
      <c r="BNP57" s="10"/>
      <c r="BNQ57" s="10"/>
      <c r="BNR57" s="10"/>
      <c r="BNS57" s="10"/>
      <c r="BNT57" s="10"/>
      <c r="BNU57" s="10"/>
      <c r="BNV57" s="10"/>
      <c r="BNW57" s="10"/>
      <c r="BNX57" s="10"/>
      <c r="BNY57" s="10"/>
      <c r="BNZ57" s="10"/>
      <c r="BOA57" s="10"/>
      <c r="BOB57" s="10"/>
      <c r="BOC57" s="10"/>
      <c r="BOD57" s="10"/>
      <c r="BOE57" s="10"/>
      <c r="BOF57" s="10"/>
      <c r="BOG57" s="10"/>
      <c r="BOH57" s="10"/>
      <c r="BOI57" s="10"/>
      <c r="BOJ57" s="10"/>
      <c r="BOK57" s="10"/>
      <c r="BOL57" s="10"/>
      <c r="BOM57" s="10"/>
      <c r="BON57" s="10"/>
      <c r="BOO57" s="10"/>
      <c r="BOP57" s="10"/>
      <c r="BOQ57" s="10"/>
      <c r="BOR57" s="10"/>
      <c r="BOS57" s="10"/>
      <c r="BOT57" s="10"/>
      <c r="BOU57" s="10"/>
      <c r="BOV57" s="10"/>
      <c r="BOW57" s="10"/>
      <c r="BOX57" s="10"/>
      <c r="BOY57" s="10"/>
      <c r="BOZ57" s="10"/>
      <c r="BPA57" s="10"/>
      <c r="BPB57" s="10"/>
      <c r="BPC57" s="10"/>
      <c r="BPD57" s="10"/>
      <c r="BPE57" s="10"/>
      <c r="BPF57" s="10"/>
      <c r="BPG57" s="10"/>
      <c r="BPH57" s="10"/>
      <c r="BPI57" s="10"/>
      <c r="BPJ57" s="10"/>
      <c r="BPK57" s="10"/>
      <c r="BPL57" s="10"/>
      <c r="BPM57" s="10"/>
      <c r="BPN57" s="10"/>
      <c r="BPO57" s="10"/>
      <c r="BPP57" s="10"/>
      <c r="BPQ57" s="10"/>
      <c r="BPR57" s="10"/>
      <c r="BPS57" s="10"/>
      <c r="BPT57" s="10"/>
      <c r="BPU57" s="10"/>
      <c r="BPV57" s="10"/>
      <c r="BPW57" s="10"/>
      <c r="BPX57" s="10"/>
      <c r="BPY57" s="10"/>
      <c r="BPZ57" s="10"/>
      <c r="BQA57" s="10"/>
      <c r="BQB57" s="10"/>
      <c r="BQC57" s="10"/>
      <c r="BQD57" s="10"/>
      <c r="BQE57" s="10"/>
      <c r="BQF57" s="10"/>
      <c r="BQG57" s="10"/>
      <c r="BQH57" s="10"/>
      <c r="BQI57" s="10"/>
      <c r="BQJ57" s="10"/>
      <c r="BQK57" s="10"/>
      <c r="BQL57" s="10"/>
      <c r="BQM57" s="10"/>
      <c r="BQN57" s="10"/>
      <c r="BQO57" s="10"/>
      <c r="BQP57" s="10"/>
      <c r="BQQ57" s="10"/>
      <c r="BQR57" s="10"/>
      <c r="BQS57" s="10"/>
      <c r="BQT57" s="10"/>
      <c r="BQU57" s="10"/>
      <c r="BQV57" s="10"/>
      <c r="BQW57" s="10"/>
      <c r="BQX57" s="10"/>
      <c r="BQY57" s="10"/>
      <c r="BQZ57" s="10"/>
      <c r="BRA57" s="10"/>
      <c r="BRB57" s="10"/>
      <c r="BRC57" s="10"/>
      <c r="BRD57" s="10"/>
      <c r="BRE57" s="10"/>
      <c r="BRF57" s="10"/>
      <c r="BRG57" s="10"/>
      <c r="BRH57" s="10"/>
      <c r="BRI57" s="10"/>
      <c r="BRJ57" s="10"/>
      <c r="BRK57" s="10"/>
      <c r="BRL57" s="10"/>
      <c r="BRM57" s="10"/>
      <c r="BRN57" s="10"/>
      <c r="BRO57" s="10"/>
      <c r="BRP57" s="10"/>
      <c r="BRQ57" s="10"/>
      <c r="BRR57" s="10"/>
      <c r="BRS57" s="10"/>
      <c r="BRT57" s="10"/>
      <c r="BRU57" s="10"/>
      <c r="BRV57" s="10"/>
      <c r="BRW57" s="10"/>
      <c r="BRX57" s="10"/>
      <c r="BRY57" s="10"/>
      <c r="BRZ57" s="10"/>
      <c r="BSA57" s="10"/>
      <c r="BSB57" s="10"/>
      <c r="BSC57" s="10"/>
      <c r="BSD57" s="10"/>
      <c r="BSE57" s="10"/>
      <c r="BSF57" s="10"/>
      <c r="BSG57" s="10"/>
      <c r="BSH57" s="10"/>
      <c r="BSI57" s="10"/>
      <c r="BSJ57" s="10"/>
      <c r="BSK57" s="10"/>
      <c r="BSL57" s="10"/>
      <c r="BSM57" s="10"/>
      <c r="BSN57" s="10"/>
      <c r="BSO57" s="10"/>
      <c r="BSP57" s="10"/>
      <c r="BSQ57" s="10"/>
      <c r="BSR57" s="10"/>
      <c r="BSS57" s="10"/>
      <c r="BST57" s="10"/>
      <c r="BSU57" s="10"/>
      <c r="BSV57" s="10"/>
      <c r="BSW57" s="10"/>
      <c r="BSX57" s="10"/>
      <c r="BSY57" s="10"/>
      <c r="BSZ57" s="10"/>
      <c r="BTA57" s="10"/>
      <c r="BTB57" s="10"/>
      <c r="BTC57" s="10"/>
      <c r="BTD57" s="10"/>
      <c r="BTE57" s="10"/>
      <c r="BTF57" s="10"/>
      <c r="BTG57" s="10"/>
      <c r="BTH57" s="10"/>
      <c r="BTI57" s="10"/>
      <c r="BTJ57" s="10"/>
      <c r="BTK57" s="10"/>
      <c r="BTL57" s="10"/>
      <c r="BTM57" s="10"/>
      <c r="BTN57" s="10"/>
      <c r="BTO57" s="10"/>
      <c r="BTP57" s="10"/>
      <c r="BTQ57" s="10"/>
      <c r="BTR57" s="10"/>
      <c r="BTS57" s="10"/>
      <c r="BTT57" s="10"/>
      <c r="BTU57" s="10"/>
      <c r="BTV57" s="10"/>
      <c r="BTW57" s="10"/>
      <c r="BTX57" s="10"/>
      <c r="BTY57" s="10"/>
      <c r="BTZ57" s="10"/>
      <c r="BUA57" s="10"/>
      <c r="BUB57" s="10"/>
      <c r="BUC57" s="10"/>
      <c r="BUD57" s="10"/>
      <c r="BUE57" s="10"/>
      <c r="BUF57" s="10"/>
      <c r="BUG57" s="10"/>
      <c r="BUH57" s="10"/>
      <c r="BUI57" s="10"/>
      <c r="BUJ57" s="10"/>
      <c r="BUK57" s="10"/>
      <c r="BUL57" s="10"/>
      <c r="BUM57" s="10"/>
      <c r="BUN57" s="10"/>
      <c r="BUO57" s="10"/>
      <c r="BUP57" s="10"/>
      <c r="BUQ57" s="10"/>
      <c r="BUR57" s="10"/>
      <c r="BUS57" s="10"/>
      <c r="BUT57" s="10"/>
      <c r="BUU57" s="10"/>
      <c r="BUV57" s="10"/>
      <c r="BUW57" s="10"/>
      <c r="BUX57" s="10"/>
      <c r="BUY57" s="10"/>
      <c r="BUZ57" s="10"/>
      <c r="BVA57" s="10"/>
      <c r="BVB57" s="10"/>
      <c r="BVC57" s="10"/>
      <c r="BVD57" s="10"/>
      <c r="BVE57" s="10"/>
      <c r="BVF57" s="10"/>
      <c r="BVG57" s="10"/>
      <c r="BVH57" s="10"/>
      <c r="BVI57" s="10"/>
      <c r="BVJ57" s="10"/>
      <c r="BVK57" s="10"/>
      <c r="BVL57" s="10"/>
      <c r="BVM57" s="10"/>
      <c r="BVN57" s="10"/>
      <c r="BVO57" s="10"/>
      <c r="BVP57" s="10"/>
      <c r="BVQ57" s="10"/>
      <c r="BVR57" s="10"/>
      <c r="BVS57" s="10"/>
      <c r="BVT57" s="10"/>
      <c r="BVU57" s="10"/>
      <c r="BVV57" s="10"/>
      <c r="BVW57" s="10"/>
      <c r="BVX57" s="10"/>
      <c r="BVY57" s="10"/>
      <c r="BVZ57" s="10"/>
      <c r="BWA57" s="10"/>
      <c r="BWB57" s="10"/>
      <c r="BWC57" s="10"/>
      <c r="BWD57" s="10"/>
      <c r="BWE57" s="10"/>
      <c r="BWF57" s="10"/>
      <c r="BWG57" s="10"/>
      <c r="BWH57" s="10"/>
      <c r="BWI57" s="10"/>
      <c r="BWJ57" s="10"/>
      <c r="BWK57" s="10"/>
      <c r="BWL57" s="10"/>
      <c r="BWM57" s="10"/>
      <c r="BWN57" s="10"/>
      <c r="BWO57" s="10"/>
      <c r="BWP57" s="10"/>
      <c r="BWQ57" s="10"/>
      <c r="BWR57" s="10"/>
      <c r="BWS57" s="10"/>
      <c r="BWT57" s="10"/>
      <c r="BWU57" s="10"/>
      <c r="BWV57" s="10"/>
      <c r="BWW57" s="10"/>
      <c r="BWX57" s="10"/>
      <c r="BWY57" s="10"/>
      <c r="BWZ57" s="10"/>
      <c r="BXA57" s="10"/>
      <c r="BXB57" s="10"/>
      <c r="BXC57" s="10"/>
      <c r="BXD57" s="10"/>
      <c r="BXE57" s="10"/>
      <c r="BXF57" s="10"/>
      <c r="BXG57" s="10"/>
      <c r="BXH57" s="10"/>
      <c r="BXI57" s="10"/>
      <c r="BXJ57" s="10"/>
      <c r="BXK57" s="10"/>
      <c r="BXL57" s="10"/>
      <c r="BXM57" s="10"/>
      <c r="BXN57" s="10"/>
      <c r="BXO57" s="10"/>
      <c r="BXP57" s="10"/>
      <c r="BXQ57" s="10"/>
      <c r="BXR57" s="10"/>
      <c r="BXS57" s="10"/>
      <c r="BXT57" s="10"/>
      <c r="BXU57" s="10"/>
      <c r="BXV57" s="10"/>
      <c r="BXW57" s="10"/>
      <c r="BXX57" s="10"/>
      <c r="BXY57" s="10"/>
      <c r="BXZ57" s="10"/>
      <c r="BYA57" s="10"/>
      <c r="BYB57" s="10"/>
      <c r="BYC57" s="10"/>
      <c r="BYD57" s="10"/>
      <c r="BYE57" s="10"/>
      <c r="BYF57" s="10"/>
      <c r="BYG57" s="10"/>
      <c r="BYH57" s="10"/>
      <c r="BYI57" s="10"/>
      <c r="BYJ57" s="10"/>
      <c r="BYK57" s="10"/>
      <c r="BYL57" s="10"/>
      <c r="BYM57" s="10"/>
      <c r="BYN57" s="10"/>
      <c r="BYO57" s="10"/>
      <c r="BYP57" s="10"/>
      <c r="BYQ57" s="10"/>
      <c r="BYR57" s="10"/>
      <c r="BYS57" s="10"/>
      <c r="BYT57" s="10"/>
      <c r="BYU57" s="10"/>
      <c r="BYV57" s="10"/>
      <c r="BYW57" s="10"/>
      <c r="BYX57" s="10"/>
      <c r="BYY57" s="10"/>
      <c r="BYZ57" s="10"/>
      <c r="BZA57" s="10"/>
      <c r="BZB57" s="10"/>
      <c r="BZC57" s="10"/>
      <c r="BZD57" s="10"/>
      <c r="BZE57" s="10"/>
      <c r="BZF57" s="10"/>
      <c r="BZG57" s="10"/>
      <c r="BZH57" s="10"/>
      <c r="BZI57" s="10"/>
      <c r="BZJ57" s="10"/>
      <c r="BZK57" s="10"/>
      <c r="BZL57" s="10"/>
      <c r="BZM57" s="10"/>
      <c r="BZN57" s="10"/>
      <c r="BZO57" s="10"/>
      <c r="BZP57" s="10"/>
      <c r="BZQ57" s="10"/>
      <c r="BZR57" s="10"/>
      <c r="BZS57" s="10"/>
      <c r="BZT57" s="10"/>
      <c r="BZU57" s="10"/>
      <c r="BZV57" s="10"/>
      <c r="BZW57" s="10"/>
      <c r="BZX57" s="10"/>
      <c r="BZY57" s="10"/>
      <c r="BZZ57" s="10"/>
      <c r="CAA57" s="10"/>
      <c r="CAB57" s="10"/>
      <c r="CAC57" s="10"/>
      <c r="CAD57" s="10"/>
      <c r="CAE57" s="10"/>
      <c r="CAF57" s="10"/>
      <c r="CAG57" s="10"/>
      <c r="CAH57" s="10"/>
      <c r="CAI57" s="10"/>
      <c r="CAJ57" s="10"/>
      <c r="CAK57" s="10"/>
      <c r="CAL57" s="10"/>
      <c r="CAM57" s="10"/>
      <c r="CAN57" s="10"/>
      <c r="CAO57" s="10"/>
      <c r="CAP57" s="10"/>
      <c r="CAQ57" s="10"/>
      <c r="CAR57" s="10"/>
      <c r="CAS57" s="10"/>
      <c r="CAT57" s="10"/>
      <c r="CAU57" s="10"/>
      <c r="CAV57" s="10"/>
      <c r="CAW57" s="10"/>
      <c r="CAX57" s="10"/>
      <c r="CAY57" s="10"/>
      <c r="CAZ57" s="10"/>
      <c r="CBA57" s="10"/>
      <c r="CBB57" s="10"/>
      <c r="CBC57" s="10"/>
      <c r="CBD57" s="10"/>
      <c r="CBE57" s="10"/>
      <c r="CBF57" s="10"/>
      <c r="CBG57" s="10"/>
      <c r="CBH57" s="10"/>
      <c r="CBI57" s="10"/>
      <c r="CBJ57" s="10"/>
      <c r="CBK57" s="10"/>
      <c r="CBL57" s="10"/>
      <c r="CBM57" s="10"/>
      <c r="CBN57" s="10"/>
      <c r="CBO57" s="10"/>
      <c r="CBP57" s="10"/>
      <c r="CBQ57" s="10"/>
      <c r="CBR57" s="10"/>
      <c r="CBS57" s="10"/>
      <c r="CBT57" s="10"/>
      <c r="CBU57" s="10"/>
      <c r="CBV57" s="10"/>
      <c r="CBW57" s="10"/>
      <c r="CBX57" s="10"/>
      <c r="CBY57" s="10"/>
      <c r="CBZ57" s="10"/>
      <c r="CCA57" s="10"/>
      <c r="CCB57" s="10"/>
      <c r="CCC57" s="10"/>
      <c r="CCD57" s="10"/>
      <c r="CCE57" s="10"/>
      <c r="CCF57" s="10"/>
      <c r="CCG57" s="10"/>
      <c r="CCH57" s="10"/>
      <c r="CCI57" s="10"/>
      <c r="CCJ57" s="10"/>
      <c r="CCK57" s="10"/>
      <c r="CCL57" s="10"/>
      <c r="CCM57" s="10"/>
      <c r="CCN57" s="10"/>
      <c r="CCO57" s="10"/>
      <c r="CCP57" s="10"/>
      <c r="CCQ57" s="10"/>
      <c r="CCR57" s="10"/>
      <c r="CCS57" s="10"/>
      <c r="CCT57" s="10"/>
      <c r="CCU57" s="10"/>
      <c r="CCV57" s="10"/>
      <c r="CCW57" s="10"/>
      <c r="CCX57" s="10"/>
      <c r="CCY57" s="10"/>
      <c r="CCZ57" s="10"/>
      <c r="CDA57" s="10"/>
      <c r="CDB57" s="10"/>
      <c r="CDC57" s="10"/>
      <c r="CDD57" s="10"/>
      <c r="CDE57" s="10"/>
      <c r="CDF57" s="10"/>
      <c r="CDG57" s="10"/>
      <c r="CDH57" s="10"/>
      <c r="CDI57" s="10"/>
      <c r="CDJ57" s="10"/>
      <c r="CDK57" s="10"/>
      <c r="CDL57" s="10"/>
      <c r="CDM57" s="10"/>
      <c r="CDN57" s="10"/>
      <c r="CDO57" s="10"/>
      <c r="CDP57" s="10"/>
      <c r="CDQ57" s="10"/>
      <c r="CDR57" s="10"/>
      <c r="CDS57" s="10"/>
      <c r="CDT57" s="10"/>
      <c r="CDU57" s="10"/>
      <c r="CDV57" s="10"/>
      <c r="CDW57" s="10"/>
      <c r="CDX57" s="10"/>
      <c r="CDY57" s="10"/>
      <c r="CDZ57" s="10"/>
      <c r="CEA57" s="10"/>
      <c r="CEB57" s="10"/>
      <c r="CEC57" s="10"/>
      <c r="CED57" s="10"/>
      <c r="CEE57" s="10"/>
      <c r="CEF57" s="10"/>
      <c r="CEG57" s="10"/>
      <c r="CEH57" s="10"/>
      <c r="CEI57" s="10"/>
      <c r="CEJ57" s="10"/>
      <c r="CEK57" s="10"/>
      <c r="CEL57" s="10"/>
      <c r="CEM57" s="10"/>
      <c r="CEN57" s="10"/>
      <c r="CEO57" s="10"/>
      <c r="CEP57" s="10"/>
      <c r="CEQ57" s="10"/>
      <c r="CER57" s="10"/>
      <c r="CES57" s="10"/>
      <c r="CET57" s="10"/>
      <c r="CEU57" s="10"/>
      <c r="CEV57" s="10"/>
      <c r="CEW57" s="10"/>
      <c r="CEX57" s="10"/>
      <c r="CEY57" s="10"/>
      <c r="CEZ57" s="10"/>
      <c r="CFA57" s="10"/>
      <c r="CFB57" s="10"/>
      <c r="CFC57" s="10"/>
      <c r="CFD57" s="10"/>
      <c r="CFE57" s="10"/>
      <c r="CFF57" s="10"/>
      <c r="CFG57" s="10"/>
      <c r="CFH57" s="10"/>
      <c r="CFI57" s="10"/>
      <c r="CFJ57" s="10"/>
      <c r="CFK57" s="10"/>
      <c r="CFL57" s="10"/>
      <c r="CFM57" s="10"/>
      <c r="CFN57" s="10"/>
      <c r="CFO57" s="10"/>
      <c r="CFP57" s="10"/>
      <c r="CFQ57" s="10"/>
      <c r="CFR57" s="10"/>
      <c r="CFS57" s="10"/>
      <c r="CFT57" s="10"/>
      <c r="CFU57" s="10"/>
      <c r="CFV57" s="10"/>
      <c r="CFW57" s="10"/>
      <c r="CFX57" s="10"/>
      <c r="CFY57" s="10"/>
      <c r="CFZ57" s="10"/>
      <c r="CGA57" s="10"/>
      <c r="CGB57" s="10"/>
      <c r="CGC57" s="10"/>
      <c r="CGD57" s="10"/>
      <c r="CGE57" s="10"/>
      <c r="CGF57" s="10"/>
      <c r="CGG57" s="10"/>
      <c r="CGH57" s="10"/>
      <c r="CGI57" s="10"/>
      <c r="CGJ57" s="10"/>
      <c r="CGK57" s="10"/>
      <c r="CGL57" s="10"/>
      <c r="CGM57" s="10"/>
      <c r="CGN57" s="10"/>
      <c r="CGO57" s="10"/>
      <c r="CGP57" s="10"/>
      <c r="CGQ57" s="10"/>
      <c r="CGR57" s="10"/>
      <c r="CGS57" s="10"/>
      <c r="CGT57" s="10"/>
      <c r="CGU57" s="10"/>
      <c r="CGV57" s="10"/>
      <c r="CGW57" s="10"/>
      <c r="CGX57" s="10"/>
      <c r="CGY57" s="10"/>
      <c r="CGZ57" s="10"/>
      <c r="CHA57" s="10"/>
      <c r="CHB57" s="10"/>
      <c r="CHC57" s="10"/>
      <c r="CHD57" s="10"/>
      <c r="CHE57" s="10"/>
      <c r="CHF57" s="10"/>
      <c r="CHG57" s="10"/>
      <c r="CHH57" s="10"/>
      <c r="CHI57" s="10"/>
      <c r="CHJ57" s="10"/>
      <c r="CHK57" s="10"/>
      <c r="CHL57" s="10"/>
      <c r="CHM57" s="10"/>
      <c r="CHN57" s="10"/>
      <c r="CHO57" s="10"/>
      <c r="CHP57" s="10"/>
      <c r="CHQ57" s="10"/>
      <c r="CHR57" s="10"/>
      <c r="CHS57" s="10"/>
      <c r="CHT57" s="10"/>
      <c r="CHU57" s="10"/>
      <c r="CHV57" s="10"/>
      <c r="CHW57" s="10"/>
      <c r="CHX57" s="10"/>
      <c r="CHY57" s="10"/>
      <c r="CHZ57" s="10"/>
      <c r="CIA57" s="10"/>
      <c r="CIB57" s="10"/>
      <c r="CIC57" s="10"/>
      <c r="CID57" s="10"/>
      <c r="CIE57" s="10"/>
      <c r="CIF57" s="10"/>
      <c r="CIG57" s="10"/>
      <c r="CIH57" s="10"/>
      <c r="CII57" s="10"/>
      <c r="CIJ57" s="10"/>
      <c r="CIK57" s="10"/>
      <c r="CIL57" s="10"/>
      <c r="CIM57" s="10"/>
      <c r="CIN57" s="10"/>
      <c r="CIO57" s="10"/>
      <c r="CIP57" s="10"/>
      <c r="CIQ57" s="10"/>
      <c r="CIR57" s="10"/>
      <c r="CIS57" s="10"/>
      <c r="CIT57" s="10"/>
      <c r="CIU57" s="10"/>
      <c r="CIV57" s="10"/>
      <c r="CIW57" s="10"/>
      <c r="CIX57" s="10"/>
      <c r="CIY57" s="10"/>
      <c r="CIZ57" s="10"/>
      <c r="CJA57" s="10"/>
      <c r="CJB57" s="10"/>
      <c r="CJC57" s="10"/>
      <c r="CJD57" s="10"/>
      <c r="CJE57" s="10"/>
      <c r="CJF57" s="10"/>
      <c r="CJG57" s="10"/>
      <c r="CJH57" s="10"/>
      <c r="CJI57" s="10"/>
      <c r="CJJ57" s="10"/>
      <c r="CJK57" s="10"/>
      <c r="CJL57" s="10"/>
      <c r="CJM57" s="10"/>
      <c r="CJN57" s="10"/>
      <c r="CJO57" s="10"/>
      <c r="CJP57" s="10"/>
      <c r="CJQ57" s="10"/>
      <c r="CJR57" s="10"/>
      <c r="CJS57" s="10"/>
      <c r="CJT57" s="10"/>
      <c r="CJU57" s="10"/>
      <c r="CJV57" s="10"/>
      <c r="CJW57" s="10"/>
      <c r="CJX57" s="10"/>
      <c r="CJY57" s="10"/>
      <c r="CJZ57" s="10"/>
      <c r="CKA57" s="10"/>
      <c r="CKB57" s="10"/>
      <c r="CKC57" s="10"/>
      <c r="CKD57" s="10"/>
      <c r="CKE57" s="10"/>
      <c r="CKF57" s="10"/>
      <c r="CKG57" s="10"/>
      <c r="CKH57" s="10"/>
      <c r="CKI57" s="10"/>
      <c r="CKJ57" s="10"/>
      <c r="CKK57" s="10"/>
      <c r="CKL57" s="10"/>
      <c r="CKM57" s="10"/>
      <c r="CKN57" s="10"/>
      <c r="CKO57" s="10"/>
      <c r="CKP57" s="10"/>
      <c r="CKQ57" s="10"/>
      <c r="CKR57" s="10"/>
      <c r="CKS57" s="10"/>
      <c r="CKT57" s="10"/>
      <c r="CKU57" s="10"/>
      <c r="CKV57" s="10"/>
      <c r="CKW57" s="10"/>
      <c r="CKX57" s="10"/>
      <c r="CKY57" s="10"/>
      <c r="CKZ57" s="10"/>
      <c r="CLA57" s="10"/>
      <c r="CLB57" s="10"/>
      <c r="CLC57" s="10"/>
      <c r="CLD57" s="10"/>
      <c r="CLE57" s="10"/>
      <c r="CLF57" s="10"/>
      <c r="CLG57" s="10"/>
      <c r="CLH57" s="10"/>
      <c r="CLI57" s="10"/>
      <c r="CLJ57" s="10"/>
      <c r="CLK57" s="10"/>
      <c r="CLL57" s="10"/>
      <c r="CLM57" s="10"/>
      <c r="CLN57" s="10"/>
      <c r="CLO57" s="10"/>
      <c r="CLP57" s="10"/>
      <c r="CLQ57" s="10"/>
      <c r="CLR57" s="10"/>
      <c r="CLS57" s="10"/>
      <c r="CLT57" s="10"/>
      <c r="CLU57" s="10"/>
      <c r="CLV57" s="10"/>
      <c r="CLW57" s="10"/>
      <c r="CLX57" s="10"/>
      <c r="CLY57" s="10"/>
      <c r="CLZ57" s="10"/>
      <c r="CMA57" s="10"/>
      <c r="CMB57" s="10"/>
      <c r="CMC57" s="10"/>
      <c r="CMD57" s="10"/>
      <c r="CME57" s="10"/>
      <c r="CMF57" s="10"/>
      <c r="CMG57" s="10"/>
      <c r="CMH57" s="10"/>
      <c r="CMI57" s="10"/>
      <c r="CMJ57" s="10"/>
      <c r="CMK57" s="10"/>
      <c r="CML57" s="10"/>
      <c r="CMM57" s="10"/>
      <c r="CMN57" s="10"/>
      <c r="CMO57" s="10"/>
      <c r="CMP57" s="10"/>
      <c r="CMQ57" s="10"/>
      <c r="CMR57" s="10"/>
      <c r="CMS57" s="10"/>
      <c r="CMT57" s="10"/>
      <c r="CMU57" s="10"/>
      <c r="CMV57" s="10"/>
      <c r="CMW57" s="10"/>
      <c r="CMX57" s="10"/>
      <c r="CMY57" s="10"/>
      <c r="CMZ57" s="10"/>
      <c r="CNA57" s="10"/>
      <c r="CNB57" s="10"/>
      <c r="CNC57" s="10"/>
      <c r="CND57" s="10"/>
      <c r="CNE57" s="10"/>
      <c r="CNF57" s="10"/>
      <c r="CNG57" s="10"/>
      <c r="CNH57" s="10"/>
      <c r="CNI57" s="10"/>
      <c r="CNJ57" s="10"/>
      <c r="CNK57" s="10"/>
      <c r="CNL57" s="10"/>
      <c r="CNM57" s="10"/>
      <c r="CNN57" s="10"/>
      <c r="CNO57" s="10"/>
      <c r="CNP57" s="10"/>
      <c r="CNQ57" s="10"/>
      <c r="CNR57" s="10"/>
      <c r="CNS57" s="10"/>
      <c r="CNT57" s="10"/>
      <c r="CNU57" s="10"/>
      <c r="CNV57" s="10"/>
      <c r="CNW57" s="10"/>
      <c r="CNX57" s="10"/>
      <c r="CNY57" s="10"/>
      <c r="CNZ57" s="10"/>
      <c r="COA57" s="10"/>
      <c r="COB57" s="10"/>
      <c r="COC57" s="10"/>
      <c r="COD57" s="10"/>
      <c r="COE57" s="10"/>
      <c r="COF57" s="10"/>
      <c r="COG57" s="10"/>
      <c r="COH57" s="10"/>
      <c r="COI57" s="10"/>
      <c r="COJ57" s="10"/>
      <c r="COK57" s="10"/>
      <c r="COL57" s="10"/>
      <c r="COM57" s="10"/>
      <c r="CON57" s="10"/>
      <c r="COO57" s="10"/>
      <c r="COP57" s="10"/>
      <c r="COQ57" s="10"/>
      <c r="COR57" s="10"/>
      <c r="COS57" s="10"/>
      <c r="COT57" s="10"/>
      <c r="COU57" s="10"/>
      <c r="COV57" s="10"/>
      <c r="COW57" s="10"/>
      <c r="COX57" s="10"/>
      <c r="COY57" s="10"/>
      <c r="COZ57" s="10"/>
      <c r="CPA57" s="10"/>
      <c r="CPB57" s="10"/>
      <c r="CPC57" s="10"/>
      <c r="CPD57" s="10"/>
      <c r="CPE57" s="10"/>
      <c r="CPF57" s="10"/>
      <c r="CPG57" s="10"/>
      <c r="CPH57" s="10"/>
      <c r="CPI57" s="10"/>
      <c r="CPJ57" s="10"/>
      <c r="CPK57" s="10"/>
      <c r="CPL57" s="10"/>
      <c r="CPM57" s="10"/>
      <c r="CPN57" s="10"/>
      <c r="CPO57" s="10"/>
      <c r="CPP57" s="10"/>
      <c r="CPQ57" s="10"/>
      <c r="CPR57" s="10"/>
      <c r="CPS57" s="10"/>
      <c r="CPT57" s="10"/>
      <c r="CPU57" s="10"/>
      <c r="CPV57" s="10"/>
      <c r="CPW57" s="10"/>
      <c r="CPX57" s="10"/>
      <c r="CPY57" s="10"/>
      <c r="CPZ57" s="10"/>
      <c r="CQA57" s="10"/>
      <c r="CQB57" s="10"/>
      <c r="CQC57" s="10"/>
      <c r="CQD57" s="10"/>
      <c r="CQE57" s="10"/>
      <c r="CQF57" s="10"/>
      <c r="CQG57" s="10"/>
      <c r="CQH57" s="10"/>
      <c r="CQI57" s="10"/>
      <c r="CQJ57" s="10"/>
      <c r="CQK57" s="10"/>
      <c r="CQL57" s="10"/>
      <c r="CQM57" s="10"/>
      <c r="CQN57" s="10"/>
      <c r="CQO57" s="10"/>
      <c r="CQP57" s="10"/>
      <c r="CQQ57" s="10"/>
      <c r="CQR57" s="10"/>
      <c r="CQS57" s="10"/>
      <c r="CQT57" s="10"/>
      <c r="CQU57" s="10"/>
      <c r="CQV57" s="10"/>
      <c r="CQW57" s="10"/>
      <c r="CQX57" s="10"/>
      <c r="CQY57" s="10"/>
      <c r="CQZ57" s="10"/>
      <c r="CRA57" s="10"/>
      <c r="CRB57" s="10"/>
      <c r="CRC57" s="10"/>
      <c r="CRD57" s="10"/>
      <c r="CRE57" s="10"/>
      <c r="CRF57" s="10"/>
      <c r="CRG57" s="10"/>
      <c r="CRH57" s="10"/>
      <c r="CRI57" s="10"/>
      <c r="CRJ57" s="10"/>
      <c r="CRK57" s="10"/>
      <c r="CRL57" s="10"/>
      <c r="CRM57" s="10"/>
      <c r="CRN57" s="10"/>
      <c r="CRO57" s="10"/>
      <c r="CRP57" s="10"/>
      <c r="CRQ57" s="10"/>
      <c r="CRR57" s="10"/>
      <c r="CRS57" s="10"/>
      <c r="CRT57" s="10"/>
      <c r="CRU57" s="10"/>
      <c r="CRV57" s="10"/>
      <c r="CRW57" s="10"/>
      <c r="CRX57" s="10"/>
      <c r="CRY57" s="10"/>
      <c r="CRZ57" s="10"/>
      <c r="CSA57" s="10"/>
      <c r="CSB57" s="10"/>
      <c r="CSC57" s="10"/>
      <c r="CSD57" s="10"/>
      <c r="CSE57" s="10"/>
      <c r="CSF57" s="10"/>
      <c r="CSG57" s="10"/>
      <c r="CSH57" s="10"/>
      <c r="CSI57" s="10"/>
      <c r="CSJ57" s="10"/>
      <c r="CSK57" s="10"/>
      <c r="CSL57" s="10"/>
      <c r="CSM57" s="10"/>
      <c r="CSN57" s="10"/>
      <c r="CSO57" s="10"/>
      <c r="CSP57" s="10"/>
      <c r="CSQ57" s="10"/>
      <c r="CSR57" s="10"/>
      <c r="CSS57" s="10"/>
      <c r="CST57" s="10"/>
      <c r="CSU57" s="10"/>
      <c r="CSV57" s="10"/>
      <c r="CSW57" s="10"/>
      <c r="CSX57" s="10"/>
      <c r="CSY57" s="10"/>
      <c r="CSZ57" s="10"/>
      <c r="CTA57" s="10"/>
      <c r="CTB57" s="10"/>
      <c r="CTC57" s="10"/>
      <c r="CTD57" s="10"/>
      <c r="CTE57" s="10"/>
      <c r="CTF57" s="10"/>
      <c r="CTG57" s="10"/>
      <c r="CTH57" s="10"/>
      <c r="CTI57" s="10"/>
      <c r="CTJ57" s="10"/>
      <c r="CTK57" s="10"/>
      <c r="CTL57" s="10"/>
      <c r="CTM57" s="10"/>
      <c r="CTN57" s="10"/>
      <c r="CTO57" s="10"/>
      <c r="CTP57" s="10"/>
      <c r="CTQ57" s="10"/>
      <c r="CTR57" s="10"/>
      <c r="CTS57" s="10"/>
      <c r="CTT57" s="10"/>
      <c r="CTU57" s="10"/>
      <c r="CTV57" s="10"/>
      <c r="CTW57" s="10"/>
      <c r="CTX57" s="10"/>
      <c r="CTY57" s="10"/>
      <c r="CTZ57" s="10"/>
      <c r="CUA57" s="10"/>
      <c r="CUB57" s="10"/>
      <c r="CUC57" s="10"/>
      <c r="CUD57" s="10"/>
      <c r="CUE57" s="10"/>
      <c r="CUF57" s="10"/>
      <c r="CUG57" s="10"/>
      <c r="CUH57" s="10"/>
      <c r="CUI57" s="10"/>
      <c r="CUJ57" s="10"/>
      <c r="CUK57" s="10"/>
      <c r="CUL57" s="10"/>
      <c r="CUM57" s="10"/>
      <c r="CUN57" s="10"/>
      <c r="CUO57" s="10"/>
      <c r="CUP57" s="10"/>
      <c r="CUQ57" s="10"/>
      <c r="CUR57" s="10"/>
      <c r="CUS57" s="10"/>
      <c r="CUT57" s="10"/>
      <c r="CUU57" s="10"/>
      <c r="CUV57" s="10"/>
      <c r="CUW57" s="10"/>
      <c r="CUX57" s="10"/>
      <c r="CUY57" s="10"/>
      <c r="CUZ57" s="10"/>
      <c r="CVA57" s="10"/>
      <c r="CVB57" s="10"/>
      <c r="CVC57" s="10"/>
      <c r="CVD57" s="10"/>
      <c r="CVE57" s="10"/>
      <c r="CVF57" s="10"/>
      <c r="CVG57" s="10"/>
      <c r="CVH57" s="10"/>
      <c r="CVI57" s="10"/>
      <c r="CVJ57" s="10"/>
      <c r="CVK57" s="10"/>
      <c r="CVL57" s="10"/>
      <c r="CVM57" s="10"/>
      <c r="CVN57" s="10"/>
      <c r="CVO57" s="10"/>
      <c r="CVP57" s="10"/>
      <c r="CVQ57" s="10"/>
      <c r="CVR57" s="10"/>
      <c r="CVS57" s="10"/>
      <c r="CVT57" s="10"/>
      <c r="CVU57" s="10"/>
      <c r="CVV57" s="10"/>
      <c r="CVW57" s="10"/>
      <c r="CVX57" s="10"/>
      <c r="CVY57" s="10"/>
      <c r="CVZ57" s="10"/>
      <c r="CWA57" s="10"/>
      <c r="CWB57" s="10"/>
      <c r="CWC57" s="10"/>
      <c r="CWD57" s="10"/>
      <c r="CWE57" s="10"/>
      <c r="CWF57" s="10"/>
      <c r="CWG57" s="10"/>
      <c r="CWH57" s="10"/>
      <c r="CWI57" s="10"/>
      <c r="CWJ57" s="10"/>
      <c r="CWK57" s="10"/>
      <c r="CWL57" s="10"/>
      <c r="CWM57" s="10"/>
      <c r="CWN57" s="10"/>
      <c r="CWO57" s="10"/>
      <c r="CWP57" s="10"/>
      <c r="CWQ57" s="10"/>
      <c r="CWR57" s="10"/>
      <c r="CWS57" s="10"/>
      <c r="CWT57" s="10"/>
      <c r="CWU57" s="10"/>
      <c r="CWV57" s="10"/>
      <c r="CWW57" s="10"/>
      <c r="CWX57" s="10"/>
      <c r="CWY57" s="10"/>
      <c r="CWZ57" s="10"/>
      <c r="CXA57" s="10"/>
      <c r="CXB57" s="10"/>
      <c r="CXC57" s="10"/>
      <c r="CXD57" s="10"/>
      <c r="CXE57" s="10"/>
      <c r="CXF57" s="10"/>
      <c r="CXG57" s="10"/>
      <c r="CXH57" s="10"/>
      <c r="CXI57" s="10"/>
      <c r="CXJ57" s="10"/>
      <c r="CXK57" s="10"/>
      <c r="CXL57" s="10"/>
      <c r="CXM57" s="10"/>
      <c r="CXN57" s="10"/>
      <c r="CXO57" s="10"/>
      <c r="CXP57" s="10"/>
      <c r="CXQ57" s="10"/>
      <c r="CXR57" s="10"/>
      <c r="CXS57" s="10"/>
      <c r="CXT57" s="10"/>
      <c r="CXU57" s="10"/>
      <c r="CXV57" s="10"/>
      <c r="CXW57" s="10"/>
      <c r="CXX57" s="10"/>
      <c r="CXY57" s="10"/>
      <c r="CXZ57" s="10"/>
      <c r="CYA57" s="10"/>
      <c r="CYB57" s="10"/>
      <c r="CYC57" s="10"/>
      <c r="CYD57" s="10"/>
      <c r="CYE57" s="10"/>
      <c r="CYF57" s="10"/>
      <c r="CYG57" s="10"/>
      <c r="CYH57" s="10"/>
      <c r="CYI57" s="10"/>
      <c r="CYJ57" s="10"/>
      <c r="CYK57" s="10"/>
      <c r="CYL57" s="10"/>
      <c r="CYM57" s="10"/>
      <c r="CYN57" s="10"/>
      <c r="CYO57" s="10"/>
      <c r="CYP57" s="10"/>
      <c r="CYQ57" s="10"/>
      <c r="CYR57" s="10"/>
      <c r="CYS57" s="10"/>
      <c r="CYT57" s="10"/>
      <c r="CYU57" s="10"/>
      <c r="CYV57" s="10"/>
      <c r="CYW57" s="10"/>
      <c r="CYX57" s="10"/>
      <c r="CYY57" s="10"/>
      <c r="CYZ57" s="10"/>
      <c r="CZA57" s="10"/>
      <c r="CZB57" s="10"/>
      <c r="CZC57" s="10"/>
      <c r="CZD57" s="10"/>
      <c r="CZE57" s="10"/>
      <c r="CZF57" s="10"/>
      <c r="CZG57" s="10"/>
      <c r="CZH57" s="10"/>
      <c r="CZI57" s="10"/>
      <c r="CZJ57" s="10"/>
      <c r="CZK57" s="10"/>
      <c r="CZL57" s="10"/>
      <c r="CZM57" s="10"/>
      <c r="CZN57" s="10"/>
      <c r="CZO57" s="10"/>
      <c r="CZP57" s="10"/>
      <c r="CZQ57" s="10"/>
      <c r="CZR57" s="10"/>
      <c r="CZS57" s="10"/>
      <c r="CZT57" s="10"/>
      <c r="CZU57" s="10"/>
      <c r="CZV57" s="10"/>
      <c r="CZW57" s="10"/>
      <c r="CZX57" s="10"/>
      <c r="CZY57" s="10"/>
      <c r="CZZ57" s="10"/>
      <c r="DAA57" s="10"/>
      <c r="DAB57" s="10"/>
      <c r="DAC57" s="10"/>
      <c r="DAD57" s="10"/>
      <c r="DAE57" s="10"/>
      <c r="DAF57" s="10"/>
      <c r="DAG57" s="10"/>
      <c r="DAH57" s="10"/>
      <c r="DAI57" s="10"/>
      <c r="DAJ57" s="10"/>
      <c r="DAK57" s="10"/>
      <c r="DAL57" s="10"/>
      <c r="DAM57" s="10"/>
      <c r="DAN57" s="10"/>
      <c r="DAO57" s="10"/>
      <c r="DAP57" s="10"/>
      <c r="DAQ57" s="10"/>
      <c r="DAR57" s="10"/>
      <c r="DAS57" s="10"/>
      <c r="DAT57" s="10"/>
      <c r="DAU57" s="10"/>
      <c r="DAV57" s="10"/>
      <c r="DAW57" s="10"/>
      <c r="DAX57" s="10"/>
      <c r="DAY57" s="10"/>
      <c r="DAZ57" s="10"/>
      <c r="DBA57" s="10"/>
      <c r="DBB57" s="10"/>
      <c r="DBC57" s="10"/>
      <c r="DBD57" s="10"/>
      <c r="DBE57" s="10"/>
      <c r="DBF57" s="10"/>
      <c r="DBG57" s="10"/>
      <c r="DBH57" s="10"/>
      <c r="DBI57" s="10"/>
      <c r="DBJ57" s="10"/>
      <c r="DBK57" s="10"/>
      <c r="DBL57" s="10"/>
      <c r="DBM57" s="10"/>
      <c r="DBN57" s="10"/>
      <c r="DBO57" s="10"/>
      <c r="DBP57" s="10"/>
      <c r="DBQ57" s="10"/>
      <c r="DBR57" s="10"/>
      <c r="DBS57" s="10"/>
      <c r="DBT57" s="10"/>
      <c r="DBU57" s="10"/>
      <c r="DBV57" s="10"/>
      <c r="DBW57" s="10"/>
      <c r="DBX57" s="10"/>
      <c r="DBY57" s="10"/>
      <c r="DBZ57" s="10"/>
      <c r="DCA57" s="10"/>
      <c r="DCB57" s="10"/>
      <c r="DCC57" s="10"/>
      <c r="DCD57" s="10"/>
      <c r="DCE57" s="10"/>
      <c r="DCF57" s="10"/>
      <c r="DCG57" s="10"/>
      <c r="DCH57" s="10"/>
      <c r="DCI57" s="10"/>
      <c r="DCJ57" s="10"/>
      <c r="DCK57" s="10"/>
      <c r="DCL57" s="10"/>
      <c r="DCM57" s="10"/>
      <c r="DCN57" s="10"/>
      <c r="DCO57" s="10"/>
      <c r="DCP57" s="10"/>
      <c r="DCQ57" s="10"/>
      <c r="DCR57" s="10"/>
      <c r="DCS57" s="10"/>
      <c r="DCT57" s="10"/>
      <c r="DCU57" s="10"/>
      <c r="DCV57" s="10"/>
      <c r="DCW57" s="10"/>
      <c r="DCX57" s="10"/>
      <c r="DCY57" s="10"/>
      <c r="DCZ57" s="10"/>
      <c r="DDA57" s="10"/>
      <c r="DDB57" s="10"/>
      <c r="DDC57" s="10"/>
      <c r="DDD57" s="10"/>
      <c r="DDE57" s="10"/>
      <c r="DDF57" s="10"/>
      <c r="DDG57" s="10"/>
      <c r="DDH57" s="10"/>
      <c r="DDI57" s="10"/>
      <c r="DDJ57" s="10"/>
      <c r="DDK57" s="10"/>
      <c r="DDL57" s="10"/>
      <c r="DDM57" s="10"/>
      <c r="DDN57" s="10"/>
      <c r="DDO57" s="10"/>
      <c r="DDP57" s="10"/>
      <c r="DDQ57" s="10"/>
      <c r="DDR57" s="10"/>
      <c r="DDS57" s="10"/>
      <c r="DDT57" s="10"/>
      <c r="DDU57" s="10"/>
      <c r="DDV57" s="10"/>
      <c r="DDW57" s="10"/>
      <c r="DDX57" s="10"/>
      <c r="DDY57" s="10"/>
      <c r="DDZ57" s="10"/>
      <c r="DEA57" s="10"/>
      <c r="DEB57" s="10"/>
      <c r="DEC57" s="10"/>
      <c r="DED57" s="10"/>
      <c r="DEE57" s="10"/>
      <c r="DEF57" s="10"/>
      <c r="DEG57" s="10"/>
      <c r="DEH57" s="10"/>
      <c r="DEI57" s="10"/>
      <c r="DEJ57" s="10"/>
      <c r="DEK57" s="10"/>
      <c r="DEL57" s="10"/>
      <c r="DEM57" s="10"/>
      <c r="DEN57" s="10"/>
      <c r="DEO57" s="10"/>
      <c r="DEP57" s="10"/>
      <c r="DEQ57" s="10"/>
      <c r="DER57" s="10"/>
      <c r="DES57" s="10"/>
      <c r="DET57" s="10"/>
      <c r="DEU57" s="10"/>
      <c r="DEV57" s="10"/>
      <c r="DEW57" s="10"/>
      <c r="DEX57" s="10"/>
      <c r="DEY57" s="10"/>
      <c r="DEZ57" s="10"/>
      <c r="DFA57" s="10"/>
      <c r="DFB57" s="10"/>
      <c r="DFC57" s="10"/>
      <c r="DFD57" s="10"/>
      <c r="DFE57" s="10"/>
      <c r="DFF57" s="10"/>
      <c r="DFG57" s="10"/>
      <c r="DFH57" s="10"/>
      <c r="DFI57" s="10"/>
      <c r="DFJ57" s="10"/>
      <c r="DFK57" s="10"/>
      <c r="DFL57" s="10"/>
      <c r="DFM57" s="10"/>
      <c r="DFN57" s="10"/>
      <c r="DFO57" s="10"/>
      <c r="DFP57" s="10"/>
      <c r="DFQ57" s="10"/>
      <c r="DFR57" s="10"/>
      <c r="DFS57" s="10"/>
      <c r="DFT57" s="10"/>
      <c r="DFU57" s="10"/>
      <c r="DFV57" s="10"/>
      <c r="DFW57" s="10"/>
      <c r="DFX57" s="10"/>
      <c r="DFY57" s="10"/>
      <c r="DFZ57" s="10"/>
      <c r="DGA57" s="10"/>
      <c r="DGB57" s="10"/>
      <c r="DGC57" s="10"/>
      <c r="DGD57" s="10"/>
      <c r="DGE57" s="10"/>
      <c r="DGF57" s="10"/>
      <c r="DGG57" s="10"/>
      <c r="DGH57" s="10"/>
      <c r="DGI57" s="10"/>
      <c r="DGJ57" s="10"/>
      <c r="DGK57" s="10"/>
      <c r="DGL57" s="10"/>
      <c r="DGM57" s="10"/>
      <c r="DGN57" s="10"/>
      <c r="DGO57" s="10"/>
      <c r="DGP57" s="10"/>
      <c r="DGQ57" s="10"/>
      <c r="DGR57" s="10"/>
      <c r="DGS57" s="10"/>
      <c r="DGT57" s="10"/>
      <c r="DGU57" s="10"/>
      <c r="DGV57" s="10"/>
      <c r="DGW57" s="10"/>
      <c r="DGX57" s="10"/>
      <c r="DGY57" s="10"/>
      <c r="DGZ57" s="10"/>
      <c r="DHA57" s="10"/>
      <c r="DHB57" s="10"/>
      <c r="DHC57" s="10"/>
      <c r="DHD57" s="10"/>
      <c r="DHE57" s="10"/>
      <c r="DHF57" s="10"/>
      <c r="DHG57" s="10"/>
      <c r="DHH57" s="10"/>
      <c r="DHI57" s="10"/>
      <c r="DHJ57" s="10"/>
      <c r="DHK57" s="10"/>
      <c r="DHL57" s="10"/>
      <c r="DHM57" s="10"/>
      <c r="DHN57" s="10"/>
      <c r="DHO57" s="10"/>
      <c r="DHP57" s="10"/>
      <c r="DHQ57" s="10"/>
      <c r="DHR57" s="10"/>
      <c r="DHS57" s="10"/>
      <c r="DHT57" s="10"/>
      <c r="DHU57" s="10"/>
      <c r="DHV57" s="10"/>
      <c r="DHW57" s="10"/>
      <c r="DHX57" s="10"/>
      <c r="DHY57" s="10"/>
      <c r="DHZ57" s="10"/>
      <c r="DIA57" s="10"/>
      <c r="DIB57" s="10"/>
      <c r="DIC57" s="10"/>
      <c r="DID57" s="10"/>
      <c r="DIE57" s="10"/>
      <c r="DIF57" s="10"/>
      <c r="DIG57" s="10"/>
      <c r="DIH57" s="10"/>
      <c r="DII57" s="10"/>
      <c r="DIJ57" s="10"/>
      <c r="DIK57" s="10"/>
      <c r="DIL57" s="10"/>
      <c r="DIM57" s="10"/>
      <c r="DIN57" s="10"/>
      <c r="DIO57" s="10"/>
      <c r="DIP57" s="10"/>
      <c r="DIQ57" s="10"/>
      <c r="DIR57" s="10"/>
      <c r="DIS57" s="10"/>
      <c r="DIT57" s="10"/>
      <c r="DIU57" s="10"/>
      <c r="DIV57" s="10"/>
      <c r="DIW57" s="10"/>
      <c r="DIX57" s="10"/>
      <c r="DIY57" s="10"/>
      <c r="DIZ57" s="10"/>
      <c r="DJA57" s="10"/>
      <c r="DJB57" s="10"/>
      <c r="DJC57" s="10"/>
      <c r="DJD57" s="10"/>
      <c r="DJE57" s="10"/>
      <c r="DJF57" s="10"/>
      <c r="DJG57" s="10"/>
      <c r="DJH57" s="10"/>
      <c r="DJI57" s="10"/>
      <c r="DJJ57" s="10"/>
      <c r="DJK57" s="10"/>
      <c r="DJL57" s="10"/>
      <c r="DJM57" s="10"/>
      <c r="DJN57" s="10"/>
      <c r="DJO57" s="10"/>
      <c r="DJP57" s="10"/>
      <c r="DJQ57" s="10"/>
      <c r="DJR57" s="10"/>
      <c r="DJS57" s="10"/>
      <c r="DJT57" s="10"/>
      <c r="DJU57" s="10"/>
      <c r="DJV57" s="10"/>
      <c r="DJW57" s="10"/>
      <c r="DJX57" s="10"/>
      <c r="DJY57" s="10"/>
      <c r="DJZ57" s="10"/>
      <c r="DKA57" s="10"/>
      <c r="DKB57" s="10"/>
      <c r="DKC57" s="10"/>
      <c r="DKD57" s="10"/>
      <c r="DKE57" s="10"/>
      <c r="DKF57" s="10"/>
      <c r="DKG57" s="10"/>
      <c r="DKH57" s="10"/>
      <c r="DKI57" s="10"/>
      <c r="DKJ57" s="10"/>
      <c r="DKK57" s="10"/>
      <c r="DKL57" s="10"/>
      <c r="DKM57" s="10"/>
      <c r="DKN57" s="10"/>
      <c r="DKO57" s="10"/>
      <c r="DKP57" s="10"/>
      <c r="DKQ57" s="10"/>
      <c r="DKR57" s="10"/>
      <c r="DKS57" s="10"/>
      <c r="DKT57" s="10"/>
      <c r="DKU57" s="10"/>
      <c r="DKV57" s="10"/>
      <c r="DKW57" s="10"/>
      <c r="DKX57" s="10"/>
      <c r="DKY57" s="10"/>
      <c r="DKZ57" s="10"/>
      <c r="DLA57" s="10"/>
      <c r="DLB57" s="10"/>
      <c r="DLC57" s="10"/>
      <c r="DLD57" s="10"/>
      <c r="DLE57" s="10"/>
      <c r="DLF57" s="10"/>
      <c r="DLG57" s="10"/>
      <c r="DLH57" s="10"/>
      <c r="DLI57" s="10"/>
      <c r="DLJ57" s="10"/>
      <c r="DLK57" s="10"/>
      <c r="DLL57" s="10"/>
      <c r="DLM57" s="10"/>
      <c r="DLN57" s="10"/>
      <c r="DLO57" s="10"/>
      <c r="DLP57" s="10"/>
      <c r="DLQ57" s="10"/>
      <c r="DLR57" s="10"/>
      <c r="DLS57" s="10"/>
      <c r="DLT57" s="10"/>
      <c r="DLU57" s="10"/>
      <c r="DLV57" s="10"/>
      <c r="DLW57" s="10"/>
      <c r="DLX57" s="10"/>
      <c r="DLY57" s="10"/>
      <c r="DLZ57" s="10"/>
      <c r="DMA57" s="10"/>
      <c r="DMB57" s="10"/>
      <c r="DMC57" s="10"/>
      <c r="DMD57" s="10"/>
      <c r="DME57" s="10"/>
      <c r="DMF57" s="10"/>
      <c r="DMG57" s="10"/>
      <c r="DMH57" s="10"/>
      <c r="DMI57" s="10"/>
      <c r="DMJ57" s="10"/>
      <c r="DMK57" s="10"/>
      <c r="DML57" s="10"/>
      <c r="DMM57" s="10"/>
      <c r="DMN57" s="10"/>
      <c r="DMO57" s="10"/>
      <c r="DMP57" s="10"/>
      <c r="DMQ57" s="10"/>
      <c r="DMR57" s="10"/>
      <c r="DMS57" s="10"/>
      <c r="DMT57" s="10"/>
      <c r="DMU57" s="10"/>
      <c r="DMV57" s="10"/>
      <c r="DMW57" s="10"/>
      <c r="DMX57" s="10"/>
      <c r="DMY57" s="10"/>
      <c r="DMZ57" s="10"/>
      <c r="DNA57" s="10"/>
      <c r="DNB57" s="10"/>
      <c r="DNC57" s="10"/>
      <c r="DND57" s="10"/>
      <c r="DNE57" s="10"/>
      <c r="DNF57" s="10"/>
      <c r="DNG57" s="10"/>
      <c r="DNH57" s="10"/>
      <c r="DNI57" s="10"/>
      <c r="DNJ57" s="10"/>
      <c r="DNK57" s="10"/>
      <c r="DNL57" s="10"/>
      <c r="DNM57" s="10"/>
      <c r="DNN57" s="10"/>
      <c r="DNO57" s="10"/>
      <c r="DNP57" s="10"/>
      <c r="DNQ57" s="10"/>
      <c r="DNR57" s="10"/>
      <c r="DNS57" s="10"/>
      <c r="DNT57" s="10"/>
      <c r="DNU57" s="10"/>
      <c r="DNV57" s="10"/>
      <c r="DNW57" s="10"/>
      <c r="DNX57" s="10"/>
      <c r="DNY57" s="10"/>
      <c r="DNZ57" s="10"/>
      <c r="DOA57" s="10"/>
      <c r="DOB57" s="10"/>
      <c r="DOC57" s="10"/>
      <c r="DOD57" s="10"/>
      <c r="DOE57" s="10"/>
      <c r="DOF57" s="10"/>
      <c r="DOG57" s="10"/>
      <c r="DOH57" s="10"/>
      <c r="DOI57" s="10"/>
      <c r="DOJ57" s="10"/>
      <c r="DOK57" s="10"/>
      <c r="DOL57" s="10"/>
      <c r="DOM57" s="10"/>
      <c r="DON57" s="10"/>
      <c r="DOO57" s="10"/>
      <c r="DOP57" s="10"/>
      <c r="DOQ57" s="10"/>
      <c r="DOR57" s="10"/>
      <c r="DOS57" s="10"/>
      <c r="DOT57" s="10"/>
      <c r="DOU57" s="10"/>
      <c r="DOV57" s="10"/>
      <c r="DOW57" s="10"/>
      <c r="DOX57" s="10"/>
      <c r="DOY57" s="10"/>
      <c r="DOZ57" s="10"/>
      <c r="DPA57" s="10"/>
      <c r="DPB57" s="10"/>
      <c r="DPC57" s="10"/>
      <c r="DPD57" s="10"/>
      <c r="DPE57" s="10"/>
      <c r="DPF57" s="10"/>
      <c r="DPG57" s="10"/>
      <c r="DPH57" s="10"/>
      <c r="DPI57" s="10"/>
      <c r="DPJ57" s="10"/>
      <c r="DPK57" s="10"/>
      <c r="DPL57" s="10"/>
      <c r="DPM57" s="10"/>
      <c r="DPN57" s="10"/>
      <c r="DPO57" s="10"/>
      <c r="DPP57" s="10"/>
      <c r="DPQ57" s="10"/>
      <c r="DPR57" s="10"/>
      <c r="DPS57" s="10"/>
      <c r="DPT57" s="10"/>
      <c r="DPU57" s="10"/>
      <c r="DPV57" s="10"/>
      <c r="DPW57" s="10"/>
      <c r="DPX57" s="10"/>
      <c r="DPY57" s="10"/>
      <c r="DPZ57" s="10"/>
      <c r="DQA57" s="10"/>
      <c r="DQB57" s="10"/>
      <c r="DQC57" s="10"/>
      <c r="DQD57" s="10"/>
      <c r="DQE57" s="10"/>
      <c r="DQF57" s="10"/>
      <c r="DQG57" s="10"/>
      <c r="DQH57" s="10"/>
      <c r="DQI57" s="10"/>
      <c r="DQJ57" s="10"/>
      <c r="DQK57" s="10"/>
      <c r="DQL57" s="10"/>
      <c r="DQM57" s="10"/>
      <c r="DQN57" s="10"/>
      <c r="DQO57" s="10"/>
      <c r="DQP57" s="10"/>
      <c r="DQQ57" s="10"/>
      <c r="DQR57" s="10"/>
      <c r="DQS57" s="10"/>
      <c r="DQT57" s="10"/>
      <c r="DQU57" s="10"/>
      <c r="DQV57" s="10"/>
      <c r="DQW57" s="10"/>
      <c r="DQX57" s="10"/>
      <c r="DQY57" s="10"/>
      <c r="DQZ57" s="10"/>
      <c r="DRA57" s="10"/>
      <c r="DRB57" s="10"/>
      <c r="DRC57" s="10"/>
      <c r="DRD57" s="10"/>
      <c r="DRE57" s="10"/>
      <c r="DRF57" s="10"/>
      <c r="DRG57" s="10"/>
      <c r="DRH57" s="10"/>
      <c r="DRI57" s="10"/>
      <c r="DRJ57" s="10"/>
      <c r="DRK57" s="10"/>
      <c r="DRL57" s="10"/>
      <c r="DRM57" s="10"/>
      <c r="DRN57" s="10"/>
      <c r="DRO57" s="10"/>
      <c r="DRP57" s="10"/>
      <c r="DRQ57" s="10"/>
      <c r="DRR57" s="10"/>
      <c r="DRS57" s="10"/>
      <c r="DRT57" s="10"/>
      <c r="DRU57" s="10"/>
      <c r="DRV57" s="10"/>
      <c r="DRW57" s="10"/>
      <c r="DRX57" s="10"/>
      <c r="DRY57" s="10"/>
      <c r="DRZ57" s="10"/>
      <c r="DSA57" s="10"/>
      <c r="DSB57" s="10"/>
      <c r="DSC57" s="10"/>
      <c r="DSD57" s="10"/>
      <c r="DSE57" s="10"/>
      <c r="DSF57" s="10"/>
      <c r="DSG57" s="10"/>
      <c r="DSH57" s="10"/>
      <c r="DSI57" s="10"/>
      <c r="DSJ57" s="10"/>
      <c r="DSK57" s="10"/>
      <c r="DSL57" s="10"/>
      <c r="DSM57" s="10"/>
      <c r="DSN57" s="10"/>
      <c r="DSO57" s="10"/>
      <c r="DSP57" s="10"/>
      <c r="DSQ57" s="10"/>
      <c r="DSR57" s="10"/>
      <c r="DSS57" s="10"/>
      <c r="DST57" s="10"/>
      <c r="DSU57" s="10"/>
      <c r="DSV57" s="10"/>
      <c r="DSW57" s="10"/>
      <c r="DSX57" s="10"/>
      <c r="DSY57" s="10"/>
      <c r="DSZ57" s="10"/>
      <c r="DTA57" s="10"/>
      <c r="DTB57" s="10"/>
      <c r="DTC57" s="10"/>
      <c r="DTD57" s="10"/>
      <c r="DTE57" s="10"/>
      <c r="DTF57" s="10"/>
      <c r="DTG57" s="10"/>
      <c r="DTH57" s="10"/>
      <c r="DTI57" s="10"/>
      <c r="DTJ57" s="10"/>
      <c r="DTK57" s="10"/>
      <c r="DTL57" s="10"/>
      <c r="DTM57" s="10"/>
      <c r="DTN57" s="10"/>
      <c r="DTO57" s="10"/>
      <c r="DTP57" s="10"/>
      <c r="DTQ57" s="10"/>
      <c r="DTR57" s="10"/>
      <c r="DTS57" s="10"/>
      <c r="DTT57" s="10"/>
      <c r="DTU57" s="10"/>
      <c r="DTV57" s="10"/>
      <c r="DTW57" s="10"/>
      <c r="DTX57" s="10"/>
      <c r="DTY57" s="10"/>
      <c r="DTZ57" s="10"/>
      <c r="DUA57" s="10"/>
      <c r="DUB57" s="10"/>
      <c r="DUC57" s="10"/>
      <c r="DUD57" s="10"/>
      <c r="DUE57" s="10"/>
      <c r="DUF57" s="10"/>
      <c r="DUG57" s="10"/>
      <c r="DUH57" s="10"/>
      <c r="DUI57" s="10"/>
      <c r="DUJ57" s="10"/>
      <c r="DUK57" s="10"/>
      <c r="DUL57" s="10"/>
      <c r="DUM57" s="10"/>
      <c r="DUN57" s="10"/>
      <c r="DUO57" s="10"/>
      <c r="DUP57" s="10"/>
      <c r="DUQ57" s="10"/>
      <c r="DUR57" s="10"/>
      <c r="DUS57" s="10"/>
      <c r="DUT57" s="10"/>
      <c r="DUU57" s="10"/>
      <c r="DUV57" s="10"/>
      <c r="DUW57" s="10"/>
      <c r="DUX57" s="10"/>
      <c r="DUY57" s="10"/>
      <c r="DUZ57" s="10"/>
      <c r="DVA57" s="10"/>
      <c r="DVB57" s="10"/>
      <c r="DVC57" s="10"/>
      <c r="DVD57" s="10"/>
      <c r="DVE57" s="10"/>
      <c r="DVF57" s="10"/>
      <c r="DVG57" s="10"/>
      <c r="DVH57" s="10"/>
      <c r="DVI57" s="10"/>
      <c r="DVJ57" s="10"/>
      <c r="DVK57" s="10"/>
      <c r="DVL57" s="10"/>
      <c r="DVM57" s="10"/>
      <c r="DVN57" s="10"/>
      <c r="DVO57" s="10"/>
      <c r="DVP57" s="10"/>
      <c r="DVQ57" s="10"/>
      <c r="DVR57" s="10"/>
      <c r="DVS57" s="10"/>
      <c r="DVT57" s="10"/>
      <c r="DVU57" s="10"/>
      <c r="DVV57" s="10"/>
      <c r="DVW57" s="10"/>
      <c r="DVX57" s="10"/>
      <c r="DVY57" s="10"/>
      <c r="DVZ57" s="10"/>
      <c r="DWA57" s="10"/>
      <c r="DWB57" s="10"/>
      <c r="DWC57" s="10"/>
      <c r="DWD57" s="10"/>
      <c r="DWE57" s="10"/>
      <c r="DWF57" s="10"/>
      <c r="DWG57" s="10"/>
      <c r="DWH57" s="10"/>
      <c r="DWI57" s="10"/>
      <c r="DWJ57" s="10"/>
      <c r="DWK57" s="10"/>
      <c r="DWL57" s="10"/>
      <c r="DWM57" s="10"/>
      <c r="DWN57" s="10"/>
      <c r="DWO57" s="10"/>
      <c r="DWP57" s="10"/>
      <c r="DWQ57" s="10"/>
      <c r="DWR57" s="10"/>
      <c r="DWS57" s="10"/>
      <c r="DWT57" s="10"/>
      <c r="DWU57" s="10"/>
      <c r="DWV57" s="10"/>
      <c r="DWW57" s="10"/>
      <c r="DWX57" s="10"/>
      <c r="DWY57" s="10"/>
      <c r="DWZ57" s="10"/>
      <c r="DXA57" s="10"/>
      <c r="DXB57" s="10"/>
      <c r="DXC57" s="10"/>
      <c r="DXD57" s="10"/>
      <c r="DXE57" s="10"/>
      <c r="DXF57" s="10"/>
      <c r="DXG57" s="10"/>
      <c r="DXH57" s="10"/>
      <c r="DXI57" s="10"/>
      <c r="DXJ57" s="10"/>
      <c r="DXK57" s="10"/>
      <c r="DXL57" s="10"/>
      <c r="DXM57" s="10"/>
      <c r="DXN57" s="10"/>
      <c r="DXO57" s="10"/>
      <c r="DXP57" s="10"/>
      <c r="DXQ57" s="10"/>
      <c r="DXR57" s="10"/>
      <c r="DXS57" s="10"/>
      <c r="DXT57" s="10"/>
      <c r="DXU57" s="10"/>
      <c r="DXV57" s="10"/>
      <c r="DXW57" s="10"/>
      <c r="DXX57" s="10"/>
      <c r="DXY57" s="10"/>
      <c r="DXZ57" s="10"/>
      <c r="DYA57" s="10"/>
      <c r="DYB57" s="10"/>
      <c r="DYC57" s="10"/>
      <c r="DYD57" s="10"/>
      <c r="DYE57" s="10"/>
      <c r="DYF57" s="10"/>
      <c r="DYG57" s="10"/>
      <c r="DYH57" s="10"/>
      <c r="DYI57" s="10"/>
      <c r="DYJ57" s="10"/>
      <c r="DYK57" s="10"/>
      <c r="DYL57" s="10"/>
      <c r="DYM57" s="10"/>
      <c r="DYN57" s="10"/>
      <c r="DYO57" s="10"/>
      <c r="DYP57" s="10"/>
      <c r="DYQ57" s="10"/>
      <c r="DYR57" s="10"/>
      <c r="DYS57" s="10"/>
      <c r="DYT57" s="10"/>
      <c r="DYU57" s="10"/>
      <c r="DYV57" s="10"/>
      <c r="DYW57" s="10"/>
      <c r="DYX57" s="10"/>
      <c r="DYY57" s="10"/>
      <c r="DYZ57" s="10"/>
      <c r="DZA57" s="10"/>
      <c r="DZB57" s="10"/>
      <c r="DZC57" s="10"/>
      <c r="DZD57" s="10"/>
      <c r="DZE57" s="10"/>
      <c r="DZF57" s="10"/>
      <c r="DZG57" s="10"/>
      <c r="DZH57" s="10"/>
      <c r="DZI57" s="10"/>
      <c r="DZJ57" s="10"/>
      <c r="DZK57" s="10"/>
      <c r="DZL57" s="10"/>
      <c r="DZM57" s="10"/>
      <c r="DZN57" s="10"/>
      <c r="DZO57" s="10"/>
      <c r="DZP57" s="10"/>
      <c r="DZQ57" s="10"/>
      <c r="DZR57" s="10"/>
      <c r="DZS57" s="10"/>
      <c r="DZT57" s="10"/>
      <c r="DZU57" s="10"/>
      <c r="DZV57" s="10"/>
      <c r="DZW57" s="10"/>
      <c r="DZX57" s="10"/>
      <c r="DZY57" s="10"/>
      <c r="DZZ57" s="10"/>
      <c r="EAA57" s="10"/>
      <c r="EAB57" s="10"/>
      <c r="EAC57" s="10"/>
      <c r="EAD57" s="10"/>
      <c r="EAE57" s="10"/>
      <c r="EAF57" s="10"/>
      <c r="EAG57" s="10"/>
      <c r="EAH57" s="10"/>
      <c r="EAI57" s="10"/>
      <c r="EAJ57" s="10"/>
      <c r="EAK57" s="10"/>
      <c r="EAL57" s="10"/>
      <c r="EAM57" s="10"/>
      <c r="EAN57" s="10"/>
      <c r="EAO57" s="10"/>
      <c r="EAP57" s="10"/>
      <c r="EAQ57" s="10"/>
      <c r="EAR57" s="10"/>
      <c r="EAS57" s="10"/>
      <c r="EAT57" s="10"/>
      <c r="EAU57" s="10"/>
      <c r="EAV57" s="10"/>
      <c r="EAW57" s="10"/>
      <c r="EAX57" s="10"/>
      <c r="EAY57" s="10"/>
      <c r="EAZ57" s="10"/>
      <c r="EBA57" s="10"/>
      <c r="EBB57" s="10"/>
      <c r="EBC57" s="10"/>
      <c r="EBD57" s="10"/>
      <c r="EBE57" s="10"/>
      <c r="EBF57" s="10"/>
      <c r="EBG57" s="10"/>
      <c r="EBH57" s="10"/>
      <c r="EBI57" s="10"/>
      <c r="EBJ57" s="10"/>
      <c r="EBK57" s="10"/>
      <c r="EBL57" s="10"/>
      <c r="EBM57" s="10"/>
      <c r="EBN57" s="10"/>
      <c r="EBO57" s="10"/>
      <c r="EBP57" s="10"/>
      <c r="EBQ57" s="10"/>
      <c r="EBR57" s="10"/>
      <c r="EBS57" s="10"/>
      <c r="EBT57" s="10"/>
      <c r="EBU57" s="10"/>
      <c r="EBV57" s="10"/>
      <c r="EBW57" s="10"/>
      <c r="EBX57" s="10"/>
      <c r="EBY57" s="10"/>
      <c r="EBZ57" s="10"/>
      <c r="ECA57" s="10"/>
      <c r="ECB57" s="10"/>
      <c r="ECC57" s="10"/>
      <c r="ECD57" s="10"/>
      <c r="ECE57" s="10"/>
      <c r="ECF57" s="10"/>
      <c r="ECG57" s="10"/>
      <c r="ECH57" s="10"/>
      <c r="ECI57" s="10"/>
      <c r="ECJ57" s="10"/>
      <c r="ECK57" s="10"/>
      <c r="ECL57" s="10"/>
      <c r="ECM57" s="10"/>
      <c r="ECN57" s="10"/>
      <c r="ECO57" s="10"/>
      <c r="ECP57" s="10"/>
      <c r="ECQ57" s="10"/>
      <c r="ECR57" s="10"/>
      <c r="ECS57" s="10"/>
      <c r="ECT57" s="10"/>
      <c r="ECU57" s="10"/>
      <c r="ECV57" s="10"/>
      <c r="ECW57" s="10"/>
      <c r="ECX57" s="10"/>
      <c r="ECY57" s="10"/>
      <c r="ECZ57" s="10"/>
      <c r="EDA57" s="10"/>
      <c r="EDB57" s="10"/>
      <c r="EDC57" s="10"/>
      <c r="EDD57" s="10"/>
      <c r="EDE57" s="10"/>
      <c r="EDF57" s="10"/>
      <c r="EDG57" s="10"/>
      <c r="EDH57" s="10"/>
      <c r="EDI57" s="10"/>
      <c r="EDJ57" s="10"/>
      <c r="EDK57" s="10"/>
      <c r="EDL57" s="10"/>
      <c r="EDM57" s="10"/>
      <c r="EDN57" s="10"/>
      <c r="EDO57" s="10"/>
      <c r="EDP57" s="10"/>
      <c r="EDQ57" s="10"/>
      <c r="EDR57" s="10"/>
      <c r="EDS57" s="10"/>
      <c r="EDT57" s="10"/>
      <c r="EDU57" s="10"/>
      <c r="EDV57" s="10"/>
      <c r="EDW57" s="10"/>
      <c r="EDX57" s="10"/>
      <c r="EDY57" s="10"/>
      <c r="EDZ57" s="10"/>
      <c r="EEA57" s="10"/>
      <c r="EEB57" s="10"/>
      <c r="EEC57" s="10"/>
      <c r="EED57" s="10"/>
      <c r="EEE57" s="10"/>
      <c r="EEF57" s="10"/>
      <c r="EEG57" s="10"/>
      <c r="EEH57" s="10"/>
      <c r="EEI57" s="10"/>
      <c r="EEJ57" s="10"/>
      <c r="EEK57" s="10"/>
      <c r="EEL57" s="10"/>
      <c r="EEM57" s="10"/>
      <c r="EEN57" s="10"/>
      <c r="EEO57" s="10"/>
      <c r="EEP57" s="10"/>
      <c r="EEQ57" s="10"/>
      <c r="EER57" s="10"/>
      <c r="EES57" s="10"/>
      <c r="EET57" s="10"/>
      <c r="EEU57" s="10"/>
      <c r="EEV57" s="10"/>
      <c r="EEW57" s="10"/>
      <c r="EEX57" s="10"/>
      <c r="EEY57" s="10"/>
      <c r="EEZ57" s="10"/>
      <c r="EFA57" s="10"/>
      <c r="EFB57" s="10"/>
      <c r="EFC57" s="10"/>
      <c r="EFD57" s="10"/>
      <c r="EFE57" s="10"/>
      <c r="EFF57" s="10"/>
      <c r="EFG57" s="10"/>
      <c r="EFH57" s="10"/>
      <c r="EFI57" s="10"/>
      <c r="EFJ57" s="10"/>
      <c r="EFK57" s="10"/>
      <c r="EFL57" s="10"/>
      <c r="EFM57" s="10"/>
      <c r="EFN57" s="10"/>
      <c r="EFO57" s="10"/>
      <c r="EFP57" s="10"/>
      <c r="EFQ57" s="10"/>
      <c r="EFR57" s="10"/>
      <c r="EFS57" s="10"/>
      <c r="EFT57" s="10"/>
      <c r="EFU57" s="10"/>
      <c r="EFV57" s="10"/>
      <c r="EFW57" s="10"/>
      <c r="EFX57" s="10"/>
      <c r="EFY57" s="10"/>
      <c r="EFZ57" s="10"/>
      <c r="EGA57" s="10"/>
      <c r="EGB57" s="10"/>
      <c r="EGC57" s="10"/>
      <c r="EGD57" s="10"/>
      <c r="EGE57" s="10"/>
      <c r="EGF57" s="10"/>
      <c r="EGG57" s="10"/>
      <c r="EGH57" s="10"/>
      <c r="EGI57" s="10"/>
      <c r="EGJ57" s="10"/>
      <c r="EGK57" s="10"/>
      <c r="EGL57" s="10"/>
      <c r="EGM57" s="10"/>
      <c r="EGN57" s="10"/>
      <c r="EGO57" s="10"/>
      <c r="EGP57" s="10"/>
      <c r="EGQ57" s="10"/>
      <c r="EGR57" s="10"/>
      <c r="EGS57" s="10"/>
      <c r="EGT57" s="10"/>
      <c r="EGU57" s="10"/>
      <c r="EGV57" s="10"/>
      <c r="EGW57" s="10"/>
      <c r="EGX57" s="10"/>
      <c r="EGY57" s="10"/>
      <c r="EGZ57" s="10"/>
      <c r="EHA57" s="10"/>
      <c r="EHB57" s="10"/>
      <c r="EHC57" s="10"/>
      <c r="EHD57" s="10"/>
      <c r="EHE57" s="10"/>
      <c r="EHF57" s="10"/>
      <c r="EHG57" s="10"/>
      <c r="EHH57" s="10"/>
      <c r="EHI57" s="10"/>
      <c r="EHJ57" s="10"/>
      <c r="EHK57" s="10"/>
      <c r="EHL57" s="10"/>
      <c r="EHM57" s="10"/>
      <c r="EHN57" s="10"/>
      <c r="EHO57" s="10"/>
      <c r="EHP57" s="10"/>
      <c r="EHQ57" s="10"/>
      <c r="EHR57" s="10"/>
      <c r="EHS57" s="10"/>
      <c r="EHT57" s="10"/>
      <c r="EHU57" s="10"/>
      <c r="EHV57" s="10"/>
      <c r="EHW57" s="10"/>
      <c r="EHX57" s="10"/>
      <c r="EHY57" s="10"/>
      <c r="EHZ57" s="10"/>
      <c r="EIA57" s="10"/>
      <c r="EIB57" s="10"/>
      <c r="EIC57" s="10"/>
      <c r="EID57" s="10"/>
      <c r="EIE57" s="10"/>
      <c r="EIF57" s="10"/>
      <c r="EIG57" s="10"/>
      <c r="EIH57" s="10"/>
      <c r="EII57" s="10"/>
      <c r="EIJ57" s="10"/>
      <c r="EIK57" s="10"/>
      <c r="EIL57" s="10"/>
      <c r="EIM57" s="10"/>
      <c r="EIN57" s="10"/>
      <c r="EIO57" s="10"/>
      <c r="EIP57" s="10"/>
      <c r="EIQ57" s="10"/>
      <c r="EIR57" s="10"/>
      <c r="EIS57" s="10"/>
      <c r="EIT57" s="10"/>
      <c r="EIU57" s="10"/>
      <c r="EIV57" s="10"/>
      <c r="EIW57" s="10"/>
      <c r="EIX57" s="10"/>
      <c r="EIY57" s="10"/>
      <c r="EIZ57" s="10"/>
      <c r="EJA57" s="10"/>
      <c r="EJB57" s="10"/>
      <c r="EJC57" s="10"/>
      <c r="EJD57" s="10"/>
      <c r="EJE57" s="10"/>
      <c r="EJF57" s="10"/>
      <c r="EJG57" s="10"/>
      <c r="EJH57" s="10"/>
      <c r="EJI57" s="10"/>
      <c r="EJJ57" s="10"/>
      <c r="EJK57" s="10"/>
      <c r="EJL57" s="10"/>
      <c r="EJM57" s="10"/>
      <c r="EJN57" s="10"/>
      <c r="EJO57" s="10"/>
      <c r="EJP57" s="10"/>
      <c r="EJQ57" s="10"/>
      <c r="EJR57" s="10"/>
      <c r="EJS57" s="10"/>
      <c r="EJT57" s="10"/>
      <c r="EJU57" s="10"/>
      <c r="EJV57" s="10"/>
      <c r="EJW57" s="10"/>
      <c r="EJX57" s="10"/>
      <c r="EJY57" s="10"/>
      <c r="EJZ57" s="10"/>
      <c r="EKA57" s="10"/>
      <c r="EKB57" s="10"/>
      <c r="EKC57" s="10"/>
      <c r="EKD57" s="10"/>
      <c r="EKE57" s="10"/>
      <c r="EKF57" s="10"/>
      <c r="EKG57" s="10"/>
      <c r="EKH57" s="10"/>
      <c r="EKI57" s="10"/>
      <c r="EKJ57" s="10"/>
      <c r="EKK57" s="10"/>
      <c r="EKL57" s="10"/>
      <c r="EKM57" s="10"/>
      <c r="EKN57" s="10"/>
      <c r="EKO57" s="10"/>
      <c r="EKP57" s="10"/>
      <c r="EKQ57" s="10"/>
      <c r="EKR57" s="10"/>
      <c r="EKS57" s="10"/>
      <c r="EKT57" s="10"/>
      <c r="EKU57" s="10"/>
      <c r="EKV57" s="10"/>
      <c r="EKW57" s="10"/>
      <c r="EKX57" s="10"/>
      <c r="EKY57" s="10"/>
      <c r="EKZ57" s="10"/>
      <c r="ELA57" s="10"/>
      <c r="ELB57" s="10"/>
      <c r="ELC57" s="10"/>
      <c r="ELD57" s="10"/>
      <c r="ELE57" s="10"/>
      <c r="ELF57" s="10"/>
      <c r="ELG57" s="10"/>
      <c r="ELH57" s="10"/>
      <c r="ELI57" s="10"/>
      <c r="ELJ57" s="10"/>
      <c r="ELK57" s="10"/>
      <c r="ELL57" s="10"/>
      <c r="ELM57" s="10"/>
      <c r="ELN57" s="10"/>
      <c r="ELO57" s="10"/>
      <c r="ELP57" s="10"/>
      <c r="ELQ57" s="10"/>
      <c r="ELR57" s="10"/>
      <c r="ELS57" s="10"/>
      <c r="ELT57" s="10"/>
      <c r="ELU57" s="10"/>
      <c r="ELV57" s="10"/>
      <c r="ELW57" s="10"/>
      <c r="ELX57" s="10"/>
      <c r="ELY57" s="10"/>
      <c r="ELZ57" s="10"/>
      <c r="EMA57" s="10"/>
      <c r="EMB57" s="10"/>
      <c r="EMC57" s="10"/>
      <c r="EMD57" s="10"/>
      <c r="EME57" s="10"/>
      <c r="EMF57" s="10"/>
      <c r="EMG57" s="10"/>
      <c r="EMH57" s="10"/>
      <c r="EMI57" s="10"/>
      <c r="EMJ57" s="10"/>
      <c r="EMK57" s="10"/>
      <c r="EML57" s="10"/>
      <c r="EMM57" s="10"/>
      <c r="EMN57" s="10"/>
      <c r="EMO57" s="10"/>
      <c r="EMP57" s="10"/>
      <c r="EMQ57" s="10"/>
      <c r="EMR57" s="10"/>
      <c r="EMS57" s="10"/>
      <c r="EMT57" s="10"/>
      <c r="EMU57" s="10"/>
      <c r="EMV57" s="10"/>
      <c r="EMW57" s="10"/>
      <c r="EMX57" s="10"/>
      <c r="EMY57" s="10"/>
      <c r="EMZ57" s="10"/>
      <c r="ENA57" s="10"/>
      <c r="ENB57" s="10"/>
      <c r="ENC57" s="10"/>
      <c r="END57" s="10"/>
      <c r="ENE57" s="10"/>
      <c r="ENF57" s="10"/>
      <c r="ENG57" s="10"/>
      <c r="ENH57" s="10"/>
      <c r="ENI57" s="10"/>
      <c r="ENJ57" s="10"/>
      <c r="ENK57" s="10"/>
      <c r="ENL57" s="10"/>
      <c r="ENM57" s="10"/>
      <c r="ENN57" s="10"/>
      <c r="ENO57" s="10"/>
      <c r="ENP57" s="10"/>
      <c r="ENQ57" s="10"/>
      <c r="ENR57" s="10"/>
      <c r="ENS57" s="10"/>
      <c r="ENT57" s="10"/>
      <c r="ENU57" s="10"/>
      <c r="ENV57" s="10"/>
      <c r="ENW57" s="10"/>
      <c r="ENX57" s="10"/>
      <c r="ENY57" s="10"/>
      <c r="ENZ57" s="10"/>
      <c r="EOA57" s="10"/>
      <c r="EOB57" s="10"/>
      <c r="EOC57" s="10"/>
      <c r="EOD57" s="10"/>
      <c r="EOE57" s="10"/>
      <c r="EOF57" s="10"/>
      <c r="EOG57" s="10"/>
      <c r="EOH57" s="10"/>
      <c r="EOI57" s="10"/>
      <c r="EOJ57" s="10"/>
      <c r="EOK57" s="10"/>
      <c r="EOL57" s="10"/>
      <c r="EOM57" s="10"/>
      <c r="EON57" s="10"/>
      <c r="EOO57" s="10"/>
      <c r="EOP57" s="10"/>
      <c r="EOQ57" s="10"/>
      <c r="EOR57" s="10"/>
      <c r="EOS57" s="10"/>
      <c r="EOT57" s="10"/>
      <c r="EOU57" s="10"/>
      <c r="EOV57" s="10"/>
      <c r="EOW57" s="10"/>
      <c r="EOX57" s="10"/>
      <c r="EOY57" s="10"/>
      <c r="EOZ57" s="10"/>
      <c r="EPA57" s="10"/>
      <c r="EPB57" s="10"/>
      <c r="EPC57" s="10"/>
      <c r="EPD57" s="10"/>
      <c r="EPE57" s="10"/>
      <c r="EPF57" s="10"/>
      <c r="EPG57" s="10"/>
      <c r="EPH57" s="10"/>
      <c r="EPI57" s="10"/>
      <c r="EPJ57" s="10"/>
      <c r="EPK57" s="10"/>
      <c r="EPL57" s="10"/>
      <c r="EPM57" s="10"/>
      <c r="EPN57" s="10"/>
      <c r="EPO57" s="10"/>
      <c r="EPP57" s="10"/>
      <c r="EPQ57" s="10"/>
      <c r="EPR57" s="10"/>
      <c r="EPS57" s="10"/>
      <c r="EPT57" s="10"/>
      <c r="EPU57" s="10"/>
      <c r="EPV57" s="10"/>
      <c r="EPW57" s="10"/>
      <c r="EPX57" s="10"/>
      <c r="EPY57" s="10"/>
      <c r="EPZ57" s="10"/>
      <c r="EQA57" s="10"/>
      <c r="EQB57" s="10"/>
      <c r="EQC57" s="10"/>
      <c r="EQD57" s="10"/>
      <c r="EQE57" s="10"/>
      <c r="EQF57" s="10"/>
      <c r="EQG57" s="10"/>
      <c r="EQH57" s="10"/>
      <c r="EQI57" s="10"/>
      <c r="EQJ57" s="10"/>
      <c r="EQK57" s="10"/>
      <c r="EQL57" s="10"/>
      <c r="EQM57" s="10"/>
      <c r="EQN57" s="10"/>
      <c r="EQO57" s="10"/>
      <c r="EQP57" s="10"/>
      <c r="EQQ57" s="10"/>
      <c r="EQR57" s="10"/>
      <c r="EQS57" s="10"/>
      <c r="EQT57" s="10"/>
      <c r="EQU57" s="10"/>
      <c r="EQV57" s="10"/>
      <c r="EQW57" s="10"/>
      <c r="EQX57" s="10"/>
      <c r="EQY57" s="10"/>
      <c r="EQZ57" s="10"/>
      <c r="ERA57" s="10"/>
      <c r="ERB57" s="10"/>
      <c r="ERC57" s="10"/>
      <c r="ERD57" s="10"/>
      <c r="ERE57" s="10"/>
      <c r="ERF57" s="10"/>
      <c r="ERG57" s="10"/>
      <c r="ERH57" s="10"/>
      <c r="ERI57" s="10"/>
      <c r="ERJ57" s="10"/>
      <c r="ERK57" s="10"/>
      <c r="ERL57" s="10"/>
      <c r="ERM57" s="10"/>
      <c r="ERN57" s="10"/>
      <c r="ERO57" s="10"/>
      <c r="ERP57" s="10"/>
      <c r="ERQ57" s="10"/>
      <c r="ERR57" s="10"/>
      <c r="ERS57" s="10"/>
      <c r="ERT57" s="10"/>
      <c r="ERU57" s="10"/>
      <c r="ERV57" s="10"/>
      <c r="ERW57" s="10"/>
      <c r="ERX57" s="10"/>
      <c r="ERY57" s="10"/>
      <c r="ERZ57" s="10"/>
      <c r="ESA57" s="10"/>
      <c r="ESB57" s="10"/>
      <c r="ESC57" s="10"/>
      <c r="ESD57" s="10"/>
      <c r="ESE57" s="10"/>
      <c r="ESF57" s="10"/>
      <c r="ESG57" s="10"/>
      <c r="ESH57" s="10"/>
      <c r="ESI57" s="10"/>
      <c r="ESJ57" s="10"/>
      <c r="ESK57" s="10"/>
      <c r="ESL57" s="10"/>
      <c r="ESM57" s="10"/>
      <c r="ESN57" s="10"/>
      <c r="ESO57" s="10"/>
      <c r="ESP57" s="10"/>
      <c r="ESQ57" s="10"/>
      <c r="ESR57" s="10"/>
      <c r="ESS57" s="10"/>
      <c r="EST57" s="10"/>
      <c r="ESU57" s="10"/>
      <c r="ESV57" s="10"/>
      <c r="ESW57" s="10"/>
      <c r="ESX57" s="10"/>
      <c r="ESY57" s="10"/>
      <c r="ESZ57" s="10"/>
      <c r="ETA57" s="10"/>
      <c r="ETB57" s="10"/>
      <c r="ETC57" s="10"/>
      <c r="ETD57" s="10"/>
      <c r="ETE57" s="10"/>
      <c r="ETF57" s="10"/>
      <c r="ETG57" s="10"/>
      <c r="ETH57" s="10"/>
      <c r="ETI57" s="10"/>
      <c r="ETJ57" s="10"/>
      <c r="ETK57" s="10"/>
      <c r="ETL57" s="10"/>
      <c r="ETM57" s="10"/>
      <c r="ETN57" s="10"/>
      <c r="ETO57" s="10"/>
      <c r="ETP57" s="10"/>
      <c r="ETQ57" s="10"/>
      <c r="ETR57" s="10"/>
      <c r="ETS57" s="10"/>
      <c r="ETT57" s="10"/>
      <c r="ETU57" s="10"/>
      <c r="ETV57" s="10"/>
      <c r="ETW57" s="10"/>
      <c r="ETX57" s="10"/>
      <c r="ETY57" s="10"/>
      <c r="ETZ57" s="10"/>
      <c r="EUA57" s="10"/>
      <c r="EUB57" s="10"/>
      <c r="EUC57" s="10"/>
      <c r="EUD57" s="10"/>
      <c r="EUE57" s="10"/>
      <c r="EUF57" s="10"/>
      <c r="EUG57" s="10"/>
      <c r="EUH57" s="10"/>
      <c r="EUI57" s="10"/>
      <c r="EUJ57" s="10"/>
      <c r="EUK57" s="10"/>
      <c r="EUL57" s="10"/>
      <c r="EUM57" s="10"/>
      <c r="EUN57" s="10"/>
      <c r="EUO57" s="10"/>
      <c r="EUP57" s="10"/>
      <c r="EUQ57" s="10"/>
      <c r="EUR57" s="10"/>
      <c r="EUS57" s="10"/>
      <c r="EUT57" s="10"/>
      <c r="EUU57" s="10"/>
      <c r="EUV57" s="10"/>
      <c r="EUW57" s="10"/>
      <c r="EUX57" s="10"/>
      <c r="EUY57" s="10"/>
      <c r="EUZ57" s="10"/>
      <c r="EVA57" s="10"/>
      <c r="EVB57" s="10"/>
      <c r="EVC57" s="10"/>
      <c r="EVD57" s="10"/>
      <c r="EVE57" s="10"/>
      <c r="EVF57" s="10"/>
      <c r="EVG57" s="10"/>
      <c r="EVH57" s="10"/>
      <c r="EVI57" s="10"/>
      <c r="EVJ57" s="10"/>
      <c r="EVK57" s="10"/>
      <c r="EVL57" s="10"/>
      <c r="EVM57" s="10"/>
      <c r="EVN57" s="10"/>
      <c r="EVO57" s="10"/>
      <c r="EVP57" s="10"/>
      <c r="EVQ57" s="10"/>
      <c r="EVR57" s="10"/>
      <c r="EVS57" s="10"/>
      <c r="EVT57" s="10"/>
      <c r="EVU57" s="10"/>
      <c r="EVV57" s="10"/>
      <c r="EVW57" s="10"/>
      <c r="EVX57" s="10"/>
      <c r="EVY57" s="10"/>
      <c r="EVZ57" s="10"/>
      <c r="EWA57" s="10"/>
      <c r="EWB57" s="10"/>
      <c r="EWC57" s="10"/>
      <c r="EWD57" s="10"/>
      <c r="EWE57" s="10"/>
      <c r="EWF57" s="10"/>
      <c r="EWG57" s="10"/>
      <c r="EWH57" s="10"/>
      <c r="EWI57" s="10"/>
      <c r="EWJ57" s="10"/>
      <c r="EWK57" s="10"/>
      <c r="EWL57" s="10"/>
      <c r="EWM57" s="10"/>
      <c r="EWN57" s="10"/>
      <c r="EWO57" s="10"/>
      <c r="EWP57" s="10"/>
      <c r="EWQ57" s="10"/>
      <c r="EWR57" s="10"/>
      <c r="EWS57" s="10"/>
      <c r="EWT57" s="10"/>
      <c r="EWU57" s="10"/>
      <c r="EWV57" s="10"/>
      <c r="EWW57" s="10"/>
      <c r="EWX57" s="10"/>
      <c r="EWY57" s="10"/>
      <c r="EWZ57" s="10"/>
      <c r="EXA57" s="10"/>
      <c r="EXB57" s="10"/>
      <c r="EXC57" s="10"/>
      <c r="EXD57" s="10"/>
      <c r="EXE57" s="10"/>
      <c r="EXF57" s="10"/>
      <c r="EXG57" s="10"/>
      <c r="EXH57" s="10"/>
      <c r="EXI57" s="10"/>
      <c r="EXJ57" s="10"/>
      <c r="EXK57" s="10"/>
      <c r="EXL57" s="10"/>
      <c r="EXM57" s="10"/>
      <c r="EXN57" s="10"/>
      <c r="EXO57" s="10"/>
      <c r="EXP57" s="10"/>
      <c r="EXQ57" s="10"/>
      <c r="EXR57" s="10"/>
      <c r="EXS57" s="10"/>
      <c r="EXT57" s="10"/>
      <c r="EXU57" s="10"/>
      <c r="EXV57" s="10"/>
      <c r="EXW57" s="10"/>
      <c r="EXX57" s="10"/>
      <c r="EXY57" s="10"/>
      <c r="EXZ57" s="10"/>
      <c r="EYA57" s="10"/>
      <c r="EYB57" s="10"/>
      <c r="EYC57" s="10"/>
      <c r="EYD57" s="10"/>
      <c r="EYE57" s="10"/>
      <c r="EYF57" s="10"/>
      <c r="EYG57" s="10"/>
      <c r="EYH57" s="10"/>
      <c r="EYI57" s="10"/>
      <c r="EYJ57" s="10"/>
      <c r="EYK57" s="10"/>
      <c r="EYL57" s="10"/>
      <c r="EYM57" s="10"/>
      <c r="EYN57" s="10"/>
      <c r="EYO57" s="10"/>
      <c r="EYP57" s="10"/>
      <c r="EYQ57" s="10"/>
      <c r="EYR57" s="10"/>
      <c r="EYS57" s="10"/>
      <c r="EYT57" s="10"/>
      <c r="EYU57" s="10"/>
      <c r="EYV57" s="10"/>
      <c r="EYW57" s="10"/>
      <c r="EYX57" s="10"/>
      <c r="EYY57" s="10"/>
      <c r="EYZ57" s="10"/>
      <c r="EZA57" s="10"/>
      <c r="EZB57" s="10"/>
      <c r="EZC57" s="10"/>
      <c r="EZD57" s="10"/>
      <c r="EZE57" s="10"/>
      <c r="EZF57" s="10"/>
      <c r="EZG57" s="10"/>
      <c r="EZH57" s="10"/>
      <c r="EZI57" s="10"/>
      <c r="EZJ57" s="10"/>
      <c r="EZK57" s="10"/>
      <c r="EZL57" s="10"/>
      <c r="EZM57" s="10"/>
      <c r="EZN57" s="10"/>
      <c r="EZO57" s="10"/>
      <c r="EZP57" s="10"/>
      <c r="EZQ57" s="10"/>
      <c r="EZR57" s="10"/>
      <c r="EZS57" s="10"/>
      <c r="EZT57" s="10"/>
      <c r="EZU57" s="10"/>
      <c r="EZV57" s="10"/>
      <c r="EZW57" s="10"/>
      <c r="EZX57" s="10"/>
      <c r="EZY57" s="10"/>
      <c r="EZZ57" s="10"/>
      <c r="FAA57" s="10"/>
      <c r="FAB57" s="10"/>
      <c r="FAC57" s="10"/>
      <c r="FAD57" s="10"/>
      <c r="FAE57" s="10"/>
      <c r="FAF57" s="10"/>
      <c r="FAG57" s="10"/>
      <c r="FAH57" s="10"/>
      <c r="FAI57" s="10"/>
      <c r="FAJ57" s="10"/>
      <c r="FAK57" s="10"/>
      <c r="FAL57" s="10"/>
      <c r="FAM57" s="10"/>
      <c r="FAN57" s="10"/>
      <c r="FAO57" s="10"/>
      <c r="FAP57" s="10"/>
      <c r="FAQ57" s="10"/>
      <c r="FAR57" s="10"/>
      <c r="FAS57" s="10"/>
      <c r="FAT57" s="10"/>
      <c r="FAU57" s="10"/>
      <c r="FAV57" s="10"/>
      <c r="FAW57" s="10"/>
      <c r="FAX57" s="10"/>
      <c r="FAY57" s="10"/>
      <c r="FAZ57" s="10"/>
      <c r="FBA57" s="10"/>
      <c r="FBB57" s="10"/>
      <c r="FBC57" s="10"/>
      <c r="FBD57" s="10"/>
      <c r="FBE57" s="10"/>
      <c r="FBF57" s="10"/>
      <c r="FBG57" s="10"/>
      <c r="FBH57" s="10"/>
      <c r="FBI57" s="10"/>
      <c r="FBJ57" s="10"/>
      <c r="FBK57" s="10"/>
      <c r="FBL57" s="10"/>
      <c r="FBM57" s="10"/>
      <c r="FBN57" s="10"/>
      <c r="FBO57" s="10"/>
      <c r="FBP57" s="10"/>
      <c r="FBQ57" s="10"/>
      <c r="FBR57" s="10"/>
      <c r="FBS57" s="10"/>
      <c r="FBT57" s="10"/>
      <c r="FBU57" s="10"/>
      <c r="FBV57" s="10"/>
      <c r="FBW57" s="10"/>
      <c r="FBX57" s="10"/>
      <c r="FBY57" s="10"/>
      <c r="FBZ57" s="10"/>
      <c r="FCA57" s="10"/>
      <c r="FCB57" s="10"/>
      <c r="FCC57" s="10"/>
      <c r="FCD57" s="10"/>
      <c r="FCE57" s="10"/>
      <c r="FCF57" s="10"/>
      <c r="FCG57" s="10"/>
      <c r="FCH57" s="10"/>
      <c r="FCI57" s="10"/>
      <c r="FCJ57" s="10"/>
      <c r="FCK57" s="10"/>
      <c r="FCL57" s="10"/>
      <c r="FCM57" s="10"/>
      <c r="FCN57" s="10"/>
      <c r="FCO57" s="10"/>
      <c r="FCP57" s="10"/>
      <c r="FCQ57" s="10"/>
      <c r="FCR57" s="10"/>
      <c r="FCS57" s="10"/>
      <c r="FCT57" s="10"/>
      <c r="FCU57" s="10"/>
      <c r="FCV57" s="10"/>
      <c r="FCW57" s="10"/>
      <c r="FCX57" s="10"/>
      <c r="FCY57" s="10"/>
      <c r="FCZ57" s="10"/>
      <c r="FDA57" s="10"/>
      <c r="FDB57" s="10"/>
      <c r="FDC57" s="10"/>
      <c r="FDD57" s="10"/>
      <c r="FDE57" s="10"/>
      <c r="FDF57" s="10"/>
      <c r="FDG57" s="10"/>
      <c r="FDH57" s="10"/>
      <c r="FDI57" s="10"/>
      <c r="FDJ57" s="10"/>
      <c r="FDK57" s="10"/>
      <c r="FDL57" s="10"/>
      <c r="FDM57" s="10"/>
      <c r="FDN57" s="10"/>
      <c r="FDO57" s="10"/>
      <c r="FDP57" s="10"/>
      <c r="FDQ57" s="10"/>
      <c r="FDR57" s="10"/>
      <c r="FDS57" s="10"/>
      <c r="FDT57" s="10"/>
      <c r="FDU57" s="10"/>
      <c r="FDV57" s="10"/>
      <c r="FDW57" s="10"/>
      <c r="FDX57" s="10"/>
      <c r="FDY57" s="10"/>
      <c r="FDZ57" s="10"/>
      <c r="FEA57" s="10"/>
      <c r="FEB57" s="10"/>
      <c r="FEC57" s="10"/>
      <c r="FED57" s="10"/>
      <c r="FEE57" s="10"/>
      <c r="FEF57" s="10"/>
      <c r="FEG57" s="10"/>
      <c r="FEH57" s="10"/>
      <c r="FEI57" s="10"/>
      <c r="FEJ57" s="10"/>
      <c r="FEK57" s="10"/>
      <c r="FEL57" s="10"/>
      <c r="FEM57" s="10"/>
      <c r="FEN57" s="10"/>
      <c r="FEO57" s="10"/>
      <c r="FEP57" s="10"/>
      <c r="FEQ57" s="10"/>
      <c r="FER57" s="10"/>
      <c r="FES57" s="10"/>
      <c r="FET57" s="10"/>
      <c r="FEU57" s="10"/>
      <c r="FEV57" s="10"/>
      <c r="FEW57" s="10"/>
      <c r="FEX57" s="10"/>
      <c r="FEY57" s="10"/>
      <c r="FEZ57" s="10"/>
      <c r="FFA57" s="10"/>
      <c r="FFB57" s="10"/>
      <c r="FFC57" s="10"/>
      <c r="FFD57" s="10"/>
      <c r="FFE57" s="10"/>
      <c r="FFF57" s="10"/>
      <c r="FFG57" s="10"/>
      <c r="FFH57" s="10"/>
      <c r="FFI57" s="10"/>
      <c r="FFJ57" s="10"/>
      <c r="FFK57" s="10"/>
      <c r="FFL57" s="10"/>
      <c r="FFM57" s="10"/>
      <c r="FFN57" s="10"/>
      <c r="FFO57" s="10"/>
      <c r="FFP57" s="10"/>
      <c r="FFQ57" s="10"/>
      <c r="FFR57" s="10"/>
      <c r="FFS57" s="10"/>
      <c r="FFT57" s="10"/>
      <c r="FFU57" s="10"/>
      <c r="FFV57" s="10"/>
      <c r="FFW57" s="10"/>
      <c r="FFX57" s="10"/>
      <c r="FFY57" s="10"/>
      <c r="FFZ57" s="10"/>
      <c r="FGA57" s="10"/>
      <c r="FGB57" s="10"/>
      <c r="FGC57" s="10"/>
      <c r="FGD57" s="10"/>
      <c r="FGE57" s="10"/>
      <c r="FGF57" s="10"/>
      <c r="FGG57" s="10"/>
      <c r="FGH57" s="10"/>
      <c r="FGI57" s="10"/>
      <c r="FGJ57" s="10"/>
      <c r="FGK57" s="10"/>
      <c r="FGL57" s="10"/>
      <c r="FGM57" s="10"/>
      <c r="FGN57" s="10"/>
      <c r="FGO57" s="10"/>
      <c r="FGP57" s="10"/>
      <c r="FGQ57" s="10"/>
      <c r="FGR57" s="10"/>
      <c r="FGS57" s="10"/>
      <c r="FGT57" s="10"/>
      <c r="FGU57" s="10"/>
      <c r="FGV57" s="10"/>
      <c r="FGW57" s="10"/>
      <c r="FGX57" s="10"/>
      <c r="FGY57" s="10"/>
      <c r="FGZ57" s="10"/>
      <c r="FHA57" s="10"/>
      <c r="FHB57" s="10"/>
      <c r="FHC57" s="10"/>
      <c r="FHD57" s="10"/>
      <c r="FHE57" s="10"/>
      <c r="FHF57" s="10"/>
      <c r="FHG57" s="10"/>
      <c r="FHH57" s="10"/>
      <c r="FHI57" s="10"/>
      <c r="FHJ57" s="10"/>
      <c r="FHK57" s="10"/>
      <c r="FHL57" s="10"/>
      <c r="FHM57" s="10"/>
      <c r="FHN57" s="10"/>
      <c r="FHO57" s="10"/>
      <c r="FHP57" s="10"/>
      <c r="FHQ57" s="10"/>
      <c r="FHR57" s="10"/>
      <c r="FHS57" s="10"/>
      <c r="FHT57" s="10"/>
      <c r="FHU57" s="10"/>
      <c r="FHV57" s="10"/>
      <c r="FHW57" s="10"/>
      <c r="FHX57" s="10"/>
      <c r="FHY57" s="10"/>
      <c r="FHZ57" s="10"/>
      <c r="FIA57" s="10"/>
      <c r="FIB57" s="10"/>
      <c r="FIC57" s="10"/>
      <c r="FID57" s="10"/>
      <c r="FIE57" s="10"/>
      <c r="FIF57" s="10"/>
      <c r="FIG57" s="10"/>
      <c r="FIH57" s="10"/>
      <c r="FII57" s="10"/>
      <c r="FIJ57" s="10"/>
      <c r="FIK57" s="10"/>
      <c r="FIL57" s="10"/>
      <c r="FIM57" s="10"/>
      <c r="FIN57" s="10"/>
      <c r="FIO57" s="10"/>
      <c r="FIP57" s="10"/>
      <c r="FIQ57" s="10"/>
      <c r="FIR57" s="10"/>
      <c r="FIS57" s="10"/>
      <c r="FIT57" s="10"/>
      <c r="FIU57" s="10"/>
      <c r="FIV57" s="10"/>
      <c r="FIW57" s="10"/>
      <c r="FIX57" s="10"/>
      <c r="FIY57" s="10"/>
      <c r="FIZ57" s="10"/>
      <c r="FJA57" s="10"/>
      <c r="FJB57" s="10"/>
      <c r="FJC57" s="10"/>
      <c r="FJD57" s="10"/>
      <c r="FJE57" s="10"/>
      <c r="FJF57" s="10"/>
      <c r="FJG57" s="10"/>
      <c r="FJH57" s="10"/>
      <c r="FJI57" s="10"/>
      <c r="FJJ57" s="10"/>
      <c r="FJK57" s="10"/>
      <c r="FJL57" s="10"/>
      <c r="FJM57" s="10"/>
      <c r="FJN57" s="10"/>
      <c r="FJO57" s="10"/>
      <c r="FJP57" s="10"/>
      <c r="FJQ57" s="10"/>
      <c r="FJR57" s="10"/>
      <c r="FJS57" s="10"/>
      <c r="FJT57" s="10"/>
      <c r="FJU57" s="10"/>
      <c r="FJV57" s="10"/>
      <c r="FJW57" s="10"/>
      <c r="FJX57" s="10"/>
      <c r="FJY57" s="10"/>
      <c r="FJZ57" s="10"/>
      <c r="FKA57" s="10"/>
      <c r="FKB57" s="10"/>
      <c r="FKC57" s="10"/>
      <c r="FKD57" s="10"/>
      <c r="FKE57" s="10"/>
      <c r="FKF57" s="10"/>
      <c r="FKG57" s="10"/>
      <c r="FKH57" s="10"/>
      <c r="FKI57" s="10"/>
      <c r="FKJ57" s="10"/>
      <c r="FKK57" s="10"/>
      <c r="FKL57" s="10"/>
      <c r="FKM57" s="10"/>
      <c r="FKN57" s="10"/>
      <c r="FKO57" s="10"/>
      <c r="FKP57" s="10"/>
      <c r="FKQ57" s="10"/>
      <c r="FKR57" s="10"/>
      <c r="FKS57" s="10"/>
      <c r="FKT57" s="10"/>
      <c r="FKU57" s="10"/>
      <c r="FKV57" s="10"/>
      <c r="FKW57" s="10"/>
      <c r="FKX57" s="10"/>
      <c r="FKY57" s="10"/>
      <c r="FKZ57" s="10"/>
      <c r="FLA57" s="10"/>
      <c r="FLB57" s="10"/>
      <c r="FLC57" s="10"/>
      <c r="FLD57" s="10"/>
      <c r="FLE57" s="10"/>
      <c r="FLF57" s="10"/>
      <c r="FLG57" s="10"/>
      <c r="FLH57" s="10"/>
      <c r="FLI57" s="10"/>
      <c r="FLJ57" s="10"/>
      <c r="FLK57" s="10"/>
      <c r="FLL57" s="10"/>
      <c r="FLM57" s="10"/>
      <c r="FLN57" s="10"/>
      <c r="FLO57" s="10"/>
      <c r="FLP57" s="10"/>
      <c r="FLQ57" s="10"/>
      <c r="FLR57" s="10"/>
      <c r="FLS57" s="10"/>
      <c r="FLT57" s="10"/>
      <c r="FLU57" s="10"/>
      <c r="FLV57" s="10"/>
      <c r="FLW57" s="10"/>
      <c r="FLX57" s="10"/>
      <c r="FLY57" s="10"/>
      <c r="FLZ57" s="10"/>
      <c r="FMA57" s="10"/>
      <c r="FMB57" s="10"/>
      <c r="FMC57" s="10"/>
      <c r="FMD57" s="10"/>
      <c r="FME57" s="10"/>
      <c r="FMF57" s="10"/>
      <c r="FMG57" s="10"/>
      <c r="FMH57" s="10"/>
      <c r="FMI57" s="10"/>
      <c r="FMJ57" s="10"/>
      <c r="FMK57" s="10"/>
      <c r="FML57" s="10"/>
      <c r="FMM57" s="10"/>
      <c r="FMN57" s="10"/>
      <c r="FMO57" s="10"/>
      <c r="FMP57" s="10"/>
      <c r="FMQ57" s="10"/>
      <c r="FMR57" s="10"/>
      <c r="FMS57" s="10"/>
      <c r="FMT57" s="10"/>
      <c r="FMU57" s="10"/>
      <c r="FMV57" s="10"/>
      <c r="FMW57" s="10"/>
      <c r="FMX57" s="10"/>
      <c r="FMY57" s="10"/>
      <c r="FMZ57" s="10"/>
      <c r="FNA57" s="10"/>
      <c r="FNB57" s="10"/>
      <c r="FNC57" s="10"/>
      <c r="FND57" s="10"/>
      <c r="FNE57" s="10"/>
      <c r="FNF57" s="10"/>
      <c r="FNG57" s="10"/>
      <c r="FNH57" s="10"/>
      <c r="FNI57" s="10"/>
      <c r="FNJ57" s="10"/>
      <c r="FNK57" s="10"/>
      <c r="FNL57" s="10"/>
      <c r="FNM57" s="10"/>
      <c r="FNN57" s="10"/>
      <c r="FNO57" s="10"/>
      <c r="FNP57" s="10"/>
      <c r="FNQ57" s="10"/>
      <c r="FNR57" s="10"/>
      <c r="FNS57" s="10"/>
      <c r="FNT57" s="10"/>
      <c r="FNU57" s="10"/>
      <c r="FNV57" s="10"/>
      <c r="FNW57" s="10"/>
      <c r="FNX57" s="10"/>
      <c r="FNY57" s="10"/>
      <c r="FNZ57" s="10"/>
      <c r="FOA57" s="10"/>
      <c r="FOB57" s="10"/>
      <c r="FOC57" s="10"/>
      <c r="FOD57" s="10"/>
      <c r="FOE57" s="10"/>
      <c r="FOF57" s="10"/>
      <c r="FOG57" s="10"/>
      <c r="FOH57" s="10"/>
      <c r="FOI57" s="10"/>
      <c r="FOJ57" s="10"/>
      <c r="FOK57" s="10"/>
      <c r="FOL57" s="10"/>
      <c r="FOM57" s="10"/>
      <c r="FON57" s="10"/>
      <c r="FOO57" s="10"/>
      <c r="FOP57" s="10"/>
      <c r="FOQ57" s="10"/>
      <c r="FOR57" s="10"/>
      <c r="FOS57" s="10"/>
      <c r="FOT57" s="10"/>
      <c r="FOU57" s="10"/>
      <c r="FOV57" s="10"/>
      <c r="FOW57" s="10"/>
      <c r="FOX57" s="10"/>
      <c r="FOY57" s="10"/>
      <c r="FOZ57" s="10"/>
      <c r="FPA57" s="10"/>
      <c r="FPB57" s="10"/>
      <c r="FPC57" s="10"/>
      <c r="FPD57" s="10"/>
      <c r="FPE57" s="10"/>
      <c r="FPF57" s="10"/>
      <c r="FPG57" s="10"/>
      <c r="FPH57" s="10"/>
      <c r="FPI57" s="10"/>
      <c r="FPJ57" s="10"/>
      <c r="FPK57" s="10"/>
      <c r="FPL57" s="10"/>
      <c r="FPM57" s="10"/>
      <c r="FPN57" s="10"/>
      <c r="FPO57" s="10"/>
      <c r="FPP57" s="10"/>
      <c r="FPQ57" s="10"/>
      <c r="FPR57" s="10"/>
      <c r="FPS57" s="10"/>
      <c r="FPT57" s="10"/>
      <c r="FPU57" s="10"/>
      <c r="FPV57" s="10"/>
      <c r="FPW57" s="10"/>
      <c r="FPX57" s="10"/>
      <c r="FPY57" s="10"/>
      <c r="FPZ57" s="10"/>
      <c r="FQA57" s="10"/>
      <c r="FQB57" s="10"/>
      <c r="FQC57" s="10"/>
      <c r="FQD57" s="10"/>
      <c r="FQE57" s="10"/>
      <c r="FQF57" s="10"/>
      <c r="FQG57" s="10"/>
      <c r="FQH57" s="10"/>
      <c r="FQI57" s="10"/>
      <c r="FQJ57" s="10"/>
      <c r="FQK57" s="10"/>
      <c r="FQL57" s="10"/>
      <c r="FQM57" s="10"/>
      <c r="FQN57" s="10"/>
      <c r="FQO57" s="10"/>
      <c r="FQP57" s="10"/>
      <c r="FQQ57" s="10"/>
      <c r="FQR57" s="10"/>
      <c r="FQS57" s="10"/>
      <c r="FQT57" s="10"/>
      <c r="FQU57" s="10"/>
      <c r="FQV57" s="10"/>
      <c r="FQW57" s="10"/>
      <c r="FQX57" s="10"/>
      <c r="FQY57" s="10"/>
      <c r="FQZ57" s="10"/>
      <c r="FRA57" s="10"/>
      <c r="FRB57" s="10"/>
      <c r="FRC57" s="10"/>
      <c r="FRD57" s="10"/>
      <c r="FRE57" s="10"/>
      <c r="FRF57" s="10"/>
      <c r="FRG57" s="10"/>
      <c r="FRH57" s="10"/>
      <c r="FRI57" s="10"/>
      <c r="FRJ57" s="10"/>
      <c r="FRK57" s="10"/>
      <c r="FRL57" s="10"/>
      <c r="FRM57" s="10"/>
      <c r="FRN57" s="10"/>
      <c r="FRO57" s="10"/>
      <c r="FRP57" s="10"/>
      <c r="FRQ57" s="10"/>
      <c r="FRR57" s="10"/>
      <c r="FRS57" s="10"/>
      <c r="FRT57" s="10"/>
      <c r="FRU57" s="10"/>
      <c r="FRV57" s="10"/>
      <c r="FRW57" s="10"/>
      <c r="FRX57" s="10"/>
      <c r="FRY57" s="10"/>
      <c r="FRZ57" s="10"/>
      <c r="FSA57" s="10"/>
      <c r="FSB57" s="10"/>
      <c r="FSC57" s="10"/>
      <c r="FSD57" s="10"/>
      <c r="FSE57" s="10"/>
      <c r="FSF57" s="10"/>
      <c r="FSG57" s="10"/>
      <c r="FSH57" s="10"/>
      <c r="FSI57" s="10"/>
      <c r="FSJ57" s="10"/>
      <c r="FSK57" s="10"/>
      <c r="FSL57" s="10"/>
      <c r="FSM57" s="10"/>
      <c r="FSN57" s="10"/>
      <c r="FSO57" s="10"/>
      <c r="FSP57" s="10"/>
      <c r="FSQ57" s="10"/>
      <c r="FSR57" s="10"/>
      <c r="FSS57" s="10"/>
      <c r="FST57" s="10"/>
      <c r="FSU57" s="10"/>
      <c r="FSV57" s="10"/>
      <c r="FSW57" s="10"/>
      <c r="FSX57" s="10"/>
      <c r="FSY57" s="10"/>
      <c r="FSZ57" s="10"/>
      <c r="FTA57" s="10"/>
      <c r="FTB57" s="10"/>
      <c r="FTC57" s="10"/>
      <c r="FTD57" s="10"/>
      <c r="FTE57" s="10"/>
      <c r="FTF57" s="10"/>
      <c r="FTG57" s="10"/>
      <c r="FTH57" s="10"/>
      <c r="FTI57" s="10"/>
      <c r="FTJ57" s="10"/>
      <c r="FTK57" s="10"/>
      <c r="FTL57" s="10"/>
      <c r="FTM57" s="10"/>
      <c r="FTN57" s="10"/>
      <c r="FTO57" s="10"/>
      <c r="FTP57" s="10"/>
      <c r="FTQ57" s="10"/>
      <c r="FTR57" s="10"/>
      <c r="FTS57" s="10"/>
      <c r="FTT57" s="10"/>
      <c r="FTU57" s="10"/>
      <c r="FTV57" s="10"/>
      <c r="FTW57" s="10"/>
      <c r="FTX57" s="10"/>
      <c r="FTY57" s="10"/>
      <c r="FTZ57" s="10"/>
      <c r="FUA57" s="10"/>
      <c r="FUB57" s="10"/>
      <c r="FUC57" s="10"/>
      <c r="FUD57" s="10"/>
      <c r="FUE57" s="10"/>
      <c r="FUF57" s="10"/>
      <c r="FUG57" s="10"/>
      <c r="FUH57" s="10"/>
      <c r="FUI57" s="10"/>
      <c r="FUJ57" s="10"/>
      <c r="FUK57" s="10"/>
      <c r="FUL57" s="10"/>
      <c r="FUM57" s="10"/>
      <c r="FUN57" s="10"/>
      <c r="FUO57" s="10"/>
      <c r="FUP57" s="10"/>
      <c r="FUQ57" s="10"/>
      <c r="FUR57" s="10"/>
      <c r="FUS57" s="10"/>
      <c r="FUT57" s="10"/>
      <c r="FUU57" s="10"/>
      <c r="FUV57" s="10"/>
      <c r="FUW57" s="10"/>
      <c r="FUX57" s="10"/>
      <c r="FUY57" s="10"/>
      <c r="FUZ57" s="10"/>
      <c r="FVA57" s="10"/>
      <c r="FVB57" s="10"/>
      <c r="FVC57" s="10"/>
      <c r="FVD57" s="10"/>
      <c r="FVE57" s="10"/>
      <c r="FVF57" s="10"/>
      <c r="FVG57" s="10"/>
      <c r="FVH57" s="10"/>
      <c r="FVI57" s="10"/>
      <c r="FVJ57" s="10"/>
      <c r="FVK57" s="10"/>
      <c r="FVL57" s="10"/>
      <c r="FVM57" s="10"/>
      <c r="FVN57" s="10"/>
      <c r="FVO57" s="10"/>
      <c r="FVP57" s="10"/>
      <c r="FVQ57" s="10"/>
      <c r="FVR57" s="10"/>
      <c r="FVS57" s="10"/>
      <c r="FVT57" s="10"/>
      <c r="FVU57" s="10"/>
      <c r="FVV57" s="10"/>
      <c r="FVW57" s="10"/>
      <c r="FVX57" s="10"/>
      <c r="FVY57" s="10"/>
      <c r="FVZ57" s="10"/>
      <c r="FWA57" s="10"/>
      <c r="FWB57" s="10"/>
      <c r="FWC57" s="10"/>
      <c r="FWD57" s="10"/>
      <c r="FWE57" s="10"/>
      <c r="FWF57" s="10"/>
      <c r="FWG57" s="10"/>
      <c r="FWH57" s="10"/>
      <c r="FWI57" s="10"/>
      <c r="FWJ57" s="10"/>
      <c r="FWK57" s="10"/>
      <c r="FWL57" s="10"/>
      <c r="FWM57" s="10"/>
      <c r="FWN57" s="10"/>
      <c r="FWO57" s="10"/>
      <c r="FWP57" s="10"/>
      <c r="FWQ57" s="10"/>
      <c r="FWR57" s="10"/>
      <c r="FWS57" s="10"/>
      <c r="FWT57" s="10"/>
      <c r="FWU57" s="10"/>
      <c r="FWV57" s="10"/>
      <c r="FWW57" s="10"/>
      <c r="FWX57" s="10"/>
      <c r="FWY57" s="10"/>
      <c r="FWZ57" s="10"/>
      <c r="FXA57" s="10"/>
      <c r="FXB57" s="10"/>
      <c r="FXC57" s="10"/>
      <c r="FXD57" s="10"/>
      <c r="FXE57" s="10"/>
      <c r="FXF57" s="10"/>
      <c r="FXG57" s="10"/>
      <c r="FXH57" s="10"/>
      <c r="FXI57" s="10"/>
      <c r="FXJ57" s="10"/>
      <c r="FXK57" s="10"/>
      <c r="FXL57" s="10"/>
      <c r="FXM57" s="10"/>
      <c r="FXN57" s="10"/>
      <c r="FXO57" s="10"/>
      <c r="FXP57" s="10"/>
      <c r="FXQ57" s="10"/>
      <c r="FXR57" s="10"/>
      <c r="FXS57" s="10"/>
      <c r="FXT57" s="10"/>
      <c r="FXU57" s="10"/>
      <c r="FXV57" s="10"/>
      <c r="FXW57" s="10"/>
      <c r="FXX57" s="10"/>
      <c r="FXY57" s="10"/>
      <c r="FXZ57" s="10"/>
      <c r="FYA57" s="10"/>
      <c r="FYB57" s="10"/>
      <c r="FYC57" s="10"/>
      <c r="FYD57" s="10"/>
      <c r="FYE57" s="10"/>
      <c r="FYF57" s="10"/>
      <c r="FYG57" s="10"/>
      <c r="FYH57" s="10"/>
      <c r="FYI57" s="10"/>
      <c r="FYJ57" s="10"/>
      <c r="FYK57" s="10"/>
      <c r="FYL57" s="10"/>
      <c r="FYM57" s="10"/>
      <c r="FYN57" s="10"/>
      <c r="FYO57" s="10"/>
      <c r="FYP57" s="10"/>
      <c r="FYQ57" s="10"/>
      <c r="FYR57" s="10"/>
      <c r="FYS57" s="10"/>
      <c r="FYT57" s="10"/>
      <c r="FYU57" s="10"/>
      <c r="FYV57" s="10"/>
      <c r="FYW57" s="10"/>
      <c r="FYX57" s="10"/>
      <c r="FYY57" s="10"/>
      <c r="FYZ57" s="10"/>
      <c r="FZA57" s="10"/>
      <c r="FZB57" s="10"/>
      <c r="FZC57" s="10"/>
      <c r="FZD57" s="10"/>
      <c r="FZE57" s="10"/>
      <c r="FZF57" s="10"/>
      <c r="FZG57" s="10"/>
      <c r="FZH57" s="10"/>
      <c r="FZI57" s="10"/>
      <c r="FZJ57" s="10"/>
      <c r="FZK57" s="10"/>
      <c r="FZL57" s="10"/>
      <c r="FZM57" s="10"/>
      <c r="FZN57" s="10"/>
      <c r="FZO57" s="10"/>
      <c r="FZP57" s="10"/>
      <c r="FZQ57" s="10"/>
      <c r="FZR57" s="10"/>
      <c r="FZS57" s="10"/>
      <c r="FZT57" s="10"/>
      <c r="FZU57" s="10"/>
      <c r="FZV57" s="10"/>
      <c r="FZW57" s="10"/>
      <c r="FZX57" s="10"/>
      <c r="FZY57" s="10"/>
      <c r="FZZ57" s="10"/>
      <c r="GAA57" s="10"/>
      <c r="GAB57" s="10"/>
      <c r="GAC57" s="10"/>
      <c r="GAD57" s="10"/>
      <c r="GAE57" s="10"/>
      <c r="GAF57" s="10"/>
      <c r="GAG57" s="10"/>
      <c r="GAH57" s="10"/>
      <c r="GAI57" s="10"/>
      <c r="GAJ57" s="10"/>
      <c r="GAK57" s="10"/>
      <c r="GAL57" s="10"/>
      <c r="GAM57" s="10"/>
      <c r="GAN57" s="10"/>
      <c r="GAO57" s="10"/>
      <c r="GAP57" s="10"/>
      <c r="GAQ57" s="10"/>
      <c r="GAR57" s="10"/>
      <c r="GAS57" s="10"/>
      <c r="GAT57" s="10"/>
      <c r="GAU57" s="10"/>
      <c r="GAV57" s="10"/>
      <c r="GAW57" s="10"/>
      <c r="GAX57" s="10"/>
      <c r="GAY57" s="10"/>
      <c r="GAZ57" s="10"/>
      <c r="GBA57" s="10"/>
      <c r="GBB57" s="10"/>
      <c r="GBC57" s="10"/>
      <c r="GBD57" s="10"/>
      <c r="GBE57" s="10"/>
      <c r="GBF57" s="10"/>
      <c r="GBG57" s="10"/>
      <c r="GBH57" s="10"/>
      <c r="GBI57" s="10"/>
      <c r="GBJ57" s="10"/>
      <c r="GBK57" s="10"/>
      <c r="GBL57" s="10"/>
      <c r="GBM57" s="10"/>
      <c r="GBN57" s="10"/>
      <c r="GBO57" s="10"/>
      <c r="GBP57" s="10"/>
      <c r="GBQ57" s="10"/>
      <c r="GBR57" s="10"/>
      <c r="GBS57" s="10"/>
      <c r="GBT57" s="10"/>
      <c r="GBU57" s="10"/>
      <c r="GBV57" s="10"/>
      <c r="GBW57" s="10"/>
      <c r="GBX57" s="10"/>
      <c r="GBY57" s="10"/>
      <c r="GBZ57" s="10"/>
      <c r="GCA57" s="10"/>
      <c r="GCB57" s="10"/>
      <c r="GCC57" s="10"/>
      <c r="GCD57" s="10"/>
      <c r="GCE57" s="10"/>
      <c r="GCF57" s="10"/>
      <c r="GCG57" s="10"/>
      <c r="GCH57" s="10"/>
      <c r="GCI57" s="10"/>
      <c r="GCJ57" s="10"/>
      <c r="GCK57" s="10"/>
      <c r="GCL57" s="10"/>
      <c r="GCM57" s="10"/>
      <c r="GCN57" s="10"/>
      <c r="GCO57" s="10"/>
      <c r="GCP57" s="10"/>
      <c r="GCQ57" s="10"/>
      <c r="GCR57" s="10"/>
      <c r="GCS57" s="10"/>
      <c r="GCT57" s="10"/>
      <c r="GCU57" s="10"/>
      <c r="GCV57" s="10"/>
      <c r="GCW57" s="10"/>
      <c r="GCX57" s="10"/>
      <c r="GCY57" s="10"/>
      <c r="GCZ57" s="10"/>
      <c r="GDA57" s="10"/>
      <c r="GDB57" s="10"/>
      <c r="GDC57" s="10"/>
      <c r="GDD57" s="10"/>
      <c r="GDE57" s="10"/>
      <c r="GDF57" s="10"/>
      <c r="GDG57" s="10"/>
      <c r="GDH57" s="10"/>
      <c r="GDI57" s="10"/>
      <c r="GDJ57" s="10"/>
      <c r="GDK57" s="10"/>
      <c r="GDL57" s="10"/>
      <c r="GDM57" s="10"/>
      <c r="GDN57" s="10"/>
      <c r="GDO57" s="10"/>
      <c r="GDP57" s="10"/>
      <c r="GDQ57" s="10"/>
      <c r="GDR57" s="10"/>
      <c r="GDS57" s="10"/>
      <c r="GDT57" s="10"/>
      <c r="GDU57" s="10"/>
      <c r="GDV57" s="10"/>
      <c r="GDW57" s="10"/>
      <c r="GDX57" s="10"/>
      <c r="GDY57" s="10"/>
      <c r="GDZ57" s="10"/>
      <c r="GEA57" s="10"/>
      <c r="GEB57" s="10"/>
      <c r="GEC57" s="10"/>
      <c r="GED57" s="10"/>
      <c r="GEE57" s="10"/>
      <c r="GEF57" s="10"/>
      <c r="GEG57" s="10"/>
      <c r="GEH57" s="10"/>
      <c r="GEI57" s="10"/>
      <c r="GEJ57" s="10"/>
      <c r="GEK57" s="10"/>
      <c r="GEL57" s="10"/>
      <c r="GEM57" s="10"/>
      <c r="GEN57" s="10"/>
      <c r="GEO57" s="10"/>
      <c r="GEP57" s="10"/>
      <c r="GEQ57" s="10"/>
      <c r="GER57" s="10"/>
      <c r="GES57" s="10"/>
      <c r="GET57" s="10"/>
      <c r="GEU57" s="10"/>
      <c r="GEV57" s="10"/>
      <c r="GEW57" s="10"/>
      <c r="GEX57" s="10"/>
      <c r="GEY57" s="10"/>
      <c r="GEZ57" s="10"/>
      <c r="GFA57" s="10"/>
      <c r="GFB57" s="10"/>
      <c r="GFC57" s="10"/>
      <c r="GFD57" s="10"/>
      <c r="GFE57" s="10"/>
      <c r="GFF57" s="10"/>
      <c r="GFG57" s="10"/>
      <c r="GFH57" s="10"/>
      <c r="GFI57" s="10"/>
      <c r="GFJ57" s="10"/>
      <c r="GFK57" s="10"/>
      <c r="GFL57" s="10"/>
      <c r="GFM57" s="10"/>
      <c r="GFN57" s="10"/>
      <c r="GFO57" s="10"/>
      <c r="GFP57" s="10"/>
      <c r="GFQ57" s="10"/>
      <c r="GFR57" s="10"/>
      <c r="GFS57" s="10"/>
      <c r="GFT57" s="10"/>
      <c r="GFU57" s="10"/>
      <c r="GFV57" s="10"/>
      <c r="GFW57" s="10"/>
      <c r="GFX57" s="10"/>
      <c r="GFY57" s="10"/>
      <c r="GFZ57" s="10"/>
      <c r="GGA57" s="10"/>
      <c r="GGB57" s="10"/>
      <c r="GGC57" s="10"/>
      <c r="GGD57" s="10"/>
      <c r="GGE57" s="10"/>
      <c r="GGF57" s="10"/>
      <c r="GGG57" s="10"/>
      <c r="GGH57" s="10"/>
      <c r="GGI57" s="10"/>
      <c r="GGJ57" s="10"/>
      <c r="GGK57" s="10"/>
      <c r="GGL57" s="10"/>
      <c r="GGM57" s="10"/>
      <c r="GGN57" s="10"/>
      <c r="GGO57" s="10"/>
      <c r="GGP57" s="10"/>
      <c r="GGQ57" s="10"/>
      <c r="GGR57" s="10"/>
      <c r="GGS57" s="10"/>
      <c r="GGT57" s="10"/>
      <c r="GGU57" s="10"/>
      <c r="GGV57" s="10"/>
      <c r="GGW57" s="10"/>
      <c r="GGX57" s="10"/>
      <c r="GGY57" s="10"/>
      <c r="GGZ57" s="10"/>
      <c r="GHA57" s="10"/>
      <c r="GHB57" s="10"/>
      <c r="GHC57" s="10"/>
      <c r="GHD57" s="10"/>
      <c r="GHE57" s="10"/>
      <c r="GHF57" s="10"/>
      <c r="GHG57" s="10"/>
      <c r="GHH57" s="10"/>
      <c r="GHI57" s="10"/>
      <c r="GHJ57" s="10"/>
      <c r="GHK57" s="10"/>
      <c r="GHL57" s="10"/>
      <c r="GHM57" s="10"/>
      <c r="GHN57" s="10"/>
      <c r="GHO57" s="10"/>
      <c r="GHP57" s="10"/>
      <c r="GHQ57" s="10"/>
      <c r="GHR57" s="10"/>
      <c r="GHS57" s="10"/>
      <c r="GHT57" s="10"/>
      <c r="GHU57" s="10"/>
      <c r="GHV57" s="10"/>
      <c r="GHW57" s="10"/>
      <c r="GHX57" s="10"/>
      <c r="GHY57" s="10"/>
      <c r="GHZ57" s="10"/>
      <c r="GIA57" s="10"/>
      <c r="GIB57" s="10"/>
      <c r="GIC57" s="10"/>
      <c r="GID57" s="10"/>
      <c r="GIE57" s="10"/>
      <c r="GIF57" s="10"/>
      <c r="GIG57" s="10"/>
      <c r="GIH57" s="10"/>
      <c r="GII57" s="10"/>
      <c r="GIJ57" s="10"/>
      <c r="GIK57" s="10"/>
      <c r="GIL57" s="10"/>
      <c r="GIM57" s="10"/>
      <c r="GIN57" s="10"/>
      <c r="GIO57" s="10"/>
      <c r="GIP57" s="10"/>
      <c r="GIQ57" s="10"/>
      <c r="GIR57" s="10"/>
      <c r="GIS57" s="10"/>
      <c r="GIT57" s="10"/>
      <c r="GIU57" s="10"/>
      <c r="GIV57" s="10"/>
      <c r="GIW57" s="10"/>
      <c r="GIX57" s="10"/>
      <c r="GIY57" s="10"/>
      <c r="GIZ57" s="10"/>
      <c r="GJA57" s="10"/>
      <c r="GJB57" s="10"/>
      <c r="GJC57" s="10"/>
      <c r="GJD57" s="10"/>
      <c r="GJE57" s="10"/>
      <c r="GJF57" s="10"/>
      <c r="GJG57" s="10"/>
      <c r="GJH57" s="10"/>
      <c r="GJI57" s="10"/>
      <c r="GJJ57" s="10"/>
      <c r="GJK57" s="10"/>
      <c r="GJL57" s="10"/>
      <c r="GJM57" s="10"/>
      <c r="GJN57" s="10"/>
      <c r="GJO57" s="10"/>
      <c r="GJP57" s="10"/>
      <c r="GJQ57" s="10"/>
      <c r="GJR57" s="10"/>
      <c r="GJS57" s="10"/>
      <c r="GJT57" s="10"/>
      <c r="GJU57" s="10"/>
      <c r="GJV57" s="10"/>
      <c r="GJW57" s="10"/>
      <c r="GJX57" s="10"/>
      <c r="GJY57" s="10"/>
      <c r="GJZ57" s="10"/>
      <c r="GKA57" s="10"/>
      <c r="GKB57" s="10"/>
      <c r="GKC57" s="10"/>
      <c r="GKD57" s="10"/>
      <c r="GKE57" s="10"/>
      <c r="GKF57" s="10"/>
      <c r="GKG57" s="10"/>
      <c r="GKH57" s="10"/>
      <c r="GKI57" s="10"/>
      <c r="GKJ57" s="10"/>
      <c r="GKK57" s="10"/>
      <c r="GKL57" s="10"/>
      <c r="GKM57" s="10"/>
      <c r="GKN57" s="10"/>
      <c r="GKO57" s="10"/>
      <c r="GKP57" s="10"/>
      <c r="GKQ57" s="10"/>
      <c r="GKR57" s="10"/>
      <c r="GKS57" s="10"/>
      <c r="GKT57" s="10"/>
      <c r="GKU57" s="10"/>
      <c r="GKV57" s="10"/>
      <c r="GKW57" s="10"/>
      <c r="GKX57" s="10"/>
      <c r="GKY57" s="10"/>
      <c r="GKZ57" s="10"/>
      <c r="GLA57" s="10"/>
      <c r="GLB57" s="10"/>
      <c r="GLC57" s="10"/>
      <c r="GLD57" s="10"/>
      <c r="GLE57" s="10"/>
      <c r="GLF57" s="10"/>
      <c r="GLG57" s="10"/>
      <c r="GLH57" s="10"/>
      <c r="GLI57" s="10"/>
      <c r="GLJ57" s="10"/>
      <c r="GLK57" s="10"/>
      <c r="GLL57" s="10"/>
      <c r="GLM57" s="10"/>
      <c r="GLN57" s="10"/>
      <c r="GLO57" s="10"/>
      <c r="GLP57" s="10"/>
      <c r="GLQ57" s="10"/>
      <c r="GLR57" s="10"/>
      <c r="GLS57" s="10"/>
      <c r="GLT57" s="10"/>
      <c r="GLU57" s="10"/>
      <c r="GLV57" s="10"/>
      <c r="GLW57" s="10"/>
      <c r="GLX57" s="10"/>
      <c r="GLY57" s="10"/>
      <c r="GLZ57" s="10"/>
      <c r="GMA57" s="10"/>
      <c r="GMB57" s="10"/>
      <c r="GMC57" s="10"/>
      <c r="GMD57" s="10"/>
      <c r="GME57" s="10"/>
      <c r="GMF57" s="10"/>
      <c r="GMG57" s="10"/>
      <c r="GMH57" s="10"/>
      <c r="GMI57" s="10"/>
      <c r="GMJ57" s="10"/>
      <c r="GMK57" s="10"/>
      <c r="GML57" s="10"/>
      <c r="GMM57" s="10"/>
      <c r="GMN57" s="10"/>
      <c r="GMO57" s="10"/>
      <c r="GMP57" s="10"/>
      <c r="GMQ57" s="10"/>
      <c r="GMR57" s="10"/>
      <c r="GMS57" s="10"/>
      <c r="GMT57" s="10"/>
      <c r="GMU57" s="10"/>
      <c r="GMV57" s="10"/>
      <c r="GMW57" s="10"/>
      <c r="GMX57" s="10"/>
      <c r="GMY57" s="10"/>
      <c r="GMZ57" s="10"/>
      <c r="GNA57" s="10"/>
      <c r="GNB57" s="10"/>
      <c r="GNC57" s="10"/>
      <c r="GND57" s="10"/>
      <c r="GNE57" s="10"/>
      <c r="GNF57" s="10"/>
      <c r="GNG57" s="10"/>
      <c r="GNH57" s="10"/>
      <c r="GNI57" s="10"/>
      <c r="GNJ57" s="10"/>
      <c r="GNK57" s="10"/>
      <c r="GNL57" s="10"/>
      <c r="GNM57" s="10"/>
      <c r="GNN57" s="10"/>
      <c r="GNO57" s="10"/>
      <c r="GNP57" s="10"/>
      <c r="GNQ57" s="10"/>
      <c r="GNR57" s="10"/>
      <c r="GNS57" s="10"/>
      <c r="GNT57" s="10"/>
      <c r="GNU57" s="10"/>
      <c r="GNV57" s="10"/>
      <c r="GNW57" s="10"/>
      <c r="GNX57" s="10"/>
      <c r="GNY57" s="10"/>
      <c r="GNZ57" s="10"/>
      <c r="GOA57" s="10"/>
      <c r="GOB57" s="10"/>
      <c r="GOC57" s="10"/>
      <c r="GOD57" s="10"/>
      <c r="GOE57" s="10"/>
      <c r="GOF57" s="10"/>
      <c r="GOG57" s="10"/>
      <c r="GOH57" s="10"/>
      <c r="GOI57" s="10"/>
      <c r="GOJ57" s="10"/>
      <c r="GOK57" s="10"/>
      <c r="GOL57" s="10"/>
      <c r="GOM57" s="10"/>
      <c r="GON57" s="10"/>
      <c r="GOO57" s="10"/>
      <c r="GOP57" s="10"/>
      <c r="GOQ57" s="10"/>
      <c r="GOR57" s="10"/>
      <c r="GOS57" s="10"/>
      <c r="GOT57" s="10"/>
      <c r="GOU57" s="10"/>
      <c r="GOV57" s="10"/>
      <c r="GOW57" s="10"/>
      <c r="GOX57" s="10"/>
      <c r="GOY57" s="10"/>
      <c r="GOZ57" s="10"/>
      <c r="GPA57" s="10"/>
      <c r="GPB57" s="10"/>
      <c r="GPC57" s="10"/>
      <c r="GPD57" s="10"/>
      <c r="GPE57" s="10"/>
      <c r="GPF57" s="10"/>
      <c r="GPG57" s="10"/>
      <c r="GPH57" s="10"/>
      <c r="GPI57" s="10"/>
      <c r="GPJ57" s="10"/>
      <c r="GPK57" s="10"/>
      <c r="GPL57" s="10"/>
      <c r="GPM57" s="10"/>
      <c r="GPN57" s="10"/>
      <c r="GPO57" s="10"/>
      <c r="GPP57" s="10"/>
      <c r="GPQ57" s="10"/>
      <c r="GPR57" s="10"/>
      <c r="GPS57" s="10"/>
      <c r="GPT57" s="10"/>
      <c r="GPU57" s="10"/>
      <c r="GPV57" s="10"/>
      <c r="GPW57" s="10"/>
      <c r="GPX57" s="10"/>
      <c r="GPY57" s="10"/>
      <c r="GPZ57" s="10"/>
      <c r="GQA57" s="10"/>
      <c r="GQB57" s="10"/>
      <c r="GQC57" s="10"/>
      <c r="GQD57" s="10"/>
      <c r="GQE57" s="10"/>
      <c r="GQF57" s="10"/>
      <c r="GQG57" s="10"/>
      <c r="GQH57" s="10"/>
      <c r="GQI57" s="10"/>
      <c r="GQJ57" s="10"/>
      <c r="GQK57" s="10"/>
      <c r="GQL57" s="10"/>
      <c r="GQM57" s="10"/>
      <c r="GQN57" s="10"/>
      <c r="GQO57" s="10"/>
      <c r="GQP57" s="10"/>
      <c r="GQQ57" s="10"/>
      <c r="GQR57" s="10"/>
      <c r="GQS57" s="10"/>
      <c r="GQT57" s="10"/>
      <c r="GQU57" s="10"/>
      <c r="GQV57" s="10"/>
      <c r="GQW57" s="10"/>
      <c r="GQX57" s="10"/>
      <c r="GQY57" s="10"/>
      <c r="GQZ57" s="10"/>
      <c r="GRA57" s="10"/>
      <c r="GRB57" s="10"/>
      <c r="GRC57" s="10"/>
      <c r="GRD57" s="10"/>
      <c r="GRE57" s="10"/>
      <c r="GRF57" s="10"/>
      <c r="GRG57" s="10"/>
      <c r="GRH57" s="10"/>
      <c r="GRI57" s="10"/>
      <c r="GRJ57" s="10"/>
      <c r="GRK57" s="10"/>
      <c r="GRL57" s="10"/>
      <c r="GRM57" s="10"/>
      <c r="GRN57" s="10"/>
      <c r="GRO57" s="10"/>
      <c r="GRP57" s="10"/>
      <c r="GRQ57" s="10"/>
      <c r="GRR57" s="10"/>
      <c r="GRS57" s="10"/>
      <c r="GRT57" s="10"/>
      <c r="GRU57" s="10"/>
      <c r="GRV57" s="10"/>
      <c r="GRW57" s="10"/>
      <c r="GRX57" s="10"/>
      <c r="GRY57" s="10"/>
      <c r="GRZ57" s="10"/>
      <c r="GSA57" s="10"/>
      <c r="GSB57" s="10"/>
      <c r="GSC57" s="10"/>
      <c r="GSD57" s="10"/>
      <c r="GSE57" s="10"/>
      <c r="GSF57" s="10"/>
      <c r="GSG57" s="10"/>
      <c r="GSH57" s="10"/>
      <c r="GSI57" s="10"/>
      <c r="GSJ57" s="10"/>
      <c r="GSK57" s="10"/>
      <c r="GSL57" s="10"/>
      <c r="GSM57" s="10"/>
      <c r="GSN57" s="10"/>
      <c r="GSO57" s="10"/>
      <c r="GSP57" s="10"/>
      <c r="GSQ57" s="10"/>
      <c r="GSR57" s="10"/>
      <c r="GSS57" s="10"/>
      <c r="GST57" s="10"/>
      <c r="GSU57" s="10"/>
      <c r="GSV57" s="10"/>
      <c r="GSW57" s="10"/>
      <c r="GSX57" s="10"/>
      <c r="GSY57" s="10"/>
      <c r="GSZ57" s="10"/>
      <c r="GTA57" s="10"/>
      <c r="GTB57" s="10"/>
      <c r="GTC57" s="10"/>
      <c r="GTD57" s="10"/>
      <c r="GTE57" s="10"/>
      <c r="GTF57" s="10"/>
      <c r="GTG57" s="10"/>
      <c r="GTH57" s="10"/>
      <c r="GTI57" s="10"/>
      <c r="GTJ57" s="10"/>
      <c r="GTK57" s="10"/>
      <c r="GTL57" s="10"/>
      <c r="GTM57" s="10"/>
      <c r="GTN57" s="10"/>
      <c r="GTO57" s="10"/>
      <c r="GTP57" s="10"/>
      <c r="GTQ57" s="10"/>
      <c r="GTR57" s="10"/>
      <c r="GTS57" s="10"/>
      <c r="GTT57" s="10"/>
      <c r="GTU57" s="10"/>
      <c r="GTV57" s="10"/>
      <c r="GTW57" s="10"/>
      <c r="GTX57" s="10"/>
      <c r="GTY57" s="10"/>
      <c r="GTZ57" s="10"/>
      <c r="GUA57" s="10"/>
      <c r="GUB57" s="10"/>
      <c r="GUC57" s="10"/>
      <c r="GUD57" s="10"/>
      <c r="GUE57" s="10"/>
      <c r="GUF57" s="10"/>
      <c r="GUG57" s="10"/>
      <c r="GUH57" s="10"/>
      <c r="GUI57" s="10"/>
      <c r="GUJ57" s="10"/>
      <c r="GUK57" s="10"/>
      <c r="GUL57" s="10"/>
      <c r="GUM57" s="10"/>
      <c r="GUN57" s="10"/>
      <c r="GUO57" s="10"/>
      <c r="GUP57" s="10"/>
      <c r="GUQ57" s="10"/>
      <c r="GUR57" s="10"/>
      <c r="GUS57" s="10"/>
      <c r="GUT57" s="10"/>
      <c r="GUU57" s="10"/>
      <c r="GUV57" s="10"/>
      <c r="GUW57" s="10"/>
      <c r="GUX57" s="10"/>
      <c r="GUY57" s="10"/>
      <c r="GUZ57" s="10"/>
      <c r="GVA57" s="10"/>
      <c r="GVB57" s="10"/>
      <c r="GVC57" s="10"/>
      <c r="GVD57" s="10"/>
      <c r="GVE57" s="10"/>
      <c r="GVF57" s="10"/>
      <c r="GVG57" s="10"/>
      <c r="GVH57" s="10"/>
      <c r="GVI57" s="10"/>
      <c r="GVJ57" s="10"/>
      <c r="GVK57" s="10"/>
      <c r="GVL57" s="10"/>
      <c r="GVM57" s="10"/>
      <c r="GVN57" s="10"/>
      <c r="GVO57" s="10"/>
      <c r="GVP57" s="10"/>
      <c r="GVQ57" s="10"/>
      <c r="GVR57" s="10"/>
      <c r="GVS57" s="10"/>
      <c r="GVT57" s="10"/>
      <c r="GVU57" s="10"/>
      <c r="GVV57" s="10"/>
      <c r="GVW57" s="10"/>
      <c r="GVX57" s="10"/>
      <c r="GVY57" s="10"/>
      <c r="GVZ57" s="10"/>
      <c r="GWA57" s="10"/>
      <c r="GWB57" s="10"/>
      <c r="GWC57" s="10"/>
      <c r="GWD57" s="10"/>
      <c r="GWE57" s="10"/>
      <c r="GWF57" s="10"/>
      <c r="GWG57" s="10"/>
      <c r="GWH57" s="10"/>
      <c r="GWI57" s="10"/>
      <c r="GWJ57" s="10"/>
      <c r="GWK57" s="10"/>
      <c r="GWL57" s="10"/>
      <c r="GWM57" s="10"/>
      <c r="GWN57" s="10"/>
      <c r="GWO57" s="10"/>
      <c r="GWP57" s="10"/>
      <c r="GWQ57" s="10"/>
      <c r="GWR57" s="10"/>
      <c r="GWS57" s="10"/>
      <c r="GWT57" s="10"/>
      <c r="GWU57" s="10"/>
      <c r="GWV57" s="10"/>
      <c r="GWW57" s="10"/>
      <c r="GWX57" s="10"/>
      <c r="GWY57" s="10"/>
      <c r="GWZ57" s="10"/>
      <c r="GXA57" s="10"/>
      <c r="GXB57" s="10"/>
      <c r="GXC57" s="10"/>
      <c r="GXD57" s="10"/>
      <c r="GXE57" s="10"/>
      <c r="GXF57" s="10"/>
      <c r="GXG57" s="10"/>
      <c r="GXH57" s="10"/>
      <c r="GXI57" s="10"/>
      <c r="GXJ57" s="10"/>
      <c r="GXK57" s="10"/>
      <c r="GXL57" s="10"/>
      <c r="GXM57" s="10"/>
      <c r="GXN57" s="10"/>
      <c r="GXO57" s="10"/>
      <c r="GXP57" s="10"/>
      <c r="GXQ57" s="10"/>
      <c r="GXR57" s="10"/>
      <c r="GXS57" s="10"/>
      <c r="GXT57" s="10"/>
      <c r="GXU57" s="10"/>
      <c r="GXV57" s="10"/>
      <c r="GXW57" s="10"/>
      <c r="GXX57" s="10"/>
      <c r="GXY57" s="10"/>
      <c r="GXZ57" s="10"/>
      <c r="GYA57" s="10"/>
      <c r="GYB57" s="10"/>
      <c r="GYC57" s="10"/>
      <c r="GYD57" s="10"/>
      <c r="GYE57" s="10"/>
      <c r="GYF57" s="10"/>
      <c r="GYG57" s="10"/>
      <c r="GYH57" s="10"/>
      <c r="GYI57" s="10"/>
      <c r="GYJ57" s="10"/>
      <c r="GYK57" s="10"/>
      <c r="GYL57" s="10"/>
      <c r="GYM57" s="10"/>
      <c r="GYN57" s="10"/>
      <c r="GYO57" s="10"/>
      <c r="GYP57" s="10"/>
      <c r="GYQ57" s="10"/>
      <c r="GYR57" s="10"/>
      <c r="GYS57" s="10"/>
      <c r="GYT57" s="10"/>
      <c r="GYU57" s="10"/>
      <c r="GYV57" s="10"/>
      <c r="GYW57" s="10"/>
      <c r="GYX57" s="10"/>
      <c r="GYY57" s="10"/>
      <c r="GYZ57" s="10"/>
      <c r="GZA57" s="10"/>
      <c r="GZB57" s="10"/>
      <c r="GZC57" s="10"/>
      <c r="GZD57" s="10"/>
      <c r="GZE57" s="10"/>
      <c r="GZF57" s="10"/>
      <c r="GZG57" s="10"/>
      <c r="GZH57" s="10"/>
      <c r="GZI57" s="10"/>
      <c r="GZJ57" s="10"/>
      <c r="GZK57" s="10"/>
      <c r="GZL57" s="10"/>
      <c r="GZM57" s="10"/>
      <c r="GZN57" s="10"/>
      <c r="GZO57" s="10"/>
      <c r="GZP57" s="10"/>
      <c r="GZQ57" s="10"/>
      <c r="GZR57" s="10"/>
      <c r="GZS57" s="10"/>
      <c r="GZT57" s="10"/>
      <c r="GZU57" s="10"/>
      <c r="GZV57" s="10"/>
      <c r="GZW57" s="10"/>
      <c r="GZX57" s="10"/>
      <c r="GZY57" s="10"/>
      <c r="GZZ57" s="10"/>
      <c r="HAA57" s="10"/>
      <c r="HAB57" s="10"/>
      <c r="HAC57" s="10"/>
      <c r="HAD57" s="10"/>
      <c r="HAE57" s="10"/>
      <c r="HAF57" s="10"/>
      <c r="HAG57" s="10"/>
      <c r="HAH57" s="10"/>
      <c r="HAI57" s="10"/>
      <c r="HAJ57" s="10"/>
      <c r="HAK57" s="10"/>
      <c r="HAL57" s="10"/>
      <c r="HAM57" s="10"/>
      <c r="HAN57" s="10"/>
      <c r="HAO57" s="10"/>
      <c r="HAP57" s="10"/>
      <c r="HAQ57" s="10"/>
      <c r="HAR57" s="10"/>
      <c r="HAS57" s="10"/>
      <c r="HAT57" s="10"/>
      <c r="HAU57" s="10"/>
      <c r="HAV57" s="10"/>
      <c r="HAW57" s="10"/>
      <c r="HAX57" s="10"/>
      <c r="HAY57" s="10"/>
      <c r="HAZ57" s="10"/>
      <c r="HBA57" s="10"/>
      <c r="HBB57" s="10"/>
      <c r="HBC57" s="10"/>
      <c r="HBD57" s="10"/>
      <c r="HBE57" s="10"/>
      <c r="HBF57" s="10"/>
      <c r="HBG57" s="10"/>
      <c r="HBH57" s="10"/>
      <c r="HBI57" s="10"/>
      <c r="HBJ57" s="10"/>
      <c r="HBK57" s="10"/>
      <c r="HBL57" s="10"/>
      <c r="HBM57" s="10"/>
      <c r="HBN57" s="10"/>
      <c r="HBO57" s="10"/>
      <c r="HBP57" s="10"/>
      <c r="HBQ57" s="10"/>
      <c r="HBR57" s="10"/>
      <c r="HBS57" s="10"/>
      <c r="HBT57" s="10"/>
      <c r="HBU57" s="10"/>
      <c r="HBV57" s="10"/>
      <c r="HBW57" s="10"/>
      <c r="HBX57" s="10"/>
      <c r="HBY57" s="10"/>
      <c r="HBZ57" s="10"/>
      <c r="HCA57" s="10"/>
      <c r="HCB57" s="10"/>
      <c r="HCC57" s="10"/>
      <c r="HCD57" s="10"/>
      <c r="HCE57" s="10"/>
      <c r="HCF57" s="10"/>
      <c r="HCG57" s="10"/>
      <c r="HCH57" s="10"/>
      <c r="HCI57" s="10"/>
      <c r="HCJ57" s="10"/>
      <c r="HCK57" s="10"/>
      <c r="HCL57" s="10"/>
      <c r="HCM57" s="10"/>
      <c r="HCN57" s="10"/>
      <c r="HCO57" s="10"/>
      <c r="HCP57" s="10"/>
      <c r="HCQ57" s="10"/>
      <c r="HCR57" s="10"/>
      <c r="HCS57" s="10"/>
      <c r="HCT57" s="10"/>
      <c r="HCU57" s="10"/>
      <c r="HCV57" s="10"/>
      <c r="HCW57" s="10"/>
      <c r="HCX57" s="10"/>
      <c r="HCY57" s="10"/>
      <c r="HCZ57" s="10"/>
      <c r="HDA57" s="10"/>
      <c r="HDB57" s="10"/>
      <c r="HDC57" s="10"/>
      <c r="HDD57" s="10"/>
      <c r="HDE57" s="10"/>
      <c r="HDF57" s="10"/>
      <c r="HDG57" s="10"/>
      <c r="HDH57" s="10"/>
      <c r="HDI57" s="10"/>
      <c r="HDJ57" s="10"/>
      <c r="HDK57" s="10"/>
      <c r="HDL57" s="10"/>
      <c r="HDM57" s="10"/>
      <c r="HDN57" s="10"/>
      <c r="HDO57" s="10"/>
      <c r="HDP57" s="10"/>
      <c r="HDQ57" s="10"/>
      <c r="HDR57" s="10"/>
      <c r="HDS57" s="10"/>
      <c r="HDT57" s="10"/>
      <c r="HDU57" s="10"/>
      <c r="HDV57" s="10"/>
      <c r="HDW57" s="10"/>
      <c r="HDX57" s="10"/>
      <c r="HDY57" s="10"/>
      <c r="HDZ57" s="10"/>
      <c r="HEA57" s="10"/>
      <c r="HEB57" s="10"/>
      <c r="HEC57" s="10"/>
      <c r="HED57" s="10"/>
      <c r="HEE57" s="10"/>
      <c r="HEF57" s="10"/>
      <c r="HEG57" s="10"/>
      <c r="HEH57" s="10"/>
      <c r="HEI57" s="10"/>
      <c r="HEJ57" s="10"/>
      <c r="HEK57" s="10"/>
      <c r="HEL57" s="10"/>
      <c r="HEM57" s="10"/>
      <c r="HEN57" s="10"/>
      <c r="HEO57" s="10"/>
      <c r="HEP57" s="10"/>
      <c r="HEQ57" s="10"/>
      <c r="HER57" s="10"/>
      <c r="HES57" s="10"/>
      <c r="HET57" s="10"/>
      <c r="HEU57" s="10"/>
      <c r="HEV57" s="10"/>
      <c r="HEW57" s="10"/>
      <c r="HEX57" s="10"/>
      <c r="HEY57" s="10"/>
      <c r="HEZ57" s="10"/>
      <c r="HFA57" s="10"/>
      <c r="HFB57" s="10"/>
      <c r="HFC57" s="10"/>
      <c r="HFD57" s="10"/>
      <c r="HFE57" s="10"/>
      <c r="HFF57" s="10"/>
      <c r="HFG57" s="10"/>
      <c r="HFH57" s="10"/>
      <c r="HFI57" s="10"/>
      <c r="HFJ57" s="10"/>
      <c r="HFK57" s="10"/>
      <c r="HFL57" s="10"/>
      <c r="HFM57" s="10"/>
      <c r="HFN57" s="10"/>
      <c r="HFO57" s="10"/>
      <c r="HFP57" s="10"/>
      <c r="HFQ57" s="10"/>
      <c r="HFR57" s="10"/>
      <c r="HFS57" s="10"/>
      <c r="HFT57" s="10"/>
      <c r="HFU57" s="10"/>
      <c r="HFV57" s="10"/>
      <c r="HFW57" s="10"/>
      <c r="HFX57" s="10"/>
      <c r="HFY57" s="10"/>
      <c r="HFZ57" s="10"/>
      <c r="HGA57" s="10"/>
      <c r="HGB57" s="10"/>
      <c r="HGC57" s="10"/>
      <c r="HGD57" s="10"/>
      <c r="HGE57" s="10"/>
      <c r="HGF57" s="10"/>
      <c r="HGG57" s="10"/>
      <c r="HGH57" s="10"/>
      <c r="HGI57" s="10"/>
      <c r="HGJ57" s="10"/>
      <c r="HGK57" s="10"/>
      <c r="HGL57" s="10"/>
      <c r="HGM57" s="10"/>
      <c r="HGN57" s="10"/>
      <c r="HGO57" s="10"/>
      <c r="HGP57" s="10"/>
      <c r="HGQ57" s="10"/>
      <c r="HGR57" s="10"/>
      <c r="HGS57" s="10"/>
      <c r="HGT57" s="10"/>
      <c r="HGU57" s="10"/>
      <c r="HGV57" s="10"/>
      <c r="HGW57" s="10"/>
      <c r="HGX57" s="10"/>
      <c r="HGY57" s="10"/>
      <c r="HGZ57" s="10"/>
      <c r="HHA57" s="10"/>
      <c r="HHB57" s="10"/>
      <c r="HHC57" s="10"/>
      <c r="HHD57" s="10"/>
      <c r="HHE57" s="10"/>
      <c r="HHF57" s="10"/>
      <c r="HHG57" s="10"/>
      <c r="HHH57" s="10"/>
      <c r="HHI57" s="10"/>
      <c r="HHJ57" s="10"/>
      <c r="HHK57" s="10"/>
      <c r="HHL57" s="10"/>
      <c r="HHM57" s="10"/>
      <c r="HHN57" s="10"/>
      <c r="HHO57" s="10"/>
      <c r="HHP57" s="10"/>
      <c r="HHQ57" s="10"/>
      <c r="HHR57" s="10"/>
      <c r="HHS57" s="10"/>
      <c r="HHT57" s="10"/>
      <c r="HHU57" s="10"/>
      <c r="HHV57" s="10"/>
      <c r="HHW57" s="10"/>
      <c r="HHX57" s="10"/>
      <c r="HHY57" s="10"/>
      <c r="HHZ57" s="10"/>
      <c r="HIA57" s="10"/>
      <c r="HIB57" s="10"/>
      <c r="HIC57" s="10"/>
      <c r="HID57" s="10"/>
      <c r="HIE57" s="10"/>
      <c r="HIF57" s="10"/>
      <c r="HIG57" s="10"/>
      <c r="HIH57" s="10"/>
      <c r="HII57" s="10"/>
      <c r="HIJ57" s="10"/>
      <c r="HIK57" s="10"/>
      <c r="HIL57" s="10"/>
      <c r="HIM57" s="10"/>
      <c r="HIN57" s="10"/>
      <c r="HIO57" s="10"/>
      <c r="HIP57" s="10"/>
      <c r="HIQ57" s="10"/>
      <c r="HIR57" s="10"/>
      <c r="HIS57" s="10"/>
      <c r="HIT57" s="10"/>
      <c r="HIU57" s="10"/>
      <c r="HIV57" s="10"/>
      <c r="HIW57" s="10"/>
      <c r="HIX57" s="10"/>
      <c r="HIY57" s="10"/>
      <c r="HIZ57" s="10"/>
      <c r="HJA57" s="10"/>
      <c r="HJB57" s="10"/>
      <c r="HJC57" s="10"/>
      <c r="HJD57" s="10"/>
      <c r="HJE57" s="10"/>
      <c r="HJF57" s="10"/>
      <c r="HJG57" s="10"/>
      <c r="HJH57" s="10"/>
      <c r="HJI57" s="10"/>
      <c r="HJJ57" s="10"/>
      <c r="HJK57" s="10"/>
      <c r="HJL57" s="10"/>
      <c r="HJM57" s="10"/>
      <c r="HJN57" s="10"/>
      <c r="HJO57" s="10"/>
      <c r="HJP57" s="10"/>
      <c r="HJQ57" s="10"/>
      <c r="HJR57" s="10"/>
      <c r="HJS57" s="10"/>
      <c r="HJT57" s="10"/>
      <c r="HJU57" s="10"/>
      <c r="HJV57" s="10"/>
      <c r="HJW57" s="10"/>
      <c r="HJX57" s="10"/>
      <c r="HJY57" s="10"/>
      <c r="HJZ57" s="10"/>
      <c r="HKA57" s="10"/>
      <c r="HKB57" s="10"/>
      <c r="HKC57" s="10"/>
      <c r="HKD57" s="10"/>
      <c r="HKE57" s="10"/>
      <c r="HKF57" s="10"/>
      <c r="HKG57" s="10"/>
      <c r="HKH57" s="10"/>
      <c r="HKI57" s="10"/>
      <c r="HKJ57" s="10"/>
      <c r="HKK57" s="10"/>
      <c r="HKL57" s="10"/>
      <c r="HKM57" s="10"/>
      <c r="HKN57" s="10"/>
      <c r="HKO57" s="10"/>
      <c r="HKP57" s="10"/>
      <c r="HKQ57" s="10"/>
      <c r="HKR57" s="10"/>
      <c r="HKS57" s="10"/>
      <c r="HKT57" s="10"/>
      <c r="HKU57" s="10"/>
      <c r="HKV57" s="10"/>
      <c r="HKW57" s="10"/>
      <c r="HKX57" s="10"/>
      <c r="HKY57" s="10"/>
      <c r="HKZ57" s="10"/>
      <c r="HLA57" s="10"/>
      <c r="HLB57" s="10"/>
      <c r="HLC57" s="10"/>
      <c r="HLD57" s="10"/>
      <c r="HLE57" s="10"/>
      <c r="HLF57" s="10"/>
      <c r="HLG57" s="10"/>
      <c r="HLH57" s="10"/>
      <c r="HLI57" s="10"/>
      <c r="HLJ57" s="10"/>
      <c r="HLK57" s="10"/>
      <c r="HLL57" s="10"/>
      <c r="HLM57" s="10"/>
      <c r="HLN57" s="10"/>
      <c r="HLO57" s="10"/>
      <c r="HLP57" s="10"/>
      <c r="HLQ57" s="10"/>
      <c r="HLR57" s="10"/>
      <c r="HLS57" s="10"/>
      <c r="HLT57" s="10"/>
      <c r="HLU57" s="10"/>
      <c r="HLV57" s="10"/>
      <c r="HLW57" s="10"/>
      <c r="HLX57" s="10"/>
      <c r="HLY57" s="10"/>
      <c r="HLZ57" s="10"/>
      <c r="HMA57" s="10"/>
      <c r="HMB57" s="10"/>
      <c r="HMC57" s="10"/>
      <c r="HMD57" s="10"/>
      <c r="HME57" s="10"/>
      <c r="HMF57" s="10"/>
      <c r="HMG57" s="10"/>
      <c r="HMH57" s="10"/>
      <c r="HMI57" s="10"/>
      <c r="HMJ57" s="10"/>
      <c r="HMK57" s="10"/>
      <c r="HML57" s="10"/>
      <c r="HMM57" s="10"/>
      <c r="HMN57" s="10"/>
      <c r="HMO57" s="10"/>
      <c r="HMP57" s="10"/>
      <c r="HMQ57" s="10"/>
      <c r="HMR57" s="10"/>
      <c r="HMS57" s="10"/>
      <c r="HMT57" s="10"/>
      <c r="HMU57" s="10"/>
      <c r="HMV57" s="10"/>
      <c r="HMW57" s="10"/>
      <c r="HMX57" s="10"/>
      <c r="HMY57" s="10"/>
      <c r="HMZ57" s="10"/>
      <c r="HNA57" s="10"/>
      <c r="HNB57" s="10"/>
      <c r="HNC57" s="10"/>
      <c r="HND57" s="10"/>
      <c r="HNE57" s="10"/>
      <c r="HNF57" s="10"/>
      <c r="HNG57" s="10"/>
      <c r="HNH57" s="10"/>
      <c r="HNI57" s="10"/>
      <c r="HNJ57" s="10"/>
      <c r="HNK57" s="10"/>
      <c r="HNL57" s="10"/>
      <c r="HNM57" s="10"/>
      <c r="HNN57" s="10"/>
      <c r="HNO57" s="10"/>
      <c r="HNP57" s="10"/>
      <c r="HNQ57" s="10"/>
      <c r="HNR57" s="10"/>
      <c r="HNS57" s="10"/>
      <c r="HNT57" s="10"/>
      <c r="HNU57" s="10"/>
      <c r="HNV57" s="10"/>
      <c r="HNW57" s="10"/>
      <c r="HNX57" s="10"/>
      <c r="HNY57" s="10"/>
      <c r="HNZ57" s="10"/>
      <c r="HOA57" s="10"/>
      <c r="HOB57" s="10"/>
      <c r="HOC57" s="10"/>
      <c r="HOD57" s="10"/>
      <c r="HOE57" s="10"/>
      <c r="HOF57" s="10"/>
      <c r="HOG57" s="10"/>
      <c r="HOH57" s="10"/>
      <c r="HOI57" s="10"/>
      <c r="HOJ57" s="10"/>
      <c r="HOK57" s="10"/>
      <c r="HOL57" s="10"/>
      <c r="HOM57" s="10"/>
      <c r="HON57" s="10"/>
      <c r="HOO57" s="10"/>
      <c r="HOP57" s="10"/>
      <c r="HOQ57" s="10"/>
      <c r="HOR57" s="10"/>
      <c r="HOS57" s="10"/>
      <c r="HOT57" s="10"/>
      <c r="HOU57" s="10"/>
      <c r="HOV57" s="10"/>
      <c r="HOW57" s="10"/>
      <c r="HOX57" s="10"/>
      <c r="HOY57" s="10"/>
      <c r="HOZ57" s="10"/>
      <c r="HPA57" s="10"/>
      <c r="HPB57" s="10"/>
      <c r="HPC57" s="10"/>
      <c r="HPD57" s="10"/>
      <c r="HPE57" s="10"/>
      <c r="HPF57" s="10"/>
      <c r="HPG57" s="10"/>
      <c r="HPH57" s="10"/>
      <c r="HPI57" s="10"/>
      <c r="HPJ57" s="10"/>
      <c r="HPK57" s="10"/>
      <c r="HPL57" s="10"/>
      <c r="HPM57" s="10"/>
      <c r="HPN57" s="10"/>
      <c r="HPO57" s="10"/>
      <c r="HPP57" s="10"/>
      <c r="HPQ57" s="10"/>
      <c r="HPR57" s="10"/>
      <c r="HPS57" s="10"/>
      <c r="HPT57" s="10"/>
      <c r="HPU57" s="10"/>
      <c r="HPV57" s="10"/>
      <c r="HPW57" s="10"/>
      <c r="HPX57" s="10"/>
      <c r="HPY57" s="10"/>
      <c r="HPZ57" s="10"/>
      <c r="HQA57" s="10"/>
      <c r="HQB57" s="10"/>
      <c r="HQC57" s="10"/>
      <c r="HQD57" s="10"/>
      <c r="HQE57" s="10"/>
      <c r="HQF57" s="10"/>
      <c r="HQG57" s="10"/>
      <c r="HQH57" s="10"/>
      <c r="HQI57" s="10"/>
      <c r="HQJ57" s="10"/>
      <c r="HQK57" s="10"/>
      <c r="HQL57" s="10"/>
      <c r="HQM57" s="10"/>
      <c r="HQN57" s="10"/>
      <c r="HQO57" s="10"/>
      <c r="HQP57" s="10"/>
      <c r="HQQ57" s="10"/>
      <c r="HQR57" s="10"/>
      <c r="HQS57" s="10"/>
      <c r="HQT57" s="10"/>
      <c r="HQU57" s="10"/>
      <c r="HQV57" s="10"/>
      <c r="HQW57" s="10"/>
      <c r="HQX57" s="10"/>
      <c r="HQY57" s="10"/>
      <c r="HQZ57" s="10"/>
      <c r="HRA57" s="10"/>
      <c r="HRB57" s="10"/>
      <c r="HRC57" s="10"/>
      <c r="HRD57" s="10"/>
      <c r="HRE57" s="10"/>
      <c r="HRF57" s="10"/>
      <c r="HRG57" s="10"/>
      <c r="HRH57" s="10"/>
      <c r="HRI57" s="10"/>
      <c r="HRJ57" s="10"/>
      <c r="HRK57" s="10"/>
      <c r="HRL57" s="10"/>
      <c r="HRM57" s="10"/>
      <c r="HRN57" s="10"/>
      <c r="HRO57" s="10"/>
      <c r="HRP57" s="10"/>
      <c r="HRQ57" s="10"/>
      <c r="HRR57" s="10"/>
      <c r="HRS57" s="10"/>
      <c r="HRT57" s="10"/>
      <c r="HRU57" s="10"/>
      <c r="HRV57" s="10"/>
      <c r="HRW57" s="10"/>
      <c r="HRX57" s="10"/>
      <c r="HRY57" s="10"/>
      <c r="HRZ57" s="10"/>
      <c r="HSA57" s="10"/>
      <c r="HSB57" s="10"/>
      <c r="HSC57" s="10"/>
      <c r="HSD57" s="10"/>
      <c r="HSE57" s="10"/>
      <c r="HSF57" s="10"/>
      <c r="HSG57" s="10"/>
      <c r="HSH57" s="10"/>
      <c r="HSI57" s="10"/>
      <c r="HSJ57" s="10"/>
      <c r="HSK57" s="10"/>
      <c r="HSL57" s="10"/>
      <c r="HSM57" s="10"/>
      <c r="HSN57" s="10"/>
      <c r="HSO57" s="10"/>
      <c r="HSP57" s="10"/>
      <c r="HSQ57" s="10"/>
      <c r="HSR57" s="10"/>
      <c r="HSS57" s="10"/>
      <c r="HST57" s="10"/>
      <c r="HSU57" s="10"/>
      <c r="HSV57" s="10"/>
      <c r="HSW57" s="10"/>
      <c r="HSX57" s="10"/>
      <c r="HSY57" s="10"/>
      <c r="HSZ57" s="10"/>
      <c r="HTA57" s="10"/>
      <c r="HTB57" s="10"/>
      <c r="HTC57" s="10"/>
      <c r="HTD57" s="10"/>
      <c r="HTE57" s="10"/>
      <c r="HTF57" s="10"/>
      <c r="HTG57" s="10"/>
      <c r="HTH57" s="10"/>
      <c r="HTI57" s="10"/>
      <c r="HTJ57" s="10"/>
      <c r="HTK57" s="10"/>
      <c r="HTL57" s="10"/>
      <c r="HTM57" s="10"/>
      <c r="HTN57" s="10"/>
      <c r="HTO57" s="10"/>
      <c r="HTP57" s="10"/>
      <c r="HTQ57" s="10"/>
      <c r="HTR57" s="10"/>
      <c r="HTS57" s="10"/>
      <c r="HTT57" s="10"/>
      <c r="HTU57" s="10"/>
      <c r="HTV57" s="10"/>
      <c r="HTW57" s="10"/>
      <c r="HTX57" s="10"/>
      <c r="HTY57" s="10"/>
      <c r="HTZ57" s="10"/>
      <c r="HUA57" s="10"/>
      <c r="HUB57" s="10"/>
      <c r="HUC57" s="10"/>
      <c r="HUD57" s="10"/>
      <c r="HUE57" s="10"/>
      <c r="HUF57" s="10"/>
      <c r="HUG57" s="10"/>
      <c r="HUH57" s="10"/>
      <c r="HUI57" s="10"/>
      <c r="HUJ57" s="10"/>
      <c r="HUK57" s="10"/>
      <c r="HUL57" s="10"/>
      <c r="HUM57" s="10"/>
      <c r="HUN57" s="10"/>
      <c r="HUO57" s="10"/>
      <c r="HUP57" s="10"/>
      <c r="HUQ57" s="10"/>
      <c r="HUR57" s="10"/>
      <c r="HUS57" s="10"/>
      <c r="HUT57" s="10"/>
      <c r="HUU57" s="10"/>
      <c r="HUV57" s="10"/>
      <c r="HUW57" s="10"/>
      <c r="HUX57" s="10"/>
      <c r="HUY57" s="10"/>
      <c r="HUZ57" s="10"/>
      <c r="HVA57" s="10"/>
      <c r="HVB57" s="10"/>
      <c r="HVC57" s="10"/>
      <c r="HVD57" s="10"/>
      <c r="HVE57" s="10"/>
      <c r="HVF57" s="10"/>
      <c r="HVG57" s="10"/>
      <c r="HVH57" s="10"/>
      <c r="HVI57" s="10"/>
      <c r="HVJ57" s="10"/>
      <c r="HVK57" s="10"/>
      <c r="HVL57" s="10"/>
      <c r="HVM57" s="10"/>
      <c r="HVN57" s="10"/>
      <c r="HVO57" s="10"/>
      <c r="HVP57" s="10"/>
      <c r="HVQ57" s="10"/>
      <c r="HVR57" s="10"/>
      <c r="HVS57" s="10"/>
      <c r="HVT57" s="10"/>
      <c r="HVU57" s="10"/>
      <c r="HVV57" s="10"/>
      <c r="HVW57" s="10"/>
      <c r="HVX57" s="10"/>
      <c r="HVY57" s="10"/>
      <c r="HVZ57" s="10"/>
      <c r="HWA57" s="10"/>
      <c r="HWB57" s="10"/>
      <c r="HWC57" s="10"/>
      <c r="HWD57" s="10"/>
      <c r="HWE57" s="10"/>
      <c r="HWF57" s="10"/>
      <c r="HWG57" s="10"/>
      <c r="HWH57" s="10"/>
      <c r="HWI57" s="10"/>
      <c r="HWJ57" s="10"/>
      <c r="HWK57" s="10"/>
      <c r="HWL57" s="10"/>
      <c r="HWM57" s="10"/>
      <c r="HWN57" s="10"/>
      <c r="HWO57" s="10"/>
      <c r="HWP57" s="10"/>
      <c r="HWQ57" s="10"/>
      <c r="HWR57" s="10"/>
      <c r="HWS57" s="10"/>
      <c r="HWT57" s="10"/>
      <c r="HWU57" s="10"/>
      <c r="HWV57" s="10"/>
      <c r="HWW57" s="10"/>
      <c r="HWX57" s="10"/>
      <c r="HWY57" s="10"/>
      <c r="HWZ57" s="10"/>
      <c r="HXA57" s="10"/>
      <c r="HXB57" s="10"/>
      <c r="HXC57" s="10"/>
      <c r="HXD57" s="10"/>
      <c r="HXE57" s="10"/>
      <c r="HXF57" s="10"/>
      <c r="HXG57" s="10"/>
      <c r="HXH57" s="10"/>
      <c r="HXI57" s="10"/>
      <c r="HXJ57" s="10"/>
      <c r="HXK57" s="10"/>
      <c r="HXL57" s="10"/>
      <c r="HXM57" s="10"/>
      <c r="HXN57" s="10"/>
      <c r="HXO57" s="10"/>
      <c r="HXP57" s="10"/>
      <c r="HXQ57" s="10"/>
      <c r="HXR57" s="10"/>
      <c r="HXS57" s="10"/>
      <c r="HXT57" s="10"/>
      <c r="HXU57" s="10"/>
      <c r="HXV57" s="10"/>
      <c r="HXW57" s="10"/>
      <c r="HXX57" s="10"/>
      <c r="HXY57" s="10"/>
      <c r="HXZ57" s="10"/>
      <c r="HYA57" s="10"/>
      <c r="HYB57" s="10"/>
      <c r="HYC57" s="10"/>
      <c r="HYD57" s="10"/>
      <c r="HYE57" s="10"/>
      <c r="HYF57" s="10"/>
      <c r="HYG57" s="10"/>
      <c r="HYH57" s="10"/>
      <c r="HYI57" s="10"/>
      <c r="HYJ57" s="10"/>
      <c r="HYK57" s="10"/>
      <c r="HYL57" s="10"/>
      <c r="HYM57" s="10"/>
      <c r="HYN57" s="10"/>
      <c r="HYO57" s="10"/>
      <c r="HYP57" s="10"/>
      <c r="HYQ57" s="10"/>
      <c r="HYR57" s="10"/>
      <c r="HYS57" s="10"/>
      <c r="HYT57" s="10"/>
      <c r="HYU57" s="10"/>
      <c r="HYV57" s="10"/>
      <c r="HYW57" s="10"/>
      <c r="HYX57" s="10"/>
      <c r="HYY57" s="10"/>
      <c r="HYZ57" s="10"/>
      <c r="HZA57" s="10"/>
      <c r="HZB57" s="10"/>
      <c r="HZC57" s="10"/>
      <c r="HZD57" s="10"/>
      <c r="HZE57" s="10"/>
      <c r="HZF57" s="10"/>
      <c r="HZG57" s="10"/>
      <c r="HZH57" s="10"/>
      <c r="HZI57" s="10"/>
      <c r="HZJ57" s="10"/>
      <c r="HZK57" s="10"/>
      <c r="HZL57" s="10"/>
      <c r="HZM57" s="10"/>
      <c r="HZN57" s="10"/>
      <c r="HZO57" s="10"/>
      <c r="HZP57" s="10"/>
      <c r="HZQ57" s="10"/>
      <c r="HZR57" s="10"/>
      <c r="HZS57" s="10"/>
      <c r="HZT57" s="10"/>
      <c r="HZU57" s="10"/>
      <c r="HZV57" s="10"/>
      <c r="HZW57" s="10"/>
      <c r="HZX57" s="10"/>
      <c r="HZY57" s="10"/>
      <c r="HZZ57" s="10"/>
      <c r="IAA57" s="10"/>
      <c r="IAB57" s="10"/>
      <c r="IAC57" s="10"/>
      <c r="IAD57" s="10"/>
      <c r="IAE57" s="10"/>
      <c r="IAF57" s="10"/>
      <c r="IAG57" s="10"/>
      <c r="IAH57" s="10"/>
      <c r="IAI57" s="10"/>
      <c r="IAJ57" s="10"/>
      <c r="IAK57" s="10"/>
      <c r="IAL57" s="10"/>
      <c r="IAM57" s="10"/>
      <c r="IAN57" s="10"/>
      <c r="IAO57" s="10"/>
      <c r="IAP57" s="10"/>
      <c r="IAQ57" s="10"/>
      <c r="IAR57" s="10"/>
      <c r="IAS57" s="10"/>
      <c r="IAT57" s="10"/>
      <c r="IAU57" s="10"/>
      <c r="IAV57" s="10"/>
      <c r="IAW57" s="10"/>
      <c r="IAX57" s="10"/>
      <c r="IAY57" s="10"/>
      <c r="IAZ57" s="10"/>
      <c r="IBA57" s="10"/>
      <c r="IBB57" s="10"/>
      <c r="IBC57" s="10"/>
      <c r="IBD57" s="10"/>
      <c r="IBE57" s="10"/>
      <c r="IBF57" s="10"/>
      <c r="IBG57" s="10"/>
      <c r="IBH57" s="10"/>
      <c r="IBI57" s="10"/>
      <c r="IBJ57" s="10"/>
      <c r="IBK57" s="10"/>
      <c r="IBL57" s="10"/>
      <c r="IBM57" s="10"/>
      <c r="IBN57" s="10"/>
      <c r="IBO57" s="10"/>
      <c r="IBP57" s="10"/>
      <c r="IBQ57" s="10"/>
      <c r="IBR57" s="10"/>
      <c r="IBS57" s="10"/>
      <c r="IBT57" s="10"/>
      <c r="IBU57" s="10"/>
      <c r="IBV57" s="10"/>
      <c r="IBW57" s="10"/>
      <c r="IBX57" s="10"/>
      <c r="IBY57" s="10"/>
      <c r="IBZ57" s="10"/>
      <c r="ICA57" s="10"/>
      <c r="ICB57" s="10"/>
      <c r="ICC57" s="10"/>
      <c r="ICD57" s="10"/>
      <c r="ICE57" s="10"/>
      <c r="ICF57" s="10"/>
      <c r="ICG57" s="10"/>
      <c r="ICH57" s="10"/>
      <c r="ICI57" s="10"/>
      <c r="ICJ57" s="10"/>
      <c r="ICK57" s="10"/>
      <c r="ICL57" s="10"/>
      <c r="ICM57" s="10"/>
      <c r="ICN57" s="10"/>
      <c r="ICO57" s="10"/>
      <c r="ICP57" s="10"/>
      <c r="ICQ57" s="10"/>
      <c r="ICR57" s="10"/>
      <c r="ICS57" s="10"/>
      <c r="ICT57" s="10"/>
      <c r="ICU57" s="10"/>
      <c r="ICV57" s="10"/>
      <c r="ICW57" s="10"/>
      <c r="ICX57" s="10"/>
      <c r="ICY57" s="10"/>
      <c r="ICZ57" s="10"/>
      <c r="IDA57" s="10"/>
      <c r="IDB57" s="10"/>
      <c r="IDC57" s="10"/>
      <c r="IDD57" s="10"/>
      <c r="IDE57" s="10"/>
      <c r="IDF57" s="10"/>
      <c r="IDG57" s="10"/>
      <c r="IDH57" s="10"/>
      <c r="IDI57" s="10"/>
      <c r="IDJ57" s="10"/>
      <c r="IDK57" s="10"/>
      <c r="IDL57" s="10"/>
      <c r="IDM57" s="10"/>
      <c r="IDN57" s="10"/>
      <c r="IDO57" s="10"/>
      <c r="IDP57" s="10"/>
      <c r="IDQ57" s="10"/>
      <c r="IDR57" s="10"/>
      <c r="IDS57" s="10"/>
      <c r="IDT57" s="10"/>
      <c r="IDU57" s="10"/>
      <c r="IDV57" s="10"/>
      <c r="IDW57" s="10"/>
      <c r="IDX57" s="10"/>
      <c r="IDY57" s="10"/>
      <c r="IDZ57" s="10"/>
      <c r="IEA57" s="10"/>
      <c r="IEB57" s="10"/>
      <c r="IEC57" s="10"/>
      <c r="IED57" s="10"/>
      <c r="IEE57" s="10"/>
      <c r="IEF57" s="10"/>
      <c r="IEG57" s="10"/>
      <c r="IEH57" s="10"/>
      <c r="IEI57" s="10"/>
      <c r="IEJ57" s="10"/>
      <c r="IEK57" s="10"/>
      <c r="IEL57" s="10"/>
      <c r="IEM57" s="10"/>
      <c r="IEN57" s="10"/>
      <c r="IEO57" s="10"/>
      <c r="IEP57" s="10"/>
      <c r="IEQ57" s="10"/>
      <c r="IER57" s="10"/>
      <c r="IES57" s="10"/>
      <c r="IET57" s="10"/>
      <c r="IEU57" s="10"/>
      <c r="IEV57" s="10"/>
      <c r="IEW57" s="10"/>
      <c r="IEX57" s="10"/>
      <c r="IEY57" s="10"/>
      <c r="IEZ57" s="10"/>
      <c r="IFA57" s="10"/>
      <c r="IFB57" s="10"/>
      <c r="IFC57" s="10"/>
      <c r="IFD57" s="10"/>
      <c r="IFE57" s="10"/>
      <c r="IFF57" s="10"/>
      <c r="IFG57" s="10"/>
      <c r="IFH57" s="10"/>
      <c r="IFI57" s="10"/>
      <c r="IFJ57" s="10"/>
      <c r="IFK57" s="10"/>
      <c r="IFL57" s="10"/>
      <c r="IFM57" s="10"/>
      <c r="IFN57" s="10"/>
      <c r="IFO57" s="10"/>
      <c r="IFP57" s="10"/>
      <c r="IFQ57" s="10"/>
      <c r="IFR57" s="10"/>
      <c r="IFS57" s="10"/>
      <c r="IFT57" s="10"/>
      <c r="IFU57" s="10"/>
      <c r="IFV57" s="10"/>
      <c r="IFW57" s="10"/>
      <c r="IFX57" s="10"/>
      <c r="IFY57" s="10"/>
      <c r="IFZ57" s="10"/>
      <c r="IGA57" s="10"/>
      <c r="IGB57" s="10"/>
      <c r="IGC57" s="10"/>
      <c r="IGD57" s="10"/>
      <c r="IGE57" s="10"/>
      <c r="IGF57" s="10"/>
      <c r="IGG57" s="10"/>
      <c r="IGH57" s="10"/>
      <c r="IGI57" s="10"/>
      <c r="IGJ57" s="10"/>
      <c r="IGK57" s="10"/>
      <c r="IGL57" s="10"/>
      <c r="IGM57" s="10"/>
      <c r="IGN57" s="10"/>
      <c r="IGO57" s="10"/>
      <c r="IGP57" s="10"/>
      <c r="IGQ57" s="10"/>
      <c r="IGR57" s="10"/>
      <c r="IGS57" s="10"/>
      <c r="IGT57" s="10"/>
      <c r="IGU57" s="10"/>
      <c r="IGV57" s="10"/>
      <c r="IGW57" s="10"/>
      <c r="IGX57" s="10"/>
      <c r="IGY57" s="10"/>
      <c r="IGZ57" s="10"/>
      <c r="IHA57" s="10"/>
      <c r="IHB57" s="10"/>
      <c r="IHC57" s="10"/>
      <c r="IHD57" s="10"/>
      <c r="IHE57" s="10"/>
      <c r="IHF57" s="10"/>
      <c r="IHG57" s="10"/>
      <c r="IHH57" s="10"/>
      <c r="IHI57" s="10"/>
      <c r="IHJ57" s="10"/>
      <c r="IHK57" s="10"/>
      <c r="IHL57" s="10"/>
      <c r="IHM57" s="10"/>
      <c r="IHN57" s="10"/>
      <c r="IHO57" s="10"/>
      <c r="IHP57" s="10"/>
      <c r="IHQ57" s="10"/>
      <c r="IHR57" s="10"/>
      <c r="IHS57" s="10"/>
      <c r="IHT57" s="10"/>
      <c r="IHU57" s="10"/>
      <c r="IHV57" s="10"/>
      <c r="IHW57" s="10"/>
      <c r="IHX57" s="10"/>
      <c r="IHY57" s="10"/>
      <c r="IHZ57" s="10"/>
      <c r="IIA57" s="10"/>
      <c r="IIB57" s="10"/>
      <c r="IIC57" s="10"/>
      <c r="IID57" s="10"/>
      <c r="IIE57" s="10"/>
      <c r="IIF57" s="10"/>
      <c r="IIG57" s="10"/>
      <c r="IIH57" s="10"/>
      <c r="III57" s="10"/>
      <c r="IIJ57" s="10"/>
      <c r="IIK57" s="10"/>
      <c r="IIL57" s="10"/>
      <c r="IIM57" s="10"/>
      <c r="IIN57" s="10"/>
      <c r="IIO57" s="10"/>
      <c r="IIP57" s="10"/>
      <c r="IIQ57" s="10"/>
      <c r="IIR57" s="10"/>
      <c r="IIS57" s="10"/>
      <c r="IIT57" s="10"/>
      <c r="IIU57" s="10"/>
      <c r="IIV57" s="10"/>
      <c r="IIW57" s="10"/>
      <c r="IIX57" s="10"/>
      <c r="IIY57" s="10"/>
      <c r="IIZ57" s="10"/>
      <c r="IJA57" s="10"/>
      <c r="IJB57" s="10"/>
      <c r="IJC57" s="10"/>
      <c r="IJD57" s="10"/>
      <c r="IJE57" s="10"/>
      <c r="IJF57" s="10"/>
      <c r="IJG57" s="10"/>
      <c r="IJH57" s="10"/>
      <c r="IJI57" s="10"/>
      <c r="IJJ57" s="10"/>
      <c r="IJK57" s="10"/>
      <c r="IJL57" s="10"/>
      <c r="IJM57" s="10"/>
      <c r="IJN57" s="10"/>
      <c r="IJO57" s="10"/>
      <c r="IJP57" s="10"/>
      <c r="IJQ57" s="10"/>
      <c r="IJR57" s="10"/>
      <c r="IJS57" s="10"/>
      <c r="IJT57" s="10"/>
      <c r="IJU57" s="10"/>
      <c r="IJV57" s="10"/>
      <c r="IJW57" s="10"/>
      <c r="IJX57" s="10"/>
      <c r="IJY57" s="10"/>
      <c r="IJZ57" s="10"/>
      <c r="IKA57" s="10"/>
      <c r="IKB57" s="10"/>
      <c r="IKC57" s="10"/>
      <c r="IKD57" s="10"/>
      <c r="IKE57" s="10"/>
      <c r="IKF57" s="10"/>
      <c r="IKG57" s="10"/>
      <c r="IKH57" s="10"/>
      <c r="IKI57" s="10"/>
      <c r="IKJ57" s="10"/>
      <c r="IKK57" s="10"/>
      <c r="IKL57" s="10"/>
      <c r="IKM57" s="10"/>
      <c r="IKN57" s="10"/>
      <c r="IKO57" s="10"/>
      <c r="IKP57" s="10"/>
      <c r="IKQ57" s="10"/>
      <c r="IKR57" s="10"/>
      <c r="IKS57" s="10"/>
      <c r="IKT57" s="10"/>
      <c r="IKU57" s="10"/>
      <c r="IKV57" s="10"/>
      <c r="IKW57" s="10"/>
      <c r="IKX57" s="10"/>
      <c r="IKY57" s="10"/>
      <c r="IKZ57" s="10"/>
      <c r="ILA57" s="10"/>
      <c r="ILB57" s="10"/>
      <c r="ILC57" s="10"/>
      <c r="ILD57" s="10"/>
      <c r="ILE57" s="10"/>
      <c r="ILF57" s="10"/>
      <c r="ILG57" s="10"/>
      <c r="ILH57" s="10"/>
      <c r="ILI57" s="10"/>
      <c r="ILJ57" s="10"/>
      <c r="ILK57" s="10"/>
      <c r="ILL57" s="10"/>
      <c r="ILM57" s="10"/>
      <c r="ILN57" s="10"/>
      <c r="ILO57" s="10"/>
      <c r="ILP57" s="10"/>
      <c r="ILQ57" s="10"/>
      <c r="ILR57" s="10"/>
      <c r="ILS57" s="10"/>
      <c r="ILT57" s="10"/>
      <c r="ILU57" s="10"/>
      <c r="ILV57" s="10"/>
      <c r="ILW57" s="10"/>
      <c r="ILX57" s="10"/>
      <c r="ILY57" s="10"/>
      <c r="ILZ57" s="10"/>
      <c r="IMA57" s="10"/>
      <c r="IMB57" s="10"/>
      <c r="IMC57" s="10"/>
      <c r="IMD57" s="10"/>
      <c r="IME57" s="10"/>
      <c r="IMF57" s="10"/>
      <c r="IMG57" s="10"/>
      <c r="IMH57" s="10"/>
      <c r="IMI57" s="10"/>
      <c r="IMJ57" s="10"/>
      <c r="IMK57" s="10"/>
      <c r="IML57" s="10"/>
      <c r="IMM57" s="10"/>
      <c r="IMN57" s="10"/>
      <c r="IMO57" s="10"/>
      <c r="IMP57" s="10"/>
      <c r="IMQ57" s="10"/>
      <c r="IMR57" s="10"/>
      <c r="IMS57" s="10"/>
      <c r="IMT57" s="10"/>
      <c r="IMU57" s="10"/>
      <c r="IMV57" s="10"/>
      <c r="IMW57" s="10"/>
      <c r="IMX57" s="10"/>
      <c r="IMY57" s="10"/>
      <c r="IMZ57" s="10"/>
      <c r="INA57" s="10"/>
      <c r="INB57" s="10"/>
      <c r="INC57" s="10"/>
      <c r="IND57" s="10"/>
      <c r="INE57" s="10"/>
      <c r="INF57" s="10"/>
      <c r="ING57" s="10"/>
      <c r="INH57" s="10"/>
      <c r="INI57" s="10"/>
      <c r="INJ57" s="10"/>
      <c r="INK57" s="10"/>
      <c r="INL57" s="10"/>
      <c r="INM57" s="10"/>
      <c r="INN57" s="10"/>
      <c r="INO57" s="10"/>
      <c r="INP57" s="10"/>
      <c r="INQ57" s="10"/>
      <c r="INR57" s="10"/>
      <c r="INS57" s="10"/>
      <c r="INT57" s="10"/>
      <c r="INU57" s="10"/>
      <c r="INV57" s="10"/>
      <c r="INW57" s="10"/>
      <c r="INX57" s="10"/>
      <c r="INY57" s="10"/>
      <c r="INZ57" s="10"/>
      <c r="IOA57" s="10"/>
      <c r="IOB57" s="10"/>
      <c r="IOC57" s="10"/>
      <c r="IOD57" s="10"/>
      <c r="IOE57" s="10"/>
      <c r="IOF57" s="10"/>
      <c r="IOG57" s="10"/>
      <c r="IOH57" s="10"/>
      <c r="IOI57" s="10"/>
      <c r="IOJ57" s="10"/>
      <c r="IOK57" s="10"/>
      <c r="IOL57" s="10"/>
      <c r="IOM57" s="10"/>
      <c r="ION57" s="10"/>
      <c r="IOO57" s="10"/>
      <c r="IOP57" s="10"/>
      <c r="IOQ57" s="10"/>
      <c r="IOR57" s="10"/>
      <c r="IOS57" s="10"/>
      <c r="IOT57" s="10"/>
      <c r="IOU57" s="10"/>
      <c r="IOV57" s="10"/>
      <c r="IOW57" s="10"/>
      <c r="IOX57" s="10"/>
      <c r="IOY57" s="10"/>
      <c r="IOZ57" s="10"/>
      <c r="IPA57" s="10"/>
      <c r="IPB57" s="10"/>
      <c r="IPC57" s="10"/>
      <c r="IPD57" s="10"/>
      <c r="IPE57" s="10"/>
      <c r="IPF57" s="10"/>
      <c r="IPG57" s="10"/>
      <c r="IPH57" s="10"/>
      <c r="IPI57" s="10"/>
      <c r="IPJ57" s="10"/>
      <c r="IPK57" s="10"/>
      <c r="IPL57" s="10"/>
      <c r="IPM57" s="10"/>
      <c r="IPN57" s="10"/>
      <c r="IPO57" s="10"/>
      <c r="IPP57" s="10"/>
      <c r="IPQ57" s="10"/>
      <c r="IPR57" s="10"/>
      <c r="IPS57" s="10"/>
      <c r="IPT57" s="10"/>
      <c r="IPU57" s="10"/>
      <c r="IPV57" s="10"/>
      <c r="IPW57" s="10"/>
      <c r="IPX57" s="10"/>
      <c r="IPY57" s="10"/>
      <c r="IPZ57" s="10"/>
      <c r="IQA57" s="10"/>
      <c r="IQB57" s="10"/>
      <c r="IQC57" s="10"/>
      <c r="IQD57" s="10"/>
      <c r="IQE57" s="10"/>
      <c r="IQF57" s="10"/>
      <c r="IQG57" s="10"/>
      <c r="IQH57" s="10"/>
      <c r="IQI57" s="10"/>
      <c r="IQJ57" s="10"/>
      <c r="IQK57" s="10"/>
      <c r="IQL57" s="10"/>
      <c r="IQM57" s="10"/>
      <c r="IQN57" s="10"/>
      <c r="IQO57" s="10"/>
      <c r="IQP57" s="10"/>
      <c r="IQQ57" s="10"/>
      <c r="IQR57" s="10"/>
      <c r="IQS57" s="10"/>
      <c r="IQT57" s="10"/>
      <c r="IQU57" s="10"/>
      <c r="IQV57" s="10"/>
      <c r="IQW57" s="10"/>
      <c r="IQX57" s="10"/>
      <c r="IQY57" s="10"/>
      <c r="IQZ57" s="10"/>
      <c r="IRA57" s="10"/>
      <c r="IRB57" s="10"/>
      <c r="IRC57" s="10"/>
      <c r="IRD57" s="10"/>
      <c r="IRE57" s="10"/>
      <c r="IRF57" s="10"/>
      <c r="IRG57" s="10"/>
      <c r="IRH57" s="10"/>
      <c r="IRI57" s="10"/>
      <c r="IRJ57" s="10"/>
      <c r="IRK57" s="10"/>
      <c r="IRL57" s="10"/>
      <c r="IRM57" s="10"/>
      <c r="IRN57" s="10"/>
      <c r="IRO57" s="10"/>
      <c r="IRP57" s="10"/>
      <c r="IRQ57" s="10"/>
      <c r="IRR57" s="10"/>
      <c r="IRS57" s="10"/>
      <c r="IRT57" s="10"/>
      <c r="IRU57" s="10"/>
      <c r="IRV57" s="10"/>
      <c r="IRW57" s="10"/>
      <c r="IRX57" s="10"/>
      <c r="IRY57" s="10"/>
      <c r="IRZ57" s="10"/>
      <c r="ISA57" s="10"/>
      <c r="ISB57" s="10"/>
      <c r="ISC57" s="10"/>
      <c r="ISD57" s="10"/>
      <c r="ISE57" s="10"/>
      <c r="ISF57" s="10"/>
      <c r="ISG57" s="10"/>
      <c r="ISH57" s="10"/>
      <c r="ISI57" s="10"/>
      <c r="ISJ57" s="10"/>
      <c r="ISK57" s="10"/>
      <c r="ISL57" s="10"/>
      <c r="ISM57" s="10"/>
      <c r="ISN57" s="10"/>
      <c r="ISO57" s="10"/>
      <c r="ISP57" s="10"/>
      <c r="ISQ57" s="10"/>
      <c r="ISR57" s="10"/>
      <c r="ISS57" s="10"/>
      <c r="IST57" s="10"/>
      <c r="ISU57" s="10"/>
      <c r="ISV57" s="10"/>
      <c r="ISW57" s="10"/>
      <c r="ISX57" s="10"/>
      <c r="ISY57" s="10"/>
      <c r="ISZ57" s="10"/>
      <c r="ITA57" s="10"/>
      <c r="ITB57" s="10"/>
      <c r="ITC57" s="10"/>
      <c r="ITD57" s="10"/>
      <c r="ITE57" s="10"/>
      <c r="ITF57" s="10"/>
      <c r="ITG57" s="10"/>
      <c r="ITH57" s="10"/>
      <c r="ITI57" s="10"/>
      <c r="ITJ57" s="10"/>
      <c r="ITK57" s="10"/>
      <c r="ITL57" s="10"/>
      <c r="ITM57" s="10"/>
      <c r="ITN57" s="10"/>
      <c r="ITO57" s="10"/>
      <c r="ITP57" s="10"/>
      <c r="ITQ57" s="10"/>
      <c r="ITR57" s="10"/>
      <c r="ITS57" s="10"/>
      <c r="ITT57" s="10"/>
      <c r="ITU57" s="10"/>
      <c r="ITV57" s="10"/>
      <c r="ITW57" s="10"/>
      <c r="ITX57" s="10"/>
      <c r="ITY57" s="10"/>
      <c r="ITZ57" s="10"/>
      <c r="IUA57" s="10"/>
      <c r="IUB57" s="10"/>
      <c r="IUC57" s="10"/>
      <c r="IUD57" s="10"/>
      <c r="IUE57" s="10"/>
      <c r="IUF57" s="10"/>
      <c r="IUG57" s="10"/>
      <c r="IUH57" s="10"/>
      <c r="IUI57" s="10"/>
      <c r="IUJ57" s="10"/>
      <c r="IUK57" s="10"/>
      <c r="IUL57" s="10"/>
      <c r="IUM57" s="10"/>
      <c r="IUN57" s="10"/>
      <c r="IUO57" s="10"/>
      <c r="IUP57" s="10"/>
      <c r="IUQ57" s="10"/>
      <c r="IUR57" s="10"/>
      <c r="IUS57" s="10"/>
      <c r="IUT57" s="10"/>
      <c r="IUU57" s="10"/>
      <c r="IUV57" s="10"/>
      <c r="IUW57" s="10"/>
      <c r="IUX57" s="10"/>
      <c r="IUY57" s="10"/>
      <c r="IUZ57" s="10"/>
      <c r="IVA57" s="10"/>
      <c r="IVB57" s="10"/>
      <c r="IVC57" s="10"/>
      <c r="IVD57" s="10"/>
      <c r="IVE57" s="10"/>
      <c r="IVF57" s="10"/>
      <c r="IVG57" s="10"/>
      <c r="IVH57" s="10"/>
      <c r="IVI57" s="10"/>
      <c r="IVJ57" s="10"/>
      <c r="IVK57" s="10"/>
      <c r="IVL57" s="10"/>
      <c r="IVM57" s="10"/>
      <c r="IVN57" s="10"/>
      <c r="IVO57" s="10"/>
      <c r="IVP57" s="10"/>
      <c r="IVQ57" s="10"/>
      <c r="IVR57" s="10"/>
      <c r="IVS57" s="10"/>
      <c r="IVT57" s="10"/>
      <c r="IVU57" s="10"/>
      <c r="IVV57" s="10"/>
      <c r="IVW57" s="10"/>
      <c r="IVX57" s="10"/>
      <c r="IVY57" s="10"/>
      <c r="IVZ57" s="10"/>
      <c r="IWA57" s="10"/>
      <c r="IWB57" s="10"/>
      <c r="IWC57" s="10"/>
      <c r="IWD57" s="10"/>
      <c r="IWE57" s="10"/>
      <c r="IWF57" s="10"/>
      <c r="IWG57" s="10"/>
      <c r="IWH57" s="10"/>
      <c r="IWI57" s="10"/>
      <c r="IWJ57" s="10"/>
      <c r="IWK57" s="10"/>
      <c r="IWL57" s="10"/>
      <c r="IWM57" s="10"/>
      <c r="IWN57" s="10"/>
      <c r="IWO57" s="10"/>
      <c r="IWP57" s="10"/>
      <c r="IWQ57" s="10"/>
      <c r="IWR57" s="10"/>
      <c r="IWS57" s="10"/>
      <c r="IWT57" s="10"/>
      <c r="IWU57" s="10"/>
      <c r="IWV57" s="10"/>
      <c r="IWW57" s="10"/>
      <c r="IWX57" s="10"/>
      <c r="IWY57" s="10"/>
      <c r="IWZ57" s="10"/>
      <c r="IXA57" s="10"/>
      <c r="IXB57" s="10"/>
      <c r="IXC57" s="10"/>
      <c r="IXD57" s="10"/>
      <c r="IXE57" s="10"/>
      <c r="IXF57" s="10"/>
      <c r="IXG57" s="10"/>
      <c r="IXH57" s="10"/>
      <c r="IXI57" s="10"/>
      <c r="IXJ57" s="10"/>
      <c r="IXK57" s="10"/>
      <c r="IXL57" s="10"/>
      <c r="IXM57" s="10"/>
      <c r="IXN57" s="10"/>
      <c r="IXO57" s="10"/>
      <c r="IXP57" s="10"/>
      <c r="IXQ57" s="10"/>
      <c r="IXR57" s="10"/>
      <c r="IXS57" s="10"/>
      <c r="IXT57" s="10"/>
      <c r="IXU57" s="10"/>
      <c r="IXV57" s="10"/>
      <c r="IXW57" s="10"/>
      <c r="IXX57" s="10"/>
      <c r="IXY57" s="10"/>
      <c r="IXZ57" s="10"/>
      <c r="IYA57" s="10"/>
      <c r="IYB57" s="10"/>
      <c r="IYC57" s="10"/>
      <c r="IYD57" s="10"/>
      <c r="IYE57" s="10"/>
      <c r="IYF57" s="10"/>
      <c r="IYG57" s="10"/>
      <c r="IYH57" s="10"/>
      <c r="IYI57" s="10"/>
      <c r="IYJ57" s="10"/>
      <c r="IYK57" s="10"/>
      <c r="IYL57" s="10"/>
      <c r="IYM57" s="10"/>
      <c r="IYN57" s="10"/>
      <c r="IYO57" s="10"/>
      <c r="IYP57" s="10"/>
      <c r="IYQ57" s="10"/>
      <c r="IYR57" s="10"/>
      <c r="IYS57" s="10"/>
      <c r="IYT57" s="10"/>
      <c r="IYU57" s="10"/>
      <c r="IYV57" s="10"/>
      <c r="IYW57" s="10"/>
      <c r="IYX57" s="10"/>
      <c r="IYY57" s="10"/>
      <c r="IYZ57" s="10"/>
      <c r="IZA57" s="10"/>
      <c r="IZB57" s="10"/>
      <c r="IZC57" s="10"/>
      <c r="IZD57" s="10"/>
      <c r="IZE57" s="10"/>
      <c r="IZF57" s="10"/>
      <c r="IZG57" s="10"/>
      <c r="IZH57" s="10"/>
      <c r="IZI57" s="10"/>
      <c r="IZJ57" s="10"/>
      <c r="IZK57" s="10"/>
      <c r="IZL57" s="10"/>
      <c r="IZM57" s="10"/>
      <c r="IZN57" s="10"/>
      <c r="IZO57" s="10"/>
      <c r="IZP57" s="10"/>
      <c r="IZQ57" s="10"/>
      <c r="IZR57" s="10"/>
      <c r="IZS57" s="10"/>
      <c r="IZT57" s="10"/>
      <c r="IZU57" s="10"/>
      <c r="IZV57" s="10"/>
      <c r="IZW57" s="10"/>
      <c r="IZX57" s="10"/>
      <c r="IZY57" s="10"/>
      <c r="IZZ57" s="10"/>
      <c r="JAA57" s="10"/>
      <c r="JAB57" s="10"/>
      <c r="JAC57" s="10"/>
      <c r="JAD57" s="10"/>
      <c r="JAE57" s="10"/>
      <c r="JAF57" s="10"/>
      <c r="JAG57" s="10"/>
      <c r="JAH57" s="10"/>
      <c r="JAI57" s="10"/>
      <c r="JAJ57" s="10"/>
      <c r="JAK57" s="10"/>
      <c r="JAL57" s="10"/>
      <c r="JAM57" s="10"/>
      <c r="JAN57" s="10"/>
      <c r="JAO57" s="10"/>
      <c r="JAP57" s="10"/>
      <c r="JAQ57" s="10"/>
      <c r="JAR57" s="10"/>
      <c r="JAS57" s="10"/>
      <c r="JAT57" s="10"/>
      <c r="JAU57" s="10"/>
      <c r="JAV57" s="10"/>
      <c r="JAW57" s="10"/>
      <c r="JAX57" s="10"/>
      <c r="JAY57" s="10"/>
      <c r="JAZ57" s="10"/>
      <c r="JBA57" s="10"/>
      <c r="JBB57" s="10"/>
      <c r="JBC57" s="10"/>
      <c r="JBD57" s="10"/>
      <c r="JBE57" s="10"/>
      <c r="JBF57" s="10"/>
      <c r="JBG57" s="10"/>
      <c r="JBH57" s="10"/>
      <c r="JBI57" s="10"/>
      <c r="JBJ57" s="10"/>
      <c r="JBK57" s="10"/>
      <c r="JBL57" s="10"/>
      <c r="JBM57" s="10"/>
      <c r="JBN57" s="10"/>
      <c r="JBO57" s="10"/>
      <c r="JBP57" s="10"/>
      <c r="JBQ57" s="10"/>
      <c r="JBR57" s="10"/>
      <c r="JBS57" s="10"/>
      <c r="JBT57" s="10"/>
      <c r="JBU57" s="10"/>
      <c r="JBV57" s="10"/>
      <c r="JBW57" s="10"/>
      <c r="JBX57" s="10"/>
      <c r="JBY57" s="10"/>
      <c r="JBZ57" s="10"/>
      <c r="JCA57" s="10"/>
      <c r="JCB57" s="10"/>
      <c r="JCC57" s="10"/>
      <c r="JCD57" s="10"/>
      <c r="JCE57" s="10"/>
      <c r="JCF57" s="10"/>
      <c r="JCG57" s="10"/>
      <c r="JCH57" s="10"/>
      <c r="JCI57" s="10"/>
      <c r="JCJ57" s="10"/>
      <c r="JCK57" s="10"/>
      <c r="JCL57" s="10"/>
      <c r="JCM57" s="10"/>
      <c r="JCN57" s="10"/>
      <c r="JCO57" s="10"/>
      <c r="JCP57" s="10"/>
      <c r="JCQ57" s="10"/>
      <c r="JCR57" s="10"/>
      <c r="JCS57" s="10"/>
      <c r="JCT57" s="10"/>
      <c r="JCU57" s="10"/>
      <c r="JCV57" s="10"/>
      <c r="JCW57" s="10"/>
      <c r="JCX57" s="10"/>
      <c r="JCY57" s="10"/>
      <c r="JCZ57" s="10"/>
      <c r="JDA57" s="10"/>
      <c r="JDB57" s="10"/>
      <c r="JDC57" s="10"/>
      <c r="JDD57" s="10"/>
      <c r="JDE57" s="10"/>
      <c r="JDF57" s="10"/>
      <c r="JDG57" s="10"/>
      <c r="JDH57" s="10"/>
      <c r="JDI57" s="10"/>
      <c r="JDJ57" s="10"/>
      <c r="JDK57" s="10"/>
      <c r="JDL57" s="10"/>
      <c r="JDM57" s="10"/>
      <c r="JDN57" s="10"/>
      <c r="JDO57" s="10"/>
      <c r="JDP57" s="10"/>
      <c r="JDQ57" s="10"/>
      <c r="JDR57" s="10"/>
      <c r="JDS57" s="10"/>
      <c r="JDT57" s="10"/>
      <c r="JDU57" s="10"/>
      <c r="JDV57" s="10"/>
      <c r="JDW57" s="10"/>
      <c r="JDX57" s="10"/>
      <c r="JDY57" s="10"/>
      <c r="JDZ57" s="10"/>
      <c r="JEA57" s="10"/>
      <c r="JEB57" s="10"/>
      <c r="JEC57" s="10"/>
      <c r="JED57" s="10"/>
      <c r="JEE57" s="10"/>
      <c r="JEF57" s="10"/>
      <c r="JEG57" s="10"/>
      <c r="JEH57" s="10"/>
      <c r="JEI57" s="10"/>
      <c r="JEJ57" s="10"/>
      <c r="JEK57" s="10"/>
      <c r="JEL57" s="10"/>
      <c r="JEM57" s="10"/>
      <c r="JEN57" s="10"/>
      <c r="JEO57" s="10"/>
      <c r="JEP57" s="10"/>
      <c r="JEQ57" s="10"/>
      <c r="JER57" s="10"/>
      <c r="JES57" s="10"/>
      <c r="JET57" s="10"/>
      <c r="JEU57" s="10"/>
      <c r="JEV57" s="10"/>
      <c r="JEW57" s="10"/>
      <c r="JEX57" s="10"/>
      <c r="JEY57" s="10"/>
      <c r="JEZ57" s="10"/>
      <c r="JFA57" s="10"/>
      <c r="JFB57" s="10"/>
      <c r="JFC57" s="10"/>
      <c r="JFD57" s="10"/>
      <c r="JFE57" s="10"/>
      <c r="JFF57" s="10"/>
      <c r="JFG57" s="10"/>
      <c r="JFH57" s="10"/>
      <c r="JFI57" s="10"/>
      <c r="JFJ57" s="10"/>
      <c r="JFK57" s="10"/>
      <c r="JFL57" s="10"/>
      <c r="JFM57" s="10"/>
      <c r="JFN57" s="10"/>
      <c r="JFO57" s="10"/>
      <c r="JFP57" s="10"/>
      <c r="JFQ57" s="10"/>
      <c r="JFR57" s="10"/>
      <c r="JFS57" s="10"/>
      <c r="JFT57" s="10"/>
      <c r="JFU57" s="10"/>
      <c r="JFV57" s="10"/>
      <c r="JFW57" s="10"/>
      <c r="JFX57" s="10"/>
      <c r="JFY57" s="10"/>
      <c r="JFZ57" s="10"/>
      <c r="JGA57" s="10"/>
      <c r="JGB57" s="10"/>
      <c r="JGC57" s="10"/>
      <c r="JGD57" s="10"/>
      <c r="JGE57" s="10"/>
      <c r="JGF57" s="10"/>
      <c r="JGG57" s="10"/>
      <c r="JGH57" s="10"/>
      <c r="JGI57" s="10"/>
      <c r="JGJ57" s="10"/>
      <c r="JGK57" s="10"/>
      <c r="JGL57" s="10"/>
      <c r="JGM57" s="10"/>
      <c r="JGN57" s="10"/>
      <c r="JGO57" s="10"/>
      <c r="JGP57" s="10"/>
      <c r="JGQ57" s="10"/>
      <c r="JGR57" s="10"/>
      <c r="JGS57" s="10"/>
      <c r="JGT57" s="10"/>
      <c r="JGU57" s="10"/>
      <c r="JGV57" s="10"/>
      <c r="JGW57" s="10"/>
      <c r="JGX57" s="10"/>
      <c r="JGY57" s="10"/>
      <c r="JGZ57" s="10"/>
      <c r="JHA57" s="10"/>
      <c r="JHB57" s="10"/>
      <c r="JHC57" s="10"/>
      <c r="JHD57" s="10"/>
      <c r="JHE57" s="10"/>
      <c r="JHF57" s="10"/>
      <c r="JHG57" s="10"/>
      <c r="JHH57" s="10"/>
      <c r="JHI57" s="10"/>
      <c r="JHJ57" s="10"/>
      <c r="JHK57" s="10"/>
      <c r="JHL57" s="10"/>
      <c r="JHM57" s="10"/>
      <c r="JHN57" s="10"/>
      <c r="JHO57" s="10"/>
      <c r="JHP57" s="10"/>
      <c r="JHQ57" s="10"/>
      <c r="JHR57" s="10"/>
      <c r="JHS57" s="10"/>
      <c r="JHT57" s="10"/>
      <c r="JHU57" s="10"/>
      <c r="JHV57" s="10"/>
      <c r="JHW57" s="10"/>
      <c r="JHX57" s="10"/>
      <c r="JHY57" s="10"/>
      <c r="JHZ57" s="10"/>
      <c r="JIA57" s="10"/>
      <c r="JIB57" s="10"/>
      <c r="JIC57" s="10"/>
      <c r="JID57" s="10"/>
      <c r="JIE57" s="10"/>
      <c r="JIF57" s="10"/>
      <c r="JIG57" s="10"/>
      <c r="JIH57" s="10"/>
      <c r="JII57" s="10"/>
      <c r="JIJ57" s="10"/>
      <c r="JIK57" s="10"/>
      <c r="JIL57" s="10"/>
      <c r="JIM57" s="10"/>
      <c r="JIN57" s="10"/>
      <c r="JIO57" s="10"/>
      <c r="JIP57" s="10"/>
      <c r="JIQ57" s="10"/>
      <c r="JIR57" s="10"/>
      <c r="JIS57" s="10"/>
      <c r="JIT57" s="10"/>
      <c r="JIU57" s="10"/>
      <c r="JIV57" s="10"/>
      <c r="JIW57" s="10"/>
      <c r="JIX57" s="10"/>
      <c r="JIY57" s="10"/>
      <c r="JIZ57" s="10"/>
      <c r="JJA57" s="10"/>
      <c r="JJB57" s="10"/>
      <c r="JJC57" s="10"/>
      <c r="JJD57" s="10"/>
      <c r="JJE57" s="10"/>
      <c r="JJF57" s="10"/>
      <c r="JJG57" s="10"/>
      <c r="JJH57" s="10"/>
      <c r="JJI57" s="10"/>
      <c r="JJJ57" s="10"/>
      <c r="JJK57" s="10"/>
      <c r="JJL57" s="10"/>
      <c r="JJM57" s="10"/>
      <c r="JJN57" s="10"/>
      <c r="JJO57" s="10"/>
      <c r="JJP57" s="10"/>
      <c r="JJQ57" s="10"/>
      <c r="JJR57" s="10"/>
      <c r="JJS57" s="10"/>
      <c r="JJT57" s="10"/>
      <c r="JJU57" s="10"/>
      <c r="JJV57" s="10"/>
      <c r="JJW57" s="10"/>
      <c r="JJX57" s="10"/>
      <c r="JJY57" s="10"/>
      <c r="JJZ57" s="10"/>
      <c r="JKA57" s="10"/>
      <c r="JKB57" s="10"/>
      <c r="JKC57" s="10"/>
      <c r="JKD57" s="10"/>
      <c r="JKE57" s="10"/>
      <c r="JKF57" s="10"/>
      <c r="JKG57" s="10"/>
      <c r="JKH57" s="10"/>
      <c r="JKI57" s="10"/>
      <c r="JKJ57" s="10"/>
      <c r="JKK57" s="10"/>
      <c r="JKL57" s="10"/>
      <c r="JKM57" s="10"/>
      <c r="JKN57" s="10"/>
      <c r="JKO57" s="10"/>
      <c r="JKP57" s="10"/>
      <c r="JKQ57" s="10"/>
      <c r="JKR57" s="10"/>
      <c r="JKS57" s="10"/>
      <c r="JKT57" s="10"/>
      <c r="JKU57" s="10"/>
      <c r="JKV57" s="10"/>
      <c r="JKW57" s="10"/>
      <c r="JKX57" s="10"/>
      <c r="JKY57" s="10"/>
      <c r="JKZ57" s="10"/>
      <c r="JLA57" s="10"/>
      <c r="JLB57" s="10"/>
      <c r="JLC57" s="10"/>
      <c r="JLD57" s="10"/>
      <c r="JLE57" s="10"/>
      <c r="JLF57" s="10"/>
      <c r="JLG57" s="10"/>
      <c r="JLH57" s="10"/>
      <c r="JLI57" s="10"/>
      <c r="JLJ57" s="10"/>
      <c r="JLK57" s="10"/>
      <c r="JLL57" s="10"/>
      <c r="JLM57" s="10"/>
      <c r="JLN57" s="10"/>
      <c r="JLO57" s="10"/>
      <c r="JLP57" s="10"/>
      <c r="JLQ57" s="10"/>
      <c r="JLR57" s="10"/>
      <c r="JLS57" s="10"/>
      <c r="JLT57" s="10"/>
      <c r="JLU57" s="10"/>
      <c r="JLV57" s="10"/>
      <c r="JLW57" s="10"/>
      <c r="JLX57" s="10"/>
      <c r="JLY57" s="10"/>
      <c r="JLZ57" s="10"/>
      <c r="JMA57" s="10"/>
      <c r="JMB57" s="10"/>
      <c r="JMC57" s="10"/>
      <c r="JMD57" s="10"/>
      <c r="JME57" s="10"/>
      <c r="JMF57" s="10"/>
      <c r="JMG57" s="10"/>
      <c r="JMH57" s="10"/>
      <c r="JMI57" s="10"/>
      <c r="JMJ57" s="10"/>
      <c r="JMK57" s="10"/>
      <c r="JML57" s="10"/>
      <c r="JMM57" s="10"/>
      <c r="JMN57" s="10"/>
      <c r="JMO57" s="10"/>
      <c r="JMP57" s="10"/>
      <c r="JMQ57" s="10"/>
      <c r="JMR57" s="10"/>
      <c r="JMS57" s="10"/>
      <c r="JMT57" s="10"/>
      <c r="JMU57" s="10"/>
      <c r="JMV57" s="10"/>
      <c r="JMW57" s="10"/>
      <c r="JMX57" s="10"/>
      <c r="JMY57" s="10"/>
      <c r="JMZ57" s="10"/>
      <c r="JNA57" s="10"/>
      <c r="JNB57" s="10"/>
      <c r="JNC57" s="10"/>
      <c r="JND57" s="10"/>
      <c r="JNE57" s="10"/>
      <c r="JNF57" s="10"/>
      <c r="JNG57" s="10"/>
      <c r="JNH57" s="10"/>
      <c r="JNI57" s="10"/>
      <c r="JNJ57" s="10"/>
      <c r="JNK57" s="10"/>
      <c r="JNL57" s="10"/>
      <c r="JNM57" s="10"/>
      <c r="JNN57" s="10"/>
      <c r="JNO57" s="10"/>
      <c r="JNP57" s="10"/>
      <c r="JNQ57" s="10"/>
      <c r="JNR57" s="10"/>
      <c r="JNS57" s="10"/>
      <c r="JNT57" s="10"/>
      <c r="JNU57" s="10"/>
      <c r="JNV57" s="10"/>
      <c r="JNW57" s="10"/>
      <c r="JNX57" s="10"/>
      <c r="JNY57" s="10"/>
      <c r="JNZ57" s="10"/>
      <c r="JOA57" s="10"/>
      <c r="JOB57" s="10"/>
      <c r="JOC57" s="10"/>
      <c r="JOD57" s="10"/>
      <c r="JOE57" s="10"/>
      <c r="JOF57" s="10"/>
      <c r="JOG57" s="10"/>
      <c r="JOH57" s="10"/>
      <c r="JOI57" s="10"/>
      <c r="JOJ57" s="10"/>
      <c r="JOK57" s="10"/>
      <c r="JOL57" s="10"/>
      <c r="JOM57" s="10"/>
      <c r="JON57" s="10"/>
      <c r="JOO57" s="10"/>
      <c r="JOP57" s="10"/>
      <c r="JOQ57" s="10"/>
      <c r="JOR57" s="10"/>
      <c r="JOS57" s="10"/>
      <c r="JOT57" s="10"/>
      <c r="JOU57" s="10"/>
      <c r="JOV57" s="10"/>
      <c r="JOW57" s="10"/>
      <c r="JOX57" s="10"/>
      <c r="JOY57" s="10"/>
      <c r="JOZ57" s="10"/>
      <c r="JPA57" s="10"/>
      <c r="JPB57" s="10"/>
      <c r="JPC57" s="10"/>
      <c r="JPD57" s="10"/>
      <c r="JPE57" s="10"/>
      <c r="JPF57" s="10"/>
      <c r="JPG57" s="10"/>
      <c r="JPH57" s="10"/>
      <c r="JPI57" s="10"/>
      <c r="JPJ57" s="10"/>
      <c r="JPK57" s="10"/>
      <c r="JPL57" s="10"/>
      <c r="JPM57" s="10"/>
      <c r="JPN57" s="10"/>
      <c r="JPO57" s="10"/>
      <c r="JPP57" s="10"/>
      <c r="JPQ57" s="10"/>
      <c r="JPR57" s="10"/>
      <c r="JPS57" s="10"/>
      <c r="JPT57" s="10"/>
      <c r="JPU57" s="10"/>
      <c r="JPV57" s="10"/>
      <c r="JPW57" s="10"/>
      <c r="JPX57" s="10"/>
      <c r="JPY57" s="10"/>
      <c r="JPZ57" s="10"/>
      <c r="JQA57" s="10"/>
      <c r="JQB57" s="10"/>
      <c r="JQC57" s="10"/>
      <c r="JQD57" s="10"/>
      <c r="JQE57" s="10"/>
      <c r="JQF57" s="10"/>
      <c r="JQG57" s="10"/>
      <c r="JQH57" s="10"/>
      <c r="JQI57" s="10"/>
      <c r="JQJ57" s="10"/>
      <c r="JQK57" s="10"/>
      <c r="JQL57" s="10"/>
      <c r="JQM57" s="10"/>
      <c r="JQN57" s="10"/>
      <c r="JQO57" s="10"/>
      <c r="JQP57" s="10"/>
      <c r="JQQ57" s="10"/>
      <c r="JQR57" s="10"/>
      <c r="JQS57" s="10"/>
      <c r="JQT57" s="10"/>
      <c r="JQU57" s="10"/>
      <c r="JQV57" s="10"/>
      <c r="JQW57" s="10"/>
      <c r="JQX57" s="10"/>
      <c r="JQY57" s="10"/>
      <c r="JQZ57" s="10"/>
      <c r="JRA57" s="10"/>
      <c r="JRB57" s="10"/>
      <c r="JRC57" s="10"/>
      <c r="JRD57" s="10"/>
      <c r="JRE57" s="10"/>
      <c r="JRF57" s="10"/>
      <c r="JRG57" s="10"/>
      <c r="JRH57" s="10"/>
      <c r="JRI57" s="10"/>
      <c r="JRJ57" s="10"/>
      <c r="JRK57" s="10"/>
      <c r="JRL57" s="10"/>
      <c r="JRM57" s="10"/>
      <c r="JRN57" s="10"/>
      <c r="JRO57" s="10"/>
      <c r="JRP57" s="10"/>
      <c r="JRQ57" s="10"/>
      <c r="JRR57" s="10"/>
      <c r="JRS57" s="10"/>
      <c r="JRT57" s="10"/>
      <c r="JRU57" s="10"/>
      <c r="JRV57" s="10"/>
      <c r="JRW57" s="10"/>
      <c r="JRX57" s="10"/>
      <c r="JRY57" s="10"/>
      <c r="JRZ57" s="10"/>
      <c r="JSA57" s="10"/>
      <c r="JSB57" s="10"/>
      <c r="JSC57" s="10"/>
      <c r="JSD57" s="10"/>
      <c r="JSE57" s="10"/>
      <c r="JSF57" s="10"/>
      <c r="JSG57" s="10"/>
      <c r="JSH57" s="10"/>
      <c r="JSI57" s="10"/>
      <c r="JSJ57" s="10"/>
      <c r="JSK57" s="10"/>
      <c r="JSL57" s="10"/>
      <c r="JSM57" s="10"/>
      <c r="JSN57" s="10"/>
      <c r="JSO57" s="10"/>
      <c r="JSP57" s="10"/>
      <c r="JSQ57" s="10"/>
      <c r="JSR57" s="10"/>
      <c r="JSS57" s="10"/>
      <c r="JST57" s="10"/>
      <c r="JSU57" s="10"/>
      <c r="JSV57" s="10"/>
      <c r="JSW57" s="10"/>
      <c r="JSX57" s="10"/>
      <c r="JSY57" s="10"/>
      <c r="JSZ57" s="10"/>
      <c r="JTA57" s="10"/>
      <c r="JTB57" s="10"/>
      <c r="JTC57" s="10"/>
      <c r="JTD57" s="10"/>
      <c r="JTE57" s="10"/>
      <c r="JTF57" s="10"/>
      <c r="JTG57" s="10"/>
      <c r="JTH57" s="10"/>
      <c r="JTI57" s="10"/>
      <c r="JTJ57" s="10"/>
      <c r="JTK57" s="10"/>
      <c r="JTL57" s="10"/>
      <c r="JTM57" s="10"/>
      <c r="JTN57" s="10"/>
      <c r="JTO57" s="10"/>
      <c r="JTP57" s="10"/>
      <c r="JTQ57" s="10"/>
      <c r="JTR57" s="10"/>
      <c r="JTS57" s="10"/>
      <c r="JTT57" s="10"/>
      <c r="JTU57" s="10"/>
      <c r="JTV57" s="10"/>
      <c r="JTW57" s="10"/>
      <c r="JTX57" s="10"/>
      <c r="JTY57" s="10"/>
      <c r="JTZ57" s="10"/>
      <c r="JUA57" s="10"/>
      <c r="JUB57" s="10"/>
      <c r="JUC57" s="10"/>
      <c r="JUD57" s="10"/>
      <c r="JUE57" s="10"/>
      <c r="JUF57" s="10"/>
      <c r="JUG57" s="10"/>
      <c r="JUH57" s="10"/>
      <c r="JUI57" s="10"/>
      <c r="JUJ57" s="10"/>
      <c r="JUK57" s="10"/>
      <c r="JUL57" s="10"/>
      <c r="JUM57" s="10"/>
      <c r="JUN57" s="10"/>
      <c r="JUO57" s="10"/>
      <c r="JUP57" s="10"/>
      <c r="JUQ57" s="10"/>
      <c r="JUR57" s="10"/>
      <c r="JUS57" s="10"/>
      <c r="JUT57" s="10"/>
      <c r="JUU57" s="10"/>
      <c r="JUV57" s="10"/>
      <c r="JUW57" s="10"/>
      <c r="JUX57" s="10"/>
      <c r="JUY57" s="10"/>
      <c r="JUZ57" s="10"/>
      <c r="JVA57" s="10"/>
      <c r="JVB57" s="10"/>
      <c r="JVC57" s="10"/>
      <c r="JVD57" s="10"/>
      <c r="JVE57" s="10"/>
      <c r="JVF57" s="10"/>
      <c r="JVG57" s="10"/>
      <c r="JVH57" s="10"/>
      <c r="JVI57" s="10"/>
      <c r="JVJ57" s="10"/>
      <c r="JVK57" s="10"/>
      <c r="JVL57" s="10"/>
      <c r="JVM57" s="10"/>
      <c r="JVN57" s="10"/>
      <c r="JVO57" s="10"/>
      <c r="JVP57" s="10"/>
      <c r="JVQ57" s="10"/>
      <c r="JVR57" s="10"/>
      <c r="JVS57" s="10"/>
      <c r="JVT57" s="10"/>
      <c r="JVU57" s="10"/>
      <c r="JVV57" s="10"/>
      <c r="JVW57" s="10"/>
      <c r="JVX57" s="10"/>
      <c r="JVY57" s="10"/>
      <c r="JVZ57" s="10"/>
      <c r="JWA57" s="10"/>
      <c r="JWB57" s="10"/>
      <c r="JWC57" s="10"/>
      <c r="JWD57" s="10"/>
      <c r="JWE57" s="10"/>
      <c r="JWF57" s="10"/>
      <c r="JWG57" s="10"/>
      <c r="JWH57" s="10"/>
      <c r="JWI57" s="10"/>
      <c r="JWJ57" s="10"/>
      <c r="JWK57" s="10"/>
      <c r="JWL57" s="10"/>
      <c r="JWM57" s="10"/>
      <c r="JWN57" s="10"/>
      <c r="JWO57" s="10"/>
      <c r="JWP57" s="10"/>
      <c r="JWQ57" s="10"/>
      <c r="JWR57" s="10"/>
      <c r="JWS57" s="10"/>
      <c r="JWT57" s="10"/>
      <c r="JWU57" s="10"/>
      <c r="JWV57" s="10"/>
      <c r="JWW57" s="10"/>
      <c r="JWX57" s="10"/>
      <c r="JWY57" s="10"/>
      <c r="JWZ57" s="10"/>
      <c r="JXA57" s="10"/>
      <c r="JXB57" s="10"/>
      <c r="JXC57" s="10"/>
      <c r="JXD57" s="10"/>
      <c r="JXE57" s="10"/>
      <c r="JXF57" s="10"/>
      <c r="JXG57" s="10"/>
      <c r="JXH57" s="10"/>
      <c r="JXI57" s="10"/>
      <c r="JXJ57" s="10"/>
      <c r="JXK57" s="10"/>
      <c r="JXL57" s="10"/>
      <c r="JXM57" s="10"/>
      <c r="JXN57" s="10"/>
      <c r="JXO57" s="10"/>
      <c r="JXP57" s="10"/>
      <c r="JXQ57" s="10"/>
      <c r="JXR57" s="10"/>
      <c r="JXS57" s="10"/>
      <c r="JXT57" s="10"/>
      <c r="JXU57" s="10"/>
      <c r="JXV57" s="10"/>
      <c r="JXW57" s="10"/>
      <c r="JXX57" s="10"/>
      <c r="JXY57" s="10"/>
      <c r="JXZ57" s="10"/>
      <c r="JYA57" s="10"/>
      <c r="JYB57" s="10"/>
      <c r="JYC57" s="10"/>
      <c r="JYD57" s="10"/>
      <c r="JYE57" s="10"/>
      <c r="JYF57" s="10"/>
      <c r="JYG57" s="10"/>
      <c r="JYH57" s="10"/>
      <c r="JYI57" s="10"/>
      <c r="JYJ57" s="10"/>
      <c r="JYK57" s="10"/>
      <c r="JYL57" s="10"/>
      <c r="JYM57" s="10"/>
      <c r="JYN57" s="10"/>
      <c r="JYO57" s="10"/>
      <c r="JYP57" s="10"/>
      <c r="JYQ57" s="10"/>
      <c r="JYR57" s="10"/>
      <c r="JYS57" s="10"/>
      <c r="JYT57" s="10"/>
      <c r="JYU57" s="10"/>
      <c r="JYV57" s="10"/>
      <c r="JYW57" s="10"/>
      <c r="JYX57" s="10"/>
      <c r="JYY57" s="10"/>
      <c r="JYZ57" s="10"/>
      <c r="JZA57" s="10"/>
      <c r="JZB57" s="10"/>
      <c r="JZC57" s="10"/>
      <c r="JZD57" s="10"/>
      <c r="JZE57" s="10"/>
      <c r="JZF57" s="10"/>
      <c r="JZG57" s="10"/>
      <c r="JZH57" s="10"/>
      <c r="JZI57" s="10"/>
      <c r="JZJ57" s="10"/>
      <c r="JZK57" s="10"/>
      <c r="JZL57" s="10"/>
      <c r="JZM57" s="10"/>
      <c r="JZN57" s="10"/>
      <c r="JZO57" s="10"/>
      <c r="JZP57" s="10"/>
      <c r="JZQ57" s="10"/>
      <c r="JZR57" s="10"/>
      <c r="JZS57" s="10"/>
      <c r="JZT57" s="10"/>
      <c r="JZU57" s="10"/>
      <c r="JZV57" s="10"/>
      <c r="JZW57" s="10"/>
      <c r="JZX57" s="10"/>
      <c r="JZY57" s="10"/>
      <c r="JZZ57" s="10"/>
      <c r="KAA57" s="10"/>
      <c r="KAB57" s="10"/>
      <c r="KAC57" s="10"/>
      <c r="KAD57" s="10"/>
      <c r="KAE57" s="10"/>
      <c r="KAF57" s="10"/>
      <c r="KAG57" s="10"/>
      <c r="KAH57" s="10"/>
      <c r="KAI57" s="10"/>
      <c r="KAJ57" s="10"/>
      <c r="KAK57" s="10"/>
      <c r="KAL57" s="10"/>
      <c r="KAM57" s="10"/>
      <c r="KAN57" s="10"/>
      <c r="KAO57" s="10"/>
      <c r="KAP57" s="10"/>
      <c r="KAQ57" s="10"/>
      <c r="KAR57" s="10"/>
      <c r="KAS57" s="10"/>
      <c r="KAT57" s="10"/>
      <c r="KAU57" s="10"/>
      <c r="KAV57" s="10"/>
      <c r="KAW57" s="10"/>
      <c r="KAX57" s="10"/>
      <c r="KAY57" s="10"/>
      <c r="KAZ57" s="10"/>
      <c r="KBA57" s="10"/>
      <c r="KBB57" s="10"/>
      <c r="KBC57" s="10"/>
      <c r="KBD57" s="10"/>
      <c r="KBE57" s="10"/>
      <c r="KBF57" s="10"/>
      <c r="KBG57" s="10"/>
      <c r="KBH57" s="10"/>
      <c r="KBI57" s="10"/>
      <c r="KBJ57" s="10"/>
      <c r="KBK57" s="10"/>
      <c r="KBL57" s="10"/>
      <c r="KBM57" s="10"/>
      <c r="KBN57" s="10"/>
      <c r="KBO57" s="10"/>
      <c r="KBP57" s="10"/>
      <c r="KBQ57" s="10"/>
      <c r="KBR57" s="10"/>
      <c r="KBS57" s="10"/>
      <c r="KBT57" s="10"/>
      <c r="KBU57" s="10"/>
      <c r="KBV57" s="10"/>
      <c r="KBW57" s="10"/>
      <c r="KBX57" s="10"/>
      <c r="KBY57" s="10"/>
      <c r="KBZ57" s="10"/>
      <c r="KCA57" s="10"/>
      <c r="KCB57" s="10"/>
      <c r="KCC57" s="10"/>
      <c r="KCD57" s="10"/>
      <c r="KCE57" s="10"/>
      <c r="KCF57" s="10"/>
      <c r="KCG57" s="10"/>
      <c r="KCH57" s="10"/>
      <c r="KCI57" s="10"/>
      <c r="KCJ57" s="10"/>
      <c r="KCK57" s="10"/>
      <c r="KCL57" s="10"/>
      <c r="KCM57" s="10"/>
      <c r="KCN57" s="10"/>
      <c r="KCO57" s="10"/>
      <c r="KCP57" s="10"/>
      <c r="KCQ57" s="10"/>
      <c r="KCR57" s="10"/>
      <c r="KCS57" s="10"/>
      <c r="KCT57" s="10"/>
      <c r="KCU57" s="10"/>
      <c r="KCV57" s="10"/>
      <c r="KCW57" s="10"/>
      <c r="KCX57" s="10"/>
      <c r="KCY57" s="10"/>
      <c r="KCZ57" s="10"/>
      <c r="KDA57" s="10"/>
      <c r="KDB57" s="10"/>
      <c r="KDC57" s="10"/>
      <c r="KDD57" s="10"/>
      <c r="KDE57" s="10"/>
      <c r="KDF57" s="10"/>
      <c r="KDG57" s="10"/>
      <c r="KDH57" s="10"/>
      <c r="KDI57" s="10"/>
      <c r="KDJ57" s="10"/>
      <c r="KDK57" s="10"/>
      <c r="KDL57" s="10"/>
      <c r="KDM57" s="10"/>
      <c r="KDN57" s="10"/>
      <c r="KDO57" s="10"/>
      <c r="KDP57" s="10"/>
      <c r="KDQ57" s="10"/>
      <c r="KDR57" s="10"/>
      <c r="KDS57" s="10"/>
      <c r="KDT57" s="10"/>
      <c r="KDU57" s="10"/>
      <c r="KDV57" s="10"/>
      <c r="KDW57" s="10"/>
      <c r="KDX57" s="10"/>
      <c r="KDY57" s="10"/>
      <c r="KDZ57" s="10"/>
      <c r="KEA57" s="10"/>
      <c r="KEB57" s="10"/>
      <c r="KEC57" s="10"/>
      <c r="KED57" s="10"/>
      <c r="KEE57" s="10"/>
      <c r="KEF57" s="10"/>
      <c r="KEG57" s="10"/>
      <c r="KEH57" s="10"/>
      <c r="KEI57" s="10"/>
      <c r="KEJ57" s="10"/>
      <c r="KEK57" s="10"/>
      <c r="KEL57" s="10"/>
      <c r="KEM57" s="10"/>
      <c r="KEN57" s="10"/>
      <c r="KEO57" s="10"/>
      <c r="KEP57" s="10"/>
      <c r="KEQ57" s="10"/>
      <c r="KER57" s="10"/>
      <c r="KES57" s="10"/>
      <c r="KET57" s="10"/>
      <c r="KEU57" s="10"/>
      <c r="KEV57" s="10"/>
      <c r="KEW57" s="10"/>
      <c r="KEX57" s="10"/>
      <c r="KEY57" s="10"/>
      <c r="KEZ57" s="10"/>
      <c r="KFA57" s="10"/>
      <c r="KFB57" s="10"/>
      <c r="KFC57" s="10"/>
      <c r="KFD57" s="10"/>
      <c r="KFE57" s="10"/>
      <c r="KFF57" s="10"/>
      <c r="KFG57" s="10"/>
      <c r="KFH57" s="10"/>
      <c r="KFI57" s="10"/>
      <c r="KFJ57" s="10"/>
      <c r="KFK57" s="10"/>
      <c r="KFL57" s="10"/>
      <c r="KFM57" s="10"/>
      <c r="KFN57" s="10"/>
      <c r="KFO57" s="10"/>
      <c r="KFP57" s="10"/>
      <c r="KFQ57" s="10"/>
      <c r="KFR57" s="10"/>
      <c r="KFS57" s="10"/>
      <c r="KFT57" s="10"/>
      <c r="KFU57" s="10"/>
      <c r="KFV57" s="10"/>
      <c r="KFW57" s="10"/>
      <c r="KFX57" s="10"/>
      <c r="KFY57" s="10"/>
      <c r="KFZ57" s="10"/>
      <c r="KGA57" s="10"/>
      <c r="KGB57" s="10"/>
      <c r="KGC57" s="10"/>
      <c r="KGD57" s="10"/>
      <c r="KGE57" s="10"/>
      <c r="KGF57" s="10"/>
      <c r="KGG57" s="10"/>
      <c r="KGH57" s="10"/>
      <c r="KGI57" s="10"/>
      <c r="KGJ57" s="10"/>
      <c r="KGK57" s="10"/>
      <c r="KGL57" s="10"/>
      <c r="KGM57" s="10"/>
      <c r="KGN57" s="10"/>
      <c r="KGO57" s="10"/>
      <c r="KGP57" s="10"/>
      <c r="KGQ57" s="10"/>
      <c r="KGR57" s="10"/>
      <c r="KGS57" s="10"/>
      <c r="KGT57" s="10"/>
      <c r="KGU57" s="10"/>
      <c r="KGV57" s="10"/>
      <c r="KGW57" s="10"/>
      <c r="KGX57" s="10"/>
      <c r="KGY57" s="10"/>
      <c r="KGZ57" s="10"/>
      <c r="KHA57" s="10"/>
      <c r="KHB57" s="10"/>
      <c r="KHC57" s="10"/>
      <c r="KHD57" s="10"/>
      <c r="KHE57" s="10"/>
      <c r="KHF57" s="10"/>
      <c r="KHG57" s="10"/>
      <c r="KHH57" s="10"/>
      <c r="KHI57" s="10"/>
      <c r="KHJ57" s="10"/>
      <c r="KHK57" s="10"/>
      <c r="KHL57" s="10"/>
      <c r="KHM57" s="10"/>
      <c r="KHN57" s="10"/>
      <c r="KHO57" s="10"/>
      <c r="KHP57" s="10"/>
      <c r="KHQ57" s="10"/>
      <c r="KHR57" s="10"/>
      <c r="KHS57" s="10"/>
      <c r="KHT57" s="10"/>
      <c r="KHU57" s="10"/>
      <c r="KHV57" s="10"/>
      <c r="KHW57" s="10"/>
      <c r="KHX57" s="10"/>
      <c r="KHY57" s="10"/>
      <c r="KHZ57" s="10"/>
      <c r="KIA57" s="10"/>
      <c r="KIB57" s="10"/>
      <c r="KIC57" s="10"/>
      <c r="KID57" s="10"/>
      <c r="KIE57" s="10"/>
      <c r="KIF57" s="10"/>
      <c r="KIG57" s="10"/>
      <c r="KIH57" s="10"/>
      <c r="KII57" s="10"/>
      <c r="KIJ57" s="10"/>
      <c r="KIK57" s="10"/>
      <c r="KIL57" s="10"/>
      <c r="KIM57" s="10"/>
      <c r="KIN57" s="10"/>
      <c r="KIO57" s="10"/>
      <c r="KIP57" s="10"/>
      <c r="KIQ57" s="10"/>
      <c r="KIR57" s="10"/>
      <c r="KIS57" s="10"/>
      <c r="KIT57" s="10"/>
      <c r="KIU57" s="10"/>
      <c r="KIV57" s="10"/>
      <c r="KIW57" s="10"/>
      <c r="KIX57" s="10"/>
      <c r="KIY57" s="10"/>
      <c r="KIZ57" s="10"/>
      <c r="KJA57" s="10"/>
      <c r="KJB57" s="10"/>
      <c r="KJC57" s="10"/>
      <c r="KJD57" s="10"/>
      <c r="KJE57" s="10"/>
      <c r="KJF57" s="10"/>
      <c r="KJG57" s="10"/>
      <c r="KJH57" s="10"/>
      <c r="KJI57" s="10"/>
      <c r="KJJ57" s="10"/>
      <c r="KJK57" s="10"/>
      <c r="KJL57" s="10"/>
      <c r="KJM57" s="10"/>
      <c r="KJN57" s="10"/>
      <c r="KJO57" s="10"/>
      <c r="KJP57" s="10"/>
      <c r="KJQ57" s="10"/>
      <c r="KJR57" s="10"/>
      <c r="KJS57" s="10"/>
      <c r="KJT57" s="10"/>
      <c r="KJU57" s="10"/>
      <c r="KJV57" s="10"/>
      <c r="KJW57" s="10"/>
      <c r="KJX57" s="10"/>
      <c r="KJY57" s="10"/>
      <c r="KJZ57" s="10"/>
      <c r="KKA57" s="10"/>
      <c r="KKB57" s="10"/>
      <c r="KKC57" s="10"/>
      <c r="KKD57" s="10"/>
      <c r="KKE57" s="10"/>
      <c r="KKF57" s="10"/>
      <c r="KKG57" s="10"/>
      <c r="KKH57" s="10"/>
      <c r="KKI57" s="10"/>
      <c r="KKJ57" s="10"/>
      <c r="KKK57" s="10"/>
      <c r="KKL57" s="10"/>
      <c r="KKM57" s="10"/>
      <c r="KKN57" s="10"/>
      <c r="KKO57" s="10"/>
      <c r="KKP57" s="10"/>
      <c r="KKQ57" s="10"/>
      <c r="KKR57" s="10"/>
      <c r="KKS57" s="10"/>
      <c r="KKT57" s="10"/>
      <c r="KKU57" s="10"/>
      <c r="KKV57" s="10"/>
      <c r="KKW57" s="10"/>
      <c r="KKX57" s="10"/>
      <c r="KKY57" s="10"/>
      <c r="KKZ57" s="10"/>
      <c r="KLA57" s="10"/>
      <c r="KLB57" s="10"/>
      <c r="KLC57" s="10"/>
      <c r="KLD57" s="10"/>
      <c r="KLE57" s="10"/>
      <c r="KLF57" s="10"/>
      <c r="KLG57" s="10"/>
      <c r="KLH57" s="10"/>
      <c r="KLI57" s="10"/>
      <c r="KLJ57" s="10"/>
      <c r="KLK57" s="10"/>
      <c r="KLL57" s="10"/>
      <c r="KLM57" s="10"/>
      <c r="KLN57" s="10"/>
      <c r="KLO57" s="10"/>
      <c r="KLP57" s="10"/>
      <c r="KLQ57" s="10"/>
      <c r="KLR57" s="10"/>
      <c r="KLS57" s="10"/>
      <c r="KLT57" s="10"/>
      <c r="KLU57" s="10"/>
      <c r="KLV57" s="10"/>
      <c r="KLW57" s="10"/>
      <c r="KLX57" s="10"/>
      <c r="KLY57" s="10"/>
      <c r="KLZ57" s="10"/>
      <c r="KMA57" s="10"/>
      <c r="KMB57" s="10"/>
      <c r="KMC57" s="10"/>
      <c r="KMD57" s="10"/>
      <c r="KME57" s="10"/>
      <c r="KMF57" s="10"/>
      <c r="KMG57" s="10"/>
      <c r="KMH57" s="10"/>
      <c r="KMI57" s="10"/>
      <c r="KMJ57" s="10"/>
      <c r="KMK57" s="10"/>
      <c r="KML57" s="10"/>
      <c r="KMM57" s="10"/>
      <c r="KMN57" s="10"/>
      <c r="KMO57" s="10"/>
      <c r="KMP57" s="10"/>
      <c r="KMQ57" s="10"/>
      <c r="KMR57" s="10"/>
      <c r="KMS57" s="10"/>
      <c r="KMT57" s="10"/>
      <c r="KMU57" s="10"/>
      <c r="KMV57" s="10"/>
      <c r="KMW57" s="10"/>
      <c r="KMX57" s="10"/>
      <c r="KMY57" s="10"/>
      <c r="KMZ57" s="10"/>
      <c r="KNA57" s="10"/>
      <c r="KNB57" s="10"/>
      <c r="KNC57" s="10"/>
      <c r="KND57" s="10"/>
      <c r="KNE57" s="10"/>
      <c r="KNF57" s="10"/>
      <c r="KNG57" s="10"/>
      <c r="KNH57" s="10"/>
      <c r="KNI57" s="10"/>
      <c r="KNJ57" s="10"/>
      <c r="KNK57" s="10"/>
      <c r="KNL57" s="10"/>
      <c r="KNM57" s="10"/>
      <c r="KNN57" s="10"/>
      <c r="KNO57" s="10"/>
      <c r="KNP57" s="10"/>
      <c r="KNQ57" s="10"/>
      <c r="KNR57" s="10"/>
      <c r="KNS57" s="10"/>
      <c r="KNT57" s="10"/>
      <c r="KNU57" s="10"/>
      <c r="KNV57" s="10"/>
      <c r="KNW57" s="10"/>
      <c r="KNX57" s="10"/>
      <c r="KNY57" s="10"/>
      <c r="KNZ57" s="10"/>
      <c r="KOA57" s="10"/>
      <c r="KOB57" s="10"/>
      <c r="KOC57" s="10"/>
      <c r="KOD57" s="10"/>
      <c r="KOE57" s="10"/>
      <c r="KOF57" s="10"/>
      <c r="KOG57" s="10"/>
      <c r="KOH57" s="10"/>
      <c r="KOI57" s="10"/>
      <c r="KOJ57" s="10"/>
      <c r="KOK57" s="10"/>
      <c r="KOL57" s="10"/>
      <c r="KOM57" s="10"/>
      <c r="KON57" s="10"/>
      <c r="KOO57" s="10"/>
      <c r="KOP57" s="10"/>
      <c r="KOQ57" s="10"/>
      <c r="KOR57" s="10"/>
      <c r="KOS57" s="10"/>
      <c r="KOT57" s="10"/>
      <c r="KOU57" s="10"/>
      <c r="KOV57" s="10"/>
      <c r="KOW57" s="10"/>
      <c r="KOX57" s="10"/>
      <c r="KOY57" s="10"/>
      <c r="KOZ57" s="10"/>
      <c r="KPA57" s="10"/>
      <c r="KPB57" s="10"/>
      <c r="KPC57" s="10"/>
      <c r="KPD57" s="10"/>
      <c r="KPE57" s="10"/>
      <c r="KPF57" s="10"/>
      <c r="KPG57" s="10"/>
      <c r="KPH57" s="10"/>
      <c r="KPI57" s="10"/>
      <c r="KPJ57" s="10"/>
      <c r="KPK57" s="10"/>
      <c r="KPL57" s="10"/>
      <c r="KPM57" s="10"/>
      <c r="KPN57" s="10"/>
      <c r="KPO57" s="10"/>
      <c r="KPP57" s="10"/>
      <c r="KPQ57" s="10"/>
      <c r="KPR57" s="10"/>
      <c r="KPS57" s="10"/>
      <c r="KPT57" s="10"/>
      <c r="KPU57" s="10"/>
      <c r="KPV57" s="10"/>
      <c r="KPW57" s="10"/>
      <c r="KPX57" s="10"/>
      <c r="KPY57" s="10"/>
      <c r="KPZ57" s="10"/>
      <c r="KQA57" s="10"/>
      <c r="KQB57" s="10"/>
      <c r="KQC57" s="10"/>
      <c r="KQD57" s="10"/>
      <c r="KQE57" s="10"/>
      <c r="KQF57" s="10"/>
      <c r="KQG57" s="10"/>
      <c r="KQH57" s="10"/>
      <c r="KQI57" s="10"/>
      <c r="KQJ57" s="10"/>
      <c r="KQK57" s="10"/>
      <c r="KQL57" s="10"/>
      <c r="KQM57" s="10"/>
      <c r="KQN57" s="10"/>
      <c r="KQO57" s="10"/>
      <c r="KQP57" s="10"/>
      <c r="KQQ57" s="10"/>
      <c r="KQR57" s="10"/>
      <c r="KQS57" s="10"/>
      <c r="KQT57" s="10"/>
      <c r="KQU57" s="10"/>
      <c r="KQV57" s="10"/>
      <c r="KQW57" s="10"/>
      <c r="KQX57" s="10"/>
      <c r="KQY57" s="10"/>
      <c r="KQZ57" s="10"/>
      <c r="KRA57" s="10"/>
      <c r="KRB57" s="10"/>
      <c r="KRC57" s="10"/>
      <c r="KRD57" s="10"/>
      <c r="KRE57" s="10"/>
      <c r="KRF57" s="10"/>
      <c r="KRG57" s="10"/>
      <c r="KRH57" s="10"/>
      <c r="KRI57" s="10"/>
      <c r="KRJ57" s="10"/>
      <c r="KRK57" s="10"/>
      <c r="KRL57" s="10"/>
      <c r="KRM57" s="10"/>
      <c r="KRN57" s="10"/>
      <c r="KRO57" s="10"/>
      <c r="KRP57" s="10"/>
      <c r="KRQ57" s="10"/>
      <c r="KRR57" s="10"/>
      <c r="KRS57" s="10"/>
      <c r="KRT57" s="10"/>
      <c r="KRU57" s="10"/>
      <c r="KRV57" s="10"/>
      <c r="KRW57" s="10"/>
      <c r="KRX57" s="10"/>
      <c r="KRY57" s="10"/>
      <c r="KRZ57" s="10"/>
      <c r="KSA57" s="10"/>
      <c r="KSB57" s="10"/>
      <c r="KSC57" s="10"/>
      <c r="KSD57" s="10"/>
      <c r="KSE57" s="10"/>
      <c r="KSF57" s="10"/>
      <c r="KSG57" s="10"/>
      <c r="KSH57" s="10"/>
      <c r="KSI57" s="10"/>
      <c r="KSJ57" s="10"/>
      <c r="KSK57" s="10"/>
      <c r="KSL57" s="10"/>
      <c r="KSM57" s="10"/>
      <c r="KSN57" s="10"/>
      <c r="KSO57" s="10"/>
      <c r="KSP57" s="10"/>
      <c r="KSQ57" s="10"/>
      <c r="KSR57" s="10"/>
      <c r="KSS57" s="10"/>
      <c r="KST57" s="10"/>
      <c r="KSU57" s="10"/>
      <c r="KSV57" s="10"/>
      <c r="KSW57" s="10"/>
      <c r="KSX57" s="10"/>
      <c r="KSY57" s="10"/>
      <c r="KSZ57" s="10"/>
      <c r="KTA57" s="10"/>
      <c r="KTB57" s="10"/>
      <c r="KTC57" s="10"/>
      <c r="KTD57" s="10"/>
      <c r="KTE57" s="10"/>
      <c r="KTF57" s="10"/>
      <c r="KTG57" s="10"/>
      <c r="KTH57" s="10"/>
      <c r="KTI57" s="10"/>
      <c r="KTJ57" s="10"/>
      <c r="KTK57" s="10"/>
      <c r="KTL57" s="10"/>
      <c r="KTM57" s="10"/>
      <c r="KTN57" s="10"/>
      <c r="KTO57" s="10"/>
      <c r="KTP57" s="10"/>
      <c r="KTQ57" s="10"/>
      <c r="KTR57" s="10"/>
      <c r="KTS57" s="10"/>
      <c r="KTT57" s="10"/>
      <c r="KTU57" s="10"/>
      <c r="KTV57" s="10"/>
      <c r="KTW57" s="10"/>
      <c r="KTX57" s="10"/>
      <c r="KTY57" s="10"/>
      <c r="KTZ57" s="10"/>
      <c r="KUA57" s="10"/>
      <c r="KUB57" s="10"/>
      <c r="KUC57" s="10"/>
      <c r="KUD57" s="10"/>
      <c r="KUE57" s="10"/>
      <c r="KUF57" s="10"/>
      <c r="KUG57" s="10"/>
      <c r="KUH57" s="10"/>
      <c r="KUI57" s="10"/>
      <c r="KUJ57" s="10"/>
      <c r="KUK57" s="10"/>
      <c r="KUL57" s="10"/>
      <c r="KUM57" s="10"/>
      <c r="KUN57" s="10"/>
      <c r="KUO57" s="10"/>
      <c r="KUP57" s="10"/>
      <c r="KUQ57" s="10"/>
      <c r="KUR57" s="10"/>
      <c r="KUS57" s="10"/>
      <c r="KUT57" s="10"/>
      <c r="KUU57" s="10"/>
      <c r="KUV57" s="10"/>
      <c r="KUW57" s="10"/>
      <c r="KUX57" s="10"/>
      <c r="KUY57" s="10"/>
      <c r="KUZ57" s="10"/>
      <c r="KVA57" s="10"/>
      <c r="KVB57" s="10"/>
      <c r="KVC57" s="10"/>
      <c r="KVD57" s="10"/>
      <c r="KVE57" s="10"/>
      <c r="KVF57" s="10"/>
      <c r="KVG57" s="10"/>
      <c r="KVH57" s="10"/>
      <c r="KVI57" s="10"/>
      <c r="KVJ57" s="10"/>
      <c r="KVK57" s="10"/>
      <c r="KVL57" s="10"/>
      <c r="KVM57" s="10"/>
      <c r="KVN57" s="10"/>
      <c r="KVO57" s="10"/>
      <c r="KVP57" s="10"/>
      <c r="KVQ57" s="10"/>
      <c r="KVR57" s="10"/>
      <c r="KVS57" s="10"/>
      <c r="KVT57" s="10"/>
      <c r="KVU57" s="10"/>
      <c r="KVV57" s="10"/>
      <c r="KVW57" s="10"/>
      <c r="KVX57" s="10"/>
      <c r="KVY57" s="10"/>
      <c r="KVZ57" s="10"/>
      <c r="KWA57" s="10"/>
      <c r="KWB57" s="10"/>
      <c r="KWC57" s="10"/>
      <c r="KWD57" s="10"/>
      <c r="KWE57" s="10"/>
      <c r="KWF57" s="10"/>
      <c r="KWG57" s="10"/>
      <c r="KWH57" s="10"/>
      <c r="KWI57" s="10"/>
      <c r="KWJ57" s="10"/>
      <c r="KWK57" s="10"/>
      <c r="KWL57" s="10"/>
      <c r="KWM57" s="10"/>
      <c r="KWN57" s="10"/>
      <c r="KWO57" s="10"/>
      <c r="KWP57" s="10"/>
      <c r="KWQ57" s="10"/>
      <c r="KWR57" s="10"/>
      <c r="KWS57" s="10"/>
      <c r="KWT57" s="10"/>
      <c r="KWU57" s="10"/>
      <c r="KWV57" s="10"/>
      <c r="KWW57" s="10"/>
      <c r="KWX57" s="10"/>
      <c r="KWY57" s="10"/>
      <c r="KWZ57" s="10"/>
      <c r="KXA57" s="10"/>
      <c r="KXB57" s="10"/>
      <c r="KXC57" s="10"/>
      <c r="KXD57" s="10"/>
      <c r="KXE57" s="10"/>
      <c r="KXF57" s="10"/>
      <c r="KXG57" s="10"/>
      <c r="KXH57" s="10"/>
      <c r="KXI57" s="10"/>
      <c r="KXJ57" s="10"/>
      <c r="KXK57" s="10"/>
      <c r="KXL57" s="10"/>
      <c r="KXM57" s="10"/>
      <c r="KXN57" s="10"/>
      <c r="KXO57" s="10"/>
      <c r="KXP57" s="10"/>
      <c r="KXQ57" s="10"/>
      <c r="KXR57" s="10"/>
      <c r="KXS57" s="10"/>
      <c r="KXT57" s="10"/>
      <c r="KXU57" s="10"/>
      <c r="KXV57" s="10"/>
      <c r="KXW57" s="10"/>
      <c r="KXX57" s="10"/>
      <c r="KXY57" s="10"/>
      <c r="KXZ57" s="10"/>
      <c r="KYA57" s="10"/>
      <c r="KYB57" s="10"/>
      <c r="KYC57" s="10"/>
      <c r="KYD57" s="10"/>
      <c r="KYE57" s="10"/>
      <c r="KYF57" s="10"/>
      <c r="KYG57" s="10"/>
      <c r="KYH57" s="10"/>
      <c r="KYI57" s="10"/>
      <c r="KYJ57" s="10"/>
      <c r="KYK57" s="10"/>
      <c r="KYL57" s="10"/>
      <c r="KYM57" s="10"/>
      <c r="KYN57" s="10"/>
      <c r="KYO57" s="10"/>
      <c r="KYP57" s="10"/>
      <c r="KYQ57" s="10"/>
      <c r="KYR57" s="10"/>
      <c r="KYS57" s="10"/>
      <c r="KYT57" s="10"/>
      <c r="KYU57" s="10"/>
      <c r="KYV57" s="10"/>
      <c r="KYW57" s="10"/>
      <c r="KYX57" s="10"/>
      <c r="KYY57" s="10"/>
      <c r="KYZ57" s="10"/>
      <c r="KZA57" s="10"/>
      <c r="KZB57" s="10"/>
      <c r="KZC57" s="10"/>
      <c r="KZD57" s="10"/>
      <c r="KZE57" s="10"/>
      <c r="KZF57" s="10"/>
      <c r="KZG57" s="10"/>
      <c r="KZH57" s="10"/>
      <c r="KZI57" s="10"/>
      <c r="KZJ57" s="10"/>
      <c r="KZK57" s="10"/>
      <c r="KZL57" s="10"/>
      <c r="KZM57" s="10"/>
      <c r="KZN57" s="10"/>
      <c r="KZO57" s="10"/>
      <c r="KZP57" s="10"/>
      <c r="KZQ57" s="10"/>
      <c r="KZR57" s="10"/>
      <c r="KZS57" s="10"/>
      <c r="KZT57" s="10"/>
      <c r="KZU57" s="10"/>
      <c r="KZV57" s="10"/>
      <c r="KZW57" s="10"/>
      <c r="KZX57" s="10"/>
      <c r="KZY57" s="10"/>
      <c r="KZZ57" s="10"/>
      <c r="LAA57" s="10"/>
      <c r="LAB57" s="10"/>
      <c r="LAC57" s="10"/>
      <c r="LAD57" s="10"/>
      <c r="LAE57" s="10"/>
      <c r="LAF57" s="10"/>
      <c r="LAG57" s="10"/>
      <c r="LAH57" s="10"/>
      <c r="LAI57" s="10"/>
      <c r="LAJ57" s="10"/>
      <c r="LAK57" s="10"/>
      <c r="LAL57" s="10"/>
      <c r="LAM57" s="10"/>
      <c r="LAN57" s="10"/>
      <c r="LAO57" s="10"/>
      <c r="LAP57" s="10"/>
      <c r="LAQ57" s="10"/>
      <c r="LAR57" s="10"/>
      <c r="LAS57" s="10"/>
      <c r="LAT57" s="10"/>
      <c r="LAU57" s="10"/>
      <c r="LAV57" s="10"/>
      <c r="LAW57" s="10"/>
      <c r="LAX57" s="10"/>
      <c r="LAY57" s="10"/>
      <c r="LAZ57" s="10"/>
      <c r="LBA57" s="10"/>
      <c r="LBB57" s="10"/>
      <c r="LBC57" s="10"/>
      <c r="LBD57" s="10"/>
      <c r="LBE57" s="10"/>
      <c r="LBF57" s="10"/>
      <c r="LBG57" s="10"/>
      <c r="LBH57" s="10"/>
      <c r="LBI57" s="10"/>
      <c r="LBJ57" s="10"/>
      <c r="LBK57" s="10"/>
      <c r="LBL57" s="10"/>
      <c r="LBM57" s="10"/>
      <c r="LBN57" s="10"/>
      <c r="LBO57" s="10"/>
      <c r="LBP57" s="10"/>
      <c r="LBQ57" s="10"/>
      <c r="LBR57" s="10"/>
      <c r="LBS57" s="10"/>
      <c r="LBT57" s="10"/>
      <c r="LBU57" s="10"/>
      <c r="LBV57" s="10"/>
      <c r="LBW57" s="10"/>
      <c r="LBX57" s="10"/>
      <c r="LBY57" s="10"/>
      <c r="LBZ57" s="10"/>
      <c r="LCA57" s="10"/>
      <c r="LCB57" s="10"/>
      <c r="LCC57" s="10"/>
      <c r="LCD57" s="10"/>
      <c r="LCE57" s="10"/>
      <c r="LCF57" s="10"/>
      <c r="LCG57" s="10"/>
      <c r="LCH57" s="10"/>
      <c r="LCI57" s="10"/>
      <c r="LCJ57" s="10"/>
      <c r="LCK57" s="10"/>
      <c r="LCL57" s="10"/>
      <c r="LCM57" s="10"/>
      <c r="LCN57" s="10"/>
      <c r="LCO57" s="10"/>
      <c r="LCP57" s="10"/>
      <c r="LCQ57" s="10"/>
      <c r="LCR57" s="10"/>
      <c r="LCS57" s="10"/>
      <c r="LCT57" s="10"/>
      <c r="LCU57" s="10"/>
      <c r="LCV57" s="10"/>
      <c r="LCW57" s="10"/>
      <c r="LCX57" s="10"/>
      <c r="LCY57" s="10"/>
      <c r="LCZ57" s="10"/>
      <c r="LDA57" s="10"/>
      <c r="LDB57" s="10"/>
      <c r="LDC57" s="10"/>
      <c r="LDD57" s="10"/>
      <c r="LDE57" s="10"/>
      <c r="LDF57" s="10"/>
      <c r="LDG57" s="10"/>
      <c r="LDH57" s="10"/>
      <c r="LDI57" s="10"/>
      <c r="LDJ57" s="10"/>
      <c r="LDK57" s="10"/>
      <c r="LDL57" s="10"/>
      <c r="LDM57" s="10"/>
      <c r="LDN57" s="10"/>
      <c r="LDO57" s="10"/>
      <c r="LDP57" s="10"/>
      <c r="LDQ57" s="10"/>
      <c r="LDR57" s="10"/>
      <c r="LDS57" s="10"/>
      <c r="LDT57" s="10"/>
      <c r="LDU57" s="10"/>
      <c r="LDV57" s="10"/>
      <c r="LDW57" s="10"/>
      <c r="LDX57" s="10"/>
      <c r="LDY57" s="10"/>
      <c r="LDZ57" s="10"/>
      <c r="LEA57" s="10"/>
      <c r="LEB57" s="10"/>
      <c r="LEC57" s="10"/>
      <c r="LED57" s="10"/>
      <c r="LEE57" s="10"/>
      <c r="LEF57" s="10"/>
      <c r="LEG57" s="10"/>
      <c r="LEH57" s="10"/>
      <c r="LEI57" s="10"/>
      <c r="LEJ57" s="10"/>
      <c r="LEK57" s="10"/>
      <c r="LEL57" s="10"/>
      <c r="LEM57" s="10"/>
      <c r="LEN57" s="10"/>
      <c r="LEO57" s="10"/>
      <c r="LEP57" s="10"/>
      <c r="LEQ57" s="10"/>
      <c r="LER57" s="10"/>
      <c r="LES57" s="10"/>
      <c r="LET57" s="10"/>
      <c r="LEU57" s="10"/>
      <c r="LEV57" s="10"/>
      <c r="LEW57" s="10"/>
      <c r="LEX57" s="10"/>
      <c r="LEY57" s="10"/>
      <c r="LEZ57" s="10"/>
      <c r="LFA57" s="10"/>
      <c r="LFB57" s="10"/>
      <c r="LFC57" s="10"/>
      <c r="LFD57" s="10"/>
      <c r="LFE57" s="10"/>
      <c r="LFF57" s="10"/>
      <c r="LFG57" s="10"/>
      <c r="LFH57" s="10"/>
      <c r="LFI57" s="10"/>
      <c r="LFJ57" s="10"/>
      <c r="LFK57" s="10"/>
      <c r="LFL57" s="10"/>
      <c r="LFM57" s="10"/>
      <c r="LFN57" s="10"/>
      <c r="LFO57" s="10"/>
      <c r="LFP57" s="10"/>
      <c r="LFQ57" s="10"/>
      <c r="LFR57" s="10"/>
      <c r="LFS57" s="10"/>
      <c r="LFT57" s="10"/>
      <c r="LFU57" s="10"/>
      <c r="LFV57" s="10"/>
      <c r="LFW57" s="10"/>
      <c r="LFX57" s="10"/>
      <c r="LFY57" s="10"/>
      <c r="LFZ57" s="10"/>
      <c r="LGA57" s="10"/>
      <c r="LGB57" s="10"/>
      <c r="LGC57" s="10"/>
      <c r="LGD57" s="10"/>
      <c r="LGE57" s="10"/>
      <c r="LGF57" s="10"/>
      <c r="LGG57" s="10"/>
      <c r="LGH57" s="10"/>
      <c r="LGI57" s="10"/>
      <c r="LGJ57" s="10"/>
      <c r="LGK57" s="10"/>
      <c r="LGL57" s="10"/>
      <c r="LGM57" s="10"/>
      <c r="LGN57" s="10"/>
      <c r="LGO57" s="10"/>
      <c r="LGP57" s="10"/>
      <c r="LGQ57" s="10"/>
      <c r="LGR57" s="10"/>
      <c r="LGS57" s="10"/>
      <c r="LGT57" s="10"/>
      <c r="LGU57" s="10"/>
      <c r="LGV57" s="10"/>
      <c r="LGW57" s="10"/>
      <c r="LGX57" s="10"/>
      <c r="LGY57" s="10"/>
      <c r="LGZ57" s="10"/>
      <c r="LHA57" s="10"/>
      <c r="LHB57" s="10"/>
      <c r="LHC57" s="10"/>
      <c r="LHD57" s="10"/>
      <c r="LHE57" s="10"/>
      <c r="LHF57" s="10"/>
      <c r="LHG57" s="10"/>
      <c r="LHH57" s="10"/>
      <c r="LHI57" s="10"/>
      <c r="LHJ57" s="10"/>
      <c r="LHK57" s="10"/>
      <c r="LHL57" s="10"/>
      <c r="LHM57" s="10"/>
      <c r="LHN57" s="10"/>
      <c r="LHO57" s="10"/>
      <c r="LHP57" s="10"/>
      <c r="LHQ57" s="10"/>
      <c r="LHR57" s="10"/>
      <c r="LHS57" s="10"/>
      <c r="LHT57" s="10"/>
      <c r="LHU57" s="10"/>
      <c r="LHV57" s="10"/>
      <c r="LHW57" s="10"/>
      <c r="LHX57" s="10"/>
      <c r="LHY57" s="10"/>
      <c r="LHZ57" s="10"/>
      <c r="LIA57" s="10"/>
      <c r="LIB57" s="10"/>
      <c r="LIC57" s="10"/>
      <c r="LID57" s="10"/>
      <c r="LIE57" s="10"/>
      <c r="LIF57" s="10"/>
      <c r="LIG57" s="10"/>
      <c r="LIH57" s="10"/>
      <c r="LII57" s="10"/>
      <c r="LIJ57" s="10"/>
      <c r="LIK57" s="10"/>
      <c r="LIL57" s="10"/>
      <c r="LIM57" s="10"/>
      <c r="LIN57" s="10"/>
      <c r="LIO57" s="10"/>
      <c r="LIP57" s="10"/>
      <c r="LIQ57" s="10"/>
      <c r="LIR57" s="10"/>
      <c r="LIS57" s="10"/>
      <c r="LIT57" s="10"/>
      <c r="LIU57" s="10"/>
      <c r="LIV57" s="10"/>
      <c r="LIW57" s="10"/>
      <c r="LIX57" s="10"/>
      <c r="LIY57" s="10"/>
      <c r="LIZ57" s="10"/>
      <c r="LJA57" s="10"/>
      <c r="LJB57" s="10"/>
      <c r="LJC57" s="10"/>
      <c r="LJD57" s="10"/>
      <c r="LJE57" s="10"/>
      <c r="LJF57" s="10"/>
      <c r="LJG57" s="10"/>
      <c r="LJH57" s="10"/>
      <c r="LJI57" s="10"/>
      <c r="LJJ57" s="10"/>
      <c r="LJK57" s="10"/>
      <c r="LJL57" s="10"/>
      <c r="LJM57" s="10"/>
      <c r="LJN57" s="10"/>
      <c r="LJO57" s="10"/>
      <c r="LJP57" s="10"/>
      <c r="LJQ57" s="10"/>
      <c r="LJR57" s="10"/>
      <c r="LJS57" s="10"/>
      <c r="LJT57" s="10"/>
      <c r="LJU57" s="10"/>
      <c r="LJV57" s="10"/>
      <c r="LJW57" s="10"/>
      <c r="LJX57" s="10"/>
      <c r="LJY57" s="10"/>
      <c r="LJZ57" s="10"/>
      <c r="LKA57" s="10"/>
      <c r="LKB57" s="10"/>
      <c r="LKC57" s="10"/>
      <c r="LKD57" s="10"/>
      <c r="LKE57" s="10"/>
      <c r="LKF57" s="10"/>
      <c r="LKG57" s="10"/>
      <c r="LKH57" s="10"/>
      <c r="LKI57" s="10"/>
      <c r="LKJ57" s="10"/>
      <c r="LKK57" s="10"/>
      <c r="LKL57" s="10"/>
      <c r="LKM57" s="10"/>
      <c r="LKN57" s="10"/>
      <c r="LKO57" s="10"/>
      <c r="LKP57" s="10"/>
      <c r="LKQ57" s="10"/>
      <c r="LKR57" s="10"/>
      <c r="LKS57" s="10"/>
      <c r="LKT57" s="10"/>
      <c r="LKU57" s="10"/>
      <c r="LKV57" s="10"/>
      <c r="LKW57" s="10"/>
      <c r="LKX57" s="10"/>
      <c r="LKY57" s="10"/>
      <c r="LKZ57" s="10"/>
      <c r="LLA57" s="10"/>
      <c r="LLB57" s="10"/>
      <c r="LLC57" s="10"/>
      <c r="LLD57" s="10"/>
      <c r="LLE57" s="10"/>
      <c r="LLF57" s="10"/>
      <c r="LLG57" s="10"/>
      <c r="LLH57" s="10"/>
      <c r="LLI57" s="10"/>
      <c r="LLJ57" s="10"/>
      <c r="LLK57" s="10"/>
      <c r="LLL57" s="10"/>
      <c r="LLM57" s="10"/>
      <c r="LLN57" s="10"/>
      <c r="LLO57" s="10"/>
      <c r="LLP57" s="10"/>
      <c r="LLQ57" s="10"/>
      <c r="LLR57" s="10"/>
      <c r="LLS57" s="10"/>
      <c r="LLT57" s="10"/>
      <c r="LLU57" s="10"/>
      <c r="LLV57" s="10"/>
      <c r="LLW57" s="10"/>
      <c r="LLX57" s="10"/>
      <c r="LLY57" s="10"/>
      <c r="LLZ57" s="10"/>
      <c r="LMA57" s="10"/>
      <c r="LMB57" s="10"/>
      <c r="LMC57" s="10"/>
      <c r="LMD57" s="10"/>
      <c r="LME57" s="10"/>
      <c r="LMF57" s="10"/>
      <c r="LMG57" s="10"/>
      <c r="LMH57" s="10"/>
      <c r="LMI57" s="10"/>
      <c r="LMJ57" s="10"/>
      <c r="LMK57" s="10"/>
      <c r="LML57" s="10"/>
      <c r="LMM57" s="10"/>
      <c r="LMN57" s="10"/>
      <c r="LMO57" s="10"/>
      <c r="LMP57" s="10"/>
      <c r="LMQ57" s="10"/>
      <c r="LMR57" s="10"/>
      <c r="LMS57" s="10"/>
      <c r="LMT57" s="10"/>
      <c r="LMU57" s="10"/>
      <c r="LMV57" s="10"/>
      <c r="LMW57" s="10"/>
      <c r="LMX57" s="10"/>
      <c r="LMY57" s="10"/>
      <c r="LMZ57" s="10"/>
      <c r="LNA57" s="10"/>
      <c r="LNB57" s="10"/>
      <c r="LNC57" s="10"/>
      <c r="LND57" s="10"/>
      <c r="LNE57" s="10"/>
      <c r="LNF57" s="10"/>
      <c r="LNG57" s="10"/>
      <c r="LNH57" s="10"/>
      <c r="LNI57" s="10"/>
      <c r="LNJ57" s="10"/>
      <c r="LNK57" s="10"/>
      <c r="LNL57" s="10"/>
      <c r="LNM57" s="10"/>
      <c r="LNN57" s="10"/>
      <c r="LNO57" s="10"/>
      <c r="LNP57" s="10"/>
      <c r="LNQ57" s="10"/>
      <c r="LNR57" s="10"/>
      <c r="LNS57" s="10"/>
      <c r="LNT57" s="10"/>
      <c r="LNU57" s="10"/>
      <c r="LNV57" s="10"/>
      <c r="LNW57" s="10"/>
      <c r="LNX57" s="10"/>
      <c r="LNY57" s="10"/>
      <c r="LNZ57" s="10"/>
      <c r="LOA57" s="10"/>
      <c r="LOB57" s="10"/>
      <c r="LOC57" s="10"/>
      <c r="LOD57" s="10"/>
      <c r="LOE57" s="10"/>
      <c r="LOF57" s="10"/>
      <c r="LOG57" s="10"/>
      <c r="LOH57" s="10"/>
      <c r="LOI57" s="10"/>
      <c r="LOJ57" s="10"/>
      <c r="LOK57" s="10"/>
      <c r="LOL57" s="10"/>
      <c r="LOM57" s="10"/>
      <c r="LON57" s="10"/>
      <c r="LOO57" s="10"/>
      <c r="LOP57" s="10"/>
      <c r="LOQ57" s="10"/>
      <c r="LOR57" s="10"/>
      <c r="LOS57" s="10"/>
      <c r="LOT57" s="10"/>
      <c r="LOU57" s="10"/>
      <c r="LOV57" s="10"/>
      <c r="LOW57" s="10"/>
      <c r="LOX57" s="10"/>
      <c r="LOY57" s="10"/>
      <c r="LOZ57" s="10"/>
      <c r="LPA57" s="10"/>
      <c r="LPB57" s="10"/>
      <c r="LPC57" s="10"/>
      <c r="LPD57" s="10"/>
      <c r="LPE57" s="10"/>
      <c r="LPF57" s="10"/>
      <c r="LPG57" s="10"/>
      <c r="LPH57" s="10"/>
      <c r="LPI57" s="10"/>
      <c r="LPJ57" s="10"/>
      <c r="LPK57" s="10"/>
      <c r="LPL57" s="10"/>
      <c r="LPM57" s="10"/>
      <c r="LPN57" s="10"/>
      <c r="LPO57" s="10"/>
      <c r="LPP57" s="10"/>
      <c r="LPQ57" s="10"/>
      <c r="LPR57" s="10"/>
      <c r="LPS57" s="10"/>
      <c r="LPT57" s="10"/>
      <c r="LPU57" s="10"/>
      <c r="LPV57" s="10"/>
      <c r="LPW57" s="10"/>
      <c r="LPX57" s="10"/>
      <c r="LPY57" s="10"/>
      <c r="LPZ57" s="10"/>
      <c r="LQA57" s="10"/>
      <c r="LQB57" s="10"/>
      <c r="LQC57" s="10"/>
      <c r="LQD57" s="10"/>
      <c r="LQE57" s="10"/>
      <c r="LQF57" s="10"/>
      <c r="LQG57" s="10"/>
      <c r="LQH57" s="10"/>
      <c r="LQI57" s="10"/>
      <c r="LQJ57" s="10"/>
      <c r="LQK57" s="10"/>
      <c r="LQL57" s="10"/>
      <c r="LQM57" s="10"/>
      <c r="LQN57" s="10"/>
      <c r="LQO57" s="10"/>
      <c r="LQP57" s="10"/>
      <c r="LQQ57" s="10"/>
      <c r="LQR57" s="10"/>
      <c r="LQS57" s="10"/>
      <c r="LQT57" s="10"/>
      <c r="LQU57" s="10"/>
      <c r="LQV57" s="10"/>
      <c r="LQW57" s="10"/>
      <c r="LQX57" s="10"/>
      <c r="LQY57" s="10"/>
      <c r="LQZ57" s="10"/>
      <c r="LRA57" s="10"/>
      <c r="LRB57" s="10"/>
      <c r="LRC57" s="10"/>
      <c r="LRD57" s="10"/>
      <c r="LRE57" s="10"/>
      <c r="LRF57" s="10"/>
      <c r="LRG57" s="10"/>
      <c r="LRH57" s="10"/>
      <c r="LRI57" s="10"/>
      <c r="LRJ57" s="10"/>
      <c r="LRK57" s="10"/>
      <c r="LRL57" s="10"/>
      <c r="LRM57" s="10"/>
      <c r="LRN57" s="10"/>
      <c r="LRO57" s="10"/>
      <c r="LRP57" s="10"/>
      <c r="LRQ57" s="10"/>
      <c r="LRR57" s="10"/>
      <c r="LRS57" s="10"/>
      <c r="LRT57" s="10"/>
      <c r="LRU57" s="10"/>
      <c r="LRV57" s="10"/>
      <c r="LRW57" s="10"/>
      <c r="LRX57" s="10"/>
      <c r="LRY57" s="10"/>
      <c r="LRZ57" s="10"/>
      <c r="LSA57" s="10"/>
      <c r="LSB57" s="10"/>
      <c r="LSC57" s="10"/>
      <c r="LSD57" s="10"/>
      <c r="LSE57" s="10"/>
      <c r="LSF57" s="10"/>
      <c r="LSG57" s="10"/>
      <c r="LSH57" s="10"/>
      <c r="LSI57" s="10"/>
      <c r="LSJ57" s="10"/>
      <c r="LSK57" s="10"/>
      <c r="LSL57" s="10"/>
      <c r="LSM57" s="10"/>
      <c r="LSN57" s="10"/>
      <c r="LSO57" s="10"/>
      <c r="LSP57" s="10"/>
      <c r="LSQ57" s="10"/>
      <c r="LSR57" s="10"/>
      <c r="LSS57" s="10"/>
      <c r="LST57" s="10"/>
      <c r="LSU57" s="10"/>
      <c r="LSV57" s="10"/>
      <c r="LSW57" s="10"/>
      <c r="LSX57" s="10"/>
      <c r="LSY57" s="10"/>
      <c r="LSZ57" s="10"/>
      <c r="LTA57" s="10"/>
      <c r="LTB57" s="10"/>
      <c r="LTC57" s="10"/>
      <c r="LTD57" s="10"/>
      <c r="LTE57" s="10"/>
      <c r="LTF57" s="10"/>
      <c r="LTG57" s="10"/>
      <c r="LTH57" s="10"/>
      <c r="LTI57" s="10"/>
      <c r="LTJ57" s="10"/>
      <c r="LTK57" s="10"/>
      <c r="LTL57" s="10"/>
      <c r="LTM57" s="10"/>
      <c r="LTN57" s="10"/>
      <c r="LTO57" s="10"/>
      <c r="LTP57" s="10"/>
      <c r="LTQ57" s="10"/>
      <c r="LTR57" s="10"/>
      <c r="LTS57" s="10"/>
      <c r="LTT57" s="10"/>
      <c r="LTU57" s="10"/>
      <c r="LTV57" s="10"/>
      <c r="LTW57" s="10"/>
      <c r="LTX57" s="10"/>
      <c r="LTY57" s="10"/>
      <c r="LTZ57" s="10"/>
      <c r="LUA57" s="10"/>
      <c r="LUB57" s="10"/>
      <c r="LUC57" s="10"/>
      <c r="LUD57" s="10"/>
      <c r="LUE57" s="10"/>
      <c r="LUF57" s="10"/>
      <c r="LUG57" s="10"/>
      <c r="LUH57" s="10"/>
      <c r="LUI57" s="10"/>
      <c r="LUJ57" s="10"/>
      <c r="LUK57" s="10"/>
      <c r="LUL57" s="10"/>
      <c r="LUM57" s="10"/>
      <c r="LUN57" s="10"/>
      <c r="LUO57" s="10"/>
      <c r="LUP57" s="10"/>
      <c r="LUQ57" s="10"/>
      <c r="LUR57" s="10"/>
      <c r="LUS57" s="10"/>
      <c r="LUT57" s="10"/>
      <c r="LUU57" s="10"/>
      <c r="LUV57" s="10"/>
      <c r="LUW57" s="10"/>
      <c r="LUX57" s="10"/>
      <c r="LUY57" s="10"/>
      <c r="LUZ57" s="10"/>
      <c r="LVA57" s="10"/>
      <c r="LVB57" s="10"/>
      <c r="LVC57" s="10"/>
      <c r="LVD57" s="10"/>
      <c r="LVE57" s="10"/>
      <c r="LVF57" s="10"/>
      <c r="LVG57" s="10"/>
      <c r="LVH57" s="10"/>
      <c r="LVI57" s="10"/>
      <c r="LVJ57" s="10"/>
      <c r="LVK57" s="10"/>
      <c r="LVL57" s="10"/>
      <c r="LVM57" s="10"/>
      <c r="LVN57" s="10"/>
      <c r="LVO57" s="10"/>
      <c r="LVP57" s="10"/>
      <c r="LVQ57" s="10"/>
      <c r="LVR57" s="10"/>
      <c r="LVS57" s="10"/>
      <c r="LVT57" s="10"/>
      <c r="LVU57" s="10"/>
      <c r="LVV57" s="10"/>
      <c r="LVW57" s="10"/>
      <c r="LVX57" s="10"/>
      <c r="LVY57" s="10"/>
      <c r="LVZ57" s="10"/>
      <c r="LWA57" s="10"/>
      <c r="LWB57" s="10"/>
      <c r="LWC57" s="10"/>
      <c r="LWD57" s="10"/>
      <c r="LWE57" s="10"/>
      <c r="LWF57" s="10"/>
      <c r="LWG57" s="10"/>
      <c r="LWH57" s="10"/>
      <c r="LWI57" s="10"/>
      <c r="LWJ57" s="10"/>
      <c r="LWK57" s="10"/>
      <c r="LWL57" s="10"/>
      <c r="LWM57" s="10"/>
      <c r="LWN57" s="10"/>
      <c r="LWO57" s="10"/>
      <c r="LWP57" s="10"/>
      <c r="LWQ57" s="10"/>
      <c r="LWR57" s="10"/>
      <c r="LWS57" s="10"/>
      <c r="LWT57" s="10"/>
      <c r="LWU57" s="10"/>
      <c r="LWV57" s="10"/>
      <c r="LWW57" s="10"/>
      <c r="LWX57" s="10"/>
      <c r="LWY57" s="10"/>
      <c r="LWZ57" s="10"/>
      <c r="LXA57" s="10"/>
      <c r="LXB57" s="10"/>
      <c r="LXC57" s="10"/>
      <c r="LXD57" s="10"/>
      <c r="LXE57" s="10"/>
      <c r="LXF57" s="10"/>
      <c r="LXG57" s="10"/>
      <c r="LXH57" s="10"/>
      <c r="LXI57" s="10"/>
      <c r="LXJ57" s="10"/>
      <c r="LXK57" s="10"/>
      <c r="LXL57" s="10"/>
      <c r="LXM57" s="10"/>
      <c r="LXN57" s="10"/>
      <c r="LXO57" s="10"/>
      <c r="LXP57" s="10"/>
      <c r="LXQ57" s="10"/>
      <c r="LXR57" s="10"/>
      <c r="LXS57" s="10"/>
      <c r="LXT57" s="10"/>
      <c r="LXU57" s="10"/>
      <c r="LXV57" s="10"/>
      <c r="LXW57" s="10"/>
      <c r="LXX57" s="10"/>
      <c r="LXY57" s="10"/>
      <c r="LXZ57" s="10"/>
      <c r="LYA57" s="10"/>
      <c r="LYB57" s="10"/>
      <c r="LYC57" s="10"/>
      <c r="LYD57" s="10"/>
      <c r="LYE57" s="10"/>
      <c r="LYF57" s="10"/>
      <c r="LYG57" s="10"/>
      <c r="LYH57" s="10"/>
      <c r="LYI57" s="10"/>
      <c r="LYJ57" s="10"/>
      <c r="LYK57" s="10"/>
      <c r="LYL57" s="10"/>
      <c r="LYM57" s="10"/>
      <c r="LYN57" s="10"/>
      <c r="LYO57" s="10"/>
      <c r="LYP57" s="10"/>
      <c r="LYQ57" s="10"/>
      <c r="LYR57" s="10"/>
      <c r="LYS57" s="10"/>
      <c r="LYT57" s="10"/>
      <c r="LYU57" s="10"/>
      <c r="LYV57" s="10"/>
      <c r="LYW57" s="10"/>
      <c r="LYX57" s="10"/>
      <c r="LYY57" s="10"/>
      <c r="LYZ57" s="10"/>
      <c r="LZA57" s="10"/>
      <c r="LZB57" s="10"/>
      <c r="LZC57" s="10"/>
      <c r="LZD57" s="10"/>
      <c r="LZE57" s="10"/>
      <c r="LZF57" s="10"/>
      <c r="LZG57" s="10"/>
      <c r="LZH57" s="10"/>
      <c r="LZI57" s="10"/>
      <c r="LZJ57" s="10"/>
      <c r="LZK57" s="10"/>
      <c r="LZL57" s="10"/>
      <c r="LZM57" s="10"/>
      <c r="LZN57" s="10"/>
      <c r="LZO57" s="10"/>
      <c r="LZP57" s="10"/>
      <c r="LZQ57" s="10"/>
      <c r="LZR57" s="10"/>
      <c r="LZS57" s="10"/>
      <c r="LZT57" s="10"/>
      <c r="LZU57" s="10"/>
      <c r="LZV57" s="10"/>
      <c r="LZW57" s="10"/>
      <c r="LZX57" s="10"/>
      <c r="LZY57" s="10"/>
      <c r="LZZ57" s="10"/>
      <c r="MAA57" s="10"/>
      <c r="MAB57" s="10"/>
      <c r="MAC57" s="10"/>
      <c r="MAD57" s="10"/>
      <c r="MAE57" s="10"/>
      <c r="MAF57" s="10"/>
      <c r="MAG57" s="10"/>
      <c r="MAH57" s="10"/>
      <c r="MAI57" s="10"/>
      <c r="MAJ57" s="10"/>
      <c r="MAK57" s="10"/>
      <c r="MAL57" s="10"/>
      <c r="MAM57" s="10"/>
      <c r="MAN57" s="10"/>
      <c r="MAO57" s="10"/>
      <c r="MAP57" s="10"/>
      <c r="MAQ57" s="10"/>
      <c r="MAR57" s="10"/>
      <c r="MAS57" s="10"/>
      <c r="MAT57" s="10"/>
      <c r="MAU57" s="10"/>
      <c r="MAV57" s="10"/>
      <c r="MAW57" s="10"/>
      <c r="MAX57" s="10"/>
      <c r="MAY57" s="10"/>
      <c r="MAZ57" s="10"/>
      <c r="MBA57" s="10"/>
      <c r="MBB57" s="10"/>
      <c r="MBC57" s="10"/>
      <c r="MBD57" s="10"/>
      <c r="MBE57" s="10"/>
      <c r="MBF57" s="10"/>
      <c r="MBG57" s="10"/>
      <c r="MBH57" s="10"/>
      <c r="MBI57" s="10"/>
      <c r="MBJ57" s="10"/>
      <c r="MBK57" s="10"/>
      <c r="MBL57" s="10"/>
      <c r="MBM57" s="10"/>
      <c r="MBN57" s="10"/>
      <c r="MBO57" s="10"/>
      <c r="MBP57" s="10"/>
      <c r="MBQ57" s="10"/>
      <c r="MBR57" s="10"/>
      <c r="MBS57" s="10"/>
      <c r="MBT57" s="10"/>
      <c r="MBU57" s="10"/>
      <c r="MBV57" s="10"/>
      <c r="MBW57" s="10"/>
      <c r="MBX57" s="10"/>
      <c r="MBY57" s="10"/>
      <c r="MBZ57" s="10"/>
      <c r="MCA57" s="10"/>
      <c r="MCB57" s="10"/>
      <c r="MCC57" s="10"/>
      <c r="MCD57" s="10"/>
      <c r="MCE57" s="10"/>
      <c r="MCF57" s="10"/>
      <c r="MCG57" s="10"/>
      <c r="MCH57" s="10"/>
      <c r="MCI57" s="10"/>
      <c r="MCJ57" s="10"/>
      <c r="MCK57" s="10"/>
      <c r="MCL57" s="10"/>
      <c r="MCM57" s="10"/>
      <c r="MCN57" s="10"/>
      <c r="MCO57" s="10"/>
      <c r="MCP57" s="10"/>
      <c r="MCQ57" s="10"/>
      <c r="MCR57" s="10"/>
      <c r="MCS57" s="10"/>
      <c r="MCT57" s="10"/>
      <c r="MCU57" s="10"/>
      <c r="MCV57" s="10"/>
      <c r="MCW57" s="10"/>
      <c r="MCX57" s="10"/>
      <c r="MCY57" s="10"/>
      <c r="MCZ57" s="10"/>
      <c r="MDA57" s="10"/>
      <c r="MDB57" s="10"/>
      <c r="MDC57" s="10"/>
      <c r="MDD57" s="10"/>
      <c r="MDE57" s="10"/>
      <c r="MDF57" s="10"/>
      <c r="MDG57" s="10"/>
      <c r="MDH57" s="10"/>
      <c r="MDI57" s="10"/>
      <c r="MDJ57" s="10"/>
      <c r="MDK57" s="10"/>
      <c r="MDL57" s="10"/>
      <c r="MDM57" s="10"/>
      <c r="MDN57" s="10"/>
      <c r="MDO57" s="10"/>
      <c r="MDP57" s="10"/>
      <c r="MDQ57" s="10"/>
      <c r="MDR57" s="10"/>
      <c r="MDS57" s="10"/>
      <c r="MDT57" s="10"/>
      <c r="MDU57" s="10"/>
      <c r="MDV57" s="10"/>
      <c r="MDW57" s="10"/>
      <c r="MDX57" s="10"/>
      <c r="MDY57" s="10"/>
      <c r="MDZ57" s="10"/>
      <c r="MEA57" s="10"/>
      <c r="MEB57" s="10"/>
      <c r="MEC57" s="10"/>
      <c r="MED57" s="10"/>
      <c r="MEE57" s="10"/>
      <c r="MEF57" s="10"/>
      <c r="MEG57" s="10"/>
      <c r="MEH57" s="10"/>
      <c r="MEI57" s="10"/>
      <c r="MEJ57" s="10"/>
      <c r="MEK57" s="10"/>
      <c r="MEL57" s="10"/>
      <c r="MEM57" s="10"/>
      <c r="MEN57" s="10"/>
      <c r="MEO57" s="10"/>
      <c r="MEP57" s="10"/>
      <c r="MEQ57" s="10"/>
      <c r="MER57" s="10"/>
      <c r="MES57" s="10"/>
      <c r="MET57" s="10"/>
      <c r="MEU57" s="10"/>
      <c r="MEV57" s="10"/>
      <c r="MEW57" s="10"/>
      <c r="MEX57" s="10"/>
      <c r="MEY57" s="10"/>
      <c r="MEZ57" s="10"/>
      <c r="MFA57" s="10"/>
      <c r="MFB57" s="10"/>
      <c r="MFC57" s="10"/>
      <c r="MFD57" s="10"/>
      <c r="MFE57" s="10"/>
      <c r="MFF57" s="10"/>
      <c r="MFG57" s="10"/>
      <c r="MFH57" s="10"/>
      <c r="MFI57" s="10"/>
      <c r="MFJ57" s="10"/>
      <c r="MFK57" s="10"/>
      <c r="MFL57" s="10"/>
      <c r="MFM57" s="10"/>
      <c r="MFN57" s="10"/>
      <c r="MFO57" s="10"/>
      <c r="MFP57" s="10"/>
      <c r="MFQ57" s="10"/>
      <c r="MFR57" s="10"/>
      <c r="MFS57" s="10"/>
      <c r="MFT57" s="10"/>
      <c r="MFU57" s="10"/>
      <c r="MFV57" s="10"/>
      <c r="MFW57" s="10"/>
      <c r="MFX57" s="10"/>
      <c r="MFY57" s="10"/>
      <c r="MFZ57" s="10"/>
      <c r="MGA57" s="10"/>
      <c r="MGB57" s="10"/>
      <c r="MGC57" s="10"/>
      <c r="MGD57" s="10"/>
      <c r="MGE57" s="10"/>
      <c r="MGF57" s="10"/>
      <c r="MGG57" s="10"/>
      <c r="MGH57" s="10"/>
      <c r="MGI57" s="10"/>
      <c r="MGJ57" s="10"/>
      <c r="MGK57" s="10"/>
      <c r="MGL57" s="10"/>
      <c r="MGM57" s="10"/>
      <c r="MGN57" s="10"/>
      <c r="MGO57" s="10"/>
      <c r="MGP57" s="10"/>
      <c r="MGQ57" s="10"/>
      <c r="MGR57" s="10"/>
      <c r="MGS57" s="10"/>
      <c r="MGT57" s="10"/>
      <c r="MGU57" s="10"/>
      <c r="MGV57" s="10"/>
      <c r="MGW57" s="10"/>
      <c r="MGX57" s="10"/>
      <c r="MGY57" s="10"/>
      <c r="MGZ57" s="10"/>
      <c r="MHA57" s="10"/>
      <c r="MHB57" s="10"/>
      <c r="MHC57" s="10"/>
      <c r="MHD57" s="10"/>
      <c r="MHE57" s="10"/>
      <c r="MHF57" s="10"/>
      <c r="MHG57" s="10"/>
      <c r="MHH57" s="10"/>
      <c r="MHI57" s="10"/>
      <c r="MHJ57" s="10"/>
      <c r="MHK57" s="10"/>
      <c r="MHL57" s="10"/>
      <c r="MHM57" s="10"/>
      <c r="MHN57" s="10"/>
      <c r="MHO57" s="10"/>
      <c r="MHP57" s="10"/>
      <c r="MHQ57" s="10"/>
      <c r="MHR57" s="10"/>
      <c r="MHS57" s="10"/>
      <c r="MHT57" s="10"/>
      <c r="MHU57" s="10"/>
      <c r="MHV57" s="10"/>
      <c r="MHW57" s="10"/>
      <c r="MHX57" s="10"/>
      <c r="MHY57" s="10"/>
      <c r="MHZ57" s="10"/>
      <c r="MIA57" s="10"/>
      <c r="MIB57" s="10"/>
      <c r="MIC57" s="10"/>
      <c r="MID57" s="10"/>
      <c r="MIE57" s="10"/>
      <c r="MIF57" s="10"/>
      <c r="MIG57" s="10"/>
      <c r="MIH57" s="10"/>
      <c r="MII57" s="10"/>
      <c r="MIJ57" s="10"/>
      <c r="MIK57" s="10"/>
      <c r="MIL57" s="10"/>
      <c r="MIM57" s="10"/>
      <c r="MIN57" s="10"/>
      <c r="MIO57" s="10"/>
      <c r="MIP57" s="10"/>
      <c r="MIQ57" s="10"/>
      <c r="MIR57" s="10"/>
      <c r="MIS57" s="10"/>
      <c r="MIT57" s="10"/>
      <c r="MIU57" s="10"/>
      <c r="MIV57" s="10"/>
      <c r="MIW57" s="10"/>
      <c r="MIX57" s="10"/>
      <c r="MIY57" s="10"/>
      <c r="MIZ57" s="10"/>
      <c r="MJA57" s="10"/>
      <c r="MJB57" s="10"/>
      <c r="MJC57" s="10"/>
      <c r="MJD57" s="10"/>
      <c r="MJE57" s="10"/>
      <c r="MJF57" s="10"/>
      <c r="MJG57" s="10"/>
      <c r="MJH57" s="10"/>
      <c r="MJI57" s="10"/>
      <c r="MJJ57" s="10"/>
      <c r="MJK57" s="10"/>
      <c r="MJL57" s="10"/>
      <c r="MJM57" s="10"/>
      <c r="MJN57" s="10"/>
      <c r="MJO57" s="10"/>
      <c r="MJP57" s="10"/>
      <c r="MJQ57" s="10"/>
      <c r="MJR57" s="10"/>
      <c r="MJS57" s="10"/>
      <c r="MJT57" s="10"/>
      <c r="MJU57" s="10"/>
      <c r="MJV57" s="10"/>
      <c r="MJW57" s="10"/>
      <c r="MJX57" s="10"/>
      <c r="MJY57" s="10"/>
      <c r="MJZ57" s="10"/>
      <c r="MKA57" s="10"/>
      <c r="MKB57" s="10"/>
      <c r="MKC57" s="10"/>
      <c r="MKD57" s="10"/>
      <c r="MKE57" s="10"/>
      <c r="MKF57" s="10"/>
      <c r="MKG57" s="10"/>
      <c r="MKH57" s="10"/>
      <c r="MKI57" s="10"/>
      <c r="MKJ57" s="10"/>
      <c r="MKK57" s="10"/>
      <c r="MKL57" s="10"/>
      <c r="MKM57" s="10"/>
      <c r="MKN57" s="10"/>
      <c r="MKO57" s="10"/>
      <c r="MKP57" s="10"/>
      <c r="MKQ57" s="10"/>
      <c r="MKR57" s="10"/>
      <c r="MKS57" s="10"/>
      <c r="MKT57" s="10"/>
      <c r="MKU57" s="10"/>
      <c r="MKV57" s="10"/>
      <c r="MKW57" s="10"/>
      <c r="MKX57" s="10"/>
      <c r="MKY57" s="10"/>
      <c r="MKZ57" s="10"/>
      <c r="MLA57" s="10"/>
      <c r="MLB57" s="10"/>
      <c r="MLC57" s="10"/>
      <c r="MLD57" s="10"/>
      <c r="MLE57" s="10"/>
      <c r="MLF57" s="10"/>
      <c r="MLG57" s="10"/>
      <c r="MLH57" s="10"/>
      <c r="MLI57" s="10"/>
      <c r="MLJ57" s="10"/>
      <c r="MLK57" s="10"/>
      <c r="MLL57" s="10"/>
      <c r="MLM57" s="10"/>
      <c r="MLN57" s="10"/>
      <c r="MLO57" s="10"/>
      <c r="MLP57" s="10"/>
      <c r="MLQ57" s="10"/>
      <c r="MLR57" s="10"/>
      <c r="MLS57" s="10"/>
      <c r="MLT57" s="10"/>
      <c r="MLU57" s="10"/>
      <c r="MLV57" s="10"/>
      <c r="MLW57" s="10"/>
      <c r="MLX57" s="10"/>
      <c r="MLY57" s="10"/>
      <c r="MLZ57" s="10"/>
      <c r="MMA57" s="10"/>
      <c r="MMB57" s="10"/>
      <c r="MMC57" s="10"/>
      <c r="MMD57" s="10"/>
      <c r="MME57" s="10"/>
      <c r="MMF57" s="10"/>
      <c r="MMG57" s="10"/>
      <c r="MMH57" s="10"/>
      <c r="MMI57" s="10"/>
      <c r="MMJ57" s="10"/>
      <c r="MMK57" s="10"/>
      <c r="MML57" s="10"/>
      <c r="MMM57" s="10"/>
      <c r="MMN57" s="10"/>
      <c r="MMO57" s="10"/>
      <c r="MMP57" s="10"/>
      <c r="MMQ57" s="10"/>
      <c r="MMR57" s="10"/>
      <c r="MMS57" s="10"/>
      <c r="MMT57" s="10"/>
      <c r="MMU57" s="10"/>
      <c r="MMV57" s="10"/>
      <c r="MMW57" s="10"/>
      <c r="MMX57" s="10"/>
      <c r="MMY57" s="10"/>
      <c r="MMZ57" s="10"/>
      <c r="MNA57" s="10"/>
      <c r="MNB57" s="10"/>
      <c r="MNC57" s="10"/>
      <c r="MND57" s="10"/>
      <c r="MNE57" s="10"/>
      <c r="MNF57" s="10"/>
      <c r="MNG57" s="10"/>
      <c r="MNH57" s="10"/>
      <c r="MNI57" s="10"/>
      <c r="MNJ57" s="10"/>
      <c r="MNK57" s="10"/>
      <c r="MNL57" s="10"/>
      <c r="MNM57" s="10"/>
      <c r="MNN57" s="10"/>
      <c r="MNO57" s="10"/>
      <c r="MNP57" s="10"/>
      <c r="MNQ57" s="10"/>
      <c r="MNR57" s="10"/>
      <c r="MNS57" s="10"/>
      <c r="MNT57" s="10"/>
      <c r="MNU57" s="10"/>
      <c r="MNV57" s="10"/>
      <c r="MNW57" s="10"/>
      <c r="MNX57" s="10"/>
      <c r="MNY57" s="10"/>
      <c r="MNZ57" s="10"/>
      <c r="MOA57" s="10"/>
      <c r="MOB57" s="10"/>
      <c r="MOC57" s="10"/>
      <c r="MOD57" s="10"/>
      <c r="MOE57" s="10"/>
      <c r="MOF57" s="10"/>
      <c r="MOG57" s="10"/>
      <c r="MOH57" s="10"/>
      <c r="MOI57" s="10"/>
      <c r="MOJ57" s="10"/>
      <c r="MOK57" s="10"/>
      <c r="MOL57" s="10"/>
      <c r="MOM57" s="10"/>
      <c r="MON57" s="10"/>
      <c r="MOO57" s="10"/>
      <c r="MOP57" s="10"/>
      <c r="MOQ57" s="10"/>
      <c r="MOR57" s="10"/>
      <c r="MOS57" s="10"/>
      <c r="MOT57" s="10"/>
      <c r="MOU57" s="10"/>
      <c r="MOV57" s="10"/>
      <c r="MOW57" s="10"/>
      <c r="MOX57" s="10"/>
      <c r="MOY57" s="10"/>
      <c r="MOZ57" s="10"/>
      <c r="MPA57" s="10"/>
      <c r="MPB57" s="10"/>
      <c r="MPC57" s="10"/>
      <c r="MPD57" s="10"/>
      <c r="MPE57" s="10"/>
      <c r="MPF57" s="10"/>
      <c r="MPG57" s="10"/>
      <c r="MPH57" s="10"/>
      <c r="MPI57" s="10"/>
      <c r="MPJ57" s="10"/>
      <c r="MPK57" s="10"/>
      <c r="MPL57" s="10"/>
      <c r="MPM57" s="10"/>
      <c r="MPN57" s="10"/>
      <c r="MPO57" s="10"/>
      <c r="MPP57" s="10"/>
      <c r="MPQ57" s="10"/>
      <c r="MPR57" s="10"/>
      <c r="MPS57" s="10"/>
      <c r="MPT57" s="10"/>
      <c r="MPU57" s="10"/>
      <c r="MPV57" s="10"/>
      <c r="MPW57" s="10"/>
      <c r="MPX57" s="10"/>
      <c r="MPY57" s="10"/>
      <c r="MPZ57" s="10"/>
      <c r="MQA57" s="10"/>
      <c r="MQB57" s="10"/>
      <c r="MQC57" s="10"/>
      <c r="MQD57" s="10"/>
      <c r="MQE57" s="10"/>
      <c r="MQF57" s="10"/>
      <c r="MQG57" s="10"/>
      <c r="MQH57" s="10"/>
      <c r="MQI57" s="10"/>
      <c r="MQJ57" s="10"/>
      <c r="MQK57" s="10"/>
      <c r="MQL57" s="10"/>
      <c r="MQM57" s="10"/>
      <c r="MQN57" s="10"/>
      <c r="MQO57" s="10"/>
      <c r="MQP57" s="10"/>
      <c r="MQQ57" s="10"/>
      <c r="MQR57" s="10"/>
      <c r="MQS57" s="10"/>
      <c r="MQT57" s="10"/>
      <c r="MQU57" s="10"/>
      <c r="MQV57" s="10"/>
      <c r="MQW57" s="10"/>
      <c r="MQX57" s="10"/>
      <c r="MQY57" s="10"/>
      <c r="MQZ57" s="10"/>
      <c r="MRA57" s="10"/>
      <c r="MRB57" s="10"/>
      <c r="MRC57" s="10"/>
      <c r="MRD57" s="10"/>
      <c r="MRE57" s="10"/>
      <c r="MRF57" s="10"/>
      <c r="MRG57" s="10"/>
      <c r="MRH57" s="10"/>
      <c r="MRI57" s="10"/>
      <c r="MRJ57" s="10"/>
      <c r="MRK57" s="10"/>
      <c r="MRL57" s="10"/>
      <c r="MRM57" s="10"/>
      <c r="MRN57" s="10"/>
      <c r="MRO57" s="10"/>
      <c r="MRP57" s="10"/>
      <c r="MRQ57" s="10"/>
      <c r="MRR57" s="10"/>
      <c r="MRS57" s="10"/>
      <c r="MRT57" s="10"/>
      <c r="MRU57" s="10"/>
      <c r="MRV57" s="10"/>
      <c r="MRW57" s="10"/>
      <c r="MRX57" s="10"/>
      <c r="MRY57" s="10"/>
      <c r="MRZ57" s="10"/>
      <c r="MSA57" s="10"/>
      <c r="MSB57" s="10"/>
      <c r="MSC57" s="10"/>
      <c r="MSD57" s="10"/>
      <c r="MSE57" s="10"/>
      <c r="MSF57" s="10"/>
      <c r="MSG57" s="10"/>
      <c r="MSH57" s="10"/>
      <c r="MSI57" s="10"/>
      <c r="MSJ57" s="10"/>
      <c r="MSK57" s="10"/>
      <c r="MSL57" s="10"/>
      <c r="MSM57" s="10"/>
      <c r="MSN57" s="10"/>
      <c r="MSO57" s="10"/>
      <c r="MSP57" s="10"/>
      <c r="MSQ57" s="10"/>
      <c r="MSR57" s="10"/>
      <c r="MSS57" s="10"/>
      <c r="MST57" s="10"/>
      <c r="MSU57" s="10"/>
      <c r="MSV57" s="10"/>
      <c r="MSW57" s="10"/>
      <c r="MSX57" s="10"/>
      <c r="MSY57" s="10"/>
      <c r="MSZ57" s="10"/>
      <c r="MTA57" s="10"/>
      <c r="MTB57" s="10"/>
      <c r="MTC57" s="10"/>
      <c r="MTD57" s="10"/>
      <c r="MTE57" s="10"/>
      <c r="MTF57" s="10"/>
      <c r="MTG57" s="10"/>
      <c r="MTH57" s="10"/>
      <c r="MTI57" s="10"/>
      <c r="MTJ57" s="10"/>
      <c r="MTK57" s="10"/>
      <c r="MTL57" s="10"/>
      <c r="MTM57" s="10"/>
      <c r="MTN57" s="10"/>
      <c r="MTO57" s="10"/>
      <c r="MTP57" s="10"/>
      <c r="MTQ57" s="10"/>
      <c r="MTR57" s="10"/>
      <c r="MTS57" s="10"/>
      <c r="MTT57" s="10"/>
      <c r="MTU57" s="10"/>
      <c r="MTV57" s="10"/>
      <c r="MTW57" s="10"/>
      <c r="MTX57" s="10"/>
      <c r="MTY57" s="10"/>
      <c r="MTZ57" s="10"/>
      <c r="MUA57" s="10"/>
      <c r="MUB57" s="10"/>
      <c r="MUC57" s="10"/>
      <c r="MUD57" s="10"/>
      <c r="MUE57" s="10"/>
      <c r="MUF57" s="10"/>
      <c r="MUG57" s="10"/>
      <c r="MUH57" s="10"/>
      <c r="MUI57" s="10"/>
      <c r="MUJ57" s="10"/>
      <c r="MUK57" s="10"/>
      <c r="MUL57" s="10"/>
      <c r="MUM57" s="10"/>
      <c r="MUN57" s="10"/>
      <c r="MUO57" s="10"/>
      <c r="MUP57" s="10"/>
      <c r="MUQ57" s="10"/>
      <c r="MUR57" s="10"/>
      <c r="MUS57" s="10"/>
      <c r="MUT57" s="10"/>
      <c r="MUU57" s="10"/>
      <c r="MUV57" s="10"/>
      <c r="MUW57" s="10"/>
      <c r="MUX57" s="10"/>
      <c r="MUY57" s="10"/>
      <c r="MUZ57" s="10"/>
      <c r="MVA57" s="10"/>
      <c r="MVB57" s="10"/>
      <c r="MVC57" s="10"/>
      <c r="MVD57" s="10"/>
      <c r="MVE57" s="10"/>
      <c r="MVF57" s="10"/>
      <c r="MVG57" s="10"/>
      <c r="MVH57" s="10"/>
      <c r="MVI57" s="10"/>
      <c r="MVJ57" s="10"/>
      <c r="MVK57" s="10"/>
      <c r="MVL57" s="10"/>
      <c r="MVM57" s="10"/>
      <c r="MVN57" s="10"/>
      <c r="MVO57" s="10"/>
      <c r="MVP57" s="10"/>
      <c r="MVQ57" s="10"/>
      <c r="MVR57" s="10"/>
      <c r="MVS57" s="10"/>
      <c r="MVT57" s="10"/>
      <c r="MVU57" s="10"/>
      <c r="MVV57" s="10"/>
      <c r="MVW57" s="10"/>
      <c r="MVX57" s="10"/>
      <c r="MVY57" s="10"/>
      <c r="MVZ57" s="10"/>
      <c r="MWA57" s="10"/>
      <c r="MWB57" s="10"/>
      <c r="MWC57" s="10"/>
      <c r="MWD57" s="10"/>
      <c r="MWE57" s="10"/>
      <c r="MWF57" s="10"/>
      <c r="MWG57" s="10"/>
      <c r="MWH57" s="10"/>
      <c r="MWI57" s="10"/>
      <c r="MWJ57" s="10"/>
      <c r="MWK57" s="10"/>
      <c r="MWL57" s="10"/>
      <c r="MWM57" s="10"/>
      <c r="MWN57" s="10"/>
      <c r="MWO57" s="10"/>
      <c r="MWP57" s="10"/>
      <c r="MWQ57" s="10"/>
      <c r="MWR57" s="10"/>
      <c r="MWS57" s="10"/>
      <c r="MWT57" s="10"/>
      <c r="MWU57" s="10"/>
      <c r="MWV57" s="10"/>
      <c r="MWW57" s="10"/>
      <c r="MWX57" s="10"/>
      <c r="MWY57" s="10"/>
      <c r="MWZ57" s="10"/>
      <c r="MXA57" s="10"/>
      <c r="MXB57" s="10"/>
      <c r="MXC57" s="10"/>
      <c r="MXD57" s="10"/>
      <c r="MXE57" s="10"/>
      <c r="MXF57" s="10"/>
      <c r="MXG57" s="10"/>
      <c r="MXH57" s="10"/>
      <c r="MXI57" s="10"/>
      <c r="MXJ57" s="10"/>
      <c r="MXK57" s="10"/>
      <c r="MXL57" s="10"/>
      <c r="MXM57" s="10"/>
      <c r="MXN57" s="10"/>
      <c r="MXO57" s="10"/>
      <c r="MXP57" s="10"/>
      <c r="MXQ57" s="10"/>
      <c r="MXR57" s="10"/>
      <c r="MXS57" s="10"/>
      <c r="MXT57" s="10"/>
      <c r="MXU57" s="10"/>
      <c r="MXV57" s="10"/>
      <c r="MXW57" s="10"/>
      <c r="MXX57" s="10"/>
      <c r="MXY57" s="10"/>
      <c r="MXZ57" s="10"/>
      <c r="MYA57" s="10"/>
      <c r="MYB57" s="10"/>
      <c r="MYC57" s="10"/>
      <c r="MYD57" s="10"/>
      <c r="MYE57" s="10"/>
      <c r="MYF57" s="10"/>
      <c r="MYG57" s="10"/>
      <c r="MYH57" s="10"/>
      <c r="MYI57" s="10"/>
      <c r="MYJ57" s="10"/>
      <c r="MYK57" s="10"/>
      <c r="MYL57" s="10"/>
      <c r="MYM57" s="10"/>
      <c r="MYN57" s="10"/>
      <c r="MYO57" s="10"/>
      <c r="MYP57" s="10"/>
      <c r="MYQ57" s="10"/>
      <c r="MYR57" s="10"/>
      <c r="MYS57" s="10"/>
      <c r="MYT57" s="10"/>
      <c r="MYU57" s="10"/>
      <c r="MYV57" s="10"/>
      <c r="MYW57" s="10"/>
      <c r="MYX57" s="10"/>
      <c r="MYY57" s="10"/>
      <c r="MYZ57" s="10"/>
      <c r="MZA57" s="10"/>
      <c r="MZB57" s="10"/>
      <c r="MZC57" s="10"/>
      <c r="MZD57" s="10"/>
      <c r="MZE57" s="10"/>
      <c r="MZF57" s="10"/>
      <c r="MZG57" s="10"/>
      <c r="MZH57" s="10"/>
      <c r="MZI57" s="10"/>
      <c r="MZJ57" s="10"/>
      <c r="MZK57" s="10"/>
      <c r="MZL57" s="10"/>
      <c r="MZM57" s="10"/>
      <c r="MZN57" s="10"/>
      <c r="MZO57" s="10"/>
      <c r="MZP57" s="10"/>
      <c r="MZQ57" s="10"/>
      <c r="MZR57" s="10"/>
      <c r="MZS57" s="10"/>
      <c r="MZT57" s="10"/>
      <c r="MZU57" s="10"/>
      <c r="MZV57" s="10"/>
      <c r="MZW57" s="10"/>
      <c r="MZX57" s="10"/>
      <c r="MZY57" s="10"/>
      <c r="MZZ57" s="10"/>
      <c r="NAA57" s="10"/>
      <c r="NAB57" s="10"/>
      <c r="NAC57" s="10"/>
      <c r="NAD57" s="10"/>
      <c r="NAE57" s="10"/>
      <c r="NAF57" s="10"/>
      <c r="NAG57" s="10"/>
      <c r="NAH57" s="10"/>
      <c r="NAI57" s="10"/>
      <c r="NAJ57" s="10"/>
      <c r="NAK57" s="10"/>
      <c r="NAL57" s="10"/>
      <c r="NAM57" s="10"/>
      <c r="NAN57" s="10"/>
      <c r="NAO57" s="10"/>
      <c r="NAP57" s="10"/>
      <c r="NAQ57" s="10"/>
      <c r="NAR57" s="10"/>
      <c r="NAS57" s="10"/>
      <c r="NAT57" s="10"/>
      <c r="NAU57" s="10"/>
      <c r="NAV57" s="10"/>
      <c r="NAW57" s="10"/>
      <c r="NAX57" s="10"/>
      <c r="NAY57" s="10"/>
      <c r="NAZ57" s="10"/>
      <c r="NBA57" s="10"/>
      <c r="NBB57" s="10"/>
      <c r="NBC57" s="10"/>
      <c r="NBD57" s="10"/>
      <c r="NBE57" s="10"/>
      <c r="NBF57" s="10"/>
      <c r="NBG57" s="10"/>
      <c r="NBH57" s="10"/>
      <c r="NBI57" s="10"/>
      <c r="NBJ57" s="10"/>
      <c r="NBK57" s="10"/>
      <c r="NBL57" s="10"/>
      <c r="NBM57" s="10"/>
      <c r="NBN57" s="10"/>
      <c r="NBO57" s="10"/>
      <c r="NBP57" s="10"/>
      <c r="NBQ57" s="10"/>
      <c r="NBR57" s="10"/>
      <c r="NBS57" s="10"/>
      <c r="NBT57" s="10"/>
      <c r="NBU57" s="10"/>
      <c r="NBV57" s="10"/>
      <c r="NBW57" s="10"/>
      <c r="NBX57" s="10"/>
      <c r="NBY57" s="10"/>
      <c r="NBZ57" s="10"/>
      <c r="NCA57" s="10"/>
      <c r="NCB57" s="10"/>
      <c r="NCC57" s="10"/>
      <c r="NCD57" s="10"/>
      <c r="NCE57" s="10"/>
      <c r="NCF57" s="10"/>
      <c r="NCG57" s="10"/>
      <c r="NCH57" s="10"/>
      <c r="NCI57" s="10"/>
      <c r="NCJ57" s="10"/>
      <c r="NCK57" s="10"/>
      <c r="NCL57" s="10"/>
      <c r="NCM57" s="10"/>
      <c r="NCN57" s="10"/>
      <c r="NCO57" s="10"/>
      <c r="NCP57" s="10"/>
      <c r="NCQ57" s="10"/>
      <c r="NCR57" s="10"/>
      <c r="NCS57" s="10"/>
      <c r="NCT57" s="10"/>
      <c r="NCU57" s="10"/>
      <c r="NCV57" s="10"/>
      <c r="NCW57" s="10"/>
      <c r="NCX57" s="10"/>
      <c r="NCY57" s="10"/>
      <c r="NCZ57" s="10"/>
      <c r="NDA57" s="10"/>
      <c r="NDB57" s="10"/>
      <c r="NDC57" s="10"/>
      <c r="NDD57" s="10"/>
      <c r="NDE57" s="10"/>
      <c r="NDF57" s="10"/>
      <c r="NDG57" s="10"/>
      <c r="NDH57" s="10"/>
      <c r="NDI57" s="10"/>
      <c r="NDJ57" s="10"/>
      <c r="NDK57" s="10"/>
      <c r="NDL57" s="10"/>
      <c r="NDM57" s="10"/>
      <c r="NDN57" s="10"/>
      <c r="NDO57" s="10"/>
      <c r="NDP57" s="10"/>
      <c r="NDQ57" s="10"/>
      <c r="NDR57" s="10"/>
      <c r="NDS57" s="10"/>
      <c r="NDT57" s="10"/>
      <c r="NDU57" s="10"/>
      <c r="NDV57" s="10"/>
      <c r="NDW57" s="10"/>
      <c r="NDX57" s="10"/>
      <c r="NDY57" s="10"/>
      <c r="NDZ57" s="10"/>
      <c r="NEA57" s="10"/>
      <c r="NEB57" s="10"/>
      <c r="NEC57" s="10"/>
      <c r="NED57" s="10"/>
      <c r="NEE57" s="10"/>
      <c r="NEF57" s="10"/>
      <c r="NEG57" s="10"/>
      <c r="NEH57" s="10"/>
      <c r="NEI57" s="10"/>
      <c r="NEJ57" s="10"/>
      <c r="NEK57" s="10"/>
      <c r="NEL57" s="10"/>
      <c r="NEM57" s="10"/>
      <c r="NEN57" s="10"/>
      <c r="NEO57" s="10"/>
      <c r="NEP57" s="10"/>
      <c r="NEQ57" s="10"/>
      <c r="NER57" s="10"/>
      <c r="NES57" s="10"/>
      <c r="NET57" s="10"/>
      <c r="NEU57" s="10"/>
      <c r="NEV57" s="10"/>
      <c r="NEW57" s="10"/>
      <c r="NEX57" s="10"/>
      <c r="NEY57" s="10"/>
      <c r="NEZ57" s="10"/>
      <c r="NFA57" s="10"/>
      <c r="NFB57" s="10"/>
      <c r="NFC57" s="10"/>
      <c r="NFD57" s="10"/>
      <c r="NFE57" s="10"/>
      <c r="NFF57" s="10"/>
      <c r="NFG57" s="10"/>
      <c r="NFH57" s="10"/>
      <c r="NFI57" s="10"/>
      <c r="NFJ57" s="10"/>
      <c r="NFK57" s="10"/>
      <c r="NFL57" s="10"/>
      <c r="NFM57" s="10"/>
      <c r="NFN57" s="10"/>
      <c r="NFO57" s="10"/>
      <c r="NFP57" s="10"/>
      <c r="NFQ57" s="10"/>
      <c r="NFR57" s="10"/>
      <c r="NFS57" s="10"/>
      <c r="NFT57" s="10"/>
      <c r="NFU57" s="10"/>
      <c r="NFV57" s="10"/>
      <c r="NFW57" s="10"/>
      <c r="NFX57" s="10"/>
      <c r="NFY57" s="10"/>
      <c r="NFZ57" s="10"/>
      <c r="NGA57" s="10"/>
      <c r="NGB57" s="10"/>
      <c r="NGC57" s="10"/>
      <c r="NGD57" s="10"/>
      <c r="NGE57" s="10"/>
      <c r="NGF57" s="10"/>
      <c r="NGG57" s="10"/>
      <c r="NGH57" s="10"/>
      <c r="NGI57" s="10"/>
      <c r="NGJ57" s="10"/>
      <c r="NGK57" s="10"/>
      <c r="NGL57" s="10"/>
      <c r="NGM57" s="10"/>
      <c r="NGN57" s="10"/>
      <c r="NGO57" s="10"/>
      <c r="NGP57" s="10"/>
      <c r="NGQ57" s="10"/>
      <c r="NGR57" s="10"/>
      <c r="NGS57" s="10"/>
      <c r="NGT57" s="10"/>
      <c r="NGU57" s="10"/>
      <c r="NGV57" s="10"/>
      <c r="NGW57" s="10"/>
      <c r="NGX57" s="10"/>
      <c r="NGY57" s="10"/>
      <c r="NGZ57" s="10"/>
      <c r="NHA57" s="10"/>
      <c r="NHB57" s="10"/>
      <c r="NHC57" s="10"/>
      <c r="NHD57" s="10"/>
      <c r="NHE57" s="10"/>
      <c r="NHF57" s="10"/>
      <c r="NHG57" s="10"/>
      <c r="NHH57" s="10"/>
      <c r="NHI57" s="10"/>
      <c r="NHJ57" s="10"/>
      <c r="NHK57" s="10"/>
      <c r="NHL57" s="10"/>
      <c r="NHM57" s="10"/>
      <c r="NHN57" s="10"/>
      <c r="NHO57" s="10"/>
      <c r="NHP57" s="10"/>
      <c r="NHQ57" s="10"/>
      <c r="NHR57" s="10"/>
      <c r="NHS57" s="10"/>
      <c r="NHT57" s="10"/>
      <c r="NHU57" s="10"/>
      <c r="NHV57" s="10"/>
      <c r="NHW57" s="10"/>
      <c r="NHX57" s="10"/>
      <c r="NHY57" s="10"/>
      <c r="NHZ57" s="10"/>
      <c r="NIA57" s="10"/>
      <c r="NIB57" s="10"/>
      <c r="NIC57" s="10"/>
      <c r="NID57" s="10"/>
      <c r="NIE57" s="10"/>
      <c r="NIF57" s="10"/>
      <c r="NIG57" s="10"/>
      <c r="NIH57" s="10"/>
      <c r="NII57" s="10"/>
      <c r="NIJ57" s="10"/>
      <c r="NIK57" s="10"/>
      <c r="NIL57" s="10"/>
      <c r="NIM57" s="10"/>
      <c r="NIN57" s="10"/>
      <c r="NIO57" s="10"/>
      <c r="NIP57" s="10"/>
      <c r="NIQ57" s="10"/>
      <c r="NIR57" s="10"/>
      <c r="NIS57" s="10"/>
      <c r="NIT57" s="10"/>
      <c r="NIU57" s="10"/>
      <c r="NIV57" s="10"/>
      <c r="NIW57" s="10"/>
      <c r="NIX57" s="10"/>
      <c r="NIY57" s="10"/>
      <c r="NIZ57" s="10"/>
      <c r="NJA57" s="10"/>
      <c r="NJB57" s="10"/>
      <c r="NJC57" s="10"/>
      <c r="NJD57" s="10"/>
      <c r="NJE57" s="10"/>
      <c r="NJF57" s="10"/>
      <c r="NJG57" s="10"/>
      <c r="NJH57" s="10"/>
      <c r="NJI57" s="10"/>
      <c r="NJJ57" s="10"/>
      <c r="NJK57" s="10"/>
      <c r="NJL57" s="10"/>
      <c r="NJM57" s="10"/>
      <c r="NJN57" s="10"/>
      <c r="NJO57" s="10"/>
      <c r="NJP57" s="10"/>
      <c r="NJQ57" s="10"/>
      <c r="NJR57" s="10"/>
      <c r="NJS57" s="10"/>
      <c r="NJT57" s="10"/>
      <c r="NJU57" s="10"/>
      <c r="NJV57" s="10"/>
      <c r="NJW57" s="10"/>
      <c r="NJX57" s="10"/>
      <c r="NJY57" s="10"/>
      <c r="NJZ57" s="10"/>
      <c r="NKA57" s="10"/>
      <c r="NKB57" s="10"/>
      <c r="NKC57" s="10"/>
      <c r="NKD57" s="10"/>
      <c r="NKE57" s="10"/>
      <c r="NKF57" s="10"/>
      <c r="NKG57" s="10"/>
      <c r="NKH57" s="10"/>
      <c r="NKI57" s="10"/>
      <c r="NKJ57" s="10"/>
      <c r="NKK57" s="10"/>
      <c r="NKL57" s="10"/>
      <c r="NKM57" s="10"/>
      <c r="NKN57" s="10"/>
      <c r="NKO57" s="10"/>
      <c r="NKP57" s="10"/>
      <c r="NKQ57" s="10"/>
      <c r="NKR57" s="10"/>
      <c r="NKS57" s="10"/>
      <c r="NKT57" s="10"/>
      <c r="NKU57" s="10"/>
      <c r="NKV57" s="10"/>
      <c r="NKW57" s="10"/>
      <c r="NKX57" s="10"/>
      <c r="NKY57" s="10"/>
      <c r="NKZ57" s="10"/>
      <c r="NLA57" s="10"/>
      <c r="NLB57" s="10"/>
      <c r="NLC57" s="10"/>
      <c r="NLD57" s="10"/>
      <c r="NLE57" s="10"/>
      <c r="NLF57" s="10"/>
      <c r="NLG57" s="10"/>
      <c r="NLH57" s="10"/>
      <c r="NLI57" s="10"/>
      <c r="NLJ57" s="10"/>
      <c r="NLK57" s="10"/>
      <c r="NLL57" s="10"/>
      <c r="NLM57" s="10"/>
      <c r="NLN57" s="10"/>
      <c r="NLO57" s="10"/>
      <c r="NLP57" s="10"/>
      <c r="NLQ57" s="10"/>
      <c r="NLR57" s="10"/>
      <c r="NLS57" s="10"/>
      <c r="NLT57" s="10"/>
      <c r="NLU57" s="10"/>
      <c r="NLV57" s="10"/>
      <c r="NLW57" s="10"/>
      <c r="NLX57" s="10"/>
      <c r="NLY57" s="10"/>
      <c r="NLZ57" s="10"/>
      <c r="NMA57" s="10"/>
      <c r="NMB57" s="10"/>
      <c r="NMC57" s="10"/>
      <c r="NMD57" s="10"/>
      <c r="NME57" s="10"/>
      <c r="NMF57" s="10"/>
      <c r="NMG57" s="10"/>
      <c r="NMH57" s="10"/>
      <c r="NMI57" s="10"/>
      <c r="NMJ57" s="10"/>
      <c r="NMK57" s="10"/>
      <c r="NML57" s="10"/>
      <c r="NMM57" s="10"/>
      <c r="NMN57" s="10"/>
      <c r="NMO57" s="10"/>
      <c r="NMP57" s="10"/>
      <c r="NMQ57" s="10"/>
      <c r="NMR57" s="10"/>
      <c r="NMS57" s="10"/>
      <c r="NMT57" s="10"/>
      <c r="NMU57" s="10"/>
      <c r="NMV57" s="10"/>
      <c r="NMW57" s="10"/>
      <c r="NMX57" s="10"/>
      <c r="NMY57" s="10"/>
      <c r="NMZ57" s="10"/>
      <c r="NNA57" s="10"/>
      <c r="NNB57" s="10"/>
      <c r="NNC57" s="10"/>
      <c r="NND57" s="10"/>
      <c r="NNE57" s="10"/>
      <c r="NNF57" s="10"/>
      <c r="NNG57" s="10"/>
      <c r="NNH57" s="10"/>
      <c r="NNI57" s="10"/>
      <c r="NNJ57" s="10"/>
      <c r="NNK57" s="10"/>
      <c r="NNL57" s="10"/>
      <c r="NNM57" s="10"/>
      <c r="NNN57" s="10"/>
      <c r="NNO57" s="10"/>
      <c r="NNP57" s="10"/>
      <c r="NNQ57" s="10"/>
      <c r="NNR57" s="10"/>
      <c r="NNS57" s="10"/>
      <c r="NNT57" s="10"/>
      <c r="NNU57" s="10"/>
      <c r="NNV57" s="10"/>
      <c r="NNW57" s="10"/>
      <c r="NNX57" s="10"/>
      <c r="NNY57" s="10"/>
      <c r="NNZ57" s="10"/>
      <c r="NOA57" s="10"/>
      <c r="NOB57" s="10"/>
      <c r="NOC57" s="10"/>
      <c r="NOD57" s="10"/>
      <c r="NOE57" s="10"/>
      <c r="NOF57" s="10"/>
      <c r="NOG57" s="10"/>
      <c r="NOH57" s="10"/>
      <c r="NOI57" s="10"/>
      <c r="NOJ57" s="10"/>
      <c r="NOK57" s="10"/>
      <c r="NOL57" s="10"/>
      <c r="NOM57" s="10"/>
      <c r="NON57" s="10"/>
      <c r="NOO57" s="10"/>
      <c r="NOP57" s="10"/>
      <c r="NOQ57" s="10"/>
      <c r="NOR57" s="10"/>
      <c r="NOS57" s="10"/>
      <c r="NOT57" s="10"/>
      <c r="NOU57" s="10"/>
      <c r="NOV57" s="10"/>
      <c r="NOW57" s="10"/>
      <c r="NOX57" s="10"/>
      <c r="NOY57" s="10"/>
      <c r="NOZ57" s="10"/>
      <c r="NPA57" s="10"/>
      <c r="NPB57" s="10"/>
      <c r="NPC57" s="10"/>
      <c r="NPD57" s="10"/>
      <c r="NPE57" s="10"/>
      <c r="NPF57" s="10"/>
      <c r="NPG57" s="10"/>
      <c r="NPH57" s="10"/>
      <c r="NPI57" s="10"/>
      <c r="NPJ57" s="10"/>
      <c r="NPK57" s="10"/>
      <c r="NPL57" s="10"/>
      <c r="NPM57" s="10"/>
      <c r="NPN57" s="10"/>
      <c r="NPO57" s="10"/>
      <c r="NPP57" s="10"/>
      <c r="NPQ57" s="10"/>
      <c r="NPR57" s="10"/>
      <c r="NPS57" s="10"/>
      <c r="NPT57" s="10"/>
      <c r="NPU57" s="10"/>
      <c r="NPV57" s="10"/>
      <c r="NPW57" s="10"/>
      <c r="NPX57" s="10"/>
      <c r="NPY57" s="10"/>
      <c r="NPZ57" s="10"/>
      <c r="NQA57" s="10"/>
      <c r="NQB57" s="10"/>
      <c r="NQC57" s="10"/>
      <c r="NQD57" s="10"/>
      <c r="NQE57" s="10"/>
      <c r="NQF57" s="10"/>
      <c r="NQG57" s="10"/>
      <c r="NQH57" s="10"/>
      <c r="NQI57" s="10"/>
      <c r="NQJ57" s="10"/>
      <c r="NQK57" s="10"/>
      <c r="NQL57" s="10"/>
      <c r="NQM57" s="10"/>
      <c r="NQN57" s="10"/>
      <c r="NQO57" s="10"/>
      <c r="NQP57" s="10"/>
      <c r="NQQ57" s="10"/>
      <c r="NQR57" s="10"/>
      <c r="NQS57" s="10"/>
      <c r="NQT57" s="10"/>
      <c r="NQU57" s="10"/>
      <c r="NQV57" s="10"/>
      <c r="NQW57" s="10"/>
      <c r="NQX57" s="10"/>
      <c r="NQY57" s="10"/>
      <c r="NQZ57" s="10"/>
      <c r="NRA57" s="10"/>
      <c r="NRB57" s="10"/>
      <c r="NRC57" s="10"/>
      <c r="NRD57" s="10"/>
      <c r="NRE57" s="10"/>
      <c r="NRF57" s="10"/>
      <c r="NRG57" s="10"/>
      <c r="NRH57" s="10"/>
      <c r="NRI57" s="10"/>
      <c r="NRJ57" s="10"/>
      <c r="NRK57" s="10"/>
      <c r="NRL57" s="10"/>
      <c r="NRM57" s="10"/>
      <c r="NRN57" s="10"/>
      <c r="NRO57" s="10"/>
      <c r="NRP57" s="10"/>
      <c r="NRQ57" s="10"/>
      <c r="NRR57" s="10"/>
      <c r="NRS57" s="10"/>
      <c r="NRT57" s="10"/>
      <c r="NRU57" s="10"/>
      <c r="NRV57" s="10"/>
      <c r="NRW57" s="10"/>
      <c r="NRX57" s="10"/>
      <c r="NRY57" s="10"/>
      <c r="NRZ57" s="10"/>
      <c r="NSA57" s="10"/>
      <c r="NSB57" s="10"/>
      <c r="NSC57" s="10"/>
      <c r="NSD57" s="10"/>
      <c r="NSE57" s="10"/>
      <c r="NSF57" s="10"/>
      <c r="NSG57" s="10"/>
      <c r="NSH57" s="10"/>
      <c r="NSI57" s="10"/>
      <c r="NSJ57" s="10"/>
      <c r="NSK57" s="10"/>
      <c r="NSL57" s="10"/>
      <c r="NSM57" s="10"/>
      <c r="NSN57" s="10"/>
      <c r="NSO57" s="10"/>
      <c r="NSP57" s="10"/>
      <c r="NSQ57" s="10"/>
      <c r="NSR57" s="10"/>
      <c r="NSS57" s="10"/>
      <c r="NST57" s="10"/>
      <c r="NSU57" s="10"/>
      <c r="NSV57" s="10"/>
      <c r="NSW57" s="10"/>
      <c r="NSX57" s="10"/>
      <c r="NSY57" s="10"/>
      <c r="NSZ57" s="10"/>
      <c r="NTA57" s="10"/>
      <c r="NTB57" s="10"/>
      <c r="NTC57" s="10"/>
      <c r="NTD57" s="10"/>
      <c r="NTE57" s="10"/>
      <c r="NTF57" s="10"/>
      <c r="NTG57" s="10"/>
      <c r="NTH57" s="10"/>
      <c r="NTI57" s="10"/>
      <c r="NTJ57" s="10"/>
      <c r="NTK57" s="10"/>
      <c r="NTL57" s="10"/>
      <c r="NTM57" s="10"/>
      <c r="NTN57" s="10"/>
      <c r="NTO57" s="10"/>
      <c r="NTP57" s="10"/>
      <c r="NTQ57" s="10"/>
      <c r="NTR57" s="10"/>
      <c r="NTS57" s="10"/>
      <c r="NTT57" s="10"/>
      <c r="NTU57" s="10"/>
      <c r="NTV57" s="10"/>
      <c r="NTW57" s="10"/>
      <c r="NTX57" s="10"/>
      <c r="NTY57" s="10"/>
      <c r="NTZ57" s="10"/>
      <c r="NUA57" s="10"/>
      <c r="NUB57" s="10"/>
      <c r="NUC57" s="10"/>
      <c r="NUD57" s="10"/>
      <c r="NUE57" s="10"/>
      <c r="NUF57" s="10"/>
      <c r="NUG57" s="10"/>
      <c r="NUH57" s="10"/>
      <c r="NUI57" s="10"/>
      <c r="NUJ57" s="10"/>
      <c r="NUK57" s="10"/>
      <c r="NUL57" s="10"/>
      <c r="NUM57" s="10"/>
      <c r="NUN57" s="10"/>
      <c r="NUO57" s="10"/>
      <c r="NUP57" s="10"/>
      <c r="NUQ57" s="10"/>
      <c r="NUR57" s="10"/>
      <c r="NUS57" s="10"/>
      <c r="NUT57" s="10"/>
      <c r="NUU57" s="10"/>
      <c r="NUV57" s="10"/>
      <c r="NUW57" s="10"/>
      <c r="NUX57" s="10"/>
      <c r="NUY57" s="10"/>
      <c r="NUZ57" s="10"/>
      <c r="NVA57" s="10"/>
      <c r="NVB57" s="10"/>
      <c r="NVC57" s="10"/>
      <c r="NVD57" s="10"/>
      <c r="NVE57" s="10"/>
      <c r="NVF57" s="10"/>
      <c r="NVG57" s="10"/>
      <c r="NVH57" s="10"/>
      <c r="NVI57" s="10"/>
      <c r="NVJ57" s="10"/>
      <c r="NVK57" s="10"/>
      <c r="NVL57" s="10"/>
      <c r="NVM57" s="10"/>
      <c r="NVN57" s="10"/>
      <c r="NVO57" s="10"/>
      <c r="NVP57" s="10"/>
      <c r="NVQ57" s="10"/>
      <c r="NVR57" s="10"/>
      <c r="NVS57" s="10"/>
      <c r="NVT57" s="10"/>
      <c r="NVU57" s="10"/>
      <c r="NVV57" s="10"/>
      <c r="NVW57" s="10"/>
      <c r="NVX57" s="10"/>
      <c r="NVY57" s="10"/>
      <c r="NVZ57" s="10"/>
      <c r="NWA57" s="10"/>
      <c r="NWB57" s="10"/>
      <c r="NWC57" s="10"/>
      <c r="NWD57" s="10"/>
      <c r="NWE57" s="10"/>
      <c r="NWF57" s="10"/>
      <c r="NWG57" s="10"/>
      <c r="NWH57" s="10"/>
      <c r="NWI57" s="10"/>
      <c r="NWJ57" s="10"/>
      <c r="NWK57" s="10"/>
      <c r="NWL57" s="10"/>
      <c r="NWM57" s="10"/>
      <c r="NWN57" s="10"/>
      <c r="NWO57" s="10"/>
      <c r="NWP57" s="10"/>
      <c r="NWQ57" s="10"/>
      <c r="NWR57" s="10"/>
      <c r="NWS57" s="10"/>
      <c r="NWT57" s="10"/>
      <c r="NWU57" s="10"/>
      <c r="NWV57" s="10"/>
      <c r="NWW57" s="10"/>
      <c r="NWX57" s="10"/>
      <c r="NWY57" s="10"/>
      <c r="NWZ57" s="10"/>
      <c r="NXA57" s="10"/>
      <c r="NXB57" s="10"/>
      <c r="NXC57" s="10"/>
      <c r="NXD57" s="10"/>
      <c r="NXE57" s="10"/>
      <c r="NXF57" s="10"/>
      <c r="NXG57" s="10"/>
      <c r="NXH57" s="10"/>
      <c r="NXI57" s="10"/>
      <c r="NXJ57" s="10"/>
      <c r="NXK57" s="10"/>
      <c r="NXL57" s="10"/>
      <c r="NXM57" s="10"/>
      <c r="NXN57" s="10"/>
      <c r="NXO57" s="10"/>
      <c r="NXP57" s="10"/>
      <c r="NXQ57" s="10"/>
      <c r="NXR57" s="10"/>
      <c r="NXS57" s="10"/>
      <c r="NXT57" s="10"/>
      <c r="NXU57" s="10"/>
      <c r="NXV57" s="10"/>
      <c r="NXW57" s="10"/>
      <c r="NXX57" s="10"/>
      <c r="NXY57" s="10"/>
      <c r="NXZ57" s="10"/>
      <c r="NYA57" s="10"/>
      <c r="NYB57" s="10"/>
      <c r="NYC57" s="10"/>
      <c r="NYD57" s="10"/>
      <c r="NYE57" s="10"/>
      <c r="NYF57" s="10"/>
      <c r="NYG57" s="10"/>
      <c r="NYH57" s="10"/>
      <c r="NYI57" s="10"/>
      <c r="NYJ57" s="10"/>
      <c r="NYK57" s="10"/>
      <c r="NYL57" s="10"/>
      <c r="NYM57" s="10"/>
      <c r="NYN57" s="10"/>
      <c r="NYO57" s="10"/>
      <c r="NYP57" s="10"/>
      <c r="NYQ57" s="10"/>
      <c r="NYR57" s="10"/>
      <c r="NYS57" s="10"/>
      <c r="NYT57" s="10"/>
      <c r="NYU57" s="10"/>
      <c r="NYV57" s="10"/>
      <c r="NYW57" s="10"/>
      <c r="NYX57" s="10"/>
      <c r="NYY57" s="10"/>
      <c r="NYZ57" s="10"/>
      <c r="NZA57" s="10"/>
      <c r="NZB57" s="10"/>
      <c r="NZC57" s="10"/>
      <c r="NZD57" s="10"/>
      <c r="NZE57" s="10"/>
      <c r="NZF57" s="10"/>
      <c r="NZG57" s="10"/>
      <c r="NZH57" s="10"/>
      <c r="NZI57" s="10"/>
      <c r="NZJ57" s="10"/>
      <c r="NZK57" s="10"/>
      <c r="NZL57" s="10"/>
      <c r="NZM57" s="10"/>
      <c r="NZN57" s="10"/>
      <c r="NZO57" s="10"/>
      <c r="NZP57" s="10"/>
      <c r="NZQ57" s="10"/>
      <c r="NZR57" s="10"/>
      <c r="NZS57" s="10"/>
      <c r="NZT57" s="10"/>
      <c r="NZU57" s="10"/>
      <c r="NZV57" s="10"/>
      <c r="NZW57" s="10"/>
      <c r="NZX57" s="10"/>
      <c r="NZY57" s="10"/>
      <c r="NZZ57" s="10"/>
      <c r="OAA57" s="10"/>
      <c r="OAB57" s="10"/>
      <c r="OAC57" s="10"/>
      <c r="OAD57" s="10"/>
      <c r="OAE57" s="10"/>
      <c r="OAF57" s="10"/>
      <c r="OAG57" s="10"/>
      <c r="OAH57" s="10"/>
      <c r="OAI57" s="10"/>
      <c r="OAJ57" s="10"/>
      <c r="OAK57" s="10"/>
      <c r="OAL57" s="10"/>
      <c r="OAM57" s="10"/>
      <c r="OAN57" s="10"/>
      <c r="OAO57" s="10"/>
      <c r="OAP57" s="10"/>
      <c r="OAQ57" s="10"/>
      <c r="OAR57" s="10"/>
      <c r="OAS57" s="10"/>
      <c r="OAT57" s="10"/>
      <c r="OAU57" s="10"/>
      <c r="OAV57" s="10"/>
      <c r="OAW57" s="10"/>
      <c r="OAX57" s="10"/>
      <c r="OAY57" s="10"/>
      <c r="OAZ57" s="10"/>
      <c r="OBA57" s="10"/>
      <c r="OBB57" s="10"/>
      <c r="OBC57" s="10"/>
      <c r="OBD57" s="10"/>
      <c r="OBE57" s="10"/>
      <c r="OBF57" s="10"/>
      <c r="OBG57" s="10"/>
      <c r="OBH57" s="10"/>
      <c r="OBI57" s="10"/>
      <c r="OBJ57" s="10"/>
      <c r="OBK57" s="10"/>
      <c r="OBL57" s="10"/>
      <c r="OBM57" s="10"/>
      <c r="OBN57" s="10"/>
      <c r="OBO57" s="10"/>
      <c r="OBP57" s="10"/>
      <c r="OBQ57" s="10"/>
      <c r="OBR57" s="10"/>
      <c r="OBS57" s="10"/>
      <c r="OBT57" s="10"/>
      <c r="OBU57" s="10"/>
      <c r="OBV57" s="10"/>
      <c r="OBW57" s="10"/>
      <c r="OBX57" s="10"/>
      <c r="OBY57" s="10"/>
      <c r="OBZ57" s="10"/>
      <c r="OCA57" s="10"/>
      <c r="OCB57" s="10"/>
      <c r="OCC57" s="10"/>
      <c r="OCD57" s="10"/>
      <c r="OCE57" s="10"/>
      <c r="OCF57" s="10"/>
      <c r="OCG57" s="10"/>
      <c r="OCH57" s="10"/>
      <c r="OCI57" s="10"/>
      <c r="OCJ57" s="10"/>
      <c r="OCK57" s="10"/>
      <c r="OCL57" s="10"/>
      <c r="OCM57" s="10"/>
      <c r="OCN57" s="10"/>
      <c r="OCO57" s="10"/>
      <c r="OCP57" s="10"/>
      <c r="OCQ57" s="10"/>
      <c r="OCR57" s="10"/>
      <c r="OCS57" s="10"/>
      <c r="OCT57" s="10"/>
      <c r="OCU57" s="10"/>
      <c r="OCV57" s="10"/>
      <c r="OCW57" s="10"/>
      <c r="OCX57" s="10"/>
      <c r="OCY57" s="10"/>
      <c r="OCZ57" s="10"/>
      <c r="ODA57" s="10"/>
      <c r="ODB57" s="10"/>
      <c r="ODC57" s="10"/>
      <c r="ODD57" s="10"/>
      <c r="ODE57" s="10"/>
      <c r="ODF57" s="10"/>
      <c r="ODG57" s="10"/>
      <c r="ODH57" s="10"/>
      <c r="ODI57" s="10"/>
      <c r="ODJ57" s="10"/>
      <c r="ODK57" s="10"/>
      <c r="ODL57" s="10"/>
      <c r="ODM57" s="10"/>
      <c r="ODN57" s="10"/>
      <c r="ODO57" s="10"/>
      <c r="ODP57" s="10"/>
      <c r="ODQ57" s="10"/>
      <c r="ODR57" s="10"/>
      <c r="ODS57" s="10"/>
      <c r="ODT57" s="10"/>
      <c r="ODU57" s="10"/>
      <c r="ODV57" s="10"/>
      <c r="ODW57" s="10"/>
      <c r="ODX57" s="10"/>
      <c r="ODY57" s="10"/>
      <c r="ODZ57" s="10"/>
      <c r="OEA57" s="10"/>
      <c r="OEB57" s="10"/>
      <c r="OEC57" s="10"/>
      <c r="OED57" s="10"/>
      <c r="OEE57" s="10"/>
      <c r="OEF57" s="10"/>
      <c r="OEG57" s="10"/>
      <c r="OEH57" s="10"/>
      <c r="OEI57" s="10"/>
      <c r="OEJ57" s="10"/>
      <c r="OEK57" s="10"/>
      <c r="OEL57" s="10"/>
      <c r="OEM57" s="10"/>
      <c r="OEN57" s="10"/>
      <c r="OEO57" s="10"/>
      <c r="OEP57" s="10"/>
      <c r="OEQ57" s="10"/>
      <c r="OER57" s="10"/>
      <c r="OES57" s="10"/>
      <c r="OET57" s="10"/>
      <c r="OEU57" s="10"/>
      <c r="OEV57" s="10"/>
      <c r="OEW57" s="10"/>
      <c r="OEX57" s="10"/>
      <c r="OEY57" s="10"/>
      <c r="OEZ57" s="10"/>
      <c r="OFA57" s="10"/>
      <c r="OFB57" s="10"/>
      <c r="OFC57" s="10"/>
      <c r="OFD57" s="10"/>
      <c r="OFE57" s="10"/>
      <c r="OFF57" s="10"/>
      <c r="OFG57" s="10"/>
      <c r="OFH57" s="10"/>
      <c r="OFI57" s="10"/>
      <c r="OFJ57" s="10"/>
      <c r="OFK57" s="10"/>
      <c r="OFL57" s="10"/>
      <c r="OFM57" s="10"/>
      <c r="OFN57" s="10"/>
      <c r="OFO57" s="10"/>
      <c r="OFP57" s="10"/>
      <c r="OFQ57" s="10"/>
      <c r="OFR57" s="10"/>
      <c r="OFS57" s="10"/>
      <c r="OFT57" s="10"/>
      <c r="OFU57" s="10"/>
      <c r="OFV57" s="10"/>
      <c r="OFW57" s="10"/>
      <c r="OFX57" s="10"/>
      <c r="OFY57" s="10"/>
      <c r="OFZ57" s="10"/>
      <c r="OGA57" s="10"/>
      <c r="OGB57" s="10"/>
      <c r="OGC57" s="10"/>
      <c r="OGD57" s="10"/>
      <c r="OGE57" s="10"/>
      <c r="OGF57" s="10"/>
      <c r="OGG57" s="10"/>
      <c r="OGH57" s="10"/>
      <c r="OGI57" s="10"/>
      <c r="OGJ57" s="10"/>
      <c r="OGK57" s="10"/>
      <c r="OGL57" s="10"/>
      <c r="OGM57" s="10"/>
      <c r="OGN57" s="10"/>
      <c r="OGO57" s="10"/>
      <c r="OGP57" s="10"/>
      <c r="OGQ57" s="10"/>
      <c r="OGR57" s="10"/>
      <c r="OGS57" s="10"/>
      <c r="OGT57" s="10"/>
      <c r="OGU57" s="10"/>
      <c r="OGV57" s="10"/>
      <c r="OGW57" s="10"/>
      <c r="OGX57" s="10"/>
      <c r="OGY57" s="10"/>
      <c r="OGZ57" s="10"/>
      <c r="OHA57" s="10"/>
      <c r="OHB57" s="10"/>
      <c r="OHC57" s="10"/>
      <c r="OHD57" s="10"/>
      <c r="OHE57" s="10"/>
      <c r="OHF57" s="10"/>
      <c r="OHG57" s="10"/>
      <c r="OHH57" s="10"/>
      <c r="OHI57" s="10"/>
      <c r="OHJ57" s="10"/>
      <c r="OHK57" s="10"/>
      <c r="OHL57" s="10"/>
      <c r="OHM57" s="10"/>
      <c r="OHN57" s="10"/>
      <c r="OHO57" s="10"/>
      <c r="OHP57" s="10"/>
      <c r="OHQ57" s="10"/>
      <c r="OHR57" s="10"/>
      <c r="OHS57" s="10"/>
      <c r="OHT57" s="10"/>
      <c r="OHU57" s="10"/>
      <c r="OHV57" s="10"/>
      <c r="OHW57" s="10"/>
      <c r="OHX57" s="10"/>
      <c r="OHY57" s="10"/>
      <c r="OHZ57" s="10"/>
      <c r="OIA57" s="10"/>
      <c r="OIB57" s="10"/>
      <c r="OIC57" s="10"/>
      <c r="OID57" s="10"/>
      <c r="OIE57" s="10"/>
      <c r="OIF57" s="10"/>
      <c r="OIG57" s="10"/>
      <c r="OIH57" s="10"/>
      <c r="OII57" s="10"/>
      <c r="OIJ57" s="10"/>
      <c r="OIK57" s="10"/>
      <c r="OIL57" s="10"/>
      <c r="OIM57" s="10"/>
      <c r="OIN57" s="10"/>
      <c r="OIO57" s="10"/>
      <c r="OIP57" s="10"/>
      <c r="OIQ57" s="10"/>
      <c r="OIR57" s="10"/>
      <c r="OIS57" s="10"/>
      <c r="OIT57" s="10"/>
      <c r="OIU57" s="10"/>
      <c r="OIV57" s="10"/>
      <c r="OIW57" s="10"/>
      <c r="OIX57" s="10"/>
      <c r="OIY57" s="10"/>
      <c r="OIZ57" s="10"/>
      <c r="OJA57" s="10"/>
      <c r="OJB57" s="10"/>
      <c r="OJC57" s="10"/>
      <c r="OJD57" s="10"/>
      <c r="OJE57" s="10"/>
      <c r="OJF57" s="10"/>
      <c r="OJG57" s="10"/>
      <c r="OJH57" s="10"/>
      <c r="OJI57" s="10"/>
      <c r="OJJ57" s="10"/>
      <c r="OJK57" s="10"/>
      <c r="OJL57" s="10"/>
      <c r="OJM57" s="10"/>
      <c r="OJN57" s="10"/>
      <c r="OJO57" s="10"/>
      <c r="OJP57" s="10"/>
      <c r="OJQ57" s="10"/>
      <c r="OJR57" s="10"/>
      <c r="OJS57" s="10"/>
      <c r="OJT57" s="10"/>
      <c r="OJU57" s="10"/>
      <c r="OJV57" s="10"/>
      <c r="OJW57" s="10"/>
      <c r="OJX57" s="10"/>
      <c r="OJY57" s="10"/>
      <c r="OJZ57" s="10"/>
      <c r="OKA57" s="10"/>
      <c r="OKB57" s="10"/>
      <c r="OKC57" s="10"/>
      <c r="OKD57" s="10"/>
      <c r="OKE57" s="10"/>
      <c r="OKF57" s="10"/>
      <c r="OKG57" s="10"/>
      <c r="OKH57" s="10"/>
      <c r="OKI57" s="10"/>
      <c r="OKJ57" s="10"/>
      <c r="OKK57" s="10"/>
      <c r="OKL57" s="10"/>
      <c r="OKM57" s="10"/>
      <c r="OKN57" s="10"/>
      <c r="OKO57" s="10"/>
      <c r="OKP57" s="10"/>
      <c r="OKQ57" s="10"/>
      <c r="OKR57" s="10"/>
      <c r="OKS57" s="10"/>
      <c r="OKT57" s="10"/>
      <c r="OKU57" s="10"/>
      <c r="OKV57" s="10"/>
      <c r="OKW57" s="10"/>
      <c r="OKX57" s="10"/>
      <c r="OKY57" s="10"/>
      <c r="OKZ57" s="10"/>
      <c r="OLA57" s="10"/>
      <c r="OLB57" s="10"/>
      <c r="OLC57" s="10"/>
      <c r="OLD57" s="10"/>
      <c r="OLE57" s="10"/>
      <c r="OLF57" s="10"/>
      <c r="OLG57" s="10"/>
      <c r="OLH57" s="10"/>
      <c r="OLI57" s="10"/>
      <c r="OLJ57" s="10"/>
      <c r="OLK57" s="10"/>
      <c r="OLL57" s="10"/>
      <c r="OLM57" s="10"/>
      <c r="OLN57" s="10"/>
      <c r="OLO57" s="10"/>
      <c r="OLP57" s="10"/>
      <c r="OLQ57" s="10"/>
      <c r="OLR57" s="10"/>
      <c r="OLS57" s="10"/>
      <c r="OLT57" s="10"/>
      <c r="OLU57" s="10"/>
      <c r="OLV57" s="10"/>
      <c r="OLW57" s="10"/>
      <c r="OLX57" s="10"/>
      <c r="OLY57" s="10"/>
      <c r="OLZ57" s="10"/>
      <c r="OMA57" s="10"/>
      <c r="OMB57" s="10"/>
      <c r="OMC57" s="10"/>
      <c r="OMD57" s="10"/>
      <c r="OME57" s="10"/>
      <c r="OMF57" s="10"/>
      <c r="OMG57" s="10"/>
      <c r="OMH57" s="10"/>
      <c r="OMI57" s="10"/>
      <c r="OMJ57" s="10"/>
      <c r="OMK57" s="10"/>
      <c r="OML57" s="10"/>
      <c r="OMM57" s="10"/>
      <c r="OMN57" s="10"/>
      <c r="OMO57" s="10"/>
      <c r="OMP57" s="10"/>
      <c r="OMQ57" s="10"/>
      <c r="OMR57" s="10"/>
      <c r="OMS57" s="10"/>
      <c r="OMT57" s="10"/>
      <c r="OMU57" s="10"/>
      <c r="OMV57" s="10"/>
      <c r="OMW57" s="10"/>
      <c r="OMX57" s="10"/>
      <c r="OMY57" s="10"/>
      <c r="OMZ57" s="10"/>
      <c r="ONA57" s="10"/>
      <c r="ONB57" s="10"/>
      <c r="ONC57" s="10"/>
      <c r="OND57" s="10"/>
      <c r="ONE57" s="10"/>
      <c r="ONF57" s="10"/>
      <c r="ONG57" s="10"/>
      <c r="ONH57" s="10"/>
      <c r="ONI57" s="10"/>
      <c r="ONJ57" s="10"/>
      <c r="ONK57" s="10"/>
      <c r="ONL57" s="10"/>
      <c r="ONM57" s="10"/>
      <c r="ONN57" s="10"/>
      <c r="ONO57" s="10"/>
      <c r="ONP57" s="10"/>
      <c r="ONQ57" s="10"/>
      <c r="ONR57" s="10"/>
      <c r="ONS57" s="10"/>
      <c r="ONT57" s="10"/>
      <c r="ONU57" s="10"/>
      <c r="ONV57" s="10"/>
      <c r="ONW57" s="10"/>
      <c r="ONX57" s="10"/>
      <c r="ONY57" s="10"/>
      <c r="ONZ57" s="10"/>
      <c r="OOA57" s="10"/>
      <c r="OOB57" s="10"/>
      <c r="OOC57" s="10"/>
      <c r="OOD57" s="10"/>
      <c r="OOE57" s="10"/>
      <c r="OOF57" s="10"/>
      <c r="OOG57" s="10"/>
      <c r="OOH57" s="10"/>
      <c r="OOI57" s="10"/>
      <c r="OOJ57" s="10"/>
      <c r="OOK57" s="10"/>
      <c r="OOL57" s="10"/>
      <c r="OOM57" s="10"/>
      <c r="OON57" s="10"/>
      <c r="OOO57" s="10"/>
      <c r="OOP57" s="10"/>
      <c r="OOQ57" s="10"/>
      <c r="OOR57" s="10"/>
      <c r="OOS57" s="10"/>
      <c r="OOT57" s="10"/>
      <c r="OOU57" s="10"/>
      <c r="OOV57" s="10"/>
      <c r="OOW57" s="10"/>
      <c r="OOX57" s="10"/>
      <c r="OOY57" s="10"/>
      <c r="OOZ57" s="10"/>
      <c r="OPA57" s="10"/>
      <c r="OPB57" s="10"/>
      <c r="OPC57" s="10"/>
      <c r="OPD57" s="10"/>
      <c r="OPE57" s="10"/>
      <c r="OPF57" s="10"/>
      <c r="OPG57" s="10"/>
      <c r="OPH57" s="10"/>
      <c r="OPI57" s="10"/>
      <c r="OPJ57" s="10"/>
      <c r="OPK57" s="10"/>
      <c r="OPL57" s="10"/>
      <c r="OPM57" s="10"/>
      <c r="OPN57" s="10"/>
      <c r="OPO57" s="10"/>
      <c r="OPP57" s="10"/>
      <c r="OPQ57" s="10"/>
      <c r="OPR57" s="10"/>
      <c r="OPS57" s="10"/>
      <c r="OPT57" s="10"/>
      <c r="OPU57" s="10"/>
      <c r="OPV57" s="10"/>
      <c r="OPW57" s="10"/>
      <c r="OPX57" s="10"/>
      <c r="OPY57" s="10"/>
      <c r="OPZ57" s="10"/>
      <c r="OQA57" s="10"/>
      <c r="OQB57" s="10"/>
      <c r="OQC57" s="10"/>
      <c r="OQD57" s="10"/>
      <c r="OQE57" s="10"/>
      <c r="OQF57" s="10"/>
      <c r="OQG57" s="10"/>
      <c r="OQH57" s="10"/>
      <c r="OQI57" s="10"/>
      <c r="OQJ57" s="10"/>
      <c r="OQK57" s="10"/>
      <c r="OQL57" s="10"/>
      <c r="OQM57" s="10"/>
      <c r="OQN57" s="10"/>
      <c r="OQO57" s="10"/>
      <c r="OQP57" s="10"/>
      <c r="OQQ57" s="10"/>
      <c r="OQR57" s="10"/>
      <c r="OQS57" s="10"/>
      <c r="OQT57" s="10"/>
      <c r="OQU57" s="10"/>
      <c r="OQV57" s="10"/>
      <c r="OQW57" s="10"/>
      <c r="OQX57" s="10"/>
      <c r="OQY57" s="10"/>
      <c r="OQZ57" s="10"/>
      <c r="ORA57" s="10"/>
      <c r="ORB57" s="10"/>
      <c r="ORC57" s="10"/>
      <c r="ORD57" s="10"/>
      <c r="ORE57" s="10"/>
      <c r="ORF57" s="10"/>
      <c r="ORG57" s="10"/>
      <c r="ORH57" s="10"/>
      <c r="ORI57" s="10"/>
      <c r="ORJ57" s="10"/>
      <c r="ORK57" s="10"/>
      <c r="ORL57" s="10"/>
      <c r="ORM57" s="10"/>
      <c r="ORN57" s="10"/>
      <c r="ORO57" s="10"/>
      <c r="ORP57" s="10"/>
      <c r="ORQ57" s="10"/>
      <c r="ORR57" s="10"/>
      <c r="ORS57" s="10"/>
      <c r="ORT57" s="10"/>
      <c r="ORU57" s="10"/>
      <c r="ORV57" s="10"/>
      <c r="ORW57" s="10"/>
      <c r="ORX57" s="10"/>
      <c r="ORY57" s="10"/>
      <c r="ORZ57" s="10"/>
      <c r="OSA57" s="10"/>
      <c r="OSB57" s="10"/>
      <c r="OSC57" s="10"/>
      <c r="OSD57" s="10"/>
      <c r="OSE57" s="10"/>
      <c r="OSF57" s="10"/>
      <c r="OSG57" s="10"/>
      <c r="OSH57" s="10"/>
      <c r="OSI57" s="10"/>
      <c r="OSJ57" s="10"/>
      <c r="OSK57" s="10"/>
      <c r="OSL57" s="10"/>
      <c r="OSM57" s="10"/>
      <c r="OSN57" s="10"/>
      <c r="OSO57" s="10"/>
      <c r="OSP57" s="10"/>
      <c r="OSQ57" s="10"/>
      <c r="OSR57" s="10"/>
      <c r="OSS57" s="10"/>
      <c r="OST57" s="10"/>
      <c r="OSU57" s="10"/>
      <c r="OSV57" s="10"/>
      <c r="OSW57" s="10"/>
      <c r="OSX57" s="10"/>
      <c r="OSY57" s="10"/>
      <c r="OSZ57" s="10"/>
      <c r="OTA57" s="10"/>
      <c r="OTB57" s="10"/>
      <c r="OTC57" s="10"/>
      <c r="OTD57" s="10"/>
      <c r="OTE57" s="10"/>
      <c r="OTF57" s="10"/>
      <c r="OTG57" s="10"/>
      <c r="OTH57" s="10"/>
      <c r="OTI57" s="10"/>
      <c r="OTJ57" s="10"/>
      <c r="OTK57" s="10"/>
      <c r="OTL57" s="10"/>
      <c r="OTM57" s="10"/>
      <c r="OTN57" s="10"/>
      <c r="OTO57" s="10"/>
      <c r="OTP57" s="10"/>
      <c r="OTQ57" s="10"/>
      <c r="OTR57" s="10"/>
      <c r="OTS57" s="10"/>
      <c r="OTT57" s="10"/>
      <c r="OTU57" s="10"/>
      <c r="OTV57" s="10"/>
      <c r="OTW57" s="10"/>
      <c r="OTX57" s="10"/>
      <c r="OTY57" s="10"/>
      <c r="OTZ57" s="10"/>
      <c r="OUA57" s="10"/>
      <c r="OUB57" s="10"/>
      <c r="OUC57" s="10"/>
      <c r="OUD57" s="10"/>
      <c r="OUE57" s="10"/>
      <c r="OUF57" s="10"/>
      <c r="OUG57" s="10"/>
      <c r="OUH57" s="10"/>
      <c r="OUI57" s="10"/>
      <c r="OUJ57" s="10"/>
      <c r="OUK57" s="10"/>
      <c r="OUL57" s="10"/>
      <c r="OUM57" s="10"/>
      <c r="OUN57" s="10"/>
      <c r="OUO57" s="10"/>
      <c r="OUP57" s="10"/>
      <c r="OUQ57" s="10"/>
      <c r="OUR57" s="10"/>
      <c r="OUS57" s="10"/>
      <c r="OUT57" s="10"/>
      <c r="OUU57" s="10"/>
      <c r="OUV57" s="10"/>
      <c r="OUW57" s="10"/>
      <c r="OUX57" s="10"/>
      <c r="OUY57" s="10"/>
      <c r="OUZ57" s="10"/>
      <c r="OVA57" s="10"/>
      <c r="OVB57" s="10"/>
      <c r="OVC57" s="10"/>
      <c r="OVD57" s="10"/>
      <c r="OVE57" s="10"/>
      <c r="OVF57" s="10"/>
      <c r="OVG57" s="10"/>
      <c r="OVH57" s="10"/>
      <c r="OVI57" s="10"/>
      <c r="OVJ57" s="10"/>
      <c r="OVK57" s="10"/>
      <c r="OVL57" s="10"/>
      <c r="OVM57" s="10"/>
      <c r="OVN57" s="10"/>
      <c r="OVO57" s="10"/>
      <c r="OVP57" s="10"/>
      <c r="OVQ57" s="10"/>
      <c r="OVR57" s="10"/>
      <c r="OVS57" s="10"/>
      <c r="OVT57" s="10"/>
      <c r="OVU57" s="10"/>
      <c r="OVV57" s="10"/>
      <c r="OVW57" s="10"/>
      <c r="OVX57" s="10"/>
      <c r="OVY57" s="10"/>
      <c r="OVZ57" s="10"/>
      <c r="OWA57" s="10"/>
      <c r="OWB57" s="10"/>
      <c r="OWC57" s="10"/>
      <c r="OWD57" s="10"/>
      <c r="OWE57" s="10"/>
      <c r="OWF57" s="10"/>
      <c r="OWG57" s="10"/>
      <c r="OWH57" s="10"/>
      <c r="OWI57" s="10"/>
      <c r="OWJ57" s="10"/>
      <c r="OWK57" s="10"/>
      <c r="OWL57" s="10"/>
      <c r="OWM57" s="10"/>
      <c r="OWN57" s="10"/>
      <c r="OWO57" s="10"/>
      <c r="OWP57" s="10"/>
      <c r="OWQ57" s="10"/>
      <c r="OWR57" s="10"/>
      <c r="OWS57" s="10"/>
      <c r="OWT57" s="10"/>
      <c r="OWU57" s="10"/>
      <c r="OWV57" s="10"/>
      <c r="OWW57" s="10"/>
      <c r="OWX57" s="10"/>
      <c r="OWY57" s="10"/>
      <c r="OWZ57" s="10"/>
      <c r="OXA57" s="10"/>
      <c r="OXB57" s="10"/>
      <c r="OXC57" s="10"/>
      <c r="OXD57" s="10"/>
      <c r="OXE57" s="10"/>
      <c r="OXF57" s="10"/>
      <c r="OXG57" s="10"/>
      <c r="OXH57" s="10"/>
      <c r="OXI57" s="10"/>
      <c r="OXJ57" s="10"/>
      <c r="OXK57" s="10"/>
      <c r="OXL57" s="10"/>
      <c r="OXM57" s="10"/>
      <c r="OXN57" s="10"/>
      <c r="OXO57" s="10"/>
      <c r="OXP57" s="10"/>
      <c r="OXQ57" s="10"/>
      <c r="OXR57" s="10"/>
      <c r="OXS57" s="10"/>
      <c r="OXT57" s="10"/>
      <c r="OXU57" s="10"/>
      <c r="OXV57" s="10"/>
      <c r="OXW57" s="10"/>
      <c r="OXX57" s="10"/>
      <c r="OXY57" s="10"/>
      <c r="OXZ57" s="10"/>
      <c r="OYA57" s="10"/>
      <c r="OYB57" s="10"/>
      <c r="OYC57" s="10"/>
      <c r="OYD57" s="10"/>
      <c r="OYE57" s="10"/>
      <c r="OYF57" s="10"/>
      <c r="OYG57" s="10"/>
      <c r="OYH57" s="10"/>
      <c r="OYI57" s="10"/>
      <c r="OYJ57" s="10"/>
      <c r="OYK57" s="10"/>
      <c r="OYL57" s="10"/>
      <c r="OYM57" s="10"/>
      <c r="OYN57" s="10"/>
      <c r="OYO57" s="10"/>
      <c r="OYP57" s="10"/>
      <c r="OYQ57" s="10"/>
      <c r="OYR57" s="10"/>
      <c r="OYS57" s="10"/>
      <c r="OYT57" s="10"/>
      <c r="OYU57" s="10"/>
      <c r="OYV57" s="10"/>
      <c r="OYW57" s="10"/>
      <c r="OYX57" s="10"/>
      <c r="OYY57" s="10"/>
      <c r="OYZ57" s="10"/>
      <c r="OZA57" s="10"/>
      <c r="OZB57" s="10"/>
      <c r="OZC57" s="10"/>
      <c r="OZD57" s="10"/>
      <c r="OZE57" s="10"/>
      <c r="OZF57" s="10"/>
      <c r="OZG57" s="10"/>
      <c r="OZH57" s="10"/>
      <c r="OZI57" s="10"/>
      <c r="OZJ57" s="10"/>
      <c r="OZK57" s="10"/>
      <c r="OZL57" s="10"/>
      <c r="OZM57" s="10"/>
      <c r="OZN57" s="10"/>
      <c r="OZO57" s="10"/>
      <c r="OZP57" s="10"/>
      <c r="OZQ57" s="10"/>
      <c r="OZR57" s="10"/>
      <c r="OZS57" s="10"/>
      <c r="OZT57" s="10"/>
      <c r="OZU57" s="10"/>
      <c r="OZV57" s="10"/>
      <c r="OZW57" s="10"/>
      <c r="OZX57" s="10"/>
      <c r="OZY57" s="10"/>
      <c r="OZZ57" s="10"/>
      <c r="PAA57" s="10"/>
      <c r="PAB57" s="10"/>
      <c r="PAC57" s="10"/>
      <c r="PAD57" s="10"/>
      <c r="PAE57" s="10"/>
      <c r="PAF57" s="10"/>
      <c r="PAG57" s="10"/>
      <c r="PAH57" s="10"/>
      <c r="PAI57" s="10"/>
      <c r="PAJ57" s="10"/>
      <c r="PAK57" s="10"/>
      <c r="PAL57" s="10"/>
      <c r="PAM57" s="10"/>
      <c r="PAN57" s="10"/>
      <c r="PAO57" s="10"/>
      <c r="PAP57" s="10"/>
      <c r="PAQ57" s="10"/>
      <c r="PAR57" s="10"/>
      <c r="PAS57" s="10"/>
      <c r="PAT57" s="10"/>
      <c r="PAU57" s="10"/>
      <c r="PAV57" s="10"/>
      <c r="PAW57" s="10"/>
      <c r="PAX57" s="10"/>
      <c r="PAY57" s="10"/>
      <c r="PAZ57" s="10"/>
      <c r="PBA57" s="10"/>
      <c r="PBB57" s="10"/>
      <c r="PBC57" s="10"/>
      <c r="PBD57" s="10"/>
      <c r="PBE57" s="10"/>
      <c r="PBF57" s="10"/>
      <c r="PBG57" s="10"/>
      <c r="PBH57" s="10"/>
      <c r="PBI57" s="10"/>
      <c r="PBJ57" s="10"/>
      <c r="PBK57" s="10"/>
      <c r="PBL57" s="10"/>
      <c r="PBM57" s="10"/>
      <c r="PBN57" s="10"/>
      <c r="PBO57" s="10"/>
      <c r="PBP57" s="10"/>
      <c r="PBQ57" s="10"/>
      <c r="PBR57" s="10"/>
      <c r="PBS57" s="10"/>
      <c r="PBT57" s="10"/>
      <c r="PBU57" s="10"/>
      <c r="PBV57" s="10"/>
      <c r="PBW57" s="10"/>
      <c r="PBX57" s="10"/>
      <c r="PBY57" s="10"/>
      <c r="PBZ57" s="10"/>
      <c r="PCA57" s="10"/>
      <c r="PCB57" s="10"/>
      <c r="PCC57" s="10"/>
      <c r="PCD57" s="10"/>
      <c r="PCE57" s="10"/>
      <c r="PCF57" s="10"/>
      <c r="PCG57" s="10"/>
      <c r="PCH57" s="10"/>
      <c r="PCI57" s="10"/>
      <c r="PCJ57" s="10"/>
      <c r="PCK57" s="10"/>
      <c r="PCL57" s="10"/>
      <c r="PCM57" s="10"/>
      <c r="PCN57" s="10"/>
      <c r="PCO57" s="10"/>
      <c r="PCP57" s="10"/>
      <c r="PCQ57" s="10"/>
      <c r="PCR57" s="10"/>
      <c r="PCS57" s="10"/>
      <c r="PCT57" s="10"/>
      <c r="PCU57" s="10"/>
      <c r="PCV57" s="10"/>
      <c r="PCW57" s="10"/>
      <c r="PCX57" s="10"/>
      <c r="PCY57" s="10"/>
      <c r="PCZ57" s="10"/>
      <c r="PDA57" s="10"/>
      <c r="PDB57" s="10"/>
      <c r="PDC57" s="10"/>
      <c r="PDD57" s="10"/>
      <c r="PDE57" s="10"/>
      <c r="PDF57" s="10"/>
      <c r="PDG57" s="10"/>
      <c r="PDH57" s="10"/>
      <c r="PDI57" s="10"/>
      <c r="PDJ57" s="10"/>
      <c r="PDK57" s="10"/>
      <c r="PDL57" s="10"/>
      <c r="PDM57" s="10"/>
      <c r="PDN57" s="10"/>
      <c r="PDO57" s="10"/>
      <c r="PDP57" s="10"/>
      <c r="PDQ57" s="10"/>
      <c r="PDR57" s="10"/>
      <c r="PDS57" s="10"/>
      <c r="PDT57" s="10"/>
      <c r="PDU57" s="10"/>
      <c r="PDV57" s="10"/>
      <c r="PDW57" s="10"/>
      <c r="PDX57" s="10"/>
      <c r="PDY57" s="10"/>
      <c r="PDZ57" s="10"/>
      <c r="PEA57" s="10"/>
      <c r="PEB57" s="10"/>
      <c r="PEC57" s="10"/>
      <c r="PED57" s="10"/>
      <c r="PEE57" s="10"/>
      <c r="PEF57" s="10"/>
      <c r="PEG57" s="10"/>
      <c r="PEH57" s="10"/>
      <c r="PEI57" s="10"/>
      <c r="PEJ57" s="10"/>
      <c r="PEK57" s="10"/>
      <c r="PEL57" s="10"/>
      <c r="PEM57" s="10"/>
      <c r="PEN57" s="10"/>
      <c r="PEO57" s="10"/>
      <c r="PEP57" s="10"/>
      <c r="PEQ57" s="10"/>
      <c r="PER57" s="10"/>
      <c r="PES57" s="10"/>
      <c r="PET57" s="10"/>
      <c r="PEU57" s="10"/>
      <c r="PEV57" s="10"/>
      <c r="PEW57" s="10"/>
      <c r="PEX57" s="10"/>
      <c r="PEY57" s="10"/>
      <c r="PEZ57" s="10"/>
      <c r="PFA57" s="10"/>
      <c r="PFB57" s="10"/>
      <c r="PFC57" s="10"/>
      <c r="PFD57" s="10"/>
      <c r="PFE57" s="10"/>
      <c r="PFF57" s="10"/>
      <c r="PFG57" s="10"/>
      <c r="PFH57" s="10"/>
      <c r="PFI57" s="10"/>
      <c r="PFJ57" s="10"/>
      <c r="PFK57" s="10"/>
      <c r="PFL57" s="10"/>
      <c r="PFM57" s="10"/>
      <c r="PFN57" s="10"/>
      <c r="PFO57" s="10"/>
      <c r="PFP57" s="10"/>
      <c r="PFQ57" s="10"/>
      <c r="PFR57" s="10"/>
      <c r="PFS57" s="10"/>
      <c r="PFT57" s="10"/>
      <c r="PFU57" s="10"/>
      <c r="PFV57" s="10"/>
      <c r="PFW57" s="10"/>
      <c r="PFX57" s="10"/>
      <c r="PFY57" s="10"/>
      <c r="PFZ57" s="10"/>
      <c r="PGA57" s="10"/>
      <c r="PGB57" s="10"/>
      <c r="PGC57" s="10"/>
      <c r="PGD57" s="10"/>
      <c r="PGE57" s="10"/>
      <c r="PGF57" s="10"/>
      <c r="PGG57" s="10"/>
      <c r="PGH57" s="10"/>
      <c r="PGI57" s="10"/>
      <c r="PGJ57" s="10"/>
      <c r="PGK57" s="10"/>
      <c r="PGL57" s="10"/>
      <c r="PGM57" s="10"/>
      <c r="PGN57" s="10"/>
      <c r="PGO57" s="10"/>
      <c r="PGP57" s="10"/>
      <c r="PGQ57" s="10"/>
      <c r="PGR57" s="10"/>
      <c r="PGS57" s="10"/>
      <c r="PGT57" s="10"/>
      <c r="PGU57" s="10"/>
      <c r="PGV57" s="10"/>
      <c r="PGW57" s="10"/>
      <c r="PGX57" s="10"/>
      <c r="PGY57" s="10"/>
      <c r="PGZ57" s="10"/>
      <c r="PHA57" s="10"/>
      <c r="PHB57" s="10"/>
      <c r="PHC57" s="10"/>
      <c r="PHD57" s="10"/>
      <c r="PHE57" s="10"/>
      <c r="PHF57" s="10"/>
      <c r="PHG57" s="10"/>
      <c r="PHH57" s="10"/>
      <c r="PHI57" s="10"/>
      <c r="PHJ57" s="10"/>
      <c r="PHK57" s="10"/>
      <c r="PHL57" s="10"/>
      <c r="PHM57" s="10"/>
      <c r="PHN57" s="10"/>
      <c r="PHO57" s="10"/>
      <c r="PHP57" s="10"/>
      <c r="PHQ57" s="10"/>
      <c r="PHR57" s="10"/>
      <c r="PHS57" s="10"/>
      <c r="PHT57" s="10"/>
      <c r="PHU57" s="10"/>
      <c r="PHV57" s="10"/>
      <c r="PHW57" s="10"/>
      <c r="PHX57" s="10"/>
      <c r="PHY57" s="10"/>
      <c r="PHZ57" s="10"/>
      <c r="PIA57" s="10"/>
      <c r="PIB57" s="10"/>
      <c r="PIC57" s="10"/>
      <c r="PID57" s="10"/>
      <c r="PIE57" s="10"/>
      <c r="PIF57" s="10"/>
      <c r="PIG57" s="10"/>
      <c r="PIH57" s="10"/>
      <c r="PII57" s="10"/>
      <c r="PIJ57" s="10"/>
      <c r="PIK57" s="10"/>
      <c r="PIL57" s="10"/>
      <c r="PIM57" s="10"/>
      <c r="PIN57" s="10"/>
      <c r="PIO57" s="10"/>
      <c r="PIP57" s="10"/>
      <c r="PIQ57" s="10"/>
      <c r="PIR57" s="10"/>
      <c r="PIS57" s="10"/>
      <c r="PIT57" s="10"/>
      <c r="PIU57" s="10"/>
      <c r="PIV57" s="10"/>
      <c r="PIW57" s="10"/>
      <c r="PIX57" s="10"/>
      <c r="PIY57" s="10"/>
      <c r="PIZ57" s="10"/>
      <c r="PJA57" s="10"/>
      <c r="PJB57" s="10"/>
      <c r="PJC57" s="10"/>
      <c r="PJD57" s="10"/>
      <c r="PJE57" s="10"/>
      <c r="PJF57" s="10"/>
      <c r="PJG57" s="10"/>
      <c r="PJH57" s="10"/>
      <c r="PJI57" s="10"/>
      <c r="PJJ57" s="10"/>
      <c r="PJK57" s="10"/>
      <c r="PJL57" s="10"/>
      <c r="PJM57" s="10"/>
      <c r="PJN57" s="10"/>
      <c r="PJO57" s="10"/>
      <c r="PJP57" s="10"/>
      <c r="PJQ57" s="10"/>
      <c r="PJR57" s="10"/>
      <c r="PJS57" s="10"/>
      <c r="PJT57" s="10"/>
      <c r="PJU57" s="10"/>
      <c r="PJV57" s="10"/>
      <c r="PJW57" s="10"/>
      <c r="PJX57" s="10"/>
      <c r="PJY57" s="10"/>
      <c r="PJZ57" s="10"/>
      <c r="PKA57" s="10"/>
      <c r="PKB57" s="10"/>
      <c r="PKC57" s="10"/>
      <c r="PKD57" s="10"/>
      <c r="PKE57" s="10"/>
      <c r="PKF57" s="10"/>
      <c r="PKG57" s="10"/>
      <c r="PKH57" s="10"/>
      <c r="PKI57" s="10"/>
      <c r="PKJ57" s="10"/>
      <c r="PKK57" s="10"/>
      <c r="PKL57" s="10"/>
      <c r="PKM57" s="10"/>
      <c r="PKN57" s="10"/>
      <c r="PKO57" s="10"/>
      <c r="PKP57" s="10"/>
      <c r="PKQ57" s="10"/>
      <c r="PKR57" s="10"/>
      <c r="PKS57" s="10"/>
      <c r="PKT57" s="10"/>
      <c r="PKU57" s="10"/>
      <c r="PKV57" s="10"/>
      <c r="PKW57" s="10"/>
      <c r="PKX57" s="10"/>
      <c r="PKY57" s="10"/>
      <c r="PKZ57" s="10"/>
      <c r="PLA57" s="10"/>
      <c r="PLB57" s="10"/>
      <c r="PLC57" s="10"/>
      <c r="PLD57" s="10"/>
      <c r="PLE57" s="10"/>
      <c r="PLF57" s="10"/>
      <c r="PLG57" s="10"/>
      <c r="PLH57" s="10"/>
      <c r="PLI57" s="10"/>
      <c r="PLJ57" s="10"/>
      <c r="PLK57" s="10"/>
      <c r="PLL57" s="10"/>
      <c r="PLM57" s="10"/>
      <c r="PLN57" s="10"/>
      <c r="PLO57" s="10"/>
      <c r="PLP57" s="10"/>
      <c r="PLQ57" s="10"/>
      <c r="PLR57" s="10"/>
      <c r="PLS57" s="10"/>
      <c r="PLT57" s="10"/>
      <c r="PLU57" s="10"/>
      <c r="PLV57" s="10"/>
      <c r="PLW57" s="10"/>
      <c r="PLX57" s="10"/>
      <c r="PLY57" s="10"/>
      <c r="PLZ57" s="10"/>
      <c r="PMA57" s="10"/>
      <c r="PMB57" s="10"/>
      <c r="PMC57" s="10"/>
      <c r="PMD57" s="10"/>
      <c r="PME57" s="10"/>
      <c r="PMF57" s="10"/>
      <c r="PMG57" s="10"/>
      <c r="PMH57" s="10"/>
      <c r="PMI57" s="10"/>
      <c r="PMJ57" s="10"/>
      <c r="PMK57" s="10"/>
      <c r="PML57" s="10"/>
      <c r="PMM57" s="10"/>
      <c r="PMN57" s="10"/>
      <c r="PMO57" s="10"/>
      <c r="PMP57" s="10"/>
      <c r="PMQ57" s="10"/>
      <c r="PMR57" s="10"/>
      <c r="PMS57" s="10"/>
      <c r="PMT57" s="10"/>
      <c r="PMU57" s="10"/>
      <c r="PMV57" s="10"/>
      <c r="PMW57" s="10"/>
      <c r="PMX57" s="10"/>
      <c r="PMY57" s="10"/>
      <c r="PMZ57" s="10"/>
      <c r="PNA57" s="10"/>
      <c r="PNB57" s="10"/>
      <c r="PNC57" s="10"/>
      <c r="PND57" s="10"/>
      <c r="PNE57" s="10"/>
      <c r="PNF57" s="10"/>
      <c r="PNG57" s="10"/>
      <c r="PNH57" s="10"/>
      <c r="PNI57" s="10"/>
      <c r="PNJ57" s="10"/>
      <c r="PNK57" s="10"/>
      <c r="PNL57" s="10"/>
      <c r="PNM57" s="10"/>
      <c r="PNN57" s="10"/>
      <c r="PNO57" s="10"/>
      <c r="PNP57" s="10"/>
      <c r="PNQ57" s="10"/>
      <c r="PNR57" s="10"/>
      <c r="PNS57" s="10"/>
      <c r="PNT57" s="10"/>
      <c r="PNU57" s="10"/>
      <c r="PNV57" s="10"/>
      <c r="PNW57" s="10"/>
      <c r="PNX57" s="10"/>
      <c r="PNY57" s="10"/>
      <c r="PNZ57" s="10"/>
      <c r="POA57" s="10"/>
      <c r="POB57" s="10"/>
      <c r="POC57" s="10"/>
      <c r="POD57" s="10"/>
      <c r="POE57" s="10"/>
      <c r="POF57" s="10"/>
      <c r="POG57" s="10"/>
      <c r="POH57" s="10"/>
      <c r="POI57" s="10"/>
      <c r="POJ57" s="10"/>
      <c r="POK57" s="10"/>
      <c r="POL57" s="10"/>
      <c r="POM57" s="10"/>
      <c r="PON57" s="10"/>
      <c r="POO57" s="10"/>
      <c r="POP57" s="10"/>
      <c r="POQ57" s="10"/>
      <c r="POR57" s="10"/>
      <c r="POS57" s="10"/>
      <c r="POT57" s="10"/>
      <c r="POU57" s="10"/>
      <c r="POV57" s="10"/>
      <c r="POW57" s="10"/>
      <c r="POX57" s="10"/>
      <c r="POY57" s="10"/>
      <c r="POZ57" s="10"/>
      <c r="PPA57" s="10"/>
      <c r="PPB57" s="10"/>
      <c r="PPC57" s="10"/>
      <c r="PPD57" s="10"/>
      <c r="PPE57" s="10"/>
      <c r="PPF57" s="10"/>
      <c r="PPG57" s="10"/>
      <c r="PPH57" s="10"/>
      <c r="PPI57" s="10"/>
      <c r="PPJ57" s="10"/>
      <c r="PPK57" s="10"/>
      <c r="PPL57" s="10"/>
      <c r="PPM57" s="10"/>
      <c r="PPN57" s="10"/>
      <c r="PPO57" s="10"/>
      <c r="PPP57" s="10"/>
      <c r="PPQ57" s="10"/>
      <c r="PPR57" s="10"/>
      <c r="PPS57" s="10"/>
      <c r="PPT57" s="10"/>
      <c r="PPU57" s="10"/>
      <c r="PPV57" s="10"/>
      <c r="PPW57" s="10"/>
      <c r="PPX57" s="10"/>
      <c r="PPY57" s="10"/>
      <c r="PPZ57" s="10"/>
      <c r="PQA57" s="10"/>
      <c r="PQB57" s="10"/>
      <c r="PQC57" s="10"/>
      <c r="PQD57" s="10"/>
      <c r="PQE57" s="10"/>
      <c r="PQF57" s="10"/>
      <c r="PQG57" s="10"/>
      <c r="PQH57" s="10"/>
      <c r="PQI57" s="10"/>
      <c r="PQJ57" s="10"/>
      <c r="PQK57" s="10"/>
      <c r="PQL57" s="10"/>
      <c r="PQM57" s="10"/>
      <c r="PQN57" s="10"/>
      <c r="PQO57" s="10"/>
      <c r="PQP57" s="10"/>
      <c r="PQQ57" s="10"/>
      <c r="PQR57" s="10"/>
      <c r="PQS57" s="10"/>
      <c r="PQT57" s="10"/>
      <c r="PQU57" s="10"/>
      <c r="PQV57" s="10"/>
      <c r="PQW57" s="10"/>
      <c r="PQX57" s="10"/>
      <c r="PQY57" s="10"/>
      <c r="PQZ57" s="10"/>
      <c r="PRA57" s="10"/>
      <c r="PRB57" s="10"/>
      <c r="PRC57" s="10"/>
      <c r="PRD57" s="10"/>
      <c r="PRE57" s="10"/>
      <c r="PRF57" s="10"/>
      <c r="PRG57" s="10"/>
      <c r="PRH57" s="10"/>
      <c r="PRI57" s="10"/>
      <c r="PRJ57" s="10"/>
      <c r="PRK57" s="10"/>
      <c r="PRL57" s="10"/>
      <c r="PRM57" s="10"/>
      <c r="PRN57" s="10"/>
      <c r="PRO57" s="10"/>
      <c r="PRP57" s="10"/>
      <c r="PRQ57" s="10"/>
      <c r="PRR57" s="10"/>
      <c r="PRS57" s="10"/>
      <c r="PRT57" s="10"/>
      <c r="PRU57" s="10"/>
      <c r="PRV57" s="10"/>
      <c r="PRW57" s="10"/>
      <c r="PRX57" s="10"/>
      <c r="PRY57" s="10"/>
      <c r="PRZ57" s="10"/>
      <c r="PSA57" s="10"/>
      <c r="PSB57" s="10"/>
      <c r="PSC57" s="10"/>
      <c r="PSD57" s="10"/>
      <c r="PSE57" s="10"/>
      <c r="PSF57" s="10"/>
      <c r="PSG57" s="10"/>
      <c r="PSH57" s="10"/>
      <c r="PSI57" s="10"/>
      <c r="PSJ57" s="10"/>
      <c r="PSK57" s="10"/>
      <c r="PSL57" s="10"/>
      <c r="PSM57" s="10"/>
      <c r="PSN57" s="10"/>
      <c r="PSO57" s="10"/>
      <c r="PSP57" s="10"/>
      <c r="PSQ57" s="10"/>
      <c r="PSR57" s="10"/>
      <c r="PSS57" s="10"/>
      <c r="PST57" s="10"/>
      <c r="PSU57" s="10"/>
      <c r="PSV57" s="10"/>
      <c r="PSW57" s="10"/>
      <c r="PSX57" s="10"/>
      <c r="PSY57" s="10"/>
      <c r="PSZ57" s="10"/>
      <c r="PTA57" s="10"/>
      <c r="PTB57" s="10"/>
      <c r="PTC57" s="10"/>
      <c r="PTD57" s="10"/>
      <c r="PTE57" s="10"/>
      <c r="PTF57" s="10"/>
      <c r="PTG57" s="10"/>
      <c r="PTH57" s="10"/>
      <c r="PTI57" s="10"/>
      <c r="PTJ57" s="10"/>
      <c r="PTK57" s="10"/>
      <c r="PTL57" s="10"/>
      <c r="PTM57" s="10"/>
      <c r="PTN57" s="10"/>
      <c r="PTO57" s="10"/>
      <c r="PTP57" s="10"/>
      <c r="PTQ57" s="10"/>
      <c r="PTR57" s="10"/>
      <c r="PTS57" s="10"/>
      <c r="PTT57" s="10"/>
      <c r="PTU57" s="10"/>
      <c r="PTV57" s="10"/>
      <c r="PTW57" s="10"/>
      <c r="PTX57" s="10"/>
      <c r="PTY57" s="10"/>
      <c r="PTZ57" s="10"/>
      <c r="PUA57" s="10"/>
      <c r="PUB57" s="10"/>
      <c r="PUC57" s="10"/>
      <c r="PUD57" s="10"/>
      <c r="PUE57" s="10"/>
      <c r="PUF57" s="10"/>
      <c r="PUG57" s="10"/>
      <c r="PUH57" s="10"/>
      <c r="PUI57" s="10"/>
      <c r="PUJ57" s="10"/>
      <c r="PUK57" s="10"/>
      <c r="PUL57" s="10"/>
      <c r="PUM57" s="10"/>
      <c r="PUN57" s="10"/>
      <c r="PUO57" s="10"/>
      <c r="PUP57" s="10"/>
      <c r="PUQ57" s="10"/>
      <c r="PUR57" s="10"/>
      <c r="PUS57" s="10"/>
      <c r="PUT57" s="10"/>
      <c r="PUU57" s="10"/>
      <c r="PUV57" s="10"/>
      <c r="PUW57" s="10"/>
      <c r="PUX57" s="10"/>
      <c r="PUY57" s="10"/>
      <c r="PUZ57" s="10"/>
      <c r="PVA57" s="10"/>
      <c r="PVB57" s="10"/>
      <c r="PVC57" s="10"/>
      <c r="PVD57" s="10"/>
      <c r="PVE57" s="10"/>
      <c r="PVF57" s="10"/>
      <c r="PVG57" s="10"/>
      <c r="PVH57" s="10"/>
      <c r="PVI57" s="10"/>
      <c r="PVJ57" s="10"/>
      <c r="PVK57" s="10"/>
      <c r="PVL57" s="10"/>
      <c r="PVM57" s="10"/>
      <c r="PVN57" s="10"/>
      <c r="PVO57" s="10"/>
      <c r="PVP57" s="10"/>
      <c r="PVQ57" s="10"/>
      <c r="PVR57" s="10"/>
      <c r="PVS57" s="10"/>
      <c r="PVT57" s="10"/>
      <c r="PVU57" s="10"/>
      <c r="PVV57" s="10"/>
      <c r="PVW57" s="10"/>
      <c r="PVX57" s="10"/>
      <c r="PVY57" s="10"/>
      <c r="PVZ57" s="10"/>
      <c r="PWA57" s="10"/>
      <c r="PWB57" s="10"/>
      <c r="PWC57" s="10"/>
      <c r="PWD57" s="10"/>
      <c r="PWE57" s="10"/>
      <c r="PWF57" s="10"/>
      <c r="PWG57" s="10"/>
      <c r="PWH57" s="10"/>
      <c r="PWI57" s="10"/>
      <c r="PWJ57" s="10"/>
      <c r="PWK57" s="10"/>
      <c r="PWL57" s="10"/>
      <c r="PWM57" s="10"/>
      <c r="PWN57" s="10"/>
      <c r="PWO57" s="10"/>
      <c r="PWP57" s="10"/>
      <c r="PWQ57" s="10"/>
      <c r="PWR57" s="10"/>
      <c r="PWS57" s="10"/>
      <c r="PWT57" s="10"/>
      <c r="PWU57" s="10"/>
      <c r="PWV57" s="10"/>
      <c r="PWW57" s="10"/>
      <c r="PWX57" s="10"/>
      <c r="PWY57" s="10"/>
      <c r="PWZ57" s="10"/>
      <c r="PXA57" s="10"/>
      <c r="PXB57" s="10"/>
      <c r="PXC57" s="10"/>
      <c r="PXD57" s="10"/>
      <c r="PXE57" s="10"/>
      <c r="PXF57" s="10"/>
      <c r="PXG57" s="10"/>
      <c r="PXH57" s="10"/>
      <c r="PXI57" s="10"/>
      <c r="PXJ57" s="10"/>
      <c r="PXK57" s="10"/>
      <c r="PXL57" s="10"/>
      <c r="PXM57" s="10"/>
      <c r="PXN57" s="10"/>
      <c r="PXO57" s="10"/>
      <c r="PXP57" s="10"/>
      <c r="PXQ57" s="10"/>
      <c r="PXR57" s="10"/>
      <c r="PXS57" s="10"/>
      <c r="PXT57" s="10"/>
      <c r="PXU57" s="10"/>
      <c r="PXV57" s="10"/>
      <c r="PXW57" s="10"/>
      <c r="PXX57" s="10"/>
      <c r="PXY57" s="10"/>
      <c r="PXZ57" s="10"/>
      <c r="PYA57" s="10"/>
      <c r="PYB57" s="10"/>
      <c r="PYC57" s="10"/>
      <c r="PYD57" s="10"/>
      <c r="PYE57" s="10"/>
      <c r="PYF57" s="10"/>
      <c r="PYG57" s="10"/>
      <c r="PYH57" s="10"/>
      <c r="PYI57" s="10"/>
      <c r="PYJ57" s="10"/>
      <c r="PYK57" s="10"/>
      <c r="PYL57" s="10"/>
      <c r="PYM57" s="10"/>
      <c r="PYN57" s="10"/>
      <c r="PYO57" s="10"/>
      <c r="PYP57" s="10"/>
      <c r="PYQ57" s="10"/>
      <c r="PYR57" s="10"/>
      <c r="PYS57" s="10"/>
      <c r="PYT57" s="10"/>
      <c r="PYU57" s="10"/>
      <c r="PYV57" s="10"/>
      <c r="PYW57" s="10"/>
      <c r="PYX57" s="10"/>
      <c r="PYY57" s="10"/>
      <c r="PYZ57" s="10"/>
      <c r="PZA57" s="10"/>
      <c r="PZB57" s="10"/>
      <c r="PZC57" s="10"/>
      <c r="PZD57" s="10"/>
      <c r="PZE57" s="10"/>
      <c r="PZF57" s="10"/>
      <c r="PZG57" s="10"/>
      <c r="PZH57" s="10"/>
      <c r="PZI57" s="10"/>
      <c r="PZJ57" s="10"/>
      <c r="PZK57" s="10"/>
      <c r="PZL57" s="10"/>
      <c r="PZM57" s="10"/>
      <c r="PZN57" s="10"/>
      <c r="PZO57" s="10"/>
      <c r="PZP57" s="10"/>
      <c r="PZQ57" s="10"/>
      <c r="PZR57" s="10"/>
      <c r="PZS57" s="10"/>
      <c r="PZT57" s="10"/>
      <c r="PZU57" s="10"/>
      <c r="PZV57" s="10"/>
      <c r="PZW57" s="10"/>
      <c r="PZX57" s="10"/>
      <c r="PZY57" s="10"/>
      <c r="PZZ57" s="10"/>
      <c r="QAA57" s="10"/>
      <c r="QAB57" s="10"/>
      <c r="QAC57" s="10"/>
      <c r="QAD57" s="10"/>
      <c r="QAE57" s="10"/>
      <c r="QAF57" s="10"/>
      <c r="QAG57" s="10"/>
      <c r="QAH57" s="10"/>
      <c r="QAI57" s="10"/>
      <c r="QAJ57" s="10"/>
      <c r="QAK57" s="10"/>
      <c r="QAL57" s="10"/>
      <c r="QAM57" s="10"/>
      <c r="QAN57" s="10"/>
      <c r="QAO57" s="10"/>
      <c r="QAP57" s="10"/>
      <c r="QAQ57" s="10"/>
      <c r="QAR57" s="10"/>
      <c r="QAS57" s="10"/>
      <c r="QAT57" s="10"/>
      <c r="QAU57" s="10"/>
      <c r="QAV57" s="10"/>
      <c r="QAW57" s="10"/>
      <c r="QAX57" s="10"/>
      <c r="QAY57" s="10"/>
      <c r="QAZ57" s="10"/>
      <c r="QBA57" s="10"/>
      <c r="QBB57" s="10"/>
      <c r="QBC57" s="10"/>
      <c r="QBD57" s="10"/>
      <c r="QBE57" s="10"/>
      <c r="QBF57" s="10"/>
      <c r="QBG57" s="10"/>
      <c r="QBH57" s="10"/>
      <c r="QBI57" s="10"/>
      <c r="QBJ57" s="10"/>
      <c r="QBK57" s="10"/>
      <c r="QBL57" s="10"/>
      <c r="QBM57" s="10"/>
      <c r="QBN57" s="10"/>
      <c r="QBO57" s="10"/>
      <c r="QBP57" s="10"/>
      <c r="QBQ57" s="10"/>
      <c r="QBR57" s="10"/>
      <c r="QBS57" s="10"/>
      <c r="QBT57" s="10"/>
      <c r="QBU57" s="10"/>
      <c r="QBV57" s="10"/>
      <c r="QBW57" s="10"/>
      <c r="QBX57" s="10"/>
      <c r="QBY57" s="10"/>
      <c r="QBZ57" s="10"/>
      <c r="QCA57" s="10"/>
      <c r="QCB57" s="10"/>
      <c r="QCC57" s="10"/>
      <c r="QCD57" s="10"/>
      <c r="QCE57" s="10"/>
      <c r="QCF57" s="10"/>
      <c r="QCG57" s="10"/>
      <c r="QCH57" s="10"/>
      <c r="QCI57" s="10"/>
      <c r="QCJ57" s="10"/>
      <c r="QCK57" s="10"/>
      <c r="QCL57" s="10"/>
      <c r="QCM57" s="10"/>
      <c r="QCN57" s="10"/>
      <c r="QCO57" s="10"/>
      <c r="QCP57" s="10"/>
      <c r="QCQ57" s="10"/>
      <c r="QCR57" s="10"/>
      <c r="QCS57" s="10"/>
      <c r="QCT57" s="10"/>
      <c r="QCU57" s="10"/>
      <c r="QCV57" s="10"/>
      <c r="QCW57" s="10"/>
      <c r="QCX57" s="10"/>
      <c r="QCY57" s="10"/>
      <c r="QCZ57" s="10"/>
      <c r="QDA57" s="10"/>
      <c r="QDB57" s="10"/>
      <c r="QDC57" s="10"/>
      <c r="QDD57" s="10"/>
      <c r="QDE57" s="10"/>
      <c r="QDF57" s="10"/>
      <c r="QDG57" s="10"/>
      <c r="QDH57" s="10"/>
      <c r="QDI57" s="10"/>
      <c r="QDJ57" s="10"/>
      <c r="QDK57" s="10"/>
      <c r="QDL57" s="10"/>
      <c r="QDM57" s="10"/>
      <c r="QDN57" s="10"/>
      <c r="QDO57" s="10"/>
      <c r="QDP57" s="10"/>
      <c r="QDQ57" s="10"/>
      <c r="QDR57" s="10"/>
      <c r="QDS57" s="10"/>
      <c r="QDT57" s="10"/>
      <c r="QDU57" s="10"/>
      <c r="QDV57" s="10"/>
      <c r="QDW57" s="10"/>
      <c r="QDX57" s="10"/>
      <c r="QDY57" s="10"/>
      <c r="QDZ57" s="10"/>
      <c r="QEA57" s="10"/>
      <c r="QEB57" s="10"/>
      <c r="QEC57" s="10"/>
      <c r="QED57" s="10"/>
      <c r="QEE57" s="10"/>
      <c r="QEF57" s="10"/>
      <c r="QEG57" s="10"/>
      <c r="QEH57" s="10"/>
      <c r="QEI57" s="10"/>
      <c r="QEJ57" s="10"/>
      <c r="QEK57" s="10"/>
      <c r="QEL57" s="10"/>
      <c r="QEM57" s="10"/>
      <c r="QEN57" s="10"/>
      <c r="QEO57" s="10"/>
      <c r="QEP57" s="10"/>
      <c r="QEQ57" s="10"/>
      <c r="QER57" s="10"/>
      <c r="QES57" s="10"/>
      <c r="QET57" s="10"/>
      <c r="QEU57" s="10"/>
      <c r="QEV57" s="10"/>
      <c r="QEW57" s="10"/>
      <c r="QEX57" s="10"/>
      <c r="QEY57" s="10"/>
      <c r="QEZ57" s="10"/>
      <c r="QFA57" s="10"/>
      <c r="QFB57" s="10"/>
      <c r="QFC57" s="10"/>
      <c r="QFD57" s="10"/>
      <c r="QFE57" s="10"/>
      <c r="QFF57" s="10"/>
      <c r="QFG57" s="10"/>
      <c r="QFH57" s="10"/>
      <c r="QFI57" s="10"/>
      <c r="QFJ57" s="10"/>
      <c r="QFK57" s="10"/>
      <c r="QFL57" s="10"/>
      <c r="QFM57" s="10"/>
      <c r="QFN57" s="10"/>
      <c r="QFO57" s="10"/>
      <c r="QFP57" s="10"/>
      <c r="QFQ57" s="10"/>
      <c r="QFR57" s="10"/>
      <c r="QFS57" s="10"/>
      <c r="QFT57" s="10"/>
      <c r="QFU57" s="10"/>
      <c r="QFV57" s="10"/>
      <c r="QFW57" s="10"/>
      <c r="QFX57" s="10"/>
      <c r="QFY57" s="10"/>
      <c r="QFZ57" s="10"/>
      <c r="QGA57" s="10"/>
      <c r="QGB57" s="10"/>
      <c r="QGC57" s="10"/>
      <c r="QGD57" s="10"/>
      <c r="QGE57" s="10"/>
      <c r="QGF57" s="10"/>
      <c r="QGG57" s="10"/>
      <c r="QGH57" s="10"/>
      <c r="QGI57" s="10"/>
      <c r="QGJ57" s="10"/>
      <c r="QGK57" s="10"/>
      <c r="QGL57" s="10"/>
      <c r="QGM57" s="10"/>
      <c r="QGN57" s="10"/>
      <c r="QGO57" s="10"/>
      <c r="QGP57" s="10"/>
      <c r="QGQ57" s="10"/>
      <c r="QGR57" s="10"/>
      <c r="QGS57" s="10"/>
      <c r="QGT57" s="10"/>
      <c r="QGU57" s="10"/>
      <c r="QGV57" s="10"/>
      <c r="QGW57" s="10"/>
      <c r="QGX57" s="10"/>
      <c r="QGY57" s="10"/>
      <c r="QGZ57" s="10"/>
      <c r="QHA57" s="10"/>
      <c r="QHB57" s="10"/>
      <c r="QHC57" s="10"/>
      <c r="QHD57" s="10"/>
      <c r="QHE57" s="10"/>
      <c r="QHF57" s="10"/>
      <c r="QHG57" s="10"/>
      <c r="QHH57" s="10"/>
      <c r="QHI57" s="10"/>
      <c r="QHJ57" s="10"/>
      <c r="QHK57" s="10"/>
      <c r="QHL57" s="10"/>
      <c r="QHM57" s="10"/>
      <c r="QHN57" s="10"/>
      <c r="QHO57" s="10"/>
      <c r="QHP57" s="10"/>
      <c r="QHQ57" s="10"/>
      <c r="QHR57" s="10"/>
      <c r="QHS57" s="10"/>
      <c r="QHT57" s="10"/>
      <c r="QHU57" s="10"/>
      <c r="QHV57" s="10"/>
      <c r="QHW57" s="10"/>
      <c r="QHX57" s="10"/>
      <c r="QHY57" s="10"/>
      <c r="QHZ57" s="10"/>
      <c r="QIA57" s="10"/>
      <c r="QIB57" s="10"/>
      <c r="QIC57" s="10"/>
      <c r="QID57" s="10"/>
      <c r="QIE57" s="10"/>
      <c r="QIF57" s="10"/>
      <c r="QIG57" s="10"/>
      <c r="QIH57" s="10"/>
      <c r="QII57" s="10"/>
      <c r="QIJ57" s="10"/>
      <c r="QIK57" s="10"/>
      <c r="QIL57" s="10"/>
      <c r="QIM57" s="10"/>
      <c r="QIN57" s="10"/>
      <c r="QIO57" s="10"/>
      <c r="QIP57" s="10"/>
      <c r="QIQ57" s="10"/>
      <c r="QIR57" s="10"/>
      <c r="QIS57" s="10"/>
      <c r="QIT57" s="10"/>
      <c r="QIU57" s="10"/>
      <c r="QIV57" s="10"/>
      <c r="QIW57" s="10"/>
      <c r="QIX57" s="10"/>
      <c r="QIY57" s="10"/>
      <c r="QIZ57" s="10"/>
      <c r="QJA57" s="10"/>
      <c r="QJB57" s="10"/>
      <c r="QJC57" s="10"/>
      <c r="QJD57" s="10"/>
      <c r="QJE57" s="10"/>
      <c r="QJF57" s="10"/>
      <c r="QJG57" s="10"/>
      <c r="QJH57" s="10"/>
      <c r="QJI57" s="10"/>
      <c r="QJJ57" s="10"/>
      <c r="QJK57" s="10"/>
      <c r="QJL57" s="10"/>
      <c r="QJM57" s="10"/>
      <c r="QJN57" s="10"/>
      <c r="QJO57" s="10"/>
      <c r="QJP57" s="10"/>
      <c r="QJQ57" s="10"/>
      <c r="QJR57" s="10"/>
      <c r="QJS57" s="10"/>
      <c r="QJT57" s="10"/>
      <c r="QJU57" s="10"/>
      <c r="QJV57" s="10"/>
      <c r="QJW57" s="10"/>
      <c r="QJX57" s="10"/>
      <c r="QJY57" s="10"/>
      <c r="QJZ57" s="10"/>
      <c r="QKA57" s="10"/>
      <c r="QKB57" s="10"/>
      <c r="QKC57" s="10"/>
      <c r="QKD57" s="10"/>
      <c r="QKE57" s="10"/>
      <c r="QKF57" s="10"/>
      <c r="QKG57" s="10"/>
      <c r="QKH57" s="10"/>
      <c r="QKI57" s="10"/>
      <c r="QKJ57" s="10"/>
      <c r="QKK57" s="10"/>
      <c r="QKL57" s="10"/>
      <c r="QKM57" s="10"/>
      <c r="QKN57" s="10"/>
      <c r="QKO57" s="10"/>
      <c r="QKP57" s="10"/>
      <c r="QKQ57" s="10"/>
      <c r="QKR57" s="10"/>
      <c r="QKS57" s="10"/>
      <c r="QKT57" s="10"/>
      <c r="QKU57" s="10"/>
      <c r="QKV57" s="10"/>
      <c r="QKW57" s="10"/>
      <c r="QKX57" s="10"/>
      <c r="QKY57" s="10"/>
      <c r="QKZ57" s="10"/>
      <c r="QLA57" s="10"/>
      <c r="QLB57" s="10"/>
      <c r="QLC57" s="10"/>
      <c r="QLD57" s="10"/>
      <c r="QLE57" s="10"/>
      <c r="QLF57" s="10"/>
      <c r="QLG57" s="10"/>
      <c r="QLH57" s="10"/>
      <c r="QLI57" s="10"/>
      <c r="QLJ57" s="10"/>
      <c r="QLK57" s="10"/>
      <c r="QLL57" s="10"/>
      <c r="QLM57" s="10"/>
      <c r="QLN57" s="10"/>
      <c r="QLO57" s="10"/>
      <c r="QLP57" s="10"/>
      <c r="QLQ57" s="10"/>
      <c r="QLR57" s="10"/>
      <c r="QLS57" s="10"/>
      <c r="QLT57" s="10"/>
      <c r="QLU57" s="10"/>
      <c r="QLV57" s="10"/>
      <c r="QLW57" s="10"/>
      <c r="QLX57" s="10"/>
      <c r="QLY57" s="10"/>
      <c r="QLZ57" s="10"/>
      <c r="QMA57" s="10"/>
      <c r="QMB57" s="10"/>
      <c r="QMC57" s="10"/>
      <c r="QMD57" s="10"/>
      <c r="QME57" s="10"/>
      <c r="QMF57" s="10"/>
      <c r="QMG57" s="10"/>
      <c r="QMH57" s="10"/>
      <c r="QMI57" s="10"/>
      <c r="QMJ57" s="10"/>
      <c r="QMK57" s="10"/>
      <c r="QML57" s="10"/>
      <c r="QMM57" s="10"/>
      <c r="QMN57" s="10"/>
      <c r="QMO57" s="10"/>
      <c r="QMP57" s="10"/>
      <c r="QMQ57" s="10"/>
      <c r="QMR57" s="10"/>
      <c r="QMS57" s="10"/>
      <c r="QMT57" s="10"/>
      <c r="QMU57" s="10"/>
      <c r="QMV57" s="10"/>
      <c r="QMW57" s="10"/>
      <c r="QMX57" s="10"/>
      <c r="QMY57" s="10"/>
      <c r="QMZ57" s="10"/>
      <c r="QNA57" s="10"/>
      <c r="QNB57" s="10"/>
      <c r="QNC57" s="10"/>
      <c r="QND57" s="10"/>
      <c r="QNE57" s="10"/>
      <c r="QNF57" s="10"/>
      <c r="QNG57" s="10"/>
      <c r="QNH57" s="10"/>
      <c r="QNI57" s="10"/>
      <c r="QNJ57" s="10"/>
      <c r="QNK57" s="10"/>
      <c r="QNL57" s="10"/>
      <c r="QNM57" s="10"/>
      <c r="QNN57" s="10"/>
      <c r="QNO57" s="10"/>
      <c r="QNP57" s="10"/>
      <c r="QNQ57" s="10"/>
      <c r="QNR57" s="10"/>
      <c r="QNS57" s="10"/>
      <c r="QNT57" s="10"/>
      <c r="QNU57" s="10"/>
      <c r="QNV57" s="10"/>
      <c r="QNW57" s="10"/>
      <c r="QNX57" s="10"/>
      <c r="QNY57" s="10"/>
      <c r="QNZ57" s="10"/>
      <c r="QOA57" s="10"/>
      <c r="QOB57" s="10"/>
      <c r="QOC57" s="10"/>
      <c r="QOD57" s="10"/>
      <c r="QOE57" s="10"/>
      <c r="QOF57" s="10"/>
      <c r="QOG57" s="10"/>
      <c r="QOH57" s="10"/>
      <c r="QOI57" s="10"/>
      <c r="QOJ57" s="10"/>
      <c r="QOK57" s="10"/>
      <c r="QOL57" s="10"/>
      <c r="QOM57" s="10"/>
      <c r="QON57" s="10"/>
      <c r="QOO57" s="10"/>
      <c r="QOP57" s="10"/>
      <c r="QOQ57" s="10"/>
      <c r="QOR57" s="10"/>
      <c r="QOS57" s="10"/>
      <c r="QOT57" s="10"/>
      <c r="QOU57" s="10"/>
      <c r="QOV57" s="10"/>
      <c r="QOW57" s="10"/>
      <c r="QOX57" s="10"/>
      <c r="QOY57" s="10"/>
      <c r="QOZ57" s="10"/>
      <c r="QPA57" s="10"/>
      <c r="QPB57" s="10"/>
      <c r="QPC57" s="10"/>
      <c r="QPD57" s="10"/>
      <c r="QPE57" s="10"/>
      <c r="QPF57" s="10"/>
      <c r="QPG57" s="10"/>
      <c r="QPH57" s="10"/>
      <c r="QPI57" s="10"/>
      <c r="QPJ57" s="10"/>
      <c r="QPK57" s="10"/>
      <c r="QPL57" s="10"/>
      <c r="QPM57" s="10"/>
      <c r="QPN57" s="10"/>
      <c r="QPO57" s="10"/>
      <c r="QPP57" s="10"/>
      <c r="QPQ57" s="10"/>
      <c r="QPR57" s="10"/>
      <c r="QPS57" s="10"/>
      <c r="QPT57" s="10"/>
      <c r="QPU57" s="10"/>
      <c r="QPV57" s="10"/>
      <c r="QPW57" s="10"/>
      <c r="QPX57" s="10"/>
      <c r="QPY57" s="10"/>
      <c r="QPZ57" s="10"/>
      <c r="QQA57" s="10"/>
      <c r="QQB57" s="10"/>
      <c r="QQC57" s="10"/>
      <c r="QQD57" s="10"/>
      <c r="QQE57" s="10"/>
      <c r="QQF57" s="10"/>
      <c r="QQG57" s="10"/>
      <c r="QQH57" s="10"/>
      <c r="QQI57" s="10"/>
      <c r="QQJ57" s="10"/>
      <c r="QQK57" s="10"/>
      <c r="QQL57" s="10"/>
      <c r="QQM57" s="10"/>
      <c r="QQN57" s="10"/>
      <c r="QQO57" s="10"/>
      <c r="QQP57" s="10"/>
      <c r="QQQ57" s="10"/>
      <c r="QQR57" s="10"/>
      <c r="QQS57" s="10"/>
      <c r="QQT57" s="10"/>
      <c r="QQU57" s="10"/>
      <c r="QQV57" s="10"/>
      <c r="QQW57" s="10"/>
      <c r="QQX57" s="10"/>
      <c r="QQY57" s="10"/>
      <c r="QQZ57" s="10"/>
      <c r="QRA57" s="10"/>
      <c r="QRB57" s="10"/>
      <c r="QRC57" s="10"/>
      <c r="QRD57" s="10"/>
      <c r="QRE57" s="10"/>
      <c r="QRF57" s="10"/>
      <c r="QRG57" s="10"/>
      <c r="QRH57" s="10"/>
      <c r="QRI57" s="10"/>
      <c r="QRJ57" s="10"/>
      <c r="QRK57" s="10"/>
      <c r="QRL57" s="10"/>
      <c r="QRM57" s="10"/>
      <c r="QRN57" s="10"/>
      <c r="QRO57" s="10"/>
      <c r="QRP57" s="10"/>
      <c r="QRQ57" s="10"/>
      <c r="QRR57" s="10"/>
      <c r="QRS57" s="10"/>
      <c r="QRT57" s="10"/>
      <c r="QRU57" s="10"/>
      <c r="QRV57" s="10"/>
      <c r="QRW57" s="10"/>
      <c r="QRX57" s="10"/>
      <c r="QRY57" s="10"/>
      <c r="QRZ57" s="10"/>
      <c r="QSA57" s="10"/>
      <c r="QSB57" s="10"/>
      <c r="QSC57" s="10"/>
      <c r="QSD57" s="10"/>
      <c r="QSE57" s="10"/>
      <c r="QSF57" s="10"/>
      <c r="QSG57" s="10"/>
      <c r="QSH57" s="10"/>
      <c r="QSI57" s="10"/>
      <c r="QSJ57" s="10"/>
      <c r="QSK57" s="10"/>
      <c r="QSL57" s="10"/>
      <c r="QSM57" s="10"/>
      <c r="QSN57" s="10"/>
      <c r="QSO57" s="10"/>
      <c r="QSP57" s="10"/>
      <c r="QSQ57" s="10"/>
      <c r="QSR57" s="10"/>
      <c r="QSS57" s="10"/>
      <c r="QST57" s="10"/>
      <c r="QSU57" s="10"/>
      <c r="QSV57" s="10"/>
      <c r="QSW57" s="10"/>
      <c r="QSX57" s="10"/>
      <c r="QSY57" s="10"/>
      <c r="QSZ57" s="10"/>
      <c r="QTA57" s="10"/>
      <c r="QTB57" s="10"/>
      <c r="QTC57" s="10"/>
      <c r="QTD57" s="10"/>
      <c r="QTE57" s="10"/>
      <c r="QTF57" s="10"/>
      <c r="QTG57" s="10"/>
      <c r="QTH57" s="10"/>
      <c r="QTI57" s="10"/>
      <c r="QTJ57" s="10"/>
      <c r="QTK57" s="10"/>
      <c r="QTL57" s="10"/>
      <c r="QTM57" s="10"/>
      <c r="QTN57" s="10"/>
      <c r="QTO57" s="10"/>
      <c r="QTP57" s="10"/>
      <c r="QTQ57" s="10"/>
      <c r="QTR57" s="10"/>
      <c r="QTS57" s="10"/>
      <c r="QTT57" s="10"/>
      <c r="QTU57" s="10"/>
      <c r="QTV57" s="10"/>
      <c r="QTW57" s="10"/>
      <c r="QTX57" s="10"/>
      <c r="QTY57" s="10"/>
      <c r="QTZ57" s="10"/>
      <c r="QUA57" s="10"/>
      <c r="QUB57" s="10"/>
      <c r="QUC57" s="10"/>
      <c r="QUD57" s="10"/>
      <c r="QUE57" s="10"/>
      <c r="QUF57" s="10"/>
      <c r="QUG57" s="10"/>
      <c r="QUH57" s="10"/>
      <c r="QUI57" s="10"/>
      <c r="QUJ57" s="10"/>
      <c r="QUK57" s="10"/>
      <c r="QUL57" s="10"/>
      <c r="QUM57" s="10"/>
      <c r="QUN57" s="10"/>
      <c r="QUO57" s="10"/>
      <c r="QUP57" s="10"/>
      <c r="QUQ57" s="10"/>
      <c r="QUR57" s="10"/>
      <c r="QUS57" s="10"/>
      <c r="QUT57" s="10"/>
      <c r="QUU57" s="10"/>
      <c r="QUV57" s="10"/>
      <c r="QUW57" s="10"/>
      <c r="QUX57" s="10"/>
      <c r="QUY57" s="10"/>
      <c r="QUZ57" s="10"/>
      <c r="QVA57" s="10"/>
      <c r="QVB57" s="10"/>
      <c r="QVC57" s="10"/>
      <c r="QVD57" s="10"/>
      <c r="QVE57" s="10"/>
      <c r="QVF57" s="10"/>
      <c r="QVG57" s="10"/>
      <c r="QVH57" s="10"/>
      <c r="QVI57" s="10"/>
      <c r="QVJ57" s="10"/>
      <c r="QVK57" s="10"/>
      <c r="QVL57" s="10"/>
      <c r="QVM57" s="10"/>
      <c r="QVN57" s="10"/>
      <c r="QVO57" s="10"/>
      <c r="QVP57" s="10"/>
      <c r="QVQ57" s="10"/>
      <c r="QVR57" s="10"/>
      <c r="QVS57" s="10"/>
      <c r="QVT57" s="10"/>
      <c r="QVU57" s="10"/>
      <c r="QVV57" s="10"/>
      <c r="QVW57" s="10"/>
      <c r="QVX57" s="10"/>
      <c r="QVY57" s="10"/>
      <c r="QVZ57" s="10"/>
      <c r="QWA57" s="10"/>
      <c r="QWB57" s="10"/>
      <c r="QWC57" s="10"/>
      <c r="QWD57" s="10"/>
      <c r="QWE57" s="10"/>
      <c r="QWF57" s="10"/>
      <c r="QWG57" s="10"/>
      <c r="QWH57" s="10"/>
      <c r="QWI57" s="10"/>
      <c r="QWJ57" s="10"/>
      <c r="QWK57" s="10"/>
      <c r="QWL57" s="10"/>
      <c r="QWM57" s="10"/>
      <c r="QWN57" s="10"/>
      <c r="QWO57" s="10"/>
      <c r="QWP57" s="10"/>
      <c r="QWQ57" s="10"/>
      <c r="QWR57" s="10"/>
      <c r="QWS57" s="10"/>
      <c r="QWT57" s="10"/>
      <c r="QWU57" s="10"/>
      <c r="QWV57" s="10"/>
      <c r="QWW57" s="10"/>
      <c r="QWX57" s="10"/>
      <c r="QWY57" s="10"/>
      <c r="QWZ57" s="10"/>
      <c r="QXA57" s="10"/>
      <c r="QXB57" s="10"/>
      <c r="QXC57" s="10"/>
      <c r="QXD57" s="10"/>
      <c r="QXE57" s="10"/>
      <c r="QXF57" s="10"/>
      <c r="QXG57" s="10"/>
      <c r="QXH57" s="10"/>
      <c r="QXI57" s="10"/>
      <c r="QXJ57" s="10"/>
      <c r="QXK57" s="10"/>
      <c r="QXL57" s="10"/>
      <c r="QXM57" s="10"/>
      <c r="QXN57" s="10"/>
      <c r="QXO57" s="10"/>
      <c r="QXP57" s="10"/>
      <c r="QXQ57" s="10"/>
      <c r="QXR57" s="10"/>
      <c r="QXS57" s="10"/>
      <c r="QXT57" s="10"/>
      <c r="QXU57" s="10"/>
      <c r="QXV57" s="10"/>
      <c r="QXW57" s="10"/>
      <c r="QXX57" s="10"/>
      <c r="QXY57" s="10"/>
      <c r="QXZ57" s="10"/>
      <c r="QYA57" s="10"/>
      <c r="QYB57" s="10"/>
      <c r="QYC57" s="10"/>
      <c r="QYD57" s="10"/>
      <c r="QYE57" s="10"/>
      <c r="QYF57" s="10"/>
      <c r="QYG57" s="10"/>
      <c r="QYH57" s="10"/>
      <c r="QYI57" s="10"/>
      <c r="QYJ57" s="10"/>
      <c r="QYK57" s="10"/>
      <c r="QYL57" s="10"/>
      <c r="QYM57" s="10"/>
      <c r="QYN57" s="10"/>
      <c r="QYO57" s="10"/>
      <c r="QYP57" s="10"/>
      <c r="QYQ57" s="10"/>
      <c r="QYR57" s="10"/>
      <c r="QYS57" s="10"/>
      <c r="QYT57" s="10"/>
      <c r="QYU57" s="10"/>
      <c r="QYV57" s="10"/>
      <c r="QYW57" s="10"/>
      <c r="QYX57" s="10"/>
      <c r="QYY57" s="10"/>
      <c r="QYZ57" s="10"/>
      <c r="QZA57" s="10"/>
      <c r="QZB57" s="10"/>
      <c r="QZC57" s="10"/>
      <c r="QZD57" s="10"/>
      <c r="QZE57" s="10"/>
      <c r="QZF57" s="10"/>
      <c r="QZG57" s="10"/>
      <c r="QZH57" s="10"/>
      <c r="QZI57" s="10"/>
      <c r="QZJ57" s="10"/>
      <c r="QZK57" s="10"/>
      <c r="QZL57" s="10"/>
      <c r="QZM57" s="10"/>
      <c r="QZN57" s="10"/>
      <c r="QZO57" s="10"/>
      <c r="QZP57" s="10"/>
      <c r="QZQ57" s="10"/>
      <c r="QZR57" s="10"/>
      <c r="QZS57" s="10"/>
      <c r="QZT57" s="10"/>
      <c r="QZU57" s="10"/>
      <c r="QZV57" s="10"/>
      <c r="QZW57" s="10"/>
      <c r="QZX57" s="10"/>
      <c r="QZY57" s="10"/>
      <c r="QZZ57" s="10"/>
      <c r="RAA57" s="10"/>
      <c r="RAB57" s="10"/>
      <c r="RAC57" s="10"/>
      <c r="RAD57" s="10"/>
      <c r="RAE57" s="10"/>
      <c r="RAF57" s="10"/>
      <c r="RAG57" s="10"/>
      <c r="RAH57" s="10"/>
      <c r="RAI57" s="10"/>
      <c r="RAJ57" s="10"/>
      <c r="RAK57" s="10"/>
      <c r="RAL57" s="10"/>
      <c r="RAM57" s="10"/>
      <c r="RAN57" s="10"/>
      <c r="RAO57" s="10"/>
      <c r="RAP57" s="10"/>
      <c r="RAQ57" s="10"/>
      <c r="RAR57" s="10"/>
      <c r="RAS57" s="10"/>
      <c r="RAT57" s="10"/>
      <c r="RAU57" s="10"/>
      <c r="RAV57" s="10"/>
      <c r="RAW57" s="10"/>
      <c r="RAX57" s="10"/>
      <c r="RAY57" s="10"/>
      <c r="RAZ57" s="10"/>
      <c r="RBA57" s="10"/>
      <c r="RBB57" s="10"/>
      <c r="RBC57" s="10"/>
      <c r="RBD57" s="10"/>
      <c r="RBE57" s="10"/>
      <c r="RBF57" s="10"/>
      <c r="RBG57" s="10"/>
      <c r="RBH57" s="10"/>
      <c r="RBI57" s="10"/>
      <c r="RBJ57" s="10"/>
      <c r="RBK57" s="10"/>
      <c r="RBL57" s="10"/>
      <c r="RBM57" s="10"/>
      <c r="RBN57" s="10"/>
      <c r="RBO57" s="10"/>
      <c r="RBP57" s="10"/>
      <c r="RBQ57" s="10"/>
      <c r="RBR57" s="10"/>
      <c r="RBS57" s="10"/>
      <c r="RBT57" s="10"/>
      <c r="RBU57" s="10"/>
      <c r="RBV57" s="10"/>
      <c r="RBW57" s="10"/>
      <c r="RBX57" s="10"/>
      <c r="RBY57" s="10"/>
      <c r="RBZ57" s="10"/>
      <c r="RCA57" s="10"/>
      <c r="RCB57" s="10"/>
      <c r="RCC57" s="10"/>
      <c r="RCD57" s="10"/>
      <c r="RCE57" s="10"/>
      <c r="RCF57" s="10"/>
      <c r="RCG57" s="10"/>
      <c r="RCH57" s="10"/>
      <c r="RCI57" s="10"/>
      <c r="RCJ57" s="10"/>
      <c r="RCK57" s="10"/>
      <c r="RCL57" s="10"/>
      <c r="RCM57" s="10"/>
      <c r="RCN57" s="10"/>
      <c r="RCO57" s="10"/>
      <c r="RCP57" s="10"/>
      <c r="RCQ57" s="10"/>
      <c r="RCR57" s="10"/>
      <c r="RCS57" s="10"/>
      <c r="RCT57" s="10"/>
      <c r="RCU57" s="10"/>
      <c r="RCV57" s="10"/>
      <c r="RCW57" s="10"/>
      <c r="RCX57" s="10"/>
      <c r="RCY57" s="10"/>
      <c r="RCZ57" s="10"/>
      <c r="RDA57" s="10"/>
      <c r="RDB57" s="10"/>
      <c r="RDC57" s="10"/>
      <c r="RDD57" s="10"/>
      <c r="RDE57" s="10"/>
      <c r="RDF57" s="10"/>
      <c r="RDG57" s="10"/>
      <c r="RDH57" s="10"/>
      <c r="RDI57" s="10"/>
      <c r="RDJ57" s="10"/>
      <c r="RDK57" s="10"/>
      <c r="RDL57" s="10"/>
      <c r="RDM57" s="10"/>
      <c r="RDN57" s="10"/>
      <c r="RDO57" s="10"/>
      <c r="RDP57" s="10"/>
      <c r="RDQ57" s="10"/>
      <c r="RDR57" s="10"/>
      <c r="RDS57" s="10"/>
      <c r="RDT57" s="10"/>
      <c r="RDU57" s="10"/>
      <c r="RDV57" s="10"/>
      <c r="RDW57" s="10"/>
      <c r="RDX57" s="10"/>
      <c r="RDY57" s="10"/>
      <c r="RDZ57" s="10"/>
      <c r="REA57" s="10"/>
      <c r="REB57" s="10"/>
      <c r="REC57" s="10"/>
      <c r="RED57" s="10"/>
      <c r="REE57" s="10"/>
      <c r="REF57" s="10"/>
      <c r="REG57" s="10"/>
      <c r="REH57" s="10"/>
      <c r="REI57" s="10"/>
      <c r="REJ57" s="10"/>
      <c r="REK57" s="10"/>
      <c r="REL57" s="10"/>
      <c r="REM57" s="10"/>
      <c r="REN57" s="10"/>
      <c r="REO57" s="10"/>
      <c r="REP57" s="10"/>
      <c r="REQ57" s="10"/>
      <c r="RER57" s="10"/>
      <c r="RES57" s="10"/>
      <c r="RET57" s="10"/>
      <c r="REU57" s="10"/>
      <c r="REV57" s="10"/>
      <c r="REW57" s="10"/>
      <c r="REX57" s="10"/>
      <c r="REY57" s="10"/>
      <c r="REZ57" s="10"/>
      <c r="RFA57" s="10"/>
      <c r="RFB57" s="10"/>
      <c r="RFC57" s="10"/>
      <c r="RFD57" s="10"/>
      <c r="RFE57" s="10"/>
      <c r="RFF57" s="10"/>
      <c r="RFG57" s="10"/>
      <c r="RFH57" s="10"/>
      <c r="RFI57" s="10"/>
      <c r="RFJ57" s="10"/>
      <c r="RFK57" s="10"/>
      <c r="RFL57" s="10"/>
      <c r="RFM57" s="10"/>
      <c r="RFN57" s="10"/>
      <c r="RFO57" s="10"/>
      <c r="RFP57" s="10"/>
      <c r="RFQ57" s="10"/>
      <c r="RFR57" s="10"/>
      <c r="RFS57" s="10"/>
      <c r="RFT57" s="10"/>
      <c r="RFU57" s="10"/>
      <c r="RFV57" s="10"/>
      <c r="RFW57" s="10"/>
      <c r="RFX57" s="10"/>
      <c r="RFY57" s="10"/>
      <c r="RFZ57" s="10"/>
      <c r="RGA57" s="10"/>
      <c r="RGB57" s="10"/>
      <c r="RGC57" s="10"/>
      <c r="RGD57" s="10"/>
      <c r="RGE57" s="10"/>
      <c r="RGF57" s="10"/>
      <c r="RGG57" s="10"/>
      <c r="RGH57" s="10"/>
      <c r="RGI57" s="10"/>
      <c r="RGJ57" s="10"/>
      <c r="RGK57" s="10"/>
      <c r="RGL57" s="10"/>
      <c r="RGM57" s="10"/>
      <c r="RGN57" s="10"/>
      <c r="RGO57" s="10"/>
      <c r="RGP57" s="10"/>
      <c r="RGQ57" s="10"/>
      <c r="RGR57" s="10"/>
      <c r="RGS57" s="10"/>
      <c r="RGT57" s="10"/>
      <c r="RGU57" s="10"/>
      <c r="RGV57" s="10"/>
      <c r="RGW57" s="10"/>
      <c r="RGX57" s="10"/>
      <c r="RGY57" s="10"/>
      <c r="RGZ57" s="10"/>
      <c r="RHA57" s="10"/>
      <c r="RHB57" s="10"/>
      <c r="RHC57" s="10"/>
      <c r="RHD57" s="10"/>
      <c r="RHE57" s="10"/>
      <c r="RHF57" s="10"/>
      <c r="RHG57" s="10"/>
      <c r="RHH57" s="10"/>
      <c r="RHI57" s="10"/>
      <c r="RHJ57" s="10"/>
      <c r="RHK57" s="10"/>
      <c r="RHL57" s="10"/>
      <c r="RHM57" s="10"/>
      <c r="RHN57" s="10"/>
      <c r="RHO57" s="10"/>
      <c r="RHP57" s="10"/>
      <c r="RHQ57" s="10"/>
      <c r="RHR57" s="10"/>
      <c r="RHS57" s="10"/>
      <c r="RHT57" s="10"/>
      <c r="RHU57" s="10"/>
      <c r="RHV57" s="10"/>
      <c r="RHW57" s="10"/>
      <c r="RHX57" s="10"/>
      <c r="RHY57" s="10"/>
      <c r="RHZ57" s="10"/>
      <c r="RIA57" s="10"/>
      <c r="RIB57" s="10"/>
      <c r="RIC57" s="10"/>
      <c r="RID57" s="10"/>
      <c r="RIE57" s="10"/>
      <c r="RIF57" s="10"/>
      <c r="RIG57" s="10"/>
      <c r="RIH57" s="10"/>
      <c r="RII57" s="10"/>
      <c r="RIJ57" s="10"/>
      <c r="RIK57" s="10"/>
      <c r="RIL57" s="10"/>
      <c r="RIM57" s="10"/>
      <c r="RIN57" s="10"/>
      <c r="RIO57" s="10"/>
      <c r="RIP57" s="10"/>
      <c r="RIQ57" s="10"/>
      <c r="RIR57" s="10"/>
      <c r="RIS57" s="10"/>
      <c r="RIT57" s="10"/>
      <c r="RIU57" s="10"/>
      <c r="RIV57" s="10"/>
      <c r="RIW57" s="10"/>
      <c r="RIX57" s="10"/>
      <c r="RIY57" s="10"/>
      <c r="RIZ57" s="10"/>
      <c r="RJA57" s="10"/>
      <c r="RJB57" s="10"/>
      <c r="RJC57" s="10"/>
      <c r="RJD57" s="10"/>
      <c r="RJE57" s="10"/>
      <c r="RJF57" s="10"/>
      <c r="RJG57" s="10"/>
      <c r="RJH57" s="10"/>
      <c r="RJI57" s="10"/>
      <c r="RJJ57" s="10"/>
      <c r="RJK57" s="10"/>
      <c r="RJL57" s="10"/>
      <c r="RJM57" s="10"/>
      <c r="RJN57" s="10"/>
      <c r="RJO57" s="10"/>
      <c r="RJP57" s="10"/>
      <c r="RJQ57" s="10"/>
      <c r="RJR57" s="10"/>
      <c r="RJS57" s="10"/>
      <c r="RJT57" s="10"/>
      <c r="RJU57" s="10"/>
      <c r="RJV57" s="10"/>
      <c r="RJW57" s="10"/>
      <c r="RJX57" s="10"/>
      <c r="RJY57" s="10"/>
      <c r="RJZ57" s="10"/>
      <c r="RKA57" s="10"/>
      <c r="RKB57" s="10"/>
      <c r="RKC57" s="10"/>
      <c r="RKD57" s="10"/>
      <c r="RKE57" s="10"/>
      <c r="RKF57" s="10"/>
      <c r="RKG57" s="10"/>
      <c r="RKH57" s="10"/>
      <c r="RKI57" s="10"/>
      <c r="RKJ57" s="10"/>
      <c r="RKK57" s="10"/>
      <c r="RKL57" s="10"/>
      <c r="RKM57" s="10"/>
      <c r="RKN57" s="10"/>
      <c r="RKO57" s="10"/>
      <c r="RKP57" s="10"/>
      <c r="RKQ57" s="10"/>
      <c r="RKR57" s="10"/>
      <c r="RKS57" s="10"/>
      <c r="RKT57" s="10"/>
      <c r="RKU57" s="10"/>
      <c r="RKV57" s="10"/>
      <c r="RKW57" s="10"/>
      <c r="RKX57" s="10"/>
      <c r="RKY57" s="10"/>
      <c r="RKZ57" s="10"/>
      <c r="RLA57" s="10"/>
      <c r="RLB57" s="10"/>
      <c r="RLC57" s="10"/>
      <c r="RLD57" s="10"/>
      <c r="RLE57" s="10"/>
      <c r="RLF57" s="10"/>
      <c r="RLG57" s="10"/>
      <c r="RLH57" s="10"/>
      <c r="RLI57" s="10"/>
      <c r="RLJ57" s="10"/>
      <c r="RLK57" s="10"/>
      <c r="RLL57" s="10"/>
      <c r="RLM57" s="10"/>
      <c r="RLN57" s="10"/>
      <c r="RLO57" s="10"/>
      <c r="RLP57" s="10"/>
      <c r="RLQ57" s="10"/>
      <c r="RLR57" s="10"/>
      <c r="RLS57" s="10"/>
      <c r="RLT57" s="10"/>
      <c r="RLU57" s="10"/>
      <c r="RLV57" s="10"/>
      <c r="RLW57" s="10"/>
      <c r="RLX57" s="10"/>
      <c r="RLY57" s="10"/>
      <c r="RLZ57" s="10"/>
      <c r="RMA57" s="10"/>
      <c r="RMB57" s="10"/>
      <c r="RMC57" s="10"/>
      <c r="RMD57" s="10"/>
      <c r="RME57" s="10"/>
      <c r="RMF57" s="10"/>
      <c r="RMG57" s="10"/>
      <c r="RMH57" s="10"/>
      <c r="RMI57" s="10"/>
      <c r="RMJ57" s="10"/>
      <c r="RMK57" s="10"/>
      <c r="RML57" s="10"/>
      <c r="RMM57" s="10"/>
      <c r="RMN57" s="10"/>
      <c r="RMO57" s="10"/>
      <c r="RMP57" s="10"/>
      <c r="RMQ57" s="10"/>
      <c r="RMR57" s="10"/>
      <c r="RMS57" s="10"/>
      <c r="RMT57" s="10"/>
      <c r="RMU57" s="10"/>
      <c r="RMV57" s="10"/>
      <c r="RMW57" s="10"/>
      <c r="RMX57" s="10"/>
      <c r="RMY57" s="10"/>
      <c r="RMZ57" s="10"/>
      <c r="RNA57" s="10"/>
      <c r="RNB57" s="10"/>
      <c r="RNC57" s="10"/>
      <c r="RND57" s="10"/>
      <c r="RNE57" s="10"/>
      <c r="RNF57" s="10"/>
      <c r="RNG57" s="10"/>
      <c r="RNH57" s="10"/>
      <c r="RNI57" s="10"/>
      <c r="RNJ57" s="10"/>
      <c r="RNK57" s="10"/>
      <c r="RNL57" s="10"/>
      <c r="RNM57" s="10"/>
      <c r="RNN57" s="10"/>
      <c r="RNO57" s="10"/>
      <c r="RNP57" s="10"/>
      <c r="RNQ57" s="10"/>
      <c r="RNR57" s="10"/>
      <c r="RNS57" s="10"/>
      <c r="RNT57" s="10"/>
      <c r="RNU57" s="10"/>
      <c r="RNV57" s="10"/>
      <c r="RNW57" s="10"/>
      <c r="RNX57" s="10"/>
      <c r="RNY57" s="10"/>
      <c r="RNZ57" s="10"/>
      <c r="ROA57" s="10"/>
      <c r="ROB57" s="10"/>
      <c r="ROC57" s="10"/>
      <c r="ROD57" s="10"/>
      <c r="ROE57" s="10"/>
      <c r="ROF57" s="10"/>
      <c r="ROG57" s="10"/>
      <c r="ROH57" s="10"/>
      <c r="ROI57" s="10"/>
      <c r="ROJ57" s="10"/>
      <c r="ROK57" s="10"/>
      <c r="ROL57" s="10"/>
      <c r="ROM57" s="10"/>
      <c r="RON57" s="10"/>
      <c r="ROO57" s="10"/>
      <c r="ROP57" s="10"/>
      <c r="ROQ57" s="10"/>
      <c r="ROR57" s="10"/>
      <c r="ROS57" s="10"/>
      <c r="ROT57" s="10"/>
      <c r="ROU57" s="10"/>
      <c r="ROV57" s="10"/>
      <c r="ROW57" s="10"/>
      <c r="ROX57" s="10"/>
      <c r="ROY57" s="10"/>
      <c r="ROZ57" s="10"/>
      <c r="RPA57" s="10"/>
      <c r="RPB57" s="10"/>
      <c r="RPC57" s="10"/>
      <c r="RPD57" s="10"/>
      <c r="RPE57" s="10"/>
      <c r="RPF57" s="10"/>
      <c r="RPG57" s="10"/>
      <c r="RPH57" s="10"/>
      <c r="RPI57" s="10"/>
      <c r="RPJ57" s="10"/>
      <c r="RPK57" s="10"/>
      <c r="RPL57" s="10"/>
      <c r="RPM57" s="10"/>
      <c r="RPN57" s="10"/>
      <c r="RPO57" s="10"/>
      <c r="RPP57" s="10"/>
      <c r="RPQ57" s="10"/>
      <c r="RPR57" s="10"/>
      <c r="RPS57" s="10"/>
      <c r="RPT57" s="10"/>
      <c r="RPU57" s="10"/>
      <c r="RPV57" s="10"/>
      <c r="RPW57" s="10"/>
      <c r="RPX57" s="10"/>
      <c r="RPY57" s="10"/>
      <c r="RPZ57" s="10"/>
      <c r="RQA57" s="10"/>
      <c r="RQB57" s="10"/>
      <c r="RQC57" s="10"/>
      <c r="RQD57" s="10"/>
      <c r="RQE57" s="10"/>
      <c r="RQF57" s="10"/>
      <c r="RQG57" s="10"/>
      <c r="RQH57" s="10"/>
      <c r="RQI57" s="10"/>
      <c r="RQJ57" s="10"/>
      <c r="RQK57" s="10"/>
      <c r="RQL57" s="10"/>
      <c r="RQM57" s="10"/>
      <c r="RQN57" s="10"/>
      <c r="RQO57" s="10"/>
      <c r="RQP57" s="10"/>
      <c r="RQQ57" s="10"/>
      <c r="RQR57" s="10"/>
      <c r="RQS57" s="10"/>
      <c r="RQT57" s="10"/>
      <c r="RQU57" s="10"/>
      <c r="RQV57" s="10"/>
      <c r="RQW57" s="10"/>
      <c r="RQX57" s="10"/>
      <c r="RQY57" s="10"/>
      <c r="RQZ57" s="10"/>
      <c r="RRA57" s="10"/>
      <c r="RRB57" s="10"/>
      <c r="RRC57" s="10"/>
      <c r="RRD57" s="10"/>
      <c r="RRE57" s="10"/>
      <c r="RRF57" s="10"/>
      <c r="RRG57" s="10"/>
      <c r="RRH57" s="10"/>
      <c r="RRI57" s="10"/>
      <c r="RRJ57" s="10"/>
      <c r="RRK57" s="10"/>
      <c r="RRL57" s="10"/>
      <c r="RRM57" s="10"/>
      <c r="RRN57" s="10"/>
      <c r="RRO57" s="10"/>
      <c r="RRP57" s="10"/>
      <c r="RRQ57" s="10"/>
      <c r="RRR57" s="10"/>
      <c r="RRS57" s="10"/>
      <c r="RRT57" s="10"/>
      <c r="RRU57" s="10"/>
      <c r="RRV57" s="10"/>
      <c r="RRW57" s="10"/>
      <c r="RRX57" s="10"/>
      <c r="RRY57" s="10"/>
      <c r="RRZ57" s="10"/>
      <c r="RSA57" s="10"/>
      <c r="RSB57" s="10"/>
      <c r="RSC57" s="10"/>
      <c r="RSD57" s="10"/>
      <c r="RSE57" s="10"/>
      <c r="RSF57" s="10"/>
      <c r="RSG57" s="10"/>
      <c r="RSH57" s="10"/>
      <c r="RSI57" s="10"/>
      <c r="RSJ57" s="10"/>
      <c r="RSK57" s="10"/>
      <c r="RSL57" s="10"/>
      <c r="RSM57" s="10"/>
      <c r="RSN57" s="10"/>
      <c r="RSO57" s="10"/>
      <c r="RSP57" s="10"/>
      <c r="RSQ57" s="10"/>
      <c r="RSR57" s="10"/>
      <c r="RSS57" s="10"/>
      <c r="RST57" s="10"/>
      <c r="RSU57" s="10"/>
      <c r="RSV57" s="10"/>
      <c r="RSW57" s="10"/>
      <c r="RSX57" s="10"/>
      <c r="RSY57" s="10"/>
      <c r="RSZ57" s="10"/>
      <c r="RTA57" s="10"/>
      <c r="RTB57" s="10"/>
      <c r="RTC57" s="10"/>
      <c r="RTD57" s="10"/>
      <c r="RTE57" s="10"/>
      <c r="RTF57" s="10"/>
      <c r="RTG57" s="10"/>
      <c r="RTH57" s="10"/>
      <c r="RTI57" s="10"/>
      <c r="RTJ57" s="10"/>
      <c r="RTK57" s="10"/>
      <c r="RTL57" s="10"/>
      <c r="RTM57" s="10"/>
      <c r="RTN57" s="10"/>
      <c r="RTO57" s="10"/>
      <c r="RTP57" s="10"/>
      <c r="RTQ57" s="10"/>
      <c r="RTR57" s="10"/>
      <c r="RTS57" s="10"/>
      <c r="RTT57" s="10"/>
      <c r="RTU57" s="10"/>
      <c r="RTV57" s="10"/>
      <c r="RTW57" s="10"/>
      <c r="RTX57" s="10"/>
      <c r="RTY57" s="10"/>
      <c r="RTZ57" s="10"/>
      <c r="RUA57" s="10"/>
      <c r="RUB57" s="10"/>
      <c r="RUC57" s="10"/>
      <c r="RUD57" s="10"/>
      <c r="RUE57" s="10"/>
      <c r="RUF57" s="10"/>
      <c r="RUG57" s="10"/>
      <c r="RUH57" s="10"/>
      <c r="RUI57" s="10"/>
      <c r="RUJ57" s="10"/>
      <c r="RUK57" s="10"/>
      <c r="RUL57" s="10"/>
      <c r="RUM57" s="10"/>
      <c r="RUN57" s="10"/>
      <c r="RUO57" s="10"/>
      <c r="RUP57" s="10"/>
      <c r="RUQ57" s="10"/>
      <c r="RUR57" s="10"/>
      <c r="RUS57" s="10"/>
      <c r="RUT57" s="10"/>
      <c r="RUU57" s="10"/>
      <c r="RUV57" s="10"/>
      <c r="RUW57" s="10"/>
      <c r="RUX57" s="10"/>
      <c r="RUY57" s="10"/>
      <c r="RUZ57" s="10"/>
      <c r="RVA57" s="10"/>
      <c r="RVB57" s="10"/>
      <c r="RVC57" s="10"/>
      <c r="RVD57" s="10"/>
      <c r="RVE57" s="10"/>
      <c r="RVF57" s="10"/>
      <c r="RVG57" s="10"/>
      <c r="RVH57" s="10"/>
      <c r="RVI57" s="10"/>
      <c r="RVJ57" s="10"/>
      <c r="RVK57" s="10"/>
      <c r="RVL57" s="10"/>
      <c r="RVM57" s="10"/>
      <c r="RVN57" s="10"/>
      <c r="RVO57" s="10"/>
      <c r="RVP57" s="10"/>
      <c r="RVQ57" s="10"/>
      <c r="RVR57" s="10"/>
      <c r="RVS57" s="10"/>
      <c r="RVT57" s="10"/>
      <c r="RVU57" s="10"/>
      <c r="RVV57" s="10"/>
      <c r="RVW57" s="10"/>
      <c r="RVX57" s="10"/>
      <c r="RVY57" s="10"/>
      <c r="RVZ57" s="10"/>
      <c r="RWA57" s="10"/>
      <c r="RWB57" s="10"/>
      <c r="RWC57" s="10"/>
      <c r="RWD57" s="10"/>
      <c r="RWE57" s="10"/>
      <c r="RWF57" s="10"/>
      <c r="RWG57" s="10"/>
      <c r="RWH57" s="10"/>
      <c r="RWI57" s="10"/>
      <c r="RWJ57" s="10"/>
      <c r="RWK57" s="10"/>
      <c r="RWL57" s="10"/>
      <c r="RWM57" s="10"/>
      <c r="RWN57" s="10"/>
      <c r="RWO57" s="10"/>
      <c r="RWP57" s="10"/>
      <c r="RWQ57" s="10"/>
      <c r="RWR57" s="10"/>
      <c r="RWS57" s="10"/>
      <c r="RWT57" s="10"/>
      <c r="RWU57" s="10"/>
      <c r="RWV57" s="10"/>
      <c r="RWW57" s="10"/>
      <c r="RWX57" s="10"/>
      <c r="RWY57" s="10"/>
      <c r="RWZ57" s="10"/>
      <c r="RXA57" s="10"/>
      <c r="RXB57" s="10"/>
      <c r="RXC57" s="10"/>
      <c r="RXD57" s="10"/>
      <c r="RXE57" s="10"/>
      <c r="RXF57" s="10"/>
      <c r="RXG57" s="10"/>
      <c r="RXH57" s="10"/>
      <c r="RXI57" s="10"/>
      <c r="RXJ57" s="10"/>
      <c r="RXK57" s="10"/>
      <c r="RXL57" s="10"/>
      <c r="RXM57" s="10"/>
      <c r="RXN57" s="10"/>
      <c r="RXO57" s="10"/>
      <c r="RXP57" s="10"/>
      <c r="RXQ57" s="10"/>
      <c r="RXR57" s="10"/>
      <c r="RXS57" s="10"/>
      <c r="RXT57" s="10"/>
      <c r="RXU57" s="10"/>
      <c r="RXV57" s="10"/>
      <c r="RXW57" s="10"/>
      <c r="RXX57" s="10"/>
      <c r="RXY57" s="10"/>
      <c r="RXZ57" s="10"/>
      <c r="RYA57" s="10"/>
      <c r="RYB57" s="10"/>
      <c r="RYC57" s="10"/>
      <c r="RYD57" s="10"/>
      <c r="RYE57" s="10"/>
      <c r="RYF57" s="10"/>
      <c r="RYG57" s="10"/>
      <c r="RYH57" s="10"/>
      <c r="RYI57" s="10"/>
      <c r="RYJ57" s="10"/>
      <c r="RYK57" s="10"/>
      <c r="RYL57" s="10"/>
      <c r="RYM57" s="10"/>
      <c r="RYN57" s="10"/>
      <c r="RYO57" s="10"/>
      <c r="RYP57" s="10"/>
      <c r="RYQ57" s="10"/>
      <c r="RYR57" s="10"/>
      <c r="RYS57" s="10"/>
      <c r="RYT57" s="10"/>
      <c r="RYU57" s="10"/>
      <c r="RYV57" s="10"/>
      <c r="RYW57" s="10"/>
      <c r="RYX57" s="10"/>
      <c r="RYY57" s="10"/>
      <c r="RYZ57" s="10"/>
      <c r="RZA57" s="10"/>
      <c r="RZB57" s="10"/>
      <c r="RZC57" s="10"/>
      <c r="RZD57" s="10"/>
      <c r="RZE57" s="10"/>
      <c r="RZF57" s="10"/>
      <c r="RZG57" s="10"/>
      <c r="RZH57" s="10"/>
      <c r="RZI57" s="10"/>
      <c r="RZJ57" s="10"/>
      <c r="RZK57" s="10"/>
      <c r="RZL57" s="10"/>
      <c r="RZM57" s="10"/>
      <c r="RZN57" s="10"/>
      <c r="RZO57" s="10"/>
      <c r="RZP57" s="10"/>
      <c r="RZQ57" s="10"/>
      <c r="RZR57" s="10"/>
      <c r="RZS57" s="10"/>
      <c r="RZT57" s="10"/>
      <c r="RZU57" s="10"/>
      <c r="RZV57" s="10"/>
      <c r="RZW57" s="10"/>
      <c r="RZX57" s="10"/>
      <c r="RZY57" s="10"/>
      <c r="RZZ57" s="10"/>
      <c r="SAA57" s="10"/>
      <c r="SAB57" s="10"/>
      <c r="SAC57" s="10"/>
      <c r="SAD57" s="10"/>
      <c r="SAE57" s="10"/>
      <c r="SAF57" s="10"/>
      <c r="SAG57" s="10"/>
      <c r="SAH57" s="10"/>
      <c r="SAI57" s="10"/>
      <c r="SAJ57" s="10"/>
      <c r="SAK57" s="10"/>
      <c r="SAL57" s="10"/>
      <c r="SAM57" s="10"/>
      <c r="SAN57" s="10"/>
      <c r="SAO57" s="10"/>
      <c r="SAP57" s="10"/>
      <c r="SAQ57" s="10"/>
      <c r="SAR57" s="10"/>
      <c r="SAS57" s="10"/>
      <c r="SAT57" s="10"/>
      <c r="SAU57" s="10"/>
      <c r="SAV57" s="10"/>
      <c r="SAW57" s="10"/>
      <c r="SAX57" s="10"/>
      <c r="SAY57" s="10"/>
      <c r="SAZ57" s="10"/>
      <c r="SBA57" s="10"/>
      <c r="SBB57" s="10"/>
      <c r="SBC57" s="10"/>
      <c r="SBD57" s="10"/>
      <c r="SBE57" s="10"/>
      <c r="SBF57" s="10"/>
      <c r="SBG57" s="10"/>
      <c r="SBH57" s="10"/>
      <c r="SBI57" s="10"/>
      <c r="SBJ57" s="10"/>
      <c r="SBK57" s="10"/>
      <c r="SBL57" s="10"/>
      <c r="SBM57" s="10"/>
      <c r="SBN57" s="10"/>
      <c r="SBO57" s="10"/>
      <c r="SBP57" s="10"/>
      <c r="SBQ57" s="10"/>
      <c r="SBR57" s="10"/>
      <c r="SBS57" s="10"/>
      <c r="SBT57" s="10"/>
      <c r="SBU57" s="10"/>
      <c r="SBV57" s="10"/>
      <c r="SBW57" s="10"/>
      <c r="SBX57" s="10"/>
      <c r="SBY57" s="10"/>
      <c r="SBZ57" s="10"/>
      <c r="SCA57" s="10"/>
      <c r="SCB57" s="10"/>
      <c r="SCC57" s="10"/>
      <c r="SCD57" s="10"/>
      <c r="SCE57" s="10"/>
      <c r="SCF57" s="10"/>
      <c r="SCG57" s="10"/>
      <c r="SCH57" s="10"/>
      <c r="SCI57" s="10"/>
      <c r="SCJ57" s="10"/>
      <c r="SCK57" s="10"/>
      <c r="SCL57" s="10"/>
      <c r="SCM57" s="10"/>
      <c r="SCN57" s="10"/>
      <c r="SCO57" s="10"/>
      <c r="SCP57" s="10"/>
      <c r="SCQ57" s="10"/>
      <c r="SCR57" s="10"/>
      <c r="SCS57" s="10"/>
      <c r="SCT57" s="10"/>
      <c r="SCU57" s="10"/>
      <c r="SCV57" s="10"/>
      <c r="SCW57" s="10"/>
      <c r="SCX57" s="10"/>
      <c r="SCY57" s="10"/>
      <c r="SCZ57" s="10"/>
      <c r="SDA57" s="10"/>
      <c r="SDB57" s="10"/>
      <c r="SDC57" s="10"/>
      <c r="SDD57" s="10"/>
      <c r="SDE57" s="10"/>
      <c r="SDF57" s="10"/>
      <c r="SDG57" s="10"/>
      <c r="SDH57" s="10"/>
      <c r="SDI57" s="10"/>
      <c r="SDJ57" s="10"/>
      <c r="SDK57" s="10"/>
      <c r="SDL57" s="10"/>
      <c r="SDM57" s="10"/>
      <c r="SDN57" s="10"/>
      <c r="SDO57" s="10"/>
      <c r="SDP57" s="10"/>
      <c r="SDQ57" s="10"/>
      <c r="SDR57" s="10"/>
      <c r="SDS57" s="10"/>
      <c r="SDT57" s="10"/>
      <c r="SDU57" s="10"/>
      <c r="SDV57" s="10"/>
      <c r="SDW57" s="10"/>
      <c r="SDX57" s="10"/>
      <c r="SDY57" s="10"/>
      <c r="SDZ57" s="10"/>
      <c r="SEA57" s="10"/>
      <c r="SEB57" s="10"/>
      <c r="SEC57" s="10"/>
      <c r="SED57" s="10"/>
      <c r="SEE57" s="10"/>
      <c r="SEF57" s="10"/>
      <c r="SEG57" s="10"/>
      <c r="SEH57" s="10"/>
      <c r="SEI57" s="10"/>
      <c r="SEJ57" s="10"/>
      <c r="SEK57" s="10"/>
      <c r="SEL57" s="10"/>
      <c r="SEM57" s="10"/>
      <c r="SEN57" s="10"/>
      <c r="SEO57" s="10"/>
      <c r="SEP57" s="10"/>
      <c r="SEQ57" s="10"/>
      <c r="SER57" s="10"/>
      <c r="SES57" s="10"/>
      <c r="SET57" s="10"/>
      <c r="SEU57" s="10"/>
      <c r="SEV57" s="10"/>
      <c r="SEW57" s="10"/>
      <c r="SEX57" s="10"/>
      <c r="SEY57" s="10"/>
      <c r="SEZ57" s="10"/>
      <c r="SFA57" s="10"/>
      <c r="SFB57" s="10"/>
      <c r="SFC57" s="10"/>
      <c r="SFD57" s="10"/>
      <c r="SFE57" s="10"/>
      <c r="SFF57" s="10"/>
      <c r="SFG57" s="10"/>
      <c r="SFH57" s="10"/>
      <c r="SFI57" s="10"/>
      <c r="SFJ57" s="10"/>
      <c r="SFK57" s="10"/>
      <c r="SFL57" s="10"/>
      <c r="SFM57" s="10"/>
      <c r="SFN57" s="10"/>
      <c r="SFO57" s="10"/>
      <c r="SFP57" s="10"/>
      <c r="SFQ57" s="10"/>
      <c r="SFR57" s="10"/>
      <c r="SFS57" s="10"/>
      <c r="SFT57" s="10"/>
      <c r="SFU57" s="10"/>
      <c r="SFV57" s="10"/>
      <c r="SFW57" s="10"/>
      <c r="SFX57" s="10"/>
      <c r="SFY57" s="10"/>
      <c r="SFZ57" s="10"/>
      <c r="SGA57" s="10"/>
      <c r="SGB57" s="10"/>
      <c r="SGC57" s="10"/>
      <c r="SGD57" s="10"/>
      <c r="SGE57" s="10"/>
      <c r="SGF57" s="10"/>
      <c r="SGG57" s="10"/>
      <c r="SGH57" s="10"/>
      <c r="SGI57" s="10"/>
      <c r="SGJ57" s="10"/>
      <c r="SGK57" s="10"/>
      <c r="SGL57" s="10"/>
      <c r="SGM57" s="10"/>
      <c r="SGN57" s="10"/>
      <c r="SGO57" s="10"/>
      <c r="SGP57" s="10"/>
      <c r="SGQ57" s="10"/>
      <c r="SGR57" s="10"/>
      <c r="SGS57" s="10"/>
      <c r="SGT57" s="10"/>
      <c r="SGU57" s="10"/>
      <c r="SGV57" s="10"/>
      <c r="SGW57" s="10"/>
      <c r="SGX57" s="10"/>
      <c r="SGY57" s="10"/>
      <c r="SGZ57" s="10"/>
      <c r="SHA57" s="10"/>
      <c r="SHB57" s="10"/>
      <c r="SHC57" s="10"/>
      <c r="SHD57" s="10"/>
      <c r="SHE57" s="10"/>
      <c r="SHF57" s="10"/>
      <c r="SHG57" s="10"/>
      <c r="SHH57" s="10"/>
      <c r="SHI57" s="10"/>
      <c r="SHJ57" s="10"/>
      <c r="SHK57" s="10"/>
      <c r="SHL57" s="10"/>
      <c r="SHM57" s="10"/>
      <c r="SHN57" s="10"/>
      <c r="SHO57" s="10"/>
      <c r="SHP57" s="10"/>
      <c r="SHQ57" s="10"/>
      <c r="SHR57" s="10"/>
      <c r="SHS57" s="10"/>
      <c r="SHT57" s="10"/>
      <c r="SHU57" s="10"/>
      <c r="SHV57" s="10"/>
      <c r="SHW57" s="10"/>
      <c r="SHX57" s="10"/>
      <c r="SHY57" s="10"/>
      <c r="SHZ57" s="10"/>
      <c r="SIA57" s="10"/>
      <c r="SIB57" s="10"/>
      <c r="SIC57" s="10"/>
      <c r="SID57" s="10"/>
      <c r="SIE57" s="10"/>
      <c r="SIF57" s="10"/>
      <c r="SIG57" s="10"/>
      <c r="SIH57" s="10"/>
      <c r="SII57" s="10"/>
      <c r="SIJ57" s="10"/>
      <c r="SIK57" s="10"/>
      <c r="SIL57" s="10"/>
      <c r="SIM57" s="10"/>
      <c r="SIN57" s="10"/>
      <c r="SIO57" s="10"/>
      <c r="SIP57" s="10"/>
      <c r="SIQ57" s="10"/>
      <c r="SIR57" s="10"/>
      <c r="SIS57" s="10"/>
      <c r="SIT57" s="10"/>
      <c r="SIU57" s="10"/>
      <c r="SIV57" s="10"/>
      <c r="SIW57" s="10"/>
      <c r="SIX57" s="10"/>
      <c r="SIY57" s="10"/>
      <c r="SIZ57" s="10"/>
      <c r="SJA57" s="10"/>
      <c r="SJB57" s="10"/>
      <c r="SJC57" s="10"/>
      <c r="SJD57" s="10"/>
      <c r="SJE57" s="10"/>
      <c r="SJF57" s="10"/>
      <c r="SJG57" s="10"/>
      <c r="SJH57" s="10"/>
      <c r="SJI57" s="10"/>
      <c r="SJJ57" s="10"/>
      <c r="SJK57" s="10"/>
      <c r="SJL57" s="10"/>
      <c r="SJM57" s="10"/>
      <c r="SJN57" s="10"/>
      <c r="SJO57" s="10"/>
      <c r="SJP57" s="10"/>
      <c r="SJQ57" s="10"/>
      <c r="SJR57" s="10"/>
      <c r="SJS57" s="10"/>
      <c r="SJT57" s="10"/>
      <c r="SJU57" s="10"/>
      <c r="SJV57" s="10"/>
      <c r="SJW57" s="10"/>
      <c r="SJX57" s="10"/>
      <c r="SJY57" s="10"/>
      <c r="SJZ57" s="10"/>
      <c r="SKA57" s="10"/>
      <c r="SKB57" s="10"/>
      <c r="SKC57" s="10"/>
      <c r="SKD57" s="10"/>
      <c r="SKE57" s="10"/>
      <c r="SKF57" s="10"/>
      <c r="SKG57" s="10"/>
      <c r="SKH57" s="10"/>
      <c r="SKI57" s="10"/>
      <c r="SKJ57" s="10"/>
      <c r="SKK57" s="10"/>
      <c r="SKL57" s="10"/>
      <c r="SKM57" s="10"/>
      <c r="SKN57" s="10"/>
      <c r="SKO57" s="10"/>
      <c r="SKP57" s="10"/>
      <c r="SKQ57" s="10"/>
      <c r="SKR57" s="10"/>
      <c r="SKS57" s="10"/>
      <c r="SKT57" s="10"/>
      <c r="SKU57" s="10"/>
      <c r="SKV57" s="10"/>
      <c r="SKW57" s="10"/>
      <c r="SKX57" s="10"/>
      <c r="SKY57" s="10"/>
      <c r="SKZ57" s="10"/>
      <c r="SLA57" s="10"/>
      <c r="SLB57" s="10"/>
      <c r="SLC57" s="10"/>
      <c r="SLD57" s="10"/>
      <c r="SLE57" s="10"/>
      <c r="SLF57" s="10"/>
      <c r="SLG57" s="10"/>
      <c r="SLH57" s="10"/>
      <c r="SLI57" s="10"/>
      <c r="SLJ57" s="10"/>
      <c r="SLK57" s="10"/>
      <c r="SLL57" s="10"/>
      <c r="SLM57" s="10"/>
      <c r="SLN57" s="10"/>
      <c r="SLO57" s="10"/>
      <c r="SLP57" s="10"/>
      <c r="SLQ57" s="10"/>
      <c r="SLR57" s="10"/>
      <c r="SLS57" s="10"/>
      <c r="SLT57" s="10"/>
      <c r="SLU57" s="10"/>
      <c r="SLV57" s="10"/>
      <c r="SLW57" s="10"/>
      <c r="SLX57" s="10"/>
      <c r="SLY57" s="10"/>
      <c r="SLZ57" s="10"/>
      <c r="SMA57" s="10"/>
      <c r="SMB57" s="10"/>
      <c r="SMC57" s="10"/>
      <c r="SMD57" s="10"/>
      <c r="SME57" s="10"/>
      <c r="SMF57" s="10"/>
      <c r="SMG57" s="10"/>
      <c r="SMH57" s="10"/>
      <c r="SMI57" s="10"/>
      <c r="SMJ57" s="10"/>
      <c r="SMK57" s="10"/>
      <c r="SML57" s="10"/>
      <c r="SMM57" s="10"/>
      <c r="SMN57" s="10"/>
      <c r="SMO57" s="10"/>
      <c r="SMP57" s="10"/>
      <c r="SMQ57" s="10"/>
      <c r="SMR57" s="10"/>
      <c r="SMS57" s="10"/>
      <c r="SMT57" s="10"/>
      <c r="SMU57" s="10"/>
      <c r="SMV57" s="10"/>
      <c r="SMW57" s="10"/>
      <c r="SMX57" s="10"/>
      <c r="SMY57" s="10"/>
      <c r="SMZ57" s="10"/>
      <c r="SNA57" s="10"/>
      <c r="SNB57" s="10"/>
      <c r="SNC57" s="10"/>
      <c r="SND57" s="10"/>
      <c r="SNE57" s="10"/>
      <c r="SNF57" s="10"/>
      <c r="SNG57" s="10"/>
      <c r="SNH57" s="10"/>
      <c r="SNI57" s="10"/>
      <c r="SNJ57" s="10"/>
      <c r="SNK57" s="10"/>
      <c r="SNL57" s="10"/>
      <c r="SNM57" s="10"/>
      <c r="SNN57" s="10"/>
      <c r="SNO57" s="10"/>
      <c r="SNP57" s="10"/>
      <c r="SNQ57" s="10"/>
      <c r="SNR57" s="10"/>
      <c r="SNS57" s="10"/>
      <c r="SNT57" s="10"/>
      <c r="SNU57" s="10"/>
      <c r="SNV57" s="10"/>
      <c r="SNW57" s="10"/>
      <c r="SNX57" s="10"/>
      <c r="SNY57" s="10"/>
      <c r="SNZ57" s="10"/>
      <c r="SOA57" s="10"/>
      <c r="SOB57" s="10"/>
      <c r="SOC57" s="10"/>
      <c r="SOD57" s="10"/>
      <c r="SOE57" s="10"/>
      <c r="SOF57" s="10"/>
      <c r="SOG57" s="10"/>
      <c r="SOH57" s="10"/>
      <c r="SOI57" s="10"/>
      <c r="SOJ57" s="10"/>
      <c r="SOK57" s="10"/>
      <c r="SOL57" s="10"/>
      <c r="SOM57" s="10"/>
      <c r="SON57" s="10"/>
      <c r="SOO57" s="10"/>
      <c r="SOP57" s="10"/>
      <c r="SOQ57" s="10"/>
      <c r="SOR57" s="10"/>
      <c r="SOS57" s="10"/>
      <c r="SOT57" s="10"/>
      <c r="SOU57" s="10"/>
      <c r="SOV57" s="10"/>
      <c r="SOW57" s="10"/>
      <c r="SOX57" s="10"/>
      <c r="SOY57" s="10"/>
      <c r="SOZ57" s="10"/>
      <c r="SPA57" s="10"/>
      <c r="SPB57" s="10"/>
      <c r="SPC57" s="10"/>
      <c r="SPD57" s="10"/>
      <c r="SPE57" s="10"/>
      <c r="SPF57" s="10"/>
      <c r="SPG57" s="10"/>
      <c r="SPH57" s="10"/>
      <c r="SPI57" s="10"/>
      <c r="SPJ57" s="10"/>
      <c r="SPK57" s="10"/>
      <c r="SPL57" s="10"/>
      <c r="SPM57" s="10"/>
      <c r="SPN57" s="10"/>
      <c r="SPO57" s="10"/>
      <c r="SPP57" s="10"/>
      <c r="SPQ57" s="10"/>
      <c r="SPR57" s="10"/>
      <c r="SPS57" s="10"/>
      <c r="SPT57" s="10"/>
      <c r="SPU57" s="10"/>
      <c r="SPV57" s="10"/>
      <c r="SPW57" s="10"/>
      <c r="SPX57" s="10"/>
      <c r="SPY57" s="10"/>
      <c r="SPZ57" s="10"/>
      <c r="SQA57" s="10"/>
      <c r="SQB57" s="10"/>
      <c r="SQC57" s="10"/>
      <c r="SQD57" s="10"/>
      <c r="SQE57" s="10"/>
      <c r="SQF57" s="10"/>
      <c r="SQG57" s="10"/>
      <c r="SQH57" s="10"/>
      <c r="SQI57" s="10"/>
      <c r="SQJ57" s="10"/>
      <c r="SQK57" s="10"/>
      <c r="SQL57" s="10"/>
      <c r="SQM57" s="10"/>
      <c r="SQN57" s="10"/>
      <c r="SQO57" s="10"/>
      <c r="SQP57" s="10"/>
      <c r="SQQ57" s="10"/>
      <c r="SQR57" s="10"/>
      <c r="SQS57" s="10"/>
      <c r="SQT57" s="10"/>
      <c r="SQU57" s="10"/>
      <c r="SQV57" s="10"/>
      <c r="SQW57" s="10"/>
      <c r="SQX57" s="10"/>
      <c r="SQY57" s="10"/>
      <c r="SQZ57" s="10"/>
      <c r="SRA57" s="10"/>
      <c r="SRB57" s="10"/>
      <c r="SRC57" s="10"/>
      <c r="SRD57" s="10"/>
      <c r="SRE57" s="10"/>
      <c r="SRF57" s="10"/>
      <c r="SRG57" s="10"/>
      <c r="SRH57" s="10"/>
      <c r="SRI57" s="10"/>
      <c r="SRJ57" s="10"/>
      <c r="SRK57" s="10"/>
      <c r="SRL57" s="10"/>
      <c r="SRM57" s="10"/>
      <c r="SRN57" s="10"/>
      <c r="SRO57" s="10"/>
      <c r="SRP57" s="10"/>
      <c r="SRQ57" s="10"/>
      <c r="SRR57" s="10"/>
      <c r="SRS57" s="10"/>
      <c r="SRT57" s="10"/>
      <c r="SRU57" s="10"/>
      <c r="SRV57" s="10"/>
      <c r="SRW57" s="10"/>
      <c r="SRX57" s="10"/>
      <c r="SRY57" s="10"/>
      <c r="SRZ57" s="10"/>
      <c r="SSA57" s="10"/>
      <c r="SSB57" s="10"/>
      <c r="SSC57" s="10"/>
      <c r="SSD57" s="10"/>
      <c r="SSE57" s="10"/>
      <c r="SSF57" s="10"/>
      <c r="SSG57" s="10"/>
      <c r="SSH57" s="10"/>
      <c r="SSI57" s="10"/>
      <c r="SSJ57" s="10"/>
      <c r="SSK57" s="10"/>
      <c r="SSL57" s="10"/>
      <c r="SSM57" s="10"/>
      <c r="SSN57" s="10"/>
      <c r="SSO57" s="10"/>
      <c r="SSP57" s="10"/>
      <c r="SSQ57" s="10"/>
      <c r="SSR57" s="10"/>
      <c r="SSS57" s="10"/>
      <c r="SST57" s="10"/>
      <c r="SSU57" s="10"/>
      <c r="SSV57" s="10"/>
      <c r="SSW57" s="10"/>
      <c r="SSX57" s="10"/>
      <c r="SSY57" s="10"/>
      <c r="SSZ57" s="10"/>
      <c r="STA57" s="10"/>
      <c r="STB57" s="10"/>
      <c r="STC57" s="10"/>
      <c r="STD57" s="10"/>
      <c r="STE57" s="10"/>
      <c r="STF57" s="10"/>
      <c r="STG57" s="10"/>
      <c r="STH57" s="10"/>
      <c r="STI57" s="10"/>
      <c r="STJ57" s="10"/>
      <c r="STK57" s="10"/>
      <c r="STL57" s="10"/>
      <c r="STM57" s="10"/>
      <c r="STN57" s="10"/>
      <c r="STO57" s="10"/>
      <c r="STP57" s="10"/>
      <c r="STQ57" s="10"/>
      <c r="STR57" s="10"/>
      <c r="STS57" s="10"/>
      <c r="STT57" s="10"/>
      <c r="STU57" s="10"/>
      <c r="STV57" s="10"/>
      <c r="STW57" s="10"/>
      <c r="STX57" s="10"/>
      <c r="STY57" s="10"/>
      <c r="STZ57" s="10"/>
      <c r="SUA57" s="10"/>
      <c r="SUB57" s="10"/>
      <c r="SUC57" s="10"/>
      <c r="SUD57" s="10"/>
      <c r="SUE57" s="10"/>
      <c r="SUF57" s="10"/>
      <c r="SUG57" s="10"/>
      <c r="SUH57" s="10"/>
      <c r="SUI57" s="10"/>
      <c r="SUJ57" s="10"/>
      <c r="SUK57" s="10"/>
      <c r="SUL57" s="10"/>
      <c r="SUM57" s="10"/>
      <c r="SUN57" s="10"/>
      <c r="SUO57" s="10"/>
      <c r="SUP57" s="10"/>
      <c r="SUQ57" s="10"/>
      <c r="SUR57" s="10"/>
      <c r="SUS57" s="10"/>
      <c r="SUT57" s="10"/>
      <c r="SUU57" s="10"/>
      <c r="SUV57" s="10"/>
      <c r="SUW57" s="10"/>
      <c r="SUX57" s="10"/>
      <c r="SUY57" s="10"/>
      <c r="SUZ57" s="10"/>
      <c r="SVA57" s="10"/>
      <c r="SVB57" s="10"/>
      <c r="SVC57" s="10"/>
      <c r="SVD57" s="10"/>
      <c r="SVE57" s="10"/>
      <c r="SVF57" s="10"/>
      <c r="SVG57" s="10"/>
      <c r="SVH57" s="10"/>
      <c r="SVI57" s="10"/>
      <c r="SVJ57" s="10"/>
      <c r="SVK57" s="10"/>
      <c r="SVL57" s="10"/>
      <c r="SVM57" s="10"/>
      <c r="SVN57" s="10"/>
      <c r="SVO57" s="10"/>
      <c r="SVP57" s="10"/>
      <c r="SVQ57" s="10"/>
      <c r="SVR57" s="10"/>
      <c r="SVS57" s="10"/>
      <c r="SVT57" s="10"/>
      <c r="SVU57" s="10"/>
      <c r="SVV57" s="10"/>
      <c r="SVW57" s="10"/>
      <c r="SVX57" s="10"/>
      <c r="SVY57" s="10"/>
      <c r="SVZ57" s="10"/>
      <c r="SWA57" s="10"/>
      <c r="SWB57" s="10"/>
      <c r="SWC57" s="10"/>
      <c r="SWD57" s="10"/>
      <c r="SWE57" s="10"/>
      <c r="SWF57" s="10"/>
      <c r="SWG57" s="10"/>
      <c r="SWH57" s="10"/>
      <c r="SWI57" s="10"/>
      <c r="SWJ57" s="10"/>
      <c r="SWK57" s="10"/>
      <c r="SWL57" s="10"/>
      <c r="SWM57" s="10"/>
      <c r="SWN57" s="10"/>
      <c r="SWO57" s="10"/>
      <c r="SWP57" s="10"/>
      <c r="SWQ57" s="10"/>
      <c r="SWR57" s="10"/>
      <c r="SWS57" s="10"/>
      <c r="SWT57" s="10"/>
      <c r="SWU57" s="10"/>
      <c r="SWV57" s="10"/>
      <c r="SWW57" s="10"/>
      <c r="SWX57" s="10"/>
      <c r="SWY57" s="10"/>
      <c r="SWZ57" s="10"/>
      <c r="SXA57" s="10"/>
      <c r="SXB57" s="10"/>
      <c r="SXC57" s="10"/>
      <c r="SXD57" s="10"/>
      <c r="SXE57" s="10"/>
      <c r="SXF57" s="10"/>
      <c r="SXG57" s="10"/>
      <c r="SXH57" s="10"/>
      <c r="SXI57" s="10"/>
      <c r="SXJ57" s="10"/>
      <c r="SXK57" s="10"/>
      <c r="SXL57" s="10"/>
      <c r="SXM57" s="10"/>
      <c r="SXN57" s="10"/>
      <c r="SXO57" s="10"/>
      <c r="SXP57" s="10"/>
      <c r="SXQ57" s="10"/>
      <c r="SXR57" s="10"/>
      <c r="SXS57" s="10"/>
      <c r="SXT57" s="10"/>
      <c r="SXU57" s="10"/>
      <c r="SXV57" s="10"/>
      <c r="SXW57" s="10"/>
      <c r="SXX57" s="10"/>
      <c r="SXY57" s="10"/>
      <c r="SXZ57" s="10"/>
      <c r="SYA57" s="10"/>
      <c r="SYB57" s="10"/>
      <c r="SYC57" s="10"/>
      <c r="SYD57" s="10"/>
      <c r="SYE57" s="10"/>
      <c r="SYF57" s="10"/>
      <c r="SYG57" s="10"/>
      <c r="SYH57" s="10"/>
      <c r="SYI57" s="10"/>
      <c r="SYJ57" s="10"/>
      <c r="SYK57" s="10"/>
      <c r="SYL57" s="10"/>
      <c r="SYM57" s="10"/>
      <c r="SYN57" s="10"/>
      <c r="SYO57" s="10"/>
      <c r="SYP57" s="10"/>
      <c r="SYQ57" s="10"/>
      <c r="SYR57" s="10"/>
      <c r="SYS57" s="10"/>
      <c r="SYT57" s="10"/>
      <c r="SYU57" s="10"/>
      <c r="SYV57" s="10"/>
      <c r="SYW57" s="10"/>
      <c r="SYX57" s="10"/>
      <c r="SYY57" s="10"/>
      <c r="SYZ57" s="10"/>
      <c r="SZA57" s="10"/>
      <c r="SZB57" s="10"/>
      <c r="SZC57" s="10"/>
      <c r="SZD57" s="10"/>
      <c r="SZE57" s="10"/>
      <c r="SZF57" s="10"/>
      <c r="SZG57" s="10"/>
      <c r="SZH57" s="10"/>
      <c r="SZI57" s="10"/>
      <c r="SZJ57" s="10"/>
      <c r="SZK57" s="10"/>
      <c r="SZL57" s="10"/>
      <c r="SZM57" s="10"/>
      <c r="SZN57" s="10"/>
      <c r="SZO57" s="10"/>
      <c r="SZP57" s="10"/>
      <c r="SZQ57" s="10"/>
      <c r="SZR57" s="10"/>
      <c r="SZS57" s="10"/>
      <c r="SZT57" s="10"/>
      <c r="SZU57" s="10"/>
      <c r="SZV57" s="10"/>
      <c r="SZW57" s="10"/>
      <c r="SZX57" s="10"/>
      <c r="SZY57" s="10"/>
      <c r="SZZ57" s="10"/>
      <c r="TAA57" s="10"/>
      <c r="TAB57" s="10"/>
      <c r="TAC57" s="10"/>
      <c r="TAD57" s="10"/>
      <c r="TAE57" s="10"/>
      <c r="TAF57" s="10"/>
      <c r="TAG57" s="10"/>
      <c r="TAH57" s="10"/>
      <c r="TAI57" s="10"/>
      <c r="TAJ57" s="10"/>
      <c r="TAK57" s="10"/>
      <c r="TAL57" s="10"/>
      <c r="TAM57" s="10"/>
      <c r="TAN57" s="10"/>
      <c r="TAO57" s="10"/>
      <c r="TAP57" s="10"/>
      <c r="TAQ57" s="10"/>
      <c r="TAR57" s="10"/>
      <c r="TAS57" s="10"/>
      <c r="TAT57" s="10"/>
      <c r="TAU57" s="10"/>
      <c r="TAV57" s="10"/>
      <c r="TAW57" s="10"/>
      <c r="TAX57" s="10"/>
      <c r="TAY57" s="10"/>
      <c r="TAZ57" s="10"/>
      <c r="TBA57" s="10"/>
      <c r="TBB57" s="10"/>
      <c r="TBC57" s="10"/>
      <c r="TBD57" s="10"/>
      <c r="TBE57" s="10"/>
      <c r="TBF57" s="10"/>
      <c r="TBG57" s="10"/>
      <c r="TBH57" s="10"/>
      <c r="TBI57" s="10"/>
      <c r="TBJ57" s="10"/>
      <c r="TBK57" s="10"/>
      <c r="TBL57" s="10"/>
      <c r="TBM57" s="10"/>
      <c r="TBN57" s="10"/>
      <c r="TBO57" s="10"/>
      <c r="TBP57" s="10"/>
      <c r="TBQ57" s="10"/>
      <c r="TBR57" s="10"/>
      <c r="TBS57" s="10"/>
      <c r="TBT57" s="10"/>
      <c r="TBU57" s="10"/>
      <c r="TBV57" s="10"/>
      <c r="TBW57" s="10"/>
      <c r="TBX57" s="10"/>
      <c r="TBY57" s="10"/>
      <c r="TBZ57" s="10"/>
      <c r="TCA57" s="10"/>
      <c r="TCB57" s="10"/>
      <c r="TCC57" s="10"/>
      <c r="TCD57" s="10"/>
      <c r="TCE57" s="10"/>
      <c r="TCF57" s="10"/>
      <c r="TCG57" s="10"/>
      <c r="TCH57" s="10"/>
      <c r="TCI57" s="10"/>
      <c r="TCJ57" s="10"/>
      <c r="TCK57" s="10"/>
      <c r="TCL57" s="10"/>
      <c r="TCM57" s="10"/>
      <c r="TCN57" s="10"/>
      <c r="TCO57" s="10"/>
      <c r="TCP57" s="10"/>
      <c r="TCQ57" s="10"/>
      <c r="TCR57" s="10"/>
      <c r="TCS57" s="10"/>
      <c r="TCT57" s="10"/>
      <c r="TCU57" s="10"/>
      <c r="TCV57" s="10"/>
      <c r="TCW57" s="10"/>
      <c r="TCX57" s="10"/>
      <c r="TCY57" s="10"/>
      <c r="TCZ57" s="10"/>
      <c r="TDA57" s="10"/>
      <c r="TDB57" s="10"/>
      <c r="TDC57" s="10"/>
      <c r="TDD57" s="10"/>
      <c r="TDE57" s="10"/>
      <c r="TDF57" s="10"/>
      <c r="TDG57" s="10"/>
      <c r="TDH57" s="10"/>
      <c r="TDI57" s="10"/>
      <c r="TDJ57" s="10"/>
      <c r="TDK57" s="10"/>
      <c r="TDL57" s="10"/>
      <c r="TDM57" s="10"/>
      <c r="TDN57" s="10"/>
      <c r="TDO57" s="10"/>
      <c r="TDP57" s="10"/>
      <c r="TDQ57" s="10"/>
      <c r="TDR57" s="10"/>
      <c r="TDS57" s="10"/>
      <c r="TDT57" s="10"/>
      <c r="TDU57" s="10"/>
      <c r="TDV57" s="10"/>
      <c r="TDW57" s="10"/>
      <c r="TDX57" s="10"/>
      <c r="TDY57" s="10"/>
      <c r="TDZ57" s="10"/>
      <c r="TEA57" s="10"/>
      <c r="TEB57" s="10"/>
      <c r="TEC57" s="10"/>
      <c r="TED57" s="10"/>
      <c r="TEE57" s="10"/>
      <c r="TEF57" s="10"/>
      <c r="TEG57" s="10"/>
      <c r="TEH57" s="10"/>
      <c r="TEI57" s="10"/>
      <c r="TEJ57" s="10"/>
      <c r="TEK57" s="10"/>
      <c r="TEL57" s="10"/>
      <c r="TEM57" s="10"/>
      <c r="TEN57" s="10"/>
      <c r="TEO57" s="10"/>
      <c r="TEP57" s="10"/>
      <c r="TEQ57" s="10"/>
      <c r="TER57" s="10"/>
      <c r="TES57" s="10"/>
      <c r="TET57" s="10"/>
      <c r="TEU57" s="10"/>
      <c r="TEV57" s="10"/>
      <c r="TEW57" s="10"/>
      <c r="TEX57" s="10"/>
      <c r="TEY57" s="10"/>
      <c r="TEZ57" s="10"/>
      <c r="TFA57" s="10"/>
      <c r="TFB57" s="10"/>
      <c r="TFC57" s="10"/>
      <c r="TFD57" s="10"/>
      <c r="TFE57" s="10"/>
      <c r="TFF57" s="10"/>
      <c r="TFG57" s="10"/>
      <c r="TFH57" s="10"/>
      <c r="TFI57" s="10"/>
      <c r="TFJ57" s="10"/>
      <c r="TFK57" s="10"/>
      <c r="TFL57" s="10"/>
      <c r="TFM57" s="10"/>
      <c r="TFN57" s="10"/>
      <c r="TFO57" s="10"/>
      <c r="TFP57" s="10"/>
      <c r="TFQ57" s="10"/>
      <c r="TFR57" s="10"/>
      <c r="TFS57" s="10"/>
      <c r="TFT57" s="10"/>
      <c r="TFU57" s="10"/>
      <c r="TFV57" s="10"/>
      <c r="TFW57" s="10"/>
      <c r="TFX57" s="10"/>
      <c r="TFY57" s="10"/>
      <c r="TFZ57" s="10"/>
      <c r="TGA57" s="10"/>
      <c r="TGB57" s="10"/>
      <c r="TGC57" s="10"/>
      <c r="TGD57" s="10"/>
      <c r="TGE57" s="10"/>
      <c r="TGF57" s="10"/>
      <c r="TGG57" s="10"/>
      <c r="TGH57" s="10"/>
      <c r="TGI57" s="10"/>
      <c r="TGJ57" s="10"/>
      <c r="TGK57" s="10"/>
      <c r="TGL57" s="10"/>
      <c r="TGM57" s="10"/>
      <c r="TGN57" s="10"/>
      <c r="TGO57" s="10"/>
      <c r="TGP57" s="10"/>
      <c r="TGQ57" s="10"/>
      <c r="TGR57" s="10"/>
      <c r="TGS57" s="10"/>
      <c r="TGT57" s="10"/>
      <c r="TGU57" s="10"/>
      <c r="TGV57" s="10"/>
      <c r="TGW57" s="10"/>
      <c r="TGX57" s="10"/>
      <c r="TGY57" s="10"/>
      <c r="TGZ57" s="10"/>
      <c r="THA57" s="10"/>
      <c r="THB57" s="10"/>
      <c r="THC57" s="10"/>
      <c r="THD57" s="10"/>
      <c r="THE57" s="10"/>
      <c r="THF57" s="10"/>
      <c r="THG57" s="10"/>
      <c r="THH57" s="10"/>
      <c r="THI57" s="10"/>
      <c r="THJ57" s="10"/>
      <c r="THK57" s="10"/>
      <c r="THL57" s="10"/>
      <c r="THM57" s="10"/>
      <c r="THN57" s="10"/>
      <c r="THO57" s="10"/>
      <c r="THP57" s="10"/>
      <c r="THQ57" s="10"/>
      <c r="THR57" s="10"/>
      <c r="THS57" s="10"/>
      <c r="THT57" s="10"/>
      <c r="THU57" s="10"/>
      <c r="THV57" s="10"/>
      <c r="THW57" s="10"/>
      <c r="THX57" s="10"/>
      <c r="THY57" s="10"/>
      <c r="THZ57" s="10"/>
      <c r="TIA57" s="10"/>
      <c r="TIB57" s="10"/>
      <c r="TIC57" s="10"/>
      <c r="TID57" s="10"/>
      <c r="TIE57" s="10"/>
      <c r="TIF57" s="10"/>
      <c r="TIG57" s="10"/>
      <c r="TIH57" s="10"/>
      <c r="TII57" s="10"/>
      <c r="TIJ57" s="10"/>
      <c r="TIK57" s="10"/>
      <c r="TIL57" s="10"/>
      <c r="TIM57" s="10"/>
      <c r="TIN57" s="10"/>
      <c r="TIO57" s="10"/>
      <c r="TIP57" s="10"/>
      <c r="TIQ57" s="10"/>
      <c r="TIR57" s="10"/>
      <c r="TIS57" s="10"/>
      <c r="TIT57" s="10"/>
      <c r="TIU57" s="10"/>
      <c r="TIV57" s="10"/>
      <c r="TIW57" s="10"/>
      <c r="TIX57" s="10"/>
      <c r="TIY57" s="10"/>
      <c r="TIZ57" s="10"/>
      <c r="TJA57" s="10"/>
      <c r="TJB57" s="10"/>
      <c r="TJC57" s="10"/>
      <c r="TJD57" s="10"/>
      <c r="TJE57" s="10"/>
      <c r="TJF57" s="10"/>
      <c r="TJG57" s="10"/>
      <c r="TJH57" s="10"/>
      <c r="TJI57" s="10"/>
      <c r="TJJ57" s="10"/>
      <c r="TJK57" s="10"/>
      <c r="TJL57" s="10"/>
      <c r="TJM57" s="10"/>
      <c r="TJN57" s="10"/>
      <c r="TJO57" s="10"/>
      <c r="TJP57" s="10"/>
      <c r="TJQ57" s="10"/>
      <c r="TJR57" s="10"/>
      <c r="TJS57" s="10"/>
      <c r="TJT57" s="10"/>
      <c r="TJU57" s="10"/>
      <c r="TJV57" s="10"/>
      <c r="TJW57" s="10"/>
      <c r="TJX57" s="10"/>
      <c r="TJY57" s="10"/>
      <c r="TJZ57" s="10"/>
      <c r="TKA57" s="10"/>
      <c r="TKB57" s="10"/>
      <c r="TKC57" s="10"/>
      <c r="TKD57" s="10"/>
      <c r="TKE57" s="10"/>
      <c r="TKF57" s="10"/>
      <c r="TKG57" s="10"/>
      <c r="TKH57" s="10"/>
      <c r="TKI57" s="10"/>
      <c r="TKJ57" s="10"/>
      <c r="TKK57" s="10"/>
      <c r="TKL57" s="10"/>
      <c r="TKM57" s="10"/>
      <c r="TKN57" s="10"/>
      <c r="TKO57" s="10"/>
      <c r="TKP57" s="10"/>
      <c r="TKQ57" s="10"/>
      <c r="TKR57" s="10"/>
      <c r="TKS57" s="10"/>
      <c r="TKT57" s="10"/>
      <c r="TKU57" s="10"/>
      <c r="TKV57" s="10"/>
      <c r="TKW57" s="10"/>
      <c r="TKX57" s="10"/>
      <c r="TKY57" s="10"/>
      <c r="TKZ57" s="10"/>
      <c r="TLA57" s="10"/>
      <c r="TLB57" s="10"/>
      <c r="TLC57" s="10"/>
      <c r="TLD57" s="10"/>
      <c r="TLE57" s="10"/>
      <c r="TLF57" s="10"/>
      <c r="TLG57" s="10"/>
      <c r="TLH57" s="10"/>
      <c r="TLI57" s="10"/>
      <c r="TLJ57" s="10"/>
      <c r="TLK57" s="10"/>
      <c r="TLL57" s="10"/>
      <c r="TLM57" s="10"/>
      <c r="TLN57" s="10"/>
      <c r="TLO57" s="10"/>
      <c r="TLP57" s="10"/>
      <c r="TLQ57" s="10"/>
      <c r="TLR57" s="10"/>
      <c r="TLS57" s="10"/>
      <c r="TLT57" s="10"/>
      <c r="TLU57" s="10"/>
      <c r="TLV57" s="10"/>
      <c r="TLW57" s="10"/>
      <c r="TLX57" s="10"/>
      <c r="TLY57" s="10"/>
      <c r="TLZ57" s="10"/>
      <c r="TMA57" s="10"/>
      <c r="TMB57" s="10"/>
      <c r="TMC57" s="10"/>
      <c r="TMD57" s="10"/>
      <c r="TME57" s="10"/>
      <c r="TMF57" s="10"/>
      <c r="TMG57" s="10"/>
      <c r="TMH57" s="10"/>
      <c r="TMI57" s="10"/>
      <c r="TMJ57" s="10"/>
      <c r="TMK57" s="10"/>
      <c r="TML57" s="10"/>
      <c r="TMM57" s="10"/>
      <c r="TMN57" s="10"/>
      <c r="TMO57" s="10"/>
      <c r="TMP57" s="10"/>
      <c r="TMQ57" s="10"/>
      <c r="TMR57" s="10"/>
      <c r="TMS57" s="10"/>
      <c r="TMT57" s="10"/>
      <c r="TMU57" s="10"/>
      <c r="TMV57" s="10"/>
      <c r="TMW57" s="10"/>
      <c r="TMX57" s="10"/>
      <c r="TMY57" s="10"/>
      <c r="TMZ57" s="10"/>
      <c r="TNA57" s="10"/>
      <c r="TNB57" s="10"/>
      <c r="TNC57" s="10"/>
      <c r="TND57" s="10"/>
      <c r="TNE57" s="10"/>
      <c r="TNF57" s="10"/>
      <c r="TNG57" s="10"/>
      <c r="TNH57" s="10"/>
      <c r="TNI57" s="10"/>
      <c r="TNJ57" s="10"/>
      <c r="TNK57" s="10"/>
      <c r="TNL57" s="10"/>
      <c r="TNM57" s="10"/>
      <c r="TNN57" s="10"/>
      <c r="TNO57" s="10"/>
      <c r="TNP57" s="10"/>
      <c r="TNQ57" s="10"/>
      <c r="TNR57" s="10"/>
      <c r="TNS57" s="10"/>
      <c r="TNT57" s="10"/>
      <c r="TNU57" s="10"/>
      <c r="TNV57" s="10"/>
      <c r="TNW57" s="10"/>
      <c r="TNX57" s="10"/>
      <c r="TNY57" s="10"/>
      <c r="TNZ57" s="10"/>
      <c r="TOA57" s="10"/>
      <c r="TOB57" s="10"/>
      <c r="TOC57" s="10"/>
      <c r="TOD57" s="10"/>
      <c r="TOE57" s="10"/>
      <c r="TOF57" s="10"/>
      <c r="TOG57" s="10"/>
      <c r="TOH57" s="10"/>
      <c r="TOI57" s="10"/>
      <c r="TOJ57" s="10"/>
      <c r="TOK57" s="10"/>
      <c r="TOL57" s="10"/>
      <c r="TOM57" s="10"/>
      <c r="TON57" s="10"/>
      <c r="TOO57" s="10"/>
      <c r="TOP57" s="10"/>
      <c r="TOQ57" s="10"/>
      <c r="TOR57" s="10"/>
      <c r="TOS57" s="10"/>
      <c r="TOT57" s="10"/>
      <c r="TOU57" s="10"/>
      <c r="TOV57" s="10"/>
      <c r="TOW57" s="10"/>
      <c r="TOX57" s="10"/>
      <c r="TOY57" s="10"/>
      <c r="TOZ57" s="10"/>
      <c r="TPA57" s="10"/>
      <c r="TPB57" s="10"/>
      <c r="TPC57" s="10"/>
      <c r="TPD57" s="10"/>
      <c r="TPE57" s="10"/>
      <c r="TPF57" s="10"/>
      <c r="TPG57" s="10"/>
      <c r="TPH57" s="10"/>
      <c r="TPI57" s="10"/>
      <c r="TPJ57" s="10"/>
      <c r="TPK57" s="10"/>
      <c r="TPL57" s="10"/>
      <c r="TPM57" s="10"/>
      <c r="TPN57" s="10"/>
      <c r="TPO57" s="10"/>
      <c r="TPP57" s="10"/>
      <c r="TPQ57" s="10"/>
      <c r="TPR57" s="10"/>
      <c r="TPS57" s="10"/>
      <c r="TPT57" s="10"/>
      <c r="TPU57" s="10"/>
      <c r="TPV57" s="10"/>
      <c r="TPW57" s="10"/>
      <c r="TPX57" s="10"/>
      <c r="TPY57" s="10"/>
      <c r="TPZ57" s="10"/>
      <c r="TQA57" s="10"/>
      <c r="TQB57" s="10"/>
      <c r="TQC57" s="10"/>
      <c r="TQD57" s="10"/>
      <c r="TQE57" s="10"/>
      <c r="TQF57" s="10"/>
      <c r="TQG57" s="10"/>
      <c r="TQH57" s="10"/>
      <c r="TQI57" s="10"/>
      <c r="TQJ57" s="10"/>
      <c r="TQK57" s="10"/>
      <c r="TQL57" s="10"/>
      <c r="TQM57" s="10"/>
      <c r="TQN57" s="10"/>
      <c r="TQO57" s="10"/>
      <c r="TQP57" s="10"/>
      <c r="TQQ57" s="10"/>
      <c r="TQR57" s="10"/>
      <c r="TQS57" s="10"/>
      <c r="TQT57" s="10"/>
      <c r="TQU57" s="10"/>
      <c r="TQV57" s="10"/>
      <c r="TQW57" s="10"/>
      <c r="TQX57" s="10"/>
      <c r="TQY57" s="10"/>
      <c r="TQZ57" s="10"/>
      <c r="TRA57" s="10"/>
      <c r="TRB57" s="10"/>
      <c r="TRC57" s="10"/>
      <c r="TRD57" s="10"/>
      <c r="TRE57" s="10"/>
      <c r="TRF57" s="10"/>
      <c r="TRG57" s="10"/>
      <c r="TRH57" s="10"/>
      <c r="TRI57" s="10"/>
      <c r="TRJ57" s="10"/>
      <c r="TRK57" s="10"/>
      <c r="TRL57" s="10"/>
      <c r="TRM57" s="10"/>
      <c r="TRN57" s="10"/>
      <c r="TRO57" s="10"/>
      <c r="TRP57" s="10"/>
      <c r="TRQ57" s="10"/>
      <c r="TRR57" s="10"/>
      <c r="TRS57" s="10"/>
      <c r="TRT57" s="10"/>
      <c r="TRU57" s="10"/>
      <c r="TRV57" s="10"/>
      <c r="TRW57" s="10"/>
      <c r="TRX57" s="10"/>
      <c r="TRY57" s="10"/>
      <c r="TRZ57" s="10"/>
      <c r="TSA57" s="10"/>
      <c r="TSB57" s="10"/>
      <c r="TSC57" s="10"/>
      <c r="TSD57" s="10"/>
      <c r="TSE57" s="10"/>
      <c r="TSF57" s="10"/>
      <c r="TSG57" s="10"/>
      <c r="TSH57" s="10"/>
      <c r="TSI57" s="10"/>
      <c r="TSJ57" s="10"/>
      <c r="TSK57" s="10"/>
      <c r="TSL57" s="10"/>
      <c r="TSM57" s="10"/>
      <c r="TSN57" s="10"/>
      <c r="TSO57" s="10"/>
      <c r="TSP57" s="10"/>
      <c r="TSQ57" s="10"/>
      <c r="TSR57" s="10"/>
      <c r="TSS57" s="10"/>
      <c r="TST57" s="10"/>
      <c r="TSU57" s="10"/>
      <c r="TSV57" s="10"/>
      <c r="TSW57" s="10"/>
      <c r="TSX57" s="10"/>
      <c r="TSY57" s="10"/>
      <c r="TSZ57" s="10"/>
      <c r="TTA57" s="10"/>
      <c r="TTB57" s="10"/>
      <c r="TTC57" s="10"/>
      <c r="TTD57" s="10"/>
      <c r="TTE57" s="10"/>
      <c r="TTF57" s="10"/>
      <c r="TTG57" s="10"/>
      <c r="TTH57" s="10"/>
      <c r="TTI57" s="10"/>
      <c r="TTJ57" s="10"/>
      <c r="TTK57" s="10"/>
      <c r="TTL57" s="10"/>
      <c r="TTM57" s="10"/>
      <c r="TTN57" s="10"/>
      <c r="TTO57" s="10"/>
      <c r="TTP57" s="10"/>
      <c r="TTQ57" s="10"/>
      <c r="TTR57" s="10"/>
      <c r="TTS57" s="10"/>
      <c r="TTT57" s="10"/>
      <c r="TTU57" s="10"/>
      <c r="TTV57" s="10"/>
      <c r="TTW57" s="10"/>
      <c r="TTX57" s="10"/>
      <c r="TTY57" s="10"/>
      <c r="TTZ57" s="10"/>
      <c r="TUA57" s="10"/>
      <c r="TUB57" s="10"/>
      <c r="TUC57" s="10"/>
      <c r="TUD57" s="10"/>
      <c r="TUE57" s="10"/>
      <c r="TUF57" s="10"/>
      <c r="TUG57" s="10"/>
      <c r="TUH57" s="10"/>
      <c r="TUI57" s="10"/>
      <c r="TUJ57" s="10"/>
      <c r="TUK57" s="10"/>
      <c r="TUL57" s="10"/>
      <c r="TUM57" s="10"/>
      <c r="TUN57" s="10"/>
      <c r="TUO57" s="10"/>
      <c r="TUP57" s="10"/>
      <c r="TUQ57" s="10"/>
      <c r="TUR57" s="10"/>
      <c r="TUS57" s="10"/>
      <c r="TUT57" s="10"/>
      <c r="TUU57" s="10"/>
      <c r="TUV57" s="10"/>
      <c r="TUW57" s="10"/>
      <c r="TUX57" s="10"/>
      <c r="TUY57" s="10"/>
      <c r="TUZ57" s="10"/>
      <c r="TVA57" s="10"/>
      <c r="TVB57" s="10"/>
      <c r="TVC57" s="10"/>
      <c r="TVD57" s="10"/>
      <c r="TVE57" s="10"/>
      <c r="TVF57" s="10"/>
      <c r="TVG57" s="10"/>
      <c r="TVH57" s="10"/>
      <c r="TVI57" s="10"/>
      <c r="TVJ57" s="10"/>
      <c r="TVK57" s="10"/>
      <c r="TVL57" s="10"/>
      <c r="TVM57" s="10"/>
      <c r="TVN57" s="10"/>
      <c r="TVO57" s="10"/>
      <c r="TVP57" s="10"/>
      <c r="TVQ57" s="10"/>
      <c r="TVR57" s="10"/>
      <c r="TVS57" s="10"/>
      <c r="TVT57" s="10"/>
      <c r="TVU57" s="10"/>
      <c r="TVV57" s="10"/>
      <c r="TVW57" s="10"/>
      <c r="TVX57" s="10"/>
      <c r="TVY57" s="10"/>
      <c r="TVZ57" s="10"/>
      <c r="TWA57" s="10"/>
      <c r="TWB57" s="10"/>
      <c r="TWC57" s="10"/>
      <c r="TWD57" s="10"/>
      <c r="TWE57" s="10"/>
      <c r="TWF57" s="10"/>
      <c r="TWG57" s="10"/>
      <c r="TWH57" s="10"/>
      <c r="TWI57" s="10"/>
      <c r="TWJ57" s="10"/>
      <c r="TWK57" s="10"/>
      <c r="TWL57" s="10"/>
      <c r="TWM57" s="10"/>
      <c r="TWN57" s="10"/>
      <c r="TWO57" s="10"/>
      <c r="TWP57" s="10"/>
      <c r="TWQ57" s="10"/>
      <c r="TWR57" s="10"/>
      <c r="TWS57" s="10"/>
      <c r="TWT57" s="10"/>
      <c r="TWU57" s="10"/>
      <c r="TWV57" s="10"/>
      <c r="TWW57" s="10"/>
      <c r="TWX57" s="10"/>
      <c r="TWY57" s="10"/>
      <c r="TWZ57" s="10"/>
      <c r="TXA57" s="10"/>
      <c r="TXB57" s="10"/>
      <c r="TXC57" s="10"/>
      <c r="TXD57" s="10"/>
      <c r="TXE57" s="10"/>
      <c r="TXF57" s="10"/>
      <c r="TXG57" s="10"/>
      <c r="TXH57" s="10"/>
      <c r="TXI57" s="10"/>
      <c r="TXJ57" s="10"/>
      <c r="TXK57" s="10"/>
      <c r="TXL57" s="10"/>
      <c r="TXM57" s="10"/>
      <c r="TXN57" s="10"/>
      <c r="TXO57" s="10"/>
      <c r="TXP57" s="10"/>
      <c r="TXQ57" s="10"/>
      <c r="TXR57" s="10"/>
      <c r="TXS57" s="10"/>
      <c r="TXT57" s="10"/>
      <c r="TXU57" s="10"/>
      <c r="TXV57" s="10"/>
      <c r="TXW57" s="10"/>
      <c r="TXX57" s="10"/>
      <c r="TXY57" s="10"/>
      <c r="TXZ57" s="10"/>
      <c r="TYA57" s="10"/>
      <c r="TYB57" s="10"/>
      <c r="TYC57" s="10"/>
      <c r="TYD57" s="10"/>
      <c r="TYE57" s="10"/>
      <c r="TYF57" s="10"/>
      <c r="TYG57" s="10"/>
      <c r="TYH57" s="10"/>
      <c r="TYI57" s="10"/>
      <c r="TYJ57" s="10"/>
      <c r="TYK57" s="10"/>
      <c r="TYL57" s="10"/>
      <c r="TYM57" s="10"/>
      <c r="TYN57" s="10"/>
      <c r="TYO57" s="10"/>
      <c r="TYP57" s="10"/>
      <c r="TYQ57" s="10"/>
      <c r="TYR57" s="10"/>
      <c r="TYS57" s="10"/>
      <c r="TYT57" s="10"/>
      <c r="TYU57" s="10"/>
      <c r="TYV57" s="10"/>
      <c r="TYW57" s="10"/>
      <c r="TYX57" s="10"/>
      <c r="TYY57" s="10"/>
      <c r="TYZ57" s="10"/>
      <c r="TZA57" s="10"/>
      <c r="TZB57" s="10"/>
      <c r="TZC57" s="10"/>
      <c r="TZD57" s="10"/>
      <c r="TZE57" s="10"/>
      <c r="TZF57" s="10"/>
      <c r="TZG57" s="10"/>
      <c r="TZH57" s="10"/>
      <c r="TZI57" s="10"/>
      <c r="TZJ57" s="10"/>
      <c r="TZK57" s="10"/>
      <c r="TZL57" s="10"/>
      <c r="TZM57" s="10"/>
      <c r="TZN57" s="10"/>
      <c r="TZO57" s="10"/>
      <c r="TZP57" s="10"/>
      <c r="TZQ57" s="10"/>
      <c r="TZR57" s="10"/>
      <c r="TZS57" s="10"/>
      <c r="TZT57" s="10"/>
      <c r="TZU57" s="10"/>
      <c r="TZV57" s="10"/>
      <c r="TZW57" s="10"/>
      <c r="TZX57" s="10"/>
      <c r="TZY57" s="10"/>
      <c r="TZZ57" s="10"/>
      <c r="UAA57" s="10"/>
      <c r="UAB57" s="10"/>
      <c r="UAC57" s="10"/>
      <c r="UAD57" s="10"/>
      <c r="UAE57" s="10"/>
      <c r="UAF57" s="10"/>
      <c r="UAG57" s="10"/>
      <c r="UAH57" s="10"/>
      <c r="UAI57" s="10"/>
      <c r="UAJ57" s="10"/>
      <c r="UAK57" s="10"/>
      <c r="UAL57" s="10"/>
      <c r="UAM57" s="10"/>
      <c r="UAN57" s="10"/>
      <c r="UAO57" s="10"/>
      <c r="UAP57" s="10"/>
      <c r="UAQ57" s="10"/>
      <c r="UAR57" s="10"/>
      <c r="UAS57" s="10"/>
      <c r="UAT57" s="10"/>
      <c r="UAU57" s="10"/>
      <c r="UAV57" s="10"/>
      <c r="UAW57" s="10"/>
      <c r="UAX57" s="10"/>
      <c r="UAY57" s="10"/>
      <c r="UAZ57" s="10"/>
      <c r="UBA57" s="10"/>
      <c r="UBB57" s="10"/>
      <c r="UBC57" s="10"/>
      <c r="UBD57" s="10"/>
      <c r="UBE57" s="10"/>
      <c r="UBF57" s="10"/>
      <c r="UBG57" s="10"/>
      <c r="UBH57" s="10"/>
      <c r="UBI57" s="10"/>
      <c r="UBJ57" s="10"/>
      <c r="UBK57" s="10"/>
      <c r="UBL57" s="10"/>
      <c r="UBM57" s="10"/>
      <c r="UBN57" s="10"/>
      <c r="UBO57" s="10"/>
      <c r="UBP57" s="10"/>
      <c r="UBQ57" s="10"/>
      <c r="UBR57" s="10"/>
      <c r="UBS57" s="10"/>
      <c r="UBT57" s="10"/>
      <c r="UBU57" s="10"/>
      <c r="UBV57" s="10"/>
      <c r="UBW57" s="10"/>
      <c r="UBX57" s="10"/>
      <c r="UBY57" s="10"/>
      <c r="UBZ57" s="10"/>
      <c r="UCA57" s="10"/>
      <c r="UCB57" s="10"/>
      <c r="UCC57" s="10"/>
      <c r="UCD57" s="10"/>
      <c r="UCE57" s="10"/>
      <c r="UCF57" s="10"/>
      <c r="UCG57" s="10"/>
      <c r="UCH57" s="10"/>
      <c r="UCI57" s="10"/>
      <c r="UCJ57" s="10"/>
      <c r="UCK57" s="10"/>
      <c r="UCL57" s="10"/>
      <c r="UCM57" s="10"/>
      <c r="UCN57" s="10"/>
      <c r="UCO57" s="10"/>
      <c r="UCP57" s="10"/>
      <c r="UCQ57" s="10"/>
      <c r="UCR57" s="10"/>
      <c r="UCS57" s="10"/>
      <c r="UCT57" s="10"/>
      <c r="UCU57" s="10"/>
      <c r="UCV57" s="10"/>
      <c r="UCW57" s="10"/>
      <c r="UCX57" s="10"/>
      <c r="UCY57" s="10"/>
      <c r="UCZ57" s="10"/>
      <c r="UDA57" s="10"/>
      <c r="UDB57" s="10"/>
      <c r="UDC57" s="10"/>
      <c r="UDD57" s="10"/>
      <c r="UDE57" s="10"/>
      <c r="UDF57" s="10"/>
      <c r="UDG57" s="10"/>
      <c r="UDH57" s="10"/>
      <c r="UDI57" s="10"/>
      <c r="UDJ57" s="10"/>
      <c r="UDK57" s="10"/>
      <c r="UDL57" s="10"/>
      <c r="UDM57" s="10"/>
      <c r="UDN57" s="10"/>
      <c r="UDO57" s="10"/>
      <c r="UDP57" s="10"/>
      <c r="UDQ57" s="10"/>
      <c r="UDR57" s="10"/>
      <c r="UDS57" s="10"/>
      <c r="UDT57" s="10"/>
      <c r="UDU57" s="10"/>
      <c r="UDV57" s="10"/>
      <c r="UDW57" s="10"/>
      <c r="UDX57" s="10"/>
      <c r="UDY57" s="10"/>
      <c r="UDZ57" s="10"/>
      <c r="UEA57" s="10"/>
      <c r="UEB57" s="10"/>
      <c r="UEC57" s="10"/>
      <c r="UED57" s="10"/>
      <c r="UEE57" s="10"/>
      <c r="UEF57" s="10"/>
      <c r="UEG57" s="10"/>
      <c r="UEH57" s="10"/>
      <c r="UEI57" s="10"/>
      <c r="UEJ57" s="10"/>
      <c r="UEK57" s="10"/>
      <c r="UEL57" s="10"/>
      <c r="UEM57" s="10"/>
      <c r="UEN57" s="10"/>
      <c r="UEO57" s="10"/>
      <c r="UEP57" s="10"/>
      <c r="UEQ57" s="10"/>
      <c r="UER57" s="10"/>
      <c r="UES57" s="10"/>
      <c r="UET57" s="10"/>
      <c r="UEU57" s="10"/>
      <c r="UEV57" s="10"/>
      <c r="UEW57" s="10"/>
      <c r="UEX57" s="10"/>
      <c r="UEY57" s="10"/>
      <c r="UEZ57" s="10"/>
      <c r="UFA57" s="10"/>
      <c r="UFB57" s="10"/>
      <c r="UFC57" s="10"/>
      <c r="UFD57" s="10"/>
      <c r="UFE57" s="10"/>
      <c r="UFF57" s="10"/>
      <c r="UFG57" s="10"/>
      <c r="UFH57" s="10"/>
      <c r="UFI57" s="10"/>
      <c r="UFJ57" s="10"/>
      <c r="UFK57" s="10"/>
      <c r="UFL57" s="10"/>
      <c r="UFM57" s="10"/>
      <c r="UFN57" s="10"/>
      <c r="UFO57" s="10"/>
      <c r="UFP57" s="10"/>
      <c r="UFQ57" s="10"/>
      <c r="UFR57" s="10"/>
      <c r="UFS57" s="10"/>
      <c r="UFT57" s="10"/>
      <c r="UFU57" s="10"/>
      <c r="UFV57" s="10"/>
      <c r="UFW57" s="10"/>
      <c r="UFX57" s="10"/>
      <c r="UFY57" s="10"/>
      <c r="UFZ57" s="10"/>
      <c r="UGA57" s="10"/>
      <c r="UGB57" s="10"/>
      <c r="UGC57" s="10"/>
      <c r="UGD57" s="10"/>
      <c r="UGE57" s="10"/>
      <c r="UGF57" s="10"/>
      <c r="UGG57" s="10"/>
      <c r="UGH57" s="10"/>
      <c r="UGI57" s="10"/>
      <c r="UGJ57" s="10"/>
      <c r="UGK57" s="10"/>
      <c r="UGL57" s="10"/>
      <c r="UGM57" s="10"/>
      <c r="UGN57" s="10"/>
      <c r="UGO57" s="10"/>
      <c r="UGP57" s="10"/>
      <c r="UGQ57" s="10"/>
      <c r="UGR57" s="10"/>
      <c r="UGS57" s="10"/>
      <c r="UGT57" s="10"/>
      <c r="UGU57" s="10"/>
      <c r="UGV57" s="10"/>
      <c r="UGW57" s="10"/>
      <c r="UGX57" s="10"/>
      <c r="UGY57" s="10"/>
      <c r="UGZ57" s="10"/>
      <c r="UHA57" s="10"/>
      <c r="UHB57" s="10"/>
      <c r="UHC57" s="10"/>
      <c r="UHD57" s="10"/>
      <c r="UHE57" s="10"/>
      <c r="UHF57" s="10"/>
      <c r="UHG57" s="10"/>
      <c r="UHH57" s="10"/>
      <c r="UHI57" s="10"/>
      <c r="UHJ57" s="10"/>
      <c r="UHK57" s="10"/>
      <c r="UHL57" s="10"/>
      <c r="UHM57" s="10"/>
      <c r="UHN57" s="10"/>
      <c r="UHO57" s="10"/>
      <c r="UHP57" s="10"/>
      <c r="UHQ57" s="10"/>
      <c r="UHR57" s="10"/>
      <c r="UHS57" s="10"/>
      <c r="UHT57" s="10"/>
      <c r="UHU57" s="10"/>
      <c r="UHV57" s="10"/>
      <c r="UHW57" s="10"/>
      <c r="UHX57" s="10"/>
      <c r="UHY57" s="10"/>
      <c r="UHZ57" s="10"/>
      <c r="UIA57" s="10"/>
      <c r="UIB57" s="10"/>
      <c r="UIC57" s="10"/>
      <c r="UID57" s="10"/>
      <c r="UIE57" s="10"/>
      <c r="UIF57" s="10"/>
      <c r="UIG57" s="10"/>
      <c r="UIH57" s="10"/>
      <c r="UII57" s="10"/>
      <c r="UIJ57" s="10"/>
      <c r="UIK57" s="10"/>
      <c r="UIL57" s="10"/>
      <c r="UIM57" s="10"/>
      <c r="UIN57" s="10"/>
      <c r="UIO57" s="10"/>
      <c r="UIP57" s="10"/>
      <c r="UIQ57" s="10"/>
      <c r="UIR57" s="10"/>
      <c r="UIS57" s="10"/>
      <c r="UIT57" s="10"/>
      <c r="UIU57" s="10"/>
      <c r="UIV57" s="10"/>
      <c r="UIW57" s="10"/>
      <c r="UIX57" s="10"/>
      <c r="UIY57" s="10"/>
      <c r="UIZ57" s="10"/>
      <c r="UJA57" s="10"/>
      <c r="UJB57" s="10"/>
      <c r="UJC57" s="10"/>
      <c r="UJD57" s="10"/>
      <c r="UJE57" s="10"/>
      <c r="UJF57" s="10"/>
      <c r="UJG57" s="10"/>
      <c r="UJH57" s="10"/>
      <c r="UJI57" s="10"/>
      <c r="UJJ57" s="10"/>
      <c r="UJK57" s="10"/>
      <c r="UJL57" s="10"/>
      <c r="UJM57" s="10"/>
      <c r="UJN57" s="10"/>
      <c r="UJO57" s="10"/>
      <c r="UJP57" s="10"/>
      <c r="UJQ57" s="10"/>
      <c r="UJR57" s="10"/>
      <c r="UJS57" s="10"/>
      <c r="UJT57" s="10"/>
      <c r="UJU57" s="10"/>
      <c r="UJV57" s="10"/>
      <c r="UJW57" s="10"/>
      <c r="UJX57" s="10"/>
      <c r="UJY57" s="10"/>
      <c r="UJZ57" s="10"/>
      <c r="UKA57" s="10"/>
      <c r="UKB57" s="10"/>
      <c r="UKC57" s="10"/>
      <c r="UKD57" s="10"/>
      <c r="UKE57" s="10"/>
      <c r="UKF57" s="10"/>
      <c r="UKG57" s="10"/>
      <c r="UKH57" s="10"/>
      <c r="UKI57" s="10"/>
      <c r="UKJ57" s="10"/>
      <c r="UKK57" s="10"/>
      <c r="UKL57" s="10"/>
      <c r="UKM57" s="10"/>
      <c r="UKN57" s="10"/>
      <c r="UKO57" s="10"/>
      <c r="UKP57" s="10"/>
      <c r="UKQ57" s="10"/>
      <c r="UKR57" s="10"/>
      <c r="UKS57" s="10"/>
      <c r="UKT57" s="10"/>
      <c r="UKU57" s="10"/>
      <c r="UKV57" s="10"/>
      <c r="UKW57" s="10"/>
      <c r="UKX57" s="10"/>
      <c r="UKY57" s="10"/>
      <c r="UKZ57" s="10"/>
      <c r="ULA57" s="10"/>
      <c r="ULB57" s="10"/>
      <c r="ULC57" s="10"/>
      <c r="ULD57" s="10"/>
      <c r="ULE57" s="10"/>
      <c r="ULF57" s="10"/>
      <c r="ULG57" s="10"/>
      <c r="ULH57" s="10"/>
      <c r="ULI57" s="10"/>
      <c r="ULJ57" s="10"/>
      <c r="ULK57" s="10"/>
      <c r="ULL57" s="10"/>
      <c r="ULM57" s="10"/>
      <c r="ULN57" s="10"/>
      <c r="ULO57" s="10"/>
      <c r="ULP57" s="10"/>
      <c r="ULQ57" s="10"/>
      <c r="ULR57" s="10"/>
      <c r="ULS57" s="10"/>
      <c r="ULT57" s="10"/>
      <c r="ULU57" s="10"/>
      <c r="ULV57" s="10"/>
      <c r="ULW57" s="10"/>
      <c r="ULX57" s="10"/>
      <c r="ULY57" s="10"/>
      <c r="ULZ57" s="10"/>
      <c r="UMA57" s="10"/>
      <c r="UMB57" s="10"/>
      <c r="UMC57" s="10"/>
      <c r="UMD57" s="10"/>
      <c r="UME57" s="10"/>
      <c r="UMF57" s="10"/>
      <c r="UMG57" s="10"/>
      <c r="UMH57" s="10"/>
      <c r="UMI57" s="10"/>
      <c r="UMJ57" s="10"/>
      <c r="UMK57" s="10"/>
      <c r="UML57" s="10"/>
      <c r="UMM57" s="10"/>
      <c r="UMN57" s="10"/>
      <c r="UMO57" s="10"/>
      <c r="UMP57" s="10"/>
      <c r="UMQ57" s="10"/>
      <c r="UMR57" s="10"/>
      <c r="UMS57" s="10"/>
      <c r="UMT57" s="10"/>
      <c r="UMU57" s="10"/>
      <c r="UMV57" s="10"/>
      <c r="UMW57" s="10"/>
      <c r="UMX57" s="10"/>
      <c r="UMY57" s="10"/>
      <c r="UMZ57" s="10"/>
      <c r="UNA57" s="10"/>
      <c r="UNB57" s="10"/>
      <c r="UNC57" s="10"/>
      <c r="UND57" s="10"/>
      <c r="UNE57" s="10"/>
      <c r="UNF57" s="10"/>
      <c r="UNG57" s="10"/>
      <c r="UNH57" s="10"/>
      <c r="UNI57" s="10"/>
      <c r="UNJ57" s="10"/>
      <c r="UNK57" s="10"/>
      <c r="UNL57" s="10"/>
      <c r="UNM57" s="10"/>
      <c r="UNN57" s="10"/>
      <c r="UNO57" s="10"/>
      <c r="UNP57" s="10"/>
      <c r="UNQ57" s="10"/>
      <c r="UNR57" s="10"/>
      <c r="UNS57" s="10"/>
      <c r="UNT57" s="10"/>
      <c r="UNU57" s="10"/>
      <c r="UNV57" s="10"/>
      <c r="UNW57" s="10"/>
      <c r="UNX57" s="10"/>
      <c r="UNY57" s="10"/>
      <c r="UNZ57" s="10"/>
      <c r="UOA57" s="10"/>
      <c r="UOB57" s="10"/>
      <c r="UOC57" s="10"/>
      <c r="UOD57" s="10"/>
      <c r="UOE57" s="10"/>
      <c r="UOF57" s="10"/>
      <c r="UOG57" s="10"/>
      <c r="UOH57" s="10"/>
      <c r="UOI57" s="10"/>
      <c r="UOJ57" s="10"/>
      <c r="UOK57" s="10"/>
      <c r="UOL57" s="10"/>
      <c r="UOM57" s="10"/>
      <c r="UON57" s="10"/>
      <c r="UOO57" s="10"/>
      <c r="UOP57" s="10"/>
      <c r="UOQ57" s="10"/>
      <c r="UOR57" s="10"/>
      <c r="UOS57" s="10"/>
      <c r="UOT57" s="10"/>
      <c r="UOU57" s="10"/>
      <c r="UOV57" s="10"/>
      <c r="UOW57" s="10"/>
      <c r="UOX57" s="10"/>
      <c r="UOY57" s="10"/>
      <c r="UOZ57" s="10"/>
      <c r="UPA57" s="10"/>
      <c r="UPB57" s="10"/>
      <c r="UPC57" s="10"/>
      <c r="UPD57" s="10"/>
      <c r="UPE57" s="10"/>
      <c r="UPF57" s="10"/>
      <c r="UPG57" s="10"/>
      <c r="UPH57" s="10"/>
      <c r="UPI57" s="10"/>
      <c r="UPJ57" s="10"/>
      <c r="UPK57" s="10"/>
      <c r="UPL57" s="10"/>
      <c r="UPM57" s="10"/>
      <c r="UPN57" s="10"/>
      <c r="UPO57" s="10"/>
      <c r="UPP57" s="10"/>
      <c r="UPQ57" s="10"/>
      <c r="UPR57" s="10"/>
      <c r="UPS57" s="10"/>
      <c r="UPT57" s="10"/>
      <c r="UPU57" s="10"/>
      <c r="UPV57" s="10"/>
      <c r="UPW57" s="10"/>
      <c r="UPX57" s="10"/>
      <c r="UPY57" s="10"/>
      <c r="UPZ57" s="10"/>
      <c r="UQA57" s="10"/>
      <c r="UQB57" s="10"/>
      <c r="UQC57" s="10"/>
      <c r="UQD57" s="10"/>
      <c r="UQE57" s="10"/>
      <c r="UQF57" s="10"/>
      <c r="UQG57" s="10"/>
      <c r="UQH57" s="10"/>
      <c r="UQI57" s="10"/>
      <c r="UQJ57" s="10"/>
      <c r="UQK57" s="10"/>
      <c r="UQL57" s="10"/>
      <c r="UQM57" s="10"/>
      <c r="UQN57" s="10"/>
      <c r="UQO57" s="10"/>
      <c r="UQP57" s="10"/>
      <c r="UQQ57" s="10"/>
      <c r="UQR57" s="10"/>
      <c r="UQS57" s="10"/>
      <c r="UQT57" s="10"/>
      <c r="UQU57" s="10"/>
      <c r="UQV57" s="10"/>
      <c r="UQW57" s="10"/>
      <c r="UQX57" s="10"/>
      <c r="UQY57" s="10"/>
      <c r="UQZ57" s="10"/>
      <c r="URA57" s="10"/>
      <c r="URB57" s="10"/>
      <c r="URC57" s="10"/>
      <c r="URD57" s="10"/>
      <c r="URE57" s="10"/>
      <c r="URF57" s="10"/>
      <c r="URG57" s="10"/>
      <c r="URH57" s="10"/>
      <c r="URI57" s="10"/>
      <c r="URJ57" s="10"/>
      <c r="URK57" s="10"/>
      <c r="URL57" s="10"/>
      <c r="URM57" s="10"/>
      <c r="URN57" s="10"/>
      <c r="URO57" s="10"/>
      <c r="URP57" s="10"/>
      <c r="URQ57" s="10"/>
      <c r="URR57" s="10"/>
      <c r="URS57" s="10"/>
      <c r="URT57" s="10"/>
      <c r="URU57" s="10"/>
      <c r="URV57" s="10"/>
      <c r="URW57" s="10"/>
      <c r="URX57" s="10"/>
      <c r="URY57" s="10"/>
      <c r="URZ57" s="10"/>
      <c r="USA57" s="10"/>
      <c r="USB57" s="10"/>
      <c r="USC57" s="10"/>
      <c r="USD57" s="10"/>
      <c r="USE57" s="10"/>
      <c r="USF57" s="10"/>
      <c r="USG57" s="10"/>
      <c r="USH57" s="10"/>
      <c r="USI57" s="10"/>
      <c r="USJ57" s="10"/>
      <c r="USK57" s="10"/>
      <c r="USL57" s="10"/>
      <c r="USM57" s="10"/>
      <c r="USN57" s="10"/>
      <c r="USO57" s="10"/>
      <c r="USP57" s="10"/>
      <c r="USQ57" s="10"/>
      <c r="USR57" s="10"/>
      <c r="USS57" s="10"/>
      <c r="UST57" s="10"/>
      <c r="USU57" s="10"/>
      <c r="USV57" s="10"/>
      <c r="USW57" s="10"/>
      <c r="USX57" s="10"/>
      <c r="USY57" s="10"/>
      <c r="USZ57" s="10"/>
      <c r="UTA57" s="10"/>
      <c r="UTB57" s="10"/>
      <c r="UTC57" s="10"/>
      <c r="UTD57" s="10"/>
      <c r="UTE57" s="10"/>
      <c r="UTF57" s="10"/>
      <c r="UTG57" s="10"/>
      <c r="UTH57" s="10"/>
      <c r="UTI57" s="10"/>
      <c r="UTJ57" s="10"/>
      <c r="UTK57" s="10"/>
      <c r="UTL57" s="10"/>
      <c r="UTM57" s="10"/>
      <c r="UTN57" s="10"/>
      <c r="UTO57" s="10"/>
      <c r="UTP57" s="10"/>
      <c r="UTQ57" s="10"/>
      <c r="UTR57" s="10"/>
      <c r="UTS57" s="10"/>
      <c r="UTT57" s="10"/>
      <c r="UTU57" s="10"/>
      <c r="UTV57" s="10"/>
      <c r="UTW57" s="10"/>
      <c r="UTX57" s="10"/>
      <c r="UTY57" s="10"/>
      <c r="UTZ57" s="10"/>
      <c r="UUA57" s="10"/>
      <c r="UUB57" s="10"/>
      <c r="UUC57" s="10"/>
      <c r="UUD57" s="10"/>
      <c r="UUE57" s="10"/>
      <c r="UUF57" s="10"/>
      <c r="UUG57" s="10"/>
      <c r="UUH57" s="10"/>
      <c r="UUI57" s="10"/>
      <c r="UUJ57" s="10"/>
      <c r="UUK57" s="10"/>
      <c r="UUL57" s="10"/>
      <c r="UUM57" s="10"/>
      <c r="UUN57" s="10"/>
      <c r="UUO57" s="10"/>
      <c r="UUP57" s="10"/>
      <c r="UUQ57" s="10"/>
      <c r="UUR57" s="10"/>
      <c r="UUS57" s="10"/>
      <c r="UUT57" s="10"/>
      <c r="UUU57" s="10"/>
      <c r="UUV57" s="10"/>
      <c r="UUW57" s="10"/>
      <c r="UUX57" s="10"/>
      <c r="UUY57" s="10"/>
      <c r="UUZ57" s="10"/>
      <c r="UVA57" s="10"/>
      <c r="UVB57" s="10"/>
      <c r="UVC57" s="10"/>
      <c r="UVD57" s="10"/>
      <c r="UVE57" s="10"/>
      <c r="UVF57" s="10"/>
      <c r="UVG57" s="10"/>
      <c r="UVH57" s="10"/>
      <c r="UVI57" s="10"/>
      <c r="UVJ57" s="10"/>
      <c r="UVK57" s="10"/>
      <c r="UVL57" s="10"/>
      <c r="UVM57" s="10"/>
      <c r="UVN57" s="10"/>
      <c r="UVO57" s="10"/>
      <c r="UVP57" s="10"/>
      <c r="UVQ57" s="10"/>
      <c r="UVR57" s="10"/>
      <c r="UVS57" s="10"/>
      <c r="UVT57" s="10"/>
      <c r="UVU57" s="10"/>
      <c r="UVV57" s="10"/>
      <c r="UVW57" s="10"/>
      <c r="UVX57" s="10"/>
      <c r="UVY57" s="10"/>
      <c r="UVZ57" s="10"/>
      <c r="UWA57" s="10"/>
      <c r="UWB57" s="10"/>
      <c r="UWC57" s="10"/>
      <c r="UWD57" s="10"/>
      <c r="UWE57" s="10"/>
      <c r="UWF57" s="10"/>
      <c r="UWG57" s="10"/>
      <c r="UWH57" s="10"/>
      <c r="UWI57" s="10"/>
      <c r="UWJ57" s="10"/>
      <c r="UWK57" s="10"/>
      <c r="UWL57" s="10"/>
      <c r="UWM57" s="10"/>
      <c r="UWN57" s="10"/>
      <c r="UWO57" s="10"/>
      <c r="UWP57" s="10"/>
      <c r="UWQ57" s="10"/>
      <c r="UWR57" s="10"/>
      <c r="UWS57" s="10"/>
      <c r="UWT57" s="10"/>
      <c r="UWU57" s="10"/>
      <c r="UWV57" s="10"/>
      <c r="UWW57" s="10"/>
      <c r="UWX57" s="10"/>
      <c r="UWY57" s="10"/>
      <c r="UWZ57" s="10"/>
      <c r="UXA57" s="10"/>
      <c r="UXB57" s="10"/>
      <c r="UXC57" s="10"/>
      <c r="UXD57" s="10"/>
      <c r="UXE57" s="10"/>
      <c r="UXF57" s="10"/>
      <c r="UXG57" s="10"/>
      <c r="UXH57" s="10"/>
      <c r="UXI57" s="10"/>
      <c r="UXJ57" s="10"/>
      <c r="UXK57" s="10"/>
      <c r="UXL57" s="10"/>
      <c r="UXM57" s="10"/>
      <c r="UXN57" s="10"/>
      <c r="UXO57" s="10"/>
      <c r="UXP57" s="10"/>
      <c r="UXQ57" s="10"/>
      <c r="UXR57" s="10"/>
      <c r="UXS57" s="10"/>
      <c r="UXT57" s="10"/>
      <c r="UXU57" s="10"/>
      <c r="UXV57" s="10"/>
      <c r="UXW57" s="10"/>
      <c r="UXX57" s="10"/>
      <c r="UXY57" s="10"/>
      <c r="UXZ57" s="10"/>
      <c r="UYA57" s="10"/>
      <c r="UYB57" s="10"/>
      <c r="UYC57" s="10"/>
      <c r="UYD57" s="10"/>
      <c r="UYE57" s="10"/>
      <c r="UYF57" s="10"/>
      <c r="UYG57" s="10"/>
      <c r="UYH57" s="10"/>
      <c r="UYI57" s="10"/>
      <c r="UYJ57" s="10"/>
      <c r="UYK57" s="10"/>
      <c r="UYL57" s="10"/>
      <c r="UYM57" s="10"/>
      <c r="UYN57" s="10"/>
      <c r="UYO57" s="10"/>
      <c r="UYP57" s="10"/>
      <c r="UYQ57" s="10"/>
      <c r="UYR57" s="10"/>
      <c r="UYS57" s="10"/>
      <c r="UYT57" s="10"/>
      <c r="UYU57" s="10"/>
      <c r="UYV57" s="10"/>
      <c r="UYW57" s="10"/>
      <c r="UYX57" s="10"/>
      <c r="UYY57" s="10"/>
      <c r="UYZ57" s="10"/>
      <c r="UZA57" s="10"/>
      <c r="UZB57" s="10"/>
      <c r="UZC57" s="10"/>
      <c r="UZD57" s="10"/>
      <c r="UZE57" s="10"/>
      <c r="UZF57" s="10"/>
      <c r="UZG57" s="10"/>
      <c r="UZH57" s="10"/>
      <c r="UZI57" s="10"/>
      <c r="UZJ57" s="10"/>
      <c r="UZK57" s="10"/>
      <c r="UZL57" s="10"/>
      <c r="UZM57" s="10"/>
      <c r="UZN57" s="10"/>
      <c r="UZO57" s="10"/>
      <c r="UZP57" s="10"/>
      <c r="UZQ57" s="10"/>
      <c r="UZR57" s="10"/>
      <c r="UZS57" s="10"/>
      <c r="UZT57" s="10"/>
      <c r="UZU57" s="10"/>
      <c r="UZV57" s="10"/>
      <c r="UZW57" s="10"/>
      <c r="UZX57" s="10"/>
      <c r="UZY57" s="10"/>
      <c r="UZZ57" s="10"/>
      <c r="VAA57" s="10"/>
      <c r="VAB57" s="10"/>
      <c r="VAC57" s="10"/>
      <c r="VAD57" s="10"/>
      <c r="VAE57" s="10"/>
      <c r="VAF57" s="10"/>
      <c r="VAG57" s="10"/>
      <c r="VAH57" s="10"/>
      <c r="VAI57" s="10"/>
      <c r="VAJ57" s="10"/>
      <c r="VAK57" s="10"/>
      <c r="VAL57" s="10"/>
      <c r="VAM57" s="10"/>
      <c r="VAN57" s="10"/>
      <c r="VAO57" s="10"/>
      <c r="VAP57" s="10"/>
      <c r="VAQ57" s="10"/>
      <c r="VAR57" s="10"/>
      <c r="VAS57" s="10"/>
      <c r="VAT57" s="10"/>
      <c r="VAU57" s="10"/>
      <c r="VAV57" s="10"/>
      <c r="VAW57" s="10"/>
      <c r="VAX57" s="10"/>
      <c r="VAY57" s="10"/>
      <c r="VAZ57" s="10"/>
      <c r="VBA57" s="10"/>
      <c r="VBB57" s="10"/>
      <c r="VBC57" s="10"/>
      <c r="VBD57" s="10"/>
      <c r="VBE57" s="10"/>
      <c r="VBF57" s="10"/>
      <c r="VBG57" s="10"/>
      <c r="VBH57" s="10"/>
      <c r="VBI57" s="10"/>
      <c r="VBJ57" s="10"/>
      <c r="VBK57" s="10"/>
      <c r="VBL57" s="10"/>
      <c r="VBM57" s="10"/>
      <c r="VBN57" s="10"/>
      <c r="VBO57" s="10"/>
      <c r="VBP57" s="10"/>
      <c r="VBQ57" s="10"/>
      <c r="VBR57" s="10"/>
      <c r="VBS57" s="10"/>
      <c r="VBT57" s="10"/>
      <c r="VBU57" s="10"/>
      <c r="VBV57" s="10"/>
      <c r="VBW57" s="10"/>
      <c r="VBX57" s="10"/>
      <c r="VBY57" s="10"/>
      <c r="VBZ57" s="10"/>
      <c r="VCA57" s="10"/>
      <c r="VCB57" s="10"/>
      <c r="VCC57" s="10"/>
      <c r="VCD57" s="10"/>
      <c r="VCE57" s="10"/>
      <c r="VCF57" s="10"/>
      <c r="VCG57" s="10"/>
      <c r="VCH57" s="10"/>
      <c r="VCI57" s="10"/>
      <c r="VCJ57" s="10"/>
      <c r="VCK57" s="10"/>
      <c r="VCL57" s="10"/>
      <c r="VCM57" s="10"/>
      <c r="VCN57" s="10"/>
      <c r="VCO57" s="10"/>
      <c r="VCP57" s="10"/>
      <c r="VCQ57" s="10"/>
      <c r="VCR57" s="10"/>
      <c r="VCS57" s="10"/>
      <c r="VCT57" s="10"/>
      <c r="VCU57" s="10"/>
      <c r="VCV57" s="10"/>
      <c r="VCW57" s="10"/>
      <c r="VCX57" s="10"/>
      <c r="VCY57" s="10"/>
      <c r="VCZ57" s="10"/>
      <c r="VDA57" s="10"/>
      <c r="VDB57" s="10"/>
      <c r="VDC57" s="10"/>
      <c r="VDD57" s="10"/>
      <c r="VDE57" s="10"/>
      <c r="VDF57" s="10"/>
      <c r="VDG57" s="10"/>
      <c r="VDH57" s="10"/>
      <c r="VDI57" s="10"/>
      <c r="VDJ57" s="10"/>
      <c r="VDK57" s="10"/>
      <c r="VDL57" s="10"/>
      <c r="VDM57" s="10"/>
      <c r="VDN57" s="10"/>
      <c r="VDO57" s="10"/>
      <c r="VDP57" s="10"/>
      <c r="VDQ57" s="10"/>
      <c r="VDR57" s="10"/>
      <c r="VDS57" s="10"/>
      <c r="VDT57" s="10"/>
      <c r="VDU57" s="10"/>
      <c r="VDV57" s="10"/>
      <c r="VDW57" s="10"/>
      <c r="VDX57" s="10"/>
      <c r="VDY57" s="10"/>
      <c r="VDZ57" s="10"/>
      <c r="VEA57" s="10"/>
      <c r="VEB57" s="10"/>
      <c r="VEC57" s="10"/>
      <c r="VED57" s="10"/>
      <c r="VEE57" s="10"/>
      <c r="VEF57" s="10"/>
      <c r="VEG57" s="10"/>
      <c r="VEH57" s="10"/>
      <c r="VEI57" s="10"/>
      <c r="VEJ57" s="10"/>
      <c r="VEK57" s="10"/>
      <c r="VEL57" s="10"/>
      <c r="VEM57" s="10"/>
      <c r="VEN57" s="10"/>
      <c r="VEO57" s="10"/>
      <c r="VEP57" s="10"/>
      <c r="VEQ57" s="10"/>
      <c r="VER57" s="10"/>
      <c r="VES57" s="10"/>
      <c r="VET57" s="10"/>
      <c r="VEU57" s="10"/>
      <c r="VEV57" s="10"/>
      <c r="VEW57" s="10"/>
      <c r="VEX57" s="10"/>
      <c r="VEY57" s="10"/>
      <c r="VEZ57" s="10"/>
      <c r="VFA57" s="10"/>
      <c r="VFB57" s="10"/>
      <c r="VFC57" s="10"/>
      <c r="VFD57" s="10"/>
      <c r="VFE57" s="10"/>
      <c r="VFF57" s="10"/>
      <c r="VFG57" s="10"/>
      <c r="VFH57" s="10"/>
      <c r="VFI57" s="10"/>
      <c r="VFJ57" s="10"/>
      <c r="VFK57" s="10"/>
      <c r="VFL57" s="10"/>
      <c r="VFM57" s="10"/>
      <c r="VFN57" s="10"/>
      <c r="VFO57" s="10"/>
      <c r="VFP57" s="10"/>
      <c r="VFQ57" s="10"/>
      <c r="VFR57" s="10"/>
      <c r="VFS57" s="10"/>
      <c r="VFT57" s="10"/>
      <c r="VFU57" s="10"/>
      <c r="VFV57" s="10"/>
      <c r="VFW57" s="10"/>
      <c r="VFX57" s="10"/>
      <c r="VFY57" s="10"/>
      <c r="VFZ57" s="10"/>
      <c r="VGA57" s="10"/>
      <c r="VGB57" s="10"/>
      <c r="VGC57" s="10"/>
      <c r="VGD57" s="10"/>
      <c r="VGE57" s="10"/>
      <c r="VGF57" s="10"/>
      <c r="VGG57" s="10"/>
      <c r="VGH57" s="10"/>
      <c r="VGI57" s="10"/>
      <c r="VGJ57" s="10"/>
      <c r="VGK57" s="10"/>
      <c r="VGL57" s="10"/>
      <c r="VGM57" s="10"/>
      <c r="VGN57" s="10"/>
      <c r="VGO57" s="10"/>
      <c r="VGP57" s="10"/>
      <c r="VGQ57" s="10"/>
      <c r="VGR57" s="10"/>
      <c r="VGS57" s="10"/>
      <c r="VGT57" s="10"/>
      <c r="VGU57" s="10"/>
      <c r="VGV57" s="10"/>
      <c r="VGW57" s="10"/>
      <c r="VGX57" s="10"/>
      <c r="VGY57" s="10"/>
      <c r="VGZ57" s="10"/>
      <c r="VHA57" s="10"/>
      <c r="VHB57" s="10"/>
      <c r="VHC57" s="10"/>
      <c r="VHD57" s="10"/>
      <c r="VHE57" s="10"/>
      <c r="VHF57" s="10"/>
      <c r="VHG57" s="10"/>
      <c r="VHH57" s="10"/>
      <c r="VHI57" s="10"/>
      <c r="VHJ57" s="10"/>
      <c r="VHK57" s="10"/>
      <c r="VHL57" s="10"/>
      <c r="VHM57" s="10"/>
      <c r="VHN57" s="10"/>
      <c r="VHO57" s="10"/>
      <c r="VHP57" s="10"/>
      <c r="VHQ57" s="10"/>
      <c r="VHR57" s="10"/>
      <c r="VHS57" s="10"/>
      <c r="VHT57" s="10"/>
      <c r="VHU57" s="10"/>
      <c r="VHV57" s="10"/>
      <c r="VHW57" s="10"/>
      <c r="VHX57" s="10"/>
      <c r="VHY57" s="10"/>
      <c r="VHZ57" s="10"/>
      <c r="VIA57" s="10"/>
      <c r="VIB57" s="10"/>
      <c r="VIC57" s="10"/>
      <c r="VID57" s="10"/>
      <c r="VIE57" s="10"/>
      <c r="VIF57" s="10"/>
      <c r="VIG57" s="10"/>
      <c r="VIH57" s="10"/>
      <c r="VII57" s="10"/>
      <c r="VIJ57" s="10"/>
      <c r="VIK57" s="10"/>
      <c r="VIL57" s="10"/>
      <c r="VIM57" s="10"/>
      <c r="VIN57" s="10"/>
      <c r="VIO57" s="10"/>
      <c r="VIP57" s="10"/>
      <c r="VIQ57" s="10"/>
      <c r="VIR57" s="10"/>
      <c r="VIS57" s="10"/>
      <c r="VIT57" s="10"/>
      <c r="VIU57" s="10"/>
      <c r="VIV57" s="10"/>
      <c r="VIW57" s="10"/>
      <c r="VIX57" s="10"/>
      <c r="VIY57" s="10"/>
      <c r="VIZ57" s="10"/>
      <c r="VJA57" s="10"/>
      <c r="VJB57" s="10"/>
      <c r="VJC57" s="10"/>
      <c r="VJD57" s="10"/>
      <c r="VJE57" s="10"/>
      <c r="VJF57" s="10"/>
      <c r="VJG57" s="10"/>
      <c r="VJH57" s="10"/>
      <c r="VJI57" s="10"/>
      <c r="VJJ57" s="10"/>
      <c r="VJK57" s="10"/>
      <c r="VJL57" s="10"/>
      <c r="VJM57" s="10"/>
      <c r="VJN57" s="10"/>
      <c r="VJO57" s="10"/>
      <c r="VJP57" s="10"/>
      <c r="VJQ57" s="10"/>
      <c r="VJR57" s="10"/>
      <c r="VJS57" s="10"/>
      <c r="VJT57" s="10"/>
      <c r="VJU57" s="10"/>
      <c r="VJV57" s="10"/>
      <c r="VJW57" s="10"/>
      <c r="VJX57" s="10"/>
      <c r="VJY57" s="10"/>
      <c r="VJZ57" s="10"/>
      <c r="VKA57" s="10"/>
      <c r="VKB57" s="10"/>
      <c r="VKC57" s="10"/>
      <c r="VKD57" s="10"/>
      <c r="VKE57" s="10"/>
      <c r="VKF57" s="10"/>
      <c r="VKG57" s="10"/>
      <c r="VKH57" s="10"/>
      <c r="VKI57" s="10"/>
      <c r="VKJ57" s="10"/>
      <c r="VKK57" s="10"/>
      <c r="VKL57" s="10"/>
      <c r="VKM57" s="10"/>
      <c r="VKN57" s="10"/>
      <c r="VKO57" s="10"/>
      <c r="VKP57" s="10"/>
      <c r="VKQ57" s="10"/>
      <c r="VKR57" s="10"/>
      <c r="VKS57" s="10"/>
      <c r="VKT57" s="10"/>
      <c r="VKU57" s="10"/>
      <c r="VKV57" s="10"/>
      <c r="VKW57" s="10"/>
      <c r="VKX57" s="10"/>
      <c r="VKY57" s="10"/>
      <c r="VKZ57" s="10"/>
      <c r="VLA57" s="10"/>
      <c r="VLB57" s="10"/>
      <c r="VLC57" s="10"/>
      <c r="VLD57" s="10"/>
      <c r="VLE57" s="10"/>
      <c r="VLF57" s="10"/>
      <c r="VLG57" s="10"/>
      <c r="VLH57" s="10"/>
      <c r="VLI57" s="10"/>
      <c r="VLJ57" s="10"/>
      <c r="VLK57" s="10"/>
      <c r="VLL57" s="10"/>
      <c r="VLM57" s="10"/>
      <c r="VLN57" s="10"/>
      <c r="VLO57" s="10"/>
      <c r="VLP57" s="10"/>
      <c r="VLQ57" s="10"/>
      <c r="VLR57" s="10"/>
      <c r="VLS57" s="10"/>
      <c r="VLT57" s="10"/>
      <c r="VLU57" s="10"/>
      <c r="VLV57" s="10"/>
      <c r="VLW57" s="10"/>
      <c r="VLX57" s="10"/>
      <c r="VLY57" s="10"/>
      <c r="VLZ57" s="10"/>
      <c r="VMA57" s="10"/>
      <c r="VMB57" s="10"/>
      <c r="VMC57" s="10"/>
      <c r="VMD57" s="10"/>
      <c r="VME57" s="10"/>
      <c r="VMF57" s="10"/>
      <c r="VMG57" s="10"/>
      <c r="VMH57" s="10"/>
      <c r="VMI57" s="10"/>
      <c r="VMJ57" s="10"/>
      <c r="VMK57" s="10"/>
      <c r="VML57" s="10"/>
      <c r="VMM57" s="10"/>
      <c r="VMN57" s="10"/>
      <c r="VMO57" s="10"/>
      <c r="VMP57" s="10"/>
      <c r="VMQ57" s="10"/>
      <c r="VMR57" s="10"/>
      <c r="VMS57" s="10"/>
      <c r="VMT57" s="10"/>
      <c r="VMU57" s="10"/>
      <c r="VMV57" s="10"/>
      <c r="VMW57" s="10"/>
      <c r="VMX57" s="10"/>
      <c r="VMY57" s="10"/>
      <c r="VMZ57" s="10"/>
      <c r="VNA57" s="10"/>
      <c r="VNB57" s="10"/>
      <c r="VNC57" s="10"/>
      <c r="VND57" s="10"/>
      <c r="VNE57" s="10"/>
      <c r="VNF57" s="10"/>
      <c r="VNG57" s="10"/>
      <c r="VNH57" s="10"/>
      <c r="VNI57" s="10"/>
      <c r="VNJ57" s="10"/>
      <c r="VNK57" s="10"/>
      <c r="VNL57" s="10"/>
      <c r="VNM57" s="10"/>
      <c r="VNN57" s="10"/>
      <c r="VNO57" s="10"/>
      <c r="VNP57" s="10"/>
      <c r="VNQ57" s="10"/>
      <c r="VNR57" s="10"/>
      <c r="VNS57" s="10"/>
      <c r="VNT57" s="10"/>
      <c r="VNU57" s="10"/>
      <c r="VNV57" s="10"/>
      <c r="VNW57" s="10"/>
      <c r="VNX57" s="10"/>
      <c r="VNY57" s="10"/>
      <c r="VNZ57" s="10"/>
      <c r="VOA57" s="10"/>
      <c r="VOB57" s="10"/>
      <c r="VOC57" s="10"/>
      <c r="VOD57" s="10"/>
      <c r="VOE57" s="10"/>
      <c r="VOF57" s="10"/>
      <c r="VOG57" s="10"/>
      <c r="VOH57" s="10"/>
      <c r="VOI57" s="10"/>
      <c r="VOJ57" s="10"/>
      <c r="VOK57" s="10"/>
      <c r="VOL57" s="10"/>
      <c r="VOM57" s="10"/>
      <c r="VON57" s="10"/>
      <c r="VOO57" s="10"/>
      <c r="VOP57" s="10"/>
      <c r="VOQ57" s="10"/>
      <c r="VOR57" s="10"/>
      <c r="VOS57" s="10"/>
      <c r="VOT57" s="10"/>
      <c r="VOU57" s="10"/>
      <c r="VOV57" s="10"/>
      <c r="VOW57" s="10"/>
      <c r="VOX57" s="10"/>
      <c r="VOY57" s="10"/>
      <c r="VOZ57" s="10"/>
      <c r="VPA57" s="10"/>
      <c r="VPB57" s="10"/>
      <c r="VPC57" s="10"/>
      <c r="VPD57" s="10"/>
      <c r="VPE57" s="10"/>
      <c r="VPF57" s="10"/>
      <c r="VPG57" s="10"/>
      <c r="VPH57" s="10"/>
      <c r="VPI57" s="10"/>
      <c r="VPJ57" s="10"/>
      <c r="VPK57" s="10"/>
      <c r="VPL57" s="10"/>
      <c r="VPM57" s="10"/>
      <c r="VPN57" s="10"/>
      <c r="VPO57" s="10"/>
      <c r="VPP57" s="10"/>
      <c r="VPQ57" s="10"/>
      <c r="VPR57" s="10"/>
      <c r="VPS57" s="10"/>
      <c r="VPT57" s="10"/>
      <c r="VPU57" s="10"/>
      <c r="VPV57" s="10"/>
      <c r="VPW57" s="10"/>
      <c r="VPX57" s="10"/>
      <c r="VPY57" s="10"/>
      <c r="VPZ57" s="10"/>
      <c r="VQA57" s="10"/>
      <c r="VQB57" s="10"/>
      <c r="VQC57" s="10"/>
      <c r="VQD57" s="10"/>
      <c r="VQE57" s="10"/>
      <c r="VQF57" s="10"/>
      <c r="VQG57" s="10"/>
      <c r="VQH57" s="10"/>
      <c r="VQI57" s="10"/>
      <c r="VQJ57" s="10"/>
      <c r="VQK57" s="10"/>
      <c r="VQL57" s="10"/>
      <c r="VQM57" s="10"/>
      <c r="VQN57" s="10"/>
      <c r="VQO57" s="10"/>
      <c r="VQP57" s="10"/>
      <c r="VQQ57" s="10"/>
      <c r="VQR57" s="10"/>
      <c r="VQS57" s="10"/>
      <c r="VQT57" s="10"/>
      <c r="VQU57" s="10"/>
      <c r="VQV57" s="10"/>
      <c r="VQW57" s="10"/>
      <c r="VQX57" s="10"/>
      <c r="VQY57" s="10"/>
      <c r="VQZ57" s="10"/>
      <c r="VRA57" s="10"/>
      <c r="VRB57" s="10"/>
      <c r="VRC57" s="10"/>
      <c r="VRD57" s="10"/>
      <c r="VRE57" s="10"/>
      <c r="VRF57" s="10"/>
      <c r="VRG57" s="10"/>
      <c r="VRH57" s="10"/>
      <c r="VRI57" s="10"/>
      <c r="VRJ57" s="10"/>
      <c r="VRK57" s="10"/>
      <c r="VRL57" s="10"/>
      <c r="VRM57" s="10"/>
      <c r="VRN57" s="10"/>
      <c r="VRO57" s="10"/>
      <c r="VRP57" s="10"/>
      <c r="VRQ57" s="10"/>
      <c r="VRR57" s="10"/>
      <c r="VRS57" s="10"/>
      <c r="VRT57" s="10"/>
      <c r="VRU57" s="10"/>
      <c r="VRV57" s="10"/>
      <c r="VRW57" s="10"/>
      <c r="VRX57" s="10"/>
      <c r="VRY57" s="10"/>
      <c r="VRZ57" s="10"/>
      <c r="VSA57" s="10"/>
      <c r="VSB57" s="10"/>
      <c r="VSC57" s="10"/>
      <c r="VSD57" s="10"/>
      <c r="VSE57" s="10"/>
      <c r="VSF57" s="10"/>
      <c r="VSG57" s="10"/>
      <c r="VSH57" s="10"/>
      <c r="VSI57" s="10"/>
      <c r="VSJ57" s="10"/>
      <c r="VSK57" s="10"/>
      <c r="VSL57" s="10"/>
      <c r="VSM57" s="10"/>
      <c r="VSN57" s="10"/>
      <c r="VSO57" s="10"/>
      <c r="VSP57" s="10"/>
      <c r="VSQ57" s="10"/>
      <c r="VSR57" s="10"/>
      <c r="VSS57" s="10"/>
      <c r="VST57" s="10"/>
      <c r="VSU57" s="10"/>
      <c r="VSV57" s="10"/>
      <c r="VSW57" s="10"/>
      <c r="VSX57" s="10"/>
      <c r="VSY57" s="10"/>
      <c r="VSZ57" s="10"/>
      <c r="VTA57" s="10"/>
      <c r="VTB57" s="10"/>
      <c r="VTC57" s="10"/>
      <c r="VTD57" s="10"/>
      <c r="VTE57" s="10"/>
      <c r="VTF57" s="10"/>
      <c r="VTG57" s="10"/>
      <c r="VTH57" s="10"/>
      <c r="VTI57" s="10"/>
      <c r="VTJ57" s="10"/>
      <c r="VTK57" s="10"/>
      <c r="VTL57" s="10"/>
      <c r="VTM57" s="10"/>
      <c r="VTN57" s="10"/>
      <c r="VTO57" s="10"/>
      <c r="VTP57" s="10"/>
      <c r="VTQ57" s="10"/>
      <c r="VTR57" s="10"/>
      <c r="VTS57" s="10"/>
      <c r="VTT57" s="10"/>
      <c r="VTU57" s="10"/>
      <c r="VTV57" s="10"/>
      <c r="VTW57" s="10"/>
      <c r="VTX57" s="10"/>
      <c r="VTY57" s="10"/>
      <c r="VTZ57" s="10"/>
      <c r="VUA57" s="10"/>
      <c r="VUB57" s="10"/>
      <c r="VUC57" s="10"/>
      <c r="VUD57" s="10"/>
      <c r="VUE57" s="10"/>
      <c r="VUF57" s="10"/>
      <c r="VUG57" s="10"/>
      <c r="VUH57" s="10"/>
      <c r="VUI57" s="10"/>
      <c r="VUJ57" s="10"/>
      <c r="VUK57" s="10"/>
      <c r="VUL57" s="10"/>
      <c r="VUM57" s="10"/>
      <c r="VUN57" s="10"/>
      <c r="VUO57" s="10"/>
      <c r="VUP57" s="10"/>
      <c r="VUQ57" s="10"/>
      <c r="VUR57" s="10"/>
      <c r="VUS57" s="10"/>
      <c r="VUT57" s="10"/>
      <c r="VUU57" s="10"/>
      <c r="VUV57" s="10"/>
      <c r="VUW57" s="10"/>
      <c r="VUX57" s="10"/>
      <c r="VUY57" s="10"/>
      <c r="VUZ57" s="10"/>
      <c r="VVA57" s="10"/>
      <c r="VVB57" s="10"/>
      <c r="VVC57" s="10"/>
      <c r="VVD57" s="10"/>
      <c r="VVE57" s="10"/>
      <c r="VVF57" s="10"/>
      <c r="VVG57" s="10"/>
      <c r="VVH57" s="10"/>
      <c r="VVI57" s="10"/>
      <c r="VVJ57" s="10"/>
      <c r="VVK57" s="10"/>
      <c r="VVL57" s="10"/>
      <c r="VVM57" s="10"/>
      <c r="VVN57" s="10"/>
      <c r="VVO57" s="10"/>
      <c r="VVP57" s="10"/>
      <c r="VVQ57" s="10"/>
      <c r="VVR57" s="10"/>
      <c r="VVS57" s="10"/>
      <c r="VVT57" s="10"/>
      <c r="VVU57" s="10"/>
      <c r="VVV57" s="10"/>
      <c r="VVW57" s="10"/>
      <c r="VVX57" s="10"/>
      <c r="VVY57" s="10"/>
      <c r="VVZ57" s="10"/>
      <c r="VWA57" s="10"/>
      <c r="VWB57" s="10"/>
      <c r="VWC57" s="10"/>
      <c r="VWD57" s="10"/>
      <c r="VWE57" s="10"/>
      <c r="VWF57" s="10"/>
      <c r="VWG57" s="10"/>
      <c r="VWH57" s="10"/>
      <c r="VWI57" s="10"/>
      <c r="VWJ57" s="10"/>
      <c r="VWK57" s="10"/>
      <c r="VWL57" s="10"/>
      <c r="VWM57" s="10"/>
      <c r="VWN57" s="10"/>
      <c r="VWO57" s="10"/>
      <c r="VWP57" s="10"/>
      <c r="VWQ57" s="10"/>
      <c r="VWR57" s="10"/>
      <c r="VWS57" s="10"/>
      <c r="VWT57" s="10"/>
      <c r="VWU57" s="10"/>
      <c r="VWV57" s="10"/>
      <c r="VWW57" s="10"/>
      <c r="VWX57" s="10"/>
      <c r="VWY57" s="10"/>
      <c r="VWZ57" s="10"/>
      <c r="VXA57" s="10"/>
      <c r="VXB57" s="10"/>
      <c r="VXC57" s="10"/>
      <c r="VXD57" s="10"/>
      <c r="VXE57" s="10"/>
      <c r="VXF57" s="10"/>
      <c r="VXG57" s="10"/>
      <c r="VXH57" s="10"/>
      <c r="VXI57" s="10"/>
      <c r="VXJ57" s="10"/>
      <c r="VXK57" s="10"/>
      <c r="VXL57" s="10"/>
      <c r="VXM57" s="10"/>
      <c r="VXN57" s="10"/>
      <c r="VXO57" s="10"/>
      <c r="VXP57" s="10"/>
      <c r="VXQ57" s="10"/>
      <c r="VXR57" s="10"/>
      <c r="VXS57" s="10"/>
      <c r="VXT57" s="10"/>
      <c r="VXU57" s="10"/>
      <c r="VXV57" s="10"/>
      <c r="VXW57" s="10"/>
      <c r="VXX57" s="10"/>
      <c r="VXY57" s="10"/>
      <c r="VXZ57" s="10"/>
      <c r="VYA57" s="10"/>
      <c r="VYB57" s="10"/>
      <c r="VYC57" s="10"/>
      <c r="VYD57" s="10"/>
      <c r="VYE57" s="10"/>
      <c r="VYF57" s="10"/>
      <c r="VYG57" s="10"/>
      <c r="VYH57" s="10"/>
      <c r="VYI57" s="10"/>
      <c r="VYJ57" s="10"/>
      <c r="VYK57" s="10"/>
      <c r="VYL57" s="10"/>
      <c r="VYM57" s="10"/>
      <c r="VYN57" s="10"/>
      <c r="VYO57" s="10"/>
      <c r="VYP57" s="10"/>
      <c r="VYQ57" s="10"/>
      <c r="VYR57" s="10"/>
      <c r="VYS57" s="10"/>
      <c r="VYT57" s="10"/>
      <c r="VYU57" s="10"/>
      <c r="VYV57" s="10"/>
      <c r="VYW57" s="10"/>
      <c r="VYX57" s="10"/>
      <c r="VYY57" s="10"/>
      <c r="VYZ57" s="10"/>
      <c r="VZA57" s="10"/>
      <c r="VZB57" s="10"/>
      <c r="VZC57" s="10"/>
      <c r="VZD57" s="10"/>
      <c r="VZE57" s="10"/>
      <c r="VZF57" s="10"/>
      <c r="VZG57" s="10"/>
      <c r="VZH57" s="10"/>
      <c r="VZI57" s="10"/>
      <c r="VZJ57" s="10"/>
      <c r="VZK57" s="10"/>
      <c r="VZL57" s="10"/>
      <c r="VZM57" s="10"/>
      <c r="VZN57" s="10"/>
      <c r="VZO57" s="10"/>
      <c r="VZP57" s="10"/>
      <c r="VZQ57" s="10"/>
      <c r="VZR57" s="10"/>
      <c r="VZS57" s="10"/>
      <c r="VZT57" s="10"/>
      <c r="VZU57" s="10"/>
      <c r="VZV57" s="10"/>
      <c r="VZW57" s="10"/>
      <c r="VZX57" s="10"/>
      <c r="VZY57" s="10"/>
      <c r="VZZ57" s="10"/>
      <c r="WAA57" s="10"/>
      <c r="WAB57" s="10"/>
      <c r="WAC57" s="10"/>
      <c r="WAD57" s="10"/>
      <c r="WAE57" s="10"/>
      <c r="WAF57" s="10"/>
      <c r="WAG57" s="10"/>
      <c r="WAH57" s="10"/>
      <c r="WAI57" s="10"/>
      <c r="WAJ57" s="10"/>
      <c r="WAK57" s="10"/>
      <c r="WAL57" s="10"/>
      <c r="WAM57" s="10"/>
      <c r="WAN57" s="10"/>
      <c r="WAO57" s="10"/>
      <c r="WAP57" s="10"/>
      <c r="WAQ57" s="10"/>
      <c r="WAR57" s="10"/>
      <c r="WAS57" s="10"/>
      <c r="WAT57" s="10"/>
      <c r="WAU57" s="10"/>
      <c r="WAV57" s="10"/>
      <c r="WAW57" s="10"/>
      <c r="WAX57" s="10"/>
      <c r="WAY57" s="10"/>
      <c r="WAZ57" s="10"/>
      <c r="WBA57" s="10"/>
      <c r="WBB57" s="10"/>
      <c r="WBC57" s="10"/>
      <c r="WBD57" s="10"/>
      <c r="WBE57" s="10"/>
      <c r="WBF57" s="10"/>
      <c r="WBG57" s="10"/>
      <c r="WBH57" s="10"/>
      <c r="WBI57" s="10"/>
      <c r="WBJ57" s="10"/>
      <c r="WBK57" s="10"/>
      <c r="WBL57" s="10"/>
      <c r="WBM57" s="10"/>
      <c r="WBN57" s="10"/>
      <c r="WBO57" s="10"/>
      <c r="WBP57" s="10"/>
      <c r="WBQ57" s="10"/>
      <c r="WBR57" s="10"/>
      <c r="WBS57" s="10"/>
      <c r="WBT57" s="10"/>
      <c r="WBU57" s="10"/>
      <c r="WBV57" s="10"/>
      <c r="WBW57" s="10"/>
      <c r="WBX57" s="10"/>
      <c r="WBY57" s="10"/>
      <c r="WBZ57" s="10"/>
      <c r="WCA57" s="10"/>
      <c r="WCB57" s="10"/>
      <c r="WCC57" s="10"/>
      <c r="WCD57" s="10"/>
      <c r="WCE57" s="10"/>
      <c r="WCF57" s="10"/>
      <c r="WCG57" s="10"/>
      <c r="WCH57" s="10"/>
      <c r="WCI57" s="10"/>
      <c r="WCJ57" s="10"/>
      <c r="WCK57" s="10"/>
      <c r="WCL57" s="10"/>
      <c r="WCM57" s="10"/>
      <c r="WCN57" s="10"/>
      <c r="WCO57" s="10"/>
      <c r="WCP57" s="10"/>
      <c r="WCQ57" s="10"/>
      <c r="WCR57" s="10"/>
      <c r="WCS57" s="10"/>
      <c r="WCT57" s="10"/>
      <c r="WCU57" s="10"/>
      <c r="WCV57" s="10"/>
      <c r="WCW57" s="10"/>
      <c r="WCX57" s="10"/>
      <c r="WCY57" s="10"/>
      <c r="WCZ57" s="10"/>
      <c r="WDA57" s="10"/>
      <c r="WDB57" s="10"/>
      <c r="WDC57" s="10"/>
      <c r="WDD57" s="10"/>
      <c r="WDE57" s="10"/>
      <c r="WDF57" s="10"/>
      <c r="WDG57" s="10"/>
      <c r="WDH57" s="10"/>
      <c r="WDI57" s="10"/>
      <c r="WDJ57" s="10"/>
      <c r="WDK57" s="10"/>
      <c r="WDL57" s="10"/>
      <c r="WDM57" s="10"/>
      <c r="WDN57" s="10"/>
      <c r="WDO57" s="10"/>
      <c r="WDP57" s="10"/>
      <c r="WDQ57" s="10"/>
      <c r="WDR57" s="10"/>
      <c r="WDS57" s="10"/>
      <c r="WDT57" s="10"/>
      <c r="WDU57" s="10"/>
      <c r="WDV57" s="10"/>
      <c r="WDW57" s="10"/>
      <c r="WDX57" s="10"/>
      <c r="WDY57" s="10"/>
      <c r="WDZ57" s="10"/>
      <c r="WEA57" s="10"/>
      <c r="WEB57" s="10"/>
      <c r="WEC57" s="10"/>
      <c r="WED57" s="10"/>
      <c r="WEE57" s="10"/>
      <c r="WEF57" s="10"/>
      <c r="WEG57" s="10"/>
      <c r="WEH57" s="10"/>
      <c r="WEI57" s="10"/>
      <c r="WEJ57" s="10"/>
      <c r="WEK57" s="10"/>
      <c r="WEL57" s="10"/>
      <c r="WEM57" s="10"/>
      <c r="WEN57" s="10"/>
      <c r="WEO57" s="10"/>
      <c r="WEP57" s="10"/>
      <c r="WEQ57" s="10"/>
      <c r="WER57" s="10"/>
      <c r="WES57" s="10"/>
      <c r="WET57" s="10"/>
      <c r="WEU57" s="10"/>
      <c r="WEV57" s="10"/>
      <c r="WEW57" s="10"/>
      <c r="WEX57" s="10"/>
      <c r="WEY57" s="10"/>
      <c r="WEZ57" s="10"/>
      <c r="WFA57" s="10"/>
      <c r="WFB57" s="10"/>
      <c r="WFC57" s="10"/>
      <c r="WFD57" s="10"/>
      <c r="WFE57" s="10"/>
      <c r="WFF57" s="10"/>
      <c r="WFG57" s="10"/>
      <c r="WFH57" s="10"/>
      <c r="WFI57" s="10"/>
      <c r="WFJ57" s="10"/>
      <c r="WFK57" s="10"/>
      <c r="WFL57" s="10"/>
      <c r="WFM57" s="10"/>
      <c r="WFN57" s="10"/>
      <c r="WFO57" s="10"/>
      <c r="WFP57" s="10"/>
      <c r="WFQ57" s="10"/>
      <c r="WFR57" s="10"/>
      <c r="WFS57" s="10"/>
      <c r="WFT57" s="10"/>
      <c r="WFU57" s="10"/>
      <c r="WFV57" s="10"/>
      <c r="WFW57" s="10"/>
      <c r="WFX57" s="10"/>
      <c r="WFY57" s="10"/>
      <c r="WFZ57" s="10"/>
      <c r="WGA57" s="10"/>
      <c r="WGB57" s="10"/>
      <c r="WGC57" s="10"/>
      <c r="WGD57" s="10"/>
      <c r="WGE57" s="10"/>
      <c r="WGF57" s="10"/>
      <c r="WGG57" s="10"/>
      <c r="WGH57" s="10"/>
      <c r="WGI57" s="10"/>
      <c r="WGJ57" s="10"/>
      <c r="WGK57" s="10"/>
      <c r="WGL57" s="10"/>
      <c r="WGM57" s="10"/>
      <c r="WGN57" s="10"/>
      <c r="WGO57" s="10"/>
      <c r="WGP57" s="10"/>
      <c r="WGQ57" s="10"/>
      <c r="WGR57" s="10"/>
      <c r="WGS57" s="10"/>
      <c r="WGT57" s="10"/>
      <c r="WGU57" s="10"/>
      <c r="WGV57" s="10"/>
      <c r="WGW57" s="10"/>
      <c r="WGX57" s="10"/>
      <c r="WGY57" s="10"/>
      <c r="WGZ57" s="10"/>
      <c r="WHA57" s="10"/>
      <c r="WHB57" s="10"/>
      <c r="WHC57" s="10"/>
      <c r="WHD57" s="10"/>
      <c r="WHE57" s="10"/>
      <c r="WHF57" s="10"/>
      <c r="WHG57" s="10"/>
      <c r="WHH57" s="10"/>
      <c r="WHI57" s="10"/>
      <c r="WHJ57" s="10"/>
      <c r="WHK57" s="10"/>
      <c r="WHL57" s="10"/>
      <c r="WHM57" s="10"/>
      <c r="WHN57" s="10"/>
      <c r="WHO57" s="10"/>
      <c r="WHP57" s="10"/>
      <c r="WHQ57" s="10"/>
      <c r="WHR57" s="10"/>
      <c r="WHS57" s="10"/>
      <c r="WHT57" s="10"/>
      <c r="WHU57" s="10"/>
      <c r="WHV57" s="10"/>
      <c r="WHW57" s="10"/>
      <c r="WHX57" s="10"/>
      <c r="WHY57" s="10"/>
      <c r="WHZ57" s="10"/>
      <c r="WIA57" s="10"/>
      <c r="WIB57" s="10"/>
      <c r="WIC57" s="10"/>
      <c r="WID57" s="10"/>
      <c r="WIE57" s="10"/>
      <c r="WIF57" s="10"/>
      <c r="WIG57" s="10"/>
      <c r="WIH57" s="10"/>
      <c r="WII57" s="10"/>
      <c r="WIJ57" s="10"/>
      <c r="WIK57" s="10"/>
      <c r="WIL57" s="10"/>
      <c r="WIM57" s="10"/>
      <c r="WIN57" s="10"/>
      <c r="WIO57" s="10"/>
      <c r="WIP57" s="10"/>
      <c r="WIQ57" s="10"/>
      <c r="WIR57" s="10"/>
      <c r="WIS57" s="10"/>
      <c r="WIT57" s="10"/>
      <c r="WIU57" s="10"/>
      <c r="WIV57" s="10"/>
      <c r="WIW57" s="10"/>
      <c r="WIX57" s="10"/>
      <c r="WIY57" s="10"/>
      <c r="WIZ57" s="10"/>
      <c r="WJA57" s="10"/>
      <c r="WJB57" s="10"/>
      <c r="WJC57" s="10"/>
      <c r="WJD57" s="10"/>
      <c r="WJE57" s="10"/>
      <c r="WJF57" s="10"/>
      <c r="WJG57" s="10"/>
      <c r="WJH57" s="10"/>
      <c r="WJI57" s="10"/>
      <c r="WJJ57" s="10"/>
      <c r="WJK57" s="10"/>
      <c r="WJL57" s="10"/>
      <c r="WJM57" s="10"/>
      <c r="WJN57" s="10"/>
      <c r="WJO57" s="10"/>
      <c r="WJP57" s="10"/>
      <c r="WJQ57" s="10"/>
      <c r="WJR57" s="10"/>
      <c r="WJS57" s="10"/>
      <c r="WJT57" s="10"/>
      <c r="WJU57" s="10"/>
      <c r="WJV57" s="10"/>
      <c r="WJW57" s="10"/>
      <c r="WJX57" s="10"/>
      <c r="WJY57" s="10"/>
      <c r="WJZ57" s="10"/>
      <c r="WKA57" s="10"/>
      <c r="WKB57" s="10"/>
      <c r="WKC57" s="10"/>
      <c r="WKD57" s="10"/>
      <c r="WKE57" s="10"/>
      <c r="WKF57" s="10"/>
      <c r="WKG57" s="10"/>
      <c r="WKH57" s="10"/>
      <c r="WKI57" s="10"/>
      <c r="WKJ57" s="10"/>
      <c r="WKK57" s="10"/>
      <c r="WKL57" s="10"/>
      <c r="WKM57" s="10"/>
      <c r="WKN57" s="10"/>
      <c r="WKO57" s="10"/>
      <c r="WKP57" s="10"/>
      <c r="WKQ57" s="10"/>
      <c r="WKR57" s="10"/>
      <c r="WKS57" s="10"/>
      <c r="WKT57" s="10"/>
      <c r="WKU57" s="10"/>
      <c r="WKV57" s="10"/>
      <c r="WKW57" s="10"/>
      <c r="WKX57" s="10"/>
      <c r="WKY57" s="10"/>
      <c r="WKZ57" s="10"/>
      <c r="WLA57" s="10"/>
      <c r="WLB57" s="10"/>
      <c r="WLC57" s="10"/>
      <c r="WLD57" s="10"/>
      <c r="WLE57" s="10"/>
      <c r="WLF57" s="10"/>
      <c r="WLG57" s="10"/>
      <c r="WLH57" s="10"/>
      <c r="WLI57" s="10"/>
      <c r="WLJ57" s="10"/>
      <c r="WLK57" s="10"/>
      <c r="WLL57" s="10"/>
      <c r="WLM57" s="10"/>
      <c r="WLN57" s="10"/>
      <c r="WLO57" s="10"/>
      <c r="WLP57" s="10"/>
      <c r="WLQ57" s="10"/>
      <c r="WLR57" s="10"/>
      <c r="WLS57" s="10"/>
      <c r="WLT57" s="10"/>
      <c r="WLU57" s="10"/>
      <c r="WLV57" s="10"/>
      <c r="WLW57" s="10"/>
      <c r="WLX57" s="10"/>
      <c r="WLY57" s="10"/>
      <c r="WLZ57" s="10"/>
      <c r="WMA57" s="10"/>
      <c r="WMB57" s="10"/>
      <c r="WMC57" s="10"/>
      <c r="WMD57" s="10"/>
      <c r="WME57" s="10"/>
      <c r="WMF57" s="10"/>
      <c r="WMG57" s="10"/>
      <c r="WMH57" s="10"/>
      <c r="WMI57" s="10"/>
      <c r="WMJ57" s="10"/>
      <c r="WMK57" s="10"/>
      <c r="WML57" s="10"/>
      <c r="WMM57" s="10"/>
      <c r="WMN57" s="10"/>
      <c r="WMO57" s="10"/>
      <c r="WMP57" s="10"/>
      <c r="WMQ57" s="10"/>
      <c r="WMR57" s="10"/>
      <c r="WMS57" s="10"/>
      <c r="WMT57" s="10"/>
      <c r="WMU57" s="10"/>
      <c r="WMV57" s="10"/>
      <c r="WMW57" s="10"/>
      <c r="WMX57" s="10"/>
      <c r="WMY57" s="10"/>
      <c r="WMZ57" s="10"/>
      <c r="WNA57" s="10"/>
      <c r="WNB57" s="10"/>
      <c r="WNC57" s="10"/>
      <c r="WND57" s="10"/>
      <c r="WNE57" s="10"/>
      <c r="WNF57" s="10"/>
      <c r="WNG57" s="10"/>
      <c r="WNH57" s="10"/>
      <c r="WNI57" s="10"/>
      <c r="WNJ57" s="10"/>
      <c r="WNK57" s="10"/>
      <c r="WNL57" s="10"/>
      <c r="WNM57" s="10"/>
      <c r="WNN57" s="10"/>
      <c r="WNO57" s="10"/>
      <c r="WNP57" s="10"/>
      <c r="WNQ57" s="10"/>
      <c r="WNR57" s="10"/>
      <c r="WNS57" s="10"/>
      <c r="WNT57" s="10"/>
      <c r="WNU57" s="10"/>
      <c r="WNV57" s="10"/>
      <c r="WNW57" s="10"/>
      <c r="WNX57" s="10"/>
      <c r="WNY57" s="10"/>
      <c r="WNZ57" s="10"/>
      <c r="WOA57" s="10"/>
      <c r="WOB57" s="10"/>
      <c r="WOC57" s="10"/>
      <c r="WOD57" s="10"/>
      <c r="WOE57" s="10"/>
      <c r="WOF57" s="10"/>
      <c r="WOG57" s="10"/>
      <c r="WOH57" s="10"/>
      <c r="WOI57" s="10"/>
      <c r="WOJ57" s="10"/>
      <c r="WOK57" s="10"/>
      <c r="WOL57" s="10"/>
      <c r="WOM57" s="10"/>
      <c r="WON57" s="10"/>
      <c r="WOO57" s="10"/>
      <c r="WOP57" s="10"/>
      <c r="WOQ57" s="10"/>
      <c r="WOR57" s="10"/>
      <c r="WOS57" s="10"/>
      <c r="WOT57" s="10"/>
      <c r="WOU57" s="10"/>
      <c r="WOV57" s="10"/>
      <c r="WOW57" s="10"/>
      <c r="WOX57" s="10"/>
      <c r="WOY57" s="10"/>
      <c r="WOZ57" s="10"/>
      <c r="WPA57" s="10"/>
      <c r="WPB57" s="10"/>
      <c r="WPC57" s="10"/>
      <c r="WPD57" s="10"/>
      <c r="WPE57" s="10"/>
      <c r="WPF57" s="10"/>
      <c r="WPG57" s="10"/>
      <c r="WPH57" s="10"/>
      <c r="WPI57" s="10"/>
      <c r="WPJ57" s="10"/>
      <c r="WPK57" s="10"/>
      <c r="WPL57" s="10"/>
      <c r="WPM57" s="10"/>
      <c r="WPN57" s="10"/>
      <c r="WPO57" s="10"/>
      <c r="WPP57" s="10"/>
      <c r="WPQ57" s="10"/>
      <c r="WPR57" s="10"/>
      <c r="WPS57" s="10"/>
      <c r="WPT57" s="10"/>
      <c r="WPU57" s="10"/>
      <c r="WPV57" s="10"/>
      <c r="WPW57" s="10"/>
      <c r="WPX57" s="10"/>
      <c r="WPY57" s="10"/>
      <c r="WPZ57" s="10"/>
      <c r="WQA57" s="10"/>
      <c r="WQB57" s="10"/>
      <c r="WQC57" s="10"/>
      <c r="WQD57" s="10"/>
      <c r="WQE57" s="10"/>
      <c r="WQF57" s="10"/>
      <c r="WQG57" s="10"/>
      <c r="WQH57" s="10"/>
      <c r="WQI57" s="10"/>
      <c r="WQJ57" s="10"/>
      <c r="WQK57" s="10"/>
      <c r="WQL57" s="10"/>
      <c r="WQM57" s="10"/>
      <c r="WQN57" s="10"/>
      <c r="WQO57" s="10"/>
      <c r="WQP57" s="10"/>
      <c r="WQQ57" s="10"/>
      <c r="WQR57" s="10"/>
      <c r="WQS57" s="10"/>
      <c r="WQT57" s="10"/>
      <c r="WQU57" s="10"/>
      <c r="WQV57" s="10"/>
      <c r="WQW57" s="10"/>
      <c r="WQX57" s="10"/>
      <c r="WQY57" s="10"/>
      <c r="WQZ57" s="10"/>
      <c r="WRA57" s="10"/>
      <c r="WRB57" s="10"/>
      <c r="WRC57" s="10"/>
      <c r="WRD57" s="10"/>
      <c r="WRE57" s="10"/>
      <c r="WRF57" s="10"/>
      <c r="WRG57" s="10"/>
      <c r="WRH57" s="10"/>
      <c r="WRI57" s="10"/>
      <c r="WRJ57" s="10"/>
      <c r="WRK57" s="10"/>
      <c r="WRL57" s="10"/>
      <c r="WRM57" s="10"/>
      <c r="WRN57" s="10"/>
      <c r="WRO57" s="10"/>
      <c r="WRP57" s="10"/>
      <c r="WRQ57" s="10"/>
      <c r="WRR57" s="10"/>
      <c r="WRS57" s="10"/>
      <c r="WRT57" s="10"/>
      <c r="WRU57" s="10"/>
      <c r="WRV57" s="10"/>
      <c r="WRW57" s="10"/>
      <c r="WRX57" s="10"/>
      <c r="WRY57" s="10"/>
      <c r="WRZ57" s="10"/>
      <c r="WSA57" s="10"/>
      <c r="WSB57" s="10"/>
      <c r="WSC57" s="10"/>
      <c r="WSD57" s="10"/>
      <c r="WSE57" s="10"/>
      <c r="WSF57" s="10"/>
      <c r="WSG57" s="10"/>
      <c r="WSH57" s="10"/>
      <c r="WSI57" s="10"/>
      <c r="WSJ57" s="10"/>
      <c r="WSK57" s="10"/>
      <c r="WSL57" s="10"/>
      <c r="WSM57" s="10"/>
      <c r="WSN57" s="10"/>
      <c r="WSO57" s="10"/>
      <c r="WSP57" s="10"/>
      <c r="WSQ57" s="10"/>
      <c r="WSR57" s="10"/>
      <c r="WSS57" s="10"/>
      <c r="WST57" s="10"/>
      <c r="WSU57" s="10"/>
      <c r="WSV57" s="10"/>
      <c r="WSW57" s="10"/>
      <c r="WSX57" s="10"/>
      <c r="WSY57" s="10"/>
      <c r="WSZ57" s="10"/>
      <c r="WTA57" s="10"/>
      <c r="WTB57" s="10"/>
      <c r="WTC57" s="10"/>
      <c r="WTD57" s="10"/>
      <c r="WTE57" s="10"/>
      <c r="WTF57" s="10"/>
      <c r="WTG57" s="10"/>
      <c r="WTH57" s="10"/>
      <c r="WTI57" s="10"/>
      <c r="WTJ57" s="10"/>
      <c r="WTK57" s="10"/>
      <c r="WTL57" s="10"/>
      <c r="WTM57" s="10"/>
      <c r="WTN57" s="10"/>
      <c r="WTO57" s="10"/>
      <c r="WTP57" s="10"/>
      <c r="WTQ57" s="10"/>
      <c r="WTR57" s="10"/>
      <c r="WTS57" s="10"/>
      <c r="WTT57" s="10"/>
      <c r="WTU57" s="10"/>
      <c r="WTV57" s="10"/>
      <c r="WTW57" s="10"/>
      <c r="WTX57" s="10"/>
      <c r="WTY57" s="10"/>
      <c r="WTZ57" s="10"/>
      <c r="WUA57" s="10"/>
      <c r="WUB57" s="10"/>
      <c r="WUC57" s="10"/>
      <c r="WUD57" s="10"/>
      <c r="WUE57" s="10"/>
      <c r="WUF57" s="10"/>
      <c r="WUG57" s="10"/>
      <c r="WUH57" s="10"/>
      <c r="WUI57" s="10"/>
      <c r="WUJ57" s="10"/>
      <c r="WUK57" s="10"/>
      <c r="WUL57" s="10"/>
      <c r="WUM57" s="10"/>
      <c r="WUN57" s="10"/>
      <c r="WUO57" s="10"/>
      <c r="WUP57" s="10"/>
      <c r="WUQ57" s="10"/>
      <c r="WUR57" s="10"/>
      <c r="WUS57" s="10"/>
      <c r="WUT57" s="10"/>
      <c r="WUU57" s="10"/>
      <c r="WUV57" s="10"/>
      <c r="WUW57" s="10"/>
      <c r="WUX57" s="10"/>
      <c r="WUY57" s="10"/>
      <c r="WUZ57" s="10"/>
      <c r="WVA57" s="10"/>
      <c r="WVB57" s="10"/>
      <c r="WVC57" s="10"/>
      <c r="WVD57" s="10"/>
      <c r="WVE57" s="10"/>
      <c r="WVF57" s="10"/>
      <c r="WVG57" s="10"/>
      <c r="WVH57" s="10"/>
      <c r="WVI57" s="10"/>
      <c r="WVJ57" s="10"/>
      <c r="WVK57" s="10"/>
      <c r="WVL57" s="10"/>
      <c r="WVM57" s="10"/>
      <c r="WVN57" s="10"/>
      <c r="WVO57" s="10"/>
      <c r="WVP57" s="10"/>
      <c r="WVQ57" s="10"/>
      <c r="WVR57" s="10"/>
      <c r="WVS57" s="10"/>
      <c r="WVT57" s="10"/>
    </row>
    <row r="58" spans="2:16140" s="242" customFormat="1" ht="21" customHeight="1">
      <c r="B58" s="335"/>
      <c r="C58" s="336"/>
      <c r="F58" s="244"/>
      <c r="G58" s="245"/>
      <c r="H58" s="333"/>
      <c r="I58" s="333"/>
      <c r="J58" s="333"/>
      <c r="K58" s="333"/>
      <c r="L58" s="334"/>
      <c r="M58" s="10"/>
      <c r="N58" s="18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 s="10"/>
      <c r="GM58" s="10"/>
      <c r="GN58" s="10"/>
      <c r="GO58" s="10"/>
      <c r="GP58" s="10"/>
      <c r="GQ58" s="10"/>
      <c r="GR58" s="10"/>
      <c r="GS58" s="10"/>
      <c r="GT58" s="10"/>
      <c r="GU58" s="10"/>
      <c r="GV58" s="10"/>
      <c r="GW58" s="10"/>
      <c r="GX58" s="10"/>
      <c r="GY58" s="10"/>
      <c r="GZ58" s="10"/>
      <c r="HA58" s="10"/>
      <c r="HB58" s="10"/>
      <c r="HC58" s="10"/>
      <c r="HD58" s="10"/>
      <c r="HE58" s="10"/>
      <c r="HF58" s="10"/>
      <c r="HG58" s="10"/>
      <c r="HH58" s="10"/>
      <c r="HI58" s="10"/>
      <c r="HJ58" s="10"/>
      <c r="HK58" s="10"/>
      <c r="HL58" s="10"/>
      <c r="HM58" s="10"/>
      <c r="HN58" s="10"/>
      <c r="HO58" s="10"/>
      <c r="HP58" s="10"/>
      <c r="HQ58" s="10"/>
      <c r="HR58" s="10"/>
      <c r="HS58" s="10"/>
      <c r="HT58" s="10"/>
      <c r="HU58" s="10"/>
      <c r="HV58" s="10"/>
      <c r="HW58" s="10"/>
      <c r="HX58" s="10"/>
      <c r="HY58" s="10"/>
      <c r="HZ58" s="10"/>
      <c r="IA58" s="10"/>
      <c r="IB58" s="10"/>
      <c r="IC58" s="10"/>
      <c r="ID58" s="10"/>
      <c r="IE58" s="10"/>
      <c r="IF58" s="10"/>
      <c r="IG58" s="10"/>
      <c r="IH58" s="10"/>
      <c r="II58" s="10"/>
      <c r="IJ58" s="10"/>
      <c r="IK58" s="10"/>
      <c r="IL58" s="10"/>
      <c r="IM58" s="10"/>
      <c r="IN58" s="10"/>
      <c r="IO58" s="10"/>
      <c r="IP58" s="10"/>
      <c r="IQ58" s="10"/>
      <c r="IR58" s="10"/>
      <c r="IS58" s="10"/>
      <c r="IT58" s="10"/>
      <c r="IU58" s="10"/>
      <c r="IV58" s="10"/>
      <c r="IW58" s="10"/>
      <c r="IX58" s="10"/>
      <c r="IY58" s="10"/>
      <c r="IZ58" s="10"/>
      <c r="JA58" s="10"/>
      <c r="JB58" s="10"/>
      <c r="JC58" s="10"/>
      <c r="JD58" s="10"/>
      <c r="JE58" s="10"/>
      <c r="JF58" s="10"/>
      <c r="JG58" s="10"/>
      <c r="JH58" s="10"/>
      <c r="JI58" s="10"/>
      <c r="JJ58" s="10"/>
      <c r="JK58" s="10"/>
      <c r="JL58" s="10"/>
      <c r="JM58" s="10"/>
      <c r="JN58" s="10"/>
      <c r="JO58" s="10"/>
      <c r="JP58" s="10"/>
      <c r="JQ58" s="10"/>
      <c r="JR58" s="10"/>
      <c r="JS58" s="10"/>
      <c r="JT58" s="10"/>
      <c r="JU58" s="10"/>
      <c r="JV58" s="10"/>
      <c r="JW58" s="10"/>
      <c r="JX58" s="10"/>
      <c r="JY58" s="10"/>
      <c r="JZ58" s="10"/>
      <c r="KA58" s="10"/>
      <c r="KB58" s="10"/>
      <c r="KC58" s="10"/>
      <c r="KD58" s="10"/>
      <c r="KE58" s="10"/>
      <c r="KF58" s="10"/>
      <c r="KG58" s="10"/>
      <c r="KH58" s="10"/>
      <c r="KI58" s="10"/>
      <c r="KJ58" s="10"/>
      <c r="KK58" s="10"/>
      <c r="KL58" s="10"/>
      <c r="KM58" s="10"/>
      <c r="KN58" s="10"/>
      <c r="KO58" s="10"/>
      <c r="KP58" s="10"/>
      <c r="KQ58" s="10"/>
      <c r="KR58" s="10"/>
      <c r="KS58" s="10"/>
      <c r="KT58" s="10"/>
      <c r="KU58" s="10"/>
      <c r="KV58" s="10"/>
      <c r="KW58" s="10"/>
      <c r="KX58" s="10"/>
      <c r="KY58" s="10"/>
      <c r="KZ58" s="10"/>
      <c r="LA58" s="10"/>
      <c r="LB58" s="10"/>
      <c r="LC58" s="10"/>
      <c r="LD58" s="10"/>
      <c r="LE58" s="10"/>
      <c r="LF58" s="10"/>
      <c r="LG58" s="10"/>
      <c r="LH58" s="10"/>
      <c r="LI58" s="10"/>
      <c r="LJ58" s="10"/>
      <c r="LK58" s="10"/>
      <c r="LL58" s="10"/>
      <c r="LM58" s="10"/>
      <c r="LN58" s="10"/>
      <c r="LO58" s="10"/>
      <c r="LP58" s="10"/>
      <c r="LQ58" s="10"/>
      <c r="LR58" s="10"/>
      <c r="LS58" s="10"/>
      <c r="LT58" s="10"/>
      <c r="LU58" s="10"/>
      <c r="LV58" s="10"/>
      <c r="LW58" s="10"/>
      <c r="LX58" s="10"/>
      <c r="LY58" s="10"/>
      <c r="LZ58" s="10"/>
      <c r="MA58" s="10"/>
      <c r="MB58" s="10"/>
      <c r="MC58" s="10"/>
      <c r="MD58" s="10"/>
      <c r="ME58" s="10"/>
      <c r="MF58" s="10"/>
      <c r="MG58" s="10"/>
      <c r="MH58" s="10"/>
      <c r="MI58" s="10"/>
      <c r="MJ58" s="10"/>
      <c r="MK58" s="10"/>
      <c r="ML58" s="10"/>
      <c r="MM58" s="10"/>
      <c r="MN58" s="10"/>
      <c r="MO58" s="10"/>
      <c r="MP58" s="10"/>
      <c r="MQ58" s="10"/>
      <c r="MR58" s="10"/>
      <c r="MS58" s="10"/>
      <c r="MT58" s="10"/>
      <c r="MU58" s="10"/>
      <c r="MV58" s="10"/>
      <c r="MW58" s="10"/>
      <c r="MX58" s="10"/>
      <c r="MY58" s="10"/>
      <c r="MZ58" s="10"/>
      <c r="NA58" s="10"/>
      <c r="NB58" s="10"/>
      <c r="NC58" s="10"/>
      <c r="ND58" s="10"/>
      <c r="NE58" s="10"/>
      <c r="NF58" s="10"/>
      <c r="NG58" s="10"/>
      <c r="NH58" s="10"/>
      <c r="NI58" s="10"/>
      <c r="NJ58" s="10"/>
      <c r="NK58" s="10"/>
      <c r="NL58" s="10"/>
      <c r="NM58" s="10"/>
      <c r="NN58" s="10"/>
      <c r="NO58" s="10"/>
      <c r="NP58" s="10"/>
      <c r="NQ58" s="10"/>
      <c r="NR58" s="10"/>
      <c r="NS58" s="10"/>
      <c r="NT58" s="10"/>
      <c r="NU58" s="10"/>
      <c r="NV58" s="10"/>
      <c r="NW58" s="10"/>
      <c r="NX58" s="10"/>
      <c r="NY58" s="10"/>
      <c r="NZ58" s="10"/>
      <c r="OA58" s="10"/>
      <c r="OB58" s="10"/>
      <c r="OC58" s="10"/>
      <c r="OD58" s="10"/>
      <c r="OE58" s="10"/>
      <c r="OF58" s="10"/>
      <c r="OG58" s="10"/>
      <c r="OH58" s="10"/>
      <c r="OI58" s="10"/>
      <c r="OJ58" s="10"/>
      <c r="OK58" s="10"/>
      <c r="OL58" s="10"/>
      <c r="OM58" s="10"/>
      <c r="ON58" s="10"/>
      <c r="OO58" s="10"/>
      <c r="OP58" s="10"/>
      <c r="OQ58" s="10"/>
      <c r="OR58" s="10"/>
      <c r="OS58" s="10"/>
      <c r="OT58" s="10"/>
      <c r="OU58" s="10"/>
      <c r="OV58" s="10"/>
      <c r="OW58" s="10"/>
      <c r="OX58" s="10"/>
      <c r="OY58" s="10"/>
      <c r="OZ58" s="10"/>
      <c r="PA58" s="10"/>
      <c r="PB58" s="10"/>
      <c r="PC58" s="10"/>
      <c r="PD58" s="10"/>
      <c r="PE58" s="10"/>
      <c r="PF58" s="10"/>
      <c r="PG58" s="10"/>
      <c r="PH58" s="10"/>
      <c r="PI58" s="10"/>
      <c r="PJ58" s="10"/>
      <c r="PK58" s="10"/>
      <c r="PL58" s="10"/>
      <c r="PM58" s="10"/>
      <c r="PN58" s="10"/>
      <c r="PO58" s="10"/>
      <c r="PP58" s="10"/>
      <c r="PQ58" s="10"/>
      <c r="PR58" s="10"/>
      <c r="PS58" s="10"/>
      <c r="PT58" s="10"/>
      <c r="PU58" s="10"/>
      <c r="PV58" s="10"/>
      <c r="PW58" s="10"/>
      <c r="PX58" s="10"/>
      <c r="PY58" s="10"/>
      <c r="PZ58" s="10"/>
      <c r="QA58" s="10"/>
      <c r="QB58" s="10"/>
      <c r="QC58" s="10"/>
      <c r="QD58" s="10"/>
      <c r="QE58" s="10"/>
      <c r="QF58" s="10"/>
      <c r="QG58" s="10"/>
      <c r="QH58" s="10"/>
      <c r="QI58" s="10"/>
      <c r="QJ58" s="10"/>
      <c r="QK58" s="10"/>
      <c r="QL58" s="10"/>
      <c r="QM58" s="10"/>
      <c r="QN58" s="10"/>
      <c r="QO58" s="10"/>
      <c r="QP58" s="10"/>
      <c r="QQ58" s="10"/>
      <c r="QR58" s="10"/>
      <c r="QS58" s="10"/>
      <c r="QT58" s="10"/>
      <c r="QU58" s="10"/>
      <c r="QV58" s="10"/>
      <c r="QW58" s="10"/>
      <c r="QX58" s="10"/>
      <c r="QY58" s="10"/>
      <c r="QZ58" s="10"/>
      <c r="RA58" s="10"/>
      <c r="RB58" s="10"/>
      <c r="RC58" s="10"/>
      <c r="RD58" s="10"/>
      <c r="RE58" s="10"/>
      <c r="RF58" s="10"/>
      <c r="RG58" s="10"/>
      <c r="RH58" s="10"/>
      <c r="RI58" s="10"/>
      <c r="RJ58" s="10"/>
      <c r="RK58" s="10"/>
      <c r="RL58" s="10"/>
      <c r="RM58" s="10"/>
      <c r="RN58" s="10"/>
      <c r="RO58" s="10"/>
      <c r="RP58" s="10"/>
      <c r="RQ58" s="10"/>
      <c r="RR58" s="10"/>
      <c r="RS58" s="10"/>
      <c r="RT58" s="10"/>
      <c r="RU58" s="10"/>
      <c r="RV58" s="10"/>
      <c r="RW58" s="10"/>
      <c r="RX58" s="10"/>
      <c r="RY58" s="10"/>
      <c r="RZ58" s="10"/>
      <c r="SA58" s="10"/>
      <c r="SB58" s="10"/>
      <c r="SC58" s="10"/>
      <c r="SD58" s="10"/>
      <c r="SE58" s="10"/>
      <c r="SF58" s="10"/>
      <c r="SG58" s="10"/>
      <c r="SH58" s="10"/>
      <c r="SI58" s="10"/>
      <c r="SJ58" s="10"/>
      <c r="SK58" s="10"/>
      <c r="SL58" s="10"/>
      <c r="SM58" s="10"/>
      <c r="SN58" s="10"/>
      <c r="SO58" s="10"/>
      <c r="SP58" s="10"/>
      <c r="SQ58" s="10"/>
      <c r="SR58" s="10"/>
      <c r="SS58" s="10"/>
      <c r="ST58" s="10"/>
      <c r="SU58" s="10"/>
      <c r="SV58" s="10"/>
      <c r="SW58" s="10"/>
      <c r="SX58" s="10"/>
      <c r="SY58" s="10"/>
      <c r="SZ58" s="10"/>
      <c r="TA58" s="10"/>
      <c r="TB58" s="10"/>
      <c r="TC58" s="10"/>
      <c r="TD58" s="10"/>
      <c r="TE58" s="10"/>
      <c r="TF58" s="10"/>
      <c r="TG58" s="10"/>
      <c r="TH58" s="10"/>
      <c r="TI58" s="10"/>
      <c r="TJ58" s="10"/>
      <c r="TK58" s="10"/>
      <c r="TL58" s="10"/>
      <c r="TM58" s="10"/>
      <c r="TN58" s="10"/>
      <c r="TO58" s="10"/>
      <c r="TP58" s="10"/>
      <c r="TQ58" s="10"/>
      <c r="TR58" s="10"/>
      <c r="TS58" s="10"/>
      <c r="TT58" s="10"/>
      <c r="TU58" s="10"/>
      <c r="TV58" s="10"/>
      <c r="TW58" s="10"/>
      <c r="TX58" s="10"/>
      <c r="TY58" s="10"/>
      <c r="TZ58" s="10"/>
      <c r="UA58" s="10"/>
      <c r="UB58" s="10"/>
      <c r="UC58" s="10"/>
      <c r="UD58" s="10"/>
      <c r="UE58" s="10"/>
      <c r="UF58" s="10"/>
      <c r="UG58" s="10"/>
      <c r="UH58" s="10"/>
      <c r="UI58" s="10"/>
      <c r="UJ58" s="10"/>
      <c r="UK58" s="10"/>
      <c r="UL58" s="10"/>
      <c r="UM58" s="10"/>
      <c r="UN58" s="10"/>
      <c r="UO58" s="10"/>
      <c r="UP58" s="10"/>
      <c r="UQ58" s="10"/>
      <c r="UR58" s="10"/>
      <c r="US58" s="10"/>
      <c r="UT58" s="10"/>
      <c r="UU58" s="10"/>
      <c r="UV58" s="10"/>
      <c r="UW58" s="10"/>
      <c r="UX58" s="10"/>
      <c r="UY58" s="10"/>
      <c r="UZ58" s="10"/>
      <c r="VA58" s="10"/>
      <c r="VB58" s="10"/>
      <c r="VC58" s="10"/>
      <c r="VD58" s="10"/>
      <c r="VE58" s="10"/>
      <c r="VF58" s="10"/>
      <c r="VG58" s="10"/>
      <c r="VH58" s="10"/>
      <c r="VI58" s="10"/>
      <c r="VJ58" s="10"/>
      <c r="VK58" s="10"/>
      <c r="VL58" s="10"/>
      <c r="VM58" s="10"/>
      <c r="VN58" s="10"/>
      <c r="VO58" s="10"/>
      <c r="VP58" s="10"/>
      <c r="VQ58" s="10"/>
      <c r="VR58" s="10"/>
      <c r="VS58" s="10"/>
      <c r="VT58" s="10"/>
      <c r="VU58" s="10"/>
      <c r="VV58" s="10"/>
      <c r="VW58" s="10"/>
      <c r="VX58" s="10"/>
      <c r="VY58" s="10"/>
      <c r="VZ58" s="10"/>
      <c r="WA58" s="10"/>
      <c r="WB58" s="10"/>
      <c r="WC58" s="10"/>
      <c r="WD58" s="10"/>
      <c r="WE58" s="10"/>
      <c r="WF58" s="10"/>
      <c r="WG58" s="10"/>
      <c r="WH58" s="10"/>
      <c r="WI58" s="10"/>
      <c r="WJ58" s="10"/>
      <c r="WK58" s="10"/>
      <c r="WL58" s="10"/>
      <c r="WM58" s="10"/>
      <c r="WN58" s="10"/>
      <c r="WO58" s="10"/>
      <c r="WP58" s="10"/>
      <c r="WQ58" s="10"/>
      <c r="WR58" s="10"/>
      <c r="WS58" s="10"/>
      <c r="WT58" s="10"/>
      <c r="WU58" s="10"/>
      <c r="WV58" s="10"/>
      <c r="WW58" s="10"/>
      <c r="WX58" s="10"/>
      <c r="WY58" s="10"/>
      <c r="WZ58" s="10"/>
      <c r="XA58" s="10"/>
      <c r="XB58" s="10"/>
      <c r="XC58" s="10"/>
      <c r="XD58" s="10"/>
      <c r="XE58" s="10"/>
      <c r="XF58" s="10"/>
      <c r="XG58" s="10"/>
      <c r="XH58" s="10"/>
      <c r="XI58" s="10"/>
      <c r="XJ58" s="10"/>
      <c r="XK58" s="10"/>
      <c r="XL58" s="10"/>
      <c r="XM58" s="10"/>
      <c r="XN58" s="10"/>
      <c r="XO58" s="10"/>
      <c r="XP58" s="10"/>
      <c r="XQ58" s="10"/>
      <c r="XR58" s="10"/>
      <c r="XS58" s="10"/>
      <c r="XT58" s="10"/>
      <c r="XU58" s="10"/>
      <c r="XV58" s="10"/>
      <c r="XW58" s="10"/>
      <c r="XX58" s="10"/>
      <c r="XY58" s="10"/>
      <c r="XZ58" s="10"/>
      <c r="YA58" s="10"/>
      <c r="YB58" s="10"/>
      <c r="YC58" s="10"/>
      <c r="YD58" s="10"/>
      <c r="YE58" s="10"/>
      <c r="YF58" s="10"/>
      <c r="YG58" s="10"/>
      <c r="YH58" s="10"/>
      <c r="YI58" s="10"/>
      <c r="YJ58" s="10"/>
      <c r="YK58" s="10"/>
      <c r="YL58" s="10"/>
      <c r="YM58" s="10"/>
      <c r="YN58" s="10"/>
      <c r="YO58" s="10"/>
      <c r="YP58" s="10"/>
      <c r="YQ58" s="10"/>
      <c r="YR58" s="10"/>
      <c r="YS58" s="10"/>
      <c r="YT58" s="10"/>
      <c r="YU58" s="10"/>
      <c r="YV58" s="10"/>
      <c r="YW58" s="10"/>
      <c r="YX58" s="10"/>
      <c r="YY58" s="10"/>
      <c r="YZ58" s="10"/>
      <c r="ZA58" s="10"/>
      <c r="ZB58" s="10"/>
      <c r="ZC58" s="10"/>
      <c r="ZD58" s="10"/>
      <c r="ZE58" s="10"/>
      <c r="ZF58" s="10"/>
      <c r="ZG58" s="10"/>
      <c r="ZH58" s="10"/>
      <c r="ZI58" s="10"/>
      <c r="ZJ58" s="10"/>
      <c r="ZK58" s="10"/>
      <c r="ZL58" s="10"/>
      <c r="ZM58" s="10"/>
      <c r="ZN58" s="10"/>
      <c r="ZO58" s="10"/>
      <c r="ZP58" s="10"/>
      <c r="ZQ58" s="10"/>
      <c r="ZR58" s="10"/>
      <c r="ZS58" s="10"/>
      <c r="ZT58" s="10"/>
      <c r="ZU58" s="10"/>
      <c r="ZV58" s="10"/>
      <c r="ZW58" s="10"/>
      <c r="ZX58" s="10"/>
      <c r="ZY58" s="10"/>
      <c r="ZZ58" s="10"/>
      <c r="AAA58" s="10"/>
      <c r="AAB58" s="10"/>
      <c r="AAC58" s="10"/>
      <c r="AAD58" s="10"/>
      <c r="AAE58" s="10"/>
      <c r="AAF58" s="10"/>
      <c r="AAG58" s="10"/>
      <c r="AAH58" s="10"/>
      <c r="AAI58" s="10"/>
      <c r="AAJ58" s="10"/>
      <c r="AAK58" s="10"/>
      <c r="AAL58" s="10"/>
      <c r="AAM58" s="10"/>
      <c r="AAN58" s="10"/>
      <c r="AAO58" s="10"/>
      <c r="AAP58" s="10"/>
      <c r="AAQ58" s="10"/>
      <c r="AAR58" s="10"/>
      <c r="AAS58" s="10"/>
      <c r="AAT58" s="10"/>
      <c r="AAU58" s="10"/>
      <c r="AAV58" s="10"/>
      <c r="AAW58" s="10"/>
      <c r="AAX58" s="10"/>
      <c r="AAY58" s="10"/>
      <c r="AAZ58" s="10"/>
      <c r="ABA58" s="10"/>
      <c r="ABB58" s="10"/>
      <c r="ABC58" s="10"/>
      <c r="ABD58" s="10"/>
      <c r="ABE58" s="10"/>
      <c r="ABF58" s="10"/>
      <c r="ABG58" s="10"/>
      <c r="ABH58" s="10"/>
      <c r="ABI58" s="10"/>
      <c r="ABJ58" s="10"/>
      <c r="ABK58" s="10"/>
      <c r="ABL58" s="10"/>
      <c r="ABM58" s="10"/>
      <c r="ABN58" s="10"/>
      <c r="ABO58" s="10"/>
      <c r="ABP58" s="10"/>
      <c r="ABQ58" s="10"/>
      <c r="ABR58" s="10"/>
      <c r="ABS58" s="10"/>
      <c r="ABT58" s="10"/>
      <c r="ABU58" s="10"/>
      <c r="ABV58" s="10"/>
      <c r="ABW58" s="10"/>
      <c r="ABX58" s="10"/>
      <c r="ABY58" s="10"/>
      <c r="ABZ58" s="10"/>
      <c r="ACA58" s="10"/>
      <c r="ACB58" s="10"/>
      <c r="ACC58" s="10"/>
      <c r="ACD58" s="10"/>
      <c r="ACE58" s="10"/>
      <c r="ACF58" s="10"/>
      <c r="ACG58" s="10"/>
      <c r="ACH58" s="10"/>
      <c r="ACI58" s="10"/>
      <c r="ACJ58" s="10"/>
      <c r="ACK58" s="10"/>
      <c r="ACL58" s="10"/>
      <c r="ACM58" s="10"/>
      <c r="ACN58" s="10"/>
      <c r="ACO58" s="10"/>
      <c r="ACP58" s="10"/>
      <c r="ACQ58" s="10"/>
      <c r="ACR58" s="10"/>
      <c r="ACS58" s="10"/>
      <c r="ACT58" s="10"/>
      <c r="ACU58" s="10"/>
      <c r="ACV58" s="10"/>
      <c r="ACW58" s="10"/>
      <c r="ACX58" s="10"/>
      <c r="ACY58" s="10"/>
      <c r="ACZ58" s="10"/>
      <c r="ADA58" s="10"/>
      <c r="ADB58" s="10"/>
      <c r="ADC58" s="10"/>
      <c r="ADD58" s="10"/>
      <c r="ADE58" s="10"/>
      <c r="ADF58" s="10"/>
      <c r="ADG58" s="10"/>
      <c r="ADH58" s="10"/>
      <c r="ADI58" s="10"/>
      <c r="ADJ58" s="10"/>
      <c r="ADK58" s="10"/>
      <c r="ADL58" s="10"/>
      <c r="ADM58" s="10"/>
      <c r="ADN58" s="10"/>
      <c r="ADO58" s="10"/>
      <c r="ADP58" s="10"/>
      <c r="ADQ58" s="10"/>
      <c r="ADR58" s="10"/>
      <c r="ADS58" s="10"/>
      <c r="ADT58" s="10"/>
      <c r="ADU58" s="10"/>
      <c r="ADV58" s="10"/>
      <c r="ADW58" s="10"/>
      <c r="ADX58" s="10"/>
      <c r="ADY58" s="10"/>
      <c r="ADZ58" s="10"/>
      <c r="AEA58" s="10"/>
      <c r="AEB58" s="10"/>
      <c r="AEC58" s="10"/>
      <c r="AED58" s="10"/>
      <c r="AEE58" s="10"/>
      <c r="AEF58" s="10"/>
      <c r="AEG58" s="10"/>
      <c r="AEH58" s="10"/>
      <c r="AEI58" s="10"/>
      <c r="AEJ58" s="10"/>
      <c r="AEK58" s="10"/>
      <c r="AEL58" s="10"/>
      <c r="AEM58" s="10"/>
      <c r="AEN58" s="10"/>
      <c r="AEO58" s="10"/>
      <c r="AEP58" s="10"/>
      <c r="AEQ58" s="10"/>
      <c r="AER58" s="10"/>
      <c r="AES58" s="10"/>
      <c r="AET58" s="10"/>
      <c r="AEU58" s="10"/>
      <c r="AEV58" s="10"/>
      <c r="AEW58" s="10"/>
      <c r="AEX58" s="10"/>
      <c r="AEY58" s="10"/>
      <c r="AEZ58" s="10"/>
      <c r="AFA58" s="10"/>
      <c r="AFB58" s="10"/>
      <c r="AFC58" s="10"/>
      <c r="AFD58" s="10"/>
      <c r="AFE58" s="10"/>
      <c r="AFF58" s="10"/>
      <c r="AFG58" s="10"/>
      <c r="AFH58" s="10"/>
      <c r="AFI58" s="10"/>
      <c r="AFJ58" s="10"/>
      <c r="AFK58" s="10"/>
      <c r="AFL58" s="10"/>
      <c r="AFM58" s="10"/>
      <c r="AFN58" s="10"/>
      <c r="AFO58" s="10"/>
      <c r="AFP58" s="10"/>
      <c r="AFQ58" s="10"/>
      <c r="AFR58" s="10"/>
      <c r="AFS58" s="10"/>
      <c r="AFT58" s="10"/>
      <c r="AFU58" s="10"/>
      <c r="AFV58" s="10"/>
      <c r="AFW58" s="10"/>
      <c r="AFX58" s="10"/>
      <c r="AFY58" s="10"/>
      <c r="AFZ58" s="10"/>
      <c r="AGA58" s="10"/>
      <c r="AGB58" s="10"/>
      <c r="AGC58" s="10"/>
      <c r="AGD58" s="10"/>
      <c r="AGE58" s="10"/>
      <c r="AGF58" s="10"/>
      <c r="AGG58" s="10"/>
      <c r="AGH58" s="10"/>
      <c r="AGI58" s="10"/>
      <c r="AGJ58" s="10"/>
      <c r="AGK58" s="10"/>
      <c r="AGL58" s="10"/>
      <c r="AGM58" s="10"/>
      <c r="AGN58" s="10"/>
      <c r="AGO58" s="10"/>
      <c r="AGP58" s="10"/>
      <c r="AGQ58" s="10"/>
      <c r="AGR58" s="10"/>
      <c r="AGS58" s="10"/>
      <c r="AGT58" s="10"/>
      <c r="AGU58" s="10"/>
      <c r="AGV58" s="10"/>
      <c r="AGW58" s="10"/>
      <c r="AGX58" s="10"/>
      <c r="AGY58" s="10"/>
      <c r="AGZ58" s="10"/>
      <c r="AHA58" s="10"/>
      <c r="AHB58" s="10"/>
      <c r="AHC58" s="10"/>
      <c r="AHD58" s="10"/>
      <c r="AHE58" s="10"/>
      <c r="AHF58" s="10"/>
      <c r="AHG58" s="10"/>
      <c r="AHH58" s="10"/>
      <c r="AHI58" s="10"/>
      <c r="AHJ58" s="10"/>
      <c r="AHK58" s="10"/>
      <c r="AHL58" s="10"/>
      <c r="AHM58" s="10"/>
      <c r="AHN58" s="10"/>
      <c r="AHO58" s="10"/>
      <c r="AHP58" s="10"/>
      <c r="AHQ58" s="10"/>
      <c r="AHR58" s="10"/>
      <c r="AHS58" s="10"/>
      <c r="AHT58" s="10"/>
      <c r="AHU58" s="10"/>
      <c r="AHV58" s="10"/>
      <c r="AHW58" s="10"/>
      <c r="AHX58" s="10"/>
      <c r="AHY58" s="10"/>
      <c r="AHZ58" s="10"/>
      <c r="AIA58" s="10"/>
      <c r="AIB58" s="10"/>
      <c r="AIC58" s="10"/>
      <c r="AID58" s="10"/>
      <c r="AIE58" s="10"/>
      <c r="AIF58" s="10"/>
      <c r="AIG58" s="10"/>
      <c r="AIH58" s="10"/>
      <c r="AII58" s="10"/>
      <c r="AIJ58" s="10"/>
      <c r="AIK58" s="10"/>
      <c r="AIL58" s="10"/>
      <c r="AIM58" s="10"/>
      <c r="AIN58" s="10"/>
      <c r="AIO58" s="10"/>
      <c r="AIP58" s="10"/>
      <c r="AIQ58" s="10"/>
      <c r="AIR58" s="10"/>
      <c r="AIS58" s="10"/>
      <c r="AIT58" s="10"/>
      <c r="AIU58" s="10"/>
      <c r="AIV58" s="10"/>
      <c r="AIW58" s="10"/>
      <c r="AIX58" s="10"/>
      <c r="AIY58" s="10"/>
      <c r="AIZ58" s="10"/>
      <c r="AJA58" s="10"/>
      <c r="AJB58" s="10"/>
      <c r="AJC58" s="10"/>
      <c r="AJD58" s="10"/>
      <c r="AJE58" s="10"/>
      <c r="AJF58" s="10"/>
      <c r="AJG58" s="10"/>
      <c r="AJH58" s="10"/>
      <c r="AJI58" s="10"/>
      <c r="AJJ58" s="10"/>
      <c r="AJK58" s="10"/>
      <c r="AJL58" s="10"/>
      <c r="AJM58" s="10"/>
      <c r="AJN58" s="10"/>
      <c r="AJO58" s="10"/>
      <c r="AJP58" s="10"/>
      <c r="AJQ58" s="10"/>
      <c r="AJR58" s="10"/>
      <c r="AJS58" s="10"/>
      <c r="AJT58" s="10"/>
      <c r="AJU58" s="10"/>
      <c r="AJV58" s="10"/>
      <c r="AJW58" s="10"/>
      <c r="AJX58" s="10"/>
      <c r="AJY58" s="10"/>
      <c r="AJZ58" s="10"/>
      <c r="AKA58" s="10"/>
      <c r="AKB58" s="10"/>
      <c r="AKC58" s="10"/>
      <c r="AKD58" s="10"/>
      <c r="AKE58" s="10"/>
      <c r="AKF58" s="10"/>
      <c r="AKG58" s="10"/>
      <c r="AKH58" s="10"/>
      <c r="AKI58" s="10"/>
      <c r="AKJ58" s="10"/>
      <c r="AKK58" s="10"/>
      <c r="AKL58" s="10"/>
      <c r="AKM58" s="10"/>
      <c r="AKN58" s="10"/>
      <c r="AKO58" s="10"/>
      <c r="AKP58" s="10"/>
      <c r="AKQ58" s="10"/>
      <c r="AKR58" s="10"/>
      <c r="AKS58" s="10"/>
      <c r="AKT58" s="10"/>
      <c r="AKU58" s="10"/>
      <c r="AKV58" s="10"/>
      <c r="AKW58" s="10"/>
      <c r="AKX58" s="10"/>
      <c r="AKY58" s="10"/>
      <c r="AKZ58" s="10"/>
      <c r="ALA58" s="10"/>
      <c r="ALB58" s="10"/>
      <c r="ALC58" s="10"/>
      <c r="ALD58" s="10"/>
      <c r="ALE58" s="10"/>
      <c r="ALF58" s="10"/>
      <c r="ALG58" s="10"/>
      <c r="ALH58" s="10"/>
      <c r="ALI58" s="10"/>
      <c r="ALJ58" s="10"/>
      <c r="ALK58" s="10"/>
      <c r="ALL58" s="10"/>
      <c r="ALM58" s="10"/>
      <c r="ALN58" s="10"/>
      <c r="ALO58" s="10"/>
      <c r="ALP58" s="10"/>
      <c r="ALQ58" s="10"/>
      <c r="ALR58" s="10"/>
      <c r="ALS58" s="10"/>
      <c r="ALT58" s="10"/>
      <c r="ALU58" s="10"/>
      <c r="ALV58" s="10"/>
      <c r="ALW58" s="10"/>
      <c r="ALX58" s="10"/>
      <c r="ALY58" s="10"/>
      <c r="ALZ58" s="10"/>
      <c r="AMA58" s="10"/>
      <c r="AMB58" s="10"/>
      <c r="AMC58" s="10"/>
      <c r="AMD58" s="10"/>
      <c r="AME58" s="10"/>
      <c r="AMF58" s="10"/>
      <c r="AMG58" s="10"/>
      <c r="AMH58" s="10"/>
      <c r="AMI58" s="10"/>
      <c r="AMJ58" s="10"/>
      <c r="AMK58" s="10"/>
      <c r="AML58" s="10"/>
      <c r="AMM58" s="10"/>
      <c r="AMN58" s="10"/>
      <c r="AMO58" s="10"/>
      <c r="AMP58" s="10"/>
      <c r="AMQ58" s="10"/>
      <c r="AMR58" s="10"/>
      <c r="AMS58" s="10"/>
      <c r="AMT58" s="10"/>
      <c r="AMU58" s="10"/>
      <c r="AMV58" s="10"/>
      <c r="AMW58" s="10"/>
      <c r="AMX58" s="10"/>
      <c r="AMY58" s="10"/>
      <c r="AMZ58" s="10"/>
      <c r="ANA58" s="10"/>
      <c r="ANB58" s="10"/>
      <c r="ANC58" s="10"/>
      <c r="AND58" s="10"/>
      <c r="ANE58" s="10"/>
      <c r="ANF58" s="10"/>
      <c r="ANG58" s="10"/>
      <c r="ANH58" s="10"/>
      <c r="ANI58" s="10"/>
      <c r="ANJ58" s="10"/>
      <c r="ANK58" s="10"/>
      <c r="ANL58" s="10"/>
      <c r="ANM58" s="10"/>
      <c r="ANN58" s="10"/>
      <c r="ANO58" s="10"/>
      <c r="ANP58" s="10"/>
      <c r="ANQ58" s="10"/>
      <c r="ANR58" s="10"/>
      <c r="ANS58" s="10"/>
      <c r="ANT58" s="10"/>
      <c r="ANU58" s="10"/>
      <c r="ANV58" s="10"/>
      <c r="ANW58" s="10"/>
      <c r="ANX58" s="10"/>
      <c r="ANY58" s="10"/>
      <c r="ANZ58" s="10"/>
      <c r="AOA58" s="10"/>
      <c r="AOB58" s="10"/>
      <c r="AOC58" s="10"/>
      <c r="AOD58" s="10"/>
      <c r="AOE58" s="10"/>
      <c r="AOF58" s="10"/>
      <c r="AOG58" s="10"/>
      <c r="AOH58" s="10"/>
      <c r="AOI58" s="10"/>
      <c r="AOJ58" s="10"/>
      <c r="AOK58" s="10"/>
      <c r="AOL58" s="10"/>
      <c r="AOM58" s="10"/>
      <c r="AON58" s="10"/>
      <c r="AOO58" s="10"/>
      <c r="AOP58" s="10"/>
      <c r="AOQ58" s="10"/>
      <c r="AOR58" s="10"/>
      <c r="AOS58" s="10"/>
      <c r="AOT58" s="10"/>
      <c r="AOU58" s="10"/>
      <c r="AOV58" s="10"/>
      <c r="AOW58" s="10"/>
      <c r="AOX58" s="10"/>
      <c r="AOY58" s="10"/>
      <c r="AOZ58" s="10"/>
      <c r="APA58" s="10"/>
      <c r="APB58" s="10"/>
      <c r="APC58" s="10"/>
      <c r="APD58" s="10"/>
      <c r="APE58" s="10"/>
      <c r="APF58" s="10"/>
      <c r="APG58" s="10"/>
      <c r="APH58" s="10"/>
      <c r="API58" s="10"/>
      <c r="APJ58" s="10"/>
      <c r="APK58" s="10"/>
      <c r="APL58" s="10"/>
      <c r="APM58" s="10"/>
      <c r="APN58" s="10"/>
      <c r="APO58" s="10"/>
      <c r="APP58" s="10"/>
      <c r="APQ58" s="10"/>
      <c r="APR58" s="10"/>
      <c r="APS58" s="10"/>
      <c r="APT58" s="10"/>
      <c r="APU58" s="10"/>
      <c r="APV58" s="10"/>
      <c r="APW58" s="10"/>
      <c r="APX58" s="10"/>
      <c r="APY58" s="10"/>
      <c r="APZ58" s="10"/>
      <c r="AQA58" s="10"/>
      <c r="AQB58" s="10"/>
      <c r="AQC58" s="10"/>
      <c r="AQD58" s="10"/>
      <c r="AQE58" s="10"/>
      <c r="AQF58" s="10"/>
      <c r="AQG58" s="10"/>
      <c r="AQH58" s="10"/>
      <c r="AQI58" s="10"/>
      <c r="AQJ58" s="10"/>
      <c r="AQK58" s="10"/>
      <c r="AQL58" s="10"/>
      <c r="AQM58" s="10"/>
      <c r="AQN58" s="10"/>
      <c r="AQO58" s="10"/>
      <c r="AQP58" s="10"/>
      <c r="AQQ58" s="10"/>
      <c r="AQR58" s="10"/>
      <c r="AQS58" s="10"/>
      <c r="AQT58" s="10"/>
      <c r="AQU58" s="10"/>
      <c r="AQV58" s="10"/>
      <c r="AQW58" s="10"/>
      <c r="AQX58" s="10"/>
      <c r="AQY58" s="10"/>
      <c r="AQZ58" s="10"/>
      <c r="ARA58" s="10"/>
      <c r="ARB58" s="10"/>
      <c r="ARC58" s="10"/>
      <c r="ARD58" s="10"/>
      <c r="ARE58" s="10"/>
      <c r="ARF58" s="10"/>
      <c r="ARG58" s="10"/>
      <c r="ARH58" s="10"/>
      <c r="ARI58" s="10"/>
      <c r="ARJ58" s="10"/>
      <c r="ARK58" s="10"/>
      <c r="ARL58" s="10"/>
      <c r="ARM58" s="10"/>
      <c r="ARN58" s="10"/>
      <c r="ARO58" s="10"/>
      <c r="ARP58" s="10"/>
      <c r="ARQ58" s="10"/>
      <c r="ARR58" s="10"/>
      <c r="ARS58" s="10"/>
      <c r="ART58" s="10"/>
      <c r="ARU58" s="10"/>
      <c r="ARV58" s="10"/>
      <c r="ARW58" s="10"/>
      <c r="ARX58" s="10"/>
      <c r="ARY58" s="10"/>
      <c r="ARZ58" s="10"/>
      <c r="ASA58" s="10"/>
      <c r="ASB58" s="10"/>
      <c r="ASC58" s="10"/>
      <c r="ASD58" s="10"/>
      <c r="ASE58" s="10"/>
      <c r="ASF58" s="10"/>
      <c r="ASG58" s="10"/>
      <c r="ASH58" s="10"/>
      <c r="ASI58" s="10"/>
      <c r="ASJ58" s="10"/>
      <c r="ASK58" s="10"/>
      <c r="ASL58" s="10"/>
      <c r="ASM58" s="10"/>
      <c r="ASN58" s="10"/>
      <c r="ASO58" s="10"/>
      <c r="ASP58" s="10"/>
      <c r="ASQ58" s="10"/>
      <c r="ASR58" s="10"/>
      <c r="ASS58" s="10"/>
      <c r="AST58" s="10"/>
      <c r="ASU58" s="10"/>
      <c r="ASV58" s="10"/>
      <c r="ASW58" s="10"/>
      <c r="ASX58" s="10"/>
      <c r="ASY58" s="10"/>
      <c r="ASZ58" s="10"/>
      <c r="ATA58" s="10"/>
      <c r="ATB58" s="10"/>
      <c r="ATC58" s="10"/>
      <c r="ATD58" s="10"/>
      <c r="ATE58" s="10"/>
      <c r="ATF58" s="10"/>
      <c r="ATG58" s="10"/>
      <c r="ATH58" s="10"/>
      <c r="ATI58" s="10"/>
      <c r="ATJ58" s="10"/>
      <c r="ATK58" s="10"/>
      <c r="ATL58" s="10"/>
      <c r="ATM58" s="10"/>
      <c r="ATN58" s="10"/>
      <c r="ATO58" s="10"/>
      <c r="ATP58" s="10"/>
      <c r="ATQ58" s="10"/>
      <c r="ATR58" s="10"/>
      <c r="ATS58" s="10"/>
      <c r="ATT58" s="10"/>
      <c r="ATU58" s="10"/>
      <c r="ATV58" s="10"/>
      <c r="ATW58" s="10"/>
      <c r="ATX58" s="10"/>
      <c r="ATY58" s="10"/>
      <c r="ATZ58" s="10"/>
      <c r="AUA58" s="10"/>
      <c r="AUB58" s="10"/>
      <c r="AUC58" s="10"/>
      <c r="AUD58" s="10"/>
      <c r="AUE58" s="10"/>
      <c r="AUF58" s="10"/>
      <c r="AUG58" s="10"/>
      <c r="AUH58" s="10"/>
      <c r="AUI58" s="10"/>
      <c r="AUJ58" s="10"/>
      <c r="AUK58" s="10"/>
      <c r="AUL58" s="10"/>
      <c r="AUM58" s="10"/>
      <c r="AUN58" s="10"/>
      <c r="AUO58" s="10"/>
      <c r="AUP58" s="10"/>
      <c r="AUQ58" s="10"/>
      <c r="AUR58" s="10"/>
      <c r="AUS58" s="10"/>
      <c r="AUT58" s="10"/>
      <c r="AUU58" s="10"/>
      <c r="AUV58" s="10"/>
      <c r="AUW58" s="10"/>
      <c r="AUX58" s="10"/>
      <c r="AUY58" s="10"/>
      <c r="AUZ58" s="10"/>
      <c r="AVA58" s="10"/>
      <c r="AVB58" s="10"/>
      <c r="AVC58" s="10"/>
      <c r="AVD58" s="10"/>
      <c r="AVE58" s="10"/>
      <c r="AVF58" s="10"/>
      <c r="AVG58" s="10"/>
      <c r="AVH58" s="10"/>
      <c r="AVI58" s="10"/>
      <c r="AVJ58" s="10"/>
      <c r="AVK58" s="10"/>
      <c r="AVL58" s="10"/>
      <c r="AVM58" s="10"/>
      <c r="AVN58" s="10"/>
      <c r="AVO58" s="10"/>
      <c r="AVP58" s="10"/>
      <c r="AVQ58" s="10"/>
      <c r="AVR58" s="10"/>
      <c r="AVS58" s="10"/>
      <c r="AVT58" s="10"/>
      <c r="AVU58" s="10"/>
      <c r="AVV58" s="10"/>
      <c r="AVW58" s="10"/>
      <c r="AVX58" s="10"/>
      <c r="AVY58" s="10"/>
      <c r="AVZ58" s="10"/>
      <c r="AWA58" s="10"/>
      <c r="AWB58" s="10"/>
      <c r="AWC58" s="10"/>
      <c r="AWD58" s="10"/>
      <c r="AWE58" s="10"/>
      <c r="AWF58" s="10"/>
      <c r="AWG58" s="10"/>
      <c r="AWH58" s="10"/>
      <c r="AWI58" s="10"/>
      <c r="AWJ58" s="10"/>
      <c r="AWK58" s="10"/>
      <c r="AWL58" s="10"/>
      <c r="AWM58" s="10"/>
      <c r="AWN58" s="10"/>
      <c r="AWO58" s="10"/>
      <c r="AWP58" s="10"/>
      <c r="AWQ58" s="10"/>
      <c r="AWR58" s="10"/>
      <c r="AWS58" s="10"/>
      <c r="AWT58" s="10"/>
      <c r="AWU58" s="10"/>
      <c r="AWV58" s="10"/>
      <c r="AWW58" s="10"/>
      <c r="AWX58" s="10"/>
      <c r="AWY58" s="10"/>
      <c r="AWZ58" s="10"/>
      <c r="AXA58" s="10"/>
      <c r="AXB58" s="10"/>
      <c r="AXC58" s="10"/>
      <c r="AXD58" s="10"/>
      <c r="AXE58" s="10"/>
      <c r="AXF58" s="10"/>
      <c r="AXG58" s="10"/>
      <c r="AXH58" s="10"/>
      <c r="AXI58" s="10"/>
      <c r="AXJ58" s="10"/>
      <c r="AXK58" s="10"/>
      <c r="AXL58" s="10"/>
      <c r="AXM58" s="10"/>
      <c r="AXN58" s="10"/>
      <c r="AXO58" s="10"/>
      <c r="AXP58" s="10"/>
      <c r="AXQ58" s="10"/>
      <c r="AXR58" s="10"/>
      <c r="AXS58" s="10"/>
      <c r="AXT58" s="10"/>
      <c r="AXU58" s="10"/>
      <c r="AXV58" s="10"/>
      <c r="AXW58" s="10"/>
      <c r="AXX58" s="10"/>
      <c r="AXY58" s="10"/>
      <c r="AXZ58" s="10"/>
      <c r="AYA58" s="10"/>
      <c r="AYB58" s="10"/>
      <c r="AYC58" s="10"/>
      <c r="AYD58" s="10"/>
      <c r="AYE58" s="10"/>
      <c r="AYF58" s="10"/>
      <c r="AYG58" s="10"/>
      <c r="AYH58" s="10"/>
      <c r="AYI58" s="10"/>
      <c r="AYJ58" s="10"/>
      <c r="AYK58" s="10"/>
      <c r="AYL58" s="10"/>
      <c r="AYM58" s="10"/>
      <c r="AYN58" s="10"/>
      <c r="AYO58" s="10"/>
      <c r="AYP58" s="10"/>
      <c r="AYQ58" s="10"/>
      <c r="AYR58" s="10"/>
      <c r="AYS58" s="10"/>
      <c r="AYT58" s="10"/>
      <c r="AYU58" s="10"/>
      <c r="AYV58" s="10"/>
      <c r="AYW58" s="10"/>
      <c r="AYX58" s="10"/>
      <c r="AYY58" s="10"/>
      <c r="AYZ58" s="10"/>
      <c r="AZA58" s="10"/>
      <c r="AZB58" s="10"/>
      <c r="AZC58" s="10"/>
      <c r="AZD58" s="10"/>
      <c r="AZE58" s="10"/>
      <c r="AZF58" s="10"/>
      <c r="AZG58" s="10"/>
      <c r="AZH58" s="10"/>
      <c r="AZI58" s="10"/>
      <c r="AZJ58" s="10"/>
      <c r="AZK58" s="10"/>
      <c r="AZL58" s="10"/>
      <c r="AZM58" s="10"/>
      <c r="AZN58" s="10"/>
      <c r="AZO58" s="10"/>
      <c r="AZP58" s="10"/>
      <c r="AZQ58" s="10"/>
      <c r="AZR58" s="10"/>
      <c r="AZS58" s="10"/>
      <c r="AZT58" s="10"/>
      <c r="AZU58" s="10"/>
      <c r="AZV58" s="10"/>
      <c r="AZW58" s="10"/>
      <c r="AZX58" s="10"/>
      <c r="AZY58" s="10"/>
      <c r="AZZ58" s="10"/>
      <c r="BAA58" s="10"/>
      <c r="BAB58" s="10"/>
      <c r="BAC58" s="10"/>
      <c r="BAD58" s="10"/>
      <c r="BAE58" s="10"/>
      <c r="BAF58" s="10"/>
      <c r="BAG58" s="10"/>
      <c r="BAH58" s="10"/>
      <c r="BAI58" s="10"/>
      <c r="BAJ58" s="10"/>
      <c r="BAK58" s="10"/>
      <c r="BAL58" s="10"/>
      <c r="BAM58" s="10"/>
      <c r="BAN58" s="10"/>
      <c r="BAO58" s="10"/>
      <c r="BAP58" s="10"/>
      <c r="BAQ58" s="10"/>
      <c r="BAR58" s="10"/>
      <c r="BAS58" s="10"/>
      <c r="BAT58" s="10"/>
      <c r="BAU58" s="10"/>
      <c r="BAV58" s="10"/>
      <c r="BAW58" s="10"/>
      <c r="BAX58" s="10"/>
      <c r="BAY58" s="10"/>
      <c r="BAZ58" s="10"/>
      <c r="BBA58" s="10"/>
      <c r="BBB58" s="10"/>
      <c r="BBC58" s="10"/>
      <c r="BBD58" s="10"/>
      <c r="BBE58" s="10"/>
      <c r="BBF58" s="10"/>
      <c r="BBG58" s="10"/>
      <c r="BBH58" s="10"/>
      <c r="BBI58" s="10"/>
      <c r="BBJ58" s="10"/>
      <c r="BBK58" s="10"/>
      <c r="BBL58" s="10"/>
      <c r="BBM58" s="10"/>
      <c r="BBN58" s="10"/>
      <c r="BBO58" s="10"/>
      <c r="BBP58" s="10"/>
      <c r="BBQ58" s="10"/>
      <c r="BBR58" s="10"/>
      <c r="BBS58" s="10"/>
      <c r="BBT58" s="10"/>
      <c r="BBU58" s="10"/>
      <c r="BBV58" s="10"/>
      <c r="BBW58" s="10"/>
      <c r="BBX58" s="10"/>
      <c r="BBY58" s="10"/>
      <c r="BBZ58" s="10"/>
      <c r="BCA58" s="10"/>
      <c r="BCB58" s="10"/>
      <c r="BCC58" s="10"/>
      <c r="BCD58" s="10"/>
      <c r="BCE58" s="10"/>
      <c r="BCF58" s="10"/>
      <c r="BCG58" s="10"/>
      <c r="BCH58" s="10"/>
      <c r="BCI58" s="10"/>
      <c r="BCJ58" s="10"/>
      <c r="BCK58" s="10"/>
      <c r="BCL58" s="10"/>
      <c r="BCM58" s="10"/>
      <c r="BCN58" s="10"/>
      <c r="BCO58" s="10"/>
      <c r="BCP58" s="10"/>
      <c r="BCQ58" s="10"/>
      <c r="BCR58" s="10"/>
      <c r="BCS58" s="10"/>
      <c r="BCT58" s="10"/>
      <c r="BCU58" s="10"/>
      <c r="BCV58" s="10"/>
      <c r="BCW58" s="10"/>
      <c r="BCX58" s="10"/>
      <c r="BCY58" s="10"/>
      <c r="BCZ58" s="10"/>
      <c r="BDA58" s="10"/>
      <c r="BDB58" s="10"/>
      <c r="BDC58" s="10"/>
      <c r="BDD58" s="10"/>
      <c r="BDE58" s="10"/>
      <c r="BDF58" s="10"/>
      <c r="BDG58" s="10"/>
      <c r="BDH58" s="10"/>
      <c r="BDI58" s="10"/>
      <c r="BDJ58" s="10"/>
      <c r="BDK58" s="10"/>
      <c r="BDL58" s="10"/>
      <c r="BDM58" s="10"/>
      <c r="BDN58" s="10"/>
      <c r="BDO58" s="10"/>
      <c r="BDP58" s="10"/>
      <c r="BDQ58" s="10"/>
      <c r="BDR58" s="10"/>
      <c r="BDS58" s="10"/>
      <c r="BDT58" s="10"/>
      <c r="BDU58" s="10"/>
      <c r="BDV58" s="10"/>
      <c r="BDW58" s="10"/>
      <c r="BDX58" s="10"/>
      <c r="BDY58" s="10"/>
      <c r="BDZ58" s="10"/>
      <c r="BEA58" s="10"/>
      <c r="BEB58" s="10"/>
      <c r="BEC58" s="10"/>
      <c r="BED58" s="10"/>
      <c r="BEE58" s="10"/>
      <c r="BEF58" s="10"/>
      <c r="BEG58" s="10"/>
      <c r="BEH58" s="10"/>
      <c r="BEI58" s="10"/>
      <c r="BEJ58" s="10"/>
      <c r="BEK58" s="10"/>
      <c r="BEL58" s="10"/>
      <c r="BEM58" s="10"/>
      <c r="BEN58" s="10"/>
      <c r="BEO58" s="10"/>
      <c r="BEP58" s="10"/>
      <c r="BEQ58" s="10"/>
      <c r="BER58" s="10"/>
      <c r="BES58" s="10"/>
      <c r="BET58" s="10"/>
      <c r="BEU58" s="10"/>
      <c r="BEV58" s="10"/>
      <c r="BEW58" s="10"/>
      <c r="BEX58" s="10"/>
      <c r="BEY58" s="10"/>
      <c r="BEZ58" s="10"/>
      <c r="BFA58" s="10"/>
      <c r="BFB58" s="10"/>
      <c r="BFC58" s="10"/>
      <c r="BFD58" s="10"/>
      <c r="BFE58" s="10"/>
      <c r="BFF58" s="10"/>
      <c r="BFG58" s="10"/>
      <c r="BFH58" s="10"/>
      <c r="BFI58" s="10"/>
      <c r="BFJ58" s="10"/>
      <c r="BFK58" s="10"/>
      <c r="BFL58" s="10"/>
      <c r="BFM58" s="10"/>
      <c r="BFN58" s="10"/>
      <c r="BFO58" s="10"/>
      <c r="BFP58" s="10"/>
      <c r="BFQ58" s="10"/>
      <c r="BFR58" s="10"/>
      <c r="BFS58" s="10"/>
      <c r="BFT58" s="10"/>
      <c r="BFU58" s="10"/>
      <c r="BFV58" s="10"/>
      <c r="BFW58" s="10"/>
      <c r="BFX58" s="10"/>
      <c r="BFY58" s="10"/>
      <c r="BFZ58" s="10"/>
      <c r="BGA58" s="10"/>
      <c r="BGB58" s="10"/>
      <c r="BGC58" s="10"/>
      <c r="BGD58" s="10"/>
      <c r="BGE58" s="10"/>
      <c r="BGF58" s="10"/>
      <c r="BGG58" s="10"/>
      <c r="BGH58" s="10"/>
      <c r="BGI58" s="10"/>
      <c r="BGJ58" s="10"/>
      <c r="BGK58" s="10"/>
      <c r="BGL58" s="10"/>
      <c r="BGM58" s="10"/>
      <c r="BGN58" s="10"/>
      <c r="BGO58" s="10"/>
      <c r="BGP58" s="10"/>
      <c r="BGQ58" s="10"/>
      <c r="BGR58" s="10"/>
      <c r="BGS58" s="10"/>
      <c r="BGT58" s="10"/>
      <c r="BGU58" s="10"/>
      <c r="BGV58" s="10"/>
      <c r="BGW58" s="10"/>
      <c r="BGX58" s="10"/>
      <c r="BGY58" s="10"/>
      <c r="BGZ58" s="10"/>
      <c r="BHA58" s="10"/>
      <c r="BHB58" s="10"/>
      <c r="BHC58" s="10"/>
      <c r="BHD58" s="10"/>
      <c r="BHE58" s="10"/>
      <c r="BHF58" s="10"/>
      <c r="BHG58" s="10"/>
      <c r="BHH58" s="10"/>
      <c r="BHI58" s="10"/>
      <c r="BHJ58" s="10"/>
      <c r="BHK58" s="10"/>
      <c r="BHL58" s="10"/>
      <c r="BHM58" s="10"/>
      <c r="BHN58" s="10"/>
      <c r="BHO58" s="10"/>
      <c r="BHP58" s="10"/>
      <c r="BHQ58" s="10"/>
      <c r="BHR58" s="10"/>
      <c r="BHS58" s="10"/>
      <c r="BHT58" s="10"/>
      <c r="BHU58" s="10"/>
      <c r="BHV58" s="10"/>
      <c r="BHW58" s="10"/>
      <c r="BHX58" s="10"/>
      <c r="BHY58" s="10"/>
      <c r="BHZ58" s="10"/>
      <c r="BIA58" s="10"/>
      <c r="BIB58" s="10"/>
      <c r="BIC58" s="10"/>
      <c r="BID58" s="10"/>
      <c r="BIE58" s="10"/>
      <c r="BIF58" s="10"/>
      <c r="BIG58" s="10"/>
      <c r="BIH58" s="10"/>
      <c r="BII58" s="10"/>
      <c r="BIJ58" s="10"/>
      <c r="BIK58" s="10"/>
      <c r="BIL58" s="10"/>
      <c r="BIM58" s="10"/>
      <c r="BIN58" s="10"/>
      <c r="BIO58" s="10"/>
      <c r="BIP58" s="10"/>
      <c r="BIQ58" s="10"/>
      <c r="BIR58" s="10"/>
      <c r="BIS58" s="10"/>
      <c r="BIT58" s="10"/>
      <c r="BIU58" s="10"/>
      <c r="BIV58" s="10"/>
      <c r="BIW58" s="10"/>
      <c r="BIX58" s="10"/>
      <c r="BIY58" s="10"/>
      <c r="BIZ58" s="10"/>
      <c r="BJA58" s="10"/>
      <c r="BJB58" s="10"/>
      <c r="BJC58" s="10"/>
      <c r="BJD58" s="10"/>
      <c r="BJE58" s="10"/>
      <c r="BJF58" s="10"/>
      <c r="BJG58" s="10"/>
      <c r="BJH58" s="10"/>
      <c r="BJI58" s="10"/>
      <c r="BJJ58" s="10"/>
      <c r="BJK58" s="10"/>
      <c r="BJL58" s="10"/>
      <c r="BJM58" s="10"/>
      <c r="BJN58" s="10"/>
      <c r="BJO58" s="10"/>
      <c r="BJP58" s="10"/>
      <c r="BJQ58" s="10"/>
      <c r="BJR58" s="10"/>
      <c r="BJS58" s="10"/>
      <c r="BJT58" s="10"/>
      <c r="BJU58" s="10"/>
      <c r="BJV58" s="10"/>
      <c r="BJW58" s="10"/>
      <c r="BJX58" s="10"/>
      <c r="BJY58" s="10"/>
      <c r="BJZ58" s="10"/>
      <c r="BKA58" s="10"/>
      <c r="BKB58" s="10"/>
      <c r="BKC58" s="10"/>
      <c r="BKD58" s="10"/>
      <c r="BKE58" s="10"/>
      <c r="BKF58" s="10"/>
      <c r="BKG58" s="10"/>
      <c r="BKH58" s="10"/>
      <c r="BKI58" s="10"/>
      <c r="BKJ58" s="10"/>
      <c r="BKK58" s="10"/>
      <c r="BKL58" s="10"/>
      <c r="BKM58" s="10"/>
      <c r="BKN58" s="10"/>
      <c r="BKO58" s="10"/>
      <c r="BKP58" s="10"/>
      <c r="BKQ58" s="10"/>
      <c r="BKR58" s="10"/>
      <c r="BKS58" s="10"/>
      <c r="BKT58" s="10"/>
      <c r="BKU58" s="10"/>
      <c r="BKV58" s="10"/>
      <c r="BKW58" s="10"/>
      <c r="BKX58" s="10"/>
      <c r="BKY58" s="10"/>
      <c r="BKZ58" s="10"/>
      <c r="BLA58" s="10"/>
      <c r="BLB58" s="10"/>
      <c r="BLC58" s="10"/>
      <c r="BLD58" s="10"/>
      <c r="BLE58" s="10"/>
      <c r="BLF58" s="10"/>
      <c r="BLG58" s="10"/>
      <c r="BLH58" s="10"/>
      <c r="BLI58" s="10"/>
      <c r="BLJ58" s="10"/>
      <c r="BLK58" s="10"/>
      <c r="BLL58" s="10"/>
      <c r="BLM58" s="10"/>
      <c r="BLN58" s="10"/>
      <c r="BLO58" s="10"/>
      <c r="BLP58" s="10"/>
      <c r="BLQ58" s="10"/>
      <c r="BLR58" s="10"/>
      <c r="BLS58" s="10"/>
      <c r="BLT58" s="10"/>
      <c r="BLU58" s="10"/>
      <c r="BLV58" s="10"/>
      <c r="BLW58" s="10"/>
      <c r="BLX58" s="10"/>
      <c r="BLY58" s="10"/>
      <c r="BLZ58" s="10"/>
      <c r="BMA58" s="10"/>
      <c r="BMB58" s="10"/>
      <c r="BMC58" s="10"/>
      <c r="BMD58" s="10"/>
      <c r="BME58" s="10"/>
      <c r="BMF58" s="10"/>
      <c r="BMG58" s="10"/>
      <c r="BMH58" s="10"/>
      <c r="BMI58" s="10"/>
      <c r="BMJ58" s="10"/>
      <c r="BMK58" s="10"/>
      <c r="BML58" s="10"/>
      <c r="BMM58" s="10"/>
      <c r="BMN58" s="10"/>
      <c r="BMO58" s="10"/>
      <c r="BMP58" s="10"/>
      <c r="BMQ58" s="10"/>
      <c r="BMR58" s="10"/>
      <c r="BMS58" s="10"/>
      <c r="BMT58" s="10"/>
      <c r="BMU58" s="10"/>
      <c r="BMV58" s="10"/>
      <c r="BMW58" s="10"/>
      <c r="BMX58" s="10"/>
      <c r="BMY58" s="10"/>
      <c r="BMZ58" s="10"/>
      <c r="BNA58" s="10"/>
      <c r="BNB58" s="10"/>
      <c r="BNC58" s="10"/>
      <c r="BND58" s="10"/>
      <c r="BNE58" s="10"/>
      <c r="BNF58" s="10"/>
      <c r="BNG58" s="10"/>
      <c r="BNH58" s="10"/>
      <c r="BNI58" s="10"/>
      <c r="BNJ58" s="10"/>
      <c r="BNK58" s="10"/>
      <c r="BNL58" s="10"/>
      <c r="BNM58" s="10"/>
      <c r="BNN58" s="10"/>
      <c r="BNO58" s="10"/>
      <c r="BNP58" s="10"/>
      <c r="BNQ58" s="10"/>
      <c r="BNR58" s="10"/>
      <c r="BNS58" s="10"/>
      <c r="BNT58" s="10"/>
      <c r="BNU58" s="10"/>
      <c r="BNV58" s="10"/>
      <c r="BNW58" s="10"/>
      <c r="BNX58" s="10"/>
      <c r="BNY58" s="10"/>
      <c r="BNZ58" s="10"/>
      <c r="BOA58" s="10"/>
      <c r="BOB58" s="10"/>
      <c r="BOC58" s="10"/>
      <c r="BOD58" s="10"/>
      <c r="BOE58" s="10"/>
      <c r="BOF58" s="10"/>
      <c r="BOG58" s="10"/>
      <c r="BOH58" s="10"/>
      <c r="BOI58" s="10"/>
      <c r="BOJ58" s="10"/>
      <c r="BOK58" s="10"/>
      <c r="BOL58" s="10"/>
      <c r="BOM58" s="10"/>
      <c r="BON58" s="10"/>
      <c r="BOO58" s="10"/>
      <c r="BOP58" s="10"/>
      <c r="BOQ58" s="10"/>
      <c r="BOR58" s="10"/>
      <c r="BOS58" s="10"/>
      <c r="BOT58" s="10"/>
      <c r="BOU58" s="10"/>
      <c r="BOV58" s="10"/>
      <c r="BOW58" s="10"/>
      <c r="BOX58" s="10"/>
      <c r="BOY58" s="10"/>
      <c r="BOZ58" s="10"/>
      <c r="BPA58" s="10"/>
      <c r="BPB58" s="10"/>
      <c r="BPC58" s="10"/>
      <c r="BPD58" s="10"/>
      <c r="BPE58" s="10"/>
      <c r="BPF58" s="10"/>
      <c r="BPG58" s="10"/>
      <c r="BPH58" s="10"/>
      <c r="BPI58" s="10"/>
      <c r="BPJ58" s="10"/>
      <c r="BPK58" s="10"/>
      <c r="BPL58" s="10"/>
      <c r="BPM58" s="10"/>
      <c r="BPN58" s="10"/>
      <c r="BPO58" s="10"/>
      <c r="BPP58" s="10"/>
      <c r="BPQ58" s="10"/>
      <c r="BPR58" s="10"/>
      <c r="BPS58" s="10"/>
      <c r="BPT58" s="10"/>
      <c r="BPU58" s="10"/>
      <c r="BPV58" s="10"/>
      <c r="BPW58" s="10"/>
      <c r="BPX58" s="10"/>
      <c r="BPY58" s="10"/>
      <c r="BPZ58" s="10"/>
      <c r="BQA58" s="10"/>
      <c r="BQB58" s="10"/>
      <c r="BQC58" s="10"/>
      <c r="BQD58" s="10"/>
      <c r="BQE58" s="10"/>
      <c r="BQF58" s="10"/>
      <c r="BQG58" s="10"/>
      <c r="BQH58" s="10"/>
      <c r="BQI58" s="10"/>
      <c r="BQJ58" s="10"/>
      <c r="BQK58" s="10"/>
      <c r="BQL58" s="10"/>
      <c r="BQM58" s="10"/>
      <c r="BQN58" s="10"/>
      <c r="BQO58" s="10"/>
      <c r="BQP58" s="10"/>
      <c r="BQQ58" s="10"/>
      <c r="BQR58" s="10"/>
      <c r="BQS58" s="10"/>
      <c r="BQT58" s="10"/>
      <c r="BQU58" s="10"/>
      <c r="BQV58" s="10"/>
      <c r="BQW58" s="10"/>
      <c r="BQX58" s="10"/>
      <c r="BQY58" s="10"/>
      <c r="BQZ58" s="10"/>
      <c r="BRA58" s="10"/>
      <c r="BRB58" s="10"/>
      <c r="BRC58" s="10"/>
      <c r="BRD58" s="10"/>
      <c r="BRE58" s="10"/>
      <c r="BRF58" s="10"/>
      <c r="BRG58" s="10"/>
      <c r="BRH58" s="10"/>
      <c r="BRI58" s="10"/>
      <c r="BRJ58" s="10"/>
      <c r="BRK58" s="10"/>
      <c r="BRL58" s="10"/>
      <c r="BRM58" s="10"/>
      <c r="BRN58" s="10"/>
      <c r="BRO58" s="10"/>
      <c r="BRP58" s="10"/>
      <c r="BRQ58" s="10"/>
      <c r="BRR58" s="10"/>
      <c r="BRS58" s="10"/>
      <c r="BRT58" s="10"/>
      <c r="BRU58" s="10"/>
      <c r="BRV58" s="10"/>
      <c r="BRW58" s="10"/>
      <c r="BRX58" s="10"/>
      <c r="BRY58" s="10"/>
      <c r="BRZ58" s="10"/>
      <c r="BSA58" s="10"/>
      <c r="BSB58" s="10"/>
      <c r="BSC58" s="10"/>
      <c r="BSD58" s="10"/>
      <c r="BSE58" s="10"/>
      <c r="BSF58" s="10"/>
      <c r="BSG58" s="10"/>
      <c r="BSH58" s="10"/>
      <c r="BSI58" s="10"/>
      <c r="BSJ58" s="10"/>
      <c r="BSK58" s="10"/>
      <c r="BSL58" s="10"/>
      <c r="BSM58" s="10"/>
      <c r="BSN58" s="10"/>
      <c r="BSO58" s="10"/>
      <c r="BSP58" s="10"/>
      <c r="BSQ58" s="10"/>
      <c r="BSR58" s="10"/>
      <c r="BSS58" s="10"/>
      <c r="BST58" s="10"/>
      <c r="BSU58" s="10"/>
      <c r="BSV58" s="10"/>
      <c r="BSW58" s="10"/>
      <c r="BSX58" s="10"/>
      <c r="BSY58" s="10"/>
      <c r="BSZ58" s="10"/>
      <c r="BTA58" s="10"/>
      <c r="BTB58" s="10"/>
      <c r="BTC58" s="10"/>
      <c r="BTD58" s="10"/>
      <c r="BTE58" s="10"/>
      <c r="BTF58" s="10"/>
      <c r="BTG58" s="10"/>
      <c r="BTH58" s="10"/>
      <c r="BTI58" s="10"/>
      <c r="BTJ58" s="10"/>
      <c r="BTK58" s="10"/>
      <c r="BTL58" s="10"/>
      <c r="BTM58" s="10"/>
      <c r="BTN58" s="10"/>
      <c r="BTO58" s="10"/>
      <c r="BTP58" s="10"/>
      <c r="BTQ58" s="10"/>
      <c r="BTR58" s="10"/>
      <c r="BTS58" s="10"/>
      <c r="BTT58" s="10"/>
      <c r="BTU58" s="10"/>
      <c r="BTV58" s="10"/>
      <c r="BTW58" s="10"/>
      <c r="BTX58" s="10"/>
      <c r="BTY58" s="10"/>
      <c r="BTZ58" s="10"/>
      <c r="BUA58" s="10"/>
      <c r="BUB58" s="10"/>
      <c r="BUC58" s="10"/>
      <c r="BUD58" s="10"/>
      <c r="BUE58" s="10"/>
      <c r="BUF58" s="10"/>
      <c r="BUG58" s="10"/>
      <c r="BUH58" s="10"/>
      <c r="BUI58" s="10"/>
      <c r="BUJ58" s="10"/>
      <c r="BUK58" s="10"/>
      <c r="BUL58" s="10"/>
      <c r="BUM58" s="10"/>
      <c r="BUN58" s="10"/>
      <c r="BUO58" s="10"/>
      <c r="BUP58" s="10"/>
      <c r="BUQ58" s="10"/>
      <c r="BUR58" s="10"/>
      <c r="BUS58" s="10"/>
      <c r="BUT58" s="10"/>
      <c r="BUU58" s="10"/>
      <c r="BUV58" s="10"/>
      <c r="BUW58" s="10"/>
      <c r="BUX58" s="10"/>
      <c r="BUY58" s="10"/>
      <c r="BUZ58" s="10"/>
      <c r="BVA58" s="10"/>
      <c r="BVB58" s="10"/>
      <c r="BVC58" s="10"/>
      <c r="BVD58" s="10"/>
      <c r="BVE58" s="10"/>
      <c r="BVF58" s="10"/>
      <c r="BVG58" s="10"/>
      <c r="BVH58" s="10"/>
      <c r="BVI58" s="10"/>
      <c r="BVJ58" s="10"/>
      <c r="BVK58" s="10"/>
      <c r="BVL58" s="10"/>
      <c r="BVM58" s="10"/>
      <c r="BVN58" s="10"/>
      <c r="BVO58" s="10"/>
      <c r="BVP58" s="10"/>
      <c r="BVQ58" s="10"/>
      <c r="BVR58" s="10"/>
      <c r="BVS58" s="10"/>
      <c r="BVT58" s="10"/>
      <c r="BVU58" s="10"/>
      <c r="BVV58" s="10"/>
      <c r="BVW58" s="10"/>
      <c r="BVX58" s="10"/>
      <c r="BVY58" s="10"/>
      <c r="BVZ58" s="10"/>
      <c r="BWA58" s="10"/>
      <c r="BWB58" s="10"/>
      <c r="BWC58" s="10"/>
      <c r="BWD58" s="10"/>
      <c r="BWE58" s="10"/>
      <c r="BWF58" s="10"/>
      <c r="BWG58" s="10"/>
      <c r="BWH58" s="10"/>
      <c r="BWI58" s="10"/>
      <c r="BWJ58" s="10"/>
      <c r="BWK58" s="10"/>
      <c r="BWL58" s="10"/>
      <c r="BWM58" s="10"/>
      <c r="BWN58" s="10"/>
      <c r="BWO58" s="10"/>
      <c r="BWP58" s="10"/>
      <c r="BWQ58" s="10"/>
      <c r="BWR58" s="10"/>
      <c r="BWS58" s="10"/>
      <c r="BWT58" s="10"/>
      <c r="BWU58" s="10"/>
      <c r="BWV58" s="10"/>
      <c r="BWW58" s="10"/>
      <c r="BWX58" s="10"/>
      <c r="BWY58" s="10"/>
      <c r="BWZ58" s="10"/>
      <c r="BXA58" s="10"/>
      <c r="BXB58" s="10"/>
      <c r="BXC58" s="10"/>
      <c r="BXD58" s="10"/>
      <c r="BXE58" s="10"/>
      <c r="BXF58" s="10"/>
      <c r="BXG58" s="10"/>
      <c r="BXH58" s="10"/>
      <c r="BXI58" s="10"/>
      <c r="BXJ58" s="10"/>
      <c r="BXK58" s="10"/>
      <c r="BXL58" s="10"/>
      <c r="BXM58" s="10"/>
      <c r="BXN58" s="10"/>
      <c r="BXO58" s="10"/>
      <c r="BXP58" s="10"/>
      <c r="BXQ58" s="10"/>
      <c r="BXR58" s="10"/>
      <c r="BXS58" s="10"/>
      <c r="BXT58" s="10"/>
      <c r="BXU58" s="10"/>
      <c r="BXV58" s="10"/>
      <c r="BXW58" s="10"/>
      <c r="BXX58" s="10"/>
      <c r="BXY58" s="10"/>
      <c r="BXZ58" s="10"/>
      <c r="BYA58" s="10"/>
      <c r="BYB58" s="10"/>
      <c r="BYC58" s="10"/>
      <c r="BYD58" s="10"/>
      <c r="BYE58" s="10"/>
      <c r="BYF58" s="10"/>
      <c r="BYG58" s="10"/>
      <c r="BYH58" s="10"/>
      <c r="BYI58" s="10"/>
      <c r="BYJ58" s="10"/>
      <c r="BYK58" s="10"/>
      <c r="BYL58" s="10"/>
      <c r="BYM58" s="10"/>
      <c r="BYN58" s="10"/>
      <c r="BYO58" s="10"/>
      <c r="BYP58" s="10"/>
      <c r="BYQ58" s="10"/>
      <c r="BYR58" s="10"/>
      <c r="BYS58" s="10"/>
      <c r="BYT58" s="10"/>
      <c r="BYU58" s="10"/>
      <c r="BYV58" s="10"/>
      <c r="BYW58" s="10"/>
      <c r="BYX58" s="10"/>
      <c r="BYY58" s="10"/>
      <c r="BYZ58" s="10"/>
      <c r="BZA58" s="10"/>
      <c r="BZB58" s="10"/>
      <c r="BZC58" s="10"/>
      <c r="BZD58" s="10"/>
      <c r="BZE58" s="10"/>
      <c r="BZF58" s="10"/>
      <c r="BZG58" s="10"/>
      <c r="BZH58" s="10"/>
      <c r="BZI58" s="10"/>
      <c r="BZJ58" s="10"/>
      <c r="BZK58" s="10"/>
      <c r="BZL58" s="10"/>
      <c r="BZM58" s="10"/>
      <c r="BZN58" s="10"/>
      <c r="BZO58" s="10"/>
      <c r="BZP58" s="10"/>
      <c r="BZQ58" s="10"/>
      <c r="BZR58" s="10"/>
      <c r="BZS58" s="10"/>
      <c r="BZT58" s="10"/>
      <c r="BZU58" s="10"/>
      <c r="BZV58" s="10"/>
      <c r="BZW58" s="10"/>
      <c r="BZX58" s="10"/>
      <c r="BZY58" s="10"/>
      <c r="BZZ58" s="10"/>
      <c r="CAA58" s="10"/>
      <c r="CAB58" s="10"/>
      <c r="CAC58" s="10"/>
      <c r="CAD58" s="10"/>
      <c r="CAE58" s="10"/>
      <c r="CAF58" s="10"/>
      <c r="CAG58" s="10"/>
      <c r="CAH58" s="10"/>
      <c r="CAI58" s="10"/>
      <c r="CAJ58" s="10"/>
      <c r="CAK58" s="10"/>
      <c r="CAL58" s="10"/>
      <c r="CAM58" s="10"/>
      <c r="CAN58" s="10"/>
      <c r="CAO58" s="10"/>
      <c r="CAP58" s="10"/>
      <c r="CAQ58" s="10"/>
      <c r="CAR58" s="10"/>
      <c r="CAS58" s="10"/>
      <c r="CAT58" s="10"/>
      <c r="CAU58" s="10"/>
      <c r="CAV58" s="10"/>
      <c r="CAW58" s="10"/>
      <c r="CAX58" s="10"/>
      <c r="CAY58" s="10"/>
      <c r="CAZ58" s="10"/>
      <c r="CBA58" s="10"/>
      <c r="CBB58" s="10"/>
      <c r="CBC58" s="10"/>
      <c r="CBD58" s="10"/>
      <c r="CBE58" s="10"/>
      <c r="CBF58" s="10"/>
      <c r="CBG58" s="10"/>
      <c r="CBH58" s="10"/>
      <c r="CBI58" s="10"/>
      <c r="CBJ58" s="10"/>
      <c r="CBK58" s="10"/>
      <c r="CBL58" s="10"/>
      <c r="CBM58" s="10"/>
      <c r="CBN58" s="10"/>
      <c r="CBO58" s="10"/>
      <c r="CBP58" s="10"/>
      <c r="CBQ58" s="10"/>
      <c r="CBR58" s="10"/>
      <c r="CBS58" s="10"/>
      <c r="CBT58" s="10"/>
      <c r="CBU58" s="10"/>
      <c r="CBV58" s="10"/>
      <c r="CBW58" s="10"/>
      <c r="CBX58" s="10"/>
      <c r="CBY58" s="10"/>
      <c r="CBZ58" s="10"/>
      <c r="CCA58" s="10"/>
      <c r="CCB58" s="10"/>
      <c r="CCC58" s="10"/>
      <c r="CCD58" s="10"/>
      <c r="CCE58" s="10"/>
      <c r="CCF58" s="10"/>
      <c r="CCG58" s="10"/>
      <c r="CCH58" s="10"/>
      <c r="CCI58" s="10"/>
      <c r="CCJ58" s="10"/>
      <c r="CCK58" s="10"/>
      <c r="CCL58" s="10"/>
      <c r="CCM58" s="10"/>
      <c r="CCN58" s="10"/>
      <c r="CCO58" s="10"/>
      <c r="CCP58" s="10"/>
      <c r="CCQ58" s="10"/>
      <c r="CCR58" s="10"/>
      <c r="CCS58" s="10"/>
      <c r="CCT58" s="10"/>
      <c r="CCU58" s="10"/>
      <c r="CCV58" s="10"/>
      <c r="CCW58" s="10"/>
      <c r="CCX58" s="10"/>
      <c r="CCY58" s="10"/>
      <c r="CCZ58" s="10"/>
      <c r="CDA58" s="10"/>
      <c r="CDB58" s="10"/>
      <c r="CDC58" s="10"/>
      <c r="CDD58" s="10"/>
      <c r="CDE58" s="10"/>
      <c r="CDF58" s="10"/>
      <c r="CDG58" s="10"/>
      <c r="CDH58" s="10"/>
      <c r="CDI58" s="10"/>
      <c r="CDJ58" s="10"/>
      <c r="CDK58" s="10"/>
      <c r="CDL58" s="10"/>
      <c r="CDM58" s="10"/>
      <c r="CDN58" s="10"/>
      <c r="CDO58" s="10"/>
      <c r="CDP58" s="10"/>
      <c r="CDQ58" s="10"/>
      <c r="CDR58" s="10"/>
      <c r="CDS58" s="10"/>
      <c r="CDT58" s="10"/>
      <c r="CDU58" s="10"/>
      <c r="CDV58" s="10"/>
      <c r="CDW58" s="10"/>
      <c r="CDX58" s="10"/>
      <c r="CDY58" s="10"/>
      <c r="CDZ58" s="10"/>
      <c r="CEA58" s="10"/>
      <c r="CEB58" s="10"/>
      <c r="CEC58" s="10"/>
      <c r="CED58" s="10"/>
      <c r="CEE58" s="10"/>
      <c r="CEF58" s="10"/>
      <c r="CEG58" s="10"/>
      <c r="CEH58" s="10"/>
      <c r="CEI58" s="10"/>
      <c r="CEJ58" s="10"/>
      <c r="CEK58" s="10"/>
      <c r="CEL58" s="10"/>
      <c r="CEM58" s="10"/>
      <c r="CEN58" s="10"/>
      <c r="CEO58" s="10"/>
      <c r="CEP58" s="10"/>
      <c r="CEQ58" s="10"/>
      <c r="CER58" s="10"/>
      <c r="CES58" s="10"/>
      <c r="CET58" s="10"/>
      <c r="CEU58" s="10"/>
      <c r="CEV58" s="10"/>
      <c r="CEW58" s="10"/>
      <c r="CEX58" s="10"/>
      <c r="CEY58" s="10"/>
      <c r="CEZ58" s="10"/>
      <c r="CFA58" s="10"/>
      <c r="CFB58" s="10"/>
      <c r="CFC58" s="10"/>
      <c r="CFD58" s="10"/>
      <c r="CFE58" s="10"/>
      <c r="CFF58" s="10"/>
      <c r="CFG58" s="10"/>
      <c r="CFH58" s="10"/>
      <c r="CFI58" s="10"/>
      <c r="CFJ58" s="10"/>
      <c r="CFK58" s="10"/>
      <c r="CFL58" s="10"/>
      <c r="CFM58" s="10"/>
      <c r="CFN58" s="10"/>
      <c r="CFO58" s="10"/>
      <c r="CFP58" s="10"/>
      <c r="CFQ58" s="10"/>
      <c r="CFR58" s="10"/>
      <c r="CFS58" s="10"/>
      <c r="CFT58" s="10"/>
      <c r="CFU58" s="10"/>
      <c r="CFV58" s="10"/>
      <c r="CFW58" s="10"/>
      <c r="CFX58" s="10"/>
      <c r="CFY58" s="10"/>
      <c r="CFZ58" s="10"/>
      <c r="CGA58" s="10"/>
      <c r="CGB58" s="10"/>
      <c r="CGC58" s="10"/>
      <c r="CGD58" s="10"/>
      <c r="CGE58" s="10"/>
      <c r="CGF58" s="10"/>
      <c r="CGG58" s="10"/>
      <c r="CGH58" s="10"/>
      <c r="CGI58" s="10"/>
      <c r="CGJ58" s="10"/>
      <c r="CGK58" s="10"/>
      <c r="CGL58" s="10"/>
      <c r="CGM58" s="10"/>
      <c r="CGN58" s="10"/>
      <c r="CGO58" s="10"/>
      <c r="CGP58" s="10"/>
      <c r="CGQ58" s="10"/>
      <c r="CGR58" s="10"/>
      <c r="CGS58" s="10"/>
      <c r="CGT58" s="10"/>
      <c r="CGU58" s="10"/>
      <c r="CGV58" s="10"/>
      <c r="CGW58" s="10"/>
      <c r="CGX58" s="10"/>
      <c r="CGY58" s="10"/>
      <c r="CGZ58" s="10"/>
      <c r="CHA58" s="10"/>
      <c r="CHB58" s="10"/>
      <c r="CHC58" s="10"/>
      <c r="CHD58" s="10"/>
      <c r="CHE58" s="10"/>
      <c r="CHF58" s="10"/>
      <c r="CHG58" s="10"/>
      <c r="CHH58" s="10"/>
      <c r="CHI58" s="10"/>
      <c r="CHJ58" s="10"/>
      <c r="CHK58" s="10"/>
      <c r="CHL58" s="10"/>
      <c r="CHM58" s="10"/>
      <c r="CHN58" s="10"/>
      <c r="CHO58" s="10"/>
      <c r="CHP58" s="10"/>
      <c r="CHQ58" s="10"/>
      <c r="CHR58" s="10"/>
      <c r="CHS58" s="10"/>
      <c r="CHT58" s="10"/>
      <c r="CHU58" s="10"/>
      <c r="CHV58" s="10"/>
      <c r="CHW58" s="10"/>
      <c r="CHX58" s="10"/>
      <c r="CHY58" s="10"/>
      <c r="CHZ58" s="10"/>
      <c r="CIA58" s="10"/>
      <c r="CIB58" s="10"/>
      <c r="CIC58" s="10"/>
      <c r="CID58" s="10"/>
      <c r="CIE58" s="10"/>
      <c r="CIF58" s="10"/>
      <c r="CIG58" s="10"/>
      <c r="CIH58" s="10"/>
      <c r="CII58" s="10"/>
      <c r="CIJ58" s="10"/>
      <c r="CIK58" s="10"/>
      <c r="CIL58" s="10"/>
      <c r="CIM58" s="10"/>
      <c r="CIN58" s="10"/>
      <c r="CIO58" s="10"/>
      <c r="CIP58" s="10"/>
      <c r="CIQ58" s="10"/>
      <c r="CIR58" s="10"/>
      <c r="CIS58" s="10"/>
      <c r="CIT58" s="10"/>
      <c r="CIU58" s="10"/>
      <c r="CIV58" s="10"/>
      <c r="CIW58" s="10"/>
      <c r="CIX58" s="10"/>
      <c r="CIY58" s="10"/>
      <c r="CIZ58" s="10"/>
      <c r="CJA58" s="10"/>
      <c r="CJB58" s="10"/>
      <c r="CJC58" s="10"/>
      <c r="CJD58" s="10"/>
      <c r="CJE58" s="10"/>
      <c r="CJF58" s="10"/>
      <c r="CJG58" s="10"/>
      <c r="CJH58" s="10"/>
      <c r="CJI58" s="10"/>
      <c r="CJJ58" s="10"/>
      <c r="CJK58" s="10"/>
      <c r="CJL58" s="10"/>
      <c r="CJM58" s="10"/>
      <c r="CJN58" s="10"/>
      <c r="CJO58" s="10"/>
      <c r="CJP58" s="10"/>
      <c r="CJQ58" s="10"/>
      <c r="CJR58" s="10"/>
      <c r="CJS58" s="10"/>
      <c r="CJT58" s="10"/>
      <c r="CJU58" s="10"/>
      <c r="CJV58" s="10"/>
      <c r="CJW58" s="10"/>
      <c r="CJX58" s="10"/>
      <c r="CJY58" s="10"/>
      <c r="CJZ58" s="10"/>
      <c r="CKA58" s="10"/>
      <c r="CKB58" s="10"/>
      <c r="CKC58" s="10"/>
      <c r="CKD58" s="10"/>
      <c r="CKE58" s="10"/>
      <c r="CKF58" s="10"/>
      <c r="CKG58" s="10"/>
      <c r="CKH58" s="10"/>
      <c r="CKI58" s="10"/>
      <c r="CKJ58" s="10"/>
      <c r="CKK58" s="10"/>
      <c r="CKL58" s="10"/>
      <c r="CKM58" s="10"/>
      <c r="CKN58" s="10"/>
      <c r="CKO58" s="10"/>
      <c r="CKP58" s="10"/>
      <c r="CKQ58" s="10"/>
      <c r="CKR58" s="10"/>
      <c r="CKS58" s="10"/>
      <c r="CKT58" s="10"/>
      <c r="CKU58" s="10"/>
      <c r="CKV58" s="10"/>
      <c r="CKW58" s="10"/>
      <c r="CKX58" s="10"/>
      <c r="CKY58" s="10"/>
      <c r="CKZ58" s="10"/>
      <c r="CLA58" s="10"/>
      <c r="CLB58" s="10"/>
      <c r="CLC58" s="10"/>
      <c r="CLD58" s="10"/>
      <c r="CLE58" s="10"/>
      <c r="CLF58" s="10"/>
      <c r="CLG58" s="10"/>
      <c r="CLH58" s="10"/>
      <c r="CLI58" s="10"/>
      <c r="CLJ58" s="10"/>
      <c r="CLK58" s="10"/>
      <c r="CLL58" s="10"/>
      <c r="CLM58" s="10"/>
      <c r="CLN58" s="10"/>
      <c r="CLO58" s="10"/>
      <c r="CLP58" s="10"/>
      <c r="CLQ58" s="10"/>
      <c r="CLR58" s="10"/>
      <c r="CLS58" s="10"/>
      <c r="CLT58" s="10"/>
      <c r="CLU58" s="10"/>
      <c r="CLV58" s="10"/>
      <c r="CLW58" s="10"/>
      <c r="CLX58" s="10"/>
      <c r="CLY58" s="10"/>
      <c r="CLZ58" s="10"/>
      <c r="CMA58" s="10"/>
      <c r="CMB58" s="10"/>
      <c r="CMC58" s="10"/>
      <c r="CMD58" s="10"/>
      <c r="CME58" s="10"/>
      <c r="CMF58" s="10"/>
      <c r="CMG58" s="10"/>
      <c r="CMH58" s="10"/>
      <c r="CMI58" s="10"/>
      <c r="CMJ58" s="10"/>
      <c r="CMK58" s="10"/>
      <c r="CML58" s="10"/>
      <c r="CMM58" s="10"/>
      <c r="CMN58" s="10"/>
      <c r="CMO58" s="10"/>
      <c r="CMP58" s="10"/>
      <c r="CMQ58" s="10"/>
      <c r="CMR58" s="10"/>
      <c r="CMS58" s="10"/>
      <c r="CMT58" s="10"/>
      <c r="CMU58" s="10"/>
      <c r="CMV58" s="10"/>
      <c r="CMW58" s="10"/>
      <c r="CMX58" s="10"/>
      <c r="CMY58" s="10"/>
      <c r="CMZ58" s="10"/>
      <c r="CNA58" s="10"/>
      <c r="CNB58" s="10"/>
      <c r="CNC58" s="10"/>
      <c r="CND58" s="10"/>
      <c r="CNE58" s="10"/>
      <c r="CNF58" s="10"/>
      <c r="CNG58" s="10"/>
      <c r="CNH58" s="10"/>
      <c r="CNI58" s="10"/>
      <c r="CNJ58" s="10"/>
      <c r="CNK58" s="10"/>
      <c r="CNL58" s="10"/>
      <c r="CNM58" s="10"/>
      <c r="CNN58" s="10"/>
      <c r="CNO58" s="10"/>
      <c r="CNP58" s="10"/>
      <c r="CNQ58" s="10"/>
      <c r="CNR58" s="10"/>
      <c r="CNS58" s="10"/>
      <c r="CNT58" s="10"/>
      <c r="CNU58" s="10"/>
      <c r="CNV58" s="10"/>
      <c r="CNW58" s="10"/>
      <c r="CNX58" s="10"/>
      <c r="CNY58" s="10"/>
      <c r="CNZ58" s="10"/>
      <c r="COA58" s="10"/>
      <c r="COB58" s="10"/>
      <c r="COC58" s="10"/>
      <c r="COD58" s="10"/>
      <c r="COE58" s="10"/>
      <c r="COF58" s="10"/>
      <c r="COG58" s="10"/>
      <c r="COH58" s="10"/>
      <c r="COI58" s="10"/>
      <c r="COJ58" s="10"/>
      <c r="COK58" s="10"/>
      <c r="COL58" s="10"/>
      <c r="COM58" s="10"/>
      <c r="CON58" s="10"/>
      <c r="COO58" s="10"/>
      <c r="COP58" s="10"/>
      <c r="COQ58" s="10"/>
      <c r="COR58" s="10"/>
      <c r="COS58" s="10"/>
      <c r="COT58" s="10"/>
      <c r="COU58" s="10"/>
      <c r="COV58" s="10"/>
      <c r="COW58" s="10"/>
      <c r="COX58" s="10"/>
      <c r="COY58" s="10"/>
      <c r="COZ58" s="10"/>
      <c r="CPA58" s="10"/>
      <c r="CPB58" s="10"/>
      <c r="CPC58" s="10"/>
      <c r="CPD58" s="10"/>
      <c r="CPE58" s="10"/>
      <c r="CPF58" s="10"/>
      <c r="CPG58" s="10"/>
      <c r="CPH58" s="10"/>
      <c r="CPI58" s="10"/>
      <c r="CPJ58" s="10"/>
      <c r="CPK58" s="10"/>
      <c r="CPL58" s="10"/>
      <c r="CPM58" s="10"/>
      <c r="CPN58" s="10"/>
      <c r="CPO58" s="10"/>
      <c r="CPP58" s="10"/>
      <c r="CPQ58" s="10"/>
      <c r="CPR58" s="10"/>
      <c r="CPS58" s="10"/>
      <c r="CPT58" s="10"/>
      <c r="CPU58" s="10"/>
      <c r="CPV58" s="10"/>
      <c r="CPW58" s="10"/>
      <c r="CPX58" s="10"/>
      <c r="CPY58" s="10"/>
      <c r="CPZ58" s="10"/>
      <c r="CQA58" s="10"/>
      <c r="CQB58" s="10"/>
      <c r="CQC58" s="10"/>
      <c r="CQD58" s="10"/>
      <c r="CQE58" s="10"/>
      <c r="CQF58" s="10"/>
      <c r="CQG58" s="10"/>
      <c r="CQH58" s="10"/>
      <c r="CQI58" s="10"/>
      <c r="CQJ58" s="10"/>
      <c r="CQK58" s="10"/>
      <c r="CQL58" s="10"/>
      <c r="CQM58" s="10"/>
      <c r="CQN58" s="10"/>
      <c r="CQO58" s="10"/>
      <c r="CQP58" s="10"/>
      <c r="CQQ58" s="10"/>
      <c r="CQR58" s="10"/>
      <c r="CQS58" s="10"/>
      <c r="CQT58" s="10"/>
      <c r="CQU58" s="10"/>
      <c r="CQV58" s="10"/>
      <c r="CQW58" s="10"/>
      <c r="CQX58" s="10"/>
      <c r="CQY58" s="10"/>
      <c r="CQZ58" s="10"/>
      <c r="CRA58" s="10"/>
      <c r="CRB58" s="10"/>
      <c r="CRC58" s="10"/>
      <c r="CRD58" s="10"/>
      <c r="CRE58" s="10"/>
      <c r="CRF58" s="10"/>
      <c r="CRG58" s="10"/>
      <c r="CRH58" s="10"/>
      <c r="CRI58" s="10"/>
      <c r="CRJ58" s="10"/>
      <c r="CRK58" s="10"/>
      <c r="CRL58" s="10"/>
      <c r="CRM58" s="10"/>
      <c r="CRN58" s="10"/>
      <c r="CRO58" s="10"/>
      <c r="CRP58" s="10"/>
      <c r="CRQ58" s="10"/>
      <c r="CRR58" s="10"/>
      <c r="CRS58" s="10"/>
      <c r="CRT58" s="10"/>
      <c r="CRU58" s="10"/>
      <c r="CRV58" s="10"/>
      <c r="CRW58" s="10"/>
      <c r="CRX58" s="10"/>
      <c r="CRY58" s="10"/>
      <c r="CRZ58" s="10"/>
      <c r="CSA58" s="10"/>
      <c r="CSB58" s="10"/>
      <c r="CSC58" s="10"/>
      <c r="CSD58" s="10"/>
      <c r="CSE58" s="10"/>
      <c r="CSF58" s="10"/>
      <c r="CSG58" s="10"/>
      <c r="CSH58" s="10"/>
      <c r="CSI58" s="10"/>
      <c r="CSJ58" s="10"/>
      <c r="CSK58" s="10"/>
      <c r="CSL58" s="10"/>
      <c r="CSM58" s="10"/>
      <c r="CSN58" s="10"/>
      <c r="CSO58" s="10"/>
      <c r="CSP58" s="10"/>
      <c r="CSQ58" s="10"/>
      <c r="CSR58" s="10"/>
      <c r="CSS58" s="10"/>
      <c r="CST58" s="10"/>
      <c r="CSU58" s="10"/>
      <c r="CSV58" s="10"/>
      <c r="CSW58" s="10"/>
      <c r="CSX58" s="10"/>
      <c r="CSY58" s="10"/>
      <c r="CSZ58" s="10"/>
      <c r="CTA58" s="10"/>
      <c r="CTB58" s="10"/>
      <c r="CTC58" s="10"/>
      <c r="CTD58" s="10"/>
      <c r="CTE58" s="10"/>
      <c r="CTF58" s="10"/>
      <c r="CTG58" s="10"/>
      <c r="CTH58" s="10"/>
      <c r="CTI58" s="10"/>
      <c r="CTJ58" s="10"/>
      <c r="CTK58" s="10"/>
      <c r="CTL58" s="10"/>
      <c r="CTM58" s="10"/>
      <c r="CTN58" s="10"/>
      <c r="CTO58" s="10"/>
      <c r="CTP58" s="10"/>
      <c r="CTQ58" s="10"/>
      <c r="CTR58" s="10"/>
      <c r="CTS58" s="10"/>
      <c r="CTT58" s="10"/>
      <c r="CTU58" s="10"/>
      <c r="CTV58" s="10"/>
      <c r="CTW58" s="10"/>
      <c r="CTX58" s="10"/>
      <c r="CTY58" s="10"/>
      <c r="CTZ58" s="10"/>
      <c r="CUA58" s="10"/>
      <c r="CUB58" s="10"/>
      <c r="CUC58" s="10"/>
      <c r="CUD58" s="10"/>
      <c r="CUE58" s="10"/>
      <c r="CUF58" s="10"/>
      <c r="CUG58" s="10"/>
      <c r="CUH58" s="10"/>
      <c r="CUI58" s="10"/>
      <c r="CUJ58" s="10"/>
      <c r="CUK58" s="10"/>
      <c r="CUL58" s="10"/>
      <c r="CUM58" s="10"/>
      <c r="CUN58" s="10"/>
      <c r="CUO58" s="10"/>
      <c r="CUP58" s="10"/>
      <c r="CUQ58" s="10"/>
      <c r="CUR58" s="10"/>
      <c r="CUS58" s="10"/>
      <c r="CUT58" s="10"/>
      <c r="CUU58" s="10"/>
      <c r="CUV58" s="10"/>
      <c r="CUW58" s="10"/>
      <c r="CUX58" s="10"/>
      <c r="CUY58" s="10"/>
      <c r="CUZ58" s="10"/>
      <c r="CVA58" s="10"/>
      <c r="CVB58" s="10"/>
      <c r="CVC58" s="10"/>
      <c r="CVD58" s="10"/>
      <c r="CVE58" s="10"/>
      <c r="CVF58" s="10"/>
      <c r="CVG58" s="10"/>
      <c r="CVH58" s="10"/>
      <c r="CVI58" s="10"/>
      <c r="CVJ58" s="10"/>
      <c r="CVK58" s="10"/>
      <c r="CVL58" s="10"/>
      <c r="CVM58" s="10"/>
      <c r="CVN58" s="10"/>
      <c r="CVO58" s="10"/>
      <c r="CVP58" s="10"/>
      <c r="CVQ58" s="10"/>
      <c r="CVR58" s="10"/>
      <c r="CVS58" s="10"/>
      <c r="CVT58" s="10"/>
      <c r="CVU58" s="10"/>
      <c r="CVV58" s="10"/>
      <c r="CVW58" s="10"/>
      <c r="CVX58" s="10"/>
      <c r="CVY58" s="10"/>
      <c r="CVZ58" s="10"/>
      <c r="CWA58" s="10"/>
      <c r="CWB58" s="10"/>
      <c r="CWC58" s="10"/>
      <c r="CWD58" s="10"/>
      <c r="CWE58" s="10"/>
      <c r="CWF58" s="10"/>
      <c r="CWG58" s="10"/>
      <c r="CWH58" s="10"/>
      <c r="CWI58" s="10"/>
      <c r="CWJ58" s="10"/>
      <c r="CWK58" s="10"/>
      <c r="CWL58" s="10"/>
      <c r="CWM58" s="10"/>
      <c r="CWN58" s="10"/>
      <c r="CWO58" s="10"/>
      <c r="CWP58" s="10"/>
      <c r="CWQ58" s="10"/>
      <c r="CWR58" s="10"/>
      <c r="CWS58" s="10"/>
      <c r="CWT58" s="10"/>
      <c r="CWU58" s="10"/>
      <c r="CWV58" s="10"/>
      <c r="CWW58" s="10"/>
      <c r="CWX58" s="10"/>
      <c r="CWY58" s="10"/>
      <c r="CWZ58" s="10"/>
      <c r="CXA58" s="10"/>
      <c r="CXB58" s="10"/>
      <c r="CXC58" s="10"/>
      <c r="CXD58" s="10"/>
      <c r="CXE58" s="10"/>
      <c r="CXF58" s="10"/>
      <c r="CXG58" s="10"/>
      <c r="CXH58" s="10"/>
      <c r="CXI58" s="10"/>
      <c r="CXJ58" s="10"/>
      <c r="CXK58" s="10"/>
      <c r="CXL58" s="10"/>
      <c r="CXM58" s="10"/>
      <c r="CXN58" s="10"/>
      <c r="CXO58" s="10"/>
      <c r="CXP58" s="10"/>
      <c r="CXQ58" s="10"/>
      <c r="CXR58" s="10"/>
      <c r="CXS58" s="10"/>
      <c r="CXT58" s="10"/>
      <c r="CXU58" s="10"/>
      <c r="CXV58" s="10"/>
      <c r="CXW58" s="10"/>
      <c r="CXX58" s="10"/>
      <c r="CXY58" s="10"/>
      <c r="CXZ58" s="10"/>
      <c r="CYA58" s="10"/>
      <c r="CYB58" s="10"/>
      <c r="CYC58" s="10"/>
      <c r="CYD58" s="10"/>
      <c r="CYE58" s="10"/>
      <c r="CYF58" s="10"/>
      <c r="CYG58" s="10"/>
      <c r="CYH58" s="10"/>
      <c r="CYI58" s="10"/>
      <c r="CYJ58" s="10"/>
      <c r="CYK58" s="10"/>
      <c r="CYL58" s="10"/>
      <c r="CYM58" s="10"/>
      <c r="CYN58" s="10"/>
      <c r="CYO58" s="10"/>
      <c r="CYP58" s="10"/>
      <c r="CYQ58" s="10"/>
      <c r="CYR58" s="10"/>
      <c r="CYS58" s="10"/>
      <c r="CYT58" s="10"/>
      <c r="CYU58" s="10"/>
      <c r="CYV58" s="10"/>
      <c r="CYW58" s="10"/>
      <c r="CYX58" s="10"/>
      <c r="CYY58" s="10"/>
      <c r="CYZ58" s="10"/>
      <c r="CZA58" s="10"/>
      <c r="CZB58" s="10"/>
      <c r="CZC58" s="10"/>
      <c r="CZD58" s="10"/>
      <c r="CZE58" s="10"/>
      <c r="CZF58" s="10"/>
      <c r="CZG58" s="10"/>
      <c r="CZH58" s="10"/>
      <c r="CZI58" s="10"/>
      <c r="CZJ58" s="10"/>
      <c r="CZK58" s="10"/>
      <c r="CZL58" s="10"/>
      <c r="CZM58" s="10"/>
      <c r="CZN58" s="10"/>
      <c r="CZO58" s="10"/>
      <c r="CZP58" s="10"/>
      <c r="CZQ58" s="10"/>
      <c r="CZR58" s="10"/>
      <c r="CZS58" s="10"/>
      <c r="CZT58" s="10"/>
      <c r="CZU58" s="10"/>
      <c r="CZV58" s="10"/>
      <c r="CZW58" s="10"/>
      <c r="CZX58" s="10"/>
      <c r="CZY58" s="10"/>
      <c r="CZZ58" s="10"/>
      <c r="DAA58" s="10"/>
      <c r="DAB58" s="10"/>
      <c r="DAC58" s="10"/>
      <c r="DAD58" s="10"/>
      <c r="DAE58" s="10"/>
      <c r="DAF58" s="10"/>
      <c r="DAG58" s="10"/>
      <c r="DAH58" s="10"/>
      <c r="DAI58" s="10"/>
      <c r="DAJ58" s="10"/>
      <c r="DAK58" s="10"/>
      <c r="DAL58" s="10"/>
      <c r="DAM58" s="10"/>
      <c r="DAN58" s="10"/>
      <c r="DAO58" s="10"/>
      <c r="DAP58" s="10"/>
      <c r="DAQ58" s="10"/>
      <c r="DAR58" s="10"/>
      <c r="DAS58" s="10"/>
      <c r="DAT58" s="10"/>
      <c r="DAU58" s="10"/>
      <c r="DAV58" s="10"/>
      <c r="DAW58" s="10"/>
      <c r="DAX58" s="10"/>
      <c r="DAY58" s="10"/>
      <c r="DAZ58" s="10"/>
      <c r="DBA58" s="10"/>
      <c r="DBB58" s="10"/>
      <c r="DBC58" s="10"/>
      <c r="DBD58" s="10"/>
      <c r="DBE58" s="10"/>
      <c r="DBF58" s="10"/>
      <c r="DBG58" s="10"/>
      <c r="DBH58" s="10"/>
      <c r="DBI58" s="10"/>
      <c r="DBJ58" s="10"/>
      <c r="DBK58" s="10"/>
      <c r="DBL58" s="10"/>
      <c r="DBM58" s="10"/>
      <c r="DBN58" s="10"/>
      <c r="DBO58" s="10"/>
      <c r="DBP58" s="10"/>
      <c r="DBQ58" s="10"/>
      <c r="DBR58" s="10"/>
      <c r="DBS58" s="10"/>
      <c r="DBT58" s="10"/>
      <c r="DBU58" s="10"/>
      <c r="DBV58" s="10"/>
      <c r="DBW58" s="10"/>
      <c r="DBX58" s="10"/>
      <c r="DBY58" s="10"/>
      <c r="DBZ58" s="10"/>
      <c r="DCA58" s="10"/>
      <c r="DCB58" s="10"/>
      <c r="DCC58" s="10"/>
      <c r="DCD58" s="10"/>
      <c r="DCE58" s="10"/>
      <c r="DCF58" s="10"/>
      <c r="DCG58" s="10"/>
      <c r="DCH58" s="10"/>
      <c r="DCI58" s="10"/>
      <c r="DCJ58" s="10"/>
      <c r="DCK58" s="10"/>
      <c r="DCL58" s="10"/>
      <c r="DCM58" s="10"/>
      <c r="DCN58" s="10"/>
      <c r="DCO58" s="10"/>
      <c r="DCP58" s="10"/>
      <c r="DCQ58" s="10"/>
      <c r="DCR58" s="10"/>
      <c r="DCS58" s="10"/>
      <c r="DCT58" s="10"/>
      <c r="DCU58" s="10"/>
      <c r="DCV58" s="10"/>
      <c r="DCW58" s="10"/>
      <c r="DCX58" s="10"/>
      <c r="DCY58" s="10"/>
      <c r="DCZ58" s="10"/>
      <c r="DDA58" s="10"/>
      <c r="DDB58" s="10"/>
      <c r="DDC58" s="10"/>
      <c r="DDD58" s="10"/>
      <c r="DDE58" s="10"/>
      <c r="DDF58" s="10"/>
      <c r="DDG58" s="10"/>
      <c r="DDH58" s="10"/>
      <c r="DDI58" s="10"/>
      <c r="DDJ58" s="10"/>
      <c r="DDK58" s="10"/>
      <c r="DDL58" s="10"/>
      <c r="DDM58" s="10"/>
      <c r="DDN58" s="10"/>
      <c r="DDO58" s="10"/>
      <c r="DDP58" s="10"/>
      <c r="DDQ58" s="10"/>
      <c r="DDR58" s="10"/>
      <c r="DDS58" s="10"/>
      <c r="DDT58" s="10"/>
      <c r="DDU58" s="10"/>
      <c r="DDV58" s="10"/>
      <c r="DDW58" s="10"/>
      <c r="DDX58" s="10"/>
      <c r="DDY58" s="10"/>
      <c r="DDZ58" s="10"/>
      <c r="DEA58" s="10"/>
      <c r="DEB58" s="10"/>
      <c r="DEC58" s="10"/>
      <c r="DED58" s="10"/>
      <c r="DEE58" s="10"/>
      <c r="DEF58" s="10"/>
      <c r="DEG58" s="10"/>
      <c r="DEH58" s="10"/>
      <c r="DEI58" s="10"/>
      <c r="DEJ58" s="10"/>
      <c r="DEK58" s="10"/>
      <c r="DEL58" s="10"/>
      <c r="DEM58" s="10"/>
      <c r="DEN58" s="10"/>
      <c r="DEO58" s="10"/>
      <c r="DEP58" s="10"/>
      <c r="DEQ58" s="10"/>
      <c r="DER58" s="10"/>
      <c r="DES58" s="10"/>
      <c r="DET58" s="10"/>
      <c r="DEU58" s="10"/>
      <c r="DEV58" s="10"/>
      <c r="DEW58" s="10"/>
      <c r="DEX58" s="10"/>
      <c r="DEY58" s="10"/>
      <c r="DEZ58" s="10"/>
      <c r="DFA58" s="10"/>
      <c r="DFB58" s="10"/>
      <c r="DFC58" s="10"/>
      <c r="DFD58" s="10"/>
      <c r="DFE58" s="10"/>
      <c r="DFF58" s="10"/>
      <c r="DFG58" s="10"/>
      <c r="DFH58" s="10"/>
      <c r="DFI58" s="10"/>
      <c r="DFJ58" s="10"/>
      <c r="DFK58" s="10"/>
      <c r="DFL58" s="10"/>
      <c r="DFM58" s="10"/>
      <c r="DFN58" s="10"/>
      <c r="DFO58" s="10"/>
      <c r="DFP58" s="10"/>
      <c r="DFQ58" s="10"/>
      <c r="DFR58" s="10"/>
      <c r="DFS58" s="10"/>
      <c r="DFT58" s="10"/>
      <c r="DFU58" s="10"/>
      <c r="DFV58" s="10"/>
      <c r="DFW58" s="10"/>
      <c r="DFX58" s="10"/>
      <c r="DFY58" s="10"/>
      <c r="DFZ58" s="10"/>
      <c r="DGA58" s="10"/>
      <c r="DGB58" s="10"/>
      <c r="DGC58" s="10"/>
      <c r="DGD58" s="10"/>
      <c r="DGE58" s="10"/>
      <c r="DGF58" s="10"/>
      <c r="DGG58" s="10"/>
      <c r="DGH58" s="10"/>
      <c r="DGI58" s="10"/>
      <c r="DGJ58" s="10"/>
      <c r="DGK58" s="10"/>
      <c r="DGL58" s="10"/>
      <c r="DGM58" s="10"/>
      <c r="DGN58" s="10"/>
      <c r="DGO58" s="10"/>
      <c r="DGP58" s="10"/>
      <c r="DGQ58" s="10"/>
      <c r="DGR58" s="10"/>
      <c r="DGS58" s="10"/>
      <c r="DGT58" s="10"/>
      <c r="DGU58" s="10"/>
      <c r="DGV58" s="10"/>
      <c r="DGW58" s="10"/>
      <c r="DGX58" s="10"/>
      <c r="DGY58" s="10"/>
      <c r="DGZ58" s="10"/>
      <c r="DHA58" s="10"/>
      <c r="DHB58" s="10"/>
      <c r="DHC58" s="10"/>
      <c r="DHD58" s="10"/>
      <c r="DHE58" s="10"/>
      <c r="DHF58" s="10"/>
      <c r="DHG58" s="10"/>
      <c r="DHH58" s="10"/>
      <c r="DHI58" s="10"/>
      <c r="DHJ58" s="10"/>
      <c r="DHK58" s="10"/>
      <c r="DHL58" s="10"/>
      <c r="DHM58" s="10"/>
      <c r="DHN58" s="10"/>
      <c r="DHO58" s="10"/>
      <c r="DHP58" s="10"/>
      <c r="DHQ58" s="10"/>
      <c r="DHR58" s="10"/>
      <c r="DHS58" s="10"/>
      <c r="DHT58" s="10"/>
      <c r="DHU58" s="10"/>
      <c r="DHV58" s="10"/>
      <c r="DHW58" s="10"/>
      <c r="DHX58" s="10"/>
      <c r="DHY58" s="10"/>
      <c r="DHZ58" s="10"/>
      <c r="DIA58" s="10"/>
      <c r="DIB58" s="10"/>
      <c r="DIC58" s="10"/>
      <c r="DID58" s="10"/>
      <c r="DIE58" s="10"/>
      <c r="DIF58" s="10"/>
      <c r="DIG58" s="10"/>
      <c r="DIH58" s="10"/>
      <c r="DII58" s="10"/>
      <c r="DIJ58" s="10"/>
      <c r="DIK58" s="10"/>
      <c r="DIL58" s="10"/>
      <c r="DIM58" s="10"/>
      <c r="DIN58" s="10"/>
      <c r="DIO58" s="10"/>
      <c r="DIP58" s="10"/>
      <c r="DIQ58" s="10"/>
      <c r="DIR58" s="10"/>
      <c r="DIS58" s="10"/>
      <c r="DIT58" s="10"/>
      <c r="DIU58" s="10"/>
      <c r="DIV58" s="10"/>
      <c r="DIW58" s="10"/>
      <c r="DIX58" s="10"/>
      <c r="DIY58" s="10"/>
      <c r="DIZ58" s="10"/>
      <c r="DJA58" s="10"/>
      <c r="DJB58" s="10"/>
      <c r="DJC58" s="10"/>
      <c r="DJD58" s="10"/>
      <c r="DJE58" s="10"/>
      <c r="DJF58" s="10"/>
      <c r="DJG58" s="10"/>
      <c r="DJH58" s="10"/>
      <c r="DJI58" s="10"/>
      <c r="DJJ58" s="10"/>
      <c r="DJK58" s="10"/>
      <c r="DJL58" s="10"/>
      <c r="DJM58" s="10"/>
      <c r="DJN58" s="10"/>
      <c r="DJO58" s="10"/>
      <c r="DJP58" s="10"/>
      <c r="DJQ58" s="10"/>
      <c r="DJR58" s="10"/>
      <c r="DJS58" s="10"/>
      <c r="DJT58" s="10"/>
      <c r="DJU58" s="10"/>
      <c r="DJV58" s="10"/>
      <c r="DJW58" s="10"/>
      <c r="DJX58" s="10"/>
      <c r="DJY58" s="10"/>
      <c r="DJZ58" s="10"/>
      <c r="DKA58" s="10"/>
      <c r="DKB58" s="10"/>
      <c r="DKC58" s="10"/>
      <c r="DKD58" s="10"/>
      <c r="DKE58" s="10"/>
      <c r="DKF58" s="10"/>
      <c r="DKG58" s="10"/>
      <c r="DKH58" s="10"/>
      <c r="DKI58" s="10"/>
      <c r="DKJ58" s="10"/>
      <c r="DKK58" s="10"/>
      <c r="DKL58" s="10"/>
      <c r="DKM58" s="10"/>
      <c r="DKN58" s="10"/>
      <c r="DKO58" s="10"/>
      <c r="DKP58" s="10"/>
      <c r="DKQ58" s="10"/>
      <c r="DKR58" s="10"/>
      <c r="DKS58" s="10"/>
      <c r="DKT58" s="10"/>
      <c r="DKU58" s="10"/>
      <c r="DKV58" s="10"/>
      <c r="DKW58" s="10"/>
      <c r="DKX58" s="10"/>
      <c r="DKY58" s="10"/>
      <c r="DKZ58" s="10"/>
      <c r="DLA58" s="10"/>
      <c r="DLB58" s="10"/>
      <c r="DLC58" s="10"/>
      <c r="DLD58" s="10"/>
      <c r="DLE58" s="10"/>
      <c r="DLF58" s="10"/>
      <c r="DLG58" s="10"/>
      <c r="DLH58" s="10"/>
      <c r="DLI58" s="10"/>
      <c r="DLJ58" s="10"/>
      <c r="DLK58" s="10"/>
      <c r="DLL58" s="10"/>
      <c r="DLM58" s="10"/>
      <c r="DLN58" s="10"/>
      <c r="DLO58" s="10"/>
      <c r="DLP58" s="10"/>
      <c r="DLQ58" s="10"/>
      <c r="DLR58" s="10"/>
      <c r="DLS58" s="10"/>
      <c r="DLT58" s="10"/>
      <c r="DLU58" s="10"/>
      <c r="DLV58" s="10"/>
      <c r="DLW58" s="10"/>
      <c r="DLX58" s="10"/>
      <c r="DLY58" s="10"/>
      <c r="DLZ58" s="10"/>
      <c r="DMA58" s="10"/>
      <c r="DMB58" s="10"/>
      <c r="DMC58" s="10"/>
      <c r="DMD58" s="10"/>
      <c r="DME58" s="10"/>
      <c r="DMF58" s="10"/>
      <c r="DMG58" s="10"/>
      <c r="DMH58" s="10"/>
      <c r="DMI58" s="10"/>
      <c r="DMJ58" s="10"/>
      <c r="DMK58" s="10"/>
      <c r="DML58" s="10"/>
      <c r="DMM58" s="10"/>
      <c r="DMN58" s="10"/>
      <c r="DMO58" s="10"/>
      <c r="DMP58" s="10"/>
      <c r="DMQ58" s="10"/>
      <c r="DMR58" s="10"/>
      <c r="DMS58" s="10"/>
      <c r="DMT58" s="10"/>
      <c r="DMU58" s="10"/>
      <c r="DMV58" s="10"/>
      <c r="DMW58" s="10"/>
      <c r="DMX58" s="10"/>
      <c r="DMY58" s="10"/>
      <c r="DMZ58" s="10"/>
      <c r="DNA58" s="10"/>
      <c r="DNB58" s="10"/>
      <c r="DNC58" s="10"/>
      <c r="DND58" s="10"/>
      <c r="DNE58" s="10"/>
      <c r="DNF58" s="10"/>
      <c r="DNG58" s="10"/>
      <c r="DNH58" s="10"/>
      <c r="DNI58" s="10"/>
      <c r="DNJ58" s="10"/>
      <c r="DNK58" s="10"/>
      <c r="DNL58" s="10"/>
      <c r="DNM58" s="10"/>
      <c r="DNN58" s="10"/>
      <c r="DNO58" s="10"/>
      <c r="DNP58" s="10"/>
      <c r="DNQ58" s="10"/>
      <c r="DNR58" s="10"/>
      <c r="DNS58" s="10"/>
      <c r="DNT58" s="10"/>
      <c r="DNU58" s="10"/>
      <c r="DNV58" s="10"/>
      <c r="DNW58" s="10"/>
      <c r="DNX58" s="10"/>
      <c r="DNY58" s="10"/>
      <c r="DNZ58" s="10"/>
      <c r="DOA58" s="10"/>
      <c r="DOB58" s="10"/>
      <c r="DOC58" s="10"/>
      <c r="DOD58" s="10"/>
      <c r="DOE58" s="10"/>
      <c r="DOF58" s="10"/>
      <c r="DOG58" s="10"/>
      <c r="DOH58" s="10"/>
      <c r="DOI58" s="10"/>
      <c r="DOJ58" s="10"/>
      <c r="DOK58" s="10"/>
      <c r="DOL58" s="10"/>
      <c r="DOM58" s="10"/>
      <c r="DON58" s="10"/>
      <c r="DOO58" s="10"/>
      <c r="DOP58" s="10"/>
      <c r="DOQ58" s="10"/>
      <c r="DOR58" s="10"/>
      <c r="DOS58" s="10"/>
      <c r="DOT58" s="10"/>
      <c r="DOU58" s="10"/>
      <c r="DOV58" s="10"/>
      <c r="DOW58" s="10"/>
      <c r="DOX58" s="10"/>
      <c r="DOY58" s="10"/>
      <c r="DOZ58" s="10"/>
      <c r="DPA58" s="10"/>
      <c r="DPB58" s="10"/>
      <c r="DPC58" s="10"/>
      <c r="DPD58" s="10"/>
      <c r="DPE58" s="10"/>
      <c r="DPF58" s="10"/>
      <c r="DPG58" s="10"/>
      <c r="DPH58" s="10"/>
      <c r="DPI58" s="10"/>
      <c r="DPJ58" s="10"/>
      <c r="DPK58" s="10"/>
      <c r="DPL58" s="10"/>
      <c r="DPM58" s="10"/>
      <c r="DPN58" s="10"/>
      <c r="DPO58" s="10"/>
      <c r="DPP58" s="10"/>
      <c r="DPQ58" s="10"/>
      <c r="DPR58" s="10"/>
      <c r="DPS58" s="10"/>
      <c r="DPT58" s="10"/>
      <c r="DPU58" s="10"/>
      <c r="DPV58" s="10"/>
      <c r="DPW58" s="10"/>
      <c r="DPX58" s="10"/>
      <c r="DPY58" s="10"/>
      <c r="DPZ58" s="10"/>
      <c r="DQA58" s="10"/>
      <c r="DQB58" s="10"/>
      <c r="DQC58" s="10"/>
      <c r="DQD58" s="10"/>
      <c r="DQE58" s="10"/>
      <c r="DQF58" s="10"/>
      <c r="DQG58" s="10"/>
      <c r="DQH58" s="10"/>
      <c r="DQI58" s="10"/>
      <c r="DQJ58" s="10"/>
      <c r="DQK58" s="10"/>
      <c r="DQL58" s="10"/>
      <c r="DQM58" s="10"/>
      <c r="DQN58" s="10"/>
      <c r="DQO58" s="10"/>
      <c r="DQP58" s="10"/>
      <c r="DQQ58" s="10"/>
      <c r="DQR58" s="10"/>
      <c r="DQS58" s="10"/>
      <c r="DQT58" s="10"/>
      <c r="DQU58" s="10"/>
      <c r="DQV58" s="10"/>
      <c r="DQW58" s="10"/>
      <c r="DQX58" s="10"/>
      <c r="DQY58" s="10"/>
      <c r="DQZ58" s="10"/>
      <c r="DRA58" s="10"/>
      <c r="DRB58" s="10"/>
      <c r="DRC58" s="10"/>
      <c r="DRD58" s="10"/>
      <c r="DRE58" s="10"/>
      <c r="DRF58" s="10"/>
      <c r="DRG58" s="10"/>
      <c r="DRH58" s="10"/>
      <c r="DRI58" s="10"/>
      <c r="DRJ58" s="10"/>
      <c r="DRK58" s="10"/>
      <c r="DRL58" s="10"/>
      <c r="DRM58" s="10"/>
      <c r="DRN58" s="10"/>
      <c r="DRO58" s="10"/>
      <c r="DRP58" s="10"/>
      <c r="DRQ58" s="10"/>
      <c r="DRR58" s="10"/>
      <c r="DRS58" s="10"/>
      <c r="DRT58" s="10"/>
      <c r="DRU58" s="10"/>
      <c r="DRV58" s="10"/>
      <c r="DRW58" s="10"/>
      <c r="DRX58" s="10"/>
      <c r="DRY58" s="10"/>
      <c r="DRZ58" s="10"/>
      <c r="DSA58" s="10"/>
      <c r="DSB58" s="10"/>
      <c r="DSC58" s="10"/>
      <c r="DSD58" s="10"/>
      <c r="DSE58" s="10"/>
      <c r="DSF58" s="10"/>
      <c r="DSG58" s="10"/>
      <c r="DSH58" s="10"/>
      <c r="DSI58" s="10"/>
      <c r="DSJ58" s="10"/>
      <c r="DSK58" s="10"/>
      <c r="DSL58" s="10"/>
      <c r="DSM58" s="10"/>
      <c r="DSN58" s="10"/>
      <c r="DSO58" s="10"/>
      <c r="DSP58" s="10"/>
      <c r="DSQ58" s="10"/>
      <c r="DSR58" s="10"/>
      <c r="DSS58" s="10"/>
      <c r="DST58" s="10"/>
      <c r="DSU58" s="10"/>
      <c r="DSV58" s="10"/>
      <c r="DSW58" s="10"/>
      <c r="DSX58" s="10"/>
      <c r="DSY58" s="10"/>
      <c r="DSZ58" s="10"/>
      <c r="DTA58" s="10"/>
      <c r="DTB58" s="10"/>
      <c r="DTC58" s="10"/>
      <c r="DTD58" s="10"/>
      <c r="DTE58" s="10"/>
      <c r="DTF58" s="10"/>
      <c r="DTG58" s="10"/>
      <c r="DTH58" s="10"/>
      <c r="DTI58" s="10"/>
      <c r="DTJ58" s="10"/>
      <c r="DTK58" s="10"/>
      <c r="DTL58" s="10"/>
      <c r="DTM58" s="10"/>
      <c r="DTN58" s="10"/>
      <c r="DTO58" s="10"/>
      <c r="DTP58" s="10"/>
      <c r="DTQ58" s="10"/>
      <c r="DTR58" s="10"/>
      <c r="DTS58" s="10"/>
      <c r="DTT58" s="10"/>
      <c r="DTU58" s="10"/>
      <c r="DTV58" s="10"/>
      <c r="DTW58" s="10"/>
      <c r="DTX58" s="10"/>
      <c r="DTY58" s="10"/>
      <c r="DTZ58" s="10"/>
      <c r="DUA58" s="10"/>
      <c r="DUB58" s="10"/>
      <c r="DUC58" s="10"/>
      <c r="DUD58" s="10"/>
      <c r="DUE58" s="10"/>
      <c r="DUF58" s="10"/>
      <c r="DUG58" s="10"/>
      <c r="DUH58" s="10"/>
      <c r="DUI58" s="10"/>
      <c r="DUJ58" s="10"/>
      <c r="DUK58" s="10"/>
      <c r="DUL58" s="10"/>
      <c r="DUM58" s="10"/>
      <c r="DUN58" s="10"/>
      <c r="DUO58" s="10"/>
      <c r="DUP58" s="10"/>
      <c r="DUQ58" s="10"/>
      <c r="DUR58" s="10"/>
      <c r="DUS58" s="10"/>
      <c r="DUT58" s="10"/>
      <c r="DUU58" s="10"/>
      <c r="DUV58" s="10"/>
      <c r="DUW58" s="10"/>
      <c r="DUX58" s="10"/>
      <c r="DUY58" s="10"/>
      <c r="DUZ58" s="10"/>
      <c r="DVA58" s="10"/>
      <c r="DVB58" s="10"/>
      <c r="DVC58" s="10"/>
      <c r="DVD58" s="10"/>
      <c r="DVE58" s="10"/>
      <c r="DVF58" s="10"/>
      <c r="DVG58" s="10"/>
      <c r="DVH58" s="10"/>
      <c r="DVI58" s="10"/>
      <c r="DVJ58" s="10"/>
      <c r="DVK58" s="10"/>
      <c r="DVL58" s="10"/>
      <c r="DVM58" s="10"/>
      <c r="DVN58" s="10"/>
      <c r="DVO58" s="10"/>
      <c r="DVP58" s="10"/>
      <c r="DVQ58" s="10"/>
      <c r="DVR58" s="10"/>
      <c r="DVS58" s="10"/>
      <c r="DVT58" s="10"/>
      <c r="DVU58" s="10"/>
      <c r="DVV58" s="10"/>
      <c r="DVW58" s="10"/>
      <c r="DVX58" s="10"/>
      <c r="DVY58" s="10"/>
      <c r="DVZ58" s="10"/>
      <c r="DWA58" s="10"/>
      <c r="DWB58" s="10"/>
      <c r="DWC58" s="10"/>
      <c r="DWD58" s="10"/>
      <c r="DWE58" s="10"/>
      <c r="DWF58" s="10"/>
      <c r="DWG58" s="10"/>
      <c r="DWH58" s="10"/>
      <c r="DWI58" s="10"/>
      <c r="DWJ58" s="10"/>
      <c r="DWK58" s="10"/>
      <c r="DWL58" s="10"/>
      <c r="DWM58" s="10"/>
      <c r="DWN58" s="10"/>
      <c r="DWO58" s="10"/>
      <c r="DWP58" s="10"/>
      <c r="DWQ58" s="10"/>
      <c r="DWR58" s="10"/>
      <c r="DWS58" s="10"/>
      <c r="DWT58" s="10"/>
      <c r="DWU58" s="10"/>
      <c r="DWV58" s="10"/>
      <c r="DWW58" s="10"/>
      <c r="DWX58" s="10"/>
      <c r="DWY58" s="10"/>
      <c r="DWZ58" s="10"/>
      <c r="DXA58" s="10"/>
      <c r="DXB58" s="10"/>
      <c r="DXC58" s="10"/>
      <c r="DXD58" s="10"/>
      <c r="DXE58" s="10"/>
      <c r="DXF58" s="10"/>
      <c r="DXG58" s="10"/>
      <c r="DXH58" s="10"/>
      <c r="DXI58" s="10"/>
      <c r="DXJ58" s="10"/>
      <c r="DXK58" s="10"/>
      <c r="DXL58" s="10"/>
      <c r="DXM58" s="10"/>
      <c r="DXN58" s="10"/>
      <c r="DXO58" s="10"/>
      <c r="DXP58" s="10"/>
      <c r="DXQ58" s="10"/>
      <c r="DXR58" s="10"/>
      <c r="DXS58" s="10"/>
      <c r="DXT58" s="10"/>
      <c r="DXU58" s="10"/>
      <c r="DXV58" s="10"/>
      <c r="DXW58" s="10"/>
      <c r="DXX58" s="10"/>
      <c r="DXY58" s="10"/>
      <c r="DXZ58" s="10"/>
      <c r="DYA58" s="10"/>
      <c r="DYB58" s="10"/>
      <c r="DYC58" s="10"/>
      <c r="DYD58" s="10"/>
      <c r="DYE58" s="10"/>
      <c r="DYF58" s="10"/>
      <c r="DYG58" s="10"/>
      <c r="DYH58" s="10"/>
      <c r="DYI58" s="10"/>
      <c r="DYJ58" s="10"/>
      <c r="DYK58" s="10"/>
      <c r="DYL58" s="10"/>
      <c r="DYM58" s="10"/>
      <c r="DYN58" s="10"/>
      <c r="DYO58" s="10"/>
      <c r="DYP58" s="10"/>
      <c r="DYQ58" s="10"/>
      <c r="DYR58" s="10"/>
      <c r="DYS58" s="10"/>
      <c r="DYT58" s="10"/>
      <c r="DYU58" s="10"/>
      <c r="DYV58" s="10"/>
      <c r="DYW58" s="10"/>
      <c r="DYX58" s="10"/>
      <c r="DYY58" s="10"/>
      <c r="DYZ58" s="10"/>
      <c r="DZA58" s="10"/>
      <c r="DZB58" s="10"/>
      <c r="DZC58" s="10"/>
      <c r="DZD58" s="10"/>
      <c r="DZE58" s="10"/>
      <c r="DZF58" s="10"/>
      <c r="DZG58" s="10"/>
      <c r="DZH58" s="10"/>
      <c r="DZI58" s="10"/>
      <c r="DZJ58" s="10"/>
      <c r="DZK58" s="10"/>
      <c r="DZL58" s="10"/>
      <c r="DZM58" s="10"/>
      <c r="DZN58" s="10"/>
      <c r="DZO58" s="10"/>
      <c r="DZP58" s="10"/>
      <c r="DZQ58" s="10"/>
      <c r="DZR58" s="10"/>
      <c r="DZS58" s="10"/>
      <c r="DZT58" s="10"/>
      <c r="DZU58" s="10"/>
      <c r="DZV58" s="10"/>
      <c r="DZW58" s="10"/>
      <c r="DZX58" s="10"/>
      <c r="DZY58" s="10"/>
      <c r="DZZ58" s="10"/>
      <c r="EAA58" s="10"/>
      <c r="EAB58" s="10"/>
      <c r="EAC58" s="10"/>
      <c r="EAD58" s="10"/>
      <c r="EAE58" s="10"/>
      <c r="EAF58" s="10"/>
      <c r="EAG58" s="10"/>
      <c r="EAH58" s="10"/>
      <c r="EAI58" s="10"/>
      <c r="EAJ58" s="10"/>
      <c r="EAK58" s="10"/>
      <c r="EAL58" s="10"/>
      <c r="EAM58" s="10"/>
      <c r="EAN58" s="10"/>
      <c r="EAO58" s="10"/>
      <c r="EAP58" s="10"/>
      <c r="EAQ58" s="10"/>
      <c r="EAR58" s="10"/>
      <c r="EAS58" s="10"/>
      <c r="EAT58" s="10"/>
      <c r="EAU58" s="10"/>
      <c r="EAV58" s="10"/>
      <c r="EAW58" s="10"/>
      <c r="EAX58" s="10"/>
      <c r="EAY58" s="10"/>
      <c r="EAZ58" s="10"/>
      <c r="EBA58" s="10"/>
      <c r="EBB58" s="10"/>
      <c r="EBC58" s="10"/>
      <c r="EBD58" s="10"/>
      <c r="EBE58" s="10"/>
      <c r="EBF58" s="10"/>
      <c r="EBG58" s="10"/>
      <c r="EBH58" s="10"/>
      <c r="EBI58" s="10"/>
      <c r="EBJ58" s="10"/>
      <c r="EBK58" s="10"/>
      <c r="EBL58" s="10"/>
      <c r="EBM58" s="10"/>
      <c r="EBN58" s="10"/>
      <c r="EBO58" s="10"/>
      <c r="EBP58" s="10"/>
      <c r="EBQ58" s="10"/>
      <c r="EBR58" s="10"/>
      <c r="EBS58" s="10"/>
      <c r="EBT58" s="10"/>
      <c r="EBU58" s="10"/>
      <c r="EBV58" s="10"/>
      <c r="EBW58" s="10"/>
      <c r="EBX58" s="10"/>
      <c r="EBY58" s="10"/>
      <c r="EBZ58" s="10"/>
      <c r="ECA58" s="10"/>
      <c r="ECB58" s="10"/>
      <c r="ECC58" s="10"/>
      <c r="ECD58" s="10"/>
      <c r="ECE58" s="10"/>
      <c r="ECF58" s="10"/>
      <c r="ECG58" s="10"/>
      <c r="ECH58" s="10"/>
      <c r="ECI58" s="10"/>
      <c r="ECJ58" s="10"/>
      <c r="ECK58" s="10"/>
      <c r="ECL58" s="10"/>
      <c r="ECM58" s="10"/>
      <c r="ECN58" s="10"/>
      <c r="ECO58" s="10"/>
      <c r="ECP58" s="10"/>
      <c r="ECQ58" s="10"/>
      <c r="ECR58" s="10"/>
      <c r="ECS58" s="10"/>
      <c r="ECT58" s="10"/>
      <c r="ECU58" s="10"/>
      <c r="ECV58" s="10"/>
      <c r="ECW58" s="10"/>
      <c r="ECX58" s="10"/>
      <c r="ECY58" s="10"/>
      <c r="ECZ58" s="10"/>
      <c r="EDA58" s="10"/>
      <c r="EDB58" s="10"/>
      <c r="EDC58" s="10"/>
      <c r="EDD58" s="10"/>
      <c r="EDE58" s="10"/>
      <c r="EDF58" s="10"/>
      <c r="EDG58" s="10"/>
      <c r="EDH58" s="10"/>
      <c r="EDI58" s="10"/>
      <c r="EDJ58" s="10"/>
      <c r="EDK58" s="10"/>
      <c r="EDL58" s="10"/>
      <c r="EDM58" s="10"/>
      <c r="EDN58" s="10"/>
      <c r="EDO58" s="10"/>
      <c r="EDP58" s="10"/>
      <c r="EDQ58" s="10"/>
      <c r="EDR58" s="10"/>
      <c r="EDS58" s="10"/>
      <c r="EDT58" s="10"/>
      <c r="EDU58" s="10"/>
      <c r="EDV58" s="10"/>
      <c r="EDW58" s="10"/>
      <c r="EDX58" s="10"/>
      <c r="EDY58" s="10"/>
      <c r="EDZ58" s="10"/>
      <c r="EEA58" s="10"/>
      <c r="EEB58" s="10"/>
      <c r="EEC58" s="10"/>
      <c r="EED58" s="10"/>
      <c r="EEE58" s="10"/>
      <c r="EEF58" s="10"/>
      <c r="EEG58" s="10"/>
      <c r="EEH58" s="10"/>
      <c r="EEI58" s="10"/>
      <c r="EEJ58" s="10"/>
      <c r="EEK58" s="10"/>
      <c r="EEL58" s="10"/>
      <c r="EEM58" s="10"/>
      <c r="EEN58" s="10"/>
      <c r="EEO58" s="10"/>
      <c r="EEP58" s="10"/>
      <c r="EEQ58" s="10"/>
      <c r="EER58" s="10"/>
      <c r="EES58" s="10"/>
      <c r="EET58" s="10"/>
      <c r="EEU58" s="10"/>
      <c r="EEV58" s="10"/>
      <c r="EEW58" s="10"/>
      <c r="EEX58" s="10"/>
      <c r="EEY58" s="10"/>
      <c r="EEZ58" s="10"/>
      <c r="EFA58" s="10"/>
      <c r="EFB58" s="10"/>
      <c r="EFC58" s="10"/>
      <c r="EFD58" s="10"/>
      <c r="EFE58" s="10"/>
      <c r="EFF58" s="10"/>
      <c r="EFG58" s="10"/>
      <c r="EFH58" s="10"/>
      <c r="EFI58" s="10"/>
      <c r="EFJ58" s="10"/>
      <c r="EFK58" s="10"/>
      <c r="EFL58" s="10"/>
      <c r="EFM58" s="10"/>
      <c r="EFN58" s="10"/>
      <c r="EFO58" s="10"/>
      <c r="EFP58" s="10"/>
      <c r="EFQ58" s="10"/>
      <c r="EFR58" s="10"/>
      <c r="EFS58" s="10"/>
      <c r="EFT58" s="10"/>
      <c r="EFU58" s="10"/>
      <c r="EFV58" s="10"/>
      <c r="EFW58" s="10"/>
      <c r="EFX58" s="10"/>
      <c r="EFY58" s="10"/>
      <c r="EFZ58" s="10"/>
      <c r="EGA58" s="10"/>
      <c r="EGB58" s="10"/>
      <c r="EGC58" s="10"/>
      <c r="EGD58" s="10"/>
      <c r="EGE58" s="10"/>
      <c r="EGF58" s="10"/>
      <c r="EGG58" s="10"/>
      <c r="EGH58" s="10"/>
      <c r="EGI58" s="10"/>
      <c r="EGJ58" s="10"/>
      <c r="EGK58" s="10"/>
      <c r="EGL58" s="10"/>
      <c r="EGM58" s="10"/>
      <c r="EGN58" s="10"/>
      <c r="EGO58" s="10"/>
      <c r="EGP58" s="10"/>
      <c r="EGQ58" s="10"/>
      <c r="EGR58" s="10"/>
      <c r="EGS58" s="10"/>
      <c r="EGT58" s="10"/>
      <c r="EGU58" s="10"/>
      <c r="EGV58" s="10"/>
      <c r="EGW58" s="10"/>
      <c r="EGX58" s="10"/>
      <c r="EGY58" s="10"/>
      <c r="EGZ58" s="10"/>
      <c r="EHA58" s="10"/>
      <c r="EHB58" s="10"/>
      <c r="EHC58" s="10"/>
      <c r="EHD58" s="10"/>
      <c r="EHE58" s="10"/>
      <c r="EHF58" s="10"/>
      <c r="EHG58" s="10"/>
      <c r="EHH58" s="10"/>
      <c r="EHI58" s="10"/>
      <c r="EHJ58" s="10"/>
      <c r="EHK58" s="10"/>
      <c r="EHL58" s="10"/>
      <c r="EHM58" s="10"/>
      <c r="EHN58" s="10"/>
      <c r="EHO58" s="10"/>
      <c r="EHP58" s="10"/>
      <c r="EHQ58" s="10"/>
      <c r="EHR58" s="10"/>
      <c r="EHS58" s="10"/>
      <c r="EHT58" s="10"/>
      <c r="EHU58" s="10"/>
      <c r="EHV58" s="10"/>
      <c r="EHW58" s="10"/>
      <c r="EHX58" s="10"/>
      <c r="EHY58" s="10"/>
      <c r="EHZ58" s="10"/>
      <c r="EIA58" s="10"/>
      <c r="EIB58" s="10"/>
      <c r="EIC58" s="10"/>
      <c r="EID58" s="10"/>
      <c r="EIE58" s="10"/>
      <c r="EIF58" s="10"/>
      <c r="EIG58" s="10"/>
      <c r="EIH58" s="10"/>
      <c r="EII58" s="10"/>
      <c r="EIJ58" s="10"/>
      <c r="EIK58" s="10"/>
      <c r="EIL58" s="10"/>
      <c r="EIM58" s="10"/>
      <c r="EIN58" s="10"/>
      <c r="EIO58" s="10"/>
      <c r="EIP58" s="10"/>
      <c r="EIQ58" s="10"/>
      <c r="EIR58" s="10"/>
      <c r="EIS58" s="10"/>
      <c r="EIT58" s="10"/>
      <c r="EIU58" s="10"/>
      <c r="EIV58" s="10"/>
      <c r="EIW58" s="10"/>
      <c r="EIX58" s="10"/>
      <c r="EIY58" s="10"/>
      <c r="EIZ58" s="10"/>
      <c r="EJA58" s="10"/>
      <c r="EJB58" s="10"/>
      <c r="EJC58" s="10"/>
      <c r="EJD58" s="10"/>
      <c r="EJE58" s="10"/>
      <c r="EJF58" s="10"/>
      <c r="EJG58" s="10"/>
      <c r="EJH58" s="10"/>
      <c r="EJI58" s="10"/>
      <c r="EJJ58" s="10"/>
      <c r="EJK58" s="10"/>
      <c r="EJL58" s="10"/>
      <c r="EJM58" s="10"/>
      <c r="EJN58" s="10"/>
      <c r="EJO58" s="10"/>
      <c r="EJP58" s="10"/>
      <c r="EJQ58" s="10"/>
      <c r="EJR58" s="10"/>
      <c r="EJS58" s="10"/>
      <c r="EJT58" s="10"/>
      <c r="EJU58" s="10"/>
      <c r="EJV58" s="10"/>
      <c r="EJW58" s="10"/>
      <c r="EJX58" s="10"/>
      <c r="EJY58" s="10"/>
      <c r="EJZ58" s="10"/>
      <c r="EKA58" s="10"/>
      <c r="EKB58" s="10"/>
      <c r="EKC58" s="10"/>
      <c r="EKD58" s="10"/>
      <c r="EKE58" s="10"/>
      <c r="EKF58" s="10"/>
      <c r="EKG58" s="10"/>
      <c r="EKH58" s="10"/>
      <c r="EKI58" s="10"/>
      <c r="EKJ58" s="10"/>
      <c r="EKK58" s="10"/>
      <c r="EKL58" s="10"/>
      <c r="EKM58" s="10"/>
      <c r="EKN58" s="10"/>
      <c r="EKO58" s="10"/>
      <c r="EKP58" s="10"/>
      <c r="EKQ58" s="10"/>
      <c r="EKR58" s="10"/>
      <c r="EKS58" s="10"/>
      <c r="EKT58" s="10"/>
      <c r="EKU58" s="10"/>
      <c r="EKV58" s="10"/>
      <c r="EKW58" s="10"/>
      <c r="EKX58" s="10"/>
      <c r="EKY58" s="10"/>
      <c r="EKZ58" s="10"/>
      <c r="ELA58" s="10"/>
      <c r="ELB58" s="10"/>
      <c r="ELC58" s="10"/>
      <c r="ELD58" s="10"/>
      <c r="ELE58" s="10"/>
      <c r="ELF58" s="10"/>
      <c r="ELG58" s="10"/>
      <c r="ELH58" s="10"/>
      <c r="ELI58" s="10"/>
      <c r="ELJ58" s="10"/>
      <c r="ELK58" s="10"/>
      <c r="ELL58" s="10"/>
      <c r="ELM58" s="10"/>
      <c r="ELN58" s="10"/>
      <c r="ELO58" s="10"/>
      <c r="ELP58" s="10"/>
      <c r="ELQ58" s="10"/>
      <c r="ELR58" s="10"/>
      <c r="ELS58" s="10"/>
      <c r="ELT58" s="10"/>
      <c r="ELU58" s="10"/>
      <c r="ELV58" s="10"/>
      <c r="ELW58" s="10"/>
      <c r="ELX58" s="10"/>
      <c r="ELY58" s="10"/>
      <c r="ELZ58" s="10"/>
      <c r="EMA58" s="10"/>
      <c r="EMB58" s="10"/>
      <c r="EMC58" s="10"/>
      <c r="EMD58" s="10"/>
      <c r="EME58" s="10"/>
      <c r="EMF58" s="10"/>
      <c r="EMG58" s="10"/>
      <c r="EMH58" s="10"/>
      <c r="EMI58" s="10"/>
      <c r="EMJ58" s="10"/>
      <c r="EMK58" s="10"/>
      <c r="EML58" s="10"/>
      <c r="EMM58" s="10"/>
      <c r="EMN58" s="10"/>
      <c r="EMO58" s="10"/>
      <c r="EMP58" s="10"/>
      <c r="EMQ58" s="10"/>
      <c r="EMR58" s="10"/>
      <c r="EMS58" s="10"/>
      <c r="EMT58" s="10"/>
      <c r="EMU58" s="10"/>
      <c r="EMV58" s="10"/>
      <c r="EMW58" s="10"/>
      <c r="EMX58" s="10"/>
      <c r="EMY58" s="10"/>
      <c r="EMZ58" s="10"/>
      <c r="ENA58" s="10"/>
      <c r="ENB58" s="10"/>
      <c r="ENC58" s="10"/>
      <c r="END58" s="10"/>
      <c r="ENE58" s="10"/>
      <c r="ENF58" s="10"/>
      <c r="ENG58" s="10"/>
      <c r="ENH58" s="10"/>
      <c r="ENI58" s="10"/>
      <c r="ENJ58" s="10"/>
      <c r="ENK58" s="10"/>
      <c r="ENL58" s="10"/>
      <c r="ENM58" s="10"/>
      <c r="ENN58" s="10"/>
      <c r="ENO58" s="10"/>
      <c r="ENP58" s="10"/>
      <c r="ENQ58" s="10"/>
      <c r="ENR58" s="10"/>
      <c r="ENS58" s="10"/>
      <c r="ENT58" s="10"/>
      <c r="ENU58" s="10"/>
      <c r="ENV58" s="10"/>
      <c r="ENW58" s="10"/>
      <c r="ENX58" s="10"/>
      <c r="ENY58" s="10"/>
      <c r="ENZ58" s="10"/>
      <c r="EOA58" s="10"/>
      <c r="EOB58" s="10"/>
      <c r="EOC58" s="10"/>
      <c r="EOD58" s="10"/>
      <c r="EOE58" s="10"/>
      <c r="EOF58" s="10"/>
      <c r="EOG58" s="10"/>
      <c r="EOH58" s="10"/>
      <c r="EOI58" s="10"/>
      <c r="EOJ58" s="10"/>
      <c r="EOK58" s="10"/>
      <c r="EOL58" s="10"/>
      <c r="EOM58" s="10"/>
      <c r="EON58" s="10"/>
      <c r="EOO58" s="10"/>
      <c r="EOP58" s="10"/>
      <c r="EOQ58" s="10"/>
      <c r="EOR58" s="10"/>
      <c r="EOS58" s="10"/>
      <c r="EOT58" s="10"/>
      <c r="EOU58" s="10"/>
      <c r="EOV58" s="10"/>
      <c r="EOW58" s="10"/>
      <c r="EOX58" s="10"/>
      <c r="EOY58" s="10"/>
      <c r="EOZ58" s="10"/>
      <c r="EPA58" s="10"/>
      <c r="EPB58" s="10"/>
      <c r="EPC58" s="10"/>
      <c r="EPD58" s="10"/>
      <c r="EPE58" s="10"/>
      <c r="EPF58" s="10"/>
      <c r="EPG58" s="10"/>
      <c r="EPH58" s="10"/>
      <c r="EPI58" s="10"/>
      <c r="EPJ58" s="10"/>
      <c r="EPK58" s="10"/>
      <c r="EPL58" s="10"/>
      <c r="EPM58" s="10"/>
      <c r="EPN58" s="10"/>
      <c r="EPO58" s="10"/>
      <c r="EPP58" s="10"/>
      <c r="EPQ58" s="10"/>
      <c r="EPR58" s="10"/>
      <c r="EPS58" s="10"/>
      <c r="EPT58" s="10"/>
      <c r="EPU58" s="10"/>
      <c r="EPV58" s="10"/>
      <c r="EPW58" s="10"/>
      <c r="EPX58" s="10"/>
      <c r="EPY58" s="10"/>
      <c r="EPZ58" s="10"/>
      <c r="EQA58" s="10"/>
      <c r="EQB58" s="10"/>
      <c r="EQC58" s="10"/>
      <c r="EQD58" s="10"/>
      <c r="EQE58" s="10"/>
      <c r="EQF58" s="10"/>
      <c r="EQG58" s="10"/>
      <c r="EQH58" s="10"/>
      <c r="EQI58" s="10"/>
      <c r="EQJ58" s="10"/>
      <c r="EQK58" s="10"/>
      <c r="EQL58" s="10"/>
      <c r="EQM58" s="10"/>
      <c r="EQN58" s="10"/>
      <c r="EQO58" s="10"/>
      <c r="EQP58" s="10"/>
      <c r="EQQ58" s="10"/>
      <c r="EQR58" s="10"/>
      <c r="EQS58" s="10"/>
      <c r="EQT58" s="10"/>
      <c r="EQU58" s="10"/>
      <c r="EQV58" s="10"/>
      <c r="EQW58" s="10"/>
      <c r="EQX58" s="10"/>
      <c r="EQY58" s="10"/>
      <c r="EQZ58" s="10"/>
      <c r="ERA58" s="10"/>
      <c r="ERB58" s="10"/>
      <c r="ERC58" s="10"/>
      <c r="ERD58" s="10"/>
      <c r="ERE58" s="10"/>
      <c r="ERF58" s="10"/>
      <c r="ERG58" s="10"/>
      <c r="ERH58" s="10"/>
      <c r="ERI58" s="10"/>
      <c r="ERJ58" s="10"/>
      <c r="ERK58" s="10"/>
      <c r="ERL58" s="10"/>
      <c r="ERM58" s="10"/>
      <c r="ERN58" s="10"/>
      <c r="ERO58" s="10"/>
      <c r="ERP58" s="10"/>
      <c r="ERQ58" s="10"/>
      <c r="ERR58" s="10"/>
      <c r="ERS58" s="10"/>
      <c r="ERT58" s="10"/>
      <c r="ERU58" s="10"/>
      <c r="ERV58" s="10"/>
      <c r="ERW58" s="10"/>
      <c r="ERX58" s="10"/>
      <c r="ERY58" s="10"/>
      <c r="ERZ58" s="10"/>
      <c r="ESA58" s="10"/>
      <c r="ESB58" s="10"/>
      <c r="ESC58" s="10"/>
      <c r="ESD58" s="10"/>
      <c r="ESE58" s="10"/>
      <c r="ESF58" s="10"/>
      <c r="ESG58" s="10"/>
      <c r="ESH58" s="10"/>
      <c r="ESI58" s="10"/>
      <c r="ESJ58" s="10"/>
      <c r="ESK58" s="10"/>
      <c r="ESL58" s="10"/>
      <c r="ESM58" s="10"/>
      <c r="ESN58" s="10"/>
      <c r="ESO58" s="10"/>
      <c r="ESP58" s="10"/>
      <c r="ESQ58" s="10"/>
      <c r="ESR58" s="10"/>
      <c r="ESS58" s="10"/>
      <c r="EST58" s="10"/>
      <c r="ESU58" s="10"/>
      <c r="ESV58" s="10"/>
      <c r="ESW58" s="10"/>
      <c r="ESX58" s="10"/>
      <c r="ESY58" s="10"/>
      <c r="ESZ58" s="10"/>
      <c r="ETA58" s="10"/>
      <c r="ETB58" s="10"/>
      <c r="ETC58" s="10"/>
      <c r="ETD58" s="10"/>
      <c r="ETE58" s="10"/>
      <c r="ETF58" s="10"/>
      <c r="ETG58" s="10"/>
      <c r="ETH58" s="10"/>
      <c r="ETI58" s="10"/>
      <c r="ETJ58" s="10"/>
      <c r="ETK58" s="10"/>
      <c r="ETL58" s="10"/>
      <c r="ETM58" s="10"/>
      <c r="ETN58" s="10"/>
      <c r="ETO58" s="10"/>
      <c r="ETP58" s="10"/>
      <c r="ETQ58" s="10"/>
      <c r="ETR58" s="10"/>
      <c r="ETS58" s="10"/>
      <c r="ETT58" s="10"/>
      <c r="ETU58" s="10"/>
      <c r="ETV58" s="10"/>
      <c r="ETW58" s="10"/>
      <c r="ETX58" s="10"/>
      <c r="ETY58" s="10"/>
      <c r="ETZ58" s="10"/>
      <c r="EUA58" s="10"/>
      <c r="EUB58" s="10"/>
      <c r="EUC58" s="10"/>
      <c r="EUD58" s="10"/>
      <c r="EUE58" s="10"/>
      <c r="EUF58" s="10"/>
      <c r="EUG58" s="10"/>
      <c r="EUH58" s="10"/>
      <c r="EUI58" s="10"/>
      <c r="EUJ58" s="10"/>
      <c r="EUK58" s="10"/>
      <c r="EUL58" s="10"/>
      <c r="EUM58" s="10"/>
      <c r="EUN58" s="10"/>
      <c r="EUO58" s="10"/>
      <c r="EUP58" s="10"/>
      <c r="EUQ58" s="10"/>
      <c r="EUR58" s="10"/>
      <c r="EUS58" s="10"/>
      <c r="EUT58" s="10"/>
      <c r="EUU58" s="10"/>
      <c r="EUV58" s="10"/>
      <c r="EUW58" s="10"/>
      <c r="EUX58" s="10"/>
      <c r="EUY58" s="10"/>
      <c r="EUZ58" s="10"/>
      <c r="EVA58" s="10"/>
      <c r="EVB58" s="10"/>
      <c r="EVC58" s="10"/>
      <c r="EVD58" s="10"/>
      <c r="EVE58" s="10"/>
      <c r="EVF58" s="10"/>
      <c r="EVG58" s="10"/>
      <c r="EVH58" s="10"/>
      <c r="EVI58" s="10"/>
      <c r="EVJ58" s="10"/>
      <c r="EVK58" s="10"/>
      <c r="EVL58" s="10"/>
      <c r="EVM58" s="10"/>
      <c r="EVN58" s="10"/>
      <c r="EVO58" s="10"/>
      <c r="EVP58" s="10"/>
      <c r="EVQ58" s="10"/>
      <c r="EVR58" s="10"/>
      <c r="EVS58" s="10"/>
      <c r="EVT58" s="10"/>
      <c r="EVU58" s="10"/>
      <c r="EVV58" s="10"/>
      <c r="EVW58" s="10"/>
      <c r="EVX58" s="10"/>
      <c r="EVY58" s="10"/>
      <c r="EVZ58" s="10"/>
      <c r="EWA58" s="10"/>
      <c r="EWB58" s="10"/>
      <c r="EWC58" s="10"/>
      <c r="EWD58" s="10"/>
      <c r="EWE58" s="10"/>
      <c r="EWF58" s="10"/>
      <c r="EWG58" s="10"/>
      <c r="EWH58" s="10"/>
      <c r="EWI58" s="10"/>
      <c r="EWJ58" s="10"/>
      <c r="EWK58" s="10"/>
      <c r="EWL58" s="10"/>
      <c r="EWM58" s="10"/>
      <c r="EWN58" s="10"/>
      <c r="EWO58" s="10"/>
      <c r="EWP58" s="10"/>
      <c r="EWQ58" s="10"/>
      <c r="EWR58" s="10"/>
      <c r="EWS58" s="10"/>
      <c r="EWT58" s="10"/>
      <c r="EWU58" s="10"/>
      <c r="EWV58" s="10"/>
      <c r="EWW58" s="10"/>
      <c r="EWX58" s="10"/>
      <c r="EWY58" s="10"/>
      <c r="EWZ58" s="10"/>
      <c r="EXA58" s="10"/>
      <c r="EXB58" s="10"/>
      <c r="EXC58" s="10"/>
      <c r="EXD58" s="10"/>
      <c r="EXE58" s="10"/>
      <c r="EXF58" s="10"/>
      <c r="EXG58" s="10"/>
      <c r="EXH58" s="10"/>
      <c r="EXI58" s="10"/>
      <c r="EXJ58" s="10"/>
      <c r="EXK58" s="10"/>
      <c r="EXL58" s="10"/>
      <c r="EXM58" s="10"/>
      <c r="EXN58" s="10"/>
      <c r="EXO58" s="10"/>
      <c r="EXP58" s="10"/>
      <c r="EXQ58" s="10"/>
      <c r="EXR58" s="10"/>
      <c r="EXS58" s="10"/>
      <c r="EXT58" s="10"/>
      <c r="EXU58" s="10"/>
      <c r="EXV58" s="10"/>
      <c r="EXW58" s="10"/>
      <c r="EXX58" s="10"/>
      <c r="EXY58" s="10"/>
      <c r="EXZ58" s="10"/>
      <c r="EYA58" s="10"/>
      <c r="EYB58" s="10"/>
      <c r="EYC58" s="10"/>
      <c r="EYD58" s="10"/>
      <c r="EYE58" s="10"/>
      <c r="EYF58" s="10"/>
      <c r="EYG58" s="10"/>
      <c r="EYH58" s="10"/>
      <c r="EYI58" s="10"/>
      <c r="EYJ58" s="10"/>
      <c r="EYK58" s="10"/>
      <c r="EYL58" s="10"/>
      <c r="EYM58" s="10"/>
      <c r="EYN58" s="10"/>
      <c r="EYO58" s="10"/>
      <c r="EYP58" s="10"/>
      <c r="EYQ58" s="10"/>
      <c r="EYR58" s="10"/>
      <c r="EYS58" s="10"/>
      <c r="EYT58" s="10"/>
      <c r="EYU58" s="10"/>
      <c r="EYV58" s="10"/>
      <c r="EYW58" s="10"/>
      <c r="EYX58" s="10"/>
      <c r="EYY58" s="10"/>
      <c r="EYZ58" s="10"/>
      <c r="EZA58" s="10"/>
      <c r="EZB58" s="10"/>
      <c r="EZC58" s="10"/>
      <c r="EZD58" s="10"/>
      <c r="EZE58" s="10"/>
      <c r="EZF58" s="10"/>
      <c r="EZG58" s="10"/>
      <c r="EZH58" s="10"/>
      <c r="EZI58" s="10"/>
      <c r="EZJ58" s="10"/>
      <c r="EZK58" s="10"/>
      <c r="EZL58" s="10"/>
      <c r="EZM58" s="10"/>
      <c r="EZN58" s="10"/>
      <c r="EZO58" s="10"/>
      <c r="EZP58" s="10"/>
      <c r="EZQ58" s="10"/>
      <c r="EZR58" s="10"/>
      <c r="EZS58" s="10"/>
      <c r="EZT58" s="10"/>
      <c r="EZU58" s="10"/>
      <c r="EZV58" s="10"/>
      <c r="EZW58" s="10"/>
      <c r="EZX58" s="10"/>
      <c r="EZY58" s="10"/>
      <c r="EZZ58" s="10"/>
      <c r="FAA58" s="10"/>
      <c r="FAB58" s="10"/>
      <c r="FAC58" s="10"/>
      <c r="FAD58" s="10"/>
      <c r="FAE58" s="10"/>
      <c r="FAF58" s="10"/>
      <c r="FAG58" s="10"/>
      <c r="FAH58" s="10"/>
      <c r="FAI58" s="10"/>
      <c r="FAJ58" s="10"/>
      <c r="FAK58" s="10"/>
      <c r="FAL58" s="10"/>
      <c r="FAM58" s="10"/>
      <c r="FAN58" s="10"/>
      <c r="FAO58" s="10"/>
      <c r="FAP58" s="10"/>
      <c r="FAQ58" s="10"/>
      <c r="FAR58" s="10"/>
      <c r="FAS58" s="10"/>
      <c r="FAT58" s="10"/>
      <c r="FAU58" s="10"/>
      <c r="FAV58" s="10"/>
      <c r="FAW58" s="10"/>
      <c r="FAX58" s="10"/>
      <c r="FAY58" s="10"/>
      <c r="FAZ58" s="10"/>
      <c r="FBA58" s="10"/>
      <c r="FBB58" s="10"/>
      <c r="FBC58" s="10"/>
      <c r="FBD58" s="10"/>
      <c r="FBE58" s="10"/>
      <c r="FBF58" s="10"/>
      <c r="FBG58" s="10"/>
      <c r="FBH58" s="10"/>
      <c r="FBI58" s="10"/>
      <c r="FBJ58" s="10"/>
      <c r="FBK58" s="10"/>
      <c r="FBL58" s="10"/>
      <c r="FBM58" s="10"/>
      <c r="FBN58" s="10"/>
      <c r="FBO58" s="10"/>
      <c r="FBP58" s="10"/>
      <c r="FBQ58" s="10"/>
      <c r="FBR58" s="10"/>
      <c r="FBS58" s="10"/>
      <c r="FBT58" s="10"/>
      <c r="FBU58" s="10"/>
      <c r="FBV58" s="10"/>
      <c r="FBW58" s="10"/>
      <c r="FBX58" s="10"/>
      <c r="FBY58" s="10"/>
      <c r="FBZ58" s="10"/>
      <c r="FCA58" s="10"/>
      <c r="FCB58" s="10"/>
      <c r="FCC58" s="10"/>
      <c r="FCD58" s="10"/>
      <c r="FCE58" s="10"/>
      <c r="FCF58" s="10"/>
      <c r="FCG58" s="10"/>
      <c r="FCH58" s="10"/>
      <c r="FCI58" s="10"/>
      <c r="FCJ58" s="10"/>
      <c r="FCK58" s="10"/>
      <c r="FCL58" s="10"/>
      <c r="FCM58" s="10"/>
      <c r="FCN58" s="10"/>
      <c r="FCO58" s="10"/>
      <c r="FCP58" s="10"/>
      <c r="FCQ58" s="10"/>
      <c r="FCR58" s="10"/>
      <c r="FCS58" s="10"/>
      <c r="FCT58" s="10"/>
      <c r="FCU58" s="10"/>
      <c r="FCV58" s="10"/>
      <c r="FCW58" s="10"/>
      <c r="FCX58" s="10"/>
      <c r="FCY58" s="10"/>
      <c r="FCZ58" s="10"/>
      <c r="FDA58" s="10"/>
      <c r="FDB58" s="10"/>
      <c r="FDC58" s="10"/>
      <c r="FDD58" s="10"/>
      <c r="FDE58" s="10"/>
      <c r="FDF58" s="10"/>
      <c r="FDG58" s="10"/>
      <c r="FDH58" s="10"/>
      <c r="FDI58" s="10"/>
      <c r="FDJ58" s="10"/>
      <c r="FDK58" s="10"/>
      <c r="FDL58" s="10"/>
      <c r="FDM58" s="10"/>
      <c r="FDN58" s="10"/>
      <c r="FDO58" s="10"/>
      <c r="FDP58" s="10"/>
      <c r="FDQ58" s="10"/>
      <c r="FDR58" s="10"/>
      <c r="FDS58" s="10"/>
      <c r="FDT58" s="10"/>
      <c r="FDU58" s="10"/>
      <c r="FDV58" s="10"/>
      <c r="FDW58" s="10"/>
      <c r="FDX58" s="10"/>
      <c r="FDY58" s="10"/>
      <c r="FDZ58" s="10"/>
      <c r="FEA58" s="10"/>
      <c r="FEB58" s="10"/>
      <c r="FEC58" s="10"/>
      <c r="FED58" s="10"/>
      <c r="FEE58" s="10"/>
      <c r="FEF58" s="10"/>
      <c r="FEG58" s="10"/>
      <c r="FEH58" s="10"/>
      <c r="FEI58" s="10"/>
      <c r="FEJ58" s="10"/>
      <c r="FEK58" s="10"/>
      <c r="FEL58" s="10"/>
      <c r="FEM58" s="10"/>
      <c r="FEN58" s="10"/>
      <c r="FEO58" s="10"/>
      <c r="FEP58" s="10"/>
      <c r="FEQ58" s="10"/>
      <c r="FER58" s="10"/>
      <c r="FES58" s="10"/>
      <c r="FET58" s="10"/>
      <c r="FEU58" s="10"/>
      <c r="FEV58" s="10"/>
      <c r="FEW58" s="10"/>
      <c r="FEX58" s="10"/>
      <c r="FEY58" s="10"/>
      <c r="FEZ58" s="10"/>
      <c r="FFA58" s="10"/>
      <c r="FFB58" s="10"/>
      <c r="FFC58" s="10"/>
      <c r="FFD58" s="10"/>
      <c r="FFE58" s="10"/>
      <c r="FFF58" s="10"/>
      <c r="FFG58" s="10"/>
      <c r="FFH58" s="10"/>
      <c r="FFI58" s="10"/>
      <c r="FFJ58" s="10"/>
      <c r="FFK58" s="10"/>
      <c r="FFL58" s="10"/>
      <c r="FFM58" s="10"/>
      <c r="FFN58" s="10"/>
      <c r="FFO58" s="10"/>
      <c r="FFP58" s="10"/>
      <c r="FFQ58" s="10"/>
      <c r="FFR58" s="10"/>
      <c r="FFS58" s="10"/>
      <c r="FFT58" s="10"/>
      <c r="FFU58" s="10"/>
      <c r="FFV58" s="10"/>
      <c r="FFW58" s="10"/>
      <c r="FFX58" s="10"/>
      <c r="FFY58" s="10"/>
      <c r="FFZ58" s="10"/>
      <c r="FGA58" s="10"/>
      <c r="FGB58" s="10"/>
      <c r="FGC58" s="10"/>
      <c r="FGD58" s="10"/>
      <c r="FGE58" s="10"/>
      <c r="FGF58" s="10"/>
      <c r="FGG58" s="10"/>
      <c r="FGH58" s="10"/>
      <c r="FGI58" s="10"/>
      <c r="FGJ58" s="10"/>
      <c r="FGK58" s="10"/>
      <c r="FGL58" s="10"/>
      <c r="FGM58" s="10"/>
      <c r="FGN58" s="10"/>
      <c r="FGO58" s="10"/>
      <c r="FGP58" s="10"/>
      <c r="FGQ58" s="10"/>
      <c r="FGR58" s="10"/>
      <c r="FGS58" s="10"/>
      <c r="FGT58" s="10"/>
      <c r="FGU58" s="10"/>
      <c r="FGV58" s="10"/>
      <c r="FGW58" s="10"/>
      <c r="FGX58" s="10"/>
      <c r="FGY58" s="10"/>
      <c r="FGZ58" s="10"/>
      <c r="FHA58" s="10"/>
      <c r="FHB58" s="10"/>
      <c r="FHC58" s="10"/>
      <c r="FHD58" s="10"/>
      <c r="FHE58" s="10"/>
      <c r="FHF58" s="10"/>
      <c r="FHG58" s="10"/>
      <c r="FHH58" s="10"/>
      <c r="FHI58" s="10"/>
      <c r="FHJ58" s="10"/>
      <c r="FHK58" s="10"/>
      <c r="FHL58" s="10"/>
      <c r="FHM58" s="10"/>
      <c r="FHN58" s="10"/>
      <c r="FHO58" s="10"/>
      <c r="FHP58" s="10"/>
      <c r="FHQ58" s="10"/>
      <c r="FHR58" s="10"/>
      <c r="FHS58" s="10"/>
      <c r="FHT58" s="10"/>
      <c r="FHU58" s="10"/>
      <c r="FHV58" s="10"/>
      <c r="FHW58" s="10"/>
      <c r="FHX58" s="10"/>
      <c r="FHY58" s="10"/>
      <c r="FHZ58" s="10"/>
      <c r="FIA58" s="10"/>
      <c r="FIB58" s="10"/>
      <c r="FIC58" s="10"/>
      <c r="FID58" s="10"/>
      <c r="FIE58" s="10"/>
      <c r="FIF58" s="10"/>
      <c r="FIG58" s="10"/>
      <c r="FIH58" s="10"/>
      <c r="FII58" s="10"/>
      <c r="FIJ58" s="10"/>
      <c r="FIK58" s="10"/>
      <c r="FIL58" s="10"/>
      <c r="FIM58" s="10"/>
      <c r="FIN58" s="10"/>
      <c r="FIO58" s="10"/>
      <c r="FIP58" s="10"/>
      <c r="FIQ58" s="10"/>
      <c r="FIR58" s="10"/>
      <c r="FIS58" s="10"/>
      <c r="FIT58" s="10"/>
      <c r="FIU58" s="10"/>
      <c r="FIV58" s="10"/>
      <c r="FIW58" s="10"/>
      <c r="FIX58" s="10"/>
      <c r="FIY58" s="10"/>
      <c r="FIZ58" s="10"/>
      <c r="FJA58" s="10"/>
      <c r="FJB58" s="10"/>
      <c r="FJC58" s="10"/>
      <c r="FJD58" s="10"/>
      <c r="FJE58" s="10"/>
      <c r="FJF58" s="10"/>
      <c r="FJG58" s="10"/>
      <c r="FJH58" s="10"/>
      <c r="FJI58" s="10"/>
      <c r="FJJ58" s="10"/>
      <c r="FJK58" s="10"/>
      <c r="FJL58" s="10"/>
      <c r="FJM58" s="10"/>
      <c r="FJN58" s="10"/>
      <c r="FJO58" s="10"/>
      <c r="FJP58" s="10"/>
      <c r="FJQ58" s="10"/>
      <c r="FJR58" s="10"/>
      <c r="FJS58" s="10"/>
      <c r="FJT58" s="10"/>
      <c r="FJU58" s="10"/>
      <c r="FJV58" s="10"/>
      <c r="FJW58" s="10"/>
      <c r="FJX58" s="10"/>
      <c r="FJY58" s="10"/>
      <c r="FJZ58" s="10"/>
      <c r="FKA58" s="10"/>
      <c r="FKB58" s="10"/>
      <c r="FKC58" s="10"/>
      <c r="FKD58" s="10"/>
      <c r="FKE58" s="10"/>
      <c r="FKF58" s="10"/>
      <c r="FKG58" s="10"/>
      <c r="FKH58" s="10"/>
      <c r="FKI58" s="10"/>
      <c r="FKJ58" s="10"/>
      <c r="FKK58" s="10"/>
      <c r="FKL58" s="10"/>
      <c r="FKM58" s="10"/>
      <c r="FKN58" s="10"/>
      <c r="FKO58" s="10"/>
      <c r="FKP58" s="10"/>
      <c r="FKQ58" s="10"/>
      <c r="FKR58" s="10"/>
      <c r="FKS58" s="10"/>
      <c r="FKT58" s="10"/>
      <c r="FKU58" s="10"/>
      <c r="FKV58" s="10"/>
      <c r="FKW58" s="10"/>
      <c r="FKX58" s="10"/>
      <c r="FKY58" s="10"/>
      <c r="FKZ58" s="10"/>
      <c r="FLA58" s="10"/>
      <c r="FLB58" s="10"/>
      <c r="FLC58" s="10"/>
      <c r="FLD58" s="10"/>
      <c r="FLE58" s="10"/>
      <c r="FLF58" s="10"/>
      <c r="FLG58" s="10"/>
      <c r="FLH58" s="10"/>
      <c r="FLI58" s="10"/>
      <c r="FLJ58" s="10"/>
      <c r="FLK58" s="10"/>
      <c r="FLL58" s="10"/>
      <c r="FLM58" s="10"/>
      <c r="FLN58" s="10"/>
      <c r="FLO58" s="10"/>
      <c r="FLP58" s="10"/>
      <c r="FLQ58" s="10"/>
      <c r="FLR58" s="10"/>
      <c r="FLS58" s="10"/>
      <c r="FLT58" s="10"/>
      <c r="FLU58" s="10"/>
      <c r="FLV58" s="10"/>
      <c r="FLW58" s="10"/>
      <c r="FLX58" s="10"/>
      <c r="FLY58" s="10"/>
      <c r="FLZ58" s="10"/>
      <c r="FMA58" s="10"/>
      <c r="FMB58" s="10"/>
      <c r="FMC58" s="10"/>
      <c r="FMD58" s="10"/>
      <c r="FME58" s="10"/>
      <c r="FMF58" s="10"/>
      <c r="FMG58" s="10"/>
      <c r="FMH58" s="10"/>
      <c r="FMI58" s="10"/>
      <c r="FMJ58" s="10"/>
      <c r="FMK58" s="10"/>
      <c r="FML58" s="10"/>
      <c r="FMM58" s="10"/>
      <c r="FMN58" s="10"/>
      <c r="FMO58" s="10"/>
      <c r="FMP58" s="10"/>
      <c r="FMQ58" s="10"/>
      <c r="FMR58" s="10"/>
      <c r="FMS58" s="10"/>
      <c r="FMT58" s="10"/>
      <c r="FMU58" s="10"/>
      <c r="FMV58" s="10"/>
      <c r="FMW58" s="10"/>
      <c r="FMX58" s="10"/>
      <c r="FMY58" s="10"/>
      <c r="FMZ58" s="10"/>
      <c r="FNA58" s="10"/>
      <c r="FNB58" s="10"/>
      <c r="FNC58" s="10"/>
      <c r="FND58" s="10"/>
      <c r="FNE58" s="10"/>
      <c r="FNF58" s="10"/>
      <c r="FNG58" s="10"/>
      <c r="FNH58" s="10"/>
      <c r="FNI58" s="10"/>
      <c r="FNJ58" s="10"/>
      <c r="FNK58" s="10"/>
      <c r="FNL58" s="10"/>
      <c r="FNM58" s="10"/>
      <c r="FNN58" s="10"/>
      <c r="FNO58" s="10"/>
      <c r="FNP58" s="10"/>
      <c r="FNQ58" s="10"/>
      <c r="FNR58" s="10"/>
      <c r="FNS58" s="10"/>
      <c r="FNT58" s="10"/>
      <c r="FNU58" s="10"/>
      <c r="FNV58" s="10"/>
      <c r="FNW58" s="10"/>
      <c r="FNX58" s="10"/>
      <c r="FNY58" s="10"/>
      <c r="FNZ58" s="10"/>
      <c r="FOA58" s="10"/>
      <c r="FOB58" s="10"/>
      <c r="FOC58" s="10"/>
      <c r="FOD58" s="10"/>
      <c r="FOE58" s="10"/>
      <c r="FOF58" s="10"/>
      <c r="FOG58" s="10"/>
      <c r="FOH58" s="10"/>
      <c r="FOI58" s="10"/>
      <c r="FOJ58" s="10"/>
      <c r="FOK58" s="10"/>
      <c r="FOL58" s="10"/>
      <c r="FOM58" s="10"/>
      <c r="FON58" s="10"/>
      <c r="FOO58" s="10"/>
      <c r="FOP58" s="10"/>
      <c r="FOQ58" s="10"/>
      <c r="FOR58" s="10"/>
      <c r="FOS58" s="10"/>
      <c r="FOT58" s="10"/>
      <c r="FOU58" s="10"/>
      <c r="FOV58" s="10"/>
      <c r="FOW58" s="10"/>
      <c r="FOX58" s="10"/>
      <c r="FOY58" s="10"/>
      <c r="FOZ58" s="10"/>
      <c r="FPA58" s="10"/>
      <c r="FPB58" s="10"/>
      <c r="FPC58" s="10"/>
      <c r="FPD58" s="10"/>
      <c r="FPE58" s="10"/>
      <c r="FPF58" s="10"/>
      <c r="FPG58" s="10"/>
      <c r="FPH58" s="10"/>
      <c r="FPI58" s="10"/>
      <c r="FPJ58" s="10"/>
      <c r="FPK58" s="10"/>
      <c r="FPL58" s="10"/>
      <c r="FPM58" s="10"/>
      <c r="FPN58" s="10"/>
      <c r="FPO58" s="10"/>
      <c r="FPP58" s="10"/>
      <c r="FPQ58" s="10"/>
      <c r="FPR58" s="10"/>
      <c r="FPS58" s="10"/>
      <c r="FPT58" s="10"/>
      <c r="FPU58" s="10"/>
      <c r="FPV58" s="10"/>
      <c r="FPW58" s="10"/>
      <c r="FPX58" s="10"/>
      <c r="FPY58" s="10"/>
      <c r="FPZ58" s="10"/>
      <c r="FQA58" s="10"/>
      <c r="FQB58" s="10"/>
      <c r="FQC58" s="10"/>
      <c r="FQD58" s="10"/>
      <c r="FQE58" s="10"/>
      <c r="FQF58" s="10"/>
      <c r="FQG58" s="10"/>
      <c r="FQH58" s="10"/>
      <c r="FQI58" s="10"/>
      <c r="FQJ58" s="10"/>
      <c r="FQK58" s="10"/>
      <c r="FQL58" s="10"/>
      <c r="FQM58" s="10"/>
      <c r="FQN58" s="10"/>
      <c r="FQO58" s="10"/>
      <c r="FQP58" s="10"/>
      <c r="FQQ58" s="10"/>
      <c r="FQR58" s="10"/>
      <c r="FQS58" s="10"/>
      <c r="FQT58" s="10"/>
      <c r="FQU58" s="10"/>
      <c r="FQV58" s="10"/>
      <c r="FQW58" s="10"/>
      <c r="FQX58" s="10"/>
      <c r="FQY58" s="10"/>
      <c r="FQZ58" s="10"/>
      <c r="FRA58" s="10"/>
      <c r="FRB58" s="10"/>
      <c r="FRC58" s="10"/>
      <c r="FRD58" s="10"/>
      <c r="FRE58" s="10"/>
      <c r="FRF58" s="10"/>
      <c r="FRG58" s="10"/>
      <c r="FRH58" s="10"/>
      <c r="FRI58" s="10"/>
      <c r="FRJ58" s="10"/>
      <c r="FRK58" s="10"/>
      <c r="FRL58" s="10"/>
      <c r="FRM58" s="10"/>
      <c r="FRN58" s="10"/>
      <c r="FRO58" s="10"/>
      <c r="FRP58" s="10"/>
      <c r="FRQ58" s="10"/>
      <c r="FRR58" s="10"/>
      <c r="FRS58" s="10"/>
      <c r="FRT58" s="10"/>
      <c r="FRU58" s="10"/>
      <c r="FRV58" s="10"/>
      <c r="FRW58" s="10"/>
      <c r="FRX58" s="10"/>
      <c r="FRY58" s="10"/>
      <c r="FRZ58" s="10"/>
      <c r="FSA58" s="10"/>
      <c r="FSB58" s="10"/>
      <c r="FSC58" s="10"/>
      <c r="FSD58" s="10"/>
      <c r="FSE58" s="10"/>
      <c r="FSF58" s="10"/>
      <c r="FSG58" s="10"/>
      <c r="FSH58" s="10"/>
      <c r="FSI58" s="10"/>
      <c r="FSJ58" s="10"/>
      <c r="FSK58" s="10"/>
      <c r="FSL58" s="10"/>
      <c r="FSM58" s="10"/>
      <c r="FSN58" s="10"/>
      <c r="FSO58" s="10"/>
      <c r="FSP58" s="10"/>
      <c r="FSQ58" s="10"/>
      <c r="FSR58" s="10"/>
      <c r="FSS58" s="10"/>
      <c r="FST58" s="10"/>
      <c r="FSU58" s="10"/>
      <c r="FSV58" s="10"/>
      <c r="FSW58" s="10"/>
      <c r="FSX58" s="10"/>
      <c r="FSY58" s="10"/>
      <c r="FSZ58" s="10"/>
      <c r="FTA58" s="10"/>
      <c r="FTB58" s="10"/>
      <c r="FTC58" s="10"/>
      <c r="FTD58" s="10"/>
      <c r="FTE58" s="10"/>
      <c r="FTF58" s="10"/>
      <c r="FTG58" s="10"/>
      <c r="FTH58" s="10"/>
      <c r="FTI58" s="10"/>
      <c r="FTJ58" s="10"/>
      <c r="FTK58" s="10"/>
      <c r="FTL58" s="10"/>
      <c r="FTM58" s="10"/>
      <c r="FTN58" s="10"/>
      <c r="FTO58" s="10"/>
      <c r="FTP58" s="10"/>
      <c r="FTQ58" s="10"/>
      <c r="FTR58" s="10"/>
      <c r="FTS58" s="10"/>
      <c r="FTT58" s="10"/>
      <c r="FTU58" s="10"/>
      <c r="FTV58" s="10"/>
      <c r="FTW58" s="10"/>
      <c r="FTX58" s="10"/>
      <c r="FTY58" s="10"/>
      <c r="FTZ58" s="10"/>
      <c r="FUA58" s="10"/>
      <c r="FUB58" s="10"/>
      <c r="FUC58" s="10"/>
      <c r="FUD58" s="10"/>
      <c r="FUE58" s="10"/>
      <c r="FUF58" s="10"/>
      <c r="FUG58" s="10"/>
      <c r="FUH58" s="10"/>
      <c r="FUI58" s="10"/>
      <c r="FUJ58" s="10"/>
      <c r="FUK58" s="10"/>
      <c r="FUL58" s="10"/>
      <c r="FUM58" s="10"/>
      <c r="FUN58" s="10"/>
      <c r="FUO58" s="10"/>
      <c r="FUP58" s="10"/>
      <c r="FUQ58" s="10"/>
      <c r="FUR58" s="10"/>
      <c r="FUS58" s="10"/>
      <c r="FUT58" s="10"/>
      <c r="FUU58" s="10"/>
      <c r="FUV58" s="10"/>
      <c r="FUW58" s="10"/>
      <c r="FUX58" s="10"/>
      <c r="FUY58" s="10"/>
      <c r="FUZ58" s="10"/>
      <c r="FVA58" s="10"/>
      <c r="FVB58" s="10"/>
      <c r="FVC58" s="10"/>
      <c r="FVD58" s="10"/>
      <c r="FVE58" s="10"/>
      <c r="FVF58" s="10"/>
      <c r="FVG58" s="10"/>
      <c r="FVH58" s="10"/>
      <c r="FVI58" s="10"/>
      <c r="FVJ58" s="10"/>
      <c r="FVK58" s="10"/>
      <c r="FVL58" s="10"/>
      <c r="FVM58" s="10"/>
      <c r="FVN58" s="10"/>
      <c r="FVO58" s="10"/>
      <c r="FVP58" s="10"/>
      <c r="FVQ58" s="10"/>
      <c r="FVR58" s="10"/>
      <c r="FVS58" s="10"/>
      <c r="FVT58" s="10"/>
      <c r="FVU58" s="10"/>
      <c r="FVV58" s="10"/>
      <c r="FVW58" s="10"/>
      <c r="FVX58" s="10"/>
      <c r="FVY58" s="10"/>
      <c r="FVZ58" s="10"/>
      <c r="FWA58" s="10"/>
      <c r="FWB58" s="10"/>
      <c r="FWC58" s="10"/>
      <c r="FWD58" s="10"/>
      <c r="FWE58" s="10"/>
      <c r="FWF58" s="10"/>
      <c r="FWG58" s="10"/>
      <c r="FWH58" s="10"/>
      <c r="FWI58" s="10"/>
      <c r="FWJ58" s="10"/>
      <c r="FWK58" s="10"/>
      <c r="FWL58" s="10"/>
      <c r="FWM58" s="10"/>
      <c r="FWN58" s="10"/>
      <c r="FWO58" s="10"/>
      <c r="FWP58" s="10"/>
      <c r="FWQ58" s="10"/>
      <c r="FWR58" s="10"/>
      <c r="FWS58" s="10"/>
      <c r="FWT58" s="10"/>
      <c r="FWU58" s="10"/>
      <c r="FWV58" s="10"/>
      <c r="FWW58" s="10"/>
      <c r="FWX58" s="10"/>
      <c r="FWY58" s="10"/>
      <c r="FWZ58" s="10"/>
      <c r="FXA58" s="10"/>
      <c r="FXB58" s="10"/>
      <c r="FXC58" s="10"/>
      <c r="FXD58" s="10"/>
      <c r="FXE58" s="10"/>
      <c r="FXF58" s="10"/>
      <c r="FXG58" s="10"/>
      <c r="FXH58" s="10"/>
      <c r="FXI58" s="10"/>
      <c r="FXJ58" s="10"/>
      <c r="FXK58" s="10"/>
      <c r="FXL58" s="10"/>
      <c r="FXM58" s="10"/>
      <c r="FXN58" s="10"/>
      <c r="FXO58" s="10"/>
      <c r="FXP58" s="10"/>
      <c r="FXQ58" s="10"/>
      <c r="FXR58" s="10"/>
      <c r="FXS58" s="10"/>
      <c r="FXT58" s="10"/>
      <c r="FXU58" s="10"/>
      <c r="FXV58" s="10"/>
      <c r="FXW58" s="10"/>
      <c r="FXX58" s="10"/>
      <c r="FXY58" s="10"/>
      <c r="FXZ58" s="10"/>
      <c r="FYA58" s="10"/>
      <c r="FYB58" s="10"/>
      <c r="FYC58" s="10"/>
      <c r="FYD58" s="10"/>
      <c r="FYE58" s="10"/>
      <c r="FYF58" s="10"/>
      <c r="FYG58" s="10"/>
      <c r="FYH58" s="10"/>
      <c r="FYI58" s="10"/>
      <c r="FYJ58" s="10"/>
      <c r="FYK58" s="10"/>
      <c r="FYL58" s="10"/>
      <c r="FYM58" s="10"/>
      <c r="FYN58" s="10"/>
      <c r="FYO58" s="10"/>
      <c r="FYP58" s="10"/>
      <c r="FYQ58" s="10"/>
      <c r="FYR58" s="10"/>
      <c r="FYS58" s="10"/>
      <c r="FYT58" s="10"/>
      <c r="FYU58" s="10"/>
      <c r="FYV58" s="10"/>
      <c r="FYW58" s="10"/>
      <c r="FYX58" s="10"/>
      <c r="FYY58" s="10"/>
      <c r="FYZ58" s="10"/>
      <c r="FZA58" s="10"/>
      <c r="FZB58" s="10"/>
      <c r="FZC58" s="10"/>
      <c r="FZD58" s="10"/>
      <c r="FZE58" s="10"/>
      <c r="FZF58" s="10"/>
      <c r="FZG58" s="10"/>
      <c r="FZH58" s="10"/>
      <c r="FZI58" s="10"/>
      <c r="FZJ58" s="10"/>
      <c r="FZK58" s="10"/>
      <c r="FZL58" s="10"/>
      <c r="FZM58" s="10"/>
      <c r="FZN58" s="10"/>
      <c r="FZO58" s="10"/>
      <c r="FZP58" s="10"/>
      <c r="FZQ58" s="10"/>
      <c r="FZR58" s="10"/>
      <c r="FZS58" s="10"/>
      <c r="FZT58" s="10"/>
      <c r="FZU58" s="10"/>
      <c r="FZV58" s="10"/>
      <c r="FZW58" s="10"/>
      <c r="FZX58" s="10"/>
      <c r="FZY58" s="10"/>
      <c r="FZZ58" s="10"/>
      <c r="GAA58" s="10"/>
      <c r="GAB58" s="10"/>
      <c r="GAC58" s="10"/>
      <c r="GAD58" s="10"/>
      <c r="GAE58" s="10"/>
      <c r="GAF58" s="10"/>
      <c r="GAG58" s="10"/>
      <c r="GAH58" s="10"/>
      <c r="GAI58" s="10"/>
      <c r="GAJ58" s="10"/>
      <c r="GAK58" s="10"/>
      <c r="GAL58" s="10"/>
      <c r="GAM58" s="10"/>
      <c r="GAN58" s="10"/>
      <c r="GAO58" s="10"/>
      <c r="GAP58" s="10"/>
      <c r="GAQ58" s="10"/>
      <c r="GAR58" s="10"/>
      <c r="GAS58" s="10"/>
      <c r="GAT58" s="10"/>
      <c r="GAU58" s="10"/>
      <c r="GAV58" s="10"/>
      <c r="GAW58" s="10"/>
      <c r="GAX58" s="10"/>
      <c r="GAY58" s="10"/>
      <c r="GAZ58" s="10"/>
      <c r="GBA58" s="10"/>
      <c r="GBB58" s="10"/>
      <c r="GBC58" s="10"/>
      <c r="GBD58" s="10"/>
      <c r="GBE58" s="10"/>
      <c r="GBF58" s="10"/>
      <c r="GBG58" s="10"/>
      <c r="GBH58" s="10"/>
      <c r="GBI58" s="10"/>
      <c r="GBJ58" s="10"/>
      <c r="GBK58" s="10"/>
      <c r="GBL58" s="10"/>
      <c r="GBM58" s="10"/>
      <c r="GBN58" s="10"/>
      <c r="GBO58" s="10"/>
      <c r="GBP58" s="10"/>
      <c r="GBQ58" s="10"/>
      <c r="GBR58" s="10"/>
      <c r="GBS58" s="10"/>
      <c r="GBT58" s="10"/>
      <c r="GBU58" s="10"/>
      <c r="GBV58" s="10"/>
      <c r="GBW58" s="10"/>
      <c r="GBX58" s="10"/>
      <c r="GBY58" s="10"/>
      <c r="GBZ58" s="10"/>
      <c r="GCA58" s="10"/>
      <c r="GCB58" s="10"/>
      <c r="GCC58" s="10"/>
      <c r="GCD58" s="10"/>
      <c r="GCE58" s="10"/>
      <c r="GCF58" s="10"/>
      <c r="GCG58" s="10"/>
      <c r="GCH58" s="10"/>
      <c r="GCI58" s="10"/>
      <c r="GCJ58" s="10"/>
      <c r="GCK58" s="10"/>
      <c r="GCL58" s="10"/>
      <c r="GCM58" s="10"/>
      <c r="GCN58" s="10"/>
      <c r="GCO58" s="10"/>
      <c r="GCP58" s="10"/>
      <c r="GCQ58" s="10"/>
      <c r="GCR58" s="10"/>
      <c r="GCS58" s="10"/>
      <c r="GCT58" s="10"/>
      <c r="GCU58" s="10"/>
      <c r="GCV58" s="10"/>
      <c r="GCW58" s="10"/>
      <c r="GCX58" s="10"/>
      <c r="GCY58" s="10"/>
      <c r="GCZ58" s="10"/>
      <c r="GDA58" s="10"/>
      <c r="GDB58" s="10"/>
      <c r="GDC58" s="10"/>
      <c r="GDD58" s="10"/>
      <c r="GDE58" s="10"/>
      <c r="GDF58" s="10"/>
      <c r="GDG58" s="10"/>
      <c r="GDH58" s="10"/>
      <c r="GDI58" s="10"/>
      <c r="GDJ58" s="10"/>
      <c r="GDK58" s="10"/>
      <c r="GDL58" s="10"/>
      <c r="GDM58" s="10"/>
      <c r="GDN58" s="10"/>
      <c r="GDO58" s="10"/>
      <c r="GDP58" s="10"/>
      <c r="GDQ58" s="10"/>
      <c r="GDR58" s="10"/>
      <c r="GDS58" s="10"/>
      <c r="GDT58" s="10"/>
      <c r="GDU58" s="10"/>
      <c r="GDV58" s="10"/>
      <c r="GDW58" s="10"/>
      <c r="GDX58" s="10"/>
      <c r="GDY58" s="10"/>
      <c r="GDZ58" s="10"/>
      <c r="GEA58" s="10"/>
      <c r="GEB58" s="10"/>
      <c r="GEC58" s="10"/>
      <c r="GED58" s="10"/>
      <c r="GEE58" s="10"/>
      <c r="GEF58" s="10"/>
      <c r="GEG58" s="10"/>
      <c r="GEH58" s="10"/>
      <c r="GEI58" s="10"/>
      <c r="GEJ58" s="10"/>
      <c r="GEK58" s="10"/>
      <c r="GEL58" s="10"/>
      <c r="GEM58" s="10"/>
      <c r="GEN58" s="10"/>
      <c r="GEO58" s="10"/>
      <c r="GEP58" s="10"/>
      <c r="GEQ58" s="10"/>
      <c r="GER58" s="10"/>
      <c r="GES58" s="10"/>
      <c r="GET58" s="10"/>
      <c r="GEU58" s="10"/>
      <c r="GEV58" s="10"/>
      <c r="GEW58" s="10"/>
      <c r="GEX58" s="10"/>
      <c r="GEY58" s="10"/>
      <c r="GEZ58" s="10"/>
      <c r="GFA58" s="10"/>
      <c r="GFB58" s="10"/>
      <c r="GFC58" s="10"/>
      <c r="GFD58" s="10"/>
      <c r="GFE58" s="10"/>
      <c r="GFF58" s="10"/>
      <c r="GFG58" s="10"/>
      <c r="GFH58" s="10"/>
      <c r="GFI58" s="10"/>
      <c r="GFJ58" s="10"/>
      <c r="GFK58" s="10"/>
      <c r="GFL58" s="10"/>
      <c r="GFM58" s="10"/>
      <c r="GFN58" s="10"/>
      <c r="GFO58" s="10"/>
      <c r="GFP58" s="10"/>
      <c r="GFQ58" s="10"/>
      <c r="GFR58" s="10"/>
      <c r="GFS58" s="10"/>
      <c r="GFT58" s="10"/>
      <c r="GFU58" s="10"/>
      <c r="GFV58" s="10"/>
      <c r="GFW58" s="10"/>
      <c r="GFX58" s="10"/>
      <c r="GFY58" s="10"/>
      <c r="GFZ58" s="10"/>
      <c r="GGA58" s="10"/>
      <c r="GGB58" s="10"/>
      <c r="GGC58" s="10"/>
      <c r="GGD58" s="10"/>
      <c r="GGE58" s="10"/>
      <c r="GGF58" s="10"/>
      <c r="GGG58" s="10"/>
      <c r="GGH58" s="10"/>
      <c r="GGI58" s="10"/>
      <c r="GGJ58" s="10"/>
      <c r="GGK58" s="10"/>
      <c r="GGL58" s="10"/>
      <c r="GGM58" s="10"/>
      <c r="GGN58" s="10"/>
      <c r="GGO58" s="10"/>
      <c r="GGP58" s="10"/>
      <c r="GGQ58" s="10"/>
      <c r="GGR58" s="10"/>
      <c r="GGS58" s="10"/>
      <c r="GGT58" s="10"/>
      <c r="GGU58" s="10"/>
      <c r="GGV58" s="10"/>
      <c r="GGW58" s="10"/>
      <c r="GGX58" s="10"/>
      <c r="GGY58" s="10"/>
      <c r="GGZ58" s="10"/>
      <c r="GHA58" s="10"/>
      <c r="GHB58" s="10"/>
      <c r="GHC58" s="10"/>
      <c r="GHD58" s="10"/>
      <c r="GHE58" s="10"/>
      <c r="GHF58" s="10"/>
      <c r="GHG58" s="10"/>
      <c r="GHH58" s="10"/>
      <c r="GHI58" s="10"/>
      <c r="GHJ58" s="10"/>
      <c r="GHK58" s="10"/>
      <c r="GHL58" s="10"/>
      <c r="GHM58" s="10"/>
      <c r="GHN58" s="10"/>
      <c r="GHO58" s="10"/>
      <c r="GHP58" s="10"/>
      <c r="GHQ58" s="10"/>
      <c r="GHR58" s="10"/>
      <c r="GHS58" s="10"/>
      <c r="GHT58" s="10"/>
      <c r="GHU58" s="10"/>
      <c r="GHV58" s="10"/>
      <c r="GHW58" s="10"/>
      <c r="GHX58" s="10"/>
      <c r="GHY58" s="10"/>
      <c r="GHZ58" s="10"/>
      <c r="GIA58" s="10"/>
      <c r="GIB58" s="10"/>
      <c r="GIC58" s="10"/>
      <c r="GID58" s="10"/>
      <c r="GIE58" s="10"/>
      <c r="GIF58" s="10"/>
      <c r="GIG58" s="10"/>
      <c r="GIH58" s="10"/>
      <c r="GII58" s="10"/>
      <c r="GIJ58" s="10"/>
      <c r="GIK58" s="10"/>
      <c r="GIL58" s="10"/>
      <c r="GIM58" s="10"/>
      <c r="GIN58" s="10"/>
      <c r="GIO58" s="10"/>
      <c r="GIP58" s="10"/>
      <c r="GIQ58" s="10"/>
      <c r="GIR58" s="10"/>
      <c r="GIS58" s="10"/>
      <c r="GIT58" s="10"/>
      <c r="GIU58" s="10"/>
      <c r="GIV58" s="10"/>
      <c r="GIW58" s="10"/>
      <c r="GIX58" s="10"/>
      <c r="GIY58" s="10"/>
      <c r="GIZ58" s="10"/>
      <c r="GJA58" s="10"/>
      <c r="GJB58" s="10"/>
      <c r="GJC58" s="10"/>
      <c r="GJD58" s="10"/>
      <c r="GJE58" s="10"/>
      <c r="GJF58" s="10"/>
      <c r="GJG58" s="10"/>
      <c r="GJH58" s="10"/>
      <c r="GJI58" s="10"/>
      <c r="GJJ58" s="10"/>
      <c r="GJK58" s="10"/>
      <c r="GJL58" s="10"/>
      <c r="GJM58" s="10"/>
      <c r="GJN58" s="10"/>
      <c r="GJO58" s="10"/>
      <c r="GJP58" s="10"/>
      <c r="GJQ58" s="10"/>
      <c r="GJR58" s="10"/>
      <c r="GJS58" s="10"/>
      <c r="GJT58" s="10"/>
      <c r="GJU58" s="10"/>
      <c r="GJV58" s="10"/>
      <c r="GJW58" s="10"/>
      <c r="GJX58" s="10"/>
      <c r="GJY58" s="10"/>
      <c r="GJZ58" s="10"/>
      <c r="GKA58" s="10"/>
      <c r="GKB58" s="10"/>
      <c r="GKC58" s="10"/>
      <c r="GKD58" s="10"/>
      <c r="GKE58" s="10"/>
      <c r="GKF58" s="10"/>
      <c r="GKG58" s="10"/>
      <c r="GKH58" s="10"/>
      <c r="GKI58" s="10"/>
      <c r="GKJ58" s="10"/>
      <c r="GKK58" s="10"/>
      <c r="GKL58" s="10"/>
      <c r="GKM58" s="10"/>
      <c r="GKN58" s="10"/>
      <c r="GKO58" s="10"/>
      <c r="GKP58" s="10"/>
      <c r="GKQ58" s="10"/>
      <c r="GKR58" s="10"/>
      <c r="GKS58" s="10"/>
      <c r="GKT58" s="10"/>
      <c r="GKU58" s="10"/>
      <c r="GKV58" s="10"/>
      <c r="GKW58" s="10"/>
      <c r="GKX58" s="10"/>
      <c r="GKY58" s="10"/>
      <c r="GKZ58" s="10"/>
      <c r="GLA58" s="10"/>
      <c r="GLB58" s="10"/>
      <c r="GLC58" s="10"/>
      <c r="GLD58" s="10"/>
      <c r="GLE58" s="10"/>
      <c r="GLF58" s="10"/>
      <c r="GLG58" s="10"/>
      <c r="GLH58" s="10"/>
      <c r="GLI58" s="10"/>
      <c r="GLJ58" s="10"/>
      <c r="GLK58" s="10"/>
      <c r="GLL58" s="10"/>
      <c r="GLM58" s="10"/>
      <c r="GLN58" s="10"/>
      <c r="GLO58" s="10"/>
      <c r="GLP58" s="10"/>
      <c r="GLQ58" s="10"/>
      <c r="GLR58" s="10"/>
      <c r="GLS58" s="10"/>
      <c r="GLT58" s="10"/>
      <c r="GLU58" s="10"/>
      <c r="GLV58" s="10"/>
      <c r="GLW58" s="10"/>
      <c r="GLX58" s="10"/>
      <c r="GLY58" s="10"/>
      <c r="GLZ58" s="10"/>
      <c r="GMA58" s="10"/>
      <c r="GMB58" s="10"/>
      <c r="GMC58" s="10"/>
      <c r="GMD58" s="10"/>
      <c r="GME58" s="10"/>
      <c r="GMF58" s="10"/>
      <c r="GMG58" s="10"/>
      <c r="GMH58" s="10"/>
      <c r="GMI58" s="10"/>
      <c r="GMJ58" s="10"/>
      <c r="GMK58" s="10"/>
      <c r="GML58" s="10"/>
      <c r="GMM58" s="10"/>
      <c r="GMN58" s="10"/>
      <c r="GMO58" s="10"/>
      <c r="GMP58" s="10"/>
      <c r="GMQ58" s="10"/>
      <c r="GMR58" s="10"/>
      <c r="GMS58" s="10"/>
      <c r="GMT58" s="10"/>
      <c r="GMU58" s="10"/>
      <c r="GMV58" s="10"/>
      <c r="GMW58" s="10"/>
      <c r="GMX58" s="10"/>
      <c r="GMY58" s="10"/>
      <c r="GMZ58" s="10"/>
      <c r="GNA58" s="10"/>
      <c r="GNB58" s="10"/>
      <c r="GNC58" s="10"/>
      <c r="GND58" s="10"/>
      <c r="GNE58" s="10"/>
      <c r="GNF58" s="10"/>
      <c r="GNG58" s="10"/>
      <c r="GNH58" s="10"/>
      <c r="GNI58" s="10"/>
      <c r="GNJ58" s="10"/>
      <c r="GNK58" s="10"/>
      <c r="GNL58" s="10"/>
      <c r="GNM58" s="10"/>
      <c r="GNN58" s="10"/>
      <c r="GNO58" s="10"/>
      <c r="GNP58" s="10"/>
      <c r="GNQ58" s="10"/>
      <c r="GNR58" s="10"/>
      <c r="GNS58" s="10"/>
      <c r="GNT58" s="10"/>
      <c r="GNU58" s="10"/>
      <c r="GNV58" s="10"/>
      <c r="GNW58" s="10"/>
      <c r="GNX58" s="10"/>
      <c r="GNY58" s="10"/>
      <c r="GNZ58" s="10"/>
      <c r="GOA58" s="10"/>
      <c r="GOB58" s="10"/>
      <c r="GOC58" s="10"/>
      <c r="GOD58" s="10"/>
      <c r="GOE58" s="10"/>
      <c r="GOF58" s="10"/>
      <c r="GOG58" s="10"/>
      <c r="GOH58" s="10"/>
      <c r="GOI58" s="10"/>
      <c r="GOJ58" s="10"/>
      <c r="GOK58" s="10"/>
      <c r="GOL58" s="10"/>
      <c r="GOM58" s="10"/>
      <c r="GON58" s="10"/>
      <c r="GOO58" s="10"/>
      <c r="GOP58" s="10"/>
      <c r="GOQ58" s="10"/>
      <c r="GOR58" s="10"/>
      <c r="GOS58" s="10"/>
      <c r="GOT58" s="10"/>
      <c r="GOU58" s="10"/>
      <c r="GOV58" s="10"/>
      <c r="GOW58" s="10"/>
      <c r="GOX58" s="10"/>
      <c r="GOY58" s="10"/>
      <c r="GOZ58" s="10"/>
      <c r="GPA58" s="10"/>
      <c r="GPB58" s="10"/>
      <c r="GPC58" s="10"/>
      <c r="GPD58" s="10"/>
      <c r="GPE58" s="10"/>
      <c r="GPF58" s="10"/>
      <c r="GPG58" s="10"/>
      <c r="GPH58" s="10"/>
      <c r="GPI58" s="10"/>
      <c r="GPJ58" s="10"/>
      <c r="GPK58" s="10"/>
      <c r="GPL58" s="10"/>
      <c r="GPM58" s="10"/>
      <c r="GPN58" s="10"/>
      <c r="GPO58" s="10"/>
      <c r="GPP58" s="10"/>
      <c r="GPQ58" s="10"/>
      <c r="GPR58" s="10"/>
      <c r="GPS58" s="10"/>
      <c r="GPT58" s="10"/>
      <c r="GPU58" s="10"/>
      <c r="GPV58" s="10"/>
      <c r="GPW58" s="10"/>
      <c r="GPX58" s="10"/>
      <c r="GPY58" s="10"/>
      <c r="GPZ58" s="10"/>
      <c r="GQA58" s="10"/>
      <c r="GQB58" s="10"/>
      <c r="GQC58" s="10"/>
      <c r="GQD58" s="10"/>
      <c r="GQE58" s="10"/>
      <c r="GQF58" s="10"/>
      <c r="GQG58" s="10"/>
      <c r="GQH58" s="10"/>
      <c r="GQI58" s="10"/>
      <c r="GQJ58" s="10"/>
      <c r="GQK58" s="10"/>
      <c r="GQL58" s="10"/>
      <c r="GQM58" s="10"/>
      <c r="GQN58" s="10"/>
      <c r="GQO58" s="10"/>
      <c r="GQP58" s="10"/>
      <c r="GQQ58" s="10"/>
      <c r="GQR58" s="10"/>
      <c r="GQS58" s="10"/>
      <c r="GQT58" s="10"/>
      <c r="GQU58" s="10"/>
      <c r="GQV58" s="10"/>
      <c r="GQW58" s="10"/>
      <c r="GQX58" s="10"/>
      <c r="GQY58" s="10"/>
      <c r="GQZ58" s="10"/>
      <c r="GRA58" s="10"/>
      <c r="GRB58" s="10"/>
      <c r="GRC58" s="10"/>
      <c r="GRD58" s="10"/>
      <c r="GRE58" s="10"/>
      <c r="GRF58" s="10"/>
      <c r="GRG58" s="10"/>
      <c r="GRH58" s="10"/>
      <c r="GRI58" s="10"/>
      <c r="GRJ58" s="10"/>
      <c r="GRK58" s="10"/>
      <c r="GRL58" s="10"/>
      <c r="GRM58" s="10"/>
      <c r="GRN58" s="10"/>
      <c r="GRO58" s="10"/>
      <c r="GRP58" s="10"/>
      <c r="GRQ58" s="10"/>
      <c r="GRR58" s="10"/>
      <c r="GRS58" s="10"/>
      <c r="GRT58" s="10"/>
      <c r="GRU58" s="10"/>
      <c r="GRV58" s="10"/>
      <c r="GRW58" s="10"/>
      <c r="GRX58" s="10"/>
      <c r="GRY58" s="10"/>
      <c r="GRZ58" s="10"/>
      <c r="GSA58" s="10"/>
      <c r="GSB58" s="10"/>
      <c r="GSC58" s="10"/>
      <c r="GSD58" s="10"/>
      <c r="GSE58" s="10"/>
      <c r="GSF58" s="10"/>
      <c r="GSG58" s="10"/>
      <c r="GSH58" s="10"/>
      <c r="GSI58" s="10"/>
      <c r="GSJ58" s="10"/>
      <c r="GSK58" s="10"/>
      <c r="GSL58" s="10"/>
      <c r="GSM58" s="10"/>
      <c r="GSN58" s="10"/>
      <c r="GSO58" s="10"/>
      <c r="GSP58" s="10"/>
      <c r="GSQ58" s="10"/>
      <c r="GSR58" s="10"/>
      <c r="GSS58" s="10"/>
      <c r="GST58" s="10"/>
      <c r="GSU58" s="10"/>
      <c r="GSV58" s="10"/>
      <c r="GSW58" s="10"/>
      <c r="GSX58" s="10"/>
      <c r="GSY58" s="10"/>
      <c r="GSZ58" s="10"/>
      <c r="GTA58" s="10"/>
      <c r="GTB58" s="10"/>
      <c r="GTC58" s="10"/>
      <c r="GTD58" s="10"/>
      <c r="GTE58" s="10"/>
      <c r="GTF58" s="10"/>
      <c r="GTG58" s="10"/>
      <c r="GTH58" s="10"/>
      <c r="GTI58" s="10"/>
      <c r="GTJ58" s="10"/>
      <c r="GTK58" s="10"/>
      <c r="GTL58" s="10"/>
      <c r="GTM58" s="10"/>
      <c r="GTN58" s="10"/>
      <c r="GTO58" s="10"/>
      <c r="GTP58" s="10"/>
      <c r="GTQ58" s="10"/>
      <c r="GTR58" s="10"/>
      <c r="GTS58" s="10"/>
      <c r="GTT58" s="10"/>
      <c r="GTU58" s="10"/>
      <c r="GTV58" s="10"/>
      <c r="GTW58" s="10"/>
      <c r="GTX58" s="10"/>
      <c r="GTY58" s="10"/>
      <c r="GTZ58" s="10"/>
      <c r="GUA58" s="10"/>
      <c r="GUB58" s="10"/>
      <c r="GUC58" s="10"/>
      <c r="GUD58" s="10"/>
      <c r="GUE58" s="10"/>
      <c r="GUF58" s="10"/>
      <c r="GUG58" s="10"/>
      <c r="GUH58" s="10"/>
      <c r="GUI58" s="10"/>
      <c r="GUJ58" s="10"/>
      <c r="GUK58" s="10"/>
      <c r="GUL58" s="10"/>
      <c r="GUM58" s="10"/>
      <c r="GUN58" s="10"/>
      <c r="GUO58" s="10"/>
      <c r="GUP58" s="10"/>
      <c r="GUQ58" s="10"/>
      <c r="GUR58" s="10"/>
      <c r="GUS58" s="10"/>
      <c r="GUT58" s="10"/>
      <c r="GUU58" s="10"/>
      <c r="GUV58" s="10"/>
      <c r="GUW58" s="10"/>
      <c r="GUX58" s="10"/>
      <c r="GUY58" s="10"/>
      <c r="GUZ58" s="10"/>
      <c r="GVA58" s="10"/>
      <c r="GVB58" s="10"/>
      <c r="GVC58" s="10"/>
      <c r="GVD58" s="10"/>
      <c r="GVE58" s="10"/>
      <c r="GVF58" s="10"/>
      <c r="GVG58" s="10"/>
      <c r="GVH58" s="10"/>
      <c r="GVI58" s="10"/>
      <c r="GVJ58" s="10"/>
      <c r="GVK58" s="10"/>
      <c r="GVL58" s="10"/>
      <c r="GVM58" s="10"/>
      <c r="GVN58" s="10"/>
      <c r="GVO58" s="10"/>
      <c r="GVP58" s="10"/>
      <c r="GVQ58" s="10"/>
      <c r="GVR58" s="10"/>
      <c r="GVS58" s="10"/>
      <c r="GVT58" s="10"/>
      <c r="GVU58" s="10"/>
      <c r="GVV58" s="10"/>
      <c r="GVW58" s="10"/>
      <c r="GVX58" s="10"/>
      <c r="GVY58" s="10"/>
      <c r="GVZ58" s="10"/>
      <c r="GWA58" s="10"/>
      <c r="GWB58" s="10"/>
      <c r="GWC58" s="10"/>
      <c r="GWD58" s="10"/>
      <c r="GWE58" s="10"/>
      <c r="GWF58" s="10"/>
      <c r="GWG58" s="10"/>
      <c r="GWH58" s="10"/>
      <c r="GWI58" s="10"/>
      <c r="GWJ58" s="10"/>
      <c r="GWK58" s="10"/>
      <c r="GWL58" s="10"/>
      <c r="GWM58" s="10"/>
      <c r="GWN58" s="10"/>
      <c r="GWO58" s="10"/>
      <c r="GWP58" s="10"/>
      <c r="GWQ58" s="10"/>
      <c r="GWR58" s="10"/>
      <c r="GWS58" s="10"/>
      <c r="GWT58" s="10"/>
      <c r="GWU58" s="10"/>
      <c r="GWV58" s="10"/>
      <c r="GWW58" s="10"/>
      <c r="GWX58" s="10"/>
      <c r="GWY58" s="10"/>
      <c r="GWZ58" s="10"/>
      <c r="GXA58" s="10"/>
      <c r="GXB58" s="10"/>
      <c r="GXC58" s="10"/>
      <c r="GXD58" s="10"/>
      <c r="GXE58" s="10"/>
      <c r="GXF58" s="10"/>
      <c r="GXG58" s="10"/>
      <c r="GXH58" s="10"/>
      <c r="GXI58" s="10"/>
      <c r="GXJ58" s="10"/>
      <c r="GXK58" s="10"/>
      <c r="GXL58" s="10"/>
      <c r="GXM58" s="10"/>
      <c r="GXN58" s="10"/>
      <c r="GXO58" s="10"/>
      <c r="GXP58" s="10"/>
      <c r="GXQ58" s="10"/>
      <c r="GXR58" s="10"/>
      <c r="GXS58" s="10"/>
      <c r="GXT58" s="10"/>
      <c r="GXU58" s="10"/>
      <c r="GXV58" s="10"/>
      <c r="GXW58" s="10"/>
      <c r="GXX58" s="10"/>
      <c r="GXY58" s="10"/>
      <c r="GXZ58" s="10"/>
      <c r="GYA58" s="10"/>
      <c r="GYB58" s="10"/>
      <c r="GYC58" s="10"/>
      <c r="GYD58" s="10"/>
      <c r="GYE58" s="10"/>
      <c r="GYF58" s="10"/>
      <c r="GYG58" s="10"/>
      <c r="GYH58" s="10"/>
      <c r="GYI58" s="10"/>
      <c r="GYJ58" s="10"/>
      <c r="GYK58" s="10"/>
      <c r="GYL58" s="10"/>
      <c r="GYM58" s="10"/>
      <c r="GYN58" s="10"/>
      <c r="GYO58" s="10"/>
      <c r="GYP58" s="10"/>
      <c r="GYQ58" s="10"/>
      <c r="GYR58" s="10"/>
      <c r="GYS58" s="10"/>
      <c r="GYT58" s="10"/>
      <c r="GYU58" s="10"/>
      <c r="GYV58" s="10"/>
      <c r="GYW58" s="10"/>
      <c r="GYX58" s="10"/>
      <c r="GYY58" s="10"/>
      <c r="GYZ58" s="10"/>
      <c r="GZA58" s="10"/>
      <c r="GZB58" s="10"/>
      <c r="GZC58" s="10"/>
      <c r="GZD58" s="10"/>
      <c r="GZE58" s="10"/>
      <c r="GZF58" s="10"/>
      <c r="GZG58" s="10"/>
      <c r="GZH58" s="10"/>
      <c r="GZI58" s="10"/>
      <c r="GZJ58" s="10"/>
      <c r="GZK58" s="10"/>
      <c r="GZL58" s="10"/>
      <c r="GZM58" s="10"/>
      <c r="GZN58" s="10"/>
      <c r="GZO58" s="10"/>
      <c r="GZP58" s="10"/>
      <c r="GZQ58" s="10"/>
      <c r="GZR58" s="10"/>
      <c r="GZS58" s="10"/>
      <c r="GZT58" s="10"/>
      <c r="GZU58" s="10"/>
      <c r="GZV58" s="10"/>
      <c r="GZW58" s="10"/>
      <c r="GZX58" s="10"/>
      <c r="GZY58" s="10"/>
      <c r="GZZ58" s="10"/>
      <c r="HAA58" s="10"/>
      <c r="HAB58" s="10"/>
      <c r="HAC58" s="10"/>
      <c r="HAD58" s="10"/>
      <c r="HAE58" s="10"/>
      <c r="HAF58" s="10"/>
      <c r="HAG58" s="10"/>
      <c r="HAH58" s="10"/>
      <c r="HAI58" s="10"/>
      <c r="HAJ58" s="10"/>
      <c r="HAK58" s="10"/>
      <c r="HAL58" s="10"/>
      <c r="HAM58" s="10"/>
      <c r="HAN58" s="10"/>
      <c r="HAO58" s="10"/>
      <c r="HAP58" s="10"/>
      <c r="HAQ58" s="10"/>
      <c r="HAR58" s="10"/>
      <c r="HAS58" s="10"/>
      <c r="HAT58" s="10"/>
      <c r="HAU58" s="10"/>
      <c r="HAV58" s="10"/>
      <c r="HAW58" s="10"/>
      <c r="HAX58" s="10"/>
      <c r="HAY58" s="10"/>
      <c r="HAZ58" s="10"/>
      <c r="HBA58" s="10"/>
      <c r="HBB58" s="10"/>
      <c r="HBC58" s="10"/>
      <c r="HBD58" s="10"/>
      <c r="HBE58" s="10"/>
      <c r="HBF58" s="10"/>
      <c r="HBG58" s="10"/>
      <c r="HBH58" s="10"/>
      <c r="HBI58" s="10"/>
      <c r="HBJ58" s="10"/>
      <c r="HBK58" s="10"/>
      <c r="HBL58" s="10"/>
      <c r="HBM58" s="10"/>
      <c r="HBN58" s="10"/>
      <c r="HBO58" s="10"/>
      <c r="HBP58" s="10"/>
      <c r="HBQ58" s="10"/>
      <c r="HBR58" s="10"/>
      <c r="HBS58" s="10"/>
      <c r="HBT58" s="10"/>
      <c r="HBU58" s="10"/>
      <c r="HBV58" s="10"/>
      <c r="HBW58" s="10"/>
      <c r="HBX58" s="10"/>
      <c r="HBY58" s="10"/>
      <c r="HBZ58" s="10"/>
      <c r="HCA58" s="10"/>
      <c r="HCB58" s="10"/>
      <c r="HCC58" s="10"/>
      <c r="HCD58" s="10"/>
      <c r="HCE58" s="10"/>
      <c r="HCF58" s="10"/>
      <c r="HCG58" s="10"/>
      <c r="HCH58" s="10"/>
      <c r="HCI58" s="10"/>
      <c r="HCJ58" s="10"/>
      <c r="HCK58" s="10"/>
      <c r="HCL58" s="10"/>
      <c r="HCM58" s="10"/>
      <c r="HCN58" s="10"/>
      <c r="HCO58" s="10"/>
      <c r="HCP58" s="10"/>
      <c r="HCQ58" s="10"/>
      <c r="HCR58" s="10"/>
      <c r="HCS58" s="10"/>
      <c r="HCT58" s="10"/>
      <c r="HCU58" s="10"/>
      <c r="HCV58" s="10"/>
      <c r="HCW58" s="10"/>
      <c r="HCX58" s="10"/>
      <c r="HCY58" s="10"/>
      <c r="HCZ58" s="10"/>
      <c r="HDA58" s="10"/>
      <c r="HDB58" s="10"/>
      <c r="HDC58" s="10"/>
      <c r="HDD58" s="10"/>
      <c r="HDE58" s="10"/>
      <c r="HDF58" s="10"/>
      <c r="HDG58" s="10"/>
      <c r="HDH58" s="10"/>
      <c r="HDI58" s="10"/>
      <c r="HDJ58" s="10"/>
      <c r="HDK58" s="10"/>
      <c r="HDL58" s="10"/>
      <c r="HDM58" s="10"/>
      <c r="HDN58" s="10"/>
      <c r="HDO58" s="10"/>
      <c r="HDP58" s="10"/>
      <c r="HDQ58" s="10"/>
      <c r="HDR58" s="10"/>
      <c r="HDS58" s="10"/>
      <c r="HDT58" s="10"/>
      <c r="HDU58" s="10"/>
      <c r="HDV58" s="10"/>
      <c r="HDW58" s="10"/>
      <c r="HDX58" s="10"/>
      <c r="HDY58" s="10"/>
      <c r="HDZ58" s="10"/>
      <c r="HEA58" s="10"/>
      <c r="HEB58" s="10"/>
      <c r="HEC58" s="10"/>
      <c r="HED58" s="10"/>
      <c r="HEE58" s="10"/>
      <c r="HEF58" s="10"/>
      <c r="HEG58" s="10"/>
      <c r="HEH58" s="10"/>
      <c r="HEI58" s="10"/>
      <c r="HEJ58" s="10"/>
      <c r="HEK58" s="10"/>
      <c r="HEL58" s="10"/>
      <c r="HEM58" s="10"/>
      <c r="HEN58" s="10"/>
      <c r="HEO58" s="10"/>
      <c r="HEP58" s="10"/>
      <c r="HEQ58" s="10"/>
      <c r="HER58" s="10"/>
      <c r="HES58" s="10"/>
      <c r="HET58" s="10"/>
      <c r="HEU58" s="10"/>
      <c r="HEV58" s="10"/>
      <c r="HEW58" s="10"/>
      <c r="HEX58" s="10"/>
      <c r="HEY58" s="10"/>
      <c r="HEZ58" s="10"/>
      <c r="HFA58" s="10"/>
      <c r="HFB58" s="10"/>
      <c r="HFC58" s="10"/>
      <c r="HFD58" s="10"/>
      <c r="HFE58" s="10"/>
      <c r="HFF58" s="10"/>
      <c r="HFG58" s="10"/>
      <c r="HFH58" s="10"/>
      <c r="HFI58" s="10"/>
      <c r="HFJ58" s="10"/>
      <c r="HFK58" s="10"/>
      <c r="HFL58" s="10"/>
      <c r="HFM58" s="10"/>
      <c r="HFN58" s="10"/>
      <c r="HFO58" s="10"/>
      <c r="HFP58" s="10"/>
      <c r="HFQ58" s="10"/>
      <c r="HFR58" s="10"/>
      <c r="HFS58" s="10"/>
      <c r="HFT58" s="10"/>
      <c r="HFU58" s="10"/>
      <c r="HFV58" s="10"/>
      <c r="HFW58" s="10"/>
      <c r="HFX58" s="10"/>
      <c r="HFY58" s="10"/>
      <c r="HFZ58" s="10"/>
      <c r="HGA58" s="10"/>
      <c r="HGB58" s="10"/>
      <c r="HGC58" s="10"/>
      <c r="HGD58" s="10"/>
      <c r="HGE58" s="10"/>
      <c r="HGF58" s="10"/>
      <c r="HGG58" s="10"/>
      <c r="HGH58" s="10"/>
      <c r="HGI58" s="10"/>
      <c r="HGJ58" s="10"/>
      <c r="HGK58" s="10"/>
      <c r="HGL58" s="10"/>
      <c r="HGM58" s="10"/>
      <c r="HGN58" s="10"/>
      <c r="HGO58" s="10"/>
      <c r="HGP58" s="10"/>
      <c r="HGQ58" s="10"/>
      <c r="HGR58" s="10"/>
      <c r="HGS58" s="10"/>
      <c r="HGT58" s="10"/>
      <c r="HGU58" s="10"/>
      <c r="HGV58" s="10"/>
      <c r="HGW58" s="10"/>
      <c r="HGX58" s="10"/>
      <c r="HGY58" s="10"/>
      <c r="HGZ58" s="10"/>
      <c r="HHA58" s="10"/>
      <c r="HHB58" s="10"/>
      <c r="HHC58" s="10"/>
      <c r="HHD58" s="10"/>
      <c r="HHE58" s="10"/>
      <c r="HHF58" s="10"/>
      <c r="HHG58" s="10"/>
      <c r="HHH58" s="10"/>
      <c r="HHI58" s="10"/>
      <c r="HHJ58" s="10"/>
      <c r="HHK58" s="10"/>
      <c r="HHL58" s="10"/>
      <c r="HHM58" s="10"/>
      <c r="HHN58" s="10"/>
      <c r="HHO58" s="10"/>
      <c r="HHP58" s="10"/>
      <c r="HHQ58" s="10"/>
      <c r="HHR58" s="10"/>
      <c r="HHS58" s="10"/>
      <c r="HHT58" s="10"/>
      <c r="HHU58" s="10"/>
      <c r="HHV58" s="10"/>
      <c r="HHW58" s="10"/>
      <c r="HHX58" s="10"/>
      <c r="HHY58" s="10"/>
      <c r="HHZ58" s="10"/>
      <c r="HIA58" s="10"/>
      <c r="HIB58" s="10"/>
      <c r="HIC58" s="10"/>
      <c r="HID58" s="10"/>
      <c r="HIE58" s="10"/>
      <c r="HIF58" s="10"/>
      <c r="HIG58" s="10"/>
      <c r="HIH58" s="10"/>
      <c r="HII58" s="10"/>
      <c r="HIJ58" s="10"/>
      <c r="HIK58" s="10"/>
      <c r="HIL58" s="10"/>
      <c r="HIM58" s="10"/>
      <c r="HIN58" s="10"/>
      <c r="HIO58" s="10"/>
      <c r="HIP58" s="10"/>
      <c r="HIQ58" s="10"/>
      <c r="HIR58" s="10"/>
      <c r="HIS58" s="10"/>
      <c r="HIT58" s="10"/>
      <c r="HIU58" s="10"/>
      <c r="HIV58" s="10"/>
      <c r="HIW58" s="10"/>
      <c r="HIX58" s="10"/>
      <c r="HIY58" s="10"/>
      <c r="HIZ58" s="10"/>
      <c r="HJA58" s="10"/>
      <c r="HJB58" s="10"/>
      <c r="HJC58" s="10"/>
      <c r="HJD58" s="10"/>
      <c r="HJE58" s="10"/>
      <c r="HJF58" s="10"/>
      <c r="HJG58" s="10"/>
      <c r="HJH58" s="10"/>
      <c r="HJI58" s="10"/>
      <c r="HJJ58" s="10"/>
      <c r="HJK58" s="10"/>
      <c r="HJL58" s="10"/>
      <c r="HJM58" s="10"/>
      <c r="HJN58" s="10"/>
      <c r="HJO58" s="10"/>
      <c r="HJP58" s="10"/>
      <c r="HJQ58" s="10"/>
      <c r="HJR58" s="10"/>
      <c r="HJS58" s="10"/>
      <c r="HJT58" s="10"/>
      <c r="HJU58" s="10"/>
      <c r="HJV58" s="10"/>
      <c r="HJW58" s="10"/>
      <c r="HJX58" s="10"/>
      <c r="HJY58" s="10"/>
      <c r="HJZ58" s="10"/>
      <c r="HKA58" s="10"/>
      <c r="HKB58" s="10"/>
      <c r="HKC58" s="10"/>
      <c r="HKD58" s="10"/>
      <c r="HKE58" s="10"/>
      <c r="HKF58" s="10"/>
      <c r="HKG58" s="10"/>
      <c r="HKH58" s="10"/>
      <c r="HKI58" s="10"/>
      <c r="HKJ58" s="10"/>
      <c r="HKK58" s="10"/>
      <c r="HKL58" s="10"/>
      <c r="HKM58" s="10"/>
      <c r="HKN58" s="10"/>
      <c r="HKO58" s="10"/>
      <c r="HKP58" s="10"/>
      <c r="HKQ58" s="10"/>
      <c r="HKR58" s="10"/>
      <c r="HKS58" s="10"/>
      <c r="HKT58" s="10"/>
      <c r="HKU58" s="10"/>
      <c r="HKV58" s="10"/>
      <c r="HKW58" s="10"/>
      <c r="HKX58" s="10"/>
      <c r="HKY58" s="10"/>
      <c r="HKZ58" s="10"/>
      <c r="HLA58" s="10"/>
      <c r="HLB58" s="10"/>
      <c r="HLC58" s="10"/>
      <c r="HLD58" s="10"/>
      <c r="HLE58" s="10"/>
      <c r="HLF58" s="10"/>
      <c r="HLG58" s="10"/>
      <c r="HLH58" s="10"/>
      <c r="HLI58" s="10"/>
      <c r="HLJ58" s="10"/>
      <c r="HLK58" s="10"/>
      <c r="HLL58" s="10"/>
      <c r="HLM58" s="10"/>
      <c r="HLN58" s="10"/>
      <c r="HLO58" s="10"/>
      <c r="HLP58" s="10"/>
      <c r="HLQ58" s="10"/>
      <c r="HLR58" s="10"/>
      <c r="HLS58" s="10"/>
      <c r="HLT58" s="10"/>
      <c r="HLU58" s="10"/>
      <c r="HLV58" s="10"/>
      <c r="HLW58" s="10"/>
      <c r="HLX58" s="10"/>
      <c r="HLY58" s="10"/>
      <c r="HLZ58" s="10"/>
      <c r="HMA58" s="10"/>
      <c r="HMB58" s="10"/>
      <c r="HMC58" s="10"/>
      <c r="HMD58" s="10"/>
      <c r="HME58" s="10"/>
      <c r="HMF58" s="10"/>
      <c r="HMG58" s="10"/>
      <c r="HMH58" s="10"/>
      <c r="HMI58" s="10"/>
      <c r="HMJ58" s="10"/>
      <c r="HMK58" s="10"/>
      <c r="HML58" s="10"/>
      <c r="HMM58" s="10"/>
      <c r="HMN58" s="10"/>
      <c r="HMO58" s="10"/>
      <c r="HMP58" s="10"/>
      <c r="HMQ58" s="10"/>
      <c r="HMR58" s="10"/>
      <c r="HMS58" s="10"/>
      <c r="HMT58" s="10"/>
      <c r="HMU58" s="10"/>
      <c r="HMV58" s="10"/>
      <c r="HMW58" s="10"/>
      <c r="HMX58" s="10"/>
      <c r="HMY58" s="10"/>
      <c r="HMZ58" s="10"/>
      <c r="HNA58" s="10"/>
      <c r="HNB58" s="10"/>
      <c r="HNC58" s="10"/>
      <c r="HND58" s="10"/>
      <c r="HNE58" s="10"/>
      <c r="HNF58" s="10"/>
      <c r="HNG58" s="10"/>
      <c r="HNH58" s="10"/>
      <c r="HNI58" s="10"/>
      <c r="HNJ58" s="10"/>
      <c r="HNK58" s="10"/>
      <c r="HNL58" s="10"/>
      <c r="HNM58" s="10"/>
      <c r="HNN58" s="10"/>
      <c r="HNO58" s="10"/>
      <c r="HNP58" s="10"/>
      <c r="HNQ58" s="10"/>
      <c r="HNR58" s="10"/>
      <c r="HNS58" s="10"/>
      <c r="HNT58" s="10"/>
      <c r="HNU58" s="10"/>
      <c r="HNV58" s="10"/>
      <c r="HNW58" s="10"/>
      <c r="HNX58" s="10"/>
      <c r="HNY58" s="10"/>
      <c r="HNZ58" s="10"/>
      <c r="HOA58" s="10"/>
      <c r="HOB58" s="10"/>
      <c r="HOC58" s="10"/>
      <c r="HOD58" s="10"/>
      <c r="HOE58" s="10"/>
      <c r="HOF58" s="10"/>
      <c r="HOG58" s="10"/>
      <c r="HOH58" s="10"/>
      <c r="HOI58" s="10"/>
      <c r="HOJ58" s="10"/>
      <c r="HOK58" s="10"/>
      <c r="HOL58" s="10"/>
      <c r="HOM58" s="10"/>
      <c r="HON58" s="10"/>
      <c r="HOO58" s="10"/>
      <c r="HOP58" s="10"/>
      <c r="HOQ58" s="10"/>
      <c r="HOR58" s="10"/>
      <c r="HOS58" s="10"/>
      <c r="HOT58" s="10"/>
      <c r="HOU58" s="10"/>
      <c r="HOV58" s="10"/>
      <c r="HOW58" s="10"/>
      <c r="HOX58" s="10"/>
      <c r="HOY58" s="10"/>
      <c r="HOZ58" s="10"/>
      <c r="HPA58" s="10"/>
      <c r="HPB58" s="10"/>
      <c r="HPC58" s="10"/>
      <c r="HPD58" s="10"/>
      <c r="HPE58" s="10"/>
      <c r="HPF58" s="10"/>
      <c r="HPG58" s="10"/>
      <c r="HPH58" s="10"/>
      <c r="HPI58" s="10"/>
      <c r="HPJ58" s="10"/>
      <c r="HPK58" s="10"/>
      <c r="HPL58" s="10"/>
      <c r="HPM58" s="10"/>
      <c r="HPN58" s="10"/>
      <c r="HPO58" s="10"/>
      <c r="HPP58" s="10"/>
      <c r="HPQ58" s="10"/>
      <c r="HPR58" s="10"/>
      <c r="HPS58" s="10"/>
      <c r="HPT58" s="10"/>
      <c r="HPU58" s="10"/>
      <c r="HPV58" s="10"/>
      <c r="HPW58" s="10"/>
      <c r="HPX58" s="10"/>
      <c r="HPY58" s="10"/>
      <c r="HPZ58" s="10"/>
      <c r="HQA58" s="10"/>
      <c r="HQB58" s="10"/>
      <c r="HQC58" s="10"/>
      <c r="HQD58" s="10"/>
      <c r="HQE58" s="10"/>
      <c r="HQF58" s="10"/>
      <c r="HQG58" s="10"/>
      <c r="HQH58" s="10"/>
      <c r="HQI58" s="10"/>
      <c r="HQJ58" s="10"/>
      <c r="HQK58" s="10"/>
      <c r="HQL58" s="10"/>
      <c r="HQM58" s="10"/>
      <c r="HQN58" s="10"/>
      <c r="HQO58" s="10"/>
      <c r="HQP58" s="10"/>
      <c r="HQQ58" s="10"/>
      <c r="HQR58" s="10"/>
      <c r="HQS58" s="10"/>
      <c r="HQT58" s="10"/>
      <c r="HQU58" s="10"/>
      <c r="HQV58" s="10"/>
      <c r="HQW58" s="10"/>
      <c r="HQX58" s="10"/>
      <c r="HQY58" s="10"/>
      <c r="HQZ58" s="10"/>
      <c r="HRA58" s="10"/>
      <c r="HRB58" s="10"/>
      <c r="HRC58" s="10"/>
      <c r="HRD58" s="10"/>
      <c r="HRE58" s="10"/>
      <c r="HRF58" s="10"/>
      <c r="HRG58" s="10"/>
      <c r="HRH58" s="10"/>
      <c r="HRI58" s="10"/>
      <c r="HRJ58" s="10"/>
      <c r="HRK58" s="10"/>
      <c r="HRL58" s="10"/>
      <c r="HRM58" s="10"/>
      <c r="HRN58" s="10"/>
      <c r="HRO58" s="10"/>
      <c r="HRP58" s="10"/>
      <c r="HRQ58" s="10"/>
      <c r="HRR58" s="10"/>
      <c r="HRS58" s="10"/>
      <c r="HRT58" s="10"/>
      <c r="HRU58" s="10"/>
      <c r="HRV58" s="10"/>
      <c r="HRW58" s="10"/>
      <c r="HRX58" s="10"/>
      <c r="HRY58" s="10"/>
      <c r="HRZ58" s="10"/>
      <c r="HSA58" s="10"/>
      <c r="HSB58" s="10"/>
      <c r="HSC58" s="10"/>
      <c r="HSD58" s="10"/>
      <c r="HSE58" s="10"/>
      <c r="HSF58" s="10"/>
      <c r="HSG58" s="10"/>
      <c r="HSH58" s="10"/>
      <c r="HSI58" s="10"/>
      <c r="HSJ58" s="10"/>
      <c r="HSK58" s="10"/>
      <c r="HSL58" s="10"/>
      <c r="HSM58" s="10"/>
      <c r="HSN58" s="10"/>
      <c r="HSO58" s="10"/>
      <c r="HSP58" s="10"/>
      <c r="HSQ58" s="10"/>
      <c r="HSR58" s="10"/>
      <c r="HSS58" s="10"/>
      <c r="HST58" s="10"/>
      <c r="HSU58" s="10"/>
      <c r="HSV58" s="10"/>
      <c r="HSW58" s="10"/>
      <c r="HSX58" s="10"/>
      <c r="HSY58" s="10"/>
      <c r="HSZ58" s="10"/>
      <c r="HTA58" s="10"/>
      <c r="HTB58" s="10"/>
      <c r="HTC58" s="10"/>
      <c r="HTD58" s="10"/>
      <c r="HTE58" s="10"/>
      <c r="HTF58" s="10"/>
      <c r="HTG58" s="10"/>
      <c r="HTH58" s="10"/>
      <c r="HTI58" s="10"/>
      <c r="HTJ58" s="10"/>
      <c r="HTK58" s="10"/>
      <c r="HTL58" s="10"/>
      <c r="HTM58" s="10"/>
      <c r="HTN58" s="10"/>
      <c r="HTO58" s="10"/>
      <c r="HTP58" s="10"/>
      <c r="HTQ58" s="10"/>
      <c r="HTR58" s="10"/>
      <c r="HTS58" s="10"/>
      <c r="HTT58" s="10"/>
      <c r="HTU58" s="10"/>
      <c r="HTV58" s="10"/>
      <c r="HTW58" s="10"/>
      <c r="HTX58" s="10"/>
      <c r="HTY58" s="10"/>
      <c r="HTZ58" s="10"/>
      <c r="HUA58" s="10"/>
      <c r="HUB58" s="10"/>
      <c r="HUC58" s="10"/>
      <c r="HUD58" s="10"/>
      <c r="HUE58" s="10"/>
      <c r="HUF58" s="10"/>
      <c r="HUG58" s="10"/>
      <c r="HUH58" s="10"/>
      <c r="HUI58" s="10"/>
      <c r="HUJ58" s="10"/>
      <c r="HUK58" s="10"/>
      <c r="HUL58" s="10"/>
      <c r="HUM58" s="10"/>
      <c r="HUN58" s="10"/>
      <c r="HUO58" s="10"/>
      <c r="HUP58" s="10"/>
      <c r="HUQ58" s="10"/>
      <c r="HUR58" s="10"/>
      <c r="HUS58" s="10"/>
      <c r="HUT58" s="10"/>
      <c r="HUU58" s="10"/>
      <c r="HUV58" s="10"/>
      <c r="HUW58" s="10"/>
      <c r="HUX58" s="10"/>
      <c r="HUY58" s="10"/>
      <c r="HUZ58" s="10"/>
      <c r="HVA58" s="10"/>
      <c r="HVB58" s="10"/>
      <c r="HVC58" s="10"/>
      <c r="HVD58" s="10"/>
      <c r="HVE58" s="10"/>
      <c r="HVF58" s="10"/>
      <c r="HVG58" s="10"/>
      <c r="HVH58" s="10"/>
      <c r="HVI58" s="10"/>
      <c r="HVJ58" s="10"/>
      <c r="HVK58" s="10"/>
      <c r="HVL58" s="10"/>
      <c r="HVM58" s="10"/>
      <c r="HVN58" s="10"/>
      <c r="HVO58" s="10"/>
      <c r="HVP58" s="10"/>
      <c r="HVQ58" s="10"/>
      <c r="HVR58" s="10"/>
      <c r="HVS58" s="10"/>
      <c r="HVT58" s="10"/>
      <c r="HVU58" s="10"/>
      <c r="HVV58" s="10"/>
      <c r="HVW58" s="10"/>
      <c r="HVX58" s="10"/>
      <c r="HVY58" s="10"/>
      <c r="HVZ58" s="10"/>
      <c r="HWA58" s="10"/>
      <c r="HWB58" s="10"/>
      <c r="HWC58" s="10"/>
      <c r="HWD58" s="10"/>
      <c r="HWE58" s="10"/>
      <c r="HWF58" s="10"/>
      <c r="HWG58" s="10"/>
      <c r="HWH58" s="10"/>
      <c r="HWI58" s="10"/>
      <c r="HWJ58" s="10"/>
      <c r="HWK58" s="10"/>
      <c r="HWL58" s="10"/>
      <c r="HWM58" s="10"/>
      <c r="HWN58" s="10"/>
      <c r="HWO58" s="10"/>
      <c r="HWP58" s="10"/>
      <c r="HWQ58" s="10"/>
      <c r="HWR58" s="10"/>
      <c r="HWS58" s="10"/>
      <c r="HWT58" s="10"/>
      <c r="HWU58" s="10"/>
      <c r="HWV58" s="10"/>
      <c r="HWW58" s="10"/>
      <c r="HWX58" s="10"/>
      <c r="HWY58" s="10"/>
      <c r="HWZ58" s="10"/>
      <c r="HXA58" s="10"/>
      <c r="HXB58" s="10"/>
      <c r="HXC58" s="10"/>
      <c r="HXD58" s="10"/>
      <c r="HXE58" s="10"/>
      <c r="HXF58" s="10"/>
      <c r="HXG58" s="10"/>
      <c r="HXH58" s="10"/>
      <c r="HXI58" s="10"/>
      <c r="HXJ58" s="10"/>
      <c r="HXK58" s="10"/>
      <c r="HXL58" s="10"/>
      <c r="HXM58" s="10"/>
      <c r="HXN58" s="10"/>
      <c r="HXO58" s="10"/>
      <c r="HXP58" s="10"/>
      <c r="HXQ58" s="10"/>
      <c r="HXR58" s="10"/>
      <c r="HXS58" s="10"/>
      <c r="HXT58" s="10"/>
      <c r="HXU58" s="10"/>
      <c r="HXV58" s="10"/>
      <c r="HXW58" s="10"/>
      <c r="HXX58" s="10"/>
      <c r="HXY58" s="10"/>
      <c r="HXZ58" s="10"/>
      <c r="HYA58" s="10"/>
      <c r="HYB58" s="10"/>
      <c r="HYC58" s="10"/>
      <c r="HYD58" s="10"/>
      <c r="HYE58" s="10"/>
      <c r="HYF58" s="10"/>
      <c r="HYG58" s="10"/>
      <c r="HYH58" s="10"/>
      <c r="HYI58" s="10"/>
      <c r="HYJ58" s="10"/>
      <c r="HYK58" s="10"/>
      <c r="HYL58" s="10"/>
      <c r="HYM58" s="10"/>
      <c r="HYN58" s="10"/>
      <c r="HYO58" s="10"/>
      <c r="HYP58" s="10"/>
      <c r="HYQ58" s="10"/>
      <c r="HYR58" s="10"/>
      <c r="HYS58" s="10"/>
      <c r="HYT58" s="10"/>
      <c r="HYU58" s="10"/>
      <c r="HYV58" s="10"/>
      <c r="HYW58" s="10"/>
      <c r="HYX58" s="10"/>
      <c r="HYY58" s="10"/>
      <c r="HYZ58" s="10"/>
      <c r="HZA58" s="10"/>
      <c r="HZB58" s="10"/>
      <c r="HZC58" s="10"/>
      <c r="HZD58" s="10"/>
      <c r="HZE58" s="10"/>
      <c r="HZF58" s="10"/>
      <c r="HZG58" s="10"/>
      <c r="HZH58" s="10"/>
      <c r="HZI58" s="10"/>
      <c r="HZJ58" s="10"/>
      <c r="HZK58" s="10"/>
      <c r="HZL58" s="10"/>
      <c r="HZM58" s="10"/>
      <c r="HZN58" s="10"/>
      <c r="HZO58" s="10"/>
      <c r="HZP58" s="10"/>
      <c r="HZQ58" s="10"/>
      <c r="HZR58" s="10"/>
      <c r="HZS58" s="10"/>
      <c r="HZT58" s="10"/>
      <c r="HZU58" s="10"/>
      <c r="HZV58" s="10"/>
      <c r="HZW58" s="10"/>
      <c r="HZX58" s="10"/>
      <c r="HZY58" s="10"/>
      <c r="HZZ58" s="10"/>
      <c r="IAA58" s="10"/>
      <c r="IAB58" s="10"/>
      <c r="IAC58" s="10"/>
      <c r="IAD58" s="10"/>
      <c r="IAE58" s="10"/>
      <c r="IAF58" s="10"/>
      <c r="IAG58" s="10"/>
      <c r="IAH58" s="10"/>
      <c r="IAI58" s="10"/>
      <c r="IAJ58" s="10"/>
      <c r="IAK58" s="10"/>
      <c r="IAL58" s="10"/>
      <c r="IAM58" s="10"/>
      <c r="IAN58" s="10"/>
      <c r="IAO58" s="10"/>
      <c r="IAP58" s="10"/>
      <c r="IAQ58" s="10"/>
      <c r="IAR58" s="10"/>
      <c r="IAS58" s="10"/>
      <c r="IAT58" s="10"/>
      <c r="IAU58" s="10"/>
      <c r="IAV58" s="10"/>
      <c r="IAW58" s="10"/>
      <c r="IAX58" s="10"/>
      <c r="IAY58" s="10"/>
      <c r="IAZ58" s="10"/>
      <c r="IBA58" s="10"/>
      <c r="IBB58" s="10"/>
      <c r="IBC58" s="10"/>
      <c r="IBD58" s="10"/>
      <c r="IBE58" s="10"/>
      <c r="IBF58" s="10"/>
      <c r="IBG58" s="10"/>
      <c r="IBH58" s="10"/>
      <c r="IBI58" s="10"/>
      <c r="IBJ58" s="10"/>
      <c r="IBK58" s="10"/>
      <c r="IBL58" s="10"/>
      <c r="IBM58" s="10"/>
      <c r="IBN58" s="10"/>
      <c r="IBO58" s="10"/>
      <c r="IBP58" s="10"/>
      <c r="IBQ58" s="10"/>
      <c r="IBR58" s="10"/>
      <c r="IBS58" s="10"/>
      <c r="IBT58" s="10"/>
      <c r="IBU58" s="10"/>
      <c r="IBV58" s="10"/>
      <c r="IBW58" s="10"/>
      <c r="IBX58" s="10"/>
      <c r="IBY58" s="10"/>
      <c r="IBZ58" s="10"/>
      <c r="ICA58" s="10"/>
      <c r="ICB58" s="10"/>
      <c r="ICC58" s="10"/>
      <c r="ICD58" s="10"/>
      <c r="ICE58" s="10"/>
      <c r="ICF58" s="10"/>
      <c r="ICG58" s="10"/>
      <c r="ICH58" s="10"/>
      <c r="ICI58" s="10"/>
      <c r="ICJ58" s="10"/>
      <c r="ICK58" s="10"/>
      <c r="ICL58" s="10"/>
      <c r="ICM58" s="10"/>
      <c r="ICN58" s="10"/>
      <c r="ICO58" s="10"/>
      <c r="ICP58" s="10"/>
      <c r="ICQ58" s="10"/>
      <c r="ICR58" s="10"/>
      <c r="ICS58" s="10"/>
      <c r="ICT58" s="10"/>
      <c r="ICU58" s="10"/>
      <c r="ICV58" s="10"/>
      <c r="ICW58" s="10"/>
      <c r="ICX58" s="10"/>
      <c r="ICY58" s="10"/>
      <c r="ICZ58" s="10"/>
      <c r="IDA58" s="10"/>
      <c r="IDB58" s="10"/>
      <c r="IDC58" s="10"/>
      <c r="IDD58" s="10"/>
      <c r="IDE58" s="10"/>
      <c r="IDF58" s="10"/>
      <c r="IDG58" s="10"/>
      <c r="IDH58" s="10"/>
      <c r="IDI58" s="10"/>
      <c r="IDJ58" s="10"/>
      <c r="IDK58" s="10"/>
      <c r="IDL58" s="10"/>
      <c r="IDM58" s="10"/>
      <c r="IDN58" s="10"/>
      <c r="IDO58" s="10"/>
      <c r="IDP58" s="10"/>
      <c r="IDQ58" s="10"/>
      <c r="IDR58" s="10"/>
      <c r="IDS58" s="10"/>
      <c r="IDT58" s="10"/>
      <c r="IDU58" s="10"/>
      <c r="IDV58" s="10"/>
      <c r="IDW58" s="10"/>
      <c r="IDX58" s="10"/>
      <c r="IDY58" s="10"/>
      <c r="IDZ58" s="10"/>
      <c r="IEA58" s="10"/>
      <c r="IEB58" s="10"/>
      <c r="IEC58" s="10"/>
      <c r="IED58" s="10"/>
      <c r="IEE58" s="10"/>
      <c r="IEF58" s="10"/>
      <c r="IEG58" s="10"/>
      <c r="IEH58" s="10"/>
      <c r="IEI58" s="10"/>
      <c r="IEJ58" s="10"/>
      <c r="IEK58" s="10"/>
      <c r="IEL58" s="10"/>
      <c r="IEM58" s="10"/>
      <c r="IEN58" s="10"/>
      <c r="IEO58" s="10"/>
      <c r="IEP58" s="10"/>
      <c r="IEQ58" s="10"/>
      <c r="IER58" s="10"/>
      <c r="IES58" s="10"/>
      <c r="IET58" s="10"/>
      <c r="IEU58" s="10"/>
      <c r="IEV58" s="10"/>
      <c r="IEW58" s="10"/>
      <c r="IEX58" s="10"/>
      <c r="IEY58" s="10"/>
      <c r="IEZ58" s="10"/>
      <c r="IFA58" s="10"/>
      <c r="IFB58" s="10"/>
      <c r="IFC58" s="10"/>
      <c r="IFD58" s="10"/>
      <c r="IFE58" s="10"/>
      <c r="IFF58" s="10"/>
      <c r="IFG58" s="10"/>
      <c r="IFH58" s="10"/>
      <c r="IFI58" s="10"/>
      <c r="IFJ58" s="10"/>
      <c r="IFK58" s="10"/>
      <c r="IFL58" s="10"/>
      <c r="IFM58" s="10"/>
      <c r="IFN58" s="10"/>
      <c r="IFO58" s="10"/>
      <c r="IFP58" s="10"/>
      <c r="IFQ58" s="10"/>
      <c r="IFR58" s="10"/>
      <c r="IFS58" s="10"/>
      <c r="IFT58" s="10"/>
      <c r="IFU58" s="10"/>
      <c r="IFV58" s="10"/>
      <c r="IFW58" s="10"/>
      <c r="IFX58" s="10"/>
      <c r="IFY58" s="10"/>
      <c r="IFZ58" s="10"/>
      <c r="IGA58" s="10"/>
      <c r="IGB58" s="10"/>
      <c r="IGC58" s="10"/>
      <c r="IGD58" s="10"/>
      <c r="IGE58" s="10"/>
      <c r="IGF58" s="10"/>
      <c r="IGG58" s="10"/>
      <c r="IGH58" s="10"/>
      <c r="IGI58" s="10"/>
      <c r="IGJ58" s="10"/>
      <c r="IGK58" s="10"/>
      <c r="IGL58" s="10"/>
      <c r="IGM58" s="10"/>
      <c r="IGN58" s="10"/>
      <c r="IGO58" s="10"/>
      <c r="IGP58" s="10"/>
      <c r="IGQ58" s="10"/>
      <c r="IGR58" s="10"/>
      <c r="IGS58" s="10"/>
      <c r="IGT58" s="10"/>
      <c r="IGU58" s="10"/>
      <c r="IGV58" s="10"/>
      <c r="IGW58" s="10"/>
      <c r="IGX58" s="10"/>
      <c r="IGY58" s="10"/>
      <c r="IGZ58" s="10"/>
      <c r="IHA58" s="10"/>
      <c r="IHB58" s="10"/>
      <c r="IHC58" s="10"/>
      <c r="IHD58" s="10"/>
      <c r="IHE58" s="10"/>
      <c r="IHF58" s="10"/>
      <c r="IHG58" s="10"/>
      <c r="IHH58" s="10"/>
      <c r="IHI58" s="10"/>
      <c r="IHJ58" s="10"/>
      <c r="IHK58" s="10"/>
      <c r="IHL58" s="10"/>
      <c r="IHM58" s="10"/>
      <c r="IHN58" s="10"/>
      <c r="IHO58" s="10"/>
      <c r="IHP58" s="10"/>
      <c r="IHQ58" s="10"/>
      <c r="IHR58" s="10"/>
      <c r="IHS58" s="10"/>
      <c r="IHT58" s="10"/>
      <c r="IHU58" s="10"/>
      <c r="IHV58" s="10"/>
      <c r="IHW58" s="10"/>
      <c r="IHX58" s="10"/>
      <c r="IHY58" s="10"/>
      <c r="IHZ58" s="10"/>
      <c r="IIA58" s="10"/>
      <c r="IIB58" s="10"/>
      <c r="IIC58" s="10"/>
      <c r="IID58" s="10"/>
      <c r="IIE58" s="10"/>
      <c r="IIF58" s="10"/>
      <c r="IIG58" s="10"/>
      <c r="IIH58" s="10"/>
      <c r="III58" s="10"/>
      <c r="IIJ58" s="10"/>
      <c r="IIK58" s="10"/>
      <c r="IIL58" s="10"/>
      <c r="IIM58" s="10"/>
      <c r="IIN58" s="10"/>
      <c r="IIO58" s="10"/>
      <c r="IIP58" s="10"/>
      <c r="IIQ58" s="10"/>
      <c r="IIR58" s="10"/>
      <c r="IIS58" s="10"/>
      <c r="IIT58" s="10"/>
      <c r="IIU58" s="10"/>
      <c r="IIV58" s="10"/>
      <c r="IIW58" s="10"/>
      <c r="IIX58" s="10"/>
      <c r="IIY58" s="10"/>
      <c r="IIZ58" s="10"/>
      <c r="IJA58" s="10"/>
      <c r="IJB58" s="10"/>
      <c r="IJC58" s="10"/>
      <c r="IJD58" s="10"/>
      <c r="IJE58" s="10"/>
      <c r="IJF58" s="10"/>
      <c r="IJG58" s="10"/>
      <c r="IJH58" s="10"/>
      <c r="IJI58" s="10"/>
      <c r="IJJ58" s="10"/>
      <c r="IJK58" s="10"/>
      <c r="IJL58" s="10"/>
      <c r="IJM58" s="10"/>
      <c r="IJN58" s="10"/>
      <c r="IJO58" s="10"/>
      <c r="IJP58" s="10"/>
      <c r="IJQ58" s="10"/>
      <c r="IJR58" s="10"/>
      <c r="IJS58" s="10"/>
      <c r="IJT58" s="10"/>
      <c r="IJU58" s="10"/>
      <c r="IJV58" s="10"/>
      <c r="IJW58" s="10"/>
      <c r="IJX58" s="10"/>
      <c r="IJY58" s="10"/>
      <c r="IJZ58" s="10"/>
      <c r="IKA58" s="10"/>
      <c r="IKB58" s="10"/>
      <c r="IKC58" s="10"/>
      <c r="IKD58" s="10"/>
      <c r="IKE58" s="10"/>
      <c r="IKF58" s="10"/>
      <c r="IKG58" s="10"/>
      <c r="IKH58" s="10"/>
      <c r="IKI58" s="10"/>
      <c r="IKJ58" s="10"/>
      <c r="IKK58" s="10"/>
      <c r="IKL58" s="10"/>
      <c r="IKM58" s="10"/>
      <c r="IKN58" s="10"/>
      <c r="IKO58" s="10"/>
      <c r="IKP58" s="10"/>
      <c r="IKQ58" s="10"/>
      <c r="IKR58" s="10"/>
      <c r="IKS58" s="10"/>
      <c r="IKT58" s="10"/>
      <c r="IKU58" s="10"/>
      <c r="IKV58" s="10"/>
      <c r="IKW58" s="10"/>
      <c r="IKX58" s="10"/>
      <c r="IKY58" s="10"/>
      <c r="IKZ58" s="10"/>
      <c r="ILA58" s="10"/>
      <c r="ILB58" s="10"/>
      <c r="ILC58" s="10"/>
      <c r="ILD58" s="10"/>
      <c r="ILE58" s="10"/>
      <c r="ILF58" s="10"/>
      <c r="ILG58" s="10"/>
      <c r="ILH58" s="10"/>
      <c r="ILI58" s="10"/>
      <c r="ILJ58" s="10"/>
      <c r="ILK58" s="10"/>
      <c r="ILL58" s="10"/>
      <c r="ILM58" s="10"/>
      <c r="ILN58" s="10"/>
      <c r="ILO58" s="10"/>
      <c r="ILP58" s="10"/>
      <c r="ILQ58" s="10"/>
      <c r="ILR58" s="10"/>
      <c r="ILS58" s="10"/>
      <c r="ILT58" s="10"/>
      <c r="ILU58" s="10"/>
      <c r="ILV58" s="10"/>
      <c r="ILW58" s="10"/>
      <c r="ILX58" s="10"/>
      <c r="ILY58" s="10"/>
      <c r="ILZ58" s="10"/>
      <c r="IMA58" s="10"/>
      <c r="IMB58" s="10"/>
      <c r="IMC58" s="10"/>
      <c r="IMD58" s="10"/>
      <c r="IME58" s="10"/>
      <c r="IMF58" s="10"/>
      <c r="IMG58" s="10"/>
      <c r="IMH58" s="10"/>
      <c r="IMI58" s="10"/>
      <c r="IMJ58" s="10"/>
      <c r="IMK58" s="10"/>
      <c r="IML58" s="10"/>
      <c r="IMM58" s="10"/>
      <c r="IMN58" s="10"/>
      <c r="IMO58" s="10"/>
      <c r="IMP58" s="10"/>
      <c r="IMQ58" s="10"/>
      <c r="IMR58" s="10"/>
      <c r="IMS58" s="10"/>
      <c r="IMT58" s="10"/>
      <c r="IMU58" s="10"/>
      <c r="IMV58" s="10"/>
      <c r="IMW58" s="10"/>
      <c r="IMX58" s="10"/>
      <c r="IMY58" s="10"/>
      <c r="IMZ58" s="10"/>
      <c r="INA58" s="10"/>
      <c r="INB58" s="10"/>
      <c r="INC58" s="10"/>
      <c r="IND58" s="10"/>
      <c r="INE58" s="10"/>
      <c r="INF58" s="10"/>
      <c r="ING58" s="10"/>
      <c r="INH58" s="10"/>
      <c r="INI58" s="10"/>
      <c r="INJ58" s="10"/>
      <c r="INK58" s="10"/>
      <c r="INL58" s="10"/>
      <c r="INM58" s="10"/>
      <c r="INN58" s="10"/>
      <c r="INO58" s="10"/>
      <c r="INP58" s="10"/>
      <c r="INQ58" s="10"/>
      <c r="INR58" s="10"/>
      <c r="INS58" s="10"/>
      <c r="INT58" s="10"/>
      <c r="INU58" s="10"/>
      <c r="INV58" s="10"/>
      <c r="INW58" s="10"/>
      <c r="INX58" s="10"/>
      <c r="INY58" s="10"/>
      <c r="INZ58" s="10"/>
      <c r="IOA58" s="10"/>
      <c r="IOB58" s="10"/>
      <c r="IOC58" s="10"/>
      <c r="IOD58" s="10"/>
      <c r="IOE58" s="10"/>
      <c r="IOF58" s="10"/>
      <c r="IOG58" s="10"/>
      <c r="IOH58" s="10"/>
      <c r="IOI58" s="10"/>
      <c r="IOJ58" s="10"/>
      <c r="IOK58" s="10"/>
      <c r="IOL58" s="10"/>
      <c r="IOM58" s="10"/>
      <c r="ION58" s="10"/>
      <c r="IOO58" s="10"/>
      <c r="IOP58" s="10"/>
      <c r="IOQ58" s="10"/>
      <c r="IOR58" s="10"/>
      <c r="IOS58" s="10"/>
      <c r="IOT58" s="10"/>
      <c r="IOU58" s="10"/>
      <c r="IOV58" s="10"/>
      <c r="IOW58" s="10"/>
      <c r="IOX58" s="10"/>
      <c r="IOY58" s="10"/>
      <c r="IOZ58" s="10"/>
      <c r="IPA58" s="10"/>
      <c r="IPB58" s="10"/>
      <c r="IPC58" s="10"/>
      <c r="IPD58" s="10"/>
      <c r="IPE58" s="10"/>
      <c r="IPF58" s="10"/>
      <c r="IPG58" s="10"/>
      <c r="IPH58" s="10"/>
      <c r="IPI58" s="10"/>
      <c r="IPJ58" s="10"/>
      <c r="IPK58" s="10"/>
      <c r="IPL58" s="10"/>
      <c r="IPM58" s="10"/>
      <c r="IPN58" s="10"/>
      <c r="IPO58" s="10"/>
      <c r="IPP58" s="10"/>
      <c r="IPQ58" s="10"/>
      <c r="IPR58" s="10"/>
      <c r="IPS58" s="10"/>
      <c r="IPT58" s="10"/>
      <c r="IPU58" s="10"/>
      <c r="IPV58" s="10"/>
      <c r="IPW58" s="10"/>
      <c r="IPX58" s="10"/>
      <c r="IPY58" s="10"/>
      <c r="IPZ58" s="10"/>
      <c r="IQA58" s="10"/>
      <c r="IQB58" s="10"/>
      <c r="IQC58" s="10"/>
      <c r="IQD58" s="10"/>
      <c r="IQE58" s="10"/>
      <c r="IQF58" s="10"/>
      <c r="IQG58" s="10"/>
      <c r="IQH58" s="10"/>
      <c r="IQI58" s="10"/>
      <c r="IQJ58" s="10"/>
      <c r="IQK58" s="10"/>
      <c r="IQL58" s="10"/>
      <c r="IQM58" s="10"/>
      <c r="IQN58" s="10"/>
      <c r="IQO58" s="10"/>
      <c r="IQP58" s="10"/>
      <c r="IQQ58" s="10"/>
      <c r="IQR58" s="10"/>
      <c r="IQS58" s="10"/>
      <c r="IQT58" s="10"/>
      <c r="IQU58" s="10"/>
      <c r="IQV58" s="10"/>
      <c r="IQW58" s="10"/>
      <c r="IQX58" s="10"/>
      <c r="IQY58" s="10"/>
      <c r="IQZ58" s="10"/>
      <c r="IRA58" s="10"/>
      <c r="IRB58" s="10"/>
      <c r="IRC58" s="10"/>
      <c r="IRD58" s="10"/>
      <c r="IRE58" s="10"/>
      <c r="IRF58" s="10"/>
      <c r="IRG58" s="10"/>
      <c r="IRH58" s="10"/>
      <c r="IRI58" s="10"/>
      <c r="IRJ58" s="10"/>
      <c r="IRK58" s="10"/>
      <c r="IRL58" s="10"/>
      <c r="IRM58" s="10"/>
      <c r="IRN58" s="10"/>
      <c r="IRO58" s="10"/>
      <c r="IRP58" s="10"/>
      <c r="IRQ58" s="10"/>
      <c r="IRR58" s="10"/>
      <c r="IRS58" s="10"/>
      <c r="IRT58" s="10"/>
      <c r="IRU58" s="10"/>
      <c r="IRV58" s="10"/>
      <c r="IRW58" s="10"/>
      <c r="IRX58" s="10"/>
      <c r="IRY58" s="10"/>
      <c r="IRZ58" s="10"/>
      <c r="ISA58" s="10"/>
      <c r="ISB58" s="10"/>
      <c r="ISC58" s="10"/>
      <c r="ISD58" s="10"/>
      <c r="ISE58" s="10"/>
      <c r="ISF58" s="10"/>
      <c r="ISG58" s="10"/>
      <c r="ISH58" s="10"/>
      <c r="ISI58" s="10"/>
      <c r="ISJ58" s="10"/>
      <c r="ISK58" s="10"/>
      <c r="ISL58" s="10"/>
      <c r="ISM58" s="10"/>
      <c r="ISN58" s="10"/>
      <c r="ISO58" s="10"/>
      <c r="ISP58" s="10"/>
      <c r="ISQ58" s="10"/>
      <c r="ISR58" s="10"/>
      <c r="ISS58" s="10"/>
      <c r="IST58" s="10"/>
      <c r="ISU58" s="10"/>
      <c r="ISV58" s="10"/>
      <c r="ISW58" s="10"/>
      <c r="ISX58" s="10"/>
      <c r="ISY58" s="10"/>
      <c r="ISZ58" s="10"/>
      <c r="ITA58" s="10"/>
      <c r="ITB58" s="10"/>
      <c r="ITC58" s="10"/>
      <c r="ITD58" s="10"/>
      <c r="ITE58" s="10"/>
      <c r="ITF58" s="10"/>
      <c r="ITG58" s="10"/>
      <c r="ITH58" s="10"/>
      <c r="ITI58" s="10"/>
      <c r="ITJ58" s="10"/>
      <c r="ITK58" s="10"/>
      <c r="ITL58" s="10"/>
      <c r="ITM58" s="10"/>
      <c r="ITN58" s="10"/>
      <c r="ITO58" s="10"/>
      <c r="ITP58" s="10"/>
      <c r="ITQ58" s="10"/>
      <c r="ITR58" s="10"/>
      <c r="ITS58" s="10"/>
      <c r="ITT58" s="10"/>
      <c r="ITU58" s="10"/>
      <c r="ITV58" s="10"/>
      <c r="ITW58" s="10"/>
      <c r="ITX58" s="10"/>
      <c r="ITY58" s="10"/>
      <c r="ITZ58" s="10"/>
      <c r="IUA58" s="10"/>
      <c r="IUB58" s="10"/>
      <c r="IUC58" s="10"/>
      <c r="IUD58" s="10"/>
      <c r="IUE58" s="10"/>
      <c r="IUF58" s="10"/>
      <c r="IUG58" s="10"/>
      <c r="IUH58" s="10"/>
      <c r="IUI58" s="10"/>
      <c r="IUJ58" s="10"/>
      <c r="IUK58" s="10"/>
      <c r="IUL58" s="10"/>
      <c r="IUM58" s="10"/>
      <c r="IUN58" s="10"/>
      <c r="IUO58" s="10"/>
      <c r="IUP58" s="10"/>
      <c r="IUQ58" s="10"/>
      <c r="IUR58" s="10"/>
      <c r="IUS58" s="10"/>
      <c r="IUT58" s="10"/>
      <c r="IUU58" s="10"/>
      <c r="IUV58" s="10"/>
      <c r="IUW58" s="10"/>
      <c r="IUX58" s="10"/>
      <c r="IUY58" s="10"/>
      <c r="IUZ58" s="10"/>
      <c r="IVA58" s="10"/>
      <c r="IVB58" s="10"/>
      <c r="IVC58" s="10"/>
      <c r="IVD58" s="10"/>
      <c r="IVE58" s="10"/>
      <c r="IVF58" s="10"/>
      <c r="IVG58" s="10"/>
      <c r="IVH58" s="10"/>
      <c r="IVI58" s="10"/>
      <c r="IVJ58" s="10"/>
      <c r="IVK58" s="10"/>
      <c r="IVL58" s="10"/>
      <c r="IVM58" s="10"/>
      <c r="IVN58" s="10"/>
      <c r="IVO58" s="10"/>
      <c r="IVP58" s="10"/>
      <c r="IVQ58" s="10"/>
      <c r="IVR58" s="10"/>
      <c r="IVS58" s="10"/>
      <c r="IVT58" s="10"/>
      <c r="IVU58" s="10"/>
      <c r="IVV58" s="10"/>
      <c r="IVW58" s="10"/>
      <c r="IVX58" s="10"/>
      <c r="IVY58" s="10"/>
      <c r="IVZ58" s="10"/>
      <c r="IWA58" s="10"/>
      <c r="IWB58" s="10"/>
      <c r="IWC58" s="10"/>
      <c r="IWD58" s="10"/>
      <c r="IWE58" s="10"/>
      <c r="IWF58" s="10"/>
      <c r="IWG58" s="10"/>
      <c r="IWH58" s="10"/>
      <c r="IWI58" s="10"/>
      <c r="IWJ58" s="10"/>
      <c r="IWK58" s="10"/>
      <c r="IWL58" s="10"/>
      <c r="IWM58" s="10"/>
      <c r="IWN58" s="10"/>
      <c r="IWO58" s="10"/>
      <c r="IWP58" s="10"/>
      <c r="IWQ58" s="10"/>
      <c r="IWR58" s="10"/>
      <c r="IWS58" s="10"/>
      <c r="IWT58" s="10"/>
      <c r="IWU58" s="10"/>
      <c r="IWV58" s="10"/>
      <c r="IWW58" s="10"/>
      <c r="IWX58" s="10"/>
      <c r="IWY58" s="10"/>
      <c r="IWZ58" s="10"/>
      <c r="IXA58" s="10"/>
      <c r="IXB58" s="10"/>
      <c r="IXC58" s="10"/>
      <c r="IXD58" s="10"/>
      <c r="IXE58" s="10"/>
      <c r="IXF58" s="10"/>
      <c r="IXG58" s="10"/>
      <c r="IXH58" s="10"/>
      <c r="IXI58" s="10"/>
      <c r="IXJ58" s="10"/>
      <c r="IXK58" s="10"/>
      <c r="IXL58" s="10"/>
      <c r="IXM58" s="10"/>
      <c r="IXN58" s="10"/>
      <c r="IXO58" s="10"/>
      <c r="IXP58" s="10"/>
      <c r="IXQ58" s="10"/>
      <c r="IXR58" s="10"/>
      <c r="IXS58" s="10"/>
      <c r="IXT58" s="10"/>
      <c r="IXU58" s="10"/>
      <c r="IXV58" s="10"/>
      <c r="IXW58" s="10"/>
      <c r="IXX58" s="10"/>
      <c r="IXY58" s="10"/>
      <c r="IXZ58" s="10"/>
      <c r="IYA58" s="10"/>
      <c r="IYB58" s="10"/>
      <c r="IYC58" s="10"/>
      <c r="IYD58" s="10"/>
      <c r="IYE58" s="10"/>
      <c r="IYF58" s="10"/>
      <c r="IYG58" s="10"/>
      <c r="IYH58" s="10"/>
      <c r="IYI58" s="10"/>
      <c r="IYJ58" s="10"/>
      <c r="IYK58" s="10"/>
      <c r="IYL58" s="10"/>
      <c r="IYM58" s="10"/>
      <c r="IYN58" s="10"/>
      <c r="IYO58" s="10"/>
      <c r="IYP58" s="10"/>
      <c r="IYQ58" s="10"/>
      <c r="IYR58" s="10"/>
      <c r="IYS58" s="10"/>
      <c r="IYT58" s="10"/>
      <c r="IYU58" s="10"/>
      <c r="IYV58" s="10"/>
      <c r="IYW58" s="10"/>
      <c r="IYX58" s="10"/>
      <c r="IYY58" s="10"/>
      <c r="IYZ58" s="10"/>
      <c r="IZA58" s="10"/>
      <c r="IZB58" s="10"/>
      <c r="IZC58" s="10"/>
      <c r="IZD58" s="10"/>
      <c r="IZE58" s="10"/>
      <c r="IZF58" s="10"/>
      <c r="IZG58" s="10"/>
      <c r="IZH58" s="10"/>
      <c r="IZI58" s="10"/>
      <c r="IZJ58" s="10"/>
      <c r="IZK58" s="10"/>
      <c r="IZL58" s="10"/>
      <c r="IZM58" s="10"/>
      <c r="IZN58" s="10"/>
      <c r="IZO58" s="10"/>
      <c r="IZP58" s="10"/>
      <c r="IZQ58" s="10"/>
      <c r="IZR58" s="10"/>
      <c r="IZS58" s="10"/>
      <c r="IZT58" s="10"/>
      <c r="IZU58" s="10"/>
      <c r="IZV58" s="10"/>
      <c r="IZW58" s="10"/>
      <c r="IZX58" s="10"/>
      <c r="IZY58" s="10"/>
      <c r="IZZ58" s="10"/>
      <c r="JAA58" s="10"/>
      <c r="JAB58" s="10"/>
      <c r="JAC58" s="10"/>
      <c r="JAD58" s="10"/>
      <c r="JAE58" s="10"/>
      <c r="JAF58" s="10"/>
      <c r="JAG58" s="10"/>
      <c r="JAH58" s="10"/>
      <c r="JAI58" s="10"/>
      <c r="JAJ58" s="10"/>
      <c r="JAK58" s="10"/>
      <c r="JAL58" s="10"/>
      <c r="JAM58" s="10"/>
      <c r="JAN58" s="10"/>
      <c r="JAO58" s="10"/>
      <c r="JAP58" s="10"/>
      <c r="JAQ58" s="10"/>
      <c r="JAR58" s="10"/>
      <c r="JAS58" s="10"/>
      <c r="JAT58" s="10"/>
      <c r="JAU58" s="10"/>
      <c r="JAV58" s="10"/>
      <c r="JAW58" s="10"/>
      <c r="JAX58" s="10"/>
      <c r="JAY58" s="10"/>
      <c r="JAZ58" s="10"/>
      <c r="JBA58" s="10"/>
      <c r="JBB58" s="10"/>
      <c r="JBC58" s="10"/>
      <c r="JBD58" s="10"/>
      <c r="JBE58" s="10"/>
      <c r="JBF58" s="10"/>
      <c r="JBG58" s="10"/>
      <c r="JBH58" s="10"/>
      <c r="JBI58" s="10"/>
      <c r="JBJ58" s="10"/>
      <c r="JBK58" s="10"/>
      <c r="JBL58" s="10"/>
      <c r="JBM58" s="10"/>
      <c r="JBN58" s="10"/>
      <c r="JBO58" s="10"/>
      <c r="JBP58" s="10"/>
      <c r="JBQ58" s="10"/>
      <c r="JBR58" s="10"/>
      <c r="JBS58" s="10"/>
      <c r="JBT58" s="10"/>
      <c r="JBU58" s="10"/>
      <c r="JBV58" s="10"/>
      <c r="JBW58" s="10"/>
      <c r="JBX58" s="10"/>
      <c r="JBY58" s="10"/>
      <c r="JBZ58" s="10"/>
      <c r="JCA58" s="10"/>
      <c r="JCB58" s="10"/>
      <c r="JCC58" s="10"/>
      <c r="JCD58" s="10"/>
      <c r="JCE58" s="10"/>
      <c r="JCF58" s="10"/>
      <c r="JCG58" s="10"/>
      <c r="JCH58" s="10"/>
      <c r="JCI58" s="10"/>
      <c r="JCJ58" s="10"/>
      <c r="JCK58" s="10"/>
      <c r="JCL58" s="10"/>
      <c r="JCM58" s="10"/>
      <c r="JCN58" s="10"/>
      <c r="JCO58" s="10"/>
      <c r="JCP58" s="10"/>
      <c r="JCQ58" s="10"/>
      <c r="JCR58" s="10"/>
      <c r="JCS58" s="10"/>
      <c r="JCT58" s="10"/>
      <c r="JCU58" s="10"/>
      <c r="JCV58" s="10"/>
      <c r="JCW58" s="10"/>
      <c r="JCX58" s="10"/>
      <c r="JCY58" s="10"/>
      <c r="JCZ58" s="10"/>
      <c r="JDA58" s="10"/>
      <c r="JDB58" s="10"/>
      <c r="JDC58" s="10"/>
      <c r="JDD58" s="10"/>
      <c r="JDE58" s="10"/>
      <c r="JDF58" s="10"/>
      <c r="JDG58" s="10"/>
      <c r="JDH58" s="10"/>
      <c r="JDI58" s="10"/>
      <c r="JDJ58" s="10"/>
      <c r="JDK58" s="10"/>
      <c r="JDL58" s="10"/>
      <c r="JDM58" s="10"/>
      <c r="JDN58" s="10"/>
      <c r="JDO58" s="10"/>
      <c r="JDP58" s="10"/>
      <c r="JDQ58" s="10"/>
      <c r="JDR58" s="10"/>
      <c r="JDS58" s="10"/>
      <c r="JDT58" s="10"/>
      <c r="JDU58" s="10"/>
      <c r="JDV58" s="10"/>
      <c r="JDW58" s="10"/>
      <c r="JDX58" s="10"/>
      <c r="JDY58" s="10"/>
      <c r="JDZ58" s="10"/>
      <c r="JEA58" s="10"/>
      <c r="JEB58" s="10"/>
      <c r="JEC58" s="10"/>
      <c r="JED58" s="10"/>
      <c r="JEE58" s="10"/>
      <c r="JEF58" s="10"/>
      <c r="JEG58" s="10"/>
      <c r="JEH58" s="10"/>
      <c r="JEI58" s="10"/>
      <c r="JEJ58" s="10"/>
      <c r="JEK58" s="10"/>
      <c r="JEL58" s="10"/>
      <c r="JEM58" s="10"/>
      <c r="JEN58" s="10"/>
      <c r="JEO58" s="10"/>
      <c r="JEP58" s="10"/>
      <c r="JEQ58" s="10"/>
      <c r="JER58" s="10"/>
      <c r="JES58" s="10"/>
      <c r="JET58" s="10"/>
      <c r="JEU58" s="10"/>
      <c r="JEV58" s="10"/>
      <c r="JEW58" s="10"/>
      <c r="JEX58" s="10"/>
      <c r="JEY58" s="10"/>
      <c r="JEZ58" s="10"/>
      <c r="JFA58" s="10"/>
      <c r="JFB58" s="10"/>
      <c r="JFC58" s="10"/>
      <c r="JFD58" s="10"/>
      <c r="JFE58" s="10"/>
      <c r="JFF58" s="10"/>
      <c r="JFG58" s="10"/>
      <c r="JFH58" s="10"/>
      <c r="JFI58" s="10"/>
      <c r="JFJ58" s="10"/>
      <c r="JFK58" s="10"/>
      <c r="JFL58" s="10"/>
      <c r="JFM58" s="10"/>
      <c r="JFN58" s="10"/>
      <c r="JFO58" s="10"/>
      <c r="JFP58" s="10"/>
      <c r="JFQ58" s="10"/>
      <c r="JFR58" s="10"/>
      <c r="JFS58" s="10"/>
      <c r="JFT58" s="10"/>
      <c r="JFU58" s="10"/>
      <c r="JFV58" s="10"/>
      <c r="JFW58" s="10"/>
      <c r="JFX58" s="10"/>
      <c r="JFY58" s="10"/>
      <c r="JFZ58" s="10"/>
      <c r="JGA58" s="10"/>
      <c r="JGB58" s="10"/>
      <c r="JGC58" s="10"/>
      <c r="JGD58" s="10"/>
      <c r="JGE58" s="10"/>
      <c r="JGF58" s="10"/>
      <c r="JGG58" s="10"/>
      <c r="JGH58" s="10"/>
      <c r="JGI58" s="10"/>
      <c r="JGJ58" s="10"/>
      <c r="JGK58" s="10"/>
      <c r="JGL58" s="10"/>
      <c r="JGM58" s="10"/>
      <c r="JGN58" s="10"/>
      <c r="JGO58" s="10"/>
      <c r="JGP58" s="10"/>
      <c r="JGQ58" s="10"/>
      <c r="JGR58" s="10"/>
      <c r="JGS58" s="10"/>
      <c r="JGT58" s="10"/>
      <c r="JGU58" s="10"/>
      <c r="JGV58" s="10"/>
      <c r="JGW58" s="10"/>
      <c r="JGX58" s="10"/>
      <c r="JGY58" s="10"/>
      <c r="JGZ58" s="10"/>
      <c r="JHA58" s="10"/>
      <c r="JHB58" s="10"/>
      <c r="JHC58" s="10"/>
      <c r="JHD58" s="10"/>
      <c r="JHE58" s="10"/>
      <c r="JHF58" s="10"/>
      <c r="JHG58" s="10"/>
      <c r="JHH58" s="10"/>
      <c r="JHI58" s="10"/>
      <c r="JHJ58" s="10"/>
      <c r="JHK58" s="10"/>
      <c r="JHL58" s="10"/>
      <c r="JHM58" s="10"/>
      <c r="JHN58" s="10"/>
      <c r="JHO58" s="10"/>
      <c r="JHP58" s="10"/>
      <c r="JHQ58" s="10"/>
      <c r="JHR58" s="10"/>
      <c r="JHS58" s="10"/>
      <c r="JHT58" s="10"/>
      <c r="JHU58" s="10"/>
      <c r="JHV58" s="10"/>
      <c r="JHW58" s="10"/>
      <c r="JHX58" s="10"/>
      <c r="JHY58" s="10"/>
      <c r="JHZ58" s="10"/>
      <c r="JIA58" s="10"/>
      <c r="JIB58" s="10"/>
      <c r="JIC58" s="10"/>
      <c r="JID58" s="10"/>
      <c r="JIE58" s="10"/>
      <c r="JIF58" s="10"/>
      <c r="JIG58" s="10"/>
      <c r="JIH58" s="10"/>
      <c r="JII58" s="10"/>
      <c r="JIJ58" s="10"/>
      <c r="JIK58" s="10"/>
      <c r="JIL58" s="10"/>
      <c r="JIM58" s="10"/>
      <c r="JIN58" s="10"/>
      <c r="JIO58" s="10"/>
      <c r="JIP58" s="10"/>
      <c r="JIQ58" s="10"/>
      <c r="JIR58" s="10"/>
      <c r="JIS58" s="10"/>
      <c r="JIT58" s="10"/>
      <c r="JIU58" s="10"/>
      <c r="JIV58" s="10"/>
      <c r="JIW58" s="10"/>
      <c r="JIX58" s="10"/>
      <c r="JIY58" s="10"/>
      <c r="JIZ58" s="10"/>
      <c r="JJA58" s="10"/>
      <c r="JJB58" s="10"/>
      <c r="JJC58" s="10"/>
      <c r="JJD58" s="10"/>
      <c r="JJE58" s="10"/>
      <c r="JJF58" s="10"/>
      <c r="JJG58" s="10"/>
      <c r="JJH58" s="10"/>
      <c r="JJI58" s="10"/>
      <c r="JJJ58" s="10"/>
      <c r="JJK58" s="10"/>
      <c r="JJL58" s="10"/>
      <c r="JJM58" s="10"/>
      <c r="JJN58" s="10"/>
      <c r="JJO58" s="10"/>
      <c r="JJP58" s="10"/>
      <c r="JJQ58" s="10"/>
      <c r="JJR58" s="10"/>
      <c r="JJS58" s="10"/>
      <c r="JJT58" s="10"/>
      <c r="JJU58" s="10"/>
      <c r="JJV58" s="10"/>
      <c r="JJW58" s="10"/>
      <c r="JJX58" s="10"/>
      <c r="JJY58" s="10"/>
      <c r="JJZ58" s="10"/>
      <c r="JKA58" s="10"/>
      <c r="JKB58" s="10"/>
      <c r="JKC58" s="10"/>
      <c r="JKD58" s="10"/>
      <c r="JKE58" s="10"/>
      <c r="JKF58" s="10"/>
      <c r="JKG58" s="10"/>
      <c r="JKH58" s="10"/>
      <c r="JKI58" s="10"/>
      <c r="JKJ58" s="10"/>
      <c r="JKK58" s="10"/>
      <c r="JKL58" s="10"/>
      <c r="JKM58" s="10"/>
      <c r="JKN58" s="10"/>
      <c r="JKO58" s="10"/>
      <c r="JKP58" s="10"/>
      <c r="JKQ58" s="10"/>
      <c r="JKR58" s="10"/>
      <c r="JKS58" s="10"/>
      <c r="JKT58" s="10"/>
      <c r="JKU58" s="10"/>
      <c r="JKV58" s="10"/>
      <c r="JKW58" s="10"/>
      <c r="JKX58" s="10"/>
      <c r="JKY58" s="10"/>
      <c r="JKZ58" s="10"/>
      <c r="JLA58" s="10"/>
      <c r="JLB58" s="10"/>
      <c r="JLC58" s="10"/>
      <c r="JLD58" s="10"/>
      <c r="JLE58" s="10"/>
      <c r="JLF58" s="10"/>
      <c r="JLG58" s="10"/>
      <c r="JLH58" s="10"/>
      <c r="JLI58" s="10"/>
      <c r="JLJ58" s="10"/>
      <c r="JLK58" s="10"/>
      <c r="JLL58" s="10"/>
      <c r="JLM58" s="10"/>
      <c r="JLN58" s="10"/>
      <c r="JLO58" s="10"/>
      <c r="JLP58" s="10"/>
      <c r="JLQ58" s="10"/>
      <c r="JLR58" s="10"/>
      <c r="JLS58" s="10"/>
      <c r="JLT58" s="10"/>
      <c r="JLU58" s="10"/>
      <c r="JLV58" s="10"/>
      <c r="JLW58" s="10"/>
      <c r="JLX58" s="10"/>
      <c r="JLY58" s="10"/>
      <c r="JLZ58" s="10"/>
      <c r="JMA58" s="10"/>
      <c r="JMB58" s="10"/>
      <c r="JMC58" s="10"/>
      <c r="JMD58" s="10"/>
      <c r="JME58" s="10"/>
      <c r="JMF58" s="10"/>
      <c r="JMG58" s="10"/>
      <c r="JMH58" s="10"/>
      <c r="JMI58" s="10"/>
      <c r="JMJ58" s="10"/>
      <c r="JMK58" s="10"/>
      <c r="JML58" s="10"/>
      <c r="JMM58" s="10"/>
      <c r="JMN58" s="10"/>
      <c r="JMO58" s="10"/>
      <c r="JMP58" s="10"/>
      <c r="JMQ58" s="10"/>
      <c r="JMR58" s="10"/>
      <c r="JMS58" s="10"/>
      <c r="JMT58" s="10"/>
      <c r="JMU58" s="10"/>
      <c r="JMV58" s="10"/>
      <c r="JMW58" s="10"/>
      <c r="JMX58" s="10"/>
      <c r="JMY58" s="10"/>
      <c r="JMZ58" s="10"/>
      <c r="JNA58" s="10"/>
      <c r="JNB58" s="10"/>
      <c r="JNC58" s="10"/>
      <c r="JND58" s="10"/>
      <c r="JNE58" s="10"/>
      <c r="JNF58" s="10"/>
      <c r="JNG58" s="10"/>
      <c r="JNH58" s="10"/>
      <c r="JNI58" s="10"/>
      <c r="JNJ58" s="10"/>
      <c r="JNK58" s="10"/>
      <c r="JNL58" s="10"/>
      <c r="JNM58" s="10"/>
      <c r="JNN58" s="10"/>
      <c r="JNO58" s="10"/>
      <c r="JNP58" s="10"/>
      <c r="JNQ58" s="10"/>
      <c r="JNR58" s="10"/>
      <c r="JNS58" s="10"/>
      <c r="JNT58" s="10"/>
      <c r="JNU58" s="10"/>
      <c r="JNV58" s="10"/>
      <c r="JNW58" s="10"/>
      <c r="JNX58" s="10"/>
      <c r="JNY58" s="10"/>
      <c r="JNZ58" s="10"/>
      <c r="JOA58" s="10"/>
      <c r="JOB58" s="10"/>
      <c r="JOC58" s="10"/>
      <c r="JOD58" s="10"/>
      <c r="JOE58" s="10"/>
      <c r="JOF58" s="10"/>
      <c r="JOG58" s="10"/>
      <c r="JOH58" s="10"/>
      <c r="JOI58" s="10"/>
      <c r="JOJ58" s="10"/>
      <c r="JOK58" s="10"/>
      <c r="JOL58" s="10"/>
      <c r="JOM58" s="10"/>
      <c r="JON58" s="10"/>
      <c r="JOO58" s="10"/>
      <c r="JOP58" s="10"/>
      <c r="JOQ58" s="10"/>
      <c r="JOR58" s="10"/>
      <c r="JOS58" s="10"/>
      <c r="JOT58" s="10"/>
      <c r="JOU58" s="10"/>
      <c r="JOV58" s="10"/>
      <c r="JOW58" s="10"/>
      <c r="JOX58" s="10"/>
      <c r="JOY58" s="10"/>
      <c r="JOZ58" s="10"/>
      <c r="JPA58" s="10"/>
      <c r="JPB58" s="10"/>
      <c r="JPC58" s="10"/>
      <c r="JPD58" s="10"/>
      <c r="JPE58" s="10"/>
      <c r="JPF58" s="10"/>
      <c r="JPG58" s="10"/>
      <c r="JPH58" s="10"/>
      <c r="JPI58" s="10"/>
      <c r="JPJ58" s="10"/>
      <c r="JPK58" s="10"/>
      <c r="JPL58" s="10"/>
      <c r="JPM58" s="10"/>
      <c r="JPN58" s="10"/>
      <c r="JPO58" s="10"/>
      <c r="JPP58" s="10"/>
      <c r="JPQ58" s="10"/>
      <c r="JPR58" s="10"/>
      <c r="JPS58" s="10"/>
      <c r="JPT58" s="10"/>
      <c r="JPU58" s="10"/>
      <c r="JPV58" s="10"/>
      <c r="JPW58" s="10"/>
      <c r="JPX58" s="10"/>
      <c r="JPY58" s="10"/>
      <c r="JPZ58" s="10"/>
      <c r="JQA58" s="10"/>
      <c r="JQB58" s="10"/>
      <c r="JQC58" s="10"/>
      <c r="JQD58" s="10"/>
      <c r="JQE58" s="10"/>
      <c r="JQF58" s="10"/>
      <c r="JQG58" s="10"/>
      <c r="JQH58" s="10"/>
      <c r="JQI58" s="10"/>
      <c r="JQJ58" s="10"/>
      <c r="JQK58" s="10"/>
      <c r="JQL58" s="10"/>
      <c r="JQM58" s="10"/>
      <c r="JQN58" s="10"/>
      <c r="JQO58" s="10"/>
      <c r="JQP58" s="10"/>
      <c r="JQQ58" s="10"/>
      <c r="JQR58" s="10"/>
      <c r="JQS58" s="10"/>
      <c r="JQT58" s="10"/>
      <c r="JQU58" s="10"/>
      <c r="JQV58" s="10"/>
      <c r="JQW58" s="10"/>
      <c r="JQX58" s="10"/>
      <c r="JQY58" s="10"/>
      <c r="JQZ58" s="10"/>
      <c r="JRA58" s="10"/>
      <c r="JRB58" s="10"/>
      <c r="JRC58" s="10"/>
      <c r="JRD58" s="10"/>
      <c r="JRE58" s="10"/>
      <c r="JRF58" s="10"/>
      <c r="JRG58" s="10"/>
      <c r="JRH58" s="10"/>
      <c r="JRI58" s="10"/>
      <c r="JRJ58" s="10"/>
      <c r="JRK58" s="10"/>
      <c r="JRL58" s="10"/>
      <c r="JRM58" s="10"/>
      <c r="JRN58" s="10"/>
      <c r="JRO58" s="10"/>
      <c r="JRP58" s="10"/>
      <c r="JRQ58" s="10"/>
      <c r="JRR58" s="10"/>
      <c r="JRS58" s="10"/>
      <c r="JRT58" s="10"/>
      <c r="JRU58" s="10"/>
      <c r="JRV58" s="10"/>
      <c r="JRW58" s="10"/>
      <c r="JRX58" s="10"/>
      <c r="JRY58" s="10"/>
      <c r="JRZ58" s="10"/>
      <c r="JSA58" s="10"/>
      <c r="JSB58" s="10"/>
      <c r="JSC58" s="10"/>
      <c r="JSD58" s="10"/>
      <c r="JSE58" s="10"/>
      <c r="JSF58" s="10"/>
      <c r="JSG58" s="10"/>
      <c r="JSH58" s="10"/>
      <c r="JSI58" s="10"/>
      <c r="JSJ58" s="10"/>
      <c r="JSK58" s="10"/>
      <c r="JSL58" s="10"/>
      <c r="JSM58" s="10"/>
      <c r="JSN58" s="10"/>
      <c r="JSO58" s="10"/>
      <c r="JSP58" s="10"/>
      <c r="JSQ58" s="10"/>
      <c r="JSR58" s="10"/>
      <c r="JSS58" s="10"/>
      <c r="JST58" s="10"/>
      <c r="JSU58" s="10"/>
      <c r="JSV58" s="10"/>
      <c r="JSW58" s="10"/>
      <c r="JSX58" s="10"/>
      <c r="JSY58" s="10"/>
      <c r="JSZ58" s="10"/>
      <c r="JTA58" s="10"/>
      <c r="JTB58" s="10"/>
      <c r="JTC58" s="10"/>
      <c r="JTD58" s="10"/>
      <c r="JTE58" s="10"/>
      <c r="JTF58" s="10"/>
      <c r="JTG58" s="10"/>
      <c r="JTH58" s="10"/>
      <c r="JTI58" s="10"/>
      <c r="JTJ58" s="10"/>
      <c r="JTK58" s="10"/>
      <c r="JTL58" s="10"/>
      <c r="JTM58" s="10"/>
      <c r="JTN58" s="10"/>
      <c r="JTO58" s="10"/>
      <c r="JTP58" s="10"/>
      <c r="JTQ58" s="10"/>
      <c r="JTR58" s="10"/>
      <c r="JTS58" s="10"/>
      <c r="JTT58" s="10"/>
      <c r="JTU58" s="10"/>
      <c r="JTV58" s="10"/>
      <c r="JTW58" s="10"/>
      <c r="JTX58" s="10"/>
      <c r="JTY58" s="10"/>
      <c r="JTZ58" s="10"/>
      <c r="JUA58" s="10"/>
      <c r="JUB58" s="10"/>
      <c r="JUC58" s="10"/>
      <c r="JUD58" s="10"/>
      <c r="JUE58" s="10"/>
      <c r="JUF58" s="10"/>
      <c r="JUG58" s="10"/>
      <c r="JUH58" s="10"/>
      <c r="JUI58" s="10"/>
      <c r="JUJ58" s="10"/>
      <c r="JUK58" s="10"/>
      <c r="JUL58" s="10"/>
      <c r="JUM58" s="10"/>
      <c r="JUN58" s="10"/>
      <c r="JUO58" s="10"/>
      <c r="JUP58" s="10"/>
      <c r="JUQ58" s="10"/>
      <c r="JUR58" s="10"/>
      <c r="JUS58" s="10"/>
      <c r="JUT58" s="10"/>
      <c r="JUU58" s="10"/>
      <c r="JUV58" s="10"/>
      <c r="JUW58" s="10"/>
      <c r="JUX58" s="10"/>
      <c r="JUY58" s="10"/>
      <c r="JUZ58" s="10"/>
      <c r="JVA58" s="10"/>
      <c r="JVB58" s="10"/>
      <c r="JVC58" s="10"/>
      <c r="JVD58" s="10"/>
      <c r="JVE58" s="10"/>
      <c r="JVF58" s="10"/>
      <c r="JVG58" s="10"/>
      <c r="JVH58" s="10"/>
      <c r="JVI58" s="10"/>
      <c r="JVJ58" s="10"/>
      <c r="JVK58" s="10"/>
      <c r="JVL58" s="10"/>
      <c r="JVM58" s="10"/>
      <c r="JVN58" s="10"/>
      <c r="JVO58" s="10"/>
      <c r="JVP58" s="10"/>
      <c r="JVQ58" s="10"/>
      <c r="JVR58" s="10"/>
      <c r="JVS58" s="10"/>
      <c r="JVT58" s="10"/>
      <c r="JVU58" s="10"/>
      <c r="JVV58" s="10"/>
      <c r="JVW58" s="10"/>
      <c r="JVX58" s="10"/>
      <c r="JVY58" s="10"/>
      <c r="JVZ58" s="10"/>
      <c r="JWA58" s="10"/>
      <c r="JWB58" s="10"/>
      <c r="JWC58" s="10"/>
      <c r="JWD58" s="10"/>
      <c r="JWE58" s="10"/>
      <c r="JWF58" s="10"/>
      <c r="JWG58" s="10"/>
      <c r="JWH58" s="10"/>
      <c r="JWI58" s="10"/>
      <c r="JWJ58" s="10"/>
      <c r="JWK58" s="10"/>
      <c r="JWL58" s="10"/>
      <c r="JWM58" s="10"/>
      <c r="JWN58" s="10"/>
      <c r="JWO58" s="10"/>
      <c r="JWP58" s="10"/>
      <c r="JWQ58" s="10"/>
      <c r="JWR58" s="10"/>
      <c r="JWS58" s="10"/>
      <c r="JWT58" s="10"/>
      <c r="JWU58" s="10"/>
      <c r="JWV58" s="10"/>
      <c r="JWW58" s="10"/>
      <c r="JWX58" s="10"/>
      <c r="JWY58" s="10"/>
      <c r="JWZ58" s="10"/>
      <c r="JXA58" s="10"/>
      <c r="JXB58" s="10"/>
      <c r="JXC58" s="10"/>
      <c r="JXD58" s="10"/>
      <c r="JXE58" s="10"/>
      <c r="JXF58" s="10"/>
      <c r="JXG58" s="10"/>
      <c r="JXH58" s="10"/>
      <c r="JXI58" s="10"/>
      <c r="JXJ58" s="10"/>
      <c r="JXK58" s="10"/>
      <c r="JXL58" s="10"/>
      <c r="JXM58" s="10"/>
      <c r="JXN58" s="10"/>
      <c r="JXO58" s="10"/>
      <c r="JXP58" s="10"/>
      <c r="JXQ58" s="10"/>
      <c r="JXR58" s="10"/>
      <c r="JXS58" s="10"/>
      <c r="JXT58" s="10"/>
      <c r="JXU58" s="10"/>
      <c r="JXV58" s="10"/>
      <c r="JXW58" s="10"/>
      <c r="JXX58" s="10"/>
      <c r="JXY58" s="10"/>
      <c r="JXZ58" s="10"/>
      <c r="JYA58" s="10"/>
      <c r="JYB58" s="10"/>
      <c r="JYC58" s="10"/>
      <c r="JYD58" s="10"/>
      <c r="JYE58" s="10"/>
      <c r="JYF58" s="10"/>
      <c r="JYG58" s="10"/>
      <c r="JYH58" s="10"/>
      <c r="JYI58" s="10"/>
      <c r="JYJ58" s="10"/>
      <c r="JYK58" s="10"/>
      <c r="JYL58" s="10"/>
      <c r="JYM58" s="10"/>
      <c r="JYN58" s="10"/>
      <c r="JYO58" s="10"/>
      <c r="JYP58" s="10"/>
      <c r="JYQ58" s="10"/>
      <c r="JYR58" s="10"/>
      <c r="JYS58" s="10"/>
      <c r="JYT58" s="10"/>
      <c r="JYU58" s="10"/>
      <c r="JYV58" s="10"/>
      <c r="JYW58" s="10"/>
      <c r="JYX58" s="10"/>
      <c r="JYY58" s="10"/>
      <c r="JYZ58" s="10"/>
      <c r="JZA58" s="10"/>
      <c r="JZB58" s="10"/>
      <c r="JZC58" s="10"/>
      <c r="JZD58" s="10"/>
      <c r="JZE58" s="10"/>
      <c r="JZF58" s="10"/>
      <c r="JZG58" s="10"/>
      <c r="JZH58" s="10"/>
      <c r="JZI58" s="10"/>
      <c r="JZJ58" s="10"/>
      <c r="JZK58" s="10"/>
      <c r="JZL58" s="10"/>
      <c r="JZM58" s="10"/>
      <c r="JZN58" s="10"/>
      <c r="JZO58" s="10"/>
      <c r="JZP58" s="10"/>
      <c r="JZQ58" s="10"/>
      <c r="JZR58" s="10"/>
      <c r="JZS58" s="10"/>
      <c r="JZT58" s="10"/>
      <c r="JZU58" s="10"/>
      <c r="JZV58" s="10"/>
      <c r="JZW58" s="10"/>
      <c r="JZX58" s="10"/>
      <c r="JZY58" s="10"/>
      <c r="JZZ58" s="10"/>
      <c r="KAA58" s="10"/>
      <c r="KAB58" s="10"/>
      <c r="KAC58" s="10"/>
      <c r="KAD58" s="10"/>
      <c r="KAE58" s="10"/>
      <c r="KAF58" s="10"/>
      <c r="KAG58" s="10"/>
      <c r="KAH58" s="10"/>
      <c r="KAI58" s="10"/>
      <c r="KAJ58" s="10"/>
      <c r="KAK58" s="10"/>
      <c r="KAL58" s="10"/>
      <c r="KAM58" s="10"/>
      <c r="KAN58" s="10"/>
      <c r="KAO58" s="10"/>
      <c r="KAP58" s="10"/>
      <c r="KAQ58" s="10"/>
      <c r="KAR58" s="10"/>
      <c r="KAS58" s="10"/>
      <c r="KAT58" s="10"/>
      <c r="KAU58" s="10"/>
      <c r="KAV58" s="10"/>
      <c r="KAW58" s="10"/>
      <c r="KAX58" s="10"/>
      <c r="KAY58" s="10"/>
      <c r="KAZ58" s="10"/>
      <c r="KBA58" s="10"/>
      <c r="KBB58" s="10"/>
      <c r="KBC58" s="10"/>
      <c r="KBD58" s="10"/>
      <c r="KBE58" s="10"/>
      <c r="KBF58" s="10"/>
      <c r="KBG58" s="10"/>
      <c r="KBH58" s="10"/>
      <c r="KBI58" s="10"/>
      <c r="KBJ58" s="10"/>
      <c r="KBK58" s="10"/>
      <c r="KBL58" s="10"/>
      <c r="KBM58" s="10"/>
      <c r="KBN58" s="10"/>
      <c r="KBO58" s="10"/>
      <c r="KBP58" s="10"/>
      <c r="KBQ58" s="10"/>
      <c r="KBR58" s="10"/>
      <c r="KBS58" s="10"/>
      <c r="KBT58" s="10"/>
      <c r="KBU58" s="10"/>
      <c r="KBV58" s="10"/>
      <c r="KBW58" s="10"/>
      <c r="KBX58" s="10"/>
      <c r="KBY58" s="10"/>
      <c r="KBZ58" s="10"/>
      <c r="KCA58" s="10"/>
      <c r="KCB58" s="10"/>
      <c r="KCC58" s="10"/>
      <c r="KCD58" s="10"/>
      <c r="KCE58" s="10"/>
      <c r="KCF58" s="10"/>
      <c r="KCG58" s="10"/>
      <c r="KCH58" s="10"/>
      <c r="KCI58" s="10"/>
      <c r="KCJ58" s="10"/>
      <c r="KCK58" s="10"/>
      <c r="KCL58" s="10"/>
      <c r="KCM58" s="10"/>
      <c r="KCN58" s="10"/>
      <c r="KCO58" s="10"/>
      <c r="KCP58" s="10"/>
      <c r="KCQ58" s="10"/>
      <c r="KCR58" s="10"/>
      <c r="KCS58" s="10"/>
      <c r="KCT58" s="10"/>
      <c r="KCU58" s="10"/>
      <c r="KCV58" s="10"/>
      <c r="KCW58" s="10"/>
      <c r="KCX58" s="10"/>
      <c r="KCY58" s="10"/>
      <c r="KCZ58" s="10"/>
      <c r="KDA58" s="10"/>
      <c r="KDB58" s="10"/>
      <c r="KDC58" s="10"/>
      <c r="KDD58" s="10"/>
      <c r="KDE58" s="10"/>
      <c r="KDF58" s="10"/>
      <c r="KDG58" s="10"/>
      <c r="KDH58" s="10"/>
      <c r="KDI58" s="10"/>
      <c r="KDJ58" s="10"/>
      <c r="KDK58" s="10"/>
      <c r="KDL58" s="10"/>
      <c r="KDM58" s="10"/>
      <c r="KDN58" s="10"/>
      <c r="KDO58" s="10"/>
      <c r="KDP58" s="10"/>
      <c r="KDQ58" s="10"/>
      <c r="KDR58" s="10"/>
      <c r="KDS58" s="10"/>
      <c r="KDT58" s="10"/>
      <c r="KDU58" s="10"/>
      <c r="KDV58" s="10"/>
      <c r="KDW58" s="10"/>
      <c r="KDX58" s="10"/>
      <c r="KDY58" s="10"/>
      <c r="KDZ58" s="10"/>
      <c r="KEA58" s="10"/>
      <c r="KEB58" s="10"/>
      <c r="KEC58" s="10"/>
      <c r="KED58" s="10"/>
      <c r="KEE58" s="10"/>
      <c r="KEF58" s="10"/>
      <c r="KEG58" s="10"/>
      <c r="KEH58" s="10"/>
      <c r="KEI58" s="10"/>
      <c r="KEJ58" s="10"/>
      <c r="KEK58" s="10"/>
      <c r="KEL58" s="10"/>
      <c r="KEM58" s="10"/>
      <c r="KEN58" s="10"/>
      <c r="KEO58" s="10"/>
      <c r="KEP58" s="10"/>
      <c r="KEQ58" s="10"/>
      <c r="KER58" s="10"/>
      <c r="KES58" s="10"/>
      <c r="KET58" s="10"/>
      <c r="KEU58" s="10"/>
      <c r="KEV58" s="10"/>
      <c r="KEW58" s="10"/>
      <c r="KEX58" s="10"/>
      <c r="KEY58" s="10"/>
      <c r="KEZ58" s="10"/>
      <c r="KFA58" s="10"/>
      <c r="KFB58" s="10"/>
      <c r="KFC58" s="10"/>
      <c r="KFD58" s="10"/>
      <c r="KFE58" s="10"/>
      <c r="KFF58" s="10"/>
      <c r="KFG58" s="10"/>
      <c r="KFH58" s="10"/>
      <c r="KFI58" s="10"/>
      <c r="KFJ58" s="10"/>
      <c r="KFK58" s="10"/>
      <c r="KFL58" s="10"/>
      <c r="KFM58" s="10"/>
      <c r="KFN58" s="10"/>
      <c r="KFO58" s="10"/>
      <c r="KFP58" s="10"/>
      <c r="KFQ58" s="10"/>
      <c r="KFR58" s="10"/>
      <c r="KFS58" s="10"/>
      <c r="KFT58" s="10"/>
      <c r="KFU58" s="10"/>
      <c r="KFV58" s="10"/>
      <c r="KFW58" s="10"/>
      <c r="KFX58" s="10"/>
      <c r="KFY58" s="10"/>
      <c r="KFZ58" s="10"/>
      <c r="KGA58" s="10"/>
      <c r="KGB58" s="10"/>
      <c r="KGC58" s="10"/>
      <c r="KGD58" s="10"/>
      <c r="KGE58" s="10"/>
      <c r="KGF58" s="10"/>
      <c r="KGG58" s="10"/>
      <c r="KGH58" s="10"/>
      <c r="KGI58" s="10"/>
      <c r="KGJ58" s="10"/>
      <c r="KGK58" s="10"/>
      <c r="KGL58" s="10"/>
      <c r="KGM58" s="10"/>
      <c r="KGN58" s="10"/>
      <c r="KGO58" s="10"/>
      <c r="KGP58" s="10"/>
      <c r="KGQ58" s="10"/>
      <c r="KGR58" s="10"/>
      <c r="KGS58" s="10"/>
      <c r="KGT58" s="10"/>
      <c r="KGU58" s="10"/>
      <c r="KGV58" s="10"/>
      <c r="KGW58" s="10"/>
      <c r="KGX58" s="10"/>
      <c r="KGY58" s="10"/>
      <c r="KGZ58" s="10"/>
      <c r="KHA58" s="10"/>
      <c r="KHB58" s="10"/>
      <c r="KHC58" s="10"/>
      <c r="KHD58" s="10"/>
      <c r="KHE58" s="10"/>
      <c r="KHF58" s="10"/>
      <c r="KHG58" s="10"/>
      <c r="KHH58" s="10"/>
      <c r="KHI58" s="10"/>
      <c r="KHJ58" s="10"/>
      <c r="KHK58" s="10"/>
      <c r="KHL58" s="10"/>
      <c r="KHM58" s="10"/>
      <c r="KHN58" s="10"/>
      <c r="KHO58" s="10"/>
      <c r="KHP58" s="10"/>
      <c r="KHQ58" s="10"/>
      <c r="KHR58" s="10"/>
      <c r="KHS58" s="10"/>
      <c r="KHT58" s="10"/>
      <c r="KHU58" s="10"/>
      <c r="KHV58" s="10"/>
      <c r="KHW58" s="10"/>
      <c r="KHX58" s="10"/>
      <c r="KHY58" s="10"/>
      <c r="KHZ58" s="10"/>
      <c r="KIA58" s="10"/>
      <c r="KIB58" s="10"/>
      <c r="KIC58" s="10"/>
      <c r="KID58" s="10"/>
      <c r="KIE58" s="10"/>
      <c r="KIF58" s="10"/>
      <c r="KIG58" s="10"/>
      <c r="KIH58" s="10"/>
      <c r="KII58" s="10"/>
      <c r="KIJ58" s="10"/>
      <c r="KIK58" s="10"/>
      <c r="KIL58" s="10"/>
      <c r="KIM58" s="10"/>
      <c r="KIN58" s="10"/>
      <c r="KIO58" s="10"/>
      <c r="KIP58" s="10"/>
      <c r="KIQ58" s="10"/>
      <c r="KIR58" s="10"/>
      <c r="KIS58" s="10"/>
      <c r="KIT58" s="10"/>
      <c r="KIU58" s="10"/>
      <c r="KIV58" s="10"/>
      <c r="KIW58" s="10"/>
      <c r="KIX58" s="10"/>
      <c r="KIY58" s="10"/>
      <c r="KIZ58" s="10"/>
      <c r="KJA58" s="10"/>
      <c r="KJB58" s="10"/>
      <c r="KJC58" s="10"/>
      <c r="KJD58" s="10"/>
      <c r="KJE58" s="10"/>
      <c r="KJF58" s="10"/>
      <c r="KJG58" s="10"/>
      <c r="KJH58" s="10"/>
      <c r="KJI58" s="10"/>
      <c r="KJJ58" s="10"/>
      <c r="KJK58" s="10"/>
      <c r="KJL58" s="10"/>
      <c r="KJM58" s="10"/>
      <c r="KJN58" s="10"/>
      <c r="KJO58" s="10"/>
      <c r="KJP58" s="10"/>
      <c r="KJQ58" s="10"/>
      <c r="KJR58" s="10"/>
      <c r="KJS58" s="10"/>
      <c r="KJT58" s="10"/>
      <c r="KJU58" s="10"/>
      <c r="KJV58" s="10"/>
      <c r="KJW58" s="10"/>
      <c r="KJX58" s="10"/>
      <c r="KJY58" s="10"/>
      <c r="KJZ58" s="10"/>
      <c r="KKA58" s="10"/>
      <c r="KKB58" s="10"/>
      <c r="KKC58" s="10"/>
      <c r="KKD58" s="10"/>
      <c r="KKE58" s="10"/>
      <c r="KKF58" s="10"/>
      <c r="KKG58" s="10"/>
      <c r="KKH58" s="10"/>
      <c r="KKI58" s="10"/>
      <c r="KKJ58" s="10"/>
      <c r="KKK58" s="10"/>
      <c r="KKL58" s="10"/>
      <c r="KKM58" s="10"/>
      <c r="KKN58" s="10"/>
      <c r="KKO58" s="10"/>
      <c r="KKP58" s="10"/>
      <c r="KKQ58" s="10"/>
      <c r="KKR58" s="10"/>
      <c r="KKS58" s="10"/>
      <c r="KKT58" s="10"/>
      <c r="KKU58" s="10"/>
      <c r="KKV58" s="10"/>
      <c r="KKW58" s="10"/>
      <c r="KKX58" s="10"/>
      <c r="KKY58" s="10"/>
      <c r="KKZ58" s="10"/>
      <c r="KLA58" s="10"/>
      <c r="KLB58" s="10"/>
      <c r="KLC58" s="10"/>
      <c r="KLD58" s="10"/>
      <c r="KLE58" s="10"/>
      <c r="KLF58" s="10"/>
      <c r="KLG58" s="10"/>
      <c r="KLH58" s="10"/>
      <c r="KLI58" s="10"/>
      <c r="KLJ58" s="10"/>
      <c r="KLK58" s="10"/>
      <c r="KLL58" s="10"/>
      <c r="KLM58" s="10"/>
      <c r="KLN58" s="10"/>
      <c r="KLO58" s="10"/>
      <c r="KLP58" s="10"/>
      <c r="KLQ58" s="10"/>
      <c r="KLR58" s="10"/>
      <c r="KLS58" s="10"/>
      <c r="KLT58" s="10"/>
      <c r="KLU58" s="10"/>
      <c r="KLV58" s="10"/>
      <c r="KLW58" s="10"/>
      <c r="KLX58" s="10"/>
      <c r="KLY58" s="10"/>
      <c r="KLZ58" s="10"/>
      <c r="KMA58" s="10"/>
      <c r="KMB58" s="10"/>
      <c r="KMC58" s="10"/>
      <c r="KMD58" s="10"/>
      <c r="KME58" s="10"/>
      <c r="KMF58" s="10"/>
      <c r="KMG58" s="10"/>
      <c r="KMH58" s="10"/>
      <c r="KMI58" s="10"/>
      <c r="KMJ58" s="10"/>
      <c r="KMK58" s="10"/>
      <c r="KML58" s="10"/>
      <c r="KMM58" s="10"/>
      <c r="KMN58" s="10"/>
      <c r="KMO58" s="10"/>
      <c r="KMP58" s="10"/>
      <c r="KMQ58" s="10"/>
      <c r="KMR58" s="10"/>
      <c r="KMS58" s="10"/>
      <c r="KMT58" s="10"/>
      <c r="KMU58" s="10"/>
      <c r="KMV58" s="10"/>
      <c r="KMW58" s="10"/>
      <c r="KMX58" s="10"/>
      <c r="KMY58" s="10"/>
      <c r="KMZ58" s="10"/>
      <c r="KNA58" s="10"/>
      <c r="KNB58" s="10"/>
      <c r="KNC58" s="10"/>
      <c r="KND58" s="10"/>
      <c r="KNE58" s="10"/>
      <c r="KNF58" s="10"/>
      <c r="KNG58" s="10"/>
      <c r="KNH58" s="10"/>
      <c r="KNI58" s="10"/>
      <c r="KNJ58" s="10"/>
      <c r="KNK58" s="10"/>
      <c r="KNL58" s="10"/>
      <c r="KNM58" s="10"/>
      <c r="KNN58" s="10"/>
      <c r="KNO58" s="10"/>
      <c r="KNP58" s="10"/>
      <c r="KNQ58" s="10"/>
      <c r="KNR58" s="10"/>
      <c r="KNS58" s="10"/>
      <c r="KNT58" s="10"/>
      <c r="KNU58" s="10"/>
      <c r="KNV58" s="10"/>
      <c r="KNW58" s="10"/>
      <c r="KNX58" s="10"/>
      <c r="KNY58" s="10"/>
      <c r="KNZ58" s="10"/>
      <c r="KOA58" s="10"/>
      <c r="KOB58" s="10"/>
      <c r="KOC58" s="10"/>
      <c r="KOD58" s="10"/>
      <c r="KOE58" s="10"/>
      <c r="KOF58" s="10"/>
      <c r="KOG58" s="10"/>
      <c r="KOH58" s="10"/>
      <c r="KOI58" s="10"/>
      <c r="KOJ58" s="10"/>
      <c r="KOK58" s="10"/>
      <c r="KOL58" s="10"/>
      <c r="KOM58" s="10"/>
      <c r="KON58" s="10"/>
      <c r="KOO58" s="10"/>
      <c r="KOP58" s="10"/>
      <c r="KOQ58" s="10"/>
      <c r="KOR58" s="10"/>
      <c r="KOS58" s="10"/>
      <c r="KOT58" s="10"/>
      <c r="KOU58" s="10"/>
      <c r="KOV58" s="10"/>
      <c r="KOW58" s="10"/>
      <c r="KOX58" s="10"/>
      <c r="KOY58" s="10"/>
      <c r="KOZ58" s="10"/>
      <c r="KPA58" s="10"/>
      <c r="KPB58" s="10"/>
      <c r="KPC58" s="10"/>
      <c r="KPD58" s="10"/>
      <c r="KPE58" s="10"/>
      <c r="KPF58" s="10"/>
      <c r="KPG58" s="10"/>
      <c r="KPH58" s="10"/>
      <c r="KPI58" s="10"/>
      <c r="KPJ58" s="10"/>
      <c r="KPK58" s="10"/>
      <c r="KPL58" s="10"/>
      <c r="KPM58" s="10"/>
      <c r="KPN58" s="10"/>
      <c r="KPO58" s="10"/>
      <c r="KPP58" s="10"/>
      <c r="KPQ58" s="10"/>
      <c r="KPR58" s="10"/>
      <c r="KPS58" s="10"/>
      <c r="KPT58" s="10"/>
      <c r="KPU58" s="10"/>
      <c r="KPV58" s="10"/>
      <c r="KPW58" s="10"/>
      <c r="KPX58" s="10"/>
      <c r="KPY58" s="10"/>
      <c r="KPZ58" s="10"/>
      <c r="KQA58" s="10"/>
      <c r="KQB58" s="10"/>
      <c r="KQC58" s="10"/>
      <c r="KQD58" s="10"/>
      <c r="KQE58" s="10"/>
      <c r="KQF58" s="10"/>
      <c r="KQG58" s="10"/>
      <c r="KQH58" s="10"/>
      <c r="KQI58" s="10"/>
      <c r="KQJ58" s="10"/>
      <c r="KQK58" s="10"/>
      <c r="KQL58" s="10"/>
      <c r="KQM58" s="10"/>
      <c r="KQN58" s="10"/>
      <c r="KQO58" s="10"/>
      <c r="KQP58" s="10"/>
      <c r="KQQ58" s="10"/>
      <c r="KQR58" s="10"/>
      <c r="KQS58" s="10"/>
      <c r="KQT58" s="10"/>
      <c r="KQU58" s="10"/>
      <c r="KQV58" s="10"/>
      <c r="KQW58" s="10"/>
      <c r="KQX58" s="10"/>
      <c r="KQY58" s="10"/>
      <c r="KQZ58" s="10"/>
      <c r="KRA58" s="10"/>
      <c r="KRB58" s="10"/>
      <c r="KRC58" s="10"/>
      <c r="KRD58" s="10"/>
      <c r="KRE58" s="10"/>
      <c r="KRF58" s="10"/>
      <c r="KRG58" s="10"/>
      <c r="KRH58" s="10"/>
      <c r="KRI58" s="10"/>
      <c r="KRJ58" s="10"/>
      <c r="KRK58" s="10"/>
      <c r="KRL58" s="10"/>
      <c r="KRM58" s="10"/>
      <c r="KRN58" s="10"/>
      <c r="KRO58" s="10"/>
      <c r="KRP58" s="10"/>
      <c r="KRQ58" s="10"/>
      <c r="KRR58" s="10"/>
      <c r="KRS58" s="10"/>
      <c r="KRT58" s="10"/>
      <c r="KRU58" s="10"/>
      <c r="KRV58" s="10"/>
      <c r="KRW58" s="10"/>
      <c r="KRX58" s="10"/>
      <c r="KRY58" s="10"/>
      <c r="KRZ58" s="10"/>
      <c r="KSA58" s="10"/>
      <c r="KSB58" s="10"/>
      <c r="KSC58" s="10"/>
      <c r="KSD58" s="10"/>
      <c r="KSE58" s="10"/>
      <c r="KSF58" s="10"/>
      <c r="KSG58" s="10"/>
      <c r="KSH58" s="10"/>
      <c r="KSI58" s="10"/>
      <c r="KSJ58" s="10"/>
      <c r="KSK58" s="10"/>
      <c r="KSL58" s="10"/>
      <c r="KSM58" s="10"/>
      <c r="KSN58" s="10"/>
      <c r="KSO58" s="10"/>
      <c r="KSP58" s="10"/>
      <c r="KSQ58" s="10"/>
      <c r="KSR58" s="10"/>
      <c r="KSS58" s="10"/>
      <c r="KST58" s="10"/>
      <c r="KSU58" s="10"/>
      <c r="KSV58" s="10"/>
      <c r="KSW58" s="10"/>
      <c r="KSX58" s="10"/>
      <c r="KSY58" s="10"/>
      <c r="KSZ58" s="10"/>
      <c r="KTA58" s="10"/>
      <c r="KTB58" s="10"/>
      <c r="KTC58" s="10"/>
      <c r="KTD58" s="10"/>
      <c r="KTE58" s="10"/>
      <c r="KTF58" s="10"/>
      <c r="KTG58" s="10"/>
      <c r="KTH58" s="10"/>
      <c r="KTI58" s="10"/>
      <c r="KTJ58" s="10"/>
      <c r="KTK58" s="10"/>
      <c r="KTL58" s="10"/>
      <c r="KTM58" s="10"/>
      <c r="KTN58" s="10"/>
      <c r="KTO58" s="10"/>
      <c r="KTP58" s="10"/>
      <c r="KTQ58" s="10"/>
      <c r="KTR58" s="10"/>
      <c r="KTS58" s="10"/>
      <c r="KTT58" s="10"/>
      <c r="KTU58" s="10"/>
      <c r="KTV58" s="10"/>
      <c r="KTW58" s="10"/>
      <c r="KTX58" s="10"/>
      <c r="KTY58" s="10"/>
      <c r="KTZ58" s="10"/>
      <c r="KUA58" s="10"/>
      <c r="KUB58" s="10"/>
      <c r="KUC58" s="10"/>
      <c r="KUD58" s="10"/>
      <c r="KUE58" s="10"/>
      <c r="KUF58" s="10"/>
      <c r="KUG58" s="10"/>
      <c r="KUH58" s="10"/>
      <c r="KUI58" s="10"/>
      <c r="KUJ58" s="10"/>
      <c r="KUK58" s="10"/>
      <c r="KUL58" s="10"/>
      <c r="KUM58" s="10"/>
      <c r="KUN58" s="10"/>
      <c r="KUO58" s="10"/>
      <c r="KUP58" s="10"/>
      <c r="KUQ58" s="10"/>
      <c r="KUR58" s="10"/>
      <c r="KUS58" s="10"/>
      <c r="KUT58" s="10"/>
      <c r="KUU58" s="10"/>
      <c r="KUV58" s="10"/>
      <c r="KUW58" s="10"/>
      <c r="KUX58" s="10"/>
      <c r="KUY58" s="10"/>
      <c r="KUZ58" s="10"/>
      <c r="KVA58" s="10"/>
      <c r="KVB58" s="10"/>
      <c r="KVC58" s="10"/>
      <c r="KVD58" s="10"/>
      <c r="KVE58" s="10"/>
      <c r="KVF58" s="10"/>
      <c r="KVG58" s="10"/>
      <c r="KVH58" s="10"/>
      <c r="KVI58" s="10"/>
      <c r="KVJ58" s="10"/>
      <c r="KVK58" s="10"/>
      <c r="KVL58" s="10"/>
      <c r="KVM58" s="10"/>
      <c r="KVN58" s="10"/>
      <c r="KVO58" s="10"/>
      <c r="KVP58" s="10"/>
      <c r="KVQ58" s="10"/>
      <c r="KVR58" s="10"/>
      <c r="KVS58" s="10"/>
      <c r="KVT58" s="10"/>
      <c r="KVU58" s="10"/>
      <c r="KVV58" s="10"/>
      <c r="KVW58" s="10"/>
      <c r="KVX58" s="10"/>
      <c r="KVY58" s="10"/>
      <c r="KVZ58" s="10"/>
      <c r="KWA58" s="10"/>
      <c r="KWB58" s="10"/>
      <c r="KWC58" s="10"/>
      <c r="KWD58" s="10"/>
      <c r="KWE58" s="10"/>
      <c r="KWF58" s="10"/>
      <c r="KWG58" s="10"/>
      <c r="KWH58" s="10"/>
      <c r="KWI58" s="10"/>
      <c r="KWJ58" s="10"/>
      <c r="KWK58" s="10"/>
      <c r="KWL58" s="10"/>
      <c r="KWM58" s="10"/>
      <c r="KWN58" s="10"/>
      <c r="KWO58" s="10"/>
      <c r="KWP58" s="10"/>
      <c r="KWQ58" s="10"/>
      <c r="KWR58" s="10"/>
      <c r="KWS58" s="10"/>
      <c r="KWT58" s="10"/>
      <c r="KWU58" s="10"/>
      <c r="KWV58" s="10"/>
      <c r="KWW58" s="10"/>
      <c r="KWX58" s="10"/>
      <c r="KWY58" s="10"/>
      <c r="KWZ58" s="10"/>
      <c r="KXA58" s="10"/>
      <c r="KXB58" s="10"/>
      <c r="KXC58" s="10"/>
      <c r="KXD58" s="10"/>
      <c r="KXE58" s="10"/>
      <c r="KXF58" s="10"/>
      <c r="KXG58" s="10"/>
      <c r="KXH58" s="10"/>
      <c r="KXI58" s="10"/>
      <c r="KXJ58" s="10"/>
      <c r="KXK58" s="10"/>
      <c r="KXL58" s="10"/>
      <c r="KXM58" s="10"/>
      <c r="KXN58" s="10"/>
      <c r="KXO58" s="10"/>
      <c r="KXP58" s="10"/>
      <c r="KXQ58" s="10"/>
      <c r="KXR58" s="10"/>
      <c r="KXS58" s="10"/>
      <c r="KXT58" s="10"/>
      <c r="KXU58" s="10"/>
      <c r="KXV58" s="10"/>
      <c r="KXW58" s="10"/>
      <c r="KXX58" s="10"/>
      <c r="KXY58" s="10"/>
      <c r="KXZ58" s="10"/>
      <c r="KYA58" s="10"/>
      <c r="KYB58" s="10"/>
      <c r="KYC58" s="10"/>
      <c r="KYD58" s="10"/>
      <c r="KYE58" s="10"/>
      <c r="KYF58" s="10"/>
      <c r="KYG58" s="10"/>
      <c r="KYH58" s="10"/>
      <c r="KYI58" s="10"/>
      <c r="KYJ58" s="10"/>
      <c r="KYK58" s="10"/>
      <c r="KYL58" s="10"/>
      <c r="KYM58" s="10"/>
      <c r="KYN58" s="10"/>
      <c r="KYO58" s="10"/>
      <c r="KYP58" s="10"/>
      <c r="KYQ58" s="10"/>
      <c r="KYR58" s="10"/>
      <c r="KYS58" s="10"/>
      <c r="KYT58" s="10"/>
      <c r="KYU58" s="10"/>
      <c r="KYV58" s="10"/>
      <c r="KYW58" s="10"/>
      <c r="KYX58" s="10"/>
      <c r="KYY58" s="10"/>
      <c r="KYZ58" s="10"/>
      <c r="KZA58" s="10"/>
      <c r="KZB58" s="10"/>
      <c r="KZC58" s="10"/>
      <c r="KZD58" s="10"/>
      <c r="KZE58" s="10"/>
      <c r="KZF58" s="10"/>
      <c r="KZG58" s="10"/>
      <c r="KZH58" s="10"/>
      <c r="KZI58" s="10"/>
      <c r="KZJ58" s="10"/>
      <c r="KZK58" s="10"/>
      <c r="KZL58" s="10"/>
      <c r="KZM58" s="10"/>
      <c r="KZN58" s="10"/>
      <c r="KZO58" s="10"/>
      <c r="KZP58" s="10"/>
      <c r="KZQ58" s="10"/>
      <c r="KZR58" s="10"/>
      <c r="KZS58" s="10"/>
      <c r="KZT58" s="10"/>
      <c r="KZU58" s="10"/>
      <c r="KZV58" s="10"/>
      <c r="KZW58" s="10"/>
      <c r="KZX58" s="10"/>
      <c r="KZY58" s="10"/>
      <c r="KZZ58" s="10"/>
      <c r="LAA58" s="10"/>
      <c r="LAB58" s="10"/>
      <c r="LAC58" s="10"/>
      <c r="LAD58" s="10"/>
      <c r="LAE58" s="10"/>
      <c r="LAF58" s="10"/>
      <c r="LAG58" s="10"/>
      <c r="LAH58" s="10"/>
      <c r="LAI58" s="10"/>
      <c r="LAJ58" s="10"/>
      <c r="LAK58" s="10"/>
      <c r="LAL58" s="10"/>
      <c r="LAM58" s="10"/>
      <c r="LAN58" s="10"/>
      <c r="LAO58" s="10"/>
      <c r="LAP58" s="10"/>
      <c r="LAQ58" s="10"/>
      <c r="LAR58" s="10"/>
      <c r="LAS58" s="10"/>
      <c r="LAT58" s="10"/>
      <c r="LAU58" s="10"/>
      <c r="LAV58" s="10"/>
      <c r="LAW58" s="10"/>
      <c r="LAX58" s="10"/>
      <c r="LAY58" s="10"/>
      <c r="LAZ58" s="10"/>
      <c r="LBA58" s="10"/>
      <c r="LBB58" s="10"/>
      <c r="LBC58" s="10"/>
      <c r="LBD58" s="10"/>
      <c r="LBE58" s="10"/>
      <c r="LBF58" s="10"/>
      <c r="LBG58" s="10"/>
      <c r="LBH58" s="10"/>
      <c r="LBI58" s="10"/>
      <c r="LBJ58" s="10"/>
      <c r="LBK58" s="10"/>
      <c r="LBL58" s="10"/>
      <c r="LBM58" s="10"/>
      <c r="LBN58" s="10"/>
      <c r="LBO58" s="10"/>
      <c r="LBP58" s="10"/>
      <c r="LBQ58" s="10"/>
      <c r="LBR58" s="10"/>
      <c r="LBS58" s="10"/>
      <c r="LBT58" s="10"/>
      <c r="LBU58" s="10"/>
      <c r="LBV58" s="10"/>
      <c r="LBW58" s="10"/>
      <c r="LBX58" s="10"/>
      <c r="LBY58" s="10"/>
      <c r="LBZ58" s="10"/>
      <c r="LCA58" s="10"/>
      <c r="LCB58" s="10"/>
      <c r="LCC58" s="10"/>
      <c r="LCD58" s="10"/>
      <c r="LCE58" s="10"/>
      <c r="LCF58" s="10"/>
      <c r="LCG58" s="10"/>
      <c r="LCH58" s="10"/>
      <c r="LCI58" s="10"/>
      <c r="LCJ58" s="10"/>
      <c r="LCK58" s="10"/>
      <c r="LCL58" s="10"/>
      <c r="LCM58" s="10"/>
      <c r="LCN58" s="10"/>
      <c r="LCO58" s="10"/>
      <c r="LCP58" s="10"/>
      <c r="LCQ58" s="10"/>
      <c r="LCR58" s="10"/>
      <c r="LCS58" s="10"/>
      <c r="LCT58" s="10"/>
      <c r="LCU58" s="10"/>
      <c r="LCV58" s="10"/>
      <c r="LCW58" s="10"/>
      <c r="LCX58" s="10"/>
      <c r="LCY58" s="10"/>
      <c r="LCZ58" s="10"/>
      <c r="LDA58" s="10"/>
      <c r="LDB58" s="10"/>
      <c r="LDC58" s="10"/>
      <c r="LDD58" s="10"/>
      <c r="LDE58" s="10"/>
      <c r="LDF58" s="10"/>
      <c r="LDG58" s="10"/>
      <c r="LDH58" s="10"/>
      <c r="LDI58" s="10"/>
      <c r="LDJ58" s="10"/>
      <c r="LDK58" s="10"/>
      <c r="LDL58" s="10"/>
      <c r="LDM58" s="10"/>
      <c r="LDN58" s="10"/>
      <c r="LDO58" s="10"/>
      <c r="LDP58" s="10"/>
      <c r="LDQ58" s="10"/>
      <c r="LDR58" s="10"/>
      <c r="LDS58" s="10"/>
      <c r="LDT58" s="10"/>
      <c r="LDU58" s="10"/>
      <c r="LDV58" s="10"/>
      <c r="LDW58" s="10"/>
      <c r="LDX58" s="10"/>
      <c r="LDY58" s="10"/>
      <c r="LDZ58" s="10"/>
      <c r="LEA58" s="10"/>
      <c r="LEB58" s="10"/>
      <c r="LEC58" s="10"/>
      <c r="LED58" s="10"/>
      <c r="LEE58" s="10"/>
      <c r="LEF58" s="10"/>
      <c r="LEG58" s="10"/>
      <c r="LEH58" s="10"/>
      <c r="LEI58" s="10"/>
      <c r="LEJ58" s="10"/>
      <c r="LEK58" s="10"/>
      <c r="LEL58" s="10"/>
      <c r="LEM58" s="10"/>
      <c r="LEN58" s="10"/>
      <c r="LEO58" s="10"/>
      <c r="LEP58" s="10"/>
      <c r="LEQ58" s="10"/>
      <c r="LER58" s="10"/>
      <c r="LES58" s="10"/>
      <c r="LET58" s="10"/>
      <c r="LEU58" s="10"/>
      <c r="LEV58" s="10"/>
      <c r="LEW58" s="10"/>
      <c r="LEX58" s="10"/>
      <c r="LEY58" s="10"/>
      <c r="LEZ58" s="10"/>
      <c r="LFA58" s="10"/>
      <c r="LFB58" s="10"/>
      <c r="LFC58" s="10"/>
      <c r="LFD58" s="10"/>
      <c r="LFE58" s="10"/>
      <c r="LFF58" s="10"/>
      <c r="LFG58" s="10"/>
      <c r="LFH58" s="10"/>
      <c r="LFI58" s="10"/>
      <c r="LFJ58" s="10"/>
      <c r="LFK58" s="10"/>
      <c r="LFL58" s="10"/>
      <c r="LFM58" s="10"/>
      <c r="LFN58" s="10"/>
      <c r="LFO58" s="10"/>
      <c r="LFP58" s="10"/>
      <c r="LFQ58" s="10"/>
      <c r="LFR58" s="10"/>
      <c r="LFS58" s="10"/>
      <c r="LFT58" s="10"/>
      <c r="LFU58" s="10"/>
      <c r="LFV58" s="10"/>
      <c r="LFW58" s="10"/>
      <c r="LFX58" s="10"/>
      <c r="LFY58" s="10"/>
      <c r="LFZ58" s="10"/>
      <c r="LGA58" s="10"/>
      <c r="LGB58" s="10"/>
      <c r="LGC58" s="10"/>
      <c r="LGD58" s="10"/>
      <c r="LGE58" s="10"/>
      <c r="LGF58" s="10"/>
      <c r="LGG58" s="10"/>
      <c r="LGH58" s="10"/>
      <c r="LGI58" s="10"/>
      <c r="LGJ58" s="10"/>
      <c r="LGK58" s="10"/>
      <c r="LGL58" s="10"/>
      <c r="LGM58" s="10"/>
      <c r="LGN58" s="10"/>
      <c r="LGO58" s="10"/>
      <c r="LGP58" s="10"/>
      <c r="LGQ58" s="10"/>
      <c r="LGR58" s="10"/>
      <c r="LGS58" s="10"/>
      <c r="LGT58" s="10"/>
      <c r="LGU58" s="10"/>
      <c r="LGV58" s="10"/>
      <c r="LGW58" s="10"/>
      <c r="LGX58" s="10"/>
      <c r="LGY58" s="10"/>
      <c r="LGZ58" s="10"/>
      <c r="LHA58" s="10"/>
      <c r="LHB58" s="10"/>
      <c r="LHC58" s="10"/>
      <c r="LHD58" s="10"/>
      <c r="LHE58" s="10"/>
      <c r="LHF58" s="10"/>
      <c r="LHG58" s="10"/>
      <c r="LHH58" s="10"/>
      <c r="LHI58" s="10"/>
      <c r="LHJ58" s="10"/>
      <c r="LHK58" s="10"/>
      <c r="LHL58" s="10"/>
      <c r="LHM58" s="10"/>
      <c r="LHN58" s="10"/>
      <c r="LHO58" s="10"/>
      <c r="LHP58" s="10"/>
      <c r="LHQ58" s="10"/>
      <c r="LHR58" s="10"/>
      <c r="LHS58" s="10"/>
      <c r="LHT58" s="10"/>
      <c r="LHU58" s="10"/>
      <c r="LHV58" s="10"/>
      <c r="LHW58" s="10"/>
      <c r="LHX58" s="10"/>
      <c r="LHY58" s="10"/>
      <c r="LHZ58" s="10"/>
      <c r="LIA58" s="10"/>
      <c r="LIB58" s="10"/>
      <c r="LIC58" s="10"/>
      <c r="LID58" s="10"/>
      <c r="LIE58" s="10"/>
      <c r="LIF58" s="10"/>
      <c r="LIG58" s="10"/>
      <c r="LIH58" s="10"/>
      <c r="LII58" s="10"/>
      <c r="LIJ58" s="10"/>
      <c r="LIK58" s="10"/>
      <c r="LIL58" s="10"/>
      <c r="LIM58" s="10"/>
      <c r="LIN58" s="10"/>
      <c r="LIO58" s="10"/>
      <c r="LIP58" s="10"/>
      <c r="LIQ58" s="10"/>
      <c r="LIR58" s="10"/>
      <c r="LIS58" s="10"/>
      <c r="LIT58" s="10"/>
      <c r="LIU58" s="10"/>
      <c r="LIV58" s="10"/>
      <c r="LIW58" s="10"/>
      <c r="LIX58" s="10"/>
      <c r="LIY58" s="10"/>
      <c r="LIZ58" s="10"/>
      <c r="LJA58" s="10"/>
      <c r="LJB58" s="10"/>
      <c r="LJC58" s="10"/>
      <c r="LJD58" s="10"/>
      <c r="LJE58" s="10"/>
      <c r="LJF58" s="10"/>
      <c r="LJG58" s="10"/>
      <c r="LJH58" s="10"/>
      <c r="LJI58" s="10"/>
      <c r="LJJ58" s="10"/>
      <c r="LJK58" s="10"/>
      <c r="LJL58" s="10"/>
      <c r="LJM58" s="10"/>
      <c r="LJN58" s="10"/>
      <c r="LJO58" s="10"/>
      <c r="LJP58" s="10"/>
      <c r="LJQ58" s="10"/>
      <c r="LJR58" s="10"/>
      <c r="LJS58" s="10"/>
      <c r="LJT58" s="10"/>
      <c r="LJU58" s="10"/>
      <c r="LJV58" s="10"/>
      <c r="LJW58" s="10"/>
      <c r="LJX58" s="10"/>
      <c r="LJY58" s="10"/>
      <c r="LJZ58" s="10"/>
      <c r="LKA58" s="10"/>
      <c r="LKB58" s="10"/>
      <c r="LKC58" s="10"/>
      <c r="LKD58" s="10"/>
      <c r="LKE58" s="10"/>
      <c r="LKF58" s="10"/>
      <c r="LKG58" s="10"/>
      <c r="LKH58" s="10"/>
      <c r="LKI58" s="10"/>
      <c r="LKJ58" s="10"/>
      <c r="LKK58" s="10"/>
      <c r="LKL58" s="10"/>
      <c r="LKM58" s="10"/>
      <c r="LKN58" s="10"/>
      <c r="LKO58" s="10"/>
      <c r="LKP58" s="10"/>
      <c r="LKQ58" s="10"/>
      <c r="LKR58" s="10"/>
      <c r="LKS58" s="10"/>
      <c r="LKT58" s="10"/>
      <c r="LKU58" s="10"/>
      <c r="LKV58" s="10"/>
      <c r="LKW58" s="10"/>
      <c r="LKX58" s="10"/>
      <c r="LKY58" s="10"/>
      <c r="LKZ58" s="10"/>
      <c r="LLA58" s="10"/>
      <c r="LLB58" s="10"/>
      <c r="LLC58" s="10"/>
      <c r="LLD58" s="10"/>
      <c r="LLE58" s="10"/>
      <c r="LLF58" s="10"/>
      <c r="LLG58" s="10"/>
      <c r="LLH58" s="10"/>
      <c r="LLI58" s="10"/>
      <c r="LLJ58" s="10"/>
      <c r="LLK58" s="10"/>
      <c r="LLL58" s="10"/>
      <c r="LLM58" s="10"/>
      <c r="LLN58" s="10"/>
      <c r="LLO58" s="10"/>
      <c r="LLP58" s="10"/>
      <c r="LLQ58" s="10"/>
      <c r="LLR58" s="10"/>
      <c r="LLS58" s="10"/>
      <c r="LLT58" s="10"/>
      <c r="LLU58" s="10"/>
      <c r="LLV58" s="10"/>
      <c r="LLW58" s="10"/>
      <c r="LLX58" s="10"/>
      <c r="LLY58" s="10"/>
      <c r="LLZ58" s="10"/>
      <c r="LMA58" s="10"/>
      <c r="LMB58" s="10"/>
      <c r="LMC58" s="10"/>
      <c r="LMD58" s="10"/>
      <c r="LME58" s="10"/>
      <c r="LMF58" s="10"/>
      <c r="LMG58" s="10"/>
      <c r="LMH58" s="10"/>
      <c r="LMI58" s="10"/>
      <c r="LMJ58" s="10"/>
      <c r="LMK58" s="10"/>
      <c r="LML58" s="10"/>
      <c r="LMM58" s="10"/>
      <c r="LMN58" s="10"/>
      <c r="LMO58" s="10"/>
      <c r="LMP58" s="10"/>
      <c r="LMQ58" s="10"/>
      <c r="LMR58" s="10"/>
      <c r="LMS58" s="10"/>
      <c r="LMT58" s="10"/>
      <c r="LMU58" s="10"/>
      <c r="LMV58" s="10"/>
      <c r="LMW58" s="10"/>
      <c r="LMX58" s="10"/>
      <c r="LMY58" s="10"/>
      <c r="LMZ58" s="10"/>
      <c r="LNA58" s="10"/>
      <c r="LNB58" s="10"/>
      <c r="LNC58" s="10"/>
      <c r="LND58" s="10"/>
      <c r="LNE58" s="10"/>
      <c r="LNF58" s="10"/>
      <c r="LNG58" s="10"/>
      <c r="LNH58" s="10"/>
      <c r="LNI58" s="10"/>
      <c r="LNJ58" s="10"/>
      <c r="LNK58" s="10"/>
      <c r="LNL58" s="10"/>
      <c r="LNM58" s="10"/>
      <c r="LNN58" s="10"/>
      <c r="LNO58" s="10"/>
      <c r="LNP58" s="10"/>
      <c r="LNQ58" s="10"/>
      <c r="LNR58" s="10"/>
      <c r="LNS58" s="10"/>
      <c r="LNT58" s="10"/>
      <c r="LNU58" s="10"/>
      <c r="LNV58" s="10"/>
      <c r="LNW58" s="10"/>
      <c r="LNX58" s="10"/>
      <c r="LNY58" s="10"/>
      <c r="LNZ58" s="10"/>
      <c r="LOA58" s="10"/>
      <c r="LOB58" s="10"/>
      <c r="LOC58" s="10"/>
      <c r="LOD58" s="10"/>
      <c r="LOE58" s="10"/>
      <c r="LOF58" s="10"/>
      <c r="LOG58" s="10"/>
      <c r="LOH58" s="10"/>
      <c r="LOI58" s="10"/>
      <c r="LOJ58" s="10"/>
      <c r="LOK58" s="10"/>
      <c r="LOL58" s="10"/>
      <c r="LOM58" s="10"/>
      <c r="LON58" s="10"/>
      <c r="LOO58" s="10"/>
      <c r="LOP58" s="10"/>
      <c r="LOQ58" s="10"/>
      <c r="LOR58" s="10"/>
      <c r="LOS58" s="10"/>
      <c r="LOT58" s="10"/>
      <c r="LOU58" s="10"/>
      <c r="LOV58" s="10"/>
      <c r="LOW58" s="10"/>
      <c r="LOX58" s="10"/>
      <c r="LOY58" s="10"/>
      <c r="LOZ58" s="10"/>
      <c r="LPA58" s="10"/>
      <c r="LPB58" s="10"/>
      <c r="LPC58" s="10"/>
      <c r="LPD58" s="10"/>
      <c r="LPE58" s="10"/>
      <c r="LPF58" s="10"/>
      <c r="LPG58" s="10"/>
      <c r="LPH58" s="10"/>
      <c r="LPI58" s="10"/>
      <c r="LPJ58" s="10"/>
      <c r="LPK58" s="10"/>
      <c r="LPL58" s="10"/>
      <c r="LPM58" s="10"/>
      <c r="LPN58" s="10"/>
      <c r="LPO58" s="10"/>
      <c r="LPP58" s="10"/>
      <c r="LPQ58" s="10"/>
      <c r="LPR58" s="10"/>
      <c r="LPS58" s="10"/>
      <c r="LPT58" s="10"/>
      <c r="LPU58" s="10"/>
      <c r="LPV58" s="10"/>
      <c r="LPW58" s="10"/>
      <c r="LPX58" s="10"/>
      <c r="LPY58" s="10"/>
      <c r="LPZ58" s="10"/>
      <c r="LQA58" s="10"/>
      <c r="LQB58" s="10"/>
      <c r="LQC58" s="10"/>
      <c r="LQD58" s="10"/>
      <c r="LQE58" s="10"/>
      <c r="LQF58" s="10"/>
      <c r="LQG58" s="10"/>
      <c r="LQH58" s="10"/>
      <c r="LQI58" s="10"/>
      <c r="LQJ58" s="10"/>
      <c r="LQK58" s="10"/>
      <c r="LQL58" s="10"/>
      <c r="LQM58" s="10"/>
      <c r="LQN58" s="10"/>
      <c r="LQO58" s="10"/>
      <c r="LQP58" s="10"/>
      <c r="LQQ58" s="10"/>
      <c r="LQR58" s="10"/>
      <c r="LQS58" s="10"/>
      <c r="LQT58" s="10"/>
      <c r="LQU58" s="10"/>
      <c r="LQV58" s="10"/>
      <c r="LQW58" s="10"/>
      <c r="LQX58" s="10"/>
      <c r="LQY58" s="10"/>
      <c r="LQZ58" s="10"/>
      <c r="LRA58" s="10"/>
      <c r="LRB58" s="10"/>
      <c r="LRC58" s="10"/>
      <c r="LRD58" s="10"/>
      <c r="LRE58" s="10"/>
      <c r="LRF58" s="10"/>
      <c r="LRG58" s="10"/>
      <c r="LRH58" s="10"/>
      <c r="LRI58" s="10"/>
      <c r="LRJ58" s="10"/>
      <c r="LRK58" s="10"/>
      <c r="LRL58" s="10"/>
      <c r="LRM58" s="10"/>
      <c r="LRN58" s="10"/>
      <c r="LRO58" s="10"/>
      <c r="LRP58" s="10"/>
      <c r="LRQ58" s="10"/>
      <c r="LRR58" s="10"/>
      <c r="LRS58" s="10"/>
      <c r="LRT58" s="10"/>
      <c r="LRU58" s="10"/>
      <c r="LRV58" s="10"/>
      <c r="LRW58" s="10"/>
      <c r="LRX58" s="10"/>
      <c r="LRY58" s="10"/>
      <c r="LRZ58" s="10"/>
      <c r="LSA58" s="10"/>
      <c r="LSB58" s="10"/>
      <c r="LSC58" s="10"/>
      <c r="LSD58" s="10"/>
      <c r="LSE58" s="10"/>
      <c r="LSF58" s="10"/>
      <c r="LSG58" s="10"/>
      <c r="LSH58" s="10"/>
      <c r="LSI58" s="10"/>
      <c r="LSJ58" s="10"/>
      <c r="LSK58" s="10"/>
      <c r="LSL58" s="10"/>
      <c r="LSM58" s="10"/>
      <c r="LSN58" s="10"/>
      <c r="LSO58" s="10"/>
      <c r="LSP58" s="10"/>
      <c r="LSQ58" s="10"/>
      <c r="LSR58" s="10"/>
      <c r="LSS58" s="10"/>
      <c r="LST58" s="10"/>
      <c r="LSU58" s="10"/>
      <c r="LSV58" s="10"/>
      <c r="LSW58" s="10"/>
      <c r="LSX58" s="10"/>
      <c r="LSY58" s="10"/>
      <c r="LSZ58" s="10"/>
      <c r="LTA58" s="10"/>
      <c r="LTB58" s="10"/>
      <c r="LTC58" s="10"/>
      <c r="LTD58" s="10"/>
      <c r="LTE58" s="10"/>
      <c r="LTF58" s="10"/>
      <c r="LTG58" s="10"/>
      <c r="LTH58" s="10"/>
      <c r="LTI58" s="10"/>
      <c r="LTJ58" s="10"/>
      <c r="LTK58" s="10"/>
      <c r="LTL58" s="10"/>
      <c r="LTM58" s="10"/>
      <c r="LTN58" s="10"/>
      <c r="LTO58" s="10"/>
      <c r="LTP58" s="10"/>
      <c r="LTQ58" s="10"/>
      <c r="LTR58" s="10"/>
      <c r="LTS58" s="10"/>
      <c r="LTT58" s="10"/>
      <c r="LTU58" s="10"/>
      <c r="LTV58" s="10"/>
      <c r="LTW58" s="10"/>
      <c r="LTX58" s="10"/>
      <c r="LTY58" s="10"/>
      <c r="LTZ58" s="10"/>
      <c r="LUA58" s="10"/>
      <c r="LUB58" s="10"/>
      <c r="LUC58" s="10"/>
      <c r="LUD58" s="10"/>
      <c r="LUE58" s="10"/>
      <c r="LUF58" s="10"/>
      <c r="LUG58" s="10"/>
      <c r="LUH58" s="10"/>
      <c r="LUI58" s="10"/>
      <c r="LUJ58" s="10"/>
      <c r="LUK58" s="10"/>
      <c r="LUL58" s="10"/>
      <c r="LUM58" s="10"/>
      <c r="LUN58" s="10"/>
      <c r="LUO58" s="10"/>
      <c r="LUP58" s="10"/>
      <c r="LUQ58" s="10"/>
      <c r="LUR58" s="10"/>
      <c r="LUS58" s="10"/>
      <c r="LUT58" s="10"/>
      <c r="LUU58" s="10"/>
      <c r="LUV58" s="10"/>
      <c r="LUW58" s="10"/>
      <c r="LUX58" s="10"/>
      <c r="LUY58" s="10"/>
      <c r="LUZ58" s="10"/>
      <c r="LVA58" s="10"/>
      <c r="LVB58" s="10"/>
      <c r="LVC58" s="10"/>
      <c r="LVD58" s="10"/>
      <c r="LVE58" s="10"/>
      <c r="LVF58" s="10"/>
      <c r="LVG58" s="10"/>
      <c r="LVH58" s="10"/>
      <c r="LVI58" s="10"/>
      <c r="LVJ58" s="10"/>
      <c r="LVK58" s="10"/>
      <c r="LVL58" s="10"/>
      <c r="LVM58" s="10"/>
      <c r="LVN58" s="10"/>
      <c r="LVO58" s="10"/>
      <c r="LVP58" s="10"/>
      <c r="LVQ58" s="10"/>
      <c r="LVR58" s="10"/>
      <c r="LVS58" s="10"/>
      <c r="LVT58" s="10"/>
      <c r="LVU58" s="10"/>
      <c r="LVV58" s="10"/>
      <c r="LVW58" s="10"/>
      <c r="LVX58" s="10"/>
      <c r="LVY58" s="10"/>
      <c r="LVZ58" s="10"/>
      <c r="LWA58" s="10"/>
      <c r="LWB58" s="10"/>
      <c r="LWC58" s="10"/>
      <c r="LWD58" s="10"/>
      <c r="LWE58" s="10"/>
      <c r="LWF58" s="10"/>
      <c r="LWG58" s="10"/>
      <c r="LWH58" s="10"/>
      <c r="LWI58" s="10"/>
      <c r="LWJ58" s="10"/>
      <c r="LWK58" s="10"/>
      <c r="LWL58" s="10"/>
      <c r="LWM58" s="10"/>
      <c r="LWN58" s="10"/>
      <c r="LWO58" s="10"/>
      <c r="LWP58" s="10"/>
      <c r="LWQ58" s="10"/>
      <c r="LWR58" s="10"/>
      <c r="LWS58" s="10"/>
      <c r="LWT58" s="10"/>
      <c r="LWU58" s="10"/>
      <c r="LWV58" s="10"/>
      <c r="LWW58" s="10"/>
      <c r="LWX58" s="10"/>
      <c r="LWY58" s="10"/>
      <c r="LWZ58" s="10"/>
      <c r="LXA58" s="10"/>
      <c r="LXB58" s="10"/>
      <c r="LXC58" s="10"/>
      <c r="LXD58" s="10"/>
      <c r="LXE58" s="10"/>
      <c r="LXF58" s="10"/>
      <c r="LXG58" s="10"/>
      <c r="LXH58" s="10"/>
      <c r="LXI58" s="10"/>
      <c r="LXJ58" s="10"/>
      <c r="LXK58" s="10"/>
      <c r="LXL58" s="10"/>
      <c r="LXM58" s="10"/>
      <c r="LXN58" s="10"/>
      <c r="LXO58" s="10"/>
      <c r="LXP58" s="10"/>
      <c r="LXQ58" s="10"/>
      <c r="LXR58" s="10"/>
      <c r="LXS58" s="10"/>
      <c r="LXT58" s="10"/>
      <c r="LXU58" s="10"/>
      <c r="LXV58" s="10"/>
      <c r="LXW58" s="10"/>
      <c r="LXX58" s="10"/>
      <c r="LXY58" s="10"/>
      <c r="LXZ58" s="10"/>
      <c r="LYA58" s="10"/>
      <c r="LYB58" s="10"/>
      <c r="LYC58" s="10"/>
      <c r="LYD58" s="10"/>
      <c r="LYE58" s="10"/>
      <c r="LYF58" s="10"/>
      <c r="LYG58" s="10"/>
      <c r="LYH58" s="10"/>
      <c r="LYI58" s="10"/>
      <c r="LYJ58" s="10"/>
      <c r="LYK58" s="10"/>
      <c r="LYL58" s="10"/>
      <c r="LYM58" s="10"/>
      <c r="LYN58" s="10"/>
      <c r="LYO58" s="10"/>
      <c r="LYP58" s="10"/>
      <c r="LYQ58" s="10"/>
      <c r="LYR58" s="10"/>
      <c r="LYS58" s="10"/>
      <c r="LYT58" s="10"/>
      <c r="LYU58" s="10"/>
      <c r="LYV58" s="10"/>
      <c r="LYW58" s="10"/>
      <c r="LYX58" s="10"/>
      <c r="LYY58" s="10"/>
      <c r="LYZ58" s="10"/>
      <c r="LZA58" s="10"/>
      <c r="LZB58" s="10"/>
      <c r="LZC58" s="10"/>
      <c r="LZD58" s="10"/>
      <c r="LZE58" s="10"/>
      <c r="LZF58" s="10"/>
      <c r="LZG58" s="10"/>
      <c r="LZH58" s="10"/>
      <c r="LZI58" s="10"/>
      <c r="LZJ58" s="10"/>
      <c r="LZK58" s="10"/>
      <c r="LZL58" s="10"/>
      <c r="LZM58" s="10"/>
      <c r="LZN58" s="10"/>
      <c r="LZO58" s="10"/>
      <c r="LZP58" s="10"/>
      <c r="LZQ58" s="10"/>
      <c r="LZR58" s="10"/>
      <c r="LZS58" s="10"/>
      <c r="LZT58" s="10"/>
      <c r="LZU58" s="10"/>
      <c r="LZV58" s="10"/>
      <c r="LZW58" s="10"/>
      <c r="LZX58" s="10"/>
      <c r="LZY58" s="10"/>
      <c r="LZZ58" s="10"/>
      <c r="MAA58" s="10"/>
      <c r="MAB58" s="10"/>
      <c r="MAC58" s="10"/>
      <c r="MAD58" s="10"/>
      <c r="MAE58" s="10"/>
      <c r="MAF58" s="10"/>
      <c r="MAG58" s="10"/>
      <c r="MAH58" s="10"/>
      <c r="MAI58" s="10"/>
      <c r="MAJ58" s="10"/>
      <c r="MAK58" s="10"/>
      <c r="MAL58" s="10"/>
      <c r="MAM58" s="10"/>
      <c r="MAN58" s="10"/>
      <c r="MAO58" s="10"/>
      <c r="MAP58" s="10"/>
      <c r="MAQ58" s="10"/>
      <c r="MAR58" s="10"/>
      <c r="MAS58" s="10"/>
      <c r="MAT58" s="10"/>
      <c r="MAU58" s="10"/>
      <c r="MAV58" s="10"/>
      <c r="MAW58" s="10"/>
      <c r="MAX58" s="10"/>
      <c r="MAY58" s="10"/>
      <c r="MAZ58" s="10"/>
      <c r="MBA58" s="10"/>
      <c r="MBB58" s="10"/>
      <c r="MBC58" s="10"/>
      <c r="MBD58" s="10"/>
      <c r="MBE58" s="10"/>
      <c r="MBF58" s="10"/>
      <c r="MBG58" s="10"/>
      <c r="MBH58" s="10"/>
      <c r="MBI58" s="10"/>
      <c r="MBJ58" s="10"/>
      <c r="MBK58" s="10"/>
      <c r="MBL58" s="10"/>
      <c r="MBM58" s="10"/>
      <c r="MBN58" s="10"/>
      <c r="MBO58" s="10"/>
      <c r="MBP58" s="10"/>
      <c r="MBQ58" s="10"/>
      <c r="MBR58" s="10"/>
      <c r="MBS58" s="10"/>
      <c r="MBT58" s="10"/>
      <c r="MBU58" s="10"/>
      <c r="MBV58" s="10"/>
      <c r="MBW58" s="10"/>
      <c r="MBX58" s="10"/>
      <c r="MBY58" s="10"/>
      <c r="MBZ58" s="10"/>
      <c r="MCA58" s="10"/>
      <c r="MCB58" s="10"/>
      <c r="MCC58" s="10"/>
      <c r="MCD58" s="10"/>
      <c r="MCE58" s="10"/>
      <c r="MCF58" s="10"/>
      <c r="MCG58" s="10"/>
      <c r="MCH58" s="10"/>
      <c r="MCI58" s="10"/>
      <c r="MCJ58" s="10"/>
      <c r="MCK58" s="10"/>
      <c r="MCL58" s="10"/>
      <c r="MCM58" s="10"/>
      <c r="MCN58" s="10"/>
      <c r="MCO58" s="10"/>
      <c r="MCP58" s="10"/>
      <c r="MCQ58" s="10"/>
      <c r="MCR58" s="10"/>
      <c r="MCS58" s="10"/>
      <c r="MCT58" s="10"/>
      <c r="MCU58" s="10"/>
      <c r="MCV58" s="10"/>
      <c r="MCW58" s="10"/>
      <c r="MCX58" s="10"/>
      <c r="MCY58" s="10"/>
      <c r="MCZ58" s="10"/>
      <c r="MDA58" s="10"/>
      <c r="MDB58" s="10"/>
      <c r="MDC58" s="10"/>
      <c r="MDD58" s="10"/>
      <c r="MDE58" s="10"/>
      <c r="MDF58" s="10"/>
      <c r="MDG58" s="10"/>
      <c r="MDH58" s="10"/>
      <c r="MDI58" s="10"/>
      <c r="MDJ58" s="10"/>
      <c r="MDK58" s="10"/>
      <c r="MDL58" s="10"/>
      <c r="MDM58" s="10"/>
      <c r="MDN58" s="10"/>
      <c r="MDO58" s="10"/>
      <c r="MDP58" s="10"/>
      <c r="MDQ58" s="10"/>
      <c r="MDR58" s="10"/>
      <c r="MDS58" s="10"/>
      <c r="MDT58" s="10"/>
      <c r="MDU58" s="10"/>
      <c r="MDV58" s="10"/>
      <c r="MDW58" s="10"/>
      <c r="MDX58" s="10"/>
      <c r="MDY58" s="10"/>
      <c r="MDZ58" s="10"/>
      <c r="MEA58" s="10"/>
      <c r="MEB58" s="10"/>
      <c r="MEC58" s="10"/>
      <c r="MED58" s="10"/>
      <c r="MEE58" s="10"/>
      <c r="MEF58" s="10"/>
      <c r="MEG58" s="10"/>
      <c r="MEH58" s="10"/>
      <c r="MEI58" s="10"/>
      <c r="MEJ58" s="10"/>
      <c r="MEK58" s="10"/>
      <c r="MEL58" s="10"/>
      <c r="MEM58" s="10"/>
      <c r="MEN58" s="10"/>
      <c r="MEO58" s="10"/>
      <c r="MEP58" s="10"/>
      <c r="MEQ58" s="10"/>
      <c r="MER58" s="10"/>
      <c r="MES58" s="10"/>
      <c r="MET58" s="10"/>
      <c r="MEU58" s="10"/>
      <c r="MEV58" s="10"/>
      <c r="MEW58" s="10"/>
      <c r="MEX58" s="10"/>
      <c r="MEY58" s="10"/>
      <c r="MEZ58" s="10"/>
      <c r="MFA58" s="10"/>
      <c r="MFB58" s="10"/>
      <c r="MFC58" s="10"/>
      <c r="MFD58" s="10"/>
      <c r="MFE58" s="10"/>
      <c r="MFF58" s="10"/>
      <c r="MFG58" s="10"/>
      <c r="MFH58" s="10"/>
      <c r="MFI58" s="10"/>
      <c r="MFJ58" s="10"/>
      <c r="MFK58" s="10"/>
      <c r="MFL58" s="10"/>
      <c r="MFM58" s="10"/>
      <c r="MFN58" s="10"/>
      <c r="MFO58" s="10"/>
      <c r="MFP58" s="10"/>
      <c r="MFQ58" s="10"/>
      <c r="MFR58" s="10"/>
      <c r="MFS58" s="10"/>
      <c r="MFT58" s="10"/>
      <c r="MFU58" s="10"/>
      <c r="MFV58" s="10"/>
      <c r="MFW58" s="10"/>
      <c r="MFX58" s="10"/>
      <c r="MFY58" s="10"/>
      <c r="MFZ58" s="10"/>
      <c r="MGA58" s="10"/>
      <c r="MGB58" s="10"/>
      <c r="MGC58" s="10"/>
      <c r="MGD58" s="10"/>
      <c r="MGE58" s="10"/>
      <c r="MGF58" s="10"/>
      <c r="MGG58" s="10"/>
      <c r="MGH58" s="10"/>
      <c r="MGI58" s="10"/>
      <c r="MGJ58" s="10"/>
      <c r="MGK58" s="10"/>
      <c r="MGL58" s="10"/>
      <c r="MGM58" s="10"/>
      <c r="MGN58" s="10"/>
      <c r="MGO58" s="10"/>
      <c r="MGP58" s="10"/>
      <c r="MGQ58" s="10"/>
      <c r="MGR58" s="10"/>
      <c r="MGS58" s="10"/>
      <c r="MGT58" s="10"/>
      <c r="MGU58" s="10"/>
      <c r="MGV58" s="10"/>
      <c r="MGW58" s="10"/>
      <c r="MGX58" s="10"/>
      <c r="MGY58" s="10"/>
      <c r="MGZ58" s="10"/>
      <c r="MHA58" s="10"/>
      <c r="MHB58" s="10"/>
      <c r="MHC58" s="10"/>
      <c r="MHD58" s="10"/>
      <c r="MHE58" s="10"/>
      <c r="MHF58" s="10"/>
      <c r="MHG58" s="10"/>
      <c r="MHH58" s="10"/>
      <c r="MHI58" s="10"/>
      <c r="MHJ58" s="10"/>
      <c r="MHK58" s="10"/>
      <c r="MHL58" s="10"/>
      <c r="MHM58" s="10"/>
      <c r="MHN58" s="10"/>
      <c r="MHO58" s="10"/>
      <c r="MHP58" s="10"/>
      <c r="MHQ58" s="10"/>
      <c r="MHR58" s="10"/>
      <c r="MHS58" s="10"/>
      <c r="MHT58" s="10"/>
      <c r="MHU58" s="10"/>
      <c r="MHV58" s="10"/>
      <c r="MHW58" s="10"/>
      <c r="MHX58" s="10"/>
      <c r="MHY58" s="10"/>
      <c r="MHZ58" s="10"/>
      <c r="MIA58" s="10"/>
      <c r="MIB58" s="10"/>
      <c r="MIC58" s="10"/>
      <c r="MID58" s="10"/>
      <c r="MIE58" s="10"/>
      <c r="MIF58" s="10"/>
      <c r="MIG58" s="10"/>
      <c r="MIH58" s="10"/>
      <c r="MII58" s="10"/>
      <c r="MIJ58" s="10"/>
      <c r="MIK58" s="10"/>
      <c r="MIL58" s="10"/>
      <c r="MIM58" s="10"/>
      <c r="MIN58" s="10"/>
      <c r="MIO58" s="10"/>
      <c r="MIP58" s="10"/>
      <c r="MIQ58" s="10"/>
      <c r="MIR58" s="10"/>
      <c r="MIS58" s="10"/>
      <c r="MIT58" s="10"/>
      <c r="MIU58" s="10"/>
      <c r="MIV58" s="10"/>
      <c r="MIW58" s="10"/>
      <c r="MIX58" s="10"/>
      <c r="MIY58" s="10"/>
      <c r="MIZ58" s="10"/>
      <c r="MJA58" s="10"/>
      <c r="MJB58" s="10"/>
      <c r="MJC58" s="10"/>
      <c r="MJD58" s="10"/>
      <c r="MJE58" s="10"/>
      <c r="MJF58" s="10"/>
      <c r="MJG58" s="10"/>
      <c r="MJH58" s="10"/>
      <c r="MJI58" s="10"/>
      <c r="MJJ58" s="10"/>
      <c r="MJK58" s="10"/>
      <c r="MJL58" s="10"/>
      <c r="MJM58" s="10"/>
      <c r="MJN58" s="10"/>
      <c r="MJO58" s="10"/>
      <c r="MJP58" s="10"/>
      <c r="MJQ58" s="10"/>
      <c r="MJR58" s="10"/>
      <c r="MJS58" s="10"/>
      <c r="MJT58" s="10"/>
      <c r="MJU58" s="10"/>
      <c r="MJV58" s="10"/>
      <c r="MJW58" s="10"/>
      <c r="MJX58" s="10"/>
      <c r="MJY58" s="10"/>
      <c r="MJZ58" s="10"/>
      <c r="MKA58" s="10"/>
      <c r="MKB58" s="10"/>
      <c r="MKC58" s="10"/>
      <c r="MKD58" s="10"/>
      <c r="MKE58" s="10"/>
      <c r="MKF58" s="10"/>
      <c r="MKG58" s="10"/>
      <c r="MKH58" s="10"/>
      <c r="MKI58" s="10"/>
      <c r="MKJ58" s="10"/>
      <c r="MKK58" s="10"/>
      <c r="MKL58" s="10"/>
      <c r="MKM58" s="10"/>
      <c r="MKN58" s="10"/>
      <c r="MKO58" s="10"/>
      <c r="MKP58" s="10"/>
      <c r="MKQ58" s="10"/>
      <c r="MKR58" s="10"/>
      <c r="MKS58" s="10"/>
      <c r="MKT58" s="10"/>
      <c r="MKU58" s="10"/>
      <c r="MKV58" s="10"/>
      <c r="MKW58" s="10"/>
      <c r="MKX58" s="10"/>
      <c r="MKY58" s="10"/>
      <c r="MKZ58" s="10"/>
      <c r="MLA58" s="10"/>
      <c r="MLB58" s="10"/>
      <c r="MLC58" s="10"/>
      <c r="MLD58" s="10"/>
      <c r="MLE58" s="10"/>
      <c r="MLF58" s="10"/>
      <c r="MLG58" s="10"/>
      <c r="MLH58" s="10"/>
      <c r="MLI58" s="10"/>
      <c r="MLJ58" s="10"/>
      <c r="MLK58" s="10"/>
      <c r="MLL58" s="10"/>
      <c r="MLM58" s="10"/>
      <c r="MLN58" s="10"/>
      <c r="MLO58" s="10"/>
      <c r="MLP58" s="10"/>
      <c r="MLQ58" s="10"/>
      <c r="MLR58" s="10"/>
      <c r="MLS58" s="10"/>
      <c r="MLT58" s="10"/>
      <c r="MLU58" s="10"/>
      <c r="MLV58" s="10"/>
      <c r="MLW58" s="10"/>
      <c r="MLX58" s="10"/>
      <c r="MLY58" s="10"/>
      <c r="MLZ58" s="10"/>
      <c r="MMA58" s="10"/>
      <c r="MMB58" s="10"/>
      <c r="MMC58" s="10"/>
      <c r="MMD58" s="10"/>
      <c r="MME58" s="10"/>
      <c r="MMF58" s="10"/>
      <c r="MMG58" s="10"/>
      <c r="MMH58" s="10"/>
      <c r="MMI58" s="10"/>
      <c r="MMJ58" s="10"/>
      <c r="MMK58" s="10"/>
      <c r="MML58" s="10"/>
      <c r="MMM58" s="10"/>
      <c r="MMN58" s="10"/>
      <c r="MMO58" s="10"/>
      <c r="MMP58" s="10"/>
      <c r="MMQ58" s="10"/>
      <c r="MMR58" s="10"/>
      <c r="MMS58" s="10"/>
      <c r="MMT58" s="10"/>
      <c r="MMU58" s="10"/>
      <c r="MMV58" s="10"/>
      <c r="MMW58" s="10"/>
      <c r="MMX58" s="10"/>
      <c r="MMY58" s="10"/>
      <c r="MMZ58" s="10"/>
      <c r="MNA58" s="10"/>
      <c r="MNB58" s="10"/>
      <c r="MNC58" s="10"/>
      <c r="MND58" s="10"/>
      <c r="MNE58" s="10"/>
      <c r="MNF58" s="10"/>
      <c r="MNG58" s="10"/>
      <c r="MNH58" s="10"/>
      <c r="MNI58" s="10"/>
      <c r="MNJ58" s="10"/>
      <c r="MNK58" s="10"/>
      <c r="MNL58" s="10"/>
      <c r="MNM58" s="10"/>
      <c r="MNN58" s="10"/>
      <c r="MNO58" s="10"/>
      <c r="MNP58" s="10"/>
      <c r="MNQ58" s="10"/>
      <c r="MNR58" s="10"/>
      <c r="MNS58" s="10"/>
      <c r="MNT58" s="10"/>
      <c r="MNU58" s="10"/>
      <c r="MNV58" s="10"/>
      <c r="MNW58" s="10"/>
      <c r="MNX58" s="10"/>
      <c r="MNY58" s="10"/>
      <c r="MNZ58" s="10"/>
      <c r="MOA58" s="10"/>
      <c r="MOB58" s="10"/>
      <c r="MOC58" s="10"/>
      <c r="MOD58" s="10"/>
      <c r="MOE58" s="10"/>
      <c r="MOF58" s="10"/>
      <c r="MOG58" s="10"/>
      <c r="MOH58" s="10"/>
      <c r="MOI58" s="10"/>
      <c r="MOJ58" s="10"/>
      <c r="MOK58" s="10"/>
      <c r="MOL58" s="10"/>
      <c r="MOM58" s="10"/>
      <c r="MON58" s="10"/>
      <c r="MOO58" s="10"/>
      <c r="MOP58" s="10"/>
      <c r="MOQ58" s="10"/>
      <c r="MOR58" s="10"/>
      <c r="MOS58" s="10"/>
      <c r="MOT58" s="10"/>
      <c r="MOU58" s="10"/>
      <c r="MOV58" s="10"/>
      <c r="MOW58" s="10"/>
      <c r="MOX58" s="10"/>
      <c r="MOY58" s="10"/>
      <c r="MOZ58" s="10"/>
      <c r="MPA58" s="10"/>
      <c r="MPB58" s="10"/>
      <c r="MPC58" s="10"/>
      <c r="MPD58" s="10"/>
      <c r="MPE58" s="10"/>
      <c r="MPF58" s="10"/>
      <c r="MPG58" s="10"/>
      <c r="MPH58" s="10"/>
      <c r="MPI58" s="10"/>
      <c r="MPJ58" s="10"/>
      <c r="MPK58" s="10"/>
      <c r="MPL58" s="10"/>
      <c r="MPM58" s="10"/>
      <c r="MPN58" s="10"/>
      <c r="MPO58" s="10"/>
      <c r="MPP58" s="10"/>
      <c r="MPQ58" s="10"/>
      <c r="MPR58" s="10"/>
      <c r="MPS58" s="10"/>
      <c r="MPT58" s="10"/>
      <c r="MPU58" s="10"/>
      <c r="MPV58" s="10"/>
      <c r="MPW58" s="10"/>
      <c r="MPX58" s="10"/>
      <c r="MPY58" s="10"/>
      <c r="MPZ58" s="10"/>
      <c r="MQA58" s="10"/>
      <c r="MQB58" s="10"/>
      <c r="MQC58" s="10"/>
      <c r="MQD58" s="10"/>
      <c r="MQE58" s="10"/>
      <c r="MQF58" s="10"/>
      <c r="MQG58" s="10"/>
      <c r="MQH58" s="10"/>
      <c r="MQI58" s="10"/>
      <c r="MQJ58" s="10"/>
      <c r="MQK58" s="10"/>
      <c r="MQL58" s="10"/>
      <c r="MQM58" s="10"/>
      <c r="MQN58" s="10"/>
      <c r="MQO58" s="10"/>
      <c r="MQP58" s="10"/>
      <c r="MQQ58" s="10"/>
      <c r="MQR58" s="10"/>
      <c r="MQS58" s="10"/>
      <c r="MQT58" s="10"/>
      <c r="MQU58" s="10"/>
      <c r="MQV58" s="10"/>
      <c r="MQW58" s="10"/>
      <c r="MQX58" s="10"/>
      <c r="MQY58" s="10"/>
      <c r="MQZ58" s="10"/>
      <c r="MRA58" s="10"/>
      <c r="MRB58" s="10"/>
      <c r="MRC58" s="10"/>
      <c r="MRD58" s="10"/>
      <c r="MRE58" s="10"/>
      <c r="MRF58" s="10"/>
      <c r="MRG58" s="10"/>
      <c r="MRH58" s="10"/>
      <c r="MRI58" s="10"/>
      <c r="MRJ58" s="10"/>
      <c r="MRK58" s="10"/>
      <c r="MRL58" s="10"/>
      <c r="MRM58" s="10"/>
      <c r="MRN58" s="10"/>
      <c r="MRO58" s="10"/>
      <c r="MRP58" s="10"/>
      <c r="MRQ58" s="10"/>
      <c r="MRR58" s="10"/>
      <c r="MRS58" s="10"/>
      <c r="MRT58" s="10"/>
      <c r="MRU58" s="10"/>
      <c r="MRV58" s="10"/>
      <c r="MRW58" s="10"/>
      <c r="MRX58" s="10"/>
      <c r="MRY58" s="10"/>
      <c r="MRZ58" s="10"/>
      <c r="MSA58" s="10"/>
      <c r="MSB58" s="10"/>
      <c r="MSC58" s="10"/>
      <c r="MSD58" s="10"/>
      <c r="MSE58" s="10"/>
      <c r="MSF58" s="10"/>
      <c r="MSG58" s="10"/>
      <c r="MSH58" s="10"/>
      <c r="MSI58" s="10"/>
      <c r="MSJ58" s="10"/>
      <c r="MSK58" s="10"/>
      <c r="MSL58" s="10"/>
      <c r="MSM58" s="10"/>
      <c r="MSN58" s="10"/>
      <c r="MSO58" s="10"/>
      <c r="MSP58" s="10"/>
      <c r="MSQ58" s="10"/>
      <c r="MSR58" s="10"/>
      <c r="MSS58" s="10"/>
      <c r="MST58" s="10"/>
      <c r="MSU58" s="10"/>
      <c r="MSV58" s="10"/>
      <c r="MSW58" s="10"/>
      <c r="MSX58" s="10"/>
      <c r="MSY58" s="10"/>
      <c r="MSZ58" s="10"/>
      <c r="MTA58" s="10"/>
      <c r="MTB58" s="10"/>
      <c r="MTC58" s="10"/>
      <c r="MTD58" s="10"/>
      <c r="MTE58" s="10"/>
      <c r="MTF58" s="10"/>
      <c r="MTG58" s="10"/>
      <c r="MTH58" s="10"/>
      <c r="MTI58" s="10"/>
      <c r="MTJ58" s="10"/>
      <c r="MTK58" s="10"/>
      <c r="MTL58" s="10"/>
      <c r="MTM58" s="10"/>
      <c r="MTN58" s="10"/>
      <c r="MTO58" s="10"/>
      <c r="MTP58" s="10"/>
      <c r="MTQ58" s="10"/>
      <c r="MTR58" s="10"/>
      <c r="MTS58" s="10"/>
      <c r="MTT58" s="10"/>
      <c r="MTU58" s="10"/>
      <c r="MTV58" s="10"/>
      <c r="MTW58" s="10"/>
      <c r="MTX58" s="10"/>
      <c r="MTY58" s="10"/>
      <c r="MTZ58" s="10"/>
      <c r="MUA58" s="10"/>
      <c r="MUB58" s="10"/>
      <c r="MUC58" s="10"/>
      <c r="MUD58" s="10"/>
      <c r="MUE58" s="10"/>
      <c r="MUF58" s="10"/>
      <c r="MUG58" s="10"/>
      <c r="MUH58" s="10"/>
      <c r="MUI58" s="10"/>
      <c r="MUJ58" s="10"/>
      <c r="MUK58" s="10"/>
      <c r="MUL58" s="10"/>
      <c r="MUM58" s="10"/>
      <c r="MUN58" s="10"/>
      <c r="MUO58" s="10"/>
      <c r="MUP58" s="10"/>
      <c r="MUQ58" s="10"/>
      <c r="MUR58" s="10"/>
      <c r="MUS58" s="10"/>
      <c r="MUT58" s="10"/>
      <c r="MUU58" s="10"/>
      <c r="MUV58" s="10"/>
      <c r="MUW58" s="10"/>
      <c r="MUX58" s="10"/>
      <c r="MUY58" s="10"/>
      <c r="MUZ58" s="10"/>
      <c r="MVA58" s="10"/>
      <c r="MVB58" s="10"/>
      <c r="MVC58" s="10"/>
      <c r="MVD58" s="10"/>
      <c r="MVE58" s="10"/>
      <c r="MVF58" s="10"/>
      <c r="MVG58" s="10"/>
      <c r="MVH58" s="10"/>
      <c r="MVI58" s="10"/>
      <c r="MVJ58" s="10"/>
      <c r="MVK58" s="10"/>
      <c r="MVL58" s="10"/>
      <c r="MVM58" s="10"/>
      <c r="MVN58" s="10"/>
      <c r="MVO58" s="10"/>
      <c r="MVP58" s="10"/>
      <c r="MVQ58" s="10"/>
      <c r="MVR58" s="10"/>
      <c r="MVS58" s="10"/>
      <c r="MVT58" s="10"/>
      <c r="MVU58" s="10"/>
      <c r="MVV58" s="10"/>
      <c r="MVW58" s="10"/>
      <c r="MVX58" s="10"/>
      <c r="MVY58" s="10"/>
      <c r="MVZ58" s="10"/>
      <c r="MWA58" s="10"/>
      <c r="MWB58" s="10"/>
      <c r="MWC58" s="10"/>
      <c r="MWD58" s="10"/>
      <c r="MWE58" s="10"/>
      <c r="MWF58" s="10"/>
      <c r="MWG58" s="10"/>
      <c r="MWH58" s="10"/>
      <c r="MWI58" s="10"/>
      <c r="MWJ58" s="10"/>
      <c r="MWK58" s="10"/>
      <c r="MWL58" s="10"/>
      <c r="MWM58" s="10"/>
      <c r="MWN58" s="10"/>
      <c r="MWO58" s="10"/>
      <c r="MWP58" s="10"/>
      <c r="MWQ58" s="10"/>
      <c r="MWR58" s="10"/>
      <c r="MWS58" s="10"/>
      <c r="MWT58" s="10"/>
      <c r="MWU58" s="10"/>
      <c r="MWV58" s="10"/>
      <c r="MWW58" s="10"/>
      <c r="MWX58" s="10"/>
      <c r="MWY58" s="10"/>
      <c r="MWZ58" s="10"/>
      <c r="MXA58" s="10"/>
      <c r="MXB58" s="10"/>
      <c r="MXC58" s="10"/>
      <c r="MXD58" s="10"/>
      <c r="MXE58" s="10"/>
      <c r="MXF58" s="10"/>
      <c r="MXG58" s="10"/>
      <c r="MXH58" s="10"/>
      <c r="MXI58" s="10"/>
      <c r="MXJ58" s="10"/>
      <c r="MXK58" s="10"/>
      <c r="MXL58" s="10"/>
      <c r="MXM58" s="10"/>
      <c r="MXN58" s="10"/>
      <c r="MXO58" s="10"/>
      <c r="MXP58" s="10"/>
      <c r="MXQ58" s="10"/>
      <c r="MXR58" s="10"/>
      <c r="MXS58" s="10"/>
      <c r="MXT58" s="10"/>
      <c r="MXU58" s="10"/>
      <c r="MXV58" s="10"/>
      <c r="MXW58" s="10"/>
      <c r="MXX58" s="10"/>
      <c r="MXY58" s="10"/>
      <c r="MXZ58" s="10"/>
      <c r="MYA58" s="10"/>
      <c r="MYB58" s="10"/>
      <c r="MYC58" s="10"/>
      <c r="MYD58" s="10"/>
      <c r="MYE58" s="10"/>
      <c r="MYF58" s="10"/>
      <c r="MYG58" s="10"/>
      <c r="MYH58" s="10"/>
      <c r="MYI58" s="10"/>
      <c r="MYJ58" s="10"/>
      <c r="MYK58" s="10"/>
      <c r="MYL58" s="10"/>
      <c r="MYM58" s="10"/>
      <c r="MYN58" s="10"/>
      <c r="MYO58" s="10"/>
      <c r="MYP58" s="10"/>
      <c r="MYQ58" s="10"/>
      <c r="MYR58" s="10"/>
      <c r="MYS58" s="10"/>
      <c r="MYT58" s="10"/>
      <c r="MYU58" s="10"/>
      <c r="MYV58" s="10"/>
      <c r="MYW58" s="10"/>
      <c r="MYX58" s="10"/>
      <c r="MYY58" s="10"/>
      <c r="MYZ58" s="10"/>
      <c r="MZA58" s="10"/>
      <c r="MZB58" s="10"/>
      <c r="MZC58" s="10"/>
      <c r="MZD58" s="10"/>
      <c r="MZE58" s="10"/>
      <c r="MZF58" s="10"/>
      <c r="MZG58" s="10"/>
      <c r="MZH58" s="10"/>
      <c r="MZI58" s="10"/>
      <c r="MZJ58" s="10"/>
      <c r="MZK58" s="10"/>
      <c r="MZL58" s="10"/>
      <c r="MZM58" s="10"/>
      <c r="MZN58" s="10"/>
      <c r="MZO58" s="10"/>
      <c r="MZP58" s="10"/>
      <c r="MZQ58" s="10"/>
      <c r="MZR58" s="10"/>
      <c r="MZS58" s="10"/>
      <c r="MZT58" s="10"/>
      <c r="MZU58" s="10"/>
      <c r="MZV58" s="10"/>
      <c r="MZW58" s="10"/>
      <c r="MZX58" s="10"/>
      <c r="MZY58" s="10"/>
      <c r="MZZ58" s="10"/>
      <c r="NAA58" s="10"/>
      <c r="NAB58" s="10"/>
      <c r="NAC58" s="10"/>
      <c r="NAD58" s="10"/>
      <c r="NAE58" s="10"/>
      <c r="NAF58" s="10"/>
      <c r="NAG58" s="10"/>
      <c r="NAH58" s="10"/>
      <c r="NAI58" s="10"/>
      <c r="NAJ58" s="10"/>
      <c r="NAK58" s="10"/>
      <c r="NAL58" s="10"/>
      <c r="NAM58" s="10"/>
      <c r="NAN58" s="10"/>
      <c r="NAO58" s="10"/>
      <c r="NAP58" s="10"/>
      <c r="NAQ58" s="10"/>
      <c r="NAR58" s="10"/>
      <c r="NAS58" s="10"/>
      <c r="NAT58" s="10"/>
      <c r="NAU58" s="10"/>
      <c r="NAV58" s="10"/>
      <c r="NAW58" s="10"/>
      <c r="NAX58" s="10"/>
      <c r="NAY58" s="10"/>
      <c r="NAZ58" s="10"/>
      <c r="NBA58" s="10"/>
      <c r="NBB58" s="10"/>
      <c r="NBC58" s="10"/>
      <c r="NBD58" s="10"/>
      <c r="NBE58" s="10"/>
      <c r="NBF58" s="10"/>
      <c r="NBG58" s="10"/>
      <c r="NBH58" s="10"/>
      <c r="NBI58" s="10"/>
      <c r="NBJ58" s="10"/>
      <c r="NBK58" s="10"/>
      <c r="NBL58" s="10"/>
      <c r="NBM58" s="10"/>
      <c r="NBN58" s="10"/>
      <c r="NBO58" s="10"/>
      <c r="NBP58" s="10"/>
      <c r="NBQ58" s="10"/>
      <c r="NBR58" s="10"/>
      <c r="NBS58" s="10"/>
      <c r="NBT58" s="10"/>
      <c r="NBU58" s="10"/>
      <c r="NBV58" s="10"/>
      <c r="NBW58" s="10"/>
      <c r="NBX58" s="10"/>
      <c r="NBY58" s="10"/>
      <c r="NBZ58" s="10"/>
      <c r="NCA58" s="10"/>
      <c r="NCB58" s="10"/>
      <c r="NCC58" s="10"/>
      <c r="NCD58" s="10"/>
      <c r="NCE58" s="10"/>
      <c r="NCF58" s="10"/>
      <c r="NCG58" s="10"/>
      <c r="NCH58" s="10"/>
      <c r="NCI58" s="10"/>
      <c r="NCJ58" s="10"/>
      <c r="NCK58" s="10"/>
      <c r="NCL58" s="10"/>
      <c r="NCM58" s="10"/>
      <c r="NCN58" s="10"/>
      <c r="NCO58" s="10"/>
      <c r="NCP58" s="10"/>
      <c r="NCQ58" s="10"/>
      <c r="NCR58" s="10"/>
      <c r="NCS58" s="10"/>
      <c r="NCT58" s="10"/>
      <c r="NCU58" s="10"/>
      <c r="NCV58" s="10"/>
      <c r="NCW58" s="10"/>
      <c r="NCX58" s="10"/>
      <c r="NCY58" s="10"/>
      <c r="NCZ58" s="10"/>
      <c r="NDA58" s="10"/>
      <c r="NDB58" s="10"/>
      <c r="NDC58" s="10"/>
      <c r="NDD58" s="10"/>
      <c r="NDE58" s="10"/>
      <c r="NDF58" s="10"/>
      <c r="NDG58" s="10"/>
      <c r="NDH58" s="10"/>
      <c r="NDI58" s="10"/>
      <c r="NDJ58" s="10"/>
      <c r="NDK58" s="10"/>
      <c r="NDL58" s="10"/>
      <c r="NDM58" s="10"/>
      <c r="NDN58" s="10"/>
      <c r="NDO58" s="10"/>
      <c r="NDP58" s="10"/>
      <c r="NDQ58" s="10"/>
      <c r="NDR58" s="10"/>
      <c r="NDS58" s="10"/>
      <c r="NDT58" s="10"/>
      <c r="NDU58" s="10"/>
      <c r="NDV58" s="10"/>
      <c r="NDW58" s="10"/>
      <c r="NDX58" s="10"/>
      <c r="NDY58" s="10"/>
      <c r="NDZ58" s="10"/>
      <c r="NEA58" s="10"/>
      <c r="NEB58" s="10"/>
      <c r="NEC58" s="10"/>
      <c r="NED58" s="10"/>
      <c r="NEE58" s="10"/>
      <c r="NEF58" s="10"/>
      <c r="NEG58" s="10"/>
      <c r="NEH58" s="10"/>
      <c r="NEI58" s="10"/>
      <c r="NEJ58" s="10"/>
      <c r="NEK58" s="10"/>
      <c r="NEL58" s="10"/>
      <c r="NEM58" s="10"/>
      <c r="NEN58" s="10"/>
      <c r="NEO58" s="10"/>
      <c r="NEP58" s="10"/>
      <c r="NEQ58" s="10"/>
      <c r="NER58" s="10"/>
      <c r="NES58" s="10"/>
      <c r="NET58" s="10"/>
      <c r="NEU58" s="10"/>
      <c r="NEV58" s="10"/>
      <c r="NEW58" s="10"/>
      <c r="NEX58" s="10"/>
      <c r="NEY58" s="10"/>
      <c r="NEZ58" s="10"/>
      <c r="NFA58" s="10"/>
      <c r="NFB58" s="10"/>
      <c r="NFC58" s="10"/>
      <c r="NFD58" s="10"/>
      <c r="NFE58" s="10"/>
      <c r="NFF58" s="10"/>
      <c r="NFG58" s="10"/>
      <c r="NFH58" s="10"/>
      <c r="NFI58" s="10"/>
      <c r="NFJ58" s="10"/>
      <c r="NFK58" s="10"/>
      <c r="NFL58" s="10"/>
      <c r="NFM58" s="10"/>
      <c r="NFN58" s="10"/>
      <c r="NFO58" s="10"/>
      <c r="NFP58" s="10"/>
      <c r="NFQ58" s="10"/>
      <c r="NFR58" s="10"/>
      <c r="NFS58" s="10"/>
      <c r="NFT58" s="10"/>
      <c r="NFU58" s="10"/>
      <c r="NFV58" s="10"/>
      <c r="NFW58" s="10"/>
      <c r="NFX58" s="10"/>
      <c r="NFY58" s="10"/>
      <c r="NFZ58" s="10"/>
      <c r="NGA58" s="10"/>
      <c r="NGB58" s="10"/>
      <c r="NGC58" s="10"/>
      <c r="NGD58" s="10"/>
      <c r="NGE58" s="10"/>
      <c r="NGF58" s="10"/>
      <c r="NGG58" s="10"/>
      <c r="NGH58" s="10"/>
      <c r="NGI58" s="10"/>
      <c r="NGJ58" s="10"/>
      <c r="NGK58" s="10"/>
      <c r="NGL58" s="10"/>
      <c r="NGM58" s="10"/>
      <c r="NGN58" s="10"/>
      <c r="NGO58" s="10"/>
      <c r="NGP58" s="10"/>
      <c r="NGQ58" s="10"/>
      <c r="NGR58" s="10"/>
      <c r="NGS58" s="10"/>
      <c r="NGT58" s="10"/>
      <c r="NGU58" s="10"/>
      <c r="NGV58" s="10"/>
      <c r="NGW58" s="10"/>
      <c r="NGX58" s="10"/>
      <c r="NGY58" s="10"/>
      <c r="NGZ58" s="10"/>
      <c r="NHA58" s="10"/>
      <c r="NHB58" s="10"/>
      <c r="NHC58" s="10"/>
      <c r="NHD58" s="10"/>
      <c r="NHE58" s="10"/>
      <c r="NHF58" s="10"/>
      <c r="NHG58" s="10"/>
      <c r="NHH58" s="10"/>
      <c r="NHI58" s="10"/>
      <c r="NHJ58" s="10"/>
      <c r="NHK58" s="10"/>
      <c r="NHL58" s="10"/>
      <c r="NHM58" s="10"/>
      <c r="NHN58" s="10"/>
      <c r="NHO58" s="10"/>
      <c r="NHP58" s="10"/>
      <c r="NHQ58" s="10"/>
      <c r="NHR58" s="10"/>
      <c r="NHS58" s="10"/>
      <c r="NHT58" s="10"/>
      <c r="NHU58" s="10"/>
      <c r="NHV58" s="10"/>
      <c r="NHW58" s="10"/>
      <c r="NHX58" s="10"/>
      <c r="NHY58" s="10"/>
      <c r="NHZ58" s="10"/>
      <c r="NIA58" s="10"/>
      <c r="NIB58" s="10"/>
      <c r="NIC58" s="10"/>
      <c r="NID58" s="10"/>
      <c r="NIE58" s="10"/>
      <c r="NIF58" s="10"/>
      <c r="NIG58" s="10"/>
      <c r="NIH58" s="10"/>
      <c r="NII58" s="10"/>
      <c r="NIJ58" s="10"/>
      <c r="NIK58" s="10"/>
      <c r="NIL58" s="10"/>
      <c r="NIM58" s="10"/>
      <c r="NIN58" s="10"/>
      <c r="NIO58" s="10"/>
      <c r="NIP58" s="10"/>
      <c r="NIQ58" s="10"/>
      <c r="NIR58" s="10"/>
      <c r="NIS58" s="10"/>
      <c r="NIT58" s="10"/>
      <c r="NIU58" s="10"/>
      <c r="NIV58" s="10"/>
      <c r="NIW58" s="10"/>
      <c r="NIX58" s="10"/>
      <c r="NIY58" s="10"/>
      <c r="NIZ58" s="10"/>
      <c r="NJA58" s="10"/>
      <c r="NJB58" s="10"/>
      <c r="NJC58" s="10"/>
      <c r="NJD58" s="10"/>
      <c r="NJE58" s="10"/>
      <c r="NJF58" s="10"/>
      <c r="NJG58" s="10"/>
      <c r="NJH58" s="10"/>
      <c r="NJI58" s="10"/>
      <c r="NJJ58" s="10"/>
      <c r="NJK58" s="10"/>
      <c r="NJL58" s="10"/>
      <c r="NJM58" s="10"/>
      <c r="NJN58" s="10"/>
      <c r="NJO58" s="10"/>
      <c r="NJP58" s="10"/>
      <c r="NJQ58" s="10"/>
      <c r="NJR58" s="10"/>
      <c r="NJS58" s="10"/>
      <c r="NJT58" s="10"/>
      <c r="NJU58" s="10"/>
      <c r="NJV58" s="10"/>
      <c r="NJW58" s="10"/>
      <c r="NJX58" s="10"/>
      <c r="NJY58" s="10"/>
      <c r="NJZ58" s="10"/>
      <c r="NKA58" s="10"/>
      <c r="NKB58" s="10"/>
      <c r="NKC58" s="10"/>
      <c r="NKD58" s="10"/>
      <c r="NKE58" s="10"/>
      <c r="NKF58" s="10"/>
      <c r="NKG58" s="10"/>
      <c r="NKH58" s="10"/>
      <c r="NKI58" s="10"/>
      <c r="NKJ58" s="10"/>
      <c r="NKK58" s="10"/>
      <c r="NKL58" s="10"/>
      <c r="NKM58" s="10"/>
      <c r="NKN58" s="10"/>
      <c r="NKO58" s="10"/>
      <c r="NKP58" s="10"/>
      <c r="NKQ58" s="10"/>
      <c r="NKR58" s="10"/>
      <c r="NKS58" s="10"/>
      <c r="NKT58" s="10"/>
      <c r="NKU58" s="10"/>
      <c r="NKV58" s="10"/>
      <c r="NKW58" s="10"/>
      <c r="NKX58" s="10"/>
      <c r="NKY58" s="10"/>
      <c r="NKZ58" s="10"/>
      <c r="NLA58" s="10"/>
      <c r="NLB58" s="10"/>
      <c r="NLC58" s="10"/>
      <c r="NLD58" s="10"/>
      <c r="NLE58" s="10"/>
      <c r="NLF58" s="10"/>
      <c r="NLG58" s="10"/>
      <c r="NLH58" s="10"/>
      <c r="NLI58" s="10"/>
      <c r="NLJ58" s="10"/>
      <c r="NLK58" s="10"/>
      <c r="NLL58" s="10"/>
      <c r="NLM58" s="10"/>
      <c r="NLN58" s="10"/>
      <c r="NLO58" s="10"/>
      <c r="NLP58" s="10"/>
      <c r="NLQ58" s="10"/>
      <c r="NLR58" s="10"/>
      <c r="NLS58" s="10"/>
      <c r="NLT58" s="10"/>
      <c r="NLU58" s="10"/>
      <c r="NLV58" s="10"/>
      <c r="NLW58" s="10"/>
      <c r="NLX58" s="10"/>
      <c r="NLY58" s="10"/>
      <c r="NLZ58" s="10"/>
      <c r="NMA58" s="10"/>
      <c r="NMB58" s="10"/>
      <c r="NMC58" s="10"/>
      <c r="NMD58" s="10"/>
      <c r="NME58" s="10"/>
      <c r="NMF58" s="10"/>
      <c r="NMG58" s="10"/>
      <c r="NMH58" s="10"/>
      <c r="NMI58" s="10"/>
      <c r="NMJ58" s="10"/>
      <c r="NMK58" s="10"/>
      <c r="NML58" s="10"/>
      <c r="NMM58" s="10"/>
      <c r="NMN58" s="10"/>
      <c r="NMO58" s="10"/>
      <c r="NMP58" s="10"/>
      <c r="NMQ58" s="10"/>
      <c r="NMR58" s="10"/>
      <c r="NMS58" s="10"/>
      <c r="NMT58" s="10"/>
      <c r="NMU58" s="10"/>
      <c r="NMV58" s="10"/>
      <c r="NMW58" s="10"/>
      <c r="NMX58" s="10"/>
      <c r="NMY58" s="10"/>
      <c r="NMZ58" s="10"/>
      <c r="NNA58" s="10"/>
      <c r="NNB58" s="10"/>
      <c r="NNC58" s="10"/>
      <c r="NND58" s="10"/>
      <c r="NNE58" s="10"/>
      <c r="NNF58" s="10"/>
      <c r="NNG58" s="10"/>
      <c r="NNH58" s="10"/>
      <c r="NNI58" s="10"/>
      <c r="NNJ58" s="10"/>
      <c r="NNK58" s="10"/>
      <c r="NNL58" s="10"/>
      <c r="NNM58" s="10"/>
      <c r="NNN58" s="10"/>
      <c r="NNO58" s="10"/>
      <c r="NNP58" s="10"/>
      <c r="NNQ58" s="10"/>
      <c r="NNR58" s="10"/>
      <c r="NNS58" s="10"/>
      <c r="NNT58" s="10"/>
      <c r="NNU58" s="10"/>
      <c r="NNV58" s="10"/>
      <c r="NNW58" s="10"/>
      <c r="NNX58" s="10"/>
      <c r="NNY58" s="10"/>
      <c r="NNZ58" s="10"/>
      <c r="NOA58" s="10"/>
      <c r="NOB58" s="10"/>
      <c r="NOC58" s="10"/>
      <c r="NOD58" s="10"/>
      <c r="NOE58" s="10"/>
      <c r="NOF58" s="10"/>
      <c r="NOG58" s="10"/>
      <c r="NOH58" s="10"/>
      <c r="NOI58" s="10"/>
      <c r="NOJ58" s="10"/>
      <c r="NOK58" s="10"/>
      <c r="NOL58" s="10"/>
      <c r="NOM58" s="10"/>
      <c r="NON58" s="10"/>
      <c r="NOO58" s="10"/>
      <c r="NOP58" s="10"/>
      <c r="NOQ58" s="10"/>
      <c r="NOR58" s="10"/>
      <c r="NOS58" s="10"/>
      <c r="NOT58" s="10"/>
      <c r="NOU58" s="10"/>
      <c r="NOV58" s="10"/>
      <c r="NOW58" s="10"/>
      <c r="NOX58" s="10"/>
      <c r="NOY58" s="10"/>
      <c r="NOZ58" s="10"/>
      <c r="NPA58" s="10"/>
      <c r="NPB58" s="10"/>
      <c r="NPC58" s="10"/>
      <c r="NPD58" s="10"/>
      <c r="NPE58" s="10"/>
      <c r="NPF58" s="10"/>
      <c r="NPG58" s="10"/>
      <c r="NPH58" s="10"/>
      <c r="NPI58" s="10"/>
      <c r="NPJ58" s="10"/>
      <c r="NPK58" s="10"/>
      <c r="NPL58" s="10"/>
      <c r="NPM58" s="10"/>
      <c r="NPN58" s="10"/>
      <c r="NPO58" s="10"/>
      <c r="NPP58" s="10"/>
      <c r="NPQ58" s="10"/>
      <c r="NPR58" s="10"/>
      <c r="NPS58" s="10"/>
      <c r="NPT58" s="10"/>
      <c r="NPU58" s="10"/>
      <c r="NPV58" s="10"/>
      <c r="NPW58" s="10"/>
      <c r="NPX58" s="10"/>
      <c r="NPY58" s="10"/>
      <c r="NPZ58" s="10"/>
      <c r="NQA58" s="10"/>
      <c r="NQB58" s="10"/>
      <c r="NQC58" s="10"/>
      <c r="NQD58" s="10"/>
      <c r="NQE58" s="10"/>
      <c r="NQF58" s="10"/>
      <c r="NQG58" s="10"/>
      <c r="NQH58" s="10"/>
      <c r="NQI58" s="10"/>
      <c r="NQJ58" s="10"/>
      <c r="NQK58" s="10"/>
      <c r="NQL58" s="10"/>
      <c r="NQM58" s="10"/>
      <c r="NQN58" s="10"/>
      <c r="NQO58" s="10"/>
      <c r="NQP58" s="10"/>
      <c r="NQQ58" s="10"/>
      <c r="NQR58" s="10"/>
      <c r="NQS58" s="10"/>
      <c r="NQT58" s="10"/>
      <c r="NQU58" s="10"/>
      <c r="NQV58" s="10"/>
      <c r="NQW58" s="10"/>
      <c r="NQX58" s="10"/>
      <c r="NQY58" s="10"/>
      <c r="NQZ58" s="10"/>
      <c r="NRA58" s="10"/>
      <c r="NRB58" s="10"/>
      <c r="NRC58" s="10"/>
      <c r="NRD58" s="10"/>
      <c r="NRE58" s="10"/>
      <c r="NRF58" s="10"/>
      <c r="NRG58" s="10"/>
      <c r="NRH58" s="10"/>
      <c r="NRI58" s="10"/>
      <c r="NRJ58" s="10"/>
      <c r="NRK58" s="10"/>
      <c r="NRL58" s="10"/>
      <c r="NRM58" s="10"/>
      <c r="NRN58" s="10"/>
      <c r="NRO58" s="10"/>
      <c r="NRP58" s="10"/>
      <c r="NRQ58" s="10"/>
      <c r="NRR58" s="10"/>
      <c r="NRS58" s="10"/>
      <c r="NRT58" s="10"/>
      <c r="NRU58" s="10"/>
      <c r="NRV58" s="10"/>
      <c r="NRW58" s="10"/>
      <c r="NRX58" s="10"/>
      <c r="NRY58" s="10"/>
      <c r="NRZ58" s="10"/>
      <c r="NSA58" s="10"/>
      <c r="NSB58" s="10"/>
      <c r="NSC58" s="10"/>
      <c r="NSD58" s="10"/>
      <c r="NSE58" s="10"/>
      <c r="NSF58" s="10"/>
      <c r="NSG58" s="10"/>
      <c r="NSH58" s="10"/>
      <c r="NSI58" s="10"/>
      <c r="NSJ58" s="10"/>
      <c r="NSK58" s="10"/>
      <c r="NSL58" s="10"/>
      <c r="NSM58" s="10"/>
      <c r="NSN58" s="10"/>
      <c r="NSO58" s="10"/>
      <c r="NSP58" s="10"/>
      <c r="NSQ58" s="10"/>
      <c r="NSR58" s="10"/>
      <c r="NSS58" s="10"/>
      <c r="NST58" s="10"/>
      <c r="NSU58" s="10"/>
      <c r="NSV58" s="10"/>
      <c r="NSW58" s="10"/>
      <c r="NSX58" s="10"/>
      <c r="NSY58" s="10"/>
      <c r="NSZ58" s="10"/>
      <c r="NTA58" s="10"/>
      <c r="NTB58" s="10"/>
      <c r="NTC58" s="10"/>
      <c r="NTD58" s="10"/>
      <c r="NTE58" s="10"/>
      <c r="NTF58" s="10"/>
      <c r="NTG58" s="10"/>
      <c r="NTH58" s="10"/>
      <c r="NTI58" s="10"/>
      <c r="NTJ58" s="10"/>
      <c r="NTK58" s="10"/>
      <c r="NTL58" s="10"/>
      <c r="NTM58" s="10"/>
      <c r="NTN58" s="10"/>
      <c r="NTO58" s="10"/>
      <c r="NTP58" s="10"/>
      <c r="NTQ58" s="10"/>
      <c r="NTR58" s="10"/>
      <c r="NTS58" s="10"/>
      <c r="NTT58" s="10"/>
      <c r="NTU58" s="10"/>
      <c r="NTV58" s="10"/>
      <c r="NTW58" s="10"/>
      <c r="NTX58" s="10"/>
      <c r="NTY58" s="10"/>
      <c r="NTZ58" s="10"/>
      <c r="NUA58" s="10"/>
      <c r="NUB58" s="10"/>
      <c r="NUC58" s="10"/>
      <c r="NUD58" s="10"/>
      <c r="NUE58" s="10"/>
      <c r="NUF58" s="10"/>
      <c r="NUG58" s="10"/>
      <c r="NUH58" s="10"/>
      <c r="NUI58" s="10"/>
      <c r="NUJ58" s="10"/>
      <c r="NUK58" s="10"/>
      <c r="NUL58" s="10"/>
      <c r="NUM58" s="10"/>
      <c r="NUN58" s="10"/>
      <c r="NUO58" s="10"/>
      <c r="NUP58" s="10"/>
      <c r="NUQ58" s="10"/>
      <c r="NUR58" s="10"/>
      <c r="NUS58" s="10"/>
      <c r="NUT58" s="10"/>
      <c r="NUU58" s="10"/>
      <c r="NUV58" s="10"/>
      <c r="NUW58" s="10"/>
      <c r="NUX58" s="10"/>
      <c r="NUY58" s="10"/>
      <c r="NUZ58" s="10"/>
      <c r="NVA58" s="10"/>
      <c r="NVB58" s="10"/>
      <c r="NVC58" s="10"/>
      <c r="NVD58" s="10"/>
      <c r="NVE58" s="10"/>
      <c r="NVF58" s="10"/>
      <c r="NVG58" s="10"/>
      <c r="NVH58" s="10"/>
      <c r="NVI58" s="10"/>
      <c r="NVJ58" s="10"/>
      <c r="NVK58" s="10"/>
      <c r="NVL58" s="10"/>
      <c r="NVM58" s="10"/>
      <c r="NVN58" s="10"/>
      <c r="NVO58" s="10"/>
      <c r="NVP58" s="10"/>
      <c r="NVQ58" s="10"/>
      <c r="NVR58" s="10"/>
      <c r="NVS58" s="10"/>
      <c r="NVT58" s="10"/>
      <c r="NVU58" s="10"/>
      <c r="NVV58" s="10"/>
      <c r="NVW58" s="10"/>
      <c r="NVX58" s="10"/>
      <c r="NVY58" s="10"/>
      <c r="NVZ58" s="10"/>
      <c r="NWA58" s="10"/>
      <c r="NWB58" s="10"/>
      <c r="NWC58" s="10"/>
      <c r="NWD58" s="10"/>
      <c r="NWE58" s="10"/>
      <c r="NWF58" s="10"/>
      <c r="NWG58" s="10"/>
      <c r="NWH58" s="10"/>
      <c r="NWI58" s="10"/>
      <c r="NWJ58" s="10"/>
      <c r="NWK58" s="10"/>
      <c r="NWL58" s="10"/>
      <c r="NWM58" s="10"/>
      <c r="NWN58" s="10"/>
      <c r="NWO58" s="10"/>
      <c r="NWP58" s="10"/>
      <c r="NWQ58" s="10"/>
      <c r="NWR58" s="10"/>
      <c r="NWS58" s="10"/>
      <c r="NWT58" s="10"/>
      <c r="NWU58" s="10"/>
      <c r="NWV58" s="10"/>
      <c r="NWW58" s="10"/>
      <c r="NWX58" s="10"/>
      <c r="NWY58" s="10"/>
      <c r="NWZ58" s="10"/>
      <c r="NXA58" s="10"/>
      <c r="NXB58" s="10"/>
      <c r="NXC58" s="10"/>
      <c r="NXD58" s="10"/>
      <c r="NXE58" s="10"/>
      <c r="NXF58" s="10"/>
      <c r="NXG58" s="10"/>
      <c r="NXH58" s="10"/>
      <c r="NXI58" s="10"/>
      <c r="NXJ58" s="10"/>
      <c r="NXK58" s="10"/>
      <c r="NXL58" s="10"/>
      <c r="NXM58" s="10"/>
      <c r="NXN58" s="10"/>
      <c r="NXO58" s="10"/>
      <c r="NXP58" s="10"/>
      <c r="NXQ58" s="10"/>
      <c r="NXR58" s="10"/>
      <c r="NXS58" s="10"/>
      <c r="NXT58" s="10"/>
      <c r="NXU58" s="10"/>
      <c r="NXV58" s="10"/>
      <c r="NXW58" s="10"/>
      <c r="NXX58" s="10"/>
      <c r="NXY58" s="10"/>
      <c r="NXZ58" s="10"/>
      <c r="NYA58" s="10"/>
      <c r="NYB58" s="10"/>
      <c r="NYC58" s="10"/>
      <c r="NYD58" s="10"/>
      <c r="NYE58" s="10"/>
      <c r="NYF58" s="10"/>
      <c r="NYG58" s="10"/>
      <c r="NYH58" s="10"/>
      <c r="NYI58" s="10"/>
      <c r="NYJ58" s="10"/>
      <c r="NYK58" s="10"/>
      <c r="NYL58" s="10"/>
      <c r="NYM58" s="10"/>
      <c r="NYN58" s="10"/>
      <c r="NYO58" s="10"/>
      <c r="NYP58" s="10"/>
      <c r="NYQ58" s="10"/>
      <c r="NYR58" s="10"/>
      <c r="NYS58" s="10"/>
      <c r="NYT58" s="10"/>
      <c r="NYU58" s="10"/>
      <c r="NYV58" s="10"/>
      <c r="NYW58" s="10"/>
      <c r="NYX58" s="10"/>
      <c r="NYY58" s="10"/>
      <c r="NYZ58" s="10"/>
      <c r="NZA58" s="10"/>
      <c r="NZB58" s="10"/>
      <c r="NZC58" s="10"/>
      <c r="NZD58" s="10"/>
      <c r="NZE58" s="10"/>
      <c r="NZF58" s="10"/>
      <c r="NZG58" s="10"/>
      <c r="NZH58" s="10"/>
      <c r="NZI58" s="10"/>
      <c r="NZJ58" s="10"/>
      <c r="NZK58" s="10"/>
      <c r="NZL58" s="10"/>
      <c r="NZM58" s="10"/>
      <c r="NZN58" s="10"/>
      <c r="NZO58" s="10"/>
      <c r="NZP58" s="10"/>
      <c r="NZQ58" s="10"/>
      <c r="NZR58" s="10"/>
      <c r="NZS58" s="10"/>
      <c r="NZT58" s="10"/>
      <c r="NZU58" s="10"/>
      <c r="NZV58" s="10"/>
      <c r="NZW58" s="10"/>
      <c r="NZX58" s="10"/>
      <c r="NZY58" s="10"/>
      <c r="NZZ58" s="10"/>
      <c r="OAA58" s="10"/>
      <c r="OAB58" s="10"/>
      <c r="OAC58" s="10"/>
      <c r="OAD58" s="10"/>
      <c r="OAE58" s="10"/>
      <c r="OAF58" s="10"/>
      <c r="OAG58" s="10"/>
      <c r="OAH58" s="10"/>
      <c r="OAI58" s="10"/>
      <c r="OAJ58" s="10"/>
      <c r="OAK58" s="10"/>
      <c r="OAL58" s="10"/>
      <c r="OAM58" s="10"/>
      <c r="OAN58" s="10"/>
      <c r="OAO58" s="10"/>
      <c r="OAP58" s="10"/>
      <c r="OAQ58" s="10"/>
      <c r="OAR58" s="10"/>
      <c r="OAS58" s="10"/>
      <c r="OAT58" s="10"/>
      <c r="OAU58" s="10"/>
      <c r="OAV58" s="10"/>
      <c r="OAW58" s="10"/>
      <c r="OAX58" s="10"/>
      <c r="OAY58" s="10"/>
      <c r="OAZ58" s="10"/>
      <c r="OBA58" s="10"/>
      <c r="OBB58" s="10"/>
      <c r="OBC58" s="10"/>
      <c r="OBD58" s="10"/>
      <c r="OBE58" s="10"/>
      <c r="OBF58" s="10"/>
      <c r="OBG58" s="10"/>
      <c r="OBH58" s="10"/>
      <c r="OBI58" s="10"/>
      <c r="OBJ58" s="10"/>
      <c r="OBK58" s="10"/>
      <c r="OBL58" s="10"/>
      <c r="OBM58" s="10"/>
      <c r="OBN58" s="10"/>
      <c r="OBO58" s="10"/>
      <c r="OBP58" s="10"/>
      <c r="OBQ58" s="10"/>
      <c r="OBR58" s="10"/>
      <c r="OBS58" s="10"/>
      <c r="OBT58" s="10"/>
      <c r="OBU58" s="10"/>
      <c r="OBV58" s="10"/>
      <c r="OBW58" s="10"/>
      <c r="OBX58" s="10"/>
      <c r="OBY58" s="10"/>
      <c r="OBZ58" s="10"/>
      <c r="OCA58" s="10"/>
      <c r="OCB58" s="10"/>
      <c r="OCC58" s="10"/>
      <c r="OCD58" s="10"/>
      <c r="OCE58" s="10"/>
      <c r="OCF58" s="10"/>
      <c r="OCG58" s="10"/>
      <c r="OCH58" s="10"/>
      <c r="OCI58" s="10"/>
      <c r="OCJ58" s="10"/>
      <c r="OCK58" s="10"/>
      <c r="OCL58" s="10"/>
      <c r="OCM58" s="10"/>
      <c r="OCN58" s="10"/>
      <c r="OCO58" s="10"/>
      <c r="OCP58" s="10"/>
      <c r="OCQ58" s="10"/>
      <c r="OCR58" s="10"/>
      <c r="OCS58" s="10"/>
      <c r="OCT58" s="10"/>
      <c r="OCU58" s="10"/>
      <c r="OCV58" s="10"/>
      <c r="OCW58" s="10"/>
      <c r="OCX58" s="10"/>
      <c r="OCY58" s="10"/>
      <c r="OCZ58" s="10"/>
      <c r="ODA58" s="10"/>
      <c r="ODB58" s="10"/>
      <c r="ODC58" s="10"/>
      <c r="ODD58" s="10"/>
      <c r="ODE58" s="10"/>
      <c r="ODF58" s="10"/>
      <c r="ODG58" s="10"/>
      <c r="ODH58" s="10"/>
      <c r="ODI58" s="10"/>
      <c r="ODJ58" s="10"/>
      <c r="ODK58" s="10"/>
      <c r="ODL58" s="10"/>
      <c r="ODM58" s="10"/>
      <c r="ODN58" s="10"/>
      <c r="ODO58" s="10"/>
      <c r="ODP58" s="10"/>
      <c r="ODQ58" s="10"/>
      <c r="ODR58" s="10"/>
      <c r="ODS58" s="10"/>
      <c r="ODT58" s="10"/>
      <c r="ODU58" s="10"/>
      <c r="ODV58" s="10"/>
      <c r="ODW58" s="10"/>
      <c r="ODX58" s="10"/>
      <c r="ODY58" s="10"/>
      <c r="ODZ58" s="10"/>
      <c r="OEA58" s="10"/>
      <c r="OEB58" s="10"/>
      <c r="OEC58" s="10"/>
      <c r="OED58" s="10"/>
      <c r="OEE58" s="10"/>
      <c r="OEF58" s="10"/>
      <c r="OEG58" s="10"/>
      <c r="OEH58" s="10"/>
      <c r="OEI58" s="10"/>
      <c r="OEJ58" s="10"/>
      <c r="OEK58" s="10"/>
      <c r="OEL58" s="10"/>
      <c r="OEM58" s="10"/>
      <c r="OEN58" s="10"/>
      <c r="OEO58" s="10"/>
      <c r="OEP58" s="10"/>
      <c r="OEQ58" s="10"/>
      <c r="OER58" s="10"/>
      <c r="OES58" s="10"/>
      <c r="OET58" s="10"/>
      <c r="OEU58" s="10"/>
      <c r="OEV58" s="10"/>
      <c r="OEW58" s="10"/>
      <c r="OEX58" s="10"/>
      <c r="OEY58" s="10"/>
      <c r="OEZ58" s="10"/>
      <c r="OFA58" s="10"/>
      <c r="OFB58" s="10"/>
      <c r="OFC58" s="10"/>
      <c r="OFD58" s="10"/>
      <c r="OFE58" s="10"/>
      <c r="OFF58" s="10"/>
      <c r="OFG58" s="10"/>
      <c r="OFH58" s="10"/>
      <c r="OFI58" s="10"/>
      <c r="OFJ58" s="10"/>
      <c r="OFK58" s="10"/>
      <c r="OFL58" s="10"/>
      <c r="OFM58" s="10"/>
      <c r="OFN58" s="10"/>
      <c r="OFO58" s="10"/>
      <c r="OFP58" s="10"/>
      <c r="OFQ58" s="10"/>
      <c r="OFR58" s="10"/>
      <c r="OFS58" s="10"/>
      <c r="OFT58" s="10"/>
      <c r="OFU58" s="10"/>
      <c r="OFV58" s="10"/>
      <c r="OFW58" s="10"/>
      <c r="OFX58" s="10"/>
      <c r="OFY58" s="10"/>
      <c r="OFZ58" s="10"/>
      <c r="OGA58" s="10"/>
      <c r="OGB58" s="10"/>
      <c r="OGC58" s="10"/>
      <c r="OGD58" s="10"/>
      <c r="OGE58" s="10"/>
      <c r="OGF58" s="10"/>
      <c r="OGG58" s="10"/>
      <c r="OGH58" s="10"/>
      <c r="OGI58" s="10"/>
      <c r="OGJ58" s="10"/>
      <c r="OGK58" s="10"/>
      <c r="OGL58" s="10"/>
      <c r="OGM58" s="10"/>
      <c r="OGN58" s="10"/>
      <c r="OGO58" s="10"/>
      <c r="OGP58" s="10"/>
      <c r="OGQ58" s="10"/>
      <c r="OGR58" s="10"/>
      <c r="OGS58" s="10"/>
      <c r="OGT58" s="10"/>
      <c r="OGU58" s="10"/>
      <c r="OGV58" s="10"/>
      <c r="OGW58" s="10"/>
      <c r="OGX58" s="10"/>
      <c r="OGY58" s="10"/>
      <c r="OGZ58" s="10"/>
      <c r="OHA58" s="10"/>
      <c r="OHB58" s="10"/>
      <c r="OHC58" s="10"/>
      <c r="OHD58" s="10"/>
      <c r="OHE58" s="10"/>
      <c r="OHF58" s="10"/>
      <c r="OHG58" s="10"/>
      <c r="OHH58" s="10"/>
      <c r="OHI58" s="10"/>
      <c r="OHJ58" s="10"/>
      <c r="OHK58" s="10"/>
      <c r="OHL58" s="10"/>
      <c r="OHM58" s="10"/>
      <c r="OHN58" s="10"/>
      <c r="OHO58" s="10"/>
      <c r="OHP58" s="10"/>
      <c r="OHQ58" s="10"/>
      <c r="OHR58" s="10"/>
      <c r="OHS58" s="10"/>
      <c r="OHT58" s="10"/>
      <c r="OHU58" s="10"/>
      <c r="OHV58" s="10"/>
      <c r="OHW58" s="10"/>
      <c r="OHX58" s="10"/>
      <c r="OHY58" s="10"/>
      <c r="OHZ58" s="10"/>
      <c r="OIA58" s="10"/>
      <c r="OIB58" s="10"/>
      <c r="OIC58" s="10"/>
      <c r="OID58" s="10"/>
      <c r="OIE58" s="10"/>
      <c r="OIF58" s="10"/>
      <c r="OIG58" s="10"/>
      <c r="OIH58" s="10"/>
      <c r="OII58" s="10"/>
      <c r="OIJ58" s="10"/>
      <c r="OIK58" s="10"/>
      <c r="OIL58" s="10"/>
      <c r="OIM58" s="10"/>
      <c r="OIN58" s="10"/>
      <c r="OIO58" s="10"/>
      <c r="OIP58" s="10"/>
      <c r="OIQ58" s="10"/>
      <c r="OIR58" s="10"/>
      <c r="OIS58" s="10"/>
      <c r="OIT58" s="10"/>
      <c r="OIU58" s="10"/>
      <c r="OIV58" s="10"/>
      <c r="OIW58" s="10"/>
      <c r="OIX58" s="10"/>
      <c r="OIY58" s="10"/>
      <c r="OIZ58" s="10"/>
      <c r="OJA58" s="10"/>
      <c r="OJB58" s="10"/>
      <c r="OJC58" s="10"/>
      <c r="OJD58" s="10"/>
      <c r="OJE58" s="10"/>
      <c r="OJF58" s="10"/>
      <c r="OJG58" s="10"/>
      <c r="OJH58" s="10"/>
      <c r="OJI58" s="10"/>
      <c r="OJJ58" s="10"/>
      <c r="OJK58" s="10"/>
      <c r="OJL58" s="10"/>
      <c r="OJM58" s="10"/>
      <c r="OJN58" s="10"/>
      <c r="OJO58" s="10"/>
      <c r="OJP58" s="10"/>
      <c r="OJQ58" s="10"/>
      <c r="OJR58" s="10"/>
      <c r="OJS58" s="10"/>
      <c r="OJT58" s="10"/>
      <c r="OJU58" s="10"/>
      <c r="OJV58" s="10"/>
      <c r="OJW58" s="10"/>
      <c r="OJX58" s="10"/>
      <c r="OJY58" s="10"/>
      <c r="OJZ58" s="10"/>
      <c r="OKA58" s="10"/>
      <c r="OKB58" s="10"/>
      <c r="OKC58" s="10"/>
      <c r="OKD58" s="10"/>
      <c r="OKE58" s="10"/>
      <c r="OKF58" s="10"/>
      <c r="OKG58" s="10"/>
      <c r="OKH58" s="10"/>
      <c r="OKI58" s="10"/>
      <c r="OKJ58" s="10"/>
      <c r="OKK58" s="10"/>
      <c r="OKL58" s="10"/>
      <c r="OKM58" s="10"/>
      <c r="OKN58" s="10"/>
      <c r="OKO58" s="10"/>
      <c r="OKP58" s="10"/>
      <c r="OKQ58" s="10"/>
      <c r="OKR58" s="10"/>
      <c r="OKS58" s="10"/>
      <c r="OKT58" s="10"/>
      <c r="OKU58" s="10"/>
      <c r="OKV58" s="10"/>
      <c r="OKW58" s="10"/>
      <c r="OKX58" s="10"/>
      <c r="OKY58" s="10"/>
      <c r="OKZ58" s="10"/>
      <c r="OLA58" s="10"/>
      <c r="OLB58" s="10"/>
      <c r="OLC58" s="10"/>
      <c r="OLD58" s="10"/>
      <c r="OLE58" s="10"/>
      <c r="OLF58" s="10"/>
      <c r="OLG58" s="10"/>
      <c r="OLH58" s="10"/>
      <c r="OLI58" s="10"/>
      <c r="OLJ58" s="10"/>
      <c r="OLK58" s="10"/>
      <c r="OLL58" s="10"/>
      <c r="OLM58" s="10"/>
      <c r="OLN58" s="10"/>
      <c r="OLO58" s="10"/>
      <c r="OLP58" s="10"/>
      <c r="OLQ58" s="10"/>
      <c r="OLR58" s="10"/>
      <c r="OLS58" s="10"/>
      <c r="OLT58" s="10"/>
      <c r="OLU58" s="10"/>
      <c r="OLV58" s="10"/>
      <c r="OLW58" s="10"/>
      <c r="OLX58" s="10"/>
      <c r="OLY58" s="10"/>
      <c r="OLZ58" s="10"/>
      <c r="OMA58" s="10"/>
      <c r="OMB58" s="10"/>
      <c r="OMC58" s="10"/>
      <c r="OMD58" s="10"/>
      <c r="OME58" s="10"/>
      <c r="OMF58" s="10"/>
      <c r="OMG58" s="10"/>
      <c r="OMH58" s="10"/>
      <c r="OMI58" s="10"/>
      <c r="OMJ58" s="10"/>
      <c r="OMK58" s="10"/>
      <c r="OML58" s="10"/>
      <c r="OMM58" s="10"/>
      <c r="OMN58" s="10"/>
      <c r="OMO58" s="10"/>
      <c r="OMP58" s="10"/>
      <c r="OMQ58" s="10"/>
      <c r="OMR58" s="10"/>
      <c r="OMS58" s="10"/>
      <c r="OMT58" s="10"/>
      <c r="OMU58" s="10"/>
      <c r="OMV58" s="10"/>
      <c r="OMW58" s="10"/>
      <c r="OMX58" s="10"/>
      <c r="OMY58" s="10"/>
      <c r="OMZ58" s="10"/>
      <c r="ONA58" s="10"/>
      <c r="ONB58" s="10"/>
      <c r="ONC58" s="10"/>
      <c r="OND58" s="10"/>
      <c r="ONE58" s="10"/>
      <c r="ONF58" s="10"/>
      <c r="ONG58" s="10"/>
      <c r="ONH58" s="10"/>
      <c r="ONI58" s="10"/>
      <c r="ONJ58" s="10"/>
      <c r="ONK58" s="10"/>
      <c r="ONL58" s="10"/>
      <c r="ONM58" s="10"/>
      <c r="ONN58" s="10"/>
      <c r="ONO58" s="10"/>
      <c r="ONP58" s="10"/>
      <c r="ONQ58" s="10"/>
      <c r="ONR58" s="10"/>
      <c r="ONS58" s="10"/>
      <c r="ONT58" s="10"/>
      <c r="ONU58" s="10"/>
      <c r="ONV58" s="10"/>
      <c r="ONW58" s="10"/>
      <c r="ONX58" s="10"/>
      <c r="ONY58" s="10"/>
      <c r="ONZ58" s="10"/>
      <c r="OOA58" s="10"/>
      <c r="OOB58" s="10"/>
      <c r="OOC58" s="10"/>
      <c r="OOD58" s="10"/>
      <c r="OOE58" s="10"/>
      <c r="OOF58" s="10"/>
      <c r="OOG58" s="10"/>
      <c r="OOH58" s="10"/>
      <c r="OOI58" s="10"/>
      <c r="OOJ58" s="10"/>
      <c r="OOK58" s="10"/>
      <c r="OOL58" s="10"/>
      <c r="OOM58" s="10"/>
      <c r="OON58" s="10"/>
      <c r="OOO58" s="10"/>
      <c r="OOP58" s="10"/>
      <c r="OOQ58" s="10"/>
      <c r="OOR58" s="10"/>
      <c r="OOS58" s="10"/>
      <c r="OOT58" s="10"/>
      <c r="OOU58" s="10"/>
      <c r="OOV58" s="10"/>
      <c r="OOW58" s="10"/>
      <c r="OOX58" s="10"/>
      <c r="OOY58" s="10"/>
      <c r="OOZ58" s="10"/>
      <c r="OPA58" s="10"/>
      <c r="OPB58" s="10"/>
      <c r="OPC58" s="10"/>
      <c r="OPD58" s="10"/>
      <c r="OPE58" s="10"/>
      <c r="OPF58" s="10"/>
      <c r="OPG58" s="10"/>
      <c r="OPH58" s="10"/>
      <c r="OPI58" s="10"/>
      <c r="OPJ58" s="10"/>
      <c r="OPK58" s="10"/>
      <c r="OPL58" s="10"/>
      <c r="OPM58" s="10"/>
      <c r="OPN58" s="10"/>
      <c r="OPO58" s="10"/>
      <c r="OPP58" s="10"/>
      <c r="OPQ58" s="10"/>
      <c r="OPR58" s="10"/>
      <c r="OPS58" s="10"/>
      <c r="OPT58" s="10"/>
      <c r="OPU58" s="10"/>
      <c r="OPV58" s="10"/>
      <c r="OPW58" s="10"/>
      <c r="OPX58" s="10"/>
      <c r="OPY58" s="10"/>
      <c r="OPZ58" s="10"/>
      <c r="OQA58" s="10"/>
      <c r="OQB58" s="10"/>
      <c r="OQC58" s="10"/>
      <c r="OQD58" s="10"/>
      <c r="OQE58" s="10"/>
      <c r="OQF58" s="10"/>
      <c r="OQG58" s="10"/>
      <c r="OQH58" s="10"/>
      <c r="OQI58" s="10"/>
      <c r="OQJ58" s="10"/>
      <c r="OQK58" s="10"/>
      <c r="OQL58" s="10"/>
      <c r="OQM58" s="10"/>
      <c r="OQN58" s="10"/>
      <c r="OQO58" s="10"/>
      <c r="OQP58" s="10"/>
      <c r="OQQ58" s="10"/>
      <c r="OQR58" s="10"/>
      <c r="OQS58" s="10"/>
      <c r="OQT58" s="10"/>
      <c r="OQU58" s="10"/>
      <c r="OQV58" s="10"/>
      <c r="OQW58" s="10"/>
      <c r="OQX58" s="10"/>
      <c r="OQY58" s="10"/>
      <c r="OQZ58" s="10"/>
      <c r="ORA58" s="10"/>
      <c r="ORB58" s="10"/>
      <c r="ORC58" s="10"/>
      <c r="ORD58" s="10"/>
      <c r="ORE58" s="10"/>
      <c r="ORF58" s="10"/>
      <c r="ORG58" s="10"/>
      <c r="ORH58" s="10"/>
      <c r="ORI58" s="10"/>
      <c r="ORJ58" s="10"/>
      <c r="ORK58" s="10"/>
      <c r="ORL58" s="10"/>
      <c r="ORM58" s="10"/>
      <c r="ORN58" s="10"/>
      <c r="ORO58" s="10"/>
      <c r="ORP58" s="10"/>
      <c r="ORQ58" s="10"/>
      <c r="ORR58" s="10"/>
      <c r="ORS58" s="10"/>
      <c r="ORT58" s="10"/>
      <c r="ORU58" s="10"/>
      <c r="ORV58" s="10"/>
      <c r="ORW58" s="10"/>
      <c r="ORX58" s="10"/>
      <c r="ORY58" s="10"/>
      <c r="ORZ58" s="10"/>
      <c r="OSA58" s="10"/>
      <c r="OSB58" s="10"/>
      <c r="OSC58" s="10"/>
      <c r="OSD58" s="10"/>
      <c r="OSE58" s="10"/>
      <c r="OSF58" s="10"/>
      <c r="OSG58" s="10"/>
      <c r="OSH58" s="10"/>
      <c r="OSI58" s="10"/>
      <c r="OSJ58" s="10"/>
      <c r="OSK58" s="10"/>
      <c r="OSL58" s="10"/>
      <c r="OSM58" s="10"/>
      <c r="OSN58" s="10"/>
      <c r="OSO58" s="10"/>
      <c r="OSP58" s="10"/>
      <c r="OSQ58" s="10"/>
      <c r="OSR58" s="10"/>
      <c r="OSS58" s="10"/>
      <c r="OST58" s="10"/>
      <c r="OSU58" s="10"/>
      <c r="OSV58" s="10"/>
      <c r="OSW58" s="10"/>
      <c r="OSX58" s="10"/>
      <c r="OSY58" s="10"/>
      <c r="OSZ58" s="10"/>
      <c r="OTA58" s="10"/>
      <c r="OTB58" s="10"/>
      <c r="OTC58" s="10"/>
      <c r="OTD58" s="10"/>
      <c r="OTE58" s="10"/>
      <c r="OTF58" s="10"/>
      <c r="OTG58" s="10"/>
      <c r="OTH58" s="10"/>
      <c r="OTI58" s="10"/>
      <c r="OTJ58" s="10"/>
      <c r="OTK58" s="10"/>
      <c r="OTL58" s="10"/>
      <c r="OTM58" s="10"/>
      <c r="OTN58" s="10"/>
      <c r="OTO58" s="10"/>
      <c r="OTP58" s="10"/>
      <c r="OTQ58" s="10"/>
      <c r="OTR58" s="10"/>
      <c r="OTS58" s="10"/>
      <c r="OTT58" s="10"/>
      <c r="OTU58" s="10"/>
      <c r="OTV58" s="10"/>
      <c r="OTW58" s="10"/>
      <c r="OTX58" s="10"/>
      <c r="OTY58" s="10"/>
      <c r="OTZ58" s="10"/>
      <c r="OUA58" s="10"/>
      <c r="OUB58" s="10"/>
      <c r="OUC58" s="10"/>
      <c r="OUD58" s="10"/>
      <c r="OUE58" s="10"/>
      <c r="OUF58" s="10"/>
      <c r="OUG58" s="10"/>
      <c r="OUH58" s="10"/>
      <c r="OUI58" s="10"/>
      <c r="OUJ58" s="10"/>
      <c r="OUK58" s="10"/>
      <c r="OUL58" s="10"/>
      <c r="OUM58" s="10"/>
      <c r="OUN58" s="10"/>
      <c r="OUO58" s="10"/>
      <c r="OUP58" s="10"/>
      <c r="OUQ58" s="10"/>
      <c r="OUR58" s="10"/>
      <c r="OUS58" s="10"/>
      <c r="OUT58" s="10"/>
      <c r="OUU58" s="10"/>
      <c r="OUV58" s="10"/>
      <c r="OUW58" s="10"/>
      <c r="OUX58" s="10"/>
      <c r="OUY58" s="10"/>
      <c r="OUZ58" s="10"/>
      <c r="OVA58" s="10"/>
      <c r="OVB58" s="10"/>
      <c r="OVC58" s="10"/>
      <c r="OVD58" s="10"/>
      <c r="OVE58" s="10"/>
      <c r="OVF58" s="10"/>
      <c r="OVG58" s="10"/>
      <c r="OVH58" s="10"/>
      <c r="OVI58" s="10"/>
      <c r="OVJ58" s="10"/>
      <c r="OVK58" s="10"/>
      <c r="OVL58" s="10"/>
      <c r="OVM58" s="10"/>
      <c r="OVN58" s="10"/>
      <c r="OVO58" s="10"/>
      <c r="OVP58" s="10"/>
      <c r="OVQ58" s="10"/>
      <c r="OVR58" s="10"/>
      <c r="OVS58" s="10"/>
      <c r="OVT58" s="10"/>
      <c r="OVU58" s="10"/>
      <c r="OVV58" s="10"/>
      <c r="OVW58" s="10"/>
      <c r="OVX58" s="10"/>
      <c r="OVY58" s="10"/>
      <c r="OVZ58" s="10"/>
      <c r="OWA58" s="10"/>
      <c r="OWB58" s="10"/>
      <c r="OWC58" s="10"/>
      <c r="OWD58" s="10"/>
      <c r="OWE58" s="10"/>
      <c r="OWF58" s="10"/>
      <c r="OWG58" s="10"/>
      <c r="OWH58" s="10"/>
      <c r="OWI58" s="10"/>
      <c r="OWJ58" s="10"/>
      <c r="OWK58" s="10"/>
      <c r="OWL58" s="10"/>
      <c r="OWM58" s="10"/>
      <c r="OWN58" s="10"/>
      <c r="OWO58" s="10"/>
      <c r="OWP58" s="10"/>
      <c r="OWQ58" s="10"/>
      <c r="OWR58" s="10"/>
      <c r="OWS58" s="10"/>
      <c r="OWT58" s="10"/>
      <c r="OWU58" s="10"/>
      <c r="OWV58" s="10"/>
      <c r="OWW58" s="10"/>
      <c r="OWX58" s="10"/>
      <c r="OWY58" s="10"/>
      <c r="OWZ58" s="10"/>
      <c r="OXA58" s="10"/>
      <c r="OXB58" s="10"/>
      <c r="OXC58" s="10"/>
      <c r="OXD58" s="10"/>
      <c r="OXE58" s="10"/>
      <c r="OXF58" s="10"/>
      <c r="OXG58" s="10"/>
      <c r="OXH58" s="10"/>
      <c r="OXI58" s="10"/>
      <c r="OXJ58" s="10"/>
      <c r="OXK58" s="10"/>
      <c r="OXL58" s="10"/>
      <c r="OXM58" s="10"/>
      <c r="OXN58" s="10"/>
      <c r="OXO58" s="10"/>
      <c r="OXP58" s="10"/>
      <c r="OXQ58" s="10"/>
      <c r="OXR58" s="10"/>
      <c r="OXS58" s="10"/>
      <c r="OXT58" s="10"/>
      <c r="OXU58" s="10"/>
      <c r="OXV58" s="10"/>
      <c r="OXW58" s="10"/>
      <c r="OXX58" s="10"/>
      <c r="OXY58" s="10"/>
      <c r="OXZ58" s="10"/>
      <c r="OYA58" s="10"/>
      <c r="OYB58" s="10"/>
      <c r="OYC58" s="10"/>
      <c r="OYD58" s="10"/>
      <c r="OYE58" s="10"/>
      <c r="OYF58" s="10"/>
      <c r="OYG58" s="10"/>
      <c r="OYH58" s="10"/>
      <c r="OYI58" s="10"/>
      <c r="OYJ58" s="10"/>
      <c r="OYK58" s="10"/>
      <c r="OYL58" s="10"/>
      <c r="OYM58" s="10"/>
      <c r="OYN58" s="10"/>
      <c r="OYO58" s="10"/>
      <c r="OYP58" s="10"/>
      <c r="OYQ58" s="10"/>
      <c r="OYR58" s="10"/>
      <c r="OYS58" s="10"/>
      <c r="OYT58" s="10"/>
      <c r="OYU58" s="10"/>
      <c r="OYV58" s="10"/>
      <c r="OYW58" s="10"/>
      <c r="OYX58" s="10"/>
      <c r="OYY58" s="10"/>
      <c r="OYZ58" s="10"/>
      <c r="OZA58" s="10"/>
      <c r="OZB58" s="10"/>
      <c r="OZC58" s="10"/>
      <c r="OZD58" s="10"/>
      <c r="OZE58" s="10"/>
      <c r="OZF58" s="10"/>
      <c r="OZG58" s="10"/>
      <c r="OZH58" s="10"/>
      <c r="OZI58" s="10"/>
      <c r="OZJ58" s="10"/>
      <c r="OZK58" s="10"/>
      <c r="OZL58" s="10"/>
      <c r="OZM58" s="10"/>
      <c r="OZN58" s="10"/>
      <c r="OZO58" s="10"/>
      <c r="OZP58" s="10"/>
      <c r="OZQ58" s="10"/>
      <c r="OZR58" s="10"/>
      <c r="OZS58" s="10"/>
      <c r="OZT58" s="10"/>
      <c r="OZU58" s="10"/>
      <c r="OZV58" s="10"/>
      <c r="OZW58" s="10"/>
      <c r="OZX58" s="10"/>
      <c r="OZY58" s="10"/>
      <c r="OZZ58" s="10"/>
      <c r="PAA58" s="10"/>
      <c r="PAB58" s="10"/>
      <c r="PAC58" s="10"/>
      <c r="PAD58" s="10"/>
      <c r="PAE58" s="10"/>
      <c r="PAF58" s="10"/>
      <c r="PAG58" s="10"/>
      <c r="PAH58" s="10"/>
      <c r="PAI58" s="10"/>
      <c r="PAJ58" s="10"/>
      <c r="PAK58" s="10"/>
      <c r="PAL58" s="10"/>
      <c r="PAM58" s="10"/>
      <c r="PAN58" s="10"/>
      <c r="PAO58" s="10"/>
      <c r="PAP58" s="10"/>
      <c r="PAQ58" s="10"/>
      <c r="PAR58" s="10"/>
      <c r="PAS58" s="10"/>
      <c r="PAT58" s="10"/>
      <c r="PAU58" s="10"/>
      <c r="PAV58" s="10"/>
      <c r="PAW58" s="10"/>
      <c r="PAX58" s="10"/>
      <c r="PAY58" s="10"/>
      <c r="PAZ58" s="10"/>
      <c r="PBA58" s="10"/>
      <c r="PBB58" s="10"/>
      <c r="PBC58" s="10"/>
      <c r="PBD58" s="10"/>
      <c r="PBE58" s="10"/>
      <c r="PBF58" s="10"/>
      <c r="PBG58" s="10"/>
      <c r="PBH58" s="10"/>
      <c r="PBI58" s="10"/>
      <c r="PBJ58" s="10"/>
      <c r="PBK58" s="10"/>
      <c r="PBL58" s="10"/>
      <c r="PBM58" s="10"/>
      <c r="PBN58" s="10"/>
      <c r="PBO58" s="10"/>
      <c r="PBP58" s="10"/>
      <c r="PBQ58" s="10"/>
      <c r="PBR58" s="10"/>
      <c r="PBS58" s="10"/>
      <c r="PBT58" s="10"/>
      <c r="PBU58" s="10"/>
      <c r="PBV58" s="10"/>
      <c r="PBW58" s="10"/>
      <c r="PBX58" s="10"/>
      <c r="PBY58" s="10"/>
      <c r="PBZ58" s="10"/>
      <c r="PCA58" s="10"/>
      <c r="PCB58" s="10"/>
      <c r="PCC58" s="10"/>
      <c r="PCD58" s="10"/>
      <c r="PCE58" s="10"/>
      <c r="PCF58" s="10"/>
      <c r="PCG58" s="10"/>
      <c r="PCH58" s="10"/>
      <c r="PCI58" s="10"/>
      <c r="PCJ58" s="10"/>
      <c r="PCK58" s="10"/>
      <c r="PCL58" s="10"/>
      <c r="PCM58" s="10"/>
      <c r="PCN58" s="10"/>
      <c r="PCO58" s="10"/>
      <c r="PCP58" s="10"/>
      <c r="PCQ58" s="10"/>
      <c r="PCR58" s="10"/>
      <c r="PCS58" s="10"/>
      <c r="PCT58" s="10"/>
      <c r="PCU58" s="10"/>
      <c r="PCV58" s="10"/>
      <c r="PCW58" s="10"/>
      <c r="PCX58" s="10"/>
      <c r="PCY58" s="10"/>
      <c r="PCZ58" s="10"/>
      <c r="PDA58" s="10"/>
      <c r="PDB58" s="10"/>
      <c r="PDC58" s="10"/>
      <c r="PDD58" s="10"/>
      <c r="PDE58" s="10"/>
      <c r="PDF58" s="10"/>
      <c r="PDG58" s="10"/>
      <c r="PDH58" s="10"/>
      <c r="PDI58" s="10"/>
      <c r="PDJ58" s="10"/>
      <c r="PDK58" s="10"/>
      <c r="PDL58" s="10"/>
      <c r="PDM58" s="10"/>
      <c r="PDN58" s="10"/>
      <c r="PDO58" s="10"/>
      <c r="PDP58" s="10"/>
      <c r="PDQ58" s="10"/>
      <c r="PDR58" s="10"/>
      <c r="PDS58" s="10"/>
      <c r="PDT58" s="10"/>
      <c r="PDU58" s="10"/>
      <c r="PDV58" s="10"/>
      <c r="PDW58" s="10"/>
      <c r="PDX58" s="10"/>
      <c r="PDY58" s="10"/>
      <c r="PDZ58" s="10"/>
      <c r="PEA58" s="10"/>
      <c r="PEB58" s="10"/>
      <c r="PEC58" s="10"/>
      <c r="PED58" s="10"/>
      <c r="PEE58" s="10"/>
      <c r="PEF58" s="10"/>
      <c r="PEG58" s="10"/>
      <c r="PEH58" s="10"/>
      <c r="PEI58" s="10"/>
      <c r="PEJ58" s="10"/>
      <c r="PEK58" s="10"/>
      <c r="PEL58" s="10"/>
      <c r="PEM58" s="10"/>
      <c r="PEN58" s="10"/>
      <c r="PEO58" s="10"/>
      <c r="PEP58" s="10"/>
      <c r="PEQ58" s="10"/>
      <c r="PER58" s="10"/>
      <c r="PES58" s="10"/>
      <c r="PET58" s="10"/>
      <c r="PEU58" s="10"/>
      <c r="PEV58" s="10"/>
      <c r="PEW58" s="10"/>
      <c r="PEX58" s="10"/>
      <c r="PEY58" s="10"/>
      <c r="PEZ58" s="10"/>
      <c r="PFA58" s="10"/>
      <c r="PFB58" s="10"/>
      <c r="PFC58" s="10"/>
      <c r="PFD58" s="10"/>
      <c r="PFE58" s="10"/>
      <c r="PFF58" s="10"/>
      <c r="PFG58" s="10"/>
      <c r="PFH58" s="10"/>
      <c r="PFI58" s="10"/>
      <c r="PFJ58" s="10"/>
      <c r="PFK58" s="10"/>
      <c r="PFL58" s="10"/>
      <c r="PFM58" s="10"/>
      <c r="PFN58" s="10"/>
      <c r="PFO58" s="10"/>
      <c r="PFP58" s="10"/>
      <c r="PFQ58" s="10"/>
      <c r="PFR58" s="10"/>
      <c r="PFS58" s="10"/>
      <c r="PFT58" s="10"/>
      <c r="PFU58" s="10"/>
      <c r="PFV58" s="10"/>
      <c r="PFW58" s="10"/>
      <c r="PFX58" s="10"/>
      <c r="PFY58" s="10"/>
      <c r="PFZ58" s="10"/>
      <c r="PGA58" s="10"/>
      <c r="PGB58" s="10"/>
      <c r="PGC58" s="10"/>
      <c r="PGD58" s="10"/>
      <c r="PGE58" s="10"/>
      <c r="PGF58" s="10"/>
      <c r="PGG58" s="10"/>
      <c r="PGH58" s="10"/>
      <c r="PGI58" s="10"/>
      <c r="PGJ58" s="10"/>
      <c r="PGK58" s="10"/>
      <c r="PGL58" s="10"/>
      <c r="PGM58" s="10"/>
      <c r="PGN58" s="10"/>
      <c r="PGO58" s="10"/>
      <c r="PGP58" s="10"/>
      <c r="PGQ58" s="10"/>
      <c r="PGR58" s="10"/>
      <c r="PGS58" s="10"/>
      <c r="PGT58" s="10"/>
      <c r="PGU58" s="10"/>
      <c r="PGV58" s="10"/>
      <c r="PGW58" s="10"/>
      <c r="PGX58" s="10"/>
      <c r="PGY58" s="10"/>
      <c r="PGZ58" s="10"/>
      <c r="PHA58" s="10"/>
      <c r="PHB58" s="10"/>
      <c r="PHC58" s="10"/>
      <c r="PHD58" s="10"/>
      <c r="PHE58" s="10"/>
      <c r="PHF58" s="10"/>
      <c r="PHG58" s="10"/>
      <c r="PHH58" s="10"/>
      <c r="PHI58" s="10"/>
      <c r="PHJ58" s="10"/>
      <c r="PHK58" s="10"/>
      <c r="PHL58" s="10"/>
      <c r="PHM58" s="10"/>
      <c r="PHN58" s="10"/>
      <c r="PHO58" s="10"/>
      <c r="PHP58" s="10"/>
      <c r="PHQ58" s="10"/>
      <c r="PHR58" s="10"/>
      <c r="PHS58" s="10"/>
      <c r="PHT58" s="10"/>
      <c r="PHU58" s="10"/>
      <c r="PHV58" s="10"/>
      <c r="PHW58" s="10"/>
      <c r="PHX58" s="10"/>
      <c r="PHY58" s="10"/>
      <c r="PHZ58" s="10"/>
      <c r="PIA58" s="10"/>
      <c r="PIB58" s="10"/>
      <c r="PIC58" s="10"/>
      <c r="PID58" s="10"/>
      <c r="PIE58" s="10"/>
      <c r="PIF58" s="10"/>
      <c r="PIG58" s="10"/>
      <c r="PIH58" s="10"/>
      <c r="PII58" s="10"/>
      <c r="PIJ58" s="10"/>
      <c r="PIK58" s="10"/>
      <c r="PIL58" s="10"/>
      <c r="PIM58" s="10"/>
      <c r="PIN58" s="10"/>
      <c r="PIO58" s="10"/>
      <c r="PIP58" s="10"/>
      <c r="PIQ58" s="10"/>
      <c r="PIR58" s="10"/>
      <c r="PIS58" s="10"/>
      <c r="PIT58" s="10"/>
      <c r="PIU58" s="10"/>
      <c r="PIV58" s="10"/>
      <c r="PIW58" s="10"/>
      <c r="PIX58" s="10"/>
      <c r="PIY58" s="10"/>
      <c r="PIZ58" s="10"/>
      <c r="PJA58" s="10"/>
      <c r="PJB58" s="10"/>
      <c r="PJC58" s="10"/>
      <c r="PJD58" s="10"/>
      <c r="PJE58" s="10"/>
      <c r="PJF58" s="10"/>
      <c r="PJG58" s="10"/>
      <c r="PJH58" s="10"/>
      <c r="PJI58" s="10"/>
      <c r="PJJ58" s="10"/>
      <c r="PJK58" s="10"/>
      <c r="PJL58" s="10"/>
      <c r="PJM58" s="10"/>
      <c r="PJN58" s="10"/>
      <c r="PJO58" s="10"/>
      <c r="PJP58" s="10"/>
      <c r="PJQ58" s="10"/>
      <c r="PJR58" s="10"/>
      <c r="PJS58" s="10"/>
      <c r="PJT58" s="10"/>
      <c r="PJU58" s="10"/>
      <c r="PJV58" s="10"/>
      <c r="PJW58" s="10"/>
      <c r="PJX58" s="10"/>
      <c r="PJY58" s="10"/>
      <c r="PJZ58" s="10"/>
      <c r="PKA58" s="10"/>
      <c r="PKB58" s="10"/>
      <c r="PKC58" s="10"/>
      <c r="PKD58" s="10"/>
      <c r="PKE58" s="10"/>
      <c r="PKF58" s="10"/>
      <c r="PKG58" s="10"/>
      <c r="PKH58" s="10"/>
      <c r="PKI58" s="10"/>
      <c r="PKJ58" s="10"/>
      <c r="PKK58" s="10"/>
      <c r="PKL58" s="10"/>
      <c r="PKM58" s="10"/>
      <c r="PKN58" s="10"/>
      <c r="PKO58" s="10"/>
      <c r="PKP58" s="10"/>
      <c r="PKQ58" s="10"/>
      <c r="PKR58" s="10"/>
      <c r="PKS58" s="10"/>
      <c r="PKT58" s="10"/>
      <c r="PKU58" s="10"/>
      <c r="PKV58" s="10"/>
      <c r="PKW58" s="10"/>
      <c r="PKX58" s="10"/>
      <c r="PKY58" s="10"/>
      <c r="PKZ58" s="10"/>
      <c r="PLA58" s="10"/>
      <c r="PLB58" s="10"/>
      <c r="PLC58" s="10"/>
      <c r="PLD58" s="10"/>
      <c r="PLE58" s="10"/>
      <c r="PLF58" s="10"/>
      <c r="PLG58" s="10"/>
      <c r="PLH58" s="10"/>
      <c r="PLI58" s="10"/>
      <c r="PLJ58" s="10"/>
      <c r="PLK58" s="10"/>
      <c r="PLL58" s="10"/>
      <c r="PLM58" s="10"/>
      <c r="PLN58" s="10"/>
      <c r="PLO58" s="10"/>
      <c r="PLP58" s="10"/>
      <c r="PLQ58" s="10"/>
      <c r="PLR58" s="10"/>
      <c r="PLS58" s="10"/>
      <c r="PLT58" s="10"/>
      <c r="PLU58" s="10"/>
      <c r="PLV58" s="10"/>
      <c r="PLW58" s="10"/>
      <c r="PLX58" s="10"/>
      <c r="PLY58" s="10"/>
      <c r="PLZ58" s="10"/>
      <c r="PMA58" s="10"/>
      <c r="PMB58" s="10"/>
      <c r="PMC58" s="10"/>
      <c r="PMD58" s="10"/>
      <c r="PME58" s="10"/>
      <c r="PMF58" s="10"/>
      <c r="PMG58" s="10"/>
      <c r="PMH58" s="10"/>
      <c r="PMI58" s="10"/>
      <c r="PMJ58" s="10"/>
      <c r="PMK58" s="10"/>
      <c r="PML58" s="10"/>
      <c r="PMM58" s="10"/>
      <c r="PMN58" s="10"/>
      <c r="PMO58" s="10"/>
      <c r="PMP58" s="10"/>
      <c r="PMQ58" s="10"/>
      <c r="PMR58" s="10"/>
      <c r="PMS58" s="10"/>
      <c r="PMT58" s="10"/>
      <c r="PMU58" s="10"/>
      <c r="PMV58" s="10"/>
      <c r="PMW58" s="10"/>
      <c r="PMX58" s="10"/>
      <c r="PMY58" s="10"/>
      <c r="PMZ58" s="10"/>
      <c r="PNA58" s="10"/>
      <c r="PNB58" s="10"/>
      <c r="PNC58" s="10"/>
      <c r="PND58" s="10"/>
      <c r="PNE58" s="10"/>
      <c r="PNF58" s="10"/>
      <c r="PNG58" s="10"/>
      <c r="PNH58" s="10"/>
      <c r="PNI58" s="10"/>
      <c r="PNJ58" s="10"/>
      <c r="PNK58" s="10"/>
      <c r="PNL58" s="10"/>
      <c r="PNM58" s="10"/>
      <c r="PNN58" s="10"/>
      <c r="PNO58" s="10"/>
      <c r="PNP58" s="10"/>
      <c r="PNQ58" s="10"/>
      <c r="PNR58" s="10"/>
      <c r="PNS58" s="10"/>
      <c r="PNT58" s="10"/>
      <c r="PNU58" s="10"/>
      <c r="PNV58" s="10"/>
      <c r="PNW58" s="10"/>
      <c r="PNX58" s="10"/>
      <c r="PNY58" s="10"/>
      <c r="PNZ58" s="10"/>
      <c r="POA58" s="10"/>
      <c r="POB58" s="10"/>
      <c r="POC58" s="10"/>
      <c r="POD58" s="10"/>
      <c r="POE58" s="10"/>
      <c r="POF58" s="10"/>
      <c r="POG58" s="10"/>
      <c r="POH58" s="10"/>
      <c r="POI58" s="10"/>
      <c r="POJ58" s="10"/>
      <c r="POK58" s="10"/>
      <c r="POL58" s="10"/>
      <c r="POM58" s="10"/>
      <c r="PON58" s="10"/>
      <c r="POO58" s="10"/>
      <c r="POP58" s="10"/>
      <c r="POQ58" s="10"/>
      <c r="POR58" s="10"/>
      <c r="POS58" s="10"/>
      <c r="POT58" s="10"/>
      <c r="POU58" s="10"/>
      <c r="POV58" s="10"/>
      <c r="POW58" s="10"/>
      <c r="POX58" s="10"/>
      <c r="POY58" s="10"/>
      <c r="POZ58" s="10"/>
      <c r="PPA58" s="10"/>
      <c r="PPB58" s="10"/>
      <c r="PPC58" s="10"/>
      <c r="PPD58" s="10"/>
      <c r="PPE58" s="10"/>
      <c r="PPF58" s="10"/>
      <c r="PPG58" s="10"/>
      <c r="PPH58" s="10"/>
      <c r="PPI58" s="10"/>
      <c r="PPJ58" s="10"/>
      <c r="PPK58" s="10"/>
      <c r="PPL58" s="10"/>
      <c r="PPM58" s="10"/>
      <c r="PPN58" s="10"/>
      <c r="PPO58" s="10"/>
      <c r="PPP58" s="10"/>
      <c r="PPQ58" s="10"/>
      <c r="PPR58" s="10"/>
      <c r="PPS58" s="10"/>
      <c r="PPT58" s="10"/>
      <c r="PPU58" s="10"/>
      <c r="PPV58" s="10"/>
      <c r="PPW58" s="10"/>
      <c r="PPX58" s="10"/>
      <c r="PPY58" s="10"/>
      <c r="PPZ58" s="10"/>
      <c r="PQA58" s="10"/>
      <c r="PQB58" s="10"/>
      <c r="PQC58" s="10"/>
      <c r="PQD58" s="10"/>
      <c r="PQE58" s="10"/>
      <c r="PQF58" s="10"/>
      <c r="PQG58" s="10"/>
      <c r="PQH58" s="10"/>
      <c r="PQI58" s="10"/>
      <c r="PQJ58" s="10"/>
      <c r="PQK58" s="10"/>
      <c r="PQL58" s="10"/>
      <c r="PQM58" s="10"/>
      <c r="PQN58" s="10"/>
      <c r="PQO58" s="10"/>
      <c r="PQP58" s="10"/>
      <c r="PQQ58" s="10"/>
      <c r="PQR58" s="10"/>
      <c r="PQS58" s="10"/>
      <c r="PQT58" s="10"/>
      <c r="PQU58" s="10"/>
      <c r="PQV58" s="10"/>
      <c r="PQW58" s="10"/>
      <c r="PQX58" s="10"/>
      <c r="PQY58" s="10"/>
      <c r="PQZ58" s="10"/>
      <c r="PRA58" s="10"/>
      <c r="PRB58" s="10"/>
      <c r="PRC58" s="10"/>
      <c r="PRD58" s="10"/>
      <c r="PRE58" s="10"/>
      <c r="PRF58" s="10"/>
      <c r="PRG58" s="10"/>
      <c r="PRH58" s="10"/>
      <c r="PRI58" s="10"/>
      <c r="PRJ58" s="10"/>
      <c r="PRK58" s="10"/>
      <c r="PRL58" s="10"/>
      <c r="PRM58" s="10"/>
      <c r="PRN58" s="10"/>
      <c r="PRO58" s="10"/>
      <c r="PRP58" s="10"/>
      <c r="PRQ58" s="10"/>
      <c r="PRR58" s="10"/>
      <c r="PRS58" s="10"/>
      <c r="PRT58" s="10"/>
      <c r="PRU58" s="10"/>
      <c r="PRV58" s="10"/>
      <c r="PRW58" s="10"/>
      <c r="PRX58" s="10"/>
      <c r="PRY58" s="10"/>
      <c r="PRZ58" s="10"/>
      <c r="PSA58" s="10"/>
      <c r="PSB58" s="10"/>
      <c r="PSC58" s="10"/>
      <c r="PSD58" s="10"/>
      <c r="PSE58" s="10"/>
      <c r="PSF58" s="10"/>
      <c r="PSG58" s="10"/>
      <c r="PSH58" s="10"/>
      <c r="PSI58" s="10"/>
      <c r="PSJ58" s="10"/>
      <c r="PSK58" s="10"/>
      <c r="PSL58" s="10"/>
      <c r="PSM58" s="10"/>
      <c r="PSN58" s="10"/>
      <c r="PSO58" s="10"/>
      <c r="PSP58" s="10"/>
      <c r="PSQ58" s="10"/>
      <c r="PSR58" s="10"/>
      <c r="PSS58" s="10"/>
      <c r="PST58" s="10"/>
      <c r="PSU58" s="10"/>
      <c r="PSV58" s="10"/>
      <c r="PSW58" s="10"/>
      <c r="PSX58" s="10"/>
      <c r="PSY58" s="10"/>
      <c r="PSZ58" s="10"/>
      <c r="PTA58" s="10"/>
      <c r="PTB58" s="10"/>
      <c r="PTC58" s="10"/>
      <c r="PTD58" s="10"/>
      <c r="PTE58" s="10"/>
      <c r="PTF58" s="10"/>
      <c r="PTG58" s="10"/>
      <c r="PTH58" s="10"/>
      <c r="PTI58" s="10"/>
      <c r="PTJ58" s="10"/>
      <c r="PTK58" s="10"/>
      <c r="PTL58" s="10"/>
      <c r="PTM58" s="10"/>
      <c r="PTN58" s="10"/>
      <c r="PTO58" s="10"/>
      <c r="PTP58" s="10"/>
      <c r="PTQ58" s="10"/>
      <c r="PTR58" s="10"/>
      <c r="PTS58" s="10"/>
      <c r="PTT58" s="10"/>
      <c r="PTU58" s="10"/>
      <c r="PTV58" s="10"/>
      <c r="PTW58" s="10"/>
      <c r="PTX58" s="10"/>
      <c r="PTY58" s="10"/>
      <c r="PTZ58" s="10"/>
      <c r="PUA58" s="10"/>
      <c r="PUB58" s="10"/>
      <c r="PUC58" s="10"/>
      <c r="PUD58" s="10"/>
      <c r="PUE58" s="10"/>
      <c r="PUF58" s="10"/>
      <c r="PUG58" s="10"/>
      <c r="PUH58" s="10"/>
      <c r="PUI58" s="10"/>
      <c r="PUJ58" s="10"/>
      <c r="PUK58" s="10"/>
      <c r="PUL58" s="10"/>
      <c r="PUM58" s="10"/>
      <c r="PUN58" s="10"/>
      <c r="PUO58" s="10"/>
      <c r="PUP58" s="10"/>
      <c r="PUQ58" s="10"/>
      <c r="PUR58" s="10"/>
      <c r="PUS58" s="10"/>
      <c r="PUT58" s="10"/>
      <c r="PUU58" s="10"/>
      <c r="PUV58" s="10"/>
      <c r="PUW58" s="10"/>
      <c r="PUX58" s="10"/>
      <c r="PUY58" s="10"/>
      <c r="PUZ58" s="10"/>
      <c r="PVA58" s="10"/>
      <c r="PVB58" s="10"/>
      <c r="PVC58" s="10"/>
      <c r="PVD58" s="10"/>
      <c r="PVE58" s="10"/>
      <c r="PVF58" s="10"/>
      <c r="PVG58" s="10"/>
      <c r="PVH58" s="10"/>
      <c r="PVI58" s="10"/>
      <c r="PVJ58" s="10"/>
      <c r="PVK58" s="10"/>
      <c r="PVL58" s="10"/>
      <c r="PVM58" s="10"/>
      <c r="PVN58" s="10"/>
      <c r="PVO58" s="10"/>
      <c r="PVP58" s="10"/>
      <c r="PVQ58" s="10"/>
      <c r="PVR58" s="10"/>
      <c r="PVS58" s="10"/>
      <c r="PVT58" s="10"/>
      <c r="PVU58" s="10"/>
      <c r="PVV58" s="10"/>
      <c r="PVW58" s="10"/>
      <c r="PVX58" s="10"/>
      <c r="PVY58" s="10"/>
      <c r="PVZ58" s="10"/>
      <c r="PWA58" s="10"/>
      <c r="PWB58" s="10"/>
      <c r="PWC58" s="10"/>
      <c r="PWD58" s="10"/>
      <c r="PWE58" s="10"/>
      <c r="PWF58" s="10"/>
      <c r="PWG58" s="10"/>
      <c r="PWH58" s="10"/>
      <c r="PWI58" s="10"/>
      <c r="PWJ58" s="10"/>
      <c r="PWK58" s="10"/>
      <c r="PWL58" s="10"/>
      <c r="PWM58" s="10"/>
      <c r="PWN58" s="10"/>
      <c r="PWO58" s="10"/>
      <c r="PWP58" s="10"/>
      <c r="PWQ58" s="10"/>
      <c r="PWR58" s="10"/>
      <c r="PWS58" s="10"/>
      <c r="PWT58" s="10"/>
      <c r="PWU58" s="10"/>
      <c r="PWV58" s="10"/>
      <c r="PWW58" s="10"/>
      <c r="PWX58" s="10"/>
      <c r="PWY58" s="10"/>
      <c r="PWZ58" s="10"/>
      <c r="PXA58" s="10"/>
      <c r="PXB58" s="10"/>
      <c r="PXC58" s="10"/>
      <c r="PXD58" s="10"/>
      <c r="PXE58" s="10"/>
      <c r="PXF58" s="10"/>
      <c r="PXG58" s="10"/>
      <c r="PXH58" s="10"/>
      <c r="PXI58" s="10"/>
      <c r="PXJ58" s="10"/>
      <c r="PXK58" s="10"/>
      <c r="PXL58" s="10"/>
      <c r="PXM58" s="10"/>
      <c r="PXN58" s="10"/>
      <c r="PXO58" s="10"/>
      <c r="PXP58" s="10"/>
      <c r="PXQ58" s="10"/>
      <c r="PXR58" s="10"/>
      <c r="PXS58" s="10"/>
      <c r="PXT58" s="10"/>
      <c r="PXU58" s="10"/>
      <c r="PXV58" s="10"/>
      <c r="PXW58" s="10"/>
      <c r="PXX58" s="10"/>
      <c r="PXY58" s="10"/>
      <c r="PXZ58" s="10"/>
      <c r="PYA58" s="10"/>
      <c r="PYB58" s="10"/>
      <c r="PYC58" s="10"/>
      <c r="PYD58" s="10"/>
      <c r="PYE58" s="10"/>
      <c r="PYF58" s="10"/>
      <c r="PYG58" s="10"/>
      <c r="PYH58" s="10"/>
      <c r="PYI58" s="10"/>
      <c r="PYJ58" s="10"/>
      <c r="PYK58" s="10"/>
      <c r="PYL58" s="10"/>
      <c r="PYM58" s="10"/>
      <c r="PYN58" s="10"/>
      <c r="PYO58" s="10"/>
      <c r="PYP58" s="10"/>
      <c r="PYQ58" s="10"/>
      <c r="PYR58" s="10"/>
      <c r="PYS58" s="10"/>
      <c r="PYT58" s="10"/>
      <c r="PYU58" s="10"/>
      <c r="PYV58" s="10"/>
      <c r="PYW58" s="10"/>
      <c r="PYX58" s="10"/>
      <c r="PYY58" s="10"/>
      <c r="PYZ58" s="10"/>
      <c r="PZA58" s="10"/>
      <c r="PZB58" s="10"/>
      <c r="PZC58" s="10"/>
      <c r="PZD58" s="10"/>
      <c r="PZE58" s="10"/>
      <c r="PZF58" s="10"/>
      <c r="PZG58" s="10"/>
      <c r="PZH58" s="10"/>
      <c r="PZI58" s="10"/>
      <c r="PZJ58" s="10"/>
      <c r="PZK58" s="10"/>
      <c r="PZL58" s="10"/>
      <c r="PZM58" s="10"/>
      <c r="PZN58" s="10"/>
      <c r="PZO58" s="10"/>
      <c r="PZP58" s="10"/>
      <c r="PZQ58" s="10"/>
      <c r="PZR58" s="10"/>
      <c r="PZS58" s="10"/>
      <c r="PZT58" s="10"/>
      <c r="PZU58" s="10"/>
      <c r="PZV58" s="10"/>
      <c r="PZW58" s="10"/>
      <c r="PZX58" s="10"/>
      <c r="PZY58" s="10"/>
      <c r="PZZ58" s="10"/>
      <c r="QAA58" s="10"/>
      <c r="QAB58" s="10"/>
      <c r="QAC58" s="10"/>
      <c r="QAD58" s="10"/>
      <c r="QAE58" s="10"/>
      <c r="QAF58" s="10"/>
      <c r="QAG58" s="10"/>
      <c r="QAH58" s="10"/>
      <c r="QAI58" s="10"/>
      <c r="QAJ58" s="10"/>
      <c r="QAK58" s="10"/>
      <c r="QAL58" s="10"/>
      <c r="QAM58" s="10"/>
      <c r="QAN58" s="10"/>
      <c r="QAO58" s="10"/>
      <c r="QAP58" s="10"/>
      <c r="QAQ58" s="10"/>
      <c r="QAR58" s="10"/>
      <c r="QAS58" s="10"/>
      <c r="QAT58" s="10"/>
      <c r="QAU58" s="10"/>
      <c r="QAV58" s="10"/>
      <c r="QAW58" s="10"/>
      <c r="QAX58" s="10"/>
      <c r="QAY58" s="10"/>
      <c r="QAZ58" s="10"/>
      <c r="QBA58" s="10"/>
      <c r="QBB58" s="10"/>
      <c r="QBC58" s="10"/>
      <c r="QBD58" s="10"/>
      <c r="QBE58" s="10"/>
      <c r="QBF58" s="10"/>
      <c r="QBG58" s="10"/>
      <c r="QBH58" s="10"/>
      <c r="QBI58" s="10"/>
      <c r="QBJ58" s="10"/>
      <c r="QBK58" s="10"/>
      <c r="QBL58" s="10"/>
      <c r="QBM58" s="10"/>
      <c r="QBN58" s="10"/>
      <c r="QBO58" s="10"/>
      <c r="QBP58" s="10"/>
      <c r="QBQ58" s="10"/>
      <c r="QBR58" s="10"/>
      <c r="QBS58" s="10"/>
      <c r="QBT58" s="10"/>
      <c r="QBU58" s="10"/>
      <c r="QBV58" s="10"/>
      <c r="QBW58" s="10"/>
      <c r="QBX58" s="10"/>
      <c r="QBY58" s="10"/>
      <c r="QBZ58" s="10"/>
      <c r="QCA58" s="10"/>
      <c r="QCB58" s="10"/>
      <c r="QCC58" s="10"/>
      <c r="QCD58" s="10"/>
      <c r="QCE58" s="10"/>
      <c r="QCF58" s="10"/>
      <c r="QCG58" s="10"/>
      <c r="QCH58" s="10"/>
      <c r="QCI58" s="10"/>
      <c r="QCJ58" s="10"/>
      <c r="QCK58" s="10"/>
      <c r="QCL58" s="10"/>
      <c r="QCM58" s="10"/>
      <c r="QCN58" s="10"/>
      <c r="QCO58" s="10"/>
      <c r="QCP58" s="10"/>
      <c r="QCQ58" s="10"/>
      <c r="QCR58" s="10"/>
      <c r="QCS58" s="10"/>
      <c r="QCT58" s="10"/>
      <c r="QCU58" s="10"/>
      <c r="QCV58" s="10"/>
      <c r="QCW58" s="10"/>
      <c r="QCX58" s="10"/>
      <c r="QCY58" s="10"/>
      <c r="QCZ58" s="10"/>
      <c r="QDA58" s="10"/>
      <c r="QDB58" s="10"/>
      <c r="QDC58" s="10"/>
      <c r="QDD58" s="10"/>
      <c r="QDE58" s="10"/>
      <c r="QDF58" s="10"/>
      <c r="QDG58" s="10"/>
      <c r="QDH58" s="10"/>
      <c r="QDI58" s="10"/>
      <c r="QDJ58" s="10"/>
      <c r="QDK58" s="10"/>
      <c r="QDL58" s="10"/>
      <c r="QDM58" s="10"/>
      <c r="QDN58" s="10"/>
      <c r="QDO58" s="10"/>
      <c r="QDP58" s="10"/>
      <c r="QDQ58" s="10"/>
      <c r="QDR58" s="10"/>
      <c r="QDS58" s="10"/>
      <c r="QDT58" s="10"/>
      <c r="QDU58" s="10"/>
      <c r="QDV58" s="10"/>
      <c r="QDW58" s="10"/>
      <c r="QDX58" s="10"/>
      <c r="QDY58" s="10"/>
      <c r="QDZ58" s="10"/>
      <c r="QEA58" s="10"/>
      <c r="QEB58" s="10"/>
      <c r="QEC58" s="10"/>
      <c r="QED58" s="10"/>
      <c r="QEE58" s="10"/>
      <c r="QEF58" s="10"/>
      <c r="QEG58" s="10"/>
      <c r="QEH58" s="10"/>
      <c r="QEI58" s="10"/>
      <c r="QEJ58" s="10"/>
      <c r="QEK58" s="10"/>
      <c r="QEL58" s="10"/>
      <c r="QEM58" s="10"/>
      <c r="QEN58" s="10"/>
      <c r="QEO58" s="10"/>
      <c r="QEP58" s="10"/>
      <c r="QEQ58" s="10"/>
      <c r="QER58" s="10"/>
      <c r="QES58" s="10"/>
      <c r="QET58" s="10"/>
      <c r="QEU58" s="10"/>
      <c r="QEV58" s="10"/>
      <c r="QEW58" s="10"/>
      <c r="QEX58" s="10"/>
      <c r="QEY58" s="10"/>
      <c r="QEZ58" s="10"/>
      <c r="QFA58" s="10"/>
      <c r="QFB58" s="10"/>
      <c r="QFC58" s="10"/>
      <c r="QFD58" s="10"/>
      <c r="QFE58" s="10"/>
      <c r="QFF58" s="10"/>
      <c r="QFG58" s="10"/>
      <c r="QFH58" s="10"/>
      <c r="QFI58" s="10"/>
      <c r="QFJ58" s="10"/>
      <c r="QFK58" s="10"/>
      <c r="QFL58" s="10"/>
      <c r="QFM58" s="10"/>
      <c r="QFN58" s="10"/>
      <c r="QFO58" s="10"/>
      <c r="QFP58" s="10"/>
      <c r="QFQ58" s="10"/>
      <c r="QFR58" s="10"/>
      <c r="QFS58" s="10"/>
      <c r="QFT58" s="10"/>
      <c r="QFU58" s="10"/>
      <c r="QFV58" s="10"/>
      <c r="QFW58" s="10"/>
      <c r="QFX58" s="10"/>
      <c r="QFY58" s="10"/>
      <c r="QFZ58" s="10"/>
      <c r="QGA58" s="10"/>
      <c r="QGB58" s="10"/>
      <c r="QGC58" s="10"/>
      <c r="QGD58" s="10"/>
      <c r="QGE58" s="10"/>
      <c r="QGF58" s="10"/>
      <c r="QGG58" s="10"/>
      <c r="QGH58" s="10"/>
      <c r="QGI58" s="10"/>
      <c r="QGJ58" s="10"/>
      <c r="QGK58" s="10"/>
      <c r="QGL58" s="10"/>
      <c r="QGM58" s="10"/>
      <c r="QGN58" s="10"/>
      <c r="QGO58" s="10"/>
      <c r="QGP58" s="10"/>
      <c r="QGQ58" s="10"/>
      <c r="QGR58" s="10"/>
      <c r="QGS58" s="10"/>
      <c r="QGT58" s="10"/>
      <c r="QGU58" s="10"/>
      <c r="QGV58" s="10"/>
      <c r="QGW58" s="10"/>
      <c r="QGX58" s="10"/>
      <c r="QGY58" s="10"/>
      <c r="QGZ58" s="10"/>
      <c r="QHA58" s="10"/>
      <c r="QHB58" s="10"/>
      <c r="QHC58" s="10"/>
      <c r="QHD58" s="10"/>
      <c r="QHE58" s="10"/>
      <c r="QHF58" s="10"/>
      <c r="QHG58" s="10"/>
      <c r="QHH58" s="10"/>
      <c r="QHI58" s="10"/>
      <c r="QHJ58" s="10"/>
      <c r="QHK58" s="10"/>
      <c r="QHL58" s="10"/>
      <c r="QHM58" s="10"/>
      <c r="QHN58" s="10"/>
      <c r="QHO58" s="10"/>
      <c r="QHP58" s="10"/>
      <c r="QHQ58" s="10"/>
      <c r="QHR58" s="10"/>
      <c r="QHS58" s="10"/>
      <c r="QHT58" s="10"/>
      <c r="QHU58" s="10"/>
      <c r="QHV58" s="10"/>
      <c r="QHW58" s="10"/>
      <c r="QHX58" s="10"/>
      <c r="QHY58" s="10"/>
      <c r="QHZ58" s="10"/>
      <c r="QIA58" s="10"/>
      <c r="QIB58" s="10"/>
      <c r="QIC58" s="10"/>
      <c r="QID58" s="10"/>
      <c r="QIE58" s="10"/>
      <c r="QIF58" s="10"/>
      <c r="QIG58" s="10"/>
      <c r="QIH58" s="10"/>
      <c r="QII58" s="10"/>
      <c r="QIJ58" s="10"/>
      <c r="QIK58" s="10"/>
      <c r="QIL58" s="10"/>
      <c r="QIM58" s="10"/>
      <c r="QIN58" s="10"/>
      <c r="QIO58" s="10"/>
      <c r="QIP58" s="10"/>
      <c r="QIQ58" s="10"/>
      <c r="QIR58" s="10"/>
      <c r="QIS58" s="10"/>
      <c r="QIT58" s="10"/>
      <c r="QIU58" s="10"/>
      <c r="QIV58" s="10"/>
      <c r="QIW58" s="10"/>
      <c r="QIX58" s="10"/>
      <c r="QIY58" s="10"/>
      <c r="QIZ58" s="10"/>
      <c r="QJA58" s="10"/>
      <c r="QJB58" s="10"/>
      <c r="QJC58" s="10"/>
      <c r="QJD58" s="10"/>
      <c r="QJE58" s="10"/>
      <c r="QJF58" s="10"/>
      <c r="QJG58" s="10"/>
      <c r="QJH58" s="10"/>
      <c r="QJI58" s="10"/>
      <c r="QJJ58" s="10"/>
      <c r="QJK58" s="10"/>
      <c r="QJL58" s="10"/>
      <c r="QJM58" s="10"/>
      <c r="QJN58" s="10"/>
      <c r="QJO58" s="10"/>
      <c r="QJP58" s="10"/>
      <c r="QJQ58" s="10"/>
      <c r="QJR58" s="10"/>
      <c r="QJS58" s="10"/>
      <c r="QJT58" s="10"/>
      <c r="QJU58" s="10"/>
      <c r="QJV58" s="10"/>
      <c r="QJW58" s="10"/>
      <c r="QJX58" s="10"/>
      <c r="QJY58" s="10"/>
      <c r="QJZ58" s="10"/>
      <c r="QKA58" s="10"/>
      <c r="QKB58" s="10"/>
      <c r="QKC58" s="10"/>
      <c r="QKD58" s="10"/>
      <c r="QKE58" s="10"/>
      <c r="QKF58" s="10"/>
      <c r="QKG58" s="10"/>
      <c r="QKH58" s="10"/>
      <c r="QKI58" s="10"/>
      <c r="QKJ58" s="10"/>
      <c r="QKK58" s="10"/>
      <c r="QKL58" s="10"/>
      <c r="QKM58" s="10"/>
      <c r="QKN58" s="10"/>
      <c r="QKO58" s="10"/>
      <c r="QKP58" s="10"/>
      <c r="QKQ58" s="10"/>
      <c r="QKR58" s="10"/>
      <c r="QKS58" s="10"/>
      <c r="QKT58" s="10"/>
      <c r="QKU58" s="10"/>
      <c r="QKV58" s="10"/>
      <c r="QKW58" s="10"/>
      <c r="QKX58" s="10"/>
      <c r="QKY58" s="10"/>
      <c r="QKZ58" s="10"/>
      <c r="QLA58" s="10"/>
      <c r="QLB58" s="10"/>
      <c r="QLC58" s="10"/>
      <c r="QLD58" s="10"/>
      <c r="QLE58" s="10"/>
      <c r="QLF58" s="10"/>
      <c r="QLG58" s="10"/>
      <c r="QLH58" s="10"/>
      <c r="QLI58" s="10"/>
      <c r="QLJ58" s="10"/>
      <c r="QLK58" s="10"/>
      <c r="QLL58" s="10"/>
      <c r="QLM58" s="10"/>
      <c r="QLN58" s="10"/>
      <c r="QLO58" s="10"/>
      <c r="QLP58" s="10"/>
      <c r="QLQ58" s="10"/>
      <c r="QLR58" s="10"/>
      <c r="QLS58" s="10"/>
      <c r="QLT58" s="10"/>
      <c r="QLU58" s="10"/>
      <c r="QLV58" s="10"/>
      <c r="QLW58" s="10"/>
      <c r="QLX58" s="10"/>
      <c r="QLY58" s="10"/>
      <c r="QLZ58" s="10"/>
      <c r="QMA58" s="10"/>
      <c r="QMB58" s="10"/>
      <c r="QMC58" s="10"/>
      <c r="QMD58" s="10"/>
      <c r="QME58" s="10"/>
      <c r="QMF58" s="10"/>
      <c r="QMG58" s="10"/>
      <c r="QMH58" s="10"/>
      <c r="QMI58" s="10"/>
      <c r="QMJ58" s="10"/>
      <c r="QMK58" s="10"/>
      <c r="QML58" s="10"/>
      <c r="QMM58" s="10"/>
      <c r="QMN58" s="10"/>
      <c r="QMO58" s="10"/>
      <c r="QMP58" s="10"/>
      <c r="QMQ58" s="10"/>
      <c r="QMR58" s="10"/>
      <c r="QMS58" s="10"/>
      <c r="QMT58" s="10"/>
      <c r="QMU58" s="10"/>
      <c r="QMV58" s="10"/>
      <c r="QMW58" s="10"/>
      <c r="QMX58" s="10"/>
      <c r="QMY58" s="10"/>
      <c r="QMZ58" s="10"/>
      <c r="QNA58" s="10"/>
      <c r="QNB58" s="10"/>
      <c r="QNC58" s="10"/>
      <c r="QND58" s="10"/>
      <c r="QNE58" s="10"/>
      <c r="QNF58" s="10"/>
      <c r="QNG58" s="10"/>
      <c r="QNH58" s="10"/>
      <c r="QNI58" s="10"/>
      <c r="QNJ58" s="10"/>
      <c r="QNK58" s="10"/>
      <c r="QNL58" s="10"/>
      <c r="QNM58" s="10"/>
      <c r="QNN58" s="10"/>
      <c r="QNO58" s="10"/>
      <c r="QNP58" s="10"/>
      <c r="QNQ58" s="10"/>
      <c r="QNR58" s="10"/>
      <c r="QNS58" s="10"/>
      <c r="QNT58" s="10"/>
      <c r="QNU58" s="10"/>
      <c r="QNV58" s="10"/>
      <c r="QNW58" s="10"/>
      <c r="QNX58" s="10"/>
      <c r="QNY58" s="10"/>
      <c r="QNZ58" s="10"/>
      <c r="QOA58" s="10"/>
      <c r="QOB58" s="10"/>
      <c r="QOC58" s="10"/>
      <c r="QOD58" s="10"/>
      <c r="QOE58" s="10"/>
      <c r="QOF58" s="10"/>
      <c r="QOG58" s="10"/>
      <c r="QOH58" s="10"/>
      <c r="QOI58" s="10"/>
      <c r="QOJ58" s="10"/>
      <c r="QOK58" s="10"/>
      <c r="QOL58" s="10"/>
      <c r="QOM58" s="10"/>
      <c r="QON58" s="10"/>
      <c r="QOO58" s="10"/>
      <c r="QOP58" s="10"/>
      <c r="QOQ58" s="10"/>
      <c r="QOR58" s="10"/>
      <c r="QOS58" s="10"/>
      <c r="QOT58" s="10"/>
      <c r="QOU58" s="10"/>
      <c r="QOV58" s="10"/>
      <c r="QOW58" s="10"/>
      <c r="QOX58" s="10"/>
      <c r="QOY58" s="10"/>
      <c r="QOZ58" s="10"/>
      <c r="QPA58" s="10"/>
      <c r="QPB58" s="10"/>
      <c r="QPC58" s="10"/>
      <c r="QPD58" s="10"/>
      <c r="QPE58" s="10"/>
      <c r="QPF58" s="10"/>
      <c r="QPG58" s="10"/>
      <c r="QPH58" s="10"/>
      <c r="QPI58" s="10"/>
      <c r="QPJ58" s="10"/>
      <c r="QPK58" s="10"/>
      <c r="QPL58" s="10"/>
      <c r="QPM58" s="10"/>
      <c r="QPN58" s="10"/>
      <c r="QPO58" s="10"/>
      <c r="QPP58" s="10"/>
      <c r="QPQ58" s="10"/>
      <c r="QPR58" s="10"/>
      <c r="QPS58" s="10"/>
      <c r="QPT58" s="10"/>
      <c r="QPU58" s="10"/>
      <c r="QPV58" s="10"/>
      <c r="QPW58" s="10"/>
      <c r="QPX58" s="10"/>
      <c r="QPY58" s="10"/>
      <c r="QPZ58" s="10"/>
      <c r="QQA58" s="10"/>
      <c r="QQB58" s="10"/>
      <c r="QQC58" s="10"/>
      <c r="QQD58" s="10"/>
      <c r="QQE58" s="10"/>
      <c r="QQF58" s="10"/>
      <c r="QQG58" s="10"/>
      <c r="QQH58" s="10"/>
      <c r="QQI58" s="10"/>
      <c r="QQJ58" s="10"/>
      <c r="QQK58" s="10"/>
      <c r="QQL58" s="10"/>
      <c r="QQM58" s="10"/>
      <c r="QQN58" s="10"/>
      <c r="QQO58" s="10"/>
      <c r="QQP58" s="10"/>
      <c r="QQQ58" s="10"/>
      <c r="QQR58" s="10"/>
      <c r="QQS58" s="10"/>
      <c r="QQT58" s="10"/>
      <c r="QQU58" s="10"/>
      <c r="QQV58" s="10"/>
      <c r="QQW58" s="10"/>
      <c r="QQX58" s="10"/>
      <c r="QQY58" s="10"/>
      <c r="QQZ58" s="10"/>
      <c r="QRA58" s="10"/>
      <c r="QRB58" s="10"/>
      <c r="QRC58" s="10"/>
      <c r="QRD58" s="10"/>
      <c r="QRE58" s="10"/>
      <c r="QRF58" s="10"/>
      <c r="QRG58" s="10"/>
      <c r="QRH58" s="10"/>
      <c r="QRI58" s="10"/>
      <c r="QRJ58" s="10"/>
      <c r="QRK58" s="10"/>
      <c r="QRL58" s="10"/>
      <c r="QRM58" s="10"/>
      <c r="QRN58" s="10"/>
      <c r="QRO58" s="10"/>
      <c r="QRP58" s="10"/>
      <c r="QRQ58" s="10"/>
      <c r="QRR58" s="10"/>
      <c r="QRS58" s="10"/>
      <c r="QRT58" s="10"/>
      <c r="QRU58" s="10"/>
      <c r="QRV58" s="10"/>
      <c r="QRW58" s="10"/>
      <c r="QRX58" s="10"/>
      <c r="QRY58" s="10"/>
      <c r="QRZ58" s="10"/>
      <c r="QSA58" s="10"/>
      <c r="QSB58" s="10"/>
      <c r="QSC58" s="10"/>
      <c r="QSD58" s="10"/>
      <c r="QSE58" s="10"/>
      <c r="QSF58" s="10"/>
      <c r="QSG58" s="10"/>
      <c r="QSH58" s="10"/>
      <c r="QSI58" s="10"/>
      <c r="QSJ58" s="10"/>
      <c r="QSK58" s="10"/>
      <c r="QSL58" s="10"/>
      <c r="QSM58" s="10"/>
      <c r="QSN58" s="10"/>
      <c r="QSO58" s="10"/>
      <c r="QSP58" s="10"/>
      <c r="QSQ58" s="10"/>
      <c r="QSR58" s="10"/>
      <c r="QSS58" s="10"/>
      <c r="QST58" s="10"/>
      <c r="QSU58" s="10"/>
      <c r="QSV58" s="10"/>
      <c r="QSW58" s="10"/>
      <c r="QSX58" s="10"/>
      <c r="QSY58" s="10"/>
      <c r="QSZ58" s="10"/>
      <c r="QTA58" s="10"/>
      <c r="QTB58" s="10"/>
      <c r="QTC58" s="10"/>
      <c r="QTD58" s="10"/>
      <c r="QTE58" s="10"/>
      <c r="QTF58" s="10"/>
      <c r="QTG58" s="10"/>
      <c r="QTH58" s="10"/>
      <c r="QTI58" s="10"/>
      <c r="QTJ58" s="10"/>
      <c r="QTK58" s="10"/>
      <c r="QTL58" s="10"/>
      <c r="QTM58" s="10"/>
      <c r="QTN58" s="10"/>
      <c r="QTO58" s="10"/>
      <c r="QTP58" s="10"/>
      <c r="QTQ58" s="10"/>
      <c r="QTR58" s="10"/>
      <c r="QTS58" s="10"/>
      <c r="QTT58" s="10"/>
      <c r="QTU58" s="10"/>
      <c r="QTV58" s="10"/>
      <c r="QTW58" s="10"/>
      <c r="QTX58" s="10"/>
      <c r="QTY58" s="10"/>
      <c r="QTZ58" s="10"/>
      <c r="QUA58" s="10"/>
      <c r="QUB58" s="10"/>
      <c r="QUC58" s="10"/>
      <c r="QUD58" s="10"/>
      <c r="QUE58" s="10"/>
      <c r="QUF58" s="10"/>
      <c r="QUG58" s="10"/>
      <c r="QUH58" s="10"/>
      <c r="QUI58" s="10"/>
      <c r="QUJ58" s="10"/>
      <c r="QUK58" s="10"/>
      <c r="QUL58" s="10"/>
      <c r="QUM58" s="10"/>
      <c r="QUN58" s="10"/>
      <c r="QUO58" s="10"/>
      <c r="QUP58" s="10"/>
      <c r="QUQ58" s="10"/>
      <c r="QUR58" s="10"/>
      <c r="QUS58" s="10"/>
      <c r="QUT58" s="10"/>
      <c r="QUU58" s="10"/>
      <c r="QUV58" s="10"/>
      <c r="QUW58" s="10"/>
      <c r="QUX58" s="10"/>
      <c r="QUY58" s="10"/>
      <c r="QUZ58" s="10"/>
      <c r="QVA58" s="10"/>
      <c r="QVB58" s="10"/>
      <c r="QVC58" s="10"/>
      <c r="QVD58" s="10"/>
      <c r="QVE58" s="10"/>
      <c r="QVF58" s="10"/>
      <c r="QVG58" s="10"/>
      <c r="QVH58" s="10"/>
      <c r="QVI58" s="10"/>
      <c r="QVJ58" s="10"/>
      <c r="QVK58" s="10"/>
      <c r="QVL58" s="10"/>
      <c r="QVM58" s="10"/>
      <c r="QVN58" s="10"/>
      <c r="QVO58" s="10"/>
      <c r="QVP58" s="10"/>
      <c r="QVQ58" s="10"/>
      <c r="QVR58" s="10"/>
      <c r="QVS58" s="10"/>
      <c r="QVT58" s="10"/>
      <c r="QVU58" s="10"/>
      <c r="QVV58" s="10"/>
      <c r="QVW58" s="10"/>
      <c r="QVX58" s="10"/>
      <c r="QVY58" s="10"/>
      <c r="QVZ58" s="10"/>
      <c r="QWA58" s="10"/>
      <c r="QWB58" s="10"/>
      <c r="QWC58" s="10"/>
      <c r="QWD58" s="10"/>
      <c r="QWE58" s="10"/>
      <c r="QWF58" s="10"/>
      <c r="QWG58" s="10"/>
      <c r="QWH58" s="10"/>
      <c r="QWI58" s="10"/>
      <c r="QWJ58" s="10"/>
      <c r="QWK58" s="10"/>
      <c r="QWL58" s="10"/>
      <c r="QWM58" s="10"/>
      <c r="QWN58" s="10"/>
      <c r="QWO58" s="10"/>
      <c r="QWP58" s="10"/>
      <c r="QWQ58" s="10"/>
      <c r="QWR58" s="10"/>
      <c r="QWS58" s="10"/>
      <c r="QWT58" s="10"/>
      <c r="QWU58" s="10"/>
      <c r="QWV58" s="10"/>
      <c r="QWW58" s="10"/>
      <c r="QWX58" s="10"/>
      <c r="QWY58" s="10"/>
      <c r="QWZ58" s="10"/>
      <c r="QXA58" s="10"/>
      <c r="QXB58" s="10"/>
      <c r="QXC58" s="10"/>
      <c r="QXD58" s="10"/>
      <c r="QXE58" s="10"/>
      <c r="QXF58" s="10"/>
      <c r="QXG58" s="10"/>
      <c r="QXH58" s="10"/>
      <c r="QXI58" s="10"/>
      <c r="QXJ58" s="10"/>
      <c r="QXK58" s="10"/>
      <c r="QXL58" s="10"/>
      <c r="QXM58" s="10"/>
      <c r="QXN58" s="10"/>
      <c r="QXO58" s="10"/>
      <c r="QXP58" s="10"/>
      <c r="QXQ58" s="10"/>
      <c r="QXR58" s="10"/>
      <c r="QXS58" s="10"/>
      <c r="QXT58" s="10"/>
      <c r="QXU58" s="10"/>
      <c r="QXV58" s="10"/>
      <c r="QXW58" s="10"/>
      <c r="QXX58" s="10"/>
      <c r="QXY58" s="10"/>
      <c r="QXZ58" s="10"/>
      <c r="QYA58" s="10"/>
      <c r="QYB58" s="10"/>
      <c r="QYC58" s="10"/>
      <c r="QYD58" s="10"/>
      <c r="QYE58" s="10"/>
      <c r="QYF58" s="10"/>
      <c r="QYG58" s="10"/>
      <c r="QYH58" s="10"/>
      <c r="QYI58" s="10"/>
      <c r="QYJ58" s="10"/>
      <c r="QYK58" s="10"/>
      <c r="QYL58" s="10"/>
      <c r="QYM58" s="10"/>
      <c r="QYN58" s="10"/>
      <c r="QYO58" s="10"/>
      <c r="QYP58" s="10"/>
      <c r="QYQ58" s="10"/>
      <c r="QYR58" s="10"/>
      <c r="QYS58" s="10"/>
      <c r="QYT58" s="10"/>
      <c r="QYU58" s="10"/>
      <c r="QYV58" s="10"/>
      <c r="QYW58" s="10"/>
      <c r="QYX58" s="10"/>
      <c r="QYY58" s="10"/>
      <c r="QYZ58" s="10"/>
      <c r="QZA58" s="10"/>
      <c r="QZB58" s="10"/>
      <c r="QZC58" s="10"/>
      <c r="QZD58" s="10"/>
      <c r="QZE58" s="10"/>
      <c r="QZF58" s="10"/>
      <c r="QZG58" s="10"/>
      <c r="QZH58" s="10"/>
      <c r="QZI58" s="10"/>
      <c r="QZJ58" s="10"/>
      <c r="QZK58" s="10"/>
      <c r="QZL58" s="10"/>
      <c r="QZM58" s="10"/>
      <c r="QZN58" s="10"/>
      <c r="QZO58" s="10"/>
      <c r="QZP58" s="10"/>
      <c r="QZQ58" s="10"/>
      <c r="QZR58" s="10"/>
      <c r="QZS58" s="10"/>
      <c r="QZT58" s="10"/>
      <c r="QZU58" s="10"/>
      <c r="QZV58" s="10"/>
      <c r="QZW58" s="10"/>
      <c r="QZX58" s="10"/>
      <c r="QZY58" s="10"/>
      <c r="QZZ58" s="10"/>
      <c r="RAA58" s="10"/>
      <c r="RAB58" s="10"/>
      <c r="RAC58" s="10"/>
      <c r="RAD58" s="10"/>
      <c r="RAE58" s="10"/>
      <c r="RAF58" s="10"/>
      <c r="RAG58" s="10"/>
      <c r="RAH58" s="10"/>
      <c r="RAI58" s="10"/>
      <c r="RAJ58" s="10"/>
      <c r="RAK58" s="10"/>
      <c r="RAL58" s="10"/>
      <c r="RAM58" s="10"/>
      <c r="RAN58" s="10"/>
      <c r="RAO58" s="10"/>
      <c r="RAP58" s="10"/>
      <c r="RAQ58" s="10"/>
      <c r="RAR58" s="10"/>
      <c r="RAS58" s="10"/>
      <c r="RAT58" s="10"/>
      <c r="RAU58" s="10"/>
      <c r="RAV58" s="10"/>
      <c r="RAW58" s="10"/>
      <c r="RAX58" s="10"/>
      <c r="RAY58" s="10"/>
      <c r="RAZ58" s="10"/>
      <c r="RBA58" s="10"/>
      <c r="RBB58" s="10"/>
      <c r="RBC58" s="10"/>
      <c r="RBD58" s="10"/>
      <c r="RBE58" s="10"/>
      <c r="RBF58" s="10"/>
      <c r="RBG58" s="10"/>
      <c r="RBH58" s="10"/>
      <c r="RBI58" s="10"/>
      <c r="RBJ58" s="10"/>
      <c r="RBK58" s="10"/>
      <c r="RBL58" s="10"/>
      <c r="RBM58" s="10"/>
      <c r="RBN58" s="10"/>
      <c r="RBO58" s="10"/>
      <c r="RBP58" s="10"/>
      <c r="RBQ58" s="10"/>
      <c r="RBR58" s="10"/>
      <c r="RBS58" s="10"/>
      <c r="RBT58" s="10"/>
      <c r="RBU58" s="10"/>
      <c r="RBV58" s="10"/>
      <c r="RBW58" s="10"/>
      <c r="RBX58" s="10"/>
      <c r="RBY58" s="10"/>
      <c r="RBZ58" s="10"/>
      <c r="RCA58" s="10"/>
      <c r="RCB58" s="10"/>
      <c r="RCC58" s="10"/>
      <c r="RCD58" s="10"/>
      <c r="RCE58" s="10"/>
      <c r="RCF58" s="10"/>
      <c r="RCG58" s="10"/>
      <c r="RCH58" s="10"/>
      <c r="RCI58" s="10"/>
      <c r="RCJ58" s="10"/>
      <c r="RCK58" s="10"/>
      <c r="RCL58" s="10"/>
      <c r="RCM58" s="10"/>
      <c r="RCN58" s="10"/>
      <c r="RCO58" s="10"/>
      <c r="RCP58" s="10"/>
      <c r="RCQ58" s="10"/>
      <c r="RCR58" s="10"/>
      <c r="RCS58" s="10"/>
      <c r="RCT58" s="10"/>
      <c r="RCU58" s="10"/>
      <c r="RCV58" s="10"/>
      <c r="RCW58" s="10"/>
      <c r="RCX58" s="10"/>
      <c r="RCY58" s="10"/>
      <c r="RCZ58" s="10"/>
      <c r="RDA58" s="10"/>
      <c r="RDB58" s="10"/>
      <c r="RDC58" s="10"/>
      <c r="RDD58" s="10"/>
      <c r="RDE58" s="10"/>
      <c r="RDF58" s="10"/>
      <c r="RDG58" s="10"/>
      <c r="RDH58" s="10"/>
      <c r="RDI58" s="10"/>
      <c r="RDJ58" s="10"/>
      <c r="RDK58" s="10"/>
      <c r="RDL58" s="10"/>
      <c r="RDM58" s="10"/>
      <c r="RDN58" s="10"/>
      <c r="RDO58" s="10"/>
      <c r="RDP58" s="10"/>
      <c r="RDQ58" s="10"/>
      <c r="RDR58" s="10"/>
      <c r="RDS58" s="10"/>
      <c r="RDT58" s="10"/>
      <c r="RDU58" s="10"/>
      <c r="RDV58" s="10"/>
      <c r="RDW58" s="10"/>
      <c r="RDX58" s="10"/>
      <c r="RDY58" s="10"/>
      <c r="RDZ58" s="10"/>
      <c r="REA58" s="10"/>
      <c r="REB58" s="10"/>
      <c r="REC58" s="10"/>
      <c r="RED58" s="10"/>
      <c r="REE58" s="10"/>
      <c r="REF58" s="10"/>
      <c r="REG58" s="10"/>
      <c r="REH58" s="10"/>
      <c r="REI58" s="10"/>
      <c r="REJ58" s="10"/>
      <c r="REK58" s="10"/>
      <c r="REL58" s="10"/>
      <c r="REM58" s="10"/>
      <c r="REN58" s="10"/>
      <c r="REO58" s="10"/>
      <c r="REP58" s="10"/>
      <c r="REQ58" s="10"/>
      <c r="RER58" s="10"/>
      <c r="RES58" s="10"/>
      <c r="RET58" s="10"/>
      <c r="REU58" s="10"/>
      <c r="REV58" s="10"/>
      <c r="REW58" s="10"/>
      <c r="REX58" s="10"/>
      <c r="REY58" s="10"/>
      <c r="REZ58" s="10"/>
      <c r="RFA58" s="10"/>
      <c r="RFB58" s="10"/>
      <c r="RFC58" s="10"/>
      <c r="RFD58" s="10"/>
      <c r="RFE58" s="10"/>
      <c r="RFF58" s="10"/>
      <c r="RFG58" s="10"/>
      <c r="RFH58" s="10"/>
      <c r="RFI58" s="10"/>
      <c r="RFJ58" s="10"/>
      <c r="RFK58" s="10"/>
      <c r="RFL58" s="10"/>
      <c r="RFM58" s="10"/>
      <c r="RFN58" s="10"/>
      <c r="RFO58" s="10"/>
      <c r="RFP58" s="10"/>
      <c r="RFQ58" s="10"/>
      <c r="RFR58" s="10"/>
      <c r="RFS58" s="10"/>
      <c r="RFT58" s="10"/>
      <c r="RFU58" s="10"/>
      <c r="RFV58" s="10"/>
      <c r="RFW58" s="10"/>
      <c r="RFX58" s="10"/>
      <c r="RFY58" s="10"/>
      <c r="RFZ58" s="10"/>
      <c r="RGA58" s="10"/>
      <c r="RGB58" s="10"/>
      <c r="RGC58" s="10"/>
      <c r="RGD58" s="10"/>
      <c r="RGE58" s="10"/>
      <c r="RGF58" s="10"/>
      <c r="RGG58" s="10"/>
      <c r="RGH58" s="10"/>
      <c r="RGI58" s="10"/>
      <c r="RGJ58" s="10"/>
      <c r="RGK58" s="10"/>
      <c r="RGL58" s="10"/>
      <c r="RGM58" s="10"/>
      <c r="RGN58" s="10"/>
      <c r="RGO58" s="10"/>
      <c r="RGP58" s="10"/>
      <c r="RGQ58" s="10"/>
      <c r="RGR58" s="10"/>
      <c r="RGS58" s="10"/>
      <c r="RGT58" s="10"/>
      <c r="RGU58" s="10"/>
      <c r="RGV58" s="10"/>
      <c r="RGW58" s="10"/>
      <c r="RGX58" s="10"/>
      <c r="RGY58" s="10"/>
      <c r="RGZ58" s="10"/>
      <c r="RHA58" s="10"/>
      <c r="RHB58" s="10"/>
      <c r="RHC58" s="10"/>
      <c r="RHD58" s="10"/>
      <c r="RHE58" s="10"/>
      <c r="RHF58" s="10"/>
      <c r="RHG58" s="10"/>
      <c r="RHH58" s="10"/>
      <c r="RHI58" s="10"/>
      <c r="RHJ58" s="10"/>
      <c r="RHK58" s="10"/>
      <c r="RHL58" s="10"/>
      <c r="RHM58" s="10"/>
      <c r="RHN58" s="10"/>
      <c r="RHO58" s="10"/>
      <c r="RHP58" s="10"/>
      <c r="RHQ58" s="10"/>
      <c r="RHR58" s="10"/>
      <c r="RHS58" s="10"/>
      <c r="RHT58" s="10"/>
      <c r="RHU58" s="10"/>
      <c r="RHV58" s="10"/>
      <c r="RHW58" s="10"/>
      <c r="RHX58" s="10"/>
      <c r="RHY58" s="10"/>
      <c r="RHZ58" s="10"/>
      <c r="RIA58" s="10"/>
      <c r="RIB58" s="10"/>
      <c r="RIC58" s="10"/>
      <c r="RID58" s="10"/>
      <c r="RIE58" s="10"/>
      <c r="RIF58" s="10"/>
      <c r="RIG58" s="10"/>
      <c r="RIH58" s="10"/>
      <c r="RII58" s="10"/>
      <c r="RIJ58" s="10"/>
      <c r="RIK58" s="10"/>
      <c r="RIL58" s="10"/>
      <c r="RIM58" s="10"/>
      <c r="RIN58" s="10"/>
      <c r="RIO58" s="10"/>
      <c r="RIP58" s="10"/>
      <c r="RIQ58" s="10"/>
      <c r="RIR58" s="10"/>
      <c r="RIS58" s="10"/>
      <c r="RIT58" s="10"/>
      <c r="RIU58" s="10"/>
      <c r="RIV58" s="10"/>
      <c r="RIW58" s="10"/>
      <c r="RIX58" s="10"/>
      <c r="RIY58" s="10"/>
      <c r="RIZ58" s="10"/>
      <c r="RJA58" s="10"/>
      <c r="RJB58" s="10"/>
      <c r="RJC58" s="10"/>
      <c r="RJD58" s="10"/>
      <c r="RJE58" s="10"/>
      <c r="RJF58" s="10"/>
      <c r="RJG58" s="10"/>
      <c r="RJH58" s="10"/>
      <c r="RJI58" s="10"/>
      <c r="RJJ58" s="10"/>
      <c r="RJK58" s="10"/>
      <c r="RJL58" s="10"/>
      <c r="RJM58" s="10"/>
      <c r="RJN58" s="10"/>
      <c r="RJO58" s="10"/>
      <c r="RJP58" s="10"/>
      <c r="RJQ58" s="10"/>
      <c r="RJR58" s="10"/>
      <c r="RJS58" s="10"/>
      <c r="RJT58" s="10"/>
      <c r="RJU58" s="10"/>
      <c r="RJV58" s="10"/>
      <c r="RJW58" s="10"/>
      <c r="RJX58" s="10"/>
      <c r="RJY58" s="10"/>
      <c r="RJZ58" s="10"/>
      <c r="RKA58" s="10"/>
      <c r="RKB58" s="10"/>
      <c r="RKC58" s="10"/>
      <c r="RKD58" s="10"/>
      <c r="RKE58" s="10"/>
      <c r="RKF58" s="10"/>
      <c r="RKG58" s="10"/>
      <c r="RKH58" s="10"/>
      <c r="RKI58" s="10"/>
      <c r="RKJ58" s="10"/>
      <c r="RKK58" s="10"/>
      <c r="RKL58" s="10"/>
      <c r="RKM58" s="10"/>
      <c r="RKN58" s="10"/>
      <c r="RKO58" s="10"/>
      <c r="RKP58" s="10"/>
      <c r="RKQ58" s="10"/>
      <c r="RKR58" s="10"/>
      <c r="RKS58" s="10"/>
      <c r="RKT58" s="10"/>
      <c r="RKU58" s="10"/>
      <c r="RKV58" s="10"/>
      <c r="RKW58" s="10"/>
      <c r="RKX58" s="10"/>
      <c r="RKY58" s="10"/>
      <c r="RKZ58" s="10"/>
      <c r="RLA58" s="10"/>
      <c r="RLB58" s="10"/>
      <c r="RLC58" s="10"/>
      <c r="RLD58" s="10"/>
      <c r="RLE58" s="10"/>
      <c r="RLF58" s="10"/>
      <c r="RLG58" s="10"/>
      <c r="RLH58" s="10"/>
      <c r="RLI58" s="10"/>
      <c r="RLJ58" s="10"/>
      <c r="RLK58" s="10"/>
      <c r="RLL58" s="10"/>
      <c r="RLM58" s="10"/>
      <c r="RLN58" s="10"/>
      <c r="RLO58" s="10"/>
      <c r="RLP58" s="10"/>
      <c r="RLQ58" s="10"/>
      <c r="RLR58" s="10"/>
      <c r="RLS58" s="10"/>
      <c r="RLT58" s="10"/>
      <c r="RLU58" s="10"/>
      <c r="RLV58" s="10"/>
      <c r="RLW58" s="10"/>
      <c r="RLX58" s="10"/>
      <c r="RLY58" s="10"/>
      <c r="RLZ58" s="10"/>
      <c r="RMA58" s="10"/>
      <c r="RMB58" s="10"/>
      <c r="RMC58" s="10"/>
      <c r="RMD58" s="10"/>
      <c r="RME58" s="10"/>
      <c r="RMF58" s="10"/>
      <c r="RMG58" s="10"/>
      <c r="RMH58" s="10"/>
      <c r="RMI58" s="10"/>
      <c r="RMJ58" s="10"/>
      <c r="RMK58" s="10"/>
      <c r="RML58" s="10"/>
      <c r="RMM58" s="10"/>
      <c r="RMN58" s="10"/>
      <c r="RMO58" s="10"/>
      <c r="RMP58" s="10"/>
      <c r="RMQ58" s="10"/>
      <c r="RMR58" s="10"/>
      <c r="RMS58" s="10"/>
      <c r="RMT58" s="10"/>
      <c r="RMU58" s="10"/>
      <c r="RMV58" s="10"/>
      <c r="RMW58" s="10"/>
      <c r="RMX58" s="10"/>
      <c r="RMY58" s="10"/>
      <c r="RMZ58" s="10"/>
      <c r="RNA58" s="10"/>
      <c r="RNB58" s="10"/>
      <c r="RNC58" s="10"/>
      <c r="RND58" s="10"/>
      <c r="RNE58" s="10"/>
      <c r="RNF58" s="10"/>
      <c r="RNG58" s="10"/>
      <c r="RNH58" s="10"/>
      <c r="RNI58" s="10"/>
      <c r="RNJ58" s="10"/>
      <c r="RNK58" s="10"/>
      <c r="RNL58" s="10"/>
      <c r="RNM58" s="10"/>
      <c r="RNN58" s="10"/>
      <c r="RNO58" s="10"/>
      <c r="RNP58" s="10"/>
      <c r="RNQ58" s="10"/>
      <c r="RNR58" s="10"/>
      <c r="RNS58" s="10"/>
      <c r="RNT58" s="10"/>
      <c r="RNU58" s="10"/>
      <c r="RNV58" s="10"/>
      <c r="RNW58" s="10"/>
      <c r="RNX58" s="10"/>
      <c r="RNY58" s="10"/>
      <c r="RNZ58" s="10"/>
      <c r="ROA58" s="10"/>
      <c r="ROB58" s="10"/>
      <c r="ROC58" s="10"/>
      <c r="ROD58" s="10"/>
      <c r="ROE58" s="10"/>
      <c r="ROF58" s="10"/>
      <c r="ROG58" s="10"/>
      <c r="ROH58" s="10"/>
      <c r="ROI58" s="10"/>
      <c r="ROJ58" s="10"/>
      <c r="ROK58" s="10"/>
      <c r="ROL58" s="10"/>
      <c r="ROM58" s="10"/>
      <c r="RON58" s="10"/>
      <c r="ROO58" s="10"/>
      <c r="ROP58" s="10"/>
      <c r="ROQ58" s="10"/>
      <c r="ROR58" s="10"/>
      <c r="ROS58" s="10"/>
      <c r="ROT58" s="10"/>
      <c r="ROU58" s="10"/>
      <c r="ROV58" s="10"/>
      <c r="ROW58" s="10"/>
      <c r="ROX58" s="10"/>
      <c r="ROY58" s="10"/>
      <c r="ROZ58" s="10"/>
      <c r="RPA58" s="10"/>
      <c r="RPB58" s="10"/>
      <c r="RPC58" s="10"/>
      <c r="RPD58" s="10"/>
      <c r="RPE58" s="10"/>
      <c r="RPF58" s="10"/>
      <c r="RPG58" s="10"/>
      <c r="RPH58" s="10"/>
      <c r="RPI58" s="10"/>
      <c r="RPJ58" s="10"/>
      <c r="RPK58" s="10"/>
      <c r="RPL58" s="10"/>
      <c r="RPM58" s="10"/>
      <c r="RPN58" s="10"/>
      <c r="RPO58" s="10"/>
      <c r="RPP58" s="10"/>
      <c r="RPQ58" s="10"/>
      <c r="RPR58" s="10"/>
      <c r="RPS58" s="10"/>
      <c r="RPT58" s="10"/>
      <c r="RPU58" s="10"/>
      <c r="RPV58" s="10"/>
      <c r="RPW58" s="10"/>
      <c r="RPX58" s="10"/>
      <c r="RPY58" s="10"/>
      <c r="RPZ58" s="10"/>
      <c r="RQA58" s="10"/>
      <c r="RQB58" s="10"/>
      <c r="RQC58" s="10"/>
      <c r="RQD58" s="10"/>
      <c r="RQE58" s="10"/>
      <c r="RQF58" s="10"/>
      <c r="RQG58" s="10"/>
      <c r="RQH58" s="10"/>
      <c r="RQI58" s="10"/>
      <c r="RQJ58" s="10"/>
      <c r="RQK58" s="10"/>
      <c r="RQL58" s="10"/>
      <c r="RQM58" s="10"/>
      <c r="RQN58" s="10"/>
      <c r="RQO58" s="10"/>
      <c r="RQP58" s="10"/>
      <c r="RQQ58" s="10"/>
      <c r="RQR58" s="10"/>
      <c r="RQS58" s="10"/>
      <c r="RQT58" s="10"/>
      <c r="RQU58" s="10"/>
      <c r="RQV58" s="10"/>
      <c r="RQW58" s="10"/>
      <c r="RQX58" s="10"/>
      <c r="RQY58" s="10"/>
      <c r="RQZ58" s="10"/>
      <c r="RRA58" s="10"/>
      <c r="RRB58" s="10"/>
      <c r="RRC58" s="10"/>
      <c r="RRD58" s="10"/>
      <c r="RRE58" s="10"/>
      <c r="RRF58" s="10"/>
      <c r="RRG58" s="10"/>
      <c r="RRH58" s="10"/>
      <c r="RRI58" s="10"/>
      <c r="RRJ58" s="10"/>
      <c r="RRK58" s="10"/>
      <c r="RRL58" s="10"/>
      <c r="RRM58" s="10"/>
      <c r="RRN58" s="10"/>
      <c r="RRO58" s="10"/>
      <c r="RRP58" s="10"/>
      <c r="RRQ58" s="10"/>
      <c r="RRR58" s="10"/>
      <c r="RRS58" s="10"/>
      <c r="RRT58" s="10"/>
      <c r="RRU58" s="10"/>
      <c r="RRV58" s="10"/>
      <c r="RRW58" s="10"/>
      <c r="RRX58" s="10"/>
      <c r="RRY58" s="10"/>
      <c r="RRZ58" s="10"/>
      <c r="RSA58" s="10"/>
      <c r="RSB58" s="10"/>
      <c r="RSC58" s="10"/>
      <c r="RSD58" s="10"/>
      <c r="RSE58" s="10"/>
      <c r="RSF58" s="10"/>
      <c r="RSG58" s="10"/>
      <c r="RSH58" s="10"/>
      <c r="RSI58" s="10"/>
      <c r="RSJ58" s="10"/>
      <c r="RSK58" s="10"/>
      <c r="RSL58" s="10"/>
      <c r="RSM58" s="10"/>
      <c r="RSN58" s="10"/>
      <c r="RSO58" s="10"/>
      <c r="RSP58" s="10"/>
      <c r="RSQ58" s="10"/>
      <c r="RSR58" s="10"/>
      <c r="RSS58" s="10"/>
      <c r="RST58" s="10"/>
      <c r="RSU58" s="10"/>
      <c r="RSV58" s="10"/>
      <c r="RSW58" s="10"/>
      <c r="RSX58" s="10"/>
      <c r="RSY58" s="10"/>
      <c r="RSZ58" s="10"/>
      <c r="RTA58" s="10"/>
      <c r="RTB58" s="10"/>
      <c r="RTC58" s="10"/>
      <c r="RTD58" s="10"/>
      <c r="RTE58" s="10"/>
      <c r="RTF58" s="10"/>
      <c r="RTG58" s="10"/>
      <c r="RTH58" s="10"/>
      <c r="RTI58" s="10"/>
      <c r="RTJ58" s="10"/>
      <c r="RTK58" s="10"/>
      <c r="RTL58" s="10"/>
      <c r="RTM58" s="10"/>
      <c r="RTN58" s="10"/>
      <c r="RTO58" s="10"/>
      <c r="RTP58" s="10"/>
      <c r="RTQ58" s="10"/>
      <c r="RTR58" s="10"/>
      <c r="RTS58" s="10"/>
      <c r="RTT58" s="10"/>
      <c r="RTU58" s="10"/>
      <c r="RTV58" s="10"/>
      <c r="RTW58" s="10"/>
      <c r="RTX58" s="10"/>
      <c r="RTY58" s="10"/>
      <c r="RTZ58" s="10"/>
      <c r="RUA58" s="10"/>
      <c r="RUB58" s="10"/>
      <c r="RUC58" s="10"/>
      <c r="RUD58" s="10"/>
      <c r="RUE58" s="10"/>
      <c r="RUF58" s="10"/>
      <c r="RUG58" s="10"/>
      <c r="RUH58" s="10"/>
      <c r="RUI58" s="10"/>
      <c r="RUJ58" s="10"/>
      <c r="RUK58" s="10"/>
      <c r="RUL58" s="10"/>
      <c r="RUM58" s="10"/>
      <c r="RUN58" s="10"/>
      <c r="RUO58" s="10"/>
      <c r="RUP58" s="10"/>
      <c r="RUQ58" s="10"/>
      <c r="RUR58" s="10"/>
      <c r="RUS58" s="10"/>
      <c r="RUT58" s="10"/>
      <c r="RUU58" s="10"/>
      <c r="RUV58" s="10"/>
      <c r="RUW58" s="10"/>
      <c r="RUX58" s="10"/>
      <c r="RUY58" s="10"/>
      <c r="RUZ58" s="10"/>
      <c r="RVA58" s="10"/>
      <c r="RVB58" s="10"/>
      <c r="RVC58" s="10"/>
      <c r="RVD58" s="10"/>
      <c r="RVE58" s="10"/>
      <c r="RVF58" s="10"/>
      <c r="RVG58" s="10"/>
      <c r="RVH58" s="10"/>
      <c r="RVI58" s="10"/>
      <c r="RVJ58" s="10"/>
      <c r="RVK58" s="10"/>
      <c r="RVL58" s="10"/>
      <c r="RVM58" s="10"/>
      <c r="RVN58" s="10"/>
      <c r="RVO58" s="10"/>
      <c r="RVP58" s="10"/>
      <c r="RVQ58" s="10"/>
      <c r="RVR58" s="10"/>
      <c r="RVS58" s="10"/>
      <c r="RVT58" s="10"/>
      <c r="RVU58" s="10"/>
      <c r="RVV58" s="10"/>
      <c r="RVW58" s="10"/>
      <c r="RVX58" s="10"/>
      <c r="RVY58" s="10"/>
      <c r="RVZ58" s="10"/>
      <c r="RWA58" s="10"/>
      <c r="RWB58" s="10"/>
      <c r="RWC58" s="10"/>
      <c r="RWD58" s="10"/>
      <c r="RWE58" s="10"/>
      <c r="RWF58" s="10"/>
      <c r="RWG58" s="10"/>
      <c r="RWH58" s="10"/>
      <c r="RWI58" s="10"/>
      <c r="RWJ58" s="10"/>
      <c r="RWK58" s="10"/>
      <c r="RWL58" s="10"/>
      <c r="RWM58" s="10"/>
      <c r="RWN58" s="10"/>
      <c r="RWO58" s="10"/>
      <c r="RWP58" s="10"/>
      <c r="RWQ58" s="10"/>
      <c r="RWR58" s="10"/>
      <c r="RWS58" s="10"/>
      <c r="RWT58" s="10"/>
      <c r="RWU58" s="10"/>
      <c r="RWV58" s="10"/>
      <c r="RWW58" s="10"/>
      <c r="RWX58" s="10"/>
      <c r="RWY58" s="10"/>
      <c r="RWZ58" s="10"/>
      <c r="RXA58" s="10"/>
      <c r="RXB58" s="10"/>
      <c r="RXC58" s="10"/>
      <c r="RXD58" s="10"/>
      <c r="RXE58" s="10"/>
      <c r="RXF58" s="10"/>
      <c r="RXG58" s="10"/>
      <c r="RXH58" s="10"/>
      <c r="RXI58" s="10"/>
      <c r="RXJ58" s="10"/>
      <c r="RXK58" s="10"/>
      <c r="RXL58" s="10"/>
      <c r="RXM58" s="10"/>
      <c r="RXN58" s="10"/>
      <c r="RXO58" s="10"/>
      <c r="RXP58" s="10"/>
      <c r="RXQ58" s="10"/>
      <c r="RXR58" s="10"/>
      <c r="RXS58" s="10"/>
      <c r="RXT58" s="10"/>
      <c r="RXU58" s="10"/>
      <c r="RXV58" s="10"/>
      <c r="RXW58" s="10"/>
      <c r="RXX58" s="10"/>
      <c r="RXY58" s="10"/>
      <c r="RXZ58" s="10"/>
      <c r="RYA58" s="10"/>
      <c r="RYB58" s="10"/>
      <c r="RYC58" s="10"/>
      <c r="RYD58" s="10"/>
      <c r="RYE58" s="10"/>
      <c r="RYF58" s="10"/>
      <c r="RYG58" s="10"/>
      <c r="RYH58" s="10"/>
      <c r="RYI58" s="10"/>
      <c r="RYJ58" s="10"/>
      <c r="RYK58" s="10"/>
      <c r="RYL58" s="10"/>
      <c r="RYM58" s="10"/>
      <c r="RYN58" s="10"/>
      <c r="RYO58" s="10"/>
      <c r="RYP58" s="10"/>
      <c r="RYQ58" s="10"/>
      <c r="RYR58" s="10"/>
      <c r="RYS58" s="10"/>
      <c r="RYT58" s="10"/>
      <c r="RYU58" s="10"/>
      <c r="RYV58" s="10"/>
      <c r="RYW58" s="10"/>
      <c r="RYX58" s="10"/>
      <c r="RYY58" s="10"/>
      <c r="RYZ58" s="10"/>
      <c r="RZA58" s="10"/>
      <c r="RZB58" s="10"/>
      <c r="RZC58" s="10"/>
      <c r="RZD58" s="10"/>
      <c r="RZE58" s="10"/>
      <c r="RZF58" s="10"/>
      <c r="RZG58" s="10"/>
      <c r="RZH58" s="10"/>
      <c r="RZI58" s="10"/>
      <c r="RZJ58" s="10"/>
      <c r="RZK58" s="10"/>
      <c r="RZL58" s="10"/>
      <c r="RZM58" s="10"/>
      <c r="RZN58" s="10"/>
      <c r="RZO58" s="10"/>
      <c r="RZP58" s="10"/>
      <c r="RZQ58" s="10"/>
      <c r="RZR58" s="10"/>
      <c r="RZS58" s="10"/>
      <c r="RZT58" s="10"/>
      <c r="RZU58" s="10"/>
      <c r="RZV58" s="10"/>
      <c r="RZW58" s="10"/>
      <c r="RZX58" s="10"/>
      <c r="RZY58" s="10"/>
      <c r="RZZ58" s="10"/>
      <c r="SAA58" s="10"/>
      <c r="SAB58" s="10"/>
      <c r="SAC58" s="10"/>
      <c r="SAD58" s="10"/>
      <c r="SAE58" s="10"/>
      <c r="SAF58" s="10"/>
      <c r="SAG58" s="10"/>
      <c r="SAH58" s="10"/>
      <c r="SAI58" s="10"/>
      <c r="SAJ58" s="10"/>
      <c r="SAK58" s="10"/>
      <c r="SAL58" s="10"/>
      <c r="SAM58" s="10"/>
      <c r="SAN58" s="10"/>
      <c r="SAO58" s="10"/>
      <c r="SAP58" s="10"/>
      <c r="SAQ58" s="10"/>
      <c r="SAR58" s="10"/>
      <c r="SAS58" s="10"/>
      <c r="SAT58" s="10"/>
      <c r="SAU58" s="10"/>
      <c r="SAV58" s="10"/>
      <c r="SAW58" s="10"/>
      <c r="SAX58" s="10"/>
      <c r="SAY58" s="10"/>
      <c r="SAZ58" s="10"/>
      <c r="SBA58" s="10"/>
      <c r="SBB58" s="10"/>
      <c r="SBC58" s="10"/>
      <c r="SBD58" s="10"/>
      <c r="SBE58" s="10"/>
      <c r="SBF58" s="10"/>
      <c r="SBG58" s="10"/>
      <c r="SBH58" s="10"/>
      <c r="SBI58" s="10"/>
      <c r="SBJ58" s="10"/>
      <c r="SBK58" s="10"/>
      <c r="SBL58" s="10"/>
      <c r="SBM58" s="10"/>
      <c r="SBN58" s="10"/>
      <c r="SBO58" s="10"/>
      <c r="SBP58" s="10"/>
      <c r="SBQ58" s="10"/>
      <c r="SBR58" s="10"/>
      <c r="SBS58" s="10"/>
      <c r="SBT58" s="10"/>
      <c r="SBU58" s="10"/>
      <c r="SBV58" s="10"/>
      <c r="SBW58" s="10"/>
      <c r="SBX58" s="10"/>
      <c r="SBY58" s="10"/>
      <c r="SBZ58" s="10"/>
      <c r="SCA58" s="10"/>
      <c r="SCB58" s="10"/>
      <c r="SCC58" s="10"/>
      <c r="SCD58" s="10"/>
      <c r="SCE58" s="10"/>
      <c r="SCF58" s="10"/>
      <c r="SCG58" s="10"/>
      <c r="SCH58" s="10"/>
      <c r="SCI58" s="10"/>
      <c r="SCJ58" s="10"/>
      <c r="SCK58" s="10"/>
      <c r="SCL58" s="10"/>
      <c r="SCM58" s="10"/>
      <c r="SCN58" s="10"/>
      <c r="SCO58" s="10"/>
      <c r="SCP58" s="10"/>
      <c r="SCQ58" s="10"/>
      <c r="SCR58" s="10"/>
      <c r="SCS58" s="10"/>
      <c r="SCT58" s="10"/>
      <c r="SCU58" s="10"/>
      <c r="SCV58" s="10"/>
      <c r="SCW58" s="10"/>
      <c r="SCX58" s="10"/>
      <c r="SCY58" s="10"/>
      <c r="SCZ58" s="10"/>
      <c r="SDA58" s="10"/>
      <c r="SDB58" s="10"/>
      <c r="SDC58" s="10"/>
      <c r="SDD58" s="10"/>
      <c r="SDE58" s="10"/>
      <c r="SDF58" s="10"/>
      <c r="SDG58" s="10"/>
      <c r="SDH58" s="10"/>
      <c r="SDI58" s="10"/>
      <c r="SDJ58" s="10"/>
      <c r="SDK58" s="10"/>
      <c r="SDL58" s="10"/>
      <c r="SDM58" s="10"/>
      <c r="SDN58" s="10"/>
      <c r="SDO58" s="10"/>
      <c r="SDP58" s="10"/>
      <c r="SDQ58" s="10"/>
      <c r="SDR58" s="10"/>
      <c r="SDS58" s="10"/>
      <c r="SDT58" s="10"/>
      <c r="SDU58" s="10"/>
      <c r="SDV58" s="10"/>
      <c r="SDW58" s="10"/>
      <c r="SDX58" s="10"/>
      <c r="SDY58" s="10"/>
      <c r="SDZ58" s="10"/>
      <c r="SEA58" s="10"/>
      <c r="SEB58" s="10"/>
      <c r="SEC58" s="10"/>
      <c r="SED58" s="10"/>
      <c r="SEE58" s="10"/>
      <c r="SEF58" s="10"/>
      <c r="SEG58" s="10"/>
      <c r="SEH58" s="10"/>
      <c r="SEI58" s="10"/>
      <c r="SEJ58" s="10"/>
      <c r="SEK58" s="10"/>
      <c r="SEL58" s="10"/>
      <c r="SEM58" s="10"/>
      <c r="SEN58" s="10"/>
      <c r="SEO58" s="10"/>
      <c r="SEP58" s="10"/>
      <c r="SEQ58" s="10"/>
      <c r="SER58" s="10"/>
      <c r="SES58" s="10"/>
      <c r="SET58" s="10"/>
      <c r="SEU58" s="10"/>
      <c r="SEV58" s="10"/>
      <c r="SEW58" s="10"/>
      <c r="SEX58" s="10"/>
      <c r="SEY58" s="10"/>
      <c r="SEZ58" s="10"/>
      <c r="SFA58" s="10"/>
      <c r="SFB58" s="10"/>
      <c r="SFC58" s="10"/>
      <c r="SFD58" s="10"/>
      <c r="SFE58" s="10"/>
      <c r="SFF58" s="10"/>
      <c r="SFG58" s="10"/>
      <c r="SFH58" s="10"/>
      <c r="SFI58" s="10"/>
      <c r="SFJ58" s="10"/>
      <c r="SFK58" s="10"/>
      <c r="SFL58" s="10"/>
      <c r="SFM58" s="10"/>
      <c r="SFN58" s="10"/>
      <c r="SFO58" s="10"/>
      <c r="SFP58" s="10"/>
      <c r="SFQ58" s="10"/>
      <c r="SFR58" s="10"/>
      <c r="SFS58" s="10"/>
      <c r="SFT58" s="10"/>
      <c r="SFU58" s="10"/>
      <c r="SFV58" s="10"/>
      <c r="SFW58" s="10"/>
      <c r="SFX58" s="10"/>
      <c r="SFY58" s="10"/>
      <c r="SFZ58" s="10"/>
      <c r="SGA58" s="10"/>
      <c r="SGB58" s="10"/>
      <c r="SGC58" s="10"/>
      <c r="SGD58" s="10"/>
      <c r="SGE58" s="10"/>
      <c r="SGF58" s="10"/>
      <c r="SGG58" s="10"/>
      <c r="SGH58" s="10"/>
      <c r="SGI58" s="10"/>
      <c r="SGJ58" s="10"/>
      <c r="SGK58" s="10"/>
      <c r="SGL58" s="10"/>
      <c r="SGM58" s="10"/>
      <c r="SGN58" s="10"/>
      <c r="SGO58" s="10"/>
      <c r="SGP58" s="10"/>
      <c r="SGQ58" s="10"/>
      <c r="SGR58" s="10"/>
      <c r="SGS58" s="10"/>
      <c r="SGT58" s="10"/>
      <c r="SGU58" s="10"/>
      <c r="SGV58" s="10"/>
      <c r="SGW58" s="10"/>
      <c r="SGX58" s="10"/>
      <c r="SGY58" s="10"/>
      <c r="SGZ58" s="10"/>
      <c r="SHA58" s="10"/>
      <c r="SHB58" s="10"/>
      <c r="SHC58" s="10"/>
      <c r="SHD58" s="10"/>
      <c r="SHE58" s="10"/>
      <c r="SHF58" s="10"/>
      <c r="SHG58" s="10"/>
      <c r="SHH58" s="10"/>
      <c r="SHI58" s="10"/>
      <c r="SHJ58" s="10"/>
      <c r="SHK58" s="10"/>
      <c r="SHL58" s="10"/>
      <c r="SHM58" s="10"/>
      <c r="SHN58" s="10"/>
      <c r="SHO58" s="10"/>
      <c r="SHP58" s="10"/>
      <c r="SHQ58" s="10"/>
      <c r="SHR58" s="10"/>
      <c r="SHS58" s="10"/>
      <c r="SHT58" s="10"/>
      <c r="SHU58" s="10"/>
      <c r="SHV58" s="10"/>
      <c r="SHW58" s="10"/>
      <c r="SHX58" s="10"/>
      <c r="SHY58" s="10"/>
      <c r="SHZ58" s="10"/>
      <c r="SIA58" s="10"/>
      <c r="SIB58" s="10"/>
      <c r="SIC58" s="10"/>
      <c r="SID58" s="10"/>
      <c r="SIE58" s="10"/>
      <c r="SIF58" s="10"/>
      <c r="SIG58" s="10"/>
      <c r="SIH58" s="10"/>
      <c r="SII58" s="10"/>
      <c r="SIJ58" s="10"/>
      <c r="SIK58" s="10"/>
      <c r="SIL58" s="10"/>
      <c r="SIM58" s="10"/>
      <c r="SIN58" s="10"/>
      <c r="SIO58" s="10"/>
      <c r="SIP58" s="10"/>
      <c r="SIQ58" s="10"/>
      <c r="SIR58" s="10"/>
      <c r="SIS58" s="10"/>
      <c r="SIT58" s="10"/>
      <c r="SIU58" s="10"/>
      <c r="SIV58" s="10"/>
      <c r="SIW58" s="10"/>
      <c r="SIX58" s="10"/>
      <c r="SIY58" s="10"/>
      <c r="SIZ58" s="10"/>
      <c r="SJA58" s="10"/>
      <c r="SJB58" s="10"/>
      <c r="SJC58" s="10"/>
      <c r="SJD58" s="10"/>
      <c r="SJE58" s="10"/>
      <c r="SJF58" s="10"/>
      <c r="SJG58" s="10"/>
      <c r="SJH58" s="10"/>
      <c r="SJI58" s="10"/>
      <c r="SJJ58" s="10"/>
      <c r="SJK58" s="10"/>
      <c r="SJL58" s="10"/>
      <c r="SJM58" s="10"/>
      <c r="SJN58" s="10"/>
      <c r="SJO58" s="10"/>
      <c r="SJP58" s="10"/>
      <c r="SJQ58" s="10"/>
      <c r="SJR58" s="10"/>
      <c r="SJS58" s="10"/>
      <c r="SJT58" s="10"/>
      <c r="SJU58" s="10"/>
      <c r="SJV58" s="10"/>
      <c r="SJW58" s="10"/>
      <c r="SJX58" s="10"/>
      <c r="SJY58" s="10"/>
      <c r="SJZ58" s="10"/>
      <c r="SKA58" s="10"/>
      <c r="SKB58" s="10"/>
      <c r="SKC58" s="10"/>
      <c r="SKD58" s="10"/>
      <c r="SKE58" s="10"/>
      <c r="SKF58" s="10"/>
      <c r="SKG58" s="10"/>
      <c r="SKH58" s="10"/>
      <c r="SKI58" s="10"/>
      <c r="SKJ58" s="10"/>
      <c r="SKK58" s="10"/>
      <c r="SKL58" s="10"/>
      <c r="SKM58" s="10"/>
      <c r="SKN58" s="10"/>
      <c r="SKO58" s="10"/>
      <c r="SKP58" s="10"/>
      <c r="SKQ58" s="10"/>
      <c r="SKR58" s="10"/>
      <c r="SKS58" s="10"/>
      <c r="SKT58" s="10"/>
      <c r="SKU58" s="10"/>
      <c r="SKV58" s="10"/>
      <c r="SKW58" s="10"/>
      <c r="SKX58" s="10"/>
      <c r="SKY58" s="10"/>
      <c r="SKZ58" s="10"/>
      <c r="SLA58" s="10"/>
      <c r="SLB58" s="10"/>
      <c r="SLC58" s="10"/>
      <c r="SLD58" s="10"/>
      <c r="SLE58" s="10"/>
      <c r="SLF58" s="10"/>
      <c r="SLG58" s="10"/>
      <c r="SLH58" s="10"/>
      <c r="SLI58" s="10"/>
      <c r="SLJ58" s="10"/>
      <c r="SLK58" s="10"/>
      <c r="SLL58" s="10"/>
      <c r="SLM58" s="10"/>
      <c r="SLN58" s="10"/>
      <c r="SLO58" s="10"/>
      <c r="SLP58" s="10"/>
      <c r="SLQ58" s="10"/>
      <c r="SLR58" s="10"/>
      <c r="SLS58" s="10"/>
      <c r="SLT58" s="10"/>
      <c r="SLU58" s="10"/>
      <c r="SLV58" s="10"/>
      <c r="SLW58" s="10"/>
      <c r="SLX58" s="10"/>
      <c r="SLY58" s="10"/>
      <c r="SLZ58" s="10"/>
      <c r="SMA58" s="10"/>
      <c r="SMB58" s="10"/>
      <c r="SMC58" s="10"/>
      <c r="SMD58" s="10"/>
      <c r="SME58" s="10"/>
      <c r="SMF58" s="10"/>
      <c r="SMG58" s="10"/>
      <c r="SMH58" s="10"/>
      <c r="SMI58" s="10"/>
      <c r="SMJ58" s="10"/>
      <c r="SMK58" s="10"/>
      <c r="SML58" s="10"/>
      <c r="SMM58" s="10"/>
      <c r="SMN58" s="10"/>
      <c r="SMO58" s="10"/>
      <c r="SMP58" s="10"/>
      <c r="SMQ58" s="10"/>
      <c r="SMR58" s="10"/>
      <c r="SMS58" s="10"/>
      <c r="SMT58" s="10"/>
      <c r="SMU58" s="10"/>
      <c r="SMV58" s="10"/>
      <c r="SMW58" s="10"/>
      <c r="SMX58" s="10"/>
      <c r="SMY58" s="10"/>
      <c r="SMZ58" s="10"/>
      <c r="SNA58" s="10"/>
      <c r="SNB58" s="10"/>
      <c r="SNC58" s="10"/>
      <c r="SND58" s="10"/>
      <c r="SNE58" s="10"/>
      <c r="SNF58" s="10"/>
      <c r="SNG58" s="10"/>
      <c r="SNH58" s="10"/>
      <c r="SNI58" s="10"/>
      <c r="SNJ58" s="10"/>
      <c r="SNK58" s="10"/>
      <c r="SNL58" s="10"/>
      <c r="SNM58" s="10"/>
      <c r="SNN58" s="10"/>
      <c r="SNO58" s="10"/>
      <c r="SNP58" s="10"/>
      <c r="SNQ58" s="10"/>
      <c r="SNR58" s="10"/>
      <c r="SNS58" s="10"/>
      <c r="SNT58" s="10"/>
      <c r="SNU58" s="10"/>
      <c r="SNV58" s="10"/>
      <c r="SNW58" s="10"/>
      <c r="SNX58" s="10"/>
      <c r="SNY58" s="10"/>
      <c r="SNZ58" s="10"/>
      <c r="SOA58" s="10"/>
      <c r="SOB58" s="10"/>
      <c r="SOC58" s="10"/>
      <c r="SOD58" s="10"/>
      <c r="SOE58" s="10"/>
      <c r="SOF58" s="10"/>
      <c r="SOG58" s="10"/>
      <c r="SOH58" s="10"/>
      <c r="SOI58" s="10"/>
      <c r="SOJ58" s="10"/>
      <c r="SOK58" s="10"/>
      <c r="SOL58" s="10"/>
      <c r="SOM58" s="10"/>
      <c r="SON58" s="10"/>
      <c r="SOO58" s="10"/>
      <c r="SOP58" s="10"/>
      <c r="SOQ58" s="10"/>
      <c r="SOR58" s="10"/>
      <c r="SOS58" s="10"/>
      <c r="SOT58" s="10"/>
      <c r="SOU58" s="10"/>
      <c r="SOV58" s="10"/>
      <c r="SOW58" s="10"/>
      <c r="SOX58" s="10"/>
      <c r="SOY58" s="10"/>
      <c r="SOZ58" s="10"/>
      <c r="SPA58" s="10"/>
      <c r="SPB58" s="10"/>
      <c r="SPC58" s="10"/>
      <c r="SPD58" s="10"/>
      <c r="SPE58" s="10"/>
      <c r="SPF58" s="10"/>
      <c r="SPG58" s="10"/>
      <c r="SPH58" s="10"/>
      <c r="SPI58" s="10"/>
      <c r="SPJ58" s="10"/>
      <c r="SPK58" s="10"/>
      <c r="SPL58" s="10"/>
      <c r="SPM58" s="10"/>
      <c r="SPN58" s="10"/>
      <c r="SPO58" s="10"/>
      <c r="SPP58" s="10"/>
      <c r="SPQ58" s="10"/>
      <c r="SPR58" s="10"/>
      <c r="SPS58" s="10"/>
      <c r="SPT58" s="10"/>
      <c r="SPU58" s="10"/>
      <c r="SPV58" s="10"/>
      <c r="SPW58" s="10"/>
      <c r="SPX58" s="10"/>
      <c r="SPY58" s="10"/>
      <c r="SPZ58" s="10"/>
      <c r="SQA58" s="10"/>
      <c r="SQB58" s="10"/>
      <c r="SQC58" s="10"/>
      <c r="SQD58" s="10"/>
      <c r="SQE58" s="10"/>
      <c r="SQF58" s="10"/>
      <c r="SQG58" s="10"/>
      <c r="SQH58" s="10"/>
      <c r="SQI58" s="10"/>
      <c r="SQJ58" s="10"/>
      <c r="SQK58" s="10"/>
      <c r="SQL58" s="10"/>
      <c r="SQM58" s="10"/>
      <c r="SQN58" s="10"/>
      <c r="SQO58" s="10"/>
      <c r="SQP58" s="10"/>
      <c r="SQQ58" s="10"/>
      <c r="SQR58" s="10"/>
      <c r="SQS58" s="10"/>
      <c r="SQT58" s="10"/>
      <c r="SQU58" s="10"/>
      <c r="SQV58" s="10"/>
      <c r="SQW58" s="10"/>
      <c r="SQX58" s="10"/>
      <c r="SQY58" s="10"/>
      <c r="SQZ58" s="10"/>
      <c r="SRA58" s="10"/>
      <c r="SRB58" s="10"/>
      <c r="SRC58" s="10"/>
      <c r="SRD58" s="10"/>
      <c r="SRE58" s="10"/>
      <c r="SRF58" s="10"/>
      <c r="SRG58" s="10"/>
      <c r="SRH58" s="10"/>
      <c r="SRI58" s="10"/>
      <c r="SRJ58" s="10"/>
      <c r="SRK58" s="10"/>
      <c r="SRL58" s="10"/>
      <c r="SRM58" s="10"/>
      <c r="SRN58" s="10"/>
      <c r="SRO58" s="10"/>
      <c r="SRP58" s="10"/>
      <c r="SRQ58" s="10"/>
      <c r="SRR58" s="10"/>
      <c r="SRS58" s="10"/>
      <c r="SRT58" s="10"/>
      <c r="SRU58" s="10"/>
      <c r="SRV58" s="10"/>
      <c r="SRW58" s="10"/>
      <c r="SRX58" s="10"/>
      <c r="SRY58" s="10"/>
      <c r="SRZ58" s="10"/>
      <c r="SSA58" s="10"/>
      <c r="SSB58" s="10"/>
      <c r="SSC58" s="10"/>
      <c r="SSD58" s="10"/>
      <c r="SSE58" s="10"/>
      <c r="SSF58" s="10"/>
      <c r="SSG58" s="10"/>
      <c r="SSH58" s="10"/>
      <c r="SSI58" s="10"/>
      <c r="SSJ58" s="10"/>
      <c r="SSK58" s="10"/>
      <c r="SSL58" s="10"/>
      <c r="SSM58" s="10"/>
      <c r="SSN58" s="10"/>
      <c r="SSO58" s="10"/>
      <c r="SSP58" s="10"/>
      <c r="SSQ58" s="10"/>
      <c r="SSR58" s="10"/>
      <c r="SSS58" s="10"/>
      <c r="SST58" s="10"/>
      <c r="SSU58" s="10"/>
      <c r="SSV58" s="10"/>
      <c r="SSW58" s="10"/>
      <c r="SSX58" s="10"/>
      <c r="SSY58" s="10"/>
      <c r="SSZ58" s="10"/>
      <c r="STA58" s="10"/>
      <c r="STB58" s="10"/>
      <c r="STC58" s="10"/>
      <c r="STD58" s="10"/>
      <c r="STE58" s="10"/>
      <c r="STF58" s="10"/>
      <c r="STG58" s="10"/>
      <c r="STH58" s="10"/>
      <c r="STI58" s="10"/>
      <c r="STJ58" s="10"/>
      <c r="STK58" s="10"/>
      <c r="STL58" s="10"/>
      <c r="STM58" s="10"/>
      <c r="STN58" s="10"/>
      <c r="STO58" s="10"/>
      <c r="STP58" s="10"/>
      <c r="STQ58" s="10"/>
      <c r="STR58" s="10"/>
      <c r="STS58" s="10"/>
      <c r="STT58" s="10"/>
      <c r="STU58" s="10"/>
      <c r="STV58" s="10"/>
      <c r="STW58" s="10"/>
      <c r="STX58" s="10"/>
      <c r="STY58" s="10"/>
      <c r="STZ58" s="10"/>
      <c r="SUA58" s="10"/>
      <c r="SUB58" s="10"/>
      <c r="SUC58" s="10"/>
      <c r="SUD58" s="10"/>
      <c r="SUE58" s="10"/>
      <c r="SUF58" s="10"/>
      <c r="SUG58" s="10"/>
      <c r="SUH58" s="10"/>
      <c r="SUI58" s="10"/>
      <c r="SUJ58" s="10"/>
      <c r="SUK58" s="10"/>
      <c r="SUL58" s="10"/>
      <c r="SUM58" s="10"/>
      <c r="SUN58" s="10"/>
      <c r="SUO58" s="10"/>
      <c r="SUP58" s="10"/>
      <c r="SUQ58" s="10"/>
      <c r="SUR58" s="10"/>
      <c r="SUS58" s="10"/>
      <c r="SUT58" s="10"/>
      <c r="SUU58" s="10"/>
      <c r="SUV58" s="10"/>
      <c r="SUW58" s="10"/>
      <c r="SUX58" s="10"/>
      <c r="SUY58" s="10"/>
      <c r="SUZ58" s="10"/>
      <c r="SVA58" s="10"/>
      <c r="SVB58" s="10"/>
      <c r="SVC58" s="10"/>
      <c r="SVD58" s="10"/>
      <c r="SVE58" s="10"/>
      <c r="SVF58" s="10"/>
      <c r="SVG58" s="10"/>
      <c r="SVH58" s="10"/>
      <c r="SVI58" s="10"/>
      <c r="SVJ58" s="10"/>
      <c r="SVK58" s="10"/>
      <c r="SVL58" s="10"/>
      <c r="SVM58" s="10"/>
      <c r="SVN58" s="10"/>
      <c r="SVO58" s="10"/>
      <c r="SVP58" s="10"/>
      <c r="SVQ58" s="10"/>
      <c r="SVR58" s="10"/>
      <c r="SVS58" s="10"/>
      <c r="SVT58" s="10"/>
      <c r="SVU58" s="10"/>
      <c r="SVV58" s="10"/>
      <c r="SVW58" s="10"/>
      <c r="SVX58" s="10"/>
      <c r="SVY58" s="10"/>
      <c r="SVZ58" s="10"/>
      <c r="SWA58" s="10"/>
      <c r="SWB58" s="10"/>
      <c r="SWC58" s="10"/>
      <c r="SWD58" s="10"/>
      <c r="SWE58" s="10"/>
      <c r="SWF58" s="10"/>
      <c r="SWG58" s="10"/>
      <c r="SWH58" s="10"/>
      <c r="SWI58" s="10"/>
      <c r="SWJ58" s="10"/>
      <c r="SWK58" s="10"/>
      <c r="SWL58" s="10"/>
      <c r="SWM58" s="10"/>
      <c r="SWN58" s="10"/>
      <c r="SWO58" s="10"/>
      <c r="SWP58" s="10"/>
      <c r="SWQ58" s="10"/>
      <c r="SWR58" s="10"/>
      <c r="SWS58" s="10"/>
      <c r="SWT58" s="10"/>
      <c r="SWU58" s="10"/>
      <c r="SWV58" s="10"/>
      <c r="SWW58" s="10"/>
      <c r="SWX58" s="10"/>
      <c r="SWY58" s="10"/>
      <c r="SWZ58" s="10"/>
      <c r="SXA58" s="10"/>
      <c r="SXB58" s="10"/>
      <c r="SXC58" s="10"/>
      <c r="SXD58" s="10"/>
      <c r="SXE58" s="10"/>
      <c r="SXF58" s="10"/>
      <c r="SXG58" s="10"/>
      <c r="SXH58" s="10"/>
      <c r="SXI58" s="10"/>
      <c r="SXJ58" s="10"/>
      <c r="SXK58" s="10"/>
      <c r="SXL58" s="10"/>
      <c r="SXM58" s="10"/>
      <c r="SXN58" s="10"/>
      <c r="SXO58" s="10"/>
      <c r="SXP58" s="10"/>
      <c r="SXQ58" s="10"/>
      <c r="SXR58" s="10"/>
      <c r="SXS58" s="10"/>
      <c r="SXT58" s="10"/>
      <c r="SXU58" s="10"/>
      <c r="SXV58" s="10"/>
      <c r="SXW58" s="10"/>
      <c r="SXX58" s="10"/>
      <c r="SXY58" s="10"/>
      <c r="SXZ58" s="10"/>
      <c r="SYA58" s="10"/>
      <c r="SYB58" s="10"/>
      <c r="SYC58" s="10"/>
      <c r="SYD58" s="10"/>
      <c r="SYE58" s="10"/>
      <c r="SYF58" s="10"/>
      <c r="SYG58" s="10"/>
      <c r="SYH58" s="10"/>
      <c r="SYI58" s="10"/>
      <c r="SYJ58" s="10"/>
      <c r="SYK58" s="10"/>
      <c r="SYL58" s="10"/>
      <c r="SYM58" s="10"/>
      <c r="SYN58" s="10"/>
      <c r="SYO58" s="10"/>
      <c r="SYP58" s="10"/>
      <c r="SYQ58" s="10"/>
      <c r="SYR58" s="10"/>
      <c r="SYS58" s="10"/>
      <c r="SYT58" s="10"/>
      <c r="SYU58" s="10"/>
      <c r="SYV58" s="10"/>
      <c r="SYW58" s="10"/>
      <c r="SYX58" s="10"/>
      <c r="SYY58" s="10"/>
      <c r="SYZ58" s="10"/>
      <c r="SZA58" s="10"/>
      <c r="SZB58" s="10"/>
      <c r="SZC58" s="10"/>
      <c r="SZD58" s="10"/>
      <c r="SZE58" s="10"/>
      <c r="SZF58" s="10"/>
      <c r="SZG58" s="10"/>
      <c r="SZH58" s="10"/>
      <c r="SZI58" s="10"/>
      <c r="SZJ58" s="10"/>
      <c r="SZK58" s="10"/>
      <c r="SZL58" s="10"/>
      <c r="SZM58" s="10"/>
      <c r="SZN58" s="10"/>
      <c r="SZO58" s="10"/>
      <c r="SZP58" s="10"/>
      <c r="SZQ58" s="10"/>
      <c r="SZR58" s="10"/>
      <c r="SZS58" s="10"/>
      <c r="SZT58" s="10"/>
      <c r="SZU58" s="10"/>
      <c r="SZV58" s="10"/>
      <c r="SZW58" s="10"/>
      <c r="SZX58" s="10"/>
      <c r="SZY58" s="10"/>
      <c r="SZZ58" s="10"/>
      <c r="TAA58" s="10"/>
      <c r="TAB58" s="10"/>
      <c r="TAC58" s="10"/>
      <c r="TAD58" s="10"/>
      <c r="TAE58" s="10"/>
      <c r="TAF58" s="10"/>
      <c r="TAG58" s="10"/>
      <c r="TAH58" s="10"/>
      <c r="TAI58" s="10"/>
      <c r="TAJ58" s="10"/>
      <c r="TAK58" s="10"/>
      <c r="TAL58" s="10"/>
      <c r="TAM58" s="10"/>
      <c r="TAN58" s="10"/>
      <c r="TAO58" s="10"/>
      <c r="TAP58" s="10"/>
      <c r="TAQ58" s="10"/>
      <c r="TAR58" s="10"/>
      <c r="TAS58" s="10"/>
      <c r="TAT58" s="10"/>
      <c r="TAU58" s="10"/>
      <c r="TAV58" s="10"/>
      <c r="TAW58" s="10"/>
      <c r="TAX58" s="10"/>
      <c r="TAY58" s="10"/>
      <c r="TAZ58" s="10"/>
      <c r="TBA58" s="10"/>
      <c r="TBB58" s="10"/>
      <c r="TBC58" s="10"/>
      <c r="TBD58" s="10"/>
      <c r="TBE58" s="10"/>
      <c r="TBF58" s="10"/>
      <c r="TBG58" s="10"/>
      <c r="TBH58" s="10"/>
      <c r="TBI58" s="10"/>
      <c r="TBJ58" s="10"/>
      <c r="TBK58" s="10"/>
      <c r="TBL58" s="10"/>
      <c r="TBM58" s="10"/>
      <c r="TBN58" s="10"/>
      <c r="TBO58" s="10"/>
      <c r="TBP58" s="10"/>
      <c r="TBQ58" s="10"/>
      <c r="TBR58" s="10"/>
      <c r="TBS58" s="10"/>
      <c r="TBT58" s="10"/>
      <c r="TBU58" s="10"/>
      <c r="TBV58" s="10"/>
      <c r="TBW58" s="10"/>
      <c r="TBX58" s="10"/>
      <c r="TBY58" s="10"/>
      <c r="TBZ58" s="10"/>
      <c r="TCA58" s="10"/>
      <c r="TCB58" s="10"/>
      <c r="TCC58" s="10"/>
      <c r="TCD58" s="10"/>
      <c r="TCE58" s="10"/>
      <c r="TCF58" s="10"/>
      <c r="TCG58" s="10"/>
      <c r="TCH58" s="10"/>
      <c r="TCI58" s="10"/>
      <c r="TCJ58" s="10"/>
      <c r="TCK58" s="10"/>
      <c r="TCL58" s="10"/>
      <c r="TCM58" s="10"/>
      <c r="TCN58" s="10"/>
      <c r="TCO58" s="10"/>
      <c r="TCP58" s="10"/>
      <c r="TCQ58" s="10"/>
      <c r="TCR58" s="10"/>
      <c r="TCS58" s="10"/>
      <c r="TCT58" s="10"/>
      <c r="TCU58" s="10"/>
      <c r="TCV58" s="10"/>
      <c r="TCW58" s="10"/>
      <c r="TCX58" s="10"/>
      <c r="TCY58" s="10"/>
      <c r="TCZ58" s="10"/>
      <c r="TDA58" s="10"/>
      <c r="TDB58" s="10"/>
      <c r="TDC58" s="10"/>
      <c r="TDD58" s="10"/>
      <c r="TDE58" s="10"/>
      <c r="TDF58" s="10"/>
      <c r="TDG58" s="10"/>
      <c r="TDH58" s="10"/>
      <c r="TDI58" s="10"/>
      <c r="TDJ58" s="10"/>
      <c r="TDK58" s="10"/>
      <c r="TDL58" s="10"/>
      <c r="TDM58" s="10"/>
      <c r="TDN58" s="10"/>
      <c r="TDO58" s="10"/>
      <c r="TDP58" s="10"/>
      <c r="TDQ58" s="10"/>
      <c r="TDR58" s="10"/>
      <c r="TDS58" s="10"/>
      <c r="TDT58" s="10"/>
      <c r="TDU58" s="10"/>
      <c r="TDV58" s="10"/>
      <c r="TDW58" s="10"/>
      <c r="TDX58" s="10"/>
      <c r="TDY58" s="10"/>
      <c r="TDZ58" s="10"/>
      <c r="TEA58" s="10"/>
      <c r="TEB58" s="10"/>
      <c r="TEC58" s="10"/>
      <c r="TED58" s="10"/>
      <c r="TEE58" s="10"/>
      <c r="TEF58" s="10"/>
      <c r="TEG58" s="10"/>
      <c r="TEH58" s="10"/>
      <c r="TEI58" s="10"/>
      <c r="TEJ58" s="10"/>
      <c r="TEK58" s="10"/>
      <c r="TEL58" s="10"/>
      <c r="TEM58" s="10"/>
      <c r="TEN58" s="10"/>
      <c r="TEO58" s="10"/>
      <c r="TEP58" s="10"/>
      <c r="TEQ58" s="10"/>
      <c r="TER58" s="10"/>
      <c r="TES58" s="10"/>
      <c r="TET58" s="10"/>
      <c r="TEU58" s="10"/>
      <c r="TEV58" s="10"/>
      <c r="TEW58" s="10"/>
      <c r="TEX58" s="10"/>
      <c r="TEY58" s="10"/>
      <c r="TEZ58" s="10"/>
      <c r="TFA58" s="10"/>
      <c r="TFB58" s="10"/>
      <c r="TFC58" s="10"/>
      <c r="TFD58" s="10"/>
      <c r="TFE58" s="10"/>
      <c r="TFF58" s="10"/>
      <c r="TFG58" s="10"/>
      <c r="TFH58" s="10"/>
      <c r="TFI58" s="10"/>
      <c r="TFJ58" s="10"/>
      <c r="TFK58" s="10"/>
      <c r="TFL58" s="10"/>
      <c r="TFM58" s="10"/>
      <c r="TFN58" s="10"/>
      <c r="TFO58" s="10"/>
      <c r="TFP58" s="10"/>
      <c r="TFQ58" s="10"/>
      <c r="TFR58" s="10"/>
      <c r="TFS58" s="10"/>
      <c r="TFT58" s="10"/>
      <c r="TFU58" s="10"/>
      <c r="TFV58" s="10"/>
      <c r="TFW58" s="10"/>
      <c r="TFX58" s="10"/>
      <c r="TFY58" s="10"/>
      <c r="TFZ58" s="10"/>
      <c r="TGA58" s="10"/>
      <c r="TGB58" s="10"/>
      <c r="TGC58" s="10"/>
      <c r="TGD58" s="10"/>
      <c r="TGE58" s="10"/>
      <c r="TGF58" s="10"/>
      <c r="TGG58" s="10"/>
      <c r="TGH58" s="10"/>
      <c r="TGI58" s="10"/>
      <c r="TGJ58" s="10"/>
      <c r="TGK58" s="10"/>
      <c r="TGL58" s="10"/>
      <c r="TGM58" s="10"/>
      <c r="TGN58" s="10"/>
      <c r="TGO58" s="10"/>
      <c r="TGP58" s="10"/>
      <c r="TGQ58" s="10"/>
      <c r="TGR58" s="10"/>
      <c r="TGS58" s="10"/>
      <c r="TGT58" s="10"/>
      <c r="TGU58" s="10"/>
      <c r="TGV58" s="10"/>
      <c r="TGW58" s="10"/>
      <c r="TGX58" s="10"/>
      <c r="TGY58" s="10"/>
      <c r="TGZ58" s="10"/>
      <c r="THA58" s="10"/>
      <c r="THB58" s="10"/>
      <c r="THC58" s="10"/>
      <c r="THD58" s="10"/>
      <c r="THE58" s="10"/>
      <c r="THF58" s="10"/>
      <c r="THG58" s="10"/>
      <c r="THH58" s="10"/>
      <c r="THI58" s="10"/>
      <c r="THJ58" s="10"/>
      <c r="THK58" s="10"/>
      <c r="THL58" s="10"/>
      <c r="THM58" s="10"/>
      <c r="THN58" s="10"/>
      <c r="THO58" s="10"/>
      <c r="THP58" s="10"/>
      <c r="THQ58" s="10"/>
      <c r="THR58" s="10"/>
      <c r="THS58" s="10"/>
      <c r="THT58" s="10"/>
      <c r="THU58" s="10"/>
      <c r="THV58" s="10"/>
      <c r="THW58" s="10"/>
      <c r="THX58" s="10"/>
      <c r="THY58" s="10"/>
      <c r="THZ58" s="10"/>
      <c r="TIA58" s="10"/>
      <c r="TIB58" s="10"/>
      <c r="TIC58" s="10"/>
      <c r="TID58" s="10"/>
      <c r="TIE58" s="10"/>
      <c r="TIF58" s="10"/>
      <c r="TIG58" s="10"/>
      <c r="TIH58" s="10"/>
      <c r="TII58" s="10"/>
      <c r="TIJ58" s="10"/>
      <c r="TIK58" s="10"/>
      <c r="TIL58" s="10"/>
      <c r="TIM58" s="10"/>
      <c r="TIN58" s="10"/>
      <c r="TIO58" s="10"/>
      <c r="TIP58" s="10"/>
      <c r="TIQ58" s="10"/>
      <c r="TIR58" s="10"/>
      <c r="TIS58" s="10"/>
      <c r="TIT58" s="10"/>
      <c r="TIU58" s="10"/>
      <c r="TIV58" s="10"/>
      <c r="TIW58" s="10"/>
      <c r="TIX58" s="10"/>
      <c r="TIY58" s="10"/>
      <c r="TIZ58" s="10"/>
      <c r="TJA58" s="10"/>
      <c r="TJB58" s="10"/>
      <c r="TJC58" s="10"/>
      <c r="TJD58" s="10"/>
      <c r="TJE58" s="10"/>
      <c r="TJF58" s="10"/>
      <c r="TJG58" s="10"/>
      <c r="TJH58" s="10"/>
      <c r="TJI58" s="10"/>
      <c r="TJJ58" s="10"/>
      <c r="TJK58" s="10"/>
      <c r="TJL58" s="10"/>
      <c r="TJM58" s="10"/>
      <c r="TJN58" s="10"/>
      <c r="TJO58" s="10"/>
      <c r="TJP58" s="10"/>
      <c r="TJQ58" s="10"/>
      <c r="TJR58" s="10"/>
      <c r="TJS58" s="10"/>
      <c r="TJT58" s="10"/>
      <c r="TJU58" s="10"/>
      <c r="TJV58" s="10"/>
      <c r="TJW58" s="10"/>
      <c r="TJX58" s="10"/>
      <c r="TJY58" s="10"/>
      <c r="TJZ58" s="10"/>
      <c r="TKA58" s="10"/>
      <c r="TKB58" s="10"/>
      <c r="TKC58" s="10"/>
      <c r="TKD58" s="10"/>
      <c r="TKE58" s="10"/>
      <c r="TKF58" s="10"/>
      <c r="TKG58" s="10"/>
      <c r="TKH58" s="10"/>
      <c r="TKI58" s="10"/>
      <c r="TKJ58" s="10"/>
      <c r="TKK58" s="10"/>
      <c r="TKL58" s="10"/>
      <c r="TKM58" s="10"/>
      <c r="TKN58" s="10"/>
      <c r="TKO58" s="10"/>
      <c r="TKP58" s="10"/>
      <c r="TKQ58" s="10"/>
      <c r="TKR58" s="10"/>
      <c r="TKS58" s="10"/>
      <c r="TKT58" s="10"/>
      <c r="TKU58" s="10"/>
      <c r="TKV58" s="10"/>
      <c r="TKW58" s="10"/>
      <c r="TKX58" s="10"/>
      <c r="TKY58" s="10"/>
      <c r="TKZ58" s="10"/>
      <c r="TLA58" s="10"/>
      <c r="TLB58" s="10"/>
      <c r="TLC58" s="10"/>
      <c r="TLD58" s="10"/>
      <c r="TLE58" s="10"/>
      <c r="TLF58" s="10"/>
      <c r="TLG58" s="10"/>
      <c r="TLH58" s="10"/>
      <c r="TLI58" s="10"/>
      <c r="TLJ58" s="10"/>
      <c r="TLK58" s="10"/>
      <c r="TLL58" s="10"/>
      <c r="TLM58" s="10"/>
      <c r="TLN58" s="10"/>
      <c r="TLO58" s="10"/>
      <c r="TLP58" s="10"/>
      <c r="TLQ58" s="10"/>
      <c r="TLR58" s="10"/>
      <c r="TLS58" s="10"/>
      <c r="TLT58" s="10"/>
      <c r="TLU58" s="10"/>
      <c r="TLV58" s="10"/>
      <c r="TLW58" s="10"/>
      <c r="TLX58" s="10"/>
      <c r="TLY58" s="10"/>
      <c r="TLZ58" s="10"/>
      <c r="TMA58" s="10"/>
      <c r="TMB58" s="10"/>
      <c r="TMC58" s="10"/>
      <c r="TMD58" s="10"/>
      <c r="TME58" s="10"/>
      <c r="TMF58" s="10"/>
      <c r="TMG58" s="10"/>
      <c r="TMH58" s="10"/>
      <c r="TMI58" s="10"/>
      <c r="TMJ58" s="10"/>
      <c r="TMK58" s="10"/>
      <c r="TML58" s="10"/>
      <c r="TMM58" s="10"/>
      <c r="TMN58" s="10"/>
      <c r="TMO58" s="10"/>
      <c r="TMP58" s="10"/>
      <c r="TMQ58" s="10"/>
      <c r="TMR58" s="10"/>
      <c r="TMS58" s="10"/>
      <c r="TMT58" s="10"/>
      <c r="TMU58" s="10"/>
      <c r="TMV58" s="10"/>
      <c r="TMW58" s="10"/>
      <c r="TMX58" s="10"/>
      <c r="TMY58" s="10"/>
      <c r="TMZ58" s="10"/>
      <c r="TNA58" s="10"/>
      <c r="TNB58" s="10"/>
      <c r="TNC58" s="10"/>
      <c r="TND58" s="10"/>
      <c r="TNE58" s="10"/>
      <c r="TNF58" s="10"/>
      <c r="TNG58" s="10"/>
      <c r="TNH58" s="10"/>
      <c r="TNI58" s="10"/>
      <c r="TNJ58" s="10"/>
      <c r="TNK58" s="10"/>
      <c r="TNL58" s="10"/>
      <c r="TNM58" s="10"/>
      <c r="TNN58" s="10"/>
      <c r="TNO58" s="10"/>
      <c r="TNP58" s="10"/>
      <c r="TNQ58" s="10"/>
      <c r="TNR58" s="10"/>
      <c r="TNS58" s="10"/>
      <c r="TNT58" s="10"/>
      <c r="TNU58" s="10"/>
      <c r="TNV58" s="10"/>
      <c r="TNW58" s="10"/>
      <c r="TNX58" s="10"/>
      <c r="TNY58" s="10"/>
      <c r="TNZ58" s="10"/>
      <c r="TOA58" s="10"/>
      <c r="TOB58" s="10"/>
      <c r="TOC58" s="10"/>
      <c r="TOD58" s="10"/>
      <c r="TOE58" s="10"/>
      <c r="TOF58" s="10"/>
      <c r="TOG58" s="10"/>
      <c r="TOH58" s="10"/>
      <c r="TOI58" s="10"/>
      <c r="TOJ58" s="10"/>
      <c r="TOK58" s="10"/>
      <c r="TOL58" s="10"/>
      <c r="TOM58" s="10"/>
      <c r="TON58" s="10"/>
      <c r="TOO58" s="10"/>
      <c r="TOP58" s="10"/>
      <c r="TOQ58" s="10"/>
      <c r="TOR58" s="10"/>
      <c r="TOS58" s="10"/>
      <c r="TOT58" s="10"/>
      <c r="TOU58" s="10"/>
      <c r="TOV58" s="10"/>
      <c r="TOW58" s="10"/>
      <c r="TOX58" s="10"/>
      <c r="TOY58" s="10"/>
      <c r="TOZ58" s="10"/>
      <c r="TPA58" s="10"/>
      <c r="TPB58" s="10"/>
      <c r="TPC58" s="10"/>
      <c r="TPD58" s="10"/>
      <c r="TPE58" s="10"/>
      <c r="TPF58" s="10"/>
      <c r="TPG58" s="10"/>
      <c r="TPH58" s="10"/>
      <c r="TPI58" s="10"/>
      <c r="TPJ58" s="10"/>
      <c r="TPK58" s="10"/>
      <c r="TPL58" s="10"/>
      <c r="TPM58" s="10"/>
      <c r="TPN58" s="10"/>
      <c r="TPO58" s="10"/>
      <c r="TPP58" s="10"/>
      <c r="TPQ58" s="10"/>
      <c r="TPR58" s="10"/>
      <c r="TPS58" s="10"/>
      <c r="TPT58" s="10"/>
      <c r="TPU58" s="10"/>
      <c r="TPV58" s="10"/>
      <c r="TPW58" s="10"/>
      <c r="TPX58" s="10"/>
      <c r="TPY58" s="10"/>
      <c r="TPZ58" s="10"/>
      <c r="TQA58" s="10"/>
      <c r="TQB58" s="10"/>
      <c r="TQC58" s="10"/>
      <c r="TQD58" s="10"/>
      <c r="TQE58" s="10"/>
      <c r="TQF58" s="10"/>
      <c r="TQG58" s="10"/>
      <c r="TQH58" s="10"/>
      <c r="TQI58" s="10"/>
      <c r="TQJ58" s="10"/>
      <c r="TQK58" s="10"/>
      <c r="TQL58" s="10"/>
      <c r="TQM58" s="10"/>
      <c r="TQN58" s="10"/>
      <c r="TQO58" s="10"/>
      <c r="TQP58" s="10"/>
      <c r="TQQ58" s="10"/>
      <c r="TQR58" s="10"/>
      <c r="TQS58" s="10"/>
      <c r="TQT58" s="10"/>
      <c r="TQU58" s="10"/>
      <c r="TQV58" s="10"/>
      <c r="TQW58" s="10"/>
      <c r="TQX58" s="10"/>
      <c r="TQY58" s="10"/>
      <c r="TQZ58" s="10"/>
      <c r="TRA58" s="10"/>
      <c r="TRB58" s="10"/>
      <c r="TRC58" s="10"/>
      <c r="TRD58" s="10"/>
      <c r="TRE58" s="10"/>
      <c r="TRF58" s="10"/>
      <c r="TRG58" s="10"/>
      <c r="TRH58" s="10"/>
      <c r="TRI58" s="10"/>
      <c r="TRJ58" s="10"/>
      <c r="TRK58" s="10"/>
      <c r="TRL58" s="10"/>
      <c r="TRM58" s="10"/>
      <c r="TRN58" s="10"/>
      <c r="TRO58" s="10"/>
      <c r="TRP58" s="10"/>
      <c r="TRQ58" s="10"/>
      <c r="TRR58" s="10"/>
      <c r="TRS58" s="10"/>
      <c r="TRT58" s="10"/>
      <c r="TRU58" s="10"/>
      <c r="TRV58" s="10"/>
      <c r="TRW58" s="10"/>
      <c r="TRX58" s="10"/>
      <c r="TRY58" s="10"/>
      <c r="TRZ58" s="10"/>
      <c r="TSA58" s="10"/>
      <c r="TSB58" s="10"/>
      <c r="TSC58" s="10"/>
      <c r="TSD58" s="10"/>
      <c r="TSE58" s="10"/>
      <c r="TSF58" s="10"/>
      <c r="TSG58" s="10"/>
      <c r="TSH58" s="10"/>
      <c r="TSI58" s="10"/>
      <c r="TSJ58" s="10"/>
      <c r="TSK58" s="10"/>
      <c r="TSL58" s="10"/>
      <c r="TSM58" s="10"/>
      <c r="TSN58" s="10"/>
      <c r="TSO58" s="10"/>
      <c r="TSP58" s="10"/>
      <c r="TSQ58" s="10"/>
      <c r="TSR58" s="10"/>
      <c r="TSS58" s="10"/>
      <c r="TST58" s="10"/>
      <c r="TSU58" s="10"/>
      <c r="TSV58" s="10"/>
      <c r="TSW58" s="10"/>
      <c r="TSX58" s="10"/>
      <c r="TSY58" s="10"/>
      <c r="TSZ58" s="10"/>
      <c r="TTA58" s="10"/>
      <c r="TTB58" s="10"/>
      <c r="TTC58" s="10"/>
      <c r="TTD58" s="10"/>
      <c r="TTE58" s="10"/>
      <c r="TTF58" s="10"/>
      <c r="TTG58" s="10"/>
      <c r="TTH58" s="10"/>
      <c r="TTI58" s="10"/>
      <c r="TTJ58" s="10"/>
      <c r="TTK58" s="10"/>
      <c r="TTL58" s="10"/>
      <c r="TTM58" s="10"/>
      <c r="TTN58" s="10"/>
      <c r="TTO58" s="10"/>
      <c r="TTP58" s="10"/>
      <c r="TTQ58" s="10"/>
      <c r="TTR58" s="10"/>
      <c r="TTS58" s="10"/>
      <c r="TTT58" s="10"/>
      <c r="TTU58" s="10"/>
      <c r="TTV58" s="10"/>
      <c r="TTW58" s="10"/>
      <c r="TTX58" s="10"/>
      <c r="TTY58" s="10"/>
      <c r="TTZ58" s="10"/>
      <c r="TUA58" s="10"/>
      <c r="TUB58" s="10"/>
      <c r="TUC58" s="10"/>
      <c r="TUD58" s="10"/>
      <c r="TUE58" s="10"/>
      <c r="TUF58" s="10"/>
      <c r="TUG58" s="10"/>
      <c r="TUH58" s="10"/>
      <c r="TUI58" s="10"/>
      <c r="TUJ58" s="10"/>
      <c r="TUK58" s="10"/>
      <c r="TUL58" s="10"/>
      <c r="TUM58" s="10"/>
      <c r="TUN58" s="10"/>
      <c r="TUO58" s="10"/>
      <c r="TUP58" s="10"/>
      <c r="TUQ58" s="10"/>
      <c r="TUR58" s="10"/>
      <c r="TUS58" s="10"/>
      <c r="TUT58" s="10"/>
      <c r="TUU58" s="10"/>
      <c r="TUV58" s="10"/>
      <c r="TUW58" s="10"/>
      <c r="TUX58" s="10"/>
      <c r="TUY58" s="10"/>
      <c r="TUZ58" s="10"/>
      <c r="TVA58" s="10"/>
      <c r="TVB58" s="10"/>
      <c r="TVC58" s="10"/>
      <c r="TVD58" s="10"/>
      <c r="TVE58" s="10"/>
      <c r="TVF58" s="10"/>
      <c r="TVG58" s="10"/>
      <c r="TVH58" s="10"/>
      <c r="TVI58" s="10"/>
      <c r="TVJ58" s="10"/>
      <c r="TVK58" s="10"/>
      <c r="TVL58" s="10"/>
      <c r="TVM58" s="10"/>
      <c r="TVN58" s="10"/>
      <c r="TVO58" s="10"/>
      <c r="TVP58" s="10"/>
      <c r="TVQ58" s="10"/>
      <c r="TVR58" s="10"/>
      <c r="TVS58" s="10"/>
      <c r="TVT58" s="10"/>
      <c r="TVU58" s="10"/>
      <c r="TVV58" s="10"/>
      <c r="TVW58" s="10"/>
      <c r="TVX58" s="10"/>
      <c r="TVY58" s="10"/>
      <c r="TVZ58" s="10"/>
      <c r="TWA58" s="10"/>
      <c r="TWB58" s="10"/>
      <c r="TWC58" s="10"/>
      <c r="TWD58" s="10"/>
      <c r="TWE58" s="10"/>
      <c r="TWF58" s="10"/>
      <c r="TWG58" s="10"/>
      <c r="TWH58" s="10"/>
      <c r="TWI58" s="10"/>
      <c r="TWJ58" s="10"/>
      <c r="TWK58" s="10"/>
      <c r="TWL58" s="10"/>
      <c r="TWM58" s="10"/>
      <c r="TWN58" s="10"/>
      <c r="TWO58" s="10"/>
      <c r="TWP58" s="10"/>
      <c r="TWQ58" s="10"/>
      <c r="TWR58" s="10"/>
      <c r="TWS58" s="10"/>
      <c r="TWT58" s="10"/>
      <c r="TWU58" s="10"/>
      <c r="TWV58" s="10"/>
      <c r="TWW58" s="10"/>
      <c r="TWX58" s="10"/>
      <c r="TWY58" s="10"/>
      <c r="TWZ58" s="10"/>
      <c r="TXA58" s="10"/>
      <c r="TXB58" s="10"/>
      <c r="TXC58" s="10"/>
      <c r="TXD58" s="10"/>
      <c r="TXE58" s="10"/>
      <c r="TXF58" s="10"/>
      <c r="TXG58" s="10"/>
      <c r="TXH58" s="10"/>
      <c r="TXI58" s="10"/>
      <c r="TXJ58" s="10"/>
      <c r="TXK58" s="10"/>
      <c r="TXL58" s="10"/>
      <c r="TXM58" s="10"/>
      <c r="TXN58" s="10"/>
      <c r="TXO58" s="10"/>
      <c r="TXP58" s="10"/>
      <c r="TXQ58" s="10"/>
      <c r="TXR58" s="10"/>
      <c r="TXS58" s="10"/>
      <c r="TXT58" s="10"/>
      <c r="TXU58" s="10"/>
      <c r="TXV58" s="10"/>
      <c r="TXW58" s="10"/>
      <c r="TXX58" s="10"/>
      <c r="TXY58" s="10"/>
      <c r="TXZ58" s="10"/>
      <c r="TYA58" s="10"/>
      <c r="TYB58" s="10"/>
      <c r="TYC58" s="10"/>
      <c r="TYD58" s="10"/>
      <c r="TYE58" s="10"/>
      <c r="TYF58" s="10"/>
      <c r="TYG58" s="10"/>
      <c r="TYH58" s="10"/>
      <c r="TYI58" s="10"/>
      <c r="TYJ58" s="10"/>
      <c r="TYK58" s="10"/>
      <c r="TYL58" s="10"/>
      <c r="TYM58" s="10"/>
      <c r="TYN58" s="10"/>
      <c r="TYO58" s="10"/>
      <c r="TYP58" s="10"/>
      <c r="TYQ58" s="10"/>
      <c r="TYR58" s="10"/>
      <c r="TYS58" s="10"/>
      <c r="TYT58" s="10"/>
      <c r="TYU58" s="10"/>
      <c r="TYV58" s="10"/>
      <c r="TYW58" s="10"/>
      <c r="TYX58" s="10"/>
      <c r="TYY58" s="10"/>
      <c r="TYZ58" s="10"/>
      <c r="TZA58" s="10"/>
      <c r="TZB58" s="10"/>
      <c r="TZC58" s="10"/>
      <c r="TZD58" s="10"/>
      <c r="TZE58" s="10"/>
      <c r="TZF58" s="10"/>
      <c r="TZG58" s="10"/>
      <c r="TZH58" s="10"/>
      <c r="TZI58" s="10"/>
      <c r="TZJ58" s="10"/>
      <c r="TZK58" s="10"/>
      <c r="TZL58" s="10"/>
      <c r="TZM58" s="10"/>
      <c r="TZN58" s="10"/>
      <c r="TZO58" s="10"/>
      <c r="TZP58" s="10"/>
      <c r="TZQ58" s="10"/>
      <c r="TZR58" s="10"/>
      <c r="TZS58" s="10"/>
      <c r="TZT58" s="10"/>
      <c r="TZU58" s="10"/>
      <c r="TZV58" s="10"/>
      <c r="TZW58" s="10"/>
      <c r="TZX58" s="10"/>
      <c r="TZY58" s="10"/>
      <c r="TZZ58" s="10"/>
      <c r="UAA58" s="10"/>
      <c r="UAB58" s="10"/>
      <c r="UAC58" s="10"/>
      <c r="UAD58" s="10"/>
      <c r="UAE58" s="10"/>
      <c r="UAF58" s="10"/>
      <c r="UAG58" s="10"/>
      <c r="UAH58" s="10"/>
      <c r="UAI58" s="10"/>
      <c r="UAJ58" s="10"/>
      <c r="UAK58" s="10"/>
      <c r="UAL58" s="10"/>
      <c r="UAM58" s="10"/>
      <c r="UAN58" s="10"/>
      <c r="UAO58" s="10"/>
      <c r="UAP58" s="10"/>
      <c r="UAQ58" s="10"/>
      <c r="UAR58" s="10"/>
      <c r="UAS58" s="10"/>
      <c r="UAT58" s="10"/>
      <c r="UAU58" s="10"/>
      <c r="UAV58" s="10"/>
      <c r="UAW58" s="10"/>
      <c r="UAX58" s="10"/>
      <c r="UAY58" s="10"/>
      <c r="UAZ58" s="10"/>
      <c r="UBA58" s="10"/>
      <c r="UBB58" s="10"/>
      <c r="UBC58" s="10"/>
      <c r="UBD58" s="10"/>
      <c r="UBE58" s="10"/>
      <c r="UBF58" s="10"/>
      <c r="UBG58" s="10"/>
      <c r="UBH58" s="10"/>
      <c r="UBI58" s="10"/>
      <c r="UBJ58" s="10"/>
      <c r="UBK58" s="10"/>
      <c r="UBL58" s="10"/>
      <c r="UBM58" s="10"/>
      <c r="UBN58" s="10"/>
      <c r="UBO58" s="10"/>
      <c r="UBP58" s="10"/>
      <c r="UBQ58" s="10"/>
      <c r="UBR58" s="10"/>
      <c r="UBS58" s="10"/>
      <c r="UBT58" s="10"/>
      <c r="UBU58" s="10"/>
      <c r="UBV58" s="10"/>
      <c r="UBW58" s="10"/>
      <c r="UBX58" s="10"/>
      <c r="UBY58" s="10"/>
      <c r="UBZ58" s="10"/>
      <c r="UCA58" s="10"/>
      <c r="UCB58" s="10"/>
      <c r="UCC58" s="10"/>
      <c r="UCD58" s="10"/>
      <c r="UCE58" s="10"/>
      <c r="UCF58" s="10"/>
      <c r="UCG58" s="10"/>
      <c r="UCH58" s="10"/>
      <c r="UCI58" s="10"/>
      <c r="UCJ58" s="10"/>
      <c r="UCK58" s="10"/>
      <c r="UCL58" s="10"/>
      <c r="UCM58" s="10"/>
      <c r="UCN58" s="10"/>
      <c r="UCO58" s="10"/>
      <c r="UCP58" s="10"/>
      <c r="UCQ58" s="10"/>
      <c r="UCR58" s="10"/>
      <c r="UCS58" s="10"/>
      <c r="UCT58" s="10"/>
      <c r="UCU58" s="10"/>
      <c r="UCV58" s="10"/>
      <c r="UCW58" s="10"/>
      <c r="UCX58" s="10"/>
      <c r="UCY58" s="10"/>
      <c r="UCZ58" s="10"/>
      <c r="UDA58" s="10"/>
      <c r="UDB58" s="10"/>
      <c r="UDC58" s="10"/>
      <c r="UDD58" s="10"/>
      <c r="UDE58" s="10"/>
      <c r="UDF58" s="10"/>
      <c r="UDG58" s="10"/>
      <c r="UDH58" s="10"/>
      <c r="UDI58" s="10"/>
      <c r="UDJ58" s="10"/>
      <c r="UDK58" s="10"/>
      <c r="UDL58" s="10"/>
      <c r="UDM58" s="10"/>
      <c r="UDN58" s="10"/>
      <c r="UDO58" s="10"/>
      <c r="UDP58" s="10"/>
      <c r="UDQ58" s="10"/>
      <c r="UDR58" s="10"/>
      <c r="UDS58" s="10"/>
      <c r="UDT58" s="10"/>
      <c r="UDU58" s="10"/>
      <c r="UDV58" s="10"/>
      <c r="UDW58" s="10"/>
      <c r="UDX58" s="10"/>
      <c r="UDY58" s="10"/>
      <c r="UDZ58" s="10"/>
      <c r="UEA58" s="10"/>
      <c r="UEB58" s="10"/>
      <c r="UEC58" s="10"/>
      <c r="UED58" s="10"/>
      <c r="UEE58" s="10"/>
      <c r="UEF58" s="10"/>
      <c r="UEG58" s="10"/>
      <c r="UEH58" s="10"/>
      <c r="UEI58" s="10"/>
      <c r="UEJ58" s="10"/>
      <c r="UEK58" s="10"/>
      <c r="UEL58" s="10"/>
      <c r="UEM58" s="10"/>
      <c r="UEN58" s="10"/>
      <c r="UEO58" s="10"/>
      <c r="UEP58" s="10"/>
      <c r="UEQ58" s="10"/>
      <c r="UER58" s="10"/>
      <c r="UES58" s="10"/>
      <c r="UET58" s="10"/>
      <c r="UEU58" s="10"/>
      <c r="UEV58" s="10"/>
      <c r="UEW58" s="10"/>
      <c r="UEX58" s="10"/>
      <c r="UEY58" s="10"/>
      <c r="UEZ58" s="10"/>
      <c r="UFA58" s="10"/>
      <c r="UFB58" s="10"/>
      <c r="UFC58" s="10"/>
      <c r="UFD58" s="10"/>
      <c r="UFE58" s="10"/>
      <c r="UFF58" s="10"/>
      <c r="UFG58" s="10"/>
      <c r="UFH58" s="10"/>
      <c r="UFI58" s="10"/>
      <c r="UFJ58" s="10"/>
      <c r="UFK58" s="10"/>
      <c r="UFL58" s="10"/>
      <c r="UFM58" s="10"/>
      <c r="UFN58" s="10"/>
      <c r="UFO58" s="10"/>
      <c r="UFP58" s="10"/>
      <c r="UFQ58" s="10"/>
      <c r="UFR58" s="10"/>
      <c r="UFS58" s="10"/>
      <c r="UFT58" s="10"/>
      <c r="UFU58" s="10"/>
      <c r="UFV58" s="10"/>
      <c r="UFW58" s="10"/>
      <c r="UFX58" s="10"/>
      <c r="UFY58" s="10"/>
      <c r="UFZ58" s="10"/>
      <c r="UGA58" s="10"/>
      <c r="UGB58" s="10"/>
      <c r="UGC58" s="10"/>
      <c r="UGD58" s="10"/>
      <c r="UGE58" s="10"/>
      <c r="UGF58" s="10"/>
      <c r="UGG58" s="10"/>
      <c r="UGH58" s="10"/>
      <c r="UGI58" s="10"/>
      <c r="UGJ58" s="10"/>
      <c r="UGK58" s="10"/>
      <c r="UGL58" s="10"/>
      <c r="UGM58" s="10"/>
      <c r="UGN58" s="10"/>
      <c r="UGO58" s="10"/>
      <c r="UGP58" s="10"/>
      <c r="UGQ58" s="10"/>
      <c r="UGR58" s="10"/>
      <c r="UGS58" s="10"/>
      <c r="UGT58" s="10"/>
      <c r="UGU58" s="10"/>
      <c r="UGV58" s="10"/>
      <c r="UGW58" s="10"/>
      <c r="UGX58" s="10"/>
      <c r="UGY58" s="10"/>
      <c r="UGZ58" s="10"/>
      <c r="UHA58" s="10"/>
      <c r="UHB58" s="10"/>
      <c r="UHC58" s="10"/>
      <c r="UHD58" s="10"/>
      <c r="UHE58" s="10"/>
      <c r="UHF58" s="10"/>
      <c r="UHG58" s="10"/>
      <c r="UHH58" s="10"/>
      <c r="UHI58" s="10"/>
      <c r="UHJ58" s="10"/>
      <c r="UHK58" s="10"/>
      <c r="UHL58" s="10"/>
      <c r="UHM58" s="10"/>
      <c r="UHN58" s="10"/>
      <c r="UHO58" s="10"/>
      <c r="UHP58" s="10"/>
      <c r="UHQ58" s="10"/>
      <c r="UHR58" s="10"/>
      <c r="UHS58" s="10"/>
      <c r="UHT58" s="10"/>
      <c r="UHU58" s="10"/>
      <c r="UHV58" s="10"/>
      <c r="UHW58" s="10"/>
      <c r="UHX58" s="10"/>
      <c r="UHY58" s="10"/>
      <c r="UHZ58" s="10"/>
      <c r="UIA58" s="10"/>
      <c r="UIB58" s="10"/>
      <c r="UIC58" s="10"/>
      <c r="UID58" s="10"/>
      <c r="UIE58" s="10"/>
      <c r="UIF58" s="10"/>
      <c r="UIG58" s="10"/>
      <c r="UIH58" s="10"/>
      <c r="UII58" s="10"/>
      <c r="UIJ58" s="10"/>
      <c r="UIK58" s="10"/>
      <c r="UIL58" s="10"/>
      <c r="UIM58" s="10"/>
      <c r="UIN58" s="10"/>
      <c r="UIO58" s="10"/>
      <c r="UIP58" s="10"/>
      <c r="UIQ58" s="10"/>
      <c r="UIR58" s="10"/>
      <c r="UIS58" s="10"/>
      <c r="UIT58" s="10"/>
      <c r="UIU58" s="10"/>
      <c r="UIV58" s="10"/>
      <c r="UIW58" s="10"/>
      <c r="UIX58" s="10"/>
      <c r="UIY58" s="10"/>
      <c r="UIZ58" s="10"/>
      <c r="UJA58" s="10"/>
      <c r="UJB58" s="10"/>
      <c r="UJC58" s="10"/>
      <c r="UJD58" s="10"/>
      <c r="UJE58" s="10"/>
      <c r="UJF58" s="10"/>
      <c r="UJG58" s="10"/>
      <c r="UJH58" s="10"/>
      <c r="UJI58" s="10"/>
      <c r="UJJ58" s="10"/>
      <c r="UJK58" s="10"/>
      <c r="UJL58" s="10"/>
      <c r="UJM58" s="10"/>
      <c r="UJN58" s="10"/>
      <c r="UJO58" s="10"/>
      <c r="UJP58" s="10"/>
      <c r="UJQ58" s="10"/>
      <c r="UJR58" s="10"/>
      <c r="UJS58" s="10"/>
      <c r="UJT58" s="10"/>
      <c r="UJU58" s="10"/>
      <c r="UJV58" s="10"/>
      <c r="UJW58" s="10"/>
      <c r="UJX58" s="10"/>
      <c r="UJY58" s="10"/>
      <c r="UJZ58" s="10"/>
      <c r="UKA58" s="10"/>
      <c r="UKB58" s="10"/>
      <c r="UKC58" s="10"/>
      <c r="UKD58" s="10"/>
      <c r="UKE58" s="10"/>
      <c r="UKF58" s="10"/>
      <c r="UKG58" s="10"/>
      <c r="UKH58" s="10"/>
      <c r="UKI58" s="10"/>
      <c r="UKJ58" s="10"/>
      <c r="UKK58" s="10"/>
      <c r="UKL58" s="10"/>
      <c r="UKM58" s="10"/>
      <c r="UKN58" s="10"/>
      <c r="UKO58" s="10"/>
      <c r="UKP58" s="10"/>
      <c r="UKQ58" s="10"/>
      <c r="UKR58" s="10"/>
      <c r="UKS58" s="10"/>
      <c r="UKT58" s="10"/>
      <c r="UKU58" s="10"/>
      <c r="UKV58" s="10"/>
      <c r="UKW58" s="10"/>
      <c r="UKX58" s="10"/>
      <c r="UKY58" s="10"/>
      <c r="UKZ58" s="10"/>
      <c r="ULA58" s="10"/>
      <c r="ULB58" s="10"/>
      <c r="ULC58" s="10"/>
      <c r="ULD58" s="10"/>
      <c r="ULE58" s="10"/>
      <c r="ULF58" s="10"/>
      <c r="ULG58" s="10"/>
      <c r="ULH58" s="10"/>
      <c r="ULI58" s="10"/>
      <c r="ULJ58" s="10"/>
      <c r="ULK58" s="10"/>
      <c r="ULL58" s="10"/>
      <c r="ULM58" s="10"/>
      <c r="ULN58" s="10"/>
      <c r="ULO58" s="10"/>
      <c r="ULP58" s="10"/>
      <c r="ULQ58" s="10"/>
      <c r="ULR58" s="10"/>
      <c r="ULS58" s="10"/>
      <c r="ULT58" s="10"/>
      <c r="ULU58" s="10"/>
      <c r="ULV58" s="10"/>
      <c r="ULW58" s="10"/>
      <c r="ULX58" s="10"/>
      <c r="ULY58" s="10"/>
      <c r="ULZ58" s="10"/>
      <c r="UMA58" s="10"/>
      <c r="UMB58" s="10"/>
      <c r="UMC58" s="10"/>
      <c r="UMD58" s="10"/>
      <c r="UME58" s="10"/>
      <c r="UMF58" s="10"/>
      <c r="UMG58" s="10"/>
      <c r="UMH58" s="10"/>
      <c r="UMI58" s="10"/>
      <c r="UMJ58" s="10"/>
      <c r="UMK58" s="10"/>
      <c r="UML58" s="10"/>
      <c r="UMM58" s="10"/>
      <c r="UMN58" s="10"/>
      <c r="UMO58" s="10"/>
      <c r="UMP58" s="10"/>
      <c r="UMQ58" s="10"/>
      <c r="UMR58" s="10"/>
      <c r="UMS58" s="10"/>
      <c r="UMT58" s="10"/>
      <c r="UMU58" s="10"/>
      <c r="UMV58" s="10"/>
      <c r="UMW58" s="10"/>
      <c r="UMX58" s="10"/>
      <c r="UMY58" s="10"/>
      <c r="UMZ58" s="10"/>
      <c r="UNA58" s="10"/>
      <c r="UNB58" s="10"/>
      <c r="UNC58" s="10"/>
      <c r="UND58" s="10"/>
      <c r="UNE58" s="10"/>
      <c r="UNF58" s="10"/>
      <c r="UNG58" s="10"/>
      <c r="UNH58" s="10"/>
      <c r="UNI58" s="10"/>
      <c r="UNJ58" s="10"/>
      <c r="UNK58" s="10"/>
      <c r="UNL58" s="10"/>
      <c r="UNM58" s="10"/>
      <c r="UNN58" s="10"/>
      <c r="UNO58" s="10"/>
      <c r="UNP58" s="10"/>
      <c r="UNQ58" s="10"/>
      <c r="UNR58" s="10"/>
      <c r="UNS58" s="10"/>
      <c r="UNT58" s="10"/>
      <c r="UNU58" s="10"/>
      <c r="UNV58" s="10"/>
      <c r="UNW58" s="10"/>
      <c r="UNX58" s="10"/>
      <c r="UNY58" s="10"/>
      <c r="UNZ58" s="10"/>
      <c r="UOA58" s="10"/>
      <c r="UOB58" s="10"/>
      <c r="UOC58" s="10"/>
      <c r="UOD58" s="10"/>
      <c r="UOE58" s="10"/>
      <c r="UOF58" s="10"/>
      <c r="UOG58" s="10"/>
      <c r="UOH58" s="10"/>
      <c r="UOI58" s="10"/>
      <c r="UOJ58" s="10"/>
      <c r="UOK58" s="10"/>
      <c r="UOL58" s="10"/>
      <c r="UOM58" s="10"/>
      <c r="UON58" s="10"/>
      <c r="UOO58" s="10"/>
      <c r="UOP58" s="10"/>
      <c r="UOQ58" s="10"/>
      <c r="UOR58" s="10"/>
      <c r="UOS58" s="10"/>
      <c r="UOT58" s="10"/>
      <c r="UOU58" s="10"/>
      <c r="UOV58" s="10"/>
      <c r="UOW58" s="10"/>
      <c r="UOX58" s="10"/>
      <c r="UOY58" s="10"/>
      <c r="UOZ58" s="10"/>
      <c r="UPA58" s="10"/>
      <c r="UPB58" s="10"/>
      <c r="UPC58" s="10"/>
      <c r="UPD58" s="10"/>
      <c r="UPE58" s="10"/>
      <c r="UPF58" s="10"/>
      <c r="UPG58" s="10"/>
      <c r="UPH58" s="10"/>
      <c r="UPI58" s="10"/>
      <c r="UPJ58" s="10"/>
      <c r="UPK58" s="10"/>
      <c r="UPL58" s="10"/>
      <c r="UPM58" s="10"/>
      <c r="UPN58" s="10"/>
      <c r="UPO58" s="10"/>
      <c r="UPP58" s="10"/>
      <c r="UPQ58" s="10"/>
      <c r="UPR58" s="10"/>
      <c r="UPS58" s="10"/>
      <c r="UPT58" s="10"/>
      <c r="UPU58" s="10"/>
      <c r="UPV58" s="10"/>
      <c r="UPW58" s="10"/>
      <c r="UPX58" s="10"/>
      <c r="UPY58" s="10"/>
      <c r="UPZ58" s="10"/>
      <c r="UQA58" s="10"/>
      <c r="UQB58" s="10"/>
      <c r="UQC58" s="10"/>
      <c r="UQD58" s="10"/>
      <c r="UQE58" s="10"/>
      <c r="UQF58" s="10"/>
      <c r="UQG58" s="10"/>
      <c r="UQH58" s="10"/>
      <c r="UQI58" s="10"/>
      <c r="UQJ58" s="10"/>
      <c r="UQK58" s="10"/>
      <c r="UQL58" s="10"/>
      <c r="UQM58" s="10"/>
      <c r="UQN58" s="10"/>
      <c r="UQO58" s="10"/>
      <c r="UQP58" s="10"/>
      <c r="UQQ58" s="10"/>
      <c r="UQR58" s="10"/>
      <c r="UQS58" s="10"/>
      <c r="UQT58" s="10"/>
      <c r="UQU58" s="10"/>
      <c r="UQV58" s="10"/>
      <c r="UQW58" s="10"/>
      <c r="UQX58" s="10"/>
      <c r="UQY58" s="10"/>
      <c r="UQZ58" s="10"/>
      <c r="URA58" s="10"/>
      <c r="URB58" s="10"/>
      <c r="URC58" s="10"/>
      <c r="URD58" s="10"/>
      <c r="URE58" s="10"/>
      <c r="URF58" s="10"/>
      <c r="URG58" s="10"/>
      <c r="URH58" s="10"/>
      <c r="URI58" s="10"/>
      <c r="URJ58" s="10"/>
      <c r="URK58" s="10"/>
      <c r="URL58" s="10"/>
      <c r="URM58" s="10"/>
      <c r="URN58" s="10"/>
      <c r="URO58" s="10"/>
      <c r="URP58" s="10"/>
      <c r="URQ58" s="10"/>
      <c r="URR58" s="10"/>
      <c r="URS58" s="10"/>
      <c r="URT58" s="10"/>
      <c r="URU58" s="10"/>
      <c r="URV58" s="10"/>
      <c r="URW58" s="10"/>
      <c r="URX58" s="10"/>
      <c r="URY58" s="10"/>
      <c r="URZ58" s="10"/>
      <c r="USA58" s="10"/>
      <c r="USB58" s="10"/>
      <c r="USC58" s="10"/>
      <c r="USD58" s="10"/>
      <c r="USE58" s="10"/>
      <c r="USF58" s="10"/>
      <c r="USG58" s="10"/>
      <c r="USH58" s="10"/>
      <c r="USI58" s="10"/>
      <c r="USJ58" s="10"/>
      <c r="USK58" s="10"/>
      <c r="USL58" s="10"/>
      <c r="USM58" s="10"/>
      <c r="USN58" s="10"/>
      <c r="USO58" s="10"/>
      <c r="USP58" s="10"/>
      <c r="USQ58" s="10"/>
      <c r="USR58" s="10"/>
      <c r="USS58" s="10"/>
      <c r="UST58" s="10"/>
      <c r="USU58" s="10"/>
      <c r="USV58" s="10"/>
      <c r="USW58" s="10"/>
      <c r="USX58" s="10"/>
      <c r="USY58" s="10"/>
      <c r="USZ58" s="10"/>
      <c r="UTA58" s="10"/>
      <c r="UTB58" s="10"/>
      <c r="UTC58" s="10"/>
      <c r="UTD58" s="10"/>
      <c r="UTE58" s="10"/>
      <c r="UTF58" s="10"/>
      <c r="UTG58" s="10"/>
      <c r="UTH58" s="10"/>
      <c r="UTI58" s="10"/>
      <c r="UTJ58" s="10"/>
      <c r="UTK58" s="10"/>
      <c r="UTL58" s="10"/>
      <c r="UTM58" s="10"/>
      <c r="UTN58" s="10"/>
      <c r="UTO58" s="10"/>
      <c r="UTP58" s="10"/>
      <c r="UTQ58" s="10"/>
      <c r="UTR58" s="10"/>
      <c r="UTS58" s="10"/>
      <c r="UTT58" s="10"/>
      <c r="UTU58" s="10"/>
      <c r="UTV58" s="10"/>
      <c r="UTW58" s="10"/>
      <c r="UTX58" s="10"/>
      <c r="UTY58" s="10"/>
      <c r="UTZ58" s="10"/>
      <c r="UUA58" s="10"/>
      <c r="UUB58" s="10"/>
      <c r="UUC58" s="10"/>
      <c r="UUD58" s="10"/>
      <c r="UUE58" s="10"/>
      <c r="UUF58" s="10"/>
      <c r="UUG58" s="10"/>
      <c r="UUH58" s="10"/>
      <c r="UUI58" s="10"/>
      <c r="UUJ58" s="10"/>
      <c r="UUK58" s="10"/>
      <c r="UUL58" s="10"/>
      <c r="UUM58" s="10"/>
      <c r="UUN58" s="10"/>
      <c r="UUO58" s="10"/>
      <c r="UUP58" s="10"/>
      <c r="UUQ58" s="10"/>
      <c r="UUR58" s="10"/>
      <c r="UUS58" s="10"/>
      <c r="UUT58" s="10"/>
      <c r="UUU58" s="10"/>
      <c r="UUV58" s="10"/>
      <c r="UUW58" s="10"/>
      <c r="UUX58" s="10"/>
      <c r="UUY58" s="10"/>
      <c r="UUZ58" s="10"/>
      <c r="UVA58" s="10"/>
      <c r="UVB58" s="10"/>
      <c r="UVC58" s="10"/>
      <c r="UVD58" s="10"/>
      <c r="UVE58" s="10"/>
      <c r="UVF58" s="10"/>
      <c r="UVG58" s="10"/>
      <c r="UVH58" s="10"/>
      <c r="UVI58" s="10"/>
      <c r="UVJ58" s="10"/>
      <c r="UVK58" s="10"/>
      <c r="UVL58" s="10"/>
      <c r="UVM58" s="10"/>
      <c r="UVN58" s="10"/>
      <c r="UVO58" s="10"/>
      <c r="UVP58" s="10"/>
      <c r="UVQ58" s="10"/>
      <c r="UVR58" s="10"/>
      <c r="UVS58" s="10"/>
      <c r="UVT58" s="10"/>
      <c r="UVU58" s="10"/>
      <c r="UVV58" s="10"/>
      <c r="UVW58" s="10"/>
      <c r="UVX58" s="10"/>
      <c r="UVY58" s="10"/>
      <c r="UVZ58" s="10"/>
      <c r="UWA58" s="10"/>
      <c r="UWB58" s="10"/>
      <c r="UWC58" s="10"/>
      <c r="UWD58" s="10"/>
      <c r="UWE58" s="10"/>
      <c r="UWF58" s="10"/>
      <c r="UWG58" s="10"/>
      <c r="UWH58" s="10"/>
      <c r="UWI58" s="10"/>
      <c r="UWJ58" s="10"/>
      <c r="UWK58" s="10"/>
      <c r="UWL58" s="10"/>
      <c r="UWM58" s="10"/>
      <c r="UWN58" s="10"/>
      <c r="UWO58" s="10"/>
      <c r="UWP58" s="10"/>
      <c r="UWQ58" s="10"/>
      <c r="UWR58" s="10"/>
      <c r="UWS58" s="10"/>
      <c r="UWT58" s="10"/>
      <c r="UWU58" s="10"/>
      <c r="UWV58" s="10"/>
      <c r="UWW58" s="10"/>
      <c r="UWX58" s="10"/>
      <c r="UWY58" s="10"/>
      <c r="UWZ58" s="10"/>
      <c r="UXA58" s="10"/>
      <c r="UXB58" s="10"/>
      <c r="UXC58" s="10"/>
      <c r="UXD58" s="10"/>
      <c r="UXE58" s="10"/>
      <c r="UXF58" s="10"/>
      <c r="UXG58" s="10"/>
      <c r="UXH58" s="10"/>
      <c r="UXI58" s="10"/>
      <c r="UXJ58" s="10"/>
      <c r="UXK58" s="10"/>
      <c r="UXL58" s="10"/>
      <c r="UXM58" s="10"/>
      <c r="UXN58" s="10"/>
      <c r="UXO58" s="10"/>
      <c r="UXP58" s="10"/>
      <c r="UXQ58" s="10"/>
      <c r="UXR58" s="10"/>
      <c r="UXS58" s="10"/>
      <c r="UXT58" s="10"/>
      <c r="UXU58" s="10"/>
      <c r="UXV58" s="10"/>
      <c r="UXW58" s="10"/>
      <c r="UXX58" s="10"/>
      <c r="UXY58" s="10"/>
      <c r="UXZ58" s="10"/>
      <c r="UYA58" s="10"/>
      <c r="UYB58" s="10"/>
      <c r="UYC58" s="10"/>
      <c r="UYD58" s="10"/>
      <c r="UYE58" s="10"/>
      <c r="UYF58" s="10"/>
      <c r="UYG58" s="10"/>
      <c r="UYH58" s="10"/>
      <c r="UYI58" s="10"/>
      <c r="UYJ58" s="10"/>
      <c r="UYK58" s="10"/>
      <c r="UYL58" s="10"/>
      <c r="UYM58" s="10"/>
      <c r="UYN58" s="10"/>
      <c r="UYO58" s="10"/>
      <c r="UYP58" s="10"/>
      <c r="UYQ58" s="10"/>
      <c r="UYR58" s="10"/>
      <c r="UYS58" s="10"/>
      <c r="UYT58" s="10"/>
      <c r="UYU58" s="10"/>
      <c r="UYV58" s="10"/>
      <c r="UYW58" s="10"/>
      <c r="UYX58" s="10"/>
      <c r="UYY58" s="10"/>
      <c r="UYZ58" s="10"/>
      <c r="UZA58" s="10"/>
      <c r="UZB58" s="10"/>
      <c r="UZC58" s="10"/>
      <c r="UZD58" s="10"/>
      <c r="UZE58" s="10"/>
      <c r="UZF58" s="10"/>
      <c r="UZG58" s="10"/>
      <c r="UZH58" s="10"/>
      <c r="UZI58" s="10"/>
      <c r="UZJ58" s="10"/>
      <c r="UZK58" s="10"/>
      <c r="UZL58" s="10"/>
      <c r="UZM58" s="10"/>
      <c r="UZN58" s="10"/>
      <c r="UZO58" s="10"/>
      <c r="UZP58" s="10"/>
      <c r="UZQ58" s="10"/>
      <c r="UZR58" s="10"/>
      <c r="UZS58" s="10"/>
      <c r="UZT58" s="10"/>
      <c r="UZU58" s="10"/>
      <c r="UZV58" s="10"/>
      <c r="UZW58" s="10"/>
      <c r="UZX58" s="10"/>
      <c r="UZY58" s="10"/>
      <c r="UZZ58" s="10"/>
      <c r="VAA58" s="10"/>
      <c r="VAB58" s="10"/>
      <c r="VAC58" s="10"/>
      <c r="VAD58" s="10"/>
      <c r="VAE58" s="10"/>
      <c r="VAF58" s="10"/>
      <c r="VAG58" s="10"/>
      <c r="VAH58" s="10"/>
      <c r="VAI58" s="10"/>
      <c r="VAJ58" s="10"/>
      <c r="VAK58" s="10"/>
      <c r="VAL58" s="10"/>
      <c r="VAM58" s="10"/>
      <c r="VAN58" s="10"/>
      <c r="VAO58" s="10"/>
      <c r="VAP58" s="10"/>
      <c r="VAQ58" s="10"/>
      <c r="VAR58" s="10"/>
      <c r="VAS58" s="10"/>
      <c r="VAT58" s="10"/>
      <c r="VAU58" s="10"/>
      <c r="VAV58" s="10"/>
      <c r="VAW58" s="10"/>
      <c r="VAX58" s="10"/>
      <c r="VAY58" s="10"/>
      <c r="VAZ58" s="10"/>
      <c r="VBA58" s="10"/>
      <c r="VBB58" s="10"/>
      <c r="VBC58" s="10"/>
      <c r="VBD58" s="10"/>
      <c r="VBE58" s="10"/>
      <c r="VBF58" s="10"/>
      <c r="VBG58" s="10"/>
      <c r="VBH58" s="10"/>
      <c r="VBI58" s="10"/>
      <c r="VBJ58" s="10"/>
      <c r="VBK58" s="10"/>
      <c r="VBL58" s="10"/>
      <c r="VBM58" s="10"/>
      <c r="VBN58" s="10"/>
      <c r="VBO58" s="10"/>
      <c r="VBP58" s="10"/>
      <c r="VBQ58" s="10"/>
      <c r="VBR58" s="10"/>
      <c r="VBS58" s="10"/>
      <c r="VBT58" s="10"/>
      <c r="VBU58" s="10"/>
      <c r="VBV58" s="10"/>
      <c r="VBW58" s="10"/>
      <c r="VBX58" s="10"/>
      <c r="VBY58" s="10"/>
      <c r="VBZ58" s="10"/>
      <c r="VCA58" s="10"/>
      <c r="VCB58" s="10"/>
      <c r="VCC58" s="10"/>
      <c r="VCD58" s="10"/>
      <c r="VCE58" s="10"/>
      <c r="VCF58" s="10"/>
      <c r="VCG58" s="10"/>
      <c r="VCH58" s="10"/>
      <c r="VCI58" s="10"/>
      <c r="VCJ58" s="10"/>
      <c r="VCK58" s="10"/>
      <c r="VCL58" s="10"/>
      <c r="VCM58" s="10"/>
      <c r="VCN58" s="10"/>
      <c r="VCO58" s="10"/>
      <c r="VCP58" s="10"/>
      <c r="VCQ58" s="10"/>
      <c r="VCR58" s="10"/>
      <c r="VCS58" s="10"/>
      <c r="VCT58" s="10"/>
      <c r="VCU58" s="10"/>
      <c r="VCV58" s="10"/>
      <c r="VCW58" s="10"/>
      <c r="VCX58" s="10"/>
      <c r="VCY58" s="10"/>
      <c r="VCZ58" s="10"/>
      <c r="VDA58" s="10"/>
      <c r="VDB58" s="10"/>
      <c r="VDC58" s="10"/>
      <c r="VDD58" s="10"/>
      <c r="VDE58" s="10"/>
      <c r="VDF58" s="10"/>
      <c r="VDG58" s="10"/>
      <c r="VDH58" s="10"/>
      <c r="VDI58" s="10"/>
      <c r="VDJ58" s="10"/>
      <c r="VDK58" s="10"/>
      <c r="VDL58" s="10"/>
      <c r="VDM58" s="10"/>
      <c r="VDN58" s="10"/>
      <c r="VDO58" s="10"/>
      <c r="VDP58" s="10"/>
      <c r="VDQ58" s="10"/>
      <c r="VDR58" s="10"/>
      <c r="VDS58" s="10"/>
      <c r="VDT58" s="10"/>
      <c r="VDU58" s="10"/>
      <c r="VDV58" s="10"/>
      <c r="VDW58" s="10"/>
      <c r="VDX58" s="10"/>
      <c r="VDY58" s="10"/>
      <c r="VDZ58" s="10"/>
      <c r="VEA58" s="10"/>
      <c r="VEB58" s="10"/>
      <c r="VEC58" s="10"/>
      <c r="VED58" s="10"/>
      <c r="VEE58" s="10"/>
      <c r="VEF58" s="10"/>
      <c r="VEG58" s="10"/>
      <c r="VEH58" s="10"/>
      <c r="VEI58" s="10"/>
      <c r="VEJ58" s="10"/>
      <c r="VEK58" s="10"/>
      <c r="VEL58" s="10"/>
      <c r="VEM58" s="10"/>
      <c r="VEN58" s="10"/>
      <c r="VEO58" s="10"/>
      <c r="VEP58" s="10"/>
      <c r="VEQ58" s="10"/>
      <c r="VER58" s="10"/>
      <c r="VES58" s="10"/>
      <c r="VET58" s="10"/>
      <c r="VEU58" s="10"/>
      <c r="VEV58" s="10"/>
      <c r="VEW58" s="10"/>
      <c r="VEX58" s="10"/>
      <c r="VEY58" s="10"/>
      <c r="VEZ58" s="10"/>
      <c r="VFA58" s="10"/>
      <c r="VFB58" s="10"/>
      <c r="VFC58" s="10"/>
      <c r="VFD58" s="10"/>
      <c r="VFE58" s="10"/>
      <c r="VFF58" s="10"/>
      <c r="VFG58" s="10"/>
      <c r="VFH58" s="10"/>
      <c r="VFI58" s="10"/>
      <c r="VFJ58" s="10"/>
      <c r="VFK58" s="10"/>
      <c r="VFL58" s="10"/>
      <c r="VFM58" s="10"/>
      <c r="VFN58" s="10"/>
      <c r="VFO58" s="10"/>
      <c r="VFP58" s="10"/>
      <c r="VFQ58" s="10"/>
      <c r="VFR58" s="10"/>
      <c r="VFS58" s="10"/>
      <c r="VFT58" s="10"/>
      <c r="VFU58" s="10"/>
      <c r="VFV58" s="10"/>
      <c r="VFW58" s="10"/>
      <c r="VFX58" s="10"/>
      <c r="VFY58" s="10"/>
      <c r="VFZ58" s="10"/>
      <c r="VGA58" s="10"/>
      <c r="VGB58" s="10"/>
      <c r="VGC58" s="10"/>
      <c r="VGD58" s="10"/>
      <c r="VGE58" s="10"/>
      <c r="VGF58" s="10"/>
      <c r="VGG58" s="10"/>
      <c r="VGH58" s="10"/>
      <c r="VGI58" s="10"/>
      <c r="VGJ58" s="10"/>
      <c r="VGK58" s="10"/>
      <c r="VGL58" s="10"/>
      <c r="VGM58" s="10"/>
      <c r="VGN58" s="10"/>
      <c r="VGO58" s="10"/>
      <c r="VGP58" s="10"/>
      <c r="VGQ58" s="10"/>
      <c r="VGR58" s="10"/>
      <c r="VGS58" s="10"/>
      <c r="VGT58" s="10"/>
      <c r="VGU58" s="10"/>
      <c r="VGV58" s="10"/>
      <c r="VGW58" s="10"/>
      <c r="VGX58" s="10"/>
      <c r="VGY58" s="10"/>
      <c r="VGZ58" s="10"/>
      <c r="VHA58" s="10"/>
      <c r="VHB58" s="10"/>
      <c r="VHC58" s="10"/>
      <c r="VHD58" s="10"/>
      <c r="VHE58" s="10"/>
      <c r="VHF58" s="10"/>
      <c r="VHG58" s="10"/>
      <c r="VHH58" s="10"/>
      <c r="VHI58" s="10"/>
      <c r="VHJ58" s="10"/>
      <c r="VHK58" s="10"/>
      <c r="VHL58" s="10"/>
      <c r="VHM58" s="10"/>
      <c r="VHN58" s="10"/>
      <c r="VHO58" s="10"/>
      <c r="VHP58" s="10"/>
      <c r="VHQ58" s="10"/>
      <c r="VHR58" s="10"/>
      <c r="VHS58" s="10"/>
      <c r="VHT58" s="10"/>
      <c r="VHU58" s="10"/>
      <c r="VHV58" s="10"/>
      <c r="VHW58" s="10"/>
      <c r="VHX58" s="10"/>
      <c r="VHY58" s="10"/>
      <c r="VHZ58" s="10"/>
      <c r="VIA58" s="10"/>
      <c r="VIB58" s="10"/>
      <c r="VIC58" s="10"/>
      <c r="VID58" s="10"/>
      <c r="VIE58" s="10"/>
      <c r="VIF58" s="10"/>
      <c r="VIG58" s="10"/>
      <c r="VIH58" s="10"/>
      <c r="VII58" s="10"/>
      <c r="VIJ58" s="10"/>
      <c r="VIK58" s="10"/>
      <c r="VIL58" s="10"/>
      <c r="VIM58" s="10"/>
      <c r="VIN58" s="10"/>
      <c r="VIO58" s="10"/>
      <c r="VIP58" s="10"/>
      <c r="VIQ58" s="10"/>
      <c r="VIR58" s="10"/>
      <c r="VIS58" s="10"/>
      <c r="VIT58" s="10"/>
      <c r="VIU58" s="10"/>
      <c r="VIV58" s="10"/>
      <c r="VIW58" s="10"/>
      <c r="VIX58" s="10"/>
      <c r="VIY58" s="10"/>
      <c r="VIZ58" s="10"/>
      <c r="VJA58" s="10"/>
      <c r="VJB58" s="10"/>
      <c r="VJC58" s="10"/>
      <c r="VJD58" s="10"/>
      <c r="VJE58" s="10"/>
      <c r="VJF58" s="10"/>
      <c r="VJG58" s="10"/>
      <c r="VJH58" s="10"/>
      <c r="VJI58" s="10"/>
      <c r="VJJ58" s="10"/>
      <c r="VJK58" s="10"/>
      <c r="VJL58" s="10"/>
      <c r="VJM58" s="10"/>
      <c r="VJN58" s="10"/>
      <c r="VJO58" s="10"/>
      <c r="VJP58" s="10"/>
      <c r="VJQ58" s="10"/>
      <c r="VJR58" s="10"/>
      <c r="VJS58" s="10"/>
      <c r="VJT58" s="10"/>
      <c r="VJU58" s="10"/>
      <c r="VJV58" s="10"/>
      <c r="VJW58" s="10"/>
      <c r="VJX58" s="10"/>
      <c r="VJY58" s="10"/>
      <c r="VJZ58" s="10"/>
      <c r="VKA58" s="10"/>
      <c r="VKB58" s="10"/>
      <c r="VKC58" s="10"/>
      <c r="VKD58" s="10"/>
      <c r="VKE58" s="10"/>
      <c r="VKF58" s="10"/>
      <c r="VKG58" s="10"/>
      <c r="VKH58" s="10"/>
      <c r="VKI58" s="10"/>
      <c r="VKJ58" s="10"/>
      <c r="VKK58" s="10"/>
      <c r="VKL58" s="10"/>
      <c r="VKM58" s="10"/>
      <c r="VKN58" s="10"/>
      <c r="VKO58" s="10"/>
      <c r="VKP58" s="10"/>
      <c r="VKQ58" s="10"/>
      <c r="VKR58" s="10"/>
      <c r="VKS58" s="10"/>
      <c r="VKT58" s="10"/>
      <c r="VKU58" s="10"/>
      <c r="VKV58" s="10"/>
      <c r="VKW58" s="10"/>
      <c r="VKX58" s="10"/>
      <c r="VKY58" s="10"/>
      <c r="VKZ58" s="10"/>
      <c r="VLA58" s="10"/>
      <c r="VLB58" s="10"/>
      <c r="VLC58" s="10"/>
      <c r="VLD58" s="10"/>
      <c r="VLE58" s="10"/>
      <c r="VLF58" s="10"/>
      <c r="VLG58" s="10"/>
      <c r="VLH58" s="10"/>
      <c r="VLI58" s="10"/>
      <c r="VLJ58" s="10"/>
      <c r="VLK58" s="10"/>
      <c r="VLL58" s="10"/>
      <c r="VLM58" s="10"/>
      <c r="VLN58" s="10"/>
      <c r="VLO58" s="10"/>
      <c r="VLP58" s="10"/>
      <c r="VLQ58" s="10"/>
      <c r="VLR58" s="10"/>
      <c r="VLS58" s="10"/>
      <c r="VLT58" s="10"/>
      <c r="VLU58" s="10"/>
      <c r="VLV58" s="10"/>
      <c r="VLW58" s="10"/>
      <c r="VLX58" s="10"/>
      <c r="VLY58" s="10"/>
      <c r="VLZ58" s="10"/>
      <c r="VMA58" s="10"/>
      <c r="VMB58" s="10"/>
      <c r="VMC58" s="10"/>
      <c r="VMD58" s="10"/>
      <c r="VME58" s="10"/>
      <c r="VMF58" s="10"/>
      <c r="VMG58" s="10"/>
      <c r="VMH58" s="10"/>
      <c r="VMI58" s="10"/>
      <c r="VMJ58" s="10"/>
      <c r="VMK58" s="10"/>
      <c r="VML58" s="10"/>
      <c r="VMM58" s="10"/>
      <c r="VMN58" s="10"/>
      <c r="VMO58" s="10"/>
      <c r="VMP58" s="10"/>
      <c r="VMQ58" s="10"/>
      <c r="VMR58" s="10"/>
      <c r="VMS58" s="10"/>
      <c r="VMT58" s="10"/>
      <c r="VMU58" s="10"/>
      <c r="VMV58" s="10"/>
      <c r="VMW58" s="10"/>
      <c r="VMX58" s="10"/>
      <c r="VMY58" s="10"/>
      <c r="VMZ58" s="10"/>
      <c r="VNA58" s="10"/>
      <c r="VNB58" s="10"/>
      <c r="VNC58" s="10"/>
      <c r="VND58" s="10"/>
      <c r="VNE58" s="10"/>
      <c r="VNF58" s="10"/>
      <c r="VNG58" s="10"/>
      <c r="VNH58" s="10"/>
      <c r="VNI58" s="10"/>
      <c r="VNJ58" s="10"/>
      <c r="VNK58" s="10"/>
      <c r="VNL58" s="10"/>
      <c r="VNM58" s="10"/>
      <c r="VNN58" s="10"/>
      <c r="VNO58" s="10"/>
      <c r="VNP58" s="10"/>
      <c r="VNQ58" s="10"/>
      <c r="VNR58" s="10"/>
      <c r="VNS58" s="10"/>
      <c r="VNT58" s="10"/>
      <c r="VNU58" s="10"/>
      <c r="VNV58" s="10"/>
      <c r="VNW58" s="10"/>
      <c r="VNX58" s="10"/>
      <c r="VNY58" s="10"/>
      <c r="VNZ58" s="10"/>
      <c r="VOA58" s="10"/>
      <c r="VOB58" s="10"/>
      <c r="VOC58" s="10"/>
      <c r="VOD58" s="10"/>
      <c r="VOE58" s="10"/>
      <c r="VOF58" s="10"/>
      <c r="VOG58" s="10"/>
      <c r="VOH58" s="10"/>
      <c r="VOI58" s="10"/>
      <c r="VOJ58" s="10"/>
      <c r="VOK58" s="10"/>
      <c r="VOL58" s="10"/>
      <c r="VOM58" s="10"/>
      <c r="VON58" s="10"/>
      <c r="VOO58" s="10"/>
      <c r="VOP58" s="10"/>
      <c r="VOQ58" s="10"/>
      <c r="VOR58" s="10"/>
      <c r="VOS58" s="10"/>
      <c r="VOT58" s="10"/>
      <c r="VOU58" s="10"/>
      <c r="VOV58" s="10"/>
      <c r="VOW58" s="10"/>
      <c r="VOX58" s="10"/>
      <c r="VOY58" s="10"/>
      <c r="VOZ58" s="10"/>
      <c r="VPA58" s="10"/>
      <c r="VPB58" s="10"/>
      <c r="VPC58" s="10"/>
      <c r="VPD58" s="10"/>
      <c r="VPE58" s="10"/>
      <c r="VPF58" s="10"/>
      <c r="VPG58" s="10"/>
      <c r="VPH58" s="10"/>
      <c r="VPI58" s="10"/>
      <c r="VPJ58" s="10"/>
      <c r="VPK58" s="10"/>
      <c r="VPL58" s="10"/>
      <c r="VPM58" s="10"/>
      <c r="VPN58" s="10"/>
      <c r="VPO58" s="10"/>
      <c r="VPP58" s="10"/>
      <c r="VPQ58" s="10"/>
      <c r="VPR58" s="10"/>
      <c r="VPS58" s="10"/>
      <c r="VPT58" s="10"/>
      <c r="VPU58" s="10"/>
      <c r="VPV58" s="10"/>
      <c r="VPW58" s="10"/>
      <c r="VPX58" s="10"/>
      <c r="VPY58" s="10"/>
      <c r="VPZ58" s="10"/>
      <c r="VQA58" s="10"/>
      <c r="VQB58" s="10"/>
      <c r="VQC58" s="10"/>
      <c r="VQD58" s="10"/>
      <c r="VQE58" s="10"/>
      <c r="VQF58" s="10"/>
      <c r="VQG58" s="10"/>
      <c r="VQH58" s="10"/>
      <c r="VQI58" s="10"/>
      <c r="VQJ58" s="10"/>
      <c r="VQK58" s="10"/>
      <c r="VQL58" s="10"/>
      <c r="VQM58" s="10"/>
      <c r="VQN58" s="10"/>
      <c r="VQO58" s="10"/>
      <c r="VQP58" s="10"/>
      <c r="VQQ58" s="10"/>
      <c r="VQR58" s="10"/>
      <c r="VQS58" s="10"/>
      <c r="VQT58" s="10"/>
      <c r="VQU58" s="10"/>
      <c r="VQV58" s="10"/>
      <c r="VQW58" s="10"/>
      <c r="VQX58" s="10"/>
      <c r="VQY58" s="10"/>
      <c r="VQZ58" s="10"/>
      <c r="VRA58" s="10"/>
      <c r="VRB58" s="10"/>
      <c r="VRC58" s="10"/>
      <c r="VRD58" s="10"/>
      <c r="VRE58" s="10"/>
      <c r="VRF58" s="10"/>
      <c r="VRG58" s="10"/>
      <c r="VRH58" s="10"/>
      <c r="VRI58" s="10"/>
      <c r="VRJ58" s="10"/>
      <c r="VRK58" s="10"/>
      <c r="VRL58" s="10"/>
      <c r="VRM58" s="10"/>
      <c r="VRN58" s="10"/>
      <c r="VRO58" s="10"/>
      <c r="VRP58" s="10"/>
      <c r="VRQ58" s="10"/>
      <c r="VRR58" s="10"/>
      <c r="VRS58" s="10"/>
      <c r="VRT58" s="10"/>
      <c r="VRU58" s="10"/>
      <c r="VRV58" s="10"/>
      <c r="VRW58" s="10"/>
      <c r="VRX58" s="10"/>
      <c r="VRY58" s="10"/>
      <c r="VRZ58" s="10"/>
      <c r="VSA58" s="10"/>
      <c r="VSB58" s="10"/>
      <c r="VSC58" s="10"/>
      <c r="VSD58" s="10"/>
      <c r="VSE58" s="10"/>
      <c r="VSF58" s="10"/>
      <c r="VSG58" s="10"/>
      <c r="VSH58" s="10"/>
      <c r="VSI58" s="10"/>
      <c r="VSJ58" s="10"/>
      <c r="VSK58" s="10"/>
      <c r="VSL58" s="10"/>
      <c r="VSM58" s="10"/>
      <c r="VSN58" s="10"/>
      <c r="VSO58" s="10"/>
      <c r="VSP58" s="10"/>
      <c r="VSQ58" s="10"/>
      <c r="VSR58" s="10"/>
      <c r="VSS58" s="10"/>
      <c r="VST58" s="10"/>
      <c r="VSU58" s="10"/>
      <c r="VSV58" s="10"/>
      <c r="VSW58" s="10"/>
      <c r="VSX58" s="10"/>
      <c r="VSY58" s="10"/>
      <c r="VSZ58" s="10"/>
      <c r="VTA58" s="10"/>
      <c r="VTB58" s="10"/>
      <c r="VTC58" s="10"/>
      <c r="VTD58" s="10"/>
      <c r="VTE58" s="10"/>
      <c r="VTF58" s="10"/>
      <c r="VTG58" s="10"/>
      <c r="VTH58" s="10"/>
      <c r="VTI58" s="10"/>
      <c r="VTJ58" s="10"/>
      <c r="VTK58" s="10"/>
      <c r="VTL58" s="10"/>
      <c r="VTM58" s="10"/>
      <c r="VTN58" s="10"/>
      <c r="VTO58" s="10"/>
      <c r="VTP58" s="10"/>
      <c r="VTQ58" s="10"/>
      <c r="VTR58" s="10"/>
      <c r="VTS58" s="10"/>
      <c r="VTT58" s="10"/>
      <c r="VTU58" s="10"/>
      <c r="VTV58" s="10"/>
      <c r="VTW58" s="10"/>
      <c r="VTX58" s="10"/>
      <c r="VTY58" s="10"/>
      <c r="VTZ58" s="10"/>
      <c r="VUA58" s="10"/>
      <c r="VUB58" s="10"/>
      <c r="VUC58" s="10"/>
      <c r="VUD58" s="10"/>
      <c r="VUE58" s="10"/>
      <c r="VUF58" s="10"/>
      <c r="VUG58" s="10"/>
      <c r="VUH58" s="10"/>
      <c r="VUI58" s="10"/>
      <c r="VUJ58" s="10"/>
      <c r="VUK58" s="10"/>
      <c r="VUL58" s="10"/>
      <c r="VUM58" s="10"/>
      <c r="VUN58" s="10"/>
      <c r="VUO58" s="10"/>
      <c r="VUP58" s="10"/>
      <c r="VUQ58" s="10"/>
      <c r="VUR58" s="10"/>
      <c r="VUS58" s="10"/>
      <c r="VUT58" s="10"/>
      <c r="VUU58" s="10"/>
      <c r="VUV58" s="10"/>
      <c r="VUW58" s="10"/>
      <c r="VUX58" s="10"/>
      <c r="VUY58" s="10"/>
      <c r="VUZ58" s="10"/>
      <c r="VVA58" s="10"/>
      <c r="VVB58" s="10"/>
      <c r="VVC58" s="10"/>
      <c r="VVD58" s="10"/>
      <c r="VVE58" s="10"/>
      <c r="VVF58" s="10"/>
      <c r="VVG58" s="10"/>
      <c r="VVH58" s="10"/>
      <c r="VVI58" s="10"/>
      <c r="VVJ58" s="10"/>
      <c r="VVK58" s="10"/>
      <c r="VVL58" s="10"/>
      <c r="VVM58" s="10"/>
      <c r="VVN58" s="10"/>
      <c r="VVO58" s="10"/>
      <c r="VVP58" s="10"/>
      <c r="VVQ58" s="10"/>
      <c r="VVR58" s="10"/>
      <c r="VVS58" s="10"/>
      <c r="VVT58" s="10"/>
      <c r="VVU58" s="10"/>
      <c r="VVV58" s="10"/>
      <c r="VVW58" s="10"/>
      <c r="VVX58" s="10"/>
      <c r="VVY58" s="10"/>
      <c r="VVZ58" s="10"/>
      <c r="VWA58" s="10"/>
      <c r="VWB58" s="10"/>
      <c r="VWC58" s="10"/>
      <c r="VWD58" s="10"/>
      <c r="VWE58" s="10"/>
      <c r="VWF58" s="10"/>
      <c r="VWG58" s="10"/>
      <c r="VWH58" s="10"/>
      <c r="VWI58" s="10"/>
      <c r="VWJ58" s="10"/>
      <c r="VWK58" s="10"/>
      <c r="VWL58" s="10"/>
      <c r="VWM58" s="10"/>
      <c r="VWN58" s="10"/>
      <c r="VWO58" s="10"/>
      <c r="VWP58" s="10"/>
      <c r="VWQ58" s="10"/>
      <c r="VWR58" s="10"/>
      <c r="VWS58" s="10"/>
      <c r="VWT58" s="10"/>
      <c r="VWU58" s="10"/>
      <c r="VWV58" s="10"/>
      <c r="VWW58" s="10"/>
      <c r="VWX58" s="10"/>
      <c r="VWY58" s="10"/>
      <c r="VWZ58" s="10"/>
      <c r="VXA58" s="10"/>
      <c r="VXB58" s="10"/>
      <c r="VXC58" s="10"/>
      <c r="VXD58" s="10"/>
      <c r="VXE58" s="10"/>
      <c r="VXF58" s="10"/>
      <c r="VXG58" s="10"/>
      <c r="VXH58" s="10"/>
      <c r="VXI58" s="10"/>
      <c r="VXJ58" s="10"/>
      <c r="VXK58" s="10"/>
      <c r="VXL58" s="10"/>
      <c r="VXM58" s="10"/>
      <c r="VXN58" s="10"/>
      <c r="VXO58" s="10"/>
      <c r="VXP58" s="10"/>
      <c r="VXQ58" s="10"/>
      <c r="VXR58" s="10"/>
      <c r="VXS58" s="10"/>
      <c r="VXT58" s="10"/>
      <c r="VXU58" s="10"/>
      <c r="VXV58" s="10"/>
      <c r="VXW58" s="10"/>
      <c r="VXX58" s="10"/>
      <c r="VXY58" s="10"/>
      <c r="VXZ58" s="10"/>
      <c r="VYA58" s="10"/>
      <c r="VYB58" s="10"/>
      <c r="VYC58" s="10"/>
      <c r="VYD58" s="10"/>
      <c r="VYE58" s="10"/>
      <c r="VYF58" s="10"/>
      <c r="VYG58" s="10"/>
      <c r="VYH58" s="10"/>
      <c r="VYI58" s="10"/>
      <c r="VYJ58" s="10"/>
      <c r="VYK58" s="10"/>
      <c r="VYL58" s="10"/>
      <c r="VYM58" s="10"/>
      <c r="VYN58" s="10"/>
      <c r="VYO58" s="10"/>
      <c r="VYP58" s="10"/>
      <c r="VYQ58" s="10"/>
      <c r="VYR58" s="10"/>
      <c r="VYS58" s="10"/>
      <c r="VYT58" s="10"/>
      <c r="VYU58" s="10"/>
      <c r="VYV58" s="10"/>
      <c r="VYW58" s="10"/>
      <c r="VYX58" s="10"/>
      <c r="VYY58" s="10"/>
      <c r="VYZ58" s="10"/>
      <c r="VZA58" s="10"/>
      <c r="VZB58" s="10"/>
      <c r="VZC58" s="10"/>
      <c r="VZD58" s="10"/>
      <c r="VZE58" s="10"/>
      <c r="VZF58" s="10"/>
      <c r="VZG58" s="10"/>
      <c r="VZH58" s="10"/>
      <c r="VZI58" s="10"/>
      <c r="VZJ58" s="10"/>
      <c r="VZK58" s="10"/>
      <c r="VZL58" s="10"/>
      <c r="VZM58" s="10"/>
      <c r="VZN58" s="10"/>
      <c r="VZO58" s="10"/>
      <c r="VZP58" s="10"/>
      <c r="VZQ58" s="10"/>
      <c r="VZR58" s="10"/>
      <c r="VZS58" s="10"/>
      <c r="VZT58" s="10"/>
      <c r="VZU58" s="10"/>
      <c r="VZV58" s="10"/>
      <c r="VZW58" s="10"/>
      <c r="VZX58" s="10"/>
      <c r="VZY58" s="10"/>
      <c r="VZZ58" s="10"/>
      <c r="WAA58" s="10"/>
      <c r="WAB58" s="10"/>
      <c r="WAC58" s="10"/>
      <c r="WAD58" s="10"/>
      <c r="WAE58" s="10"/>
      <c r="WAF58" s="10"/>
      <c r="WAG58" s="10"/>
      <c r="WAH58" s="10"/>
      <c r="WAI58" s="10"/>
      <c r="WAJ58" s="10"/>
      <c r="WAK58" s="10"/>
      <c r="WAL58" s="10"/>
      <c r="WAM58" s="10"/>
      <c r="WAN58" s="10"/>
      <c r="WAO58" s="10"/>
      <c r="WAP58" s="10"/>
      <c r="WAQ58" s="10"/>
      <c r="WAR58" s="10"/>
      <c r="WAS58" s="10"/>
      <c r="WAT58" s="10"/>
      <c r="WAU58" s="10"/>
      <c r="WAV58" s="10"/>
      <c r="WAW58" s="10"/>
      <c r="WAX58" s="10"/>
      <c r="WAY58" s="10"/>
      <c r="WAZ58" s="10"/>
      <c r="WBA58" s="10"/>
      <c r="WBB58" s="10"/>
      <c r="WBC58" s="10"/>
      <c r="WBD58" s="10"/>
      <c r="WBE58" s="10"/>
      <c r="WBF58" s="10"/>
      <c r="WBG58" s="10"/>
      <c r="WBH58" s="10"/>
      <c r="WBI58" s="10"/>
      <c r="WBJ58" s="10"/>
      <c r="WBK58" s="10"/>
      <c r="WBL58" s="10"/>
      <c r="WBM58" s="10"/>
      <c r="WBN58" s="10"/>
      <c r="WBO58" s="10"/>
      <c r="WBP58" s="10"/>
      <c r="WBQ58" s="10"/>
      <c r="WBR58" s="10"/>
      <c r="WBS58" s="10"/>
      <c r="WBT58" s="10"/>
      <c r="WBU58" s="10"/>
      <c r="WBV58" s="10"/>
      <c r="WBW58" s="10"/>
      <c r="WBX58" s="10"/>
      <c r="WBY58" s="10"/>
      <c r="WBZ58" s="10"/>
      <c r="WCA58" s="10"/>
      <c r="WCB58" s="10"/>
      <c r="WCC58" s="10"/>
      <c r="WCD58" s="10"/>
      <c r="WCE58" s="10"/>
      <c r="WCF58" s="10"/>
      <c r="WCG58" s="10"/>
      <c r="WCH58" s="10"/>
      <c r="WCI58" s="10"/>
      <c r="WCJ58" s="10"/>
      <c r="WCK58" s="10"/>
      <c r="WCL58" s="10"/>
      <c r="WCM58" s="10"/>
      <c r="WCN58" s="10"/>
      <c r="WCO58" s="10"/>
      <c r="WCP58" s="10"/>
      <c r="WCQ58" s="10"/>
      <c r="WCR58" s="10"/>
      <c r="WCS58" s="10"/>
      <c r="WCT58" s="10"/>
      <c r="WCU58" s="10"/>
      <c r="WCV58" s="10"/>
      <c r="WCW58" s="10"/>
      <c r="WCX58" s="10"/>
      <c r="WCY58" s="10"/>
      <c r="WCZ58" s="10"/>
      <c r="WDA58" s="10"/>
      <c r="WDB58" s="10"/>
      <c r="WDC58" s="10"/>
      <c r="WDD58" s="10"/>
      <c r="WDE58" s="10"/>
      <c r="WDF58" s="10"/>
      <c r="WDG58" s="10"/>
      <c r="WDH58" s="10"/>
      <c r="WDI58" s="10"/>
      <c r="WDJ58" s="10"/>
      <c r="WDK58" s="10"/>
      <c r="WDL58" s="10"/>
      <c r="WDM58" s="10"/>
      <c r="WDN58" s="10"/>
      <c r="WDO58" s="10"/>
      <c r="WDP58" s="10"/>
      <c r="WDQ58" s="10"/>
      <c r="WDR58" s="10"/>
      <c r="WDS58" s="10"/>
      <c r="WDT58" s="10"/>
      <c r="WDU58" s="10"/>
      <c r="WDV58" s="10"/>
      <c r="WDW58" s="10"/>
      <c r="WDX58" s="10"/>
      <c r="WDY58" s="10"/>
      <c r="WDZ58" s="10"/>
      <c r="WEA58" s="10"/>
      <c r="WEB58" s="10"/>
      <c r="WEC58" s="10"/>
      <c r="WED58" s="10"/>
      <c r="WEE58" s="10"/>
      <c r="WEF58" s="10"/>
      <c r="WEG58" s="10"/>
      <c r="WEH58" s="10"/>
      <c r="WEI58" s="10"/>
      <c r="WEJ58" s="10"/>
      <c r="WEK58" s="10"/>
      <c r="WEL58" s="10"/>
      <c r="WEM58" s="10"/>
      <c r="WEN58" s="10"/>
      <c r="WEO58" s="10"/>
      <c r="WEP58" s="10"/>
      <c r="WEQ58" s="10"/>
      <c r="WER58" s="10"/>
      <c r="WES58" s="10"/>
      <c r="WET58" s="10"/>
      <c r="WEU58" s="10"/>
      <c r="WEV58" s="10"/>
      <c r="WEW58" s="10"/>
      <c r="WEX58" s="10"/>
      <c r="WEY58" s="10"/>
      <c r="WEZ58" s="10"/>
      <c r="WFA58" s="10"/>
      <c r="WFB58" s="10"/>
      <c r="WFC58" s="10"/>
      <c r="WFD58" s="10"/>
      <c r="WFE58" s="10"/>
      <c r="WFF58" s="10"/>
      <c r="WFG58" s="10"/>
      <c r="WFH58" s="10"/>
      <c r="WFI58" s="10"/>
      <c r="WFJ58" s="10"/>
      <c r="WFK58" s="10"/>
      <c r="WFL58" s="10"/>
      <c r="WFM58" s="10"/>
      <c r="WFN58" s="10"/>
      <c r="WFO58" s="10"/>
      <c r="WFP58" s="10"/>
      <c r="WFQ58" s="10"/>
      <c r="WFR58" s="10"/>
      <c r="WFS58" s="10"/>
      <c r="WFT58" s="10"/>
      <c r="WFU58" s="10"/>
      <c r="WFV58" s="10"/>
      <c r="WFW58" s="10"/>
      <c r="WFX58" s="10"/>
      <c r="WFY58" s="10"/>
      <c r="WFZ58" s="10"/>
      <c r="WGA58" s="10"/>
      <c r="WGB58" s="10"/>
      <c r="WGC58" s="10"/>
      <c r="WGD58" s="10"/>
      <c r="WGE58" s="10"/>
      <c r="WGF58" s="10"/>
      <c r="WGG58" s="10"/>
      <c r="WGH58" s="10"/>
      <c r="WGI58" s="10"/>
      <c r="WGJ58" s="10"/>
      <c r="WGK58" s="10"/>
      <c r="WGL58" s="10"/>
      <c r="WGM58" s="10"/>
      <c r="WGN58" s="10"/>
      <c r="WGO58" s="10"/>
      <c r="WGP58" s="10"/>
      <c r="WGQ58" s="10"/>
      <c r="WGR58" s="10"/>
      <c r="WGS58" s="10"/>
      <c r="WGT58" s="10"/>
      <c r="WGU58" s="10"/>
      <c r="WGV58" s="10"/>
      <c r="WGW58" s="10"/>
      <c r="WGX58" s="10"/>
      <c r="WGY58" s="10"/>
      <c r="WGZ58" s="10"/>
      <c r="WHA58" s="10"/>
      <c r="WHB58" s="10"/>
      <c r="WHC58" s="10"/>
      <c r="WHD58" s="10"/>
      <c r="WHE58" s="10"/>
      <c r="WHF58" s="10"/>
      <c r="WHG58" s="10"/>
      <c r="WHH58" s="10"/>
      <c r="WHI58" s="10"/>
      <c r="WHJ58" s="10"/>
      <c r="WHK58" s="10"/>
      <c r="WHL58" s="10"/>
      <c r="WHM58" s="10"/>
      <c r="WHN58" s="10"/>
      <c r="WHO58" s="10"/>
      <c r="WHP58" s="10"/>
      <c r="WHQ58" s="10"/>
      <c r="WHR58" s="10"/>
      <c r="WHS58" s="10"/>
      <c r="WHT58" s="10"/>
      <c r="WHU58" s="10"/>
      <c r="WHV58" s="10"/>
      <c r="WHW58" s="10"/>
      <c r="WHX58" s="10"/>
      <c r="WHY58" s="10"/>
      <c r="WHZ58" s="10"/>
      <c r="WIA58" s="10"/>
      <c r="WIB58" s="10"/>
      <c r="WIC58" s="10"/>
      <c r="WID58" s="10"/>
      <c r="WIE58" s="10"/>
      <c r="WIF58" s="10"/>
      <c r="WIG58" s="10"/>
      <c r="WIH58" s="10"/>
      <c r="WII58" s="10"/>
      <c r="WIJ58" s="10"/>
      <c r="WIK58" s="10"/>
      <c r="WIL58" s="10"/>
      <c r="WIM58" s="10"/>
      <c r="WIN58" s="10"/>
      <c r="WIO58" s="10"/>
      <c r="WIP58" s="10"/>
      <c r="WIQ58" s="10"/>
      <c r="WIR58" s="10"/>
      <c r="WIS58" s="10"/>
      <c r="WIT58" s="10"/>
      <c r="WIU58" s="10"/>
      <c r="WIV58" s="10"/>
      <c r="WIW58" s="10"/>
      <c r="WIX58" s="10"/>
      <c r="WIY58" s="10"/>
      <c r="WIZ58" s="10"/>
      <c r="WJA58" s="10"/>
      <c r="WJB58" s="10"/>
      <c r="WJC58" s="10"/>
      <c r="WJD58" s="10"/>
      <c r="WJE58" s="10"/>
      <c r="WJF58" s="10"/>
      <c r="WJG58" s="10"/>
      <c r="WJH58" s="10"/>
      <c r="WJI58" s="10"/>
      <c r="WJJ58" s="10"/>
      <c r="WJK58" s="10"/>
      <c r="WJL58" s="10"/>
      <c r="WJM58" s="10"/>
      <c r="WJN58" s="10"/>
      <c r="WJO58" s="10"/>
      <c r="WJP58" s="10"/>
      <c r="WJQ58" s="10"/>
      <c r="WJR58" s="10"/>
      <c r="WJS58" s="10"/>
      <c r="WJT58" s="10"/>
      <c r="WJU58" s="10"/>
      <c r="WJV58" s="10"/>
      <c r="WJW58" s="10"/>
      <c r="WJX58" s="10"/>
      <c r="WJY58" s="10"/>
      <c r="WJZ58" s="10"/>
      <c r="WKA58" s="10"/>
      <c r="WKB58" s="10"/>
      <c r="WKC58" s="10"/>
      <c r="WKD58" s="10"/>
      <c r="WKE58" s="10"/>
      <c r="WKF58" s="10"/>
      <c r="WKG58" s="10"/>
      <c r="WKH58" s="10"/>
      <c r="WKI58" s="10"/>
      <c r="WKJ58" s="10"/>
      <c r="WKK58" s="10"/>
      <c r="WKL58" s="10"/>
      <c r="WKM58" s="10"/>
      <c r="WKN58" s="10"/>
      <c r="WKO58" s="10"/>
      <c r="WKP58" s="10"/>
      <c r="WKQ58" s="10"/>
      <c r="WKR58" s="10"/>
      <c r="WKS58" s="10"/>
      <c r="WKT58" s="10"/>
      <c r="WKU58" s="10"/>
      <c r="WKV58" s="10"/>
      <c r="WKW58" s="10"/>
      <c r="WKX58" s="10"/>
      <c r="WKY58" s="10"/>
      <c r="WKZ58" s="10"/>
      <c r="WLA58" s="10"/>
      <c r="WLB58" s="10"/>
      <c r="WLC58" s="10"/>
      <c r="WLD58" s="10"/>
      <c r="WLE58" s="10"/>
      <c r="WLF58" s="10"/>
      <c r="WLG58" s="10"/>
      <c r="WLH58" s="10"/>
      <c r="WLI58" s="10"/>
      <c r="WLJ58" s="10"/>
      <c r="WLK58" s="10"/>
      <c r="WLL58" s="10"/>
      <c r="WLM58" s="10"/>
      <c r="WLN58" s="10"/>
      <c r="WLO58" s="10"/>
      <c r="WLP58" s="10"/>
      <c r="WLQ58" s="10"/>
      <c r="WLR58" s="10"/>
      <c r="WLS58" s="10"/>
      <c r="WLT58" s="10"/>
      <c r="WLU58" s="10"/>
      <c r="WLV58" s="10"/>
      <c r="WLW58" s="10"/>
      <c r="WLX58" s="10"/>
      <c r="WLY58" s="10"/>
      <c r="WLZ58" s="10"/>
      <c r="WMA58" s="10"/>
      <c r="WMB58" s="10"/>
      <c r="WMC58" s="10"/>
      <c r="WMD58" s="10"/>
      <c r="WME58" s="10"/>
      <c r="WMF58" s="10"/>
      <c r="WMG58" s="10"/>
      <c r="WMH58" s="10"/>
      <c r="WMI58" s="10"/>
      <c r="WMJ58" s="10"/>
      <c r="WMK58" s="10"/>
      <c r="WML58" s="10"/>
      <c r="WMM58" s="10"/>
      <c r="WMN58" s="10"/>
      <c r="WMO58" s="10"/>
      <c r="WMP58" s="10"/>
      <c r="WMQ58" s="10"/>
      <c r="WMR58" s="10"/>
      <c r="WMS58" s="10"/>
      <c r="WMT58" s="10"/>
      <c r="WMU58" s="10"/>
      <c r="WMV58" s="10"/>
      <c r="WMW58" s="10"/>
      <c r="WMX58" s="10"/>
      <c r="WMY58" s="10"/>
      <c r="WMZ58" s="10"/>
      <c r="WNA58" s="10"/>
      <c r="WNB58" s="10"/>
      <c r="WNC58" s="10"/>
      <c r="WND58" s="10"/>
      <c r="WNE58" s="10"/>
      <c r="WNF58" s="10"/>
      <c r="WNG58" s="10"/>
      <c r="WNH58" s="10"/>
      <c r="WNI58" s="10"/>
      <c r="WNJ58" s="10"/>
      <c r="WNK58" s="10"/>
      <c r="WNL58" s="10"/>
      <c r="WNM58" s="10"/>
      <c r="WNN58" s="10"/>
      <c r="WNO58" s="10"/>
      <c r="WNP58" s="10"/>
      <c r="WNQ58" s="10"/>
      <c r="WNR58" s="10"/>
      <c r="WNS58" s="10"/>
      <c r="WNT58" s="10"/>
      <c r="WNU58" s="10"/>
      <c r="WNV58" s="10"/>
      <c r="WNW58" s="10"/>
      <c r="WNX58" s="10"/>
      <c r="WNY58" s="10"/>
      <c r="WNZ58" s="10"/>
      <c r="WOA58" s="10"/>
      <c r="WOB58" s="10"/>
      <c r="WOC58" s="10"/>
      <c r="WOD58" s="10"/>
      <c r="WOE58" s="10"/>
      <c r="WOF58" s="10"/>
      <c r="WOG58" s="10"/>
      <c r="WOH58" s="10"/>
      <c r="WOI58" s="10"/>
      <c r="WOJ58" s="10"/>
      <c r="WOK58" s="10"/>
      <c r="WOL58" s="10"/>
      <c r="WOM58" s="10"/>
      <c r="WON58" s="10"/>
      <c r="WOO58" s="10"/>
      <c r="WOP58" s="10"/>
      <c r="WOQ58" s="10"/>
      <c r="WOR58" s="10"/>
      <c r="WOS58" s="10"/>
      <c r="WOT58" s="10"/>
      <c r="WOU58" s="10"/>
      <c r="WOV58" s="10"/>
      <c r="WOW58" s="10"/>
      <c r="WOX58" s="10"/>
      <c r="WOY58" s="10"/>
      <c r="WOZ58" s="10"/>
      <c r="WPA58" s="10"/>
      <c r="WPB58" s="10"/>
      <c r="WPC58" s="10"/>
      <c r="WPD58" s="10"/>
      <c r="WPE58" s="10"/>
      <c r="WPF58" s="10"/>
      <c r="WPG58" s="10"/>
      <c r="WPH58" s="10"/>
      <c r="WPI58" s="10"/>
      <c r="WPJ58" s="10"/>
      <c r="WPK58" s="10"/>
      <c r="WPL58" s="10"/>
      <c r="WPM58" s="10"/>
      <c r="WPN58" s="10"/>
      <c r="WPO58" s="10"/>
      <c r="WPP58" s="10"/>
      <c r="WPQ58" s="10"/>
      <c r="WPR58" s="10"/>
      <c r="WPS58" s="10"/>
      <c r="WPT58" s="10"/>
      <c r="WPU58" s="10"/>
      <c r="WPV58" s="10"/>
      <c r="WPW58" s="10"/>
      <c r="WPX58" s="10"/>
      <c r="WPY58" s="10"/>
      <c r="WPZ58" s="10"/>
      <c r="WQA58" s="10"/>
      <c r="WQB58" s="10"/>
      <c r="WQC58" s="10"/>
      <c r="WQD58" s="10"/>
      <c r="WQE58" s="10"/>
      <c r="WQF58" s="10"/>
      <c r="WQG58" s="10"/>
      <c r="WQH58" s="10"/>
      <c r="WQI58" s="10"/>
      <c r="WQJ58" s="10"/>
      <c r="WQK58" s="10"/>
      <c r="WQL58" s="10"/>
      <c r="WQM58" s="10"/>
      <c r="WQN58" s="10"/>
      <c r="WQO58" s="10"/>
      <c r="WQP58" s="10"/>
      <c r="WQQ58" s="10"/>
      <c r="WQR58" s="10"/>
      <c r="WQS58" s="10"/>
      <c r="WQT58" s="10"/>
      <c r="WQU58" s="10"/>
      <c r="WQV58" s="10"/>
      <c r="WQW58" s="10"/>
      <c r="WQX58" s="10"/>
      <c r="WQY58" s="10"/>
      <c r="WQZ58" s="10"/>
      <c r="WRA58" s="10"/>
      <c r="WRB58" s="10"/>
      <c r="WRC58" s="10"/>
      <c r="WRD58" s="10"/>
      <c r="WRE58" s="10"/>
      <c r="WRF58" s="10"/>
      <c r="WRG58" s="10"/>
      <c r="WRH58" s="10"/>
      <c r="WRI58" s="10"/>
      <c r="WRJ58" s="10"/>
      <c r="WRK58" s="10"/>
      <c r="WRL58" s="10"/>
      <c r="WRM58" s="10"/>
      <c r="WRN58" s="10"/>
      <c r="WRO58" s="10"/>
      <c r="WRP58" s="10"/>
      <c r="WRQ58" s="10"/>
      <c r="WRR58" s="10"/>
      <c r="WRS58" s="10"/>
      <c r="WRT58" s="10"/>
      <c r="WRU58" s="10"/>
      <c r="WRV58" s="10"/>
      <c r="WRW58" s="10"/>
      <c r="WRX58" s="10"/>
      <c r="WRY58" s="10"/>
      <c r="WRZ58" s="10"/>
      <c r="WSA58" s="10"/>
      <c r="WSB58" s="10"/>
      <c r="WSC58" s="10"/>
      <c r="WSD58" s="10"/>
      <c r="WSE58" s="10"/>
      <c r="WSF58" s="10"/>
      <c r="WSG58" s="10"/>
      <c r="WSH58" s="10"/>
      <c r="WSI58" s="10"/>
      <c r="WSJ58" s="10"/>
      <c r="WSK58" s="10"/>
      <c r="WSL58" s="10"/>
      <c r="WSM58" s="10"/>
      <c r="WSN58" s="10"/>
      <c r="WSO58" s="10"/>
      <c r="WSP58" s="10"/>
      <c r="WSQ58" s="10"/>
      <c r="WSR58" s="10"/>
      <c r="WSS58" s="10"/>
      <c r="WST58" s="10"/>
      <c r="WSU58" s="10"/>
      <c r="WSV58" s="10"/>
      <c r="WSW58" s="10"/>
      <c r="WSX58" s="10"/>
      <c r="WSY58" s="10"/>
      <c r="WSZ58" s="10"/>
      <c r="WTA58" s="10"/>
      <c r="WTB58" s="10"/>
      <c r="WTC58" s="10"/>
      <c r="WTD58" s="10"/>
      <c r="WTE58" s="10"/>
      <c r="WTF58" s="10"/>
      <c r="WTG58" s="10"/>
      <c r="WTH58" s="10"/>
      <c r="WTI58" s="10"/>
      <c r="WTJ58" s="10"/>
      <c r="WTK58" s="10"/>
      <c r="WTL58" s="10"/>
      <c r="WTM58" s="10"/>
      <c r="WTN58" s="10"/>
      <c r="WTO58" s="10"/>
      <c r="WTP58" s="10"/>
      <c r="WTQ58" s="10"/>
      <c r="WTR58" s="10"/>
      <c r="WTS58" s="10"/>
      <c r="WTT58" s="10"/>
      <c r="WTU58" s="10"/>
      <c r="WTV58" s="10"/>
      <c r="WTW58" s="10"/>
      <c r="WTX58" s="10"/>
      <c r="WTY58" s="10"/>
      <c r="WTZ58" s="10"/>
      <c r="WUA58" s="10"/>
      <c r="WUB58" s="10"/>
      <c r="WUC58" s="10"/>
      <c r="WUD58" s="10"/>
      <c r="WUE58" s="10"/>
      <c r="WUF58" s="10"/>
      <c r="WUG58" s="10"/>
      <c r="WUH58" s="10"/>
      <c r="WUI58" s="10"/>
      <c r="WUJ58" s="10"/>
      <c r="WUK58" s="10"/>
      <c r="WUL58" s="10"/>
      <c r="WUM58" s="10"/>
      <c r="WUN58" s="10"/>
      <c r="WUO58" s="10"/>
      <c r="WUP58" s="10"/>
      <c r="WUQ58" s="10"/>
      <c r="WUR58" s="10"/>
      <c r="WUS58" s="10"/>
      <c r="WUT58" s="10"/>
      <c r="WUU58" s="10"/>
      <c r="WUV58" s="10"/>
      <c r="WUW58" s="10"/>
      <c r="WUX58" s="10"/>
      <c r="WUY58" s="10"/>
      <c r="WUZ58" s="10"/>
      <c r="WVA58" s="10"/>
      <c r="WVB58" s="10"/>
      <c r="WVC58" s="10"/>
      <c r="WVD58" s="10"/>
      <c r="WVE58" s="10"/>
      <c r="WVF58" s="10"/>
      <c r="WVG58" s="10"/>
      <c r="WVH58" s="10"/>
      <c r="WVI58" s="10"/>
      <c r="WVJ58" s="10"/>
      <c r="WVK58" s="10"/>
      <c r="WVL58" s="10"/>
      <c r="WVM58" s="10"/>
      <c r="WVN58" s="10"/>
      <c r="WVO58" s="10"/>
      <c r="WVP58" s="10"/>
      <c r="WVQ58" s="10"/>
      <c r="WVR58" s="10"/>
      <c r="WVS58" s="10"/>
      <c r="WVT58" s="10"/>
    </row>
    <row r="61" spans="2:16140" s="242" customFormat="1" ht="21" customHeight="1">
      <c r="B61" s="335"/>
      <c r="C61" s="336"/>
      <c r="F61" s="244"/>
      <c r="G61" s="245"/>
      <c r="H61" s="333"/>
      <c r="I61" s="333"/>
      <c r="J61" s="333"/>
      <c r="K61" s="333"/>
      <c r="L61" s="334"/>
      <c r="M61" s="10"/>
      <c r="N61" s="18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 s="10"/>
      <c r="GM61" s="10"/>
      <c r="GN61" s="10"/>
      <c r="GO61" s="10"/>
      <c r="GP61" s="10"/>
      <c r="GQ61" s="10"/>
      <c r="GR61" s="10"/>
      <c r="GS61" s="10"/>
      <c r="GT61" s="10"/>
      <c r="GU61" s="10"/>
      <c r="GV61" s="10"/>
      <c r="GW61" s="10"/>
      <c r="GX61" s="10"/>
      <c r="GY61" s="10"/>
      <c r="GZ61" s="10"/>
      <c r="HA61" s="10"/>
      <c r="HB61" s="10"/>
      <c r="HC61" s="10"/>
      <c r="HD61" s="10"/>
      <c r="HE61" s="10"/>
      <c r="HF61" s="10"/>
      <c r="HG61" s="10"/>
      <c r="HH61" s="10"/>
      <c r="HI61" s="10"/>
      <c r="HJ61" s="10"/>
      <c r="HK61" s="10"/>
      <c r="HL61" s="10"/>
      <c r="HM61" s="10"/>
      <c r="HN61" s="10"/>
      <c r="HO61" s="10"/>
      <c r="HP61" s="10"/>
      <c r="HQ61" s="10"/>
      <c r="HR61" s="10"/>
      <c r="HS61" s="10"/>
      <c r="HT61" s="10"/>
      <c r="HU61" s="10"/>
      <c r="HV61" s="10"/>
      <c r="HW61" s="10"/>
      <c r="HX61" s="10"/>
      <c r="HY61" s="10"/>
      <c r="HZ61" s="10"/>
      <c r="IA61" s="10"/>
      <c r="IB61" s="10"/>
      <c r="IC61" s="10"/>
      <c r="ID61" s="10"/>
      <c r="IE61" s="10"/>
      <c r="IF61" s="10"/>
      <c r="IG61" s="10"/>
      <c r="IH61" s="10"/>
      <c r="II61" s="10"/>
      <c r="IJ61" s="10"/>
      <c r="IK61" s="10"/>
      <c r="IL61" s="10"/>
      <c r="IM61" s="10"/>
      <c r="IN61" s="10"/>
      <c r="IO61" s="10"/>
      <c r="IP61" s="10"/>
      <c r="IQ61" s="10"/>
      <c r="IR61" s="10"/>
      <c r="IS61" s="10"/>
      <c r="IT61" s="10"/>
      <c r="IU61" s="10"/>
      <c r="IV61" s="10"/>
      <c r="IW61" s="10"/>
      <c r="IX61" s="10"/>
      <c r="IY61" s="10"/>
      <c r="IZ61" s="10"/>
      <c r="JA61" s="10"/>
      <c r="JB61" s="10"/>
      <c r="JC61" s="10"/>
      <c r="JD61" s="10"/>
      <c r="JE61" s="10"/>
      <c r="JF61" s="10"/>
      <c r="JG61" s="10"/>
      <c r="JH61" s="10"/>
      <c r="JI61" s="10"/>
      <c r="JJ61" s="10"/>
      <c r="JK61" s="10"/>
      <c r="JL61" s="10"/>
      <c r="JM61" s="10"/>
      <c r="JN61" s="10"/>
      <c r="JO61" s="10"/>
      <c r="JP61" s="10"/>
      <c r="JQ61" s="10"/>
      <c r="JR61" s="10"/>
      <c r="JS61" s="10"/>
      <c r="JT61" s="10"/>
      <c r="JU61" s="10"/>
      <c r="JV61" s="10"/>
      <c r="JW61" s="10"/>
      <c r="JX61" s="10"/>
      <c r="JY61" s="10"/>
      <c r="JZ61" s="10"/>
      <c r="KA61" s="10"/>
      <c r="KB61" s="10"/>
      <c r="KC61" s="10"/>
      <c r="KD61" s="10"/>
      <c r="KE61" s="10"/>
      <c r="KF61" s="10"/>
      <c r="KG61" s="10"/>
      <c r="KH61" s="10"/>
      <c r="KI61" s="10"/>
      <c r="KJ61" s="10"/>
      <c r="KK61" s="10"/>
      <c r="KL61" s="10"/>
      <c r="KM61" s="10"/>
      <c r="KN61" s="10"/>
      <c r="KO61" s="10"/>
      <c r="KP61" s="10"/>
      <c r="KQ61" s="10"/>
      <c r="KR61" s="10"/>
      <c r="KS61" s="10"/>
      <c r="KT61" s="10"/>
      <c r="KU61" s="10"/>
      <c r="KV61" s="10"/>
      <c r="KW61" s="10"/>
      <c r="KX61" s="10"/>
      <c r="KY61" s="10"/>
      <c r="KZ61" s="10"/>
      <c r="LA61" s="10"/>
      <c r="LB61" s="10"/>
      <c r="LC61" s="10"/>
      <c r="LD61" s="10"/>
      <c r="LE61" s="10"/>
      <c r="LF61" s="10"/>
      <c r="LG61" s="10"/>
      <c r="LH61" s="10"/>
      <c r="LI61" s="10"/>
      <c r="LJ61" s="10"/>
      <c r="LK61" s="10"/>
      <c r="LL61" s="10"/>
      <c r="LM61" s="10"/>
      <c r="LN61" s="10"/>
      <c r="LO61" s="10"/>
      <c r="LP61" s="10"/>
      <c r="LQ61" s="10"/>
      <c r="LR61" s="10"/>
      <c r="LS61" s="10"/>
      <c r="LT61" s="10"/>
      <c r="LU61" s="10"/>
      <c r="LV61" s="10"/>
      <c r="LW61" s="10"/>
      <c r="LX61" s="10"/>
      <c r="LY61" s="10"/>
      <c r="LZ61" s="10"/>
      <c r="MA61" s="10"/>
      <c r="MB61" s="10"/>
      <c r="MC61" s="10"/>
      <c r="MD61" s="10"/>
      <c r="ME61" s="10"/>
      <c r="MF61" s="10"/>
      <c r="MG61" s="10"/>
      <c r="MH61" s="10"/>
      <c r="MI61" s="10"/>
      <c r="MJ61" s="10"/>
      <c r="MK61" s="10"/>
      <c r="ML61" s="10"/>
      <c r="MM61" s="10"/>
      <c r="MN61" s="10"/>
      <c r="MO61" s="10"/>
      <c r="MP61" s="10"/>
      <c r="MQ61" s="10"/>
      <c r="MR61" s="10"/>
      <c r="MS61" s="10"/>
      <c r="MT61" s="10"/>
      <c r="MU61" s="10"/>
      <c r="MV61" s="10"/>
      <c r="MW61" s="10"/>
      <c r="MX61" s="10"/>
      <c r="MY61" s="10"/>
      <c r="MZ61" s="10"/>
      <c r="NA61" s="10"/>
      <c r="NB61" s="10"/>
      <c r="NC61" s="10"/>
      <c r="ND61" s="10"/>
      <c r="NE61" s="10"/>
      <c r="NF61" s="10"/>
      <c r="NG61" s="10"/>
      <c r="NH61" s="10"/>
      <c r="NI61" s="10"/>
      <c r="NJ61" s="10"/>
      <c r="NK61" s="10"/>
      <c r="NL61" s="10"/>
      <c r="NM61" s="10"/>
      <c r="NN61" s="10"/>
      <c r="NO61" s="10"/>
      <c r="NP61" s="10"/>
      <c r="NQ61" s="10"/>
      <c r="NR61" s="10"/>
      <c r="NS61" s="10"/>
      <c r="NT61" s="10"/>
      <c r="NU61" s="10"/>
      <c r="NV61" s="10"/>
      <c r="NW61" s="10"/>
      <c r="NX61" s="10"/>
      <c r="NY61" s="10"/>
      <c r="NZ61" s="10"/>
      <c r="OA61" s="10"/>
      <c r="OB61" s="10"/>
      <c r="OC61" s="10"/>
      <c r="OD61" s="10"/>
      <c r="OE61" s="10"/>
      <c r="OF61" s="10"/>
      <c r="OG61" s="10"/>
      <c r="OH61" s="10"/>
      <c r="OI61" s="10"/>
      <c r="OJ61" s="10"/>
      <c r="OK61" s="10"/>
      <c r="OL61" s="10"/>
      <c r="OM61" s="10"/>
      <c r="ON61" s="10"/>
      <c r="OO61" s="10"/>
      <c r="OP61" s="10"/>
      <c r="OQ61" s="10"/>
      <c r="OR61" s="10"/>
      <c r="OS61" s="10"/>
      <c r="OT61" s="10"/>
      <c r="OU61" s="10"/>
      <c r="OV61" s="10"/>
      <c r="OW61" s="10"/>
      <c r="OX61" s="10"/>
      <c r="OY61" s="10"/>
      <c r="OZ61" s="10"/>
      <c r="PA61" s="10"/>
      <c r="PB61" s="10"/>
      <c r="PC61" s="10"/>
      <c r="PD61" s="10"/>
      <c r="PE61" s="10"/>
      <c r="PF61" s="10"/>
      <c r="PG61" s="10"/>
      <c r="PH61" s="10"/>
      <c r="PI61" s="10"/>
      <c r="PJ61" s="10"/>
      <c r="PK61" s="10"/>
      <c r="PL61" s="10"/>
      <c r="PM61" s="10"/>
      <c r="PN61" s="10"/>
      <c r="PO61" s="10"/>
      <c r="PP61" s="10"/>
      <c r="PQ61" s="10"/>
      <c r="PR61" s="10"/>
      <c r="PS61" s="10"/>
      <c r="PT61" s="10"/>
      <c r="PU61" s="10"/>
      <c r="PV61" s="10"/>
      <c r="PW61" s="10"/>
      <c r="PX61" s="10"/>
      <c r="PY61" s="10"/>
      <c r="PZ61" s="10"/>
      <c r="QA61" s="10"/>
      <c r="QB61" s="10"/>
      <c r="QC61" s="10"/>
      <c r="QD61" s="10"/>
      <c r="QE61" s="10"/>
      <c r="QF61" s="10"/>
      <c r="QG61" s="10"/>
      <c r="QH61" s="10"/>
      <c r="QI61" s="10"/>
      <c r="QJ61" s="10"/>
      <c r="QK61" s="10"/>
      <c r="QL61" s="10"/>
      <c r="QM61" s="10"/>
      <c r="QN61" s="10"/>
      <c r="QO61" s="10"/>
      <c r="QP61" s="10"/>
      <c r="QQ61" s="10"/>
      <c r="QR61" s="10"/>
      <c r="QS61" s="10"/>
      <c r="QT61" s="10"/>
      <c r="QU61" s="10"/>
      <c r="QV61" s="10"/>
      <c r="QW61" s="10"/>
      <c r="QX61" s="10"/>
      <c r="QY61" s="10"/>
      <c r="QZ61" s="10"/>
      <c r="RA61" s="10"/>
      <c r="RB61" s="10"/>
      <c r="RC61" s="10"/>
      <c r="RD61" s="10"/>
      <c r="RE61" s="10"/>
      <c r="RF61" s="10"/>
      <c r="RG61" s="10"/>
      <c r="RH61" s="10"/>
      <c r="RI61" s="10"/>
      <c r="RJ61" s="10"/>
      <c r="RK61" s="10"/>
      <c r="RL61" s="10"/>
      <c r="RM61" s="10"/>
      <c r="RN61" s="10"/>
      <c r="RO61" s="10"/>
      <c r="RP61" s="10"/>
      <c r="RQ61" s="10"/>
      <c r="RR61" s="10"/>
      <c r="RS61" s="10"/>
      <c r="RT61" s="10"/>
      <c r="RU61" s="10"/>
      <c r="RV61" s="10"/>
      <c r="RW61" s="10"/>
      <c r="RX61" s="10"/>
      <c r="RY61" s="10"/>
      <c r="RZ61" s="10"/>
      <c r="SA61" s="10"/>
      <c r="SB61" s="10"/>
      <c r="SC61" s="10"/>
      <c r="SD61" s="10"/>
      <c r="SE61" s="10"/>
      <c r="SF61" s="10"/>
      <c r="SG61" s="10"/>
      <c r="SH61" s="10"/>
      <c r="SI61" s="10"/>
      <c r="SJ61" s="10"/>
      <c r="SK61" s="10"/>
      <c r="SL61" s="10"/>
      <c r="SM61" s="10"/>
      <c r="SN61" s="10"/>
      <c r="SO61" s="10"/>
      <c r="SP61" s="10"/>
      <c r="SQ61" s="10"/>
      <c r="SR61" s="10"/>
      <c r="SS61" s="10"/>
      <c r="ST61" s="10"/>
      <c r="SU61" s="10"/>
      <c r="SV61" s="10"/>
      <c r="SW61" s="10"/>
      <c r="SX61" s="10"/>
      <c r="SY61" s="10"/>
      <c r="SZ61" s="10"/>
      <c r="TA61" s="10"/>
      <c r="TB61" s="10"/>
      <c r="TC61" s="10"/>
      <c r="TD61" s="10"/>
      <c r="TE61" s="10"/>
      <c r="TF61" s="10"/>
      <c r="TG61" s="10"/>
      <c r="TH61" s="10"/>
      <c r="TI61" s="10"/>
      <c r="TJ61" s="10"/>
      <c r="TK61" s="10"/>
      <c r="TL61" s="10"/>
      <c r="TM61" s="10"/>
      <c r="TN61" s="10"/>
      <c r="TO61" s="10"/>
      <c r="TP61" s="10"/>
      <c r="TQ61" s="10"/>
      <c r="TR61" s="10"/>
      <c r="TS61" s="10"/>
      <c r="TT61" s="10"/>
      <c r="TU61" s="10"/>
      <c r="TV61" s="10"/>
      <c r="TW61" s="10"/>
      <c r="TX61" s="10"/>
      <c r="TY61" s="10"/>
      <c r="TZ61" s="10"/>
      <c r="UA61" s="10"/>
      <c r="UB61" s="10"/>
      <c r="UC61" s="10"/>
      <c r="UD61" s="10"/>
      <c r="UE61" s="10"/>
      <c r="UF61" s="10"/>
      <c r="UG61" s="10"/>
      <c r="UH61" s="10"/>
      <c r="UI61" s="10"/>
      <c r="UJ61" s="10"/>
      <c r="UK61" s="10"/>
      <c r="UL61" s="10"/>
      <c r="UM61" s="10"/>
      <c r="UN61" s="10"/>
      <c r="UO61" s="10"/>
      <c r="UP61" s="10"/>
      <c r="UQ61" s="10"/>
      <c r="UR61" s="10"/>
      <c r="US61" s="10"/>
      <c r="UT61" s="10"/>
      <c r="UU61" s="10"/>
      <c r="UV61" s="10"/>
      <c r="UW61" s="10"/>
      <c r="UX61" s="10"/>
      <c r="UY61" s="10"/>
      <c r="UZ61" s="10"/>
      <c r="VA61" s="10"/>
      <c r="VB61" s="10"/>
      <c r="VC61" s="10"/>
      <c r="VD61" s="10"/>
      <c r="VE61" s="10"/>
      <c r="VF61" s="10"/>
      <c r="VG61" s="10"/>
      <c r="VH61" s="10"/>
      <c r="VI61" s="10"/>
      <c r="VJ61" s="10"/>
      <c r="VK61" s="10"/>
      <c r="VL61" s="10"/>
      <c r="VM61" s="10"/>
      <c r="VN61" s="10"/>
      <c r="VO61" s="10"/>
      <c r="VP61" s="10"/>
      <c r="VQ61" s="10"/>
      <c r="VR61" s="10"/>
      <c r="VS61" s="10"/>
      <c r="VT61" s="10"/>
      <c r="VU61" s="10"/>
      <c r="VV61" s="10"/>
      <c r="VW61" s="10"/>
      <c r="VX61" s="10"/>
      <c r="VY61" s="10"/>
      <c r="VZ61" s="10"/>
      <c r="WA61" s="10"/>
      <c r="WB61" s="10"/>
      <c r="WC61" s="10"/>
      <c r="WD61" s="10"/>
      <c r="WE61" s="10"/>
      <c r="WF61" s="10"/>
      <c r="WG61" s="10"/>
      <c r="WH61" s="10"/>
      <c r="WI61" s="10"/>
      <c r="WJ61" s="10"/>
      <c r="WK61" s="10"/>
      <c r="WL61" s="10"/>
      <c r="WM61" s="10"/>
      <c r="WN61" s="10"/>
      <c r="WO61" s="10"/>
      <c r="WP61" s="10"/>
      <c r="WQ61" s="10"/>
      <c r="WR61" s="10"/>
      <c r="WS61" s="10"/>
      <c r="WT61" s="10"/>
      <c r="WU61" s="10"/>
      <c r="WV61" s="10"/>
      <c r="WW61" s="10"/>
      <c r="WX61" s="10"/>
      <c r="WY61" s="10"/>
      <c r="WZ61" s="10"/>
      <c r="XA61" s="10"/>
      <c r="XB61" s="10"/>
      <c r="XC61" s="10"/>
      <c r="XD61" s="10"/>
      <c r="XE61" s="10"/>
      <c r="XF61" s="10"/>
      <c r="XG61" s="10"/>
      <c r="XH61" s="10"/>
      <c r="XI61" s="10"/>
      <c r="XJ61" s="10"/>
      <c r="XK61" s="10"/>
      <c r="XL61" s="10"/>
      <c r="XM61" s="10"/>
      <c r="XN61" s="10"/>
      <c r="XO61" s="10"/>
      <c r="XP61" s="10"/>
      <c r="XQ61" s="10"/>
      <c r="XR61" s="10"/>
      <c r="XS61" s="10"/>
      <c r="XT61" s="10"/>
      <c r="XU61" s="10"/>
      <c r="XV61" s="10"/>
      <c r="XW61" s="10"/>
      <c r="XX61" s="10"/>
      <c r="XY61" s="10"/>
      <c r="XZ61" s="10"/>
      <c r="YA61" s="10"/>
      <c r="YB61" s="10"/>
      <c r="YC61" s="10"/>
      <c r="YD61" s="10"/>
      <c r="YE61" s="10"/>
      <c r="YF61" s="10"/>
      <c r="YG61" s="10"/>
      <c r="YH61" s="10"/>
      <c r="YI61" s="10"/>
      <c r="YJ61" s="10"/>
      <c r="YK61" s="10"/>
      <c r="YL61" s="10"/>
      <c r="YM61" s="10"/>
      <c r="YN61" s="10"/>
      <c r="YO61" s="10"/>
      <c r="YP61" s="10"/>
      <c r="YQ61" s="10"/>
      <c r="YR61" s="10"/>
      <c r="YS61" s="10"/>
      <c r="YT61" s="10"/>
      <c r="YU61" s="10"/>
      <c r="YV61" s="10"/>
      <c r="YW61" s="10"/>
      <c r="YX61" s="10"/>
      <c r="YY61" s="10"/>
      <c r="YZ61" s="10"/>
      <c r="ZA61" s="10"/>
      <c r="ZB61" s="10"/>
      <c r="ZC61" s="10"/>
      <c r="ZD61" s="10"/>
      <c r="ZE61" s="10"/>
      <c r="ZF61" s="10"/>
      <c r="ZG61" s="10"/>
      <c r="ZH61" s="10"/>
      <c r="ZI61" s="10"/>
      <c r="ZJ61" s="10"/>
      <c r="ZK61" s="10"/>
      <c r="ZL61" s="10"/>
      <c r="ZM61" s="10"/>
      <c r="ZN61" s="10"/>
      <c r="ZO61" s="10"/>
      <c r="ZP61" s="10"/>
      <c r="ZQ61" s="10"/>
      <c r="ZR61" s="10"/>
      <c r="ZS61" s="10"/>
      <c r="ZT61" s="10"/>
      <c r="ZU61" s="10"/>
      <c r="ZV61" s="10"/>
      <c r="ZW61" s="10"/>
      <c r="ZX61" s="10"/>
      <c r="ZY61" s="10"/>
      <c r="ZZ61" s="10"/>
      <c r="AAA61" s="10"/>
      <c r="AAB61" s="10"/>
      <c r="AAC61" s="10"/>
      <c r="AAD61" s="10"/>
      <c r="AAE61" s="10"/>
      <c r="AAF61" s="10"/>
      <c r="AAG61" s="10"/>
      <c r="AAH61" s="10"/>
      <c r="AAI61" s="10"/>
      <c r="AAJ61" s="10"/>
      <c r="AAK61" s="10"/>
      <c r="AAL61" s="10"/>
      <c r="AAM61" s="10"/>
      <c r="AAN61" s="10"/>
      <c r="AAO61" s="10"/>
      <c r="AAP61" s="10"/>
      <c r="AAQ61" s="10"/>
      <c r="AAR61" s="10"/>
      <c r="AAS61" s="10"/>
      <c r="AAT61" s="10"/>
      <c r="AAU61" s="10"/>
      <c r="AAV61" s="10"/>
      <c r="AAW61" s="10"/>
      <c r="AAX61" s="10"/>
      <c r="AAY61" s="10"/>
      <c r="AAZ61" s="10"/>
      <c r="ABA61" s="10"/>
      <c r="ABB61" s="10"/>
      <c r="ABC61" s="10"/>
      <c r="ABD61" s="10"/>
      <c r="ABE61" s="10"/>
      <c r="ABF61" s="10"/>
      <c r="ABG61" s="10"/>
      <c r="ABH61" s="10"/>
      <c r="ABI61" s="10"/>
      <c r="ABJ61" s="10"/>
      <c r="ABK61" s="10"/>
      <c r="ABL61" s="10"/>
      <c r="ABM61" s="10"/>
      <c r="ABN61" s="10"/>
      <c r="ABO61" s="10"/>
      <c r="ABP61" s="10"/>
      <c r="ABQ61" s="10"/>
      <c r="ABR61" s="10"/>
      <c r="ABS61" s="10"/>
      <c r="ABT61" s="10"/>
      <c r="ABU61" s="10"/>
      <c r="ABV61" s="10"/>
      <c r="ABW61" s="10"/>
      <c r="ABX61" s="10"/>
      <c r="ABY61" s="10"/>
      <c r="ABZ61" s="10"/>
      <c r="ACA61" s="10"/>
      <c r="ACB61" s="10"/>
      <c r="ACC61" s="10"/>
      <c r="ACD61" s="10"/>
      <c r="ACE61" s="10"/>
      <c r="ACF61" s="10"/>
      <c r="ACG61" s="10"/>
      <c r="ACH61" s="10"/>
      <c r="ACI61" s="10"/>
      <c r="ACJ61" s="10"/>
      <c r="ACK61" s="10"/>
      <c r="ACL61" s="10"/>
      <c r="ACM61" s="10"/>
      <c r="ACN61" s="10"/>
      <c r="ACO61" s="10"/>
      <c r="ACP61" s="10"/>
      <c r="ACQ61" s="10"/>
      <c r="ACR61" s="10"/>
      <c r="ACS61" s="10"/>
      <c r="ACT61" s="10"/>
      <c r="ACU61" s="10"/>
      <c r="ACV61" s="10"/>
      <c r="ACW61" s="10"/>
      <c r="ACX61" s="10"/>
      <c r="ACY61" s="10"/>
      <c r="ACZ61" s="10"/>
      <c r="ADA61" s="10"/>
      <c r="ADB61" s="10"/>
      <c r="ADC61" s="10"/>
      <c r="ADD61" s="10"/>
      <c r="ADE61" s="10"/>
      <c r="ADF61" s="10"/>
      <c r="ADG61" s="10"/>
      <c r="ADH61" s="10"/>
      <c r="ADI61" s="10"/>
      <c r="ADJ61" s="10"/>
      <c r="ADK61" s="10"/>
      <c r="ADL61" s="10"/>
      <c r="ADM61" s="10"/>
      <c r="ADN61" s="10"/>
      <c r="ADO61" s="10"/>
      <c r="ADP61" s="10"/>
      <c r="ADQ61" s="10"/>
      <c r="ADR61" s="10"/>
      <c r="ADS61" s="10"/>
      <c r="ADT61" s="10"/>
      <c r="ADU61" s="10"/>
      <c r="ADV61" s="10"/>
      <c r="ADW61" s="10"/>
      <c r="ADX61" s="10"/>
      <c r="ADY61" s="10"/>
      <c r="ADZ61" s="10"/>
      <c r="AEA61" s="10"/>
      <c r="AEB61" s="10"/>
      <c r="AEC61" s="10"/>
      <c r="AED61" s="10"/>
      <c r="AEE61" s="10"/>
      <c r="AEF61" s="10"/>
      <c r="AEG61" s="10"/>
      <c r="AEH61" s="10"/>
      <c r="AEI61" s="10"/>
      <c r="AEJ61" s="10"/>
      <c r="AEK61" s="10"/>
      <c r="AEL61" s="10"/>
      <c r="AEM61" s="10"/>
      <c r="AEN61" s="10"/>
      <c r="AEO61" s="10"/>
      <c r="AEP61" s="10"/>
      <c r="AEQ61" s="10"/>
      <c r="AER61" s="10"/>
      <c r="AES61" s="10"/>
      <c r="AET61" s="10"/>
      <c r="AEU61" s="10"/>
      <c r="AEV61" s="10"/>
      <c r="AEW61" s="10"/>
      <c r="AEX61" s="10"/>
      <c r="AEY61" s="10"/>
      <c r="AEZ61" s="10"/>
      <c r="AFA61" s="10"/>
      <c r="AFB61" s="10"/>
      <c r="AFC61" s="10"/>
      <c r="AFD61" s="10"/>
      <c r="AFE61" s="10"/>
      <c r="AFF61" s="10"/>
      <c r="AFG61" s="10"/>
      <c r="AFH61" s="10"/>
      <c r="AFI61" s="10"/>
      <c r="AFJ61" s="10"/>
      <c r="AFK61" s="10"/>
      <c r="AFL61" s="10"/>
      <c r="AFM61" s="10"/>
      <c r="AFN61" s="10"/>
      <c r="AFO61" s="10"/>
      <c r="AFP61" s="10"/>
      <c r="AFQ61" s="10"/>
      <c r="AFR61" s="10"/>
      <c r="AFS61" s="10"/>
      <c r="AFT61" s="10"/>
      <c r="AFU61" s="10"/>
      <c r="AFV61" s="10"/>
      <c r="AFW61" s="10"/>
      <c r="AFX61" s="10"/>
      <c r="AFY61" s="10"/>
      <c r="AFZ61" s="10"/>
      <c r="AGA61" s="10"/>
      <c r="AGB61" s="10"/>
      <c r="AGC61" s="10"/>
      <c r="AGD61" s="10"/>
      <c r="AGE61" s="10"/>
      <c r="AGF61" s="10"/>
      <c r="AGG61" s="10"/>
      <c r="AGH61" s="10"/>
      <c r="AGI61" s="10"/>
      <c r="AGJ61" s="10"/>
      <c r="AGK61" s="10"/>
      <c r="AGL61" s="10"/>
      <c r="AGM61" s="10"/>
      <c r="AGN61" s="10"/>
      <c r="AGO61" s="10"/>
      <c r="AGP61" s="10"/>
      <c r="AGQ61" s="10"/>
      <c r="AGR61" s="10"/>
      <c r="AGS61" s="10"/>
      <c r="AGT61" s="10"/>
      <c r="AGU61" s="10"/>
      <c r="AGV61" s="10"/>
      <c r="AGW61" s="10"/>
      <c r="AGX61" s="10"/>
      <c r="AGY61" s="10"/>
      <c r="AGZ61" s="10"/>
      <c r="AHA61" s="10"/>
      <c r="AHB61" s="10"/>
      <c r="AHC61" s="10"/>
      <c r="AHD61" s="10"/>
      <c r="AHE61" s="10"/>
      <c r="AHF61" s="10"/>
      <c r="AHG61" s="10"/>
      <c r="AHH61" s="10"/>
      <c r="AHI61" s="10"/>
      <c r="AHJ61" s="10"/>
      <c r="AHK61" s="10"/>
      <c r="AHL61" s="10"/>
      <c r="AHM61" s="10"/>
      <c r="AHN61" s="10"/>
      <c r="AHO61" s="10"/>
      <c r="AHP61" s="10"/>
      <c r="AHQ61" s="10"/>
      <c r="AHR61" s="10"/>
      <c r="AHS61" s="10"/>
      <c r="AHT61" s="10"/>
      <c r="AHU61" s="10"/>
      <c r="AHV61" s="10"/>
      <c r="AHW61" s="10"/>
      <c r="AHX61" s="10"/>
      <c r="AHY61" s="10"/>
      <c r="AHZ61" s="10"/>
      <c r="AIA61" s="10"/>
      <c r="AIB61" s="10"/>
      <c r="AIC61" s="10"/>
      <c r="AID61" s="10"/>
      <c r="AIE61" s="10"/>
      <c r="AIF61" s="10"/>
      <c r="AIG61" s="10"/>
      <c r="AIH61" s="10"/>
      <c r="AII61" s="10"/>
      <c r="AIJ61" s="10"/>
      <c r="AIK61" s="10"/>
      <c r="AIL61" s="10"/>
      <c r="AIM61" s="10"/>
      <c r="AIN61" s="10"/>
      <c r="AIO61" s="10"/>
      <c r="AIP61" s="10"/>
      <c r="AIQ61" s="10"/>
      <c r="AIR61" s="10"/>
      <c r="AIS61" s="10"/>
      <c r="AIT61" s="10"/>
      <c r="AIU61" s="10"/>
      <c r="AIV61" s="10"/>
      <c r="AIW61" s="10"/>
      <c r="AIX61" s="10"/>
      <c r="AIY61" s="10"/>
      <c r="AIZ61" s="10"/>
      <c r="AJA61" s="10"/>
      <c r="AJB61" s="10"/>
      <c r="AJC61" s="10"/>
      <c r="AJD61" s="10"/>
      <c r="AJE61" s="10"/>
      <c r="AJF61" s="10"/>
      <c r="AJG61" s="10"/>
      <c r="AJH61" s="10"/>
      <c r="AJI61" s="10"/>
      <c r="AJJ61" s="10"/>
      <c r="AJK61" s="10"/>
      <c r="AJL61" s="10"/>
      <c r="AJM61" s="10"/>
      <c r="AJN61" s="10"/>
      <c r="AJO61" s="10"/>
      <c r="AJP61" s="10"/>
      <c r="AJQ61" s="10"/>
      <c r="AJR61" s="10"/>
      <c r="AJS61" s="10"/>
      <c r="AJT61" s="10"/>
      <c r="AJU61" s="10"/>
      <c r="AJV61" s="10"/>
      <c r="AJW61" s="10"/>
      <c r="AJX61" s="10"/>
      <c r="AJY61" s="10"/>
      <c r="AJZ61" s="10"/>
      <c r="AKA61" s="10"/>
      <c r="AKB61" s="10"/>
      <c r="AKC61" s="10"/>
      <c r="AKD61" s="10"/>
      <c r="AKE61" s="10"/>
      <c r="AKF61" s="10"/>
      <c r="AKG61" s="10"/>
      <c r="AKH61" s="10"/>
      <c r="AKI61" s="10"/>
      <c r="AKJ61" s="10"/>
      <c r="AKK61" s="10"/>
      <c r="AKL61" s="10"/>
      <c r="AKM61" s="10"/>
      <c r="AKN61" s="10"/>
      <c r="AKO61" s="10"/>
      <c r="AKP61" s="10"/>
      <c r="AKQ61" s="10"/>
      <c r="AKR61" s="10"/>
      <c r="AKS61" s="10"/>
      <c r="AKT61" s="10"/>
      <c r="AKU61" s="10"/>
      <c r="AKV61" s="10"/>
      <c r="AKW61" s="10"/>
      <c r="AKX61" s="10"/>
      <c r="AKY61" s="10"/>
      <c r="AKZ61" s="10"/>
      <c r="ALA61" s="10"/>
      <c r="ALB61" s="10"/>
      <c r="ALC61" s="10"/>
      <c r="ALD61" s="10"/>
      <c r="ALE61" s="10"/>
      <c r="ALF61" s="10"/>
      <c r="ALG61" s="10"/>
      <c r="ALH61" s="10"/>
      <c r="ALI61" s="10"/>
      <c r="ALJ61" s="10"/>
      <c r="ALK61" s="10"/>
      <c r="ALL61" s="10"/>
      <c r="ALM61" s="10"/>
      <c r="ALN61" s="10"/>
      <c r="ALO61" s="10"/>
      <c r="ALP61" s="10"/>
      <c r="ALQ61" s="10"/>
      <c r="ALR61" s="10"/>
      <c r="ALS61" s="10"/>
      <c r="ALT61" s="10"/>
      <c r="ALU61" s="10"/>
      <c r="ALV61" s="10"/>
      <c r="ALW61" s="10"/>
      <c r="ALX61" s="10"/>
      <c r="ALY61" s="10"/>
      <c r="ALZ61" s="10"/>
      <c r="AMA61" s="10"/>
      <c r="AMB61" s="10"/>
      <c r="AMC61" s="10"/>
      <c r="AMD61" s="10"/>
      <c r="AME61" s="10"/>
      <c r="AMF61" s="10"/>
      <c r="AMG61" s="10"/>
      <c r="AMH61" s="10"/>
      <c r="AMI61" s="10"/>
      <c r="AMJ61" s="10"/>
      <c r="AMK61" s="10"/>
      <c r="AML61" s="10"/>
      <c r="AMM61" s="10"/>
      <c r="AMN61" s="10"/>
      <c r="AMO61" s="10"/>
      <c r="AMP61" s="10"/>
      <c r="AMQ61" s="10"/>
      <c r="AMR61" s="10"/>
      <c r="AMS61" s="10"/>
      <c r="AMT61" s="10"/>
      <c r="AMU61" s="10"/>
      <c r="AMV61" s="10"/>
      <c r="AMW61" s="10"/>
      <c r="AMX61" s="10"/>
      <c r="AMY61" s="10"/>
      <c r="AMZ61" s="10"/>
      <c r="ANA61" s="10"/>
      <c r="ANB61" s="10"/>
      <c r="ANC61" s="10"/>
      <c r="AND61" s="10"/>
      <c r="ANE61" s="10"/>
      <c r="ANF61" s="10"/>
      <c r="ANG61" s="10"/>
      <c r="ANH61" s="10"/>
      <c r="ANI61" s="10"/>
      <c r="ANJ61" s="10"/>
      <c r="ANK61" s="10"/>
      <c r="ANL61" s="10"/>
      <c r="ANM61" s="10"/>
      <c r="ANN61" s="10"/>
      <c r="ANO61" s="10"/>
      <c r="ANP61" s="10"/>
      <c r="ANQ61" s="10"/>
      <c r="ANR61" s="10"/>
      <c r="ANS61" s="10"/>
      <c r="ANT61" s="10"/>
      <c r="ANU61" s="10"/>
      <c r="ANV61" s="10"/>
      <c r="ANW61" s="10"/>
      <c r="ANX61" s="10"/>
      <c r="ANY61" s="10"/>
      <c r="ANZ61" s="10"/>
      <c r="AOA61" s="10"/>
      <c r="AOB61" s="10"/>
      <c r="AOC61" s="10"/>
      <c r="AOD61" s="10"/>
      <c r="AOE61" s="10"/>
      <c r="AOF61" s="10"/>
      <c r="AOG61" s="10"/>
      <c r="AOH61" s="10"/>
      <c r="AOI61" s="10"/>
      <c r="AOJ61" s="10"/>
      <c r="AOK61" s="10"/>
      <c r="AOL61" s="10"/>
      <c r="AOM61" s="10"/>
      <c r="AON61" s="10"/>
      <c r="AOO61" s="10"/>
      <c r="AOP61" s="10"/>
      <c r="AOQ61" s="10"/>
      <c r="AOR61" s="10"/>
      <c r="AOS61" s="10"/>
      <c r="AOT61" s="10"/>
      <c r="AOU61" s="10"/>
      <c r="AOV61" s="10"/>
      <c r="AOW61" s="10"/>
      <c r="AOX61" s="10"/>
      <c r="AOY61" s="10"/>
      <c r="AOZ61" s="10"/>
      <c r="APA61" s="10"/>
      <c r="APB61" s="10"/>
      <c r="APC61" s="10"/>
      <c r="APD61" s="10"/>
      <c r="APE61" s="10"/>
      <c r="APF61" s="10"/>
      <c r="APG61" s="10"/>
      <c r="APH61" s="10"/>
      <c r="API61" s="10"/>
      <c r="APJ61" s="10"/>
      <c r="APK61" s="10"/>
      <c r="APL61" s="10"/>
      <c r="APM61" s="10"/>
      <c r="APN61" s="10"/>
      <c r="APO61" s="10"/>
      <c r="APP61" s="10"/>
      <c r="APQ61" s="10"/>
      <c r="APR61" s="10"/>
      <c r="APS61" s="10"/>
      <c r="APT61" s="10"/>
      <c r="APU61" s="10"/>
      <c r="APV61" s="10"/>
      <c r="APW61" s="10"/>
      <c r="APX61" s="10"/>
      <c r="APY61" s="10"/>
      <c r="APZ61" s="10"/>
      <c r="AQA61" s="10"/>
      <c r="AQB61" s="10"/>
      <c r="AQC61" s="10"/>
      <c r="AQD61" s="10"/>
      <c r="AQE61" s="10"/>
      <c r="AQF61" s="10"/>
      <c r="AQG61" s="10"/>
      <c r="AQH61" s="10"/>
      <c r="AQI61" s="10"/>
      <c r="AQJ61" s="10"/>
      <c r="AQK61" s="10"/>
      <c r="AQL61" s="10"/>
      <c r="AQM61" s="10"/>
      <c r="AQN61" s="10"/>
      <c r="AQO61" s="10"/>
      <c r="AQP61" s="10"/>
      <c r="AQQ61" s="10"/>
      <c r="AQR61" s="10"/>
      <c r="AQS61" s="10"/>
      <c r="AQT61" s="10"/>
      <c r="AQU61" s="10"/>
      <c r="AQV61" s="10"/>
      <c r="AQW61" s="10"/>
      <c r="AQX61" s="10"/>
      <c r="AQY61" s="10"/>
      <c r="AQZ61" s="10"/>
      <c r="ARA61" s="10"/>
      <c r="ARB61" s="10"/>
      <c r="ARC61" s="10"/>
      <c r="ARD61" s="10"/>
      <c r="ARE61" s="10"/>
      <c r="ARF61" s="10"/>
      <c r="ARG61" s="10"/>
      <c r="ARH61" s="10"/>
      <c r="ARI61" s="10"/>
      <c r="ARJ61" s="10"/>
      <c r="ARK61" s="10"/>
      <c r="ARL61" s="10"/>
      <c r="ARM61" s="10"/>
      <c r="ARN61" s="10"/>
      <c r="ARO61" s="10"/>
      <c r="ARP61" s="10"/>
      <c r="ARQ61" s="10"/>
      <c r="ARR61" s="10"/>
      <c r="ARS61" s="10"/>
      <c r="ART61" s="10"/>
      <c r="ARU61" s="10"/>
      <c r="ARV61" s="10"/>
      <c r="ARW61" s="10"/>
      <c r="ARX61" s="10"/>
      <c r="ARY61" s="10"/>
      <c r="ARZ61" s="10"/>
      <c r="ASA61" s="10"/>
      <c r="ASB61" s="10"/>
      <c r="ASC61" s="10"/>
      <c r="ASD61" s="10"/>
      <c r="ASE61" s="10"/>
      <c r="ASF61" s="10"/>
      <c r="ASG61" s="10"/>
      <c r="ASH61" s="10"/>
      <c r="ASI61" s="10"/>
      <c r="ASJ61" s="10"/>
      <c r="ASK61" s="10"/>
      <c r="ASL61" s="10"/>
      <c r="ASM61" s="10"/>
      <c r="ASN61" s="10"/>
      <c r="ASO61" s="10"/>
      <c r="ASP61" s="10"/>
      <c r="ASQ61" s="10"/>
      <c r="ASR61" s="10"/>
      <c r="ASS61" s="10"/>
      <c r="AST61" s="10"/>
      <c r="ASU61" s="10"/>
      <c r="ASV61" s="10"/>
      <c r="ASW61" s="10"/>
      <c r="ASX61" s="10"/>
      <c r="ASY61" s="10"/>
      <c r="ASZ61" s="10"/>
      <c r="ATA61" s="10"/>
      <c r="ATB61" s="10"/>
      <c r="ATC61" s="10"/>
      <c r="ATD61" s="10"/>
      <c r="ATE61" s="10"/>
      <c r="ATF61" s="10"/>
      <c r="ATG61" s="10"/>
      <c r="ATH61" s="10"/>
      <c r="ATI61" s="10"/>
      <c r="ATJ61" s="10"/>
      <c r="ATK61" s="10"/>
      <c r="ATL61" s="10"/>
      <c r="ATM61" s="10"/>
      <c r="ATN61" s="10"/>
      <c r="ATO61" s="10"/>
      <c r="ATP61" s="10"/>
      <c r="ATQ61" s="10"/>
      <c r="ATR61" s="10"/>
      <c r="ATS61" s="10"/>
      <c r="ATT61" s="10"/>
      <c r="ATU61" s="10"/>
      <c r="ATV61" s="10"/>
      <c r="ATW61" s="10"/>
      <c r="ATX61" s="10"/>
      <c r="ATY61" s="10"/>
      <c r="ATZ61" s="10"/>
      <c r="AUA61" s="10"/>
      <c r="AUB61" s="10"/>
      <c r="AUC61" s="10"/>
      <c r="AUD61" s="10"/>
      <c r="AUE61" s="10"/>
      <c r="AUF61" s="10"/>
      <c r="AUG61" s="10"/>
      <c r="AUH61" s="10"/>
      <c r="AUI61" s="10"/>
      <c r="AUJ61" s="10"/>
      <c r="AUK61" s="10"/>
      <c r="AUL61" s="10"/>
      <c r="AUM61" s="10"/>
      <c r="AUN61" s="10"/>
      <c r="AUO61" s="10"/>
      <c r="AUP61" s="10"/>
      <c r="AUQ61" s="10"/>
      <c r="AUR61" s="10"/>
      <c r="AUS61" s="10"/>
      <c r="AUT61" s="10"/>
      <c r="AUU61" s="10"/>
      <c r="AUV61" s="10"/>
      <c r="AUW61" s="10"/>
      <c r="AUX61" s="10"/>
      <c r="AUY61" s="10"/>
      <c r="AUZ61" s="10"/>
      <c r="AVA61" s="10"/>
      <c r="AVB61" s="10"/>
      <c r="AVC61" s="10"/>
      <c r="AVD61" s="10"/>
      <c r="AVE61" s="10"/>
      <c r="AVF61" s="10"/>
      <c r="AVG61" s="10"/>
      <c r="AVH61" s="10"/>
      <c r="AVI61" s="10"/>
      <c r="AVJ61" s="10"/>
      <c r="AVK61" s="10"/>
      <c r="AVL61" s="10"/>
      <c r="AVM61" s="10"/>
      <c r="AVN61" s="10"/>
      <c r="AVO61" s="10"/>
      <c r="AVP61" s="10"/>
      <c r="AVQ61" s="10"/>
      <c r="AVR61" s="10"/>
      <c r="AVS61" s="10"/>
      <c r="AVT61" s="10"/>
      <c r="AVU61" s="10"/>
      <c r="AVV61" s="10"/>
      <c r="AVW61" s="10"/>
      <c r="AVX61" s="10"/>
      <c r="AVY61" s="10"/>
      <c r="AVZ61" s="10"/>
      <c r="AWA61" s="10"/>
      <c r="AWB61" s="10"/>
      <c r="AWC61" s="10"/>
      <c r="AWD61" s="10"/>
      <c r="AWE61" s="10"/>
      <c r="AWF61" s="10"/>
      <c r="AWG61" s="10"/>
      <c r="AWH61" s="10"/>
      <c r="AWI61" s="10"/>
      <c r="AWJ61" s="10"/>
      <c r="AWK61" s="10"/>
      <c r="AWL61" s="10"/>
      <c r="AWM61" s="10"/>
      <c r="AWN61" s="10"/>
      <c r="AWO61" s="10"/>
      <c r="AWP61" s="10"/>
      <c r="AWQ61" s="10"/>
      <c r="AWR61" s="10"/>
      <c r="AWS61" s="10"/>
      <c r="AWT61" s="10"/>
      <c r="AWU61" s="10"/>
      <c r="AWV61" s="10"/>
      <c r="AWW61" s="10"/>
      <c r="AWX61" s="10"/>
      <c r="AWY61" s="10"/>
      <c r="AWZ61" s="10"/>
      <c r="AXA61" s="10"/>
      <c r="AXB61" s="10"/>
      <c r="AXC61" s="10"/>
      <c r="AXD61" s="10"/>
      <c r="AXE61" s="10"/>
      <c r="AXF61" s="10"/>
      <c r="AXG61" s="10"/>
      <c r="AXH61" s="10"/>
      <c r="AXI61" s="10"/>
      <c r="AXJ61" s="10"/>
      <c r="AXK61" s="10"/>
      <c r="AXL61" s="10"/>
      <c r="AXM61" s="10"/>
      <c r="AXN61" s="10"/>
      <c r="AXO61" s="10"/>
      <c r="AXP61" s="10"/>
      <c r="AXQ61" s="10"/>
      <c r="AXR61" s="10"/>
      <c r="AXS61" s="10"/>
      <c r="AXT61" s="10"/>
      <c r="AXU61" s="10"/>
      <c r="AXV61" s="10"/>
      <c r="AXW61" s="10"/>
      <c r="AXX61" s="10"/>
      <c r="AXY61" s="10"/>
      <c r="AXZ61" s="10"/>
      <c r="AYA61" s="10"/>
      <c r="AYB61" s="10"/>
      <c r="AYC61" s="10"/>
      <c r="AYD61" s="10"/>
      <c r="AYE61" s="10"/>
      <c r="AYF61" s="10"/>
      <c r="AYG61" s="10"/>
      <c r="AYH61" s="10"/>
      <c r="AYI61" s="10"/>
      <c r="AYJ61" s="10"/>
      <c r="AYK61" s="10"/>
      <c r="AYL61" s="10"/>
      <c r="AYM61" s="10"/>
      <c r="AYN61" s="10"/>
      <c r="AYO61" s="10"/>
      <c r="AYP61" s="10"/>
      <c r="AYQ61" s="10"/>
      <c r="AYR61" s="10"/>
      <c r="AYS61" s="10"/>
      <c r="AYT61" s="10"/>
      <c r="AYU61" s="10"/>
      <c r="AYV61" s="10"/>
      <c r="AYW61" s="10"/>
      <c r="AYX61" s="10"/>
      <c r="AYY61" s="10"/>
      <c r="AYZ61" s="10"/>
      <c r="AZA61" s="10"/>
      <c r="AZB61" s="10"/>
      <c r="AZC61" s="10"/>
      <c r="AZD61" s="10"/>
      <c r="AZE61" s="10"/>
      <c r="AZF61" s="10"/>
      <c r="AZG61" s="10"/>
      <c r="AZH61" s="10"/>
      <c r="AZI61" s="10"/>
      <c r="AZJ61" s="10"/>
      <c r="AZK61" s="10"/>
      <c r="AZL61" s="10"/>
      <c r="AZM61" s="10"/>
      <c r="AZN61" s="10"/>
      <c r="AZO61" s="10"/>
      <c r="AZP61" s="10"/>
      <c r="AZQ61" s="10"/>
      <c r="AZR61" s="10"/>
      <c r="AZS61" s="10"/>
      <c r="AZT61" s="10"/>
      <c r="AZU61" s="10"/>
      <c r="AZV61" s="10"/>
      <c r="AZW61" s="10"/>
      <c r="AZX61" s="10"/>
      <c r="AZY61" s="10"/>
      <c r="AZZ61" s="10"/>
      <c r="BAA61" s="10"/>
      <c r="BAB61" s="10"/>
      <c r="BAC61" s="10"/>
      <c r="BAD61" s="10"/>
      <c r="BAE61" s="10"/>
      <c r="BAF61" s="10"/>
      <c r="BAG61" s="10"/>
      <c r="BAH61" s="10"/>
      <c r="BAI61" s="10"/>
      <c r="BAJ61" s="10"/>
      <c r="BAK61" s="10"/>
      <c r="BAL61" s="10"/>
      <c r="BAM61" s="10"/>
      <c r="BAN61" s="10"/>
      <c r="BAO61" s="10"/>
      <c r="BAP61" s="10"/>
      <c r="BAQ61" s="10"/>
      <c r="BAR61" s="10"/>
      <c r="BAS61" s="10"/>
      <c r="BAT61" s="10"/>
      <c r="BAU61" s="10"/>
      <c r="BAV61" s="10"/>
      <c r="BAW61" s="10"/>
      <c r="BAX61" s="10"/>
      <c r="BAY61" s="10"/>
      <c r="BAZ61" s="10"/>
      <c r="BBA61" s="10"/>
      <c r="BBB61" s="10"/>
      <c r="BBC61" s="10"/>
      <c r="BBD61" s="10"/>
      <c r="BBE61" s="10"/>
      <c r="BBF61" s="10"/>
      <c r="BBG61" s="10"/>
      <c r="BBH61" s="10"/>
      <c r="BBI61" s="10"/>
      <c r="BBJ61" s="10"/>
      <c r="BBK61" s="10"/>
      <c r="BBL61" s="10"/>
      <c r="BBM61" s="10"/>
      <c r="BBN61" s="10"/>
      <c r="BBO61" s="10"/>
      <c r="BBP61" s="10"/>
      <c r="BBQ61" s="10"/>
      <c r="BBR61" s="10"/>
      <c r="BBS61" s="10"/>
      <c r="BBT61" s="10"/>
      <c r="BBU61" s="10"/>
      <c r="BBV61" s="10"/>
      <c r="BBW61" s="10"/>
      <c r="BBX61" s="10"/>
      <c r="BBY61" s="10"/>
      <c r="BBZ61" s="10"/>
      <c r="BCA61" s="10"/>
      <c r="BCB61" s="10"/>
      <c r="BCC61" s="10"/>
      <c r="BCD61" s="10"/>
      <c r="BCE61" s="10"/>
      <c r="BCF61" s="10"/>
      <c r="BCG61" s="10"/>
      <c r="BCH61" s="10"/>
      <c r="BCI61" s="10"/>
      <c r="BCJ61" s="10"/>
      <c r="BCK61" s="10"/>
      <c r="BCL61" s="10"/>
      <c r="BCM61" s="10"/>
      <c r="BCN61" s="10"/>
      <c r="BCO61" s="10"/>
      <c r="BCP61" s="10"/>
      <c r="BCQ61" s="10"/>
      <c r="BCR61" s="10"/>
      <c r="BCS61" s="10"/>
      <c r="BCT61" s="10"/>
      <c r="BCU61" s="10"/>
      <c r="BCV61" s="10"/>
      <c r="BCW61" s="10"/>
      <c r="BCX61" s="10"/>
      <c r="BCY61" s="10"/>
      <c r="BCZ61" s="10"/>
      <c r="BDA61" s="10"/>
      <c r="BDB61" s="10"/>
      <c r="BDC61" s="10"/>
      <c r="BDD61" s="10"/>
      <c r="BDE61" s="10"/>
      <c r="BDF61" s="10"/>
      <c r="BDG61" s="10"/>
      <c r="BDH61" s="10"/>
      <c r="BDI61" s="10"/>
      <c r="BDJ61" s="10"/>
      <c r="BDK61" s="10"/>
      <c r="BDL61" s="10"/>
      <c r="BDM61" s="10"/>
      <c r="BDN61" s="10"/>
      <c r="BDO61" s="10"/>
      <c r="BDP61" s="10"/>
      <c r="BDQ61" s="10"/>
      <c r="BDR61" s="10"/>
      <c r="BDS61" s="10"/>
      <c r="BDT61" s="10"/>
      <c r="BDU61" s="10"/>
      <c r="BDV61" s="10"/>
      <c r="BDW61" s="10"/>
      <c r="BDX61" s="10"/>
      <c r="BDY61" s="10"/>
      <c r="BDZ61" s="10"/>
      <c r="BEA61" s="10"/>
      <c r="BEB61" s="10"/>
      <c r="BEC61" s="10"/>
      <c r="BED61" s="10"/>
      <c r="BEE61" s="10"/>
      <c r="BEF61" s="10"/>
      <c r="BEG61" s="10"/>
      <c r="BEH61" s="10"/>
      <c r="BEI61" s="10"/>
      <c r="BEJ61" s="10"/>
      <c r="BEK61" s="10"/>
      <c r="BEL61" s="10"/>
      <c r="BEM61" s="10"/>
      <c r="BEN61" s="10"/>
      <c r="BEO61" s="10"/>
      <c r="BEP61" s="10"/>
      <c r="BEQ61" s="10"/>
      <c r="BER61" s="10"/>
      <c r="BES61" s="10"/>
      <c r="BET61" s="10"/>
      <c r="BEU61" s="10"/>
      <c r="BEV61" s="10"/>
      <c r="BEW61" s="10"/>
      <c r="BEX61" s="10"/>
      <c r="BEY61" s="10"/>
      <c r="BEZ61" s="10"/>
      <c r="BFA61" s="10"/>
      <c r="BFB61" s="10"/>
      <c r="BFC61" s="10"/>
      <c r="BFD61" s="10"/>
      <c r="BFE61" s="10"/>
      <c r="BFF61" s="10"/>
      <c r="BFG61" s="10"/>
      <c r="BFH61" s="10"/>
      <c r="BFI61" s="10"/>
      <c r="BFJ61" s="10"/>
      <c r="BFK61" s="10"/>
      <c r="BFL61" s="10"/>
      <c r="BFM61" s="10"/>
      <c r="BFN61" s="10"/>
      <c r="BFO61" s="10"/>
      <c r="BFP61" s="10"/>
      <c r="BFQ61" s="10"/>
      <c r="BFR61" s="10"/>
      <c r="BFS61" s="10"/>
      <c r="BFT61" s="10"/>
      <c r="BFU61" s="10"/>
      <c r="BFV61" s="10"/>
      <c r="BFW61" s="10"/>
      <c r="BFX61" s="10"/>
      <c r="BFY61" s="10"/>
      <c r="BFZ61" s="10"/>
      <c r="BGA61" s="10"/>
      <c r="BGB61" s="10"/>
      <c r="BGC61" s="10"/>
      <c r="BGD61" s="10"/>
      <c r="BGE61" s="10"/>
      <c r="BGF61" s="10"/>
      <c r="BGG61" s="10"/>
      <c r="BGH61" s="10"/>
      <c r="BGI61" s="10"/>
      <c r="BGJ61" s="10"/>
      <c r="BGK61" s="10"/>
      <c r="BGL61" s="10"/>
      <c r="BGM61" s="10"/>
      <c r="BGN61" s="10"/>
      <c r="BGO61" s="10"/>
      <c r="BGP61" s="10"/>
      <c r="BGQ61" s="10"/>
      <c r="BGR61" s="10"/>
      <c r="BGS61" s="10"/>
      <c r="BGT61" s="10"/>
      <c r="BGU61" s="10"/>
      <c r="BGV61" s="10"/>
      <c r="BGW61" s="10"/>
      <c r="BGX61" s="10"/>
      <c r="BGY61" s="10"/>
      <c r="BGZ61" s="10"/>
      <c r="BHA61" s="10"/>
      <c r="BHB61" s="10"/>
      <c r="BHC61" s="10"/>
      <c r="BHD61" s="10"/>
      <c r="BHE61" s="10"/>
      <c r="BHF61" s="10"/>
      <c r="BHG61" s="10"/>
      <c r="BHH61" s="10"/>
      <c r="BHI61" s="10"/>
      <c r="BHJ61" s="10"/>
      <c r="BHK61" s="10"/>
      <c r="BHL61" s="10"/>
      <c r="BHM61" s="10"/>
      <c r="BHN61" s="10"/>
      <c r="BHO61" s="10"/>
      <c r="BHP61" s="10"/>
      <c r="BHQ61" s="10"/>
      <c r="BHR61" s="10"/>
      <c r="BHS61" s="10"/>
      <c r="BHT61" s="10"/>
      <c r="BHU61" s="10"/>
      <c r="BHV61" s="10"/>
      <c r="BHW61" s="10"/>
      <c r="BHX61" s="10"/>
      <c r="BHY61" s="10"/>
      <c r="BHZ61" s="10"/>
      <c r="BIA61" s="10"/>
      <c r="BIB61" s="10"/>
      <c r="BIC61" s="10"/>
      <c r="BID61" s="10"/>
      <c r="BIE61" s="10"/>
      <c r="BIF61" s="10"/>
      <c r="BIG61" s="10"/>
      <c r="BIH61" s="10"/>
      <c r="BII61" s="10"/>
      <c r="BIJ61" s="10"/>
      <c r="BIK61" s="10"/>
      <c r="BIL61" s="10"/>
      <c r="BIM61" s="10"/>
      <c r="BIN61" s="10"/>
      <c r="BIO61" s="10"/>
      <c r="BIP61" s="10"/>
      <c r="BIQ61" s="10"/>
      <c r="BIR61" s="10"/>
      <c r="BIS61" s="10"/>
      <c r="BIT61" s="10"/>
      <c r="BIU61" s="10"/>
      <c r="BIV61" s="10"/>
      <c r="BIW61" s="10"/>
      <c r="BIX61" s="10"/>
      <c r="BIY61" s="10"/>
      <c r="BIZ61" s="10"/>
      <c r="BJA61" s="10"/>
      <c r="BJB61" s="10"/>
      <c r="BJC61" s="10"/>
      <c r="BJD61" s="10"/>
      <c r="BJE61" s="10"/>
      <c r="BJF61" s="10"/>
      <c r="BJG61" s="10"/>
      <c r="BJH61" s="10"/>
      <c r="BJI61" s="10"/>
      <c r="BJJ61" s="10"/>
      <c r="BJK61" s="10"/>
      <c r="BJL61" s="10"/>
      <c r="BJM61" s="10"/>
      <c r="BJN61" s="10"/>
      <c r="BJO61" s="10"/>
      <c r="BJP61" s="10"/>
      <c r="BJQ61" s="10"/>
      <c r="BJR61" s="10"/>
      <c r="BJS61" s="10"/>
      <c r="BJT61" s="10"/>
      <c r="BJU61" s="10"/>
      <c r="BJV61" s="10"/>
      <c r="BJW61" s="10"/>
      <c r="BJX61" s="10"/>
      <c r="BJY61" s="10"/>
      <c r="BJZ61" s="10"/>
      <c r="BKA61" s="10"/>
      <c r="BKB61" s="10"/>
      <c r="BKC61" s="10"/>
      <c r="BKD61" s="10"/>
      <c r="BKE61" s="10"/>
      <c r="BKF61" s="10"/>
      <c r="BKG61" s="10"/>
      <c r="BKH61" s="10"/>
      <c r="BKI61" s="10"/>
      <c r="BKJ61" s="10"/>
      <c r="BKK61" s="10"/>
      <c r="BKL61" s="10"/>
      <c r="BKM61" s="10"/>
      <c r="BKN61" s="10"/>
      <c r="BKO61" s="10"/>
      <c r="BKP61" s="10"/>
      <c r="BKQ61" s="10"/>
      <c r="BKR61" s="10"/>
      <c r="BKS61" s="10"/>
      <c r="BKT61" s="10"/>
      <c r="BKU61" s="10"/>
      <c r="BKV61" s="10"/>
      <c r="BKW61" s="10"/>
      <c r="BKX61" s="10"/>
      <c r="BKY61" s="10"/>
      <c r="BKZ61" s="10"/>
      <c r="BLA61" s="10"/>
      <c r="BLB61" s="10"/>
      <c r="BLC61" s="10"/>
      <c r="BLD61" s="10"/>
      <c r="BLE61" s="10"/>
      <c r="BLF61" s="10"/>
      <c r="BLG61" s="10"/>
      <c r="BLH61" s="10"/>
      <c r="BLI61" s="10"/>
      <c r="BLJ61" s="10"/>
      <c r="BLK61" s="10"/>
      <c r="BLL61" s="10"/>
      <c r="BLM61" s="10"/>
      <c r="BLN61" s="10"/>
      <c r="BLO61" s="10"/>
      <c r="BLP61" s="10"/>
      <c r="BLQ61" s="10"/>
      <c r="BLR61" s="10"/>
      <c r="BLS61" s="10"/>
      <c r="BLT61" s="10"/>
      <c r="BLU61" s="10"/>
      <c r="BLV61" s="10"/>
      <c r="BLW61" s="10"/>
      <c r="BLX61" s="10"/>
      <c r="BLY61" s="10"/>
      <c r="BLZ61" s="10"/>
      <c r="BMA61" s="10"/>
      <c r="BMB61" s="10"/>
      <c r="BMC61" s="10"/>
      <c r="BMD61" s="10"/>
      <c r="BME61" s="10"/>
      <c r="BMF61" s="10"/>
      <c r="BMG61" s="10"/>
      <c r="BMH61" s="10"/>
      <c r="BMI61" s="10"/>
      <c r="BMJ61" s="10"/>
      <c r="BMK61" s="10"/>
      <c r="BML61" s="10"/>
      <c r="BMM61" s="10"/>
      <c r="BMN61" s="10"/>
      <c r="BMO61" s="10"/>
      <c r="BMP61" s="10"/>
      <c r="BMQ61" s="10"/>
      <c r="BMR61" s="10"/>
      <c r="BMS61" s="10"/>
      <c r="BMT61" s="10"/>
      <c r="BMU61" s="10"/>
      <c r="BMV61" s="10"/>
      <c r="BMW61" s="10"/>
      <c r="BMX61" s="10"/>
      <c r="BMY61" s="10"/>
      <c r="BMZ61" s="10"/>
      <c r="BNA61" s="10"/>
      <c r="BNB61" s="10"/>
      <c r="BNC61" s="10"/>
      <c r="BND61" s="10"/>
      <c r="BNE61" s="10"/>
      <c r="BNF61" s="10"/>
      <c r="BNG61" s="10"/>
      <c r="BNH61" s="10"/>
      <c r="BNI61" s="10"/>
      <c r="BNJ61" s="10"/>
      <c r="BNK61" s="10"/>
      <c r="BNL61" s="10"/>
      <c r="BNM61" s="10"/>
      <c r="BNN61" s="10"/>
      <c r="BNO61" s="10"/>
      <c r="BNP61" s="10"/>
      <c r="BNQ61" s="10"/>
      <c r="BNR61" s="10"/>
      <c r="BNS61" s="10"/>
      <c r="BNT61" s="10"/>
      <c r="BNU61" s="10"/>
      <c r="BNV61" s="10"/>
      <c r="BNW61" s="10"/>
      <c r="BNX61" s="10"/>
      <c r="BNY61" s="10"/>
      <c r="BNZ61" s="10"/>
      <c r="BOA61" s="10"/>
      <c r="BOB61" s="10"/>
      <c r="BOC61" s="10"/>
      <c r="BOD61" s="10"/>
      <c r="BOE61" s="10"/>
      <c r="BOF61" s="10"/>
      <c r="BOG61" s="10"/>
      <c r="BOH61" s="10"/>
      <c r="BOI61" s="10"/>
      <c r="BOJ61" s="10"/>
      <c r="BOK61" s="10"/>
      <c r="BOL61" s="10"/>
      <c r="BOM61" s="10"/>
      <c r="BON61" s="10"/>
      <c r="BOO61" s="10"/>
      <c r="BOP61" s="10"/>
      <c r="BOQ61" s="10"/>
      <c r="BOR61" s="10"/>
      <c r="BOS61" s="10"/>
      <c r="BOT61" s="10"/>
      <c r="BOU61" s="10"/>
      <c r="BOV61" s="10"/>
      <c r="BOW61" s="10"/>
      <c r="BOX61" s="10"/>
      <c r="BOY61" s="10"/>
      <c r="BOZ61" s="10"/>
      <c r="BPA61" s="10"/>
      <c r="BPB61" s="10"/>
      <c r="BPC61" s="10"/>
      <c r="BPD61" s="10"/>
      <c r="BPE61" s="10"/>
      <c r="BPF61" s="10"/>
      <c r="BPG61" s="10"/>
      <c r="BPH61" s="10"/>
      <c r="BPI61" s="10"/>
      <c r="BPJ61" s="10"/>
      <c r="BPK61" s="10"/>
      <c r="BPL61" s="10"/>
      <c r="BPM61" s="10"/>
      <c r="BPN61" s="10"/>
      <c r="BPO61" s="10"/>
      <c r="BPP61" s="10"/>
      <c r="BPQ61" s="10"/>
      <c r="BPR61" s="10"/>
      <c r="BPS61" s="10"/>
      <c r="BPT61" s="10"/>
      <c r="BPU61" s="10"/>
      <c r="BPV61" s="10"/>
      <c r="BPW61" s="10"/>
      <c r="BPX61" s="10"/>
      <c r="BPY61" s="10"/>
      <c r="BPZ61" s="10"/>
      <c r="BQA61" s="10"/>
      <c r="BQB61" s="10"/>
      <c r="BQC61" s="10"/>
      <c r="BQD61" s="10"/>
      <c r="BQE61" s="10"/>
      <c r="BQF61" s="10"/>
      <c r="BQG61" s="10"/>
      <c r="BQH61" s="10"/>
      <c r="BQI61" s="10"/>
      <c r="BQJ61" s="10"/>
      <c r="BQK61" s="10"/>
      <c r="BQL61" s="10"/>
      <c r="BQM61" s="10"/>
      <c r="BQN61" s="10"/>
      <c r="BQO61" s="10"/>
      <c r="BQP61" s="10"/>
      <c r="BQQ61" s="10"/>
      <c r="BQR61" s="10"/>
      <c r="BQS61" s="10"/>
      <c r="BQT61" s="10"/>
      <c r="BQU61" s="10"/>
      <c r="BQV61" s="10"/>
      <c r="BQW61" s="10"/>
      <c r="BQX61" s="10"/>
      <c r="BQY61" s="10"/>
      <c r="BQZ61" s="10"/>
      <c r="BRA61" s="10"/>
      <c r="BRB61" s="10"/>
      <c r="BRC61" s="10"/>
      <c r="BRD61" s="10"/>
      <c r="BRE61" s="10"/>
      <c r="BRF61" s="10"/>
      <c r="BRG61" s="10"/>
      <c r="BRH61" s="10"/>
      <c r="BRI61" s="10"/>
      <c r="BRJ61" s="10"/>
      <c r="BRK61" s="10"/>
      <c r="BRL61" s="10"/>
      <c r="BRM61" s="10"/>
      <c r="BRN61" s="10"/>
      <c r="BRO61" s="10"/>
      <c r="BRP61" s="10"/>
      <c r="BRQ61" s="10"/>
      <c r="BRR61" s="10"/>
      <c r="BRS61" s="10"/>
      <c r="BRT61" s="10"/>
      <c r="BRU61" s="10"/>
      <c r="BRV61" s="10"/>
      <c r="BRW61" s="10"/>
      <c r="BRX61" s="10"/>
      <c r="BRY61" s="10"/>
      <c r="BRZ61" s="10"/>
      <c r="BSA61" s="10"/>
      <c r="BSB61" s="10"/>
      <c r="BSC61" s="10"/>
      <c r="BSD61" s="10"/>
      <c r="BSE61" s="10"/>
      <c r="BSF61" s="10"/>
      <c r="BSG61" s="10"/>
      <c r="BSH61" s="10"/>
      <c r="BSI61" s="10"/>
      <c r="BSJ61" s="10"/>
      <c r="BSK61" s="10"/>
      <c r="BSL61" s="10"/>
      <c r="BSM61" s="10"/>
      <c r="BSN61" s="10"/>
      <c r="BSO61" s="10"/>
      <c r="BSP61" s="10"/>
      <c r="BSQ61" s="10"/>
      <c r="BSR61" s="10"/>
      <c r="BSS61" s="10"/>
      <c r="BST61" s="10"/>
      <c r="BSU61" s="10"/>
      <c r="BSV61" s="10"/>
      <c r="BSW61" s="10"/>
      <c r="BSX61" s="10"/>
      <c r="BSY61" s="10"/>
      <c r="BSZ61" s="10"/>
      <c r="BTA61" s="10"/>
      <c r="BTB61" s="10"/>
      <c r="BTC61" s="10"/>
      <c r="BTD61" s="10"/>
      <c r="BTE61" s="10"/>
      <c r="BTF61" s="10"/>
      <c r="BTG61" s="10"/>
      <c r="BTH61" s="10"/>
      <c r="BTI61" s="10"/>
      <c r="BTJ61" s="10"/>
      <c r="BTK61" s="10"/>
      <c r="BTL61" s="10"/>
      <c r="BTM61" s="10"/>
      <c r="BTN61" s="10"/>
      <c r="BTO61" s="10"/>
      <c r="BTP61" s="10"/>
      <c r="BTQ61" s="10"/>
      <c r="BTR61" s="10"/>
      <c r="BTS61" s="10"/>
      <c r="BTT61" s="10"/>
      <c r="BTU61" s="10"/>
      <c r="BTV61" s="10"/>
      <c r="BTW61" s="10"/>
      <c r="BTX61" s="10"/>
      <c r="BTY61" s="10"/>
      <c r="BTZ61" s="10"/>
      <c r="BUA61" s="10"/>
      <c r="BUB61" s="10"/>
      <c r="BUC61" s="10"/>
      <c r="BUD61" s="10"/>
      <c r="BUE61" s="10"/>
      <c r="BUF61" s="10"/>
      <c r="BUG61" s="10"/>
      <c r="BUH61" s="10"/>
      <c r="BUI61" s="10"/>
      <c r="BUJ61" s="10"/>
      <c r="BUK61" s="10"/>
      <c r="BUL61" s="10"/>
      <c r="BUM61" s="10"/>
      <c r="BUN61" s="10"/>
      <c r="BUO61" s="10"/>
      <c r="BUP61" s="10"/>
      <c r="BUQ61" s="10"/>
      <c r="BUR61" s="10"/>
      <c r="BUS61" s="10"/>
      <c r="BUT61" s="10"/>
      <c r="BUU61" s="10"/>
      <c r="BUV61" s="10"/>
      <c r="BUW61" s="10"/>
      <c r="BUX61" s="10"/>
      <c r="BUY61" s="10"/>
      <c r="BUZ61" s="10"/>
      <c r="BVA61" s="10"/>
      <c r="BVB61" s="10"/>
      <c r="BVC61" s="10"/>
      <c r="BVD61" s="10"/>
      <c r="BVE61" s="10"/>
      <c r="BVF61" s="10"/>
      <c r="BVG61" s="10"/>
      <c r="BVH61" s="10"/>
      <c r="BVI61" s="10"/>
      <c r="BVJ61" s="10"/>
      <c r="BVK61" s="10"/>
      <c r="BVL61" s="10"/>
      <c r="BVM61" s="10"/>
      <c r="BVN61" s="10"/>
      <c r="BVO61" s="10"/>
      <c r="BVP61" s="10"/>
      <c r="BVQ61" s="10"/>
      <c r="BVR61" s="10"/>
      <c r="BVS61" s="10"/>
      <c r="BVT61" s="10"/>
      <c r="BVU61" s="10"/>
      <c r="BVV61" s="10"/>
      <c r="BVW61" s="10"/>
      <c r="BVX61" s="10"/>
      <c r="BVY61" s="10"/>
      <c r="BVZ61" s="10"/>
      <c r="BWA61" s="10"/>
      <c r="BWB61" s="10"/>
      <c r="BWC61" s="10"/>
      <c r="BWD61" s="10"/>
      <c r="BWE61" s="10"/>
      <c r="BWF61" s="10"/>
      <c r="BWG61" s="10"/>
      <c r="BWH61" s="10"/>
      <c r="BWI61" s="10"/>
      <c r="BWJ61" s="10"/>
      <c r="BWK61" s="10"/>
      <c r="BWL61" s="10"/>
      <c r="BWM61" s="10"/>
      <c r="BWN61" s="10"/>
      <c r="BWO61" s="10"/>
      <c r="BWP61" s="10"/>
      <c r="BWQ61" s="10"/>
      <c r="BWR61" s="10"/>
      <c r="BWS61" s="10"/>
      <c r="BWT61" s="10"/>
      <c r="BWU61" s="10"/>
      <c r="BWV61" s="10"/>
      <c r="BWW61" s="10"/>
      <c r="BWX61" s="10"/>
      <c r="BWY61" s="10"/>
      <c r="BWZ61" s="10"/>
      <c r="BXA61" s="10"/>
      <c r="BXB61" s="10"/>
      <c r="BXC61" s="10"/>
      <c r="BXD61" s="10"/>
      <c r="BXE61" s="10"/>
      <c r="BXF61" s="10"/>
      <c r="BXG61" s="10"/>
      <c r="BXH61" s="10"/>
      <c r="BXI61" s="10"/>
      <c r="BXJ61" s="10"/>
      <c r="BXK61" s="10"/>
      <c r="BXL61" s="10"/>
      <c r="BXM61" s="10"/>
      <c r="BXN61" s="10"/>
      <c r="BXO61" s="10"/>
      <c r="BXP61" s="10"/>
      <c r="BXQ61" s="10"/>
      <c r="BXR61" s="10"/>
      <c r="BXS61" s="10"/>
      <c r="BXT61" s="10"/>
      <c r="BXU61" s="10"/>
      <c r="BXV61" s="10"/>
      <c r="BXW61" s="10"/>
      <c r="BXX61" s="10"/>
      <c r="BXY61" s="10"/>
      <c r="BXZ61" s="10"/>
      <c r="BYA61" s="10"/>
      <c r="BYB61" s="10"/>
      <c r="BYC61" s="10"/>
      <c r="BYD61" s="10"/>
      <c r="BYE61" s="10"/>
      <c r="BYF61" s="10"/>
      <c r="BYG61" s="10"/>
      <c r="BYH61" s="10"/>
      <c r="BYI61" s="10"/>
      <c r="BYJ61" s="10"/>
      <c r="BYK61" s="10"/>
      <c r="BYL61" s="10"/>
      <c r="BYM61" s="10"/>
      <c r="BYN61" s="10"/>
      <c r="BYO61" s="10"/>
      <c r="BYP61" s="10"/>
      <c r="BYQ61" s="10"/>
      <c r="BYR61" s="10"/>
      <c r="BYS61" s="10"/>
      <c r="BYT61" s="10"/>
      <c r="BYU61" s="10"/>
      <c r="BYV61" s="10"/>
      <c r="BYW61" s="10"/>
      <c r="BYX61" s="10"/>
      <c r="BYY61" s="10"/>
      <c r="BYZ61" s="10"/>
      <c r="BZA61" s="10"/>
      <c r="BZB61" s="10"/>
      <c r="BZC61" s="10"/>
      <c r="BZD61" s="10"/>
      <c r="BZE61" s="10"/>
      <c r="BZF61" s="10"/>
      <c r="BZG61" s="10"/>
      <c r="BZH61" s="10"/>
      <c r="BZI61" s="10"/>
      <c r="BZJ61" s="10"/>
      <c r="BZK61" s="10"/>
      <c r="BZL61" s="10"/>
      <c r="BZM61" s="10"/>
      <c r="BZN61" s="10"/>
      <c r="BZO61" s="10"/>
      <c r="BZP61" s="10"/>
      <c r="BZQ61" s="10"/>
      <c r="BZR61" s="10"/>
      <c r="BZS61" s="10"/>
      <c r="BZT61" s="10"/>
      <c r="BZU61" s="10"/>
      <c r="BZV61" s="10"/>
      <c r="BZW61" s="10"/>
      <c r="BZX61" s="10"/>
      <c r="BZY61" s="10"/>
      <c r="BZZ61" s="10"/>
      <c r="CAA61" s="10"/>
      <c r="CAB61" s="10"/>
      <c r="CAC61" s="10"/>
      <c r="CAD61" s="10"/>
      <c r="CAE61" s="10"/>
      <c r="CAF61" s="10"/>
      <c r="CAG61" s="10"/>
      <c r="CAH61" s="10"/>
      <c r="CAI61" s="10"/>
      <c r="CAJ61" s="10"/>
      <c r="CAK61" s="10"/>
      <c r="CAL61" s="10"/>
      <c r="CAM61" s="10"/>
      <c r="CAN61" s="10"/>
      <c r="CAO61" s="10"/>
      <c r="CAP61" s="10"/>
      <c r="CAQ61" s="10"/>
      <c r="CAR61" s="10"/>
      <c r="CAS61" s="10"/>
      <c r="CAT61" s="10"/>
      <c r="CAU61" s="10"/>
      <c r="CAV61" s="10"/>
      <c r="CAW61" s="10"/>
      <c r="CAX61" s="10"/>
      <c r="CAY61" s="10"/>
      <c r="CAZ61" s="10"/>
      <c r="CBA61" s="10"/>
      <c r="CBB61" s="10"/>
      <c r="CBC61" s="10"/>
      <c r="CBD61" s="10"/>
      <c r="CBE61" s="10"/>
      <c r="CBF61" s="10"/>
      <c r="CBG61" s="10"/>
      <c r="CBH61" s="10"/>
      <c r="CBI61" s="10"/>
      <c r="CBJ61" s="10"/>
      <c r="CBK61" s="10"/>
      <c r="CBL61" s="10"/>
      <c r="CBM61" s="10"/>
      <c r="CBN61" s="10"/>
      <c r="CBO61" s="10"/>
      <c r="CBP61" s="10"/>
      <c r="CBQ61" s="10"/>
      <c r="CBR61" s="10"/>
      <c r="CBS61" s="10"/>
      <c r="CBT61" s="10"/>
      <c r="CBU61" s="10"/>
      <c r="CBV61" s="10"/>
      <c r="CBW61" s="10"/>
      <c r="CBX61" s="10"/>
      <c r="CBY61" s="10"/>
      <c r="CBZ61" s="10"/>
      <c r="CCA61" s="10"/>
      <c r="CCB61" s="10"/>
      <c r="CCC61" s="10"/>
      <c r="CCD61" s="10"/>
      <c r="CCE61" s="10"/>
      <c r="CCF61" s="10"/>
      <c r="CCG61" s="10"/>
      <c r="CCH61" s="10"/>
      <c r="CCI61" s="10"/>
      <c r="CCJ61" s="10"/>
      <c r="CCK61" s="10"/>
      <c r="CCL61" s="10"/>
      <c r="CCM61" s="10"/>
      <c r="CCN61" s="10"/>
      <c r="CCO61" s="10"/>
      <c r="CCP61" s="10"/>
      <c r="CCQ61" s="10"/>
      <c r="CCR61" s="10"/>
      <c r="CCS61" s="10"/>
      <c r="CCT61" s="10"/>
      <c r="CCU61" s="10"/>
      <c r="CCV61" s="10"/>
      <c r="CCW61" s="10"/>
      <c r="CCX61" s="10"/>
      <c r="CCY61" s="10"/>
      <c r="CCZ61" s="10"/>
      <c r="CDA61" s="10"/>
      <c r="CDB61" s="10"/>
      <c r="CDC61" s="10"/>
      <c r="CDD61" s="10"/>
      <c r="CDE61" s="10"/>
      <c r="CDF61" s="10"/>
      <c r="CDG61" s="10"/>
      <c r="CDH61" s="10"/>
      <c r="CDI61" s="10"/>
      <c r="CDJ61" s="10"/>
      <c r="CDK61" s="10"/>
      <c r="CDL61" s="10"/>
      <c r="CDM61" s="10"/>
      <c r="CDN61" s="10"/>
      <c r="CDO61" s="10"/>
      <c r="CDP61" s="10"/>
      <c r="CDQ61" s="10"/>
      <c r="CDR61" s="10"/>
      <c r="CDS61" s="10"/>
      <c r="CDT61" s="10"/>
      <c r="CDU61" s="10"/>
      <c r="CDV61" s="10"/>
      <c r="CDW61" s="10"/>
      <c r="CDX61" s="10"/>
      <c r="CDY61" s="10"/>
      <c r="CDZ61" s="10"/>
      <c r="CEA61" s="10"/>
      <c r="CEB61" s="10"/>
      <c r="CEC61" s="10"/>
      <c r="CED61" s="10"/>
      <c r="CEE61" s="10"/>
      <c r="CEF61" s="10"/>
      <c r="CEG61" s="10"/>
      <c r="CEH61" s="10"/>
      <c r="CEI61" s="10"/>
      <c r="CEJ61" s="10"/>
      <c r="CEK61" s="10"/>
      <c r="CEL61" s="10"/>
      <c r="CEM61" s="10"/>
      <c r="CEN61" s="10"/>
      <c r="CEO61" s="10"/>
      <c r="CEP61" s="10"/>
      <c r="CEQ61" s="10"/>
      <c r="CER61" s="10"/>
      <c r="CES61" s="10"/>
      <c r="CET61" s="10"/>
      <c r="CEU61" s="10"/>
      <c r="CEV61" s="10"/>
      <c r="CEW61" s="10"/>
      <c r="CEX61" s="10"/>
      <c r="CEY61" s="10"/>
      <c r="CEZ61" s="10"/>
      <c r="CFA61" s="10"/>
      <c r="CFB61" s="10"/>
      <c r="CFC61" s="10"/>
      <c r="CFD61" s="10"/>
      <c r="CFE61" s="10"/>
      <c r="CFF61" s="10"/>
      <c r="CFG61" s="10"/>
      <c r="CFH61" s="10"/>
      <c r="CFI61" s="10"/>
      <c r="CFJ61" s="10"/>
      <c r="CFK61" s="10"/>
      <c r="CFL61" s="10"/>
      <c r="CFM61" s="10"/>
      <c r="CFN61" s="10"/>
      <c r="CFO61" s="10"/>
      <c r="CFP61" s="10"/>
      <c r="CFQ61" s="10"/>
      <c r="CFR61" s="10"/>
      <c r="CFS61" s="10"/>
      <c r="CFT61" s="10"/>
      <c r="CFU61" s="10"/>
      <c r="CFV61" s="10"/>
      <c r="CFW61" s="10"/>
      <c r="CFX61" s="10"/>
      <c r="CFY61" s="10"/>
      <c r="CFZ61" s="10"/>
      <c r="CGA61" s="10"/>
      <c r="CGB61" s="10"/>
      <c r="CGC61" s="10"/>
      <c r="CGD61" s="10"/>
      <c r="CGE61" s="10"/>
      <c r="CGF61" s="10"/>
      <c r="CGG61" s="10"/>
      <c r="CGH61" s="10"/>
      <c r="CGI61" s="10"/>
      <c r="CGJ61" s="10"/>
      <c r="CGK61" s="10"/>
      <c r="CGL61" s="10"/>
      <c r="CGM61" s="10"/>
      <c r="CGN61" s="10"/>
      <c r="CGO61" s="10"/>
      <c r="CGP61" s="10"/>
      <c r="CGQ61" s="10"/>
      <c r="CGR61" s="10"/>
      <c r="CGS61" s="10"/>
      <c r="CGT61" s="10"/>
      <c r="CGU61" s="10"/>
      <c r="CGV61" s="10"/>
      <c r="CGW61" s="10"/>
      <c r="CGX61" s="10"/>
      <c r="CGY61" s="10"/>
      <c r="CGZ61" s="10"/>
      <c r="CHA61" s="10"/>
      <c r="CHB61" s="10"/>
      <c r="CHC61" s="10"/>
      <c r="CHD61" s="10"/>
      <c r="CHE61" s="10"/>
      <c r="CHF61" s="10"/>
      <c r="CHG61" s="10"/>
      <c r="CHH61" s="10"/>
      <c r="CHI61" s="10"/>
      <c r="CHJ61" s="10"/>
      <c r="CHK61" s="10"/>
      <c r="CHL61" s="10"/>
      <c r="CHM61" s="10"/>
      <c r="CHN61" s="10"/>
      <c r="CHO61" s="10"/>
      <c r="CHP61" s="10"/>
      <c r="CHQ61" s="10"/>
      <c r="CHR61" s="10"/>
      <c r="CHS61" s="10"/>
      <c r="CHT61" s="10"/>
      <c r="CHU61" s="10"/>
      <c r="CHV61" s="10"/>
      <c r="CHW61" s="10"/>
      <c r="CHX61" s="10"/>
      <c r="CHY61" s="10"/>
      <c r="CHZ61" s="10"/>
      <c r="CIA61" s="10"/>
      <c r="CIB61" s="10"/>
      <c r="CIC61" s="10"/>
      <c r="CID61" s="10"/>
      <c r="CIE61" s="10"/>
      <c r="CIF61" s="10"/>
      <c r="CIG61" s="10"/>
      <c r="CIH61" s="10"/>
      <c r="CII61" s="10"/>
      <c r="CIJ61" s="10"/>
      <c r="CIK61" s="10"/>
      <c r="CIL61" s="10"/>
      <c r="CIM61" s="10"/>
      <c r="CIN61" s="10"/>
      <c r="CIO61" s="10"/>
      <c r="CIP61" s="10"/>
      <c r="CIQ61" s="10"/>
      <c r="CIR61" s="10"/>
      <c r="CIS61" s="10"/>
      <c r="CIT61" s="10"/>
      <c r="CIU61" s="10"/>
      <c r="CIV61" s="10"/>
      <c r="CIW61" s="10"/>
      <c r="CIX61" s="10"/>
      <c r="CIY61" s="10"/>
      <c r="CIZ61" s="10"/>
      <c r="CJA61" s="10"/>
      <c r="CJB61" s="10"/>
      <c r="CJC61" s="10"/>
      <c r="CJD61" s="10"/>
      <c r="CJE61" s="10"/>
      <c r="CJF61" s="10"/>
      <c r="CJG61" s="10"/>
      <c r="CJH61" s="10"/>
      <c r="CJI61" s="10"/>
      <c r="CJJ61" s="10"/>
      <c r="CJK61" s="10"/>
      <c r="CJL61" s="10"/>
      <c r="CJM61" s="10"/>
      <c r="CJN61" s="10"/>
      <c r="CJO61" s="10"/>
      <c r="CJP61" s="10"/>
      <c r="CJQ61" s="10"/>
      <c r="CJR61" s="10"/>
      <c r="CJS61" s="10"/>
      <c r="CJT61" s="10"/>
      <c r="CJU61" s="10"/>
      <c r="CJV61" s="10"/>
      <c r="CJW61" s="10"/>
      <c r="CJX61" s="10"/>
      <c r="CJY61" s="10"/>
      <c r="CJZ61" s="10"/>
      <c r="CKA61" s="10"/>
      <c r="CKB61" s="10"/>
      <c r="CKC61" s="10"/>
      <c r="CKD61" s="10"/>
      <c r="CKE61" s="10"/>
      <c r="CKF61" s="10"/>
      <c r="CKG61" s="10"/>
      <c r="CKH61" s="10"/>
      <c r="CKI61" s="10"/>
      <c r="CKJ61" s="10"/>
      <c r="CKK61" s="10"/>
      <c r="CKL61" s="10"/>
      <c r="CKM61" s="10"/>
      <c r="CKN61" s="10"/>
      <c r="CKO61" s="10"/>
      <c r="CKP61" s="10"/>
      <c r="CKQ61" s="10"/>
      <c r="CKR61" s="10"/>
      <c r="CKS61" s="10"/>
      <c r="CKT61" s="10"/>
      <c r="CKU61" s="10"/>
      <c r="CKV61" s="10"/>
      <c r="CKW61" s="10"/>
      <c r="CKX61" s="10"/>
      <c r="CKY61" s="10"/>
      <c r="CKZ61" s="10"/>
      <c r="CLA61" s="10"/>
      <c r="CLB61" s="10"/>
      <c r="CLC61" s="10"/>
      <c r="CLD61" s="10"/>
      <c r="CLE61" s="10"/>
      <c r="CLF61" s="10"/>
      <c r="CLG61" s="10"/>
      <c r="CLH61" s="10"/>
      <c r="CLI61" s="10"/>
      <c r="CLJ61" s="10"/>
      <c r="CLK61" s="10"/>
      <c r="CLL61" s="10"/>
      <c r="CLM61" s="10"/>
      <c r="CLN61" s="10"/>
      <c r="CLO61" s="10"/>
      <c r="CLP61" s="10"/>
      <c r="CLQ61" s="10"/>
      <c r="CLR61" s="10"/>
      <c r="CLS61" s="10"/>
      <c r="CLT61" s="10"/>
      <c r="CLU61" s="10"/>
      <c r="CLV61" s="10"/>
      <c r="CLW61" s="10"/>
      <c r="CLX61" s="10"/>
      <c r="CLY61" s="10"/>
      <c r="CLZ61" s="10"/>
      <c r="CMA61" s="10"/>
      <c r="CMB61" s="10"/>
      <c r="CMC61" s="10"/>
      <c r="CMD61" s="10"/>
      <c r="CME61" s="10"/>
      <c r="CMF61" s="10"/>
      <c r="CMG61" s="10"/>
      <c r="CMH61" s="10"/>
      <c r="CMI61" s="10"/>
      <c r="CMJ61" s="10"/>
      <c r="CMK61" s="10"/>
      <c r="CML61" s="10"/>
      <c r="CMM61" s="10"/>
      <c r="CMN61" s="10"/>
      <c r="CMO61" s="10"/>
      <c r="CMP61" s="10"/>
      <c r="CMQ61" s="10"/>
      <c r="CMR61" s="10"/>
      <c r="CMS61" s="10"/>
      <c r="CMT61" s="10"/>
      <c r="CMU61" s="10"/>
      <c r="CMV61" s="10"/>
      <c r="CMW61" s="10"/>
      <c r="CMX61" s="10"/>
      <c r="CMY61" s="10"/>
      <c r="CMZ61" s="10"/>
      <c r="CNA61" s="10"/>
      <c r="CNB61" s="10"/>
      <c r="CNC61" s="10"/>
      <c r="CND61" s="10"/>
      <c r="CNE61" s="10"/>
      <c r="CNF61" s="10"/>
      <c r="CNG61" s="10"/>
      <c r="CNH61" s="10"/>
      <c r="CNI61" s="10"/>
      <c r="CNJ61" s="10"/>
      <c r="CNK61" s="10"/>
      <c r="CNL61" s="10"/>
      <c r="CNM61" s="10"/>
      <c r="CNN61" s="10"/>
      <c r="CNO61" s="10"/>
      <c r="CNP61" s="10"/>
      <c r="CNQ61" s="10"/>
      <c r="CNR61" s="10"/>
      <c r="CNS61" s="10"/>
      <c r="CNT61" s="10"/>
      <c r="CNU61" s="10"/>
      <c r="CNV61" s="10"/>
      <c r="CNW61" s="10"/>
      <c r="CNX61" s="10"/>
      <c r="CNY61" s="10"/>
      <c r="CNZ61" s="10"/>
      <c r="COA61" s="10"/>
      <c r="COB61" s="10"/>
      <c r="COC61" s="10"/>
      <c r="COD61" s="10"/>
      <c r="COE61" s="10"/>
      <c r="COF61" s="10"/>
      <c r="COG61" s="10"/>
      <c r="COH61" s="10"/>
      <c r="COI61" s="10"/>
      <c r="COJ61" s="10"/>
      <c r="COK61" s="10"/>
      <c r="COL61" s="10"/>
      <c r="COM61" s="10"/>
      <c r="CON61" s="10"/>
      <c r="COO61" s="10"/>
      <c r="COP61" s="10"/>
      <c r="COQ61" s="10"/>
      <c r="COR61" s="10"/>
      <c r="COS61" s="10"/>
      <c r="COT61" s="10"/>
      <c r="COU61" s="10"/>
      <c r="COV61" s="10"/>
      <c r="COW61" s="10"/>
      <c r="COX61" s="10"/>
      <c r="COY61" s="10"/>
      <c r="COZ61" s="10"/>
      <c r="CPA61" s="10"/>
      <c r="CPB61" s="10"/>
      <c r="CPC61" s="10"/>
      <c r="CPD61" s="10"/>
      <c r="CPE61" s="10"/>
      <c r="CPF61" s="10"/>
      <c r="CPG61" s="10"/>
      <c r="CPH61" s="10"/>
      <c r="CPI61" s="10"/>
      <c r="CPJ61" s="10"/>
      <c r="CPK61" s="10"/>
      <c r="CPL61" s="10"/>
      <c r="CPM61" s="10"/>
      <c r="CPN61" s="10"/>
      <c r="CPO61" s="10"/>
      <c r="CPP61" s="10"/>
      <c r="CPQ61" s="10"/>
      <c r="CPR61" s="10"/>
      <c r="CPS61" s="10"/>
      <c r="CPT61" s="10"/>
      <c r="CPU61" s="10"/>
      <c r="CPV61" s="10"/>
      <c r="CPW61" s="10"/>
      <c r="CPX61" s="10"/>
      <c r="CPY61" s="10"/>
      <c r="CPZ61" s="10"/>
      <c r="CQA61" s="10"/>
      <c r="CQB61" s="10"/>
      <c r="CQC61" s="10"/>
      <c r="CQD61" s="10"/>
      <c r="CQE61" s="10"/>
      <c r="CQF61" s="10"/>
      <c r="CQG61" s="10"/>
      <c r="CQH61" s="10"/>
      <c r="CQI61" s="10"/>
      <c r="CQJ61" s="10"/>
      <c r="CQK61" s="10"/>
      <c r="CQL61" s="10"/>
      <c r="CQM61" s="10"/>
      <c r="CQN61" s="10"/>
      <c r="CQO61" s="10"/>
      <c r="CQP61" s="10"/>
      <c r="CQQ61" s="10"/>
      <c r="CQR61" s="10"/>
      <c r="CQS61" s="10"/>
      <c r="CQT61" s="10"/>
      <c r="CQU61" s="10"/>
      <c r="CQV61" s="10"/>
      <c r="CQW61" s="10"/>
      <c r="CQX61" s="10"/>
      <c r="CQY61" s="10"/>
      <c r="CQZ61" s="10"/>
      <c r="CRA61" s="10"/>
      <c r="CRB61" s="10"/>
      <c r="CRC61" s="10"/>
      <c r="CRD61" s="10"/>
      <c r="CRE61" s="10"/>
      <c r="CRF61" s="10"/>
      <c r="CRG61" s="10"/>
      <c r="CRH61" s="10"/>
      <c r="CRI61" s="10"/>
      <c r="CRJ61" s="10"/>
      <c r="CRK61" s="10"/>
      <c r="CRL61" s="10"/>
      <c r="CRM61" s="10"/>
      <c r="CRN61" s="10"/>
      <c r="CRO61" s="10"/>
      <c r="CRP61" s="10"/>
      <c r="CRQ61" s="10"/>
      <c r="CRR61" s="10"/>
      <c r="CRS61" s="10"/>
      <c r="CRT61" s="10"/>
      <c r="CRU61" s="10"/>
      <c r="CRV61" s="10"/>
      <c r="CRW61" s="10"/>
      <c r="CRX61" s="10"/>
      <c r="CRY61" s="10"/>
      <c r="CRZ61" s="10"/>
      <c r="CSA61" s="10"/>
      <c r="CSB61" s="10"/>
      <c r="CSC61" s="10"/>
      <c r="CSD61" s="10"/>
      <c r="CSE61" s="10"/>
      <c r="CSF61" s="10"/>
      <c r="CSG61" s="10"/>
      <c r="CSH61" s="10"/>
      <c r="CSI61" s="10"/>
      <c r="CSJ61" s="10"/>
      <c r="CSK61" s="10"/>
      <c r="CSL61" s="10"/>
      <c r="CSM61" s="10"/>
      <c r="CSN61" s="10"/>
      <c r="CSO61" s="10"/>
      <c r="CSP61" s="10"/>
      <c r="CSQ61" s="10"/>
      <c r="CSR61" s="10"/>
      <c r="CSS61" s="10"/>
      <c r="CST61" s="10"/>
      <c r="CSU61" s="10"/>
      <c r="CSV61" s="10"/>
      <c r="CSW61" s="10"/>
      <c r="CSX61" s="10"/>
      <c r="CSY61" s="10"/>
      <c r="CSZ61" s="10"/>
      <c r="CTA61" s="10"/>
      <c r="CTB61" s="10"/>
      <c r="CTC61" s="10"/>
      <c r="CTD61" s="10"/>
      <c r="CTE61" s="10"/>
      <c r="CTF61" s="10"/>
      <c r="CTG61" s="10"/>
      <c r="CTH61" s="10"/>
      <c r="CTI61" s="10"/>
      <c r="CTJ61" s="10"/>
      <c r="CTK61" s="10"/>
      <c r="CTL61" s="10"/>
      <c r="CTM61" s="10"/>
      <c r="CTN61" s="10"/>
      <c r="CTO61" s="10"/>
      <c r="CTP61" s="10"/>
      <c r="CTQ61" s="10"/>
      <c r="CTR61" s="10"/>
      <c r="CTS61" s="10"/>
      <c r="CTT61" s="10"/>
      <c r="CTU61" s="10"/>
      <c r="CTV61" s="10"/>
      <c r="CTW61" s="10"/>
      <c r="CTX61" s="10"/>
      <c r="CTY61" s="10"/>
      <c r="CTZ61" s="10"/>
      <c r="CUA61" s="10"/>
      <c r="CUB61" s="10"/>
      <c r="CUC61" s="10"/>
      <c r="CUD61" s="10"/>
      <c r="CUE61" s="10"/>
      <c r="CUF61" s="10"/>
      <c r="CUG61" s="10"/>
      <c r="CUH61" s="10"/>
      <c r="CUI61" s="10"/>
      <c r="CUJ61" s="10"/>
      <c r="CUK61" s="10"/>
      <c r="CUL61" s="10"/>
      <c r="CUM61" s="10"/>
      <c r="CUN61" s="10"/>
      <c r="CUO61" s="10"/>
      <c r="CUP61" s="10"/>
      <c r="CUQ61" s="10"/>
      <c r="CUR61" s="10"/>
      <c r="CUS61" s="10"/>
      <c r="CUT61" s="10"/>
      <c r="CUU61" s="10"/>
      <c r="CUV61" s="10"/>
      <c r="CUW61" s="10"/>
      <c r="CUX61" s="10"/>
      <c r="CUY61" s="10"/>
      <c r="CUZ61" s="10"/>
      <c r="CVA61" s="10"/>
      <c r="CVB61" s="10"/>
      <c r="CVC61" s="10"/>
      <c r="CVD61" s="10"/>
      <c r="CVE61" s="10"/>
      <c r="CVF61" s="10"/>
      <c r="CVG61" s="10"/>
      <c r="CVH61" s="10"/>
      <c r="CVI61" s="10"/>
      <c r="CVJ61" s="10"/>
      <c r="CVK61" s="10"/>
      <c r="CVL61" s="10"/>
      <c r="CVM61" s="10"/>
      <c r="CVN61" s="10"/>
      <c r="CVO61" s="10"/>
      <c r="CVP61" s="10"/>
      <c r="CVQ61" s="10"/>
      <c r="CVR61" s="10"/>
      <c r="CVS61" s="10"/>
      <c r="CVT61" s="10"/>
      <c r="CVU61" s="10"/>
      <c r="CVV61" s="10"/>
      <c r="CVW61" s="10"/>
      <c r="CVX61" s="10"/>
      <c r="CVY61" s="10"/>
      <c r="CVZ61" s="10"/>
      <c r="CWA61" s="10"/>
      <c r="CWB61" s="10"/>
      <c r="CWC61" s="10"/>
      <c r="CWD61" s="10"/>
      <c r="CWE61" s="10"/>
      <c r="CWF61" s="10"/>
      <c r="CWG61" s="10"/>
      <c r="CWH61" s="10"/>
      <c r="CWI61" s="10"/>
      <c r="CWJ61" s="10"/>
      <c r="CWK61" s="10"/>
      <c r="CWL61" s="10"/>
      <c r="CWM61" s="10"/>
      <c r="CWN61" s="10"/>
      <c r="CWO61" s="10"/>
      <c r="CWP61" s="10"/>
      <c r="CWQ61" s="10"/>
      <c r="CWR61" s="10"/>
      <c r="CWS61" s="10"/>
      <c r="CWT61" s="10"/>
      <c r="CWU61" s="10"/>
      <c r="CWV61" s="10"/>
      <c r="CWW61" s="10"/>
      <c r="CWX61" s="10"/>
      <c r="CWY61" s="10"/>
      <c r="CWZ61" s="10"/>
      <c r="CXA61" s="10"/>
      <c r="CXB61" s="10"/>
      <c r="CXC61" s="10"/>
      <c r="CXD61" s="10"/>
      <c r="CXE61" s="10"/>
      <c r="CXF61" s="10"/>
      <c r="CXG61" s="10"/>
      <c r="CXH61" s="10"/>
      <c r="CXI61" s="10"/>
      <c r="CXJ61" s="10"/>
      <c r="CXK61" s="10"/>
      <c r="CXL61" s="10"/>
      <c r="CXM61" s="10"/>
      <c r="CXN61" s="10"/>
      <c r="CXO61" s="10"/>
      <c r="CXP61" s="10"/>
      <c r="CXQ61" s="10"/>
      <c r="CXR61" s="10"/>
      <c r="CXS61" s="10"/>
      <c r="CXT61" s="10"/>
      <c r="CXU61" s="10"/>
      <c r="CXV61" s="10"/>
      <c r="CXW61" s="10"/>
      <c r="CXX61" s="10"/>
      <c r="CXY61" s="10"/>
      <c r="CXZ61" s="10"/>
      <c r="CYA61" s="10"/>
      <c r="CYB61" s="10"/>
      <c r="CYC61" s="10"/>
      <c r="CYD61" s="10"/>
      <c r="CYE61" s="10"/>
      <c r="CYF61" s="10"/>
      <c r="CYG61" s="10"/>
      <c r="CYH61" s="10"/>
      <c r="CYI61" s="10"/>
      <c r="CYJ61" s="10"/>
      <c r="CYK61" s="10"/>
      <c r="CYL61" s="10"/>
      <c r="CYM61" s="10"/>
      <c r="CYN61" s="10"/>
      <c r="CYO61" s="10"/>
      <c r="CYP61" s="10"/>
      <c r="CYQ61" s="10"/>
      <c r="CYR61" s="10"/>
      <c r="CYS61" s="10"/>
      <c r="CYT61" s="10"/>
      <c r="CYU61" s="10"/>
      <c r="CYV61" s="10"/>
      <c r="CYW61" s="10"/>
      <c r="CYX61" s="10"/>
      <c r="CYY61" s="10"/>
      <c r="CYZ61" s="10"/>
      <c r="CZA61" s="10"/>
      <c r="CZB61" s="10"/>
      <c r="CZC61" s="10"/>
      <c r="CZD61" s="10"/>
      <c r="CZE61" s="10"/>
      <c r="CZF61" s="10"/>
      <c r="CZG61" s="10"/>
      <c r="CZH61" s="10"/>
      <c r="CZI61" s="10"/>
      <c r="CZJ61" s="10"/>
      <c r="CZK61" s="10"/>
      <c r="CZL61" s="10"/>
      <c r="CZM61" s="10"/>
      <c r="CZN61" s="10"/>
      <c r="CZO61" s="10"/>
      <c r="CZP61" s="10"/>
      <c r="CZQ61" s="10"/>
      <c r="CZR61" s="10"/>
      <c r="CZS61" s="10"/>
      <c r="CZT61" s="10"/>
      <c r="CZU61" s="10"/>
      <c r="CZV61" s="10"/>
      <c r="CZW61" s="10"/>
      <c r="CZX61" s="10"/>
      <c r="CZY61" s="10"/>
      <c r="CZZ61" s="10"/>
      <c r="DAA61" s="10"/>
      <c r="DAB61" s="10"/>
      <c r="DAC61" s="10"/>
      <c r="DAD61" s="10"/>
      <c r="DAE61" s="10"/>
      <c r="DAF61" s="10"/>
      <c r="DAG61" s="10"/>
      <c r="DAH61" s="10"/>
      <c r="DAI61" s="10"/>
      <c r="DAJ61" s="10"/>
      <c r="DAK61" s="10"/>
      <c r="DAL61" s="10"/>
      <c r="DAM61" s="10"/>
      <c r="DAN61" s="10"/>
      <c r="DAO61" s="10"/>
      <c r="DAP61" s="10"/>
      <c r="DAQ61" s="10"/>
      <c r="DAR61" s="10"/>
      <c r="DAS61" s="10"/>
      <c r="DAT61" s="10"/>
      <c r="DAU61" s="10"/>
      <c r="DAV61" s="10"/>
      <c r="DAW61" s="10"/>
      <c r="DAX61" s="10"/>
      <c r="DAY61" s="10"/>
      <c r="DAZ61" s="10"/>
      <c r="DBA61" s="10"/>
      <c r="DBB61" s="10"/>
      <c r="DBC61" s="10"/>
      <c r="DBD61" s="10"/>
      <c r="DBE61" s="10"/>
      <c r="DBF61" s="10"/>
      <c r="DBG61" s="10"/>
      <c r="DBH61" s="10"/>
      <c r="DBI61" s="10"/>
      <c r="DBJ61" s="10"/>
      <c r="DBK61" s="10"/>
      <c r="DBL61" s="10"/>
      <c r="DBM61" s="10"/>
      <c r="DBN61" s="10"/>
      <c r="DBO61" s="10"/>
      <c r="DBP61" s="10"/>
      <c r="DBQ61" s="10"/>
      <c r="DBR61" s="10"/>
      <c r="DBS61" s="10"/>
      <c r="DBT61" s="10"/>
      <c r="DBU61" s="10"/>
      <c r="DBV61" s="10"/>
      <c r="DBW61" s="10"/>
      <c r="DBX61" s="10"/>
      <c r="DBY61" s="10"/>
      <c r="DBZ61" s="10"/>
      <c r="DCA61" s="10"/>
      <c r="DCB61" s="10"/>
      <c r="DCC61" s="10"/>
      <c r="DCD61" s="10"/>
      <c r="DCE61" s="10"/>
      <c r="DCF61" s="10"/>
      <c r="DCG61" s="10"/>
      <c r="DCH61" s="10"/>
      <c r="DCI61" s="10"/>
      <c r="DCJ61" s="10"/>
      <c r="DCK61" s="10"/>
      <c r="DCL61" s="10"/>
      <c r="DCM61" s="10"/>
      <c r="DCN61" s="10"/>
      <c r="DCO61" s="10"/>
      <c r="DCP61" s="10"/>
      <c r="DCQ61" s="10"/>
      <c r="DCR61" s="10"/>
      <c r="DCS61" s="10"/>
      <c r="DCT61" s="10"/>
      <c r="DCU61" s="10"/>
      <c r="DCV61" s="10"/>
      <c r="DCW61" s="10"/>
      <c r="DCX61" s="10"/>
      <c r="DCY61" s="10"/>
      <c r="DCZ61" s="10"/>
      <c r="DDA61" s="10"/>
      <c r="DDB61" s="10"/>
      <c r="DDC61" s="10"/>
      <c r="DDD61" s="10"/>
      <c r="DDE61" s="10"/>
      <c r="DDF61" s="10"/>
      <c r="DDG61" s="10"/>
      <c r="DDH61" s="10"/>
      <c r="DDI61" s="10"/>
      <c r="DDJ61" s="10"/>
      <c r="DDK61" s="10"/>
      <c r="DDL61" s="10"/>
      <c r="DDM61" s="10"/>
      <c r="DDN61" s="10"/>
      <c r="DDO61" s="10"/>
      <c r="DDP61" s="10"/>
      <c r="DDQ61" s="10"/>
      <c r="DDR61" s="10"/>
      <c r="DDS61" s="10"/>
      <c r="DDT61" s="10"/>
      <c r="DDU61" s="10"/>
      <c r="DDV61" s="10"/>
      <c r="DDW61" s="10"/>
      <c r="DDX61" s="10"/>
      <c r="DDY61" s="10"/>
      <c r="DDZ61" s="10"/>
      <c r="DEA61" s="10"/>
      <c r="DEB61" s="10"/>
      <c r="DEC61" s="10"/>
      <c r="DED61" s="10"/>
      <c r="DEE61" s="10"/>
      <c r="DEF61" s="10"/>
      <c r="DEG61" s="10"/>
      <c r="DEH61" s="10"/>
      <c r="DEI61" s="10"/>
      <c r="DEJ61" s="10"/>
      <c r="DEK61" s="10"/>
      <c r="DEL61" s="10"/>
      <c r="DEM61" s="10"/>
      <c r="DEN61" s="10"/>
      <c r="DEO61" s="10"/>
      <c r="DEP61" s="10"/>
      <c r="DEQ61" s="10"/>
      <c r="DER61" s="10"/>
      <c r="DES61" s="10"/>
      <c r="DET61" s="10"/>
      <c r="DEU61" s="10"/>
      <c r="DEV61" s="10"/>
      <c r="DEW61" s="10"/>
      <c r="DEX61" s="10"/>
      <c r="DEY61" s="10"/>
      <c r="DEZ61" s="10"/>
      <c r="DFA61" s="10"/>
      <c r="DFB61" s="10"/>
      <c r="DFC61" s="10"/>
      <c r="DFD61" s="10"/>
      <c r="DFE61" s="10"/>
      <c r="DFF61" s="10"/>
      <c r="DFG61" s="10"/>
      <c r="DFH61" s="10"/>
      <c r="DFI61" s="10"/>
      <c r="DFJ61" s="10"/>
      <c r="DFK61" s="10"/>
      <c r="DFL61" s="10"/>
      <c r="DFM61" s="10"/>
      <c r="DFN61" s="10"/>
      <c r="DFO61" s="10"/>
      <c r="DFP61" s="10"/>
      <c r="DFQ61" s="10"/>
      <c r="DFR61" s="10"/>
      <c r="DFS61" s="10"/>
      <c r="DFT61" s="10"/>
      <c r="DFU61" s="10"/>
      <c r="DFV61" s="10"/>
      <c r="DFW61" s="10"/>
      <c r="DFX61" s="10"/>
      <c r="DFY61" s="10"/>
      <c r="DFZ61" s="10"/>
      <c r="DGA61" s="10"/>
      <c r="DGB61" s="10"/>
      <c r="DGC61" s="10"/>
      <c r="DGD61" s="10"/>
      <c r="DGE61" s="10"/>
      <c r="DGF61" s="10"/>
      <c r="DGG61" s="10"/>
      <c r="DGH61" s="10"/>
      <c r="DGI61" s="10"/>
      <c r="DGJ61" s="10"/>
      <c r="DGK61" s="10"/>
      <c r="DGL61" s="10"/>
      <c r="DGM61" s="10"/>
      <c r="DGN61" s="10"/>
      <c r="DGO61" s="10"/>
      <c r="DGP61" s="10"/>
      <c r="DGQ61" s="10"/>
      <c r="DGR61" s="10"/>
      <c r="DGS61" s="10"/>
      <c r="DGT61" s="10"/>
      <c r="DGU61" s="10"/>
      <c r="DGV61" s="10"/>
      <c r="DGW61" s="10"/>
      <c r="DGX61" s="10"/>
      <c r="DGY61" s="10"/>
      <c r="DGZ61" s="10"/>
      <c r="DHA61" s="10"/>
      <c r="DHB61" s="10"/>
      <c r="DHC61" s="10"/>
      <c r="DHD61" s="10"/>
      <c r="DHE61" s="10"/>
      <c r="DHF61" s="10"/>
      <c r="DHG61" s="10"/>
      <c r="DHH61" s="10"/>
      <c r="DHI61" s="10"/>
      <c r="DHJ61" s="10"/>
      <c r="DHK61" s="10"/>
      <c r="DHL61" s="10"/>
      <c r="DHM61" s="10"/>
      <c r="DHN61" s="10"/>
      <c r="DHO61" s="10"/>
      <c r="DHP61" s="10"/>
      <c r="DHQ61" s="10"/>
      <c r="DHR61" s="10"/>
      <c r="DHS61" s="10"/>
      <c r="DHT61" s="10"/>
      <c r="DHU61" s="10"/>
      <c r="DHV61" s="10"/>
      <c r="DHW61" s="10"/>
      <c r="DHX61" s="10"/>
      <c r="DHY61" s="10"/>
      <c r="DHZ61" s="10"/>
      <c r="DIA61" s="10"/>
      <c r="DIB61" s="10"/>
      <c r="DIC61" s="10"/>
      <c r="DID61" s="10"/>
      <c r="DIE61" s="10"/>
      <c r="DIF61" s="10"/>
      <c r="DIG61" s="10"/>
      <c r="DIH61" s="10"/>
      <c r="DII61" s="10"/>
      <c r="DIJ61" s="10"/>
      <c r="DIK61" s="10"/>
      <c r="DIL61" s="10"/>
      <c r="DIM61" s="10"/>
      <c r="DIN61" s="10"/>
      <c r="DIO61" s="10"/>
      <c r="DIP61" s="10"/>
      <c r="DIQ61" s="10"/>
      <c r="DIR61" s="10"/>
      <c r="DIS61" s="10"/>
      <c r="DIT61" s="10"/>
      <c r="DIU61" s="10"/>
      <c r="DIV61" s="10"/>
      <c r="DIW61" s="10"/>
      <c r="DIX61" s="10"/>
      <c r="DIY61" s="10"/>
      <c r="DIZ61" s="10"/>
      <c r="DJA61" s="10"/>
      <c r="DJB61" s="10"/>
      <c r="DJC61" s="10"/>
      <c r="DJD61" s="10"/>
      <c r="DJE61" s="10"/>
      <c r="DJF61" s="10"/>
      <c r="DJG61" s="10"/>
      <c r="DJH61" s="10"/>
      <c r="DJI61" s="10"/>
      <c r="DJJ61" s="10"/>
      <c r="DJK61" s="10"/>
      <c r="DJL61" s="10"/>
      <c r="DJM61" s="10"/>
      <c r="DJN61" s="10"/>
      <c r="DJO61" s="10"/>
      <c r="DJP61" s="10"/>
      <c r="DJQ61" s="10"/>
      <c r="DJR61" s="10"/>
      <c r="DJS61" s="10"/>
      <c r="DJT61" s="10"/>
      <c r="DJU61" s="10"/>
      <c r="DJV61" s="10"/>
      <c r="DJW61" s="10"/>
      <c r="DJX61" s="10"/>
      <c r="DJY61" s="10"/>
      <c r="DJZ61" s="10"/>
      <c r="DKA61" s="10"/>
      <c r="DKB61" s="10"/>
      <c r="DKC61" s="10"/>
      <c r="DKD61" s="10"/>
      <c r="DKE61" s="10"/>
      <c r="DKF61" s="10"/>
      <c r="DKG61" s="10"/>
      <c r="DKH61" s="10"/>
      <c r="DKI61" s="10"/>
      <c r="DKJ61" s="10"/>
      <c r="DKK61" s="10"/>
      <c r="DKL61" s="10"/>
      <c r="DKM61" s="10"/>
      <c r="DKN61" s="10"/>
      <c r="DKO61" s="10"/>
      <c r="DKP61" s="10"/>
      <c r="DKQ61" s="10"/>
      <c r="DKR61" s="10"/>
      <c r="DKS61" s="10"/>
      <c r="DKT61" s="10"/>
      <c r="DKU61" s="10"/>
      <c r="DKV61" s="10"/>
      <c r="DKW61" s="10"/>
      <c r="DKX61" s="10"/>
      <c r="DKY61" s="10"/>
      <c r="DKZ61" s="10"/>
      <c r="DLA61" s="10"/>
      <c r="DLB61" s="10"/>
      <c r="DLC61" s="10"/>
      <c r="DLD61" s="10"/>
      <c r="DLE61" s="10"/>
      <c r="DLF61" s="10"/>
      <c r="DLG61" s="10"/>
      <c r="DLH61" s="10"/>
      <c r="DLI61" s="10"/>
      <c r="DLJ61" s="10"/>
      <c r="DLK61" s="10"/>
      <c r="DLL61" s="10"/>
      <c r="DLM61" s="10"/>
      <c r="DLN61" s="10"/>
      <c r="DLO61" s="10"/>
      <c r="DLP61" s="10"/>
      <c r="DLQ61" s="10"/>
      <c r="DLR61" s="10"/>
      <c r="DLS61" s="10"/>
      <c r="DLT61" s="10"/>
      <c r="DLU61" s="10"/>
      <c r="DLV61" s="10"/>
      <c r="DLW61" s="10"/>
      <c r="DLX61" s="10"/>
      <c r="DLY61" s="10"/>
      <c r="DLZ61" s="10"/>
      <c r="DMA61" s="10"/>
      <c r="DMB61" s="10"/>
      <c r="DMC61" s="10"/>
      <c r="DMD61" s="10"/>
      <c r="DME61" s="10"/>
      <c r="DMF61" s="10"/>
      <c r="DMG61" s="10"/>
      <c r="DMH61" s="10"/>
      <c r="DMI61" s="10"/>
      <c r="DMJ61" s="10"/>
      <c r="DMK61" s="10"/>
      <c r="DML61" s="10"/>
      <c r="DMM61" s="10"/>
      <c r="DMN61" s="10"/>
      <c r="DMO61" s="10"/>
      <c r="DMP61" s="10"/>
      <c r="DMQ61" s="10"/>
      <c r="DMR61" s="10"/>
      <c r="DMS61" s="10"/>
      <c r="DMT61" s="10"/>
      <c r="DMU61" s="10"/>
      <c r="DMV61" s="10"/>
      <c r="DMW61" s="10"/>
      <c r="DMX61" s="10"/>
      <c r="DMY61" s="10"/>
      <c r="DMZ61" s="10"/>
      <c r="DNA61" s="10"/>
      <c r="DNB61" s="10"/>
      <c r="DNC61" s="10"/>
      <c r="DND61" s="10"/>
      <c r="DNE61" s="10"/>
      <c r="DNF61" s="10"/>
      <c r="DNG61" s="10"/>
      <c r="DNH61" s="10"/>
      <c r="DNI61" s="10"/>
      <c r="DNJ61" s="10"/>
      <c r="DNK61" s="10"/>
      <c r="DNL61" s="10"/>
      <c r="DNM61" s="10"/>
      <c r="DNN61" s="10"/>
      <c r="DNO61" s="10"/>
      <c r="DNP61" s="10"/>
      <c r="DNQ61" s="10"/>
      <c r="DNR61" s="10"/>
      <c r="DNS61" s="10"/>
      <c r="DNT61" s="10"/>
      <c r="DNU61" s="10"/>
      <c r="DNV61" s="10"/>
      <c r="DNW61" s="10"/>
      <c r="DNX61" s="10"/>
      <c r="DNY61" s="10"/>
      <c r="DNZ61" s="10"/>
      <c r="DOA61" s="10"/>
      <c r="DOB61" s="10"/>
      <c r="DOC61" s="10"/>
      <c r="DOD61" s="10"/>
      <c r="DOE61" s="10"/>
      <c r="DOF61" s="10"/>
      <c r="DOG61" s="10"/>
      <c r="DOH61" s="10"/>
      <c r="DOI61" s="10"/>
      <c r="DOJ61" s="10"/>
      <c r="DOK61" s="10"/>
      <c r="DOL61" s="10"/>
      <c r="DOM61" s="10"/>
      <c r="DON61" s="10"/>
      <c r="DOO61" s="10"/>
      <c r="DOP61" s="10"/>
      <c r="DOQ61" s="10"/>
      <c r="DOR61" s="10"/>
      <c r="DOS61" s="10"/>
      <c r="DOT61" s="10"/>
      <c r="DOU61" s="10"/>
      <c r="DOV61" s="10"/>
      <c r="DOW61" s="10"/>
      <c r="DOX61" s="10"/>
      <c r="DOY61" s="10"/>
      <c r="DOZ61" s="10"/>
      <c r="DPA61" s="10"/>
      <c r="DPB61" s="10"/>
      <c r="DPC61" s="10"/>
      <c r="DPD61" s="10"/>
      <c r="DPE61" s="10"/>
      <c r="DPF61" s="10"/>
      <c r="DPG61" s="10"/>
      <c r="DPH61" s="10"/>
      <c r="DPI61" s="10"/>
      <c r="DPJ61" s="10"/>
      <c r="DPK61" s="10"/>
      <c r="DPL61" s="10"/>
      <c r="DPM61" s="10"/>
      <c r="DPN61" s="10"/>
      <c r="DPO61" s="10"/>
      <c r="DPP61" s="10"/>
      <c r="DPQ61" s="10"/>
      <c r="DPR61" s="10"/>
      <c r="DPS61" s="10"/>
      <c r="DPT61" s="10"/>
      <c r="DPU61" s="10"/>
      <c r="DPV61" s="10"/>
      <c r="DPW61" s="10"/>
      <c r="DPX61" s="10"/>
      <c r="DPY61" s="10"/>
      <c r="DPZ61" s="10"/>
      <c r="DQA61" s="10"/>
      <c r="DQB61" s="10"/>
      <c r="DQC61" s="10"/>
      <c r="DQD61" s="10"/>
      <c r="DQE61" s="10"/>
      <c r="DQF61" s="10"/>
      <c r="DQG61" s="10"/>
      <c r="DQH61" s="10"/>
      <c r="DQI61" s="10"/>
      <c r="DQJ61" s="10"/>
      <c r="DQK61" s="10"/>
      <c r="DQL61" s="10"/>
      <c r="DQM61" s="10"/>
      <c r="DQN61" s="10"/>
      <c r="DQO61" s="10"/>
      <c r="DQP61" s="10"/>
      <c r="DQQ61" s="10"/>
      <c r="DQR61" s="10"/>
      <c r="DQS61" s="10"/>
      <c r="DQT61" s="10"/>
      <c r="DQU61" s="10"/>
      <c r="DQV61" s="10"/>
      <c r="DQW61" s="10"/>
      <c r="DQX61" s="10"/>
      <c r="DQY61" s="10"/>
      <c r="DQZ61" s="10"/>
      <c r="DRA61" s="10"/>
      <c r="DRB61" s="10"/>
      <c r="DRC61" s="10"/>
      <c r="DRD61" s="10"/>
      <c r="DRE61" s="10"/>
      <c r="DRF61" s="10"/>
      <c r="DRG61" s="10"/>
      <c r="DRH61" s="10"/>
      <c r="DRI61" s="10"/>
      <c r="DRJ61" s="10"/>
      <c r="DRK61" s="10"/>
      <c r="DRL61" s="10"/>
      <c r="DRM61" s="10"/>
      <c r="DRN61" s="10"/>
      <c r="DRO61" s="10"/>
      <c r="DRP61" s="10"/>
      <c r="DRQ61" s="10"/>
      <c r="DRR61" s="10"/>
      <c r="DRS61" s="10"/>
      <c r="DRT61" s="10"/>
      <c r="DRU61" s="10"/>
      <c r="DRV61" s="10"/>
      <c r="DRW61" s="10"/>
      <c r="DRX61" s="10"/>
      <c r="DRY61" s="10"/>
      <c r="DRZ61" s="10"/>
      <c r="DSA61" s="10"/>
      <c r="DSB61" s="10"/>
      <c r="DSC61" s="10"/>
      <c r="DSD61" s="10"/>
      <c r="DSE61" s="10"/>
      <c r="DSF61" s="10"/>
      <c r="DSG61" s="10"/>
      <c r="DSH61" s="10"/>
      <c r="DSI61" s="10"/>
      <c r="DSJ61" s="10"/>
      <c r="DSK61" s="10"/>
      <c r="DSL61" s="10"/>
      <c r="DSM61" s="10"/>
      <c r="DSN61" s="10"/>
      <c r="DSO61" s="10"/>
      <c r="DSP61" s="10"/>
      <c r="DSQ61" s="10"/>
      <c r="DSR61" s="10"/>
      <c r="DSS61" s="10"/>
      <c r="DST61" s="10"/>
      <c r="DSU61" s="10"/>
      <c r="DSV61" s="10"/>
      <c r="DSW61" s="10"/>
      <c r="DSX61" s="10"/>
      <c r="DSY61" s="10"/>
      <c r="DSZ61" s="10"/>
      <c r="DTA61" s="10"/>
      <c r="DTB61" s="10"/>
      <c r="DTC61" s="10"/>
      <c r="DTD61" s="10"/>
      <c r="DTE61" s="10"/>
      <c r="DTF61" s="10"/>
      <c r="DTG61" s="10"/>
      <c r="DTH61" s="10"/>
      <c r="DTI61" s="10"/>
      <c r="DTJ61" s="10"/>
      <c r="DTK61" s="10"/>
      <c r="DTL61" s="10"/>
      <c r="DTM61" s="10"/>
      <c r="DTN61" s="10"/>
      <c r="DTO61" s="10"/>
      <c r="DTP61" s="10"/>
      <c r="DTQ61" s="10"/>
      <c r="DTR61" s="10"/>
      <c r="DTS61" s="10"/>
      <c r="DTT61" s="10"/>
      <c r="DTU61" s="10"/>
      <c r="DTV61" s="10"/>
      <c r="DTW61" s="10"/>
      <c r="DTX61" s="10"/>
      <c r="DTY61" s="10"/>
      <c r="DTZ61" s="10"/>
      <c r="DUA61" s="10"/>
      <c r="DUB61" s="10"/>
      <c r="DUC61" s="10"/>
      <c r="DUD61" s="10"/>
      <c r="DUE61" s="10"/>
      <c r="DUF61" s="10"/>
      <c r="DUG61" s="10"/>
      <c r="DUH61" s="10"/>
      <c r="DUI61" s="10"/>
      <c r="DUJ61" s="10"/>
      <c r="DUK61" s="10"/>
      <c r="DUL61" s="10"/>
      <c r="DUM61" s="10"/>
      <c r="DUN61" s="10"/>
      <c r="DUO61" s="10"/>
      <c r="DUP61" s="10"/>
      <c r="DUQ61" s="10"/>
      <c r="DUR61" s="10"/>
      <c r="DUS61" s="10"/>
      <c r="DUT61" s="10"/>
      <c r="DUU61" s="10"/>
      <c r="DUV61" s="10"/>
      <c r="DUW61" s="10"/>
      <c r="DUX61" s="10"/>
      <c r="DUY61" s="10"/>
      <c r="DUZ61" s="10"/>
      <c r="DVA61" s="10"/>
      <c r="DVB61" s="10"/>
      <c r="DVC61" s="10"/>
      <c r="DVD61" s="10"/>
      <c r="DVE61" s="10"/>
      <c r="DVF61" s="10"/>
      <c r="DVG61" s="10"/>
      <c r="DVH61" s="10"/>
      <c r="DVI61" s="10"/>
      <c r="DVJ61" s="10"/>
      <c r="DVK61" s="10"/>
      <c r="DVL61" s="10"/>
      <c r="DVM61" s="10"/>
      <c r="DVN61" s="10"/>
      <c r="DVO61" s="10"/>
      <c r="DVP61" s="10"/>
      <c r="DVQ61" s="10"/>
      <c r="DVR61" s="10"/>
      <c r="DVS61" s="10"/>
      <c r="DVT61" s="10"/>
      <c r="DVU61" s="10"/>
      <c r="DVV61" s="10"/>
      <c r="DVW61" s="10"/>
      <c r="DVX61" s="10"/>
      <c r="DVY61" s="10"/>
      <c r="DVZ61" s="10"/>
      <c r="DWA61" s="10"/>
      <c r="DWB61" s="10"/>
      <c r="DWC61" s="10"/>
      <c r="DWD61" s="10"/>
      <c r="DWE61" s="10"/>
      <c r="DWF61" s="10"/>
      <c r="DWG61" s="10"/>
      <c r="DWH61" s="10"/>
      <c r="DWI61" s="10"/>
      <c r="DWJ61" s="10"/>
      <c r="DWK61" s="10"/>
      <c r="DWL61" s="10"/>
      <c r="DWM61" s="10"/>
      <c r="DWN61" s="10"/>
      <c r="DWO61" s="10"/>
      <c r="DWP61" s="10"/>
      <c r="DWQ61" s="10"/>
      <c r="DWR61" s="10"/>
      <c r="DWS61" s="10"/>
      <c r="DWT61" s="10"/>
      <c r="DWU61" s="10"/>
      <c r="DWV61" s="10"/>
      <c r="DWW61" s="10"/>
      <c r="DWX61" s="10"/>
      <c r="DWY61" s="10"/>
      <c r="DWZ61" s="10"/>
      <c r="DXA61" s="10"/>
      <c r="DXB61" s="10"/>
      <c r="DXC61" s="10"/>
      <c r="DXD61" s="10"/>
      <c r="DXE61" s="10"/>
      <c r="DXF61" s="10"/>
      <c r="DXG61" s="10"/>
      <c r="DXH61" s="10"/>
      <c r="DXI61" s="10"/>
      <c r="DXJ61" s="10"/>
      <c r="DXK61" s="10"/>
      <c r="DXL61" s="10"/>
      <c r="DXM61" s="10"/>
      <c r="DXN61" s="10"/>
      <c r="DXO61" s="10"/>
      <c r="DXP61" s="10"/>
      <c r="DXQ61" s="10"/>
      <c r="DXR61" s="10"/>
      <c r="DXS61" s="10"/>
      <c r="DXT61" s="10"/>
      <c r="DXU61" s="10"/>
      <c r="DXV61" s="10"/>
      <c r="DXW61" s="10"/>
      <c r="DXX61" s="10"/>
      <c r="DXY61" s="10"/>
      <c r="DXZ61" s="10"/>
      <c r="DYA61" s="10"/>
      <c r="DYB61" s="10"/>
      <c r="DYC61" s="10"/>
      <c r="DYD61" s="10"/>
      <c r="DYE61" s="10"/>
      <c r="DYF61" s="10"/>
      <c r="DYG61" s="10"/>
      <c r="DYH61" s="10"/>
      <c r="DYI61" s="10"/>
      <c r="DYJ61" s="10"/>
      <c r="DYK61" s="10"/>
      <c r="DYL61" s="10"/>
      <c r="DYM61" s="10"/>
      <c r="DYN61" s="10"/>
      <c r="DYO61" s="10"/>
      <c r="DYP61" s="10"/>
      <c r="DYQ61" s="10"/>
      <c r="DYR61" s="10"/>
      <c r="DYS61" s="10"/>
      <c r="DYT61" s="10"/>
      <c r="DYU61" s="10"/>
      <c r="DYV61" s="10"/>
      <c r="DYW61" s="10"/>
      <c r="DYX61" s="10"/>
      <c r="DYY61" s="10"/>
      <c r="DYZ61" s="10"/>
      <c r="DZA61" s="10"/>
      <c r="DZB61" s="10"/>
      <c r="DZC61" s="10"/>
      <c r="DZD61" s="10"/>
      <c r="DZE61" s="10"/>
      <c r="DZF61" s="10"/>
      <c r="DZG61" s="10"/>
      <c r="DZH61" s="10"/>
      <c r="DZI61" s="10"/>
      <c r="DZJ61" s="10"/>
      <c r="DZK61" s="10"/>
      <c r="DZL61" s="10"/>
      <c r="DZM61" s="10"/>
      <c r="DZN61" s="10"/>
      <c r="DZO61" s="10"/>
      <c r="DZP61" s="10"/>
      <c r="DZQ61" s="10"/>
      <c r="DZR61" s="10"/>
      <c r="DZS61" s="10"/>
      <c r="DZT61" s="10"/>
      <c r="DZU61" s="10"/>
      <c r="DZV61" s="10"/>
      <c r="DZW61" s="10"/>
      <c r="DZX61" s="10"/>
      <c r="DZY61" s="10"/>
      <c r="DZZ61" s="10"/>
      <c r="EAA61" s="10"/>
      <c r="EAB61" s="10"/>
      <c r="EAC61" s="10"/>
      <c r="EAD61" s="10"/>
      <c r="EAE61" s="10"/>
      <c r="EAF61" s="10"/>
      <c r="EAG61" s="10"/>
      <c r="EAH61" s="10"/>
      <c r="EAI61" s="10"/>
      <c r="EAJ61" s="10"/>
      <c r="EAK61" s="10"/>
      <c r="EAL61" s="10"/>
      <c r="EAM61" s="10"/>
      <c r="EAN61" s="10"/>
      <c r="EAO61" s="10"/>
      <c r="EAP61" s="10"/>
      <c r="EAQ61" s="10"/>
      <c r="EAR61" s="10"/>
      <c r="EAS61" s="10"/>
      <c r="EAT61" s="10"/>
      <c r="EAU61" s="10"/>
      <c r="EAV61" s="10"/>
      <c r="EAW61" s="10"/>
      <c r="EAX61" s="10"/>
      <c r="EAY61" s="10"/>
      <c r="EAZ61" s="10"/>
      <c r="EBA61" s="10"/>
      <c r="EBB61" s="10"/>
      <c r="EBC61" s="10"/>
      <c r="EBD61" s="10"/>
      <c r="EBE61" s="10"/>
      <c r="EBF61" s="10"/>
      <c r="EBG61" s="10"/>
      <c r="EBH61" s="10"/>
      <c r="EBI61" s="10"/>
      <c r="EBJ61" s="10"/>
      <c r="EBK61" s="10"/>
      <c r="EBL61" s="10"/>
      <c r="EBM61" s="10"/>
      <c r="EBN61" s="10"/>
      <c r="EBO61" s="10"/>
      <c r="EBP61" s="10"/>
      <c r="EBQ61" s="10"/>
      <c r="EBR61" s="10"/>
      <c r="EBS61" s="10"/>
      <c r="EBT61" s="10"/>
      <c r="EBU61" s="10"/>
      <c r="EBV61" s="10"/>
      <c r="EBW61" s="10"/>
      <c r="EBX61" s="10"/>
      <c r="EBY61" s="10"/>
      <c r="EBZ61" s="10"/>
      <c r="ECA61" s="10"/>
      <c r="ECB61" s="10"/>
      <c r="ECC61" s="10"/>
      <c r="ECD61" s="10"/>
      <c r="ECE61" s="10"/>
      <c r="ECF61" s="10"/>
      <c r="ECG61" s="10"/>
      <c r="ECH61" s="10"/>
      <c r="ECI61" s="10"/>
      <c r="ECJ61" s="10"/>
      <c r="ECK61" s="10"/>
      <c r="ECL61" s="10"/>
      <c r="ECM61" s="10"/>
      <c r="ECN61" s="10"/>
      <c r="ECO61" s="10"/>
      <c r="ECP61" s="10"/>
      <c r="ECQ61" s="10"/>
      <c r="ECR61" s="10"/>
      <c r="ECS61" s="10"/>
      <c r="ECT61" s="10"/>
      <c r="ECU61" s="10"/>
      <c r="ECV61" s="10"/>
      <c r="ECW61" s="10"/>
      <c r="ECX61" s="10"/>
      <c r="ECY61" s="10"/>
      <c r="ECZ61" s="10"/>
      <c r="EDA61" s="10"/>
      <c r="EDB61" s="10"/>
      <c r="EDC61" s="10"/>
      <c r="EDD61" s="10"/>
      <c r="EDE61" s="10"/>
      <c r="EDF61" s="10"/>
      <c r="EDG61" s="10"/>
      <c r="EDH61" s="10"/>
      <c r="EDI61" s="10"/>
      <c r="EDJ61" s="10"/>
      <c r="EDK61" s="10"/>
      <c r="EDL61" s="10"/>
      <c r="EDM61" s="10"/>
      <c r="EDN61" s="10"/>
      <c r="EDO61" s="10"/>
      <c r="EDP61" s="10"/>
      <c r="EDQ61" s="10"/>
      <c r="EDR61" s="10"/>
      <c r="EDS61" s="10"/>
      <c r="EDT61" s="10"/>
      <c r="EDU61" s="10"/>
      <c r="EDV61" s="10"/>
      <c r="EDW61" s="10"/>
      <c r="EDX61" s="10"/>
      <c r="EDY61" s="10"/>
      <c r="EDZ61" s="10"/>
      <c r="EEA61" s="10"/>
      <c r="EEB61" s="10"/>
      <c r="EEC61" s="10"/>
      <c r="EED61" s="10"/>
      <c r="EEE61" s="10"/>
      <c r="EEF61" s="10"/>
      <c r="EEG61" s="10"/>
      <c r="EEH61" s="10"/>
      <c r="EEI61" s="10"/>
      <c r="EEJ61" s="10"/>
      <c r="EEK61" s="10"/>
      <c r="EEL61" s="10"/>
      <c r="EEM61" s="10"/>
      <c r="EEN61" s="10"/>
      <c r="EEO61" s="10"/>
      <c r="EEP61" s="10"/>
      <c r="EEQ61" s="10"/>
      <c r="EER61" s="10"/>
      <c r="EES61" s="10"/>
      <c r="EET61" s="10"/>
      <c r="EEU61" s="10"/>
      <c r="EEV61" s="10"/>
      <c r="EEW61" s="10"/>
      <c r="EEX61" s="10"/>
      <c r="EEY61" s="10"/>
      <c r="EEZ61" s="10"/>
      <c r="EFA61" s="10"/>
      <c r="EFB61" s="10"/>
      <c r="EFC61" s="10"/>
      <c r="EFD61" s="10"/>
      <c r="EFE61" s="10"/>
      <c r="EFF61" s="10"/>
      <c r="EFG61" s="10"/>
      <c r="EFH61" s="10"/>
      <c r="EFI61" s="10"/>
      <c r="EFJ61" s="10"/>
      <c r="EFK61" s="10"/>
      <c r="EFL61" s="10"/>
      <c r="EFM61" s="10"/>
      <c r="EFN61" s="10"/>
      <c r="EFO61" s="10"/>
      <c r="EFP61" s="10"/>
      <c r="EFQ61" s="10"/>
      <c r="EFR61" s="10"/>
      <c r="EFS61" s="10"/>
      <c r="EFT61" s="10"/>
      <c r="EFU61" s="10"/>
      <c r="EFV61" s="10"/>
      <c r="EFW61" s="10"/>
      <c r="EFX61" s="10"/>
      <c r="EFY61" s="10"/>
      <c r="EFZ61" s="10"/>
      <c r="EGA61" s="10"/>
      <c r="EGB61" s="10"/>
      <c r="EGC61" s="10"/>
      <c r="EGD61" s="10"/>
      <c r="EGE61" s="10"/>
      <c r="EGF61" s="10"/>
      <c r="EGG61" s="10"/>
      <c r="EGH61" s="10"/>
      <c r="EGI61" s="10"/>
      <c r="EGJ61" s="10"/>
      <c r="EGK61" s="10"/>
      <c r="EGL61" s="10"/>
      <c r="EGM61" s="10"/>
      <c r="EGN61" s="10"/>
      <c r="EGO61" s="10"/>
      <c r="EGP61" s="10"/>
      <c r="EGQ61" s="10"/>
      <c r="EGR61" s="10"/>
      <c r="EGS61" s="10"/>
      <c r="EGT61" s="10"/>
      <c r="EGU61" s="10"/>
      <c r="EGV61" s="10"/>
      <c r="EGW61" s="10"/>
      <c r="EGX61" s="10"/>
      <c r="EGY61" s="10"/>
      <c r="EGZ61" s="10"/>
      <c r="EHA61" s="10"/>
      <c r="EHB61" s="10"/>
      <c r="EHC61" s="10"/>
      <c r="EHD61" s="10"/>
      <c r="EHE61" s="10"/>
      <c r="EHF61" s="10"/>
      <c r="EHG61" s="10"/>
      <c r="EHH61" s="10"/>
      <c r="EHI61" s="10"/>
      <c r="EHJ61" s="10"/>
      <c r="EHK61" s="10"/>
      <c r="EHL61" s="10"/>
      <c r="EHM61" s="10"/>
      <c r="EHN61" s="10"/>
      <c r="EHO61" s="10"/>
      <c r="EHP61" s="10"/>
      <c r="EHQ61" s="10"/>
      <c r="EHR61" s="10"/>
      <c r="EHS61" s="10"/>
      <c r="EHT61" s="10"/>
      <c r="EHU61" s="10"/>
      <c r="EHV61" s="10"/>
      <c r="EHW61" s="10"/>
      <c r="EHX61" s="10"/>
      <c r="EHY61" s="10"/>
      <c r="EHZ61" s="10"/>
      <c r="EIA61" s="10"/>
      <c r="EIB61" s="10"/>
      <c r="EIC61" s="10"/>
      <c r="EID61" s="10"/>
      <c r="EIE61" s="10"/>
      <c r="EIF61" s="10"/>
      <c r="EIG61" s="10"/>
      <c r="EIH61" s="10"/>
      <c r="EII61" s="10"/>
      <c r="EIJ61" s="10"/>
      <c r="EIK61" s="10"/>
      <c r="EIL61" s="10"/>
      <c r="EIM61" s="10"/>
      <c r="EIN61" s="10"/>
      <c r="EIO61" s="10"/>
      <c r="EIP61" s="10"/>
      <c r="EIQ61" s="10"/>
      <c r="EIR61" s="10"/>
      <c r="EIS61" s="10"/>
      <c r="EIT61" s="10"/>
      <c r="EIU61" s="10"/>
      <c r="EIV61" s="10"/>
      <c r="EIW61" s="10"/>
      <c r="EIX61" s="10"/>
      <c r="EIY61" s="10"/>
      <c r="EIZ61" s="10"/>
      <c r="EJA61" s="10"/>
      <c r="EJB61" s="10"/>
      <c r="EJC61" s="10"/>
      <c r="EJD61" s="10"/>
      <c r="EJE61" s="10"/>
      <c r="EJF61" s="10"/>
      <c r="EJG61" s="10"/>
      <c r="EJH61" s="10"/>
      <c r="EJI61" s="10"/>
      <c r="EJJ61" s="10"/>
      <c r="EJK61" s="10"/>
      <c r="EJL61" s="10"/>
      <c r="EJM61" s="10"/>
      <c r="EJN61" s="10"/>
      <c r="EJO61" s="10"/>
      <c r="EJP61" s="10"/>
      <c r="EJQ61" s="10"/>
      <c r="EJR61" s="10"/>
      <c r="EJS61" s="10"/>
      <c r="EJT61" s="10"/>
      <c r="EJU61" s="10"/>
      <c r="EJV61" s="10"/>
      <c r="EJW61" s="10"/>
      <c r="EJX61" s="10"/>
      <c r="EJY61" s="10"/>
      <c r="EJZ61" s="10"/>
      <c r="EKA61" s="10"/>
      <c r="EKB61" s="10"/>
      <c r="EKC61" s="10"/>
      <c r="EKD61" s="10"/>
      <c r="EKE61" s="10"/>
      <c r="EKF61" s="10"/>
      <c r="EKG61" s="10"/>
      <c r="EKH61" s="10"/>
      <c r="EKI61" s="10"/>
      <c r="EKJ61" s="10"/>
      <c r="EKK61" s="10"/>
      <c r="EKL61" s="10"/>
      <c r="EKM61" s="10"/>
      <c r="EKN61" s="10"/>
      <c r="EKO61" s="10"/>
      <c r="EKP61" s="10"/>
      <c r="EKQ61" s="10"/>
      <c r="EKR61" s="10"/>
      <c r="EKS61" s="10"/>
      <c r="EKT61" s="10"/>
      <c r="EKU61" s="10"/>
      <c r="EKV61" s="10"/>
      <c r="EKW61" s="10"/>
      <c r="EKX61" s="10"/>
      <c r="EKY61" s="10"/>
      <c r="EKZ61" s="10"/>
      <c r="ELA61" s="10"/>
      <c r="ELB61" s="10"/>
      <c r="ELC61" s="10"/>
      <c r="ELD61" s="10"/>
      <c r="ELE61" s="10"/>
      <c r="ELF61" s="10"/>
      <c r="ELG61" s="10"/>
      <c r="ELH61" s="10"/>
      <c r="ELI61" s="10"/>
      <c r="ELJ61" s="10"/>
      <c r="ELK61" s="10"/>
      <c r="ELL61" s="10"/>
      <c r="ELM61" s="10"/>
      <c r="ELN61" s="10"/>
      <c r="ELO61" s="10"/>
      <c r="ELP61" s="10"/>
      <c r="ELQ61" s="10"/>
      <c r="ELR61" s="10"/>
      <c r="ELS61" s="10"/>
      <c r="ELT61" s="10"/>
      <c r="ELU61" s="10"/>
      <c r="ELV61" s="10"/>
      <c r="ELW61" s="10"/>
      <c r="ELX61" s="10"/>
      <c r="ELY61" s="10"/>
      <c r="ELZ61" s="10"/>
      <c r="EMA61" s="10"/>
      <c r="EMB61" s="10"/>
      <c r="EMC61" s="10"/>
      <c r="EMD61" s="10"/>
      <c r="EME61" s="10"/>
      <c r="EMF61" s="10"/>
      <c r="EMG61" s="10"/>
      <c r="EMH61" s="10"/>
      <c r="EMI61" s="10"/>
      <c r="EMJ61" s="10"/>
      <c r="EMK61" s="10"/>
      <c r="EML61" s="10"/>
      <c r="EMM61" s="10"/>
      <c r="EMN61" s="10"/>
      <c r="EMO61" s="10"/>
      <c r="EMP61" s="10"/>
      <c r="EMQ61" s="10"/>
      <c r="EMR61" s="10"/>
      <c r="EMS61" s="10"/>
      <c r="EMT61" s="10"/>
      <c r="EMU61" s="10"/>
      <c r="EMV61" s="10"/>
      <c r="EMW61" s="10"/>
      <c r="EMX61" s="10"/>
      <c r="EMY61" s="10"/>
      <c r="EMZ61" s="10"/>
      <c r="ENA61" s="10"/>
      <c r="ENB61" s="10"/>
      <c r="ENC61" s="10"/>
      <c r="END61" s="10"/>
      <c r="ENE61" s="10"/>
      <c r="ENF61" s="10"/>
      <c r="ENG61" s="10"/>
      <c r="ENH61" s="10"/>
      <c r="ENI61" s="10"/>
      <c r="ENJ61" s="10"/>
      <c r="ENK61" s="10"/>
      <c r="ENL61" s="10"/>
      <c r="ENM61" s="10"/>
      <c r="ENN61" s="10"/>
      <c r="ENO61" s="10"/>
      <c r="ENP61" s="10"/>
      <c r="ENQ61" s="10"/>
      <c r="ENR61" s="10"/>
      <c r="ENS61" s="10"/>
      <c r="ENT61" s="10"/>
      <c r="ENU61" s="10"/>
      <c r="ENV61" s="10"/>
      <c r="ENW61" s="10"/>
      <c r="ENX61" s="10"/>
      <c r="ENY61" s="10"/>
      <c r="ENZ61" s="10"/>
      <c r="EOA61" s="10"/>
      <c r="EOB61" s="10"/>
      <c r="EOC61" s="10"/>
      <c r="EOD61" s="10"/>
      <c r="EOE61" s="10"/>
      <c r="EOF61" s="10"/>
      <c r="EOG61" s="10"/>
      <c r="EOH61" s="10"/>
      <c r="EOI61" s="10"/>
      <c r="EOJ61" s="10"/>
      <c r="EOK61" s="10"/>
      <c r="EOL61" s="10"/>
      <c r="EOM61" s="10"/>
      <c r="EON61" s="10"/>
      <c r="EOO61" s="10"/>
      <c r="EOP61" s="10"/>
      <c r="EOQ61" s="10"/>
      <c r="EOR61" s="10"/>
      <c r="EOS61" s="10"/>
      <c r="EOT61" s="10"/>
      <c r="EOU61" s="10"/>
      <c r="EOV61" s="10"/>
      <c r="EOW61" s="10"/>
      <c r="EOX61" s="10"/>
      <c r="EOY61" s="10"/>
      <c r="EOZ61" s="10"/>
      <c r="EPA61" s="10"/>
      <c r="EPB61" s="10"/>
      <c r="EPC61" s="10"/>
      <c r="EPD61" s="10"/>
      <c r="EPE61" s="10"/>
      <c r="EPF61" s="10"/>
      <c r="EPG61" s="10"/>
      <c r="EPH61" s="10"/>
      <c r="EPI61" s="10"/>
      <c r="EPJ61" s="10"/>
      <c r="EPK61" s="10"/>
      <c r="EPL61" s="10"/>
      <c r="EPM61" s="10"/>
      <c r="EPN61" s="10"/>
      <c r="EPO61" s="10"/>
      <c r="EPP61" s="10"/>
      <c r="EPQ61" s="10"/>
      <c r="EPR61" s="10"/>
      <c r="EPS61" s="10"/>
      <c r="EPT61" s="10"/>
      <c r="EPU61" s="10"/>
      <c r="EPV61" s="10"/>
      <c r="EPW61" s="10"/>
      <c r="EPX61" s="10"/>
      <c r="EPY61" s="10"/>
      <c r="EPZ61" s="10"/>
      <c r="EQA61" s="10"/>
      <c r="EQB61" s="10"/>
      <c r="EQC61" s="10"/>
      <c r="EQD61" s="10"/>
      <c r="EQE61" s="10"/>
      <c r="EQF61" s="10"/>
      <c r="EQG61" s="10"/>
      <c r="EQH61" s="10"/>
      <c r="EQI61" s="10"/>
      <c r="EQJ61" s="10"/>
      <c r="EQK61" s="10"/>
      <c r="EQL61" s="10"/>
      <c r="EQM61" s="10"/>
      <c r="EQN61" s="10"/>
      <c r="EQO61" s="10"/>
      <c r="EQP61" s="10"/>
      <c r="EQQ61" s="10"/>
      <c r="EQR61" s="10"/>
      <c r="EQS61" s="10"/>
      <c r="EQT61" s="10"/>
      <c r="EQU61" s="10"/>
      <c r="EQV61" s="10"/>
      <c r="EQW61" s="10"/>
      <c r="EQX61" s="10"/>
      <c r="EQY61" s="10"/>
      <c r="EQZ61" s="10"/>
      <c r="ERA61" s="10"/>
      <c r="ERB61" s="10"/>
      <c r="ERC61" s="10"/>
      <c r="ERD61" s="10"/>
      <c r="ERE61" s="10"/>
      <c r="ERF61" s="10"/>
      <c r="ERG61" s="10"/>
      <c r="ERH61" s="10"/>
      <c r="ERI61" s="10"/>
      <c r="ERJ61" s="10"/>
      <c r="ERK61" s="10"/>
      <c r="ERL61" s="10"/>
      <c r="ERM61" s="10"/>
      <c r="ERN61" s="10"/>
      <c r="ERO61" s="10"/>
      <c r="ERP61" s="10"/>
      <c r="ERQ61" s="10"/>
      <c r="ERR61" s="10"/>
      <c r="ERS61" s="10"/>
      <c r="ERT61" s="10"/>
      <c r="ERU61" s="10"/>
      <c r="ERV61" s="10"/>
      <c r="ERW61" s="10"/>
      <c r="ERX61" s="10"/>
      <c r="ERY61" s="10"/>
      <c r="ERZ61" s="10"/>
      <c r="ESA61" s="10"/>
      <c r="ESB61" s="10"/>
      <c r="ESC61" s="10"/>
      <c r="ESD61" s="10"/>
      <c r="ESE61" s="10"/>
      <c r="ESF61" s="10"/>
      <c r="ESG61" s="10"/>
      <c r="ESH61" s="10"/>
      <c r="ESI61" s="10"/>
      <c r="ESJ61" s="10"/>
      <c r="ESK61" s="10"/>
      <c r="ESL61" s="10"/>
      <c r="ESM61" s="10"/>
      <c r="ESN61" s="10"/>
      <c r="ESO61" s="10"/>
      <c r="ESP61" s="10"/>
      <c r="ESQ61" s="10"/>
      <c r="ESR61" s="10"/>
      <c r="ESS61" s="10"/>
      <c r="EST61" s="10"/>
      <c r="ESU61" s="10"/>
      <c r="ESV61" s="10"/>
      <c r="ESW61" s="10"/>
      <c r="ESX61" s="10"/>
      <c r="ESY61" s="10"/>
      <c r="ESZ61" s="10"/>
      <c r="ETA61" s="10"/>
      <c r="ETB61" s="10"/>
      <c r="ETC61" s="10"/>
      <c r="ETD61" s="10"/>
      <c r="ETE61" s="10"/>
      <c r="ETF61" s="10"/>
      <c r="ETG61" s="10"/>
      <c r="ETH61" s="10"/>
      <c r="ETI61" s="10"/>
      <c r="ETJ61" s="10"/>
      <c r="ETK61" s="10"/>
      <c r="ETL61" s="10"/>
      <c r="ETM61" s="10"/>
      <c r="ETN61" s="10"/>
      <c r="ETO61" s="10"/>
      <c r="ETP61" s="10"/>
      <c r="ETQ61" s="10"/>
      <c r="ETR61" s="10"/>
      <c r="ETS61" s="10"/>
      <c r="ETT61" s="10"/>
      <c r="ETU61" s="10"/>
      <c r="ETV61" s="10"/>
      <c r="ETW61" s="10"/>
      <c r="ETX61" s="10"/>
      <c r="ETY61" s="10"/>
      <c r="ETZ61" s="10"/>
      <c r="EUA61" s="10"/>
      <c r="EUB61" s="10"/>
      <c r="EUC61" s="10"/>
      <c r="EUD61" s="10"/>
      <c r="EUE61" s="10"/>
      <c r="EUF61" s="10"/>
      <c r="EUG61" s="10"/>
      <c r="EUH61" s="10"/>
      <c r="EUI61" s="10"/>
      <c r="EUJ61" s="10"/>
      <c r="EUK61" s="10"/>
      <c r="EUL61" s="10"/>
      <c r="EUM61" s="10"/>
      <c r="EUN61" s="10"/>
      <c r="EUO61" s="10"/>
      <c r="EUP61" s="10"/>
      <c r="EUQ61" s="10"/>
      <c r="EUR61" s="10"/>
      <c r="EUS61" s="10"/>
      <c r="EUT61" s="10"/>
      <c r="EUU61" s="10"/>
      <c r="EUV61" s="10"/>
      <c r="EUW61" s="10"/>
      <c r="EUX61" s="10"/>
      <c r="EUY61" s="10"/>
      <c r="EUZ61" s="10"/>
      <c r="EVA61" s="10"/>
      <c r="EVB61" s="10"/>
      <c r="EVC61" s="10"/>
      <c r="EVD61" s="10"/>
      <c r="EVE61" s="10"/>
      <c r="EVF61" s="10"/>
      <c r="EVG61" s="10"/>
      <c r="EVH61" s="10"/>
      <c r="EVI61" s="10"/>
      <c r="EVJ61" s="10"/>
      <c r="EVK61" s="10"/>
      <c r="EVL61" s="10"/>
      <c r="EVM61" s="10"/>
      <c r="EVN61" s="10"/>
      <c r="EVO61" s="10"/>
      <c r="EVP61" s="10"/>
      <c r="EVQ61" s="10"/>
      <c r="EVR61" s="10"/>
      <c r="EVS61" s="10"/>
      <c r="EVT61" s="10"/>
      <c r="EVU61" s="10"/>
      <c r="EVV61" s="10"/>
      <c r="EVW61" s="10"/>
      <c r="EVX61" s="10"/>
      <c r="EVY61" s="10"/>
      <c r="EVZ61" s="10"/>
      <c r="EWA61" s="10"/>
      <c r="EWB61" s="10"/>
      <c r="EWC61" s="10"/>
      <c r="EWD61" s="10"/>
      <c r="EWE61" s="10"/>
      <c r="EWF61" s="10"/>
      <c r="EWG61" s="10"/>
      <c r="EWH61" s="10"/>
      <c r="EWI61" s="10"/>
      <c r="EWJ61" s="10"/>
      <c r="EWK61" s="10"/>
      <c r="EWL61" s="10"/>
      <c r="EWM61" s="10"/>
      <c r="EWN61" s="10"/>
      <c r="EWO61" s="10"/>
      <c r="EWP61" s="10"/>
      <c r="EWQ61" s="10"/>
      <c r="EWR61" s="10"/>
      <c r="EWS61" s="10"/>
      <c r="EWT61" s="10"/>
      <c r="EWU61" s="10"/>
      <c r="EWV61" s="10"/>
      <c r="EWW61" s="10"/>
      <c r="EWX61" s="10"/>
      <c r="EWY61" s="10"/>
      <c r="EWZ61" s="10"/>
      <c r="EXA61" s="10"/>
      <c r="EXB61" s="10"/>
      <c r="EXC61" s="10"/>
      <c r="EXD61" s="10"/>
      <c r="EXE61" s="10"/>
      <c r="EXF61" s="10"/>
      <c r="EXG61" s="10"/>
      <c r="EXH61" s="10"/>
      <c r="EXI61" s="10"/>
      <c r="EXJ61" s="10"/>
      <c r="EXK61" s="10"/>
      <c r="EXL61" s="10"/>
      <c r="EXM61" s="10"/>
      <c r="EXN61" s="10"/>
      <c r="EXO61" s="10"/>
      <c r="EXP61" s="10"/>
      <c r="EXQ61" s="10"/>
      <c r="EXR61" s="10"/>
      <c r="EXS61" s="10"/>
      <c r="EXT61" s="10"/>
      <c r="EXU61" s="10"/>
      <c r="EXV61" s="10"/>
      <c r="EXW61" s="10"/>
      <c r="EXX61" s="10"/>
      <c r="EXY61" s="10"/>
      <c r="EXZ61" s="10"/>
      <c r="EYA61" s="10"/>
      <c r="EYB61" s="10"/>
      <c r="EYC61" s="10"/>
      <c r="EYD61" s="10"/>
      <c r="EYE61" s="10"/>
      <c r="EYF61" s="10"/>
      <c r="EYG61" s="10"/>
      <c r="EYH61" s="10"/>
      <c r="EYI61" s="10"/>
      <c r="EYJ61" s="10"/>
      <c r="EYK61" s="10"/>
      <c r="EYL61" s="10"/>
      <c r="EYM61" s="10"/>
      <c r="EYN61" s="10"/>
      <c r="EYO61" s="10"/>
      <c r="EYP61" s="10"/>
      <c r="EYQ61" s="10"/>
      <c r="EYR61" s="10"/>
      <c r="EYS61" s="10"/>
      <c r="EYT61" s="10"/>
      <c r="EYU61" s="10"/>
      <c r="EYV61" s="10"/>
      <c r="EYW61" s="10"/>
      <c r="EYX61" s="10"/>
      <c r="EYY61" s="10"/>
      <c r="EYZ61" s="10"/>
      <c r="EZA61" s="10"/>
      <c r="EZB61" s="10"/>
      <c r="EZC61" s="10"/>
      <c r="EZD61" s="10"/>
      <c r="EZE61" s="10"/>
      <c r="EZF61" s="10"/>
      <c r="EZG61" s="10"/>
      <c r="EZH61" s="10"/>
      <c r="EZI61" s="10"/>
      <c r="EZJ61" s="10"/>
      <c r="EZK61" s="10"/>
      <c r="EZL61" s="10"/>
      <c r="EZM61" s="10"/>
      <c r="EZN61" s="10"/>
      <c r="EZO61" s="10"/>
      <c r="EZP61" s="10"/>
      <c r="EZQ61" s="10"/>
      <c r="EZR61" s="10"/>
      <c r="EZS61" s="10"/>
      <c r="EZT61" s="10"/>
      <c r="EZU61" s="10"/>
      <c r="EZV61" s="10"/>
      <c r="EZW61" s="10"/>
      <c r="EZX61" s="10"/>
      <c r="EZY61" s="10"/>
      <c r="EZZ61" s="10"/>
      <c r="FAA61" s="10"/>
      <c r="FAB61" s="10"/>
      <c r="FAC61" s="10"/>
      <c r="FAD61" s="10"/>
      <c r="FAE61" s="10"/>
      <c r="FAF61" s="10"/>
      <c r="FAG61" s="10"/>
      <c r="FAH61" s="10"/>
      <c r="FAI61" s="10"/>
      <c r="FAJ61" s="10"/>
      <c r="FAK61" s="10"/>
      <c r="FAL61" s="10"/>
      <c r="FAM61" s="10"/>
      <c r="FAN61" s="10"/>
      <c r="FAO61" s="10"/>
      <c r="FAP61" s="10"/>
      <c r="FAQ61" s="10"/>
      <c r="FAR61" s="10"/>
      <c r="FAS61" s="10"/>
      <c r="FAT61" s="10"/>
      <c r="FAU61" s="10"/>
      <c r="FAV61" s="10"/>
      <c r="FAW61" s="10"/>
      <c r="FAX61" s="10"/>
      <c r="FAY61" s="10"/>
      <c r="FAZ61" s="10"/>
      <c r="FBA61" s="10"/>
      <c r="FBB61" s="10"/>
      <c r="FBC61" s="10"/>
      <c r="FBD61" s="10"/>
      <c r="FBE61" s="10"/>
      <c r="FBF61" s="10"/>
      <c r="FBG61" s="10"/>
      <c r="FBH61" s="10"/>
      <c r="FBI61" s="10"/>
      <c r="FBJ61" s="10"/>
      <c r="FBK61" s="10"/>
      <c r="FBL61" s="10"/>
      <c r="FBM61" s="10"/>
      <c r="FBN61" s="10"/>
      <c r="FBO61" s="10"/>
      <c r="FBP61" s="10"/>
      <c r="FBQ61" s="10"/>
      <c r="FBR61" s="10"/>
      <c r="FBS61" s="10"/>
      <c r="FBT61" s="10"/>
      <c r="FBU61" s="10"/>
      <c r="FBV61" s="10"/>
      <c r="FBW61" s="10"/>
      <c r="FBX61" s="10"/>
      <c r="FBY61" s="10"/>
      <c r="FBZ61" s="10"/>
      <c r="FCA61" s="10"/>
      <c r="FCB61" s="10"/>
      <c r="FCC61" s="10"/>
      <c r="FCD61" s="10"/>
      <c r="FCE61" s="10"/>
      <c r="FCF61" s="10"/>
      <c r="FCG61" s="10"/>
      <c r="FCH61" s="10"/>
      <c r="FCI61" s="10"/>
      <c r="FCJ61" s="10"/>
      <c r="FCK61" s="10"/>
      <c r="FCL61" s="10"/>
      <c r="FCM61" s="10"/>
      <c r="FCN61" s="10"/>
      <c r="FCO61" s="10"/>
      <c r="FCP61" s="10"/>
      <c r="FCQ61" s="10"/>
      <c r="FCR61" s="10"/>
      <c r="FCS61" s="10"/>
      <c r="FCT61" s="10"/>
      <c r="FCU61" s="10"/>
      <c r="FCV61" s="10"/>
      <c r="FCW61" s="10"/>
      <c r="FCX61" s="10"/>
      <c r="FCY61" s="10"/>
      <c r="FCZ61" s="10"/>
      <c r="FDA61" s="10"/>
      <c r="FDB61" s="10"/>
      <c r="FDC61" s="10"/>
      <c r="FDD61" s="10"/>
      <c r="FDE61" s="10"/>
      <c r="FDF61" s="10"/>
      <c r="FDG61" s="10"/>
      <c r="FDH61" s="10"/>
      <c r="FDI61" s="10"/>
      <c r="FDJ61" s="10"/>
      <c r="FDK61" s="10"/>
      <c r="FDL61" s="10"/>
      <c r="FDM61" s="10"/>
      <c r="FDN61" s="10"/>
      <c r="FDO61" s="10"/>
      <c r="FDP61" s="10"/>
      <c r="FDQ61" s="10"/>
      <c r="FDR61" s="10"/>
      <c r="FDS61" s="10"/>
      <c r="FDT61" s="10"/>
      <c r="FDU61" s="10"/>
      <c r="FDV61" s="10"/>
      <c r="FDW61" s="10"/>
      <c r="FDX61" s="10"/>
      <c r="FDY61" s="10"/>
      <c r="FDZ61" s="10"/>
      <c r="FEA61" s="10"/>
      <c r="FEB61" s="10"/>
      <c r="FEC61" s="10"/>
      <c r="FED61" s="10"/>
      <c r="FEE61" s="10"/>
      <c r="FEF61" s="10"/>
      <c r="FEG61" s="10"/>
      <c r="FEH61" s="10"/>
      <c r="FEI61" s="10"/>
      <c r="FEJ61" s="10"/>
      <c r="FEK61" s="10"/>
      <c r="FEL61" s="10"/>
      <c r="FEM61" s="10"/>
      <c r="FEN61" s="10"/>
      <c r="FEO61" s="10"/>
      <c r="FEP61" s="10"/>
      <c r="FEQ61" s="10"/>
      <c r="FER61" s="10"/>
      <c r="FES61" s="10"/>
      <c r="FET61" s="10"/>
      <c r="FEU61" s="10"/>
      <c r="FEV61" s="10"/>
      <c r="FEW61" s="10"/>
      <c r="FEX61" s="10"/>
      <c r="FEY61" s="10"/>
      <c r="FEZ61" s="10"/>
      <c r="FFA61" s="10"/>
      <c r="FFB61" s="10"/>
      <c r="FFC61" s="10"/>
      <c r="FFD61" s="10"/>
      <c r="FFE61" s="10"/>
      <c r="FFF61" s="10"/>
      <c r="FFG61" s="10"/>
      <c r="FFH61" s="10"/>
      <c r="FFI61" s="10"/>
      <c r="FFJ61" s="10"/>
      <c r="FFK61" s="10"/>
      <c r="FFL61" s="10"/>
      <c r="FFM61" s="10"/>
      <c r="FFN61" s="10"/>
      <c r="FFO61" s="10"/>
      <c r="FFP61" s="10"/>
      <c r="FFQ61" s="10"/>
      <c r="FFR61" s="10"/>
      <c r="FFS61" s="10"/>
      <c r="FFT61" s="10"/>
      <c r="FFU61" s="10"/>
      <c r="FFV61" s="10"/>
      <c r="FFW61" s="10"/>
      <c r="FFX61" s="10"/>
      <c r="FFY61" s="10"/>
      <c r="FFZ61" s="10"/>
      <c r="FGA61" s="10"/>
      <c r="FGB61" s="10"/>
      <c r="FGC61" s="10"/>
      <c r="FGD61" s="10"/>
      <c r="FGE61" s="10"/>
      <c r="FGF61" s="10"/>
      <c r="FGG61" s="10"/>
      <c r="FGH61" s="10"/>
      <c r="FGI61" s="10"/>
      <c r="FGJ61" s="10"/>
      <c r="FGK61" s="10"/>
      <c r="FGL61" s="10"/>
      <c r="FGM61" s="10"/>
      <c r="FGN61" s="10"/>
      <c r="FGO61" s="10"/>
      <c r="FGP61" s="10"/>
      <c r="FGQ61" s="10"/>
      <c r="FGR61" s="10"/>
      <c r="FGS61" s="10"/>
      <c r="FGT61" s="10"/>
      <c r="FGU61" s="10"/>
      <c r="FGV61" s="10"/>
      <c r="FGW61" s="10"/>
      <c r="FGX61" s="10"/>
      <c r="FGY61" s="10"/>
      <c r="FGZ61" s="10"/>
      <c r="FHA61" s="10"/>
      <c r="FHB61" s="10"/>
      <c r="FHC61" s="10"/>
      <c r="FHD61" s="10"/>
      <c r="FHE61" s="10"/>
      <c r="FHF61" s="10"/>
      <c r="FHG61" s="10"/>
      <c r="FHH61" s="10"/>
      <c r="FHI61" s="10"/>
      <c r="FHJ61" s="10"/>
      <c r="FHK61" s="10"/>
      <c r="FHL61" s="10"/>
      <c r="FHM61" s="10"/>
      <c r="FHN61" s="10"/>
      <c r="FHO61" s="10"/>
      <c r="FHP61" s="10"/>
      <c r="FHQ61" s="10"/>
      <c r="FHR61" s="10"/>
      <c r="FHS61" s="10"/>
      <c r="FHT61" s="10"/>
      <c r="FHU61" s="10"/>
      <c r="FHV61" s="10"/>
      <c r="FHW61" s="10"/>
      <c r="FHX61" s="10"/>
      <c r="FHY61" s="10"/>
      <c r="FHZ61" s="10"/>
      <c r="FIA61" s="10"/>
      <c r="FIB61" s="10"/>
      <c r="FIC61" s="10"/>
      <c r="FID61" s="10"/>
      <c r="FIE61" s="10"/>
      <c r="FIF61" s="10"/>
      <c r="FIG61" s="10"/>
      <c r="FIH61" s="10"/>
      <c r="FII61" s="10"/>
      <c r="FIJ61" s="10"/>
      <c r="FIK61" s="10"/>
      <c r="FIL61" s="10"/>
      <c r="FIM61" s="10"/>
      <c r="FIN61" s="10"/>
      <c r="FIO61" s="10"/>
      <c r="FIP61" s="10"/>
      <c r="FIQ61" s="10"/>
      <c r="FIR61" s="10"/>
      <c r="FIS61" s="10"/>
      <c r="FIT61" s="10"/>
      <c r="FIU61" s="10"/>
      <c r="FIV61" s="10"/>
      <c r="FIW61" s="10"/>
      <c r="FIX61" s="10"/>
      <c r="FIY61" s="10"/>
      <c r="FIZ61" s="10"/>
      <c r="FJA61" s="10"/>
      <c r="FJB61" s="10"/>
      <c r="FJC61" s="10"/>
      <c r="FJD61" s="10"/>
      <c r="FJE61" s="10"/>
      <c r="FJF61" s="10"/>
      <c r="FJG61" s="10"/>
      <c r="FJH61" s="10"/>
      <c r="FJI61" s="10"/>
      <c r="FJJ61" s="10"/>
      <c r="FJK61" s="10"/>
      <c r="FJL61" s="10"/>
      <c r="FJM61" s="10"/>
      <c r="FJN61" s="10"/>
      <c r="FJO61" s="10"/>
      <c r="FJP61" s="10"/>
      <c r="FJQ61" s="10"/>
      <c r="FJR61" s="10"/>
      <c r="FJS61" s="10"/>
      <c r="FJT61" s="10"/>
      <c r="FJU61" s="10"/>
      <c r="FJV61" s="10"/>
      <c r="FJW61" s="10"/>
      <c r="FJX61" s="10"/>
      <c r="FJY61" s="10"/>
      <c r="FJZ61" s="10"/>
      <c r="FKA61" s="10"/>
      <c r="FKB61" s="10"/>
      <c r="FKC61" s="10"/>
      <c r="FKD61" s="10"/>
      <c r="FKE61" s="10"/>
      <c r="FKF61" s="10"/>
      <c r="FKG61" s="10"/>
      <c r="FKH61" s="10"/>
      <c r="FKI61" s="10"/>
      <c r="FKJ61" s="10"/>
      <c r="FKK61" s="10"/>
      <c r="FKL61" s="10"/>
      <c r="FKM61" s="10"/>
      <c r="FKN61" s="10"/>
      <c r="FKO61" s="10"/>
      <c r="FKP61" s="10"/>
      <c r="FKQ61" s="10"/>
      <c r="FKR61" s="10"/>
      <c r="FKS61" s="10"/>
      <c r="FKT61" s="10"/>
      <c r="FKU61" s="10"/>
      <c r="FKV61" s="10"/>
      <c r="FKW61" s="10"/>
      <c r="FKX61" s="10"/>
      <c r="FKY61" s="10"/>
      <c r="FKZ61" s="10"/>
      <c r="FLA61" s="10"/>
      <c r="FLB61" s="10"/>
      <c r="FLC61" s="10"/>
      <c r="FLD61" s="10"/>
      <c r="FLE61" s="10"/>
      <c r="FLF61" s="10"/>
      <c r="FLG61" s="10"/>
      <c r="FLH61" s="10"/>
      <c r="FLI61" s="10"/>
      <c r="FLJ61" s="10"/>
      <c r="FLK61" s="10"/>
      <c r="FLL61" s="10"/>
      <c r="FLM61" s="10"/>
      <c r="FLN61" s="10"/>
      <c r="FLO61" s="10"/>
      <c r="FLP61" s="10"/>
      <c r="FLQ61" s="10"/>
      <c r="FLR61" s="10"/>
      <c r="FLS61" s="10"/>
      <c r="FLT61" s="10"/>
      <c r="FLU61" s="10"/>
      <c r="FLV61" s="10"/>
      <c r="FLW61" s="10"/>
      <c r="FLX61" s="10"/>
      <c r="FLY61" s="10"/>
      <c r="FLZ61" s="10"/>
      <c r="FMA61" s="10"/>
      <c r="FMB61" s="10"/>
      <c r="FMC61" s="10"/>
      <c r="FMD61" s="10"/>
      <c r="FME61" s="10"/>
      <c r="FMF61" s="10"/>
      <c r="FMG61" s="10"/>
      <c r="FMH61" s="10"/>
      <c r="FMI61" s="10"/>
      <c r="FMJ61" s="10"/>
      <c r="FMK61" s="10"/>
      <c r="FML61" s="10"/>
      <c r="FMM61" s="10"/>
      <c r="FMN61" s="10"/>
      <c r="FMO61" s="10"/>
      <c r="FMP61" s="10"/>
      <c r="FMQ61" s="10"/>
      <c r="FMR61" s="10"/>
      <c r="FMS61" s="10"/>
      <c r="FMT61" s="10"/>
      <c r="FMU61" s="10"/>
      <c r="FMV61" s="10"/>
      <c r="FMW61" s="10"/>
      <c r="FMX61" s="10"/>
      <c r="FMY61" s="10"/>
      <c r="FMZ61" s="10"/>
      <c r="FNA61" s="10"/>
      <c r="FNB61" s="10"/>
      <c r="FNC61" s="10"/>
      <c r="FND61" s="10"/>
      <c r="FNE61" s="10"/>
      <c r="FNF61" s="10"/>
      <c r="FNG61" s="10"/>
      <c r="FNH61" s="10"/>
      <c r="FNI61" s="10"/>
      <c r="FNJ61" s="10"/>
      <c r="FNK61" s="10"/>
      <c r="FNL61" s="10"/>
      <c r="FNM61" s="10"/>
      <c r="FNN61" s="10"/>
      <c r="FNO61" s="10"/>
      <c r="FNP61" s="10"/>
      <c r="FNQ61" s="10"/>
      <c r="FNR61" s="10"/>
      <c r="FNS61" s="10"/>
      <c r="FNT61" s="10"/>
      <c r="FNU61" s="10"/>
      <c r="FNV61" s="10"/>
      <c r="FNW61" s="10"/>
      <c r="FNX61" s="10"/>
      <c r="FNY61" s="10"/>
      <c r="FNZ61" s="10"/>
      <c r="FOA61" s="10"/>
      <c r="FOB61" s="10"/>
      <c r="FOC61" s="10"/>
      <c r="FOD61" s="10"/>
      <c r="FOE61" s="10"/>
      <c r="FOF61" s="10"/>
      <c r="FOG61" s="10"/>
      <c r="FOH61" s="10"/>
      <c r="FOI61" s="10"/>
      <c r="FOJ61" s="10"/>
      <c r="FOK61" s="10"/>
      <c r="FOL61" s="10"/>
      <c r="FOM61" s="10"/>
      <c r="FON61" s="10"/>
      <c r="FOO61" s="10"/>
      <c r="FOP61" s="10"/>
      <c r="FOQ61" s="10"/>
      <c r="FOR61" s="10"/>
      <c r="FOS61" s="10"/>
      <c r="FOT61" s="10"/>
      <c r="FOU61" s="10"/>
      <c r="FOV61" s="10"/>
      <c r="FOW61" s="10"/>
      <c r="FOX61" s="10"/>
      <c r="FOY61" s="10"/>
      <c r="FOZ61" s="10"/>
      <c r="FPA61" s="10"/>
      <c r="FPB61" s="10"/>
      <c r="FPC61" s="10"/>
      <c r="FPD61" s="10"/>
      <c r="FPE61" s="10"/>
      <c r="FPF61" s="10"/>
      <c r="FPG61" s="10"/>
      <c r="FPH61" s="10"/>
      <c r="FPI61" s="10"/>
      <c r="FPJ61" s="10"/>
      <c r="FPK61" s="10"/>
      <c r="FPL61" s="10"/>
      <c r="FPM61" s="10"/>
      <c r="FPN61" s="10"/>
      <c r="FPO61" s="10"/>
      <c r="FPP61" s="10"/>
      <c r="FPQ61" s="10"/>
      <c r="FPR61" s="10"/>
      <c r="FPS61" s="10"/>
      <c r="FPT61" s="10"/>
      <c r="FPU61" s="10"/>
      <c r="FPV61" s="10"/>
      <c r="FPW61" s="10"/>
      <c r="FPX61" s="10"/>
      <c r="FPY61" s="10"/>
      <c r="FPZ61" s="10"/>
      <c r="FQA61" s="10"/>
      <c r="FQB61" s="10"/>
      <c r="FQC61" s="10"/>
      <c r="FQD61" s="10"/>
      <c r="FQE61" s="10"/>
      <c r="FQF61" s="10"/>
      <c r="FQG61" s="10"/>
      <c r="FQH61" s="10"/>
      <c r="FQI61" s="10"/>
      <c r="FQJ61" s="10"/>
      <c r="FQK61" s="10"/>
      <c r="FQL61" s="10"/>
      <c r="FQM61" s="10"/>
      <c r="FQN61" s="10"/>
      <c r="FQO61" s="10"/>
      <c r="FQP61" s="10"/>
      <c r="FQQ61" s="10"/>
      <c r="FQR61" s="10"/>
      <c r="FQS61" s="10"/>
      <c r="FQT61" s="10"/>
      <c r="FQU61" s="10"/>
      <c r="FQV61" s="10"/>
      <c r="FQW61" s="10"/>
      <c r="FQX61" s="10"/>
      <c r="FQY61" s="10"/>
      <c r="FQZ61" s="10"/>
      <c r="FRA61" s="10"/>
      <c r="FRB61" s="10"/>
      <c r="FRC61" s="10"/>
      <c r="FRD61" s="10"/>
      <c r="FRE61" s="10"/>
      <c r="FRF61" s="10"/>
      <c r="FRG61" s="10"/>
      <c r="FRH61" s="10"/>
      <c r="FRI61" s="10"/>
      <c r="FRJ61" s="10"/>
      <c r="FRK61" s="10"/>
      <c r="FRL61" s="10"/>
      <c r="FRM61" s="10"/>
      <c r="FRN61" s="10"/>
      <c r="FRO61" s="10"/>
      <c r="FRP61" s="10"/>
      <c r="FRQ61" s="10"/>
      <c r="FRR61" s="10"/>
      <c r="FRS61" s="10"/>
      <c r="FRT61" s="10"/>
      <c r="FRU61" s="10"/>
      <c r="FRV61" s="10"/>
      <c r="FRW61" s="10"/>
      <c r="FRX61" s="10"/>
      <c r="FRY61" s="10"/>
      <c r="FRZ61" s="10"/>
      <c r="FSA61" s="10"/>
      <c r="FSB61" s="10"/>
      <c r="FSC61" s="10"/>
      <c r="FSD61" s="10"/>
      <c r="FSE61" s="10"/>
      <c r="FSF61" s="10"/>
      <c r="FSG61" s="10"/>
      <c r="FSH61" s="10"/>
      <c r="FSI61" s="10"/>
      <c r="FSJ61" s="10"/>
      <c r="FSK61" s="10"/>
      <c r="FSL61" s="10"/>
      <c r="FSM61" s="10"/>
      <c r="FSN61" s="10"/>
      <c r="FSO61" s="10"/>
      <c r="FSP61" s="10"/>
      <c r="FSQ61" s="10"/>
      <c r="FSR61" s="10"/>
      <c r="FSS61" s="10"/>
      <c r="FST61" s="10"/>
      <c r="FSU61" s="10"/>
      <c r="FSV61" s="10"/>
      <c r="FSW61" s="10"/>
      <c r="FSX61" s="10"/>
      <c r="FSY61" s="10"/>
      <c r="FSZ61" s="10"/>
      <c r="FTA61" s="10"/>
      <c r="FTB61" s="10"/>
      <c r="FTC61" s="10"/>
      <c r="FTD61" s="10"/>
      <c r="FTE61" s="10"/>
      <c r="FTF61" s="10"/>
      <c r="FTG61" s="10"/>
      <c r="FTH61" s="10"/>
      <c r="FTI61" s="10"/>
      <c r="FTJ61" s="10"/>
      <c r="FTK61" s="10"/>
      <c r="FTL61" s="10"/>
      <c r="FTM61" s="10"/>
      <c r="FTN61" s="10"/>
      <c r="FTO61" s="10"/>
      <c r="FTP61" s="10"/>
      <c r="FTQ61" s="10"/>
      <c r="FTR61" s="10"/>
      <c r="FTS61" s="10"/>
      <c r="FTT61" s="10"/>
      <c r="FTU61" s="10"/>
      <c r="FTV61" s="10"/>
      <c r="FTW61" s="10"/>
      <c r="FTX61" s="10"/>
      <c r="FTY61" s="10"/>
      <c r="FTZ61" s="10"/>
      <c r="FUA61" s="10"/>
      <c r="FUB61" s="10"/>
      <c r="FUC61" s="10"/>
      <c r="FUD61" s="10"/>
      <c r="FUE61" s="10"/>
      <c r="FUF61" s="10"/>
      <c r="FUG61" s="10"/>
      <c r="FUH61" s="10"/>
      <c r="FUI61" s="10"/>
      <c r="FUJ61" s="10"/>
      <c r="FUK61" s="10"/>
      <c r="FUL61" s="10"/>
      <c r="FUM61" s="10"/>
      <c r="FUN61" s="10"/>
      <c r="FUO61" s="10"/>
      <c r="FUP61" s="10"/>
      <c r="FUQ61" s="10"/>
      <c r="FUR61" s="10"/>
      <c r="FUS61" s="10"/>
      <c r="FUT61" s="10"/>
      <c r="FUU61" s="10"/>
      <c r="FUV61" s="10"/>
      <c r="FUW61" s="10"/>
      <c r="FUX61" s="10"/>
      <c r="FUY61" s="10"/>
      <c r="FUZ61" s="10"/>
      <c r="FVA61" s="10"/>
      <c r="FVB61" s="10"/>
      <c r="FVC61" s="10"/>
      <c r="FVD61" s="10"/>
      <c r="FVE61" s="10"/>
      <c r="FVF61" s="10"/>
      <c r="FVG61" s="10"/>
      <c r="FVH61" s="10"/>
      <c r="FVI61" s="10"/>
      <c r="FVJ61" s="10"/>
      <c r="FVK61" s="10"/>
      <c r="FVL61" s="10"/>
      <c r="FVM61" s="10"/>
      <c r="FVN61" s="10"/>
      <c r="FVO61" s="10"/>
      <c r="FVP61" s="10"/>
      <c r="FVQ61" s="10"/>
      <c r="FVR61" s="10"/>
      <c r="FVS61" s="10"/>
      <c r="FVT61" s="10"/>
      <c r="FVU61" s="10"/>
      <c r="FVV61" s="10"/>
      <c r="FVW61" s="10"/>
      <c r="FVX61" s="10"/>
      <c r="FVY61" s="10"/>
      <c r="FVZ61" s="10"/>
      <c r="FWA61" s="10"/>
      <c r="FWB61" s="10"/>
      <c r="FWC61" s="10"/>
      <c r="FWD61" s="10"/>
      <c r="FWE61" s="10"/>
      <c r="FWF61" s="10"/>
      <c r="FWG61" s="10"/>
      <c r="FWH61" s="10"/>
      <c r="FWI61" s="10"/>
      <c r="FWJ61" s="10"/>
      <c r="FWK61" s="10"/>
      <c r="FWL61" s="10"/>
      <c r="FWM61" s="10"/>
      <c r="FWN61" s="10"/>
      <c r="FWO61" s="10"/>
      <c r="FWP61" s="10"/>
      <c r="FWQ61" s="10"/>
      <c r="FWR61" s="10"/>
      <c r="FWS61" s="10"/>
      <c r="FWT61" s="10"/>
      <c r="FWU61" s="10"/>
      <c r="FWV61" s="10"/>
      <c r="FWW61" s="10"/>
      <c r="FWX61" s="10"/>
      <c r="FWY61" s="10"/>
      <c r="FWZ61" s="10"/>
      <c r="FXA61" s="10"/>
      <c r="FXB61" s="10"/>
      <c r="FXC61" s="10"/>
      <c r="FXD61" s="10"/>
      <c r="FXE61" s="10"/>
      <c r="FXF61" s="10"/>
      <c r="FXG61" s="10"/>
      <c r="FXH61" s="10"/>
      <c r="FXI61" s="10"/>
      <c r="FXJ61" s="10"/>
      <c r="FXK61" s="10"/>
      <c r="FXL61" s="10"/>
      <c r="FXM61" s="10"/>
      <c r="FXN61" s="10"/>
      <c r="FXO61" s="10"/>
      <c r="FXP61" s="10"/>
      <c r="FXQ61" s="10"/>
      <c r="FXR61" s="10"/>
      <c r="FXS61" s="10"/>
      <c r="FXT61" s="10"/>
      <c r="FXU61" s="10"/>
      <c r="FXV61" s="10"/>
      <c r="FXW61" s="10"/>
      <c r="FXX61" s="10"/>
      <c r="FXY61" s="10"/>
      <c r="FXZ61" s="10"/>
      <c r="FYA61" s="10"/>
      <c r="FYB61" s="10"/>
      <c r="FYC61" s="10"/>
      <c r="FYD61" s="10"/>
      <c r="FYE61" s="10"/>
      <c r="FYF61" s="10"/>
      <c r="FYG61" s="10"/>
      <c r="FYH61" s="10"/>
      <c r="FYI61" s="10"/>
      <c r="FYJ61" s="10"/>
      <c r="FYK61" s="10"/>
      <c r="FYL61" s="10"/>
      <c r="FYM61" s="10"/>
      <c r="FYN61" s="10"/>
      <c r="FYO61" s="10"/>
      <c r="FYP61" s="10"/>
      <c r="FYQ61" s="10"/>
      <c r="FYR61" s="10"/>
      <c r="FYS61" s="10"/>
      <c r="FYT61" s="10"/>
      <c r="FYU61" s="10"/>
      <c r="FYV61" s="10"/>
      <c r="FYW61" s="10"/>
      <c r="FYX61" s="10"/>
      <c r="FYY61" s="10"/>
      <c r="FYZ61" s="10"/>
      <c r="FZA61" s="10"/>
      <c r="FZB61" s="10"/>
      <c r="FZC61" s="10"/>
      <c r="FZD61" s="10"/>
      <c r="FZE61" s="10"/>
      <c r="FZF61" s="10"/>
      <c r="FZG61" s="10"/>
      <c r="FZH61" s="10"/>
      <c r="FZI61" s="10"/>
      <c r="FZJ61" s="10"/>
      <c r="FZK61" s="10"/>
      <c r="FZL61" s="10"/>
      <c r="FZM61" s="10"/>
      <c r="FZN61" s="10"/>
      <c r="FZO61" s="10"/>
      <c r="FZP61" s="10"/>
      <c r="FZQ61" s="10"/>
      <c r="FZR61" s="10"/>
      <c r="FZS61" s="10"/>
      <c r="FZT61" s="10"/>
      <c r="FZU61" s="10"/>
      <c r="FZV61" s="10"/>
      <c r="FZW61" s="10"/>
      <c r="FZX61" s="10"/>
      <c r="FZY61" s="10"/>
      <c r="FZZ61" s="10"/>
      <c r="GAA61" s="10"/>
      <c r="GAB61" s="10"/>
      <c r="GAC61" s="10"/>
      <c r="GAD61" s="10"/>
      <c r="GAE61" s="10"/>
      <c r="GAF61" s="10"/>
      <c r="GAG61" s="10"/>
      <c r="GAH61" s="10"/>
      <c r="GAI61" s="10"/>
      <c r="GAJ61" s="10"/>
      <c r="GAK61" s="10"/>
      <c r="GAL61" s="10"/>
      <c r="GAM61" s="10"/>
      <c r="GAN61" s="10"/>
      <c r="GAO61" s="10"/>
      <c r="GAP61" s="10"/>
      <c r="GAQ61" s="10"/>
      <c r="GAR61" s="10"/>
      <c r="GAS61" s="10"/>
      <c r="GAT61" s="10"/>
      <c r="GAU61" s="10"/>
      <c r="GAV61" s="10"/>
      <c r="GAW61" s="10"/>
      <c r="GAX61" s="10"/>
      <c r="GAY61" s="10"/>
      <c r="GAZ61" s="10"/>
      <c r="GBA61" s="10"/>
      <c r="GBB61" s="10"/>
      <c r="GBC61" s="10"/>
      <c r="GBD61" s="10"/>
      <c r="GBE61" s="10"/>
      <c r="GBF61" s="10"/>
      <c r="GBG61" s="10"/>
      <c r="GBH61" s="10"/>
      <c r="GBI61" s="10"/>
      <c r="GBJ61" s="10"/>
      <c r="GBK61" s="10"/>
      <c r="GBL61" s="10"/>
      <c r="GBM61" s="10"/>
      <c r="GBN61" s="10"/>
      <c r="GBO61" s="10"/>
      <c r="GBP61" s="10"/>
      <c r="GBQ61" s="10"/>
      <c r="GBR61" s="10"/>
      <c r="GBS61" s="10"/>
      <c r="GBT61" s="10"/>
      <c r="GBU61" s="10"/>
      <c r="GBV61" s="10"/>
      <c r="GBW61" s="10"/>
      <c r="GBX61" s="10"/>
      <c r="GBY61" s="10"/>
      <c r="GBZ61" s="10"/>
      <c r="GCA61" s="10"/>
      <c r="GCB61" s="10"/>
      <c r="GCC61" s="10"/>
      <c r="GCD61" s="10"/>
      <c r="GCE61" s="10"/>
      <c r="GCF61" s="10"/>
      <c r="GCG61" s="10"/>
      <c r="GCH61" s="10"/>
      <c r="GCI61" s="10"/>
      <c r="GCJ61" s="10"/>
      <c r="GCK61" s="10"/>
      <c r="GCL61" s="10"/>
      <c r="GCM61" s="10"/>
      <c r="GCN61" s="10"/>
      <c r="GCO61" s="10"/>
      <c r="GCP61" s="10"/>
      <c r="GCQ61" s="10"/>
      <c r="GCR61" s="10"/>
      <c r="GCS61" s="10"/>
      <c r="GCT61" s="10"/>
      <c r="GCU61" s="10"/>
      <c r="GCV61" s="10"/>
      <c r="GCW61" s="10"/>
      <c r="GCX61" s="10"/>
      <c r="GCY61" s="10"/>
      <c r="GCZ61" s="10"/>
      <c r="GDA61" s="10"/>
      <c r="GDB61" s="10"/>
      <c r="GDC61" s="10"/>
      <c r="GDD61" s="10"/>
      <c r="GDE61" s="10"/>
      <c r="GDF61" s="10"/>
      <c r="GDG61" s="10"/>
      <c r="GDH61" s="10"/>
      <c r="GDI61" s="10"/>
      <c r="GDJ61" s="10"/>
      <c r="GDK61" s="10"/>
      <c r="GDL61" s="10"/>
      <c r="GDM61" s="10"/>
      <c r="GDN61" s="10"/>
      <c r="GDO61" s="10"/>
      <c r="GDP61" s="10"/>
      <c r="GDQ61" s="10"/>
      <c r="GDR61" s="10"/>
      <c r="GDS61" s="10"/>
      <c r="GDT61" s="10"/>
      <c r="GDU61" s="10"/>
      <c r="GDV61" s="10"/>
      <c r="GDW61" s="10"/>
      <c r="GDX61" s="10"/>
      <c r="GDY61" s="10"/>
      <c r="GDZ61" s="10"/>
      <c r="GEA61" s="10"/>
      <c r="GEB61" s="10"/>
      <c r="GEC61" s="10"/>
      <c r="GED61" s="10"/>
      <c r="GEE61" s="10"/>
      <c r="GEF61" s="10"/>
      <c r="GEG61" s="10"/>
      <c r="GEH61" s="10"/>
      <c r="GEI61" s="10"/>
      <c r="GEJ61" s="10"/>
      <c r="GEK61" s="10"/>
      <c r="GEL61" s="10"/>
      <c r="GEM61" s="10"/>
      <c r="GEN61" s="10"/>
      <c r="GEO61" s="10"/>
      <c r="GEP61" s="10"/>
      <c r="GEQ61" s="10"/>
      <c r="GER61" s="10"/>
      <c r="GES61" s="10"/>
      <c r="GET61" s="10"/>
      <c r="GEU61" s="10"/>
      <c r="GEV61" s="10"/>
      <c r="GEW61" s="10"/>
      <c r="GEX61" s="10"/>
      <c r="GEY61" s="10"/>
      <c r="GEZ61" s="10"/>
      <c r="GFA61" s="10"/>
      <c r="GFB61" s="10"/>
      <c r="GFC61" s="10"/>
      <c r="GFD61" s="10"/>
      <c r="GFE61" s="10"/>
      <c r="GFF61" s="10"/>
      <c r="GFG61" s="10"/>
      <c r="GFH61" s="10"/>
      <c r="GFI61" s="10"/>
      <c r="GFJ61" s="10"/>
      <c r="GFK61" s="10"/>
      <c r="GFL61" s="10"/>
      <c r="GFM61" s="10"/>
      <c r="GFN61" s="10"/>
      <c r="GFO61" s="10"/>
      <c r="GFP61" s="10"/>
      <c r="GFQ61" s="10"/>
      <c r="GFR61" s="10"/>
      <c r="GFS61" s="10"/>
      <c r="GFT61" s="10"/>
      <c r="GFU61" s="10"/>
      <c r="GFV61" s="10"/>
      <c r="GFW61" s="10"/>
      <c r="GFX61" s="10"/>
      <c r="GFY61" s="10"/>
      <c r="GFZ61" s="10"/>
      <c r="GGA61" s="10"/>
      <c r="GGB61" s="10"/>
      <c r="GGC61" s="10"/>
      <c r="GGD61" s="10"/>
      <c r="GGE61" s="10"/>
      <c r="GGF61" s="10"/>
      <c r="GGG61" s="10"/>
      <c r="GGH61" s="10"/>
      <c r="GGI61" s="10"/>
      <c r="GGJ61" s="10"/>
      <c r="GGK61" s="10"/>
      <c r="GGL61" s="10"/>
      <c r="GGM61" s="10"/>
      <c r="GGN61" s="10"/>
      <c r="GGO61" s="10"/>
      <c r="GGP61" s="10"/>
      <c r="GGQ61" s="10"/>
      <c r="GGR61" s="10"/>
      <c r="GGS61" s="10"/>
      <c r="GGT61" s="10"/>
      <c r="GGU61" s="10"/>
      <c r="GGV61" s="10"/>
      <c r="GGW61" s="10"/>
      <c r="GGX61" s="10"/>
      <c r="GGY61" s="10"/>
      <c r="GGZ61" s="10"/>
      <c r="GHA61" s="10"/>
      <c r="GHB61" s="10"/>
      <c r="GHC61" s="10"/>
      <c r="GHD61" s="10"/>
      <c r="GHE61" s="10"/>
      <c r="GHF61" s="10"/>
      <c r="GHG61" s="10"/>
      <c r="GHH61" s="10"/>
      <c r="GHI61" s="10"/>
      <c r="GHJ61" s="10"/>
      <c r="GHK61" s="10"/>
      <c r="GHL61" s="10"/>
      <c r="GHM61" s="10"/>
      <c r="GHN61" s="10"/>
      <c r="GHO61" s="10"/>
      <c r="GHP61" s="10"/>
      <c r="GHQ61" s="10"/>
      <c r="GHR61" s="10"/>
      <c r="GHS61" s="10"/>
      <c r="GHT61" s="10"/>
      <c r="GHU61" s="10"/>
      <c r="GHV61" s="10"/>
      <c r="GHW61" s="10"/>
      <c r="GHX61" s="10"/>
      <c r="GHY61" s="10"/>
      <c r="GHZ61" s="10"/>
      <c r="GIA61" s="10"/>
      <c r="GIB61" s="10"/>
      <c r="GIC61" s="10"/>
      <c r="GID61" s="10"/>
      <c r="GIE61" s="10"/>
      <c r="GIF61" s="10"/>
      <c r="GIG61" s="10"/>
      <c r="GIH61" s="10"/>
      <c r="GII61" s="10"/>
      <c r="GIJ61" s="10"/>
      <c r="GIK61" s="10"/>
      <c r="GIL61" s="10"/>
      <c r="GIM61" s="10"/>
      <c r="GIN61" s="10"/>
      <c r="GIO61" s="10"/>
      <c r="GIP61" s="10"/>
      <c r="GIQ61" s="10"/>
      <c r="GIR61" s="10"/>
      <c r="GIS61" s="10"/>
      <c r="GIT61" s="10"/>
      <c r="GIU61" s="10"/>
      <c r="GIV61" s="10"/>
      <c r="GIW61" s="10"/>
      <c r="GIX61" s="10"/>
      <c r="GIY61" s="10"/>
      <c r="GIZ61" s="10"/>
      <c r="GJA61" s="10"/>
      <c r="GJB61" s="10"/>
      <c r="GJC61" s="10"/>
      <c r="GJD61" s="10"/>
      <c r="GJE61" s="10"/>
      <c r="GJF61" s="10"/>
      <c r="GJG61" s="10"/>
      <c r="GJH61" s="10"/>
      <c r="GJI61" s="10"/>
      <c r="GJJ61" s="10"/>
      <c r="GJK61" s="10"/>
      <c r="GJL61" s="10"/>
      <c r="GJM61" s="10"/>
      <c r="GJN61" s="10"/>
      <c r="GJO61" s="10"/>
      <c r="GJP61" s="10"/>
      <c r="GJQ61" s="10"/>
      <c r="GJR61" s="10"/>
      <c r="GJS61" s="10"/>
      <c r="GJT61" s="10"/>
      <c r="GJU61" s="10"/>
      <c r="GJV61" s="10"/>
      <c r="GJW61" s="10"/>
      <c r="GJX61" s="10"/>
      <c r="GJY61" s="10"/>
      <c r="GJZ61" s="10"/>
      <c r="GKA61" s="10"/>
      <c r="GKB61" s="10"/>
      <c r="GKC61" s="10"/>
      <c r="GKD61" s="10"/>
      <c r="GKE61" s="10"/>
      <c r="GKF61" s="10"/>
      <c r="GKG61" s="10"/>
      <c r="GKH61" s="10"/>
      <c r="GKI61" s="10"/>
      <c r="GKJ61" s="10"/>
      <c r="GKK61" s="10"/>
      <c r="GKL61" s="10"/>
      <c r="GKM61" s="10"/>
      <c r="GKN61" s="10"/>
      <c r="GKO61" s="10"/>
      <c r="GKP61" s="10"/>
      <c r="GKQ61" s="10"/>
      <c r="GKR61" s="10"/>
      <c r="GKS61" s="10"/>
      <c r="GKT61" s="10"/>
      <c r="GKU61" s="10"/>
      <c r="GKV61" s="10"/>
      <c r="GKW61" s="10"/>
      <c r="GKX61" s="10"/>
      <c r="GKY61" s="10"/>
      <c r="GKZ61" s="10"/>
      <c r="GLA61" s="10"/>
      <c r="GLB61" s="10"/>
      <c r="GLC61" s="10"/>
      <c r="GLD61" s="10"/>
      <c r="GLE61" s="10"/>
      <c r="GLF61" s="10"/>
      <c r="GLG61" s="10"/>
      <c r="GLH61" s="10"/>
      <c r="GLI61" s="10"/>
      <c r="GLJ61" s="10"/>
      <c r="GLK61" s="10"/>
      <c r="GLL61" s="10"/>
      <c r="GLM61" s="10"/>
      <c r="GLN61" s="10"/>
      <c r="GLO61" s="10"/>
      <c r="GLP61" s="10"/>
      <c r="GLQ61" s="10"/>
      <c r="GLR61" s="10"/>
      <c r="GLS61" s="10"/>
      <c r="GLT61" s="10"/>
      <c r="GLU61" s="10"/>
      <c r="GLV61" s="10"/>
      <c r="GLW61" s="10"/>
      <c r="GLX61" s="10"/>
      <c r="GLY61" s="10"/>
      <c r="GLZ61" s="10"/>
      <c r="GMA61" s="10"/>
      <c r="GMB61" s="10"/>
      <c r="GMC61" s="10"/>
      <c r="GMD61" s="10"/>
      <c r="GME61" s="10"/>
      <c r="GMF61" s="10"/>
      <c r="GMG61" s="10"/>
      <c r="GMH61" s="10"/>
      <c r="GMI61" s="10"/>
      <c r="GMJ61" s="10"/>
      <c r="GMK61" s="10"/>
      <c r="GML61" s="10"/>
      <c r="GMM61" s="10"/>
      <c r="GMN61" s="10"/>
      <c r="GMO61" s="10"/>
      <c r="GMP61" s="10"/>
      <c r="GMQ61" s="10"/>
      <c r="GMR61" s="10"/>
      <c r="GMS61" s="10"/>
      <c r="GMT61" s="10"/>
      <c r="GMU61" s="10"/>
      <c r="GMV61" s="10"/>
      <c r="GMW61" s="10"/>
      <c r="GMX61" s="10"/>
      <c r="GMY61" s="10"/>
      <c r="GMZ61" s="10"/>
      <c r="GNA61" s="10"/>
      <c r="GNB61" s="10"/>
      <c r="GNC61" s="10"/>
      <c r="GND61" s="10"/>
      <c r="GNE61" s="10"/>
      <c r="GNF61" s="10"/>
      <c r="GNG61" s="10"/>
      <c r="GNH61" s="10"/>
      <c r="GNI61" s="10"/>
      <c r="GNJ61" s="10"/>
      <c r="GNK61" s="10"/>
      <c r="GNL61" s="10"/>
      <c r="GNM61" s="10"/>
      <c r="GNN61" s="10"/>
      <c r="GNO61" s="10"/>
      <c r="GNP61" s="10"/>
      <c r="GNQ61" s="10"/>
      <c r="GNR61" s="10"/>
      <c r="GNS61" s="10"/>
      <c r="GNT61" s="10"/>
      <c r="GNU61" s="10"/>
      <c r="GNV61" s="10"/>
      <c r="GNW61" s="10"/>
      <c r="GNX61" s="10"/>
      <c r="GNY61" s="10"/>
      <c r="GNZ61" s="10"/>
      <c r="GOA61" s="10"/>
      <c r="GOB61" s="10"/>
      <c r="GOC61" s="10"/>
      <c r="GOD61" s="10"/>
      <c r="GOE61" s="10"/>
      <c r="GOF61" s="10"/>
      <c r="GOG61" s="10"/>
      <c r="GOH61" s="10"/>
      <c r="GOI61" s="10"/>
      <c r="GOJ61" s="10"/>
      <c r="GOK61" s="10"/>
      <c r="GOL61" s="10"/>
      <c r="GOM61" s="10"/>
      <c r="GON61" s="10"/>
      <c r="GOO61" s="10"/>
      <c r="GOP61" s="10"/>
      <c r="GOQ61" s="10"/>
      <c r="GOR61" s="10"/>
      <c r="GOS61" s="10"/>
      <c r="GOT61" s="10"/>
      <c r="GOU61" s="10"/>
      <c r="GOV61" s="10"/>
      <c r="GOW61" s="10"/>
      <c r="GOX61" s="10"/>
      <c r="GOY61" s="10"/>
      <c r="GOZ61" s="10"/>
      <c r="GPA61" s="10"/>
      <c r="GPB61" s="10"/>
      <c r="GPC61" s="10"/>
      <c r="GPD61" s="10"/>
      <c r="GPE61" s="10"/>
      <c r="GPF61" s="10"/>
      <c r="GPG61" s="10"/>
      <c r="GPH61" s="10"/>
      <c r="GPI61" s="10"/>
      <c r="GPJ61" s="10"/>
      <c r="GPK61" s="10"/>
      <c r="GPL61" s="10"/>
      <c r="GPM61" s="10"/>
      <c r="GPN61" s="10"/>
      <c r="GPO61" s="10"/>
      <c r="GPP61" s="10"/>
      <c r="GPQ61" s="10"/>
      <c r="GPR61" s="10"/>
      <c r="GPS61" s="10"/>
      <c r="GPT61" s="10"/>
      <c r="GPU61" s="10"/>
      <c r="GPV61" s="10"/>
      <c r="GPW61" s="10"/>
      <c r="GPX61" s="10"/>
      <c r="GPY61" s="10"/>
      <c r="GPZ61" s="10"/>
      <c r="GQA61" s="10"/>
      <c r="GQB61" s="10"/>
      <c r="GQC61" s="10"/>
      <c r="GQD61" s="10"/>
      <c r="GQE61" s="10"/>
      <c r="GQF61" s="10"/>
      <c r="GQG61" s="10"/>
      <c r="GQH61" s="10"/>
      <c r="GQI61" s="10"/>
      <c r="GQJ61" s="10"/>
      <c r="GQK61" s="10"/>
      <c r="GQL61" s="10"/>
      <c r="GQM61" s="10"/>
      <c r="GQN61" s="10"/>
      <c r="GQO61" s="10"/>
      <c r="GQP61" s="10"/>
      <c r="GQQ61" s="10"/>
      <c r="GQR61" s="10"/>
      <c r="GQS61" s="10"/>
      <c r="GQT61" s="10"/>
      <c r="GQU61" s="10"/>
      <c r="GQV61" s="10"/>
      <c r="GQW61" s="10"/>
      <c r="GQX61" s="10"/>
      <c r="GQY61" s="10"/>
      <c r="GQZ61" s="10"/>
      <c r="GRA61" s="10"/>
      <c r="GRB61" s="10"/>
      <c r="GRC61" s="10"/>
      <c r="GRD61" s="10"/>
      <c r="GRE61" s="10"/>
      <c r="GRF61" s="10"/>
      <c r="GRG61" s="10"/>
      <c r="GRH61" s="10"/>
      <c r="GRI61" s="10"/>
      <c r="GRJ61" s="10"/>
      <c r="GRK61" s="10"/>
      <c r="GRL61" s="10"/>
      <c r="GRM61" s="10"/>
      <c r="GRN61" s="10"/>
      <c r="GRO61" s="10"/>
      <c r="GRP61" s="10"/>
      <c r="GRQ61" s="10"/>
      <c r="GRR61" s="10"/>
      <c r="GRS61" s="10"/>
      <c r="GRT61" s="10"/>
      <c r="GRU61" s="10"/>
      <c r="GRV61" s="10"/>
      <c r="GRW61" s="10"/>
      <c r="GRX61" s="10"/>
      <c r="GRY61" s="10"/>
      <c r="GRZ61" s="10"/>
      <c r="GSA61" s="10"/>
      <c r="GSB61" s="10"/>
      <c r="GSC61" s="10"/>
      <c r="GSD61" s="10"/>
      <c r="GSE61" s="10"/>
      <c r="GSF61" s="10"/>
      <c r="GSG61" s="10"/>
      <c r="GSH61" s="10"/>
      <c r="GSI61" s="10"/>
      <c r="GSJ61" s="10"/>
      <c r="GSK61" s="10"/>
      <c r="GSL61" s="10"/>
      <c r="GSM61" s="10"/>
      <c r="GSN61" s="10"/>
      <c r="GSO61" s="10"/>
      <c r="GSP61" s="10"/>
      <c r="GSQ61" s="10"/>
      <c r="GSR61" s="10"/>
      <c r="GSS61" s="10"/>
      <c r="GST61" s="10"/>
      <c r="GSU61" s="10"/>
      <c r="GSV61" s="10"/>
      <c r="GSW61" s="10"/>
      <c r="GSX61" s="10"/>
      <c r="GSY61" s="10"/>
      <c r="GSZ61" s="10"/>
      <c r="GTA61" s="10"/>
      <c r="GTB61" s="10"/>
      <c r="GTC61" s="10"/>
      <c r="GTD61" s="10"/>
      <c r="GTE61" s="10"/>
      <c r="GTF61" s="10"/>
      <c r="GTG61" s="10"/>
      <c r="GTH61" s="10"/>
      <c r="GTI61" s="10"/>
      <c r="GTJ61" s="10"/>
      <c r="GTK61" s="10"/>
      <c r="GTL61" s="10"/>
      <c r="GTM61" s="10"/>
      <c r="GTN61" s="10"/>
      <c r="GTO61" s="10"/>
      <c r="GTP61" s="10"/>
      <c r="GTQ61" s="10"/>
      <c r="GTR61" s="10"/>
      <c r="GTS61" s="10"/>
      <c r="GTT61" s="10"/>
      <c r="GTU61" s="10"/>
      <c r="GTV61" s="10"/>
      <c r="GTW61" s="10"/>
      <c r="GTX61" s="10"/>
      <c r="GTY61" s="10"/>
      <c r="GTZ61" s="10"/>
      <c r="GUA61" s="10"/>
      <c r="GUB61" s="10"/>
      <c r="GUC61" s="10"/>
      <c r="GUD61" s="10"/>
      <c r="GUE61" s="10"/>
      <c r="GUF61" s="10"/>
      <c r="GUG61" s="10"/>
      <c r="GUH61" s="10"/>
      <c r="GUI61" s="10"/>
      <c r="GUJ61" s="10"/>
      <c r="GUK61" s="10"/>
      <c r="GUL61" s="10"/>
      <c r="GUM61" s="10"/>
      <c r="GUN61" s="10"/>
      <c r="GUO61" s="10"/>
      <c r="GUP61" s="10"/>
      <c r="GUQ61" s="10"/>
      <c r="GUR61" s="10"/>
      <c r="GUS61" s="10"/>
      <c r="GUT61" s="10"/>
      <c r="GUU61" s="10"/>
      <c r="GUV61" s="10"/>
      <c r="GUW61" s="10"/>
      <c r="GUX61" s="10"/>
      <c r="GUY61" s="10"/>
      <c r="GUZ61" s="10"/>
      <c r="GVA61" s="10"/>
      <c r="GVB61" s="10"/>
      <c r="GVC61" s="10"/>
      <c r="GVD61" s="10"/>
      <c r="GVE61" s="10"/>
      <c r="GVF61" s="10"/>
      <c r="GVG61" s="10"/>
      <c r="GVH61" s="10"/>
      <c r="GVI61" s="10"/>
      <c r="GVJ61" s="10"/>
      <c r="GVK61" s="10"/>
      <c r="GVL61" s="10"/>
      <c r="GVM61" s="10"/>
      <c r="GVN61" s="10"/>
      <c r="GVO61" s="10"/>
      <c r="GVP61" s="10"/>
      <c r="GVQ61" s="10"/>
      <c r="GVR61" s="10"/>
      <c r="GVS61" s="10"/>
      <c r="GVT61" s="10"/>
      <c r="GVU61" s="10"/>
      <c r="GVV61" s="10"/>
      <c r="GVW61" s="10"/>
      <c r="GVX61" s="10"/>
      <c r="GVY61" s="10"/>
      <c r="GVZ61" s="10"/>
      <c r="GWA61" s="10"/>
      <c r="GWB61" s="10"/>
      <c r="GWC61" s="10"/>
      <c r="GWD61" s="10"/>
      <c r="GWE61" s="10"/>
      <c r="GWF61" s="10"/>
      <c r="GWG61" s="10"/>
      <c r="GWH61" s="10"/>
      <c r="GWI61" s="10"/>
      <c r="GWJ61" s="10"/>
      <c r="GWK61" s="10"/>
      <c r="GWL61" s="10"/>
      <c r="GWM61" s="10"/>
      <c r="GWN61" s="10"/>
      <c r="GWO61" s="10"/>
      <c r="GWP61" s="10"/>
      <c r="GWQ61" s="10"/>
      <c r="GWR61" s="10"/>
      <c r="GWS61" s="10"/>
      <c r="GWT61" s="10"/>
      <c r="GWU61" s="10"/>
      <c r="GWV61" s="10"/>
      <c r="GWW61" s="10"/>
      <c r="GWX61" s="10"/>
      <c r="GWY61" s="10"/>
      <c r="GWZ61" s="10"/>
      <c r="GXA61" s="10"/>
      <c r="GXB61" s="10"/>
      <c r="GXC61" s="10"/>
      <c r="GXD61" s="10"/>
      <c r="GXE61" s="10"/>
      <c r="GXF61" s="10"/>
      <c r="GXG61" s="10"/>
      <c r="GXH61" s="10"/>
      <c r="GXI61" s="10"/>
      <c r="GXJ61" s="10"/>
      <c r="GXK61" s="10"/>
      <c r="GXL61" s="10"/>
      <c r="GXM61" s="10"/>
      <c r="GXN61" s="10"/>
      <c r="GXO61" s="10"/>
      <c r="GXP61" s="10"/>
      <c r="GXQ61" s="10"/>
      <c r="GXR61" s="10"/>
      <c r="GXS61" s="10"/>
      <c r="GXT61" s="10"/>
      <c r="GXU61" s="10"/>
      <c r="GXV61" s="10"/>
      <c r="GXW61" s="10"/>
      <c r="GXX61" s="10"/>
      <c r="GXY61" s="10"/>
      <c r="GXZ61" s="10"/>
      <c r="GYA61" s="10"/>
      <c r="GYB61" s="10"/>
      <c r="GYC61" s="10"/>
      <c r="GYD61" s="10"/>
      <c r="GYE61" s="10"/>
      <c r="GYF61" s="10"/>
      <c r="GYG61" s="10"/>
      <c r="GYH61" s="10"/>
      <c r="GYI61" s="10"/>
      <c r="GYJ61" s="10"/>
      <c r="GYK61" s="10"/>
      <c r="GYL61" s="10"/>
      <c r="GYM61" s="10"/>
      <c r="GYN61" s="10"/>
      <c r="GYO61" s="10"/>
      <c r="GYP61" s="10"/>
      <c r="GYQ61" s="10"/>
      <c r="GYR61" s="10"/>
      <c r="GYS61" s="10"/>
      <c r="GYT61" s="10"/>
      <c r="GYU61" s="10"/>
      <c r="GYV61" s="10"/>
      <c r="GYW61" s="10"/>
      <c r="GYX61" s="10"/>
      <c r="GYY61" s="10"/>
      <c r="GYZ61" s="10"/>
      <c r="GZA61" s="10"/>
      <c r="GZB61" s="10"/>
      <c r="GZC61" s="10"/>
      <c r="GZD61" s="10"/>
      <c r="GZE61" s="10"/>
      <c r="GZF61" s="10"/>
      <c r="GZG61" s="10"/>
      <c r="GZH61" s="10"/>
      <c r="GZI61" s="10"/>
      <c r="GZJ61" s="10"/>
      <c r="GZK61" s="10"/>
      <c r="GZL61" s="10"/>
      <c r="GZM61" s="10"/>
      <c r="GZN61" s="10"/>
      <c r="GZO61" s="10"/>
      <c r="GZP61" s="10"/>
      <c r="GZQ61" s="10"/>
      <c r="GZR61" s="10"/>
      <c r="GZS61" s="10"/>
      <c r="GZT61" s="10"/>
      <c r="GZU61" s="10"/>
      <c r="GZV61" s="10"/>
      <c r="GZW61" s="10"/>
      <c r="GZX61" s="10"/>
      <c r="GZY61" s="10"/>
      <c r="GZZ61" s="10"/>
      <c r="HAA61" s="10"/>
      <c r="HAB61" s="10"/>
      <c r="HAC61" s="10"/>
      <c r="HAD61" s="10"/>
      <c r="HAE61" s="10"/>
      <c r="HAF61" s="10"/>
      <c r="HAG61" s="10"/>
      <c r="HAH61" s="10"/>
      <c r="HAI61" s="10"/>
      <c r="HAJ61" s="10"/>
      <c r="HAK61" s="10"/>
      <c r="HAL61" s="10"/>
      <c r="HAM61" s="10"/>
      <c r="HAN61" s="10"/>
      <c r="HAO61" s="10"/>
      <c r="HAP61" s="10"/>
      <c r="HAQ61" s="10"/>
      <c r="HAR61" s="10"/>
      <c r="HAS61" s="10"/>
      <c r="HAT61" s="10"/>
      <c r="HAU61" s="10"/>
      <c r="HAV61" s="10"/>
      <c r="HAW61" s="10"/>
      <c r="HAX61" s="10"/>
      <c r="HAY61" s="10"/>
      <c r="HAZ61" s="10"/>
      <c r="HBA61" s="10"/>
      <c r="HBB61" s="10"/>
      <c r="HBC61" s="10"/>
      <c r="HBD61" s="10"/>
      <c r="HBE61" s="10"/>
      <c r="HBF61" s="10"/>
      <c r="HBG61" s="10"/>
      <c r="HBH61" s="10"/>
      <c r="HBI61" s="10"/>
      <c r="HBJ61" s="10"/>
      <c r="HBK61" s="10"/>
      <c r="HBL61" s="10"/>
      <c r="HBM61" s="10"/>
      <c r="HBN61" s="10"/>
      <c r="HBO61" s="10"/>
      <c r="HBP61" s="10"/>
      <c r="HBQ61" s="10"/>
      <c r="HBR61" s="10"/>
      <c r="HBS61" s="10"/>
      <c r="HBT61" s="10"/>
      <c r="HBU61" s="10"/>
      <c r="HBV61" s="10"/>
      <c r="HBW61" s="10"/>
      <c r="HBX61" s="10"/>
      <c r="HBY61" s="10"/>
      <c r="HBZ61" s="10"/>
      <c r="HCA61" s="10"/>
      <c r="HCB61" s="10"/>
      <c r="HCC61" s="10"/>
      <c r="HCD61" s="10"/>
      <c r="HCE61" s="10"/>
      <c r="HCF61" s="10"/>
      <c r="HCG61" s="10"/>
      <c r="HCH61" s="10"/>
      <c r="HCI61" s="10"/>
      <c r="HCJ61" s="10"/>
      <c r="HCK61" s="10"/>
      <c r="HCL61" s="10"/>
      <c r="HCM61" s="10"/>
      <c r="HCN61" s="10"/>
      <c r="HCO61" s="10"/>
      <c r="HCP61" s="10"/>
      <c r="HCQ61" s="10"/>
      <c r="HCR61" s="10"/>
      <c r="HCS61" s="10"/>
      <c r="HCT61" s="10"/>
      <c r="HCU61" s="10"/>
      <c r="HCV61" s="10"/>
      <c r="HCW61" s="10"/>
      <c r="HCX61" s="10"/>
      <c r="HCY61" s="10"/>
      <c r="HCZ61" s="10"/>
      <c r="HDA61" s="10"/>
      <c r="HDB61" s="10"/>
      <c r="HDC61" s="10"/>
      <c r="HDD61" s="10"/>
      <c r="HDE61" s="10"/>
      <c r="HDF61" s="10"/>
      <c r="HDG61" s="10"/>
      <c r="HDH61" s="10"/>
      <c r="HDI61" s="10"/>
      <c r="HDJ61" s="10"/>
      <c r="HDK61" s="10"/>
      <c r="HDL61" s="10"/>
      <c r="HDM61" s="10"/>
      <c r="HDN61" s="10"/>
      <c r="HDO61" s="10"/>
      <c r="HDP61" s="10"/>
      <c r="HDQ61" s="10"/>
      <c r="HDR61" s="10"/>
      <c r="HDS61" s="10"/>
      <c r="HDT61" s="10"/>
      <c r="HDU61" s="10"/>
      <c r="HDV61" s="10"/>
      <c r="HDW61" s="10"/>
      <c r="HDX61" s="10"/>
      <c r="HDY61" s="10"/>
      <c r="HDZ61" s="10"/>
      <c r="HEA61" s="10"/>
      <c r="HEB61" s="10"/>
      <c r="HEC61" s="10"/>
      <c r="HED61" s="10"/>
      <c r="HEE61" s="10"/>
      <c r="HEF61" s="10"/>
      <c r="HEG61" s="10"/>
      <c r="HEH61" s="10"/>
      <c r="HEI61" s="10"/>
      <c r="HEJ61" s="10"/>
      <c r="HEK61" s="10"/>
      <c r="HEL61" s="10"/>
      <c r="HEM61" s="10"/>
      <c r="HEN61" s="10"/>
      <c r="HEO61" s="10"/>
      <c r="HEP61" s="10"/>
      <c r="HEQ61" s="10"/>
      <c r="HER61" s="10"/>
      <c r="HES61" s="10"/>
      <c r="HET61" s="10"/>
      <c r="HEU61" s="10"/>
      <c r="HEV61" s="10"/>
      <c r="HEW61" s="10"/>
      <c r="HEX61" s="10"/>
      <c r="HEY61" s="10"/>
      <c r="HEZ61" s="10"/>
      <c r="HFA61" s="10"/>
      <c r="HFB61" s="10"/>
      <c r="HFC61" s="10"/>
      <c r="HFD61" s="10"/>
      <c r="HFE61" s="10"/>
      <c r="HFF61" s="10"/>
      <c r="HFG61" s="10"/>
      <c r="HFH61" s="10"/>
      <c r="HFI61" s="10"/>
      <c r="HFJ61" s="10"/>
      <c r="HFK61" s="10"/>
      <c r="HFL61" s="10"/>
      <c r="HFM61" s="10"/>
      <c r="HFN61" s="10"/>
      <c r="HFO61" s="10"/>
      <c r="HFP61" s="10"/>
      <c r="HFQ61" s="10"/>
      <c r="HFR61" s="10"/>
      <c r="HFS61" s="10"/>
      <c r="HFT61" s="10"/>
      <c r="HFU61" s="10"/>
      <c r="HFV61" s="10"/>
      <c r="HFW61" s="10"/>
      <c r="HFX61" s="10"/>
      <c r="HFY61" s="10"/>
      <c r="HFZ61" s="10"/>
      <c r="HGA61" s="10"/>
      <c r="HGB61" s="10"/>
      <c r="HGC61" s="10"/>
      <c r="HGD61" s="10"/>
      <c r="HGE61" s="10"/>
      <c r="HGF61" s="10"/>
      <c r="HGG61" s="10"/>
      <c r="HGH61" s="10"/>
      <c r="HGI61" s="10"/>
      <c r="HGJ61" s="10"/>
      <c r="HGK61" s="10"/>
      <c r="HGL61" s="10"/>
      <c r="HGM61" s="10"/>
      <c r="HGN61" s="10"/>
      <c r="HGO61" s="10"/>
      <c r="HGP61" s="10"/>
      <c r="HGQ61" s="10"/>
      <c r="HGR61" s="10"/>
      <c r="HGS61" s="10"/>
      <c r="HGT61" s="10"/>
      <c r="HGU61" s="10"/>
      <c r="HGV61" s="10"/>
      <c r="HGW61" s="10"/>
      <c r="HGX61" s="10"/>
      <c r="HGY61" s="10"/>
      <c r="HGZ61" s="10"/>
      <c r="HHA61" s="10"/>
      <c r="HHB61" s="10"/>
      <c r="HHC61" s="10"/>
      <c r="HHD61" s="10"/>
      <c r="HHE61" s="10"/>
      <c r="HHF61" s="10"/>
      <c r="HHG61" s="10"/>
      <c r="HHH61" s="10"/>
      <c r="HHI61" s="10"/>
      <c r="HHJ61" s="10"/>
      <c r="HHK61" s="10"/>
      <c r="HHL61" s="10"/>
      <c r="HHM61" s="10"/>
      <c r="HHN61" s="10"/>
      <c r="HHO61" s="10"/>
      <c r="HHP61" s="10"/>
      <c r="HHQ61" s="10"/>
      <c r="HHR61" s="10"/>
      <c r="HHS61" s="10"/>
      <c r="HHT61" s="10"/>
      <c r="HHU61" s="10"/>
      <c r="HHV61" s="10"/>
      <c r="HHW61" s="10"/>
      <c r="HHX61" s="10"/>
      <c r="HHY61" s="10"/>
      <c r="HHZ61" s="10"/>
      <c r="HIA61" s="10"/>
      <c r="HIB61" s="10"/>
      <c r="HIC61" s="10"/>
      <c r="HID61" s="10"/>
      <c r="HIE61" s="10"/>
      <c r="HIF61" s="10"/>
      <c r="HIG61" s="10"/>
      <c r="HIH61" s="10"/>
      <c r="HII61" s="10"/>
      <c r="HIJ61" s="10"/>
      <c r="HIK61" s="10"/>
      <c r="HIL61" s="10"/>
      <c r="HIM61" s="10"/>
      <c r="HIN61" s="10"/>
      <c r="HIO61" s="10"/>
      <c r="HIP61" s="10"/>
      <c r="HIQ61" s="10"/>
      <c r="HIR61" s="10"/>
      <c r="HIS61" s="10"/>
      <c r="HIT61" s="10"/>
      <c r="HIU61" s="10"/>
      <c r="HIV61" s="10"/>
      <c r="HIW61" s="10"/>
      <c r="HIX61" s="10"/>
      <c r="HIY61" s="10"/>
      <c r="HIZ61" s="10"/>
      <c r="HJA61" s="10"/>
      <c r="HJB61" s="10"/>
      <c r="HJC61" s="10"/>
      <c r="HJD61" s="10"/>
      <c r="HJE61" s="10"/>
      <c r="HJF61" s="10"/>
      <c r="HJG61" s="10"/>
      <c r="HJH61" s="10"/>
      <c r="HJI61" s="10"/>
      <c r="HJJ61" s="10"/>
      <c r="HJK61" s="10"/>
      <c r="HJL61" s="10"/>
      <c r="HJM61" s="10"/>
      <c r="HJN61" s="10"/>
      <c r="HJO61" s="10"/>
      <c r="HJP61" s="10"/>
      <c r="HJQ61" s="10"/>
      <c r="HJR61" s="10"/>
      <c r="HJS61" s="10"/>
      <c r="HJT61" s="10"/>
      <c r="HJU61" s="10"/>
      <c r="HJV61" s="10"/>
      <c r="HJW61" s="10"/>
      <c r="HJX61" s="10"/>
      <c r="HJY61" s="10"/>
      <c r="HJZ61" s="10"/>
      <c r="HKA61" s="10"/>
      <c r="HKB61" s="10"/>
      <c r="HKC61" s="10"/>
      <c r="HKD61" s="10"/>
      <c r="HKE61" s="10"/>
      <c r="HKF61" s="10"/>
      <c r="HKG61" s="10"/>
      <c r="HKH61" s="10"/>
      <c r="HKI61" s="10"/>
      <c r="HKJ61" s="10"/>
      <c r="HKK61" s="10"/>
      <c r="HKL61" s="10"/>
      <c r="HKM61" s="10"/>
      <c r="HKN61" s="10"/>
      <c r="HKO61" s="10"/>
      <c r="HKP61" s="10"/>
      <c r="HKQ61" s="10"/>
      <c r="HKR61" s="10"/>
      <c r="HKS61" s="10"/>
      <c r="HKT61" s="10"/>
      <c r="HKU61" s="10"/>
      <c r="HKV61" s="10"/>
      <c r="HKW61" s="10"/>
      <c r="HKX61" s="10"/>
      <c r="HKY61" s="10"/>
      <c r="HKZ61" s="10"/>
      <c r="HLA61" s="10"/>
      <c r="HLB61" s="10"/>
      <c r="HLC61" s="10"/>
      <c r="HLD61" s="10"/>
      <c r="HLE61" s="10"/>
      <c r="HLF61" s="10"/>
      <c r="HLG61" s="10"/>
      <c r="HLH61" s="10"/>
      <c r="HLI61" s="10"/>
      <c r="HLJ61" s="10"/>
      <c r="HLK61" s="10"/>
      <c r="HLL61" s="10"/>
      <c r="HLM61" s="10"/>
      <c r="HLN61" s="10"/>
      <c r="HLO61" s="10"/>
      <c r="HLP61" s="10"/>
      <c r="HLQ61" s="10"/>
      <c r="HLR61" s="10"/>
      <c r="HLS61" s="10"/>
      <c r="HLT61" s="10"/>
      <c r="HLU61" s="10"/>
      <c r="HLV61" s="10"/>
      <c r="HLW61" s="10"/>
      <c r="HLX61" s="10"/>
      <c r="HLY61" s="10"/>
      <c r="HLZ61" s="10"/>
      <c r="HMA61" s="10"/>
      <c r="HMB61" s="10"/>
      <c r="HMC61" s="10"/>
      <c r="HMD61" s="10"/>
      <c r="HME61" s="10"/>
      <c r="HMF61" s="10"/>
      <c r="HMG61" s="10"/>
      <c r="HMH61" s="10"/>
      <c r="HMI61" s="10"/>
      <c r="HMJ61" s="10"/>
      <c r="HMK61" s="10"/>
      <c r="HML61" s="10"/>
      <c r="HMM61" s="10"/>
      <c r="HMN61" s="10"/>
      <c r="HMO61" s="10"/>
      <c r="HMP61" s="10"/>
      <c r="HMQ61" s="10"/>
      <c r="HMR61" s="10"/>
      <c r="HMS61" s="10"/>
      <c r="HMT61" s="10"/>
      <c r="HMU61" s="10"/>
      <c r="HMV61" s="10"/>
      <c r="HMW61" s="10"/>
      <c r="HMX61" s="10"/>
      <c r="HMY61" s="10"/>
      <c r="HMZ61" s="10"/>
      <c r="HNA61" s="10"/>
      <c r="HNB61" s="10"/>
      <c r="HNC61" s="10"/>
      <c r="HND61" s="10"/>
      <c r="HNE61" s="10"/>
      <c r="HNF61" s="10"/>
      <c r="HNG61" s="10"/>
      <c r="HNH61" s="10"/>
      <c r="HNI61" s="10"/>
      <c r="HNJ61" s="10"/>
      <c r="HNK61" s="10"/>
      <c r="HNL61" s="10"/>
      <c r="HNM61" s="10"/>
      <c r="HNN61" s="10"/>
      <c r="HNO61" s="10"/>
      <c r="HNP61" s="10"/>
      <c r="HNQ61" s="10"/>
      <c r="HNR61" s="10"/>
      <c r="HNS61" s="10"/>
      <c r="HNT61" s="10"/>
      <c r="HNU61" s="10"/>
      <c r="HNV61" s="10"/>
      <c r="HNW61" s="10"/>
      <c r="HNX61" s="10"/>
      <c r="HNY61" s="10"/>
      <c r="HNZ61" s="10"/>
      <c r="HOA61" s="10"/>
      <c r="HOB61" s="10"/>
      <c r="HOC61" s="10"/>
      <c r="HOD61" s="10"/>
      <c r="HOE61" s="10"/>
      <c r="HOF61" s="10"/>
      <c r="HOG61" s="10"/>
      <c r="HOH61" s="10"/>
      <c r="HOI61" s="10"/>
      <c r="HOJ61" s="10"/>
      <c r="HOK61" s="10"/>
      <c r="HOL61" s="10"/>
      <c r="HOM61" s="10"/>
      <c r="HON61" s="10"/>
      <c r="HOO61" s="10"/>
      <c r="HOP61" s="10"/>
      <c r="HOQ61" s="10"/>
      <c r="HOR61" s="10"/>
      <c r="HOS61" s="10"/>
      <c r="HOT61" s="10"/>
      <c r="HOU61" s="10"/>
      <c r="HOV61" s="10"/>
      <c r="HOW61" s="10"/>
      <c r="HOX61" s="10"/>
      <c r="HOY61" s="10"/>
      <c r="HOZ61" s="10"/>
      <c r="HPA61" s="10"/>
      <c r="HPB61" s="10"/>
      <c r="HPC61" s="10"/>
      <c r="HPD61" s="10"/>
      <c r="HPE61" s="10"/>
      <c r="HPF61" s="10"/>
      <c r="HPG61" s="10"/>
      <c r="HPH61" s="10"/>
      <c r="HPI61" s="10"/>
      <c r="HPJ61" s="10"/>
      <c r="HPK61" s="10"/>
      <c r="HPL61" s="10"/>
      <c r="HPM61" s="10"/>
      <c r="HPN61" s="10"/>
      <c r="HPO61" s="10"/>
      <c r="HPP61" s="10"/>
      <c r="HPQ61" s="10"/>
      <c r="HPR61" s="10"/>
      <c r="HPS61" s="10"/>
      <c r="HPT61" s="10"/>
      <c r="HPU61" s="10"/>
      <c r="HPV61" s="10"/>
      <c r="HPW61" s="10"/>
      <c r="HPX61" s="10"/>
      <c r="HPY61" s="10"/>
      <c r="HPZ61" s="10"/>
      <c r="HQA61" s="10"/>
      <c r="HQB61" s="10"/>
      <c r="HQC61" s="10"/>
      <c r="HQD61" s="10"/>
      <c r="HQE61" s="10"/>
      <c r="HQF61" s="10"/>
      <c r="HQG61" s="10"/>
      <c r="HQH61" s="10"/>
      <c r="HQI61" s="10"/>
      <c r="HQJ61" s="10"/>
      <c r="HQK61" s="10"/>
      <c r="HQL61" s="10"/>
      <c r="HQM61" s="10"/>
      <c r="HQN61" s="10"/>
      <c r="HQO61" s="10"/>
      <c r="HQP61" s="10"/>
      <c r="HQQ61" s="10"/>
      <c r="HQR61" s="10"/>
      <c r="HQS61" s="10"/>
      <c r="HQT61" s="10"/>
      <c r="HQU61" s="10"/>
      <c r="HQV61" s="10"/>
      <c r="HQW61" s="10"/>
      <c r="HQX61" s="10"/>
      <c r="HQY61" s="10"/>
      <c r="HQZ61" s="10"/>
      <c r="HRA61" s="10"/>
      <c r="HRB61" s="10"/>
      <c r="HRC61" s="10"/>
      <c r="HRD61" s="10"/>
      <c r="HRE61" s="10"/>
      <c r="HRF61" s="10"/>
      <c r="HRG61" s="10"/>
      <c r="HRH61" s="10"/>
      <c r="HRI61" s="10"/>
      <c r="HRJ61" s="10"/>
      <c r="HRK61" s="10"/>
      <c r="HRL61" s="10"/>
      <c r="HRM61" s="10"/>
      <c r="HRN61" s="10"/>
      <c r="HRO61" s="10"/>
      <c r="HRP61" s="10"/>
      <c r="HRQ61" s="10"/>
      <c r="HRR61" s="10"/>
      <c r="HRS61" s="10"/>
      <c r="HRT61" s="10"/>
      <c r="HRU61" s="10"/>
      <c r="HRV61" s="10"/>
      <c r="HRW61" s="10"/>
      <c r="HRX61" s="10"/>
      <c r="HRY61" s="10"/>
      <c r="HRZ61" s="10"/>
      <c r="HSA61" s="10"/>
      <c r="HSB61" s="10"/>
      <c r="HSC61" s="10"/>
      <c r="HSD61" s="10"/>
      <c r="HSE61" s="10"/>
      <c r="HSF61" s="10"/>
      <c r="HSG61" s="10"/>
      <c r="HSH61" s="10"/>
      <c r="HSI61" s="10"/>
      <c r="HSJ61" s="10"/>
      <c r="HSK61" s="10"/>
      <c r="HSL61" s="10"/>
      <c r="HSM61" s="10"/>
      <c r="HSN61" s="10"/>
      <c r="HSO61" s="10"/>
      <c r="HSP61" s="10"/>
      <c r="HSQ61" s="10"/>
      <c r="HSR61" s="10"/>
      <c r="HSS61" s="10"/>
      <c r="HST61" s="10"/>
      <c r="HSU61" s="10"/>
      <c r="HSV61" s="10"/>
      <c r="HSW61" s="10"/>
      <c r="HSX61" s="10"/>
      <c r="HSY61" s="10"/>
      <c r="HSZ61" s="10"/>
      <c r="HTA61" s="10"/>
      <c r="HTB61" s="10"/>
      <c r="HTC61" s="10"/>
      <c r="HTD61" s="10"/>
      <c r="HTE61" s="10"/>
      <c r="HTF61" s="10"/>
      <c r="HTG61" s="10"/>
      <c r="HTH61" s="10"/>
      <c r="HTI61" s="10"/>
      <c r="HTJ61" s="10"/>
      <c r="HTK61" s="10"/>
      <c r="HTL61" s="10"/>
      <c r="HTM61" s="10"/>
      <c r="HTN61" s="10"/>
      <c r="HTO61" s="10"/>
      <c r="HTP61" s="10"/>
      <c r="HTQ61" s="10"/>
      <c r="HTR61" s="10"/>
      <c r="HTS61" s="10"/>
      <c r="HTT61" s="10"/>
      <c r="HTU61" s="10"/>
      <c r="HTV61" s="10"/>
      <c r="HTW61" s="10"/>
      <c r="HTX61" s="10"/>
      <c r="HTY61" s="10"/>
      <c r="HTZ61" s="10"/>
      <c r="HUA61" s="10"/>
      <c r="HUB61" s="10"/>
      <c r="HUC61" s="10"/>
      <c r="HUD61" s="10"/>
      <c r="HUE61" s="10"/>
      <c r="HUF61" s="10"/>
      <c r="HUG61" s="10"/>
      <c r="HUH61" s="10"/>
      <c r="HUI61" s="10"/>
      <c r="HUJ61" s="10"/>
      <c r="HUK61" s="10"/>
      <c r="HUL61" s="10"/>
      <c r="HUM61" s="10"/>
      <c r="HUN61" s="10"/>
      <c r="HUO61" s="10"/>
      <c r="HUP61" s="10"/>
      <c r="HUQ61" s="10"/>
      <c r="HUR61" s="10"/>
      <c r="HUS61" s="10"/>
      <c r="HUT61" s="10"/>
      <c r="HUU61" s="10"/>
      <c r="HUV61" s="10"/>
      <c r="HUW61" s="10"/>
      <c r="HUX61" s="10"/>
      <c r="HUY61" s="10"/>
      <c r="HUZ61" s="10"/>
      <c r="HVA61" s="10"/>
      <c r="HVB61" s="10"/>
      <c r="HVC61" s="10"/>
      <c r="HVD61" s="10"/>
      <c r="HVE61" s="10"/>
      <c r="HVF61" s="10"/>
      <c r="HVG61" s="10"/>
      <c r="HVH61" s="10"/>
      <c r="HVI61" s="10"/>
      <c r="HVJ61" s="10"/>
      <c r="HVK61" s="10"/>
      <c r="HVL61" s="10"/>
      <c r="HVM61" s="10"/>
      <c r="HVN61" s="10"/>
      <c r="HVO61" s="10"/>
      <c r="HVP61" s="10"/>
      <c r="HVQ61" s="10"/>
      <c r="HVR61" s="10"/>
      <c r="HVS61" s="10"/>
      <c r="HVT61" s="10"/>
      <c r="HVU61" s="10"/>
      <c r="HVV61" s="10"/>
      <c r="HVW61" s="10"/>
      <c r="HVX61" s="10"/>
      <c r="HVY61" s="10"/>
      <c r="HVZ61" s="10"/>
      <c r="HWA61" s="10"/>
      <c r="HWB61" s="10"/>
      <c r="HWC61" s="10"/>
      <c r="HWD61" s="10"/>
      <c r="HWE61" s="10"/>
      <c r="HWF61" s="10"/>
      <c r="HWG61" s="10"/>
      <c r="HWH61" s="10"/>
      <c r="HWI61" s="10"/>
      <c r="HWJ61" s="10"/>
      <c r="HWK61" s="10"/>
      <c r="HWL61" s="10"/>
      <c r="HWM61" s="10"/>
      <c r="HWN61" s="10"/>
      <c r="HWO61" s="10"/>
      <c r="HWP61" s="10"/>
      <c r="HWQ61" s="10"/>
      <c r="HWR61" s="10"/>
      <c r="HWS61" s="10"/>
      <c r="HWT61" s="10"/>
      <c r="HWU61" s="10"/>
      <c r="HWV61" s="10"/>
      <c r="HWW61" s="10"/>
      <c r="HWX61" s="10"/>
      <c r="HWY61" s="10"/>
      <c r="HWZ61" s="10"/>
      <c r="HXA61" s="10"/>
      <c r="HXB61" s="10"/>
      <c r="HXC61" s="10"/>
      <c r="HXD61" s="10"/>
      <c r="HXE61" s="10"/>
      <c r="HXF61" s="10"/>
      <c r="HXG61" s="10"/>
      <c r="HXH61" s="10"/>
      <c r="HXI61" s="10"/>
      <c r="HXJ61" s="10"/>
      <c r="HXK61" s="10"/>
      <c r="HXL61" s="10"/>
      <c r="HXM61" s="10"/>
      <c r="HXN61" s="10"/>
      <c r="HXO61" s="10"/>
      <c r="HXP61" s="10"/>
      <c r="HXQ61" s="10"/>
      <c r="HXR61" s="10"/>
      <c r="HXS61" s="10"/>
      <c r="HXT61" s="10"/>
      <c r="HXU61" s="10"/>
      <c r="HXV61" s="10"/>
      <c r="HXW61" s="10"/>
      <c r="HXX61" s="10"/>
      <c r="HXY61" s="10"/>
      <c r="HXZ61" s="10"/>
      <c r="HYA61" s="10"/>
      <c r="HYB61" s="10"/>
      <c r="HYC61" s="10"/>
      <c r="HYD61" s="10"/>
      <c r="HYE61" s="10"/>
      <c r="HYF61" s="10"/>
      <c r="HYG61" s="10"/>
      <c r="HYH61" s="10"/>
      <c r="HYI61" s="10"/>
      <c r="HYJ61" s="10"/>
      <c r="HYK61" s="10"/>
      <c r="HYL61" s="10"/>
      <c r="HYM61" s="10"/>
      <c r="HYN61" s="10"/>
      <c r="HYO61" s="10"/>
      <c r="HYP61" s="10"/>
      <c r="HYQ61" s="10"/>
      <c r="HYR61" s="10"/>
      <c r="HYS61" s="10"/>
      <c r="HYT61" s="10"/>
      <c r="HYU61" s="10"/>
      <c r="HYV61" s="10"/>
      <c r="HYW61" s="10"/>
      <c r="HYX61" s="10"/>
      <c r="HYY61" s="10"/>
      <c r="HYZ61" s="10"/>
      <c r="HZA61" s="10"/>
      <c r="HZB61" s="10"/>
      <c r="HZC61" s="10"/>
      <c r="HZD61" s="10"/>
      <c r="HZE61" s="10"/>
      <c r="HZF61" s="10"/>
      <c r="HZG61" s="10"/>
      <c r="HZH61" s="10"/>
      <c r="HZI61" s="10"/>
      <c r="HZJ61" s="10"/>
      <c r="HZK61" s="10"/>
      <c r="HZL61" s="10"/>
      <c r="HZM61" s="10"/>
      <c r="HZN61" s="10"/>
      <c r="HZO61" s="10"/>
      <c r="HZP61" s="10"/>
      <c r="HZQ61" s="10"/>
      <c r="HZR61" s="10"/>
      <c r="HZS61" s="10"/>
      <c r="HZT61" s="10"/>
      <c r="HZU61" s="10"/>
      <c r="HZV61" s="10"/>
      <c r="HZW61" s="10"/>
      <c r="HZX61" s="10"/>
      <c r="HZY61" s="10"/>
      <c r="HZZ61" s="10"/>
      <c r="IAA61" s="10"/>
      <c r="IAB61" s="10"/>
      <c r="IAC61" s="10"/>
      <c r="IAD61" s="10"/>
      <c r="IAE61" s="10"/>
      <c r="IAF61" s="10"/>
      <c r="IAG61" s="10"/>
      <c r="IAH61" s="10"/>
      <c r="IAI61" s="10"/>
      <c r="IAJ61" s="10"/>
      <c r="IAK61" s="10"/>
      <c r="IAL61" s="10"/>
      <c r="IAM61" s="10"/>
      <c r="IAN61" s="10"/>
      <c r="IAO61" s="10"/>
      <c r="IAP61" s="10"/>
      <c r="IAQ61" s="10"/>
      <c r="IAR61" s="10"/>
      <c r="IAS61" s="10"/>
      <c r="IAT61" s="10"/>
      <c r="IAU61" s="10"/>
      <c r="IAV61" s="10"/>
      <c r="IAW61" s="10"/>
      <c r="IAX61" s="10"/>
      <c r="IAY61" s="10"/>
      <c r="IAZ61" s="10"/>
      <c r="IBA61" s="10"/>
      <c r="IBB61" s="10"/>
      <c r="IBC61" s="10"/>
      <c r="IBD61" s="10"/>
      <c r="IBE61" s="10"/>
      <c r="IBF61" s="10"/>
      <c r="IBG61" s="10"/>
      <c r="IBH61" s="10"/>
      <c r="IBI61" s="10"/>
      <c r="IBJ61" s="10"/>
      <c r="IBK61" s="10"/>
      <c r="IBL61" s="10"/>
      <c r="IBM61" s="10"/>
      <c r="IBN61" s="10"/>
      <c r="IBO61" s="10"/>
      <c r="IBP61" s="10"/>
      <c r="IBQ61" s="10"/>
      <c r="IBR61" s="10"/>
      <c r="IBS61" s="10"/>
      <c r="IBT61" s="10"/>
      <c r="IBU61" s="10"/>
      <c r="IBV61" s="10"/>
      <c r="IBW61" s="10"/>
      <c r="IBX61" s="10"/>
      <c r="IBY61" s="10"/>
      <c r="IBZ61" s="10"/>
      <c r="ICA61" s="10"/>
      <c r="ICB61" s="10"/>
      <c r="ICC61" s="10"/>
      <c r="ICD61" s="10"/>
      <c r="ICE61" s="10"/>
      <c r="ICF61" s="10"/>
      <c r="ICG61" s="10"/>
      <c r="ICH61" s="10"/>
      <c r="ICI61" s="10"/>
      <c r="ICJ61" s="10"/>
      <c r="ICK61" s="10"/>
      <c r="ICL61" s="10"/>
      <c r="ICM61" s="10"/>
      <c r="ICN61" s="10"/>
      <c r="ICO61" s="10"/>
      <c r="ICP61" s="10"/>
      <c r="ICQ61" s="10"/>
      <c r="ICR61" s="10"/>
      <c r="ICS61" s="10"/>
      <c r="ICT61" s="10"/>
      <c r="ICU61" s="10"/>
      <c r="ICV61" s="10"/>
      <c r="ICW61" s="10"/>
      <c r="ICX61" s="10"/>
      <c r="ICY61" s="10"/>
      <c r="ICZ61" s="10"/>
      <c r="IDA61" s="10"/>
      <c r="IDB61" s="10"/>
      <c r="IDC61" s="10"/>
      <c r="IDD61" s="10"/>
      <c r="IDE61" s="10"/>
      <c r="IDF61" s="10"/>
      <c r="IDG61" s="10"/>
      <c r="IDH61" s="10"/>
      <c r="IDI61" s="10"/>
      <c r="IDJ61" s="10"/>
      <c r="IDK61" s="10"/>
      <c r="IDL61" s="10"/>
      <c r="IDM61" s="10"/>
      <c r="IDN61" s="10"/>
      <c r="IDO61" s="10"/>
      <c r="IDP61" s="10"/>
      <c r="IDQ61" s="10"/>
      <c r="IDR61" s="10"/>
      <c r="IDS61" s="10"/>
      <c r="IDT61" s="10"/>
      <c r="IDU61" s="10"/>
      <c r="IDV61" s="10"/>
      <c r="IDW61" s="10"/>
      <c r="IDX61" s="10"/>
      <c r="IDY61" s="10"/>
      <c r="IDZ61" s="10"/>
      <c r="IEA61" s="10"/>
      <c r="IEB61" s="10"/>
      <c r="IEC61" s="10"/>
      <c r="IED61" s="10"/>
      <c r="IEE61" s="10"/>
      <c r="IEF61" s="10"/>
      <c r="IEG61" s="10"/>
      <c r="IEH61" s="10"/>
      <c r="IEI61" s="10"/>
      <c r="IEJ61" s="10"/>
      <c r="IEK61" s="10"/>
      <c r="IEL61" s="10"/>
      <c r="IEM61" s="10"/>
      <c r="IEN61" s="10"/>
      <c r="IEO61" s="10"/>
      <c r="IEP61" s="10"/>
      <c r="IEQ61" s="10"/>
      <c r="IER61" s="10"/>
      <c r="IES61" s="10"/>
      <c r="IET61" s="10"/>
      <c r="IEU61" s="10"/>
      <c r="IEV61" s="10"/>
      <c r="IEW61" s="10"/>
      <c r="IEX61" s="10"/>
      <c r="IEY61" s="10"/>
      <c r="IEZ61" s="10"/>
      <c r="IFA61" s="10"/>
      <c r="IFB61" s="10"/>
      <c r="IFC61" s="10"/>
      <c r="IFD61" s="10"/>
      <c r="IFE61" s="10"/>
      <c r="IFF61" s="10"/>
      <c r="IFG61" s="10"/>
      <c r="IFH61" s="10"/>
      <c r="IFI61" s="10"/>
      <c r="IFJ61" s="10"/>
      <c r="IFK61" s="10"/>
      <c r="IFL61" s="10"/>
      <c r="IFM61" s="10"/>
      <c r="IFN61" s="10"/>
      <c r="IFO61" s="10"/>
      <c r="IFP61" s="10"/>
      <c r="IFQ61" s="10"/>
      <c r="IFR61" s="10"/>
      <c r="IFS61" s="10"/>
      <c r="IFT61" s="10"/>
      <c r="IFU61" s="10"/>
      <c r="IFV61" s="10"/>
      <c r="IFW61" s="10"/>
      <c r="IFX61" s="10"/>
      <c r="IFY61" s="10"/>
      <c r="IFZ61" s="10"/>
      <c r="IGA61" s="10"/>
      <c r="IGB61" s="10"/>
      <c r="IGC61" s="10"/>
      <c r="IGD61" s="10"/>
      <c r="IGE61" s="10"/>
      <c r="IGF61" s="10"/>
      <c r="IGG61" s="10"/>
      <c r="IGH61" s="10"/>
      <c r="IGI61" s="10"/>
      <c r="IGJ61" s="10"/>
      <c r="IGK61" s="10"/>
      <c r="IGL61" s="10"/>
      <c r="IGM61" s="10"/>
      <c r="IGN61" s="10"/>
      <c r="IGO61" s="10"/>
      <c r="IGP61" s="10"/>
      <c r="IGQ61" s="10"/>
      <c r="IGR61" s="10"/>
      <c r="IGS61" s="10"/>
      <c r="IGT61" s="10"/>
      <c r="IGU61" s="10"/>
      <c r="IGV61" s="10"/>
      <c r="IGW61" s="10"/>
      <c r="IGX61" s="10"/>
      <c r="IGY61" s="10"/>
      <c r="IGZ61" s="10"/>
      <c r="IHA61" s="10"/>
      <c r="IHB61" s="10"/>
      <c r="IHC61" s="10"/>
      <c r="IHD61" s="10"/>
      <c r="IHE61" s="10"/>
      <c r="IHF61" s="10"/>
      <c r="IHG61" s="10"/>
      <c r="IHH61" s="10"/>
      <c r="IHI61" s="10"/>
      <c r="IHJ61" s="10"/>
      <c r="IHK61" s="10"/>
      <c r="IHL61" s="10"/>
      <c r="IHM61" s="10"/>
      <c r="IHN61" s="10"/>
      <c r="IHO61" s="10"/>
      <c r="IHP61" s="10"/>
      <c r="IHQ61" s="10"/>
      <c r="IHR61" s="10"/>
      <c r="IHS61" s="10"/>
      <c r="IHT61" s="10"/>
      <c r="IHU61" s="10"/>
      <c r="IHV61" s="10"/>
      <c r="IHW61" s="10"/>
      <c r="IHX61" s="10"/>
      <c r="IHY61" s="10"/>
      <c r="IHZ61" s="10"/>
      <c r="IIA61" s="10"/>
      <c r="IIB61" s="10"/>
      <c r="IIC61" s="10"/>
      <c r="IID61" s="10"/>
      <c r="IIE61" s="10"/>
      <c r="IIF61" s="10"/>
      <c r="IIG61" s="10"/>
      <c r="IIH61" s="10"/>
      <c r="III61" s="10"/>
      <c r="IIJ61" s="10"/>
      <c r="IIK61" s="10"/>
      <c r="IIL61" s="10"/>
      <c r="IIM61" s="10"/>
      <c r="IIN61" s="10"/>
      <c r="IIO61" s="10"/>
      <c r="IIP61" s="10"/>
      <c r="IIQ61" s="10"/>
      <c r="IIR61" s="10"/>
      <c r="IIS61" s="10"/>
      <c r="IIT61" s="10"/>
      <c r="IIU61" s="10"/>
      <c r="IIV61" s="10"/>
      <c r="IIW61" s="10"/>
      <c r="IIX61" s="10"/>
      <c r="IIY61" s="10"/>
      <c r="IIZ61" s="10"/>
      <c r="IJA61" s="10"/>
      <c r="IJB61" s="10"/>
      <c r="IJC61" s="10"/>
      <c r="IJD61" s="10"/>
      <c r="IJE61" s="10"/>
      <c r="IJF61" s="10"/>
      <c r="IJG61" s="10"/>
      <c r="IJH61" s="10"/>
      <c r="IJI61" s="10"/>
      <c r="IJJ61" s="10"/>
      <c r="IJK61" s="10"/>
      <c r="IJL61" s="10"/>
      <c r="IJM61" s="10"/>
      <c r="IJN61" s="10"/>
      <c r="IJO61" s="10"/>
      <c r="IJP61" s="10"/>
      <c r="IJQ61" s="10"/>
      <c r="IJR61" s="10"/>
      <c r="IJS61" s="10"/>
      <c r="IJT61" s="10"/>
      <c r="IJU61" s="10"/>
      <c r="IJV61" s="10"/>
      <c r="IJW61" s="10"/>
      <c r="IJX61" s="10"/>
      <c r="IJY61" s="10"/>
      <c r="IJZ61" s="10"/>
      <c r="IKA61" s="10"/>
      <c r="IKB61" s="10"/>
      <c r="IKC61" s="10"/>
      <c r="IKD61" s="10"/>
      <c r="IKE61" s="10"/>
      <c r="IKF61" s="10"/>
      <c r="IKG61" s="10"/>
      <c r="IKH61" s="10"/>
      <c r="IKI61" s="10"/>
      <c r="IKJ61" s="10"/>
      <c r="IKK61" s="10"/>
      <c r="IKL61" s="10"/>
      <c r="IKM61" s="10"/>
      <c r="IKN61" s="10"/>
      <c r="IKO61" s="10"/>
      <c r="IKP61" s="10"/>
      <c r="IKQ61" s="10"/>
      <c r="IKR61" s="10"/>
      <c r="IKS61" s="10"/>
      <c r="IKT61" s="10"/>
      <c r="IKU61" s="10"/>
      <c r="IKV61" s="10"/>
      <c r="IKW61" s="10"/>
      <c r="IKX61" s="10"/>
      <c r="IKY61" s="10"/>
      <c r="IKZ61" s="10"/>
      <c r="ILA61" s="10"/>
      <c r="ILB61" s="10"/>
      <c r="ILC61" s="10"/>
      <c r="ILD61" s="10"/>
      <c r="ILE61" s="10"/>
      <c r="ILF61" s="10"/>
      <c r="ILG61" s="10"/>
      <c r="ILH61" s="10"/>
      <c r="ILI61" s="10"/>
      <c r="ILJ61" s="10"/>
      <c r="ILK61" s="10"/>
      <c r="ILL61" s="10"/>
      <c r="ILM61" s="10"/>
      <c r="ILN61" s="10"/>
      <c r="ILO61" s="10"/>
      <c r="ILP61" s="10"/>
      <c r="ILQ61" s="10"/>
      <c r="ILR61" s="10"/>
      <c r="ILS61" s="10"/>
      <c r="ILT61" s="10"/>
      <c r="ILU61" s="10"/>
      <c r="ILV61" s="10"/>
      <c r="ILW61" s="10"/>
      <c r="ILX61" s="10"/>
      <c r="ILY61" s="10"/>
      <c r="ILZ61" s="10"/>
      <c r="IMA61" s="10"/>
      <c r="IMB61" s="10"/>
      <c r="IMC61" s="10"/>
      <c r="IMD61" s="10"/>
      <c r="IME61" s="10"/>
      <c r="IMF61" s="10"/>
      <c r="IMG61" s="10"/>
      <c r="IMH61" s="10"/>
      <c r="IMI61" s="10"/>
      <c r="IMJ61" s="10"/>
      <c r="IMK61" s="10"/>
      <c r="IML61" s="10"/>
      <c r="IMM61" s="10"/>
      <c r="IMN61" s="10"/>
      <c r="IMO61" s="10"/>
      <c r="IMP61" s="10"/>
      <c r="IMQ61" s="10"/>
      <c r="IMR61" s="10"/>
      <c r="IMS61" s="10"/>
      <c r="IMT61" s="10"/>
      <c r="IMU61" s="10"/>
      <c r="IMV61" s="10"/>
      <c r="IMW61" s="10"/>
      <c r="IMX61" s="10"/>
      <c r="IMY61" s="10"/>
      <c r="IMZ61" s="10"/>
      <c r="INA61" s="10"/>
      <c r="INB61" s="10"/>
      <c r="INC61" s="10"/>
      <c r="IND61" s="10"/>
      <c r="INE61" s="10"/>
      <c r="INF61" s="10"/>
      <c r="ING61" s="10"/>
      <c r="INH61" s="10"/>
      <c r="INI61" s="10"/>
      <c r="INJ61" s="10"/>
      <c r="INK61" s="10"/>
      <c r="INL61" s="10"/>
      <c r="INM61" s="10"/>
      <c r="INN61" s="10"/>
      <c r="INO61" s="10"/>
      <c r="INP61" s="10"/>
      <c r="INQ61" s="10"/>
      <c r="INR61" s="10"/>
      <c r="INS61" s="10"/>
      <c r="INT61" s="10"/>
      <c r="INU61" s="10"/>
      <c r="INV61" s="10"/>
      <c r="INW61" s="10"/>
      <c r="INX61" s="10"/>
      <c r="INY61" s="10"/>
      <c r="INZ61" s="10"/>
      <c r="IOA61" s="10"/>
      <c r="IOB61" s="10"/>
      <c r="IOC61" s="10"/>
      <c r="IOD61" s="10"/>
      <c r="IOE61" s="10"/>
      <c r="IOF61" s="10"/>
      <c r="IOG61" s="10"/>
      <c r="IOH61" s="10"/>
      <c r="IOI61" s="10"/>
      <c r="IOJ61" s="10"/>
      <c r="IOK61" s="10"/>
      <c r="IOL61" s="10"/>
      <c r="IOM61" s="10"/>
      <c r="ION61" s="10"/>
      <c r="IOO61" s="10"/>
      <c r="IOP61" s="10"/>
      <c r="IOQ61" s="10"/>
      <c r="IOR61" s="10"/>
      <c r="IOS61" s="10"/>
      <c r="IOT61" s="10"/>
      <c r="IOU61" s="10"/>
      <c r="IOV61" s="10"/>
      <c r="IOW61" s="10"/>
      <c r="IOX61" s="10"/>
      <c r="IOY61" s="10"/>
      <c r="IOZ61" s="10"/>
      <c r="IPA61" s="10"/>
      <c r="IPB61" s="10"/>
      <c r="IPC61" s="10"/>
      <c r="IPD61" s="10"/>
      <c r="IPE61" s="10"/>
      <c r="IPF61" s="10"/>
      <c r="IPG61" s="10"/>
      <c r="IPH61" s="10"/>
      <c r="IPI61" s="10"/>
      <c r="IPJ61" s="10"/>
      <c r="IPK61" s="10"/>
      <c r="IPL61" s="10"/>
      <c r="IPM61" s="10"/>
      <c r="IPN61" s="10"/>
      <c r="IPO61" s="10"/>
      <c r="IPP61" s="10"/>
      <c r="IPQ61" s="10"/>
      <c r="IPR61" s="10"/>
      <c r="IPS61" s="10"/>
      <c r="IPT61" s="10"/>
      <c r="IPU61" s="10"/>
      <c r="IPV61" s="10"/>
      <c r="IPW61" s="10"/>
      <c r="IPX61" s="10"/>
      <c r="IPY61" s="10"/>
      <c r="IPZ61" s="10"/>
      <c r="IQA61" s="10"/>
      <c r="IQB61" s="10"/>
      <c r="IQC61" s="10"/>
      <c r="IQD61" s="10"/>
      <c r="IQE61" s="10"/>
      <c r="IQF61" s="10"/>
      <c r="IQG61" s="10"/>
      <c r="IQH61" s="10"/>
      <c r="IQI61" s="10"/>
      <c r="IQJ61" s="10"/>
      <c r="IQK61" s="10"/>
      <c r="IQL61" s="10"/>
      <c r="IQM61" s="10"/>
      <c r="IQN61" s="10"/>
      <c r="IQO61" s="10"/>
      <c r="IQP61" s="10"/>
      <c r="IQQ61" s="10"/>
      <c r="IQR61" s="10"/>
      <c r="IQS61" s="10"/>
      <c r="IQT61" s="10"/>
      <c r="IQU61" s="10"/>
      <c r="IQV61" s="10"/>
      <c r="IQW61" s="10"/>
      <c r="IQX61" s="10"/>
      <c r="IQY61" s="10"/>
      <c r="IQZ61" s="10"/>
      <c r="IRA61" s="10"/>
      <c r="IRB61" s="10"/>
      <c r="IRC61" s="10"/>
      <c r="IRD61" s="10"/>
      <c r="IRE61" s="10"/>
      <c r="IRF61" s="10"/>
      <c r="IRG61" s="10"/>
      <c r="IRH61" s="10"/>
      <c r="IRI61" s="10"/>
      <c r="IRJ61" s="10"/>
      <c r="IRK61" s="10"/>
      <c r="IRL61" s="10"/>
      <c r="IRM61" s="10"/>
      <c r="IRN61" s="10"/>
      <c r="IRO61" s="10"/>
      <c r="IRP61" s="10"/>
      <c r="IRQ61" s="10"/>
      <c r="IRR61" s="10"/>
      <c r="IRS61" s="10"/>
      <c r="IRT61" s="10"/>
      <c r="IRU61" s="10"/>
      <c r="IRV61" s="10"/>
      <c r="IRW61" s="10"/>
      <c r="IRX61" s="10"/>
      <c r="IRY61" s="10"/>
      <c r="IRZ61" s="10"/>
      <c r="ISA61" s="10"/>
      <c r="ISB61" s="10"/>
      <c r="ISC61" s="10"/>
      <c r="ISD61" s="10"/>
      <c r="ISE61" s="10"/>
      <c r="ISF61" s="10"/>
      <c r="ISG61" s="10"/>
      <c r="ISH61" s="10"/>
      <c r="ISI61" s="10"/>
      <c r="ISJ61" s="10"/>
      <c r="ISK61" s="10"/>
      <c r="ISL61" s="10"/>
      <c r="ISM61" s="10"/>
      <c r="ISN61" s="10"/>
      <c r="ISO61" s="10"/>
      <c r="ISP61" s="10"/>
      <c r="ISQ61" s="10"/>
      <c r="ISR61" s="10"/>
      <c r="ISS61" s="10"/>
      <c r="IST61" s="10"/>
      <c r="ISU61" s="10"/>
      <c r="ISV61" s="10"/>
      <c r="ISW61" s="10"/>
      <c r="ISX61" s="10"/>
      <c r="ISY61" s="10"/>
      <c r="ISZ61" s="10"/>
      <c r="ITA61" s="10"/>
      <c r="ITB61" s="10"/>
      <c r="ITC61" s="10"/>
      <c r="ITD61" s="10"/>
      <c r="ITE61" s="10"/>
      <c r="ITF61" s="10"/>
      <c r="ITG61" s="10"/>
      <c r="ITH61" s="10"/>
      <c r="ITI61" s="10"/>
      <c r="ITJ61" s="10"/>
      <c r="ITK61" s="10"/>
      <c r="ITL61" s="10"/>
      <c r="ITM61" s="10"/>
      <c r="ITN61" s="10"/>
      <c r="ITO61" s="10"/>
      <c r="ITP61" s="10"/>
      <c r="ITQ61" s="10"/>
      <c r="ITR61" s="10"/>
      <c r="ITS61" s="10"/>
      <c r="ITT61" s="10"/>
      <c r="ITU61" s="10"/>
      <c r="ITV61" s="10"/>
      <c r="ITW61" s="10"/>
      <c r="ITX61" s="10"/>
      <c r="ITY61" s="10"/>
      <c r="ITZ61" s="10"/>
      <c r="IUA61" s="10"/>
      <c r="IUB61" s="10"/>
      <c r="IUC61" s="10"/>
      <c r="IUD61" s="10"/>
      <c r="IUE61" s="10"/>
      <c r="IUF61" s="10"/>
      <c r="IUG61" s="10"/>
      <c r="IUH61" s="10"/>
      <c r="IUI61" s="10"/>
      <c r="IUJ61" s="10"/>
      <c r="IUK61" s="10"/>
      <c r="IUL61" s="10"/>
      <c r="IUM61" s="10"/>
      <c r="IUN61" s="10"/>
      <c r="IUO61" s="10"/>
      <c r="IUP61" s="10"/>
      <c r="IUQ61" s="10"/>
      <c r="IUR61" s="10"/>
      <c r="IUS61" s="10"/>
      <c r="IUT61" s="10"/>
      <c r="IUU61" s="10"/>
      <c r="IUV61" s="10"/>
      <c r="IUW61" s="10"/>
      <c r="IUX61" s="10"/>
      <c r="IUY61" s="10"/>
      <c r="IUZ61" s="10"/>
      <c r="IVA61" s="10"/>
      <c r="IVB61" s="10"/>
      <c r="IVC61" s="10"/>
      <c r="IVD61" s="10"/>
      <c r="IVE61" s="10"/>
      <c r="IVF61" s="10"/>
      <c r="IVG61" s="10"/>
      <c r="IVH61" s="10"/>
      <c r="IVI61" s="10"/>
      <c r="IVJ61" s="10"/>
      <c r="IVK61" s="10"/>
      <c r="IVL61" s="10"/>
      <c r="IVM61" s="10"/>
      <c r="IVN61" s="10"/>
      <c r="IVO61" s="10"/>
      <c r="IVP61" s="10"/>
      <c r="IVQ61" s="10"/>
      <c r="IVR61" s="10"/>
      <c r="IVS61" s="10"/>
      <c r="IVT61" s="10"/>
      <c r="IVU61" s="10"/>
      <c r="IVV61" s="10"/>
      <c r="IVW61" s="10"/>
      <c r="IVX61" s="10"/>
      <c r="IVY61" s="10"/>
      <c r="IVZ61" s="10"/>
      <c r="IWA61" s="10"/>
      <c r="IWB61" s="10"/>
      <c r="IWC61" s="10"/>
      <c r="IWD61" s="10"/>
      <c r="IWE61" s="10"/>
      <c r="IWF61" s="10"/>
      <c r="IWG61" s="10"/>
      <c r="IWH61" s="10"/>
      <c r="IWI61" s="10"/>
      <c r="IWJ61" s="10"/>
      <c r="IWK61" s="10"/>
      <c r="IWL61" s="10"/>
      <c r="IWM61" s="10"/>
      <c r="IWN61" s="10"/>
      <c r="IWO61" s="10"/>
      <c r="IWP61" s="10"/>
      <c r="IWQ61" s="10"/>
      <c r="IWR61" s="10"/>
      <c r="IWS61" s="10"/>
      <c r="IWT61" s="10"/>
      <c r="IWU61" s="10"/>
      <c r="IWV61" s="10"/>
      <c r="IWW61" s="10"/>
      <c r="IWX61" s="10"/>
      <c r="IWY61" s="10"/>
      <c r="IWZ61" s="10"/>
      <c r="IXA61" s="10"/>
      <c r="IXB61" s="10"/>
      <c r="IXC61" s="10"/>
      <c r="IXD61" s="10"/>
      <c r="IXE61" s="10"/>
      <c r="IXF61" s="10"/>
      <c r="IXG61" s="10"/>
      <c r="IXH61" s="10"/>
      <c r="IXI61" s="10"/>
      <c r="IXJ61" s="10"/>
      <c r="IXK61" s="10"/>
      <c r="IXL61" s="10"/>
      <c r="IXM61" s="10"/>
      <c r="IXN61" s="10"/>
      <c r="IXO61" s="10"/>
      <c r="IXP61" s="10"/>
      <c r="IXQ61" s="10"/>
      <c r="IXR61" s="10"/>
      <c r="IXS61" s="10"/>
      <c r="IXT61" s="10"/>
      <c r="IXU61" s="10"/>
      <c r="IXV61" s="10"/>
      <c r="IXW61" s="10"/>
      <c r="IXX61" s="10"/>
      <c r="IXY61" s="10"/>
      <c r="IXZ61" s="10"/>
      <c r="IYA61" s="10"/>
      <c r="IYB61" s="10"/>
      <c r="IYC61" s="10"/>
      <c r="IYD61" s="10"/>
      <c r="IYE61" s="10"/>
      <c r="IYF61" s="10"/>
      <c r="IYG61" s="10"/>
      <c r="IYH61" s="10"/>
      <c r="IYI61" s="10"/>
      <c r="IYJ61" s="10"/>
      <c r="IYK61" s="10"/>
      <c r="IYL61" s="10"/>
      <c r="IYM61" s="10"/>
      <c r="IYN61" s="10"/>
      <c r="IYO61" s="10"/>
      <c r="IYP61" s="10"/>
      <c r="IYQ61" s="10"/>
      <c r="IYR61" s="10"/>
      <c r="IYS61" s="10"/>
      <c r="IYT61" s="10"/>
      <c r="IYU61" s="10"/>
      <c r="IYV61" s="10"/>
      <c r="IYW61" s="10"/>
      <c r="IYX61" s="10"/>
      <c r="IYY61" s="10"/>
      <c r="IYZ61" s="10"/>
      <c r="IZA61" s="10"/>
      <c r="IZB61" s="10"/>
      <c r="IZC61" s="10"/>
      <c r="IZD61" s="10"/>
      <c r="IZE61" s="10"/>
      <c r="IZF61" s="10"/>
      <c r="IZG61" s="10"/>
      <c r="IZH61" s="10"/>
      <c r="IZI61" s="10"/>
      <c r="IZJ61" s="10"/>
      <c r="IZK61" s="10"/>
      <c r="IZL61" s="10"/>
      <c r="IZM61" s="10"/>
      <c r="IZN61" s="10"/>
      <c r="IZO61" s="10"/>
      <c r="IZP61" s="10"/>
      <c r="IZQ61" s="10"/>
      <c r="IZR61" s="10"/>
      <c r="IZS61" s="10"/>
      <c r="IZT61" s="10"/>
      <c r="IZU61" s="10"/>
      <c r="IZV61" s="10"/>
      <c r="IZW61" s="10"/>
      <c r="IZX61" s="10"/>
      <c r="IZY61" s="10"/>
      <c r="IZZ61" s="10"/>
      <c r="JAA61" s="10"/>
      <c r="JAB61" s="10"/>
      <c r="JAC61" s="10"/>
      <c r="JAD61" s="10"/>
      <c r="JAE61" s="10"/>
      <c r="JAF61" s="10"/>
      <c r="JAG61" s="10"/>
      <c r="JAH61" s="10"/>
      <c r="JAI61" s="10"/>
      <c r="JAJ61" s="10"/>
      <c r="JAK61" s="10"/>
      <c r="JAL61" s="10"/>
      <c r="JAM61" s="10"/>
      <c r="JAN61" s="10"/>
      <c r="JAO61" s="10"/>
      <c r="JAP61" s="10"/>
      <c r="JAQ61" s="10"/>
      <c r="JAR61" s="10"/>
      <c r="JAS61" s="10"/>
      <c r="JAT61" s="10"/>
      <c r="JAU61" s="10"/>
      <c r="JAV61" s="10"/>
      <c r="JAW61" s="10"/>
      <c r="JAX61" s="10"/>
      <c r="JAY61" s="10"/>
      <c r="JAZ61" s="10"/>
      <c r="JBA61" s="10"/>
      <c r="JBB61" s="10"/>
      <c r="JBC61" s="10"/>
      <c r="JBD61" s="10"/>
      <c r="JBE61" s="10"/>
      <c r="JBF61" s="10"/>
      <c r="JBG61" s="10"/>
      <c r="JBH61" s="10"/>
      <c r="JBI61" s="10"/>
      <c r="JBJ61" s="10"/>
      <c r="JBK61" s="10"/>
      <c r="JBL61" s="10"/>
      <c r="JBM61" s="10"/>
      <c r="JBN61" s="10"/>
      <c r="JBO61" s="10"/>
      <c r="JBP61" s="10"/>
      <c r="JBQ61" s="10"/>
      <c r="JBR61" s="10"/>
      <c r="JBS61" s="10"/>
      <c r="JBT61" s="10"/>
      <c r="JBU61" s="10"/>
      <c r="JBV61" s="10"/>
      <c r="JBW61" s="10"/>
      <c r="JBX61" s="10"/>
      <c r="JBY61" s="10"/>
      <c r="JBZ61" s="10"/>
      <c r="JCA61" s="10"/>
      <c r="JCB61" s="10"/>
      <c r="JCC61" s="10"/>
      <c r="JCD61" s="10"/>
      <c r="JCE61" s="10"/>
      <c r="JCF61" s="10"/>
      <c r="JCG61" s="10"/>
      <c r="JCH61" s="10"/>
      <c r="JCI61" s="10"/>
      <c r="JCJ61" s="10"/>
      <c r="JCK61" s="10"/>
      <c r="JCL61" s="10"/>
      <c r="JCM61" s="10"/>
      <c r="JCN61" s="10"/>
      <c r="JCO61" s="10"/>
      <c r="JCP61" s="10"/>
      <c r="JCQ61" s="10"/>
      <c r="JCR61" s="10"/>
      <c r="JCS61" s="10"/>
      <c r="JCT61" s="10"/>
      <c r="JCU61" s="10"/>
      <c r="JCV61" s="10"/>
      <c r="JCW61" s="10"/>
      <c r="JCX61" s="10"/>
      <c r="JCY61" s="10"/>
      <c r="JCZ61" s="10"/>
      <c r="JDA61" s="10"/>
      <c r="JDB61" s="10"/>
      <c r="JDC61" s="10"/>
      <c r="JDD61" s="10"/>
      <c r="JDE61" s="10"/>
      <c r="JDF61" s="10"/>
      <c r="JDG61" s="10"/>
      <c r="JDH61" s="10"/>
      <c r="JDI61" s="10"/>
      <c r="JDJ61" s="10"/>
      <c r="JDK61" s="10"/>
      <c r="JDL61" s="10"/>
      <c r="JDM61" s="10"/>
      <c r="JDN61" s="10"/>
      <c r="JDO61" s="10"/>
      <c r="JDP61" s="10"/>
      <c r="JDQ61" s="10"/>
      <c r="JDR61" s="10"/>
      <c r="JDS61" s="10"/>
      <c r="JDT61" s="10"/>
      <c r="JDU61" s="10"/>
      <c r="JDV61" s="10"/>
      <c r="JDW61" s="10"/>
      <c r="JDX61" s="10"/>
      <c r="JDY61" s="10"/>
      <c r="JDZ61" s="10"/>
      <c r="JEA61" s="10"/>
      <c r="JEB61" s="10"/>
      <c r="JEC61" s="10"/>
      <c r="JED61" s="10"/>
      <c r="JEE61" s="10"/>
      <c r="JEF61" s="10"/>
      <c r="JEG61" s="10"/>
      <c r="JEH61" s="10"/>
      <c r="JEI61" s="10"/>
      <c r="JEJ61" s="10"/>
      <c r="JEK61" s="10"/>
      <c r="JEL61" s="10"/>
      <c r="JEM61" s="10"/>
      <c r="JEN61" s="10"/>
      <c r="JEO61" s="10"/>
      <c r="JEP61" s="10"/>
      <c r="JEQ61" s="10"/>
      <c r="JER61" s="10"/>
      <c r="JES61" s="10"/>
      <c r="JET61" s="10"/>
      <c r="JEU61" s="10"/>
      <c r="JEV61" s="10"/>
      <c r="JEW61" s="10"/>
      <c r="JEX61" s="10"/>
      <c r="JEY61" s="10"/>
      <c r="JEZ61" s="10"/>
      <c r="JFA61" s="10"/>
      <c r="JFB61" s="10"/>
      <c r="JFC61" s="10"/>
      <c r="JFD61" s="10"/>
      <c r="JFE61" s="10"/>
      <c r="JFF61" s="10"/>
      <c r="JFG61" s="10"/>
      <c r="JFH61" s="10"/>
      <c r="JFI61" s="10"/>
      <c r="JFJ61" s="10"/>
      <c r="JFK61" s="10"/>
      <c r="JFL61" s="10"/>
      <c r="JFM61" s="10"/>
      <c r="JFN61" s="10"/>
      <c r="JFO61" s="10"/>
      <c r="JFP61" s="10"/>
      <c r="JFQ61" s="10"/>
      <c r="JFR61" s="10"/>
      <c r="JFS61" s="10"/>
      <c r="JFT61" s="10"/>
      <c r="JFU61" s="10"/>
      <c r="JFV61" s="10"/>
      <c r="JFW61" s="10"/>
      <c r="JFX61" s="10"/>
      <c r="JFY61" s="10"/>
      <c r="JFZ61" s="10"/>
      <c r="JGA61" s="10"/>
      <c r="JGB61" s="10"/>
      <c r="JGC61" s="10"/>
      <c r="JGD61" s="10"/>
      <c r="JGE61" s="10"/>
      <c r="JGF61" s="10"/>
      <c r="JGG61" s="10"/>
      <c r="JGH61" s="10"/>
      <c r="JGI61" s="10"/>
      <c r="JGJ61" s="10"/>
      <c r="JGK61" s="10"/>
      <c r="JGL61" s="10"/>
      <c r="JGM61" s="10"/>
      <c r="JGN61" s="10"/>
      <c r="JGO61" s="10"/>
      <c r="JGP61" s="10"/>
      <c r="JGQ61" s="10"/>
      <c r="JGR61" s="10"/>
      <c r="JGS61" s="10"/>
      <c r="JGT61" s="10"/>
      <c r="JGU61" s="10"/>
      <c r="JGV61" s="10"/>
      <c r="JGW61" s="10"/>
      <c r="JGX61" s="10"/>
      <c r="JGY61" s="10"/>
      <c r="JGZ61" s="10"/>
      <c r="JHA61" s="10"/>
      <c r="JHB61" s="10"/>
      <c r="JHC61" s="10"/>
      <c r="JHD61" s="10"/>
      <c r="JHE61" s="10"/>
      <c r="JHF61" s="10"/>
      <c r="JHG61" s="10"/>
      <c r="JHH61" s="10"/>
      <c r="JHI61" s="10"/>
      <c r="JHJ61" s="10"/>
      <c r="JHK61" s="10"/>
      <c r="JHL61" s="10"/>
      <c r="JHM61" s="10"/>
      <c r="JHN61" s="10"/>
      <c r="JHO61" s="10"/>
      <c r="JHP61" s="10"/>
      <c r="JHQ61" s="10"/>
      <c r="JHR61" s="10"/>
      <c r="JHS61" s="10"/>
      <c r="JHT61" s="10"/>
      <c r="JHU61" s="10"/>
      <c r="JHV61" s="10"/>
      <c r="JHW61" s="10"/>
      <c r="JHX61" s="10"/>
      <c r="JHY61" s="10"/>
      <c r="JHZ61" s="10"/>
      <c r="JIA61" s="10"/>
      <c r="JIB61" s="10"/>
      <c r="JIC61" s="10"/>
      <c r="JID61" s="10"/>
      <c r="JIE61" s="10"/>
      <c r="JIF61" s="10"/>
      <c r="JIG61" s="10"/>
      <c r="JIH61" s="10"/>
      <c r="JII61" s="10"/>
      <c r="JIJ61" s="10"/>
      <c r="JIK61" s="10"/>
      <c r="JIL61" s="10"/>
      <c r="JIM61" s="10"/>
      <c r="JIN61" s="10"/>
      <c r="JIO61" s="10"/>
      <c r="JIP61" s="10"/>
      <c r="JIQ61" s="10"/>
      <c r="JIR61" s="10"/>
      <c r="JIS61" s="10"/>
      <c r="JIT61" s="10"/>
      <c r="JIU61" s="10"/>
      <c r="JIV61" s="10"/>
      <c r="JIW61" s="10"/>
      <c r="JIX61" s="10"/>
      <c r="JIY61" s="10"/>
      <c r="JIZ61" s="10"/>
      <c r="JJA61" s="10"/>
      <c r="JJB61" s="10"/>
      <c r="JJC61" s="10"/>
      <c r="JJD61" s="10"/>
      <c r="JJE61" s="10"/>
      <c r="JJF61" s="10"/>
      <c r="JJG61" s="10"/>
      <c r="JJH61" s="10"/>
      <c r="JJI61" s="10"/>
      <c r="JJJ61" s="10"/>
      <c r="JJK61" s="10"/>
      <c r="JJL61" s="10"/>
      <c r="JJM61" s="10"/>
      <c r="JJN61" s="10"/>
      <c r="JJO61" s="10"/>
      <c r="JJP61" s="10"/>
      <c r="JJQ61" s="10"/>
      <c r="JJR61" s="10"/>
      <c r="JJS61" s="10"/>
      <c r="JJT61" s="10"/>
      <c r="JJU61" s="10"/>
      <c r="JJV61" s="10"/>
      <c r="JJW61" s="10"/>
      <c r="JJX61" s="10"/>
      <c r="JJY61" s="10"/>
      <c r="JJZ61" s="10"/>
      <c r="JKA61" s="10"/>
      <c r="JKB61" s="10"/>
      <c r="JKC61" s="10"/>
      <c r="JKD61" s="10"/>
      <c r="JKE61" s="10"/>
      <c r="JKF61" s="10"/>
      <c r="JKG61" s="10"/>
      <c r="JKH61" s="10"/>
      <c r="JKI61" s="10"/>
      <c r="JKJ61" s="10"/>
      <c r="JKK61" s="10"/>
      <c r="JKL61" s="10"/>
      <c r="JKM61" s="10"/>
      <c r="JKN61" s="10"/>
      <c r="JKO61" s="10"/>
      <c r="JKP61" s="10"/>
      <c r="JKQ61" s="10"/>
      <c r="JKR61" s="10"/>
      <c r="JKS61" s="10"/>
      <c r="JKT61" s="10"/>
      <c r="JKU61" s="10"/>
      <c r="JKV61" s="10"/>
      <c r="JKW61" s="10"/>
      <c r="JKX61" s="10"/>
      <c r="JKY61" s="10"/>
      <c r="JKZ61" s="10"/>
      <c r="JLA61" s="10"/>
      <c r="JLB61" s="10"/>
      <c r="JLC61" s="10"/>
      <c r="JLD61" s="10"/>
      <c r="JLE61" s="10"/>
      <c r="JLF61" s="10"/>
      <c r="JLG61" s="10"/>
      <c r="JLH61" s="10"/>
      <c r="JLI61" s="10"/>
      <c r="JLJ61" s="10"/>
      <c r="JLK61" s="10"/>
      <c r="JLL61" s="10"/>
      <c r="JLM61" s="10"/>
      <c r="JLN61" s="10"/>
      <c r="JLO61" s="10"/>
      <c r="JLP61" s="10"/>
      <c r="JLQ61" s="10"/>
      <c r="JLR61" s="10"/>
      <c r="JLS61" s="10"/>
      <c r="JLT61" s="10"/>
      <c r="JLU61" s="10"/>
      <c r="JLV61" s="10"/>
      <c r="JLW61" s="10"/>
      <c r="JLX61" s="10"/>
      <c r="JLY61" s="10"/>
      <c r="JLZ61" s="10"/>
      <c r="JMA61" s="10"/>
      <c r="JMB61" s="10"/>
      <c r="JMC61" s="10"/>
      <c r="JMD61" s="10"/>
      <c r="JME61" s="10"/>
      <c r="JMF61" s="10"/>
      <c r="JMG61" s="10"/>
      <c r="JMH61" s="10"/>
      <c r="JMI61" s="10"/>
      <c r="JMJ61" s="10"/>
      <c r="JMK61" s="10"/>
      <c r="JML61" s="10"/>
      <c r="JMM61" s="10"/>
      <c r="JMN61" s="10"/>
      <c r="JMO61" s="10"/>
      <c r="JMP61" s="10"/>
      <c r="JMQ61" s="10"/>
      <c r="JMR61" s="10"/>
      <c r="JMS61" s="10"/>
      <c r="JMT61" s="10"/>
      <c r="JMU61" s="10"/>
      <c r="JMV61" s="10"/>
      <c r="JMW61" s="10"/>
      <c r="JMX61" s="10"/>
      <c r="JMY61" s="10"/>
      <c r="JMZ61" s="10"/>
      <c r="JNA61" s="10"/>
      <c r="JNB61" s="10"/>
      <c r="JNC61" s="10"/>
      <c r="JND61" s="10"/>
      <c r="JNE61" s="10"/>
      <c r="JNF61" s="10"/>
      <c r="JNG61" s="10"/>
      <c r="JNH61" s="10"/>
      <c r="JNI61" s="10"/>
      <c r="JNJ61" s="10"/>
      <c r="JNK61" s="10"/>
      <c r="JNL61" s="10"/>
      <c r="JNM61" s="10"/>
      <c r="JNN61" s="10"/>
      <c r="JNO61" s="10"/>
      <c r="JNP61" s="10"/>
      <c r="JNQ61" s="10"/>
      <c r="JNR61" s="10"/>
      <c r="JNS61" s="10"/>
      <c r="JNT61" s="10"/>
      <c r="JNU61" s="10"/>
      <c r="JNV61" s="10"/>
      <c r="JNW61" s="10"/>
      <c r="JNX61" s="10"/>
      <c r="JNY61" s="10"/>
      <c r="JNZ61" s="10"/>
      <c r="JOA61" s="10"/>
      <c r="JOB61" s="10"/>
      <c r="JOC61" s="10"/>
      <c r="JOD61" s="10"/>
      <c r="JOE61" s="10"/>
      <c r="JOF61" s="10"/>
      <c r="JOG61" s="10"/>
      <c r="JOH61" s="10"/>
      <c r="JOI61" s="10"/>
      <c r="JOJ61" s="10"/>
      <c r="JOK61" s="10"/>
      <c r="JOL61" s="10"/>
      <c r="JOM61" s="10"/>
      <c r="JON61" s="10"/>
      <c r="JOO61" s="10"/>
      <c r="JOP61" s="10"/>
      <c r="JOQ61" s="10"/>
      <c r="JOR61" s="10"/>
      <c r="JOS61" s="10"/>
      <c r="JOT61" s="10"/>
      <c r="JOU61" s="10"/>
      <c r="JOV61" s="10"/>
      <c r="JOW61" s="10"/>
      <c r="JOX61" s="10"/>
      <c r="JOY61" s="10"/>
      <c r="JOZ61" s="10"/>
      <c r="JPA61" s="10"/>
      <c r="JPB61" s="10"/>
      <c r="JPC61" s="10"/>
      <c r="JPD61" s="10"/>
      <c r="JPE61" s="10"/>
      <c r="JPF61" s="10"/>
      <c r="JPG61" s="10"/>
      <c r="JPH61" s="10"/>
      <c r="JPI61" s="10"/>
      <c r="JPJ61" s="10"/>
      <c r="JPK61" s="10"/>
      <c r="JPL61" s="10"/>
      <c r="JPM61" s="10"/>
      <c r="JPN61" s="10"/>
      <c r="JPO61" s="10"/>
      <c r="JPP61" s="10"/>
      <c r="JPQ61" s="10"/>
      <c r="JPR61" s="10"/>
      <c r="JPS61" s="10"/>
      <c r="JPT61" s="10"/>
      <c r="JPU61" s="10"/>
      <c r="JPV61" s="10"/>
      <c r="JPW61" s="10"/>
      <c r="JPX61" s="10"/>
      <c r="JPY61" s="10"/>
      <c r="JPZ61" s="10"/>
      <c r="JQA61" s="10"/>
      <c r="JQB61" s="10"/>
      <c r="JQC61" s="10"/>
      <c r="JQD61" s="10"/>
      <c r="JQE61" s="10"/>
      <c r="JQF61" s="10"/>
      <c r="JQG61" s="10"/>
      <c r="JQH61" s="10"/>
      <c r="JQI61" s="10"/>
      <c r="JQJ61" s="10"/>
      <c r="JQK61" s="10"/>
      <c r="JQL61" s="10"/>
      <c r="JQM61" s="10"/>
      <c r="JQN61" s="10"/>
      <c r="JQO61" s="10"/>
      <c r="JQP61" s="10"/>
      <c r="JQQ61" s="10"/>
      <c r="JQR61" s="10"/>
      <c r="JQS61" s="10"/>
      <c r="JQT61" s="10"/>
      <c r="JQU61" s="10"/>
      <c r="JQV61" s="10"/>
      <c r="JQW61" s="10"/>
      <c r="JQX61" s="10"/>
      <c r="JQY61" s="10"/>
      <c r="JQZ61" s="10"/>
      <c r="JRA61" s="10"/>
      <c r="JRB61" s="10"/>
      <c r="JRC61" s="10"/>
      <c r="JRD61" s="10"/>
      <c r="JRE61" s="10"/>
      <c r="JRF61" s="10"/>
      <c r="JRG61" s="10"/>
      <c r="JRH61" s="10"/>
      <c r="JRI61" s="10"/>
      <c r="JRJ61" s="10"/>
      <c r="JRK61" s="10"/>
      <c r="JRL61" s="10"/>
      <c r="JRM61" s="10"/>
      <c r="JRN61" s="10"/>
      <c r="JRO61" s="10"/>
      <c r="JRP61" s="10"/>
      <c r="JRQ61" s="10"/>
      <c r="JRR61" s="10"/>
      <c r="JRS61" s="10"/>
      <c r="JRT61" s="10"/>
      <c r="JRU61" s="10"/>
      <c r="JRV61" s="10"/>
      <c r="JRW61" s="10"/>
      <c r="JRX61" s="10"/>
      <c r="JRY61" s="10"/>
      <c r="JRZ61" s="10"/>
      <c r="JSA61" s="10"/>
      <c r="JSB61" s="10"/>
      <c r="JSC61" s="10"/>
      <c r="JSD61" s="10"/>
      <c r="JSE61" s="10"/>
      <c r="JSF61" s="10"/>
      <c r="JSG61" s="10"/>
      <c r="JSH61" s="10"/>
      <c r="JSI61" s="10"/>
      <c r="JSJ61" s="10"/>
      <c r="JSK61" s="10"/>
      <c r="JSL61" s="10"/>
      <c r="JSM61" s="10"/>
      <c r="JSN61" s="10"/>
      <c r="JSO61" s="10"/>
      <c r="JSP61" s="10"/>
      <c r="JSQ61" s="10"/>
      <c r="JSR61" s="10"/>
      <c r="JSS61" s="10"/>
      <c r="JST61" s="10"/>
      <c r="JSU61" s="10"/>
      <c r="JSV61" s="10"/>
      <c r="JSW61" s="10"/>
      <c r="JSX61" s="10"/>
      <c r="JSY61" s="10"/>
      <c r="JSZ61" s="10"/>
      <c r="JTA61" s="10"/>
      <c r="JTB61" s="10"/>
      <c r="JTC61" s="10"/>
      <c r="JTD61" s="10"/>
      <c r="JTE61" s="10"/>
      <c r="JTF61" s="10"/>
      <c r="JTG61" s="10"/>
      <c r="JTH61" s="10"/>
      <c r="JTI61" s="10"/>
      <c r="JTJ61" s="10"/>
      <c r="JTK61" s="10"/>
      <c r="JTL61" s="10"/>
      <c r="JTM61" s="10"/>
      <c r="JTN61" s="10"/>
      <c r="JTO61" s="10"/>
      <c r="JTP61" s="10"/>
      <c r="JTQ61" s="10"/>
      <c r="JTR61" s="10"/>
      <c r="JTS61" s="10"/>
      <c r="JTT61" s="10"/>
      <c r="JTU61" s="10"/>
      <c r="JTV61" s="10"/>
      <c r="JTW61" s="10"/>
      <c r="JTX61" s="10"/>
      <c r="JTY61" s="10"/>
      <c r="JTZ61" s="10"/>
      <c r="JUA61" s="10"/>
      <c r="JUB61" s="10"/>
      <c r="JUC61" s="10"/>
      <c r="JUD61" s="10"/>
      <c r="JUE61" s="10"/>
      <c r="JUF61" s="10"/>
      <c r="JUG61" s="10"/>
      <c r="JUH61" s="10"/>
      <c r="JUI61" s="10"/>
      <c r="JUJ61" s="10"/>
      <c r="JUK61" s="10"/>
      <c r="JUL61" s="10"/>
      <c r="JUM61" s="10"/>
      <c r="JUN61" s="10"/>
      <c r="JUO61" s="10"/>
      <c r="JUP61" s="10"/>
      <c r="JUQ61" s="10"/>
      <c r="JUR61" s="10"/>
      <c r="JUS61" s="10"/>
      <c r="JUT61" s="10"/>
      <c r="JUU61" s="10"/>
      <c r="JUV61" s="10"/>
      <c r="JUW61" s="10"/>
      <c r="JUX61" s="10"/>
      <c r="JUY61" s="10"/>
      <c r="JUZ61" s="10"/>
      <c r="JVA61" s="10"/>
      <c r="JVB61" s="10"/>
      <c r="JVC61" s="10"/>
      <c r="JVD61" s="10"/>
      <c r="JVE61" s="10"/>
      <c r="JVF61" s="10"/>
      <c r="JVG61" s="10"/>
      <c r="JVH61" s="10"/>
      <c r="JVI61" s="10"/>
      <c r="JVJ61" s="10"/>
      <c r="JVK61" s="10"/>
      <c r="JVL61" s="10"/>
      <c r="JVM61" s="10"/>
      <c r="JVN61" s="10"/>
      <c r="JVO61" s="10"/>
      <c r="JVP61" s="10"/>
      <c r="JVQ61" s="10"/>
      <c r="JVR61" s="10"/>
      <c r="JVS61" s="10"/>
      <c r="JVT61" s="10"/>
      <c r="JVU61" s="10"/>
      <c r="JVV61" s="10"/>
      <c r="JVW61" s="10"/>
      <c r="JVX61" s="10"/>
      <c r="JVY61" s="10"/>
      <c r="JVZ61" s="10"/>
      <c r="JWA61" s="10"/>
      <c r="JWB61" s="10"/>
      <c r="JWC61" s="10"/>
      <c r="JWD61" s="10"/>
      <c r="JWE61" s="10"/>
      <c r="JWF61" s="10"/>
      <c r="JWG61" s="10"/>
      <c r="JWH61" s="10"/>
      <c r="JWI61" s="10"/>
      <c r="JWJ61" s="10"/>
      <c r="JWK61" s="10"/>
      <c r="JWL61" s="10"/>
      <c r="JWM61" s="10"/>
      <c r="JWN61" s="10"/>
      <c r="JWO61" s="10"/>
      <c r="JWP61" s="10"/>
      <c r="JWQ61" s="10"/>
      <c r="JWR61" s="10"/>
      <c r="JWS61" s="10"/>
      <c r="JWT61" s="10"/>
      <c r="JWU61" s="10"/>
      <c r="JWV61" s="10"/>
      <c r="JWW61" s="10"/>
      <c r="JWX61" s="10"/>
      <c r="JWY61" s="10"/>
      <c r="JWZ61" s="10"/>
      <c r="JXA61" s="10"/>
      <c r="JXB61" s="10"/>
      <c r="JXC61" s="10"/>
      <c r="JXD61" s="10"/>
      <c r="JXE61" s="10"/>
      <c r="JXF61" s="10"/>
      <c r="JXG61" s="10"/>
      <c r="JXH61" s="10"/>
      <c r="JXI61" s="10"/>
      <c r="JXJ61" s="10"/>
      <c r="JXK61" s="10"/>
      <c r="JXL61" s="10"/>
      <c r="JXM61" s="10"/>
      <c r="JXN61" s="10"/>
      <c r="JXO61" s="10"/>
      <c r="JXP61" s="10"/>
      <c r="JXQ61" s="10"/>
      <c r="JXR61" s="10"/>
      <c r="JXS61" s="10"/>
      <c r="JXT61" s="10"/>
      <c r="JXU61" s="10"/>
      <c r="JXV61" s="10"/>
      <c r="JXW61" s="10"/>
      <c r="JXX61" s="10"/>
      <c r="JXY61" s="10"/>
      <c r="JXZ61" s="10"/>
      <c r="JYA61" s="10"/>
      <c r="JYB61" s="10"/>
      <c r="JYC61" s="10"/>
      <c r="JYD61" s="10"/>
      <c r="JYE61" s="10"/>
      <c r="JYF61" s="10"/>
      <c r="JYG61" s="10"/>
      <c r="JYH61" s="10"/>
      <c r="JYI61" s="10"/>
      <c r="JYJ61" s="10"/>
      <c r="JYK61" s="10"/>
      <c r="JYL61" s="10"/>
      <c r="JYM61" s="10"/>
      <c r="JYN61" s="10"/>
      <c r="JYO61" s="10"/>
      <c r="JYP61" s="10"/>
      <c r="JYQ61" s="10"/>
      <c r="JYR61" s="10"/>
      <c r="JYS61" s="10"/>
      <c r="JYT61" s="10"/>
      <c r="JYU61" s="10"/>
      <c r="JYV61" s="10"/>
      <c r="JYW61" s="10"/>
      <c r="JYX61" s="10"/>
      <c r="JYY61" s="10"/>
      <c r="JYZ61" s="10"/>
      <c r="JZA61" s="10"/>
      <c r="JZB61" s="10"/>
      <c r="JZC61" s="10"/>
      <c r="JZD61" s="10"/>
      <c r="JZE61" s="10"/>
      <c r="JZF61" s="10"/>
      <c r="JZG61" s="10"/>
      <c r="JZH61" s="10"/>
      <c r="JZI61" s="10"/>
      <c r="JZJ61" s="10"/>
      <c r="JZK61" s="10"/>
      <c r="JZL61" s="10"/>
      <c r="JZM61" s="10"/>
      <c r="JZN61" s="10"/>
      <c r="JZO61" s="10"/>
      <c r="JZP61" s="10"/>
      <c r="JZQ61" s="10"/>
      <c r="JZR61" s="10"/>
      <c r="JZS61" s="10"/>
      <c r="JZT61" s="10"/>
      <c r="JZU61" s="10"/>
      <c r="JZV61" s="10"/>
      <c r="JZW61" s="10"/>
      <c r="JZX61" s="10"/>
      <c r="JZY61" s="10"/>
      <c r="JZZ61" s="10"/>
      <c r="KAA61" s="10"/>
      <c r="KAB61" s="10"/>
      <c r="KAC61" s="10"/>
      <c r="KAD61" s="10"/>
      <c r="KAE61" s="10"/>
      <c r="KAF61" s="10"/>
      <c r="KAG61" s="10"/>
      <c r="KAH61" s="10"/>
      <c r="KAI61" s="10"/>
      <c r="KAJ61" s="10"/>
      <c r="KAK61" s="10"/>
      <c r="KAL61" s="10"/>
      <c r="KAM61" s="10"/>
      <c r="KAN61" s="10"/>
      <c r="KAO61" s="10"/>
      <c r="KAP61" s="10"/>
      <c r="KAQ61" s="10"/>
      <c r="KAR61" s="10"/>
      <c r="KAS61" s="10"/>
      <c r="KAT61" s="10"/>
      <c r="KAU61" s="10"/>
      <c r="KAV61" s="10"/>
      <c r="KAW61" s="10"/>
      <c r="KAX61" s="10"/>
      <c r="KAY61" s="10"/>
      <c r="KAZ61" s="10"/>
      <c r="KBA61" s="10"/>
      <c r="KBB61" s="10"/>
      <c r="KBC61" s="10"/>
      <c r="KBD61" s="10"/>
      <c r="KBE61" s="10"/>
      <c r="KBF61" s="10"/>
      <c r="KBG61" s="10"/>
      <c r="KBH61" s="10"/>
      <c r="KBI61" s="10"/>
      <c r="KBJ61" s="10"/>
      <c r="KBK61" s="10"/>
      <c r="KBL61" s="10"/>
      <c r="KBM61" s="10"/>
      <c r="KBN61" s="10"/>
      <c r="KBO61" s="10"/>
      <c r="KBP61" s="10"/>
      <c r="KBQ61" s="10"/>
      <c r="KBR61" s="10"/>
      <c r="KBS61" s="10"/>
      <c r="KBT61" s="10"/>
      <c r="KBU61" s="10"/>
      <c r="KBV61" s="10"/>
      <c r="KBW61" s="10"/>
      <c r="KBX61" s="10"/>
      <c r="KBY61" s="10"/>
      <c r="KBZ61" s="10"/>
      <c r="KCA61" s="10"/>
      <c r="KCB61" s="10"/>
      <c r="KCC61" s="10"/>
      <c r="KCD61" s="10"/>
      <c r="KCE61" s="10"/>
      <c r="KCF61" s="10"/>
      <c r="KCG61" s="10"/>
      <c r="KCH61" s="10"/>
      <c r="KCI61" s="10"/>
      <c r="KCJ61" s="10"/>
      <c r="KCK61" s="10"/>
      <c r="KCL61" s="10"/>
      <c r="KCM61" s="10"/>
      <c r="KCN61" s="10"/>
      <c r="KCO61" s="10"/>
      <c r="KCP61" s="10"/>
      <c r="KCQ61" s="10"/>
      <c r="KCR61" s="10"/>
      <c r="KCS61" s="10"/>
      <c r="KCT61" s="10"/>
      <c r="KCU61" s="10"/>
      <c r="KCV61" s="10"/>
      <c r="KCW61" s="10"/>
      <c r="KCX61" s="10"/>
      <c r="KCY61" s="10"/>
      <c r="KCZ61" s="10"/>
      <c r="KDA61" s="10"/>
      <c r="KDB61" s="10"/>
      <c r="KDC61" s="10"/>
      <c r="KDD61" s="10"/>
      <c r="KDE61" s="10"/>
      <c r="KDF61" s="10"/>
      <c r="KDG61" s="10"/>
      <c r="KDH61" s="10"/>
      <c r="KDI61" s="10"/>
      <c r="KDJ61" s="10"/>
      <c r="KDK61" s="10"/>
      <c r="KDL61" s="10"/>
      <c r="KDM61" s="10"/>
      <c r="KDN61" s="10"/>
      <c r="KDO61" s="10"/>
      <c r="KDP61" s="10"/>
      <c r="KDQ61" s="10"/>
      <c r="KDR61" s="10"/>
      <c r="KDS61" s="10"/>
      <c r="KDT61" s="10"/>
      <c r="KDU61" s="10"/>
      <c r="KDV61" s="10"/>
      <c r="KDW61" s="10"/>
      <c r="KDX61" s="10"/>
      <c r="KDY61" s="10"/>
      <c r="KDZ61" s="10"/>
      <c r="KEA61" s="10"/>
      <c r="KEB61" s="10"/>
      <c r="KEC61" s="10"/>
      <c r="KED61" s="10"/>
      <c r="KEE61" s="10"/>
      <c r="KEF61" s="10"/>
      <c r="KEG61" s="10"/>
      <c r="KEH61" s="10"/>
      <c r="KEI61" s="10"/>
      <c r="KEJ61" s="10"/>
      <c r="KEK61" s="10"/>
      <c r="KEL61" s="10"/>
      <c r="KEM61" s="10"/>
      <c r="KEN61" s="10"/>
      <c r="KEO61" s="10"/>
      <c r="KEP61" s="10"/>
      <c r="KEQ61" s="10"/>
      <c r="KER61" s="10"/>
      <c r="KES61" s="10"/>
      <c r="KET61" s="10"/>
      <c r="KEU61" s="10"/>
      <c r="KEV61" s="10"/>
      <c r="KEW61" s="10"/>
      <c r="KEX61" s="10"/>
      <c r="KEY61" s="10"/>
      <c r="KEZ61" s="10"/>
      <c r="KFA61" s="10"/>
      <c r="KFB61" s="10"/>
      <c r="KFC61" s="10"/>
      <c r="KFD61" s="10"/>
      <c r="KFE61" s="10"/>
      <c r="KFF61" s="10"/>
      <c r="KFG61" s="10"/>
      <c r="KFH61" s="10"/>
      <c r="KFI61" s="10"/>
      <c r="KFJ61" s="10"/>
      <c r="KFK61" s="10"/>
      <c r="KFL61" s="10"/>
      <c r="KFM61" s="10"/>
      <c r="KFN61" s="10"/>
      <c r="KFO61" s="10"/>
      <c r="KFP61" s="10"/>
      <c r="KFQ61" s="10"/>
      <c r="KFR61" s="10"/>
      <c r="KFS61" s="10"/>
      <c r="KFT61" s="10"/>
      <c r="KFU61" s="10"/>
      <c r="KFV61" s="10"/>
      <c r="KFW61" s="10"/>
      <c r="KFX61" s="10"/>
      <c r="KFY61" s="10"/>
      <c r="KFZ61" s="10"/>
      <c r="KGA61" s="10"/>
      <c r="KGB61" s="10"/>
      <c r="KGC61" s="10"/>
      <c r="KGD61" s="10"/>
      <c r="KGE61" s="10"/>
      <c r="KGF61" s="10"/>
      <c r="KGG61" s="10"/>
      <c r="KGH61" s="10"/>
      <c r="KGI61" s="10"/>
      <c r="KGJ61" s="10"/>
      <c r="KGK61" s="10"/>
      <c r="KGL61" s="10"/>
      <c r="KGM61" s="10"/>
      <c r="KGN61" s="10"/>
      <c r="KGO61" s="10"/>
      <c r="KGP61" s="10"/>
      <c r="KGQ61" s="10"/>
      <c r="KGR61" s="10"/>
      <c r="KGS61" s="10"/>
      <c r="KGT61" s="10"/>
      <c r="KGU61" s="10"/>
      <c r="KGV61" s="10"/>
      <c r="KGW61" s="10"/>
      <c r="KGX61" s="10"/>
      <c r="KGY61" s="10"/>
      <c r="KGZ61" s="10"/>
      <c r="KHA61" s="10"/>
      <c r="KHB61" s="10"/>
      <c r="KHC61" s="10"/>
      <c r="KHD61" s="10"/>
      <c r="KHE61" s="10"/>
      <c r="KHF61" s="10"/>
      <c r="KHG61" s="10"/>
      <c r="KHH61" s="10"/>
      <c r="KHI61" s="10"/>
      <c r="KHJ61" s="10"/>
      <c r="KHK61" s="10"/>
      <c r="KHL61" s="10"/>
      <c r="KHM61" s="10"/>
      <c r="KHN61" s="10"/>
      <c r="KHO61" s="10"/>
      <c r="KHP61" s="10"/>
      <c r="KHQ61" s="10"/>
      <c r="KHR61" s="10"/>
      <c r="KHS61" s="10"/>
      <c r="KHT61" s="10"/>
      <c r="KHU61" s="10"/>
      <c r="KHV61" s="10"/>
      <c r="KHW61" s="10"/>
      <c r="KHX61" s="10"/>
      <c r="KHY61" s="10"/>
      <c r="KHZ61" s="10"/>
      <c r="KIA61" s="10"/>
      <c r="KIB61" s="10"/>
      <c r="KIC61" s="10"/>
      <c r="KID61" s="10"/>
      <c r="KIE61" s="10"/>
      <c r="KIF61" s="10"/>
      <c r="KIG61" s="10"/>
      <c r="KIH61" s="10"/>
      <c r="KII61" s="10"/>
      <c r="KIJ61" s="10"/>
      <c r="KIK61" s="10"/>
      <c r="KIL61" s="10"/>
      <c r="KIM61" s="10"/>
      <c r="KIN61" s="10"/>
      <c r="KIO61" s="10"/>
      <c r="KIP61" s="10"/>
      <c r="KIQ61" s="10"/>
      <c r="KIR61" s="10"/>
      <c r="KIS61" s="10"/>
      <c r="KIT61" s="10"/>
      <c r="KIU61" s="10"/>
      <c r="KIV61" s="10"/>
      <c r="KIW61" s="10"/>
      <c r="KIX61" s="10"/>
      <c r="KIY61" s="10"/>
      <c r="KIZ61" s="10"/>
      <c r="KJA61" s="10"/>
      <c r="KJB61" s="10"/>
      <c r="KJC61" s="10"/>
      <c r="KJD61" s="10"/>
      <c r="KJE61" s="10"/>
      <c r="KJF61" s="10"/>
      <c r="KJG61" s="10"/>
      <c r="KJH61" s="10"/>
      <c r="KJI61" s="10"/>
      <c r="KJJ61" s="10"/>
      <c r="KJK61" s="10"/>
      <c r="KJL61" s="10"/>
      <c r="KJM61" s="10"/>
      <c r="KJN61" s="10"/>
      <c r="KJO61" s="10"/>
      <c r="KJP61" s="10"/>
      <c r="KJQ61" s="10"/>
      <c r="KJR61" s="10"/>
      <c r="KJS61" s="10"/>
      <c r="KJT61" s="10"/>
      <c r="KJU61" s="10"/>
      <c r="KJV61" s="10"/>
      <c r="KJW61" s="10"/>
      <c r="KJX61" s="10"/>
      <c r="KJY61" s="10"/>
      <c r="KJZ61" s="10"/>
      <c r="KKA61" s="10"/>
      <c r="KKB61" s="10"/>
      <c r="KKC61" s="10"/>
      <c r="KKD61" s="10"/>
      <c r="KKE61" s="10"/>
      <c r="KKF61" s="10"/>
      <c r="KKG61" s="10"/>
      <c r="KKH61" s="10"/>
      <c r="KKI61" s="10"/>
      <c r="KKJ61" s="10"/>
      <c r="KKK61" s="10"/>
      <c r="KKL61" s="10"/>
      <c r="KKM61" s="10"/>
      <c r="KKN61" s="10"/>
      <c r="KKO61" s="10"/>
      <c r="KKP61" s="10"/>
      <c r="KKQ61" s="10"/>
      <c r="KKR61" s="10"/>
      <c r="KKS61" s="10"/>
      <c r="KKT61" s="10"/>
      <c r="KKU61" s="10"/>
      <c r="KKV61" s="10"/>
      <c r="KKW61" s="10"/>
      <c r="KKX61" s="10"/>
      <c r="KKY61" s="10"/>
      <c r="KKZ61" s="10"/>
      <c r="KLA61" s="10"/>
      <c r="KLB61" s="10"/>
      <c r="KLC61" s="10"/>
      <c r="KLD61" s="10"/>
      <c r="KLE61" s="10"/>
      <c r="KLF61" s="10"/>
      <c r="KLG61" s="10"/>
      <c r="KLH61" s="10"/>
      <c r="KLI61" s="10"/>
      <c r="KLJ61" s="10"/>
      <c r="KLK61" s="10"/>
      <c r="KLL61" s="10"/>
      <c r="KLM61" s="10"/>
      <c r="KLN61" s="10"/>
      <c r="KLO61" s="10"/>
      <c r="KLP61" s="10"/>
      <c r="KLQ61" s="10"/>
      <c r="KLR61" s="10"/>
      <c r="KLS61" s="10"/>
      <c r="KLT61" s="10"/>
      <c r="KLU61" s="10"/>
      <c r="KLV61" s="10"/>
      <c r="KLW61" s="10"/>
      <c r="KLX61" s="10"/>
      <c r="KLY61" s="10"/>
      <c r="KLZ61" s="10"/>
      <c r="KMA61" s="10"/>
      <c r="KMB61" s="10"/>
      <c r="KMC61" s="10"/>
      <c r="KMD61" s="10"/>
      <c r="KME61" s="10"/>
      <c r="KMF61" s="10"/>
      <c r="KMG61" s="10"/>
      <c r="KMH61" s="10"/>
      <c r="KMI61" s="10"/>
      <c r="KMJ61" s="10"/>
      <c r="KMK61" s="10"/>
      <c r="KML61" s="10"/>
      <c r="KMM61" s="10"/>
      <c r="KMN61" s="10"/>
      <c r="KMO61" s="10"/>
      <c r="KMP61" s="10"/>
      <c r="KMQ61" s="10"/>
      <c r="KMR61" s="10"/>
      <c r="KMS61" s="10"/>
      <c r="KMT61" s="10"/>
      <c r="KMU61" s="10"/>
      <c r="KMV61" s="10"/>
      <c r="KMW61" s="10"/>
      <c r="KMX61" s="10"/>
      <c r="KMY61" s="10"/>
      <c r="KMZ61" s="10"/>
      <c r="KNA61" s="10"/>
      <c r="KNB61" s="10"/>
      <c r="KNC61" s="10"/>
      <c r="KND61" s="10"/>
      <c r="KNE61" s="10"/>
      <c r="KNF61" s="10"/>
      <c r="KNG61" s="10"/>
      <c r="KNH61" s="10"/>
      <c r="KNI61" s="10"/>
      <c r="KNJ61" s="10"/>
      <c r="KNK61" s="10"/>
      <c r="KNL61" s="10"/>
      <c r="KNM61" s="10"/>
      <c r="KNN61" s="10"/>
      <c r="KNO61" s="10"/>
      <c r="KNP61" s="10"/>
      <c r="KNQ61" s="10"/>
      <c r="KNR61" s="10"/>
      <c r="KNS61" s="10"/>
      <c r="KNT61" s="10"/>
      <c r="KNU61" s="10"/>
      <c r="KNV61" s="10"/>
      <c r="KNW61" s="10"/>
      <c r="KNX61" s="10"/>
      <c r="KNY61" s="10"/>
      <c r="KNZ61" s="10"/>
      <c r="KOA61" s="10"/>
      <c r="KOB61" s="10"/>
      <c r="KOC61" s="10"/>
      <c r="KOD61" s="10"/>
      <c r="KOE61" s="10"/>
      <c r="KOF61" s="10"/>
      <c r="KOG61" s="10"/>
      <c r="KOH61" s="10"/>
      <c r="KOI61" s="10"/>
      <c r="KOJ61" s="10"/>
      <c r="KOK61" s="10"/>
      <c r="KOL61" s="10"/>
      <c r="KOM61" s="10"/>
      <c r="KON61" s="10"/>
      <c r="KOO61" s="10"/>
      <c r="KOP61" s="10"/>
      <c r="KOQ61" s="10"/>
      <c r="KOR61" s="10"/>
      <c r="KOS61" s="10"/>
      <c r="KOT61" s="10"/>
      <c r="KOU61" s="10"/>
      <c r="KOV61" s="10"/>
      <c r="KOW61" s="10"/>
      <c r="KOX61" s="10"/>
      <c r="KOY61" s="10"/>
      <c r="KOZ61" s="10"/>
      <c r="KPA61" s="10"/>
      <c r="KPB61" s="10"/>
      <c r="KPC61" s="10"/>
      <c r="KPD61" s="10"/>
      <c r="KPE61" s="10"/>
      <c r="KPF61" s="10"/>
      <c r="KPG61" s="10"/>
      <c r="KPH61" s="10"/>
      <c r="KPI61" s="10"/>
      <c r="KPJ61" s="10"/>
      <c r="KPK61" s="10"/>
      <c r="KPL61" s="10"/>
      <c r="KPM61" s="10"/>
      <c r="KPN61" s="10"/>
      <c r="KPO61" s="10"/>
      <c r="KPP61" s="10"/>
      <c r="KPQ61" s="10"/>
      <c r="KPR61" s="10"/>
      <c r="KPS61" s="10"/>
      <c r="KPT61" s="10"/>
      <c r="KPU61" s="10"/>
      <c r="KPV61" s="10"/>
      <c r="KPW61" s="10"/>
      <c r="KPX61" s="10"/>
      <c r="KPY61" s="10"/>
      <c r="KPZ61" s="10"/>
      <c r="KQA61" s="10"/>
      <c r="KQB61" s="10"/>
      <c r="KQC61" s="10"/>
      <c r="KQD61" s="10"/>
      <c r="KQE61" s="10"/>
      <c r="KQF61" s="10"/>
      <c r="KQG61" s="10"/>
      <c r="KQH61" s="10"/>
      <c r="KQI61" s="10"/>
      <c r="KQJ61" s="10"/>
      <c r="KQK61" s="10"/>
      <c r="KQL61" s="10"/>
      <c r="KQM61" s="10"/>
      <c r="KQN61" s="10"/>
      <c r="KQO61" s="10"/>
      <c r="KQP61" s="10"/>
      <c r="KQQ61" s="10"/>
      <c r="KQR61" s="10"/>
      <c r="KQS61" s="10"/>
      <c r="KQT61" s="10"/>
      <c r="KQU61" s="10"/>
      <c r="KQV61" s="10"/>
      <c r="KQW61" s="10"/>
      <c r="KQX61" s="10"/>
      <c r="KQY61" s="10"/>
      <c r="KQZ61" s="10"/>
      <c r="KRA61" s="10"/>
      <c r="KRB61" s="10"/>
      <c r="KRC61" s="10"/>
      <c r="KRD61" s="10"/>
      <c r="KRE61" s="10"/>
      <c r="KRF61" s="10"/>
      <c r="KRG61" s="10"/>
      <c r="KRH61" s="10"/>
      <c r="KRI61" s="10"/>
      <c r="KRJ61" s="10"/>
      <c r="KRK61" s="10"/>
      <c r="KRL61" s="10"/>
      <c r="KRM61" s="10"/>
      <c r="KRN61" s="10"/>
      <c r="KRO61" s="10"/>
      <c r="KRP61" s="10"/>
      <c r="KRQ61" s="10"/>
      <c r="KRR61" s="10"/>
      <c r="KRS61" s="10"/>
      <c r="KRT61" s="10"/>
      <c r="KRU61" s="10"/>
      <c r="KRV61" s="10"/>
      <c r="KRW61" s="10"/>
      <c r="KRX61" s="10"/>
      <c r="KRY61" s="10"/>
      <c r="KRZ61" s="10"/>
      <c r="KSA61" s="10"/>
      <c r="KSB61" s="10"/>
      <c r="KSC61" s="10"/>
      <c r="KSD61" s="10"/>
      <c r="KSE61" s="10"/>
      <c r="KSF61" s="10"/>
      <c r="KSG61" s="10"/>
      <c r="KSH61" s="10"/>
      <c r="KSI61" s="10"/>
      <c r="KSJ61" s="10"/>
      <c r="KSK61" s="10"/>
      <c r="KSL61" s="10"/>
      <c r="KSM61" s="10"/>
      <c r="KSN61" s="10"/>
      <c r="KSO61" s="10"/>
      <c r="KSP61" s="10"/>
      <c r="KSQ61" s="10"/>
      <c r="KSR61" s="10"/>
      <c r="KSS61" s="10"/>
      <c r="KST61" s="10"/>
      <c r="KSU61" s="10"/>
      <c r="KSV61" s="10"/>
      <c r="KSW61" s="10"/>
      <c r="KSX61" s="10"/>
      <c r="KSY61" s="10"/>
      <c r="KSZ61" s="10"/>
      <c r="KTA61" s="10"/>
      <c r="KTB61" s="10"/>
      <c r="KTC61" s="10"/>
      <c r="KTD61" s="10"/>
      <c r="KTE61" s="10"/>
      <c r="KTF61" s="10"/>
      <c r="KTG61" s="10"/>
      <c r="KTH61" s="10"/>
      <c r="KTI61" s="10"/>
      <c r="KTJ61" s="10"/>
      <c r="KTK61" s="10"/>
      <c r="KTL61" s="10"/>
      <c r="KTM61" s="10"/>
      <c r="KTN61" s="10"/>
      <c r="KTO61" s="10"/>
      <c r="KTP61" s="10"/>
      <c r="KTQ61" s="10"/>
      <c r="KTR61" s="10"/>
      <c r="KTS61" s="10"/>
      <c r="KTT61" s="10"/>
      <c r="KTU61" s="10"/>
      <c r="KTV61" s="10"/>
      <c r="KTW61" s="10"/>
      <c r="KTX61" s="10"/>
      <c r="KTY61" s="10"/>
      <c r="KTZ61" s="10"/>
      <c r="KUA61" s="10"/>
      <c r="KUB61" s="10"/>
      <c r="KUC61" s="10"/>
      <c r="KUD61" s="10"/>
      <c r="KUE61" s="10"/>
      <c r="KUF61" s="10"/>
      <c r="KUG61" s="10"/>
      <c r="KUH61" s="10"/>
      <c r="KUI61" s="10"/>
      <c r="KUJ61" s="10"/>
      <c r="KUK61" s="10"/>
      <c r="KUL61" s="10"/>
      <c r="KUM61" s="10"/>
      <c r="KUN61" s="10"/>
      <c r="KUO61" s="10"/>
      <c r="KUP61" s="10"/>
      <c r="KUQ61" s="10"/>
      <c r="KUR61" s="10"/>
      <c r="KUS61" s="10"/>
      <c r="KUT61" s="10"/>
      <c r="KUU61" s="10"/>
      <c r="KUV61" s="10"/>
      <c r="KUW61" s="10"/>
      <c r="KUX61" s="10"/>
      <c r="KUY61" s="10"/>
      <c r="KUZ61" s="10"/>
      <c r="KVA61" s="10"/>
      <c r="KVB61" s="10"/>
      <c r="KVC61" s="10"/>
      <c r="KVD61" s="10"/>
      <c r="KVE61" s="10"/>
      <c r="KVF61" s="10"/>
      <c r="KVG61" s="10"/>
      <c r="KVH61" s="10"/>
      <c r="KVI61" s="10"/>
      <c r="KVJ61" s="10"/>
      <c r="KVK61" s="10"/>
      <c r="KVL61" s="10"/>
      <c r="KVM61" s="10"/>
      <c r="KVN61" s="10"/>
      <c r="KVO61" s="10"/>
      <c r="KVP61" s="10"/>
      <c r="KVQ61" s="10"/>
      <c r="KVR61" s="10"/>
      <c r="KVS61" s="10"/>
      <c r="KVT61" s="10"/>
      <c r="KVU61" s="10"/>
      <c r="KVV61" s="10"/>
      <c r="KVW61" s="10"/>
      <c r="KVX61" s="10"/>
      <c r="KVY61" s="10"/>
      <c r="KVZ61" s="10"/>
      <c r="KWA61" s="10"/>
      <c r="KWB61" s="10"/>
      <c r="KWC61" s="10"/>
      <c r="KWD61" s="10"/>
      <c r="KWE61" s="10"/>
      <c r="KWF61" s="10"/>
      <c r="KWG61" s="10"/>
      <c r="KWH61" s="10"/>
      <c r="KWI61" s="10"/>
      <c r="KWJ61" s="10"/>
      <c r="KWK61" s="10"/>
      <c r="KWL61" s="10"/>
      <c r="KWM61" s="10"/>
      <c r="KWN61" s="10"/>
      <c r="KWO61" s="10"/>
      <c r="KWP61" s="10"/>
      <c r="KWQ61" s="10"/>
      <c r="KWR61" s="10"/>
      <c r="KWS61" s="10"/>
      <c r="KWT61" s="10"/>
      <c r="KWU61" s="10"/>
      <c r="KWV61" s="10"/>
      <c r="KWW61" s="10"/>
      <c r="KWX61" s="10"/>
      <c r="KWY61" s="10"/>
      <c r="KWZ61" s="10"/>
      <c r="KXA61" s="10"/>
      <c r="KXB61" s="10"/>
      <c r="KXC61" s="10"/>
      <c r="KXD61" s="10"/>
      <c r="KXE61" s="10"/>
      <c r="KXF61" s="10"/>
      <c r="KXG61" s="10"/>
      <c r="KXH61" s="10"/>
      <c r="KXI61" s="10"/>
      <c r="KXJ61" s="10"/>
      <c r="KXK61" s="10"/>
      <c r="KXL61" s="10"/>
      <c r="KXM61" s="10"/>
      <c r="KXN61" s="10"/>
      <c r="KXO61" s="10"/>
      <c r="KXP61" s="10"/>
      <c r="KXQ61" s="10"/>
      <c r="KXR61" s="10"/>
      <c r="KXS61" s="10"/>
      <c r="KXT61" s="10"/>
      <c r="KXU61" s="10"/>
      <c r="KXV61" s="10"/>
      <c r="KXW61" s="10"/>
      <c r="KXX61" s="10"/>
      <c r="KXY61" s="10"/>
      <c r="KXZ61" s="10"/>
      <c r="KYA61" s="10"/>
      <c r="KYB61" s="10"/>
      <c r="KYC61" s="10"/>
      <c r="KYD61" s="10"/>
      <c r="KYE61" s="10"/>
      <c r="KYF61" s="10"/>
      <c r="KYG61" s="10"/>
      <c r="KYH61" s="10"/>
      <c r="KYI61" s="10"/>
      <c r="KYJ61" s="10"/>
      <c r="KYK61" s="10"/>
      <c r="KYL61" s="10"/>
      <c r="KYM61" s="10"/>
      <c r="KYN61" s="10"/>
      <c r="KYO61" s="10"/>
      <c r="KYP61" s="10"/>
      <c r="KYQ61" s="10"/>
      <c r="KYR61" s="10"/>
      <c r="KYS61" s="10"/>
      <c r="KYT61" s="10"/>
      <c r="KYU61" s="10"/>
      <c r="KYV61" s="10"/>
      <c r="KYW61" s="10"/>
      <c r="KYX61" s="10"/>
      <c r="KYY61" s="10"/>
      <c r="KYZ61" s="10"/>
      <c r="KZA61" s="10"/>
      <c r="KZB61" s="10"/>
      <c r="KZC61" s="10"/>
      <c r="KZD61" s="10"/>
      <c r="KZE61" s="10"/>
      <c r="KZF61" s="10"/>
      <c r="KZG61" s="10"/>
      <c r="KZH61" s="10"/>
      <c r="KZI61" s="10"/>
      <c r="KZJ61" s="10"/>
      <c r="KZK61" s="10"/>
      <c r="KZL61" s="10"/>
      <c r="KZM61" s="10"/>
      <c r="KZN61" s="10"/>
      <c r="KZO61" s="10"/>
      <c r="KZP61" s="10"/>
      <c r="KZQ61" s="10"/>
      <c r="KZR61" s="10"/>
      <c r="KZS61" s="10"/>
      <c r="KZT61" s="10"/>
      <c r="KZU61" s="10"/>
      <c r="KZV61" s="10"/>
      <c r="KZW61" s="10"/>
      <c r="KZX61" s="10"/>
      <c r="KZY61" s="10"/>
      <c r="KZZ61" s="10"/>
      <c r="LAA61" s="10"/>
      <c r="LAB61" s="10"/>
      <c r="LAC61" s="10"/>
      <c r="LAD61" s="10"/>
      <c r="LAE61" s="10"/>
      <c r="LAF61" s="10"/>
      <c r="LAG61" s="10"/>
      <c r="LAH61" s="10"/>
      <c r="LAI61" s="10"/>
      <c r="LAJ61" s="10"/>
      <c r="LAK61" s="10"/>
      <c r="LAL61" s="10"/>
      <c r="LAM61" s="10"/>
      <c r="LAN61" s="10"/>
      <c r="LAO61" s="10"/>
      <c r="LAP61" s="10"/>
      <c r="LAQ61" s="10"/>
      <c r="LAR61" s="10"/>
      <c r="LAS61" s="10"/>
      <c r="LAT61" s="10"/>
      <c r="LAU61" s="10"/>
      <c r="LAV61" s="10"/>
      <c r="LAW61" s="10"/>
      <c r="LAX61" s="10"/>
      <c r="LAY61" s="10"/>
      <c r="LAZ61" s="10"/>
      <c r="LBA61" s="10"/>
      <c r="LBB61" s="10"/>
      <c r="LBC61" s="10"/>
      <c r="LBD61" s="10"/>
      <c r="LBE61" s="10"/>
      <c r="LBF61" s="10"/>
      <c r="LBG61" s="10"/>
      <c r="LBH61" s="10"/>
      <c r="LBI61" s="10"/>
      <c r="LBJ61" s="10"/>
      <c r="LBK61" s="10"/>
      <c r="LBL61" s="10"/>
      <c r="LBM61" s="10"/>
      <c r="LBN61" s="10"/>
      <c r="LBO61" s="10"/>
      <c r="LBP61" s="10"/>
      <c r="LBQ61" s="10"/>
      <c r="LBR61" s="10"/>
      <c r="LBS61" s="10"/>
      <c r="LBT61" s="10"/>
      <c r="LBU61" s="10"/>
      <c r="LBV61" s="10"/>
      <c r="LBW61" s="10"/>
      <c r="LBX61" s="10"/>
      <c r="LBY61" s="10"/>
      <c r="LBZ61" s="10"/>
      <c r="LCA61" s="10"/>
      <c r="LCB61" s="10"/>
      <c r="LCC61" s="10"/>
      <c r="LCD61" s="10"/>
      <c r="LCE61" s="10"/>
      <c r="LCF61" s="10"/>
      <c r="LCG61" s="10"/>
      <c r="LCH61" s="10"/>
      <c r="LCI61" s="10"/>
      <c r="LCJ61" s="10"/>
      <c r="LCK61" s="10"/>
      <c r="LCL61" s="10"/>
      <c r="LCM61" s="10"/>
      <c r="LCN61" s="10"/>
      <c r="LCO61" s="10"/>
      <c r="LCP61" s="10"/>
      <c r="LCQ61" s="10"/>
      <c r="LCR61" s="10"/>
      <c r="LCS61" s="10"/>
      <c r="LCT61" s="10"/>
      <c r="LCU61" s="10"/>
      <c r="LCV61" s="10"/>
      <c r="LCW61" s="10"/>
      <c r="LCX61" s="10"/>
      <c r="LCY61" s="10"/>
      <c r="LCZ61" s="10"/>
      <c r="LDA61" s="10"/>
      <c r="LDB61" s="10"/>
      <c r="LDC61" s="10"/>
      <c r="LDD61" s="10"/>
      <c r="LDE61" s="10"/>
      <c r="LDF61" s="10"/>
      <c r="LDG61" s="10"/>
      <c r="LDH61" s="10"/>
      <c r="LDI61" s="10"/>
      <c r="LDJ61" s="10"/>
      <c r="LDK61" s="10"/>
      <c r="LDL61" s="10"/>
      <c r="LDM61" s="10"/>
      <c r="LDN61" s="10"/>
      <c r="LDO61" s="10"/>
      <c r="LDP61" s="10"/>
      <c r="LDQ61" s="10"/>
      <c r="LDR61" s="10"/>
      <c r="LDS61" s="10"/>
      <c r="LDT61" s="10"/>
      <c r="LDU61" s="10"/>
      <c r="LDV61" s="10"/>
      <c r="LDW61" s="10"/>
      <c r="LDX61" s="10"/>
      <c r="LDY61" s="10"/>
      <c r="LDZ61" s="10"/>
      <c r="LEA61" s="10"/>
      <c r="LEB61" s="10"/>
      <c r="LEC61" s="10"/>
      <c r="LED61" s="10"/>
      <c r="LEE61" s="10"/>
      <c r="LEF61" s="10"/>
      <c r="LEG61" s="10"/>
      <c r="LEH61" s="10"/>
      <c r="LEI61" s="10"/>
      <c r="LEJ61" s="10"/>
      <c r="LEK61" s="10"/>
      <c r="LEL61" s="10"/>
      <c r="LEM61" s="10"/>
      <c r="LEN61" s="10"/>
      <c r="LEO61" s="10"/>
      <c r="LEP61" s="10"/>
      <c r="LEQ61" s="10"/>
      <c r="LER61" s="10"/>
      <c r="LES61" s="10"/>
      <c r="LET61" s="10"/>
      <c r="LEU61" s="10"/>
      <c r="LEV61" s="10"/>
      <c r="LEW61" s="10"/>
      <c r="LEX61" s="10"/>
      <c r="LEY61" s="10"/>
      <c r="LEZ61" s="10"/>
      <c r="LFA61" s="10"/>
      <c r="LFB61" s="10"/>
      <c r="LFC61" s="10"/>
      <c r="LFD61" s="10"/>
      <c r="LFE61" s="10"/>
      <c r="LFF61" s="10"/>
      <c r="LFG61" s="10"/>
      <c r="LFH61" s="10"/>
      <c r="LFI61" s="10"/>
      <c r="LFJ61" s="10"/>
      <c r="LFK61" s="10"/>
      <c r="LFL61" s="10"/>
      <c r="LFM61" s="10"/>
      <c r="LFN61" s="10"/>
      <c r="LFO61" s="10"/>
      <c r="LFP61" s="10"/>
      <c r="LFQ61" s="10"/>
      <c r="LFR61" s="10"/>
      <c r="LFS61" s="10"/>
      <c r="LFT61" s="10"/>
      <c r="LFU61" s="10"/>
      <c r="LFV61" s="10"/>
      <c r="LFW61" s="10"/>
      <c r="LFX61" s="10"/>
      <c r="LFY61" s="10"/>
      <c r="LFZ61" s="10"/>
      <c r="LGA61" s="10"/>
      <c r="LGB61" s="10"/>
      <c r="LGC61" s="10"/>
      <c r="LGD61" s="10"/>
      <c r="LGE61" s="10"/>
      <c r="LGF61" s="10"/>
      <c r="LGG61" s="10"/>
      <c r="LGH61" s="10"/>
      <c r="LGI61" s="10"/>
      <c r="LGJ61" s="10"/>
      <c r="LGK61" s="10"/>
      <c r="LGL61" s="10"/>
      <c r="LGM61" s="10"/>
      <c r="LGN61" s="10"/>
      <c r="LGO61" s="10"/>
      <c r="LGP61" s="10"/>
      <c r="LGQ61" s="10"/>
      <c r="LGR61" s="10"/>
      <c r="LGS61" s="10"/>
      <c r="LGT61" s="10"/>
      <c r="LGU61" s="10"/>
      <c r="LGV61" s="10"/>
      <c r="LGW61" s="10"/>
      <c r="LGX61" s="10"/>
      <c r="LGY61" s="10"/>
      <c r="LGZ61" s="10"/>
      <c r="LHA61" s="10"/>
      <c r="LHB61" s="10"/>
      <c r="LHC61" s="10"/>
      <c r="LHD61" s="10"/>
      <c r="LHE61" s="10"/>
      <c r="LHF61" s="10"/>
      <c r="LHG61" s="10"/>
      <c r="LHH61" s="10"/>
      <c r="LHI61" s="10"/>
      <c r="LHJ61" s="10"/>
      <c r="LHK61" s="10"/>
      <c r="LHL61" s="10"/>
      <c r="LHM61" s="10"/>
      <c r="LHN61" s="10"/>
      <c r="LHO61" s="10"/>
      <c r="LHP61" s="10"/>
      <c r="LHQ61" s="10"/>
      <c r="LHR61" s="10"/>
      <c r="LHS61" s="10"/>
      <c r="LHT61" s="10"/>
      <c r="LHU61" s="10"/>
      <c r="LHV61" s="10"/>
      <c r="LHW61" s="10"/>
      <c r="LHX61" s="10"/>
      <c r="LHY61" s="10"/>
      <c r="LHZ61" s="10"/>
      <c r="LIA61" s="10"/>
      <c r="LIB61" s="10"/>
      <c r="LIC61" s="10"/>
      <c r="LID61" s="10"/>
      <c r="LIE61" s="10"/>
      <c r="LIF61" s="10"/>
      <c r="LIG61" s="10"/>
      <c r="LIH61" s="10"/>
      <c r="LII61" s="10"/>
      <c r="LIJ61" s="10"/>
      <c r="LIK61" s="10"/>
      <c r="LIL61" s="10"/>
      <c r="LIM61" s="10"/>
      <c r="LIN61" s="10"/>
      <c r="LIO61" s="10"/>
      <c r="LIP61" s="10"/>
      <c r="LIQ61" s="10"/>
      <c r="LIR61" s="10"/>
      <c r="LIS61" s="10"/>
      <c r="LIT61" s="10"/>
      <c r="LIU61" s="10"/>
      <c r="LIV61" s="10"/>
      <c r="LIW61" s="10"/>
      <c r="LIX61" s="10"/>
      <c r="LIY61" s="10"/>
      <c r="LIZ61" s="10"/>
      <c r="LJA61" s="10"/>
      <c r="LJB61" s="10"/>
      <c r="LJC61" s="10"/>
      <c r="LJD61" s="10"/>
      <c r="LJE61" s="10"/>
      <c r="LJF61" s="10"/>
      <c r="LJG61" s="10"/>
      <c r="LJH61" s="10"/>
      <c r="LJI61" s="10"/>
      <c r="LJJ61" s="10"/>
      <c r="LJK61" s="10"/>
      <c r="LJL61" s="10"/>
      <c r="LJM61" s="10"/>
      <c r="LJN61" s="10"/>
      <c r="LJO61" s="10"/>
      <c r="LJP61" s="10"/>
      <c r="LJQ61" s="10"/>
      <c r="LJR61" s="10"/>
      <c r="LJS61" s="10"/>
      <c r="LJT61" s="10"/>
      <c r="LJU61" s="10"/>
      <c r="LJV61" s="10"/>
      <c r="LJW61" s="10"/>
      <c r="LJX61" s="10"/>
      <c r="LJY61" s="10"/>
      <c r="LJZ61" s="10"/>
      <c r="LKA61" s="10"/>
      <c r="LKB61" s="10"/>
      <c r="LKC61" s="10"/>
      <c r="LKD61" s="10"/>
      <c r="LKE61" s="10"/>
      <c r="LKF61" s="10"/>
      <c r="LKG61" s="10"/>
      <c r="LKH61" s="10"/>
      <c r="LKI61" s="10"/>
      <c r="LKJ61" s="10"/>
      <c r="LKK61" s="10"/>
      <c r="LKL61" s="10"/>
      <c r="LKM61" s="10"/>
      <c r="LKN61" s="10"/>
      <c r="LKO61" s="10"/>
      <c r="LKP61" s="10"/>
      <c r="LKQ61" s="10"/>
      <c r="LKR61" s="10"/>
      <c r="LKS61" s="10"/>
      <c r="LKT61" s="10"/>
      <c r="LKU61" s="10"/>
      <c r="LKV61" s="10"/>
      <c r="LKW61" s="10"/>
      <c r="LKX61" s="10"/>
      <c r="LKY61" s="10"/>
      <c r="LKZ61" s="10"/>
      <c r="LLA61" s="10"/>
      <c r="LLB61" s="10"/>
      <c r="LLC61" s="10"/>
      <c r="LLD61" s="10"/>
      <c r="LLE61" s="10"/>
      <c r="LLF61" s="10"/>
      <c r="LLG61" s="10"/>
      <c r="LLH61" s="10"/>
      <c r="LLI61" s="10"/>
      <c r="LLJ61" s="10"/>
      <c r="LLK61" s="10"/>
      <c r="LLL61" s="10"/>
      <c r="LLM61" s="10"/>
      <c r="LLN61" s="10"/>
      <c r="LLO61" s="10"/>
      <c r="LLP61" s="10"/>
      <c r="LLQ61" s="10"/>
      <c r="LLR61" s="10"/>
      <c r="LLS61" s="10"/>
      <c r="LLT61" s="10"/>
      <c r="LLU61" s="10"/>
      <c r="LLV61" s="10"/>
      <c r="LLW61" s="10"/>
      <c r="LLX61" s="10"/>
      <c r="LLY61" s="10"/>
      <c r="LLZ61" s="10"/>
      <c r="LMA61" s="10"/>
      <c r="LMB61" s="10"/>
      <c r="LMC61" s="10"/>
      <c r="LMD61" s="10"/>
      <c r="LME61" s="10"/>
      <c r="LMF61" s="10"/>
      <c r="LMG61" s="10"/>
      <c r="LMH61" s="10"/>
      <c r="LMI61" s="10"/>
      <c r="LMJ61" s="10"/>
      <c r="LMK61" s="10"/>
      <c r="LML61" s="10"/>
      <c r="LMM61" s="10"/>
      <c r="LMN61" s="10"/>
      <c r="LMO61" s="10"/>
      <c r="LMP61" s="10"/>
      <c r="LMQ61" s="10"/>
      <c r="LMR61" s="10"/>
      <c r="LMS61" s="10"/>
      <c r="LMT61" s="10"/>
      <c r="LMU61" s="10"/>
      <c r="LMV61" s="10"/>
      <c r="LMW61" s="10"/>
      <c r="LMX61" s="10"/>
      <c r="LMY61" s="10"/>
      <c r="LMZ61" s="10"/>
      <c r="LNA61" s="10"/>
      <c r="LNB61" s="10"/>
      <c r="LNC61" s="10"/>
      <c r="LND61" s="10"/>
      <c r="LNE61" s="10"/>
      <c r="LNF61" s="10"/>
      <c r="LNG61" s="10"/>
      <c r="LNH61" s="10"/>
      <c r="LNI61" s="10"/>
      <c r="LNJ61" s="10"/>
      <c r="LNK61" s="10"/>
      <c r="LNL61" s="10"/>
      <c r="LNM61" s="10"/>
      <c r="LNN61" s="10"/>
      <c r="LNO61" s="10"/>
      <c r="LNP61" s="10"/>
      <c r="LNQ61" s="10"/>
      <c r="LNR61" s="10"/>
      <c r="LNS61" s="10"/>
      <c r="LNT61" s="10"/>
      <c r="LNU61" s="10"/>
      <c r="LNV61" s="10"/>
      <c r="LNW61" s="10"/>
      <c r="LNX61" s="10"/>
      <c r="LNY61" s="10"/>
      <c r="LNZ61" s="10"/>
      <c r="LOA61" s="10"/>
      <c r="LOB61" s="10"/>
      <c r="LOC61" s="10"/>
      <c r="LOD61" s="10"/>
      <c r="LOE61" s="10"/>
      <c r="LOF61" s="10"/>
      <c r="LOG61" s="10"/>
      <c r="LOH61" s="10"/>
      <c r="LOI61" s="10"/>
      <c r="LOJ61" s="10"/>
      <c r="LOK61" s="10"/>
      <c r="LOL61" s="10"/>
      <c r="LOM61" s="10"/>
      <c r="LON61" s="10"/>
      <c r="LOO61" s="10"/>
      <c r="LOP61" s="10"/>
      <c r="LOQ61" s="10"/>
      <c r="LOR61" s="10"/>
      <c r="LOS61" s="10"/>
      <c r="LOT61" s="10"/>
      <c r="LOU61" s="10"/>
      <c r="LOV61" s="10"/>
      <c r="LOW61" s="10"/>
      <c r="LOX61" s="10"/>
      <c r="LOY61" s="10"/>
      <c r="LOZ61" s="10"/>
      <c r="LPA61" s="10"/>
      <c r="LPB61" s="10"/>
      <c r="LPC61" s="10"/>
      <c r="LPD61" s="10"/>
      <c r="LPE61" s="10"/>
      <c r="LPF61" s="10"/>
      <c r="LPG61" s="10"/>
      <c r="LPH61" s="10"/>
      <c r="LPI61" s="10"/>
      <c r="LPJ61" s="10"/>
      <c r="LPK61" s="10"/>
      <c r="LPL61" s="10"/>
      <c r="LPM61" s="10"/>
      <c r="LPN61" s="10"/>
      <c r="LPO61" s="10"/>
      <c r="LPP61" s="10"/>
      <c r="LPQ61" s="10"/>
      <c r="LPR61" s="10"/>
      <c r="LPS61" s="10"/>
      <c r="LPT61" s="10"/>
      <c r="LPU61" s="10"/>
      <c r="LPV61" s="10"/>
      <c r="LPW61" s="10"/>
      <c r="LPX61" s="10"/>
      <c r="LPY61" s="10"/>
      <c r="LPZ61" s="10"/>
      <c r="LQA61" s="10"/>
      <c r="LQB61" s="10"/>
      <c r="LQC61" s="10"/>
      <c r="LQD61" s="10"/>
      <c r="LQE61" s="10"/>
      <c r="LQF61" s="10"/>
      <c r="LQG61" s="10"/>
      <c r="LQH61" s="10"/>
      <c r="LQI61" s="10"/>
      <c r="LQJ61" s="10"/>
      <c r="LQK61" s="10"/>
      <c r="LQL61" s="10"/>
      <c r="LQM61" s="10"/>
      <c r="LQN61" s="10"/>
      <c r="LQO61" s="10"/>
      <c r="LQP61" s="10"/>
      <c r="LQQ61" s="10"/>
      <c r="LQR61" s="10"/>
      <c r="LQS61" s="10"/>
      <c r="LQT61" s="10"/>
      <c r="LQU61" s="10"/>
      <c r="LQV61" s="10"/>
      <c r="LQW61" s="10"/>
      <c r="LQX61" s="10"/>
      <c r="LQY61" s="10"/>
      <c r="LQZ61" s="10"/>
      <c r="LRA61" s="10"/>
      <c r="LRB61" s="10"/>
      <c r="LRC61" s="10"/>
      <c r="LRD61" s="10"/>
      <c r="LRE61" s="10"/>
      <c r="LRF61" s="10"/>
      <c r="LRG61" s="10"/>
      <c r="LRH61" s="10"/>
      <c r="LRI61" s="10"/>
      <c r="LRJ61" s="10"/>
      <c r="LRK61" s="10"/>
      <c r="LRL61" s="10"/>
      <c r="LRM61" s="10"/>
      <c r="LRN61" s="10"/>
      <c r="LRO61" s="10"/>
      <c r="LRP61" s="10"/>
      <c r="LRQ61" s="10"/>
      <c r="LRR61" s="10"/>
      <c r="LRS61" s="10"/>
      <c r="LRT61" s="10"/>
      <c r="LRU61" s="10"/>
      <c r="LRV61" s="10"/>
      <c r="LRW61" s="10"/>
      <c r="LRX61" s="10"/>
      <c r="LRY61" s="10"/>
      <c r="LRZ61" s="10"/>
      <c r="LSA61" s="10"/>
      <c r="LSB61" s="10"/>
      <c r="LSC61" s="10"/>
      <c r="LSD61" s="10"/>
      <c r="LSE61" s="10"/>
      <c r="LSF61" s="10"/>
      <c r="LSG61" s="10"/>
      <c r="LSH61" s="10"/>
      <c r="LSI61" s="10"/>
      <c r="LSJ61" s="10"/>
      <c r="LSK61" s="10"/>
      <c r="LSL61" s="10"/>
      <c r="LSM61" s="10"/>
      <c r="LSN61" s="10"/>
      <c r="LSO61" s="10"/>
      <c r="LSP61" s="10"/>
      <c r="LSQ61" s="10"/>
      <c r="LSR61" s="10"/>
      <c r="LSS61" s="10"/>
      <c r="LST61" s="10"/>
      <c r="LSU61" s="10"/>
      <c r="LSV61" s="10"/>
      <c r="LSW61" s="10"/>
      <c r="LSX61" s="10"/>
      <c r="LSY61" s="10"/>
      <c r="LSZ61" s="10"/>
      <c r="LTA61" s="10"/>
      <c r="LTB61" s="10"/>
      <c r="LTC61" s="10"/>
      <c r="LTD61" s="10"/>
      <c r="LTE61" s="10"/>
      <c r="LTF61" s="10"/>
      <c r="LTG61" s="10"/>
      <c r="LTH61" s="10"/>
      <c r="LTI61" s="10"/>
      <c r="LTJ61" s="10"/>
      <c r="LTK61" s="10"/>
      <c r="LTL61" s="10"/>
      <c r="LTM61" s="10"/>
      <c r="LTN61" s="10"/>
      <c r="LTO61" s="10"/>
      <c r="LTP61" s="10"/>
      <c r="LTQ61" s="10"/>
      <c r="LTR61" s="10"/>
      <c r="LTS61" s="10"/>
      <c r="LTT61" s="10"/>
      <c r="LTU61" s="10"/>
      <c r="LTV61" s="10"/>
      <c r="LTW61" s="10"/>
      <c r="LTX61" s="10"/>
      <c r="LTY61" s="10"/>
      <c r="LTZ61" s="10"/>
      <c r="LUA61" s="10"/>
      <c r="LUB61" s="10"/>
      <c r="LUC61" s="10"/>
      <c r="LUD61" s="10"/>
      <c r="LUE61" s="10"/>
      <c r="LUF61" s="10"/>
      <c r="LUG61" s="10"/>
      <c r="LUH61" s="10"/>
      <c r="LUI61" s="10"/>
      <c r="LUJ61" s="10"/>
      <c r="LUK61" s="10"/>
      <c r="LUL61" s="10"/>
      <c r="LUM61" s="10"/>
      <c r="LUN61" s="10"/>
      <c r="LUO61" s="10"/>
      <c r="LUP61" s="10"/>
      <c r="LUQ61" s="10"/>
      <c r="LUR61" s="10"/>
      <c r="LUS61" s="10"/>
      <c r="LUT61" s="10"/>
      <c r="LUU61" s="10"/>
      <c r="LUV61" s="10"/>
      <c r="LUW61" s="10"/>
      <c r="LUX61" s="10"/>
      <c r="LUY61" s="10"/>
      <c r="LUZ61" s="10"/>
      <c r="LVA61" s="10"/>
      <c r="LVB61" s="10"/>
      <c r="LVC61" s="10"/>
      <c r="LVD61" s="10"/>
      <c r="LVE61" s="10"/>
      <c r="LVF61" s="10"/>
      <c r="LVG61" s="10"/>
      <c r="LVH61" s="10"/>
      <c r="LVI61" s="10"/>
      <c r="LVJ61" s="10"/>
      <c r="LVK61" s="10"/>
      <c r="LVL61" s="10"/>
      <c r="LVM61" s="10"/>
      <c r="LVN61" s="10"/>
      <c r="LVO61" s="10"/>
      <c r="LVP61" s="10"/>
      <c r="LVQ61" s="10"/>
      <c r="LVR61" s="10"/>
      <c r="LVS61" s="10"/>
      <c r="LVT61" s="10"/>
      <c r="LVU61" s="10"/>
      <c r="LVV61" s="10"/>
      <c r="LVW61" s="10"/>
      <c r="LVX61" s="10"/>
      <c r="LVY61" s="10"/>
      <c r="LVZ61" s="10"/>
      <c r="LWA61" s="10"/>
      <c r="LWB61" s="10"/>
      <c r="LWC61" s="10"/>
      <c r="LWD61" s="10"/>
      <c r="LWE61" s="10"/>
      <c r="LWF61" s="10"/>
      <c r="LWG61" s="10"/>
      <c r="LWH61" s="10"/>
      <c r="LWI61" s="10"/>
      <c r="LWJ61" s="10"/>
      <c r="LWK61" s="10"/>
      <c r="LWL61" s="10"/>
      <c r="LWM61" s="10"/>
      <c r="LWN61" s="10"/>
      <c r="LWO61" s="10"/>
      <c r="LWP61" s="10"/>
      <c r="LWQ61" s="10"/>
      <c r="LWR61" s="10"/>
      <c r="LWS61" s="10"/>
      <c r="LWT61" s="10"/>
      <c r="LWU61" s="10"/>
      <c r="LWV61" s="10"/>
      <c r="LWW61" s="10"/>
      <c r="LWX61" s="10"/>
      <c r="LWY61" s="10"/>
      <c r="LWZ61" s="10"/>
      <c r="LXA61" s="10"/>
      <c r="LXB61" s="10"/>
      <c r="LXC61" s="10"/>
      <c r="LXD61" s="10"/>
      <c r="LXE61" s="10"/>
      <c r="LXF61" s="10"/>
      <c r="LXG61" s="10"/>
      <c r="LXH61" s="10"/>
      <c r="LXI61" s="10"/>
      <c r="LXJ61" s="10"/>
      <c r="LXK61" s="10"/>
      <c r="LXL61" s="10"/>
      <c r="LXM61" s="10"/>
      <c r="LXN61" s="10"/>
      <c r="LXO61" s="10"/>
      <c r="LXP61" s="10"/>
      <c r="LXQ61" s="10"/>
      <c r="LXR61" s="10"/>
      <c r="LXS61" s="10"/>
      <c r="LXT61" s="10"/>
      <c r="LXU61" s="10"/>
      <c r="LXV61" s="10"/>
      <c r="LXW61" s="10"/>
      <c r="LXX61" s="10"/>
      <c r="LXY61" s="10"/>
      <c r="LXZ61" s="10"/>
      <c r="LYA61" s="10"/>
      <c r="LYB61" s="10"/>
      <c r="LYC61" s="10"/>
      <c r="LYD61" s="10"/>
      <c r="LYE61" s="10"/>
      <c r="LYF61" s="10"/>
      <c r="LYG61" s="10"/>
      <c r="LYH61" s="10"/>
      <c r="LYI61" s="10"/>
      <c r="LYJ61" s="10"/>
      <c r="LYK61" s="10"/>
      <c r="LYL61" s="10"/>
      <c r="LYM61" s="10"/>
      <c r="LYN61" s="10"/>
      <c r="LYO61" s="10"/>
      <c r="LYP61" s="10"/>
      <c r="LYQ61" s="10"/>
      <c r="LYR61" s="10"/>
      <c r="LYS61" s="10"/>
      <c r="LYT61" s="10"/>
      <c r="LYU61" s="10"/>
      <c r="LYV61" s="10"/>
      <c r="LYW61" s="10"/>
      <c r="LYX61" s="10"/>
      <c r="LYY61" s="10"/>
      <c r="LYZ61" s="10"/>
      <c r="LZA61" s="10"/>
      <c r="LZB61" s="10"/>
      <c r="LZC61" s="10"/>
      <c r="LZD61" s="10"/>
      <c r="LZE61" s="10"/>
      <c r="LZF61" s="10"/>
      <c r="LZG61" s="10"/>
      <c r="LZH61" s="10"/>
      <c r="LZI61" s="10"/>
      <c r="LZJ61" s="10"/>
      <c r="LZK61" s="10"/>
      <c r="LZL61" s="10"/>
      <c r="LZM61" s="10"/>
      <c r="LZN61" s="10"/>
      <c r="LZO61" s="10"/>
      <c r="LZP61" s="10"/>
      <c r="LZQ61" s="10"/>
      <c r="LZR61" s="10"/>
      <c r="LZS61" s="10"/>
      <c r="LZT61" s="10"/>
      <c r="LZU61" s="10"/>
      <c r="LZV61" s="10"/>
      <c r="LZW61" s="10"/>
      <c r="LZX61" s="10"/>
      <c r="LZY61" s="10"/>
      <c r="LZZ61" s="10"/>
      <c r="MAA61" s="10"/>
      <c r="MAB61" s="10"/>
      <c r="MAC61" s="10"/>
      <c r="MAD61" s="10"/>
      <c r="MAE61" s="10"/>
      <c r="MAF61" s="10"/>
      <c r="MAG61" s="10"/>
      <c r="MAH61" s="10"/>
      <c r="MAI61" s="10"/>
      <c r="MAJ61" s="10"/>
      <c r="MAK61" s="10"/>
      <c r="MAL61" s="10"/>
      <c r="MAM61" s="10"/>
      <c r="MAN61" s="10"/>
      <c r="MAO61" s="10"/>
      <c r="MAP61" s="10"/>
      <c r="MAQ61" s="10"/>
      <c r="MAR61" s="10"/>
      <c r="MAS61" s="10"/>
      <c r="MAT61" s="10"/>
      <c r="MAU61" s="10"/>
      <c r="MAV61" s="10"/>
      <c r="MAW61" s="10"/>
      <c r="MAX61" s="10"/>
      <c r="MAY61" s="10"/>
      <c r="MAZ61" s="10"/>
      <c r="MBA61" s="10"/>
      <c r="MBB61" s="10"/>
      <c r="MBC61" s="10"/>
      <c r="MBD61" s="10"/>
      <c r="MBE61" s="10"/>
      <c r="MBF61" s="10"/>
      <c r="MBG61" s="10"/>
      <c r="MBH61" s="10"/>
      <c r="MBI61" s="10"/>
      <c r="MBJ61" s="10"/>
      <c r="MBK61" s="10"/>
      <c r="MBL61" s="10"/>
      <c r="MBM61" s="10"/>
      <c r="MBN61" s="10"/>
      <c r="MBO61" s="10"/>
      <c r="MBP61" s="10"/>
      <c r="MBQ61" s="10"/>
      <c r="MBR61" s="10"/>
      <c r="MBS61" s="10"/>
      <c r="MBT61" s="10"/>
      <c r="MBU61" s="10"/>
      <c r="MBV61" s="10"/>
      <c r="MBW61" s="10"/>
      <c r="MBX61" s="10"/>
      <c r="MBY61" s="10"/>
      <c r="MBZ61" s="10"/>
      <c r="MCA61" s="10"/>
      <c r="MCB61" s="10"/>
      <c r="MCC61" s="10"/>
      <c r="MCD61" s="10"/>
      <c r="MCE61" s="10"/>
      <c r="MCF61" s="10"/>
      <c r="MCG61" s="10"/>
      <c r="MCH61" s="10"/>
      <c r="MCI61" s="10"/>
      <c r="MCJ61" s="10"/>
      <c r="MCK61" s="10"/>
      <c r="MCL61" s="10"/>
      <c r="MCM61" s="10"/>
      <c r="MCN61" s="10"/>
      <c r="MCO61" s="10"/>
      <c r="MCP61" s="10"/>
      <c r="MCQ61" s="10"/>
      <c r="MCR61" s="10"/>
      <c r="MCS61" s="10"/>
      <c r="MCT61" s="10"/>
      <c r="MCU61" s="10"/>
      <c r="MCV61" s="10"/>
      <c r="MCW61" s="10"/>
      <c r="MCX61" s="10"/>
      <c r="MCY61" s="10"/>
      <c r="MCZ61" s="10"/>
      <c r="MDA61" s="10"/>
      <c r="MDB61" s="10"/>
      <c r="MDC61" s="10"/>
      <c r="MDD61" s="10"/>
      <c r="MDE61" s="10"/>
      <c r="MDF61" s="10"/>
      <c r="MDG61" s="10"/>
      <c r="MDH61" s="10"/>
      <c r="MDI61" s="10"/>
      <c r="MDJ61" s="10"/>
      <c r="MDK61" s="10"/>
      <c r="MDL61" s="10"/>
      <c r="MDM61" s="10"/>
      <c r="MDN61" s="10"/>
      <c r="MDO61" s="10"/>
      <c r="MDP61" s="10"/>
      <c r="MDQ61" s="10"/>
      <c r="MDR61" s="10"/>
      <c r="MDS61" s="10"/>
      <c r="MDT61" s="10"/>
      <c r="MDU61" s="10"/>
      <c r="MDV61" s="10"/>
      <c r="MDW61" s="10"/>
      <c r="MDX61" s="10"/>
      <c r="MDY61" s="10"/>
      <c r="MDZ61" s="10"/>
      <c r="MEA61" s="10"/>
      <c r="MEB61" s="10"/>
      <c r="MEC61" s="10"/>
      <c r="MED61" s="10"/>
      <c r="MEE61" s="10"/>
      <c r="MEF61" s="10"/>
      <c r="MEG61" s="10"/>
      <c r="MEH61" s="10"/>
      <c r="MEI61" s="10"/>
      <c r="MEJ61" s="10"/>
      <c r="MEK61" s="10"/>
      <c r="MEL61" s="10"/>
      <c r="MEM61" s="10"/>
      <c r="MEN61" s="10"/>
      <c r="MEO61" s="10"/>
      <c r="MEP61" s="10"/>
      <c r="MEQ61" s="10"/>
      <c r="MER61" s="10"/>
      <c r="MES61" s="10"/>
      <c r="MET61" s="10"/>
      <c r="MEU61" s="10"/>
      <c r="MEV61" s="10"/>
      <c r="MEW61" s="10"/>
      <c r="MEX61" s="10"/>
      <c r="MEY61" s="10"/>
      <c r="MEZ61" s="10"/>
      <c r="MFA61" s="10"/>
      <c r="MFB61" s="10"/>
      <c r="MFC61" s="10"/>
      <c r="MFD61" s="10"/>
      <c r="MFE61" s="10"/>
      <c r="MFF61" s="10"/>
      <c r="MFG61" s="10"/>
      <c r="MFH61" s="10"/>
      <c r="MFI61" s="10"/>
      <c r="MFJ61" s="10"/>
      <c r="MFK61" s="10"/>
      <c r="MFL61" s="10"/>
      <c r="MFM61" s="10"/>
      <c r="MFN61" s="10"/>
      <c r="MFO61" s="10"/>
      <c r="MFP61" s="10"/>
      <c r="MFQ61" s="10"/>
      <c r="MFR61" s="10"/>
      <c r="MFS61" s="10"/>
      <c r="MFT61" s="10"/>
      <c r="MFU61" s="10"/>
      <c r="MFV61" s="10"/>
      <c r="MFW61" s="10"/>
      <c r="MFX61" s="10"/>
      <c r="MFY61" s="10"/>
      <c r="MFZ61" s="10"/>
      <c r="MGA61" s="10"/>
      <c r="MGB61" s="10"/>
      <c r="MGC61" s="10"/>
      <c r="MGD61" s="10"/>
      <c r="MGE61" s="10"/>
      <c r="MGF61" s="10"/>
      <c r="MGG61" s="10"/>
      <c r="MGH61" s="10"/>
      <c r="MGI61" s="10"/>
      <c r="MGJ61" s="10"/>
      <c r="MGK61" s="10"/>
      <c r="MGL61" s="10"/>
      <c r="MGM61" s="10"/>
      <c r="MGN61" s="10"/>
      <c r="MGO61" s="10"/>
      <c r="MGP61" s="10"/>
      <c r="MGQ61" s="10"/>
      <c r="MGR61" s="10"/>
      <c r="MGS61" s="10"/>
      <c r="MGT61" s="10"/>
      <c r="MGU61" s="10"/>
      <c r="MGV61" s="10"/>
      <c r="MGW61" s="10"/>
      <c r="MGX61" s="10"/>
      <c r="MGY61" s="10"/>
      <c r="MGZ61" s="10"/>
      <c r="MHA61" s="10"/>
      <c r="MHB61" s="10"/>
      <c r="MHC61" s="10"/>
      <c r="MHD61" s="10"/>
      <c r="MHE61" s="10"/>
      <c r="MHF61" s="10"/>
      <c r="MHG61" s="10"/>
      <c r="MHH61" s="10"/>
      <c r="MHI61" s="10"/>
      <c r="MHJ61" s="10"/>
      <c r="MHK61" s="10"/>
      <c r="MHL61" s="10"/>
      <c r="MHM61" s="10"/>
      <c r="MHN61" s="10"/>
      <c r="MHO61" s="10"/>
      <c r="MHP61" s="10"/>
      <c r="MHQ61" s="10"/>
      <c r="MHR61" s="10"/>
      <c r="MHS61" s="10"/>
      <c r="MHT61" s="10"/>
      <c r="MHU61" s="10"/>
      <c r="MHV61" s="10"/>
      <c r="MHW61" s="10"/>
      <c r="MHX61" s="10"/>
      <c r="MHY61" s="10"/>
      <c r="MHZ61" s="10"/>
      <c r="MIA61" s="10"/>
      <c r="MIB61" s="10"/>
      <c r="MIC61" s="10"/>
      <c r="MID61" s="10"/>
      <c r="MIE61" s="10"/>
      <c r="MIF61" s="10"/>
      <c r="MIG61" s="10"/>
      <c r="MIH61" s="10"/>
      <c r="MII61" s="10"/>
      <c r="MIJ61" s="10"/>
      <c r="MIK61" s="10"/>
      <c r="MIL61" s="10"/>
      <c r="MIM61" s="10"/>
      <c r="MIN61" s="10"/>
      <c r="MIO61" s="10"/>
      <c r="MIP61" s="10"/>
      <c r="MIQ61" s="10"/>
      <c r="MIR61" s="10"/>
      <c r="MIS61" s="10"/>
      <c r="MIT61" s="10"/>
      <c r="MIU61" s="10"/>
      <c r="MIV61" s="10"/>
      <c r="MIW61" s="10"/>
      <c r="MIX61" s="10"/>
      <c r="MIY61" s="10"/>
      <c r="MIZ61" s="10"/>
      <c r="MJA61" s="10"/>
      <c r="MJB61" s="10"/>
      <c r="MJC61" s="10"/>
      <c r="MJD61" s="10"/>
      <c r="MJE61" s="10"/>
      <c r="MJF61" s="10"/>
      <c r="MJG61" s="10"/>
      <c r="MJH61" s="10"/>
      <c r="MJI61" s="10"/>
      <c r="MJJ61" s="10"/>
      <c r="MJK61" s="10"/>
      <c r="MJL61" s="10"/>
      <c r="MJM61" s="10"/>
      <c r="MJN61" s="10"/>
      <c r="MJO61" s="10"/>
      <c r="MJP61" s="10"/>
      <c r="MJQ61" s="10"/>
      <c r="MJR61" s="10"/>
      <c r="MJS61" s="10"/>
      <c r="MJT61" s="10"/>
      <c r="MJU61" s="10"/>
      <c r="MJV61" s="10"/>
      <c r="MJW61" s="10"/>
      <c r="MJX61" s="10"/>
      <c r="MJY61" s="10"/>
      <c r="MJZ61" s="10"/>
      <c r="MKA61" s="10"/>
      <c r="MKB61" s="10"/>
      <c r="MKC61" s="10"/>
      <c r="MKD61" s="10"/>
      <c r="MKE61" s="10"/>
      <c r="MKF61" s="10"/>
      <c r="MKG61" s="10"/>
      <c r="MKH61" s="10"/>
      <c r="MKI61" s="10"/>
      <c r="MKJ61" s="10"/>
      <c r="MKK61" s="10"/>
      <c r="MKL61" s="10"/>
      <c r="MKM61" s="10"/>
      <c r="MKN61" s="10"/>
      <c r="MKO61" s="10"/>
      <c r="MKP61" s="10"/>
      <c r="MKQ61" s="10"/>
      <c r="MKR61" s="10"/>
      <c r="MKS61" s="10"/>
      <c r="MKT61" s="10"/>
      <c r="MKU61" s="10"/>
      <c r="MKV61" s="10"/>
      <c r="MKW61" s="10"/>
      <c r="MKX61" s="10"/>
      <c r="MKY61" s="10"/>
      <c r="MKZ61" s="10"/>
      <c r="MLA61" s="10"/>
      <c r="MLB61" s="10"/>
      <c r="MLC61" s="10"/>
      <c r="MLD61" s="10"/>
      <c r="MLE61" s="10"/>
      <c r="MLF61" s="10"/>
      <c r="MLG61" s="10"/>
      <c r="MLH61" s="10"/>
      <c r="MLI61" s="10"/>
      <c r="MLJ61" s="10"/>
      <c r="MLK61" s="10"/>
      <c r="MLL61" s="10"/>
      <c r="MLM61" s="10"/>
      <c r="MLN61" s="10"/>
      <c r="MLO61" s="10"/>
      <c r="MLP61" s="10"/>
      <c r="MLQ61" s="10"/>
      <c r="MLR61" s="10"/>
      <c r="MLS61" s="10"/>
      <c r="MLT61" s="10"/>
      <c r="MLU61" s="10"/>
      <c r="MLV61" s="10"/>
      <c r="MLW61" s="10"/>
      <c r="MLX61" s="10"/>
      <c r="MLY61" s="10"/>
      <c r="MLZ61" s="10"/>
      <c r="MMA61" s="10"/>
      <c r="MMB61" s="10"/>
      <c r="MMC61" s="10"/>
      <c r="MMD61" s="10"/>
      <c r="MME61" s="10"/>
      <c r="MMF61" s="10"/>
      <c r="MMG61" s="10"/>
      <c r="MMH61" s="10"/>
      <c r="MMI61" s="10"/>
      <c r="MMJ61" s="10"/>
      <c r="MMK61" s="10"/>
      <c r="MML61" s="10"/>
      <c r="MMM61" s="10"/>
      <c r="MMN61" s="10"/>
      <c r="MMO61" s="10"/>
      <c r="MMP61" s="10"/>
      <c r="MMQ61" s="10"/>
      <c r="MMR61" s="10"/>
      <c r="MMS61" s="10"/>
      <c r="MMT61" s="10"/>
      <c r="MMU61" s="10"/>
      <c r="MMV61" s="10"/>
      <c r="MMW61" s="10"/>
      <c r="MMX61" s="10"/>
      <c r="MMY61" s="10"/>
      <c r="MMZ61" s="10"/>
      <c r="MNA61" s="10"/>
      <c r="MNB61" s="10"/>
      <c r="MNC61" s="10"/>
      <c r="MND61" s="10"/>
      <c r="MNE61" s="10"/>
      <c r="MNF61" s="10"/>
      <c r="MNG61" s="10"/>
      <c r="MNH61" s="10"/>
      <c r="MNI61" s="10"/>
      <c r="MNJ61" s="10"/>
      <c r="MNK61" s="10"/>
      <c r="MNL61" s="10"/>
      <c r="MNM61" s="10"/>
      <c r="MNN61" s="10"/>
      <c r="MNO61" s="10"/>
      <c r="MNP61" s="10"/>
      <c r="MNQ61" s="10"/>
      <c r="MNR61" s="10"/>
      <c r="MNS61" s="10"/>
      <c r="MNT61" s="10"/>
      <c r="MNU61" s="10"/>
      <c r="MNV61" s="10"/>
      <c r="MNW61" s="10"/>
      <c r="MNX61" s="10"/>
      <c r="MNY61" s="10"/>
      <c r="MNZ61" s="10"/>
      <c r="MOA61" s="10"/>
      <c r="MOB61" s="10"/>
      <c r="MOC61" s="10"/>
      <c r="MOD61" s="10"/>
      <c r="MOE61" s="10"/>
      <c r="MOF61" s="10"/>
      <c r="MOG61" s="10"/>
      <c r="MOH61" s="10"/>
      <c r="MOI61" s="10"/>
      <c r="MOJ61" s="10"/>
      <c r="MOK61" s="10"/>
      <c r="MOL61" s="10"/>
      <c r="MOM61" s="10"/>
      <c r="MON61" s="10"/>
      <c r="MOO61" s="10"/>
      <c r="MOP61" s="10"/>
      <c r="MOQ61" s="10"/>
      <c r="MOR61" s="10"/>
      <c r="MOS61" s="10"/>
      <c r="MOT61" s="10"/>
      <c r="MOU61" s="10"/>
      <c r="MOV61" s="10"/>
      <c r="MOW61" s="10"/>
      <c r="MOX61" s="10"/>
      <c r="MOY61" s="10"/>
      <c r="MOZ61" s="10"/>
      <c r="MPA61" s="10"/>
      <c r="MPB61" s="10"/>
      <c r="MPC61" s="10"/>
      <c r="MPD61" s="10"/>
      <c r="MPE61" s="10"/>
      <c r="MPF61" s="10"/>
      <c r="MPG61" s="10"/>
      <c r="MPH61" s="10"/>
      <c r="MPI61" s="10"/>
      <c r="MPJ61" s="10"/>
      <c r="MPK61" s="10"/>
      <c r="MPL61" s="10"/>
      <c r="MPM61" s="10"/>
      <c r="MPN61" s="10"/>
      <c r="MPO61" s="10"/>
      <c r="MPP61" s="10"/>
      <c r="MPQ61" s="10"/>
      <c r="MPR61" s="10"/>
      <c r="MPS61" s="10"/>
      <c r="MPT61" s="10"/>
      <c r="MPU61" s="10"/>
      <c r="MPV61" s="10"/>
      <c r="MPW61" s="10"/>
      <c r="MPX61" s="10"/>
      <c r="MPY61" s="10"/>
      <c r="MPZ61" s="10"/>
      <c r="MQA61" s="10"/>
      <c r="MQB61" s="10"/>
      <c r="MQC61" s="10"/>
      <c r="MQD61" s="10"/>
      <c r="MQE61" s="10"/>
      <c r="MQF61" s="10"/>
      <c r="MQG61" s="10"/>
      <c r="MQH61" s="10"/>
      <c r="MQI61" s="10"/>
      <c r="MQJ61" s="10"/>
      <c r="MQK61" s="10"/>
      <c r="MQL61" s="10"/>
      <c r="MQM61" s="10"/>
      <c r="MQN61" s="10"/>
      <c r="MQO61" s="10"/>
      <c r="MQP61" s="10"/>
      <c r="MQQ61" s="10"/>
      <c r="MQR61" s="10"/>
      <c r="MQS61" s="10"/>
      <c r="MQT61" s="10"/>
      <c r="MQU61" s="10"/>
      <c r="MQV61" s="10"/>
      <c r="MQW61" s="10"/>
      <c r="MQX61" s="10"/>
      <c r="MQY61" s="10"/>
      <c r="MQZ61" s="10"/>
      <c r="MRA61" s="10"/>
      <c r="MRB61" s="10"/>
      <c r="MRC61" s="10"/>
      <c r="MRD61" s="10"/>
      <c r="MRE61" s="10"/>
      <c r="MRF61" s="10"/>
      <c r="MRG61" s="10"/>
      <c r="MRH61" s="10"/>
      <c r="MRI61" s="10"/>
      <c r="MRJ61" s="10"/>
      <c r="MRK61" s="10"/>
      <c r="MRL61" s="10"/>
      <c r="MRM61" s="10"/>
      <c r="MRN61" s="10"/>
      <c r="MRO61" s="10"/>
      <c r="MRP61" s="10"/>
      <c r="MRQ61" s="10"/>
      <c r="MRR61" s="10"/>
      <c r="MRS61" s="10"/>
      <c r="MRT61" s="10"/>
      <c r="MRU61" s="10"/>
      <c r="MRV61" s="10"/>
      <c r="MRW61" s="10"/>
      <c r="MRX61" s="10"/>
      <c r="MRY61" s="10"/>
      <c r="MRZ61" s="10"/>
      <c r="MSA61" s="10"/>
      <c r="MSB61" s="10"/>
      <c r="MSC61" s="10"/>
      <c r="MSD61" s="10"/>
      <c r="MSE61" s="10"/>
      <c r="MSF61" s="10"/>
      <c r="MSG61" s="10"/>
      <c r="MSH61" s="10"/>
      <c r="MSI61" s="10"/>
      <c r="MSJ61" s="10"/>
      <c r="MSK61" s="10"/>
      <c r="MSL61" s="10"/>
      <c r="MSM61" s="10"/>
      <c r="MSN61" s="10"/>
      <c r="MSO61" s="10"/>
      <c r="MSP61" s="10"/>
      <c r="MSQ61" s="10"/>
      <c r="MSR61" s="10"/>
      <c r="MSS61" s="10"/>
      <c r="MST61" s="10"/>
      <c r="MSU61" s="10"/>
      <c r="MSV61" s="10"/>
      <c r="MSW61" s="10"/>
      <c r="MSX61" s="10"/>
      <c r="MSY61" s="10"/>
      <c r="MSZ61" s="10"/>
      <c r="MTA61" s="10"/>
      <c r="MTB61" s="10"/>
      <c r="MTC61" s="10"/>
      <c r="MTD61" s="10"/>
      <c r="MTE61" s="10"/>
      <c r="MTF61" s="10"/>
      <c r="MTG61" s="10"/>
      <c r="MTH61" s="10"/>
      <c r="MTI61" s="10"/>
      <c r="MTJ61" s="10"/>
      <c r="MTK61" s="10"/>
      <c r="MTL61" s="10"/>
      <c r="MTM61" s="10"/>
      <c r="MTN61" s="10"/>
      <c r="MTO61" s="10"/>
      <c r="MTP61" s="10"/>
      <c r="MTQ61" s="10"/>
      <c r="MTR61" s="10"/>
      <c r="MTS61" s="10"/>
      <c r="MTT61" s="10"/>
      <c r="MTU61" s="10"/>
      <c r="MTV61" s="10"/>
      <c r="MTW61" s="10"/>
      <c r="MTX61" s="10"/>
      <c r="MTY61" s="10"/>
      <c r="MTZ61" s="10"/>
      <c r="MUA61" s="10"/>
      <c r="MUB61" s="10"/>
      <c r="MUC61" s="10"/>
      <c r="MUD61" s="10"/>
      <c r="MUE61" s="10"/>
      <c r="MUF61" s="10"/>
      <c r="MUG61" s="10"/>
      <c r="MUH61" s="10"/>
      <c r="MUI61" s="10"/>
      <c r="MUJ61" s="10"/>
      <c r="MUK61" s="10"/>
      <c r="MUL61" s="10"/>
      <c r="MUM61" s="10"/>
      <c r="MUN61" s="10"/>
      <c r="MUO61" s="10"/>
      <c r="MUP61" s="10"/>
      <c r="MUQ61" s="10"/>
      <c r="MUR61" s="10"/>
      <c r="MUS61" s="10"/>
      <c r="MUT61" s="10"/>
      <c r="MUU61" s="10"/>
      <c r="MUV61" s="10"/>
      <c r="MUW61" s="10"/>
      <c r="MUX61" s="10"/>
      <c r="MUY61" s="10"/>
      <c r="MUZ61" s="10"/>
      <c r="MVA61" s="10"/>
      <c r="MVB61" s="10"/>
      <c r="MVC61" s="10"/>
      <c r="MVD61" s="10"/>
      <c r="MVE61" s="10"/>
      <c r="MVF61" s="10"/>
      <c r="MVG61" s="10"/>
      <c r="MVH61" s="10"/>
      <c r="MVI61" s="10"/>
      <c r="MVJ61" s="10"/>
      <c r="MVK61" s="10"/>
      <c r="MVL61" s="10"/>
      <c r="MVM61" s="10"/>
      <c r="MVN61" s="10"/>
      <c r="MVO61" s="10"/>
      <c r="MVP61" s="10"/>
      <c r="MVQ61" s="10"/>
      <c r="MVR61" s="10"/>
      <c r="MVS61" s="10"/>
      <c r="MVT61" s="10"/>
      <c r="MVU61" s="10"/>
      <c r="MVV61" s="10"/>
      <c r="MVW61" s="10"/>
      <c r="MVX61" s="10"/>
      <c r="MVY61" s="10"/>
      <c r="MVZ61" s="10"/>
      <c r="MWA61" s="10"/>
      <c r="MWB61" s="10"/>
      <c r="MWC61" s="10"/>
      <c r="MWD61" s="10"/>
      <c r="MWE61" s="10"/>
      <c r="MWF61" s="10"/>
      <c r="MWG61" s="10"/>
      <c r="MWH61" s="10"/>
      <c r="MWI61" s="10"/>
      <c r="MWJ61" s="10"/>
      <c r="MWK61" s="10"/>
      <c r="MWL61" s="10"/>
      <c r="MWM61" s="10"/>
      <c r="MWN61" s="10"/>
      <c r="MWO61" s="10"/>
      <c r="MWP61" s="10"/>
      <c r="MWQ61" s="10"/>
      <c r="MWR61" s="10"/>
      <c r="MWS61" s="10"/>
      <c r="MWT61" s="10"/>
      <c r="MWU61" s="10"/>
      <c r="MWV61" s="10"/>
      <c r="MWW61" s="10"/>
      <c r="MWX61" s="10"/>
      <c r="MWY61" s="10"/>
      <c r="MWZ61" s="10"/>
      <c r="MXA61" s="10"/>
      <c r="MXB61" s="10"/>
      <c r="MXC61" s="10"/>
      <c r="MXD61" s="10"/>
      <c r="MXE61" s="10"/>
      <c r="MXF61" s="10"/>
      <c r="MXG61" s="10"/>
      <c r="MXH61" s="10"/>
      <c r="MXI61" s="10"/>
      <c r="MXJ61" s="10"/>
      <c r="MXK61" s="10"/>
      <c r="MXL61" s="10"/>
      <c r="MXM61" s="10"/>
      <c r="MXN61" s="10"/>
      <c r="MXO61" s="10"/>
      <c r="MXP61" s="10"/>
      <c r="MXQ61" s="10"/>
      <c r="MXR61" s="10"/>
      <c r="MXS61" s="10"/>
      <c r="MXT61" s="10"/>
      <c r="MXU61" s="10"/>
      <c r="MXV61" s="10"/>
      <c r="MXW61" s="10"/>
      <c r="MXX61" s="10"/>
      <c r="MXY61" s="10"/>
      <c r="MXZ61" s="10"/>
      <c r="MYA61" s="10"/>
      <c r="MYB61" s="10"/>
      <c r="MYC61" s="10"/>
      <c r="MYD61" s="10"/>
      <c r="MYE61" s="10"/>
      <c r="MYF61" s="10"/>
      <c r="MYG61" s="10"/>
      <c r="MYH61" s="10"/>
      <c r="MYI61" s="10"/>
      <c r="MYJ61" s="10"/>
      <c r="MYK61" s="10"/>
      <c r="MYL61" s="10"/>
      <c r="MYM61" s="10"/>
      <c r="MYN61" s="10"/>
      <c r="MYO61" s="10"/>
      <c r="MYP61" s="10"/>
      <c r="MYQ61" s="10"/>
      <c r="MYR61" s="10"/>
      <c r="MYS61" s="10"/>
      <c r="MYT61" s="10"/>
      <c r="MYU61" s="10"/>
      <c r="MYV61" s="10"/>
      <c r="MYW61" s="10"/>
      <c r="MYX61" s="10"/>
      <c r="MYY61" s="10"/>
      <c r="MYZ61" s="10"/>
      <c r="MZA61" s="10"/>
      <c r="MZB61" s="10"/>
      <c r="MZC61" s="10"/>
      <c r="MZD61" s="10"/>
      <c r="MZE61" s="10"/>
      <c r="MZF61" s="10"/>
      <c r="MZG61" s="10"/>
      <c r="MZH61" s="10"/>
      <c r="MZI61" s="10"/>
      <c r="MZJ61" s="10"/>
      <c r="MZK61" s="10"/>
      <c r="MZL61" s="10"/>
      <c r="MZM61" s="10"/>
      <c r="MZN61" s="10"/>
      <c r="MZO61" s="10"/>
      <c r="MZP61" s="10"/>
      <c r="MZQ61" s="10"/>
      <c r="MZR61" s="10"/>
      <c r="MZS61" s="10"/>
      <c r="MZT61" s="10"/>
      <c r="MZU61" s="10"/>
      <c r="MZV61" s="10"/>
      <c r="MZW61" s="10"/>
      <c r="MZX61" s="10"/>
      <c r="MZY61" s="10"/>
      <c r="MZZ61" s="10"/>
      <c r="NAA61" s="10"/>
      <c r="NAB61" s="10"/>
      <c r="NAC61" s="10"/>
      <c r="NAD61" s="10"/>
      <c r="NAE61" s="10"/>
      <c r="NAF61" s="10"/>
      <c r="NAG61" s="10"/>
      <c r="NAH61" s="10"/>
      <c r="NAI61" s="10"/>
      <c r="NAJ61" s="10"/>
      <c r="NAK61" s="10"/>
      <c r="NAL61" s="10"/>
      <c r="NAM61" s="10"/>
      <c r="NAN61" s="10"/>
      <c r="NAO61" s="10"/>
      <c r="NAP61" s="10"/>
      <c r="NAQ61" s="10"/>
      <c r="NAR61" s="10"/>
      <c r="NAS61" s="10"/>
      <c r="NAT61" s="10"/>
      <c r="NAU61" s="10"/>
      <c r="NAV61" s="10"/>
      <c r="NAW61" s="10"/>
      <c r="NAX61" s="10"/>
      <c r="NAY61" s="10"/>
      <c r="NAZ61" s="10"/>
      <c r="NBA61" s="10"/>
      <c r="NBB61" s="10"/>
      <c r="NBC61" s="10"/>
      <c r="NBD61" s="10"/>
      <c r="NBE61" s="10"/>
      <c r="NBF61" s="10"/>
      <c r="NBG61" s="10"/>
      <c r="NBH61" s="10"/>
      <c r="NBI61" s="10"/>
      <c r="NBJ61" s="10"/>
      <c r="NBK61" s="10"/>
      <c r="NBL61" s="10"/>
      <c r="NBM61" s="10"/>
      <c r="NBN61" s="10"/>
      <c r="NBO61" s="10"/>
      <c r="NBP61" s="10"/>
      <c r="NBQ61" s="10"/>
      <c r="NBR61" s="10"/>
      <c r="NBS61" s="10"/>
      <c r="NBT61" s="10"/>
      <c r="NBU61" s="10"/>
      <c r="NBV61" s="10"/>
      <c r="NBW61" s="10"/>
      <c r="NBX61" s="10"/>
      <c r="NBY61" s="10"/>
      <c r="NBZ61" s="10"/>
      <c r="NCA61" s="10"/>
      <c r="NCB61" s="10"/>
      <c r="NCC61" s="10"/>
      <c r="NCD61" s="10"/>
      <c r="NCE61" s="10"/>
      <c r="NCF61" s="10"/>
      <c r="NCG61" s="10"/>
      <c r="NCH61" s="10"/>
      <c r="NCI61" s="10"/>
      <c r="NCJ61" s="10"/>
      <c r="NCK61" s="10"/>
      <c r="NCL61" s="10"/>
      <c r="NCM61" s="10"/>
      <c r="NCN61" s="10"/>
      <c r="NCO61" s="10"/>
      <c r="NCP61" s="10"/>
      <c r="NCQ61" s="10"/>
      <c r="NCR61" s="10"/>
      <c r="NCS61" s="10"/>
      <c r="NCT61" s="10"/>
      <c r="NCU61" s="10"/>
      <c r="NCV61" s="10"/>
      <c r="NCW61" s="10"/>
      <c r="NCX61" s="10"/>
      <c r="NCY61" s="10"/>
      <c r="NCZ61" s="10"/>
      <c r="NDA61" s="10"/>
      <c r="NDB61" s="10"/>
      <c r="NDC61" s="10"/>
      <c r="NDD61" s="10"/>
      <c r="NDE61" s="10"/>
      <c r="NDF61" s="10"/>
      <c r="NDG61" s="10"/>
      <c r="NDH61" s="10"/>
      <c r="NDI61" s="10"/>
      <c r="NDJ61" s="10"/>
      <c r="NDK61" s="10"/>
      <c r="NDL61" s="10"/>
      <c r="NDM61" s="10"/>
      <c r="NDN61" s="10"/>
      <c r="NDO61" s="10"/>
      <c r="NDP61" s="10"/>
      <c r="NDQ61" s="10"/>
      <c r="NDR61" s="10"/>
      <c r="NDS61" s="10"/>
      <c r="NDT61" s="10"/>
      <c r="NDU61" s="10"/>
      <c r="NDV61" s="10"/>
      <c r="NDW61" s="10"/>
      <c r="NDX61" s="10"/>
      <c r="NDY61" s="10"/>
      <c r="NDZ61" s="10"/>
      <c r="NEA61" s="10"/>
      <c r="NEB61" s="10"/>
      <c r="NEC61" s="10"/>
      <c r="NED61" s="10"/>
      <c r="NEE61" s="10"/>
      <c r="NEF61" s="10"/>
      <c r="NEG61" s="10"/>
      <c r="NEH61" s="10"/>
      <c r="NEI61" s="10"/>
      <c r="NEJ61" s="10"/>
      <c r="NEK61" s="10"/>
      <c r="NEL61" s="10"/>
      <c r="NEM61" s="10"/>
      <c r="NEN61" s="10"/>
      <c r="NEO61" s="10"/>
      <c r="NEP61" s="10"/>
      <c r="NEQ61" s="10"/>
      <c r="NER61" s="10"/>
      <c r="NES61" s="10"/>
      <c r="NET61" s="10"/>
      <c r="NEU61" s="10"/>
      <c r="NEV61" s="10"/>
      <c r="NEW61" s="10"/>
      <c r="NEX61" s="10"/>
      <c r="NEY61" s="10"/>
      <c r="NEZ61" s="10"/>
      <c r="NFA61" s="10"/>
      <c r="NFB61" s="10"/>
      <c r="NFC61" s="10"/>
      <c r="NFD61" s="10"/>
      <c r="NFE61" s="10"/>
      <c r="NFF61" s="10"/>
      <c r="NFG61" s="10"/>
      <c r="NFH61" s="10"/>
      <c r="NFI61" s="10"/>
      <c r="NFJ61" s="10"/>
      <c r="NFK61" s="10"/>
      <c r="NFL61" s="10"/>
      <c r="NFM61" s="10"/>
      <c r="NFN61" s="10"/>
      <c r="NFO61" s="10"/>
      <c r="NFP61" s="10"/>
      <c r="NFQ61" s="10"/>
      <c r="NFR61" s="10"/>
      <c r="NFS61" s="10"/>
      <c r="NFT61" s="10"/>
      <c r="NFU61" s="10"/>
      <c r="NFV61" s="10"/>
      <c r="NFW61" s="10"/>
      <c r="NFX61" s="10"/>
      <c r="NFY61" s="10"/>
      <c r="NFZ61" s="10"/>
      <c r="NGA61" s="10"/>
      <c r="NGB61" s="10"/>
      <c r="NGC61" s="10"/>
      <c r="NGD61" s="10"/>
      <c r="NGE61" s="10"/>
      <c r="NGF61" s="10"/>
      <c r="NGG61" s="10"/>
      <c r="NGH61" s="10"/>
      <c r="NGI61" s="10"/>
      <c r="NGJ61" s="10"/>
      <c r="NGK61" s="10"/>
      <c r="NGL61" s="10"/>
      <c r="NGM61" s="10"/>
      <c r="NGN61" s="10"/>
      <c r="NGO61" s="10"/>
      <c r="NGP61" s="10"/>
      <c r="NGQ61" s="10"/>
      <c r="NGR61" s="10"/>
      <c r="NGS61" s="10"/>
      <c r="NGT61" s="10"/>
      <c r="NGU61" s="10"/>
      <c r="NGV61" s="10"/>
      <c r="NGW61" s="10"/>
      <c r="NGX61" s="10"/>
      <c r="NGY61" s="10"/>
      <c r="NGZ61" s="10"/>
      <c r="NHA61" s="10"/>
      <c r="NHB61" s="10"/>
      <c r="NHC61" s="10"/>
      <c r="NHD61" s="10"/>
      <c r="NHE61" s="10"/>
      <c r="NHF61" s="10"/>
      <c r="NHG61" s="10"/>
      <c r="NHH61" s="10"/>
      <c r="NHI61" s="10"/>
      <c r="NHJ61" s="10"/>
      <c r="NHK61" s="10"/>
      <c r="NHL61" s="10"/>
      <c r="NHM61" s="10"/>
      <c r="NHN61" s="10"/>
      <c r="NHO61" s="10"/>
      <c r="NHP61" s="10"/>
      <c r="NHQ61" s="10"/>
      <c r="NHR61" s="10"/>
      <c r="NHS61" s="10"/>
      <c r="NHT61" s="10"/>
      <c r="NHU61" s="10"/>
      <c r="NHV61" s="10"/>
      <c r="NHW61" s="10"/>
      <c r="NHX61" s="10"/>
      <c r="NHY61" s="10"/>
      <c r="NHZ61" s="10"/>
      <c r="NIA61" s="10"/>
      <c r="NIB61" s="10"/>
      <c r="NIC61" s="10"/>
      <c r="NID61" s="10"/>
      <c r="NIE61" s="10"/>
      <c r="NIF61" s="10"/>
      <c r="NIG61" s="10"/>
      <c r="NIH61" s="10"/>
      <c r="NII61" s="10"/>
      <c r="NIJ61" s="10"/>
      <c r="NIK61" s="10"/>
      <c r="NIL61" s="10"/>
      <c r="NIM61" s="10"/>
      <c r="NIN61" s="10"/>
      <c r="NIO61" s="10"/>
      <c r="NIP61" s="10"/>
      <c r="NIQ61" s="10"/>
      <c r="NIR61" s="10"/>
      <c r="NIS61" s="10"/>
      <c r="NIT61" s="10"/>
      <c r="NIU61" s="10"/>
      <c r="NIV61" s="10"/>
      <c r="NIW61" s="10"/>
      <c r="NIX61" s="10"/>
      <c r="NIY61" s="10"/>
      <c r="NIZ61" s="10"/>
      <c r="NJA61" s="10"/>
      <c r="NJB61" s="10"/>
      <c r="NJC61" s="10"/>
      <c r="NJD61" s="10"/>
      <c r="NJE61" s="10"/>
      <c r="NJF61" s="10"/>
      <c r="NJG61" s="10"/>
      <c r="NJH61" s="10"/>
      <c r="NJI61" s="10"/>
      <c r="NJJ61" s="10"/>
      <c r="NJK61" s="10"/>
      <c r="NJL61" s="10"/>
      <c r="NJM61" s="10"/>
      <c r="NJN61" s="10"/>
      <c r="NJO61" s="10"/>
      <c r="NJP61" s="10"/>
      <c r="NJQ61" s="10"/>
      <c r="NJR61" s="10"/>
      <c r="NJS61" s="10"/>
      <c r="NJT61" s="10"/>
      <c r="NJU61" s="10"/>
      <c r="NJV61" s="10"/>
      <c r="NJW61" s="10"/>
      <c r="NJX61" s="10"/>
      <c r="NJY61" s="10"/>
      <c r="NJZ61" s="10"/>
      <c r="NKA61" s="10"/>
      <c r="NKB61" s="10"/>
      <c r="NKC61" s="10"/>
      <c r="NKD61" s="10"/>
      <c r="NKE61" s="10"/>
      <c r="NKF61" s="10"/>
      <c r="NKG61" s="10"/>
      <c r="NKH61" s="10"/>
      <c r="NKI61" s="10"/>
      <c r="NKJ61" s="10"/>
      <c r="NKK61" s="10"/>
      <c r="NKL61" s="10"/>
      <c r="NKM61" s="10"/>
      <c r="NKN61" s="10"/>
      <c r="NKO61" s="10"/>
      <c r="NKP61" s="10"/>
      <c r="NKQ61" s="10"/>
      <c r="NKR61" s="10"/>
      <c r="NKS61" s="10"/>
      <c r="NKT61" s="10"/>
      <c r="NKU61" s="10"/>
      <c r="NKV61" s="10"/>
      <c r="NKW61" s="10"/>
      <c r="NKX61" s="10"/>
      <c r="NKY61" s="10"/>
      <c r="NKZ61" s="10"/>
      <c r="NLA61" s="10"/>
      <c r="NLB61" s="10"/>
      <c r="NLC61" s="10"/>
      <c r="NLD61" s="10"/>
      <c r="NLE61" s="10"/>
      <c r="NLF61" s="10"/>
      <c r="NLG61" s="10"/>
      <c r="NLH61" s="10"/>
      <c r="NLI61" s="10"/>
      <c r="NLJ61" s="10"/>
      <c r="NLK61" s="10"/>
      <c r="NLL61" s="10"/>
      <c r="NLM61" s="10"/>
      <c r="NLN61" s="10"/>
      <c r="NLO61" s="10"/>
      <c r="NLP61" s="10"/>
      <c r="NLQ61" s="10"/>
      <c r="NLR61" s="10"/>
      <c r="NLS61" s="10"/>
      <c r="NLT61" s="10"/>
      <c r="NLU61" s="10"/>
      <c r="NLV61" s="10"/>
      <c r="NLW61" s="10"/>
      <c r="NLX61" s="10"/>
      <c r="NLY61" s="10"/>
      <c r="NLZ61" s="10"/>
      <c r="NMA61" s="10"/>
      <c r="NMB61" s="10"/>
      <c r="NMC61" s="10"/>
      <c r="NMD61" s="10"/>
      <c r="NME61" s="10"/>
      <c r="NMF61" s="10"/>
      <c r="NMG61" s="10"/>
      <c r="NMH61" s="10"/>
      <c r="NMI61" s="10"/>
      <c r="NMJ61" s="10"/>
      <c r="NMK61" s="10"/>
      <c r="NML61" s="10"/>
      <c r="NMM61" s="10"/>
      <c r="NMN61" s="10"/>
      <c r="NMO61" s="10"/>
      <c r="NMP61" s="10"/>
      <c r="NMQ61" s="10"/>
      <c r="NMR61" s="10"/>
      <c r="NMS61" s="10"/>
      <c r="NMT61" s="10"/>
      <c r="NMU61" s="10"/>
      <c r="NMV61" s="10"/>
      <c r="NMW61" s="10"/>
      <c r="NMX61" s="10"/>
      <c r="NMY61" s="10"/>
      <c r="NMZ61" s="10"/>
      <c r="NNA61" s="10"/>
      <c r="NNB61" s="10"/>
      <c r="NNC61" s="10"/>
      <c r="NND61" s="10"/>
      <c r="NNE61" s="10"/>
      <c r="NNF61" s="10"/>
      <c r="NNG61" s="10"/>
      <c r="NNH61" s="10"/>
      <c r="NNI61" s="10"/>
      <c r="NNJ61" s="10"/>
      <c r="NNK61" s="10"/>
      <c r="NNL61" s="10"/>
      <c r="NNM61" s="10"/>
      <c r="NNN61" s="10"/>
      <c r="NNO61" s="10"/>
      <c r="NNP61" s="10"/>
      <c r="NNQ61" s="10"/>
      <c r="NNR61" s="10"/>
      <c r="NNS61" s="10"/>
      <c r="NNT61" s="10"/>
      <c r="NNU61" s="10"/>
      <c r="NNV61" s="10"/>
      <c r="NNW61" s="10"/>
      <c r="NNX61" s="10"/>
      <c r="NNY61" s="10"/>
      <c r="NNZ61" s="10"/>
      <c r="NOA61" s="10"/>
      <c r="NOB61" s="10"/>
      <c r="NOC61" s="10"/>
      <c r="NOD61" s="10"/>
      <c r="NOE61" s="10"/>
      <c r="NOF61" s="10"/>
      <c r="NOG61" s="10"/>
      <c r="NOH61" s="10"/>
      <c r="NOI61" s="10"/>
      <c r="NOJ61" s="10"/>
      <c r="NOK61" s="10"/>
      <c r="NOL61" s="10"/>
      <c r="NOM61" s="10"/>
      <c r="NON61" s="10"/>
      <c r="NOO61" s="10"/>
      <c r="NOP61" s="10"/>
      <c r="NOQ61" s="10"/>
      <c r="NOR61" s="10"/>
      <c r="NOS61" s="10"/>
      <c r="NOT61" s="10"/>
      <c r="NOU61" s="10"/>
      <c r="NOV61" s="10"/>
      <c r="NOW61" s="10"/>
      <c r="NOX61" s="10"/>
      <c r="NOY61" s="10"/>
      <c r="NOZ61" s="10"/>
      <c r="NPA61" s="10"/>
      <c r="NPB61" s="10"/>
      <c r="NPC61" s="10"/>
      <c r="NPD61" s="10"/>
      <c r="NPE61" s="10"/>
      <c r="NPF61" s="10"/>
      <c r="NPG61" s="10"/>
      <c r="NPH61" s="10"/>
      <c r="NPI61" s="10"/>
      <c r="NPJ61" s="10"/>
      <c r="NPK61" s="10"/>
      <c r="NPL61" s="10"/>
      <c r="NPM61" s="10"/>
      <c r="NPN61" s="10"/>
      <c r="NPO61" s="10"/>
      <c r="NPP61" s="10"/>
      <c r="NPQ61" s="10"/>
      <c r="NPR61" s="10"/>
      <c r="NPS61" s="10"/>
      <c r="NPT61" s="10"/>
      <c r="NPU61" s="10"/>
      <c r="NPV61" s="10"/>
      <c r="NPW61" s="10"/>
      <c r="NPX61" s="10"/>
      <c r="NPY61" s="10"/>
      <c r="NPZ61" s="10"/>
      <c r="NQA61" s="10"/>
      <c r="NQB61" s="10"/>
      <c r="NQC61" s="10"/>
      <c r="NQD61" s="10"/>
      <c r="NQE61" s="10"/>
      <c r="NQF61" s="10"/>
      <c r="NQG61" s="10"/>
      <c r="NQH61" s="10"/>
      <c r="NQI61" s="10"/>
      <c r="NQJ61" s="10"/>
      <c r="NQK61" s="10"/>
      <c r="NQL61" s="10"/>
      <c r="NQM61" s="10"/>
      <c r="NQN61" s="10"/>
      <c r="NQO61" s="10"/>
      <c r="NQP61" s="10"/>
      <c r="NQQ61" s="10"/>
      <c r="NQR61" s="10"/>
      <c r="NQS61" s="10"/>
      <c r="NQT61" s="10"/>
      <c r="NQU61" s="10"/>
      <c r="NQV61" s="10"/>
      <c r="NQW61" s="10"/>
      <c r="NQX61" s="10"/>
      <c r="NQY61" s="10"/>
      <c r="NQZ61" s="10"/>
      <c r="NRA61" s="10"/>
      <c r="NRB61" s="10"/>
      <c r="NRC61" s="10"/>
      <c r="NRD61" s="10"/>
      <c r="NRE61" s="10"/>
      <c r="NRF61" s="10"/>
      <c r="NRG61" s="10"/>
      <c r="NRH61" s="10"/>
      <c r="NRI61" s="10"/>
      <c r="NRJ61" s="10"/>
      <c r="NRK61" s="10"/>
      <c r="NRL61" s="10"/>
      <c r="NRM61" s="10"/>
      <c r="NRN61" s="10"/>
      <c r="NRO61" s="10"/>
      <c r="NRP61" s="10"/>
      <c r="NRQ61" s="10"/>
      <c r="NRR61" s="10"/>
      <c r="NRS61" s="10"/>
      <c r="NRT61" s="10"/>
      <c r="NRU61" s="10"/>
      <c r="NRV61" s="10"/>
      <c r="NRW61" s="10"/>
      <c r="NRX61" s="10"/>
      <c r="NRY61" s="10"/>
      <c r="NRZ61" s="10"/>
      <c r="NSA61" s="10"/>
      <c r="NSB61" s="10"/>
      <c r="NSC61" s="10"/>
      <c r="NSD61" s="10"/>
      <c r="NSE61" s="10"/>
      <c r="NSF61" s="10"/>
      <c r="NSG61" s="10"/>
      <c r="NSH61" s="10"/>
      <c r="NSI61" s="10"/>
      <c r="NSJ61" s="10"/>
      <c r="NSK61" s="10"/>
      <c r="NSL61" s="10"/>
      <c r="NSM61" s="10"/>
      <c r="NSN61" s="10"/>
      <c r="NSO61" s="10"/>
      <c r="NSP61" s="10"/>
      <c r="NSQ61" s="10"/>
      <c r="NSR61" s="10"/>
      <c r="NSS61" s="10"/>
      <c r="NST61" s="10"/>
      <c r="NSU61" s="10"/>
      <c r="NSV61" s="10"/>
      <c r="NSW61" s="10"/>
      <c r="NSX61" s="10"/>
      <c r="NSY61" s="10"/>
      <c r="NSZ61" s="10"/>
      <c r="NTA61" s="10"/>
      <c r="NTB61" s="10"/>
      <c r="NTC61" s="10"/>
      <c r="NTD61" s="10"/>
      <c r="NTE61" s="10"/>
      <c r="NTF61" s="10"/>
      <c r="NTG61" s="10"/>
      <c r="NTH61" s="10"/>
      <c r="NTI61" s="10"/>
      <c r="NTJ61" s="10"/>
      <c r="NTK61" s="10"/>
      <c r="NTL61" s="10"/>
      <c r="NTM61" s="10"/>
      <c r="NTN61" s="10"/>
      <c r="NTO61" s="10"/>
      <c r="NTP61" s="10"/>
      <c r="NTQ61" s="10"/>
      <c r="NTR61" s="10"/>
      <c r="NTS61" s="10"/>
      <c r="NTT61" s="10"/>
      <c r="NTU61" s="10"/>
      <c r="NTV61" s="10"/>
      <c r="NTW61" s="10"/>
      <c r="NTX61" s="10"/>
      <c r="NTY61" s="10"/>
      <c r="NTZ61" s="10"/>
      <c r="NUA61" s="10"/>
      <c r="NUB61" s="10"/>
      <c r="NUC61" s="10"/>
      <c r="NUD61" s="10"/>
      <c r="NUE61" s="10"/>
      <c r="NUF61" s="10"/>
      <c r="NUG61" s="10"/>
      <c r="NUH61" s="10"/>
      <c r="NUI61" s="10"/>
      <c r="NUJ61" s="10"/>
      <c r="NUK61" s="10"/>
      <c r="NUL61" s="10"/>
      <c r="NUM61" s="10"/>
      <c r="NUN61" s="10"/>
      <c r="NUO61" s="10"/>
      <c r="NUP61" s="10"/>
      <c r="NUQ61" s="10"/>
      <c r="NUR61" s="10"/>
      <c r="NUS61" s="10"/>
      <c r="NUT61" s="10"/>
      <c r="NUU61" s="10"/>
      <c r="NUV61" s="10"/>
      <c r="NUW61" s="10"/>
      <c r="NUX61" s="10"/>
      <c r="NUY61" s="10"/>
      <c r="NUZ61" s="10"/>
      <c r="NVA61" s="10"/>
      <c r="NVB61" s="10"/>
      <c r="NVC61" s="10"/>
      <c r="NVD61" s="10"/>
      <c r="NVE61" s="10"/>
      <c r="NVF61" s="10"/>
      <c r="NVG61" s="10"/>
      <c r="NVH61" s="10"/>
      <c r="NVI61" s="10"/>
      <c r="NVJ61" s="10"/>
      <c r="NVK61" s="10"/>
      <c r="NVL61" s="10"/>
      <c r="NVM61" s="10"/>
      <c r="NVN61" s="10"/>
      <c r="NVO61" s="10"/>
      <c r="NVP61" s="10"/>
      <c r="NVQ61" s="10"/>
      <c r="NVR61" s="10"/>
      <c r="NVS61" s="10"/>
      <c r="NVT61" s="10"/>
      <c r="NVU61" s="10"/>
      <c r="NVV61" s="10"/>
      <c r="NVW61" s="10"/>
      <c r="NVX61" s="10"/>
      <c r="NVY61" s="10"/>
      <c r="NVZ61" s="10"/>
      <c r="NWA61" s="10"/>
      <c r="NWB61" s="10"/>
      <c r="NWC61" s="10"/>
      <c r="NWD61" s="10"/>
      <c r="NWE61" s="10"/>
      <c r="NWF61" s="10"/>
      <c r="NWG61" s="10"/>
      <c r="NWH61" s="10"/>
      <c r="NWI61" s="10"/>
      <c r="NWJ61" s="10"/>
      <c r="NWK61" s="10"/>
      <c r="NWL61" s="10"/>
      <c r="NWM61" s="10"/>
      <c r="NWN61" s="10"/>
      <c r="NWO61" s="10"/>
      <c r="NWP61" s="10"/>
      <c r="NWQ61" s="10"/>
      <c r="NWR61" s="10"/>
      <c r="NWS61" s="10"/>
      <c r="NWT61" s="10"/>
      <c r="NWU61" s="10"/>
      <c r="NWV61" s="10"/>
      <c r="NWW61" s="10"/>
      <c r="NWX61" s="10"/>
      <c r="NWY61" s="10"/>
      <c r="NWZ61" s="10"/>
      <c r="NXA61" s="10"/>
      <c r="NXB61" s="10"/>
      <c r="NXC61" s="10"/>
      <c r="NXD61" s="10"/>
      <c r="NXE61" s="10"/>
      <c r="NXF61" s="10"/>
      <c r="NXG61" s="10"/>
      <c r="NXH61" s="10"/>
      <c r="NXI61" s="10"/>
      <c r="NXJ61" s="10"/>
      <c r="NXK61" s="10"/>
      <c r="NXL61" s="10"/>
      <c r="NXM61" s="10"/>
      <c r="NXN61" s="10"/>
      <c r="NXO61" s="10"/>
      <c r="NXP61" s="10"/>
      <c r="NXQ61" s="10"/>
      <c r="NXR61" s="10"/>
      <c r="NXS61" s="10"/>
      <c r="NXT61" s="10"/>
      <c r="NXU61" s="10"/>
      <c r="NXV61" s="10"/>
      <c r="NXW61" s="10"/>
      <c r="NXX61" s="10"/>
      <c r="NXY61" s="10"/>
      <c r="NXZ61" s="10"/>
      <c r="NYA61" s="10"/>
      <c r="NYB61" s="10"/>
      <c r="NYC61" s="10"/>
      <c r="NYD61" s="10"/>
      <c r="NYE61" s="10"/>
      <c r="NYF61" s="10"/>
      <c r="NYG61" s="10"/>
      <c r="NYH61" s="10"/>
      <c r="NYI61" s="10"/>
      <c r="NYJ61" s="10"/>
      <c r="NYK61" s="10"/>
      <c r="NYL61" s="10"/>
      <c r="NYM61" s="10"/>
      <c r="NYN61" s="10"/>
      <c r="NYO61" s="10"/>
      <c r="NYP61" s="10"/>
      <c r="NYQ61" s="10"/>
      <c r="NYR61" s="10"/>
      <c r="NYS61" s="10"/>
      <c r="NYT61" s="10"/>
      <c r="NYU61" s="10"/>
      <c r="NYV61" s="10"/>
      <c r="NYW61" s="10"/>
      <c r="NYX61" s="10"/>
      <c r="NYY61" s="10"/>
      <c r="NYZ61" s="10"/>
      <c r="NZA61" s="10"/>
      <c r="NZB61" s="10"/>
      <c r="NZC61" s="10"/>
      <c r="NZD61" s="10"/>
      <c r="NZE61" s="10"/>
      <c r="NZF61" s="10"/>
      <c r="NZG61" s="10"/>
      <c r="NZH61" s="10"/>
      <c r="NZI61" s="10"/>
      <c r="NZJ61" s="10"/>
      <c r="NZK61" s="10"/>
      <c r="NZL61" s="10"/>
      <c r="NZM61" s="10"/>
      <c r="NZN61" s="10"/>
      <c r="NZO61" s="10"/>
      <c r="NZP61" s="10"/>
      <c r="NZQ61" s="10"/>
      <c r="NZR61" s="10"/>
      <c r="NZS61" s="10"/>
      <c r="NZT61" s="10"/>
      <c r="NZU61" s="10"/>
      <c r="NZV61" s="10"/>
      <c r="NZW61" s="10"/>
      <c r="NZX61" s="10"/>
      <c r="NZY61" s="10"/>
      <c r="NZZ61" s="10"/>
      <c r="OAA61" s="10"/>
      <c r="OAB61" s="10"/>
      <c r="OAC61" s="10"/>
      <c r="OAD61" s="10"/>
      <c r="OAE61" s="10"/>
      <c r="OAF61" s="10"/>
      <c r="OAG61" s="10"/>
      <c r="OAH61" s="10"/>
      <c r="OAI61" s="10"/>
      <c r="OAJ61" s="10"/>
      <c r="OAK61" s="10"/>
      <c r="OAL61" s="10"/>
      <c r="OAM61" s="10"/>
      <c r="OAN61" s="10"/>
      <c r="OAO61" s="10"/>
      <c r="OAP61" s="10"/>
      <c r="OAQ61" s="10"/>
      <c r="OAR61" s="10"/>
      <c r="OAS61" s="10"/>
      <c r="OAT61" s="10"/>
      <c r="OAU61" s="10"/>
      <c r="OAV61" s="10"/>
      <c r="OAW61" s="10"/>
      <c r="OAX61" s="10"/>
      <c r="OAY61" s="10"/>
      <c r="OAZ61" s="10"/>
      <c r="OBA61" s="10"/>
      <c r="OBB61" s="10"/>
      <c r="OBC61" s="10"/>
      <c r="OBD61" s="10"/>
      <c r="OBE61" s="10"/>
      <c r="OBF61" s="10"/>
      <c r="OBG61" s="10"/>
      <c r="OBH61" s="10"/>
      <c r="OBI61" s="10"/>
      <c r="OBJ61" s="10"/>
      <c r="OBK61" s="10"/>
      <c r="OBL61" s="10"/>
      <c r="OBM61" s="10"/>
      <c r="OBN61" s="10"/>
      <c r="OBO61" s="10"/>
      <c r="OBP61" s="10"/>
      <c r="OBQ61" s="10"/>
      <c r="OBR61" s="10"/>
      <c r="OBS61" s="10"/>
      <c r="OBT61" s="10"/>
      <c r="OBU61" s="10"/>
      <c r="OBV61" s="10"/>
      <c r="OBW61" s="10"/>
      <c r="OBX61" s="10"/>
      <c r="OBY61" s="10"/>
      <c r="OBZ61" s="10"/>
      <c r="OCA61" s="10"/>
      <c r="OCB61" s="10"/>
      <c r="OCC61" s="10"/>
      <c r="OCD61" s="10"/>
      <c r="OCE61" s="10"/>
      <c r="OCF61" s="10"/>
      <c r="OCG61" s="10"/>
      <c r="OCH61" s="10"/>
      <c r="OCI61" s="10"/>
      <c r="OCJ61" s="10"/>
      <c r="OCK61" s="10"/>
      <c r="OCL61" s="10"/>
      <c r="OCM61" s="10"/>
      <c r="OCN61" s="10"/>
      <c r="OCO61" s="10"/>
      <c r="OCP61" s="10"/>
      <c r="OCQ61" s="10"/>
      <c r="OCR61" s="10"/>
      <c r="OCS61" s="10"/>
      <c r="OCT61" s="10"/>
      <c r="OCU61" s="10"/>
      <c r="OCV61" s="10"/>
      <c r="OCW61" s="10"/>
      <c r="OCX61" s="10"/>
      <c r="OCY61" s="10"/>
      <c r="OCZ61" s="10"/>
      <c r="ODA61" s="10"/>
      <c r="ODB61" s="10"/>
      <c r="ODC61" s="10"/>
      <c r="ODD61" s="10"/>
      <c r="ODE61" s="10"/>
      <c r="ODF61" s="10"/>
      <c r="ODG61" s="10"/>
      <c r="ODH61" s="10"/>
      <c r="ODI61" s="10"/>
      <c r="ODJ61" s="10"/>
      <c r="ODK61" s="10"/>
      <c r="ODL61" s="10"/>
      <c r="ODM61" s="10"/>
      <c r="ODN61" s="10"/>
      <c r="ODO61" s="10"/>
      <c r="ODP61" s="10"/>
      <c r="ODQ61" s="10"/>
      <c r="ODR61" s="10"/>
      <c r="ODS61" s="10"/>
      <c r="ODT61" s="10"/>
      <c r="ODU61" s="10"/>
      <c r="ODV61" s="10"/>
      <c r="ODW61" s="10"/>
      <c r="ODX61" s="10"/>
      <c r="ODY61" s="10"/>
      <c r="ODZ61" s="10"/>
      <c r="OEA61" s="10"/>
      <c r="OEB61" s="10"/>
      <c r="OEC61" s="10"/>
      <c r="OED61" s="10"/>
      <c r="OEE61" s="10"/>
      <c r="OEF61" s="10"/>
      <c r="OEG61" s="10"/>
      <c r="OEH61" s="10"/>
      <c r="OEI61" s="10"/>
      <c r="OEJ61" s="10"/>
      <c r="OEK61" s="10"/>
      <c r="OEL61" s="10"/>
      <c r="OEM61" s="10"/>
      <c r="OEN61" s="10"/>
      <c r="OEO61" s="10"/>
      <c r="OEP61" s="10"/>
      <c r="OEQ61" s="10"/>
      <c r="OER61" s="10"/>
      <c r="OES61" s="10"/>
      <c r="OET61" s="10"/>
      <c r="OEU61" s="10"/>
      <c r="OEV61" s="10"/>
      <c r="OEW61" s="10"/>
      <c r="OEX61" s="10"/>
      <c r="OEY61" s="10"/>
      <c r="OEZ61" s="10"/>
      <c r="OFA61" s="10"/>
      <c r="OFB61" s="10"/>
      <c r="OFC61" s="10"/>
      <c r="OFD61" s="10"/>
      <c r="OFE61" s="10"/>
      <c r="OFF61" s="10"/>
      <c r="OFG61" s="10"/>
      <c r="OFH61" s="10"/>
      <c r="OFI61" s="10"/>
      <c r="OFJ61" s="10"/>
      <c r="OFK61" s="10"/>
      <c r="OFL61" s="10"/>
      <c r="OFM61" s="10"/>
      <c r="OFN61" s="10"/>
      <c r="OFO61" s="10"/>
      <c r="OFP61" s="10"/>
      <c r="OFQ61" s="10"/>
      <c r="OFR61" s="10"/>
      <c r="OFS61" s="10"/>
      <c r="OFT61" s="10"/>
      <c r="OFU61" s="10"/>
      <c r="OFV61" s="10"/>
      <c r="OFW61" s="10"/>
      <c r="OFX61" s="10"/>
      <c r="OFY61" s="10"/>
      <c r="OFZ61" s="10"/>
      <c r="OGA61" s="10"/>
      <c r="OGB61" s="10"/>
      <c r="OGC61" s="10"/>
      <c r="OGD61" s="10"/>
      <c r="OGE61" s="10"/>
      <c r="OGF61" s="10"/>
      <c r="OGG61" s="10"/>
      <c r="OGH61" s="10"/>
      <c r="OGI61" s="10"/>
      <c r="OGJ61" s="10"/>
      <c r="OGK61" s="10"/>
      <c r="OGL61" s="10"/>
      <c r="OGM61" s="10"/>
      <c r="OGN61" s="10"/>
      <c r="OGO61" s="10"/>
      <c r="OGP61" s="10"/>
      <c r="OGQ61" s="10"/>
      <c r="OGR61" s="10"/>
      <c r="OGS61" s="10"/>
      <c r="OGT61" s="10"/>
      <c r="OGU61" s="10"/>
      <c r="OGV61" s="10"/>
      <c r="OGW61" s="10"/>
      <c r="OGX61" s="10"/>
      <c r="OGY61" s="10"/>
      <c r="OGZ61" s="10"/>
      <c r="OHA61" s="10"/>
      <c r="OHB61" s="10"/>
      <c r="OHC61" s="10"/>
      <c r="OHD61" s="10"/>
      <c r="OHE61" s="10"/>
      <c r="OHF61" s="10"/>
      <c r="OHG61" s="10"/>
      <c r="OHH61" s="10"/>
      <c r="OHI61" s="10"/>
      <c r="OHJ61" s="10"/>
      <c r="OHK61" s="10"/>
      <c r="OHL61" s="10"/>
      <c r="OHM61" s="10"/>
      <c r="OHN61" s="10"/>
      <c r="OHO61" s="10"/>
      <c r="OHP61" s="10"/>
      <c r="OHQ61" s="10"/>
      <c r="OHR61" s="10"/>
      <c r="OHS61" s="10"/>
      <c r="OHT61" s="10"/>
      <c r="OHU61" s="10"/>
      <c r="OHV61" s="10"/>
      <c r="OHW61" s="10"/>
      <c r="OHX61" s="10"/>
      <c r="OHY61" s="10"/>
      <c r="OHZ61" s="10"/>
      <c r="OIA61" s="10"/>
      <c r="OIB61" s="10"/>
      <c r="OIC61" s="10"/>
      <c r="OID61" s="10"/>
      <c r="OIE61" s="10"/>
      <c r="OIF61" s="10"/>
      <c r="OIG61" s="10"/>
      <c r="OIH61" s="10"/>
      <c r="OII61" s="10"/>
      <c r="OIJ61" s="10"/>
      <c r="OIK61" s="10"/>
      <c r="OIL61" s="10"/>
      <c r="OIM61" s="10"/>
      <c r="OIN61" s="10"/>
      <c r="OIO61" s="10"/>
      <c r="OIP61" s="10"/>
      <c r="OIQ61" s="10"/>
      <c r="OIR61" s="10"/>
      <c r="OIS61" s="10"/>
      <c r="OIT61" s="10"/>
      <c r="OIU61" s="10"/>
      <c r="OIV61" s="10"/>
      <c r="OIW61" s="10"/>
      <c r="OIX61" s="10"/>
      <c r="OIY61" s="10"/>
      <c r="OIZ61" s="10"/>
      <c r="OJA61" s="10"/>
      <c r="OJB61" s="10"/>
      <c r="OJC61" s="10"/>
      <c r="OJD61" s="10"/>
      <c r="OJE61" s="10"/>
      <c r="OJF61" s="10"/>
      <c r="OJG61" s="10"/>
      <c r="OJH61" s="10"/>
      <c r="OJI61" s="10"/>
      <c r="OJJ61" s="10"/>
      <c r="OJK61" s="10"/>
      <c r="OJL61" s="10"/>
      <c r="OJM61" s="10"/>
      <c r="OJN61" s="10"/>
      <c r="OJO61" s="10"/>
      <c r="OJP61" s="10"/>
      <c r="OJQ61" s="10"/>
      <c r="OJR61" s="10"/>
      <c r="OJS61" s="10"/>
      <c r="OJT61" s="10"/>
      <c r="OJU61" s="10"/>
      <c r="OJV61" s="10"/>
      <c r="OJW61" s="10"/>
      <c r="OJX61" s="10"/>
      <c r="OJY61" s="10"/>
      <c r="OJZ61" s="10"/>
      <c r="OKA61" s="10"/>
      <c r="OKB61" s="10"/>
      <c r="OKC61" s="10"/>
      <c r="OKD61" s="10"/>
      <c r="OKE61" s="10"/>
      <c r="OKF61" s="10"/>
      <c r="OKG61" s="10"/>
      <c r="OKH61" s="10"/>
      <c r="OKI61" s="10"/>
      <c r="OKJ61" s="10"/>
      <c r="OKK61" s="10"/>
      <c r="OKL61" s="10"/>
      <c r="OKM61" s="10"/>
      <c r="OKN61" s="10"/>
      <c r="OKO61" s="10"/>
      <c r="OKP61" s="10"/>
      <c r="OKQ61" s="10"/>
      <c r="OKR61" s="10"/>
      <c r="OKS61" s="10"/>
      <c r="OKT61" s="10"/>
      <c r="OKU61" s="10"/>
      <c r="OKV61" s="10"/>
      <c r="OKW61" s="10"/>
      <c r="OKX61" s="10"/>
      <c r="OKY61" s="10"/>
      <c r="OKZ61" s="10"/>
      <c r="OLA61" s="10"/>
      <c r="OLB61" s="10"/>
      <c r="OLC61" s="10"/>
      <c r="OLD61" s="10"/>
      <c r="OLE61" s="10"/>
      <c r="OLF61" s="10"/>
      <c r="OLG61" s="10"/>
      <c r="OLH61" s="10"/>
      <c r="OLI61" s="10"/>
      <c r="OLJ61" s="10"/>
      <c r="OLK61" s="10"/>
      <c r="OLL61" s="10"/>
      <c r="OLM61" s="10"/>
      <c r="OLN61" s="10"/>
      <c r="OLO61" s="10"/>
      <c r="OLP61" s="10"/>
      <c r="OLQ61" s="10"/>
      <c r="OLR61" s="10"/>
      <c r="OLS61" s="10"/>
      <c r="OLT61" s="10"/>
      <c r="OLU61" s="10"/>
      <c r="OLV61" s="10"/>
      <c r="OLW61" s="10"/>
      <c r="OLX61" s="10"/>
      <c r="OLY61" s="10"/>
      <c r="OLZ61" s="10"/>
      <c r="OMA61" s="10"/>
      <c r="OMB61" s="10"/>
      <c r="OMC61" s="10"/>
      <c r="OMD61" s="10"/>
      <c r="OME61" s="10"/>
      <c r="OMF61" s="10"/>
      <c r="OMG61" s="10"/>
      <c r="OMH61" s="10"/>
      <c r="OMI61" s="10"/>
      <c r="OMJ61" s="10"/>
      <c r="OMK61" s="10"/>
      <c r="OML61" s="10"/>
      <c r="OMM61" s="10"/>
      <c r="OMN61" s="10"/>
      <c r="OMO61" s="10"/>
      <c r="OMP61" s="10"/>
      <c r="OMQ61" s="10"/>
      <c r="OMR61" s="10"/>
      <c r="OMS61" s="10"/>
      <c r="OMT61" s="10"/>
      <c r="OMU61" s="10"/>
      <c r="OMV61" s="10"/>
      <c r="OMW61" s="10"/>
      <c r="OMX61" s="10"/>
      <c r="OMY61" s="10"/>
      <c r="OMZ61" s="10"/>
      <c r="ONA61" s="10"/>
      <c r="ONB61" s="10"/>
      <c r="ONC61" s="10"/>
      <c r="OND61" s="10"/>
      <c r="ONE61" s="10"/>
      <c r="ONF61" s="10"/>
      <c r="ONG61" s="10"/>
      <c r="ONH61" s="10"/>
      <c r="ONI61" s="10"/>
      <c r="ONJ61" s="10"/>
      <c r="ONK61" s="10"/>
      <c r="ONL61" s="10"/>
      <c r="ONM61" s="10"/>
      <c r="ONN61" s="10"/>
      <c r="ONO61" s="10"/>
      <c r="ONP61" s="10"/>
      <c r="ONQ61" s="10"/>
      <c r="ONR61" s="10"/>
      <c r="ONS61" s="10"/>
      <c r="ONT61" s="10"/>
      <c r="ONU61" s="10"/>
      <c r="ONV61" s="10"/>
      <c r="ONW61" s="10"/>
      <c r="ONX61" s="10"/>
      <c r="ONY61" s="10"/>
      <c r="ONZ61" s="10"/>
      <c r="OOA61" s="10"/>
      <c r="OOB61" s="10"/>
      <c r="OOC61" s="10"/>
      <c r="OOD61" s="10"/>
      <c r="OOE61" s="10"/>
      <c r="OOF61" s="10"/>
      <c r="OOG61" s="10"/>
      <c r="OOH61" s="10"/>
      <c r="OOI61" s="10"/>
      <c r="OOJ61" s="10"/>
      <c r="OOK61" s="10"/>
      <c r="OOL61" s="10"/>
      <c r="OOM61" s="10"/>
      <c r="OON61" s="10"/>
      <c r="OOO61" s="10"/>
      <c r="OOP61" s="10"/>
      <c r="OOQ61" s="10"/>
      <c r="OOR61" s="10"/>
      <c r="OOS61" s="10"/>
      <c r="OOT61" s="10"/>
      <c r="OOU61" s="10"/>
      <c r="OOV61" s="10"/>
      <c r="OOW61" s="10"/>
      <c r="OOX61" s="10"/>
      <c r="OOY61" s="10"/>
      <c r="OOZ61" s="10"/>
      <c r="OPA61" s="10"/>
      <c r="OPB61" s="10"/>
      <c r="OPC61" s="10"/>
      <c r="OPD61" s="10"/>
      <c r="OPE61" s="10"/>
      <c r="OPF61" s="10"/>
      <c r="OPG61" s="10"/>
      <c r="OPH61" s="10"/>
      <c r="OPI61" s="10"/>
      <c r="OPJ61" s="10"/>
      <c r="OPK61" s="10"/>
      <c r="OPL61" s="10"/>
      <c r="OPM61" s="10"/>
      <c r="OPN61" s="10"/>
      <c r="OPO61" s="10"/>
      <c r="OPP61" s="10"/>
      <c r="OPQ61" s="10"/>
      <c r="OPR61" s="10"/>
      <c r="OPS61" s="10"/>
      <c r="OPT61" s="10"/>
      <c r="OPU61" s="10"/>
      <c r="OPV61" s="10"/>
      <c r="OPW61" s="10"/>
      <c r="OPX61" s="10"/>
      <c r="OPY61" s="10"/>
      <c r="OPZ61" s="10"/>
      <c r="OQA61" s="10"/>
      <c r="OQB61" s="10"/>
      <c r="OQC61" s="10"/>
      <c r="OQD61" s="10"/>
      <c r="OQE61" s="10"/>
      <c r="OQF61" s="10"/>
      <c r="OQG61" s="10"/>
      <c r="OQH61" s="10"/>
      <c r="OQI61" s="10"/>
      <c r="OQJ61" s="10"/>
      <c r="OQK61" s="10"/>
      <c r="OQL61" s="10"/>
      <c r="OQM61" s="10"/>
      <c r="OQN61" s="10"/>
      <c r="OQO61" s="10"/>
      <c r="OQP61" s="10"/>
      <c r="OQQ61" s="10"/>
      <c r="OQR61" s="10"/>
      <c r="OQS61" s="10"/>
      <c r="OQT61" s="10"/>
      <c r="OQU61" s="10"/>
      <c r="OQV61" s="10"/>
      <c r="OQW61" s="10"/>
      <c r="OQX61" s="10"/>
      <c r="OQY61" s="10"/>
      <c r="OQZ61" s="10"/>
      <c r="ORA61" s="10"/>
      <c r="ORB61" s="10"/>
      <c r="ORC61" s="10"/>
      <c r="ORD61" s="10"/>
      <c r="ORE61" s="10"/>
      <c r="ORF61" s="10"/>
      <c r="ORG61" s="10"/>
      <c r="ORH61" s="10"/>
      <c r="ORI61" s="10"/>
      <c r="ORJ61" s="10"/>
      <c r="ORK61" s="10"/>
      <c r="ORL61" s="10"/>
      <c r="ORM61" s="10"/>
      <c r="ORN61" s="10"/>
      <c r="ORO61" s="10"/>
      <c r="ORP61" s="10"/>
      <c r="ORQ61" s="10"/>
      <c r="ORR61" s="10"/>
      <c r="ORS61" s="10"/>
      <c r="ORT61" s="10"/>
      <c r="ORU61" s="10"/>
      <c r="ORV61" s="10"/>
      <c r="ORW61" s="10"/>
      <c r="ORX61" s="10"/>
      <c r="ORY61" s="10"/>
      <c r="ORZ61" s="10"/>
      <c r="OSA61" s="10"/>
      <c r="OSB61" s="10"/>
      <c r="OSC61" s="10"/>
      <c r="OSD61" s="10"/>
      <c r="OSE61" s="10"/>
      <c r="OSF61" s="10"/>
      <c r="OSG61" s="10"/>
      <c r="OSH61" s="10"/>
      <c r="OSI61" s="10"/>
      <c r="OSJ61" s="10"/>
      <c r="OSK61" s="10"/>
      <c r="OSL61" s="10"/>
      <c r="OSM61" s="10"/>
      <c r="OSN61" s="10"/>
      <c r="OSO61" s="10"/>
      <c r="OSP61" s="10"/>
      <c r="OSQ61" s="10"/>
      <c r="OSR61" s="10"/>
      <c r="OSS61" s="10"/>
      <c r="OST61" s="10"/>
      <c r="OSU61" s="10"/>
      <c r="OSV61" s="10"/>
      <c r="OSW61" s="10"/>
      <c r="OSX61" s="10"/>
      <c r="OSY61" s="10"/>
      <c r="OSZ61" s="10"/>
      <c r="OTA61" s="10"/>
      <c r="OTB61" s="10"/>
      <c r="OTC61" s="10"/>
      <c r="OTD61" s="10"/>
      <c r="OTE61" s="10"/>
      <c r="OTF61" s="10"/>
      <c r="OTG61" s="10"/>
      <c r="OTH61" s="10"/>
      <c r="OTI61" s="10"/>
      <c r="OTJ61" s="10"/>
      <c r="OTK61" s="10"/>
      <c r="OTL61" s="10"/>
      <c r="OTM61" s="10"/>
      <c r="OTN61" s="10"/>
      <c r="OTO61" s="10"/>
      <c r="OTP61" s="10"/>
      <c r="OTQ61" s="10"/>
      <c r="OTR61" s="10"/>
      <c r="OTS61" s="10"/>
      <c r="OTT61" s="10"/>
      <c r="OTU61" s="10"/>
      <c r="OTV61" s="10"/>
      <c r="OTW61" s="10"/>
      <c r="OTX61" s="10"/>
      <c r="OTY61" s="10"/>
      <c r="OTZ61" s="10"/>
      <c r="OUA61" s="10"/>
      <c r="OUB61" s="10"/>
      <c r="OUC61" s="10"/>
      <c r="OUD61" s="10"/>
      <c r="OUE61" s="10"/>
      <c r="OUF61" s="10"/>
      <c r="OUG61" s="10"/>
      <c r="OUH61" s="10"/>
      <c r="OUI61" s="10"/>
      <c r="OUJ61" s="10"/>
      <c r="OUK61" s="10"/>
      <c r="OUL61" s="10"/>
      <c r="OUM61" s="10"/>
      <c r="OUN61" s="10"/>
      <c r="OUO61" s="10"/>
      <c r="OUP61" s="10"/>
      <c r="OUQ61" s="10"/>
      <c r="OUR61" s="10"/>
      <c r="OUS61" s="10"/>
      <c r="OUT61" s="10"/>
      <c r="OUU61" s="10"/>
      <c r="OUV61" s="10"/>
      <c r="OUW61" s="10"/>
      <c r="OUX61" s="10"/>
      <c r="OUY61" s="10"/>
      <c r="OUZ61" s="10"/>
      <c r="OVA61" s="10"/>
      <c r="OVB61" s="10"/>
      <c r="OVC61" s="10"/>
      <c r="OVD61" s="10"/>
      <c r="OVE61" s="10"/>
      <c r="OVF61" s="10"/>
      <c r="OVG61" s="10"/>
      <c r="OVH61" s="10"/>
      <c r="OVI61" s="10"/>
      <c r="OVJ61" s="10"/>
      <c r="OVK61" s="10"/>
      <c r="OVL61" s="10"/>
      <c r="OVM61" s="10"/>
      <c r="OVN61" s="10"/>
      <c r="OVO61" s="10"/>
      <c r="OVP61" s="10"/>
      <c r="OVQ61" s="10"/>
      <c r="OVR61" s="10"/>
      <c r="OVS61" s="10"/>
      <c r="OVT61" s="10"/>
      <c r="OVU61" s="10"/>
      <c r="OVV61" s="10"/>
      <c r="OVW61" s="10"/>
      <c r="OVX61" s="10"/>
      <c r="OVY61" s="10"/>
      <c r="OVZ61" s="10"/>
      <c r="OWA61" s="10"/>
      <c r="OWB61" s="10"/>
      <c r="OWC61" s="10"/>
      <c r="OWD61" s="10"/>
      <c r="OWE61" s="10"/>
      <c r="OWF61" s="10"/>
      <c r="OWG61" s="10"/>
      <c r="OWH61" s="10"/>
      <c r="OWI61" s="10"/>
      <c r="OWJ61" s="10"/>
      <c r="OWK61" s="10"/>
      <c r="OWL61" s="10"/>
      <c r="OWM61" s="10"/>
      <c r="OWN61" s="10"/>
      <c r="OWO61" s="10"/>
      <c r="OWP61" s="10"/>
      <c r="OWQ61" s="10"/>
      <c r="OWR61" s="10"/>
      <c r="OWS61" s="10"/>
      <c r="OWT61" s="10"/>
      <c r="OWU61" s="10"/>
      <c r="OWV61" s="10"/>
      <c r="OWW61" s="10"/>
      <c r="OWX61" s="10"/>
      <c r="OWY61" s="10"/>
      <c r="OWZ61" s="10"/>
      <c r="OXA61" s="10"/>
      <c r="OXB61" s="10"/>
      <c r="OXC61" s="10"/>
      <c r="OXD61" s="10"/>
      <c r="OXE61" s="10"/>
      <c r="OXF61" s="10"/>
      <c r="OXG61" s="10"/>
      <c r="OXH61" s="10"/>
      <c r="OXI61" s="10"/>
      <c r="OXJ61" s="10"/>
      <c r="OXK61" s="10"/>
      <c r="OXL61" s="10"/>
      <c r="OXM61" s="10"/>
      <c r="OXN61" s="10"/>
      <c r="OXO61" s="10"/>
      <c r="OXP61" s="10"/>
      <c r="OXQ61" s="10"/>
      <c r="OXR61" s="10"/>
      <c r="OXS61" s="10"/>
      <c r="OXT61" s="10"/>
      <c r="OXU61" s="10"/>
      <c r="OXV61" s="10"/>
      <c r="OXW61" s="10"/>
      <c r="OXX61" s="10"/>
      <c r="OXY61" s="10"/>
      <c r="OXZ61" s="10"/>
      <c r="OYA61" s="10"/>
      <c r="OYB61" s="10"/>
      <c r="OYC61" s="10"/>
      <c r="OYD61" s="10"/>
      <c r="OYE61" s="10"/>
      <c r="OYF61" s="10"/>
      <c r="OYG61" s="10"/>
      <c r="OYH61" s="10"/>
      <c r="OYI61" s="10"/>
      <c r="OYJ61" s="10"/>
      <c r="OYK61" s="10"/>
      <c r="OYL61" s="10"/>
      <c r="OYM61" s="10"/>
      <c r="OYN61" s="10"/>
      <c r="OYO61" s="10"/>
      <c r="OYP61" s="10"/>
      <c r="OYQ61" s="10"/>
      <c r="OYR61" s="10"/>
      <c r="OYS61" s="10"/>
      <c r="OYT61" s="10"/>
      <c r="OYU61" s="10"/>
      <c r="OYV61" s="10"/>
      <c r="OYW61" s="10"/>
      <c r="OYX61" s="10"/>
      <c r="OYY61" s="10"/>
      <c r="OYZ61" s="10"/>
      <c r="OZA61" s="10"/>
      <c r="OZB61" s="10"/>
      <c r="OZC61" s="10"/>
      <c r="OZD61" s="10"/>
      <c r="OZE61" s="10"/>
      <c r="OZF61" s="10"/>
      <c r="OZG61" s="10"/>
      <c r="OZH61" s="10"/>
      <c r="OZI61" s="10"/>
      <c r="OZJ61" s="10"/>
      <c r="OZK61" s="10"/>
      <c r="OZL61" s="10"/>
      <c r="OZM61" s="10"/>
      <c r="OZN61" s="10"/>
      <c r="OZO61" s="10"/>
      <c r="OZP61" s="10"/>
      <c r="OZQ61" s="10"/>
      <c r="OZR61" s="10"/>
      <c r="OZS61" s="10"/>
      <c r="OZT61" s="10"/>
      <c r="OZU61" s="10"/>
      <c r="OZV61" s="10"/>
      <c r="OZW61" s="10"/>
      <c r="OZX61" s="10"/>
      <c r="OZY61" s="10"/>
      <c r="OZZ61" s="10"/>
      <c r="PAA61" s="10"/>
      <c r="PAB61" s="10"/>
      <c r="PAC61" s="10"/>
      <c r="PAD61" s="10"/>
      <c r="PAE61" s="10"/>
      <c r="PAF61" s="10"/>
      <c r="PAG61" s="10"/>
      <c r="PAH61" s="10"/>
      <c r="PAI61" s="10"/>
      <c r="PAJ61" s="10"/>
      <c r="PAK61" s="10"/>
      <c r="PAL61" s="10"/>
      <c r="PAM61" s="10"/>
      <c r="PAN61" s="10"/>
      <c r="PAO61" s="10"/>
      <c r="PAP61" s="10"/>
      <c r="PAQ61" s="10"/>
      <c r="PAR61" s="10"/>
      <c r="PAS61" s="10"/>
      <c r="PAT61" s="10"/>
      <c r="PAU61" s="10"/>
      <c r="PAV61" s="10"/>
      <c r="PAW61" s="10"/>
      <c r="PAX61" s="10"/>
      <c r="PAY61" s="10"/>
      <c r="PAZ61" s="10"/>
      <c r="PBA61" s="10"/>
      <c r="PBB61" s="10"/>
      <c r="PBC61" s="10"/>
      <c r="PBD61" s="10"/>
      <c r="PBE61" s="10"/>
      <c r="PBF61" s="10"/>
      <c r="PBG61" s="10"/>
      <c r="PBH61" s="10"/>
      <c r="PBI61" s="10"/>
      <c r="PBJ61" s="10"/>
      <c r="PBK61" s="10"/>
      <c r="PBL61" s="10"/>
      <c r="PBM61" s="10"/>
      <c r="PBN61" s="10"/>
      <c r="PBO61" s="10"/>
      <c r="PBP61" s="10"/>
      <c r="PBQ61" s="10"/>
      <c r="PBR61" s="10"/>
      <c r="PBS61" s="10"/>
      <c r="PBT61" s="10"/>
      <c r="PBU61" s="10"/>
      <c r="PBV61" s="10"/>
      <c r="PBW61" s="10"/>
      <c r="PBX61" s="10"/>
      <c r="PBY61" s="10"/>
      <c r="PBZ61" s="10"/>
      <c r="PCA61" s="10"/>
      <c r="PCB61" s="10"/>
      <c r="PCC61" s="10"/>
      <c r="PCD61" s="10"/>
      <c r="PCE61" s="10"/>
      <c r="PCF61" s="10"/>
      <c r="PCG61" s="10"/>
      <c r="PCH61" s="10"/>
      <c r="PCI61" s="10"/>
      <c r="PCJ61" s="10"/>
      <c r="PCK61" s="10"/>
      <c r="PCL61" s="10"/>
      <c r="PCM61" s="10"/>
      <c r="PCN61" s="10"/>
      <c r="PCO61" s="10"/>
      <c r="PCP61" s="10"/>
      <c r="PCQ61" s="10"/>
      <c r="PCR61" s="10"/>
      <c r="PCS61" s="10"/>
      <c r="PCT61" s="10"/>
      <c r="PCU61" s="10"/>
      <c r="PCV61" s="10"/>
      <c r="PCW61" s="10"/>
      <c r="PCX61" s="10"/>
      <c r="PCY61" s="10"/>
      <c r="PCZ61" s="10"/>
      <c r="PDA61" s="10"/>
      <c r="PDB61" s="10"/>
      <c r="PDC61" s="10"/>
      <c r="PDD61" s="10"/>
      <c r="PDE61" s="10"/>
      <c r="PDF61" s="10"/>
      <c r="PDG61" s="10"/>
      <c r="PDH61" s="10"/>
      <c r="PDI61" s="10"/>
      <c r="PDJ61" s="10"/>
      <c r="PDK61" s="10"/>
      <c r="PDL61" s="10"/>
      <c r="PDM61" s="10"/>
      <c r="PDN61" s="10"/>
      <c r="PDO61" s="10"/>
      <c r="PDP61" s="10"/>
      <c r="PDQ61" s="10"/>
      <c r="PDR61" s="10"/>
      <c r="PDS61" s="10"/>
      <c r="PDT61" s="10"/>
      <c r="PDU61" s="10"/>
      <c r="PDV61" s="10"/>
      <c r="PDW61" s="10"/>
      <c r="PDX61" s="10"/>
      <c r="PDY61" s="10"/>
      <c r="PDZ61" s="10"/>
      <c r="PEA61" s="10"/>
      <c r="PEB61" s="10"/>
      <c r="PEC61" s="10"/>
      <c r="PED61" s="10"/>
      <c r="PEE61" s="10"/>
      <c r="PEF61" s="10"/>
      <c r="PEG61" s="10"/>
      <c r="PEH61" s="10"/>
      <c r="PEI61" s="10"/>
      <c r="PEJ61" s="10"/>
      <c r="PEK61" s="10"/>
      <c r="PEL61" s="10"/>
      <c r="PEM61" s="10"/>
      <c r="PEN61" s="10"/>
      <c r="PEO61" s="10"/>
      <c r="PEP61" s="10"/>
      <c r="PEQ61" s="10"/>
      <c r="PER61" s="10"/>
      <c r="PES61" s="10"/>
      <c r="PET61" s="10"/>
      <c r="PEU61" s="10"/>
      <c r="PEV61" s="10"/>
      <c r="PEW61" s="10"/>
      <c r="PEX61" s="10"/>
      <c r="PEY61" s="10"/>
      <c r="PEZ61" s="10"/>
      <c r="PFA61" s="10"/>
      <c r="PFB61" s="10"/>
      <c r="PFC61" s="10"/>
      <c r="PFD61" s="10"/>
      <c r="PFE61" s="10"/>
      <c r="PFF61" s="10"/>
      <c r="PFG61" s="10"/>
      <c r="PFH61" s="10"/>
      <c r="PFI61" s="10"/>
      <c r="PFJ61" s="10"/>
      <c r="PFK61" s="10"/>
      <c r="PFL61" s="10"/>
      <c r="PFM61" s="10"/>
      <c r="PFN61" s="10"/>
      <c r="PFO61" s="10"/>
      <c r="PFP61" s="10"/>
      <c r="PFQ61" s="10"/>
      <c r="PFR61" s="10"/>
      <c r="PFS61" s="10"/>
      <c r="PFT61" s="10"/>
      <c r="PFU61" s="10"/>
      <c r="PFV61" s="10"/>
      <c r="PFW61" s="10"/>
      <c r="PFX61" s="10"/>
      <c r="PFY61" s="10"/>
      <c r="PFZ61" s="10"/>
      <c r="PGA61" s="10"/>
      <c r="PGB61" s="10"/>
      <c r="PGC61" s="10"/>
      <c r="PGD61" s="10"/>
      <c r="PGE61" s="10"/>
      <c r="PGF61" s="10"/>
      <c r="PGG61" s="10"/>
      <c r="PGH61" s="10"/>
      <c r="PGI61" s="10"/>
      <c r="PGJ61" s="10"/>
      <c r="PGK61" s="10"/>
      <c r="PGL61" s="10"/>
      <c r="PGM61" s="10"/>
      <c r="PGN61" s="10"/>
      <c r="PGO61" s="10"/>
      <c r="PGP61" s="10"/>
      <c r="PGQ61" s="10"/>
      <c r="PGR61" s="10"/>
      <c r="PGS61" s="10"/>
      <c r="PGT61" s="10"/>
      <c r="PGU61" s="10"/>
      <c r="PGV61" s="10"/>
      <c r="PGW61" s="10"/>
      <c r="PGX61" s="10"/>
      <c r="PGY61" s="10"/>
      <c r="PGZ61" s="10"/>
      <c r="PHA61" s="10"/>
      <c r="PHB61" s="10"/>
      <c r="PHC61" s="10"/>
      <c r="PHD61" s="10"/>
      <c r="PHE61" s="10"/>
      <c r="PHF61" s="10"/>
      <c r="PHG61" s="10"/>
      <c r="PHH61" s="10"/>
      <c r="PHI61" s="10"/>
      <c r="PHJ61" s="10"/>
      <c r="PHK61" s="10"/>
      <c r="PHL61" s="10"/>
      <c r="PHM61" s="10"/>
      <c r="PHN61" s="10"/>
      <c r="PHO61" s="10"/>
      <c r="PHP61" s="10"/>
      <c r="PHQ61" s="10"/>
      <c r="PHR61" s="10"/>
      <c r="PHS61" s="10"/>
      <c r="PHT61" s="10"/>
      <c r="PHU61" s="10"/>
      <c r="PHV61" s="10"/>
      <c r="PHW61" s="10"/>
      <c r="PHX61" s="10"/>
      <c r="PHY61" s="10"/>
      <c r="PHZ61" s="10"/>
      <c r="PIA61" s="10"/>
      <c r="PIB61" s="10"/>
      <c r="PIC61" s="10"/>
      <c r="PID61" s="10"/>
      <c r="PIE61" s="10"/>
      <c r="PIF61" s="10"/>
      <c r="PIG61" s="10"/>
      <c r="PIH61" s="10"/>
      <c r="PII61" s="10"/>
      <c r="PIJ61" s="10"/>
      <c r="PIK61" s="10"/>
      <c r="PIL61" s="10"/>
      <c r="PIM61" s="10"/>
      <c r="PIN61" s="10"/>
      <c r="PIO61" s="10"/>
      <c r="PIP61" s="10"/>
      <c r="PIQ61" s="10"/>
      <c r="PIR61" s="10"/>
      <c r="PIS61" s="10"/>
      <c r="PIT61" s="10"/>
      <c r="PIU61" s="10"/>
      <c r="PIV61" s="10"/>
      <c r="PIW61" s="10"/>
      <c r="PIX61" s="10"/>
      <c r="PIY61" s="10"/>
      <c r="PIZ61" s="10"/>
      <c r="PJA61" s="10"/>
      <c r="PJB61" s="10"/>
      <c r="PJC61" s="10"/>
      <c r="PJD61" s="10"/>
      <c r="PJE61" s="10"/>
      <c r="PJF61" s="10"/>
      <c r="PJG61" s="10"/>
      <c r="PJH61" s="10"/>
      <c r="PJI61" s="10"/>
      <c r="PJJ61" s="10"/>
      <c r="PJK61" s="10"/>
      <c r="PJL61" s="10"/>
      <c r="PJM61" s="10"/>
      <c r="PJN61" s="10"/>
      <c r="PJO61" s="10"/>
      <c r="PJP61" s="10"/>
      <c r="PJQ61" s="10"/>
      <c r="PJR61" s="10"/>
      <c r="PJS61" s="10"/>
      <c r="PJT61" s="10"/>
      <c r="PJU61" s="10"/>
      <c r="PJV61" s="10"/>
      <c r="PJW61" s="10"/>
      <c r="PJX61" s="10"/>
      <c r="PJY61" s="10"/>
      <c r="PJZ61" s="10"/>
      <c r="PKA61" s="10"/>
      <c r="PKB61" s="10"/>
      <c r="PKC61" s="10"/>
      <c r="PKD61" s="10"/>
      <c r="PKE61" s="10"/>
      <c r="PKF61" s="10"/>
      <c r="PKG61" s="10"/>
      <c r="PKH61" s="10"/>
      <c r="PKI61" s="10"/>
      <c r="PKJ61" s="10"/>
      <c r="PKK61" s="10"/>
      <c r="PKL61" s="10"/>
      <c r="PKM61" s="10"/>
      <c r="PKN61" s="10"/>
      <c r="PKO61" s="10"/>
      <c r="PKP61" s="10"/>
      <c r="PKQ61" s="10"/>
      <c r="PKR61" s="10"/>
      <c r="PKS61" s="10"/>
      <c r="PKT61" s="10"/>
      <c r="PKU61" s="10"/>
      <c r="PKV61" s="10"/>
      <c r="PKW61" s="10"/>
      <c r="PKX61" s="10"/>
      <c r="PKY61" s="10"/>
      <c r="PKZ61" s="10"/>
      <c r="PLA61" s="10"/>
      <c r="PLB61" s="10"/>
      <c r="PLC61" s="10"/>
      <c r="PLD61" s="10"/>
      <c r="PLE61" s="10"/>
      <c r="PLF61" s="10"/>
      <c r="PLG61" s="10"/>
      <c r="PLH61" s="10"/>
      <c r="PLI61" s="10"/>
      <c r="PLJ61" s="10"/>
      <c r="PLK61" s="10"/>
      <c r="PLL61" s="10"/>
      <c r="PLM61" s="10"/>
      <c r="PLN61" s="10"/>
      <c r="PLO61" s="10"/>
      <c r="PLP61" s="10"/>
      <c r="PLQ61" s="10"/>
      <c r="PLR61" s="10"/>
      <c r="PLS61" s="10"/>
      <c r="PLT61" s="10"/>
      <c r="PLU61" s="10"/>
      <c r="PLV61" s="10"/>
      <c r="PLW61" s="10"/>
      <c r="PLX61" s="10"/>
      <c r="PLY61" s="10"/>
      <c r="PLZ61" s="10"/>
      <c r="PMA61" s="10"/>
      <c r="PMB61" s="10"/>
      <c r="PMC61" s="10"/>
      <c r="PMD61" s="10"/>
      <c r="PME61" s="10"/>
      <c r="PMF61" s="10"/>
      <c r="PMG61" s="10"/>
      <c r="PMH61" s="10"/>
      <c r="PMI61" s="10"/>
      <c r="PMJ61" s="10"/>
      <c r="PMK61" s="10"/>
      <c r="PML61" s="10"/>
      <c r="PMM61" s="10"/>
      <c r="PMN61" s="10"/>
      <c r="PMO61" s="10"/>
      <c r="PMP61" s="10"/>
      <c r="PMQ61" s="10"/>
      <c r="PMR61" s="10"/>
      <c r="PMS61" s="10"/>
      <c r="PMT61" s="10"/>
      <c r="PMU61" s="10"/>
      <c r="PMV61" s="10"/>
      <c r="PMW61" s="10"/>
      <c r="PMX61" s="10"/>
      <c r="PMY61" s="10"/>
      <c r="PMZ61" s="10"/>
      <c r="PNA61" s="10"/>
      <c r="PNB61" s="10"/>
      <c r="PNC61" s="10"/>
      <c r="PND61" s="10"/>
      <c r="PNE61" s="10"/>
      <c r="PNF61" s="10"/>
      <c r="PNG61" s="10"/>
      <c r="PNH61" s="10"/>
      <c r="PNI61" s="10"/>
      <c r="PNJ61" s="10"/>
      <c r="PNK61" s="10"/>
      <c r="PNL61" s="10"/>
      <c r="PNM61" s="10"/>
      <c r="PNN61" s="10"/>
      <c r="PNO61" s="10"/>
      <c r="PNP61" s="10"/>
      <c r="PNQ61" s="10"/>
      <c r="PNR61" s="10"/>
      <c r="PNS61" s="10"/>
      <c r="PNT61" s="10"/>
      <c r="PNU61" s="10"/>
      <c r="PNV61" s="10"/>
      <c r="PNW61" s="10"/>
      <c r="PNX61" s="10"/>
      <c r="PNY61" s="10"/>
      <c r="PNZ61" s="10"/>
      <c r="POA61" s="10"/>
      <c r="POB61" s="10"/>
      <c r="POC61" s="10"/>
      <c r="POD61" s="10"/>
      <c r="POE61" s="10"/>
      <c r="POF61" s="10"/>
      <c r="POG61" s="10"/>
      <c r="POH61" s="10"/>
      <c r="POI61" s="10"/>
      <c r="POJ61" s="10"/>
      <c r="POK61" s="10"/>
      <c r="POL61" s="10"/>
      <c r="POM61" s="10"/>
      <c r="PON61" s="10"/>
      <c r="POO61" s="10"/>
      <c r="POP61" s="10"/>
      <c r="POQ61" s="10"/>
      <c r="POR61" s="10"/>
      <c r="POS61" s="10"/>
      <c r="POT61" s="10"/>
      <c r="POU61" s="10"/>
      <c r="POV61" s="10"/>
      <c r="POW61" s="10"/>
      <c r="POX61" s="10"/>
      <c r="POY61" s="10"/>
      <c r="POZ61" s="10"/>
      <c r="PPA61" s="10"/>
      <c r="PPB61" s="10"/>
      <c r="PPC61" s="10"/>
      <c r="PPD61" s="10"/>
      <c r="PPE61" s="10"/>
      <c r="PPF61" s="10"/>
      <c r="PPG61" s="10"/>
      <c r="PPH61" s="10"/>
      <c r="PPI61" s="10"/>
      <c r="PPJ61" s="10"/>
      <c r="PPK61" s="10"/>
      <c r="PPL61" s="10"/>
      <c r="PPM61" s="10"/>
      <c r="PPN61" s="10"/>
      <c r="PPO61" s="10"/>
      <c r="PPP61" s="10"/>
      <c r="PPQ61" s="10"/>
      <c r="PPR61" s="10"/>
      <c r="PPS61" s="10"/>
      <c r="PPT61" s="10"/>
      <c r="PPU61" s="10"/>
      <c r="PPV61" s="10"/>
      <c r="PPW61" s="10"/>
      <c r="PPX61" s="10"/>
      <c r="PPY61" s="10"/>
      <c r="PPZ61" s="10"/>
      <c r="PQA61" s="10"/>
      <c r="PQB61" s="10"/>
      <c r="PQC61" s="10"/>
      <c r="PQD61" s="10"/>
      <c r="PQE61" s="10"/>
      <c r="PQF61" s="10"/>
      <c r="PQG61" s="10"/>
      <c r="PQH61" s="10"/>
      <c r="PQI61" s="10"/>
      <c r="PQJ61" s="10"/>
      <c r="PQK61" s="10"/>
      <c r="PQL61" s="10"/>
      <c r="PQM61" s="10"/>
      <c r="PQN61" s="10"/>
      <c r="PQO61" s="10"/>
      <c r="PQP61" s="10"/>
      <c r="PQQ61" s="10"/>
      <c r="PQR61" s="10"/>
      <c r="PQS61" s="10"/>
      <c r="PQT61" s="10"/>
      <c r="PQU61" s="10"/>
      <c r="PQV61" s="10"/>
      <c r="PQW61" s="10"/>
      <c r="PQX61" s="10"/>
      <c r="PQY61" s="10"/>
      <c r="PQZ61" s="10"/>
      <c r="PRA61" s="10"/>
      <c r="PRB61" s="10"/>
      <c r="PRC61" s="10"/>
      <c r="PRD61" s="10"/>
      <c r="PRE61" s="10"/>
      <c r="PRF61" s="10"/>
      <c r="PRG61" s="10"/>
      <c r="PRH61" s="10"/>
      <c r="PRI61" s="10"/>
      <c r="PRJ61" s="10"/>
      <c r="PRK61" s="10"/>
      <c r="PRL61" s="10"/>
      <c r="PRM61" s="10"/>
      <c r="PRN61" s="10"/>
      <c r="PRO61" s="10"/>
      <c r="PRP61" s="10"/>
      <c r="PRQ61" s="10"/>
      <c r="PRR61" s="10"/>
      <c r="PRS61" s="10"/>
      <c r="PRT61" s="10"/>
      <c r="PRU61" s="10"/>
      <c r="PRV61" s="10"/>
      <c r="PRW61" s="10"/>
      <c r="PRX61" s="10"/>
      <c r="PRY61" s="10"/>
      <c r="PRZ61" s="10"/>
      <c r="PSA61" s="10"/>
      <c r="PSB61" s="10"/>
      <c r="PSC61" s="10"/>
      <c r="PSD61" s="10"/>
      <c r="PSE61" s="10"/>
      <c r="PSF61" s="10"/>
      <c r="PSG61" s="10"/>
      <c r="PSH61" s="10"/>
      <c r="PSI61" s="10"/>
      <c r="PSJ61" s="10"/>
      <c r="PSK61" s="10"/>
      <c r="PSL61" s="10"/>
      <c r="PSM61" s="10"/>
      <c r="PSN61" s="10"/>
      <c r="PSO61" s="10"/>
      <c r="PSP61" s="10"/>
      <c r="PSQ61" s="10"/>
      <c r="PSR61" s="10"/>
      <c r="PSS61" s="10"/>
      <c r="PST61" s="10"/>
      <c r="PSU61" s="10"/>
      <c r="PSV61" s="10"/>
      <c r="PSW61" s="10"/>
      <c r="PSX61" s="10"/>
      <c r="PSY61" s="10"/>
      <c r="PSZ61" s="10"/>
      <c r="PTA61" s="10"/>
      <c r="PTB61" s="10"/>
      <c r="PTC61" s="10"/>
      <c r="PTD61" s="10"/>
      <c r="PTE61" s="10"/>
      <c r="PTF61" s="10"/>
      <c r="PTG61" s="10"/>
      <c r="PTH61" s="10"/>
      <c r="PTI61" s="10"/>
      <c r="PTJ61" s="10"/>
      <c r="PTK61" s="10"/>
      <c r="PTL61" s="10"/>
      <c r="PTM61" s="10"/>
      <c r="PTN61" s="10"/>
      <c r="PTO61" s="10"/>
      <c r="PTP61" s="10"/>
      <c r="PTQ61" s="10"/>
      <c r="PTR61" s="10"/>
      <c r="PTS61" s="10"/>
      <c r="PTT61" s="10"/>
      <c r="PTU61" s="10"/>
      <c r="PTV61" s="10"/>
      <c r="PTW61" s="10"/>
      <c r="PTX61" s="10"/>
      <c r="PTY61" s="10"/>
      <c r="PTZ61" s="10"/>
      <c r="PUA61" s="10"/>
      <c r="PUB61" s="10"/>
      <c r="PUC61" s="10"/>
      <c r="PUD61" s="10"/>
      <c r="PUE61" s="10"/>
      <c r="PUF61" s="10"/>
      <c r="PUG61" s="10"/>
      <c r="PUH61" s="10"/>
      <c r="PUI61" s="10"/>
      <c r="PUJ61" s="10"/>
      <c r="PUK61" s="10"/>
      <c r="PUL61" s="10"/>
      <c r="PUM61" s="10"/>
      <c r="PUN61" s="10"/>
      <c r="PUO61" s="10"/>
      <c r="PUP61" s="10"/>
      <c r="PUQ61" s="10"/>
      <c r="PUR61" s="10"/>
      <c r="PUS61" s="10"/>
      <c r="PUT61" s="10"/>
      <c r="PUU61" s="10"/>
      <c r="PUV61" s="10"/>
      <c r="PUW61" s="10"/>
      <c r="PUX61" s="10"/>
      <c r="PUY61" s="10"/>
      <c r="PUZ61" s="10"/>
      <c r="PVA61" s="10"/>
      <c r="PVB61" s="10"/>
      <c r="PVC61" s="10"/>
      <c r="PVD61" s="10"/>
      <c r="PVE61" s="10"/>
      <c r="PVF61" s="10"/>
      <c r="PVG61" s="10"/>
      <c r="PVH61" s="10"/>
      <c r="PVI61" s="10"/>
      <c r="PVJ61" s="10"/>
      <c r="PVK61" s="10"/>
      <c r="PVL61" s="10"/>
      <c r="PVM61" s="10"/>
      <c r="PVN61" s="10"/>
      <c r="PVO61" s="10"/>
      <c r="PVP61" s="10"/>
      <c r="PVQ61" s="10"/>
      <c r="PVR61" s="10"/>
      <c r="PVS61" s="10"/>
      <c r="PVT61" s="10"/>
      <c r="PVU61" s="10"/>
      <c r="PVV61" s="10"/>
      <c r="PVW61" s="10"/>
      <c r="PVX61" s="10"/>
      <c r="PVY61" s="10"/>
      <c r="PVZ61" s="10"/>
      <c r="PWA61" s="10"/>
      <c r="PWB61" s="10"/>
      <c r="PWC61" s="10"/>
      <c r="PWD61" s="10"/>
      <c r="PWE61" s="10"/>
      <c r="PWF61" s="10"/>
      <c r="PWG61" s="10"/>
      <c r="PWH61" s="10"/>
      <c r="PWI61" s="10"/>
      <c r="PWJ61" s="10"/>
      <c r="PWK61" s="10"/>
      <c r="PWL61" s="10"/>
      <c r="PWM61" s="10"/>
      <c r="PWN61" s="10"/>
      <c r="PWO61" s="10"/>
      <c r="PWP61" s="10"/>
      <c r="PWQ61" s="10"/>
      <c r="PWR61" s="10"/>
      <c r="PWS61" s="10"/>
      <c r="PWT61" s="10"/>
      <c r="PWU61" s="10"/>
      <c r="PWV61" s="10"/>
      <c r="PWW61" s="10"/>
      <c r="PWX61" s="10"/>
      <c r="PWY61" s="10"/>
      <c r="PWZ61" s="10"/>
      <c r="PXA61" s="10"/>
      <c r="PXB61" s="10"/>
      <c r="PXC61" s="10"/>
      <c r="PXD61" s="10"/>
      <c r="PXE61" s="10"/>
      <c r="PXF61" s="10"/>
      <c r="PXG61" s="10"/>
      <c r="PXH61" s="10"/>
      <c r="PXI61" s="10"/>
      <c r="PXJ61" s="10"/>
      <c r="PXK61" s="10"/>
      <c r="PXL61" s="10"/>
      <c r="PXM61" s="10"/>
      <c r="PXN61" s="10"/>
      <c r="PXO61" s="10"/>
      <c r="PXP61" s="10"/>
      <c r="PXQ61" s="10"/>
      <c r="PXR61" s="10"/>
      <c r="PXS61" s="10"/>
      <c r="PXT61" s="10"/>
      <c r="PXU61" s="10"/>
      <c r="PXV61" s="10"/>
      <c r="PXW61" s="10"/>
      <c r="PXX61" s="10"/>
      <c r="PXY61" s="10"/>
      <c r="PXZ61" s="10"/>
      <c r="PYA61" s="10"/>
      <c r="PYB61" s="10"/>
      <c r="PYC61" s="10"/>
      <c r="PYD61" s="10"/>
      <c r="PYE61" s="10"/>
      <c r="PYF61" s="10"/>
      <c r="PYG61" s="10"/>
      <c r="PYH61" s="10"/>
      <c r="PYI61" s="10"/>
      <c r="PYJ61" s="10"/>
      <c r="PYK61" s="10"/>
      <c r="PYL61" s="10"/>
      <c r="PYM61" s="10"/>
      <c r="PYN61" s="10"/>
      <c r="PYO61" s="10"/>
      <c r="PYP61" s="10"/>
      <c r="PYQ61" s="10"/>
      <c r="PYR61" s="10"/>
      <c r="PYS61" s="10"/>
      <c r="PYT61" s="10"/>
      <c r="PYU61" s="10"/>
      <c r="PYV61" s="10"/>
      <c r="PYW61" s="10"/>
      <c r="PYX61" s="10"/>
      <c r="PYY61" s="10"/>
      <c r="PYZ61" s="10"/>
      <c r="PZA61" s="10"/>
      <c r="PZB61" s="10"/>
      <c r="PZC61" s="10"/>
      <c r="PZD61" s="10"/>
      <c r="PZE61" s="10"/>
      <c r="PZF61" s="10"/>
      <c r="PZG61" s="10"/>
      <c r="PZH61" s="10"/>
      <c r="PZI61" s="10"/>
      <c r="PZJ61" s="10"/>
      <c r="PZK61" s="10"/>
      <c r="PZL61" s="10"/>
      <c r="PZM61" s="10"/>
      <c r="PZN61" s="10"/>
      <c r="PZO61" s="10"/>
      <c r="PZP61" s="10"/>
      <c r="PZQ61" s="10"/>
      <c r="PZR61" s="10"/>
      <c r="PZS61" s="10"/>
      <c r="PZT61" s="10"/>
      <c r="PZU61" s="10"/>
      <c r="PZV61" s="10"/>
      <c r="PZW61" s="10"/>
      <c r="PZX61" s="10"/>
      <c r="PZY61" s="10"/>
      <c r="PZZ61" s="10"/>
      <c r="QAA61" s="10"/>
      <c r="QAB61" s="10"/>
      <c r="QAC61" s="10"/>
      <c r="QAD61" s="10"/>
      <c r="QAE61" s="10"/>
      <c r="QAF61" s="10"/>
      <c r="QAG61" s="10"/>
      <c r="QAH61" s="10"/>
      <c r="QAI61" s="10"/>
      <c r="QAJ61" s="10"/>
      <c r="QAK61" s="10"/>
      <c r="QAL61" s="10"/>
      <c r="QAM61" s="10"/>
      <c r="QAN61" s="10"/>
      <c r="QAO61" s="10"/>
      <c r="QAP61" s="10"/>
      <c r="QAQ61" s="10"/>
      <c r="QAR61" s="10"/>
      <c r="QAS61" s="10"/>
      <c r="QAT61" s="10"/>
      <c r="QAU61" s="10"/>
      <c r="QAV61" s="10"/>
      <c r="QAW61" s="10"/>
      <c r="QAX61" s="10"/>
      <c r="QAY61" s="10"/>
      <c r="QAZ61" s="10"/>
      <c r="QBA61" s="10"/>
      <c r="QBB61" s="10"/>
      <c r="QBC61" s="10"/>
      <c r="QBD61" s="10"/>
      <c r="QBE61" s="10"/>
      <c r="QBF61" s="10"/>
      <c r="QBG61" s="10"/>
      <c r="QBH61" s="10"/>
      <c r="QBI61" s="10"/>
      <c r="QBJ61" s="10"/>
      <c r="QBK61" s="10"/>
      <c r="QBL61" s="10"/>
      <c r="QBM61" s="10"/>
      <c r="QBN61" s="10"/>
      <c r="QBO61" s="10"/>
      <c r="QBP61" s="10"/>
      <c r="QBQ61" s="10"/>
      <c r="QBR61" s="10"/>
      <c r="QBS61" s="10"/>
      <c r="QBT61" s="10"/>
      <c r="QBU61" s="10"/>
      <c r="QBV61" s="10"/>
      <c r="QBW61" s="10"/>
      <c r="QBX61" s="10"/>
      <c r="QBY61" s="10"/>
      <c r="QBZ61" s="10"/>
      <c r="QCA61" s="10"/>
      <c r="QCB61" s="10"/>
      <c r="QCC61" s="10"/>
      <c r="QCD61" s="10"/>
      <c r="QCE61" s="10"/>
      <c r="QCF61" s="10"/>
      <c r="QCG61" s="10"/>
      <c r="QCH61" s="10"/>
      <c r="QCI61" s="10"/>
      <c r="QCJ61" s="10"/>
      <c r="QCK61" s="10"/>
      <c r="QCL61" s="10"/>
      <c r="QCM61" s="10"/>
      <c r="QCN61" s="10"/>
      <c r="QCO61" s="10"/>
      <c r="QCP61" s="10"/>
      <c r="QCQ61" s="10"/>
      <c r="QCR61" s="10"/>
      <c r="QCS61" s="10"/>
      <c r="QCT61" s="10"/>
      <c r="QCU61" s="10"/>
      <c r="QCV61" s="10"/>
      <c r="QCW61" s="10"/>
      <c r="QCX61" s="10"/>
      <c r="QCY61" s="10"/>
      <c r="QCZ61" s="10"/>
      <c r="QDA61" s="10"/>
      <c r="QDB61" s="10"/>
      <c r="QDC61" s="10"/>
      <c r="QDD61" s="10"/>
      <c r="QDE61" s="10"/>
      <c r="QDF61" s="10"/>
      <c r="QDG61" s="10"/>
      <c r="QDH61" s="10"/>
      <c r="QDI61" s="10"/>
      <c r="QDJ61" s="10"/>
      <c r="QDK61" s="10"/>
      <c r="QDL61" s="10"/>
      <c r="QDM61" s="10"/>
      <c r="QDN61" s="10"/>
      <c r="QDO61" s="10"/>
      <c r="QDP61" s="10"/>
      <c r="QDQ61" s="10"/>
      <c r="QDR61" s="10"/>
      <c r="QDS61" s="10"/>
      <c r="QDT61" s="10"/>
      <c r="QDU61" s="10"/>
      <c r="QDV61" s="10"/>
      <c r="QDW61" s="10"/>
      <c r="QDX61" s="10"/>
      <c r="QDY61" s="10"/>
      <c r="QDZ61" s="10"/>
      <c r="QEA61" s="10"/>
      <c r="QEB61" s="10"/>
      <c r="QEC61" s="10"/>
      <c r="QED61" s="10"/>
      <c r="QEE61" s="10"/>
      <c r="QEF61" s="10"/>
      <c r="QEG61" s="10"/>
      <c r="QEH61" s="10"/>
      <c r="QEI61" s="10"/>
      <c r="QEJ61" s="10"/>
      <c r="QEK61" s="10"/>
      <c r="QEL61" s="10"/>
      <c r="QEM61" s="10"/>
      <c r="QEN61" s="10"/>
      <c r="QEO61" s="10"/>
      <c r="QEP61" s="10"/>
      <c r="QEQ61" s="10"/>
      <c r="QER61" s="10"/>
      <c r="QES61" s="10"/>
      <c r="QET61" s="10"/>
      <c r="QEU61" s="10"/>
      <c r="QEV61" s="10"/>
      <c r="QEW61" s="10"/>
      <c r="QEX61" s="10"/>
      <c r="QEY61" s="10"/>
      <c r="QEZ61" s="10"/>
      <c r="QFA61" s="10"/>
      <c r="QFB61" s="10"/>
      <c r="QFC61" s="10"/>
      <c r="QFD61" s="10"/>
      <c r="QFE61" s="10"/>
      <c r="QFF61" s="10"/>
      <c r="QFG61" s="10"/>
      <c r="QFH61" s="10"/>
      <c r="QFI61" s="10"/>
      <c r="QFJ61" s="10"/>
      <c r="QFK61" s="10"/>
      <c r="QFL61" s="10"/>
      <c r="QFM61" s="10"/>
      <c r="QFN61" s="10"/>
      <c r="QFO61" s="10"/>
      <c r="QFP61" s="10"/>
      <c r="QFQ61" s="10"/>
      <c r="QFR61" s="10"/>
      <c r="QFS61" s="10"/>
      <c r="QFT61" s="10"/>
      <c r="QFU61" s="10"/>
      <c r="QFV61" s="10"/>
      <c r="QFW61" s="10"/>
      <c r="QFX61" s="10"/>
      <c r="QFY61" s="10"/>
      <c r="QFZ61" s="10"/>
      <c r="QGA61" s="10"/>
      <c r="QGB61" s="10"/>
      <c r="QGC61" s="10"/>
      <c r="QGD61" s="10"/>
      <c r="QGE61" s="10"/>
      <c r="QGF61" s="10"/>
      <c r="QGG61" s="10"/>
      <c r="QGH61" s="10"/>
      <c r="QGI61" s="10"/>
      <c r="QGJ61" s="10"/>
      <c r="QGK61" s="10"/>
      <c r="QGL61" s="10"/>
      <c r="QGM61" s="10"/>
      <c r="QGN61" s="10"/>
      <c r="QGO61" s="10"/>
      <c r="QGP61" s="10"/>
      <c r="QGQ61" s="10"/>
      <c r="QGR61" s="10"/>
      <c r="QGS61" s="10"/>
      <c r="QGT61" s="10"/>
      <c r="QGU61" s="10"/>
      <c r="QGV61" s="10"/>
      <c r="QGW61" s="10"/>
      <c r="QGX61" s="10"/>
      <c r="QGY61" s="10"/>
      <c r="QGZ61" s="10"/>
      <c r="QHA61" s="10"/>
      <c r="QHB61" s="10"/>
      <c r="QHC61" s="10"/>
      <c r="QHD61" s="10"/>
      <c r="QHE61" s="10"/>
      <c r="QHF61" s="10"/>
      <c r="QHG61" s="10"/>
      <c r="QHH61" s="10"/>
      <c r="QHI61" s="10"/>
      <c r="QHJ61" s="10"/>
      <c r="QHK61" s="10"/>
      <c r="QHL61" s="10"/>
      <c r="QHM61" s="10"/>
      <c r="QHN61" s="10"/>
      <c r="QHO61" s="10"/>
      <c r="QHP61" s="10"/>
      <c r="QHQ61" s="10"/>
      <c r="QHR61" s="10"/>
      <c r="QHS61" s="10"/>
      <c r="QHT61" s="10"/>
      <c r="QHU61" s="10"/>
      <c r="QHV61" s="10"/>
      <c r="QHW61" s="10"/>
      <c r="QHX61" s="10"/>
      <c r="QHY61" s="10"/>
      <c r="QHZ61" s="10"/>
      <c r="QIA61" s="10"/>
      <c r="QIB61" s="10"/>
      <c r="QIC61" s="10"/>
      <c r="QID61" s="10"/>
      <c r="QIE61" s="10"/>
      <c r="QIF61" s="10"/>
      <c r="QIG61" s="10"/>
      <c r="QIH61" s="10"/>
      <c r="QII61" s="10"/>
      <c r="QIJ61" s="10"/>
      <c r="QIK61" s="10"/>
      <c r="QIL61" s="10"/>
      <c r="QIM61" s="10"/>
      <c r="QIN61" s="10"/>
      <c r="QIO61" s="10"/>
      <c r="QIP61" s="10"/>
      <c r="QIQ61" s="10"/>
      <c r="QIR61" s="10"/>
      <c r="QIS61" s="10"/>
      <c r="QIT61" s="10"/>
      <c r="QIU61" s="10"/>
      <c r="QIV61" s="10"/>
      <c r="QIW61" s="10"/>
      <c r="QIX61" s="10"/>
      <c r="QIY61" s="10"/>
      <c r="QIZ61" s="10"/>
      <c r="QJA61" s="10"/>
      <c r="QJB61" s="10"/>
      <c r="QJC61" s="10"/>
      <c r="QJD61" s="10"/>
      <c r="QJE61" s="10"/>
      <c r="QJF61" s="10"/>
      <c r="QJG61" s="10"/>
      <c r="QJH61" s="10"/>
      <c r="QJI61" s="10"/>
      <c r="QJJ61" s="10"/>
      <c r="QJK61" s="10"/>
      <c r="QJL61" s="10"/>
      <c r="QJM61" s="10"/>
      <c r="QJN61" s="10"/>
      <c r="QJO61" s="10"/>
      <c r="QJP61" s="10"/>
      <c r="QJQ61" s="10"/>
      <c r="QJR61" s="10"/>
      <c r="QJS61" s="10"/>
      <c r="QJT61" s="10"/>
      <c r="QJU61" s="10"/>
      <c r="QJV61" s="10"/>
      <c r="QJW61" s="10"/>
      <c r="QJX61" s="10"/>
      <c r="QJY61" s="10"/>
      <c r="QJZ61" s="10"/>
      <c r="QKA61" s="10"/>
      <c r="QKB61" s="10"/>
      <c r="QKC61" s="10"/>
      <c r="QKD61" s="10"/>
      <c r="QKE61" s="10"/>
      <c r="QKF61" s="10"/>
      <c r="QKG61" s="10"/>
      <c r="QKH61" s="10"/>
      <c r="QKI61" s="10"/>
      <c r="QKJ61" s="10"/>
      <c r="QKK61" s="10"/>
      <c r="QKL61" s="10"/>
      <c r="QKM61" s="10"/>
      <c r="QKN61" s="10"/>
      <c r="QKO61" s="10"/>
      <c r="QKP61" s="10"/>
      <c r="QKQ61" s="10"/>
      <c r="QKR61" s="10"/>
      <c r="QKS61" s="10"/>
      <c r="QKT61" s="10"/>
      <c r="QKU61" s="10"/>
      <c r="QKV61" s="10"/>
      <c r="QKW61" s="10"/>
      <c r="QKX61" s="10"/>
      <c r="QKY61" s="10"/>
      <c r="QKZ61" s="10"/>
      <c r="QLA61" s="10"/>
      <c r="QLB61" s="10"/>
      <c r="QLC61" s="10"/>
      <c r="QLD61" s="10"/>
      <c r="QLE61" s="10"/>
      <c r="QLF61" s="10"/>
      <c r="QLG61" s="10"/>
      <c r="QLH61" s="10"/>
      <c r="QLI61" s="10"/>
      <c r="QLJ61" s="10"/>
      <c r="QLK61" s="10"/>
      <c r="QLL61" s="10"/>
      <c r="QLM61" s="10"/>
      <c r="QLN61" s="10"/>
      <c r="QLO61" s="10"/>
      <c r="QLP61" s="10"/>
      <c r="QLQ61" s="10"/>
      <c r="QLR61" s="10"/>
      <c r="QLS61" s="10"/>
      <c r="QLT61" s="10"/>
      <c r="QLU61" s="10"/>
      <c r="QLV61" s="10"/>
      <c r="QLW61" s="10"/>
      <c r="QLX61" s="10"/>
      <c r="QLY61" s="10"/>
      <c r="QLZ61" s="10"/>
      <c r="QMA61" s="10"/>
      <c r="QMB61" s="10"/>
      <c r="QMC61" s="10"/>
      <c r="QMD61" s="10"/>
      <c r="QME61" s="10"/>
      <c r="QMF61" s="10"/>
      <c r="QMG61" s="10"/>
      <c r="QMH61" s="10"/>
      <c r="QMI61" s="10"/>
      <c r="QMJ61" s="10"/>
      <c r="QMK61" s="10"/>
      <c r="QML61" s="10"/>
      <c r="QMM61" s="10"/>
      <c r="QMN61" s="10"/>
      <c r="QMO61" s="10"/>
      <c r="QMP61" s="10"/>
      <c r="QMQ61" s="10"/>
      <c r="QMR61" s="10"/>
      <c r="QMS61" s="10"/>
      <c r="QMT61" s="10"/>
      <c r="QMU61" s="10"/>
      <c r="QMV61" s="10"/>
      <c r="QMW61" s="10"/>
      <c r="QMX61" s="10"/>
      <c r="QMY61" s="10"/>
      <c r="QMZ61" s="10"/>
      <c r="QNA61" s="10"/>
      <c r="QNB61" s="10"/>
      <c r="QNC61" s="10"/>
      <c r="QND61" s="10"/>
      <c r="QNE61" s="10"/>
      <c r="QNF61" s="10"/>
      <c r="QNG61" s="10"/>
      <c r="QNH61" s="10"/>
      <c r="QNI61" s="10"/>
      <c r="QNJ61" s="10"/>
      <c r="QNK61" s="10"/>
      <c r="QNL61" s="10"/>
      <c r="QNM61" s="10"/>
      <c r="QNN61" s="10"/>
      <c r="QNO61" s="10"/>
      <c r="QNP61" s="10"/>
      <c r="QNQ61" s="10"/>
      <c r="QNR61" s="10"/>
      <c r="QNS61" s="10"/>
      <c r="QNT61" s="10"/>
      <c r="QNU61" s="10"/>
      <c r="QNV61" s="10"/>
      <c r="QNW61" s="10"/>
      <c r="QNX61" s="10"/>
      <c r="QNY61" s="10"/>
      <c r="QNZ61" s="10"/>
      <c r="QOA61" s="10"/>
      <c r="QOB61" s="10"/>
      <c r="QOC61" s="10"/>
      <c r="QOD61" s="10"/>
      <c r="QOE61" s="10"/>
      <c r="QOF61" s="10"/>
      <c r="QOG61" s="10"/>
      <c r="QOH61" s="10"/>
      <c r="QOI61" s="10"/>
      <c r="QOJ61" s="10"/>
      <c r="QOK61" s="10"/>
      <c r="QOL61" s="10"/>
      <c r="QOM61" s="10"/>
      <c r="QON61" s="10"/>
      <c r="QOO61" s="10"/>
      <c r="QOP61" s="10"/>
      <c r="QOQ61" s="10"/>
      <c r="QOR61" s="10"/>
      <c r="QOS61" s="10"/>
      <c r="QOT61" s="10"/>
      <c r="QOU61" s="10"/>
      <c r="QOV61" s="10"/>
      <c r="QOW61" s="10"/>
      <c r="QOX61" s="10"/>
      <c r="QOY61" s="10"/>
      <c r="QOZ61" s="10"/>
      <c r="QPA61" s="10"/>
      <c r="QPB61" s="10"/>
      <c r="QPC61" s="10"/>
      <c r="QPD61" s="10"/>
      <c r="QPE61" s="10"/>
      <c r="QPF61" s="10"/>
      <c r="QPG61" s="10"/>
      <c r="QPH61" s="10"/>
      <c r="QPI61" s="10"/>
      <c r="QPJ61" s="10"/>
      <c r="QPK61" s="10"/>
      <c r="QPL61" s="10"/>
      <c r="QPM61" s="10"/>
      <c r="QPN61" s="10"/>
      <c r="QPO61" s="10"/>
      <c r="QPP61" s="10"/>
      <c r="QPQ61" s="10"/>
      <c r="QPR61" s="10"/>
      <c r="QPS61" s="10"/>
      <c r="QPT61" s="10"/>
      <c r="QPU61" s="10"/>
      <c r="QPV61" s="10"/>
      <c r="QPW61" s="10"/>
      <c r="QPX61" s="10"/>
      <c r="QPY61" s="10"/>
      <c r="QPZ61" s="10"/>
      <c r="QQA61" s="10"/>
      <c r="QQB61" s="10"/>
      <c r="QQC61" s="10"/>
      <c r="QQD61" s="10"/>
      <c r="QQE61" s="10"/>
      <c r="QQF61" s="10"/>
      <c r="QQG61" s="10"/>
      <c r="QQH61" s="10"/>
      <c r="QQI61" s="10"/>
      <c r="QQJ61" s="10"/>
      <c r="QQK61" s="10"/>
      <c r="QQL61" s="10"/>
      <c r="QQM61" s="10"/>
      <c r="QQN61" s="10"/>
      <c r="QQO61" s="10"/>
      <c r="QQP61" s="10"/>
      <c r="QQQ61" s="10"/>
      <c r="QQR61" s="10"/>
      <c r="QQS61" s="10"/>
      <c r="QQT61" s="10"/>
      <c r="QQU61" s="10"/>
      <c r="QQV61" s="10"/>
      <c r="QQW61" s="10"/>
      <c r="QQX61" s="10"/>
      <c r="QQY61" s="10"/>
      <c r="QQZ61" s="10"/>
      <c r="QRA61" s="10"/>
      <c r="QRB61" s="10"/>
      <c r="QRC61" s="10"/>
      <c r="QRD61" s="10"/>
      <c r="QRE61" s="10"/>
      <c r="QRF61" s="10"/>
      <c r="QRG61" s="10"/>
      <c r="QRH61" s="10"/>
      <c r="QRI61" s="10"/>
      <c r="QRJ61" s="10"/>
      <c r="QRK61" s="10"/>
      <c r="QRL61" s="10"/>
      <c r="QRM61" s="10"/>
      <c r="QRN61" s="10"/>
      <c r="QRO61" s="10"/>
      <c r="QRP61" s="10"/>
      <c r="QRQ61" s="10"/>
      <c r="QRR61" s="10"/>
      <c r="QRS61" s="10"/>
      <c r="QRT61" s="10"/>
      <c r="QRU61" s="10"/>
      <c r="QRV61" s="10"/>
      <c r="QRW61" s="10"/>
      <c r="QRX61" s="10"/>
      <c r="QRY61" s="10"/>
      <c r="QRZ61" s="10"/>
      <c r="QSA61" s="10"/>
      <c r="QSB61" s="10"/>
      <c r="QSC61" s="10"/>
      <c r="QSD61" s="10"/>
      <c r="QSE61" s="10"/>
      <c r="QSF61" s="10"/>
      <c r="QSG61" s="10"/>
      <c r="QSH61" s="10"/>
      <c r="QSI61" s="10"/>
      <c r="QSJ61" s="10"/>
      <c r="QSK61" s="10"/>
      <c r="QSL61" s="10"/>
      <c r="QSM61" s="10"/>
      <c r="QSN61" s="10"/>
      <c r="QSO61" s="10"/>
      <c r="QSP61" s="10"/>
      <c r="QSQ61" s="10"/>
      <c r="QSR61" s="10"/>
      <c r="QSS61" s="10"/>
      <c r="QST61" s="10"/>
      <c r="QSU61" s="10"/>
      <c r="QSV61" s="10"/>
      <c r="QSW61" s="10"/>
      <c r="QSX61" s="10"/>
      <c r="QSY61" s="10"/>
      <c r="QSZ61" s="10"/>
      <c r="QTA61" s="10"/>
      <c r="QTB61" s="10"/>
      <c r="QTC61" s="10"/>
      <c r="QTD61" s="10"/>
      <c r="QTE61" s="10"/>
      <c r="QTF61" s="10"/>
      <c r="QTG61" s="10"/>
      <c r="QTH61" s="10"/>
      <c r="QTI61" s="10"/>
      <c r="QTJ61" s="10"/>
      <c r="QTK61" s="10"/>
      <c r="QTL61" s="10"/>
      <c r="QTM61" s="10"/>
      <c r="QTN61" s="10"/>
      <c r="QTO61" s="10"/>
      <c r="QTP61" s="10"/>
      <c r="QTQ61" s="10"/>
      <c r="QTR61" s="10"/>
      <c r="QTS61" s="10"/>
      <c r="QTT61" s="10"/>
      <c r="QTU61" s="10"/>
      <c r="QTV61" s="10"/>
      <c r="QTW61" s="10"/>
      <c r="QTX61" s="10"/>
      <c r="QTY61" s="10"/>
      <c r="QTZ61" s="10"/>
      <c r="QUA61" s="10"/>
      <c r="QUB61" s="10"/>
      <c r="QUC61" s="10"/>
      <c r="QUD61" s="10"/>
      <c r="QUE61" s="10"/>
      <c r="QUF61" s="10"/>
      <c r="QUG61" s="10"/>
      <c r="QUH61" s="10"/>
      <c r="QUI61" s="10"/>
      <c r="QUJ61" s="10"/>
      <c r="QUK61" s="10"/>
      <c r="QUL61" s="10"/>
      <c r="QUM61" s="10"/>
      <c r="QUN61" s="10"/>
      <c r="QUO61" s="10"/>
      <c r="QUP61" s="10"/>
      <c r="QUQ61" s="10"/>
      <c r="QUR61" s="10"/>
      <c r="QUS61" s="10"/>
      <c r="QUT61" s="10"/>
      <c r="QUU61" s="10"/>
      <c r="QUV61" s="10"/>
      <c r="QUW61" s="10"/>
      <c r="QUX61" s="10"/>
      <c r="QUY61" s="10"/>
      <c r="QUZ61" s="10"/>
      <c r="QVA61" s="10"/>
      <c r="QVB61" s="10"/>
      <c r="QVC61" s="10"/>
      <c r="QVD61" s="10"/>
      <c r="QVE61" s="10"/>
      <c r="QVF61" s="10"/>
      <c r="QVG61" s="10"/>
      <c r="QVH61" s="10"/>
      <c r="QVI61" s="10"/>
      <c r="QVJ61" s="10"/>
      <c r="QVK61" s="10"/>
      <c r="QVL61" s="10"/>
      <c r="QVM61" s="10"/>
      <c r="QVN61" s="10"/>
      <c r="QVO61" s="10"/>
      <c r="QVP61" s="10"/>
      <c r="QVQ61" s="10"/>
      <c r="QVR61" s="10"/>
      <c r="QVS61" s="10"/>
      <c r="QVT61" s="10"/>
      <c r="QVU61" s="10"/>
      <c r="QVV61" s="10"/>
      <c r="QVW61" s="10"/>
      <c r="QVX61" s="10"/>
      <c r="QVY61" s="10"/>
      <c r="QVZ61" s="10"/>
      <c r="QWA61" s="10"/>
      <c r="QWB61" s="10"/>
      <c r="QWC61" s="10"/>
      <c r="QWD61" s="10"/>
      <c r="QWE61" s="10"/>
      <c r="QWF61" s="10"/>
      <c r="QWG61" s="10"/>
      <c r="QWH61" s="10"/>
      <c r="QWI61" s="10"/>
      <c r="QWJ61" s="10"/>
      <c r="QWK61" s="10"/>
      <c r="QWL61" s="10"/>
      <c r="QWM61" s="10"/>
      <c r="QWN61" s="10"/>
      <c r="QWO61" s="10"/>
      <c r="QWP61" s="10"/>
      <c r="QWQ61" s="10"/>
      <c r="QWR61" s="10"/>
      <c r="QWS61" s="10"/>
      <c r="QWT61" s="10"/>
      <c r="QWU61" s="10"/>
      <c r="QWV61" s="10"/>
      <c r="QWW61" s="10"/>
      <c r="QWX61" s="10"/>
      <c r="QWY61" s="10"/>
      <c r="QWZ61" s="10"/>
      <c r="QXA61" s="10"/>
      <c r="QXB61" s="10"/>
      <c r="QXC61" s="10"/>
      <c r="QXD61" s="10"/>
      <c r="QXE61" s="10"/>
      <c r="QXF61" s="10"/>
      <c r="QXG61" s="10"/>
      <c r="QXH61" s="10"/>
      <c r="QXI61" s="10"/>
      <c r="QXJ61" s="10"/>
      <c r="QXK61" s="10"/>
      <c r="QXL61" s="10"/>
      <c r="QXM61" s="10"/>
      <c r="QXN61" s="10"/>
      <c r="QXO61" s="10"/>
      <c r="QXP61" s="10"/>
      <c r="QXQ61" s="10"/>
      <c r="QXR61" s="10"/>
      <c r="QXS61" s="10"/>
      <c r="QXT61" s="10"/>
      <c r="QXU61" s="10"/>
      <c r="QXV61" s="10"/>
      <c r="QXW61" s="10"/>
      <c r="QXX61" s="10"/>
      <c r="QXY61" s="10"/>
      <c r="QXZ61" s="10"/>
      <c r="QYA61" s="10"/>
      <c r="QYB61" s="10"/>
      <c r="QYC61" s="10"/>
      <c r="QYD61" s="10"/>
      <c r="QYE61" s="10"/>
      <c r="QYF61" s="10"/>
      <c r="QYG61" s="10"/>
      <c r="QYH61" s="10"/>
      <c r="QYI61" s="10"/>
      <c r="QYJ61" s="10"/>
      <c r="QYK61" s="10"/>
      <c r="QYL61" s="10"/>
      <c r="QYM61" s="10"/>
      <c r="QYN61" s="10"/>
      <c r="QYO61" s="10"/>
      <c r="QYP61" s="10"/>
      <c r="QYQ61" s="10"/>
      <c r="QYR61" s="10"/>
      <c r="QYS61" s="10"/>
      <c r="QYT61" s="10"/>
      <c r="QYU61" s="10"/>
      <c r="QYV61" s="10"/>
      <c r="QYW61" s="10"/>
      <c r="QYX61" s="10"/>
      <c r="QYY61" s="10"/>
      <c r="QYZ61" s="10"/>
      <c r="QZA61" s="10"/>
      <c r="QZB61" s="10"/>
      <c r="QZC61" s="10"/>
      <c r="QZD61" s="10"/>
      <c r="QZE61" s="10"/>
      <c r="QZF61" s="10"/>
      <c r="QZG61" s="10"/>
      <c r="QZH61" s="10"/>
      <c r="QZI61" s="10"/>
      <c r="QZJ61" s="10"/>
      <c r="QZK61" s="10"/>
      <c r="QZL61" s="10"/>
      <c r="QZM61" s="10"/>
      <c r="QZN61" s="10"/>
      <c r="QZO61" s="10"/>
      <c r="QZP61" s="10"/>
      <c r="QZQ61" s="10"/>
      <c r="QZR61" s="10"/>
      <c r="QZS61" s="10"/>
      <c r="QZT61" s="10"/>
      <c r="QZU61" s="10"/>
      <c r="QZV61" s="10"/>
      <c r="QZW61" s="10"/>
      <c r="QZX61" s="10"/>
      <c r="QZY61" s="10"/>
      <c r="QZZ61" s="10"/>
      <c r="RAA61" s="10"/>
      <c r="RAB61" s="10"/>
      <c r="RAC61" s="10"/>
      <c r="RAD61" s="10"/>
      <c r="RAE61" s="10"/>
      <c r="RAF61" s="10"/>
      <c r="RAG61" s="10"/>
      <c r="RAH61" s="10"/>
      <c r="RAI61" s="10"/>
      <c r="RAJ61" s="10"/>
      <c r="RAK61" s="10"/>
      <c r="RAL61" s="10"/>
      <c r="RAM61" s="10"/>
      <c r="RAN61" s="10"/>
      <c r="RAO61" s="10"/>
      <c r="RAP61" s="10"/>
      <c r="RAQ61" s="10"/>
      <c r="RAR61" s="10"/>
      <c r="RAS61" s="10"/>
      <c r="RAT61" s="10"/>
      <c r="RAU61" s="10"/>
      <c r="RAV61" s="10"/>
      <c r="RAW61" s="10"/>
      <c r="RAX61" s="10"/>
      <c r="RAY61" s="10"/>
      <c r="RAZ61" s="10"/>
      <c r="RBA61" s="10"/>
      <c r="RBB61" s="10"/>
      <c r="RBC61" s="10"/>
      <c r="RBD61" s="10"/>
      <c r="RBE61" s="10"/>
      <c r="RBF61" s="10"/>
      <c r="RBG61" s="10"/>
      <c r="RBH61" s="10"/>
      <c r="RBI61" s="10"/>
      <c r="RBJ61" s="10"/>
      <c r="RBK61" s="10"/>
      <c r="RBL61" s="10"/>
      <c r="RBM61" s="10"/>
      <c r="RBN61" s="10"/>
      <c r="RBO61" s="10"/>
      <c r="RBP61" s="10"/>
      <c r="RBQ61" s="10"/>
      <c r="RBR61" s="10"/>
      <c r="RBS61" s="10"/>
      <c r="RBT61" s="10"/>
      <c r="RBU61" s="10"/>
      <c r="RBV61" s="10"/>
      <c r="RBW61" s="10"/>
      <c r="RBX61" s="10"/>
      <c r="RBY61" s="10"/>
      <c r="RBZ61" s="10"/>
      <c r="RCA61" s="10"/>
      <c r="RCB61" s="10"/>
      <c r="RCC61" s="10"/>
      <c r="RCD61" s="10"/>
      <c r="RCE61" s="10"/>
      <c r="RCF61" s="10"/>
      <c r="RCG61" s="10"/>
      <c r="RCH61" s="10"/>
      <c r="RCI61" s="10"/>
      <c r="RCJ61" s="10"/>
      <c r="RCK61" s="10"/>
      <c r="RCL61" s="10"/>
      <c r="RCM61" s="10"/>
      <c r="RCN61" s="10"/>
      <c r="RCO61" s="10"/>
      <c r="RCP61" s="10"/>
      <c r="RCQ61" s="10"/>
      <c r="RCR61" s="10"/>
      <c r="RCS61" s="10"/>
      <c r="RCT61" s="10"/>
      <c r="RCU61" s="10"/>
      <c r="RCV61" s="10"/>
      <c r="RCW61" s="10"/>
      <c r="RCX61" s="10"/>
      <c r="RCY61" s="10"/>
      <c r="RCZ61" s="10"/>
      <c r="RDA61" s="10"/>
      <c r="RDB61" s="10"/>
      <c r="RDC61" s="10"/>
      <c r="RDD61" s="10"/>
      <c r="RDE61" s="10"/>
      <c r="RDF61" s="10"/>
      <c r="RDG61" s="10"/>
      <c r="RDH61" s="10"/>
      <c r="RDI61" s="10"/>
      <c r="RDJ61" s="10"/>
      <c r="RDK61" s="10"/>
      <c r="RDL61" s="10"/>
      <c r="RDM61" s="10"/>
      <c r="RDN61" s="10"/>
      <c r="RDO61" s="10"/>
      <c r="RDP61" s="10"/>
      <c r="RDQ61" s="10"/>
      <c r="RDR61" s="10"/>
      <c r="RDS61" s="10"/>
      <c r="RDT61" s="10"/>
      <c r="RDU61" s="10"/>
      <c r="RDV61" s="10"/>
      <c r="RDW61" s="10"/>
      <c r="RDX61" s="10"/>
      <c r="RDY61" s="10"/>
      <c r="RDZ61" s="10"/>
      <c r="REA61" s="10"/>
      <c r="REB61" s="10"/>
      <c r="REC61" s="10"/>
      <c r="RED61" s="10"/>
      <c r="REE61" s="10"/>
      <c r="REF61" s="10"/>
      <c r="REG61" s="10"/>
      <c r="REH61" s="10"/>
      <c r="REI61" s="10"/>
      <c r="REJ61" s="10"/>
      <c r="REK61" s="10"/>
      <c r="REL61" s="10"/>
      <c r="REM61" s="10"/>
      <c r="REN61" s="10"/>
      <c r="REO61" s="10"/>
      <c r="REP61" s="10"/>
      <c r="REQ61" s="10"/>
      <c r="RER61" s="10"/>
      <c r="RES61" s="10"/>
      <c r="RET61" s="10"/>
      <c r="REU61" s="10"/>
      <c r="REV61" s="10"/>
      <c r="REW61" s="10"/>
      <c r="REX61" s="10"/>
      <c r="REY61" s="10"/>
      <c r="REZ61" s="10"/>
      <c r="RFA61" s="10"/>
      <c r="RFB61" s="10"/>
      <c r="RFC61" s="10"/>
      <c r="RFD61" s="10"/>
      <c r="RFE61" s="10"/>
      <c r="RFF61" s="10"/>
      <c r="RFG61" s="10"/>
      <c r="RFH61" s="10"/>
      <c r="RFI61" s="10"/>
      <c r="RFJ61" s="10"/>
      <c r="RFK61" s="10"/>
      <c r="RFL61" s="10"/>
      <c r="RFM61" s="10"/>
      <c r="RFN61" s="10"/>
      <c r="RFO61" s="10"/>
      <c r="RFP61" s="10"/>
      <c r="RFQ61" s="10"/>
      <c r="RFR61" s="10"/>
      <c r="RFS61" s="10"/>
      <c r="RFT61" s="10"/>
      <c r="RFU61" s="10"/>
      <c r="RFV61" s="10"/>
      <c r="RFW61" s="10"/>
      <c r="RFX61" s="10"/>
      <c r="RFY61" s="10"/>
      <c r="RFZ61" s="10"/>
      <c r="RGA61" s="10"/>
      <c r="RGB61" s="10"/>
      <c r="RGC61" s="10"/>
      <c r="RGD61" s="10"/>
      <c r="RGE61" s="10"/>
      <c r="RGF61" s="10"/>
      <c r="RGG61" s="10"/>
      <c r="RGH61" s="10"/>
      <c r="RGI61" s="10"/>
      <c r="RGJ61" s="10"/>
      <c r="RGK61" s="10"/>
      <c r="RGL61" s="10"/>
      <c r="RGM61" s="10"/>
      <c r="RGN61" s="10"/>
      <c r="RGO61" s="10"/>
      <c r="RGP61" s="10"/>
      <c r="RGQ61" s="10"/>
      <c r="RGR61" s="10"/>
      <c r="RGS61" s="10"/>
      <c r="RGT61" s="10"/>
      <c r="RGU61" s="10"/>
      <c r="RGV61" s="10"/>
      <c r="RGW61" s="10"/>
      <c r="RGX61" s="10"/>
      <c r="RGY61" s="10"/>
      <c r="RGZ61" s="10"/>
      <c r="RHA61" s="10"/>
      <c r="RHB61" s="10"/>
      <c r="RHC61" s="10"/>
      <c r="RHD61" s="10"/>
      <c r="RHE61" s="10"/>
      <c r="RHF61" s="10"/>
      <c r="RHG61" s="10"/>
      <c r="RHH61" s="10"/>
      <c r="RHI61" s="10"/>
      <c r="RHJ61" s="10"/>
      <c r="RHK61" s="10"/>
      <c r="RHL61" s="10"/>
      <c r="RHM61" s="10"/>
      <c r="RHN61" s="10"/>
      <c r="RHO61" s="10"/>
      <c r="RHP61" s="10"/>
      <c r="RHQ61" s="10"/>
      <c r="RHR61" s="10"/>
      <c r="RHS61" s="10"/>
      <c r="RHT61" s="10"/>
      <c r="RHU61" s="10"/>
      <c r="RHV61" s="10"/>
      <c r="RHW61" s="10"/>
      <c r="RHX61" s="10"/>
      <c r="RHY61" s="10"/>
      <c r="RHZ61" s="10"/>
      <c r="RIA61" s="10"/>
      <c r="RIB61" s="10"/>
      <c r="RIC61" s="10"/>
      <c r="RID61" s="10"/>
      <c r="RIE61" s="10"/>
      <c r="RIF61" s="10"/>
      <c r="RIG61" s="10"/>
      <c r="RIH61" s="10"/>
      <c r="RII61" s="10"/>
      <c r="RIJ61" s="10"/>
      <c r="RIK61" s="10"/>
      <c r="RIL61" s="10"/>
      <c r="RIM61" s="10"/>
      <c r="RIN61" s="10"/>
      <c r="RIO61" s="10"/>
      <c r="RIP61" s="10"/>
      <c r="RIQ61" s="10"/>
      <c r="RIR61" s="10"/>
      <c r="RIS61" s="10"/>
      <c r="RIT61" s="10"/>
      <c r="RIU61" s="10"/>
      <c r="RIV61" s="10"/>
      <c r="RIW61" s="10"/>
      <c r="RIX61" s="10"/>
      <c r="RIY61" s="10"/>
      <c r="RIZ61" s="10"/>
      <c r="RJA61" s="10"/>
      <c r="RJB61" s="10"/>
      <c r="RJC61" s="10"/>
      <c r="RJD61" s="10"/>
      <c r="RJE61" s="10"/>
      <c r="RJF61" s="10"/>
      <c r="RJG61" s="10"/>
      <c r="RJH61" s="10"/>
      <c r="RJI61" s="10"/>
      <c r="RJJ61" s="10"/>
      <c r="RJK61" s="10"/>
      <c r="RJL61" s="10"/>
      <c r="RJM61" s="10"/>
      <c r="RJN61" s="10"/>
      <c r="RJO61" s="10"/>
      <c r="RJP61" s="10"/>
      <c r="RJQ61" s="10"/>
      <c r="RJR61" s="10"/>
      <c r="RJS61" s="10"/>
      <c r="RJT61" s="10"/>
      <c r="RJU61" s="10"/>
      <c r="RJV61" s="10"/>
      <c r="RJW61" s="10"/>
      <c r="RJX61" s="10"/>
      <c r="RJY61" s="10"/>
      <c r="RJZ61" s="10"/>
      <c r="RKA61" s="10"/>
      <c r="RKB61" s="10"/>
      <c r="RKC61" s="10"/>
      <c r="RKD61" s="10"/>
      <c r="RKE61" s="10"/>
      <c r="RKF61" s="10"/>
      <c r="RKG61" s="10"/>
      <c r="RKH61" s="10"/>
      <c r="RKI61" s="10"/>
      <c r="RKJ61" s="10"/>
      <c r="RKK61" s="10"/>
      <c r="RKL61" s="10"/>
      <c r="RKM61" s="10"/>
      <c r="RKN61" s="10"/>
      <c r="RKO61" s="10"/>
      <c r="RKP61" s="10"/>
      <c r="RKQ61" s="10"/>
      <c r="RKR61" s="10"/>
      <c r="RKS61" s="10"/>
      <c r="RKT61" s="10"/>
      <c r="RKU61" s="10"/>
      <c r="RKV61" s="10"/>
      <c r="RKW61" s="10"/>
      <c r="RKX61" s="10"/>
      <c r="RKY61" s="10"/>
      <c r="RKZ61" s="10"/>
      <c r="RLA61" s="10"/>
      <c r="RLB61" s="10"/>
      <c r="RLC61" s="10"/>
      <c r="RLD61" s="10"/>
      <c r="RLE61" s="10"/>
      <c r="RLF61" s="10"/>
      <c r="RLG61" s="10"/>
      <c r="RLH61" s="10"/>
      <c r="RLI61" s="10"/>
      <c r="RLJ61" s="10"/>
      <c r="RLK61" s="10"/>
      <c r="RLL61" s="10"/>
      <c r="RLM61" s="10"/>
      <c r="RLN61" s="10"/>
      <c r="RLO61" s="10"/>
      <c r="RLP61" s="10"/>
      <c r="RLQ61" s="10"/>
      <c r="RLR61" s="10"/>
      <c r="RLS61" s="10"/>
      <c r="RLT61" s="10"/>
      <c r="RLU61" s="10"/>
      <c r="RLV61" s="10"/>
      <c r="RLW61" s="10"/>
      <c r="RLX61" s="10"/>
      <c r="RLY61" s="10"/>
      <c r="RLZ61" s="10"/>
      <c r="RMA61" s="10"/>
      <c r="RMB61" s="10"/>
      <c r="RMC61" s="10"/>
      <c r="RMD61" s="10"/>
      <c r="RME61" s="10"/>
      <c r="RMF61" s="10"/>
      <c r="RMG61" s="10"/>
      <c r="RMH61" s="10"/>
      <c r="RMI61" s="10"/>
      <c r="RMJ61" s="10"/>
      <c r="RMK61" s="10"/>
      <c r="RML61" s="10"/>
      <c r="RMM61" s="10"/>
      <c r="RMN61" s="10"/>
      <c r="RMO61" s="10"/>
      <c r="RMP61" s="10"/>
      <c r="RMQ61" s="10"/>
      <c r="RMR61" s="10"/>
      <c r="RMS61" s="10"/>
      <c r="RMT61" s="10"/>
      <c r="RMU61" s="10"/>
      <c r="RMV61" s="10"/>
      <c r="RMW61" s="10"/>
      <c r="RMX61" s="10"/>
      <c r="RMY61" s="10"/>
      <c r="RMZ61" s="10"/>
      <c r="RNA61" s="10"/>
      <c r="RNB61" s="10"/>
      <c r="RNC61" s="10"/>
      <c r="RND61" s="10"/>
      <c r="RNE61" s="10"/>
      <c r="RNF61" s="10"/>
      <c r="RNG61" s="10"/>
      <c r="RNH61" s="10"/>
      <c r="RNI61" s="10"/>
      <c r="RNJ61" s="10"/>
      <c r="RNK61" s="10"/>
      <c r="RNL61" s="10"/>
      <c r="RNM61" s="10"/>
      <c r="RNN61" s="10"/>
      <c r="RNO61" s="10"/>
      <c r="RNP61" s="10"/>
      <c r="RNQ61" s="10"/>
      <c r="RNR61" s="10"/>
      <c r="RNS61" s="10"/>
      <c r="RNT61" s="10"/>
      <c r="RNU61" s="10"/>
      <c r="RNV61" s="10"/>
      <c r="RNW61" s="10"/>
      <c r="RNX61" s="10"/>
      <c r="RNY61" s="10"/>
      <c r="RNZ61" s="10"/>
      <c r="ROA61" s="10"/>
      <c r="ROB61" s="10"/>
      <c r="ROC61" s="10"/>
      <c r="ROD61" s="10"/>
      <c r="ROE61" s="10"/>
      <c r="ROF61" s="10"/>
      <c r="ROG61" s="10"/>
      <c r="ROH61" s="10"/>
      <c r="ROI61" s="10"/>
      <c r="ROJ61" s="10"/>
      <c r="ROK61" s="10"/>
      <c r="ROL61" s="10"/>
      <c r="ROM61" s="10"/>
      <c r="RON61" s="10"/>
      <c r="ROO61" s="10"/>
      <c r="ROP61" s="10"/>
      <c r="ROQ61" s="10"/>
      <c r="ROR61" s="10"/>
      <c r="ROS61" s="10"/>
      <c r="ROT61" s="10"/>
      <c r="ROU61" s="10"/>
      <c r="ROV61" s="10"/>
      <c r="ROW61" s="10"/>
      <c r="ROX61" s="10"/>
      <c r="ROY61" s="10"/>
      <c r="ROZ61" s="10"/>
      <c r="RPA61" s="10"/>
      <c r="RPB61" s="10"/>
      <c r="RPC61" s="10"/>
      <c r="RPD61" s="10"/>
      <c r="RPE61" s="10"/>
      <c r="RPF61" s="10"/>
      <c r="RPG61" s="10"/>
      <c r="RPH61" s="10"/>
      <c r="RPI61" s="10"/>
      <c r="RPJ61" s="10"/>
      <c r="RPK61" s="10"/>
      <c r="RPL61" s="10"/>
      <c r="RPM61" s="10"/>
      <c r="RPN61" s="10"/>
      <c r="RPO61" s="10"/>
      <c r="RPP61" s="10"/>
      <c r="RPQ61" s="10"/>
      <c r="RPR61" s="10"/>
      <c r="RPS61" s="10"/>
      <c r="RPT61" s="10"/>
      <c r="RPU61" s="10"/>
      <c r="RPV61" s="10"/>
      <c r="RPW61" s="10"/>
      <c r="RPX61" s="10"/>
      <c r="RPY61" s="10"/>
      <c r="RPZ61" s="10"/>
      <c r="RQA61" s="10"/>
      <c r="RQB61" s="10"/>
      <c r="RQC61" s="10"/>
      <c r="RQD61" s="10"/>
      <c r="RQE61" s="10"/>
      <c r="RQF61" s="10"/>
      <c r="RQG61" s="10"/>
      <c r="RQH61" s="10"/>
      <c r="RQI61" s="10"/>
      <c r="RQJ61" s="10"/>
      <c r="RQK61" s="10"/>
      <c r="RQL61" s="10"/>
      <c r="RQM61" s="10"/>
      <c r="RQN61" s="10"/>
      <c r="RQO61" s="10"/>
      <c r="RQP61" s="10"/>
      <c r="RQQ61" s="10"/>
      <c r="RQR61" s="10"/>
      <c r="RQS61" s="10"/>
      <c r="RQT61" s="10"/>
      <c r="RQU61" s="10"/>
      <c r="RQV61" s="10"/>
      <c r="RQW61" s="10"/>
      <c r="RQX61" s="10"/>
      <c r="RQY61" s="10"/>
      <c r="RQZ61" s="10"/>
      <c r="RRA61" s="10"/>
      <c r="RRB61" s="10"/>
      <c r="RRC61" s="10"/>
      <c r="RRD61" s="10"/>
      <c r="RRE61" s="10"/>
      <c r="RRF61" s="10"/>
      <c r="RRG61" s="10"/>
      <c r="RRH61" s="10"/>
      <c r="RRI61" s="10"/>
      <c r="RRJ61" s="10"/>
      <c r="RRK61" s="10"/>
      <c r="RRL61" s="10"/>
      <c r="RRM61" s="10"/>
      <c r="RRN61" s="10"/>
      <c r="RRO61" s="10"/>
      <c r="RRP61" s="10"/>
      <c r="RRQ61" s="10"/>
      <c r="RRR61" s="10"/>
      <c r="RRS61" s="10"/>
      <c r="RRT61" s="10"/>
      <c r="RRU61" s="10"/>
      <c r="RRV61" s="10"/>
      <c r="RRW61" s="10"/>
      <c r="RRX61" s="10"/>
      <c r="RRY61" s="10"/>
      <c r="RRZ61" s="10"/>
      <c r="RSA61" s="10"/>
      <c r="RSB61" s="10"/>
      <c r="RSC61" s="10"/>
      <c r="RSD61" s="10"/>
      <c r="RSE61" s="10"/>
      <c r="RSF61" s="10"/>
      <c r="RSG61" s="10"/>
      <c r="RSH61" s="10"/>
      <c r="RSI61" s="10"/>
      <c r="RSJ61" s="10"/>
      <c r="RSK61" s="10"/>
      <c r="RSL61" s="10"/>
      <c r="RSM61" s="10"/>
      <c r="RSN61" s="10"/>
      <c r="RSO61" s="10"/>
      <c r="RSP61" s="10"/>
      <c r="RSQ61" s="10"/>
      <c r="RSR61" s="10"/>
      <c r="RSS61" s="10"/>
      <c r="RST61" s="10"/>
      <c r="RSU61" s="10"/>
      <c r="RSV61" s="10"/>
      <c r="RSW61" s="10"/>
      <c r="RSX61" s="10"/>
      <c r="RSY61" s="10"/>
      <c r="RSZ61" s="10"/>
      <c r="RTA61" s="10"/>
      <c r="RTB61" s="10"/>
      <c r="RTC61" s="10"/>
      <c r="RTD61" s="10"/>
      <c r="RTE61" s="10"/>
      <c r="RTF61" s="10"/>
      <c r="RTG61" s="10"/>
      <c r="RTH61" s="10"/>
      <c r="RTI61" s="10"/>
      <c r="RTJ61" s="10"/>
      <c r="RTK61" s="10"/>
      <c r="RTL61" s="10"/>
      <c r="RTM61" s="10"/>
      <c r="RTN61" s="10"/>
      <c r="RTO61" s="10"/>
      <c r="RTP61" s="10"/>
      <c r="RTQ61" s="10"/>
      <c r="RTR61" s="10"/>
      <c r="RTS61" s="10"/>
      <c r="RTT61" s="10"/>
      <c r="RTU61" s="10"/>
      <c r="RTV61" s="10"/>
      <c r="RTW61" s="10"/>
      <c r="RTX61" s="10"/>
      <c r="RTY61" s="10"/>
      <c r="RTZ61" s="10"/>
      <c r="RUA61" s="10"/>
      <c r="RUB61" s="10"/>
      <c r="RUC61" s="10"/>
      <c r="RUD61" s="10"/>
      <c r="RUE61" s="10"/>
      <c r="RUF61" s="10"/>
      <c r="RUG61" s="10"/>
      <c r="RUH61" s="10"/>
      <c r="RUI61" s="10"/>
      <c r="RUJ61" s="10"/>
      <c r="RUK61" s="10"/>
      <c r="RUL61" s="10"/>
      <c r="RUM61" s="10"/>
      <c r="RUN61" s="10"/>
      <c r="RUO61" s="10"/>
      <c r="RUP61" s="10"/>
      <c r="RUQ61" s="10"/>
      <c r="RUR61" s="10"/>
      <c r="RUS61" s="10"/>
      <c r="RUT61" s="10"/>
      <c r="RUU61" s="10"/>
      <c r="RUV61" s="10"/>
      <c r="RUW61" s="10"/>
      <c r="RUX61" s="10"/>
      <c r="RUY61" s="10"/>
      <c r="RUZ61" s="10"/>
      <c r="RVA61" s="10"/>
      <c r="RVB61" s="10"/>
      <c r="RVC61" s="10"/>
      <c r="RVD61" s="10"/>
      <c r="RVE61" s="10"/>
      <c r="RVF61" s="10"/>
      <c r="RVG61" s="10"/>
      <c r="RVH61" s="10"/>
      <c r="RVI61" s="10"/>
      <c r="RVJ61" s="10"/>
      <c r="RVK61" s="10"/>
      <c r="RVL61" s="10"/>
      <c r="RVM61" s="10"/>
      <c r="RVN61" s="10"/>
      <c r="RVO61" s="10"/>
      <c r="RVP61" s="10"/>
      <c r="RVQ61" s="10"/>
      <c r="RVR61" s="10"/>
      <c r="RVS61" s="10"/>
      <c r="RVT61" s="10"/>
      <c r="RVU61" s="10"/>
      <c r="RVV61" s="10"/>
      <c r="RVW61" s="10"/>
      <c r="RVX61" s="10"/>
      <c r="RVY61" s="10"/>
      <c r="RVZ61" s="10"/>
      <c r="RWA61" s="10"/>
      <c r="RWB61" s="10"/>
      <c r="RWC61" s="10"/>
      <c r="RWD61" s="10"/>
      <c r="RWE61" s="10"/>
      <c r="RWF61" s="10"/>
      <c r="RWG61" s="10"/>
      <c r="RWH61" s="10"/>
      <c r="RWI61" s="10"/>
      <c r="RWJ61" s="10"/>
      <c r="RWK61" s="10"/>
      <c r="RWL61" s="10"/>
      <c r="RWM61" s="10"/>
      <c r="RWN61" s="10"/>
      <c r="RWO61" s="10"/>
      <c r="RWP61" s="10"/>
      <c r="RWQ61" s="10"/>
      <c r="RWR61" s="10"/>
      <c r="RWS61" s="10"/>
      <c r="RWT61" s="10"/>
      <c r="RWU61" s="10"/>
      <c r="RWV61" s="10"/>
      <c r="RWW61" s="10"/>
      <c r="RWX61" s="10"/>
      <c r="RWY61" s="10"/>
      <c r="RWZ61" s="10"/>
      <c r="RXA61" s="10"/>
      <c r="RXB61" s="10"/>
      <c r="RXC61" s="10"/>
      <c r="RXD61" s="10"/>
      <c r="RXE61" s="10"/>
      <c r="RXF61" s="10"/>
      <c r="RXG61" s="10"/>
      <c r="RXH61" s="10"/>
      <c r="RXI61" s="10"/>
      <c r="RXJ61" s="10"/>
      <c r="RXK61" s="10"/>
      <c r="RXL61" s="10"/>
      <c r="RXM61" s="10"/>
      <c r="RXN61" s="10"/>
      <c r="RXO61" s="10"/>
      <c r="RXP61" s="10"/>
      <c r="RXQ61" s="10"/>
      <c r="RXR61" s="10"/>
      <c r="RXS61" s="10"/>
      <c r="RXT61" s="10"/>
      <c r="RXU61" s="10"/>
      <c r="RXV61" s="10"/>
      <c r="RXW61" s="10"/>
      <c r="RXX61" s="10"/>
      <c r="RXY61" s="10"/>
      <c r="RXZ61" s="10"/>
      <c r="RYA61" s="10"/>
      <c r="RYB61" s="10"/>
      <c r="RYC61" s="10"/>
      <c r="RYD61" s="10"/>
      <c r="RYE61" s="10"/>
      <c r="RYF61" s="10"/>
      <c r="RYG61" s="10"/>
      <c r="RYH61" s="10"/>
      <c r="RYI61" s="10"/>
      <c r="RYJ61" s="10"/>
      <c r="RYK61" s="10"/>
      <c r="RYL61" s="10"/>
      <c r="RYM61" s="10"/>
      <c r="RYN61" s="10"/>
      <c r="RYO61" s="10"/>
      <c r="RYP61" s="10"/>
      <c r="RYQ61" s="10"/>
      <c r="RYR61" s="10"/>
      <c r="RYS61" s="10"/>
      <c r="RYT61" s="10"/>
      <c r="RYU61" s="10"/>
      <c r="RYV61" s="10"/>
      <c r="RYW61" s="10"/>
      <c r="RYX61" s="10"/>
      <c r="RYY61" s="10"/>
      <c r="RYZ61" s="10"/>
      <c r="RZA61" s="10"/>
      <c r="RZB61" s="10"/>
      <c r="RZC61" s="10"/>
      <c r="RZD61" s="10"/>
      <c r="RZE61" s="10"/>
      <c r="RZF61" s="10"/>
      <c r="RZG61" s="10"/>
      <c r="RZH61" s="10"/>
      <c r="RZI61" s="10"/>
      <c r="RZJ61" s="10"/>
      <c r="RZK61" s="10"/>
      <c r="RZL61" s="10"/>
      <c r="RZM61" s="10"/>
      <c r="RZN61" s="10"/>
      <c r="RZO61" s="10"/>
      <c r="RZP61" s="10"/>
      <c r="RZQ61" s="10"/>
      <c r="RZR61" s="10"/>
      <c r="RZS61" s="10"/>
      <c r="RZT61" s="10"/>
      <c r="RZU61" s="10"/>
      <c r="RZV61" s="10"/>
      <c r="RZW61" s="10"/>
      <c r="RZX61" s="10"/>
      <c r="RZY61" s="10"/>
      <c r="RZZ61" s="10"/>
      <c r="SAA61" s="10"/>
      <c r="SAB61" s="10"/>
      <c r="SAC61" s="10"/>
      <c r="SAD61" s="10"/>
      <c r="SAE61" s="10"/>
      <c r="SAF61" s="10"/>
      <c r="SAG61" s="10"/>
      <c r="SAH61" s="10"/>
      <c r="SAI61" s="10"/>
      <c r="SAJ61" s="10"/>
      <c r="SAK61" s="10"/>
      <c r="SAL61" s="10"/>
      <c r="SAM61" s="10"/>
      <c r="SAN61" s="10"/>
      <c r="SAO61" s="10"/>
      <c r="SAP61" s="10"/>
      <c r="SAQ61" s="10"/>
      <c r="SAR61" s="10"/>
      <c r="SAS61" s="10"/>
      <c r="SAT61" s="10"/>
      <c r="SAU61" s="10"/>
      <c r="SAV61" s="10"/>
      <c r="SAW61" s="10"/>
      <c r="SAX61" s="10"/>
      <c r="SAY61" s="10"/>
      <c r="SAZ61" s="10"/>
      <c r="SBA61" s="10"/>
      <c r="SBB61" s="10"/>
      <c r="SBC61" s="10"/>
      <c r="SBD61" s="10"/>
      <c r="SBE61" s="10"/>
      <c r="SBF61" s="10"/>
      <c r="SBG61" s="10"/>
      <c r="SBH61" s="10"/>
      <c r="SBI61" s="10"/>
      <c r="SBJ61" s="10"/>
      <c r="SBK61" s="10"/>
      <c r="SBL61" s="10"/>
      <c r="SBM61" s="10"/>
      <c r="SBN61" s="10"/>
      <c r="SBO61" s="10"/>
      <c r="SBP61" s="10"/>
      <c r="SBQ61" s="10"/>
      <c r="SBR61" s="10"/>
      <c r="SBS61" s="10"/>
      <c r="SBT61" s="10"/>
      <c r="SBU61" s="10"/>
      <c r="SBV61" s="10"/>
      <c r="SBW61" s="10"/>
      <c r="SBX61" s="10"/>
      <c r="SBY61" s="10"/>
      <c r="SBZ61" s="10"/>
      <c r="SCA61" s="10"/>
      <c r="SCB61" s="10"/>
      <c r="SCC61" s="10"/>
      <c r="SCD61" s="10"/>
      <c r="SCE61" s="10"/>
      <c r="SCF61" s="10"/>
      <c r="SCG61" s="10"/>
      <c r="SCH61" s="10"/>
      <c r="SCI61" s="10"/>
      <c r="SCJ61" s="10"/>
      <c r="SCK61" s="10"/>
      <c r="SCL61" s="10"/>
      <c r="SCM61" s="10"/>
      <c r="SCN61" s="10"/>
      <c r="SCO61" s="10"/>
      <c r="SCP61" s="10"/>
      <c r="SCQ61" s="10"/>
      <c r="SCR61" s="10"/>
      <c r="SCS61" s="10"/>
      <c r="SCT61" s="10"/>
      <c r="SCU61" s="10"/>
      <c r="SCV61" s="10"/>
      <c r="SCW61" s="10"/>
      <c r="SCX61" s="10"/>
      <c r="SCY61" s="10"/>
      <c r="SCZ61" s="10"/>
      <c r="SDA61" s="10"/>
      <c r="SDB61" s="10"/>
      <c r="SDC61" s="10"/>
      <c r="SDD61" s="10"/>
      <c r="SDE61" s="10"/>
      <c r="SDF61" s="10"/>
      <c r="SDG61" s="10"/>
      <c r="SDH61" s="10"/>
      <c r="SDI61" s="10"/>
      <c r="SDJ61" s="10"/>
      <c r="SDK61" s="10"/>
      <c r="SDL61" s="10"/>
      <c r="SDM61" s="10"/>
      <c r="SDN61" s="10"/>
      <c r="SDO61" s="10"/>
      <c r="SDP61" s="10"/>
      <c r="SDQ61" s="10"/>
      <c r="SDR61" s="10"/>
      <c r="SDS61" s="10"/>
      <c r="SDT61" s="10"/>
      <c r="SDU61" s="10"/>
      <c r="SDV61" s="10"/>
      <c r="SDW61" s="10"/>
      <c r="SDX61" s="10"/>
      <c r="SDY61" s="10"/>
      <c r="SDZ61" s="10"/>
      <c r="SEA61" s="10"/>
      <c r="SEB61" s="10"/>
      <c r="SEC61" s="10"/>
      <c r="SED61" s="10"/>
      <c r="SEE61" s="10"/>
      <c r="SEF61" s="10"/>
      <c r="SEG61" s="10"/>
      <c r="SEH61" s="10"/>
      <c r="SEI61" s="10"/>
      <c r="SEJ61" s="10"/>
      <c r="SEK61" s="10"/>
      <c r="SEL61" s="10"/>
      <c r="SEM61" s="10"/>
      <c r="SEN61" s="10"/>
      <c r="SEO61" s="10"/>
      <c r="SEP61" s="10"/>
      <c r="SEQ61" s="10"/>
      <c r="SER61" s="10"/>
      <c r="SES61" s="10"/>
      <c r="SET61" s="10"/>
      <c r="SEU61" s="10"/>
      <c r="SEV61" s="10"/>
      <c r="SEW61" s="10"/>
      <c r="SEX61" s="10"/>
      <c r="SEY61" s="10"/>
      <c r="SEZ61" s="10"/>
      <c r="SFA61" s="10"/>
      <c r="SFB61" s="10"/>
      <c r="SFC61" s="10"/>
      <c r="SFD61" s="10"/>
      <c r="SFE61" s="10"/>
      <c r="SFF61" s="10"/>
      <c r="SFG61" s="10"/>
      <c r="SFH61" s="10"/>
      <c r="SFI61" s="10"/>
      <c r="SFJ61" s="10"/>
      <c r="SFK61" s="10"/>
      <c r="SFL61" s="10"/>
      <c r="SFM61" s="10"/>
      <c r="SFN61" s="10"/>
      <c r="SFO61" s="10"/>
      <c r="SFP61" s="10"/>
      <c r="SFQ61" s="10"/>
      <c r="SFR61" s="10"/>
      <c r="SFS61" s="10"/>
      <c r="SFT61" s="10"/>
      <c r="SFU61" s="10"/>
      <c r="SFV61" s="10"/>
      <c r="SFW61" s="10"/>
      <c r="SFX61" s="10"/>
      <c r="SFY61" s="10"/>
      <c r="SFZ61" s="10"/>
      <c r="SGA61" s="10"/>
      <c r="SGB61" s="10"/>
      <c r="SGC61" s="10"/>
      <c r="SGD61" s="10"/>
      <c r="SGE61" s="10"/>
      <c r="SGF61" s="10"/>
      <c r="SGG61" s="10"/>
      <c r="SGH61" s="10"/>
      <c r="SGI61" s="10"/>
      <c r="SGJ61" s="10"/>
      <c r="SGK61" s="10"/>
      <c r="SGL61" s="10"/>
      <c r="SGM61" s="10"/>
      <c r="SGN61" s="10"/>
      <c r="SGO61" s="10"/>
      <c r="SGP61" s="10"/>
      <c r="SGQ61" s="10"/>
      <c r="SGR61" s="10"/>
      <c r="SGS61" s="10"/>
      <c r="SGT61" s="10"/>
      <c r="SGU61" s="10"/>
      <c r="SGV61" s="10"/>
      <c r="SGW61" s="10"/>
      <c r="SGX61" s="10"/>
      <c r="SGY61" s="10"/>
      <c r="SGZ61" s="10"/>
      <c r="SHA61" s="10"/>
      <c r="SHB61" s="10"/>
      <c r="SHC61" s="10"/>
      <c r="SHD61" s="10"/>
      <c r="SHE61" s="10"/>
      <c r="SHF61" s="10"/>
      <c r="SHG61" s="10"/>
      <c r="SHH61" s="10"/>
      <c r="SHI61" s="10"/>
      <c r="SHJ61" s="10"/>
      <c r="SHK61" s="10"/>
      <c r="SHL61" s="10"/>
      <c r="SHM61" s="10"/>
      <c r="SHN61" s="10"/>
      <c r="SHO61" s="10"/>
      <c r="SHP61" s="10"/>
      <c r="SHQ61" s="10"/>
      <c r="SHR61" s="10"/>
      <c r="SHS61" s="10"/>
      <c r="SHT61" s="10"/>
      <c r="SHU61" s="10"/>
      <c r="SHV61" s="10"/>
      <c r="SHW61" s="10"/>
      <c r="SHX61" s="10"/>
      <c r="SHY61" s="10"/>
      <c r="SHZ61" s="10"/>
      <c r="SIA61" s="10"/>
      <c r="SIB61" s="10"/>
      <c r="SIC61" s="10"/>
      <c r="SID61" s="10"/>
      <c r="SIE61" s="10"/>
      <c r="SIF61" s="10"/>
      <c r="SIG61" s="10"/>
      <c r="SIH61" s="10"/>
      <c r="SII61" s="10"/>
      <c r="SIJ61" s="10"/>
      <c r="SIK61" s="10"/>
      <c r="SIL61" s="10"/>
      <c r="SIM61" s="10"/>
      <c r="SIN61" s="10"/>
      <c r="SIO61" s="10"/>
      <c r="SIP61" s="10"/>
      <c r="SIQ61" s="10"/>
      <c r="SIR61" s="10"/>
      <c r="SIS61" s="10"/>
      <c r="SIT61" s="10"/>
      <c r="SIU61" s="10"/>
      <c r="SIV61" s="10"/>
      <c r="SIW61" s="10"/>
      <c r="SIX61" s="10"/>
      <c r="SIY61" s="10"/>
      <c r="SIZ61" s="10"/>
      <c r="SJA61" s="10"/>
      <c r="SJB61" s="10"/>
      <c r="SJC61" s="10"/>
      <c r="SJD61" s="10"/>
      <c r="SJE61" s="10"/>
      <c r="SJF61" s="10"/>
      <c r="SJG61" s="10"/>
      <c r="SJH61" s="10"/>
      <c r="SJI61" s="10"/>
      <c r="SJJ61" s="10"/>
      <c r="SJK61" s="10"/>
      <c r="SJL61" s="10"/>
      <c r="SJM61" s="10"/>
      <c r="SJN61" s="10"/>
      <c r="SJO61" s="10"/>
      <c r="SJP61" s="10"/>
      <c r="SJQ61" s="10"/>
      <c r="SJR61" s="10"/>
      <c r="SJS61" s="10"/>
      <c r="SJT61" s="10"/>
      <c r="SJU61" s="10"/>
      <c r="SJV61" s="10"/>
      <c r="SJW61" s="10"/>
      <c r="SJX61" s="10"/>
      <c r="SJY61" s="10"/>
      <c r="SJZ61" s="10"/>
      <c r="SKA61" s="10"/>
      <c r="SKB61" s="10"/>
      <c r="SKC61" s="10"/>
      <c r="SKD61" s="10"/>
      <c r="SKE61" s="10"/>
      <c r="SKF61" s="10"/>
      <c r="SKG61" s="10"/>
      <c r="SKH61" s="10"/>
      <c r="SKI61" s="10"/>
      <c r="SKJ61" s="10"/>
      <c r="SKK61" s="10"/>
      <c r="SKL61" s="10"/>
      <c r="SKM61" s="10"/>
      <c r="SKN61" s="10"/>
      <c r="SKO61" s="10"/>
      <c r="SKP61" s="10"/>
      <c r="SKQ61" s="10"/>
      <c r="SKR61" s="10"/>
      <c r="SKS61" s="10"/>
      <c r="SKT61" s="10"/>
      <c r="SKU61" s="10"/>
      <c r="SKV61" s="10"/>
      <c r="SKW61" s="10"/>
      <c r="SKX61" s="10"/>
      <c r="SKY61" s="10"/>
      <c r="SKZ61" s="10"/>
      <c r="SLA61" s="10"/>
      <c r="SLB61" s="10"/>
      <c r="SLC61" s="10"/>
      <c r="SLD61" s="10"/>
      <c r="SLE61" s="10"/>
      <c r="SLF61" s="10"/>
      <c r="SLG61" s="10"/>
      <c r="SLH61" s="10"/>
      <c r="SLI61" s="10"/>
      <c r="SLJ61" s="10"/>
      <c r="SLK61" s="10"/>
      <c r="SLL61" s="10"/>
      <c r="SLM61" s="10"/>
      <c r="SLN61" s="10"/>
      <c r="SLO61" s="10"/>
      <c r="SLP61" s="10"/>
      <c r="SLQ61" s="10"/>
      <c r="SLR61" s="10"/>
      <c r="SLS61" s="10"/>
      <c r="SLT61" s="10"/>
      <c r="SLU61" s="10"/>
      <c r="SLV61" s="10"/>
      <c r="SLW61" s="10"/>
      <c r="SLX61" s="10"/>
      <c r="SLY61" s="10"/>
      <c r="SLZ61" s="10"/>
      <c r="SMA61" s="10"/>
      <c r="SMB61" s="10"/>
      <c r="SMC61" s="10"/>
      <c r="SMD61" s="10"/>
      <c r="SME61" s="10"/>
      <c r="SMF61" s="10"/>
      <c r="SMG61" s="10"/>
      <c r="SMH61" s="10"/>
      <c r="SMI61" s="10"/>
      <c r="SMJ61" s="10"/>
      <c r="SMK61" s="10"/>
      <c r="SML61" s="10"/>
      <c r="SMM61" s="10"/>
      <c r="SMN61" s="10"/>
      <c r="SMO61" s="10"/>
      <c r="SMP61" s="10"/>
      <c r="SMQ61" s="10"/>
      <c r="SMR61" s="10"/>
      <c r="SMS61" s="10"/>
      <c r="SMT61" s="10"/>
      <c r="SMU61" s="10"/>
      <c r="SMV61" s="10"/>
      <c r="SMW61" s="10"/>
      <c r="SMX61" s="10"/>
      <c r="SMY61" s="10"/>
      <c r="SMZ61" s="10"/>
      <c r="SNA61" s="10"/>
      <c r="SNB61" s="10"/>
      <c r="SNC61" s="10"/>
      <c r="SND61" s="10"/>
      <c r="SNE61" s="10"/>
      <c r="SNF61" s="10"/>
      <c r="SNG61" s="10"/>
      <c r="SNH61" s="10"/>
      <c r="SNI61" s="10"/>
      <c r="SNJ61" s="10"/>
      <c r="SNK61" s="10"/>
      <c r="SNL61" s="10"/>
      <c r="SNM61" s="10"/>
      <c r="SNN61" s="10"/>
      <c r="SNO61" s="10"/>
      <c r="SNP61" s="10"/>
      <c r="SNQ61" s="10"/>
      <c r="SNR61" s="10"/>
      <c r="SNS61" s="10"/>
      <c r="SNT61" s="10"/>
      <c r="SNU61" s="10"/>
      <c r="SNV61" s="10"/>
      <c r="SNW61" s="10"/>
      <c r="SNX61" s="10"/>
      <c r="SNY61" s="10"/>
      <c r="SNZ61" s="10"/>
      <c r="SOA61" s="10"/>
      <c r="SOB61" s="10"/>
      <c r="SOC61" s="10"/>
      <c r="SOD61" s="10"/>
      <c r="SOE61" s="10"/>
      <c r="SOF61" s="10"/>
      <c r="SOG61" s="10"/>
      <c r="SOH61" s="10"/>
      <c r="SOI61" s="10"/>
      <c r="SOJ61" s="10"/>
      <c r="SOK61" s="10"/>
      <c r="SOL61" s="10"/>
      <c r="SOM61" s="10"/>
      <c r="SON61" s="10"/>
      <c r="SOO61" s="10"/>
      <c r="SOP61" s="10"/>
      <c r="SOQ61" s="10"/>
      <c r="SOR61" s="10"/>
      <c r="SOS61" s="10"/>
      <c r="SOT61" s="10"/>
      <c r="SOU61" s="10"/>
      <c r="SOV61" s="10"/>
      <c r="SOW61" s="10"/>
      <c r="SOX61" s="10"/>
      <c r="SOY61" s="10"/>
      <c r="SOZ61" s="10"/>
      <c r="SPA61" s="10"/>
      <c r="SPB61" s="10"/>
      <c r="SPC61" s="10"/>
      <c r="SPD61" s="10"/>
      <c r="SPE61" s="10"/>
      <c r="SPF61" s="10"/>
      <c r="SPG61" s="10"/>
      <c r="SPH61" s="10"/>
      <c r="SPI61" s="10"/>
      <c r="SPJ61" s="10"/>
      <c r="SPK61" s="10"/>
      <c r="SPL61" s="10"/>
      <c r="SPM61" s="10"/>
      <c r="SPN61" s="10"/>
      <c r="SPO61" s="10"/>
      <c r="SPP61" s="10"/>
      <c r="SPQ61" s="10"/>
      <c r="SPR61" s="10"/>
      <c r="SPS61" s="10"/>
      <c r="SPT61" s="10"/>
      <c r="SPU61" s="10"/>
      <c r="SPV61" s="10"/>
      <c r="SPW61" s="10"/>
      <c r="SPX61" s="10"/>
      <c r="SPY61" s="10"/>
      <c r="SPZ61" s="10"/>
      <c r="SQA61" s="10"/>
      <c r="SQB61" s="10"/>
      <c r="SQC61" s="10"/>
      <c r="SQD61" s="10"/>
      <c r="SQE61" s="10"/>
      <c r="SQF61" s="10"/>
      <c r="SQG61" s="10"/>
      <c r="SQH61" s="10"/>
      <c r="SQI61" s="10"/>
      <c r="SQJ61" s="10"/>
      <c r="SQK61" s="10"/>
      <c r="SQL61" s="10"/>
      <c r="SQM61" s="10"/>
      <c r="SQN61" s="10"/>
      <c r="SQO61" s="10"/>
      <c r="SQP61" s="10"/>
      <c r="SQQ61" s="10"/>
      <c r="SQR61" s="10"/>
      <c r="SQS61" s="10"/>
      <c r="SQT61" s="10"/>
      <c r="SQU61" s="10"/>
      <c r="SQV61" s="10"/>
      <c r="SQW61" s="10"/>
      <c r="SQX61" s="10"/>
      <c r="SQY61" s="10"/>
      <c r="SQZ61" s="10"/>
      <c r="SRA61" s="10"/>
      <c r="SRB61" s="10"/>
      <c r="SRC61" s="10"/>
      <c r="SRD61" s="10"/>
      <c r="SRE61" s="10"/>
      <c r="SRF61" s="10"/>
      <c r="SRG61" s="10"/>
      <c r="SRH61" s="10"/>
      <c r="SRI61" s="10"/>
      <c r="SRJ61" s="10"/>
      <c r="SRK61" s="10"/>
      <c r="SRL61" s="10"/>
      <c r="SRM61" s="10"/>
      <c r="SRN61" s="10"/>
      <c r="SRO61" s="10"/>
      <c r="SRP61" s="10"/>
      <c r="SRQ61" s="10"/>
      <c r="SRR61" s="10"/>
      <c r="SRS61" s="10"/>
      <c r="SRT61" s="10"/>
      <c r="SRU61" s="10"/>
      <c r="SRV61" s="10"/>
      <c r="SRW61" s="10"/>
      <c r="SRX61" s="10"/>
      <c r="SRY61" s="10"/>
      <c r="SRZ61" s="10"/>
      <c r="SSA61" s="10"/>
      <c r="SSB61" s="10"/>
      <c r="SSC61" s="10"/>
      <c r="SSD61" s="10"/>
      <c r="SSE61" s="10"/>
      <c r="SSF61" s="10"/>
      <c r="SSG61" s="10"/>
      <c r="SSH61" s="10"/>
      <c r="SSI61" s="10"/>
      <c r="SSJ61" s="10"/>
      <c r="SSK61" s="10"/>
      <c r="SSL61" s="10"/>
      <c r="SSM61" s="10"/>
      <c r="SSN61" s="10"/>
      <c r="SSO61" s="10"/>
      <c r="SSP61" s="10"/>
      <c r="SSQ61" s="10"/>
      <c r="SSR61" s="10"/>
      <c r="SSS61" s="10"/>
      <c r="SST61" s="10"/>
      <c r="SSU61" s="10"/>
      <c r="SSV61" s="10"/>
      <c r="SSW61" s="10"/>
      <c r="SSX61" s="10"/>
      <c r="SSY61" s="10"/>
      <c r="SSZ61" s="10"/>
      <c r="STA61" s="10"/>
      <c r="STB61" s="10"/>
      <c r="STC61" s="10"/>
      <c r="STD61" s="10"/>
      <c r="STE61" s="10"/>
      <c r="STF61" s="10"/>
      <c r="STG61" s="10"/>
      <c r="STH61" s="10"/>
      <c r="STI61" s="10"/>
      <c r="STJ61" s="10"/>
      <c r="STK61" s="10"/>
      <c r="STL61" s="10"/>
      <c r="STM61" s="10"/>
      <c r="STN61" s="10"/>
      <c r="STO61" s="10"/>
      <c r="STP61" s="10"/>
      <c r="STQ61" s="10"/>
      <c r="STR61" s="10"/>
      <c r="STS61" s="10"/>
      <c r="STT61" s="10"/>
      <c r="STU61" s="10"/>
      <c r="STV61" s="10"/>
      <c r="STW61" s="10"/>
      <c r="STX61" s="10"/>
      <c r="STY61" s="10"/>
      <c r="STZ61" s="10"/>
      <c r="SUA61" s="10"/>
      <c r="SUB61" s="10"/>
      <c r="SUC61" s="10"/>
      <c r="SUD61" s="10"/>
      <c r="SUE61" s="10"/>
      <c r="SUF61" s="10"/>
      <c r="SUG61" s="10"/>
      <c r="SUH61" s="10"/>
      <c r="SUI61" s="10"/>
      <c r="SUJ61" s="10"/>
      <c r="SUK61" s="10"/>
      <c r="SUL61" s="10"/>
      <c r="SUM61" s="10"/>
      <c r="SUN61" s="10"/>
      <c r="SUO61" s="10"/>
      <c r="SUP61" s="10"/>
      <c r="SUQ61" s="10"/>
      <c r="SUR61" s="10"/>
      <c r="SUS61" s="10"/>
      <c r="SUT61" s="10"/>
      <c r="SUU61" s="10"/>
      <c r="SUV61" s="10"/>
      <c r="SUW61" s="10"/>
      <c r="SUX61" s="10"/>
      <c r="SUY61" s="10"/>
      <c r="SUZ61" s="10"/>
      <c r="SVA61" s="10"/>
      <c r="SVB61" s="10"/>
      <c r="SVC61" s="10"/>
      <c r="SVD61" s="10"/>
      <c r="SVE61" s="10"/>
      <c r="SVF61" s="10"/>
      <c r="SVG61" s="10"/>
      <c r="SVH61" s="10"/>
      <c r="SVI61" s="10"/>
      <c r="SVJ61" s="10"/>
      <c r="SVK61" s="10"/>
      <c r="SVL61" s="10"/>
      <c r="SVM61" s="10"/>
      <c r="SVN61" s="10"/>
      <c r="SVO61" s="10"/>
      <c r="SVP61" s="10"/>
      <c r="SVQ61" s="10"/>
      <c r="SVR61" s="10"/>
      <c r="SVS61" s="10"/>
      <c r="SVT61" s="10"/>
      <c r="SVU61" s="10"/>
      <c r="SVV61" s="10"/>
      <c r="SVW61" s="10"/>
      <c r="SVX61" s="10"/>
      <c r="SVY61" s="10"/>
      <c r="SVZ61" s="10"/>
      <c r="SWA61" s="10"/>
      <c r="SWB61" s="10"/>
      <c r="SWC61" s="10"/>
      <c r="SWD61" s="10"/>
      <c r="SWE61" s="10"/>
      <c r="SWF61" s="10"/>
      <c r="SWG61" s="10"/>
      <c r="SWH61" s="10"/>
      <c r="SWI61" s="10"/>
      <c r="SWJ61" s="10"/>
      <c r="SWK61" s="10"/>
      <c r="SWL61" s="10"/>
      <c r="SWM61" s="10"/>
      <c r="SWN61" s="10"/>
      <c r="SWO61" s="10"/>
      <c r="SWP61" s="10"/>
      <c r="SWQ61" s="10"/>
      <c r="SWR61" s="10"/>
      <c r="SWS61" s="10"/>
      <c r="SWT61" s="10"/>
      <c r="SWU61" s="10"/>
      <c r="SWV61" s="10"/>
      <c r="SWW61" s="10"/>
      <c r="SWX61" s="10"/>
      <c r="SWY61" s="10"/>
      <c r="SWZ61" s="10"/>
      <c r="SXA61" s="10"/>
      <c r="SXB61" s="10"/>
      <c r="SXC61" s="10"/>
      <c r="SXD61" s="10"/>
      <c r="SXE61" s="10"/>
      <c r="SXF61" s="10"/>
      <c r="SXG61" s="10"/>
      <c r="SXH61" s="10"/>
      <c r="SXI61" s="10"/>
      <c r="SXJ61" s="10"/>
      <c r="SXK61" s="10"/>
      <c r="SXL61" s="10"/>
      <c r="SXM61" s="10"/>
      <c r="SXN61" s="10"/>
      <c r="SXO61" s="10"/>
      <c r="SXP61" s="10"/>
      <c r="SXQ61" s="10"/>
      <c r="SXR61" s="10"/>
      <c r="SXS61" s="10"/>
      <c r="SXT61" s="10"/>
      <c r="SXU61" s="10"/>
      <c r="SXV61" s="10"/>
      <c r="SXW61" s="10"/>
      <c r="SXX61" s="10"/>
      <c r="SXY61" s="10"/>
      <c r="SXZ61" s="10"/>
      <c r="SYA61" s="10"/>
      <c r="SYB61" s="10"/>
      <c r="SYC61" s="10"/>
      <c r="SYD61" s="10"/>
      <c r="SYE61" s="10"/>
      <c r="SYF61" s="10"/>
      <c r="SYG61" s="10"/>
      <c r="SYH61" s="10"/>
      <c r="SYI61" s="10"/>
      <c r="SYJ61" s="10"/>
      <c r="SYK61" s="10"/>
      <c r="SYL61" s="10"/>
      <c r="SYM61" s="10"/>
      <c r="SYN61" s="10"/>
      <c r="SYO61" s="10"/>
      <c r="SYP61" s="10"/>
      <c r="SYQ61" s="10"/>
      <c r="SYR61" s="10"/>
      <c r="SYS61" s="10"/>
      <c r="SYT61" s="10"/>
      <c r="SYU61" s="10"/>
      <c r="SYV61" s="10"/>
      <c r="SYW61" s="10"/>
      <c r="SYX61" s="10"/>
      <c r="SYY61" s="10"/>
      <c r="SYZ61" s="10"/>
      <c r="SZA61" s="10"/>
      <c r="SZB61" s="10"/>
      <c r="SZC61" s="10"/>
      <c r="SZD61" s="10"/>
      <c r="SZE61" s="10"/>
      <c r="SZF61" s="10"/>
      <c r="SZG61" s="10"/>
      <c r="SZH61" s="10"/>
      <c r="SZI61" s="10"/>
      <c r="SZJ61" s="10"/>
      <c r="SZK61" s="10"/>
      <c r="SZL61" s="10"/>
      <c r="SZM61" s="10"/>
      <c r="SZN61" s="10"/>
      <c r="SZO61" s="10"/>
      <c r="SZP61" s="10"/>
      <c r="SZQ61" s="10"/>
      <c r="SZR61" s="10"/>
      <c r="SZS61" s="10"/>
      <c r="SZT61" s="10"/>
      <c r="SZU61" s="10"/>
      <c r="SZV61" s="10"/>
      <c r="SZW61" s="10"/>
      <c r="SZX61" s="10"/>
      <c r="SZY61" s="10"/>
      <c r="SZZ61" s="10"/>
      <c r="TAA61" s="10"/>
      <c r="TAB61" s="10"/>
      <c r="TAC61" s="10"/>
      <c r="TAD61" s="10"/>
      <c r="TAE61" s="10"/>
      <c r="TAF61" s="10"/>
      <c r="TAG61" s="10"/>
      <c r="TAH61" s="10"/>
      <c r="TAI61" s="10"/>
      <c r="TAJ61" s="10"/>
      <c r="TAK61" s="10"/>
      <c r="TAL61" s="10"/>
      <c r="TAM61" s="10"/>
      <c r="TAN61" s="10"/>
      <c r="TAO61" s="10"/>
      <c r="TAP61" s="10"/>
      <c r="TAQ61" s="10"/>
      <c r="TAR61" s="10"/>
      <c r="TAS61" s="10"/>
      <c r="TAT61" s="10"/>
      <c r="TAU61" s="10"/>
      <c r="TAV61" s="10"/>
      <c r="TAW61" s="10"/>
      <c r="TAX61" s="10"/>
      <c r="TAY61" s="10"/>
      <c r="TAZ61" s="10"/>
      <c r="TBA61" s="10"/>
      <c r="TBB61" s="10"/>
      <c r="TBC61" s="10"/>
      <c r="TBD61" s="10"/>
      <c r="TBE61" s="10"/>
      <c r="TBF61" s="10"/>
      <c r="TBG61" s="10"/>
      <c r="TBH61" s="10"/>
      <c r="TBI61" s="10"/>
      <c r="TBJ61" s="10"/>
      <c r="TBK61" s="10"/>
      <c r="TBL61" s="10"/>
      <c r="TBM61" s="10"/>
      <c r="TBN61" s="10"/>
      <c r="TBO61" s="10"/>
      <c r="TBP61" s="10"/>
      <c r="TBQ61" s="10"/>
      <c r="TBR61" s="10"/>
      <c r="TBS61" s="10"/>
      <c r="TBT61" s="10"/>
      <c r="TBU61" s="10"/>
      <c r="TBV61" s="10"/>
      <c r="TBW61" s="10"/>
      <c r="TBX61" s="10"/>
      <c r="TBY61" s="10"/>
      <c r="TBZ61" s="10"/>
      <c r="TCA61" s="10"/>
      <c r="TCB61" s="10"/>
      <c r="TCC61" s="10"/>
      <c r="TCD61" s="10"/>
      <c r="TCE61" s="10"/>
      <c r="TCF61" s="10"/>
      <c r="TCG61" s="10"/>
      <c r="TCH61" s="10"/>
      <c r="TCI61" s="10"/>
      <c r="TCJ61" s="10"/>
      <c r="TCK61" s="10"/>
      <c r="TCL61" s="10"/>
      <c r="TCM61" s="10"/>
      <c r="TCN61" s="10"/>
      <c r="TCO61" s="10"/>
      <c r="TCP61" s="10"/>
      <c r="TCQ61" s="10"/>
      <c r="TCR61" s="10"/>
      <c r="TCS61" s="10"/>
      <c r="TCT61" s="10"/>
      <c r="TCU61" s="10"/>
      <c r="TCV61" s="10"/>
      <c r="TCW61" s="10"/>
      <c r="TCX61" s="10"/>
      <c r="TCY61" s="10"/>
      <c r="TCZ61" s="10"/>
      <c r="TDA61" s="10"/>
      <c r="TDB61" s="10"/>
      <c r="TDC61" s="10"/>
      <c r="TDD61" s="10"/>
      <c r="TDE61" s="10"/>
      <c r="TDF61" s="10"/>
      <c r="TDG61" s="10"/>
      <c r="TDH61" s="10"/>
      <c r="TDI61" s="10"/>
      <c r="TDJ61" s="10"/>
      <c r="TDK61" s="10"/>
      <c r="TDL61" s="10"/>
      <c r="TDM61" s="10"/>
      <c r="TDN61" s="10"/>
      <c r="TDO61" s="10"/>
      <c r="TDP61" s="10"/>
      <c r="TDQ61" s="10"/>
      <c r="TDR61" s="10"/>
      <c r="TDS61" s="10"/>
      <c r="TDT61" s="10"/>
      <c r="TDU61" s="10"/>
      <c r="TDV61" s="10"/>
      <c r="TDW61" s="10"/>
      <c r="TDX61" s="10"/>
      <c r="TDY61" s="10"/>
      <c r="TDZ61" s="10"/>
      <c r="TEA61" s="10"/>
      <c r="TEB61" s="10"/>
      <c r="TEC61" s="10"/>
      <c r="TED61" s="10"/>
      <c r="TEE61" s="10"/>
      <c r="TEF61" s="10"/>
      <c r="TEG61" s="10"/>
      <c r="TEH61" s="10"/>
      <c r="TEI61" s="10"/>
      <c r="TEJ61" s="10"/>
      <c r="TEK61" s="10"/>
      <c r="TEL61" s="10"/>
      <c r="TEM61" s="10"/>
      <c r="TEN61" s="10"/>
      <c r="TEO61" s="10"/>
      <c r="TEP61" s="10"/>
      <c r="TEQ61" s="10"/>
      <c r="TER61" s="10"/>
      <c r="TES61" s="10"/>
      <c r="TET61" s="10"/>
      <c r="TEU61" s="10"/>
      <c r="TEV61" s="10"/>
      <c r="TEW61" s="10"/>
      <c r="TEX61" s="10"/>
      <c r="TEY61" s="10"/>
      <c r="TEZ61" s="10"/>
      <c r="TFA61" s="10"/>
      <c r="TFB61" s="10"/>
      <c r="TFC61" s="10"/>
      <c r="TFD61" s="10"/>
      <c r="TFE61" s="10"/>
      <c r="TFF61" s="10"/>
      <c r="TFG61" s="10"/>
      <c r="TFH61" s="10"/>
      <c r="TFI61" s="10"/>
      <c r="TFJ61" s="10"/>
      <c r="TFK61" s="10"/>
      <c r="TFL61" s="10"/>
      <c r="TFM61" s="10"/>
      <c r="TFN61" s="10"/>
      <c r="TFO61" s="10"/>
      <c r="TFP61" s="10"/>
      <c r="TFQ61" s="10"/>
      <c r="TFR61" s="10"/>
      <c r="TFS61" s="10"/>
      <c r="TFT61" s="10"/>
      <c r="TFU61" s="10"/>
      <c r="TFV61" s="10"/>
      <c r="TFW61" s="10"/>
      <c r="TFX61" s="10"/>
      <c r="TFY61" s="10"/>
      <c r="TFZ61" s="10"/>
      <c r="TGA61" s="10"/>
      <c r="TGB61" s="10"/>
      <c r="TGC61" s="10"/>
      <c r="TGD61" s="10"/>
      <c r="TGE61" s="10"/>
      <c r="TGF61" s="10"/>
      <c r="TGG61" s="10"/>
      <c r="TGH61" s="10"/>
      <c r="TGI61" s="10"/>
      <c r="TGJ61" s="10"/>
      <c r="TGK61" s="10"/>
      <c r="TGL61" s="10"/>
      <c r="TGM61" s="10"/>
      <c r="TGN61" s="10"/>
      <c r="TGO61" s="10"/>
      <c r="TGP61" s="10"/>
      <c r="TGQ61" s="10"/>
      <c r="TGR61" s="10"/>
      <c r="TGS61" s="10"/>
      <c r="TGT61" s="10"/>
      <c r="TGU61" s="10"/>
      <c r="TGV61" s="10"/>
      <c r="TGW61" s="10"/>
      <c r="TGX61" s="10"/>
      <c r="TGY61" s="10"/>
      <c r="TGZ61" s="10"/>
      <c r="THA61" s="10"/>
      <c r="THB61" s="10"/>
      <c r="THC61" s="10"/>
      <c r="THD61" s="10"/>
      <c r="THE61" s="10"/>
      <c r="THF61" s="10"/>
      <c r="THG61" s="10"/>
      <c r="THH61" s="10"/>
      <c r="THI61" s="10"/>
      <c r="THJ61" s="10"/>
      <c r="THK61" s="10"/>
      <c r="THL61" s="10"/>
      <c r="THM61" s="10"/>
      <c r="THN61" s="10"/>
      <c r="THO61" s="10"/>
      <c r="THP61" s="10"/>
      <c r="THQ61" s="10"/>
      <c r="THR61" s="10"/>
      <c r="THS61" s="10"/>
      <c r="THT61" s="10"/>
      <c r="THU61" s="10"/>
      <c r="THV61" s="10"/>
      <c r="THW61" s="10"/>
      <c r="THX61" s="10"/>
      <c r="THY61" s="10"/>
      <c r="THZ61" s="10"/>
      <c r="TIA61" s="10"/>
      <c r="TIB61" s="10"/>
      <c r="TIC61" s="10"/>
      <c r="TID61" s="10"/>
      <c r="TIE61" s="10"/>
      <c r="TIF61" s="10"/>
      <c r="TIG61" s="10"/>
      <c r="TIH61" s="10"/>
      <c r="TII61" s="10"/>
      <c r="TIJ61" s="10"/>
      <c r="TIK61" s="10"/>
      <c r="TIL61" s="10"/>
      <c r="TIM61" s="10"/>
      <c r="TIN61" s="10"/>
      <c r="TIO61" s="10"/>
      <c r="TIP61" s="10"/>
      <c r="TIQ61" s="10"/>
      <c r="TIR61" s="10"/>
      <c r="TIS61" s="10"/>
      <c r="TIT61" s="10"/>
      <c r="TIU61" s="10"/>
      <c r="TIV61" s="10"/>
      <c r="TIW61" s="10"/>
      <c r="TIX61" s="10"/>
      <c r="TIY61" s="10"/>
      <c r="TIZ61" s="10"/>
      <c r="TJA61" s="10"/>
      <c r="TJB61" s="10"/>
      <c r="TJC61" s="10"/>
      <c r="TJD61" s="10"/>
      <c r="TJE61" s="10"/>
      <c r="TJF61" s="10"/>
      <c r="TJG61" s="10"/>
      <c r="TJH61" s="10"/>
      <c r="TJI61" s="10"/>
      <c r="TJJ61" s="10"/>
      <c r="TJK61" s="10"/>
      <c r="TJL61" s="10"/>
      <c r="TJM61" s="10"/>
      <c r="TJN61" s="10"/>
      <c r="TJO61" s="10"/>
      <c r="TJP61" s="10"/>
      <c r="TJQ61" s="10"/>
      <c r="TJR61" s="10"/>
      <c r="TJS61" s="10"/>
      <c r="TJT61" s="10"/>
      <c r="TJU61" s="10"/>
      <c r="TJV61" s="10"/>
      <c r="TJW61" s="10"/>
      <c r="TJX61" s="10"/>
      <c r="TJY61" s="10"/>
      <c r="TJZ61" s="10"/>
      <c r="TKA61" s="10"/>
      <c r="TKB61" s="10"/>
      <c r="TKC61" s="10"/>
      <c r="TKD61" s="10"/>
      <c r="TKE61" s="10"/>
      <c r="TKF61" s="10"/>
      <c r="TKG61" s="10"/>
      <c r="TKH61" s="10"/>
      <c r="TKI61" s="10"/>
      <c r="TKJ61" s="10"/>
      <c r="TKK61" s="10"/>
      <c r="TKL61" s="10"/>
      <c r="TKM61" s="10"/>
      <c r="TKN61" s="10"/>
      <c r="TKO61" s="10"/>
      <c r="TKP61" s="10"/>
      <c r="TKQ61" s="10"/>
      <c r="TKR61" s="10"/>
      <c r="TKS61" s="10"/>
      <c r="TKT61" s="10"/>
      <c r="TKU61" s="10"/>
      <c r="TKV61" s="10"/>
      <c r="TKW61" s="10"/>
      <c r="TKX61" s="10"/>
      <c r="TKY61" s="10"/>
      <c r="TKZ61" s="10"/>
      <c r="TLA61" s="10"/>
      <c r="TLB61" s="10"/>
      <c r="TLC61" s="10"/>
      <c r="TLD61" s="10"/>
      <c r="TLE61" s="10"/>
      <c r="TLF61" s="10"/>
      <c r="TLG61" s="10"/>
      <c r="TLH61" s="10"/>
      <c r="TLI61" s="10"/>
      <c r="TLJ61" s="10"/>
      <c r="TLK61" s="10"/>
      <c r="TLL61" s="10"/>
      <c r="TLM61" s="10"/>
      <c r="TLN61" s="10"/>
      <c r="TLO61" s="10"/>
      <c r="TLP61" s="10"/>
      <c r="TLQ61" s="10"/>
      <c r="TLR61" s="10"/>
      <c r="TLS61" s="10"/>
      <c r="TLT61" s="10"/>
      <c r="TLU61" s="10"/>
      <c r="TLV61" s="10"/>
      <c r="TLW61" s="10"/>
      <c r="TLX61" s="10"/>
      <c r="TLY61" s="10"/>
      <c r="TLZ61" s="10"/>
      <c r="TMA61" s="10"/>
      <c r="TMB61" s="10"/>
      <c r="TMC61" s="10"/>
      <c r="TMD61" s="10"/>
      <c r="TME61" s="10"/>
      <c r="TMF61" s="10"/>
      <c r="TMG61" s="10"/>
      <c r="TMH61" s="10"/>
      <c r="TMI61" s="10"/>
      <c r="TMJ61" s="10"/>
      <c r="TMK61" s="10"/>
      <c r="TML61" s="10"/>
      <c r="TMM61" s="10"/>
      <c r="TMN61" s="10"/>
      <c r="TMO61" s="10"/>
      <c r="TMP61" s="10"/>
      <c r="TMQ61" s="10"/>
      <c r="TMR61" s="10"/>
      <c r="TMS61" s="10"/>
      <c r="TMT61" s="10"/>
      <c r="TMU61" s="10"/>
      <c r="TMV61" s="10"/>
      <c r="TMW61" s="10"/>
      <c r="TMX61" s="10"/>
      <c r="TMY61" s="10"/>
      <c r="TMZ61" s="10"/>
      <c r="TNA61" s="10"/>
      <c r="TNB61" s="10"/>
      <c r="TNC61" s="10"/>
      <c r="TND61" s="10"/>
      <c r="TNE61" s="10"/>
      <c r="TNF61" s="10"/>
      <c r="TNG61" s="10"/>
      <c r="TNH61" s="10"/>
      <c r="TNI61" s="10"/>
      <c r="TNJ61" s="10"/>
      <c r="TNK61" s="10"/>
      <c r="TNL61" s="10"/>
      <c r="TNM61" s="10"/>
      <c r="TNN61" s="10"/>
      <c r="TNO61" s="10"/>
      <c r="TNP61" s="10"/>
      <c r="TNQ61" s="10"/>
      <c r="TNR61" s="10"/>
      <c r="TNS61" s="10"/>
      <c r="TNT61" s="10"/>
      <c r="TNU61" s="10"/>
      <c r="TNV61" s="10"/>
      <c r="TNW61" s="10"/>
      <c r="TNX61" s="10"/>
      <c r="TNY61" s="10"/>
      <c r="TNZ61" s="10"/>
      <c r="TOA61" s="10"/>
      <c r="TOB61" s="10"/>
      <c r="TOC61" s="10"/>
      <c r="TOD61" s="10"/>
      <c r="TOE61" s="10"/>
      <c r="TOF61" s="10"/>
      <c r="TOG61" s="10"/>
      <c r="TOH61" s="10"/>
      <c r="TOI61" s="10"/>
      <c r="TOJ61" s="10"/>
      <c r="TOK61" s="10"/>
      <c r="TOL61" s="10"/>
      <c r="TOM61" s="10"/>
      <c r="TON61" s="10"/>
      <c r="TOO61" s="10"/>
      <c r="TOP61" s="10"/>
      <c r="TOQ61" s="10"/>
      <c r="TOR61" s="10"/>
      <c r="TOS61" s="10"/>
      <c r="TOT61" s="10"/>
      <c r="TOU61" s="10"/>
      <c r="TOV61" s="10"/>
      <c r="TOW61" s="10"/>
      <c r="TOX61" s="10"/>
      <c r="TOY61" s="10"/>
      <c r="TOZ61" s="10"/>
      <c r="TPA61" s="10"/>
      <c r="TPB61" s="10"/>
      <c r="TPC61" s="10"/>
      <c r="TPD61" s="10"/>
      <c r="TPE61" s="10"/>
      <c r="TPF61" s="10"/>
      <c r="TPG61" s="10"/>
      <c r="TPH61" s="10"/>
      <c r="TPI61" s="10"/>
      <c r="TPJ61" s="10"/>
      <c r="TPK61" s="10"/>
      <c r="TPL61" s="10"/>
      <c r="TPM61" s="10"/>
      <c r="TPN61" s="10"/>
      <c r="TPO61" s="10"/>
      <c r="TPP61" s="10"/>
      <c r="TPQ61" s="10"/>
      <c r="TPR61" s="10"/>
      <c r="TPS61" s="10"/>
      <c r="TPT61" s="10"/>
      <c r="TPU61" s="10"/>
      <c r="TPV61" s="10"/>
      <c r="TPW61" s="10"/>
      <c r="TPX61" s="10"/>
      <c r="TPY61" s="10"/>
      <c r="TPZ61" s="10"/>
      <c r="TQA61" s="10"/>
      <c r="TQB61" s="10"/>
      <c r="TQC61" s="10"/>
      <c r="TQD61" s="10"/>
      <c r="TQE61" s="10"/>
      <c r="TQF61" s="10"/>
      <c r="TQG61" s="10"/>
      <c r="TQH61" s="10"/>
      <c r="TQI61" s="10"/>
      <c r="TQJ61" s="10"/>
      <c r="TQK61" s="10"/>
      <c r="TQL61" s="10"/>
      <c r="TQM61" s="10"/>
      <c r="TQN61" s="10"/>
      <c r="TQO61" s="10"/>
      <c r="TQP61" s="10"/>
      <c r="TQQ61" s="10"/>
      <c r="TQR61" s="10"/>
      <c r="TQS61" s="10"/>
      <c r="TQT61" s="10"/>
      <c r="TQU61" s="10"/>
      <c r="TQV61" s="10"/>
      <c r="TQW61" s="10"/>
      <c r="TQX61" s="10"/>
      <c r="TQY61" s="10"/>
      <c r="TQZ61" s="10"/>
      <c r="TRA61" s="10"/>
      <c r="TRB61" s="10"/>
      <c r="TRC61" s="10"/>
      <c r="TRD61" s="10"/>
      <c r="TRE61" s="10"/>
      <c r="TRF61" s="10"/>
      <c r="TRG61" s="10"/>
      <c r="TRH61" s="10"/>
      <c r="TRI61" s="10"/>
      <c r="TRJ61" s="10"/>
      <c r="TRK61" s="10"/>
      <c r="TRL61" s="10"/>
      <c r="TRM61" s="10"/>
      <c r="TRN61" s="10"/>
      <c r="TRO61" s="10"/>
      <c r="TRP61" s="10"/>
      <c r="TRQ61" s="10"/>
      <c r="TRR61" s="10"/>
      <c r="TRS61" s="10"/>
      <c r="TRT61" s="10"/>
      <c r="TRU61" s="10"/>
      <c r="TRV61" s="10"/>
      <c r="TRW61" s="10"/>
      <c r="TRX61" s="10"/>
      <c r="TRY61" s="10"/>
      <c r="TRZ61" s="10"/>
      <c r="TSA61" s="10"/>
      <c r="TSB61" s="10"/>
      <c r="TSC61" s="10"/>
      <c r="TSD61" s="10"/>
      <c r="TSE61" s="10"/>
      <c r="TSF61" s="10"/>
      <c r="TSG61" s="10"/>
      <c r="TSH61" s="10"/>
      <c r="TSI61" s="10"/>
      <c r="TSJ61" s="10"/>
      <c r="TSK61" s="10"/>
      <c r="TSL61" s="10"/>
      <c r="TSM61" s="10"/>
      <c r="TSN61" s="10"/>
      <c r="TSO61" s="10"/>
      <c r="TSP61" s="10"/>
      <c r="TSQ61" s="10"/>
      <c r="TSR61" s="10"/>
      <c r="TSS61" s="10"/>
      <c r="TST61" s="10"/>
      <c r="TSU61" s="10"/>
      <c r="TSV61" s="10"/>
      <c r="TSW61" s="10"/>
      <c r="TSX61" s="10"/>
      <c r="TSY61" s="10"/>
      <c r="TSZ61" s="10"/>
      <c r="TTA61" s="10"/>
      <c r="TTB61" s="10"/>
      <c r="TTC61" s="10"/>
      <c r="TTD61" s="10"/>
      <c r="TTE61" s="10"/>
      <c r="TTF61" s="10"/>
      <c r="TTG61" s="10"/>
      <c r="TTH61" s="10"/>
      <c r="TTI61" s="10"/>
      <c r="TTJ61" s="10"/>
      <c r="TTK61" s="10"/>
      <c r="TTL61" s="10"/>
      <c r="TTM61" s="10"/>
      <c r="TTN61" s="10"/>
      <c r="TTO61" s="10"/>
      <c r="TTP61" s="10"/>
      <c r="TTQ61" s="10"/>
      <c r="TTR61" s="10"/>
      <c r="TTS61" s="10"/>
      <c r="TTT61" s="10"/>
      <c r="TTU61" s="10"/>
      <c r="TTV61" s="10"/>
      <c r="TTW61" s="10"/>
      <c r="TTX61" s="10"/>
      <c r="TTY61" s="10"/>
      <c r="TTZ61" s="10"/>
      <c r="TUA61" s="10"/>
      <c r="TUB61" s="10"/>
      <c r="TUC61" s="10"/>
      <c r="TUD61" s="10"/>
      <c r="TUE61" s="10"/>
      <c r="TUF61" s="10"/>
      <c r="TUG61" s="10"/>
      <c r="TUH61" s="10"/>
      <c r="TUI61" s="10"/>
      <c r="TUJ61" s="10"/>
      <c r="TUK61" s="10"/>
      <c r="TUL61" s="10"/>
      <c r="TUM61" s="10"/>
      <c r="TUN61" s="10"/>
      <c r="TUO61" s="10"/>
      <c r="TUP61" s="10"/>
      <c r="TUQ61" s="10"/>
      <c r="TUR61" s="10"/>
      <c r="TUS61" s="10"/>
      <c r="TUT61" s="10"/>
      <c r="TUU61" s="10"/>
      <c r="TUV61" s="10"/>
      <c r="TUW61" s="10"/>
      <c r="TUX61" s="10"/>
      <c r="TUY61" s="10"/>
      <c r="TUZ61" s="10"/>
      <c r="TVA61" s="10"/>
      <c r="TVB61" s="10"/>
      <c r="TVC61" s="10"/>
      <c r="TVD61" s="10"/>
      <c r="TVE61" s="10"/>
      <c r="TVF61" s="10"/>
      <c r="TVG61" s="10"/>
      <c r="TVH61" s="10"/>
      <c r="TVI61" s="10"/>
      <c r="TVJ61" s="10"/>
      <c r="TVK61" s="10"/>
      <c r="TVL61" s="10"/>
      <c r="TVM61" s="10"/>
      <c r="TVN61" s="10"/>
      <c r="TVO61" s="10"/>
      <c r="TVP61" s="10"/>
      <c r="TVQ61" s="10"/>
      <c r="TVR61" s="10"/>
      <c r="TVS61" s="10"/>
      <c r="TVT61" s="10"/>
      <c r="TVU61" s="10"/>
      <c r="TVV61" s="10"/>
      <c r="TVW61" s="10"/>
      <c r="TVX61" s="10"/>
      <c r="TVY61" s="10"/>
      <c r="TVZ61" s="10"/>
      <c r="TWA61" s="10"/>
      <c r="TWB61" s="10"/>
      <c r="TWC61" s="10"/>
      <c r="TWD61" s="10"/>
      <c r="TWE61" s="10"/>
      <c r="TWF61" s="10"/>
      <c r="TWG61" s="10"/>
      <c r="TWH61" s="10"/>
      <c r="TWI61" s="10"/>
      <c r="TWJ61" s="10"/>
      <c r="TWK61" s="10"/>
      <c r="TWL61" s="10"/>
      <c r="TWM61" s="10"/>
      <c r="TWN61" s="10"/>
      <c r="TWO61" s="10"/>
      <c r="TWP61" s="10"/>
      <c r="TWQ61" s="10"/>
      <c r="TWR61" s="10"/>
      <c r="TWS61" s="10"/>
      <c r="TWT61" s="10"/>
      <c r="TWU61" s="10"/>
      <c r="TWV61" s="10"/>
      <c r="TWW61" s="10"/>
      <c r="TWX61" s="10"/>
      <c r="TWY61" s="10"/>
      <c r="TWZ61" s="10"/>
      <c r="TXA61" s="10"/>
      <c r="TXB61" s="10"/>
      <c r="TXC61" s="10"/>
      <c r="TXD61" s="10"/>
      <c r="TXE61" s="10"/>
      <c r="TXF61" s="10"/>
      <c r="TXG61" s="10"/>
      <c r="TXH61" s="10"/>
      <c r="TXI61" s="10"/>
      <c r="TXJ61" s="10"/>
      <c r="TXK61" s="10"/>
      <c r="TXL61" s="10"/>
      <c r="TXM61" s="10"/>
      <c r="TXN61" s="10"/>
      <c r="TXO61" s="10"/>
      <c r="TXP61" s="10"/>
      <c r="TXQ61" s="10"/>
      <c r="TXR61" s="10"/>
      <c r="TXS61" s="10"/>
      <c r="TXT61" s="10"/>
      <c r="TXU61" s="10"/>
      <c r="TXV61" s="10"/>
      <c r="TXW61" s="10"/>
      <c r="TXX61" s="10"/>
      <c r="TXY61" s="10"/>
      <c r="TXZ61" s="10"/>
      <c r="TYA61" s="10"/>
      <c r="TYB61" s="10"/>
      <c r="TYC61" s="10"/>
      <c r="TYD61" s="10"/>
      <c r="TYE61" s="10"/>
      <c r="TYF61" s="10"/>
      <c r="TYG61" s="10"/>
      <c r="TYH61" s="10"/>
      <c r="TYI61" s="10"/>
      <c r="TYJ61" s="10"/>
      <c r="TYK61" s="10"/>
      <c r="TYL61" s="10"/>
      <c r="TYM61" s="10"/>
      <c r="TYN61" s="10"/>
      <c r="TYO61" s="10"/>
      <c r="TYP61" s="10"/>
      <c r="TYQ61" s="10"/>
      <c r="TYR61" s="10"/>
      <c r="TYS61" s="10"/>
      <c r="TYT61" s="10"/>
      <c r="TYU61" s="10"/>
      <c r="TYV61" s="10"/>
      <c r="TYW61" s="10"/>
      <c r="TYX61" s="10"/>
      <c r="TYY61" s="10"/>
      <c r="TYZ61" s="10"/>
      <c r="TZA61" s="10"/>
      <c r="TZB61" s="10"/>
      <c r="TZC61" s="10"/>
      <c r="TZD61" s="10"/>
      <c r="TZE61" s="10"/>
      <c r="TZF61" s="10"/>
      <c r="TZG61" s="10"/>
      <c r="TZH61" s="10"/>
      <c r="TZI61" s="10"/>
      <c r="TZJ61" s="10"/>
      <c r="TZK61" s="10"/>
      <c r="TZL61" s="10"/>
      <c r="TZM61" s="10"/>
      <c r="TZN61" s="10"/>
      <c r="TZO61" s="10"/>
      <c r="TZP61" s="10"/>
      <c r="TZQ61" s="10"/>
      <c r="TZR61" s="10"/>
      <c r="TZS61" s="10"/>
      <c r="TZT61" s="10"/>
      <c r="TZU61" s="10"/>
      <c r="TZV61" s="10"/>
      <c r="TZW61" s="10"/>
      <c r="TZX61" s="10"/>
      <c r="TZY61" s="10"/>
      <c r="TZZ61" s="10"/>
      <c r="UAA61" s="10"/>
      <c r="UAB61" s="10"/>
      <c r="UAC61" s="10"/>
      <c r="UAD61" s="10"/>
      <c r="UAE61" s="10"/>
      <c r="UAF61" s="10"/>
      <c r="UAG61" s="10"/>
      <c r="UAH61" s="10"/>
      <c r="UAI61" s="10"/>
      <c r="UAJ61" s="10"/>
      <c r="UAK61" s="10"/>
      <c r="UAL61" s="10"/>
      <c r="UAM61" s="10"/>
      <c r="UAN61" s="10"/>
      <c r="UAO61" s="10"/>
      <c r="UAP61" s="10"/>
      <c r="UAQ61" s="10"/>
      <c r="UAR61" s="10"/>
      <c r="UAS61" s="10"/>
      <c r="UAT61" s="10"/>
      <c r="UAU61" s="10"/>
      <c r="UAV61" s="10"/>
      <c r="UAW61" s="10"/>
      <c r="UAX61" s="10"/>
      <c r="UAY61" s="10"/>
      <c r="UAZ61" s="10"/>
      <c r="UBA61" s="10"/>
      <c r="UBB61" s="10"/>
      <c r="UBC61" s="10"/>
      <c r="UBD61" s="10"/>
      <c r="UBE61" s="10"/>
      <c r="UBF61" s="10"/>
      <c r="UBG61" s="10"/>
      <c r="UBH61" s="10"/>
      <c r="UBI61" s="10"/>
      <c r="UBJ61" s="10"/>
      <c r="UBK61" s="10"/>
      <c r="UBL61" s="10"/>
      <c r="UBM61" s="10"/>
      <c r="UBN61" s="10"/>
      <c r="UBO61" s="10"/>
      <c r="UBP61" s="10"/>
      <c r="UBQ61" s="10"/>
      <c r="UBR61" s="10"/>
      <c r="UBS61" s="10"/>
      <c r="UBT61" s="10"/>
      <c r="UBU61" s="10"/>
      <c r="UBV61" s="10"/>
      <c r="UBW61" s="10"/>
      <c r="UBX61" s="10"/>
      <c r="UBY61" s="10"/>
      <c r="UBZ61" s="10"/>
      <c r="UCA61" s="10"/>
      <c r="UCB61" s="10"/>
      <c r="UCC61" s="10"/>
      <c r="UCD61" s="10"/>
      <c r="UCE61" s="10"/>
      <c r="UCF61" s="10"/>
      <c r="UCG61" s="10"/>
      <c r="UCH61" s="10"/>
      <c r="UCI61" s="10"/>
      <c r="UCJ61" s="10"/>
      <c r="UCK61" s="10"/>
      <c r="UCL61" s="10"/>
      <c r="UCM61" s="10"/>
      <c r="UCN61" s="10"/>
      <c r="UCO61" s="10"/>
      <c r="UCP61" s="10"/>
      <c r="UCQ61" s="10"/>
      <c r="UCR61" s="10"/>
      <c r="UCS61" s="10"/>
      <c r="UCT61" s="10"/>
      <c r="UCU61" s="10"/>
      <c r="UCV61" s="10"/>
      <c r="UCW61" s="10"/>
      <c r="UCX61" s="10"/>
      <c r="UCY61" s="10"/>
      <c r="UCZ61" s="10"/>
      <c r="UDA61" s="10"/>
      <c r="UDB61" s="10"/>
      <c r="UDC61" s="10"/>
      <c r="UDD61" s="10"/>
      <c r="UDE61" s="10"/>
      <c r="UDF61" s="10"/>
      <c r="UDG61" s="10"/>
      <c r="UDH61" s="10"/>
      <c r="UDI61" s="10"/>
      <c r="UDJ61" s="10"/>
      <c r="UDK61" s="10"/>
      <c r="UDL61" s="10"/>
      <c r="UDM61" s="10"/>
      <c r="UDN61" s="10"/>
      <c r="UDO61" s="10"/>
      <c r="UDP61" s="10"/>
      <c r="UDQ61" s="10"/>
      <c r="UDR61" s="10"/>
      <c r="UDS61" s="10"/>
      <c r="UDT61" s="10"/>
      <c r="UDU61" s="10"/>
      <c r="UDV61" s="10"/>
      <c r="UDW61" s="10"/>
      <c r="UDX61" s="10"/>
      <c r="UDY61" s="10"/>
      <c r="UDZ61" s="10"/>
      <c r="UEA61" s="10"/>
      <c r="UEB61" s="10"/>
      <c r="UEC61" s="10"/>
      <c r="UED61" s="10"/>
      <c r="UEE61" s="10"/>
      <c r="UEF61" s="10"/>
      <c r="UEG61" s="10"/>
      <c r="UEH61" s="10"/>
      <c r="UEI61" s="10"/>
      <c r="UEJ61" s="10"/>
      <c r="UEK61" s="10"/>
      <c r="UEL61" s="10"/>
      <c r="UEM61" s="10"/>
      <c r="UEN61" s="10"/>
      <c r="UEO61" s="10"/>
      <c r="UEP61" s="10"/>
      <c r="UEQ61" s="10"/>
      <c r="UER61" s="10"/>
      <c r="UES61" s="10"/>
      <c r="UET61" s="10"/>
      <c r="UEU61" s="10"/>
      <c r="UEV61" s="10"/>
      <c r="UEW61" s="10"/>
      <c r="UEX61" s="10"/>
      <c r="UEY61" s="10"/>
      <c r="UEZ61" s="10"/>
      <c r="UFA61" s="10"/>
      <c r="UFB61" s="10"/>
      <c r="UFC61" s="10"/>
      <c r="UFD61" s="10"/>
      <c r="UFE61" s="10"/>
      <c r="UFF61" s="10"/>
      <c r="UFG61" s="10"/>
      <c r="UFH61" s="10"/>
      <c r="UFI61" s="10"/>
      <c r="UFJ61" s="10"/>
      <c r="UFK61" s="10"/>
      <c r="UFL61" s="10"/>
      <c r="UFM61" s="10"/>
      <c r="UFN61" s="10"/>
      <c r="UFO61" s="10"/>
      <c r="UFP61" s="10"/>
      <c r="UFQ61" s="10"/>
      <c r="UFR61" s="10"/>
      <c r="UFS61" s="10"/>
      <c r="UFT61" s="10"/>
      <c r="UFU61" s="10"/>
      <c r="UFV61" s="10"/>
      <c r="UFW61" s="10"/>
      <c r="UFX61" s="10"/>
      <c r="UFY61" s="10"/>
      <c r="UFZ61" s="10"/>
      <c r="UGA61" s="10"/>
      <c r="UGB61" s="10"/>
      <c r="UGC61" s="10"/>
      <c r="UGD61" s="10"/>
      <c r="UGE61" s="10"/>
      <c r="UGF61" s="10"/>
      <c r="UGG61" s="10"/>
      <c r="UGH61" s="10"/>
      <c r="UGI61" s="10"/>
      <c r="UGJ61" s="10"/>
      <c r="UGK61" s="10"/>
      <c r="UGL61" s="10"/>
      <c r="UGM61" s="10"/>
      <c r="UGN61" s="10"/>
      <c r="UGO61" s="10"/>
      <c r="UGP61" s="10"/>
      <c r="UGQ61" s="10"/>
      <c r="UGR61" s="10"/>
      <c r="UGS61" s="10"/>
      <c r="UGT61" s="10"/>
      <c r="UGU61" s="10"/>
      <c r="UGV61" s="10"/>
      <c r="UGW61" s="10"/>
      <c r="UGX61" s="10"/>
      <c r="UGY61" s="10"/>
      <c r="UGZ61" s="10"/>
      <c r="UHA61" s="10"/>
      <c r="UHB61" s="10"/>
      <c r="UHC61" s="10"/>
      <c r="UHD61" s="10"/>
      <c r="UHE61" s="10"/>
      <c r="UHF61" s="10"/>
      <c r="UHG61" s="10"/>
      <c r="UHH61" s="10"/>
      <c r="UHI61" s="10"/>
      <c r="UHJ61" s="10"/>
      <c r="UHK61" s="10"/>
      <c r="UHL61" s="10"/>
      <c r="UHM61" s="10"/>
      <c r="UHN61" s="10"/>
      <c r="UHO61" s="10"/>
      <c r="UHP61" s="10"/>
      <c r="UHQ61" s="10"/>
      <c r="UHR61" s="10"/>
      <c r="UHS61" s="10"/>
      <c r="UHT61" s="10"/>
      <c r="UHU61" s="10"/>
      <c r="UHV61" s="10"/>
      <c r="UHW61" s="10"/>
      <c r="UHX61" s="10"/>
      <c r="UHY61" s="10"/>
      <c r="UHZ61" s="10"/>
      <c r="UIA61" s="10"/>
      <c r="UIB61" s="10"/>
      <c r="UIC61" s="10"/>
      <c r="UID61" s="10"/>
      <c r="UIE61" s="10"/>
      <c r="UIF61" s="10"/>
      <c r="UIG61" s="10"/>
      <c r="UIH61" s="10"/>
      <c r="UII61" s="10"/>
      <c r="UIJ61" s="10"/>
      <c r="UIK61" s="10"/>
      <c r="UIL61" s="10"/>
      <c r="UIM61" s="10"/>
      <c r="UIN61" s="10"/>
      <c r="UIO61" s="10"/>
      <c r="UIP61" s="10"/>
      <c r="UIQ61" s="10"/>
      <c r="UIR61" s="10"/>
      <c r="UIS61" s="10"/>
      <c r="UIT61" s="10"/>
      <c r="UIU61" s="10"/>
      <c r="UIV61" s="10"/>
      <c r="UIW61" s="10"/>
      <c r="UIX61" s="10"/>
      <c r="UIY61" s="10"/>
      <c r="UIZ61" s="10"/>
      <c r="UJA61" s="10"/>
      <c r="UJB61" s="10"/>
      <c r="UJC61" s="10"/>
      <c r="UJD61" s="10"/>
      <c r="UJE61" s="10"/>
      <c r="UJF61" s="10"/>
      <c r="UJG61" s="10"/>
      <c r="UJH61" s="10"/>
      <c r="UJI61" s="10"/>
      <c r="UJJ61" s="10"/>
      <c r="UJK61" s="10"/>
      <c r="UJL61" s="10"/>
      <c r="UJM61" s="10"/>
      <c r="UJN61" s="10"/>
      <c r="UJO61" s="10"/>
      <c r="UJP61" s="10"/>
      <c r="UJQ61" s="10"/>
      <c r="UJR61" s="10"/>
      <c r="UJS61" s="10"/>
      <c r="UJT61" s="10"/>
      <c r="UJU61" s="10"/>
      <c r="UJV61" s="10"/>
      <c r="UJW61" s="10"/>
      <c r="UJX61" s="10"/>
      <c r="UJY61" s="10"/>
      <c r="UJZ61" s="10"/>
      <c r="UKA61" s="10"/>
      <c r="UKB61" s="10"/>
      <c r="UKC61" s="10"/>
      <c r="UKD61" s="10"/>
      <c r="UKE61" s="10"/>
      <c r="UKF61" s="10"/>
      <c r="UKG61" s="10"/>
      <c r="UKH61" s="10"/>
      <c r="UKI61" s="10"/>
      <c r="UKJ61" s="10"/>
      <c r="UKK61" s="10"/>
      <c r="UKL61" s="10"/>
      <c r="UKM61" s="10"/>
      <c r="UKN61" s="10"/>
      <c r="UKO61" s="10"/>
      <c r="UKP61" s="10"/>
      <c r="UKQ61" s="10"/>
      <c r="UKR61" s="10"/>
      <c r="UKS61" s="10"/>
      <c r="UKT61" s="10"/>
      <c r="UKU61" s="10"/>
      <c r="UKV61" s="10"/>
      <c r="UKW61" s="10"/>
      <c r="UKX61" s="10"/>
      <c r="UKY61" s="10"/>
      <c r="UKZ61" s="10"/>
      <c r="ULA61" s="10"/>
      <c r="ULB61" s="10"/>
      <c r="ULC61" s="10"/>
      <c r="ULD61" s="10"/>
      <c r="ULE61" s="10"/>
      <c r="ULF61" s="10"/>
      <c r="ULG61" s="10"/>
      <c r="ULH61" s="10"/>
      <c r="ULI61" s="10"/>
      <c r="ULJ61" s="10"/>
      <c r="ULK61" s="10"/>
      <c r="ULL61" s="10"/>
      <c r="ULM61" s="10"/>
      <c r="ULN61" s="10"/>
      <c r="ULO61" s="10"/>
      <c r="ULP61" s="10"/>
      <c r="ULQ61" s="10"/>
      <c r="ULR61" s="10"/>
      <c r="ULS61" s="10"/>
      <c r="ULT61" s="10"/>
      <c r="ULU61" s="10"/>
      <c r="ULV61" s="10"/>
      <c r="ULW61" s="10"/>
      <c r="ULX61" s="10"/>
      <c r="ULY61" s="10"/>
      <c r="ULZ61" s="10"/>
      <c r="UMA61" s="10"/>
      <c r="UMB61" s="10"/>
      <c r="UMC61" s="10"/>
      <c r="UMD61" s="10"/>
      <c r="UME61" s="10"/>
      <c r="UMF61" s="10"/>
      <c r="UMG61" s="10"/>
      <c r="UMH61" s="10"/>
      <c r="UMI61" s="10"/>
      <c r="UMJ61" s="10"/>
      <c r="UMK61" s="10"/>
      <c r="UML61" s="10"/>
      <c r="UMM61" s="10"/>
      <c r="UMN61" s="10"/>
      <c r="UMO61" s="10"/>
      <c r="UMP61" s="10"/>
      <c r="UMQ61" s="10"/>
      <c r="UMR61" s="10"/>
      <c r="UMS61" s="10"/>
      <c r="UMT61" s="10"/>
      <c r="UMU61" s="10"/>
      <c r="UMV61" s="10"/>
      <c r="UMW61" s="10"/>
      <c r="UMX61" s="10"/>
      <c r="UMY61" s="10"/>
      <c r="UMZ61" s="10"/>
      <c r="UNA61" s="10"/>
      <c r="UNB61" s="10"/>
      <c r="UNC61" s="10"/>
      <c r="UND61" s="10"/>
      <c r="UNE61" s="10"/>
      <c r="UNF61" s="10"/>
      <c r="UNG61" s="10"/>
      <c r="UNH61" s="10"/>
      <c r="UNI61" s="10"/>
      <c r="UNJ61" s="10"/>
      <c r="UNK61" s="10"/>
      <c r="UNL61" s="10"/>
      <c r="UNM61" s="10"/>
      <c r="UNN61" s="10"/>
      <c r="UNO61" s="10"/>
      <c r="UNP61" s="10"/>
      <c r="UNQ61" s="10"/>
      <c r="UNR61" s="10"/>
      <c r="UNS61" s="10"/>
      <c r="UNT61" s="10"/>
      <c r="UNU61" s="10"/>
      <c r="UNV61" s="10"/>
      <c r="UNW61" s="10"/>
      <c r="UNX61" s="10"/>
      <c r="UNY61" s="10"/>
      <c r="UNZ61" s="10"/>
      <c r="UOA61" s="10"/>
      <c r="UOB61" s="10"/>
      <c r="UOC61" s="10"/>
      <c r="UOD61" s="10"/>
      <c r="UOE61" s="10"/>
      <c r="UOF61" s="10"/>
      <c r="UOG61" s="10"/>
      <c r="UOH61" s="10"/>
      <c r="UOI61" s="10"/>
      <c r="UOJ61" s="10"/>
      <c r="UOK61" s="10"/>
      <c r="UOL61" s="10"/>
      <c r="UOM61" s="10"/>
      <c r="UON61" s="10"/>
      <c r="UOO61" s="10"/>
      <c r="UOP61" s="10"/>
      <c r="UOQ61" s="10"/>
      <c r="UOR61" s="10"/>
      <c r="UOS61" s="10"/>
      <c r="UOT61" s="10"/>
      <c r="UOU61" s="10"/>
      <c r="UOV61" s="10"/>
      <c r="UOW61" s="10"/>
      <c r="UOX61" s="10"/>
      <c r="UOY61" s="10"/>
      <c r="UOZ61" s="10"/>
      <c r="UPA61" s="10"/>
      <c r="UPB61" s="10"/>
      <c r="UPC61" s="10"/>
      <c r="UPD61" s="10"/>
      <c r="UPE61" s="10"/>
      <c r="UPF61" s="10"/>
      <c r="UPG61" s="10"/>
      <c r="UPH61" s="10"/>
      <c r="UPI61" s="10"/>
      <c r="UPJ61" s="10"/>
      <c r="UPK61" s="10"/>
      <c r="UPL61" s="10"/>
      <c r="UPM61" s="10"/>
      <c r="UPN61" s="10"/>
      <c r="UPO61" s="10"/>
      <c r="UPP61" s="10"/>
      <c r="UPQ61" s="10"/>
      <c r="UPR61" s="10"/>
      <c r="UPS61" s="10"/>
      <c r="UPT61" s="10"/>
      <c r="UPU61" s="10"/>
      <c r="UPV61" s="10"/>
      <c r="UPW61" s="10"/>
      <c r="UPX61" s="10"/>
      <c r="UPY61" s="10"/>
      <c r="UPZ61" s="10"/>
      <c r="UQA61" s="10"/>
      <c r="UQB61" s="10"/>
      <c r="UQC61" s="10"/>
      <c r="UQD61" s="10"/>
      <c r="UQE61" s="10"/>
      <c r="UQF61" s="10"/>
      <c r="UQG61" s="10"/>
      <c r="UQH61" s="10"/>
      <c r="UQI61" s="10"/>
      <c r="UQJ61" s="10"/>
      <c r="UQK61" s="10"/>
      <c r="UQL61" s="10"/>
      <c r="UQM61" s="10"/>
      <c r="UQN61" s="10"/>
      <c r="UQO61" s="10"/>
      <c r="UQP61" s="10"/>
      <c r="UQQ61" s="10"/>
      <c r="UQR61" s="10"/>
      <c r="UQS61" s="10"/>
      <c r="UQT61" s="10"/>
      <c r="UQU61" s="10"/>
      <c r="UQV61" s="10"/>
      <c r="UQW61" s="10"/>
      <c r="UQX61" s="10"/>
      <c r="UQY61" s="10"/>
      <c r="UQZ61" s="10"/>
      <c r="URA61" s="10"/>
      <c r="URB61" s="10"/>
      <c r="URC61" s="10"/>
      <c r="URD61" s="10"/>
      <c r="URE61" s="10"/>
      <c r="URF61" s="10"/>
      <c r="URG61" s="10"/>
      <c r="URH61" s="10"/>
      <c r="URI61" s="10"/>
      <c r="URJ61" s="10"/>
      <c r="URK61" s="10"/>
      <c r="URL61" s="10"/>
      <c r="URM61" s="10"/>
      <c r="URN61" s="10"/>
      <c r="URO61" s="10"/>
      <c r="URP61" s="10"/>
      <c r="URQ61" s="10"/>
      <c r="URR61" s="10"/>
      <c r="URS61" s="10"/>
      <c r="URT61" s="10"/>
      <c r="URU61" s="10"/>
      <c r="URV61" s="10"/>
      <c r="URW61" s="10"/>
      <c r="URX61" s="10"/>
      <c r="URY61" s="10"/>
      <c r="URZ61" s="10"/>
      <c r="USA61" s="10"/>
      <c r="USB61" s="10"/>
      <c r="USC61" s="10"/>
      <c r="USD61" s="10"/>
      <c r="USE61" s="10"/>
      <c r="USF61" s="10"/>
      <c r="USG61" s="10"/>
      <c r="USH61" s="10"/>
      <c r="USI61" s="10"/>
      <c r="USJ61" s="10"/>
      <c r="USK61" s="10"/>
      <c r="USL61" s="10"/>
      <c r="USM61" s="10"/>
      <c r="USN61" s="10"/>
      <c r="USO61" s="10"/>
      <c r="USP61" s="10"/>
      <c r="USQ61" s="10"/>
      <c r="USR61" s="10"/>
      <c r="USS61" s="10"/>
      <c r="UST61" s="10"/>
      <c r="USU61" s="10"/>
      <c r="USV61" s="10"/>
      <c r="USW61" s="10"/>
      <c r="USX61" s="10"/>
      <c r="USY61" s="10"/>
      <c r="USZ61" s="10"/>
      <c r="UTA61" s="10"/>
      <c r="UTB61" s="10"/>
      <c r="UTC61" s="10"/>
      <c r="UTD61" s="10"/>
      <c r="UTE61" s="10"/>
      <c r="UTF61" s="10"/>
      <c r="UTG61" s="10"/>
      <c r="UTH61" s="10"/>
      <c r="UTI61" s="10"/>
      <c r="UTJ61" s="10"/>
      <c r="UTK61" s="10"/>
      <c r="UTL61" s="10"/>
      <c r="UTM61" s="10"/>
      <c r="UTN61" s="10"/>
      <c r="UTO61" s="10"/>
      <c r="UTP61" s="10"/>
      <c r="UTQ61" s="10"/>
      <c r="UTR61" s="10"/>
      <c r="UTS61" s="10"/>
      <c r="UTT61" s="10"/>
      <c r="UTU61" s="10"/>
      <c r="UTV61" s="10"/>
      <c r="UTW61" s="10"/>
      <c r="UTX61" s="10"/>
      <c r="UTY61" s="10"/>
      <c r="UTZ61" s="10"/>
      <c r="UUA61" s="10"/>
      <c r="UUB61" s="10"/>
      <c r="UUC61" s="10"/>
      <c r="UUD61" s="10"/>
      <c r="UUE61" s="10"/>
      <c r="UUF61" s="10"/>
      <c r="UUG61" s="10"/>
      <c r="UUH61" s="10"/>
      <c r="UUI61" s="10"/>
      <c r="UUJ61" s="10"/>
      <c r="UUK61" s="10"/>
      <c r="UUL61" s="10"/>
      <c r="UUM61" s="10"/>
      <c r="UUN61" s="10"/>
      <c r="UUO61" s="10"/>
      <c r="UUP61" s="10"/>
      <c r="UUQ61" s="10"/>
      <c r="UUR61" s="10"/>
      <c r="UUS61" s="10"/>
      <c r="UUT61" s="10"/>
      <c r="UUU61" s="10"/>
      <c r="UUV61" s="10"/>
      <c r="UUW61" s="10"/>
      <c r="UUX61" s="10"/>
      <c r="UUY61" s="10"/>
      <c r="UUZ61" s="10"/>
      <c r="UVA61" s="10"/>
      <c r="UVB61" s="10"/>
      <c r="UVC61" s="10"/>
      <c r="UVD61" s="10"/>
      <c r="UVE61" s="10"/>
      <c r="UVF61" s="10"/>
      <c r="UVG61" s="10"/>
      <c r="UVH61" s="10"/>
      <c r="UVI61" s="10"/>
      <c r="UVJ61" s="10"/>
      <c r="UVK61" s="10"/>
      <c r="UVL61" s="10"/>
      <c r="UVM61" s="10"/>
      <c r="UVN61" s="10"/>
      <c r="UVO61" s="10"/>
      <c r="UVP61" s="10"/>
      <c r="UVQ61" s="10"/>
      <c r="UVR61" s="10"/>
      <c r="UVS61" s="10"/>
      <c r="UVT61" s="10"/>
      <c r="UVU61" s="10"/>
      <c r="UVV61" s="10"/>
      <c r="UVW61" s="10"/>
      <c r="UVX61" s="10"/>
      <c r="UVY61" s="10"/>
      <c r="UVZ61" s="10"/>
      <c r="UWA61" s="10"/>
      <c r="UWB61" s="10"/>
      <c r="UWC61" s="10"/>
      <c r="UWD61" s="10"/>
      <c r="UWE61" s="10"/>
      <c r="UWF61" s="10"/>
      <c r="UWG61" s="10"/>
      <c r="UWH61" s="10"/>
      <c r="UWI61" s="10"/>
      <c r="UWJ61" s="10"/>
      <c r="UWK61" s="10"/>
      <c r="UWL61" s="10"/>
      <c r="UWM61" s="10"/>
      <c r="UWN61" s="10"/>
      <c r="UWO61" s="10"/>
      <c r="UWP61" s="10"/>
      <c r="UWQ61" s="10"/>
      <c r="UWR61" s="10"/>
      <c r="UWS61" s="10"/>
      <c r="UWT61" s="10"/>
      <c r="UWU61" s="10"/>
      <c r="UWV61" s="10"/>
      <c r="UWW61" s="10"/>
      <c r="UWX61" s="10"/>
      <c r="UWY61" s="10"/>
      <c r="UWZ61" s="10"/>
      <c r="UXA61" s="10"/>
      <c r="UXB61" s="10"/>
      <c r="UXC61" s="10"/>
      <c r="UXD61" s="10"/>
      <c r="UXE61" s="10"/>
      <c r="UXF61" s="10"/>
      <c r="UXG61" s="10"/>
      <c r="UXH61" s="10"/>
      <c r="UXI61" s="10"/>
      <c r="UXJ61" s="10"/>
      <c r="UXK61" s="10"/>
      <c r="UXL61" s="10"/>
      <c r="UXM61" s="10"/>
      <c r="UXN61" s="10"/>
      <c r="UXO61" s="10"/>
      <c r="UXP61" s="10"/>
      <c r="UXQ61" s="10"/>
      <c r="UXR61" s="10"/>
      <c r="UXS61" s="10"/>
      <c r="UXT61" s="10"/>
      <c r="UXU61" s="10"/>
      <c r="UXV61" s="10"/>
      <c r="UXW61" s="10"/>
      <c r="UXX61" s="10"/>
      <c r="UXY61" s="10"/>
      <c r="UXZ61" s="10"/>
      <c r="UYA61" s="10"/>
      <c r="UYB61" s="10"/>
      <c r="UYC61" s="10"/>
      <c r="UYD61" s="10"/>
      <c r="UYE61" s="10"/>
      <c r="UYF61" s="10"/>
      <c r="UYG61" s="10"/>
      <c r="UYH61" s="10"/>
      <c r="UYI61" s="10"/>
      <c r="UYJ61" s="10"/>
      <c r="UYK61" s="10"/>
      <c r="UYL61" s="10"/>
      <c r="UYM61" s="10"/>
      <c r="UYN61" s="10"/>
      <c r="UYO61" s="10"/>
      <c r="UYP61" s="10"/>
      <c r="UYQ61" s="10"/>
      <c r="UYR61" s="10"/>
      <c r="UYS61" s="10"/>
      <c r="UYT61" s="10"/>
      <c r="UYU61" s="10"/>
      <c r="UYV61" s="10"/>
      <c r="UYW61" s="10"/>
      <c r="UYX61" s="10"/>
      <c r="UYY61" s="10"/>
      <c r="UYZ61" s="10"/>
      <c r="UZA61" s="10"/>
      <c r="UZB61" s="10"/>
      <c r="UZC61" s="10"/>
      <c r="UZD61" s="10"/>
      <c r="UZE61" s="10"/>
      <c r="UZF61" s="10"/>
      <c r="UZG61" s="10"/>
      <c r="UZH61" s="10"/>
      <c r="UZI61" s="10"/>
      <c r="UZJ61" s="10"/>
      <c r="UZK61" s="10"/>
      <c r="UZL61" s="10"/>
      <c r="UZM61" s="10"/>
      <c r="UZN61" s="10"/>
      <c r="UZO61" s="10"/>
      <c r="UZP61" s="10"/>
      <c r="UZQ61" s="10"/>
      <c r="UZR61" s="10"/>
      <c r="UZS61" s="10"/>
      <c r="UZT61" s="10"/>
      <c r="UZU61" s="10"/>
      <c r="UZV61" s="10"/>
      <c r="UZW61" s="10"/>
      <c r="UZX61" s="10"/>
      <c r="UZY61" s="10"/>
      <c r="UZZ61" s="10"/>
      <c r="VAA61" s="10"/>
      <c r="VAB61" s="10"/>
      <c r="VAC61" s="10"/>
      <c r="VAD61" s="10"/>
      <c r="VAE61" s="10"/>
      <c r="VAF61" s="10"/>
      <c r="VAG61" s="10"/>
      <c r="VAH61" s="10"/>
      <c r="VAI61" s="10"/>
      <c r="VAJ61" s="10"/>
      <c r="VAK61" s="10"/>
      <c r="VAL61" s="10"/>
      <c r="VAM61" s="10"/>
      <c r="VAN61" s="10"/>
      <c r="VAO61" s="10"/>
      <c r="VAP61" s="10"/>
      <c r="VAQ61" s="10"/>
      <c r="VAR61" s="10"/>
      <c r="VAS61" s="10"/>
      <c r="VAT61" s="10"/>
      <c r="VAU61" s="10"/>
      <c r="VAV61" s="10"/>
      <c r="VAW61" s="10"/>
      <c r="VAX61" s="10"/>
      <c r="VAY61" s="10"/>
      <c r="VAZ61" s="10"/>
      <c r="VBA61" s="10"/>
      <c r="VBB61" s="10"/>
      <c r="VBC61" s="10"/>
      <c r="VBD61" s="10"/>
      <c r="VBE61" s="10"/>
      <c r="VBF61" s="10"/>
      <c r="VBG61" s="10"/>
      <c r="VBH61" s="10"/>
      <c r="VBI61" s="10"/>
      <c r="VBJ61" s="10"/>
      <c r="VBK61" s="10"/>
      <c r="VBL61" s="10"/>
      <c r="VBM61" s="10"/>
      <c r="VBN61" s="10"/>
      <c r="VBO61" s="10"/>
      <c r="VBP61" s="10"/>
      <c r="VBQ61" s="10"/>
      <c r="VBR61" s="10"/>
      <c r="VBS61" s="10"/>
      <c r="VBT61" s="10"/>
      <c r="VBU61" s="10"/>
      <c r="VBV61" s="10"/>
      <c r="VBW61" s="10"/>
      <c r="VBX61" s="10"/>
      <c r="VBY61" s="10"/>
      <c r="VBZ61" s="10"/>
      <c r="VCA61" s="10"/>
      <c r="VCB61" s="10"/>
      <c r="VCC61" s="10"/>
      <c r="VCD61" s="10"/>
      <c r="VCE61" s="10"/>
      <c r="VCF61" s="10"/>
      <c r="VCG61" s="10"/>
      <c r="VCH61" s="10"/>
      <c r="VCI61" s="10"/>
      <c r="VCJ61" s="10"/>
      <c r="VCK61" s="10"/>
      <c r="VCL61" s="10"/>
      <c r="VCM61" s="10"/>
      <c r="VCN61" s="10"/>
      <c r="VCO61" s="10"/>
      <c r="VCP61" s="10"/>
      <c r="VCQ61" s="10"/>
      <c r="VCR61" s="10"/>
      <c r="VCS61" s="10"/>
      <c r="VCT61" s="10"/>
      <c r="VCU61" s="10"/>
      <c r="VCV61" s="10"/>
      <c r="VCW61" s="10"/>
      <c r="VCX61" s="10"/>
      <c r="VCY61" s="10"/>
      <c r="VCZ61" s="10"/>
      <c r="VDA61" s="10"/>
      <c r="VDB61" s="10"/>
      <c r="VDC61" s="10"/>
      <c r="VDD61" s="10"/>
      <c r="VDE61" s="10"/>
      <c r="VDF61" s="10"/>
      <c r="VDG61" s="10"/>
      <c r="VDH61" s="10"/>
      <c r="VDI61" s="10"/>
      <c r="VDJ61" s="10"/>
      <c r="VDK61" s="10"/>
      <c r="VDL61" s="10"/>
      <c r="VDM61" s="10"/>
      <c r="VDN61" s="10"/>
      <c r="VDO61" s="10"/>
      <c r="VDP61" s="10"/>
      <c r="VDQ61" s="10"/>
      <c r="VDR61" s="10"/>
      <c r="VDS61" s="10"/>
      <c r="VDT61" s="10"/>
      <c r="VDU61" s="10"/>
      <c r="VDV61" s="10"/>
      <c r="VDW61" s="10"/>
      <c r="VDX61" s="10"/>
      <c r="VDY61" s="10"/>
      <c r="VDZ61" s="10"/>
      <c r="VEA61" s="10"/>
      <c r="VEB61" s="10"/>
      <c r="VEC61" s="10"/>
      <c r="VED61" s="10"/>
      <c r="VEE61" s="10"/>
      <c r="VEF61" s="10"/>
      <c r="VEG61" s="10"/>
      <c r="VEH61" s="10"/>
      <c r="VEI61" s="10"/>
      <c r="VEJ61" s="10"/>
      <c r="VEK61" s="10"/>
      <c r="VEL61" s="10"/>
      <c r="VEM61" s="10"/>
      <c r="VEN61" s="10"/>
      <c r="VEO61" s="10"/>
      <c r="VEP61" s="10"/>
      <c r="VEQ61" s="10"/>
      <c r="VER61" s="10"/>
      <c r="VES61" s="10"/>
      <c r="VET61" s="10"/>
      <c r="VEU61" s="10"/>
      <c r="VEV61" s="10"/>
      <c r="VEW61" s="10"/>
      <c r="VEX61" s="10"/>
      <c r="VEY61" s="10"/>
      <c r="VEZ61" s="10"/>
      <c r="VFA61" s="10"/>
      <c r="VFB61" s="10"/>
      <c r="VFC61" s="10"/>
      <c r="VFD61" s="10"/>
      <c r="VFE61" s="10"/>
      <c r="VFF61" s="10"/>
      <c r="VFG61" s="10"/>
      <c r="VFH61" s="10"/>
      <c r="VFI61" s="10"/>
      <c r="VFJ61" s="10"/>
      <c r="VFK61" s="10"/>
      <c r="VFL61" s="10"/>
      <c r="VFM61" s="10"/>
      <c r="VFN61" s="10"/>
      <c r="VFO61" s="10"/>
      <c r="VFP61" s="10"/>
      <c r="VFQ61" s="10"/>
      <c r="VFR61" s="10"/>
      <c r="VFS61" s="10"/>
      <c r="VFT61" s="10"/>
      <c r="VFU61" s="10"/>
      <c r="VFV61" s="10"/>
      <c r="VFW61" s="10"/>
      <c r="VFX61" s="10"/>
      <c r="VFY61" s="10"/>
      <c r="VFZ61" s="10"/>
      <c r="VGA61" s="10"/>
      <c r="VGB61" s="10"/>
      <c r="VGC61" s="10"/>
      <c r="VGD61" s="10"/>
      <c r="VGE61" s="10"/>
      <c r="VGF61" s="10"/>
      <c r="VGG61" s="10"/>
      <c r="VGH61" s="10"/>
      <c r="VGI61" s="10"/>
      <c r="VGJ61" s="10"/>
      <c r="VGK61" s="10"/>
      <c r="VGL61" s="10"/>
      <c r="VGM61" s="10"/>
      <c r="VGN61" s="10"/>
      <c r="VGO61" s="10"/>
      <c r="VGP61" s="10"/>
      <c r="VGQ61" s="10"/>
      <c r="VGR61" s="10"/>
      <c r="VGS61" s="10"/>
      <c r="VGT61" s="10"/>
      <c r="VGU61" s="10"/>
      <c r="VGV61" s="10"/>
      <c r="VGW61" s="10"/>
      <c r="VGX61" s="10"/>
      <c r="VGY61" s="10"/>
      <c r="VGZ61" s="10"/>
      <c r="VHA61" s="10"/>
      <c r="VHB61" s="10"/>
      <c r="VHC61" s="10"/>
      <c r="VHD61" s="10"/>
      <c r="VHE61" s="10"/>
      <c r="VHF61" s="10"/>
      <c r="VHG61" s="10"/>
      <c r="VHH61" s="10"/>
      <c r="VHI61" s="10"/>
      <c r="VHJ61" s="10"/>
      <c r="VHK61" s="10"/>
      <c r="VHL61" s="10"/>
      <c r="VHM61" s="10"/>
      <c r="VHN61" s="10"/>
      <c r="VHO61" s="10"/>
      <c r="VHP61" s="10"/>
      <c r="VHQ61" s="10"/>
      <c r="VHR61" s="10"/>
      <c r="VHS61" s="10"/>
      <c r="VHT61" s="10"/>
      <c r="VHU61" s="10"/>
      <c r="VHV61" s="10"/>
      <c r="VHW61" s="10"/>
      <c r="VHX61" s="10"/>
      <c r="VHY61" s="10"/>
      <c r="VHZ61" s="10"/>
      <c r="VIA61" s="10"/>
      <c r="VIB61" s="10"/>
      <c r="VIC61" s="10"/>
      <c r="VID61" s="10"/>
      <c r="VIE61" s="10"/>
      <c r="VIF61" s="10"/>
      <c r="VIG61" s="10"/>
      <c r="VIH61" s="10"/>
      <c r="VII61" s="10"/>
      <c r="VIJ61" s="10"/>
      <c r="VIK61" s="10"/>
      <c r="VIL61" s="10"/>
      <c r="VIM61" s="10"/>
      <c r="VIN61" s="10"/>
      <c r="VIO61" s="10"/>
      <c r="VIP61" s="10"/>
      <c r="VIQ61" s="10"/>
      <c r="VIR61" s="10"/>
      <c r="VIS61" s="10"/>
      <c r="VIT61" s="10"/>
      <c r="VIU61" s="10"/>
      <c r="VIV61" s="10"/>
      <c r="VIW61" s="10"/>
      <c r="VIX61" s="10"/>
      <c r="VIY61" s="10"/>
      <c r="VIZ61" s="10"/>
      <c r="VJA61" s="10"/>
      <c r="VJB61" s="10"/>
      <c r="VJC61" s="10"/>
      <c r="VJD61" s="10"/>
      <c r="VJE61" s="10"/>
      <c r="VJF61" s="10"/>
      <c r="VJG61" s="10"/>
      <c r="VJH61" s="10"/>
      <c r="VJI61" s="10"/>
      <c r="VJJ61" s="10"/>
      <c r="VJK61" s="10"/>
      <c r="VJL61" s="10"/>
      <c r="VJM61" s="10"/>
      <c r="VJN61" s="10"/>
      <c r="VJO61" s="10"/>
      <c r="VJP61" s="10"/>
      <c r="VJQ61" s="10"/>
      <c r="VJR61" s="10"/>
      <c r="VJS61" s="10"/>
      <c r="VJT61" s="10"/>
      <c r="VJU61" s="10"/>
      <c r="VJV61" s="10"/>
      <c r="VJW61" s="10"/>
      <c r="VJX61" s="10"/>
      <c r="VJY61" s="10"/>
      <c r="VJZ61" s="10"/>
      <c r="VKA61" s="10"/>
      <c r="VKB61" s="10"/>
      <c r="VKC61" s="10"/>
      <c r="VKD61" s="10"/>
      <c r="VKE61" s="10"/>
      <c r="VKF61" s="10"/>
      <c r="VKG61" s="10"/>
      <c r="VKH61" s="10"/>
      <c r="VKI61" s="10"/>
      <c r="VKJ61" s="10"/>
      <c r="VKK61" s="10"/>
      <c r="VKL61" s="10"/>
      <c r="VKM61" s="10"/>
      <c r="VKN61" s="10"/>
      <c r="VKO61" s="10"/>
      <c r="VKP61" s="10"/>
      <c r="VKQ61" s="10"/>
      <c r="VKR61" s="10"/>
      <c r="VKS61" s="10"/>
      <c r="VKT61" s="10"/>
      <c r="VKU61" s="10"/>
      <c r="VKV61" s="10"/>
      <c r="VKW61" s="10"/>
      <c r="VKX61" s="10"/>
      <c r="VKY61" s="10"/>
      <c r="VKZ61" s="10"/>
      <c r="VLA61" s="10"/>
      <c r="VLB61" s="10"/>
      <c r="VLC61" s="10"/>
      <c r="VLD61" s="10"/>
      <c r="VLE61" s="10"/>
      <c r="VLF61" s="10"/>
      <c r="VLG61" s="10"/>
      <c r="VLH61" s="10"/>
      <c r="VLI61" s="10"/>
      <c r="VLJ61" s="10"/>
      <c r="VLK61" s="10"/>
      <c r="VLL61" s="10"/>
      <c r="VLM61" s="10"/>
      <c r="VLN61" s="10"/>
      <c r="VLO61" s="10"/>
      <c r="VLP61" s="10"/>
      <c r="VLQ61" s="10"/>
      <c r="VLR61" s="10"/>
      <c r="VLS61" s="10"/>
      <c r="VLT61" s="10"/>
      <c r="VLU61" s="10"/>
      <c r="VLV61" s="10"/>
      <c r="VLW61" s="10"/>
      <c r="VLX61" s="10"/>
      <c r="VLY61" s="10"/>
      <c r="VLZ61" s="10"/>
      <c r="VMA61" s="10"/>
      <c r="VMB61" s="10"/>
      <c r="VMC61" s="10"/>
      <c r="VMD61" s="10"/>
      <c r="VME61" s="10"/>
      <c r="VMF61" s="10"/>
      <c r="VMG61" s="10"/>
      <c r="VMH61" s="10"/>
      <c r="VMI61" s="10"/>
      <c r="VMJ61" s="10"/>
      <c r="VMK61" s="10"/>
      <c r="VML61" s="10"/>
      <c r="VMM61" s="10"/>
      <c r="VMN61" s="10"/>
      <c r="VMO61" s="10"/>
      <c r="VMP61" s="10"/>
      <c r="VMQ61" s="10"/>
      <c r="VMR61" s="10"/>
      <c r="VMS61" s="10"/>
      <c r="VMT61" s="10"/>
      <c r="VMU61" s="10"/>
      <c r="VMV61" s="10"/>
      <c r="VMW61" s="10"/>
      <c r="VMX61" s="10"/>
      <c r="VMY61" s="10"/>
      <c r="VMZ61" s="10"/>
      <c r="VNA61" s="10"/>
      <c r="VNB61" s="10"/>
      <c r="VNC61" s="10"/>
      <c r="VND61" s="10"/>
      <c r="VNE61" s="10"/>
      <c r="VNF61" s="10"/>
      <c r="VNG61" s="10"/>
      <c r="VNH61" s="10"/>
      <c r="VNI61" s="10"/>
      <c r="VNJ61" s="10"/>
      <c r="VNK61" s="10"/>
      <c r="VNL61" s="10"/>
      <c r="VNM61" s="10"/>
      <c r="VNN61" s="10"/>
      <c r="VNO61" s="10"/>
      <c r="VNP61" s="10"/>
      <c r="VNQ61" s="10"/>
      <c r="VNR61" s="10"/>
      <c r="VNS61" s="10"/>
      <c r="VNT61" s="10"/>
      <c r="VNU61" s="10"/>
      <c r="VNV61" s="10"/>
      <c r="VNW61" s="10"/>
      <c r="VNX61" s="10"/>
      <c r="VNY61" s="10"/>
      <c r="VNZ61" s="10"/>
      <c r="VOA61" s="10"/>
      <c r="VOB61" s="10"/>
      <c r="VOC61" s="10"/>
      <c r="VOD61" s="10"/>
      <c r="VOE61" s="10"/>
      <c r="VOF61" s="10"/>
      <c r="VOG61" s="10"/>
      <c r="VOH61" s="10"/>
      <c r="VOI61" s="10"/>
      <c r="VOJ61" s="10"/>
      <c r="VOK61" s="10"/>
      <c r="VOL61" s="10"/>
      <c r="VOM61" s="10"/>
      <c r="VON61" s="10"/>
      <c r="VOO61" s="10"/>
      <c r="VOP61" s="10"/>
      <c r="VOQ61" s="10"/>
      <c r="VOR61" s="10"/>
      <c r="VOS61" s="10"/>
      <c r="VOT61" s="10"/>
      <c r="VOU61" s="10"/>
      <c r="VOV61" s="10"/>
      <c r="VOW61" s="10"/>
      <c r="VOX61" s="10"/>
      <c r="VOY61" s="10"/>
      <c r="VOZ61" s="10"/>
      <c r="VPA61" s="10"/>
      <c r="VPB61" s="10"/>
      <c r="VPC61" s="10"/>
      <c r="VPD61" s="10"/>
      <c r="VPE61" s="10"/>
      <c r="VPF61" s="10"/>
      <c r="VPG61" s="10"/>
      <c r="VPH61" s="10"/>
      <c r="VPI61" s="10"/>
      <c r="VPJ61" s="10"/>
      <c r="VPK61" s="10"/>
      <c r="VPL61" s="10"/>
      <c r="VPM61" s="10"/>
      <c r="VPN61" s="10"/>
      <c r="VPO61" s="10"/>
      <c r="VPP61" s="10"/>
      <c r="VPQ61" s="10"/>
      <c r="VPR61" s="10"/>
      <c r="VPS61" s="10"/>
      <c r="VPT61" s="10"/>
      <c r="VPU61" s="10"/>
      <c r="VPV61" s="10"/>
      <c r="VPW61" s="10"/>
      <c r="VPX61" s="10"/>
      <c r="VPY61" s="10"/>
      <c r="VPZ61" s="10"/>
      <c r="VQA61" s="10"/>
      <c r="VQB61" s="10"/>
      <c r="VQC61" s="10"/>
      <c r="VQD61" s="10"/>
      <c r="VQE61" s="10"/>
      <c r="VQF61" s="10"/>
      <c r="VQG61" s="10"/>
      <c r="VQH61" s="10"/>
      <c r="VQI61" s="10"/>
      <c r="VQJ61" s="10"/>
      <c r="VQK61" s="10"/>
      <c r="VQL61" s="10"/>
      <c r="VQM61" s="10"/>
      <c r="VQN61" s="10"/>
      <c r="VQO61" s="10"/>
      <c r="VQP61" s="10"/>
      <c r="VQQ61" s="10"/>
      <c r="VQR61" s="10"/>
      <c r="VQS61" s="10"/>
      <c r="VQT61" s="10"/>
      <c r="VQU61" s="10"/>
      <c r="VQV61" s="10"/>
      <c r="VQW61" s="10"/>
      <c r="VQX61" s="10"/>
      <c r="VQY61" s="10"/>
      <c r="VQZ61" s="10"/>
      <c r="VRA61" s="10"/>
      <c r="VRB61" s="10"/>
      <c r="VRC61" s="10"/>
      <c r="VRD61" s="10"/>
      <c r="VRE61" s="10"/>
      <c r="VRF61" s="10"/>
      <c r="VRG61" s="10"/>
      <c r="VRH61" s="10"/>
      <c r="VRI61" s="10"/>
      <c r="VRJ61" s="10"/>
      <c r="VRK61" s="10"/>
      <c r="VRL61" s="10"/>
      <c r="VRM61" s="10"/>
      <c r="VRN61" s="10"/>
      <c r="VRO61" s="10"/>
      <c r="VRP61" s="10"/>
      <c r="VRQ61" s="10"/>
      <c r="VRR61" s="10"/>
      <c r="VRS61" s="10"/>
      <c r="VRT61" s="10"/>
      <c r="VRU61" s="10"/>
      <c r="VRV61" s="10"/>
      <c r="VRW61" s="10"/>
      <c r="VRX61" s="10"/>
      <c r="VRY61" s="10"/>
      <c r="VRZ61" s="10"/>
      <c r="VSA61" s="10"/>
      <c r="VSB61" s="10"/>
      <c r="VSC61" s="10"/>
      <c r="VSD61" s="10"/>
      <c r="VSE61" s="10"/>
      <c r="VSF61" s="10"/>
      <c r="VSG61" s="10"/>
      <c r="VSH61" s="10"/>
      <c r="VSI61" s="10"/>
      <c r="VSJ61" s="10"/>
      <c r="VSK61" s="10"/>
      <c r="VSL61" s="10"/>
      <c r="VSM61" s="10"/>
      <c r="VSN61" s="10"/>
      <c r="VSO61" s="10"/>
      <c r="VSP61" s="10"/>
      <c r="VSQ61" s="10"/>
      <c r="VSR61" s="10"/>
      <c r="VSS61" s="10"/>
      <c r="VST61" s="10"/>
      <c r="VSU61" s="10"/>
      <c r="VSV61" s="10"/>
      <c r="VSW61" s="10"/>
      <c r="VSX61" s="10"/>
      <c r="VSY61" s="10"/>
      <c r="VSZ61" s="10"/>
      <c r="VTA61" s="10"/>
      <c r="VTB61" s="10"/>
      <c r="VTC61" s="10"/>
      <c r="VTD61" s="10"/>
      <c r="VTE61" s="10"/>
      <c r="VTF61" s="10"/>
      <c r="VTG61" s="10"/>
      <c r="VTH61" s="10"/>
      <c r="VTI61" s="10"/>
      <c r="VTJ61" s="10"/>
      <c r="VTK61" s="10"/>
      <c r="VTL61" s="10"/>
      <c r="VTM61" s="10"/>
      <c r="VTN61" s="10"/>
      <c r="VTO61" s="10"/>
      <c r="VTP61" s="10"/>
      <c r="VTQ61" s="10"/>
      <c r="VTR61" s="10"/>
      <c r="VTS61" s="10"/>
      <c r="VTT61" s="10"/>
      <c r="VTU61" s="10"/>
      <c r="VTV61" s="10"/>
      <c r="VTW61" s="10"/>
      <c r="VTX61" s="10"/>
      <c r="VTY61" s="10"/>
      <c r="VTZ61" s="10"/>
      <c r="VUA61" s="10"/>
      <c r="VUB61" s="10"/>
      <c r="VUC61" s="10"/>
      <c r="VUD61" s="10"/>
      <c r="VUE61" s="10"/>
      <c r="VUF61" s="10"/>
      <c r="VUG61" s="10"/>
      <c r="VUH61" s="10"/>
      <c r="VUI61" s="10"/>
      <c r="VUJ61" s="10"/>
      <c r="VUK61" s="10"/>
      <c r="VUL61" s="10"/>
      <c r="VUM61" s="10"/>
      <c r="VUN61" s="10"/>
      <c r="VUO61" s="10"/>
      <c r="VUP61" s="10"/>
      <c r="VUQ61" s="10"/>
      <c r="VUR61" s="10"/>
      <c r="VUS61" s="10"/>
      <c r="VUT61" s="10"/>
      <c r="VUU61" s="10"/>
      <c r="VUV61" s="10"/>
      <c r="VUW61" s="10"/>
      <c r="VUX61" s="10"/>
      <c r="VUY61" s="10"/>
      <c r="VUZ61" s="10"/>
      <c r="VVA61" s="10"/>
      <c r="VVB61" s="10"/>
      <c r="VVC61" s="10"/>
      <c r="VVD61" s="10"/>
      <c r="VVE61" s="10"/>
      <c r="VVF61" s="10"/>
      <c r="VVG61" s="10"/>
      <c r="VVH61" s="10"/>
      <c r="VVI61" s="10"/>
      <c r="VVJ61" s="10"/>
      <c r="VVK61" s="10"/>
      <c r="VVL61" s="10"/>
      <c r="VVM61" s="10"/>
      <c r="VVN61" s="10"/>
      <c r="VVO61" s="10"/>
      <c r="VVP61" s="10"/>
      <c r="VVQ61" s="10"/>
      <c r="VVR61" s="10"/>
      <c r="VVS61" s="10"/>
      <c r="VVT61" s="10"/>
      <c r="VVU61" s="10"/>
      <c r="VVV61" s="10"/>
      <c r="VVW61" s="10"/>
      <c r="VVX61" s="10"/>
      <c r="VVY61" s="10"/>
      <c r="VVZ61" s="10"/>
      <c r="VWA61" s="10"/>
      <c r="VWB61" s="10"/>
      <c r="VWC61" s="10"/>
      <c r="VWD61" s="10"/>
      <c r="VWE61" s="10"/>
      <c r="VWF61" s="10"/>
      <c r="VWG61" s="10"/>
      <c r="VWH61" s="10"/>
      <c r="VWI61" s="10"/>
      <c r="VWJ61" s="10"/>
      <c r="VWK61" s="10"/>
      <c r="VWL61" s="10"/>
      <c r="VWM61" s="10"/>
      <c r="VWN61" s="10"/>
      <c r="VWO61" s="10"/>
      <c r="VWP61" s="10"/>
      <c r="VWQ61" s="10"/>
      <c r="VWR61" s="10"/>
      <c r="VWS61" s="10"/>
      <c r="VWT61" s="10"/>
      <c r="VWU61" s="10"/>
      <c r="VWV61" s="10"/>
      <c r="VWW61" s="10"/>
      <c r="VWX61" s="10"/>
      <c r="VWY61" s="10"/>
      <c r="VWZ61" s="10"/>
      <c r="VXA61" s="10"/>
      <c r="VXB61" s="10"/>
      <c r="VXC61" s="10"/>
      <c r="VXD61" s="10"/>
      <c r="VXE61" s="10"/>
      <c r="VXF61" s="10"/>
      <c r="VXG61" s="10"/>
      <c r="VXH61" s="10"/>
      <c r="VXI61" s="10"/>
      <c r="VXJ61" s="10"/>
      <c r="VXK61" s="10"/>
      <c r="VXL61" s="10"/>
      <c r="VXM61" s="10"/>
      <c r="VXN61" s="10"/>
      <c r="VXO61" s="10"/>
      <c r="VXP61" s="10"/>
      <c r="VXQ61" s="10"/>
      <c r="VXR61" s="10"/>
      <c r="VXS61" s="10"/>
      <c r="VXT61" s="10"/>
      <c r="VXU61" s="10"/>
      <c r="VXV61" s="10"/>
      <c r="VXW61" s="10"/>
      <c r="VXX61" s="10"/>
      <c r="VXY61" s="10"/>
      <c r="VXZ61" s="10"/>
      <c r="VYA61" s="10"/>
      <c r="VYB61" s="10"/>
      <c r="VYC61" s="10"/>
      <c r="VYD61" s="10"/>
      <c r="VYE61" s="10"/>
      <c r="VYF61" s="10"/>
      <c r="VYG61" s="10"/>
      <c r="VYH61" s="10"/>
      <c r="VYI61" s="10"/>
      <c r="VYJ61" s="10"/>
      <c r="VYK61" s="10"/>
      <c r="VYL61" s="10"/>
      <c r="VYM61" s="10"/>
      <c r="VYN61" s="10"/>
      <c r="VYO61" s="10"/>
      <c r="VYP61" s="10"/>
      <c r="VYQ61" s="10"/>
      <c r="VYR61" s="10"/>
      <c r="VYS61" s="10"/>
      <c r="VYT61" s="10"/>
      <c r="VYU61" s="10"/>
      <c r="VYV61" s="10"/>
      <c r="VYW61" s="10"/>
      <c r="VYX61" s="10"/>
      <c r="VYY61" s="10"/>
      <c r="VYZ61" s="10"/>
      <c r="VZA61" s="10"/>
      <c r="VZB61" s="10"/>
      <c r="VZC61" s="10"/>
      <c r="VZD61" s="10"/>
      <c r="VZE61" s="10"/>
      <c r="VZF61" s="10"/>
      <c r="VZG61" s="10"/>
      <c r="VZH61" s="10"/>
      <c r="VZI61" s="10"/>
      <c r="VZJ61" s="10"/>
      <c r="VZK61" s="10"/>
      <c r="VZL61" s="10"/>
      <c r="VZM61" s="10"/>
      <c r="VZN61" s="10"/>
      <c r="VZO61" s="10"/>
      <c r="VZP61" s="10"/>
      <c r="VZQ61" s="10"/>
      <c r="VZR61" s="10"/>
      <c r="VZS61" s="10"/>
      <c r="VZT61" s="10"/>
      <c r="VZU61" s="10"/>
      <c r="VZV61" s="10"/>
      <c r="VZW61" s="10"/>
      <c r="VZX61" s="10"/>
      <c r="VZY61" s="10"/>
      <c r="VZZ61" s="10"/>
      <c r="WAA61" s="10"/>
      <c r="WAB61" s="10"/>
      <c r="WAC61" s="10"/>
      <c r="WAD61" s="10"/>
      <c r="WAE61" s="10"/>
      <c r="WAF61" s="10"/>
      <c r="WAG61" s="10"/>
      <c r="WAH61" s="10"/>
      <c r="WAI61" s="10"/>
      <c r="WAJ61" s="10"/>
      <c r="WAK61" s="10"/>
      <c r="WAL61" s="10"/>
      <c r="WAM61" s="10"/>
      <c r="WAN61" s="10"/>
      <c r="WAO61" s="10"/>
      <c r="WAP61" s="10"/>
      <c r="WAQ61" s="10"/>
      <c r="WAR61" s="10"/>
      <c r="WAS61" s="10"/>
      <c r="WAT61" s="10"/>
      <c r="WAU61" s="10"/>
      <c r="WAV61" s="10"/>
      <c r="WAW61" s="10"/>
      <c r="WAX61" s="10"/>
      <c r="WAY61" s="10"/>
      <c r="WAZ61" s="10"/>
      <c r="WBA61" s="10"/>
      <c r="WBB61" s="10"/>
      <c r="WBC61" s="10"/>
      <c r="WBD61" s="10"/>
      <c r="WBE61" s="10"/>
      <c r="WBF61" s="10"/>
      <c r="WBG61" s="10"/>
      <c r="WBH61" s="10"/>
      <c r="WBI61" s="10"/>
      <c r="WBJ61" s="10"/>
      <c r="WBK61" s="10"/>
      <c r="WBL61" s="10"/>
      <c r="WBM61" s="10"/>
      <c r="WBN61" s="10"/>
      <c r="WBO61" s="10"/>
      <c r="WBP61" s="10"/>
      <c r="WBQ61" s="10"/>
      <c r="WBR61" s="10"/>
      <c r="WBS61" s="10"/>
      <c r="WBT61" s="10"/>
      <c r="WBU61" s="10"/>
      <c r="WBV61" s="10"/>
      <c r="WBW61" s="10"/>
      <c r="WBX61" s="10"/>
      <c r="WBY61" s="10"/>
      <c r="WBZ61" s="10"/>
      <c r="WCA61" s="10"/>
      <c r="WCB61" s="10"/>
      <c r="WCC61" s="10"/>
      <c r="WCD61" s="10"/>
      <c r="WCE61" s="10"/>
      <c r="WCF61" s="10"/>
      <c r="WCG61" s="10"/>
      <c r="WCH61" s="10"/>
      <c r="WCI61" s="10"/>
      <c r="WCJ61" s="10"/>
      <c r="WCK61" s="10"/>
      <c r="WCL61" s="10"/>
      <c r="WCM61" s="10"/>
      <c r="WCN61" s="10"/>
      <c r="WCO61" s="10"/>
      <c r="WCP61" s="10"/>
      <c r="WCQ61" s="10"/>
      <c r="WCR61" s="10"/>
      <c r="WCS61" s="10"/>
      <c r="WCT61" s="10"/>
      <c r="WCU61" s="10"/>
      <c r="WCV61" s="10"/>
      <c r="WCW61" s="10"/>
      <c r="WCX61" s="10"/>
      <c r="WCY61" s="10"/>
      <c r="WCZ61" s="10"/>
      <c r="WDA61" s="10"/>
      <c r="WDB61" s="10"/>
      <c r="WDC61" s="10"/>
      <c r="WDD61" s="10"/>
      <c r="WDE61" s="10"/>
      <c r="WDF61" s="10"/>
      <c r="WDG61" s="10"/>
      <c r="WDH61" s="10"/>
      <c r="WDI61" s="10"/>
      <c r="WDJ61" s="10"/>
      <c r="WDK61" s="10"/>
      <c r="WDL61" s="10"/>
      <c r="WDM61" s="10"/>
      <c r="WDN61" s="10"/>
      <c r="WDO61" s="10"/>
      <c r="WDP61" s="10"/>
      <c r="WDQ61" s="10"/>
      <c r="WDR61" s="10"/>
      <c r="WDS61" s="10"/>
      <c r="WDT61" s="10"/>
      <c r="WDU61" s="10"/>
      <c r="WDV61" s="10"/>
      <c r="WDW61" s="10"/>
      <c r="WDX61" s="10"/>
      <c r="WDY61" s="10"/>
      <c r="WDZ61" s="10"/>
      <c r="WEA61" s="10"/>
      <c r="WEB61" s="10"/>
      <c r="WEC61" s="10"/>
      <c r="WED61" s="10"/>
      <c r="WEE61" s="10"/>
      <c r="WEF61" s="10"/>
      <c r="WEG61" s="10"/>
      <c r="WEH61" s="10"/>
      <c r="WEI61" s="10"/>
      <c r="WEJ61" s="10"/>
      <c r="WEK61" s="10"/>
      <c r="WEL61" s="10"/>
      <c r="WEM61" s="10"/>
      <c r="WEN61" s="10"/>
      <c r="WEO61" s="10"/>
      <c r="WEP61" s="10"/>
      <c r="WEQ61" s="10"/>
      <c r="WER61" s="10"/>
      <c r="WES61" s="10"/>
      <c r="WET61" s="10"/>
      <c r="WEU61" s="10"/>
      <c r="WEV61" s="10"/>
      <c r="WEW61" s="10"/>
      <c r="WEX61" s="10"/>
      <c r="WEY61" s="10"/>
      <c r="WEZ61" s="10"/>
      <c r="WFA61" s="10"/>
      <c r="WFB61" s="10"/>
      <c r="WFC61" s="10"/>
      <c r="WFD61" s="10"/>
      <c r="WFE61" s="10"/>
      <c r="WFF61" s="10"/>
      <c r="WFG61" s="10"/>
      <c r="WFH61" s="10"/>
      <c r="WFI61" s="10"/>
      <c r="WFJ61" s="10"/>
      <c r="WFK61" s="10"/>
      <c r="WFL61" s="10"/>
      <c r="WFM61" s="10"/>
      <c r="WFN61" s="10"/>
      <c r="WFO61" s="10"/>
      <c r="WFP61" s="10"/>
      <c r="WFQ61" s="10"/>
      <c r="WFR61" s="10"/>
      <c r="WFS61" s="10"/>
      <c r="WFT61" s="10"/>
      <c r="WFU61" s="10"/>
      <c r="WFV61" s="10"/>
      <c r="WFW61" s="10"/>
      <c r="WFX61" s="10"/>
      <c r="WFY61" s="10"/>
      <c r="WFZ61" s="10"/>
      <c r="WGA61" s="10"/>
      <c r="WGB61" s="10"/>
      <c r="WGC61" s="10"/>
      <c r="WGD61" s="10"/>
      <c r="WGE61" s="10"/>
      <c r="WGF61" s="10"/>
      <c r="WGG61" s="10"/>
      <c r="WGH61" s="10"/>
      <c r="WGI61" s="10"/>
      <c r="WGJ61" s="10"/>
      <c r="WGK61" s="10"/>
      <c r="WGL61" s="10"/>
      <c r="WGM61" s="10"/>
      <c r="WGN61" s="10"/>
      <c r="WGO61" s="10"/>
      <c r="WGP61" s="10"/>
      <c r="WGQ61" s="10"/>
      <c r="WGR61" s="10"/>
      <c r="WGS61" s="10"/>
      <c r="WGT61" s="10"/>
      <c r="WGU61" s="10"/>
      <c r="WGV61" s="10"/>
      <c r="WGW61" s="10"/>
      <c r="WGX61" s="10"/>
      <c r="WGY61" s="10"/>
      <c r="WGZ61" s="10"/>
      <c r="WHA61" s="10"/>
      <c r="WHB61" s="10"/>
      <c r="WHC61" s="10"/>
      <c r="WHD61" s="10"/>
      <c r="WHE61" s="10"/>
      <c r="WHF61" s="10"/>
      <c r="WHG61" s="10"/>
      <c r="WHH61" s="10"/>
      <c r="WHI61" s="10"/>
      <c r="WHJ61" s="10"/>
      <c r="WHK61" s="10"/>
      <c r="WHL61" s="10"/>
      <c r="WHM61" s="10"/>
      <c r="WHN61" s="10"/>
      <c r="WHO61" s="10"/>
      <c r="WHP61" s="10"/>
      <c r="WHQ61" s="10"/>
      <c r="WHR61" s="10"/>
      <c r="WHS61" s="10"/>
      <c r="WHT61" s="10"/>
      <c r="WHU61" s="10"/>
      <c r="WHV61" s="10"/>
      <c r="WHW61" s="10"/>
      <c r="WHX61" s="10"/>
      <c r="WHY61" s="10"/>
      <c r="WHZ61" s="10"/>
      <c r="WIA61" s="10"/>
      <c r="WIB61" s="10"/>
      <c r="WIC61" s="10"/>
      <c r="WID61" s="10"/>
      <c r="WIE61" s="10"/>
      <c r="WIF61" s="10"/>
      <c r="WIG61" s="10"/>
      <c r="WIH61" s="10"/>
      <c r="WII61" s="10"/>
      <c r="WIJ61" s="10"/>
      <c r="WIK61" s="10"/>
      <c r="WIL61" s="10"/>
      <c r="WIM61" s="10"/>
      <c r="WIN61" s="10"/>
      <c r="WIO61" s="10"/>
      <c r="WIP61" s="10"/>
      <c r="WIQ61" s="10"/>
      <c r="WIR61" s="10"/>
      <c r="WIS61" s="10"/>
      <c r="WIT61" s="10"/>
      <c r="WIU61" s="10"/>
      <c r="WIV61" s="10"/>
      <c r="WIW61" s="10"/>
      <c r="WIX61" s="10"/>
      <c r="WIY61" s="10"/>
      <c r="WIZ61" s="10"/>
      <c r="WJA61" s="10"/>
      <c r="WJB61" s="10"/>
      <c r="WJC61" s="10"/>
      <c r="WJD61" s="10"/>
      <c r="WJE61" s="10"/>
      <c r="WJF61" s="10"/>
      <c r="WJG61" s="10"/>
      <c r="WJH61" s="10"/>
      <c r="WJI61" s="10"/>
      <c r="WJJ61" s="10"/>
      <c r="WJK61" s="10"/>
      <c r="WJL61" s="10"/>
      <c r="WJM61" s="10"/>
      <c r="WJN61" s="10"/>
      <c r="WJO61" s="10"/>
      <c r="WJP61" s="10"/>
      <c r="WJQ61" s="10"/>
      <c r="WJR61" s="10"/>
      <c r="WJS61" s="10"/>
      <c r="WJT61" s="10"/>
      <c r="WJU61" s="10"/>
      <c r="WJV61" s="10"/>
      <c r="WJW61" s="10"/>
      <c r="WJX61" s="10"/>
      <c r="WJY61" s="10"/>
      <c r="WJZ61" s="10"/>
      <c r="WKA61" s="10"/>
      <c r="WKB61" s="10"/>
      <c r="WKC61" s="10"/>
      <c r="WKD61" s="10"/>
      <c r="WKE61" s="10"/>
      <c r="WKF61" s="10"/>
      <c r="WKG61" s="10"/>
      <c r="WKH61" s="10"/>
      <c r="WKI61" s="10"/>
      <c r="WKJ61" s="10"/>
      <c r="WKK61" s="10"/>
      <c r="WKL61" s="10"/>
      <c r="WKM61" s="10"/>
      <c r="WKN61" s="10"/>
      <c r="WKO61" s="10"/>
      <c r="WKP61" s="10"/>
      <c r="WKQ61" s="10"/>
      <c r="WKR61" s="10"/>
      <c r="WKS61" s="10"/>
      <c r="WKT61" s="10"/>
      <c r="WKU61" s="10"/>
      <c r="WKV61" s="10"/>
      <c r="WKW61" s="10"/>
      <c r="WKX61" s="10"/>
      <c r="WKY61" s="10"/>
      <c r="WKZ61" s="10"/>
      <c r="WLA61" s="10"/>
      <c r="WLB61" s="10"/>
      <c r="WLC61" s="10"/>
      <c r="WLD61" s="10"/>
      <c r="WLE61" s="10"/>
      <c r="WLF61" s="10"/>
      <c r="WLG61" s="10"/>
      <c r="WLH61" s="10"/>
      <c r="WLI61" s="10"/>
      <c r="WLJ61" s="10"/>
      <c r="WLK61" s="10"/>
      <c r="WLL61" s="10"/>
      <c r="WLM61" s="10"/>
      <c r="WLN61" s="10"/>
      <c r="WLO61" s="10"/>
      <c r="WLP61" s="10"/>
      <c r="WLQ61" s="10"/>
      <c r="WLR61" s="10"/>
      <c r="WLS61" s="10"/>
      <c r="WLT61" s="10"/>
      <c r="WLU61" s="10"/>
      <c r="WLV61" s="10"/>
      <c r="WLW61" s="10"/>
      <c r="WLX61" s="10"/>
      <c r="WLY61" s="10"/>
      <c r="WLZ61" s="10"/>
      <c r="WMA61" s="10"/>
      <c r="WMB61" s="10"/>
      <c r="WMC61" s="10"/>
      <c r="WMD61" s="10"/>
      <c r="WME61" s="10"/>
      <c r="WMF61" s="10"/>
      <c r="WMG61" s="10"/>
      <c r="WMH61" s="10"/>
      <c r="WMI61" s="10"/>
      <c r="WMJ61" s="10"/>
      <c r="WMK61" s="10"/>
      <c r="WML61" s="10"/>
      <c r="WMM61" s="10"/>
      <c r="WMN61" s="10"/>
      <c r="WMO61" s="10"/>
      <c r="WMP61" s="10"/>
      <c r="WMQ61" s="10"/>
      <c r="WMR61" s="10"/>
      <c r="WMS61" s="10"/>
      <c r="WMT61" s="10"/>
      <c r="WMU61" s="10"/>
      <c r="WMV61" s="10"/>
      <c r="WMW61" s="10"/>
      <c r="WMX61" s="10"/>
      <c r="WMY61" s="10"/>
      <c r="WMZ61" s="10"/>
      <c r="WNA61" s="10"/>
      <c r="WNB61" s="10"/>
      <c r="WNC61" s="10"/>
      <c r="WND61" s="10"/>
      <c r="WNE61" s="10"/>
      <c r="WNF61" s="10"/>
      <c r="WNG61" s="10"/>
      <c r="WNH61" s="10"/>
      <c r="WNI61" s="10"/>
      <c r="WNJ61" s="10"/>
      <c r="WNK61" s="10"/>
      <c r="WNL61" s="10"/>
      <c r="WNM61" s="10"/>
      <c r="WNN61" s="10"/>
      <c r="WNO61" s="10"/>
      <c r="WNP61" s="10"/>
      <c r="WNQ61" s="10"/>
      <c r="WNR61" s="10"/>
      <c r="WNS61" s="10"/>
      <c r="WNT61" s="10"/>
      <c r="WNU61" s="10"/>
      <c r="WNV61" s="10"/>
      <c r="WNW61" s="10"/>
      <c r="WNX61" s="10"/>
      <c r="WNY61" s="10"/>
      <c r="WNZ61" s="10"/>
      <c r="WOA61" s="10"/>
      <c r="WOB61" s="10"/>
      <c r="WOC61" s="10"/>
      <c r="WOD61" s="10"/>
      <c r="WOE61" s="10"/>
      <c r="WOF61" s="10"/>
      <c r="WOG61" s="10"/>
      <c r="WOH61" s="10"/>
      <c r="WOI61" s="10"/>
      <c r="WOJ61" s="10"/>
      <c r="WOK61" s="10"/>
      <c r="WOL61" s="10"/>
      <c r="WOM61" s="10"/>
      <c r="WON61" s="10"/>
      <c r="WOO61" s="10"/>
      <c r="WOP61" s="10"/>
      <c r="WOQ61" s="10"/>
      <c r="WOR61" s="10"/>
      <c r="WOS61" s="10"/>
      <c r="WOT61" s="10"/>
      <c r="WOU61" s="10"/>
      <c r="WOV61" s="10"/>
      <c r="WOW61" s="10"/>
      <c r="WOX61" s="10"/>
      <c r="WOY61" s="10"/>
      <c r="WOZ61" s="10"/>
      <c r="WPA61" s="10"/>
      <c r="WPB61" s="10"/>
      <c r="WPC61" s="10"/>
      <c r="WPD61" s="10"/>
      <c r="WPE61" s="10"/>
      <c r="WPF61" s="10"/>
      <c r="WPG61" s="10"/>
      <c r="WPH61" s="10"/>
      <c r="WPI61" s="10"/>
      <c r="WPJ61" s="10"/>
      <c r="WPK61" s="10"/>
      <c r="WPL61" s="10"/>
      <c r="WPM61" s="10"/>
      <c r="WPN61" s="10"/>
      <c r="WPO61" s="10"/>
      <c r="WPP61" s="10"/>
      <c r="WPQ61" s="10"/>
      <c r="WPR61" s="10"/>
      <c r="WPS61" s="10"/>
      <c r="WPT61" s="10"/>
      <c r="WPU61" s="10"/>
      <c r="WPV61" s="10"/>
      <c r="WPW61" s="10"/>
      <c r="WPX61" s="10"/>
      <c r="WPY61" s="10"/>
      <c r="WPZ61" s="10"/>
      <c r="WQA61" s="10"/>
      <c r="WQB61" s="10"/>
      <c r="WQC61" s="10"/>
      <c r="WQD61" s="10"/>
      <c r="WQE61" s="10"/>
      <c r="WQF61" s="10"/>
      <c r="WQG61" s="10"/>
      <c r="WQH61" s="10"/>
      <c r="WQI61" s="10"/>
      <c r="WQJ61" s="10"/>
      <c r="WQK61" s="10"/>
      <c r="WQL61" s="10"/>
      <c r="WQM61" s="10"/>
      <c r="WQN61" s="10"/>
      <c r="WQO61" s="10"/>
      <c r="WQP61" s="10"/>
      <c r="WQQ61" s="10"/>
      <c r="WQR61" s="10"/>
      <c r="WQS61" s="10"/>
      <c r="WQT61" s="10"/>
      <c r="WQU61" s="10"/>
      <c r="WQV61" s="10"/>
      <c r="WQW61" s="10"/>
      <c r="WQX61" s="10"/>
      <c r="WQY61" s="10"/>
      <c r="WQZ61" s="10"/>
      <c r="WRA61" s="10"/>
      <c r="WRB61" s="10"/>
      <c r="WRC61" s="10"/>
      <c r="WRD61" s="10"/>
      <c r="WRE61" s="10"/>
      <c r="WRF61" s="10"/>
      <c r="WRG61" s="10"/>
      <c r="WRH61" s="10"/>
      <c r="WRI61" s="10"/>
      <c r="WRJ61" s="10"/>
      <c r="WRK61" s="10"/>
      <c r="WRL61" s="10"/>
      <c r="WRM61" s="10"/>
      <c r="WRN61" s="10"/>
      <c r="WRO61" s="10"/>
      <c r="WRP61" s="10"/>
      <c r="WRQ61" s="10"/>
      <c r="WRR61" s="10"/>
      <c r="WRS61" s="10"/>
      <c r="WRT61" s="10"/>
      <c r="WRU61" s="10"/>
      <c r="WRV61" s="10"/>
      <c r="WRW61" s="10"/>
      <c r="WRX61" s="10"/>
      <c r="WRY61" s="10"/>
      <c r="WRZ61" s="10"/>
      <c r="WSA61" s="10"/>
      <c r="WSB61" s="10"/>
      <c r="WSC61" s="10"/>
      <c r="WSD61" s="10"/>
      <c r="WSE61" s="10"/>
      <c r="WSF61" s="10"/>
      <c r="WSG61" s="10"/>
      <c r="WSH61" s="10"/>
      <c r="WSI61" s="10"/>
      <c r="WSJ61" s="10"/>
      <c r="WSK61" s="10"/>
      <c r="WSL61" s="10"/>
      <c r="WSM61" s="10"/>
      <c r="WSN61" s="10"/>
      <c r="WSO61" s="10"/>
      <c r="WSP61" s="10"/>
      <c r="WSQ61" s="10"/>
      <c r="WSR61" s="10"/>
      <c r="WSS61" s="10"/>
      <c r="WST61" s="10"/>
      <c r="WSU61" s="10"/>
      <c r="WSV61" s="10"/>
      <c r="WSW61" s="10"/>
      <c r="WSX61" s="10"/>
      <c r="WSY61" s="10"/>
      <c r="WSZ61" s="10"/>
      <c r="WTA61" s="10"/>
      <c r="WTB61" s="10"/>
      <c r="WTC61" s="10"/>
      <c r="WTD61" s="10"/>
      <c r="WTE61" s="10"/>
      <c r="WTF61" s="10"/>
      <c r="WTG61" s="10"/>
      <c r="WTH61" s="10"/>
      <c r="WTI61" s="10"/>
      <c r="WTJ61" s="10"/>
      <c r="WTK61" s="10"/>
      <c r="WTL61" s="10"/>
      <c r="WTM61" s="10"/>
      <c r="WTN61" s="10"/>
      <c r="WTO61" s="10"/>
      <c r="WTP61" s="10"/>
      <c r="WTQ61" s="10"/>
      <c r="WTR61" s="10"/>
      <c r="WTS61" s="10"/>
      <c r="WTT61" s="10"/>
      <c r="WTU61" s="10"/>
      <c r="WTV61" s="10"/>
      <c r="WTW61" s="10"/>
      <c r="WTX61" s="10"/>
      <c r="WTY61" s="10"/>
      <c r="WTZ61" s="10"/>
      <c r="WUA61" s="10"/>
      <c r="WUB61" s="10"/>
      <c r="WUC61" s="10"/>
      <c r="WUD61" s="10"/>
      <c r="WUE61" s="10"/>
      <c r="WUF61" s="10"/>
      <c r="WUG61" s="10"/>
      <c r="WUH61" s="10"/>
      <c r="WUI61" s="10"/>
      <c r="WUJ61" s="10"/>
      <c r="WUK61" s="10"/>
      <c r="WUL61" s="10"/>
      <c r="WUM61" s="10"/>
      <c r="WUN61" s="10"/>
      <c r="WUO61" s="10"/>
      <c r="WUP61" s="10"/>
      <c r="WUQ61" s="10"/>
      <c r="WUR61" s="10"/>
      <c r="WUS61" s="10"/>
      <c r="WUT61" s="10"/>
      <c r="WUU61" s="10"/>
      <c r="WUV61" s="10"/>
      <c r="WUW61" s="10"/>
      <c r="WUX61" s="10"/>
      <c r="WUY61" s="10"/>
      <c r="WUZ61" s="10"/>
      <c r="WVA61" s="10"/>
      <c r="WVB61" s="10"/>
      <c r="WVC61" s="10"/>
      <c r="WVD61" s="10"/>
      <c r="WVE61" s="10"/>
      <c r="WVF61" s="10"/>
      <c r="WVG61" s="10"/>
      <c r="WVH61" s="10"/>
      <c r="WVI61" s="10"/>
      <c r="WVJ61" s="10"/>
      <c r="WVK61" s="10"/>
      <c r="WVL61" s="10"/>
      <c r="WVM61" s="10"/>
      <c r="WVN61" s="10"/>
      <c r="WVO61" s="10"/>
      <c r="WVP61" s="10"/>
      <c r="WVQ61" s="10"/>
      <c r="WVR61" s="10"/>
      <c r="WVS61" s="10"/>
      <c r="WVT61" s="10"/>
    </row>
    <row r="63" spans="2:16140" s="105" customFormat="1" ht="21" customHeight="1">
      <c r="B63" s="338"/>
      <c r="C63" s="339"/>
      <c r="D63" s="340"/>
      <c r="E63" s="340"/>
      <c r="F63" s="341"/>
      <c r="G63" s="342"/>
      <c r="H63" s="343"/>
      <c r="I63" s="343"/>
      <c r="J63" s="343"/>
      <c r="K63" s="343"/>
      <c r="L63" s="344"/>
      <c r="N63" s="104"/>
    </row>
    <row r="65" spans="2:16140" s="242" customFormat="1" ht="21" customHeight="1">
      <c r="B65" s="241"/>
      <c r="C65" s="332"/>
      <c r="D65" s="337"/>
      <c r="F65" s="244"/>
      <c r="G65" s="245"/>
      <c r="H65" s="333"/>
      <c r="I65" s="333"/>
      <c r="J65" s="333"/>
      <c r="K65" s="333"/>
      <c r="L65" s="334"/>
      <c r="M65" s="10"/>
      <c r="N65" s="18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 s="10"/>
      <c r="GM65" s="10"/>
      <c r="GN65" s="10"/>
      <c r="GO65" s="10"/>
      <c r="GP65" s="10"/>
      <c r="GQ65" s="10"/>
      <c r="GR65" s="10"/>
      <c r="GS65" s="10"/>
      <c r="GT65" s="10"/>
      <c r="GU65" s="10"/>
      <c r="GV65" s="10"/>
      <c r="GW65" s="10"/>
      <c r="GX65" s="10"/>
      <c r="GY65" s="10"/>
      <c r="GZ65" s="10"/>
      <c r="HA65" s="10"/>
      <c r="HB65" s="10"/>
      <c r="HC65" s="10"/>
      <c r="HD65" s="10"/>
      <c r="HE65" s="10"/>
      <c r="HF65" s="10"/>
      <c r="HG65" s="10"/>
      <c r="HH65" s="10"/>
      <c r="HI65" s="10"/>
      <c r="HJ65" s="10"/>
      <c r="HK65" s="10"/>
      <c r="HL65" s="10"/>
      <c r="HM65" s="10"/>
      <c r="HN65" s="10"/>
      <c r="HO65" s="10"/>
      <c r="HP65" s="10"/>
      <c r="HQ65" s="10"/>
      <c r="HR65" s="10"/>
      <c r="HS65" s="10"/>
      <c r="HT65" s="10"/>
      <c r="HU65" s="10"/>
      <c r="HV65" s="10"/>
      <c r="HW65" s="10"/>
      <c r="HX65" s="10"/>
      <c r="HY65" s="10"/>
      <c r="HZ65" s="10"/>
      <c r="IA65" s="10"/>
      <c r="IB65" s="10"/>
      <c r="IC65" s="10"/>
      <c r="ID65" s="10"/>
      <c r="IE65" s="10"/>
      <c r="IF65" s="10"/>
      <c r="IG65" s="10"/>
      <c r="IH65" s="10"/>
      <c r="II65" s="10"/>
      <c r="IJ65" s="10"/>
      <c r="IK65" s="10"/>
      <c r="IL65" s="10"/>
      <c r="IM65" s="10"/>
      <c r="IN65" s="10"/>
      <c r="IO65" s="10"/>
      <c r="IP65" s="10"/>
      <c r="IQ65" s="10"/>
      <c r="IR65" s="10"/>
      <c r="IS65" s="10"/>
      <c r="IT65" s="10"/>
      <c r="IU65" s="10"/>
      <c r="IV65" s="10"/>
      <c r="IW65" s="10"/>
      <c r="IX65" s="10"/>
      <c r="IY65" s="10"/>
      <c r="IZ65" s="10"/>
      <c r="JA65" s="10"/>
      <c r="JB65" s="10"/>
      <c r="JC65" s="10"/>
      <c r="JD65" s="10"/>
      <c r="JE65" s="10"/>
      <c r="JF65" s="10"/>
      <c r="JG65" s="10"/>
      <c r="JH65" s="10"/>
      <c r="JI65" s="10"/>
      <c r="JJ65" s="10"/>
      <c r="JK65" s="10"/>
      <c r="JL65" s="10"/>
      <c r="JM65" s="10"/>
      <c r="JN65" s="10"/>
      <c r="JO65" s="10"/>
      <c r="JP65" s="10"/>
      <c r="JQ65" s="10"/>
      <c r="JR65" s="10"/>
      <c r="JS65" s="10"/>
      <c r="JT65" s="10"/>
      <c r="JU65" s="10"/>
      <c r="JV65" s="10"/>
      <c r="JW65" s="10"/>
      <c r="JX65" s="10"/>
      <c r="JY65" s="10"/>
      <c r="JZ65" s="10"/>
      <c r="KA65" s="10"/>
      <c r="KB65" s="10"/>
      <c r="KC65" s="10"/>
      <c r="KD65" s="10"/>
      <c r="KE65" s="10"/>
      <c r="KF65" s="10"/>
      <c r="KG65" s="10"/>
      <c r="KH65" s="10"/>
      <c r="KI65" s="10"/>
      <c r="KJ65" s="10"/>
      <c r="KK65" s="10"/>
      <c r="KL65" s="10"/>
      <c r="KM65" s="10"/>
      <c r="KN65" s="10"/>
      <c r="KO65" s="10"/>
      <c r="KP65" s="10"/>
      <c r="KQ65" s="10"/>
      <c r="KR65" s="10"/>
      <c r="KS65" s="10"/>
      <c r="KT65" s="10"/>
      <c r="KU65" s="10"/>
      <c r="KV65" s="10"/>
      <c r="KW65" s="10"/>
      <c r="KX65" s="10"/>
      <c r="KY65" s="10"/>
      <c r="KZ65" s="10"/>
      <c r="LA65" s="10"/>
      <c r="LB65" s="10"/>
      <c r="LC65" s="10"/>
      <c r="LD65" s="10"/>
      <c r="LE65" s="10"/>
      <c r="LF65" s="10"/>
      <c r="LG65" s="10"/>
      <c r="LH65" s="10"/>
      <c r="LI65" s="10"/>
      <c r="LJ65" s="10"/>
      <c r="LK65" s="10"/>
      <c r="LL65" s="10"/>
      <c r="LM65" s="10"/>
      <c r="LN65" s="10"/>
      <c r="LO65" s="10"/>
      <c r="LP65" s="10"/>
      <c r="LQ65" s="10"/>
      <c r="LR65" s="10"/>
      <c r="LS65" s="10"/>
      <c r="LT65" s="10"/>
      <c r="LU65" s="10"/>
      <c r="LV65" s="10"/>
      <c r="LW65" s="10"/>
      <c r="LX65" s="10"/>
      <c r="LY65" s="10"/>
      <c r="LZ65" s="10"/>
      <c r="MA65" s="10"/>
      <c r="MB65" s="10"/>
      <c r="MC65" s="10"/>
      <c r="MD65" s="10"/>
      <c r="ME65" s="10"/>
      <c r="MF65" s="10"/>
      <c r="MG65" s="10"/>
      <c r="MH65" s="10"/>
      <c r="MI65" s="10"/>
      <c r="MJ65" s="10"/>
      <c r="MK65" s="10"/>
      <c r="ML65" s="10"/>
      <c r="MM65" s="10"/>
      <c r="MN65" s="10"/>
      <c r="MO65" s="10"/>
      <c r="MP65" s="10"/>
      <c r="MQ65" s="10"/>
      <c r="MR65" s="10"/>
      <c r="MS65" s="10"/>
      <c r="MT65" s="10"/>
      <c r="MU65" s="10"/>
      <c r="MV65" s="10"/>
      <c r="MW65" s="10"/>
      <c r="MX65" s="10"/>
      <c r="MY65" s="10"/>
      <c r="MZ65" s="10"/>
      <c r="NA65" s="10"/>
      <c r="NB65" s="10"/>
      <c r="NC65" s="10"/>
      <c r="ND65" s="10"/>
      <c r="NE65" s="10"/>
      <c r="NF65" s="10"/>
      <c r="NG65" s="10"/>
      <c r="NH65" s="10"/>
      <c r="NI65" s="10"/>
      <c r="NJ65" s="10"/>
      <c r="NK65" s="10"/>
      <c r="NL65" s="10"/>
      <c r="NM65" s="10"/>
      <c r="NN65" s="10"/>
      <c r="NO65" s="10"/>
      <c r="NP65" s="10"/>
      <c r="NQ65" s="10"/>
      <c r="NR65" s="10"/>
      <c r="NS65" s="10"/>
      <c r="NT65" s="10"/>
      <c r="NU65" s="10"/>
      <c r="NV65" s="10"/>
      <c r="NW65" s="10"/>
      <c r="NX65" s="10"/>
      <c r="NY65" s="10"/>
      <c r="NZ65" s="10"/>
      <c r="OA65" s="10"/>
      <c r="OB65" s="10"/>
      <c r="OC65" s="10"/>
      <c r="OD65" s="10"/>
      <c r="OE65" s="10"/>
      <c r="OF65" s="10"/>
      <c r="OG65" s="10"/>
      <c r="OH65" s="10"/>
      <c r="OI65" s="10"/>
      <c r="OJ65" s="10"/>
      <c r="OK65" s="10"/>
      <c r="OL65" s="10"/>
      <c r="OM65" s="10"/>
      <c r="ON65" s="10"/>
      <c r="OO65" s="10"/>
      <c r="OP65" s="10"/>
      <c r="OQ65" s="10"/>
      <c r="OR65" s="10"/>
      <c r="OS65" s="10"/>
      <c r="OT65" s="10"/>
      <c r="OU65" s="10"/>
      <c r="OV65" s="10"/>
      <c r="OW65" s="10"/>
      <c r="OX65" s="10"/>
      <c r="OY65" s="10"/>
      <c r="OZ65" s="10"/>
      <c r="PA65" s="10"/>
      <c r="PB65" s="10"/>
      <c r="PC65" s="10"/>
      <c r="PD65" s="10"/>
      <c r="PE65" s="10"/>
      <c r="PF65" s="10"/>
      <c r="PG65" s="10"/>
      <c r="PH65" s="10"/>
      <c r="PI65" s="10"/>
      <c r="PJ65" s="10"/>
      <c r="PK65" s="10"/>
      <c r="PL65" s="10"/>
      <c r="PM65" s="10"/>
      <c r="PN65" s="10"/>
      <c r="PO65" s="10"/>
      <c r="PP65" s="10"/>
      <c r="PQ65" s="10"/>
      <c r="PR65" s="10"/>
      <c r="PS65" s="10"/>
      <c r="PT65" s="10"/>
      <c r="PU65" s="10"/>
      <c r="PV65" s="10"/>
      <c r="PW65" s="10"/>
      <c r="PX65" s="10"/>
      <c r="PY65" s="10"/>
      <c r="PZ65" s="10"/>
      <c r="QA65" s="10"/>
      <c r="QB65" s="10"/>
      <c r="QC65" s="10"/>
      <c r="QD65" s="10"/>
      <c r="QE65" s="10"/>
      <c r="QF65" s="10"/>
      <c r="QG65" s="10"/>
      <c r="QH65" s="10"/>
      <c r="QI65" s="10"/>
      <c r="QJ65" s="10"/>
      <c r="QK65" s="10"/>
      <c r="QL65" s="10"/>
      <c r="QM65" s="10"/>
      <c r="QN65" s="10"/>
      <c r="QO65" s="10"/>
      <c r="QP65" s="10"/>
      <c r="QQ65" s="10"/>
      <c r="QR65" s="10"/>
      <c r="QS65" s="10"/>
      <c r="QT65" s="10"/>
      <c r="QU65" s="10"/>
      <c r="QV65" s="10"/>
      <c r="QW65" s="10"/>
      <c r="QX65" s="10"/>
      <c r="QY65" s="10"/>
      <c r="QZ65" s="10"/>
      <c r="RA65" s="10"/>
      <c r="RB65" s="10"/>
      <c r="RC65" s="10"/>
      <c r="RD65" s="10"/>
      <c r="RE65" s="10"/>
      <c r="RF65" s="10"/>
      <c r="RG65" s="10"/>
      <c r="RH65" s="10"/>
      <c r="RI65" s="10"/>
      <c r="RJ65" s="10"/>
      <c r="RK65" s="10"/>
      <c r="RL65" s="10"/>
      <c r="RM65" s="10"/>
      <c r="RN65" s="10"/>
      <c r="RO65" s="10"/>
      <c r="RP65" s="10"/>
      <c r="RQ65" s="10"/>
      <c r="RR65" s="10"/>
      <c r="RS65" s="10"/>
      <c r="RT65" s="10"/>
      <c r="RU65" s="10"/>
      <c r="RV65" s="10"/>
      <c r="RW65" s="10"/>
      <c r="RX65" s="10"/>
      <c r="RY65" s="10"/>
      <c r="RZ65" s="10"/>
      <c r="SA65" s="10"/>
      <c r="SB65" s="10"/>
      <c r="SC65" s="10"/>
      <c r="SD65" s="10"/>
      <c r="SE65" s="10"/>
      <c r="SF65" s="10"/>
      <c r="SG65" s="10"/>
      <c r="SH65" s="10"/>
      <c r="SI65" s="10"/>
      <c r="SJ65" s="10"/>
      <c r="SK65" s="10"/>
      <c r="SL65" s="10"/>
      <c r="SM65" s="10"/>
      <c r="SN65" s="10"/>
      <c r="SO65" s="10"/>
      <c r="SP65" s="10"/>
      <c r="SQ65" s="10"/>
      <c r="SR65" s="10"/>
      <c r="SS65" s="10"/>
      <c r="ST65" s="10"/>
      <c r="SU65" s="10"/>
      <c r="SV65" s="10"/>
      <c r="SW65" s="10"/>
      <c r="SX65" s="10"/>
      <c r="SY65" s="10"/>
      <c r="SZ65" s="10"/>
      <c r="TA65" s="10"/>
      <c r="TB65" s="10"/>
      <c r="TC65" s="10"/>
      <c r="TD65" s="10"/>
      <c r="TE65" s="10"/>
      <c r="TF65" s="10"/>
      <c r="TG65" s="10"/>
      <c r="TH65" s="10"/>
      <c r="TI65" s="10"/>
      <c r="TJ65" s="10"/>
      <c r="TK65" s="10"/>
      <c r="TL65" s="10"/>
      <c r="TM65" s="10"/>
      <c r="TN65" s="10"/>
      <c r="TO65" s="10"/>
      <c r="TP65" s="10"/>
      <c r="TQ65" s="10"/>
      <c r="TR65" s="10"/>
      <c r="TS65" s="10"/>
      <c r="TT65" s="10"/>
      <c r="TU65" s="10"/>
      <c r="TV65" s="10"/>
      <c r="TW65" s="10"/>
      <c r="TX65" s="10"/>
      <c r="TY65" s="10"/>
      <c r="TZ65" s="10"/>
      <c r="UA65" s="10"/>
      <c r="UB65" s="10"/>
      <c r="UC65" s="10"/>
      <c r="UD65" s="10"/>
      <c r="UE65" s="10"/>
      <c r="UF65" s="10"/>
      <c r="UG65" s="10"/>
      <c r="UH65" s="10"/>
      <c r="UI65" s="10"/>
      <c r="UJ65" s="10"/>
      <c r="UK65" s="10"/>
      <c r="UL65" s="10"/>
      <c r="UM65" s="10"/>
      <c r="UN65" s="10"/>
      <c r="UO65" s="10"/>
      <c r="UP65" s="10"/>
      <c r="UQ65" s="10"/>
      <c r="UR65" s="10"/>
      <c r="US65" s="10"/>
      <c r="UT65" s="10"/>
      <c r="UU65" s="10"/>
      <c r="UV65" s="10"/>
      <c r="UW65" s="10"/>
      <c r="UX65" s="10"/>
      <c r="UY65" s="10"/>
      <c r="UZ65" s="10"/>
      <c r="VA65" s="10"/>
      <c r="VB65" s="10"/>
      <c r="VC65" s="10"/>
      <c r="VD65" s="10"/>
      <c r="VE65" s="10"/>
      <c r="VF65" s="10"/>
      <c r="VG65" s="10"/>
      <c r="VH65" s="10"/>
      <c r="VI65" s="10"/>
      <c r="VJ65" s="10"/>
      <c r="VK65" s="10"/>
      <c r="VL65" s="10"/>
      <c r="VM65" s="10"/>
      <c r="VN65" s="10"/>
      <c r="VO65" s="10"/>
      <c r="VP65" s="10"/>
      <c r="VQ65" s="10"/>
      <c r="VR65" s="10"/>
      <c r="VS65" s="10"/>
      <c r="VT65" s="10"/>
      <c r="VU65" s="10"/>
      <c r="VV65" s="10"/>
      <c r="VW65" s="10"/>
      <c r="VX65" s="10"/>
      <c r="VY65" s="10"/>
      <c r="VZ65" s="10"/>
      <c r="WA65" s="10"/>
      <c r="WB65" s="10"/>
      <c r="WC65" s="10"/>
      <c r="WD65" s="10"/>
      <c r="WE65" s="10"/>
      <c r="WF65" s="10"/>
      <c r="WG65" s="10"/>
      <c r="WH65" s="10"/>
      <c r="WI65" s="10"/>
      <c r="WJ65" s="10"/>
      <c r="WK65" s="10"/>
      <c r="WL65" s="10"/>
      <c r="WM65" s="10"/>
      <c r="WN65" s="10"/>
      <c r="WO65" s="10"/>
      <c r="WP65" s="10"/>
      <c r="WQ65" s="10"/>
      <c r="WR65" s="10"/>
      <c r="WS65" s="10"/>
      <c r="WT65" s="10"/>
      <c r="WU65" s="10"/>
      <c r="WV65" s="10"/>
      <c r="WW65" s="10"/>
      <c r="WX65" s="10"/>
      <c r="WY65" s="10"/>
      <c r="WZ65" s="10"/>
      <c r="XA65" s="10"/>
      <c r="XB65" s="10"/>
      <c r="XC65" s="10"/>
      <c r="XD65" s="10"/>
      <c r="XE65" s="10"/>
      <c r="XF65" s="10"/>
      <c r="XG65" s="10"/>
      <c r="XH65" s="10"/>
      <c r="XI65" s="10"/>
      <c r="XJ65" s="10"/>
      <c r="XK65" s="10"/>
      <c r="XL65" s="10"/>
      <c r="XM65" s="10"/>
      <c r="XN65" s="10"/>
      <c r="XO65" s="10"/>
      <c r="XP65" s="10"/>
      <c r="XQ65" s="10"/>
      <c r="XR65" s="10"/>
      <c r="XS65" s="10"/>
      <c r="XT65" s="10"/>
      <c r="XU65" s="10"/>
      <c r="XV65" s="10"/>
      <c r="XW65" s="10"/>
      <c r="XX65" s="10"/>
      <c r="XY65" s="10"/>
      <c r="XZ65" s="10"/>
      <c r="YA65" s="10"/>
      <c r="YB65" s="10"/>
      <c r="YC65" s="10"/>
      <c r="YD65" s="10"/>
      <c r="YE65" s="10"/>
      <c r="YF65" s="10"/>
      <c r="YG65" s="10"/>
      <c r="YH65" s="10"/>
      <c r="YI65" s="10"/>
      <c r="YJ65" s="10"/>
      <c r="YK65" s="10"/>
      <c r="YL65" s="10"/>
      <c r="YM65" s="10"/>
      <c r="YN65" s="10"/>
      <c r="YO65" s="10"/>
      <c r="YP65" s="10"/>
      <c r="YQ65" s="10"/>
      <c r="YR65" s="10"/>
      <c r="YS65" s="10"/>
      <c r="YT65" s="10"/>
      <c r="YU65" s="10"/>
      <c r="YV65" s="10"/>
      <c r="YW65" s="10"/>
      <c r="YX65" s="10"/>
      <c r="YY65" s="10"/>
      <c r="YZ65" s="10"/>
      <c r="ZA65" s="10"/>
      <c r="ZB65" s="10"/>
      <c r="ZC65" s="10"/>
      <c r="ZD65" s="10"/>
      <c r="ZE65" s="10"/>
      <c r="ZF65" s="10"/>
      <c r="ZG65" s="10"/>
      <c r="ZH65" s="10"/>
      <c r="ZI65" s="10"/>
      <c r="ZJ65" s="10"/>
      <c r="ZK65" s="10"/>
      <c r="ZL65" s="10"/>
      <c r="ZM65" s="10"/>
      <c r="ZN65" s="10"/>
      <c r="ZO65" s="10"/>
      <c r="ZP65" s="10"/>
      <c r="ZQ65" s="10"/>
      <c r="ZR65" s="10"/>
      <c r="ZS65" s="10"/>
      <c r="ZT65" s="10"/>
      <c r="ZU65" s="10"/>
      <c r="ZV65" s="10"/>
      <c r="ZW65" s="10"/>
      <c r="ZX65" s="10"/>
      <c r="ZY65" s="10"/>
      <c r="ZZ65" s="10"/>
      <c r="AAA65" s="10"/>
      <c r="AAB65" s="10"/>
      <c r="AAC65" s="10"/>
      <c r="AAD65" s="10"/>
      <c r="AAE65" s="10"/>
      <c r="AAF65" s="10"/>
      <c r="AAG65" s="10"/>
      <c r="AAH65" s="10"/>
      <c r="AAI65" s="10"/>
      <c r="AAJ65" s="10"/>
      <c r="AAK65" s="10"/>
      <c r="AAL65" s="10"/>
      <c r="AAM65" s="10"/>
      <c r="AAN65" s="10"/>
      <c r="AAO65" s="10"/>
      <c r="AAP65" s="10"/>
      <c r="AAQ65" s="10"/>
      <c r="AAR65" s="10"/>
      <c r="AAS65" s="10"/>
      <c r="AAT65" s="10"/>
      <c r="AAU65" s="10"/>
      <c r="AAV65" s="10"/>
      <c r="AAW65" s="10"/>
      <c r="AAX65" s="10"/>
      <c r="AAY65" s="10"/>
      <c r="AAZ65" s="10"/>
      <c r="ABA65" s="10"/>
      <c r="ABB65" s="10"/>
      <c r="ABC65" s="10"/>
      <c r="ABD65" s="10"/>
      <c r="ABE65" s="10"/>
      <c r="ABF65" s="10"/>
      <c r="ABG65" s="10"/>
      <c r="ABH65" s="10"/>
      <c r="ABI65" s="10"/>
      <c r="ABJ65" s="10"/>
      <c r="ABK65" s="10"/>
      <c r="ABL65" s="10"/>
      <c r="ABM65" s="10"/>
      <c r="ABN65" s="10"/>
      <c r="ABO65" s="10"/>
      <c r="ABP65" s="10"/>
      <c r="ABQ65" s="10"/>
      <c r="ABR65" s="10"/>
      <c r="ABS65" s="10"/>
      <c r="ABT65" s="10"/>
      <c r="ABU65" s="10"/>
      <c r="ABV65" s="10"/>
      <c r="ABW65" s="10"/>
      <c r="ABX65" s="10"/>
      <c r="ABY65" s="10"/>
      <c r="ABZ65" s="10"/>
      <c r="ACA65" s="10"/>
      <c r="ACB65" s="10"/>
      <c r="ACC65" s="10"/>
      <c r="ACD65" s="10"/>
      <c r="ACE65" s="10"/>
      <c r="ACF65" s="10"/>
      <c r="ACG65" s="10"/>
      <c r="ACH65" s="10"/>
      <c r="ACI65" s="10"/>
      <c r="ACJ65" s="10"/>
      <c r="ACK65" s="10"/>
      <c r="ACL65" s="10"/>
      <c r="ACM65" s="10"/>
      <c r="ACN65" s="10"/>
      <c r="ACO65" s="10"/>
      <c r="ACP65" s="10"/>
      <c r="ACQ65" s="10"/>
      <c r="ACR65" s="10"/>
      <c r="ACS65" s="10"/>
      <c r="ACT65" s="10"/>
      <c r="ACU65" s="10"/>
      <c r="ACV65" s="10"/>
      <c r="ACW65" s="10"/>
      <c r="ACX65" s="10"/>
      <c r="ACY65" s="10"/>
      <c r="ACZ65" s="10"/>
      <c r="ADA65" s="10"/>
      <c r="ADB65" s="10"/>
      <c r="ADC65" s="10"/>
      <c r="ADD65" s="10"/>
      <c r="ADE65" s="10"/>
      <c r="ADF65" s="10"/>
      <c r="ADG65" s="10"/>
      <c r="ADH65" s="10"/>
      <c r="ADI65" s="10"/>
      <c r="ADJ65" s="10"/>
      <c r="ADK65" s="10"/>
      <c r="ADL65" s="10"/>
      <c r="ADM65" s="10"/>
      <c r="ADN65" s="10"/>
      <c r="ADO65" s="10"/>
      <c r="ADP65" s="10"/>
      <c r="ADQ65" s="10"/>
      <c r="ADR65" s="10"/>
      <c r="ADS65" s="10"/>
      <c r="ADT65" s="10"/>
      <c r="ADU65" s="10"/>
      <c r="ADV65" s="10"/>
      <c r="ADW65" s="10"/>
      <c r="ADX65" s="10"/>
      <c r="ADY65" s="10"/>
      <c r="ADZ65" s="10"/>
      <c r="AEA65" s="10"/>
      <c r="AEB65" s="10"/>
      <c r="AEC65" s="10"/>
      <c r="AED65" s="10"/>
      <c r="AEE65" s="10"/>
      <c r="AEF65" s="10"/>
      <c r="AEG65" s="10"/>
      <c r="AEH65" s="10"/>
      <c r="AEI65" s="10"/>
      <c r="AEJ65" s="10"/>
      <c r="AEK65" s="10"/>
      <c r="AEL65" s="10"/>
      <c r="AEM65" s="10"/>
      <c r="AEN65" s="10"/>
      <c r="AEO65" s="10"/>
      <c r="AEP65" s="10"/>
      <c r="AEQ65" s="10"/>
      <c r="AER65" s="10"/>
      <c r="AES65" s="10"/>
      <c r="AET65" s="10"/>
      <c r="AEU65" s="10"/>
      <c r="AEV65" s="10"/>
      <c r="AEW65" s="10"/>
      <c r="AEX65" s="10"/>
      <c r="AEY65" s="10"/>
      <c r="AEZ65" s="10"/>
      <c r="AFA65" s="10"/>
      <c r="AFB65" s="10"/>
      <c r="AFC65" s="10"/>
      <c r="AFD65" s="10"/>
      <c r="AFE65" s="10"/>
      <c r="AFF65" s="10"/>
      <c r="AFG65" s="10"/>
      <c r="AFH65" s="10"/>
      <c r="AFI65" s="10"/>
      <c r="AFJ65" s="10"/>
      <c r="AFK65" s="10"/>
      <c r="AFL65" s="10"/>
      <c r="AFM65" s="10"/>
      <c r="AFN65" s="10"/>
      <c r="AFO65" s="10"/>
      <c r="AFP65" s="10"/>
      <c r="AFQ65" s="10"/>
      <c r="AFR65" s="10"/>
      <c r="AFS65" s="10"/>
      <c r="AFT65" s="10"/>
      <c r="AFU65" s="10"/>
      <c r="AFV65" s="10"/>
      <c r="AFW65" s="10"/>
      <c r="AFX65" s="10"/>
      <c r="AFY65" s="10"/>
      <c r="AFZ65" s="10"/>
      <c r="AGA65" s="10"/>
      <c r="AGB65" s="10"/>
      <c r="AGC65" s="10"/>
      <c r="AGD65" s="10"/>
      <c r="AGE65" s="10"/>
      <c r="AGF65" s="10"/>
      <c r="AGG65" s="10"/>
      <c r="AGH65" s="10"/>
      <c r="AGI65" s="10"/>
      <c r="AGJ65" s="10"/>
      <c r="AGK65" s="10"/>
      <c r="AGL65" s="10"/>
      <c r="AGM65" s="10"/>
      <c r="AGN65" s="10"/>
      <c r="AGO65" s="10"/>
      <c r="AGP65" s="10"/>
      <c r="AGQ65" s="10"/>
      <c r="AGR65" s="10"/>
      <c r="AGS65" s="10"/>
      <c r="AGT65" s="10"/>
      <c r="AGU65" s="10"/>
      <c r="AGV65" s="10"/>
      <c r="AGW65" s="10"/>
      <c r="AGX65" s="10"/>
      <c r="AGY65" s="10"/>
      <c r="AGZ65" s="10"/>
      <c r="AHA65" s="10"/>
      <c r="AHB65" s="10"/>
      <c r="AHC65" s="10"/>
      <c r="AHD65" s="10"/>
      <c r="AHE65" s="10"/>
      <c r="AHF65" s="10"/>
      <c r="AHG65" s="10"/>
      <c r="AHH65" s="10"/>
      <c r="AHI65" s="10"/>
      <c r="AHJ65" s="10"/>
      <c r="AHK65" s="10"/>
      <c r="AHL65" s="10"/>
      <c r="AHM65" s="10"/>
      <c r="AHN65" s="10"/>
      <c r="AHO65" s="10"/>
      <c r="AHP65" s="10"/>
      <c r="AHQ65" s="10"/>
      <c r="AHR65" s="10"/>
      <c r="AHS65" s="10"/>
      <c r="AHT65" s="10"/>
      <c r="AHU65" s="10"/>
      <c r="AHV65" s="10"/>
      <c r="AHW65" s="10"/>
      <c r="AHX65" s="10"/>
      <c r="AHY65" s="10"/>
      <c r="AHZ65" s="10"/>
      <c r="AIA65" s="10"/>
      <c r="AIB65" s="10"/>
      <c r="AIC65" s="10"/>
      <c r="AID65" s="10"/>
      <c r="AIE65" s="10"/>
      <c r="AIF65" s="10"/>
      <c r="AIG65" s="10"/>
      <c r="AIH65" s="10"/>
      <c r="AII65" s="10"/>
      <c r="AIJ65" s="10"/>
      <c r="AIK65" s="10"/>
      <c r="AIL65" s="10"/>
      <c r="AIM65" s="10"/>
      <c r="AIN65" s="10"/>
      <c r="AIO65" s="10"/>
      <c r="AIP65" s="10"/>
      <c r="AIQ65" s="10"/>
      <c r="AIR65" s="10"/>
      <c r="AIS65" s="10"/>
      <c r="AIT65" s="10"/>
      <c r="AIU65" s="10"/>
      <c r="AIV65" s="10"/>
      <c r="AIW65" s="10"/>
      <c r="AIX65" s="10"/>
      <c r="AIY65" s="10"/>
      <c r="AIZ65" s="10"/>
      <c r="AJA65" s="10"/>
      <c r="AJB65" s="10"/>
      <c r="AJC65" s="10"/>
      <c r="AJD65" s="10"/>
      <c r="AJE65" s="10"/>
      <c r="AJF65" s="10"/>
      <c r="AJG65" s="10"/>
      <c r="AJH65" s="10"/>
      <c r="AJI65" s="10"/>
      <c r="AJJ65" s="10"/>
      <c r="AJK65" s="10"/>
      <c r="AJL65" s="10"/>
      <c r="AJM65" s="10"/>
      <c r="AJN65" s="10"/>
      <c r="AJO65" s="10"/>
      <c r="AJP65" s="10"/>
      <c r="AJQ65" s="10"/>
      <c r="AJR65" s="10"/>
      <c r="AJS65" s="10"/>
      <c r="AJT65" s="10"/>
      <c r="AJU65" s="10"/>
      <c r="AJV65" s="10"/>
      <c r="AJW65" s="10"/>
      <c r="AJX65" s="10"/>
      <c r="AJY65" s="10"/>
      <c r="AJZ65" s="10"/>
      <c r="AKA65" s="10"/>
      <c r="AKB65" s="10"/>
      <c r="AKC65" s="10"/>
      <c r="AKD65" s="10"/>
      <c r="AKE65" s="10"/>
      <c r="AKF65" s="10"/>
      <c r="AKG65" s="10"/>
      <c r="AKH65" s="10"/>
      <c r="AKI65" s="10"/>
      <c r="AKJ65" s="10"/>
      <c r="AKK65" s="10"/>
      <c r="AKL65" s="10"/>
      <c r="AKM65" s="10"/>
      <c r="AKN65" s="10"/>
      <c r="AKO65" s="10"/>
      <c r="AKP65" s="10"/>
      <c r="AKQ65" s="10"/>
      <c r="AKR65" s="10"/>
      <c r="AKS65" s="10"/>
      <c r="AKT65" s="10"/>
      <c r="AKU65" s="10"/>
      <c r="AKV65" s="10"/>
      <c r="AKW65" s="10"/>
      <c r="AKX65" s="10"/>
      <c r="AKY65" s="10"/>
      <c r="AKZ65" s="10"/>
      <c r="ALA65" s="10"/>
      <c r="ALB65" s="10"/>
      <c r="ALC65" s="10"/>
      <c r="ALD65" s="10"/>
      <c r="ALE65" s="10"/>
      <c r="ALF65" s="10"/>
      <c r="ALG65" s="10"/>
      <c r="ALH65" s="10"/>
      <c r="ALI65" s="10"/>
      <c r="ALJ65" s="10"/>
      <c r="ALK65" s="10"/>
      <c r="ALL65" s="10"/>
      <c r="ALM65" s="10"/>
      <c r="ALN65" s="10"/>
      <c r="ALO65" s="10"/>
      <c r="ALP65" s="10"/>
      <c r="ALQ65" s="10"/>
      <c r="ALR65" s="10"/>
      <c r="ALS65" s="10"/>
      <c r="ALT65" s="10"/>
      <c r="ALU65" s="10"/>
      <c r="ALV65" s="10"/>
      <c r="ALW65" s="10"/>
      <c r="ALX65" s="10"/>
      <c r="ALY65" s="10"/>
      <c r="ALZ65" s="10"/>
      <c r="AMA65" s="10"/>
      <c r="AMB65" s="10"/>
      <c r="AMC65" s="10"/>
      <c r="AMD65" s="10"/>
      <c r="AME65" s="10"/>
      <c r="AMF65" s="10"/>
      <c r="AMG65" s="10"/>
      <c r="AMH65" s="10"/>
      <c r="AMI65" s="10"/>
      <c r="AMJ65" s="10"/>
      <c r="AMK65" s="10"/>
      <c r="AML65" s="10"/>
      <c r="AMM65" s="10"/>
      <c r="AMN65" s="10"/>
      <c r="AMO65" s="10"/>
      <c r="AMP65" s="10"/>
      <c r="AMQ65" s="10"/>
      <c r="AMR65" s="10"/>
      <c r="AMS65" s="10"/>
      <c r="AMT65" s="10"/>
      <c r="AMU65" s="10"/>
      <c r="AMV65" s="10"/>
      <c r="AMW65" s="10"/>
      <c r="AMX65" s="10"/>
      <c r="AMY65" s="10"/>
      <c r="AMZ65" s="10"/>
      <c r="ANA65" s="10"/>
      <c r="ANB65" s="10"/>
      <c r="ANC65" s="10"/>
      <c r="AND65" s="10"/>
      <c r="ANE65" s="10"/>
      <c r="ANF65" s="10"/>
      <c r="ANG65" s="10"/>
      <c r="ANH65" s="10"/>
      <c r="ANI65" s="10"/>
      <c r="ANJ65" s="10"/>
      <c r="ANK65" s="10"/>
      <c r="ANL65" s="10"/>
      <c r="ANM65" s="10"/>
      <c r="ANN65" s="10"/>
      <c r="ANO65" s="10"/>
      <c r="ANP65" s="10"/>
      <c r="ANQ65" s="10"/>
      <c r="ANR65" s="10"/>
      <c r="ANS65" s="10"/>
      <c r="ANT65" s="10"/>
      <c r="ANU65" s="10"/>
      <c r="ANV65" s="10"/>
      <c r="ANW65" s="10"/>
      <c r="ANX65" s="10"/>
      <c r="ANY65" s="10"/>
      <c r="ANZ65" s="10"/>
      <c r="AOA65" s="10"/>
      <c r="AOB65" s="10"/>
      <c r="AOC65" s="10"/>
      <c r="AOD65" s="10"/>
      <c r="AOE65" s="10"/>
      <c r="AOF65" s="10"/>
      <c r="AOG65" s="10"/>
      <c r="AOH65" s="10"/>
      <c r="AOI65" s="10"/>
      <c r="AOJ65" s="10"/>
      <c r="AOK65" s="10"/>
      <c r="AOL65" s="10"/>
      <c r="AOM65" s="10"/>
      <c r="AON65" s="10"/>
      <c r="AOO65" s="10"/>
      <c r="AOP65" s="10"/>
      <c r="AOQ65" s="10"/>
      <c r="AOR65" s="10"/>
      <c r="AOS65" s="10"/>
      <c r="AOT65" s="10"/>
      <c r="AOU65" s="10"/>
      <c r="AOV65" s="10"/>
      <c r="AOW65" s="10"/>
      <c r="AOX65" s="10"/>
      <c r="AOY65" s="10"/>
      <c r="AOZ65" s="10"/>
      <c r="APA65" s="10"/>
      <c r="APB65" s="10"/>
      <c r="APC65" s="10"/>
      <c r="APD65" s="10"/>
      <c r="APE65" s="10"/>
      <c r="APF65" s="10"/>
      <c r="APG65" s="10"/>
      <c r="APH65" s="10"/>
      <c r="API65" s="10"/>
      <c r="APJ65" s="10"/>
      <c r="APK65" s="10"/>
      <c r="APL65" s="10"/>
      <c r="APM65" s="10"/>
      <c r="APN65" s="10"/>
      <c r="APO65" s="10"/>
      <c r="APP65" s="10"/>
      <c r="APQ65" s="10"/>
      <c r="APR65" s="10"/>
      <c r="APS65" s="10"/>
      <c r="APT65" s="10"/>
      <c r="APU65" s="10"/>
      <c r="APV65" s="10"/>
      <c r="APW65" s="10"/>
      <c r="APX65" s="10"/>
      <c r="APY65" s="10"/>
      <c r="APZ65" s="10"/>
      <c r="AQA65" s="10"/>
      <c r="AQB65" s="10"/>
      <c r="AQC65" s="10"/>
      <c r="AQD65" s="10"/>
      <c r="AQE65" s="10"/>
      <c r="AQF65" s="10"/>
      <c r="AQG65" s="10"/>
      <c r="AQH65" s="10"/>
      <c r="AQI65" s="10"/>
      <c r="AQJ65" s="10"/>
      <c r="AQK65" s="10"/>
      <c r="AQL65" s="10"/>
      <c r="AQM65" s="10"/>
      <c r="AQN65" s="10"/>
      <c r="AQO65" s="10"/>
      <c r="AQP65" s="10"/>
      <c r="AQQ65" s="10"/>
      <c r="AQR65" s="10"/>
      <c r="AQS65" s="10"/>
      <c r="AQT65" s="10"/>
      <c r="AQU65" s="10"/>
      <c r="AQV65" s="10"/>
      <c r="AQW65" s="10"/>
      <c r="AQX65" s="10"/>
      <c r="AQY65" s="10"/>
      <c r="AQZ65" s="10"/>
      <c r="ARA65" s="10"/>
      <c r="ARB65" s="10"/>
      <c r="ARC65" s="10"/>
      <c r="ARD65" s="10"/>
      <c r="ARE65" s="10"/>
      <c r="ARF65" s="10"/>
      <c r="ARG65" s="10"/>
      <c r="ARH65" s="10"/>
      <c r="ARI65" s="10"/>
      <c r="ARJ65" s="10"/>
      <c r="ARK65" s="10"/>
      <c r="ARL65" s="10"/>
      <c r="ARM65" s="10"/>
      <c r="ARN65" s="10"/>
      <c r="ARO65" s="10"/>
      <c r="ARP65" s="10"/>
      <c r="ARQ65" s="10"/>
      <c r="ARR65" s="10"/>
      <c r="ARS65" s="10"/>
      <c r="ART65" s="10"/>
      <c r="ARU65" s="10"/>
      <c r="ARV65" s="10"/>
      <c r="ARW65" s="10"/>
      <c r="ARX65" s="10"/>
      <c r="ARY65" s="10"/>
      <c r="ARZ65" s="10"/>
      <c r="ASA65" s="10"/>
      <c r="ASB65" s="10"/>
      <c r="ASC65" s="10"/>
      <c r="ASD65" s="10"/>
      <c r="ASE65" s="10"/>
      <c r="ASF65" s="10"/>
      <c r="ASG65" s="10"/>
      <c r="ASH65" s="10"/>
      <c r="ASI65" s="10"/>
      <c r="ASJ65" s="10"/>
      <c r="ASK65" s="10"/>
      <c r="ASL65" s="10"/>
      <c r="ASM65" s="10"/>
      <c r="ASN65" s="10"/>
      <c r="ASO65" s="10"/>
      <c r="ASP65" s="10"/>
      <c r="ASQ65" s="10"/>
      <c r="ASR65" s="10"/>
      <c r="ASS65" s="10"/>
      <c r="AST65" s="10"/>
      <c r="ASU65" s="10"/>
      <c r="ASV65" s="10"/>
      <c r="ASW65" s="10"/>
      <c r="ASX65" s="10"/>
      <c r="ASY65" s="10"/>
      <c r="ASZ65" s="10"/>
      <c r="ATA65" s="10"/>
      <c r="ATB65" s="10"/>
      <c r="ATC65" s="10"/>
      <c r="ATD65" s="10"/>
      <c r="ATE65" s="10"/>
      <c r="ATF65" s="10"/>
      <c r="ATG65" s="10"/>
      <c r="ATH65" s="10"/>
      <c r="ATI65" s="10"/>
      <c r="ATJ65" s="10"/>
      <c r="ATK65" s="10"/>
      <c r="ATL65" s="10"/>
      <c r="ATM65" s="10"/>
      <c r="ATN65" s="10"/>
      <c r="ATO65" s="10"/>
      <c r="ATP65" s="10"/>
      <c r="ATQ65" s="10"/>
      <c r="ATR65" s="10"/>
      <c r="ATS65" s="10"/>
      <c r="ATT65" s="10"/>
      <c r="ATU65" s="10"/>
      <c r="ATV65" s="10"/>
      <c r="ATW65" s="10"/>
      <c r="ATX65" s="10"/>
      <c r="ATY65" s="10"/>
      <c r="ATZ65" s="10"/>
      <c r="AUA65" s="10"/>
      <c r="AUB65" s="10"/>
      <c r="AUC65" s="10"/>
      <c r="AUD65" s="10"/>
      <c r="AUE65" s="10"/>
      <c r="AUF65" s="10"/>
      <c r="AUG65" s="10"/>
      <c r="AUH65" s="10"/>
      <c r="AUI65" s="10"/>
      <c r="AUJ65" s="10"/>
      <c r="AUK65" s="10"/>
      <c r="AUL65" s="10"/>
      <c r="AUM65" s="10"/>
      <c r="AUN65" s="10"/>
      <c r="AUO65" s="10"/>
      <c r="AUP65" s="10"/>
      <c r="AUQ65" s="10"/>
      <c r="AUR65" s="10"/>
      <c r="AUS65" s="10"/>
      <c r="AUT65" s="10"/>
      <c r="AUU65" s="10"/>
      <c r="AUV65" s="10"/>
      <c r="AUW65" s="10"/>
      <c r="AUX65" s="10"/>
      <c r="AUY65" s="10"/>
      <c r="AUZ65" s="10"/>
      <c r="AVA65" s="10"/>
      <c r="AVB65" s="10"/>
      <c r="AVC65" s="10"/>
      <c r="AVD65" s="10"/>
      <c r="AVE65" s="10"/>
      <c r="AVF65" s="10"/>
      <c r="AVG65" s="10"/>
      <c r="AVH65" s="10"/>
      <c r="AVI65" s="10"/>
      <c r="AVJ65" s="10"/>
      <c r="AVK65" s="10"/>
      <c r="AVL65" s="10"/>
      <c r="AVM65" s="10"/>
      <c r="AVN65" s="10"/>
      <c r="AVO65" s="10"/>
      <c r="AVP65" s="10"/>
      <c r="AVQ65" s="10"/>
      <c r="AVR65" s="10"/>
      <c r="AVS65" s="10"/>
      <c r="AVT65" s="10"/>
      <c r="AVU65" s="10"/>
      <c r="AVV65" s="10"/>
      <c r="AVW65" s="10"/>
      <c r="AVX65" s="10"/>
      <c r="AVY65" s="10"/>
      <c r="AVZ65" s="10"/>
      <c r="AWA65" s="10"/>
      <c r="AWB65" s="10"/>
      <c r="AWC65" s="10"/>
      <c r="AWD65" s="10"/>
      <c r="AWE65" s="10"/>
      <c r="AWF65" s="10"/>
      <c r="AWG65" s="10"/>
      <c r="AWH65" s="10"/>
      <c r="AWI65" s="10"/>
      <c r="AWJ65" s="10"/>
      <c r="AWK65" s="10"/>
      <c r="AWL65" s="10"/>
      <c r="AWM65" s="10"/>
      <c r="AWN65" s="10"/>
      <c r="AWO65" s="10"/>
      <c r="AWP65" s="10"/>
      <c r="AWQ65" s="10"/>
      <c r="AWR65" s="10"/>
      <c r="AWS65" s="10"/>
      <c r="AWT65" s="10"/>
      <c r="AWU65" s="10"/>
      <c r="AWV65" s="10"/>
      <c r="AWW65" s="10"/>
      <c r="AWX65" s="10"/>
      <c r="AWY65" s="10"/>
      <c r="AWZ65" s="10"/>
      <c r="AXA65" s="10"/>
      <c r="AXB65" s="10"/>
      <c r="AXC65" s="10"/>
      <c r="AXD65" s="10"/>
      <c r="AXE65" s="10"/>
      <c r="AXF65" s="10"/>
      <c r="AXG65" s="10"/>
      <c r="AXH65" s="10"/>
      <c r="AXI65" s="10"/>
      <c r="AXJ65" s="10"/>
      <c r="AXK65" s="10"/>
      <c r="AXL65" s="10"/>
      <c r="AXM65" s="10"/>
      <c r="AXN65" s="10"/>
      <c r="AXO65" s="10"/>
      <c r="AXP65" s="10"/>
      <c r="AXQ65" s="10"/>
      <c r="AXR65" s="10"/>
      <c r="AXS65" s="10"/>
      <c r="AXT65" s="10"/>
      <c r="AXU65" s="10"/>
      <c r="AXV65" s="10"/>
      <c r="AXW65" s="10"/>
      <c r="AXX65" s="10"/>
      <c r="AXY65" s="10"/>
      <c r="AXZ65" s="10"/>
      <c r="AYA65" s="10"/>
      <c r="AYB65" s="10"/>
      <c r="AYC65" s="10"/>
      <c r="AYD65" s="10"/>
      <c r="AYE65" s="10"/>
      <c r="AYF65" s="10"/>
      <c r="AYG65" s="10"/>
      <c r="AYH65" s="10"/>
      <c r="AYI65" s="10"/>
      <c r="AYJ65" s="10"/>
      <c r="AYK65" s="10"/>
      <c r="AYL65" s="10"/>
      <c r="AYM65" s="10"/>
      <c r="AYN65" s="10"/>
      <c r="AYO65" s="10"/>
      <c r="AYP65" s="10"/>
      <c r="AYQ65" s="10"/>
      <c r="AYR65" s="10"/>
      <c r="AYS65" s="10"/>
      <c r="AYT65" s="10"/>
      <c r="AYU65" s="10"/>
      <c r="AYV65" s="10"/>
      <c r="AYW65" s="10"/>
      <c r="AYX65" s="10"/>
      <c r="AYY65" s="10"/>
      <c r="AYZ65" s="10"/>
      <c r="AZA65" s="10"/>
      <c r="AZB65" s="10"/>
      <c r="AZC65" s="10"/>
      <c r="AZD65" s="10"/>
      <c r="AZE65" s="10"/>
      <c r="AZF65" s="10"/>
      <c r="AZG65" s="10"/>
      <c r="AZH65" s="10"/>
      <c r="AZI65" s="10"/>
      <c r="AZJ65" s="10"/>
      <c r="AZK65" s="10"/>
      <c r="AZL65" s="10"/>
      <c r="AZM65" s="10"/>
      <c r="AZN65" s="10"/>
      <c r="AZO65" s="10"/>
      <c r="AZP65" s="10"/>
      <c r="AZQ65" s="10"/>
      <c r="AZR65" s="10"/>
      <c r="AZS65" s="10"/>
      <c r="AZT65" s="10"/>
      <c r="AZU65" s="10"/>
      <c r="AZV65" s="10"/>
      <c r="AZW65" s="10"/>
      <c r="AZX65" s="10"/>
      <c r="AZY65" s="10"/>
      <c r="AZZ65" s="10"/>
      <c r="BAA65" s="10"/>
      <c r="BAB65" s="10"/>
      <c r="BAC65" s="10"/>
      <c r="BAD65" s="10"/>
      <c r="BAE65" s="10"/>
      <c r="BAF65" s="10"/>
      <c r="BAG65" s="10"/>
      <c r="BAH65" s="10"/>
      <c r="BAI65" s="10"/>
      <c r="BAJ65" s="10"/>
      <c r="BAK65" s="10"/>
      <c r="BAL65" s="10"/>
      <c r="BAM65" s="10"/>
      <c r="BAN65" s="10"/>
      <c r="BAO65" s="10"/>
      <c r="BAP65" s="10"/>
      <c r="BAQ65" s="10"/>
      <c r="BAR65" s="10"/>
      <c r="BAS65" s="10"/>
      <c r="BAT65" s="10"/>
      <c r="BAU65" s="10"/>
      <c r="BAV65" s="10"/>
      <c r="BAW65" s="10"/>
      <c r="BAX65" s="10"/>
      <c r="BAY65" s="10"/>
      <c r="BAZ65" s="10"/>
      <c r="BBA65" s="10"/>
      <c r="BBB65" s="10"/>
      <c r="BBC65" s="10"/>
      <c r="BBD65" s="10"/>
      <c r="BBE65" s="10"/>
      <c r="BBF65" s="10"/>
      <c r="BBG65" s="10"/>
      <c r="BBH65" s="10"/>
      <c r="BBI65" s="10"/>
      <c r="BBJ65" s="10"/>
      <c r="BBK65" s="10"/>
      <c r="BBL65" s="10"/>
      <c r="BBM65" s="10"/>
      <c r="BBN65" s="10"/>
      <c r="BBO65" s="10"/>
      <c r="BBP65" s="10"/>
      <c r="BBQ65" s="10"/>
      <c r="BBR65" s="10"/>
      <c r="BBS65" s="10"/>
      <c r="BBT65" s="10"/>
      <c r="BBU65" s="10"/>
      <c r="BBV65" s="10"/>
      <c r="BBW65" s="10"/>
      <c r="BBX65" s="10"/>
      <c r="BBY65" s="10"/>
      <c r="BBZ65" s="10"/>
      <c r="BCA65" s="10"/>
      <c r="BCB65" s="10"/>
      <c r="BCC65" s="10"/>
      <c r="BCD65" s="10"/>
      <c r="BCE65" s="10"/>
      <c r="BCF65" s="10"/>
      <c r="BCG65" s="10"/>
      <c r="BCH65" s="10"/>
      <c r="BCI65" s="10"/>
      <c r="BCJ65" s="10"/>
      <c r="BCK65" s="10"/>
      <c r="BCL65" s="10"/>
      <c r="BCM65" s="10"/>
      <c r="BCN65" s="10"/>
      <c r="BCO65" s="10"/>
      <c r="BCP65" s="10"/>
      <c r="BCQ65" s="10"/>
      <c r="BCR65" s="10"/>
      <c r="BCS65" s="10"/>
      <c r="BCT65" s="10"/>
      <c r="BCU65" s="10"/>
      <c r="BCV65" s="10"/>
      <c r="BCW65" s="10"/>
      <c r="BCX65" s="10"/>
      <c r="BCY65" s="10"/>
      <c r="BCZ65" s="10"/>
      <c r="BDA65" s="10"/>
      <c r="BDB65" s="10"/>
      <c r="BDC65" s="10"/>
      <c r="BDD65" s="10"/>
      <c r="BDE65" s="10"/>
      <c r="BDF65" s="10"/>
      <c r="BDG65" s="10"/>
      <c r="BDH65" s="10"/>
      <c r="BDI65" s="10"/>
      <c r="BDJ65" s="10"/>
      <c r="BDK65" s="10"/>
      <c r="BDL65" s="10"/>
      <c r="BDM65" s="10"/>
      <c r="BDN65" s="10"/>
      <c r="BDO65" s="10"/>
      <c r="BDP65" s="10"/>
      <c r="BDQ65" s="10"/>
      <c r="BDR65" s="10"/>
      <c r="BDS65" s="10"/>
      <c r="BDT65" s="10"/>
      <c r="BDU65" s="10"/>
      <c r="BDV65" s="10"/>
      <c r="BDW65" s="10"/>
      <c r="BDX65" s="10"/>
      <c r="BDY65" s="10"/>
      <c r="BDZ65" s="10"/>
      <c r="BEA65" s="10"/>
      <c r="BEB65" s="10"/>
      <c r="BEC65" s="10"/>
      <c r="BED65" s="10"/>
      <c r="BEE65" s="10"/>
      <c r="BEF65" s="10"/>
      <c r="BEG65" s="10"/>
      <c r="BEH65" s="10"/>
      <c r="BEI65" s="10"/>
      <c r="BEJ65" s="10"/>
      <c r="BEK65" s="10"/>
      <c r="BEL65" s="10"/>
      <c r="BEM65" s="10"/>
      <c r="BEN65" s="10"/>
      <c r="BEO65" s="10"/>
      <c r="BEP65" s="10"/>
      <c r="BEQ65" s="10"/>
      <c r="BER65" s="10"/>
      <c r="BES65" s="10"/>
      <c r="BET65" s="10"/>
      <c r="BEU65" s="10"/>
      <c r="BEV65" s="10"/>
      <c r="BEW65" s="10"/>
      <c r="BEX65" s="10"/>
      <c r="BEY65" s="10"/>
      <c r="BEZ65" s="10"/>
      <c r="BFA65" s="10"/>
      <c r="BFB65" s="10"/>
      <c r="BFC65" s="10"/>
      <c r="BFD65" s="10"/>
      <c r="BFE65" s="10"/>
      <c r="BFF65" s="10"/>
      <c r="BFG65" s="10"/>
      <c r="BFH65" s="10"/>
      <c r="BFI65" s="10"/>
      <c r="BFJ65" s="10"/>
      <c r="BFK65" s="10"/>
      <c r="BFL65" s="10"/>
      <c r="BFM65" s="10"/>
      <c r="BFN65" s="10"/>
      <c r="BFO65" s="10"/>
      <c r="BFP65" s="10"/>
      <c r="BFQ65" s="10"/>
      <c r="BFR65" s="10"/>
      <c r="BFS65" s="10"/>
      <c r="BFT65" s="10"/>
      <c r="BFU65" s="10"/>
      <c r="BFV65" s="10"/>
      <c r="BFW65" s="10"/>
      <c r="BFX65" s="10"/>
      <c r="BFY65" s="10"/>
      <c r="BFZ65" s="10"/>
      <c r="BGA65" s="10"/>
      <c r="BGB65" s="10"/>
      <c r="BGC65" s="10"/>
      <c r="BGD65" s="10"/>
      <c r="BGE65" s="10"/>
      <c r="BGF65" s="10"/>
      <c r="BGG65" s="10"/>
      <c r="BGH65" s="10"/>
      <c r="BGI65" s="10"/>
      <c r="BGJ65" s="10"/>
      <c r="BGK65" s="10"/>
      <c r="BGL65" s="10"/>
      <c r="BGM65" s="10"/>
      <c r="BGN65" s="10"/>
      <c r="BGO65" s="10"/>
      <c r="BGP65" s="10"/>
      <c r="BGQ65" s="10"/>
      <c r="BGR65" s="10"/>
      <c r="BGS65" s="10"/>
      <c r="BGT65" s="10"/>
      <c r="BGU65" s="10"/>
      <c r="BGV65" s="10"/>
      <c r="BGW65" s="10"/>
      <c r="BGX65" s="10"/>
      <c r="BGY65" s="10"/>
      <c r="BGZ65" s="10"/>
      <c r="BHA65" s="10"/>
      <c r="BHB65" s="10"/>
      <c r="BHC65" s="10"/>
      <c r="BHD65" s="10"/>
      <c r="BHE65" s="10"/>
      <c r="BHF65" s="10"/>
      <c r="BHG65" s="10"/>
      <c r="BHH65" s="10"/>
      <c r="BHI65" s="10"/>
      <c r="BHJ65" s="10"/>
      <c r="BHK65" s="10"/>
      <c r="BHL65" s="10"/>
      <c r="BHM65" s="10"/>
      <c r="BHN65" s="10"/>
      <c r="BHO65" s="10"/>
      <c r="BHP65" s="10"/>
      <c r="BHQ65" s="10"/>
      <c r="BHR65" s="10"/>
      <c r="BHS65" s="10"/>
      <c r="BHT65" s="10"/>
      <c r="BHU65" s="10"/>
      <c r="BHV65" s="10"/>
      <c r="BHW65" s="10"/>
      <c r="BHX65" s="10"/>
      <c r="BHY65" s="10"/>
      <c r="BHZ65" s="10"/>
      <c r="BIA65" s="10"/>
      <c r="BIB65" s="10"/>
      <c r="BIC65" s="10"/>
      <c r="BID65" s="10"/>
      <c r="BIE65" s="10"/>
      <c r="BIF65" s="10"/>
      <c r="BIG65" s="10"/>
      <c r="BIH65" s="10"/>
      <c r="BII65" s="10"/>
      <c r="BIJ65" s="10"/>
      <c r="BIK65" s="10"/>
      <c r="BIL65" s="10"/>
      <c r="BIM65" s="10"/>
      <c r="BIN65" s="10"/>
      <c r="BIO65" s="10"/>
      <c r="BIP65" s="10"/>
      <c r="BIQ65" s="10"/>
      <c r="BIR65" s="10"/>
      <c r="BIS65" s="10"/>
      <c r="BIT65" s="10"/>
      <c r="BIU65" s="10"/>
      <c r="BIV65" s="10"/>
      <c r="BIW65" s="10"/>
      <c r="BIX65" s="10"/>
      <c r="BIY65" s="10"/>
      <c r="BIZ65" s="10"/>
      <c r="BJA65" s="10"/>
      <c r="BJB65" s="10"/>
      <c r="BJC65" s="10"/>
      <c r="BJD65" s="10"/>
      <c r="BJE65" s="10"/>
      <c r="BJF65" s="10"/>
      <c r="BJG65" s="10"/>
      <c r="BJH65" s="10"/>
      <c r="BJI65" s="10"/>
      <c r="BJJ65" s="10"/>
      <c r="BJK65" s="10"/>
      <c r="BJL65" s="10"/>
      <c r="BJM65" s="10"/>
      <c r="BJN65" s="10"/>
      <c r="BJO65" s="10"/>
      <c r="BJP65" s="10"/>
      <c r="BJQ65" s="10"/>
      <c r="BJR65" s="10"/>
      <c r="BJS65" s="10"/>
      <c r="BJT65" s="10"/>
      <c r="BJU65" s="10"/>
      <c r="BJV65" s="10"/>
      <c r="BJW65" s="10"/>
      <c r="BJX65" s="10"/>
      <c r="BJY65" s="10"/>
      <c r="BJZ65" s="10"/>
      <c r="BKA65" s="10"/>
      <c r="BKB65" s="10"/>
      <c r="BKC65" s="10"/>
      <c r="BKD65" s="10"/>
      <c r="BKE65" s="10"/>
      <c r="BKF65" s="10"/>
      <c r="BKG65" s="10"/>
      <c r="BKH65" s="10"/>
      <c r="BKI65" s="10"/>
      <c r="BKJ65" s="10"/>
      <c r="BKK65" s="10"/>
      <c r="BKL65" s="10"/>
      <c r="BKM65" s="10"/>
      <c r="BKN65" s="10"/>
      <c r="BKO65" s="10"/>
      <c r="BKP65" s="10"/>
      <c r="BKQ65" s="10"/>
      <c r="BKR65" s="10"/>
      <c r="BKS65" s="10"/>
      <c r="BKT65" s="10"/>
      <c r="BKU65" s="10"/>
      <c r="BKV65" s="10"/>
      <c r="BKW65" s="10"/>
      <c r="BKX65" s="10"/>
      <c r="BKY65" s="10"/>
      <c r="BKZ65" s="10"/>
      <c r="BLA65" s="10"/>
      <c r="BLB65" s="10"/>
      <c r="BLC65" s="10"/>
      <c r="BLD65" s="10"/>
      <c r="BLE65" s="10"/>
      <c r="BLF65" s="10"/>
      <c r="BLG65" s="10"/>
      <c r="BLH65" s="10"/>
      <c r="BLI65" s="10"/>
      <c r="BLJ65" s="10"/>
      <c r="BLK65" s="10"/>
      <c r="BLL65" s="10"/>
      <c r="BLM65" s="10"/>
      <c r="BLN65" s="10"/>
      <c r="BLO65" s="10"/>
      <c r="BLP65" s="10"/>
      <c r="BLQ65" s="10"/>
      <c r="BLR65" s="10"/>
      <c r="BLS65" s="10"/>
      <c r="BLT65" s="10"/>
      <c r="BLU65" s="10"/>
      <c r="BLV65" s="10"/>
      <c r="BLW65" s="10"/>
      <c r="BLX65" s="10"/>
      <c r="BLY65" s="10"/>
      <c r="BLZ65" s="10"/>
      <c r="BMA65" s="10"/>
      <c r="BMB65" s="10"/>
      <c r="BMC65" s="10"/>
      <c r="BMD65" s="10"/>
      <c r="BME65" s="10"/>
      <c r="BMF65" s="10"/>
      <c r="BMG65" s="10"/>
      <c r="BMH65" s="10"/>
      <c r="BMI65" s="10"/>
      <c r="BMJ65" s="10"/>
      <c r="BMK65" s="10"/>
      <c r="BML65" s="10"/>
      <c r="BMM65" s="10"/>
      <c r="BMN65" s="10"/>
      <c r="BMO65" s="10"/>
      <c r="BMP65" s="10"/>
      <c r="BMQ65" s="10"/>
      <c r="BMR65" s="10"/>
      <c r="BMS65" s="10"/>
      <c r="BMT65" s="10"/>
      <c r="BMU65" s="10"/>
      <c r="BMV65" s="10"/>
      <c r="BMW65" s="10"/>
      <c r="BMX65" s="10"/>
      <c r="BMY65" s="10"/>
      <c r="BMZ65" s="10"/>
      <c r="BNA65" s="10"/>
      <c r="BNB65" s="10"/>
      <c r="BNC65" s="10"/>
      <c r="BND65" s="10"/>
      <c r="BNE65" s="10"/>
      <c r="BNF65" s="10"/>
      <c r="BNG65" s="10"/>
      <c r="BNH65" s="10"/>
      <c r="BNI65" s="10"/>
      <c r="BNJ65" s="10"/>
      <c r="BNK65" s="10"/>
      <c r="BNL65" s="10"/>
      <c r="BNM65" s="10"/>
      <c r="BNN65" s="10"/>
      <c r="BNO65" s="10"/>
      <c r="BNP65" s="10"/>
      <c r="BNQ65" s="10"/>
      <c r="BNR65" s="10"/>
      <c r="BNS65" s="10"/>
      <c r="BNT65" s="10"/>
      <c r="BNU65" s="10"/>
      <c r="BNV65" s="10"/>
      <c r="BNW65" s="10"/>
      <c r="BNX65" s="10"/>
      <c r="BNY65" s="10"/>
      <c r="BNZ65" s="10"/>
      <c r="BOA65" s="10"/>
      <c r="BOB65" s="10"/>
      <c r="BOC65" s="10"/>
      <c r="BOD65" s="10"/>
      <c r="BOE65" s="10"/>
      <c r="BOF65" s="10"/>
      <c r="BOG65" s="10"/>
      <c r="BOH65" s="10"/>
      <c r="BOI65" s="10"/>
      <c r="BOJ65" s="10"/>
      <c r="BOK65" s="10"/>
      <c r="BOL65" s="10"/>
      <c r="BOM65" s="10"/>
      <c r="BON65" s="10"/>
      <c r="BOO65" s="10"/>
      <c r="BOP65" s="10"/>
      <c r="BOQ65" s="10"/>
      <c r="BOR65" s="10"/>
      <c r="BOS65" s="10"/>
      <c r="BOT65" s="10"/>
      <c r="BOU65" s="10"/>
      <c r="BOV65" s="10"/>
      <c r="BOW65" s="10"/>
      <c r="BOX65" s="10"/>
      <c r="BOY65" s="10"/>
      <c r="BOZ65" s="10"/>
      <c r="BPA65" s="10"/>
      <c r="BPB65" s="10"/>
      <c r="BPC65" s="10"/>
      <c r="BPD65" s="10"/>
      <c r="BPE65" s="10"/>
      <c r="BPF65" s="10"/>
      <c r="BPG65" s="10"/>
      <c r="BPH65" s="10"/>
      <c r="BPI65" s="10"/>
      <c r="BPJ65" s="10"/>
      <c r="BPK65" s="10"/>
      <c r="BPL65" s="10"/>
      <c r="BPM65" s="10"/>
      <c r="BPN65" s="10"/>
      <c r="BPO65" s="10"/>
      <c r="BPP65" s="10"/>
      <c r="BPQ65" s="10"/>
      <c r="BPR65" s="10"/>
      <c r="BPS65" s="10"/>
      <c r="BPT65" s="10"/>
      <c r="BPU65" s="10"/>
      <c r="BPV65" s="10"/>
      <c r="BPW65" s="10"/>
      <c r="BPX65" s="10"/>
      <c r="BPY65" s="10"/>
      <c r="BPZ65" s="10"/>
      <c r="BQA65" s="10"/>
      <c r="BQB65" s="10"/>
      <c r="BQC65" s="10"/>
      <c r="BQD65" s="10"/>
      <c r="BQE65" s="10"/>
      <c r="BQF65" s="10"/>
      <c r="BQG65" s="10"/>
      <c r="BQH65" s="10"/>
      <c r="BQI65" s="10"/>
      <c r="BQJ65" s="10"/>
      <c r="BQK65" s="10"/>
      <c r="BQL65" s="10"/>
      <c r="BQM65" s="10"/>
      <c r="BQN65" s="10"/>
      <c r="BQO65" s="10"/>
      <c r="BQP65" s="10"/>
      <c r="BQQ65" s="10"/>
      <c r="BQR65" s="10"/>
      <c r="BQS65" s="10"/>
      <c r="BQT65" s="10"/>
      <c r="BQU65" s="10"/>
      <c r="BQV65" s="10"/>
      <c r="BQW65" s="10"/>
      <c r="BQX65" s="10"/>
      <c r="BQY65" s="10"/>
      <c r="BQZ65" s="10"/>
      <c r="BRA65" s="10"/>
      <c r="BRB65" s="10"/>
      <c r="BRC65" s="10"/>
      <c r="BRD65" s="10"/>
      <c r="BRE65" s="10"/>
      <c r="BRF65" s="10"/>
      <c r="BRG65" s="10"/>
      <c r="BRH65" s="10"/>
      <c r="BRI65" s="10"/>
      <c r="BRJ65" s="10"/>
      <c r="BRK65" s="10"/>
      <c r="BRL65" s="10"/>
      <c r="BRM65" s="10"/>
      <c r="BRN65" s="10"/>
      <c r="BRO65" s="10"/>
      <c r="BRP65" s="10"/>
      <c r="BRQ65" s="10"/>
      <c r="BRR65" s="10"/>
      <c r="BRS65" s="10"/>
      <c r="BRT65" s="10"/>
      <c r="BRU65" s="10"/>
      <c r="BRV65" s="10"/>
      <c r="BRW65" s="10"/>
      <c r="BRX65" s="10"/>
      <c r="BRY65" s="10"/>
      <c r="BRZ65" s="10"/>
      <c r="BSA65" s="10"/>
      <c r="BSB65" s="10"/>
      <c r="BSC65" s="10"/>
      <c r="BSD65" s="10"/>
      <c r="BSE65" s="10"/>
      <c r="BSF65" s="10"/>
      <c r="BSG65" s="10"/>
      <c r="BSH65" s="10"/>
      <c r="BSI65" s="10"/>
      <c r="BSJ65" s="10"/>
      <c r="BSK65" s="10"/>
      <c r="BSL65" s="10"/>
      <c r="BSM65" s="10"/>
      <c r="BSN65" s="10"/>
      <c r="BSO65" s="10"/>
      <c r="BSP65" s="10"/>
      <c r="BSQ65" s="10"/>
      <c r="BSR65" s="10"/>
      <c r="BSS65" s="10"/>
      <c r="BST65" s="10"/>
      <c r="BSU65" s="10"/>
      <c r="BSV65" s="10"/>
      <c r="BSW65" s="10"/>
      <c r="BSX65" s="10"/>
      <c r="BSY65" s="10"/>
      <c r="BSZ65" s="10"/>
      <c r="BTA65" s="10"/>
      <c r="BTB65" s="10"/>
      <c r="BTC65" s="10"/>
      <c r="BTD65" s="10"/>
      <c r="BTE65" s="10"/>
      <c r="BTF65" s="10"/>
      <c r="BTG65" s="10"/>
      <c r="BTH65" s="10"/>
      <c r="BTI65" s="10"/>
      <c r="BTJ65" s="10"/>
      <c r="BTK65" s="10"/>
      <c r="BTL65" s="10"/>
      <c r="BTM65" s="10"/>
      <c r="BTN65" s="10"/>
      <c r="BTO65" s="10"/>
      <c r="BTP65" s="10"/>
      <c r="BTQ65" s="10"/>
      <c r="BTR65" s="10"/>
      <c r="BTS65" s="10"/>
      <c r="BTT65" s="10"/>
      <c r="BTU65" s="10"/>
      <c r="BTV65" s="10"/>
      <c r="BTW65" s="10"/>
      <c r="BTX65" s="10"/>
      <c r="BTY65" s="10"/>
      <c r="BTZ65" s="10"/>
      <c r="BUA65" s="10"/>
      <c r="BUB65" s="10"/>
      <c r="BUC65" s="10"/>
      <c r="BUD65" s="10"/>
      <c r="BUE65" s="10"/>
      <c r="BUF65" s="10"/>
      <c r="BUG65" s="10"/>
      <c r="BUH65" s="10"/>
      <c r="BUI65" s="10"/>
      <c r="BUJ65" s="10"/>
      <c r="BUK65" s="10"/>
      <c r="BUL65" s="10"/>
      <c r="BUM65" s="10"/>
      <c r="BUN65" s="10"/>
      <c r="BUO65" s="10"/>
      <c r="BUP65" s="10"/>
      <c r="BUQ65" s="10"/>
      <c r="BUR65" s="10"/>
      <c r="BUS65" s="10"/>
      <c r="BUT65" s="10"/>
      <c r="BUU65" s="10"/>
      <c r="BUV65" s="10"/>
      <c r="BUW65" s="10"/>
      <c r="BUX65" s="10"/>
      <c r="BUY65" s="10"/>
      <c r="BUZ65" s="10"/>
      <c r="BVA65" s="10"/>
      <c r="BVB65" s="10"/>
      <c r="BVC65" s="10"/>
      <c r="BVD65" s="10"/>
      <c r="BVE65" s="10"/>
      <c r="BVF65" s="10"/>
      <c r="BVG65" s="10"/>
      <c r="BVH65" s="10"/>
      <c r="BVI65" s="10"/>
      <c r="BVJ65" s="10"/>
      <c r="BVK65" s="10"/>
      <c r="BVL65" s="10"/>
      <c r="BVM65" s="10"/>
      <c r="BVN65" s="10"/>
      <c r="BVO65" s="10"/>
      <c r="BVP65" s="10"/>
      <c r="BVQ65" s="10"/>
      <c r="BVR65" s="10"/>
      <c r="BVS65" s="10"/>
      <c r="BVT65" s="10"/>
      <c r="BVU65" s="10"/>
      <c r="BVV65" s="10"/>
      <c r="BVW65" s="10"/>
      <c r="BVX65" s="10"/>
      <c r="BVY65" s="10"/>
      <c r="BVZ65" s="10"/>
      <c r="BWA65" s="10"/>
      <c r="BWB65" s="10"/>
      <c r="BWC65" s="10"/>
      <c r="BWD65" s="10"/>
      <c r="BWE65" s="10"/>
      <c r="BWF65" s="10"/>
      <c r="BWG65" s="10"/>
      <c r="BWH65" s="10"/>
      <c r="BWI65" s="10"/>
      <c r="BWJ65" s="10"/>
      <c r="BWK65" s="10"/>
      <c r="BWL65" s="10"/>
      <c r="BWM65" s="10"/>
      <c r="BWN65" s="10"/>
      <c r="BWO65" s="10"/>
      <c r="BWP65" s="10"/>
      <c r="BWQ65" s="10"/>
      <c r="BWR65" s="10"/>
      <c r="BWS65" s="10"/>
      <c r="BWT65" s="10"/>
      <c r="BWU65" s="10"/>
      <c r="BWV65" s="10"/>
      <c r="BWW65" s="10"/>
      <c r="BWX65" s="10"/>
      <c r="BWY65" s="10"/>
      <c r="BWZ65" s="10"/>
      <c r="BXA65" s="10"/>
      <c r="BXB65" s="10"/>
      <c r="BXC65" s="10"/>
      <c r="BXD65" s="10"/>
      <c r="BXE65" s="10"/>
      <c r="BXF65" s="10"/>
      <c r="BXG65" s="10"/>
      <c r="BXH65" s="10"/>
      <c r="BXI65" s="10"/>
      <c r="BXJ65" s="10"/>
      <c r="BXK65" s="10"/>
      <c r="BXL65" s="10"/>
      <c r="BXM65" s="10"/>
      <c r="BXN65" s="10"/>
      <c r="BXO65" s="10"/>
      <c r="BXP65" s="10"/>
      <c r="BXQ65" s="10"/>
      <c r="BXR65" s="10"/>
      <c r="BXS65" s="10"/>
      <c r="BXT65" s="10"/>
      <c r="BXU65" s="10"/>
      <c r="BXV65" s="10"/>
      <c r="BXW65" s="10"/>
      <c r="BXX65" s="10"/>
      <c r="BXY65" s="10"/>
      <c r="BXZ65" s="10"/>
      <c r="BYA65" s="10"/>
      <c r="BYB65" s="10"/>
      <c r="BYC65" s="10"/>
      <c r="BYD65" s="10"/>
      <c r="BYE65" s="10"/>
      <c r="BYF65" s="10"/>
      <c r="BYG65" s="10"/>
      <c r="BYH65" s="10"/>
      <c r="BYI65" s="10"/>
      <c r="BYJ65" s="10"/>
      <c r="BYK65" s="10"/>
      <c r="BYL65" s="10"/>
      <c r="BYM65" s="10"/>
      <c r="BYN65" s="10"/>
      <c r="BYO65" s="10"/>
      <c r="BYP65" s="10"/>
      <c r="BYQ65" s="10"/>
      <c r="BYR65" s="10"/>
      <c r="BYS65" s="10"/>
      <c r="BYT65" s="10"/>
      <c r="BYU65" s="10"/>
      <c r="BYV65" s="10"/>
      <c r="BYW65" s="10"/>
      <c r="BYX65" s="10"/>
      <c r="BYY65" s="10"/>
      <c r="BYZ65" s="10"/>
      <c r="BZA65" s="10"/>
      <c r="BZB65" s="10"/>
      <c r="BZC65" s="10"/>
      <c r="BZD65" s="10"/>
      <c r="BZE65" s="10"/>
      <c r="BZF65" s="10"/>
      <c r="BZG65" s="10"/>
      <c r="BZH65" s="10"/>
      <c r="BZI65" s="10"/>
      <c r="BZJ65" s="10"/>
      <c r="BZK65" s="10"/>
      <c r="BZL65" s="10"/>
      <c r="BZM65" s="10"/>
      <c r="BZN65" s="10"/>
      <c r="BZO65" s="10"/>
      <c r="BZP65" s="10"/>
      <c r="BZQ65" s="10"/>
      <c r="BZR65" s="10"/>
      <c r="BZS65" s="10"/>
      <c r="BZT65" s="10"/>
      <c r="BZU65" s="10"/>
      <c r="BZV65" s="10"/>
      <c r="BZW65" s="10"/>
      <c r="BZX65" s="10"/>
      <c r="BZY65" s="10"/>
      <c r="BZZ65" s="10"/>
      <c r="CAA65" s="10"/>
      <c r="CAB65" s="10"/>
      <c r="CAC65" s="10"/>
      <c r="CAD65" s="10"/>
      <c r="CAE65" s="10"/>
      <c r="CAF65" s="10"/>
      <c r="CAG65" s="10"/>
      <c r="CAH65" s="10"/>
      <c r="CAI65" s="10"/>
      <c r="CAJ65" s="10"/>
      <c r="CAK65" s="10"/>
      <c r="CAL65" s="10"/>
      <c r="CAM65" s="10"/>
      <c r="CAN65" s="10"/>
      <c r="CAO65" s="10"/>
      <c r="CAP65" s="10"/>
      <c r="CAQ65" s="10"/>
      <c r="CAR65" s="10"/>
      <c r="CAS65" s="10"/>
      <c r="CAT65" s="10"/>
      <c r="CAU65" s="10"/>
      <c r="CAV65" s="10"/>
      <c r="CAW65" s="10"/>
      <c r="CAX65" s="10"/>
      <c r="CAY65" s="10"/>
      <c r="CAZ65" s="10"/>
      <c r="CBA65" s="10"/>
      <c r="CBB65" s="10"/>
      <c r="CBC65" s="10"/>
      <c r="CBD65" s="10"/>
      <c r="CBE65" s="10"/>
      <c r="CBF65" s="10"/>
      <c r="CBG65" s="10"/>
      <c r="CBH65" s="10"/>
      <c r="CBI65" s="10"/>
      <c r="CBJ65" s="10"/>
      <c r="CBK65" s="10"/>
      <c r="CBL65" s="10"/>
      <c r="CBM65" s="10"/>
      <c r="CBN65" s="10"/>
      <c r="CBO65" s="10"/>
      <c r="CBP65" s="10"/>
      <c r="CBQ65" s="10"/>
      <c r="CBR65" s="10"/>
      <c r="CBS65" s="10"/>
      <c r="CBT65" s="10"/>
      <c r="CBU65" s="10"/>
      <c r="CBV65" s="10"/>
      <c r="CBW65" s="10"/>
      <c r="CBX65" s="10"/>
      <c r="CBY65" s="10"/>
      <c r="CBZ65" s="10"/>
      <c r="CCA65" s="10"/>
      <c r="CCB65" s="10"/>
      <c r="CCC65" s="10"/>
      <c r="CCD65" s="10"/>
      <c r="CCE65" s="10"/>
      <c r="CCF65" s="10"/>
      <c r="CCG65" s="10"/>
      <c r="CCH65" s="10"/>
      <c r="CCI65" s="10"/>
      <c r="CCJ65" s="10"/>
      <c r="CCK65" s="10"/>
      <c r="CCL65" s="10"/>
      <c r="CCM65" s="10"/>
      <c r="CCN65" s="10"/>
      <c r="CCO65" s="10"/>
      <c r="CCP65" s="10"/>
      <c r="CCQ65" s="10"/>
      <c r="CCR65" s="10"/>
      <c r="CCS65" s="10"/>
      <c r="CCT65" s="10"/>
      <c r="CCU65" s="10"/>
      <c r="CCV65" s="10"/>
      <c r="CCW65" s="10"/>
      <c r="CCX65" s="10"/>
      <c r="CCY65" s="10"/>
      <c r="CCZ65" s="10"/>
      <c r="CDA65" s="10"/>
      <c r="CDB65" s="10"/>
      <c r="CDC65" s="10"/>
      <c r="CDD65" s="10"/>
      <c r="CDE65" s="10"/>
      <c r="CDF65" s="10"/>
      <c r="CDG65" s="10"/>
      <c r="CDH65" s="10"/>
      <c r="CDI65" s="10"/>
      <c r="CDJ65" s="10"/>
      <c r="CDK65" s="10"/>
      <c r="CDL65" s="10"/>
      <c r="CDM65" s="10"/>
      <c r="CDN65" s="10"/>
      <c r="CDO65" s="10"/>
      <c r="CDP65" s="10"/>
      <c r="CDQ65" s="10"/>
      <c r="CDR65" s="10"/>
      <c r="CDS65" s="10"/>
      <c r="CDT65" s="10"/>
      <c r="CDU65" s="10"/>
      <c r="CDV65" s="10"/>
      <c r="CDW65" s="10"/>
      <c r="CDX65" s="10"/>
      <c r="CDY65" s="10"/>
      <c r="CDZ65" s="10"/>
      <c r="CEA65" s="10"/>
      <c r="CEB65" s="10"/>
      <c r="CEC65" s="10"/>
      <c r="CED65" s="10"/>
      <c r="CEE65" s="10"/>
      <c r="CEF65" s="10"/>
      <c r="CEG65" s="10"/>
      <c r="CEH65" s="10"/>
      <c r="CEI65" s="10"/>
      <c r="CEJ65" s="10"/>
      <c r="CEK65" s="10"/>
      <c r="CEL65" s="10"/>
      <c r="CEM65" s="10"/>
      <c r="CEN65" s="10"/>
      <c r="CEO65" s="10"/>
      <c r="CEP65" s="10"/>
      <c r="CEQ65" s="10"/>
      <c r="CER65" s="10"/>
      <c r="CES65" s="10"/>
      <c r="CET65" s="10"/>
      <c r="CEU65" s="10"/>
      <c r="CEV65" s="10"/>
      <c r="CEW65" s="10"/>
      <c r="CEX65" s="10"/>
      <c r="CEY65" s="10"/>
      <c r="CEZ65" s="10"/>
      <c r="CFA65" s="10"/>
      <c r="CFB65" s="10"/>
      <c r="CFC65" s="10"/>
      <c r="CFD65" s="10"/>
      <c r="CFE65" s="10"/>
      <c r="CFF65" s="10"/>
      <c r="CFG65" s="10"/>
      <c r="CFH65" s="10"/>
      <c r="CFI65" s="10"/>
      <c r="CFJ65" s="10"/>
      <c r="CFK65" s="10"/>
      <c r="CFL65" s="10"/>
      <c r="CFM65" s="10"/>
      <c r="CFN65" s="10"/>
      <c r="CFO65" s="10"/>
      <c r="CFP65" s="10"/>
      <c r="CFQ65" s="10"/>
      <c r="CFR65" s="10"/>
      <c r="CFS65" s="10"/>
      <c r="CFT65" s="10"/>
      <c r="CFU65" s="10"/>
      <c r="CFV65" s="10"/>
      <c r="CFW65" s="10"/>
      <c r="CFX65" s="10"/>
      <c r="CFY65" s="10"/>
      <c r="CFZ65" s="10"/>
      <c r="CGA65" s="10"/>
      <c r="CGB65" s="10"/>
      <c r="CGC65" s="10"/>
      <c r="CGD65" s="10"/>
      <c r="CGE65" s="10"/>
      <c r="CGF65" s="10"/>
      <c r="CGG65" s="10"/>
      <c r="CGH65" s="10"/>
      <c r="CGI65" s="10"/>
      <c r="CGJ65" s="10"/>
      <c r="CGK65" s="10"/>
      <c r="CGL65" s="10"/>
      <c r="CGM65" s="10"/>
      <c r="CGN65" s="10"/>
      <c r="CGO65" s="10"/>
      <c r="CGP65" s="10"/>
      <c r="CGQ65" s="10"/>
      <c r="CGR65" s="10"/>
      <c r="CGS65" s="10"/>
      <c r="CGT65" s="10"/>
      <c r="CGU65" s="10"/>
      <c r="CGV65" s="10"/>
      <c r="CGW65" s="10"/>
      <c r="CGX65" s="10"/>
      <c r="CGY65" s="10"/>
      <c r="CGZ65" s="10"/>
      <c r="CHA65" s="10"/>
      <c r="CHB65" s="10"/>
      <c r="CHC65" s="10"/>
      <c r="CHD65" s="10"/>
      <c r="CHE65" s="10"/>
      <c r="CHF65" s="10"/>
      <c r="CHG65" s="10"/>
      <c r="CHH65" s="10"/>
      <c r="CHI65" s="10"/>
      <c r="CHJ65" s="10"/>
      <c r="CHK65" s="10"/>
      <c r="CHL65" s="10"/>
      <c r="CHM65" s="10"/>
      <c r="CHN65" s="10"/>
      <c r="CHO65" s="10"/>
      <c r="CHP65" s="10"/>
      <c r="CHQ65" s="10"/>
      <c r="CHR65" s="10"/>
      <c r="CHS65" s="10"/>
      <c r="CHT65" s="10"/>
      <c r="CHU65" s="10"/>
      <c r="CHV65" s="10"/>
      <c r="CHW65" s="10"/>
      <c r="CHX65" s="10"/>
      <c r="CHY65" s="10"/>
      <c r="CHZ65" s="10"/>
      <c r="CIA65" s="10"/>
      <c r="CIB65" s="10"/>
      <c r="CIC65" s="10"/>
      <c r="CID65" s="10"/>
      <c r="CIE65" s="10"/>
      <c r="CIF65" s="10"/>
      <c r="CIG65" s="10"/>
      <c r="CIH65" s="10"/>
      <c r="CII65" s="10"/>
      <c r="CIJ65" s="10"/>
      <c r="CIK65" s="10"/>
      <c r="CIL65" s="10"/>
      <c r="CIM65" s="10"/>
      <c r="CIN65" s="10"/>
      <c r="CIO65" s="10"/>
      <c r="CIP65" s="10"/>
      <c r="CIQ65" s="10"/>
      <c r="CIR65" s="10"/>
      <c r="CIS65" s="10"/>
      <c r="CIT65" s="10"/>
      <c r="CIU65" s="10"/>
      <c r="CIV65" s="10"/>
      <c r="CIW65" s="10"/>
      <c r="CIX65" s="10"/>
      <c r="CIY65" s="10"/>
      <c r="CIZ65" s="10"/>
      <c r="CJA65" s="10"/>
      <c r="CJB65" s="10"/>
      <c r="CJC65" s="10"/>
      <c r="CJD65" s="10"/>
      <c r="CJE65" s="10"/>
      <c r="CJF65" s="10"/>
      <c r="CJG65" s="10"/>
      <c r="CJH65" s="10"/>
      <c r="CJI65" s="10"/>
      <c r="CJJ65" s="10"/>
      <c r="CJK65" s="10"/>
      <c r="CJL65" s="10"/>
      <c r="CJM65" s="10"/>
      <c r="CJN65" s="10"/>
      <c r="CJO65" s="10"/>
      <c r="CJP65" s="10"/>
      <c r="CJQ65" s="10"/>
      <c r="CJR65" s="10"/>
      <c r="CJS65" s="10"/>
      <c r="CJT65" s="10"/>
      <c r="CJU65" s="10"/>
      <c r="CJV65" s="10"/>
      <c r="CJW65" s="10"/>
      <c r="CJX65" s="10"/>
      <c r="CJY65" s="10"/>
      <c r="CJZ65" s="10"/>
      <c r="CKA65" s="10"/>
      <c r="CKB65" s="10"/>
      <c r="CKC65" s="10"/>
      <c r="CKD65" s="10"/>
      <c r="CKE65" s="10"/>
      <c r="CKF65" s="10"/>
      <c r="CKG65" s="10"/>
      <c r="CKH65" s="10"/>
      <c r="CKI65" s="10"/>
      <c r="CKJ65" s="10"/>
      <c r="CKK65" s="10"/>
      <c r="CKL65" s="10"/>
      <c r="CKM65" s="10"/>
      <c r="CKN65" s="10"/>
      <c r="CKO65" s="10"/>
      <c r="CKP65" s="10"/>
      <c r="CKQ65" s="10"/>
      <c r="CKR65" s="10"/>
      <c r="CKS65" s="10"/>
      <c r="CKT65" s="10"/>
      <c r="CKU65" s="10"/>
      <c r="CKV65" s="10"/>
      <c r="CKW65" s="10"/>
      <c r="CKX65" s="10"/>
      <c r="CKY65" s="10"/>
      <c r="CKZ65" s="10"/>
      <c r="CLA65" s="10"/>
      <c r="CLB65" s="10"/>
      <c r="CLC65" s="10"/>
      <c r="CLD65" s="10"/>
      <c r="CLE65" s="10"/>
      <c r="CLF65" s="10"/>
      <c r="CLG65" s="10"/>
      <c r="CLH65" s="10"/>
      <c r="CLI65" s="10"/>
      <c r="CLJ65" s="10"/>
      <c r="CLK65" s="10"/>
      <c r="CLL65" s="10"/>
      <c r="CLM65" s="10"/>
      <c r="CLN65" s="10"/>
      <c r="CLO65" s="10"/>
      <c r="CLP65" s="10"/>
      <c r="CLQ65" s="10"/>
      <c r="CLR65" s="10"/>
      <c r="CLS65" s="10"/>
      <c r="CLT65" s="10"/>
      <c r="CLU65" s="10"/>
      <c r="CLV65" s="10"/>
      <c r="CLW65" s="10"/>
      <c r="CLX65" s="10"/>
      <c r="CLY65" s="10"/>
      <c r="CLZ65" s="10"/>
      <c r="CMA65" s="10"/>
      <c r="CMB65" s="10"/>
      <c r="CMC65" s="10"/>
      <c r="CMD65" s="10"/>
      <c r="CME65" s="10"/>
      <c r="CMF65" s="10"/>
      <c r="CMG65" s="10"/>
      <c r="CMH65" s="10"/>
      <c r="CMI65" s="10"/>
      <c r="CMJ65" s="10"/>
      <c r="CMK65" s="10"/>
      <c r="CML65" s="10"/>
      <c r="CMM65" s="10"/>
      <c r="CMN65" s="10"/>
      <c r="CMO65" s="10"/>
      <c r="CMP65" s="10"/>
      <c r="CMQ65" s="10"/>
      <c r="CMR65" s="10"/>
      <c r="CMS65" s="10"/>
      <c r="CMT65" s="10"/>
      <c r="CMU65" s="10"/>
      <c r="CMV65" s="10"/>
      <c r="CMW65" s="10"/>
      <c r="CMX65" s="10"/>
      <c r="CMY65" s="10"/>
      <c r="CMZ65" s="10"/>
      <c r="CNA65" s="10"/>
      <c r="CNB65" s="10"/>
      <c r="CNC65" s="10"/>
      <c r="CND65" s="10"/>
      <c r="CNE65" s="10"/>
      <c r="CNF65" s="10"/>
      <c r="CNG65" s="10"/>
      <c r="CNH65" s="10"/>
      <c r="CNI65" s="10"/>
      <c r="CNJ65" s="10"/>
      <c r="CNK65" s="10"/>
      <c r="CNL65" s="10"/>
      <c r="CNM65" s="10"/>
      <c r="CNN65" s="10"/>
      <c r="CNO65" s="10"/>
      <c r="CNP65" s="10"/>
      <c r="CNQ65" s="10"/>
      <c r="CNR65" s="10"/>
      <c r="CNS65" s="10"/>
      <c r="CNT65" s="10"/>
      <c r="CNU65" s="10"/>
      <c r="CNV65" s="10"/>
      <c r="CNW65" s="10"/>
      <c r="CNX65" s="10"/>
      <c r="CNY65" s="10"/>
      <c r="CNZ65" s="10"/>
      <c r="COA65" s="10"/>
      <c r="COB65" s="10"/>
      <c r="COC65" s="10"/>
      <c r="COD65" s="10"/>
      <c r="COE65" s="10"/>
      <c r="COF65" s="10"/>
      <c r="COG65" s="10"/>
      <c r="COH65" s="10"/>
      <c r="COI65" s="10"/>
      <c r="COJ65" s="10"/>
      <c r="COK65" s="10"/>
      <c r="COL65" s="10"/>
      <c r="COM65" s="10"/>
      <c r="CON65" s="10"/>
      <c r="COO65" s="10"/>
      <c r="COP65" s="10"/>
      <c r="COQ65" s="10"/>
      <c r="COR65" s="10"/>
      <c r="COS65" s="10"/>
      <c r="COT65" s="10"/>
      <c r="COU65" s="10"/>
      <c r="COV65" s="10"/>
      <c r="COW65" s="10"/>
      <c r="COX65" s="10"/>
      <c r="COY65" s="10"/>
      <c r="COZ65" s="10"/>
      <c r="CPA65" s="10"/>
      <c r="CPB65" s="10"/>
      <c r="CPC65" s="10"/>
      <c r="CPD65" s="10"/>
      <c r="CPE65" s="10"/>
      <c r="CPF65" s="10"/>
      <c r="CPG65" s="10"/>
      <c r="CPH65" s="10"/>
      <c r="CPI65" s="10"/>
      <c r="CPJ65" s="10"/>
      <c r="CPK65" s="10"/>
      <c r="CPL65" s="10"/>
      <c r="CPM65" s="10"/>
      <c r="CPN65" s="10"/>
      <c r="CPO65" s="10"/>
      <c r="CPP65" s="10"/>
      <c r="CPQ65" s="10"/>
      <c r="CPR65" s="10"/>
      <c r="CPS65" s="10"/>
      <c r="CPT65" s="10"/>
      <c r="CPU65" s="10"/>
      <c r="CPV65" s="10"/>
      <c r="CPW65" s="10"/>
      <c r="CPX65" s="10"/>
      <c r="CPY65" s="10"/>
      <c r="CPZ65" s="10"/>
      <c r="CQA65" s="10"/>
      <c r="CQB65" s="10"/>
      <c r="CQC65" s="10"/>
      <c r="CQD65" s="10"/>
      <c r="CQE65" s="10"/>
      <c r="CQF65" s="10"/>
      <c r="CQG65" s="10"/>
      <c r="CQH65" s="10"/>
      <c r="CQI65" s="10"/>
      <c r="CQJ65" s="10"/>
      <c r="CQK65" s="10"/>
      <c r="CQL65" s="10"/>
      <c r="CQM65" s="10"/>
      <c r="CQN65" s="10"/>
      <c r="CQO65" s="10"/>
      <c r="CQP65" s="10"/>
      <c r="CQQ65" s="10"/>
      <c r="CQR65" s="10"/>
      <c r="CQS65" s="10"/>
      <c r="CQT65" s="10"/>
      <c r="CQU65" s="10"/>
      <c r="CQV65" s="10"/>
      <c r="CQW65" s="10"/>
      <c r="CQX65" s="10"/>
      <c r="CQY65" s="10"/>
      <c r="CQZ65" s="10"/>
      <c r="CRA65" s="10"/>
      <c r="CRB65" s="10"/>
      <c r="CRC65" s="10"/>
      <c r="CRD65" s="10"/>
      <c r="CRE65" s="10"/>
      <c r="CRF65" s="10"/>
      <c r="CRG65" s="10"/>
      <c r="CRH65" s="10"/>
      <c r="CRI65" s="10"/>
      <c r="CRJ65" s="10"/>
      <c r="CRK65" s="10"/>
      <c r="CRL65" s="10"/>
      <c r="CRM65" s="10"/>
      <c r="CRN65" s="10"/>
      <c r="CRO65" s="10"/>
      <c r="CRP65" s="10"/>
      <c r="CRQ65" s="10"/>
      <c r="CRR65" s="10"/>
      <c r="CRS65" s="10"/>
      <c r="CRT65" s="10"/>
      <c r="CRU65" s="10"/>
      <c r="CRV65" s="10"/>
      <c r="CRW65" s="10"/>
      <c r="CRX65" s="10"/>
      <c r="CRY65" s="10"/>
      <c r="CRZ65" s="10"/>
      <c r="CSA65" s="10"/>
      <c r="CSB65" s="10"/>
      <c r="CSC65" s="10"/>
      <c r="CSD65" s="10"/>
      <c r="CSE65" s="10"/>
      <c r="CSF65" s="10"/>
      <c r="CSG65" s="10"/>
      <c r="CSH65" s="10"/>
      <c r="CSI65" s="10"/>
      <c r="CSJ65" s="10"/>
      <c r="CSK65" s="10"/>
      <c r="CSL65" s="10"/>
      <c r="CSM65" s="10"/>
      <c r="CSN65" s="10"/>
      <c r="CSO65" s="10"/>
      <c r="CSP65" s="10"/>
      <c r="CSQ65" s="10"/>
      <c r="CSR65" s="10"/>
      <c r="CSS65" s="10"/>
      <c r="CST65" s="10"/>
      <c r="CSU65" s="10"/>
      <c r="CSV65" s="10"/>
      <c r="CSW65" s="10"/>
      <c r="CSX65" s="10"/>
      <c r="CSY65" s="10"/>
      <c r="CSZ65" s="10"/>
      <c r="CTA65" s="10"/>
      <c r="CTB65" s="10"/>
      <c r="CTC65" s="10"/>
      <c r="CTD65" s="10"/>
      <c r="CTE65" s="10"/>
      <c r="CTF65" s="10"/>
      <c r="CTG65" s="10"/>
      <c r="CTH65" s="10"/>
      <c r="CTI65" s="10"/>
      <c r="CTJ65" s="10"/>
      <c r="CTK65" s="10"/>
      <c r="CTL65" s="10"/>
      <c r="CTM65" s="10"/>
      <c r="CTN65" s="10"/>
      <c r="CTO65" s="10"/>
      <c r="CTP65" s="10"/>
      <c r="CTQ65" s="10"/>
      <c r="CTR65" s="10"/>
      <c r="CTS65" s="10"/>
      <c r="CTT65" s="10"/>
      <c r="CTU65" s="10"/>
      <c r="CTV65" s="10"/>
      <c r="CTW65" s="10"/>
      <c r="CTX65" s="10"/>
      <c r="CTY65" s="10"/>
      <c r="CTZ65" s="10"/>
      <c r="CUA65" s="10"/>
      <c r="CUB65" s="10"/>
      <c r="CUC65" s="10"/>
      <c r="CUD65" s="10"/>
      <c r="CUE65" s="10"/>
      <c r="CUF65" s="10"/>
      <c r="CUG65" s="10"/>
      <c r="CUH65" s="10"/>
      <c r="CUI65" s="10"/>
      <c r="CUJ65" s="10"/>
      <c r="CUK65" s="10"/>
      <c r="CUL65" s="10"/>
      <c r="CUM65" s="10"/>
      <c r="CUN65" s="10"/>
      <c r="CUO65" s="10"/>
      <c r="CUP65" s="10"/>
      <c r="CUQ65" s="10"/>
      <c r="CUR65" s="10"/>
      <c r="CUS65" s="10"/>
      <c r="CUT65" s="10"/>
      <c r="CUU65" s="10"/>
      <c r="CUV65" s="10"/>
      <c r="CUW65" s="10"/>
      <c r="CUX65" s="10"/>
      <c r="CUY65" s="10"/>
      <c r="CUZ65" s="10"/>
      <c r="CVA65" s="10"/>
      <c r="CVB65" s="10"/>
      <c r="CVC65" s="10"/>
      <c r="CVD65" s="10"/>
      <c r="CVE65" s="10"/>
      <c r="CVF65" s="10"/>
      <c r="CVG65" s="10"/>
      <c r="CVH65" s="10"/>
      <c r="CVI65" s="10"/>
      <c r="CVJ65" s="10"/>
      <c r="CVK65" s="10"/>
      <c r="CVL65" s="10"/>
      <c r="CVM65" s="10"/>
      <c r="CVN65" s="10"/>
      <c r="CVO65" s="10"/>
      <c r="CVP65" s="10"/>
      <c r="CVQ65" s="10"/>
      <c r="CVR65" s="10"/>
      <c r="CVS65" s="10"/>
      <c r="CVT65" s="10"/>
      <c r="CVU65" s="10"/>
      <c r="CVV65" s="10"/>
      <c r="CVW65" s="10"/>
      <c r="CVX65" s="10"/>
      <c r="CVY65" s="10"/>
      <c r="CVZ65" s="10"/>
      <c r="CWA65" s="10"/>
      <c r="CWB65" s="10"/>
      <c r="CWC65" s="10"/>
      <c r="CWD65" s="10"/>
      <c r="CWE65" s="10"/>
      <c r="CWF65" s="10"/>
      <c r="CWG65" s="10"/>
      <c r="CWH65" s="10"/>
      <c r="CWI65" s="10"/>
      <c r="CWJ65" s="10"/>
      <c r="CWK65" s="10"/>
      <c r="CWL65" s="10"/>
      <c r="CWM65" s="10"/>
      <c r="CWN65" s="10"/>
      <c r="CWO65" s="10"/>
      <c r="CWP65" s="10"/>
      <c r="CWQ65" s="10"/>
      <c r="CWR65" s="10"/>
      <c r="CWS65" s="10"/>
      <c r="CWT65" s="10"/>
      <c r="CWU65" s="10"/>
      <c r="CWV65" s="10"/>
      <c r="CWW65" s="10"/>
      <c r="CWX65" s="10"/>
      <c r="CWY65" s="10"/>
      <c r="CWZ65" s="10"/>
      <c r="CXA65" s="10"/>
      <c r="CXB65" s="10"/>
      <c r="CXC65" s="10"/>
      <c r="CXD65" s="10"/>
      <c r="CXE65" s="10"/>
      <c r="CXF65" s="10"/>
      <c r="CXG65" s="10"/>
      <c r="CXH65" s="10"/>
      <c r="CXI65" s="10"/>
      <c r="CXJ65" s="10"/>
      <c r="CXK65" s="10"/>
      <c r="CXL65" s="10"/>
      <c r="CXM65" s="10"/>
      <c r="CXN65" s="10"/>
      <c r="CXO65" s="10"/>
      <c r="CXP65" s="10"/>
      <c r="CXQ65" s="10"/>
      <c r="CXR65" s="10"/>
      <c r="CXS65" s="10"/>
      <c r="CXT65" s="10"/>
      <c r="CXU65" s="10"/>
      <c r="CXV65" s="10"/>
      <c r="CXW65" s="10"/>
      <c r="CXX65" s="10"/>
      <c r="CXY65" s="10"/>
      <c r="CXZ65" s="10"/>
      <c r="CYA65" s="10"/>
      <c r="CYB65" s="10"/>
      <c r="CYC65" s="10"/>
      <c r="CYD65" s="10"/>
      <c r="CYE65" s="10"/>
      <c r="CYF65" s="10"/>
      <c r="CYG65" s="10"/>
      <c r="CYH65" s="10"/>
      <c r="CYI65" s="10"/>
      <c r="CYJ65" s="10"/>
      <c r="CYK65" s="10"/>
      <c r="CYL65" s="10"/>
      <c r="CYM65" s="10"/>
      <c r="CYN65" s="10"/>
      <c r="CYO65" s="10"/>
      <c r="CYP65" s="10"/>
      <c r="CYQ65" s="10"/>
      <c r="CYR65" s="10"/>
      <c r="CYS65" s="10"/>
      <c r="CYT65" s="10"/>
      <c r="CYU65" s="10"/>
      <c r="CYV65" s="10"/>
      <c r="CYW65" s="10"/>
      <c r="CYX65" s="10"/>
      <c r="CYY65" s="10"/>
      <c r="CYZ65" s="10"/>
      <c r="CZA65" s="10"/>
      <c r="CZB65" s="10"/>
      <c r="CZC65" s="10"/>
      <c r="CZD65" s="10"/>
      <c r="CZE65" s="10"/>
      <c r="CZF65" s="10"/>
      <c r="CZG65" s="10"/>
      <c r="CZH65" s="10"/>
      <c r="CZI65" s="10"/>
      <c r="CZJ65" s="10"/>
      <c r="CZK65" s="10"/>
      <c r="CZL65" s="10"/>
      <c r="CZM65" s="10"/>
      <c r="CZN65" s="10"/>
      <c r="CZO65" s="10"/>
      <c r="CZP65" s="10"/>
      <c r="CZQ65" s="10"/>
      <c r="CZR65" s="10"/>
      <c r="CZS65" s="10"/>
      <c r="CZT65" s="10"/>
      <c r="CZU65" s="10"/>
      <c r="CZV65" s="10"/>
      <c r="CZW65" s="10"/>
      <c r="CZX65" s="10"/>
      <c r="CZY65" s="10"/>
      <c r="CZZ65" s="10"/>
      <c r="DAA65" s="10"/>
      <c r="DAB65" s="10"/>
      <c r="DAC65" s="10"/>
      <c r="DAD65" s="10"/>
      <c r="DAE65" s="10"/>
      <c r="DAF65" s="10"/>
      <c r="DAG65" s="10"/>
      <c r="DAH65" s="10"/>
      <c r="DAI65" s="10"/>
      <c r="DAJ65" s="10"/>
      <c r="DAK65" s="10"/>
      <c r="DAL65" s="10"/>
      <c r="DAM65" s="10"/>
      <c r="DAN65" s="10"/>
      <c r="DAO65" s="10"/>
      <c r="DAP65" s="10"/>
      <c r="DAQ65" s="10"/>
      <c r="DAR65" s="10"/>
      <c r="DAS65" s="10"/>
      <c r="DAT65" s="10"/>
      <c r="DAU65" s="10"/>
      <c r="DAV65" s="10"/>
      <c r="DAW65" s="10"/>
      <c r="DAX65" s="10"/>
      <c r="DAY65" s="10"/>
      <c r="DAZ65" s="10"/>
      <c r="DBA65" s="10"/>
      <c r="DBB65" s="10"/>
      <c r="DBC65" s="10"/>
      <c r="DBD65" s="10"/>
      <c r="DBE65" s="10"/>
      <c r="DBF65" s="10"/>
      <c r="DBG65" s="10"/>
      <c r="DBH65" s="10"/>
      <c r="DBI65" s="10"/>
      <c r="DBJ65" s="10"/>
      <c r="DBK65" s="10"/>
      <c r="DBL65" s="10"/>
      <c r="DBM65" s="10"/>
      <c r="DBN65" s="10"/>
      <c r="DBO65" s="10"/>
      <c r="DBP65" s="10"/>
      <c r="DBQ65" s="10"/>
      <c r="DBR65" s="10"/>
      <c r="DBS65" s="10"/>
      <c r="DBT65" s="10"/>
      <c r="DBU65" s="10"/>
      <c r="DBV65" s="10"/>
      <c r="DBW65" s="10"/>
      <c r="DBX65" s="10"/>
      <c r="DBY65" s="10"/>
      <c r="DBZ65" s="10"/>
      <c r="DCA65" s="10"/>
      <c r="DCB65" s="10"/>
      <c r="DCC65" s="10"/>
      <c r="DCD65" s="10"/>
      <c r="DCE65" s="10"/>
      <c r="DCF65" s="10"/>
      <c r="DCG65" s="10"/>
      <c r="DCH65" s="10"/>
      <c r="DCI65" s="10"/>
      <c r="DCJ65" s="10"/>
      <c r="DCK65" s="10"/>
      <c r="DCL65" s="10"/>
      <c r="DCM65" s="10"/>
      <c r="DCN65" s="10"/>
      <c r="DCO65" s="10"/>
      <c r="DCP65" s="10"/>
      <c r="DCQ65" s="10"/>
      <c r="DCR65" s="10"/>
      <c r="DCS65" s="10"/>
      <c r="DCT65" s="10"/>
      <c r="DCU65" s="10"/>
      <c r="DCV65" s="10"/>
      <c r="DCW65" s="10"/>
      <c r="DCX65" s="10"/>
      <c r="DCY65" s="10"/>
      <c r="DCZ65" s="10"/>
      <c r="DDA65" s="10"/>
      <c r="DDB65" s="10"/>
      <c r="DDC65" s="10"/>
      <c r="DDD65" s="10"/>
      <c r="DDE65" s="10"/>
      <c r="DDF65" s="10"/>
      <c r="DDG65" s="10"/>
      <c r="DDH65" s="10"/>
      <c r="DDI65" s="10"/>
      <c r="DDJ65" s="10"/>
      <c r="DDK65" s="10"/>
      <c r="DDL65" s="10"/>
      <c r="DDM65" s="10"/>
      <c r="DDN65" s="10"/>
      <c r="DDO65" s="10"/>
      <c r="DDP65" s="10"/>
      <c r="DDQ65" s="10"/>
      <c r="DDR65" s="10"/>
      <c r="DDS65" s="10"/>
      <c r="DDT65" s="10"/>
      <c r="DDU65" s="10"/>
      <c r="DDV65" s="10"/>
      <c r="DDW65" s="10"/>
      <c r="DDX65" s="10"/>
      <c r="DDY65" s="10"/>
      <c r="DDZ65" s="10"/>
      <c r="DEA65" s="10"/>
      <c r="DEB65" s="10"/>
      <c r="DEC65" s="10"/>
      <c r="DED65" s="10"/>
      <c r="DEE65" s="10"/>
      <c r="DEF65" s="10"/>
      <c r="DEG65" s="10"/>
      <c r="DEH65" s="10"/>
      <c r="DEI65" s="10"/>
      <c r="DEJ65" s="10"/>
      <c r="DEK65" s="10"/>
      <c r="DEL65" s="10"/>
      <c r="DEM65" s="10"/>
      <c r="DEN65" s="10"/>
      <c r="DEO65" s="10"/>
      <c r="DEP65" s="10"/>
      <c r="DEQ65" s="10"/>
      <c r="DER65" s="10"/>
      <c r="DES65" s="10"/>
      <c r="DET65" s="10"/>
      <c r="DEU65" s="10"/>
      <c r="DEV65" s="10"/>
      <c r="DEW65" s="10"/>
      <c r="DEX65" s="10"/>
      <c r="DEY65" s="10"/>
      <c r="DEZ65" s="10"/>
      <c r="DFA65" s="10"/>
      <c r="DFB65" s="10"/>
      <c r="DFC65" s="10"/>
      <c r="DFD65" s="10"/>
      <c r="DFE65" s="10"/>
      <c r="DFF65" s="10"/>
      <c r="DFG65" s="10"/>
      <c r="DFH65" s="10"/>
      <c r="DFI65" s="10"/>
      <c r="DFJ65" s="10"/>
      <c r="DFK65" s="10"/>
      <c r="DFL65" s="10"/>
      <c r="DFM65" s="10"/>
      <c r="DFN65" s="10"/>
      <c r="DFO65" s="10"/>
      <c r="DFP65" s="10"/>
      <c r="DFQ65" s="10"/>
      <c r="DFR65" s="10"/>
      <c r="DFS65" s="10"/>
      <c r="DFT65" s="10"/>
      <c r="DFU65" s="10"/>
      <c r="DFV65" s="10"/>
      <c r="DFW65" s="10"/>
      <c r="DFX65" s="10"/>
      <c r="DFY65" s="10"/>
      <c r="DFZ65" s="10"/>
      <c r="DGA65" s="10"/>
      <c r="DGB65" s="10"/>
      <c r="DGC65" s="10"/>
      <c r="DGD65" s="10"/>
      <c r="DGE65" s="10"/>
      <c r="DGF65" s="10"/>
      <c r="DGG65" s="10"/>
      <c r="DGH65" s="10"/>
      <c r="DGI65" s="10"/>
      <c r="DGJ65" s="10"/>
      <c r="DGK65" s="10"/>
      <c r="DGL65" s="10"/>
      <c r="DGM65" s="10"/>
      <c r="DGN65" s="10"/>
      <c r="DGO65" s="10"/>
      <c r="DGP65" s="10"/>
      <c r="DGQ65" s="10"/>
      <c r="DGR65" s="10"/>
      <c r="DGS65" s="10"/>
      <c r="DGT65" s="10"/>
      <c r="DGU65" s="10"/>
      <c r="DGV65" s="10"/>
      <c r="DGW65" s="10"/>
      <c r="DGX65" s="10"/>
      <c r="DGY65" s="10"/>
      <c r="DGZ65" s="10"/>
      <c r="DHA65" s="10"/>
      <c r="DHB65" s="10"/>
      <c r="DHC65" s="10"/>
      <c r="DHD65" s="10"/>
      <c r="DHE65" s="10"/>
      <c r="DHF65" s="10"/>
      <c r="DHG65" s="10"/>
      <c r="DHH65" s="10"/>
      <c r="DHI65" s="10"/>
      <c r="DHJ65" s="10"/>
      <c r="DHK65" s="10"/>
      <c r="DHL65" s="10"/>
      <c r="DHM65" s="10"/>
      <c r="DHN65" s="10"/>
      <c r="DHO65" s="10"/>
      <c r="DHP65" s="10"/>
      <c r="DHQ65" s="10"/>
      <c r="DHR65" s="10"/>
      <c r="DHS65" s="10"/>
      <c r="DHT65" s="10"/>
      <c r="DHU65" s="10"/>
      <c r="DHV65" s="10"/>
      <c r="DHW65" s="10"/>
      <c r="DHX65" s="10"/>
      <c r="DHY65" s="10"/>
      <c r="DHZ65" s="10"/>
      <c r="DIA65" s="10"/>
      <c r="DIB65" s="10"/>
      <c r="DIC65" s="10"/>
      <c r="DID65" s="10"/>
      <c r="DIE65" s="10"/>
      <c r="DIF65" s="10"/>
      <c r="DIG65" s="10"/>
      <c r="DIH65" s="10"/>
      <c r="DII65" s="10"/>
      <c r="DIJ65" s="10"/>
      <c r="DIK65" s="10"/>
      <c r="DIL65" s="10"/>
      <c r="DIM65" s="10"/>
      <c r="DIN65" s="10"/>
      <c r="DIO65" s="10"/>
      <c r="DIP65" s="10"/>
      <c r="DIQ65" s="10"/>
      <c r="DIR65" s="10"/>
      <c r="DIS65" s="10"/>
      <c r="DIT65" s="10"/>
      <c r="DIU65" s="10"/>
      <c r="DIV65" s="10"/>
      <c r="DIW65" s="10"/>
      <c r="DIX65" s="10"/>
      <c r="DIY65" s="10"/>
      <c r="DIZ65" s="10"/>
      <c r="DJA65" s="10"/>
      <c r="DJB65" s="10"/>
      <c r="DJC65" s="10"/>
      <c r="DJD65" s="10"/>
      <c r="DJE65" s="10"/>
      <c r="DJF65" s="10"/>
      <c r="DJG65" s="10"/>
      <c r="DJH65" s="10"/>
      <c r="DJI65" s="10"/>
      <c r="DJJ65" s="10"/>
      <c r="DJK65" s="10"/>
      <c r="DJL65" s="10"/>
      <c r="DJM65" s="10"/>
      <c r="DJN65" s="10"/>
      <c r="DJO65" s="10"/>
      <c r="DJP65" s="10"/>
      <c r="DJQ65" s="10"/>
      <c r="DJR65" s="10"/>
      <c r="DJS65" s="10"/>
      <c r="DJT65" s="10"/>
      <c r="DJU65" s="10"/>
      <c r="DJV65" s="10"/>
      <c r="DJW65" s="10"/>
      <c r="DJX65" s="10"/>
      <c r="DJY65" s="10"/>
      <c r="DJZ65" s="10"/>
      <c r="DKA65" s="10"/>
      <c r="DKB65" s="10"/>
      <c r="DKC65" s="10"/>
      <c r="DKD65" s="10"/>
      <c r="DKE65" s="10"/>
      <c r="DKF65" s="10"/>
      <c r="DKG65" s="10"/>
      <c r="DKH65" s="10"/>
      <c r="DKI65" s="10"/>
      <c r="DKJ65" s="10"/>
      <c r="DKK65" s="10"/>
      <c r="DKL65" s="10"/>
      <c r="DKM65" s="10"/>
      <c r="DKN65" s="10"/>
      <c r="DKO65" s="10"/>
      <c r="DKP65" s="10"/>
      <c r="DKQ65" s="10"/>
      <c r="DKR65" s="10"/>
      <c r="DKS65" s="10"/>
      <c r="DKT65" s="10"/>
      <c r="DKU65" s="10"/>
      <c r="DKV65" s="10"/>
      <c r="DKW65" s="10"/>
      <c r="DKX65" s="10"/>
      <c r="DKY65" s="10"/>
      <c r="DKZ65" s="10"/>
      <c r="DLA65" s="10"/>
      <c r="DLB65" s="10"/>
      <c r="DLC65" s="10"/>
      <c r="DLD65" s="10"/>
      <c r="DLE65" s="10"/>
      <c r="DLF65" s="10"/>
      <c r="DLG65" s="10"/>
      <c r="DLH65" s="10"/>
      <c r="DLI65" s="10"/>
      <c r="DLJ65" s="10"/>
      <c r="DLK65" s="10"/>
      <c r="DLL65" s="10"/>
      <c r="DLM65" s="10"/>
      <c r="DLN65" s="10"/>
      <c r="DLO65" s="10"/>
      <c r="DLP65" s="10"/>
      <c r="DLQ65" s="10"/>
      <c r="DLR65" s="10"/>
      <c r="DLS65" s="10"/>
      <c r="DLT65" s="10"/>
      <c r="DLU65" s="10"/>
      <c r="DLV65" s="10"/>
      <c r="DLW65" s="10"/>
      <c r="DLX65" s="10"/>
      <c r="DLY65" s="10"/>
      <c r="DLZ65" s="10"/>
      <c r="DMA65" s="10"/>
      <c r="DMB65" s="10"/>
      <c r="DMC65" s="10"/>
      <c r="DMD65" s="10"/>
      <c r="DME65" s="10"/>
      <c r="DMF65" s="10"/>
      <c r="DMG65" s="10"/>
      <c r="DMH65" s="10"/>
      <c r="DMI65" s="10"/>
      <c r="DMJ65" s="10"/>
      <c r="DMK65" s="10"/>
      <c r="DML65" s="10"/>
      <c r="DMM65" s="10"/>
      <c r="DMN65" s="10"/>
      <c r="DMO65" s="10"/>
      <c r="DMP65" s="10"/>
      <c r="DMQ65" s="10"/>
      <c r="DMR65" s="10"/>
      <c r="DMS65" s="10"/>
      <c r="DMT65" s="10"/>
      <c r="DMU65" s="10"/>
      <c r="DMV65" s="10"/>
      <c r="DMW65" s="10"/>
      <c r="DMX65" s="10"/>
      <c r="DMY65" s="10"/>
      <c r="DMZ65" s="10"/>
      <c r="DNA65" s="10"/>
      <c r="DNB65" s="10"/>
      <c r="DNC65" s="10"/>
      <c r="DND65" s="10"/>
      <c r="DNE65" s="10"/>
      <c r="DNF65" s="10"/>
      <c r="DNG65" s="10"/>
      <c r="DNH65" s="10"/>
      <c r="DNI65" s="10"/>
      <c r="DNJ65" s="10"/>
      <c r="DNK65" s="10"/>
      <c r="DNL65" s="10"/>
      <c r="DNM65" s="10"/>
      <c r="DNN65" s="10"/>
      <c r="DNO65" s="10"/>
      <c r="DNP65" s="10"/>
      <c r="DNQ65" s="10"/>
      <c r="DNR65" s="10"/>
      <c r="DNS65" s="10"/>
      <c r="DNT65" s="10"/>
      <c r="DNU65" s="10"/>
      <c r="DNV65" s="10"/>
      <c r="DNW65" s="10"/>
      <c r="DNX65" s="10"/>
      <c r="DNY65" s="10"/>
      <c r="DNZ65" s="10"/>
      <c r="DOA65" s="10"/>
      <c r="DOB65" s="10"/>
      <c r="DOC65" s="10"/>
      <c r="DOD65" s="10"/>
      <c r="DOE65" s="10"/>
      <c r="DOF65" s="10"/>
      <c r="DOG65" s="10"/>
      <c r="DOH65" s="10"/>
      <c r="DOI65" s="10"/>
      <c r="DOJ65" s="10"/>
      <c r="DOK65" s="10"/>
      <c r="DOL65" s="10"/>
      <c r="DOM65" s="10"/>
      <c r="DON65" s="10"/>
      <c r="DOO65" s="10"/>
      <c r="DOP65" s="10"/>
      <c r="DOQ65" s="10"/>
      <c r="DOR65" s="10"/>
      <c r="DOS65" s="10"/>
      <c r="DOT65" s="10"/>
      <c r="DOU65" s="10"/>
      <c r="DOV65" s="10"/>
      <c r="DOW65" s="10"/>
      <c r="DOX65" s="10"/>
      <c r="DOY65" s="10"/>
      <c r="DOZ65" s="10"/>
      <c r="DPA65" s="10"/>
      <c r="DPB65" s="10"/>
      <c r="DPC65" s="10"/>
      <c r="DPD65" s="10"/>
      <c r="DPE65" s="10"/>
      <c r="DPF65" s="10"/>
      <c r="DPG65" s="10"/>
      <c r="DPH65" s="10"/>
      <c r="DPI65" s="10"/>
      <c r="DPJ65" s="10"/>
      <c r="DPK65" s="10"/>
      <c r="DPL65" s="10"/>
      <c r="DPM65" s="10"/>
      <c r="DPN65" s="10"/>
      <c r="DPO65" s="10"/>
      <c r="DPP65" s="10"/>
      <c r="DPQ65" s="10"/>
      <c r="DPR65" s="10"/>
      <c r="DPS65" s="10"/>
      <c r="DPT65" s="10"/>
      <c r="DPU65" s="10"/>
      <c r="DPV65" s="10"/>
      <c r="DPW65" s="10"/>
      <c r="DPX65" s="10"/>
      <c r="DPY65" s="10"/>
      <c r="DPZ65" s="10"/>
      <c r="DQA65" s="10"/>
      <c r="DQB65" s="10"/>
      <c r="DQC65" s="10"/>
      <c r="DQD65" s="10"/>
      <c r="DQE65" s="10"/>
      <c r="DQF65" s="10"/>
      <c r="DQG65" s="10"/>
      <c r="DQH65" s="10"/>
      <c r="DQI65" s="10"/>
      <c r="DQJ65" s="10"/>
      <c r="DQK65" s="10"/>
      <c r="DQL65" s="10"/>
      <c r="DQM65" s="10"/>
      <c r="DQN65" s="10"/>
      <c r="DQO65" s="10"/>
      <c r="DQP65" s="10"/>
      <c r="DQQ65" s="10"/>
      <c r="DQR65" s="10"/>
      <c r="DQS65" s="10"/>
      <c r="DQT65" s="10"/>
      <c r="DQU65" s="10"/>
      <c r="DQV65" s="10"/>
      <c r="DQW65" s="10"/>
      <c r="DQX65" s="10"/>
      <c r="DQY65" s="10"/>
      <c r="DQZ65" s="10"/>
      <c r="DRA65" s="10"/>
      <c r="DRB65" s="10"/>
      <c r="DRC65" s="10"/>
      <c r="DRD65" s="10"/>
      <c r="DRE65" s="10"/>
      <c r="DRF65" s="10"/>
      <c r="DRG65" s="10"/>
      <c r="DRH65" s="10"/>
      <c r="DRI65" s="10"/>
      <c r="DRJ65" s="10"/>
      <c r="DRK65" s="10"/>
      <c r="DRL65" s="10"/>
      <c r="DRM65" s="10"/>
      <c r="DRN65" s="10"/>
      <c r="DRO65" s="10"/>
      <c r="DRP65" s="10"/>
      <c r="DRQ65" s="10"/>
      <c r="DRR65" s="10"/>
      <c r="DRS65" s="10"/>
      <c r="DRT65" s="10"/>
      <c r="DRU65" s="10"/>
      <c r="DRV65" s="10"/>
      <c r="DRW65" s="10"/>
      <c r="DRX65" s="10"/>
      <c r="DRY65" s="10"/>
      <c r="DRZ65" s="10"/>
      <c r="DSA65" s="10"/>
      <c r="DSB65" s="10"/>
      <c r="DSC65" s="10"/>
      <c r="DSD65" s="10"/>
      <c r="DSE65" s="10"/>
      <c r="DSF65" s="10"/>
      <c r="DSG65" s="10"/>
      <c r="DSH65" s="10"/>
      <c r="DSI65" s="10"/>
      <c r="DSJ65" s="10"/>
      <c r="DSK65" s="10"/>
      <c r="DSL65" s="10"/>
      <c r="DSM65" s="10"/>
      <c r="DSN65" s="10"/>
      <c r="DSO65" s="10"/>
      <c r="DSP65" s="10"/>
      <c r="DSQ65" s="10"/>
      <c r="DSR65" s="10"/>
      <c r="DSS65" s="10"/>
      <c r="DST65" s="10"/>
      <c r="DSU65" s="10"/>
      <c r="DSV65" s="10"/>
      <c r="DSW65" s="10"/>
      <c r="DSX65" s="10"/>
      <c r="DSY65" s="10"/>
      <c r="DSZ65" s="10"/>
      <c r="DTA65" s="10"/>
      <c r="DTB65" s="10"/>
      <c r="DTC65" s="10"/>
      <c r="DTD65" s="10"/>
      <c r="DTE65" s="10"/>
      <c r="DTF65" s="10"/>
      <c r="DTG65" s="10"/>
      <c r="DTH65" s="10"/>
      <c r="DTI65" s="10"/>
      <c r="DTJ65" s="10"/>
      <c r="DTK65" s="10"/>
      <c r="DTL65" s="10"/>
      <c r="DTM65" s="10"/>
      <c r="DTN65" s="10"/>
      <c r="DTO65" s="10"/>
      <c r="DTP65" s="10"/>
      <c r="DTQ65" s="10"/>
      <c r="DTR65" s="10"/>
      <c r="DTS65" s="10"/>
      <c r="DTT65" s="10"/>
      <c r="DTU65" s="10"/>
      <c r="DTV65" s="10"/>
      <c r="DTW65" s="10"/>
      <c r="DTX65" s="10"/>
      <c r="DTY65" s="10"/>
      <c r="DTZ65" s="10"/>
      <c r="DUA65" s="10"/>
      <c r="DUB65" s="10"/>
      <c r="DUC65" s="10"/>
      <c r="DUD65" s="10"/>
      <c r="DUE65" s="10"/>
      <c r="DUF65" s="10"/>
      <c r="DUG65" s="10"/>
      <c r="DUH65" s="10"/>
      <c r="DUI65" s="10"/>
      <c r="DUJ65" s="10"/>
      <c r="DUK65" s="10"/>
      <c r="DUL65" s="10"/>
      <c r="DUM65" s="10"/>
      <c r="DUN65" s="10"/>
      <c r="DUO65" s="10"/>
      <c r="DUP65" s="10"/>
      <c r="DUQ65" s="10"/>
      <c r="DUR65" s="10"/>
      <c r="DUS65" s="10"/>
      <c r="DUT65" s="10"/>
      <c r="DUU65" s="10"/>
      <c r="DUV65" s="10"/>
      <c r="DUW65" s="10"/>
      <c r="DUX65" s="10"/>
      <c r="DUY65" s="10"/>
      <c r="DUZ65" s="10"/>
      <c r="DVA65" s="10"/>
      <c r="DVB65" s="10"/>
      <c r="DVC65" s="10"/>
      <c r="DVD65" s="10"/>
      <c r="DVE65" s="10"/>
      <c r="DVF65" s="10"/>
      <c r="DVG65" s="10"/>
      <c r="DVH65" s="10"/>
      <c r="DVI65" s="10"/>
      <c r="DVJ65" s="10"/>
      <c r="DVK65" s="10"/>
      <c r="DVL65" s="10"/>
      <c r="DVM65" s="10"/>
      <c r="DVN65" s="10"/>
      <c r="DVO65" s="10"/>
      <c r="DVP65" s="10"/>
      <c r="DVQ65" s="10"/>
      <c r="DVR65" s="10"/>
      <c r="DVS65" s="10"/>
      <c r="DVT65" s="10"/>
      <c r="DVU65" s="10"/>
      <c r="DVV65" s="10"/>
      <c r="DVW65" s="10"/>
      <c r="DVX65" s="10"/>
      <c r="DVY65" s="10"/>
      <c r="DVZ65" s="10"/>
      <c r="DWA65" s="10"/>
      <c r="DWB65" s="10"/>
      <c r="DWC65" s="10"/>
      <c r="DWD65" s="10"/>
      <c r="DWE65" s="10"/>
      <c r="DWF65" s="10"/>
      <c r="DWG65" s="10"/>
      <c r="DWH65" s="10"/>
      <c r="DWI65" s="10"/>
      <c r="DWJ65" s="10"/>
      <c r="DWK65" s="10"/>
      <c r="DWL65" s="10"/>
      <c r="DWM65" s="10"/>
      <c r="DWN65" s="10"/>
      <c r="DWO65" s="10"/>
      <c r="DWP65" s="10"/>
      <c r="DWQ65" s="10"/>
      <c r="DWR65" s="10"/>
      <c r="DWS65" s="10"/>
      <c r="DWT65" s="10"/>
      <c r="DWU65" s="10"/>
      <c r="DWV65" s="10"/>
      <c r="DWW65" s="10"/>
      <c r="DWX65" s="10"/>
      <c r="DWY65" s="10"/>
      <c r="DWZ65" s="10"/>
      <c r="DXA65" s="10"/>
      <c r="DXB65" s="10"/>
      <c r="DXC65" s="10"/>
      <c r="DXD65" s="10"/>
      <c r="DXE65" s="10"/>
      <c r="DXF65" s="10"/>
      <c r="DXG65" s="10"/>
      <c r="DXH65" s="10"/>
      <c r="DXI65" s="10"/>
      <c r="DXJ65" s="10"/>
      <c r="DXK65" s="10"/>
      <c r="DXL65" s="10"/>
      <c r="DXM65" s="10"/>
      <c r="DXN65" s="10"/>
      <c r="DXO65" s="10"/>
      <c r="DXP65" s="10"/>
      <c r="DXQ65" s="10"/>
      <c r="DXR65" s="10"/>
      <c r="DXS65" s="10"/>
      <c r="DXT65" s="10"/>
      <c r="DXU65" s="10"/>
      <c r="DXV65" s="10"/>
      <c r="DXW65" s="10"/>
      <c r="DXX65" s="10"/>
      <c r="DXY65" s="10"/>
      <c r="DXZ65" s="10"/>
      <c r="DYA65" s="10"/>
      <c r="DYB65" s="10"/>
      <c r="DYC65" s="10"/>
      <c r="DYD65" s="10"/>
      <c r="DYE65" s="10"/>
      <c r="DYF65" s="10"/>
      <c r="DYG65" s="10"/>
      <c r="DYH65" s="10"/>
      <c r="DYI65" s="10"/>
      <c r="DYJ65" s="10"/>
      <c r="DYK65" s="10"/>
      <c r="DYL65" s="10"/>
      <c r="DYM65" s="10"/>
      <c r="DYN65" s="10"/>
      <c r="DYO65" s="10"/>
      <c r="DYP65" s="10"/>
      <c r="DYQ65" s="10"/>
      <c r="DYR65" s="10"/>
      <c r="DYS65" s="10"/>
      <c r="DYT65" s="10"/>
      <c r="DYU65" s="10"/>
      <c r="DYV65" s="10"/>
      <c r="DYW65" s="10"/>
      <c r="DYX65" s="10"/>
      <c r="DYY65" s="10"/>
      <c r="DYZ65" s="10"/>
      <c r="DZA65" s="10"/>
      <c r="DZB65" s="10"/>
      <c r="DZC65" s="10"/>
      <c r="DZD65" s="10"/>
      <c r="DZE65" s="10"/>
      <c r="DZF65" s="10"/>
      <c r="DZG65" s="10"/>
      <c r="DZH65" s="10"/>
      <c r="DZI65" s="10"/>
      <c r="DZJ65" s="10"/>
      <c r="DZK65" s="10"/>
      <c r="DZL65" s="10"/>
      <c r="DZM65" s="10"/>
      <c r="DZN65" s="10"/>
      <c r="DZO65" s="10"/>
      <c r="DZP65" s="10"/>
      <c r="DZQ65" s="10"/>
      <c r="DZR65" s="10"/>
      <c r="DZS65" s="10"/>
      <c r="DZT65" s="10"/>
      <c r="DZU65" s="10"/>
      <c r="DZV65" s="10"/>
      <c r="DZW65" s="10"/>
      <c r="DZX65" s="10"/>
      <c r="DZY65" s="10"/>
      <c r="DZZ65" s="10"/>
      <c r="EAA65" s="10"/>
      <c r="EAB65" s="10"/>
      <c r="EAC65" s="10"/>
      <c r="EAD65" s="10"/>
      <c r="EAE65" s="10"/>
      <c r="EAF65" s="10"/>
      <c r="EAG65" s="10"/>
      <c r="EAH65" s="10"/>
      <c r="EAI65" s="10"/>
      <c r="EAJ65" s="10"/>
      <c r="EAK65" s="10"/>
      <c r="EAL65" s="10"/>
      <c r="EAM65" s="10"/>
      <c r="EAN65" s="10"/>
      <c r="EAO65" s="10"/>
      <c r="EAP65" s="10"/>
      <c r="EAQ65" s="10"/>
      <c r="EAR65" s="10"/>
      <c r="EAS65" s="10"/>
      <c r="EAT65" s="10"/>
      <c r="EAU65" s="10"/>
      <c r="EAV65" s="10"/>
      <c r="EAW65" s="10"/>
      <c r="EAX65" s="10"/>
      <c r="EAY65" s="10"/>
      <c r="EAZ65" s="10"/>
      <c r="EBA65" s="10"/>
      <c r="EBB65" s="10"/>
      <c r="EBC65" s="10"/>
      <c r="EBD65" s="10"/>
      <c r="EBE65" s="10"/>
      <c r="EBF65" s="10"/>
      <c r="EBG65" s="10"/>
      <c r="EBH65" s="10"/>
      <c r="EBI65" s="10"/>
      <c r="EBJ65" s="10"/>
      <c r="EBK65" s="10"/>
      <c r="EBL65" s="10"/>
      <c r="EBM65" s="10"/>
      <c r="EBN65" s="10"/>
      <c r="EBO65" s="10"/>
      <c r="EBP65" s="10"/>
      <c r="EBQ65" s="10"/>
      <c r="EBR65" s="10"/>
      <c r="EBS65" s="10"/>
      <c r="EBT65" s="10"/>
      <c r="EBU65" s="10"/>
      <c r="EBV65" s="10"/>
      <c r="EBW65" s="10"/>
      <c r="EBX65" s="10"/>
      <c r="EBY65" s="10"/>
      <c r="EBZ65" s="10"/>
      <c r="ECA65" s="10"/>
      <c r="ECB65" s="10"/>
      <c r="ECC65" s="10"/>
      <c r="ECD65" s="10"/>
      <c r="ECE65" s="10"/>
      <c r="ECF65" s="10"/>
      <c r="ECG65" s="10"/>
      <c r="ECH65" s="10"/>
      <c r="ECI65" s="10"/>
      <c r="ECJ65" s="10"/>
      <c r="ECK65" s="10"/>
      <c r="ECL65" s="10"/>
      <c r="ECM65" s="10"/>
      <c r="ECN65" s="10"/>
      <c r="ECO65" s="10"/>
      <c r="ECP65" s="10"/>
      <c r="ECQ65" s="10"/>
      <c r="ECR65" s="10"/>
      <c r="ECS65" s="10"/>
      <c r="ECT65" s="10"/>
      <c r="ECU65" s="10"/>
      <c r="ECV65" s="10"/>
      <c r="ECW65" s="10"/>
      <c r="ECX65" s="10"/>
      <c r="ECY65" s="10"/>
      <c r="ECZ65" s="10"/>
      <c r="EDA65" s="10"/>
      <c r="EDB65" s="10"/>
      <c r="EDC65" s="10"/>
      <c r="EDD65" s="10"/>
      <c r="EDE65" s="10"/>
      <c r="EDF65" s="10"/>
      <c r="EDG65" s="10"/>
      <c r="EDH65" s="10"/>
      <c r="EDI65" s="10"/>
      <c r="EDJ65" s="10"/>
      <c r="EDK65" s="10"/>
      <c r="EDL65" s="10"/>
      <c r="EDM65" s="10"/>
      <c r="EDN65" s="10"/>
      <c r="EDO65" s="10"/>
      <c r="EDP65" s="10"/>
      <c r="EDQ65" s="10"/>
      <c r="EDR65" s="10"/>
      <c r="EDS65" s="10"/>
      <c r="EDT65" s="10"/>
      <c r="EDU65" s="10"/>
      <c r="EDV65" s="10"/>
      <c r="EDW65" s="10"/>
      <c r="EDX65" s="10"/>
      <c r="EDY65" s="10"/>
      <c r="EDZ65" s="10"/>
      <c r="EEA65" s="10"/>
      <c r="EEB65" s="10"/>
      <c r="EEC65" s="10"/>
      <c r="EED65" s="10"/>
      <c r="EEE65" s="10"/>
      <c r="EEF65" s="10"/>
      <c r="EEG65" s="10"/>
      <c r="EEH65" s="10"/>
      <c r="EEI65" s="10"/>
      <c r="EEJ65" s="10"/>
      <c r="EEK65" s="10"/>
      <c r="EEL65" s="10"/>
      <c r="EEM65" s="10"/>
      <c r="EEN65" s="10"/>
      <c r="EEO65" s="10"/>
      <c r="EEP65" s="10"/>
      <c r="EEQ65" s="10"/>
      <c r="EER65" s="10"/>
      <c r="EES65" s="10"/>
      <c r="EET65" s="10"/>
      <c r="EEU65" s="10"/>
      <c r="EEV65" s="10"/>
      <c r="EEW65" s="10"/>
      <c r="EEX65" s="10"/>
      <c r="EEY65" s="10"/>
      <c r="EEZ65" s="10"/>
      <c r="EFA65" s="10"/>
      <c r="EFB65" s="10"/>
      <c r="EFC65" s="10"/>
      <c r="EFD65" s="10"/>
      <c r="EFE65" s="10"/>
      <c r="EFF65" s="10"/>
      <c r="EFG65" s="10"/>
      <c r="EFH65" s="10"/>
      <c r="EFI65" s="10"/>
      <c r="EFJ65" s="10"/>
      <c r="EFK65" s="10"/>
      <c r="EFL65" s="10"/>
      <c r="EFM65" s="10"/>
      <c r="EFN65" s="10"/>
      <c r="EFO65" s="10"/>
      <c r="EFP65" s="10"/>
      <c r="EFQ65" s="10"/>
      <c r="EFR65" s="10"/>
      <c r="EFS65" s="10"/>
      <c r="EFT65" s="10"/>
      <c r="EFU65" s="10"/>
      <c r="EFV65" s="10"/>
      <c r="EFW65" s="10"/>
      <c r="EFX65" s="10"/>
      <c r="EFY65" s="10"/>
      <c r="EFZ65" s="10"/>
      <c r="EGA65" s="10"/>
      <c r="EGB65" s="10"/>
      <c r="EGC65" s="10"/>
      <c r="EGD65" s="10"/>
      <c r="EGE65" s="10"/>
      <c r="EGF65" s="10"/>
      <c r="EGG65" s="10"/>
      <c r="EGH65" s="10"/>
      <c r="EGI65" s="10"/>
      <c r="EGJ65" s="10"/>
      <c r="EGK65" s="10"/>
      <c r="EGL65" s="10"/>
      <c r="EGM65" s="10"/>
      <c r="EGN65" s="10"/>
      <c r="EGO65" s="10"/>
      <c r="EGP65" s="10"/>
      <c r="EGQ65" s="10"/>
      <c r="EGR65" s="10"/>
      <c r="EGS65" s="10"/>
      <c r="EGT65" s="10"/>
      <c r="EGU65" s="10"/>
      <c r="EGV65" s="10"/>
      <c r="EGW65" s="10"/>
      <c r="EGX65" s="10"/>
      <c r="EGY65" s="10"/>
      <c r="EGZ65" s="10"/>
      <c r="EHA65" s="10"/>
      <c r="EHB65" s="10"/>
      <c r="EHC65" s="10"/>
      <c r="EHD65" s="10"/>
      <c r="EHE65" s="10"/>
      <c r="EHF65" s="10"/>
      <c r="EHG65" s="10"/>
      <c r="EHH65" s="10"/>
      <c r="EHI65" s="10"/>
      <c r="EHJ65" s="10"/>
      <c r="EHK65" s="10"/>
      <c r="EHL65" s="10"/>
      <c r="EHM65" s="10"/>
      <c r="EHN65" s="10"/>
      <c r="EHO65" s="10"/>
      <c r="EHP65" s="10"/>
      <c r="EHQ65" s="10"/>
      <c r="EHR65" s="10"/>
      <c r="EHS65" s="10"/>
      <c r="EHT65" s="10"/>
      <c r="EHU65" s="10"/>
      <c r="EHV65" s="10"/>
      <c r="EHW65" s="10"/>
      <c r="EHX65" s="10"/>
      <c r="EHY65" s="10"/>
      <c r="EHZ65" s="10"/>
      <c r="EIA65" s="10"/>
      <c r="EIB65" s="10"/>
      <c r="EIC65" s="10"/>
      <c r="EID65" s="10"/>
      <c r="EIE65" s="10"/>
      <c r="EIF65" s="10"/>
      <c r="EIG65" s="10"/>
      <c r="EIH65" s="10"/>
      <c r="EII65" s="10"/>
      <c r="EIJ65" s="10"/>
      <c r="EIK65" s="10"/>
      <c r="EIL65" s="10"/>
      <c r="EIM65" s="10"/>
      <c r="EIN65" s="10"/>
      <c r="EIO65" s="10"/>
      <c r="EIP65" s="10"/>
      <c r="EIQ65" s="10"/>
      <c r="EIR65" s="10"/>
      <c r="EIS65" s="10"/>
      <c r="EIT65" s="10"/>
      <c r="EIU65" s="10"/>
      <c r="EIV65" s="10"/>
      <c r="EIW65" s="10"/>
      <c r="EIX65" s="10"/>
      <c r="EIY65" s="10"/>
      <c r="EIZ65" s="10"/>
      <c r="EJA65" s="10"/>
      <c r="EJB65" s="10"/>
      <c r="EJC65" s="10"/>
      <c r="EJD65" s="10"/>
      <c r="EJE65" s="10"/>
      <c r="EJF65" s="10"/>
      <c r="EJG65" s="10"/>
      <c r="EJH65" s="10"/>
      <c r="EJI65" s="10"/>
      <c r="EJJ65" s="10"/>
      <c r="EJK65" s="10"/>
      <c r="EJL65" s="10"/>
      <c r="EJM65" s="10"/>
      <c r="EJN65" s="10"/>
      <c r="EJO65" s="10"/>
      <c r="EJP65" s="10"/>
      <c r="EJQ65" s="10"/>
      <c r="EJR65" s="10"/>
      <c r="EJS65" s="10"/>
      <c r="EJT65" s="10"/>
      <c r="EJU65" s="10"/>
      <c r="EJV65" s="10"/>
      <c r="EJW65" s="10"/>
      <c r="EJX65" s="10"/>
      <c r="EJY65" s="10"/>
      <c r="EJZ65" s="10"/>
      <c r="EKA65" s="10"/>
      <c r="EKB65" s="10"/>
      <c r="EKC65" s="10"/>
      <c r="EKD65" s="10"/>
      <c r="EKE65" s="10"/>
      <c r="EKF65" s="10"/>
      <c r="EKG65" s="10"/>
      <c r="EKH65" s="10"/>
      <c r="EKI65" s="10"/>
      <c r="EKJ65" s="10"/>
      <c r="EKK65" s="10"/>
      <c r="EKL65" s="10"/>
      <c r="EKM65" s="10"/>
      <c r="EKN65" s="10"/>
      <c r="EKO65" s="10"/>
      <c r="EKP65" s="10"/>
      <c r="EKQ65" s="10"/>
      <c r="EKR65" s="10"/>
      <c r="EKS65" s="10"/>
      <c r="EKT65" s="10"/>
      <c r="EKU65" s="10"/>
      <c r="EKV65" s="10"/>
      <c r="EKW65" s="10"/>
      <c r="EKX65" s="10"/>
      <c r="EKY65" s="10"/>
      <c r="EKZ65" s="10"/>
      <c r="ELA65" s="10"/>
      <c r="ELB65" s="10"/>
      <c r="ELC65" s="10"/>
      <c r="ELD65" s="10"/>
      <c r="ELE65" s="10"/>
      <c r="ELF65" s="10"/>
      <c r="ELG65" s="10"/>
      <c r="ELH65" s="10"/>
      <c r="ELI65" s="10"/>
      <c r="ELJ65" s="10"/>
      <c r="ELK65" s="10"/>
      <c r="ELL65" s="10"/>
      <c r="ELM65" s="10"/>
      <c r="ELN65" s="10"/>
      <c r="ELO65" s="10"/>
      <c r="ELP65" s="10"/>
      <c r="ELQ65" s="10"/>
      <c r="ELR65" s="10"/>
      <c r="ELS65" s="10"/>
      <c r="ELT65" s="10"/>
      <c r="ELU65" s="10"/>
      <c r="ELV65" s="10"/>
      <c r="ELW65" s="10"/>
      <c r="ELX65" s="10"/>
      <c r="ELY65" s="10"/>
      <c r="ELZ65" s="10"/>
      <c r="EMA65" s="10"/>
      <c r="EMB65" s="10"/>
      <c r="EMC65" s="10"/>
      <c r="EMD65" s="10"/>
      <c r="EME65" s="10"/>
      <c r="EMF65" s="10"/>
      <c r="EMG65" s="10"/>
      <c r="EMH65" s="10"/>
      <c r="EMI65" s="10"/>
      <c r="EMJ65" s="10"/>
      <c r="EMK65" s="10"/>
      <c r="EML65" s="10"/>
      <c r="EMM65" s="10"/>
      <c r="EMN65" s="10"/>
      <c r="EMO65" s="10"/>
      <c r="EMP65" s="10"/>
      <c r="EMQ65" s="10"/>
      <c r="EMR65" s="10"/>
      <c r="EMS65" s="10"/>
      <c r="EMT65" s="10"/>
      <c r="EMU65" s="10"/>
      <c r="EMV65" s="10"/>
      <c r="EMW65" s="10"/>
      <c r="EMX65" s="10"/>
      <c r="EMY65" s="10"/>
      <c r="EMZ65" s="10"/>
      <c r="ENA65" s="10"/>
      <c r="ENB65" s="10"/>
      <c r="ENC65" s="10"/>
      <c r="END65" s="10"/>
      <c r="ENE65" s="10"/>
      <c r="ENF65" s="10"/>
      <c r="ENG65" s="10"/>
      <c r="ENH65" s="10"/>
      <c r="ENI65" s="10"/>
      <c r="ENJ65" s="10"/>
      <c r="ENK65" s="10"/>
      <c r="ENL65" s="10"/>
      <c r="ENM65" s="10"/>
      <c r="ENN65" s="10"/>
      <c r="ENO65" s="10"/>
      <c r="ENP65" s="10"/>
      <c r="ENQ65" s="10"/>
      <c r="ENR65" s="10"/>
      <c r="ENS65" s="10"/>
      <c r="ENT65" s="10"/>
      <c r="ENU65" s="10"/>
      <c r="ENV65" s="10"/>
      <c r="ENW65" s="10"/>
      <c r="ENX65" s="10"/>
      <c r="ENY65" s="10"/>
      <c r="ENZ65" s="10"/>
      <c r="EOA65" s="10"/>
      <c r="EOB65" s="10"/>
      <c r="EOC65" s="10"/>
      <c r="EOD65" s="10"/>
      <c r="EOE65" s="10"/>
      <c r="EOF65" s="10"/>
      <c r="EOG65" s="10"/>
      <c r="EOH65" s="10"/>
      <c r="EOI65" s="10"/>
      <c r="EOJ65" s="10"/>
      <c r="EOK65" s="10"/>
      <c r="EOL65" s="10"/>
      <c r="EOM65" s="10"/>
      <c r="EON65" s="10"/>
      <c r="EOO65" s="10"/>
      <c r="EOP65" s="10"/>
      <c r="EOQ65" s="10"/>
      <c r="EOR65" s="10"/>
      <c r="EOS65" s="10"/>
      <c r="EOT65" s="10"/>
      <c r="EOU65" s="10"/>
      <c r="EOV65" s="10"/>
      <c r="EOW65" s="10"/>
      <c r="EOX65" s="10"/>
      <c r="EOY65" s="10"/>
      <c r="EOZ65" s="10"/>
      <c r="EPA65" s="10"/>
      <c r="EPB65" s="10"/>
      <c r="EPC65" s="10"/>
      <c r="EPD65" s="10"/>
      <c r="EPE65" s="10"/>
      <c r="EPF65" s="10"/>
      <c r="EPG65" s="10"/>
      <c r="EPH65" s="10"/>
      <c r="EPI65" s="10"/>
      <c r="EPJ65" s="10"/>
      <c r="EPK65" s="10"/>
      <c r="EPL65" s="10"/>
      <c r="EPM65" s="10"/>
      <c r="EPN65" s="10"/>
      <c r="EPO65" s="10"/>
      <c r="EPP65" s="10"/>
      <c r="EPQ65" s="10"/>
      <c r="EPR65" s="10"/>
      <c r="EPS65" s="10"/>
      <c r="EPT65" s="10"/>
      <c r="EPU65" s="10"/>
      <c r="EPV65" s="10"/>
      <c r="EPW65" s="10"/>
      <c r="EPX65" s="10"/>
      <c r="EPY65" s="10"/>
      <c r="EPZ65" s="10"/>
      <c r="EQA65" s="10"/>
      <c r="EQB65" s="10"/>
      <c r="EQC65" s="10"/>
      <c r="EQD65" s="10"/>
      <c r="EQE65" s="10"/>
      <c r="EQF65" s="10"/>
      <c r="EQG65" s="10"/>
      <c r="EQH65" s="10"/>
      <c r="EQI65" s="10"/>
      <c r="EQJ65" s="10"/>
      <c r="EQK65" s="10"/>
      <c r="EQL65" s="10"/>
      <c r="EQM65" s="10"/>
      <c r="EQN65" s="10"/>
      <c r="EQO65" s="10"/>
      <c r="EQP65" s="10"/>
      <c r="EQQ65" s="10"/>
      <c r="EQR65" s="10"/>
      <c r="EQS65" s="10"/>
      <c r="EQT65" s="10"/>
      <c r="EQU65" s="10"/>
      <c r="EQV65" s="10"/>
      <c r="EQW65" s="10"/>
      <c r="EQX65" s="10"/>
      <c r="EQY65" s="10"/>
      <c r="EQZ65" s="10"/>
      <c r="ERA65" s="10"/>
      <c r="ERB65" s="10"/>
      <c r="ERC65" s="10"/>
      <c r="ERD65" s="10"/>
      <c r="ERE65" s="10"/>
      <c r="ERF65" s="10"/>
      <c r="ERG65" s="10"/>
      <c r="ERH65" s="10"/>
      <c r="ERI65" s="10"/>
      <c r="ERJ65" s="10"/>
      <c r="ERK65" s="10"/>
      <c r="ERL65" s="10"/>
      <c r="ERM65" s="10"/>
      <c r="ERN65" s="10"/>
      <c r="ERO65" s="10"/>
      <c r="ERP65" s="10"/>
      <c r="ERQ65" s="10"/>
      <c r="ERR65" s="10"/>
      <c r="ERS65" s="10"/>
      <c r="ERT65" s="10"/>
      <c r="ERU65" s="10"/>
      <c r="ERV65" s="10"/>
      <c r="ERW65" s="10"/>
      <c r="ERX65" s="10"/>
      <c r="ERY65" s="10"/>
      <c r="ERZ65" s="10"/>
      <c r="ESA65" s="10"/>
      <c r="ESB65" s="10"/>
      <c r="ESC65" s="10"/>
      <c r="ESD65" s="10"/>
      <c r="ESE65" s="10"/>
      <c r="ESF65" s="10"/>
      <c r="ESG65" s="10"/>
      <c r="ESH65" s="10"/>
      <c r="ESI65" s="10"/>
      <c r="ESJ65" s="10"/>
      <c r="ESK65" s="10"/>
      <c r="ESL65" s="10"/>
      <c r="ESM65" s="10"/>
      <c r="ESN65" s="10"/>
      <c r="ESO65" s="10"/>
      <c r="ESP65" s="10"/>
      <c r="ESQ65" s="10"/>
      <c r="ESR65" s="10"/>
      <c r="ESS65" s="10"/>
      <c r="EST65" s="10"/>
      <c r="ESU65" s="10"/>
      <c r="ESV65" s="10"/>
      <c r="ESW65" s="10"/>
      <c r="ESX65" s="10"/>
      <c r="ESY65" s="10"/>
      <c r="ESZ65" s="10"/>
      <c r="ETA65" s="10"/>
      <c r="ETB65" s="10"/>
      <c r="ETC65" s="10"/>
      <c r="ETD65" s="10"/>
      <c r="ETE65" s="10"/>
      <c r="ETF65" s="10"/>
      <c r="ETG65" s="10"/>
      <c r="ETH65" s="10"/>
      <c r="ETI65" s="10"/>
      <c r="ETJ65" s="10"/>
      <c r="ETK65" s="10"/>
      <c r="ETL65" s="10"/>
      <c r="ETM65" s="10"/>
      <c r="ETN65" s="10"/>
      <c r="ETO65" s="10"/>
      <c r="ETP65" s="10"/>
      <c r="ETQ65" s="10"/>
      <c r="ETR65" s="10"/>
      <c r="ETS65" s="10"/>
      <c r="ETT65" s="10"/>
      <c r="ETU65" s="10"/>
      <c r="ETV65" s="10"/>
      <c r="ETW65" s="10"/>
      <c r="ETX65" s="10"/>
      <c r="ETY65" s="10"/>
      <c r="ETZ65" s="10"/>
      <c r="EUA65" s="10"/>
      <c r="EUB65" s="10"/>
      <c r="EUC65" s="10"/>
      <c r="EUD65" s="10"/>
      <c r="EUE65" s="10"/>
      <c r="EUF65" s="10"/>
      <c r="EUG65" s="10"/>
      <c r="EUH65" s="10"/>
      <c r="EUI65" s="10"/>
      <c r="EUJ65" s="10"/>
      <c r="EUK65" s="10"/>
      <c r="EUL65" s="10"/>
      <c r="EUM65" s="10"/>
      <c r="EUN65" s="10"/>
      <c r="EUO65" s="10"/>
      <c r="EUP65" s="10"/>
      <c r="EUQ65" s="10"/>
      <c r="EUR65" s="10"/>
      <c r="EUS65" s="10"/>
      <c r="EUT65" s="10"/>
      <c r="EUU65" s="10"/>
      <c r="EUV65" s="10"/>
      <c r="EUW65" s="10"/>
      <c r="EUX65" s="10"/>
      <c r="EUY65" s="10"/>
      <c r="EUZ65" s="10"/>
      <c r="EVA65" s="10"/>
      <c r="EVB65" s="10"/>
      <c r="EVC65" s="10"/>
      <c r="EVD65" s="10"/>
      <c r="EVE65" s="10"/>
      <c r="EVF65" s="10"/>
      <c r="EVG65" s="10"/>
      <c r="EVH65" s="10"/>
      <c r="EVI65" s="10"/>
      <c r="EVJ65" s="10"/>
      <c r="EVK65" s="10"/>
      <c r="EVL65" s="10"/>
      <c r="EVM65" s="10"/>
      <c r="EVN65" s="10"/>
      <c r="EVO65" s="10"/>
      <c r="EVP65" s="10"/>
      <c r="EVQ65" s="10"/>
      <c r="EVR65" s="10"/>
      <c r="EVS65" s="10"/>
      <c r="EVT65" s="10"/>
      <c r="EVU65" s="10"/>
      <c r="EVV65" s="10"/>
      <c r="EVW65" s="10"/>
      <c r="EVX65" s="10"/>
      <c r="EVY65" s="10"/>
      <c r="EVZ65" s="10"/>
      <c r="EWA65" s="10"/>
      <c r="EWB65" s="10"/>
      <c r="EWC65" s="10"/>
      <c r="EWD65" s="10"/>
      <c r="EWE65" s="10"/>
      <c r="EWF65" s="10"/>
      <c r="EWG65" s="10"/>
      <c r="EWH65" s="10"/>
      <c r="EWI65" s="10"/>
      <c r="EWJ65" s="10"/>
      <c r="EWK65" s="10"/>
      <c r="EWL65" s="10"/>
      <c r="EWM65" s="10"/>
      <c r="EWN65" s="10"/>
      <c r="EWO65" s="10"/>
      <c r="EWP65" s="10"/>
      <c r="EWQ65" s="10"/>
      <c r="EWR65" s="10"/>
      <c r="EWS65" s="10"/>
      <c r="EWT65" s="10"/>
      <c r="EWU65" s="10"/>
      <c r="EWV65" s="10"/>
      <c r="EWW65" s="10"/>
      <c r="EWX65" s="10"/>
      <c r="EWY65" s="10"/>
      <c r="EWZ65" s="10"/>
      <c r="EXA65" s="10"/>
      <c r="EXB65" s="10"/>
      <c r="EXC65" s="10"/>
      <c r="EXD65" s="10"/>
      <c r="EXE65" s="10"/>
      <c r="EXF65" s="10"/>
      <c r="EXG65" s="10"/>
      <c r="EXH65" s="10"/>
      <c r="EXI65" s="10"/>
      <c r="EXJ65" s="10"/>
      <c r="EXK65" s="10"/>
      <c r="EXL65" s="10"/>
      <c r="EXM65" s="10"/>
      <c r="EXN65" s="10"/>
      <c r="EXO65" s="10"/>
      <c r="EXP65" s="10"/>
      <c r="EXQ65" s="10"/>
      <c r="EXR65" s="10"/>
      <c r="EXS65" s="10"/>
      <c r="EXT65" s="10"/>
      <c r="EXU65" s="10"/>
      <c r="EXV65" s="10"/>
      <c r="EXW65" s="10"/>
      <c r="EXX65" s="10"/>
      <c r="EXY65" s="10"/>
      <c r="EXZ65" s="10"/>
      <c r="EYA65" s="10"/>
      <c r="EYB65" s="10"/>
      <c r="EYC65" s="10"/>
      <c r="EYD65" s="10"/>
      <c r="EYE65" s="10"/>
      <c r="EYF65" s="10"/>
      <c r="EYG65" s="10"/>
      <c r="EYH65" s="10"/>
      <c r="EYI65" s="10"/>
      <c r="EYJ65" s="10"/>
      <c r="EYK65" s="10"/>
      <c r="EYL65" s="10"/>
      <c r="EYM65" s="10"/>
      <c r="EYN65" s="10"/>
      <c r="EYO65" s="10"/>
      <c r="EYP65" s="10"/>
      <c r="EYQ65" s="10"/>
      <c r="EYR65" s="10"/>
      <c r="EYS65" s="10"/>
      <c r="EYT65" s="10"/>
      <c r="EYU65" s="10"/>
      <c r="EYV65" s="10"/>
      <c r="EYW65" s="10"/>
      <c r="EYX65" s="10"/>
      <c r="EYY65" s="10"/>
      <c r="EYZ65" s="10"/>
      <c r="EZA65" s="10"/>
      <c r="EZB65" s="10"/>
      <c r="EZC65" s="10"/>
      <c r="EZD65" s="10"/>
      <c r="EZE65" s="10"/>
      <c r="EZF65" s="10"/>
      <c r="EZG65" s="10"/>
      <c r="EZH65" s="10"/>
      <c r="EZI65" s="10"/>
      <c r="EZJ65" s="10"/>
      <c r="EZK65" s="10"/>
      <c r="EZL65" s="10"/>
      <c r="EZM65" s="10"/>
      <c r="EZN65" s="10"/>
      <c r="EZO65" s="10"/>
      <c r="EZP65" s="10"/>
      <c r="EZQ65" s="10"/>
      <c r="EZR65" s="10"/>
      <c r="EZS65" s="10"/>
      <c r="EZT65" s="10"/>
      <c r="EZU65" s="10"/>
      <c r="EZV65" s="10"/>
      <c r="EZW65" s="10"/>
      <c r="EZX65" s="10"/>
      <c r="EZY65" s="10"/>
      <c r="EZZ65" s="10"/>
      <c r="FAA65" s="10"/>
      <c r="FAB65" s="10"/>
      <c r="FAC65" s="10"/>
      <c r="FAD65" s="10"/>
      <c r="FAE65" s="10"/>
      <c r="FAF65" s="10"/>
      <c r="FAG65" s="10"/>
      <c r="FAH65" s="10"/>
      <c r="FAI65" s="10"/>
      <c r="FAJ65" s="10"/>
      <c r="FAK65" s="10"/>
      <c r="FAL65" s="10"/>
      <c r="FAM65" s="10"/>
      <c r="FAN65" s="10"/>
      <c r="FAO65" s="10"/>
      <c r="FAP65" s="10"/>
      <c r="FAQ65" s="10"/>
      <c r="FAR65" s="10"/>
      <c r="FAS65" s="10"/>
      <c r="FAT65" s="10"/>
      <c r="FAU65" s="10"/>
      <c r="FAV65" s="10"/>
      <c r="FAW65" s="10"/>
      <c r="FAX65" s="10"/>
      <c r="FAY65" s="10"/>
      <c r="FAZ65" s="10"/>
      <c r="FBA65" s="10"/>
      <c r="FBB65" s="10"/>
      <c r="FBC65" s="10"/>
      <c r="FBD65" s="10"/>
      <c r="FBE65" s="10"/>
      <c r="FBF65" s="10"/>
      <c r="FBG65" s="10"/>
      <c r="FBH65" s="10"/>
      <c r="FBI65" s="10"/>
      <c r="FBJ65" s="10"/>
      <c r="FBK65" s="10"/>
      <c r="FBL65" s="10"/>
      <c r="FBM65" s="10"/>
      <c r="FBN65" s="10"/>
      <c r="FBO65" s="10"/>
      <c r="FBP65" s="10"/>
      <c r="FBQ65" s="10"/>
      <c r="FBR65" s="10"/>
      <c r="FBS65" s="10"/>
      <c r="FBT65" s="10"/>
      <c r="FBU65" s="10"/>
      <c r="FBV65" s="10"/>
      <c r="FBW65" s="10"/>
      <c r="FBX65" s="10"/>
      <c r="FBY65" s="10"/>
      <c r="FBZ65" s="10"/>
      <c r="FCA65" s="10"/>
      <c r="FCB65" s="10"/>
      <c r="FCC65" s="10"/>
      <c r="FCD65" s="10"/>
      <c r="FCE65" s="10"/>
      <c r="FCF65" s="10"/>
      <c r="FCG65" s="10"/>
      <c r="FCH65" s="10"/>
      <c r="FCI65" s="10"/>
      <c r="FCJ65" s="10"/>
      <c r="FCK65" s="10"/>
      <c r="FCL65" s="10"/>
      <c r="FCM65" s="10"/>
      <c r="FCN65" s="10"/>
      <c r="FCO65" s="10"/>
      <c r="FCP65" s="10"/>
      <c r="FCQ65" s="10"/>
      <c r="FCR65" s="10"/>
      <c r="FCS65" s="10"/>
      <c r="FCT65" s="10"/>
      <c r="FCU65" s="10"/>
      <c r="FCV65" s="10"/>
      <c r="FCW65" s="10"/>
      <c r="FCX65" s="10"/>
      <c r="FCY65" s="10"/>
      <c r="FCZ65" s="10"/>
      <c r="FDA65" s="10"/>
      <c r="FDB65" s="10"/>
      <c r="FDC65" s="10"/>
      <c r="FDD65" s="10"/>
      <c r="FDE65" s="10"/>
      <c r="FDF65" s="10"/>
      <c r="FDG65" s="10"/>
      <c r="FDH65" s="10"/>
      <c r="FDI65" s="10"/>
      <c r="FDJ65" s="10"/>
      <c r="FDK65" s="10"/>
      <c r="FDL65" s="10"/>
      <c r="FDM65" s="10"/>
      <c r="FDN65" s="10"/>
      <c r="FDO65" s="10"/>
      <c r="FDP65" s="10"/>
      <c r="FDQ65" s="10"/>
      <c r="FDR65" s="10"/>
      <c r="FDS65" s="10"/>
      <c r="FDT65" s="10"/>
      <c r="FDU65" s="10"/>
      <c r="FDV65" s="10"/>
      <c r="FDW65" s="10"/>
      <c r="FDX65" s="10"/>
      <c r="FDY65" s="10"/>
      <c r="FDZ65" s="10"/>
      <c r="FEA65" s="10"/>
      <c r="FEB65" s="10"/>
      <c r="FEC65" s="10"/>
      <c r="FED65" s="10"/>
      <c r="FEE65" s="10"/>
      <c r="FEF65" s="10"/>
      <c r="FEG65" s="10"/>
      <c r="FEH65" s="10"/>
      <c r="FEI65" s="10"/>
      <c r="FEJ65" s="10"/>
      <c r="FEK65" s="10"/>
      <c r="FEL65" s="10"/>
      <c r="FEM65" s="10"/>
      <c r="FEN65" s="10"/>
      <c r="FEO65" s="10"/>
      <c r="FEP65" s="10"/>
      <c r="FEQ65" s="10"/>
      <c r="FER65" s="10"/>
      <c r="FES65" s="10"/>
      <c r="FET65" s="10"/>
      <c r="FEU65" s="10"/>
      <c r="FEV65" s="10"/>
      <c r="FEW65" s="10"/>
      <c r="FEX65" s="10"/>
      <c r="FEY65" s="10"/>
      <c r="FEZ65" s="10"/>
      <c r="FFA65" s="10"/>
      <c r="FFB65" s="10"/>
      <c r="FFC65" s="10"/>
      <c r="FFD65" s="10"/>
      <c r="FFE65" s="10"/>
      <c r="FFF65" s="10"/>
      <c r="FFG65" s="10"/>
      <c r="FFH65" s="10"/>
      <c r="FFI65" s="10"/>
      <c r="FFJ65" s="10"/>
      <c r="FFK65" s="10"/>
      <c r="FFL65" s="10"/>
      <c r="FFM65" s="10"/>
      <c r="FFN65" s="10"/>
      <c r="FFO65" s="10"/>
      <c r="FFP65" s="10"/>
      <c r="FFQ65" s="10"/>
      <c r="FFR65" s="10"/>
      <c r="FFS65" s="10"/>
      <c r="FFT65" s="10"/>
      <c r="FFU65" s="10"/>
      <c r="FFV65" s="10"/>
      <c r="FFW65" s="10"/>
      <c r="FFX65" s="10"/>
      <c r="FFY65" s="10"/>
      <c r="FFZ65" s="10"/>
      <c r="FGA65" s="10"/>
      <c r="FGB65" s="10"/>
      <c r="FGC65" s="10"/>
      <c r="FGD65" s="10"/>
      <c r="FGE65" s="10"/>
      <c r="FGF65" s="10"/>
      <c r="FGG65" s="10"/>
      <c r="FGH65" s="10"/>
      <c r="FGI65" s="10"/>
      <c r="FGJ65" s="10"/>
      <c r="FGK65" s="10"/>
      <c r="FGL65" s="10"/>
      <c r="FGM65" s="10"/>
      <c r="FGN65" s="10"/>
      <c r="FGO65" s="10"/>
      <c r="FGP65" s="10"/>
      <c r="FGQ65" s="10"/>
      <c r="FGR65" s="10"/>
      <c r="FGS65" s="10"/>
      <c r="FGT65" s="10"/>
      <c r="FGU65" s="10"/>
      <c r="FGV65" s="10"/>
      <c r="FGW65" s="10"/>
      <c r="FGX65" s="10"/>
      <c r="FGY65" s="10"/>
      <c r="FGZ65" s="10"/>
      <c r="FHA65" s="10"/>
      <c r="FHB65" s="10"/>
      <c r="FHC65" s="10"/>
      <c r="FHD65" s="10"/>
      <c r="FHE65" s="10"/>
      <c r="FHF65" s="10"/>
      <c r="FHG65" s="10"/>
      <c r="FHH65" s="10"/>
      <c r="FHI65" s="10"/>
      <c r="FHJ65" s="10"/>
      <c r="FHK65" s="10"/>
      <c r="FHL65" s="10"/>
      <c r="FHM65" s="10"/>
      <c r="FHN65" s="10"/>
      <c r="FHO65" s="10"/>
      <c r="FHP65" s="10"/>
      <c r="FHQ65" s="10"/>
      <c r="FHR65" s="10"/>
      <c r="FHS65" s="10"/>
      <c r="FHT65" s="10"/>
      <c r="FHU65" s="10"/>
      <c r="FHV65" s="10"/>
      <c r="FHW65" s="10"/>
      <c r="FHX65" s="10"/>
      <c r="FHY65" s="10"/>
      <c r="FHZ65" s="10"/>
      <c r="FIA65" s="10"/>
      <c r="FIB65" s="10"/>
      <c r="FIC65" s="10"/>
      <c r="FID65" s="10"/>
      <c r="FIE65" s="10"/>
      <c r="FIF65" s="10"/>
      <c r="FIG65" s="10"/>
      <c r="FIH65" s="10"/>
      <c r="FII65" s="10"/>
      <c r="FIJ65" s="10"/>
      <c r="FIK65" s="10"/>
      <c r="FIL65" s="10"/>
      <c r="FIM65" s="10"/>
      <c r="FIN65" s="10"/>
      <c r="FIO65" s="10"/>
      <c r="FIP65" s="10"/>
      <c r="FIQ65" s="10"/>
      <c r="FIR65" s="10"/>
      <c r="FIS65" s="10"/>
      <c r="FIT65" s="10"/>
      <c r="FIU65" s="10"/>
      <c r="FIV65" s="10"/>
      <c r="FIW65" s="10"/>
      <c r="FIX65" s="10"/>
      <c r="FIY65" s="10"/>
      <c r="FIZ65" s="10"/>
      <c r="FJA65" s="10"/>
      <c r="FJB65" s="10"/>
      <c r="FJC65" s="10"/>
      <c r="FJD65" s="10"/>
      <c r="FJE65" s="10"/>
      <c r="FJF65" s="10"/>
      <c r="FJG65" s="10"/>
      <c r="FJH65" s="10"/>
      <c r="FJI65" s="10"/>
      <c r="FJJ65" s="10"/>
      <c r="FJK65" s="10"/>
      <c r="FJL65" s="10"/>
      <c r="FJM65" s="10"/>
      <c r="FJN65" s="10"/>
      <c r="FJO65" s="10"/>
      <c r="FJP65" s="10"/>
      <c r="FJQ65" s="10"/>
      <c r="FJR65" s="10"/>
      <c r="FJS65" s="10"/>
      <c r="FJT65" s="10"/>
      <c r="FJU65" s="10"/>
      <c r="FJV65" s="10"/>
      <c r="FJW65" s="10"/>
      <c r="FJX65" s="10"/>
      <c r="FJY65" s="10"/>
      <c r="FJZ65" s="10"/>
      <c r="FKA65" s="10"/>
      <c r="FKB65" s="10"/>
      <c r="FKC65" s="10"/>
      <c r="FKD65" s="10"/>
      <c r="FKE65" s="10"/>
      <c r="FKF65" s="10"/>
      <c r="FKG65" s="10"/>
      <c r="FKH65" s="10"/>
      <c r="FKI65" s="10"/>
      <c r="FKJ65" s="10"/>
      <c r="FKK65" s="10"/>
      <c r="FKL65" s="10"/>
      <c r="FKM65" s="10"/>
      <c r="FKN65" s="10"/>
      <c r="FKO65" s="10"/>
      <c r="FKP65" s="10"/>
      <c r="FKQ65" s="10"/>
      <c r="FKR65" s="10"/>
      <c r="FKS65" s="10"/>
      <c r="FKT65" s="10"/>
      <c r="FKU65" s="10"/>
      <c r="FKV65" s="10"/>
      <c r="FKW65" s="10"/>
      <c r="FKX65" s="10"/>
      <c r="FKY65" s="10"/>
      <c r="FKZ65" s="10"/>
      <c r="FLA65" s="10"/>
      <c r="FLB65" s="10"/>
      <c r="FLC65" s="10"/>
      <c r="FLD65" s="10"/>
      <c r="FLE65" s="10"/>
      <c r="FLF65" s="10"/>
      <c r="FLG65" s="10"/>
      <c r="FLH65" s="10"/>
      <c r="FLI65" s="10"/>
      <c r="FLJ65" s="10"/>
      <c r="FLK65" s="10"/>
      <c r="FLL65" s="10"/>
      <c r="FLM65" s="10"/>
      <c r="FLN65" s="10"/>
      <c r="FLO65" s="10"/>
      <c r="FLP65" s="10"/>
      <c r="FLQ65" s="10"/>
      <c r="FLR65" s="10"/>
      <c r="FLS65" s="10"/>
      <c r="FLT65" s="10"/>
      <c r="FLU65" s="10"/>
      <c r="FLV65" s="10"/>
      <c r="FLW65" s="10"/>
      <c r="FLX65" s="10"/>
      <c r="FLY65" s="10"/>
      <c r="FLZ65" s="10"/>
      <c r="FMA65" s="10"/>
      <c r="FMB65" s="10"/>
      <c r="FMC65" s="10"/>
      <c r="FMD65" s="10"/>
      <c r="FME65" s="10"/>
      <c r="FMF65" s="10"/>
      <c r="FMG65" s="10"/>
      <c r="FMH65" s="10"/>
      <c r="FMI65" s="10"/>
      <c r="FMJ65" s="10"/>
      <c r="FMK65" s="10"/>
      <c r="FML65" s="10"/>
      <c r="FMM65" s="10"/>
      <c r="FMN65" s="10"/>
      <c r="FMO65" s="10"/>
      <c r="FMP65" s="10"/>
      <c r="FMQ65" s="10"/>
      <c r="FMR65" s="10"/>
      <c r="FMS65" s="10"/>
      <c r="FMT65" s="10"/>
      <c r="FMU65" s="10"/>
      <c r="FMV65" s="10"/>
      <c r="FMW65" s="10"/>
      <c r="FMX65" s="10"/>
      <c r="FMY65" s="10"/>
      <c r="FMZ65" s="10"/>
      <c r="FNA65" s="10"/>
      <c r="FNB65" s="10"/>
      <c r="FNC65" s="10"/>
      <c r="FND65" s="10"/>
      <c r="FNE65" s="10"/>
      <c r="FNF65" s="10"/>
      <c r="FNG65" s="10"/>
      <c r="FNH65" s="10"/>
      <c r="FNI65" s="10"/>
      <c r="FNJ65" s="10"/>
      <c r="FNK65" s="10"/>
      <c r="FNL65" s="10"/>
      <c r="FNM65" s="10"/>
      <c r="FNN65" s="10"/>
      <c r="FNO65" s="10"/>
      <c r="FNP65" s="10"/>
      <c r="FNQ65" s="10"/>
      <c r="FNR65" s="10"/>
      <c r="FNS65" s="10"/>
      <c r="FNT65" s="10"/>
      <c r="FNU65" s="10"/>
      <c r="FNV65" s="10"/>
      <c r="FNW65" s="10"/>
      <c r="FNX65" s="10"/>
      <c r="FNY65" s="10"/>
      <c r="FNZ65" s="10"/>
      <c r="FOA65" s="10"/>
      <c r="FOB65" s="10"/>
      <c r="FOC65" s="10"/>
      <c r="FOD65" s="10"/>
      <c r="FOE65" s="10"/>
      <c r="FOF65" s="10"/>
      <c r="FOG65" s="10"/>
      <c r="FOH65" s="10"/>
      <c r="FOI65" s="10"/>
      <c r="FOJ65" s="10"/>
      <c r="FOK65" s="10"/>
      <c r="FOL65" s="10"/>
      <c r="FOM65" s="10"/>
      <c r="FON65" s="10"/>
      <c r="FOO65" s="10"/>
      <c r="FOP65" s="10"/>
      <c r="FOQ65" s="10"/>
      <c r="FOR65" s="10"/>
      <c r="FOS65" s="10"/>
      <c r="FOT65" s="10"/>
      <c r="FOU65" s="10"/>
      <c r="FOV65" s="10"/>
      <c r="FOW65" s="10"/>
      <c r="FOX65" s="10"/>
      <c r="FOY65" s="10"/>
      <c r="FOZ65" s="10"/>
      <c r="FPA65" s="10"/>
      <c r="FPB65" s="10"/>
      <c r="FPC65" s="10"/>
      <c r="FPD65" s="10"/>
      <c r="FPE65" s="10"/>
      <c r="FPF65" s="10"/>
      <c r="FPG65" s="10"/>
      <c r="FPH65" s="10"/>
      <c r="FPI65" s="10"/>
      <c r="FPJ65" s="10"/>
      <c r="FPK65" s="10"/>
      <c r="FPL65" s="10"/>
      <c r="FPM65" s="10"/>
      <c r="FPN65" s="10"/>
      <c r="FPO65" s="10"/>
      <c r="FPP65" s="10"/>
      <c r="FPQ65" s="10"/>
      <c r="FPR65" s="10"/>
      <c r="FPS65" s="10"/>
      <c r="FPT65" s="10"/>
      <c r="FPU65" s="10"/>
      <c r="FPV65" s="10"/>
      <c r="FPW65" s="10"/>
      <c r="FPX65" s="10"/>
      <c r="FPY65" s="10"/>
      <c r="FPZ65" s="10"/>
      <c r="FQA65" s="10"/>
      <c r="FQB65" s="10"/>
      <c r="FQC65" s="10"/>
      <c r="FQD65" s="10"/>
      <c r="FQE65" s="10"/>
      <c r="FQF65" s="10"/>
      <c r="FQG65" s="10"/>
      <c r="FQH65" s="10"/>
      <c r="FQI65" s="10"/>
      <c r="FQJ65" s="10"/>
      <c r="FQK65" s="10"/>
      <c r="FQL65" s="10"/>
      <c r="FQM65" s="10"/>
      <c r="FQN65" s="10"/>
      <c r="FQO65" s="10"/>
      <c r="FQP65" s="10"/>
      <c r="FQQ65" s="10"/>
      <c r="FQR65" s="10"/>
      <c r="FQS65" s="10"/>
      <c r="FQT65" s="10"/>
      <c r="FQU65" s="10"/>
      <c r="FQV65" s="10"/>
      <c r="FQW65" s="10"/>
      <c r="FQX65" s="10"/>
      <c r="FQY65" s="10"/>
      <c r="FQZ65" s="10"/>
      <c r="FRA65" s="10"/>
      <c r="FRB65" s="10"/>
      <c r="FRC65" s="10"/>
      <c r="FRD65" s="10"/>
      <c r="FRE65" s="10"/>
      <c r="FRF65" s="10"/>
      <c r="FRG65" s="10"/>
      <c r="FRH65" s="10"/>
      <c r="FRI65" s="10"/>
      <c r="FRJ65" s="10"/>
      <c r="FRK65" s="10"/>
      <c r="FRL65" s="10"/>
      <c r="FRM65" s="10"/>
      <c r="FRN65" s="10"/>
      <c r="FRO65" s="10"/>
      <c r="FRP65" s="10"/>
      <c r="FRQ65" s="10"/>
      <c r="FRR65" s="10"/>
      <c r="FRS65" s="10"/>
      <c r="FRT65" s="10"/>
      <c r="FRU65" s="10"/>
      <c r="FRV65" s="10"/>
      <c r="FRW65" s="10"/>
      <c r="FRX65" s="10"/>
      <c r="FRY65" s="10"/>
      <c r="FRZ65" s="10"/>
      <c r="FSA65" s="10"/>
      <c r="FSB65" s="10"/>
      <c r="FSC65" s="10"/>
      <c r="FSD65" s="10"/>
      <c r="FSE65" s="10"/>
      <c r="FSF65" s="10"/>
      <c r="FSG65" s="10"/>
      <c r="FSH65" s="10"/>
      <c r="FSI65" s="10"/>
      <c r="FSJ65" s="10"/>
      <c r="FSK65" s="10"/>
      <c r="FSL65" s="10"/>
      <c r="FSM65" s="10"/>
      <c r="FSN65" s="10"/>
      <c r="FSO65" s="10"/>
      <c r="FSP65" s="10"/>
      <c r="FSQ65" s="10"/>
      <c r="FSR65" s="10"/>
      <c r="FSS65" s="10"/>
      <c r="FST65" s="10"/>
      <c r="FSU65" s="10"/>
      <c r="FSV65" s="10"/>
      <c r="FSW65" s="10"/>
      <c r="FSX65" s="10"/>
      <c r="FSY65" s="10"/>
      <c r="FSZ65" s="10"/>
      <c r="FTA65" s="10"/>
      <c r="FTB65" s="10"/>
      <c r="FTC65" s="10"/>
      <c r="FTD65" s="10"/>
      <c r="FTE65" s="10"/>
      <c r="FTF65" s="10"/>
      <c r="FTG65" s="10"/>
      <c r="FTH65" s="10"/>
      <c r="FTI65" s="10"/>
      <c r="FTJ65" s="10"/>
      <c r="FTK65" s="10"/>
      <c r="FTL65" s="10"/>
      <c r="FTM65" s="10"/>
      <c r="FTN65" s="10"/>
      <c r="FTO65" s="10"/>
      <c r="FTP65" s="10"/>
      <c r="FTQ65" s="10"/>
      <c r="FTR65" s="10"/>
      <c r="FTS65" s="10"/>
      <c r="FTT65" s="10"/>
      <c r="FTU65" s="10"/>
      <c r="FTV65" s="10"/>
      <c r="FTW65" s="10"/>
      <c r="FTX65" s="10"/>
      <c r="FTY65" s="10"/>
      <c r="FTZ65" s="10"/>
      <c r="FUA65" s="10"/>
      <c r="FUB65" s="10"/>
      <c r="FUC65" s="10"/>
      <c r="FUD65" s="10"/>
      <c r="FUE65" s="10"/>
      <c r="FUF65" s="10"/>
      <c r="FUG65" s="10"/>
      <c r="FUH65" s="10"/>
      <c r="FUI65" s="10"/>
      <c r="FUJ65" s="10"/>
      <c r="FUK65" s="10"/>
      <c r="FUL65" s="10"/>
      <c r="FUM65" s="10"/>
      <c r="FUN65" s="10"/>
      <c r="FUO65" s="10"/>
      <c r="FUP65" s="10"/>
      <c r="FUQ65" s="10"/>
      <c r="FUR65" s="10"/>
      <c r="FUS65" s="10"/>
      <c r="FUT65" s="10"/>
      <c r="FUU65" s="10"/>
      <c r="FUV65" s="10"/>
      <c r="FUW65" s="10"/>
      <c r="FUX65" s="10"/>
      <c r="FUY65" s="10"/>
      <c r="FUZ65" s="10"/>
      <c r="FVA65" s="10"/>
      <c r="FVB65" s="10"/>
      <c r="FVC65" s="10"/>
      <c r="FVD65" s="10"/>
      <c r="FVE65" s="10"/>
      <c r="FVF65" s="10"/>
      <c r="FVG65" s="10"/>
      <c r="FVH65" s="10"/>
      <c r="FVI65" s="10"/>
      <c r="FVJ65" s="10"/>
      <c r="FVK65" s="10"/>
      <c r="FVL65" s="10"/>
      <c r="FVM65" s="10"/>
      <c r="FVN65" s="10"/>
      <c r="FVO65" s="10"/>
      <c r="FVP65" s="10"/>
      <c r="FVQ65" s="10"/>
      <c r="FVR65" s="10"/>
      <c r="FVS65" s="10"/>
      <c r="FVT65" s="10"/>
      <c r="FVU65" s="10"/>
      <c r="FVV65" s="10"/>
      <c r="FVW65" s="10"/>
      <c r="FVX65" s="10"/>
      <c r="FVY65" s="10"/>
      <c r="FVZ65" s="10"/>
      <c r="FWA65" s="10"/>
      <c r="FWB65" s="10"/>
      <c r="FWC65" s="10"/>
      <c r="FWD65" s="10"/>
      <c r="FWE65" s="10"/>
      <c r="FWF65" s="10"/>
      <c r="FWG65" s="10"/>
      <c r="FWH65" s="10"/>
      <c r="FWI65" s="10"/>
      <c r="FWJ65" s="10"/>
      <c r="FWK65" s="10"/>
      <c r="FWL65" s="10"/>
      <c r="FWM65" s="10"/>
      <c r="FWN65" s="10"/>
      <c r="FWO65" s="10"/>
      <c r="FWP65" s="10"/>
      <c r="FWQ65" s="10"/>
      <c r="FWR65" s="10"/>
      <c r="FWS65" s="10"/>
      <c r="FWT65" s="10"/>
      <c r="FWU65" s="10"/>
      <c r="FWV65" s="10"/>
      <c r="FWW65" s="10"/>
      <c r="FWX65" s="10"/>
      <c r="FWY65" s="10"/>
      <c r="FWZ65" s="10"/>
      <c r="FXA65" s="10"/>
      <c r="FXB65" s="10"/>
      <c r="FXC65" s="10"/>
      <c r="FXD65" s="10"/>
      <c r="FXE65" s="10"/>
      <c r="FXF65" s="10"/>
      <c r="FXG65" s="10"/>
      <c r="FXH65" s="10"/>
      <c r="FXI65" s="10"/>
      <c r="FXJ65" s="10"/>
      <c r="FXK65" s="10"/>
      <c r="FXL65" s="10"/>
      <c r="FXM65" s="10"/>
      <c r="FXN65" s="10"/>
      <c r="FXO65" s="10"/>
      <c r="FXP65" s="10"/>
      <c r="FXQ65" s="10"/>
      <c r="FXR65" s="10"/>
      <c r="FXS65" s="10"/>
      <c r="FXT65" s="10"/>
      <c r="FXU65" s="10"/>
      <c r="FXV65" s="10"/>
      <c r="FXW65" s="10"/>
      <c r="FXX65" s="10"/>
      <c r="FXY65" s="10"/>
      <c r="FXZ65" s="10"/>
      <c r="FYA65" s="10"/>
      <c r="FYB65" s="10"/>
      <c r="FYC65" s="10"/>
      <c r="FYD65" s="10"/>
      <c r="FYE65" s="10"/>
      <c r="FYF65" s="10"/>
      <c r="FYG65" s="10"/>
      <c r="FYH65" s="10"/>
      <c r="FYI65" s="10"/>
      <c r="FYJ65" s="10"/>
      <c r="FYK65" s="10"/>
      <c r="FYL65" s="10"/>
      <c r="FYM65" s="10"/>
      <c r="FYN65" s="10"/>
      <c r="FYO65" s="10"/>
      <c r="FYP65" s="10"/>
      <c r="FYQ65" s="10"/>
      <c r="FYR65" s="10"/>
      <c r="FYS65" s="10"/>
      <c r="FYT65" s="10"/>
      <c r="FYU65" s="10"/>
      <c r="FYV65" s="10"/>
      <c r="FYW65" s="10"/>
      <c r="FYX65" s="10"/>
      <c r="FYY65" s="10"/>
      <c r="FYZ65" s="10"/>
      <c r="FZA65" s="10"/>
      <c r="FZB65" s="10"/>
      <c r="FZC65" s="10"/>
      <c r="FZD65" s="10"/>
      <c r="FZE65" s="10"/>
      <c r="FZF65" s="10"/>
      <c r="FZG65" s="10"/>
      <c r="FZH65" s="10"/>
      <c r="FZI65" s="10"/>
      <c r="FZJ65" s="10"/>
      <c r="FZK65" s="10"/>
      <c r="FZL65" s="10"/>
      <c r="FZM65" s="10"/>
      <c r="FZN65" s="10"/>
      <c r="FZO65" s="10"/>
      <c r="FZP65" s="10"/>
      <c r="FZQ65" s="10"/>
      <c r="FZR65" s="10"/>
      <c r="FZS65" s="10"/>
      <c r="FZT65" s="10"/>
      <c r="FZU65" s="10"/>
      <c r="FZV65" s="10"/>
      <c r="FZW65" s="10"/>
      <c r="FZX65" s="10"/>
      <c r="FZY65" s="10"/>
      <c r="FZZ65" s="10"/>
      <c r="GAA65" s="10"/>
      <c r="GAB65" s="10"/>
      <c r="GAC65" s="10"/>
      <c r="GAD65" s="10"/>
      <c r="GAE65" s="10"/>
      <c r="GAF65" s="10"/>
      <c r="GAG65" s="10"/>
      <c r="GAH65" s="10"/>
      <c r="GAI65" s="10"/>
      <c r="GAJ65" s="10"/>
      <c r="GAK65" s="10"/>
      <c r="GAL65" s="10"/>
      <c r="GAM65" s="10"/>
      <c r="GAN65" s="10"/>
      <c r="GAO65" s="10"/>
      <c r="GAP65" s="10"/>
      <c r="GAQ65" s="10"/>
      <c r="GAR65" s="10"/>
      <c r="GAS65" s="10"/>
      <c r="GAT65" s="10"/>
      <c r="GAU65" s="10"/>
      <c r="GAV65" s="10"/>
      <c r="GAW65" s="10"/>
      <c r="GAX65" s="10"/>
      <c r="GAY65" s="10"/>
      <c r="GAZ65" s="10"/>
      <c r="GBA65" s="10"/>
      <c r="GBB65" s="10"/>
      <c r="GBC65" s="10"/>
      <c r="GBD65" s="10"/>
      <c r="GBE65" s="10"/>
      <c r="GBF65" s="10"/>
      <c r="GBG65" s="10"/>
      <c r="GBH65" s="10"/>
      <c r="GBI65" s="10"/>
      <c r="GBJ65" s="10"/>
      <c r="GBK65" s="10"/>
      <c r="GBL65" s="10"/>
      <c r="GBM65" s="10"/>
      <c r="GBN65" s="10"/>
      <c r="GBO65" s="10"/>
      <c r="GBP65" s="10"/>
      <c r="GBQ65" s="10"/>
      <c r="GBR65" s="10"/>
      <c r="GBS65" s="10"/>
      <c r="GBT65" s="10"/>
      <c r="GBU65" s="10"/>
      <c r="GBV65" s="10"/>
      <c r="GBW65" s="10"/>
      <c r="GBX65" s="10"/>
      <c r="GBY65" s="10"/>
      <c r="GBZ65" s="10"/>
      <c r="GCA65" s="10"/>
      <c r="GCB65" s="10"/>
      <c r="GCC65" s="10"/>
      <c r="GCD65" s="10"/>
      <c r="GCE65" s="10"/>
      <c r="GCF65" s="10"/>
      <c r="GCG65" s="10"/>
      <c r="GCH65" s="10"/>
      <c r="GCI65" s="10"/>
      <c r="GCJ65" s="10"/>
      <c r="GCK65" s="10"/>
      <c r="GCL65" s="10"/>
      <c r="GCM65" s="10"/>
      <c r="GCN65" s="10"/>
      <c r="GCO65" s="10"/>
      <c r="GCP65" s="10"/>
      <c r="GCQ65" s="10"/>
      <c r="GCR65" s="10"/>
      <c r="GCS65" s="10"/>
      <c r="GCT65" s="10"/>
      <c r="GCU65" s="10"/>
      <c r="GCV65" s="10"/>
      <c r="GCW65" s="10"/>
      <c r="GCX65" s="10"/>
      <c r="GCY65" s="10"/>
      <c r="GCZ65" s="10"/>
      <c r="GDA65" s="10"/>
      <c r="GDB65" s="10"/>
      <c r="GDC65" s="10"/>
      <c r="GDD65" s="10"/>
      <c r="GDE65" s="10"/>
      <c r="GDF65" s="10"/>
      <c r="GDG65" s="10"/>
      <c r="GDH65" s="10"/>
      <c r="GDI65" s="10"/>
      <c r="GDJ65" s="10"/>
      <c r="GDK65" s="10"/>
      <c r="GDL65" s="10"/>
      <c r="GDM65" s="10"/>
      <c r="GDN65" s="10"/>
      <c r="GDO65" s="10"/>
      <c r="GDP65" s="10"/>
      <c r="GDQ65" s="10"/>
      <c r="GDR65" s="10"/>
      <c r="GDS65" s="10"/>
      <c r="GDT65" s="10"/>
      <c r="GDU65" s="10"/>
      <c r="GDV65" s="10"/>
      <c r="GDW65" s="10"/>
      <c r="GDX65" s="10"/>
      <c r="GDY65" s="10"/>
      <c r="GDZ65" s="10"/>
      <c r="GEA65" s="10"/>
      <c r="GEB65" s="10"/>
      <c r="GEC65" s="10"/>
      <c r="GED65" s="10"/>
      <c r="GEE65" s="10"/>
      <c r="GEF65" s="10"/>
      <c r="GEG65" s="10"/>
      <c r="GEH65" s="10"/>
      <c r="GEI65" s="10"/>
      <c r="GEJ65" s="10"/>
      <c r="GEK65" s="10"/>
      <c r="GEL65" s="10"/>
      <c r="GEM65" s="10"/>
      <c r="GEN65" s="10"/>
      <c r="GEO65" s="10"/>
      <c r="GEP65" s="10"/>
      <c r="GEQ65" s="10"/>
      <c r="GER65" s="10"/>
      <c r="GES65" s="10"/>
      <c r="GET65" s="10"/>
      <c r="GEU65" s="10"/>
      <c r="GEV65" s="10"/>
      <c r="GEW65" s="10"/>
      <c r="GEX65" s="10"/>
      <c r="GEY65" s="10"/>
      <c r="GEZ65" s="10"/>
      <c r="GFA65" s="10"/>
      <c r="GFB65" s="10"/>
      <c r="GFC65" s="10"/>
      <c r="GFD65" s="10"/>
      <c r="GFE65" s="10"/>
      <c r="GFF65" s="10"/>
      <c r="GFG65" s="10"/>
      <c r="GFH65" s="10"/>
      <c r="GFI65" s="10"/>
      <c r="GFJ65" s="10"/>
      <c r="GFK65" s="10"/>
      <c r="GFL65" s="10"/>
      <c r="GFM65" s="10"/>
      <c r="GFN65" s="10"/>
      <c r="GFO65" s="10"/>
      <c r="GFP65" s="10"/>
      <c r="GFQ65" s="10"/>
      <c r="GFR65" s="10"/>
      <c r="GFS65" s="10"/>
      <c r="GFT65" s="10"/>
      <c r="GFU65" s="10"/>
      <c r="GFV65" s="10"/>
      <c r="GFW65" s="10"/>
      <c r="GFX65" s="10"/>
      <c r="GFY65" s="10"/>
      <c r="GFZ65" s="10"/>
      <c r="GGA65" s="10"/>
      <c r="GGB65" s="10"/>
      <c r="GGC65" s="10"/>
      <c r="GGD65" s="10"/>
      <c r="GGE65" s="10"/>
      <c r="GGF65" s="10"/>
      <c r="GGG65" s="10"/>
      <c r="GGH65" s="10"/>
      <c r="GGI65" s="10"/>
      <c r="GGJ65" s="10"/>
      <c r="GGK65" s="10"/>
      <c r="GGL65" s="10"/>
      <c r="GGM65" s="10"/>
      <c r="GGN65" s="10"/>
      <c r="GGO65" s="10"/>
      <c r="GGP65" s="10"/>
      <c r="GGQ65" s="10"/>
      <c r="GGR65" s="10"/>
      <c r="GGS65" s="10"/>
      <c r="GGT65" s="10"/>
      <c r="GGU65" s="10"/>
      <c r="GGV65" s="10"/>
      <c r="GGW65" s="10"/>
      <c r="GGX65" s="10"/>
      <c r="GGY65" s="10"/>
      <c r="GGZ65" s="10"/>
      <c r="GHA65" s="10"/>
      <c r="GHB65" s="10"/>
      <c r="GHC65" s="10"/>
      <c r="GHD65" s="10"/>
      <c r="GHE65" s="10"/>
      <c r="GHF65" s="10"/>
      <c r="GHG65" s="10"/>
      <c r="GHH65" s="10"/>
      <c r="GHI65" s="10"/>
      <c r="GHJ65" s="10"/>
      <c r="GHK65" s="10"/>
      <c r="GHL65" s="10"/>
      <c r="GHM65" s="10"/>
      <c r="GHN65" s="10"/>
      <c r="GHO65" s="10"/>
      <c r="GHP65" s="10"/>
      <c r="GHQ65" s="10"/>
      <c r="GHR65" s="10"/>
      <c r="GHS65" s="10"/>
      <c r="GHT65" s="10"/>
      <c r="GHU65" s="10"/>
      <c r="GHV65" s="10"/>
      <c r="GHW65" s="10"/>
      <c r="GHX65" s="10"/>
      <c r="GHY65" s="10"/>
      <c r="GHZ65" s="10"/>
      <c r="GIA65" s="10"/>
      <c r="GIB65" s="10"/>
      <c r="GIC65" s="10"/>
      <c r="GID65" s="10"/>
      <c r="GIE65" s="10"/>
      <c r="GIF65" s="10"/>
      <c r="GIG65" s="10"/>
      <c r="GIH65" s="10"/>
      <c r="GII65" s="10"/>
      <c r="GIJ65" s="10"/>
      <c r="GIK65" s="10"/>
      <c r="GIL65" s="10"/>
      <c r="GIM65" s="10"/>
      <c r="GIN65" s="10"/>
      <c r="GIO65" s="10"/>
      <c r="GIP65" s="10"/>
      <c r="GIQ65" s="10"/>
      <c r="GIR65" s="10"/>
      <c r="GIS65" s="10"/>
      <c r="GIT65" s="10"/>
      <c r="GIU65" s="10"/>
      <c r="GIV65" s="10"/>
      <c r="GIW65" s="10"/>
      <c r="GIX65" s="10"/>
      <c r="GIY65" s="10"/>
      <c r="GIZ65" s="10"/>
      <c r="GJA65" s="10"/>
      <c r="GJB65" s="10"/>
      <c r="GJC65" s="10"/>
      <c r="GJD65" s="10"/>
      <c r="GJE65" s="10"/>
      <c r="GJF65" s="10"/>
      <c r="GJG65" s="10"/>
      <c r="GJH65" s="10"/>
      <c r="GJI65" s="10"/>
      <c r="GJJ65" s="10"/>
      <c r="GJK65" s="10"/>
      <c r="GJL65" s="10"/>
      <c r="GJM65" s="10"/>
      <c r="GJN65" s="10"/>
      <c r="GJO65" s="10"/>
      <c r="GJP65" s="10"/>
      <c r="GJQ65" s="10"/>
      <c r="GJR65" s="10"/>
      <c r="GJS65" s="10"/>
      <c r="GJT65" s="10"/>
      <c r="GJU65" s="10"/>
      <c r="GJV65" s="10"/>
      <c r="GJW65" s="10"/>
      <c r="GJX65" s="10"/>
      <c r="GJY65" s="10"/>
      <c r="GJZ65" s="10"/>
      <c r="GKA65" s="10"/>
      <c r="GKB65" s="10"/>
      <c r="GKC65" s="10"/>
      <c r="GKD65" s="10"/>
      <c r="GKE65" s="10"/>
      <c r="GKF65" s="10"/>
      <c r="GKG65" s="10"/>
      <c r="GKH65" s="10"/>
      <c r="GKI65" s="10"/>
      <c r="GKJ65" s="10"/>
      <c r="GKK65" s="10"/>
      <c r="GKL65" s="10"/>
      <c r="GKM65" s="10"/>
      <c r="GKN65" s="10"/>
      <c r="GKO65" s="10"/>
      <c r="GKP65" s="10"/>
      <c r="GKQ65" s="10"/>
      <c r="GKR65" s="10"/>
      <c r="GKS65" s="10"/>
      <c r="GKT65" s="10"/>
      <c r="GKU65" s="10"/>
      <c r="GKV65" s="10"/>
      <c r="GKW65" s="10"/>
      <c r="GKX65" s="10"/>
      <c r="GKY65" s="10"/>
      <c r="GKZ65" s="10"/>
      <c r="GLA65" s="10"/>
      <c r="GLB65" s="10"/>
      <c r="GLC65" s="10"/>
      <c r="GLD65" s="10"/>
      <c r="GLE65" s="10"/>
      <c r="GLF65" s="10"/>
      <c r="GLG65" s="10"/>
      <c r="GLH65" s="10"/>
      <c r="GLI65" s="10"/>
      <c r="GLJ65" s="10"/>
      <c r="GLK65" s="10"/>
      <c r="GLL65" s="10"/>
      <c r="GLM65" s="10"/>
      <c r="GLN65" s="10"/>
      <c r="GLO65" s="10"/>
      <c r="GLP65" s="10"/>
      <c r="GLQ65" s="10"/>
      <c r="GLR65" s="10"/>
      <c r="GLS65" s="10"/>
      <c r="GLT65" s="10"/>
      <c r="GLU65" s="10"/>
      <c r="GLV65" s="10"/>
      <c r="GLW65" s="10"/>
      <c r="GLX65" s="10"/>
      <c r="GLY65" s="10"/>
      <c r="GLZ65" s="10"/>
      <c r="GMA65" s="10"/>
      <c r="GMB65" s="10"/>
      <c r="GMC65" s="10"/>
      <c r="GMD65" s="10"/>
      <c r="GME65" s="10"/>
      <c r="GMF65" s="10"/>
      <c r="GMG65" s="10"/>
      <c r="GMH65" s="10"/>
      <c r="GMI65" s="10"/>
      <c r="GMJ65" s="10"/>
      <c r="GMK65" s="10"/>
      <c r="GML65" s="10"/>
      <c r="GMM65" s="10"/>
      <c r="GMN65" s="10"/>
      <c r="GMO65" s="10"/>
      <c r="GMP65" s="10"/>
      <c r="GMQ65" s="10"/>
      <c r="GMR65" s="10"/>
      <c r="GMS65" s="10"/>
      <c r="GMT65" s="10"/>
      <c r="GMU65" s="10"/>
      <c r="GMV65" s="10"/>
      <c r="GMW65" s="10"/>
      <c r="GMX65" s="10"/>
      <c r="GMY65" s="10"/>
      <c r="GMZ65" s="10"/>
      <c r="GNA65" s="10"/>
      <c r="GNB65" s="10"/>
      <c r="GNC65" s="10"/>
      <c r="GND65" s="10"/>
      <c r="GNE65" s="10"/>
      <c r="GNF65" s="10"/>
      <c r="GNG65" s="10"/>
      <c r="GNH65" s="10"/>
      <c r="GNI65" s="10"/>
      <c r="GNJ65" s="10"/>
      <c r="GNK65" s="10"/>
      <c r="GNL65" s="10"/>
      <c r="GNM65" s="10"/>
      <c r="GNN65" s="10"/>
      <c r="GNO65" s="10"/>
      <c r="GNP65" s="10"/>
      <c r="GNQ65" s="10"/>
      <c r="GNR65" s="10"/>
      <c r="GNS65" s="10"/>
      <c r="GNT65" s="10"/>
      <c r="GNU65" s="10"/>
      <c r="GNV65" s="10"/>
      <c r="GNW65" s="10"/>
      <c r="GNX65" s="10"/>
      <c r="GNY65" s="10"/>
      <c r="GNZ65" s="10"/>
      <c r="GOA65" s="10"/>
      <c r="GOB65" s="10"/>
      <c r="GOC65" s="10"/>
      <c r="GOD65" s="10"/>
      <c r="GOE65" s="10"/>
      <c r="GOF65" s="10"/>
      <c r="GOG65" s="10"/>
      <c r="GOH65" s="10"/>
      <c r="GOI65" s="10"/>
      <c r="GOJ65" s="10"/>
      <c r="GOK65" s="10"/>
      <c r="GOL65" s="10"/>
      <c r="GOM65" s="10"/>
      <c r="GON65" s="10"/>
      <c r="GOO65" s="10"/>
      <c r="GOP65" s="10"/>
      <c r="GOQ65" s="10"/>
      <c r="GOR65" s="10"/>
      <c r="GOS65" s="10"/>
      <c r="GOT65" s="10"/>
      <c r="GOU65" s="10"/>
      <c r="GOV65" s="10"/>
      <c r="GOW65" s="10"/>
      <c r="GOX65" s="10"/>
      <c r="GOY65" s="10"/>
      <c r="GOZ65" s="10"/>
      <c r="GPA65" s="10"/>
      <c r="GPB65" s="10"/>
      <c r="GPC65" s="10"/>
      <c r="GPD65" s="10"/>
      <c r="GPE65" s="10"/>
      <c r="GPF65" s="10"/>
      <c r="GPG65" s="10"/>
      <c r="GPH65" s="10"/>
      <c r="GPI65" s="10"/>
      <c r="GPJ65" s="10"/>
      <c r="GPK65" s="10"/>
      <c r="GPL65" s="10"/>
      <c r="GPM65" s="10"/>
      <c r="GPN65" s="10"/>
      <c r="GPO65" s="10"/>
      <c r="GPP65" s="10"/>
      <c r="GPQ65" s="10"/>
      <c r="GPR65" s="10"/>
      <c r="GPS65" s="10"/>
      <c r="GPT65" s="10"/>
      <c r="GPU65" s="10"/>
      <c r="GPV65" s="10"/>
      <c r="GPW65" s="10"/>
      <c r="GPX65" s="10"/>
      <c r="GPY65" s="10"/>
      <c r="GPZ65" s="10"/>
      <c r="GQA65" s="10"/>
      <c r="GQB65" s="10"/>
      <c r="GQC65" s="10"/>
      <c r="GQD65" s="10"/>
      <c r="GQE65" s="10"/>
      <c r="GQF65" s="10"/>
      <c r="GQG65" s="10"/>
      <c r="GQH65" s="10"/>
      <c r="GQI65" s="10"/>
      <c r="GQJ65" s="10"/>
      <c r="GQK65" s="10"/>
      <c r="GQL65" s="10"/>
      <c r="GQM65" s="10"/>
      <c r="GQN65" s="10"/>
      <c r="GQO65" s="10"/>
      <c r="GQP65" s="10"/>
      <c r="GQQ65" s="10"/>
      <c r="GQR65" s="10"/>
      <c r="GQS65" s="10"/>
      <c r="GQT65" s="10"/>
      <c r="GQU65" s="10"/>
      <c r="GQV65" s="10"/>
      <c r="GQW65" s="10"/>
      <c r="GQX65" s="10"/>
      <c r="GQY65" s="10"/>
      <c r="GQZ65" s="10"/>
      <c r="GRA65" s="10"/>
      <c r="GRB65" s="10"/>
      <c r="GRC65" s="10"/>
      <c r="GRD65" s="10"/>
      <c r="GRE65" s="10"/>
      <c r="GRF65" s="10"/>
      <c r="GRG65" s="10"/>
      <c r="GRH65" s="10"/>
      <c r="GRI65" s="10"/>
      <c r="GRJ65" s="10"/>
      <c r="GRK65" s="10"/>
      <c r="GRL65" s="10"/>
      <c r="GRM65" s="10"/>
      <c r="GRN65" s="10"/>
      <c r="GRO65" s="10"/>
      <c r="GRP65" s="10"/>
      <c r="GRQ65" s="10"/>
      <c r="GRR65" s="10"/>
      <c r="GRS65" s="10"/>
      <c r="GRT65" s="10"/>
      <c r="GRU65" s="10"/>
      <c r="GRV65" s="10"/>
      <c r="GRW65" s="10"/>
      <c r="GRX65" s="10"/>
      <c r="GRY65" s="10"/>
      <c r="GRZ65" s="10"/>
      <c r="GSA65" s="10"/>
      <c r="GSB65" s="10"/>
      <c r="GSC65" s="10"/>
      <c r="GSD65" s="10"/>
      <c r="GSE65" s="10"/>
      <c r="GSF65" s="10"/>
      <c r="GSG65" s="10"/>
      <c r="GSH65" s="10"/>
      <c r="GSI65" s="10"/>
      <c r="GSJ65" s="10"/>
      <c r="GSK65" s="10"/>
      <c r="GSL65" s="10"/>
      <c r="GSM65" s="10"/>
      <c r="GSN65" s="10"/>
      <c r="GSO65" s="10"/>
      <c r="GSP65" s="10"/>
      <c r="GSQ65" s="10"/>
      <c r="GSR65" s="10"/>
      <c r="GSS65" s="10"/>
      <c r="GST65" s="10"/>
      <c r="GSU65" s="10"/>
      <c r="GSV65" s="10"/>
      <c r="GSW65" s="10"/>
      <c r="GSX65" s="10"/>
      <c r="GSY65" s="10"/>
      <c r="GSZ65" s="10"/>
      <c r="GTA65" s="10"/>
      <c r="GTB65" s="10"/>
      <c r="GTC65" s="10"/>
      <c r="GTD65" s="10"/>
      <c r="GTE65" s="10"/>
      <c r="GTF65" s="10"/>
      <c r="GTG65" s="10"/>
      <c r="GTH65" s="10"/>
      <c r="GTI65" s="10"/>
      <c r="GTJ65" s="10"/>
      <c r="GTK65" s="10"/>
      <c r="GTL65" s="10"/>
      <c r="GTM65" s="10"/>
      <c r="GTN65" s="10"/>
      <c r="GTO65" s="10"/>
      <c r="GTP65" s="10"/>
      <c r="GTQ65" s="10"/>
      <c r="GTR65" s="10"/>
      <c r="GTS65" s="10"/>
      <c r="GTT65" s="10"/>
      <c r="GTU65" s="10"/>
      <c r="GTV65" s="10"/>
      <c r="GTW65" s="10"/>
      <c r="GTX65" s="10"/>
      <c r="GTY65" s="10"/>
      <c r="GTZ65" s="10"/>
      <c r="GUA65" s="10"/>
      <c r="GUB65" s="10"/>
      <c r="GUC65" s="10"/>
      <c r="GUD65" s="10"/>
      <c r="GUE65" s="10"/>
      <c r="GUF65" s="10"/>
      <c r="GUG65" s="10"/>
      <c r="GUH65" s="10"/>
      <c r="GUI65" s="10"/>
      <c r="GUJ65" s="10"/>
      <c r="GUK65" s="10"/>
      <c r="GUL65" s="10"/>
      <c r="GUM65" s="10"/>
      <c r="GUN65" s="10"/>
      <c r="GUO65" s="10"/>
      <c r="GUP65" s="10"/>
      <c r="GUQ65" s="10"/>
      <c r="GUR65" s="10"/>
      <c r="GUS65" s="10"/>
      <c r="GUT65" s="10"/>
      <c r="GUU65" s="10"/>
      <c r="GUV65" s="10"/>
      <c r="GUW65" s="10"/>
      <c r="GUX65" s="10"/>
      <c r="GUY65" s="10"/>
      <c r="GUZ65" s="10"/>
      <c r="GVA65" s="10"/>
      <c r="GVB65" s="10"/>
      <c r="GVC65" s="10"/>
      <c r="GVD65" s="10"/>
      <c r="GVE65" s="10"/>
      <c r="GVF65" s="10"/>
      <c r="GVG65" s="10"/>
      <c r="GVH65" s="10"/>
      <c r="GVI65" s="10"/>
      <c r="GVJ65" s="10"/>
      <c r="GVK65" s="10"/>
      <c r="GVL65" s="10"/>
      <c r="GVM65" s="10"/>
      <c r="GVN65" s="10"/>
      <c r="GVO65" s="10"/>
      <c r="GVP65" s="10"/>
      <c r="GVQ65" s="10"/>
      <c r="GVR65" s="10"/>
      <c r="GVS65" s="10"/>
      <c r="GVT65" s="10"/>
      <c r="GVU65" s="10"/>
      <c r="GVV65" s="10"/>
      <c r="GVW65" s="10"/>
      <c r="GVX65" s="10"/>
      <c r="GVY65" s="10"/>
      <c r="GVZ65" s="10"/>
      <c r="GWA65" s="10"/>
      <c r="GWB65" s="10"/>
      <c r="GWC65" s="10"/>
      <c r="GWD65" s="10"/>
      <c r="GWE65" s="10"/>
      <c r="GWF65" s="10"/>
      <c r="GWG65" s="10"/>
      <c r="GWH65" s="10"/>
      <c r="GWI65" s="10"/>
      <c r="GWJ65" s="10"/>
      <c r="GWK65" s="10"/>
      <c r="GWL65" s="10"/>
      <c r="GWM65" s="10"/>
      <c r="GWN65" s="10"/>
      <c r="GWO65" s="10"/>
      <c r="GWP65" s="10"/>
      <c r="GWQ65" s="10"/>
      <c r="GWR65" s="10"/>
      <c r="GWS65" s="10"/>
      <c r="GWT65" s="10"/>
      <c r="GWU65" s="10"/>
      <c r="GWV65" s="10"/>
      <c r="GWW65" s="10"/>
      <c r="GWX65" s="10"/>
      <c r="GWY65" s="10"/>
      <c r="GWZ65" s="10"/>
      <c r="GXA65" s="10"/>
      <c r="GXB65" s="10"/>
      <c r="GXC65" s="10"/>
      <c r="GXD65" s="10"/>
      <c r="GXE65" s="10"/>
      <c r="GXF65" s="10"/>
      <c r="GXG65" s="10"/>
      <c r="GXH65" s="10"/>
      <c r="GXI65" s="10"/>
      <c r="GXJ65" s="10"/>
      <c r="GXK65" s="10"/>
      <c r="GXL65" s="10"/>
      <c r="GXM65" s="10"/>
      <c r="GXN65" s="10"/>
      <c r="GXO65" s="10"/>
      <c r="GXP65" s="10"/>
      <c r="GXQ65" s="10"/>
      <c r="GXR65" s="10"/>
      <c r="GXS65" s="10"/>
      <c r="GXT65" s="10"/>
      <c r="GXU65" s="10"/>
      <c r="GXV65" s="10"/>
      <c r="GXW65" s="10"/>
      <c r="GXX65" s="10"/>
      <c r="GXY65" s="10"/>
      <c r="GXZ65" s="10"/>
      <c r="GYA65" s="10"/>
      <c r="GYB65" s="10"/>
      <c r="GYC65" s="10"/>
      <c r="GYD65" s="10"/>
      <c r="GYE65" s="10"/>
      <c r="GYF65" s="10"/>
      <c r="GYG65" s="10"/>
      <c r="GYH65" s="10"/>
      <c r="GYI65" s="10"/>
      <c r="GYJ65" s="10"/>
      <c r="GYK65" s="10"/>
      <c r="GYL65" s="10"/>
      <c r="GYM65" s="10"/>
      <c r="GYN65" s="10"/>
      <c r="GYO65" s="10"/>
      <c r="GYP65" s="10"/>
      <c r="GYQ65" s="10"/>
      <c r="GYR65" s="10"/>
      <c r="GYS65" s="10"/>
      <c r="GYT65" s="10"/>
      <c r="GYU65" s="10"/>
      <c r="GYV65" s="10"/>
      <c r="GYW65" s="10"/>
      <c r="GYX65" s="10"/>
      <c r="GYY65" s="10"/>
      <c r="GYZ65" s="10"/>
      <c r="GZA65" s="10"/>
      <c r="GZB65" s="10"/>
      <c r="GZC65" s="10"/>
      <c r="GZD65" s="10"/>
      <c r="GZE65" s="10"/>
      <c r="GZF65" s="10"/>
      <c r="GZG65" s="10"/>
      <c r="GZH65" s="10"/>
      <c r="GZI65" s="10"/>
      <c r="GZJ65" s="10"/>
      <c r="GZK65" s="10"/>
      <c r="GZL65" s="10"/>
      <c r="GZM65" s="10"/>
      <c r="GZN65" s="10"/>
      <c r="GZO65" s="10"/>
      <c r="GZP65" s="10"/>
      <c r="GZQ65" s="10"/>
      <c r="GZR65" s="10"/>
      <c r="GZS65" s="10"/>
      <c r="GZT65" s="10"/>
      <c r="GZU65" s="10"/>
      <c r="GZV65" s="10"/>
      <c r="GZW65" s="10"/>
      <c r="GZX65" s="10"/>
      <c r="GZY65" s="10"/>
      <c r="GZZ65" s="10"/>
      <c r="HAA65" s="10"/>
      <c r="HAB65" s="10"/>
      <c r="HAC65" s="10"/>
      <c r="HAD65" s="10"/>
      <c r="HAE65" s="10"/>
      <c r="HAF65" s="10"/>
      <c r="HAG65" s="10"/>
      <c r="HAH65" s="10"/>
      <c r="HAI65" s="10"/>
      <c r="HAJ65" s="10"/>
      <c r="HAK65" s="10"/>
      <c r="HAL65" s="10"/>
      <c r="HAM65" s="10"/>
      <c r="HAN65" s="10"/>
      <c r="HAO65" s="10"/>
      <c r="HAP65" s="10"/>
      <c r="HAQ65" s="10"/>
      <c r="HAR65" s="10"/>
      <c r="HAS65" s="10"/>
      <c r="HAT65" s="10"/>
      <c r="HAU65" s="10"/>
      <c r="HAV65" s="10"/>
      <c r="HAW65" s="10"/>
      <c r="HAX65" s="10"/>
      <c r="HAY65" s="10"/>
      <c r="HAZ65" s="10"/>
      <c r="HBA65" s="10"/>
      <c r="HBB65" s="10"/>
      <c r="HBC65" s="10"/>
      <c r="HBD65" s="10"/>
      <c r="HBE65" s="10"/>
      <c r="HBF65" s="10"/>
      <c r="HBG65" s="10"/>
      <c r="HBH65" s="10"/>
      <c r="HBI65" s="10"/>
      <c r="HBJ65" s="10"/>
      <c r="HBK65" s="10"/>
      <c r="HBL65" s="10"/>
      <c r="HBM65" s="10"/>
      <c r="HBN65" s="10"/>
      <c r="HBO65" s="10"/>
      <c r="HBP65" s="10"/>
      <c r="HBQ65" s="10"/>
      <c r="HBR65" s="10"/>
      <c r="HBS65" s="10"/>
      <c r="HBT65" s="10"/>
      <c r="HBU65" s="10"/>
      <c r="HBV65" s="10"/>
      <c r="HBW65" s="10"/>
      <c r="HBX65" s="10"/>
      <c r="HBY65" s="10"/>
      <c r="HBZ65" s="10"/>
      <c r="HCA65" s="10"/>
      <c r="HCB65" s="10"/>
      <c r="HCC65" s="10"/>
      <c r="HCD65" s="10"/>
      <c r="HCE65" s="10"/>
      <c r="HCF65" s="10"/>
      <c r="HCG65" s="10"/>
      <c r="HCH65" s="10"/>
      <c r="HCI65" s="10"/>
      <c r="HCJ65" s="10"/>
      <c r="HCK65" s="10"/>
      <c r="HCL65" s="10"/>
      <c r="HCM65" s="10"/>
      <c r="HCN65" s="10"/>
      <c r="HCO65" s="10"/>
      <c r="HCP65" s="10"/>
      <c r="HCQ65" s="10"/>
      <c r="HCR65" s="10"/>
      <c r="HCS65" s="10"/>
      <c r="HCT65" s="10"/>
      <c r="HCU65" s="10"/>
      <c r="HCV65" s="10"/>
      <c r="HCW65" s="10"/>
      <c r="HCX65" s="10"/>
      <c r="HCY65" s="10"/>
      <c r="HCZ65" s="10"/>
      <c r="HDA65" s="10"/>
      <c r="HDB65" s="10"/>
      <c r="HDC65" s="10"/>
      <c r="HDD65" s="10"/>
      <c r="HDE65" s="10"/>
      <c r="HDF65" s="10"/>
      <c r="HDG65" s="10"/>
      <c r="HDH65" s="10"/>
      <c r="HDI65" s="10"/>
      <c r="HDJ65" s="10"/>
      <c r="HDK65" s="10"/>
      <c r="HDL65" s="10"/>
      <c r="HDM65" s="10"/>
      <c r="HDN65" s="10"/>
      <c r="HDO65" s="10"/>
      <c r="HDP65" s="10"/>
      <c r="HDQ65" s="10"/>
      <c r="HDR65" s="10"/>
      <c r="HDS65" s="10"/>
      <c r="HDT65" s="10"/>
      <c r="HDU65" s="10"/>
      <c r="HDV65" s="10"/>
      <c r="HDW65" s="10"/>
      <c r="HDX65" s="10"/>
      <c r="HDY65" s="10"/>
      <c r="HDZ65" s="10"/>
      <c r="HEA65" s="10"/>
      <c r="HEB65" s="10"/>
      <c r="HEC65" s="10"/>
      <c r="HED65" s="10"/>
      <c r="HEE65" s="10"/>
      <c r="HEF65" s="10"/>
      <c r="HEG65" s="10"/>
      <c r="HEH65" s="10"/>
      <c r="HEI65" s="10"/>
      <c r="HEJ65" s="10"/>
      <c r="HEK65" s="10"/>
      <c r="HEL65" s="10"/>
      <c r="HEM65" s="10"/>
      <c r="HEN65" s="10"/>
      <c r="HEO65" s="10"/>
      <c r="HEP65" s="10"/>
      <c r="HEQ65" s="10"/>
      <c r="HER65" s="10"/>
      <c r="HES65" s="10"/>
      <c r="HET65" s="10"/>
      <c r="HEU65" s="10"/>
      <c r="HEV65" s="10"/>
      <c r="HEW65" s="10"/>
      <c r="HEX65" s="10"/>
      <c r="HEY65" s="10"/>
      <c r="HEZ65" s="10"/>
      <c r="HFA65" s="10"/>
      <c r="HFB65" s="10"/>
      <c r="HFC65" s="10"/>
      <c r="HFD65" s="10"/>
      <c r="HFE65" s="10"/>
      <c r="HFF65" s="10"/>
      <c r="HFG65" s="10"/>
      <c r="HFH65" s="10"/>
      <c r="HFI65" s="10"/>
      <c r="HFJ65" s="10"/>
      <c r="HFK65" s="10"/>
      <c r="HFL65" s="10"/>
      <c r="HFM65" s="10"/>
      <c r="HFN65" s="10"/>
      <c r="HFO65" s="10"/>
      <c r="HFP65" s="10"/>
      <c r="HFQ65" s="10"/>
      <c r="HFR65" s="10"/>
      <c r="HFS65" s="10"/>
      <c r="HFT65" s="10"/>
      <c r="HFU65" s="10"/>
      <c r="HFV65" s="10"/>
      <c r="HFW65" s="10"/>
      <c r="HFX65" s="10"/>
      <c r="HFY65" s="10"/>
      <c r="HFZ65" s="10"/>
      <c r="HGA65" s="10"/>
      <c r="HGB65" s="10"/>
      <c r="HGC65" s="10"/>
      <c r="HGD65" s="10"/>
      <c r="HGE65" s="10"/>
      <c r="HGF65" s="10"/>
      <c r="HGG65" s="10"/>
      <c r="HGH65" s="10"/>
      <c r="HGI65" s="10"/>
      <c r="HGJ65" s="10"/>
      <c r="HGK65" s="10"/>
      <c r="HGL65" s="10"/>
      <c r="HGM65" s="10"/>
      <c r="HGN65" s="10"/>
      <c r="HGO65" s="10"/>
      <c r="HGP65" s="10"/>
      <c r="HGQ65" s="10"/>
      <c r="HGR65" s="10"/>
      <c r="HGS65" s="10"/>
      <c r="HGT65" s="10"/>
      <c r="HGU65" s="10"/>
      <c r="HGV65" s="10"/>
      <c r="HGW65" s="10"/>
      <c r="HGX65" s="10"/>
      <c r="HGY65" s="10"/>
      <c r="HGZ65" s="10"/>
      <c r="HHA65" s="10"/>
      <c r="HHB65" s="10"/>
      <c r="HHC65" s="10"/>
      <c r="HHD65" s="10"/>
      <c r="HHE65" s="10"/>
      <c r="HHF65" s="10"/>
      <c r="HHG65" s="10"/>
      <c r="HHH65" s="10"/>
      <c r="HHI65" s="10"/>
      <c r="HHJ65" s="10"/>
      <c r="HHK65" s="10"/>
      <c r="HHL65" s="10"/>
      <c r="HHM65" s="10"/>
      <c r="HHN65" s="10"/>
      <c r="HHO65" s="10"/>
      <c r="HHP65" s="10"/>
      <c r="HHQ65" s="10"/>
      <c r="HHR65" s="10"/>
      <c r="HHS65" s="10"/>
      <c r="HHT65" s="10"/>
      <c r="HHU65" s="10"/>
      <c r="HHV65" s="10"/>
      <c r="HHW65" s="10"/>
      <c r="HHX65" s="10"/>
      <c r="HHY65" s="10"/>
      <c r="HHZ65" s="10"/>
      <c r="HIA65" s="10"/>
      <c r="HIB65" s="10"/>
      <c r="HIC65" s="10"/>
      <c r="HID65" s="10"/>
      <c r="HIE65" s="10"/>
      <c r="HIF65" s="10"/>
      <c r="HIG65" s="10"/>
      <c r="HIH65" s="10"/>
      <c r="HII65" s="10"/>
      <c r="HIJ65" s="10"/>
      <c r="HIK65" s="10"/>
      <c r="HIL65" s="10"/>
      <c r="HIM65" s="10"/>
      <c r="HIN65" s="10"/>
      <c r="HIO65" s="10"/>
      <c r="HIP65" s="10"/>
      <c r="HIQ65" s="10"/>
      <c r="HIR65" s="10"/>
      <c r="HIS65" s="10"/>
      <c r="HIT65" s="10"/>
      <c r="HIU65" s="10"/>
      <c r="HIV65" s="10"/>
      <c r="HIW65" s="10"/>
      <c r="HIX65" s="10"/>
      <c r="HIY65" s="10"/>
      <c r="HIZ65" s="10"/>
      <c r="HJA65" s="10"/>
      <c r="HJB65" s="10"/>
      <c r="HJC65" s="10"/>
      <c r="HJD65" s="10"/>
      <c r="HJE65" s="10"/>
      <c r="HJF65" s="10"/>
      <c r="HJG65" s="10"/>
      <c r="HJH65" s="10"/>
      <c r="HJI65" s="10"/>
      <c r="HJJ65" s="10"/>
      <c r="HJK65" s="10"/>
      <c r="HJL65" s="10"/>
      <c r="HJM65" s="10"/>
      <c r="HJN65" s="10"/>
      <c r="HJO65" s="10"/>
      <c r="HJP65" s="10"/>
      <c r="HJQ65" s="10"/>
      <c r="HJR65" s="10"/>
      <c r="HJS65" s="10"/>
      <c r="HJT65" s="10"/>
      <c r="HJU65" s="10"/>
      <c r="HJV65" s="10"/>
      <c r="HJW65" s="10"/>
      <c r="HJX65" s="10"/>
      <c r="HJY65" s="10"/>
      <c r="HJZ65" s="10"/>
      <c r="HKA65" s="10"/>
      <c r="HKB65" s="10"/>
      <c r="HKC65" s="10"/>
      <c r="HKD65" s="10"/>
      <c r="HKE65" s="10"/>
      <c r="HKF65" s="10"/>
      <c r="HKG65" s="10"/>
      <c r="HKH65" s="10"/>
      <c r="HKI65" s="10"/>
      <c r="HKJ65" s="10"/>
      <c r="HKK65" s="10"/>
      <c r="HKL65" s="10"/>
      <c r="HKM65" s="10"/>
      <c r="HKN65" s="10"/>
      <c r="HKO65" s="10"/>
      <c r="HKP65" s="10"/>
      <c r="HKQ65" s="10"/>
      <c r="HKR65" s="10"/>
      <c r="HKS65" s="10"/>
      <c r="HKT65" s="10"/>
      <c r="HKU65" s="10"/>
      <c r="HKV65" s="10"/>
      <c r="HKW65" s="10"/>
      <c r="HKX65" s="10"/>
      <c r="HKY65" s="10"/>
      <c r="HKZ65" s="10"/>
      <c r="HLA65" s="10"/>
      <c r="HLB65" s="10"/>
      <c r="HLC65" s="10"/>
      <c r="HLD65" s="10"/>
      <c r="HLE65" s="10"/>
      <c r="HLF65" s="10"/>
      <c r="HLG65" s="10"/>
      <c r="HLH65" s="10"/>
      <c r="HLI65" s="10"/>
      <c r="HLJ65" s="10"/>
      <c r="HLK65" s="10"/>
      <c r="HLL65" s="10"/>
      <c r="HLM65" s="10"/>
      <c r="HLN65" s="10"/>
      <c r="HLO65" s="10"/>
      <c r="HLP65" s="10"/>
      <c r="HLQ65" s="10"/>
      <c r="HLR65" s="10"/>
      <c r="HLS65" s="10"/>
      <c r="HLT65" s="10"/>
      <c r="HLU65" s="10"/>
      <c r="HLV65" s="10"/>
      <c r="HLW65" s="10"/>
      <c r="HLX65" s="10"/>
      <c r="HLY65" s="10"/>
      <c r="HLZ65" s="10"/>
      <c r="HMA65" s="10"/>
      <c r="HMB65" s="10"/>
      <c r="HMC65" s="10"/>
      <c r="HMD65" s="10"/>
      <c r="HME65" s="10"/>
      <c r="HMF65" s="10"/>
      <c r="HMG65" s="10"/>
      <c r="HMH65" s="10"/>
      <c r="HMI65" s="10"/>
      <c r="HMJ65" s="10"/>
      <c r="HMK65" s="10"/>
      <c r="HML65" s="10"/>
      <c r="HMM65" s="10"/>
      <c r="HMN65" s="10"/>
      <c r="HMO65" s="10"/>
      <c r="HMP65" s="10"/>
      <c r="HMQ65" s="10"/>
      <c r="HMR65" s="10"/>
      <c r="HMS65" s="10"/>
      <c r="HMT65" s="10"/>
      <c r="HMU65" s="10"/>
      <c r="HMV65" s="10"/>
      <c r="HMW65" s="10"/>
      <c r="HMX65" s="10"/>
      <c r="HMY65" s="10"/>
      <c r="HMZ65" s="10"/>
      <c r="HNA65" s="10"/>
      <c r="HNB65" s="10"/>
      <c r="HNC65" s="10"/>
      <c r="HND65" s="10"/>
      <c r="HNE65" s="10"/>
      <c r="HNF65" s="10"/>
      <c r="HNG65" s="10"/>
      <c r="HNH65" s="10"/>
      <c r="HNI65" s="10"/>
      <c r="HNJ65" s="10"/>
      <c r="HNK65" s="10"/>
      <c r="HNL65" s="10"/>
      <c r="HNM65" s="10"/>
      <c r="HNN65" s="10"/>
      <c r="HNO65" s="10"/>
      <c r="HNP65" s="10"/>
      <c r="HNQ65" s="10"/>
      <c r="HNR65" s="10"/>
      <c r="HNS65" s="10"/>
      <c r="HNT65" s="10"/>
      <c r="HNU65" s="10"/>
      <c r="HNV65" s="10"/>
      <c r="HNW65" s="10"/>
      <c r="HNX65" s="10"/>
      <c r="HNY65" s="10"/>
      <c r="HNZ65" s="10"/>
      <c r="HOA65" s="10"/>
      <c r="HOB65" s="10"/>
      <c r="HOC65" s="10"/>
      <c r="HOD65" s="10"/>
      <c r="HOE65" s="10"/>
      <c r="HOF65" s="10"/>
      <c r="HOG65" s="10"/>
      <c r="HOH65" s="10"/>
      <c r="HOI65" s="10"/>
      <c r="HOJ65" s="10"/>
      <c r="HOK65" s="10"/>
      <c r="HOL65" s="10"/>
      <c r="HOM65" s="10"/>
      <c r="HON65" s="10"/>
      <c r="HOO65" s="10"/>
      <c r="HOP65" s="10"/>
      <c r="HOQ65" s="10"/>
      <c r="HOR65" s="10"/>
      <c r="HOS65" s="10"/>
      <c r="HOT65" s="10"/>
      <c r="HOU65" s="10"/>
      <c r="HOV65" s="10"/>
      <c r="HOW65" s="10"/>
      <c r="HOX65" s="10"/>
      <c r="HOY65" s="10"/>
      <c r="HOZ65" s="10"/>
      <c r="HPA65" s="10"/>
      <c r="HPB65" s="10"/>
      <c r="HPC65" s="10"/>
      <c r="HPD65" s="10"/>
      <c r="HPE65" s="10"/>
      <c r="HPF65" s="10"/>
      <c r="HPG65" s="10"/>
      <c r="HPH65" s="10"/>
      <c r="HPI65" s="10"/>
      <c r="HPJ65" s="10"/>
      <c r="HPK65" s="10"/>
      <c r="HPL65" s="10"/>
      <c r="HPM65" s="10"/>
      <c r="HPN65" s="10"/>
      <c r="HPO65" s="10"/>
      <c r="HPP65" s="10"/>
      <c r="HPQ65" s="10"/>
      <c r="HPR65" s="10"/>
      <c r="HPS65" s="10"/>
      <c r="HPT65" s="10"/>
      <c r="HPU65" s="10"/>
      <c r="HPV65" s="10"/>
      <c r="HPW65" s="10"/>
      <c r="HPX65" s="10"/>
      <c r="HPY65" s="10"/>
      <c r="HPZ65" s="10"/>
      <c r="HQA65" s="10"/>
      <c r="HQB65" s="10"/>
      <c r="HQC65" s="10"/>
      <c r="HQD65" s="10"/>
      <c r="HQE65" s="10"/>
      <c r="HQF65" s="10"/>
      <c r="HQG65" s="10"/>
      <c r="HQH65" s="10"/>
      <c r="HQI65" s="10"/>
      <c r="HQJ65" s="10"/>
      <c r="HQK65" s="10"/>
      <c r="HQL65" s="10"/>
      <c r="HQM65" s="10"/>
      <c r="HQN65" s="10"/>
      <c r="HQO65" s="10"/>
      <c r="HQP65" s="10"/>
      <c r="HQQ65" s="10"/>
      <c r="HQR65" s="10"/>
      <c r="HQS65" s="10"/>
      <c r="HQT65" s="10"/>
      <c r="HQU65" s="10"/>
      <c r="HQV65" s="10"/>
      <c r="HQW65" s="10"/>
      <c r="HQX65" s="10"/>
      <c r="HQY65" s="10"/>
      <c r="HQZ65" s="10"/>
      <c r="HRA65" s="10"/>
      <c r="HRB65" s="10"/>
      <c r="HRC65" s="10"/>
      <c r="HRD65" s="10"/>
      <c r="HRE65" s="10"/>
      <c r="HRF65" s="10"/>
      <c r="HRG65" s="10"/>
      <c r="HRH65" s="10"/>
      <c r="HRI65" s="10"/>
      <c r="HRJ65" s="10"/>
      <c r="HRK65" s="10"/>
      <c r="HRL65" s="10"/>
      <c r="HRM65" s="10"/>
      <c r="HRN65" s="10"/>
      <c r="HRO65" s="10"/>
      <c r="HRP65" s="10"/>
      <c r="HRQ65" s="10"/>
      <c r="HRR65" s="10"/>
      <c r="HRS65" s="10"/>
      <c r="HRT65" s="10"/>
      <c r="HRU65" s="10"/>
      <c r="HRV65" s="10"/>
      <c r="HRW65" s="10"/>
      <c r="HRX65" s="10"/>
      <c r="HRY65" s="10"/>
      <c r="HRZ65" s="10"/>
      <c r="HSA65" s="10"/>
      <c r="HSB65" s="10"/>
      <c r="HSC65" s="10"/>
      <c r="HSD65" s="10"/>
      <c r="HSE65" s="10"/>
      <c r="HSF65" s="10"/>
      <c r="HSG65" s="10"/>
      <c r="HSH65" s="10"/>
      <c r="HSI65" s="10"/>
      <c r="HSJ65" s="10"/>
      <c r="HSK65" s="10"/>
      <c r="HSL65" s="10"/>
      <c r="HSM65" s="10"/>
      <c r="HSN65" s="10"/>
      <c r="HSO65" s="10"/>
      <c r="HSP65" s="10"/>
      <c r="HSQ65" s="10"/>
      <c r="HSR65" s="10"/>
      <c r="HSS65" s="10"/>
      <c r="HST65" s="10"/>
      <c r="HSU65" s="10"/>
      <c r="HSV65" s="10"/>
      <c r="HSW65" s="10"/>
      <c r="HSX65" s="10"/>
      <c r="HSY65" s="10"/>
      <c r="HSZ65" s="10"/>
      <c r="HTA65" s="10"/>
      <c r="HTB65" s="10"/>
      <c r="HTC65" s="10"/>
      <c r="HTD65" s="10"/>
      <c r="HTE65" s="10"/>
      <c r="HTF65" s="10"/>
      <c r="HTG65" s="10"/>
      <c r="HTH65" s="10"/>
      <c r="HTI65" s="10"/>
      <c r="HTJ65" s="10"/>
      <c r="HTK65" s="10"/>
      <c r="HTL65" s="10"/>
      <c r="HTM65" s="10"/>
      <c r="HTN65" s="10"/>
      <c r="HTO65" s="10"/>
      <c r="HTP65" s="10"/>
      <c r="HTQ65" s="10"/>
      <c r="HTR65" s="10"/>
      <c r="HTS65" s="10"/>
      <c r="HTT65" s="10"/>
      <c r="HTU65" s="10"/>
      <c r="HTV65" s="10"/>
      <c r="HTW65" s="10"/>
      <c r="HTX65" s="10"/>
      <c r="HTY65" s="10"/>
      <c r="HTZ65" s="10"/>
      <c r="HUA65" s="10"/>
      <c r="HUB65" s="10"/>
      <c r="HUC65" s="10"/>
      <c r="HUD65" s="10"/>
      <c r="HUE65" s="10"/>
      <c r="HUF65" s="10"/>
      <c r="HUG65" s="10"/>
      <c r="HUH65" s="10"/>
      <c r="HUI65" s="10"/>
      <c r="HUJ65" s="10"/>
      <c r="HUK65" s="10"/>
      <c r="HUL65" s="10"/>
      <c r="HUM65" s="10"/>
      <c r="HUN65" s="10"/>
      <c r="HUO65" s="10"/>
      <c r="HUP65" s="10"/>
      <c r="HUQ65" s="10"/>
      <c r="HUR65" s="10"/>
      <c r="HUS65" s="10"/>
      <c r="HUT65" s="10"/>
      <c r="HUU65" s="10"/>
      <c r="HUV65" s="10"/>
      <c r="HUW65" s="10"/>
      <c r="HUX65" s="10"/>
      <c r="HUY65" s="10"/>
      <c r="HUZ65" s="10"/>
      <c r="HVA65" s="10"/>
      <c r="HVB65" s="10"/>
      <c r="HVC65" s="10"/>
      <c r="HVD65" s="10"/>
      <c r="HVE65" s="10"/>
      <c r="HVF65" s="10"/>
      <c r="HVG65" s="10"/>
      <c r="HVH65" s="10"/>
      <c r="HVI65" s="10"/>
      <c r="HVJ65" s="10"/>
      <c r="HVK65" s="10"/>
      <c r="HVL65" s="10"/>
      <c r="HVM65" s="10"/>
      <c r="HVN65" s="10"/>
      <c r="HVO65" s="10"/>
      <c r="HVP65" s="10"/>
      <c r="HVQ65" s="10"/>
      <c r="HVR65" s="10"/>
      <c r="HVS65" s="10"/>
      <c r="HVT65" s="10"/>
      <c r="HVU65" s="10"/>
      <c r="HVV65" s="10"/>
      <c r="HVW65" s="10"/>
      <c r="HVX65" s="10"/>
      <c r="HVY65" s="10"/>
      <c r="HVZ65" s="10"/>
      <c r="HWA65" s="10"/>
      <c r="HWB65" s="10"/>
      <c r="HWC65" s="10"/>
      <c r="HWD65" s="10"/>
      <c r="HWE65" s="10"/>
      <c r="HWF65" s="10"/>
      <c r="HWG65" s="10"/>
      <c r="HWH65" s="10"/>
      <c r="HWI65" s="10"/>
      <c r="HWJ65" s="10"/>
      <c r="HWK65" s="10"/>
      <c r="HWL65" s="10"/>
      <c r="HWM65" s="10"/>
      <c r="HWN65" s="10"/>
      <c r="HWO65" s="10"/>
      <c r="HWP65" s="10"/>
      <c r="HWQ65" s="10"/>
      <c r="HWR65" s="10"/>
      <c r="HWS65" s="10"/>
      <c r="HWT65" s="10"/>
      <c r="HWU65" s="10"/>
      <c r="HWV65" s="10"/>
      <c r="HWW65" s="10"/>
      <c r="HWX65" s="10"/>
      <c r="HWY65" s="10"/>
      <c r="HWZ65" s="10"/>
      <c r="HXA65" s="10"/>
      <c r="HXB65" s="10"/>
      <c r="HXC65" s="10"/>
      <c r="HXD65" s="10"/>
      <c r="HXE65" s="10"/>
      <c r="HXF65" s="10"/>
      <c r="HXG65" s="10"/>
      <c r="HXH65" s="10"/>
      <c r="HXI65" s="10"/>
      <c r="HXJ65" s="10"/>
      <c r="HXK65" s="10"/>
      <c r="HXL65" s="10"/>
      <c r="HXM65" s="10"/>
      <c r="HXN65" s="10"/>
      <c r="HXO65" s="10"/>
      <c r="HXP65" s="10"/>
      <c r="HXQ65" s="10"/>
      <c r="HXR65" s="10"/>
      <c r="HXS65" s="10"/>
      <c r="HXT65" s="10"/>
      <c r="HXU65" s="10"/>
      <c r="HXV65" s="10"/>
      <c r="HXW65" s="10"/>
      <c r="HXX65" s="10"/>
      <c r="HXY65" s="10"/>
      <c r="HXZ65" s="10"/>
      <c r="HYA65" s="10"/>
      <c r="HYB65" s="10"/>
      <c r="HYC65" s="10"/>
      <c r="HYD65" s="10"/>
      <c r="HYE65" s="10"/>
      <c r="HYF65" s="10"/>
      <c r="HYG65" s="10"/>
      <c r="HYH65" s="10"/>
      <c r="HYI65" s="10"/>
      <c r="HYJ65" s="10"/>
      <c r="HYK65" s="10"/>
      <c r="HYL65" s="10"/>
      <c r="HYM65" s="10"/>
      <c r="HYN65" s="10"/>
      <c r="HYO65" s="10"/>
      <c r="HYP65" s="10"/>
      <c r="HYQ65" s="10"/>
      <c r="HYR65" s="10"/>
      <c r="HYS65" s="10"/>
      <c r="HYT65" s="10"/>
      <c r="HYU65" s="10"/>
      <c r="HYV65" s="10"/>
      <c r="HYW65" s="10"/>
      <c r="HYX65" s="10"/>
      <c r="HYY65" s="10"/>
      <c r="HYZ65" s="10"/>
      <c r="HZA65" s="10"/>
      <c r="HZB65" s="10"/>
      <c r="HZC65" s="10"/>
      <c r="HZD65" s="10"/>
      <c r="HZE65" s="10"/>
      <c r="HZF65" s="10"/>
      <c r="HZG65" s="10"/>
      <c r="HZH65" s="10"/>
      <c r="HZI65" s="10"/>
      <c r="HZJ65" s="10"/>
      <c r="HZK65" s="10"/>
      <c r="HZL65" s="10"/>
      <c r="HZM65" s="10"/>
      <c r="HZN65" s="10"/>
      <c r="HZO65" s="10"/>
      <c r="HZP65" s="10"/>
      <c r="HZQ65" s="10"/>
      <c r="HZR65" s="10"/>
      <c r="HZS65" s="10"/>
      <c r="HZT65" s="10"/>
      <c r="HZU65" s="10"/>
      <c r="HZV65" s="10"/>
      <c r="HZW65" s="10"/>
      <c r="HZX65" s="10"/>
      <c r="HZY65" s="10"/>
      <c r="HZZ65" s="10"/>
      <c r="IAA65" s="10"/>
      <c r="IAB65" s="10"/>
      <c r="IAC65" s="10"/>
      <c r="IAD65" s="10"/>
      <c r="IAE65" s="10"/>
      <c r="IAF65" s="10"/>
      <c r="IAG65" s="10"/>
      <c r="IAH65" s="10"/>
      <c r="IAI65" s="10"/>
      <c r="IAJ65" s="10"/>
      <c r="IAK65" s="10"/>
      <c r="IAL65" s="10"/>
      <c r="IAM65" s="10"/>
      <c r="IAN65" s="10"/>
      <c r="IAO65" s="10"/>
      <c r="IAP65" s="10"/>
      <c r="IAQ65" s="10"/>
      <c r="IAR65" s="10"/>
      <c r="IAS65" s="10"/>
      <c r="IAT65" s="10"/>
      <c r="IAU65" s="10"/>
      <c r="IAV65" s="10"/>
      <c r="IAW65" s="10"/>
      <c r="IAX65" s="10"/>
      <c r="IAY65" s="10"/>
      <c r="IAZ65" s="10"/>
      <c r="IBA65" s="10"/>
      <c r="IBB65" s="10"/>
      <c r="IBC65" s="10"/>
      <c r="IBD65" s="10"/>
      <c r="IBE65" s="10"/>
      <c r="IBF65" s="10"/>
      <c r="IBG65" s="10"/>
      <c r="IBH65" s="10"/>
      <c r="IBI65" s="10"/>
      <c r="IBJ65" s="10"/>
      <c r="IBK65" s="10"/>
      <c r="IBL65" s="10"/>
      <c r="IBM65" s="10"/>
      <c r="IBN65" s="10"/>
      <c r="IBO65" s="10"/>
      <c r="IBP65" s="10"/>
      <c r="IBQ65" s="10"/>
      <c r="IBR65" s="10"/>
      <c r="IBS65" s="10"/>
      <c r="IBT65" s="10"/>
      <c r="IBU65" s="10"/>
      <c r="IBV65" s="10"/>
      <c r="IBW65" s="10"/>
      <c r="IBX65" s="10"/>
      <c r="IBY65" s="10"/>
      <c r="IBZ65" s="10"/>
      <c r="ICA65" s="10"/>
      <c r="ICB65" s="10"/>
      <c r="ICC65" s="10"/>
      <c r="ICD65" s="10"/>
      <c r="ICE65" s="10"/>
      <c r="ICF65" s="10"/>
      <c r="ICG65" s="10"/>
      <c r="ICH65" s="10"/>
      <c r="ICI65" s="10"/>
      <c r="ICJ65" s="10"/>
      <c r="ICK65" s="10"/>
      <c r="ICL65" s="10"/>
      <c r="ICM65" s="10"/>
      <c r="ICN65" s="10"/>
      <c r="ICO65" s="10"/>
      <c r="ICP65" s="10"/>
      <c r="ICQ65" s="10"/>
      <c r="ICR65" s="10"/>
      <c r="ICS65" s="10"/>
      <c r="ICT65" s="10"/>
      <c r="ICU65" s="10"/>
      <c r="ICV65" s="10"/>
      <c r="ICW65" s="10"/>
      <c r="ICX65" s="10"/>
      <c r="ICY65" s="10"/>
      <c r="ICZ65" s="10"/>
      <c r="IDA65" s="10"/>
      <c r="IDB65" s="10"/>
      <c r="IDC65" s="10"/>
      <c r="IDD65" s="10"/>
      <c r="IDE65" s="10"/>
      <c r="IDF65" s="10"/>
      <c r="IDG65" s="10"/>
      <c r="IDH65" s="10"/>
      <c r="IDI65" s="10"/>
      <c r="IDJ65" s="10"/>
      <c r="IDK65" s="10"/>
      <c r="IDL65" s="10"/>
      <c r="IDM65" s="10"/>
      <c r="IDN65" s="10"/>
      <c r="IDO65" s="10"/>
      <c r="IDP65" s="10"/>
      <c r="IDQ65" s="10"/>
      <c r="IDR65" s="10"/>
      <c r="IDS65" s="10"/>
      <c r="IDT65" s="10"/>
      <c r="IDU65" s="10"/>
      <c r="IDV65" s="10"/>
      <c r="IDW65" s="10"/>
      <c r="IDX65" s="10"/>
      <c r="IDY65" s="10"/>
      <c r="IDZ65" s="10"/>
      <c r="IEA65" s="10"/>
      <c r="IEB65" s="10"/>
      <c r="IEC65" s="10"/>
      <c r="IED65" s="10"/>
      <c r="IEE65" s="10"/>
      <c r="IEF65" s="10"/>
      <c r="IEG65" s="10"/>
      <c r="IEH65" s="10"/>
      <c r="IEI65" s="10"/>
      <c r="IEJ65" s="10"/>
      <c r="IEK65" s="10"/>
      <c r="IEL65" s="10"/>
      <c r="IEM65" s="10"/>
      <c r="IEN65" s="10"/>
      <c r="IEO65" s="10"/>
      <c r="IEP65" s="10"/>
      <c r="IEQ65" s="10"/>
      <c r="IER65" s="10"/>
      <c r="IES65" s="10"/>
      <c r="IET65" s="10"/>
      <c r="IEU65" s="10"/>
      <c r="IEV65" s="10"/>
      <c r="IEW65" s="10"/>
      <c r="IEX65" s="10"/>
      <c r="IEY65" s="10"/>
      <c r="IEZ65" s="10"/>
      <c r="IFA65" s="10"/>
      <c r="IFB65" s="10"/>
      <c r="IFC65" s="10"/>
      <c r="IFD65" s="10"/>
      <c r="IFE65" s="10"/>
      <c r="IFF65" s="10"/>
      <c r="IFG65" s="10"/>
      <c r="IFH65" s="10"/>
      <c r="IFI65" s="10"/>
      <c r="IFJ65" s="10"/>
      <c r="IFK65" s="10"/>
      <c r="IFL65" s="10"/>
      <c r="IFM65" s="10"/>
      <c r="IFN65" s="10"/>
      <c r="IFO65" s="10"/>
      <c r="IFP65" s="10"/>
      <c r="IFQ65" s="10"/>
      <c r="IFR65" s="10"/>
      <c r="IFS65" s="10"/>
      <c r="IFT65" s="10"/>
      <c r="IFU65" s="10"/>
      <c r="IFV65" s="10"/>
      <c r="IFW65" s="10"/>
      <c r="IFX65" s="10"/>
      <c r="IFY65" s="10"/>
      <c r="IFZ65" s="10"/>
      <c r="IGA65" s="10"/>
      <c r="IGB65" s="10"/>
      <c r="IGC65" s="10"/>
      <c r="IGD65" s="10"/>
      <c r="IGE65" s="10"/>
      <c r="IGF65" s="10"/>
      <c r="IGG65" s="10"/>
      <c r="IGH65" s="10"/>
      <c r="IGI65" s="10"/>
      <c r="IGJ65" s="10"/>
      <c r="IGK65" s="10"/>
      <c r="IGL65" s="10"/>
      <c r="IGM65" s="10"/>
      <c r="IGN65" s="10"/>
      <c r="IGO65" s="10"/>
      <c r="IGP65" s="10"/>
      <c r="IGQ65" s="10"/>
      <c r="IGR65" s="10"/>
      <c r="IGS65" s="10"/>
      <c r="IGT65" s="10"/>
      <c r="IGU65" s="10"/>
      <c r="IGV65" s="10"/>
      <c r="IGW65" s="10"/>
      <c r="IGX65" s="10"/>
      <c r="IGY65" s="10"/>
      <c r="IGZ65" s="10"/>
      <c r="IHA65" s="10"/>
      <c r="IHB65" s="10"/>
      <c r="IHC65" s="10"/>
      <c r="IHD65" s="10"/>
      <c r="IHE65" s="10"/>
      <c r="IHF65" s="10"/>
      <c r="IHG65" s="10"/>
      <c r="IHH65" s="10"/>
      <c r="IHI65" s="10"/>
      <c r="IHJ65" s="10"/>
      <c r="IHK65" s="10"/>
      <c r="IHL65" s="10"/>
      <c r="IHM65" s="10"/>
      <c r="IHN65" s="10"/>
      <c r="IHO65" s="10"/>
      <c r="IHP65" s="10"/>
      <c r="IHQ65" s="10"/>
      <c r="IHR65" s="10"/>
      <c r="IHS65" s="10"/>
      <c r="IHT65" s="10"/>
      <c r="IHU65" s="10"/>
      <c r="IHV65" s="10"/>
      <c r="IHW65" s="10"/>
      <c r="IHX65" s="10"/>
      <c r="IHY65" s="10"/>
      <c r="IHZ65" s="10"/>
      <c r="IIA65" s="10"/>
      <c r="IIB65" s="10"/>
      <c r="IIC65" s="10"/>
      <c r="IID65" s="10"/>
      <c r="IIE65" s="10"/>
      <c r="IIF65" s="10"/>
      <c r="IIG65" s="10"/>
      <c r="IIH65" s="10"/>
      <c r="III65" s="10"/>
      <c r="IIJ65" s="10"/>
      <c r="IIK65" s="10"/>
      <c r="IIL65" s="10"/>
      <c r="IIM65" s="10"/>
      <c r="IIN65" s="10"/>
      <c r="IIO65" s="10"/>
      <c r="IIP65" s="10"/>
      <c r="IIQ65" s="10"/>
      <c r="IIR65" s="10"/>
      <c r="IIS65" s="10"/>
      <c r="IIT65" s="10"/>
      <c r="IIU65" s="10"/>
      <c r="IIV65" s="10"/>
      <c r="IIW65" s="10"/>
      <c r="IIX65" s="10"/>
      <c r="IIY65" s="10"/>
      <c r="IIZ65" s="10"/>
      <c r="IJA65" s="10"/>
      <c r="IJB65" s="10"/>
      <c r="IJC65" s="10"/>
      <c r="IJD65" s="10"/>
      <c r="IJE65" s="10"/>
      <c r="IJF65" s="10"/>
      <c r="IJG65" s="10"/>
      <c r="IJH65" s="10"/>
      <c r="IJI65" s="10"/>
      <c r="IJJ65" s="10"/>
      <c r="IJK65" s="10"/>
      <c r="IJL65" s="10"/>
      <c r="IJM65" s="10"/>
      <c r="IJN65" s="10"/>
      <c r="IJO65" s="10"/>
      <c r="IJP65" s="10"/>
      <c r="IJQ65" s="10"/>
      <c r="IJR65" s="10"/>
      <c r="IJS65" s="10"/>
      <c r="IJT65" s="10"/>
      <c r="IJU65" s="10"/>
      <c r="IJV65" s="10"/>
      <c r="IJW65" s="10"/>
      <c r="IJX65" s="10"/>
      <c r="IJY65" s="10"/>
      <c r="IJZ65" s="10"/>
      <c r="IKA65" s="10"/>
      <c r="IKB65" s="10"/>
      <c r="IKC65" s="10"/>
      <c r="IKD65" s="10"/>
      <c r="IKE65" s="10"/>
      <c r="IKF65" s="10"/>
      <c r="IKG65" s="10"/>
      <c r="IKH65" s="10"/>
      <c r="IKI65" s="10"/>
      <c r="IKJ65" s="10"/>
      <c r="IKK65" s="10"/>
      <c r="IKL65" s="10"/>
      <c r="IKM65" s="10"/>
      <c r="IKN65" s="10"/>
      <c r="IKO65" s="10"/>
      <c r="IKP65" s="10"/>
      <c r="IKQ65" s="10"/>
      <c r="IKR65" s="10"/>
      <c r="IKS65" s="10"/>
      <c r="IKT65" s="10"/>
      <c r="IKU65" s="10"/>
      <c r="IKV65" s="10"/>
      <c r="IKW65" s="10"/>
      <c r="IKX65" s="10"/>
      <c r="IKY65" s="10"/>
      <c r="IKZ65" s="10"/>
      <c r="ILA65" s="10"/>
      <c r="ILB65" s="10"/>
      <c r="ILC65" s="10"/>
      <c r="ILD65" s="10"/>
      <c r="ILE65" s="10"/>
      <c r="ILF65" s="10"/>
      <c r="ILG65" s="10"/>
      <c r="ILH65" s="10"/>
      <c r="ILI65" s="10"/>
      <c r="ILJ65" s="10"/>
      <c r="ILK65" s="10"/>
      <c r="ILL65" s="10"/>
      <c r="ILM65" s="10"/>
      <c r="ILN65" s="10"/>
      <c r="ILO65" s="10"/>
      <c r="ILP65" s="10"/>
      <c r="ILQ65" s="10"/>
      <c r="ILR65" s="10"/>
      <c r="ILS65" s="10"/>
      <c r="ILT65" s="10"/>
      <c r="ILU65" s="10"/>
      <c r="ILV65" s="10"/>
      <c r="ILW65" s="10"/>
      <c r="ILX65" s="10"/>
      <c r="ILY65" s="10"/>
      <c r="ILZ65" s="10"/>
      <c r="IMA65" s="10"/>
      <c r="IMB65" s="10"/>
      <c r="IMC65" s="10"/>
      <c r="IMD65" s="10"/>
      <c r="IME65" s="10"/>
      <c r="IMF65" s="10"/>
      <c r="IMG65" s="10"/>
      <c r="IMH65" s="10"/>
      <c r="IMI65" s="10"/>
      <c r="IMJ65" s="10"/>
      <c r="IMK65" s="10"/>
      <c r="IML65" s="10"/>
      <c r="IMM65" s="10"/>
      <c r="IMN65" s="10"/>
      <c r="IMO65" s="10"/>
      <c r="IMP65" s="10"/>
      <c r="IMQ65" s="10"/>
      <c r="IMR65" s="10"/>
      <c r="IMS65" s="10"/>
      <c r="IMT65" s="10"/>
      <c r="IMU65" s="10"/>
      <c r="IMV65" s="10"/>
      <c r="IMW65" s="10"/>
      <c r="IMX65" s="10"/>
      <c r="IMY65" s="10"/>
      <c r="IMZ65" s="10"/>
      <c r="INA65" s="10"/>
      <c r="INB65" s="10"/>
      <c r="INC65" s="10"/>
      <c r="IND65" s="10"/>
      <c r="INE65" s="10"/>
      <c r="INF65" s="10"/>
      <c r="ING65" s="10"/>
      <c r="INH65" s="10"/>
      <c r="INI65" s="10"/>
      <c r="INJ65" s="10"/>
      <c r="INK65" s="10"/>
      <c r="INL65" s="10"/>
      <c r="INM65" s="10"/>
      <c r="INN65" s="10"/>
      <c r="INO65" s="10"/>
      <c r="INP65" s="10"/>
      <c r="INQ65" s="10"/>
      <c r="INR65" s="10"/>
      <c r="INS65" s="10"/>
      <c r="INT65" s="10"/>
      <c r="INU65" s="10"/>
      <c r="INV65" s="10"/>
      <c r="INW65" s="10"/>
      <c r="INX65" s="10"/>
      <c r="INY65" s="10"/>
      <c r="INZ65" s="10"/>
      <c r="IOA65" s="10"/>
      <c r="IOB65" s="10"/>
      <c r="IOC65" s="10"/>
      <c r="IOD65" s="10"/>
      <c r="IOE65" s="10"/>
      <c r="IOF65" s="10"/>
      <c r="IOG65" s="10"/>
      <c r="IOH65" s="10"/>
      <c r="IOI65" s="10"/>
      <c r="IOJ65" s="10"/>
      <c r="IOK65" s="10"/>
      <c r="IOL65" s="10"/>
      <c r="IOM65" s="10"/>
      <c r="ION65" s="10"/>
      <c r="IOO65" s="10"/>
      <c r="IOP65" s="10"/>
      <c r="IOQ65" s="10"/>
      <c r="IOR65" s="10"/>
      <c r="IOS65" s="10"/>
      <c r="IOT65" s="10"/>
      <c r="IOU65" s="10"/>
      <c r="IOV65" s="10"/>
      <c r="IOW65" s="10"/>
      <c r="IOX65" s="10"/>
      <c r="IOY65" s="10"/>
      <c r="IOZ65" s="10"/>
      <c r="IPA65" s="10"/>
      <c r="IPB65" s="10"/>
      <c r="IPC65" s="10"/>
      <c r="IPD65" s="10"/>
      <c r="IPE65" s="10"/>
      <c r="IPF65" s="10"/>
      <c r="IPG65" s="10"/>
      <c r="IPH65" s="10"/>
      <c r="IPI65" s="10"/>
      <c r="IPJ65" s="10"/>
      <c r="IPK65" s="10"/>
      <c r="IPL65" s="10"/>
      <c r="IPM65" s="10"/>
      <c r="IPN65" s="10"/>
      <c r="IPO65" s="10"/>
      <c r="IPP65" s="10"/>
      <c r="IPQ65" s="10"/>
      <c r="IPR65" s="10"/>
      <c r="IPS65" s="10"/>
      <c r="IPT65" s="10"/>
      <c r="IPU65" s="10"/>
      <c r="IPV65" s="10"/>
      <c r="IPW65" s="10"/>
      <c r="IPX65" s="10"/>
      <c r="IPY65" s="10"/>
      <c r="IPZ65" s="10"/>
      <c r="IQA65" s="10"/>
      <c r="IQB65" s="10"/>
      <c r="IQC65" s="10"/>
      <c r="IQD65" s="10"/>
      <c r="IQE65" s="10"/>
      <c r="IQF65" s="10"/>
      <c r="IQG65" s="10"/>
      <c r="IQH65" s="10"/>
      <c r="IQI65" s="10"/>
      <c r="IQJ65" s="10"/>
      <c r="IQK65" s="10"/>
      <c r="IQL65" s="10"/>
      <c r="IQM65" s="10"/>
      <c r="IQN65" s="10"/>
      <c r="IQO65" s="10"/>
      <c r="IQP65" s="10"/>
      <c r="IQQ65" s="10"/>
      <c r="IQR65" s="10"/>
      <c r="IQS65" s="10"/>
      <c r="IQT65" s="10"/>
      <c r="IQU65" s="10"/>
      <c r="IQV65" s="10"/>
      <c r="IQW65" s="10"/>
      <c r="IQX65" s="10"/>
      <c r="IQY65" s="10"/>
      <c r="IQZ65" s="10"/>
      <c r="IRA65" s="10"/>
      <c r="IRB65" s="10"/>
      <c r="IRC65" s="10"/>
      <c r="IRD65" s="10"/>
      <c r="IRE65" s="10"/>
      <c r="IRF65" s="10"/>
      <c r="IRG65" s="10"/>
      <c r="IRH65" s="10"/>
      <c r="IRI65" s="10"/>
      <c r="IRJ65" s="10"/>
      <c r="IRK65" s="10"/>
      <c r="IRL65" s="10"/>
      <c r="IRM65" s="10"/>
      <c r="IRN65" s="10"/>
      <c r="IRO65" s="10"/>
      <c r="IRP65" s="10"/>
      <c r="IRQ65" s="10"/>
      <c r="IRR65" s="10"/>
      <c r="IRS65" s="10"/>
      <c r="IRT65" s="10"/>
      <c r="IRU65" s="10"/>
      <c r="IRV65" s="10"/>
      <c r="IRW65" s="10"/>
      <c r="IRX65" s="10"/>
      <c r="IRY65" s="10"/>
      <c r="IRZ65" s="10"/>
      <c r="ISA65" s="10"/>
      <c r="ISB65" s="10"/>
      <c r="ISC65" s="10"/>
      <c r="ISD65" s="10"/>
      <c r="ISE65" s="10"/>
      <c r="ISF65" s="10"/>
      <c r="ISG65" s="10"/>
      <c r="ISH65" s="10"/>
      <c r="ISI65" s="10"/>
      <c r="ISJ65" s="10"/>
      <c r="ISK65" s="10"/>
      <c r="ISL65" s="10"/>
      <c r="ISM65" s="10"/>
      <c r="ISN65" s="10"/>
      <c r="ISO65" s="10"/>
      <c r="ISP65" s="10"/>
      <c r="ISQ65" s="10"/>
      <c r="ISR65" s="10"/>
      <c r="ISS65" s="10"/>
      <c r="IST65" s="10"/>
      <c r="ISU65" s="10"/>
      <c r="ISV65" s="10"/>
      <c r="ISW65" s="10"/>
      <c r="ISX65" s="10"/>
      <c r="ISY65" s="10"/>
      <c r="ISZ65" s="10"/>
      <c r="ITA65" s="10"/>
      <c r="ITB65" s="10"/>
      <c r="ITC65" s="10"/>
      <c r="ITD65" s="10"/>
      <c r="ITE65" s="10"/>
      <c r="ITF65" s="10"/>
      <c r="ITG65" s="10"/>
      <c r="ITH65" s="10"/>
      <c r="ITI65" s="10"/>
      <c r="ITJ65" s="10"/>
      <c r="ITK65" s="10"/>
      <c r="ITL65" s="10"/>
      <c r="ITM65" s="10"/>
      <c r="ITN65" s="10"/>
      <c r="ITO65" s="10"/>
      <c r="ITP65" s="10"/>
      <c r="ITQ65" s="10"/>
      <c r="ITR65" s="10"/>
      <c r="ITS65" s="10"/>
      <c r="ITT65" s="10"/>
      <c r="ITU65" s="10"/>
      <c r="ITV65" s="10"/>
      <c r="ITW65" s="10"/>
      <c r="ITX65" s="10"/>
      <c r="ITY65" s="10"/>
      <c r="ITZ65" s="10"/>
      <c r="IUA65" s="10"/>
      <c r="IUB65" s="10"/>
      <c r="IUC65" s="10"/>
      <c r="IUD65" s="10"/>
      <c r="IUE65" s="10"/>
      <c r="IUF65" s="10"/>
      <c r="IUG65" s="10"/>
      <c r="IUH65" s="10"/>
      <c r="IUI65" s="10"/>
      <c r="IUJ65" s="10"/>
      <c r="IUK65" s="10"/>
      <c r="IUL65" s="10"/>
      <c r="IUM65" s="10"/>
      <c r="IUN65" s="10"/>
      <c r="IUO65" s="10"/>
      <c r="IUP65" s="10"/>
      <c r="IUQ65" s="10"/>
      <c r="IUR65" s="10"/>
      <c r="IUS65" s="10"/>
      <c r="IUT65" s="10"/>
      <c r="IUU65" s="10"/>
      <c r="IUV65" s="10"/>
      <c r="IUW65" s="10"/>
      <c r="IUX65" s="10"/>
      <c r="IUY65" s="10"/>
      <c r="IUZ65" s="10"/>
      <c r="IVA65" s="10"/>
      <c r="IVB65" s="10"/>
      <c r="IVC65" s="10"/>
      <c r="IVD65" s="10"/>
      <c r="IVE65" s="10"/>
      <c r="IVF65" s="10"/>
      <c r="IVG65" s="10"/>
      <c r="IVH65" s="10"/>
      <c r="IVI65" s="10"/>
      <c r="IVJ65" s="10"/>
      <c r="IVK65" s="10"/>
      <c r="IVL65" s="10"/>
      <c r="IVM65" s="10"/>
      <c r="IVN65" s="10"/>
      <c r="IVO65" s="10"/>
      <c r="IVP65" s="10"/>
      <c r="IVQ65" s="10"/>
      <c r="IVR65" s="10"/>
      <c r="IVS65" s="10"/>
      <c r="IVT65" s="10"/>
      <c r="IVU65" s="10"/>
      <c r="IVV65" s="10"/>
      <c r="IVW65" s="10"/>
      <c r="IVX65" s="10"/>
      <c r="IVY65" s="10"/>
      <c r="IVZ65" s="10"/>
      <c r="IWA65" s="10"/>
      <c r="IWB65" s="10"/>
      <c r="IWC65" s="10"/>
      <c r="IWD65" s="10"/>
      <c r="IWE65" s="10"/>
      <c r="IWF65" s="10"/>
      <c r="IWG65" s="10"/>
      <c r="IWH65" s="10"/>
      <c r="IWI65" s="10"/>
      <c r="IWJ65" s="10"/>
      <c r="IWK65" s="10"/>
      <c r="IWL65" s="10"/>
      <c r="IWM65" s="10"/>
      <c r="IWN65" s="10"/>
      <c r="IWO65" s="10"/>
      <c r="IWP65" s="10"/>
      <c r="IWQ65" s="10"/>
      <c r="IWR65" s="10"/>
      <c r="IWS65" s="10"/>
      <c r="IWT65" s="10"/>
      <c r="IWU65" s="10"/>
      <c r="IWV65" s="10"/>
      <c r="IWW65" s="10"/>
      <c r="IWX65" s="10"/>
      <c r="IWY65" s="10"/>
      <c r="IWZ65" s="10"/>
      <c r="IXA65" s="10"/>
      <c r="IXB65" s="10"/>
      <c r="IXC65" s="10"/>
      <c r="IXD65" s="10"/>
      <c r="IXE65" s="10"/>
      <c r="IXF65" s="10"/>
      <c r="IXG65" s="10"/>
      <c r="IXH65" s="10"/>
      <c r="IXI65" s="10"/>
      <c r="IXJ65" s="10"/>
      <c r="IXK65" s="10"/>
      <c r="IXL65" s="10"/>
      <c r="IXM65" s="10"/>
      <c r="IXN65" s="10"/>
      <c r="IXO65" s="10"/>
      <c r="IXP65" s="10"/>
      <c r="IXQ65" s="10"/>
      <c r="IXR65" s="10"/>
      <c r="IXS65" s="10"/>
      <c r="IXT65" s="10"/>
      <c r="IXU65" s="10"/>
      <c r="IXV65" s="10"/>
      <c r="IXW65" s="10"/>
      <c r="IXX65" s="10"/>
      <c r="IXY65" s="10"/>
      <c r="IXZ65" s="10"/>
      <c r="IYA65" s="10"/>
      <c r="IYB65" s="10"/>
      <c r="IYC65" s="10"/>
      <c r="IYD65" s="10"/>
      <c r="IYE65" s="10"/>
      <c r="IYF65" s="10"/>
      <c r="IYG65" s="10"/>
      <c r="IYH65" s="10"/>
      <c r="IYI65" s="10"/>
      <c r="IYJ65" s="10"/>
      <c r="IYK65" s="10"/>
      <c r="IYL65" s="10"/>
      <c r="IYM65" s="10"/>
      <c r="IYN65" s="10"/>
      <c r="IYO65" s="10"/>
      <c r="IYP65" s="10"/>
      <c r="IYQ65" s="10"/>
      <c r="IYR65" s="10"/>
      <c r="IYS65" s="10"/>
      <c r="IYT65" s="10"/>
      <c r="IYU65" s="10"/>
      <c r="IYV65" s="10"/>
      <c r="IYW65" s="10"/>
      <c r="IYX65" s="10"/>
      <c r="IYY65" s="10"/>
      <c r="IYZ65" s="10"/>
      <c r="IZA65" s="10"/>
      <c r="IZB65" s="10"/>
      <c r="IZC65" s="10"/>
      <c r="IZD65" s="10"/>
      <c r="IZE65" s="10"/>
      <c r="IZF65" s="10"/>
      <c r="IZG65" s="10"/>
      <c r="IZH65" s="10"/>
      <c r="IZI65" s="10"/>
      <c r="IZJ65" s="10"/>
      <c r="IZK65" s="10"/>
      <c r="IZL65" s="10"/>
      <c r="IZM65" s="10"/>
      <c r="IZN65" s="10"/>
      <c r="IZO65" s="10"/>
      <c r="IZP65" s="10"/>
      <c r="IZQ65" s="10"/>
      <c r="IZR65" s="10"/>
      <c r="IZS65" s="10"/>
      <c r="IZT65" s="10"/>
      <c r="IZU65" s="10"/>
      <c r="IZV65" s="10"/>
      <c r="IZW65" s="10"/>
      <c r="IZX65" s="10"/>
      <c r="IZY65" s="10"/>
      <c r="IZZ65" s="10"/>
      <c r="JAA65" s="10"/>
      <c r="JAB65" s="10"/>
      <c r="JAC65" s="10"/>
      <c r="JAD65" s="10"/>
      <c r="JAE65" s="10"/>
      <c r="JAF65" s="10"/>
      <c r="JAG65" s="10"/>
      <c r="JAH65" s="10"/>
      <c r="JAI65" s="10"/>
      <c r="JAJ65" s="10"/>
      <c r="JAK65" s="10"/>
      <c r="JAL65" s="10"/>
      <c r="JAM65" s="10"/>
      <c r="JAN65" s="10"/>
      <c r="JAO65" s="10"/>
      <c r="JAP65" s="10"/>
      <c r="JAQ65" s="10"/>
      <c r="JAR65" s="10"/>
      <c r="JAS65" s="10"/>
      <c r="JAT65" s="10"/>
      <c r="JAU65" s="10"/>
      <c r="JAV65" s="10"/>
      <c r="JAW65" s="10"/>
      <c r="JAX65" s="10"/>
      <c r="JAY65" s="10"/>
      <c r="JAZ65" s="10"/>
      <c r="JBA65" s="10"/>
      <c r="JBB65" s="10"/>
      <c r="JBC65" s="10"/>
      <c r="JBD65" s="10"/>
      <c r="JBE65" s="10"/>
      <c r="JBF65" s="10"/>
      <c r="JBG65" s="10"/>
      <c r="JBH65" s="10"/>
      <c r="JBI65" s="10"/>
      <c r="JBJ65" s="10"/>
      <c r="JBK65" s="10"/>
      <c r="JBL65" s="10"/>
      <c r="JBM65" s="10"/>
      <c r="JBN65" s="10"/>
      <c r="JBO65" s="10"/>
      <c r="JBP65" s="10"/>
      <c r="JBQ65" s="10"/>
      <c r="JBR65" s="10"/>
      <c r="JBS65" s="10"/>
      <c r="JBT65" s="10"/>
      <c r="JBU65" s="10"/>
      <c r="JBV65" s="10"/>
      <c r="JBW65" s="10"/>
      <c r="JBX65" s="10"/>
      <c r="JBY65" s="10"/>
      <c r="JBZ65" s="10"/>
      <c r="JCA65" s="10"/>
      <c r="JCB65" s="10"/>
      <c r="JCC65" s="10"/>
      <c r="JCD65" s="10"/>
      <c r="JCE65" s="10"/>
      <c r="JCF65" s="10"/>
      <c r="JCG65" s="10"/>
      <c r="JCH65" s="10"/>
      <c r="JCI65" s="10"/>
      <c r="JCJ65" s="10"/>
      <c r="JCK65" s="10"/>
      <c r="JCL65" s="10"/>
      <c r="JCM65" s="10"/>
      <c r="JCN65" s="10"/>
      <c r="JCO65" s="10"/>
      <c r="JCP65" s="10"/>
      <c r="JCQ65" s="10"/>
      <c r="JCR65" s="10"/>
      <c r="JCS65" s="10"/>
      <c r="JCT65" s="10"/>
      <c r="JCU65" s="10"/>
      <c r="JCV65" s="10"/>
      <c r="JCW65" s="10"/>
      <c r="JCX65" s="10"/>
      <c r="JCY65" s="10"/>
      <c r="JCZ65" s="10"/>
      <c r="JDA65" s="10"/>
      <c r="JDB65" s="10"/>
      <c r="JDC65" s="10"/>
      <c r="JDD65" s="10"/>
      <c r="JDE65" s="10"/>
      <c r="JDF65" s="10"/>
      <c r="JDG65" s="10"/>
      <c r="JDH65" s="10"/>
      <c r="JDI65" s="10"/>
      <c r="JDJ65" s="10"/>
      <c r="JDK65" s="10"/>
      <c r="JDL65" s="10"/>
      <c r="JDM65" s="10"/>
      <c r="JDN65" s="10"/>
      <c r="JDO65" s="10"/>
      <c r="JDP65" s="10"/>
      <c r="JDQ65" s="10"/>
      <c r="JDR65" s="10"/>
      <c r="JDS65" s="10"/>
      <c r="JDT65" s="10"/>
      <c r="JDU65" s="10"/>
      <c r="JDV65" s="10"/>
      <c r="JDW65" s="10"/>
      <c r="JDX65" s="10"/>
      <c r="JDY65" s="10"/>
      <c r="JDZ65" s="10"/>
      <c r="JEA65" s="10"/>
      <c r="JEB65" s="10"/>
      <c r="JEC65" s="10"/>
      <c r="JED65" s="10"/>
      <c r="JEE65" s="10"/>
      <c r="JEF65" s="10"/>
      <c r="JEG65" s="10"/>
      <c r="JEH65" s="10"/>
      <c r="JEI65" s="10"/>
      <c r="JEJ65" s="10"/>
      <c r="JEK65" s="10"/>
      <c r="JEL65" s="10"/>
      <c r="JEM65" s="10"/>
      <c r="JEN65" s="10"/>
      <c r="JEO65" s="10"/>
      <c r="JEP65" s="10"/>
      <c r="JEQ65" s="10"/>
      <c r="JER65" s="10"/>
      <c r="JES65" s="10"/>
      <c r="JET65" s="10"/>
      <c r="JEU65" s="10"/>
      <c r="JEV65" s="10"/>
      <c r="JEW65" s="10"/>
      <c r="JEX65" s="10"/>
      <c r="JEY65" s="10"/>
      <c r="JEZ65" s="10"/>
      <c r="JFA65" s="10"/>
      <c r="JFB65" s="10"/>
      <c r="JFC65" s="10"/>
      <c r="JFD65" s="10"/>
      <c r="JFE65" s="10"/>
      <c r="JFF65" s="10"/>
      <c r="JFG65" s="10"/>
      <c r="JFH65" s="10"/>
      <c r="JFI65" s="10"/>
      <c r="JFJ65" s="10"/>
      <c r="JFK65" s="10"/>
      <c r="JFL65" s="10"/>
      <c r="JFM65" s="10"/>
      <c r="JFN65" s="10"/>
      <c r="JFO65" s="10"/>
      <c r="JFP65" s="10"/>
      <c r="JFQ65" s="10"/>
      <c r="JFR65" s="10"/>
      <c r="JFS65" s="10"/>
      <c r="JFT65" s="10"/>
      <c r="JFU65" s="10"/>
      <c r="JFV65" s="10"/>
      <c r="JFW65" s="10"/>
      <c r="JFX65" s="10"/>
      <c r="JFY65" s="10"/>
      <c r="JFZ65" s="10"/>
      <c r="JGA65" s="10"/>
      <c r="JGB65" s="10"/>
      <c r="JGC65" s="10"/>
      <c r="JGD65" s="10"/>
      <c r="JGE65" s="10"/>
      <c r="JGF65" s="10"/>
      <c r="JGG65" s="10"/>
      <c r="JGH65" s="10"/>
      <c r="JGI65" s="10"/>
      <c r="JGJ65" s="10"/>
      <c r="JGK65" s="10"/>
      <c r="JGL65" s="10"/>
      <c r="JGM65" s="10"/>
      <c r="JGN65" s="10"/>
      <c r="JGO65" s="10"/>
      <c r="JGP65" s="10"/>
      <c r="JGQ65" s="10"/>
      <c r="JGR65" s="10"/>
      <c r="JGS65" s="10"/>
      <c r="JGT65" s="10"/>
      <c r="JGU65" s="10"/>
      <c r="JGV65" s="10"/>
      <c r="JGW65" s="10"/>
      <c r="JGX65" s="10"/>
      <c r="JGY65" s="10"/>
      <c r="JGZ65" s="10"/>
      <c r="JHA65" s="10"/>
      <c r="JHB65" s="10"/>
      <c r="JHC65" s="10"/>
      <c r="JHD65" s="10"/>
      <c r="JHE65" s="10"/>
      <c r="JHF65" s="10"/>
      <c r="JHG65" s="10"/>
      <c r="JHH65" s="10"/>
      <c r="JHI65" s="10"/>
      <c r="JHJ65" s="10"/>
      <c r="JHK65" s="10"/>
      <c r="JHL65" s="10"/>
      <c r="JHM65" s="10"/>
      <c r="JHN65" s="10"/>
      <c r="JHO65" s="10"/>
      <c r="JHP65" s="10"/>
      <c r="JHQ65" s="10"/>
      <c r="JHR65" s="10"/>
      <c r="JHS65" s="10"/>
      <c r="JHT65" s="10"/>
      <c r="JHU65" s="10"/>
      <c r="JHV65" s="10"/>
      <c r="JHW65" s="10"/>
      <c r="JHX65" s="10"/>
      <c r="JHY65" s="10"/>
      <c r="JHZ65" s="10"/>
      <c r="JIA65" s="10"/>
      <c r="JIB65" s="10"/>
      <c r="JIC65" s="10"/>
      <c r="JID65" s="10"/>
      <c r="JIE65" s="10"/>
      <c r="JIF65" s="10"/>
      <c r="JIG65" s="10"/>
      <c r="JIH65" s="10"/>
      <c r="JII65" s="10"/>
      <c r="JIJ65" s="10"/>
      <c r="JIK65" s="10"/>
      <c r="JIL65" s="10"/>
      <c r="JIM65" s="10"/>
      <c r="JIN65" s="10"/>
      <c r="JIO65" s="10"/>
      <c r="JIP65" s="10"/>
      <c r="JIQ65" s="10"/>
      <c r="JIR65" s="10"/>
      <c r="JIS65" s="10"/>
      <c r="JIT65" s="10"/>
      <c r="JIU65" s="10"/>
      <c r="JIV65" s="10"/>
      <c r="JIW65" s="10"/>
      <c r="JIX65" s="10"/>
      <c r="JIY65" s="10"/>
      <c r="JIZ65" s="10"/>
      <c r="JJA65" s="10"/>
      <c r="JJB65" s="10"/>
      <c r="JJC65" s="10"/>
      <c r="JJD65" s="10"/>
      <c r="JJE65" s="10"/>
      <c r="JJF65" s="10"/>
      <c r="JJG65" s="10"/>
      <c r="JJH65" s="10"/>
      <c r="JJI65" s="10"/>
      <c r="JJJ65" s="10"/>
      <c r="JJK65" s="10"/>
      <c r="JJL65" s="10"/>
      <c r="JJM65" s="10"/>
      <c r="JJN65" s="10"/>
      <c r="JJO65" s="10"/>
      <c r="JJP65" s="10"/>
      <c r="JJQ65" s="10"/>
      <c r="JJR65" s="10"/>
      <c r="JJS65" s="10"/>
      <c r="JJT65" s="10"/>
      <c r="JJU65" s="10"/>
      <c r="JJV65" s="10"/>
      <c r="JJW65" s="10"/>
      <c r="JJX65" s="10"/>
      <c r="JJY65" s="10"/>
      <c r="JJZ65" s="10"/>
      <c r="JKA65" s="10"/>
      <c r="JKB65" s="10"/>
      <c r="JKC65" s="10"/>
      <c r="JKD65" s="10"/>
      <c r="JKE65" s="10"/>
      <c r="JKF65" s="10"/>
      <c r="JKG65" s="10"/>
      <c r="JKH65" s="10"/>
      <c r="JKI65" s="10"/>
      <c r="JKJ65" s="10"/>
      <c r="JKK65" s="10"/>
      <c r="JKL65" s="10"/>
      <c r="JKM65" s="10"/>
      <c r="JKN65" s="10"/>
      <c r="JKO65" s="10"/>
      <c r="JKP65" s="10"/>
      <c r="JKQ65" s="10"/>
      <c r="JKR65" s="10"/>
      <c r="JKS65" s="10"/>
      <c r="JKT65" s="10"/>
      <c r="JKU65" s="10"/>
      <c r="JKV65" s="10"/>
      <c r="JKW65" s="10"/>
      <c r="JKX65" s="10"/>
      <c r="JKY65" s="10"/>
      <c r="JKZ65" s="10"/>
      <c r="JLA65" s="10"/>
      <c r="JLB65" s="10"/>
      <c r="JLC65" s="10"/>
      <c r="JLD65" s="10"/>
      <c r="JLE65" s="10"/>
      <c r="JLF65" s="10"/>
      <c r="JLG65" s="10"/>
      <c r="JLH65" s="10"/>
      <c r="JLI65" s="10"/>
      <c r="JLJ65" s="10"/>
      <c r="JLK65" s="10"/>
      <c r="JLL65" s="10"/>
      <c r="JLM65" s="10"/>
      <c r="JLN65" s="10"/>
      <c r="JLO65" s="10"/>
      <c r="JLP65" s="10"/>
      <c r="JLQ65" s="10"/>
      <c r="JLR65" s="10"/>
      <c r="JLS65" s="10"/>
      <c r="JLT65" s="10"/>
      <c r="JLU65" s="10"/>
      <c r="JLV65" s="10"/>
      <c r="JLW65" s="10"/>
      <c r="JLX65" s="10"/>
      <c r="JLY65" s="10"/>
      <c r="JLZ65" s="10"/>
      <c r="JMA65" s="10"/>
      <c r="JMB65" s="10"/>
      <c r="JMC65" s="10"/>
      <c r="JMD65" s="10"/>
      <c r="JME65" s="10"/>
      <c r="JMF65" s="10"/>
      <c r="JMG65" s="10"/>
      <c r="JMH65" s="10"/>
      <c r="JMI65" s="10"/>
      <c r="JMJ65" s="10"/>
      <c r="JMK65" s="10"/>
      <c r="JML65" s="10"/>
      <c r="JMM65" s="10"/>
      <c r="JMN65" s="10"/>
      <c r="JMO65" s="10"/>
      <c r="JMP65" s="10"/>
      <c r="JMQ65" s="10"/>
      <c r="JMR65" s="10"/>
      <c r="JMS65" s="10"/>
      <c r="JMT65" s="10"/>
      <c r="JMU65" s="10"/>
      <c r="JMV65" s="10"/>
      <c r="JMW65" s="10"/>
      <c r="JMX65" s="10"/>
      <c r="JMY65" s="10"/>
      <c r="JMZ65" s="10"/>
      <c r="JNA65" s="10"/>
      <c r="JNB65" s="10"/>
      <c r="JNC65" s="10"/>
      <c r="JND65" s="10"/>
      <c r="JNE65" s="10"/>
      <c r="JNF65" s="10"/>
      <c r="JNG65" s="10"/>
      <c r="JNH65" s="10"/>
      <c r="JNI65" s="10"/>
      <c r="JNJ65" s="10"/>
      <c r="JNK65" s="10"/>
      <c r="JNL65" s="10"/>
      <c r="JNM65" s="10"/>
      <c r="JNN65" s="10"/>
      <c r="JNO65" s="10"/>
      <c r="JNP65" s="10"/>
      <c r="JNQ65" s="10"/>
      <c r="JNR65" s="10"/>
      <c r="JNS65" s="10"/>
      <c r="JNT65" s="10"/>
      <c r="JNU65" s="10"/>
      <c r="JNV65" s="10"/>
      <c r="JNW65" s="10"/>
      <c r="JNX65" s="10"/>
      <c r="JNY65" s="10"/>
      <c r="JNZ65" s="10"/>
      <c r="JOA65" s="10"/>
      <c r="JOB65" s="10"/>
      <c r="JOC65" s="10"/>
      <c r="JOD65" s="10"/>
      <c r="JOE65" s="10"/>
      <c r="JOF65" s="10"/>
      <c r="JOG65" s="10"/>
      <c r="JOH65" s="10"/>
      <c r="JOI65" s="10"/>
      <c r="JOJ65" s="10"/>
      <c r="JOK65" s="10"/>
      <c r="JOL65" s="10"/>
      <c r="JOM65" s="10"/>
      <c r="JON65" s="10"/>
      <c r="JOO65" s="10"/>
      <c r="JOP65" s="10"/>
      <c r="JOQ65" s="10"/>
      <c r="JOR65" s="10"/>
      <c r="JOS65" s="10"/>
      <c r="JOT65" s="10"/>
      <c r="JOU65" s="10"/>
      <c r="JOV65" s="10"/>
      <c r="JOW65" s="10"/>
      <c r="JOX65" s="10"/>
      <c r="JOY65" s="10"/>
      <c r="JOZ65" s="10"/>
      <c r="JPA65" s="10"/>
      <c r="JPB65" s="10"/>
      <c r="JPC65" s="10"/>
      <c r="JPD65" s="10"/>
      <c r="JPE65" s="10"/>
      <c r="JPF65" s="10"/>
      <c r="JPG65" s="10"/>
      <c r="JPH65" s="10"/>
      <c r="JPI65" s="10"/>
      <c r="JPJ65" s="10"/>
      <c r="JPK65" s="10"/>
      <c r="JPL65" s="10"/>
      <c r="JPM65" s="10"/>
      <c r="JPN65" s="10"/>
      <c r="JPO65" s="10"/>
      <c r="JPP65" s="10"/>
      <c r="JPQ65" s="10"/>
      <c r="JPR65" s="10"/>
      <c r="JPS65" s="10"/>
      <c r="JPT65" s="10"/>
      <c r="JPU65" s="10"/>
      <c r="JPV65" s="10"/>
      <c r="JPW65" s="10"/>
      <c r="JPX65" s="10"/>
      <c r="JPY65" s="10"/>
      <c r="JPZ65" s="10"/>
      <c r="JQA65" s="10"/>
      <c r="JQB65" s="10"/>
      <c r="JQC65" s="10"/>
      <c r="JQD65" s="10"/>
      <c r="JQE65" s="10"/>
      <c r="JQF65" s="10"/>
      <c r="JQG65" s="10"/>
      <c r="JQH65" s="10"/>
      <c r="JQI65" s="10"/>
      <c r="JQJ65" s="10"/>
      <c r="JQK65" s="10"/>
      <c r="JQL65" s="10"/>
      <c r="JQM65" s="10"/>
      <c r="JQN65" s="10"/>
      <c r="JQO65" s="10"/>
      <c r="JQP65" s="10"/>
      <c r="JQQ65" s="10"/>
      <c r="JQR65" s="10"/>
      <c r="JQS65" s="10"/>
      <c r="JQT65" s="10"/>
      <c r="JQU65" s="10"/>
      <c r="JQV65" s="10"/>
      <c r="JQW65" s="10"/>
      <c r="JQX65" s="10"/>
      <c r="JQY65" s="10"/>
      <c r="JQZ65" s="10"/>
      <c r="JRA65" s="10"/>
      <c r="JRB65" s="10"/>
      <c r="JRC65" s="10"/>
      <c r="JRD65" s="10"/>
      <c r="JRE65" s="10"/>
      <c r="JRF65" s="10"/>
      <c r="JRG65" s="10"/>
      <c r="JRH65" s="10"/>
      <c r="JRI65" s="10"/>
      <c r="JRJ65" s="10"/>
      <c r="JRK65" s="10"/>
      <c r="JRL65" s="10"/>
      <c r="JRM65" s="10"/>
      <c r="JRN65" s="10"/>
      <c r="JRO65" s="10"/>
      <c r="JRP65" s="10"/>
      <c r="JRQ65" s="10"/>
      <c r="JRR65" s="10"/>
      <c r="JRS65" s="10"/>
      <c r="JRT65" s="10"/>
      <c r="JRU65" s="10"/>
      <c r="JRV65" s="10"/>
      <c r="JRW65" s="10"/>
      <c r="JRX65" s="10"/>
      <c r="JRY65" s="10"/>
      <c r="JRZ65" s="10"/>
      <c r="JSA65" s="10"/>
      <c r="JSB65" s="10"/>
      <c r="JSC65" s="10"/>
      <c r="JSD65" s="10"/>
      <c r="JSE65" s="10"/>
      <c r="JSF65" s="10"/>
      <c r="JSG65" s="10"/>
      <c r="JSH65" s="10"/>
      <c r="JSI65" s="10"/>
      <c r="JSJ65" s="10"/>
      <c r="JSK65" s="10"/>
      <c r="JSL65" s="10"/>
      <c r="JSM65" s="10"/>
      <c r="JSN65" s="10"/>
      <c r="JSO65" s="10"/>
      <c r="JSP65" s="10"/>
      <c r="JSQ65" s="10"/>
      <c r="JSR65" s="10"/>
      <c r="JSS65" s="10"/>
      <c r="JST65" s="10"/>
      <c r="JSU65" s="10"/>
      <c r="JSV65" s="10"/>
      <c r="JSW65" s="10"/>
      <c r="JSX65" s="10"/>
      <c r="JSY65" s="10"/>
      <c r="JSZ65" s="10"/>
      <c r="JTA65" s="10"/>
      <c r="JTB65" s="10"/>
      <c r="JTC65" s="10"/>
      <c r="JTD65" s="10"/>
      <c r="JTE65" s="10"/>
      <c r="JTF65" s="10"/>
      <c r="JTG65" s="10"/>
      <c r="JTH65" s="10"/>
      <c r="JTI65" s="10"/>
      <c r="JTJ65" s="10"/>
      <c r="JTK65" s="10"/>
      <c r="JTL65" s="10"/>
      <c r="JTM65" s="10"/>
      <c r="JTN65" s="10"/>
      <c r="JTO65" s="10"/>
      <c r="JTP65" s="10"/>
      <c r="JTQ65" s="10"/>
      <c r="JTR65" s="10"/>
      <c r="JTS65" s="10"/>
      <c r="JTT65" s="10"/>
      <c r="JTU65" s="10"/>
      <c r="JTV65" s="10"/>
      <c r="JTW65" s="10"/>
      <c r="JTX65" s="10"/>
      <c r="JTY65" s="10"/>
      <c r="JTZ65" s="10"/>
      <c r="JUA65" s="10"/>
      <c r="JUB65" s="10"/>
      <c r="JUC65" s="10"/>
      <c r="JUD65" s="10"/>
      <c r="JUE65" s="10"/>
      <c r="JUF65" s="10"/>
      <c r="JUG65" s="10"/>
      <c r="JUH65" s="10"/>
      <c r="JUI65" s="10"/>
      <c r="JUJ65" s="10"/>
      <c r="JUK65" s="10"/>
      <c r="JUL65" s="10"/>
      <c r="JUM65" s="10"/>
      <c r="JUN65" s="10"/>
      <c r="JUO65" s="10"/>
      <c r="JUP65" s="10"/>
      <c r="JUQ65" s="10"/>
      <c r="JUR65" s="10"/>
      <c r="JUS65" s="10"/>
      <c r="JUT65" s="10"/>
      <c r="JUU65" s="10"/>
      <c r="JUV65" s="10"/>
      <c r="JUW65" s="10"/>
      <c r="JUX65" s="10"/>
      <c r="JUY65" s="10"/>
      <c r="JUZ65" s="10"/>
      <c r="JVA65" s="10"/>
      <c r="JVB65" s="10"/>
      <c r="JVC65" s="10"/>
      <c r="JVD65" s="10"/>
      <c r="JVE65" s="10"/>
      <c r="JVF65" s="10"/>
      <c r="JVG65" s="10"/>
      <c r="JVH65" s="10"/>
      <c r="JVI65" s="10"/>
      <c r="JVJ65" s="10"/>
      <c r="JVK65" s="10"/>
      <c r="JVL65" s="10"/>
      <c r="JVM65" s="10"/>
      <c r="JVN65" s="10"/>
      <c r="JVO65" s="10"/>
      <c r="JVP65" s="10"/>
      <c r="JVQ65" s="10"/>
      <c r="JVR65" s="10"/>
      <c r="JVS65" s="10"/>
      <c r="JVT65" s="10"/>
      <c r="JVU65" s="10"/>
      <c r="JVV65" s="10"/>
      <c r="JVW65" s="10"/>
      <c r="JVX65" s="10"/>
      <c r="JVY65" s="10"/>
      <c r="JVZ65" s="10"/>
      <c r="JWA65" s="10"/>
      <c r="JWB65" s="10"/>
      <c r="JWC65" s="10"/>
      <c r="JWD65" s="10"/>
      <c r="JWE65" s="10"/>
      <c r="JWF65" s="10"/>
      <c r="JWG65" s="10"/>
      <c r="JWH65" s="10"/>
      <c r="JWI65" s="10"/>
      <c r="JWJ65" s="10"/>
      <c r="JWK65" s="10"/>
      <c r="JWL65" s="10"/>
      <c r="JWM65" s="10"/>
      <c r="JWN65" s="10"/>
      <c r="JWO65" s="10"/>
      <c r="JWP65" s="10"/>
      <c r="JWQ65" s="10"/>
      <c r="JWR65" s="10"/>
      <c r="JWS65" s="10"/>
      <c r="JWT65" s="10"/>
      <c r="JWU65" s="10"/>
      <c r="JWV65" s="10"/>
      <c r="JWW65" s="10"/>
      <c r="JWX65" s="10"/>
      <c r="JWY65" s="10"/>
      <c r="JWZ65" s="10"/>
      <c r="JXA65" s="10"/>
      <c r="JXB65" s="10"/>
      <c r="JXC65" s="10"/>
      <c r="JXD65" s="10"/>
      <c r="JXE65" s="10"/>
      <c r="JXF65" s="10"/>
      <c r="JXG65" s="10"/>
      <c r="JXH65" s="10"/>
      <c r="JXI65" s="10"/>
      <c r="JXJ65" s="10"/>
      <c r="JXK65" s="10"/>
      <c r="JXL65" s="10"/>
      <c r="JXM65" s="10"/>
      <c r="JXN65" s="10"/>
      <c r="JXO65" s="10"/>
      <c r="JXP65" s="10"/>
      <c r="JXQ65" s="10"/>
      <c r="JXR65" s="10"/>
      <c r="JXS65" s="10"/>
      <c r="JXT65" s="10"/>
      <c r="JXU65" s="10"/>
      <c r="JXV65" s="10"/>
      <c r="JXW65" s="10"/>
      <c r="JXX65" s="10"/>
      <c r="JXY65" s="10"/>
      <c r="JXZ65" s="10"/>
      <c r="JYA65" s="10"/>
      <c r="JYB65" s="10"/>
      <c r="JYC65" s="10"/>
      <c r="JYD65" s="10"/>
      <c r="JYE65" s="10"/>
      <c r="JYF65" s="10"/>
      <c r="JYG65" s="10"/>
      <c r="JYH65" s="10"/>
      <c r="JYI65" s="10"/>
      <c r="JYJ65" s="10"/>
      <c r="JYK65" s="10"/>
      <c r="JYL65" s="10"/>
      <c r="JYM65" s="10"/>
      <c r="JYN65" s="10"/>
      <c r="JYO65" s="10"/>
      <c r="JYP65" s="10"/>
      <c r="JYQ65" s="10"/>
      <c r="JYR65" s="10"/>
      <c r="JYS65" s="10"/>
      <c r="JYT65" s="10"/>
      <c r="JYU65" s="10"/>
      <c r="JYV65" s="10"/>
      <c r="JYW65" s="10"/>
      <c r="JYX65" s="10"/>
      <c r="JYY65" s="10"/>
      <c r="JYZ65" s="10"/>
      <c r="JZA65" s="10"/>
      <c r="JZB65" s="10"/>
      <c r="JZC65" s="10"/>
      <c r="JZD65" s="10"/>
      <c r="JZE65" s="10"/>
      <c r="JZF65" s="10"/>
      <c r="JZG65" s="10"/>
      <c r="JZH65" s="10"/>
      <c r="JZI65" s="10"/>
      <c r="JZJ65" s="10"/>
      <c r="JZK65" s="10"/>
      <c r="JZL65" s="10"/>
      <c r="JZM65" s="10"/>
      <c r="JZN65" s="10"/>
      <c r="JZO65" s="10"/>
      <c r="JZP65" s="10"/>
      <c r="JZQ65" s="10"/>
      <c r="JZR65" s="10"/>
      <c r="JZS65" s="10"/>
      <c r="JZT65" s="10"/>
      <c r="JZU65" s="10"/>
      <c r="JZV65" s="10"/>
      <c r="JZW65" s="10"/>
      <c r="JZX65" s="10"/>
      <c r="JZY65" s="10"/>
      <c r="JZZ65" s="10"/>
      <c r="KAA65" s="10"/>
      <c r="KAB65" s="10"/>
      <c r="KAC65" s="10"/>
      <c r="KAD65" s="10"/>
      <c r="KAE65" s="10"/>
      <c r="KAF65" s="10"/>
      <c r="KAG65" s="10"/>
      <c r="KAH65" s="10"/>
      <c r="KAI65" s="10"/>
      <c r="KAJ65" s="10"/>
      <c r="KAK65" s="10"/>
      <c r="KAL65" s="10"/>
      <c r="KAM65" s="10"/>
      <c r="KAN65" s="10"/>
      <c r="KAO65" s="10"/>
      <c r="KAP65" s="10"/>
      <c r="KAQ65" s="10"/>
      <c r="KAR65" s="10"/>
      <c r="KAS65" s="10"/>
      <c r="KAT65" s="10"/>
      <c r="KAU65" s="10"/>
      <c r="KAV65" s="10"/>
      <c r="KAW65" s="10"/>
      <c r="KAX65" s="10"/>
      <c r="KAY65" s="10"/>
      <c r="KAZ65" s="10"/>
      <c r="KBA65" s="10"/>
      <c r="KBB65" s="10"/>
      <c r="KBC65" s="10"/>
      <c r="KBD65" s="10"/>
      <c r="KBE65" s="10"/>
      <c r="KBF65" s="10"/>
      <c r="KBG65" s="10"/>
      <c r="KBH65" s="10"/>
      <c r="KBI65" s="10"/>
      <c r="KBJ65" s="10"/>
      <c r="KBK65" s="10"/>
      <c r="KBL65" s="10"/>
      <c r="KBM65" s="10"/>
      <c r="KBN65" s="10"/>
      <c r="KBO65" s="10"/>
      <c r="KBP65" s="10"/>
      <c r="KBQ65" s="10"/>
      <c r="KBR65" s="10"/>
      <c r="KBS65" s="10"/>
      <c r="KBT65" s="10"/>
      <c r="KBU65" s="10"/>
      <c r="KBV65" s="10"/>
      <c r="KBW65" s="10"/>
      <c r="KBX65" s="10"/>
      <c r="KBY65" s="10"/>
      <c r="KBZ65" s="10"/>
      <c r="KCA65" s="10"/>
      <c r="KCB65" s="10"/>
      <c r="KCC65" s="10"/>
      <c r="KCD65" s="10"/>
      <c r="KCE65" s="10"/>
      <c r="KCF65" s="10"/>
      <c r="KCG65" s="10"/>
      <c r="KCH65" s="10"/>
      <c r="KCI65" s="10"/>
      <c r="KCJ65" s="10"/>
      <c r="KCK65" s="10"/>
      <c r="KCL65" s="10"/>
      <c r="KCM65" s="10"/>
      <c r="KCN65" s="10"/>
      <c r="KCO65" s="10"/>
      <c r="KCP65" s="10"/>
      <c r="KCQ65" s="10"/>
      <c r="KCR65" s="10"/>
      <c r="KCS65" s="10"/>
      <c r="KCT65" s="10"/>
      <c r="KCU65" s="10"/>
      <c r="KCV65" s="10"/>
      <c r="KCW65" s="10"/>
      <c r="KCX65" s="10"/>
      <c r="KCY65" s="10"/>
      <c r="KCZ65" s="10"/>
      <c r="KDA65" s="10"/>
      <c r="KDB65" s="10"/>
      <c r="KDC65" s="10"/>
      <c r="KDD65" s="10"/>
      <c r="KDE65" s="10"/>
      <c r="KDF65" s="10"/>
      <c r="KDG65" s="10"/>
      <c r="KDH65" s="10"/>
      <c r="KDI65" s="10"/>
      <c r="KDJ65" s="10"/>
      <c r="KDK65" s="10"/>
      <c r="KDL65" s="10"/>
      <c r="KDM65" s="10"/>
      <c r="KDN65" s="10"/>
      <c r="KDO65" s="10"/>
      <c r="KDP65" s="10"/>
      <c r="KDQ65" s="10"/>
      <c r="KDR65" s="10"/>
      <c r="KDS65" s="10"/>
      <c r="KDT65" s="10"/>
      <c r="KDU65" s="10"/>
      <c r="KDV65" s="10"/>
      <c r="KDW65" s="10"/>
      <c r="KDX65" s="10"/>
      <c r="KDY65" s="10"/>
      <c r="KDZ65" s="10"/>
      <c r="KEA65" s="10"/>
      <c r="KEB65" s="10"/>
      <c r="KEC65" s="10"/>
      <c r="KED65" s="10"/>
      <c r="KEE65" s="10"/>
      <c r="KEF65" s="10"/>
      <c r="KEG65" s="10"/>
      <c r="KEH65" s="10"/>
      <c r="KEI65" s="10"/>
      <c r="KEJ65" s="10"/>
      <c r="KEK65" s="10"/>
      <c r="KEL65" s="10"/>
      <c r="KEM65" s="10"/>
      <c r="KEN65" s="10"/>
      <c r="KEO65" s="10"/>
      <c r="KEP65" s="10"/>
      <c r="KEQ65" s="10"/>
      <c r="KER65" s="10"/>
      <c r="KES65" s="10"/>
      <c r="KET65" s="10"/>
      <c r="KEU65" s="10"/>
      <c r="KEV65" s="10"/>
      <c r="KEW65" s="10"/>
      <c r="KEX65" s="10"/>
      <c r="KEY65" s="10"/>
      <c r="KEZ65" s="10"/>
      <c r="KFA65" s="10"/>
      <c r="KFB65" s="10"/>
      <c r="KFC65" s="10"/>
      <c r="KFD65" s="10"/>
      <c r="KFE65" s="10"/>
      <c r="KFF65" s="10"/>
      <c r="KFG65" s="10"/>
      <c r="KFH65" s="10"/>
      <c r="KFI65" s="10"/>
      <c r="KFJ65" s="10"/>
      <c r="KFK65" s="10"/>
      <c r="KFL65" s="10"/>
      <c r="KFM65" s="10"/>
      <c r="KFN65" s="10"/>
      <c r="KFO65" s="10"/>
      <c r="KFP65" s="10"/>
      <c r="KFQ65" s="10"/>
      <c r="KFR65" s="10"/>
      <c r="KFS65" s="10"/>
      <c r="KFT65" s="10"/>
      <c r="KFU65" s="10"/>
      <c r="KFV65" s="10"/>
      <c r="KFW65" s="10"/>
      <c r="KFX65" s="10"/>
      <c r="KFY65" s="10"/>
      <c r="KFZ65" s="10"/>
      <c r="KGA65" s="10"/>
      <c r="KGB65" s="10"/>
      <c r="KGC65" s="10"/>
      <c r="KGD65" s="10"/>
      <c r="KGE65" s="10"/>
      <c r="KGF65" s="10"/>
      <c r="KGG65" s="10"/>
      <c r="KGH65" s="10"/>
      <c r="KGI65" s="10"/>
      <c r="KGJ65" s="10"/>
      <c r="KGK65" s="10"/>
      <c r="KGL65" s="10"/>
      <c r="KGM65" s="10"/>
      <c r="KGN65" s="10"/>
      <c r="KGO65" s="10"/>
      <c r="KGP65" s="10"/>
      <c r="KGQ65" s="10"/>
      <c r="KGR65" s="10"/>
      <c r="KGS65" s="10"/>
      <c r="KGT65" s="10"/>
      <c r="KGU65" s="10"/>
      <c r="KGV65" s="10"/>
      <c r="KGW65" s="10"/>
      <c r="KGX65" s="10"/>
      <c r="KGY65" s="10"/>
      <c r="KGZ65" s="10"/>
      <c r="KHA65" s="10"/>
      <c r="KHB65" s="10"/>
      <c r="KHC65" s="10"/>
      <c r="KHD65" s="10"/>
      <c r="KHE65" s="10"/>
      <c r="KHF65" s="10"/>
      <c r="KHG65" s="10"/>
      <c r="KHH65" s="10"/>
      <c r="KHI65" s="10"/>
      <c r="KHJ65" s="10"/>
      <c r="KHK65" s="10"/>
      <c r="KHL65" s="10"/>
      <c r="KHM65" s="10"/>
      <c r="KHN65" s="10"/>
      <c r="KHO65" s="10"/>
      <c r="KHP65" s="10"/>
      <c r="KHQ65" s="10"/>
      <c r="KHR65" s="10"/>
      <c r="KHS65" s="10"/>
      <c r="KHT65" s="10"/>
      <c r="KHU65" s="10"/>
      <c r="KHV65" s="10"/>
      <c r="KHW65" s="10"/>
      <c r="KHX65" s="10"/>
      <c r="KHY65" s="10"/>
      <c r="KHZ65" s="10"/>
      <c r="KIA65" s="10"/>
      <c r="KIB65" s="10"/>
      <c r="KIC65" s="10"/>
      <c r="KID65" s="10"/>
      <c r="KIE65" s="10"/>
      <c r="KIF65" s="10"/>
      <c r="KIG65" s="10"/>
      <c r="KIH65" s="10"/>
      <c r="KII65" s="10"/>
      <c r="KIJ65" s="10"/>
      <c r="KIK65" s="10"/>
      <c r="KIL65" s="10"/>
      <c r="KIM65" s="10"/>
      <c r="KIN65" s="10"/>
      <c r="KIO65" s="10"/>
      <c r="KIP65" s="10"/>
      <c r="KIQ65" s="10"/>
      <c r="KIR65" s="10"/>
      <c r="KIS65" s="10"/>
      <c r="KIT65" s="10"/>
      <c r="KIU65" s="10"/>
      <c r="KIV65" s="10"/>
      <c r="KIW65" s="10"/>
      <c r="KIX65" s="10"/>
      <c r="KIY65" s="10"/>
      <c r="KIZ65" s="10"/>
      <c r="KJA65" s="10"/>
      <c r="KJB65" s="10"/>
      <c r="KJC65" s="10"/>
      <c r="KJD65" s="10"/>
      <c r="KJE65" s="10"/>
      <c r="KJF65" s="10"/>
      <c r="KJG65" s="10"/>
      <c r="KJH65" s="10"/>
      <c r="KJI65" s="10"/>
      <c r="KJJ65" s="10"/>
      <c r="KJK65" s="10"/>
      <c r="KJL65" s="10"/>
      <c r="KJM65" s="10"/>
      <c r="KJN65" s="10"/>
      <c r="KJO65" s="10"/>
      <c r="KJP65" s="10"/>
      <c r="KJQ65" s="10"/>
      <c r="KJR65" s="10"/>
      <c r="KJS65" s="10"/>
      <c r="KJT65" s="10"/>
      <c r="KJU65" s="10"/>
      <c r="KJV65" s="10"/>
      <c r="KJW65" s="10"/>
      <c r="KJX65" s="10"/>
      <c r="KJY65" s="10"/>
      <c r="KJZ65" s="10"/>
      <c r="KKA65" s="10"/>
      <c r="KKB65" s="10"/>
      <c r="KKC65" s="10"/>
      <c r="KKD65" s="10"/>
      <c r="KKE65" s="10"/>
      <c r="KKF65" s="10"/>
      <c r="KKG65" s="10"/>
      <c r="KKH65" s="10"/>
      <c r="KKI65" s="10"/>
      <c r="KKJ65" s="10"/>
      <c r="KKK65" s="10"/>
      <c r="KKL65" s="10"/>
      <c r="KKM65" s="10"/>
      <c r="KKN65" s="10"/>
      <c r="KKO65" s="10"/>
      <c r="KKP65" s="10"/>
      <c r="KKQ65" s="10"/>
      <c r="KKR65" s="10"/>
      <c r="KKS65" s="10"/>
      <c r="KKT65" s="10"/>
      <c r="KKU65" s="10"/>
      <c r="KKV65" s="10"/>
      <c r="KKW65" s="10"/>
      <c r="KKX65" s="10"/>
      <c r="KKY65" s="10"/>
      <c r="KKZ65" s="10"/>
      <c r="KLA65" s="10"/>
      <c r="KLB65" s="10"/>
      <c r="KLC65" s="10"/>
      <c r="KLD65" s="10"/>
      <c r="KLE65" s="10"/>
      <c r="KLF65" s="10"/>
      <c r="KLG65" s="10"/>
      <c r="KLH65" s="10"/>
      <c r="KLI65" s="10"/>
      <c r="KLJ65" s="10"/>
      <c r="KLK65" s="10"/>
      <c r="KLL65" s="10"/>
      <c r="KLM65" s="10"/>
      <c r="KLN65" s="10"/>
      <c r="KLO65" s="10"/>
      <c r="KLP65" s="10"/>
      <c r="KLQ65" s="10"/>
      <c r="KLR65" s="10"/>
      <c r="KLS65" s="10"/>
      <c r="KLT65" s="10"/>
      <c r="KLU65" s="10"/>
      <c r="KLV65" s="10"/>
      <c r="KLW65" s="10"/>
      <c r="KLX65" s="10"/>
      <c r="KLY65" s="10"/>
      <c r="KLZ65" s="10"/>
      <c r="KMA65" s="10"/>
      <c r="KMB65" s="10"/>
      <c r="KMC65" s="10"/>
      <c r="KMD65" s="10"/>
      <c r="KME65" s="10"/>
      <c r="KMF65" s="10"/>
      <c r="KMG65" s="10"/>
      <c r="KMH65" s="10"/>
      <c r="KMI65" s="10"/>
      <c r="KMJ65" s="10"/>
      <c r="KMK65" s="10"/>
      <c r="KML65" s="10"/>
      <c r="KMM65" s="10"/>
      <c r="KMN65" s="10"/>
      <c r="KMO65" s="10"/>
      <c r="KMP65" s="10"/>
      <c r="KMQ65" s="10"/>
      <c r="KMR65" s="10"/>
      <c r="KMS65" s="10"/>
      <c r="KMT65" s="10"/>
      <c r="KMU65" s="10"/>
      <c r="KMV65" s="10"/>
      <c r="KMW65" s="10"/>
      <c r="KMX65" s="10"/>
      <c r="KMY65" s="10"/>
      <c r="KMZ65" s="10"/>
      <c r="KNA65" s="10"/>
      <c r="KNB65" s="10"/>
      <c r="KNC65" s="10"/>
      <c r="KND65" s="10"/>
      <c r="KNE65" s="10"/>
      <c r="KNF65" s="10"/>
      <c r="KNG65" s="10"/>
      <c r="KNH65" s="10"/>
      <c r="KNI65" s="10"/>
      <c r="KNJ65" s="10"/>
      <c r="KNK65" s="10"/>
      <c r="KNL65" s="10"/>
      <c r="KNM65" s="10"/>
      <c r="KNN65" s="10"/>
      <c r="KNO65" s="10"/>
      <c r="KNP65" s="10"/>
      <c r="KNQ65" s="10"/>
      <c r="KNR65" s="10"/>
      <c r="KNS65" s="10"/>
      <c r="KNT65" s="10"/>
      <c r="KNU65" s="10"/>
      <c r="KNV65" s="10"/>
      <c r="KNW65" s="10"/>
      <c r="KNX65" s="10"/>
      <c r="KNY65" s="10"/>
      <c r="KNZ65" s="10"/>
      <c r="KOA65" s="10"/>
      <c r="KOB65" s="10"/>
      <c r="KOC65" s="10"/>
      <c r="KOD65" s="10"/>
      <c r="KOE65" s="10"/>
      <c r="KOF65" s="10"/>
      <c r="KOG65" s="10"/>
      <c r="KOH65" s="10"/>
      <c r="KOI65" s="10"/>
      <c r="KOJ65" s="10"/>
      <c r="KOK65" s="10"/>
      <c r="KOL65" s="10"/>
      <c r="KOM65" s="10"/>
      <c r="KON65" s="10"/>
      <c r="KOO65" s="10"/>
      <c r="KOP65" s="10"/>
      <c r="KOQ65" s="10"/>
      <c r="KOR65" s="10"/>
      <c r="KOS65" s="10"/>
      <c r="KOT65" s="10"/>
      <c r="KOU65" s="10"/>
      <c r="KOV65" s="10"/>
      <c r="KOW65" s="10"/>
      <c r="KOX65" s="10"/>
      <c r="KOY65" s="10"/>
      <c r="KOZ65" s="10"/>
      <c r="KPA65" s="10"/>
      <c r="KPB65" s="10"/>
      <c r="KPC65" s="10"/>
      <c r="KPD65" s="10"/>
      <c r="KPE65" s="10"/>
      <c r="KPF65" s="10"/>
      <c r="KPG65" s="10"/>
      <c r="KPH65" s="10"/>
      <c r="KPI65" s="10"/>
      <c r="KPJ65" s="10"/>
      <c r="KPK65" s="10"/>
      <c r="KPL65" s="10"/>
      <c r="KPM65" s="10"/>
      <c r="KPN65" s="10"/>
      <c r="KPO65" s="10"/>
      <c r="KPP65" s="10"/>
      <c r="KPQ65" s="10"/>
      <c r="KPR65" s="10"/>
      <c r="KPS65" s="10"/>
      <c r="KPT65" s="10"/>
      <c r="KPU65" s="10"/>
      <c r="KPV65" s="10"/>
      <c r="KPW65" s="10"/>
      <c r="KPX65" s="10"/>
      <c r="KPY65" s="10"/>
      <c r="KPZ65" s="10"/>
      <c r="KQA65" s="10"/>
      <c r="KQB65" s="10"/>
      <c r="KQC65" s="10"/>
      <c r="KQD65" s="10"/>
      <c r="KQE65" s="10"/>
      <c r="KQF65" s="10"/>
      <c r="KQG65" s="10"/>
      <c r="KQH65" s="10"/>
      <c r="KQI65" s="10"/>
      <c r="KQJ65" s="10"/>
      <c r="KQK65" s="10"/>
      <c r="KQL65" s="10"/>
      <c r="KQM65" s="10"/>
      <c r="KQN65" s="10"/>
      <c r="KQO65" s="10"/>
      <c r="KQP65" s="10"/>
      <c r="KQQ65" s="10"/>
      <c r="KQR65" s="10"/>
      <c r="KQS65" s="10"/>
      <c r="KQT65" s="10"/>
      <c r="KQU65" s="10"/>
      <c r="KQV65" s="10"/>
      <c r="KQW65" s="10"/>
      <c r="KQX65" s="10"/>
      <c r="KQY65" s="10"/>
      <c r="KQZ65" s="10"/>
      <c r="KRA65" s="10"/>
      <c r="KRB65" s="10"/>
      <c r="KRC65" s="10"/>
      <c r="KRD65" s="10"/>
      <c r="KRE65" s="10"/>
      <c r="KRF65" s="10"/>
      <c r="KRG65" s="10"/>
      <c r="KRH65" s="10"/>
      <c r="KRI65" s="10"/>
      <c r="KRJ65" s="10"/>
      <c r="KRK65" s="10"/>
      <c r="KRL65" s="10"/>
      <c r="KRM65" s="10"/>
      <c r="KRN65" s="10"/>
      <c r="KRO65" s="10"/>
      <c r="KRP65" s="10"/>
      <c r="KRQ65" s="10"/>
      <c r="KRR65" s="10"/>
      <c r="KRS65" s="10"/>
      <c r="KRT65" s="10"/>
      <c r="KRU65" s="10"/>
      <c r="KRV65" s="10"/>
      <c r="KRW65" s="10"/>
      <c r="KRX65" s="10"/>
      <c r="KRY65" s="10"/>
      <c r="KRZ65" s="10"/>
      <c r="KSA65" s="10"/>
      <c r="KSB65" s="10"/>
      <c r="KSC65" s="10"/>
      <c r="KSD65" s="10"/>
      <c r="KSE65" s="10"/>
      <c r="KSF65" s="10"/>
      <c r="KSG65" s="10"/>
      <c r="KSH65" s="10"/>
      <c r="KSI65" s="10"/>
      <c r="KSJ65" s="10"/>
      <c r="KSK65" s="10"/>
      <c r="KSL65" s="10"/>
      <c r="KSM65" s="10"/>
      <c r="KSN65" s="10"/>
      <c r="KSO65" s="10"/>
      <c r="KSP65" s="10"/>
      <c r="KSQ65" s="10"/>
      <c r="KSR65" s="10"/>
      <c r="KSS65" s="10"/>
      <c r="KST65" s="10"/>
      <c r="KSU65" s="10"/>
      <c r="KSV65" s="10"/>
      <c r="KSW65" s="10"/>
      <c r="KSX65" s="10"/>
      <c r="KSY65" s="10"/>
      <c r="KSZ65" s="10"/>
      <c r="KTA65" s="10"/>
      <c r="KTB65" s="10"/>
      <c r="KTC65" s="10"/>
      <c r="KTD65" s="10"/>
      <c r="KTE65" s="10"/>
      <c r="KTF65" s="10"/>
      <c r="KTG65" s="10"/>
      <c r="KTH65" s="10"/>
      <c r="KTI65" s="10"/>
      <c r="KTJ65" s="10"/>
      <c r="KTK65" s="10"/>
      <c r="KTL65" s="10"/>
      <c r="KTM65" s="10"/>
      <c r="KTN65" s="10"/>
      <c r="KTO65" s="10"/>
      <c r="KTP65" s="10"/>
      <c r="KTQ65" s="10"/>
      <c r="KTR65" s="10"/>
      <c r="KTS65" s="10"/>
      <c r="KTT65" s="10"/>
      <c r="KTU65" s="10"/>
      <c r="KTV65" s="10"/>
      <c r="KTW65" s="10"/>
      <c r="KTX65" s="10"/>
      <c r="KTY65" s="10"/>
      <c r="KTZ65" s="10"/>
      <c r="KUA65" s="10"/>
      <c r="KUB65" s="10"/>
      <c r="KUC65" s="10"/>
      <c r="KUD65" s="10"/>
      <c r="KUE65" s="10"/>
      <c r="KUF65" s="10"/>
      <c r="KUG65" s="10"/>
      <c r="KUH65" s="10"/>
      <c r="KUI65" s="10"/>
      <c r="KUJ65" s="10"/>
      <c r="KUK65" s="10"/>
      <c r="KUL65" s="10"/>
      <c r="KUM65" s="10"/>
      <c r="KUN65" s="10"/>
      <c r="KUO65" s="10"/>
      <c r="KUP65" s="10"/>
      <c r="KUQ65" s="10"/>
      <c r="KUR65" s="10"/>
      <c r="KUS65" s="10"/>
      <c r="KUT65" s="10"/>
      <c r="KUU65" s="10"/>
      <c r="KUV65" s="10"/>
      <c r="KUW65" s="10"/>
      <c r="KUX65" s="10"/>
      <c r="KUY65" s="10"/>
      <c r="KUZ65" s="10"/>
      <c r="KVA65" s="10"/>
      <c r="KVB65" s="10"/>
      <c r="KVC65" s="10"/>
      <c r="KVD65" s="10"/>
      <c r="KVE65" s="10"/>
      <c r="KVF65" s="10"/>
      <c r="KVG65" s="10"/>
      <c r="KVH65" s="10"/>
      <c r="KVI65" s="10"/>
      <c r="KVJ65" s="10"/>
      <c r="KVK65" s="10"/>
      <c r="KVL65" s="10"/>
      <c r="KVM65" s="10"/>
      <c r="KVN65" s="10"/>
      <c r="KVO65" s="10"/>
      <c r="KVP65" s="10"/>
      <c r="KVQ65" s="10"/>
      <c r="KVR65" s="10"/>
      <c r="KVS65" s="10"/>
      <c r="KVT65" s="10"/>
      <c r="KVU65" s="10"/>
      <c r="KVV65" s="10"/>
      <c r="KVW65" s="10"/>
      <c r="KVX65" s="10"/>
      <c r="KVY65" s="10"/>
      <c r="KVZ65" s="10"/>
      <c r="KWA65" s="10"/>
      <c r="KWB65" s="10"/>
      <c r="KWC65" s="10"/>
      <c r="KWD65" s="10"/>
      <c r="KWE65" s="10"/>
      <c r="KWF65" s="10"/>
      <c r="KWG65" s="10"/>
      <c r="KWH65" s="10"/>
      <c r="KWI65" s="10"/>
      <c r="KWJ65" s="10"/>
      <c r="KWK65" s="10"/>
      <c r="KWL65" s="10"/>
      <c r="KWM65" s="10"/>
      <c r="KWN65" s="10"/>
      <c r="KWO65" s="10"/>
      <c r="KWP65" s="10"/>
      <c r="KWQ65" s="10"/>
      <c r="KWR65" s="10"/>
      <c r="KWS65" s="10"/>
      <c r="KWT65" s="10"/>
      <c r="KWU65" s="10"/>
      <c r="KWV65" s="10"/>
      <c r="KWW65" s="10"/>
      <c r="KWX65" s="10"/>
      <c r="KWY65" s="10"/>
      <c r="KWZ65" s="10"/>
      <c r="KXA65" s="10"/>
      <c r="KXB65" s="10"/>
      <c r="KXC65" s="10"/>
      <c r="KXD65" s="10"/>
      <c r="KXE65" s="10"/>
      <c r="KXF65" s="10"/>
      <c r="KXG65" s="10"/>
      <c r="KXH65" s="10"/>
      <c r="KXI65" s="10"/>
      <c r="KXJ65" s="10"/>
      <c r="KXK65" s="10"/>
      <c r="KXL65" s="10"/>
      <c r="KXM65" s="10"/>
      <c r="KXN65" s="10"/>
      <c r="KXO65" s="10"/>
      <c r="KXP65" s="10"/>
      <c r="KXQ65" s="10"/>
      <c r="KXR65" s="10"/>
      <c r="KXS65" s="10"/>
      <c r="KXT65" s="10"/>
      <c r="KXU65" s="10"/>
      <c r="KXV65" s="10"/>
      <c r="KXW65" s="10"/>
      <c r="KXX65" s="10"/>
      <c r="KXY65" s="10"/>
      <c r="KXZ65" s="10"/>
      <c r="KYA65" s="10"/>
      <c r="KYB65" s="10"/>
      <c r="KYC65" s="10"/>
      <c r="KYD65" s="10"/>
      <c r="KYE65" s="10"/>
      <c r="KYF65" s="10"/>
      <c r="KYG65" s="10"/>
      <c r="KYH65" s="10"/>
      <c r="KYI65" s="10"/>
      <c r="KYJ65" s="10"/>
      <c r="KYK65" s="10"/>
      <c r="KYL65" s="10"/>
      <c r="KYM65" s="10"/>
      <c r="KYN65" s="10"/>
      <c r="KYO65" s="10"/>
      <c r="KYP65" s="10"/>
      <c r="KYQ65" s="10"/>
      <c r="KYR65" s="10"/>
      <c r="KYS65" s="10"/>
      <c r="KYT65" s="10"/>
      <c r="KYU65" s="10"/>
      <c r="KYV65" s="10"/>
      <c r="KYW65" s="10"/>
      <c r="KYX65" s="10"/>
      <c r="KYY65" s="10"/>
      <c r="KYZ65" s="10"/>
      <c r="KZA65" s="10"/>
      <c r="KZB65" s="10"/>
      <c r="KZC65" s="10"/>
      <c r="KZD65" s="10"/>
      <c r="KZE65" s="10"/>
      <c r="KZF65" s="10"/>
      <c r="KZG65" s="10"/>
      <c r="KZH65" s="10"/>
      <c r="KZI65" s="10"/>
      <c r="KZJ65" s="10"/>
      <c r="KZK65" s="10"/>
      <c r="KZL65" s="10"/>
      <c r="KZM65" s="10"/>
      <c r="KZN65" s="10"/>
      <c r="KZO65" s="10"/>
      <c r="KZP65" s="10"/>
      <c r="KZQ65" s="10"/>
      <c r="KZR65" s="10"/>
      <c r="KZS65" s="10"/>
      <c r="KZT65" s="10"/>
      <c r="KZU65" s="10"/>
      <c r="KZV65" s="10"/>
      <c r="KZW65" s="10"/>
      <c r="KZX65" s="10"/>
      <c r="KZY65" s="10"/>
      <c r="KZZ65" s="10"/>
      <c r="LAA65" s="10"/>
      <c r="LAB65" s="10"/>
      <c r="LAC65" s="10"/>
      <c r="LAD65" s="10"/>
      <c r="LAE65" s="10"/>
      <c r="LAF65" s="10"/>
      <c r="LAG65" s="10"/>
      <c r="LAH65" s="10"/>
      <c r="LAI65" s="10"/>
      <c r="LAJ65" s="10"/>
      <c r="LAK65" s="10"/>
      <c r="LAL65" s="10"/>
      <c r="LAM65" s="10"/>
      <c r="LAN65" s="10"/>
      <c r="LAO65" s="10"/>
      <c r="LAP65" s="10"/>
      <c r="LAQ65" s="10"/>
      <c r="LAR65" s="10"/>
      <c r="LAS65" s="10"/>
      <c r="LAT65" s="10"/>
      <c r="LAU65" s="10"/>
      <c r="LAV65" s="10"/>
      <c r="LAW65" s="10"/>
      <c r="LAX65" s="10"/>
      <c r="LAY65" s="10"/>
      <c r="LAZ65" s="10"/>
      <c r="LBA65" s="10"/>
      <c r="LBB65" s="10"/>
      <c r="LBC65" s="10"/>
      <c r="LBD65" s="10"/>
      <c r="LBE65" s="10"/>
      <c r="LBF65" s="10"/>
      <c r="LBG65" s="10"/>
      <c r="LBH65" s="10"/>
      <c r="LBI65" s="10"/>
      <c r="LBJ65" s="10"/>
      <c r="LBK65" s="10"/>
      <c r="LBL65" s="10"/>
      <c r="LBM65" s="10"/>
      <c r="LBN65" s="10"/>
      <c r="LBO65" s="10"/>
      <c r="LBP65" s="10"/>
      <c r="LBQ65" s="10"/>
      <c r="LBR65" s="10"/>
      <c r="LBS65" s="10"/>
      <c r="LBT65" s="10"/>
      <c r="LBU65" s="10"/>
      <c r="LBV65" s="10"/>
      <c r="LBW65" s="10"/>
      <c r="LBX65" s="10"/>
      <c r="LBY65" s="10"/>
      <c r="LBZ65" s="10"/>
      <c r="LCA65" s="10"/>
      <c r="LCB65" s="10"/>
      <c r="LCC65" s="10"/>
      <c r="LCD65" s="10"/>
      <c r="LCE65" s="10"/>
      <c r="LCF65" s="10"/>
      <c r="LCG65" s="10"/>
      <c r="LCH65" s="10"/>
      <c r="LCI65" s="10"/>
      <c r="LCJ65" s="10"/>
      <c r="LCK65" s="10"/>
      <c r="LCL65" s="10"/>
      <c r="LCM65" s="10"/>
      <c r="LCN65" s="10"/>
      <c r="LCO65" s="10"/>
      <c r="LCP65" s="10"/>
      <c r="LCQ65" s="10"/>
      <c r="LCR65" s="10"/>
      <c r="LCS65" s="10"/>
      <c r="LCT65" s="10"/>
      <c r="LCU65" s="10"/>
      <c r="LCV65" s="10"/>
      <c r="LCW65" s="10"/>
      <c r="LCX65" s="10"/>
      <c r="LCY65" s="10"/>
      <c r="LCZ65" s="10"/>
      <c r="LDA65" s="10"/>
      <c r="LDB65" s="10"/>
      <c r="LDC65" s="10"/>
      <c r="LDD65" s="10"/>
      <c r="LDE65" s="10"/>
      <c r="LDF65" s="10"/>
      <c r="LDG65" s="10"/>
      <c r="LDH65" s="10"/>
      <c r="LDI65" s="10"/>
      <c r="LDJ65" s="10"/>
      <c r="LDK65" s="10"/>
      <c r="LDL65" s="10"/>
      <c r="LDM65" s="10"/>
      <c r="LDN65" s="10"/>
      <c r="LDO65" s="10"/>
      <c r="LDP65" s="10"/>
      <c r="LDQ65" s="10"/>
      <c r="LDR65" s="10"/>
      <c r="LDS65" s="10"/>
      <c r="LDT65" s="10"/>
      <c r="LDU65" s="10"/>
      <c r="LDV65" s="10"/>
      <c r="LDW65" s="10"/>
      <c r="LDX65" s="10"/>
      <c r="LDY65" s="10"/>
      <c r="LDZ65" s="10"/>
      <c r="LEA65" s="10"/>
      <c r="LEB65" s="10"/>
      <c r="LEC65" s="10"/>
      <c r="LED65" s="10"/>
      <c r="LEE65" s="10"/>
      <c r="LEF65" s="10"/>
      <c r="LEG65" s="10"/>
      <c r="LEH65" s="10"/>
      <c r="LEI65" s="10"/>
      <c r="LEJ65" s="10"/>
      <c r="LEK65" s="10"/>
      <c r="LEL65" s="10"/>
      <c r="LEM65" s="10"/>
      <c r="LEN65" s="10"/>
      <c r="LEO65" s="10"/>
      <c r="LEP65" s="10"/>
      <c r="LEQ65" s="10"/>
      <c r="LER65" s="10"/>
      <c r="LES65" s="10"/>
      <c r="LET65" s="10"/>
      <c r="LEU65" s="10"/>
      <c r="LEV65" s="10"/>
      <c r="LEW65" s="10"/>
      <c r="LEX65" s="10"/>
      <c r="LEY65" s="10"/>
      <c r="LEZ65" s="10"/>
      <c r="LFA65" s="10"/>
      <c r="LFB65" s="10"/>
      <c r="LFC65" s="10"/>
      <c r="LFD65" s="10"/>
      <c r="LFE65" s="10"/>
      <c r="LFF65" s="10"/>
      <c r="LFG65" s="10"/>
      <c r="LFH65" s="10"/>
      <c r="LFI65" s="10"/>
      <c r="LFJ65" s="10"/>
      <c r="LFK65" s="10"/>
      <c r="LFL65" s="10"/>
      <c r="LFM65" s="10"/>
      <c r="LFN65" s="10"/>
      <c r="LFO65" s="10"/>
      <c r="LFP65" s="10"/>
      <c r="LFQ65" s="10"/>
      <c r="LFR65" s="10"/>
      <c r="LFS65" s="10"/>
      <c r="LFT65" s="10"/>
      <c r="LFU65" s="10"/>
      <c r="LFV65" s="10"/>
      <c r="LFW65" s="10"/>
      <c r="LFX65" s="10"/>
      <c r="LFY65" s="10"/>
      <c r="LFZ65" s="10"/>
      <c r="LGA65" s="10"/>
      <c r="LGB65" s="10"/>
      <c r="LGC65" s="10"/>
      <c r="LGD65" s="10"/>
      <c r="LGE65" s="10"/>
      <c r="LGF65" s="10"/>
      <c r="LGG65" s="10"/>
      <c r="LGH65" s="10"/>
      <c r="LGI65" s="10"/>
      <c r="LGJ65" s="10"/>
      <c r="LGK65" s="10"/>
      <c r="LGL65" s="10"/>
      <c r="LGM65" s="10"/>
      <c r="LGN65" s="10"/>
      <c r="LGO65" s="10"/>
      <c r="LGP65" s="10"/>
      <c r="LGQ65" s="10"/>
      <c r="LGR65" s="10"/>
      <c r="LGS65" s="10"/>
      <c r="LGT65" s="10"/>
      <c r="LGU65" s="10"/>
      <c r="LGV65" s="10"/>
      <c r="LGW65" s="10"/>
      <c r="LGX65" s="10"/>
      <c r="LGY65" s="10"/>
      <c r="LGZ65" s="10"/>
      <c r="LHA65" s="10"/>
      <c r="LHB65" s="10"/>
      <c r="LHC65" s="10"/>
      <c r="LHD65" s="10"/>
      <c r="LHE65" s="10"/>
      <c r="LHF65" s="10"/>
      <c r="LHG65" s="10"/>
      <c r="LHH65" s="10"/>
      <c r="LHI65" s="10"/>
      <c r="LHJ65" s="10"/>
      <c r="LHK65" s="10"/>
      <c r="LHL65" s="10"/>
      <c r="LHM65" s="10"/>
      <c r="LHN65" s="10"/>
      <c r="LHO65" s="10"/>
      <c r="LHP65" s="10"/>
      <c r="LHQ65" s="10"/>
      <c r="LHR65" s="10"/>
      <c r="LHS65" s="10"/>
      <c r="LHT65" s="10"/>
      <c r="LHU65" s="10"/>
      <c r="LHV65" s="10"/>
      <c r="LHW65" s="10"/>
      <c r="LHX65" s="10"/>
      <c r="LHY65" s="10"/>
      <c r="LHZ65" s="10"/>
      <c r="LIA65" s="10"/>
      <c r="LIB65" s="10"/>
      <c r="LIC65" s="10"/>
      <c r="LID65" s="10"/>
      <c r="LIE65" s="10"/>
      <c r="LIF65" s="10"/>
      <c r="LIG65" s="10"/>
      <c r="LIH65" s="10"/>
      <c r="LII65" s="10"/>
      <c r="LIJ65" s="10"/>
      <c r="LIK65" s="10"/>
      <c r="LIL65" s="10"/>
      <c r="LIM65" s="10"/>
      <c r="LIN65" s="10"/>
      <c r="LIO65" s="10"/>
      <c r="LIP65" s="10"/>
      <c r="LIQ65" s="10"/>
      <c r="LIR65" s="10"/>
      <c r="LIS65" s="10"/>
      <c r="LIT65" s="10"/>
      <c r="LIU65" s="10"/>
      <c r="LIV65" s="10"/>
      <c r="LIW65" s="10"/>
      <c r="LIX65" s="10"/>
      <c r="LIY65" s="10"/>
      <c r="LIZ65" s="10"/>
      <c r="LJA65" s="10"/>
      <c r="LJB65" s="10"/>
      <c r="LJC65" s="10"/>
      <c r="LJD65" s="10"/>
      <c r="LJE65" s="10"/>
      <c r="LJF65" s="10"/>
      <c r="LJG65" s="10"/>
      <c r="LJH65" s="10"/>
      <c r="LJI65" s="10"/>
      <c r="LJJ65" s="10"/>
      <c r="LJK65" s="10"/>
      <c r="LJL65" s="10"/>
      <c r="LJM65" s="10"/>
      <c r="LJN65" s="10"/>
      <c r="LJO65" s="10"/>
      <c r="LJP65" s="10"/>
      <c r="LJQ65" s="10"/>
      <c r="LJR65" s="10"/>
      <c r="LJS65" s="10"/>
      <c r="LJT65" s="10"/>
      <c r="LJU65" s="10"/>
      <c r="LJV65" s="10"/>
      <c r="LJW65" s="10"/>
      <c r="LJX65" s="10"/>
      <c r="LJY65" s="10"/>
      <c r="LJZ65" s="10"/>
      <c r="LKA65" s="10"/>
      <c r="LKB65" s="10"/>
      <c r="LKC65" s="10"/>
      <c r="LKD65" s="10"/>
      <c r="LKE65" s="10"/>
      <c r="LKF65" s="10"/>
      <c r="LKG65" s="10"/>
      <c r="LKH65" s="10"/>
      <c r="LKI65" s="10"/>
      <c r="LKJ65" s="10"/>
      <c r="LKK65" s="10"/>
      <c r="LKL65" s="10"/>
      <c r="LKM65" s="10"/>
      <c r="LKN65" s="10"/>
      <c r="LKO65" s="10"/>
      <c r="LKP65" s="10"/>
      <c r="LKQ65" s="10"/>
      <c r="LKR65" s="10"/>
      <c r="LKS65" s="10"/>
      <c r="LKT65" s="10"/>
      <c r="LKU65" s="10"/>
      <c r="LKV65" s="10"/>
      <c r="LKW65" s="10"/>
      <c r="LKX65" s="10"/>
      <c r="LKY65" s="10"/>
      <c r="LKZ65" s="10"/>
      <c r="LLA65" s="10"/>
      <c r="LLB65" s="10"/>
      <c r="LLC65" s="10"/>
      <c r="LLD65" s="10"/>
      <c r="LLE65" s="10"/>
      <c r="LLF65" s="10"/>
      <c r="LLG65" s="10"/>
      <c r="LLH65" s="10"/>
      <c r="LLI65" s="10"/>
      <c r="LLJ65" s="10"/>
      <c r="LLK65" s="10"/>
      <c r="LLL65" s="10"/>
      <c r="LLM65" s="10"/>
      <c r="LLN65" s="10"/>
      <c r="LLO65" s="10"/>
      <c r="LLP65" s="10"/>
      <c r="LLQ65" s="10"/>
      <c r="LLR65" s="10"/>
      <c r="LLS65" s="10"/>
      <c r="LLT65" s="10"/>
      <c r="LLU65" s="10"/>
      <c r="LLV65" s="10"/>
      <c r="LLW65" s="10"/>
      <c r="LLX65" s="10"/>
      <c r="LLY65" s="10"/>
      <c r="LLZ65" s="10"/>
      <c r="LMA65" s="10"/>
      <c r="LMB65" s="10"/>
      <c r="LMC65" s="10"/>
      <c r="LMD65" s="10"/>
      <c r="LME65" s="10"/>
      <c r="LMF65" s="10"/>
      <c r="LMG65" s="10"/>
      <c r="LMH65" s="10"/>
      <c r="LMI65" s="10"/>
      <c r="LMJ65" s="10"/>
      <c r="LMK65" s="10"/>
      <c r="LML65" s="10"/>
      <c r="LMM65" s="10"/>
      <c r="LMN65" s="10"/>
      <c r="LMO65" s="10"/>
      <c r="LMP65" s="10"/>
      <c r="LMQ65" s="10"/>
      <c r="LMR65" s="10"/>
      <c r="LMS65" s="10"/>
      <c r="LMT65" s="10"/>
      <c r="LMU65" s="10"/>
      <c r="LMV65" s="10"/>
      <c r="LMW65" s="10"/>
      <c r="LMX65" s="10"/>
      <c r="LMY65" s="10"/>
      <c r="LMZ65" s="10"/>
      <c r="LNA65" s="10"/>
      <c r="LNB65" s="10"/>
      <c r="LNC65" s="10"/>
      <c r="LND65" s="10"/>
      <c r="LNE65" s="10"/>
      <c r="LNF65" s="10"/>
      <c r="LNG65" s="10"/>
      <c r="LNH65" s="10"/>
      <c r="LNI65" s="10"/>
      <c r="LNJ65" s="10"/>
      <c r="LNK65" s="10"/>
      <c r="LNL65" s="10"/>
      <c r="LNM65" s="10"/>
      <c r="LNN65" s="10"/>
      <c r="LNO65" s="10"/>
      <c r="LNP65" s="10"/>
      <c r="LNQ65" s="10"/>
      <c r="LNR65" s="10"/>
      <c r="LNS65" s="10"/>
      <c r="LNT65" s="10"/>
      <c r="LNU65" s="10"/>
      <c r="LNV65" s="10"/>
      <c r="LNW65" s="10"/>
      <c r="LNX65" s="10"/>
      <c r="LNY65" s="10"/>
      <c r="LNZ65" s="10"/>
      <c r="LOA65" s="10"/>
      <c r="LOB65" s="10"/>
      <c r="LOC65" s="10"/>
      <c r="LOD65" s="10"/>
      <c r="LOE65" s="10"/>
      <c r="LOF65" s="10"/>
      <c r="LOG65" s="10"/>
      <c r="LOH65" s="10"/>
      <c r="LOI65" s="10"/>
      <c r="LOJ65" s="10"/>
      <c r="LOK65" s="10"/>
      <c r="LOL65" s="10"/>
      <c r="LOM65" s="10"/>
      <c r="LON65" s="10"/>
      <c r="LOO65" s="10"/>
      <c r="LOP65" s="10"/>
      <c r="LOQ65" s="10"/>
      <c r="LOR65" s="10"/>
      <c r="LOS65" s="10"/>
      <c r="LOT65" s="10"/>
      <c r="LOU65" s="10"/>
      <c r="LOV65" s="10"/>
      <c r="LOW65" s="10"/>
      <c r="LOX65" s="10"/>
      <c r="LOY65" s="10"/>
      <c r="LOZ65" s="10"/>
      <c r="LPA65" s="10"/>
      <c r="LPB65" s="10"/>
      <c r="LPC65" s="10"/>
      <c r="LPD65" s="10"/>
      <c r="LPE65" s="10"/>
      <c r="LPF65" s="10"/>
      <c r="LPG65" s="10"/>
      <c r="LPH65" s="10"/>
      <c r="LPI65" s="10"/>
      <c r="LPJ65" s="10"/>
      <c r="LPK65" s="10"/>
      <c r="LPL65" s="10"/>
      <c r="LPM65" s="10"/>
      <c r="LPN65" s="10"/>
      <c r="LPO65" s="10"/>
      <c r="LPP65" s="10"/>
      <c r="LPQ65" s="10"/>
      <c r="LPR65" s="10"/>
      <c r="LPS65" s="10"/>
      <c r="LPT65" s="10"/>
      <c r="LPU65" s="10"/>
      <c r="LPV65" s="10"/>
      <c r="LPW65" s="10"/>
      <c r="LPX65" s="10"/>
      <c r="LPY65" s="10"/>
      <c r="LPZ65" s="10"/>
      <c r="LQA65" s="10"/>
      <c r="LQB65" s="10"/>
      <c r="LQC65" s="10"/>
      <c r="LQD65" s="10"/>
      <c r="LQE65" s="10"/>
      <c r="LQF65" s="10"/>
      <c r="LQG65" s="10"/>
      <c r="LQH65" s="10"/>
      <c r="LQI65" s="10"/>
      <c r="LQJ65" s="10"/>
      <c r="LQK65" s="10"/>
      <c r="LQL65" s="10"/>
      <c r="LQM65" s="10"/>
      <c r="LQN65" s="10"/>
      <c r="LQO65" s="10"/>
      <c r="LQP65" s="10"/>
      <c r="LQQ65" s="10"/>
      <c r="LQR65" s="10"/>
      <c r="LQS65" s="10"/>
      <c r="LQT65" s="10"/>
      <c r="LQU65" s="10"/>
      <c r="LQV65" s="10"/>
      <c r="LQW65" s="10"/>
      <c r="LQX65" s="10"/>
      <c r="LQY65" s="10"/>
      <c r="LQZ65" s="10"/>
      <c r="LRA65" s="10"/>
      <c r="LRB65" s="10"/>
      <c r="LRC65" s="10"/>
      <c r="LRD65" s="10"/>
      <c r="LRE65" s="10"/>
      <c r="LRF65" s="10"/>
      <c r="LRG65" s="10"/>
      <c r="LRH65" s="10"/>
      <c r="LRI65" s="10"/>
      <c r="LRJ65" s="10"/>
      <c r="LRK65" s="10"/>
      <c r="LRL65" s="10"/>
      <c r="LRM65" s="10"/>
      <c r="LRN65" s="10"/>
      <c r="LRO65" s="10"/>
      <c r="LRP65" s="10"/>
      <c r="LRQ65" s="10"/>
      <c r="LRR65" s="10"/>
      <c r="LRS65" s="10"/>
      <c r="LRT65" s="10"/>
      <c r="LRU65" s="10"/>
      <c r="LRV65" s="10"/>
      <c r="LRW65" s="10"/>
      <c r="LRX65" s="10"/>
      <c r="LRY65" s="10"/>
      <c r="LRZ65" s="10"/>
      <c r="LSA65" s="10"/>
      <c r="LSB65" s="10"/>
      <c r="LSC65" s="10"/>
      <c r="LSD65" s="10"/>
      <c r="LSE65" s="10"/>
      <c r="LSF65" s="10"/>
      <c r="LSG65" s="10"/>
      <c r="LSH65" s="10"/>
      <c r="LSI65" s="10"/>
      <c r="LSJ65" s="10"/>
      <c r="LSK65" s="10"/>
      <c r="LSL65" s="10"/>
      <c r="LSM65" s="10"/>
      <c r="LSN65" s="10"/>
      <c r="LSO65" s="10"/>
      <c r="LSP65" s="10"/>
      <c r="LSQ65" s="10"/>
      <c r="LSR65" s="10"/>
      <c r="LSS65" s="10"/>
      <c r="LST65" s="10"/>
      <c r="LSU65" s="10"/>
      <c r="LSV65" s="10"/>
      <c r="LSW65" s="10"/>
      <c r="LSX65" s="10"/>
      <c r="LSY65" s="10"/>
      <c r="LSZ65" s="10"/>
      <c r="LTA65" s="10"/>
      <c r="LTB65" s="10"/>
      <c r="LTC65" s="10"/>
      <c r="LTD65" s="10"/>
      <c r="LTE65" s="10"/>
      <c r="LTF65" s="10"/>
      <c r="LTG65" s="10"/>
      <c r="LTH65" s="10"/>
      <c r="LTI65" s="10"/>
      <c r="LTJ65" s="10"/>
      <c r="LTK65" s="10"/>
      <c r="LTL65" s="10"/>
      <c r="LTM65" s="10"/>
      <c r="LTN65" s="10"/>
      <c r="LTO65" s="10"/>
      <c r="LTP65" s="10"/>
      <c r="LTQ65" s="10"/>
      <c r="LTR65" s="10"/>
      <c r="LTS65" s="10"/>
      <c r="LTT65" s="10"/>
      <c r="LTU65" s="10"/>
      <c r="LTV65" s="10"/>
      <c r="LTW65" s="10"/>
      <c r="LTX65" s="10"/>
      <c r="LTY65" s="10"/>
      <c r="LTZ65" s="10"/>
      <c r="LUA65" s="10"/>
      <c r="LUB65" s="10"/>
      <c r="LUC65" s="10"/>
      <c r="LUD65" s="10"/>
      <c r="LUE65" s="10"/>
      <c r="LUF65" s="10"/>
      <c r="LUG65" s="10"/>
      <c r="LUH65" s="10"/>
      <c r="LUI65" s="10"/>
      <c r="LUJ65" s="10"/>
      <c r="LUK65" s="10"/>
      <c r="LUL65" s="10"/>
      <c r="LUM65" s="10"/>
      <c r="LUN65" s="10"/>
      <c r="LUO65" s="10"/>
      <c r="LUP65" s="10"/>
      <c r="LUQ65" s="10"/>
      <c r="LUR65" s="10"/>
      <c r="LUS65" s="10"/>
      <c r="LUT65" s="10"/>
      <c r="LUU65" s="10"/>
      <c r="LUV65" s="10"/>
      <c r="LUW65" s="10"/>
      <c r="LUX65" s="10"/>
      <c r="LUY65" s="10"/>
      <c r="LUZ65" s="10"/>
      <c r="LVA65" s="10"/>
      <c r="LVB65" s="10"/>
      <c r="LVC65" s="10"/>
      <c r="LVD65" s="10"/>
      <c r="LVE65" s="10"/>
      <c r="LVF65" s="10"/>
      <c r="LVG65" s="10"/>
      <c r="LVH65" s="10"/>
      <c r="LVI65" s="10"/>
      <c r="LVJ65" s="10"/>
      <c r="LVK65" s="10"/>
      <c r="LVL65" s="10"/>
      <c r="LVM65" s="10"/>
      <c r="LVN65" s="10"/>
      <c r="LVO65" s="10"/>
      <c r="LVP65" s="10"/>
      <c r="LVQ65" s="10"/>
      <c r="LVR65" s="10"/>
      <c r="LVS65" s="10"/>
      <c r="LVT65" s="10"/>
      <c r="LVU65" s="10"/>
      <c r="LVV65" s="10"/>
      <c r="LVW65" s="10"/>
      <c r="LVX65" s="10"/>
      <c r="LVY65" s="10"/>
      <c r="LVZ65" s="10"/>
      <c r="LWA65" s="10"/>
      <c r="LWB65" s="10"/>
      <c r="LWC65" s="10"/>
      <c r="LWD65" s="10"/>
      <c r="LWE65" s="10"/>
      <c r="LWF65" s="10"/>
      <c r="LWG65" s="10"/>
      <c r="LWH65" s="10"/>
      <c r="LWI65" s="10"/>
      <c r="LWJ65" s="10"/>
      <c r="LWK65" s="10"/>
      <c r="LWL65" s="10"/>
      <c r="LWM65" s="10"/>
      <c r="LWN65" s="10"/>
      <c r="LWO65" s="10"/>
      <c r="LWP65" s="10"/>
      <c r="LWQ65" s="10"/>
      <c r="LWR65" s="10"/>
      <c r="LWS65" s="10"/>
      <c r="LWT65" s="10"/>
      <c r="LWU65" s="10"/>
      <c r="LWV65" s="10"/>
      <c r="LWW65" s="10"/>
      <c r="LWX65" s="10"/>
      <c r="LWY65" s="10"/>
      <c r="LWZ65" s="10"/>
      <c r="LXA65" s="10"/>
      <c r="LXB65" s="10"/>
      <c r="LXC65" s="10"/>
      <c r="LXD65" s="10"/>
      <c r="LXE65" s="10"/>
      <c r="LXF65" s="10"/>
      <c r="LXG65" s="10"/>
      <c r="LXH65" s="10"/>
      <c r="LXI65" s="10"/>
      <c r="LXJ65" s="10"/>
      <c r="LXK65" s="10"/>
      <c r="LXL65" s="10"/>
      <c r="LXM65" s="10"/>
      <c r="LXN65" s="10"/>
      <c r="LXO65" s="10"/>
      <c r="LXP65" s="10"/>
      <c r="LXQ65" s="10"/>
      <c r="LXR65" s="10"/>
      <c r="LXS65" s="10"/>
      <c r="LXT65" s="10"/>
      <c r="LXU65" s="10"/>
      <c r="LXV65" s="10"/>
      <c r="LXW65" s="10"/>
      <c r="LXX65" s="10"/>
      <c r="LXY65" s="10"/>
      <c r="LXZ65" s="10"/>
      <c r="LYA65" s="10"/>
      <c r="LYB65" s="10"/>
      <c r="LYC65" s="10"/>
      <c r="LYD65" s="10"/>
      <c r="LYE65" s="10"/>
      <c r="LYF65" s="10"/>
      <c r="LYG65" s="10"/>
      <c r="LYH65" s="10"/>
      <c r="LYI65" s="10"/>
      <c r="LYJ65" s="10"/>
      <c r="LYK65" s="10"/>
      <c r="LYL65" s="10"/>
      <c r="LYM65" s="10"/>
      <c r="LYN65" s="10"/>
      <c r="LYO65" s="10"/>
      <c r="LYP65" s="10"/>
      <c r="LYQ65" s="10"/>
      <c r="LYR65" s="10"/>
      <c r="LYS65" s="10"/>
      <c r="LYT65" s="10"/>
      <c r="LYU65" s="10"/>
      <c r="LYV65" s="10"/>
      <c r="LYW65" s="10"/>
      <c r="LYX65" s="10"/>
      <c r="LYY65" s="10"/>
      <c r="LYZ65" s="10"/>
      <c r="LZA65" s="10"/>
      <c r="LZB65" s="10"/>
      <c r="LZC65" s="10"/>
      <c r="LZD65" s="10"/>
      <c r="LZE65" s="10"/>
      <c r="LZF65" s="10"/>
      <c r="LZG65" s="10"/>
      <c r="LZH65" s="10"/>
      <c r="LZI65" s="10"/>
      <c r="LZJ65" s="10"/>
      <c r="LZK65" s="10"/>
      <c r="LZL65" s="10"/>
      <c r="LZM65" s="10"/>
      <c r="LZN65" s="10"/>
      <c r="LZO65" s="10"/>
      <c r="LZP65" s="10"/>
      <c r="LZQ65" s="10"/>
      <c r="LZR65" s="10"/>
      <c r="LZS65" s="10"/>
      <c r="LZT65" s="10"/>
      <c r="LZU65" s="10"/>
      <c r="LZV65" s="10"/>
      <c r="LZW65" s="10"/>
      <c r="LZX65" s="10"/>
      <c r="LZY65" s="10"/>
      <c r="LZZ65" s="10"/>
      <c r="MAA65" s="10"/>
      <c r="MAB65" s="10"/>
      <c r="MAC65" s="10"/>
      <c r="MAD65" s="10"/>
      <c r="MAE65" s="10"/>
      <c r="MAF65" s="10"/>
      <c r="MAG65" s="10"/>
      <c r="MAH65" s="10"/>
      <c r="MAI65" s="10"/>
      <c r="MAJ65" s="10"/>
      <c r="MAK65" s="10"/>
      <c r="MAL65" s="10"/>
      <c r="MAM65" s="10"/>
      <c r="MAN65" s="10"/>
      <c r="MAO65" s="10"/>
      <c r="MAP65" s="10"/>
      <c r="MAQ65" s="10"/>
      <c r="MAR65" s="10"/>
      <c r="MAS65" s="10"/>
      <c r="MAT65" s="10"/>
      <c r="MAU65" s="10"/>
      <c r="MAV65" s="10"/>
      <c r="MAW65" s="10"/>
      <c r="MAX65" s="10"/>
      <c r="MAY65" s="10"/>
      <c r="MAZ65" s="10"/>
      <c r="MBA65" s="10"/>
      <c r="MBB65" s="10"/>
      <c r="MBC65" s="10"/>
      <c r="MBD65" s="10"/>
      <c r="MBE65" s="10"/>
      <c r="MBF65" s="10"/>
      <c r="MBG65" s="10"/>
      <c r="MBH65" s="10"/>
      <c r="MBI65" s="10"/>
      <c r="MBJ65" s="10"/>
      <c r="MBK65" s="10"/>
      <c r="MBL65" s="10"/>
      <c r="MBM65" s="10"/>
      <c r="MBN65" s="10"/>
      <c r="MBO65" s="10"/>
      <c r="MBP65" s="10"/>
      <c r="MBQ65" s="10"/>
      <c r="MBR65" s="10"/>
      <c r="MBS65" s="10"/>
      <c r="MBT65" s="10"/>
      <c r="MBU65" s="10"/>
      <c r="MBV65" s="10"/>
      <c r="MBW65" s="10"/>
      <c r="MBX65" s="10"/>
      <c r="MBY65" s="10"/>
      <c r="MBZ65" s="10"/>
      <c r="MCA65" s="10"/>
      <c r="MCB65" s="10"/>
      <c r="MCC65" s="10"/>
      <c r="MCD65" s="10"/>
      <c r="MCE65" s="10"/>
      <c r="MCF65" s="10"/>
      <c r="MCG65" s="10"/>
      <c r="MCH65" s="10"/>
      <c r="MCI65" s="10"/>
      <c r="MCJ65" s="10"/>
      <c r="MCK65" s="10"/>
      <c r="MCL65" s="10"/>
      <c r="MCM65" s="10"/>
      <c r="MCN65" s="10"/>
      <c r="MCO65" s="10"/>
      <c r="MCP65" s="10"/>
      <c r="MCQ65" s="10"/>
      <c r="MCR65" s="10"/>
      <c r="MCS65" s="10"/>
      <c r="MCT65" s="10"/>
      <c r="MCU65" s="10"/>
      <c r="MCV65" s="10"/>
      <c r="MCW65" s="10"/>
      <c r="MCX65" s="10"/>
      <c r="MCY65" s="10"/>
      <c r="MCZ65" s="10"/>
      <c r="MDA65" s="10"/>
      <c r="MDB65" s="10"/>
      <c r="MDC65" s="10"/>
      <c r="MDD65" s="10"/>
      <c r="MDE65" s="10"/>
      <c r="MDF65" s="10"/>
      <c r="MDG65" s="10"/>
      <c r="MDH65" s="10"/>
      <c r="MDI65" s="10"/>
      <c r="MDJ65" s="10"/>
      <c r="MDK65" s="10"/>
      <c r="MDL65" s="10"/>
      <c r="MDM65" s="10"/>
      <c r="MDN65" s="10"/>
      <c r="MDO65" s="10"/>
      <c r="MDP65" s="10"/>
      <c r="MDQ65" s="10"/>
      <c r="MDR65" s="10"/>
      <c r="MDS65" s="10"/>
      <c r="MDT65" s="10"/>
      <c r="MDU65" s="10"/>
      <c r="MDV65" s="10"/>
      <c r="MDW65" s="10"/>
      <c r="MDX65" s="10"/>
      <c r="MDY65" s="10"/>
      <c r="MDZ65" s="10"/>
      <c r="MEA65" s="10"/>
      <c r="MEB65" s="10"/>
      <c r="MEC65" s="10"/>
      <c r="MED65" s="10"/>
      <c r="MEE65" s="10"/>
      <c r="MEF65" s="10"/>
      <c r="MEG65" s="10"/>
      <c r="MEH65" s="10"/>
      <c r="MEI65" s="10"/>
      <c r="MEJ65" s="10"/>
      <c r="MEK65" s="10"/>
      <c r="MEL65" s="10"/>
      <c r="MEM65" s="10"/>
      <c r="MEN65" s="10"/>
      <c r="MEO65" s="10"/>
      <c r="MEP65" s="10"/>
      <c r="MEQ65" s="10"/>
      <c r="MER65" s="10"/>
      <c r="MES65" s="10"/>
      <c r="MET65" s="10"/>
      <c r="MEU65" s="10"/>
      <c r="MEV65" s="10"/>
      <c r="MEW65" s="10"/>
      <c r="MEX65" s="10"/>
      <c r="MEY65" s="10"/>
      <c r="MEZ65" s="10"/>
      <c r="MFA65" s="10"/>
      <c r="MFB65" s="10"/>
      <c r="MFC65" s="10"/>
      <c r="MFD65" s="10"/>
      <c r="MFE65" s="10"/>
      <c r="MFF65" s="10"/>
      <c r="MFG65" s="10"/>
      <c r="MFH65" s="10"/>
      <c r="MFI65" s="10"/>
      <c r="MFJ65" s="10"/>
      <c r="MFK65" s="10"/>
      <c r="MFL65" s="10"/>
      <c r="MFM65" s="10"/>
      <c r="MFN65" s="10"/>
      <c r="MFO65" s="10"/>
      <c r="MFP65" s="10"/>
      <c r="MFQ65" s="10"/>
      <c r="MFR65" s="10"/>
      <c r="MFS65" s="10"/>
      <c r="MFT65" s="10"/>
      <c r="MFU65" s="10"/>
      <c r="MFV65" s="10"/>
      <c r="MFW65" s="10"/>
      <c r="MFX65" s="10"/>
      <c r="MFY65" s="10"/>
      <c r="MFZ65" s="10"/>
      <c r="MGA65" s="10"/>
      <c r="MGB65" s="10"/>
      <c r="MGC65" s="10"/>
      <c r="MGD65" s="10"/>
      <c r="MGE65" s="10"/>
      <c r="MGF65" s="10"/>
      <c r="MGG65" s="10"/>
      <c r="MGH65" s="10"/>
      <c r="MGI65" s="10"/>
      <c r="MGJ65" s="10"/>
      <c r="MGK65" s="10"/>
      <c r="MGL65" s="10"/>
      <c r="MGM65" s="10"/>
      <c r="MGN65" s="10"/>
      <c r="MGO65" s="10"/>
      <c r="MGP65" s="10"/>
      <c r="MGQ65" s="10"/>
      <c r="MGR65" s="10"/>
      <c r="MGS65" s="10"/>
      <c r="MGT65" s="10"/>
      <c r="MGU65" s="10"/>
      <c r="MGV65" s="10"/>
      <c r="MGW65" s="10"/>
      <c r="MGX65" s="10"/>
      <c r="MGY65" s="10"/>
      <c r="MGZ65" s="10"/>
      <c r="MHA65" s="10"/>
      <c r="MHB65" s="10"/>
      <c r="MHC65" s="10"/>
      <c r="MHD65" s="10"/>
      <c r="MHE65" s="10"/>
      <c r="MHF65" s="10"/>
      <c r="MHG65" s="10"/>
      <c r="MHH65" s="10"/>
      <c r="MHI65" s="10"/>
      <c r="MHJ65" s="10"/>
      <c r="MHK65" s="10"/>
      <c r="MHL65" s="10"/>
      <c r="MHM65" s="10"/>
      <c r="MHN65" s="10"/>
      <c r="MHO65" s="10"/>
      <c r="MHP65" s="10"/>
      <c r="MHQ65" s="10"/>
      <c r="MHR65" s="10"/>
      <c r="MHS65" s="10"/>
      <c r="MHT65" s="10"/>
      <c r="MHU65" s="10"/>
      <c r="MHV65" s="10"/>
      <c r="MHW65" s="10"/>
      <c r="MHX65" s="10"/>
      <c r="MHY65" s="10"/>
      <c r="MHZ65" s="10"/>
      <c r="MIA65" s="10"/>
      <c r="MIB65" s="10"/>
      <c r="MIC65" s="10"/>
      <c r="MID65" s="10"/>
      <c r="MIE65" s="10"/>
      <c r="MIF65" s="10"/>
      <c r="MIG65" s="10"/>
      <c r="MIH65" s="10"/>
      <c r="MII65" s="10"/>
      <c r="MIJ65" s="10"/>
      <c r="MIK65" s="10"/>
      <c r="MIL65" s="10"/>
      <c r="MIM65" s="10"/>
      <c r="MIN65" s="10"/>
      <c r="MIO65" s="10"/>
      <c r="MIP65" s="10"/>
      <c r="MIQ65" s="10"/>
      <c r="MIR65" s="10"/>
      <c r="MIS65" s="10"/>
      <c r="MIT65" s="10"/>
      <c r="MIU65" s="10"/>
      <c r="MIV65" s="10"/>
      <c r="MIW65" s="10"/>
      <c r="MIX65" s="10"/>
      <c r="MIY65" s="10"/>
      <c r="MIZ65" s="10"/>
      <c r="MJA65" s="10"/>
      <c r="MJB65" s="10"/>
      <c r="MJC65" s="10"/>
      <c r="MJD65" s="10"/>
      <c r="MJE65" s="10"/>
      <c r="MJF65" s="10"/>
      <c r="MJG65" s="10"/>
      <c r="MJH65" s="10"/>
      <c r="MJI65" s="10"/>
      <c r="MJJ65" s="10"/>
      <c r="MJK65" s="10"/>
      <c r="MJL65" s="10"/>
      <c r="MJM65" s="10"/>
      <c r="MJN65" s="10"/>
      <c r="MJO65" s="10"/>
      <c r="MJP65" s="10"/>
      <c r="MJQ65" s="10"/>
      <c r="MJR65" s="10"/>
      <c r="MJS65" s="10"/>
      <c r="MJT65" s="10"/>
      <c r="MJU65" s="10"/>
      <c r="MJV65" s="10"/>
      <c r="MJW65" s="10"/>
      <c r="MJX65" s="10"/>
      <c r="MJY65" s="10"/>
      <c r="MJZ65" s="10"/>
      <c r="MKA65" s="10"/>
      <c r="MKB65" s="10"/>
      <c r="MKC65" s="10"/>
      <c r="MKD65" s="10"/>
      <c r="MKE65" s="10"/>
      <c r="MKF65" s="10"/>
      <c r="MKG65" s="10"/>
      <c r="MKH65" s="10"/>
      <c r="MKI65" s="10"/>
      <c r="MKJ65" s="10"/>
      <c r="MKK65" s="10"/>
      <c r="MKL65" s="10"/>
      <c r="MKM65" s="10"/>
      <c r="MKN65" s="10"/>
      <c r="MKO65" s="10"/>
      <c r="MKP65" s="10"/>
      <c r="MKQ65" s="10"/>
      <c r="MKR65" s="10"/>
      <c r="MKS65" s="10"/>
      <c r="MKT65" s="10"/>
      <c r="MKU65" s="10"/>
      <c r="MKV65" s="10"/>
      <c r="MKW65" s="10"/>
      <c r="MKX65" s="10"/>
      <c r="MKY65" s="10"/>
      <c r="MKZ65" s="10"/>
      <c r="MLA65" s="10"/>
      <c r="MLB65" s="10"/>
      <c r="MLC65" s="10"/>
      <c r="MLD65" s="10"/>
      <c r="MLE65" s="10"/>
      <c r="MLF65" s="10"/>
      <c r="MLG65" s="10"/>
      <c r="MLH65" s="10"/>
      <c r="MLI65" s="10"/>
      <c r="MLJ65" s="10"/>
      <c r="MLK65" s="10"/>
      <c r="MLL65" s="10"/>
      <c r="MLM65" s="10"/>
      <c r="MLN65" s="10"/>
      <c r="MLO65" s="10"/>
      <c r="MLP65" s="10"/>
      <c r="MLQ65" s="10"/>
      <c r="MLR65" s="10"/>
      <c r="MLS65" s="10"/>
      <c r="MLT65" s="10"/>
      <c r="MLU65" s="10"/>
      <c r="MLV65" s="10"/>
      <c r="MLW65" s="10"/>
      <c r="MLX65" s="10"/>
      <c r="MLY65" s="10"/>
      <c r="MLZ65" s="10"/>
      <c r="MMA65" s="10"/>
      <c r="MMB65" s="10"/>
      <c r="MMC65" s="10"/>
      <c r="MMD65" s="10"/>
      <c r="MME65" s="10"/>
      <c r="MMF65" s="10"/>
      <c r="MMG65" s="10"/>
      <c r="MMH65" s="10"/>
      <c r="MMI65" s="10"/>
      <c r="MMJ65" s="10"/>
      <c r="MMK65" s="10"/>
      <c r="MML65" s="10"/>
      <c r="MMM65" s="10"/>
      <c r="MMN65" s="10"/>
      <c r="MMO65" s="10"/>
      <c r="MMP65" s="10"/>
      <c r="MMQ65" s="10"/>
      <c r="MMR65" s="10"/>
      <c r="MMS65" s="10"/>
      <c r="MMT65" s="10"/>
      <c r="MMU65" s="10"/>
      <c r="MMV65" s="10"/>
      <c r="MMW65" s="10"/>
      <c r="MMX65" s="10"/>
      <c r="MMY65" s="10"/>
      <c r="MMZ65" s="10"/>
      <c r="MNA65" s="10"/>
      <c r="MNB65" s="10"/>
      <c r="MNC65" s="10"/>
      <c r="MND65" s="10"/>
      <c r="MNE65" s="10"/>
      <c r="MNF65" s="10"/>
      <c r="MNG65" s="10"/>
      <c r="MNH65" s="10"/>
      <c r="MNI65" s="10"/>
      <c r="MNJ65" s="10"/>
      <c r="MNK65" s="10"/>
      <c r="MNL65" s="10"/>
      <c r="MNM65" s="10"/>
      <c r="MNN65" s="10"/>
      <c r="MNO65" s="10"/>
      <c r="MNP65" s="10"/>
      <c r="MNQ65" s="10"/>
      <c r="MNR65" s="10"/>
      <c r="MNS65" s="10"/>
      <c r="MNT65" s="10"/>
      <c r="MNU65" s="10"/>
      <c r="MNV65" s="10"/>
      <c r="MNW65" s="10"/>
      <c r="MNX65" s="10"/>
      <c r="MNY65" s="10"/>
      <c r="MNZ65" s="10"/>
      <c r="MOA65" s="10"/>
      <c r="MOB65" s="10"/>
      <c r="MOC65" s="10"/>
      <c r="MOD65" s="10"/>
      <c r="MOE65" s="10"/>
      <c r="MOF65" s="10"/>
      <c r="MOG65" s="10"/>
      <c r="MOH65" s="10"/>
      <c r="MOI65" s="10"/>
      <c r="MOJ65" s="10"/>
      <c r="MOK65" s="10"/>
      <c r="MOL65" s="10"/>
      <c r="MOM65" s="10"/>
      <c r="MON65" s="10"/>
      <c r="MOO65" s="10"/>
      <c r="MOP65" s="10"/>
      <c r="MOQ65" s="10"/>
      <c r="MOR65" s="10"/>
      <c r="MOS65" s="10"/>
      <c r="MOT65" s="10"/>
      <c r="MOU65" s="10"/>
      <c r="MOV65" s="10"/>
      <c r="MOW65" s="10"/>
      <c r="MOX65" s="10"/>
      <c r="MOY65" s="10"/>
      <c r="MOZ65" s="10"/>
      <c r="MPA65" s="10"/>
      <c r="MPB65" s="10"/>
      <c r="MPC65" s="10"/>
      <c r="MPD65" s="10"/>
      <c r="MPE65" s="10"/>
      <c r="MPF65" s="10"/>
      <c r="MPG65" s="10"/>
      <c r="MPH65" s="10"/>
      <c r="MPI65" s="10"/>
      <c r="MPJ65" s="10"/>
      <c r="MPK65" s="10"/>
      <c r="MPL65" s="10"/>
      <c r="MPM65" s="10"/>
      <c r="MPN65" s="10"/>
      <c r="MPO65" s="10"/>
      <c r="MPP65" s="10"/>
      <c r="MPQ65" s="10"/>
      <c r="MPR65" s="10"/>
      <c r="MPS65" s="10"/>
      <c r="MPT65" s="10"/>
      <c r="MPU65" s="10"/>
      <c r="MPV65" s="10"/>
      <c r="MPW65" s="10"/>
      <c r="MPX65" s="10"/>
      <c r="MPY65" s="10"/>
      <c r="MPZ65" s="10"/>
      <c r="MQA65" s="10"/>
      <c r="MQB65" s="10"/>
      <c r="MQC65" s="10"/>
      <c r="MQD65" s="10"/>
      <c r="MQE65" s="10"/>
      <c r="MQF65" s="10"/>
      <c r="MQG65" s="10"/>
      <c r="MQH65" s="10"/>
      <c r="MQI65" s="10"/>
      <c r="MQJ65" s="10"/>
      <c r="MQK65" s="10"/>
      <c r="MQL65" s="10"/>
      <c r="MQM65" s="10"/>
      <c r="MQN65" s="10"/>
      <c r="MQO65" s="10"/>
      <c r="MQP65" s="10"/>
      <c r="MQQ65" s="10"/>
      <c r="MQR65" s="10"/>
      <c r="MQS65" s="10"/>
      <c r="MQT65" s="10"/>
      <c r="MQU65" s="10"/>
      <c r="MQV65" s="10"/>
      <c r="MQW65" s="10"/>
      <c r="MQX65" s="10"/>
      <c r="MQY65" s="10"/>
      <c r="MQZ65" s="10"/>
      <c r="MRA65" s="10"/>
      <c r="MRB65" s="10"/>
      <c r="MRC65" s="10"/>
      <c r="MRD65" s="10"/>
      <c r="MRE65" s="10"/>
      <c r="MRF65" s="10"/>
      <c r="MRG65" s="10"/>
      <c r="MRH65" s="10"/>
      <c r="MRI65" s="10"/>
      <c r="MRJ65" s="10"/>
      <c r="MRK65" s="10"/>
      <c r="MRL65" s="10"/>
      <c r="MRM65" s="10"/>
      <c r="MRN65" s="10"/>
      <c r="MRO65" s="10"/>
      <c r="MRP65" s="10"/>
      <c r="MRQ65" s="10"/>
      <c r="MRR65" s="10"/>
      <c r="MRS65" s="10"/>
      <c r="MRT65" s="10"/>
      <c r="MRU65" s="10"/>
      <c r="MRV65" s="10"/>
      <c r="MRW65" s="10"/>
      <c r="MRX65" s="10"/>
      <c r="MRY65" s="10"/>
      <c r="MRZ65" s="10"/>
      <c r="MSA65" s="10"/>
      <c r="MSB65" s="10"/>
      <c r="MSC65" s="10"/>
      <c r="MSD65" s="10"/>
      <c r="MSE65" s="10"/>
      <c r="MSF65" s="10"/>
      <c r="MSG65" s="10"/>
      <c r="MSH65" s="10"/>
      <c r="MSI65" s="10"/>
      <c r="MSJ65" s="10"/>
      <c r="MSK65" s="10"/>
      <c r="MSL65" s="10"/>
      <c r="MSM65" s="10"/>
      <c r="MSN65" s="10"/>
      <c r="MSO65" s="10"/>
      <c r="MSP65" s="10"/>
      <c r="MSQ65" s="10"/>
      <c r="MSR65" s="10"/>
      <c r="MSS65" s="10"/>
      <c r="MST65" s="10"/>
      <c r="MSU65" s="10"/>
      <c r="MSV65" s="10"/>
      <c r="MSW65" s="10"/>
      <c r="MSX65" s="10"/>
      <c r="MSY65" s="10"/>
      <c r="MSZ65" s="10"/>
      <c r="MTA65" s="10"/>
      <c r="MTB65" s="10"/>
      <c r="MTC65" s="10"/>
      <c r="MTD65" s="10"/>
      <c r="MTE65" s="10"/>
      <c r="MTF65" s="10"/>
      <c r="MTG65" s="10"/>
      <c r="MTH65" s="10"/>
      <c r="MTI65" s="10"/>
      <c r="MTJ65" s="10"/>
      <c r="MTK65" s="10"/>
      <c r="MTL65" s="10"/>
      <c r="MTM65" s="10"/>
      <c r="MTN65" s="10"/>
      <c r="MTO65" s="10"/>
      <c r="MTP65" s="10"/>
      <c r="MTQ65" s="10"/>
      <c r="MTR65" s="10"/>
      <c r="MTS65" s="10"/>
      <c r="MTT65" s="10"/>
      <c r="MTU65" s="10"/>
      <c r="MTV65" s="10"/>
      <c r="MTW65" s="10"/>
      <c r="MTX65" s="10"/>
      <c r="MTY65" s="10"/>
      <c r="MTZ65" s="10"/>
      <c r="MUA65" s="10"/>
      <c r="MUB65" s="10"/>
      <c r="MUC65" s="10"/>
      <c r="MUD65" s="10"/>
      <c r="MUE65" s="10"/>
      <c r="MUF65" s="10"/>
      <c r="MUG65" s="10"/>
      <c r="MUH65" s="10"/>
      <c r="MUI65" s="10"/>
      <c r="MUJ65" s="10"/>
      <c r="MUK65" s="10"/>
      <c r="MUL65" s="10"/>
      <c r="MUM65" s="10"/>
      <c r="MUN65" s="10"/>
      <c r="MUO65" s="10"/>
      <c r="MUP65" s="10"/>
      <c r="MUQ65" s="10"/>
      <c r="MUR65" s="10"/>
      <c r="MUS65" s="10"/>
      <c r="MUT65" s="10"/>
      <c r="MUU65" s="10"/>
      <c r="MUV65" s="10"/>
      <c r="MUW65" s="10"/>
      <c r="MUX65" s="10"/>
      <c r="MUY65" s="10"/>
      <c r="MUZ65" s="10"/>
      <c r="MVA65" s="10"/>
      <c r="MVB65" s="10"/>
      <c r="MVC65" s="10"/>
      <c r="MVD65" s="10"/>
      <c r="MVE65" s="10"/>
      <c r="MVF65" s="10"/>
      <c r="MVG65" s="10"/>
      <c r="MVH65" s="10"/>
      <c r="MVI65" s="10"/>
      <c r="MVJ65" s="10"/>
      <c r="MVK65" s="10"/>
      <c r="MVL65" s="10"/>
      <c r="MVM65" s="10"/>
      <c r="MVN65" s="10"/>
      <c r="MVO65" s="10"/>
      <c r="MVP65" s="10"/>
      <c r="MVQ65" s="10"/>
      <c r="MVR65" s="10"/>
      <c r="MVS65" s="10"/>
      <c r="MVT65" s="10"/>
      <c r="MVU65" s="10"/>
      <c r="MVV65" s="10"/>
      <c r="MVW65" s="10"/>
      <c r="MVX65" s="10"/>
      <c r="MVY65" s="10"/>
      <c r="MVZ65" s="10"/>
      <c r="MWA65" s="10"/>
      <c r="MWB65" s="10"/>
      <c r="MWC65" s="10"/>
      <c r="MWD65" s="10"/>
      <c r="MWE65" s="10"/>
      <c r="MWF65" s="10"/>
      <c r="MWG65" s="10"/>
      <c r="MWH65" s="10"/>
      <c r="MWI65" s="10"/>
      <c r="MWJ65" s="10"/>
      <c r="MWK65" s="10"/>
      <c r="MWL65" s="10"/>
      <c r="MWM65" s="10"/>
      <c r="MWN65" s="10"/>
      <c r="MWO65" s="10"/>
      <c r="MWP65" s="10"/>
      <c r="MWQ65" s="10"/>
      <c r="MWR65" s="10"/>
      <c r="MWS65" s="10"/>
      <c r="MWT65" s="10"/>
      <c r="MWU65" s="10"/>
      <c r="MWV65" s="10"/>
      <c r="MWW65" s="10"/>
      <c r="MWX65" s="10"/>
      <c r="MWY65" s="10"/>
      <c r="MWZ65" s="10"/>
      <c r="MXA65" s="10"/>
      <c r="MXB65" s="10"/>
      <c r="MXC65" s="10"/>
      <c r="MXD65" s="10"/>
      <c r="MXE65" s="10"/>
      <c r="MXF65" s="10"/>
      <c r="MXG65" s="10"/>
      <c r="MXH65" s="10"/>
      <c r="MXI65" s="10"/>
      <c r="MXJ65" s="10"/>
      <c r="MXK65" s="10"/>
      <c r="MXL65" s="10"/>
      <c r="MXM65" s="10"/>
      <c r="MXN65" s="10"/>
      <c r="MXO65" s="10"/>
      <c r="MXP65" s="10"/>
      <c r="MXQ65" s="10"/>
      <c r="MXR65" s="10"/>
      <c r="MXS65" s="10"/>
      <c r="MXT65" s="10"/>
      <c r="MXU65" s="10"/>
      <c r="MXV65" s="10"/>
      <c r="MXW65" s="10"/>
      <c r="MXX65" s="10"/>
      <c r="MXY65" s="10"/>
      <c r="MXZ65" s="10"/>
      <c r="MYA65" s="10"/>
      <c r="MYB65" s="10"/>
      <c r="MYC65" s="10"/>
      <c r="MYD65" s="10"/>
      <c r="MYE65" s="10"/>
      <c r="MYF65" s="10"/>
      <c r="MYG65" s="10"/>
      <c r="MYH65" s="10"/>
      <c r="MYI65" s="10"/>
      <c r="MYJ65" s="10"/>
      <c r="MYK65" s="10"/>
      <c r="MYL65" s="10"/>
      <c r="MYM65" s="10"/>
      <c r="MYN65" s="10"/>
      <c r="MYO65" s="10"/>
      <c r="MYP65" s="10"/>
      <c r="MYQ65" s="10"/>
      <c r="MYR65" s="10"/>
      <c r="MYS65" s="10"/>
      <c r="MYT65" s="10"/>
      <c r="MYU65" s="10"/>
      <c r="MYV65" s="10"/>
      <c r="MYW65" s="10"/>
      <c r="MYX65" s="10"/>
      <c r="MYY65" s="10"/>
      <c r="MYZ65" s="10"/>
      <c r="MZA65" s="10"/>
      <c r="MZB65" s="10"/>
      <c r="MZC65" s="10"/>
      <c r="MZD65" s="10"/>
      <c r="MZE65" s="10"/>
      <c r="MZF65" s="10"/>
      <c r="MZG65" s="10"/>
      <c r="MZH65" s="10"/>
      <c r="MZI65" s="10"/>
      <c r="MZJ65" s="10"/>
      <c r="MZK65" s="10"/>
      <c r="MZL65" s="10"/>
      <c r="MZM65" s="10"/>
      <c r="MZN65" s="10"/>
      <c r="MZO65" s="10"/>
      <c r="MZP65" s="10"/>
      <c r="MZQ65" s="10"/>
      <c r="MZR65" s="10"/>
      <c r="MZS65" s="10"/>
      <c r="MZT65" s="10"/>
      <c r="MZU65" s="10"/>
      <c r="MZV65" s="10"/>
      <c r="MZW65" s="10"/>
      <c r="MZX65" s="10"/>
      <c r="MZY65" s="10"/>
      <c r="MZZ65" s="10"/>
      <c r="NAA65" s="10"/>
      <c r="NAB65" s="10"/>
      <c r="NAC65" s="10"/>
      <c r="NAD65" s="10"/>
      <c r="NAE65" s="10"/>
      <c r="NAF65" s="10"/>
      <c r="NAG65" s="10"/>
      <c r="NAH65" s="10"/>
      <c r="NAI65" s="10"/>
      <c r="NAJ65" s="10"/>
      <c r="NAK65" s="10"/>
      <c r="NAL65" s="10"/>
      <c r="NAM65" s="10"/>
      <c r="NAN65" s="10"/>
      <c r="NAO65" s="10"/>
      <c r="NAP65" s="10"/>
      <c r="NAQ65" s="10"/>
      <c r="NAR65" s="10"/>
      <c r="NAS65" s="10"/>
      <c r="NAT65" s="10"/>
      <c r="NAU65" s="10"/>
      <c r="NAV65" s="10"/>
      <c r="NAW65" s="10"/>
      <c r="NAX65" s="10"/>
      <c r="NAY65" s="10"/>
      <c r="NAZ65" s="10"/>
      <c r="NBA65" s="10"/>
      <c r="NBB65" s="10"/>
      <c r="NBC65" s="10"/>
      <c r="NBD65" s="10"/>
      <c r="NBE65" s="10"/>
      <c r="NBF65" s="10"/>
      <c r="NBG65" s="10"/>
      <c r="NBH65" s="10"/>
      <c r="NBI65" s="10"/>
      <c r="NBJ65" s="10"/>
      <c r="NBK65" s="10"/>
      <c r="NBL65" s="10"/>
      <c r="NBM65" s="10"/>
      <c r="NBN65" s="10"/>
      <c r="NBO65" s="10"/>
      <c r="NBP65" s="10"/>
      <c r="NBQ65" s="10"/>
      <c r="NBR65" s="10"/>
      <c r="NBS65" s="10"/>
      <c r="NBT65" s="10"/>
      <c r="NBU65" s="10"/>
      <c r="NBV65" s="10"/>
      <c r="NBW65" s="10"/>
      <c r="NBX65" s="10"/>
      <c r="NBY65" s="10"/>
      <c r="NBZ65" s="10"/>
      <c r="NCA65" s="10"/>
      <c r="NCB65" s="10"/>
      <c r="NCC65" s="10"/>
      <c r="NCD65" s="10"/>
      <c r="NCE65" s="10"/>
      <c r="NCF65" s="10"/>
      <c r="NCG65" s="10"/>
      <c r="NCH65" s="10"/>
      <c r="NCI65" s="10"/>
      <c r="NCJ65" s="10"/>
      <c r="NCK65" s="10"/>
      <c r="NCL65" s="10"/>
      <c r="NCM65" s="10"/>
      <c r="NCN65" s="10"/>
      <c r="NCO65" s="10"/>
      <c r="NCP65" s="10"/>
      <c r="NCQ65" s="10"/>
      <c r="NCR65" s="10"/>
      <c r="NCS65" s="10"/>
      <c r="NCT65" s="10"/>
      <c r="NCU65" s="10"/>
      <c r="NCV65" s="10"/>
      <c r="NCW65" s="10"/>
      <c r="NCX65" s="10"/>
      <c r="NCY65" s="10"/>
      <c r="NCZ65" s="10"/>
      <c r="NDA65" s="10"/>
      <c r="NDB65" s="10"/>
      <c r="NDC65" s="10"/>
      <c r="NDD65" s="10"/>
      <c r="NDE65" s="10"/>
      <c r="NDF65" s="10"/>
      <c r="NDG65" s="10"/>
      <c r="NDH65" s="10"/>
      <c r="NDI65" s="10"/>
      <c r="NDJ65" s="10"/>
      <c r="NDK65" s="10"/>
      <c r="NDL65" s="10"/>
      <c r="NDM65" s="10"/>
      <c r="NDN65" s="10"/>
      <c r="NDO65" s="10"/>
      <c r="NDP65" s="10"/>
      <c r="NDQ65" s="10"/>
      <c r="NDR65" s="10"/>
      <c r="NDS65" s="10"/>
      <c r="NDT65" s="10"/>
      <c r="NDU65" s="10"/>
      <c r="NDV65" s="10"/>
      <c r="NDW65" s="10"/>
      <c r="NDX65" s="10"/>
      <c r="NDY65" s="10"/>
      <c r="NDZ65" s="10"/>
      <c r="NEA65" s="10"/>
      <c r="NEB65" s="10"/>
      <c r="NEC65" s="10"/>
      <c r="NED65" s="10"/>
      <c r="NEE65" s="10"/>
      <c r="NEF65" s="10"/>
      <c r="NEG65" s="10"/>
      <c r="NEH65" s="10"/>
      <c r="NEI65" s="10"/>
      <c r="NEJ65" s="10"/>
      <c r="NEK65" s="10"/>
      <c r="NEL65" s="10"/>
      <c r="NEM65" s="10"/>
      <c r="NEN65" s="10"/>
      <c r="NEO65" s="10"/>
      <c r="NEP65" s="10"/>
      <c r="NEQ65" s="10"/>
      <c r="NER65" s="10"/>
      <c r="NES65" s="10"/>
      <c r="NET65" s="10"/>
      <c r="NEU65" s="10"/>
      <c r="NEV65" s="10"/>
      <c r="NEW65" s="10"/>
      <c r="NEX65" s="10"/>
      <c r="NEY65" s="10"/>
      <c r="NEZ65" s="10"/>
      <c r="NFA65" s="10"/>
      <c r="NFB65" s="10"/>
      <c r="NFC65" s="10"/>
      <c r="NFD65" s="10"/>
      <c r="NFE65" s="10"/>
      <c r="NFF65" s="10"/>
      <c r="NFG65" s="10"/>
      <c r="NFH65" s="10"/>
      <c r="NFI65" s="10"/>
      <c r="NFJ65" s="10"/>
      <c r="NFK65" s="10"/>
      <c r="NFL65" s="10"/>
      <c r="NFM65" s="10"/>
      <c r="NFN65" s="10"/>
      <c r="NFO65" s="10"/>
      <c r="NFP65" s="10"/>
      <c r="NFQ65" s="10"/>
      <c r="NFR65" s="10"/>
      <c r="NFS65" s="10"/>
      <c r="NFT65" s="10"/>
      <c r="NFU65" s="10"/>
      <c r="NFV65" s="10"/>
      <c r="NFW65" s="10"/>
      <c r="NFX65" s="10"/>
      <c r="NFY65" s="10"/>
      <c r="NFZ65" s="10"/>
      <c r="NGA65" s="10"/>
      <c r="NGB65" s="10"/>
      <c r="NGC65" s="10"/>
      <c r="NGD65" s="10"/>
      <c r="NGE65" s="10"/>
      <c r="NGF65" s="10"/>
      <c r="NGG65" s="10"/>
      <c r="NGH65" s="10"/>
      <c r="NGI65" s="10"/>
      <c r="NGJ65" s="10"/>
      <c r="NGK65" s="10"/>
      <c r="NGL65" s="10"/>
      <c r="NGM65" s="10"/>
      <c r="NGN65" s="10"/>
      <c r="NGO65" s="10"/>
      <c r="NGP65" s="10"/>
      <c r="NGQ65" s="10"/>
      <c r="NGR65" s="10"/>
      <c r="NGS65" s="10"/>
      <c r="NGT65" s="10"/>
      <c r="NGU65" s="10"/>
      <c r="NGV65" s="10"/>
      <c r="NGW65" s="10"/>
      <c r="NGX65" s="10"/>
      <c r="NGY65" s="10"/>
      <c r="NGZ65" s="10"/>
      <c r="NHA65" s="10"/>
      <c r="NHB65" s="10"/>
      <c r="NHC65" s="10"/>
      <c r="NHD65" s="10"/>
      <c r="NHE65" s="10"/>
      <c r="NHF65" s="10"/>
      <c r="NHG65" s="10"/>
      <c r="NHH65" s="10"/>
      <c r="NHI65" s="10"/>
      <c r="NHJ65" s="10"/>
      <c r="NHK65" s="10"/>
      <c r="NHL65" s="10"/>
      <c r="NHM65" s="10"/>
      <c r="NHN65" s="10"/>
      <c r="NHO65" s="10"/>
      <c r="NHP65" s="10"/>
      <c r="NHQ65" s="10"/>
      <c r="NHR65" s="10"/>
      <c r="NHS65" s="10"/>
      <c r="NHT65" s="10"/>
      <c r="NHU65" s="10"/>
      <c r="NHV65" s="10"/>
      <c r="NHW65" s="10"/>
      <c r="NHX65" s="10"/>
      <c r="NHY65" s="10"/>
      <c r="NHZ65" s="10"/>
      <c r="NIA65" s="10"/>
      <c r="NIB65" s="10"/>
      <c r="NIC65" s="10"/>
      <c r="NID65" s="10"/>
      <c r="NIE65" s="10"/>
      <c r="NIF65" s="10"/>
      <c r="NIG65" s="10"/>
      <c r="NIH65" s="10"/>
      <c r="NII65" s="10"/>
      <c r="NIJ65" s="10"/>
      <c r="NIK65" s="10"/>
      <c r="NIL65" s="10"/>
      <c r="NIM65" s="10"/>
      <c r="NIN65" s="10"/>
      <c r="NIO65" s="10"/>
      <c r="NIP65" s="10"/>
      <c r="NIQ65" s="10"/>
      <c r="NIR65" s="10"/>
      <c r="NIS65" s="10"/>
      <c r="NIT65" s="10"/>
      <c r="NIU65" s="10"/>
      <c r="NIV65" s="10"/>
      <c r="NIW65" s="10"/>
      <c r="NIX65" s="10"/>
      <c r="NIY65" s="10"/>
      <c r="NIZ65" s="10"/>
      <c r="NJA65" s="10"/>
      <c r="NJB65" s="10"/>
      <c r="NJC65" s="10"/>
      <c r="NJD65" s="10"/>
      <c r="NJE65" s="10"/>
      <c r="NJF65" s="10"/>
      <c r="NJG65" s="10"/>
      <c r="NJH65" s="10"/>
      <c r="NJI65" s="10"/>
      <c r="NJJ65" s="10"/>
      <c r="NJK65" s="10"/>
      <c r="NJL65" s="10"/>
      <c r="NJM65" s="10"/>
      <c r="NJN65" s="10"/>
      <c r="NJO65" s="10"/>
      <c r="NJP65" s="10"/>
      <c r="NJQ65" s="10"/>
      <c r="NJR65" s="10"/>
      <c r="NJS65" s="10"/>
      <c r="NJT65" s="10"/>
      <c r="NJU65" s="10"/>
      <c r="NJV65" s="10"/>
      <c r="NJW65" s="10"/>
      <c r="NJX65" s="10"/>
      <c r="NJY65" s="10"/>
      <c r="NJZ65" s="10"/>
      <c r="NKA65" s="10"/>
      <c r="NKB65" s="10"/>
      <c r="NKC65" s="10"/>
      <c r="NKD65" s="10"/>
      <c r="NKE65" s="10"/>
      <c r="NKF65" s="10"/>
      <c r="NKG65" s="10"/>
      <c r="NKH65" s="10"/>
      <c r="NKI65" s="10"/>
      <c r="NKJ65" s="10"/>
      <c r="NKK65" s="10"/>
      <c r="NKL65" s="10"/>
      <c r="NKM65" s="10"/>
      <c r="NKN65" s="10"/>
      <c r="NKO65" s="10"/>
      <c r="NKP65" s="10"/>
      <c r="NKQ65" s="10"/>
      <c r="NKR65" s="10"/>
      <c r="NKS65" s="10"/>
      <c r="NKT65" s="10"/>
      <c r="NKU65" s="10"/>
      <c r="NKV65" s="10"/>
      <c r="NKW65" s="10"/>
      <c r="NKX65" s="10"/>
      <c r="NKY65" s="10"/>
      <c r="NKZ65" s="10"/>
      <c r="NLA65" s="10"/>
      <c r="NLB65" s="10"/>
      <c r="NLC65" s="10"/>
      <c r="NLD65" s="10"/>
      <c r="NLE65" s="10"/>
      <c r="NLF65" s="10"/>
      <c r="NLG65" s="10"/>
      <c r="NLH65" s="10"/>
      <c r="NLI65" s="10"/>
      <c r="NLJ65" s="10"/>
      <c r="NLK65" s="10"/>
      <c r="NLL65" s="10"/>
      <c r="NLM65" s="10"/>
      <c r="NLN65" s="10"/>
      <c r="NLO65" s="10"/>
      <c r="NLP65" s="10"/>
      <c r="NLQ65" s="10"/>
      <c r="NLR65" s="10"/>
      <c r="NLS65" s="10"/>
      <c r="NLT65" s="10"/>
      <c r="NLU65" s="10"/>
      <c r="NLV65" s="10"/>
      <c r="NLW65" s="10"/>
      <c r="NLX65" s="10"/>
      <c r="NLY65" s="10"/>
      <c r="NLZ65" s="10"/>
      <c r="NMA65" s="10"/>
      <c r="NMB65" s="10"/>
      <c r="NMC65" s="10"/>
      <c r="NMD65" s="10"/>
      <c r="NME65" s="10"/>
      <c r="NMF65" s="10"/>
      <c r="NMG65" s="10"/>
      <c r="NMH65" s="10"/>
      <c r="NMI65" s="10"/>
      <c r="NMJ65" s="10"/>
      <c r="NMK65" s="10"/>
      <c r="NML65" s="10"/>
      <c r="NMM65" s="10"/>
      <c r="NMN65" s="10"/>
      <c r="NMO65" s="10"/>
      <c r="NMP65" s="10"/>
      <c r="NMQ65" s="10"/>
      <c r="NMR65" s="10"/>
      <c r="NMS65" s="10"/>
      <c r="NMT65" s="10"/>
      <c r="NMU65" s="10"/>
      <c r="NMV65" s="10"/>
      <c r="NMW65" s="10"/>
      <c r="NMX65" s="10"/>
      <c r="NMY65" s="10"/>
      <c r="NMZ65" s="10"/>
      <c r="NNA65" s="10"/>
      <c r="NNB65" s="10"/>
      <c r="NNC65" s="10"/>
      <c r="NND65" s="10"/>
      <c r="NNE65" s="10"/>
      <c r="NNF65" s="10"/>
      <c r="NNG65" s="10"/>
      <c r="NNH65" s="10"/>
      <c r="NNI65" s="10"/>
      <c r="NNJ65" s="10"/>
      <c r="NNK65" s="10"/>
      <c r="NNL65" s="10"/>
      <c r="NNM65" s="10"/>
      <c r="NNN65" s="10"/>
      <c r="NNO65" s="10"/>
      <c r="NNP65" s="10"/>
      <c r="NNQ65" s="10"/>
      <c r="NNR65" s="10"/>
      <c r="NNS65" s="10"/>
      <c r="NNT65" s="10"/>
      <c r="NNU65" s="10"/>
      <c r="NNV65" s="10"/>
      <c r="NNW65" s="10"/>
      <c r="NNX65" s="10"/>
      <c r="NNY65" s="10"/>
      <c r="NNZ65" s="10"/>
      <c r="NOA65" s="10"/>
      <c r="NOB65" s="10"/>
      <c r="NOC65" s="10"/>
      <c r="NOD65" s="10"/>
      <c r="NOE65" s="10"/>
      <c r="NOF65" s="10"/>
      <c r="NOG65" s="10"/>
      <c r="NOH65" s="10"/>
      <c r="NOI65" s="10"/>
      <c r="NOJ65" s="10"/>
      <c r="NOK65" s="10"/>
      <c r="NOL65" s="10"/>
      <c r="NOM65" s="10"/>
      <c r="NON65" s="10"/>
      <c r="NOO65" s="10"/>
      <c r="NOP65" s="10"/>
      <c r="NOQ65" s="10"/>
      <c r="NOR65" s="10"/>
      <c r="NOS65" s="10"/>
      <c r="NOT65" s="10"/>
      <c r="NOU65" s="10"/>
      <c r="NOV65" s="10"/>
      <c r="NOW65" s="10"/>
      <c r="NOX65" s="10"/>
      <c r="NOY65" s="10"/>
      <c r="NOZ65" s="10"/>
      <c r="NPA65" s="10"/>
      <c r="NPB65" s="10"/>
      <c r="NPC65" s="10"/>
      <c r="NPD65" s="10"/>
      <c r="NPE65" s="10"/>
      <c r="NPF65" s="10"/>
      <c r="NPG65" s="10"/>
      <c r="NPH65" s="10"/>
      <c r="NPI65" s="10"/>
      <c r="NPJ65" s="10"/>
      <c r="NPK65" s="10"/>
      <c r="NPL65" s="10"/>
      <c r="NPM65" s="10"/>
      <c r="NPN65" s="10"/>
      <c r="NPO65" s="10"/>
      <c r="NPP65" s="10"/>
      <c r="NPQ65" s="10"/>
      <c r="NPR65" s="10"/>
      <c r="NPS65" s="10"/>
      <c r="NPT65" s="10"/>
      <c r="NPU65" s="10"/>
      <c r="NPV65" s="10"/>
      <c r="NPW65" s="10"/>
      <c r="NPX65" s="10"/>
      <c r="NPY65" s="10"/>
      <c r="NPZ65" s="10"/>
      <c r="NQA65" s="10"/>
      <c r="NQB65" s="10"/>
      <c r="NQC65" s="10"/>
      <c r="NQD65" s="10"/>
      <c r="NQE65" s="10"/>
      <c r="NQF65" s="10"/>
      <c r="NQG65" s="10"/>
      <c r="NQH65" s="10"/>
      <c r="NQI65" s="10"/>
      <c r="NQJ65" s="10"/>
      <c r="NQK65" s="10"/>
      <c r="NQL65" s="10"/>
      <c r="NQM65" s="10"/>
      <c r="NQN65" s="10"/>
      <c r="NQO65" s="10"/>
      <c r="NQP65" s="10"/>
      <c r="NQQ65" s="10"/>
      <c r="NQR65" s="10"/>
      <c r="NQS65" s="10"/>
      <c r="NQT65" s="10"/>
      <c r="NQU65" s="10"/>
      <c r="NQV65" s="10"/>
      <c r="NQW65" s="10"/>
      <c r="NQX65" s="10"/>
      <c r="NQY65" s="10"/>
      <c r="NQZ65" s="10"/>
      <c r="NRA65" s="10"/>
      <c r="NRB65" s="10"/>
      <c r="NRC65" s="10"/>
      <c r="NRD65" s="10"/>
      <c r="NRE65" s="10"/>
      <c r="NRF65" s="10"/>
      <c r="NRG65" s="10"/>
      <c r="NRH65" s="10"/>
      <c r="NRI65" s="10"/>
      <c r="NRJ65" s="10"/>
      <c r="NRK65" s="10"/>
      <c r="NRL65" s="10"/>
      <c r="NRM65" s="10"/>
      <c r="NRN65" s="10"/>
      <c r="NRO65" s="10"/>
      <c r="NRP65" s="10"/>
      <c r="NRQ65" s="10"/>
      <c r="NRR65" s="10"/>
      <c r="NRS65" s="10"/>
      <c r="NRT65" s="10"/>
      <c r="NRU65" s="10"/>
      <c r="NRV65" s="10"/>
      <c r="NRW65" s="10"/>
      <c r="NRX65" s="10"/>
      <c r="NRY65" s="10"/>
      <c r="NRZ65" s="10"/>
      <c r="NSA65" s="10"/>
      <c r="NSB65" s="10"/>
      <c r="NSC65" s="10"/>
      <c r="NSD65" s="10"/>
      <c r="NSE65" s="10"/>
      <c r="NSF65" s="10"/>
      <c r="NSG65" s="10"/>
      <c r="NSH65" s="10"/>
      <c r="NSI65" s="10"/>
      <c r="NSJ65" s="10"/>
      <c r="NSK65" s="10"/>
      <c r="NSL65" s="10"/>
      <c r="NSM65" s="10"/>
      <c r="NSN65" s="10"/>
      <c r="NSO65" s="10"/>
      <c r="NSP65" s="10"/>
      <c r="NSQ65" s="10"/>
      <c r="NSR65" s="10"/>
      <c r="NSS65" s="10"/>
      <c r="NST65" s="10"/>
      <c r="NSU65" s="10"/>
      <c r="NSV65" s="10"/>
      <c r="NSW65" s="10"/>
      <c r="NSX65" s="10"/>
      <c r="NSY65" s="10"/>
      <c r="NSZ65" s="10"/>
      <c r="NTA65" s="10"/>
      <c r="NTB65" s="10"/>
      <c r="NTC65" s="10"/>
      <c r="NTD65" s="10"/>
      <c r="NTE65" s="10"/>
      <c r="NTF65" s="10"/>
      <c r="NTG65" s="10"/>
      <c r="NTH65" s="10"/>
      <c r="NTI65" s="10"/>
      <c r="NTJ65" s="10"/>
      <c r="NTK65" s="10"/>
      <c r="NTL65" s="10"/>
      <c r="NTM65" s="10"/>
      <c r="NTN65" s="10"/>
      <c r="NTO65" s="10"/>
      <c r="NTP65" s="10"/>
      <c r="NTQ65" s="10"/>
      <c r="NTR65" s="10"/>
      <c r="NTS65" s="10"/>
      <c r="NTT65" s="10"/>
      <c r="NTU65" s="10"/>
      <c r="NTV65" s="10"/>
      <c r="NTW65" s="10"/>
      <c r="NTX65" s="10"/>
      <c r="NTY65" s="10"/>
      <c r="NTZ65" s="10"/>
      <c r="NUA65" s="10"/>
      <c r="NUB65" s="10"/>
      <c r="NUC65" s="10"/>
      <c r="NUD65" s="10"/>
      <c r="NUE65" s="10"/>
      <c r="NUF65" s="10"/>
      <c r="NUG65" s="10"/>
      <c r="NUH65" s="10"/>
      <c r="NUI65" s="10"/>
      <c r="NUJ65" s="10"/>
      <c r="NUK65" s="10"/>
      <c r="NUL65" s="10"/>
      <c r="NUM65" s="10"/>
      <c r="NUN65" s="10"/>
      <c r="NUO65" s="10"/>
      <c r="NUP65" s="10"/>
      <c r="NUQ65" s="10"/>
      <c r="NUR65" s="10"/>
      <c r="NUS65" s="10"/>
      <c r="NUT65" s="10"/>
      <c r="NUU65" s="10"/>
      <c r="NUV65" s="10"/>
      <c r="NUW65" s="10"/>
      <c r="NUX65" s="10"/>
      <c r="NUY65" s="10"/>
      <c r="NUZ65" s="10"/>
      <c r="NVA65" s="10"/>
      <c r="NVB65" s="10"/>
      <c r="NVC65" s="10"/>
      <c r="NVD65" s="10"/>
      <c r="NVE65" s="10"/>
      <c r="NVF65" s="10"/>
      <c r="NVG65" s="10"/>
      <c r="NVH65" s="10"/>
      <c r="NVI65" s="10"/>
      <c r="NVJ65" s="10"/>
      <c r="NVK65" s="10"/>
      <c r="NVL65" s="10"/>
      <c r="NVM65" s="10"/>
      <c r="NVN65" s="10"/>
      <c r="NVO65" s="10"/>
      <c r="NVP65" s="10"/>
      <c r="NVQ65" s="10"/>
      <c r="NVR65" s="10"/>
      <c r="NVS65" s="10"/>
      <c r="NVT65" s="10"/>
      <c r="NVU65" s="10"/>
      <c r="NVV65" s="10"/>
      <c r="NVW65" s="10"/>
      <c r="NVX65" s="10"/>
      <c r="NVY65" s="10"/>
      <c r="NVZ65" s="10"/>
      <c r="NWA65" s="10"/>
      <c r="NWB65" s="10"/>
      <c r="NWC65" s="10"/>
      <c r="NWD65" s="10"/>
      <c r="NWE65" s="10"/>
      <c r="NWF65" s="10"/>
      <c r="NWG65" s="10"/>
      <c r="NWH65" s="10"/>
      <c r="NWI65" s="10"/>
      <c r="NWJ65" s="10"/>
      <c r="NWK65" s="10"/>
      <c r="NWL65" s="10"/>
      <c r="NWM65" s="10"/>
      <c r="NWN65" s="10"/>
      <c r="NWO65" s="10"/>
      <c r="NWP65" s="10"/>
      <c r="NWQ65" s="10"/>
      <c r="NWR65" s="10"/>
      <c r="NWS65" s="10"/>
      <c r="NWT65" s="10"/>
      <c r="NWU65" s="10"/>
      <c r="NWV65" s="10"/>
      <c r="NWW65" s="10"/>
      <c r="NWX65" s="10"/>
      <c r="NWY65" s="10"/>
      <c r="NWZ65" s="10"/>
      <c r="NXA65" s="10"/>
      <c r="NXB65" s="10"/>
      <c r="NXC65" s="10"/>
      <c r="NXD65" s="10"/>
      <c r="NXE65" s="10"/>
      <c r="NXF65" s="10"/>
      <c r="NXG65" s="10"/>
      <c r="NXH65" s="10"/>
      <c r="NXI65" s="10"/>
      <c r="NXJ65" s="10"/>
      <c r="NXK65" s="10"/>
      <c r="NXL65" s="10"/>
      <c r="NXM65" s="10"/>
      <c r="NXN65" s="10"/>
      <c r="NXO65" s="10"/>
      <c r="NXP65" s="10"/>
      <c r="NXQ65" s="10"/>
      <c r="NXR65" s="10"/>
      <c r="NXS65" s="10"/>
      <c r="NXT65" s="10"/>
      <c r="NXU65" s="10"/>
      <c r="NXV65" s="10"/>
      <c r="NXW65" s="10"/>
      <c r="NXX65" s="10"/>
      <c r="NXY65" s="10"/>
      <c r="NXZ65" s="10"/>
      <c r="NYA65" s="10"/>
      <c r="NYB65" s="10"/>
      <c r="NYC65" s="10"/>
      <c r="NYD65" s="10"/>
      <c r="NYE65" s="10"/>
      <c r="NYF65" s="10"/>
      <c r="NYG65" s="10"/>
      <c r="NYH65" s="10"/>
      <c r="NYI65" s="10"/>
      <c r="NYJ65" s="10"/>
      <c r="NYK65" s="10"/>
      <c r="NYL65" s="10"/>
      <c r="NYM65" s="10"/>
      <c r="NYN65" s="10"/>
      <c r="NYO65" s="10"/>
      <c r="NYP65" s="10"/>
      <c r="NYQ65" s="10"/>
      <c r="NYR65" s="10"/>
      <c r="NYS65" s="10"/>
      <c r="NYT65" s="10"/>
      <c r="NYU65" s="10"/>
      <c r="NYV65" s="10"/>
      <c r="NYW65" s="10"/>
      <c r="NYX65" s="10"/>
      <c r="NYY65" s="10"/>
      <c r="NYZ65" s="10"/>
      <c r="NZA65" s="10"/>
      <c r="NZB65" s="10"/>
      <c r="NZC65" s="10"/>
      <c r="NZD65" s="10"/>
      <c r="NZE65" s="10"/>
      <c r="NZF65" s="10"/>
      <c r="NZG65" s="10"/>
      <c r="NZH65" s="10"/>
      <c r="NZI65" s="10"/>
      <c r="NZJ65" s="10"/>
      <c r="NZK65" s="10"/>
      <c r="NZL65" s="10"/>
      <c r="NZM65" s="10"/>
      <c r="NZN65" s="10"/>
      <c r="NZO65" s="10"/>
      <c r="NZP65" s="10"/>
      <c r="NZQ65" s="10"/>
      <c r="NZR65" s="10"/>
      <c r="NZS65" s="10"/>
      <c r="NZT65" s="10"/>
      <c r="NZU65" s="10"/>
      <c r="NZV65" s="10"/>
      <c r="NZW65" s="10"/>
      <c r="NZX65" s="10"/>
      <c r="NZY65" s="10"/>
      <c r="NZZ65" s="10"/>
      <c r="OAA65" s="10"/>
      <c r="OAB65" s="10"/>
      <c r="OAC65" s="10"/>
      <c r="OAD65" s="10"/>
      <c r="OAE65" s="10"/>
      <c r="OAF65" s="10"/>
      <c r="OAG65" s="10"/>
      <c r="OAH65" s="10"/>
      <c r="OAI65" s="10"/>
      <c r="OAJ65" s="10"/>
      <c r="OAK65" s="10"/>
      <c r="OAL65" s="10"/>
      <c r="OAM65" s="10"/>
      <c r="OAN65" s="10"/>
      <c r="OAO65" s="10"/>
      <c r="OAP65" s="10"/>
      <c r="OAQ65" s="10"/>
      <c r="OAR65" s="10"/>
      <c r="OAS65" s="10"/>
      <c r="OAT65" s="10"/>
      <c r="OAU65" s="10"/>
      <c r="OAV65" s="10"/>
      <c r="OAW65" s="10"/>
      <c r="OAX65" s="10"/>
      <c r="OAY65" s="10"/>
      <c r="OAZ65" s="10"/>
      <c r="OBA65" s="10"/>
      <c r="OBB65" s="10"/>
      <c r="OBC65" s="10"/>
      <c r="OBD65" s="10"/>
      <c r="OBE65" s="10"/>
      <c r="OBF65" s="10"/>
      <c r="OBG65" s="10"/>
      <c r="OBH65" s="10"/>
      <c r="OBI65" s="10"/>
      <c r="OBJ65" s="10"/>
      <c r="OBK65" s="10"/>
      <c r="OBL65" s="10"/>
      <c r="OBM65" s="10"/>
      <c r="OBN65" s="10"/>
      <c r="OBO65" s="10"/>
      <c r="OBP65" s="10"/>
      <c r="OBQ65" s="10"/>
      <c r="OBR65" s="10"/>
      <c r="OBS65" s="10"/>
      <c r="OBT65" s="10"/>
      <c r="OBU65" s="10"/>
      <c r="OBV65" s="10"/>
      <c r="OBW65" s="10"/>
      <c r="OBX65" s="10"/>
      <c r="OBY65" s="10"/>
      <c r="OBZ65" s="10"/>
      <c r="OCA65" s="10"/>
      <c r="OCB65" s="10"/>
      <c r="OCC65" s="10"/>
      <c r="OCD65" s="10"/>
      <c r="OCE65" s="10"/>
      <c r="OCF65" s="10"/>
      <c r="OCG65" s="10"/>
      <c r="OCH65" s="10"/>
      <c r="OCI65" s="10"/>
      <c r="OCJ65" s="10"/>
      <c r="OCK65" s="10"/>
      <c r="OCL65" s="10"/>
      <c r="OCM65" s="10"/>
      <c r="OCN65" s="10"/>
      <c r="OCO65" s="10"/>
      <c r="OCP65" s="10"/>
      <c r="OCQ65" s="10"/>
      <c r="OCR65" s="10"/>
      <c r="OCS65" s="10"/>
      <c r="OCT65" s="10"/>
      <c r="OCU65" s="10"/>
      <c r="OCV65" s="10"/>
      <c r="OCW65" s="10"/>
      <c r="OCX65" s="10"/>
      <c r="OCY65" s="10"/>
      <c r="OCZ65" s="10"/>
      <c r="ODA65" s="10"/>
      <c r="ODB65" s="10"/>
      <c r="ODC65" s="10"/>
      <c r="ODD65" s="10"/>
      <c r="ODE65" s="10"/>
      <c r="ODF65" s="10"/>
      <c r="ODG65" s="10"/>
      <c r="ODH65" s="10"/>
      <c r="ODI65" s="10"/>
      <c r="ODJ65" s="10"/>
      <c r="ODK65" s="10"/>
      <c r="ODL65" s="10"/>
      <c r="ODM65" s="10"/>
      <c r="ODN65" s="10"/>
      <c r="ODO65" s="10"/>
      <c r="ODP65" s="10"/>
      <c r="ODQ65" s="10"/>
      <c r="ODR65" s="10"/>
      <c r="ODS65" s="10"/>
      <c r="ODT65" s="10"/>
      <c r="ODU65" s="10"/>
      <c r="ODV65" s="10"/>
      <c r="ODW65" s="10"/>
      <c r="ODX65" s="10"/>
      <c r="ODY65" s="10"/>
      <c r="ODZ65" s="10"/>
      <c r="OEA65" s="10"/>
      <c r="OEB65" s="10"/>
      <c r="OEC65" s="10"/>
      <c r="OED65" s="10"/>
      <c r="OEE65" s="10"/>
      <c r="OEF65" s="10"/>
      <c r="OEG65" s="10"/>
      <c r="OEH65" s="10"/>
      <c r="OEI65" s="10"/>
      <c r="OEJ65" s="10"/>
      <c r="OEK65" s="10"/>
      <c r="OEL65" s="10"/>
      <c r="OEM65" s="10"/>
      <c r="OEN65" s="10"/>
      <c r="OEO65" s="10"/>
      <c r="OEP65" s="10"/>
      <c r="OEQ65" s="10"/>
      <c r="OER65" s="10"/>
      <c r="OES65" s="10"/>
      <c r="OET65" s="10"/>
      <c r="OEU65" s="10"/>
      <c r="OEV65" s="10"/>
      <c r="OEW65" s="10"/>
      <c r="OEX65" s="10"/>
      <c r="OEY65" s="10"/>
      <c r="OEZ65" s="10"/>
      <c r="OFA65" s="10"/>
      <c r="OFB65" s="10"/>
      <c r="OFC65" s="10"/>
      <c r="OFD65" s="10"/>
      <c r="OFE65" s="10"/>
      <c r="OFF65" s="10"/>
      <c r="OFG65" s="10"/>
      <c r="OFH65" s="10"/>
      <c r="OFI65" s="10"/>
      <c r="OFJ65" s="10"/>
      <c r="OFK65" s="10"/>
      <c r="OFL65" s="10"/>
      <c r="OFM65" s="10"/>
      <c r="OFN65" s="10"/>
      <c r="OFO65" s="10"/>
      <c r="OFP65" s="10"/>
      <c r="OFQ65" s="10"/>
      <c r="OFR65" s="10"/>
      <c r="OFS65" s="10"/>
      <c r="OFT65" s="10"/>
      <c r="OFU65" s="10"/>
      <c r="OFV65" s="10"/>
      <c r="OFW65" s="10"/>
      <c r="OFX65" s="10"/>
      <c r="OFY65" s="10"/>
      <c r="OFZ65" s="10"/>
      <c r="OGA65" s="10"/>
      <c r="OGB65" s="10"/>
      <c r="OGC65" s="10"/>
      <c r="OGD65" s="10"/>
      <c r="OGE65" s="10"/>
      <c r="OGF65" s="10"/>
      <c r="OGG65" s="10"/>
      <c r="OGH65" s="10"/>
      <c r="OGI65" s="10"/>
      <c r="OGJ65" s="10"/>
      <c r="OGK65" s="10"/>
      <c r="OGL65" s="10"/>
      <c r="OGM65" s="10"/>
      <c r="OGN65" s="10"/>
      <c r="OGO65" s="10"/>
      <c r="OGP65" s="10"/>
      <c r="OGQ65" s="10"/>
      <c r="OGR65" s="10"/>
      <c r="OGS65" s="10"/>
      <c r="OGT65" s="10"/>
      <c r="OGU65" s="10"/>
      <c r="OGV65" s="10"/>
      <c r="OGW65" s="10"/>
      <c r="OGX65" s="10"/>
      <c r="OGY65" s="10"/>
      <c r="OGZ65" s="10"/>
      <c r="OHA65" s="10"/>
      <c r="OHB65" s="10"/>
      <c r="OHC65" s="10"/>
      <c r="OHD65" s="10"/>
      <c r="OHE65" s="10"/>
      <c r="OHF65" s="10"/>
      <c r="OHG65" s="10"/>
      <c r="OHH65" s="10"/>
      <c r="OHI65" s="10"/>
      <c r="OHJ65" s="10"/>
      <c r="OHK65" s="10"/>
      <c r="OHL65" s="10"/>
      <c r="OHM65" s="10"/>
      <c r="OHN65" s="10"/>
      <c r="OHO65" s="10"/>
      <c r="OHP65" s="10"/>
      <c r="OHQ65" s="10"/>
      <c r="OHR65" s="10"/>
      <c r="OHS65" s="10"/>
      <c r="OHT65" s="10"/>
      <c r="OHU65" s="10"/>
      <c r="OHV65" s="10"/>
      <c r="OHW65" s="10"/>
      <c r="OHX65" s="10"/>
      <c r="OHY65" s="10"/>
      <c r="OHZ65" s="10"/>
      <c r="OIA65" s="10"/>
      <c r="OIB65" s="10"/>
      <c r="OIC65" s="10"/>
      <c r="OID65" s="10"/>
      <c r="OIE65" s="10"/>
      <c r="OIF65" s="10"/>
      <c r="OIG65" s="10"/>
      <c r="OIH65" s="10"/>
      <c r="OII65" s="10"/>
      <c r="OIJ65" s="10"/>
      <c r="OIK65" s="10"/>
      <c r="OIL65" s="10"/>
      <c r="OIM65" s="10"/>
      <c r="OIN65" s="10"/>
      <c r="OIO65" s="10"/>
      <c r="OIP65" s="10"/>
      <c r="OIQ65" s="10"/>
      <c r="OIR65" s="10"/>
      <c r="OIS65" s="10"/>
      <c r="OIT65" s="10"/>
      <c r="OIU65" s="10"/>
      <c r="OIV65" s="10"/>
      <c r="OIW65" s="10"/>
      <c r="OIX65" s="10"/>
      <c r="OIY65" s="10"/>
      <c r="OIZ65" s="10"/>
      <c r="OJA65" s="10"/>
      <c r="OJB65" s="10"/>
      <c r="OJC65" s="10"/>
      <c r="OJD65" s="10"/>
      <c r="OJE65" s="10"/>
      <c r="OJF65" s="10"/>
      <c r="OJG65" s="10"/>
      <c r="OJH65" s="10"/>
      <c r="OJI65" s="10"/>
      <c r="OJJ65" s="10"/>
      <c r="OJK65" s="10"/>
      <c r="OJL65" s="10"/>
      <c r="OJM65" s="10"/>
      <c r="OJN65" s="10"/>
      <c r="OJO65" s="10"/>
      <c r="OJP65" s="10"/>
      <c r="OJQ65" s="10"/>
      <c r="OJR65" s="10"/>
      <c r="OJS65" s="10"/>
      <c r="OJT65" s="10"/>
      <c r="OJU65" s="10"/>
      <c r="OJV65" s="10"/>
      <c r="OJW65" s="10"/>
      <c r="OJX65" s="10"/>
      <c r="OJY65" s="10"/>
      <c r="OJZ65" s="10"/>
      <c r="OKA65" s="10"/>
      <c r="OKB65" s="10"/>
      <c r="OKC65" s="10"/>
      <c r="OKD65" s="10"/>
      <c r="OKE65" s="10"/>
      <c r="OKF65" s="10"/>
      <c r="OKG65" s="10"/>
      <c r="OKH65" s="10"/>
      <c r="OKI65" s="10"/>
      <c r="OKJ65" s="10"/>
      <c r="OKK65" s="10"/>
      <c r="OKL65" s="10"/>
      <c r="OKM65" s="10"/>
      <c r="OKN65" s="10"/>
      <c r="OKO65" s="10"/>
      <c r="OKP65" s="10"/>
      <c r="OKQ65" s="10"/>
      <c r="OKR65" s="10"/>
      <c r="OKS65" s="10"/>
      <c r="OKT65" s="10"/>
      <c r="OKU65" s="10"/>
      <c r="OKV65" s="10"/>
      <c r="OKW65" s="10"/>
      <c r="OKX65" s="10"/>
      <c r="OKY65" s="10"/>
      <c r="OKZ65" s="10"/>
      <c r="OLA65" s="10"/>
      <c r="OLB65" s="10"/>
      <c r="OLC65" s="10"/>
      <c r="OLD65" s="10"/>
      <c r="OLE65" s="10"/>
      <c r="OLF65" s="10"/>
      <c r="OLG65" s="10"/>
      <c r="OLH65" s="10"/>
      <c r="OLI65" s="10"/>
      <c r="OLJ65" s="10"/>
      <c r="OLK65" s="10"/>
      <c r="OLL65" s="10"/>
      <c r="OLM65" s="10"/>
      <c r="OLN65" s="10"/>
      <c r="OLO65" s="10"/>
      <c r="OLP65" s="10"/>
      <c r="OLQ65" s="10"/>
      <c r="OLR65" s="10"/>
      <c r="OLS65" s="10"/>
      <c r="OLT65" s="10"/>
      <c r="OLU65" s="10"/>
      <c r="OLV65" s="10"/>
      <c r="OLW65" s="10"/>
      <c r="OLX65" s="10"/>
      <c r="OLY65" s="10"/>
      <c r="OLZ65" s="10"/>
      <c r="OMA65" s="10"/>
      <c r="OMB65" s="10"/>
      <c r="OMC65" s="10"/>
      <c r="OMD65" s="10"/>
      <c r="OME65" s="10"/>
      <c r="OMF65" s="10"/>
      <c r="OMG65" s="10"/>
      <c r="OMH65" s="10"/>
      <c r="OMI65" s="10"/>
      <c r="OMJ65" s="10"/>
      <c r="OMK65" s="10"/>
      <c r="OML65" s="10"/>
      <c r="OMM65" s="10"/>
      <c r="OMN65" s="10"/>
      <c r="OMO65" s="10"/>
      <c r="OMP65" s="10"/>
      <c r="OMQ65" s="10"/>
      <c r="OMR65" s="10"/>
      <c r="OMS65" s="10"/>
      <c r="OMT65" s="10"/>
      <c r="OMU65" s="10"/>
      <c r="OMV65" s="10"/>
      <c r="OMW65" s="10"/>
      <c r="OMX65" s="10"/>
      <c r="OMY65" s="10"/>
      <c r="OMZ65" s="10"/>
      <c r="ONA65" s="10"/>
      <c r="ONB65" s="10"/>
      <c r="ONC65" s="10"/>
      <c r="OND65" s="10"/>
      <c r="ONE65" s="10"/>
      <c r="ONF65" s="10"/>
      <c r="ONG65" s="10"/>
      <c r="ONH65" s="10"/>
      <c r="ONI65" s="10"/>
      <c r="ONJ65" s="10"/>
      <c r="ONK65" s="10"/>
      <c r="ONL65" s="10"/>
      <c r="ONM65" s="10"/>
      <c r="ONN65" s="10"/>
      <c r="ONO65" s="10"/>
      <c r="ONP65" s="10"/>
      <c r="ONQ65" s="10"/>
      <c r="ONR65" s="10"/>
      <c r="ONS65" s="10"/>
      <c r="ONT65" s="10"/>
      <c r="ONU65" s="10"/>
      <c r="ONV65" s="10"/>
      <c r="ONW65" s="10"/>
      <c r="ONX65" s="10"/>
      <c r="ONY65" s="10"/>
      <c r="ONZ65" s="10"/>
      <c r="OOA65" s="10"/>
      <c r="OOB65" s="10"/>
      <c r="OOC65" s="10"/>
      <c r="OOD65" s="10"/>
      <c r="OOE65" s="10"/>
      <c r="OOF65" s="10"/>
      <c r="OOG65" s="10"/>
      <c r="OOH65" s="10"/>
      <c r="OOI65" s="10"/>
      <c r="OOJ65" s="10"/>
      <c r="OOK65" s="10"/>
      <c r="OOL65" s="10"/>
      <c r="OOM65" s="10"/>
      <c r="OON65" s="10"/>
      <c r="OOO65" s="10"/>
      <c r="OOP65" s="10"/>
      <c r="OOQ65" s="10"/>
      <c r="OOR65" s="10"/>
      <c r="OOS65" s="10"/>
      <c r="OOT65" s="10"/>
      <c r="OOU65" s="10"/>
      <c r="OOV65" s="10"/>
      <c r="OOW65" s="10"/>
      <c r="OOX65" s="10"/>
      <c r="OOY65" s="10"/>
      <c r="OOZ65" s="10"/>
      <c r="OPA65" s="10"/>
      <c r="OPB65" s="10"/>
      <c r="OPC65" s="10"/>
      <c r="OPD65" s="10"/>
      <c r="OPE65" s="10"/>
      <c r="OPF65" s="10"/>
      <c r="OPG65" s="10"/>
      <c r="OPH65" s="10"/>
      <c r="OPI65" s="10"/>
      <c r="OPJ65" s="10"/>
      <c r="OPK65" s="10"/>
      <c r="OPL65" s="10"/>
      <c r="OPM65" s="10"/>
      <c r="OPN65" s="10"/>
      <c r="OPO65" s="10"/>
      <c r="OPP65" s="10"/>
      <c r="OPQ65" s="10"/>
      <c r="OPR65" s="10"/>
      <c r="OPS65" s="10"/>
      <c r="OPT65" s="10"/>
      <c r="OPU65" s="10"/>
      <c r="OPV65" s="10"/>
      <c r="OPW65" s="10"/>
      <c r="OPX65" s="10"/>
      <c r="OPY65" s="10"/>
      <c r="OPZ65" s="10"/>
      <c r="OQA65" s="10"/>
      <c r="OQB65" s="10"/>
      <c r="OQC65" s="10"/>
      <c r="OQD65" s="10"/>
      <c r="OQE65" s="10"/>
      <c r="OQF65" s="10"/>
      <c r="OQG65" s="10"/>
      <c r="OQH65" s="10"/>
      <c r="OQI65" s="10"/>
      <c r="OQJ65" s="10"/>
      <c r="OQK65" s="10"/>
      <c r="OQL65" s="10"/>
      <c r="OQM65" s="10"/>
      <c r="OQN65" s="10"/>
      <c r="OQO65" s="10"/>
      <c r="OQP65" s="10"/>
      <c r="OQQ65" s="10"/>
      <c r="OQR65" s="10"/>
      <c r="OQS65" s="10"/>
      <c r="OQT65" s="10"/>
      <c r="OQU65" s="10"/>
      <c r="OQV65" s="10"/>
      <c r="OQW65" s="10"/>
      <c r="OQX65" s="10"/>
      <c r="OQY65" s="10"/>
      <c r="OQZ65" s="10"/>
      <c r="ORA65" s="10"/>
      <c r="ORB65" s="10"/>
      <c r="ORC65" s="10"/>
      <c r="ORD65" s="10"/>
      <c r="ORE65" s="10"/>
      <c r="ORF65" s="10"/>
      <c r="ORG65" s="10"/>
      <c r="ORH65" s="10"/>
      <c r="ORI65" s="10"/>
      <c r="ORJ65" s="10"/>
      <c r="ORK65" s="10"/>
      <c r="ORL65" s="10"/>
      <c r="ORM65" s="10"/>
      <c r="ORN65" s="10"/>
      <c r="ORO65" s="10"/>
      <c r="ORP65" s="10"/>
      <c r="ORQ65" s="10"/>
      <c r="ORR65" s="10"/>
      <c r="ORS65" s="10"/>
      <c r="ORT65" s="10"/>
      <c r="ORU65" s="10"/>
      <c r="ORV65" s="10"/>
      <c r="ORW65" s="10"/>
      <c r="ORX65" s="10"/>
      <c r="ORY65" s="10"/>
      <c r="ORZ65" s="10"/>
      <c r="OSA65" s="10"/>
      <c r="OSB65" s="10"/>
      <c r="OSC65" s="10"/>
      <c r="OSD65" s="10"/>
      <c r="OSE65" s="10"/>
      <c r="OSF65" s="10"/>
      <c r="OSG65" s="10"/>
      <c r="OSH65" s="10"/>
      <c r="OSI65" s="10"/>
      <c r="OSJ65" s="10"/>
      <c r="OSK65" s="10"/>
      <c r="OSL65" s="10"/>
      <c r="OSM65" s="10"/>
      <c r="OSN65" s="10"/>
      <c r="OSO65" s="10"/>
      <c r="OSP65" s="10"/>
      <c r="OSQ65" s="10"/>
      <c r="OSR65" s="10"/>
      <c r="OSS65" s="10"/>
      <c r="OST65" s="10"/>
      <c r="OSU65" s="10"/>
      <c r="OSV65" s="10"/>
      <c r="OSW65" s="10"/>
      <c r="OSX65" s="10"/>
      <c r="OSY65" s="10"/>
      <c r="OSZ65" s="10"/>
      <c r="OTA65" s="10"/>
      <c r="OTB65" s="10"/>
      <c r="OTC65" s="10"/>
      <c r="OTD65" s="10"/>
      <c r="OTE65" s="10"/>
      <c r="OTF65" s="10"/>
      <c r="OTG65" s="10"/>
      <c r="OTH65" s="10"/>
      <c r="OTI65" s="10"/>
      <c r="OTJ65" s="10"/>
      <c r="OTK65" s="10"/>
      <c r="OTL65" s="10"/>
      <c r="OTM65" s="10"/>
      <c r="OTN65" s="10"/>
      <c r="OTO65" s="10"/>
      <c r="OTP65" s="10"/>
      <c r="OTQ65" s="10"/>
      <c r="OTR65" s="10"/>
      <c r="OTS65" s="10"/>
      <c r="OTT65" s="10"/>
      <c r="OTU65" s="10"/>
      <c r="OTV65" s="10"/>
      <c r="OTW65" s="10"/>
      <c r="OTX65" s="10"/>
      <c r="OTY65" s="10"/>
      <c r="OTZ65" s="10"/>
      <c r="OUA65" s="10"/>
      <c r="OUB65" s="10"/>
      <c r="OUC65" s="10"/>
      <c r="OUD65" s="10"/>
      <c r="OUE65" s="10"/>
      <c r="OUF65" s="10"/>
      <c r="OUG65" s="10"/>
      <c r="OUH65" s="10"/>
      <c r="OUI65" s="10"/>
      <c r="OUJ65" s="10"/>
      <c r="OUK65" s="10"/>
      <c r="OUL65" s="10"/>
      <c r="OUM65" s="10"/>
      <c r="OUN65" s="10"/>
      <c r="OUO65" s="10"/>
      <c r="OUP65" s="10"/>
      <c r="OUQ65" s="10"/>
      <c r="OUR65" s="10"/>
      <c r="OUS65" s="10"/>
      <c r="OUT65" s="10"/>
      <c r="OUU65" s="10"/>
      <c r="OUV65" s="10"/>
      <c r="OUW65" s="10"/>
      <c r="OUX65" s="10"/>
      <c r="OUY65" s="10"/>
      <c r="OUZ65" s="10"/>
      <c r="OVA65" s="10"/>
      <c r="OVB65" s="10"/>
      <c r="OVC65" s="10"/>
      <c r="OVD65" s="10"/>
      <c r="OVE65" s="10"/>
      <c r="OVF65" s="10"/>
      <c r="OVG65" s="10"/>
      <c r="OVH65" s="10"/>
      <c r="OVI65" s="10"/>
      <c r="OVJ65" s="10"/>
      <c r="OVK65" s="10"/>
      <c r="OVL65" s="10"/>
      <c r="OVM65" s="10"/>
      <c r="OVN65" s="10"/>
      <c r="OVO65" s="10"/>
      <c r="OVP65" s="10"/>
      <c r="OVQ65" s="10"/>
      <c r="OVR65" s="10"/>
      <c r="OVS65" s="10"/>
      <c r="OVT65" s="10"/>
      <c r="OVU65" s="10"/>
      <c r="OVV65" s="10"/>
      <c r="OVW65" s="10"/>
      <c r="OVX65" s="10"/>
      <c r="OVY65" s="10"/>
      <c r="OVZ65" s="10"/>
      <c r="OWA65" s="10"/>
      <c r="OWB65" s="10"/>
      <c r="OWC65" s="10"/>
      <c r="OWD65" s="10"/>
      <c r="OWE65" s="10"/>
      <c r="OWF65" s="10"/>
      <c r="OWG65" s="10"/>
      <c r="OWH65" s="10"/>
      <c r="OWI65" s="10"/>
      <c r="OWJ65" s="10"/>
      <c r="OWK65" s="10"/>
      <c r="OWL65" s="10"/>
      <c r="OWM65" s="10"/>
      <c r="OWN65" s="10"/>
      <c r="OWO65" s="10"/>
      <c r="OWP65" s="10"/>
      <c r="OWQ65" s="10"/>
      <c r="OWR65" s="10"/>
      <c r="OWS65" s="10"/>
      <c r="OWT65" s="10"/>
      <c r="OWU65" s="10"/>
      <c r="OWV65" s="10"/>
      <c r="OWW65" s="10"/>
      <c r="OWX65" s="10"/>
      <c r="OWY65" s="10"/>
      <c r="OWZ65" s="10"/>
      <c r="OXA65" s="10"/>
      <c r="OXB65" s="10"/>
      <c r="OXC65" s="10"/>
      <c r="OXD65" s="10"/>
      <c r="OXE65" s="10"/>
      <c r="OXF65" s="10"/>
      <c r="OXG65" s="10"/>
      <c r="OXH65" s="10"/>
      <c r="OXI65" s="10"/>
      <c r="OXJ65" s="10"/>
      <c r="OXK65" s="10"/>
      <c r="OXL65" s="10"/>
      <c r="OXM65" s="10"/>
      <c r="OXN65" s="10"/>
      <c r="OXO65" s="10"/>
      <c r="OXP65" s="10"/>
      <c r="OXQ65" s="10"/>
      <c r="OXR65" s="10"/>
      <c r="OXS65" s="10"/>
      <c r="OXT65" s="10"/>
      <c r="OXU65" s="10"/>
      <c r="OXV65" s="10"/>
      <c r="OXW65" s="10"/>
      <c r="OXX65" s="10"/>
      <c r="OXY65" s="10"/>
      <c r="OXZ65" s="10"/>
      <c r="OYA65" s="10"/>
      <c r="OYB65" s="10"/>
      <c r="OYC65" s="10"/>
      <c r="OYD65" s="10"/>
      <c r="OYE65" s="10"/>
      <c r="OYF65" s="10"/>
      <c r="OYG65" s="10"/>
      <c r="OYH65" s="10"/>
      <c r="OYI65" s="10"/>
      <c r="OYJ65" s="10"/>
      <c r="OYK65" s="10"/>
      <c r="OYL65" s="10"/>
      <c r="OYM65" s="10"/>
      <c r="OYN65" s="10"/>
      <c r="OYO65" s="10"/>
      <c r="OYP65" s="10"/>
      <c r="OYQ65" s="10"/>
      <c r="OYR65" s="10"/>
      <c r="OYS65" s="10"/>
      <c r="OYT65" s="10"/>
      <c r="OYU65" s="10"/>
      <c r="OYV65" s="10"/>
      <c r="OYW65" s="10"/>
      <c r="OYX65" s="10"/>
      <c r="OYY65" s="10"/>
      <c r="OYZ65" s="10"/>
      <c r="OZA65" s="10"/>
      <c r="OZB65" s="10"/>
      <c r="OZC65" s="10"/>
      <c r="OZD65" s="10"/>
      <c r="OZE65" s="10"/>
      <c r="OZF65" s="10"/>
      <c r="OZG65" s="10"/>
      <c r="OZH65" s="10"/>
      <c r="OZI65" s="10"/>
      <c r="OZJ65" s="10"/>
      <c r="OZK65" s="10"/>
      <c r="OZL65" s="10"/>
      <c r="OZM65" s="10"/>
      <c r="OZN65" s="10"/>
      <c r="OZO65" s="10"/>
      <c r="OZP65" s="10"/>
      <c r="OZQ65" s="10"/>
      <c r="OZR65" s="10"/>
      <c r="OZS65" s="10"/>
      <c r="OZT65" s="10"/>
      <c r="OZU65" s="10"/>
      <c r="OZV65" s="10"/>
      <c r="OZW65" s="10"/>
      <c r="OZX65" s="10"/>
      <c r="OZY65" s="10"/>
      <c r="OZZ65" s="10"/>
      <c r="PAA65" s="10"/>
      <c r="PAB65" s="10"/>
      <c r="PAC65" s="10"/>
      <c r="PAD65" s="10"/>
      <c r="PAE65" s="10"/>
      <c r="PAF65" s="10"/>
      <c r="PAG65" s="10"/>
      <c r="PAH65" s="10"/>
      <c r="PAI65" s="10"/>
      <c r="PAJ65" s="10"/>
      <c r="PAK65" s="10"/>
      <c r="PAL65" s="10"/>
      <c r="PAM65" s="10"/>
      <c r="PAN65" s="10"/>
      <c r="PAO65" s="10"/>
      <c r="PAP65" s="10"/>
      <c r="PAQ65" s="10"/>
      <c r="PAR65" s="10"/>
      <c r="PAS65" s="10"/>
      <c r="PAT65" s="10"/>
      <c r="PAU65" s="10"/>
      <c r="PAV65" s="10"/>
      <c r="PAW65" s="10"/>
      <c r="PAX65" s="10"/>
      <c r="PAY65" s="10"/>
      <c r="PAZ65" s="10"/>
      <c r="PBA65" s="10"/>
      <c r="PBB65" s="10"/>
      <c r="PBC65" s="10"/>
      <c r="PBD65" s="10"/>
      <c r="PBE65" s="10"/>
      <c r="PBF65" s="10"/>
      <c r="PBG65" s="10"/>
      <c r="PBH65" s="10"/>
      <c r="PBI65" s="10"/>
      <c r="PBJ65" s="10"/>
      <c r="PBK65" s="10"/>
      <c r="PBL65" s="10"/>
      <c r="PBM65" s="10"/>
      <c r="PBN65" s="10"/>
      <c r="PBO65" s="10"/>
      <c r="PBP65" s="10"/>
      <c r="PBQ65" s="10"/>
      <c r="PBR65" s="10"/>
      <c r="PBS65" s="10"/>
      <c r="PBT65" s="10"/>
      <c r="PBU65" s="10"/>
      <c r="PBV65" s="10"/>
      <c r="PBW65" s="10"/>
      <c r="PBX65" s="10"/>
      <c r="PBY65" s="10"/>
      <c r="PBZ65" s="10"/>
      <c r="PCA65" s="10"/>
      <c r="PCB65" s="10"/>
      <c r="PCC65" s="10"/>
      <c r="PCD65" s="10"/>
      <c r="PCE65" s="10"/>
      <c r="PCF65" s="10"/>
      <c r="PCG65" s="10"/>
      <c r="PCH65" s="10"/>
      <c r="PCI65" s="10"/>
      <c r="PCJ65" s="10"/>
      <c r="PCK65" s="10"/>
      <c r="PCL65" s="10"/>
      <c r="PCM65" s="10"/>
      <c r="PCN65" s="10"/>
      <c r="PCO65" s="10"/>
      <c r="PCP65" s="10"/>
      <c r="PCQ65" s="10"/>
      <c r="PCR65" s="10"/>
      <c r="PCS65" s="10"/>
      <c r="PCT65" s="10"/>
      <c r="PCU65" s="10"/>
      <c r="PCV65" s="10"/>
      <c r="PCW65" s="10"/>
      <c r="PCX65" s="10"/>
      <c r="PCY65" s="10"/>
      <c r="PCZ65" s="10"/>
      <c r="PDA65" s="10"/>
      <c r="PDB65" s="10"/>
      <c r="PDC65" s="10"/>
      <c r="PDD65" s="10"/>
      <c r="PDE65" s="10"/>
      <c r="PDF65" s="10"/>
      <c r="PDG65" s="10"/>
      <c r="PDH65" s="10"/>
      <c r="PDI65" s="10"/>
      <c r="PDJ65" s="10"/>
      <c r="PDK65" s="10"/>
      <c r="PDL65" s="10"/>
      <c r="PDM65" s="10"/>
      <c r="PDN65" s="10"/>
      <c r="PDO65" s="10"/>
      <c r="PDP65" s="10"/>
      <c r="PDQ65" s="10"/>
      <c r="PDR65" s="10"/>
      <c r="PDS65" s="10"/>
      <c r="PDT65" s="10"/>
      <c r="PDU65" s="10"/>
      <c r="PDV65" s="10"/>
      <c r="PDW65" s="10"/>
      <c r="PDX65" s="10"/>
      <c r="PDY65" s="10"/>
      <c r="PDZ65" s="10"/>
      <c r="PEA65" s="10"/>
      <c r="PEB65" s="10"/>
      <c r="PEC65" s="10"/>
      <c r="PED65" s="10"/>
      <c r="PEE65" s="10"/>
      <c r="PEF65" s="10"/>
      <c r="PEG65" s="10"/>
      <c r="PEH65" s="10"/>
      <c r="PEI65" s="10"/>
      <c r="PEJ65" s="10"/>
      <c r="PEK65" s="10"/>
      <c r="PEL65" s="10"/>
      <c r="PEM65" s="10"/>
      <c r="PEN65" s="10"/>
      <c r="PEO65" s="10"/>
      <c r="PEP65" s="10"/>
      <c r="PEQ65" s="10"/>
      <c r="PER65" s="10"/>
      <c r="PES65" s="10"/>
      <c r="PET65" s="10"/>
      <c r="PEU65" s="10"/>
      <c r="PEV65" s="10"/>
      <c r="PEW65" s="10"/>
      <c r="PEX65" s="10"/>
      <c r="PEY65" s="10"/>
      <c r="PEZ65" s="10"/>
      <c r="PFA65" s="10"/>
      <c r="PFB65" s="10"/>
      <c r="PFC65" s="10"/>
      <c r="PFD65" s="10"/>
      <c r="PFE65" s="10"/>
      <c r="PFF65" s="10"/>
      <c r="PFG65" s="10"/>
      <c r="PFH65" s="10"/>
      <c r="PFI65" s="10"/>
      <c r="PFJ65" s="10"/>
      <c r="PFK65" s="10"/>
      <c r="PFL65" s="10"/>
      <c r="PFM65" s="10"/>
      <c r="PFN65" s="10"/>
      <c r="PFO65" s="10"/>
      <c r="PFP65" s="10"/>
      <c r="PFQ65" s="10"/>
      <c r="PFR65" s="10"/>
      <c r="PFS65" s="10"/>
      <c r="PFT65" s="10"/>
      <c r="PFU65" s="10"/>
      <c r="PFV65" s="10"/>
      <c r="PFW65" s="10"/>
      <c r="PFX65" s="10"/>
      <c r="PFY65" s="10"/>
      <c r="PFZ65" s="10"/>
      <c r="PGA65" s="10"/>
      <c r="PGB65" s="10"/>
      <c r="PGC65" s="10"/>
      <c r="PGD65" s="10"/>
      <c r="PGE65" s="10"/>
      <c r="PGF65" s="10"/>
      <c r="PGG65" s="10"/>
      <c r="PGH65" s="10"/>
      <c r="PGI65" s="10"/>
      <c r="PGJ65" s="10"/>
      <c r="PGK65" s="10"/>
      <c r="PGL65" s="10"/>
      <c r="PGM65" s="10"/>
      <c r="PGN65" s="10"/>
      <c r="PGO65" s="10"/>
      <c r="PGP65" s="10"/>
      <c r="PGQ65" s="10"/>
      <c r="PGR65" s="10"/>
      <c r="PGS65" s="10"/>
      <c r="PGT65" s="10"/>
      <c r="PGU65" s="10"/>
      <c r="PGV65" s="10"/>
      <c r="PGW65" s="10"/>
      <c r="PGX65" s="10"/>
      <c r="PGY65" s="10"/>
      <c r="PGZ65" s="10"/>
      <c r="PHA65" s="10"/>
      <c r="PHB65" s="10"/>
      <c r="PHC65" s="10"/>
      <c r="PHD65" s="10"/>
      <c r="PHE65" s="10"/>
      <c r="PHF65" s="10"/>
      <c r="PHG65" s="10"/>
      <c r="PHH65" s="10"/>
      <c r="PHI65" s="10"/>
      <c r="PHJ65" s="10"/>
      <c r="PHK65" s="10"/>
      <c r="PHL65" s="10"/>
      <c r="PHM65" s="10"/>
      <c r="PHN65" s="10"/>
      <c r="PHO65" s="10"/>
      <c r="PHP65" s="10"/>
      <c r="PHQ65" s="10"/>
      <c r="PHR65" s="10"/>
      <c r="PHS65" s="10"/>
      <c r="PHT65" s="10"/>
      <c r="PHU65" s="10"/>
      <c r="PHV65" s="10"/>
      <c r="PHW65" s="10"/>
      <c r="PHX65" s="10"/>
      <c r="PHY65" s="10"/>
      <c r="PHZ65" s="10"/>
      <c r="PIA65" s="10"/>
      <c r="PIB65" s="10"/>
      <c r="PIC65" s="10"/>
      <c r="PID65" s="10"/>
      <c r="PIE65" s="10"/>
      <c r="PIF65" s="10"/>
      <c r="PIG65" s="10"/>
      <c r="PIH65" s="10"/>
      <c r="PII65" s="10"/>
      <c r="PIJ65" s="10"/>
      <c r="PIK65" s="10"/>
      <c r="PIL65" s="10"/>
      <c r="PIM65" s="10"/>
      <c r="PIN65" s="10"/>
      <c r="PIO65" s="10"/>
      <c r="PIP65" s="10"/>
      <c r="PIQ65" s="10"/>
      <c r="PIR65" s="10"/>
      <c r="PIS65" s="10"/>
      <c r="PIT65" s="10"/>
      <c r="PIU65" s="10"/>
      <c r="PIV65" s="10"/>
      <c r="PIW65" s="10"/>
      <c r="PIX65" s="10"/>
      <c r="PIY65" s="10"/>
      <c r="PIZ65" s="10"/>
      <c r="PJA65" s="10"/>
      <c r="PJB65" s="10"/>
      <c r="PJC65" s="10"/>
      <c r="PJD65" s="10"/>
      <c r="PJE65" s="10"/>
      <c r="PJF65" s="10"/>
      <c r="PJG65" s="10"/>
      <c r="PJH65" s="10"/>
      <c r="PJI65" s="10"/>
      <c r="PJJ65" s="10"/>
      <c r="PJK65" s="10"/>
      <c r="PJL65" s="10"/>
      <c r="PJM65" s="10"/>
      <c r="PJN65" s="10"/>
      <c r="PJO65" s="10"/>
      <c r="PJP65" s="10"/>
      <c r="PJQ65" s="10"/>
      <c r="PJR65" s="10"/>
      <c r="PJS65" s="10"/>
      <c r="PJT65" s="10"/>
      <c r="PJU65" s="10"/>
      <c r="PJV65" s="10"/>
      <c r="PJW65" s="10"/>
      <c r="PJX65" s="10"/>
      <c r="PJY65" s="10"/>
      <c r="PJZ65" s="10"/>
      <c r="PKA65" s="10"/>
      <c r="PKB65" s="10"/>
      <c r="PKC65" s="10"/>
      <c r="PKD65" s="10"/>
      <c r="PKE65" s="10"/>
      <c r="PKF65" s="10"/>
      <c r="PKG65" s="10"/>
      <c r="PKH65" s="10"/>
      <c r="PKI65" s="10"/>
      <c r="PKJ65" s="10"/>
      <c r="PKK65" s="10"/>
      <c r="PKL65" s="10"/>
      <c r="PKM65" s="10"/>
      <c r="PKN65" s="10"/>
      <c r="PKO65" s="10"/>
      <c r="PKP65" s="10"/>
      <c r="PKQ65" s="10"/>
      <c r="PKR65" s="10"/>
      <c r="PKS65" s="10"/>
      <c r="PKT65" s="10"/>
      <c r="PKU65" s="10"/>
      <c r="PKV65" s="10"/>
      <c r="PKW65" s="10"/>
      <c r="PKX65" s="10"/>
      <c r="PKY65" s="10"/>
      <c r="PKZ65" s="10"/>
      <c r="PLA65" s="10"/>
      <c r="PLB65" s="10"/>
      <c r="PLC65" s="10"/>
      <c r="PLD65" s="10"/>
      <c r="PLE65" s="10"/>
      <c r="PLF65" s="10"/>
      <c r="PLG65" s="10"/>
      <c r="PLH65" s="10"/>
      <c r="PLI65" s="10"/>
      <c r="PLJ65" s="10"/>
      <c r="PLK65" s="10"/>
      <c r="PLL65" s="10"/>
      <c r="PLM65" s="10"/>
      <c r="PLN65" s="10"/>
      <c r="PLO65" s="10"/>
      <c r="PLP65" s="10"/>
      <c r="PLQ65" s="10"/>
      <c r="PLR65" s="10"/>
      <c r="PLS65" s="10"/>
      <c r="PLT65" s="10"/>
      <c r="PLU65" s="10"/>
      <c r="PLV65" s="10"/>
      <c r="PLW65" s="10"/>
      <c r="PLX65" s="10"/>
      <c r="PLY65" s="10"/>
      <c r="PLZ65" s="10"/>
      <c r="PMA65" s="10"/>
      <c r="PMB65" s="10"/>
      <c r="PMC65" s="10"/>
      <c r="PMD65" s="10"/>
      <c r="PME65" s="10"/>
      <c r="PMF65" s="10"/>
      <c r="PMG65" s="10"/>
      <c r="PMH65" s="10"/>
      <c r="PMI65" s="10"/>
      <c r="PMJ65" s="10"/>
      <c r="PMK65" s="10"/>
      <c r="PML65" s="10"/>
      <c r="PMM65" s="10"/>
      <c r="PMN65" s="10"/>
      <c r="PMO65" s="10"/>
      <c r="PMP65" s="10"/>
      <c r="PMQ65" s="10"/>
      <c r="PMR65" s="10"/>
      <c r="PMS65" s="10"/>
      <c r="PMT65" s="10"/>
      <c r="PMU65" s="10"/>
      <c r="PMV65" s="10"/>
      <c r="PMW65" s="10"/>
      <c r="PMX65" s="10"/>
      <c r="PMY65" s="10"/>
      <c r="PMZ65" s="10"/>
      <c r="PNA65" s="10"/>
      <c r="PNB65" s="10"/>
      <c r="PNC65" s="10"/>
      <c r="PND65" s="10"/>
      <c r="PNE65" s="10"/>
      <c r="PNF65" s="10"/>
      <c r="PNG65" s="10"/>
      <c r="PNH65" s="10"/>
      <c r="PNI65" s="10"/>
      <c r="PNJ65" s="10"/>
      <c r="PNK65" s="10"/>
      <c r="PNL65" s="10"/>
      <c r="PNM65" s="10"/>
      <c r="PNN65" s="10"/>
      <c r="PNO65" s="10"/>
      <c r="PNP65" s="10"/>
      <c r="PNQ65" s="10"/>
      <c r="PNR65" s="10"/>
      <c r="PNS65" s="10"/>
      <c r="PNT65" s="10"/>
      <c r="PNU65" s="10"/>
      <c r="PNV65" s="10"/>
      <c r="PNW65" s="10"/>
      <c r="PNX65" s="10"/>
      <c r="PNY65" s="10"/>
      <c r="PNZ65" s="10"/>
      <c r="POA65" s="10"/>
      <c r="POB65" s="10"/>
      <c r="POC65" s="10"/>
      <c r="POD65" s="10"/>
      <c r="POE65" s="10"/>
      <c r="POF65" s="10"/>
      <c r="POG65" s="10"/>
      <c r="POH65" s="10"/>
      <c r="POI65" s="10"/>
      <c r="POJ65" s="10"/>
      <c r="POK65" s="10"/>
      <c r="POL65" s="10"/>
      <c r="POM65" s="10"/>
      <c r="PON65" s="10"/>
      <c r="POO65" s="10"/>
      <c r="POP65" s="10"/>
      <c r="POQ65" s="10"/>
      <c r="POR65" s="10"/>
      <c r="POS65" s="10"/>
      <c r="POT65" s="10"/>
      <c r="POU65" s="10"/>
      <c r="POV65" s="10"/>
      <c r="POW65" s="10"/>
      <c r="POX65" s="10"/>
      <c r="POY65" s="10"/>
      <c r="POZ65" s="10"/>
      <c r="PPA65" s="10"/>
      <c r="PPB65" s="10"/>
      <c r="PPC65" s="10"/>
      <c r="PPD65" s="10"/>
      <c r="PPE65" s="10"/>
      <c r="PPF65" s="10"/>
      <c r="PPG65" s="10"/>
      <c r="PPH65" s="10"/>
      <c r="PPI65" s="10"/>
      <c r="PPJ65" s="10"/>
      <c r="PPK65" s="10"/>
      <c r="PPL65" s="10"/>
      <c r="PPM65" s="10"/>
      <c r="PPN65" s="10"/>
      <c r="PPO65" s="10"/>
      <c r="PPP65" s="10"/>
      <c r="PPQ65" s="10"/>
      <c r="PPR65" s="10"/>
      <c r="PPS65" s="10"/>
      <c r="PPT65" s="10"/>
      <c r="PPU65" s="10"/>
      <c r="PPV65" s="10"/>
      <c r="PPW65" s="10"/>
      <c r="PPX65" s="10"/>
      <c r="PPY65" s="10"/>
      <c r="PPZ65" s="10"/>
      <c r="PQA65" s="10"/>
      <c r="PQB65" s="10"/>
      <c r="PQC65" s="10"/>
      <c r="PQD65" s="10"/>
      <c r="PQE65" s="10"/>
      <c r="PQF65" s="10"/>
      <c r="PQG65" s="10"/>
      <c r="PQH65" s="10"/>
      <c r="PQI65" s="10"/>
      <c r="PQJ65" s="10"/>
      <c r="PQK65" s="10"/>
      <c r="PQL65" s="10"/>
      <c r="PQM65" s="10"/>
      <c r="PQN65" s="10"/>
      <c r="PQO65" s="10"/>
      <c r="PQP65" s="10"/>
      <c r="PQQ65" s="10"/>
      <c r="PQR65" s="10"/>
      <c r="PQS65" s="10"/>
      <c r="PQT65" s="10"/>
      <c r="PQU65" s="10"/>
      <c r="PQV65" s="10"/>
      <c r="PQW65" s="10"/>
      <c r="PQX65" s="10"/>
      <c r="PQY65" s="10"/>
      <c r="PQZ65" s="10"/>
      <c r="PRA65" s="10"/>
      <c r="PRB65" s="10"/>
      <c r="PRC65" s="10"/>
      <c r="PRD65" s="10"/>
      <c r="PRE65" s="10"/>
      <c r="PRF65" s="10"/>
      <c r="PRG65" s="10"/>
      <c r="PRH65" s="10"/>
      <c r="PRI65" s="10"/>
      <c r="PRJ65" s="10"/>
      <c r="PRK65" s="10"/>
      <c r="PRL65" s="10"/>
      <c r="PRM65" s="10"/>
      <c r="PRN65" s="10"/>
      <c r="PRO65" s="10"/>
      <c r="PRP65" s="10"/>
      <c r="PRQ65" s="10"/>
      <c r="PRR65" s="10"/>
      <c r="PRS65" s="10"/>
      <c r="PRT65" s="10"/>
      <c r="PRU65" s="10"/>
      <c r="PRV65" s="10"/>
      <c r="PRW65" s="10"/>
      <c r="PRX65" s="10"/>
      <c r="PRY65" s="10"/>
      <c r="PRZ65" s="10"/>
      <c r="PSA65" s="10"/>
      <c r="PSB65" s="10"/>
      <c r="PSC65" s="10"/>
      <c r="PSD65" s="10"/>
      <c r="PSE65" s="10"/>
      <c r="PSF65" s="10"/>
      <c r="PSG65" s="10"/>
      <c r="PSH65" s="10"/>
      <c r="PSI65" s="10"/>
      <c r="PSJ65" s="10"/>
      <c r="PSK65" s="10"/>
      <c r="PSL65" s="10"/>
      <c r="PSM65" s="10"/>
      <c r="PSN65" s="10"/>
      <c r="PSO65" s="10"/>
      <c r="PSP65" s="10"/>
      <c r="PSQ65" s="10"/>
      <c r="PSR65" s="10"/>
      <c r="PSS65" s="10"/>
      <c r="PST65" s="10"/>
      <c r="PSU65" s="10"/>
      <c r="PSV65" s="10"/>
      <c r="PSW65" s="10"/>
      <c r="PSX65" s="10"/>
      <c r="PSY65" s="10"/>
      <c r="PSZ65" s="10"/>
      <c r="PTA65" s="10"/>
      <c r="PTB65" s="10"/>
      <c r="PTC65" s="10"/>
      <c r="PTD65" s="10"/>
      <c r="PTE65" s="10"/>
      <c r="PTF65" s="10"/>
      <c r="PTG65" s="10"/>
      <c r="PTH65" s="10"/>
      <c r="PTI65" s="10"/>
      <c r="PTJ65" s="10"/>
      <c r="PTK65" s="10"/>
      <c r="PTL65" s="10"/>
      <c r="PTM65" s="10"/>
      <c r="PTN65" s="10"/>
      <c r="PTO65" s="10"/>
      <c r="PTP65" s="10"/>
      <c r="PTQ65" s="10"/>
      <c r="PTR65" s="10"/>
      <c r="PTS65" s="10"/>
      <c r="PTT65" s="10"/>
      <c r="PTU65" s="10"/>
      <c r="PTV65" s="10"/>
      <c r="PTW65" s="10"/>
      <c r="PTX65" s="10"/>
      <c r="PTY65" s="10"/>
      <c r="PTZ65" s="10"/>
      <c r="PUA65" s="10"/>
      <c r="PUB65" s="10"/>
      <c r="PUC65" s="10"/>
      <c r="PUD65" s="10"/>
      <c r="PUE65" s="10"/>
      <c r="PUF65" s="10"/>
      <c r="PUG65" s="10"/>
      <c r="PUH65" s="10"/>
      <c r="PUI65" s="10"/>
      <c r="PUJ65" s="10"/>
      <c r="PUK65" s="10"/>
      <c r="PUL65" s="10"/>
      <c r="PUM65" s="10"/>
      <c r="PUN65" s="10"/>
      <c r="PUO65" s="10"/>
      <c r="PUP65" s="10"/>
      <c r="PUQ65" s="10"/>
      <c r="PUR65" s="10"/>
      <c r="PUS65" s="10"/>
      <c r="PUT65" s="10"/>
      <c r="PUU65" s="10"/>
      <c r="PUV65" s="10"/>
      <c r="PUW65" s="10"/>
      <c r="PUX65" s="10"/>
      <c r="PUY65" s="10"/>
      <c r="PUZ65" s="10"/>
      <c r="PVA65" s="10"/>
      <c r="PVB65" s="10"/>
      <c r="PVC65" s="10"/>
      <c r="PVD65" s="10"/>
      <c r="PVE65" s="10"/>
      <c r="PVF65" s="10"/>
      <c r="PVG65" s="10"/>
      <c r="PVH65" s="10"/>
      <c r="PVI65" s="10"/>
      <c r="PVJ65" s="10"/>
      <c r="PVK65" s="10"/>
      <c r="PVL65" s="10"/>
      <c r="PVM65" s="10"/>
      <c r="PVN65" s="10"/>
      <c r="PVO65" s="10"/>
      <c r="PVP65" s="10"/>
      <c r="PVQ65" s="10"/>
      <c r="PVR65" s="10"/>
      <c r="PVS65" s="10"/>
      <c r="PVT65" s="10"/>
      <c r="PVU65" s="10"/>
      <c r="PVV65" s="10"/>
      <c r="PVW65" s="10"/>
      <c r="PVX65" s="10"/>
      <c r="PVY65" s="10"/>
      <c r="PVZ65" s="10"/>
      <c r="PWA65" s="10"/>
      <c r="PWB65" s="10"/>
      <c r="PWC65" s="10"/>
      <c r="PWD65" s="10"/>
      <c r="PWE65" s="10"/>
      <c r="PWF65" s="10"/>
      <c r="PWG65" s="10"/>
      <c r="PWH65" s="10"/>
      <c r="PWI65" s="10"/>
      <c r="PWJ65" s="10"/>
      <c r="PWK65" s="10"/>
      <c r="PWL65" s="10"/>
      <c r="PWM65" s="10"/>
      <c r="PWN65" s="10"/>
      <c r="PWO65" s="10"/>
      <c r="PWP65" s="10"/>
      <c r="PWQ65" s="10"/>
      <c r="PWR65" s="10"/>
      <c r="PWS65" s="10"/>
      <c r="PWT65" s="10"/>
      <c r="PWU65" s="10"/>
      <c r="PWV65" s="10"/>
      <c r="PWW65" s="10"/>
      <c r="PWX65" s="10"/>
      <c r="PWY65" s="10"/>
      <c r="PWZ65" s="10"/>
      <c r="PXA65" s="10"/>
      <c r="PXB65" s="10"/>
      <c r="PXC65" s="10"/>
      <c r="PXD65" s="10"/>
      <c r="PXE65" s="10"/>
      <c r="PXF65" s="10"/>
      <c r="PXG65" s="10"/>
      <c r="PXH65" s="10"/>
      <c r="PXI65" s="10"/>
      <c r="PXJ65" s="10"/>
      <c r="PXK65" s="10"/>
      <c r="PXL65" s="10"/>
      <c r="PXM65" s="10"/>
      <c r="PXN65" s="10"/>
      <c r="PXO65" s="10"/>
      <c r="PXP65" s="10"/>
      <c r="PXQ65" s="10"/>
      <c r="PXR65" s="10"/>
      <c r="PXS65" s="10"/>
      <c r="PXT65" s="10"/>
      <c r="PXU65" s="10"/>
      <c r="PXV65" s="10"/>
      <c r="PXW65" s="10"/>
      <c r="PXX65" s="10"/>
      <c r="PXY65" s="10"/>
      <c r="PXZ65" s="10"/>
      <c r="PYA65" s="10"/>
      <c r="PYB65" s="10"/>
      <c r="PYC65" s="10"/>
      <c r="PYD65" s="10"/>
      <c r="PYE65" s="10"/>
      <c r="PYF65" s="10"/>
      <c r="PYG65" s="10"/>
      <c r="PYH65" s="10"/>
      <c r="PYI65" s="10"/>
      <c r="PYJ65" s="10"/>
      <c r="PYK65" s="10"/>
      <c r="PYL65" s="10"/>
      <c r="PYM65" s="10"/>
      <c r="PYN65" s="10"/>
      <c r="PYO65" s="10"/>
      <c r="PYP65" s="10"/>
      <c r="PYQ65" s="10"/>
      <c r="PYR65" s="10"/>
      <c r="PYS65" s="10"/>
      <c r="PYT65" s="10"/>
      <c r="PYU65" s="10"/>
      <c r="PYV65" s="10"/>
      <c r="PYW65" s="10"/>
      <c r="PYX65" s="10"/>
      <c r="PYY65" s="10"/>
      <c r="PYZ65" s="10"/>
      <c r="PZA65" s="10"/>
      <c r="PZB65" s="10"/>
      <c r="PZC65" s="10"/>
      <c r="PZD65" s="10"/>
      <c r="PZE65" s="10"/>
      <c r="PZF65" s="10"/>
      <c r="PZG65" s="10"/>
      <c r="PZH65" s="10"/>
      <c r="PZI65" s="10"/>
      <c r="PZJ65" s="10"/>
      <c r="PZK65" s="10"/>
      <c r="PZL65" s="10"/>
      <c r="PZM65" s="10"/>
      <c r="PZN65" s="10"/>
      <c r="PZO65" s="10"/>
      <c r="PZP65" s="10"/>
      <c r="PZQ65" s="10"/>
      <c r="PZR65" s="10"/>
      <c r="PZS65" s="10"/>
      <c r="PZT65" s="10"/>
      <c r="PZU65" s="10"/>
      <c r="PZV65" s="10"/>
      <c r="PZW65" s="10"/>
      <c r="PZX65" s="10"/>
      <c r="PZY65" s="10"/>
      <c r="PZZ65" s="10"/>
      <c r="QAA65" s="10"/>
      <c r="QAB65" s="10"/>
      <c r="QAC65" s="10"/>
      <c r="QAD65" s="10"/>
      <c r="QAE65" s="10"/>
      <c r="QAF65" s="10"/>
      <c r="QAG65" s="10"/>
      <c r="QAH65" s="10"/>
      <c r="QAI65" s="10"/>
      <c r="QAJ65" s="10"/>
      <c r="QAK65" s="10"/>
      <c r="QAL65" s="10"/>
      <c r="QAM65" s="10"/>
      <c r="QAN65" s="10"/>
      <c r="QAO65" s="10"/>
      <c r="QAP65" s="10"/>
      <c r="QAQ65" s="10"/>
      <c r="QAR65" s="10"/>
      <c r="QAS65" s="10"/>
      <c r="QAT65" s="10"/>
      <c r="QAU65" s="10"/>
      <c r="QAV65" s="10"/>
      <c r="QAW65" s="10"/>
      <c r="QAX65" s="10"/>
      <c r="QAY65" s="10"/>
      <c r="QAZ65" s="10"/>
      <c r="QBA65" s="10"/>
      <c r="QBB65" s="10"/>
      <c r="QBC65" s="10"/>
      <c r="QBD65" s="10"/>
      <c r="QBE65" s="10"/>
      <c r="QBF65" s="10"/>
      <c r="QBG65" s="10"/>
      <c r="QBH65" s="10"/>
      <c r="QBI65" s="10"/>
      <c r="QBJ65" s="10"/>
      <c r="QBK65" s="10"/>
      <c r="QBL65" s="10"/>
      <c r="QBM65" s="10"/>
      <c r="QBN65" s="10"/>
      <c r="QBO65" s="10"/>
      <c r="QBP65" s="10"/>
      <c r="QBQ65" s="10"/>
      <c r="QBR65" s="10"/>
      <c r="QBS65" s="10"/>
      <c r="QBT65" s="10"/>
      <c r="QBU65" s="10"/>
      <c r="QBV65" s="10"/>
      <c r="QBW65" s="10"/>
      <c r="QBX65" s="10"/>
      <c r="QBY65" s="10"/>
      <c r="QBZ65" s="10"/>
      <c r="QCA65" s="10"/>
      <c r="QCB65" s="10"/>
      <c r="QCC65" s="10"/>
      <c r="QCD65" s="10"/>
      <c r="QCE65" s="10"/>
      <c r="QCF65" s="10"/>
      <c r="QCG65" s="10"/>
      <c r="QCH65" s="10"/>
      <c r="QCI65" s="10"/>
      <c r="QCJ65" s="10"/>
      <c r="QCK65" s="10"/>
      <c r="QCL65" s="10"/>
      <c r="QCM65" s="10"/>
      <c r="QCN65" s="10"/>
      <c r="QCO65" s="10"/>
      <c r="QCP65" s="10"/>
      <c r="QCQ65" s="10"/>
      <c r="QCR65" s="10"/>
      <c r="QCS65" s="10"/>
      <c r="QCT65" s="10"/>
      <c r="QCU65" s="10"/>
      <c r="QCV65" s="10"/>
      <c r="QCW65" s="10"/>
      <c r="QCX65" s="10"/>
      <c r="QCY65" s="10"/>
      <c r="QCZ65" s="10"/>
      <c r="QDA65" s="10"/>
      <c r="QDB65" s="10"/>
      <c r="QDC65" s="10"/>
      <c r="QDD65" s="10"/>
      <c r="QDE65" s="10"/>
      <c r="QDF65" s="10"/>
      <c r="QDG65" s="10"/>
      <c r="QDH65" s="10"/>
      <c r="QDI65" s="10"/>
      <c r="QDJ65" s="10"/>
      <c r="QDK65" s="10"/>
      <c r="QDL65" s="10"/>
      <c r="QDM65" s="10"/>
      <c r="QDN65" s="10"/>
      <c r="QDO65" s="10"/>
      <c r="QDP65" s="10"/>
      <c r="QDQ65" s="10"/>
      <c r="QDR65" s="10"/>
      <c r="QDS65" s="10"/>
      <c r="QDT65" s="10"/>
      <c r="QDU65" s="10"/>
      <c r="QDV65" s="10"/>
      <c r="QDW65" s="10"/>
      <c r="QDX65" s="10"/>
      <c r="QDY65" s="10"/>
      <c r="QDZ65" s="10"/>
      <c r="QEA65" s="10"/>
      <c r="QEB65" s="10"/>
      <c r="QEC65" s="10"/>
      <c r="QED65" s="10"/>
      <c r="QEE65" s="10"/>
      <c r="QEF65" s="10"/>
      <c r="QEG65" s="10"/>
      <c r="QEH65" s="10"/>
      <c r="QEI65" s="10"/>
      <c r="QEJ65" s="10"/>
      <c r="QEK65" s="10"/>
      <c r="QEL65" s="10"/>
      <c r="QEM65" s="10"/>
      <c r="QEN65" s="10"/>
      <c r="QEO65" s="10"/>
      <c r="QEP65" s="10"/>
      <c r="QEQ65" s="10"/>
      <c r="QER65" s="10"/>
      <c r="QES65" s="10"/>
      <c r="QET65" s="10"/>
      <c r="QEU65" s="10"/>
      <c r="QEV65" s="10"/>
      <c r="QEW65" s="10"/>
      <c r="QEX65" s="10"/>
      <c r="QEY65" s="10"/>
      <c r="QEZ65" s="10"/>
      <c r="QFA65" s="10"/>
      <c r="QFB65" s="10"/>
      <c r="QFC65" s="10"/>
      <c r="QFD65" s="10"/>
      <c r="QFE65" s="10"/>
      <c r="QFF65" s="10"/>
      <c r="QFG65" s="10"/>
      <c r="QFH65" s="10"/>
      <c r="QFI65" s="10"/>
      <c r="QFJ65" s="10"/>
      <c r="QFK65" s="10"/>
      <c r="QFL65" s="10"/>
      <c r="QFM65" s="10"/>
      <c r="QFN65" s="10"/>
      <c r="QFO65" s="10"/>
      <c r="QFP65" s="10"/>
      <c r="QFQ65" s="10"/>
      <c r="QFR65" s="10"/>
      <c r="QFS65" s="10"/>
      <c r="QFT65" s="10"/>
      <c r="QFU65" s="10"/>
      <c r="QFV65" s="10"/>
      <c r="QFW65" s="10"/>
      <c r="QFX65" s="10"/>
      <c r="QFY65" s="10"/>
      <c r="QFZ65" s="10"/>
      <c r="QGA65" s="10"/>
      <c r="QGB65" s="10"/>
      <c r="QGC65" s="10"/>
      <c r="QGD65" s="10"/>
      <c r="QGE65" s="10"/>
      <c r="QGF65" s="10"/>
      <c r="QGG65" s="10"/>
      <c r="QGH65" s="10"/>
      <c r="QGI65" s="10"/>
      <c r="QGJ65" s="10"/>
      <c r="QGK65" s="10"/>
      <c r="QGL65" s="10"/>
      <c r="QGM65" s="10"/>
      <c r="QGN65" s="10"/>
      <c r="QGO65" s="10"/>
      <c r="QGP65" s="10"/>
      <c r="QGQ65" s="10"/>
      <c r="QGR65" s="10"/>
      <c r="QGS65" s="10"/>
      <c r="QGT65" s="10"/>
      <c r="QGU65" s="10"/>
      <c r="QGV65" s="10"/>
      <c r="QGW65" s="10"/>
      <c r="QGX65" s="10"/>
      <c r="QGY65" s="10"/>
      <c r="QGZ65" s="10"/>
      <c r="QHA65" s="10"/>
      <c r="QHB65" s="10"/>
      <c r="QHC65" s="10"/>
      <c r="QHD65" s="10"/>
      <c r="QHE65" s="10"/>
      <c r="QHF65" s="10"/>
      <c r="QHG65" s="10"/>
      <c r="QHH65" s="10"/>
      <c r="QHI65" s="10"/>
      <c r="QHJ65" s="10"/>
      <c r="QHK65" s="10"/>
      <c r="QHL65" s="10"/>
      <c r="QHM65" s="10"/>
      <c r="QHN65" s="10"/>
      <c r="QHO65" s="10"/>
      <c r="QHP65" s="10"/>
      <c r="QHQ65" s="10"/>
      <c r="QHR65" s="10"/>
      <c r="QHS65" s="10"/>
      <c r="QHT65" s="10"/>
      <c r="QHU65" s="10"/>
      <c r="QHV65" s="10"/>
      <c r="QHW65" s="10"/>
      <c r="QHX65" s="10"/>
      <c r="QHY65" s="10"/>
      <c r="QHZ65" s="10"/>
      <c r="QIA65" s="10"/>
      <c r="QIB65" s="10"/>
      <c r="QIC65" s="10"/>
      <c r="QID65" s="10"/>
      <c r="QIE65" s="10"/>
      <c r="QIF65" s="10"/>
      <c r="QIG65" s="10"/>
      <c r="QIH65" s="10"/>
      <c r="QII65" s="10"/>
      <c r="QIJ65" s="10"/>
      <c r="QIK65" s="10"/>
      <c r="QIL65" s="10"/>
      <c r="QIM65" s="10"/>
      <c r="QIN65" s="10"/>
      <c r="QIO65" s="10"/>
      <c r="QIP65" s="10"/>
      <c r="QIQ65" s="10"/>
      <c r="QIR65" s="10"/>
      <c r="QIS65" s="10"/>
      <c r="QIT65" s="10"/>
      <c r="QIU65" s="10"/>
      <c r="QIV65" s="10"/>
      <c r="QIW65" s="10"/>
      <c r="QIX65" s="10"/>
      <c r="QIY65" s="10"/>
      <c r="QIZ65" s="10"/>
      <c r="QJA65" s="10"/>
      <c r="QJB65" s="10"/>
      <c r="QJC65" s="10"/>
      <c r="QJD65" s="10"/>
      <c r="QJE65" s="10"/>
      <c r="QJF65" s="10"/>
      <c r="QJG65" s="10"/>
      <c r="QJH65" s="10"/>
      <c r="QJI65" s="10"/>
      <c r="QJJ65" s="10"/>
      <c r="QJK65" s="10"/>
      <c r="QJL65" s="10"/>
      <c r="QJM65" s="10"/>
      <c r="QJN65" s="10"/>
      <c r="QJO65" s="10"/>
      <c r="QJP65" s="10"/>
      <c r="QJQ65" s="10"/>
      <c r="QJR65" s="10"/>
      <c r="QJS65" s="10"/>
      <c r="QJT65" s="10"/>
      <c r="QJU65" s="10"/>
      <c r="QJV65" s="10"/>
      <c r="QJW65" s="10"/>
      <c r="QJX65" s="10"/>
      <c r="QJY65" s="10"/>
      <c r="QJZ65" s="10"/>
      <c r="QKA65" s="10"/>
      <c r="QKB65" s="10"/>
      <c r="QKC65" s="10"/>
      <c r="QKD65" s="10"/>
      <c r="QKE65" s="10"/>
      <c r="QKF65" s="10"/>
      <c r="QKG65" s="10"/>
      <c r="QKH65" s="10"/>
      <c r="QKI65" s="10"/>
      <c r="QKJ65" s="10"/>
      <c r="QKK65" s="10"/>
      <c r="QKL65" s="10"/>
      <c r="QKM65" s="10"/>
      <c r="QKN65" s="10"/>
      <c r="QKO65" s="10"/>
      <c r="QKP65" s="10"/>
      <c r="QKQ65" s="10"/>
      <c r="QKR65" s="10"/>
      <c r="QKS65" s="10"/>
      <c r="QKT65" s="10"/>
      <c r="QKU65" s="10"/>
      <c r="QKV65" s="10"/>
      <c r="QKW65" s="10"/>
      <c r="QKX65" s="10"/>
      <c r="QKY65" s="10"/>
      <c r="QKZ65" s="10"/>
      <c r="QLA65" s="10"/>
      <c r="QLB65" s="10"/>
      <c r="QLC65" s="10"/>
      <c r="QLD65" s="10"/>
      <c r="QLE65" s="10"/>
      <c r="QLF65" s="10"/>
      <c r="QLG65" s="10"/>
      <c r="QLH65" s="10"/>
      <c r="QLI65" s="10"/>
      <c r="QLJ65" s="10"/>
      <c r="QLK65" s="10"/>
      <c r="QLL65" s="10"/>
      <c r="QLM65" s="10"/>
      <c r="QLN65" s="10"/>
      <c r="QLO65" s="10"/>
      <c r="QLP65" s="10"/>
      <c r="QLQ65" s="10"/>
      <c r="QLR65" s="10"/>
      <c r="QLS65" s="10"/>
      <c r="QLT65" s="10"/>
      <c r="QLU65" s="10"/>
      <c r="QLV65" s="10"/>
      <c r="QLW65" s="10"/>
      <c r="QLX65" s="10"/>
      <c r="QLY65" s="10"/>
      <c r="QLZ65" s="10"/>
      <c r="QMA65" s="10"/>
      <c r="QMB65" s="10"/>
      <c r="QMC65" s="10"/>
      <c r="QMD65" s="10"/>
      <c r="QME65" s="10"/>
      <c r="QMF65" s="10"/>
      <c r="QMG65" s="10"/>
      <c r="QMH65" s="10"/>
      <c r="QMI65" s="10"/>
      <c r="QMJ65" s="10"/>
      <c r="QMK65" s="10"/>
      <c r="QML65" s="10"/>
      <c r="QMM65" s="10"/>
      <c r="QMN65" s="10"/>
      <c r="QMO65" s="10"/>
      <c r="QMP65" s="10"/>
      <c r="QMQ65" s="10"/>
      <c r="QMR65" s="10"/>
      <c r="QMS65" s="10"/>
      <c r="QMT65" s="10"/>
      <c r="QMU65" s="10"/>
      <c r="QMV65" s="10"/>
      <c r="QMW65" s="10"/>
      <c r="QMX65" s="10"/>
      <c r="QMY65" s="10"/>
      <c r="QMZ65" s="10"/>
      <c r="QNA65" s="10"/>
      <c r="QNB65" s="10"/>
      <c r="QNC65" s="10"/>
      <c r="QND65" s="10"/>
      <c r="QNE65" s="10"/>
      <c r="QNF65" s="10"/>
      <c r="QNG65" s="10"/>
      <c r="QNH65" s="10"/>
      <c r="QNI65" s="10"/>
      <c r="QNJ65" s="10"/>
      <c r="QNK65" s="10"/>
      <c r="QNL65" s="10"/>
      <c r="QNM65" s="10"/>
      <c r="QNN65" s="10"/>
      <c r="QNO65" s="10"/>
      <c r="QNP65" s="10"/>
      <c r="QNQ65" s="10"/>
      <c r="QNR65" s="10"/>
      <c r="QNS65" s="10"/>
      <c r="QNT65" s="10"/>
      <c r="QNU65" s="10"/>
      <c r="QNV65" s="10"/>
      <c r="QNW65" s="10"/>
      <c r="QNX65" s="10"/>
      <c r="QNY65" s="10"/>
      <c r="QNZ65" s="10"/>
      <c r="QOA65" s="10"/>
      <c r="QOB65" s="10"/>
      <c r="QOC65" s="10"/>
      <c r="QOD65" s="10"/>
      <c r="QOE65" s="10"/>
      <c r="QOF65" s="10"/>
      <c r="QOG65" s="10"/>
      <c r="QOH65" s="10"/>
      <c r="QOI65" s="10"/>
      <c r="QOJ65" s="10"/>
      <c r="QOK65" s="10"/>
      <c r="QOL65" s="10"/>
      <c r="QOM65" s="10"/>
      <c r="QON65" s="10"/>
      <c r="QOO65" s="10"/>
      <c r="QOP65" s="10"/>
      <c r="QOQ65" s="10"/>
      <c r="QOR65" s="10"/>
      <c r="QOS65" s="10"/>
      <c r="QOT65" s="10"/>
      <c r="QOU65" s="10"/>
      <c r="QOV65" s="10"/>
      <c r="QOW65" s="10"/>
      <c r="QOX65" s="10"/>
      <c r="QOY65" s="10"/>
      <c r="QOZ65" s="10"/>
      <c r="QPA65" s="10"/>
      <c r="QPB65" s="10"/>
      <c r="QPC65" s="10"/>
      <c r="QPD65" s="10"/>
      <c r="QPE65" s="10"/>
      <c r="QPF65" s="10"/>
      <c r="QPG65" s="10"/>
      <c r="QPH65" s="10"/>
      <c r="QPI65" s="10"/>
      <c r="QPJ65" s="10"/>
      <c r="QPK65" s="10"/>
      <c r="QPL65" s="10"/>
      <c r="QPM65" s="10"/>
      <c r="QPN65" s="10"/>
      <c r="QPO65" s="10"/>
      <c r="QPP65" s="10"/>
      <c r="QPQ65" s="10"/>
      <c r="QPR65" s="10"/>
      <c r="QPS65" s="10"/>
      <c r="QPT65" s="10"/>
      <c r="QPU65" s="10"/>
      <c r="QPV65" s="10"/>
      <c r="QPW65" s="10"/>
      <c r="QPX65" s="10"/>
      <c r="QPY65" s="10"/>
      <c r="QPZ65" s="10"/>
      <c r="QQA65" s="10"/>
      <c r="QQB65" s="10"/>
      <c r="QQC65" s="10"/>
      <c r="QQD65" s="10"/>
      <c r="QQE65" s="10"/>
      <c r="QQF65" s="10"/>
      <c r="QQG65" s="10"/>
      <c r="QQH65" s="10"/>
      <c r="QQI65" s="10"/>
      <c r="QQJ65" s="10"/>
      <c r="QQK65" s="10"/>
      <c r="QQL65" s="10"/>
      <c r="QQM65" s="10"/>
      <c r="QQN65" s="10"/>
      <c r="QQO65" s="10"/>
      <c r="QQP65" s="10"/>
      <c r="QQQ65" s="10"/>
      <c r="QQR65" s="10"/>
      <c r="QQS65" s="10"/>
      <c r="QQT65" s="10"/>
      <c r="QQU65" s="10"/>
      <c r="QQV65" s="10"/>
      <c r="QQW65" s="10"/>
      <c r="QQX65" s="10"/>
      <c r="QQY65" s="10"/>
      <c r="QQZ65" s="10"/>
      <c r="QRA65" s="10"/>
      <c r="QRB65" s="10"/>
      <c r="QRC65" s="10"/>
      <c r="QRD65" s="10"/>
      <c r="QRE65" s="10"/>
      <c r="QRF65" s="10"/>
      <c r="QRG65" s="10"/>
      <c r="QRH65" s="10"/>
      <c r="QRI65" s="10"/>
      <c r="QRJ65" s="10"/>
      <c r="QRK65" s="10"/>
      <c r="QRL65" s="10"/>
      <c r="QRM65" s="10"/>
      <c r="QRN65" s="10"/>
      <c r="QRO65" s="10"/>
      <c r="QRP65" s="10"/>
      <c r="QRQ65" s="10"/>
      <c r="QRR65" s="10"/>
      <c r="QRS65" s="10"/>
      <c r="QRT65" s="10"/>
      <c r="QRU65" s="10"/>
      <c r="QRV65" s="10"/>
      <c r="QRW65" s="10"/>
      <c r="QRX65" s="10"/>
      <c r="QRY65" s="10"/>
      <c r="QRZ65" s="10"/>
      <c r="QSA65" s="10"/>
      <c r="QSB65" s="10"/>
      <c r="QSC65" s="10"/>
      <c r="QSD65" s="10"/>
      <c r="QSE65" s="10"/>
      <c r="QSF65" s="10"/>
      <c r="QSG65" s="10"/>
      <c r="QSH65" s="10"/>
      <c r="QSI65" s="10"/>
      <c r="QSJ65" s="10"/>
      <c r="QSK65" s="10"/>
      <c r="QSL65" s="10"/>
      <c r="QSM65" s="10"/>
      <c r="QSN65" s="10"/>
      <c r="QSO65" s="10"/>
      <c r="QSP65" s="10"/>
      <c r="QSQ65" s="10"/>
      <c r="QSR65" s="10"/>
      <c r="QSS65" s="10"/>
      <c r="QST65" s="10"/>
      <c r="QSU65" s="10"/>
      <c r="QSV65" s="10"/>
      <c r="QSW65" s="10"/>
      <c r="QSX65" s="10"/>
      <c r="QSY65" s="10"/>
      <c r="QSZ65" s="10"/>
      <c r="QTA65" s="10"/>
      <c r="QTB65" s="10"/>
      <c r="QTC65" s="10"/>
      <c r="QTD65" s="10"/>
      <c r="QTE65" s="10"/>
      <c r="QTF65" s="10"/>
      <c r="QTG65" s="10"/>
      <c r="QTH65" s="10"/>
      <c r="QTI65" s="10"/>
      <c r="QTJ65" s="10"/>
      <c r="QTK65" s="10"/>
      <c r="QTL65" s="10"/>
      <c r="QTM65" s="10"/>
      <c r="QTN65" s="10"/>
      <c r="QTO65" s="10"/>
      <c r="QTP65" s="10"/>
      <c r="QTQ65" s="10"/>
      <c r="QTR65" s="10"/>
      <c r="QTS65" s="10"/>
      <c r="QTT65" s="10"/>
      <c r="QTU65" s="10"/>
      <c r="QTV65" s="10"/>
      <c r="QTW65" s="10"/>
      <c r="QTX65" s="10"/>
      <c r="QTY65" s="10"/>
      <c r="QTZ65" s="10"/>
      <c r="QUA65" s="10"/>
      <c r="QUB65" s="10"/>
      <c r="QUC65" s="10"/>
      <c r="QUD65" s="10"/>
      <c r="QUE65" s="10"/>
      <c r="QUF65" s="10"/>
      <c r="QUG65" s="10"/>
      <c r="QUH65" s="10"/>
      <c r="QUI65" s="10"/>
      <c r="QUJ65" s="10"/>
      <c r="QUK65" s="10"/>
      <c r="QUL65" s="10"/>
      <c r="QUM65" s="10"/>
      <c r="QUN65" s="10"/>
      <c r="QUO65" s="10"/>
      <c r="QUP65" s="10"/>
      <c r="QUQ65" s="10"/>
      <c r="QUR65" s="10"/>
      <c r="QUS65" s="10"/>
      <c r="QUT65" s="10"/>
      <c r="QUU65" s="10"/>
      <c r="QUV65" s="10"/>
      <c r="QUW65" s="10"/>
      <c r="QUX65" s="10"/>
      <c r="QUY65" s="10"/>
      <c r="QUZ65" s="10"/>
      <c r="QVA65" s="10"/>
      <c r="QVB65" s="10"/>
      <c r="QVC65" s="10"/>
      <c r="QVD65" s="10"/>
      <c r="QVE65" s="10"/>
      <c r="QVF65" s="10"/>
      <c r="QVG65" s="10"/>
      <c r="QVH65" s="10"/>
      <c r="QVI65" s="10"/>
      <c r="QVJ65" s="10"/>
      <c r="QVK65" s="10"/>
      <c r="QVL65" s="10"/>
      <c r="QVM65" s="10"/>
      <c r="QVN65" s="10"/>
      <c r="QVO65" s="10"/>
      <c r="QVP65" s="10"/>
      <c r="QVQ65" s="10"/>
      <c r="QVR65" s="10"/>
      <c r="QVS65" s="10"/>
      <c r="QVT65" s="10"/>
      <c r="QVU65" s="10"/>
      <c r="QVV65" s="10"/>
      <c r="QVW65" s="10"/>
      <c r="QVX65" s="10"/>
      <c r="QVY65" s="10"/>
      <c r="QVZ65" s="10"/>
      <c r="QWA65" s="10"/>
      <c r="QWB65" s="10"/>
      <c r="QWC65" s="10"/>
      <c r="QWD65" s="10"/>
      <c r="QWE65" s="10"/>
      <c r="QWF65" s="10"/>
      <c r="QWG65" s="10"/>
      <c r="QWH65" s="10"/>
      <c r="QWI65" s="10"/>
      <c r="QWJ65" s="10"/>
      <c r="QWK65" s="10"/>
      <c r="QWL65" s="10"/>
      <c r="QWM65" s="10"/>
      <c r="QWN65" s="10"/>
      <c r="QWO65" s="10"/>
      <c r="QWP65" s="10"/>
      <c r="QWQ65" s="10"/>
      <c r="QWR65" s="10"/>
      <c r="QWS65" s="10"/>
      <c r="QWT65" s="10"/>
      <c r="QWU65" s="10"/>
      <c r="QWV65" s="10"/>
      <c r="QWW65" s="10"/>
      <c r="QWX65" s="10"/>
      <c r="QWY65" s="10"/>
      <c r="QWZ65" s="10"/>
      <c r="QXA65" s="10"/>
      <c r="QXB65" s="10"/>
      <c r="QXC65" s="10"/>
      <c r="QXD65" s="10"/>
      <c r="QXE65" s="10"/>
      <c r="QXF65" s="10"/>
      <c r="QXG65" s="10"/>
      <c r="QXH65" s="10"/>
      <c r="QXI65" s="10"/>
      <c r="QXJ65" s="10"/>
      <c r="QXK65" s="10"/>
      <c r="QXL65" s="10"/>
      <c r="QXM65" s="10"/>
      <c r="QXN65" s="10"/>
      <c r="QXO65" s="10"/>
      <c r="QXP65" s="10"/>
      <c r="QXQ65" s="10"/>
      <c r="QXR65" s="10"/>
      <c r="QXS65" s="10"/>
      <c r="QXT65" s="10"/>
      <c r="QXU65" s="10"/>
      <c r="QXV65" s="10"/>
      <c r="QXW65" s="10"/>
      <c r="QXX65" s="10"/>
      <c r="QXY65" s="10"/>
      <c r="QXZ65" s="10"/>
      <c r="QYA65" s="10"/>
      <c r="QYB65" s="10"/>
      <c r="QYC65" s="10"/>
      <c r="QYD65" s="10"/>
      <c r="QYE65" s="10"/>
      <c r="QYF65" s="10"/>
      <c r="QYG65" s="10"/>
      <c r="QYH65" s="10"/>
      <c r="QYI65" s="10"/>
      <c r="QYJ65" s="10"/>
      <c r="QYK65" s="10"/>
      <c r="QYL65" s="10"/>
      <c r="QYM65" s="10"/>
      <c r="QYN65" s="10"/>
      <c r="QYO65" s="10"/>
      <c r="QYP65" s="10"/>
      <c r="QYQ65" s="10"/>
      <c r="QYR65" s="10"/>
      <c r="QYS65" s="10"/>
      <c r="QYT65" s="10"/>
      <c r="QYU65" s="10"/>
      <c r="QYV65" s="10"/>
      <c r="QYW65" s="10"/>
      <c r="QYX65" s="10"/>
      <c r="QYY65" s="10"/>
      <c r="QYZ65" s="10"/>
      <c r="QZA65" s="10"/>
      <c r="QZB65" s="10"/>
      <c r="QZC65" s="10"/>
      <c r="QZD65" s="10"/>
      <c r="QZE65" s="10"/>
      <c r="QZF65" s="10"/>
      <c r="QZG65" s="10"/>
      <c r="QZH65" s="10"/>
      <c r="QZI65" s="10"/>
      <c r="QZJ65" s="10"/>
      <c r="QZK65" s="10"/>
      <c r="QZL65" s="10"/>
      <c r="QZM65" s="10"/>
      <c r="QZN65" s="10"/>
      <c r="QZO65" s="10"/>
      <c r="QZP65" s="10"/>
      <c r="QZQ65" s="10"/>
      <c r="QZR65" s="10"/>
      <c r="QZS65" s="10"/>
      <c r="QZT65" s="10"/>
      <c r="QZU65" s="10"/>
      <c r="QZV65" s="10"/>
      <c r="QZW65" s="10"/>
      <c r="QZX65" s="10"/>
      <c r="QZY65" s="10"/>
      <c r="QZZ65" s="10"/>
      <c r="RAA65" s="10"/>
      <c r="RAB65" s="10"/>
      <c r="RAC65" s="10"/>
      <c r="RAD65" s="10"/>
      <c r="RAE65" s="10"/>
      <c r="RAF65" s="10"/>
      <c r="RAG65" s="10"/>
      <c r="RAH65" s="10"/>
      <c r="RAI65" s="10"/>
      <c r="RAJ65" s="10"/>
      <c r="RAK65" s="10"/>
      <c r="RAL65" s="10"/>
      <c r="RAM65" s="10"/>
      <c r="RAN65" s="10"/>
      <c r="RAO65" s="10"/>
      <c r="RAP65" s="10"/>
      <c r="RAQ65" s="10"/>
      <c r="RAR65" s="10"/>
      <c r="RAS65" s="10"/>
      <c r="RAT65" s="10"/>
      <c r="RAU65" s="10"/>
      <c r="RAV65" s="10"/>
      <c r="RAW65" s="10"/>
      <c r="RAX65" s="10"/>
      <c r="RAY65" s="10"/>
      <c r="RAZ65" s="10"/>
      <c r="RBA65" s="10"/>
      <c r="RBB65" s="10"/>
      <c r="RBC65" s="10"/>
      <c r="RBD65" s="10"/>
      <c r="RBE65" s="10"/>
      <c r="RBF65" s="10"/>
      <c r="RBG65" s="10"/>
      <c r="RBH65" s="10"/>
      <c r="RBI65" s="10"/>
      <c r="RBJ65" s="10"/>
      <c r="RBK65" s="10"/>
      <c r="RBL65" s="10"/>
      <c r="RBM65" s="10"/>
      <c r="RBN65" s="10"/>
      <c r="RBO65" s="10"/>
      <c r="RBP65" s="10"/>
      <c r="RBQ65" s="10"/>
      <c r="RBR65" s="10"/>
      <c r="RBS65" s="10"/>
      <c r="RBT65" s="10"/>
      <c r="RBU65" s="10"/>
      <c r="RBV65" s="10"/>
      <c r="RBW65" s="10"/>
      <c r="RBX65" s="10"/>
      <c r="RBY65" s="10"/>
      <c r="RBZ65" s="10"/>
      <c r="RCA65" s="10"/>
      <c r="RCB65" s="10"/>
      <c r="RCC65" s="10"/>
      <c r="RCD65" s="10"/>
      <c r="RCE65" s="10"/>
      <c r="RCF65" s="10"/>
      <c r="RCG65" s="10"/>
      <c r="RCH65" s="10"/>
      <c r="RCI65" s="10"/>
      <c r="RCJ65" s="10"/>
      <c r="RCK65" s="10"/>
      <c r="RCL65" s="10"/>
      <c r="RCM65" s="10"/>
      <c r="RCN65" s="10"/>
      <c r="RCO65" s="10"/>
      <c r="RCP65" s="10"/>
      <c r="RCQ65" s="10"/>
      <c r="RCR65" s="10"/>
      <c r="RCS65" s="10"/>
      <c r="RCT65" s="10"/>
      <c r="RCU65" s="10"/>
      <c r="RCV65" s="10"/>
      <c r="RCW65" s="10"/>
      <c r="RCX65" s="10"/>
      <c r="RCY65" s="10"/>
      <c r="RCZ65" s="10"/>
      <c r="RDA65" s="10"/>
      <c r="RDB65" s="10"/>
      <c r="RDC65" s="10"/>
      <c r="RDD65" s="10"/>
      <c r="RDE65" s="10"/>
      <c r="RDF65" s="10"/>
      <c r="RDG65" s="10"/>
      <c r="RDH65" s="10"/>
      <c r="RDI65" s="10"/>
      <c r="RDJ65" s="10"/>
      <c r="RDK65" s="10"/>
      <c r="RDL65" s="10"/>
      <c r="RDM65" s="10"/>
      <c r="RDN65" s="10"/>
      <c r="RDO65" s="10"/>
      <c r="RDP65" s="10"/>
      <c r="RDQ65" s="10"/>
      <c r="RDR65" s="10"/>
      <c r="RDS65" s="10"/>
      <c r="RDT65" s="10"/>
      <c r="RDU65" s="10"/>
      <c r="RDV65" s="10"/>
      <c r="RDW65" s="10"/>
      <c r="RDX65" s="10"/>
      <c r="RDY65" s="10"/>
      <c r="RDZ65" s="10"/>
      <c r="REA65" s="10"/>
      <c r="REB65" s="10"/>
      <c r="REC65" s="10"/>
      <c r="RED65" s="10"/>
      <c r="REE65" s="10"/>
      <c r="REF65" s="10"/>
      <c r="REG65" s="10"/>
      <c r="REH65" s="10"/>
      <c r="REI65" s="10"/>
      <c r="REJ65" s="10"/>
      <c r="REK65" s="10"/>
      <c r="REL65" s="10"/>
      <c r="REM65" s="10"/>
      <c r="REN65" s="10"/>
      <c r="REO65" s="10"/>
      <c r="REP65" s="10"/>
      <c r="REQ65" s="10"/>
      <c r="RER65" s="10"/>
      <c r="RES65" s="10"/>
      <c r="RET65" s="10"/>
      <c r="REU65" s="10"/>
      <c r="REV65" s="10"/>
      <c r="REW65" s="10"/>
      <c r="REX65" s="10"/>
      <c r="REY65" s="10"/>
      <c r="REZ65" s="10"/>
      <c r="RFA65" s="10"/>
      <c r="RFB65" s="10"/>
      <c r="RFC65" s="10"/>
      <c r="RFD65" s="10"/>
      <c r="RFE65" s="10"/>
      <c r="RFF65" s="10"/>
      <c r="RFG65" s="10"/>
      <c r="RFH65" s="10"/>
      <c r="RFI65" s="10"/>
      <c r="RFJ65" s="10"/>
      <c r="RFK65" s="10"/>
      <c r="RFL65" s="10"/>
      <c r="RFM65" s="10"/>
      <c r="RFN65" s="10"/>
      <c r="RFO65" s="10"/>
      <c r="RFP65" s="10"/>
      <c r="RFQ65" s="10"/>
      <c r="RFR65" s="10"/>
      <c r="RFS65" s="10"/>
      <c r="RFT65" s="10"/>
      <c r="RFU65" s="10"/>
      <c r="RFV65" s="10"/>
      <c r="RFW65" s="10"/>
      <c r="RFX65" s="10"/>
      <c r="RFY65" s="10"/>
      <c r="RFZ65" s="10"/>
      <c r="RGA65" s="10"/>
      <c r="RGB65" s="10"/>
      <c r="RGC65" s="10"/>
      <c r="RGD65" s="10"/>
      <c r="RGE65" s="10"/>
      <c r="RGF65" s="10"/>
      <c r="RGG65" s="10"/>
      <c r="RGH65" s="10"/>
      <c r="RGI65" s="10"/>
      <c r="RGJ65" s="10"/>
      <c r="RGK65" s="10"/>
      <c r="RGL65" s="10"/>
      <c r="RGM65" s="10"/>
      <c r="RGN65" s="10"/>
      <c r="RGO65" s="10"/>
      <c r="RGP65" s="10"/>
      <c r="RGQ65" s="10"/>
      <c r="RGR65" s="10"/>
      <c r="RGS65" s="10"/>
      <c r="RGT65" s="10"/>
      <c r="RGU65" s="10"/>
      <c r="RGV65" s="10"/>
      <c r="RGW65" s="10"/>
      <c r="RGX65" s="10"/>
      <c r="RGY65" s="10"/>
      <c r="RGZ65" s="10"/>
      <c r="RHA65" s="10"/>
      <c r="RHB65" s="10"/>
      <c r="RHC65" s="10"/>
      <c r="RHD65" s="10"/>
      <c r="RHE65" s="10"/>
      <c r="RHF65" s="10"/>
      <c r="RHG65" s="10"/>
      <c r="RHH65" s="10"/>
      <c r="RHI65" s="10"/>
      <c r="RHJ65" s="10"/>
      <c r="RHK65" s="10"/>
      <c r="RHL65" s="10"/>
      <c r="RHM65" s="10"/>
      <c r="RHN65" s="10"/>
      <c r="RHO65" s="10"/>
      <c r="RHP65" s="10"/>
      <c r="RHQ65" s="10"/>
      <c r="RHR65" s="10"/>
      <c r="RHS65" s="10"/>
      <c r="RHT65" s="10"/>
      <c r="RHU65" s="10"/>
      <c r="RHV65" s="10"/>
      <c r="RHW65" s="10"/>
      <c r="RHX65" s="10"/>
      <c r="RHY65" s="10"/>
      <c r="RHZ65" s="10"/>
      <c r="RIA65" s="10"/>
      <c r="RIB65" s="10"/>
      <c r="RIC65" s="10"/>
      <c r="RID65" s="10"/>
      <c r="RIE65" s="10"/>
      <c r="RIF65" s="10"/>
      <c r="RIG65" s="10"/>
      <c r="RIH65" s="10"/>
      <c r="RII65" s="10"/>
      <c r="RIJ65" s="10"/>
      <c r="RIK65" s="10"/>
      <c r="RIL65" s="10"/>
      <c r="RIM65" s="10"/>
      <c r="RIN65" s="10"/>
      <c r="RIO65" s="10"/>
      <c r="RIP65" s="10"/>
      <c r="RIQ65" s="10"/>
      <c r="RIR65" s="10"/>
      <c r="RIS65" s="10"/>
      <c r="RIT65" s="10"/>
      <c r="RIU65" s="10"/>
      <c r="RIV65" s="10"/>
      <c r="RIW65" s="10"/>
      <c r="RIX65" s="10"/>
      <c r="RIY65" s="10"/>
      <c r="RIZ65" s="10"/>
      <c r="RJA65" s="10"/>
      <c r="RJB65" s="10"/>
      <c r="RJC65" s="10"/>
      <c r="RJD65" s="10"/>
      <c r="RJE65" s="10"/>
      <c r="RJF65" s="10"/>
      <c r="RJG65" s="10"/>
      <c r="RJH65" s="10"/>
      <c r="RJI65" s="10"/>
      <c r="RJJ65" s="10"/>
      <c r="RJK65" s="10"/>
      <c r="RJL65" s="10"/>
      <c r="RJM65" s="10"/>
      <c r="RJN65" s="10"/>
      <c r="RJO65" s="10"/>
      <c r="RJP65" s="10"/>
      <c r="RJQ65" s="10"/>
      <c r="RJR65" s="10"/>
      <c r="RJS65" s="10"/>
      <c r="RJT65" s="10"/>
      <c r="RJU65" s="10"/>
      <c r="RJV65" s="10"/>
      <c r="RJW65" s="10"/>
      <c r="RJX65" s="10"/>
      <c r="RJY65" s="10"/>
      <c r="RJZ65" s="10"/>
      <c r="RKA65" s="10"/>
      <c r="RKB65" s="10"/>
      <c r="RKC65" s="10"/>
      <c r="RKD65" s="10"/>
      <c r="RKE65" s="10"/>
      <c r="RKF65" s="10"/>
      <c r="RKG65" s="10"/>
      <c r="RKH65" s="10"/>
      <c r="RKI65" s="10"/>
      <c r="RKJ65" s="10"/>
      <c r="RKK65" s="10"/>
      <c r="RKL65" s="10"/>
      <c r="RKM65" s="10"/>
      <c r="RKN65" s="10"/>
      <c r="RKO65" s="10"/>
      <c r="RKP65" s="10"/>
      <c r="RKQ65" s="10"/>
      <c r="RKR65" s="10"/>
      <c r="RKS65" s="10"/>
      <c r="RKT65" s="10"/>
      <c r="RKU65" s="10"/>
      <c r="RKV65" s="10"/>
      <c r="RKW65" s="10"/>
      <c r="RKX65" s="10"/>
      <c r="RKY65" s="10"/>
      <c r="RKZ65" s="10"/>
      <c r="RLA65" s="10"/>
      <c r="RLB65" s="10"/>
      <c r="RLC65" s="10"/>
      <c r="RLD65" s="10"/>
      <c r="RLE65" s="10"/>
      <c r="RLF65" s="10"/>
      <c r="RLG65" s="10"/>
      <c r="RLH65" s="10"/>
      <c r="RLI65" s="10"/>
      <c r="RLJ65" s="10"/>
      <c r="RLK65" s="10"/>
      <c r="RLL65" s="10"/>
      <c r="RLM65" s="10"/>
      <c r="RLN65" s="10"/>
      <c r="RLO65" s="10"/>
      <c r="RLP65" s="10"/>
      <c r="RLQ65" s="10"/>
      <c r="RLR65" s="10"/>
      <c r="RLS65" s="10"/>
      <c r="RLT65" s="10"/>
      <c r="RLU65" s="10"/>
      <c r="RLV65" s="10"/>
      <c r="RLW65" s="10"/>
      <c r="RLX65" s="10"/>
      <c r="RLY65" s="10"/>
      <c r="RLZ65" s="10"/>
      <c r="RMA65" s="10"/>
      <c r="RMB65" s="10"/>
      <c r="RMC65" s="10"/>
      <c r="RMD65" s="10"/>
      <c r="RME65" s="10"/>
      <c r="RMF65" s="10"/>
      <c r="RMG65" s="10"/>
      <c r="RMH65" s="10"/>
      <c r="RMI65" s="10"/>
      <c r="RMJ65" s="10"/>
      <c r="RMK65" s="10"/>
      <c r="RML65" s="10"/>
      <c r="RMM65" s="10"/>
      <c r="RMN65" s="10"/>
      <c r="RMO65" s="10"/>
      <c r="RMP65" s="10"/>
      <c r="RMQ65" s="10"/>
      <c r="RMR65" s="10"/>
      <c r="RMS65" s="10"/>
      <c r="RMT65" s="10"/>
      <c r="RMU65" s="10"/>
      <c r="RMV65" s="10"/>
      <c r="RMW65" s="10"/>
      <c r="RMX65" s="10"/>
      <c r="RMY65" s="10"/>
      <c r="RMZ65" s="10"/>
      <c r="RNA65" s="10"/>
      <c r="RNB65" s="10"/>
      <c r="RNC65" s="10"/>
      <c r="RND65" s="10"/>
      <c r="RNE65" s="10"/>
      <c r="RNF65" s="10"/>
      <c r="RNG65" s="10"/>
      <c r="RNH65" s="10"/>
      <c r="RNI65" s="10"/>
      <c r="RNJ65" s="10"/>
      <c r="RNK65" s="10"/>
      <c r="RNL65" s="10"/>
      <c r="RNM65" s="10"/>
      <c r="RNN65" s="10"/>
      <c r="RNO65" s="10"/>
      <c r="RNP65" s="10"/>
      <c r="RNQ65" s="10"/>
      <c r="RNR65" s="10"/>
      <c r="RNS65" s="10"/>
      <c r="RNT65" s="10"/>
      <c r="RNU65" s="10"/>
      <c r="RNV65" s="10"/>
      <c r="RNW65" s="10"/>
      <c r="RNX65" s="10"/>
      <c r="RNY65" s="10"/>
      <c r="RNZ65" s="10"/>
      <c r="ROA65" s="10"/>
      <c r="ROB65" s="10"/>
      <c r="ROC65" s="10"/>
      <c r="ROD65" s="10"/>
      <c r="ROE65" s="10"/>
      <c r="ROF65" s="10"/>
      <c r="ROG65" s="10"/>
      <c r="ROH65" s="10"/>
      <c r="ROI65" s="10"/>
      <c r="ROJ65" s="10"/>
      <c r="ROK65" s="10"/>
      <c r="ROL65" s="10"/>
      <c r="ROM65" s="10"/>
      <c r="RON65" s="10"/>
      <c r="ROO65" s="10"/>
      <c r="ROP65" s="10"/>
      <c r="ROQ65" s="10"/>
      <c r="ROR65" s="10"/>
      <c r="ROS65" s="10"/>
      <c r="ROT65" s="10"/>
      <c r="ROU65" s="10"/>
      <c r="ROV65" s="10"/>
      <c r="ROW65" s="10"/>
      <c r="ROX65" s="10"/>
      <c r="ROY65" s="10"/>
      <c r="ROZ65" s="10"/>
      <c r="RPA65" s="10"/>
      <c r="RPB65" s="10"/>
      <c r="RPC65" s="10"/>
      <c r="RPD65" s="10"/>
      <c r="RPE65" s="10"/>
      <c r="RPF65" s="10"/>
      <c r="RPG65" s="10"/>
      <c r="RPH65" s="10"/>
      <c r="RPI65" s="10"/>
      <c r="RPJ65" s="10"/>
      <c r="RPK65" s="10"/>
      <c r="RPL65" s="10"/>
      <c r="RPM65" s="10"/>
      <c r="RPN65" s="10"/>
      <c r="RPO65" s="10"/>
      <c r="RPP65" s="10"/>
      <c r="RPQ65" s="10"/>
      <c r="RPR65" s="10"/>
      <c r="RPS65" s="10"/>
      <c r="RPT65" s="10"/>
      <c r="RPU65" s="10"/>
      <c r="RPV65" s="10"/>
      <c r="RPW65" s="10"/>
      <c r="RPX65" s="10"/>
      <c r="RPY65" s="10"/>
      <c r="RPZ65" s="10"/>
      <c r="RQA65" s="10"/>
      <c r="RQB65" s="10"/>
      <c r="RQC65" s="10"/>
      <c r="RQD65" s="10"/>
      <c r="RQE65" s="10"/>
      <c r="RQF65" s="10"/>
      <c r="RQG65" s="10"/>
      <c r="RQH65" s="10"/>
      <c r="RQI65" s="10"/>
      <c r="RQJ65" s="10"/>
      <c r="RQK65" s="10"/>
      <c r="RQL65" s="10"/>
      <c r="RQM65" s="10"/>
      <c r="RQN65" s="10"/>
      <c r="RQO65" s="10"/>
      <c r="RQP65" s="10"/>
      <c r="RQQ65" s="10"/>
      <c r="RQR65" s="10"/>
      <c r="RQS65" s="10"/>
      <c r="RQT65" s="10"/>
      <c r="RQU65" s="10"/>
      <c r="RQV65" s="10"/>
      <c r="RQW65" s="10"/>
      <c r="RQX65" s="10"/>
      <c r="RQY65" s="10"/>
      <c r="RQZ65" s="10"/>
      <c r="RRA65" s="10"/>
      <c r="RRB65" s="10"/>
      <c r="RRC65" s="10"/>
      <c r="RRD65" s="10"/>
      <c r="RRE65" s="10"/>
      <c r="RRF65" s="10"/>
      <c r="RRG65" s="10"/>
      <c r="RRH65" s="10"/>
      <c r="RRI65" s="10"/>
      <c r="RRJ65" s="10"/>
      <c r="RRK65" s="10"/>
      <c r="RRL65" s="10"/>
      <c r="RRM65" s="10"/>
      <c r="RRN65" s="10"/>
      <c r="RRO65" s="10"/>
      <c r="RRP65" s="10"/>
      <c r="RRQ65" s="10"/>
      <c r="RRR65" s="10"/>
      <c r="RRS65" s="10"/>
      <c r="RRT65" s="10"/>
      <c r="RRU65" s="10"/>
      <c r="RRV65" s="10"/>
      <c r="RRW65" s="10"/>
      <c r="RRX65" s="10"/>
      <c r="RRY65" s="10"/>
      <c r="RRZ65" s="10"/>
      <c r="RSA65" s="10"/>
      <c r="RSB65" s="10"/>
      <c r="RSC65" s="10"/>
      <c r="RSD65" s="10"/>
      <c r="RSE65" s="10"/>
      <c r="RSF65" s="10"/>
      <c r="RSG65" s="10"/>
      <c r="RSH65" s="10"/>
      <c r="RSI65" s="10"/>
      <c r="RSJ65" s="10"/>
      <c r="RSK65" s="10"/>
      <c r="RSL65" s="10"/>
      <c r="RSM65" s="10"/>
      <c r="RSN65" s="10"/>
      <c r="RSO65" s="10"/>
      <c r="RSP65" s="10"/>
      <c r="RSQ65" s="10"/>
      <c r="RSR65" s="10"/>
      <c r="RSS65" s="10"/>
      <c r="RST65" s="10"/>
      <c r="RSU65" s="10"/>
      <c r="RSV65" s="10"/>
      <c r="RSW65" s="10"/>
      <c r="RSX65" s="10"/>
      <c r="RSY65" s="10"/>
      <c r="RSZ65" s="10"/>
      <c r="RTA65" s="10"/>
      <c r="RTB65" s="10"/>
      <c r="RTC65" s="10"/>
      <c r="RTD65" s="10"/>
      <c r="RTE65" s="10"/>
      <c r="RTF65" s="10"/>
      <c r="RTG65" s="10"/>
      <c r="RTH65" s="10"/>
      <c r="RTI65" s="10"/>
      <c r="RTJ65" s="10"/>
      <c r="RTK65" s="10"/>
      <c r="RTL65" s="10"/>
      <c r="RTM65" s="10"/>
      <c r="RTN65" s="10"/>
      <c r="RTO65" s="10"/>
      <c r="RTP65" s="10"/>
      <c r="RTQ65" s="10"/>
      <c r="RTR65" s="10"/>
      <c r="RTS65" s="10"/>
      <c r="RTT65" s="10"/>
      <c r="RTU65" s="10"/>
      <c r="RTV65" s="10"/>
      <c r="RTW65" s="10"/>
      <c r="RTX65" s="10"/>
      <c r="RTY65" s="10"/>
      <c r="RTZ65" s="10"/>
      <c r="RUA65" s="10"/>
      <c r="RUB65" s="10"/>
      <c r="RUC65" s="10"/>
      <c r="RUD65" s="10"/>
      <c r="RUE65" s="10"/>
      <c r="RUF65" s="10"/>
      <c r="RUG65" s="10"/>
      <c r="RUH65" s="10"/>
      <c r="RUI65" s="10"/>
      <c r="RUJ65" s="10"/>
      <c r="RUK65" s="10"/>
      <c r="RUL65" s="10"/>
      <c r="RUM65" s="10"/>
      <c r="RUN65" s="10"/>
      <c r="RUO65" s="10"/>
      <c r="RUP65" s="10"/>
      <c r="RUQ65" s="10"/>
      <c r="RUR65" s="10"/>
      <c r="RUS65" s="10"/>
      <c r="RUT65" s="10"/>
      <c r="RUU65" s="10"/>
      <c r="RUV65" s="10"/>
      <c r="RUW65" s="10"/>
      <c r="RUX65" s="10"/>
      <c r="RUY65" s="10"/>
      <c r="RUZ65" s="10"/>
      <c r="RVA65" s="10"/>
      <c r="RVB65" s="10"/>
      <c r="RVC65" s="10"/>
      <c r="RVD65" s="10"/>
      <c r="RVE65" s="10"/>
      <c r="RVF65" s="10"/>
      <c r="RVG65" s="10"/>
      <c r="RVH65" s="10"/>
      <c r="RVI65" s="10"/>
      <c r="RVJ65" s="10"/>
      <c r="RVK65" s="10"/>
      <c r="RVL65" s="10"/>
      <c r="RVM65" s="10"/>
      <c r="RVN65" s="10"/>
      <c r="RVO65" s="10"/>
      <c r="RVP65" s="10"/>
      <c r="RVQ65" s="10"/>
      <c r="RVR65" s="10"/>
      <c r="RVS65" s="10"/>
      <c r="RVT65" s="10"/>
      <c r="RVU65" s="10"/>
      <c r="RVV65" s="10"/>
      <c r="RVW65" s="10"/>
      <c r="RVX65" s="10"/>
      <c r="RVY65" s="10"/>
      <c r="RVZ65" s="10"/>
      <c r="RWA65" s="10"/>
      <c r="RWB65" s="10"/>
      <c r="RWC65" s="10"/>
      <c r="RWD65" s="10"/>
      <c r="RWE65" s="10"/>
      <c r="RWF65" s="10"/>
      <c r="RWG65" s="10"/>
      <c r="RWH65" s="10"/>
      <c r="RWI65" s="10"/>
      <c r="RWJ65" s="10"/>
      <c r="RWK65" s="10"/>
      <c r="RWL65" s="10"/>
      <c r="RWM65" s="10"/>
      <c r="RWN65" s="10"/>
      <c r="RWO65" s="10"/>
      <c r="RWP65" s="10"/>
      <c r="RWQ65" s="10"/>
      <c r="RWR65" s="10"/>
      <c r="RWS65" s="10"/>
      <c r="RWT65" s="10"/>
      <c r="RWU65" s="10"/>
      <c r="RWV65" s="10"/>
      <c r="RWW65" s="10"/>
      <c r="RWX65" s="10"/>
      <c r="RWY65" s="10"/>
      <c r="RWZ65" s="10"/>
      <c r="RXA65" s="10"/>
      <c r="RXB65" s="10"/>
      <c r="RXC65" s="10"/>
      <c r="RXD65" s="10"/>
      <c r="RXE65" s="10"/>
      <c r="RXF65" s="10"/>
      <c r="RXG65" s="10"/>
      <c r="RXH65" s="10"/>
      <c r="RXI65" s="10"/>
      <c r="RXJ65" s="10"/>
      <c r="RXK65" s="10"/>
      <c r="RXL65" s="10"/>
      <c r="RXM65" s="10"/>
      <c r="RXN65" s="10"/>
      <c r="RXO65" s="10"/>
      <c r="RXP65" s="10"/>
      <c r="RXQ65" s="10"/>
      <c r="RXR65" s="10"/>
      <c r="RXS65" s="10"/>
      <c r="RXT65" s="10"/>
      <c r="RXU65" s="10"/>
      <c r="RXV65" s="10"/>
      <c r="RXW65" s="10"/>
      <c r="RXX65" s="10"/>
      <c r="RXY65" s="10"/>
      <c r="RXZ65" s="10"/>
      <c r="RYA65" s="10"/>
      <c r="RYB65" s="10"/>
      <c r="RYC65" s="10"/>
      <c r="RYD65" s="10"/>
      <c r="RYE65" s="10"/>
      <c r="RYF65" s="10"/>
      <c r="RYG65" s="10"/>
      <c r="RYH65" s="10"/>
      <c r="RYI65" s="10"/>
      <c r="RYJ65" s="10"/>
      <c r="RYK65" s="10"/>
      <c r="RYL65" s="10"/>
      <c r="RYM65" s="10"/>
      <c r="RYN65" s="10"/>
      <c r="RYO65" s="10"/>
      <c r="RYP65" s="10"/>
      <c r="RYQ65" s="10"/>
      <c r="RYR65" s="10"/>
      <c r="RYS65" s="10"/>
      <c r="RYT65" s="10"/>
      <c r="RYU65" s="10"/>
      <c r="RYV65" s="10"/>
      <c r="RYW65" s="10"/>
      <c r="RYX65" s="10"/>
      <c r="RYY65" s="10"/>
      <c r="RYZ65" s="10"/>
      <c r="RZA65" s="10"/>
      <c r="RZB65" s="10"/>
      <c r="RZC65" s="10"/>
      <c r="RZD65" s="10"/>
      <c r="RZE65" s="10"/>
      <c r="RZF65" s="10"/>
      <c r="RZG65" s="10"/>
      <c r="RZH65" s="10"/>
      <c r="RZI65" s="10"/>
      <c r="RZJ65" s="10"/>
      <c r="RZK65" s="10"/>
      <c r="RZL65" s="10"/>
      <c r="RZM65" s="10"/>
      <c r="RZN65" s="10"/>
      <c r="RZO65" s="10"/>
      <c r="RZP65" s="10"/>
      <c r="RZQ65" s="10"/>
      <c r="RZR65" s="10"/>
      <c r="RZS65" s="10"/>
      <c r="RZT65" s="10"/>
      <c r="RZU65" s="10"/>
      <c r="RZV65" s="10"/>
      <c r="RZW65" s="10"/>
      <c r="RZX65" s="10"/>
      <c r="RZY65" s="10"/>
      <c r="RZZ65" s="10"/>
      <c r="SAA65" s="10"/>
      <c r="SAB65" s="10"/>
      <c r="SAC65" s="10"/>
      <c r="SAD65" s="10"/>
      <c r="SAE65" s="10"/>
      <c r="SAF65" s="10"/>
      <c r="SAG65" s="10"/>
      <c r="SAH65" s="10"/>
      <c r="SAI65" s="10"/>
      <c r="SAJ65" s="10"/>
      <c r="SAK65" s="10"/>
      <c r="SAL65" s="10"/>
      <c r="SAM65" s="10"/>
      <c r="SAN65" s="10"/>
      <c r="SAO65" s="10"/>
      <c r="SAP65" s="10"/>
      <c r="SAQ65" s="10"/>
      <c r="SAR65" s="10"/>
      <c r="SAS65" s="10"/>
      <c r="SAT65" s="10"/>
      <c r="SAU65" s="10"/>
      <c r="SAV65" s="10"/>
      <c r="SAW65" s="10"/>
      <c r="SAX65" s="10"/>
      <c r="SAY65" s="10"/>
      <c r="SAZ65" s="10"/>
      <c r="SBA65" s="10"/>
      <c r="SBB65" s="10"/>
      <c r="SBC65" s="10"/>
      <c r="SBD65" s="10"/>
      <c r="SBE65" s="10"/>
      <c r="SBF65" s="10"/>
      <c r="SBG65" s="10"/>
      <c r="SBH65" s="10"/>
      <c r="SBI65" s="10"/>
      <c r="SBJ65" s="10"/>
      <c r="SBK65" s="10"/>
      <c r="SBL65" s="10"/>
      <c r="SBM65" s="10"/>
      <c r="SBN65" s="10"/>
      <c r="SBO65" s="10"/>
      <c r="SBP65" s="10"/>
      <c r="SBQ65" s="10"/>
      <c r="SBR65" s="10"/>
      <c r="SBS65" s="10"/>
      <c r="SBT65" s="10"/>
      <c r="SBU65" s="10"/>
      <c r="SBV65" s="10"/>
      <c r="SBW65" s="10"/>
      <c r="SBX65" s="10"/>
      <c r="SBY65" s="10"/>
      <c r="SBZ65" s="10"/>
      <c r="SCA65" s="10"/>
      <c r="SCB65" s="10"/>
      <c r="SCC65" s="10"/>
      <c r="SCD65" s="10"/>
      <c r="SCE65" s="10"/>
      <c r="SCF65" s="10"/>
      <c r="SCG65" s="10"/>
      <c r="SCH65" s="10"/>
      <c r="SCI65" s="10"/>
      <c r="SCJ65" s="10"/>
      <c r="SCK65" s="10"/>
      <c r="SCL65" s="10"/>
      <c r="SCM65" s="10"/>
      <c r="SCN65" s="10"/>
      <c r="SCO65" s="10"/>
      <c r="SCP65" s="10"/>
      <c r="SCQ65" s="10"/>
      <c r="SCR65" s="10"/>
      <c r="SCS65" s="10"/>
      <c r="SCT65" s="10"/>
      <c r="SCU65" s="10"/>
      <c r="SCV65" s="10"/>
      <c r="SCW65" s="10"/>
      <c r="SCX65" s="10"/>
      <c r="SCY65" s="10"/>
      <c r="SCZ65" s="10"/>
      <c r="SDA65" s="10"/>
      <c r="SDB65" s="10"/>
      <c r="SDC65" s="10"/>
      <c r="SDD65" s="10"/>
      <c r="SDE65" s="10"/>
      <c r="SDF65" s="10"/>
      <c r="SDG65" s="10"/>
      <c r="SDH65" s="10"/>
      <c r="SDI65" s="10"/>
      <c r="SDJ65" s="10"/>
      <c r="SDK65" s="10"/>
      <c r="SDL65" s="10"/>
      <c r="SDM65" s="10"/>
      <c r="SDN65" s="10"/>
      <c r="SDO65" s="10"/>
      <c r="SDP65" s="10"/>
      <c r="SDQ65" s="10"/>
      <c r="SDR65" s="10"/>
      <c r="SDS65" s="10"/>
      <c r="SDT65" s="10"/>
      <c r="SDU65" s="10"/>
      <c r="SDV65" s="10"/>
      <c r="SDW65" s="10"/>
      <c r="SDX65" s="10"/>
      <c r="SDY65" s="10"/>
      <c r="SDZ65" s="10"/>
      <c r="SEA65" s="10"/>
      <c r="SEB65" s="10"/>
      <c r="SEC65" s="10"/>
      <c r="SED65" s="10"/>
      <c r="SEE65" s="10"/>
      <c r="SEF65" s="10"/>
      <c r="SEG65" s="10"/>
      <c r="SEH65" s="10"/>
      <c r="SEI65" s="10"/>
      <c r="SEJ65" s="10"/>
      <c r="SEK65" s="10"/>
      <c r="SEL65" s="10"/>
      <c r="SEM65" s="10"/>
      <c r="SEN65" s="10"/>
      <c r="SEO65" s="10"/>
      <c r="SEP65" s="10"/>
      <c r="SEQ65" s="10"/>
      <c r="SER65" s="10"/>
      <c r="SES65" s="10"/>
      <c r="SET65" s="10"/>
      <c r="SEU65" s="10"/>
      <c r="SEV65" s="10"/>
      <c r="SEW65" s="10"/>
      <c r="SEX65" s="10"/>
      <c r="SEY65" s="10"/>
      <c r="SEZ65" s="10"/>
      <c r="SFA65" s="10"/>
      <c r="SFB65" s="10"/>
      <c r="SFC65" s="10"/>
      <c r="SFD65" s="10"/>
      <c r="SFE65" s="10"/>
      <c r="SFF65" s="10"/>
      <c r="SFG65" s="10"/>
      <c r="SFH65" s="10"/>
      <c r="SFI65" s="10"/>
      <c r="SFJ65" s="10"/>
      <c r="SFK65" s="10"/>
      <c r="SFL65" s="10"/>
      <c r="SFM65" s="10"/>
      <c r="SFN65" s="10"/>
      <c r="SFO65" s="10"/>
      <c r="SFP65" s="10"/>
      <c r="SFQ65" s="10"/>
      <c r="SFR65" s="10"/>
      <c r="SFS65" s="10"/>
      <c r="SFT65" s="10"/>
      <c r="SFU65" s="10"/>
      <c r="SFV65" s="10"/>
      <c r="SFW65" s="10"/>
      <c r="SFX65" s="10"/>
      <c r="SFY65" s="10"/>
      <c r="SFZ65" s="10"/>
      <c r="SGA65" s="10"/>
      <c r="SGB65" s="10"/>
      <c r="SGC65" s="10"/>
      <c r="SGD65" s="10"/>
      <c r="SGE65" s="10"/>
      <c r="SGF65" s="10"/>
      <c r="SGG65" s="10"/>
      <c r="SGH65" s="10"/>
      <c r="SGI65" s="10"/>
      <c r="SGJ65" s="10"/>
      <c r="SGK65" s="10"/>
      <c r="SGL65" s="10"/>
      <c r="SGM65" s="10"/>
      <c r="SGN65" s="10"/>
      <c r="SGO65" s="10"/>
      <c r="SGP65" s="10"/>
      <c r="SGQ65" s="10"/>
      <c r="SGR65" s="10"/>
      <c r="SGS65" s="10"/>
      <c r="SGT65" s="10"/>
      <c r="SGU65" s="10"/>
      <c r="SGV65" s="10"/>
      <c r="SGW65" s="10"/>
      <c r="SGX65" s="10"/>
      <c r="SGY65" s="10"/>
      <c r="SGZ65" s="10"/>
      <c r="SHA65" s="10"/>
      <c r="SHB65" s="10"/>
      <c r="SHC65" s="10"/>
      <c r="SHD65" s="10"/>
      <c r="SHE65" s="10"/>
      <c r="SHF65" s="10"/>
      <c r="SHG65" s="10"/>
      <c r="SHH65" s="10"/>
      <c r="SHI65" s="10"/>
      <c r="SHJ65" s="10"/>
      <c r="SHK65" s="10"/>
      <c r="SHL65" s="10"/>
      <c r="SHM65" s="10"/>
      <c r="SHN65" s="10"/>
      <c r="SHO65" s="10"/>
      <c r="SHP65" s="10"/>
      <c r="SHQ65" s="10"/>
      <c r="SHR65" s="10"/>
      <c r="SHS65" s="10"/>
      <c r="SHT65" s="10"/>
      <c r="SHU65" s="10"/>
      <c r="SHV65" s="10"/>
      <c r="SHW65" s="10"/>
      <c r="SHX65" s="10"/>
      <c r="SHY65" s="10"/>
      <c r="SHZ65" s="10"/>
      <c r="SIA65" s="10"/>
      <c r="SIB65" s="10"/>
      <c r="SIC65" s="10"/>
      <c r="SID65" s="10"/>
      <c r="SIE65" s="10"/>
      <c r="SIF65" s="10"/>
      <c r="SIG65" s="10"/>
      <c r="SIH65" s="10"/>
      <c r="SII65" s="10"/>
      <c r="SIJ65" s="10"/>
      <c r="SIK65" s="10"/>
      <c r="SIL65" s="10"/>
      <c r="SIM65" s="10"/>
      <c r="SIN65" s="10"/>
      <c r="SIO65" s="10"/>
      <c r="SIP65" s="10"/>
      <c r="SIQ65" s="10"/>
      <c r="SIR65" s="10"/>
      <c r="SIS65" s="10"/>
      <c r="SIT65" s="10"/>
      <c r="SIU65" s="10"/>
      <c r="SIV65" s="10"/>
      <c r="SIW65" s="10"/>
      <c r="SIX65" s="10"/>
      <c r="SIY65" s="10"/>
      <c r="SIZ65" s="10"/>
      <c r="SJA65" s="10"/>
      <c r="SJB65" s="10"/>
      <c r="SJC65" s="10"/>
      <c r="SJD65" s="10"/>
      <c r="SJE65" s="10"/>
      <c r="SJF65" s="10"/>
      <c r="SJG65" s="10"/>
      <c r="SJH65" s="10"/>
      <c r="SJI65" s="10"/>
      <c r="SJJ65" s="10"/>
      <c r="SJK65" s="10"/>
      <c r="SJL65" s="10"/>
      <c r="SJM65" s="10"/>
      <c r="SJN65" s="10"/>
      <c r="SJO65" s="10"/>
      <c r="SJP65" s="10"/>
      <c r="SJQ65" s="10"/>
      <c r="SJR65" s="10"/>
      <c r="SJS65" s="10"/>
      <c r="SJT65" s="10"/>
      <c r="SJU65" s="10"/>
      <c r="SJV65" s="10"/>
      <c r="SJW65" s="10"/>
      <c r="SJX65" s="10"/>
      <c r="SJY65" s="10"/>
      <c r="SJZ65" s="10"/>
      <c r="SKA65" s="10"/>
      <c r="SKB65" s="10"/>
      <c r="SKC65" s="10"/>
      <c r="SKD65" s="10"/>
      <c r="SKE65" s="10"/>
      <c r="SKF65" s="10"/>
      <c r="SKG65" s="10"/>
      <c r="SKH65" s="10"/>
      <c r="SKI65" s="10"/>
      <c r="SKJ65" s="10"/>
      <c r="SKK65" s="10"/>
      <c r="SKL65" s="10"/>
      <c r="SKM65" s="10"/>
      <c r="SKN65" s="10"/>
      <c r="SKO65" s="10"/>
      <c r="SKP65" s="10"/>
      <c r="SKQ65" s="10"/>
      <c r="SKR65" s="10"/>
      <c r="SKS65" s="10"/>
      <c r="SKT65" s="10"/>
      <c r="SKU65" s="10"/>
      <c r="SKV65" s="10"/>
      <c r="SKW65" s="10"/>
      <c r="SKX65" s="10"/>
      <c r="SKY65" s="10"/>
      <c r="SKZ65" s="10"/>
      <c r="SLA65" s="10"/>
      <c r="SLB65" s="10"/>
      <c r="SLC65" s="10"/>
      <c r="SLD65" s="10"/>
      <c r="SLE65" s="10"/>
      <c r="SLF65" s="10"/>
      <c r="SLG65" s="10"/>
      <c r="SLH65" s="10"/>
      <c r="SLI65" s="10"/>
      <c r="SLJ65" s="10"/>
      <c r="SLK65" s="10"/>
      <c r="SLL65" s="10"/>
      <c r="SLM65" s="10"/>
      <c r="SLN65" s="10"/>
      <c r="SLO65" s="10"/>
      <c r="SLP65" s="10"/>
      <c r="SLQ65" s="10"/>
      <c r="SLR65" s="10"/>
      <c r="SLS65" s="10"/>
      <c r="SLT65" s="10"/>
      <c r="SLU65" s="10"/>
      <c r="SLV65" s="10"/>
      <c r="SLW65" s="10"/>
      <c r="SLX65" s="10"/>
      <c r="SLY65" s="10"/>
      <c r="SLZ65" s="10"/>
      <c r="SMA65" s="10"/>
      <c r="SMB65" s="10"/>
      <c r="SMC65" s="10"/>
      <c r="SMD65" s="10"/>
      <c r="SME65" s="10"/>
      <c r="SMF65" s="10"/>
      <c r="SMG65" s="10"/>
      <c r="SMH65" s="10"/>
      <c r="SMI65" s="10"/>
      <c r="SMJ65" s="10"/>
      <c r="SMK65" s="10"/>
      <c r="SML65" s="10"/>
      <c r="SMM65" s="10"/>
      <c r="SMN65" s="10"/>
      <c r="SMO65" s="10"/>
      <c r="SMP65" s="10"/>
      <c r="SMQ65" s="10"/>
      <c r="SMR65" s="10"/>
      <c r="SMS65" s="10"/>
      <c r="SMT65" s="10"/>
      <c r="SMU65" s="10"/>
      <c r="SMV65" s="10"/>
      <c r="SMW65" s="10"/>
      <c r="SMX65" s="10"/>
      <c r="SMY65" s="10"/>
      <c r="SMZ65" s="10"/>
      <c r="SNA65" s="10"/>
      <c r="SNB65" s="10"/>
      <c r="SNC65" s="10"/>
      <c r="SND65" s="10"/>
      <c r="SNE65" s="10"/>
      <c r="SNF65" s="10"/>
      <c r="SNG65" s="10"/>
      <c r="SNH65" s="10"/>
      <c r="SNI65" s="10"/>
      <c r="SNJ65" s="10"/>
      <c r="SNK65" s="10"/>
      <c r="SNL65" s="10"/>
      <c r="SNM65" s="10"/>
      <c r="SNN65" s="10"/>
      <c r="SNO65" s="10"/>
      <c r="SNP65" s="10"/>
      <c r="SNQ65" s="10"/>
      <c r="SNR65" s="10"/>
      <c r="SNS65" s="10"/>
      <c r="SNT65" s="10"/>
      <c r="SNU65" s="10"/>
      <c r="SNV65" s="10"/>
      <c r="SNW65" s="10"/>
      <c r="SNX65" s="10"/>
      <c r="SNY65" s="10"/>
      <c r="SNZ65" s="10"/>
      <c r="SOA65" s="10"/>
      <c r="SOB65" s="10"/>
      <c r="SOC65" s="10"/>
      <c r="SOD65" s="10"/>
      <c r="SOE65" s="10"/>
      <c r="SOF65" s="10"/>
      <c r="SOG65" s="10"/>
      <c r="SOH65" s="10"/>
      <c r="SOI65" s="10"/>
      <c r="SOJ65" s="10"/>
      <c r="SOK65" s="10"/>
      <c r="SOL65" s="10"/>
      <c r="SOM65" s="10"/>
      <c r="SON65" s="10"/>
      <c r="SOO65" s="10"/>
      <c r="SOP65" s="10"/>
      <c r="SOQ65" s="10"/>
      <c r="SOR65" s="10"/>
      <c r="SOS65" s="10"/>
      <c r="SOT65" s="10"/>
      <c r="SOU65" s="10"/>
      <c r="SOV65" s="10"/>
      <c r="SOW65" s="10"/>
      <c r="SOX65" s="10"/>
      <c r="SOY65" s="10"/>
      <c r="SOZ65" s="10"/>
      <c r="SPA65" s="10"/>
      <c r="SPB65" s="10"/>
      <c r="SPC65" s="10"/>
      <c r="SPD65" s="10"/>
      <c r="SPE65" s="10"/>
      <c r="SPF65" s="10"/>
      <c r="SPG65" s="10"/>
      <c r="SPH65" s="10"/>
      <c r="SPI65" s="10"/>
      <c r="SPJ65" s="10"/>
      <c r="SPK65" s="10"/>
      <c r="SPL65" s="10"/>
      <c r="SPM65" s="10"/>
      <c r="SPN65" s="10"/>
      <c r="SPO65" s="10"/>
      <c r="SPP65" s="10"/>
      <c r="SPQ65" s="10"/>
      <c r="SPR65" s="10"/>
      <c r="SPS65" s="10"/>
      <c r="SPT65" s="10"/>
      <c r="SPU65" s="10"/>
      <c r="SPV65" s="10"/>
      <c r="SPW65" s="10"/>
      <c r="SPX65" s="10"/>
      <c r="SPY65" s="10"/>
      <c r="SPZ65" s="10"/>
      <c r="SQA65" s="10"/>
      <c r="SQB65" s="10"/>
      <c r="SQC65" s="10"/>
      <c r="SQD65" s="10"/>
      <c r="SQE65" s="10"/>
      <c r="SQF65" s="10"/>
      <c r="SQG65" s="10"/>
      <c r="SQH65" s="10"/>
      <c r="SQI65" s="10"/>
      <c r="SQJ65" s="10"/>
      <c r="SQK65" s="10"/>
      <c r="SQL65" s="10"/>
      <c r="SQM65" s="10"/>
      <c r="SQN65" s="10"/>
      <c r="SQO65" s="10"/>
      <c r="SQP65" s="10"/>
      <c r="SQQ65" s="10"/>
      <c r="SQR65" s="10"/>
      <c r="SQS65" s="10"/>
      <c r="SQT65" s="10"/>
      <c r="SQU65" s="10"/>
      <c r="SQV65" s="10"/>
      <c r="SQW65" s="10"/>
      <c r="SQX65" s="10"/>
      <c r="SQY65" s="10"/>
      <c r="SQZ65" s="10"/>
      <c r="SRA65" s="10"/>
      <c r="SRB65" s="10"/>
      <c r="SRC65" s="10"/>
      <c r="SRD65" s="10"/>
      <c r="SRE65" s="10"/>
      <c r="SRF65" s="10"/>
      <c r="SRG65" s="10"/>
      <c r="SRH65" s="10"/>
      <c r="SRI65" s="10"/>
      <c r="SRJ65" s="10"/>
      <c r="SRK65" s="10"/>
      <c r="SRL65" s="10"/>
      <c r="SRM65" s="10"/>
      <c r="SRN65" s="10"/>
      <c r="SRO65" s="10"/>
      <c r="SRP65" s="10"/>
      <c r="SRQ65" s="10"/>
      <c r="SRR65" s="10"/>
      <c r="SRS65" s="10"/>
      <c r="SRT65" s="10"/>
      <c r="SRU65" s="10"/>
      <c r="SRV65" s="10"/>
      <c r="SRW65" s="10"/>
      <c r="SRX65" s="10"/>
      <c r="SRY65" s="10"/>
      <c r="SRZ65" s="10"/>
      <c r="SSA65" s="10"/>
      <c r="SSB65" s="10"/>
      <c r="SSC65" s="10"/>
      <c r="SSD65" s="10"/>
      <c r="SSE65" s="10"/>
      <c r="SSF65" s="10"/>
      <c r="SSG65" s="10"/>
      <c r="SSH65" s="10"/>
      <c r="SSI65" s="10"/>
      <c r="SSJ65" s="10"/>
      <c r="SSK65" s="10"/>
      <c r="SSL65" s="10"/>
      <c r="SSM65" s="10"/>
      <c r="SSN65" s="10"/>
      <c r="SSO65" s="10"/>
      <c r="SSP65" s="10"/>
      <c r="SSQ65" s="10"/>
      <c r="SSR65" s="10"/>
      <c r="SSS65" s="10"/>
      <c r="SST65" s="10"/>
      <c r="SSU65" s="10"/>
      <c r="SSV65" s="10"/>
      <c r="SSW65" s="10"/>
      <c r="SSX65" s="10"/>
      <c r="SSY65" s="10"/>
      <c r="SSZ65" s="10"/>
      <c r="STA65" s="10"/>
      <c r="STB65" s="10"/>
      <c r="STC65" s="10"/>
      <c r="STD65" s="10"/>
      <c r="STE65" s="10"/>
      <c r="STF65" s="10"/>
      <c r="STG65" s="10"/>
      <c r="STH65" s="10"/>
      <c r="STI65" s="10"/>
      <c r="STJ65" s="10"/>
      <c r="STK65" s="10"/>
      <c r="STL65" s="10"/>
      <c r="STM65" s="10"/>
      <c r="STN65" s="10"/>
      <c r="STO65" s="10"/>
      <c r="STP65" s="10"/>
      <c r="STQ65" s="10"/>
      <c r="STR65" s="10"/>
      <c r="STS65" s="10"/>
      <c r="STT65" s="10"/>
      <c r="STU65" s="10"/>
      <c r="STV65" s="10"/>
      <c r="STW65" s="10"/>
      <c r="STX65" s="10"/>
      <c r="STY65" s="10"/>
      <c r="STZ65" s="10"/>
      <c r="SUA65" s="10"/>
      <c r="SUB65" s="10"/>
      <c r="SUC65" s="10"/>
      <c r="SUD65" s="10"/>
      <c r="SUE65" s="10"/>
      <c r="SUF65" s="10"/>
      <c r="SUG65" s="10"/>
      <c r="SUH65" s="10"/>
      <c r="SUI65" s="10"/>
      <c r="SUJ65" s="10"/>
      <c r="SUK65" s="10"/>
      <c r="SUL65" s="10"/>
      <c r="SUM65" s="10"/>
      <c r="SUN65" s="10"/>
      <c r="SUO65" s="10"/>
      <c r="SUP65" s="10"/>
      <c r="SUQ65" s="10"/>
      <c r="SUR65" s="10"/>
      <c r="SUS65" s="10"/>
      <c r="SUT65" s="10"/>
      <c r="SUU65" s="10"/>
      <c r="SUV65" s="10"/>
      <c r="SUW65" s="10"/>
      <c r="SUX65" s="10"/>
      <c r="SUY65" s="10"/>
      <c r="SUZ65" s="10"/>
      <c r="SVA65" s="10"/>
      <c r="SVB65" s="10"/>
      <c r="SVC65" s="10"/>
      <c r="SVD65" s="10"/>
      <c r="SVE65" s="10"/>
      <c r="SVF65" s="10"/>
      <c r="SVG65" s="10"/>
      <c r="SVH65" s="10"/>
      <c r="SVI65" s="10"/>
      <c r="SVJ65" s="10"/>
      <c r="SVK65" s="10"/>
      <c r="SVL65" s="10"/>
      <c r="SVM65" s="10"/>
      <c r="SVN65" s="10"/>
      <c r="SVO65" s="10"/>
      <c r="SVP65" s="10"/>
      <c r="SVQ65" s="10"/>
      <c r="SVR65" s="10"/>
      <c r="SVS65" s="10"/>
      <c r="SVT65" s="10"/>
      <c r="SVU65" s="10"/>
      <c r="SVV65" s="10"/>
      <c r="SVW65" s="10"/>
      <c r="SVX65" s="10"/>
      <c r="SVY65" s="10"/>
      <c r="SVZ65" s="10"/>
      <c r="SWA65" s="10"/>
      <c r="SWB65" s="10"/>
      <c r="SWC65" s="10"/>
      <c r="SWD65" s="10"/>
      <c r="SWE65" s="10"/>
      <c r="SWF65" s="10"/>
      <c r="SWG65" s="10"/>
      <c r="SWH65" s="10"/>
      <c r="SWI65" s="10"/>
      <c r="SWJ65" s="10"/>
      <c r="SWK65" s="10"/>
      <c r="SWL65" s="10"/>
      <c r="SWM65" s="10"/>
      <c r="SWN65" s="10"/>
      <c r="SWO65" s="10"/>
      <c r="SWP65" s="10"/>
      <c r="SWQ65" s="10"/>
      <c r="SWR65" s="10"/>
      <c r="SWS65" s="10"/>
      <c r="SWT65" s="10"/>
      <c r="SWU65" s="10"/>
      <c r="SWV65" s="10"/>
      <c r="SWW65" s="10"/>
      <c r="SWX65" s="10"/>
      <c r="SWY65" s="10"/>
      <c r="SWZ65" s="10"/>
      <c r="SXA65" s="10"/>
      <c r="SXB65" s="10"/>
      <c r="SXC65" s="10"/>
      <c r="SXD65" s="10"/>
      <c r="SXE65" s="10"/>
      <c r="SXF65" s="10"/>
      <c r="SXG65" s="10"/>
      <c r="SXH65" s="10"/>
      <c r="SXI65" s="10"/>
      <c r="SXJ65" s="10"/>
      <c r="SXK65" s="10"/>
      <c r="SXL65" s="10"/>
      <c r="SXM65" s="10"/>
      <c r="SXN65" s="10"/>
      <c r="SXO65" s="10"/>
      <c r="SXP65" s="10"/>
      <c r="SXQ65" s="10"/>
      <c r="SXR65" s="10"/>
      <c r="SXS65" s="10"/>
      <c r="SXT65" s="10"/>
      <c r="SXU65" s="10"/>
      <c r="SXV65" s="10"/>
      <c r="SXW65" s="10"/>
      <c r="SXX65" s="10"/>
      <c r="SXY65" s="10"/>
      <c r="SXZ65" s="10"/>
      <c r="SYA65" s="10"/>
      <c r="SYB65" s="10"/>
      <c r="SYC65" s="10"/>
      <c r="SYD65" s="10"/>
      <c r="SYE65" s="10"/>
      <c r="SYF65" s="10"/>
      <c r="SYG65" s="10"/>
      <c r="SYH65" s="10"/>
      <c r="SYI65" s="10"/>
      <c r="SYJ65" s="10"/>
      <c r="SYK65" s="10"/>
      <c r="SYL65" s="10"/>
      <c r="SYM65" s="10"/>
      <c r="SYN65" s="10"/>
      <c r="SYO65" s="10"/>
      <c r="SYP65" s="10"/>
      <c r="SYQ65" s="10"/>
      <c r="SYR65" s="10"/>
      <c r="SYS65" s="10"/>
      <c r="SYT65" s="10"/>
      <c r="SYU65" s="10"/>
      <c r="SYV65" s="10"/>
      <c r="SYW65" s="10"/>
      <c r="SYX65" s="10"/>
      <c r="SYY65" s="10"/>
      <c r="SYZ65" s="10"/>
      <c r="SZA65" s="10"/>
      <c r="SZB65" s="10"/>
      <c r="SZC65" s="10"/>
      <c r="SZD65" s="10"/>
      <c r="SZE65" s="10"/>
      <c r="SZF65" s="10"/>
      <c r="SZG65" s="10"/>
      <c r="SZH65" s="10"/>
      <c r="SZI65" s="10"/>
      <c r="SZJ65" s="10"/>
      <c r="SZK65" s="10"/>
      <c r="SZL65" s="10"/>
      <c r="SZM65" s="10"/>
      <c r="SZN65" s="10"/>
      <c r="SZO65" s="10"/>
      <c r="SZP65" s="10"/>
      <c r="SZQ65" s="10"/>
      <c r="SZR65" s="10"/>
      <c r="SZS65" s="10"/>
      <c r="SZT65" s="10"/>
      <c r="SZU65" s="10"/>
      <c r="SZV65" s="10"/>
      <c r="SZW65" s="10"/>
      <c r="SZX65" s="10"/>
      <c r="SZY65" s="10"/>
      <c r="SZZ65" s="10"/>
      <c r="TAA65" s="10"/>
      <c r="TAB65" s="10"/>
      <c r="TAC65" s="10"/>
      <c r="TAD65" s="10"/>
      <c r="TAE65" s="10"/>
      <c r="TAF65" s="10"/>
      <c r="TAG65" s="10"/>
      <c r="TAH65" s="10"/>
      <c r="TAI65" s="10"/>
      <c r="TAJ65" s="10"/>
      <c r="TAK65" s="10"/>
      <c r="TAL65" s="10"/>
      <c r="TAM65" s="10"/>
      <c r="TAN65" s="10"/>
      <c r="TAO65" s="10"/>
      <c r="TAP65" s="10"/>
      <c r="TAQ65" s="10"/>
      <c r="TAR65" s="10"/>
      <c r="TAS65" s="10"/>
      <c r="TAT65" s="10"/>
      <c r="TAU65" s="10"/>
      <c r="TAV65" s="10"/>
      <c r="TAW65" s="10"/>
      <c r="TAX65" s="10"/>
      <c r="TAY65" s="10"/>
      <c r="TAZ65" s="10"/>
      <c r="TBA65" s="10"/>
      <c r="TBB65" s="10"/>
      <c r="TBC65" s="10"/>
      <c r="TBD65" s="10"/>
      <c r="TBE65" s="10"/>
      <c r="TBF65" s="10"/>
      <c r="TBG65" s="10"/>
      <c r="TBH65" s="10"/>
      <c r="TBI65" s="10"/>
      <c r="TBJ65" s="10"/>
      <c r="TBK65" s="10"/>
      <c r="TBL65" s="10"/>
      <c r="TBM65" s="10"/>
      <c r="TBN65" s="10"/>
      <c r="TBO65" s="10"/>
      <c r="TBP65" s="10"/>
      <c r="TBQ65" s="10"/>
      <c r="TBR65" s="10"/>
      <c r="TBS65" s="10"/>
      <c r="TBT65" s="10"/>
      <c r="TBU65" s="10"/>
      <c r="TBV65" s="10"/>
      <c r="TBW65" s="10"/>
      <c r="TBX65" s="10"/>
      <c r="TBY65" s="10"/>
      <c r="TBZ65" s="10"/>
      <c r="TCA65" s="10"/>
      <c r="TCB65" s="10"/>
      <c r="TCC65" s="10"/>
      <c r="TCD65" s="10"/>
      <c r="TCE65" s="10"/>
      <c r="TCF65" s="10"/>
      <c r="TCG65" s="10"/>
      <c r="TCH65" s="10"/>
      <c r="TCI65" s="10"/>
      <c r="TCJ65" s="10"/>
      <c r="TCK65" s="10"/>
      <c r="TCL65" s="10"/>
      <c r="TCM65" s="10"/>
      <c r="TCN65" s="10"/>
      <c r="TCO65" s="10"/>
      <c r="TCP65" s="10"/>
      <c r="TCQ65" s="10"/>
      <c r="TCR65" s="10"/>
      <c r="TCS65" s="10"/>
      <c r="TCT65" s="10"/>
      <c r="TCU65" s="10"/>
      <c r="TCV65" s="10"/>
      <c r="TCW65" s="10"/>
      <c r="TCX65" s="10"/>
      <c r="TCY65" s="10"/>
      <c r="TCZ65" s="10"/>
      <c r="TDA65" s="10"/>
      <c r="TDB65" s="10"/>
      <c r="TDC65" s="10"/>
      <c r="TDD65" s="10"/>
      <c r="TDE65" s="10"/>
      <c r="TDF65" s="10"/>
      <c r="TDG65" s="10"/>
      <c r="TDH65" s="10"/>
      <c r="TDI65" s="10"/>
      <c r="TDJ65" s="10"/>
      <c r="TDK65" s="10"/>
      <c r="TDL65" s="10"/>
      <c r="TDM65" s="10"/>
      <c r="TDN65" s="10"/>
      <c r="TDO65" s="10"/>
      <c r="TDP65" s="10"/>
      <c r="TDQ65" s="10"/>
      <c r="TDR65" s="10"/>
      <c r="TDS65" s="10"/>
      <c r="TDT65" s="10"/>
      <c r="TDU65" s="10"/>
      <c r="TDV65" s="10"/>
      <c r="TDW65" s="10"/>
      <c r="TDX65" s="10"/>
      <c r="TDY65" s="10"/>
      <c r="TDZ65" s="10"/>
      <c r="TEA65" s="10"/>
      <c r="TEB65" s="10"/>
      <c r="TEC65" s="10"/>
      <c r="TED65" s="10"/>
      <c r="TEE65" s="10"/>
      <c r="TEF65" s="10"/>
      <c r="TEG65" s="10"/>
      <c r="TEH65" s="10"/>
      <c r="TEI65" s="10"/>
      <c r="TEJ65" s="10"/>
      <c r="TEK65" s="10"/>
      <c r="TEL65" s="10"/>
      <c r="TEM65" s="10"/>
      <c r="TEN65" s="10"/>
      <c r="TEO65" s="10"/>
      <c r="TEP65" s="10"/>
      <c r="TEQ65" s="10"/>
      <c r="TER65" s="10"/>
      <c r="TES65" s="10"/>
      <c r="TET65" s="10"/>
      <c r="TEU65" s="10"/>
      <c r="TEV65" s="10"/>
      <c r="TEW65" s="10"/>
      <c r="TEX65" s="10"/>
      <c r="TEY65" s="10"/>
      <c r="TEZ65" s="10"/>
      <c r="TFA65" s="10"/>
      <c r="TFB65" s="10"/>
      <c r="TFC65" s="10"/>
      <c r="TFD65" s="10"/>
      <c r="TFE65" s="10"/>
      <c r="TFF65" s="10"/>
      <c r="TFG65" s="10"/>
      <c r="TFH65" s="10"/>
      <c r="TFI65" s="10"/>
      <c r="TFJ65" s="10"/>
      <c r="TFK65" s="10"/>
      <c r="TFL65" s="10"/>
      <c r="TFM65" s="10"/>
      <c r="TFN65" s="10"/>
      <c r="TFO65" s="10"/>
      <c r="TFP65" s="10"/>
      <c r="TFQ65" s="10"/>
      <c r="TFR65" s="10"/>
      <c r="TFS65" s="10"/>
      <c r="TFT65" s="10"/>
      <c r="TFU65" s="10"/>
      <c r="TFV65" s="10"/>
      <c r="TFW65" s="10"/>
      <c r="TFX65" s="10"/>
      <c r="TFY65" s="10"/>
      <c r="TFZ65" s="10"/>
      <c r="TGA65" s="10"/>
      <c r="TGB65" s="10"/>
      <c r="TGC65" s="10"/>
      <c r="TGD65" s="10"/>
      <c r="TGE65" s="10"/>
      <c r="TGF65" s="10"/>
      <c r="TGG65" s="10"/>
      <c r="TGH65" s="10"/>
      <c r="TGI65" s="10"/>
      <c r="TGJ65" s="10"/>
      <c r="TGK65" s="10"/>
      <c r="TGL65" s="10"/>
      <c r="TGM65" s="10"/>
      <c r="TGN65" s="10"/>
      <c r="TGO65" s="10"/>
      <c r="TGP65" s="10"/>
      <c r="TGQ65" s="10"/>
      <c r="TGR65" s="10"/>
      <c r="TGS65" s="10"/>
      <c r="TGT65" s="10"/>
      <c r="TGU65" s="10"/>
      <c r="TGV65" s="10"/>
      <c r="TGW65" s="10"/>
      <c r="TGX65" s="10"/>
      <c r="TGY65" s="10"/>
      <c r="TGZ65" s="10"/>
      <c r="THA65" s="10"/>
      <c r="THB65" s="10"/>
      <c r="THC65" s="10"/>
      <c r="THD65" s="10"/>
      <c r="THE65" s="10"/>
      <c r="THF65" s="10"/>
      <c r="THG65" s="10"/>
      <c r="THH65" s="10"/>
      <c r="THI65" s="10"/>
      <c r="THJ65" s="10"/>
      <c r="THK65" s="10"/>
      <c r="THL65" s="10"/>
      <c r="THM65" s="10"/>
      <c r="THN65" s="10"/>
      <c r="THO65" s="10"/>
      <c r="THP65" s="10"/>
      <c r="THQ65" s="10"/>
      <c r="THR65" s="10"/>
      <c r="THS65" s="10"/>
      <c r="THT65" s="10"/>
      <c r="THU65" s="10"/>
      <c r="THV65" s="10"/>
      <c r="THW65" s="10"/>
      <c r="THX65" s="10"/>
      <c r="THY65" s="10"/>
      <c r="THZ65" s="10"/>
      <c r="TIA65" s="10"/>
      <c r="TIB65" s="10"/>
      <c r="TIC65" s="10"/>
      <c r="TID65" s="10"/>
      <c r="TIE65" s="10"/>
      <c r="TIF65" s="10"/>
      <c r="TIG65" s="10"/>
      <c r="TIH65" s="10"/>
      <c r="TII65" s="10"/>
      <c r="TIJ65" s="10"/>
      <c r="TIK65" s="10"/>
      <c r="TIL65" s="10"/>
      <c r="TIM65" s="10"/>
      <c r="TIN65" s="10"/>
      <c r="TIO65" s="10"/>
      <c r="TIP65" s="10"/>
      <c r="TIQ65" s="10"/>
      <c r="TIR65" s="10"/>
      <c r="TIS65" s="10"/>
      <c r="TIT65" s="10"/>
      <c r="TIU65" s="10"/>
      <c r="TIV65" s="10"/>
      <c r="TIW65" s="10"/>
      <c r="TIX65" s="10"/>
      <c r="TIY65" s="10"/>
      <c r="TIZ65" s="10"/>
      <c r="TJA65" s="10"/>
      <c r="TJB65" s="10"/>
      <c r="TJC65" s="10"/>
      <c r="TJD65" s="10"/>
      <c r="TJE65" s="10"/>
      <c r="TJF65" s="10"/>
      <c r="TJG65" s="10"/>
      <c r="TJH65" s="10"/>
      <c r="TJI65" s="10"/>
      <c r="TJJ65" s="10"/>
      <c r="TJK65" s="10"/>
      <c r="TJL65" s="10"/>
      <c r="TJM65" s="10"/>
      <c r="TJN65" s="10"/>
      <c r="TJO65" s="10"/>
      <c r="TJP65" s="10"/>
      <c r="TJQ65" s="10"/>
      <c r="TJR65" s="10"/>
      <c r="TJS65" s="10"/>
      <c r="TJT65" s="10"/>
      <c r="TJU65" s="10"/>
      <c r="TJV65" s="10"/>
      <c r="TJW65" s="10"/>
      <c r="TJX65" s="10"/>
      <c r="TJY65" s="10"/>
      <c r="TJZ65" s="10"/>
      <c r="TKA65" s="10"/>
      <c r="TKB65" s="10"/>
      <c r="TKC65" s="10"/>
      <c r="TKD65" s="10"/>
      <c r="TKE65" s="10"/>
      <c r="TKF65" s="10"/>
      <c r="TKG65" s="10"/>
      <c r="TKH65" s="10"/>
      <c r="TKI65" s="10"/>
      <c r="TKJ65" s="10"/>
      <c r="TKK65" s="10"/>
      <c r="TKL65" s="10"/>
      <c r="TKM65" s="10"/>
      <c r="TKN65" s="10"/>
      <c r="TKO65" s="10"/>
      <c r="TKP65" s="10"/>
      <c r="TKQ65" s="10"/>
      <c r="TKR65" s="10"/>
      <c r="TKS65" s="10"/>
      <c r="TKT65" s="10"/>
      <c r="TKU65" s="10"/>
      <c r="TKV65" s="10"/>
      <c r="TKW65" s="10"/>
      <c r="TKX65" s="10"/>
      <c r="TKY65" s="10"/>
      <c r="TKZ65" s="10"/>
      <c r="TLA65" s="10"/>
      <c r="TLB65" s="10"/>
      <c r="TLC65" s="10"/>
      <c r="TLD65" s="10"/>
      <c r="TLE65" s="10"/>
      <c r="TLF65" s="10"/>
      <c r="TLG65" s="10"/>
      <c r="TLH65" s="10"/>
      <c r="TLI65" s="10"/>
      <c r="TLJ65" s="10"/>
      <c r="TLK65" s="10"/>
      <c r="TLL65" s="10"/>
      <c r="TLM65" s="10"/>
      <c r="TLN65" s="10"/>
      <c r="TLO65" s="10"/>
      <c r="TLP65" s="10"/>
      <c r="TLQ65" s="10"/>
      <c r="TLR65" s="10"/>
      <c r="TLS65" s="10"/>
      <c r="TLT65" s="10"/>
      <c r="TLU65" s="10"/>
      <c r="TLV65" s="10"/>
      <c r="TLW65" s="10"/>
      <c r="TLX65" s="10"/>
      <c r="TLY65" s="10"/>
      <c r="TLZ65" s="10"/>
      <c r="TMA65" s="10"/>
      <c r="TMB65" s="10"/>
      <c r="TMC65" s="10"/>
      <c r="TMD65" s="10"/>
      <c r="TME65" s="10"/>
      <c r="TMF65" s="10"/>
      <c r="TMG65" s="10"/>
      <c r="TMH65" s="10"/>
      <c r="TMI65" s="10"/>
      <c r="TMJ65" s="10"/>
      <c r="TMK65" s="10"/>
      <c r="TML65" s="10"/>
      <c r="TMM65" s="10"/>
      <c r="TMN65" s="10"/>
      <c r="TMO65" s="10"/>
      <c r="TMP65" s="10"/>
      <c r="TMQ65" s="10"/>
      <c r="TMR65" s="10"/>
      <c r="TMS65" s="10"/>
      <c r="TMT65" s="10"/>
      <c r="TMU65" s="10"/>
      <c r="TMV65" s="10"/>
      <c r="TMW65" s="10"/>
      <c r="TMX65" s="10"/>
      <c r="TMY65" s="10"/>
      <c r="TMZ65" s="10"/>
      <c r="TNA65" s="10"/>
      <c r="TNB65" s="10"/>
      <c r="TNC65" s="10"/>
      <c r="TND65" s="10"/>
      <c r="TNE65" s="10"/>
      <c r="TNF65" s="10"/>
      <c r="TNG65" s="10"/>
      <c r="TNH65" s="10"/>
      <c r="TNI65" s="10"/>
      <c r="TNJ65" s="10"/>
      <c r="TNK65" s="10"/>
      <c r="TNL65" s="10"/>
      <c r="TNM65" s="10"/>
      <c r="TNN65" s="10"/>
      <c r="TNO65" s="10"/>
      <c r="TNP65" s="10"/>
      <c r="TNQ65" s="10"/>
      <c r="TNR65" s="10"/>
      <c r="TNS65" s="10"/>
      <c r="TNT65" s="10"/>
      <c r="TNU65" s="10"/>
      <c r="TNV65" s="10"/>
      <c r="TNW65" s="10"/>
      <c r="TNX65" s="10"/>
      <c r="TNY65" s="10"/>
      <c r="TNZ65" s="10"/>
      <c r="TOA65" s="10"/>
      <c r="TOB65" s="10"/>
      <c r="TOC65" s="10"/>
      <c r="TOD65" s="10"/>
      <c r="TOE65" s="10"/>
      <c r="TOF65" s="10"/>
      <c r="TOG65" s="10"/>
      <c r="TOH65" s="10"/>
      <c r="TOI65" s="10"/>
      <c r="TOJ65" s="10"/>
      <c r="TOK65" s="10"/>
      <c r="TOL65" s="10"/>
      <c r="TOM65" s="10"/>
      <c r="TON65" s="10"/>
      <c r="TOO65" s="10"/>
      <c r="TOP65" s="10"/>
      <c r="TOQ65" s="10"/>
      <c r="TOR65" s="10"/>
      <c r="TOS65" s="10"/>
      <c r="TOT65" s="10"/>
      <c r="TOU65" s="10"/>
      <c r="TOV65" s="10"/>
      <c r="TOW65" s="10"/>
      <c r="TOX65" s="10"/>
      <c r="TOY65" s="10"/>
      <c r="TOZ65" s="10"/>
      <c r="TPA65" s="10"/>
      <c r="TPB65" s="10"/>
      <c r="TPC65" s="10"/>
      <c r="TPD65" s="10"/>
      <c r="TPE65" s="10"/>
      <c r="TPF65" s="10"/>
      <c r="TPG65" s="10"/>
      <c r="TPH65" s="10"/>
      <c r="TPI65" s="10"/>
      <c r="TPJ65" s="10"/>
      <c r="TPK65" s="10"/>
      <c r="TPL65" s="10"/>
      <c r="TPM65" s="10"/>
      <c r="TPN65" s="10"/>
      <c r="TPO65" s="10"/>
      <c r="TPP65" s="10"/>
      <c r="TPQ65" s="10"/>
      <c r="TPR65" s="10"/>
      <c r="TPS65" s="10"/>
      <c r="TPT65" s="10"/>
      <c r="TPU65" s="10"/>
      <c r="TPV65" s="10"/>
      <c r="TPW65" s="10"/>
      <c r="TPX65" s="10"/>
      <c r="TPY65" s="10"/>
      <c r="TPZ65" s="10"/>
      <c r="TQA65" s="10"/>
      <c r="TQB65" s="10"/>
      <c r="TQC65" s="10"/>
      <c r="TQD65" s="10"/>
      <c r="TQE65" s="10"/>
      <c r="TQF65" s="10"/>
      <c r="TQG65" s="10"/>
      <c r="TQH65" s="10"/>
      <c r="TQI65" s="10"/>
      <c r="TQJ65" s="10"/>
      <c r="TQK65" s="10"/>
      <c r="TQL65" s="10"/>
      <c r="TQM65" s="10"/>
      <c r="TQN65" s="10"/>
      <c r="TQO65" s="10"/>
      <c r="TQP65" s="10"/>
      <c r="TQQ65" s="10"/>
      <c r="TQR65" s="10"/>
      <c r="TQS65" s="10"/>
      <c r="TQT65" s="10"/>
      <c r="TQU65" s="10"/>
      <c r="TQV65" s="10"/>
      <c r="TQW65" s="10"/>
      <c r="TQX65" s="10"/>
      <c r="TQY65" s="10"/>
      <c r="TQZ65" s="10"/>
      <c r="TRA65" s="10"/>
      <c r="TRB65" s="10"/>
      <c r="TRC65" s="10"/>
      <c r="TRD65" s="10"/>
      <c r="TRE65" s="10"/>
      <c r="TRF65" s="10"/>
      <c r="TRG65" s="10"/>
      <c r="TRH65" s="10"/>
      <c r="TRI65" s="10"/>
      <c r="TRJ65" s="10"/>
      <c r="TRK65" s="10"/>
      <c r="TRL65" s="10"/>
      <c r="TRM65" s="10"/>
      <c r="TRN65" s="10"/>
      <c r="TRO65" s="10"/>
      <c r="TRP65" s="10"/>
      <c r="TRQ65" s="10"/>
      <c r="TRR65" s="10"/>
      <c r="TRS65" s="10"/>
      <c r="TRT65" s="10"/>
      <c r="TRU65" s="10"/>
      <c r="TRV65" s="10"/>
      <c r="TRW65" s="10"/>
      <c r="TRX65" s="10"/>
      <c r="TRY65" s="10"/>
      <c r="TRZ65" s="10"/>
      <c r="TSA65" s="10"/>
      <c r="TSB65" s="10"/>
      <c r="TSC65" s="10"/>
      <c r="TSD65" s="10"/>
      <c r="TSE65" s="10"/>
      <c r="TSF65" s="10"/>
      <c r="TSG65" s="10"/>
      <c r="TSH65" s="10"/>
      <c r="TSI65" s="10"/>
      <c r="TSJ65" s="10"/>
      <c r="TSK65" s="10"/>
      <c r="TSL65" s="10"/>
      <c r="TSM65" s="10"/>
      <c r="TSN65" s="10"/>
      <c r="TSO65" s="10"/>
      <c r="TSP65" s="10"/>
      <c r="TSQ65" s="10"/>
      <c r="TSR65" s="10"/>
      <c r="TSS65" s="10"/>
      <c r="TST65" s="10"/>
      <c r="TSU65" s="10"/>
      <c r="TSV65" s="10"/>
      <c r="TSW65" s="10"/>
      <c r="TSX65" s="10"/>
      <c r="TSY65" s="10"/>
      <c r="TSZ65" s="10"/>
      <c r="TTA65" s="10"/>
      <c r="TTB65" s="10"/>
      <c r="TTC65" s="10"/>
      <c r="TTD65" s="10"/>
      <c r="TTE65" s="10"/>
      <c r="TTF65" s="10"/>
      <c r="TTG65" s="10"/>
      <c r="TTH65" s="10"/>
      <c r="TTI65" s="10"/>
      <c r="TTJ65" s="10"/>
      <c r="TTK65" s="10"/>
      <c r="TTL65" s="10"/>
      <c r="TTM65" s="10"/>
      <c r="TTN65" s="10"/>
      <c r="TTO65" s="10"/>
      <c r="TTP65" s="10"/>
      <c r="TTQ65" s="10"/>
      <c r="TTR65" s="10"/>
      <c r="TTS65" s="10"/>
      <c r="TTT65" s="10"/>
      <c r="TTU65" s="10"/>
      <c r="TTV65" s="10"/>
      <c r="TTW65" s="10"/>
      <c r="TTX65" s="10"/>
      <c r="TTY65" s="10"/>
      <c r="TTZ65" s="10"/>
      <c r="TUA65" s="10"/>
      <c r="TUB65" s="10"/>
      <c r="TUC65" s="10"/>
      <c r="TUD65" s="10"/>
      <c r="TUE65" s="10"/>
      <c r="TUF65" s="10"/>
      <c r="TUG65" s="10"/>
      <c r="TUH65" s="10"/>
      <c r="TUI65" s="10"/>
      <c r="TUJ65" s="10"/>
      <c r="TUK65" s="10"/>
      <c r="TUL65" s="10"/>
      <c r="TUM65" s="10"/>
      <c r="TUN65" s="10"/>
      <c r="TUO65" s="10"/>
      <c r="TUP65" s="10"/>
      <c r="TUQ65" s="10"/>
      <c r="TUR65" s="10"/>
      <c r="TUS65" s="10"/>
      <c r="TUT65" s="10"/>
      <c r="TUU65" s="10"/>
      <c r="TUV65" s="10"/>
      <c r="TUW65" s="10"/>
      <c r="TUX65" s="10"/>
      <c r="TUY65" s="10"/>
      <c r="TUZ65" s="10"/>
      <c r="TVA65" s="10"/>
      <c r="TVB65" s="10"/>
      <c r="TVC65" s="10"/>
      <c r="TVD65" s="10"/>
      <c r="TVE65" s="10"/>
      <c r="TVF65" s="10"/>
      <c r="TVG65" s="10"/>
      <c r="TVH65" s="10"/>
      <c r="TVI65" s="10"/>
      <c r="TVJ65" s="10"/>
      <c r="TVK65" s="10"/>
      <c r="TVL65" s="10"/>
      <c r="TVM65" s="10"/>
      <c r="TVN65" s="10"/>
      <c r="TVO65" s="10"/>
      <c r="TVP65" s="10"/>
      <c r="TVQ65" s="10"/>
      <c r="TVR65" s="10"/>
      <c r="TVS65" s="10"/>
      <c r="TVT65" s="10"/>
      <c r="TVU65" s="10"/>
      <c r="TVV65" s="10"/>
      <c r="TVW65" s="10"/>
      <c r="TVX65" s="10"/>
      <c r="TVY65" s="10"/>
      <c r="TVZ65" s="10"/>
      <c r="TWA65" s="10"/>
      <c r="TWB65" s="10"/>
      <c r="TWC65" s="10"/>
      <c r="TWD65" s="10"/>
      <c r="TWE65" s="10"/>
      <c r="TWF65" s="10"/>
      <c r="TWG65" s="10"/>
      <c r="TWH65" s="10"/>
      <c r="TWI65" s="10"/>
      <c r="TWJ65" s="10"/>
      <c r="TWK65" s="10"/>
      <c r="TWL65" s="10"/>
      <c r="TWM65" s="10"/>
      <c r="TWN65" s="10"/>
      <c r="TWO65" s="10"/>
      <c r="TWP65" s="10"/>
      <c r="TWQ65" s="10"/>
      <c r="TWR65" s="10"/>
      <c r="TWS65" s="10"/>
      <c r="TWT65" s="10"/>
      <c r="TWU65" s="10"/>
      <c r="TWV65" s="10"/>
      <c r="TWW65" s="10"/>
      <c r="TWX65" s="10"/>
      <c r="TWY65" s="10"/>
      <c r="TWZ65" s="10"/>
      <c r="TXA65" s="10"/>
      <c r="TXB65" s="10"/>
      <c r="TXC65" s="10"/>
      <c r="TXD65" s="10"/>
      <c r="TXE65" s="10"/>
      <c r="TXF65" s="10"/>
      <c r="TXG65" s="10"/>
      <c r="TXH65" s="10"/>
      <c r="TXI65" s="10"/>
      <c r="TXJ65" s="10"/>
      <c r="TXK65" s="10"/>
      <c r="TXL65" s="10"/>
      <c r="TXM65" s="10"/>
      <c r="TXN65" s="10"/>
      <c r="TXO65" s="10"/>
      <c r="TXP65" s="10"/>
      <c r="TXQ65" s="10"/>
      <c r="TXR65" s="10"/>
      <c r="TXS65" s="10"/>
      <c r="TXT65" s="10"/>
      <c r="TXU65" s="10"/>
      <c r="TXV65" s="10"/>
      <c r="TXW65" s="10"/>
      <c r="TXX65" s="10"/>
      <c r="TXY65" s="10"/>
      <c r="TXZ65" s="10"/>
      <c r="TYA65" s="10"/>
      <c r="TYB65" s="10"/>
      <c r="TYC65" s="10"/>
      <c r="TYD65" s="10"/>
      <c r="TYE65" s="10"/>
      <c r="TYF65" s="10"/>
      <c r="TYG65" s="10"/>
      <c r="TYH65" s="10"/>
      <c r="TYI65" s="10"/>
      <c r="TYJ65" s="10"/>
      <c r="TYK65" s="10"/>
      <c r="TYL65" s="10"/>
      <c r="TYM65" s="10"/>
      <c r="TYN65" s="10"/>
      <c r="TYO65" s="10"/>
      <c r="TYP65" s="10"/>
      <c r="TYQ65" s="10"/>
      <c r="TYR65" s="10"/>
      <c r="TYS65" s="10"/>
      <c r="TYT65" s="10"/>
      <c r="TYU65" s="10"/>
      <c r="TYV65" s="10"/>
      <c r="TYW65" s="10"/>
      <c r="TYX65" s="10"/>
      <c r="TYY65" s="10"/>
      <c r="TYZ65" s="10"/>
      <c r="TZA65" s="10"/>
      <c r="TZB65" s="10"/>
      <c r="TZC65" s="10"/>
      <c r="TZD65" s="10"/>
      <c r="TZE65" s="10"/>
      <c r="TZF65" s="10"/>
      <c r="TZG65" s="10"/>
      <c r="TZH65" s="10"/>
      <c r="TZI65" s="10"/>
      <c r="TZJ65" s="10"/>
      <c r="TZK65" s="10"/>
      <c r="TZL65" s="10"/>
      <c r="TZM65" s="10"/>
      <c r="TZN65" s="10"/>
      <c r="TZO65" s="10"/>
      <c r="TZP65" s="10"/>
      <c r="TZQ65" s="10"/>
      <c r="TZR65" s="10"/>
      <c r="TZS65" s="10"/>
      <c r="TZT65" s="10"/>
      <c r="TZU65" s="10"/>
      <c r="TZV65" s="10"/>
      <c r="TZW65" s="10"/>
      <c r="TZX65" s="10"/>
      <c r="TZY65" s="10"/>
      <c r="TZZ65" s="10"/>
      <c r="UAA65" s="10"/>
      <c r="UAB65" s="10"/>
      <c r="UAC65" s="10"/>
      <c r="UAD65" s="10"/>
      <c r="UAE65" s="10"/>
      <c r="UAF65" s="10"/>
      <c r="UAG65" s="10"/>
      <c r="UAH65" s="10"/>
      <c r="UAI65" s="10"/>
      <c r="UAJ65" s="10"/>
      <c r="UAK65" s="10"/>
      <c r="UAL65" s="10"/>
      <c r="UAM65" s="10"/>
      <c r="UAN65" s="10"/>
      <c r="UAO65" s="10"/>
      <c r="UAP65" s="10"/>
      <c r="UAQ65" s="10"/>
      <c r="UAR65" s="10"/>
      <c r="UAS65" s="10"/>
      <c r="UAT65" s="10"/>
      <c r="UAU65" s="10"/>
      <c r="UAV65" s="10"/>
      <c r="UAW65" s="10"/>
      <c r="UAX65" s="10"/>
      <c r="UAY65" s="10"/>
      <c r="UAZ65" s="10"/>
      <c r="UBA65" s="10"/>
      <c r="UBB65" s="10"/>
      <c r="UBC65" s="10"/>
      <c r="UBD65" s="10"/>
      <c r="UBE65" s="10"/>
      <c r="UBF65" s="10"/>
      <c r="UBG65" s="10"/>
      <c r="UBH65" s="10"/>
      <c r="UBI65" s="10"/>
      <c r="UBJ65" s="10"/>
      <c r="UBK65" s="10"/>
      <c r="UBL65" s="10"/>
      <c r="UBM65" s="10"/>
      <c r="UBN65" s="10"/>
      <c r="UBO65" s="10"/>
      <c r="UBP65" s="10"/>
      <c r="UBQ65" s="10"/>
      <c r="UBR65" s="10"/>
      <c r="UBS65" s="10"/>
      <c r="UBT65" s="10"/>
      <c r="UBU65" s="10"/>
      <c r="UBV65" s="10"/>
      <c r="UBW65" s="10"/>
      <c r="UBX65" s="10"/>
      <c r="UBY65" s="10"/>
      <c r="UBZ65" s="10"/>
      <c r="UCA65" s="10"/>
      <c r="UCB65" s="10"/>
      <c r="UCC65" s="10"/>
      <c r="UCD65" s="10"/>
      <c r="UCE65" s="10"/>
      <c r="UCF65" s="10"/>
      <c r="UCG65" s="10"/>
      <c r="UCH65" s="10"/>
      <c r="UCI65" s="10"/>
      <c r="UCJ65" s="10"/>
      <c r="UCK65" s="10"/>
      <c r="UCL65" s="10"/>
      <c r="UCM65" s="10"/>
      <c r="UCN65" s="10"/>
      <c r="UCO65" s="10"/>
      <c r="UCP65" s="10"/>
      <c r="UCQ65" s="10"/>
      <c r="UCR65" s="10"/>
      <c r="UCS65" s="10"/>
      <c r="UCT65" s="10"/>
      <c r="UCU65" s="10"/>
      <c r="UCV65" s="10"/>
      <c r="UCW65" s="10"/>
      <c r="UCX65" s="10"/>
      <c r="UCY65" s="10"/>
      <c r="UCZ65" s="10"/>
      <c r="UDA65" s="10"/>
      <c r="UDB65" s="10"/>
      <c r="UDC65" s="10"/>
      <c r="UDD65" s="10"/>
      <c r="UDE65" s="10"/>
      <c r="UDF65" s="10"/>
      <c r="UDG65" s="10"/>
      <c r="UDH65" s="10"/>
      <c r="UDI65" s="10"/>
      <c r="UDJ65" s="10"/>
      <c r="UDK65" s="10"/>
      <c r="UDL65" s="10"/>
      <c r="UDM65" s="10"/>
      <c r="UDN65" s="10"/>
      <c r="UDO65" s="10"/>
      <c r="UDP65" s="10"/>
      <c r="UDQ65" s="10"/>
      <c r="UDR65" s="10"/>
      <c r="UDS65" s="10"/>
      <c r="UDT65" s="10"/>
      <c r="UDU65" s="10"/>
      <c r="UDV65" s="10"/>
      <c r="UDW65" s="10"/>
      <c r="UDX65" s="10"/>
      <c r="UDY65" s="10"/>
      <c r="UDZ65" s="10"/>
      <c r="UEA65" s="10"/>
      <c r="UEB65" s="10"/>
      <c r="UEC65" s="10"/>
      <c r="UED65" s="10"/>
      <c r="UEE65" s="10"/>
      <c r="UEF65" s="10"/>
      <c r="UEG65" s="10"/>
      <c r="UEH65" s="10"/>
      <c r="UEI65" s="10"/>
      <c r="UEJ65" s="10"/>
      <c r="UEK65" s="10"/>
      <c r="UEL65" s="10"/>
      <c r="UEM65" s="10"/>
      <c r="UEN65" s="10"/>
      <c r="UEO65" s="10"/>
      <c r="UEP65" s="10"/>
      <c r="UEQ65" s="10"/>
      <c r="UER65" s="10"/>
      <c r="UES65" s="10"/>
      <c r="UET65" s="10"/>
      <c r="UEU65" s="10"/>
      <c r="UEV65" s="10"/>
      <c r="UEW65" s="10"/>
      <c r="UEX65" s="10"/>
      <c r="UEY65" s="10"/>
      <c r="UEZ65" s="10"/>
      <c r="UFA65" s="10"/>
      <c r="UFB65" s="10"/>
      <c r="UFC65" s="10"/>
      <c r="UFD65" s="10"/>
      <c r="UFE65" s="10"/>
      <c r="UFF65" s="10"/>
      <c r="UFG65" s="10"/>
      <c r="UFH65" s="10"/>
      <c r="UFI65" s="10"/>
      <c r="UFJ65" s="10"/>
      <c r="UFK65" s="10"/>
      <c r="UFL65" s="10"/>
      <c r="UFM65" s="10"/>
      <c r="UFN65" s="10"/>
      <c r="UFO65" s="10"/>
      <c r="UFP65" s="10"/>
      <c r="UFQ65" s="10"/>
      <c r="UFR65" s="10"/>
      <c r="UFS65" s="10"/>
      <c r="UFT65" s="10"/>
      <c r="UFU65" s="10"/>
      <c r="UFV65" s="10"/>
      <c r="UFW65" s="10"/>
      <c r="UFX65" s="10"/>
      <c r="UFY65" s="10"/>
      <c r="UFZ65" s="10"/>
      <c r="UGA65" s="10"/>
      <c r="UGB65" s="10"/>
      <c r="UGC65" s="10"/>
      <c r="UGD65" s="10"/>
      <c r="UGE65" s="10"/>
      <c r="UGF65" s="10"/>
      <c r="UGG65" s="10"/>
      <c r="UGH65" s="10"/>
      <c r="UGI65" s="10"/>
      <c r="UGJ65" s="10"/>
      <c r="UGK65" s="10"/>
      <c r="UGL65" s="10"/>
      <c r="UGM65" s="10"/>
      <c r="UGN65" s="10"/>
      <c r="UGO65" s="10"/>
      <c r="UGP65" s="10"/>
      <c r="UGQ65" s="10"/>
      <c r="UGR65" s="10"/>
      <c r="UGS65" s="10"/>
      <c r="UGT65" s="10"/>
      <c r="UGU65" s="10"/>
      <c r="UGV65" s="10"/>
      <c r="UGW65" s="10"/>
      <c r="UGX65" s="10"/>
      <c r="UGY65" s="10"/>
      <c r="UGZ65" s="10"/>
      <c r="UHA65" s="10"/>
      <c r="UHB65" s="10"/>
      <c r="UHC65" s="10"/>
      <c r="UHD65" s="10"/>
      <c r="UHE65" s="10"/>
      <c r="UHF65" s="10"/>
      <c r="UHG65" s="10"/>
      <c r="UHH65" s="10"/>
      <c r="UHI65" s="10"/>
      <c r="UHJ65" s="10"/>
      <c r="UHK65" s="10"/>
      <c r="UHL65" s="10"/>
      <c r="UHM65" s="10"/>
      <c r="UHN65" s="10"/>
      <c r="UHO65" s="10"/>
      <c r="UHP65" s="10"/>
      <c r="UHQ65" s="10"/>
      <c r="UHR65" s="10"/>
      <c r="UHS65" s="10"/>
      <c r="UHT65" s="10"/>
      <c r="UHU65" s="10"/>
      <c r="UHV65" s="10"/>
      <c r="UHW65" s="10"/>
      <c r="UHX65" s="10"/>
      <c r="UHY65" s="10"/>
      <c r="UHZ65" s="10"/>
      <c r="UIA65" s="10"/>
      <c r="UIB65" s="10"/>
      <c r="UIC65" s="10"/>
      <c r="UID65" s="10"/>
      <c r="UIE65" s="10"/>
      <c r="UIF65" s="10"/>
      <c r="UIG65" s="10"/>
      <c r="UIH65" s="10"/>
      <c r="UII65" s="10"/>
      <c r="UIJ65" s="10"/>
      <c r="UIK65" s="10"/>
      <c r="UIL65" s="10"/>
      <c r="UIM65" s="10"/>
      <c r="UIN65" s="10"/>
      <c r="UIO65" s="10"/>
      <c r="UIP65" s="10"/>
      <c r="UIQ65" s="10"/>
      <c r="UIR65" s="10"/>
      <c r="UIS65" s="10"/>
      <c r="UIT65" s="10"/>
      <c r="UIU65" s="10"/>
      <c r="UIV65" s="10"/>
      <c r="UIW65" s="10"/>
      <c r="UIX65" s="10"/>
      <c r="UIY65" s="10"/>
      <c r="UIZ65" s="10"/>
      <c r="UJA65" s="10"/>
      <c r="UJB65" s="10"/>
      <c r="UJC65" s="10"/>
      <c r="UJD65" s="10"/>
      <c r="UJE65" s="10"/>
      <c r="UJF65" s="10"/>
      <c r="UJG65" s="10"/>
      <c r="UJH65" s="10"/>
      <c r="UJI65" s="10"/>
      <c r="UJJ65" s="10"/>
      <c r="UJK65" s="10"/>
      <c r="UJL65" s="10"/>
      <c r="UJM65" s="10"/>
      <c r="UJN65" s="10"/>
      <c r="UJO65" s="10"/>
      <c r="UJP65" s="10"/>
      <c r="UJQ65" s="10"/>
      <c r="UJR65" s="10"/>
      <c r="UJS65" s="10"/>
      <c r="UJT65" s="10"/>
      <c r="UJU65" s="10"/>
      <c r="UJV65" s="10"/>
      <c r="UJW65" s="10"/>
      <c r="UJX65" s="10"/>
      <c r="UJY65" s="10"/>
      <c r="UJZ65" s="10"/>
      <c r="UKA65" s="10"/>
      <c r="UKB65" s="10"/>
      <c r="UKC65" s="10"/>
      <c r="UKD65" s="10"/>
      <c r="UKE65" s="10"/>
      <c r="UKF65" s="10"/>
      <c r="UKG65" s="10"/>
      <c r="UKH65" s="10"/>
      <c r="UKI65" s="10"/>
      <c r="UKJ65" s="10"/>
      <c r="UKK65" s="10"/>
      <c r="UKL65" s="10"/>
      <c r="UKM65" s="10"/>
      <c r="UKN65" s="10"/>
      <c r="UKO65" s="10"/>
      <c r="UKP65" s="10"/>
      <c r="UKQ65" s="10"/>
      <c r="UKR65" s="10"/>
      <c r="UKS65" s="10"/>
      <c r="UKT65" s="10"/>
      <c r="UKU65" s="10"/>
      <c r="UKV65" s="10"/>
      <c r="UKW65" s="10"/>
      <c r="UKX65" s="10"/>
      <c r="UKY65" s="10"/>
      <c r="UKZ65" s="10"/>
      <c r="ULA65" s="10"/>
      <c r="ULB65" s="10"/>
      <c r="ULC65" s="10"/>
      <c r="ULD65" s="10"/>
      <c r="ULE65" s="10"/>
      <c r="ULF65" s="10"/>
      <c r="ULG65" s="10"/>
      <c r="ULH65" s="10"/>
      <c r="ULI65" s="10"/>
      <c r="ULJ65" s="10"/>
      <c r="ULK65" s="10"/>
      <c r="ULL65" s="10"/>
      <c r="ULM65" s="10"/>
      <c r="ULN65" s="10"/>
      <c r="ULO65" s="10"/>
      <c r="ULP65" s="10"/>
      <c r="ULQ65" s="10"/>
      <c r="ULR65" s="10"/>
      <c r="ULS65" s="10"/>
      <c r="ULT65" s="10"/>
      <c r="ULU65" s="10"/>
      <c r="ULV65" s="10"/>
      <c r="ULW65" s="10"/>
      <c r="ULX65" s="10"/>
      <c r="ULY65" s="10"/>
      <c r="ULZ65" s="10"/>
      <c r="UMA65" s="10"/>
      <c r="UMB65" s="10"/>
      <c r="UMC65" s="10"/>
      <c r="UMD65" s="10"/>
      <c r="UME65" s="10"/>
      <c r="UMF65" s="10"/>
      <c r="UMG65" s="10"/>
      <c r="UMH65" s="10"/>
      <c r="UMI65" s="10"/>
      <c r="UMJ65" s="10"/>
      <c r="UMK65" s="10"/>
      <c r="UML65" s="10"/>
      <c r="UMM65" s="10"/>
      <c r="UMN65" s="10"/>
      <c r="UMO65" s="10"/>
      <c r="UMP65" s="10"/>
      <c r="UMQ65" s="10"/>
      <c r="UMR65" s="10"/>
      <c r="UMS65" s="10"/>
      <c r="UMT65" s="10"/>
      <c r="UMU65" s="10"/>
      <c r="UMV65" s="10"/>
      <c r="UMW65" s="10"/>
      <c r="UMX65" s="10"/>
      <c r="UMY65" s="10"/>
      <c r="UMZ65" s="10"/>
      <c r="UNA65" s="10"/>
      <c r="UNB65" s="10"/>
      <c r="UNC65" s="10"/>
      <c r="UND65" s="10"/>
      <c r="UNE65" s="10"/>
      <c r="UNF65" s="10"/>
      <c r="UNG65" s="10"/>
      <c r="UNH65" s="10"/>
      <c r="UNI65" s="10"/>
      <c r="UNJ65" s="10"/>
      <c r="UNK65" s="10"/>
      <c r="UNL65" s="10"/>
      <c r="UNM65" s="10"/>
      <c r="UNN65" s="10"/>
      <c r="UNO65" s="10"/>
      <c r="UNP65" s="10"/>
      <c r="UNQ65" s="10"/>
      <c r="UNR65" s="10"/>
      <c r="UNS65" s="10"/>
      <c r="UNT65" s="10"/>
      <c r="UNU65" s="10"/>
      <c r="UNV65" s="10"/>
      <c r="UNW65" s="10"/>
      <c r="UNX65" s="10"/>
      <c r="UNY65" s="10"/>
      <c r="UNZ65" s="10"/>
      <c r="UOA65" s="10"/>
      <c r="UOB65" s="10"/>
      <c r="UOC65" s="10"/>
      <c r="UOD65" s="10"/>
      <c r="UOE65" s="10"/>
      <c r="UOF65" s="10"/>
      <c r="UOG65" s="10"/>
      <c r="UOH65" s="10"/>
      <c r="UOI65" s="10"/>
      <c r="UOJ65" s="10"/>
      <c r="UOK65" s="10"/>
      <c r="UOL65" s="10"/>
      <c r="UOM65" s="10"/>
      <c r="UON65" s="10"/>
      <c r="UOO65" s="10"/>
      <c r="UOP65" s="10"/>
      <c r="UOQ65" s="10"/>
      <c r="UOR65" s="10"/>
      <c r="UOS65" s="10"/>
      <c r="UOT65" s="10"/>
      <c r="UOU65" s="10"/>
      <c r="UOV65" s="10"/>
      <c r="UOW65" s="10"/>
      <c r="UOX65" s="10"/>
      <c r="UOY65" s="10"/>
      <c r="UOZ65" s="10"/>
      <c r="UPA65" s="10"/>
      <c r="UPB65" s="10"/>
      <c r="UPC65" s="10"/>
      <c r="UPD65" s="10"/>
      <c r="UPE65" s="10"/>
      <c r="UPF65" s="10"/>
      <c r="UPG65" s="10"/>
      <c r="UPH65" s="10"/>
      <c r="UPI65" s="10"/>
      <c r="UPJ65" s="10"/>
      <c r="UPK65" s="10"/>
      <c r="UPL65" s="10"/>
      <c r="UPM65" s="10"/>
      <c r="UPN65" s="10"/>
      <c r="UPO65" s="10"/>
      <c r="UPP65" s="10"/>
      <c r="UPQ65" s="10"/>
      <c r="UPR65" s="10"/>
      <c r="UPS65" s="10"/>
      <c r="UPT65" s="10"/>
      <c r="UPU65" s="10"/>
      <c r="UPV65" s="10"/>
      <c r="UPW65" s="10"/>
      <c r="UPX65" s="10"/>
      <c r="UPY65" s="10"/>
      <c r="UPZ65" s="10"/>
      <c r="UQA65" s="10"/>
      <c r="UQB65" s="10"/>
      <c r="UQC65" s="10"/>
      <c r="UQD65" s="10"/>
      <c r="UQE65" s="10"/>
      <c r="UQF65" s="10"/>
      <c r="UQG65" s="10"/>
      <c r="UQH65" s="10"/>
      <c r="UQI65" s="10"/>
      <c r="UQJ65" s="10"/>
      <c r="UQK65" s="10"/>
      <c r="UQL65" s="10"/>
      <c r="UQM65" s="10"/>
      <c r="UQN65" s="10"/>
      <c r="UQO65" s="10"/>
      <c r="UQP65" s="10"/>
      <c r="UQQ65" s="10"/>
      <c r="UQR65" s="10"/>
      <c r="UQS65" s="10"/>
      <c r="UQT65" s="10"/>
      <c r="UQU65" s="10"/>
      <c r="UQV65" s="10"/>
      <c r="UQW65" s="10"/>
      <c r="UQX65" s="10"/>
      <c r="UQY65" s="10"/>
      <c r="UQZ65" s="10"/>
      <c r="URA65" s="10"/>
      <c r="URB65" s="10"/>
      <c r="URC65" s="10"/>
      <c r="URD65" s="10"/>
      <c r="URE65" s="10"/>
      <c r="URF65" s="10"/>
      <c r="URG65" s="10"/>
      <c r="URH65" s="10"/>
      <c r="URI65" s="10"/>
      <c r="URJ65" s="10"/>
      <c r="URK65" s="10"/>
      <c r="URL65" s="10"/>
      <c r="URM65" s="10"/>
      <c r="URN65" s="10"/>
      <c r="URO65" s="10"/>
      <c r="URP65" s="10"/>
      <c r="URQ65" s="10"/>
      <c r="URR65" s="10"/>
      <c r="URS65" s="10"/>
      <c r="URT65" s="10"/>
      <c r="URU65" s="10"/>
      <c r="URV65" s="10"/>
      <c r="URW65" s="10"/>
      <c r="URX65" s="10"/>
      <c r="URY65" s="10"/>
      <c r="URZ65" s="10"/>
      <c r="USA65" s="10"/>
      <c r="USB65" s="10"/>
      <c r="USC65" s="10"/>
      <c r="USD65" s="10"/>
      <c r="USE65" s="10"/>
      <c r="USF65" s="10"/>
      <c r="USG65" s="10"/>
      <c r="USH65" s="10"/>
      <c r="USI65" s="10"/>
      <c r="USJ65" s="10"/>
      <c r="USK65" s="10"/>
      <c r="USL65" s="10"/>
      <c r="USM65" s="10"/>
      <c r="USN65" s="10"/>
      <c r="USO65" s="10"/>
      <c r="USP65" s="10"/>
      <c r="USQ65" s="10"/>
      <c r="USR65" s="10"/>
      <c r="USS65" s="10"/>
      <c r="UST65" s="10"/>
      <c r="USU65" s="10"/>
      <c r="USV65" s="10"/>
      <c r="USW65" s="10"/>
      <c r="USX65" s="10"/>
      <c r="USY65" s="10"/>
      <c r="USZ65" s="10"/>
      <c r="UTA65" s="10"/>
      <c r="UTB65" s="10"/>
      <c r="UTC65" s="10"/>
      <c r="UTD65" s="10"/>
      <c r="UTE65" s="10"/>
      <c r="UTF65" s="10"/>
      <c r="UTG65" s="10"/>
      <c r="UTH65" s="10"/>
      <c r="UTI65" s="10"/>
      <c r="UTJ65" s="10"/>
      <c r="UTK65" s="10"/>
      <c r="UTL65" s="10"/>
      <c r="UTM65" s="10"/>
      <c r="UTN65" s="10"/>
      <c r="UTO65" s="10"/>
      <c r="UTP65" s="10"/>
      <c r="UTQ65" s="10"/>
      <c r="UTR65" s="10"/>
      <c r="UTS65" s="10"/>
      <c r="UTT65" s="10"/>
      <c r="UTU65" s="10"/>
      <c r="UTV65" s="10"/>
      <c r="UTW65" s="10"/>
      <c r="UTX65" s="10"/>
      <c r="UTY65" s="10"/>
      <c r="UTZ65" s="10"/>
      <c r="UUA65" s="10"/>
      <c r="UUB65" s="10"/>
      <c r="UUC65" s="10"/>
      <c r="UUD65" s="10"/>
      <c r="UUE65" s="10"/>
      <c r="UUF65" s="10"/>
      <c r="UUG65" s="10"/>
      <c r="UUH65" s="10"/>
      <c r="UUI65" s="10"/>
      <c r="UUJ65" s="10"/>
      <c r="UUK65" s="10"/>
      <c r="UUL65" s="10"/>
      <c r="UUM65" s="10"/>
      <c r="UUN65" s="10"/>
      <c r="UUO65" s="10"/>
      <c r="UUP65" s="10"/>
      <c r="UUQ65" s="10"/>
      <c r="UUR65" s="10"/>
      <c r="UUS65" s="10"/>
      <c r="UUT65" s="10"/>
      <c r="UUU65" s="10"/>
      <c r="UUV65" s="10"/>
      <c r="UUW65" s="10"/>
      <c r="UUX65" s="10"/>
      <c r="UUY65" s="10"/>
      <c r="UUZ65" s="10"/>
      <c r="UVA65" s="10"/>
      <c r="UVB65" s="10"/>
      <c r="UVC65" s="10"/>
      <c r="UVD65" s="10"/>
      <c r="UVE65" s="10"/>
      <c r="UVF65" s="10"/>
      <c r="UVG65" s="10"/>
      <c r="UVH65" s="10"/>
      <c r="UVI65" s="10"/>
      <c r="UVJ65" s="10"/>
      <c r="UVK65" s="10"/>
      <c r="UVL65" s="10"/>
      <c r="UVM65" s="10"/>
      <c r="UVN65" s="10"/>
      <c r="UVO65" s="10"/>
      <c r="UVP65" s="10"/>
      <c r="UVQ65" s="10"/>
      <c r="UVR65" s="10"/>
      <c r="UVS65" s="10"/>
      <c r="UVT65" s="10"/>
      <c r="UVU65" s="10"/>
      <c r="UVV65" s="10"/>
      <c r="UVW65" s="10"/>
      <c r="UVX65" s="10"/>
      <c r="UVY65" s="10"/>
      <c r="UVZ65" s="10"/>
      <c r="UWA65" s="10"/>
      <c r="UWB65" s="10"/>
      <c r="UWC65" s="10"/>
      <c r="UWD65" s="10"/>
      <c r="UWE65" s="10"/>
      <c r="UWF65" s="10"/>
      <c r="UWG65" s="10"/>
      <c r="UWH65" s="10"/>
      <c r="UWI65" s="10"/>
      <c r="UWJ65" s="10"/>
      <c r="UWK65" s="10"/>
      <c r="UWL65" s="10"/>
      <c r="UWM65" s="10"/>
      <c r="UWN65" s="10"/>
      <c r="UWO65" s="10"/>
      <c r="UWP65" s="10"/>
      <c r="UWQ65" s="10"/>
      <c r="UWR65" s="10"/>
      <c r="UWS65" s="10"/>
      <c r="UWT65" s="10"/>
      <c r="UWU65" s="10"/>
      <c r="UWV65" s="10"/>
      <c r="UWW65" s="10"/>
      <c r="UWX65" s="10"/>
      <c r="UWY65" s="10"/>
      <c r="UWZ65" s="10"/>
      <c r="UXA65" s="10"/>
      <c r="UXB65" s="10"/>
      <c r="UXC65" s="10"/>
      <c r="UXD65" s="10"/>
      <c r="UXE65" s="10"/>
      <c r="UXF65" s="10"/>
      <c r="UXG65" s="10"/>
      <c r="UXH65" s="10"/>
      <c r="UXI65" s="10"/>
      <c r="UXJ65" s="10"/>
      <c r="UXK65" s="10"/>
      <c r="UXL65" s="10"/>
      <c r="UXM65" s="10"/>
      <c r="UXN65" s="10"/>
      <c r="UXO65" s="10"/>
      <c r="UXP65" s="10"/>
      <c r="UXQ65" s="10"/>
      <c r="UXR65" s="10"/>
      <c r="UXS65" s="10"/>
      <c r="UXT65" s="10"/>
      <c r="UXU65" s="10"/>
      <c r="UXV65" s="10"/>
      <c r="UXW65" s="10"/>
      <c r="UXX65" s="10"/>
      <c r="UXY65" s="10"/>
      <c r="UXZ65" s="10"/>
      <c r="UYA65" s="10"/>
      <c r="UYB65" s="10"/>
      <c r="UYC65" s="10"/>
      <c r="UYD65" s="10"/>
      <c r="UYE65" s="10"/>
      <c r="UYF65" s="10"/>
      <c r="UYG65" s="10"/>
      <c r="UYH65" s="10"/>
      <c r="UYI65" s="10"/>
      <c r="UYJ65" s="10"/>
      <c r="UYK65" s="10"/>
      <c r="UYL65" s="10"/>
      <c r="UYM65" s="10"/>
      <c r="UYN65" s="10"/>
      <c r="UYO65" s="10"/>
      <c r="UYP65" s="10"/>
      <c r="UYQ65" s="10"/>
      <c r="UYR65" s="10"/>
      <c r="UYS65" s="10"/>
      <c r="UYT65" s="10"/>
      <c r="UYU65" s="10"/>
      <c r="UYV65" s="10"/>
      <c r="UYW65" s="10"/>
      <c r="UYX65" s="10"/>
      <c r="UYY65" s="10"/>
      <c r="UYZ65" s="10"/>
      <c r="UZA65" s="10"/>
      <c r="UZB65" s="10"/>
      <c r="UZC65" s="10"/>
      <c r="UZD65" s="10"/>
      <c r="UZE65" s="10"/>
      <c r="UZF65" s="10"/>
      <c r="UZG65" s="10"/>
      <c r="UZH65" s="10"/>
      <c r="UZI65" s="10"/>
      <c r="UZJ65" s="10"/>
      <c r="UZK65" s="10"/>
      <c r="UZL65" s="10"/>
      <c r="UZM65" s="10"/>
      <c r="UZN65" s="10"/>
      <c r="UZO65" s="10"/>
      <c r="UZP65" s="10"/>
      <c r="UZQ65" s="10"/>
      <c r="UZR65" s="10"/>
      <c r="UZS65" s="10"/>
      <c r="UZT65" s="10"/>
      <c r="UZU65" s="10"/>
      <c r="UZV65" s="10"/>
      <c r="UZW65" s="10"/>
      <c r="UZX65" s="10"/>
      <c r="UZY65" s="10"/>
      <c r="UZZ65" s="10"/>
      <c r="VAA65" s="10"/>
      <c r="VAB65" s="10"/>
      <c r="VAC65" s="10"/>
      <c r="VAD65" s="10"/>
      <c r="VAE65" s="10"/>
      <c r="VAF65" s="10"/>
      <c r="VAG65" s="10"/>
      <c r="VAH65" s="10"/>
      <c r="VAI65" s="10"/>
      <c r="VAJ65" s="10"/>
      <c r="VAK65" s="10"/>
      <c r="VAL65" s="10"/>
      <c r="VAM65" s="10"/>
      <c r="VAN65" s="10"/>
      <c r="VAO65" s="10"/>
      <c r="VAP65" s="10"/>
      <c r="VAQ65" s="10"/>
      <c r="VAR65" s="10"/>
      <c r="VAS65" s="10"/>
      <c r="VAT65" s="10"/>
      <c r="VAU65" s="10"/>
      <c r="VAV65" s="10"/>
      <c r="VAW65" s="10"/>
      <c r="VAX65" s="10"/>
      <c r="VAY65" s="10"/>
      <c r="VAZ65" s="10"/>
      <c r="VBA65" s="10"/>
      <c r="VBB65" s="10"/>
      <c r="VBC65" s="10"/>
      <c r="VBD65" s="10"/>
      <c r="VBE65" s="10"/>
      <c r="VBF65" s="10"/>
      <c r="VBG65" s="10"/>
      <c r="VBH65" s="10"/>
      <c r="VBI65" s="10"/>
      <c r="VBJ65" s="10"/>
      <c r="VBK65" s="10"/>
      <c r="VBL65" s="10"/>
      <c r="VBM65" s="10"/>
      <c r="VBN65" s="10"/>
      <c r="VBO65" s="10"/>
      <c r="VBP65" s="10"/>
      <c r="VBQ65" s="10"/>
      <c r="VBR65" s="10"/>
      <c r="VBS65" s="10"/>
      <c r="VBT65" s="10"/>
      <c r="VBU65" s="10"/>
      <c r="VBV65" s="10"/>
      <c r="VBW65" s="10"/>
      <c r="VBX65" s="10"/>
      <c r="VBY65" s="10"/>
      <c r="VBZ65" s="10"/>
      <c r="VCA65" s="10"/>
      <c r="VCB65" s="10"/>
      <c r="VCC65" s="10"/>
      <c r="VCD65" s="10"/>
      <c r="VCE65" s="10"/>
      <c r="VCF65" s="10"/>
      <c r="VCG65" s="10"/>
      <c r="VCH65" s="10"/>
      <c r="VCI65" s="10"/>
      <c r="VCJ65" s="10"/>
      <c r="VCK65" s="10"/>
      <c r="VCL65" s="10"/>
      <c r="VCM65" s="10"/>
      <c r="VCN65" s="10"/>
      <c r="VCO65" s="10"/>
      <c r="VCP65" s="10"/>
      <c r="VCQ65" s="10"/>
      <c r="VCR65" s="10"/>
      <c r="VCS65" s="10"/>
      <c r="VCT65" s="10"/>
      <c r="VCU65" s="10"/>
      <c r="VCV65" s="10"/>
      <c r="VCW65" s="10"/>
      <c r="VCX65" s="10"/>
      <c r="VCY65" s="10"/>
      <c r="VCZ65" s="10"/>
      <c r="VDA65" s="10"/>
      <c r="VDB65" s="10"/>
      <c r="VDC65" s="10"/>
      <c r="VDD65" s="10"/>
      <c r="VDE65" s="10"/>
      <c r="VDF65" s="10"/>
      <c r="VDG65" s="10"/>
      <c r="VDH65" s="10"/>
      <c r="VDI65" s="10"/>
      <c r="VDJ65" s="10"/>
      <c r="VDK65" s="10"/>
      <c r="VDL65" s="10"/>
      <c r="VDM65" s="10"/>
      <c r="VDN65" s="10"/>
      <c r="VDO65" s="10"/>
      <c r="VDP65" s="10"/>
      <c r="VDQ65" s="10"/>
      <c r="VDR65" s="10"/>
      <c r="VDS65" s="10"/>
      <c r="VDT65" s="10"/>
      <c r="VDU65" s="10"/>
      <c r="VDV65" s="10"/>
      <c r="VDW65" s="10"/>
      <c r="VDX65" s="10"/>
      <c r="VDY65" s="10"/>
      <c r="VDZ65" s="10"/>
      <c r="VEA65" s="10"/>
      <c r="VEB65" s="10"/>
      <c r="VEC65" s="10"/>
      <c r="VED65" s="10"/>
      <c r="VEE65" s="10"/>
      <c r="VEF65" s="10"/>
      <c r="VEG65" s="10"/>
      <c r="VEH65" s="10"/>
      <c r="VEI65" s="10"/>
      <c r="VEJ65" s="10"/>
      <c r="VEK65" s="10"/>
      <c r="VEL65" s="10"/>
      <c r="VEM65" s="10"/>
      <c r="VEN65" s="10"/>
      <c r="VEO65" s="10"/>
      <c r="VEP65" s="10"/>
      <c r="VEQ65" s="10"/>
      <c r="VER65" s="10"/>
      <c r="VES65" s="10"/>
      <c r="VET65" s="10"/>
      <c r="VEU65" s="10"/>
      <c r="VEV65" s="10"/>
      <c r="VEW65" s="10"/>
      <c r="VEX65" s="10"/>
      <c r="VEY65" s="10"/>
      <c r="VEZ65" s="10"/>
      <c r="VFA65" s="10"/>
      <c r="VFB65" s="10"/>
      <c r="VFC65" s="10"/>
      <c r="VFD65" s="10"/>
      <c r="VFE65" s="10"/>
      <c r="VFF65" s="10"/>
      <c r="VFG65" s="10"/>
      <c r="VFH65" s="10"/>
      <c r="VFI65" s="10"/>
      <c r="VFJ65" s="10"/>
      <c r="VFK65" s="10"/>
      <c r="VFL65" s="10"/>
      <c r="VFM65" s="10"/>
      <c r="VFN65" s="10"/>
      <c r="VFO65" s="10"/>
      <c r="VFP65" s="10"/>
      <c r="VFQ65" s="10"/>
      <c r="VFR65" s="10"/>
      <c r="VFS65" s="10"/>
      <c r="VFT65" s="10"/>
      <c r="VFU65" s="10"/>
      <c r="VFV65" s="10"/>
      <c r="VFW65" s="10"/>
      <c r="VFX65" s="10"/>
      <c r="VFY65" s="10"/>
      <c r="VFZ65" s="10"/>
      <c r="VGA65" s="10"/>
      <c r="VGB65" s="10"/>
      <c r="VGC65" s="10"/>
      <c r="VGD65" s="10"/>
      <c r="VGE65" s="10"/>
      <c r="VGF65" s="10"/>
      <c r="VGG65" s="10"/>
      <c r="VGH65" s="10"/>
      <c r="VGI65" s="10"/>
      <c r="VGJ65" s="10"/>
      <c r="VGK65" s="10"/>
      <c r="VGL65" s="10"/>
      <c r="VGM65" s="10"/>
      <c r="VGN65" s="10"/>
      <c r="VGO65" s="10"/>
      <c r="VGP65" s="10"/>
      <c r="VGQ65" s="10"/>
      <c r="VGR65" s="10"/>
      <c r="VGS65" s="10"/>
      <c r="VGT65" s="10"/>
      <c r="VGU65" s="10"/>
      <c r="VGV65" s="10"/>
      <c r="VGW65" s="10"/>
      <c r="VGX65" s="10"/>
      <c r="VGY65" s="10"/>
      <c r="VGZ65" s="10"/>
      <c r="VHA65" s="10"/>
      <c r="VHB65" s="10"/>
      <c r="VHC65" s="10"/>
      <c r="VHD65" s="10"/>
      <c r="VHE65" s="10"/>
      <c r="VHF65" s="10"/>
      <c r="VHG65" s="10"/>
      <c r="VHH65" s="10"/>
      <c r="VHI65" s="10"/>
      <c r="VHJ65" s="10"/>
      <c r="VHK65" s="10"/>
      <c r="VHL65" s="10"/>
      <c r="VHM65" s="10"/>
      <c r="VHN65" s="10"/>
      <c r="VHO65" s="10"/>
      <c r="VHP65" s="10"/>
      <c r="VHQ65" s="10"/>
      <c r="VHR65" s="10"/>
      <c r="VHS65" s="10"/>
      <c r="VHT65" s="10"/>
      <c r="VHU65" s="10"/>
      <c r="VHV65" s="10"/>
      <c r="VHW65" s="10"/>
      <c r="VHX65" s="10"/>
      <c r="VHY65" s="10"/>
      <c r="VHZ65" s="10"/>
      <c r="VIA65" s="10"/>
      <c r="VIB65" s="10"/>
      <c r="VIC65" s="10"/>
      <c r="VID65" s="10"/>
      <c r="VIE65" s="10"/>
      <c r="VIF65" s="10"/>
      <c r="VIG65" s="10"/>
      <c r="VIH65" s="10"/>
      <c r="VII65" s="10"/>
      <c r="VIJ65" s="10"/>
      <c r="VIK65" s="10"/>
      <c r="VIL65" s="10"/>
      <c r="VIM65" s="10"/>
      <c r="VIN65" s="10"/>
      <c r="VIO65" s="10"/>
      <c r="VIP65" s="10"/>
      <c r="VIQ65" s="10"/>
      <c r="VIR65" s="10"/>
      <c r="VIS65" s="10"/>
      <c r="VIT65" s="10"/>
      <c r="VIU65" s="10"/>
      <c r="VIV65" s="10"/>
      <c r="VIW65" s="10"/>
      <c r="VIX65" s="10"/>
      <c r="VIY65" s="10"/>
      <c r="VIZ65" s="10"/>
      <c r="VJA65" s="10"/>
      <c r="VJB65" s="10"/>
      <c r="VJC65" s="10"/>
      <c r="VJD65" s="10"/>
      <c r="VJE65" s="10"/>
      <c r="VJF65" s="10"/>
      <c r="VJG65" s="10"/>
      <c r="VJH65" s="10"/>
      <c r="VJI65" s="10"/>
      <c r="VJJ65" s="10"/>
      <c r="VJK65" s="10"/>
      <c r="VJL65" s="10"/>
      <c r="VJM65" s="10"/>
      <c r="VJN65" s="10"/>
      <c r="VJO65" s="10"/>
      <c r="VJP65" s="10"/>
      <c r="VJQ65" s="10"/>
      <c r="VJR65" s="10"/>
      <c r="VJS65" s="10"/>
      <c r="VJT65" s="10"/>
      <c r="VJU65" s="10"/>
      <c r="VJV65" s="10"/>
      <c r="VJW65" s="10"/>
      <c r="VJX65" s="10"/>
      <c r="VJY65" s="10"/>
      <c r="VJZ65" s="10"/>
      <c r="VKA65" s="10"/>
      <c r="VKB65" s="10"/>
      <c r="VKC65" s="10"/>
      <c r="VKD65" s="10"/>
      <c r="VKE65" s="10"/>
      <c r="VKF65" s="10"/>
      <c r="VKG65" s="10"/>
      <c r="VKH65" s="10"/>
      <c r="VKI65" s="10"/>
      <c r="VKJ65" s="10"/>
      <c r="VKK65" s="10"/>
      <c r="VKL65" s="10"/>
      <c r="VKM65" s="10"/>
      <c r="VKN65" s="10"/>
      <c r="VKO65" s="10"/>
      <c r="VKP65" s="10"/>
      <c r="VKQ65" s="10"/>
      <c r="VKR65" s="10"/>
      <c r="VKS65" s="10"/>
      <c r="VKT65" s="10"/>
      <c r="VKU65" s="10"/>
      <c r="VKV65" s="10"/>
      <c r="VKW65" s="10"/>
      <c r="VKX65" s="10"/>
      <c r="VKY65" s="10"/>
      <c r="VKZ65" s="10"/>
      <c r="VLA65" s="10"/>
      <c r="VLB65" s="10"/>
      <c r="VLC65" s="10"/>
      <c r="VLD65" s="10"/>
      <c r="VLE65" s="10"/>
      <c r="VLF65" s="10"/>
      <c r="VLG65" s="10"/>
      <c r="VLH65" s="10"/>
      <c r="VLI65" s="10"/>
      <c r="VLJ65" s="10"/>
      <c r="VLK65" s="10"/>
      <c r="VLL65" s="10"/>
      <c r="VLM65" s="10"/>
      <c r="VLN65" s="10"/>
      <c r="VLO65" s="10"/>
      <c r="VLP65" s="10"/>
      <c r="VLQ65" s="10"/>
      <c r="VLR65" s="10"/>
      <c r="VLS65" s="10"/>
      <c r="VLT65" s="10"/>
      <c r="VLU65" s="10"/>
      <c r="VLV65" s="10"/>
      <c r="VLW65" s="10"/>
      <c r="VLX65" s="10"/>
      <c r="VLY65" s="10"/>
      <c r="VLZ65" s="10"/>
      <c r="VMA65" s="10"/>
      <c r="VMB65" s="10"/>
      <c r="VMC65" s="10"/>
      <c r="VMD65" s="10"/>
      <c r="VME65" s="10"/>
      <c r="VMF65" s="10"/>
      <c r="VMG65" s="10"/>
      <c r="VMH65" s="10"/>
      <c r="VMI65" s="10"/>
      <c r="VMJ65" s="10"/>
      <c r="VMK65" s="10"/>
      <c r="VML65" s="10"/>
      <c r="VMM65" s="10"/>
      <c r="VMN65" s="10"/>
      <c r="VMO65" s="10"/>
      <c r="VMP65" s="10"/>
      <c r="VMQ65" s="10"/>
      <c r="VMR65" s="10"/>
      <c r="VMS65" s="10"/>
      <c r="VMT65" s="10"/>
      <c r="VMU65" s="10"/>
      <c r="VMV65" s="10"/>
      <c r="VMW65" s="10"/>
      <c r="VMX65" s="10"/>
      <c r="VMY65" s="10"/>
      <c r="VMZ65" s="10"/>
      <c r="VNA65" s="10"/>
      <c r="VNB65" s="10"/>
      <c r="VNC65" s="10"/>
      <c r="VND65" s="10"/>
      <c r="VNE65" s="10"/>
      <c r="VNF65" s="10"/>
      <c r="VNG65" s="10"/>
      <c r="VNH65" s="10"/>
      <c r="VNI65" s="10"/>
      <c r="VNJ65" s="10"/>
      <c r="VNK65" s="10"/>
      <c r="VNL65" s="10"/>
      <c r="VNM65" s="10"/>
      <c r="VNN65" s="10"/>
      <c r="VNO65" s="10"/>
      <c r="VNP65" s="10"/>
      <c r="VNQ65" s="10"/>
      <c r="VNR65" s="10"/>
      <c r="VNS65" s="10"/>
      <c r="VNT65" s="10"/>
      <c r="VNU65" s="10"/>
      <c r="VNV65" s="10"/>
      <c r="VNW65" s="10"/>
      <c r="VNX65" s="10"/>
      <c r="VNY65" s="10"/>
      <c r="VNZ65" s="10"/>
      <c r="VOA65" s="10"/>
      <c r="VOB65" s="10"/>
      <c r="VOC65" s="10"/>
      <c r="VOD65" s="10"/>
      <c r="VOE65" s="10"/>
      <c r="VOF65" s="10"/>
      <c r="VOG65" s="10"/>
      <c r="VOH65" s="10"/>
      <c r="VOI65" s="10"/>
      <c r="VOJ65" s="10"/>
      <c r="VOK65" s="10"/>
      <c r="VOL65" s="10"/>
      <c r="VOM65" s="10"/>
      <c r="VON65" s="10"/>
      <c r="VOO65" s="10"/>
      <c r="VOP65" s="10"/>
      <c r="VOQ65" s="10"/>
      <c r="VOR65" s="10"/>
      <c r="VOS65" s="10"/>
      <c r="VOT65" s="10"/>
      <c r="VOU65" s="10"/>
      <c r="VOV65" s="10"/>
      <c r="VOW65" s="10"/>
      <c r="VOX65" s="10"/>
      <c r="VOY65" s="10"/>
      <c r="VOZ65" s="10"/>
      <c r="VPA65" s="10"/>
      <c r="VPB65" s="10"/>
      <c r="VPC65" s="10"/>
      <c r="VPD65" s="10"/>
      <c r="VPE65" s="10"/>
      <c r="VPF65" s="10"/>
      <c r="VPG65" s="10"/>
      <c r="VPH65" s="10"/>
      <c r="VPI65" s="10"/>
      <c r="VPJ65" s="10"/>
      <c r="VPK65" s="10"/>
      <c r="VPL65" s="10"/>
      <c r="VPM65" s="10"/>
      <c r="VPN65" s="10"/>
      <c r="VPO65" s="10"/>
      <c r="VPP65" s="10"/>
      <c r="VPQ65" s="10"/>
      <c r="VPR65" s="10"/>
      <c r="VPS65" s="10"/>
      <c r="VPT65" s="10"/>
      <c r="VPU65" s="10"/>
      <c r="VPV65" s="10"/>
      <c r="VPW65" s="10"/>
      <c r="VPX65" s="10"/>
      <c r="VPY65" s="10"/>
      <c r="VPZ65" s="10"/>
      <c r="VQA65" s="10"/>
      <c r="VQB65" s="10"/>
      <c r="VQC65" s="10"/>
      <c r="VQD65" s="10"/>
      <c r="VQE65" s="10"/>
      <c r="VQF65" s="10"/>
      <c r="VQG65" s="10"/>
      <c r="VQH65" s="10"/>
      <c r="VQI65" s="10"/>
      <c r="VQJ65" s="10"/>
      <c r="VQK65" s="10"/>
      <c r="VQL65" s="10"/>
      <c r="VQM65" s="10"/>
      <c r="VQN65" s="10"/>
      <c r="VQO65" s="10"/>
      <c r="VQP65" s="10"/>
      <c r="VQQ65" s="10"/>
      <c r="VQR65" s="10"/>
      <c r="VQS65" s="10"/>
      <c r="VQT65" s="10"/>
      <c r="VQU65" s="10"/>
      <c r="VQV65" s="10"/>
      <c r="VQW65" s="10"/>
      <c r="VQX65" s="10"/>
      <c r="VQY65" s="10"/>
      <c r="VQZ65" s="10"/>
      <c r="VRA65" s="10"/>
      <c r="VRB65" s="10"/>
      <c r="VRC65" s="10"/>
      <c r="VRD65" s="10"/>
      <c r="VRE65" s="10"/>
      <c r="VRF65" s="10"/>
      <c r="VRG65" s="10"/>
      <c r="VRH65" s="10"/>
      <c r="VRI65" s="10"/>
      <c r="VRJ65" s="10"/>
      <c r="VRK65" s="10"/>
      <c r="VRL65" s="10"/>
      <c r="VRM65" s="10"/>
      <c r="VRN65" s="10"/>
      <c r="VRO65" s="10"/>
      <c r="VRP65" s="10"/>
      <c r="VRQ65" s="10"/>
      <c r="VRR65" s="10"/>
      <c r="VRS65" s="10"/>
      <c r="VRT65" s="10"/>
      <c r="VRU65" s="10"/>
      <c r="VRV65" s="10"/>
      <c r="VRW65" s="10"/>
      <c r="VRX65" s="10"/>
      <c r="VRY65" s="10"/>
      <c r="VRZ65" s="10"/>
      <c r="VSA65" s="10"/>
      <c r="VSB65" s="10"/>
      <c r="VSC65" s="10"/>
      <c r="VSD65" s="10"/>
      <c r="VSE65" s="10"/>
      <c r="VSF65" s="10"/>
      <c r="VSG65" s="10"/>
      <c r="VSH65" s="10"/>
      <c r="VSI65" s="10"/>
      <c r="VSJ65" s="10"/>
      <c r="VSK65" s="10"/>
      <c r="VSL65" s="10"/>
      <c r="VSM65" s="10"/>
      <c r="VSN65" s="10"/>
      <c r="VSO65" s="10"/>
      <c r="VSP65" s="10"/>
      <c r="VSQ65" s="10"/>
      <c r="VSR65" s="10"/>
      <c r="VSS65" s="10"/>
      <c r="VST65" s="10"/>
      <c r="VSU65" s="10"/>
      <c r="VSV65" s="10"/>
      <c r="VSW65" s="10"/>
      <c r="VSX65" s="10"/>
      <c r="VSY65" s="10"/>
      <c r="VSZ65" s="10"/>
      <c r="VTA65" s="10"/>
      <c r="VTB65" s="10"/>
      <c r="VTC65" s="10"/>
      <c r="VTD65" s="10"/>
      <c r="VTE65" s="10"/>
      <c r="VTF65" s="10"/>
      <c r="VTG65" s="10"/>
      <c r="VTH65" s="10"/>
      <c r="VTI65" s="10"/>
      <c r="VTJ65" s="10"/>
      <c r="VTK65" s="10"/>
      <c r="VTL65" s="10"/>
      <c r="VTM65" s="10"/>
      <c r="VTN65" s="10"/>
      <c r="VTO65" s="10"/>
      <c r="VTP65" s="10"/>
      <c r="VTQ65" s="10"/>
      <c r="VTR65" s="10"/>
      <c r="VTS65" s="10"/>
      <c r="VTT65" s="10"/>
      <c r="VTU65" s="10"/>
      <c r="VTV65" s="10"/>
      <c r="VTW65" s="10"/>
      <c r="VTX65" s="10"/>
      <c r="VTY65" s="10"/>
      <c r="VTZ65" s="10"/>
      <c r="VUA65" s="10"/>
      <c r="VUB65" s="10"/>
      <c r="VUC65" s="10"/>
      <c r="VUD65" s="10"/>
      <c r="VUE65" s="10"/>
      <c r="VUF65" s="10"/>
      <c r="VUG65" s="10"/>
      <c r="VUH65" s="10"/>
      <c r="VUI65" s="10"/>
      <c r="VUJ65" s="10"/>
      <c r="VUK65" s="10"/>
      <c r="VUL65" s="10"/>
      <c r="VUM65" s="10"/>
      <c r="VUN65" s="10"/>
      <c r="VUO65" s="10"/>
      <c r="VUP65" s="10"/>
      <c r="VUQ65" s="10"/>
      <c r="VUR65" s="10"/>
      <c r="VUS65" s="10"/>
      <c r="VUT65" s="10"/>
      <c r="VUU65" s="10"/>
      <c r="VUV65" s="10"/>
      <c r="VUW65" s="10"/>
      <c r="VUX65" s="10"/>
      <c r="VUY65" s="10"/>
      <c r="VUZ65" s="10"/>
      <c r="VVA65" s="10"/>
      <c r="VVB65" s="10"/>
      <c r="VVC65" s="10"/>
      <c r="VVD65" s="10"/>
      <c r="VVE65" s="10"/>
      <c r="VVF65" s="10"/>
      <c r="VVG65" s="10"/>
      <c r="VVH65" s="10"/>
      <c r="VVI65" s="10"/>
      <c r="VVJ65" s="10"/>
      <c r="VVK65" s="10"/>
      <c r="VVL65" s="10"/>
      <c r="VVM65" s="10"/>
      <c r="VVN65" s="10"/>
      <c r="VVO65" s="10"/>
      <c r="VVP65" s="10"/>
      <c r="VVQ65" s="10"/>
      <c r="VVR65" s="10"/>
      <c r="VVS65" s="10"/>
      <c r="VVT65" s="10"/>
      <c r="VVU65" s="10"/>
      <c r="VVV65" s="10"/>
      <c r="VVW65" s="10"/>
      <c r="VVX65" s="10"/>
      <c r="VVY65" s="10"/>
      <c r="VVZ65" s="10"/>
      <c r="VWA65" s="10"/>
      <c r="VWB65" s="10"/>
      <c r="VWC65" s="10"/>
      <c r="VWD65" s="10"/>
      <c r="VWE65" s="10"/>
      <c r="VWF65" s="10"/>
      <c r="VWG65" s="10"/>
      <c r="VWH65" s="10"/>
      <c r="VWI65" s="10"/>
      <c r="VWJ65" s="10"/>
      <c r="VWK65" s="10"/>
      <c r="VWL65" s="10"/>
      <c r="VWM65" s="10"/>
      <c r="VWN65" s="10"/>
      <c r="VWO65" s="10"/>
      <c r="VWP65" s="10"/>
      <c r="VWQ65" s="10"/>
      <c r="VWR65" s="10"/>
      <c r="VWS65" s="10"/>
      <c r="VWT65" s="10"/>
      <c r="VWU65" s="10"/>
      <c r="VWV65" s="10"/>
      <c r="VWW65" s="10"/>
      <c r="VWX65" s="10"/>
      <c r="VWY65" s="10"/>
      <c r="VWZ65" s="10"/>
      <c r="VXA65" s="10"/>
      <c r="VXB65" s="10"/>
      <c r="VXC65" s="10"/>
      <c r="VXD65" s="10"/>
      <c r="VXE65" s="10"/>
      <c r="VXF65" s="10"/>
      <c r="VXG65" s="10"/>
      <c r="VXH65" s="10"/>
      <c r="VXI65" s="10"/>
      <c r="VXJ65" s="10"/>
      <c r="VXK65" s="10"/>
      <c r="VXL65" s="10"/>
      <c r="VXM65" s="10"/>
      <c r="VXN65" s="10"/>
      <c r="VXO65" s="10"/>
      <c r="VXP65" s="10"/>
      <c r="VXQ65" s="10"/>
      <c r="VXR65" s="10"/>
      <c r="VXS65" s="10"/>
      <c r="VXT65" s="10"/>
      <c r="VXU65" s="10"/>
      <c r="VXV65" s="10"/>
      <c r="VXW65" s="10"/>
      <c r="VXX65" s="10"/>
      <c r="VXY65" s="10"/>
      <c r="VXZ65" s="10"/>
      <c r="VYA65" s="10"/>
      <c r="VYB65" s="10"/>
      <c r="VYC65" s="10"/>
      <c r="VYD65" s="10"/>
      <c r="VYE65" s="10"/>
      <c r="VYF65" s="10"/>
      <c r="VYG65" s="10"/>
      <c r="VYH65" s="10"/>
      <c r="VYI65" s="10"/>
      <c r="VYJ65" s="10"/>
      <c r="VYK65" s="10"/>
      <c r="VYL65" s="10"/>
      <c r="VYM65" s="10"/>
      <c r="VYN65" s="10"/>
      <c r="VYO65" s="10"/>
      <c r="VYP65" s="10"/>
      <c r="VYQ65" s="10"/>
      <c r="VYR65" s="10"/>
      <c r="VYS65" s="10"/>
      <c r="VYT65" s="10"/>
      <c r="VYU65" s="10"/>
      <c r="VYV65" s="10"/>
      <c r="VYW65" s="10"/>
      <c r="VYX65" s="10"/>
      <c r="VYY65" s="10"/>
      <c r="VYZ65" s="10"/>
      <c r="VZA65" s="10"/>
      <c r="VZB65" s="10"/>
      <c r="VZC65" s="10"/>
      <c r="VZD65" s="10"/>
      <c r="VZE65" s="10"/>
      <c r="VZF65" s="10"/>
      <c r="VZG65" s="10"/>
      <c r="VZH65" s="10"/>
      <c r="VZI65" s="10"/>
      <c r="VZJ65" s="10"/>
      <c r="VZK65" s="10"/>
      <c r="VZL65" s="10"/>
      <c r="VZM65" s="10"/>
      <c r="VZN65" s="10"/>
      <c r="VZO65" s="10"/>
      <c r="VZP65" s="10"/>
      <c r="VZQ65" s="10"/>
      <c r="VZR65" s="10"/>
      <c r="VZS65" s="10"/>
      <c r="VZT65" s="10"/>
      <c r="VZU65" s="10"/>
      <c r="VZV65" s="10"/>
      <c r="VZW65" s="10"/>
      <c r="VZX65" s="10"/>
      <c r="VZY65" s="10"/>
      <c r="VZZ65" s="10"/>
      <c r="WAA65" s="10"/>
      <c r="WAB65" s="10"/>
      <c r="WAC65" s="10"/>
      <c r="WAD65" s="10"/>
      <c r="WAE65" s="10"/>
      <c r="WAF65" s="10"/>
      <c r="WAG65" s="10"/>
      <c r="WAH65" s="10"/>
      <c r="WAI65" s="10"/>
      <c r="WAJ65" s="10"/>
      <c r="WAK65" s="10"/>
      <c r="WAL65" s="10"/>
      <c r="WAM65" s="10"/>
      <c r="WAN65" s="10"/>
      <c r="WAO65" s="10"/>
      <c r="WAP65" s="10"/>
      <c r="WAQ65" s="10"/>
      <c r="WAR65" s="10"/>
      <c r="WAS65" s="10"/>
      <c r="WAT65" s="10"/>
      <c r="WAU65" s="10"/>
      <c r="WAV65" s="10"/>
      <c r="WAW65" s="10"/>
      <c r="WAX65" s="10"/>
      <c r="WAY65" s="10"/>
      <c r="WAZ65" s="10"/>
      <c r="WBA65" s="10"/>
      <c r="WBB65" s="10"/>
      <c r="WBC65" s="10"/>
      <c r="WBD65" s="10"/>
      <c r="WBE65" s="10"/>
      <c r="WBF65" s="10"/>
      <c r="WBG65" s="10"/>
      <c r="WBH65" s="10"/>
      <c r="WBI65" s="10"/>
      <c r="WBJ65" s="10"/>
      <c r="WBK65" s="10"/>
      <c r="WBL65" s="10"/>
      <c r="WBM65" s="10"/>
      <c r="WBN65" s="10"/>
      <c r="WBO65" s="10"/>
      <c r="WBP65" s="10"/>
      <c r="WBQ65" s="10"/>
      <c r="WBR65" s="10"/>
      <c r="WBS65" s="10"/>
      <c r="WBT65" s="10"/>
      <c r="WBU65" s="10"/>
      <c r="WBV65" s="10"/>
      <c r="WBW65" s="10"/>
      <c r="WBX65" s="10"/>
      <c r="WBY65" s="10"/>
      <c r="WBZ65" s="10"/>
      <c r="WCA65" s="10"/>
      <c r="WCB65" s="10"/>
      <c r="WCC65" s="10"/>
      <c r="WCD65" s="10"/>
      <c r="WCE65" s="10"/>
      <c r="WCF65" s="10"/>
      <c r="WCG65" s="10"/>
      <c r="WCH65" s="10"/>
      <c r="WCI65" s="10"/>
      <c r="WCJ65" s="10"/>
      <c r="WCK65" s="10"/>
      <c r="WCL65" s="10"/>
      <c r="WCM65" s="10"/>
      <c r="WCN65" s="10"/>
      <c r="WCO65" s="10"/>
      <c r="WCP65" s="10"/>
      <c r="WCQ65" s="10"/>
      <c r="WCR65" s="10"/>
      <c r="WCS65" s="10"/>
      <c r="WCT65" s="10"/>
      <c r="WCU65" s="10"/>
      <c r="WCV65" s="10"/>
      <c r="WCW65" s="10"/>
      <c r="WCX65" s="10"/>
      <c r="WCY65" s="10"/>
      <c r="WCZ65" s="10"/>
      <c r="WDA65" s="10"/>
      <c r="WDB65" s="10"/>
      <c r="WDC65" s="10"/>
      <c r="WDD65" s="10"/>
      <c r="WDE65" s="10"/>
      <c r="WDF65" s="10"/>
      <c r="WDG65" s="10"/>
      <c r="WDH65" s="10"/>
      <c r="WDI65" s="10"/>
      <c r="WDJ65" s="10"/>
      <c r="WDK65" s="10"/>
      <c r="WDL65" s="10"/>
      <c r="WDM65" s="10"/>
      <c r="WDN65" s="10"/>
      <c r="WDO65" s="10"/>
      <c r="WDP65" s="10"/>
      <c r="WDQ65" s="10"/>
      <c r="WDR65" s="10"/>
      <c r="WDS65" s="10"/>
      <c r="WDT65" s="10"/>
      <c r="WDU65" s="10"/>
      <c r="WDV65" s="10"/>
      <c r="WDW65" s="10"/>
      <c r="WDX65" s="10"/>
      <c r="WDY65" s="10"/>
      <c r="WDZ65" s="10"/>
      <c r="WEA65" s="10"/>
      <c r="WEB65" s="10"/>
      <c r="WEC65" s="10"/>
      <c r="WED65" s="10"/>
      <c r="WEE65" s="10"/>
      <c r="WEF65" s="10"/>
      <c r="WEG65" s="10"/>
      <c r="WEH65" s="10"/>
      <c r="WEI65" s="10"/>
      <c r="WEJ65" s="10"/>
      <c r="WEK65" s="10"/>
      <c r="WEL65" s="10"/>
      <c r="WEM65" s="10"/>
      <c r="WEN65" s="10"/>
      <c r="WEO65" s="10"/>
      <c r="WEP65" s="10"/>
      <c r="WEQ65" s="10"/>
      <c r="WER65" s="10"/>
      <c r="WES65" s="10"/>
      <c r="WET65" s="10"/>
      <c r="WEU65" s="10"/>
      <c r="WEV65" s="10"/>
      <c r="WEW65" s="10"/>
      <c r="WEX65" s="10"/>
      <c r="WEY65" s="10"/>
      <c r="WEZ65" s="10"/>
      <c r="WFA65" s="10"/>
      <c r="WFB65" s="10"/>
      <c r="WFC65" s="10"/>
      <c r="WFD65" s="10"/>
      <c r="WFE65" s="10"/>
      <c r="WFF65" s="10"/>
      <c r="WFG65" s="10"/>
      <c r="WFH65" s="10"/>
      <c r="WFI65" s="10"/>
      <c r="WFJ65" s="10"/>
      <c r="WFK65" s="10"/>
      <c r="WFL65" s="10"/>
      <c r="WFM65" s="10"/>
      <c r="WFN65" s="10"/>
      <c r="WFO65" s="10"/>
      <c r="WFP65" s="10"/>
      <c r="WFQ65" s="10"/>
      <c r="WFR65" s="10"/>
      <c r="WFS65" s="10"/>
      <c r="WFT65" s="10"/>
      <c r="WFU65" s="10"/>
      <c r="WFV65" s="10"/>
      <c r="WFW65" s="10"/>
      <c r="WFX65" s="10"/>
      <c r="WFY65" s="10"/>
      <c r="WFZ65" s="10"/>
      <c r="WGA65" s="10"/>
      <c r="WGB65" s="10"/>
      <c r="WGC65" s="10"/>
      <c r="WGD65" s="10"/>
      <c r="WGE65" s="10"/>
      <c r="WGF65" s="10"/>
      <c r="WGG65" s="10"/>
      <c r="WGH65" s="10"/>
      <c r="WGI65" s="10"/>
      <c r="WGJ65" s="10"/>
      <c r="WGK65" s="10"/>
      <c r="WGL65" s="10"/>
      <c r="WGM65" s="10"/>
      <c r="WGN65" s="10"/>
      <c r="WGO65" s="10"/>
      <c r="WGP65" s="10"/>
      <c r="WGQ65" s="10"/>
      <c r="WGR65" s="10"/>
      <c r="WGS65" s="10"/>
      <c r="WGT65" s="10"/>
      <c r="WGU65" s="10"/>
      <c r="WGV65" s="10"/>
      <c r="WGW65" s="10"/>
      <c r="WGX65" s="10"/>
      <c r="WGY65" s="10"/>
      <c r="WGZ65" s="10"/>
      <c r="WHA65" s="10"/>
      <c r="WHB65" s="10"/>
      <c r="WHC65" s="10"/>
      <c r="WHD65" s="10"/>
      <c r="WHE65" s="10"/>
      <c r="WHF65" s="10"/>
      <c r="WHG65" s="10"/>
      <c r="WHH65" s="10"/>
      <c r="WHI65" s="10"/>
      <c r="WHJ65" s="10"/>
      <c r="WHK65" s="10"/>
      <c r="WHL65" s="10"/>
      <c r="WHM65" s="10"/>
      <c r="WHN65" s="10"/>
      <c r="WHO65" s="10"/>
      <c r="WHP65" s="10"/>
      <c r="WHQ65" s="10"/>
      <c r="WHR65" s="10"/>
      <c r="WHS65" s="10"/>
      <c r="WHT65" s="10"/>
      <c r="WHU65" s="10"/>
      <c r="WHV65" s="10"/>
      <c r="WHW65" s="10"/>
      <c r="WHX65" s="10"/>
      <c r="WHY65" s="10"/>
      <c r="WHZ65" s="10"/>
      <c r="WIA65" s="10"/>
      <c r="WIB65" s="10"/>
      <c r="WIC65" s="10"/>
      <c r="WID65" s="10"/>
      <c r="WIE65" s="10"/>
      <c r="WIF65" s="10"/>
      <c r="WIG65" s="10"/>
      <c r="WIH65" s="10"/>
      <c r="WII65" s="10"/>
      <c r="WIJ65" s="10"/>
      <c r="WIK65" s="10"/>
      <c r="WIL65" s="10"/>
      <c r="WIM65" s="10"/>
      <c r="WIN65" s="10"/>
      <c r="WIO65" s="10"/>
      <c r="WIP65" s="10"/>
      <c r="WIQ65" s="10"/>
      <c r="WIR65" s="10"/>
      <c r="WIS65" s="10"/>
      <c r="WIT65" s="10"/>
      <c r="WIU65" s="10"/>
      <c r="WIV65" s="10"/>
      <c r="WIW65" s="10"/>
      <c r="WIX65" s="10"/>
      <c r="WIY65" s="10"/>
      <c r="WIZ65" s="10"/>
      <c r="WJA65" s="10"/>
      <c r="WJB65" s="10"/>
      <c r="WJC65" s="10"/>
      <c r="WJD65" s="10"/>
      <c r="WJE65" s="10"/>
      <c r="WJF65" s="10"/>
      <c r="WJG65" s="10"/>
      <c r="WJH65" s="10"/>
      <c r="WJI65" s="10"/>
      <c r="WJJ65" s="10"/>
      <c r="WJK65" s="10"/>
      <c r="WJL65" s="10"/>
      <c r="WJM65" s="10"/>
      <c r="WJN65" s="10"/>
      <c r="WJO65" s="10"/>
      <c r="WJP65" s="10"/>
      <c r="WJQ65" s="10"/>
      <c r="WJR65" s="10"/>
      <c r="WJS65" s="10"/>
      <c r="WJT65" s="10"/>
      <c r="WJU65" s="10"/>
      <c r="WJV65" s="10"/>
      <c r="WJW65" s="10"/>
      <c r="WJX65" s="10"/>
      <c r="WJY65" s="10"/>
      <c r="WJZ65" s="10"/>
      <c r="WKA65" s="10"/>
      <c r="WKB65" s="10"/>
      <c r="WKC65" s="10"/>
      <c r="WKD65" s="10"/>
      <c r="WKE65" s="10"/>
      <c r="WKF65" s="10"/>
      <c r="WKG65" s="10"/>
      <c r="WKH65" s="10"/>
      <c r="WKI65" s="10"/>
      <c r="WKJ65" s="10"/>
      <c r="WKK65" s="10"/>
      <c r="WKL65" s="10"/>
      <c r="WKM65" s="10"/>
      <c r="WKN65" s="10"/>
      <c r="WKO65" s="10"/>
      <c r="WKP65" s="10"/>
      <c r="WKQ65" s="10"/>
      <c r="WKR65" s="10"/>
      <c r="WKS65" s="10"/>
      <c r="WKT65" s="10"/>
      <c r="WKU65" s="10"/>
      <c r="WKV65" s="10"/>
      <c r="WKW65" s="10"/>
      <c r="WKX65" s="10"/>
      <c r="WKY65" s="10"/>
      <c r="WKZ65" s="10"/>
      <c r="WLA65" s="10"/>
      <c r="WLB65" s="10"/>
      <c r="WLC65" s="10"/>
      <c r="WLD65" s="10"/>
      <c r="WLE65" s="10"/>
      <c r="WLF65" s="10"/>
      <c r="WLG65" s="10"/>
      <c r="WLH65" s="10"/>
      <c r="WLI65" s="10"/>
      <c r="WLJ65" s="10"/>
      <c r="WLK65" s="10"/>
      <c r="WLL65" s="10"/>
      <c r="WLM65" s="10"/>
      <c r="WLN65" s="10"/>
      <c r="WLO65" s="10"/>
      <c r="WLP65" s="10"/>
      <c r="WLQ65" s="10"/>
      <c r="WLR65" s="10"/>
      <c r="WLS65" s="10"/>
      <c r="WLT65" s="10"/>
      <c r="WLU65" s="10"/>
      <c r="WLV65" s="10"/>
      <c r="WLW65" s="10"/>
      <c r="WLX65" s="10"/>
      <c r="WLY65" s="10"/>
      <c r="WLZ65" s="10"/>
      <c r="WMA65" s="10"/>
      <c r="WMB65" s="10"/>
      <c r="WMC65" s="10"/>
      <c r="WMD65" s="10"/>
      <c r="WME65" s="10"/>
      <c r="WMF65" s="10"/>
      <c r="WMG65" s="10"/>
      <c r="WMH65" s="10"/>
      <c r="WMI65" s="10"/>
      <c r="WMJ65" s="10"/>
      <c r="WMK65" s="10"/>
      <c r="WML65" s="10"/>
      <c r="WMM65" s="10"/>
      <c r="WMN65" s="10"/>
      <c r="WMO65" s="10"/>
      <c r="WMP65" s="10"/>
      <c r="WMQ65" s="10"/>
      <c r="WMR65" s="10"/>
      <c r="WMS65" s="10"/>
      <c r="WMT65" s="10"/>
      <c r="WMU65" s="10"/>
      <c r="WMV65" s="10"/>
      <c r="WMW65" s="10"/>
      <c r="WMX65" s="10"/>
      <c r="WMY65" s="10"/>
      <c r="WMZ65" s="10"/>
      <c r="WNA65" s="10"/>
      <c r="WNB65" s="10"/>
      <c r="WNC65" s="10"/>
      <c r="WND65" s="10"/>
      <c r="WNE65" s="10"/>
      <c r="WNF65" s="10"/>
      <c r="WNG65" s="10"/>
      <c r="WNH65" s="10"/>
      <c r="WNI65" s="10"/>
      <c r="WNJ65" s="10"/>
      <c r="WNK65" s="10"/>
      <c r="WNL65" s="10"/>
      <c r="WNM65" s="10"/>
      <c r="WNN65" s="10"/>
      <c r="WNO65" s="10"/>
      <c r="WNP65" s="10"/>
      <c r="WNQ65" s="10"/>
      <c r="WNR65" s="10"/>
      <c r="WNS65" s="10"/>
      <c r="WNT65" s="10"/>
      <c r="WNU65" s="10"/>
      <c r="WNV65" s="10"/>
      <c r="WNW65" s="10"/>
      <c r="WNX65" s="10"/>
      <c r="WNY65" s="10"/>
      <c r="WNZ65" s="10"/>
      <c r="WOA65" s="10"/>
      <c r="WOB65" s="10"/>
      <c r="WOC65" s="10"/>
      <c r="WOD65" s="10"/>
      <c r="WOE65" s="10"/>
      <c r="WOF65" s="10"/>
      <c r="WOG65" s="10"/>
      <c r="WOH65" s="10"/>
      <c r="WOI65" s="10"/>
      <c r="WOJ65" s="10"/>
      <c r="WOK65" s="10"/>
      <c r="WOL65" s="10"/>
      <c r="WOM65" s="10"/>
      <c r="WON65" s="10"/>
      <c r="WOO65" s="10"/>
      <c r="WOP65" s="10"/>
      <c r="WOQ65" s="10"/>
      <c r="WOR65" s="10"/>
      <c r="WOS65" s="10"/>
      <c r="WOT65" s="10"/>
      <c r="WOU65" s="10"/>
      <c r="WOV65" s="10"/>
      <c r="WOW65" s="10"/>
      <c r="WOX65" s="10"/>
      <c r="WOY65" s="10"/>
      <c r="WOZ65" s="10"/>
      <c r="WPA65" s="10"/>
      <c r="WPB65" s="10"/>
      <c r="WPC65" s="10"/>
      <c r="WPD65" s="10"/>
      <c r="WPE65" s="10"/>
      <c r="WPF65" s="10"/>
      <c r="WPG65" s="10"/>
      <c r="WPH65" s="10"/>
      <c r="WPI65" s="10"/>
      <c r="WPJ65" s="10"/>
      <c r="WPK65" s="10"/>
      <c r="WPL65" s="10"/>
      <c r="WPM65" s="10"/>
      <c r="WPN65" s="10"/>
      <c r="WPO65" s="10"/>
      <c r="WPP65" s="10"/>
      <c r="WPQ65" s="10"/>
      <c r="WPR65" s="10"/>
      <c r="WPS65" s="10"/>
      <c r="WPT65" s="10"/>
      <c r="WPU65" s="10"/>
      <c r="WPV65" s="10"/>
      <c r="WPW65" s="10"/>
      <c r="WPX65" s="10"/>
      <c r="WPY65" s="10"/>
      <c r="WPZ65" s="10"/>
      <c r="WQA65" s="10"/>
      <c r="WQB65" s="10"/>
      <c r="WQC65" s="10"/>
      <c r="WQD65" s="10"/>
      <c r="WQE65" s="10"/>
      <c r="WQF65" s="10"/>
      <c r="WQG65" s="10"/>
      <c r="WQH65" s="10"/>
      <c r="WQI65" s="10"/>
      <c r="WQJ65" s="10"/>
      <c r="WQK65" s="10"/>
      <c r="WQL65" s="10"/>
      <c r="WQM65" s="10"/>
      <c r="WQN65" s="10"/>
      <c r="WQO65" s="10"/>
      <c r="WQP65" s="10"/>
      <c r="WQQ65" s="10"/>
      <c r="WQR65" s="10"/>
      <c r="WQS65" s="10"/>
      <c r="WQT65" s="10"/>
      <c r="WQU65" s="10"/>
      <c r="WQV65" s="10"/>
      <c r="WQW65" s="10"/>
      <c r="WQX65" s="10"/>
      <c r="WQY65" s="10"/>
      <c r="WQZ65" s="10"/>
      <c r="WRA65" s="10"/>
      <c r="WRB65" s="10"/>
      <c r="WRC65" s="10"/>
      <c r="WRD65" s="10"/>
      <c r="WRE65" s="10"/>
      <c r="WRF65" s="10"/>
      <c r="WRG65" s="10"/>
      <c r="WRH65" s="10"/>
      <c r="WRI65" s="10"/>
      <c r="WRJ65" s="10"/>
      <c r="WRK65" s="10"/>
      <c r="WRL65" s="10"/>
      <c r="WRM65" s="10"/>
      <c r="WRN65" s="10"/>
      <c r="WRO65" s="10"/>
      <c r="WRP65" s="10"/>
      <c r="WRQ65" s="10"/>
      <c r="WRR65" s="10"/>
      <c r="WRS65" s="10"/>
      <c r="WRT65" s="10"/>
      <c r="WRU65" s="10"/>
      <c r="WRV65" s="10"/>
      <c r="WRW65" s="10"/>
      <c r="WRX65" s="10"/>
      <c r="WRY65" s="10"/>
      <c r="WRZ65" s="10"/>
      <c r="WSA65" s="10"/>
      <c r="WSB65" s="10"/>
      <c r="WSC65" s="10"/>
      <c r="WSD65" s="10"/>
      <c r="WSE65" s="10"/>
      <c r="WSF65" s="10"/>
      <c r="WSG65" s="10"/>
      <c r="WSH65" s="10"/>
      <c r="WSI65" s="10"/>
      <c r="WSJ65" s="10"/>
      <c r="WSK65" s="10"/>
      <c r="WSL65" s="10"/>
      <c r="WSM65" s="10"/>
      <c r="WSN65" s="10"/>
      <c r="WSO65" s="10"/>
      <c r="WSP65" s="10"/>
      <c r="WSQ65" s="10"/>
      <c r="WSR65" s="10"/>
      <c r="WSS65" s="10"/>
      <c r="WST65" s="10"/>
      <c r="WSU65" s="10"/>
      <c r="WSV65" s="10"/>
      <c r="WSW65" s="10"/>
      <c r="WSX65" s="10"/>
      <c r="WSY65" s="10"/>
      <c r="WSZ65" s="10"/>
      <c r="WTA65" s="10"/>
      <c r="WTB65" s="10"/>
      <c r="WTC65" s="10"/>
      <c r="WTD65" s="10"/>
      <c r="WTE65" s="10"/>
      <c r="WTF65" s="10"/>
      <c r="WTG65" s="10"/>
      <c r="WTH65" s="10"/>
      <c r="WTI65" s="10"/>
      <c r="WTJ65" s="10"/>
      <c r="WTK65" s="10"/>
      <c r="WTL65" s="10"/>
      <c r="WTM65" s="10"/>
      <c r="WTN65" s="10"/>
      <c r="WTO65" s="10"/>
      <c r="WTP65" s="10"/>
      <c r="WTQ65" s="10"/>
      <c r="WTR65" s="10"/>
      <c r="WTS65" s="10"/>
      <c r="WTT65" s="10"/>
      <c r="WTU65" s="10"/>
      <c r="WTV65" s="10"/>
      <c r="WTW65" s="10"/>
      <c r="WTX65" s="10"/>
      <c r="WTY65" s="10"/>
      <c r="WTZ65" s="10"/>
      <c r="WUA65" s="10"/>
      <c r="WUB65" s="10"/>
      <c r="WUC65" s="10"/>
      <c r="WUD65" s="10"/>
      <c r="WUE65" s="10"/>
      <c r="WUF65" s="10"/>
      <c r="WUG65" s="10"/>
      <c r="WUH65" s="10"/>
      <c r="WUI65" s="10"/>
      <c r="WUJ65" s="10"/>
      <c r="WUK65" s="10"/>
      <c r="WUL65" s="10"/>
      <c r="WUM65" s="10"/>
      <c r="WUN65" s="10"/>
      <c r="WUO65" s="10"/>
      <c r="WUP65" s="10"/>
      <c r="WUQ65" s="10"/>
      <c r="WUR65" s="10"/>
      <c r="WUS65" s="10"/>
      <c r="WUT65" s="10"/>
      <c r="WUU65" s="10"/>
      <c r="WUV65" s="10"/>
      <c r="WUW65" s="10"/>
      <c r="WUX65" s="10"/>
      <c r="WUY65" s="10"/>
      <c r="WUZ65" s="10"/>
      <c r="WVA65" s="10"/>
      <c r="WVB65" s="10"/>
      <c r="WVC65" s="10"/>
      <c r="WVD65" s="10"/>
      <c r="WVE65" s="10"/>
      <c r="WVF65" s="10"/>
      <c r="WVG65" s="10"/>
      <c r="WVH65" s="10"/>
      <c r="WVI65" s="10"/>
      <c r="WVJ65" s="10"/>
      <c r="WVK65" s="10"/>
      <c r="WVL65" s="10"/>
      <c r="WVM65" s="10"/>
      <c r="WVN65" s="10"/>
      <c r="WVO65" s="10"/>
      <c r="WVP65" s="10"/>
      <c r="WVQ65" s="10"/>
      <c r="WVR65" s="10"/>
      <c r="WVS65" s="10"/>
      <c r="WVT65" s="10"/>
    </row>
    <row r="66" spans="2:16140" s="242" customFormat="1" ht="21" customHeight="1">
      <c r="B66" s="241"/>
      <c r="C66" s="332"/>
      <c r="D66" s="337"/>
      <c r="F66" s="244"/>
      <c r="G66" s="245"/>
      <c r="H66" s="333"/>
      <c r="I66" s="333"/>
      <c r="J66" s="333"/>
      <c r="K66" s="333"/>
      <c r="L66" s="334"/>
      <c r="M66" s="10"/>
      <c r="N66" s="18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 s="10"/>
      <c r="GM66" s="10"/>
      <c r="GN66" s="10"/>
      <c r="GO66" s="10"/>
      <c r="GP66" s="10"/>
      <c r="GQ66" s="10"/>
      <c r="GR66" s="10"/>
      <c r="GS66" s="10"/>
      <c r="GT66" s="10"/>
      <c r="GU66" s="10"/>
      <c r="GV66" s="10"/>
      <c r="GW66" s="10"/>
      <c r="GX66" s="10"/>
      <c r="GY66" s="10"/>
      <c r="GZ66" s="10"/>
      <c r="HA66" s="10"/>
      <c r="HB66" s="10"/>
      <c r="HC66" s="10"/>
      <c r="HD66" s="10"/>
      <c r="HE66" s="10"/>
      <c r="HF66" s="10"/>
      <c r="HG66" s="10"/>
      <c r="HH66" s="10"/>
      <c r="HI66" s="10"/>
      <c r="HJ66" s="10"/>
      <c r="HK66" s="10"/>
      <c r="HL66" s="10"/>
      <c r="HM66" s="10"/>
      <c r="HN66" s="10"/>
      <c r="HO66" s="10"/>
      <c r="HP66" s="10"/>
      <c r="HQ66" s="10"/>
      <c r="HR66" s="10"/>
      <c r="HS66" s="10"/>
      <c r="HT66" s="10"/>
      <c r="HU66" s="10"/>
      <c r="HV66" s="10"/>
      <c r="HW66" s="10"/>
      <c r="HX66" s="10"/>
      <c r="HY66" s="10"/>
      <c r="HZ66" s="10"/>
      <c r="IA66" s="10"/>
      <c r="IB66" s="10"/>
      <c r="IC66" s="10"/>
      <c r="ID66" s="10"/>
      <c r="IE66" s="10"/>
      <c r="IF66" s="10"/>
      <c r="IG66" s="10"/>
      <c r="IH66" s="10"/>
      <c r="II66" s="10"/>
      <c r="IJ66" s="10"/>
      <c r="IK66" s="10"/>
      <c r="IL66" s="10"/>
      <c r="IM66" s="10"/>
      <c r="IN66" s="10"/>
      <c r="IO66" s="10"/>
      <c r="IP66" s="10"/>
      <c r="IQ66" s="10"/>
      <c r="IR66" s="10"/>
      <c r="IS66" s="10"/>
      <c r="IT66" s="10"/>
      <c r="IU66" s="10"/>
      <c r="IV66" s="10"/>
      <c r="IW66" s="10"/>
      <c r="IX66" s="10"/>
      <c r="IY66" s="10"/>
      <c r="IZ66" s="10"/>
      <c r="JA66" s="10"/>
      <c r="JB66" s="10"/>
      <c r="JC66" s="10"/>
      <c r="JD66" s="10"/>
      <c r="JE66" s="10"/>
      <c r="JF66" s="10"/>
      <c r="JG66" s="10"/>
      <c r="JH66" s="10"/>
      <c r="JI66" s="10"/>
      <c r="JJ66" s="10"/>
      <c r="JK66" s="10"/>
      <c r="JL66" s="10"/>
      <c r="JM66" s="10"/>
      <c r="JN66" s="10"/>
      <c r="JO66" s="10"/>
      <c r="JP66" s="10"/>
      <c r="JQ66" s="10"/>
      <c r="JR66" s="10"/>
      <c r="JS66" s="10"/>
      <c r="JT66" s="10"/>
      <c r="JU66" s="10"/>
      <c r="JV66" s="10"/>
      <c r="JW66" s="10"/>
      <c r="JX66" s="10"/>
      <c r="JY66" s="10"/>
      <c r="JZ66" s="10"/>
      <c r="KA66" s="10"/>
      <c r="KB66" s="10"/>
      <c r="KC66" s="10"/>
      <c r="KD66" s="10"/>
      <c r="KE66" s="10"/>
      <c r="KF66" s="10"/>
      <c r="KG66" s="10"/>
      <c r="KH66" s="10"/>
      <c r="KI66" s="10"/>
      <c r="KJ66" s="10"/>
      <c r="KK66" s="10"/>
      <c r="KL66" s="10"/>
      <c r="KM66" s="10"/>
      <c r="KN66" s="10"/>
      <c r="KO66" s="10"/>
      <c r="KP66" s="10"/>
      <c r="KQ66" s="10"/>
      <c r="KR66" s="10"/>
      <c r="KS66" s="10"/>
      <c r="KT66" s="10"/>
      <c r="KU66" s="10"/>
      <c r="KV66" s="10"/>
      <c r="KW66" s="10"/>
      <c r="KX66" s="10"/>
      <c r="KY66" s="10"/>
      <c r="KZ66" s="10"/>
      <c r="LA66" s="10"/>
      <c r="LB66" s="10"/>
      <c r="LC66" s="10"/>
      <c r="LD66" s="10"/>
      <c r="LE66" s="10"/>
      <c r="LF66" s="10"/>
      <c r="LG66" s="10"/>
      <c r="LH66" s="10"/>
      <c r="LI66" s="10"/>
      <c r="LJ66" s="10"/>
      <c r="LK66" s="10"/>
      <c r="LL66" s="10"/>
      <c r="LM66" s="10"/>
      <c r="LN66" s="10"/>
      <c r="LO66" s="10"/>
      <c r="LP66" s="10"/>
      <c r="LQ66" s="10"/>
      <c r="LR66" s="10"/>
      <c r="LS66" s="10"/>
      <c r="LT66" s="10"/>
      <c r="LU66" s="10"/>
      <c r="LV66" s="10"/>
      <c r="LW66" s="10"/>
      <c r="LX66" s="10"/>
      <c r="LY66" s="10"/>
      <c r="LZ66" s="10"/>
      <c r="MA66" s="10"/>
      <c r="MB66" s="10"/>
      <c r="MC66" s="10"/>
      <c r="MD66" s="10"/>
      <c r="ME66" s="10"/>
      <c r="MF66" s="10"/>
      <c r="MG66" s="10"/>
      <c r="MH66" s="10"/>
      <c r="MI66" s="10"/>
      <c r="MJ66" s="10"/>
      <c r="MK66" s="10"/>
      <c r="ML66" s="10"/>
      <c r="MM66" s="10"/>
      <c r="MN66" s="10"/>
      <c r="MO66" s="10"/>
      <c r="MP66" s="10"/>
      <c r="MQ66" s="10"/>
      <c r="MR66" s="10"/>
      <c r="MS66" s="10"/>
      <c r="MT66" s="10"/>
      <c r="MU66" s="10"/>
      <c r="MV66" s="10"/>
      <c r="MW66" s="10"/>
      <c r="MX66" s="10"/>
      <c r="MY66" s="10"/>
      <c r="MZ66" s="10"/>
      <c r="NA66" s="10"/>
      <c r="NB66" s="10"/>
      <c r="NC66" s="10"/>
      <c r="ND66" s="10"/>
      <c r="NE66" s="10"/>
      <c r="NF66" s="10"/>
      <c r="NG66" s="10"/>
      <c r="NH66" s="10"/>
      <c r="NI66" s="10"/>
      <c r="NJ66" s="10"/>
      <c r="NK66" s="10"/>
      <c r="NL66" s="10"/>
      <c r="NM66" s="10"/>
      <c r="NN66" s="10"/>
      <c r="NO66" s="10"/>
      <c r="NP66" s="10"/>
      <c r="NQ66" s="10"/>
      <c r="NR66" s="10"/>
      <c r="NS66" s="10"/>
      <c r="NT66" s="10"/>
      <c r="NU66" s="10"/>
      <c r="NV66" s="10"/>
      <c r="NW66" s="10"/>
      <c r="NX66" s="10"/>
      <c r="NY66" s="10"/>
      <c r="NZ66" s="10"/>
      <c r="OA66" s="10"/>
      <c r="OB66" s="10"/>
      <c r="OC66" s="10"/>
      <c r="OD66" s="10"/>
      <c r="OE66" s="10"/>
      <c r="OF66" s="10"/>
      <c r="OG66" s="10"/>
      <c r="OH66" s="10"/>
      <c r="OI66" s="10"/>
      <c r="OJ66" s="10"/>
      <c r="OK66" s="10"/>
      <c r="OL66" s="10"/>
      <c r="OM66" s="10"/>
      <c r="ON66" s="10"/>
      <c r="OO66" s="10"/>
      <c r="OP66" s="10"/>
      <c r="OQ66" s="10"/>
      <c r="OR66" s="10"/>
      <c r="OS66" s="10"/>
      <c r="OT66" s="10"/>
      <c r="OU66" s="10"/>
      <c r="OV66" s="10"/>
      <c r="OW66" s="10"/>
      <c r="OX66" s="10"/>
      <c r="OY66" s="10"/>
      <c r="OZ66" s="10"/>
      <c r="PA66" s="10"/>
      <c r="PB66" s="10"/>
      <c r="PC66" s="10"/>
      <c r="PD66" s="10"/>
      <c r="PE66" s="10"/>
      <c r="PF66" s="10"/>
      <c r="PG66" s="10"/>
      <c r="PH66" s="10"/>
      <c r="PI66" s="10"/>
      <c r="PJ66" s="10"/>
      <c r="PK66" s="10"/>
      <c r="PL66" s="10"/>
      <c r="PM66" s="10"/>
      <c r="PN66" s="10"/>
      <c r="PO66" s="10"/>
      <c r="PP66" s="10"/>
      <c r="PQ66" s="10"/>
      <c r="PR66" s="10"/>
      <c r="PS66" s="10"/>
      <c r="PT66" s="10"/>
      <c r="PU66" s="10"/>
      <c r="PV66" s="10"/>
      <c r="PW66" s="10"/>
      <c r="PX66" s="10"/>
      <c r="PY66" s="10"/>
      <c r="PZ66" s="10"/>
      <c r="QA66" s="10"/>
      <c r="QB66" s="10"/>
      <c r="QC66" s="10"/>
      <c r="QD66" s="10"/>
      <c r="QE66" s="10"/>
      <c r="QF66" s="10"/>
      <c r="QG66" s="10"/>
      <c r="QH66" s="10"/>
      <c r="QI66" s="10"/>
      <c r="QJ66" s="10"/>
      <c r="QK66" s="10"/>
      <c r="QL66" s="10"/>
      <c r="QM66" s="10"/>
      <c r="QN66" s="10"/>
      <c r="QO66" s="10"/>
      <c r="QP66" s="10"/>
      <c r="QQ66" s="10"/>
      <c r="QR66" s="10"/>
      <c r="QS66" s="10"/>
      <c r="QT66" s="10"/>
      <c r="QU66" s="10"/>
      <c r="QV66" s="10"/>
      <c r="QW66" s="10"/>
      <c r="QX66" s="10"/>
      <c r="QY66" s="10"/>
      <c r="QZ66" s="10"/>
      <c r="RA66" s="10"/>
      <c r="RB66" s="10"/>
      <c r="RC66" s="10"/>
      <c r="RD66" s="10"/>
      <c r="RE66" s="10"/>
      <c r="RF66" s="10"/>
      <c r="RG66" s="10"/>
      <c r="RH66" s="10"/>
      <c r="RI66" s="10"/>
      <c r="RJ66" s="10"/>
      <c r="RK66" s="10"/>
      <c r="RL66" s="10"/>
      <c r="RM66" s="10"/>
      <c r="RN66" s="10"/>
      <c r="RO66" s="10"/>
      <c r="RP66" s="10"/>
      <c r="RQ66" s="10"/>
      <c r="RR66" s="10"/>
      <c r="RS66" s="10"/>
      <c r="RT66" s="10"/>
      <c r="RU66" s="10"/>
      <c r="RV66" s="10"/>
      <c r="RW66" s="10"/>
      <c r="RX66" s="10"/>
      <c r="RY66" s="10"/>
      <c r="RZ66" s="10"/>
      <c r="SA66" s="10"/>
      <c r="SB66" s="10"/>
      <c r="SC66" s="10"/>
      <c r="SD66" s="10"/>
      <c r="SE66" s="10"/>
      <c r="SF66" s="10"/>
      <c r="SG66" s="10"/>
      <c r="SH66" s="10"/>
      <c r="SI66" s="10"/>
      <c r="SJ66" s="10"/>
      <c r="SK66" s="10"/>
      <c r="SL66" s="10"/>
      <c r="SM66" s="10"/>
      <c r="SN66" s="10"/>
      <c r="SO66" s="10"/>
      <c r="SP66" s="10"/>
      <c r="SQ66" s="10"/>
      <c r="SR66" s="10"/>
      <c r="SS66" s="10"/>
      <c r="ST66" s="10"/>
      <c r="SU66" s="10"/>
      <c r="SV66" s="10"/>
      <c r="SW66" s="10"/>
      <c r="SX66" s="10"/>
      <c r="SY66" s="10"/>
      <c r="SZ66" s="10"/>
      <c r="TA66" s="10"/>
      <c r="TB66" s="10"/>
      <c r="TC66" s="10"/>
      <c r="TD66" s="10"/>
      <c r="TE66" s="10"/>
      <c r="TF66" s="10"/>
      <c r="TG66" s="10"/>
      <c r="TH66" s="10"/>
      <c r="TI66" s="10"/>
      <c r="TJ66" s="10"/>
      <c r="TK66" s="10"/>
      <c r="TL66" s="10"/>
      <c r="TM66" s="10"/>
      <c r="TN66" s="10"/>
      <c r="TO66" s="10"/>
      <c r="TP66" s="10"/>
      <c r="TQ66" s="10"/>
      <c r="TR66" s="10"/>
      <c r="TS66" s="10"/>
      <c r="TT66" s="10"/>
      <c r="TU66" s="10"/>
      <c r="TV66" s="10"/>
      <c r="TW66" s="10"/>
      <c r="TX66" s="10"/>
      <c r="TY66" s="10"/>
      <c r="TZ66" s="10"/>
      <c r="UA66" s="10"/>
      <c r="UB66" s="10"/>
      <c r="UC66" s="10"/>
      <c r="UD66" s="10"/>
      <c r="UE66" s="10"/>
      <c r="UF66" s="10"/>
      <c r="UG66" s="10"/>
      <c r="UH66" s="10"/>
      <c r="UI66" s="10"/>
      <c r="UJ66" s="10"/>
      <c r="UK66" s="10"/>
      <c r="UL66" s="10"/>
      <c r="UM66" s="10"/>
      <c r="UN66" s="10"/>
      <c r="UO66" s="10"/>
      <c r="UP66" s="10"/>
      <c r="UQ66" s="10"/>
      <c r="UR66" s="10"/>
      <c r="US66" s="10"/>
      <c r="UT66" s="10"/>
      <c r="UU66" s="10"/>
      <c r="UV66" s="10"/>
      <c r="UW66" s="10"/>
      <c r="UX66" s="10"/>
      <c r="UY66" s="10"/>
      <c r="UZ66" s="10"/>
      <c r="VA66" s="10"/>
      <c r="VB66" s="10"/>
      <c r="VC66" s="10"/>
      <c r="VD66" s="10"/>
      <c r="VE66" s="10"/>
      <c r="VF66" s="10"/>
      <c r="VG66" s="10"/>
      <c r="VH66" s="10"/>
      <c r="VI66" s="10"/>
      <c r="VJ66" s="10"/>
      <c r="VK66" s="10"/>
      <c r="VL66" s="10"/>
      <c r="VM66" s="10"/>
      <c r="VN66" s="10"/>
      <c r="VO66" s="10"/>
      <c r="VP66" s="10"/>
      <c r="VQ66" s="10"/>
      <c r="VR66" s="10"/>
      <c r="VS66" s="10"/>
      <c r="VT66" s="10"/>
      <c r="VU66" s="10"/>
      <c r="VV66" s="10"/>
      <c r="VW66" s="10"/>
      <c r="VX66" s="10"/>
      <c r="VY66" s="10"/>
      <c r="VZ66" s="10"/>
      <c r="WA66" s="10"/>
      <c r="WB66" s="10"/>
      <c r="WC66" s="10"/>
      <c r="WD66" s="10"/>
      <c r="WE66" s="10"/>
      <c r="WF66" s="10"/>
      <c r="WG66" s="10"/>
      <c r="WH66" s="10"/>
      <c r="WI66" s="10"/>
      <c r="WJ66" s="10"/>
      <c r="WK66" s="10"/>
      <c r="WL66" s="10"/>
      <c r="WM66" s="10"/>
      <c r="WN66" s="10"/>
      <c r="WO66" s="10"/>
      <c r="WP66" s="10"/>
      <c r="WQ66" s="10"/>
      <c r="WR66" s="10"/>
      <c r="WS66" s="10"/>
      <c r="WT66" s="10"/>
      <c r="WU66" s="10"/>
      <c r="WV66" s="10"/>
      <c r="WW66" s="10"/>
      <c r="WX66" s="10"/>
      <c r="WY66" s="10"/>
      <c r="WZ66" s="10"/>
      <c r="XA66" s="10"/>
      <c r="XB66" s="10"/>
      <c r="XC66" s="10"/>
      <c r="XD66" s="10"/>
      <c r="XE66" s="10"/>
      <c r="XF66" s="10"/>
      <c r="XG66" s="10"/>
      <c r="XH66" s="10"/>
      <c r="XI66" s="10"/>
      <c r="XJ66" s="10"/>
      <c r="XK66" s="10"/>
      <c r="XL66" s="10"/>
      <c r="XM66" s="10"/>
      <c r="XN66" s="10"/>
      <c r="XO66" s="10"/>
      <c r="XP66" s="10"/>
      <c r="XQ66" s="10"/>
      <c r="XR66" s="10"/>
      <c r="XS66" s="10"/>
      <c r="XT66" s="10"/>
      <c r="XU66" s="10"/>
      <c r="XV66" s="10"/>
      <c r="XW66" s="10"/>
      <c r="XX66" s="10"/>
      <c r="XY66" s="10"/>
      <c r="XZ66" s="10"/>
      <c r="YA66" s="10"/>
      <c r="YB66" s="10"/>
      <c r="YC66" s="10"/>
      <c r="YD66" s="10"/>
      <c r="YE66" s="10"/>
      <c r="YF66" s="10"/>
      <c r="YG66" s="10"/>
      <c r="YH66" s="10"/>
      <c r="YI66" s="10"/>
      <c r="YJ66" s="10"/>
      <c r="YK66" s="10"/>
      <c r="YL66" s="10"/>
      <c r="YM66" s="10"/>
      <c r="YN66" s="10"/>
      <c r="YO66" s="10"/>
      <c r="YP66" s="10"/>
      <c r="YQ66" s="10"/>
      <c r="YR66" s="10"/>
      <c r="YS66" s="10"/>
      <c r="YT66" s="10"/>
      <c r="YU66" s="10"/>
      <c r="YV66" s="10"/>
      <c r="YW66" s="10"/>
      <c r="YX66" s="10"/>
      <c r="YY66" s="10"/>
      <c r="YZ66" s="10"/>
      <c r="ZA66" s="10"/>
      <c r="ZB66" s="10"/>
      <c r="ZC66" s="10"/>
      <c r="ZD66" s="10"/>
      <c r="ZE66" s="10"/>
      <c r="ZF66" s="10"/>
      <c r="ZG66" s="10"/>
      <c r="ZH66" s="10"/>
      <c r="ZI66" s="10"/>
      <c r="ZJ66" s="10"/>
      <c r="ZK66" s="10"/>
      <c r="ZL66" s="10"/>
      <c r="ZM66" s="10"/>
      <c r="ZN66" s="10"/>
      <c r="ZO66" s="10"/>
      <c r="ZP66" s="10"/>
      <c r="ZQ66" s="10"/>
      <c r="ZR66" s="10"/>
      <c r="ZS66" s="10"/>
      <c r="ZT66" s="10"/>
      <c r="ZU66" s="10"/>
      <c r="ZV66" s="10"/>
      <c r="ZW66" s="10"/>
      <c r="ZX66" s="10"/>
      <c r="ZY66" s="10"/>
      <c r="ZZ66" s="10"/>
      <c r="AAA66" s="10"/>
      <c r="AAB66" s="10"/>
      <c r="AAC66" s="10"/>
      <c r="AAD66" s="10"/>
      <c r="AAE66" s="10"/>
      <c r="AAF66" s="10"/>
      <c r="AAG66" s="10"/>
      <c r="AAH66" s="10"/>
      <c r="AAI66" s="10"/>
      <c r="AAJ66" s="10"/>
      <c r="AAK66" s="10"/>
      <c r="AAL66" s="10"/>
      <c r="AAM66" s="10"/>
      <c r="AAN66" s="10"/>
      <c r="AAO66" s="10"/>
      <c r="AAP66" s="10"/>
      <c r="AAQ66" s="10"/>
      <c r="AAR66" s="10"/>
      <c r="AAS66" s="10"/>
      <c r="AAT66" s="10"/>
      <c r="AAU66" s="10"/>
      <c r="AAV66" s="10"/>
      <c r="AAW66" s="10"/>
      <c r="AAX66" s="10"/>
      <c r="AAY66" s="10"/>
      <c r="AAZ66" s="10"/>
      <c r="ABA66" s="10"/>
      <c r="ABB66" s="10"/>
      <c r="ABC66" s="10"/>
      <c r="ABD66" s="10"/>
      <c r="ABE66" s="10"/>
      <c r="ABF66" s="10"/>
      <c r="ABG66" s="10"/>
      <c r="ABH66" s="10"/>
      <c r="ABI66" s="10"/>
      <c r="ABJ66" s="10"/>
      <c r="ABK66" s="10"/>
      <c r="ABL66" s="10"/>
      <c r="ABM66" s="10"/>
      <c r="ABN66" s="10"/>
      <c r="ABO66" s="10"/>
      <c r="ABP66" s="10"/>
      <c r="ABQ66" s="10"/>
      <c r="ABR66" s="10"/>
      <c r="ABS66" s="10"/>
      <c r="ABT66" s="10"/>
      <c r="ABU66" s="10"/>
      <c r="ABV66" s="10"/>
      <c r="ABW66" s="10"/>
      <c r="ABX66" s="10"/>
      <c r="ABY66" s="10"/>
      <c r="ABZ66" s="10"/>
      <c r="ACA66" s="10"/>
      <c r="ACB66" s="10"/>
      <c r="ACC66" s="10"/>
      <c r="ACD66" s="10"/>
      <c r="ACE66" s="10"/>
      <c r="ACF66" s="10"/>
      <c r="ACG66" s="10"/>
      <c r="ACH66" s="10"/>
      <c r="ACI66" s="10"/>
      <c r="ACJ66" s="10"/>
      <c r="ACK66" s="10"/>
      <c r="ACL66" s="10"/>
      <c r="ACM66" s="10"/>
      <c r="ACN66" s="10"/>
      <c r="ACO66" s="10"/>
      <c r="ACP66" s="10"/>
      <c r="ACQ66" s="10"/>
      <c r="ACR66" s="10"/>
      <c r="ACS66" s="10"/>
      <c r="ACT66" s="10"/>
      <c r="ACU66" s="10"/>
      <c r="ACV66" s="10"/>
      <c r="ACW66" s="10"/>
      <c r="ACX66" s="10"/>
      <c r="ACY66" s="10"/>
      <c r="ACZ66" s="10"/>
      <c r="ADA66" s="10"/>
      <c r="ADB66" s="10"/>
      <c r="ADC66" s="10"/>
      <c r="ADD66" s="10"/>
      <c r="ADE66" s="10"/>
      <c r="ADF66" s="10"/>
      <c r="ADG66" s="10"/>
      <c r="ADH66" s="10"/>
      <c r="ADI66" s="10"/>
      <c r="ADJ66" s="10"/>
      <c r="ADK66" s="10"/>
      <c r="ADL66" s="10"/>
      <c r="ADM66" s="10"/>
      <c r="ADN66" s="10"/>
      <c r="ADO66" s="10"/>
      <c r="ADP66" s="10"/>
      <c r="ADQ66" s="10"/>
      <c r="ADR66" s="10"/>
      <c r="ADS66" s="10"/>
      <c r="ADT66" s="10"/>
      <c r="ADU66" s="10"/>
      <c r="ADV66" s="10"/>
      <c r="ADW66" s="10"/>
      <c r="ADX66" s="10"/>
      <c r="ADY66" s="10"/>
      <c r="ADZ66" s="10"/>
      <c r="AEA66" s="10"/>
      <c r="AEB66" s="10"/>
      <c r="AEC66" s="10"/>
      <c r="AED66" s="10"/>
      <c r="AEE66" s="10"/>
      <c r="AEF66" s="10"/>
      <c r="AEG66" s="10"/>
      <c r="AEH66" s="10"/>
      <c r="AEI66" s="10"/>
      <c r="AEJ66" s="10"/>
      <c r="AEK66" s="10"/>
      <c r="AEL66" s="10"/>
      <c r="AEM66" s="10"/>
      <c r="AEN66" s="10"/>
      <c r="AEO66" s="10"/>
      <c r="AEP66" s="10"/>
      <c r="AEQ66" s="10"/>
      <c r="AER66" s="10"/>
      <c r="AES66" s="10"/>
      <c r="AET66" s="10"/>
      <c r="AEU66" s="10"/>
      <c r="AEV66" s="10"/>
      <c r="AEW66" s="10"/>
      <c r="AEX66" s="10"/>
      <c r="AEY66" s="10"/>
      <c r="AEZ66" s="10"/>
      <c r="AFA66" s="10"/>
      <c r="AFB66" s="10"/>
      <c r="AFC66" s="10"/>
      <c r="AFD66" s="10"/>
      <c r="AFE66" s="10"/>
      <c r="AFF66" s="10"/>
      <c r="AFG66" s="10"/>
      <c r="AFH66" s="10"/>
      <c r="AFI66" s="10"/>
      <c r="AFJ66" s="10"/>
      <c r="AFK66" s="10"/>
      <c r="AFL66" s="10"/>
      <c r="AFM66" s="10"/>
      <c r="AFN66" s="10"/>
      <c r="AFO66" s="10"/>
      <c r="AFP66" s="10"/>
      <c r="AFQ66" s="10"/>
      <c r="AFR66" s="10"/>
      <c r="AFS66" s="10"/>
      <c r="AFT66" s="10"/>
      <c r="AFU66" s="10"/>
      <c r="AFV66" s="10"/>
      <c r="AFW66" s="10"/>
      <c r="AFX66" s="10"/>
      <c r="AFY66" s="10"/>
      <c r="AFZ66" s="10"/>
      <c r="AGA66" s="10"/>
      <c r="AGB66" s="10"/>
      <c r="AGC66" s="10"/>
      <c r="AGD66" s="10"/>
      <c r="AGE66" s="10"/>
      <c r="AGF66" s="10"/>
      <c r="AGG66" s="10"/>
      <c r="AGH66" s="10"/>
      <c r="AGI66" s="10"/>
      <c r="AGJ66" s="10"/>
      <c r="AGK66" s="10"/>
      <c r="AGL66" s="10"/>
      <c r="AGM66" s="10"/>
      <c r="AGN66" s="10"/>
      <c r="AGO66" s="10"/>
      <c r="AGP66" s="10"/>
      <c r="AGQ66" s="10"/>
      <c r="AGR66" s="10"/>
      <c r="AGS66" s="10"/>
      <c r="AGT66" s="10"/>
      <c r="AGU66" s="10"/>
      <c r="AGV66" s="10"/>
      <c r="AGW66" s="10"/>
      <c r="AGX66" s="10"/>
      <c r="AGY66" s="10"/>
      <c r="AGZ66" s="10"/>
      <c r="AHA66" s="10"/>
      <c r="AHB66" s="10"/>
      <c r="AHC66" s="10"/>
      <c r="AHD66" s="10"/>
      <c r="AHE66" s="10"/>
      <c r="AHF66" s="10"/>
      <c r="AHG66" s="10"/>
      <c r="AHH66" s="10"/>
      <c r="AHI66" s="10"/>
      <c r="AHJ66" s="10"/>
      <c r="AHK66" s="10"/>
      <c r="AHL66" s="10"/>
      <c r="AHM66" s="10"/>
      <c r="AHN66" s="10"/>
      <c r="AHO66" s="10"/>
      <c r="AHP66" s="10"/>
      <c r="AHQ66" s="10"/>
      <c r="AHR66" s="10"/>
      <c r="AHS66" s="10"/>
      <c r="AHT66" s="10"/>
      <c r="AHU66" s="10"/>
      <c r="AHV66" s="10"/>
      <c r="AHW66" s="10"/>
      <c r="AHX66" s="10"/>
      <c r="AHY66" s="10"/>
      <c r="AHZ66" s="10"/>
      <c r="AIA66" s="10"/>
      <c r="AIB66" s="10"/>
      <c r="AIC66" s="10"/>
      <c r="AID66" s="10"/>
      <c r="AIE66" s="10"/>
      <c r="AIF66" s="10"/>
      <c r="AIG66" s="10"/>
      <c r="AIH66" s="10"/>
      <c r="AII66" s="10"/>
      <c r="AIJ66" s="10"/>
      <c r="AIK66" s="10"/>
      <c r="AIL66" s="10"/>
      <c r="AIM66" s="10"/>
      <c r="AIN66" s="10"/>
      <c r="AIO66" s="10"/>
      <c r="AIP66" s="10"/>
      <c r="AIQ66" s="10"/>
      <c r="AIR66" s="10"/>
      <c r="AIS66" s="10"/>
      <c r="AIT66" s="10"/>
      <c r="AIU66" s="10"/>
      <c r="AIV66" s="10"/>
      <c r="AIW66" s="10"/>
      <c r="AIX66" s="10"/>
      <c r="AIY66" s="10"/>
      <c r="AIZ66" s="10"/>
      <c r="AJA66" s="10"/>
      <c r="AJB66" s="10"/>
      <c r="AJC66" s="10"/>
      <c r="AJD66" s="10"/>
      <c r="AJE66" s="10"/>
      <c r="AJF66" s="10"/>
      <c r="AJG66" s="10"/>
      <c r="AJH66" s="10"/>
      <c r="AJI66" s="10"/>
      <c r="AJJ66" s="10"/>
      <c r="AJK66" s="10"/>
      <c r="AJL66" s="10"/>
      <c r="AJM66" s="10"/>
      <c r="AJN66" s="10"/>
      <c r="AJO66" s="10"/>
      <c r="AJP66" s="10"/>
      <c r="AJQ66" s="10"/>
      <c r="AJR66" s="10"/>
      <c r="AJS66" s="10"/>
      <c r="AJT66" s="10"/>
      <c r="AJU66" s="10"/>
      <c r="AJV66" s="10"/>
      <c r="AJW66" s="10"/>
      <c r="AJX66" s="10"/>
      <c r="AJY66" s="10"/>
      <c r="AJZ66" s="10"/>
      <c r="AKA66" s="10"/>
      <c r="AKB66" s="10"/>
      <c r="AKC66" s="10"/>
      <c r="AKD66" s="10"/>
      <c r="AKE66" s="10"/>
      <c r="AKF66" s="10"/>
      <c r="AKG66" s="10"/>
      <c r="AKH66" s="10"/>
      <c r="AKI66" s="10"/>
      <c r="AKJ66" s="10"/>
      <c r="AKK66" s="10"/>
      <c r="AKL66" s="10"/>
      <c r="AKM66" s="10"/>
      <c r="AKN66" s="10"/>
      <c r="AKO66" s="10"/>
      <c r="AKP66" s="10"/>
      <c r="AKQ66" s="10"/>
      <c r="AKR66" s="10"/>
      <c r="AKS66" s="10"/>
      <c r="AKT66" s="10"/>
      <c r="AKU66" s="10"/>
      <c r="AKV66" s="10"/>
      <c r="AKW66" s="10"/>
      <c r="AKX66" s="10"/>
      <c r="AKY66" s="10"/>
      <c r="AKZ66" s="10"/>
      <c r="ALA66" s="10"/>
      <c r="ALB66" s="10"/>
      <c r="ALC66" s="10"/>
      <c r="ALD66" s="10"/>
      <c r="ALE66" s="10"/>
      <c r="ALF66" s="10"/>
      <c r="ALG66" s="10"/>
      <c r="ALH66" s="10"/>
      <c r="ALI66" s="10"/>
      <c r="ALJ66" s="10"/>
      <c r="ALK66" s="10"/>
      <c r="ALL66" s="10"/>
      <c r="ALM66" s="10"/>
      <c r="ALN66" s="10"/>
      <c r="ALO66" s="10"/>
      <c r="ALP66" s="10"/>
      <c r="ALQ66" s="10"/>
      <c r="ALR66" s="10"/>
      <c r="ALS66" s="10"/>
      <c r="ALT66" s="10"/>
      <c r="ALU66" s="10"/>
      <c r="ALV66" s="10"/>
      <c r="ALW66" s="10"/>
      <c r="ALX66" s="10"/>
      <c r="ALY66" s="10"/>
      <c r="ALZ66" s="10"/>
      <c r="AMA66" s="10"/>
      <c r="AMB66" s="10"/>
      <c r="AMC66" s="10"/>
      <c r="AMD66" s="10"/>
      <c r="AME66" s="10"/>
      <c r="AMF66" s="10"/>
      <c r="AMG66" s="10"/>
      <c r="AMH66" s="10"/>
      <c r="AMI66" s="10"/>
      <c r="AMJ66" s="10"/>
      <c r="AMK66" s="10"/>
      <c r="AML66" s="10"/>
      <c r="AMM66" s="10"/>
      <c r="AMN66" s="10"/>
      <c r="AMO66" s="10"/>
      <c r="AMP66" s="10"/>
      <c r="AMQ66" s="10"/>
      <c r="AMR66" s="10"/>
      <c r="AMS66" s="10"/>
      <c r="AMT66" s="10"/>
      <c r="AMU66" s="10"/>
      <c r="AMV66" s="10"/>
      <c r="AMW66" s="10"/>
      <c r="AMX66" s="10"/>
      <c r="AMY66" s="10"/>
      <c r="AMZ66" s="10"/>
      <c r="ANA66" s="10"/>
      <c r="ANB66" s="10"/>
      <c r="ANC66" s="10"/>
      <c r="AND66" s="10"/>
      <c r="ANE66" s="10"/>
      <c r="ANF66" s="10"/>
      <c r="ANG66" s="10"/>
      <c r="ANH66" s="10"/>
      <c r="ANI66" s="10"/>
      <c r="ANJ66" s="10"/>
      <c r="ANK66" s="10"/>
      <c r="ANL66" s="10"/>
      <c r="ANM66" s="10"/>
      <c r="ANN66" s="10"/>
      <c r="ANO66" s="10"/>
      <c r="ANP66" s="10"/>
      <c r="ANQ66" s="10"/>
      <c r="ANR66" s="10"/>
      <c r="ANS66" s="10"/>
      <c r="ANT66" s="10"/>
      <c r="ANU66" s="10"/>
      <c r="ANV66" s="10"/>
      <c r="ANW66" s="10"/>
      <c r="ANX66" s="10"/>
      <c r="ANY66" s="10"/>
      <c r="ANZ66" s="10"/>
      <c r="AOA66" s="10"/>
      <c r="AOB66" s="10"/>
      <c r="AOC66" s="10"/>
      <c r="AOD66" s="10"/>
      <c r="AOE66" s="10"/>
      <c r="AOF66" s="10"/>
      <c r="AOG66" s="10"/>
      <c r="AOH66" s="10"/>
      <c r="AOI66" s="10"/>
      <c r="AOJ66" s="10"/>
      <c r="AOK66" s="10"/>
      <c r="AOL66" s="10"/>
      <c r="AOM66" s="10"/>
      <c r="AON66" s="10"/>
      <c r="AOO66" s="10"/>
      <c r="AOP66" s="10"/>
      <c r="AOQ66" s="10"/>
      <c r="AOR66" s="10"/>
      <c r="AOS66" s="10"/>
      <c r="AOT66" s="10"/>
      <c r="AOU66" s="10"/>
      <c r="AOV66" s="10"/>
      <c r="AOW66" s="10"/>
      <c r="AOX66" s="10"/>
      <c r="AOY66" s="10"/>
      <c r="AOZ66" s="10"/>
      <c r="APA66" s="10"/>
      <c r="APB66" s="10"/>
      <c r="APC66" s="10"/>
      <c r="APD66" s="10"/>
      <c r="APE66" s="10"/>
      <c r="APF66" s="10"/>
      <c r="APG66" s="10"/>
      <c r="APH66" s="10"/>
      <c r="API66" s="10"/>
      <c r="APJ66" s="10"/>
      <c r="APK66" s="10"/>
      <c r="APL66" s="10"/>
      <c r="APM66" s="10"/>
      <c r="APN66" s="10"/>
      <c r="APO66" s="10"/>
      <c r="APP66" s="10"/>
      <c r="APQ66" s="10"/>
      <c r="APR66" s="10"/>
      <c r="APS66" s="10"/>
      <c r="APT66" s="10"/>
      <c r="APU66" s="10"/>
      <c r="APV66" s="10"/>
      <c r="APW66" s="10"/>
      <c r="APX66" s="10"/>
      <c r="APY66" s="10"/>
      <c r="APZ66" s="10"/>
      <c r="AQA66" s="10"/>
      <c r="AQB66" s="10"/>
      <c r="AQC66" s="10"/>
      <c r="AQD66" s="10"/>
      <c r="AQE66" s="10"/>
      <c r="AQF66" s="10"/>
      <c r="AQG66" s="10"/>
      <c r="AQH66" s="10"/>
      <c r="AQI66" s="10"/>
      <c r="AQJ66" s="10"/>
      <c r="AQK66" s="10"/>
      <c r="AQL66" s="10"/>
      <c r="AQM66" s="10"/>
      <c r="AQN66" s="10"/>
      <c r="AQO66" s="10"/>
      <c r="AQP66" s="10"/>
      <c r="AQQ66" s="10"/>
      <c r="AQR66" s="10"/>
      <c r="AQS66" s="10"/>
      <c r="AQT66" s="10"/>
      <c r="AQU66" s="10"/>
      <c r="AQV66" s="10"/>
      <c r="AQW66" s="10"/>
      <c r="AQX66" s="10"/>
      <c r="AQY66" s="10"/>
      <c r="AQZ66" s="10"/>
      <c r="ARA66" s="10"/>
      <c r="ARB66" s="10"/>
      <c r="ARC66" s="10"/>
      <c r="ARD66" s="10"/>
      <c r="ARE66" s="10"/>
      <c r="ARF66" s="10"/>
      <c r="ARG66" s="10"/>
      <c r="ARH66" s="10"/>
      <c r="ARI66" s="10"/>
      <c r="ARJ66" s="10"/>
      <c r="ARK66" s="10"/>
      <c r="ARL66" s="10"/>
      <c r="ARM66" s="10"/>
      <c r="ARN66" s="10"/>
      <c r="ARO66" s="10"/>
      <c r="ARP66" s="10"/>
      <c r="ARQ66" s="10"/>
      <c r="ARR66" s="10"/>
      <c r="ARS66" s="10"/>
      <c r="ART66" s="10"/>
      <c r="ARU66" s="10"/>
      <c r="ARV66" s="10"/>
      <c r="ARW66" s="10"/>
      <c r="ARX66" s="10"/>
      <c r="ARY66" s="10"/>
      <c r="ARZ66" s="10"/>
      <c r="ASA66" s="10"/>
      <c r="ASB66" s="10"/>
      <c r="ASC66" s="10"/>
      <c r="ASD66" s="10"/>
      <c r="ASE66" s="10"/>
      <c r="ASF66" s="10"/>
      <c r="ASG66" s="10"/>
      <c r="ASH66" s="10"/>
      <c r="ASI66" s="10"/>
      <c r="ASJ66" s="10"/>
      <c r="ASK66" s="10"/>
      <c r="ASL66" s="10"/>
      <c r="ASM66" s="10"/>
      <c r="ASN66" s="10"/>
      <c r="ASO66" s="10"/>
      <c r="ASP66" s="10"/>
      <c r="ASQ66" s="10"/>
      <c r="ASR66" s="10"/>
      <c r="ASS66" s="10"/>
      <c r="AST66" s="10"/>
      <c r="ASU66" s="10"/>
      <c r="ASV66" s="10"/>
      <c r="ASW66" s="10"/>
      <c r="ASX66" s="10"/>
      <c r="ASY66" s="10"/>
      <c r="ASZ66" s="10"/>
      <c r="ATA66" s="10"/>
      <c r="ATB66" s="10"/>
      <c r="ATC66" s="10"/>
      <c r="ATD66" s="10"/>
      <c r="ATE66" s="10"/>
      <c r="ATF66" s="10"/>
      <c r="ATG66" s="10"/>
      <c r="ATH66" s="10"/>
      <c r="ATI66" s="10"/>
      <c r="ATJ66" s="10"/>
      <c r="ATK66" s="10"/>
      <c r="ATL66" s="10"/>
      <c r="ATM66" s="10"/>
      <c r="ATN66" s="10"/>
      <c r="ATO66" s="10"/>
      <c r="ATP66" s="10"/>
      <c r="ATQ66" s="10"/>
      <c r="ATR66" s="10"/>
      <c r="ATS66" s="10"/>
      <c r="ATT66" s="10"/>
      <c r="ATU66" s="10"/>
      <c r="ATV66" s="10"/>
      <c r="ATW66" s="10"/>
      <c r="ATX66" s="10"/>
      <c r="ATY66" s="10"/>
      <c r="ATZ66" s="10"/>
      <c r="AUA66" s="10"/>
      <c r="AUB66" s="10"/>
      <c r="AUC66" s="10"/>
      <c r="AUD66" s="10"/>
      <c r="AUE66" s="10"/>
      <c r="AUF66" s="10"/>
      <c r="AUG66" s="10"/>
      <c r="AUH66" s="10"/>
      <c r="AUI66" s="10"/>
      <c r="AUJ66" s="10"/>
      <c r="AUK66" s="10"/>
      <c r="AUL66" s="10"/>
      <c r="AUM66" s="10"/>
      <c r="AUN66" s="10"/>
      <c r="AUO66" s="10"/>
      <c r="AUP66" s="10"/>
      <c r="AUQ66" s="10"/>
      <c r="AUR66" s="10"/>
      <c r="AUS66" s="10"/>
      <c r="AUT66" s="10"/>
      <c r="AUU66" s="10"/>
      <c r="AUV66" s="10"/>
      <c r="AUW66" s="10"/>
      <c r="AUX66" s="10"/>
      <c r="AUY66" s="10"/>
      <c r="AUZ66" s="10"/>
      <c r="AVA66" s="10"/>
      <c r="AVB66" s="10"/>
      <c r="AVC66" s="10"/>
      <c r="AVD66" s="10"/>
      <c r="AVE66" s="10"/>
      <c r="AVF66" s="10"/>
      <c r="AVG66" s="10"/>
      <c r="AVH66" s="10"/>
      <c r="AVI66" s="10"/>
      <c r="AVJ66" s="10"/>
      <c r="AVK66" s="10"/>
      <c r="AVL66" s="10"/>
      <c r="AVM66" s="10"/>
      <c r="AVN66" s="10"/>
      <c r="AVO66" s="10"/>
      <c r="AVP66" s="10"/>
      <c r="AVQ66" s="10"/>
      <c r="AVR66" s="10"/>
      <c r="AVS66" s="10"/>
      <c r="AVT66" s="10"/>
      <c r="AVU66" s="10"/>
      <c r="AVV66" s="10"/>
      <c r="AVW66" s="10"/>
      <c r="AVX66" s="10"/>
      <c r="AVY66" s="10"/>
      <c r="AVZ66" s="10"/>
      <c r="AWA66" s="10"/>
      <c r="AWB66" s="10"/>
      <c r="AWC66" s="10"/>
      <c r="AWD66" s="10"/>
      <c r="AWE66" s="10"/>
      <c r="AWF66" s="10"/>
      <c r="AWG66" s="10"/>
      <c r="AWH66" s="10"/>
      <c r="AWI66" s="10"/>
      <c r="AWJ66" s="10"/>
      <c r="AWK66" s="10"/>
      <c r="AWL66" s="10"/>
      <c r="AWM66" s="10"/>
      <c r="AWN66" s="10"/>
      <c r="AWO66" s="10"/>
      <c r="AWP66" s="10"/>
      <c r="AWQ66" s="10"/>
      <c r="AWR66" s="10"/>
      <c r="AWS66" s="10"/>
      <c r="AWT66" s="10"/>
      <c r="AWU66" s="10"/>
      <c r="AWV66" s="10"/>
      <c r="AWW66" s="10"/>
      <c r="AWX66" s="10"/>
      <c r="AWY66" s="10"/>
      <c r="AWZ66" s="10"/>
      <c r="AXA66" s="10"/>
      <c r="AXB66" s="10"/>
      <c r="AXC66" s="10"/>
      <c r="AXD66" s="10"/>
      <c r="AXE66" s="10"/>
      <c r="AXF66" s="10"/>
      <c r="AXG66" s="10"/>
      <c r="AXH66" s="10"/>
      <c r="AXI66" s="10"/>
      <c r="AXJ66" s="10"/>
      <c r="AXK66" s="10"/>
      <c r="AXL66" s="10"/>
      <c r="AXM66" s="10"/>
      <c r="AXN66" s="10"/>
      <c r="AXO66" s="10"/>
      <c r="AXP66" s="10"/>
      <c r="AXQ66" s="10"/>
      <c r="AXR66" s="10"/>
      <c r="AXS66" s="10"/>
      <c r="AXT66" s="10"/>
      <c r="AXU66" s="10"/>
      <c r="AXV66" s="10"/>
      <c r="AXW66" s="10"/>
      <c r="AXX66" s="10"/>
      <c r="AXY66" s="10"/>
      <c r="AXZ66" s="10"/>
      <c r="AYA66" s="10"/>
      <c r="AYB66" s="10"/>
      <c r="AYC66" s="10"/>
      <c r="AYD66" s="10"/>
      <c r="AYE66" s="10"/>
      <c r="AYF66" s="10"/>
      <c r="AYG66" s="10"/>
      <c r="AYH66" s="10"/>
      <c r="AYI66" s="10"/>
      <c r="AYJ66" s="10"/>
      <c r="AYK66" s="10"/>
      <c r="AYL66" s="10"/>
      <c r="AYM66" s="10"/>
      <c r="AYN66" s="10"/>
      <c r="AYO66" s="10"/>
      <c r="AYP66" s="10"/>
      <c r="AYQ66" s="10"/>
      <c r="AYR66" s="10"/>
      <c r="AYS66" s="10"/>
      <c r="AYT66" s="10"/>
      <c r="AYU66" s="10"/>
      <c r="AYV66" s="10"/>
      <c r="AYW66" s="10"/>
      <c r="AYX66" s="10"/>
      <c r="AYY66" s="10"/>
      <c r="AYZ66" s="10"/>
      <c r="AZA66" s="10"/>
      <c r="AZB66" s="10"/>
      <c r="AZC66" s="10"/>
      <c r="AZD66" s="10"/>
      <c r="AZE66" s="10"/>
      <c r="AZF66" s="10"/>
      <c r="AZG66" s="10"/>
      <c r="AZH66" s="10"/>
      <c r="AZI66" s="10"/>
      <c r="AZJ66" s="10"/>
      <c r="AZK66" s="10"/>
      <c r="AZL66" s="10"/>
      <c r="AZM66" s="10"/>
      <c r="AZN66" s="10"/>
      <c r="AZO66" s="10"/>
      <c r="AZP66" s="10"/>
      <c r="AZQ66" s="10"/>
      <c r="AZR66" s="10"/>
      <c r="AZS66" s="10"/>
      <c r="AZT66" s="10"/>
      <c r="AZU66" s="10"/>
      <c r="AZV66" s="10"/>
      <c r="AZW66" s="10"/>
      <c r="AZX66" s="10"/>
      <c r="AZY66" s="10"/>
      <c r="AZZ66" s="10"/>
      <c r="BAA66" s="10"/>
      <c r="BAB66" s="10"/>
      <c r="BAC66" s="10"/>
      <c r="BAD66" s="10"/>
      <c r="BAE66" s="10"/>
      <c r="BAF66" s="10"/>
      <c r="BAG66" s="10"/>
      <c r="BAH66" s="10"/>
      <c r="BAI66" s="10"/>
      <c r="BAJ66" s="10"/>
      <c r="BAK66" s="10"/>
      <c r="BAL66" s="10"/>
      <c r="BAM66" s="10"/>
      <c r="BAN66" s="10"/>
      <c r="BAO66" s="10"/>
      <c r="BAP66" s="10"/>
      <c r="BAQ66" s="10"/>
      <c r="BAR66" s="10"/>
      <c r="BAS66" s="10"/>
      <c r="BAT66" s="10"/>
      <c r="BAU66" s="10"/>
      <c r="BAV66" s="10"/>
      <c r="BAW66" s="10"/>
      <c r="BAX66" s="10"/>
      <c r="BAY66" s="10"/>
      <c r="BAZ66" s="10"/>
      <c r="BBA66" s="10"/>
      <c r="BBB66" s="10"/>
      <c r="BBC66" s="10"/>
      <c r="BBD66" s="10"/>
      <c r="BBE66" s="10"/>
      <c r="BBF66" s="10"/>
      <c r="BBG66" s="10"/>
      <c r="BBH66" s="10"/>
      <c r="BBI66" s="10"/>
      <c r="BBJ66" s="10"/>
      <c r="BBK66" s="10"/>
      <c r="BBL66" s="10"/>
      <c r="BBM66" s="10"/>
      <c r="BBN66" s="10"/>
      <c r="BBO66" s="10"/>
      <c r="BBP66" s="10"/>
      <c r="BBQ66" s="10"/>
      <c r="BBR66" s="10"/>
      <c r="BBS66" s="10"/>
      <c r="BBT66" s="10"/>
      <c r="BBU66" s="10"/>
      <c r="BBV66" s="10"/>
      <c r="BBW66" s="10"/>
      <c r="BBX66" s="10"/>
      <c r="BBY66" s="10"/>
      <c r="BBZ66" s="10"/>
      <c r="BCA66" s="10"/>
      <c r="BCB66" s="10"/>
      <c r="BCC66" s="10"/>
      <c r="BCD66" s="10"/>
      <c r="BCE66" s="10"/>
      <c r="BCF66" s="10"/>
      <c r="BCG66" s="10"/>
      <c r="BCH66" s="10"/>
      <c r="BCI66" s="10"/>
      <c r="BCJ66" s="10"/>
      <c r="BCK66" s="10"/>
      <c r="BCL66" s="10"/>
      <c r="BCM66" s="10"/>
      <c r="BCN66" s="10"/>
      <c r="BCO66" s="10"/>
      <c r="BCP66" s="10"/>
      <c r="BCQ66" s="10"/>
      <c r="BCR66" s="10"/>
      <c r="BCS66" s="10"/>
      <c r="BCT66" s="10"/>
      <c r="BCU66" s="10"/>
      <c r="BCV66" s="10"/>
      <c r="BCW66" s="10"/>
      <c r="BCX66" s="10"/>
      <c r="BCY66" s="10"/>
      <c r="BCZ66" s="10"/>
      <c r="BDA66" s="10"/>
      <c r="BDB66" s="10"/>
      <c r="BDC66" s="10"/>
      <c r="BDD66" s="10"/>
      <c r="BDE66" s="10"/>
      <c r="BDF66" s="10"/>
      <c r="BDG66" s="10"/>
      <c r="BDH66" s="10"/>
      <c r="BDI66" s="10"/>
      <c r="BDJ66" s="10"/>
      <c r="BDK66" s="10"/>
      <c r="BDL66" s="10"/>
      <c r="BDM66" s="10"/>
      <c r="BDN66" s="10"/>
      <c r="BDO66" s="10"/>
      <c r="BDP66" s="10"/>
      <c r="BDQ66" s="10"/>
      <c r="BDR66" s="10"/>
      <c r="BDS66" s="10"/>
      <c r="BDT66" s="10"/>
      <c r="BDU66" s="10"/>
      <c r="BDV66" s="10"/>
      <c r="BDW66" s="10"/>
      <c r="BDX66" s="10"/>
      <c r="BDY66" s="10"/>
      <c r="BDZ66" s="10"/>
      <c r="BEA66" s="10"/>
      <c r="BEB66" s="10"/>
      <c r="BEC66" s="10"/>
      <c r="BED66" s="10"/>
      <c r="BEE66" s="10"/>
      <c r="BEF66" s="10"/>
      <c r="BEG66" s="10"/>
      <c r="BEH66" s="10"/>
      <c r="BEI66" s="10"/>
      <c r="BEJ66" s="10"/>
      <c r="BEK66" s="10"/>
      <c r="BEL66" s="10"/>
      <c r="BEM66" s="10"/>
      <c r="BEN66" s="10"/>
      <c r="BEO66" s="10"/>
      <c r="BEP66" s="10"/>
      <c r="BEQ66" s="10"/>
      <c r="BER66" s="10"/>
      <c r="BES66" s="10"/>
      <c r="BET66" s="10"/>
      <c r="BEU66" s="10"/>
      <c r="BEV66" s="10"/>
      <c r="BEW66" s="10"/>
      <c r="BEX66" s="10"/>
      <c r="BEY66" s="10"/>
      <c r="BEZ66" s="10"/>
      <c r="BFA66" s="10"/>
      <c r="BFB66" s="10"/>
      <c r="BFC66" s="10"/>
      <c r="BFD66" s="10"/>
      <c r="BFE66" s="10"/>
      <c r="BFF66" s="10"/>
      <c r="BFG66" s="10"/>
      <c r="BFH66" s="10"/>
      <c r="BFI66" s="10"/>
      <c r="BFJ66" s="10"/>
      <c r="BFK66" s="10"/>
      <c r="BFL66" s="10"/>
      <c r="BFM66" s="10"/>
      <c r="BFN66" s="10"/>
      <c r="BFO66" s="10"/>
      <c r="BFP66" s="10"/>
      <c r="BFQ66" s="10"/>
      <c r="BFR66" s="10"/>
      <c r="BFS66" s="10"/>
      <c r="BFT66" s="10"/>
      <c r="BFU66" s="10"/>
      <c r="BFV66" s="10"/>
      <c r="BFW66" s="10"/>
      <c r="BFX66" s="10"/>
      <c r="BFY66" s="10"/>
      <c r="BFZ66" s="10"/>
      <c r="BGA66" s="10"/>
      <c r="BGB66" s="10"/>
      <c r="BGC66" s="10"/>
      <c r="BGD66" s="10"/>
      <c r="BGE66" s="10"/>
      <c r="BGF66" s="10"/>
      <c r="BGG66" s="10"/>
      <c r="BGH66" s="10"/>
      <c r="BGI66" s="10"/>
      <c r="BGJ66" s="10"/>
      <c r="BGK66" s="10"/>
      <c r="BGL66" s="10"/>
      <c r="BGM66" s="10"/>
      <c r="BGN66" s="10"/>
      <c r="BGO66" s="10"/>
      <c r="BGP66" s="10"/>
      <c r="BGQ66" s="10"/>
      <c r="BGR66" s="10"/>
      <c r="BGS66" s="10"/>
      <c r="BGT66" s="10"/>
      <c r="BGU66" s="10"/>
      <c r="BGV66" s="10"/>
      <c r="BGW66" s="10"/>
      <c r="BGX66" s="10"/>
      <c r="BGY66" s="10"/>
      <c r="BGZ66" s="10"/>
      <c r="BHA66" s="10"/>
      <c r="BHB66" s="10"/>
      <c r="BHC66" s="10"/>
      <c r="BHD66" s="10"/>
      <c r="BHE66" s="10"/>
      <c r="BHF66" s="10"/>
      <c r="BHG66" s="10"/>
      <c r="BHH66" s="10"/>
      <c r="BHI66" s="10"/>
      <c r="BHJ66" s="10"/>
      <c r="BHK66" s="10"/>
      <c r="BHL66" s="10"/>
      <c r="BHM66" s="10"/>
      <c r="BHN66" s="10"/>
      <c r="BHO66" s="10"/>
      <c r="BHP66" s="10"/>
      <c r="BHQ66" s="10"/>
      <c r="BHR66" s="10"/>
      <c r="BHS66" s="10"/>
      <c r="BHT66" s="10"/>
      <c r="BHU66" s="10"/>
      <c r="BHV66" s="10"/>
      <c r="BHW66" s="10"/>
      <c r="BHX66" s="10"/>
      <c r="BHY66" s="10"/>
      <c r="BHZ66" s="10"/>
      <c r="BIA66" s="10"/>
      <c r="BIB66" s="10"/>
      <c r="BIC66" s="10"/>
      <c r="BID66" s="10"/>
      <c r="BIE66" s="10"/>
      <c r="BIF66" s="10"/>
      <c r="BIG66" s="10"/>
      <c r="BIH66" s="10"/>
      <c r="BII66" s="10"/>
      <c r="BIJ66" s="10"/>
      <c r="BIK66" s="10"/>
      <c r="BIL66" s="10"/>
      <c r="BIM66" s="10"/>
      <c r="BIN66" s="10"/>
      <c r="BIO66" s="10"/>
      <c r="BIP66" s="10"/>
      <c r="BIQ66" s="10"/>
      <c r="BIR66" s="10"/>
      <c r="BIS66" s="10"/>
      <c r="BIT66" s="10"/>
      <c r="BIU66" s="10"/>
      <c r="BIV66" s="10"/>
      <c r="BIW66" s="10"/>
      <c r="BIX66" s="10"/>
      <c r="BIY66" s="10"/>
      <c r="BIZ66" s="10"/>
      <c r="BJA66" s="10"/>
      <c r="BJB66" s="10"/>
      <c r="BJC66" s="10"/>
      <c r="BJD66" s="10"/>
      <c r="BJE66" s="10"/>
      <c r="BJF66" s="10"/>
      <c r="BJG66" s="10"/>
      <c r="BJH66" s="10"/>
      <c r="BJI66" s="10"/>
      <c r="BJJ66" s="10"/>
      <c r="BJK66" s="10"/>
      <c r="BJL66" s="10"/>
      <c r="BJM66" s="10"/>
      <c r="BJN66" s="10"/>
      <c r="BJO66" s="10"/>
      <c r="BJP66" s="10"/>
      <c r="BJQ66" s="10"/>
      <c r="BJR66" s="10"/>
      <c r="BJS66" s="10"/>
      <c r="BJT66" s="10"/>
      <c r="BJU66" s="10"/>
      <c r="BJV66" s="10"/>
      <c r="BJW66" s="10"/>
      <c r="BJX66" s="10"/>
      <c r="BJY66" s="10"/>
      <c r="BJZ66" s="10"/>
      <c r="BKA66" s="10"/>
      <c r="BKB66" s="10"/>
      <c r="BKC66" s="10"/>
      <c r="BKD66" s="10"/>
      <c r="BKE66" s="10"/>
      <c r="BKF66" s="10"/>
      <c r="BKG66" s="10"/>
      <c r="BKH66" s="10"/>
      <c r="BKI66" s="10"/>
      <c r="BKJ66" s="10"/>
      <c r="BKK66" s="10"/>
      <c r="BKL66" s="10"/>
      <c r="BKM66" s="10"/>
      <c r="BKN66" s="10"/>
      <c r="BKO66" s="10"/>
      <c r="BKP66" s="10"/>
      <c r="BKQ66" s="10"/>
      <c r="BKR66" s="10"/>
      <c r="BKS66" s="10"/>
      <c r="BKT66" s="10"/>
      <c r="BKU66" s="10"/>
      <c r="BKV66" s="10"/>
      <c r="BKW66" s="10"/>
      <c r="BKX66" s="10"/>
      <c r="BKY66" s="10"/>
      <c r="BKZ66" s="10"/>
      <c r="BLA66" s="10"/>
      <c r="BLB66" s="10"/>
      <c r="BLC66" s="10"/>
      <c r="BLD66" s="10"/>
      <c r="BLE66" s="10"/>
      <c r="BLF66" s="10"/>
      <c r="BLG66" s="10"/>
      <c r="BLH66" s="10"/>
      <c r="BLI66" s="10"/>
      <c r="BLJ66" s="10"/>
      <c r="BLK66" s="10"/>
      <c r="BLL66" s="10"/>
      <c r="BLM66" s="10"/>
      <c r="BLN66" s="10"/>
      <c r="BLO66" s="10"/>
      <c r="BLP66" s="10"/>
      <c r="BLQ66" s="10"/>
      <c r="BLR66" s="10"/>
      <c r="BLS66" s="10"/>
      <c r="BLT66" s="10"/>
      <c r="BLU66" s="10"/>
      <c r="BLV66" s="10"/>
      <c r="BLW66" s="10"/>
      <c r="BLX66" s="10"/>
      <c r="BLY66" s="10"/>
      <c r="BLZ66" s="10"/>
      <c r="BMA66" s="10"/>
      <c r="BMB66" s="10"/>
      <c r="BMC66" s="10"/>
      <c r="BMD66" s="10"/>
      <c r="BME66" s="10"/>
      <c r="BMF66" s="10"/>
      <c r="BMG66" s="10"/>
      <c r="BMH66" s="10"/>
      <c r="BMI66" s="10"/>
      <c r="BMJ66" s="10"/>
      <c r="BMK66" s="10"/>
      <c r="BML66" s="10"/>
      <c r="BMM66" s="10"/>
      <c r="BMN66" s="10"/>
      <c r="BMO66" s="10"/>
      <c r="BMP66" s="10"/>
      <c r="BMQ66" s="10"/>
      <c r="BMR66" s="10"/>
      <c r="BMS66" s="10"/>
      <c r="BMT66" s="10"/>
      <c r="BMU66" s="10"/>
      <c r="BMV66" s="10"/>
      <c r="BMW66" s="10"/>
      <c r="BMX66" s="10"/>
      <c r="BMY66" s="10"/>
      <c r="BMZ66" s="10"/>
      <c r="BNA66" s="10"/>
      <c r="BNB66" s="10"/>
      <c r="BNC66" s="10"/>
      <c r="BND66" s="10"/>
      <c r="BNE66" s="10"/>
      <c r="BNF66" s="10"/>
      <c r="BNG66" s="10"/>
      <c r="BNH66" s="10"/>
      <c r="BNI66" s="10"/>
      <c r="BNJ66" s="10"/>
      <c r="BNK66" s="10"/>
      <c r="BNL66" s="10"/>
      <c r="BNM66" s="10"/>
      <c r="BNN66" s="10"/>
      <c r="BNO66" s="10"/>
      <c r="BNP66" s="10"/>
      <c r="BNQ66" s="10"/>
      <c r="BNR66" s="10"/>
      <c r="BNS66" s="10"/>
      <c r="BNT66" s="10"/>
      <c r="BNU66" s="10"/>
      <c r="BNV66" s="10"/>
      <c r="BNW66" s="10"/>
      <c r="BNX66" s="10"/>
      <c r="BNY66" s="10"/>
      <c r="BNZ66" s="10"/>
      <c r="BOA66" s="10"/>
      <c r="BOB66" s="10"/>
      <c r="BOC66" s="10"/>
      <c r="BOD66" s="10"/>
      <c r="BOE66" s="10"/>
      <c r="BOF66" s="10"/>
      <c r="BOG66" s="10"/>
      <c r="BOH66" s="10"/>
      <c r="BOI66" s="10"/>
      <c r="BOJ66" s="10"/>
      <c r="BOK66" s="10"/>
      <c r="BOL66" s="10"/>
      <c r="BOM66" s="10"/>
      <c r="BON66" s="10"/>
      <c r="BOO66" s="10"/>
      <c r="BOP66" s="10"/>
      <c r="BOQ66" s="10"/>
      <c r="BOR66" s="10"/>
      <c r="BOS66" s="10"/>
      <c r="BOT66" s="10"/>
      <c r="BOU66" s="10"/>
      <c r="BOV66" s="10"/>
      <c r="BOW66" s="10"/>
      <c r="BOX66" s="10"/>
      <c r="BOY66" s="10"/>
      <c r="BOZ66" s="10"/>
      <c r="BPA66" s="10"/>
      <c r="BPB66" s="10"/>
      <c r="BPC66" s="10"/>
      <c r="BPD66" s="10"/>
      <c r="BPE66" s="10"/>
      <c r="BPF66" s="10"/>
      <c r="BPG66" s="10"/>
      <c r="BPH66" s="10"/>
      <c r="BPI66" s="10"/>
      <c r="BPJ66" s="10"/>
      <c r="BPK66" s="10"/>
      <c r="BPL66" s="10"/>
      <c r="BPM66" s="10"/>
      <c r="BPN66" s="10"/>
      <c r="BPO66" s="10"/>
      <c r="BPP66" s="10"/>
      <c r="BPQ66" s="10"/>
      <c r="BPR66" s="10"/>
      <c r="BPS66" s="10"/>
      <c r="BPT66" s="10"/>
      <c r="BPU66" s="10"/>
      <c r="BPV66" s="10"/>
      <c r="BPW66" s="10"/>
      <c r="BPX66" s="10"/>
      <c r="BPY66" s="10"/>
      <c r="BPZ66" s="10"/>
      <c r="BQA66" s="10"/>
      <c r="BQB66" s="10"/>
      <c r="BQC66" s="10"/>
      <c r="BQD66" s="10"/>
      <c r="BQE66" s="10"/>
      <c r="BQF66" s="10"/>
      <c r="BQG66" s="10"/>
      <c r="BQH66" s="10"/>
      <c r="BQI66" s="10"/>
      <c r="BQJ66" s="10"/>
      <c r="BQK66" s="10"/>
      <c r="BQL66" s="10"/>
      <c r="BQM66" s="10"/>
      <c r="BQN66" s="10"/>
      <c r="BQO66" s="10"/>
      <c r="BQP66" s="10"/>
      <c r="BQQ66" s="10"/>
      <c r="BQR66" s="10"/>
      <c r="BQS66" s="10"/>
      <c r="BQT66" s="10"/>
      <c r="BQU66" s="10"/>
      <c r="BQV66" s="10"/>
      <c r="BQW66" s="10"/>
      <c r="BQX66" s="10"/>
      <c r="BQY66" s="10"/>
      <c r="BQZ66" s="10"/>
      <c r="BRA66" s="10"/>
      <c r="BRB66" s="10"/>
      <c r="BRC66" s="10"/>
      <c r="BRD66" s="10"/>
      <c r="BRE66" s="10"/>
      <c r="BRF66" s="10"/>
      <c r="BRG66" s="10"/>
      <c r="BRH66" s="10"/>
      <c r="BRI66" s="10"/>
      <c r="BRJ66" s="10"/>
      <c r="BRK66" s="10"/>
      <c r="BRL66" s="10"/>
      <c r="BRM66" s="10"/>
      <c r="BRN66" s="10"/>
      <c r="BRO66" s="10"/>
      <c r="BRP66" s="10"/>
      <c r="BRQ66" s="10"/>
      <c r="BRR66" s="10"/>
      <c r="BRS66" s="10"/>
      <c r="BRT66" s="10"/>
      <c r="BRU66" s="10"/>
      <c r="BRV66" s="10"/>
      <c r="BRW66" s="10"/>
      <c r="BRX66" s="10"/>
      <c r="BRY66" s="10"/>
      <c r="BRZ66" s="10"/>
      <c r="BSA66" s="10"/>
      <c r="BSB66" s="10"/>
      <c r="BSC66" s="10"/>
      <c r="BSD66" s="10"/>
      <c r="BSE66" s="10"/>
      <c r="BSF66" s="10"/>
      <c r="BSG66" s="10"/>
      <c r="BSH66" s="10"/>
      <c r="BSI66" s="10"/>
      <c r="BSJ66" s="10"/>
      <c r="BSK66" s="10"/>
      <c r="BSL66" s="10"/>
      <c r="BSM66" s="10"/>
      <c r="BSN66" s="10"/>
      <c r="BSO66" s="10"/>
      <c r="BSP66" s="10"/>
      <c r="BSQ66" s="10"/>
      <c r="BSR66" s="10"/>
      <c r="BSS66" s="10"/>
      <c r="BST66" s="10"/>
      <c r="BSU66" s="10"/>
      <c r="BSV66" s="10"/>
      <c r="BSW66" s="10"/>
      <c r="BSX66" s="10"/>
      <c r="BSY66" s="10"/>
      <c r="BSZ66" s="10"/>
      <c r="BTA66" s="10"/>
      <c r="BTB66" s="10"/>
      <c r="BTC66" s="10"/>
      <c r="BTD66" s="10"/>
      <c r="BTE66" s="10"/>
      <c r="BTF66" s="10"/>
      <c r="BTG66" s="10"/>
      <c r="BTH66" s="10"/>
      <c r="BTI66" s="10"/>
      <c r="BTJ66" s="10"/>
      <c r="BTK66" s="10"/>
      <c r="BTL66" s="10"/>
      <c r="BTM66" s="10"/>
      <c r="BTN66" s="10"/>
      <c r="BTO66" s="10"/>
      <c r="BTP66" s="10"/>
      <c r="BTQ66" s="10"/>
      <c r="BTR66" s="10"/>
      <c r="BTS66" s="10"/>
      <c r="BTT66" s="10"/>
      <c r="BTU66" s="10"/>
      <c r="BTV66" s="10"/>
      <c r="BTW66" s="10"/>
      <c r="BTX66" s="10"/>
      <c r="BTY66" s="10"/>
      <c r="BTZ66" s="10"/>
      <c r="BUA66" s="10"/>
      <c r="BUB66" s="10"/>
      <c r="BUC66" s="10"/>
      <c r="BUD66" s="10"/>
      <c r="BUE66" s="10"/>
      <c r="BUF66" s="10"/>
      <c r="BUG66" s="10"/>
      <c r="BUH66" s="10"/>
      <c r="BUI66" s="10"/>
      <c r="BUJ66" s="10"/>
      <c r="BUK66" s="10"/>
      <c r="BUL66" s="10"/>
      <c r="BUM66" s="10"/>
      <c r="BUN66" s="10"/>
      <c r="BUO66" s="10"/>
      <c r="BUP66" s="10"/>
      <c r="BUQ66" s="10"/>
      <c r="BUR66" s="10"/>
      <c r="BUS66" s="10"/>
      <c r="BUT66" s="10"/>
      <c r="BUU66" s="10"/>
      <c r="BUV66" s="10"/>
      <c r="BUW66" s="10"/>
      <c r="BUX66" s="10"/>
      <c r="BUY66" s="10"/>
      <c r="BUZ66" s="10"/>
      <c r="BVA66" s="10"/>
      <c r="BVB66" s="10"/>
      <c r="BVC66" s="10"/>
      <c r="BVD66" s="10"/>
      <c r="BVE66" s="10"/>
      <c r="BVF66" s="10"/>
      <c r="BVG66" s="10"/>
      <c r="BVH66" s="10"/>
      <c r="BVI66" s="10"/>
      <c r="BVJ66" s="10"/>
      <c r="BVK66" s="10"/>
      <c r="BVL66" s="10"/>
      <c r="BVM66" s="10"/>
      <c r="BVN66" s="10"/>
      <c r="BVO66" s="10"/>
      <c r="BVP66" s="10"/>
      <c r="BVQ66" s="10"/>
      <c r="BVR66" s="10"/>
      <c r="BVS66" s="10"/>
      <c r="BVT66" s="10"/>
      <c r="BVU66" s="10"/>
      <c r="BVV66" s="10"/>
      <c r="BVW66" s="10"/>
      <c r="BVX66" s="10"/>
      <c r="BVY66" s="10"/>
      <c r="BVZ66" s="10"/>
      <c r="BWA66" s="10"/>
      <c r="BWB66" s="10"/>
      <c r="BWC66" s="10"/>
      <c r="BWD66" s="10"/>
      <c r="BWE66" s="10"/>
      <c r="BWF66" s="10"/>
      <c r="BWG66" s="10"/>
      <c r="BWH66" s="10"/>
      <c r="BWI66" s="10"/>
      <c r="BWJ66" s="10"/>
      <c r="BWK66" s="10"/>
      <c r="BWL66" s="10"/>
      <c r="BWM66" s="10"/>
      <c r="BWN66" s="10"/>
      <c r="BWO66" s="10"/>
      <c r="BWP66" s="10"/>
      <c r="BWQ66" s="10"/>
      <c r="BWR66" s="10"/>
      <c r="BWS66" s="10"/>
      <c r="BWT66" s="10"/>
      <c r="BWU66" s="10"/>
      <c r="BWV66" s="10"/>
      <c r="BWW66" s="10"/>
      <c r="BWX66" s="10"/>
      <c r="BWY66" s="10"/>
      <c r="BWZ66" s="10"/>
      <c r="BXA66" s="10"/>
      <c r="BXB66" s="10"/>
      <c r="BXC66" s="10"/>
      <c r="BXD66" s="10"/>
      <c r="BXE66" s="10"/>
      <c r="BXF66" s="10"/>
      <c r="BXG66" s="10"/>
      <c r="BXH66" s="10"/>
      <c r="BXI66" s="10"/>
      <c r="BXJ66" s="10"/>
      <c r="BXK66" s="10"/>
      <c r="BXL66" s="10"/>
      <c r="BXM66" s="10"/>
      <c r="BXN66" s="10"/>
      <c r="BXO66" s="10"/>
      <c r="BXP66" s="10"/>
      <c r="BXQ66" s="10"/>
      <c r="BXR66" s="10"/>
      <c r="BXS66" s="10"/>
      <c r="BXT66" s="10"/>
      <c r="BXU66" s="10"/>
      <c r="BXV66" s="10"/>
      <c r="BXW66" s="10"/>
      <c r="BXX66" s="10"/>
      <c r="BXY66" s="10"/>
      <c r="BXZ66" s="10"/>
      <c r="BYA66" s="10"/>
      <c r="BYB66" s="10"/>
      <c r="BYC66" s="10"/>
      <c r="BYD66" s="10"/>
      <c r="BYE66" s="10"/>
      <c r="BYF66" s="10"/>
      <c r="BYG66" s="10"/>
      <c r="BYH66" s="10"/>
      <c r="BYI66" s="10"/>
      <c r="BYJ66" s="10"/>
      <c r="BYK66" s="10"/>
      <c r="BYL66" s="10"/>
      <c r="BYM66" s="10"/>
      <c r="BYN66" s="10"/>
      <c r="BYO66" s="10"/>
      <c r="BYP66" s="10"/>
      <c r="BYQ66" s="10"/>
      <c r="BYR66" s="10"/>
      <c r="BYS66" s="10"/>
      <c r="BYT66" s="10"/>
      <c r="BYU66" s="10"/>
      <c r="BYV66" s="10"/>
      <c r="BYW66" s="10"/>
      <c r="BYX66" s="10"/>
      <c r="BYY66" s="10"/>
      <c r="BYZ66" s="10"/>
      <c r="BZA66" s="10"/>
      <c r="BZB66" s="10"/>
      <c r="BZC66" s="10"/>
      <c r="BZD66" s="10"/>
      <c r="BZE66" s="10"/>
      <c r="BZF66" s="10"/>
      <c r="BZG66" s="10"/>
      <c r="BZH66" s="10"/>
      <c r="BZI66" s="10"/>
      <c r="BZJ66" s="10"/>
      <c r="BZK66" s="10"/>
      <c r="BZL66" s="10"/>
      <c r="BZM66" s="10"/>
      <c r="BZN66" s="10"/>
      <c r="BZO66" s="10"/>
      <c r="BZP66" s="10"/>
      <c r="BZQ66" s="10"/>
      <c r="BZR66" s="10"/>
      <c r="BZS66" s="10"/>
      <c r="BZT66" s="10"/>
      <c r="BZU66" s="10"/>
      <c r="BZV66" s="10"/>
      <c r="BZW66" s="10"/>
      <c r="BZX66" s="10"/>
      <c r="BZY66" s="10"/>
      <c r="BZZ66" s="10"/>
      <c r="CAA66" s="10"/>
      <c r="CAB66" s="10"/>
      <c r="CAC66" s="10"/>
      <c r="CAD66" s="10"/>
      <c r="CAE66" s="10"/>
      <c r="CAF66" s="10"/>
      <c r="CAG66" s="10"/>
      <c r="CAH66" s="10"/>
      <c r="CAI66" s="10"/>
      <c r="CAJ66" s="10"/>
      <c r="CAK66" s="10"/>
      <c r="CAL66" s="10"/>
      <c r="CAM66" s="10"/>
      <c r="CAN66" s="10"/>
      <c r="CAO66" s="10"/>
      <c r="CAP66" s="10"/>
      <c r="CAQ66" s="10"/>
      <c r="CAR66" s="10"/>
      <c r="CAS66" s="10"/>
      <c r="CAT66" s="10"/>
      <c r="CAU66" s="10"/>
      <c r="CAV66" s="10"/>
      <c r="CAW66" s="10"/>
      <c r="CAX66" s="10"/>
      <c r="CAY66" s="10"/>
      <c r="CAZ66" s="10"/>
      <c r="CBA66" s="10"/>
      <c r="CBB66" s="10"/>
      <c r="CBC66" s="10"/>
      <c r="CBD66" s="10"/>
      <c r="CBE66" s="10"/>
      <c r="CBF66" s="10"/>
      <c r="CBG66" s="10"/>
      <c r="CBH66" s="10"/>
      <c r="CBI66" s="10"/>
      <c r="CBJ66" s="10"/>
      <c r="CBK66" s="10"/>
      <c r="CBL66" s="10"/>
      <c r="CBM66" s="10"/>
      <c r="CBN66" s="10"/>
      <c r="CBO66" s="10"/>
      <c r="CBP66" s="10"/>
      <c r="CBQ66" s="10"/>
      <c r="CBR66" s="10"/>
      <c r="CBS66" s="10"/>
      <c r="CBT66" s="10"/>
      <c r="CBU66" s="10"/>
      <c r="CBV66" s="10"/>
      <c r="CBW66" s="10"/>
      <c r="CBX66" s="10"/>
      <c r="CBY66" s="10"/>
      <c r="CBZ66" s="10"/>
      <c r="CCA66" s="10"/>
      <c r="CCB66" s="10"/>
      <c r="CCC66" s="10"/>
      <c r="CCD66" s="10"/>
      <c r="CCE66" s="10"/>
      <c r="CCF66" s="10"/>
      <c r="CCG66" s="10"/>
      <c r="CCH66" s="10"/>
      <c r="CCI66" s="10"/>
      <c r="CCJ66" s="10"/>
      <c r="CCK66" s="10"/>
      <c r="CCL66" s="10"/>
      <c r="CCM66" s="10"/>
      <c r="CCN66" s="10"/>
      <c r="CCO66" s="10"/>
      <c r="CCP66" s="10"/>
      <c r="CCQ66" s="10"/>
      <c r="CCR66" s="10"/>
      <c r="CCS66" s="10"/>
      <c r="CCT66" s="10"/>
      <c r="CCU66" s="10"/>
      <c r="CCV66" s="10"/>
      <c r="CCW66" s="10"/>
      <c r="CCX66" s="10"/>
      <c r="CCY66" s="10"/>
      <c r="CCZ66" s="10"/>
      <c r="CDA66" s="10"/>
      <c r="CDB66" s="10"/>
      <c r="CDC66" s="10"/>
      <c r="CDD66" s="10"/>
      <c r="CDE66" s="10"/>
      <c r="CDF66" s="10"/>
      <c r="CDG66" s="10"/>
      <c r="CDH66" s="10"/>
      <c r="CDI66" s="10"/>
      <c r="CDJ66" s="10"/>
      <c r="CDK66" s="10"/>
      <c r="CDL66" s="10"/>
      <c r="CDM66" s="10"/>
      <c r="CDN66" s="10"/>
      <c r="CDO66" s="10"/>
      <c r="CDP66" s="10"/>
      <c r="CDQ66" s="10"/>
      <c r="CDR66" s="10"/>
      <c r="CDS66" s="10"/>
      <c r="CDT66" s="10"/>
      <c r="CDU66" s="10"/>
      <c r="CDV66" s="10"/>
      <c r="CDW66" s="10"/>
      <c r="CDX66" s="10"/>
      <c r="CDY66" s="10"/>
      <c r="CDZ66" s="10"/>
      <c r="CEA66" s="10"/>
      <c r="CEB66" s="10"/>
      <c r="CEC66" s="10"/>
      <c r="CED66" s="10"/>
      <c r="CEE66" s="10"/>
      <c r="CEF66" s="10"/>
      <c r="CEG66" s="10"/>
      <c r="CEH66" s="10"/>
      <c r="CEI66" s="10"/>
      <c r="CEJ66" s="10"/>
      <c r="CEK66" s="10"/>
      <c r="CEL66" s="10"/>
      <c r="CEM66" s="10"/>
      <c r="CEN66" s="10"/>
      <c r="CEO66" s="10"/>
      <c r="CEP66" s="10"/>
      <c r="CEQ66" s="10"/>
      <c r="CER66" s="10"/>
      <c r="CES66" s="10"/>
      <c r="CET66" s="10"/>
      <c r="CEU66" s="10"/>
      <c r="CEV66" s="10"/>
      <c r="CEW66" s="10"/>
      <c r="CEX66" s="10"/>
      <c r="CEY66" s="10"/>
      <c r="CEZ66" s="10"/>
      <c r="CFA66" s="10"/>
      <c r="CFB66" s="10"/>
      <c r="CFC66" s="10"/>
      <c r="CFD66" s="10"/>
      <c r="CFE66" s="10"/>
      <c r="CFF66" s="10"/>
      <c r="CFG66" s="10"/>
      <c r="CFH66" s="10"/>
      <c r="CFI66" s="10"/>
      <c r="CFJ66" s="10"/>
      <c r="CFK66" s="10"/>
      <c r="CFL66" s="10"/>
      <c r="CFM66" s="10"/>
      <c r="CFN66" s="10"/>
      <c r="CFO66" s="10"/>
      <c r="CFP66" s="10"/>
      <c r="CFQ66" s="10"/>
      <c r="CFR66" s="10"/>
      <c r="CFS66" s="10"/>
      <c r="CFT66" s="10"/>
      <c r="CFU66" s="10"/>
      <c r="CFV66" s="10"/>
      <c r="CFW66" s="10"/>
      <c r="CFX66" s="10"/>
      <c r="CFY66" s="10"/>
      <c r="CFZ66" s="10"/>
      <c r="CGA66" s="10"/>
      <c r="CGB66" s="10"/>
      <c r="CGC66" s="10"/>
      <c r="CGD66" s="10"/>
      <c r="CGE66" s="10"/>
      <c r="CGF66" s="10"/>
      <c r="CGG66" s="10"/>
      <c r="CGH66" s="10"/>
      <c r="CGI66" s="10"/>
      <c r="CGJ66" s="10"/>
      <c r="CGK66" s="10"/>
      <c r="CGL66" s="10"/>
      <c r="CGM66" s="10"/>
      <c r="CGN66" s="10"/>
      <c r="CGO66" s="10"/>
      <c r="CGP66" s="10"/>
      <c r="CGQ66" s="10"/>
      <c r="CGR66" s="10"/>
      <c r="CGS66" s="10"/>
      <c r="CGT66" s="10"/>
      <c r="CGU66" s="10"/>
      <c r="CGV66" s="10"/>
      <c r="CGW66" s="10"/>
      <c r="CGX66" s="10"/>
      <c r="CGY66" s="10"/>
      <c r="CGZ66" s="10"/>
      <c r="CHA66" s="10"/>
      <c r="CHB66" s="10"/>
      <c r="CHC66" s="10"/>
      <c r="CHD66" s="10"/>
      <c r="CHE66" s="10"/>
      <c r="CHF66" s="10"/>
      <c r="CHG66" s="10"/>
      <c r="CHH66" s="10"/>
      <c r="CHI66" s="10"/>
      <c r="CHJ66" s="10"/>
      <c r="CHK66" s="10"/>
      <c r="CHL66" s="10"/>
      <c r="CHM66" s="10"/>
      <c r="CHN66" s="10"/>
      <c r="CHO66" s="10"/>
      <c r="CHP66" s="10"/>
      <c r="CHQ66" s="10"/>
      <c r="CHR66" s="10"/>
      <c r="CHS66" s="10"/>
      <c r="CHT66" s="10"/>
      <c r="CHU66" s="10"/>
      <c r="CHV66" s="10"/>
      <c r="CHW66" s="10"/>
      <c r="CHX66" s="10"/>
      <c r="CHY66" s="10"/>
      <c r="CHZ66" s="10"/>
      <c r="CIA66" s="10"/>
      <c r="CIB66" s="10"/>
      <c r="CIC66" s="10"/>
      <c r="CID66" s="10"/>
      <c r="CIE66" s="10"/>
      <c r="CIF66" s="10"/>
      <c r="CIG66" s="10"/>
      <c r="CIH66" s="10"/>
      <c r="CII66" s="10"/>
      <c r="CIJ66" s="10"/>
      <c r="CIK66" s="10"/>
      <c r="CIL66" s="10"/>
      <c r="CIM66" s="10"/>
      <c r="CIN66" s="10"/>
      <c r="CIO66" s="10"/>
      <c r="CIP66" s="10"/>
      <c r="CIQ66" s="10"/>
      <c r="CIR66" s="10"/>
      <c r="CIS66" s="10"/>
      <c r="CIT66" s="10"/>
      <c r="CIU66" s="10"/>
      <c r="CIV66" s="10"/>
      <c r="CIW66" s="10"/>
      <c r="CIX66" s="10"/>
      <c r="CIY66" s="10"/>
      <c r="CIZ66" s="10"/>
      <c r="CJA66" s="10"/>
      <c r="CJB66" s="10"/>
      <c r="CJC66" s="10"/>
      <c r="CJD66" s="10"/>
      <c r="CJE66" s="10"/>
      <c r="CJF66" s="10"/>
      <c r="CJG66" s="10"/>
      <c r="CJH66" s="10"/>
      <c r="CJI66" s="10"/>
      <c r="CJJ66" s="10"/>
      <c r="CJK66" s="10"/>
      <c r="CJL66" s="10"/>
      <c r="CJM66" s="10"/>
      <c r="CJN66" s="10"/>
      <c r="CJO66" s="10"/>
      <c r="CJP66" s="10"/>
      <c r="CJQ66" s="10"/>
      <c r="CJR66" s="10"/>
      <c r="CJS66" s="10"/>
      <c r="CJT66" s="10"/>
      <c r="CJU66" s="10"/>
      <c r="CJV66" s="10"/>
      <c r="CJW66" s="10"/>
      <c r="CJX66" s="10"/>
      <c r="CJY66" s="10"/>
      <c r="CJZ66" s="10"/>
      <c r="CKA66" s="10"/>
      <c r="CKB66" s="10"/>
      <c r="CKC66" s="10"/>
      <c r="CKD66" s="10"/>
      <c r="CKE66" s="10"/>
      <c r="CKF66" s="10"/>
      <c r="CKG66" s="10"/>
      <c r="CKH66" s="10"/>
      <c r="CKI66" s="10"/>
      <c r="CKJ66" s="10"/>
      <c r="CKK66" s="10"/>
      <c r="CKL66" s="10"/>
      <c r="CKM66" s="10"/>
      <c r="CKN66" s="10"/>
      <c r="CKO66" s="10"/>
      <c r="CKP66" s="10"/>
      <c r="CKQ66" s="10"/>
      <c r="CKR66" s="10"/>
      <c r="CKS66" s="10"/>
      <c r="CKT66" s="10"/>
      <c r="CKU66" s="10"/>
      <c r="CKV66" s="10"/>
      <c r="CKW66" s="10"/>
      <c r="CKX66" s="10"/>
      <c r="CKY66" s="10"/>
      <c r="CKZ66" s="10"/>
      <c r="CLA66" s="10"/>
      <c r="CLB66" s="10"/>
      <c r="CLC66" s="10"/>
      <c r="CLD66" s="10"/>
      <c r="CLE66" s="10"/>
      <c r="CLF66" s="10"/>
      <c r="CLG66" s="10"/>
      <c r="CLH66" s="10"/>
      <c r="CLI66" s="10"/>
      <c r="CLJ66" s="10"/>
      <c r="CLK66" s="10"/>
      <c r="CLL66" s="10"/>
      <c r="CLM66" s="10"/>
      <c r="CLN66" s="10"/>
      <c r="CLO66" s="10"/>
      <c r="CLP66" s="10"/>
      <c r="CLQ66" s="10"/>
      <c r="CLR66" s="10"/>
      <c r="CLS66" s="10"/>
      <c r="CLT66" s="10"/>
      <c r="CLU66" s="10"/>
      <c r="CLV66" s="10"/>
      <c r="CLW66" s="10"/>
      <c r="CLX66" s="10"/>
      <c r="CLY66" s="10"/>
      <c r="CLZ66" s="10"/>
      <c r="CMA66" s="10"/>
      <c r="CMB66" s="10"/>
      <c r="CMC66" s="10"/>
      <c r="CMD66" s="10"/>
      <c r="CME66" s="10"/>
      <c r="CMF66" s="10"/>
      <c r="CMG66" s="10"/>
      <c r="CMH66" s="10"/>
      <c r="CMI66" s="10"/>
      <c r="CMJ66" s="10"/>
      <c r="CMK66" s="10"/>
      <c r="CML66" s="10"/>
      <c r="CMM66" s="10"/>
      <c r="CMN66" s="10"/>
      <c r="CMO66" s="10"/>
      <c r="CMP66" s="10"/>
      <c r="CMQ66" s="10"/>
      <c r="CMR66" s="10"/>
      <c r="CMS66" s="10"/>
      <c r="CMT66" s="10"/>
      <c r="CMU66" s="10"/>
      <c r="CMV66" s="10"/>
      <c r="CMW66" s="10"/>
      <c r="CMX66" s="10"/>
      <c r="CMY66" s="10"/>
      <c r="CMZ66" s="10"/>
      <c r="CNA66" s="10"/>
      <c r="CNB66" s="10"/>
      <c r="CNC66" s="10"/>
      <c r="CND66" s="10"/>
      <c r="CNE66" s="10"/>
      <c r="CNF66" s="10"/>
      <c r="CNG66" s="10"/>
      <c r="CNH66" s="10"/>
      <c r="CNI66" s="10"/>
      <c r="CNJ66" s="10"/>
      <c r="CNK66" s="10"/>
      <c r="CNL66" s="10"/>
      <c r="CNM66" s="10"/>
      <c r="CNN66" s="10"/>
      <c r="CNO66" s="10"/>
      <c r="CNP66" s="10"/>
      <c r="CNQ66" s="10"/>
      <c r="CNR66" s="10"/>
      <c r="CNS66" s="10"/>
      <c r="CNT66" s="10"/>
      <c r="CNU66" s="10"/>
      <c r="CNV66" s="10"/>
      <c r="CNW66" s="10"/>
      <c r="CNX66" s="10"/>
      <c r="CNY66" s="10"/>
      <c r="CNZ66" s="10"/>
      <c r="COA66" s="10"/>
      <c r="COB66" s="10"/>
      <c r="COC66" s="10"/>
      <c r="COD66" s="10"/>
      <c r="COE66" s="10"/>
      <c r="COF66" s="10"/>
      <c r="COG66" s="10"/>
      <c r="COH66" s="10"/>
      <c r="COI66" s="10"/>
      <c r="COJ66" s="10"/>
      <c r="COK66" s="10"/>
      <c r="COL66" s="10"/>
      <c r="COM66" s="10"/>
      <c r="CON66" s="10"/>
      <c r="COO66" s="10"/>
      <c r="COP66" s="10"/>
      <c r="COQ66" s="10"/>
      <c r="COR66" s="10"/>
      <c r="COS66" s="10"/>
      <c r="COT66" s="10"/>
      <c r="COU66" s="10"/>
      <c r="COV66" s="10"/>
      <c r="COW66" s="10"/>
      <c r="COX66" s="10"/>
      <c r="COY66" s="10"/>
      <c r="COZ66" s="10"/>
      <c r="CPA66" s="10"/>
      <c r="CPB66" s="10"/>
      <c r="CPC66" s="10"/>
      <c r="CPD66" s="10"/>
      <c r="CPE66" s="10"/>
      <c r="CPF66" s="10"/>
      <c r="CPG66" s="10"/>
      <c r="CPH66" s="10"/>
      <c r="CPI66" s="10"/>
      <c r="CPJ66" s="10"/>
      <c r="CPK66" s="10"/>
      <c r="CPL66" s="10"/>
      <c r="CPM66" s="10"/>
      <c r="CPN66" s="10"/>
      <c r="CPO66" s="10"/>
      <c r="CPP66" s="10"/>
      <c r="CPQ66" s="10"/>
      <c r="CPR66" s="10"/>
      <c r="CPS66" s="10"/>
      <c r="CPT66" s="10"/>
      <c r="CPU66" s="10"/>
      <c r="CPV66" s="10"/>
      <c r="CPW66" s="10"/>
      <c r="CPX66" s="10"/>
      <c r="CPY66" s="10"/>
      <c r="CPZ66" s="10"/>
      <c r="CQA66" s="10"/>
      <c r="CQB66" s="10"/>
      <c r="CQC66" s="10"/>
      <c r="CQD66" s="10"/>
      <c r="CQE66" s="10"/>
      <c r="CQF66" s="10"/>
      <c r="CQG66" s="10"/>
      <c r="CQH66" s="10"/>
      <c r="CQI66" s="10"/>
      <c r="CQJ66" s="10"/>
      <c r="CQK66" s="10"/>
      <c r="CQL66" s="10"/>
      <c r="CQM66" s="10"/>
      <c r="CQN66" s="10"/>
      <c r="CQO66" s="10"/>
      <c r="CQP66" s="10"/>
      <c r="CQQ66" s="10"/>
      <c r="CQR66" s="10"/>
      <c r="CQS66" s="10"/>
      <c r="CQT66" s="10"/>
      <c r="CQU66" s="10"/>
      <c r="CQV66" s="10"/>
      <c r="CQW66" s="10"/>
      <c r="CQX66" s="10"/>
      <c r="CQY66" s="10"/>
      <c r="CQZ66" s="10"/>
      <c r="CRA66" s="10"/>
      <c r="CRB66" s="10"/>
      <c r="CRC66" s="10"/>
      <c r="CRD66" s="10"/>
      <c r="CRE66" s="10"/>
      <c r="CRF66" s="10"/>
      <c r="CRG66" s="10"/>
      <c r="CRH66" s="10"/>
      <c r="CRI66" s="10"/>
      <c r="CRJ66" s="10"/>
      <c r="CRK66" s="10"/>
      <c r="CRL66" s="10"/>
      <c r="CRM66" s="10"/>
      <c r="CRN66" s="10"/>
      <c r="CRO66" s="10"/>
      <c r="CRP66" s="10"/>
      <c r="CRQ66" s="10"/>
      <c r="CRR66" s="10"/>
      <c r="CRS66" s="10"/>
      <c r="CRT66" s="10"/>
      <c r="CRU66" s="10"/>
      <c r="CRV66" s="10"/>
      <c r="CRW66" s="10"/>
      <c r="CRX66" s="10"/>
      <c r="CRY66" s="10"/>
      <c r="CRZ66" s="10"/>
      <c r="CSA66" s="10"/>
      <c r="CSB66" s="10"/>
      <c r="CSC66" s="10"/>
      <c r="CSD66" s="10"/>
      <c r="CSE66" s="10"/>
      <c r="CSF66" s="10"/>
      <c r="CSG66" s="10"/>
      <c r="CSH66" s="10"/>
      <c r="CSI66" s="10"/>
      <c r="CSJ66" s="10"/>
      <c r="CSK66" s="10"/>
      <c r="CSL66" s="10"/>
      <c r="CSM66" s="10"/>
      <c r="CSN66" s="10"/>
      <c r="CSO66" s="10"/>
      <c r="CSP66" s="10"/>
      <c r="CSQ66" s="10"/>
      <c r="CSR66" s="10"/>
      <c r="CSS66" s="10"/>
      <c r="CST66" s="10"/>
      <c r="CSU66" s="10"/>
      <c r="CSV66" s="10"/>
      <c r="CSW66" s="10"/>
      <c r="CSX66" s="10"/>
      <c r="CSY66" s="10"/>
      <c r="CSZ66" s="10"/>
      <c r="CTA66" s="10"/>
      <c r="CTB66" s="10"/>
      <c r="CTC66" s="10"/>
      <c r="CTD66" s="10"/>
      <c r="CTE66" s="10"/>
      <c r="CTF66" s="10"/>
      <c r="CTG66" s="10"/>
      <c r="CTH66" s="10"/>
      <c r="CTI66" s="10"/>
      <c r="CTJ66" s="10"/>
      <c r="CTK66" s="10"/>
      <c r="CTL66" s="10"/>
      <c r="CTM66" s="10"/>
      <c r="CTN66" s="10"/>
      <c r="CTO66" s="10"/>
      <c r="CTP66" s="10"/>
      <c r="CTQ66" s="10"/>
      <c r="CTR66" s="10"/>
      <c r="CTS66" s="10"/>
      <c r="CTT66" s="10"/>
      <c r="CTU66" s="10"/>
      <c r="CTV66" s="10"/>
      <c r="CTW66" s="10"/>
      <c r="CTX66" s="10"/>
      <c r="CTY66" s="10"/>
      <c r="CTZ66" s="10"/>
      <c r="CUA66" s="10"/>
      <c r="CUB66" s="10"/>
      <c r="CUC66" s="10"/>
      <c r="CUD66" s="10"/>
      <c r="CUE66" s="10"/>
      <c r="CUF66" s="10"/>
      <c r="CUG66" s="10"/>
      <c r="CUH66" s="10"/>
      <c r="CUI66" s="10"/>
      <c r="CUJ66" s="10"/>
      <c r="CUK66" s="10"/>
      <c r="CUL66" s="10"/>
      <c r="CUM66" s="10"/>
      <c r="CUN66" s="10"/>
      <c r="CUO66" s="10"/>
      <c r="CUP66" s="10"/>
      <c r="CUQ66" s="10"/>
      <c r="CUR66" s="10"/>
      <c r="CUS66" s="10"/>
      <c r="CUT66" s="10"/>
      <c r="CUU66" s="10"/>
      <c r="CUV66" s="10"/>
      <c r="CUW66" s="10"/>
      <c r="CUX66" s="10"/>
      <c r="CUY66" s="10"/>
      <c r="CUZ66" s="10"/>
      <c r="CVA66" s="10"/>
      <c r="CVB66" s="10"/>
      <c r="CVC66" s="10"/>
      <c r="CVD66" s="10"/>
      <c r="CVE66" s="10"/>
      <c r="CVF66" s="10"/>
      <c r="CVG66" s="10"/>
      <c r="CVH66" s="10"/>
      <c r="CVI66" s="10"/>
      <c r="CVJ66" s="10"/>
      <c r="CVK66" s="10"/>
      <c r="CVL66" s="10"/>
      <c r="CVM66" s="10"/>
      <c r="CVN66" s="10"/>
      <c r="CVO66" s="10"/>
      <c r="CVP66" s="10"/>
      <c r="CVQ66" s="10"/>
      <c r="CVR66" s="10"/>
      <c r="CVS66" s="10"/>
      <c r="CVT66" s="10"/>
      <c r="CVU66" s="10"/>
      <c r="CVV66" s="10"/>
      <c r="CVW66" s="10"/>
      <c r="CVX66" s="10"/>
      <c r="CVY66" s="10"/>
      <c r="CVZ66" s="10"/>
      <c r="CWA66" s="10"/>
      <c r="CWB66" s="10"/>
      <c r="CWC66" s="10"/>
      <c r="CWD66" s="10"/>
      <c r="CWE66" s="10"/>
      <c r="CWF66" s="10"/>
      <c r="CWG66" s="10"/>
      <c r="CWH66" s="10"/>
      <c r="CWI66" s="10"/>
      <c r="CWJ66" s="10"/>
      <c r="CWK66" s="10"/>
      <c r="CWL66" s="10"/>
      <c r="CWM66" s="10"/>
      <c r="CWN66" s="10"/>
      <c r="CWO66" s="10"/>
      <c r="CWP66" s="10"/>
      <c r="CWQ66" s="10"/>
      <c r="CWR66" s="10"/>
      <c r="CWS66" s="10"/>
      <c r="CWT66" s="10"/>
      <c r="CWU66" s="10"/>
      <c r="CWV66" s="10"/>
      <c r="CWW66" s="10"/>
      <c r="CWX66" s="10"/>
      <c r="CWY66" s="10"/>
      <c r="CWZ66" s="10"/>
      <c r="CXA66" s="10"/>
      <c r="CXB66" s="10"/>
      <c r="CXC66" s="10"/>
      <c r="CXD66" s="10"/>
      <c r="CXE66" s="10"/>
      <c r="CXF66" s="10"/>
      <c r="CXG66" s="10"/>
      <c r="CXH66" s="10"/>
      <c r="CXI66" s="10"/>
      <c r="CXJ66" s="10"/>
      <c r="CXK66" s="10"/>
      <c r="CXL66" s="10"/>
      <c r="CXM66" s="10"/>
      <c r="CXN66" s="10"/>
      <c r="CXO66" s="10"/>
      <c r="CXP66" s="10"/>
      <c r="CXQ66" s="10"/>
      <c r="CXR66" s="10"/>
      <c r="CXS66" s="10"/>
      <c r="CXT66" s="10"/>
      <c r="CXU66" s="10"/>
      <c r="CXV66" s="10"/>
      <c r="CXW66" s="10"/>
      <c r="CXX66" s="10"/>
      <c r="CXY66" s="10"/>
      <c r="CXZ66" s="10"/>
      <c r="CYA66" s="10"/>
      <c r="CYB66" s="10"/>
      <c r="CYC66" s="10"/>
      <c r="CYD66" s="10"/>
      <c r="CYE66" s="10"/>
      <c r="CYF66" s="10"/>
      <c r="CYG66" s="10"/>
      <c r="CYH66" s="10"/>
      <c r="CYI66" s="10"/>
      <c r="CYJ66" s="10"/>
      <c r="CYK66" s="10"/>
      <c r="CYL66" s="10"/>
      <c r="CYM66" s="10"/>
      <c r="CYN66" s="10"/>
      <c r="CYO66" s="10"/>
      <c r="CYP66" s="10"/>
      <c r="CYQ66" s="10"/>
      <c r="CYR66" s="10"/>
      <c r="CYS66" s="10"/>
      <c r="CYT66" s="10"/>
      <c r="CYU66" s="10"/>
      <c r="CYV66" s="10"/>
      <c r="CYW66" s="10"/>
      <c r="CYX66" s="10"/>
      <c r="CYY66" s="10"/>
      <c r="CYZ66" s="10"/>
      <c r="CZA66" s="10"/>
      <c r="CZB66" s="10"/>
      <c r="CZC66" s="10"/>
      <c r="CZD66" s="10"/>
      <c r="CZE66" s="10"/>
      <c r="CZF66" s="10"/>
      <c r="CZG66" s="10"/>
      <c r="CZH66" s="10"/>
      <c r="CZI66" s="10"/>
      <c r="CZJ66" s="10"/>
      <c r="CZK66" s="10"/>
      <c r="CZL66" s="10"/>
      <c r="CZM66" s="10"/>
      <c r="CZN66" s="10"/>
      <c r="CZO66" s="10"/>
      <c r="CZP66" s="10"/>
      <c r="CZQ66" s="10"/>
      <c r="CZR66" s="10"/>
      <c r="CZS66" s="10"/>
      <c r="CZT66" s="10"/>
      <c r="CZU66" s="10"/>
      <c r="CZV66" s="10"/>
      <c r="CZW66" s="10"/>
      <c r="CZX66" s="10"/>
      <c r="CZY66" s="10"/>
      <c r="CZZ66" s="10"/>
      <c r="DAA66" s="10"/>
      <c r="DAB66" s="10"/>
      <c r="DAC66" s="10"/>
      <c r="DAD66" s="10"/>
      <c r="DAE66" s="10"/>
      <c r="DAF66" s="10"/>
      <c r="DAG66" s="10"/>
      <c r="DAH66" s="10"/>
      <c r="DAI66" s="10"/>
      <c r="DAJ66" s="10"/>
      <c r="DAK66" s="10"/>
      <c r="DAL66" s="10"/>
      <c r="DAM66" s="10"/>
      <c r="DAN66" s="10"/>
      <c r="DAO66" s="10"/>
      <c r="DAP66" s="10"/>
      <c r="DAQ66" s="10"/>
      <c r="DAR66" s="10"/>
      <c r="DAS66" s="10"/>
      <c r="DAT66" s="10"/>
      <c r="DAU66" s="10"/>
      <c r="DAV66" s="10"/>
      <c r="DAW66" s="10"/>
      <c r="DAX66" s="10"/>
      <c r="DAY66" s="10"/>
      <c r="DAZ66" s="10"/>
      <c r="DBA66" s="10"/>
      <c r="DBB66" s="10"/>
      <c r="DBC66" s="10"/>
      <c r="DBD66" s="10"/>
      <c r="DBE66" s="10"/>
      <c r="DBF66" s="10"/>
      <c r="DBG66" s="10"/>
      <c r="DBH66" s="10"/>
      <c r="DBI66" s="10"/>
      <c r="DBJ66" s="10"/>
      <c r="DBK66" s="10"/>
      <c r="DBL66" s="10"/>
      <c r="DBM66" s="10"/>
      <c r="DBN66" s="10"/>
      <c r="DBO66" s="10"/>
      <c r="DBP66" s="10"/>
      <c r="DBQ66" s="10"/>
      <c r="DBR66" s="10"/>
      <c r="DBS66" s="10"/>
      <c r="DBT66" s="10"/>
      <c r="DBU66" s="10"/>
      <c r="DBV66" s="10"/>
      <c r="DBW66" s="10"/>
      <c r="DBX66" s="10"/>
      <c r="DBY66" s="10"/>
      <c r="DBZ66" s="10"/>
      <c r="DCA66" s="10"/>
      <c r="DCB66" s="10"/>
      <c r="DCC66" s="10"/>
      <c r="DCD66" s="10"/>
      <c r="DCE66" s="10"/>
      <c r="DCF66" s="10"/>
      <c r="DCG66" s="10"/>
      <c r="DCH66" s="10"/>
      <c r="DCI66" s="10"/>
      <c r="DCJ66" s="10"/>
      <c r="DCK66" s="10"/>
      <c r="DCL66" s="10"/>
      <c r="DCM66" s="10"/>
      <c r="DCN66" s="10"/>
      <c r="DCO66" s="10"/>
      <c r="DCP66" s="10"/>
      <c r="DCQ66" s="10"/>
      <c r="DCR66" s="10"/>
      <c r="DCS66" s="10"/>
      <c r="DCT66" s="10"/>
      <c r="DCU66" s="10"/>
      <c r="DCV66" s="10"/>
      <c r="DCW66" s="10"/>
      <c r="DCX66" s="10"/>
      <c r="DCY66" s="10"/>
      <c r="DCZ66" s="10"/>
      <c r="DDA66" s="10"/>
      <c r="DDB66" s="10"/>
      <c r="DDC66" s="10"/>
      <c r="DDD66" s="10"/>
      <c r="DDE66" s="10"/>
      <c r="DDF66" s="10"/>
      <c r="DDG66" s="10"/>
      <c r="DDH66" s="10"/>
      <c r="DDI66" s="10"/>
      <c r="DDJ66" s="10"/>
      <c r="DDK66" s="10"/>
      <c r="DDL66" s="10"/>
      <c r="DDM66" s="10"/>
      <c r="DDN66" s="10"/>
      <c r="DDO66" s="10"/>
      <c r="DDP66" s="10"/>
      <c r="DDQ66" s="10"/>
      <c r="DDR66" s="10"/>
      <c r="DDS66" s="10"/>
      <c r="DDT66" s="10"/>
      <c r="DDU66" s="10"/>
      <c r="DDV66" s="10"/>
      <c r="DDW66" s="10"/>
      <c r="DDX66" s="10"/>
      <c r="DDY66" s="10"/>
      <c r="DDZ66" s="10"/>
      <c r="DEA66" s="10"/>
      <c r="DEB66" s="10"/>
      <c r="DEC66" s="10"/>
      <c r="DED66" s="10"/>
      <c r="DEE66" s="10"/>
      <c r="DEF66" s="10"/>
      <c r="DEG66" s="10"/>
      <c r="DEH66" s="10"/>
      <c r="DEI66" s="10"/>
      <c r="DEJ66" s="10"/>
      <c r="DEK66" s="10"/>
      <c r="DEL66" s="10"/>
      <c r="DEM66" s="10"/>
      <c r="DEN66" s="10"/>
      <c r="DEO66" s="10"/>
      <c r="DEP66" s="10"/>
      <c r="DEQ66" s="10"/>
      <c r="DER66" s="10"/>
      <c r="DES66" s="10"/>
      <c r="DET66" s="10"/>
      <c r="DEU66" s="10"/>
      <c r="DEV66" s="10"/>
      <c r="DEW66" s="10"/>
      <c r="DEX66" s="10"/>
      <c r="DEY66" s="10"/>
      <c r="DEZ66" s="10"/>
      <c r="DFA66" s="10"/>
      <c r="DFB66" s="10"/>
      <c r="DFC66" s="10"/>
      <c r="DFD66" s="10"/>
      <c r="DFE66" s="10"/>
      <c r="DFF66" s="10"/>
      <c r="DFG66" s="10"/>
      <c r="DFH66" s="10"/>
      <c r="DFI66" s="10"/>
      <c r="DFJ66" s="10"/>
      <c r="DFK66" s="10"/>
      <c r="DFL66" s="10"/>
      <c r="DFM66" s="10"/>
      <c r="DFN66" s="10"/>
      <c r="DFO66" s="10"/>
      <c r="DFP66" s="10"/>
      <c r="DFQ66" s="10"/>
      <c r="DFR66" s="10"/>
      <c r="DFS66" s="10"/>
      <c r="DFT66" s="10"/>
      <c r="DFU66" s="10"/>
      <c r="DFV66" s="10"/>
      <c r="DFW66" s="10"/>
      <c r="DFX66" s="10"/>
      <c r="DFY66" s="10"/>
      <c r="DFZ66" s="10"/>
      <c r="DGA66" s="10"/>
      <c r="DGB66" s="10"/>
      <c r="DGC66" s="10"/>
      <c r="DGD66" s="10"/>
      <c r="DGE66" s="10"/>
      <c r="DGF66" s="10"/>
      <c r="DGG66" s="10"/>
      <c r="DGH66" s="10"/>
      <c r="DGI66" s="10"/>
      <c r="DGJ66" s="10"/>
      <c r="DGK66" s="10"/>
      <c r="DGL66" s="10"/>
      <c r="DGM66" s="10"/>
      <c r="DGN66" s="10"/>
      <c r="DGO66" s="10"/>
      <c r="DGP66" s="10"/>
      <c r="DGQ66" s="10"/>
      <c r="DGR66" s="10"/>
      <c r="DGS66" s="10"/>
      <c r="DGT66" s="10"/>
      <c r="DGU66" s="10"/>
      <c r="DGV66" s="10"/>
      <c r="DGW66" s="10"/>
      <c r="DGX66" s="10"/>
      <c r="DGY66" s="10"/>
      <c r="DGZ66" s="10"/>
      <c r="DHA66" s="10"/>
      <c r="DHB66" s="10"/>
      <c r="DHC66" s="10"/>
      <c r="DHD66" s="10"/>
      <c r="DHE66" s="10"/>
      <c r="DHF66" s="10"/>
      <c r="DHG66" s="10"/>
      <c r="DHH66" s="10"/>
      <c r="DHI66" s="10"/>
      <c r="DHJ66" s="10"/>
      <c r="DHK66" s="10"/>
      <c r="DHL66" s="10"/>
      <c r="DHM66" s="10"/>
      <c r="DHN66" s="10"/>
      <c r="DHO66" s="10"/>
      <c r="DHP66" s="10"/>
      <c r="DHQ66" s="10"/>
      <c r="DHR66" s="10"/>
      <c r="DHS66" s="10"/>
      <c r="DHT66" s="10"/>
      <c r="DHU66" s="10"/>
      <c r="DHV66" s="10"/>
      <c r="DHW66" s="10"/>
      <c r="DHX66" s="10"/>
      <c r="DHY66" s="10"/>
      <c r="DHZ66" s="10"/>
      <c r="DIA66" s="10"/>
      <c r="DIB66" s="10"/>
      <c r="DIC66" s="10"/>
      <c r="DID66" s="10"/>
      <c r="DIE66" s="10"/>
      <c r="DIF66" s="10"/>
      <c r="DIG66" s="10"/>
      <c r="DIH66" s="10"/>
      <c r="DII66" s="10"/>
      <c r="DIJ66" s="10"/>
      <c r="DIK66" s="10"/>
      <c r="DIL66" s="10"/>
      <c r="DIM66" s="10"/>
      <c r="DIN66" s="10"/>
      <c r="DIO66" s="10"/>
      <c r="DIP66" s="10"/>
      <c r="DIQ66" s="10"/>
      <c r="DIR66" s="10"/>
      <c r="DIS66" s="10"/>
      <c r="DIT66" s="10"/>
      <c r="DIU66" s="10"/>
      <c r="DIV66" s="10"/>
      <c r="DIW66" s="10"/>
      <c r="DIX66" s="10"/>
      <c r="DIY66" s="10"/>
      <c r="DIZ66" s="10"/>
      <c r="DJA66" s="10"/>
      <c r="DJB66" s="10"/>
      <c r="DJC66" s="10"/>
      <c r="DJD66" s="10"/>
      <c r="DJE66" s="10"/>
      <c r="DJF66" s="10"/>
      <c r="DJG66" s="10"/>
      <c r="DJH66" s="10"/>
      <c r="DJI66" s="10"/>
      <c r="DJJ66" s="10"/>
      <c r="DJK66" s="10"/>
      <c r="DJL66" s="10"/>
      <c r="DJM66" s="10"/>
      <c r="DJN66" s="10"/>
      <c r="DJO66" s="10"/>
      <c r="DJP66" s="10"/>
      <c r="DJQ66" s="10"/>
      <c r="DJR66" s="10"/>
      <c r="DJS66" s="10"/>
      <c r="DJT66" s="10"/>
      <c r="DJU66" s="10"/>
      <c r="DJV66" s="10"/>
      <c r="DJW66" s="10"/>
      <c r="DJX66" s="10"/>
      <c r="DJY66" s="10"/>
      <c r="DJZ66" s="10"/>
      <c r="DKA66" s="10"/>
      <c r="DKB66" s="10"/>
      <c r="DKC66" s="10"/>
      <c r="DKD66" s="10"/>
      <c r="DKE66" s="10"/>
      <c r="DKF66" s="10"/>
      <c r="DKG66" s="10"/>
      <c r="DKH66" s="10"/>
      <c r="DKI66" s="10"/>
      <c r="DKJ66" s="10"/>
      <c r="DKK66" s="10"/>
      <c r="DKL66" s="10"/>
      <c r="DKM66" s="10"/>
      <c r="DKN66" s="10"/>
      <c r="DKO66" s="10"/>
      <c r="DKP66" s="10"/>
      <c r="DKQ66" s="10"/>
      <c r="DKR66" s="10"/>
      <c r="DKS66" s="10"/>
      <c r="DKT66" s="10"/>
      <c r="DKU66" s="10"/>
      <c r="DKV66" s="10"/>
      <c r="DKW66" s="10"/>
      <c r="DKX66" s="10"/>
      <c r="DKY66" s="10"/>
      <c r="DKZ66" s="10"/>
      <c r="DLA66" s="10"/>
      <c r="DLB66" s="10"/>
      <c r="DLC66" s="10"/>
      <c r="DLD66" s="10"/>
      <c r="DLE66" s="10"/>
      <c r="DLF66" s="10"/>
      <c r="DLG66" s="10"/>
      <c r="DLH66" s="10"/>
      <c r="DLI66" s="10"/>
      <c r="DLJ66" s="10"/>
      <c r="DLK66" s="10"/>
      <c r="DLL66" s="10"/>
      <c r="DLM66" s="10"/>
      <c r="DLN66" s="10"/>
      <c r="DLO66" s="10"/>
      <c r="DLP66" s="10"/>
      <c r="DLQ66" s="10"/>
      <c r="DLR66" s="10"/>
      <c r="DLS66" s="10"/>
      <c r="DLT66" s="10"/>
      <c r="DLU66" s="10"/>
      <c r="DLV66" s="10"/>
      <c r="DLW66" s="10"/>
      <c r="DLX66" s="10"/>
      <c r="DLY66" s="10"/>
      <c r="DLZ66" s="10"/>
      <c r="DMA66" s="10"/>
      <c r="DMB66" s="10"/>
      <c r="DMC66" s="10"/>
      <c r="DMD66" s="10"/>
      <c r="DME66" s="10"/>
      <c r="DMF66" s="10"/>
      <c r="DMG66" s="10"/>
      <c r="DMH66" s="10"/>
      <c r="DMI66" s="10"/>
      <c r="DMJ66" s="10"/>
      <c r="DMK66" s="10"/>
      <c r="DML66" s="10"/>
      <c r="DMM66" s="10"/>
      <c r="DMN66" s="10"/>
      <c r="DMO66" s="10"/>
      <c r="DMP66" s="10"/>
      <c r="DMQ66" s="10"/>
      <c r="DMR66" s="10"/>
      <c r="DMS66" s="10"/>
      <c r="DMT66" s="10"/>
      <c r="DMU66" s="10"/>
      <c r="DMV66" s="10"/>
      <c r="DMW66" s="10"/>
      <c r="DMX66" s="10"/>
      <c r="DMY66" s="10"/>
      <c r="DMZ66" s="10"/>
      <c r="DNA66" s="10"/>
      <c r="DNB66" s="10"/>
      <c r="DNC66" s="10"/>
      <c r="DND66" s="10"/>
      <c r="DNE66" s="10"/>
      <c r="DNF66" s="10"/>
      <c r="DNG66" s="10"/>
      <c r="DNH66" s="10"/>
      <c r="DNI66" s="10"/>
      <c r="DNJ66" s="10"/>
      <c r="DNK66" s="10"/>
      <c r="DNL66" s="10"/>
      <c r="DNM66" s="10"/>
      <c r="DNN66" s="10"/>
      <c r="DNO66" s="10"/>
      <c r="DNP66" s="10"/>
      <c r="DNQ66" s="10"/>
      <c r="DNR66" s="10"/>
      <c r="DNS66" s="10"/>
      <c r="DNT66" s="10"/>
      <c r="DNU66" s="10"/>
      <c r="DNV66" s="10"/>
      <c r="DNW66" s="10"/>
      <c r="DNX66" s="10"/>
      <c r="DNY66" s="10"/>
      <c r="DNZ66" s="10"/>
      <c r="DOA66" s="10"/>
      <c r="DOB66" s="10"/>
      <c r="DOC66" s="10"/>
      <c r="DOD66" s="10"/>
      <c r="DOE66" s="10"/>
      <c r="DOF66" s="10"/>
      <c r="DOG66" s="10"/>
      <c r="DOH66" s="10"/>
      <c r="DOI66" s="10"/>
      <c r="DOJ66" s="10"/>
      <c r="DOK66" s="10"/>
      <c r="DOL66" s="10"/>
      <c r="DOM66" s="10"/>
      <c r="DON66" s="10"/>
      <c r="DOO66" s="10"/>
      <c r="DOP66" s="10"/>
      <c r="DOQ66" s="10"/>
      <c r="DOR66" s="10"/>
      <c r="DOS66" s="10"/>
      <c r="DOT66" s="10"/>
      <c r="DOU66" s="10"/>
      <c r="DOV66" s="10"/>
      <c r="DOW66" s="10"/>
      <c r="DOX66" s="10"/>
      <c r="DOY66" s="10"/>
      <c r="DOZ66" s="10"/>
      <c r="DPA66" s="10"/>
      <c r="DPB66" s="10"/>
      <c r="DPC66" s="10"/>
      <c r="DPD66" s="10"/>
      <c r="DPE66" s="10"/>
      <c r="DPF66" s="10"/>
      <c r="DPG66" s="10"/>
      <c r="DPH66" s="10"/>
      <c r="DPI66" s="10"/>
      <c r="DPJ66" s="10"/>
      <c r="DPK66" s="10"/>
      <c r="DPL66" s="10"/>
      <c r="DPM66" s="10"/>
      <c r="DPN66" s="10"/>
      <c r="DPO66" s="10"/>
      <c r="DPP66" s="10"/>
      <c r="DPQ66" s="10"/>
      <c r="DPR66" s="10"/>
      <c r="DPS66" s="10"/>
      <c r="DPT66" s="10"/>
      <c r="DPU66" s="10"/>
      <c r="DPV66" s="10"/>
      <c r="DPW66" s="10"/>
      <c r="DPX66" s="10"/>
      <c r="DPY66" s="10"/>
      <c r="DPZ66" s="10"/>
      <c r="DQA66" s="10"/>
      <c r="DQB66" s="10"/>
      <c r="DQC66" s="10"/>
      <c r="DQD66" s="10"/>
      <c r="DQE66" s="10"/>
      <c r="DQF66" s="10"/>
      <c r="DQG66" s="10"/>
      <c r="DQH66" s="10"/>
      <c r="DQI66" s="10"/>
      <c r="DQJ66" s="10"/>
      <c r="DQK66" s="10"/>
      <c r="DQL66" s="10"/>
      <c r="DQM66" s="10"/>
      <c r="DQN66" s="10"/>
      <c r="DQO66" s="10"/>
      <c r="DQP66" s="10"/>
      <c r="DQQ66" s="10"/>
      <c r="DQR66" s="10"/>
      <c r="DQS66" s="10"/>
      <c r="DQT66" s="10"/>
      <c r="DQU66" s="10"/>
      <c r="DQV66" s="10"/>
      <c r="DQW66" s="10"/>
      <c r="DQX66" s="10"/>
      <c r="DQY66" s="10"/>
      <c r="DQZ66" s="10"/>
      <c r="DRA66" s="10"/>
      <c r="DRB66" s="10"/>
      <c r="DRC66" s="10"/>
      <c r="DRD66" s="10"/>
      <c r="DRE66" s="10"/>
      <c r="DRF66" s="10"/>
      <c r="DRG66" s="10"/>
      <c r="DRH66" s="10"/>
      <c r="DRI66" s="10"/>
      <c r="DRJ66" s="10"/>
      <c r="DRK66" s="10"/>
      <c r="DRL66" s="10"/>
      <c r="DRM66" s="10"/>
      <c r="DRN66" s="10"/>
      <c r="DRO66" s="10"/>
      <c r="DRP66" s="10"/>
      <c r="DRQ66" s="10"/>
      <c r="DRR66" s="10"/>
      <c r="DRS66" s="10"/>
      <c r="DRT66" s="10"/>
      <c r="DRU66" s="10"/>
      <c r="DRV66" s="10"/>
      <c r="DRW66" s="10"/>
      <c r="DRX66" s="10"/>
      <c r="DRY66" s="10"/>
      <c r="DRZ66" s="10"/>
      <c r="DSA66" s="10"/>
      <c r="DSB66" s="10"/>
      <c r="DSC66" s="10"/>
      <c r="DSD66" s="10"/>
      <c r="DSE66" s="10"/>
      <c r="DSF66" s="10"/>
      <c r="DSG66" s="10"/>
      <c r="DSH66" s="10"/>
      <c r="DSI66" s="10"/>
      <c r="DSJ66" s="10"/>
      <c r="DSK66" s="10"/>
      <c r="DSL66" s="10"/>
      <c r="DSM66" s="10"/>
      <c r="DSN66" s="10"/>
      <c r="DSO66" s="10"/>
      <c r="DSP66" s="10"/>
      <c r="DSQ66" s="10"/>
      <c r="DSR66" s="10"/>
      <c r="DSS66" s="10"/>
      <c r="DST66" s="10"/>
      <c r="DSU66" s="10"/>
      <c r="DSV66" s="10"/>
      <c r="DSW66" s="10"/>
      <c r="DSX66" s="10"/>
      <c r="DSY66" s="10"/>
      <c r="DSZ66" s="10"/>
      <c r="DTA66" s="10"/>
      <c r="DTB66" s="10"/>
      <c r="DTC66" s="10"/>
      <c r="DTD66" s="10"/>
      <c r="DTE66" s="10"/>
      <c r="DTF66" s="10"/>
      <c r="DTG66" s="10"/>
      <c r="DTH66" s="10"/>
      <c r="DTI66" s="10"/>
      <c r="DTJ66" s="10"/>
      <c r="DTK66" s="10"/>
      <c r="DTL66" s="10"/>
      <c r="DTM66" s="10"/>
      <c r="DTN66" s="10"/>
      <c r="DTO66" s="10"/>
      <c r="DTP66" s="10"/>
      <c r="DTQ66" s="10"/>
      <c r="DTR66" s="10"/>
      <c r="DTS66" s="10"/>
      <c r="DTT66" s="10"/>
      <c r="DTU66" s="10"/>
      <c r="DTV66" s="10"/>
      <c r="DTW66" s="10"/>
      <c r="DTX66" s="10"/>
      <c r="DTY66" s="10"/>
      <c r="DTZ66" s="10"/>
      <c r="DUA66" s="10"/>
      <c r="DUB66" s="10"/>
      <c r="DUC66" s="10"/>
      <c r="DUD66" s="10"/>
      <c r="DUE66" s="10"/>
      <c r="DUF66" s="10"/>
      <c r="DUG66" s="10"/>
      <c r="DUH66" s="10"/>
      <c r="DUI66" s="10"/>
      <c r="DUJ66" s="10"/>
      <c r="DUK66" s="10"/>
      <c r="DUL66" s="10"/>
      <c r="DUM66" s="10"/>
      <c r="DUN66" s="10"/>
      <c r="DUO66" s="10"/>
      <c r="DUP66" s="10"/>
      <c r="DUQ66" s="10"/>
      <c r="DUR66" s="10"/>
      <c r="DUS66" s="10"/>
      <c r="DUT66" s="10"/>
      <c r="DUU66" s="10"/>
      <c r="DUV66" s="10"/>
      <c r="DUW66" s="10"/>
      <c r="DUX66" s="10"/>
      <c r="DUY66" s="10"/>
      <c r="DUZ66" s="10"/>
      <c r="DVA66" s="10"/>
      <c r="DVB66" s="10"/>
      <c r="DVC66" s="10"/>
      <c r="DVD66" s="10"/>
      <c r="DVE66" s="10"/>
      <c r="DVF66" s="10"/>
      <c r="DVG66" s="10"/>
      <c r="DVH66" s="10"/>
      <c r="DVI66" s="10"/>
      <c r="DVJ66" s="10"/>
      <c r="DVK66" s="10"/>
      <c r="DVL66" s="10"/>
      <c r="DVM66" s="10"/>
      <c r="DVN66" s="10"/>
      <c r="DVO66" s="10"/>
      <c r="DVP66" s="10"/>
      <c r="DVQ66" s="10"/>
      <c r="DVR66" s="10"/>
      <c r="DVS66" s="10"/>
      <c r="DVT66" s="10"/>
      <c r="DVU66" s="10"/>
      <c r="DVV66" s="10"/>
      <c r="DVW66" s="10"/>
      <c r="DVX66" s="10"/>
      <c r="DVY66" s="10"/>
      <c r="DVZ66" s="10"/>
      <c r="DWA66" s="10"/>
      <c r="DWB66" s="10"/>
      <c r="DWC66" s="10"/>
      <c r="DWD66" s="10"/>
      <c r="DWE66" s="10"/>
      <c r="DWF66" s="10"/>
      <c r="DWG66" s="10"/>
      <c r="DWH66" s="10"/>
      <c r="DWI66" s="10"/>
      <c r="DWJ66" s="10"/>
      <c r="DWK66" s="10"/>
      <c r="DWL66" s="10"/>
      <c r="DWM66" s="10"/>
      <c r="DWN66" s="10"/>
      <c r="DWO66" s="10"/>
      <c r="DWP66" s="10"/>
      <c r="DWQ66" s="10"/>
      <c r="DWR66" s="10"/>
      <c r="DWS66" s="10"/>
      <c r="DWT66" s="10"/>
      <c r="DWU66" s="10"/>
      <c r="DWV66" s="10"/>
      <c r="DWW66" s="10"/>
      <c r="DWX66" s="10"/>
      <c r="DWY66" s="10"/>
      <c r="DWZ66" s="10"/>
      <c r="DXA66" s="10"/>
      <c r="DXB66" s="10"/>
      <c r="DXC66" s="10"/>
      <c r="DXD66" s="10"/>
      <c r="DXE66" s="10"/>
      <c r="DXF66" s="10"/>
      <c r="DXG66" s="10"/>
      <c r="DXH66" s="10"/>
      <c r="DXI66" s="10"/>
      <c r="DXJ66" s="10"/>
      <c r="DXK66" s="10"/>
      <c r="DXL66" s="10"/>
      <c r="DXM66" s="10"/>
      <c r="DXN66" s="10"/>
      <c r="DXO66" s="10"/>
      <c r="DXP66" s="10"/>
      <c r="DXQ66" s="10"/>
      <c r="DXR66" s="10"/>
      <c r="DXS66" s="10"/>
      <c r="DXT66" s="10"/>
      <c r="DXU66" s="10"/>
      <c r="DXV66" s="10"/>
      <c r="DXW66" s="10"/>
      <c r="DXX66" s="10"/>
      <c r="DXY66" s="10"/>
      <c r="DXZ66" s="10"/>
      <c r="DYA66" s="10"/>
      <c r="DYB66" s="10"/>
      <c r="DYC66" s="10"/>
      <c r="DYD66" s="10"/>
      <c r="DYE66" s="10"/>
      <c r="DYF66" s="10"/>
      <c r="DYG66" s="10"/>
      <c r="DYH66" s="10"/>
      <c r="DYI66" s="10"/>
      <c r="DYJ66" s="10"/>
      <c r="DYK66" s="10"/>
      <c r="DYL66" s="10"/>
      <c r="DYM66" s="10"/>
      <c r="DYN66" s="10"/>
      <c r="DYO66" s="10"/>
      <c r="DYP66" s="10"/>
      <c r="DYQ66" s="10"/>
      <c r="DYR66" s="10"/>
      <c r="DYS66" s="10"/>
      <c r="DYT66" s="10"/>
      <c r="DYU66" s="10"/>
      <c r="DYV66" s="10"/>
      <c r="DYW66" s="10"/>
      <c r="DYX66" s="10"/>
      <c r="DYY66" s="10"/>
      <c r="DYZ66" s="10"/>
      <c r="DZA66" s="10"/>
      <c r="DZB66" s="10"/>
      <c r="DZC66" s="10"/>
      <c r="DZD66" s="10"/>
      <c r="DZE66" s="10"/>
      <c r="DZF66" s="10"/>
      <c r="DZG66" s="10"/>
      <c r="DZH66" s="10"/>
      <c r="DZI66" s="10"/>
      <c r="DZJ66" s="10"/>
      <c r="DZK66" s="10"/>
      <c r="DZL66" s="10"/>
      <c r="DZM66" s="10"/>
      <c r="DZN66" s="10"/>
      <c r="DZO66" s="10"/>
      <c r="DZP66" s="10"/>
      <c r="DZQ66" s="10"/>
      <c r="DZR66" s="10"/>
      <c r="DZS66" s="10"/>
      <c r="DZT66" s="10"/>
      <c r="DZU66" s="10"/>
      <c r="DZV66" s="10"/>
      <c r="DZW66" s="10"/>
      <c r="DZX66" s="10"/>
      <c r="DZY66" s="10"/>
      <c r="DZZ66" s="10"/>
      <c r="EAA66" s="10"/>
      <c r="EAB66" s="10"/>
      <c r="EAC66" s="10"/>
      <c r="EAD66" s="10"/>
      <c r="EAE66" s="10"/>
      <c r="EAF66" s="10"/>
      <c r="EAG66" s="10"/>
      <c r="EAH66" s="10"/>
      <c r="EAI66" s="10"/>
      <c r="EAJ66" s="10"/>
      <c r="EAK66" s="10"/>
      <c r="EAL66" s="10"/>
      <c r="EAM66" s="10"/>
      <c r="EAN66" s="10"/>
      <c r="EAO66" s="10"/>
      <c r="EAP66" s="10"/>
      <c r="EAQ66" s="10"/>
      <c r="EAR66" s="10"/>
      <c r="EAS66" s="10"/>
      <c r="EAT66" s="10"/>
      <c r="EAU66" s="10"/>
      <c r="EAV66" s="10"/>
      <c r="EAW66" s="10"/>
      <c r="EAX66" s="10"/>
      <c r="EAY66" s="10"/>
      <c r="EAZ66" s="10"/>
      <c r="EBA66" s="10"/>
      <c r="EBB66" s="10"/>
      <c r="EBC66" s="10"/>
      <c r="EBD66" s="10"/>
      <c r="EBE66" s="10"/>
      <c r="EBF66" s="10"/>
      <c r="EBG66" s="10"/>
      <c r="EBH66" s="10"/>
      <c r="EBI66" s="10"/>
      <c r="EBJ66" s="10"/>
      <c r="EBK66" s="10"/>
      <c r="EBL66" s="10"/>
      <c r="EBM66" s="10"/>
      <c r="EBN66" s="10"/>
      <c r="EBO66" s="10"/>
      <c r="EBP66" s="10"/>
      <c r="EBQ66" s="10"/>
      <c r="EBR66" s="10"/>
      <c r="EBS66" s="10"/>
      <c r="EBT66" s="10"/>
      <c r="EBU66" s="10"/>
      <c r="EBV66" s="10"/>
      <c r="EBW66" s="10"/>
      <c r="EBX66" s="10"/>
      <c r="EBY66" s="10"/>
      <c r="EBZ66" s="10"/>
      <c r="ECA66" s="10"/>
      <c r="ECB66" s="10"/>
      <c r="ECC66" s="10"/>
      <c r="ECD66" s="10"/>
      <c r="ECE66" s="10"/>
      <c r="ECF66" s="10"/>
      <c r="ECG66" s="10"/>
      <c r="ECH66" s="10"/>
      <c r="ECI66" s="10"/>
      <c r="ECJ66" s="10"/>
      <c r="ECK66" s="10"/>
      <c r="ECL66" s="10"/>
      <c r="ECM66" s="10"/>
      <c r="ECN66" s="10"/>
      <c r="ECO66" s="10"/>
      <c r="ECP66" s="10"/>
      <c r="ECQ66" s="10"/>
      <c r="ECR66" s="10"/>
      <c r="ECS66" s="10"/>
      <c r="ECT66" s="10"/>
      <c r="ECU66" s="10"/>
      <c r="ECV66" s="10"/>
      <c r="ECW66" s="10"/>
      <c r="ECX66" s="10"/>
      <c r="ECY66" s="10"/>
      <c r="ECZ66" s="10"/>
      <c r="EDA66" s="10"/>
      <c r="EDB66" s="10"/>
      <c r="EDC66" s="10"/>
      <c r="EDD66" s="10"/>
      <c r="EDE66" s="10"/>
      <c r="EDF66" s="10"/>
      <c r="EDG66" s="10"/>
      <c r="EDH66" s="10"/>
      <c r="EDI66" s="10"/>
      <c r="EDJ66" s="10"/>
      <c r="EDK66" s="10"/>
      <c r="EDL66" s="10"/>
      <c r="EDM66" s="10"/>
      <c r="EDN66" s="10"/>
      <c r="EDO66" s="10"/>
      <c r="EDP66" s="10"/>
      <c r="EDQ66" s="10"/>
      <c r="EDR66" s="10"/>
      <c r="EDS66" s="10"/>
      <c r="EDT66" s="10"/>
      <c r="EDU66" s="10"/>
      <c r="EDV66" s="10"/>
      <c r="EDW66" s="10"/>
      <c r="EDX66" s="10"/>
      <c r="EDY66" s="10"/>
      <c r="EDZ66" s="10"/>
      <c r="EEA66" s="10"/>
      <c r="EEB66" s="10"/>
      <c r="EEC66" s="10"/>
      <c r="EED66" s="10"/>
      <c r="EEE66" s="10"/>
      <c r="EEF66" s="10"/>
      <c r="EEG66" s="10"/>
      <c r="EEH66" s="10"/>
      <c r="EEI66" s="10"/>
      <c r="EEJ66" s="10"/>
      <c r="EEK66" s="10"/>
      <c r="EEL66" s="10"/>
      <c r="EEM66" s="10"/>
      <c r="EEN66" s="10"/>
      <c r="EEO66" s="10"/>
      <c r="EEP66" s="10"/>
      <c r="EEQ66" s="10"/>
      <c r="EER66" s="10"/>
      <c r="EES66" s="10"/>
      <c r="EET66" s="10"/>
      <c r="EEU66" s="10"/>
      <c r="EEV66" s="10"/>
      <c r="EEW66" s="10"/>
      <c r="EEX66" s="10"/>
      <c r="EEY66" s="10"/>
      <c r="EEZ66" s="10"/>
      <c r="EFA66" s="10"/>
      <c r="EFB66" s="10"/>
      <c r="EFC66" s="10"/>
      <c r="EFD66" s="10"/>
      <c r="EFE66" s="10"/>
      <c r="EFF66" s="10"/>
      <c r="EFG66" s="10"/>
      <c r="EFH66" s="10"/>
      <c r="EFI66" s="10"/>
      <c r="EFJ66" s="10"/>
      <c r="EFK66" s="10"/>
      <c r="EFL66" s="10"/>
      <c r="EFM66" s="10"/>
      <c r="EFN66" s="10"/>
      <c r="EFO66" s="10"/>
      <c r="EFP66" s="10"/>
      <c r="EFQ66" s="10"/>
      <c r="EFR66" s="10"/>
      <c r="EFS66" s="10"/>
      <c r="EFT66" s="10"/>
      <c r="EFU66" s="10"/>
      <c r="EFV66" s="10"/>
      <c r="EFW66" s="10"/>
      <c r="EFX66" s="10"/>
      <c r="EFY66" s="10"/>
      <c r="EFZ66" s="10"/>
      <c r="EGA66" s="10"/>
      <c r="EGB66" s="10"/>
      <c r="EGC66" s="10"/>
      <c r="EGD66" s="10"/>
      <c r="EGE66" s="10"/>
      <c r="EGF66" s="10"/>
      <c r="EGG66" s="10"/>
      <c r="EGH66" s="10"/>
      <c r="EGI66" s="10"/>
      <c r="EGJ66" s="10"/>
      <c r="EGK66" s="10"/>
      <c r="EGL66" s="10"/>
      <c r="EGM66" s="10"/>
      <c r="EGN66" s="10"/>
      <c r="EGO66" s="10"/>
      <c r="EGP66" s="10"/>
      <c r="EGQ66" s="10"/>
      <c r="EGR66" s="10"/>
      <c r="EGS66" s="10"/>
      <c r="EGT66" s="10"/>
      <c r="EGU66" s="10"/>
      <c r="EGV66" s="10"/>
      <c r="EGW66" s="10"/>
      <c r="EGX66" s="10"/>
      <c r="EGY66" s="10"/>
      <c r="EGZ66" s="10"/>
      <c r="EHA66" s="10"/>
      <c r="EHB66" s="10"/>
      <c r="EHC66" s="10"/>
      <c r="EHD66" s="10"/>
      <c r="EHE66" s="10"/>
      <c r="EHF66" s="10"/>
      <c r="EHG66" s="10"/>
      <c r="EHH66" s="10"/>
      <c r="EHI66" s="10"/>
      <c r="EHJ66" s="10"/>
      <c r="EHK66" s="10"/>
      <c r="EHL66" s="10"/>
      <c r="EHM66" s="10"/>
      <c r="EHN66" s="10"/>
      <c r="EHO66" s="10"/>
      <c r="EHP66" s="10"/>
      <c r="EHQ66" s="10"/>
      <c r="EHR66" s="10"/>
      <c r="EHS66" s="10"/>
      <c r="EHT66" s="10"/>
      <c r="EHU66" s="10"/>
      <c r="EHV66" s="10"/>
      <c r="EHW66" s="10"/>
      <c r="EHX66" s="10"/>
      <c r="EHY66" s="10"/>
      <c r="EHZ66" s="10"/>
      <c r="EIA66" s="10"/>
      <c r="EIB66" s="10"/>
      <c r="EIC66" s="10"/>
      <c r="EID66" s="10"/>
      <c r="EIE66" s="10"/>
      <c r="EIF66" s="10"/>
      <c r="EIG66" s="10"/>
      <c r="EIH66" s="10"/>
      <c r="EII66" s="10"/>
      <c r="EIJ66" s="10"/>
      <c r="EIK66" s="10"/>
      <c r="EIL66" s="10"/>
      <c r="EIM66" s="10"/>
      <c r="EIN66" s="10"/>
      <c r="EIO66" s="10"/>
      <c r="EIP66" s="10"/>
      <c r="EIQ66" s="10"/>
      <c r="EIR66" s="10"/>
      <c r="EIS66" s="10"/>
      <c r="EIT66" s="10"/>
      <c r="EIU66" s="10"/>
      <c r="EIV66" s="10"/>
      <c r="EIW66" s="10"/>
      <c r="EIX66" s="10"/>
      <c r="EIY66" s="10"/>
      <c r="EIZ66" s="10"/>
      <c r="EJA66" s="10"/>
      <c r="EJB66" s="10"/>
      <c r="EJC66" s="10"/>
      <c r="EJD66" s="10"/>
      <c r="EJE66" s="10"/>
      <c r="EJF66" s="10"/>
      <c r="EJG66" s="10"/>
      <c r="EJH66" s="10"/>
      <c r="EJI66" s="10"/>
      <c r="EJJ66" s="10"/>
      <c r="EJK66" s="10"/>
      <c r="EJL66" s="10"/>
      <c r="EJM66" s="10"/>
      <c r="EJN66" s="10"/>
      <c r="EJO66" s="10"/>
      <c r="EJP66" s="10"/>
      <c r="EJQ66" s="10"/>
      <c r="EJR66" s="10"/>
      <c r="EJS66" s="10"/>
      <c r="EJT66" s="10"/>
      <c r="EJU66" s="10"/>
      <c r="EJV66" s="10"/>
      <c r="EJW66" s="10"/>
      <c r="EJX66" s="10"/>
      <c r="EJY66" s="10"/>
      <c r="EJZ66" s="10"/>
      <c r="EKA66" s="10"/>
      <c r="EKB66" s="10"/>
      <c r="EKC66" s="10"/>
      <c r="EKD66" s="10"/>
      <c r="EKE66" s="10"/>
      <c r="EKF66" s="10"/>
      <c r="EKG66" s="10"/>
      <c r="EKH66" s="10"/>
      <c r="EKI66" s="10"/>
      <c r="EKJ66" s="10"/>
      <c r="EKK66" s="10"/>
      <c r="EKL66" s="10"/>
      <c r="EKM66" s="10"/>
      <c r="EKN66" s="10"/>
      <c r="EKO66" s="10"/>
      <c r="EKP66" s="10"/>
      <c r="EKQ66" s="10"/>
      <c r="EKR66" s="10"/>
      <c r="EKS66" s="10"/>
      <c r="EKT66" s="10"/>
      <c r="EKU66" s="10"/>
      <c r="EKV66" s="10"/>
      <c r="EKW66" s="10"/>
      <c r="EKX66" s="10"/>
      <c r="EKY66" s="10"/>
      <c r="EKZ66" s="10"/>
      <c r="ELA66" s="10"/>
      <c r="ELB66" s="10"/>
      <c r="ELC66" s="10"/>
      <c r="ELD66" s="10"/>
      <c r="ELE66" s="10"/>
      <c r="ELF66" s="10"/>
      <c r="ELG66" s="10"/>
      <c r="ELH66" s="10"/>
      <c r="ELI66" s="10"/>
      <c r="ELJ66" s="10"/>
      <c r="ELK66" s="10"/>
      <c r="ELL66" s="10"/>
      <c r="ELM66" s="10"/>
      <c r="ELN66" s="10"/>
      <c r="ELO66" s="10"/>
      <c r="ELP66" s="10"/>
      <c r="ELQ66" s="10"/>
      <c r="ELR66" s="10"/>
      <c r="ELS66" s="10"/>
      <c r="ELT66" s="10"/>
      <c r="ELU66" s="10"/>
      <c r="ELV66" s="10"/>
      <c r="ELW66" s="10"/>
      <c r="ELX66" s="10"/>
      <c r="ELY66" s="10"/>
      <c r="ELZ66" s="10"/>
      <c r="EMA66" s="10"/>
      <c r="EMB66" s="10"/>
      <c r="EMC66" s="10"/>
      <c r="EMD66" s="10"/>
      <c r="EME66" s="10"/>
      <c r="EMF66" s="10"/>
      <c r="EMG66" s="10"/>
      <c r="EMH66" s="10"/>
      <c r="EMI66" s="10"/>
      <c r="EMJ66" s="10"/>
      <c r="EMK66" s="10"/>
      <c r="EML66" s="10"/>
      <c r="EMM66" s="10"/>
      <c r="EMN66" s="10"/>
      <c r="EMO66" s="10"/>
      <c r="EMP66" s="10"/>
      <c r="EMQ66" s="10"/>
      <c r="EMR66" s="10"/>
      <c r="EMS66" s="10"/>
      <c r="EMT66" s="10"/>
      <c r="EMU66" s="10"/>
      <c r="EMV66" s="10"/>
      <c r="EMW66" s="10"/>
      <c r="EMX66" s="10"/>
      <c r="EMY66" s="10"/>
      <c r="EMZ66" s="10"/>
      <c r="ENA66" s="10"/>
      <c r="ENB66" s="10"/>
      <c r="ENC66" s="10"/>
      <c r="END66" s="10"/>
      <c r="ENE66" s="10"/>
      <c r="ENF66" s="10"/>
      <c r="ENG66" s="10"/>
      <c r="ENH66" s="10"/>
      <c r="ENI66" s="10"/>
      <c r="ENJ66" s="10"/>
      <c r="ENK66" s="10"/>
      <c r="ENL66" s="10"/>
      <c r="ENM66" s="10"/>
      <c r="ENN66" s="10"/>
      <c r="ENO66" s="10"/>
      <c r="ENP66" s="10"/>
      <c r="ENQ66" s="10"/>
      <c r="ENR66" s="10"/>
      <c r="ENS66" s="10"/>
      <c r="ENT66" s="10"/>
      <c r="ENU66" s="10"/>
      <c r="ENV66" s="10"/>
      <c r="ENW66" s="10"/>
      <c r="ENX66" s="10"/>
      <c r="ENY66" s="10"/>
      <c r="ENZ66" s="10"/>
      <c r="EOA66" s="10"/>
      <c r="EOB66" s="10"/>
      <c r="EOC66" s="10"/>
      <c r="EOD66" s="10"/>
      <c r="EOE66" s="10"/>
      <c r="EOF66" s="10"/>
      <c r="EOG66" s="10"/>
      <c r="EOH66" s="10"/>
      <c r="EOI66" s="10"/>
      <c r="EOJ66" s="10"/>
      <c r="EOK66" s="10"/>
      <c r="EOL66" s="10"/>
      <c r="EOM66" s="10"/>
      <c r="EON66" s="10"/>
      <c r="EOO66" s="10"/>
      <c r="EOP66" s="10"/>
      <c r="EOQ66" s="10"/>
      <c r="EOR66" s="10"/>
      <c r="EOS66" s="10"/>
      <c r="EOT66" s="10"/>
      <c r="EOU66" s="10"/>
      <c r="EOV66" s="10"/>
      <c r="EOW66" s="10"/>
      <c r="EOX66" s="10"/>
      <c r="EOY66" s="10"/>
      <c r="EOZ66" s="10"/>
      <c r="EPA66" s="10"/>
      <c r="EPB66" s="10"/>
      <c r="EPC66" s="10"/>
      <c r="EPD66" s="10"/>
      <c r="EPE66" s="10"/>
      <c r="EPF66" s="10"/>
      <c r="EPG66" s="10"/>
      <c r="EPH66" s="10"/>
      <c r="EPI66" s="10"/>
      <c r="EPJ66" s="10"/>
      <c r="EPK66" s="10"/>
      <c r="EPL66" s="10"/>
      <c r="EPM66" s="10"/>
      <c r="EPN66" s="10"/>
      <c r="EPO66" s="10"/>
      <c r="EPP66" s="10"/>
      <c r="EPQ66" s="10"/>
      <c r="EPR66" s="10"/>
      <c r="EPS66" s="10"/>
      <c r="EPT66" s="10"/>
      <c r="EPU66" s="10"/>
      <c r="EPV66" s="10"/>
      <c r="EPW66" s="10"/>
      <c r="EPX66" s="10"/>
      <c r="EPY66" s="10"/>
      <c r="EPZ66" s="10"/>
      <c r="EQA66" s="10"/>
      <c r="EQB66" s="10"/>
      <c r="EQC66" s="10"/>
      <c r="EQD66" s="10"/>
      <c r="EQE66" s="10"/>
      <c r="EQF66" s="10"/>
      <c r="EQG66" s="10"/>
      <c r="EQH66" s="10"/>
      <c r="EQI66" s="10"/>
      <c r="EQJ66" s="10"/>
      <c r="EQK66" s="10"/>
      <c r="EQL66" s="10"/>
      <c r="EQM66" s="10"/>
      <c r="EQN66" s="10"/>
      <c r="EQO66" s="10"/>
      <c r="EQP66" s="10"/>
      <c r="EQQ66" s="10"/>
      <c r="EQR66" s="10"/>
      <c r="EQS66" s="10"/>
      <c r="EQT66" s="10"/>
      <c r="EQU66" s="10"/>
      <c r="EQV66" s="10"/>
      <c r="EQW66" s="10"/>
      <c r="EQX66" s="10"/>
      <c r="EQY66" s="10"/>
      <c r="EQZ66" s="10"/>
      <c r="ERA66" s="10"/>
      <c r="ERB66" s="10"/>
      <c r="ERC66" s="10"/>
      <c r="ERD66" s="10"/>
      <c r="ERE66" s="10"/>
      <c r="ERF66" s="10"/>
      <c r="ERG66" s="10"/>
      <c r="ERH66" s="10"/>
      <c r="ERI66" s="10"/>
      <c r="ERJ66" s="10"/>
      <c r="ERK66" s="10"/>
      <c r="ERL66" s="10"/>
      <c r="ERM66" s="10"/>
      <c r="ERN66" s="10"/>
      <c r="ERO66" s="10"/>
      <c r="ERP66" s="10"/>
      <c r="ERQ66" s="10"/>
      <c r="ERR66" s="10"/>
      <c r="ERS66" s="10"/>
      <c r="ERT66" s="10"/>
      <c r="ERU66" s="10"/>
      <c r="ERV66" s="10"/>
      <c r="ERW66" s="10"/>
      <c r="ERX66" s="10"/>
      <c r="ERY66" s="10"/>
      <c r="ERZ66" s="10"/>
      <c r="ESA66" s="10"/>
      <c r="ESB66" s="10"/>
      <c r="ESC66" s="10"/>
      <c r="ESD66" s="10"/>
      <c r="ESE66" s="10"/>
      <c r="ESF66" s="10"/>
      <c r="ESG66" s="10"/>
      <c r="ESH66" s="10"/>
      <c r="ESI66" s="10"/>
      <c r="ESJ66" s="10"/>
      <c r="ESK66" s="10"/>
      <c r="ESL66" s="10"/>
      <c r="ESM66" s="10"/>
      <c r="ESN66" s="10"/>
      <c r="ESO66" s="10"/>
      <c r="ESP66" s="10"/>
      <c r="ESQ66" s="10"/>
      <c r="ESR66" s="10"/>
      <c r="ESS66" s="10"/>
      <c r="EST66" s="10"/>
      <c r="ESU66" s="10"/>
      <c r="ESV66" s="10"/>
      <c r="ESW66" s="10"/>
      <c r="ESX66" s="10"/>
      <c r="ESY66" s="10"/>
      <c r="ESZ66" s="10"/>
      <c r="ETA66" s="10"/>
      <c r="ETB66" s="10"/>
      <c r="ETC66" s="10"/>
      <c r="ETD66" s="10"/>
      <c r="ETE66" s="10"/>
      <c r="ETF66" s="10"/>
      <c r="ETG66" s="10"/>
      <c r="ETH66" s="10"/>
      <c r="ETI66" s="10"/>
      <c r="ETJ66" s="10"/>
      <c r="ETK66" s="10"/>
      <c r="ETL66" s="10"/>
      <c r="ETM66" s="10"/>
      <c r="ETN66" s="10"/>
      <c r="ETO66" s="10"/>
      <c r="ETP66" s="10"/>
      <c r="ETQ66" s="10"/>
      <c r="ETR66" s="10"/>
      <c r="ETS66" s="10"/>
      <c r="ETT66" s="10"/>
      <c r="ETU66" s="10"/>
      <c r="ETV66" s="10"/>
      <c r="ETW66" s="10"/>
      <c r="ETX66" s="10"/>
      <c r="ETY66" s="10"/>
      <c r="ETZ66" s="10"/>
      <c r="EUA66" s="10"/>
      <c r="EUB66" s="10"/>
      <c r="EUC66" s="10"/>
      <c r="EUD66" s="10"/>
      <c r="EUE66" s="10"/>
      <c r="EUF66" s="10"/>
      <c r="EUG66" s="10"/>
      <c r="EUH66" s="10"/>
      <c r="EUI66" s="10"/>
      <c r="EUJ66" s="10"/>
      <c r="EUK66" s="10"/>
      <c r="EUL66" s="10"/>
      <c r="EUM66" s="10"/>
      <c r="EUN66" s="10"/>
      <c r="EUO66" s="10"/>
      <c r="EUP66" s="10"/>
      <c r="EUQ66" s="10"/>
      <c r="EUR66" s="10"/>
      <c r="EUS66" s="10"/>
      <c r="EUT66" s="10"/>
      <c r="EUU66" s="10"/>
      <c r="EUV66" s="10"/>
      <c r="EUW66" s="10"/>
      <c r="EUX66" s="10"/>
      <c r="EUY66" s="10"/>
      <c r="EUZ66" s="10"/>
      <c r="EVA66" s="10"/>
      <c r="EVB66" s="10"/>
      <c r="EVC66" s="10"/>
      <c r="EVD66" s="10"/>
      <c r="EVE66" s="10"/>
      <c r="EVF66" s="10"/>
      <c r="EVG66" s="10"/>
      <c r="EVH66" s="10"/>
      <c r="EVI66" s="10"/>
      <c r="EVJ66" s="10"/>
      <c r="EVK66" s="10"/>
      <c r="EVL66" s="10"/>
      <c r="EVM66" s="10"/>
      <c r="EVN66" s="10"/>
      <c r="EVO66" s="10"/>
      <c r="EVP66" s="10"/>
      <c r="EVQ66" s="10"/>
      <c r="EVR66" s="10"/>
      <c r="EVS66" s="10"/>
      <c r="EVT66" s="10"/>
      <c r="EVU66" s="10"/>
      <c r="EVV66" s="10"/>
      <c r="EVW66" s="10"/>
      <c r="EVX66" s="10"/>
      <c r="EVY66" s="10"/>
      <c r="EVZ66" s="10"/>
      <c r="EWA66" s="10"/>
      <c r="EWB66" s="10"/>
      <c r="EWC66" s="10"/>
      <c r="EWD66" s="10"/>
      <c r="EWE66" s="10"/>
      <c r="EWF66" s="10"/>
      <c r="EWG66" s="10"/>
      <c r="EWH66" s="10"/>
      <c r="EWI66" s="10"/>
      <c r="EWJ66" s="10"/>
      <c r="EWK66" s="10"/>
      <c r="EWL66" s="10"/>
      <c r="EWM66" s="10"/>
      <c r="EWN66" s="10"/>
      <c r="EWO66" s="10"/>
      <c r="EWP66" s="10"/>
      <c r="EWQ66" s="10"/>
      <c r="EWR66" s="10"/>
      <c r="EWS66" s="10"/>
      <c r="EWT66" s="10"/>
      <c r="EWU66" s="10"/>
      <c r="EWV66" s="10"/>
      <c r="EWW66" s="10"/>
      <c r="EWX66" s="10"/>
      <c r="EWY66" s="10"/>
      <c r="EWZ66" s="10"/>
      <c r="EXA66" s="10"/>
      <c r="EXB66" s="10"/>
      <c r="EXC66" s="10"/>
      <c r="EXD66" s="10"/>
      <c r="EXE66" s="10"/>
      <c r="EXF66" s="10"/>
      <c r="EXG66" s="10"/>
      <c r="EXH66" s="10"/>
      <c r="EXI66" s="10"/>
      <c r="EXJ66" s="10"/>
      <c r="EXK66" s="10"/>
      <c r="EXL66" s="10"/>
      <c r="EXM66" s="10"/>
      <c r="EXN66" s="10"/>
      <c r="EXO66" s="10"/>
      <c r="EXP66" s="10"/>
      <c r="EXQ66" s="10"/>
      <c r="EXR66" s="10"/>
      <c r="EXS66" s="10"/>
      <c r="EXT66" s="10"/>
      <c r="EXU66" s="10"/>
      <c r="EXV66" s="10"/>
      <c r="EXW66" s="10"/>
      <c r="EXX66" s="10"/>
      <c r="EXY66" s="10"/>
      <c r="EXZ66" s="10"/>
      <c r="EYA66" s="10"/>
      <c r="EYB66" s="10"/>
      <c r="EYC66" s="10"/>
      <c r="EYD66" s="10"/>
      <c r="EYE66" s="10"/>
      <c r="EYF66" s="10"/>
      <c r="EYG66" s="10"/>
      <c r="EYH66" s="10"/>
      <c r="EYI66" s="10"/>
      <c r="EYJ66" s="10"/>
      <c r="EYK66" s="10"/>
      <c r="EYL66" s="10"/>
      <c r="EYM66" s="10"/>
      <c r="EYN66" s="10"/>
      <c r="EYO66" s="10"/>
      <c r="EYP66" s="10"/>
      <c r="EYQ66" s="10"/>
      <c r="EYR66" s="10"/>
      <c r="EYS66" s="10"/>
      <c r="EYT66" s="10"/>
      <c r="EYU66" s="10"/>
      <c r="EYV66" s="10"/>
      <c r="EYW66" s="10"/>
      <c r="EYX66" s="10"/>
      <c r="EYY66" s="10"/>
      <c r="EYZ66" s="10"/>
      <c r="EZA66" s="10"/>
      <c r="EZB66" s="10"/>
      <c r="EZC66" s="10"/>
      <c r="EZD66" s="10"/>
      <c r="EZE66" s="10"/>
      <c r="EZF66" s="10"/>
      <c r="EZG66" s="10"/>
      <c r="EZH66" s="10"/>
      <c r="EZI66" s="10"/>
      <c r="EZJ66" s="10"/>
      <c r="EZK66" s="10"/>
      <c r="EZL66" s="10"/>
      <c r="EZM66" s="10"/>
      <c r="EZN66" s="10"/>
      <c r="EZO66" s="10"/>
      <c r="EZP66" s="10"/>
      <c r="EZQ66" s="10"/>
      <c r="EZR66" s="10"/>
      <c r="EZS66" s="10"/>
      <c r="EZT66" s="10"/>
      <c r="EZU66" s="10"/>
      <c r="EZV66" s="10"/>
      <c r="EZW66" s="10"/>
      <c r="EZX66" s="10"/>
      <c r="EZY66" s="10"/>
      <c r="EZZ66" s="10"/>
      <c r="FAA66" s="10"/>
      <c r="FAB66" s="10"/>
      <c r="FAC66" s="10"/>
      <c r="FAD66" s="10"/>
      <c r="FAE66" s="10"/>
      <c r="FAF66" s="10"/>
      <c r="FAG66" s="10"/>
      <c r="FAH66" s="10"/>
      <c r="FAI66" s="10"/>
      <c r="FAJ66" s="10"/>
      <c r="FAK66" s="10"/>
      <c r="FAL66" s="10"/>
      <c r="FAM66" s="10"/>
      <c r="FAN66" s="10"/>
      <c r="FAO66" s="10"/>
      <c r="FAP66" s="10"/>
      <c r="FAQ66" s="10"/>
      <c r="FAR66" s="10"/>
      <c r="FAS66" s="10"/>
      <c r="FAT66" s="10"/>
      <c r="FAU66" s="10"/>
      <c r="FAV66" s="10"/>
      <c r="FAW66" s="10"/>
      <c r="FAX66" s="10"/>
      <c r="FAY66" s="10"/>
      <c r="FAZ66" s="10"/>
      <c r="FBA66" s="10"/>
      <c r="FBB66" s="10"/>
      <c r="FBC66" s="10"/>
      <c r="FBD66" s="10"/>
      <c r="FBE66" s="10"/>
      <c r="FBF66" s="10"/>
      <c r="FBG66" s="10"/>
      <c r="FBH66" s="10"/>
      <c r="FBI66" s="10"/>
      <c r="FBJ66" s="10"/>
      <c r="FBK66" s="10"/>
      <c r="FBL66" s="10"/>
      <c r="FBM66" s="10"/>
      <c r="FBN66" s="10"/>
      <c r="FBO66" s="10"/>
      <c r="FBP66" s="10"/>
      <c r="FBQ66" s="10"/>
      <c r="FBR66" s="10"/>
      <c r="FBS66" s="10"/>
      <c r="FBT66" s="10"/>
      <c r="FBU66" s="10"/>
      <c r="FBV66" s="10"/>
      <c r="FBW66" s="10"/>
      <c r="FBX66" s="10"/>
      <c r="FBY66" s="10"/>
      <c r="FBZ66" s="10"/>
      <c r="FCA66" s="10"/>
      <c r="FCB66" s="10"/>
      <c r="FCC66" s="10"/>
      <c r="FCD66" s="10"/>
      <c r="FCE66" s="10"/>
      <c r="FCF66" s="10"/>
      <c r="FCG66" s="10"/>
      <c r="FCH66" s="10"/>
      <c r="FCI66" s="10"/>
      <c r="FCJ66" s="10"/>
      <c r="FCK66" s="10"/>
      <c r="FCL66" s="10"/>
      <c r="FCM66" s="10"/>
      <c r="FCN66" s="10"/>
      <c r="FCO66" s="10"/>
      <c r="FCP66" s="10"/>
      <c r="FCQ66" s="10"/>
      <c r="FCR66" s="10"/>
      <c r="FCS66" s="10"/>
      <c r="FCT66" s="10"/>
      <c r="FCU66" s="10"/>
      <c r="FCV66" s="10"/>
      <c r="FCW66" s="10"/>
      <c r="FCX66" s="10"/>
      <c r="FCY66" s="10"/>
      <c r="FCZ66" s="10"/>
      <c r="FDA66" s="10"/>
      <c r="FDB66" s="10"/>
      <c r="FDC66" s="10"/>
      <c r="FDD66" s="10"/>
      <c r="FDE66" s="10"/>
      <c r="FDF66" s="10"/>
      <c r="FDG66" s="10"/>
      <c r="FDH66" s="10"/>
      <c r="FDI66" s="10"/>
      <c r="FDJ66" s="10"/>
      <c r="FDK66" s="10"/>
      <c r="FDL66" s="10"/>
      <c r="FDM66" s="10"/>
      <c r="FDN66" s="10"/>
      <c r="FDO66" s="10"/>
      <c r="FDP66" s="10"/>
      <c r="FDQ66" s="10"/>
      <c r="FDR66" s="10"/>
      <c r="FDS66" s="10"/>
      <c r="FDT66" s="10"/>
      <c r="FDU66" s="10"/>
      <c r="FDV66" s="10"/>
      <c r="FDW66" s="10"/>
      <c r="FDX66" s="10"/>
      <c r="FDY66" s="10"/>
      <c r="FDZ66" s="10"/>
      <c r="FEA66" s="10"/>
      <c r="FEB66" s="10"/>
      <c r="FEC66" s="10"/>
      <c r="FED66" s="10"/>
      <c r="FEE66" s="10"/>
      <c r="FEF66" s="10"/>
      <c r="FEG66" s="10"/>
      <c r="FEH66" s="10"/>
      <c r="FEI66" s="10"/>
      <c r="FEJ66" s="10"/>
      <c r="FEK66" s="10"/>
      <c r="FEL66" s="10"/>
      <c r="FEM66" s="10"/>
      <c r="FEN66" s="10"/>
      <c r="FEO66" s="10"/>
      <c r="FEP66" s="10"/>
      <c r="FEQ66" s="10"/>
      <c r="FER66" s="10"/>
      <c r="FES66" s="10"/>
      <c r="FET66" s="10"/>
      <c r="FEU66" s="10"/>
      <c r="FEV66" s="10"/>
      <c r="FEW66" s="10"/>
      <c r="FEX66" s="10"/>
      <c r="FEY66" s="10"/>
      <c r="FEZ66" s="10"/>
      <c r="FFA66" s="10"/>
      <c r="FFB66" s="10"/>
      <c r="FFC66" s="10"/>
      <c r="FFD66" s="10"/>
      <c r="FFE66" s="10"/>
      <c r="FFF66" s="10"/>
      <c r="FFG66" s="10"/>
      <c r="FFH66" s="10"/>
      <c r="FFI66" s="10"/>
      <c r="FFJ66" s="10"/>
      <c r="FFK66" s="10"/>
      <c r="FFL66" s="10"/>
      <c r="FFM66" s="10"/>
      <c r="FFN66" s="10"/>
      <c r="FFO66" s="10"/>
      <c r="FFP66" s="10"/>
      <c r="FFQ66" s="10"/>
      <c r="FFR66" s="10"/>
      <c r="FFS66" s="10"/>
      <c r="FFT66" s="10"/>
      <c r="FFU66" s="10"/>
      <c r="FFV66" s="10"/>
      <c r="FFW66" s="10"/>
      <c r="FFX66" s="10"/>
      <c r="FFY66" s="10"/>
      <c r="FFZ66" s="10"/>
      <c r="FGA66" s="10"/>
      <c r="FGB66" s="10"/>
      <c r="FGC66" s="10"/>
      <c r="FGD66" s="10"/>
      <c r="FGE66" s="10"/>
      <c r="FGF66" s="10"/>
      <c r="FGG66" s="10"/>
      <c r="FGH66" s="10"/>
      <c r="FGI66" s="10"/>
      <c r="FGJ66" s="10"/>
      <c r="FGK66" s="10"/>
      <c r="FGL66" s="10"/>
      <c r="FGM66" s="10"/>
      <c r="FGN66" s="10"/>
      <c r="FGO66" s="10"/>
      <c r="FGP66" s="10"/>
      <c r="FGQ66" s="10"/>
      <c r="FGR66" s="10"/>
      <c r="FGS66" s="10"/>
      <c r="FGT66" s="10"/>
      <c r="FGU66" s="10"/>
      <c r="FGV66" s="10"/>
      <c r="FGW66" s="10"/>
      <c r="FGX66" s="10"/>
      <c r="FGY66" s="10"/>
      <c r="FGZ66" s="10"/>
      <c r="FHA66" s="10"/>
      <c r="FHB66" s="10"/>
      <c r="FHC66" s="10"/>
      <c r="FHD66" s="10"/>
      <c r="FHE66" s="10"/>
      <c r="FHF66" s="10"/>
      <c r="FHG66" s="10"/>
      <c r="FHH66" s="10"/>
      <c r="FHI66" s="10"/>
      <c r="FHJ66" s="10"/>
      <c r="FHK66" s="10"/>
      <c r="FHL66" s="10"/>
      <c r="FHM66" s="10"/>
      <c r="FHN66" s="10"/>
      <c r="FHO66" s="10"/>
      <c r="FHP66" s="10"/>
      <c r="FHQ66" s="10"/>
      <c r="FHR66" s="10"/>
      <c r="FHS66" s="10"/>
      <c r="FHT66" s="10"/>
      <c r="FHU66" s="10"/>
      <c r="FHV66" s="10"/>
      <c r="FHW66" s="10"/>
      <c r="FHX66" s="10"/>
      <c r="FHY66" s="10"/>
      <c r="FHZ66" s="10"/>
      <c r="FIA66" s="10"/>
      <c r="FIB66" s="10"/>
      <c r="FIC66" s="10"/>
      <c r="FID66" s="10"/>
      <c r="FIE66" s="10"/>
      <c r="FIF66" s="10"/>
      <c r="FIG66" s="10"/>
      <c r="FIH66" s="10"/>
      <c r="FII66" s="10"/>
      <c r="FIJ66" s="10"/>
      <c r="FIK66" s="10"/>
      <c r="FIL66" s="10"/>
      <c r="FIM66" s="10"/>
      <c r="FIN66" s="10"/>
      <c r="FIO66" s="10"/>
      <c r="FIP66" s="10"/>
      <c r="FIQ66" s="10"/>
      <c r="FIR66" s="10"/>
      <c r="FIS66" s="10"/>
      <c r="FIT66" s="10"/>
      <c r="FIU66" s="10"/>
      <c r="FIV66" s="10"/>
      <c r="FIW66" s="10"/>
      <c r="FIX66" s="10"/>
      <c r="FIY66" s="10"/>
      <c r="FIZ66" s="10"/>
      <c r="FJA66" s="10"/>
      <c r="FJB66" s="10"/>
      <c r="FJC66" s="10"/>
      <c r="FJD66" s="10"/>
      <c r="FJE66" s="10"/>
      <c r="FJF66" s="10"/>
      <c r="FJG66" s="10"/>
      <c r="FJH66" s="10"/>
      <c r="FJI66" s="10"/>
      <c r="FJJ66" s="10"/>
      <c r="FJK66" s="10"/>
      <c r="FJL66" s="10"/>
      <c r="FJM66" s="10"/>
      <c r="FJN66" s="10"/>
      <c r="FJO66" s="10"/>
      <c r="FJP66" s="10"/>
      <c r="FJQ66" s="10"/>
      <c r="FJR66" s="10"/>
      <c r="FJS66" s="10"/>
      <c r="FJT66" s="10"/>
      <c r="FJU66" s="10"/>
      <c r="FJV66" s="10"/>
      <c r="FJW66" s="10"/>
      <c r="FJX66" s="10"/>
      <c r="FJY66" s="10"/>
      <c r="FJZ66" s="10"/>
      <c r="FKA66" s="10"/>
      <c r="FKB66" s="10"/>
      <c r="FKC66" s="10"/>
      <c r="FKD66" s="10"/>
      <c r="FKE66" s="10"/>
      <c r="FKF66" s="10"/>
      <c r="FKG66" s="10"/>
      <c r="FKH66" s="10"/>
      <c r="FKI66" s="10"/>
      <c r="FKJ66" s="10"/>
      <c r="FKK66" s="10"/>
      <c r="FKL66" s="10"/>
      <c r="FKM66" s="10"/>
      <c r="FKN66" s="10"/>
      <c r="FKO66" s="10"/>
      <c r="FKP66" s="10"/>
      <c r="FKQ66" s="10"/>
      <c r="FKR66" s="10"/>
      <c r="FKS66" s="10"/>
      <c r="FKT66" s="10"/>
      <c r="FKU66" s="10"/>
      <c r="FKV66" s="10"/>
      <c r="FKW66" s="10"/>
      <c r="FKX66" s="10"/>
      <c r="FKY66" s="10"/>
      <c r="FKZ66" s="10"/>
      <c r="FLA66" s="10"/>
      <c r="FLB66" s="10"/>
      <c r="FLC66" s="10"/>
      <c r="FLD66" s="10"/>
      <c r="FLE66" s="10"/>
      <c r="FLF66" s="10"/>
      <c r="FLG66" s="10"/>
      <c r="FLH66" s="10"/>
      <c r="FLI66" s="10"/>
      <c r="FLJ66" s="10"/>
      <c r="FLK66" s="10"/>
      <c r="FLL66" s="10"/>
      <c r="FLM66" s="10"/>
      <c r="FLN66" s="10"/>
      <c r="FLO66" s="10"/>
      <c r="FLP66" s="10"/>
      <c r="FLQ66" s="10"/>
      <c r="FLR66" s="10"/>
      <c r="FLS66" s="10"/>
      <c r="FLT66" s="10"/>
      <c r="FLU66" s="10"/>
      <c r="FLV66" s="10"/>
      <c r="FLW66" s="10"/>
      <c r="FLX66" s="10"/>
      <c r="FLY66" s="10"/>
      <c r="FLZ66" s="10"/>
      <c r="FMA66" s="10"/>
      <c r="FMB66" s="10"/>
      <c r="FMC66" s="10"/>
      <c r="FMD66" s="10"/>
      <c r="FME66" s="10"/>
      <c r="FMF66" s="10"/>
      <c r="FMG66" s="10"/>
      <c r="FMH66" s="10"/>
      <c r="FMI66" s="10"/>
      <c r="FMJ66" s="10"/>
      <c r="FMK66" s="10"/>
      <c r="FML66" s="10"/>
      <c r="FMM66" s="10"/>
      <c r="FMN66" s="10"/>
      <c r="FMO66" s="10"/>
      <c r="FMP66" s="10"/>
      <c r="FMQ66" s="10"/>
      <c r="FMR66" s="10"/>
      <c r="FMS66" s="10"/>
      <c r="FMT66" s="10"/>
      <c r="FMU66" s="10"/>
      <c r="FMV66" s="10"/>
      <c r="FMW66" s="10"/>
      <c r="FMX66" s="10"/>
      <c r="FMY66" s="10"/>
      <c r="FMZ66" s="10"/>
      <c r="FNA66" s="10"/>
      <c r="FNB66" s="10"/>
      <c r="FNC66" s="10"/>
      <c r="FND66" s="10"/>
      <c r="FNE66" s="10"/>
      <c r="FNF66" s="10"/>
      <c r="FNG66" s="10"/>
      <c r="FNH66" s="10"/>
      <c r="FNI66" s="10"/>
      <c r="FNJ66" s="10"/>
      <c r="FNK66" s="10"/>
      <c r="FNL66" s="10"/>
      <c r="FNM66" s="10"/>
      <c r="FNN66" s="10"/>
      <c r="FNO66" s="10"/>
      <c r="FNP66" s="10"/>
      <c r="FNQ66" s="10"/>
      <c r="FNR66" s="10"/>
      <c r="FNS66" s="10"/>
      <c r="FNT66" s="10"/>
      <c r="FNU66" s="10"/>
      <c r="FNV66" s="10"/>
      <c r="FNW66" s="10"/>
      <c r="FNX66" s="10"/>
      <c r="FNY66" s="10"/>
      <c r="FNZ66" s="10"/>
      <c r="FOA66" s="10"/>
      <c r="FOB66" s="10"/>
      <c r="FOC66" s="10"/>
      <c r="FOD66" s="10"/>
      <c r="FOE66" s="10"/>
      <c r="FOF66" s="10"/>
      <c r="FOG66" s="10"/>
      <c r="FOH66" s="10"/>
      <c r="FOI66" s="10"/>
      <c r="FOJ66" s="10"/>
      <c r="FOK66" s="10"/>
      <c r="FOL66" s="10"/>
      <c r="FOM66" s="10"/>
      <c r="FON66" s="10"/>
      <c r="FOO66" s="10"/>
      <c r="FOP66" s="10"/>
      <c r="FOQ66" s="10"/>
      <c r="FOR66" s="10"/>
      <c r="FOS66" s="10"/>
      <c r="FOT66" s="10"/>
      <c r="FOU66" s="10"/>
      <c r="FOV66" s="10"/>
      <c r="FOW66" s="10"/>
      <c r="FOX66" s="10"/>
      <c r="FOY66" s="10"/>
      <c r="FOZ66" s="10"/>
      <c r="FPA66" s="10"/>
      <c r="FPB66" s="10"/>
      <c r="FPC66" s="10"/>
      <c r="FPD66" s="10"/>
      <c r="FPE66" s="10"/>
      <c r="FPF66" s="10"/>
      <c r="FPG66" s="10"/>
      <c r="FPH66" s="10"/>
      <c r="FPI66" s="10"/>
      <c r="FPJ66" s="10"/>
      <c r="FPK66" s="10"/>
      <c r="FPL66" s="10"/>
      <c r="FPM66" s="10"/>
      <c r="FPN66" s="10"/>
      <c r="FPO66" s="10"/>
      <c r="FPP66" s="10"/>
      <c r="FPQ66" s="10"/>
      <c r="FPR66" s="10"/>
      <c r="FPS66" s="10"/>
      <c r="FPT66" s="10"/>
      <c r="FPU66" s="10"/>
      <c r="FPV66" s="10"/>
      <c r="FPW66" s="10"/>
      <c r="FPX66" s="10"/>
      <c r="FPY66" s="10"/>
      <c r="FPZ66" s="10"/>
      <c r="FQA66" s="10"/>
      <c r="FQB66" s="10"/>
      <c r="FQC66" s="10"/>
      <c r="FQD66" s="10"/>
      <c r="FQE66" s="10"/>
      <c r="FQF66" s="10"/>
      <c r="FQG66" s="10"/>
      <c r="FQH66" s="10"/>
      <c r="FQI66" s="10"/>
      <c r="FQJ66" s="10"/>
      <c r="FQK66" s="10"/>
      <c r="FQL66" s="10"/>
      <c r="FQM66" s="10"/>
      <c r="FQN66" s="10"/>
      <c r="FQO66" s="10"/>
      <c r="FQP66" s="10"/>
      <c r="FQQ66" s="10"/>
      <c r="FQR66" s="10"/>
      <c r="FQS66" s="10"/>
      <c r="FQT66" s="10"/>
      <c r="FQU66" s="10"/>
      <c r="FQV66" s="10"/>
      <c r="FQW66" s="10"/>
      <c r="FQX66" s="10"/>
      <c r="FQY66" s="10"/>
      <c r="FQZ66" s="10"/>
      <c r="FRA66" s="10"/>
      <c r="FRB66" s="10"/>
      <c r="FRC66" s="10"/>
      <c r="FRD66" s="10"/>
      <c r="FRE66" s="10"/>
      <c r="FRF66" s="10"/>
      <c r="FRG66" s="10"/>
      <c r="FRH66" s="10"/>
      <c r="FRI66" s="10"/>
      <c r="FRJ66" s="10"/>
      <c r="FRK66" s="10"/>
      <c r="FRL66" s="10"/>
      <c r="FRM66" s="10"/>
      <c r="FRN66" s="10"/>
      <c r="FRO66" s="10"/>
      <c r="FRP66" s="10"/>
      <c r="FRQ66" s="10"/>
      <c r="FRR66" s="10"/>
      <c r="FRS66" s="10"/>
      <c r="FRT66" s="10"/>
      <c r="FRU66" s="10"/>
      <c r="FRV66" s="10"/>
      <c r="FRW66" s="10"/>
      <c r="FRX66" s="10"/>
      <c r="FRY66" s="10"/>
      <c r="FRZ66" s="10"/>
      <c r="FSA66" s="10"/>
      <c r="FSB66" s="10"/>
      <c r="FSC66" s="10"/>
      <c r="FSD66" s="10"/>
      <c r="FSE66" s="10"/>
      <c r="FSF66" s="10"/>
      <c r="FSG66" s="10"/>
      <c r="FSH66" s="10"/>
      <c r="FSI66" s="10"/>
      <c r="FSJ66" s="10"/>
      <c r="FSK66" s="10"/>
      <c r="FSL66" s="10"/>
      <c r="FSM66" s="10"/>
      <c r="FSN66" s="10"/>
      <c r="FSO66" s="10"/>
      <c r="FSP66" s="10"/>
      <c r="FSQ66" s="10"/>
      <c r="FSR66" s="10"/>
      <c r="FSS66" s="10"/>
      <c r="FST66" s="10"/>
      <c r="FSU66" s="10"/>
      <c r="FSV66" s="10"/>
      <c r="FSW66" s="10"/>
      <c r="FSX66" s="10"/>
      <c r="FSY66" s="10"/>
      <c r="FSZ66" s="10"/>
      <c r="FTA66" s="10"/>
      <c r="FTB66" s="10"/>
      <c r="FTC66" s="10"/>
      <c r="FTD66" s="10"/>
      <c r="FTE66" s="10"/>
      <c r="FTF66" s="10"/>
      <c r="FTG66" s="10"/>
      <c r="FTH66" s="10"/>
      <c r="FTI66" s="10"/>
      <c r="FTJ66" s="10"/>
      <c r="FTK66" s="10"/>
      <c r="FTL66" s="10"/>
      <c r="FTM66" s="10"/>
      <c r="FTN66" s="10"/>
      <c r="FTO66" s="10"/>
      <c r="FTP66" s="10"/>
      <c r="FTQ66" s="10"/>
      <c r="FTR66" s="10"/>
      <c r="FTS66" s="10"/>
      <c r="FTT66" s="10"/>
      <c r="FTU66" s="10"/>
      <c r="FTV66" s="10"/>
      <c r="FTW66" s="10"/>
      <c r="FTX66" s="10"/>
      <c r="FTY66" s="10"/>
      <c r="FTZ66" s="10"/>
      <c r="FUA66" s="10"/>
      <c r="FUB66" s="10"/>
      <c r="FUC66" s="10"/>
      <c r="FUD66" s="10"/>
      <c r="FUE66" s="10"/>
      <c r="FUF66" s="10"/>
      <c r="FUG66" s="10"/>
      <c r="FUH66" s="10"/>
      <c r="FUI66" s="10"/>
      <c r="FUJ66" s="10"/>
      <c r="FUK66" s="10"/>
      <c r="FUL66" s="10"/>
      <c r="FUM66" s="10"/>
      <c r="FUN66" s="10"/>
      <c r="FUO66" s="10"/>
      <c r="FUP66" s="10"/>
      <c r="FUQ66" s="10"/>
      <c r="FUR66" s="10"/>
      <c r="FUS66" s="10"/>
      <c r="FUT66" s="10"/>
      <c r="FUU66" s="10"/>
      <c r="FUV66" s="10"/>
      <c r="FUW66" s="10"/>
      <c r="FUX66" s="10"/>
      <c r="FUY66" s="10"/>
      <c r="FUZ66" s="10"/>
      <c r="FVA66" s="10"/>
      <c r="FVB66" s="10"/>
      <c r="FVC66" s="10"/>
      <c r="FVD66" s="10"/>
      <c r="FVE66" s="10"/>
      <c r="FVF66" s="10"/>
      <c r="FVG66" s="10"/>
      <c r="FVH66" s="10"/>
      <c r="FVI66" s="10"/>
      <c r="FVJ66" s="10"/>
      <c r="FVK66" s="10"/>
      <c r="FVL66" s="10"/>
      <c r="FVM66" s="10"/>
      <c r="FVN66" s="10"/>
      <c r="FVO66" s="10"/>
      <c r="FVP66" s="10"/>
      <c r="FVQ66" s="10"/>
      <c r="FVR66" s="10"/>
      <c r="FVS66" s="10"/>
      <c r="FVT66" s="10"/>
      <c r="FVU66" s="10"/>
      <c r="FVV66" s="10"/>
      <c r="FVW66" s="10"/>
      <c r="FVX66" s="10"/>
      <c r="FVY66" s="10"/>
      <c r="FVZ66" s="10"/>
      <c r="FWA66" s="10"/>
      <c r="FWB66" s="10"/>
      <c r="FWC66" s="10"/>
      <c r="FWD66" s="10"/>
      <c r="FWE66" s="10"/>
      <c r="FWF66" s="10"/>
      <c r="FWG66" s="10"/>
      <c r="FWH66" s="10"/>
      <c r="FWI66" s="10"/>
      <c r="FWJ66" s="10"/>
      <c r="FWK66" s="10"/>
      <c r="FWL66" s="10"/>
      <c r="FWM66" s="10"/>
      <c r="FWN66" s="10"/>
      <c r="FWO66" s="10"/>
      <c r="FWP66" s="10"/>
      <c r="FWQ66" s="10"/>
      <c r="FWR66" s="10"/>
      <c r="FWS66" s="10"/>
      <c r="FWT66" s="10"/>
      <c r="FWU66" s="10"/>
      <c r="FWV66" s="10"/>
      <c r="FWW66" s="10"/>
      <c r="FWX66" s="10"/>
      <c r="FWY66" s="10"/>
      <c r="FWZ66" s="10"/>
      <c r="FXA66" s="10"/>
      <c r="FXB66" s="10"/>
      <c r="FXC66" s="10"/>
      <c r="FXD66" s="10"/>
      <c r="FXE66" s="10"/>
      <c r="FXF66" s="10"/>
      <c r="FXG66" s="10"/>
      <c r="FXH66" s="10"/>
      <c r="FXI66" s="10"/>
      <c r="FXJ66" s="10"/>
      <c r="FXK66" s="10"/>
      <c r="FXL66" s="10"/>
      <c r="FXM66" s="10"/>
      <c r="FXN66" s="10"/>
      <c r="FXO66" s="10"/>
      <c r="FXP66" s="10"/>
      <c r="FXQ66" s="10"/>
      <c r="FXR66" s="10"/>
      <c r="FXS66" s="10"/>
      <c r="FXT66" s="10"/>
      <c r="FXU66" s="10"/>
      <c r="FXV66" s="10"/>
      <c r="FXW66" s="10"/>
      <c r="FXX66" s="10"/>
      <c r="FXY66" s="10"/>
      <c r="FXZ66" s="10"/>
      <c r="FYA66" s="10"/>
      <c r="FYB66" s="10"/>
      <c r="FYC66" s="10"/>
      <c r="FYD66" s="10"/>
      <c r="FYE66" s="10"/>
      <c r="FYF66" s="10"/>
      <c r="FYG66" s="10"/>
      <c r="FYH66" s="10"/>
      <c r="FYI66" s="10"/>
      <c r="FYJ66" s="10"/>
      <c r="FYK66" s="10"/>
      <c r="FYL66" s="10"/>
      <c r="FYM66" s="10"/>
      <c r="FYN66" s="10"/>
      <c r="FYO66" s="10"/>
      <c r="FYP66" s="10"/>
      <c r="FYQ66" s="10"/>
      <c r="FYR66" s="10"/>
      <c r="FYS66" s="10"/>
      <c r="FYT66" s="10"/>
      <c r="FYU66" s="10"/>
      <c r="FYV66" s="10"/>
      <c r="FYW66" s="10"/>
      <c r="FYX66" s="10"/>
      <c r="FYY66" s="10"/>
      <c r="FYZ66" s="10"/>
      <c r="FZA66" s="10"/>
      <c r="FZB66" s="10"/>
      <c r="FZC66" s="10"/>
      <c r="FZD66" s="10"/>
      <c r="FZE66" s="10"/>
      <c r="FZF66" s="10"/>
      <c r="FZG66" s="10"/>
      <c r="FZH66" s="10"/>
      <c r="FZI66" s="10"/>
      <c r="FZJ66" s="10"/>
      <c r="FZK66" s="10"/>
      <c r="FZL66" s="10"/>
      <c r="FZM66" s="10"/>
      <c r="FZN66" s="10"/>
      <c r="FZO66" s="10"/>
      <c r="FZP66" s="10"/>
      <c r="FZQ66" s="10"/>
      <c r="FZR66" s="10"/>
      <c r="FZS66" s="10"/>
      <c r="FZT66" s="10"/>
      <c r="FZU66" s="10"/>
      <c r="FZV66" s="10"/>
      <c r="FZW66" s="10"/>
      <c r="FZX66" s="10"/>
      <c r="FZY66" s="10"/>
      <c r="FZZ66" s="10"/>
      <c r="GAA66" s="10"/>
      <c r="GAB66" s="10"/>
      <c r="GAC66" s="10"/>
      <c r="GAD66" s="10"/>
      <c r="GAE66" s="10"/>
      <c r="GAF66" s="10"/>
      <c r="GAG66" s="10"/>
      <c r="GAH66" s="10"/>
      <c r="GAI66" s="10"/>
      <c r="GAJ66" s="10"/>
      <c r="GAK66" s="10"/>
      <c r="GAL66" s="10"/>
      <c r="GAM66" s="10"/>
      <c r="GAN66" s="10"/>
      <c r="GAO66" s="10"/>
      <c r="GAP66" s="10"/>
      <c r="GAQ66" s="10"/>
      <c r="GAR66" s="10"/>
      <c r="GAS66" s="10"/>
      <c r="GAT66" s="10"/>
      <c r="GAU66" s="10"/>
      <c r="GAV66" s="10"/>
      <c r="GAW66" s="10"/>
      <c r="GAX66" s="10"/>
      <c r="GAY66" s="10"/>
      <c r="GAZ66" s="10"/>
      <c r="GBA66" s="10"/>
      <c r="GBB66" s="10"/>
      <c r="GBC66" s="10"/>
      <c r="GBD66" s="10"/>
      <c r="GBE66" s="10"/>
      <c r="GBF66" s="10"/>
      <c r="GBG66" s="10"/>
      <c r="GBH66" s="10"/>
      <c r="GBI66" s="10"/>
      <c r="GBJ66" s="10"/>
      <c r="GBK66" s="10"/>
      <c r="GBL66" s="10"/>
      <c r="GBM66" s="10"/>
      <c r="GBN66" s="10"/>
      <c r="GBO66" s="10"/>
      <c r="GBP66" s="10"/>
      <c r="GBQ66" s="10"/>
      <c r="GBR66" s="10"/>
      <c r="GBS66" s="10"/>
      <c r="GBT66" s="10"/>
      <c r="GBU66" s="10"/>
      <c r="GBV66" s="10"/>
      <c r="GBW66" s="10"/>
      <c r="GBX66" s="10"/>
      <c r="GBY66" s="10"/>
      <c r="GBZ66" s="10"/>
      <c r="GCA66" s="10"/>
      <c r="GCB66" s="10"/>
      <c r="GCC66" s="10"/>
      <c r="GCD66" s="10"/>
      <c r="GCE66" s="10"/>
      <c r="GCF66" s="10"/>
      <c r="GCG66" s="10"/>
      <c r="GCH66" s="10"/>
      <c r="GCI66" s="10"/>
      <c r="GCJ66" s="10"/>
      <c r="GCK66" s="10"/>
      <c r="GCL66" s="10"/>
      <c r="GCM66" s="10"/>
      <c r="GCN66" s="10"/>
      <c r="GCO66" s="10"/>
      <c r="GCP66" s="10"/>
      <c r="GCQ66" s="10"/>
      <c r="GCR66" s="10"/>
      <c r="GCS66" s="10"/>
      <c r="GCT66" s="10"/>
      <c r="GCU66" s="10"/>
      <c r="GCV66" s="10"/>
      <c r="GCW66" s="10"/>
      <c r="GCX66" s="10"/>
      <c r="GCY66" s="10"/>
      <c r="GCZ66" s="10"/>
      <c r="GDA66" s="10"/>
      <c r="GDB66" s="10"/>
      <c r="GDC66" s="10"/>
      <c r="GDD66" s="10"/>
      <c r="GDE66" s="10"/>
      <c r="GDF66" s="10"/>
      <c r="GDG66" s="10"/>
      <c r="GDH66" s="10"/>
      <c r="GDI66" s="10"/>
      <c r="GDJ66" s="10"/>
      <c r="GDK66" s="10"/>
      <c r="GDL66" s="10"/>
      <c r="GDM66" s="10"/>
      <c r="GDN66" s="10"/>
      <c r="GDO66" s="10"/>
      <c r="GDP66" s="10"/>
      <c r="GDQ66" s="10"/>
      <c r="GDR66" s="10"/>
      <c r="GDS66" s="10"/>
      <c r="GDT66" s="10"/>
      <c r="GDU66" s="10"/>
      <c r="GDV66" s="10"/>
      <c r="GDW66" s="10"/>
      <c r="GDX66" s="10"/>
      <c r="GDY66" s="10"/>
      <c r="GDZ66" s="10"/>
      <c r="GEA66" s="10"/>
      <c r="GEB66" s="10"/>
      <c r="GEC66" s="10"/>
      <c r="GED66" s="10"/>
      <c r="GEE66" s="10"/>
      <c r="GEF66" s="10"/>
      <c r="GEG66" s="10"/>
      <c r="GEH66" s="10"/>
      <c r="GEI66" s="10"/>
      <c r="GEJ66" s="10"/>
      <c r="GEK66" s="10"/>
      <c r="GEL66" s="10"/>
      <c r="GEM66" s="10"/>
      <c r="GEN66" s="10"/>
      <c r="GEO66" s="10"/>
      <c r="GEP66" s="10"/>
      <c r="GEQ66" s="10"/>
      <c r="GER66" s="10"/>
      <c r="GES66" s="10"/>
      <c r="GET66" s="10"/>
      <c r="GEU66" s="10"/>
      <c r="GEV66" s="10"/>
      <c r="GEW66" s="10"/>
      <c r="GEX66" s="10"/>
      <c r="GEY66" s="10"/>
      <c r="GEZ66" s="10"/>
      <c r="GFA66" s="10"/>
      <c r="GFB66" s="10"/>
      <c r="GFC66" s="10"/>
      <c r="GFD66" s="10"/>
      <c r="GFE66" s="10"/>
      <c r="GFF66" s="10"/>
      <c r="GFG66" s="10"/>
      <c r="GFH66" s="10"/>
      <c r="GFI66" s="10"/>
      <c r="GFJ66" s="10"/>
      <c r="GFK66" s="10"/>
      <c r="GFL66" s="10"/>
      <c r="GFM66" s="10"/>
      <c r="GFN66" s="10"/>
      <c r="GFO66" s="10"/>
      <c r="GFP66" s="10"/>
      <c r="GFQ66" s="10"/>
      <c r="GFR66" s="10"/>
      <c r="GFS66" s="10"/>
      <c r="GFT66" s="10"/>
      <c r="GFU66" s="10"/>
      <c r="GFV66" s="10"/>
      <c r="GFW66" s="10"/>
      <c r="GFX66" s="10"/>
      <c r="GFY66" s="10"/>
      <c r="GFZ66" s="10"/>
      <c r="GGA66" s="10"/>
      <c r="GGB66" s="10"/>
      <c r="GGC66" s="10"/>
      <c r="GGD66" s="10"/>
      <c r="GGE66" s="10"/>
      <c r="GGF66" s="10"/>
      <c r="GGG66" s="10"/>
      <c r="GGH66" s="10"/>
      <c r="GGI66" s="10"/>
      <c r="GGJ66" s="10"/>
      <c r="GGK66" s="10"/>
      <c r="GGL66" s="10"/>
      <c r="GGM66" s="10"/>
      <c r="GGN66" s="10"/>
      <c r="GGO66" s="10"/>
      <c r="GGP66" s="10"/>
      <c r="GGQ66" s="10"/>
      <c r="GGR66" s="10"/>
      <c r="GGS66" s="10"/>
      <c r="GGT66" s="10"/>
      <c r="GGU66" s="10"/>
      <c r="GGV66" s="10"/>
      <c r="GGW66" s="10"/>
      <c r="GGX66" s="10"/>
      <c r="GGY66" s="10"/>
      <c r="GGZ66" s="10"/>
      <c r="GHA66" s="10"/>
      <c r="GHB66" s="10"/>
      <c r="GHC66" s="10"/>
      <c r="GHD66" s="10"/>
      <c r="GHE66" s="10"/>
      <c r="GHF66" s="10"/>
      <c r="GHG66" s="10"/>
      <c r="GHH66" s="10"/>
      <c r="GHI66" s="10"/>
      <c r="GHJ66" s="10"/>
      <c r="GHK66" s="10"/>
      <c r="GHL66" s="10"/>
      <c r="GHM66" s="10"/>
      <c r="GHN66" s="10"/>
      <c r="GHO66" s="10"/>
      <c r="GHP66" s="10"/>
      <c r="GHQ66" s="10"/>
      <c r="GHR66" s="10"/>
      <c r="GHS66" s="10"/>
      <c r="GHT66" s="10"/>
      <c r="GHU66" s="10"/>
      <c r="GHV66" s="10"/>
      <c r="GHW66" s="10"/>
      <c r="GHX66" s="10"/>
      <c r="GHY66" s="10"/>
      <c r="GHZ66" s="10"/>
      <c r="GIA66" s="10"/>
      <c r="GIB66" s="10"/>
      <c r="GIC66" s="10"/>
      <c r="GID66" s="10"/>
      <c r="GIE66" s="10"/>
      <c r="GIF66" s="10"/>
      <c r="GIG66" s="10"/>
      <c r="GIH66" s="10"/>
      <c r="GII66" s="10"/>
      <c r="GIJ66" s="10"/>
      <c r="GIK66" s="10"/>
      <c r="GIL66" s="10"/>
      <c r="GIM66" s="10"/>
      <c r="GIN66" s="10"/>
      <c r="GIO66" s="10"/>
      <c r="GIP66" s="10"/>
      <c r="GIQ66" s="10"/>
      <c r="GIR66" s="10"/>
      <c r="GIS66" s="10"/>
      <c r="GIT66" s="10"/>
      <c r="GIU66" s="10"/>
      <c r="GIV66" s="10"/>
      <c r="GIW66" s="10"/>
      <c r="GIX66" s="10"/>
      <c r="GIY66" s="10"/>
      <c r="GIZ66" s="10"/>
      <c r="GJA66" s="10"/>
      <c r="GJB66" s="10"/>
      <c r="GJC66" s="10"/>
      <c r="GJD66" s="10"/>
      <c r="GJE66" s="10"/>
      <c r="GJF66" s="10"/>
      <c r="GJG66" s="10"/>
      <c r="GJH66" s="10"/>
      <c r="GJI66" s="10"/>
      <c r="GJJ66" s="10"/>
      <c r="GJK66" s="10"/>
      <c r="GJL66" s="10"/>
      <c r="GJM66" s="10"/>
      <c r="GJN66" s="10"/>
      <c r="GJO66" s="10"/>
      <c r="GJP66" s="10"/>
      <c r="GJQ66" s="10"/>
      <c r="GJR66" s="10"/>
      <c r="GJS66" s="10"/>
      <c r="GJT66" s="10"/>
      <c r="GJU66" s="10"/>
      <c r="GJV66" s="10"/>
      <c r="GJW66" s="10"/>
      <c r="GJX66" s="10"/>
      <c r="GJY66" s="10"/>
      <c r="GJZ66" s="10"/>
      <c r="GKA66" s="10"/>
      <c r="GKB66" s="10"/>
      <c r="GKC66" s="10"/>
      <c r="GKD66" s="10"/>
      <c r="GKE66" s="10"/>
      <c r="GKF66" s="10"/>
      <c r="GKG66" s="10"/>
      <c r="GKH66" s="10"/>
      <c r="GKI66" s="10"/>
      <c r="GKJ66" s="10"/>
      <c r="GKK66" s="10"/>
      <c r="GKL66" s="10"/>
      <c r="GKM66" s="10"/>
      <c r="GKN66" s="10"/>
      <c r="GKO66" s="10"/>
      <c r="GKP66" s="10"/>
      <c r="GKQ66" s="10"/>
      <c r="GKR66" s="10"/>
      <c r="GKS66" s="10"/>
      <c r="GKT66" s="10"/>
      <c r="GKU66" s="10"/>
      <c r="GKV66" s="10"/>
      <c r="GKW66" s="10"/>
      <c r="GKX66" s="10"/>
      <c r="GKY66" s="10"/>
      <c r="GKZ66" s="10"/>
      <c r="GLA66" s="10"/>
      <c r="GLB66" s="10"/>
      <c r="GLC66" s="10"/>
      <c r="GLD66" s="10"/>
      <c r="GLE66" s="10"/>
      <c r="GLF66" s="10"/>
      <c r="GLG66" s="10"/>
      <c r="GLH66" s="10"/>
      <c r="GLI66" s="10"/>
      <c r="GLJ66" s="10"/>
      <c r="GLK66" s="10"/>
      <c r="GLL66" s="10"/>
      <c r="GLM66" s="10"/>
      <c r="GLN66" s="10"/>
      <c r="GLO66" s="10"/>
      <c r="GLP66" s="10"/>
      <c r="GLQ66" s="10"/>
      <c r="GLR66" s="10"/>
      <c r="GLS66" s="10"/>
      <c r="GLT66" s="10"/>
      <c r="GLU66" s="10"/>
      <c r="GLV66" s="10"/>
      <c r="GLW66" s="10"/>
      <c r="GLX66" s="10"/>
      <c r="GLY66" s="10"/>
      <c r="GLZ66" s="10"/>
      <c r="GMA66" s="10"/>
      <c r="GMB66" s="10"/>
      <c r="GMC66" s="10"/>
      <c r="GMD66" s="10"/>
      <c r="GME66" s="10"/>
      <c r="GMF66" s="10"/>
      <c r="GMG66" s="10"/>
      <c r="GMH66" s="10"/>
      <c r="GMI66" s="10"/>
      <c r="GMJ66" s="10"/>
      <c r="GMK66" s="10"/>
      <c r="GML66" s="10"/>
      <c r="GMM66" s="10"/>
      <c r="GMN66" s="10"/>
      <c r="GMO66" s="10"/>
      <c r="GMP66" s="10"/>
      <c r="GMQ66" s="10"/>
      <c r="GMR66" s="10"/>
      <c r="GMS66" s="10"/>
      <c r="GMT66" s="10"/>
      <c r="GMU66" s="10"/>
      <c r="GMV66" s="10"/>
      <c r="GMW66" s="10"/>
      <c r="GMX66" s="10"/>
      <c r="GMY66" s="10"/>
      <c r="GMZ66" s="10"/>
      <c r="GNA66" s="10"/>
      <c r="GNB66" s="10"/>
      <c r="GNC66" s="10"/>
      <c r="GND66" s="10"/>
      <c r="GNE66" s="10"/>
      <c r="GNF66" s="10"/>
      <c r="GNG66" s="10"/>
      <c r="GNH66" s="10"/>
      <c r="GNI66" s="10"/>
      <c r="GNJ66" s="10"/>
      <c r="GNK66" s="10"/>
      <c r="GNL66" s="10"/>
      <c r="GNM66" s="10"/>
      <c r="GNN66" s="10"/>
      <c r="GNO66" s="10"/>
      <c r="GNP66" s="10"/>
      <c r="GNQ66" s="10"/>
      <c r="GNR66" s="10"/>
      <c r="GNS66" s="10"/>
      <c r="GNT66" s="10"/>
      <c r="GNU66" s="10"/>
      <c r="GNV66" s="10"/>
      <c r="GNW66" s="10"/>
      <c r="GNX66" s="10"/>
      <c r="GNY66" s="10"/>
      <c r="GNZ66" s="10"/>
      <c r="GOA66" s="10"/>
      <c r="GOB66" s="10"/>
      <c r="GOC66" s="10"/>
      <c r="GOD66" s="10"/>
      <c r="GOE66" s="10"/>
      <c r="GOF66" s="10"/>
      <c r="GOG66" s="10"/>
      <c r="GOH66" s="10"/>
      <c r="GOI66" s="10"/>
      <c r="GOJ66" s="10"/>
      <c r="GOK66" s="10"/>
      <c r="GOL66" s="10"/>
      <c r="GOM66" s="10"/>
      <c r="GON66" s="10"/>
      <c r="GOO66" s="10"/>
      <c r="GOP66" s="10"/>
      <c r="GOQ66" s="10"/>
      <c r="GOR66" s="10"/>
      <c r="GOS66" s="10"/>
      <c r="GOT66" s="10"/>
      <c r="GOU66" s="10"/>
      <c r="GOV66" s="10"/>
      <c r="GOW66" s="10"/>
      <c r="GOX66" s="10"/>
      <c r="GOY66" s="10"/>
      <c r="GOZ66" s="10"/>
      <c r="GPA66" s="10"/>
      <c r="GPB66" s="10"/>
      <c r="GPC66" s="10"/>
      <c r="GPD66" s="10"/>
      <c r="GPE66" s="10"/>
      <c r="GPF66" s="10"/>
      <c r="GPG66" s="10"/>
      <c r="GPH66" s="10"/>
      <c r="GPI66" s="10"/>
      <c r="GPJ66" s="10"/>
      <c r="GPK66" s="10"/>
      <c r="GPL66" s="10"/>
      <c r="GPM66" s="10"/>
      <c r="GPN66" s="10"/>
      <c r="GPO66" s="10"/>
      <c r="GPP66" s="10"/>
      <c r="GPQ66" s="10"/>
      <c r="GPR66" s="10"/>
      <c r="GPS66" s="10"/>
      <c r="GPT66" s="10"/>
      <c r="GPU66" s="10"/>
      <c r="GPV66" s="10"/>
      <c r="GPW66" s="10"/>
      <c r="GPX66" s="10"/>
      <c r="GPY66" s="10"/>
      <c r="GPZ66" s="10"/>
      <c r="GQA66" s="10"/>
      <c r="GQB66" s="10"/>
      <c r="GQC66" s="10"/>
      <c r="GQD66" s="10"/>
      <c r="GQE66" s="10"/>
      <c r="GQF66" s="10"/>
      <c r="GQG66" s="10"/>
      <c r="GQH66" s="10"/>
      <c r="GQI66" s="10"/>
      <c r="GQJ66" s="10"/>
      <c r="GQK66" s="10"/>
      <c r="GQL66" s="10"/>
      <c r="GQM66" s="10"/>
      <c r="GQN66" s="10"/>
      <c r="GQO66" s="10"/>
      <c r="GQP66" s="10"/>
      <c r="GQQ66" s="10"/>
      <c r="GQR66" s="10"/>
      <c r="GQS66" s="10"/>
      <c r="GQT66" s="10"/>
      <c r="GQU66" s="10"/>
      <c r="GQV66" s="10"/>
      <c r="GQW66" s="10"/>
      <c r="GQX66" s="10"/>
      <c r="GQY66" s="10"/>
      <c r="GQZ66" s="10"/>
      <c r="GRA66" s="10"/>
      <c r="GRB66" s="10"/>
      <c r="GRC66" s="10"/>
      <c r="GRD66" s="10"/>
      <c r="GRE66" s="10"/>
      <c r="GRF66" s="10"/>
      <c r="GRG66" s="10"/>
      <c r="GRH66" s="10"/>
      <c r="GRI66" s="10"/>
      <c r="GRJ66" s="10"/>
      <c r="GRK66" s="10"/>
      <c r="GRL66" s="10"/>
      <c r="GRM66" s="10"/>
      <c r="GRN66" s="10"/>
      <c r="GRO66" s="10"/>
      <c r="GRP66" s="10"/>
      <c r="GRQ66" s="10"/>
      <c r="GRR66" s="10"/>
      <c r="GRS66" s="10"/>
      <c r="GRT66" s="10"/>
      <c r="GRU66" s="10"/>
      <c r="GRV66" s="10"/>
      <c r="GRW66" s="10"/>
      <c r="GRX66" s="10"/>
      <c r="GRY66" s="10"/>
      <c r="GRZ66" s="10"/>
      <c r="GSA66" s="10"/>
      <c r="GSB66" s="10"/>
      <c r="GSC66" s="10"/>
      <c r="GSD66" s="10"/>
      <c r="GSE66" s="10"/>
      <c r="GSF66" s="10"/>
      <c r="GSG66" s="10"/>
      <c r="GSH66" s="10"/>
      <c r="GSI66" s="10"/>
      <c r="GSJ66" s="10"/>
      <c r="GSK66" s="10"/>
      <c r="GSL66" s="10"/>
      <c r="GSM66" s="10"/>
      <c r="GSN66" s="10"/>
      <c r="GSO66" s="10"/>
      <c r="GSP66" s="10"/>
      <c r="GSQ66" s="10"/>
      <c r="GSR66" s="10"/>
      <c r="GSS66" s="10"/>
      <c r="GST66" s="10"/>
      <c r="GSU66" s="10"/>
      <c r="GSV66" s="10"/>
      <c r="GSW66" s="10"/>
      <c r="GSX66" s="10"/>
      <c r="GSY66" s="10"/>
      <c r="GSZ66" s="10"/>
      <c r="GTA66" s="10"/>
      <c r="GTB66" s="10"/>
      <c r="GTC66" s="10"/>
      <c r="GTD66" s="10"/>
      <c r="GTE66" s="10"/>
      <c r="GTF66" s="10"/>
      <c r="GTG66" s="10"/>
      <c r="GTH66" s="10"/>
      <c r="GTI66" s="10"/>
      <c r="GTJ66" s="10"/>
      <c r="GTK66" s="10"/>
      <c r="GTL66" s="10"/>
      <c r="GTM66" s="10"/>
      <c r="GTN66" s="10"/>
      <c r="GTO66" s="10"/>
      <c r="GTP66" s="10"/>
      <c r="GTQ66" s="10"/>
      <c r="GTR66" s="10"/>
      <c r="GTS66" s="10"/>
      <c r="GTT66" s="10"/>
      <c r="GTU66" s="10"/>
      <c r="GTV66" s="10"/>
      <c r="GTW66" s="10"/>
      <c r="GTX66" s="10"/>
      <c r="GTY66" s="10"/>
      <c r="GTZ66" s="10"/>
      <c r="GUA66" s="10"/>
      <c r="GUB66" s="10"/>
      <c r="GUC66" s="10"/>
      <c r="GUD66" s="10"/>
      <c r="GUE66" s="10"/>
      <c r="GUF66" s="10"/>
      <c r="GUG66" s="10"/>
      <c r="GUH66" s="10"/>
      <c r="GUI66" s="10"/>
      <c r="GUJ66" s="10"/>
      <c r="GUK66" s="10"/>
      <c r="GUL66" s="10"/>
      <c r="GUM66" s="10"/>
      <c r="GUN66" s="10"/>
      <c r="GUO66" s="10"/>
      <c r="GUP66" s="10"/>
      <c r="GUQ66" s="10"/>
      <c r="GUR66" s="10"/>
      <c r="GUS66" s="10"/>
      <c r="GUT66" s="10"/>
      <c r="GUU66" s="10"/>
      <c r="GUV66" s="10"/>
      <c r="GUW66" s="10"/>
      <c r="GUX66" s="10"/>
      <c r="GUY66" s="10"/>
      <c r="GUZ66" s="10"/>
      <c r="GVA66" s="10"/>
      <c r="GVB66" s="10"/>
      <c r="GVC66" s="10"/>
      <c r="GVD66" s="10"/>
      <c r="GVE66" s="10"/>
      <c r="GVF66" s="10"/>
      <c r="GVG66" s="10"/>
      <c r="GVH66" s="10"/>
      <c r="GVI66" s="10"/>
      <c r="GVJ66" s="10"/>
      <c r="GVK66" s="10"/>
      <c r="GVL66" s="10"/>
      <c r="GVM66" s="10"/>
      <c r="GVN66" s="10"/>
      <c r="GVO66" s="10"/>
      <c r="GVP66" s="10"/>
      <c r="GVQ66" s="10"/>
      <c r="GVR66" s="10"/>
      <c r="GVS66" s="10"/>
      <c r="GVT66" s="10"/>
      <c r="GVU66" s="10"/>
      <c r="GVV66" s="10"/>
      <c r="GVW66" s="10"/>
      <c r="GVX66" s="10"/>
      <c r="GVY66" s="10"/>
      <c r="GVZ66" s="10"/>
      <c r="GWA66" s="10"/>
      <c r="GWB66" s="10"/>
      <c r="GWC66" s="10"/>
      <c r="GWD66" s="10"/>
      <c r="GWE66" s="10"/>
      <c r="GWF66" s="10"/>
      <c r="GWG66" s="10"/>
      <c r="GWH66" s="10"/>
      <c r="GWI66" s="10"/>
      <c r="GWJ66" s="10"/>
      <c r="GWK66" s="10"/>
      <c r="GWL66" s="10"/>
      <c r="GWM66" s="10"/>
      <c r="GWN66" s="10"/>
      <c r="GWO66" s="10"/>
      <c r="GWP66" s="10"/>
      <c r="GWQ66" s="10"/>
      <c r="GWR66" s="10"/>
      <c r="GWS66" s="10"/>
      <c r="GWT66" s="10"/>
      <c r="GWU66" s="10"/>
      <c r="GWV66" s="10"/>
      <c r="GWW66" s="10"/>
      <c r="GWX66" s="10"/>
      <c r="GWY66" s="10"/>
      <c r="GWZ66" s="10"/>
      <c r="GXA66" s="10"/>
      <c r="GXB66" s="10"/>
      <c r="GXC66" s="10"/>
      <c r="GXD66" s="10"/>
      <c r="GXE66" s="10"/>
      <c r="GXF66" s="10"/>
      <c r="GXG66" s="10"/>
      <c r="GXH66" s="10"/>
      <c r="GXI66" s="10"/>
      <c r="GXJ66" s="10"/>
      <c r="GXK66" s="10"/>
      <c r="GXL66" s="10"/>
      <c r="GXM66" s="10"/>
      <c r="GXN66" s="10"/>
      <c r="GXO66" s="10"/>
      <c r="GXP66" s="10"/>
      <c r="GXQ66" s="10"/>
      <c r="GXR66" s="10"/>
      <c r="GXS66" s="10"/>
      <c r="GXT66" s="10"/>
      <c r="GXU66" s="10"/>
      <c r="GXV66" s="10"/>
      <c r="GXW66" s="10"/>
      <c r="GXX66" s="10"/>
      <c r="GXY66" s="10"/>
      <c r="GXZ66" s="10"/>
      <c r="GYA66" s="10"/>
      <c r="GYB66" s="10"/>
      <c r="GYC66" s="10"/>
      <c r="GYD66" s="10"/>
      <c r="GYE66" s="10"/>
      <c r="GYF66" s="10"/>
      <c r="GYG66" s="10"/>
      <c r="GYH66" s="10"/>
      <c r="GYI66" s="10"/>
      <c r="GYJ66" s="10"/>
      <c r="GYK66" s="10"/>
      <c r="GYL66" s="10"/>
      <c r="GYM66" s="10"/>
      <c r="GYN66" s="10"/>
      <c r="GYO66" s="10"/>
      <c r="GYP66" s="10"/>
      <c r="GYQ66" s="10"/>
      <c r="GYR66" s="10"/>
      <c r="GYS66" s="10"/>
      <c r="GYT66" s="10"/>
      <c r="GYU66" s="10"/>
      <c r="GYV66" s="10"/>
      <c r="GYW66" s="10"/>
      <c r="GYX66" s="10"/>
      <c r="GYY66" s="10"/>
      <c r="GYZ66" s="10"/>
      <c r="GZA66" s="10"/>
      <c r="GZB66" s="10"/>
      <c r="GZC66" s="10"/>
      <c r="GZD66" s="10"/>
      <c r="GZE66" s="10"/>
      <c r="GZF66" s="10"/>
      <c r="GZG66" s="10"/>
      <c r="GZH66" s="10"/>
      <c r="GZI66" s="10"/>
      <c r="GZJ66" s="10"/>
      <c r="GZK66" s="10"/>
      <c r="GZL66" s="10"/>
      <c r="GZM66" s="10"/>
      <c r="GZN66" s="10"/>
      <c r="GZO66" s="10"/>
      <c r="GZP66" s="10"/>
      <c r="GZQ66" s="10"/>
      <c r="GZR66" s="10"/>
      <c r="GZS66" s="10"/>
      <c r="GZT66" s="10"/>
      <c r="GZU66" s="10"/>
      <c r="GZV66" s="10"/>
      <c r="GZW66" s="10"/>
      <c r="GZX66" s="10"/>
      <c r="GZY66" s="10"/>
      <c r="GZZ66" s="10"/>
      <c r="HAA66" s="10"/>
      <c r="HAB66" s="10"/>
      <c r="HAC66" s="10"/>
      <c r="HAD66" s="10"/>
      <c r="HAE66" s="10"/>
      <c r="HAF66" s="10"/>
      <c r="HAG66" s="10"/>
      <c r="HAH66" s="10"/>
      <c r="HAI66" s="10"/>
      <c r="HAJ66" s="10"/>
      <c r="HAK66" s="10"/>
      <c r="HAL66" s="10"/>
      <c r="HAM66" s="10"/>
      <c r="HAN66" s="10"/>
      <c r="HAO66" s="10"/>
      <c r="HAP66" s="10"/>
      <c r="HAQ66" s="10"/>
      <c r="HAR66" s="10"/>
      <c r="HAS66" s="10"/>
      <c r="HAT66" s="10"/>
      <c r="HAU66" s="10"/>
      <c r="HAV66" s="10"/>
      <c r="HAW66" s="10"/>
      <c r="HAX66" s="10"/>
      <c r="HAY66" s="10"/>
      <c r="HAZ66" s="10"/>
      <c r="HBA66" s="10"/>
      <c r="HBB66" s="10"/>
      <c r="HBC66" s="10"/>
      <c r="HBD66" s="10"/>
      <c r="HBE66" s="10"/>
      <c r="HBF66" s="10"/>
      <c r="HBG66" s="10"/>
      <c r="HBH66" s="10"/>
      <c r="HBI66" s="10"/>
      <c r="HBJ66" s="10"/>
      <c r="HBK66" s="10"/>
      <c r="HBL66" s="10"/>
      <c r="HBM66" s="10"/>
      <c r="HBN66" s="10"/>
      <c r="HBO66" s="10"/>
      <c r="HBP66" s="10"/>
      <c r="HBQ66" s="10"/>
      <c r="HBR66" s="10"/>
      <c r="HBS66" s="10"/>
      <c r="HBT66" s="10"/>
      <c r="HBU66" s="10"/>
      <c r="HBV66" s="10"/>
      <c r="HBW66" s="10"/>
      <c r="HBX66" s="10"/>
      <c r="HBY66" s="10"/>
      <c r="HBZ66" s="10"/>
      <c r="HCA66" s="10"/>
      <c r="HCB66" s="10"/>
      <c r="HCC66" s="10"/>
      <c r="HCD66" s="10"/>
      <c r="HCE66" s="10"/>
      <c r="HCF66" s="10"/>
      <c r="HCG66" s="10"/>
      <c r="HCH66" s="10"/>
      <c r="HCI66" s="10"/>
      <c r="HCJ66" s="10"/>
      <c r="HCK66" s="10"/>
      <c r="HCL66" s="10"/>
      <c r="HCM66" s="10"/>
      <c r="HCN66" s="10"/>
      <c r="HCO66" s="10"/>
      <c r="HCP66" s="10"/>
      <c r="HCQ66" s="10"/>
      <c r="HCR66" s="10"/>
      <c r="HCS66" s="10"/>
      <c r="HCT66" s="10"/>
      <c r="HCU66" s="10"/>
      <c r="HCV66" s="10"/>
      <c r="HCW66" s="10"/>
      <c r="HCX66" s="10"/>
      <c r="HCY66" s="10"/>
      <c r="HCZ66" s="10"/>
      <c r="HDA66" s="10"/>
      <c r="HDB66" s="10"/>
      <c r="HDC66" s="10"/>
      <c r="HDD66" s="10"/>
      <c r="HDE66" s="10"/>
      <c r="HDF66" s="10"/>
      <c r="HDG66" s="10"/>
      <c r="HDH66" s="10"/>
      <c r="HDI66" s="10"/>
      <c r="HDJ66" s="10"/>
      <c r="HDK66" s="10"/>
      <c r="HDL66" s="10"/>
      <c r="HDM66" s="10"/>
      <c r="HDN66" s="10"/>
      <c r="HDO66" s="10"/>
      <c r="HDP66" s="10"/>
      <c r="HDQ66" s="10"/>
      <c r="HDR66" s="10"/>
      <c r="HDS66" s="10"/>
      <c r="HDT66" s="10"/>
      <c r="HDU66" s="10"/>
      <c r="HDV66" s="10"/>
      <c r="HDW66" s="10"/>
      <c r="HDX66" s="10"/>
      <c r="HDY66" s="10"/>
      <c r="HDZ66" s="10"/>
      <c r="HEA66" s="10"/>
      <c r="HEB66" s="10"/>
      <c r="HEC66" s="10"/>
      <c r="HED66" s="10"/>
      <c r="HEE66" s="10"/>
      <c r="HEF66" s="10"/>
      <c r="HEG66" s="10"/>
      <c r="HEH66" s="10"/>
      <c r="HEI66" s="10"/>
      <c r="HEJ66" s="10"/>
      <c r="HEK66" s="10"/>
      <c r="HEL66" s="10"/>
      <c r="HEM66" s="10"/>
      <c r="HEN66" s="10"/>
      <c r="HEO66" s="10"/>
      <c r="HEP66" s="10"/>
      <c r="HEQ66" s="10"/>
      <c r="HER66" s="10"/>
      <c r="HES66" s="10"/>
      <c r="HET66" s="10"/>
      <c r="HEU66" s="10"/>
      <c r="HEV66" s="10"/>
      <c r="HEW66" s="10"/>
      <c r="HEX66" s="10"/>
      <c r="HEY66" s="10"/>
      <c r="HEZ66" s="10"/>
      <c r="HFA66" s="10"/>
      <c r="HFB66" s="10"/>
      <c r="HFC66" s="10"/>
      <c r="HFD66" s="10"/>
      <c r="HFE66" s="10"/>
      <c r="HFF66" s="10"/>
      <c r="HFG66" s="10"/>
      <c r="HFH66" s="10"/>
      <c r="HFI66" s="10"/>
      <c r="HFJ66" s="10"/>
      <c r="HFK66" s="10"/>
      <c r="HFL66" s="10"/>
      <c r="HFM66" s="10"/>
      <c r="HFN66" s="10"/>
      <c r="HFO66" s="10"/>
      <c r="HFP66" s="10"/>
      <c r="HFQ66" s="10"/>
      <c r="HFR66" s="10"/>
      <c r="HFS66" s="10"/>
      <c r="HFT66" s="10"/>
      <c r="HFU66" s="10"/>
      <c r="HFV66" s="10"/>
      <c r="HFW66" s="10"/>
      <c r="HFX66" s="10"/>
      <c r="HFY66" s="10"/>
      <c r="HFZ66" s="10"/>
      <c r="HGA66" s="10"/>
      <c r="HGB66" s="10"/>
      <c r="HGC66" s="10"/>
      <c r="HGD66" s="10"/>
      <c r="HGE66" s="10"/>
      <c r="HGF66" s="10"/>
      <c r="HGG66" s="10"/>
      <c r="HGH66" s="10"/>
      <c r="HGI66" s="10"/>
      <c r="HGJ66" s="10"/>
      <c r="HGK66" s="10"/>
      <c r="HGL66" s="10"/>
      <c r="HGM66" s="10"/>
      <c r="HGN66" s="10"/>
      <c r="HGO66" s="10"/>
      <c r="HGP66" s="10"/>
      <c r="HGQ66" s="10"/>
      <c r="HGR66" s="10"/>
      <c r="HGS66" s="10"/>
      <c r="HGT66" s="10"/>
      <c r="HGU66" s="10"/>
      <c r="HGV66" s="10"/>
      <c r="HGW66" s="10"/>
      <c r="HGX66" s="10"/>
      <c r="HGY66" s="10"/>
      <c r="HGZ66" s="10"/>
      <c r="HHA66" s="10"/>
      <c r="HHB66" s="10"/>
      <c r="HHC66" s="10"/>
      <c r="HHD66" s="10"/>
      <c r="HHE66" s="10"/>
      <c r="HHF66" s="10"/>
      <c r="HHG66" s="10"/>
      <c r="HHH66" s="10"/>
      <c r="HHI66" s="10"/>
      <c r="HHJ66" s="10"/>
      <c r="HHK66" s="10"/>
      <c r="HHL66" s="10"/>
      <c r="HHM66" s="10"/>
      <c r="HHN66" s="10"/>
      <c r="HHO66" s="10"/>
      <c r="HHP66" s="10"/>
      <c r="HHQ66" s="10"/>
      <c r="HHR66" s="10"/>
      <c r="HHS66" s="10"/>
      <c r="HHT66" s="10"/>
      <c r="HHU66" s="10"/>
      <c r="HHV66" s="10"/>
      <c r="HHW66" s="10"/>
      <c r="HHX66" s="10"/>
      <c r="HHY66" s="10"/>
      <c r="HHZ66" s="10"/>
      <c r="HIA66" s="10"/>
      <c r="HIB66" s="10"/>
      <c r="HIC66" s="10"/>
      <c r="HID66" s="10"/>
      <c r="HIE66" s="10"/>
      <c r="HIF66" s="10"/>
      <c r="HIG66" s="10"/>
      <c r="HIH66" s="10"/>
      <c r="HII66" s="10"/>
      <c r="HIJ66" s="10"/>
      <c r="HIK66" s="10"/>
      <c r="HIL66" s="10"/>
      <c r="HIM66" s="10"/>
      <c r="HIN66" s="10"/>
      <c r="HIO66" s="10"/>
      <c r="HIP66" s="10"/>
      <c r="HIQ66" s="10"/>
      <c r="HIR66" s="10"/>
      <c r="HIS66" s="10"/>
      <c r="HIT66" s="10"/>
      <c r="HIU66" s="10"/>
      <c r="HIV66" s="10"/>
      <c r="HIW66" s="10"/>
      <c r="HIX66" s="10"/>
      <c r="HIY66" s="10"/>
      <c r="HIZ66" s="10"/>
      <c r="HJA66" s="10"/>
      <c r="HJB66" s="10"/>
      <c r="HJC66" s="10"/>
      <c r="HJD66" s="10"/>
      <c r="HJE66" s="10"/>
      <c r="HJF66" s="10"/>
      <c r="HJG66" s="10"/>
      <c r="HJH66" s="10"/>
      <c r="HJI66" s="10"/>
      <c r="HJJ66" s="10"/>
      <c r="HJK66" s="10"/>
      <c r="HJL66" s="10"/>
      <c r="HJM66" s="10"/>
      <c r="HJN66" s="10"/>
      <c r="HJO66" s="10"/>
      <c r="HJP66" s="10"/>
      <c r="HJQ66" s="10"/>
      <c r="HJR66" s="10"/>
      <c r="HJS66" s="10"/>
      <c r="HJT66" s="10"/>
      <c r="HJU66" s="10"/>
      <c r="HJV66" s="10"/>
      <c r="HJW66" s="10"/>
      <c r="HJX66" s="10"/>
      <c r="HJY66" s="10"/>
      <c r="HJZ66" s="10"/>
      <c r="HKA66" s="10"/>
      <c r="HKB66" s="10"/>
      <c r="HKC66" s="10"/>
      <c r="HKD66" s="10"/>
      <c r="HKE66" s="10"/>
      <c r="HKF66" s="10"/>
      <c r="HKG66" s="10"/>
      <c r="HKH66" s="10"/>
      <c r="HKI66" s="10"/>
      <c r="HKJ66" s="10"/>
      <c r="HKK66" s="10"/>
      <c r="HKL66" s="10"/>
      <c r="HKM66" s="10"/>
      <c r="HKN66" s="10"/>
      <c r="HKO66" s="10"/>
      <c r="HKP66" s="10"/>
      <c r="HKQ66" s="10"/>
      <c r="HKR66" s="10"/>
      <c r="HKS66" s="10"/>
      <c r="HKT66" s="10"/>
      <c r="HKU66" s="10"/>
      <c r="HKV66" s="10"/>
      <c r="HKW66" s="10"/>
      <c r="HKX66" s="10"/>
      <c r="HKY66" s="10"/>
      <c r="HKZ66" s="10"/>
      <c r="HLA66" s="10"/>
      <c r="HLB66" s="10"/>
      <c r="HLC66" s="10"/>
      <c r="HLD66" s="10"/>
      <c r="HLE66" s="10"/>
      <c r="HLF66" s="10"/>
      <c r="HLG66" s="10"/>
      <c r="HLH66" s="10"/>
      <c r="HLI66" s="10"/>
      <c r="HLJ66" s="10"/>
      <c r="HLK66" s="10"/>
      <c r="HLL66" s="10"/>
      <c r="HLM66" s="10"/>
      <c r="HLN66" s="10"/>
      <c r="HLO66" s="10"/>
      <c r="HLP66" s="10"/>
      <c r="HLQ66" s="10"/>
      <c r="HLR66" s="10"/>
      <c r="HLS66" s="10"/>
      <c r="HLT66" s="10"/>
      <c r="HLU66" s="10"/>
      <c r="HLV66" s="10"/>
      <c r="HLW66" s="10"/>
      <c r="HLX66" s="10"/>
      <c r="HLY66" s="10"/>
      <c r="HLZ66" s="10"/>
      <c r="HMA66" s="10"/>
      <c r="HMB66" s="10"/>
      <c r="HMC66" s="10"/>
      <c r="HMD66" s="10"/>
      <c r="HME66" s="10"/>
      <c r="HMF66" s="10"/>
      <c r="HMG66" s="10"/>
      <c r="HMH66" s="10"/>
      <c r="HMI66" s="10"/>
      <c r="HMJ66" s="10"/>
      <c r="HMK66" s="10"/>
      <c r="HML66" s="10"/>
      <c r="HMM66" s="10"/>
      <c r="HMN66" s="10"/>
      <c r="HMO66" s="10"/>
      <c r="HMP66" s="10"/>
      <c r="HMQ66" s="10"/>
      <c r="HMR66" s="10"/>
      <c r="HMS66" s="10"/>
      <c r="HMT66" s="10"/>
      <c r="HMU66" s="10"/>
      <c r="HMV66" s="10"/>
      <c r="HMW66" s="10"/>
      <c r="HMX66" s="10"/>
      <c r="HMY66" s="10"/>
      <c r="HMZ66" s="10"/>
      <c r="HNA66" s="10"/>
      <c r="HNB66" s="10"/>
      <c r="HNC66" s="10"/>
      <c r="HND66" s="10"/>
      <c r="HNE66" s="10"/>
      <c r="HNF66" s="10"/>
      <c r="HNG66" s="10"/>
      <c r="HNH66" s="10"/>
      <c r="HNI66" s="10"/>
      <c r="HNJ66" s="10"/>
      <c r="HNK66" s="10"/>
      <c r="HNL66" s="10"/>
      <c r="HNM66" s="10"/>
      <c r="HNN66" s="10"/>
      <c r="HNO66" s="10"/>
      <c r="HNP66" s="10"/>
      <c r="HNQ66" s="10"/>
      <c r="HNR66" s="10"/>
      <c r="HNS66" s="10"/>
      <c r="HNT66" s="10"/>
      <c r="HNU66" s="10"/>
      <c r="HNV66" s="10"/>
      <c r="HNW66" s="10"/>
      <c r="HNX66" s="10"/>
      <c r="HNY66" s="10"/>
      <c r="HNZ66" s="10"/>
      <c r="HOA66" s="10"/>
      <c r="HOB66" s="10"/>
      <c r="HOC66" s="10"/>
      <c r="HOD66" s="10"/>
      <c r="HOE66" s="10"/>
      <c r="HOF66" s="10"/>
      <c r="HOG66" s="10"/>
      <c r="HOH66" s="10"/>
      <c r="HOI66" s="10"/>
      <c r="HOJ66" s="10"/>
      <c r="HOK66" s="10"/>
      <c r="HOL66" s="10"/>
      <c r="HOM66" s="10"/>
      <c r="HON66" s="10"/>
      <c r="HOO66" s="10"/>
      <c r="HOP66" s="10"/>
      <c r="HOQ66" s="10"/>
      <c r="HOR66" s="10"/>
      <c r="HOS66" s="10"/>
      <c r="HOT66" s="10"/>
      <c r="HOU66" s="10"/>
      <c r="HOV66" s="10"/>
      <c r="HOW66" s="10"/>
      <c r="HOX66" s="10"/>
      <c r="HOY66" s="10"/>
      <c r="HOZ66" s="10"/>
      <c r="HPA66" s="10"/>
      <c r="HPB66" s="10"/>
      <c r="HPC66" s="10"/>
      <c r="HPD66" s="10"/>
      <c r="HPE66" s="10"/>
      <c r="HPF66" s="10"/>
      <c r="HPG66" s="10"/>
      <c r="HPH66" s="10"/>
      <c r="HPI66" s="10"/>
      <c r="HPJ66" s="10"/>
      <c r="HPK66" s="10"/>
      <c r="HPL66" s="10"/>
      <c r="HPM66" s="10"/>
      <c r="HPN66" s="10"/>
      <c r="HPO66" s="10"/>
      <c r="HPP66" s="10"/>
      <c r="HPQ66" s="10"/>
      <c r="HPR66" s="10"/>
      <c r="HPS66" s="10"/>
      <c r="HPT66" s="10"/>
      <c r="HPU66" s="10"/>
      <c r="HPV66" s="10"/>
      <c r="HPW66" s="10"/>
      <c r="HPX66" s="10"/>
      <c r="HPY66" s="10"/>
      <c r="HPZ66" s="10"/>
      <c r="HQA66" s="10"/>
      <c r="HQB66" s="10"/>
      <c r="HQC66" s="10"/>
      <c r="HQD66" s="10"/>
      <c r="HQE66" s="10"/>
      <c r="HQF66" s="10"/>
      <c r="HQG66" s="10"/>
      <c r="HQH66" s="10"/>
      <c r="HQI66" s="10"/>
      <c r="HQJ66" s="10"/>
      <c r="HQK66" s="10"/>
      <c r="HQL66" s="10"/>
      <c r="HQM66" s="10"/>
      <c r="HQN66" s="10"/>
      <c r="HQO66" s="10"/>
      <c r="HQP66" s="10"/>
      <c r="HQQ66" s="10"/>
      <c r="HQR66" s="10"/>
      <c r="HQS66" s="10"/>
      <c r="HQT66" s="10"/>
      <c r="HQU66" s="10"/>
      <c r="HQV66" s="10"/>
      <c r="HQW66" s="10"/>
      <c r="HQX66" s="10"/>
      <c r="HQY66" s="10"/>
      <c r="HQZ66" s="10"/>
      <c r="HRA66" s="10"/>
      <c r="HRB66" s="10"/>
      <c r="HRC66" s="10"/>
      <c r="HRD66" s="10"/>
      <c r="HRE66" s="10"/>
      <c r="HRF66" s="10"/>
      <c r="HRG66" s="10"/>
      <c r="HRH66" s="10"/>
      <c r="HRI66" s="10"/>
      <c r="HRJ66" s="10"/>
      <c r="HRK66" s="10"/>
      <c r="HRL66" s="10"/>
      <c r="HRM66" s="10"/>
      <c r="HRN66" s="10"/>
      <c r="HRO66" s="10"/>
      <c r="HRP66" s="10"/>
      <c r="HRQ66" s="10"/>
      <c r="HRR66" s="10"/>
      <c r="HRS66" s="10"/>
      <c r="HRT66" s="10"/>
      <c r="HRU66" s="10"/>
      <c r="HRV66" s="10"/>
      <c r="HRW66" s="10"/>
      <c r="HRX66" s="10"/>
      <c r="HRY66" s="10"/>
      <c r="HRZ66" s="10"/>
      <c r="HSA66" s="10"/>
      <c r="HSB66" s="10"/>
      <c r="HSC66" s="10"/>
      <c r="HSD66" s="10"/>
      <c r="HSE66" s="10"/>
      <c r="HSF66" s="10"/>
      <c r="HSG66" s="10"/>
      <c r="HSH66" s="10"/>
      <c r="HSI66" s="10"/>
      <c r="HSJ66" s="10"/>
      <c r="HSK66" s="10"/>
      <c r="HSL66" s="10"/>
      <c r="HSM66" s="10"/>
      <c r="HSN66" s="10"/>
      <c r="HSO66" s="10"/>
      <c r="HSP66" s="10"/>
      <c r="HSQ66" s="10"/>
      <c r="HSR66" s="10"/>
      <c r="HSS66" s="10"/>
      <c r="HST66" s="10"/>
      <c r="HSU66" s="10"/>
      <c r="HSV66" s="10"/>
      <c r="HSW66" s="10"/>
      <c r="HSX66" s="10"/>
      <c r="HSY66" s="10"/>
      <c r="HSZ66" s="10"/>
      <c r="HTA66" s="10"/>
      <c r="HTB66" s="10"/>
      <c r="HTC66" s="10"/>
      <c r="HTD66" s="10"/>
      <c r="HTE66" s="10"/>
      <c r="HTF66" s="10"/>
      <c r="HTG66" s="10"/>
      <c r="HTH66" s="10"/>
      <c r="HTI66" s="10"/>
      <c r="HTJ66" s="10"/>
      <c r="HTK66" s="10"/>
      <c r="HTL66" s="10"/>
      <c r="HTM66" s="10"/>
      <c r="HTN66" s="10"/>
      <c r="HTO66" s="10"/>
      <c r="HTP66" s="10"/>
      <c r="HTQ66" s="10"/>
      <c r="HTR66" s="10"/>
      <c r="HTS66" s="10"/>
      <c r="HTT66" s="10"/>
      <c r="HTU66" s="10"/>
      <c r="HTV66" s="10"/>
      <c r="HTW66" s="10"/>
      <c r="HTX66" s="10"/>
      <c r="HTY66" s="10"/>
      <c r="HTZ66" s="10"/>
      <c r="HUA66" s="10"/>
      <c r="HUB66" s="10"/>
      <c r="HUC66" s="10"/>
      <c r="HUD66" s="10"/>
      <c r="HUE66" s="10"/>
      <c r="HUF66" s="10"/>
      <c r="HUG66" s="10"/>
      <c r="HUH66" s="10"/>
      <c r="HUI66" s="10"/>
      <c r="HUJ66" s="10"/>
      <c r="HUK66" s="10"/>
      <c r="HUL66" s="10"/>
      <c r="HUM66" s="10"/>
      <c r="HUN66" s="10"/>
      <c r="HUO66" s="10"/>
      <c r="HUP66" s="10"/>
      <c r="HUQ66" s="10"/>
      <c r="HUR66" s="10"/>
      <c r="HUS66" s="10"/>
      <c r="HUT66" s="10"/>
      <c r="HUU66" s="10"/>
      <c r="HUV66" s="10"/>
      <c r="HUW66" s="10"/>
      <c r="HUX66" s="10"/>
      <c r="HUY66" s="10"/>
      <c r="HUZ66" s="10"/>
      <c r="HVA66" s="10"/>
      <c r="HVB66" s="10"/>
      <c r="HVC66" s="10"/>
      <c r="HVD66" s="10"/>
      <c r="HVE66" s="10"/>
      <c r="HVF66" s="10"/>
      <c r="HVG66" s="10"/>
      <c r="HVH66" s="10"/>
      <c r="HVI66" s="10"/>
      <c r="HVJ66" s="10"/>
      <c r="HVK66" s="10"/>
      <c r="HVL66" s="10"/>
      <c r="HVM66" s="10"/>
      <c r="HVN66" s="10"/>
      <c r="HVO66" s="10"/>
      <c r="HVP66" s="10"/>
      <c r="HVQ66" s="10"/>
      <c r="HVR66" s="10"/>
      <c r="HVS66" s="10"/>
      <c r="HVT66" s="10"/>
      <c r="HVU66" s="10"/>
      <c r="HVV66" s="10"/>
      <c r="HVW66" s="10"/>
      <c r="HVX66" s="10"/>
      <c r="HVY66" s="10"/>
      <c r="HVZ66" s="10"/>
      <c r="HWA66" s="10"/>
      <c r="HWB66" s="10"/>
      <c r="HWC66" s="10"/>
      <c r="HWD66" s="10"/>
      <c r="HWE66" s="10"/>
      <c r="HWF66" s="10"/>
      <c r="HWG66" s="10"/>
      <c r="HWH66" s="10"/>
      <c r="HWI66" s="10"/>
      <c r="HWJ66" s="10"/>
      <c r="HWK66" s="10"/>
      <c r="HWL66" s="10"/>
      <c r="HWM66" s="10"/>
      <c r="HWN66" s="10"/>
      <c r="HWO66" s="10"/>
      <c r="HWP66" s="10"/>
      <c r="HWQ66" s="10"/>
      <c r="HWR66" s="10"/>
      <c r="HWS66" s="10"/>
      <c r="HWT66" s="10"/>
      <c r="HWU66" s="10"/>
      <c r="HWV66" s="10"/>
      <c r="HWW66" s="10"/>
      <c r="HWX66" s="10"/>
      <c r="HWY66" s="10"/>
      <c r="HWZ66" s="10"/>
      <c r="HXA66" s="10"/>
      <c r="HXB66" s="10"/>
      <c r="HXC66" s="10"/>
      <c r="HXD66" s="10"/>
      <c r="HXE66" s="10"/>
      <c r="HXF66" s="10"/>
      <c r="HXG66" s="10"/>
      <c r="HXH66" s="10"/>
      <c r="HXI66" s="10"/>
      <c r="HXJ66" s="10"/>
      <c r="HXK66" s="10"/>
      <c r="HXL66" s="10"/>
      <c r="HXM66" s="10"/>
      <c r="HXN66" s="10"/>
      <c r="HXO66" s="10"/>
      <c r="HXP66" s="10"/>
      <c r="HXQ66" s="10"/>
      <c r="HXR66" s="10"/>
      <c r="HXS66" s="10"/>
      <c r="HXT66" s="10"/>
      <c r="HXU66" s="10"/>
      <c r="HXV66" s="10"/>
      <c r="HXW66" s="10"/>
      <c r="HXX66" s="10"/>
      <c r="HXY66" s="10"/>
      <c r="HXZ66" s="10"/>
      <c r="HYA66" s="10"/>
      <c r="HYB66" s="10"/>
      <c r="HYC66" s="10"/>
      <c r="HYD66" s="10"/>
      <c r="HYE66" s="10"/>
      <c r="HYF66" s="10"/>
      <c r="HYG66" s="10"/>
      <c r="HYH66" s="10"/>
      <c r="HYI66" s="10"/>
      <c r="HYJ66" s="10"/>
      <c r="HYK66" s="10"/>
      <c r="HYL66" s="10"/>
      <c r="HYM66" s="10"/>
      <c r="HYN66" s="10"/>
      <c r="HYO66" s="10"/>
      <c r="HYP66" s="10"/>
      <c r="HYQ66" s="10"/>
      <c r="HYR66" s="10"/>
      <c r="HYS66" s="10"/>
      <c r="HYT66" s="10"/>
      <c r="HYU66" s="10"/>
      <c r="HYV66" s="10"/>
      <c r="HYW66" s="10"/>
      <c r="HYX66" s="10"/>
      <c r="HYY66" s="10"/>
      <c r="HYZ66" s="10"/>
      <c r="HZA66" s="10"/>
      <c r="HZB66" s="10"/>
      <c r="HZC66" s="10"/>
      <c r="HZD66" s="10"/>
      <c r="HZE66" s="10"/>
      <c r="HZF66" s="10"/>
      <c r="HZG66" s="10"/>
      <c r="HZH66" s="10"/>
      <c r="HZI66" s="10"/>
      <c r="HZJ66" s="10"/>
      <c r="HZK66" s="10"/>
      <c r="HZL66" s="10"/>
      <c r="HZM66" s="10"/>
      <c r="HZN66" s="10"/>
      <c r="HZO66" s="10"/>
      <c r="HZP66" s="10"/>
      <c r="HZQ66" s="10"/>
      <c r="HZR66" s="10"/>
      <c r="HZS66" s="10"/>
      <c r="HZT66" s="10"/>
      <c r="HZU66" s="10"/>
      <c r="HZV66" s="10"/>
      <c r="HZW66" s="10"/>
      <c r="HZX66" s="10"/>
      <c r="HZY66" s="10"/>
      <c r="HZZ66" s="10"/>
      <c r="IAA66" s="10"/>
      <c r="IAB66" s="10"/>
      <c r="IAC66" s="10"/>
      <c r="IAD66" s="10"/>
      <c r="IAE66" s="10"/>
      <c r="IAF66" s="10"/>
      <c r="IAG66" s="10"/>
      <c r="IAH66" s="10"/>
      <c r="IAI66" s="10"/>
      <c r="IAJ66" s="10"/>
      <c r="IAK66" s="10"/>
      <c r="IAL66" s="10"/>
      <c r="IAM66" s="10"/>
      <c r="IAN66" s="10"/>
      <c r="IAO66" s="10"/>
      <c r="IAP66" s="10"/>
      <c r="IAQ66" s="10"/>
      <c r="IAR66" s="10"/>
      <c r="IAS66" s="10"/>
      <c r="IAT66" s="10"/>
      <c r="IAU66" s="10"/>
      <c r="IAV66" s="10"/>
      <c r="IAW66" s="10"/>
      <c r="IAX66" s="10"/>
      <c r="IAY66" s="10"/>
      <c r="IAZ66" s="10"/>
      <c r="IBA66" s="10"/>
      <c r="IBB66" s="10"/>
      <c r="IBC66" s="10"/>
      <c r="IBD66" s="10"/>
      <c r="IBE66" s="10"/>
      <c r="IBF66" s="10"/>
      <c r="IBG66" s="10"/>
      <c r="IBH66" s="10"/>
      <c r="IBI66" s="10"/>
      <c r="IBJ66" s="10"/>
      <c r="IBK66" s="10"/>
      <c r="IBL66" s="10"/>
      <c r="IBM66" s="10"/>
      <c r="IBN66" s="10"/>
      <c r="IBO66" s="10"/>
      <c r="IBP66" s="10"/>
      <c r="IBQ66" s="10"/>
      <c r="IBR66" s="10"/>
      <c r="IBS66" s="10"/>
      <c r="IBT66" s="10"/>
      <c r="IBU66" s="10"/>
      <c r="IBV66" s="10"/>
      <c r="IBW66" s="10"/>
      <c r="IBX66" s="10"/>
      <c r="IBY66" s="10"/>
      <c r="IBZ66" s="10"/>
      <c r="ICA66" s="10"/>
      <c r="ICB66" s="10"/>
      <c r="ICC66" s="10"/>
      <c r="ICD66" s="10"/>
      <c r="ICE66" s="10"/>
      <c r="ICF66" s="10"/>
      <c r="ICG66" s="10"/>
      <c r="ICH66" s="10"/>
      <c r="ICI66" s="10"/>
      <c r="ICJ66" s="10"/>
      <c r="ICK66" s="10"/>
      <c r="ICL66" s="10"/>
      <c r="ICM66" s="10"/>
      <c r="ICN66" s="10"/>
      <c r="ICO66" s="10"/>
      <c r="ICP66" s="10"/>
      <c r="ICQ66" s="10"/>
      <c r="ICR66" s="10"/>
      <c r="ICS66" s="10"/>
      <c r="ICT66" s="10"/>
      <c r="ICU66" s="10"/>
      <c r="ICV66" s="10"/>
      <c r="ICW66" s="10"/>
      <c r="ICX66" s="10"/>
      <c r="ICY66" s="10"/>
      <c r="ICZ66" s="10"/>
      <c r="IDA66" s="10"/>
      <c r="IDB66" s="10"/>
      <c r="IDC66" s="10"/>
      <c r="IDD66" s="10"/>
      <c r="IDE66" s="10"/>
      <c r="IDF66" s="10"/>
      <c r="IDG66" s="10"/>
      <c r="IDH66" s="10"/>
      <c r="IDI66" s="10"/>
      <c r="IDJ66" s="10"/>
      <c r="IDK66" s="10"/>
      <c r="IDL66" s="10"/>
      <c r="IDM66" s="10"/>
      <c r="IDN66" s="10"/>
      <c r="IDO66" s="10"/>
      <c r="IDP66" s="10"/>
      <c r="IDQ66" s="10"/>
      <c r="IDR66" s="10"/>
      <c r="IDS66" s="10"/>
      <c r="IDT66" s="10"/>
      <c r="IDU66" s="10"/>
      <c r="IDV66" s="10"/>
      <c r="IDW66" s="10"/>
      <c r="IDX66" s="10"/>
      <c r="IDY66" s="10"/>
      <c r="IDZ66" s="10"/>
      <c r="IEA66" s="10"/>
      <c r="IEB66" s="10"/>
      <c r="IEC66" s="10"/>
      <c r="IED66" s="10"/>
      <c r="IEE66" s="10"/>
      <c r="IEF66" s="10"/>
      <c r="IEG66" s="10"/>
      <c r="IEH66" s="10"/>
      <c r="IEI66" s="10"/>
      <c r="IEJ66" s="10"/>
      <c r="IEK66" s="10"/>
      <c r="IEL66" s="10"/>
      <c r="IEM66" s="10"/>
      <c r="IEN66" s="10"/>
      <c r="IEO66" s="10"/>
      <c r="IEP66" s="10"/>
      <c r="IEQ66" s="10"/>
      <c r="IER66" s="10"/>
      <c r="IES66" s="10"/>
      <c r="IET66" s="10"/>
      <c r="IEU66" s="10"/>
      <c r="IEV66" s="10"/>
      <c r="IEW66" s="10"/>
      <c r="IEX66" s="10"/>
      <c r="IEY66" s="10"/>
      <c r="IEZ66" s="10"/>
      <c r="IFA66" s="10"/>
      <c r="IFB66" s="10"/>
      <c r="IFC66" s="10"/>
      <c r="IFD66" s="10"/>
      <c r="IFE66" s="10"/>
      <c r="IFF66" s="10"/>
      <c r="IFG66" s="10"/>
      <c r="IFH66" s="10"/>
      <c r="IFI66" s="10"/>
      <c r="IFJ66" s="10"/>
      <c r="IFK66" s="10"/>
      <c r="IFL66" s="10"/>
      <c r="IFM66" s="10"/>
      <c r="IFN66" s="10"/>
      <c r="IFO66" s="10"/>
      <c r="IFP66" s="10"/>
      <c r="IFQ66" s="10"/>
      <c r="IFR66" s="10"/>
      <c r="IFS66" s="10"/>
      <c r="IFT66" s="10"/>
      <c r="IFU66" s="10"/>
      <c r="IFV66" s="10"/>
      <c r="IFW66" s="10"/>
      <c r="IFX66" s="10"/>
      <c r="IFY66" s="10"/>
      <c r="IFZ66" s="10"/>
      <c r="IGA66" s="10"/>
      <c r="IGB66" s="10"/>
      <c r="IGC66" s="10"/>
      <c r="IGD66" s="10"/>
      <c r="IGE66" s="10"/>
      <c r="IGF66" s="10"/>
      <c r="IGG66" s="10"/>
      <c r="IGH66" s="10"/>
      <c r="IGI66" s="10"/>
      <c r="IGJ66" s="10"/>
      <c r="IGK66" s="10"/>
      <c r="IGL66" s="10"/>
      <c r="IGM66" s="10"/>
      <c r="IGN66" s="10"/>
      <c r="IGO66" s="10"/>
      <c r="IGP66" s="10"/>
      <c r="IGQ66" s="10"/>
      <c r="IGR66" s="10"/>
      <c r="IGS66" s="10"/>
      <c r="IGT66" s="10"/>
      <c r="IGU66" s="10"/>
      <c r="IGV66" s="10"/>
      <c r="IGW66" s="10"/>
      <c r="IGX66" s="10"/>
      <c r="IGY66" s="10"/>
      <c r="IGZ66" s="10"/>
      <c r="IHA66" s="10"/>
      <c r="IHB66" s="10"/>
      <c r="IHC66" s="10"/>
      <c r="IHD66" s="10"/>
      <c r="IHE66" s="10"/>
      <c r="IHF66" s="10"/>
      <c r="IHG66" s="10"/>
      <c r="IHH66" s="10"/>
      <c r="IHI66" s="10"/>
      <c r="IHJ66" s="10"/>
      <c r="IHK66" s="10"/>
      <c r="IHL66" s="10"/>
      <c r="IHM66" s="10"/>
      <c r="IHN66" s="10"/>
      <c r="IHO66" s="10"/>
      <c r="IHP66" s="10"/>
      <c r="IHQ66" s="10"/>
      <c r="IHR66" s="10"/>
      <c r="IHS66" s="10"/>
      <c r="IHT66" s="10"/>
      <c r="IHU66" s="10"/>
      <c r="IHV66" s="10"/>
      <c r="IHW66" s="10"/>
      <c r="IHX66" s="10"/>
      <c r="IHY66" s="10"/>
      <c r="IHZ66" s="10"/>
      <c r="IIA66" s="10"/>
      <c r="IIB66" s="10"/>
      <c r="IIC66" s="10"/>
      <c r="IID66" s="10"/>
      <c r="IIE66" s="10"/>
      <c r="IIF66" s="10"/>
      <c r="IIG66" s="10"/>
      <c r="IIH66" s="10"/>
      <c r="III66" s="10"/>
      <c r="IIJ66" s="10"/>
      <c r="IIK66" s="10"/>
      <c r="IIL66" s="10"/>
      <c r="IIM66" s="10"/>
      <c r="IIN66" s="10"/>
      <c r="IIO66" s="10"/>
      <c r="IIP66" s="10"/>
      <c r="IIQ66" s="10"/>
      <c r="IIR66" s="10"/>
      <c r="IIS66" s="10"/>
      <c r="IIT66" s="10"/>
      <c r="IIU66" s="10"/>
      <c r="IIV66" s="10"/>
      <c r="IIW66" s="10"/>
      <c r="IIX66" s="10"/>
      <c r="IIY66" s="10"/>
      <c r="IIZ66" s="10"/>
      <c r="IJA66" s="10"/>
      <c r="IJB66" s="10"/>
      <c r="IJC66" s="10"/>
      <c r="IJD66" s="10"/>
      <c r="IJE66" s="10"/>
      <c r="IJF66" s="10"/>
      <c r="IJG66" s="10"/>
      <c r="IJH66" s="10"/>
      <c r="IJI66" s="10"/>
      <c r="IJJ66" s="10"/>
      <c r="IJK66" s="10"/>
      <c r="IJL66" s="10"/>
      <c r="IJM66" s="10"/>
      <c r="IJN66" s="10"/>
      <c r="IJO66" s="10"/>
      <c r="IJP66" s="10"/>
      <c r="IJQ66" s="10"/>
      <c r="IJR66" s="10"/>
      <c r="IJS66" s="10"/>
      <c r="IJT66" s="10"/>
      <c r="IJU66" s="10"/>
      <c r="IJV66" s="10"/>
      <c r="IJW66" s="10"/>
      <c r="IJX66" s="10"/>
      <c r="IJY66" s="10"/>
      <c r="IJZ66" s="10"/>
      <c r="IKA66" s="10"/>
      <c r="IKB66" s="10"/>
      <c r="IKC66" s="10"/>
      <c r="IKD66" s="10"/>
      <c r="IKE66" s="10"/>
      <c r="IKF66" s="10"/>
      <c r="IKG66" s="10"/>
      <c r="IKH66" s="10"/>
      <c r="IKI66" s="10"/>
      <c r="IKJ66" s="10"/>
      <c r="IKK66" s="10"/>
      <c r="IKL66" s="10"/>
      <c r="IKM66" s="10"/>
      <c r="IKN66" s="10"/>
      <c r="IKO66" s="10"/>
      <c r="IKP66" s="10"/>
      <c r="IKQ66" s="10"/>
      <c r="IKR66" s="10"/>
      <c r="IKS66" s="10"/>
      <c r="IKT66" s="10"/>
      <c r="IKU66" s="10"/>
      <c r="IKV66" s="10"/>
      <c r="IKW66" s="10"/>
      <c r="IKX66" s="10"/>
      <c r="IKY66" s="10"/>
      <c r="IKZ66" s="10"/>
      <c r="ILA66" s="10"/>
      <c r="ILB66" s="10"/>
      <c r="ILC66" s="10"/>
      <c r="ILD66" s="10"/>
      <c r="ILE66" s="10"/>
      <c r="ILF66" s="10"/>
      <c r="ILG66" s="10"/>
      <c r="ILH66" s="10"/>
      <c r="ILI66" s="10"/>
      <c r="ILJ66" s="10"/>
      <c r="ILK66" s="10"/>
      <c r="ILL66" s="10"/>
      <c r="ILM66" s="10"/>
      <c r="ILN66" s="10"/>
      <c r="ILO66" s="10"/>
      <c r="ILP66" s="10"/>
      <c r="ILQ66" s="10"/>
      <c r="ILR66" s="10"/>
      <c r="ILS66" s="10"/>
      <c r="ILT66" s="10"/>
      <c r="ILU66" s="10"/>
      <c r="ILV66" s="10"/>
      <c r="ILW66" s="10"/>
      <c r="ILX66" s="10"/>
      <c r="ILY66" s="10"/>
      <c r="ILZ66" s="10"/>
      <c r="IMA66" s="10"/>
      <c r="IMB66" s="10"/>
      <c r="IMC66" s="10"/>
      <c r="IMD66" s="10"/>
      <c r="IME66" s="10"/>
      <c r="IMF66" s="10"/>
      <c r="IMG66" s="10"/>
      <c r="IMH66" s="10"/>
      <c r="IMI66" s="10"/>
      <c r="IMJ66" s="10"/>
      <c r="IMK66" s="10"/>
      <c r="IML66" s="10"/>
      <c r="IMM66" s="10"/>
      <c r="IMN66" s="10"/>
      <c r="IMO66" s="10"/>
      <c r="IMP66" s="10"/>
      <c r="IMQ66" s="10"/>
      <c r="IMR66" s="10"/>
      <c r="IMS66" s="10"/>
      <c r="IMT66" s="10"/>
      <c r="IMU66" s="10"/>
      <c r="IMV66" s="10"/>
      <c r="IMW66" s="10"/>
      <c r="IMX66" s="10"/>
      <c r="IMY66" s="10"/>
      <c r="IMZ66" s="10"/>
      <c r="INA66" s="10"/>
      <c r="INB66" s="10"/>
      <c r="INC66" s="10"/>
      <c r="IND66" s="10"/>
      <c r="INE66" s="10"/>
      <c r="INF66" s="10"/>
      <c r="ING66" s="10"/>
      <c r="INH66" s="10"/>
      <c r="INI66" s="10"/>
      <c r="INJ66" s="10"/>
      <c r="INK66" s="10"/>
      <c r="INL66" s="10"/>
      <c r="INM66" s="10"/>
      <c r="INN66" s="10"/>
      <c r="INO66" s="10"/>
      <c r="INP66" s="10"/>
      <c r="INQ66" s="10"/>
      <c r="INR66" s="10"/>
      <c r="INS66" s="10"/>
      <c r="INT66" s="10"/>
      <c r="INU66" s="10"/>
      <c r="INV66" s="10"/>
      <c r="INW66" s="10"/>
      <c r="INX66" s="10"/>
      <c r="INY66" s="10"/>
      <c r="INZ66" s="10"/>
      <c r="IOA66" s="10"/>
      <c r="IOB66" s="10"/>
      <c r="IOC66" s="10"/>
      <c r="IOD66" s="10"/>
      <c r="IOE66" s="10"/>
      <c r="IOF66" s="10"/>
      <c r="IOG66" s="10"/>
      <c r="IOH66" s="10"/>
      <c r="IOI66" s="10"/>
      <c r="IOJ66" s="10"/>
      <c r="IOK66" s="10"/>
      <c r="IOL66" s="10"/>
      <c r="IOM66" s="10"/>
      <c r="ION66" s="10"/>
      <c r="IOO66" s="10"/>
      <c r="IOP66" s="10"/>
      <c r="IOQ66" s="10"/>
      <c r="IOR66" s="10"/>
      <c r="IOS66" s="10"/>
      <c r="IOT66" s="10"/>
      <c r="IOU66" s="10"/>
      <c r="IOV66" s="10"/>
      <c r="IOW66" s="10"/>
      <c r="IOX66" s="10"/>
      <c r="IOY66" s="10"/>
      <c r="IOZ66" s="10"/>
      <c r="IPA66" s="10"/>
      <c r="IPB66" s="10"/>
      <c r="IPC66" s="10"/>
      <c r="IPD66" s="10"/>
      <c r="IPE66" s="10"/>
      <c r="IPF66" s="10"/>
      <c r="IPG66" s="10"/>
      <c r="IPH66" s="10"/>
      <c r="IPI66" s="10"/>
      <c r="IPJ66" s="10"/>
      <c r="IPK66" s="10"/>
      <c r="IPL66" s="10"/>
      <c r="IPM66" s="10"/>
      <c r="IPN66" s="10"/>
      <c r="IPO66" s="10"/>
      <c r="IPP66" s="10"/>
      <c r="IPQ66" s="10"/>
      <c r="IPR66" s="10"/>
      <c r="IPS66" s="10"/>
      <c r="IPT66" s="10"/>
      <c r="IPU66" s="10"/>
      <c r="IPV66" s="10"/>
      <c r="IPW66" s="10"/>
      <c r="IPX66" s="10"/>
      <c r="IPY66" s="10"/>
      <c r="IPZ66" s="10"/>
      <c r="IQA66" s="10"/>
      <c r="IQB66" s="10"/>
      <c r="IQC66" s="10"/>
      <c r="IQD66" s="10"/>
      <c r="IQE66" s="10"/>
      <c r="IQF66" s="10"/>
      <c r="IQG66" s="10"/>
      <c r="IQH66" s="10"/>
      <c r="IQI66" s="10"/>
      <c r="IQJ66" s="10"/>
      <c r="IQK66" s="10"/>
      <c r="IQL66" s="10"/>
      <c r="IQM66" s="10"/>
      <c r="IQN66" s="10"/>
      <c r="IQO66" s="10"/>
      <c r="IQP66" s="10"/>
      <c r="IQQ66" s="10"/>
      <c r="IQR66" s="10"/>
      <c r="IQS66" s="10"/>
      <c r="IQT66" s="10"/>
      <c r="IQU66" s="10"/>
      <c r="IQV66" s="10"/>
      <c r="IQW66" s="10"/>
      <c r="IQX66" s="10"/>
      <c r="IQY66" s="10"/>
      <c r="IQZ66" s="10"/>
      <c r="IRA66" s="10"/>
      <c r="IRB66" s="10"/>
      <c r="IRC66" s="10"/>
      <c r="IRD66" s="10"/>
      <c r="IRE66" s="10"/>
      <c r="IRF66" s="10"/>
      <c r="IRG66" s="10"/>
      <c r="IRH66" s="10"/>
      <c r="IRI66" s="10"/>
      <c r="IRJ66" s="10"/>
      <c r="IRK66" s="10"/>
      <c r="IRL66" s="10"/>
      <c r="IRM66" s="10"/>
      <c r="IRN66" s="10"/>
      <c r="IRO66" s="10"/>
      <c r="IRP66" s="10"/>
      <c r="IRQ66" s="10"/>
      <c r="IRR66" s="10"/>
      <c r="IRS66" s="10"/>
      <c r="IRT66" s="10"/>
      <c r="IRU66" s="10"/>
      <c r="IRV66" s="10"/>
      <c r="IRW66" s="10"/>
      <c r="IRX66" s="10"/>
      <c r="IRY66" s="10"/>
      <c r="IRZ66" s="10"/>
      <c r="ISA66" s="10"/>
      <c r="ISB66" s="10"/>
      <c r="ISC66" s="10"/>
      <c r="ISD66" s="10"/>
      <c r="ISE66" s="10"/>
      <c r="ISF66" s="10"/>
      <c r="ISG66" s="10"/>
      <c r="ISH66" s="10"/>
      <c r="ISI66" s="10"/>
      <c r="ISJ66" s="10"/>
      <c r="ISK66" s="10"/>
      <c r="ISL66" s="10"/>
      <c r="ISM66" s="10"/>
      <c r="ISN66" s="10"/>
      <c r="ISO66" s="10"/>
      <c r="ISP66" s="10"/>
      <c r="ISQ66" s="10"/>
      <c r="ISR66" s="10"/>
      <c r="ISS66" s="10"/>
      <c r="IST66" s="10"/>
      <c r="ISU66" s="10"/>
      <c r="ISV66" s="10"/>
      <c r="ISW66" s="10"/>
      <c r="ISX66" s="10"/>
      <c r="ISY66" s="10"/>
      <c r="ISZ66" s="10"/>
      <c r="ITA66" s="10"/>
      <c r="ITB66" s="10"/>
      <c r="ITC66" s="10"/>
      <c r="ITD66" s="10"/>
      <c r="ITE66" s="10"/>
      <c r="ITF66" s="10"/>
      <c r="ITG66" s="10"/>
      <c r="ITH66" s="10"/>
      <c r="ITI66" s="10"/>
      <c r="ITJ66" s="10"/>
      <c r="ITK66" s="10"/>
      <c r="ITL66" s="10"/>
      <c r="ITM66" s="10"/>
      <c r="ITN66" s="10"/>
      <c r="ITO66" s="10"/>
      <c r="ITP66" s="10"/>
      <c r="ITQ66" s="10"/>
      <c r="ITR66" s="10"/>
      <c r="ITS66" s="10"/>
      <c r="ITT66" s="10"/>
      <c r="ITU66" s="10"/>
      <c r="ITV66" s="10"/>
      <c r="ITW66" s="10"/>
      <c r="ITX66" s="10"/>
      <c r="ITY66" s="10"/>
      <c r="ITZ66" s="10"/>
      <c r="IUA66" s="10"/>
      <c r="IUB66" s="10"/>
      <c r="IUC66" s="10"/>
      <c r="IUD66" s="10"/>
      <c r="IUE66" s="10"/>
      <c r="IUF66" s="10"/>
      <c r="IUG66" s="10"/>
      <c r="IUH66" s="10"/>
      <c r="IUI66" s="10"/>
      <c r="IUJ66" s="10"/>
      <c r="IUK66" s="10"/>
      <c r="IUL66" s="10"/>
      <c r="IUM66" s="10"/>
      <c r="IUN66" s="10"/>
      <c r="IUO66" s="10"/>
      <c r="IUP66" s="10"/>
      <c r="IUQ66" s="10"/>
      <c r="IUR66" s="10"/>
      <c r="IUS66" s="10"/>
      <c r="IUT66" s="10"/>
      <c r="IUU66" s="10"/>
      <c r="IUV66" s="10"/>
      <c r="IUW66" s="10"/>
      <c r="IUX66" s="10"/>
      <c r="IUY66" s="10"/>
      <c r="IUZ66" s="10"/>
      <c r="IVA66" s="10"/>
      <c r="IVB66" s="10"/>
      <c r="IVC66" s="10"/>
      <c r="IVD66" s="10"/>
      <c r="IVE66" s="10"/>
      <c r="IVF66" s="10"/>
      <c r="IVG66" s="10"/>
      <c r="IVH66" s="10"/>
      <c r="IVI66" s="10"/>
      <c r="IVJ66" s="10"/>
      <c r="IVK66" s="10"/>
      <c r="IVL66" s="10"/>
      <c r="IVM66" s="10"/>
      <c r="IVN66" s="10"/>
      <c r="IVO66" s="10"/>
      <c r="IVP66" s="10"/>
      <c r="IVQ66" s="10"/>
      <c r="IVR66" s="10"/>
      <c r="IVS66" s="10"/>
      <c r="IVT66" s="10"/>
      <c r="IVU66" s="10"/>
      <c r="IVV66" s="10"/>
      <c r="IVW66" s="10"/>
      <c r="IVX66" s="10"/>
      <c r="IVY66" s="10"/>
      <c r="IVZ66" s="10"/>
      <c r="IWA66" s="10"/>
      <c r="IWB66" s="10"/>
      <c r="IWC66" s="10"/>
      <c r="IWD66" s="10"/>
      <c r="IWE66" s="10"/>
      <c r="IWF66" s="10"/>
      <c r="IWG66" s="10"/>
      <c r="IWH66" s="10"/>
      <c r="IWI66" s="10"/>
      <c r="IWJ66" s="10"/>
      <c r="IWK66" s="10"/>
      <c r="IWL66" s="10"/>
      <c r="IWM66" s="10"/>
      <c r="IWN66" s="10"/>
      <c r="IWO66" s="10"/>
      <c r="IWP66" s="10"/>
      <c r="IWQ66" s="10"/>
      <c r="IWR66" s="10"/>
      <c r="IWS66" s="10"/>
      <c r="IWT66" s="10"/>
      <c r="IWU66" s="10"/>
      <c r="IWV66" s="10"/>
      <c r="IWW66" s="10"/>
      <c r="IWX66" s="10"/>
      <c r="IWY66" s="10"/>
      <c r="IWZ66" s="10"/>
      <c r="IXA66" s="10"/>
      <c r="IXB66" s="10"/>
      <c r="IXC66" s="10"/>
      <c r="IXD66" s="10"/>
      <c r="IXE66" s="10"/>
      <c r="IXF66" s="10"/>
      <c r="IXG66" s="10"/>
      <c r="IXH66" s="10"/>
      <c r="IXI66" s="10"/>
      <c r="IXJ66" s="10"/>
      <c r="IXK66" s="10"/>
      <c r="IXL66" s="10"/>
      <c r="IXM66" s="10"/>
      <c r="IXN66" s="10"/>
      <c r="IXO66" s="10"/>
      <c r="IXP66" s="10"/>
      <c r="IXQ66" s="10"/>
      <c r="IXR66" s="10"/>
      <c r="IXS66" s="10"/>
      <c r="IXT66" s="10"/>
      <c r="IXU66" s="10"/>
      <c r="IXV66" s="10"/>
      <c r="IXW66" s="10"/>
      <c r="IXX66" s="10"/>
      <c r="IXY66" s="10"/>
      <c r="IXZ66" s="10"/>
      <c r="IYA66" s="10"/>
      <c r="IYB66" s="10"/>
      <c r="IYC66" s="10"/>
      <c r="IYD66" s="10"/>
      <c r="IYE66" s="10"/>
      <c r="IYF66" s="10"/>
      <c r="IYG66" s="10"/>
      <c r="IYH66" s="10"/>
      <c r="IYI66" s="10"/>
      <c r="IYJ66" s="10"/>
      <c r="IYK66" s="10"/>
      <c r="IYL66" s="10"/>
      <c r="IYM66" s="10"/>
      <c r="IYN66" s="10"/>
      <c r="IYO66" s="10"/>
      <c r="IYP66" s="10"/>
      <c r="IYQ66" s="10"/>
      <c r="IYR66" s="10"/>
      <c r="IYS66" s="10"/>
      <c r="IYT66" s="10"/>
      <c r="IYU66" s="10"/>
      <c r="IYV66" s="10"/>
      <c r="IYW66" s="10"/>
      <c r="IYX66" s="10"/>
      <c r="IYY66" s="10"/>
      <c r="IYZ66" s="10"/>
      <c r="IZA66" s="10"/>
      <c r="IZB66" s="10"/>
      <c r="IZC66" s="10"/>
      <c r="IZD66" s="10"/>
      <c r="IZE66" s="10"/>
      <c r="IZF66" s="10"/>
      <c r="IZG66" s="10"/>
      <c r="IZH66" s="10"/>
      <c r="IZI66" s="10"/>
      <c r="IZJ66" s="10"/>
      <c r="IZK66" s="10"/>
      <c r="IZL66" s="10"/>
      <c r="IZM66" s="10"/>
      <c r="IZN66" s="10"/>
      <c r="IZO66" s="10"/>
      <c r="IZP66" s="10"/>
      <c r="IZQ66" s="10"/>
      <c r="IZR66" s="10"/>
      <c r="IZS66" s="10"/>
      <c r="IZT66" s="10"/>
      <c r="IZU66" s="10"/>
      <c r="IZV66" s="10"/>
      <c r="IZW66" s="10"/>
      <c r="IZX66" s="10"/>
      <c r="IZY66" s="10"/>
      <c r="IZZ66" s="10"/>
      <c r="JAA66" s="10"/>
      <c r="JAB66" s="10"/>
      <c r="JAC66" s="10"/>
      <c r="JAD66" s="10"/>
      <c r="JAE66" s="10"/>
      <c r="JAF66" s="10"/>
      <c r="JAG66" s="10"/>
      <c r="JAH66" s="10"/>
      <c r="JAI66" s="10"/>
      <c r="JAJ66" s="10"/>
      <c r="JAK66" s="10"/>
      <c r="JAL66" s="10"/>
      <c r="JAM66" s="10"/>
      <c r="JAN66" s="10"/>
      <c r="JAO66" s="10"/>
      <c r="JAP66" s="10"/>
      <c r="JAQ66" s="10"/>
      <c r="JAR66" s="10"/>
      <c r="JAS66" s="10"/>
      <c r="JAT66" s="10"/>
      <c r="JAU66" s="10"/>
      <c r="JAV66" s="10"/>
      <c r="JAW66" s="10"/>
      <c r="JAX66" s="10"/>
      <c r="JAY66" s="10"/>
      <c r="JAZ66" s="10"/>
      <c r="JBA66" s="10"/>
      <c r="JBB66" s="10"/>
      <c r="JBC66" s="10"/>
      <c r="JBD66" s="10"/>
      <c r="JBE66" s="10"/>
      <c r="JBF66" s="10"/>
      <c r="JBG66" s="10"/>
      <c r="JBH66" s="10"/>
      <c r="JBI66" s="10"/>
      <c r="JBJ66" s="10"/>
      <c r="JBK66" s="10"/>
      <c r="JBL66" s="10"/>
      <c r="JBM66" s="10"/>
      <c r="JBN66" s="10"/>
      <c r="JBO66" s="10"/>
      <c r="JBP66" s="10"/>
      <c r="JBQ66" s="10"/>
      <c r="JBR66" s="10"/>
      <c r="JBS66" s="10"/>
      <c r="JBT66" s="10"/>
      <c r="JBU66" s="10"/>
      <c r="JBV66" s="10"/>
      <c r="JBW66" s="10"/>
      <c r="JBX66" s="10"/>
      <c r="JBY66" s="10"/>
      <c r="JBZ66" s="10"/>
      <c r="JCA66" s="10"/>
      <c r="JCB66" s="10"/>
      <c r="JCC66" s="10"/>
      <c r="JCD66" s="10"/>
      <c r="JCE66" s="10"/>
      <c r="JCF66" s="10"/>
      <c r="JCG66" s="10"/>
      <c r="JCH66" s="10"/>
      <c r="JCI66" s="10"/>
      <c r="JCJ66" s="10"/>
      <c r="JCK66" s="10"/>
      <c r="JCL66" s="10"/>
      <c r="JCM66" s="10"/>
      <c r="JCN66" s="10"/>
      <c r="JCO66" s="10"/>
      <c r="JCP66" s="10"/>
      <c r="JCQ66" s="10"/>
      <c r="JCR66" s="10"/>
      <c r="JCS66" s="10"/>
      <c r="JCT66" s="10"/>
      <c r="JCU66" s="10"/>
      <c r="JCV66" s="10"/>
      <c r="JCW66" s="10"/>
      <c r="JCX66" s="10"/>
      <c r="JCY66" s="10"/>
      <c r="JCZ66" s="10"/>
      <c r="JDA66" s="10"/>
      <c r="JDB66" s="10"/>
      <c r="JDC66" s="10"/>
      <c r="JDD66" s="10"/>
      <c r="JDE66" s="10"/>
      <c r="JDF66" s="10"/>
      <c r="JDG66" s="10"/>
      <c r="JDH66" s="10"/>
      <c r="JDI66" s="10"/>
      <c r="JDJ66" s="10"/>
      <c r="JDK66" s="10"/>
      <c r="JDL66" s="10"/>
      <c r="JDM66" s="10"/>
      <c r="JDN66" s="10"/>
      <c r="JDO66" s="10"/>
      <c r="JDP66" s="10"/>
      <c r="JDQ66" s="10"/>
      <c r="JDR66" s="10"/>
      <c r="JDS66" s="10"/>
      <c r="JDT66" s="10"/>
      <c r="JDU66" s="10"/>
      <c r="JDV66" s="10"/>
      <c r="JDW66" s="10"/>
      <c r="JDX66" s="10"/>
      <c r="JDY66" s="10"/>
      <c r="JDZ66" s="10"/>
      <c r="JEA66" s="10"/>
      <c r="JEB66" s="10"/>
      <c r="JEC66" s="10"/>
      <c r="JED66" s="10"/>
      <c r="JEE66" s="10"/>
      <c r="JEF66" s="10"/>
      <c r="JEG66" s="10"/>
      <c r="JEH66" s="10"/>
      <c r="JEI66" s="10"/>
      <c r="JEJ66" s="10"/>
      <c r="JEK66" s="10"/>
      <c r="JEL66" s="10"/>
      <c r="JEM66" s="10"/>
      <c r="JEN66" s="10"/>
      <c r="JEO66" s="10"/>
      <c r="JEP66" s="10"/>
      <c r="JEQ66" s="10"/>
      <c r="JER66" s="10"/>
      <c r="JES66" s="10"/>
      <c r="JET66" s="10"/>
      <c r="JEU66" s="10"/>
      <c r="JEV66" s="10"/>
      <c r="JEW66" s="10"/>
      <c r="JEX66" s="10"/>
      <c r="JEY66" s="10"/>
      <c r="JEZ66" s="10"/>
      <c r="JFA66" s="10"/>
      <c r="JFB66" s="10"/>
      <c r="JFC66" s="10"/>
      <c r="JFD66" s="10"/>
      <c r="JFE66" s="10"/>
      <c r="JFF66" s="10"/>
      <c r="JFG66" s="10"/>
      <c r="JFH66" s="10"/>
      <c r="JFI66" s="10"/>
      <c r="JFJ66" s="10"/>
      <c r="JFK66" s="10"/>
      <c r="JFL66" s="10"/>
      <c r="JFM66" s="10"/>
      <c r="JFN66" s="10"/>
      <c r="JFO66" s="10"/>
      <c r="JFP66" s="10"/>
      <c r="JFQ66" s="10"/>
      <c r="JFR66" s="10"/>
      <c r="JFS66" s="10"/>
      <c r="JFT66" s="10"/>
      <c r="JFU66" s="10"/>
      <c r="JFV66" s="10"/>
      <c r="JFW66" s="10"/>
      <c r="JFX66" s="10"/>
      <c r="JFY66" s="10"/>
      <c r="JFZ66" s="10"/>
      <c r="JGA66" s="10"/>
      <c r="JGB66" s="10"/>
      <c r="JGC66" s="10"/>
      <c r="JGD66" s="10"/>
      <c r="JGE66" s="10"/>
      <c r="JGF66" s="10"/>
      <c r="JGG66" s="10"/>
      <c r="JGH66" s="10"/>
      <c r="JGI66" s="10"/>
      <c r="JGJ66" s="10"/>
      <c r="JGK66" s="10"/>
      <c r="JGL66" s="10"/>
      <c r="JGM66" s="10"/>
      <c r="JGN66" s="10"/>
      <c r="JGO66" s="10"/>
      <c r="JGP66" s="10"/>
      <c r="JGQ66" s="10"/>
      <c r="JGR66" s="10"/>
      <c r="JGS66" s="10"/>
      <c r="JGT66" s="10"/>
      <c r="JGU66" s="10"/>
      <c r="JGV66" s="10"/>
      <c r="JGW66" s="10"/>
      <c r="JGX66" s="10"/>
      <c r="JGY66" s="10"/>
      <c r="JGZ66" s="10"/>
      <c r="JHA66" s="10"/>
      <c r="JHB66" s="10"/>
      <c r="JHC66" s="10"/>
      <c r="JHD66" s="10"/>
      <c r="JHE66" s="10"/>
      <c r="JHF66" s="10"/>
      <c r="JHG66" s="10"/>
      <c r="JHH66" s="10"/>
      <c r="JHI66" s="10"/>
      <c r="JHJ66" s="10"/>
      <c r="JHK66" s="10"/>
      <c r="JHL66" s="10"/>
      <c r="JHM66" s="10"/>
      <c r="JHN66" s="10"/>
      <c r="JHO66" s="10"/>
      <c r="JHP66" s="10"/>
      <c r="JHQ66" s="10"/>
      <c r="JHR66" s="10"/>
      <c r="JHS66" s="10"/>
      <c r="JHT66" s="10"/>
      <c r="JHU66" s="10"/>
      <c r="JHV66" s="10"/>
      <c r="JHW66" s="10"/>
      <c r="JHX66" s="10"/>
      <c r="JHY66" s="10"/>
      <c r="JHZ66" s="10"/>
      <c r="JIA66" s="10"/>
      <c r="JIB66" s="10"/>
      <c r="JIC66" s="10"/>
      <c r="JID66" s="10"/>
      <c r="JIE66" s="10"/>
      <c r="JIF66" s="10"/>
      <c r="JIG66" s="10"/>
      <c r="JIH66" s="10"/>
      <c r="JII66" s="10"/>
      <c r="JIJ66" s="10"/>
      <c r="JIK66" s="10"/>
      <c r="JIL66" s="10"/>
      <c r="JIM66" s="10"/>
      <c r="JIN66" s="10"/>
      <c r="JIO66" s="10"/>
      <c r="JIP66" s="10"/>
      <c r="JIQ66" s="10"/>
      <c r="JIR66" s="10"/>
      <c r="JIS66" s="10"/>
      <c r="JIT66" s="10"/>
      <c r="JIU66" s="10"/>
      <c r="JIV66" s="10"/>
      <c r="JIW66" s="10"/>
      <c r="JIX66" s="10"/>
      <c r="JIY66" s="10"/>
      <c r="JIZ66" s="10"/>
      <c r="JJA66" s="10"/>
      <c r="JJB66" s="10"/>
      <c r="JJC66" s="10"/>
      <c r="JJD66" s="10"/>
      <c r="JJE66" s="10"/>
      <c r="JJF66" s="10"/>
      <c r="JJG66" s="10"/>
      <c r="JJH66" s="10"/>
      <c r="JJI66" s="10"/>
      <c r="JJJ66" s="10"/>
      <c r="JJK66" s="10"/>
      <c r="JJL66" s="10"/>
      <c r="JJM66" s="10"/>
      <c r="JJN66" s="10"/>
      <c r="JJO66" s="10"/>
      <c r="JJP66" s="10"/>
      <c r="JJQ66" s="10"/>
      <c r="JJR66" s="10"/>
      <c r="JJS66" s="10"/>
      <c r="JJT66" s="10"/>
      <c r="JJU66" s="10"/>
      <c r="JJV66" s="10"/>
      <c r="JJW66" s="10"/>
      <c r="JJX66" s="10"/>
      <c r="JJY66" s="10"/>
      <c r="JJZ66" s="10"/>
      <c r="JKA66" s="10"/>
      <c r="JKB66" s="10"/>
      <c r="JKC66" s="10"/>
      <c r="JKD66" s="10"/>
      <c r="JKE66" s="10"/>
      <c r="JKF66" s="10"/>
      <c r="JKG66" s="10"/>
      <c r="JKH66" s="10"/>
      <c r="JKI66" s="10"/>
      <c r="JKJ66" s="10"/>
      <c r="JKK66" s="10"/>
      <c r="JKL66" s="10"/>
      <c r="JKM66" s="10"/>
      <c r="JKN66" s="10"/>
      <c r="JKO66" s="10"/>
      <c r="JKP66" s="10"/>
      <c r="JKQ66" s="10"/>
      <c r="JKR66" s="10"/>
      <c r="JKS66" s="10"/>
      <c r="JKT66" s="10"/>
      <c r="JKU66" s="10"/>
      <c r="JKV66" s="10"/>
      <c r="JKW66" s="10"/>
      <c r="JKX66" s="10"/>
      <c r="JKY66" s="10"/>
      <c r="JKZ66" s="10"/>
      <c r="JLA66" s="10"/>
      <c r="JLB66" s="10"/>
      <c r="JLC66" s="10"/>
      <c r="JLD66" s="10"/>
      <c r="JLE66" s="10"/>
      <c r="JLF66" s="10"/>
      <c r="JLG66" s="10"/>
      <c r="JLH66" s="10"/>
      <c r="JLI66" s="10"/>
      <c r="JLJ66" s="10"/>
      <c r="JLK66" s="10"/>
      <c r="JLL66" s="10"/>
      <c r="JLM66" s="10"/>
      <c r="JLN66" s="10"/>
      <c r="JLO66" s="10"/>
      <c r="JLP66" s="10"/>
      <c r="JLQ66" s="10"/>
      <c r="JLR66" s="10"/>
      <c r="JLS66" s="10"/>
      <c r="JLT66" s="10"/>
      <c r="JLU66" s="10"/>
      <c r="JLV66" s="10"/>
      <c r="JLW66" s="10"/>
      <c r="JLX66" s="10"/>
      <c r="JLY66" s="10"/>
      <c r="JLZ66" s="10"/>
      <c r="JMA66" s="10"/>
      <c r="JMB66" s="10"/>
      <c r="JMC66" s="10"/>
      <c r="JMD66" s="10"/>
      <c r="JME66" s="10"/>
      <c r="JMF66" s="10"/>
      <c r="JMG66" s="10"/>
      <c r="JMH66" s="10"/>
      <c r="JMI66" s="10"/>
      <c r="JMJ66" s="10"/>
      <c r="JMK66" s="10"/>
      <c r="JML66" s="10"/>
      <c r="JMM66" s="10"/>
      <c r="JMN66" s="10"/>
      <c r="JMO66" s="10"/>
      <c r="JMP66" s="10"/>
      <c r="JMQ66" s="10"/>
      <c r="JMR66" s="10"/>
      <c r="JMS66" s="10"/>
      <c r="JMT66" s="10"/>
      <c r="JMU66" s="10"/>
      <c r="JMV66" s="10"/>
      <c r="JMW66" s="10"/>
      <c r="JMX66" s="10"/>
      <c r="JMY66" s="10"/>
      <c r="JMZ66" s="10"/>
      <c r="JNA66" s="10"/>
      <c r="JNB66" s="10"/>
      <c r="JNC66" s="10"/>
      <c r="JND66" s="10"/>
      <c r="JNE66" s="10"/>
      <c r="JNF66" s="10"/>
      <c r="JNG66" s="10"/>
      <c r="JNH66" s="10"/>
      <c r="JNI66" s="10"/>
      <c r="JNJ66" s="10"/>
      <c r="JNK66" s="10"/>
      <c r="JNL66" s="10"/>
      <c r="JNM66" s="10"/>
      <c r="JNN66" s="10"/>
      <c r="JNO66" s="10"/>
      <c r="JNP66" s="10"/>
      <c r="JNQ66" s="10"/>
      <c r="JNR66" s="10"/>
      <c r="JNS66" s="10"/>
      <c r="JNT66" s="10"/>
      <c r="JNU66" s="10"/>
      <c r="JNV66" s="10"/>
      <c r="JNW66" s="10"/>
      <c r="JNX66" s="10"/>
      <c r="JNY66" s="10"/>
      <c r="JNZ66" s="10"/>
      <c r="JOA66" s="10"/>
      <c r="JOB66" s="10"/>
      <c r="JOC66" s="10"/>
      <c r="JOD66" s="10"/>
      <c r="JOE66" s="10"/>
      <c r="JOF66" s="10"/>
      <c r="JOG66" s="10"/>
      <c r="JOH66" s="10"/>
      <c r="JOI66" s="10"/>
      <c r="JOJ66" s="10"/>
      <c r="JOK66" s="10"/>
      <c r="JOL66" s="10"/>
      <c r="JOM66" s="10"/>
      <c r="JON66" s="10"/>
      <c r="JOO66" s="10"/>
      <c r="JOP66" s="10"/>
      <c r="JOQ66" s="10"/>
      <c r="JOR66" s="10"/>
      <c r="JOS66" s="10"/>
      <c r="JOT66" s="10"/>
      <c r="JOU66" s="10"/>
      <c r="JOV66" s="10"/>
      <c r="JOW66" s="10"/>
      <c r="JOX66" s="10"/>
      <c r="JOY66" s="10"/>
      <c r="JOZ66" s="10"/>
      <c r="JPA66" s="10"/>
      <c r="JPB66" s="10"/>
      <c r="JPC66" s="10"/>
      <c r="JPD66" s="10"/>
      <c r="JPE66" s="10"/>
      <c r="JPF66" s="10"/>
      <c r="JPG66" s="10"/>
      <c r="JPH66" s="10"/>
      <c r="JPI66" s="10"/>
      <c r="JPJ66" s="10"/>
      <c r="JPK66" s="10"/>
      <c r="JPL66" s="10"/>
      <c r="JPM66" s="10"/>
      <c r="JPN66" s="10"/>
      <c r="JPO66" s="10"/>
      <c r="JPP66" s="10"/>
      <c r="JPQ66" s="10"/>
      <c r="JPR66" s="10"/>
      <c r="JPS66" s="10"/>
      <c r="JPT66" s="10"/>
      <c r="JPU66" s="10"/>
      <c r="JPV66" s="10"/>
      <c r="JPW66" s="10"/>
      <c r="JPX66" s="10"/>
      <c r="JPY66" s="10"/>
      <c r="JPZ66" s="10"/>
      <c r="JQA66" s="10"/>
      <c r="JQB66" s="10"/>
      <c r="JQC66" s="10"/>
      <c r="JQD66" s="10"/>
      <c r="JQE66" s="10"/>
      <c r="JQF66" s="10"/>
      <c r="JQG66" s="10"/>
      <c r="JQH66" s="10"/>
      <c r="JQI66" s="10"/>
      <c r="JQJ66" s="10"/>
      <c r="JQK66" s="10"/>
      <c r="JQL66" s="10"/>
      <c r="JQM66" s="10"/>
      <c r="JQN66" s="10"/>
      <c r="JQO66" s="10"/>
      <c r="JQP66" s="10"/>
      <c r="JQQ66" s="10"/>
      <c r="JQR66" s="10"/>
      <c r="JQS66" s="10"/>
      <c r="JQT66" s="10"/>
      <c r="JQU66" s="10"/>
      <c r="JQV66" s="10"/>
      <c r="JQW66" s="10"/>
      <c r="JQX66" s="10"/>
      <c r="JQY66" s="10"/>
      <c r="JQZ66" s="10"/>
      <c r="JRA66" s="10"/>
      <c r="JRB66" s="10"/>
      <c r="JRC66" s="10"/>
      <c r="JRD66" s="10"/>
      <c r="JRE66" s="10"/>
      <c r="JRF66" s="10"/>
      <c r="JRG66" s="10"/>
      <c r="JRH66" s="10"/>
      <c r="JRI66" s="10"/>
      <c r="JRJ66" s="10"/>
      <c r="JRK66" s="10"/>
      <c r="JRL66" s="10"/>
      <c r="JRM66" s="10"/>
      <c r="JRN66" s="10"/>
      <c r="JRO66" s="10"/>
      <c r="JRP66" s="10"/>
      <c r="JRQ66" s="10"/>
      <c r="JRR66" s="10"/>
      <c r="JRS66" s="10"/>
      <c r="JRT66" s="10"/>
      <c r="JRU66" s="10"/>
      <c r="JRV66" s="10"/>
      <c r="JRW66" s="10"/>
      <c r="JRX66" s="10"/>
      <c r="JRY66" s="10"/>
      <c r="JRZ66" s="10"/>
      <c r="JSA66" s="10"/>
      <c r="JSB66" s="10"/>
      <c r="JSC66" s="10"/>
      <c r="JSD66" s="10"/>
      <c r="JSE66" s="10"/>
      <c r="JSF66" s="10"/>
      <c r="JSG66" s="10"/>
      <c r="JSH66" s="10"/>
      <c r="JSI66" s="10"/>
      <c r="JSJ66" s="10"/>
      <c r="JSK66" s="10"/>
      <c r="JSL66" s="10"/>
      <c r="JSM66" s="10"/>
      <c r="JSN66" s="10"/>
      <c r="JSO66" s="10"/>
      <c r="JSP66" s="10"/>
      <c r="JSQ66" s="10"/>
      <c r="JSR66" s="10"/>
      <c r="JSS66" s="10"/>
      <c r="JST66" s="10"/>
      <c r="JSU66" s="10"/>
      <c r="JSV66" s="10"/>
      <c r="JSW66" s="10"/>
      <c r="JSX66" s="10"/>
      <c r="JSY66" s="10"/>
      <c r="JSZ66" s="10"/>
      <c r="JTA66" s="10"/>
      <c r="JTB66" s="10"/>
      <c r="JTC66" s="10"/>
      <c r="JTD66" s="10"/>
      <c r="JTE66" s="10"/>
      <c r="JTF66" s="10"/>
      <c r="JTG66" s="10"/>
      <c r="JTH66" s="10"/>
      <c r="JTI66" s="10"/>
      <c r="JTJ66" s="10"/>
      <c r="JTK66" s="10"/>
      <c r="JTL66" s="10"/>
      <c r="JTM66" s="10"/>
      <c r="JTN66" s="10"/>
      <c r="JTO66" s="10"/>
      <c r="JTP66" s="10"/>
      <c r="JTQ66" s="10"/>
      <c r="JTR66" s="10"/>
      <c r="JTS66" s="10"/>
      <c r="JTT66" s="10"/>
      <c r="JTU66" s="10"/>
      <c r="JTV66" s="10"/>
      <c r="JTW66" s="10"/>
      <c r="JTX66" s="10"/>
      <c r="JTY66" s="10"/>
      <c r="JTZ66" s="10"/>
      <c r="JUA66" s="10"/>
      <c r="JUB66" s="10"/>
      <c r="JUC66" s="10"/>
      <c r="JUD66" s="10"/>
      <c r="JUE66" s="10"/>
      <c r="JUF66" s="10"/>
      <c r="JUG66" s="10"/>
      <c r="JUH66" s="10"/>
      <c r="JUI66" s="10"/>
      <c r="JUJ66" s="10"/>
      <c r="JUK66" s="10"/>
      <c r="JUL66" s="10"/>
      <c r="JUM66" s="10"/>
      <c r="JUN66" s="10"/>
      <c r="JUO66" s="10"/>
      <c r="JUP66" s="10"/>
      <c r="JUQ66" s="10"/>
      <c r="JUR66" s="10"/>
      <c r="JUS66" s="10"/>
      <c r="JUT66" s="10"/>
      <c r="JUU66" s="10"/>
      <c r="JUV66" s="10"/>
      <c r="JUW66" s="10"/>
      <c r="JUX66" s="10"/>
      <c r="JUY66" s="10"/>
      <c r="JUZ66" s="10"/>
      <c r="JVA66" s="10"/>
      <c r="JVB66" s="10"/>
      <c r="JVC66" s="10"/>
      <c r="JVD66" s="10"/>
      <c r="JVE66" s="10"/>
      <c r="JVF66" s="10"/>
      <c r="JVG66" s="10"/>
      <c r="JVH66" s="10"/>
      <c r="JVI66" s="10"/>
      <c r="JVJ66" s="10"/>
      <c r="JVK66" s="10"/>
      <c r="JVL66" s="10"/>
      <c r="JVM66" s="10"/>
      <c r="JVN66" s="10"/>
      <c r="JVO66" s="10"/>
      <c r="JVP66" s="10"/>
      <c r="JVQ66" s="10"/>
      <c r="JVR66" s="10"/>
      <c r="JVS66" s="10"/>
      <c r="JVT66" s="10"/>
      <c r="JVU66" s="10"/>
      <c r="JVV66" s="10"/>
      <c r="JVW66" s="10"/>
      <c r="JVX66" s="10"/>
      <c r="JVY66" s="10"/>
      <c r="JVZ66" s="10"/>
      <c r="JWA66" s="10"/>
      <c r="JWB66" s="10"/>
      <c r="JWC66" s="10"/>
      <c r="JWD66" s="10"/>
      <c r="JWE66" s="10"/>
      <c r="JWF66" s="10"/>
      <c r="JWG66" s="10"/>
      <c r="JWH66" s="10"/>
      <c r="JWI66" s="10"/>
      <c r="JWJ66" s="10"/>
      <c r="JWK66" s="10"/>
      <c r="JWL66" s="10"/>
      <c r="JWM66" s="10"/>
      <c r="JWN66" s="10"/>
      <c r="JWO66" s="10"/>
      <c r="JWP66" s="10"/>
      <c r="JWQ66" s="10"/>
      <c r="JWR66" s="10"/>
      <c r="JWS66" s="10"/>
      <c r="JWT66" s="10"/>
      <c r="JWU66" s="10"/>
      <c r="JWV66" s="10"/>
      <c r="JWW66" s="10"/>
      <c r="JWX66" s="10"/>
      <c r="JWY66" s="10"/>
      <c r="JWZ66" s="10"/>
      <c r="JXA66" s="10"/>
      <c r="JXB66" s="10"/>
      <c r="JXC66" s="10"/>
      <c r="JXD66" s="10"/>
      <c r="JXE66" s="10"/>
      <c r="JXF66" s="10"/>
      <c r="JXG66" s="10"/>
      <c r="JXH66" s="10"/>
      <c r="JXI66" s="10"/>
      <c r="JXJ66" s="10"/>
      <c r="JXK66" s="10"/>
      <c r="JXL66" s="10"/>
      <c r="JXM66" s="10"/>
      <c r="JXN66" s="10"/>
      <c r="JXO66" s="10"/>
      <c r="JXP66" s="10"/>
      <c r="JXQ66" s="10"/>
      <c r="JXR66" s="10"/>
      <c r="JXS66" s="10"/>
      <c r="JXT66" s="10"/>
      <c r="JXU66" s="10"/>
      <c r="JXV66" s="10"/>
      <c r="JXW66" s="10"/>
      <c r="JXX66" s="10"/>
      <c r="JXY66" s="10"/>
      <c r="JXZ66" s="10"/>
      <c r="JYA66" s="10"/>
      <c r="JYB66" s="10"/>
      <c r="JYC66" s="10"/>
      <c r="JYD66" s="10"/>
      <c r="JYE66" s="10"/>
      <c r="JYF66" s="10"/>
      <c r="JYG66" s="10"/>
      <c r="JYH66" s="10"/>
      <c r="JYI66" s="10"/>
      <c r="JYJ66" s="10"/>
      <c r="JYK66" s="10"/>
      <c r="JYL66" s="10"/>
      <c r="JYM66" s="10"/>
      <c r="JYN66" s="10"/>
      <c r="JYO66" s="10"/>
      <c r="JYP66" s="10"/>
      <c r="JYQ66" s="10"/>
      <c r="JYR66" s="10"/>
      <c r="JYS66" s="10"/>
      <c r="JYT66" s="10"/>
      <c r="JYU66" s="10"/>
      <c r="JYV66" s="10"/>
      <c r="JYW66" s="10"/>
      <c r="JYX66" s="10"/>
      <c r="JYY66" s="10"/>
      <c r="JYZ66" s="10"/>
      <c r="JZA66" s="10"/>
      <c r="JZB66" s="10"/>
      <c r="JZC66" s="10"/>
      <c r="JZD66" s="10"/>
      <c r="JZE66" s="10"/>
      <c r="JZF66" s="10"/>
      <c r="JZG66" s="10"/>
      <c r="JZH66" s="10"/>
      <c r="JZI66" s="10"/>
      <c r="JZJ66" s="10"/>
      <c r="JZK66" s="10"/>
      <c r="JZL66" s="10"/>
      <c r="JZM66" s="10"/>
      <c r="JZN66" s="10"/>
      <c r="JZO66" s="10"/>
      <c r="JZP66" s="10"/>
      <c r="JZQ66" s="10"/>
      <c r="JZR66" s="10"/>
      <c r="JZS66" s="10"/>
      <c r="JZT66" s="10"/>
      <c r="JZU66" s="10"/>
      <c r="JZV66" s="10"/>
      <c r="JZW66" s="10"/>
      <c r="JZX66" s="10"/>
      <c r="JZY66" s="10"/>
      <c r="JZZ66" s="10"/>
      <c r="KAA66" s="10"/>
      <c r="KAB66" s="10"/>
      <c r="KAC66" s="10"/>
      <c r="KAD66" s="10"/>
      <c r="KAE66" s="10"/>
      <c r="KAF66" s="10"/>
      <c r="KAG66" s="10"/>
      <c r="KAH66" s="10"/>
      <c r="KAI66" s="10"/>
      <c r="KAJ66" s="10"/>
      <c r="KAK66" s="10"/>
      <c r="KAL66" s="10"/>
      <c r="KAM66" s="10"/>
      <c r="KAN66" s="10"/>
      <c r="KAO66" s="10"/>
      <c r="KAP66" s="10"/>
      <c r="KAQ66" s="10"/>
      <c r="KAR66" s="10"/>
      <c r="KAS66" s="10"/>
      <c r="KAT66" s="10"/>
      <c r="KAU66" s="10"/>
      <c r="KAV66" s="10"/>
      <c r="KAW66" s="10"/>
      <c r="KAX66" s="10"/>
      <c r="KAY66" s="10"/>
      <c r="KAZ66" s="10"/>
      <c r="KBA66" s="10"/>
      <c r="KBB66" s="10"/>
      <c r="KBC66" s="10"/>
      <c r="KBD66" s="10"/>
      <c r="KBE66" s="10"/>
      <c r="KBF66" s="10"/>
      <c r="KBG66" s="10"/>
      <c r="KBH66" s="10"/>
      <c r="KBI66" s="10"/>
      <c r="KBJ66" s="10"/>
      <c r="KBK66" s="10"/>
      <c r="KBL66" s="10"/>
      <c r="KBM66" s="10"/>
      <c r="KBN66" s="10"/>
      <c r="KBO66" s="10"/>
      <c r="KBP66" s="10"/>
      <c r="KBQ66" s="10"/>
      <c r="KBR66" s="10"/>
      <c r="KBS66" s="10"/>
      <c r="KBT66" s="10"/>
      <c r="KBU66" s="10"/>
      <c r="KBV66" s="10"/>
      <c r="KBW66" s="10"/>
      <c r="KBX66" s="10"/>
      <c r="KBY66" s="10"/>
      <c r="KBZ66" s="10"/>
      <c r="KCA66" s="10"/>
      <c r="KCB66" s="10"/>
      <c r="KCC66" s="10"/>
      <c r="KCD66" s="10"/>
      <c r="KCE66" s="10"/>
      <c r="KCF66" s="10"/>
      <c r="KCG66" s="10"/>
      <c r="KCH66" s="10"/>
      <c r="KCI66" s="10"/>
      <c r="KCJ66" s="10"/>
      <c r="KCK66" s="10"/>
      <c r="KCL66" s="10"/>
      <c r="KCM66" s="10"/>
      <c r="KCN66" s="10"/>
      <c r="KCO66" s="10"/>
      <c r="KCP66" s="10"/>
      <c r="KCQ66" s="10"/>
      <c r="KCR66" s="10"/>
      <c r="KCS66" s="10"/>
      <c r="KCT66" s="10"/>
      <c r="KCU66" s="10"/>
      <c r="KCV66" s="10"/>
      <c r="KCW66" s="10"/>
      <c r="KCX66" s="10"/>
      <c r="KCY66" s="10"/>
      <c r="KCZ66" s="10"/>
      <c r="KDA66" s="10"/>
      <c r="KDB66" s="10"/>
      <c r="KDC66" s="10"/>
      <c r="KDD66" s="10"/>
      <c r="KDE66" s="10"/>
      <c r="KDF66" s="10"/>
      <c r="KDG66" s="10"/>
      <c r="KDH66" s="10"/>
      <c r="KDI66" s="10"/>
      <c r="KDJ66" s="10"/>
      <c r="KDK66" s="10"/>
      <c r="KDL66" s="10"/>
      <c r="KDM66" s="10"/>
      <c r="KDN66" s="10"/>
      <c r="KDO66" s="10"/>
      <c r="KDP66" s="10"/>
      <c r="KDQ66" s="10"/>
      <c r="KDR66" s="10"/>
      <c r="KDS66" s="10"/>
      <c r="KDT66" s="10"/>
      <c r="KDU66" s="10"/>
      <c r="KDV66" s="10"/>
      <c r="KDW66" s="10"/>
      <c r="KDX66" s="10"/>
      <c r="KDY66" s="10"/>
      <c r="KDZ66" s="10"/>
      <c r="KEA66" s="10"/>
      <c r="KEB66" s="10"/>
      <c r="KEC66" s="10"/>
      <c r="KED66" s="10"/>
      <c r="KEE66" s="10"/>
      <c r="KEF66" s="10"/>
      <c r="KEG66" s="10"/>
      <c r="KEH66" s="10"/>
      <c r="KEI66" s="10"/>
      <c r="KEJ66" s="10"/>
      <c r="KEK66" s="10"/>
      <c r="KEL66" s="10"/>
      <c r="KEM66" s="10"/>
      <c r="KEN66" s="10"/>
      <c r="KEO66" s="10"/>
      <c r="KEP66" s="10"/>
      <c r="KEQ66" s="10"/>
      <c r="KER66" s="10"/>
      <c r="KES66" s="10"/>
      <c r="KET66" s="10"/>
      <c r="KEU66" s="10"/>
      <c r="KEV66" s="10"/>
      <c r="KEW66" s="10"/>
      <c r="KEX66" s="10"/>
      <c r="KEY66" s="10"/>
      <c r="KEZ66" s="10"/>
      <c r="KFA66" s="10"/>
      <c r="KFB66" s="10"/>
      <c r="KFC66" s="10"/>
      <c r="KFD66" s="10"/>
      <c r="KFE66" s="10"/>
      <c r="KFF66" s="10"/>
      <c r="KFG66" s="10"/>
      <c r="KFH66" s="10"/>
      <c r="KFI66" s="10"/>
      <c r="KFJ66" s="10"/>
      <c r="KFK66" s="10"/>
      <c r="KFL66" s="10"/>
      <c r="KFM66" s="10"/>
      <c r="KFN66" s="10"/>
      <c r="KFO66" s="10"/>
      <c r="KFP66" s="10"/>
      <c r="KFQ66" s="10"/>
      <c r="KFR66" s="10"/>
      <c r="KFS66" s="10"/>
      <c r="KFT66" s="10"/>
      <c r="KFU66" s="10"/>
      <c r="KFV66" s="10"/>
      <c r="KFW66" s="10"/>
      <c r="KFX66" s="10"/>
      <c r="KFY66" s="10"/>
      <c r="KFZ66" s="10"/>
      <c r="KGA66" s="10"/>
      <c r="KGB66" s="10"/>
      <c r="KGC66" s="10"/>
      <c r="KGD66" s="10"/>
      <c r="KGE66" s="10"/>
      <c r="KGF66" s="10"/>
      <c r="KGG66" s="10"/>
      <c r="KGH66" s="10"/>
      <c r="KGI66" s="10"/>
      <c r="KGJ66" s="10"/>
      <c r="KGK66" s="10"/>
      <c r="KGL66" s="10"/>
      <c r="KGM66" s="10"/>
      <c r="KGN66" s="10"/>
      <c r="KGO66" s="10"/>
      <c r="KGP66" s="10"/>
      <c r="KGQ66" s="10"/>
      <c r="KGR66" s="10"/>
      <c r="KGS66" s="10"/>
      <c r="KGT66" s="10"/>
      <c r="KGU66" s="10"/>
      <c r="KGV66" s="10"/>
      <c r="KGW66" s="10"/>
      <c r="KGX66" s="10"/>
      <c r="KGY66" s="10"/>
      <c r="KGZ66" s="10"/>
      <c r="KHA66" s="10"/>
      <c r="KHB66" s="10"/>
      <c r="KHC66" s="10"/>
      <c r="KHD66" s="10"/>
      <c r="KHE66" s="10"/>
      <c r="KHF66" s="10"/>
      <c r="KHG66" s="10"/>
      <c r="KHH66" s="10"/>
      <c r="KHI66" s="10"/>
      <c r="KHJ66" s="10"/>
      <c r="KHK66" s="10"/>
      <c r="KHL66" s="10"/>
      <c r="KHM66" s="10"/>
      <c r="KHN66" s="10"/>
      <c r="KHO66" s="10"/>
      <c r="KHP66" s="10"/>
      <c r="KHQ66" s="10"/>
      <c r="KHR66" s="10"/>
      <c r="KHS66" s="10"/>
      <c r="KHT66" s="10"/>
      <c r="KHU66" s="10"/>
      <c r="KHV66" s="10"/>
      <c r="KHW66" s="10"/>
      <c r="KHX66" s="10"/>
      <c r="KHY66" s="10"/>
      <c r="KHZ66" s="10"/>
      <c r="KIA66" s="10"/>
      <c r="KIB66" s="10"/>
      <c r="KIC66" s="10"/>
      <c r="KID66" s="10"/>
      <c r="KIE66" s="10"/>
      <c r="KIF66" s="10"/>
      <c r="KIG66" s="10"/>
      <c r="KIH66" s="10"/>
      <c r="KII66" s="10"/>
      <c r="KIJ66" s="10"/>
      <c r="KIK66" s="10"/>
      <c r="KIL66" s="10"/>
      <c r="KIM66" s="10"/>
      <c r="KIN66" s="10"/>
      <c r="KIO66" s="10"/>
      <c r="KIP66" s="10"/>
      <c r="KIQ66" s="10"/>
      <c r="KIR66" s="10"/>
      <c r="KIS66" s="10"/>
      <c r="KIT66" s="10"/>
      <c r="KIU66" s="10"/>
      <c r="KIV66" s="10"/>
      <c r="KIW66" s="10"/>
      <c r="KIX66" s="10"/>
      <c r="KIY66" s="10"/>
      <c r="KIZ66" s="10"/>
      <c r="KJA66" s="10"/>
      <c r="KJB66" s="10"/>
      <c r="KJC66" s="10"/>
      <c r="KJD66" s="10"/>
      <c r="KJE66" s="10"/>
      <c r="KJF66" s="10"/>
      <c r="KJG66" s="10"/>
      <c r="KJH66" s="10"/>
      <c r="KJI66" s="10"/>
      <c r="KJJ66" s="10"/>
      <c r="KJK66" s="10"/>
      <c r="KJL66" s="10"/>
      <c r="KJM66" s="10"/>
      <c r="KJN66" s="10"/>
      <c r="KJO66" s="10"/>
      <c r="KJP66" s="10"/>
      <c r="KJQ66" s="10"/>
      <c r="KJR66" s="10"/>
      <c r="KJS66" s="10"/>
      <c r="KJT66" s="10"/>
      <c r="KJU66" s="10"/>
      <c r="KJV66" s="10"/>
      <c r="KJW66" s="10"/>
      <c r="KJX66" s="10"/>
      <c r="KJY66" s="10"/>
      <c r="KJZ66" s="10"/>
      <c r="KKA66" s="10"/>
      <c r="KKB66" s="10"/>
      <c r="KKC66" s="10"/>
      <c r="KKD66" s="10"/>
      <c r="KKE66" s="10"/>
      <c r="KKF66" s="10"/>
      <c r="KKG66" s="10"/>
      <c r="KKH66" s="10"/>
      <c r="KKI66" s="10"/>
      <c r="KKJ66" s="10"/>
      <c r="KKK66" s="10"/>
      <c r="KKL66" s="10"/>
      <c r="KKM66" s="10"/>
      <c r="KKN66" s="10"/>
      <c r="KKO66" s="10"/>
      <c r="KKP66" s="10"/>
      <c r="KKQ66" s="10"/>
      <c r="KKR66" s="10"/>
      <c r="KKS66" s="10"/>
      <c r="KKT66" s="10"/>
      <c r="KKU66" s="10"/>
      <c r="KKV66" s="10"/>
      <c r="KKW66" s="10"/>
      <c r="KKX66" s="10"/>
      <c r="KKY66" s="10"/>
      <c r="KKZ66" s="10"/>
      <c r="KLA66" s="10"/>
      <c r="KLB66" s="10"/>
      <c r="KLC66" s="10"/>
      <c r="KLD66" s="10"/>
      <c r="KLE66" s="10"/>
      <c r="KLF66" s="10"/>
      <c r="KLG66" s="10"/>
      <c r="KLH66" s="10"/>
      <c r="KLI66" s="10"/>
      <c r="KLJ66" s="10"/>
      <c r="KLK66" s="10"/>
      <c r="KLL66" s="10"/>
      <c r="KLM66" s="10"/>
      <c r="KLN66" s="10"/>
      <c r="KLO66" s="10"/>
      <c r="KLP66" s="10"/>
      <c r="KLQ66" s="10"/>
      <c r="KLR66" s="10"/>
      <c r="KLS66" s="10"/>
      <c r="KLT66" s="10"/>
      <c r="KLU66" s="10"/>
      <c r="KLV66" s="10"/>
      <c r="KLW66" s="10"/>
      <c r="KLX66" s="10"/>
      <c r="KLY66" s="10"/>
      <c r="KLZ66" s="10"/>
      <c r="KMA66" s="10"/>
      <c r="KMB66" s="10"/>
      <c r="KMC66" s="10"/>
      <c r="KMD66" s="10"/>
      <c r="KME66" s="10"/>
      <c r="KMF66" s="10"/>
      <c r="KMG66" s="10"/>
      <c r="KMH66" s="10"/>
      <c r="KMI66" s="10"/>
      <c r="KMJ66" s="10"/>
      <c r="KMK66" s="10"/>
      <c r="KML66" s="10"/>
      <c r="KMM66" s="10"/>
      <c r="KMN66" s="10"/>
      <c r="KMO66" s="10"/>
      <c r="KMP66" s="10"/>
      <c r="KMQ66" s="10"/>
      <c r="KMR66" s="10"/>
      <c r="KMS66" s="10"/>
      <c r="KMT66" s="10"/>
      <c r="KMU66" s="10"/>
      <c r="KMV66" s="10"/>
      <c r="KMW66" s="10"/>
      <c r="KMX66" s="10"/>
      <c r="KMY66" s="10"/>
      <c r="KMZ66" s="10"/>
      <c r="KNA66" s="10"/>
      <c r="KNB66" s="10"/>
      <c r="KNC66" s="10"/>
      <c r="KND66" s="10"/>
      <c r="KNE66" s="10"/>
      <c r="KNF66" s="10"/>
      <c r="KNG66" s="10"/>
      <c r="KNH66" s="10"/>
      <c r="KNI66" s="10"/>
      <c r="KNJ66" s="10"/>
      <c r="KNK66" s="10"/>
      <c r="KNL66" s="10"/>
      <c r="KNM66" s="10"/>
      <c r="KNN66" s="10"/>
      <c r="KNO66" s="10"/>
      <c r="KNP66" s="10"/>
      <c r="KNQ66" s="10"/>
      <c r="KNR66" s="10"/>
      <c r="KNS66" s="10"/>
      <c r="KNT66" s="10"/>
      <c r="KNU66" s="10"/>
      <c r="KNV66" s="10"/>
      <c r="KNW66" s="10"/>
      <c r="KNX66" s="10"/>
      <c r="KNY66" s="10"/>
      <c r="KNZ66" s="10"/>
      <c r="KOA66" s="10"/>
      <c r="KOB66" s="10"/>
      <c r="KOC66" s="10"/>
      <c r="KOD66" s="10"/>
      <c r="KOE66" s="10"/>
      <c r="KOF66" s="10"/>
      <c r="KOG66" s="10"/>
      <c r="KOH66" s="10"/>
      <c r="KOI66" s="10"/>
      <c r="KOJ66" s="10"/>
      <c r="KOK66" s="10"/>
      <c r="KOL66" s="10"/>
      <c r="KOM66" s="10"/>
      <c r="KON66" s="10"/>
      <c r="KOO66" s="10"/>
      <c r="KOP66" s="10"/>
      <c r="KOQ66" s="10"/>
      <c r="KOR66" s="10"/>
      <c r="KOS66" s="10"/>
      <c r="KOT66" s="10"/>
      <c r="KOU66" s="10"/>
      <c r="KOV66" s="10"/>
      <c r="KOW66" s="10"/>
      <c r="KOX66" s="10"/>
      <c r="KOY66" s="10"/>
      <c r="KOZ66" s="10"/>
      <c r="KPA66" s="10"/>
      <c r="KPB66" s="10"/>
      <c r="KPC66" s="10"/>
      <c r="KPD66" s="10"/>
      <c r="KPE66" s="10"/>
      <c r="KPF66" s="10"/>
      <c r="KPG66" s="10"/>
      <c r="KPH66" s="10"/>
      <c r="KPI66" s="10"/>
      <c r="KPJ66" s="10"/>
      <c r="KPK66" s="10"/>
      <c r="KPL66" s="10"/>
      <c r="KPM66" s="10"/>
      <c r="KPN66" s="10"/>
      <c r="KPO66" s="10"/>
      <c r="KPP66" s="10"/>
      <c r="KPQ66" s="10"/>
      <c r="KPR66" s="10"/>
      <c r="KPS66" s="10"/>
      <c r="KPT66" s="10"/>
      <c r="KPU66" s="10"/>
      <c r="KPV66" s="10"/>
      <c r="KPW66" s="10"/>
      <c r="KPX66" s="10"/>
      <c r="KPY66" s="10"/>
      <c r="KPZ66" s="10"/>
      <c r="KQA66" s="10"/>
      <c r="KQB66" s="10"/>
      <c r="KQC66" s="10"/>
      <c r="KQD66" s="10"/>
      <c r="KQE66" s="10"/>
      <c r="KQF66" s="10"/>
      <c r="KQG66" s="10"/>
      <c r="KQH66" s="10"/>
      <c r="KQI66" s="10"/>
      <c r="KQJ66" s="10"/>
      <c r="KQK66" s="10"/>
      <c r="KQL66" s="10"/>
      <c r="KQM66" s="10"/>
      <c r="KQN66" s="10"/>
      <c r="KQO66" s="10"/>
      <c r="KQP66" s="10"/>
      <c r="KQQ66" s="10"/>
      <c r="KQR66" s="10"/>
      <c r="KQS66" s="10"/>
      <c r="KQT66" s="10"/>
      <c r="KQU66" s="10"/>
      <c r="KQV66" s="10"/>
      <c r="KQW66" s="10"/>
      <c r="KQX66" s="10"/>
      <c r="KQY66" s="10"/>
      <c r="KQZ66" s="10"/>
      <c r="KRA66" s="10"/>
      <c r="KRB66" s="10"/>
      <c r="KRC66" s="10"/>
      <c r="KRD66" s="10"/>
      <c r="KRE66" s="10"/>
      <c r="KRF66" s="10"/>
      <c r="KRG66" s="10"/>
      <c r="KRH66" s="10"/>
      <c r="KRI66" s="10"/>
      <c r="KRJ66" s="10"/>
      <c r="KRK66" s="10"/>
      <c r="KRL66" s="10"/>
      <c r="KRM66" s="10"/>
      <c r="KRN66" s="10"/>
      <c r="KRO66" s="10"/>
      <c r="KRP66" s="10"/>
      <c r="KRQ66" s="10"/>
      <c r="KRR66" s="10"/>
      <c r="KRS66" s="10"/>
      <c r="KRT66" s="10"/>
      <c r="KRU66" s="10"/>
      <c r="KRV66" s="10"/>
      <c r="KRW66" s="10"/>
      <c r="KRX66" s="10"/>
      <c r="KRY66" s="10"/>
      <c r="KRZ66" s="10"/>
      <c r="KSA66" s="10"/>
      <c r="KSB66" s="10"/>
      <c r="KSC66" s="10"/>
      <c r="KSD66" s="10"/>
      <c r="KSE66" s="10"/>
      <c r="KSF66" s="10"/>
      <c r="KSG66" s="10"/>
      <c r="KSH66" s="10"/>
      <c r="KSI66" s="10"/>
      <c r="KSJ66" s="10"/>
      <c r="KSK66" s="10"/>
      <c r="KSL66" s="10"/>
      <c r="KSM66" s="10"/>
      <c r="KSN66" s="10"/>
      <c r="KSO66" s="10"/>
      <c r="KSP66" s="10"/>
      <c r="KSQ66" s="10"/>
      <c r="KSR66" s="10"/>
      <c r="KSS66" s="10"/>
      <c r="KST66" s="10"/>
      <c r="KSU66" s="10"/>
      <c r="KSV66" s="10"/>
      <c r="KSW66" s="10"/>
      <c r="KSX66" s="10"/>
      <c r="KSY66" s="10"/>
      <c r="KSZ66" s="10"/>
      <c r="KTA66" s="10"/>
      <c r="KTB66" s="10"/>
      <c r="KTC66" s="10"/>
      <c r="KTD66" s="10"/>
      <c r="KTE66" s="10"/>
      <c r="KTF66" s="10"/>
      <c r="KTG66" s="10"/>
      <c r="KTH66" s="10"/>
      <c r="KTI66" s="10"/>
      <c r="KTJ66" s="10"/>
      <c r="KTK66" s="10"/>
      <c r="KTL66" s="10"/>
      <c r="KTM66" s="10"/>
      <c r="KTN66" s="10"/>
      <c r="KTO66" s="10"/>
      <c r="KTP66" s="10"/>
      <c r="KTQ66" s="10"/>
      <c r="KTR66" s="10"/>
      <c r="KTS66" s="10"/>
      <c r="KTT66" s="10"/>
      <c r="KTU66" s="10"/>
      <c r="KTV66" s="10"/>
      <c r="KTW66" s="10"/>
      <c r="KTX66" s="10"/>
      <c r="KTY66" s="10"/>
      <c r="KTZ66" s="10"/>
      <c r="KUA66" s="10"/>
      <c r="KUB66" s="10"/>
      <c r="KUC66" s="10"/>
      <c r="KUD66" s="10"/>
      <c r="KUE66" s="10"/>
      <c r="KUF66" s="10"/>
      <c r="KUG66" s="10"/>
      <c r="KUH66" s="10"/>
      <c r="KUI66" s="10"/>
      <c r="KUJ66" s="10"/>
      <c r="KUK66" s="10"/>
      <c r="KUL66" s="10"/>
      <c r="KUM66" s="10"/>
      <c r="KUN66" s="10"/>
      <c r="KUO66" s="10"/>
      <c r="KUP66" s="10"/>
      <c r="KUQ66" s="10"/>
      <c r="KUR66" s="10"/>
      <c r="KUS66" s="10"/>
      <c r="KUT66" s="10"/>
      <c r="KUU66" s="10"/>
      <c r="KUV66" s="10"/>
      <c r="KUW66" s="10"/>
      <c r="KUX66" s="10"/>
      <c r="KUY66" s="10"/>
      <c r="KUZ66" s="10"/>
      <c r="KVA66" s="10"/>
      <c r="KVB66" s="10"/>
      <c r="KVC66" s="10"/>
      <c r="KVD66" s="10"/>
      <c r="KVE66" s="10"/>
      <c r="KVF66" s="10"/>
      <c r="KVG66" s="10"/>
      <c r="KVH66" s="10"/>
      <c r="KVI66" s="10"/>
      <c r="KVJ66" s="10"/>
      <c r="KVK66" s="10"/>
      <c r="KVL66" s="10"/>
      <c r="KVM66" s="10"/>
      <c r="KVN66" s="10"/>
      <c r="KVO66" s="10"/>
      <c r="KVP66" s="10"/>
      <c r="KVQ66" s="10"/>
      <c r="KVR66" s="10"/>
      <c r="KVS66" s="10"/>
      <c r="KVT66" s="10"/>
      <c r="KVU66" s="10"/>
      <c r="KVV66" s="10"/>
      <c r="KVW66" s="10"/>
      <c r="KVX66" s="10"/>
      <c r="KVY66" s="10"/>
      <c r="KVZ66" s="10"/>
      <c r="KWA66" s="10"/>
      <c r="KWB66" s="10"/>
      <c r="KWC66" s="10"/>
      <c r="KWD66" s="10"/>
      <c r="KWE66" s="10"/>
      <c r="KWF66" s="10"/>
      <c r="KWG66" s="10"/>
      <c r="KWH66" s="10"/>
      <c r="KWI66" s="10"/>
      <c r="KWJ66" s="10"/>
      <c r="KWK66" s="10"/>
      <c r="KWL66" s="10"/>
      <c r="KWM66" s="10"/>
      <c r="KWN66" s="10"/>
      <c r="KWO66" s="10"/>
      <c r="KWP66" s="10"/>
      <c r="KWQ66" s="10"/>
      <c r="KWR66" s="10"/>
      <c r="KWS66" s="10"/>
      <c r="KWT66" s="10"/>
      <c r="KWU66" s="10"/>
      <c r="KWV66" s="10"/>
      <c r="KWW66" s="10"/>
      <c r="KWX66" s="10"/>
      <c r="KWY66" s="10"/>
      <c r="KWZ66" s="10"/>
      <c r="KXA66" s="10"/>
      <c r="KXB66" s="10"/>
      <c r="KXC66" s="10"/>
      <c r="KXD66" s="10"/>
      <c r="KXE66" s="10"/>
      <c r="KXF66" s="10"/>
      <c r="KXG66" s="10"/>
      <c r="KXH66" s="10"/>
      <c r="KXI66" s="10"/>
      <c r="KXJ66" s="10"/>
      <c r="KXK66" s="10"/>
      <c r="KXL66" s="10"/>
      <c r="KXM66" s="10"/>
      <c r="KXN66" s="10"/>
      <c r="KXO66" s="10"/>
      <c r="KXP66" s="10"/>
      <c r="KXQ66" s="10"/>
      <c r="KXR66" s="10"/>
      <c r="KXS66" s="10"/>
      <c r="KXT66" s="10"/>
      <c r="KXU66" s="10"/>
      <c r="KXV66" s="10"/>
      <c r="KXW66" s="10"/>
      <c r="KXX66" s="10"/>
      <c r="KXY66" s="10"/>
      <c r="KXZ66" s="10"/>
      <c r="KYA66" s="10"/>
      <c r="KYB66" s="10"/>
      <c r="KYC66" s="10"/>
      <c r="KYD66" s="10"/>
      <c r="KYE66" s="10"/>
      <c r="KYF66" s="10"/>
      <c r="KYG66" s="10"/>
      <c r="KYH66" s="10"/>
      <c r="KYI66" s="10"/>
      <c r="KYJ66" s="10"/>
      <c r="KYK66" s="10"/>
      <c r="KYL66" s="10"/>
      <c r="KYM66" s="10"/>
      <c r="KYN66" s="10"/>
      <c r="KYO66" s="10"/>
      <c r="KYP66" s="10"/>
      <c r="KYQ66" s="10"/>
      <c r="KYR66" s="10"/>
      <c r="KYS66" s="10"/>
      <c r="KYT66" s="10"/>
      <c r="KYU66" s="10"/>
      <c r="KYV66" s="10"/>
      <c r="KYW66" s="10"/>
      <c r="KYX66" s="10"/>
      <c r="KYY66" s="10"/>
      <c r="KYZ66" s="10"/>
      <c r="KZA66" s="10"/>
      <c r="KZB66" s="10"/>
      <c r="KZC66" s="10"/>
      <c r="KZD66" s="10"/>
      <c r="KZE66" s="10"/>
      <c r="KZF66" s="10"/>
      <c r="KZG66" s="10"/>
      <c r="KZH66" s="10"/>
      <c r="KZI66" s="10"/>
      <c r="KZJ66" s="10"/>
      <c r="KZK66" s="10"/>
      <c r="KZL66" s="10"/>
      <c r="KZM66" s="10"/>
      <c r="KZN66" s="10"/>
      <c r="KZO66" s="10"/>
      <c r="KZP66" s="10"/>
      <c r="KZQ66" s="10"/>
      <c r="KZR66" s="10"/>
      <c r="KZS66" s="10"/>
      <c r="KZT66" s="10"/>
      <c r="KZU66" s="10"/>
      <c r="KZV66" s="10"/>
      <c r="KZW66" s="10"/>
      <c r="KZX66" s="10"/>
      <c r="KZY66" s="10"/>
      <c r="KZZ66" s="10"/>
      <c r="LAA66" s="10"/>
      <c r="LAB66" s="10"/>
      <c r="LAC66" s="10"/>
      <c r="LAD66" s="10"/>
      <c r="LAE66" s="10"/>
      <c r="LAF66" s="10"/>
      <c r="LAG66" s="10"/>
      <c r="LAH66" s="10"/>
      <c r="LAI66" s="10"/>
      <c r="LAJ66" s="10"/>
      <c r="LAK66" s="10"/>
      <c r="LAL66" s="10"/>
      <c r="LAM66" s="10"/>
      <c r="LAN66" s="10"/>
      <c r="LAO66" s="10"/>
      <c r="LAP66" s="10"/>
      <c r="LAQ66" s="10"/>
      <c r="LAR66" s="10"/>
      <c r="LAS66" s="10"/>
      <c r="LAT66" s="10"/>
      <c r="LAU66" s="10"/>
      <c r="LAV66" s="10"/>
      <c r="LAW66" s="10"/>
      <c r="LAX66" s="10"/>
      <c r="LAY66" s="10"/>
      <c r="LAZ66" s="10"/>
      <c r="LBA66" s="10"/>
      <c r="LBB66" s="10"/>
      <c r="LBC66" s="10"/>
      <c r="LBD66" s="10"/>
      <c r="LBE66" s="10"/>
      <c r="LBF66" s="10"/>
      <c r="LBG66" s="10"/>
      <c r="LBH66" s="10"/>
      <c r="LBI66" s="10"/>
      <c r="LBJ66" s="10"/>
      <c r="LBK66" s="10"/>
      <c r="LBL66" s="10"/>
      <c r="LBM66" s="10"/>
      <c r="LBN66" s="10"/>
      <c r="LBO66" s="10"/>
      <c r="LBP66" s="10"/>
      <c r="LBQ66" s="10"/>
      <c r="LBR66" s="10"/>
      <c r="LBS66" s="10"/>
      <c r="LBT66" s="10"/>
      <c r="LBU66" s="10"/>
      <c r="LBV66" s="10"/>
      <c r="LBW66" s="10"/>
      <c r="LBX66" s="10"/>
      <c r="LBY66" s="10"/>
      <c r="LBZ66" s="10"/>
      <c r="LCA66" s="10"/>
      <c r="LCB66" s="10"/>
      <c r="LCC66" s="10"/>
      <c r="LCD66" s="10"/>
      <c r="LCE66" s="10"/>
      <c r="LCF66" s="10"/>
      <c r="LCG66" s="10"/>
      <c r="LCH66" s="10"/>
      <c r="LCI66" s="10"/>
      <c r="LCJ66" s="10"/>
      <c r="LCK66" s="10"/>
      <c r="LCL66" s="10"/>
      <c r="LCM66" s="10"/>
      <c r="LCN66" s="10"/>
      <c r="LCO66" s="10"/>
      <c r="LCP66" s="10"/>
      <c r="LCQ66" s="10"/>
      <c r="LCR66" s="10"/>
      <c r="LCS66" s="10"/>
      <c r="LCT66" s="10"/>
      <c r="LCU66" s="10"/>
      <c r="LCV66" s="10"/>
      <c r="LCW66" s="10"/>
      <c r="LCX66" s="10"/>
      <c r="LCY66" s="10"/>
      <c r="LCZ66" s="10"/>
      <c r="LDA66" s="10"/>
      <c r="LDB66" s="10"/>
      <c r="LDC66" s="10"/>
      <c r="LDD66" s="10"/>
      <c r="LDE66" s="10"/>
      <c r="LDF66" s="10"/>
      <c r="LDG66" s="10"/>
      <c r="LDH66" s="10"/>
      <c r="LDI66" s="10"/>
      <c r="LDJ66" s="10"/>
      <c r="LDK66" s="10"/>
      <c r="LDL66" s="10"/>
      <c r="LDM66" s="10"/>
      <c r="LDN66" s="10"/>
      <c r="LDO66" s="10"/>
      <c r="LDP66" s="10"/>
      <c r="LDQ66" s="10"/>
      <c r="LDR66" s="10"/>
      <c r="LDS66" s="10"/>
      <c r="LDT66" s="10"/>
      <c r="LDU66" s="10"/>
      <c r="LDV66" s="10"/>
      <c r="LDW66" s="10"/>
      <c r="LDX66" s="10"/>
      <c r="LDY66" s="10"/>
      <c r="LDZ66" s="10"/>
      <c r="LEA66" s="10"/>
      <c r="LEB66" s="10"/>
      <c r="LEC66" s="10"/>
      <c r="LED66" s="10"/>
      <c r="LEE66" s="10"/>
      <c r="LEF66" s="10"/>
      <c r="LEG66" s="10"/>
      <c r="LEH66" s="10"/>
      <c r="LEI66" s="10"/>
      <c r="LEJ66" s="10"/>
      <c r="LEK66" s="10"/>
      <c r="LEL66" s="10"/>
      <c r="LEM66" s="10"/>
      <c r="LEN66" s="10"/>
      <c r="LEO66" s="10"/>
      <c r="LEP66" s="10"/>
      <c r="LEQ66" s="10"/>
      <c r="LER66" s="10"/>
      <c r="LES66" s="10"/>
      <c r="LET66" s="10"/>
      <c r="LEU66" s="10"/>
      <c r="LEV66" s="10"/>
      <c r="LEW66" s="10"/>
      <c r="LEX66" s="10"/>
      <c r="LEY66" s="10"/>
      <c r="LEZ66" s="10"/>
      <c r="LFA66" s="10"/>
      <c r="LFB66" s="10"/>
      <c r="LFC66" s="10"/>
      <c r="LFD66" s="10"/>
      <c r="LFE66" s="10"/>
      <c r="LFF66" s="10"/>
      <c r="LFG66" s="10"/>
      <c r="LFH66" s="10"/>
      <c r="LFI66" s="10"/>
      <c r="LFJ66" s="10"/>
      <c r="LFK66" s="10"/>
      <c r="LFL66" s="10"/>
      <c r="LFM66" s="10"/>
      <c r="LFN66" s="10"/>
      <c r="LFO66" s="10"/>
      <c r="LFP66" s="10"/>
      <c r="LFQ66" s="10"/>
      <c r="LFR66" s="10"/>
      <c r="LFS66" s="10"/>
      <c r="LFT66" s="10"/>
      <c r="LFU66" s="10"/>
      <c r="LFV66" s="10"/>
      <c r="LFW66" s="10"/>
      <c r="LFX66" s="10"/>
      <c r="LFY66" s="10"/>
      <c r="LFZ66" s="10"/>
      <c r="LGA66" s="10"/>
      <c r="LGB66" s="10"/>
      <c r="LGC66" s="10"/>
      <c r="LGD66" s="10"/>
      <c r="LGE66" s="10"/>
      <c r="LGF66" s="10"/>
      <c r="LGG66" s="10"/>
      <c r="LGH66" s="10"/>
      <c r="LGI66" s="10"/>
      <c r="LGJ66" s="10"/>
      <c r="LGK66" s="10"/>
      <c r="LGL66" s="10"/>
      <c r="LGM66" s="10"/>
      <c r="LGN66" s="10"/>
      <c r="LGO66" s="10"/>
      <c r="LGP66" s="10"/>
      <c r="LGQ66" s="10"/>
      <c r="LGR66" s="10"/>
      <c r="LGS66" s="10"/>
      <c r="LGT66" s="10"/>
      <c r="LGU66" s="10"/>
      <c r="LGV66" s="10"/>
      <c r="LGW66" s="10"/>
      <c r="LGX66" s="10"/>
      <c r="LGY66" s="10"/>
      <c r="LGZ66" s="10"/>
      <c r="LHA66" s="10"/>
      <c r="LHB66" s="10"/>
      <c r="LHC66" s="10"/>
      <c r="LHD66" s="10"/>
      <c r="LHE66" s="10"/>
      <c r="LHF66" s="10"/>
      <c r="LHG66" s="10"/>
      <c r="LHH66" s="10"/>
      <c r="LHI66" s="10"/>
      <c r="LHJ66" s="10"/>
      <c r="LHK66" s="10"/>
      <c r="LHL66" s="10"/>
      <c r="LHM66" s="10"/>
      <c r="LHN66" s="10"/>
      <c r="LHO66" s="10"/>
      <c r="LHP66" s="10"/>
      <c r="LHQ66" s="10"/>
      <c r="LHR66" s="10"/>
      <c r="LHS66" s="10"/>
      <c r="LHT66" s="10"/>
      <c r="LHU66" s="10"/>
      <c r="LHV66" s="10"/>
      <c r="LHW66" s="10"/>
      <c r="LHX66" s="10"/>
      <c r="LHY66" s="10"/>
      <c r="LHZ66" s="10"/>
      <c r="LIA66" s="10"/>
      <c r="LIB66" s="10"/>
      <c r="LIC66" s="10"/>
      <c r="LID66" s="10"/>
      <c r="LIE66" s="10"/>
      <c r="LIF66" s="10"/>
      <c r="LIG66" s="10"/>
      <c r="LIH66" s="10"/>
      <c r="LII66" s="10"/>
      <c r="LIJ66" s="10"/>
      <c r="LIK66" s="10"/>
      <c r="LIL66" s="10"/>
      <c r="LIM66" s="10"/>
      <c r="LIN66" s="10"/>
      <c r="LIO66" s="10"/>
      <c r="LIP66" s="10"/>
      <c r="LIQ66" s="10"/>
      <c r="LIR66" s="10"/>
      <c r="LIS66" s="10"/>
      <c r="LIT66" s="10"/>
      <c r="LIU66" s="10"/>
      <c r="LIV66" s="10"/>
      <c r="LIW66" s="10"/>
      <c r="LIX66" s="10"/>
      <c r="LIY66" s="10"/>
      <c r="LIZ66" s="10"/>
      <c r="LJA66" s="10"/>
      <c r="LJB66" s="10"/>
      <c r="LJC66" s="10"/>
      <c r="LJD66" s="10"/>
      <c r="LJE66" s="10"/>
      <c r="LJF66" s="10"/>
      <c r="LJG66" s="10"/>
      <c r="LJH66" s="10"/>
      <c r="LJI66" s="10"/>
      <c r="LJJ66" s="10"/>
      <c r="LJK66" s="10"/>
      <c r="LJL66" s="10"/>
      <c r="LJM66" s="10"/>
      <c r="LJN66" s="10"/>
      <c r="LJO66" s="10"/>
      <c r="LJP66" s="10"/>
      <c r="LJQ66" s="10"/>
      <c r="LJR66" s="10"/>
      <c r="LJS66" s="10"/>
      <c r="LJT66" s="10"/>
      <c r="LJU66" s="10"/>
      <c r="LJV66" s="10"/>
      <c r="LJW66" s="10"/>
      <c r="LJX66" s="10"/>
      <c r="LJY66" s="10"/>
      <c r="LJZ66" s="10"/>
      <c r="LKA66" s="10"/>
      <c r="LKB66" s="10"/>
      <c r="LKC66" s="10"/>
      <c r="LKD66" s="10"/>
      <c r="LKE66" s="10"/>
      <c r="LKF66" s="10"/>
      <c r="LKG66" s="10"/>
      <c r="LKH66" s="10"/>
      <c r="LKI66" s="10"/>
      <c r="LKJ66" s="10"/>
      <c r="LKK66" s="10"/>
      <c r="LKL66" s="10"/>
      <c r="LKM66" s="10"/>
      <c r="LKN66" s="10"/>
      <c r="LKO66" s="10"/>
      <c r="LKP66" s="10"/>
      <c r="LKQ66" s="10"/>
      <c r="LKR66" s="10"/>
      <c r="LKS66" s="10"/>
      <c r="LKT66" s="10"/>
      <c r="LKU66" s="10"/>
      <c r="LKV66" s="10"/>
      <c r="LKW66" s="10"/>
      <c r="LKX66" s="10"/>
      <c r="LKY66" s="10"/>
      <c r="LKZ66" s="10"/>
      <c r="LLA66" s="10"/>
      <c r="LLB66" s="10"/>
      <c r="LLC66" s="10"/>
      <c r="LLD66" s="10"/>
      <c r="LLE66" s="10"/>
      <c r="LLF66" s="10"/>
      <c r="LLG66" s="10"/>
      <c r="LLH66" s="10"/>
      <c r="LLI66" s="10"/>
      <c r="LLJ66" s="10"/>
      <c r="LLK66" s="10"/>
      <c r="LLL66" s="10"/>
      <c r="LLM66" s="10"/>
      <c r="LLN66" s="10"/>
      <c r="LLO66" s="10"/>
      <c r="LLP66" s="10"/>
      <c r="LLQ66" s="10"/>
      <c r="LLR66" s="10"/>
      <c r="LLS66" s="10"/>
      <c r="LLT66" s="10"/>
      <c r="LLU66" s="10"/>
      <c r="LLV66" s="10"/>
      <c r="LLW66" s="10"/>
      <c r="LLX66" s="10"/>
      <c r="LLY66" s="10"/>
      <c r="LLZ66" s="10"/>
      <c r="LMA66" s="10"/>
      <c r="LMB66" s="10"/>
      <c r="LMC66" s="10"/>
      <c r="LMD66" s="10"/>
      <c r="LME66" s="10"/>
      <c r="LMF66" s="10"/>
      <c r="LMG66" s="10"/>
      <c r="LMH66" s="10"/>
      <c r="LMI66" s="10"/>
      <c r="LMJ66" s="10"/>
      <c r="LMK66" s="10"/>
      <c r="LML66" s="10"/>
      <c r="LMM66" s="10"/>
      <c r="LMN66" s="10"/>
      <c r="LMO66" s="10"/>
      <c r="LMP66" s="10"/>
      <c r="LMQ66" s="10"/>
      <c r="LMR66" s="10"/>
      <c r="LMS66" s="10"/>
      <c r="LMT66" s="10"/>
      <c r="LMU66" s="10"/>
      <c r="LMV66" s="10"/>
      <c r="LMW66" s="10"/>
      <c r="LMX66" s="10"/>
      <c r="LMY66" s="10"/>
      <c r="LMZ66" s="10"/>
      <c r="LNA66" s="10"/>
      <c r="LNB66" s="10"/>
      <c r="LNC66" s="10"/>
      <c r="LND66" s="10"/>
      <c r="LNE66" s="10"/>
      <c r="LNF66" s="10"/>
      <c r="LNG66" s="10"/>
      <c r="LNH66" s="10"/>
      <c r="LNI66" s="10"/>
      <c r="LNJ66" s="10"/>
      <c r="LNK66" s="10"/>
      <c r="LNL66" s="10"/>
      <c r="LNM66" s="10"/>
      <c r="LNN66" s="10"/>
      <c r="LNO66" s="10"/>
      <c r="LNP66" s="10"/>
      <c r="LNQ66" s="10"/>
      <c r="LNR66" s="10"/>
      <c r="LNS66" s="10"/>
      <c r="LNT66" s="10"/>
      <c r="LNU66" s="10"/>
      <c r="LNV66" s="10"/>
      <c r="LNW66" s="10"/>
      <c r="LNX66" s="10"/>
      <c r="LNY66" s="10"/>
      <c r="LNZ66" s="10"/>
      <c r="LOA66" s="10"/>
      <c r="LOB66" s="10"/>
      <c r="LOC66" s="10"/>
      <c r="LOD66" s="10"/>
      <c r="LOE66" s="10"/>
      <c r="LOF66" s="10"/>
      <c r="LOG66" s="10"/>
      <c r="LOH66" s="10"/>
      <c r="LOI66" s="10"/>
      <c r="LOJ66" s="10"/>
      <c r="LOK66" s="10"/>
      <c r="LOL66" s="10"/>
      <c r="LOM66" s="10"/>
      <c r="LON66" s="10"/>
      <c r="LOO66" s="10"/>
      <c r="LOP66" s="10"/>
      <c r="LOQ66" s="10"/>
      <c r="LOR66" s="10"/>
      <c r="LOS66" s="10"/>
      <c r="LOT66" s="10"/>
      <c r="LOU66" s="10"/>
      <c r="LOV66" s="10"/>
      <c r="LOW66" s="10"/>
      <c r="LOX66" s="10"/>
      <c r="LOY66" s="10"/>
      <c r="LOZ66" s="10"/>
      <c r="LPA66" s="10"/>
      <c r="LPB66" s="10"/>
      <c r="LPC66" s="10"/>
      <c r="LPD66" s="10"/>
      <c r="LPE66" s="10"/>
      <c r="LPF66" s="10"/>
      <c r="LPG66" s="10"/>
      <c r="LPH66" s="10"/>
      <c r="LPI66" s="10"/>
      <c r="LPJ66" s="10"/>
      <c r="LPK66" s="10"/>
      <c r="LPL66" s="10"/>
      <c r="LPM66" s="10"/>
      <c r="LPN66" s="10"/>
      <c r="LPO66" s="10"/>
      <c r="LPP66" s="10"/>
      <c r="LPQ66" s="10"/>
      <c r="LPR66" s="10"/>
      <c r="LPS66" s="10"/>
      <c r="LPT66" s="10"/>
      <c r="LPU66" s="10"/>
      <c r="LPV66" s="10"/>
      <c r="LPW66" s="10"/>
      <c r="LPX66" s="10"/>
      <c r="LPY66" s="10"/>
      <c r="LPZ66" s="10"/>
      <c r="LQA66" s="10"/>
      <c r="LQB66" s="10"/>
      <c r="LQC66" s="10"/>
      <c r="LQD66" s="10"/>
      <c r="LQE66" s="10"/>
      <c r="LQF66" s="10"/>
      <c r="LQG66" s="10"/>
      <c r="LQH66" s="10"/>
      <c r="LQI66" s="10"/>
      <c r="LQJ66" s="10"/>
      <c r="LQK66" s="10"/>
      <c r="LQL66" s="10"/>
      <c r="LQM66" s="10"/>
      <c r="LQN66" s="10"/>
      <c r="LQO66" s="10"/>
      <c r="LQP66" s="10"/>
      <c r="LQQ66" s="10"/>
      <c r="LQR66" s="10"/>
      <c r="LQS66" s="10"/>
      <c r="LQT66" s="10"/>
      <c r="LQU66" s="10"/>
      <c r="LQV66" s="10"/>
      <c r="LQW66" s="10"/>
      <c r="LQX66" s="10"/>
      <c r="LQY66" s="10"/>
      <c r="LQZ66" s="10"/>
      <c r="LRA66" s="10"/>
      <c r="LRB66" s="10"/>
      <c r="LRC66" s="10"/>
      <c r="LRD66" s="10"/>
      <c r="LRE66" s="10"/>
      <c r="LRF66" s="10"/>
      <c r="LRG66" s="10"/>
      <c r="LRH66" s="10"/>
      <c r="LRI66" s="10"/>
      <c r="LRJ66" s="10"/>
      <c r="LRK66" s="10"/>
      <c r="LRL66" s="10"/>
      <c r="LRM66" s="10"/>
      <c r="LRN66" s="10"/>
      <c r="LRO66" s="10"/>
      <c r="LRP66" s="10"/>
      <c r="LRQ66" s="10"/>
      <c r="LRR66" s="10"/>
      <c r="LRS66" s="10"/>
      <c r="LRT66" s="10"/>
      <c r="LRU66" s="10"/>
      <c r="LRV66" s="10"/>
      <c r="LRW66" s="10"/>
      <c r="LRX66" s="10"/>
      <c r="LRY66" s="10"/>
      <c r="LRZ66" s="10"/>
      <c r="LSA66" s="10"/>
      <c r="LSB66" s="10"/>
      <c r="LSC66" s="10"/>
      <c r="LSD66" s="10"/>
      <c r="LSE66" s="10"/>
      <c r="LSF66" s="10"/>
      <c r="LSG66" s="10"/>
      <c r="LSH66" s="10"/>
      <c r="LSI66" s="10"/>
      <c r="LSJ66" s="10"/>
      <c r="LSK66" s="10"/>
      <c r="LSL66" s="10"/>
      <c r="LSM66" s="10"/>
      <c r="LSN66" s="10"/>
      <c r="LSO66" s="10"/>
      <c r="LSP66" s="10"/>
      <c r="LSQ66" s="10"/>
      <c r="LSR66" s="10"/>
      <c r="LSS66" s="10"/>
      <c r="LST66" s="10"/>
      <c r="LSU66" s="10"/>
      <c r="LSV66" s="10"/>
      <c r="LSW66" s="10"/>
      <c r="LSX66" s="10"/>
      <c r="LSY66" s="10"/>
      <c r="LSZ66" s="10"/>
      <c r="LTA66" s="10"/>
      <c r="LTB66" s="10"/>
      <c r="LTC66" s="10"/>
      <c r="LTD66" s="10"/>
      <c r="LTE66" s="10"/>
      <c r="LTF66" s="10"/>
      <c r="LTG66" s="10"/>
      <c r="LTH66" s="10"/>
      <c r="LTI66" s="10"/>
      <c r="LTJ66" s="10"/>
      <c r="LTK66" s="10"/>
      <c r="LTL66" s="10"/>
      <c r="LTM66" s="10"/>
      <c r="LTN66" s="10"/>
      <c r="LTO66" s="10"/>
      <c r="LTP66" s="10"/>
      <c r="LTQ66" s="10"/>
      <c r="LTR66" s="10"/>
      <c r="LTS66" s="10"/>
      <c r="LTT66" s="10"/>
      <c r="LTU66" s="10"/>
      <c r="LTV66" s="10"/>
      <c r="LTW66" s="10"/>
      <c r="LTX66" s="10"/>
      <c r="LTY66" s="10"/>
      <c r="LTZ66" s="10"/>
      <c r="LUA66" s="10"/>
      <c r="LUB66" s="10"/>
      <c r="LUC66" s="10"/>
      <c r="LUD66" s="10"/>
      <c r="LUE66" s="10"/>
      <c r="LUF66" s="10"/>
      <c r="LUG66" s="10"/>
      <c r="LUH66" s="10"/>
      <c r="LUI66" s="10"/>
      <c r="LUJ66" s="10"/>
      <c r="LUK66" s="10"/>
      <c r="LUL66" s="10"/>
      <c r="LUM66" s="10"/>
      <c r="LUN66" s="10"/>
      <c r="LUO66" s="10"/>
      <c r="LUP66" s="10"/>
      <c r="LUQ66" s="10"/>
      <c r="LUR66" s="10"/>
      <c r="LUS66" s="10"/>
      <c r="LUT66" s="10"/>
      <c r="LUU66" s="10"/>
      <c r="LUV66" s="10"/>
      <c r="LUW66" s="10"/>
      <c r="LUX66" s="10"/>
      <c r="LUY66" s="10"/>
      <c r="LUZ66" s="10"/>
      <c r="LVA66" s="10"/>
      <c r="LVB66" s="10"/>
      <c r="LVC66" s="10"/>
      <c r="LVD66" s="10"/>
      <c r="LVE66" s="10"/>
      <c r="LVF66" s="10"/>
      <c r="LVG66" s="10"/>
      <c r="LVH66" s="10"/>
      <c r="LVI66" s="10"/>
      <c r="LVJ66" s="10"/>
      <c r="LVK66" s="10"/>
      <c r="LVL66" s="10"/>
      <c r="LVM66" s="10"/>
      <c r="LVN66" s="10"/>
      <c r="LVO66" s="10"/>
      <c r="LVP66" s="10"/>
      <c r="LVQ66" s="10"/>
      <c r="LVR66" s="10"/>
      <c r="LVS66" s="10"/>
      <c r="LVT66" s="10"/>
      <c r="LVU66" s="10"/>
      <c r="LVV66" s="10"/>
      <c r="LVW66" s="10"/>
      <c r="LVX66" s="10"/>
      <c r="LVY66" s="10"/>
      <c r="LVZ66" s="10"/>
      <c r="LWA66" s="10"/>
      <c r="LWB66" s="10"/>
      <c r="LWC66" s="10"/>
      <c r="LWD66" s="10"/>
      <c r="LWE66" s="10"/>
      <c r="LWF66" s="10"/>
      <c r="LWG66" s="10"/>
      <c r="LWH66" s="10"/>
      <c r="LWI66" s="10"/>
      <c r="LWJ66" s="10"/>
      <c r="LWK66" s="10"/>
      <c r="LWL66" s="10"/>
      <c r="LWM66" s="10"/>
      <c r="LWN66" s="10"/>
      <c r="LWO66" s="10"/>
      <c r="LWP66" s="10"/>
      <c r="LWQ66" s="10"/>
      <c r="LWR66" s="10"/>
      <c r="LWS66" s="10"/>
      <c r="LWT66" s="10"/>
      <c r="LWU66" s="10"/>
      <c r="LWV66" s="10"/>
      <c r="LWW66" s="10"/>
      <c r="LWX66" s="10"/>
      <c r="LWY66" s="10"/>
      <c r="LWZ66" s="10"/>
      <c r="LXA66" s="10"/>
      <c r="LXB66" s="10"/>
      <c r="LXC66" s="10"/>
      <c r="LXD66" s="10"/>
      <c r="LXE66" s="10"/>
      <c r="LXF66" s="10"/>
      <c r="LXG66" s="10"/>
      <c r="LXH66" s="10"/>
      <c r="LXI66" s="10"/>
      <c r="LXJ66" s="10"/>
      <c r="LXK66" s="10"/>
      <c r="LXL66" s="10"/>
      <c r="LXM66" s="10"/>
      <c r="LXN66" s="10"/>
      <c r="LXO66" s="10"/>
      <c r="LXP66" s="10"/>
      <c r="LXQ66" s="10"/>
      <c r="LXR66" s="10"/>
      <c r="LXS66" s="10"/>
      <c r="LXT66" s="10"/>
      <c r="LXU66" s="10"/>
      <c r="LXV66" s="10"/>
      <c r="LXW66" s="10"/>
      <c r="LXX66" s="10"/>
      <c r="LXY66" s="10"/>
      <c r="LXZ66" s="10"/>
      <c r="LYA66" s="10"/>
      <c r="LYB66" s="10"/>
      <c r="LYC66" s="10"/>
      <c r="LYD66" s="10"/>
      <c r="LYE66" s="10"/>
      <c r="LYF66" s="10"/>
      <c r="LYG66" s="10"/>
      <c r="LYH66" s="10"/>
      <c r="LYI66" s="10"/>
      <c r="LYJ66" s="10"/>
      <c r="LYK66" s="10"/>
      <c r="LYL66" s="10"/>
      <c r="LYM66" s="10"/>
      <c r="LYN66" s="10"/>
      <c r="LYO66" s="10"/>
      <c r="LYP66" s="10"/>
      <c r="LYQ66" s="10"/>
      <c r="LYR66" s="10"/>
      <c r="LYS66" s="10"/>
      <c r="LYT66" s="10"/>
      <c r="LYU66" s="10"/>
      <c r="LYV66" s="10"/>
      <c r="LYW66" s="10"/>
      <c r="LYX66" s="10"/>
      <c r="LYY66" s="10"/>
      <c r="LYZ66" s="10"/>
      <c r="LZA66" s="10"/>
      <c r="LZB66" s="10"/>
      <c r="LZC66" s="10"/>
      <c r="LZD66" s="10"/>
      <c r="LZE66" s="10"/>
      <c r="LZF66" s="10"/>
      <c r="LZG66" s="10"/>
      <c r="LZH66" s="10"/>
      <c r="LZI66" s="10"/>
      <c r="LZJ66" s="10"/>
      <c r="LZK66" s="10"/>
      <c r="LZL66" s="10"/>
      <c r="LZM66" s="10"/>
      <c r="LZN66" s="10"/>
      <c r="LZO66" s="10"/>
      <c r="LZP66" s="10"/>
      <c r="LZQ66" s="10"/>
      <c r="LZR66" s="10"/>
      <c r="LZS66" s="10"/>
      <c r="LZT66" s="10"/>
      <c r="LZU66" s="10"/>
      <c r="LZV66" s="10"/>
      <c r="LZW66" s="10"/>
      <c r="LZX66" s="10"/>
      <c r="LZY66" s="10"/>
      <c r="LZZ66" s="10"/>
      <c r="MAA66" s="10"/>
      <c r="MAB66" s="10"/>
      <c r="MAC66" s="10"/>
      <c r="MAD66" s="10"/>
      <c r="MAE66" s="10"/>
      <c r="MAF66" s="10"/>
      <c r="MAG66" s="10"/>
      <c r="MAH66" s="10"/>
      <c r="MAI66" s="10"/>
      <c r="MAJ66" s="10"/>
      <c r="MAK66" s="10"/>
      <c r="MAL66" s="10"/>
      <c r="MAM66" s="10"/>
      <c r="MAN66" s="10"/>
      <c r="MAO66" s="10"/>
      <c r="MAP66" s="10"/>
      <c r="MAQ66" s="10"/>
      <c r="MAR66" s="10"/>
      <c r="MAS66" s="10"/>
      <c r="MAT66" s="10"/>
      <c r="MAU66" s="10"/>
      <c r="MAV66" s="10"/>
      <c r="MAW66" s="10"/>
      <c r="MAX66" s="10"/>
      <c r="MAY66" s="10"/>
      <c r="MAZ66" s="10"/>
      <c r="MBA66" s="10"/>
      <c r="MBB66" s="10"/>
      <c r="MBC66" s="10"/>
      <c r="MBD66" s="10"/>
      <c r="MBE66" s="10"/>
      <c r="MBF66" s="10"/>
      <c r="MBG66" s="10"/>
      <c r="MBH66" s="10"/>
      <c r="MBI66" s="10"/>
      <c r="MBJ66" s="10"/>
      <c r="MBK66" s="10"/>
      <c r="MBL66" s="10"/>
      <c r="MBM66" s="10"/>
      <c r="MBN66" s="10"/>
      <c r="MBO66" s="10"/>
      <c r="MBP66" s="10"/>
      <c r="MBQ66" s="10"/>
      <c r="MBR66" s="10"/>
      <c r="MBS66" s="10"/>
      <c r="MBT66" s="10"/>
      <c r="MBU66" s="10"/>
      <c r="MBV66" s="10"/>
      <c r="MBW66" s="10"/>
      <c r="MBX66" s="10"/>
      <c r="MBY66" s="10"/>
      <c r="MBZ66" s="10"/>
      <c r="MCA66" s="10"/>
      <c r="MCB66" s="10"/>
      <c r="MCC66" s="10"/>
      <c r="MCD66" s="10"/>
      <c r="MCE66" s="10"/>
      <c r="MCF66" s="10"/>
      <c r="MCG66" s="10"/>
      <c r="MCH66" s="10"/>
      <c r="MCI66" s="10"/>
      <c r="MCJ66" s="10"/>
      <c r="MCK66" s="10"/>
      <c r="MCL66" s="10"/>
      <c r="MCM66" s="10"/>
      <c r="MCN66" s="10"/>
      <c r="MCO66" s="10"/>
      <c r="MCP66" s="10"/>
      <c r="MCQ66" s="10"/>
      <c r="MCR66" s="10"/>
      <c r="MCS66" s="10"/>
      <c r="MCT66" s="10"/>
      <c r="MCU66" s="10"/>
      <c r="MCV66" s="10"/>
      <c r="MCW66" s="10"/>
      <c r="MCX66" s="10"/>
      <c r="MCY66" s="10"/>
      <c r="MCZ66" s="10"/>
      <c r="MDA66" s="10"/>
      <c r="MDB66" s="10"/>
      <c r="MDC66" s="10"/>
      <c r="MDD66" s="10"/>
      <c r="MDE66" s="10"/>
      <c r="MDF66" s="10"/>
      <c r="MDG66" s="10"/>
      <c r="MDH66" s="10"/>
      <c r="MDI66" s="10"/>
      <c r="MDJ66" s="10"/>
      <c r="MDK66" s="10"/>
      <c r="MDL66" s="10"/>
      <c r="MDM66" s="10"/>
      <c r="MDN66" s="10"/>
      <c r="MDO66" s="10"/>
      <c r="MDP66" s="10"/>
      <c r="MDQ66" s="10"/>
      <c r="MDR66" s="10"/>
      <c r="MDS66" s="10"/>
      <c r="MDT66" s="10"/>
      <c r="MDU66" s="10"/>
      <c r="MDV66" s="10"/>
      <c r="MDW66" s="10"/>
      <c r="MDX66" s="10"/>
      <c r="MDY66" s="10"/>
      <c r="MDZ66" s="10"/>
      <c r="MEA66" s="10"/>
      <c r="MEB66" s="10"/>
      <c r="MEC66" s="10"/>
      <c r="MED66" s="10"/>
      <c r="MEE66" s="10"/>
      <c r="MEF66" s="10"/>
      <c r="MEG66" s="10"/>
      <c r="MEH66" s="10"/>
      <c r="MEI66" s="10"/>
      <c r="MEJ66" s="10"/>
      <c r="MEK66" s="10"/>
      <c r="MEL66" s="10"/>
      <c r="MEM66" s="10"/>
      <c r="MEN66" s="10"/>
      <c r="MEO66" s="10"/>
      <c r="MEP66" s="10"/>
      <c r="MEQ66" s="10"/>
      <c r="MER66" s="10"/>
      <c r="MES66" s="10"/>
      <c r="MET66" s="10"/>
      <c r="MEU66" s="10"/>
      <c r="MEV66" s="10"/>
      <c r="MEW66" s="10"/>
      <c r="MEX66" s="10"/>
      <c r="MEY66" s="10"/>
      <c r="MEZ66" s="10"/>
      <c r="MFA66" s="10"/>
      <c r="MFB66" s="10"/>
      <c r="MFC66" s="10"/>
      <c r="MFD66" s="10"/>
      <c r="MFE66" s="10"/>
      <c r="MFF66" s="10"/>
      <c r="MFG66" s="10"/>
      <c r="MFH66" s="10"/>
      <c r="MFI66" s="10"/>
      <c r="MFJ66" s="10"/>
      <c r="MFK66" s="10"/>
      <c r="MFL66" s="10"/>
      <c r="MFM66" s="10"/>
      <c r="MFN66" s="10"/>
      <c r="MFO66" s="10"/>
      <c r="MFP66" s="10"/>
      <c r="MFQ66" s="10"/>
      <c r="MFR66" s="10"/>
      <c r="MFS66" s="10"/>
      <c r="MFT66" s="10"/>
      <c r="MFU66" s="10"/>
      <c r="MFV66" s="10"/>
      <c r="MFW66" s="10"/>
      <c r="MFX66" s="10"/>
      <c r="MFY66" s="10"/>
      <c r="MFZ66" s="10"/>
      <c r="MGA66" s="10"/>
      <c r="MGB66" s="10"/>
      <c r="MGC66" s="10"/>
      <c r="MGD66" s="10"/>
      <c r="MGE66" s="10"/>
      <c r="MGF66" s="10"/>
      <c r="MGG66" s="10"/>
      <c r="MGH66" s="10"/>
      <c r="MGI66" s="10"/>
      <c r="MGJ66" s="10"/>
      <c r="MGK66" s="10"/>
      <c r="MGL66" s="10"/>
      <c r="MGM66" s="10"/>
      <c r="MGN66" s="10"/>
      <c r="MGO66" s="10"/>
      <c r="MGP66" s="10"/>
      <c r="MGQ66" s="10"/>
      <c r="MGR66" s="10"/>
      <c r="MGS66" s="10"/>
      <c r="MGT66" s="10"/>
      <c r="MGU66" s="10"/>
      <c r="MGV66" s="10"/>
      <c r="MGW66" s="10"/>
      <c r="MGX66" s="10"/>
      <c r="MGY66" s="10"/>
      <c r="MGZ66" s="10"/>
      <c r="MHA66" s="10"/>
      <c r="MHB66" s="10"/>
      <c r="MHC66" s="10"/>
      <c r="MHD66" s="10"/>
      <c r="MHE66" s="10"/>
      <c r="MHF66" s="10"/>
      <c r="MHG66" s="10"/>
      <c r="MHH66" s="10"/>
      <c r="MHI66" s="10"/>
      <c r="MHJ66" s="10"/>
      <c r="MHK66" s="10"/>
      <c r="MHL66" s="10"/>
      <c r="MHM66" s="10"/>
      <c r="MHN66" s="10"/>
      <c r="MHO66" s="10"/>
      <c r="MHP66" s="10"/>
      <c r="MHQ66" s="10"/>
      <c r="MHR66" s="10"/>
      <c r="MHS66" s="10"/>
      <c r="MHT66" s="10"/>
      <c r="MHU66" s="10"/>
      <c r="MHV66" s="10"/>
      <c r="MHW66" s="10"/>
      <c r="MHX66" s="10"/>
      <c r="MHY66" s="10"/>
      <c r="MHZ66" s="10"/>
      <c r="MIA66" s="10"/>
      <c r="MIB66" s="10"/>
      <c r="MIC66" s="10"/>
      <c r="MID66" s="10"/>
      <c r="MIE66" s="10"/>
      <c r="MIF66" s="10"/>
      <c r="MIG66" s="10"/>
      <c r="MIH66" s="10"/>
      <c r="MII66" s="10"/>
      <c r="MIJ66" s="10"/>
      <c r="MIK66" s="10"/>
      <c r="MIL66" s="10"/>
      <c r="MIM66" s="10"/>
      <c r="MIN66" s="10"/>
      <c r="MIO66" s="10"/>
      <c r="MIP66" s="10"/>
      <c r="MIQ66" s="10"/>
      <c r="MIR66" s="10"/>
      <c r="MIS66" s="10"/>
      <c r="MIT66" s="10"/>
      <c r="MIU66" s="10"/>
      <c r="MIV66" s="10"/>
      <c r="MIW66" s="10"/>
      <c r="MIX66" s="10"/>
      <c r="MIY66" s="10"/>
      <c r="MIZ66" s="10"/>
      <c r="MJA66" s="10"/>
      <c r="MJB66" s="10"/>
      <c r="MJC66" s="10"/>
      <c r="MJD66" s="10"/>
      <c r="MJE66" s="10"/>
      <c r="MJF66" s="10"/>
      <c r="MJG66" s="10"/>
      <c r="MJH66" s="10"/>
      <c r="MJI66" s="10"/>
      <c r="MJJ66" s="10"/>
      <c r="MJK66" s="10"/>
      <c r="MJL66" s="10"/>
      <c r="MJM66" s="10"/>
      <c r="MJN66" s="10"/>
      <c r="MJO66" s="10"/>
      <c r="MJP66" s="10"/>
      <c r="MJQ66" s="10"/>
      <c r="MJR66" s="10"/>
      <c r="MJS66" s="10"/>
      <c r="MJT66" s="10"/>
      <c r="MJU66" s="10"/>
      <c r="MJV66" s="10"/>
      <c r="MJW66" s="10"/>
      <c r="MJX66" s="10"/>
      <c r="MJY66" s="10"/>
      <c r="MJZ66" s="10"/>
      <c r="MKA66" s="10"/>
      <c r="MKB66" s="10"/>
      <c r="MKC66" s="10"/>
      <c r="MKD66" s="10"/>
      <c r="MKE66" s="10"/>
      <c r="MKF66" s="10"/>
      <c r="MKG66" s="10"/>
      <c r="MKH66" s="10"/>
      <c r="MKI66" s="10"/>
      <c r="MKJ66" s="10"/>
      <c r="MKK66" s="10"/>
      <c r="MKL66" s="10"/>
      <c r="MKM66" s="10"/>
      <c r="MKN66" s="10"/>
      <c r="MKO66" s="10"/>
      <c r="MKP66" s="10"/>
      <c r="MKQ66" s="10"/>
      <c r="MKR66" s="10"/>
      <c r="MKS66" s="10"/>
      <c r="MKT66" s="10"/>
      <c r="MKU66" s="10"/>
      <c r="MKV66" s="10"/>
      <c r="MKW66" s="10"/>
      <c r="MKX66" s="10"/>
      <c r="MKY66" s="10"/>
      <c r="MKZ66" s="10"/>
      <c r="MLA66" s="10"/>
      <c r="MLB66" s="10"/>
      <c r="MLC66" s="10"/>
      <c r="MLD66" s="10"/>
      <c r="MLE66" s="10"/>
      <c r="MLF66" s="10"/>
      <c r="MLG66" s="10"/>
      <c r="MLH66" s="10"/>
      <c r="MLI66" s="10"/>
      <c r="MLJ66" s="10"/>
      <c r="MLK66" s="10"/>
      <c r="MLL66" s="10"/>
      <c r="MLM66" s="10"/>
      <c r="MLN66" s="10"/>
      <c r="MLO66" s="10"/>
      <c r="MLP66" s="10"/>
      <c r="MLQ66" s="10"/>
      <c r="MLR66" s="10"/>
      <c r="MLS66" s="10"/>
      <c r="MLT66" s="10"/>
      <c r="MLU66" s="10"/>
      <c r="MLV66" s="10"/>
      <c r="MLW66" s="10"/>
      <c r="MLX66" s="10"/>
      <c r="MLY66" s="10"/>
      <c r="MLZ66" s="10"/>
      <c r="MMA66" s="10"/>
      <c r="MMB66" s="10"/>
      <c r="MMC66" s="10"/>
      <c r="MMD66" s="10"/>
      <c r="MME66" s="10"/>
      <c r="MMF66" s="10"/>
      <c r="MMG66" s="10"/>
      <c r="MMH66" s="10"/>
      <c r="MMI66" s="10"/>
      <c r="MMJ66" s="10"/>
      <c r="MMK66" s="10"/>
      <c r="MML66" s="10"/>
      <c r="MMM66" s="10"/>
      <c r="MMN66" s="10"/>
      <c r="MMO66" s="10"/>
      <c r="MMP66" s="10"/>
      <c r="MMQ66" s="10"/>
      <c r="MMR66" s="10"/>
      <c r="MMS66" s="10"/>
      <c r="MMT66" s="10"/>
      <c r="MMU66" s="10"/>
      <c r="MMV66" s="10"/>
      <c r="MMW66" s="10"/>
      <c r="MMX66" s="10"/>
      <c r="MMY66" s="10"/>
      <c r="MMZ66" s="10"/>
      <c r="MNA66" s="10"/>
      <c r="MNB66" s="10"/>
      <c r="MNC66" s="10"/>
      <c r="MND66" s="10"/>
      <c r="MNE66" s="10"/>
      <c r="MNF66" s="10"/>
      <c r="MNG66" s="10"/>
      <c r="MNH66" s="10"/>
      <c r="MNI66" s="10"/>
      <c r="MNJ66" s="10"/>
      <c r="MNK66" s="10"/>
      <c r="MNL66" s="10"/>
      <c r="MNM66" s="10"/>
      <c r="MNN66" s="10"/>
      <c r="MNO66" s="10"/>
      <c r="MNP66" s="10"/>
      <c r="MNQ66" s="10"/>
      <c r="MNR66" s="10"/>
      <c r="MNS66" s="10"/>
      <c r="MNT66" s="10"/>
      <c r="MNU66" s="10"/>
      <c r="MNV66" s="10"/>
      <c r="MNW66" s="10"/>
      <c r="MNX66" s="10"/>
      <c r="MNY66" s="10"/>
      <c r="MNZ66" s="10"/>
      <c r="MOA66" s="10"/>
      <c r="MOB66" s="10"/>
      <c r="MOC66" s="10"/>
      <c r="MOD66" s="10"/>
      <c r="MOE66" s="10"/>
      <c r="MOF66" s="10"/>
      <c r="MOG66" s="10"/>
      <c r="MOH66" s="10"/>
      <c r="MOI66" s="10"/>
      <c r="MOJ66" s="10"/>
      <c r="MOK66" s="10"/>
      <c r="MOL66" s="10"/>
      <c r="MOM66" s="10"/>
      <c r="MON66" s="10"/>
      <c r="MOO66" s="10"/>
      <c r="MOP66" s="10"/>
      <c r="MOQ66" s="10"/>
      <c r="MOR66" s="10"/>
      <c r="MOS66" s="10"/>
      <c r="MOT66" s="10"/>
      <c r="MOU66" s="10"/>
      <c r="MOV66" s="10"/>
      <c r="MOW66" s="10"/>
      <c r="MOX66" s="10"/>
      <c r="MOY66" s="10"/>
      <c r="MOZ66" s="10"/>
      <c r="MPA66" s="10"/>
      <c r="MPB66" s="10"/>
      <c r="MPC66" s="10"/>
      <c r="MPD66" s="10"/>
      <c r="MPE66" s="10"/>
      <c r="MPF66" s="10"/>
      <c r="MPG66" s="10"/>
      <c r="MPH66" s="10"/>
      <c r="MPI66" s="10"/>
      <c r="MPJ66" s="10"/>
      <c r="MPK66" s="10"/>
      <c r="MPL66" s="10"/>
      <c r="MPM66" s="10"/>
      <c r="MPN66" s="10"/>
      <c r="MPO66" s="10"/>
      <c r="MPP66" s="10"/>
      <c r="MPQ66" s="10"/>
      <c r="MPR66" s="10"/>
      <c r="MPS66" s="10"/>
      <c r="MPT66" s="10"/>
      <c r="MPU66" s="10"/>
      <c r="MPV66" s="10"/>
      <c r="MPW66" s="10"/>
      <c r="MPX66" s="10"/>
      <c r="MPY66" s="10"/>
      <c r="MPZ66" s="10"/>
      <c r="MQA66" s="10"/>
      <c r="MQB66" s="10"/>
      <c r="MQC66" s="10"/>
      <c r="MQD66" s="10"/>
      <c r="MQE66" s="10"/>
      <c r="MQF66" s="10"/>
      <c r="MQG66" s="10"/>
      <c r="MQH66" s="10"/>
      <c r="MQI66" s="10"/>
      <c r="MQJ66" s="10"/>
      <c r="MQK66" s="10"/>
      <c r="MQL66" s="10"/>
      <c r="MQM66" s="10"/>
      <c r="MQN66" s="10"/>
      <c r="MQO66" s="10"/>
      <c r="MQP66" s="10"/>
      <c r="MQQ66" s="10"/>
      <c r="MQR66" s="10"/>
      <c r="MQS66" s="10"/>
      <c r="MQT66" s="10"/>
      <c r="MQU66" s="10"/>
      <c r="MQV66" s="10"/>
      <c r="MQW66" s="10"/>
      <c r="MQX66" s="10"/>
      <c r="MQY66" s="10"/>
      <c r="MQZ66" s="10"/>
      <c r="MRA66" s="10"/>
      <c r="MRB66" s="10"/>
      <c r="MRC66" s="10"/>
      <c r="MRD66" s="10"/>
      <c r="MRE66" s="10"/>
      <c r="MRF66" s="10"/>
      <c r="MRG66" s="10"/>
      <c r="MRH66" s="10"/>
      <c r="MRI66" s="10"/>
      <c r="MRJ66" s="10"/>
      <c r="MRK66" s="10"/>
      <c r="MRL66" s="10"/>
      <c r="MRM66" s="10"/>
      <c r="MRN66" s="10"/>
      <c r="MRO66" s="10"/>
      <c r="MRP66" s="10"/>
      <c r="MRQ66" s="10"/>
      <c r="MRR66" s="10"/>
      <c r="MRS66" s="10"/>
      <c r="MRT66" s="10"/>
      <c r="MRU66" s="10"/>
      <c r="MRV66" s="10"/>
      <c r="MRW66" s="10"/>
      <c r="MRX66" s="10"/>
      <c r="MRY66" s="10"/>
      <c r="MRZ66" s="10"/>
      <c r="MSA66" s="10"/>
      <c r="MSB66" s="10"/>
      <c r="MSC66" s="10"/>
      <c r="MSD66" s="10"/>
      <c r="MSE66" s="10"/>
      <c r="MSF66" s="10"/>
      <c r="MSG66" s="10"/>
      <c r="MSH66" s="10"/>
      <c r="MSI66" s="10"/>
      <c r="MSJ66" s="10"/>
      <c r="MSK66" s="10"/>
      <c r="MSL66" s="10"/>
      <c r="MSM66" s="10"/>
      <c r="MSN66" s="10"/>
      <c r="MSO66" s="10"/>
      <c r="MSP66" s="10"/>
      <c r="MSQ66" s="10"/>
      <c r="MSR66" s="10"/>
      <c r="MSS66" s="10"/>
      <c r="MST66" s="10"/>
      <c r="MSU66" s="10"/>
      <c r="MSV66" s="10"/>
      <c r="MSW66" s="10"/>
      <c r="MSX66" s="10"/>
      <c r="MSY66" s="10"/>
      <c r="MSZ66" s="10"/>
      <c r="MTA66" s="10"/>
      <c r="MTB66" s="10"/>
      <c r="MTC66" s="10"/>
      <c r="MTD66" s="10"/>
      <c r="MTE66" s="10"/>
      <c r="MTF66" s="10"/>
      <c r="MTG66" s="10"/>
      <c r="MTH66" s="10"/>
      <c r="MTI66" s="10"/>
      <c r="MTJ66" s="10"/>
      <c r="MTK66" s="10"/>
      <c r="MTL66" s="10"/>
      <c r="MTM66" s="10"/>
      <c r="MTN66" s="10"/>
      <c r="MTO66" s="10"/>
      <c r="MTP66" s="10"/>
      <c r="MTQ66" s="10"/>
      <c r="MTR66" s="10"/>
      <c r="MTS66" s="10"/>
      <c r="MTT66" s="10"/>
      <c r="MTU66" s="10"/>
      <c r="MTV66" s="10"/>
      <c r="MTW66" s="10"/>
      <c r="MTX66" s="10"/>
      <c r="MTY66" s="10"/>
      <c r="MTZ66" s="10"/>
      <c r="MUA66" s="10"/>
      <c r="MUB66" s="10"/>
      <c r="MUC66" s="10"/>
      <c r="MUD66" s="10"/>
      <c r="MUE66" s="10"/>
      <c r="MUF66" s="10"/>
      <c r="MUG66" s="10"/>
      <c r="MUH66" s="10"/>
      <c r="MUI66" s="10"/>
      <c r="MUJ66" s="10"/>
      <c r="MUK66" s="10"/>
      <c r="MUL66" s="10"/>
      <c r="MUM66" s="10"/>
      <c r="MUN66" s="10"/>
      <c r="MUO66" s="10"/>
      <c r="MUP66" s="10"/>
      <c r="MUQ66" s="10"/>
      <c r="MUR66" s="10"/>
      <c r="MUS66" s="10"/>
      <c r="MUT66" s="10"/>
      <c r="MUU66" s="10"/>
      <c r="MUV66" s="10"/>
      <c r="MUW66" s="10"/>
      <c r="MUX66" s="10"/>
      <c r="MUY66" s="10"/>
      <c r="MUZ66" s="10"/>
      <c r="MVA66" s="10"/>
      <c r="MVB66" s="10"/>
      <c r="MVC66" s="10"/>
      <c r="MVD66" s="10"/>
      <c r="MVE66" s="10"/>
      <c r="MVF66" s="10"/>
      <c r="MVG66" s="10"/>
      <c r="MVH66" s="10"/>
      <c r="MVI66" s="10"/>
      <c r="MVJ66" s="10"/>
      <c r="MVK66" s="10"/>
      <c r="MVL66" s="10"/>
      <c r="MVM66" s="10"/>
      <c r="MVN66" s="10"/>
      <c r="MVO66" s="10"/>
      <c r="MVP66" s="10"/>
      <c r="MVQ66" s="10"/>
      <c r="MVR66" s="10"/>
      <c r="MVS66" s="10"/>
      <c r="MVT66" s="10"/>
      <c r="MVU66" s="10"/>
      <c r="MVV66" s="10"/>
      <c r="MVW66" s="10"/>
      <c r="MVX66" s="10"/>
      <c r="MVY66" s="10"/>
      <c r="MVZ66" s="10"/>
      <c r="MWA66" s="10"/>
      <c r="MWB66" s="10"/>
      <c r="MWC66" s="10"/>
      <c r="MWD66" s="10"/>
      <c r="MWE66" s="10"/>
      <c r="MWF66" s="10"/>
      <c r="MWG66" s="10"/>
      <c r="MWH66" s="10"/>
      <c r="MWI66" s="10"/>
      <c r="MWJ66" s="10"/>
      <c r="MWK66" s="10"/>
      <c r="MWL66" s="10"/>
      <c r="MWM66" s="10"/>
      <c r="MWN66" s="10"/>
      <c r="MWO66" s="10"/>
      <c r="MWP66" s="10"/>
      <c r="MWQ66" s="10"/>
      <c r="MWR66" s="10"/>
      <c r="MWS66" s="10"/>
      <c r="MWT66" s="10"/>
      <c r="MWU66" s="10"/>
      <c r="MWV66" s="10"/>
      <c r="MWW66" s="10"/>
      <c r="MWX66" s="10"/>
      <c r="MWY66" s="10"/>
      <c r="MWZ66" s="10"/>
      <c r="MXA66" s="10"/>
      <c r="MXB66" s="10"/>
      <c r="MXC66" s="10"/>
      <c r="MXD66" s="10"/>
      <c r="MXE66" s="10"/>
      <c r="MXF66" s="10"/>
      <c r="MXG66" s="10"/>
      <c r="MXH66" s="10"/>
      <c r="MXI66" s="10"/>
      <c r="MXJ66" s="10"/>
      <c r="MXK66" s="10"/>
      <c r="MXL66" s="10"/>
      <c r="MXM66" s="10"/>
      <c r="MXN66" s="10"/>
      <c r="MXO66" s="10"/>
      <c r="MXP66" s="10"/>
      <c r="MXQ66" s="10"/>
      <c r="MXR66" s="10"/>
      <c r="MXS66" s="10"/>
      <c r="MXT66" s="10"/>
      <c r="MXU66" s="10"/>
      <c r="MXV66" s="10"/>
      <c r="MXW66" s="10"/>
      <c r="MXX66" s="10"/>
      <c r="MXY66" s="10"/>
      <c r="MXZ66" s="10"/>
      <c r="MYA66" s="10"/>
      <c r="MYB66" s="10"/>
      <c r="MYC66" s="10"/>
      <c r="MYD66" s="10"/>
      <c r="MYE66" s="10"/>
      <c r="MYF66" s="10"/>
      <c r="MYG66" s="10"/>
      <c r="MYH66" s="10"/>
      <c r="MYI66" s="10"/>
      <c r="MYJ66" s="10"/>
      <c r="MYK66" s="10"/>
      <c r="MYL66" s="10"/>
      <c r="MYM66" s="10"/>
      <c r="MYN66" s="10"/>
      <c r="MYO66" s="10"/>
      <c r="MYP66" s="10"/>
      <c r="MYQ66" s="10"/>
      <c r="MYR66" s="10"/>
      <c r="MYS66" s="10"/>
      <c r="MYT66" s="10"/>
      <c r="MYU66" s="10"/>
      <c r="MYV66" s="10"/>
      <c r="MYW66" s="10"/>
      <c r="MYX66" s="10"/>
      <c r="MYY66" s="10"/>
      <c r="MYZ66" s="10"/>
      <c r="MZA66" s="10"/>
      <c r="MZB66" s="10"/>
      <c r="MZC66" s="10"/>
      <c r="MZD66" s="10"/>
      <c r="MZE66" s="10"/>
      <c r="MZF66" s="10"/>
      <c r="MZG66" s="10"/>
      <c r="MZH66" s="10"/>
      <c r="MZI66" s="10"/>
      <c r="MZJ66" s="10"/>
      <c r="MZK66" s="10"/>
      <c r="MZL66" s="10"/>
      <c r="MZM66" s="10"/>
      <c r="MZN66" s="10"/>
      <c r="MZO66" s="10"/>
      <c r="MZP66" s="10"/>
      <c r="MZQ66" s="10"/>
      <c r="MZR66" s="10"/>
      <c r="MZS66" s="10"/>
      <c r="MZT66" s="10"/>
      <c r="MZU66" s="10"/>
      <c r="MZV66" s="10"/>
      <c r="MZW66" s="10"/>
      <c r="MZX66" s="10"/>
      <c r="MZY66" s="10"/>
      <c r="MZZ66" s="10"/>
      <c r="NAA66" s="10"/>
      <c r="NAB66" s="10"/>
      <c r="NAC66" s="10"/>
      <c r="NAD66" s="10"/>
      <c r="NAE66" s="10"/>
      <c r="NAF66" s="10"/>
      <c r="NAG66" s="10"/>
      <c r="NAH66" s="10"/>
      <c r="NAI66" s="10"/>
      <c r="NAJ66" s="10"/>
      <c r="NAK66" s="10"/>
      <c r="NAL66" s="10"/>
      <c r="NAM66" s="10"/>
      <c r="NAN66" s="10"/>
      <c r="NAO66" s="10"/>
      <c r="NAP66" s="10"/>
      <c r="NAQ66" s="10"/>
      <c r="NAR66" s="10"/>
      <c r="NAS66" s="10"/>
      <c r="NAT66" s="10"/>
      <c r="NAU66" s="10"/>
      <c r="NAV66" s="10"/>
      <c r="NAW66" s="10"/>
      <c r="NAX66" s="10"/>
      <c r="NAY66" s="10"/>
      <c r="NAZ66" s="10"/>
      <c r="NBA66" s="10"/>
      <c r="NBB66" s="10"/>
      <c r="NBC66" s="10"/>
      <c r="NBD66" s="10"/>
      <c r="NBE66" s="10"/>
      <c r="NBF66" s="10"/>
      <c r="NBG66" s="10"/>
      <c r="NBH66" s="10"/>
      <c r="NBI66" s="10"/>
      <c r="NBJ66" s="10"/>
      <c r="NBK66" s="10"/>
      <c r="NBL66" s="10"/>
      <c r="NBM66" s="10"/>
      <c r="NBN66" s="10"/>
      <c r="NBO66" s="10"/>
      <c r="NBP66" s="10"/>
      <c r="NBQ66" s="10"/>
      <c r="NBR66" s="10"/>
      <c r="NBS66" s="10"/>
      <c r="NBT66" s="10"/>
      <c r="NBU66" s="10"/>
      <c r="NBV66" s="10"/>
      <c r="NBW66" s="10"/>
      <c r="NBX66" s="10"/>
      <c r="NBY66" s="10"/>
      <c r="NBZ66" s="10"/>
      <c r="NCA66" s="10"/>
      <c r="NCB66" s="10"/>
      <c r="NCC66" s="10"/>
      <c r="NCD66" s="10"/>
      <c r="NCE66" s="10"/>
      <c r="NCF66" s="10"/>
      <c r="NCG66" s="10"/>
      <c r="NCH66" s="10"/>
      <c r="NCI66" s="10"/>
      <c r="NCJ66" s="10"/>
      <c r="NCK66" s="10"/>
      <c r="NCL66" s="10"/>
      <c r="NCM66" s="10"/>
      <c r="NCN66" s="10"/>
      <c r="NCO66" s="10"/>
      <c r="NCP66" s="10"/>
      <c r="NCQ66" s="10"/>
      <c r="NCR66" s="10"/>
      <c r="NCS66" s="10"/>
      <c r="NCT66" s="10"/>
      <c r="NCU66" s="10"/>
      <c r="NCV66" s="10"/>
      <c r="NCW66" s="10"/>
      <c r="NCX66" s="10"/>
      <c r="NCY66" s="10"/>
      <c r="NCZ66" s="10"/>
      <c r="NDA66" s="10"/>
      <c r="NDB66" s="10"/>
      <c r="NDC66" s="10"/>
      <c r="NDD66" s="10"/>
      <c r="NDE66" s="10"/>
      <c r="NDF66" s="10"/>
      <c r="NDG66" s="10"/>
      <c r="NDH66" s="10"/>
      <c r="NDI66" s="10"/>
      <c r="NDJ66" s="10"/>
      <c r="NDK66" s="10"/>
      <c r="NDL66" s="10"/>
      <c r="NDM66" s="10"/>
      <c r="NDN66" s="10"/>
      <c r="NDO66" s="10"/>
      <c r="NDP66" s="10"/>
      <c r="NDQ66" s="10"/>
      <c r="NDR66" s="10"/>
      <c r="NDS66" s="10"/>
      <c r="NDT66" s="10"/>
      <c r="NDU66" s="10"/>
      <c r="NDV66" s="10"/>
      <c r="NDW66" s="10"/>
      <c r="NDX66" s="10"/>
      <c r="NDY66" s="10"/>
      <c r="NDZ66" s="10"/>
      <c r="NEA66" s="10"/>
      <c r="NEB66" s="10"/>
      <c r="NEC66" s="10"/>
      <c r="NED66" s="10"/>
      <c r="NEE66" s="10"/>
      <c r="NEF66" s="10"/>
      <c r="NEG66" s="10"/>
      <c r="NEH66" s="10"/>
      <c r="NEI66" s="10"/>
      <c r="NEJ66" s="10"/>
      <c r="NEK66" s="10"/>
      <c r="NEL66" s="10"/>
      <c r="NEM66" s="10"/>
      <c r="NEN66" s="10"/>
      <c r="NEO66" s="10"/>
      <c r="NEP66" s="10"/>
      <c r="NEQ66" s="10"/>
      <c r="NER66" s="10"/>
      <c r="NES66" s="10"/>
      <c r="NET66" s="10"/>
      <c r="NEU66" s="10"/>
      <c r="NEV66" s="10"/>
      <c r="NEW66" s="10"/>
      <c r="NEX66" s="10"/>
      <c r="NEY66" s="10"/>
      <c r="NEZ66" s="10"/>
      <c r="NFA66" s="10"/>
      <c r="NFB66" s="10"/>
      <c r="NFC66" s="10"/>
      <c r="NFD66" s="10"/>
      <c r="NFE66" s="10"/>
      <c r="NFF66" s="10"/>
      <c r="NFG66" s="10"/>
      <c r="NFH66" s="10"/>
      <c r="NFI66" s="10"/>
      <c r="NFJ66" s="10"/>
      <c r="NFK66" s="10"/>
      <c r="NFL66" s="10"/>
      <c r="NFM66" s="10"/>
      <c r="NFN66" s="10"/>
      <c r="NFO66" s="10"/>
      <c r="NFP66" s="10"/>
      <c r="NFQ66" s="10"/>
      <c r="NFR66" s="10"/>
      <c r="NFS66" s="10"/>
      <c r="NFT66" s="10"/>
      <c r="NFU66" s="10"/>
      <c r="NFV66" s="10"/>
      <c r="NFW66" s="10"/>
      <c r="NFX66" s="10"/>
      <c r="NFY66" s="10"/>
      <c r="NFZ66" s="10"/>
      <c r="NGA66" s="10"/>
      <c r="NGB66" s="10"/>
      <c r="NGC66" s="10"/>
      <c r="NGD66" s="10"/>
      <c r="NGE66" s="10"/>
      <c r="NGF66" s="10"/>
      <c r="NGG66" s="10"/>
      <c r="NGH66" s="10"/>
      <c r="NGI66" s="10"/>
      <c r="NGJ66" s="10"/>
      <c r="NGK66" s="10"/>
      <c r="NGL66" s="10"/>
      <c r="NGM66" s="10"/>
      <c r="NGN66" s="10"/>
      <c r="NGO66" s="10"/>
      <c r="NGP66" s="10"/>
      <c r="NGQ66" s="10"/>
      <c r="NGR66" s="10"/>
      <c r="NGS66" s="10"/>
      <c r="NGT66" s="10"/>
      <c r="NGU66" s="10"/>
      <c r="NGV66" s="10"/>
      <c r="NGW66" s="10"/>
      <c r="NGX66" s="10"/>
      <c r="NGY66" s="10"/>
      <c r="NGZ66" s="10"/>
      <c r="NHA66" s="10"/>
      <c r="NHB66" s="10"/>
      <c r="NHC66" s="10"/>
      <c r="NHD66" s="10"/>
      <c r="NHE66" s="10"/>
      <c r="NHF66" s="10"/>
      <c r="NHG66" s="10"/>
      <c r="NHH66" s="10"/>
      <c r="NHI66" s="10"/>
      <c r="NHJ66" s="10"/>
      <c r="NHK66" s="10"/>
      <c r="NHL66" s="10"/>
      <c r="NHM66" s="10"/>
      <c r="NHN66" s="10"/>
      <c r="NHO66" s="10"/>
      <c r="NHP66" s="10"/>
      <c r="NHQ66" s="10"/>
      <c r="NHR66" s="10"/>
      <c r="NHS66" s="10"/>
      <c r="NHT66" s="10"/>
      <c r="NHU66" s="10"/>
      <c r="NHV66" s="10"/>
      <c r="NHW66" s="10"/>
      <c r="NHX66" s="10"/>
      <c r="NHY66" s="10"/>
      <c r="NHZ66" s="10"/>
      <c r="NIA66" s="10"/>
      <c r="NIB66" s="10"/>
      <c r="NIC66" s="10"/>
      <c r="NID66" s="10"/>
      <c r="NIE66" s="10"/>
      <c r="NIF66" s="10"/>
      <c r="NIG66" s="10"/>
      <c r="NIH66" s="10"/>
      <c r="NII66" s="10"/>
      <c r="NIJ66" s="10"/>
      <c r="NIK66" s="10"/>
      <c r="NIL66" s="10"/>
      <c r="NIM66" s="10"/>
      <c r="NIN66" s="10"/>
      <c r="NIO66" s="10"/>
      <c r="NIP66" s="10"/>
      <c r="NIQ66" s="10"/>
      <c r="NIR66" s="10"/>
      <c r="NIS66" s="10"/>
      <c r="NIT66" s="10"/>
      <c r="NIU66" s="10"/>
      <c r="NIV66" s="10"/>
      <c r="NIW66" s="10"/>
      <c r="NIX66" s="10"/>
      <c r="NIY66" s="10"/>
      <c r="NIZ66" s="10"/>
      <c r="NJA66" s="10"/>
      <c r="NJB66" s="10"/>
      <c r="NJC66" s="10"/>
      <c r="NJD66" s="10"/>
      <c r="NJE66" s="10"/>
      <c r="NJF66" s="10"/>
      <c r="NJG66" s="10"/>
      <c r="NJH66" s="10"/>
      <c r="NJI66" s="10"/>
      <c r="NJJ66" s="10"/>
      <c r="NJK66" s="10"/>
      <c r="NJL66" s="10"/>
      <c r="NJM66" s="10"/>
      <c r="NJN66" s="10"/>
      <c r="NJO66" s="10"/>
      <c r="NJP66" s="10"/>
      <c r="NJQ66" s="10"/>
      <c r="NJR66" s="10"/>
      <c r="NJS66" s="10"/>
      <c r="NJT66" s="10"/>
      <c r="NJU66" s="10"/>
      <c r="NJV66" s="10"/>
      <c r="NJW66" s="10"/>
      <c r="NJX66" s="10"/>
      <c r="NJY66" s="10"/>
      <c r="NJZ66" s="10"/>
      <c r="NKA66" s="10"/>
      <c r="NKB66" s="10"/>
      <c r="NKC66" s="10"/>
      <c r="NKD66" s="10"/>
      <c r="NKE66" s="10"/>
      <c r="NKF66" s="10"/>
      <c r="NKG66" s="10"/>
      <c r="NKH66" s="10"/>
      <c r="NKI66" s="10"/>
      <c r="NKJ66" s="10"/>
      <c r="NKK66" s="10"/>
      <c r="NKL66" s="10"/>
      <c r="NKM66" s="10"/>
      <c r="NKN66" s="10"/>
      <c r="NKO66" s="10"/>
      <c r="NKP66" s="10"/>
      <c r="NKQ66" s="10"/>
      <c r="NKR66" s="10"/>
      <c r="NKS66" s="10"/>
      <c r="NKT66" s="10"/>
      <c r="NKU66" s="10"/>
      <c r="NKV66" s="10"/>
      <c r="NKW66" s="10"/>
      <c r="NKX66" s="10"/>
      <c r="NKY66" s="10"/>
      <c r="NKZ66" s="10"/>
      <c r="NLA66" s="10"/>
      <c r="NLB66" s="10"/>
      <c r="NLC66" s="10"/>
      <c r="NLD66" s="10"/>
      <c r="NLE66" s="10"/>
      <c r="NLF66" s="10"/>
      <c r="NLG66" s="10"/>
      <c r="NLH66" s="10"/>
      <c r="NLI66" s="10"/>
      <c r="NLJ66" s="10"/>
      <c r="NLK66" s="10"/>
      <c r="NLL66" s="10"/>
      <c r="NLM66" s="10"/>
      <c r="NLN66" s="10"/>
      <c r="NLO66" s="10"/>
      <c r="NLP66" s="10"/>
      <c r="NLQ66" s="10"/>
      <c r="NLR66" s="10"/>
      <c r="NLS66" s="10"/>
      <c r="NLT66" s="10"/>
      <c r="NLU66" s="10"/>
      <c r="NLV66" s="10"/>
      <c r="NLW66" s="10"/>
      <c r="NLX66" s="10"/>
      <c r="NLY66" s="10"/>
      <c r="NLZ66" s="10"/>
      <c r="NMA66" s="10"/>
      <c r="NMB66" s="10"/>
      <c r="NMC66" s="10"/>
      <c r="NMD66" s="10"/>
      <c r="NME66" s="10"/>
      <c r="NMF66" s="10"/>
      <c r="NMG66" s="10"/>
      <c r="NMH66" s="10"/>
      <c r="NMI66" s="10"/>
      <c r="NMJ66" s="10"/>
      <c r="NMK66" s="10"/>
      <c r="NML66" s="10"/>
      <c r="NMM66" s="10"/>
      <c r="NMN66" s="10"/>
      <c r="NMO66" s="10"/>
      <c r="NMP66" s="10"/>
      <c r="NMQ66" s="10"/>
      <c r="NMR66" s="10"/>
      <c r="NMS66" s="10"/>
      <c r="NMT66" s="10"/>
      <c r="NMU66" s="10"/>
      <c r="NMV66" s="10"/>
      <c r="NMW66" s="10"/>
      <c r="NMX66" s="10"/>
      <c r="NMY66" s="10"/>
      <c r="NMZ66" s="10"/>
      <c r="NNA66" s="10"/>
      <c r="NNB66" s="10"/>
      <c r="NNC66" s="10"/>
      <c r="NND66" s="10"/>
      <c r="NNE66" s="10"/>
      <c r="NNF66" s="10"/>
      <c r="NNG66" s="10"/>
      <c r="NNH66" s="10"/>
      <c r="NNI66" s="10"/>
      <c r="NNJ66" s="10"/>
      <c r="NNK66" s="10"/>
      <c r="NNL66" s="10"/>
      <c r="NNM66" s="10"/>
      <c r="NNN66" s="10"/>
      <c r="NNO66" s="10"/>
      <c r="NNP66" s="10"/>
      <c r="NNQ66" s="10"/>
      <c r="NNR66" s="10"/>
      <c r="NNS66" s="10"/>
      <c r="NNT66" s="10"/>
      <c r="NNU66" s="10"/>
      <c r="NNV66" s="10"/>
      <c r="NNW66" s="10"/>
      <c r="NNX66" s="10"/>
      <c r="NNY66" s="10"/>
      <c r="NNZ66" s="10"/>
      <c r="NOA66" s="10"/>
      <c r="NOB66" s="10"/>
      <c r="NOC66" s="10"/>
      <c r="NOD66" s="10"/>
      <c r="NOE66" s="10"/>
      <c r="NOF66" s="10"/>
      <c r="NOG66" s="10"/>
      <c r="NOH66" s="10"/>
      <c r="NOI66" s="10"/>
      <c r="NOJ66" s="10"/>
      <c r="NOK66" s="10"/>
      <c r="NOL66" s="10"/>
      <c r="NOM66" s="10"/>
      <c r="NON66" s="10"/>
      <c r="NOO66" s="10"/>
      <c r="NOP66" s="10"/>
      <c r="NOQ66" s="10"/>
      <c r="NOR66" s="10"/>
      <c r="NOS66" s="10"/>
      <c r="NOT66" s="10"/>
      <c r="NOU66" s="10"/>
      <c r="NOV66" s="10"/>
      <c r="NOW66" s="10"/>
      <c r="NOX66" s="10"/>
      <c r="NOY66" s="10"/>
      <c r="NOZ66" s="10"/>
      <c r="NPA66" s="10"/>
      <c r="NPB66" s="10"/>
      <c r="NPC66" s="10"/>
      <c r="NPD66" s="10"/>
      <c r="NPE66" s="10"/>
      <c r="NPF66" s="10"/>
      <c r="NPG66" s="10"/>
      <c r="NPH66" s="10"/>
      <c r="NPI66" s="10"/>
      <c r="NPJ66" s="10"/>
      <c r="NPK66" s="10"/>
      <c r="NPL66" s="10"/>
      <c r="NPM66" s="10"/>
      <c r="NPN66" s="10"/>
      <c r="NPO66" s="10"/>
      <c r="NPP66" s="10"/>
      <c r="NPQ66" s="10"/>
      <c r="NPR66" s="10"/>
      <c r="NPS66" s="10"/>
      <c r="NPT66" s="10"/>
      <c r="NPU66" s="10"/>
      <c r="NPV66" s="10"/>
      <c r="NPW66" s="10"/>
      <c r="NPX66" s="10"/>
      <c r="NPY66" s="10"/>
      <c r="NPZ66" s="10"/>
      <c r="NQA66" s="10"/>
      <c r="NQB66" s="10"/>
      <c r="NQC66" s="10"/>
      <c r="NQD66" s="10"/>
      <c r="NQE66" s="10"/>
      <c r="NQF66" s="10"/>
      <c r="NQG66" s="10"/>
      <c r="NQH66" s="10"/>
      <c r="NQI66" s="10"/>
      <c r="NQJ66" s="10"/>
      <c r="NQK66" s="10"/>
      <c r="NQL66" s="10"/>
      <c r="NQM66" s="10"/>
      <c r="NQN66" s="10"/>
      <c r="NQO66" s="10"/>
      <c r="NQP66" s="10"/>
      <c r="NQQ66" s="10"/>
      <c r="NQR66" s="10"/>
      <c r="NQS66" s="10"/>
      <c r="NQT66" s="10"/>
      <c r="NQU66" s="10"/>
      <c r="NQV66" s="10"/>
      <c r="NQW66" s="10"/>
      <c r="NQX66" s="10"/>
      <c r="NQY66" s="10"/>
      <c r="NQZ66" s="10"/>
      <c r="NRA66" s="10"/>
      <c r="NRB66" s="10"/>
      <c r="NRC66" s="10"/>
      <c r="NRD66" s="10"/>
      <c r="NRE66" s="10"/>
      <c r="NRF66" s="10"/>
      <c r="NRG66" s="10"/>
      <c r="NRH66" s="10"/>
      <c r="NRI66" s="10"/>
      <c r="NRJ66" s="10"/>
      <c r="NRK66" s="10"/>
      <c r="NRL66" s="10"/>
      <c r="NRM66" s="10"/>
      <c r="NRN66" s="10"/>
      <c r="NRO66" s="10"/>
      <c r="NRP66" s="10"/>
      <c r="NRQ66" s="10"/>
      <c r="NRR66" s="10"/>
      <c r="NRS66" s="10"/>
      <c r="NRT66" s="10"/>
      <c r="NRU66" s="10"/>
      <c r="NRV66" s="10"/>
      <c r="NRW66" s="10"/>
      <c r="NRX66" s="10"/>
      <c r="NRY66" s="10"/>
      <c r="NRZ66" s="10"/>
      <c r="NSA66" s="10"/>
      <c r="NSB66" s="10"/>
      <c r="NSC66" s="10"/>
      <c r="NSD66" s="10"/>
      <c r="NSE66" s="10"/>
      <c r="NSF66" s="10"/>
      <c r="NSG66" s="10"/>
      <c r="NSH66" s="10"/>
      <c r="NSI66" s="10"/>
      <c r="NSJ66" s="10"/>
      <c r="NSK66" s="10"/>
      <c r="NSL66" s="10"/>
      <c r="NSM66" s="10"/>
      <c r="NSN66" s="10"/>
      <c r="NSO66" s="10"/>
      <c r="NSP66" s="10"/>
      <c r="NSQ66" s="10"/>
      <c r="NSR66" s="10"/>
      <c r="NSS66" s="10"/>
      <c r="NST66" s="10"/>
      <c r="NSU66" s="10"/>
      <c r="NSV66" s="10"/>
      <c r="NSW66" s="10"/>
      <c r="NSX66" s="10"/>
      <c r="NSY66" s="10"/>
      <c r="NSZ66" s="10"/>
      <c r="NTA66" s="10"/>
      <c r="NTB66" s="10"/>
      <c r="NTC66" s="10"/>
      <c r="NTD66" s="10"/>
      <c r="NTE66" s="10"/>
      <c r="NTF66" s="10"/>
      <c r="NTG66" s="10"/>
      <c r="NTH66" s="10"/>
      <c r="NTI66" s="10"/>
      <c r="NTJ66" s="10"/>
      <c r="NTK66" s="10"/>
      <c r="NTL66" s="10"/>
      <c r="NTM66" s="10"/>
      <c r="NTN66" s="10"/>
      <c r="NTO66" s="10"/>
      <c r="NTP66" s="10"/>
      <c r="NTQ66" s="10"/>
      <c r="NTR66" s="10"/>
      <c r="NTS66" s="10"/>
      <c r="NTT66" s="10"/>
      <c r="NTU66" s="10"/>
      <c r="NTV66" s="10"/>
      <c r="NTW66" s="10"/>
      <c r="NTX66" s="10"/>
      <c r="NTY66" s="10"/>
      <c r="NTZ66" s="10"/>
      <c r="NUA66" s="10"/>
      <c r="NUB66" s="10"/>
      <c r="NUC66" s="10"/>
      <c r="NUD66" s="10"/>
      <c r="NUE66" s="10"/>
      <c r="NUF66" s="10"/>
      <c r="NUG66" s="10"/>
      <c r="NUH66" s="10"/>
      <c r="NUI66" s="10"/>
      <c r="NUJ66" s="10"/>
      <c r="NUK66" s="10"/>
      <c r="NUL66" s="10"/>
      <c r="NUM66" s="10"/>
      <c r="NUN66" s="10"/>
      <c r="NUO66" s="10"/>
      <c r="NUP66" s="10"/>
      <c r="NUQ66" s="10"/>
      <c r="NUR66" s="10"/>
      <c r="NUS66" s="10"/>
      <c r="NUT66" s="10"/>
      <c r="NUU66" s="10"/>
      <c r="NUV66" s="10"/>
      <c r="NUW66" s="10"/>
      <c r="NUX66" s="10"/>
      <c r="NUY66" s="10"/>
      <c r="NUZ66" s="10"/>
      <c r="NVA66" s="10"/>
      <c r="NVB66" s="10"/>
      <c r="NVC66" s="10"/>
      <c r="NVD66" s="10"/>
      <c r="NVE66" s="10"/>
      <c r="NVF66" s="10"/>
      <c r="NVG66" s="10"/>
      <c r="NVH66" s="10"/>
      <c r="NVI66" s="10"/>
      <c r="NVJ66" s="10"/>
      <c r="NVK66" s="10"/>
      <c r="NVL66" s="10"/>
      <c r="NVM66" s="10"/>
      <c r="NVN66" s="10"/>
      <c r="NVO66" s="10"/>
      <c r="NVP66" s="10"/>
      <c r="NVQ66" s="10"/>
      <c r="NVR66" s="10"/>
      <c r="NVS66" s="10"/>
      <c r="NVT66" s="10"/>
      <c r="NVU66" s="10"/>
      <c r="NVV66" s="10"/>
      <c r="NVW66" s="10"/>
      <c r="NVX66" s="10"/>
      <c r="NVY66" s="10"/>
      <c r="NVZ66" s="10"/>
      <c r="NWA66" s="10"/>
      <c r="NWB66" s="10"/>
      <c r="NWC66" s="10"/>
      <c r="NWD66" s="10"/>
      <c r="NWE66" s="10"/>
      <c r="NWF66" s="10"/>
      <c r="NWG66" s="10"/>
      <c r="NWH66" s="10"/>
      <c r="NWI66" s="10"/>
      <c r="NWJ66" s="10"/>
      <c r="NWK66" s="10"/>
      <c r="NWL66" s="10"/>
      <c r="NWM66" s="10"/>
      <c r="NWN66" s="10"/>
      <c r="NWO66" s="10"/>
      <c r="NWP66" s="10"/>
      <c r="NWQ66" s="10"/>
      <c r="NWR66" s="10"/>
      <c r="NWS66" s="10"/>
      <c r="NWT66" s="10"/>
      <c r="NWU66" s="10"/>
      <c r="NWV66" s="10"/>
      <c r="NWW66" s="10"/>
      <c r="NWX66" s="10"/>
      <c r="NWY66" s="10"/>
      <c r="NWZ66" s="10"/>
      <c r="NXA66" s="10"/>
      <c r="NXB66" s="10"/>
      <c r="NXC66" s="10"/>
      <c r="NXD66" s="10"/>
      <c r="NXE66" s="10"/>
      <c r="NXF66" s="10"/>
      <c r="NXG66" s="10"/>
      <c r="NXH66" s="10"/>
      <c r="NXI66" s="10"/>
      <c r="NXJ66" s="10"/>
      <c r="NXK66" s="10"/>
      <c r="NXL66" s="10"/>
      <c r="NXM66" s="10"/>
      <c r="NXN66" s="10"/>
      <c r="NXO66" s="10"/>
      <c r="NXP66" s="10"/>
      <c r="NXQ66" s="10"/>
      <c r="NXR66" s="10"/>
      <c r="NXS66" s="10"/>
      <c r="NXT66" s="10"/>
      <c r="NXU66" s="10"/>
      <c r="NXV66" s="10"/>
      <c r="NXW66" s="10"/>
      <c r="NXX66" s="10"/>
      <c r="NXY66" s="10"/>
      <c r="NXZ66" s="10"/>
      <c r="NYA66" s="10"/>
      <c r="NYB66" s="10"/>
      <c r="NYC66" s="10"/>
      <c r="NYD66" s="10"/>
      <c r="NYE66" s="10"/>
      <c r="NYF66" s="10"/>
      <c r="NYG66" s="10"/>
      <c r="NYH66" s="10"/>
      <c r="NYI66" s="10"/>
      <c r="NYJ66" s="10"/>
      <c r="NYK66" s="10"/>
      <c r="NYL66" s="10"/>
      <c r="NYM66" s="10"/>
      <c r="NYN66" s="10"/>
      <c r="NYO66" s="10"/>
      <c r="NYP66" s="10"/>
      <c r="NYQ66" s="10"/>
      <c r="NYR66" s="10"/>
      <c r="NYS66" s="10"/>
      <c r="NYT66" s="10"/>
      <c r="NYU66" s="10"/>
      <c r="NYV66" s="10"/>
      <c r="NYW66" s="10"/>
      <c r="NYX66" s="10"/>
      <c r="NYY66" s="10"/>
      <c r="NYZ66" s="10"/>
      <c r="NZA66" s="10"/>
      <c r="NZB66" s="10"/>
      <c r="NZC66" s="10"/>
      <c r="NZD66" s="10"/>
      <c r="NZE66" s="10"/>
      <c r="NZF66" s="10"/>
      <c r="NZG66" s="10"/>
      <c r="NZH66" s="10"/>
      <c r="NZI66" s="10"/>
      <c r="NZJ66" s="10"/>
      <c r="NZK66" s="10"/>
      <c r="NZL66" s="10"/>
      <c r="NZM66" s="10"/>
      <c r="NZN66" s="10"/>
      <c r="NZO66" s="10"/>
      <c r="NZP66" s="10"/>
      <c r="NZQ66" s="10"/>
      <c r="NZR66" s="10"/>
      <c r="NZS66" s="10"/>
      <c r="NZT66" s="10"/>
      <c r="NZU66" s="10"/>
      <c r="NZV66" s="10"/>
      <c r="NZW66" s="10"/>
      <c r="NZX66" s="10"/>
      <c r="NZY66" s="10"/>
      <c r="NZZ66" s="10"/>
      <c r="OAA66" s="10"/>
      <c r="OAB66" s="10"/>
      <c r="OAC66" s="10"/>
      <c r="OAD66" s="10"/>
      <c r="OAE66" s="10"/>
      <c r="OAF66" s="10"/>
      <c r="OAG66" s="10"/>
      <c r="OAH66" s="10"/>
      <c r="OAI66" s="10"/>
      <c r="OAJ66" s="10"/>
      <c r="OAK66" s="10"/>
      <c r="OAL66" s="10"/>
      <c r="OAM66" s="10"/>
      <c r="OAN66" s="10"/>
      <c r="OAO66" s="10"/>
      <c r="OAP66" s="10"/>
      <c r="OAQ66" s="10"/>
      <c r="OAR66" s="10"/>
      <c r="OAS66" s="10"/>
      <c r="OAT66" s="10"/>
      <c r="OAU66" s="10"/>
      <c r="OAV66" s="10"/>
      <c r="OAW66" s="10"/>
      <c r="OAX66" s="10"/>
      <c r="OAY66" s="10"/>
      <c r="OAZ66" s="10"/>
      <c r="OBA66" s="10"/>
      <c r="OBB66" s="10"/>
      <c r="OBC66" s="10"/>
      <c r="OBD66" s="10"/>
      <c r="OBE66" s="10"/>
      <c r="OBF66" s="10"/>
      <c r="OBG66" s="10"/>
      <c r="OBH66" s="10"/>
      <c r="OBI66" s="10"/>
      <c r="OBJ66" s="10"/>
      <c r="OBK66" s="10"/>
      <c r="OBL66" s="10"/>
      <c r="OBM66" s="10"/>
      <c r="OBN66" s="10"/>
      <c r="OBO66" s="10"/>
      <c r="OBP66" s="10"/>
      <c r="OBQ66" s="10"/>
      <c r="OBR66" s="10"/>
      <c r="OBS66" s="10"/>
      <c r="OBT66" s="10"/>
      <c r="OBU66" s="10"/>
      <c r="OBV66" s="10"/>
      <c r="OBW66" s="10"/>
      <c r="OBX66" s="10"/>
      <c r="OBY66" s="10"/>
      <c r="OBZ66" s="10"/>
      <c r="OCA66" s="10"/>
      <c r="OCB66" s="10"/>
      <c r="OCC66" s="10"/>
      <c r="OCD66" s="10"/>
      <c r="OCE66" s="10"/>
      <c r="OCF66" s="10"/>
      <c r="OCG66" s="10"/>
      <c r="OCH66" s="10"/>
      <c r="OCI66" s="10"/>
      <c r="OCJ66" s="10"/>
      <c r="OCK66" s="10"/>
      <c r="OCL66" s="10"/>
      <c r="OCM66" s="10"/>
      <c r="OCN66" s="10"/>
      <c r="OCO66" s="10"/>
      <c r="OCP66" s="10"/>
      <c r="OCQ66" s="10"/>
      <c r="OCR66" s="10"/>
      <c r="OCS66" s="10"/>
      <c r="OCT66" s="10"/>
      <c r="OCU66" s="10"/>
      <c r="OCV66" s="10"/>
      <c r="OCW66" s="10"/>
      <c r="OCX66" s="10"/>
      <c r="OCY66" s="10"/>
      <c r="OCZ66" s="10"/>
      <c r="ODA66" s="10"/>
      <c r="ODB66" s="10"/>
      <c r="ODC66" s="10"/>
      <c r="ODD66" s="10"/>
      <c r="ODE66" s="10"/>
      <c r="ODF66" s="10"/>
      <c r="ODG66" s="10"/>
      <c r="ODH66" s="10"/>
      <c r="ODI66" s="10"/>
      <c r="ODJ66" s="10"/>
      <c r="ODK66" s="10"/>
      <c r="ODL66" s="10"/>
      <c r="ODM66" s="10"/>
      <c r="ODN66" s="10"/>
      <c r="ODO66" s="10"/>
      <c r="ODP66" s="10"/>
      <c r="ODQ66" s="10"/>
      <c r="ODR66" s="10"/>
      <c r="ODS66" s="10"/>
      <c r="ODT66" s="10"/>
      <c r="ODU66" s="10"/>
      <c r="ODV66" s="10"/>
      <c r="ODW66" s="10"/>
      <c r="ODX66" s="10"/>
      <c r="ODY66" s="10"/>
      <c r="ODZ66" s="10"/>
      <c r="OEA66" s="10"/>
      <c r="OEB66" s="10"/>
      <c r="OEC66" s="10"/>
      <c r="OED66" s="10"/>
      <c r="OEE66" s="10"/>
      <c r="OEF66" s="10"/>
      <c r="OEG66" s="10"/>
      <c r="OEH66" s="10"/>
      <c r="OEI66" s="10"/>
      <c r="OEJ66" s="10"/>
      <c r="OEK66" s="10"/>
      <c r="OEL66" s="10"/>
      <c r="OEM66" s="10"/>
      <c r="OEN66" s="10"/>
      <c r="OEO66" s="10"/>
      <c r="OEP66" s="10"/>
      <c r="OEQ66" s="10"/>
      <c r="OER66" s="10"/>
      <c r="OES66" s="10"/>
      <c r="OET66" s="10"/>
      <c r="OEU66" s="10"/>
      <c r="OEV66" s="10"/>
      <c r="OEW66" s="10"/>
      <c r="OEX66" s="10"/>
      <c r="OEY66" s="10"/>
      <c r="OEZ66" s="10"/>
      <c r="OFA66" s="10"/>
      <c r="OFB66" s="10"/>
      <c r="OFC66" s="10"/>
      <c r="OFD66" s="10"/>
      <c r="OFE66" s="10"/>
      <c r="OFF66" s="10"/>
      <c r="OFG66" s="10"/>
      <c r="OFH66" s="10"/>
      <c r="OFI66" s="10"/>
      <c r="OFJ66" s="10"/>
      <c r="OFK66" s="10"/>
      <c r="OFL66" s="10"/>
      <c r="OFM66" s="10"/>
      <c r="OFN66" s="10"/>
      <c r="OFO66" s="10"/>
      <c r="OFP66" s="10"/>
      <c r="OFQ66" s="10"/>
      <c r="OFR66" s="10"/>
      <c r="OFS66" s="10"/>
      <c r="OFT66" s="10"/>
      <c r="OFU66" s="10"/>
      <c r="OFV66" s="10"/>
      <c r="OFW66" s="10"/>
      <c r="OFX66" s="10"/>
      <c r="OFY66" s="10"/>
      <c r="OFZ66" s="10"/>
      <c r="OGA66" s="10"/>
      <c r="OGB66" s="10"/>
      <c r="OGC66" s="10"/>
      <c r="OGD66" s="10"/>
      <c r="OGE66" s="10"/>
      <c r="OGF66" s="10"/>
      <c r="OGG66" s="10"/>
      <c r="OGH66" s="10"/>
      <c r="OGI66" s="10"/>
      <c r="OGJ66" s="10"/>
      <c r="OGK66" s="10"/>
      <c r="OGL66" s="10"/>
      <c r="OGM66" s="10"/>
      <c r="OGN66" s="10"/>
      <c r="OGO66" s="10"/>
      <c r="OGP66" s="10"/>
      <c r="OGQ66" s="10"/>
      <c r="OGR66" s="10"/>
      <c r="OGS66" s="10"/>
      <c r="OGT66" s="10"/>
      <c r="OGU66" s="10"/>
      <c r="OGV66" s="10"/>
      <c r="OGW66" s="10"/>
      <c r="OGX66" s="10"/>
      <c r="OGY66" s="10"/>
      <c r="OGZ66" s="10"/>
      <c r="OHA66" s="10"/>
      <c r="OHB66" s="10"/>
      <c r="OHC66" s="10"/>
      <c r="OHD66" s="10"/>
      <c r="OHE66" s="10"/>
      <c r="OHF66" s="10"/>
      <c r="OHG66" s="10"/>
      <c r="OHH66" s="10"/>
      <c r="OHI66" s="10"/>
      <c r="OHJ66" s="10"/>
      <c r="OHK66" s="10"/>
      <c r="OHL66" s="10"/>
      <c r="OHM66" s="10"/>
      <c r="OHN66" s="10"/>
      <c r="OHO66" s="10"/>
      <c r="OHP66" s="10"/>
      <c r="OHQ66" s="10"/>
      <c r="OHR66" s="10"/>
      <c r="OHS66" s="10"/>
      <c r="OHT66" s="10"/>
      <c r="OHU66" s="10"/>
      <c r="OHV66" s="10"/>
      <c r="OHW66" s="10"/>
      <c r="OHX66" s="10"/>
      <c r="OHY66" s="10"/>
      <c r="OHZ66" s="10"/>
      <c r="OIA66" s="10"/>
      <c r="OIB66" s="10"/>
      <c r="OIC66" s="10"/>
      <c r="OID66" s="10"/>
      <c r="OIE66" s="10"/>
      <c r="OIF66" s="10"/>
      <c r="OIG66" s="10"/>
      <c r="OIH66" s="10"/>
      <c r="OII66" s="10"/>
      <c r="OIJ66" s="10"/>
      <c r="OIK66" s="10"/>
      <c r="OIL66" s="10"/>
      <c r="OIM66" s="10"/>
      <c r="OIN66" s="10"/>
      <c r="OIO66" s="10"/>
      <c r="OIP66" s="10"/>
      <c r="OIQ66" s="10"/>
      <c r="OIR66" s="10"/>
      <c r="OIS66" s="10"/>
      <c r="OIT66" s="10"/>
      <c r="OIU66" s="10"/>
      <c r="OIV66" s="10"/>
      <c r="OIW66" s="10"/>
      <c r="OIX66" s="10"/>
      <c r="OIY66" s="10"/>
      <c r="OIZ66" s="10"/>
      <c r="OJA66" s="10"/>
      <c r="OJB66" s="10"/>
      <c r="OJC66" s="10"/>
      <c r="OJD66" s="10"/>
      <c r="OJE66" s="10"/>
      <c r="OJF66" s="10"/>
      <c r="OJG66" s="10"/>
      <c r="OJH66" s="10"/>
      <c r="OJI66" s="10"/>
      <c r="OJJ66" s="10"/>
      <c r="OJK66" s="10"/>
      <c r="OJL66" s="10"/>
      <c r="OJM66" s="10"/>
      <c r="OJN66" s="10"/>
      <c r="OJO66" s="10"/>
      <c r="OJP66" s="10"/>
      <c r="OJQ66" s="10"/>
      <c r="OJR66" s="10"/>
      <c r="OJS66" s="10"/>
      <c r="OJT66" s="10"/>
      <c r="OJU66" s="10"/>
      <c r="OJV66" s="10"/>
      <c r="OJW66" s="10"/>
      <c r="OJX66" s="10"/>
      <c r="OJY66" s="10"/>
      <c r="OJZ66" s="10"/>
      <c r="OKA66" s="10"/>
      <c r="OKB66" s="10"/>
      <c r="OKC66" s="10"/>
      <c r="OKD66" s="10"/>
      <c r="OKE66" s="10"/>
      <c r="OKF66" s="10"/>
      <c r="OKG66" s="10"/>
      <c r="OKH66" s="10"/>
      <c r="OKI66" s="10"/>
      <c r="OKJ66" s="10"/>
      <c r="OKK66" s="10"/>
      <c r="OKL66" s="10"/>
      <c r="OKM66" s="10"/>
      <c r="OKN66" s="10"/>
      <c r="OKO66" s="10"/>
      <c r="OKP66" s="10"/>
      <c r="OKQ66" s="10"/>
      <c r="OKR66" s="10"/>
      <c r="OKS66" s="10"/>
      <c r="OKT66" s="10"/>
      <c r="OKU66" s="10"/>
      <c r="OKV66" s="10"/>
      <c r="OKW66" s="10"/>
      <c r="OKX66" s="10"/>
      <c r="OKY66" s="10"/>
      <c r="OKZ66" s="10"/>
      <c r="OLA66" s="10"/>
      <c r="OLB66" s="10"/>
      <c r="OLC66" s="10"/>
      <c r="OLD66" s="10"/>
      <c r="OLE66" s="10"/>
      <c r="OLF66" s="10"/>
      <c r="OLG66" s="10"/>
      <c r="OLH66" s="10"/>
      <c r="OLI66" s="10"/>
      <c r="OLJ66" s="10"/>
      <c r="OLK66" s="10"/>
      <c r="OLL66" s="10"/>
      <c r="OLM66" s="10"/>
      <c r="OLN66" s="10"/>
      <c r="OLO66" s="10"/>
      <c r="OLP66" s="10"/>
      <c r="OLQ66" s="10"/>
      <c r="OLR66" s="10"/>
      <c r="OLS66" s="10"/>
      <c r="OLT66" s="10"/>
      <c r="OLU66" s="10"/>
      <c r="OLV66" s="10"/>
      <c r="OLW66" s="10"/>
      <c r="OLX66" s="10"/>
      <c r="OLY66" s="10"/>
      <c r="OLZ66" s="10"/>
      <c r="OMA66" s="10"/>
      <c r="OMB66" s="10"/>
      <c r="OMC66" s="10"/>
      <c r="OMD66" s="10"/>
      <c r="OME66" s="10"/>
      <c r="OMF66" s="10"/>
      <c r="OMG66" s="10"/>
      <c r="OMH66" s="10"/>
      <c r="OMI66" s="10"/>
      <c r="OMJ66" s="10"/>
      <c r="OMK66" s="10"/>
      <c r="OML66" s="10"/>
      <c r="OMM66" s="10"/>
      <c r="OMN66" s="10"/>
      <c r="OMO66" s="10"/>
      <c r="OMP66" s="10"/>
      <c r="OMQ66" s="10"/>
      <c r="OMR66" s="10"/>
      <c r="OMS66" s="10"/>
      <c r="OMT66" s="10"/>
      <c r="OMU66" s="10"/>
      <c r="OMV66" s="10"/>
      <c r="OMW66" s="10"/>
      <c r="OMX66" s="10"/>
      <c r="OMY66" s="10"/>
      <c r="OMZ66" s="10"/>
      <c r="ONA66" s="10"/>
      <c r="ONB66" s="10"/>
      <c r="ONC66" s="10"/>
      <c r="OND66" s="10"/>
      <c r="ONE66" s="10"/>
      <c r="ONF66" s="10"/>
      <c r="ONG66" s="10"/>
      <c r="ONH66" s="10"/>
      <c r="ONI66" s="10"/>
      <c r="ONJ66" s="10"/>
      <c r="ONK66" s="10"/>
      <c r="ONL66" s="10"/>
      <c r="ONM66" s="10"/>
      <c r="ONN66" s="10"/>
      <c r="ONO66" s="10"/>
      <c r="ONP66" s="10"/>
      <c r="ONQ66" s="10"/>
      <c r="ONR66" s="10"/>
      <c r="ONS66" s="10"/>
      <c r="ONT66" s="10"/>
      <c r="ONU66" s="10"/>
      <c r="ONV66" s="10"/>
      <c r="ONW66" s="10"/>
      <c r="ONX66" s="10"/>
      <c r="ONY66" s="10"/>
      <c r="ONZ66" s="10"/>
      <c r="OOA66" s="10"/>
      <c r="OOB66" s="10"/>
      <c r="OOC66" s="10"/>
      <c r="OOD66" s="10"/>
      <c r="OOE66" s="10"/>
      <c r="OOF66" s="10"/>
      <c r="OOG66" s="10"/>
      <c r="OOH66" s="10"/>
      <c r="OOI66" s="10"/>
      <c r="OOJ66" s="10"/>
      <c r="OOK66" s="10"/>
      <c r="OOL66" s="10"/>
      <c r="OOM66" s="10"/>
      <c r="OON66" s="10"/>
      <c r="OOO66" s="10"/>
      <c r="OOP66" s="10"/>
      <c r="OOQ66" s="10"/>
      <c r="OOR66" s="10"/>
      <c r="OOS66" s="10"/>
      <c r="OOT66" s="10"/>
      <c r="OOU66" s="10"/>
      <c r="OOV66" s="10"/>
      <c r="OOW66" s="10"/>
      <c r="OOX66" s="10"/>
      <c r="OOY66" s="10"/>
      <c r="OOZ66" s="10"/>
      <c r="OPA66" s="10"/>
      <c r="OPB66" s="10"/>
      <c r="OPC66" s="10"/>
      <c r="OPD66" s="10"/>
      <c r="OPE66" s="10"/>
      <c r="OPF66" s="10"/>
      <c r="OPG66" s="10"/>
      <c r="OPH66" s="10"/>
      <c r="OPI66" s="10"/>
      <c r="OPJ66" s="10"/>
      <c r="OPK66" s="10"/>
      <c r="OPL66" s="10"/>
      <c r="OPM66" s="10"/>
      <c r="OPN66" s="10"/>
      <c r="OPO66" s="10"/>
      <c r="OPP66" s="10"/>
      <c r="OPQ66" s="10"/>
      <c r="OPR66" s="10"/>
      <c r="OPS66" s="10"/>
      <c r="OPT66" s="10"/>
      <c r="OPU66" s="10"/>
      <c r="OPV66" s="10"/>
      <c r="OPW66" s="10"/>
      <c r="OPX66" s="10"/>
      <c r="OPY66" s="10"/>
      <c r="OPZ66" s="10"/>
      <c r="OQA66" s="10"/>
      <c r="OQB66" s="10"/>
      <c r="OQC66" s="10"/>
      <c r="OQD66" s="10"/>
      <c r="OQE66" s="10"/>
      <c r="OQF66" s="10"/>
      <c r="OQG66" s="10"/>
      <c r="OQH66" s="10"/>
      <c r="OQI66" s="10"/>
      <c r="OQJ66" s="10"/>
      <c r="OQK66" s="10"/>
      <c r="OQL66" s="10"/>
      <c r="OQM66" s="10"/>
      <c r="OQN66" s="10"/>
      <c r="OQO66" s="10"/>
      <c r="OQP66" s="10"/>
      <c r="OQQ66" s="10"/>
      <c r="OQR66" s="10"/>
      <c r="OQS66" s="10"/>
      <c r="OQT66" s="10"/>
      <c r="OQU66" s="10"/>
      <c r="OQV66" s="10"/>
      <c r="OQW66" s="10"/>
      <c r="OQX66" s="10"/>
      <c r="OQY66" s="10"/>
      <c r="OQZ66" s="10"/>
      <c r="ORA66" s="10"/>
      <c r="ORB66" s="10"/>
      <c r="ORC66" s="10"/>
      <c r="ORD66" s="10"/>
      <c r="ORE66" s="10"/>
      <c r="ORF66" s="10"/>
      <c r="ORG66" s="10"/>
      <c r="ORH66" s="10"/>
      <c r="ORI66" s="10"/>
      <c r="ORJ66" s="10"/>
      <c r="ORK66" s="10"/>
      <c r="ORL66" s="10"/>
      <c r="ORM66" s="10"/>
      <c r="ORN66" s="10"/>
      <c r="ORO66" s="10"/>
      <c r="ORP66" s="10"/>
      <c r="ORQ66" s="10"/>
      <c r="ORR66" s="10"/>
      <c r="ORS66" s="10"/>
      <c r="ORT66" s="10"/>
      <c r="ORU66" s="10"/>
      <c r="ORV66" s="10"/>
      <c r="ORW66" s="10"/>
      <c r="ORX66" s="10"/>
      <c r="ORY66" s="10"/>
      <c r="ORZ66" s="10"/>
      <c r="OSA66" s="10"/>
      <c r="OSB66" s="10"/>
      <c r="OSC66" s="10"/>
      <c r="OSD66" s="10"/>
      <c r="OSE66" s="10"/>
      <c r="OSF66" s="10"/>
      <c r="OSG66" s="10"/>
      <c r="OSH66" s="10"/>
      <c r="OSI66" s="10"/>
      <c r="OSJ66" s="10"/>
      <c r="OSK66" s="10"/>
      <c r="OSL66" s="10"/>
      <c r="OSM66" s="10"/>
      <c r="OSN66" s="10"/>
      <c r="OSO66" s="10"/>
      <c r="OSP66" s="10"/>
      <c r="OSQ66" s="10"/>
      <c r="OSR66" s="10"/>
      <c r="OSS66" s="10"/>
      <c r="OST66" s="10"/>
      <c r="OSU66" s="10"/>
      <c r="OSV66" s="10"/>
      <c r="OSW66" s="10"/>
      <c r="OSX66" s="10"/>
      <c r="OSY66" s="10"/>
      <c r="OSZ66" s="10"/>
      <c r="OTA66" s="10"/>
      <c r="OTB66" s="10"/>
      <c r="OTC66" s="10"/>
      <c r="OTD66" s="10"/>
      <c r="OTE66" s="10"/>
      <c r="OTF66" s="10"/>
      <c r="OTG66" s="10"/>
      <c r="OTH66" s="10"/>
      <c r="OTI66" s="10"/>
      <c r="OTJ66" s="10"/>
      <c r="OTK66" s="10"/>
      <c r="OTL66" s="10"/>
      <c r="OTM66" s="10"/>
      <c r="OTN66" s="10"/>
      <c r="OTO66" s="10"/>
      <c r="OTP66" s="10"/>
      <c r="OTQ66" s="10"/>
      <c r="OTR66" s="10"/>
      <c r="OTS66" s="10"/>
      <c r="OTT66" s="10"/>
      <c r="OTU66" s="10"/>
      <c r="OTV66" s="10"/>
      <c r="OTW66" s="10"/>
      <c r="OTX66" s="10"/>
      <c r="OTY66" s="10"/>
      <c r="OTZ66" s="10"/>
      <c r="OUA66" s="10"/>
      <c r="OUB66" s="10"/>
      <c r="OUC66" s="10"/>
      <c r="OUD66" s="10"/>
      <c r="OUE66" s="10"/>
      <c r="OUF66" s="10"/>
      <c r="OUG66" s="10"/>
      <c r="OUH66" s="10"/>
      <c r="OUI66" s="10"/>
      <c r="OUJ66" s="10"/>
      <c r="OUK66" s="10"/>
      <c r="OUL66" s="10"/>
      <c r="OUM66" s="10"/>
      <c r="OUN66" s="10"/>
      <c r="OUO66" s="10"/>
      <c r="OUP66" s="10"/>
      <c r="OUQ66" s="10"/>
      <c r="OUR66" s="10"/>
      <c r="OUS66" s="10"/>
      <c r="OUT66" s="10"/>
      <c r="OUU66" s="10"/>
      <c r="OUV66" s="10"/>
      <c r="OUW66" s="10"/>
      <c r="OUX66" s="10"/>
      <c r="OUY66" s="10"/>
      <c r="OUZ66" s="10"/>
      <c r="OVA66" s="10"/>
      <c r="OVB66" s="10"/>
      <c r="OVC66" s="10"/>
      <c r="OVD66" s="10"/>
      <c r="OVE66" s="10"/>
      <c r="OVF66" s="10"/>
      <c r="OVG66" s="10"/>
      <c r="OVH66" s="10"/>
      <c r="OVI66" s="10"/>
      <c r="OVJ66" s="10"/>
      <c r="OVK66" s="10"/>
      <c r="OVL66" s="10"/>
      <c r="OVM66" s="10"/>
      <c r="OVN66" s="10"/>
      <c r="OVO66" s="10"/>
      <c r="OVP66" s="10"/>
      <c r="OVQ66" s="10"/>
      <c r="OVR66" s="10"/>
      <c r="OVS66" s="10"/>
      <c r="OVT66" s="10"/>
      <c r="OVU66" s="10"/>
      <c r="OVV66" s="10"/>
      <c r="OVW66" s="10"/>
      <c r="OVX66" s="10"/>
      <c r="OVY66" s="10"/>
      <c r="OVZ66" s="10"/>
      <c r="OWA66" s="10"/>
      <c r="OWB66" s="10"/>
      <c r="OWC66" s="10"/>
      <c r="OWD66" s="10"/>
      <c r="OWE66" s="10"/>
      <c r="OWF66" s="10"/>
      <c r="OWG66" s="10"/>
      <c r="OWH66" s="10"/>
      <c r="OWI66" s="10"/>
      <c r="OWJ66" s="10"/>
      <c r="OWK66" s="10"/>
      <c r="OWL66" s="10"/>
      <c r="OWM66" s="10"/>
      <c r="OWN66" s="10"/>
      <c r="OWO66" s="10"/>
      <c r="OWP66" s="10"/>
      <c r="OWQ66" s="10"/>
      <c r="OWR66" s="10"/>
      <c r="OWS66" s="10"/>
      <c r="OWT66" s="10"/>
      <c r="OWU66" s="10"/>
      <c r="OWV66" s="10"/>
      <c r="OWW66" s="10"/>
      <c r="OWX66" s="10"/>
      <c r="OWY66" s="10"/>
      <c r="OWZ66" s="10"/>
      <c r="OXA66" s="10"/>
      <c r="OXB66" s="10"/>
      <c r="OXC66" s="10"/>
      <c r="OXD66" s="10"/>
      <c r="OXE66" s="10"/>
      <c r="OXF66" s="10"/>
      <c r="OXG66" s="10"/>
      <c r="OXH66" s="10"/>
      <c r="OXI66" s="10"/>
      <c r="OXJ66" s="10"/>
      <c r="OXK66" s="10"/>
      <c r="OXL66" s="10"/>
      <c r="OXM66" s="10"/>
      <c r="OXN66" s="10"/>
      <c r="OXO66" s="10"/>
      <c r="OXP66" s="10"/>
      <c r="OXQ66" s="10"/>
      <c r="OXR66" s="10"/>
      <c r="OXS66" s="10"/>
      <c r="OXT66" s="10"/>
      <c r="OXU66" s="10"/>
      <c r="OXV66" s="10"/>
      <c r="OXW66" s="10"/>
      <c r="OXX66" s="10"/>
      <c r="OXY66" s="10"/>
      <c r="OXZ66" s="10"/>
      <c r="OYA66" s="10"/>
      <c r="OYB66" s="10"/>
      <c r="OYC66" s="10"/>
      <c r="OYD66" s="10"/>
      <c r="OYE66" s="10"/>
      <c r="OYF66" s="10"/>
      <c r="OYG66" s="10"/>
      <c r="OYH66" s="10"/>
      <c r="OYI66" s="10"/>
      <c r="OYJ66" s="10"/>
      <c r="OYK66" s="10"/>
      <c r="OYL66" s="10"/>
      <c r="OYM66" s="10"/>
      <c r="OYN66" s="10"/>
      <c r="OYO66" s="10"/>
      <c r="OYP66" s="10"/>
      <c r="OYQ66" s="10"/>
      <c r="OYR66" s="10"/>
      <c r="OYS66" s="10"/>
      <c r="OYT66" s="10"/>
      <c r="OYU66" s="10"/>
      <c r="OYV66" s="10"/>
      <c r="OYW66" s="10"/>
      <c r="OYX66" s="10"/>
      <c r="OYY66" s="10"/>
      <c r="OYZ66" s="10"/>
      <c r="OZA66" s="10"/>
      <c r="OZB66" s="10"/>
      <c r="OZC66" s="10"/>
      <c r="OZD66" s="10"/>
      <c r="OZE66" s="10"/>
      <c r="OZF66" s="10"/>
      <c r="OZG66" s="10"/>
      <c r="OZH66" s="10"/>
      <c r="OZI66" s="10"/>
      <c r="OZJ66" s="10"/>
      <c r="OZK66" s="10"/>
      <c r="OZL66" s="10"/>
      <c r="OZM66" s="10"/>
      <c r="OZN66" s="10"/>
      <c r="OZO66" s="10"/>
      <c r="OZP66" s="10"/>
      <c r="OZQ66" s="10"/>
      <c r="OZR66" s="10"/>
      <c r="OZS66" s="10"/>
      <c r="OZT66" s="10"/>
      <c r="OZU66" s="10"/>
      <c r="OZV66" s="10"/>
      <c r="OZW66" s="10"/>
      <c r="OZX66" s="10"/>
      <c r="OZY66" s="10"/>
      <c r="OZZ66" s="10"/>
      <c r="PAA66" s="10"/>
      <c r="PAB66" s="10"/>
      <c r="PAC66" s="10"/>
      <c r="PAD66" s="10"/>
      <c r="PAE66" s="10"/>
      <c r="PAF66" s="10"/>
      <c r="PAG66" s="10"/>
      <c r="PAH66" s="10"/>
      <c r="PAI66" s="10"/>
      <c r="PAJ66" s="10"/>
      <c r="PAK66" s="10"/>
      <c r="PAL66" s="10"/>
      <c r="PAM66" s="10"/>
      <c r="PAN66" s="10"/>
      <c r="PAO66" s="10"/>
      <c r="PAP66" s="10"/>
      <c r="PAQ66" s="10"/>
      <c r="PAR66" s="10"/>
      <c r="PAS66" s="10"/>
      <c r="PAT66" s="10"/>
      <c r="PAU66" s="10"/>
      <c r="PAV66" s="10"/>
      <c r="PAW66" s="10"/>
      <c r="PAX66" s="10"/>
      <c r="PAY66" s="10"/>
      <c r="PAZ66" s="10"/>
      <c r="PBA66" s="10"/>
      <c r="PBB66" s="10"/>
      <c r="PBC66" s="10"/>
      <c r="PBD66" s="10"/>
      <c r="PBE66" s="10"/>
      <c r="PBF66" s="10"/>
      <c r="PBG66" s="10"/>
      <c r="PBH66" s="10"/>
      <c r="PBI66" s="10"/>
      <c r="PBJ66" s="10"/>
      <c r="PBK66" s="10"/>
      <c r="PBL66" s="10"/>
      <c r="PBM66" s="10"/>
      <c r="PBN66" s="10"/>
      <c r="PBO66" s="10"/>
      <c r="PBP66" s="10"/>
      <c r="PBQ66" s="10"/>
      <c r="PBR66" s="10"/>
      <c r="PBS66" s="10"/>
      <c r="PBT66" s="10"/>
      <c r="PBU66" s="10"/>
      <c r="PBV66" s="10"/>
      <c r="PBW66" s="10"/>
      <c r="PBX66" s="10"/>
      <c r="PBY66" s="10"/>
      <c r="PBZ66" s="10"/>
      <c r="PCA66" s="10"/>
      <c r="PCB66" s="10"/>
      <c r="PCC66" s="10"/>
      <c r="PCD66" s="10"/>
      <c r="PCE66" s="10"/>
      <c r="PCF66" s="10"/>
      <c r="PCG66" s="10"/>
      <c r="PCH66" s="10"/>
      <c r="PCI66" s="10"/>
      <c r="PCJ66" s="10"/>
      <c r="PCK66" s="10"/>
      <c r="PCL66" s="10"/>
      <c r="PCM66" s="10"/>
      <c r="PCN66" s="10"/>
      <c r="PCO66" s="10"/>
      <c r="PCP66" s="10"/>
      <c r="PCQ66" s="10"/>
      <c r="PCR66" s="10"/>
      <c r="PCS66" s="10"/>
      <c r="PCT66" s="10"/>
      <c r="PCU66" s="10"/>
      <c r="PCV66" s="10"/>
      <c r="PCW66" s="10"/>
      <c r="PCX66" s="10"/>
      <c r="PCY66" s="10"/>
      <c r="PCZ66" s="10"/>
      <c r="PDA66" s="10"/>
      <c r="PDB66" s="10"/>
      <c r="PDC66" s="10"/>
      <c r="PDD66" s="10"/>
      <c r="PDE66" s="10"/>
      <c r="PDF66" s="10"/>
      <c r="PDG66" s="10"/>
      <c r="PDH66" s="10"/>
      <c r="PDI66" s="10"/>
      <c r="PDJ66" s="10"/>
      <c r="PDK66" s="10"/>
      <c r="PDL66" s="10"/>
      <c r="PDM66" s="10"/>
      <c r="PDN66" s="10"/>
      <c r="PDO66" s="10"/>
      <c r="PDP66" s="10"/>
      <c r="PDQ66" s="10"/>
      <c r="PDR66" s="10"/>
      <c r="PDS66" s="10"/>
      <c r="PDT66" s="10"/>
      <c r="PDU66" s="10"/>
      <c r="PDV66" s="10"/>
      <c r="PDW66" s="10"/>
      <c r="PDX66" s="10"/>
      <c r="PDY66" s="10"/>
      <c r="PDZ66" s="10"/>
      <c r="PEA66" s="10"/>
      <c r="PEB66" s="10"/>
      <c r="PEC66" s="10"/>
      <c r="PED66" s="10"/>
      <c r="PEE66" s="10"/>
      <c r="PEF66" s="10"/>
      <c r="PEG66" s="10"/>
      <c r="PEH66" s="10"/>
      <c r="PEI66" s="10"/>
      <c r="PEJ66" s="10"/>
      <c r="PEK66" s="10"/>
      <c r="PEL66" s="10"/>
      <c r="PEM66" s="10"/>
      <c r="PEN66" s="10"/>
      <c r="PEO66" s="10"/>
      <c r="PEP66" s="10"/>
      <c r="PEQ66" s="10"/>
      <c r="PER66" s="10"/>
      <c r="PES66" s="10"/>
      <c r="PET66" s="10"/>
      <c r="PEU66" s="10"/>
      <c r="PEV66" s="10"/>
      <c r="PEW66" s="10"/>
      <c r="PEX66" s="10"/>
      <c r="PEY66" s="10"/>
      <c r="PEZ66" s="10"/>
      <c r="PFA66" s="10"/>
      <c r="PFB66" s="10"/>
      <c r="PFC66" s="10"/>
      <c r="PFD66" s="10"/>
      <c r="PFE66" s="10"/>
      <c r="PFF66" s="10"/>
      <c r="PFG66" s="10"/>
      <c r="PFH66" s="10"/>
      <c r="PFI66" s="10"/>
      <c r="PFJ66" s="10"/>
      <c r="PFK66" s="10"/>
      <c r="PFL66" s="10"/>
      <c r="PFM66" s="10"/>
      <c r="PFN66" s="10"/>
      <c r="PFO66" s="10"/>
      <c r="PFP66" s="10"/>
      <c r="PFQ66" s="10"/>
      <c r="PFR66" s="10"/>
      <c r="PFS66" s="10"/>
      <c r="PFT66" s="10"/>
      <c r="PFU66" s="10"/>
      <c r="PFV66" s="10"/>
      <c r="PFW66" s="10"/>
      <c r="PFX66" s="10"/>
      <c r="PFY66" s="10"/>
      <c r="PFZ66" s="10"/>
      <c r="PGA66" s="10"/>
      <c r="PGB66" s="10"/>
      <c r="PGC66" s="10"/>
      <c r="PGD66" s="10"/>
      <c r="PGE66" s="10"/>
      <c r="PGF66" s="10"/>
      <c r="PGG66" s="10"/>
      <c r="PGH66" s="10"/>
      <c r="PGI66" s="10"/>
      <c r="PGJ66" s="10"/>
      <c r="PGK66" s="10"/>
      <c r="PGL66" s="10"/>
      <c r="PGM66" s="10"/>
      <c r="PGN66" s="10"/>
      <c r="PGO66" s="10"/>
      <c r="PGP66" s="10"/>
      <c r="PGQ66" s="10"/>
      <c r="PGR66" s="10"/>
      <c r="PGS66" s="10"/>
      <c r="PGT66" s="10"/>
      <c r="PGU66" s="10"/>
      <c r="PGV66" s="10"/>
      <c r="PGW66" s="10"/>
      <c r="PGX66" s="10"/>
      <c r="PGY66" s="10"/>
      <c r="PGZ66" s="10"/>
      <c r="PHA66" s="10"/>
      <c r="PHB66" s="10"/>
      <c r="PHC66" s="10"/>
      <c r="PHD66" s="10"/>
      <c r="PHE66" s="10"/>
      <c r="PHF66" s="10"/>
      <c r="PHG66" s="10"/>
      <c r="PHH66" s="10"/>
      <c r="PHI66" s="10"/>
      <c r="PHJ66" s="10"/>
      <c r="PHK66" s="10"/>
      <c r="PHL66" s="10"/>
      <c r="PHM66" s="10"/>
      <c r="PHN66" s="10"/>
      <c r="PHO66" s="10"/>
      <c r="PHP66" s="10"/>
      <c r="PHQ66" s="10"/>
      <c r="PHR66" s="10"/>
      <c r="PHS66" s="10"/>
      <c r="PHT66" s="10"/>
      <c r="PHU66" s="10"/>
      <c r="PHV66" s="10"/>
      <c r="PHW66" s="10"/>
      <c r="PHX66" s="10"/>
      <c r="PHY66" s="10"/>
      <c r="PHZ66" s="10"/>
      <c r="PIA66" s="10"/>
      <c r="PIB66" s="10"/>
      <c r="PIC66" s="10"/>
      <c r="PID66" s="10"/>
      <c r="PIE66" s="10"/>
      <c r="PIF66" s="10"/>
      <c r="PIG66" s="10"/>
      <c r="PIH66" s="10"/>
      <c r="PII66" s="10"/>
      <c r="PIJ66" s="10"/>
      <c r="PIK66" s="10"/>
      <c r="PIL66" s="10"/>
      <c r="PIM66" s="10"/>
      <c r="PIN66" s="10"/>
      <c r="PIO66" s="10"/>
      <c r="PIP66" s="10"/>
      <c r="PIQ66" s="10"/>
      <c r="PIR66" s="10"/>
      <c r="PIS66" s="10"/>
      <c r="PIT66" s="10"/>
      <c r="PIU66" s="10"/>
      <c r="PIV66" s="10"/>
      <c r="PIW66" s="10"/>
      <c r="PIX66" s="10"/>
      <c r="PIY66" s="10"/>
      <c r="PIZ66" s="10"/>
      <c r="PJA66" s="10"/>
      <c r="PJB66" s="10"/>
      <c r="PJC66" s="10"/>
      <c r="PJD66" s="10"/>
      <c r="PJE66" s="10"/>
      <c r="PJF66" s="10"/>
      <c r="PJG66" s="10"/>
      <c r="PJH66" s="10"/>
      <c r="PJI66" s="10"/>
      <c r="PJJ66" s="10"/>
      <c r="PJK66" s="10"/>
      <c r="PJL66" s="10"/>
      <c r="PJM66" s="10"/>
      <c r="PJN66" s="10"/>
      <c r="PJO66" s="10"/>
      <c r="PJP66" s="10"/>
      <c r="PJQ66" s="10"/>
      <c r="PJR66" s="10"/>
      <c r="PJS66" s="10"/>
      <c r="PJT66" s="10"/>
      <c r="PJU66" s="10"/>
      <c r="PJV66" s="10"/>
      <c r="PJW66" s="10"/>
      <c r="PJX66" s="10"/>
      <c r="PJY66" s="10"/>
      <c r="PJZ66" s="10"/>
      <c r="PKA66" s="10"/>
      <c r="PKB66" s="10"/>
      <c r="PKC66" s="10"/>
      <c r="PKD66" s="10"/>
      <c r="PKE66" s="10"/>
      <c r="PKF66" s="10"/>
      <c r="PKG66" s="10"/>
      <c r="PKH66" s="10"/>
      <c r="PKI66" s="10"/>
      <c r="PKJ66" s="10"/>
      <c r="PKK66" s="10"/>
      <c r="PKL66" s="10"/>
      <c r="PKM66" s="10"/>
      <c r="PKN66" s="10"/>
      <c r="PKO66" s="10"/>
      <c r="PKP66" s="10"/>
      <c r="PKQ66" s="10"/>
      <c r="PKR66" s="10"/>
      <c r="PKS66" s="10"/>
      <c r="PKT66" s="10"/>
      <c r="PKU66" s="10"/>
      <c r="PKV66" s="10"/>
      <c r="PKW66" s="10"/>
      <c r="PKX66" s="10"/>
      <c r="PKY66" s="10"/>
      <c r="PKZ66" s="10"/>
      <c r="PLA66" s="10"/>
      <c r="PLB66" s="10"/>
      <c r="PLC66" s="10"/>
      <c r="PLD66" s="10"/>
      <c r="PLE66" s="10"/>
      <c r="PLF66" s="10"/>
      <c r="PLG66" s="10"/>
      <c r="PLH66" s="10"/>
      <c r="PLI66" s="10"/>
      <c r="PLJ66" s="10"/>
      <c r="PLK66" s="10"/>
      <c r="PLL66" s="10"/>
      <c r="PLM66" s="10"/>
      <c r="PLN66" s="10"/>
      <c r="PLO66" s="10"/>
      <c r="PLP66" s="10"/>
      <c r="PLQ66" s="10"/>
      <c r="PLR66" s="10"/>
      <c r="PLS66" s="10"/>
      <c r="PLT66" s="10"/>
      <c r="PLU66" s="10"/>
      <c r="PLV66" s="10"/>
      <c r="PLW66" s="10"/>
      <c r="PLX66" s="10"/>
      <c r="PLY66" s="10"/>
      <c r="PLZ66" s="10"/>
      <c r="PMA66" s="10"/>
      <c r="PMB66" s="10"/>
      <c r="PMC66" s="10"/>
      <c r="PMD66" s="10"/>
      <c r="PME66" s="10"/>
      <c r="PMF66" s="10"/>
      <c r="PMG66" s="10"/>
      <c r="PMH66" s="10"/>
      <c r="PMI66" s="10"/>
      <c r="PMJ66" s="10"/>
      <c r="PMK66" s="10"/>
      <c r="PML66" s="10"/>
      <c r="PMM66" s="10"/>
      <c r="PMN66" s="10"/>
      <c r="PMO66" s="10"/>
      <c r="PMP66" s="10"/>
      <c r="PMQ66" s="10"/>
      <c r="PMR66" s="10"/>
      <c r="PMS66" s="10"/>
      <c r="PMT66" s="10"/>
      <c r="PMU66" s="10"/>
      <c r="PMV66" s="10"/>
      <c r="PMW66" s="10"/>
      <c r="PMX66" s="10"/>
      <c r="PMY66" s="10"/>
      <c r="PMZ66" s="10"/>
      <c r="PNA66" s="10"/>
      <c r="PNB66" s="10"/>
      <c r="PNC66" s="10"/>
      <c r="PND66" s="10"/>
      <c r="PNE66" s="10"/>
      <c r="PNF66" s="10"/>
      <c r="PNG66" s="10"/>
      <c r="PNH66" s="10"/>
      <c r="PNI66" s="10"/>
      <c r="PNJ66" s="10"/>
      <c r="PNK66" s="10"/>
      <c r="PNL66" s="10"/>
      <c r="PNM66" s="10"/>
      <c r="PNN66" s="10"/>
      <c r="PNO66" s="10"/>
      <c r="PNP66" s="10"/>
      <c r="PNQ66" s="10"/>
      <c r="PNR66" s="10"/>
      <c r="PNS66" s="10"/>
      <c r="PNT66" s="10"/>
      <c r="PNU66" s="10"/>
      <c r="PNV66" s="10"/>
      <c r="PNW66" s="10"/>
      <c r="PNX66" s="10"/>
      <c r="PNY66" s="10"/>
      <c r="PNZ66" s="10"/>
      <c r="POA66" s="10"/>
      <c r="POB66" s="10"/>
      <c r="POC66" s="10"/>
      <c r="POD66" s="10"/>
      <c r="POE66" s="10"/>
      <c r="POF66" s="10"/>
      <c r="POG66" s="10"/>
      <c r="POH66" s="10"/>
      <c r="POI66" s="10"/>
      <c r="POJ66" s="10"/>
      <c r="POK66" s="10"/>
      <c r="POL66" s="10"/>
      <c r="POM66" s="10"/>
      <c r="PON66" s="10"/>
      <c r="POO66" s="10"/>
      <c r="POP66" s="10"/>
      <c r="POQ66" s="10"/>
      <c r="POR66" s="10"/>
      <c r="POS66" s="10"/>
      <c r="POT66" s="10"/>
      <c r="POU66" s="10"/>
      <c r="POV66" s="10"/>
      <c r="POW66" s="10"/>
      <c r="POX66" s="10"/>
      <c r="POY66" s="10"/>
      <c r="POZ66" s="10"/>
      <c r="PPA66" s="10"/>
      <c r="PPB66" s="10"/>
      <c r="PPC66" s="10"/>
      <c r="PPD66" s="10"/>
      <c r="PPE66" s="10"/>
      <c r="PPF66" s="10"/>
      <c r="PPG66" s="10"/>
      <c r="PPH66" s="10"/>
      <c r="PPI66" s="10"/>
      <c r="PPJ66" s="10"/>
      <c r="PPK66" s="10"/>
      <c r="PPL66" s="10"/>
      <c r="PPM66" s="10"/>
      <c r="PPN66" s="10"/>
      <c r="PPO66" s="10"/>
      <c r="PPP66" s="10"/>
      <c r="PPQ66" s="10"/>
      <c r="PPR66" s="10"/>
      <c r="PPS66" s="10"/>
      <c r="PPT66" s="10"/>
      <c r="PPU66" s="10"/>
      <c r="PPV66" s="10"/>
      <c r="PPW66" s="10"/>
      <c r="PPX66" s="10"/>
      <c r="PPY66" s="10"/>
      <c r="PPZ66" s="10"/>
      <c r="PQA66" s="10"/>
      <c r="PQB66" s="10"/>
      <c r="PQC66" s="10"/>
      <c r="PQD66" s="10"/>
      <c r="PQE66" s="10"/>
      <c r="PQF66" s="10"/>
      <c r="PQG66" s="10"/>
      <c r="PQH66" s="10"/>
      <c r="PQI66" s="10"/>
      <c r="PQJ66" s="10"/>
      <c r="PQK66" s="10"/>
      <c r="PQL66" s="10"/>
      <c r="PQM66" s="10"/>
      <c r="PQN66" s="10"/>
      <c r="PQO66" s="10"/>
      <c r="PQP66" s="10"/>
      <c r="PQQ66" s="10"/>
      <c r="PQR66" s="10"/>
      <c r="PQS66" s="10"/>
      <c r="PQT66" s="10"/>
      <c r="PQU66" s="10"/>
      <c r="PQV66" s="10"/>
      <c r="PQW66" s="10"/>
      <c r="PQX66" s="10"/>
      <c r="PQY66" s="10"/>
      <c r="PQZ66" s="10"/>
      <c r="PRA66" s="10"/>
      <c r="PRB66" s="10"/>
      <c r="PRC66" s="10"/>
      <c r="PRD66" s="10"/>
      <c r="PRE66" s="10"/>
      <c r="PRF66" s="10"/>
      <c r="PRG66" s="10"/>
      <c r="PRH66" s="10"/>
      <c r="PRI66" s="10"/>
      <c r="PRJ66" s="10"/>
      <c r="PRK66" s="10"/>
      <c r="PRL66" s="10"/>
      <c r="PRM66" s="10"/>
      <c r="PRN66" s="10"/>
      <c r="PRO66" s="10"/>
      <c r="PRP66" s="10"/>
      <c r="PRQ66" s="10"/>
      <c r="PRR66" s="10"/>
      <c r="PRS66" s="10"/>
      <c r="PRT66" s="10"/>
      <c r="PRU66" s="10"/>
      <c r="PRV66" s="10"/>
      <c r="PRW66" s="10"/>
      <c r="PRX66" s="10"/>
      <c r="PRY66" s="10"/>
      <c r="PRZ66" s="10"/>
      <c r="PSA66" s="10"/>
      <c r="PSB66" s="10"/>
      <c r="PSC66" s="10"/>
      <c r="PSD66" s="10"/>
      <c r="PSE66" s="10"/>
      <c r="PSF66" s="10"/>
      <c r="PSG66" s="10"/>
      <c r="PSH66" s="10"/>
      <c r="PSI66" s="10"/>
      <c r="PSJ66" s="10"/>
      <c r="PSK66" s="10"/>
      <c r="PSL66" s="10"/>
      <c r="PSM66" s="10"/>
      <c r="PSN66" s="10"/>
      <c r="PSO66" s="10"/>
      <c r="PSP66" s="10"/>
      <c r="PSQ66" s="10"/>
      <c r="PSR66" s="10"/>
      <c r="PSS66" s="10"/>
      <c r="PST66" s="10"/>
      <c r="PSU66" s="10"/>
      <c r="PSV66" s="10"/>
      <c r="PSW66" s="10"/>
      <c r="PSX66" s="10"/>
      <c r="PSY66" s="10"/>
      <c r="PSZ66" s="10"/>
      <c r="PTA66" s="10"/>
      <c r="PTB66" s="10"/>
      <c r="PTC66" s="10"/>
      <c r="PTD66" s="10"/>
      <c r="PTE66" s="10"/>
      <c r="PTF66" s="10"/>
      <c r="PTG66" s="10"/>
      <c r="PTH66" s="10"/>
      <c r="PTI66" s="10"/>
      <c r="PTJ66" s="10"/>
      <c r="PTK66" s="10"/>
      <c r="PTL66" s="10"/>
      <c r="PTM66" s="10"/>
      <c r="PTN66" s="10"/>
      <c r="PTO66" s="10"/>
      <c r="PTP66" s="10"/>
      <c r="PTQ66" s="10"/>
      <c r="PTR66" s="10"/>
      <c r="PTS66" s="10"/>
      <c r="PTT66" s="10"/>
      <c r="PTU66" s="10"/>
      <c r="PTV66" s="10"/>
      <c r="PTW66" s="10"/>
      <c r="PTX66" s="10"/>
      <c r="PTY66" s="10"/>
      <c r="PTZ66" s="10"/>
      <c r="PUA66" s="10"/>
      <c r="PUB66" s="10"/>
      <c r="PUC66" s="10"/>
      <c r="PUD66" s="10"/>
      <c r="PUE66" s="10"/>
      <c r="PUF66" s="10"/>
      <c r="PUG66" s="10"/>
      <c r="PUH66" s="10"/>
      <c r="PUI66" s="10"/>
      <c r="PUJ66" s="10"/>
      <c r="PUK66" s="10"/>
      <c r="PUL66" s="10"/>
      <c r="PUM66" s="10"/>
      <c r="PUN66" s="10"/>
      <c r="PUO66" s="10"/>
      <c r="PUP66" s="10"/>
      <c r="PUQ66" s="10"/>
      <c r="PUR66" s="10"/>
      <c r="PUS66" s="10"/>
      <c r="PUT66" s="10"/>
      <c r="PUU66" s="10"/>
      <c r="PUV66" s="10"/>
      <c r="PUW66" s="10"/>
      <c r="PUX66" s="10"/>
      <c r="PUY66" s="10"/>
      <c r="PUZ66" s="10"/>
      <c r="PVA66" s="10"/>
      <c r="PVB66" s="10"/>
      <c r="PVC66" s="10"/>
      <c r="PVD66" s="10"/>
      <c r="PVE66" s="10"/>
      <c r="PVF66" s="10"/>
      <c r="PVG66" s="10"/>
      <c r="PVH66" s="10"/>
      <c r="PVI66" s="10"/>
      <c r="PVJ66" s="10"/>
      <c r="PVK66" s="10"/>
      <c r="PVL66" s="10"/>
      <c r="PVM66" s="10"/>
      <c r="PVN66" s="10"/>
      <c r="PVO66" s="10"/>
      <c r="PVP66" s="10"/>
      <c r="PVQ66" s="10"/>
      <c r="PVR66" s="10"/>
      <c r="PVS66" s="10"/>
      <c r="PVT66" s="10"/>
      <c r="PVU66" s="10"/>
      <c r="PVV66" s="10"/>
      <c r="PVW66" s="10"/>
      <c r="PVX66" s="10"/>
      <c r="PVY66" s="10"/>
      <c r="PVZ66" s="10"/>
      <c r="PWA66" s="10"/>
      <c r="PWB66" s="10"/>
      <c r="PWC66" s="10"/>
      <c r="PWD66" s="10"/>
      <c r="PWE66" s="10"/>
      <c r="PWF66" s="10"/>
      <c r="PWG66" s="10"/>
      <c r="PWH66" s="10"/>
      <c r="PWI66" s="10"/>
      <c r="PWJ66" s="10"/>
      <c r="PWK66" s="10"/>
      <c r="PWL66" s="10"/>
      <c r="PWM66" s="10"/>
      <c r="PWN66" s="10"/>
      <c r="PWO66" s="10"/>
      <c r="PWP66" s="10"/>
      <c r="PWQ66" s="10"/>
      <c r="PWR66" s="10"/>
      <c r="PWS66" s="10"/>
      <c r="PWT66" s="10"/>
      <c r="PWU66" s="10"/>
      <c r="PWV66" s="10"/>
      <c r="PWW66" s="10"/>
      <c r="PWX66" s="10"/>
      <c r="PWY66" s="10"/>
      <c r="PWZ66" s="10"/>
      <c r="PXA66" s="10"/>
      <c r="PXB66" s="10"/>
      <c r="PXC66" s="10"/>
      <c r="PXD66" s="10"/>
      <c r="PXE66" s="10"/>
      <c r="PXF66" s="10"/>
      <c r="PXG66" s="10"/>
      <c r="PXH66" s="10"/>
      <c r="PXI66" s="10"/>
      <c r="PXJ66" s="10"/>
      <c r="PXK66" s="10"/>
      <c r="PXL66" s="10"/>
      <c r="PXM66" s="10"/>
      <c r="PXN66" s="10"/>
      <c r="PXO66" s="10"/>
      <c r="PXP66" s="10"/>
      <c r="PXQ66" s="10"/>
      <c r="PXR66" s="10"/>
      <c r="PXS66" s="10"/>
      <c r="PXT66" s="10"/>
      <c r="PXU66" s="10"/>
      <c r="PXV66" s="10"/>
      <c r="PXW66" s="10"/>
      <c r="PXX66" s="10"/>
      <c r="PXY66" s="10"/>
      <c r="PXZ66" s="10"/>
      <c r="PYA66" s="10"/>
      <c r="PYB66" s="10"/>
      <c r="PYC66" s="10"/>
      <c r="PYD66" s="10"/>
      <c r="PYE66" s="10"/>
      <c r="PYF66" s="10"/>
      <c r="PYG66" s="10"/>
      <c r="PYH66" s="10"/>
      <c r="PYI66" s="10"/>
      <c r="PYJ66" s="10"/>
      <c r="PYK66" s="10"/>
      <c r="PYL66" s="10"/>
      <c r="PYM66" s="10"/>
      <c r="PYN66" s="10"/>
      <c r="PYO66" s="10"/>
      <c r="PYP66" s="10"/>
      <c r="PYQ66" s="10"/>
      <c r="PYR66" s="10"/>
      <c r="PYS66" s="10"/>
      <c r="PYT66" s="10"/>
      <c r="PYU66" s="10"/>
      <c r="PYV66" s="10"/>
      <c r="PYW66" s="10"/>
      <c r="PYX66" s="10"/>
      <c r="PYY66" s="10"/>
      <c r="PYZ66" s="10"/>
      <c r="PZA66" s="10"/>
      <c r="PZB66" s="10"/>
      <c r="PZC66" s="10"/>
      <c r="PZD66" s="10"/>
      <c r="PZE66" s="10"/>
      <c r="PZF66" s="10"/>
      <c r="PZG66" s="10"/>
      <c r="PZH66" s="10"/>
      <c r="PZI66" s="10"/>
      <c r="PZJ66" s="10"/>
      <c r="PZK66" s="10"/>
      <c r="PZL66" s="10"/>
      <c r="PZM66" s="10"/>
      <c r="PZN66" s="10"/>
      <c r="PZO66" s="10"/>
      <c r="PZP66" s="10"/>
      <c r="PZQ66" s="10"/>
      <c r="PZR66" s="10"/>
      <c r="PZS66" s="10"/>
      <c r="PZT66" s="10"/>
      <c r="PZU66" s="10"/>
      <c r="PZV66" s="10"/>
      <c r="PZW66" s="10"/>
      <c r="PZX66" s="10"/>
      <c r="PZY66" s="10"/>
      <c r="PZZ66" s="10"/>
      <c r="QAA66" s="10"/>
      <c r="QAB66" s="10"/>
      <c r="QAC66" s="10"/>
      <c r="QAD66" s="10"/>
      <c r="QAE66" s="10"/>
      <c r="QAF66" s="10"/>
      <c r="QAG66" s="10"/>
      <c r="QAH66" s="10"/>
      <c r="QAI66" s="10"/>
      <c r="QAJ66" s="10"/>
      <c r="QAK66" s="10"/>
      <c r="QAL66" s="10"/>
      <c r="QAM66" s="10"/>
      <c r="QAN66" s="10"/>
      <c r="QAO66" s="10"/>
      <c r="QAP66" s="10"/>
      <c r="QAQ66" s="10"/>
      <c r="QAR66" s="10"/>
      <c r="QAS66" s="10"/>
      <c r="QAT66" s="10"/>
      <c r="QAU66" s="10"/>
      <c r="QAV66" s="10"/>
      <c r="QAW66" s="10"/>
      <c r="QAX66" s="10"/>
      <c r="QAY66" s="10"/>
      <c r="QAZ66" s="10"/>
      <c r="QBA66" s="10"/>
      <c r="QBB66" s="10"/>
      <c r="QBC66" s="10"/>
      <c r="QBD66" s="10"/>
      <c r="QBE66" s="10"/>
      <c r="QBF66" s="10"/>
      <c r="QBG66" s="10"/>
      <c r="QBH66" s="10"/>
      <c r="QBI66" s="10"/>
      <c r="QBJ66" s="10"/>
      <c r="QBK66" s="10"/>
      <c r="QBL66" s="10"/>
      <c r="QBM66" s="10"/>
      <c r="QBN66" s="10"/>
      <c r="QBO66" s="10"/>
      <c r="QBP66" s="10"/>
      <c r="QBQ66" s="10"/>
      <c r="QBR66" s="10"/>
      <c r="QBS66" s="10"/>
      <c r="QBT66" s="10"/>
      <c r="QBU66" s="10"/>
      <c r="QBV66" s="10"/>
      <c r="QBW66" s="10"/>
      <c r="QBX66" s="10"/>
      <c r="QBY66" s="10"/>
      <c r="QBZ66" s="10"/>
      <c r="QCA66" s="10"/>
      <c r="QCB66" s="10"/>
      <c r="QCC66" s="10"/>
      <c r="QCD66" s="10"/>
      <c r="QCE66" s="10"/>
      <c r="QCF66" s="10"/>
      <c r="QCG66" s="10"/>
      <c r="QCH66" s="10"/>
      <c r="QCI66" s="10"/>
      <c r="QCJ66" s="10"/>
      <c r="QCK66" s="10"/>
      <c r="QCL66" s="10"/>
      <c r="QCM66" s="10"/>
      <c r="QCN66" s="10"/>
      <c r="QCO66" s="10"/>
      <c r="QCP66" s="10"/>
      <c r="QCQ66" s="10"/>
      <c r="QCR66" s="10"/>
      <c r="QCS66" s="10"/>
      <c r="QCT66" s="10"/>
      <c r="QCU66" s="10"/>
      <c r="QCV66" s="10"/>
      <c r="QCW66" s="10"/>
      <c r="QCX66" s="10"/>
      <c r="QCY66" s="10"/>
      <c r="QCZ66" s="10"/>
      <c r="QDA66" s="10"/>
      <c r="QDB66" s="10"/>
      <c r="QDC66" s="10"/>
      <c r="QDD66" s="10"/>
      <c r="QDE66" s="10"/>
      <c r="QDF66" s="10"/>
      <c r="QDG66" s="10"/>
      <c r="QDH66" s="10"/>
      <c r="QDI66" s="10"/>
      <c r="QDJ66" s="10"/>
      <c r="QDK66" s="10"/>
      <c r="QDL66" s="10"/>
      <c r="QDM66" s="10"/>
      <c r="QDN66" s="10"/>
      <c r="QDO66" s="10"/>
      <c r="QDP66" s="10"/>
      <c r="QDQ66" s="10"/>
      <c r="QDR66" s="10"/>
      <c r="QDS66" s="10"/>
      <c r="QDT66" s="10"/>
      <c r="QDU66" s="10"/>
      <c r="QDV66" s="10"/>
      <c r="QDW66" s="10"/>
      <c r="QDX66" s="10"/>
      <c r="QDY66" s="10"/>
      <c r="QDZ66" s="10"/>
      <c r="QEA66" s="10"/>
      <c r="QEB66" s="10"/>
      <c r="QEC66" s="10"/>
      <c r="QED66" s="10"/>
      <c r="QEE66" s="10"/>
      <c r="QEF66" s="10"/>
      <c r="QEG66" s="10"/>
      <c r="QEH66" s="10"/>
      <c r="QEI66" s="10"/>
      <c r="QEJ66" s="10"/>
      <c r="QEK66" s="10"/>
      <c r="QEL66" s="10"/>
      <c r="QEM66" s="10"/>
      <c r="QEN66" s="10"/>
      <c r="QEO66" s="10"/>
      <c r="QEP66" s="10"/>
      <c r="QEQ66" s="10"/>
      <c r="QER66" s="10"/>
      <c r="QES66" s="10"/>
      <c r="QET66" s="10"/>
      <c r="QEU66" s="10"/>
      <c r="QEV66" s="10"/>
      <c r="QEW66" s="10"/>
      <c r="QEX66" s="10"/>
      <c r="QEY66" s="10"/>
      <c r="QEZ66" s="10"/>
      <c r="QFA66" s="10"/>
      <c r="QFB66" s="10"/>
      <c r="QFC66" s="10"/>
      <c r="QFD66" s="10"/>
      <c r="QFE66" s="10"/>
      <c r="QFF66" s="10"/>
      <c r="QFG66" s="10"/>
      <c r="QFH66" s="10"/>
      <c r="QFI66" s="10"/>
      <c r="QFJ66" s="10"/>
      <c r="QFK66" s="10"/>
      <c r="QFL66" s="10"/>
      <c r="QFM66" s="10"/>
      <c r="QFN66" s="10"/>
      <c r="QFO66" s="10"/>
      <c r="QFP66" s="10"/>
      <c r="QFQ66" s="10"/>
      <c r="QFR66" s="10"/>
      <c r="QFS66" s="10"/>
      <c r="QFT66" s="10"/>
      <c r="QFU66" s="10"/>
      <c r="QFV66" s="10"/>
      <c r="QFW66" s="10"/>
      <c r="QFX66" s="10"/>
      <c r="QFY66" s="10"/>
      <c r="QFZ66" s="10"/>
      <c r="QGA66" s="10"/>
      <c r="QGB66" s="10"/>
      <c r="QGC66" s="10"/>
      <c r="QGD66" s="10"/>
      <c r="QGE66" s="10"/>
      <c r="QGF66" s="10"/>
      <c r="QGG66" s="10"/>
      <c r="QGH66" s="10"/>
      <c r="QGI66" s="10"/>
      <c r="QGJ66" s="10"/>
      <c r="QGK66" s="10"/>
      <c r="QGL66" s="10"/>
      <c r="QGM66" s="10"/>
      <c r="QGN66" s="10"/>
      <c r="QGO66" s="10"/>
      <c r="QGP66" s="10"/>
      <c r="QGQ66" s="10"/>
      <c r="QGR66" s="10"/>
      <c r="QGS66" s="10"/>
      <c r="QGT66" s="10"/>
      <c r="QGU66" s="10"/>
      <c r="QGV66" s="10"/>
      <c r="QGW66" s="10"/>
      <c r="QGX66" s="10"/>
      <c r="QGY66" s="10"/>
      <c r="QGZ66" s="10"/>
      <c r="QHA66" s="10"/>
      <c r="QHB66" s="10"/>
      <c r="QHC66" s="10"/>
      <c r="QHD66" s="10"/>
      <c r="QHE66" s="10"/>
      <c r="QHF66" s="10"/>
      <c r="QHG66" s="10"/>
      <c r="QHH66" s="10"/>
      <c r="QHI66" s="10"/>
      <c r="QHJ66" s="10"/>
      <c r="QHK66" s="10"/>
      <c r="QHL66" s="10"/>
      <c r="QHM66" s="10"/>
      <c r="QHN66" s="10"/>
      <c r="QHO66" s="10"/>
      <c r="QHP66" s="10"/>
      <c r="QHQ66" s="10"/>
      <c r="QHR66" s="10"/>
      <c r="QHS66" s="10"/>
      <c r="QHT66" s="10"/>
      <c r="QHU66" s="10"/>
      <c r="QHV66" s="10"/>
      <c r="QHW66" s="10"/>
      <c r="QHX66" s="10"/>
      <c r="QHY66" s="10"/>
      <c r="QHZ66" s="10"/>
      <c r="QIA66" s="10"/>
      <c r="QIB66" s="10"/>
      <c r="QIC66" s="10"/>
      <c r="QID66" s="10"/>
      <c r="QIE66" s="10"/>
      <c r="QIF66" s="10"/>
      <c r="QIG66" s="10"/>
      <c r="QIH66" s="10"/>
      <c r="QII66" s="10"/>
      <c r="QIJ66" s="10"/>
      <c r="QIK66" s="10"/>
      <c r="QIL66" s="10"/>
      <c r="QIM66" s="10"/>
      <c r="QIN66" s="10"/>
      <c r="QIO66" s="10"/>
      <c r="QIP66" s="10"/>
      <c r="QIQ66" s="10"/>
      <c r="QIR66" s="10"/>
      <c r="QIS66" s="10"/>
      <c r="QIT66" s="10"/>
      <c r="QIU66" s="10"/>
      <c r="QIV66" s="10"/>
      <c r="QIW66" s="10"/>
      <c r="QIX66" s="10"/>
      <c r="QIY66" s="10"/>
      <c r="QIZ66" s="10"/>
      <c r="QJA66" s="10"/>
      <c r="QJB66" s="10"/>
      <c r="QJC66" s="10"/>
      <c r="QJD66" s="10"/>
      <c r="QJE66" s="10"/>
      <c r="QJF66" s="10"/>
      <c r="QJG66" s="10"/>
      <c r="QJH66" s="10"/>
      <c r="QJI66" s="10"/>
      <c r="QJJ66" s="10"/>
      <c r="QJK66" s="10"/>
      <c r="QJL66" s="10"/>
      <c r="QJM66" s="10"/>
      <c r="QJN66" s="10"/>
      <c r="QJO66" s="10"/>
      <c r="QJP66" s="10"/>
      <c r="QJQ66" s="10"/>
      <c r="QJR66" s="10"/>
      <c r="QJS66" s="10"/>
      <c r="QJT66" s="10"/>
      <c r="QJU66" s="10"/>
      <c r="QJV66" s="10"/>
      <c r="QJW66" s="10"/>
      <c r="QJX66" s="10"/>
      <c r="QJY66" s="10"/>
      <c r="QJZ66" s="10"/>
      <c r="QKA66" s="10"/>
      <c r="QKB66" s="10"/>
      <c r="QKC66" s="10"/>
      <c r="QKD66" s="10"/>
      <c r="QKE66" s="10"/>
      <c r="QKF66" s="10"/>
      <c r="QKG66" s="10"/>
      <c r="QKH66" s="10"/>
      <c r="QKI66" s="10"/>
      <c r="QKJ66" s="10"/>
      <c r="QKK66" s="10"/>
      <c r="QKL66" s="10"/>
      <c r="QKM66" s="10"/>
      <c r="QKN66" s="10"/>
      <c r="QKO66" s="10"/>
      <c r="QKP66" s="10"/>
      <c r="QKQ66" s="10"/>
      <c r="QKR66" s="10"/>
      <c r="QKS66" s="10"/>
      <c r="QKT66" s="10"/>
      <c r="QKU66" s="10"/>
      <c r="QKV66" s="10"/>
      <c r="QKW66" s="10"/>
      <c r="QKX66" s="10"/>
      <c r="QKY66" s="10"/>
      <c r="QKZ66" s="10"/>
      <c r="QLA66" s="10"/>
      <c r="QLB66" s="10"/>
      <c r="QLC66" s="10"/>
      <c r="QLD66" s="10"/>
      <c r="QLE66" s="10"/>
      <c r="QLF66" s="10"/>
      <c r="QLG66" s="10"/>
      <c r="QLH66" s="10"/>
      <c r="QLI66" s="10"/>
      <c r="QLJ66" s="10"/>
      <c r="QLK66" s="10"/>
      <c r="QLL66" s="10"/>
      <c r="QLM66" s="10"/>
      <c r="QLN66" s="10"/>
      <c r="QLO66" s="10"/>
      <c r="QLP66" s="10"/>
      <c r="QLQ66" s="10"/>
      <c r="QLR66" s="10"/>
      <c r="QLS66" s="10"/>
      <c r="QLT66" s="10"/>
      <c r="QLU66" s="10"/>
      <c r="QLV66" s="10"/>
      <c r="QLW66" s="10"/>
      <c r="QLX66" s="10"/>
      <c r="QLY66" s="10"/>
      <c r="QLZ66" s="10"/>
      <c r="QMA66" s="10"/>
      <c r="QMB66" s="10"/>
      <c r="QMC66" s="10"/>
      <c r="QMD66" s="10"/>
      <c r="QME66" s="10"/>
      <c r="QMF66" s="10"/>
      <c r="QMG66" s="10"/>
      <c r="QMH66" s="10"/>
      <c r="QMI66" s="10"/>
      <c r="QMJ66" s="10"/>
      <c r="QMK66" s="10"/>
      <c r="QML66" s="10"/>
      <c r="QMM66" s="10"/>
      <c r="QMN66" s="10"/>
      <c r="QMO66" s="10"/>
      <c r="QMP66" s="10"/>
      <c r="QMQ66" s="10"/>
      <c r="QMR66" s="10"/>
      <c r="QMS66" s="10"/>
      <c r="QMT66" s="10"/>
      <c r="QMU66" s="10"/>
      <c r="QMV66" s="10"/>
      <c r="QMW66" s="10"/>
      <c r="QMX66" s="10"/>
      <c r="QMY66" s="10"/>
      <c r="QMZ66" s="10"/>
      <c r="QNA66" s="10"/>
      <c r="QNB66" s="10"/>
      <c r="QNC66" s="10"/>
      <c r="QND66" s="10"/>
      <c r="QNE66" s="10"/>
      <c r="QNF66" s="10"/>
      <c r="QNG66" s="10"/>
      <c r="QNH66" s="10"/>
      <c r="QNI66" s="10"/>
      <c r="QNJ66" s="10"/>
      <c r="QNK66" s="10"/>
      <c r="QNL66" s="10"/>
      <c r="QNM66" s="10"/>
      <c r="QNN66" s="10"/>
      <c r="QNO66" s="10"/>
      <c r="QNP66" s="10"/>
      <c r="QNQ66" s="10"/>
      <c r="QNR66" s="10"/>
      <c r="QNS66" s="10"/>
      <c r="QNT66" s="10"/>
      <c r="QNU66" s="10"/>
      <c r="QNV66" s="10"/>
      <c r="QNW66" s="10"/>
      <c r="QNX66" s="10"/>
      <c r="QNY66" s="10"/>
      <c r="QNZ66" s="10"/>
      <c r="QOA66" s="10"/>
      <c r="QOB66" s="10"/>
      <c r="QOC66" s="10"/>
      <c r="QOD66" s="10"/>
      <c r="QOE66" s="10"/>
      <c r="QOF66" s="10"/>
      <c r="QOG66" s="10"/>
      <c r="QOH66" s="10"/>
      <c r="QOI66" s="10"/>
      <c r="QOJ66" s="10"/>
      <c r="QOK66" s="10"/>
      <c r="QOL66" s="10"/>
      <c r="QOM66" s="10"/>
      <c r="QON66" s="10"/>
      <c r="QOO66" s="10"/>
      <c r="QOP66" s="10"/>
      <c r="QOQ66" s="10"/>
      <c r="QOR66" s="10"/>
      <c r="QOS66" s="10"/>
      <c r="QOT66" s="10"/>
      <c r="QOU66" s="10"/>
      <c r="QOV66" s="10"/>
      <c r="QOW66" s="10"/>
      <c r="QOX66" s="10"/>
      <c r="QOY66" s="10"/>
      <c r="QOZ66" s="10"/>
      <c r="QPA66" s="10"/>
      <c r="QPB66" s="10"/>
      <c r="QPC66" s="10"/>
      <c r="QPD66" s="10"/>
      <c r="QPE66" s="10"/>
      <c r="QPF66" s="10"/>
      <c r="QPG66" s="10"/>
      <c r="QPH66" s="10"/>
      <c r="QPI66" s="10"/>
      <c r="QPJ66" s="10"/>
      <c r="QPK66" s="10"/>
      <c r="QPL66" s="10"/>
      <c r="QPM66" s="10"/>
      <c r="QPN66" s="10"/>
      <c r="QPO66" s="10"/>
      <c r="QPP66" s="10"/>
      <c r="QPQ66" s="10"/>
      <c r="QPR66" s="10"/>
      <c r="QPS66" s="10"/>
      <c r="QPT66" s="10"/>
      <c r="QPU66" s="10"/>
      <c r="QPV66" s="10"/>
      <c r="QPW66" s="10"/>
      <c r="QPX66" s="10"/>
      <c r="QPY66" s="10"/>
      <c r="QPZ66" s="10"/>
      <c r="QQA66" s="10"/>
      <c r="QQB66" s="10"/>
      <c r="QQC66" s="10"/>
      <c r="QQD66" s="10"/>
      <c r="QQE66" s="10"/>
      <c r="QQF66" s="10"/>
      <c r="QQG66" s="10"/>
      <c r="QQH66" s="10"/>
      <c r="QQI66" s="10"/>
      <c r="QQJ66" s="10"/>
      <c r="QQK66" s="10"/>
      <c r="QQL66" s="10"/>
      <c r="QQM66" s="10"/>
      <c r="QQN66" s="10"/>
      <c r="QQO66" s="10"/>
      <c r="QQP66" s="10"/>
      <c r="QQQ66" s="10"/>
      <c r="QQR66" s="10"/>
      <c r="QQS66" s="10"/>
      <c r="QQT66" s="10"/>
      <c r="QQU66" s="10"/>
      <c r="QQV66" s="10"/>
      <c r="QQW66" s="10"/>
      <c r="QQX66" s="10"/>
      <c r="QQY66" s="10"/>
      <c r="QQZ66" s="10"/>
      <c r="QRA66" s="10"/>
      <c r="QRB66" s="10"/>
      <c r="QRC66" s="10"/>
      <c r="QRD66" s="10"/>
      <c r="QRE66" s="10"/>
      <c r="QRF66" s="10"/>
      <c r="QRG66" s="10"/>
      <c r="QRH66" s="10"/>
      <c r="QRI66" s="10"/>
      <c r="QRJ66" s="10"/>
      <c r="QRK66" s="10"/>
      <c r="QRL66" s="10"/>
      <c r="QRM66" s="10"/>
      <c r="QRN66" s="10"/>
      <c r="QRO66" s="10"/>
      <c r="QRP66" s="10"/>
      <c r="QRQ66" s="10"/>
      <c r="QRR66" s="10"/>
      <c r="QRS66" s="10"/>
      <c r="QRT66" s="10"/>
      <c r="QRU66" s="10"/>
      <c r="QRV66" s="10"/>
      <c r="QRW66" s="10"/>
      <c r="QRX66" s="10"/>
      <c r="QRY66" s="10"/>
      <c r="QRZ66" s="10"/>
      <c r="QSA66" s="10"/>
      <c r="QSB66" s="10"/>
      <c r="QSC66" s="10"/>
      <c r="QSD66" s="10"/>
      <c r="QSE66" s="10"/>
      <c r="QSF66" s="10"/>
      <c r="QSG66" s="10"/>
      <c r="QSH66" s="10"/>
      <c r="QSI66" s="10"/>
      <c r="QSJ66" s="10"/>
      <c r="QSK66" s="10"/>
      <c r="QSL66" s="10"/>
      <c r="QSM66" s="10"/>
      <c r="QSN66" s="10"/>
      <c r="QSO66" s="10"/>
      <c r="QSP66" s="10"/>
      <c r="QSQ66" s="10"/>
      <c r="QSR66" s="10"/>
      <c r="QSS66" s="10"/>
      <c r="QST66" s="10"/>
      <c r="QSU66" s="10"/>
      <c r="QSV66" s="10"/>
      <c r="QSW66" s="10"/>
      <c r="QSX66" s="10"/>
      <c r="QSY66" s="10"/>
      <c r="QSZ66" s="10"/>
      <c r="QTA66" s="10"/>
      <c r="QTB66" s="10"/>
      <c r="QTC66" s="10"/>
      <c r="QTD66" s="10"/>
      <c r="QTE66" s="10"/>
      <c r="QTF66" s="10"/>
      <c r="QTG66" s="10"/>
      <c r="QTH66" s="10"/>
      <c r="QTI66" s="10"/>
      <c r="QTJ66" s="10"/>
      <c r="QTK66" s="10"/>
      <c r="QTL66" s="10"/>
      <c r="QTM66" s="10"/>
      <c r="QTN66" s="10"/>
      <c r="QTO66" s="10"/>
      <c r="QTP66" s="10"/>
      <c r="QTQ66" s="10"/>
      <c r="QTR66" s="10"/>
      <c r="QTS66" s="10"/>
      <c r="QTT66" s="10"/>
      <c r="QTU66" s="10"/>
      <c r="QTV66" s="10"/>
      <c r="QTW66" s="10"/>
      <c r="QTX66" s="10"/>
      <c r="QTY66" s="10"/>
      <c r="QTZ66" s="10"/>
      <c r="QUA66" s="10"/>
      <c r="QUB66" s="10"/>
      <c r="QUC66" s="10"/>
      <c r="QUD66" s="10"/>
      <c r="QUE66" s="10"/>
      <c r="QUF66" s="10"/>
      <c r="QUG66" s="10"/>
      <c r="QUH66" s="10"/>
      <c r="QUI66" s="10"/>
      <c r="QUJ66" s="10"/>
      <c r="QUK66" s="10"/>
      <c r="QUL66" s="10"/>
      <c r="QUM66" s="10"/>
      <c r="QUN66" s="10"/>
      <c r="QUO66" s="10"/>
      <c r="QUP66" s="10"/>
      <c r="QUQ66" s="10"/>
      <c r="QUR66" s="10"/>
      <c r="QUS66" s="10"/>
      <c r="QUT66" s="10"/>
      <c r="QUU66" s="10"/>
      <c r="QUV66" s="10"/>
      <c r="QUW66" s="10"/>
      <c r="QUX66" s="10"/>
      <c r="QUY66" s="10"/>
      <c r="QUZ66" s="10"/>
      <c r="QVA66" s="10"/>
      <c r="QVB66" s="10"/>
      <c r="QVC66" s="10"/>
      <c r="QVD66" s="10"/>
      <c r="QVE66" s="10"/>
      <c r="QVF66" s="10"/>
      <c r="QVG66" s="10"/>
      <c r="QVH66" s="10"/>
      <c r="QVI66" s="10"/>
      <c r="QVJ66" s="10"/>
      <c r="QVK66" s="10"/>
      <c r="QVL66" s="10"/>
      <c r="QVM66" s="10"/>
      <c r="QVN66" s="10"/>
      <c r="QVO66" s="10"/>
      <c r="QVP66" s="10"/>
      <c r="QVQ66" s="10"/>
      <c r="QVR66" s="10"/>
      <c r="QVS66" s="10"/>
      <c r="QVT66" s="10"/>
      <c r="QVU66" s="10"/>
      <c r="QVV66" s="10"/>
      <c r="QVW66" s="10"/>
      <c r="QVX66" s="10"/>
      <c r="QVY66" s="10"/>
      <c r="QVZ66" s="10"/>
      <c r="QWA66" s="10"/>
      <c r="QWB66" s="10"/>
      <c r="QWC66" s="10"/>
      <c r="QWD66" s="10"/>
      <c r="QWE66" s="10"/>
      <c r="QWF66" s="10"/>
      <c r="QWG66" s="10"/>
      <c r="QWH66" s="10"/>
      <c r="QWI66" s="10"/>
      <c r="QWJ66" s="10"/>
      <c r="QWK66" s="10"/>
      <c r="QWL66" s="10"/>
      <c r="QWM66" s="10"/>
      <c r="QWN66" s="10"/>
      <c r="QWO66" s="10"/>
      <c r="QWP66" s="10"/>
      <c r="QWQ66" s="10"/>
      <c r="QWR66" s="10"/>
      <c r="QWS66" s="10"/>
      <c r="QWT66" s="10"/>
      <c r="QWU66" s="10"/>
      <c r="QWV66" s="10"/>
      <c r="QWW66" s="10"/>
      <c r="QWX66" s="10"/>
      <c r="QWY66" s="10"/>
      <c r="QWZ66" s="10"/>
      <c r="QXA66" s="10"/>
      <c r="QXB66" s="10"/>
      <c r="QXC66" s="10"/>
      <c r="QXD66" s="10"/>
      <c r="QXE66" s="10"/>
      <c r="QXF66" s="10"/>
      <c r="QXG66" s="10"/>
      <c r="QXH66" s="10"/>
      <c r="QXI66" s="10"/>
      <c r="QXJ66" s="10"/>
      <c r="QXK66" s="10"/>
      <c r="QXL66" s="10"/>
      <c r="QXM66" s="10"/>
      <c r="QXN66" s="10"/>
      <c r="QXO66" s="10"/>
      <c r="QXP66" s="10"/>
      <c r="QXQ66" s="10"/>
      <c r="QXR66" s="10"/>
      <c r="QXS66" s="10"/>
      <c r="QXT66" s="10"/>
      <c r="QXU66" s="10"/>
      <c r="QXV66" s="10"/>
      <c r="QXW66" s="10"/>
      <c r="QXX66" s="10"/>
      <c r="QXY66" s="10"/>
      <c r="QXZ66" s="10"/>
      <c r="QYA66" s="10"/>
      <c r="QYB66" s="10"/>
      <c r="QYC66" s="10"/>
      <c r="QYD66" s="10"/>
      <c r="QYE66" s="10"/>
      <c r="QYF66" s="10"/>
      <c r="QYG66" s="10"/>
      <c r="QYH66" s="10"/>
      <c r="QYI66" s="10"/>
      <c r="QYJ66" s="10"/>
      <c r="QYK66" s="10"/>
      <c r="QYL66" s="10"/>
      <c r="QYM66" s="10"/>
      <c r="QYN66" s="10"/>
      <c r="QYO66" s="10"/>
      <c r="QYP66" s="10"/>
      <c r="QYQ66" s="10"/>
      <c r="QYR66" s="10"/>
      <c r="QYS66" s="10"/>
      <c r="QYT66" s="10"/>
      <c r="QYU66" s="10"/>
      <c r="QYV66" s="10"/>
      <c r="QYW66" s="10"/>
      <c r="QYX66" s="10"/>
      <c r="QYY66" s="10"/>
      <c r="QYZ66" s="10"/>
      <c r="QZA66" s="10"/>
      <c r="QZB66" s="10"/>
      <c r="QZC66" s="10"/>
      <c r="QZD66" s="10"/>
      <c r="QZE66" s="10"/>
      <c r="QZF66" s="10"/>
      <c r="QZG66" s="10"/>
      <c r="QZH66" s="10"/>
      <c r="QZI66" s="10"/>
      <c r="QZJ66" s="10"/>
      <c r="QZK66" s="10"/>
      <c r="QZL66" s="10"/>
      <c r="QZM66" s="10"/>
      <c r="QZN66" s="10"/>
      <c r="QZO66" s="10"/>
      <c r="QZP66" s="10"/>
      <c r="QZQ66" s="10"/>
      <c r="QZR66" s="10"/>
      <c r="QZS66" s="10"/>
      <c r="QZT66" s="10"/>
      <c r="QZU66" s="10"/>
      <c r="QZV66" s="10"/>
      <c r="QZW66" s="10"/>
      <c r="QZX66" s="10"/>
      <c r="QZY66" s="10"/>
      <c r="QZZ66" s="10"/>
      <c r="RAA66" s="10"/>
      <c r="RAB66" s="10"/>
      <c r="RAC66" s="10"/>
      <c r="RAD66" s="10"/>
      <c r="RAE66" s="10"/>
      <c r="RAF66" s="10"/>
      <c r="RAG66" s="10"/>
      <c r="RAH66" s="10"/>
      <c r="RAI66" s="10"/>
      <c r="RAJ66" s="10"/>
      <c r="RAK66" s="10"/>
      <c r="RAL66" s="10"/>
      <c r="RAM66" s="10"/>
      <c r="RAN66" s="10"/>
      <c r="RAO66" s="10"/>
      <c r="RAP66" s="10"/>
      <c r="RAQ66" s="10"/>
      <c r="RAR66" s="10"/>
      <c r="RAS66" s="10"/>
      <c r="RAT66" s="10"/>
      <c r="RAU66" s="10"/>
      <c r="RAV66" s="10"/>
      <c r="RAW66" s="10"/>
      <c r="RAX66" s="10"/>
      <c r="RAY66" s="10"/>
      <c r="RAZ66" s="10"/>
      <c r="RBA66" s="10"/>
      <c r="RBB66" s="10"/>
      <c r="RBC66" s="10"/>
      <c r="RBD66" s="10"/>
      <c r="RBE66" s="10"/>
      <c r="RBF66" s="10"/>
      <c r="RBG66" s="10"/>
      <c r="RBH66" s="10"/>
      <c r="RBI66" s="10"/>
      <c r="RBJ66" s="10"/>
      <c r="RBK66" s="10"/>
      <c r="RBL66" s="10"/>
      <c r="RBM66" s="10"/>
      <c r="RBN66" s="10"/>
      <c r="RBO66" s="10"/>
      <c r="RBP66" s="10"/>
      <c r="RBQ66" s="10"/>
      <c r="RBR66" s="10"/>
      <c r="RBS66" s="10"/>
      <c r="RBT66" s="10"/>
      <c r="RBU66" s="10"/>
      <c r="RBV66" s="10"/>
      <c r="RBW66" s="10"/>
      <c r="RBX66" s="10"/>
      <c r="RBY66" s="10"/>
      <c r="RBZ66" s="10"/>
      <c r="RCA66" s="10"/>
      <c r="RCB66" s="10"/>
      <c r="RCC66" s="10"/>
      <c r="RCD66" s="10"/>
      <c r="RCE66" s="10"/>
      <c r="RCF66" s="10"/>
      <c r="RCG66" s="10"/>
      <c r="RCH66" s="10"/>
      <c r="RCI66" s="10"/>
      <c r="RCJ66" s="10"/>
      <c r="RCK66" s="10"/>
      <c r="RCL66" s="10"/>
      <c r="RCM66" s="10"/>
      <c r="RCN66" s="10"/>
      <c r="RCO66" s="10"/>
      <c r="RCP66" s="10"/>
      <c r="RCQ66" s="10"/>
      <c r="RCR66" s="10"/>
      <c r="RCS66" s="10"/>
      <c r="RCT66" s="10"/>
      <c r="RCU66" s="10"/>
      <c r="RCV66" s="10"/>
      <c r="RCW66" s="10"/>
      <c r="RCX66" s="10"/>
      <c r="RCY66" s="10"/>
      <c r="RCZ66" s="10"/>
      <c r="RDA66" s="10"/>
      <c r="RDB66" s="10"/>
      <c r="RDC66" s="10"/>
      <c r="RDD66" s="10"/>
      <c r="RDE66" s="10"/>
      <c r="RDF66" s="10"/>
      <c r="RDG66" s="10"/>
      <c r="RDH66" s="10"/>
      <c r="RDI66" s="10"/>
      <c r="RDJ66" s="10"/>
      <c r="RDK66" s="10"/>
      <c r="RDL66" s="10"/>
      <c r="RDM66" s="10"/>
      <c r="RDN66" s="10"/>
      <c r="RDO66" s="10"/>
      <c r="RDP66" s="10"/>
      <c r="RDQ66" s="10"/>
      <c r="RDR66" s="10"/>
      <c r="RDS66" s="10"/>
      <c r="RDT66" s="10"/>
      <c r="RDU66" s="10"/>
      <c r="RDV66" s="10"/>
      <c r="RDW66" s="10"/>
      <c r="RDX66" s="10"/>
      <c r="RDY66" s="10"/>
      <c r="RDZ66" s="10"/>
      <c r="REA66" s="10"/>
      <c r="REB66" s="10"/>
      <c r="REC66" s="10"/>
      <c r="RED66" s="10"/>
      <c r="REE66" s="10"/>
      <c r="REF66" s="10"/>
      <c r="REG66" s="10"/>
      <c r="REH66" s="10"/>
      <c r="REI66" s="10"/>
      <c r="REJ66" s="10"/>
      <c r="REK66" s="10"/>
      <c r="REL66" s="10"/>
      <c r="REM66" s="10"/>
      <c r="REN66" s="10"/>
      <c r="REO66" s="10"/>
      <c r="REP66" s="10"/>
      <c r="REQ66" s="10"/>
      <c r="RER66" s="10"/>
      <c r="RES66" s="10"/>
      <c r="RET66" s="10"/>
      <c r="REU66" s="10"/>
      <c r="REV66" s="10"/>
      <c r="REW66" s="10"/>
      <c r="REX66" s="10"/>
      <c r="REY66" s="10"/>
      <c r="REZ66" s="10"/>
      <c r="RFA66" s="10"/>
      <c r="RFB66" s="10"/>
      <c r="RFC66" s="10"/>
      <c r="RFD66" s="10"/>
      <c r="RFE66" s="10"/>
      <c r="RFF66" s="10"/>
      <c r="RFG66" s="10"/>
      <c r="RFH66" s="10"/>
      <c r="RFI66" s="10"/>
      <c r="RFJ66" s="10"/>
      <c r="RFK66" s="10"/>
      <c r="RFL66" s="10"/>
      <c r="RFM66" s="10"/>
      <c r="RFN66" s="10"/>
      <c r="RFO66" s="10"/>
      <c r="RFP66" s="10"/>
      <c r="RFQ66" s="10"/>
      <c r="RFR66" s="10"/>
      <c r="RFS66" s="10"/>
      <c r="RFT66" s="10"/>
      <c r="RFU66" s="10"/>
      <c r="RFV66" s="10"/>
      <c r="RFW66" s="10"/>
      <c r="RFX66" s="10"/>
      <c r="RFY66" s="10"/>
      <c r="RFZ66" s="10"/>
      <c r="RGA66" s="10"/>
      <c r="RGB66" s="10"/>
      <c r="RGC66" s="10"/>
      <c r="RGD66" s="10"/>
      <c r="RGE66" s="10"/>
      <c r="RGF66" s="10"/>
      <c r="RGG66" s="10"/>
      <c r="RGH66" s="10"/>
      <c r="RGI66" s="10"/>
      <c r="RGJ66" s="10"/>
      <c r="RGK66" s="10"/>
      <c r="RGL66" s="10"/>
      <c r="RGM66" s="10"/>
      <c r="RGN66" s="10"/>
      <c r="RGO66" s="10"/>
      <c r="RGP66" s="10"/>
      <c r="RGQ66" s="10"/>
      <c r="RGR66" s="10"/>
      <c r="RGS66" s="10"/>
      <c r="RGT66" s="10"/>
      <c r="RGU66" s="10"/>
      <c r="RGV66" s="10"/>
      <c r="RGW66" s="10"/>
      <c r="RGX66" s="10"/>
      <c r="RGY66" s="10"/>
      <c r="RGZ66" s="10"/>
      <c r="RHA66" s="10"/>
      <c r="RHB66" s="10"/>
      <c r="RHC66" s="10"/>
      <c r="RHD66" s="10"/>
      <c r="RHE66" s="10"/>
      <c r="RHF66" s="10"/>
      <c r="RHG66" s="10"/>
      <c r="RHH66" s="10"/>
      <c r="RHI66" s="10"/>
      <c r="RHJ66" s="10"/>
      <c r="RHK66" s="10"/>
      <c r="RHL66" s="10"/>
      <c r="RHM66" s="10"/>
      <c r="RHN66" s="10"/>
      <c r="RHO66" s="10"/>
      <c r="RHP66" s="10"/>
      <c r="RHQ66" s="10"/>
      <c r="RHR66" s="10"/>
      <c r="RHS66" s="10"/>
      <c r="RHT66" s="10"/>
      <c r="RHU66" s="10"/>
      <c r="RHV66" s="10"/>
      <c r="RHW66" s="10"/>
      <c r="RHX66" s="10"/>
      <c r="RHY66" s="10"/>
      <c r="RHZ66" s="10"/>
      <c r="RIA66" s="10"/>
      <c r="RIB66" s="10"/>
      <c r="RIC66" s="10"/>
      <c r="RID66" s="10"/>
      <c r="RIE66" s="10"/>
      <c r="RIF66" s="10"/>
      <c r="RIG66" s="10"/>
      <c r="RIH66" s="10"/>
      <c r="RII66" s="10"/>
      <c r="RIJ66" s="10"/>
      <c r="RIK66" s="10"/>
      <c r="RIL66" s="10"/>
      <c r="RIM66" s="10"/>
      <c r="RIN66" s="10"/>
      <c r="RIO66" s="10"/>
      <c r="RIP66" s="10"/>
      <c r="RIQ66" s="10"/>
      <c r="RIR66" s="10"/>
      <c r="RIS66" s="10"/>
      <c r="RIT66" s="10"/>
      <c r="RIU66" s="10"/>
      <c r="RIV66" s="10"/>
      <c r="RIW66" s="10"/>
      <c r="RIX66" s="10"/>
      <c r="RIY66" s="10"/>
      <c r="RIZ66" s="10"/>
      <c r="RJA66" s="10"/>
      <c r="RJB66" s="10"/>
      <c r="RJC66" s="10"/>
      <c r="RJD66" s="10"/>
      <c r="RJE66" s="10"/>
      <c r="RJF66" s="10"/>
      <c r="RJG66" s="10"/>
      <c r="RJH66" s="10"/>
      <c r="RJI66" s="10"/>
      <c r="RJJ66" s="10"/>
      <c r="RJK66" s="10"/>
      <c r="RJL66" s="10"/>
      <c r="RJM66" s="10"/>
      <c r="RJN66" s="10"/>
      <c r="RJO66" s="10"/>
      <c r="RJP66" s="10"/>
      <c r="RJQ66" s="10"/>
      <c r="RJR66" s="10"/>
      <c r="RJS66" s="10"/>
      <c r="RJT66" s="10"/>
      <c r="RJU66" s="10"/>
      <c r="RJV66" s="10"/>
      <c r="RJW66" s="10"/>
      <c r="RJX66" s="10"/>
      <c r="RJY66" s="10"/>
      <c r="RJZ66" s="10"/>
      <c r="RKA66" s="10"/>
      <c r="RKB66" s="10"/>
      <c r="RKC66" s="10"/>
      <c r="RKD66" s="10"/>
      <c r="RKE66" s="10"/>
      <c r="RKF66" s="10"/>
      <c r="RKG66" s="10"/>
      <c r="RKH66" s="10"/>
      <c r="RKI66" s="10"/>
      <c r="RKJ66" s="10"/>
      <c r="RKK66" s="10"/>
      <c r="RKL66" s="10"/>
      <c r="RKM66" s="10"/>
      <c r="RKN66" s="10"/>
      <c r="RKO66" s="10"/>
      <c r="RKP66" s="10"/>
      <c r="RKQ66" s="10"/>
      <c r="RKR66" s="10"/>
      <c r="RKS66" s="10"/>
      <c r="RKT66" s="10"/>
      <c r="RKU66" s="10"/>
      <c r="RKV66" s="10"/>
      <c r="RKW66" s="10"/>
      <c r="RKX66" s="10"/>
      <c r="RKY66" s="10"/>
      <c r="RKZ66" s="10"/>
      <c r="RLA66" s="10"/>
      <c r="RLB66" s="10"/>
      <c r="RLC66" s="10"/>
      <c r="RLD66" s="10"/>
      <c r="RLE66" s="10"/>
      <c r="RLF66" s="10"/>
      <c r="RLG66" s="10"/>
      <c r="RLH66" s="10"/>
      <c r="RLI66" s="10"/>
      <c r="RLJ66" s="10"/>
      <c r="RLK66" s="10"/>
      <c r="RLL66" s="10"/>
      <c r="RLM66" s="10"/>
      <c r="RLN66" s="10"/>
      <c r="RLO66" s="10"/>
      <c r="RLP66" s="10"/>
      <c r="RLQ66" s="10"/>
      <c r="RLR66" s="10"/>
      <c r="RLS66" s="10"/>
      <c r="RLT66" s="10"/>
      <c r="RLU66" s="10"/>
      <c r="RLV66" s="10"/>
      <c r="RLW66" s="10"/>
      <c r="RLX66" s="10"/>
      <c r="RLY66" s="10"/>
      <c r="RLZ66" s="10"/>
      <c r="RMA66" s="10"/>
      <c r="RMB66" s="10"/>
      <c r="RMC66" s="10"/>
      <c r="RMD66" s="10"/>
      <c r="RME66" s="10"/>
      <c r="RMF66" s="10"/>
      <c r="RMG66" s="10"/>
      <c r="RMH66" s="10"/>
      <c r="RMI66" s="10"/>
      <c r="RMJ66" s="10"/>
      <c r="RMK66" s="10"/>
      <c r="RML66" s="10"/>
      <c r="RMM66" s="10"/>
      <c r="RMN66" s="10"/>
      <c r="RMO66" s="10"/>
      <c r="RMP66" s="10"/>
      <c r="RMQ66" s="10"/>
      <c r="RMR66" s="10"/>
      <c r="RMS66" s="10"/>
      <c r="RMT66" s="10"/>
      <c r="RMU66" s="10"/>
      <c r="RMV66" s="10"/>
      <c r="RMW66" s="10"/>
      <c r="RMX66" s="10"/>
      <c r="RMY66" s="10"/>
      <c r="RMZ66" s="10"/>
      <c r="RNA66" s="10"/>
      <c r="RNB66" s="10"/>
      <c r="RNC66" s="10"/>
      <c r="RND66" s="10"/>
      <c r="RNE66" s="10"/>
      <c r="RNF66" s="10"/>
      <c r="RNG66" s="10"/>
      <c r="RNH66" s="10"/>
      <c r="RNI66" s="10"/>
      <c r="RNJ66" s="10"/>
      <c r="RNK66" s="10"/>
      <c r="RNL66" s="10"/>
      <c r="RNM66" s="10"/>
      <c r="RNN66" s="10"/>
      <c r="RNO66" s="10"/>
      <c r="RNP66" s="10"/>
      <c r="RNQ66" s="10"/>
      <c r="RNR66" s="10"/>
      <c r="RNS66" s="10"/>
      <c r="RNT66" s="10"/>
      <c r="RNU66" s="10"/>
      <c r="RNV66" s="10"/>
      <c r="RNW66" s="10"/>
      <c r="RNX66" s="10"/>
      <c r="RNY66" s="10"/>
      <c r="RNZ66" s="10"/>
      <c r="ROA66" s="10"/>
      <c r="ROB66" s="10"/>
      <c r="ROC66" s="10"/>
      <c r="ROD66" s="10"/>
      <c r="ROE66" s="10"/>
      <c r="ROF66" s="10"/>
      <c r="ROG66" s="10"/>
      <c r="ROH66" s="10"/>
      <c r="ROI66" s="10"/>
      <c r="ROJ66" s="10"/>
      <c r="ROK66" s="10"/>
      <c r="ROL66" s="10"/>
      <c r="ROM66" s="10"/>
      <c r="RON66" s="10"/>
      <c r="ROO66" s="10"/>
      <c r="ROP66" s="10"/>
      <c r="ROQ66" s="10"/>
      <c r="ROR66" s="10"/>
      <c r="ROS66" s="10"/>
      <c r="ROT66" s="10"/>
      <c r="ROU66" s="10"/>
      <c r="ROV66" s="10"/>
      <c r="ROW66" s="10"/>
      <c r="ROX66" s="10"/>
      <c r="ROY66" s="10"/>
      <c r="ROZ66" s="10"/>
      <c r="RPA66" s="10"/>
      <c r="RPB66" s="10"/>
      <c r="RPC66" s="10"/>
      <c r="RPD66" s="10"/>
      <c r="RPE66" s="10"/>
      <c r="RPF66" s="10"/>
      <c r="RPG66" s="10"/>
      <c r="RPH66" s="10"/>
      <c r="RPI66" s="10"/>
      <c r="RPJ66" s="10"/>
      <c r="RPK66" s="10"/>
      <c r="RPL66" s="10"/>
      <c r="RPM66" s="10"/>
      <c r="RPN66" s="10"/>
      <c r="RPO66" s="10"/>
      <c r="RPP66" s="10"/>
      <c r="RPQ66" s="10"/>
      <c r="RPR66" s="10"/>
      <c r="RPS66" s="10"/>
      <c r="RPT66" s="10"/>
      <c r="RPU66" s="10"/>
      <c r="RPV66" s="10"/>
      <c r="RPW66" s="10"/>
      <c r="RPX66" s="10"/>
      <c r="RPY66" s="10"/>
      <c r="RPZ66" s="10"/>
      <c r="RQA66" s="10"/>
      <c r="RQB66" s="10"/>
      <c r="RQC66" s="10"/>
      <c r="RQD66" s="10"/>
      <c r="RQE66" s="10"/>
      <c r="RQF66" s="10"/>
      <c r="RQG66" s="10"/>
      <c r="RQH66" s="10"/>
      <c r="RQI66" s="10"/>
      <c r="RQJ66" s="10"/>
      <c r="RQK66" s="10"/>
      <c r="RQL66" s="10"/>
      <c r="RQM66" s="10"/>
      <c r="RQN66" s="10"/>
      <c r="RQO66" s="10"/>
      <c r="RQP66" s="10"/>
      <c r="RQQ66" s="10"/>
      <c r="RQR66" s="10"/>
      <c r="RQS66" s="10"/>
      <c r="RQT66" s="10"/>
      <c r="RQU66" s="10"/>
      <c r="RQV66" s="10"/>
      <c r="RQW66" s="10"/>
      <c r="RQX66" s="10"/>
      <c r="RQY66" s="10"/>
      <c r="RQZ66" s="10"/>
      <c r="RRA66" s="10"/>
      <c r="RRB66" s="10"/>
      <c r="RRC66" s="10"/>
      <c r="RRD66" s="10"/>
      <c r="RRE66" s="10"/>
      <c r="RRF66" s="10"/>
      <c r="RRG66" s="10"/>
      <c r="RRH66" s="10"/>
      <c r="RRI66" s="10"/>
      <c r="RRJ66" s="10"/>
      <c r="RRK66" s="10"/>
      <c r="RRL66" s="10"/>
      <c r="RRM66" s="10"/>
      <c r="RRN66" s="10"/>
      <c r="RRO66" s="10"/>
      <c r="RRP66" s="10"/>
      <c r="RRQ66" s="10"/>
      <c r="RRR66" s="10"/>
      <c r="RRS66" s="10"/>
      <c r="RRT66" s="10"/>
      <c r="RRU66" s="10"/>
      <c r="RRV66" s="10"/>
      <c r="RRW66" s="10"/>
      <c r="RRX66" s="10"/>
      <c r="RRY66" s="10"/>
      <c r="RRZ66" s="10"/>
      <c r="RSA66" s="10"/>
      <c r="RSB66" s="10"/>
      <c r="RSC66" s="10"/>
      <c r="RSD66" s="10"/>
      <c r="RSE66" s="10"/>
      <c r="RSF66" s="10"/>
      <c r="RSG66" s="10"/>
      <c r="RSH66" s="10"/>
      <c r="RSI66" s="10"/>
      <c r="RSJ66" s="10"/>
      <c r="RSK66" s="10"/>
      <c r="RSL66" s="10"/>
      <c r="RSM66" s="10"/>
      <c r="RSN66" s="10"/>
      <c r="RSO66" s="10"/>
      <c r="RSP66" s="10"/>
      <c r="RSQ66" s="10"/>
      <c r="RSR66" s="10"/>
      <c r="RSS66" s="10"/>
      <c r="RST66" s="10"/>
      <c r="RSU66" s="10"/>
      <c r="RSV66" s="10"/>
      <c r="RSW66" s="10"/>
      <c r="RSX66" s="10"/>
      <c r="RSY66" s="10"/>
      <c r="RSZ66" s="10"/>
      <c r="RTA66" s="10"/>
      <c r="RTB66" s="10"/>
      <c r="RTC66" s="10"/>
      <c r="RTD66" s="10"/>
      <c r="RTE66" s="10"/>
      <c r="RTF66" s="10"/>
      <c r="RTG66" s="10"/>
      <c r="RTH66" s="10"/>
      <c r="RTI66" s="10"/>
      <c r="RTJ66" s="10"/>
      <c r="RTK66" s="10"/>
      <c r="RTL66" s="10"/>
      <c r="RTM66" s="10"/>
      <c r="RTN66" s="10"/>
      <c r="RTO66" s="10"/>
      <c r="RTP66" s="10"/>
      <c r="RTQ66" s="10"/>
      <c r="RTR66" s="10"/>
      <c r="RTS66" s="10"/>
      <c r="RTT66" s="10"/>
      <c r="RTU66" s="10"/>
      <c r="RTV66" s="10"/>
      <c r="RTW66" s="10"/>
      <c r="RTX66" s="10"/>
      <c r="RTY66" s="10"/>
      <c r="RTZ66" s="10"/>
      <c r="RUA66" s="10"/>
      <c r="RUB66" s="10"/>
      <c r="RUC66" s="10"/>
      <c r="RUD66" s="10"/>
      <c r="RUE66" s="10"/>
      <c r="RUF66" s="10"/>
      <c r="RUG66" s="10"/>
      <c r="RUH66" s="10"/>
      <c r="RUI66" s="10"/>
      <c r="RUJ66" s="10"/>
      <c r="RUK66" s="10"/>
      <c r="RUL66" s="10"/>
      <c r="RUM66" s="10"/>
      <c r="RUN66" s="10"/>
      <c r="RUO66" s="10"/>
      <c r="RUP66" s="10"/>
      <c r="RUQ66" s="10"/>
      <c r="RUR66" s="10"/>
      <c r="RUS66" s="10"/>
      <c r="RUT66" s="10"/>
      <c r="RUU66" s="10"/>
      <c r="RUV66" s="10"/>
      <c r="RUW66" s="10"/>
      <c r="RUX66" s="10"/>
      <c r="RUY66" s="10"/>
      <c r="RUZ66" s="10"/>
      <c r="RVA66" s="10"/>
      <c r="RVB66" s="10"/>
      <c r="RVC66" s="10"/>
      <c r="RVD66" s="10"/>
      <c r="RVE66" s="10"/>
      <c r="RVF66" s="10"/>
      <c r="RVG66" s="10"/>
      <c r="RVH66" s="10"/>
      <c r="RVI66" s="10"/>
      <c r="RVJ66" s="10"/>
      <c r="RVK66" s="10"/>
      <c r="RVL66" s="10"/>
      <c r="RVM66" s="10"/>
      <c r="RVN66" s="10"/>
      <c r="RVO66" s="10"/>
      <c r="RVP66" s="10"/>
      <c r="RVQ66" s="10"/>
      <c r="RVR66" s="10"/>
      <c r="RVS66" s="10"/>
      <c r="RVT66" s="10"/>
      <c r="RVU66" s="10"/>
      <c r="RVV66" s="10"/>
      <c r="RVW66" s="10"/>
      <c r="RVX66" s="10"/>
      <c r="RVY66" s="10"/>
      <c r="RVZ66" s="10"/>
      <c r="RWA66" s="10"/>
      <c r="RWB66" s="10"/>
      <c r="RWC66" s="10"/>
      <c r="RWD66" s="10"/>
      <c r="RWE66" s="10"/>
      <c r="RWF66" s="10"/>
      <c r="RWG66" s="10"/>
      <c r="RWH66" s="10"/>
      <c r="RWI66" s="10"/>
      <c r="RWJ66" s="10"/>
      <c r="RWK66" s="10"/>
      <c r="RWL66" s="10"/>
      <c r="RWM66" s="10"/>
      <c r="RWN66" s="10"/>
      <c r="RWO66" s="10"/>
      <c r="RWP66" s="10"/>
      <c r="RWQ66" s="10"/>
      <c r="RWR66" s="10"/>
      <c r="RWS66" s="10"/>
      <c r="RWT66" s="10"/>
      <c r="RWU66" s="10"/>
      <c r="RWV66" s="10"/>
      <c r="RWW66" s="10"/>
      <c r="RWX66" s="10"/>
      <c r="RWY66" s="10"/>
      <c r="RWZ66" s="10"/>
      <c r="RXA66" s="10"/>
      <c r="RXB66" s="10"/>
      <c r="RXC66" s="10"/>
      <c r="RXD66" s="10"/>
      <c r="RXE66" s="10"/>
      <c r="RXF66" s="10"/>
      <c r="RXG66" s="10"/>
      <c r="RXH66" s="10"/>
      <c r="RXI66" s="10"/>
      <c r="RXJ66" s="10"/>
      <c r="RXK66" s="10"/>
      <c r="RXL66" s="10"/>
      <c r="RXM66" s="10"/>
      <c r="RXN66" s="10"/>
      <c r="RXO66" s="10"/>
      <c r="RXP66" s="10"/>
      <c r="RXQ66" s="10"/>
      <c r="RXR66" s="10"/>
      <c r="RXS66" s="10"/>
      <c r="RXT66" s="10"/>
      <c r="RXU66" s="10"/>
      <c r="RXV66" s="10"/>
      <c r="RXW66" s="10"/>
      <c r="RXX66" s="10"/>
      <c r="RXY66" s="10"/>
      <c r="RXZ66" s="10"/>
      <c r="RYA66" s="10"/>
      <c r="RYB66" s="10"/>
      <c r="RYC66" s="10"/>
      <c r="RYD66" s="10"/>
      <c r="RYE66" s="10"/>
      <c r="RYF66" s="10"/>
      <c r="RYG66" s="10"/>
      <c r="RYH66" s="10"/>
      <c r="RYI66" s="10"/>
      <c r="RYJ66" s="10"/>
      <c r="RYK66" s="10"/>
      <c r="RYL66" s="10"/>
      <c r="RYM66" s="10"/>
      <c r="RYN66" s="10"/>
      <c r="RYO66" s="10"/>
      <c r="RYP66" s="10"/>
      <c r="RYQ66" s="10"/>
      <c r="RYR66" s="10"/>
      <c r="RYS66" s="10"/>
      <c r="RYT66" s="10"/>
      <c r="RYU66" s="10"/>
      <c r="RYV66" s="10"/>
      <c r="RYW66" s="10"/>
      <c r="RYX66" s="10"/>
      <c r="RYY66" s="10"/>
      <c r="RYZ66" s="10"/>
      <c r="RZA66" s="10"/>
      <c r="RZB66" s="10"/>
      <c r="RZC66" s="10"/>
      <c r="RZD66" s="10"/>
      <c r="RZE66" s="10"/>
      <c r="RZF66" s="10"/>
      <c r="RZG66" s="10"/>
      <c r="RZH66" s="10"/>
      <c r="RZI66" s="10"/>
      <c r="RZJ66" s="10"/>
      <c r="RZK66" s="10"/>
      <c r="RZL66" s="10"/>
      <c r="RZM66" s="10"/>
      <c r="RZN66" s="10"/>
      <c r="RZO66" s="10"/>
      <c r="RZP66" s="10"/>
      <c r="RZQ66" s="10"/>
      <c r="RZR66" s="10"/>
      <c r="RZS66" s="10"/>
      <c r="RZT66" s="10"/>
      <c r="RZU66" s="10"/>
      <c r="RZV66" s="10"/>
      <c r="RZW66" s="10"/>
      <c r="RZX66" s="10"/>
      <c r="RZY66" s="10"/>
      <c r="RZZ66" s="10"/>
      <c r="SAA66" s="10"/>
      <c r="SAB66" s="10"/>
      <c r="SAC66" s="10"/>
      <c r="SAD66" s="10"/>
      <c r="SAE66" s="10"/>
      <c r="SAF66" s="10"/>
      <c r="SAG66" s="10"/>
      <c r="SAH66" s="10"/>
      <c r="SAI66" s="10"/>
      <c r="SAJ66" s="10"/>
      <c r="SAK66" s="10"/>
      <c r="SAL66" s="10"/>
      <c r="SAM66" s="10"/>
      <c r="SAN66" s="10"/>
      <c r="SAO66" s="10"/>
      <c r="SAP66" s="10"/>
      <c r="SAQ66" s="10"/>
      <c r="SAR66" s="10"/>
      <c r="SAS66" s="10"/>
      <c r="SAT66" s="10"/>
      <c r="SAU66" s="10"/>
      <c r="SAV66" s="10"/>
      <c r="SAW66" s="10"/>
      <c r="SAX66" s="10"/>
      <c r="SAY66" s="10"/>
      <c r="SAZ66" s="10"/>
      <c r="SBA66" s="10"/>
      <c r="SBB66" s="10"/>
      <c r="SBC66" s="10"/>
      <c r="SBD66" s="10"/>
      <c r="SBE66" s="10"/>
      <c r="SBF66" s="10"/>
      <c r="SBG66" s="10"/>
      <c r="SBH66" s="10"/>
      <c r="SBI66" s="10"/>
      <c r="SBJ66" s="10"/>
      <c r="SBK66" s="10"/>
      <c r="SBL66" s="10"/>
      <c r="SBM66" s="10"/>
      <c r="SBN66" s="10"/>
      <c r="SBO66" s="10"/>
      <c r="SBP66" s="10"/>
      <c r="SBQ66" s="10"/>
      <c r="SBR66" s="10"/>
      <c r="SBS66" s="10"/>
      <c r="SBT66" s="10"/>
      <c r="SBU66" s="10"/>
      <c r="SBV66" s="10"/>
      <c r="SBW66" s="10"/>
      <c r="SBX66" s="10"/>
      <c r="SBY66" s="10"/>
      <c r="SBZ66" s="10"/>
      <c r="SCA66" s="10"/>
      <c r="SCB66" s="10"/>
      <c r="SCC66" s="10"/>
      <c r="SCD66" s="10"/>
      <c r="SCE66" s="10"/>
      <c r="SCF66" s="10"/>
      <c r="SCG66" s="10"/>
      <c r="SCH66" s="10"/>
      <c r="SCI66" s="10"/>
      <c r="SCJ66" s="10"/>
      <c r="SCK66" s="10"/>
      <c r="SCL66" s="10"/>
      <c r="SCM66" s="10"/>
      <c r="SCN66" s="10"/>
      <c r="SCO66" s="10"/>
      <c r="SCP66" s="10"/>
      <c r="SCQ66" s="10"/>
      <c r="SCR66" s="10"/>
      <c r="SCS66" s="10"/>
      <c r="SCT66" s="10"/>
      <c r="SCU66" s="10"/>
      <c r="SCV66" s="10"/>
      <c r="SCW66" s="10"/>
      <c r="SCX66" s="10"/>
      <c r="SCY66" s="10"/>
      <c r="SCZ66" s="10"/>
      <c r="SDA66" s="10"/>
      <c r="SDB66" s="10"/>
      <c r="SDC66" s="10"/>
      <c r="SDD66" s="10"/>
      <c r="SDE66" s="10"/>
      <c r="SDF66" s="10"/>
      <c r="SDG66" s="10"/>
      <c r="SDH66" s="10"/>
      <c r="SDI66" s="10"/>
      <c r="SDJ66" s="10"/>
      <c r="SDK66" s="10"/>
      <c r="SDL66" s="10"/>
      <c r="SDM66" s="10"/>
      <c r="SDN66" s="10"/>
      <c r="SDO66" s="10"/>
      <c r="SDP66" s="10"/>
      <c r="SDQ66" s="10"/>
      <c r="SDR66" s="10"/>
      <c r="SDS66" s="10"/>
      <c r="SDT66" s="10"/>
      <c r="SDU66" s="10"/>
      <c r="SDV66" s="10"/>
      <c r="SDW66" s="10"/>
      <c r="SDX66" s="10"/>
      <c r="SDY66" s="10"/>
      <c r="SDZ66" s="10"/>
      <c r="SEA66" s="10"/>
      <c r="SEB66" s="10"/>
      <c r="SEC66" s="10"/>
      <c r="SED66" s="10"/>
      <c r="SEE66" s="10"/>
      <c r="SEF66" s="10"/>
      <c r="SEG66" s="10"/>
      <c r="SEH66" s="10"/>
      <c r="SEI66" s="10"/>
      <c r="SEJ66" s="10"/>
      <c r="SEK66" s="10"/>
      <c r="SEL66" s="10"/>
      <c r="SEM66" s="10"/>
      <c r="SEN66" s="10"/>
      <c r="SEO66" s="10"/>
      <c r="SEP66" s="10"/>
      <c r="SEQ66" s="10"/>
      <c r="SER66" s="10"/>
      <c r="SES66" s="10"/>
      <c r="SET66" s="10"/>
      <c r="SEU66" s="10"/>
      <c r="SEV66" s="10"/>
      <c r="SEW66" s="10"/>
      <c r="SEX66" s="10"/>
      <c r="SEY66" s="10"/>
      <c r="SEZ66" s="10"/>
      <c r="SFA66" s="10"/>
      <c r="SFB66" s="10"/>
      <c r="SFC66" s="10"/>
      <c r="SFD66" s="10"/>
      <c r="SFE66" s="10"/>
      <c r="SFF66" s="10"/>
      <c r="SFG66" s="10"/>
      <c r="SFH66" s="10"/>
      <c r="SFI66" s="10"/>
      <c r="SFJ66" s="10"/>
      <c r="SFK66" s="10"/>
      <c r="SFL66" s="10"/>
      <c r="SFM66" s="10"/>
      <c r="SFN66" s="10"/>
      <c r="SFO66" s="10"/>
      <c r="SFP66" s="10"/>
      <c r="SFQ66" s="10"/>
      <c r="SFR66" s="10"/>
      <c r="SFS66" s="10"/>
      <c r="SFT66" s="10"/>
      <c r="SFU66" s="10"/>
      <c r="SFV66" s="10"/>
      <c r="SFW66" s="10"/>
      <c r="SFX66" s="10"/>
      <c r="SFY66" s="10"/>
      <c r="SFZ66" s="10"/>
      <c r="SGA66" s="10"/>
      <c r="SGB66" s="10"/>
      <c r="SGC66" s="10"/>
      <c r="SGD66" s="10"/>
      <c r="SGE66" s="10"/>
      <c r="SGF66" s="10"/>
      <c r="SGG66" s="10"/>
      <c r="SGH66" s="10"/>
      <c r="SGI66" s="10"/>
      <c r="SGJ66" s="10"/>
      <c r="SGK66" s="10"/>
      <c r="SGL66" s="10"/>
      <c r="SGM66" s="10"/>
      <c r="SGN66" s="10"/>
      <c r="SGO66" s="10"/>
      <c r="SGP66" s="10"/>
      <c r="SGQ66" s="10"/>
      <c r="SGR66" s="10"/>
      <c r="SGS66" s="10"/>
      <c r="SGT66" s="10"/>
      <c r="SGU66" s="10"/>
      <c r="SGV66" s="10"/>
      <c r="SGW66" s="10"/>
      <c r="SGX66" s="10"/>
      <c r="SGY66" s="10"/>
      <c r="SGZ66" s="10"/>
      <c r="SHA66" s="10"/>
      <c r="SHB66" s="10"/>
      <c r="SHC66" s="10"/>
      <c r="SHD66" s="10"/>
      <c r="SHE66" s="10"/>
      <c r="SHF66" s="10"/>
      <c r="SHG66" s="10"/>
      <c r="SHH66" s="10"/>
      <c r="SHI66" s="10"/>
      <c r="SHJ66" s="10"/>
      <c r="SHK66" s="10"/>
      <c r="SHL66" s="10"/>
      <c r="SHM66" s="10"/>
      <c r="SHN66" s="10"/>
      <c r="SHO66" s="10"/>
      <c r="SHP66" s="10"/>
      <c r="SHQ66" s="10"/>
      <c r="SHR66" s="10"/>
      <c r="SHS66" s="10"/>
      <c r="SHT66" s="10"/>
      <c r="SHU66" s="10"/>
      <c r="SHV66" s="10"/>
      <c r="SHW66" s="10"/>
      <c r="SHX66" s="10"/>
      <c r="SHY66" s="10"/>
      <c r="SHZ66" s="10"/>
      <c r="SIA66" s="10"/>
      <c r="SIB66" s="10"/>
      <c r="SIC66" s="10"/>
      <c r="SID66" s="10"/>
      <c r="SIE66" s="10"/>
      <c r="SIF66" s="10"/>
      <c r="SIG66" s="10"/>
      <c r="SIH66" s="10"/>
      <c r="SII66" s="10"/>
      <c r="SIJ66" s="10"/>
      <c r="SIK66" s="10"/>
      <c r="SIL66" s="10"/>
      <c r="SIM66" s="10"/>
      <c r="SIN66" s="10"/>
      <c r="SIO66" s="10"/>
      <c r="SIP66" s="10"/>
      <c r="SIQ66" s="10"/>
      <c r="SIR66" s="10"/>
      <c r="SIS66" s="10"/>
      <c r="SIT66" s="10"/>
      <c r="SIU66" s="10"/>
      <c r="SIV66" s="10"/>
      <c r="SIW66" s="10"/>
      <c r="SIX66" s="10"/>
      <c r="SIY66" s="10"/>
      <c r="SIZ66" s="10"/>
      <c r="SJA66" s="10"/>
      <c r="SJB66" s="10"/>
      <c r="SJC66" s="10"/>
      <c r="SJD66" s="10"/>
      <c r="SJE66" s="10"/>
      <c r="SJF66" s="10"/>
      <c r="SJG66" s="10"/>
      <c r="SJH66" s="10"/>
      <c r="SJI66" s="10"/>
      <c r="SJJ66" s="10"/>
      <c r="SJK66" s="10"/>
      <c r="SJL66" s="10"/>
      <c r="SJM66" s="10"/>
      <c r="SJN66" s="10"/>
      <c r="SJO66" s="10"/>
      <c r="SJP66" s="10"/>
      <c r="SJQ66" s="10"/>
      <c r="SJR66" s="10"/>
      <c r="SJS66" s="10"/>
      <c r="SJT66" s="10"/>
      <c r="SJU66" s="10"/>
      <c r="SJV66" s="10"/>
      <c r="SJW66" s="10"/>
      <c r="SJX66" s="10"/>
      <c r="SJY66" s="10"/>
      <c r="SJZ66" s="10"/>
      <c r="SKA66" s="10"/>
      <c r="SKB66" s="10"/>
      <c r="SKC66" s="10"/>
      <c r="SKD66" s="10"/>
      <c r="SKE66" s="10"/>
      <c r="SKF66" s="10"/>
      <c r="SKG66" s="10"/>
      <c r="SKH66" s="10"/>
      <c r="SKI66" s="10"/>
      <c r="SKJ66" s="10"/>
      <c r="SKK66" s="10"/>
      <c r="SKL66" s="10"/>
      <c r="SKM66" s="10"/>
      <c r="SKN66" s="10"/>
      <c r="SKO66" s="10"/>
      <c r="SKP66" s="10"/>
      <c r="SKQ66" s="10"/>
      <c r="SKR66" s="10"/>
      <c r="SKS66" s="10"/>
      <c r="SKT66" s="10"/>
      <c r="SKU66" s="10"/>
      <c r="SKV66" s="10"/>
      <c r="SKW66" s="10"/>
      <c r="SKX66" s="10"/>
      <c r="SKY66" s="10"/>
      <c r="SKZ66" s="10"/>
      <c r="SLA66" s="10"/>
      <c r="SLB66" s="10"/>
      <c r="SLC66" s="10"/>
      <c r="SLD66" s="10"/>
      <c r="SLE66" s="10"/>
      <c r="SLF66" s="10"/>
      <c r="SLG66" s="10"/>
      <c r="SLH66" s="10"/>
      <c r="SLI66" s="10"/>
      <c r="SLJ66" s="10"/>
      <c r="SLK66" s="10"/>
      <c r="SLL66" s="10"/>
      <c r="SLM66" s="10"/>
      <c r="SLN66" s="10"/>
      <c r="SLO66" s="10"/>
      <c r="SLP66" s="10"/>
      <c r="SLQ66" s="10"/>
      <c r="SLR66" s="10"/>
      <c r="SLS66" s="10"/>
      <c r="SLT66" s="10"/>
      <c r="SLU66" s="10"/>
      <c r="SLV66" s="10"/>
      <c r="SLW66" s="10"/>
      <c r="SLX66" s="10"/>
      <c r="SLY66" s="10"/>
      <c r="SLZ66" s="10"/>
      <c r="SMA66" s="10"/>
      <c r="SMB66" s="10"/>
      <c r="SMC66" s="10"/>
      <c r="SMD66" s="10"/>
      <c r="SME66" s="10"/>
      <c r="SMF66" s="10"/>
      <c r="SMG66" s="10"/>
      <c r="SMH66" s="10"/>
      <c r="SMI66" s="10"/>
      <c r="SMJ66" s="10"/>
      <c r="SMK66" s="10"/>
      <c r="SML66" s="10"/>
      <c r="SMM66" s="10"/>
      <c r="SMN66" s="10"/>
      <c r="SMO66" s="10"/>
      <c r="SMP66" s="10"/>
      <c r="SMQ66" s="10"/>
      <c r="SMR66" s="10"/>
      <c r="SMS66" s="10"/>
      <c r="SMT66" s="10"/>
      <c r="SMU66" s="10"/>
      <c r="SMV66" s="10"/>
      <c r="SMW66" s="10"/>
      <c r="SMX66" s="10"/>
      <c r="SMY66" s="10"/>
      <c r="SMZ66" s="10"/>
      <c r="SNA66" s="10"/>
      <c r="SNB66" s="10"/>
      <c r="SNC66" s="10"/>
      <c r="SND66" s="10"/>
      <c r="SNE66" s="10"/>
      <c r="SNF66" s="10"/>
      <c r="SNG66" s="10"/>
      <c r="SNH66" s="10"/>
      <c r="SNI66" s="10"/>
      <c r="SNJ66" s="10"/>
      <c r="SNK66" s="10"/>
      <c r="SNL66" s="10"/>
      <c r="SNM66" s="10"/>
      <c r="SNN66" s="10"/>
      <c r="SNO66" s="10"/>
      <c r="SNP66" s="10"/>
      <c r="SNQ66" s="10"/>
      <c r="SNR66" s="10"/>
      <c r="SNS66" s="10"/>
      <c r="SNT66" s="10"/>
      <c r="SNU66" s="10"/>
      <c r="SNV66" s="10"/>
      <c r="SNW66" s="10"/>
      <c r="SNX66" s="10"/>
      <c r="SNY66" s="10"/>
      <c r="SNZ66" s="10"/>
      <c r="SOA66" s="10"/>
      <c r="SOB66" s="10"/>
      <c r="SOC66" s="10"/>
      <c r="SOD66" s="10"/>
      <c r="SOE66" s="10"/>
      <c r="SOF66" s="10"/>
      <c r="SOG66" s="10"/>
      <c r="SOH66" s="10"/>
      <c r="SOI66" s="10"/>
      <c r="SOJ66" s="10"/>
      <c r="SOK66" s="10"/>
      <c r="SOL66" s="10"/>
      <c r="SOM66" s="10"/>
      <c r="SON66" s="10"/>
      <c r="SOO66" s="10"/>
      <c r="SOP66" s="10"/>
      <c r="SOQ66" s="10"/>
      <c r="SOR66" s="10"/>
      <c r="SOS66" s="10"/>
      <c r="SOT66" s="10"/>
      <c r="SOU66" s="10"/>
      <c r="SOV66" s="10"/>
      <c r="SOW66" s="10"/>
      <c r="SOX66" s="10"/>
      <c r="SOY66" s="10"/>
      <c r="SOZ66" s="10"/>
      <c r="SPA66" s="10"/>
      <c r="SPB66" s="10"/>
      <c r="SPC66" s="10"/>
      <c r="SPD66" s="10"/>
      <c r="SPE66" s="10"/>
      <c r="SPF66" s="10"/>
      <c r="SPG66" s="10"/>
      <c r="SPH66" s="10"/>
      <c r="SPI66" s="10"/>
      <c r="SPJ66" s="10"/>
      <c r="SPK66" s="10"/>
      <c r="SPL66" s="10"/>
      <c r="SPM66" s="10"/>
      <c r="SPN66" s="10"/>
      <c r="SPO66" s="10"/>
      <c r="SPP66" s="10"/>
      <c r="SPQ66" s="10"/>
      <c r="SPR66" s="10"/>
      <c r="SPS66" s="10"/>
      <c r="SPT66" s="10"/>
      <c r="SPU66" s="10"/>
      <c r="SPV66" s="10"/>
      <c r="SPW66" s="10"/>
      <c r="SPX66" s="10"/>
      <c r="SPY66" s="10"/>
      <c r="SPZ66" s="10"/>
      <c r="SQA66" s="10"/>
      <c r="SQB66" s="10"/>
      <c r="SQC66" s="10"/>
      <c r="SQD66" s="10"/>
      <c r="SQE66" s="10"/>
      <c r="SQF66" s="10"/>
      <c r="SQG66" s="10"/>
      <c r="SQH66" s="10"/>
      <c r="SQI66" s="10"/>
      <c r="SQJ66" s="10"/>
      <c r="SQK66" s="10"/>
      <c r="SQL66" s="10"/>
      <c r="SQM66" s="10"/>
      <c r="SQN66" s="10"/>
      <c r="SQO66" s="10"/>
      <c r="SQP66" s="10"/>
      <c r="SQQ66" s="10"/>
      <c r="SQR66" s="10"/>
      <c r="SQS66" s="10"/>
      <c r="SQT66" s="10"/>
      <c r="SQU66" s="10"/>
      <c r="SQV66" s="10"/>
      <c r="SQW66" s="10"/>
      <c r="SQX66" s="10"/>
      <c r="SQY66" s="10"/>
      <c r="SQZ66" s="10"/>
      <c r="SRA66" s="10"/>
      <c r="SRB66" s="10"/>
      <c r="SRC66" s="10"/>
      <c r="SRD66" s="10"/>
      <c r="SRE66" s="10"/>
      <c r="SRF66" s="10"/>
      <c r="SRG66" s="10"/>
      <c r="SRH66" s="10"/>
      <c r="SRI66" s="10"/>
      <c r="SRJ66" s="10"/>
      <c r="SRK66" s="10"/>
      <c r="SRL66" s="10"/>
      <c r="SRM66" s="10"/>
      <c r="SRN66" s="10"/>
      <c r="SRO66" s="10"/>
      <c r="SRP66" s="10"/>
      <c r="SRQ66" s="10"/>
      <c r="SRR66" s="10"/>
      <c r="SRS66" s="10"/>
      <c r="SRT66" s="10"/>
      <c r="SRU66" s="10"/>
      <c r="SRV66" s="10"/>
      <c r="SRW66" s="10"/>
      <c r="SRX66" s="10"/>
      <c r="SRY66" s="10"/>
      <c r="SRZ66" s="10"/>
      <c r="SSA66" s="10"/>
      <c r="SSB66" s="10"/>
      <c r="SSC66" s="10"/>
      <c r="SSD66" s="10"/>
      <c r="SSE66" s="10"/>
      <c r="SSF66" s="10"/>
      <c r="SSG66" s="10"/>
      <c r="SSH66" s="10"/>
      <c r="SSI66" s="10"/>
      <c r="SSJ66" s="10"/>
      <c r="SSK66" s="10"/>
      <c r="SSL66" s="10"/>
      <c r="SSM66" s="10"/>
      <c r="SSN66" s="10"/>
      <c r="SSO66" s="10"/>
      <c r="SSP66" s="10"/>
      <c r="SSQ66" s="10"/>
      <c r="SSR66" s="10"/>
      <c r="SSS66" s="10"/>
      <c r="SST66" s="10"/>
      <c r="SSU66" s="10"/>
      <c r="SSV66" s="10"/>
      <c r="SSW66" s="10"/>
      <c r="SSX66" s="10"/>
      <c r="SSY66" s="10"/>
      <c r="SSZ66" s="10"/>
      <c r="STA66" s="10"/>
      <c r="STB66" s="10"/>
      <c r="STC66" s="10"/>
      <c r="STD66" s="10"/>
      <c r="STE66" s="10"/>
      <c r="STF66" s="10"/>
      <c r="STG66" s="10"/>
      <c r="STH66" s="10"/>
      <c r="STI66" s="10"/>
      <c r="STJ66" s="10"/>
      <c r="STK66" s="10"/>
      <c r="STL66" s="10"/>
      <c r="STM66" s="10"/>
      <c r="STN66" s="10"/>
      <c r="STO66" s="10"/>
      <c r="STP66" s="10"/>
      <c r="STQ66" s="10"/>
      <c r="STR66" s="10"/>
      <c r="STS66" s="10"/>
      <c r="STT66" s="10"/>
      <c r="STU66" s="10"/>
      <c r="STV66" s="10"/>
      <c r="STW66" s="10"/>
      <c r="STX66" s="10"/>
      <c r="STY66" s="10"/>
      <c r="STZ66" s="10"/>
      <c r="SUA66" s="10"/>
      <c r="SUB66" s="10"/>
      <c r="SUC66" s="10"/>
      <c r="SUD66" s="10"/>
      <c r="SUE66" s="10"/>
      <c r="SUF66" s="10"/>
      <c r="SUG66" s="10"/>
      <c r="SUH66" s="10"/>
      <c r="SUI66" s="10"/>
      <c r="SUJ66" s="10"/>
      <c r="SUK66" s="10"/>
      <c r="SUL66" s="10"/>
      <c r="SUM66" s="10"/>
      <c r="SUN66" s="10"/>
      <c r="SUO66" s="10"/>
      <c r="SUP66" s="10"/>
      <c r="SUQ66" s="10"/>
      <c r="SUR66" s="10"/>
      <c r="SUS66" s="10"/>
      <c r="SUT66" s="10"/>
      <c r="SUU66" s="10"/>
      <c r="SUV66" s="10"/>
      <c r="SUW66" s="10"/>
      <c r="SUX66" s="10"/>
      <c r="SUY66" s="10"/>
      <c r="SUZ66" s="10"/>
      <c r="SVA66" s="10"/>
      <c r="SVB66" s="10"/>
      <c r="SVC66" s="10"/>
      <c r="SVD66" s="10"/>
      <c r="SVE66" s="10"/>
      <c r="SVF66" s="10"/>
      <c r="SVG66" s="10"/>
      <c r="SVH66" s="10"/>
      <c r="SVI66" s="10"/>
      <c r="SVJ66" s="10"/>
      <c r="SVK66" s="10"/>
      <c r="SVL66" s="10"/>
      <c r="SVM66" s="10"/>
      <c r="SVN66" s="10"/>
      <c r="SVO66" s="10"/>
      <c r="SVP66" s="10"/>
      <c r="SVQ66" s="10"/>
      <c r="SVR66" s="10"/>
      <c r="SVS66" s="10"/>
      <c r="SVT66" s="10"/>
      <c r="SVU66" s="10"/>
      <c r="SVV66" s="10"/>
      <c r="SVW66" s="10"/>
      <c r="SVX66" s="10"/>
      <c r="SVY66" s="10"/>
      <c r="SVZ66" s="10"/>
      <c r="SWA66" s="10"/>
      <c r="SWB66" s="10"/>
      <c r="SWC66" s="10"/>
      <c r="SWD66" s="10"/>
      <c r="SWE66" s="10"/>
      <c r="SWF66" s="10"/>
      <c r="SWG66" s="10"/>
      <c r="SWH66" s="10"/>
      <c r="SWI66" s="10"/>
      <c r="SWJ66" s="10"/>
      <c r="SWK66" s="10"/>
      <c r="SWL66" s="10"/>
      <c r="SWM66" s="10"/>
      <c r="SWN66" s="10"/>
      <c r="SWO66" s="10"/>
      <c r="SWP66" s="10"/>
      <c r="SWQ66" s="10"/>
      <c r="SWR66" s="10"/>
      <c r="SWS66" s="10"/>
      <c r="SWT66" s="10"/>
      <c r="SWU66" s="10"/>
      <c r="SWV66" s="10"/>
      <c r="SWW66" s="10"/>
      <c r="SWX66" s="10"/>
      <c r="SWY66" s="10"/>
      <c r="SWZ66" s="10"/>
      <c r="SXA66" s="10"/>
      <c r="SXB66" s="10"/>
      <c r="SXC66" s="10"/>
      <c r="SXD66" s="10"/>
      <c r="SXE66" s="10"/>
      <c r="SXF66" s="10"/>
      <c r="SXG66" s="10"/>
      <c r="SXH66" s="10"/>
      <c r="SXI66" s="10"/>
      <c r="SXJ66" s="10"/>
      <c r="SXK66" s="10"/>
      <c r="SXL66" s="10"/>
      <c r="SXM66" s="10"/>
      <c r="SXN66" s="10"/>
      <c r="SXO66" s="10"/>
      <c r="SXP66" s="10"/>
      <c r="SXQ66" s="10"/>
      <c r="SXR66" s="10"/>
      <c r="SXS66" s="10"/>
      <c r="SXT66" s="10"/>
      <c r="SXU66" s="10"/>
      <c r="SXV66" s="10"/>
      <c r="SXW66" s="10"/>
      <c r="SXX66" s="10"/>
      <c r="SXY66" s="10"/>
      <c r="SXZ66" s="10"/>
      <c r="SYA66" s="10"/>
      <c r="SYB66" s="10"/>
      <c r="SYC66" s="10"/>
      <c r="SYD66" s="10"/>
      <c r="SYE66" s="10"/>
      <c r="SYF66" s="10"/>
      <c r="SYG66" s="10"/>
      <c r="SYH66" s="10"/>
      <c r="SYI66" s="10"/>
      <c r="SYJ66" s="10"/>
      <c r="SYK66" s="10"/>
      <c r="SYL66" s="10"/>
      <c r="SYM66" s="10"/>
      <c r="SYN66" s="10"/>
      <c r="SYO66" s="10"/>
      <c r="SYP66" s="10"/>
      <c r="SYQ66" s="10"/>
      <c r="SYR66" s="10"/>
      <c r="SYS66" s="10"/>
      <c r="SYT66" s="10"/>
      <c r="SYU66" s="10"/>
      <c r="SYV66" s="10"/>
      <c r="SYW66" s="10"/>
      <c r="SYX66" s="10"/>
      <c r="SYY66" s="10"/>
      <c r="SYZ66" s="10"/>
      <c r="SZA66" s="10"/>
      <c r="SZB66" s="10"/>
      <c r="SZC66" s="10"/>
      <c r="SZD66" s="10"/>
      <c r="SZE66" s="10"/>
      <c r="SZF66" s="10"/>
      <c r="SZG66" s="10"/>
      <c r="SZH66" s="10"/>
      <c r="SZI66" s="10"/>
      <c r="SZJ66" s="10"/>
      <c r="SZK66" s="10"/>
      <c r="SZL66" s="10"/>
      <c r="SZM66" s="10"/>
      <c r="SZN66" s="10"/>
      <c r="SZO66" s="10"/>
      <c r="SZP66" s="10"/>
      <c r="SZQ66" s="10"/>
      <c r="SZR66" s="10"/>
      <c r="SZS66" s="10"/>
      <c r="SZT66" s="10"/>
      <c r="SZU66" s="10"/>
      <c r="SZV66" s="10"/>
      <c r="SZW66" s="10"/>
      <c r="SZX66" s="10"/>
      <c r="SZY66" s="10"/>
      <c r="SZZ66" s="10"/>
      <c r="TAA66" s="10"/>
      <c r="TAB66" s="10"/>
      <c r="TAC66" s="10"/>
      <c r="TAD66" s="10"/>
      <c r="TAE66" s="10"/>
      <c r="TAF66" s="10"/>
      <c r="TAG66" s="10"/>
      <c r="TAH66" s="10"/>
      <c r="TAI66" s="10"/>
      <c r="TAJ66" s="10"/>
      <c r="TAK66" s="10"/>
      <c r="TAL66" s="10"/>
      <c r="TAM66" s="10"/>
      <c r="TAN66" s="10"/>
      <c r="TAO66" s="10"/>
      <c r="TAP66" s="10"/>
      <c r="TAQ66" s="10"/>
      <c r="TAR66" s="10"/>
      <c r="TAS66" s="10"/>
      <c r="TAT66" s="10"/>
      <c r="TAU66" s="10"/>
      <c r="TAV66" s="10"/>
      <c r="TAW66" s="10"/>
      <c r="TAX66" s="10"/>
      <c r="TAY66" s="10"/>
      <c r="TAZ66" s="10"/>
      <c r="TBA66" s="10"/>
      <c r="TBB66" s="10"/>
      <c r="TBC66" s="10"/>
      <c r="TBD66" s="10"/>
      <c r="TBE66" s="10"/>
      <c r="TBF66" s="10"/>
      <c r="TBG66" s="10"/>
      <c r="TBH66" s="10"/>
      <c r="TBI66" s="10"/>
      <c r="TBJ66" s="10"/>
      <c r="TBK66" s="10"/>
      <c r="TBL66" s="10"/>
      <c r="TBM66" s="10"/>
      <c r="TBN66" s="10"/>
      <c r="TBO66" s="10"/>
      <c r="TBP66" s="10"/>
      <c r="TBQ66" s="10"/>
      <c r="TBR66" s="10"/>
      <c r="TBS66" s="10"/>
      <c r="TBT66" s="10"/>
      <c r="TBU66" s="10"/>
      <c r="TBV66" s="10"/>
      <c r="TBW66" s="10"/>
      <c r="TBX66" s="10"/>
      <c r="TBY66" s="10"/>
      <c r="TBZ66" s="10"/>
      <c r="TCA66" s="10"/>
      <c r="TCB66" s="10"/>
      <c r="TCC66" s="10"/>
      <c r="TCD66" s="10"/>
      <c r="TCE66" s="10"/>
      <c r="TCF66" s="10"/>
      <c r="TCG66" s="10"/>
      <c r="TCH66" s="10"/>
      <c r="TCI66" s="10"/>
      <c r="TCJ66" s="10"/>
      <c r="TCK66" s="10"/>
      <c r="TCL66" s="10"/>
      <c r="TCM66" s="10"/>
      <c r="TCN66" s="10"/>
      <c r="TCO66" s="10"/>
      <c r="TCP66" s="10"/>
      <c r="TCQ66" s="10"/>
      <c r="TCR66" s="10"/>
      <c r="TCS66" s="10"/>
      <c r="TCT66" s="10"/>
      <c r="TCU66" s="10"/>
      <c r="TCV66" s="10"/>
      <c r="TCW66" s="10"/>
      <c r="TCX66" s="10"/>
      <c r="TCY66" s="10"/>
      <c r="TCZ66" s="10"/>
      <c r="TDA66" s="10"/>
      <c r="TDB66" s="10"/>
      <c r="TDC66" s="10"/>
      <c r="TDD66" s="10"/>
      <c r="TDE66" s="10"/>
      <c r="TDF66" s="10"/>
      <c r="TDG66" s="10"/>
      <c r="TDH66" s="10"/>
      <c r="TDI66" s="10"/>
      <c r="TDJ66" s="10"/>
      <c r="TDK66" s="10"/>
      <c r="TDL66" s="10"/>
      <c r="TDM66" s="10"/>
      <c r="TDN66" s="10"/>
      <c r="TDO66" s="10"/>
      <c r="TDP66" s="10"/>
      <c r="TDQ66" s="10"/>
      <c r="TDR66" s="10"/>
      <c r="TDS66" s="10"/>
      <c r="TDT66" s="10"/>
      <c r="TDU66" s="10"/>
      <c r="TDV66" s="10"/>
      <c r="TDW66" s="10"/>
      <c r="TDX66" s="10"/>
      <c r="TDY66" s="10"/>
      <c r="TDZ66" s="10"/>
      <c r="TEA66" s="10"/>
      <c r="TEB66" s="10"/>
      <c r="TEC66" s="10"/>
      <c r="TED66" s="10"/>
      <c r="TEE66" s="10"/>
      <c r="TEF66" s="10"/>
      <c r="TEG66" s="10"/>
      <c r="TEH66" s="10"/>
      <c r="TEI66" s="10"/>
      <c r="TEJ66" s="10"/>
      <c r="TEK66" s="10"/>
      <c r="TEL66" s="10"/>
      <c r="TEM66" s="10"/>
      <c r="TEN66" s="10"/>
      <c r="TEO66" s="10"/>
      <c r="TEP66" s="10"/>
      <c r="TEQ66" s="10"/>
      <c r="TER66" s="10"/>
      <c r="TES66" s="10"/>
      <c r="TET66" s="10"/>
      <c r="TEU66" s="10"/>
      <c r="TEV66" s="10"/>
      <c r="TEW66" s="10"/>
      <c r="TEX66" s="10"/>
      <c r="TEY66" s="10"/>
      <c r="TEZ66" s="10"/>
      <c r="TFA66" s="10"/>
      <c r="TFB66" s="10"/>
      <c r="TFC66" s="10"/>
      <c r="TFD66" s="10"/>
      <c r="TFE66" s="10"/>
      <c r="TFF66" s="10"/>
      <c r="TFG66" s="10"/>
      <c r="TFH66" s="10"/>
      <c r="TFI66" s="10"/>
      <c r="TFJ66" s="10"/>
      <c r="TFK66" s="10"/>
      <c r="TFL66" s="10"/>
      <c r="TFM66" s="10"/>
      <c r="TFN66" s="10"/>
      <c r="TFO66" s="10"/>
      <c r="TFP66" s="10"/>
      <c r="TFQ66" s="10"/>
      <c r="TFR66" s="10"/>
      <c r="TFS66" s="10"/>
      <c r="TFT66" s="10"/>
      <c r="TFU66" s="10"/>
      <c r="TFV66" s="10"/>
      <c r="TFW66" s="10"/>
      <c r="TFX66" s="10"/>
      <c r="TFY66" s="10"/>
      <c r="TFZ66" s="10"/>
      <c r="TGA66" s="10"/>
      <c r="TGB66" s="10"/>
      <c r="TGC66" s="10"/>
      <c r="TGD66" s="10"/>
      <c r="TGE66" s="10"/>
      <c r="TGF66" s="10"/>
      <c r="TGG66" s="10"/>
      <c r="TGH66" s="10"/>
      <c r="TGI66" s="10"/>
      <c r="TGJ66" s="10"/>
      <c r="TGK66" s="10"/>
      <c r="TGL66" s="10"/>
      <c r="TGM66" s="10"/>
      <c r="TGN66" s="10"/>
      <c r="TGO66" s="10"/>
      <c r="TGP66" s="10"/>
      <c r="TGQ66" s="10"/>
      <c r="TGR66" s="10"/>
      <c r="TGS66" s="10"/>
      <c r="TGT66" s="10"/>
      <c r="TGU66" s="10"/>
      <c r="TGV66" s="10"/>
      <c r="TGW66" s="10"/>
      <c r="TGX66" s="10"/>
      <c r="TGY66" s="10"/>
      <c r="TGZ66" s="10"/>
      <c r="THA66" s="10"/>
      <c r="THB66" s="10"/>
      <c r="THC66" s="10"/>
      <c r="THD66" s="10"/>
      <c r="THE66" s="10"/>
      <c r="THF66" s="10"/>
      <c r="THG66" s="10"/>
      <c r="THH66" s="10"/>
      <c r="THI66" s="10"/>
      <c r="THJ66" s="10"/>
      <c r="THK66" s="10"/>
      <c r="THL66" s="10"/>
      <c r="THM66" s="10"/>
      <c r="THN66" s="10"/>
      <c r="THO66" s="10"/>
      <c r="THP66" s="10"/>
      <c r="THQ66" s="10"/>
      <c r="THR66" s="10"/>
      <c r="THS66" s="10"/>
      <c r="THT66" s="10"/>
      <c r="THU66" s="10"/>
      <c r="THV66" s="10"/>
      <c r="THW66" s="10"/>
      <c r="THX66" s="10"/>
      <c r="THY66" s="10"/>
      <c r="THZ66" s="10"/>
      <c r="TIA66" s="10"/>
      <c r="TIB66" s="10"/>
      <c r="TIC66" s="10"/>
      <c r="TID66" s="10"/>
      <c r="TIE66" s="10"/>
      <c r="TIF66" s="10"/>
      <c r="TIG66" s="10"/>
      <c r="TIH66" s="10"/>
      <c r="TII66" s="10"/>
      <c r="TIJ66" s="10"/>
      <c r="TIK66" s="10"/>
      <c r="TIL66" s="10"/>
      <c r="TIM66" s="10"/>
      <c r="TIN66" s="10"/>
      <c r="TIO66" s="10"/>
      <c r="TIP66" s="10"/>
      <c r="TIQ66" s="10"/>
      <c r="TIR66" s="10"/>
      <c r="TIS66" s="10"/>
      <c r="TIT66" s="10"/>
      <c r="TIU66" s="10"/>
      <c r="TIV66" s="10"/>
      <c r="TIW66" s="10"/>
      <c r="TIX66" s="10"/>
      <c r="TIY66" s="10"/>
      <c r="TIZ66" s="10"/>
      <c r="TJA66" s="10"/>
      <c r="TJB66" s="10"/>
      <c r="TJC66" s="10"/>
      <c r="TJD66" s="10"/>
      <c r="TJE66" s="10"/>
      <c r="TJF66" s="10"/>
      <c r="TJG66" s="10"/>
      <c r="TJH66" s="10"/>
      <c r="TJI66" s="10"/>
      <c r="TJJ66" s="10"/>
      <c r="TJK66" s="10"/>
      <c r="TJL66" s="10"/>
      <c r="TJM66" s="10"/>
      <c r="TJN66" s="10"/>
      <c r="TJO66" s="10"/>
      <c r="TJP66" s="10"/>
      <c r="TJQ66" s="10"/>
      <c r="TJR66" s="10"/>
      <c r="TJS66" s="10"/>
      <c r="TJT66" s="10"/>
      <c r="TJU66" s="10"/>
      <c r="TJV66" s="10"/>
      <c r="TJW66" s="10"/>
      <c r="TJX66" s="10"/>
      <c r="TJY66" s="10"/>
      <c r="TJZ66" s="10"/>
      <c r="TKA66" s="10"/>
      <c r="TKB66" s="10"/>
      <c r="TKC66" s="10"/>
      <c r="TKD66" s="10"/>
      <c r="TKE66" s="10"/>
      <c r="TKF66" s="10"/>
      <c r="TKG66" s="10"/>
      <c r="TKH66" s="10"/>
      <c r="TKI66" s="10"/>
      <c r="TKJ66" s="10"/>
      <c r="TKK66" s="10"/>
      <c r="TKL66" s="10"/>
      <c r="TKM66" s="10"/>
      <c r="TKN66" s="10"/>
      <c r="TKO66" s="10"/>
      <c r="TKP66" s="10"/>
      <c r="TKQ66" s="10"/>
      <c r="TKR66" s="10"/>
      <c r="TKS66" s="10"/>
      <c r="TKT66" s="10"/>
      <c r="TKU66" s="10"/>
      <c r="TKV66" s="10"/>
      <c r="TKW66" s="10"/>
      <c r="TKX66" s="10"/>
      <c r="TKY66" s="10"/>
      <c r="TKZ66" s="10"/>
      <c r="TLA66" s="10"/>
      <c r="TLB66" s="10"/>
      <c r="TLC66" s="10"/>
      <c r="TLD66" s="10"/>
      <c r="TLE66" s="10"/>
      <c r="TLF66" s="10"/>
      <c r="TLG66" s="10"/>
      <c r="TLH66" s="10"/>
      <c r="TLI66" s="10"/>
      <c r="TLJ66" s="10"/>
      <c r="TLK66" s="10"/>
      <c r="TLL66" s="10"/>
      <c r="TLM66" s="10"/>
      <c r="TLN66" s="10"/>
      <c r="TLO66" s="10"/>
      <c r="TLP66" s="10"/>
      <c r="TLQ66" s="10"/>
      <c r="TLR66" s="10"/>
      <c r="TLS66" s="10"/>
      <c r="TLT66" s="10"/>
      <c r="TLU66" s="10"/>
      <c r="TLV66" s="10"/>
      <c r="TLW66" s="10"/>
      <c r="TLX66" s="10"/>
      <c r="TLY66" s="10"/>
      <c r="TLZ66" s="10"/>
      <c r="TMA66" s="10"/>
      <c r="TMB66" s="10"/>
      <c r="TMC66" s="10"/>
      <c r="TMD66" s="10"/>
      <c r="TME66" s="10"/>
      <c r="TMF66" s="10"/>
      <c r="TMG66" s="10"/>
      <c r="TMH66" s="10"/>
      <c r="TMI66" s="10"/>
      <c r="TMJ66" s="10"/>
      <c r="TMK66" s="10"/>
      <c r="TML66" s="10"/>
      <c r="TMM66" s="10"/>
      <c r="TMN66" s="10"/>
      <c r="TMO66" s="10"/>
      <c r="TMP66" s="10"/>
      <c r="TMQ66" s="10"/>
      <c r="TMR66" s="10"/>
      <c r="TMS66" s="10"/>
      <c r="TMT66" s="10"/>
      <c r="TMU66" s="10"/>
      <c r="TMV66" s="10"/>
      <c r="TMW66" s="10"/>
      <c r="TMX66" s="10"/>
      <c r="TMY66" s="10"/>
      <c r="TMZ66" s="10"/>
      <c r="TNA66" s="10"/>
      <c r="TNB66" s="10"/>
      <c r="TNC66" s="10"/>
      <c r="TND66" s="10"/>
      <c r="TNE66" s="10"/>
      <c r="TNF66" s="10"/>
      <c r="TNG66" s="10"/>
      <c r="TNH66" s="10"/>
      <c r="TNI66" s="10"/>
      <c r="TNJ66" s="10"/>
      <c r="TNK66" s="10"/>
      <c r="TNL66" s="10"/>
      <c r="TNM66" s="10"/>
      <c r="TNN66" s="10"/>
      <c r="TNO66" s="10"/>
      <c r="TNP66" s="10"/>
      <c r="TNQ66" s="10"/>
      <c r="TNR66" s="10"/>
      <c r="TNS66" s="10"/>
      <c r="TNT66" s="10"/>
      <c r="TNU66" s="10"/>
      <c r="TNV66" s="10"/>
      <c r="TNW66" s="10"/>
      <c r="TNX66" s="10"/>
      <c r="TNY66" s="10"/>
      <c r="TNZ66" s="10"/>
      <c r="TOA66" s="10"/>
      <c r="TOB66" s="10"/>
      <c r="TOC66" s="10"/>
      <c r="TOD66" s="10"/>
      <c r="TOE66" s="10"/>
      <c r="TOF66" s="10"/>
      <c r="TOG66" s="10"/>
      <c r="TOH66" s="10"/>
      <c r="TOI66" s="10"/>
      <c r="TOJ66" s="10"/>
      <c r="TOK66" s="10"/>
      <c r="TOL66" s="10"/>
      <c r="TOM66" s="10"/>
      <c r="TON66" s="10"/>
      <c r="TOO66" s="10"/>
      <c r="TOP66" s="10"/>
      <c r="TOQ66" s="10"/>
      <c r="TOR66" s="10"/>
      <c r="TOS66" s="10"/>
      <c r="TOT66" s="10"/>
      <c r="TOU66" s="10"/>
      <c r="TOV66" s="10"/>
      <c r="TOW66" s="10"/>
      <c r="TOX66" s="10"/>
      <c r="TOY66" s="10"/>
      <c r="TOZ66" s="10"/>
      <c r="TPA66" s="10"/>
      <c r="TPB66" s="10"/>
      <c r="TPC66" s="10"/>
      <c r="TPD66" s="10"/>
      <c r="TPE66" s="10"/>
      <c r="TPF66" s="10"/>
      <c r="TPG66" s="10"/>
      <c r="TPH66" s="10"/>
      <c r="TPI66" s="10"/>
      <c r="TPJ66" s="10"/>
      <c r="TPK66" s="10"/>
      <c r="TPL66" s="10"/>
      <c r="TPM66" s="10"/>
      <c r="TPN66" s="10"/>
      <c r="TPO66" s="10"/>
      <c r="TPP66" s="10"/>
      <c r="TPQ66" s="10"/>
      <c r="TPR66" s="10"/>
      <c r="TPS66" s="10"/>
      <c r="TPT66" s="10"/>
      <c r="TPU66" s="10"/>
      <c r="TPV66" s="10"/>
      <c r="TPW66" s="10"/>
      <c r="TPX66" s="10"/>
      <c r="TPY66" s="10"/>
      <c r="TPZ66" s="10"/>
      <c r="TQA66" s="10"/>
      <c r="TQB66" s="10"/>
      <c r="TQC66" s="10"/>
      <c r="TQD66" s="10"/>
      <c r="TQE66" s="10"/>
      <c r="TQF66" s="10"/>
      <c r="TQG66" s="10"/>
      <c r="TQH66" s="10"/>
      <c r="TQI66" s="10"/>
      <c r="TQJ66" s="10"/>
      <c r="TQK66" s="10"/>
      <c r="TQL66" s="10"/>
      <c r="TQM66" s="10"/>
      <c r="TQN66" s="10"/>
      <c r="TQO66" s="10"/>
      <c r="TQP66" s="10"/>
      <c r="TQQ66" s="10"/>
      <c r="TQR66" s="10"/>
      <c r="TQS66" s="10"/>
      <c r="TQT66" s="10"/>
      <c r="TQU66" s="10"/>
      <c r="TQV66" s="10"/>
      <c r="TQW66" s="10"/>
      <c r="TQX66" s="10"/>
      <c r="TQY66" s="10"/>
      <c r="TQZ66" s="10"/>
      <c r="TRA66" s="10"/>
      <c r="TRB66" s="10"/>
      <c r="TRC66" s="10"/>
      <c r="TRD66" s="10"/>
      <c r="TRE66" s="10"/>
      <c r="TRF66" s="10"/>
      <c r="TRG66" s="10"/>
      <c r="TRH66" s="10"/>
      <c r="TRI66" s="10"/>
      <c r="TRJ66" s="10"/>
      <c r="TRK66" s="10"/>
      <c r="TRL66" s="10"/>
      <c r="TRM66" s="10"/>
      <c r="TRN66" s="10"/>
      <c r="TRO66" s="10"/>
      <c r="TRP66" s="10"/>
      <c r="TRQ66" s="10"/>
      <c r="TRR66" s="10"/>
      <c r="TRS66" s="10"/>
      <c r="TRT66" s="10"/>
      <c r="TRU66" s="10"/>
      <c r="TRV66" s="10"/>
      <c r="TRW66" s="10"/>
      <c r="TRX66" s="10"/>
      <c r="TRY66" s="10"/>
      <c r="TRZ66" s="10"/>
      <c r="TSA66" s="10"/>
      <c r="TSB66" s="10"/>
      <c r="TSC66" s="10"/>
      <c r="TSD66" s="10"/>
      <c r="TSE66" s="10"/>
      <c r="TSF66" s="10"/>
      <c r="TSG66" s="10"/>
      <c r="TSH66" s="10"/>
      <c r="TSI66" s="10"/>
      <c r="TSJ66" s="10"/>
      <c r="TSK66" s="10"/>
      <c r="TSL66" s="10"/>
      <c r="TSM66" s="10"/>
      <c r="TSN66" s="10"/>
      <c r="TSO66" s="10"/>
      <c r="TSP66" s="10"/>
      <c r="TSQ66" s="10"/>
      <c r="TSR66" s="10"/>
      <c r="TSS66" s="10"/>
      <c r="TST66" s="10"/>
      <c r="TSU66" s="10"/>
      <c r="TSV66" s="10"/>
      <c r="TSW66" s="10"/>
      <c r="TSX66" s="10"/>
      <c r="TSY66" s="10"/>
      <c r="TSZ66" s="10"/>
      <c r="TTA66" s="10"/>
      <c r="TTB66" s="10"/>
      <c r="TTC66" s="10"/>
      <c r="TTD66" s="10"/>
      <c r="TTE66" s="10"/>
      <c r="TTF66" s="10"/>
      <c r="TTG66" s="10"/>
      <c r="TTH66" s="10"/>
      <c r="TTI66" s="10"/>
      <c r="TTJ66" s="10"/>
      <c r="TTK66" s="10"/>
      <c r="TTL66" s="10"/>
      <c r="TTM66" s="10"/>
      <c r="TTN66" s="10"/>
      <c r="TTO66" s="10"/>
      <c r="TTP66" s="10"/>
      <c r="TTQ66" s="10"/>
      <c r="TTR66" s="10"/>
      <c r="TTS66" s="10"/>
      <c r="TTT66" s="10"/>
      <c r="TTU66" s="10"/>
      <c r="TTV66" s="10"/>
      <c r="TTW66" s="10"/>
      <c r="TTX66" s="10"/>
      <c r="TTY66" s="10"/>
      <c r="TTZ66" s="10"/>
      <c r="TUA66" s="10"/>
      <c r="TUB66" s="10"/>
      <c r="TUC66" s="10"/>
      <c r="TUD66" s="10"/>
      <c r="TUE66" s="10"/>
      <c r="TUF66" s="10"/>
      <c r="TUG66" s="10"/>
      <c r="TUH66" s="10"/>
      <c r="TUI66" s="10"/>
      <c r="TUJ66" s="10"/>
      <c r="TUK66" s="10"/>
      <c r="TUL66" s="10"/>
      <c r="TUM66" s="10"/>
      <c r="TUN66" s="10"/>
      <c r="TUO66" s="10"/>
      <c r="TUP66" s="10"/>
      <c r="TUQ66" s="10"/>
      <c r="TUR66" s="10"/>
      <c r="TUS66" s="10"/>
      <c r="TUT66" s="10"/>
      <c r="TUU66" s="10"/>
      <c r="TUV66" s="10"/>
      <c r="TUW66" s="10"/>
      <c r="TUX66" s="10"/>
      <c r="TUY66" s="10"/>
      <c r="TUZ66" s="10"/>
      <c r="TVA66" s="10"/>
      <c r="TVB66" s="10"/>
      <c r="TVC66" s="10"/>
      <c r="TVD66" s="10"/>
      <c r="TVE66" s="10"/>
      <c r="TVF66" s="10"/>
      <c r="TVG66" s="10"/>
      <c r="TVH66" s="10"/>
      <c r="TVI66" s="10"/>
      <c r="TVJ66" s="10"/>
      <c r="TVK66" s="10"/>
      <c r="TVL66" s="10"/>
      <c r="TVM66" s="10"/>
      <c r="TVN66" s="10"/>
      <c r="TVO66" s="10"/>
      <c r="TVP66" s="10"/>
      <c r="TVQ66" s="10"/>
      <c r="TVR66" s="10"/>
      <c r="TVS66" s="10"/>
      <c r="TVT66" s="10"/>
      <c r="TVU66" s="10"/>
      <c r="TVV66" s="10"/>
      <c r="TVW66" s="10"/>
      <c r="TVX66" s="10"/>
      <c r="TVY66" s="10"/>
      <c r="TVZ66" s="10"/>
      <c r="TWA66" s="10"/>
      <c r="TWB66" s="10"/>
      <c r="TWC66" s="10"/>
      <c r="TWD66" s="10"/>
      <c r="TWE66" s="10"/>
      <c r="TWF66" s="10"/>
      <c r="TWG66" s="10"/>
      <c r="TWH66" s="10"/>
      <c r="TWI66" s="10"/>
      <c r="TWJ66" s="10"/>
      <c r="TWK66" s="10"/>
      <c r="TWL66" s="10"/>
      <c r="TWM66" s="10"/>
      <c r="TWN66" s="10"/>
      <c r="TWO66" s="10"/>
      <c r="TWP66" s="10"/>
      <c r="TWQ66" s="10"/>
      <c r="TWR66" s="10"/>
      <c r="TWS66" s="10"/>
      <c r="TWT66" s="10"/>
      <c r="TWU66" s="10"/>
      <c r="TWV66" s="10"/>
      <c r="TWW66" s="10"/>
      <c r="TWX66" s="10"/>
      <c r="TWY66" s="10"/>
      <c r="TWZ66" s="10"/>
      <c r="TXA66" s="10"/>
      <c r="TXB66" s="10"/>
      <c r="TXC66" s="10"/>
      <c r="TXD66" s="10"/>
      <c r="TXE66" s="10"/>
      <c r="TXF66" s="10"/>
      <c r="TXG66" s="10"/>
      <c r="TXH66" s="10"/>
      <c r="TXI66" s="10"/>
      <c r="TXJ66" s="10"/>
      <c r="TXK66" s="10"/>
      <c r="TXL66" s="10"/>
      <c r="TXM66" s="10"/>
      <c r="TXN66" s="10"/>
      <c r="TXO66" s="10"/>
      <c r="TXP66" s="10"/>
      <c r="TXQ66" s="10"/>
      <c r="TXR66" s="10"/>
      <c r="TXS66" s="10"/>
      <c r="TXT66" s="10"/>
      <c r="TXU66" s="10"/>
      <c r="TXV66" s="10"/>
      <c r="TXW66" s="10"/>
      <c r="TXX66" s="10"/>
      <c r="TXY66" s="10"/>
      <c r="TXZ66" s="10"/>
      <c r="TYA66" s="10"/>
      <c r="TYB66" s="10"/>
      <c r="TYC66" s="10"/>
      <c r="TYD66" s="10"/>
      <c r="TYE66" s="10"/>
      <c r="TYF66" s="10"/>
      <c r="TYG66" s="10"/>
      <c r="TYH66" s="10"/>
      <c r="TYI66" s="10"/>
      <c r="TYJ66" s="10"/>
      <c r="TYK66" s="10"/>
      <c r="TYL66" s="10"/>
      <c r="TYM66" s="10"/>
      <c r="TYN66" s="10"/>
      <c r="TYO66" s="10"/>
      <c r="TYP66" s="10"/>
      <c r="TYQ66" s="10"/>
      <c r="TYR66" s="10"/>
      <c r="TYS66" s="10"/>
      <c r="TYT66" s="10"/>
      <c r="TYU66" s="10"/>
      <c r="TYV66" s="10"/>
      <c r="TYW66" s="10"/>
      <c r="TYX66" s="10"/>
      <c r="TYY66" s="10"/>
      <c r="TYZ66" s="10"/>
      <c r="TZA66" s="10"/>
      <c r="TZB66" s="10"/>
      <c r="TZC66" s="10"/>
      <c r="TZD66" s="10"/>
      <c r="TZE66" s="10"/>
      <c r="TZF66" s="10"/>
      <c r="TZG66" s="10"/>
      <c r="TZH66" s="10"/>
      <c r="TZI66" s="10"/>
      <c r="TZJ66" s="10"/>
      <c r="TZK66" s="10"/>
      <c r="TZL66" s="10"/>
      <c r="TZM66" s="10"/>
      <c r="TZN66" s="10"/>
      <c r="TZO66" s="10"/>
      <c r="TZP66" s="10"/>
      <c r="TZQ66" s="10"/>
      <c r="TZR66" s="10"/>
      <c r="TZS66" s="10"/>
      <c r="TZT66" s="10"/>
      <c r="TZU66" s="10"/>
      <c r="TZV66" s="10"/>
      <c r="TZW66" s="10"/>
      <c r="TZX66" s="10"/>
      <c r="TZY66" s="10"/>
      <c r="TZZ66" s="10"/>
      <c r="UAA66" s="10"/>
      <c r="UAB66" s="10"/>
      <c r="UAC66" s="10"/>
      <c r="UAD66" s="10"/>
      <c r="UAE66" s="10"/>
      <c r="UAF66" s="10"/>
      <c r="UAG66" s="10"/>
      <c r="UAH66" s="10"/>
      <c r="UAI66" s="10"/>
      <c r="UAJ66" s="10"/>
      <c r="UAK66" s="10"/>
      <c r="UAL66" s="10"/>
      <c r="UAM66" s="10"/>
      <c r="UAN66" s="10"/>
      <c r="UAO66" s="10"/>
      <c r="UAP66" s="10"/>
      <c r="UAQ66" s="10"/>
      <c r="UAR66" s="10"/>
      <c r="UAS66" s="10"/>
      <c r="UAT66" s="10"/>
      <c r="UAU66" s="10"/>
      <c r="UAV66" s="10"/>
      <c r="UAW66" s="10"/>
      <c r="UAX66" s="10"/>
      <c r="UAY66" s="10"/>
      <c r="UAZ66" s="10"/>
      <c r="UBA66" s="10"/>
      <c r="UBB66" s="10"/>
      <c r="UBC66" s="10"/>
      <c r="UBD66" s="10"/>
      <c r="UBE66" s="10"/>
      <c r="UBF66" s="10"/>
      <c r="UBG66" s="10"/>
      <c r="UBH66" s="10"/>
      <c r="UBI66" s="10"/>
      <c r="UBJ66" s="10"/>
      <c r="UBK66" s="10"/>
      <c r="UBL66" s="10"/>
      <c r="UBM66" s="10"/>
      <c r="UBN66" s="10"/>
      <c r="UBO66" s="10"/>
      <c r="UBP66" s="10"/>
      <c r="UBQ66" s="10"/>
      <c r="UBR66" s="10"/>
      <c r="UBS66" s="10"/>
      <c r="UBT66" s="10"/>
      <c r="UBU66" s="10"/>
      <c r="UBV66" s="10"/>
      <c r="UBW66" s="10"/>
      <c r="UBX66" s="10"/>
      <c r="UBY66" s="10"/>
      <c r="UBZ66" s="10"/>
      <c r="UCA66" s="10"/>
      <c r="UCB66" s="10"/>
      <c r="UCC66" s="10"/>
      <c r="UCD66" s="10"/>
      <c r="UCE66" s="10"/>
      <c r="UCF66" s="10"/>
      <c r="UCG66" s="10"/>
      <c r="UCH66" s="10"/>
      <c r="UCI66" s="10"/>
      <c r="UCJ66" s="10"/>
      <c r="UCK66" s="10"/>
      <c r="UCL66" s="10"/>
      <c r="UCM66" s="10"/>
      <c r="UCN66" s="10"/>
      <c r="UCO66" s="10"/>
      <c r="UCP66" s="10"/>
      <c r="UCQ66" s="10"/>
      <c r="UCR66" s="10"/>
      <c r="UCS66" s="10"/>
      <c r="UCT66" s="10"/>
      <c r="UCU66" s="10"/>
      <c r="UCV66" s="10"/>
      <c r="UCW66" s="10"/>
      <c r="UCX66" s="10"/>
      <c r="UCY66" s="10"/>
      <c r="UCZ66" s="10"/>
      <c r="UDA66" s="10"/>
      <c r="UDB66" s="10"/>
      <c r="UDC66" s="10"/>
      <c r="UDD66" s="10"/>
      <c r="UDE66" s="10"/>
      <c r="UDF66" s="10"/>
      <c r="UDG66" s="10"/>
      <c r="UDH66" s="10"/>
      <c r="UDI66" s="10"/>
      <c r="UDJ66" s="10"/>
      <c r="UDK66" s="10"/>
      <c r="UDL66" s="10"/>
      <c r="UDM66" s="10"/>
      <c r="UDN66" s="10"/>
      <c r="UDO66" s="10"/>
      <c r="UDP66" s="10"/>
      <c r="UDQ66" s="10"/>
      <c r="UDR66" s="10"/>
      <c r="UDS66" s="10"/>
      <c r="UDT66" s="10"/>
      <c r="UDU66" s="10"/>
      <c r="UDV66" s="10"/>
      <c r="UDW66" s="10"/>
      <c r="UDX66" s="10"/>
      <c r="UDY66" s="10"/>
      <c r="UDZ66" s="10"/>
      <c r="UEA66" s="10"/>
      <c r="UEB66" s="10"/>
      <c r="UEC66" s="10"/>
      <c r="UED66" s="10"/>
      <c r="UEE66" s="10"/>
      <c r="UEF66" s="10"/>
      <c r="UEG66" s="10"/>
      <c r="UEH66" s="10"/>
      <c r="UEI66" s="10"/>
      <c r="UEJ66" s="10"/>
      <c r="UEK66" s="10"/>
      <c r="UEL66" s="10"/>
      <c r="UEM66" s="10"/>
      <c r="UEN66" s="10"/>
      <c r="UEO66" s="10"/>
      <c r="UEP66" s="10"/>
      <c r="UEQ66" s="10"/>
      <c r="UER66" s="10"/>
      <c r="UES66" s="10"/>
      <c r="UET66" s="10"/>
      <c r="UEU66" s="10"/>
      <c r="UEV66" s="10"/>
      <c r="UEW66" s="10"/>
      <c r="UEX66" s="10"/>
      <c r="UEY66" s="10"/>
      <c r="UEZ66" s="10"/>
      <c r="UFA66" s="10"/>
      <c r="UFB66" s="10"/>
      <c r="UFC66" s="10"/>
      <c r="UFD66" s="10"/>
      <c r="UFE66" s="10"/>
      <c r="UFF66" s="10"/>
      <c r="UFG66" s="10"/>
      <c r="UFH66" s="10"/>
      <c r="UFI66" s="10"/>
      <c r="UFJ66" s="10"/>
      <c r="UFK66" s="10"/>
      <c r="UFL66" s="10"/>
      <c r="UFM66" s="10"/>
      <c r="UFN66" s="10"/>
      <c r="UFO66" s="10"/>
      <c r="UFP66" s="10"/>
      <c r="UFQ66" s="10"/>
      <c r="UFR66" s="10"/>
      <c r="UFS66" s="10"/>
      <c r="UFT66" s="10"/>
      <c r="UFU66" s="10"/>
      <c r="UFV66" s="10"/>
      <c r="UFW66" s="10"/>
      <c r="UFX66" s="10"/>
      <c r="UFY66" s="10"/>
      <c r="UFZ66" s="10"/>
      <c r="UGA66" s="10"/>
      <c r="UGB66" s="10"/>
      <c r="UGC66" s="10"/>
      <c r="UGD66" s="10"/>
      <c r="UGE66" s="10"/>
      <c r="UGF66" s="10"/>
      <c r="UGG66" s="10"/>
      <c r="UGH66" s="10"/>
      <c r="UGI66" s="10"/>
      <c r="UGJ66" s="10"/>
      <c r="UGK66" s="10"/>
      <c r="UGL66" s="10"/>
      <c r="UGM66" s="10"/>
      <c r="UGN66" s="10"/>
      <c r="UGO66" s="10"/>
      <c r="UGP66" s="10"/>
      <c r="UGQ66" s="10"/>
      <c r="UGR66" s="10"/>
      <c r="UGS66" s="10"/>
      <c r="UGT66" s="10"/>
      <c r="UGU66" s="10"/>
      <c r="UGV66" s="10"/>
      <c r="UGW66" s="10"/>
      <c r="UGX66" s="10"/>
      <c r="UGY66" s="10"/>
      <c r="UGZ66" s="10"/>
      <c r="UHA66" s="10"/>
      <c r="UHB66" s="10"/>
      <c r="UHC66" s="10"/>
      <c r="UHD66" s="10"/>
      <c r="UHE66" s="10"/>
      <c r="UHF66" s="10"/>
      <c r="UHG66" s="10"/>
      <c r="UHH66" s="10"/>
      <c r="UHI66" s="10"/>
      <c r="UHJ66" s="10"/>
      <c r="UHK66" s="10"/>
      <c r="UHL66" s="10"/>
      <c r="UHM66" s="10"/>
      <c r="UHN66" s="10"/>
      <c r="UHO66" s="10"/>
      <c r="UHP66" s="10"/>
      <c r="UHQ66" s="10"/>
      <c r="UHR66" s="10"/>
      <c r="UHS66" s="10"/>
      <c r="UHT66" s="10"/>
      <c r="UHU66" s="10"/>
      <c r="UHV66" s="10"/>
      <c r="UHW66" s="10"/>
      <c r="UHX66" s="10"/>
      <c r="UHY66" s="10"/>
      <c r="UHZ66" s="10"/>
      <c r="UIA66" s="10"/>
      <c r="UIB66" s="10"/>
      <c r="UIC66" s="10"/>
      <c r="UID66" s="10"/>
      <c r="UIE66" s="10"/>
      <c r="UIF66" s="10"/>
      <c r="UIG66" s="10"/>
      <c r="UIH66" s="10"/>
      <c r="UII66" s="10"/>
      <c r="UIJ66" s="10"/>
      <c r="UIK66" s="10"/>
      <c r="UIL66" s="10"/>
      <c r="UIM66" s="10"/>
      <c r="UIN66" s="10"/>
      <c r="UIO66" s="10"/>
      <c r="UIP66" s="10"/>
      <c r="UIQ66" s="10"/>
      <c r="UIR66" s="10"/>
      <c r="UIS66" s="10"/>
      <c r="UIT66" s="10"/>
      <c r="UIU66" s="10"/>
      <c r="UIV66" s="10"/>
      <c r="UIW66" s="10"/>
      <c r="UIX66" s="10"/>
      <c r="UIY66" s="10"/>
      <c r="UIZ66" s="10"/>
      <c r="UJA66" s="10"/>
      <c r="UJB66" s="10"/>
      <c r="UJC66" s="10"/>
      <c r="UJD66" s="10"/>
      <c r="UJE66" s="10"/>
      <c r="UJF66" s="10"/>
      <c r="UJG66" s="10"/>
      <c r="UJH66" s="10"/>
      <c r="UJI66" s="10"/>
      <c r="UJJ66" s="10"/>
      <c r="UJK66" s="10"/>
      <c r="UJL66" s="10"/>
      <c r="UJM66" s="10"/>
      <c r="UJN66" s="10"/>
      <c r="UJO66" s="10"/>
      <c r="UJP66" s="10"/>
      <c r="UJQ66" s="10"/>
      <c r="UJR66" s="10"/>
      <c r="UJS66" s="10"/>
      <c r="UJT66" s="10"/>
      <c r="UJU66" s="10"/>
      <c r="UJV66" s="10"/>
      <c r="UJW66" s="10"/>
      <c r="UJX66" s="10"/>
      <c r="UJY66" s="10"/>
      <c r="UJZ66" s="10"/>
      <c r="UKA66" s="10"/>
      <c r="UKB66" s="10"/>
      <c r="UKC66" s="10"/>
      <c r="UKD66" s="10"/>
      <c r="UKE66" s="10"/>
      <c r="UKF66" s="10"/>
      <c r="UKG66" s="10"/>
      <c r="UKH66" s="10"/>
      <c r="UKI66" s="10"/>
      <c r="UKJ66" s="10"/>
      <c r="UKK66" s="10"/>
      <c r="UKL66" s="10"/>
      <c r="UKM66" s="10"/>
      <c r="UKN66" s="10"/>
      <c r="UKO66" s="10"/>
      <c r="UKP66" s="10"/>
      <c r="UKQ66" s="10"/>
      <c r="UKR66" s="10"/>
      <c r="UKS66" s="10"/>
      <c r="UKT66" s="10"/>
      <c r="UKU66" s="10"/>
      <c r="UKV66" s="10"/>
      <c r="UKW66" s="10"/>
      <c r="UKX66" s="10"/>
      <c r="UKY66" s="10"/>
      <c r="UKZ66" s="10"/>
      <c r="ULA66" s="10"/>
      <c r="ULB66" s="10"/>
      <c r="ULC66" s="10"/>
      <c r="ULD66" s="10"/>
      <c r="ULE66" s="10"/>
      <c r="ULF66" s="10"/>
      <c r="ULG66" s="10"/>
      <c r="ULH66" s="10"/>
      <c r="ULI66" s="10"/>
      <c r="ULJ66" s="10"/>
      <c r="ULK66" s="10"/>
      <c r="ULL66" s="10"/>
      <c r="ULM66" s="10"/>
      <c r="ULN66" s="10"/>
      <c r="ULO66" s="10"/>
      <c r="ULP66" s="10"/>
      <c r="ULQ66" s="10"/>
      <c r="ULR66" s="10"/>
      <c r="ULS66" s="10"/>
      <c r="ULT66" s="10"/>
      <c r="ULU66" s="10"/>
      <c r="ULV66" s="10"/>
      <c r="ULW66" s="10"/>
      <c r="ULX66" s="10"/>
      <c r="ULY66" s="10"/>
      <c r="ULZ66" s="10"/>
      <c r="UMA66" s="10"/>
      <c r="UMB66" s="10"/>
      <c r="UMC66" s="10"/>
      <c r="UMD66" s="10"/>
      <c r="UME66" s="10"/>
      <c r="UMF66" s="10"/>
      <c r="UMG66" s="10"/>
      <c r="UMH66" s="10"/>
      <c r="UMI66" s="10"/>
      <c r="UMJ66" s="10"/>
      <c r="UMK66" s="10"/>
      <c r="UML66" s="10"/>
      <c r="UMM66" s="10"/>
      <c r="UMN66" s="10"/>
      <c r="UMO66" s="10"/>
      <c r="UMP66" s="10"/>
      <c r="UMQ66" s="10"/>
      <c r="UMR66" s="10"/>
      <c r="UMS66" s="10"/>
      <c r="UMT66" s="10"/>
      <c r="UMU66" s="10"/>
      <c r="UMV66" s="10"/>
      <c r="UMW66" s="10"/>
      <c r="UMX66" s="10"/>
      <c r="UMY66" s="10"/>
      <c r="UMZ66" s="10"/>
      <c r="UNA66" s="10"/>
      <c r="UNB66" s="10"/>
      <c r="UNC66" s="10"/>
      <c r="UND66" s="10"/>
      <c r="UNE66" s="10"/>
      <c r="UNF66" s="10"/>
      <c r="UNG66" s="10"/>
      <c r="UNH66" s="10"/>
      <c r="UNI66" s="10"/>
      <c r="UNJ66" s="10"/>
      <c r="UNK66" s="10"/>
      <c r="UNL66" s="10"/>
      <c r="UNM66" s="10"/>
      <c r="UNN66" s="10"/>
      <c r="UNO66" s="10"/>
      <c r="UNP66" s="10"/>
      <c r="UNQ66" s="10"/>
      <c r="UNR66" s="10"/>
      <c r="UNS66" s="10"/>
      <c r="UNT66" s="10"/>
      <c r="UNU66" s="10"/>
      <c r="UNV66" s="10"/>
      <c r="UNW66" s="10"/>
      <c r="UNX66" s="10"/>
      <c r="UNY66" s="10"/>
      <c r="UNZ66" s="10"/>
      <c r="UOA66" s="10"/>
      <c r="UOB66" s="10"/>
      <c r="UOC66" s="10"/>
      <c r="UOD66" s="10"/>
      <c r="UOE66" s="10"/>
      <c r="UOF66" s="10"/>
      <c r="UOG66" s="10"/>
      <c r="UOH66" s="10"/>
      <c r="UOI66" s="10"/>
      <c r="UOJ66" s="10"/>
      <c r="UOK66" s="10"/>
      <c r="UOL66" s="10"/>
      <c r="UOM66" s="10"/>
      <c r="UON66" s="10"/>
      <c r="UOO66" s="10"/>
      <c r="UOP66" s="10"/>
      <c r="UOQ66" s="10"/>
      <c r="UOR66" s="10"/>
      <c r="UOS66" s="10"/>
      <c r="UOT66" s="10"/>
      <c r="UOU66" s="10"/>
      <c r="UOV66" s="10"/>
      <c r="UOW66" s="10"/>
      <c r="UOX66" s="10"/>
      <c r="UOY66" s="10"/>
      <c r="UOZ66" s="10"/>
      <c r="UPA66" s="10"/>
      <c r="UPB66" s="10"/>
      <c r="UPC66" s="10"/>
      <c r="UPD66" s="10"/>
      <c r="UPE66" s="10"/>
      <c r="UPF66" s="10"/>
      <c r="UPG66" s="10"/>
      <c r="UPH66" s="10"/>
      <c r="UPI66" s="10"/>
      <c r="UPJ66" s="10"/>
      <c r="UPK66" s="10"/>
      <c r="UPL66" s="10"/>
      <c r="UPM66" s="10"/>
      <c r="UPN66" s="10"/>
      <c r="UPO66" s="10"/>
      <c r="UPP66" s="10"/>
      <c r="UPQ66" s="10"/>
      <c r="UPR66" s="10"/>
      <c r="UPS66" s="10"/>
      <c r="UPT66" s="10"/>
      <c r="UPU66" s="10"/>
      <c r="UPV66" s="10"/>
      <c r="UPW66" s="10"/>
      <c r="UPX66" s="10"/>
      <c r="UPY66" s="10"/>
      <c r="UPZ66" s="10"/>
      <c r="UQA66" s="10"/>
      <c r="UQB66" s="10"/>
      <c r="UQC66" s="10"/>
      <c r="UQD66" s="10"/>
      <c r="UQE66" s="10"/>
      <c r="UQF66" s="10"/>
      <c r="UQG66" s="10"/>
      <c r="UQH66" s="10"/>
      <c r="UQI66" s="10"/>
      <c r="UQJ66" s="10"/>
      <c r="UQK66" s="10"/>
      <c r="UQL66" s="10"/>
      <c r="UQM66" s="10"/>
      <c r="UQN66" s="10"/>
      <c r="UQO66" s="10"/>
      <c r="UQP66" s="10"/>
      <c r="UQQ66" s="10"/>
      <c r="UQR66" s="10"/>
      <c r="UQS66" s="10"/>
      <c r="UQT66" s="10"/>
      <c r="UQU66" s="10"/>
      <c r="UQV66" s="10"/>
      <c r="UQW66" s="10"/>
      <c r="UQX66" s="10"/>
      <c r="UQY66" s="10"/>
      <c r="UQZ66" s="10"/>
      <c r="URA66" s="10"/>
      <c r="URB66" s="10"/>
      <c r="URC66" s="10"/>
      <c r="URD66" s="10"/>
      <c r="URE66" s="10"/>
      <c r="URF66" s="10"/>
      <c r="URG66" s="10"/>
      <c r="URH66" s="10"/>
      <c r="URI66" s="10"/>
      <c r="URJ66" s="10"/>
      <c r="URK66" s="10"/>
      <c r="URL66" s="10"/>
      <c r="URM66" s="10"/>
      <c r="URN66" s="10"/>
      <c r="URO66" s="10"/>
      <c r="URP66" s="10"/>
      <c r="URQ66" s="10"/>
      <c r="URR66" s="10"/>
      <c r="URS66" s="10"/>
      <c r="URT66" s="10"/>
      <c r="URU66" s="10"/>
      <c r="URV66" s="10"/>
      <c r="URW66" s="10"/>
      <c r="URX66" s="10"/>
      <c r="URY66" s="10"/>
      <c r="URZ66" s="10"/>
      <c r="USA66" s="10"/>
      <c r="USB66" s="10"/>
      <c r="USC66" s="10"/>
      <c r="USD66" s="10"/>
      <c r="USE66" s="10"/>
      <c r="USF66" s="10"/>
      <c r="USG66" s="10"/>
      <c r="USH66" s="10"/>
      <c r="USI66" s="10"/>
      <c r="USJ66" s="10"/>
      <c r="USK66" s="10"/>
      <c r="USL66" s="10"/>
      <c r="USM66" s="10"/>
      <c r="USN66" s="10"/>
      <c r="USO66" s="10"/>
      <c r="USP66" s="10"/>
      <c r="USQ66" s="10"/>
      <c r="USR66" s="10"/>
      <c r="USS66" s="10"/>
      <c r="UST66" s="10"/>
      <c r="USU66" s="10"/>
      <c r="USV66" s="10"/>
      <c r="USW66" s="10"/>
      <c r="USX66" s="10"/>
      <c r="USY66" s="10"/>
      <c r="USZ66" s="10"/>
      <c r="UTA66" s="10"/>
      <c r="UTB66" s="10"/>
      <c r="UTC66" s="10"/>
      <c r="UTD66" s="10"/>
      <c r="UTE66" s="10"/>
      <c r="UTF66" s="10"/>
      <c r="UTG66" s="10"/>
      <c r="UTH66" s="10"/>
      <c r="UTI66" s="10"/>
      <c r="UTJ66" s="10"/>
      <c r="UTK66" s="10"/>
      <c r="UTL66" s="10"/>
      <c r="UTM66" s="10"/>
      <c r="UTN66" s="10"/>
      <c r="UTO66" s="10"/>
      <c r="UTP66" s="10"/>
      <c r="UTQ66" s="10"/>
      <c r="UTR66" s="10"/>
      <c r="UTS66" s="10"/>
      <c r="UTT66" s="10"/>
      <c r="UTU66" s="10"/>
      <c r="UTV66" s="10"/>
      <c r="UTW66" s="10"/>
      <c r="UTX66" s="10"/>
      <c r="UTY66" s="10"/>
      <c r="UTZ66" s="10"/>
      <c r="UUA66" s="10"/>
      <c r="UUB66" s="10"/>
      <c r="UUC66" s="10"/>
      <c r="UUD66" s="10"/>
      <c r="UUE66" s="10"/>
      <c r="UUF66" s="10"/>
      <c r="UUG66" s="10"/>
      <c r="UUH66" s="10"/>
      <c r="UUI66" s="10"/>
      <c r="UUJ66" s="10"/>
      <c r="UUK66" s="10"/>
      <c r="UUL66" s="10"/>
      <c r="UUM66" s="10"/>
      <c r="UUN66" s="10"/>
      <c r="UUO66" s="10"/>
      <c r="UUP66" s="10"/>
      <c r="UUQ66" s="10"/>
      <c r="UUR66" s="10"/>
      <c r="UUS66" s="10"/>
      <c r="UUT66" s="10"/>
      <c r="UUU66" s="10"/>
      <c r="UUV66" s="10"/>
      <c r="UUW66" s="10"/>
      <c r="UUX66" s="10"/>
      <c r="UUY66" s="10"/>
      <c r="UUZ66" s="10"/>
      <c r="UVA66" s="10"/>
      <c r="UVB66" s="10"/>
      <c r="UVC66" s="10"/>
      <c r="UVD66" s="10"/>
      <c r="UVE66" s="10"/>
      <c r="UVF66" s="10"/>
      <c r="UVG66" s="10"/>
      <c r="UVH66" s="10"/>
      <c r="UVI66" s="10"/>
      <c r="UVJ66" s="10"/>
      <c r="UVK66" s="10"/>
      <c r="UVL66" s="10"/>
      <c r="UVM66" s="10"/>
      <c r="UVN66" s="10"/>
      <c r="UVO66" s="10"/>
      <c r="UVP66" s="10"/>
      <c r="UVQ66" s="10"/>
      <c r="UVR66" s="10"/>
      <c r="UVS66" s="10"/>
      <c r="UVT66" s="10"/>
      <c r="UVU66" s="10"/>
      <c r="UVV66" s="10"/>
      <c r="UVW66" s="10"/>
      <c r="UVX66" s="10"/>
      <c r="UVY66" s="10"/>
      <c r="UVZ66" s="10"/>
      <c r="UWA66" s="10"/>
      <c r="UWB66" s="10"/>
      <c r="UWC66" s="10"/>
      <c r="UWD66" s="10"/>
      <c r="UWE66" s="10"/>
      <c r="UWF66" s="10"/>
      <c r="UWG66" s="10"/>
      <c r="UWH66" s="10"/>
      <c r="UWI66" s="10"/>
      <c r="UWJ66" s="10"/>
      <c r="UWK66" s="10"/>
      <c r="UWL66" s="10"/>
      <c r="UWM66" s="10"/>
      <c r="UWN66" s="10"/>
      <c r="UWO66" s="10"/>
      <c r="UWP66" s="10"/>
      <c r="UWQ66" s="10"/>
      <c r="UWR66" s="10"/>
      <c r="UWS66" s="10"/>
      <c r="UWT66" s="10"/>
      <c r="UWU66" s="10"/>
      <c r="UWV66" s="10"/>
      <c r="UWW66" s="10"/>
      <c r="UWX66" s="10"/>
      <c r="UWY66" s="10"/>
      <c r="UWZ66" s="10"/>
      <c r="UXA66" s="10"/>
      <c r="UXB66" s="10"/>
      <c r="UXC66" s="10"/>
      <c r="UXD66" s="10"/>
      <c r="UXE66" s="10"/>
      <c r="UXF66" s="10"/>
      <c r="UXG66" s="10"/>
      <c r="UXH66" s="10"/>
      <c r="UXI66" s="10"/>
      <c r="UXJ66" s="10"/>
      <c r="UXK66" s="10"/>
      <c r="UXL66" s="10"/>
      <c r="UXM66" s="10"/>
      <c r="UXN66" s="10"/>
      <c r="UXO66" s="10"/>
      <c r="UXP66" s="10"/>
      <c r="UXQ66" s="10"/>
      <c r="UXR66" s="10"/>
      <c r="UXS66" s="10"/>
      <c r="UXT66" s="10"/>
      <c r="UXU66" s="10"/>
      <c r="UXV66" s="10"/>
      <c r="UXW66" s="10"/>
      <c r="UXX66" s="10"/>
      <c r="UXY66" s="10"/>
      <c r="UXZ66" s="10"/>
      <c r="UYA66" s="10"/>
      <c r="UYB66" s="10"/>
      <c r="UYC66" s="10"/>
      <c r="UYD66" s="10"/>
      <c r="UYE66" s="10"/>
      <c r="UYF66" s="10"/>
      <c r="UYG66" s="10"/>
      <c r="UYH66" s="10"/>
      <c r="UYI66" s="10"/>
      <c r="UYJ66" s="10"/>
      <c r="UYK66" s="10"/>
      <c r="UYL66" s="10"/>
      <c r="UYM66" s="10"/>
      <c r="UYN66" s="10"/>
      <c r="UYO66" s="10"/>
      <c r="UYP66" s="10"/>
      <c r="UYQ66" s="10"/>
      <c r="UYR66" s="10"/>
      <c r="UYS66" s="10"/>
      <c r="UYT66" s="10"/>
      <c r="UYU66" s="10"/>
      <c r="UYV66" s="10"/>
      <c r="UYW66" s="10"/>
      <c r="UYX66" s="10"/>
      <c r="UYY66" s="10"/>
      <c r="UYZ66" s="10"/>
      <c r="UZA66" s="10"/>
      <c r="UZB66" s="10"/>
      <c r="UZC66" s="10"/>
      <c r="UZD66" s="10"/>
      <c r="UZE66" s="10"/>
      <c r="UZF66" s="10"/>
      <c r="UZG66" s="10"/>
      <c r="UZH66" s="10"/>
      <c r="UZI66" s="10"/>
      <c r="UZJ66" s="10"/>
      <c r="UZK66" s="10"/>
      <c r="UZL66" s="10"/>
      <c r="UZM66" s="10"/>
      <c r="UZN66" s="10"/>
      <c r="UZO66" s="10"/>
      <c r="UZP66" s="10"/>
      <c r="UZQ66" s="10"/>
      <c r="UZR66" s="10"/>
      <c r="UZS66" s="10"/>
      <c r="UZT66" s="10"/>
      <c r="UZU66" s="10"/>
      <c r="UZV66" s="10"/>
      <c r="UZW66" s="10"/>
      <c r="UZX66" s="10"/>
      <c r="UZY66" s="10"/>
      <c r="UZZ66" s="10"/>
      <c r="VAA66" s="10"/>
      <c r="VAB66" s="10"/>
      <c r="VAC66" s="10"/>
      <c r="VAD66" s="10"/>
      <c r="VAE66" s="10"/>
      <c r="VAF66" s="10"/>
      <c r="VAG66" s="10"/>
      <c r="VAH66" s="10"/>
      <c r="VAI66" s="10"/>
      <c r="VAJ66" s="10"/>
      <c r="VAK66" s="10"/>
      <c r="VAL66" s="10"/>
      <c r="VAM66" s="10"/>
      <c r="VAN66" s="10"/>
      <c r="VAO66" s="10"/>
      <c r="VAP66" s="10"/>
      <c r="VAQ66" s="10"/>
      <c r="VAR66" s="10"/>
      <c r="VAS66" s="10"/>
      <c r="VAT66" s="10"/>
      <c r="VAU66" s="10"/>
      <c r="VAV66" s="10"/>
      <c r="VAW66" s="10"/>
      <c r="VAX66" s="10"/>
      <c r="VAY66" s="10"/>
      <c r="VAZ66" s="10"/>
      <c r="VBA66" s="10"/>
      <c r="VBB66" s="10"/>
      <c r="VBC66" s="10"/>
      <c r="VBD66" s="10"/>
      <c r="VBE66" s="10"/>
      <c r="VBF66" s="10"/>
      <c r="VBG66" s="10"/>
      <c r="VBH66" s="10"/>
      <c r="VBI66" s="10"/>
      <c r="VBJ66" s="10"/>
      <c r="VBK66" s="10"/>
      <c r="VBL66" s="10"/>
      <c r="VBM66" s="10"/>
      <c r="VBN66" s="10"/>
      <c r="VBO66" s="10"/>
      <c r="VBP66" s="10"/>
      <c r="VBQ66" s="10"/>
      <c r="VBR66" s="10"/>
      <c r="VBS66" s="10"/>
      <c r="VBT66" s="10"/>
      <c r="VBU66" s="10"/>
      <c r="VBV66" s="10"/>
      <c r="VBW66" s="10"/>
      <c r="VBX66" s="10"/>
      <c r="VBY66" s="10"/>
      <c r="VBZ66" s="10"/>
      <c r="VCA66" s="10"/>
      <c r="VCB66" s="10"/>
      <c r="VCC66" s="10"/>
      <c r="VCD66" s="10"/>
      <c r="VCE66" s="10"/>
      <c r="VCF66" s="10"/>
      <c r="VCG66" s="10"/>
      <c r="VCH66" s="10"/>
      <c r="VCI66" s="10"/>
      <c r="VCJ66" s="10"/>
      <c r="VCK66" s="10"/>
      <c r="VCL66" s="10"/>
      <c r="VCM66" s="10"/>
      <c r="VCN66" s="10"/>
      <c r="VCO66" s="10"/>
      <c r="VCP66" s="10"/>
      <c r="VCQ66" s="10"/>
      <c r="VCR66" s="10"/>
      <c r="VCS66" s="10"/>
      <c r="VCT66" s="10"/>
      <c r="VCU66" s="10"/>
      <c r="VCV66" s="10"/>
      <c r="VCW66" s="10"/>
      <c r="VCX66" s="10"/>
      <c r="VCY66" s="10"/>
      <c r="VCZ66" s="10"/>
      <c r="VDA66" s="10"/>
      <c r="VDB66" s="10"/>
      <c r="VDC66" s="10"/>
      <c r="VDD66" s="10"/>
      <c r="VDE66" s="10"/>
      <c r="VDF66" s="10"/>
      <c r="VDG66" s="10"/>
      <c r="VDH66" s="10"/>
      <c r="VDI66" s="10"/>
      <c r="VDJ66" s="10"/>
      <c r="VDK66" s="10"/>
      <c r="VDL66" s="10"/>
      <c r="VDM66" s="10"/>
      <c r="VDN66" s="10"/>
      <c r="VDO66" s="10"/>
      <c r="VDP66" s="10"/>
      <c r="VDQ66" s="10"/>
      <c r="VDR66" s="10"/>
      <c r="VDS66" s="10"/>
      <c r="VDT66" s="10"/>
      <c r="VDU66" s="10"/>
      <c r="VDV66" s="10"/>
      <c r="VDW66" s="10"/>
      <c r="VDX66" s="10"/>
      <c r="VDY66" s="10"/>
      <c r="VDZ66" s="10"/>
      <c r="VEA66" s="10"/>
      <c r="VEB66" s="10"/>
      <c r="VEC66" s="10"/>
      <c r="VED66" s="10"/>
      <c r="VEE66" s="10"/>
      <c r="VEF66" s="10"/>
      <c r="VEG66" s="10"/>
      <c r="VEH66" s="10"/>
      <c r="VEI66" s="10"/>
      <c r="VEJ66" s="10"/>
      <c r="VEK66" s="10"/>
      <c r="VEL66" s="10"/>
      <c r="VEM66" s="10"/>
      <c r="VEN66" s="10"/>
      <c r="VEO66" s="10"/>
      <c r="VEP66" s="10"/>
      <c r="VEQ66" s="10"/>
      <c r="VER66" s="10"/>
      <c r="VES66" s="10"/>
      <c r="VET66" s="10"/>
      <c r="VEU66" s="10"/>
      <c r="VEV66" s="10"/>
      <c r="VEW66" s="10"/>
      <c r="VEX66" s="10"/>
      <c r="VEY66" s="10"/>
      <c r="VEZ66" s="10"/>
      <c r="VFA66" s="10"/>
      <c r="VFB66" s="10"/>
      <c r="VFC66" s="10"/>
      <c r="VFD66" s="10"/>
      <c r="VFE66" s="10"/>
      <c r="VFF66" s="10"/>
      <c r="VFG66" s="10"/>
      <c r="VFH66" s="10"/>
      <c r="VFI66" s="10"/>
      <c r="VFJ66" s="10"/>
      <c r="VFK66" s="10"/>
      <c r="VFL66" s="10"/>
      <c r="VFM66" s="10"/>
      <c r="VFN66" s="10"/>
      <c r="VFO66" s="10"/>
      <c r="VFP66" s="10"/>
      <c r="VFQ66" s="10"/>
      <c r="VFR66" s="10"/>
      <c r="VFS66" s="10"/>
      <c r="VFT66" s="10"/>
      <c r="VFU66" s="10"/>
      <c r="VFV66" s="10"/>
      <c r="VFW66" s="10"/>
      <c r="VFX66" s="10"/>
      <c r="VFY66" s="10"/>
      <c r="VFZ66" s="10"/>
      <c r="VGA66" s="10"/>
      <c r="VGB66" s="10"/>
      <c r="VGC66" s="10"/>
      <c r="VGD66" s="10"/>
      <c r="VGE66" s="10"/>
      <c r="VGF66" s="10"/>
      <c r="VGG66" s="10"/>
      <c r="VGH66" s="10"/>
      <c r="VGI66" s="10"/>
      <c r="VGJ66" s="10"/>
      <c r="VGK66" s="10"/>
      <c r="VGL66" s="10"/>
      <c r="VGM66" s="10"/>
      <c r="VGN66" s="10"/>
      <c r="VGO66" s="10"/>
      <c r="VGP66" s="10"/>
      <c r="VGQ66" s="10"/>
      <c r="VGR66" s="10"/>
      <c r="VGS66" s="10"/>
      <c r="VGT66" s="10"/>
      <c r="VGU66" s="10"/>
      <c r="VGV66" s="10"/>
      <c r="VGW66" s="10"/>
      <c r="VGX66" s="10"/>
      <c r="VGY66" s="10"/>
      <c r="VGZ66" s="10"/>
      <c r="VHA66" s="10"/>
      <c r="VHB66" s="10"/>
      <c r="VHC66" s="10"/>
      <c r="VHD66" s="10"/>
      <c r="VHE66" s="10"/>
      <c r="VHF66" s="10"/>
      <c r="VHG66" s="10"/>
      <c r="VHH66" s="10"/>
      <c r="VHI66" s="10"/>
      <c r="VHJ66" s="10"/>
      <c r="VHK66" s="10"/>
      <c r="VHL66" s="10"/>
      <c r="VHM66" s="10"/>
      <c r="VHN66" s="10"/>
      <c r="VHO66" s="10"/>
      <c r="VHP66" s="10"/>
      <c r="VHQ66" s="10"/>
      <c r="VHR66" s="10"/>
      <c r="VHS66" s="10"/>
      <c r="VHT66" s="10"/>
      <c r="VHU66" s="10"/>
      <c r="VHV66" s="10"/>
      <c r="VHW66" s="10"/>
      <c r="VHX66" s="10"/>
      <c r="VHY66" s="10"/>
      <c r="VHZ66" s="10"/>
      <c r="VIA66" s="10"/>
      <c r="VIB66" s="10"/>
      <c r="VIC66" s="10"/>
      <c r="VID66" s="10"/>
      <c r="VIE66" s="10"/>
      <c r="VIF66" s="10"/>
      <c r="VIG66" s="10"/>
      <c r="VIH66" s="10"/>
      <c r="VII66" s="10"/>
      <c r="VIJ66" s="10"/>
      <c r="VIK66" s="10"/>
      <c r="VIL66" s="10"/>
      <c r="VIM66" s="10"/>
      <c r="VIN66" s="10"/>
      <c r="VIO66" s="10"/>
      <c r="VIP66" s="10"/>
      <c r="VIQ66" s="10"/>
      <c r="VIR66" s="10"/>
      <c r="VIS66" s="10"/>
      <c r="VIT66" s="10"/>
      <c r="VIU66" s="10"/>
      <c r="VIV66" s="10"/>
      <c r="VIW66" s="10"/>
      <c r="VIX66" s="10"/>
      <c r="VIY66" s="10"/>
      <c r="VIZ66" s="10"/>
      <c r="VJA66" s="10"/>
      <c r="VJB66" s="10"/>
      <c r="VJC66" s="10"/>
      <c r="VJD66" s="10"/>
      <c r="VJE66" s="10"/>
      <c r="VJF66" s="10"/>
      <c r="VJG66" s="10"/>
      <c r="VJH66" s="10"/>
      <c r="VJI66" s="10"/>
      <c r="VJJ66" s="10"/>
      <c r="VJK66" s="10"/>
      <c r="VJL66" s="10"/>
      <c r="VJM66" s="10"/>
      <c r="VJN66" s="10"/>
      <c r="VJO66" s="10"/>
      <c r="VJP66" s="10"/>
      <c r="VJQ66" s="10"/>
      <c r="VJR66" s="10"/>
      <c r="VJS66" s="10"/>
      <c r="VJT66" s="10"/>
      <c r="VJU66" s="10"/>
      <c r="VJV66" s="10"/>
      <c r="VJW66" s="10"/>
      <c r="VJX66" s="10"/>
      <c r="VJY66" s="10"/>
      <c r="VJZ66" s="10"/>
      <c r="VKA66" s="10"/>
      <c r="VKB66" s="10"/>
      <c r="VKC66" s="10"/>
      <c r="VKD66" s="10"/>
      <c r="VKE66" s="10"/>
      <c r="VKF66" s="10"/>
      <c r="VKG66" s="10"/>
      <c r="VKH66" s="10"/>
      <c r="VKI66" s="10"/>
      <c r="VKJ66" s="10"/>
      <c r="VKK66" s="10"/>
      <c r="VKL66" s="10"/>
      <c r="VKM66" s="10"/>
      <c r="VKN66" s="10"/>
      <c r="VKO66" s="10"/>
      <c r="VKP66" s="10"/>
      <c r="VKQ66" s="10"/>
      <c r="VKR66" s="10"/>
      <c r="VKS66" s="10"/>
      <c r="VKT66" s="10"/>
      <c r="VKU66" s="10"/>
      <c r="VKV66" s="10"/>
      <c r="VKW66" s="10"/>
      <c r="VKX66" s="10"/>
      <c r="VKY66" s="10"/>
      <c r="VKZ66" s="10"/>
      <c r="VLA66" s="10"/>
      <c r="VLB66" s="10"/>
      <c r="VLC66" s="10"/>
      <c r="VLD66" s="10"/>
      <c r="VLE66" s="10"/>
      <c r="VLF66" s="10"/>
      <c r="VLG66" s="10"/>
      <c r="VLH66" s="10"/>
      <c r="VLI66" s="10"/>
      <c r="VLJ66" s="10"/>
      <c r="VLK66" s="10"/>
      <c r="VLL66" s="10"/>
      <c r="VLM66" s="10"/>
      <c r="VLN66" s="10"/>
      <c r="VLO66" s="10"/>
      <c r="VLP66" s="10"/>
      <c r="VLQ66" s="10"/>
      <c r="VLR66" s="10"/>
      <c r="VLS66" s="10"/>
      <c r="VLT66" s="10"/>
      <c r="VLU66" s="10"/>
      <c r="VLV66" s="10"/>
      <c r="VLW66" s="10"/>
      <c r="VLX66" s="10"/>
      <c r="VLY66" s="10"/>
      <c r="VLZ66" s="10"/>
      <c r="VMA66" s="10"/>
      <c r="VMB66" s="10"/>
      <c r="VMC66" s="10"/>
      <c r="VMD66" s="10"/>
      <c r="VME66" s="10"/>
      <c r="VMF66" s="10"/>
      <c r="VMG66" s="10"/>
      <c r="VMH66" s="10"/>
      <c r="VMI66" s="10"/>
      <c r="VMJ66" s="10"/>
      <c r="VMK66" s="10"/>
      <c r="VML66" s="10"/>
      <c r="VMM66" s="10"/>
      <c r="VMN66" s="10"/>
      <c r="VMO66" s="10"/>
      <c r="VMP66" s="10"/>
      <c r="VMQ66" s="10"/>
      <c r="VMR66" s="10"/>
      <c r="VMS66" s="10"/>
      <c r="VMT66" s="10"/>
      <c r="VMU66" s="10"/>
      <c r="VMV66" s="10"/>
      <c r="VMW66" s="10"/>
      <c r="VMX66" s="10"/>
      <c r="VMY66" s="10"/>
      <c r="VMZ66" s="10"/>
      <c r="VNA66" s="10"/>
      <c r="VNB66" s="10"/>
      <c r="VNC66" s="10"/>
      <c r="VND66" s="10"/>
      <c r="VNE66" s="10"/>
      <c r="VNF66" s="10"/>
      <c r="VNG66" s="10"/>
      <c r="VNH66" s="10"/>
      <c r="VNI66" s="10"/>
      <c r="VNJ66" s="10"/>
      <c r="VNK66" s="10"/>
      <c r="VNL66" s="10"/>
      <c r="VNM66" s="10"/>
      <c r="VNN66" s="10"/>
      <c r="VNO66" s="10"/>
      <c r="VNP66" s="10"/>
      <c r="VNQ66" s="10"/>
      <c r="VNR66" s="10"/>
      <c r="VNS66" s="10"/>
      <c r="VNT66" s="10"/>
      <c r="VNU66" s="10"/>
      <c r="VNV66" s="10"/>
      <c r="VNW66" s="10"/>
      <c r="VNX66" s="10"/>
      <c r="VNY66" s="10"/>
      <c r="VNZ66" s="10"/>
      <c r="VOA66" s="10"/>
      <c r="VOB66" s="10"/>
      <c r="VOC66" s="10"/>
      <c r="VOD66" s="10"/>
      <c r="VOE66" s="10"/>
      <c r="VOF66" s="10"/>
      <c r="VOG66" s="10"/>
      <c r="VOH66" s="10"/>
      <c r="VOI66" s="10"/>
      <c r="VOJ66" s="10"/>
      <c r="VOK66" s="10"/>
      <c r="VOL66" s="10"/>
      <c r="VOM66" s="10"/>
      <c r="VON66" s="10"/>
      <c r="VOO66" s="10"/>
      <c r="VOP66" s="10"/>
      <c r="VOQ66" s="10"/>
      <c r="VOR66" s="10"/>
      <c r="VOS66" s="10"/>
      <c r="VOT66" s="10"/>
      <c r="VOU66" s="10"/>
      <c r="VOV66" s="10"/>
      <c r="VOW66" s="10"/>
      <c r="VOX66" s="10"/>
      <c r="VOY66" s="10"/>
      <c r="VOZ66" s="10"/>
      <c r="VPA66" s="10"/>
      <c r="VPB66" s="10"/>
      <c r="VPC66" s="10"/>
      <c r="VPD66" s="10"/>
      <c r="VPE66" s="10"/>
      <c r="VPF66" s="10"/>
      <c r="VPG66" s="10"/>
      <c r="VPH66" s="10"/>
      <c r="VPI66" s="10"/>
      <c r="VPJ66" s="10"/>
      <c r="VPK66" s="10"/>
      <c r="VPL66" s="10"/>
      <c r="VPM66" s="10"/>
      <c r="VPN66" s="10"/>
      <c r="VPO66" s="10"/>
      <c r="VPP66" s="10"/>
      <c r="VPQ66" s="10"/>
      <c r="VPR66" s="10"/>
      <c r="VPS66" s="10"/>
      <c r="VPT66" s="10"/>
      <c r="VPU66" s="10"/>
      <c r="VPV66" s="10"/>
      <c r="VPW66" s="10"/>
      <c r="VPX66" s="10"/>
      <c r="VPY66" s="10"/>
      <c r="VPZ66" s="10"/>
      <c r="VQA66" s="10"/>
      <c r="VQB66" s="10"/>
      <c r="VQC66" s="10"/>
      <c r="VQD66" s="10"/>
      <c r="VQE66" s="10"/>
      <c r="VQF66" s="10"/>
      <c r="VQG66" s="10"/>
      <c r="VQH66" s="10"/>
      <c r="VQI66" s="10"/>
      <c r="VQJ66" s="10"/>
      <c r="VQK66" s="10"/>
      <c r="VQL66" s="10"/>
      <c r="VQM66" s="10"/>
      <c r="VQN66" s="10"/>
      <c r="VQO66" s="10"/>
      <c r="VQP66" s="10"/>
      <c r="VQQ66" s="10"/>
      <c r="VQR66" s="10"/>
      <c r="VQS66" s="10"/>
      <c r="VQT66" s="10"/>
      <c r="VQU66" s="10"/>
      <c r="VQV66" s="10"/>
      <c r="VQW66" s="10"/>
      <c r="VQX66" s="10"/>
      <c r="VQY66" s="10"/>
      <c r="VQZ66" s="10"/>
      <c r="VRA66" s="10"/>
      <c r="VRB66" s="10"/>
      <c r="VRC66" s="10"/>
      <c r="VRD66" s="10"/>
      <c r="VRE66" s="10"/>
      <c r="VRF66" s="10"/>
      <c r="VRG66" s="10"/>
      <c r="VRH66" s="10"/>
      <c r="VRI66" s="10"/>
      <c r="VRJ66" s="10"/>
      <c r="VRK66" s="10"/>
      <c r="VRL66" s="10"/>
      <c r="VRM66" s="10"/>
      <c r="VRN66" s="10"/>
      <c r="VRO66" s="10"/>
      <c r="VRP66" s="10"/>
      <c r="VRQ66" s="10"/>
      <c r="VRR66" s="10"/>
      <c r="VRS66" s="10"/>
      <c r="VRT66" s="10"/>
      <c r="VRU66" s="10"/>
      <c r="VRV66" s="10"/>
      <c r="VRW66" s="10"/>
      <c r="VRX66" s="10"/>
      <c r="VRY66" s="10"/>
      <c r="VRZ66" s="10"/>
      <c r="VSA66" s="10"/>
      <c r="VSB66" s="10"/>
      <c r="VSC66" s="10"/>
      <c r="VSD66" s="10"/>
      <c r="VSE66" s="10"/>
      <c r="VSF66" s="10"/>
      <c r="VSG66" s="10"/>
      <c r="VSH66" s="10"/>
      <c r="VSI66" s="10"/>
      <c r="VSJ66" s="10"/>
      <c r="VSK66" s="10"/>
      <c r="VSL66" s="10"/>
      <c r="VSM66" s="10"/>
      <c r="VSN66" s="10"/>
      <c r="VSO66" s="10"/>
      <c r="VSP66" s="10"/>
      <c r="VSQ66" s="10"/>
      <c r="VSR66" s="10"/>
      <c r="VSS66" s="10"/>
      <c r="VST66" s="10"/>
      <c r="VSU66" s="10"/>
      <c r="VSV66" s="10"/>
      <c r="VSW66" s="10"/>
      <c r="VSX66" s="10"/>
      <c r="VSY66" s="10"/>
      <c r="VSZ66" s="10"/>
      <c r="VTA66" s="10"/>
      <c r="VTB66" s="10"/>
      <c r="VTC66" s="10"/>
      <c r="VTD66" s="10"/>
      <c r="VTE66" s="10"/>
      <c r="VTF66" s="10"/>
      <c r="VTG66" s="10"/>
      <c r="VTH66" s="10"/>
      <c r="VTI66" s="10"/>
      <c r="VTJ66" s="10"/>
      <c r="VTK66" s="10"/>
      <c r="VTL66" s="10"/>
      <c r="VTM66" s="10"/>
      <c r="VTN66" s="10"/>
      <c r="VTO66" s="10"/>
      <c r="VTP66" s="10"/>
      <c r="VTQ66" s="10"/>
      <c r="VTR66" s="10"/>
      <c r="VTS66" s="10"/>
      <c r="VTT66" s="10"/>
      <c r="VTU66" s="10"/>
      <c r="VTV66" s="10"/>
      <c r="VTW66" s="10"/>
      <c r="VTX66" s="10"/>
      <c r="VTY66" s="10"/>
      <c r="VTZ66" s="10"/>
      <c r="VUA66" s="10"/>
      <c r="VUB66" s="10"/>
      <c r="VUC66" s="10"/>
      <c r="VUD66" s="10"/>
      <c r="VUE66" s="10"/>
      <c r="VUF66" s="10"/>
      <c r="VUG66" s="10"/>
      <c r="VUH66" s="10"/>
      <c r="VUI66" s="10"/>
      <c r="VUJ66" s="10"/>
      <c r="VUK66" s="10"/>
      <c r="VUL66" s="10"/>
      <c r="VUM66" s="10"/>
      <c r="VUN66" s="10"/>
      <c r="VUO66" s="10"/>
      <c r="VUP66" s="10"/>
      <c r="VUQ66" s="10"/>
      <c r="VUR66" s="10"/>
      <c r="VUS66" s="10"/>
      <c r="VUT66" s="10"/>
      <c r="VUU66" s="10"/>
      <c r="VUV66" s="10"/>
      <c r="VUW66" s="10"/>
      <c r="VUX66" s="10"/>
      <c r="VUY66" s="10"/>
      <c r="VUZ66" s="10"/>
      <c r="VVA66" s="10"/>
      <c r="VVB66" s="10"/>
      <c r="VVC66" s="10"/>
      <c r="VVD66" s="10"/>
      <c r="VVE66" s="10"/>
      <c r="VVF66" s="10"/>
      <c r="VVG66" s="10"/>
      <c r="VVH66" s="10"/>
      <c r="VVI66" s="10"/>
      <c r="VVJ66" s="10"/>
      <c r="VVK66" s="10"/>
      <c r="VVL66" s="10"/>
      <c r="VVM66" s="10"/>
      <c r="VVN66" s="10"/>
      <c r="VVO66" s="10"/>
      <c r="VVP66" s="10"/>
      <c r="VVQ66" s="10"/>
      <c r="VVR66" s="10"/>
      <c r="VVS66" s="10"/>
      <c r="VVT66" s="10"/>
      <c r="VVU66" s="10"/>
      <c r="VVV66" s="10"/>
      <c r="VVW66" s="10"/>
      <c r="VVX66" s="10"/>
      <c r="VVY66" s="10"/>
      <c r="VVZ66" s="10"/>
      <c r="VWA66" s="10"/>
      <c r="VWB66" s="10"/>
      <c r="VWC66" s="10"/>
      <c r="VWD66" s="10"/>
      <c r="VWE66" s="10"/>
      <c r="VWF66" s="10"/>
      <c r="VWG66" s="10"/>
      <c r="VWH66" s="10"/>
      <c r="VWI66" s="10"/>
      <c r="VWJ66" s="10"/>
      <c r="VWK66" s="10"/>
      <c r="VWL66" s="10"/>
      <c r="VWM66" s="10"/>
      <c r="VWN66" s="10"/>
      <c r="VWO66" s="10"/>
      <c r="VWP66" s="10"/>
      <c r="VWQ66" s="10"/>
      <c r="VWR66" s="10"/>
      <c r="VWS66" s="10"/>
      <c r="VWT66" s="10"/>
      <c r="VWU66" s="10"/>
      <c r="VWV66" s="10"/>
      <c r="VWW66" s="10"/>
      <c r="VWX66" s="10"/>
      <c r="VWY66" s="10"/>
      <c r="VWZ66" s="10"/>
      <c r="VXA66" s="10"/>
      <c r="VXB66" s="10"/>
      <c r="VXC66" s="10"/>
      <c r="VXD66" s="10"/>
      <c r="VXE66" s="10"/>
      <c r="VXF66" s="10"/>
      <c r="VXG66" s="10"/>
      <c r="VXH66" s="10"/>
      <c r="VXI66" s="10"/>
      <c r="VXJ66" s="10"/>
      <c r="VXK66" s="10"/>
      <c r="VXL66" s="10"/>
      <c r="VXM66" s="10"/>
      <c r="VXN66" s="10"/>
      <c r="VXO66" s="10"/>
      <c r="VXP66" s="10"/>
      <c r="VXQ66" s="10"/>
      <c r="VXR66" s="10"/>
      <c r="VXS66" s="10"/>
      <c r="VXT66" s="10"/>
      <c r="VXU66" s="10"/>
      <c r="VXV66" s="10"/>
      <c r="VXW66" s="10"/>
      <c r="VXX66" s="10"/>
      <c r="VXY66" s="10"/>
      <c r="VXZ66" s="10"/>
      <c r="VYA66" s="10"/>
      <c r="VYB66" s="10"/>
      <c r="VYC66" s="10"/>
      <c r="VYD66" s="10"/>
      <c r="VYE66" s="10"/>
      <c r="VYF66" s="10"/>
      <c r="VYG66" s="10"/>
      <c r="VYH66" s="10"/>
      <c r="VYI66" s="10"/>
      <c r="VYJ66" s="10"/>
      <c r="VYK66" s="10"/>
      <c r="VYL66" s="10"/>
      <c r="VYM66" s="10"/>
      <c r="VYN66" s="10"/>
      <c r="VYO66" s="10"/>
      <c r="VYP66" s="10"/>
      <c r="VYQ66" s="10"/>
      <c r="VYR66" s="10"/>
      <c r="VYS66" s="10"/>
      <c r="VYT66" s="10"/>
      <c r="VYU66" s="10"/>
      <c r="VYV66" s="10"/>
      <c r="VYW66" s="10"/>
      <c r="VYX66" s="10"/>
      <c r="VYY66" s="10"/>
      <c r="VYZ66" s="10"/>
      <c r="VZA66" s="10"/>
      <c r="VZB66" s="10"/>
      <c r="VZC66" s="10"/>
      <c r="VZD66" s="10"/>
      <c r="VZE66" s="10"/>
      <c r="VZF66" s="10"/>
      <c r="VZG66" s="10"/>
      <c r="VZH66" s="10"/>
      <c r="VZI66" s="10"/>
      <c r="VZJ66" s="10"/>
      <c r="VZK66" s="10"/>
      <c r="VZL66" s="10"/>
      <c r="VZM66" s="10"/>
      <c r="VZN66" s="10"/>
      <c r="VZO66" s="10"/>
      <c r="VZP66" s="10"/>
      <c r="VZQ66" s="10"/>
      <c r="VZR66" s="10"/>
      <c r="VZS66" s="10"/>
      <c r="VZT66" s="10"/>
      <c r="VZU66" s="10"/>
      <c r="VZV66" s="10"/>
      <c r="VZW66" s="10"/>
      <c r="VZX66" s="10"/>
      <c r="VZY66" s="10"/>
      <c r="VZZ66" s="10"/>
      <c r="WAA66" s="10"/>
      <c r="WAB66" s="10"/>
      <c r="WAC66" s="10"/>
      <c r="WAD66" s="10"/>
      <c r="WAE66" s="10"/>
      <c r="WAF66" s="10"/>
      <c r="WAG66" s="10"/>
      <c r="WAH66" s="10"/>
      <c r="WAI66" s="10"/>
      <c r="WAJ66" s="10"/>
      <c r="WAK66" s="10"/>
      <c r="WAL66" s="10"/>
      <c r="WAM66" s="10"/>
      <c r="WAN66" s="10"/>
      <c r="WAO66" s="10"/>
      <c r="WAP66" s="10"/>
      <c r="WAQ66" s="10"/>
      <c r="WAR66" s="10"/>
      <c r="WAS66" s="10"/>
      <c r="WAT66" s="10"/>
      <c r="WAU66" s="10"/>
      <c r="WAV66" s="10"/>
      <c r="WAW66" s="10"/>
      <c r="WAX66" s="10"/>
      <c r="WAY66" s="10"/>
      <c r="WAZ66" s="10"/>
      <c r="WBA66" s="10"/>
      <c r="WBB66" s="10"/>
      <c r="WBC66" s="10"/>
      <c r="WBD66" s="10"/>
      <c r="WBE66" s="10"/>
      <c r="WBF66" s="10"/>
      <c r="WBG66" s="10"/>
      <c r="WBH66" s="10"/>
      <c r="WBI66" s="10"/>
      <c r="WBJ66" s="10"/>
      <c r="WBK66" s="10"/>
      <c r="WBL66" s="10"/>
      <c r="WBM66" s="10"/>
      <c r="WBN66" s="10"/>
      <c r="WBO66" s="10"/>
      <c r="WBP66" s="10"/>
      <c r="WBQ66" s="10"/>
      <c r="WBR66" s="10"/>
      <c r="WBS66" s="10"/>
      <c r="WBT66" s="10"/>
      <c r="WBU66" s="10"/>
      <c r="WBV66" s="10"/>
      <c r="WBW66" s="10"/>
      <c r="WBX66" s="10"/>
      <c r="WBY66" s="10"/>
      <c r="WBZ66" s="10"/>
      <c r="WCA66" s="10"/>
      <c r="WCB66" s="10"/>
      <c r="WCC66" s="10"/>
      <c r="WCD66" s="10"/>
      <c r="WCE66" s="10"/>
      <c r="WCF66" s="10"/>
      <c r="WCG66" s="10"/>
      <c r="WCH66" s="10"/>
      <c r="WCI66" s="10"/>
      <c r="WCJ66" s="10"/>
      <c r="WCK66" s="10"/>
      <c r="WCL66" s="10"/>
      <c r="WCM66" s="10"/>
      <c r="WCN66" s="10"/>
      <c r="WCO66" s="10"/>
      <c r="WCP66" s="10"/>
      <c r="WCQ66" s="10"/>
      <c r="WCR66" s="10"/>
      <c r="WCS66" s="10"/>
      <c r="WCT66" s="10"/>
      <c r="WCU66" s="10"/>
      <c r="WCV66" s="10"/>
      <c r="WCW66" s="10"/>
      <c r="WCX66" s="10"/>
      <c r="WCY66" s="10"/>
      <c r="WCZ66" s="10"/>
      <c r="WDA66" s="10"/>
      <c r="WDB66" s="10"/>
      <c r="WDC66" s="10"/>
      <c r="WDD66" s="10"/>
      <c r="WDE66" s="10"/>
      <c r="WDF66" s="10"/>
      <c r="WDG66" s="10"/>
      <c r="WDH66" s="10"/>
      <c r="WDI66" s="10"/>
      <c r="WDJ66" s="10"/>
      <c r="WDK66" s="10"/>
      <c r="WDL66" s="10"/>
      <c r="WDM66" s="10"/>
      <c r="WDN66" s="10"/>
      <c r="WDO66" s="10"/>
      <c r="WDP66" s="10"/>
      <c r="WDQ66" s="10"/>
      <c r="WDR66" s="10"/>
      <c r="WDS66" s="10"/>
      <c r="WDT66" s="10"/>
      <c r="WDU66" s="10"/>
      <c r="WDV66" s="10"/>
      <c r="WDW66" s="10"/>
      <c r="WDX66" s="10"/>
      <c r="WDY66" s="10"/>
      <c r="WDZ66" s="10"/>
      <c r="WEA66" s="10"/>
      <c r="WEB66" s="10"/>
      <c r="WEC66" s="10"/>
      <c r="WED66" s="10"/>
      <c r="WEE66" s="10"/>
      <c r="WEF66" s="10"/>
      <c r="WEG66" s="10"/>
      <c r="WEH66" s="10"/>
      <c r="WEI66" s="10"/>
      <c r="WEJ66" s="10"/>
      <c r="WEK66" s="10"/>
      <c r="WEL66" s="10"/>
      <c r="WEM66" s="10"/>
      <c r="WEN66" s="10"/>
      <c r="WEO66" s="10"/>
      <c r="WEP66" s="10"/>
      <c r="WEQ66" s="10"/>
      <c r="WER66" s="10"/>
      <c r="WES66" s="10"/>
      <c r="WET66" s="10"/>
      <c r="WEU66" s="10"/>
      <c r="WEV66" s="10"/>
      <c r="WEW66" s="10"/>
      <c r="WEX66" s="10"/>
      <c r="WEY66" s="10"/>
      <c r="WEZ66" s="10"/>
      <c r="WFA66" s="10"/>
      <c r="WFB66" s="10"/>
      <c r="WFC66" s="10"/>
      <c r="WFD66" s="10"/>
      <c r="WFE66" s="10"/>
      <c r="WFF66" s="10"/>
      <c r="WFG66" s="10"/>
      <c r="WFH66" s="10"/>
      <c r="WFI66" s="10"/>
      <c r="WFJ66" s="10"/>
      <c r="WFK66" s="10"/>
      <c r="WFL66" s="10"/>
      <c r="WFM66" s="10"/>
      <c r="WFN66" s="10"/>
      <c r="WFO66" s="10"/>
      <c r="WFP66" s="10"/>
      <c r="WFQ66" s="10"/>
      <c r="WFR66" s="10"/>
      <c r="WFS66" s="10"/>
      <c r="WFT66" s="10"/>
      <c r="WFU66" s="10"/>
      <c r="WFV66" s="10"/>
      <c r="WFW66" s="10"/>
      <c r="WFX66" s="10"/>
      <c r="WFY66" s="10"/>
      <c r="WFZ66" s="10"/>
      <c r="WGA66" s="10"/>
      <c r="WGB66" s="10"/>
      <c r="WGC66" s="10"/>
      <c r="WGD66" s="10"/>
      <c r="WGE66" s="10"/>
      <c r="WGF66" s="10"/>
      <c r="WGG66" s="10"/>
      <c r="WGH66" s="10"/>
      <c r="WGI66" s="10"/>
      <c r="WGJ66" s="10"/>
      <c r="WGK66" s="10"/>
      <c r="WGL66" s="10"/>
      <c r="WGM66" s="10"/>
      <c r="WGN66" s="10"/>
      <c r="WGO66" s="10"/>
      <c r="WGP66" s="10"/>
      <c r="WGQ66" s="10"/>
      <c r="WGR66" s="10"/>
      <c r="WGS66" s="10"/>
      <c r="WGT66" s="10"/>
      <c r="WGU66" s="10"/>
      <c r="WGV66" s="10"/>
      <c r="WGW66" s="10"/>
      <c r="WGX66" s="10"/>
      <c r="WGY66" s="10"/>
      <c r="WGZ66" s="10"/>
      <c r="WHA66" s="10"/>
      <c r="WHB66" s="10"/>
      <c r="WHC66" s="10"/>
      <c r="WHD66" s="10"/>
      <c r="WHE66" s="10"/>
      <c r="WHF66" s="10"/>
      <c r="WHG66" s="10"/>
      <c r="WHH66" s="10"/>
      <c r="WHI66" s="10"/>
      <c r="WHJ66" s="10"/>
      <c r="WHK66" s="10"/>
      <c r="WHL66" s="10"/>
      <c r="WHM66" s="10"/>
      <c r="WHN66" s="10"/>
      <c r="WHO66" s="10"/>
      <c r="WHP66" s="10"/>
      <c r="WHQ66" s="10"/>
      <c r="WHR66" s="10"/>
      <c r="WHS66" s="10"/>
      <c r="WHT66" s="10"/>
      <c r="WHU66" s="10"/>
      <c r="WHV66" s="10"/>
      <c r="WHW66" s="10"/>
      <c r="WHX66" s="10"/>
      <c r="WHY66" s="10"/>
      <c r="WHZ66" s="10"/>
      <c r="WIA66" s="10"/>
      <c r="WIB66" s="10"/>
      <c r="WIC66" s="10"/>
      <c r="WID66" s="10"/>
      <c r="WIE66" s="10"/>
      <c r="WIF66" s="10"/>
      <c r="WIG66" s="10"/>
      <c r="WIH66" s="10"/>
      <c r="WII66" s="10"/>
      <c r="WIJ66" s="10"/>
      <c r="WIK66" s="10"/>
      <c r="WIL66" s="10"/>
      <c r="WIM66" s="10"/>
      <c r="WIN66" s="10"/>
      <c r="WIO66" s="10"/>
      <c r="WIP66" s="10"/>
      <c r="WIQ66" s="10"/>
      <c r="WIR66" s="10"/>
      <c r="WIS66" s="10"/>
      <c r="WIT66" s="10"/>
      <c r="WIU66" s="10"/>
      <c r="WIV66" s="10"/>
      <c r="WIW66" s="10"/>
      <c r="WIX66" s="10"/>
      <c r="WIY66" s="10"/>
      <c r="WIZ66" s="10"/>
      <c r="WJA66" s="10"/>
      <c r="WJB66" s="10"/>
      <c r="WJC66" s="10"/>
      <c r="WJD66" s="10"/>
      <c r="WJE66" s="10"/>
      <c r="WJF66" s="10"/>
      <c r="WJG66" s="10"/>
      <c r="WJH66" s="10"/>
      <c r="WJI66" s="10"/>
      <c r="WJJ66" s="10"/>
      <c r="WJK66" s="10"/>
      <c r="WJL66" s="10"/>
      <c r="WJM66" s="10"/>
      <c r="WJN66" s="10"/>
      <c r="WJO66" s="10"/>
      <c r="WJP66" s="10"/>
      <c r="WJQ66" s="10"/>
      <c r="WJR66" s="10"/>
      <c r="WJS66" s="10"/>
      <c r="WJT66" s="10"/>
      <c r="WJU66" s="10"/>
      <c r="WJV66" s="10"/>
      <c r="WJW66" s="10"/>
      <c r="WJX66" s="10"/>
      <c r="WJY66" s="10"/>
      <c r="WJZ66" s="10"/>
      <c r="WKA66" s="10"/>
      <c r="WKB66" s="10"/>
      <c r="WKC66" s="10"/>
      <c r="WKD66" s="10"/>
      <c r="WKE66" s="10"/>
      <c r="WKF66" s="10"/>
      <c r="WKG66" s="10"/>
      <c r="WKH66" s="10"/>
      <c r="WKI66" s="10"/>
      <c r="WKJ66" s="10"/>
      <c r="WKK66" s="10"/>
      <c r="WKL66" s="10"/>
      <c r="WKM66" s="10"/>
      <c r="WKN66" s="10"/>
      <c r="WKO66" s="10"/>
      <c r="WKP66" s="10"/>
      <c r="WKQ66" s="10"/>
      <c r="WKR66" s="10"/>
      <c r="WKS66" s="10"/>
      <c r="WKT66" s="10"/>
      <c r="WKU66" s="10"/>
      <c r="WKV66" s="10"/>
      <c r="WKW66" s="10"/>
      <c r="WKX66" s="10"/>
      <c r="WKY66" s="10"/>
      <c r="WKZ66" s="10"/>
      <c r="WLA66" s="10"/>
      <c r="WLB66" s="10"/>
      <c r="WLC66" s="10"/>
      <c r="WLD66" s="10"/>
      <c r="WLE66" s="10"/>
      <c r="WLF66" s="10"/>
      <c r="WLG66" s="10"/>
      <c r="WLH66" s="10"/>
      <c r="WLI66" s="10"/>
      <c r="WLJ66" s="10"/>
      <c r="WLK66" s="10"/>
      <c r="WLL66" s="10"/>
      <c r="WLM66" s="10"/>
      <c r="WLN66" s="10"/>
      <c r="WLO66" s="10"/>
      <c r="WLP66" s="10"/>
      <c r="WLQ66" s="10"/>
      <c r="WLR66" s="10"/>
      <c r="WLS66" s="10"/>
      <c r="WLT66" s="10"/>
      <c r="WLU66" s="10"/>
      <c r="WLV66" s="10"/>
      <c r="WLW66" s="10"/>
      <c r="WLX66" s="10"/>
      <c r="WLY66" s="10"/>
      <c r="WLZ66" s="10"/>
      <c r="WMA66" s="10"/>
      <c r="WMB66" s="10"/>
      <c r="WMC66" s="10"/>
      <c r="WMD66" s="10"/>
      <c r="WME66" s="10"/>
      <c r="WMF66" s="10"/>
      <c r="WMG66" s="10"/>
      <c r="WMH66" s="10"/>
      <c r="WMI66" s="10"/>
      <c r="WMJ66" s="10"/>
      <c r="WMK66" s="10"/>
      <c r="WML66" s="10"/>
      <c r="WMM66" s="10"/>
      <c r="WMN66" s="10"/>
      <c r="WMO66" s="10"/>
      <c r="WMP66" s="10"/>
      <c r="WMQ66" s="10"/>
      <c r="WMR66" s="10"/>
      <c r="WMS66" s="10"/>
      <c r="WMT66" s="10"/>
      <c r="WMU66" s="10"/>
      <c r="WMV66" s="10"/>
      <c r="WMW66" s="10"/>
      <c r="WMX66" s="10"/>
      <c r="WMY66" s="10"/>
      <c r="WMZ66" s="10"/>
      <c r="WNA66" s="10"/>
      <c r="WNB66" s="10"/>
      <c r="WNC66" s="10"/>
      <c r="WND66" s="10"/>
      <c r="WNE66" s="10"/>
      <c r="WNF66" s="10"/>
      <c r="WNG66" s="10"/>
      <c r="WNH66" s="10"/>
      <c r="WNI66" s="10"/>
      <c r="WNJ66" s="10"/>
      <c r="WNK66" s="10"/>
      <c r="WNL66" s="10"/>
      <c r="WNM66" s="10"/>
      <c r="WNN66" s="10"/>
      <c r="WNO66" s="10"/>
      <c r="WNP66" s="10"/>
      <c r="WNQ66" s="10"/>
      <c r="WNR66" s="10"/>
      <c r="WNS66" s="10"/>
      <c r="WNT66" s="10"/>
      <c r="WNU66" s="10"/>
      <c r="WNV66" s="10"/>
      <c r="WNW66" s="10"/>
      <c r="WNX66" s="10"/>
      <c r="WNY66" s="10"/>
      <c r="WNZ66" s="10"/>
      <c r="WOA66" s="10"/>
      <c r="WOB66" s="10"/>
      <c r="WOC66" s="10"/>
      <c r="WOD66" s="10"/>
      <c r="WOE66" s="10"/>
      <c r="WOF66" s="10"/>
      <c r="WOG66" s="10"/>
      <c r="WOH66" s="10"/>
      <c r="WOI66" s="10"/>
      <c r="WOJ66" s="10"/>
      <c r="WOK66" s="10"/>
      <c r="WOL66" s="10"/>
      <c r="WOM66" s="10"/>
      <c r="WON66" s="10"/>
      <c r="WOO66" s="10"/>
      <c r="WOP66" s="10"/>
      <c r="WOQ66" s="10"/>
      <c r="WOR66" s="10"/>
      <c r="WOS66" s="10"/>
      <c r="WOT66" s="10"/>
      <c r="WOU66" s="10"/>
      <c r="WOV66" s="10"/>
      <c r="WOW66" s="10"/>
      <c r="WOX66" s="10"/>
      <c r="WOY66" s="10"/>
      <c r="WOZ66" s="10"/>
      <c r="WPA66" s="10"/>
      <c r="WPB66" s="10"/>
      <c r="WPC66" s="10"/>
      <c r="WPD66" s="10"/>
      <c r="WPE66" s="10"/>
      <c r="WPF66" s="10"/>
      <c r="WPG66" s="10"/>
      <c r="WPH66" s="10"/>
      <c r="WPI66" s="10"/>
      <c r="WPJ66" s="10"/>
      <c r="WPK66" s="10"/>
      <c r="WPL66" s="10"/>
      <c r="WPM66" s="10"/>
      <c r="WPN66" s="10"/>
      <c r="WPO66" s="10"/>
      <c r="WPP66" s="10"/>
      <c r="WPQ66" s="10"/>
      <c r="WPR66" s="10"/>
      <c r="WPS66" s="10"/>
      <c r="WPT66" s="10"/>
      <c r="WPU66" s="10"/>
      <c r="WPV66" s="10"/>
      <c r="WPW66" s="10"/>
      <c r="WPX66" s="10"/>
      <c r="WPY66" s="10"/>
      <c r="WPZ66" s="10"/>
      <c r="WQA66" s="10"/>
      <c r="WQB66" s="10"/>
      <c r="WQC66" s="10"/>
      <c r="WQD66" s="10"/>
      <c r="WQE66" s="10"/>
      <c r="WQF66" s="10"/>
      <c r="WQG66" s="10"/>
      <c r="WQH66" s="10"/>
      <c r="WQI66" s="10"/>
      <c r="WQJ66" s="10"/>
      <c r="WQK66" s="10"/>
      <c r="WQL66" s="10"/>
      <c r="WQM66" s="10"/>
      <c r="WQN66" s="10"/>
      <c r="WQO66" s="10"/>
      <c r="WQP66" s="10"/>
      <c r="WQQ66" s="10"/>
      <c r="WQR66" s="10"/>
      <c r="WQS66" s="10"/>
      <c r="WQT66" s="10"/>
      <c r="WQU66" s="10"/>
      <c r="WQV66" s="10"/>
      <c r="WQW66" s="10"/>
      <c r="WQX66" s="10"/>
      <c r="WQY66" s="10"/>
      <c r="WQZ66" s="10"/>
      <c r="WRA66" s="10"/>
      <c r="WRB66" s="10"/>
      <c r="WRC66" s="10"/>
      <c r="WRD66" s="10"/>
      <c r="WRE66" s="10"/>
      <c r="WRF66" s="10"/>
      <c r="WRG66" s="10"/>
      <c r="WRH66" s="10"/>
      <c r="WRI66" s="10"/>
      <c r="WRJ66" s="10"/>
      <c r="WRK66" s="10"/>
      <c r="WRL66" s="10"/>
      <c r="WRM66" s="10"/>
      <c r="WRN66" s="10"/>
      <c r="WRO66" s="10"/>
      <c r="WRP66" s="10"/>
      <c r="WRQ66" s="10"/>
      <c r="WRR66" s="10"/>
      <c r="WRS66" s="10"/>
      <c r="WRT66" s="10"/>
      <c r="WRU66" s="10"/>
      <c r="WRV66" s="10"/>
      <c r="WRW66" s="10"/>
      <c r="WRX66" s="10"/>
      <c r="WRY66" s="10"/>
      <c r="WRZ66" s="10"/>
      <c r="WSA66" s="10"/>
      <c r="WSB66" s="10"/>
      <c r="WSC66" s="10"/>
      <c r="WSD66" s="10"/>
      <c r="WSE66" s="10"/>
      <c r="WSF66" s="10"/>
      <c r="WSG66" s="10"/>
      <c r="WSH66" s="10"/>
      <c r="WSI66" s="10"/>
      <c r="WSJ66" s="10"/>
      <c r="WSK66" s="10"/>
      <c r="WSL66" s="10"/>
      <c r="WSM66" s="10"/>
      <c r="WSN66" s="10"/>
      <c r="WSO66" s="10"/>
      <c r="WSP66" s="10"/>
      <c r="WSQ66" s="10"/>
      <c r="WSR66" s="10"/>
      <c r="WSS66" s="10"/>
      <c r="WST66" s="10"/>
      <c r="WSU66" s="10"/>
      <c r="WSV66" s="10"/>
      <c r="WSW66" s="10"/>
      <c r="WSX66" s="10"/>
      <c r="WSY66" s="10"/>
      <c r="WSZ66" s="10"/>
      <c r="WTA66" s="10"/>
      <c r="WTB66" s="10"/>
      <c r="WTC66" s="10"/>
      <c r="WTD66" s="10"/>
      <c r="WTE66" s="10"/>
      <c r="WTF66" s="10"/>
      <c r="WTG66" s="10"/>
      <c r="WTH66" s="10"/>
      <c r="WTI66" s="10"/>
      <c r="WTJ66" s="10"/>
      <c r="WTK66" s="10"/>
      <c r="WTL66" s="10"/>
      <c r="WTM66" s="10"/>
      <c r="WTN66" s="10"/>
      <c r="WTO66" s="10"/>
      <c r="WTP66" s="10"/>
      <c r="WTQ66" s="10"/>
      <c r="WTR66" s="10"/>
      <c r="WTS66" s="10"/>
      <c r="WTT66" s="10"/>
      <c r="WTU66" s="10"/>
      <c r="WTV66" s="10"/>
      <c r="WTW66" s="10"/>
      <c r="WTX66" s="10"/>
      <c r="WTY66" s="10"/>
      <c r="WTZ66" s="10"/>
      <c r="WUA66" s="10"/>
      <c r="WUB66" s="10"/>
      <c r="WUC66" s="10"/>
      <c r="WUD66" s="10"/>
      <c r="WUE66" s="10"/>
      <c r="WUF66" s="10"/>
      <c r="WUG66" s="10"/>
      <c r="WUH66" s="10"/>
      <c r="WUI66" s="10"/>
      <c r="WUJ66" s="10"/>
      <c r="WUK66" s="10"/>
      <c r="WUL66" s="10"/>
      <c r="WUM66" s="10"/>
      <c r="WUN66" s="10"/>
      <c r="WUO66" s="10"/>
      <c r="WUP66" s="10"/>
      <c r="WUQ66" s="10"/>
      <c r="WUR66" s="10"/>
      <c r="WUS66" s="10"/>
      <c r="WUT66" s="10"/>
      <c r="WUU66" s="10"/>
      <c r="WUV66" s="10"/>
      <c r="WUW66" s="10"/>
      <c r="WUX66" s="10"/>
      <c r="WUY66" s="10"/>
      <c r="WUZ66" s="10"/>
      <c r="WVA66" s="10"/>
      <c r="WVB66" s="10"/>
      <c r="WVC66" s="10"/>
      <c r="WVD66" s="10"/>
      <c r="WVE66" s="10"/>
      <c r="WVF66" s="10"/>
      <c r="WVG66" s="10"/>
      <c r="WVH66" s="10"/>
      <c r="WVI66" s="10"/>
      <c r="WVJ66" s="10"/>
      <c r="WVK66" s="10"/>
      <c r="WVL66" s="10"/>
      <c r="WVM66" s="10"/>
      <c r="WVN66" s="10"/>
      <c r="WVO66" s="10"/>
      <c r="WVP66" s="10"/>
      <c r="WVQ66" s="10"/>
      <c r="WVR66" s="10"/>
      <c r="WVS66" s="10"/>
      <c r="WVT66" s="10"/>
    </row>
    <row r="67" spans="2:16140" s="242" customFormat="1" ht="21" customHeight="1">
      <c r="B67" s="241"/>
      <c r="C67" s="332"/>
      <c r="D67" s="337"/>
      <c r="F67" s="244"/>
      <c r="G67" s="245"/>
      <c r="H67" s="333"/>
      <c r="I67" s="333"/>
      <c r="J67" s="333"/>
      <c r="K67" s="333"/>
      <c r="L67" s="334"/>
      <c r="M67" s="10"/>
      <c r="N67" s="18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  <c r="HO67" s="10"/>
      <c r="HP67" s="10"/>
      <c r="HQ67" s="10"/>
      <c r="HR67" s="10"/>
      <c r="HS67" s="10"/>
      <c r="HT67" s="10"/>
      <c r="HU67" s="10"/>
      <c r="HV67" s="10"/>
      <c r="HW67" s="10"/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10"/>
      <c r="IK67" s="10"/>
      <c r="IL67" s="10"/>
      <c r="IM67" s="10"/>
      <c r="IN67" s="10"/>
      <c r="IO67" s="10"/>
      <c r="IP67" s="10"/>
      <c r="IQ67" s="10"/>
      <c r="IR67" s="10"/>
      <c r="IS67" s="10"/>
      <c r="IT67" s="10"/>
      <c r="IU67" s="10"/>
      <c r="IV67" s="10"/>
      <c r="IW67" s="10"/>
      <c r="IX67" s="10"/>
      <c r="IY67" s="10"/>
      <c r="IZ67" s="10"/>
      <c r="JA67" s="10"/>
      <c r="JB67" s="10"/>
      <c r="JC67" s="10"/>
      <c r="JD67" s="10"/>
      <c r="JE67" s="10"/>
      <c r="JF67" s="10"/>
      <c r="JG67" s="10"/>
      <c r="JH67" s="10"/>
      <c r="JI67" s="10"/>
      <c r="JJ67" s="10"/>
      <c r="JK67" s="10"/>
      <c r="JL67" s="10"/>
      <c r="JM67" s="10"/>
      <c r="JN67" s="10"/>
      <c r="JO67" s="10"/>
      <c r="JP67" s="10"/>
      <c r="JQ67" s="10"/>
      <c r="JR67" s="10"/>
      <c r="JS67" s="10"/>
      <c r="JT67" s="10"/>
      <c r="JU67" s="10"/>
      <c r="JV67" s="10"/>
      <c r="JW67" s="10"/>
      <c r="JX67" s="10"/>
      <c r="JY67" s="10"/>
      <c r="JZ67" s="10"/>
      <c r="KA67" s="10"/>
      <c r="KB67" s="10"/>
      <c r="KC67" s="10"/>
      <c r="KD67" s="10"/>
      <c r="KE67" s="10"/>
      <c r="KF67" s="10"/>
      <c r="KG67" s="10"/>
      <c r="KH67" s="10"/>
      <c r="KI67" s="10"/>
      <c r="KJ67" s="10"/>
      <c r="KK67" s="10"/>
      <c r="KL67" s="10"/>
      <c r="KM67" s="10"/>
      <c r="KN67" s="10"/>
      <c r="KO67" s="10"/>
      <c r="KP67" s="10"/>
      <c r="KQ67" s="10"/>
      <c r="KR67" s="10"/>
      <c r="KS67" s="10"/>
      <c r="KT67" s="10"/>
      <c r="KU67" s="10"/>
      <c r="KV67" s="10"/>
      <c r="KW67" s="10"/>
      <c r="KX67" s="10"/>
      <c r="KY67" s="10"/>
      <c r="KZ67" s="10"/>
      <c r="LA67" s="10"/>
      <c r="LB67" s="10"/>
      <c r="LC67" s="10"/>
      <c r="LD67" s="10"/>
      <c r="LE67" s="10"/>
      <c r="LF67" s="10"/>
      <c r="LG67" s="10"/>
      <c r="LH67" s="10"/>
      <c r="LI67" s="10"/>
      <c r="LJ67" s="10"/>
      <c r="LK67" s="10"/>
      <c r="LL67" s="10"/>
      <c r="LM67" s="10"/>
      <c r="LN67" s="10"/>
      <c r="LO67" s="10"/>
      <c r="LP67" s="10"/>
      <c r="LQ67" s="10"/>
      <c r="LR67" s="10"/>
      <c r="LS67" s="10"/>
      <c r="LT67" s="10"/>
      <c r="LU67" s="10"/>
      <c r="LV67" s="10"/>
      <c r="LW67" s="10"/>
      <c r="LX67" s="10"/>
      <c r="LY67" s="10"/>
      <c r="LZ67" s="10"/>
      <c r="MA67" s="10"/>
      <c r="MB67" s="10"/>
      <c r="MC67" s="10"/>
      <c r="MD67" s="10"/>
      <c r="ME67" s="10"/>
      <c r="MF67" s="10"/>
      <c r="MG67" s="10"/>
      <c r="MH67" s="10"/>
      <c r="MI67" s="10"/>
      <c r="MJ67" s="10"/>
      <c r="MK67" s="10"/>
      <c r="ML67" s="10"/>
      <c r="MM67" s="10"/>
      <c r="MN67" s="10"/>
      <c r="MO67" s="10"/>
      <c r="MP67" s="10"/>
      <c r="MQ67" s="10"/>
      <c r="MR67" s="10"/>
      <c r="MS67" s="10"/>
      <c r="MT67" s="10"/>
      <c r="MU67" s="10"/>
      <c r="MV67" s="10"/>
      <c r="MW67" s="10"/>
      <c r="MX67" s="10"/>
      <c r="MY67" s="10"/>
      <c r="MZ67" s="10"/>
      <c r="NA67" s="10"/>
      <c r="NB67" s="10"/>
      <c r="NC67" s="10"/>
      <c r="ND67" s="10"/>
      <c r="NE67" s="10"/>
      <c r="NF67" s="10"/>
      <c r="NG67" s="10"/>
      <c r="NH67" s="10"/>
      <c r="NI67" s="10"/>
      <c r="NJ67" s="10"/>
      <c r="NK67" s="10"/>
      <c r="NL67" s="10"/>
      <c r="NM67" s="10"/>
      <c r="NN67" s="10"/>
      <c r="NO67" s="10"/>
      <c r="NP67" s="10"/>
      <c r="NQ67" s="10"/>
      <c r="NR67" s="10"/>
      <c r="NS67" s="10"/>
      <c r="NT67" s="10"/>
      <c r="NU67" s="10"/>
      <c r="NV67" s="10"/>
      <c r="NW67" s="10"/>
      <c r="NX67" s="10"/>
      <c r="NY67" s="10"/>
      <c r="NZ67" s="10"/>
      <c r="OA67" s="10"/>
      <c r="OB67" s="10"/>
      <c r="OC67" s="10"/>
      <c r="OD67" s="10"/>
      <c r="OE67" s="10"/>
      <c r="OF67" s="10"/>
      <c r="OG67" s="10"/>
      <c r="OH67" s="10"/>
      <c r="OI67" s="10"/>
      <c r="OJ67" s="10"/>
      <c r="OK67" s="10"/>
      <c r="OL67" s="10"/>
      <c r="OM67" s="10"/>
      <c r="ON67" s="10"/>
      <c r="OO67" s="10"/>
      <c r="OP67" s="10"/>
      <c r="OQ67" s="10"/>
      <c r="OR67" s="10"/>
      <c r="OS67" s="10"/>
      <c r="OT67" s="10"/>
      <c r="OU67" s="10"/>
      <c r="OV67" s="10"/>
      <c r="OW67" s="10"/>
      <c r="OX67" s="10"/>
      <c r="OY67" s="10"/>
      <c r="OZ67" s="10"/>
      <c r="PA67" s="10"/>
      <c r="PB67" s="10"/>
      <c r="PC67" s="10"/>
      <c r="PD67" s="10"/>
      <c r="PE67" s="10"/>
      <c r="PF67" s="10"/>
      <c r="PG67" s="10"/>
      <c r="PH67" s="10"/>
      <c r="PI67" s="10"/>
      <c r="PJ67" s="10"/>
      <c r="PK67" s="10"/>
      <c r="PL67" s="10"/>
      <c r="PM67" s="10"/>
      <c r="PN67" s="10"/>
      <c r="PO67" s="10"/>
      <c r="PP67" s="10"/>
      <c r="PQ67" s="10"/>
      <c r="PR67" s="10"/>
      <c r="PS67" s="10"/>
      <c r="PT67" s="10"/>
      <c r="PU67" s="10"/>
      <c r="PV67" s="10"/>
      <c r="PW67" s="10"/>
      <c r="PX67" s="10"/>
      <c r="PY67" s="10"/>
      <c r="PZ67" s="10"/>
      <c r="QA67" s="10"/>
      <c r="QB67" s="10"/>
      <c r="QC67" s="10"/>
      <c r="QD67" s="10"/>
      <c r="QE67" s="10"/>
      <c r="QF67" s="10"/>
      <c r="QG67" s="10"/>
      <c r="QH67" s="10"/>
      <c r="QI67" s="10"/>
      <c r="QJ67" s="10"/>
      <c r="QK67" s="10"/>
      <c r="QL67" s="10"/>
      <c r="QM67" s="10"/>
      <c r="QN67" s="10"/>
      <c r="QO67" s="10"/>
      <c r="QP67" s="10"/>
      <c r="QQ67" s="10"/>
      <c r="QR67" s="10"/>
      <c r="QS67" s="10"/>
      <c r="QT67" s="10"/>
      <c r="QU67" s="10"/>
      <c r="QV67" s="10"/>
      <c r="QW67" s="10"/>
      <c r="QX67" s="10"/>
      <c r="QY67" s="10"/>
      <c r="QZ67" s="10"/>
      <c r="RA67" s="10"/>
      <c r="RB67" s="10"/>
      <c r="RC67" s="10"/>
      <c r="RD67" s="10"/>
      <c r="RE67" s="10"/>
      <c r="RF67" s="10"/>
      <c r="RG67" s="10"/>
      <c r="RH67" s="10"/>
      <c r="RI67" s="10"/>
      <c r="RJ67" s="10"/>
      <c r="RK67" s="10"/>
      <c r="RL67" s="10"/>
      <c r="RM67" s="10"/>
      <c r="RN67" s="10"/>
      <c r="RO67" s="10"/>
      <c r="RP67" s="10"/>
      <c r="RQ67" s="10"/>
      <c r="RR67" s="10"/>
      <c r="RS67" s="10"/>
      <c r="RT67" s="10"/>
      <c r="RU67" s="10"/>
      <c r="RV67" s="10"/>
      <c r="RW67" s="10"/>
      <c r="RX67" s="10"/>
      <c r="RY67" s="10"/>
      <c r="RZ67" s="10"/>
      <c r="SA67" s="10"/>
      <c r="SB67" s="10"/>
      <c r="SC67" s="10"/>
      <c r="SD67" s="10"/>
      <c r="SE67" s="10"/>
      <c r="SF67" s="10"/>
      <c r="SG67" s="10"/>
      <c r="SH67" s="10"/>
      <c r="SI67" s="10"/>
      <c r="SJ67" s="10"/>
      <c r="SK67" s="10"/>
      <c r="SL67" s="10"/>
      <c r="SM67" s="10"/>
      <c r="SN67" s="10"/>
      <c r="SO67" s="10"/>
      <c r="SP67" s="10"/>
      <c r="SQ67" s="10"/>
      <c r="SR67" s="10"/>
      <c r="SS67" s="10"/>
      <c r="ST67" s="10"/>
      <c r="SU67" s="10"/>
      <c r="SV67" s="10"/>
      <c r="SW67" s="10"/>
      <c r="SX67" s="10"/>
      <c r="SY67" s="10"/>
      <c r="SZ67" s="10"/>
      <c r="TA67" s="10"/>
      <c r="TB67" s="10"/>
      <c r="TC67" s="10"/>
      <c r="TD67" s="10"/>
      <c r="TE67" s="10"/>
      <c r="TF67" s="10"/>
      <c r="TG67" s="10"/>
      <c r="TH67" s="10"/>
      <c r="TI67" s="10"/>
      <c r="TJ67" s="10"/>
      <c r="TK67" s="10"/>
      <c r="TL67" s="10"/>
      <c r="TM67" s="10"/>
      <c r="TN67" s="10"/>
      <c r="TO67" s="10"/>
      <c r="TP67" s="10"/>
      <c r="TQ67" s="10"/>
      <c r="TR67" s="10"/>
      <c r="TS67" s="10"/>
      <c r="TT67" s="10"/>
      <c r="TU67" s="10"/>
      <c r="TV67" s="10"/>
      <c r="TW67" s="10"/>
      <c r="TX67" s="10"/>
      <c r="TY67" s="10"/>
      <c r="TZ67" s="10"/>
      <c r="UA67" s="10"/>
      <c r="UB67" s="10"/>
      <c r="UC67" s="10"/>
      <c r="UD67" s="10"/>
      <c r="UE67" s="10"/>
      <c r="UF67" s="10"/>
      <c r="UG67" s="10"/>
      <c r="UH67" s="10"/>
      <c r="UI67" s="10"/>
      <c r="UJ67" s="10"/>
      <c r="UK67" s="10"/>
      <c r="UL67" s="10"/>
      <c r="UM67" s="10"/>
      <c r="UN67" s="10"/>
      <c r="UO67" s="10"/>
      <c r="UP67" s="10"/>
      <c r="UQ67" s="10"/>
      <c r="UR67" s="10"/>
      <c r="US67" s="10"/>
      <c r="UT67" s="10"/>
      <c r="UU67" s="10"/>
      <c r="UV67" s="10"/>
      <c r="UW67" s="10"/>
      <c r="UX67" s="10"/>
      <c r="UY67" s="10"/>
      <c r="UZ67" s="10"/>
      <c r="VA67" s="10"/>
      <c r="VB67" s="10"/>
      <c r="VC67" s="10"/>
      <c r="VD67" s="10"/>
      <c r="VE67" s="10"/>
      <c r="VF67" s="10"/>
      <c r="VG67" s="10"/>
      <c r="VH67" s="10"/>
      <c r="VI67" s="10"/>
      <c r="VJ67" s="10"/>
      <c r="VK67" s="10"/>
      <c r="VL67" s="10"/>
      <c r="VM67" s="10"/>
      <c r="VN67" s="10"/>
      <c r="VO67" s="10"/>
      <c r="VP67" s="10"/>
      <c r="VQ67" s="10"/>
      <c r="VR67" s="10"/>
      <c r="VS67" s="10"/>
      <c r="VT67" s="10"/>
      <c r="VU67" s="10"/>
      <c r="VV67" s="10"/>
      <c r="VW67" s="10"/>
      <c r="VX67" s="10"/>
      <c r="VY67" s="10"/>
      <c r="VZ67" s="10"/>
      <c r="WA67" s="10"/>
      <c r="WB67" s="10"/>
      <c r="WC67" s="10"/>
      <c r="WD67" s="10"/>
      <c r="WE67" s="10"/>
      <c r="WF67" s="10"/>
      <c r="WG67" s="10"/>
      <c r="WH67" s="10"/>
      <c r="WI67" s="10"/>
      <c r="WJ67" s="10"/>
      <c r="WK67" s="10"/>
      <c r="WL67" s="10"/>
      <c r="WM67" s="10"/>
      <c r="WN67" s="10"/>
      <c r="WO67" s="10"/>
      <c r="WP67" s="10"/>
      <c r="WQ67" s="10"/>
      <c r="WR67" s="10"/>
      <c r="WS67" s="10"/>
      <c r="WT67" s="10"/>
      <c r="WU67" s="10"/>
      <c r="WV67" s="10"/>
      <c r="WW67" s="10"/>
      <c r="WX67" s="10"/>
      <c r="WY67" s="10"/>
      <c r="WZ67" s="10"/>
      <c r="XA67" s="10"/>
      <c r="XB67" s="10"/>
      <c r="XC67" s="10"/>
      <c r="XD67" s="10"/>
      <c r="XE67" s="10"/>
      <c r="XF67" s="10"/>
      <c r="XG67" s="10"/>
      <c r="XH67" s="10"/>
      <c r="XI67" s="10"/>
      <c r="XJ67" s="10"/>
      <c r="XK67" s="10"/>
      <c r="XL67" s="10"/>
      <c r="XM67" s="10"/>
      <c r="XN67" s="10"/>
      <c r="XO67" s="10"/>
      <c r="XP67" s="10"/>
      <c r="XQ67" s="10"/>
      <c r="XR67" s="10"/>
      <c r="XS67" s="10"/>
      <c r="XT67" s="10"/>
      <c r="XU67" s="10"/>
      <c r="XV67" s="10"/>
      <c r="XW67" s="10"/>
      <c r="XX67" s="10"/>
      <c r="XY67" s="10"/>
      <c r="XZ67" s="10"/>
      <c r="YA67" s="10"/>
      <c r="YB67" s="10"/>
      <c r="YC67" s="10"/>
      <c r="YD67" s="10"/>
      <c r="YE67" s="10"/>
      <c r="YF67" s="10"/>
      <c r="YG67" s="10"/>
      <c r="YH67" s="10"/>
      <c r="YI67" s="10"/>
      <c r="YJ67" s="10"/>
      <c r="YK67" s="10"/>
      <c r="YL67" s="10"/>
      <c r="YM67" s="10"/>
      <c r="YN67" s="10"/>
      <c r="YO67" s="10"/>
      <c r="YP67" s="10"/>
      <c r="YQ67" s="10"/>
      <c r="YR67" s="10"/>
      <c r="YS67" s="10"/>
      <c r="YT67" s="10"/>
      <c r="YU67" s="10"/>
      <c r="YV67" s="10"/>
      <c r="YW67" s="10"/>
      <c r="YX67" s="10"/>
      <c r="YY67" s="10"/>
      <c r="YZ67" s="10"/>
      <c r="ZA67" s="10"/>
      <c r="ZB67" s="10"/>
      <c r="ZC67" s="10"/>
      <c r="ZD67" s="10"/>
      <c r="ZE67" s="10"/>
      <c r="ZF67" s="10"/>
      <c r="ZG67" s="10"/>
      <c r="ZH67" s="10"/>
      <c r="ZI67" s="10"/>
      <c r="ZJ67" s="10"/>
      <c r="ZK67" s="10"/>
      <c r="ZL67" s="10"/>
      <c r="ZM67" s="10"/>
      <c r="ZN67" s="10"/>
      <c r="ZO67" s="10"/>
      <c r="ZP67" s="10"/>
      <c r="ZQ67" s="10"/>
      <c r="ZR67" s="10"/>
      <c r="ZS67" s="10"/>
      <c r="ZT67" s="10"/>
      <c r="ZU67" s="10"/>
      <c r="ZV67" s="10"/>
      <c r="ZW67" s="10"/>
      <c r="ZX67" s="10"/>
      <c r="ZY67" s="10"/>
      <c r="ZZ67" s="10"/>
      <c r="AAA67" s="10"/>
      <c r="AAB67" s="10"/>
      <c r="AAC67" s="10"/>
      <c r="AAD67" s="10"/>
      <c r="AAE67" s="10"/>
      <c r="AAF67" s="10"/>
      <c r="AAG67" s="10"/>
      <c r="AAH67" s="10"/>
      <c r="AAI67" s="10"/>
      <c r="AAJ67" s="10"/>
      <c r="AAK67" s="10"/>
      <c r="AAL67" s="10"/>
      <c r="AAM67" s="10"/>
      <c r="AAN67" s="10"/>
      <c r="AAO67" s="10"/>
      <c r="AAP67" s="10"/>
      <c r="AAQ67" s="10"/>
      <c r="AAR67" s="10"/>
      <c r="AAS67" s="10"/>
      <c r="AAT67" s="10"/>
      <c r="AAU67" s="10"/>
      <c r="AAV67" s="10"/>
      <c r="AAW67" s="10"/>
      <c r="AAX67" s="10"/>
      <c r="AAY67" s="10"/>
      <c r="AAZ67" s="10"/>
      <c r="ABA67" s="10"/>
      <c r="ABB67" s="10"/>
      <c r="ABC67" s="10"/>
      <c r="ABD67" s="10"/>
      <c r="ABE67" s="10"/>
      <c r="ABF67" s="10"/>
      <c r="ABG67" s="10"/>
      <c r="ABH67" s="10"/>
      <c r="ABI67" s="10"/>
      <c r="ABJ67" s="10"/>
      <c r="ABK67" s="10"/>
      <c r="ABL67" s="10"/>
      <c r="ABM67" s="10"/>
      <c r="ABN67" s="10"/>
      <c r="ABO67" s="10"/>
      <c r="ABP67" s="10"/>
      <c r="ABQ67" s="10"/>
      <c r="ABR67" s="10"/>
      <c r="ABS67" s="10"/>
      <c r="ABT67" s="10"/>
      <c r="ABU67" s="10"/>
      <c r="ABV67" s="10"/>
      <c r="ABW67" s="10"/>
      <c r="ABX67" s="10"/>
      <c r="ABY67" s="10"/>
      <c r="ABZ67" s="10"/>
      <c r="ACA67" s="10"/>
      <c r="ACB67" s="10"/>
      <c r="ACC67" s="10"/>
      <c r="ACD67" s="10"/>
      <c r="ACE67" s="10"/>
      <c r="ACF67" s="10"/>
      <c r="ACG67" s="10"/>
      <c r="ACH67" s="10"/>
      <c r="ACI67" s="10"/>
      <c r="ACJ67" s="10"/>
      <c r="ACK67" s="10"/>
      <c r="ACL67" s="10"/>
      <c r="ACM67" s="10"/>
      <c r="ACN67" s="10"/>
      <c r="ACO67" s="10"/>
      <c r="ACP67" s="10"/>
      <c r="ACQ67" s="10"/>
      <c r="ACR67" s="10"/>
      <c r="ACS67" s="10"/>
      <c r="ACT67" s="10"/>
      <c r="ACU67" s="10"/>
      <c r="ACV67" s="10"/>
      <c r="ACW67" s="10"/>
      <c r="ACX67" s="10"/>
      <c r="ACY67" s="10"/>
      <c r="ACZ67" s="10"/>
      <c r="ADA67" s="10"/>
      <c r="ADB67" s="10"/>
      <c r="ADC67" s="10"/>
      <c r="ADD67" s="10"/>
      <c r="ADE67" s="10"/>
      <c r="ADF67" s="10"/>
      <c r="ADG67" s="10"/>
      <c r="ADH67" s="10"/>
      <c r="ADI67" s="10"/>
      <c r="ADJ67" s="10"/>
      <c r="ADK67" s="10"/>
      <c r="ADL67" s="10"/>
      <c r="ADM67" s="10"/>
      <c r="ADN67" s="10"/>
      <c r="ADO67" s="10"/>
      <c r="ADP67" s="10"/>
      <c r="ADQ67" s="10"/>
      <c r="ADR67" s="10"/>
      <c r="ADS67" s="10"/>
      <c r="ADT67" s="10"/>
      <c r="ADU67" s="10"/>
      <c r="ADV67" s="10"/>
      <c r="ADW67" s="10"/>
      <c r="ADX67" s="10"/>
      <c r="ADY67" s="10"/>
      <c r="ADZ67" s="10"/>
      <c r="AEA67" s="10"/>
      <c r="AEB67" s="10"/>
      <c r="AEC67" s="10"/>
      <c r="AED67" s="10"/>
      <c r="AEE67" s="10"/>
      <c r="AEF67" s="10"/>
      <c r="AEG67" s="10"/>
      <c r="AEH67" s="10"/>
      <c r="AEI67" s="10"/>
      <c r="AEJ67" s="10"/>
      <c r="AEK67" s="10"/>
      <c r="AEL67" s="10"/>
      <c r="AEM67" s="10"/>
      <c r="AEN67" s="10"/>
      <c r="AEO67" s="10"/>
      <c r="AEP67" s="10"/>
      <c r="AEQ67" s="10"/>
      <c r="AER67" s="10"/>
      <c r="AES67" s="10"/>
      <c r="AET67" s="10"/>
      <c r="AEU67" s="10"/>
      <c r="AEV67" s="10"/>
      <c r="AEW67" s="10"/>
      <c r="AEX67" s="10"/>
      <c r="AEY67" s="10"/>
      <c r="AEZ67" s="10"/>
      <c r="AFA67" s="10"/>
      <c r="AFB67" s="10"/>
      <c r="AFC67" s="10"/>
      <c r="AFD67" s="10"/>
      <c r="AFE67" s="10"/>
      <c r="AFF67" s="10"/>
      <c r="AFG67" s="10"/>
      <c r="AFH67" s="10"/>
      <c r="AFI67" s="10"/>
      <c r="AFJ67" s="10"/>
      <c r="AFK67" s="10"/>
      <c r="AFL67" s="10"/>
      <c r="AFM67" s="10"/>
      <c r="AFN67" s="10"/>
      <c r="AFO67" s="10"/>
      <c r="AFP67" s="10"/>
      <c r="AFQ67" s="10"/>
      <c r="AFR67" s="10"/>
      <c r="AFS67" s="10"/>
      <c r="AFT67" s="10"/>
      <c r="AFU67" s="10"/>
      <c r="AFV67" s="10"/>
      <c r="AFW67" s="10"/>
      <c r="AFX67" s="10"/>
      <c r="AFY67" s="10"/>
      <c r="AFZ67" s="10"/>
      <c r="AGA67" s="10"/>
      <c r="AGB67" s="10"/>
      <c r="AGC67" s="10"/>
      <c r="AGD67" s="10"/>
      <c r="AGE67" s="10"/>
      <c r="AGF67" s="10"/>
      <c r="AGG67" s="10"/>
      <c r="AGH67" s="10"/>
      <c r="AGI67" s="10"/>
      <c r="AGJ67" s="10"/>
      <c r="AGK67" s="10"/>
      <c r="AGL67" s="10"/>
      <c r="AGM67" s="10"/>
      <c r="AGN67" s="10"/>
      <c r="AGO67" s="10"/>
      <c r="AGP67" s="10"/>
      <c r="AGQ67" s="10"/>
      <c r="AGR67" s="10"/>
      <c r="AGS67" s="10"/>
      <c r="AGT67" s="10"/>
      <c r="AGU67" s="10"/>
      <c r="AGV67" s="10"/>
      <c r="AGW67" s="10"/>
      <c r="AGX67" s="10"/>
      <c r="AGY67" s="10"/>
      <c r="AGZ67" s="10"/>
      <c r="AHA67" s="10"/>
      <c r="AHB67" s="10"/>
      <c r="AHC67" s="10"/>
      <c r="AHD67" s="10"/>
      <c r="AHE67" s="10"/>
      <c r="AHF67" s="10"/>
      <c r="AHG67" s="10"/>
      <c r="AHH67" s="10"/>
      <c r="AHI67" s="10"/>
      <c r="AHJ67" s="10"/>
      <c r="AHK67" s="10"/>
      <c r="AHL67" s="10"/>
      <c r="AHM67" s="10"/>
      <c r="AHN67" s="10"/>
      <c r="AHO67" s="10"/>
      <c r="AHP67" s="10"/>
      <c r="AHQ67" s="10"/>
      <c r="AHR67" s="10"/>
      <c r="AHS67" s="10"/>
      <c r="AHT67" s="10"/>
      <c r="AHU67" s="10"/>
      <c r="AHV67" s="10"/>
      <c r="AHW67" s="10"/>
      <c r="AHX67" s="10"/>
      <c r="AHY67" s="10"/>
      <c r="AHZ67" s="10"/>
      <c r="AIA67" s="10"/>
      <c r="AIB67" s="10"/>
      <c r="AIC67" s="10"/>
      <c r="AID67" s="10"/>
      <c r="AIE67" s="10"/>
      <c r="AIF67" s="10"/>
      <c r="AIG67" s="10"/>
      <c r="AIH67" s="10"/>
      <c r="AII67" s="10"/>
      <c r="AIJ67" s="10"/>
      <c r="AIK67" s="10"/>
      <c r="AIL67" s="10"/>
      <c r="AIM67" s="10"/>
      <c r="AIN67" s="10"/>
      <c r="AIO67" s="10"/>
      <c r="AIP67" s="10"/>
      <c r="AIQ67" s="10"/>
      <c r="AIR67" s="10"/>
      <c r="AIS67" s="10"/>
      <c r="AIT67" s="10"/>
      <c r="AIU67" s="10"/>
      <c r="AIV67" s="10"/>
      <c r="AIW67" s="10"/>
      <c r="AIX67" s="10"/>
      <c r="AIY67" s="10"/>
      <c r="AIZ67" s="10"/>
      <c r="AJA67" s="10"/>
      <c r="AJB67" s="10"/>
      <c r="AJC67" s="10"/>
      <c r="AJD67" s="10"/>
      <c r="AJE67" s="10"/>
      <c r="AJF67" s="10"/>
      <c r="AJG67" s="10"/>
      <c r="AJH67" s="10"/>
      <c r="AJI67" s="10"/>
      <c r="AJJ67" s="10"/>
      <c r="AJK67" s="10"/>
      <c r="AJL67" s="10"/>
      <c r="AJM67" s="10"/>
      <c r="AJN67" s="10"/>
      <c r="AJO67" s="10"/>
      <c r="AJP67" s="10"/>
      <c r="AJQ67" s="10"/>
      <c r="AJR67" s="10"/>
      <c r="AJS67" s="10"/>
      <c r="AJT67" s="10"/>
      <c r="AJU67" s="10"/>
      <c r="AJV67" s="10"/>
      <c r="AJW67" s="10"/>
      <c r="AJX67" s="10"/>
      <c r="AJY67" s="10"/>
      <c r="AJZ67" s="10"/>
      <c r="AKA67" s="10"/>
      <c r="AKB67" s="10"/>
      <c r="AKC67" s="10"/>
      <c r="AKD67" s="10"/>
      <c r="AKE67" s="10"/>
      <c r="AKF67" s="10"/>
      <c r="AKG67" s="10"/>
      <c r="AKH67" s="10"/>
      <c r="AKI67" s="10"/>
      <c r="AKJ67" s="10"/>
      <c r="AKK67" s="10"/>
      <c r="AKL67" s="10"/>
      <c r="AKM67" s="10"/>
      <c r="AKN67" s="10"/>
      <c r="AKO67" s="10"/>
      <c r="AKP67" s="10"/>
      <c r="AKQ67" s="10"/>
      <c r="AKR67" s="10"/>
      <c r="AKS67" s="10"/>
      <c r="AKT67" s="10"/>
      <c r="AKU67" s="10"/>
      <c r="AKV67" s="10"/>
      <c r="AKW67" s="10"/>
      <c r="AKX67" s="10"/>
      <c r="AKY67" s="10"/>
      <c r="AKZ67" s="10"/>
      <c r="ALA67" s="10"/>
      <c r="ALB67" s="10"/>
      <c r="ALC67" s="10"/>
      <c r="ALD67" s="10"/>
      <c r="ALE67" s="10"/>
      <c r="ALF67" s="10"/>
      <c r="ALG67" s="10"/>
      <c r="ALH67" s="10"/>
      <c r="ALI67" s="10"/>
      <c r="ALJ67" s="10"/>
      <c r="ALK67" s="10"/>
      <c r="ALL67" s="10"/>
      <c r="ALM67" s="10"/>
      <c r="ALN67" s="10"/>
      <c r="ALO67" s="10"/>
      <c r="ALP67" s="10"/>
      <c r="ALQ67" s="10"/>
      <c r="ALR67" s="10"/>
      <c r="ALS67" s="10"/>
      <c r="ALT67" s="10"/>
      <c r="ALU67" s="10"/>
      <c r="ALV67" s="10"/>
      <c r="ALW67" s="10"/>
      <c r="ALX67" s="10"/>
      <c r="ALY67" s="10"/>
      <c r="ALZ67" s="10"/>
      <c r="AMA67" s="10"/>
      <c r="AMB67" s="10"/>
      <c r="AMC67" s="10"/>
      <c r="AMD67" s="10"/>
      <c r="AME67" s="10"/>
      <c r="AMF67" s="10"/>
      <c r="AMG67" s="10"/>
      <c r="AMH67" s="10"/>
      <c r="AMI67" s="10"/>
      <c r="AMJ67" s="10"/>
      <c r="AMK67" s="10"/>
      <c r="AML67" s="10"/>
      <c r="AMM67" s="10"/>
      <c r="AMN67" s="10"/>
      <c r="AMO67" s="10"/>
      <c r="AMP67" s="10"/>
      <c r="AMQ67" s="10"/>
      <c r="AMR67" s="10"/>
      <c r="AMS67" s="10"/>
      <c r="AMT67" s="10"/>
      <c r="AMU67" s="10"/>
      <c r="AMV67" s="10"/>
      <c r="AMW67" s="10"/>
      <c r="AMX67" s="10"/>
      <c r="AMY67" s="10"/>
      <c r="AMZ67" s="10"/>
      <c r="ANA67" s="10"/>
      <c r="ANB67" s="10"/>
      <c r="ANC67" s="10"/>
      <c r="AND67" s="10"/>
      <c r="ANE67" s="10"/>
      <c r="ANF67" s="10"/>
      <c r="ANG67" s="10"/>
      <c r="ANH67" s="10"/>
      <c r="ANI67" s="10"/>
      <c r="ANJ67" s="10"/>
      <c r="ANK67" s="10"/>
      <c r="ANL67" s="10"/>
      <c r="ANM67" s="10"/>
      <c r="ANN67" s="10"/>
      <c r="ANO67" s="10"/>
      <c r="ANP67" s="10"/>
      <c r="ANQ67" s="10"/>
      <c r="ANR67" s="10"/>
      <c r="ANS67" s="10"/>
      <c r="ANT67" s="10"/>
      <c r="ANU67" s="10"/>
      <c r="ANV67" s="10"/>
      <c r="ANW67" s="10"/>
      <c r="ANX67" s="10"/>
      <c r="ANY67" s="10"/>
      <c r="ANZ67" s="10"/>
      <c r="AOA67" s="10"/>
      <c r="AOB67" s="10"/>
      <c r="AOC67" s="10"/>
      <c r="AOD67" s="10"/>
      <c r="AOE67" s="10"/>
      <c r="AOF67" s="10"/>
      <c r="AOG67" s="10"/>
      <c r="AOH67" s="10"/>
      <c r="AOI67" s="10"/>
      <c r="AOJ67" s="10"/>
      <c r="AOK67" s="10"/>
      <c r="AOL67" s="10"/>
      <c r="AOM67" s="10"/>
      <c r="AON67" s="10"/>
      <c r="AOO67" s="10"/>
      <c r="AOP67" s="10"/>
      <c r="AOQ67" s="10"/>
      <c r="AOR67" s="10"/>
      <c r="AOS67" s="10"/>
      <c r="AOT67" s="10"/>
      <c r="AOU67" s="10"/>
      <c r="AOV67" s="10"/>
      <c r="AOW67" s="10"/>
      <c r="AOX67" s="10"/>
      <c r="AOY67" s="10"/>
      <c r="AOZ67" s="10"/>
      <c r="APA67" s="10"/>
      <c r="APB67" s="10"/>
      <c r="APC67" s="10"/>
      <c r="APD67" s="10"/>
      <c r="APE67" s="10"/>
      <c r="APF67" s="10"/>
      <c r="APG67" s="10"/>
      <c r="APH67" s="10"/>
      <c r="API67" s="10"/>
      <c r="APJ67" s="10"/>
      <c r="APK67" s="10"/>
      <c r="APL67" s="10"/>
      <c r="APM67" s="10"/>
      <c r="APN67" s="10"/>
      <c r="APO67" s="10"/>
      <c r="APP67" s="10"/>
      <c r="APQ67" s="10"/>
      <c r="APR67" s="10"/>
      <c r="APS67" s="10"/>
      <c r="APT67" s="10"/>
      <c r="APU67" s="10"/>
      <c r="APV67" s="10"/>
      <c r="APW67" s="10"/>
      <c r="APX67" s="10"/>
      <c r="APY67" s="10"/>
      <c r="APZ67" s="10"/>
      <c r="AQA67" s="10"/>
      <c r="AQB67" s="10"/>
      <c r="AQC67" s="10"/>
      <c r="AQD67" s="10"/>
      <c r="AQE67" s="10"/>
      <c r="AQF67" s="10"/>
      <c r="AQG67" s="10"/>
      <c r="AQH67" s="10"/>
      <c r="AQI67" s="10"/>
      <c r="AQJ67" s="10"/>
      <c r="AQK67" s="10"/>
      <c r="AQL67" s="10"/>
      <c r="AQM67" s="10"/>
      <c r="AQN67" s="10"/>
      <c r="AQO67" s="10"/>
      <c r="AQP67" s="10"/>
      <c r="AQQ67" s="10"/>
      <c r="AQR67" s="10"/>
      <c r="AQS67" s="10"/>
      <c r="AQT67" s="10"/>
      <c r="AQU67" s="10"/>
      <c r="AQV67" s="10"/>
      <c r="AQW67" s="10"/>
      <c r="AQX67" s="10"/>
      <c r="AQY67" s="10"/>
      <c r="AQZ67" s="10"/>
      <c r="ARA67" s="10"/>
      <c r="ARB67" s="10"/>
      <c r="ARC67" s="10"/>
      <c r="ARD67" s="10"/>
      <c r="ARE67" s="10"/>
      <c r="ARF67" s="10"/>
      <c r="ARG67" s="10"/>
      <c r="ARH67" s="10"/>
      <c r="ARI67" s="10"/>
      <c r="ARJ67" s="10"/>
      <c r="ARK67" s="10"/>
      <c r="ARL67" s="10"/>
      <c r="ARM67" s="10"/>
      <c r="ARN67" s="10"/>
      <c r="ARO67" s="10"/>
      <c r="ARP67" s="10"/>
      <c r="ARQ67" s="10"/>
      <c r="ARR67" s="10"/>
      <c r="ARS67" s="10"/>
      <c r="ART67" s="10"/>
      <c r="ARU67" s="10"/>
      <c r="ARV67" s="10"/>
      <c r="ARW67" s="10"/>
      <c r="ARX67" s="10"/>
      <c r="ARY67" s="10"/>
      <c r="ARZ67" s="10"/>
      <c r="ASA67" s="10"/>
      <c r="ASB67" s="10"/>
      <c r="ASC67" s="10"/>
      <c r="ASD67" s="10"/>
      <c r="ASE67" s="10"/>
      <c r="ASF67" s="10"/>
      <c r="ASG67" s="10"/>
      <c r="ASH67" s="10"/>
      <c r="ASI67" s="10"/>
      <c r="ASJ67" s="10"/>
      <c r="ASK67" s="10"/>
      <c r="ASL67" s="10"/>
      <c r="ASM67" s="10"/>
      <c r="ASN67" s="10"/>
      <c r="ASO67" s="10"/>
      <c r="ASP67" s="10"/>
      <c r="ASQ67" s="10"/>
      <c r="ASR67" s="10"/>
      <c r="ASS67" s="10"/>
      <c r="AST67" s="10"/>
      <c r="ASU67" s="10"/>
      <c r="ASV67" s="10"/>
      <c r="ASW67" s="10"/>
      <c r="ASX67" s="10"/>
      <c r="ASY67" s="10"/>
      <c r="ASZ67" s="10"/>
      <c r="ATA67" s="10"/>
      <c r="ATB67" s="10"/>
      <c r="ATC67" s="10"/>
      <c r="ATD67" s="10"/>
      <c r="ATE67" s="10"/>
      <c r="ATF67" s="10"/>
      <c r="ATG67" s="10"/>
      <c r="ATH67" s="10"/>
      <c r="ATI67" s="10"/>
      <c r="ATJ67" s="10"/>
      <c r="ATK67" s="10"/>
      <c r="ATL67" s="10"/>
      <c r="ATM67" s="10"/>
      <c r="ATN67" s="10"/>
      <c r="ATO67" s="10"/>
      <c r="ATP67" s="10"/>
      <c r="ATQ67" s="10"/>
      <c r="ATR67" s="10"/>
      <c r="ATS67" s="10"/>
      <c r="ATT67" s="10"/>
      <c r="ATU67" s="10"/>
      <c r="ATV67" s="10"/>
      <c r="ATW67" s="10"/>
      <c r="ATX67" s="10"/>
      <c r="ATY67" s="10"/>
      <c r="ATZ67" s="10"/>
      <c r="AUA67" s="10"/>
      <c r="AUB67" s="10"/>
      <c r="AUC67" s="10"/>
      <c r="AUD67" s="10"/>
      <c r="AUE67" s="10"/>
      <c r="AUF67" s="10"/>
      <c r="AUG67" s="10"/>
      <c r="AUH67" s="10"/>
      <c r="AUI67" s="10"/>
      <c r="AUJ67" s="10"/>
      <c r="AUK67" s="10"/>
      <c r="AUL67" s="10"/>
      <c r="AUM67" s="10"/>
      <c r="AUN67" s="10"/>
      <c r="AUO67" s="10"/>
      <c r="AUP67" s="10"/>
      <c r="AUQ67" s="10"/>
      <c r="AUR67" s="10"/>
      <c r="AUS67" s="10"/>
      <c r="AUT67" s="10"/>
      <c r="AUU67" s="10"/>
      <c r="AUV67" s="10"/>
      <c r="AUW67" s="10"/>
      <c r="AUX67" s="10"/>
      <c r="AUY67" s="10"/>
      <c r="AUZ67" s="10"/>
      <c r="AVA67" s="10"/>
      <c r="AVB67" s="10"/>
      <c r="AVC67" s="10"/>
      <c r="AVD67" s="10"/>
      <c r="AVE67" s="10"/>
      <c r="AVF67" s="10"/>
      <c r="AVG67" s="10"/>
      <c r="AVH67" s="10"/>
      <c r="AVI67" s="10"/>
      <c r="AVJ67" s="10"/>
      <c r="AVK67" s="10"/>
      <c r="AVL67" s="10"/>
      <c r="AVM67" s="10"/>
      <c r="AVN67" s="10"/>
      <c r="AVO67" s="10"/>
      <c r="AVP67" s="10"/>
      <c r="AVQ67" s="10"/>
      <c r="AVR67" s="10"/>
      <c r="AVS67" s="10"/>
      <c r="AVT67" s="10"/>
      <c r="AVU67" s="10"/>
      <c r="AVV67" s="10"/>
      <c r="AVW67" s="10"/>
      <c r="AVX67" s="10"/>
      <c r="AVY67" s="10"/>
      <c r="AVZ67" s="10"/>
      <c r="AWA67" s="10"/>
      <c r="AWB67" s="10"/>
      <c r="AWC67" s="10"/>
      <c r="AWD67" s="10"/>
      <c r="AWE67" s="10"/>
      <c r="AWF67" s="10"/>
      <c r="AWG67" s="10"/>
      <c r="AWH67" s="10"/>
      <c r="AWI67" s="10"/>
      <c r="AWJ67" s="10"/>
      <c r="AWK67" s="10"/>
      <c r="AWL67" s="10"/>
      <c r="AWM67" s="10"/>
      <c r="AWN67" s="10"/>
      <c r="AWO67" s="10"/>
      <c r="AWP67" s="10"/>
      <c r="AWQ67" s="10"/>
      <c r="AWR67" s="10"/>
      <c r="AWS67" s="10"/>
      <c r="AWT67" s="10"/>
      <c r="AWU67" s="10"/>
      <c r="AWV67" s="10"/>
      <c r="AWW67" s="10"/>
      <c r="AWX67" s="10"/>
      <c r="AWY67" s="10"/>
      <c r="AWZ67" s="10"/>
      <c r="AXA67" s="10"/>
      <c r="AXB67" s="10"/>
      <c r="AXC67" s="10"/>
      <c r="AXD67" s="10"/>
      <c r="AXE67" s="10"/>
      <c r="AXF67" s="10"/>
      <c r="AXG67" s="10"/>
      <c r="AXH67" s="10"/>
      <c r="AXI67" s="10"/>
      <c r="AXJ67" s="10"/>
      <c r="AXK67" s="10"/>
      <c r="AXL67" s="10"/>
      <c r="AXM67" s="10"/>
      <c r="AXN67" s="10"/>
      <c r="AXO67" s="10"/>
      <c r="AXP67" s="10"/>
      <c r="AXQ67" s="10"/>
      <c r="AXR67" s="10"/>
      <c r="AXS67" s="10"/>
      <c r="AXT67" s="10"/>
      <c r="AXU67" s="10"/>
      <c r="AXV67" s="10"/>
      <c r="AXW67" s="10"/>
      <c r="AXX67" s="10"/>
      <c r="AXY67" s="10"/>
      <c r="AXZ67" s="10"/>
      <c r="AYA67" s="10"/>
      <c r="AYB67" s="10"/>
      <c r="AYC67" s="10"/>
      <c r="AYD67" s="10"/>
      <c r="AYE67" s="10"/>
      <c r="AYF67" s="10"/>
      <c r="AYG67" s="10"/>
      <c r="AYH67" s="10"/>
      <c r="AYI67" s="10"/>
      <c r="AYJ67" s="10"/>
      <c r="AYK67" s="10"/>
      <c r="AYL67" s="10"/>
      <c r="AYM67" s="10"/>
      <c r="AYN67" s="10"/>
      <c r="AYO67" s="10"/>
      <c r="AYP67" s="10"/>
      <c r="AYQ67" s="10"/>
      <c r="AYR67" s="10"/>
      <c r="AYS67" s="10"/>
      <c r="AYT67" s="10"/>
      <c r="AYU67" s="10"/>
      <c r="AYV67" s="10"/>
      <c r="AYW67" s="10"/>
      <c r="AYX67" s="10"/>
      <c r="AYY67" s="10"/>
      <c r="AYZ67" s="10"/>
      <c r="AZA67" s="10"/>
      <c r="AZB67" s="10"/>
      <c r="AZC67" s="10"/>
      <c r="AZD67" s="10"/>
      <c r="AZE67" s="10"/>
      <c r="AZF67" s="10"/>
      <c r="AZG67" s="10"/>
      <c r="AZH67" s="10"/>
      <c r="AZI67" s="10"/>
      <c r="AZJ67" s="10"/>
      <c r="AZK67" s="10"/>
      <c r="AZL67" s="10"/>
      <c r="AZM67" s="10"/>
      <c r="AZN67" s="10"/>
      <c r="AZO67" s="10"/>
      <c r="AZP67" s="10"/>
      <c r="AZQ67" s="10"/>
      <c r="AZR67" s="10"/>
      <c r="AZS67" s="10"/>
      <c r="AZT67" s="10"/>
      <c r="AZU67" s="10"/>
      <c r="AZV67" s="10"/>
      <c r="AZW67" s="10"/>
      <c r="AZX67" s="10"/>
      <c r="AZY67" s="10"/>
      <c r="AZZ67" s="10"/>
      <c r="BAA67" s="10"/>
      <c r="BAB67" s="10"/>
      <c r="BAC67" s="10"/>
      <c r="BAD67" s="10"/>
      <c r="BAE67" s="10"/>
      <c r="BAF67" s="10"/>
      <c r="BAG67" s="10"/>
      <c r="BAH67" s="10"/>
      <c r="BAI67" s="10"/>
      <c r="BAJ67" s="10"/>
      <c r="BAK67" s="10"/>
      <c r="BAL67" s="10"/>
      <c r="BAM67" s="10"/>
      <c r="BAN67" s="10"/>
      <c r="BAO67" s="10"/>
      <c r="BAP67" s="10"/>
      <c r="BAQ67" s="10"/>
      <c r="BAR67" s="10"/>
      <c r="BAS67" s="10"/>
      <c r="BAT67" s="10"/>
      <c r="BAU67" s="10"/>
      <c r="BAV67" s="10"/>
      <c r="BAW67" s="10"/>
      <c r="BAX67" s="10"/>
      <c r="BAY67" s="10"/>
      <c r="BAZ67" s="10"/>
      <c r="BBA67" s="10"/>
      <c r="BBB67" s="10"/>
      <c r="BBC67" s="10"/>
      <c r="BBD67" s="10"/>
      <c r="BBE67" s="10"/>
      <c r="BBF67" s="10"/>
      <c r="BBG67" s="10"/>
      <c r="BBH67" s="10"/>
      <c r="BBI67" s="10"/>
      <c r="BBJ67" s="10"/>
      <c r="BBK67" s="10"/>
      <c r="BBL67" s="10"/>
      <c r="BBM67" s="10"/>
      <c r="BBN67" s="10"/>
      <c r="BBO67" s="10"/>
      <c r="BBP67" s="10"/>
      <c r="BBQ67" s="10"/>
      <c r="BBR67" s="10"/>
      <c r="BBS67" s="10"/>
      <c r="BBT67" s="10"/>
      <c r="BBU67" s="10"/>
      <c r="BBV67" s="10"/>
      <c r="BBW67" s="10"/>
      <c r="BBX67" s="10"/>
      <c r="BBY67" s="10"/>
      <c r="BBZ67" s="10"/>
      <c r="BCA67" s="10"/>
      <c r="BCB67" s="10"/>
      <c r="BCC67" s="10"/>
      <c r="BCD67" s="10"/>
      <c r="BCE67" s="10"/>
      <c r="BCF67" s="10"/>
      <c r="BCG67" s="10"/>
      <c r="BCH67" s="10"/>
      <c r="BCI67" s="10"/>
      <c r="BCJ67" s="10"/>
      <c r="BCK67" s="10"/>
      <c r="BCL67" s="10"/>
      <c r="BCM67" s="10"/>
      <c r="BCN67" s="10"/>
      <c r="BCO67" s="10"/>
      <c r="BCP67" s="10"/>
      <c r="BCQ67" s="10"/>
      <c r="BCR67" s="10"/>
      <c r="BCS67" s="10"/>
      <c r="BCT67" s="10"/>
      <c r="BCU67" s="10"/>
      <c r="BCV67" s="10"/>
      <c r="BCW67" s="10"/>
      <c r="BCX67" s="10"/>
      <c r="BCY67" s="10"/>
      <c r="BCZ67" s="10"/>
      <c r="BDA67" s="10"/>
      <c r="BDB67" s="10"/>
      <c r="BDC67" s="10"/>
      <c r="BDD67" s="10"/>
      <c r="BDE67" s="10"/>
      <c r="BDF67" s="10"/>
      <c r="BDG67" s="10"/>
      <c r="BDH67" s="10"/>
      <c r="BDI67" s="10"/>
      <c r="BDJ67" s="10"/>
      <c r="BDK67" s="10"/>
      <c r="BDL67" s="10"/>
      <c r="BDM67" s="10"/>
      <c r="BDN67" s="10"/>
      <c r="BDO67" s="10"/>
      <c r="BDP67" s="10"/>
      <c r="BDQ67" s="10"/>
      <c r="BDR67" s="10"/>
      <c r="BDS67" s="10"/>
      <c r="BDT67" s="10"/>
      <c r="BDU67" s="10"/>
      <c r="BDV67" s="10"/>
      <c r="BDW67" s="10"/>
      <c r="BDX67" s="10"/>
      <c r="BDY67" s="10"/>
      <c r="BDZ67" s="10"/>
      <c r="BEA67" s="10"/>
      <c r="BEB67" s="10"/>
      <c r="BEC67" s="10"/>
      <c r="BED67" s="10"/>
      <c r="BEE67" s="10"/>
      <c r="BEF67" s="10"/>
      <c r="BEG67" s="10"/>
      <c r="BEH67" s="10"/>
      <c r="BEI67" s="10"/>
      <c r="BEJ67" s="10"/>
      <c r="BEK67" s="10"/>
      <c r="BEL67" s="10"/>
      <c r="BEM67" s="10"/>
      <c r="BEN67" s="10"/>
      <c r="BEO67" s="10"/>
      <c r="BEP67" s="10"/>
      <c r="BEQ67" s="10"/>
      <c r="BER67" s="10"/>
      <c r="BES67" s="10"/>
      <c r="BET67" s="10"/>
      <c r="BEU67" s="10"/>
      <c r="BEV67" s="10"/>
      <c r="BEW67" s="10"/>
      <c r="BEX67" s="10"/>
      <c r="BEY67" s="10"/>
      <c r="BEZ67" s="10"/>
      <c r="BFA67" s="10"/>
      <c r="BFB67" s="10"/>
      <c r="BFC67" s="10"/>
      <c r="BFD67" s="10"/>
      <c r="BFE67" s="10"/>
      <c r="BFF67" s="10"/>
      <c r="BFG67" s="10"/>
      <c r="BFH67" s="10"/>
      <c r="BFI67" s="10"/>
      <c r="BFJ67" s="10"/>
      <c r="BFK67" s="10"/>
      <c r="BFL67" s="10"/>
      <c r="BFM67" s="10"/>
      <c r="BFN67" s="10"/>
      <c r="BFO67" s="10"/>
      <c r="BFP67" s="10"/>
      <c r="BFQ67" s="10"/>
      <c r="BFR67" s="10"/>
      <c r="BFS67" s="10"/>
      <c r="BFT67" s="10"/>
      <c r="BFU67" s="10"/>
      <c r="BFV67" s="10"/>
      <c r="BFW67" s="10"/>
      <c r="BFX67" s="10"/>
      <c r="BFY67" s="10"/>
      <c r="BFZ67" s="10"/>
      <c r="BGA67" s="10"/>
      <c r="BGB67" s="10"/>
      <c r="BGC67" s="10"/>
      <c r="BGD67" s="10"/>
      <c r="BGE67" s="10"/>
      <c r="BGF67" s="10"/>
      <c r="BGG67" s="10"/>
      <c r="BGH67" s="10"/>
      <c r="BGI67" s="10"/>
      <c r="BGJ67" s="10"/>
      <c r="BGK67" s="10"/>
      <c r="BGL67" s="10"/>
      <c r="BGM67" s="10"/>
      <c r="BGN67" s="10"/>
      <c r="BGO67" s="10"/>
      <c r="BGP67" s="10"/>
      <c r="BGQ67" s="10"/>
      <c r="BGR67" s="10"/>
      <c r="BGS67" s="10"/>
      <c r="BGT67" s="10"/>
      <c r="BGU67" s="10"/>
      <c r="BGV67" s="10"/>
      <c r="BGW67" s="10"/>
      <c r="BGX67" s="10"/>
      <c r="BGY67" s="10"/>
      <c r="BGZ67" s="10"/>
      <c r="BHA67" s="10"/>
      <c r="BHB67" s="10"/>
      <c r="BHC67" s="10"/>
      <c r="BHD67" s="10"/>
      <c r="BHE67" s="10"/>
      <c r="BHF67" s="10"/>
      <c r="BHG67" s="10"/>
      <c r="BHH67" s="10"/>
      <c r="BHI67" s="10"/>
      <c r="BHJ67" s="10"/>
      <c r="BHK67" s="10"/>
      <c r="BHL67" s="10"/>
      <c r="BHM67" s="10"/>
      <c r="BHN67" s="10"/>
      <c r="BHO67" s="10"/>
      <c r="BHP67" s="10"/>
      <c r="BHQ67" s="10"/>
      <c r="BHR67" s="10"/>
      <c r="BHS67" s="10"/>
      <c r="BHT67" s="10"/>
      <c r="BHU67" s="10"/>
      <c r="BHV67" s="10"/>
      <c r="BHW67" s="10"/>
      <c r="BHX67" s="10"/>
      <c r="BHY67" s="10"/>
      <c r="BHZ67" s="10"/>
      <c r="BIA67" s="10"/>
      <c r="BIB67" s="10"/>
      <c r="BIC67" s="10"/>
      <c r="BID67" s="10"/>
      <c r="BIE67" s="10"/>
      <c r="BIF67" s="10"/>
      <c r="BIG67" s="10"/>
      <c r="BIH67" s="10"/>
      <c r="BII67" s="10"/>
      <c r="BIJ67" s="10"/>
      <c r="BIK67" s="10"/>
      <c r="BIL67" s="10"/>
      <c r="BIM67" s="10"/>
      <c r="BIN67" s="10"/>
      <c r="BIO67" s="10"/>
      <c r="BIP67" s="10"/>
      <c r="BIQ67" s="10"/>
      <c r="BIR67" s="10"/>
      <c r="BIS67" s="10"/>
      <c r="BIT67" s="10"/>
      <c r="BIU67" s="10"/>
      <c r="BIV67" s="10"/>
      <c r="BIW67" s="10"/>
      <c r="BIX67" s="10"/>
      <c r="BIY67" s="10"/>
      <c r="BIZ67" s="10"/>
      <c r="BJA67" s="10"/>
      <c r="BJB67" s="10"/>
      <c r="BJC67" s="10"/>
      <c r="BJD67" s="10"/>
      <c r="BJE67" s="10"/>
      <c r="BJF67" s="10"/>
      <c r="BJG67" s="10"/>
      <c r="BJH67" s="10"/>
      <c r="BJI67" s="10"/>
      <c r="BJJ67" s="10"/>
      <c r="BJK67" s="10"/>
      <c r="BJL67" s="10"/>
      <c r="BJM67" s="10"/>
      <c r="BJN67" s="10"/>
      <c r="BJO67" s="10"/>
      <c r="BJP67" s="10"/>
      <c r="BJQ67" s="10"/>
      <c r="BJR67" s="10"/>
      <c r="BJS67" s="10"/>
      <c r="BJT67" s="10"/>
      <c r="BJU67" s="10"/>
      <c r="BJV67" s="10"/>
      <c r="BJW67" s="10"/>
      <c r="BJX67" s="10"/>
      <c r="BJY67" s="10"/>
      <c r="BJZ67" s="10"/>
      <c r="BKA67" s="10"/>
      <c r="BKB67" s="10"/>
      <c r="BKC67" s="10"/>
      <c r="BKD67" s="10"/>
      <c r="BKE67" s="10"/>
      <c r="BKF67" s="10"/>
      <c r="BKG67" s="10"/>
      <c r="BKH67" s="10"/>
      <c r="BKI67" s="10"/>
      <c r="BKJ67" s="10"/>
      <c r="BKK67" s="10"/>
      <c r="BKL67" s="10"/>
      <c r="BKM67" s="10"/>
      <c r="BKN67" s="10"/>
      <c r="BKO67" s="10"/>
      <c r="BKP67" s="10"/>
      <c r="BKQ67" s="10"/>
      <c r="BKR67" s="10"/>
      <c r="BKS67" s="10"/>
      <c r="BKT67" s="10"/>
      <c r="BKU67" s="10"/>
      <c r="BKV67" s="10"/>
      <c r="BKW67" s="10"/>
      <c r="BKX67" s="10"/>
      <c r="BKY67" s="10"/>
      <c r="BKZ67" s="10"/>
      <c r="BLA67" s="10"/>
      <c r="BLB67" s="10"/>
      <c r="BLC67" s="10"/>
      <c r="BLD67" s="10"/>
      <c r="BLE67" s="10"/>
      <c r="BLF67" s="10"/>
      <c r="BLG67" s="10"/>
      <c r="BLH67" s="10"/>
      <c r="BLI67" s="10"/>
      <c r="BLJ67" s="10"/>
      <c r="BLK67" s="10"/>
      <c r="BLL67" s="10"/>
      <c r="BLM67" s="10"/>
      <c r="BLN67" s="10"/>
      <c r="BLO67" s="10"/>
      <c r="BLP67" s="10"/>
      <c r="BLQ67" s="10"/>
      <c r="BLR67" s="10"/>
      <c r="BLS67" s="10"/>
      <c r="BLT67" s="10"/>
      <c r="BLU67" s="10"/>
      <c r="BLV67" s="10"/>
      <c r="BLW67" s="10"/>
      <c r="BLX67" s="10"/>
      <c r="BLY67" s="10"/>
      <c r="BLZ67" s="10"/>
      <c r="BMA67" s="10"/>
      <c r="BMB67" s="10"/>
      <c r="BMC67" s="10"/>
      <c r="BMD67" s="10"/>
      <c r="BME67" s="10"/>
      <c r="BMF67" s="10"/>
      <c r="BMG67" s="10"/>
      <c r="BMH67" s="10"/>
      <c r="BMI67" s="10"/>
      <c r="BMJ67" s="10"/>
      <c r="BMK67" s="10"/>
      <c r="BML67" s="10"/>
      <c r="BMM67" s="10"/>
      <c r="BMN67" s="10"/>
      <c r="BMO67" s="10"/>
      <c r="BMP67" s="10"/>
      <c r="BMQ67" s="10"/>
      <c r="BMR67" s="10"/>
      <c r="BMS67" s="10"/>
      <c r="BMT67" s="10"/>
      <c r="BMU67" s="10"/>
      <c r="BMV67" s="10"/>
      <c r="BMW67" s="10"/>
      <c r="BMX67" s="10"/>
      <c r="BMY67" s="10"/>
      <c r="BMZ67" s="10"/>
      <c r="BNA67" s="10"/>
      <c r="BNB67" s="10"/>
      <c r="BNC67" s="10"/>
      <c r="BND67" s="10"/>
      <c r="BNE67" s="10"/>
      <c r="BNF67" s="10"/>
      <c r="BNG67" s="10"/>
      <c r="BNH67" s="10"/>
      <c r="BNI67" s="10"/>
      <c r="BNJ67" s="10"/>
      <c r="BNK67" s="10"/>
      <c r="BNL67" s="10"/>
      <c r="BNM67" s="10"/>
      <c r="BNN67" s="10"/>
      <c r="BNO67" s="10"/>
      <c r="BNP67" s="10"/>
      <c r="BNQ67" s="10"/>
      <c r="BNR67" s="10"/>
      <c r="BNS67" s="10"/>
      <c r="BNT67" s="10"/>
      <c r="BNU67" s="10"/>
      <c r="BNV67" s="10"/>
      <c r="BNW67" s="10"/>
      <c r="BNX67" s="10"/>
      <c r="BNY67" s="10"/>
      <c r="BNZ67" s="10"/>
      <c r="BOA67" s="10"/>
      <c r="BOB67" s="10"/>
      <c r="BOC67" s="10"/>
      <c r="BOD67" s="10"/>
      <c r="BOE67" s="10"/>
      <c r="BOF67" s="10"/>
      <c r="BOG67" s="10"/>
      <c r="BOH67" s="10"/>
      <c r="BOI67" s="10"/>
      <c r="BOJ67" s="10"/>
      <c r="BOK67" s="10"/>
      <c r="BOL67" s="10"/>
      <c r="BOM67" s="10"/>
      <c r="BON67" s="10"/>
      <c r="BOO67" s="10"/>
      <c r="BOP67" s="10"/>
      <c r="BOQ67" s="10"/>
      <c r="BOR67" s="10"/>
      <c r="BOS67" s="10"/>
      <c r="BOT67" s="10"/>
      <c r="BOU67" s="10"/>
      <c r="BOV67" s="10"/>
      <c r="BOW67" s="10"/>
      <c r="BOX67" s="10"/>
      <c r="BOY67" s="10"/>
      <c r="BOZ67" s="10"/>
      <c r="BPA67" s="10"/>
      <c r="BPB67" s="10"/>
      <c r="BPC67" s="10"/>
      <c r="BPD67" s="10"/>
      <c r="BPE67" s="10"/>
      <c r="BPF67" s="10"/>
      <c r="BPG67" s="10"/>
      <c r="BPH67" s="10"/>
      <c r="BPI67" s="10"/>
      <c r="BPJ67" s="10"/>
      <c r="BPK67" s="10"/>
      <c r="BPL67" s="10"/>
      <c r="BPM67" s="10"/>
      <c r="BPN67" s="10"/>
      <c r="BPO67" s="10"/>
      <c r="BPP67" s="10"/>
      <c r="BPQ67" s="10"/>
      <c r="BPR67" s="10"/>
      <c r="BPS67" s="10"/>
      <c r="BPT67" s="10"/>
      <c r="BPU67" s="10"/>
      <c r="BPV67" s="10"/>
      <c r="BPW67" s="10"/>
      <c r="BPX67" s="10"/>
      <c r="BPY67" s="10"/>
      <c r="BPZ67" s="10"/>
      <c r="BQA67" s="10"/>
      <c r="BQB67" s="10"/>
      <c r="BQC67" s="10"/>
      <c r="BQD67" s="10"/>
      <c r="BQE67" s="10"/>
      <c r="BQF67" s="10"/>
      <c r="BQG67" s="10"/>
      <c r="BQH67" s="10"/>
      <c r="BQI67" s="10"/>
      <c r="BQJ67" s="10"/>
      <c r="BQK67" s="10"/>
      <c r="BQL67" s="10"/>
      <c r="BQM67" s="10"/>
      <c r="BQN67" s="10"/>
      <c r="BQO67" s="10"/>
      <c r="BQP67" s="10"/>
      <c r="BQQ67" s="10"/>
      <c r="BQR67" s="10"/>
      <c r="BQS67" s="10"/>
      <c r="BQT67" s="10"/>
      <c r="BQU67" s="10"/>
      <c r="BQV67" s="10"/>
      <c r="BQW67" s="10"/>
      <c r="BQX67" s="10"/>
      <c r="BQY67" s="10"/>
      <c r="BQZ67" s="10"/>
      <c r="BRA67" s="10"/>
      <c r="BRB67" s="10"/>
      <c r="BRC67" s="10"/>
      <c r="BRD67" s="10"/>
      <c r="BRE67" s="10"/>
      <c r="BRF67" s="10"/>
      <c r="BRG67" s="10"/>
      <c r="BRH67" s="10"/>
      <c r="BRI67" s="10"/>
      <c r="BRJ67" s="10"/>
      <c r="BRK67" s="10"/>
      <c r="BRL67" s="10"/>
      <c r="BRM67" s="10"/>
      <c r="BRN67" s="10"/>
      <c r="BRO67" s="10"/>
      <c r="BRP67" s="10"/>
      <c r="BRQ67" s="10"/>
      <c r="BRR67" s="10"/>
      <c r="BRS67" s="10"/>
      <c r="BRT67" s="10"/>
      <c r="BRU67" s="10"/>
      <c r="BRV67" s="10"/>
      <c r="BRW67" s="10"/>
      <c r="BRX67" s="10"/>
      <c r="BRY67" s="10"/>
      <c r="BRZ67" s="10"/>
      <c r="BSA67" s="10"/>
      <c r="BSB67" s="10"/>
      <c r="BSC67" s="10"/>
      <c r="BSD67" s="10"/>
      <c r="BSE67" s="10"/>
      <c r="BSF67" s="10"/>
      <c r="BSG67" s="10"/>
      <c r="BSH67" s="10"/>
      <c r="BSI67" s="10"/>
      <c r="BSJ67" s="10"/>
      <c r="BSK67" s="10"/>
      <c r="BSL67" s="10"/>
      <c r="BSM67" s="10"/>
      <c r="BSN67" s="10"/>
      <c r="BSO67" s="10"/>
      <c r="BSP67" s="10"/>
      <c r="BSQ67" s="10"/>
      <c r="BSR67" s="10"/>
      <c r="BSS67" s="10"/>
      <c r="BST67" s="10"/>
      <c r="BSU67" s="10"/>
      <c r="BSV67" s="10"/>
      <c r="BSW67" s="10"/>
      <c r="BSX67" s="10"/>
      <c r="BSY67" s="10"/>
      <c r="BSZ67" s="10"/>
      <c r="BTA67" s="10"/>
      <c r="BTB67" s="10"/>
      <c r="BTC67" s="10"/>
      <c r="BTD67" s="10"/>
      <c r="BTE67" s="10"/>
      <c r="BTF67" s="10"/>
      <c r="BTG67" s="10"/>
      <c r="BTH67" s="10"/>
      <c r="BTI67" s="10"/>
      <c r="BTJ67" s="10"/>
      <c r="BTK67" s="10"/>
      <c r="BTL67" s="10"/>
      <c r="BTM67" s="10"/>
      <c r="BTN67" s="10"/>
      <c r="BTO67" s="10"/>
      <c r="BTP67" s="10"/>
      <c r="BTQ67" s="10"/>
      <c r="BTR67" s="10"/>
      <c r="BTS67" s="10"/>
      <c r="BTT67" s="10"/>
      <c r="BTU67" s="10"/>
      <c r="BTV67" s="10"/>
      <c r="BTW67" s="10"/>
      <c r="BTX67" s="10"/>
      <c r="BTY67" s="10"/>
      <c r="BTZ67" s="10"/>
      <c r="BUA67" s="10"/>
      <c r="BUB67" s="10"/>
      <c r="BUC67" s="10"/>
      <c r="BUD67" s="10"/>
      <c r="BUE67" s="10"/>
      <c r="BUF67" s="10"/>
      <c r="BUG67" s="10"/>
      <c r="BUH67" s="10"/>
      <c r="BUI67" s="10"/>
      <c r="BUJ67" s="10"/>
      <c r="BUK67" s="10"/>
      <c r="BUL67" s="10"/>
      <c r="BUM67" s="10"/>
      <c r="BUN67" s="10"/>
      <c r="BUO67" s="10"/>
      <c r="BUP67" s="10"/>
      <c r="BUQ67" s="10"/>
      <c r="BUR67" s="10"/>
      <c r="BUS67" s="10"/>
      <c r="BUT67" s="10"/>
      <c r="BUU67" s="10"/>
      <c r="BUV67" s="10"/>
      <c r="BUW67" s="10"/>
      <c r="BUX67" s="10"/>
      <c r="BUY67" s="10"/>
      <c r="BUZ67" s="10"/>
      <c r="BVA67" s="10"/>
      <c r="BVB67" s="10"/>
      <c r="BVC67" s="10"/>
      <c r="BVD67" s="10"/>
      <c r="BVE67" s="10"/>
      <c r="BVF67" s="10"/>
      <c r="BVG67" s="10"/>
      <c r="BVH67" s="10"/>
      <c r="BVI67" s="10"/>
      <c r="BVJ67" s="10"/>
      <c r="BVK67" s="10"/>
      <c r="BVL67" s="10"/>
      <c r="BVM67" s="10"/>
      <c r="BVN67" s="10"/>
      <c r="BVO67" s="10"/>
      <c r="BVP67" s="10"/>
      <c r="BVQ67" s="10"/>
      <c r="BVR67" s="10"/>
      <c r="BVS67" s="10"/>
      <c r="BVT67" s="10"/>
      <c r="BVU67" s="10"/>
      <c r="BVV67" s="10"/>
      <c r="BVW67" s="10"/>
      <c r="BVX67" s="10"/>
      <c r="BVY67" s="10"/>
      <c r="BVZ67" s="10"/>
      <c r="BWA67" s="10"/>
      <c r="BWB67" s="10"/>
      <c r="BWC67" s="10"/>
      <c r="BWD67" s="10"/>
      <c r="BWE67" s="10"/>
      <c r="BWF67" s="10"/>
      <c r="BWG67" s="10"/>
      <c r="BWH67" s="10"/>
      <c r="BWI67" s="10"/>
      <c r="BWJ67" s="10"/>
      <c r="BWK67" s="10"/>
      <c r="BWL67" s="10"/>
      <c r="BWM67" s="10"/>
      <c r="BWN67" s="10"/>
      <c r="BWO67" s="10"/>
      <c r="BWP67" s="10"/>
      <c r="BWQ67" s="10"/>
      <c r="BWR67" s="10"/>
      <c r="BWS67" s="10"/>
      <c r="BWT67" s="10"/>
      <c r="BWU67" s="10"/>
      <c r="BWV67" s="10"/>
      <c r="BWW67" s="10"/>
      <c r="BWX67" s="10"/>
      <c r="BWY67" s="10"/>
      <c r="BWZ67" s="10"/>
      <c r="BXA67" s="10"/>
      <c r="BXB67" s="10"/>
      <c r="BXC67" s="10"/>
      <c r="BXD67" s="10"/>
      <c r="BXE67" s="10"/>
      <c r="BXF67" s="10"/>
      <c r="BXG67" s="10"/>
      <c r="BXH67" s="10"/>
      <c r="BXI67" s="10"/>
      <c r="BXJ67" s="10"/>
      <c r="BXK67" s="10"/>
      <c r="BXL67" s="10"/>
      <c r="BXM67" s="10"/>
      <c r="BXN67" s="10"/>
      <c r="BXO67" s="10"/>
      <c r="BXP67" s="10"/>
      <c r="BXQ67" s="10"/>
      <c r="BXR67" s="10"/>
      <c r="BXS67" s="10"/>
      <c r="BXT67" s="10"/>
      <c r="BXU67" s="10"/>
      <c r="BXV67" s="10"/>
      <c r="BXW67" s="10"/>
      <c r="BXX67" s="10"/>
      <c r="BXY67" s="10"/>
      <c r="BXZ67" s="10"/>
      <c r="BYA67" s="10"/>
      <c r="BYB67" s="10"/>
      <c r="BYC67" s="10"/>
      <c r="BYD67" s="10"/>
      <c r="BYE67" s="10"/>
      <c r="BYF67" s="10"/>
      <c r="BYG67" s="10"/>
      <c r="BYH67" s="10"/>
      <c r="BYI67" s="10"/>
      <c r="BYJ67" s="10"/>
      <c r="BYK67" s="10"/>
      <c r="BYL67" s="10"/>
      <c r="BYM67" s="10"/>
      <c r="BYN67" s="10"/>
      <c r="BYO67" s="10"/>
      <c r="BYP67" s="10"/>
      <c r="BYQ67" s="10"/>
      <c r="BYR67" s="10"/>
      <c r="BYS67" s="10"/>
      <c r="BYT67" s="10"/>
      <c r="BYU67" s="10"/>
      <c r="BYV67" s="10"/>
      <c r="BYW67" s="10"/>
      <c r="BYX67" s="10"/>
      <c r="BYY67" s="10"/>
      <c r="BYZ67" s="10"/>
      <c r="BZA67" s="10"/>
      <c r="BZB67" s="10"/>
      <c r="BZC67" s="10"/>
      <c r="BZD67" s="10"/>
      <c r="BZE67" s="10"/>
      <c r="BZF67" s="10"/>
      <c r="BZG67" s="10"/>
      <c r="BZH67" s="10"/>
      <c r="BZI67" s="10"/>
      <c r="BZJ67" s="10"/>
      <c r="BZK67" s="10"/>
      <c r="BZL67" s="10"/>
      <c r="BZM67" s="10"/>
      <c r="BZN67" s="10"/>
      <c r="BZO67" s="10"/>
      <c r="BZP67" s="10"/>
      <c r="BZQ67" s="10"/>
      <c r="BZR67" s="10"/>
      <c r="BZS67" s="10"/>
      <c r="BZT67" s="10"/>
      <c r="BZU67" s="10"/>
      <c r="BZV67" s="10"/>
      <c r="BZW67" s="10"/>
      <c r="BZX67" s="10"/>
      <c r="BZY67" s="10"/>
      <c r="BZZ67" s="10"/>
      <c r="CAA67" s="10"/>
      <c r="CAB67" s="10"/>
      <c r="CAC67" s="10"/>
      <c r="CAD67" s="10"/>
      <c r="CAE67" s="10"/>
      <c r="CAF67" s="10"/>
      <c r="CAG67" s="10"/>
      <c r="CAH67" s="10"/>
      <c r="CAI67" s="10"/>
      <c r="CAJ67" s="10"/>
      <c r="CAK67" s="10"/>
      <c r="CAL67" s="10"/>
      <c r="CAM67" s="10"/>
      <c r="CAN67" s="10"/>
      <c r="CAO67" s="10"/>
      <c r="CAP67" s="10"/>
      <c r="CAQ67" s="10"/>
      <c r="CAR67" s="10"/>
      <c r="CAS67" s="10"/>
      <c r="CAT67" s="10"/>
      <c r="CAU67" s="10"/>
      <c r="CAV67" s="10"/>
      <c r="CAW67" s="10"/>
      <c r="CAX67" s="10"/>
      <c r="CAY67" s="10"/>
      <c r="CAZ67" s="10"/>
      <c r="CBA67" s="10"/>
      <c r="CBB67" s="10"/>
      <c r="CBC67" s="10"/>
      <c r="CBD67" s="10"/>
      <c r="CBE67" s="10"/>
      <c r="CBF67" s="10"/>
      <c r="CBG67" s="10"/>
      <c r="CBH67" s="10"/>
      <c r="CBI67" s="10"/>
      <c r="CBJ67" s="10"/>
      <c r="CBK67" s="10"/>
      <c r="CBL67" s="10"/>
      <c r="CBM67" s="10"/>
      <c r="CBN67" s="10"/>
      <c r="CBO67" s="10"/>
      <c r="CBP67" s="10"/>
      <c r="CBQ67" s="10"/>
      <c r="CBR67" s="10"/>
      <c r="CBS67" s="10"/>
      <c r="CBT67" s="10"/>
      <c r="CBU67" s="10"/>
      <c r="CBV67" s="10"/>
      <c r="CBW67" s="10"/>
      <c r="CBX67" s="10"/>
      <c r="CBY67" s="10"/>
      <c r="CBZ67" s="10"/>
      <c r="CCA67" s="10"/>
      <c r="CCB67" s="10"/>
      <c r="CCC67" s="10"/>
      <c r="CCD67" s="10"/>
      <c r="CCE67" s="10"/>
      <c r="CCF67" s="10"/>
      <c r="CCG67" s="10"/>
      <c r="CCH67" s="10"/>
      <c r="CCI67" s="10"/>
      <c r="CCJ67" s="10"/>
      <c r="CCK67" s="10"/>
      <c r="CCL67" s="10"/>
      <c r="CCM67" s="10"/>
      <c r="CCN67" s="10"/>
      <c r="CCO67" s="10"/>
      <c r="CCP67" s="10"/>
      <c r="CCQ67" s="10"/>
      <c r="CCR67" s="10"/>
      <c r="CCS67" s="10"/>
      <c r="CCT67" s="10"/>
      <c r="CCU67" s="10"/>
      <c r="CCV67" s="10"/>
      <c r="CCW67" s="10"/>
      <c r="CCX67" s="10"/>
      <c r="CCY67" s="10"/>
      <c r="CCZ67" s="10"/>
      <c r="CDA67" s="10"/>
      <c r="CDB67" s="10"/>
      <c r="CDC67" s="10"/>
      <c r="CDD67" s="10"/>
      <c r="CDE67" s="10"/>
      <c r="CDF67" s="10"/>
      <c r="CDG67" s="10"/>
      <c r="CDH67" s="10"/>
      <c r="CDI67" s="10"/>
      <c r="CDJ67" s="10"/>
      <c r="CDK67" s="10"/>
      <c r="CDL67" s="10"/>
      <c r="CDM67" s="10"/>
      <c r="CDN67" s="10"/>
      <c r="CDO67" s="10"/>
      <c r="CDP67" s="10"/>
      <c r="CDQ67" s="10"/>
      <c r="CDR67" s="10"/>
      <c r="CDS67" s="10"/>
      <c r="CDT67" s="10"/>
      <c r="CDU67" s="10"/>
      <c r="CDV67" s="10"/>
      <c r="CDW67" s="10"/>
      <c r="CDX67" s="10"/>
      <c r="CDY67" s="10"/>
      <c r="CDZ67" s="10"/>
      <c r="CEA67" s="10"/>
      <c r="CEB67" s="10"/>
      <c r="CEC67" s="10"/>
      <c r="CED67" s="10"/>
      <c r="CEE67" s="10"/>
      <c r="CEF67" s="10"/>
      <c r="CEG67" s="10"/>
      <c r="CEH67" s="10"/>
      <c r="CEI67" s="10"/>
      <c r="CEJ67" s="10"/>
      <c r="CEK67" s="10"/>
      <c r="CEL67" s="10"/>
      <c r="CEM67" s="10"/>
      <c r="CEN67" s="10"/>
      <c r="CEO67" s="10"/>
      <c r="CEP67" s="10"/>
      <c r="CEQ67" s="10"/>
      <c r="CER67" s="10"/>
      <c r="CES67" s="10"/>
      <c r="CET67" s="10"/>
      <c r="CEU67" s="10"/>
      <c r="CEV67" s="10"/>
      <c r="CEW67" s="10"/>
      <c r="CEX67" s="10"/>
      <c r="CEY67" s="10"/>
      <c r="CEZ67" s="10"/>
      <c r="CFA67" s="10"/>
      <c r="CFB67" s="10"/>
      <c r="CFC67" s="10"/>
      <c r="CFD67" s="10"/>
      <c r="CFE67" s="10"/>
      <c r="CFF67" s="10"/>
      <c r="CFG67" s="10"/>
      <c r="CFH67" s="10"/>
      <c r="CFI67" s="10"/>
      <c r="CFJ67" s="10"/>
      <c r="CFK67" s="10"/>
      <c r="CFL67" s="10"/>
      <c r="CFM67" s="10"/>
      <c r="CFN67" s="10"/>
      <c r="CFO67" s="10"/>
      <c r="CFP67" s="10"/>
      <c r="CFQ67" s="10"/>
      <c r="CFR67" s="10"/>
      <c r="CFS67" s="10"/>
      <c r="CFT67" s="10"/>
      <c r="CFU67" s="10"/>
      <c r="CFV67" s="10"/>
      <c r="CFW67" s="10"/>
      <c r="CFX67" s="10"/>
      <c r="CFY67" s="10"/>
      <c r="CFZ67" s="10"/>
      <c r="CGA67" s="10"/>
      <c r="CGB67" s="10"/>
      <c r="CGC67" s="10"/>
      <c r="CGD67" s="10"/>
      <c r="CGE67" s="10"/>
      <c r="CGF67" s="10"/>
      <c r="CGG67" s="10"/>
      <c r="CGH67" s="10"/>
      <c r="CGI67" s="10"/>
      <c r="CGJ67" s="10"/>
      <c r="CGK67" s="10"/>
      <c r="CGL67" s="10"/>
      <c r="CGM67" s="10"/>
      <c r="CGN67" s="10"/>
      <c r="CGO67" s="10"/>
      <c r="CGP67" s="10"/>
      <c r="CGQ67" s="10"/>
      <c r="CGR67" s="10"/>
      <c r="CGS67" s="10"/>
      <c r="CGT67" s="10"/>
      <c r="CGU67" s="10"/>
      <c r="CGV67" s="10"/>
      <c r="CGW67" s="10"/>
      <c r="CGX67" s="10"/>
      <c r="CGY67" s="10"/>
      <c r="CGZ67" s="10"/>
      <c r="CHA67" s="10"/>
      <c r="CHB67" s="10"/>
      <c r="CHC67" s="10"/>
      <c r="CHD67" s="10"/>
      <c r="CHE67" s="10"/>
      <c r="CHF67" s="10"/>
      <c r="CHG67" s="10"/>
      <c r="CHH67" s="10"/>
      <c r="CHI67" s="10"/>
      <c r="CHJ67" s="10"/>
      <c r="CHK67" s="10"/>
      <c r="CHL67" s="10"/>
      <c r="CHM67" s="10"/>
      <c r="CHN67" s="10"/>
      <c r="CHO67" s="10"/>
      <c r="CHP67" s="10"/>
      <c r="CHQ67" s="10"/>
      <c r="CHR67" s="10"/>
      <c r="CHS67" s="10"/>
      <c r="CHT67" s="10"/>
      <c r="CHU67" s="10"/>
      <c r="CHV67" s="10"/>
      <c r="CHW67" s="10"/>
      <c r="CHX67" s="10"/>
      <c r="CHY67" s="10"/>
      <c r="CHZ67" s="10"/>
      <c r="CIA67" s="10"/>
      <c r="CIB67" s="10"/>
      <c r="CIC67" s="10"/>
      <c r="CID67" s="10"/>
      <c r="CIE67" s="10"/>
      <c r="CIF67" s="10"/>
      <c r="CIG67" s="10"/>
      <c r="CIH67" s="10"/>
      <c r="CII67" s="10"/>
      <c r="CIJ67" s="10"/>
      <c r="CIK67" s="10"/>
      <c r="CIL67" s="10"/>
      <c r="CIM67" s="10"/>
      <c r="CIN67" s="10"/>
      <c r="CIO67" s="10"/>
      <c r="CIP67" s="10"/>
      <c r="CIQ67" s="10"/>
      <c r="CIR67" s="10"/>
      <c r="CIS67" s="10"/>
      <c r="CIT67" s="10"/>
      <c r="CIU67" s="10"/>
      <c r="CIV67" s="10"/>
      <c r="CIW67" s="10"/>
      <c r="CIX67" s="10"/>
      <c r="CIY67" s="10"/>
      <c r="CIZ67" s="10"/>
      <c r="CJA67" s="10"/>
      <c r="CJB67" s="10"/>
      <c r="CJC67" s="10"/>
      <c r="CJD67" s="10"/>
      <c r="CJE67" s="10"/>
      <c r="CJF67" s="10"/>
      <c r="CJG67" s="10"/>
      <c r="CJH67" s="10"/>
      <c r="CJI67" s="10"/>
      <c r="CJJ67" s="10"/>
      <c r="CJK67" s="10"/>
      <c r="CJL67" s="10"/>
      <c r="CJM67" s="10"/>
      <c r="CJN67" s="10"/>
      <c r="CJO67" s="10"/>
      <c r="CJP67" s="10"/>
      <c r="CJQ67" s="10"/>
      <c r="CJR67" s="10"/>
      <c r="CJS67" s="10"/>
      <c r="CJT67" s="10"/>
      <c r="CJU67" s="10"/>
      <c r="CJV67" s="10"/>
      <c r="CJW67" s="10"/>
      <c r="CJX67" s="10"/>
      <c r="CJY67" s="10"/>
      <c r="CJZ67" s="10"/>
      <c r="CKA67" s="10"/>
      <c r="CKB67" s="10"/>
      <c r="CKC67" s="10"/>
      <c r="CKD67" s="10"/>
      <c r="CKE67" s="10"/>
      <c r="CKF67" s="10"/>
      <c r="CKG67" s="10"/>
      <c r="CKH67" s="10"/>
      <c r="CKI67" s="10"/>
      <c r="CKJ67" s="10"/>
      <c r="CKK67" s="10"/>
      <c r="CKL67" s="10"/>
      <c r="CKM67" s="10"/>
      <c r="CKN67" s="10"/>
      <c r="CKO67" s="10"/>
      <c r="CKP67" s="10"/>
      <c r="CKQ67" s="10"/>
      <c r="CKR67" s="10"/>
      <c r="CKS67" s="10"/>
      <c r="CKT67" s="10"/>
      <c r="CKU67" s="10"/>
      <c r="CKV67" s="10"/>
      <c r="CKW67" s="10"/>
      <c r="CKX67" s="10"/>
      <c r="CKY67" s="10"/>
      <c r="CKZ67" s="10"/>
      <c r="CLA67" s="10"/>
      <c r="CLB67" s="10"/>
      <c r="CLC67" s="10"/>
      <c r="CLD67" s="10"/>
      <c r="CLE67" s="10"/>
      <c r="CLF67" s="10"/>
      <c r="CLG67" s="10"/>
      <c r="CLH67" s="10"/>
      <c r="CLI67" s="10"/>
      <c r="CLJ67" s="10"/>
      <c r="CLK67" s="10"/>
      <c r="CLL67" s="10"/>
      <c r="CLM67" s="10"/>
      <c r="CLN67" s="10"/>
      <c r="CLO67" s="10"/>
      <c r="CLP67" s="10"/>
      <c r="CLQ67" s="10"/>
      <c r="CLR67" s="10"/>
      <c r="CLS67" s="10"/>
      <c r="CLT67" s="10"/>
      <c r="CLU67" s="10"/>
      <c r="CLV67" s="10"/>
      <c r="CLW67" s="10"/>
      <c r="CLX67" s="10"/>
      <c r="CLY67" s="10"/>
      <c r="CLZ67" s="10"/>
      <c r="CMA67" s="10"/>
      <c r="CMB67" s="10"/>
      <c r="CMC67" s="10"/>
      <c r="CMD67" s="10"/>
      <c r="CME67" s="10"/>
      <c r="CMF67" s="10"/>
      <c r="CMG67" s="10"/>
      <c r="CMH67" s="10"/>
      <c r="CMI67" s="10"/>
      <c r="CMJ67" s="10"/>
      <c r="CMK67" s="10"/>
      <c r="CML67" s="10"/>
      <c r="CMM67" s="10"/>
      <c r="CMN67" s="10"/>
      <c r="CMO67" s="10"/>
      <c r="CMP67" s="10"/>
      <c r="CMQ67" s="10"/>
      <c r="CMR67" s="10"/>
      <c r="CMS67" s="10"/>
      <c r="CMT67" s="10"/>
      <c r="CMU67" s="10"/>
      <c r="CMV67" s="10"/>
      <c r="CMW67" s="10"/>
      <c r="CMX67" s="10"/>
      <c r="CMY67" s="10"/>
      <c r="CMZ67" s="10"/>
      <c r="CNA67" s="10"/>
      <c r="CNB67" s="10"/>
      <c r="CNC67" s="10"/>
      <c r="CND67" s="10"/>
      <c r="CNE67" s="10"/>
      <c r="CNF67" s="10"/>
      <c r="CNG67" s="10"/>
      <c r="CNH67" s="10"/>
      <c r="CNI67" s="10"/>
      <c r="CNJ67" s="10"/>
      <c r="CNK67" s="10"/>
      <c r="CNL67" s="10"/>
      <c r="CNM67" s="10"/>
      <c r="CNN67" s="10"/>
      <c r="CNO67" s="10"/>
      <c r="CNP67" s="10"/>
      <c r="CNQ67" s="10"/>
      <c r="CNR67" s="10"/>
      <c r="CNS67" s="10"/>
      <c r="CNT67" s="10"/>
      <c r="CNU67" s="10"/>
      <c r="CNV67" s="10"/>
      <c r="CNW67" s="10"/>
      <c r="CNX67" s="10"/>
      <c r="CNY67" s="10"/>
      <c r="CNZ67" s="10"/>
      <c r="COA67" s="10"/>
      <c r="COB67" s="10"/>
      <c r="COC67" s="10"/>
      <c r="COD67" s="10"/>
      <c r="COE67" s="10"/>
      <c r="COF67" s="10"/>
      <c r="COG67" s="10"/>
      <c r="COH67" s="10"/>
      <c r="COI67" s="10"/>
      <c r="COJ67" s="10"/>
      <c r="COK67" s="10"/>
      <c r="COL67" s="10"/>
      <c r="COM67" s="10"/>
      <c r="CON67" s="10"/>
      <c r="COO67" s="10"/>
      <c r="COP67" s="10"/>
      <c r="COQ67" s="10"/>
      <c r="COR67" s="10"/>
      <c r="COS67" s="10"/>
      <c r="COT67" s="10"/>
      <c r="COU67" s="10"/>
      <c r="COV67" s="10"/>
      <c r="COW67" s="10"/>
      <c r="COX67" s="10"/>
      <c r="COY67" s="10"/>
      <c r="COZ67" s="10"/>
      <c r="CPA67" s="10"/>
      <c r="CPB67" s="10"/>
      <c r="CPC67" s="10"/>
      <c r="CPD67" s="10"/>
      <c r="CPE67" s="10"/>
      <c r="CPF67" s="10"/>
      <c r="CPG67" s="10"/>
      <c r="CPH67" s="10"/>
      <c r="CPI67" s="10"/>
      <c r="CPJ67" s="10"/>
      <c r="CPK67" s="10"/>
      <c r="CPL67" s="10"/>
      <c r="CPM67" s="10"/>
      <c r="CPN67" s="10"/>
      <c r="CPO67" s="10"/>
      <c r="CPP67" s="10"/>
      <c r="CPQ67" s="10"/>
      <c r="CPR67" s="10"/>
      <c r="CPS67" s="10"/>
      <c r="CPT67" s="10"/>
      <c r="CPU67" s="10"/>
      <c r="CPV67" s="10"/>
      <c r="CPW67" s="10"/>
      <c r="CPX67" s="10"/>
      <c r="CPY67" s="10"/>
      <c r="CPZ67" s="10"/>
      <c r="CQA67" s="10"/>
      <c r="CQB67" s="10"/>
      <c r="CQC67" s="10"/>
      <c r="CQD67" s="10"/>
      <c r="CQE67" s="10"/>
      <c r="CQF67" s="10"/>
      <c r="CQG67" s="10"/>
      <c r="CQH67" s="10"/>
      <c r="CQI67" s="10"/>
      <c r="CQJ67" s="10"/>
      <c r="CQK67" s="10"/>
      <c r="CQL67" s="10"/>
      <c r="CQM67" s="10"/>
      <c r="CQN67" s="10"/>
      <c r="CQO67" s="10"/>
      <c r="CQP67" s="10"/>
      <c r="CQQ67" s="10"/>
      <c r="CQR67" s="10"/>
      <c r="CQS67" s="10"/>
      <c r="CQT67" s="10"/>
      <c r="CQU67" s="10"/>
      <c r="CQV67" s="10"/>
      <c r="CQW67" s="10"/>
      <c r="CQX67" s="10"/>
      <c r="CQY67" s="10"/>
      <c r="CQZ67" s="10"/>
      <c r="CRA67" s="10"/>
      <c r="CRB67" s="10"/>
      <c r="CRC67" s="10"/>
      <c r="CRD67" s="10"/>
      <c r="CRE67" s="10"/>
      <c r="CRF67" s="10"/>
      <c r="CRG67" s="10"/>
      <c r="CRH67" s="10"/>
      <c r="CRI67" s="10"/>
      <c r="CRJ67" s="10"/>
      <c r="CRK67" s="10"/>
      <c r="CRL67" s="10"/>
      <c r="CRM67" s="10"/>
      <c r="CRN67" s="10"/>
      <c r="CRO67" s="10"/>
      <c r="CRP67" s="10"/>
      <c r="CRQ67" s="10"/>
      <c r="CRR67" s="10"/>
      <c r="CRS67" s="10"/>
      <c r="CRT67" s="10"/>
      <c r="CRU67" s="10"/>
      <c r="CRV67" s="10"/>
      <c r="CRW67" s="10"/>
      <c r="CRX67" s="10"/>
      <c r="CRY67" s="10"/>
      <c r="CRZ67" s="10"/>
      <c r="CSA67" s="10"/>
      <c r="CSB67" s="10"/>
      <c r="CSC67" s="10"/>
      <c r="CSD67" s="10"/>
      <c r="CSE67" s="10"/>
      <c r="CSF67" s="10"/>
      <c r="CSG67" s="10"/>
      <c r="CSH67" s="10"/>
      <c r="CSI67" s="10"/>
      <c r="CSJ67" s="10"/>
      <c r="CSK67" s="10"/>
      <c r="CSL67" s="10"/>
      <c r="CSM67" s="10"/>
      <c r="CSN67" s="10"/>
      <c r="CSO67" s="10"/>
      <c r="CSP67" s="10"/>
      <c r="CSQ67" s="10"/>
      <c r="CSR67" s="10"/>
      <c r="CSS67" s="10"/>
      <c r="CST67" s="10"/>
      <c r="CSU67" s="10"/>
      <c r="CSV67" s="10"/>
      <c r="CSW67" s="10"/>
      <c r="CSX67" s="10"/>
      <c r="CSY67" s="10"/>
      <c r="CSZ67" s="10"/>
      <c r="CTA67" s="10"/>
      <c r="CTB67" s="10"/>
      <c r="CTC67" s="10"/>
      <c r="CTD67" s="10"/>
      <c r="CTE67" s="10"/>
      <c r="CTF67" s="10"/>
      <c r="CTG67" s="10"/>
      <c r="CTH67" s="10"/>
      <c r="CTI67" s="10"/>
      <c r="CTJ67" s="10"/>
      <c r="CTK67" s="10"/>
      <c r="CTL67" s="10"/>
      <c r="CTM67" s="10"/>
      <c r="CTN67" s="10"/>
      <c r="CTO67" s="10"/>
      <c r="CTP67" s="10"/>
      <c r="CTQ67" s="10"/>
      <c r="CTR67" s="10"/>
      <c r="CTS67" s="10"/>
      <c r="CTT67" s="10"/>
      <c r="CTU67" s="10"/>
      <c r="CTV67" s="10"/>
      <c r="CTW67" s="10"/>
      <c r="CTX67" s="10"/>
      <c r="CTY67" s="10"/>
      <c r="CTZ67" s="10"/>
      <c r="CUA67" s="10"/>
      <c r="CUB67" s="10"/>
      <c r="CUC67" s="10"/>
      <c r="CUD67" s="10"/>
      <c r="CUE67" s="10"/>
      <c r="CUF67" s="10"/>
      <c r="CUG67" s="10"/>
      <c r="CUH67" s="10"/>
      <c r="CUI67" s="10"/>
      <c r="CUJ67" s="10"/>
      <c r="CUK67" s="10"/>
      <c r="CUL67" s="10"/>
      <c r="CUM67" s="10"/>
      <c r="CUN67" s="10"/>
      <c r="CUO67" s="10"/>
      <c r="CUP67" s="10"/>
      <c r="CUQ67" s="10"/>
      <c r="CUR67" s="10"/>
      <c r="CUS67" s="10"/>
      <c r="CUT67" s="10"/>
      <c r="CUU67" s="10"/>
      <c r="CUV67" s="10"/>
      <c r="CUW67" s="10"/>
      <c r="CUX67" s="10"/>
      <c r="CUY67" s="10"/>
      <c r="CUZ67" s="10"/>
      <c r="CVA67" s="10"/>
      <c r="CVB67" s="10"/>
      <c r="CVC67" s="10"/>
      <c r="CVD67" s="10"/>
      <c r="CVE67" s="10"/>
      <c r="CVF67" s="10"/>
      <c r="CVG67" s="10"/>
      <c r="CVH67" s="10"/>
      <c r="CVI67" s="10"/>
      <c r="CVJ67" s="10"/>
      <c r="CVK67" s="10"/>
      <c r="CVL67" s="10"/>
      <c r="CVM67" s="10"/>
      <c r="CVN67" s="10"/>
      <c r="CVO67" s="10"/>
      <c r="CVP67" s="10"/>
      <c r="CVQ67" s="10"/>
      <c r="CVR67" s="10"/>
      <c r="CVS67" s="10"/>
      <c r="CVT67" s="10"/>
      <c r="CVU67" s="10"/>
      <c r="CVV67" s="10"/>
      <c r="CVW67" s="10"/>
      <c r="CVX67" s="10"/>
      <c r="CVY67" s="10"/>
      <c r="CVZ67" s="10"/>
      <c r="CWA67" s="10"/>
      <c r="CWB67" s="10"/>
      <c r="CWC67" s="10"/>
      <c r="CWD67" s="10"/>
      <c r="CWE67" s="10"/>
      <c r="CWF67" s="10"/>
      <c r="CWG67" s="10"/>
      <c r="CWH67" s="10"/>
      <c r="CWI67" s="10"/>
      <c r="CWJ67" s="10"/>
      <c r="CWK67" s="10"/>
      <c r="CWL67" s="10"/>
      <c r="CWM67" s="10"/>
      <c r="CWN67" s="10"/>
      <c r="CWO67" s="10"/>
      <c r="CWP67" s="10"/>
      <c r="CWQ67" s="10"/>
      <c r="CWR67" s="10"/>
      <c r="CWS67" s="10"/>
      <c r="CWT67" s="10"/>
      <c r="CWU67" s="10"/>
      <c r="CWV67" s="10"/>
      <c r="CWW67" s="10"/>
      <c r="CWX67" s="10"/>
      <c r="CWY67" s="10"/>
      <c r="CWZ67" s="10"/>
      <c r="CXA67" s="10"/>
      <c r="CXB67" s="10"/>
      <c r="CXC67" s="10"/>
      <c r="CXD67" s="10"/>
      <c r="CXE67" s="10"/>
      <c r="CXF67" s="10"/>
      <c r="CXG67" s="10"/>
      <c r="CXH67" s="10"/>
      <c r="CXI67" s="10"/>
      <c r="CXJ67" s="10"/>
      <c r="CXK67" s="10"/>
      <c r="CXL67" s="10"/>
      <c r="CXM67" s="10"/>
      <c r="CXN67" s="10"/>
      <c r="CXO67" s="10"/>
      <c r="CXP67" s="10"/>
      <c r="CXQ67" s="10"/>
      <c r="CXR67" s="10"/>
      <c r="CXS67" s="10"/>
      <c r="CXT67" s="10"/>
      <c r="CXU67" s="10"/>
      <c r="CXV67" s="10"/>
      <c r="CXW67" s="10"/>
      <c r="CXX67" s="10"/>
      <c r="CXY67" s="10"/>
      <c r="CXZ67" s="10"/>
      <c r="CYA67" s="10"/>
      <c r="CYB67" s="10"/>
      <c r="CYC67" s="10"/>
      <c r="CYD67" s="10"/>
      <c r="CYE67" s="10"/>
      <c r="CYF67" s="10"/>
      <c r="CYG67" s="10"/>
      <c r="CYH67" s="10"/>
      <c r="CYI67" s="10"/>
      <c r="CYJ67" s="10"/>
      <c r="CYK67" s="10"/>
      <c r="CYL67" s="10"/>
      <c r="CYM67" s="10"/>
      <c r="CYN67" s="10"/>
      <c r="CYO67" s="10"/>
      <c r="CYP67" s="10"/>
      <c r="CYQ67" s="10"/>
      <c r="CYR67" s="10"/>
      <c r="CYS67" s="10"/>
      <c r="CYT67" s="10"/>
      <c r="CYU67" s="10"/>
      <c r="CYV67" s="10"/>
      <c r="CYW67" s="10"/>
      <c r="CYX67" s="10"/>
      <c r="CYY67" s="10"/>
      <c r="CYZ67" s="10"/>
      <c r="CZA67" s="10"/>
      <c r="CZB67" s="10"/>
      <c r="CZC67" s="10"/>
      <c r="CZD67" s="10"/>
      <c r="CZE67" s="10"/>
      <c r="CZF67" s="10"/>
      <c r="CZG67" s="10"/>
      <c r="CZH67" s="10"/>
      <c r="CZI67" s="10"/>
      <c r="CZJ67" s="10"/>
      <c r="CZK67" s="10"/>
      <c r="CZL67" s="10"/>
      <c r="CZM67" s="10"/>
      <c r="CZN67" s="10"/>
      <c r="CZO67" s="10"/>
      <c r="CZP67" s="10"/>
      <c r="CZQ67" s="10"/>
      <c r="CZR67" s="10"/>
      <c r="CZS67" s="10"/>
      <c r="CZT67" s="10"/>
      <c r="CZU67" s="10"/>
      <c r="CZV67" s="10"/>
      <c r="CZW67" s="10"/>
      <c r="CZX67" s="10"/>
      <c r="CZY67" s="10"/>
      <c r="CZZ67" s="10"/>
      <c r="DAA67" s="10"/>
      <c r="DAB67" s="10"/>
      <c r="DAC67" s="10"/>
      <c r="DAD67" s="10"/>
      <c r="DAE67" s="10"/>
      <c r="DAF67" s="10"/>
      <c r="DAG67" s="10"/>
      <c r="DAH67" s="10"/>
      <c r="DAI67" s="10"/>
      <c r="DAJ67" s="10"/>
      <c r="DAK67" s="10"/>
      <c r="DAL67" s="10"/>
      <c r="DAM67" s="10"/>
      <c r="DAN67" s="10"/>
      <c r="DAO67" s="10"/>
      <c r="DAP67" s="10"/>
      <c r="DAQ67" s="10"/>
      <c r="DAR67" s="10"/>
      <c r="DAS67" s="10"/>
      <c r="DAT67" s="10"/>
      <c r="DAU67" s="10"/>
      <c r="DAV67" s="10"/>
      <c r="DAW67" s="10"/>
      <c r="DAX67" s="10"/>
      <c r="DAY67" s="10"/>
      <c r="DAZ67" s="10"/>
      <c r="DBA67" s="10"/>
      <c r="DBB67" s="10"/>
      <c r="DBC67" s="10"/>
      <c r="DBD67" s="10"/>
      <c r="DBE67" s="10"/>
      <c r="DBF67" s="10"/>
      <c r="DBG67" s="10"/>
      <c r="DBH67" s="10"/>
      <c r="DBI67" s="10"/>
      <c r="DBJ67" s="10"/>
      <c r="DBK67" s="10"/>
      <c r="DBL67" s="10"/>
      <c r="DBM67" s="10"/>
      <c r="DBN67" s="10"/>
      <c r="DBO67" s="10"/>
      <c r="DBP67" s="10"/>
      <c r="DBQ67" s="10"/>
      <c r="DBR67" s="10"/>
      <c r="DBS67" s="10"/>
      <c r="DBT67" s="10"/>
      <c r="DBU67" s="10"/>
      <c r="DBV67" s="10"/>
      <c r="DBW67" s="10"/>
      <c r="DBX67" s="10"/>
      <c r="DBY67" s="10"/>
      <c r="DBZ67" s="10"/>
      <c r="DCA67" s="10"/>
      <c r="DCB67" s="10"/>
      <c r="DCC67" s="10"/>
      <c r="DCD67" s="10"/>
      <c r="DCE67" s="10"/>
      <c r="DCF67" s="10"/>
      <c r="DCG67" s="10"/>
      <c r="DCH67" s="10"/>
      <c r="DCI67" s="10"/>
      <c r="DCJ67" s="10"/>
      <c r="DCK67" s="10"/>
      <c r="DCL67" s="10"/>
      <c r="DCM67" s="10"/>
      <c r="DCN67" s="10"/>
      <c r="DCO67" s="10"/>
      <c r="DCP67" s="10"/>
      <c r="DCQ67" s="10"/>
      <c r="DCR67" s="10"/>
      <c r="DCS67" s="10"/>
      <c r="DCT67" s="10"/>
      <c r="DCU67" s="10"/>
      <c r="DCV67" s="10"/>
      <c r="DCW67" s="10"/>
      <c r="DCX67" s="10"/>
      <c r="DCY67" s="10"/>
      <c r="DCZ67" s="10"/>
      <c r="DDA67" s="10"/>
      <c r="DDB67" s="10"/>
      <c r="DDC67" s="10"/>
      <c r="DDD67" s="10"/>
      <c r="DDE67" s="10"/>
      <c r="DDF67" s="10"/>
      <c r="DDG67" s="10"/>
      <c r="DDH67" s="10"/>
      <c r="DDI67" s="10"/>
      <c r="DDJ67" s="10"/>
      <c r="DDK67" s="10"/>
      <c r="DDL67" s="10"/>
      <c r="DDM67" s="10"/>
      <c r="DDN67" s="10"/>
      <c r="DDO67" s="10"/>
      <c r="DDP67" s="10"/>
      <c r="DDQ67" s="10"/>
      <c r="DDR67" s="10"/>
      <c r="DDS67" s="10"/>
      <c r="DDT67" s="10"/>
      <c r="DDU67" s="10"/>
      <c r="DDV67" s="10"/>
      <c r="DDW67" s="10"/>
      <c r="DDX67" s="10"/>
      <c r="DDY67" s="10"/>
      <c r="DDZ67" s="10"/>
      <c r="DEA67" s="10"/>
      <c r="DEB67" s="10"/>
      <c r="DEC67" s="10"/>
      <c r="DED67" s="10"/>
      <c r="DEE67" s="10"/>
      <c r="DEF67" s="10"/>
      <c r="DEG67" s="10"/>
      <c r="DEH67" s="10"/>
      <c r="DEI67" s="10"/>
      <c r="DEJ67" s="10"/>
      <c r="DEK67" s="10"/>
      <c r="DEL67" s="10"/>
      <c r="DEM67" s="10"/>
      <c r="DEN67" s="10"/>
      <c r="DEO67" s="10"/>
      <c r="DEP67" s="10"/>
      <c r="DEQ67" s="10"/>
      <c r="DER67" s="10"/>
      <c r="DES67" s="10"/>
      <c r="DET67" s="10"/>
      <c r="DEU67" s="10"/>
      <c r="DEV67" s="10"/>
      <c r="DEW67" s="10"/>
      <c r="DEX67" s="10"/>
      <c r="DEY67" s="10"/>
      <c r="DEZ67" s="10"/>
      <c r="DFA67" s="10"/>
      <c r="DFB67" s="10"/>
      <c r="DFC67" s="10"/>
      <c r="DFD67" s="10"/>
      <c r="DFE67" s="10"/>
      <c r="DFF67" s="10"/>
      <c r="DFG67" s="10"/>
      <c r="DFH67" s="10"/>
      <c r="DFI67" s="10"/>
      <c r="DFJ67" s="10"/>
      <c r="DFK67" s="10"/>
      <c r="DFL67" s="10"/>
      <c r="DFM67" s="10"/>
      <c r="DFN67" s="10"/>
      <c r="DFO67" s="10"/>
      <c r="DFP67" s="10"/>
      <c r="DFQ67" s="10"/>
      <c r="DFR67" s="10"/>
      <c r="DFS67" s="10"/>
      <c r="DFT67" s="10"/>
      <c r="DFU67" s="10"/>
      <c r="DFV67" s="10"/>
      <c r="DFW67" s="10"/>
      <c r="DFX67" s="10"/>
      <c r="DFY67" s="10"/>
      <c r="DFZ67" s="10"/>
      <c r="DGA67" s="10"/>
      <c r="DGB67" s="10"/>
      <c r="DGC67" s="10"/>
      <c r="DGD67" s="10"/>
      <c r="DGE67" s="10"/>
      <c r="DGF67" s="10"/>
      <c r="DGG67" s="10"/>
      <c r="DGH67" s="10"/>
      <c r="DGI67" s="10"/>
      <c r="DGJ67" s="10"/>
      <c r="DGK67" s="10"/>
      <c r="DGL67" s="10"/>
      <c r="DGM67" s="10"/>
      <c r="DGN67" s="10"/>
      <c r="DGO67" s="10"/>
      <c r="DGP67" s="10"/>
      <c r="DGQ67" s="10"/>
      <c r="DGR67" s="10"/>
      <c r="DGS67" s="10"/>
      <c r="DGT67" s="10"/>
      <c r="DGU67" s="10"/>
      <c r="DGV67" s="10"/>
      <c r="DGW67" s="10"/>
      <c r="DGX67" s="10"/>
      <c r="DGY67" s="10"/>
      <c r="DGZ67" s="10"/>
      <c r="DHA67" s="10"/>
      <c r="DHB67" s="10"/>
      <c r="DHC67" s="10"/>
      <c r="DHD67" s="10"/>
      <c r="DHE67" s="10"/>
      <c r="DHF67" s="10"/>
      <c r="DHG67" s="10"/>
      <c r="DHH67" s="10"/>
      <c r="DHI67" s="10"/>
      <c r="DHJ67" s="10"/>
      <c r="DHK67" s="10"/>
      <c r="DHL67" s="10"/>
      <c r="DHM67" s="10"/>
      <c r="DHN67" s="10"/>
      <c r="DHO67" s="10"/>
      <c r="DHP67" s="10"/>
      <c r="DHQ67" s="10"/>
      <c r="DHR67" s="10"/>
      <c r="DHS67" s="10"/>
      <c r="DHT67" s="10"/>
      <c r="DHU67" s="10"/>
      <c r="DHV67" s="10"/>
      <c r="DHW67" s="10"/>
      <c r="DHX67" s="10"/>
      <c r="DHY67" s="10"/>
      <c r="DHZ67" s="10"/>
      <c r="DIA67" s="10"/>
      <c r="DIB67" s="10"/>
      <c r="DIC67" s="10"/>
      <c r="DID67" s="10"/>
      <c r="DIE67" s="10"/>
      <c r="DIF67" s="10"/>
      <c r="DIG67" s="10"/>
      <c r="DIH67" s="10"/>
      <c r="DII67" s="10"/>
      <c r="DIJ67" s="10"/>
      <c r="DIK67" s="10"/>
      <c r="DIL67" s="10"/>
      <c r="DIM67" s="10"/>
      <c r="DIN67" s="10"/>
      <c r="DIO67" s="10"/>
      <c r="DIP67" s="10"/>
      <c r="DIQ67" s="10"/>
      <c r="DIR67" s="10"/>
      <c r="DIS67" s="10"/>
      <c r="DIT67" s="10"/>
      <c r="DIU67" s="10"/>
      <c r="DIV67" s="10"/>
      <c r="DIW67" s="10"/>
      <c r="DIX67" s="10"/>
      <c r="DIY67" s="10"/>
      <c r="DIZ67" s="10"/>
      <c r="DJA67" s="10"/>
      <c r="DJB67" s="10"/>
      <c r="DJC67" s="10"/>
      <c r="DJD67" s="10"/>
      <c r="DJE67" s="10"/>
      <c r="DJF67" s="10"/>
      <c r="DJG67" s="10"/>
      <c r="DJH67" s="10"/>
      <c r="DJI67" s="10"/>
      <c r="DJJ67" s="10"/>
      <c r="DJK67" s="10"/>
      <c r="DJL67" s="10"/>
      <c r="DJM67" s="10"/>
      <c r="DJN67" s="10"/>
      <c r="DJO67" s="10"/>
      <c r="DJP67" s="10"/>
      <c r="DJQ67" s="10"/>
      <c r="DJR67" s="10"/>
      <c r="DJS67" s="10"/>
      <c r="DJT67" s="10"/>
      <c r="DJU67" s="10"/>
      <c r="DJV67" s="10"/>
      <c r="DJW67" s="10"/>
      <c r="DJX67" s="10"/>
      <c r="DJY67" s="10"/>
      <c r="DJZ67" s="10"/>
      <c r="DKA67" s="10"/>
      <c r="DKB67" s="10"/>
      <c r="DKC67" s="10"/>
      <c r="DKD67" s="10"/>
      <c r="DKE67" s="10"/>
      <c r="DKF67" s="10"/>
      <c r="DKG67" s="10"/>
      <c r="DKH67" s="10"/>
      <c r="DKI67" s="10"/>
      <c r="DKJ67" s="10"/>
      <c r="DKK67" s="10"/>
      <c r="DKL67" s="10"/>
      <c r="DKM67" s="10"/>
      <c r="DKN67" s="10"/>
      <c r="DKO67" s="10"/>
      <c r="DKP67" s="10"/>
      <c r="DKQ67" s="10"/>
      <c r="DKR67" s="10"/>
      <c r="DKS67" s="10"/>
      <c r="DKT67" s="10"/>
      <c r="DKU67" s="10"/>
      <c r="DKV67" s="10"/>
      <c r="DKW67" s="10"/>
      <c r="DKX67" s="10"/>
      <c r="DKY67" s="10"/>
      <c r="DKZ67" s="10"/>
      <c r="DLA67" s="10"/>
      <c r="DLB67" s="10"/>
      <c r="DLC67" s="10"/>
      <c r="DLD67" s="10"/>
      <c r="DLE67" s="10"/>
      <c r="DLF67" s="10"/>
      <c r="DLG67" s="10"/>
      <c r="DLH67" s="10"/>
      <c r="DLI67" s="10"/>
      <c r="DLJ67" s="10"/>
      <c r="DLK67" s="10"/>
      <c r="DLL67" s="10"/>
      <c r="DLM67" s="10"/>
      <c r="DLN67" s="10"/>
      <c r="DLO67" s="10"/>
      <c r="DLP67" s="10"/>
      <c r="DLQ67" s="10"/>
      <c r="DLR67" s="10"/>
      <c r="DLS67" s="10"/>
      <c r="DLT67" s="10"/>
      <c r="DLU67" s="10"/>
      <c r="DLV67" s="10"/>
      <c r="DLW67" s="10"/>
      <c r="DLX67" s="10"/>
      <c r="DLY67" s="10"/>
      <c r="DLZ67" s="10"/>
      <c r="DMA67" s="10"/>
      <c r="DMB67" s="10"/>
      <c r="DMC67" s="10"/>
      <c r="DMD67" s="10"/>
      <c r="DME67" s="10"/>
      <c r="DMF67" s="10"/>
      <c r="DMG67" s="10"/>
      <c r="DMH67" s="10"/>
      <c r="DMI67" s="10"/>
      <c r="DMJ67" s="10"/>
      <c r="DMK67" s="10"/>
      <c r="DML67" s="10"/>
      <c r="DMM67" s="10"/>
      <c r="DMN67" s="10"/>
      <c r="DMO67" s="10"/>
      <c r="DMP67" s="10"/>
      <c r="DMQ67" s="10"/>
      <c r="DMR67" s="10"/>
      <c r="DMS67" s="10"/>
      <c r="DMT67" s="10"/>
      <c r="DMU67" s="10"/>
      <c r="DMV67" s="10"/>
      <c r="DMW67" s="10"/>
      <c r="DMX67" s="10"/>
      <c r="DMY67" s="10"/>
      <c r="DMZ67" s="10"/>
      <c r="DNA67" s="10"/>
      <c r="DNB67" s="10"/>
      <c r="DNC67" s="10"/>
      <c r="DND67" s="10"/>
      <c r="DNE67" s="10"/>
      <c r="DNF67" s="10"/>
      <c r="DNG67" s="10"/>
      <c r="DNH67" s="10"/>
      <c r="DNI67" s="10"/>
      <c r="DNJ67" s="10"/>
      <c r="DNK67" s="10"/>
      <c r="DNL67" s="10"/>
      <c r="DNM67" s="10"/>
      <c r="DNN67" s="10"/>
      <c r="DNO67" s="10"/>
      <c r="DNP67" s="10"/>
      <c r="DNQ67" s="10"/>
      <c r="DNR67" s="10"/>
      <c r="DNS67" s="10"/>
      <c r="DNT67" s="10"/>
      <c r="DNU67" s="10"/>
      <c r="DNV67" s="10"/>
      <c r="DNW67" s="10"/>
      <c r="DNX67" s="10"/>
      <c r="DNY67" s="10"/>
      <c r="DNZ67" s="10"/>
      <c r="DOA67" s="10"/>
      <c r="DOB67" s="10"/>
      <c r="DOC67" s="10"/>
      <c r="DOD67" s="10"/>
      <c r="DOE67" s="10"/>
      <c r="DOF67" s="10"/>
      <c r="DOG67" s="10"/>
      <c r="DOH67" s="10"/>
      <c r="DOI67" s="10"/>
      <c r="DOJ67" s="10"/>
      <c r="DOK67" s="10"/>
      <c r="DOL67" s="10"/>
      <c r="DOM67" s="10"/>
      <c r="DON67" s="10"/>
      <c r="DOO67" s="10"/>
      <c r="DOP67" s="10"/>
      <c r="DOQ67" s="10"/>
      <c r="DOR67" s="10"/>
      <c r="DOS67" s="10"/>
      <c r="DOT67" s="10"/>
      <c r="DOU67" s="10"/>
      <c r="DOV67" s="10"/>
      <c r="DOW67" s="10"/>
      <c r="DOX67" s="10"/>
      <c r="DOY67" s="10"/>
      <c r="DOZ67" s="10"/>
      <c r="DPA67" s="10"/>
      <c r="DPB67" s="10"/>
      <c r="DPC67" s="10"/>
      <c r="DPD67" s="10"/>
      <c r="DPE67" s="10"/>
      <c r="DPF67" s="10"/>
      <c r="DPG67" s="10"/>
      <c r="DPH67" s="10"/>
      <c r="DPI67" s="10"/>
      <c r="DPJ67" s="10"/>
      <c r="DPK67" s="10"/>
      <c r="DPL67" s="10"/>
      <c r="DPM67" s="10"/>
      <c r="DPN67" s="10"/>
      <c r="DPO67" s="10"/>
      <c r="DPP67" s="10"/>
      <c r="DPQ67" s="10"/>
      <c r="DPR67" s="10"/>
      <c r="DPS67" s="10"/>
      <c r="DPT67" s="10"/>
      <c r="DPU67" s="10"/>
      <c r="DPV67" s="10"/>
      <c r="DPW67" s="10"/>
      <c r="DPX67" s="10"/>
      <c r="DPY67" s="10"/>
      <c r="DPZ67" s="10"/>
      <c r="DQA67" s="10"/>
      <c r="DQB67" s="10"/>
      <c r="DQC67" s="10"/>
      <c r="DQD67" s="10"/>
      <c r="DQE67" s="10"/>
      <c r="DQF67" s="10"/>
      <c r="DQG67" s="10"/>
      <c r="DQH67" s="10"/>
      <c r="DQI67" s="10"/>
      <c r="DQJ67" s="10"/>
      <c r="DQK67" s="10"/>
      <c r="DQL67" s="10"/>
      <c r="DQM67" s="10"/>
      <c r="DQN67" s="10"/>
      <c r="DQO67" s="10"/>
      <c r="DQP67" s="10"/>
      <c r="DQQ67" s="10"/>
      <c r="DQR67" s="10"/>
      <c r="DQS67" s="10"/>
      <c r="DQT67" s="10"/>
      <c r="DQU67" s="10"/>
      <c r="DQV67" s="10"/>
      <c r="DQW67" s="10"/>
      <c r="DQX67" s="10"/>
      <c r="DQY67" s="10"/>
      <c r="DQZ67" s="10"/>
      <c r="DRA67" s="10"/>
      <c r="DRB67" s="10"/>
      <c r="DRC67" s="10"/>
      <c r="DRD67" s="10"/>
      <c r="DRE67" s="10"/>
      <c r="DRF67" s="10"/>
      <c r="DRG67" s="10"/>
      <c r="DRH67" s="10"/>
      <c r="DRI67" s="10"/>
      <c r="DRJ67" s="10"/>
      <c r="DRK67" s="10"/>
      <c r="DRL67" s="10"/>
      <c r="DRM67" s="10"/>
      <c r="DRN67" s="10"/>
      <c r="DRO67" s="10"/>
      <c r="DRP67" s="10"/>
      <c r="DRQ67" s="10"/>
      <c r="DRR67" s="10"/>
      <c r="DRS67" s="10"/>
      <c r="DRT67" s="10"/>
      <c r="DRU67" s="10"/>
      <c r="DRV67" s="10"/>
      <c r="DRW67" s="10"/>
      <c r="DRX67" s="10"/>
      <c r="DRY67" s="10"/>
      <c r="DRZ67" s="10"/>
      <c r="DSA67" s="10"/>
      <c r="DSB67" s="10"/>
      <c r="DSC67" s="10"/>
      <c r="DSD67" s="10"/>
      <c r="DSE67" s="10"/>
      <c r="DSF67" s="10"/>
      <c r="DSG67" s="10"/>
      <c r="DSH67" s="10"/>
      <c r="DSI67" s="10"/>
      <c r="DSJ67" s="10"/>
      <c r="DSK67" s="10"/>
      <c r="DSL67" s="10"/>
      <c r="DSM67" s="10"/>
      <c r="DSN67" s="10"/>
      <c r="DSO67" s="10"/>
      <c r="DSP67" s="10"/>
      <c r="DSQ67" s="10"/>
      <c r="DSR67" s="10"/>
      <c r="DSS67" s="10"/>
      <c r="DST67" s="10"/>
      <c r="DSU67" s="10"/>
      <c r="DSV67" s="10"/>
      <c r="DSW67" s="10"/>
      <c r="DSX67" s="10"/>
      <c r="DSY67" s="10"/>
      <c r="DSZ67" s="10"/>
      <c r="DTA67" s="10"/>
      <c r="DTB67" s="10"/>
      <c r="DTC67" s="10"/>
      <c r="DTD67" s="10"/>
      <c r="DTE67" s="10"/>
      <c r="DTF67" s="10"/>
      <c r="DTG67" s="10"/>
      <c r="DTH67" s="10"/>
      <c r="DTI67" s="10"/>
      <c r="DTJ67" s="10"/>
      <c r="DTK67" s="10"/>
      <c r="DTL67" s="10"/>
      <c r="DTM67" s="10"/>
      <c r="DTN67" s="10"/>
      <c r="DTO67" s="10"/>
      <c r="DTP67" s="10"/>
      <c r="DTQ67" s="10"/>
      <c r="DTR67" s="10"/>
      <c r="DTS67" s="10"/>
      <c r="DTT67" s="10"/>
      <c r="DTU67" s="10"/>
      <c r="DTV67" s="10"/>
      <c r="DTW67" s="10"/>
      <c r="DTX67" s="10"/>
      <c r="DTY67" s="10"/>
      <c r="DTZ67" s="10"/>
      <c r="DUA67" s="10"/>
      <c r="DUB67" s="10"/>
      <c r="DUC67" s="10"/>
      <c r="DUD67" s="10"/>
      <c r="DUE67" s="10"/>
      <c r="DUF67" s="10"/>
      <c r="DUG67" s="10"/>
      <c r="DUH67" s="10"/>
      <c r="DUI67" s="10"/>
      <c r="DUJ67" s="10"/>
      <c r="DUK67" s="10"/>
      <c r="DUL67" s="10"/>
      <c r="DUM67" s="10"/>
      <c r="DUN67" s="10"/>
      <c r="DUO67" s="10"/>
      <c r="DUP67" s="10"/>
      <c r="DUQ67" s="10"/>
      <c r="DUR67" s="10"/>
      <c r="DUS67" s="10"/>
      <c r="DUT67" s="10"/>
      <c r="DUU67" s="10"/>
      <c r="DUV67" s="10"/>
      <c r="DUW67" s="10"/>
      <c r="DUX67" s="10"/>
      <c r="DUY67" s="10"/>
      <c r="DUZ67" s="10"/>
      <c r="DVA67" s="10"/>
      <c r="DVB67" s="10"/>
      <c r="DVC67" s="10"/>
      <c r="DVD67" s="10"/>
      <c r="DVE67" s="10"/>
      <c r="DVF67" s="10"/>
      <c r="DVG67" s="10"/>
      <c r="DVH67" s="10"/>
      <c r="DVI67" s="10"/>
      <c r="DVJ67" s="10"/>
      <c r="DVK67" s="10"/>
      <c r="DVL67" s="10"/>
      <c r="DVM67" s="10"/>
      <c r="DVN67" s="10"/>
      <c r="DVO67" s="10"/>
      <c r="DVP67" s="10"/>
      <c r="DVQ67" s="10"/>
      <c r="DVR67" s="10"/>
      <c r="DVS67" s="10"/>
      <c r="DVT67" s="10"/>
      <c r="DVU67" s="10"/>
      <c r="DVV67" s="10"/>
      <c r="DVW67" s="10"/>
      <c r="DVX67" s="10"/>
      <c r="DVY67" s="10"/>
      <c r="DVZ67" s="10"/>
      <c r="DWA67" s="10"/>
      <c r="DWB67" s="10"/>
      <c r="DWC67" s="10"/>
      <c r="DWD67" s="10"/>
      <c r="DWE67" s="10"/>
      <c r="DWF67" s="10"/>
      <c r="DWG67" s="10"/>
      <c r="DWH67" s="10"/>
      <c r="DWI67" s="10"/>
      <c r="DWJ67" s="10"/>
      <c r="DWK67" s="10"/>
      <c r="DWL67" s="10"/>
      <c r="DWM67" s="10"/>
      <c r="DWN67" s="10"/>
      <c r="DWO67" s="10"/>
      <c r="DWP67" s="10"/>
      <c r="DWQ67" s="10"/>
      <c r="DWR67" s="10"/>
      <c r="DWS67" s="10"/>
      <c r="DWT67" s="10"/>
      <c r="DWU67" s="10"/>
      <c r="DWV67" s="10"/>
      <c r="DWW67" s="10"/>
      <c r="DWX67" s="10"/>
      <c r="DWY67" s="10"/>
      <c r="DWZ67" s="10"/>
      <c r="DXA67" s="10"/>
      <c r="DXB67" s="10"/>
      <c r="DXC67" s="10"/>
      <c r="DXD67" s="10"/>
      <c r="DXE67" s="10"/>
      <c r="DXF67" s="10"/>
      <c r="DXG67" s="10"/>
      <c r="DXH67" s="10"/>
      <c r="DXI67" s="10"/>
      <c r="DXJ67" s="10"/>
      <c r="DXK67" s="10"/>
      <c r="DXL67" s="10"/>
      <c r="DXM67" s="10"/>
      <c r="DXN67" s="10"/>
      <c r="DXO67" s="10"/>
      <c r="DXP67" s="10"/>
      <c r="DXQ67" s="10"/>
      <c r="DXR67" s="10"/>
      <c r="DXS67" s="10"/>
      <c r="DXT67" s="10"/>
      <c r="DXU67" s="10"/>
      <c r="DXV67" s="10"/>
      <c r="DXW67" s="10"/>
      <c r="DXX67" s="10"/>
      <c r="DXY67" s="10"/>
      <c r="DXZ67" s="10"/>
      <c r="DYA67" s="10"/>
      <c r="DYB67" s="10"/>
      <c r="DYC67" s="10"/>
      <c r="DYD67" s="10"/>
      <c r="DYE67" s="10"/>
      <c r="DYF67" s="10"/>
      <c r="DYG67" s="10"/>
      <c r="DYH67" s="10"/>
      <c r="DYI67" s="10"/>
      <c r="DYJ67" s="10"/>
      <c r="DYK67" s="10"/>
      <c r="DYL67" s="10"/>
      <c r="DYM67" s="10"/>
      <c r="DYN67" s="10"/>
      <c r="DYO67" s="10"/>
      <c r="DYP67" s="10"/>
      <c r="DYQ67" s="10"/>
      <c r="DYR67" s="10"/>
      <c r="DYS67" s="10"/>
      <c r="DYT67" s="10"/>
      <c r="DYU67" s="10"/>
      <c r="DYV67" s="10"/>
      <c r="DYW67" s="10"/>
      <c r="DYX67" s="10"/>
      <c r="DYY67" s="10"/>
      <c r="DYZ67" s="10"/>
      <c r="DZA67" s="10"/>
      <c r="DZB67" s="10"/>
      <c r="DZC67" s="10"/>
      <c r="DZD67" s="10"/>
      <c r="DZE67" s="10"/>
      <c r="DZF67" s="10"/>
      <c r="DZG67" s="10"/>
      <c r="DZH67" s="10"/>
      <c r="DZI67" s="10"/>
      <c r="DZJ67" s="10"/>
      <c r="DZK67" s="10"/>
      <c r="DZL67" s="10"/>
      <c r="DZM67" s="10"/>
      <c r="DZN67" s="10"/>
      <c r="DZO67" s="10"/>
      <c r="DZP67" s="10"/>
      <c r="DZQ67" s="10"/>
      <c r="DZR67" s="10"/>
      <c r="DZS67" s="10"/>
      <c r="DZT67" s="10"/>
      <c r="DZU67" s="10"/>
      <c r="DZV67" s="10"/>
      <c r="DZW67" s="10"/>
      <c r="DZX67" s="10"/>
      <c r="DZY67" s="10"/>
      <c r="DZZ67" s="10"/>
      <c r="EAA67" s="10"/>
      <c r="EAB67" s="10"/>
      <c r="EAC67" s="10"/>
      <c r="EAD67" s="10"/>
      <c r="EAE67" s="10"/>
      <c r="EAF67" s="10"/>
      <c r="EAG67" s="10"/>
      <c r="EAH67" s="10"/>
      <c r="EAI67" s="10"/>
      <c r="EAJ67" s="10"/>
      <c r="EAK67" s="10"/>
      <c r="EAL67" s="10"/>
      <c r="EAM67" s="10"/>
      <c r="EAN67" s="10"/>
      <c r="EAO67" s="10"/>
      <c r="EAP67" s="10"/>
      <c r="EAQ67" s="10"/>
      <c r="EAR67" s="10"/>
      <c r="EAS67" s="10"/>
      <c r="EAT67" s="10"/>
      <c r="EAU67" s="10"/>
      <c r="EAV67" s="10"/>
      <c r="EAW67" s="10"/>
      <c r="EAX67" s="10"/>
      <c r="EAY67" s="10"/>
      <c r="EAZ67" s="10"/>
      <c r="EBA67" s="10"/>
      <c r="EBB67" s="10"/>
      <c r="EBC67" s="10"/>
      <c r="EBD67" s="10"/>
      <c r="EBE67" s="10"/>
      <c r="EBF67" s="10"/>
      <c r="EBG67" s="10"/>
      <c r="EBH67" s="10"/>
      <c r="EBI67" s="10"/>
      <c r="EBJ67" s="10"/>
      <c r="EBK67" s="10"/>
      <c r="EBL67" s="10"/>
      <c r="EBM67" s="10"/>
      <c r="EBN67" s="10"/>
      <c r="EBO67" s="10"/>
      <c r="EBP67" s="10"/>
      <c r="EBQ67" s="10"/>
      <c r="EBR67" s="10"/>
      <c r="EBS67" s="10"/>
      <c r="EBT67" s="10"/>
      <c r="EBU67" s="10"/>
      <c r="EBV67" s="10"/>
      <c r="EBW67" s="10"/>
      <c r="EBX67" s="10"/>
      <c r="EBY67" s="10"/>
      <c r="EBZ67" s="10"/>
      <c r="ECA67" s="10"/>
      <c r="ECB67" s="10"/>
      <c r="ECC67" s="10"/>
      <c r="ECD67" s="10"/>
      <c r="ECE67" s="10"/>
      <c r="ECF67" s="10"/>
      <c r="ECG67" s="10"/>
      <c r="ECH67" s="10"/>
      <c r="ECI67" s="10"/>
      <c r="ECJ67" s="10"/>
      <c r="ECK67" s="10"/>
      <c r="ECL67" s="10"/>
      <c r="ECM67" s="10"/>
      <c r="ECN67" s="10"/>
      <c r="ECO67" s="10"/>
      <c r="ECP67" s="10"/>
      <c r="ECQ67" s="10"/>
      <c r="ECR67" s="10"/>
      <c r="ECS67" s="10"/>
      <c r="ECT67" s="10"/>
      <c r="ECU67" s="10"/>
      <c r="ECV67" s="10"/>
      <c r="ECW67" s="10"/>
      <c r="ECX67" s="10"/>
      <c r="ECY67" s="10"/>
      <c r="ECZ67" s="10"/>
      <c r="EDA67" s="10"/>
      <c r="EDB67" s="10"/>
      <c r="EDC67" s="10"/>
      <c r="EDD67" s="10"/>
      <c r="EDE67" s="10"/>
      <c r="EDF67" s="10"/>
      <c r="EDG67" s="10"/>
      <c r="EDH67" s="10"/>
      <c r="EDI67" s="10"/>
      <c r="EDJ67" s="10"/>
      <c r="EDK67" s="10"/>
      <c r="EDL67" s="10"/>
      <c r="EDM67" s="10"/>
      <c r="EDN67" s="10"/>
      <c r="EDO67" s="10"/>
      <c r="EDP67" s="10"/>
      <c r="EDQ67" s="10"/>
      <c r="EDR67" s="10"/>
      <c r="EDS67" s="10"/>
      <c r="EDT67" s="10"/>
      <c r="EDU67" s="10"/>
      <c r="EDV67" s="10"/>
      <c r="EDW67" s="10"/>
      <c r="EDX67" s="10"/>
      <c r="EDY67" s="10"/>
      <c r="EDZ67" s="10"/>
      <c r="EEA67" s="10"/>
      <c r="EEB67" s="10"/>
      <c r="EEC67" s="10"/>
      <c r="EED67" s="10"/>
      <c r="EEE67" s="10"/>
      <c r="EEF67" s="10"/>
      <c r="EEG67" s="10"/>
      <c r="EEH67" s="10"/>
      <c r="EEI67" s="10"/>
      <c r="EEJ67" s="10"/>
      <c r="EEK67" s="10"/>
      <c r="EEL67" s="10"/>
      <c r="EEM67" s="10"/>
      <c r="EEN67" s="10"/>
      <c r="EEO67" s="10"/>
      <c r="EEP67" s="10"/>
      <c r="EEQ67" s="10"/>
      <c r="EER67" s="10"/>
      <c r="EES67" s="10"/>
      <c r="EET67" s="10"/>
      <c r="EEU67" s="10"/>
      <c r="EEV67" s="10"/>
      <c r="EEW67" s="10"/>
      <c r="EEX67" s="10"/>
      <c r="EEY67" s="10"/>
      <c r="EEZ67" s="10"/>
      <c r="EFA67" s="10"/>
      <c r="EFB67" s="10"/>
      <c r="EFC67" s="10"/>
      <c r="EFD67" s="10"/>
      <c r="EFE67" s="10"/>
      <c r="EFF67" s="10"/>
      <c r="EFG67" s="10"/>
      <c r="EFH67" s="10"/>
      <c r="EFI67" s="10"/>
      <c r="EFJ67" s="10"/>
      <c r="EFK67" s="10"/>
      <c r="EFL67" s="10"/>
      <c r="EFM67" s="10"/>
      <c r="EFN67" s="10"/>
      <c r="EFO67" s="10"/>
      <c r="EFP67" s="10"/>
      <c r="EFQ67" s="10"/>
      <c r="EFR67" s="10"/>
      <c r="EFS67" s="10"/>
      <c r="EFT67" s="10"/>
      <c r="EFU67" s="10"/>
      <c r="EFV67" s="10"/>
      <c r="EFW67" s="10"/>
      <c r="EFX67" s="10"/>
      <c r="EFY67" s="10"/>
      <c r="EFZ67" s="10"/>
      <c r="EGA67" s="10"/>
      <c r="EGB67" s="10"/>
      <c r="EGC67" s="10"/>
      <c r="EGD67" s="10"/>
      <c r="EGE67" s="10"/>
      <c r="EGF67" s="10"/>
      <c r="EGG67" s="10"/>
      <c r="EGH67" s="10"/>
      <c r="EGI67" s="10"/>
      <c r="EGJ67" s="10"/>
      <c r="EGK67" s="10"/>
      <c r="EGL67" s="10"/>
      <c r="EGM67" s="10"/>
      <c r="EGN67" s="10"/>
      <c r="EGO67" s="10"/>
      <c r="EGP67" s="10"/>
      <c r="EGQ67" s="10"/>
      <c r="EGR67" s="10"/>
      <c r="EGS67" s="10"/>
      <c r="EGT67" s="10"/>
      <c r="EGU67" s="10"/>
      <c r="EGV67" s="10"/>
      <c r="EGW67" s="10"/>
      <c r="EGX67" s="10"/>
      <c r="EGY67" s="10"/>
      <c r="EGZ67" s="10"/>
      <c r="EHA67" s="10"/>
      <c r="EHB67" s="10"/>
      <c r="EHC67" s="10"/>
      <c r="EHD67" s="10"/>
      <c r="EHE67" s="10"/>
      <c r="EHF67" s="10"/>
      <c r="EHG67" s="10"/>
      <c r="EHH67" s="10"/>
      <c r="EHI67" s="10"/>
      <c r="EHJ67" s="10"/>
      <c r="EHK67" s="10"/>
      <c r="EHL67" s="10"/>
      <c r="EHM67" s="10"/>
      <c r="EHN67" s="10"/>
      <c r="EHO67" s="10"/>
      <c r="EHP67" s="10"/>
      <c r="EHQ67" s="10"/>
      <c r="EHR67" s="10"/>
      <c r="EHS67" s="10"/>
      <c r="EHT67" s="10"/>
      <c r="EHU67" s="10"/>
      <c r="EHV67" s="10"/>
      <c r="EHW67" s="10"/>
      <c r="EHX67" s="10"/>
      <c r="EHY67" s="10"/>
      <c r="EHZ67" s="10"/>
      <c r="EIA67" s="10"/>
      <c r="EIB67" s="10"/>
      <c r="EIC67" s="10"/>
      <c r="EID67" s="10"/>
      <c r="EIE67" s="10"/>
      <c r="EIF67" s="10"/>
      <c r="EIG67" s="10"/>
      <c r="EIH67" s="10"/>
      <c r="EII67" s="10"/>
      <c r="EIJ67" s="10"/>
      <c r="EIK67" s="10"/>
      <c r="EIL67" s="10"/>
      <c r="EIM67" s="10"/>
      <c r="EIN67" s="10"/>
      <c r="EIO67" s="10"/>
      <c r="EIP67" s="10"/>
      <c r="EIQ67" s="10"/>
      <c r="EIR67" s="10"/>
      <c r="EIS67" s="10"/>
      <c r="EIT67" s="10"/>
      <c r="EIU67" s="10"/>
      <c r="EIV67" s="10"/>
      <c r="EIW67" s="10"/>
      <c r="EIX67" s="10"/>
      <c r="EIY67" s="10"/>
      <c r="EIZ67" s="10"/>
      <c r="EJA67" s="10"/>
      <c r="EJB67" s="10"/>
      <c r="EJC67" s="10"/>
      <c r="EJD67" s="10"/>
      <c r="EJE67" s="10"/>
      <c r="EJF67" s="10"/>
      <c r="EJG67" s="10"/>
      <c r="EJH67" s="10"/>
      <c r="EJI67" s="10"/>
      <c r="EJJ67" s="10"/>
      <c r="EJK67" s="10"/>
      <c r="EJL67" s="10"/>
      <c r="EJM67" s="10"/>
      <c r="EJN67" s="10"/>
      <c r="EJO67" s="10"/>
      <c r="EJP67" s="10"/>
      <c r="EJQ67" s="10"/>
      <c r="EJR67" s="10"/>
      <c r="EJS67" s="10"/>
      <c r="EJT67" s="10"/>
      <c r="EJU67" s="10"/>
      <c r="EJV67" s="10"/>
      <c r="EJW67" s="10"/>
      <c r="EJX67" s="10"/>
      <c r="EJY67" s="10"/>
      <c r="EJZ67" s="10"/>
      <c r="EKA67" s="10"/>
      <c r="EKB67" s="10"/>
      <c r="EKC67" s="10"/>
      <c r="EKD67" s="10"/>
      <c r="EKE67" s="10"/>
      <c r="EKF67" s="10"/>
      <c r="EKG67" s="10"/>
      <c r="EKH67" s="10"/>
      <c r="EKI67" s="10"/>
      <c r="EKJ67" s="10"/>
      <c r="EKK67" s="10"/>
      <c r="EKL67" s="10"/>
      <c r="EKM67" s="10"/>
      <c r="EKN67" s="10"/>
      <c r="EKO67" s="10"/>
      <c r="EKP67" s="10"/>
      <c r="EKQ67" s="10"/>
      <c r="EKR67" s="10"/>
      <c r="EKS67" s="10"/>
      <c r="EKT67" s="10"/>
      <c r="EKU67" s="10"/>
      <c r="EKV67" s="10"/>
      <c r="EKW67" s="10"/>
      <c r="EKX67" s="10"/>
      <c r="EKY67" s="10"/>
      <c r="EKZ67" s="10"/>
      <c r="ELA67" s="10"/>
      <c r="ELB67" s="10"/>
      <c r="ELC67" s="10"/>
      <c r="ELD67" s="10"/>
      <c r="ELE67" s="10"/>
      <c r="ELF67" s="10"/>
      <c r="ELG67" s="10"/>
      <c r="ELH67" s="10"/>
      <c r="ELI67" s="10"/>
      <c r="ELJ67" s="10"/>
      <c r="ELK67" s="10"/>
      <c r="ELL67" s="10"/>
      <c r="ELM67" s="10"/>
      <c r="ELN67" s="10"/>
      <c r="ELO67" s="10"/>
      <c r="ELP67" s="10"/>
      <c r="ELQ67" s="10"/>
      <c r="ELR67" s="10"/>
      <c r="ELS67" s="10"/>
      <c r="ELT67" s="10"/>
      <c r="ELU67" s="10"/>
      <c r="ELV67" s="10"/>
      <c r="ELW67" s="10"/>
      <c r="ELX67" s="10"/>
      <c r="ELY67" s="10"/>
      <c r="ELZ67" s="10"/>
      <c r="EMA67" s="10"/>
      <c r="EMB67" s="10"/>
      <c r="EMC67" s="10"/>
      <c r="EMD67" s="10"/>
      <c r="EME67" s="10"/>
      <c r="EMF67" s="10"/>
      <c r="EMG67" s="10"/>
      <c r="EMH67" s="10"/>
      <c r="EMI67" s="10"/>
      <c r="EMJ67" s="10"/>
      <c r="EMK67" s="10"/>
      <c r="EML67" s="10"/>
      <c r="EMM67" s="10"/>
      <c r="EMN67" s="10"/>
      <c r="EMO67" s="10"/>
      <c r="EMP67" s="10"/>
      <c r="EMQ67" s="10"/>
      <c r="EMR67" s="10"/>
      <c r="EMS67" s="10"/>
      <c r="EMT67" s="10"/>
      <c r="EMU67" s="10"/>
      <c r="EMV67" s="10"/>
      <c r="EMW67" s="10"/>
      <c r="EMX67" s="10"/>
      <c r="EMY67" s="10"/>
      <c r="EMZ67" s="10"/>
      <c r="ENA67" s="10"/>
      <c r="ENB67" s="10"/>
      <c r="ENC67" s="10"/>
      <c r="END67" s="10"/>
      <c r="ENE67" s="10"/>
      <c r="ENF67" s="10"/>
      <c r="ENG67" s="10"/>
      <c r="ENH67" s="10"/>
      <c r="ENI67" s="10"/>
      <c r="ENJ67" s="10"/>
      <c r="ENK67" s="10"/>
      <c r="ENL67" s="10"/>
      <c r="ENM67" s="10"/>
      <c r="ENN67" s="10"/>
      <c r="ENO67" s="10"/>
      <c r="ENP67" s="10"/>
      <c r="ENQ67" s="10"/>
      <c r="ENR67" s="10"/>
      <c r="ENS67" s="10"/>
      <c r="ENT67" s="10"/>
      <c r="ENU67" s="10"/>
      <c r="ENV67" s="10"/>
      <c r="ENW67" s="10"/>
      <c r="ENX67" s="10"/>
      <c r="ENY67" s="10"/>
      <c r="ENZ67" s="10"/>
      <c r="EOA67" s="10"/>
      <c r="EOB67" s="10"/>
      <c r="EOC67" s="10"/>
      <c r="EOD67" s="10"/>
      <c r="EOE67" s="10"/>
      <c r="EOF67" s="10"/>
      <c r="EOG67" s="10"/>
      <c r="EOH67" s="10"/>
      <c r="EOI67" s="10"/>
      <c r="EOJ67" s="10"/>
      <c r="EOK67" s="10"/>
      <c r="EOL67" s="10"/>
      <c r="EOM67" s="10"/>
      <c r="EON67" s="10"/>
      <c r="EOO67" s="10"/>
      <c r="EOP67" s="10"/>
      <c r="EOQ67" s="10"/>
      <c r="EOR67" s="10"/>
      <c r="EOS67" s="10"/>
      <c r="EOT67" s="10"/>
      <c r="EOU67" s="10"/>
      <c r="EOV67" s="10"/>
      <c r="EOW67" s="10"/>
      <c r="EOX67" s="10"/>
      <c r="EOY67" s="10"/>
      <c r="EOZ67" s="10"/>
      <c r="EPA67" s="10"/>
      <c r="EPB67" s="10"/>
      <c r="EPC67" s="10"/>
      <c r="EPD67" s="10"/>
      <c r="EPE67" s="10"/>
      <c r="EPF67" s="10"/>
      <c r="EPG67" s="10"/>
      <c r="EPH67" s="10"/>
      <c r="EPI67" s="10"/>
      <c r="EPJ67" s="10"/>
      <c r="EPK67" s="10"/>
      <c r="EPL67" s="10"/>
      <c r="EPM67" s="10"/>
      <c r="EPN67" s="10"/>
      <c r="EPO67" s="10"/>
      <c r="EPP67" s="10"/>
      <c r="EPQ67" s="10"/>
      <c r="EPR67" s="10"/>
      <c r="EPS67" s="10"/>
      <c r="EPT67" s="10"/>
      <c r="EPU67" s="10"/>
      <c r="EPV67" s="10"/>
      <c r="EPW67" s="10"/>
      <c r="EPX67" s="10"/>
      <c r="EPY67" s="10"/>
      <c r="EPZ67" s="10"/>
      <c r="EQA67" s="10"/>
      <c r="EQB67" s="10"/>
      <c r="EQC67" s="10"/>
      <c r="EQD67" s="10"/>
      <c r="EQE67" s="10"/>
      <c r="EQF67" s="10"/>
      <c r="EQG67" s="10"/>
      <c r="EQH67" s="10"/>
      <c r="EQI67" s="10"/>
      <c r="EQJ67" s="10"/>
      <c r="EQK67" s="10"/>
      <c r="EQL67" s="10"/>
      <c r="EQM67" s="10"/>
      <c r="EQN67" s="10"/>
      <c r="EQO67" s="10"/>
      <c r="EQP67" s="10"/>
      <c r="EQQ67" s="10"/>
      <c r="EQR67" s="10"/>
      <c r="EQS67" s="10"/>
      <c r="EQT67" s="10"/>
      <c r="EQU67" s="10"/>
      <c r="EQV67" s="10"/>
      <c r="EQW67" s="10"/>
      <c r="EQX67" s="10"/>
      <c r="EQY67" s="10"/>
      <c r="EQZ67" s="10"/>
      <c r="ERA67" s="10"/>
      <c r="ERB67" s="10"/>
      <c r="ERC67" s="10"/>
      <c r="ERD67" s="10"/>
      <c r="ERE67" s="10"/>
      <c r="ERF67" s="10"/>
      <c r="ERG67" s="10"/>
      <c r="ERH67" s="10"/>
      <c r="ERI67" s="10"/>
      <c r="ERJ67" s="10"/>
      <c r="ERK67" s="10"/>
      <c r="ERL67" s="10"/>
      <c r="ERM67" s="10"/>
      <c r="ERN67" s="10"/>
      <c r="ERO67" s="10"/>
      <c r="ERP67" s="10"/>
      <c r="ERQ67" s="10"/>
      <c r="ERR67" s="10"/>
      <c r="ERS67" s="10"/>
      <c r="ERT67" s="10"/>
      <c r="ERU67" s="10"/>
      <c r="ERV67" s="10"/>
      <c r="ERW67" s="10"/>
      <c r="ERX67" s="10"/>
      <c r="ERY67" s="10"/>
      <c r="ERZ67" s="10"/>
      <c r="ESA67" s="10"/>
      <c r="ESB67" s="10"/>
      <c r="ESC67" s="10"/>
      <c r="ESD67" s="10"/>
      <c r="ESE67" s="10"/>
      <c r="ESF67" s="10"/>
      <c r="ESG67" s="10"/>
      <c r="ESH67" s="10"/>
      <c r="ESI67" s="10"/>
      <c r="ESJ67" s="10"/>
      <c r="ESK67" s="10"/>
      <c r="ESL67" s="10"/>
      <c r="ESM67" s="10"/>
      <c r="ESN67" s="10"/>
      <c r="ESO67" s="10"/>
      <c r="ESP67" s="10"/>
      <c r="ESQ67" s="10"/>
      <c r="ESR67" s="10"/>
      <c r="ESS67" s="10"/>
      <c r="EST67" s="10"/>
      <c r="ESU67" s="10"/>
      <c r="ESV67" s="10"/>
      <c r="ESW67" s="10"/>
      <c r="ESX67" s="10"/>
      <c r="ESY67" s="10"/>
      <c r="ESZ67" s="10"/>
      <c r="ETA67" s="10"/>
      <c r="ETB67" s="10"/>
      <c r="ETC67" s="10"/>
      <c r="ETD67" s="10"/>
      <c r="ETE67" s="10"/>
      <c r="ETF67" s="10"/>
      <c r="ETG67" s="10"/>
      <c r="ETH67" s="10"/>
      <c r="ETI67" s="10"/>
      <c r="ETJ67" s="10"/>
      <c r="ETK67" s="10"/>
      <c r="ETL67" s="10"/>
      <c r="ETM67" s="10"/>
      <c r="ETN67" s="10"/>
      <c r="ETO67" s="10"/>
      <c r="ETP67" s="10"/>
      <c r="ETQ67" s="10"/>
      <c r="ETR67" s="10"/>
      <c r="ETS67" s="10"/>
      <c r="ETT67" s="10"/>
      <c r="ETU67" s="10"/>
      <c r="ETV67" s="10"/>
      <c r="ETW67" s="10"/>
      <c r="ETX67" s="10"/>
      <c r="ETY67" s="10"/>
      <c r="ETZ67" s="10"/>
      <c r="EUA67" s="10"/>
      <c r="EUB67" s="10"/>
      <c r="EUC67" s="10"/>
      <c r="EUD67" s="10"/>
      <c r="EUE67" s="10"/>
      <c r="EUF67" s="10"/>
      <c r="EUG67" s="10"/>
      <c r="EUH67" s="10"/>
      <c r="EUI67" s="10"/>
      <c r="EUJ67" s="10"/>
      <c r="EUK67" s="10"/>
      <c r="EUL67" s="10"/>
      <c r="EUM67" s="10"/>
      <c r="EUN67" s="10"/>
      <c r="EUO67" s="10"/>
      <c r="EUP67" s="10"/>
      <c r="EUQ67" s="10"/>
      <c r="EUR67" s="10"/>
      <c r="EUS67" s="10"/>
      <c r="EUT67" s="10"/>
      <c r="EUU67" s="10"/>
      <c r="EUV67" s="10"/>
      <c r="EUW67" s="10"/>
      <c r="EUX67" s="10"/>
      <c r="EUY67" s="10"/>
      <c r="EUZ67" s="10"/>
      <c r="EVA67" s="10"/>
      <c r="EVB67" s="10"/>
      <c r="EVC67" s="10"/>
      <c r="EVD67" s="10"/>
      <c r="EVE67" s="10"/>
      <c r="EVF67" s="10"/>
      <c r="EVG67" s="10"/>
      <c r="EVH67" s="10"/>
      <c r="EVI67" s="10"/>
      <c r="EVJ67" s="10"/>
      <c r="EVK67" s="10"/>
      <c r="EVL67" s="10"/>
      <c r="EVM67" s="10"/>
      <c r="EVN67" s="10"/>
      <c r="EVO67" s="10"/>
      <c r="EVP67" s="10"/>
      <c r="EVQ67" s="10"/>
      <c r="EVR67" s="10"/>
      <c r="EVS67" s="10"/>
      <c r="EVT67" s="10"/>
      <c r="EVU67" s="10"/>
      <c r="EVV67" s="10"/>
      <c r="EVW67" s="10"/>
      <c r="EVX67" s="10"/>
      <c r="EVY67" s="10"/>
      <c r="EVZ67" s="10"/>
      <c r="EWA67" s="10"/>
      <c r="EWB67" s="10"/>
      <c r="EWC67" s="10"/>
      <c r="EWD67" s="10"/>
      <c r="EWE67" s="10"/>
      <c r="EWF67" s="10"/>
      <c r="EWG67" s="10"/>
      <c r="EWH67" s="10"/>
      <c r="EWI67" s="10"/>
      <c r="EWJ67" s="10"/>
      <c r="EWK67" s="10"/>
      <c r="EWL67" s="10"/>
      <c r="EWM67" s="10"/>
      <c r="EWN67" s="10"/>
      <c r="EWO67" s="10"/>
      <c r="EWP67" s="10"/>
      <c r="EWQ67" s="10"/>
      <c r="EWR67" s="10"/>
      <c r="EWS67" s="10"/>
      <c r="EWT67" s="10"/>
      <c r="EWU67" s="10"/>
      <c r="EWV67" s="10"/>
      <c r="EWW67" s="10"/>
      <c r="EWX67" s="10"/>
      <c r="EWY67" s="10"/>
      <c r="EWZ67" s="10"/>
      <c r="EXA67" s="10"/>
      <c r="EXB67" s="10"/>
      <c r="EXC67" s="10"/>
      <c r="EXD67" s="10"/>
      <c r="EXE67" s="10"/>
      <c r="EXF67" s="10"/>
      <c r="EXG67" s="10"/>
      <c r="EXH67" s="10"/>
      <c r="EXI67" s="10"/>
      <c r="EXJ67" s="10"/>
      <c r="EXK67" s="10"/>
      <c r="EXL67" s="10"/>
      <c r="EXM67" s="10"/>
      <c r="EXN67" s="10"/>
      <c r="EXO67" s="10"/>
      <c r="EXP67" s="10"/>
      <c r="EXQ67" s="10"/>
      <c r="EXR67" s="10"/>
      <c r="EXS67" s="10"/>
      <c r="EXT67" s="10"/>
      <c r="EXU67" s="10"/>
      <c r="EXV67" s="10"/>
      <c r="EXW67" s="10"/>
      <c r="EXX67" s="10"/>
      <c r="EXY67" s="10"/>
      <c r="EXZ67" s="10"/>
      <c r="EYA67" s="10"/>
      <c r="EYB67" s="10"/>
      <c r="EYC67" s="10"/>
      <c r="EYD67" s="10"/>
      <c r="EYE67" s="10"/>
      <c r="EYF67" s="10"/>
      <c r="EYG67" s="10"/>
      <c r="EYH67" s="10"/>
      <c r="EYI67" s="10"/>
      <c r="EYJ67" s="10"/>
      <c r="EYK67" s="10"/>
      <c r="EYL67" s="10"/>
      <c r="EYM67" s="10"/>
      <c r="EYN67" s="10"/>
      <c r="EYO67" s="10"/>
      <c r="EYP67" s="10"/>
      <c r="EYQ67" s="10"/>
      <c r="EYR67" s="10"/>
      <c r="EYS67" s="10"/>
      <c r="EYT67" s="10"/>
      <c r="EYU67" s="10"/>
      <c r="EYV67" s="10"/>
      <c r="EYW67" s="10"/>
      <c r="EYX67" s="10"/>
      <c r="EYY67" s="10"/>
      <c r="EYZ67" s="10"/>
      <c r="EZA67" s="10"/>
      <c r="EZB67" s="10"/>
      <c r="EZC67" s="10"/>
      <c r="EZD67" s="10"/>
      <c r="EZE67" s="10"/>
      <c r="EZF67" s="10"/>
      <c r="EZG67" s="10"/>
      <c r="EZH67" s="10"/>
      <c r="EZI67" s="10"/>
      <c r="EZJ67" s="10"/>
      <c r="EZK67" s="10"/>
      <c r="EZL67" s="10"/>
      <c r="EZM67" s="10"/>
      <c r="EZN67" s="10"/>
      <c r="EZO67" s="10"/>
      <c r="EZP67" s="10"/>
      <c r="EZQ67" s="10"/>
      <c r="EZR67" s="10"/>
      <c r="EZS67" s="10"/>
      <c r="EZT67" s="10"/>
      <c r="EZU67" s="10"/>
      <c r="EZV67" s="10"/>
      <c r="EZW67" s="10"/>
      <c r="EZX67" s="10"/>
      <c r="EZY67" s="10"/>
      <c r="EZZ67" s="10"/>
      <c r="FAA67" s="10"/>
      <c r="FAB67" s="10"/>
      <c r="FAC67" s="10"/>
      <c r="FAD67" s="10"/>
      <c r="FAE67" s="10"/>
      <c r="FAF67" s="10"/>
      <c r="FAG67" s="10"/>
      <c r="FAH67" s="10"/>
      <c r="FAI67" s="10"/>
      <c r="FAJ67" s="10"/>
      <c r="FAK67" s="10"/>
      <c r="FAL67" s="10"/>
      <c r="FAM67" s="10"/>
      <c r="FAN67" s="10"/>
      <c r="FAO67" s="10"/>
      <c r="FAP67" s="10"/>
      <c r="FAQ67" s="10"/>
      <c r="FAR67" s="10"/>
      <c r="FAS67" s="10"/>
      <c r="FAT67" s="10"/>
      <c r="FAU67" s="10"/>
      <c r="FAV67" s="10"/>
      <c r="FAW67" s="10"/>
      <c r="FAX67" s="10"/>
      <c r="FAY67" s="10"/>
      <c r="FAZ67" s="10"/>
      <c r="FBA67" s="10"/>
      <c r="FBB67" s="10"/>
      <c r="FBC67" s="10"/>
      <c r="FBD67" s="10"/>
      <c r="FBE67" s="10"/>
      <c r="FBF67" s="10"/>
      <c r="FBG67" s="10"/>
      <c r="FBH67" s="10"/>
      <c r="FBI67" s="10"/>
      <c r="FBJ67" s="10"/>
      <c r="FBK67" s="10"/>
      <c r="FBL67" s="10"/>
      <c r="FBM67" s="10"/>
      <c r="FBN67" s="10"/>
      <c r="FBO67" s="10"/>
      <c r="FBP67" s="10"/>
      <c r="FBQ67" s="10"/>
      <c r="FBR67" s="10"/>
      <c r="FBS67" s="10"/>
      <c r="FBT67" s="10"/>
      <c r="FBU67" s="10"/>
      <c r="FBV67" s="10"/>
      <c r="FBW67" s="10"/>
      <c r="FBX67" s="10"/>
      <c r="FBY67" s="10"/>
      <c r="FBZ67" s="10"/>
      <c r="FCA67" s="10"/>
      <c r="FCB67" s="10"/>
      <c r="FCC67" s="10"/>
      <c r="FCD67" s="10"/>
      <c r="FCE67" s="10"/>
      <c r="FCF67" s="10"/>
      <c r="FCG67" s="10"/>
      <c r="FCH67" s="10"/>
      <c r="FCI67" s="10"/>
      <c r="FCJ67" s="10"/>
      <c r="FCK67" s="10"/>
      <c r="FCL67" s="10"/>
      <c r="FCM67" s="10"/>
      <c r="FCN67" s="10"/>
      <c r="FCO67" s="10"/>
      <c r="FCP67" s="10"/>
      <c r="FCQ67" s="10"/>
      <c r="FCR67" s="10"/>
      <c r="FCS67" s="10"/>
      <c r="FCT67" s="10"/>
      <c r="FCU67" s="10"/>
      <c r="FCV67" s="10"/>
      <c r="FCW67" s="10"/>
      <c r="FCX67" s="10"/>
      <c r="FCY67" s="10"/>
      <c r="FCZ67" s="10"/>
      <c r="FDA67" s="10"/>
      <c r="FDB67" s="10"/>
      <c r="FDC67" s="10"/>
      <c r="FDD67" s="10"/>
      <c r="FDE67" s="10"/>
      <c r="FDF67" s="10"/>
      <c r="FDG67" s="10"/>
      <c r="FDH67" s="10"/>
      <c r="FDI67" s="10"/>
      <c r="FDJ67" s="10"/>
      <c r="FDK67" s="10"/>
      <c r="FDL67" s="10"/>
      <c r="FDM67" s="10"/>
      <c r="FDN67" s="10"/>
      <c r="FDO67" s="10"/>
      <c r="FDP67" s="10"/>
      <c r="FDQ67" s="10"/>
      <c r="FDR67" s="10"/>
      <c r="FDS67" s="10"/>
      <c r="FDT67" s="10"/>
      <c r="FDU67" s="10"/>
      <c r="FDV67" s="10"/>
      <c r="FDW67" s="10"/>
      <c r="FDX67" s="10"/>
      <c r="FDY67" s="10"/>
      <c r="FDZ67" s="10"/>
      <c r="FEA67" s="10"/>
      <c r="FEB67" s="10"/>
      <c r="FEC67" s="10"/>
      <c r="FED67" s="10"/>
      <c r="FEE67" s="10"/>
      <c r="FEF67" s="10"/>
      <c r="FEG67" s="10"/>
      <c r="FEH67" s="10"/>
      <c r="FEI67" s="10"/>
      <c r="FEJ67" s="10"/>
      <c r="FEK67" s="10"/>
      <c r="FEL67" s="10"/>
      <c r="FEM67" s="10"/>
      <c r="FEN67" s="10"/>
      <c r="FEO67" s="10"/>
      <c r="FEP67" s="10"/>
      <c r="FEQ67" s="10"/>
      <c r="FER67" s="10"/>
      <c r="FES67" s="10"/>
      <c r="FET67" s="10"/>
      <c r="FEU67" s="10"/>
      <c r="FEV67" s="10"/>
      <c r="FEW67" s="10"/>
      <c r="FEX67" s="10"/>
      <c r="FEY67" s="10"/>
      <c r="FEZ67" s="10"/>
      <c r="FFA67" s="10"/>
      <c r="FFB67" s="10"/>
      <c r="FFC67" s="10"/>
      <c r="FFD67" s="10"/>
      <c r="FFE67" s="10"/>
      <c r="FFF67" s="10"/>
      <c r="FFG67" s="10"/>
      <c r="FFH67" s="10"/>
      <c r="FFI67" s="10"/>
      <c r="FFJ67" s="10"/>
      <c r="FFK67" s="10"/>
      <c r="FFL67" s="10"/>
      <c r="FFM67" s="10"/>
      <c r="FFN67" s="10"/>
      <c r="FFO67" s="10"/>
      <c r="FFP67" s="10"/>
      <c r="FFQ67" s="10"/>
      <c r="FFR67" s="10"/>
      <c r="FFS67" s="10"/>
      <c r="FFT67" s="10"/>
      <c r="FFU67" s="10"/>
      <c r="FFV67" s="10"/>
      <c r="FFW67" s="10"/>
      <c r="FFX67" s="10"/>
      <c r="FFY67" s="10"/>
      <c r="FFZ67" s="10"/>
      <c r="FGA67" s="10"/>
      <c r="FGB67" s="10"/>
      <c r="FGC67" s="10"/>
      <c r="FGD67" s="10"/>
      <c r="FGE67" s="10"/>
      <c r="FGF67" s="10"/>
      <c r="FGG67" s="10"/>
      <c r="FGH67" s="10"/>
      <c r="FGI67" s="10"/>
      <c r="FGJ67" s="10"/>
      <c r="FGK67" s="10"/>
      <c r="FGL67" s="10"/>
      <c r="FGM67" s="10"/>
      <c r="FGN67" s="10"/>
      <c r="FGO67" s="10"/>
      <c r="FGP67" s="10"/>
      <c r="FGQ67" s="10"/>
      <c r="FGR67" s="10"/>
      <c r="FGS67" s="10"/>
      <c r="FGT67" s="10"/>
      <c r="FGU67" s="10"/>
      <c r="FGV67" s="10"/>
      <c r="FGW67" s="10"/>
      <c r="FGX67" s="10"/>
      <c r="FGY67" s="10"/>
      <c r="FGZ67" s="10"/>
      <c r="FHA67" s="10"/>
      <c r="FHB67" s="10"/>
      <c r="FHC67" s="10"/>
      <c r="FHD67" s="10"/>
      <c r="FHE67" s="10"/>
      <c r="FHF67" s="10"/>
      <c r="FHG67" s="10"/>
      <c r="FHH67" s="10"/>
      <c r="FHI67" s="10"/>
      <c r="FHJ67" s="10"/>
      <c r="FHK67" s="10"/>
      <c r="FHL67" s="10"/>
      <c r="FHM67" s="10"/>
      <c r="FHN67" s="10"/>
      <c r="FHO67" s="10"/>
      <c r="FHP67" s="10"/>
      <c r="FHQ67" s="10"/>
      <c r="FHR67" s="10"/>
      <c r="FHS67" s="10"/>
      <c r="FHT67" s="10"/>
      <c r="FHU67" s="10"/>
      <c r="FHV67" s="10"/>
      <c r="FHW67" s="10"/>
      <c r="FHX67" s="10"/>
      <c r="FHY67" s="10"/>
      <c r="FHZ67" s="10"/>
      <c r="FIA67" s="10"/>
      <c r="FIB67" s="10"/>
      <c r="FIC67" s="10"/>
      <c r="FID67" s="10"/>
      <c r="FIE67" s="10"/>
      <c r="FIF67" s="10"/>
      <c r="FIG67" s="10"/>
      <c r="FIH67" s="10"/>
      <c r="FII67" s="10"/>
      <c r="FIJ67" s="10"/>
      <c r="FIK67" s="10"/>
      <c r="FIL67" s="10"/>
      <c r="FIM67" s="10"/>
      <c r="FIN67" s="10"/>
      <c r="FIO67" s="10"/>
      <c r="FIP67" s="10"/>
      <c r="FIQ67" s="10"/>
      <c r="FIR67" s="10"/>
      <c r="FIS67" s="10"/>
      <c r="FIT67" s="10"/>
      <c r="FIU67" s="10"/>
      <c r="FIV67" s="10"/>
      <c r="FIW67" s="10"/>
      <c r="FIX67" s="10"/>
      <c r="FIY67" s="10"/>
      <c r="FIZ67" s="10"/>
      <c r="FJA67" s="10"/>
      <c r="FJB67" s="10"/>
      <c r="FJC67" s="10"/>
      <c r="FJD67" s="10"/>
      <c r="FJE67" s="10"/>
      <c r="FJF67" s="10"/>
      <c r="FJG67" s="10"/>
      <c r="FJH67" s="10"/>
      <c r="FJI67" s="10"/>
      <c r="FJJ67" s="10"/>
      <c r="FJK67" s="10"/>
      <c r="FJL67" s="10"/>
      <c r="FJM67" s="10"/>
      <c r="FJN67" s="10"/>
      <c r="FJO67" s="10"/>
      <c r="FJP67" s="10"/>
      <c r="FJQ67" s="10"/>
      <c r="FJR67" s="10"/>
      <c r="FJS67" s="10"/>
      <c r="FJT67" s="10"/>
      <c r="FJU67" s="10"/>
      <c r="FJV67" s="10"/>
      <c r="FJW67" s="10"/>
      <c r="FJX67" s="10"/>
      <c r="FJY67" s="10"/>
      <c r="FJZ67" s="10"/>
      <c r="FKA67" s="10"/>
      <c r="FKB67" s="10"/>
      <c r="FKC67" s="10"/>
      <c r="FKD67" s="10"/>
      <c r="FKE67" s="10"/>
      <c r="FKF67" s="10"/>
      <c r="FKG67" s="10"/>
      <c r="FKH67" s="10"/>
      <c r="FKI67" s="10"/>
      <c r="FKJ67" s="10"/>
      <c r="FKK67" s="10"/>
      <c r="FKL67" s="10"/>
      <c r="FKM67" s="10"/>
      <c r="FKN67" s="10"/>
      <c r="FKO67" s="10"/>
      <c r="FKP67" s="10"/>
      <c r="FKQ67" s="10"/>
      <c r="FKR67" s="10"/>
      <c r="FKS67" s="10"/>
      <c r="FKT67" s="10"/>
      <c r="FKU67" s="10"/>
      <c r="FKV67" s="10"/>
      <c r="FKW67" s="10"/>
      <c r="FKX67" s="10"/>
      <c r="FKY67" s="10"/>
      <c r="FKZ67" s="10"/>
      <c r="FLA67" s="10"/>
      <c r="FLB67" s="10"/>
      <c r="FLC67" s="10"/>
      <c r="FLD67" s="10"/>
      <c r="FLE67" s="10"/>
      <c r="FLF67" s="10"/>
      <c r="FLG67" s="10"/>
      <c r="FLH67" s="10"/>
      <c r="FLI67" s="10"/>
      <c r="FLJ67" s="10"/>
      <c r="FLK67" s="10"/>
      <c r="FLL67" s="10"/>
      <c r="FLM67" s="10"/>
      <c r="FLN67" s="10"/>
      <c r="FLO67" s="10"/>
      <c r="FLP67" s="10"/>
      <c r="FLQ67" s="10"/>
      <c r="FLR67" s="10"/>
      <c r="FLS67" s="10"/>
      <c r="FLT67" s="10"/>
      <c r="FLU67" s="10"/>
      <c r="FLV67" s="10"/>
      <c r="FLW67" s="10"/>
      <c r="FLX67" s="10"/>
      <c r="FLY67" s="10"/>
      <c r="FLZ67" s="10"/>
      <c r="FMA67" s="10"/>
      <c r="FMB67" s="10"/>
      <c r="FMC67" s="10"/>
      <c r="FMD67" s="10"/>
      <c r="FME67" s="10"/>
      <c r="FMF67" s="10"/>
      <c r="FMG67" s="10"/>
      <c r="FMH67" s="10"/>
      <c r="FMI67" s="10"/>
      <c r="FMJ67" s="10"/>
      <c r="FMK67" s="10"/>
      <c r="FML67" s="10"/>
      <c r="FMM67" s="10"/>
      <c r="FMN67" s="10"/>
      <c r="FMO67" s="10"/>
      <c r="FMP67" s="10"/>
      <c r="FMQ67" s="10"/>
      <c r="FMR67" s="10"/>
      <c r="FMS67" s="10"/>
      <c r="FMT67" s="10"/>
      <c r="FMU67" s="10"/>
      <c r="FMV67" s="10"/>
      <c r="FMW67" s="10"/>
      <c r="FMX67" s="10"/>
      <c r="FMY67" s="10"/>
      <c r="FMZ67" s="10"/>
      <c r="FNA67" s="10"/>
      <c r="FNB67" s="10"/>
      <c r="FNC67" s="10"/>
      <c r="FND67" s="10"/>
      <c r="FNE67" s="10"/>
      <c r="FNF67" s="10"/>
      <c r="FNG67" s="10"/>
      <c r="FNH67" s="10"/>
      <c r="FNI67" s="10"/>
      <c r="FNJ67" s="10"/>
      <c r="FNK67" s="10"/>
      <c r="FNL67" s="10"/>
      <c r="FNM67" s="10"/>
      <c r="FNN67" s="10"/>
      <c r="FNO67" s="10"/>
      <c r="FNP67" s="10"/>
      <c r="FNQ67" s="10"/>
      <c r="FNR67" s="10"/>
      <c r="FNS67" s="10"/>
      <c r="FNT67" s="10"/>
      <c r="FNU67" s="10"/>
      <c r="FNV67" s="10"/>
      <c r="FNW67" s="10"/>
      <c r="FNX67" s="10"/>
      <c r="FNY67" s="10"/>
      <c r="FNZ67" s="10"/>
      <c r="FOA67" s="10"/>
      <c r="FOB67" s="10"/>
      <c r="FOC67" s="10"/>
      <c r="FOD67" s="10"/>
      <c r="FOE67" s="10"/>
      <c r="FOF67" s="10"/>
      <c r="FOG67" s="10"/>
      <c r="FOH67" s="10"/>
      <c r="FOI67" s="10"/>
      <c r="FOJ67" s="10"/>
      <c r="FOK67" s="10"/>
      <c r="FOL67" s="10"/>
      <c r="FOM67" s="10"/>
      <c r="FON67" s="10"/>
      <c r="FOO67" s="10"/>
      <c r="FOP67" s="10"/>
      <c r="FOQ67" s="10"/>
      <c r="FOR67" s="10"/>
      <c r="FOS67" s="10"/>
      <c r="FOT67" s="10"/>
      <c r="FOU67" s="10"/>
      <c r="FOV67" s="10"/>
      <c r="FOW67" s="10"/>
      <c r="FOX67" s="10"/>
      <c r="FOY67" s="10"/>
      <c r="FOZ67" s="10"/>
      <c r="FPA67" s="10"/>
      <c r="FPB67" s="10"/>
      <c r="FPC67" s="10"/>
      <c r="FPD67" s="10"/>
      <c r="FPE67" s="10"/>
      <c r="FPF67" s="10"/>
      <c r="FPG67" s="10"/>
      <c r="FPH67" s="10"/>
      <c r="FPI67" s="10"/>
      <c r="FPJ67" s="10"/>
      <c r="FPK67" s="10"/>
      <c r="FPL67" s="10"/>
      <c r="FPM67" s="10"/>
      <c r="FPN67" s="10"/>
      <c r="FPO67" s="10"/>
      <c r="FPP67" s="10"/>
      <c r="FPQ67" s="10"/>
      <c r="FPR67" s="10"/>
      <c r="FPS67" s="10"/>
      <c r="FPT67" s="10"/>
      <c r="FPU67" s="10"/>
      <c r="FPV67" s="10"/>
      <c r="FPW67" s="10"/>
      <c r="FPX67" s="10"/>
      <c r="FPY67" s="10"/>
      <c r="FPZ67" s="10"/>
      <c r="FQA67" s="10"/>
      <c r="FQB67" s="10"/>
      <c r="FQC67" s="10"/>
      <c r="FQD67" s="10"/>
      <c r="FQE67" s="10"/>
      <c r="FQF67" s="10"/>
      <c r="FQG67" s="10"/>
      <c r="FQH67" s="10"/>
      <c r="FQI67" s="10"/>
      <c r="FQJ67" s="10"/>
      <c r="FQK67" s="10"/>
      <c r="FQL67" s="10"/>
      <c r="FQM67" s="10"/>
      <c r="FQN67" s="10"/>
      <c r="FQO67" s="10"/>
      <c r="FQP67" s="10"/>
      <c r="FQQ67" s="10"/>
      <c r="FQR67" s="10"/>
      <c r="FQS67" s="10"/>
      <c r="FQT67" s="10"/>
      <c r="FQU67" s="10"/>
      <c r="FQV67" s="10"/>
      <c r="FQW67" s="10"/>
      <c r="FQX67" s="10"/>
      <c r="FQY67" s="10"/>
      <c r="FQZ67" s="10"/>
      <c r="FRA67" s="10"/>
      <c r="FRB67" s="10"/>
      <c r="FRC67" s="10"/>
      <c r="FRD67" s="10"/>
      <c r="FRE67" s="10"/>
      <c r="FRF67" s="10"/>
      <c r="FRG67" s="10"/>
      <c r="FRH67" s="10"/>
      <c r="FRI67" s="10"/>
      <c r="FRJ67" s="10"/>
      <c r="FRK67" s="10"/>
      <c r="FRL67" s="10"/>
      <c r="FRM67" s="10"/>
      <c r="FRN67" s="10"/>
      <c r="FRO67" s="10"/>
      <c r="FRP67" s="10"/>
      <c r="FRQ67" s="10"/>
      <c r="FRR67" s="10"/>
      <c r="FRS67" s="10"/>
      <c r="FRT67" s="10"/>
      <c r="FRU67" s="10"/>
      <c r="FRV67" s="10"/>
      <c r="FRW67" s="10"/>
      <c r="FRX67" s="10"/>
      <c r="FRY67" s="10"/>
      <c r="FRZ67" s="10"/>
      <c r="FSA67" s="10"/>
      <c r="FSB67" s="10"/>
      <c r="FSC67" s="10"/>
      <c r="FSD67" s="10"/>
      <c r="FSE67" s="10"/>
      <c r="FSF67" s="10"/>
      <c r="FSG67" s="10"/>
      <c r="FSH67" s="10"/>
      <c r="FSI67" s="10"/>
      <c r="FSJ67" s="10"/>
      <c r="FSK67" s="10"/>
      <c r="FSL67" s="10"/>
      <c r="FSM67" s="10"/>
      <c r="FSN67" s="10"/>
      <c r="FSO67" s="10"/>
      <c r="FSP67" s="10"/>
      <c r="FSQ67" s="10"/>
      <c r="FSR67" s="10"/>
      <c r="FSS67" s="10"/>
      <c r="FST67" s="10"/>
      <c r="FSU67" s="10"/>
      <c r="FSV67" s="10"/>
      <c r="FSW67" s="10"/>
      <c r="FSX67" s="10"/>
      <c r="FSY67" s="10"/>
      <c r="FSZ67" s="10"/>
      <c r="FTA67" s="10"/>
      <c r="FTB67" s="10"/>
      <c r="FTC67" s="10"/>
      <c r="FTD67" s="10"/>
      <c r="FTE67" s="10"/>
      <c r="FTF67" s="10"/>
      <c r="FTG67" s="10"/>
      <c r="FTH67" s="10"/>
      <c r="FTI67" s="10"/>
      <c r="FTJ67" s="10"/>
      <c r="FTK67" s="10"/>
      <c r="FTL67" s="10"/>
      <c r="FTM67" s="10"/>
      <c r="FTN67" s="10"/>
      <c r="FTO67" s="10"/>
      <c r="FTP67" s="10"/>
      <c r="FTQ67" s="10"/>
      <c r="FTR67" s="10"/>
      <c r="FTS67" s="10"/>
      <c r="FTT67" s="10"/>
      <c r="FTU67" s="10"/>
      <c r="FTV67" s="10"/>
      <c r="FTW67" s="10"/>
      <c r="FTX67" s="10"/>
      <c r="FTY67" s="10"/>
      <c r="FTZ67" s="10"/>
      <c r="FUA67" s="10"/>
      <c r="FUB67" s="10"/>
      <c r="FUC67" s="10"/>
      <c r="FUD67" s="10"/>
      <c r="FUE67" s="10"/>
      <c r="FUF67" s="10"/>
      <c r="FUG67" s="10"/>
      <c r="FUH67" s="10"/>
      <c r="FUI67" s="10"/>
      <c r="FUJ67" s="10"/>
      <c r="FUK67" s="10"/>
      <c r="FUL67" s="10"/>
      <c r="FUM67" s="10"/>
      <c r="FUN67" s="10"/>
      <c r="FUO67" s="10"/>
      <c r="FUP67" s="10"/>
      <c r="FUQ67" s="10"/>
      <c r="FUR67" s="10"/>
      <c r="FUS67" s="10"/>
      <c r="FUT67" s="10"/>
      <c r="FUU67" s="10"/>
      <c r="FUV67" s="10"/>
      <c r="FUW67" s="10"/>
      <c r="FUX67" s="10"/>
      <c r="FUY67" s="10"/>
      <c r="FUZ67" s="10"/>
      <c r="FVA67" s="10"/>
      <c r="FVB67" s="10"/>
      <c r="FVC67" s="10"/>
      <c r="FVD67" s="10"/>
      <c r="FVE67" s="10"/>
      <c r="FVF67" s="10"/>
      <c r="FVG67" s="10"/>
      <c r="FVH67" s="10"/>
      <c r="FVI67" s="10"/>
      <c r="FVJ67" s="10"/>
      <c r="FVK67" s="10"/>
      <c r="FVL67" s="10"/>
      <c r="FVM67" s="10"/>
      <c r="FVN67" s="10"/>
      <c r="FVO67" s="10"/>
      <c r="FVP67" s="10"/>
      <c r="FVQ67" s="10"/>
      <c r="FVR67" s="10"/>
      <c r="FVS67" s="10"/>
      <c r="FVT67" s="10"/>
      <c r="FVU67" s="10"/>
      <c r="FVV67" s="10"/>
      <c r="FVW67" s="10"/>
      <c r="FVX67" s="10"/>
      <c r="FVY67" s="10"/>
      <c r="FVZ67" s="10"/>
      <c r="FWA67" s="10"/>
      <c r="FWB67" s="10"/>
      <c r="FWC67" s="10"/>
      <c r="FWD67" s="10"/>
      <c r="FWE67" s="10"/>
      <c r="FWF67" s="10"/>
      <c r="FWG67" s="10"/>
      <c r="FWH67" s="10"/>
      <c r="FWI67" s="10"/>
      <c r="FWJ67" s="10"/>
      <c r="FWK67" s="10"/>
      <c r="FWL67" s="10"/>
      <c r="FWM67" s="10"/>
      <c r="FWN67" s="10"/>
      <c r="FWO67" s="10"/>
      <c r="FWP67" s="10"/>
      <c r="FWQ67" s="10"/>
      <c r="FWR67" s="10"/>
      <c r="FWS67" s="10"/>
      <c r="FWT67" s="10"/>
      <c r="FWU67" s="10"/>
      <c r="FWV67" s="10"/>
      <c r="FWW67" s="10"/>
      <c r="FWX67" s="10"/>
      <c r="FWY67" s="10"/>
      <c r="FWZ67" s="10"/>
      <c r="FXA67" s="10"/>
      <c r="FXB67" s="10"/>
      <c r="FXC67" s="10"/>
      <c r="FXD67" s="10"/>
      <c r="FXE67" s="10"/>
      <c r="FXF67" s="10"/>
      <c r="FXG67" s="10"/>
      <c r="FXH67" s="10"/>
      <c r="FXI67" s="10"/>
      <c r="FXJ67" s="10"/>
      <c r="FXK67" s="10"/>
      <c r="FXL67" s="10"/>
      <c r="FXM67" s="10"/>
      <c r="FXN67" s="10"/>
      <c r="FXO67" s="10"/>
      <c r="FXP67" s="10"/>
      <c r="FXQ67" s="10"/>
      <c r="FXR67" s="10"/>
      <c r="FXS67" s="10"/>
      <c r="FXT67" s="10"/>
      <c r="FXU67" s="10"/>
      <c r="FXV67" s="10"/>
      <c r="FXW67" s="10"/>
      <c r="FXX67" s="10"/>
      <c r="FXY67" s="10"/>
      <c r="FXZ67" s="10"/>
      <c r="FYA67" s="10"/>
      <c r="FYB67" s="10"/>
      <c r="FYC67" s="10"/>
      <c r="FYD67" s="10"/>
      <c r="FYE67" s="10"/>
      <c r="FYF67" s="10"/>
      <c r="FYG67" s="10"/>
      <c r="FYH67" s="10"/>
      <c r="FYI67" s="10"/>
      <c r="FYJ67" s="10"/>
      <c r="FYK67" s="10"/>
      <c r="FYL67" s="10"/>
      <c r="FYM67" s="10"/>
      <c r="FYN67" s="10"/>
      <c r="FYO67" s="10"/>
      <c r="FYP67" s="10"/>
      <c r="FYQ67" s="10"/>
      <c r="FYR67" s="10"/>
      <c r="FYS67" s="10"/>
      <c r="FYT67" s="10"/>
      <c r="FYU67" s="10"/>
      <c r="FYV67" s="10"/>
      <c r="FYW67" s="10"/>
      <c r="FYX67" s="10"/>
      <c r="FYY67" s="10"/>
      <c r="FYZ67" s="10"/>
      <c r="FZA67" s="10"/>
      <c r="FZB67" s="10"/>
      <c r="FZC67" s="10"/>
      <c r="FZD67" s="10"/>
      <c r="FZE67" s="10"/>
      <c r="FZF67" s="10"/>
      <c r="FZG67" s="10"/>
      <c r="FZH67" s="10"/>
      <c r="FZI67" s="10"/>
      <c r="FZJ67" s="10"/>
      <c r="FZK67" s="10"/>
      <c r="FZL67" s="10"/>
      <c r="FZM67" s="10"/>
      <c r="FZN67" s="10"/>
      <c r="FZO67" s="10"/>
      <c r="FZP67" s="10"/>
      <c r="FZQ67" s="10"/>
      <c r="FZR67" s="10"/>
      <c r="FZS67" s="10"/>
      <c r="FZT67" s="10"/>
      <c r="FZU67" s="10"/>
      <c r="FZV67" s="10"/>
      <c r="FZW67" s="10"/>
      <c r="FZX67" s="10"/>
      <c r="FZY67" s="10"/>
      <c r="FZZ67" s="10"/>
      <c r="GAA67" s="10"/>
      <c r="GAB67" s="10"/>
      <c r="GAC67" s="10"/>
      <c r="GAD67" s="10"/>
      <c r="GAE67" s="10"/>
      <c r="GAF67" s="10"/>
      <c r="GAG67" s="10"/>
      <c r="GAH67" s="10"/>
      <c r="GAI67" s="10"/>
      <c r="GAJ67" s="10"/>
      <c r="GAK67" s="10"/>
      <c r="GAL67" s="10"/>
      <c r="GAM67" s="10"/>
      <c r="GAN67" s="10"/>
      <c r="GAO67" s="10"/>
      <c r="GAP67" s="10"/>
      <c r="GAQ67" s="10"/>
      <c r="GAR67" s="10"/>
      <c r="GAS67" s="10"/>
      <c r="GAT67" s="10"/>
      <c r="GAU67" s="10"/>
      <c r="GAV67" s="10"/>
      <c r="GAW67" s="10"/>
      <c r="GAX67" s="10"/>
      <c r="GAY67" s="10"/>
      <c r="GAZ67" s="10"/>
      <c r="GBA67" s="10"/>
      <c r="GBB67" s="10"/>
      <c r="GBC67" s="10"/>
      <c r="GBD67" s="10"/>
      <c r="GBE67" s="10"/>
      <c r="GBF67" s="10"/>
      <c r="GBG67" s="10"/>
      <c r="GBH67" s="10"/>
      <c r="GBI67" s="10"/>
      <c r="GBJ67" s="10"/>
      <c r="GBK67" s="10"/>
      <c r="GBL67" s="10"/>
      <c r="GBM67" s="10"/>
      <c r="GBN67" s="10"/>
      <c r="GBO67" s="10"/>
      <c r="GBP67" s="10"/>
      <c r="GBQ67" s="10"/>
      <c r="GBR67" s="10"/>
      <c r="GBS67" s="10"/>
      <c r="GBT67" s="10"/>
      <c r="GBU67" s="10"/>
      <c r="GBV67" s="10"/>
      <c r="GBW67" s="10"/>
      <c r="GBX67" s="10"/>
      <c r="GBY67" s="10"/>
      <c r="GBZ67" s="10"/>
      <c r="GCA67" s="10"/>
      <c r="GCB67" s="10"/>
      <c r="GCC67" s="10"/>
      <c r="GCD67" s="10"/>
      <c r="GCE67" s="10"/>
      <c r="GCF67" s="10"/>
      <c r="GCG67" s="10"/>
      <c r="GCH67" s="10"/>
      <c r="GCI67" s="10"/>
      <c r="GCJ67" s="10"/>
      <c r="GCK67" s="10"/>
      <c r="GCL67" s="10"/>
      <c r="GCM67" s="10"/>
      <c r="GCN67" s="10"/>
      <c r="GCO67" s="10"/>
      <c r="GCP67" s="10"/>
      <c r="GCQ67" s="10"/>
      <c r="GCR67" s="10"/>
      <c r="GCS67" s="10"/>
      <c r="GCT67" s="10"/>
      <c r="GCU67" s="10"/>
      <c r="GCV67" s="10"/>
      <c r="GCW67" s="10"/>
      <c r="GCX67" s="10"/>
      <c r="GCY67" s="10"/>
      <c r="GCZ67" s="10"/>
      <c r="GDA67" s="10"/>
      <c r="GDB67" s="10"/>
      <c r="GDC67" s="10"/>
      <c r="GDD67" s="10"/>
      <c r="GDE67" s="10"/>
      <c r="GDF67" s="10"/>
      <c r="GDG67" s="10"/>
      <c r="GDH67" s="10"/>
      <c r="GDI67" s="10"/>
      <c r="GDJ67" s="10"/>
      <c r="GDK67" s="10"/>
      <c r="GDL67" s="10"/>
      <c r="GDM67" s="10"/>
      <c r="GDN67" s="10"/>
      <c r="GDO67" s="10"/>
      <c r="GDP67" s="10"/>
      <c r="GDQ67" s="10"/>
      <c r="GDR67" s="10"/>
      <c r="GDS67" s="10"/>
      <c r="GDT67" s="10"/>
      <c r="GDU67" s="10"/>
      <c r="GDV67" s="10"/>
      <c r="GDW67" s="10"/>
      <c r="GDX67" s="10"/>
      <c r="GDY67" s="10"/>
      <c r="GDZ67" s="10"/>
      <c r="GEA67" s="10"/>
      <c r="GEB67" s="10"/>
      <c r="GEC67" s="10"/>
      <c r="GED67" s="10"/>
      <c r="GEE67" s="10"/>
      <c r="GEF67" s="10"/>
      <c r="GEG67" s="10"/>
      <c r="GEH67" s="10"/>
      <c r="GEI67" s="10"/>
      <c r="GEJ67" s="10"/>
      <c r="GEK67" s="10"/>
      <c r="GEL67" s="10"/>
      <c r="GEM67" s="10"/>
      <c r="GEN67" s="10"/>
      <c r="GEO67" s="10"/>
      <c r="GEP67" s="10"/>
      <c r="GEQ67" s="10"/>
      <c r="GER67" s="10"/>
      <c r="GES67" s="10"/>
      <c r="GET67" s="10"/>
      <c r="GEU67" s="10"/>
      <c r="GEV67" s="10"/>
      <c r="GEW67" s="10"/>
      <c r="GEX67" s="10"/>
      <c r="GEY67" s="10"/>
      <c r="GEZ67" s="10"/>
      <c r="GFA67" s="10"/>
      <c r="GFB67" s="10"/>
      <c r="GFC67" s="10"/>
      <c r="GFD67" s="10"/>
      <c r="GFE67" s="10"/>
      <c r="GFF67" s="10"/>
      <c r="GFG67" s="10"/>
      <c r="GFH67" s="10"/>
      <c r="GFI67" s="10"/>
      <c r="GFJ67" s="10"/>
      <c r="GFK67" s="10"/>
      <c r="GFL67" s="10"/>
      <c r="GFM67" s="10"/>
      <c r="GFN67" s="10"/>
      <c r="GFO67" s="10"/>
      <c r="GFP67" s="10"/>
      <c r="GFQ67" s="10"/>
      <c r="GFR67" s="10"/>
      <c r="GFS67" s="10"/>
      <c r="GFT67" s="10"/>
      <c r="GFU67" s="10"/>
      <c r="GFV67" s="10"/>
      <c r="GFW67" s="10"/>
      <c r="GFX67" s="10"/>
      <c r="GFY67" s="10"/>
      <c r="GFZ67" s="10"/>
      <c r="GGA67" s="10"/>
      <c r="GGB67" s="10"/>
      <c r="GGC67" s="10"/>
      <c r="GGD67" s="10"/>
      <c r="GGE67" s="10"/>
      <c r="GGF67" s="10"/>
      <c r="GGG67" s="10"/>
      <c r="GGH67" s="10"/>
      <c r="GGI67" s="10"/>
      <c r="GGJ67" s="10"/>
      <c r="GGK67" s="10"/>
      <c r="GGL67" s="10"/>
      <c r="GGM67" s="10"/>
      <c r="GGN67" s="10"/>
      <c r="GGO67" s="10"/>
      <c r="GGP67" s="10"/>
      <c r="GGQ67" s="10"/>
      <c r="GGR67" s="10"/>
      <c r="GGS67" s="10"/>
      <c r="GGT67" s="10"/>
      <c r="GGU67" s="10"/>
      <c r="GGV67" s="10"/>
      <c r="GGW67" s="10"/>
      <c r="GGX67" s="10"/>
      <c r="GGY67" s="10"/>
      <c r="GGZ67" s="10"/>
      <c r="GHA67" s="10"/>
      <c r="GHB67" s="10"/>
      <c r="GHC67" s="10"/>
      <c r="GHD67" s="10"/>
      <c r="GHE67" s="10"/>
      <c r="GHF67" s="10"/>
      <c r="GHG67" s="10"/>
      <c r="GHH67" s="10"/>
      <c r="GHI67" s="10"/>
      <c r="GHJ67" s="10"/>
      <c r="GHK67" s="10"/>
      <c r="GHL67" s="10"/>
      <c r="GHM67" s="10"/>
      <c r="GHN67" s="10"/>
      <c r="GHO67" s="10"/>
      <c r="GHP67" s="10"/>
      <c r="GHQ67" s="10"/>
      <c r="GHR67" s="10"/>
      <c r="GHS67" s="10"/>
      <c r="GHT67" s="10"/>
      <c r="GHU67" s="10"/>
      <c r="GHV67" s="10"/>
      <c r="GHW67" s="10"/>
      <c r="GHX67" s="10"/>
      <c r="GHY67" s="10"/>
      <c r="GHZ67" s="10"/>
      <c r="GIA67" s="10"/>
      <c r="GIB67" s="10"/>
      <c r="GIC67" s="10"/>
      <c r="GID67" s="10"/>
      <c r="GIE67" s="10"/>
      <c r="GIF67" s="10"/>
      <c r="GIG67" s="10"/>
      <c r="GIH67" s="10"/>
      <c r="GII67" s="10"/>
      <c r="GIJ67" s="10"/>
      <c r="GIK67" s="10"/>
      <c r="GIL67" s="10"/>
      <c r="GIM67" s="10"/>
      <c r="GIN67" s="10"/>
      <c r="GIO67" s="10"/>
      <c r="GIP67" s="10"/>
      <c r="GIQ67" s="10"/>
      <c r="GIR67" s="10"/>
      <c r="GIS67" s="10"/>
      <c r="GIT67" s="10"/>
      <c r="GIU67" s="10"/>
      <c r="GIV67" s="10"/>
      <c r="GIW67" s="10"/>
      <c r="GIX67" s="10"/>
      <c r="GIY67" s="10"/>
      <c r="GIZ67" s="10"/>
      <c r="GJA67" s="10"/>
      <c r="GJB67" s="10"/>
      <c r="GJC67" s="10"/>
      <c r="GJD67" s="10"/>
      <c r="GJE67" s="10"/>
      <c r="GJF67" s="10"/>
      <c r="GJG67" s="10"/>
      <c r="GJH67" s="10"/>
      <c r="GJI67" s="10"/>
      <c r="GJJ67" s="10"/>
      <c r="GJK67" s="10"/>
      <c r="GJL67" s="10"/>
      <c r="GJM67" s="10"/>
      <c r="GJN67" s="10"/>
      <c r="GJO67" s="10"/>
      <c r="GJP67" s="10"/>
      <c r="GJQ67" s="10"/>
      <c r="GJR67" s="10"/>
      <c r="GJS67" s="10"/>
      <c r="GJT67" s="10"/>
      <c r="GJU67" s="10"/>
      <c r="GJV67" s="10"/>
      <c r="GJW67" s="10"/>
      <c r="GJX67" s="10"/>
      <c r="GJY67" s="10"/>
      <c r="GJZ67" s="10"/>
      <c r="GKA67" s="10"/>
      <c r="GKB67" s="10"/>
      <c r="GKC67" s="10"/>
      <c r="GKD67" s="10"/>
      <c r="GKE67" s="10"/>
      <c r="GKF67" s="10"/>
      <c r="GKG67" s="10"/>
      <c r="GKH67" s="10"/>
      <c r="GKI67" s="10"/>
      <c r="GKJ67" s="10"/>
      <c r="GKK67" s="10"/>
      <c r="GKL67" s="10"/>
      <c r="GKM67" s="10"/>
      <c r="GKN67" s="10"/>
      <c r="GKO67" s="10"/>
      <c r="GKP67" s="10"/>
      <c r="GKQ67" s="10"/>
      <c r="GKR67" s="10"/>
      <c r="GKS67" s="10"/>
      <c r="GKT67" s="10"/>
      <c r="GKU67" s="10"/>
      <c r="GKV67" s="10"/>
      <c r="GKW67" s="10"/>
      <c r="GKX67" s="10"/>
      <c r="GKY67" s="10"/>
      <c r="GKZ67" s="10"/>
      <c r="GLA67" s="10"/>
      <c r="GLB67" s="10"/>
      <c r="GLC67" s="10"/>
      <c r="GLD67" s="10"/>
      <c r="GLE67" s="10"/>
      <c r="GLF67" s="10"/>
      <c r="GLG67" s="10"/>
      <c r="GLH67" s="10"/>
      <c r="GLI67" s="10"/>
      <c r="GLJ67" s="10"/>
      <c r="GLK67" s="10"/>
      <c r="GLL67" s="10"/>
      <c r="GLM67" s="10"/>
      <c r="GLN67" s="10"/>
      <c r="GLO67" s="10"/>
      <c r="GLP67" s="10"/>
      <c r="GLQ67" s="10"/>
      <c r="GLR67" s="10"/>
      <c r="GLS67" s="10"/>
      <c r="GLT67" s="10"/>
      <c r="GLU67" s="10"/>
      <c r="GLV67" s="10"/>
      <c r="GLW67" s="10"/>
      <c r="GLX67" s="10"/>
      <c r="GLY67" s="10"/>
      <c r="GLZ67" s="10"/>
      <c r="GMA67" s="10"/>
      <c r="GMB67" s="10"/>
      <c r="GMC67" s="10"/>
      <c r="GMD67" s="10"/>
      <c r="GME67" s="10"/>
      <c r="GMF67" s="10"/>
      <c r="GMG67" s="10"/>
      <c r="GMH67" s="10"/>
      <c r="GMI67" s="10"/>
      <c r="GMJ67" s="10"/>
      <c r="GMK67" s="10"/>
      <c r="GML67" s="10"/>
      <c r="GMM67" s="10"/>
      <c r="GMN67" s="10"/>
      <c r="GMO67" s="10"/>
      <c r="GMP67" s="10"/>
      <c r="GMQ67" s="10"/>
      <c r="GMR67" s="10"/>
      <c r="GMS67" s="10"/>
      <c r="GMT67" s="10"/>
      <c r="GMU67" s="10"/>
      <c r="GMV67" s="10"/>
      <c r="GMW67" s="10"/>
      <c r="GMX67" s="10"/>
      <c r="GMY67" s="10"/>
      <c r="GMZ67" s="10"/>
      <c r="GNA67" s="10"/>
      <c r="GNB67" s="10"/>
      <c r="GNC67" s="10"/>
      <c r="GND67" s="10"/>
      <c r="GNE67" s="10"/>
      <c r="GNF67" s="10"/>
      <c r="GNG67" s="10"/>
      <c r="GNH67" s="10"/>
      <c r="GNI67" s="10"/>
      <c r="GNJ67" s="10"/>
      <c r="GNK67" s="10"/>
      <c r="GNL67" s="10"/>
      <c r="GNM67" s="10"/>
      <c r="GNN67" s="10"/>
      <c r="GNO67" s="10"/>
      <c r="GNP67" s="10"/>
      <c r="GNQ67" s="10"/>
      <c r="GNR67" s="10"/>
      <c r="GNS67" s="10"/>
      <c r="GNT67" s="10"/>
      <c r="GNU67" s="10"/>
      <c r="GNV67" s="10"/>
      <c r="GNW67" s="10"/>
      <c r="GNX67" s="10"/>
      <c r="GNY67" s="10"/>
      <c r="GNZ67" s="10"/>
      <c r="GOA67" s="10"/>
      <c r="GOB67" s="10"/>
      <c r="GOC67" s="10"/>
      <c r="GOD67" s="10"/>
      <c r="GOE67" s="10"/>
      <c r="GOF67" s="10"/>
      <c r="GOG67" s="10"/>
      <c r="GOH67" s="10"/>
      <c r="GOI67" s="10"/>
      <c r="GOJ67" s="10"/>
      <c r="GOK67" s="10"/>
      <c r="GOL67" s="10"/>
      <c r="GOM67" s="10"/>
      <c r="GON67" s="10"/>
      <c r="GOO67" s="10"/>
      <c r="GOP67" s="10"/>
      <c r="GOQ67" s="10"/>
      <c r="GOR67" s="10"/>
      <c r="GOS67" s="10"/>
      <c r="GOT67" s="10"/>
      <c r="GOU67" s="10"/>
      <c r="GOV67" s="10"/>
      <c r="GOW67" s="10"/>
      <c r="GOX67" s="10"/>
      <c r="GOY67" s="10"/>
      <c r="GOZ67" s="10"/>
      <c r="GPA67" s="10"/>
      <c r="GPB67" s="10"/>
      <c r="GPC67" s="10"/>
      <c r="GPD67" s="10"/>
      <c r="GPE67" s="10"/>
      <c r="GPF67" s="10"/>
      <c r="GPG67" s="10"/>
      <c r="GPH67" s="10"/>
      <c r="GPI67" s="10"/>
      <c r="GPJ67" s="10"/>
      <c r="GPK67" s="10"/>
      <c r="GPL67" s="10"/>
      <c r="GPM67" s="10"/>
      <c r="GPN67" s="10"/>
      <c r="GPO67" s="10"/>
      <c r="GPP67" s="10"/>
      <c r="GPQ67" s="10"/>
      <c r="GPR67" s="10"/>
      <c r="GPS67" s="10"/>
      <c r="GPT67" s="10"/>
      <c r="GPU67" s="10"/>
      <c r="GPV67" s="10"/>
      <c r="GPW67" s="10"/>
      <c r="GPX67" s="10"/>
      <c r="GPY67" s="10"/>
      <c r="GPZ67" s="10"/>
      <c r="GQA67" s="10"/>
      <c r="GQB67" s="10"/>
      <c r="GQC67" s="10"/>
      <c r="GQD67" s="10"/>
      <c r="GQE67" s="10"/>
      <c r="GQF67" s="10"/>
      <c r="GQG67" s="10"/>
      <c r="GQH67" s="10"/>
      <c r="GQI67" s="10"/>
      <c r="GQJ67" s="10"/>
      <c r="GQK67" s="10"/>
      <c r="GQL67" s="10"/>
      <c r="GQM67" s="10"/>
      <c r="GQN67" s="10"/>
      <c r="GQO67" s="10"/>
      <c r="GQP67" s="10"/>
      <c r="GQQ67" s="10"/>
      <c r="GQR67" s="10"/>
      <c r="GQS67" s="10"/>
      <c r="GQT67" s="10"/>
      <c r="GQU67" s="10"/>
      <c r="GQV67" s="10"/>
      <c r="GQW67" s="10"/>
      <c r="GQX67" s="10"/>
      <c r="GQY67" s="10"/>
      <c r="GQZ67" s="10"/>
      <c r="GRA67" s="10"/>
      <c r="GRB67" s="10"/>
      <c r="GRC67" s="10"/>
      <c r="GRD67" s="10"/>
      <c r="GRE67" s="10"/>
      <c r="GRF67" s="10"/>
      <c r="GRG67" s="10"/>
      <c r="GRH67" s="10"/>
      <c r="GRI67" s="10"/>
      <c r="GRJ67" s="10"/>
      <c r="GRK67" s="10"/>
      <c r="GRL67" s="10"/>
      <c r="GRM67" s="10"/>
      <c r="GRN67" s="10"/>
      <c r="GRO67" s="10"/>
      <c r="GRP67" s="10"/>
      <c r="GRQ67" s="10"/>
      <c r="GRR67" s="10"/>
      <c r="GRS67" s="10"/>
      <c r="GRT67" s="10"/>
      <c r="GRU67" s="10"/>
      <c r="GRV67" s="10"/>
      <c r="GRW67" s="10"/>
      <c r="GRX67" s="10"/>
      <c r="GRY67" s="10"/>
      <c r="GRZ67" s="10"/>
      <c r="GSA67" s="10"/>
      <c r="GSB67" s="10"/>
      <c r="GSC67" s="10"/>
      <c r="GSD67" s="10"/>
      <c r="GSE67" s="10"/>
      <c r="GSF67" s="10"/>
      <c r="GSG67" s="10"/>
      <c r="GSH67" s="10"/>
      <c r="GSI67" s="10"/>
      <c r="GSJ67" s="10"/>
      <c r="GSK67" s="10"/>
      <c r="GSL67" s="10"/>
      <c r="GSM67" s="10"/>
      <c r="GSN67" s="10"/>
      <c r="GSO67" s="10"/>
      <c r="GSP67" s="10"/>
      <c r="GSQ67" s="10"/>
      <c r="GSR67" s="10"/>
      <c r="GSS67" s="10"/>
      <c r="GST67" s="10"/>
      <c r="GSU67" s="10"/>
      <c r="GSV67" s="10"/>
      <c r="GSW67" s="10"/>
      <c r="GSX67" s="10"/>
      <c r="GSY67" s="10"/>
      <c r="GSZ67" s="10"/>
      <c r="GTA67" s="10"/>
      <c r="GTB67" s="10"/>
      <c r="GTC67" s="10"/>
      <c r="GTD67" s="10"/>
      <c r="GTE67" s="10"/>
      <c r="GTF67" s="10"/>
      <c r="GTG67" s="10"/>
      <c r="GTH67" s="10"/>
      <c r="GTI67" s="10"/>
      <c r="GTJ67" s="10"/>
      <c r="GTK67" s="10"/>
      <c r="GTL67" s="10"/>
      <c r="GTM67" s="10"/>
      <c r="GTN67" s="10"/>
      <c r="GTO67" s="10"/>
      <c r="GTP67" s="10"/>
      <c r="GTQ67" s="10"/>
      <c r="GTR67" s="10"/>
      <c r="GTS67" s="10"/>
      <c r="GTT67" s="10"/>
      <c r="GTU67" s="10"/>
      <c r="GTV67" s="10"/>
      <c r="GTW67" s="10"/>
      <c r="GTX67" s="10"/>
      <c r="GTY67" s="10"/>
      <c r="GTZ67" s="10"/>
      <c r="GUA67" s="10"/>
      <c r="GUB67" s="10"/>
      <c r="GUC67" s="10"/>
      <c r="GUD67" s="10"/>
      <c r="GUE67" s="10"/>
      <c r="GUF67" s="10"/>
      <c r="GUG67" s="10"/>
      <c r="GUH67" s="10"/>
      <c r="GUI67" s="10"/>
      <c r="GUJ67" s="10"/>
      <c r="GUK67" s="10"/>
      <c r="GUL67" s="10"/>
      <c r="GUM67" s="10"/>
      <c r="GUN67" s="10"/>
      <c r="GUO67" s="10"/>
      <c r="GUP67" s="10"/>
      <c r="GUQ67" s="10"/>
      <c r="GUR67" s="10"/>
      <c r="GUS67" s="10"/>
      <c r="GUT67" s="10"/>
      <c r="GUU67" s="10"/>
      <c r="GUV67" s="10"/>
      <c r="GUW67" s="10"/>
      <c r="GUX67" s="10"/>
      <c r="GUY67" s="10"/>
      <c r="GUZ67" s="10"/>
      <c r="GVA67" s="10"/>
      <c r="GVB67" s="10"/>
      <c r="GVC67" s="10"/>
      <c r="GVD67" s="10"/>
      <c r="GVE67" s="10"/>
      <c r="GVF67" s="10"/>
      <c r="GVG67" s="10"/>
      <c r="GVH67" s="10"/>
      <c r="GVI67" s="10"/>
      <c r="GVJ67" s="10"/>
      <c r="GVK67" s="10"/>
      <c r="GVL67" s="10"/>
      <c r="GVM67" s="10"/>
      <c r="GVN67" s="10"/>
      <c r="GVO67" s="10"/>
      <c r="GVP67" s="10"/>
      <c r="GVQ67" s="10"/>
      <c r="GVR67" s="10"/>
      <c r="GVS67" s="10"/>
      <c r="GVT67" s="10"/>
      <c r="GVU67" s="10"/>
      <c r="GVV67" s="10"/>
      <c r="GVW67" s="10"/>
      <c r="GVX67" s="10"/>
      <c r="GVY67" s="10"/>
      <c r="GVZ67" s="10"/>
      <c r="GWA67" s="10"/>
      <c r="GWB67" s="10"/>
      <c r="GWC67" s="10"/>
      <c r="GWD67" s="10"/>
      <c r="GWE67" s="10"/>
      <c r="GWF67" s="10"/>
      <c r="GWG67" s="10"/>
      <c r="GWH67" s="10"/>
      <c r="GWI67" s="10"/>
      <c r="GWJ67" s="10"/>
      <c r="GWK67" s="10"/>
      <c r="GWL67" s="10"/>
      <c r="GWM67" s="10"/>
      <c r="GWN67" s="10"/>
      <c r="GWO67" s="10"/>
      <c r="GWP67" s="10"/>
      <c r="GWQ67" s="10"/>
      <c r="GWR67" s="10"/>
      <c r="GWS67" s="10"/>
      <c r="GWT67" s="10"/>
      <c r="GWU67" s="10"/>
      <c r="GWV67" s="10"/>
      <c r="GWW67" s="10"/>
      <c r="GWX67" s="10"/>
      <c r="GWY67" s="10"/>
      <c r="GWZ67" s="10"/>
      <c r="GXA67" s="10"/>
      <c r="GXB67" s="10"/>
      <c r="GXC67" s="10"/>
      <c r="GXD67" s="10"/>
      <c r="GXE67" s="10"/>
      <c r="GXF67" s="10"/>
      <c r="GXG67" s="10"/>
      <c r="GXH67" s="10"/>
      <c r="GXI67" s="10"/>
      <c r="GXJ67" s="10"/>
      <c r="GXK67" s="10"/>
      <c r="GXL67" s="10"/>
      <c r="GXM67" s="10"/>
      <c r="GXN67" s="10"/>
      <c r="GXO67" s="10"/>
      <c r="GXP67" s="10"/>
      <c r="GXQ67" s="10"/>
      <c r="GXR67" s="10"/>
      <c r="GXS67" s="10"/>
      <c r="GXT67" s="10"/>
      <c r="GXU67" s="10"/>
      <c r="GXV67" s="10"/>
      <c r="GXW67" s="10"/>
      <c r="GXX67" s="10"/>
      <c r="GXY67" s="10"/>
      <c r="GXZ67" s="10"/>
      <c r="GYA67" s="10"/>
      <c r="GYB67" s="10"/>
      <c r="GYC67" s="10"/>
      <c r="GYD67" s="10"/>
      <c r="GYE67" s="10"/>
      <c r="GYF67" s="10"/>
      <c r="GYG67" s="10"/>
      <c r="GYH67" s="10"/>
      <c r="GYI67" s="10"/>
      <c r="GYJ67" s="10"/>
      <c r="GYK67" s="10"/>
      <c r="GYL67" s="10"/>
      <c r="GYM67" s="10"/>
      <c r="GYN67" s="10"/>
      <c r="GYO67" s="10"/>
      <c r="GYP67" s="10"/>
      <c r="GYQ67" s="10"/>
      <c r="GYR67" s="10"/>
      <c r="GYS67" s="10"/>
      <c r="GYT67" s="10"/>
      <c r="GYU67" s="10"/>
      <c r="GYV67" s="10"/>
      <c r="GYW67" s="10"/>
      <c r="GYX67" s="10"/>
      <c r="GYY67" s="10"/>
      <c r="GYZ67" s="10"/>
      <c r="GZA67" s="10"/>
      <c r="GZB67" s="10"/>
      <c r="GZC67" s="10"/>
      <c r="GZD67" s="10"/>
      <c r="GZE67" s="10"/>
      <c r="GZF67" s="10"/>
      <c r="GZG67" s="10"/>
      <c r="GZH67" s="10"/>
      <c r="GZI67" s="10"/>
      <c r="GZJ67" s="10"/>
      <c r="GZK67" s="10"/>
      <c r="GZL67" s="10"/>
      <c r="GZM67" s="10"/>
      <c r="GZN67" s="10"/>
      <c r="GZO67" s="10"/>
      <c r="GZP67" s="10"/>
      <c r="GZQ67" s="10"/>
      <c r="GZR67" s="10"/>
      <c r="GZS67" s="10"/>
      <c r="GZT67" s="10"/>
      <c r="GZU67" s="10"/>
      <c r="GZV67" s="10"/>
      <c r="GZW67" s="10"/>
      <c r="GZX67" s="10"/>
      <c r="GZY67" s="10"/>
      <c r="GZZ67" s="10"/>
      <c r="HAA67" s="10"/>
      <c r="HAB67" s="10"/>
      <c r="HAC67" s="10"/>
      <c r="HAD67" s="10"/>
      <c r="HAE67" s="10"/>
      <c r="HAF67" s="10"/>
      <c r="HAG67" s="10"/>
      <c r="HAH67" s="10"/>
      <c r="HAI67" s="10"/>
      <c r="HAJ67" s="10"/>
      <c r="HAK67" s="10"/>
      <c r="HAL67" s="10"/>
      <c r="HAM67" s="10"/>
      <c r="HAN67" s="10"/>
      <c r="HAO67" s="10"/>
      <c r="HAP67" s="10"/>
      <c r="HAQ67" s="10"/>
      <c r="HAR67" s="10"/>
      <c r="HAS67" s="10"/>
      <c r="HAT67" s="10"/>
      <c r="HAU67" s="10"/>
      <c r="HAV67" s="10"/>
      <c r="HAW67" s="10"/>
      <c r="HAX67" s="10"/>
      <c r="HAY67" s="10"/>
      <c r="HAZ67" s="10"/>
      <c r="HBA67" s="10"/>
      <c r="HBB67" s="10"/>
      <c r="HBC67" s="10"/>
      <c r="HBD67" s="10"/>
      <c r="HBE67" s="10"/>
      <c r="HBF67" s="10"/>
      <c r="HBG67" s="10"/>
      <c r="HBH67" s="10"/>
      <c r="HBI67" s="10"/>
      <c r="HBJ67" s="10"/>
      <c r="HBK67" s="10"/>
      <c r="HBL67" s="10"/>
      <c r="HBM67" s="10"/>
      <c r="HBN67" s="10"/>
      <c r="HBO67" s="10"/>
      <c r="HBP67" s="10"/>
      <c r="HBQ67" s="10"/>
      <c r="HBR67" s="10"/>
      <c r="HBS67" s="10"/>
      <c r="HBT67" s="10"/>
      <c r="HBU67" s="10"/>
      <c r="HBV67" s="10"/>
      <c r="HBW67" s="10"/>
      <c r="HBX67" s="10"/>
      <c r="HBY67" s="10"/>
      <c r="HBZ67" s="10"/>
      <c r="HCA67" s="10"/>
      <c r="HCB67" s="10"/>
      <c r="HCC67" s="10"/>
      <c r="HCD67" s="10"/>
      <c r="HCE67" s="10"/>
      <c r="HCF67" s="10"/>
      <c r="HCG67" s="10"/>
      <c r="HCH67" s="10"/>
      <c r="HCI67" s="10"/>
      <c r="HCJ67" s="10"/>
      <c r="HCK67" s="10"/>
      <c r="HCL67" s="10"/>
      <c r="HCM67" s="10"/>
      <c r="HCN67" s="10"/>
      <c r="HCO67" s="10"/>
      <c r="HCP67" s="10"/>
      <c r="HCQ67" s="10"/>
      <c r="HCR67" s="10"/>
      <c r="HCS67" s="10"/>
      <c r="HCT67" s="10"/>
      <c r="HCU67" s="10"/>
      <c r="HCV67" s="10"/>
      <c r="HCW67" s="10"/>
      <c r="HCX67" s="10"/>
      <c r="HCY67" s="10"/>
      <c r="HCZ67" s="10"/>
      <c r="HDA67" s="10"/>
      <c r="HDB67" s="10"/>
      <c r="HDC67" s="10"/>
      <c r="HDD67" s="10"/>
      <c r="HDE67" s="10"/>
      <c r="HDF67" s="10"/>
      <c r="HDG67" s="10"/>
      <c r="HDH67" s="10"/>
      <c r="HDI67" s="10"/>
      <c r="HDJ67" s="10"/>
      <c r="HDK67" s="10"/>
      <c r="HDL67" s="10"/>
      <c r="HDM67" s="10"/>
      <c r="HDN67" s="10"/>
      <c r="HDO67" s="10"/>
      <c r="HDP67" s="10"/>
      <c r="HDQ67" s="10"/>
      <c r="HDR67" s="10"/>
      <c r="HDS67" s="10"/>
      <c r="HDT67" s="10"/>
      <c r="HDU67" s="10"/>
      <c r="HDV67" s="10"/>
      <c r="HDW67" s="10"/>
      <c r="HDX67" s="10"/>
      <c r="HDY67" s="10"/>
      <c r="HDZ67" s="10"/>
      <c r="HEA67" s="10"/>
      <c r="HEB67" s="10"/>
      <c r="HEC67" s="10"/>
      <c r="HED67" s="10"/>
      <c r="HEE67" s="10"/>
      <c r="HEF67" s="10"/>
      <c r="HEG67" s="10"/>
      <c r="HEH67" s="10"/>
      <c r="HEI67" s="10"/>
      <c r="HEJ67" s="10"/>
      <c r="HEK67" s="10"/>
      <c r="HEL67" s="10"/>
      <c r="HEM67" s="10"/>
      <c r="HEN67" s="10"/>
      <c r="HEO67" s="10"/>
      <c r="HEP67" s="10"/>
      <c r="HEQ67" s="10"/>
      <c r="HER67" s="10"/>
      <c r="HES67" s="10"/>
      <c r="HET67" s="10"/>
      <c r="HEU67" s="10"/>
      <c r="HEV67" s="10"/>
      <c r="HEW67" s="10"/>
      <c r="HEX67" s="10"/>
      <c r="HEY67" s="10"/>
      <c r="HEZ67" s="10"/>
      <c r="HFA67" s="10"/>
      <c r="HFB67" s="10"/>
      <c r="HFC67" s="10"/>
      <c r="HFD67" s="10"/>
      <c r="HFE67" s="10"/>
      <c r="HFF67" s="10"/>
      <c r="HFG67" s="10"/>
      <c r="HFH67" s="10"/>
      <c r="HFI67" s="10"/>
      <c r="HFJ67" s="10"/>
      <c r="HFK67" s="10"/>
      <c r="HFL67" s="10"/>
      <c r="HFM67" s="10"/>
      <c r="HFN67" s="10"/>
      <c r="HFO67" s="10"/>
      <c r="HFP67" s="10"/>
      <c r="HFQ67" s="10"/>
      <c r="HFR67" s="10"/>
      <c r="HFS67" s="10"/>
      <c r="HFT67" s="10"/>
      <c r="HFU67" s="10"/>
      <c r="HFV67" s="10"/>
      <c r="HFW67" s="10"/>
      <c r="HFX67" s="10"/>
      <c r="HFY67" s="10"/>
      <c r="HFZ67" s="10"/>
      <c r="HGA67" s="10"/>
      <c r="HGB67" s="10"/>
      <c r="HGC67" s="10"/>
      <c r="HGD67" s="10"/>
      <c r="HGE67" s="10"/>
      <c r="HGF67" s="10"/>
      <c r="HGG67" s="10"/>
      <c r="HGH67" s="10"/>
      <c r="HGI67" s="10"/>
      <c r="HGJ67" s="10"/>
      <c r="HGK67" s="10"/>
      <c r="HGL67" s="10"/>
      <c r="HGM67" s="10"/>
      <c r="HGN67" s="10"/>
      <c r="HGO67" s="10"/>
      <c r="HGP67" s="10"/>
      <c r="HGQ67" s="10"/>
      <c r="HGR67" s="10"/>
      <c r="HGS67" s="10"/>
      <c r="HGT67" s="10"/>
      <c r="HGU67" s="10"/>
      <c r="HGV67" s="10"/>
      <c r="HGW67" s="10"/>
      <c r="HGX67" s="10"/>
      <c r="HGY67" s="10"/>
      <c r="HGZ67" s="10"/>
      <c r="HHA67" s="10"/>
      <c r="HHB67" s="10"/>
      <c r="HHC67" s="10"/>
      <c r="HHD67" s="10"/>
      <c r="HHE67" s="10"/>
      <c r="HHF67" s="10"/>
      <c r="HHG67" s="10"/>
      <c r="HHH67" s="10"/>
      <c r="HHI67" s="10"/>
      <c r="HHJ67" s="10"/>
      <c r="HHK67" s="10"/>
      <c r="HHL67" s="10"/>
      <c r="HHM67" s="10"/>
      <c r="HHN67" s="10"/>
      <c r="HHO67" s="10"/>
      <c r="HHP67" s="10"/>
      <c r="HHQ67" s="10"/>
      <c r="HHR67" s="10"/>
      <c r="HHS67" s="10"/>
      <c r="HHT67" s="10"/>
      <c r="HHU67" s="10"/>
      <c r="HHV67" s="10"/>
      <c r="HHW67" s="10"/>
      <c r="HHX67" s="10"/>
      <c r="HHY67" s="10"/>
      <c r="HHZ67" s="10"/>
      <c r="HIA67" s="10"/>
      <c r="HIB67" s="10"/>
      <c r="HIC67" s="10"/>
      <c r="HID67" s="10"/>
      <c r="HIE67" s="10"/>
      <c r="HIF67" s="10"/>
      <c r="HIG67" s="10"/>
      <c r="HIH67" s="10"/>
      <c r="HII67" s="10"/>
      <c r="HIJ67" s="10"/>
      <c r="HIK67" s="10"/>
      <c r="HIL67" s="10"/>
      <c r="HIM67" s="10"/>
      <c r="HIN67" s="10"/>
      <c r="HIO67" s="10"/>
      <c r="HIP67" s="10"/>
      <c r="HIQ67" s="10"/>
      <c r="HIR67" s="10"/>
      <c r="HIS67" s="10"/>
      <c r="HIT67" s="10"/>
      <c r="HIU67" s="10"/>
      <c r="HIV67" s="10"/>
      <c r="HIW67" s="10"/>
      <c r="HIX67" s="10"/>
      <c r="HIY67" s="10"/>
      <c r="HIZ67" s="10"/>
      <c r="HJA67" s="10"/>
      <c r="HJB67" s="10"/>
      <c r="HJC67" s="10"/>
      <c r="HJD67" s="10"/>
      <c r="HJE67" s="10"/>
      <c r="HJF67" s="10"/>
      <c r="HJG67" s="10"/>
      <c r="HJH67" s="10"/>
      <c r="HJI67" s="10"/>
      <c r="HJJ67" s="10"/>
      <c r="HJK67" s="10"/>
      <c r="HJL67" s="10"/>
      <c r="HJM67" s="10"/>
      <c r="HJN67" s="10"/>
      <c r="HJO67" s="10"/>
      <c r="HJP67" s="10"/>
      <c r="HJQ67" s="10"/>
      <c r="HJR67" s="10"/>
      <c r="HJS67" s="10"/>
      <c r="HJT67" s="10"/>
      <c r="HJU67" s="10"/>
      <c r="HJV67" s="10"/>
      <c r="HJW67" s="10"/>
      <c r="HJX67" s="10"/>
      <c r="HJY67" s="10"/>
      <c r="HJZ67" s="10"/>
      <c r="HKA67" s="10"/>
      <c r="HKB67" s="10"/>
      <c r="HKC67" s="10"/>
      <c r="HKD67" s="10"/>
      <c r="HKE67" s="10"/>
      <c r="HKF67" s="10"/>
      <c r="HKG67" s="10"/>
      <c r="HKH67" s="10"/>
      <c r="HKI67" s="10"/>
      <c r="HKJ67" s="10"/>
      <c r="HKK67" s="10"/>
      <c r="HKL67" s="10"/>
      <c r="HKM67" s="10"/>
      <c r="HKN67" s="10"/>
      <c r="HKO67" s="10"/>
      <c r="HKP67" s="10"/>
      <c r="HKQ67" s="10"/>
      <c r="HKR67" s="10"/>
      <c r="HKS67" s="10"/>
      <c r="HKT67" s="10"/>
      <c r="HKU67" s="10"/>
      <c r="HKV67" s="10"/>
      <c r="HKW67" s="10"/>
      <c r="HKX67" s="10"/>
      <c r="HKY67" s="10"/>
      <c r="HKZ67" s="10"/>
      <c r="HLA67" s="10"/>
      <c r="HLB67" s="10"/>
      <c r="HLC67" s="10"/>
      <c r="HLD67" s="10"/>
      <c r="HLE67" s="10"/>
      <c r="HLF67" s="10"/>
      <c r="HLG67" s="10"/>
      <c r="HLH67" s="10"/>
      <c r="HLI67" s="10"/>
      <c r="HLJ67" s="10"/>
      <c r="HLK67" s="10"/>
      <c r="HLL67" s="10"/>
      <c r="HLM67" s="10"/>
      <c r="HLN67" s="10"/>
      <c r="HLO67" s="10"/>
      <c r="HLP67" s="10"/>
      <c r="HLQ67" s="10"/>
      <c r="HLR67" s="10"/>
      <c r="HLS67" s="10"/>
      <c r="HLT67" s="10"/>
      <c r="HLU67" s="10"/>
      <c r="HLV67" s="10"/>
      <c r="HLW67" s="10"/>
      <c r="HLX67" s="10"/>
      <c r="HLY67" s="10"/>
      <c r="HLZ67" s="10"/>
      <c r="HMA67" s="10"/>
      <c r="HMB67" s="10"/>
      <c r="HMC67" s="10"/>
      <c r="HMD67" s="10"/>
      <c r="HME67" s="10"/>
      <c r="HMF67" s="10"/>
      <c r="HMG67" s="10"/>
      <c r="HMH67" s="10"/>
      <c r="HMI67" s="10"/>
      <c r="HMJ67" s="10"/>
      <c r="HMK67" s="10"/>
      <c r="HML67" s="10"/>
      <c r="HMM67" s="10"/>
      <c r="HMN67" s="10"/>
      <c r="HMO67" s="10"/>
      <c r="HMP67" s="10"/>
      <c r="HMQ67" s="10"/>
      <c r="HMR67" s="10"/>
      <c r="HMS67" s="10"/>
      <c r="HMT67" s="10"/>
      <c r="HMU67" s="10"/>
      <c r="HMV67" s="10"/>
      <c r="HMW67" s="10"/>
      <c r="HMX67" s="10"/>
      <c r="HMY67" s="10"/>
      <c r="HMZ67" s="10"/>
      <c r="HNA67" s="10"/>
      <c r="HNB67" s="10"/>
      <c r="HNC67" s="10"/>
      <c r="HND67" s="10"/>
      <c r="HNE67" s="10"/>
      <c r="HNF67" s="10"/>
      <c r="HNG67" s="10"/>
      <c r="HNH67" s="10"/>
      <c r="HNI67" s="10"/>
      <c r="HNJ67" s="10"/>
      <c r="HNK67" s="10"/>
      <c r="HNL67" s="10"/>
      <c r="HNM67" s="10"/>
      <c r="HNN67" s="10"/>
      <c r="HNO67" s="10"/>
      <c r="HNP67" s="10"/>
      <c r="HNQ67" s="10"/>
      <c r="HNR67" s="10"/>
      <c r="HNS67" s="10"/>
      <c r="HNT67" s="10"/>
      <c r="HNU67" s="10"/>
      <c r="HNV67" s="10"/>
      <c r="HNW67" s="10"/>
      <c r="HNX67" s="10"/>
      <c r="HNY67" s="10"/>
      <c r="HNZ67" s="10"/>
      <c r="HOA67" s="10"/>
      <c r="HOB67" s="10"/>
      <c r="HOC67" s="10"/>
      <c r="HOD67" s="10"/>
      <c r="HOE67" s="10"/>
      <c r="HOF67" s="10"/>
      <c r="HOG67" s="10"/>
      <c r="HOH67" s="10"/>
      <c r="HOI67" s="10"/>
      <c r="HOJ67" s="10"/>
      <c r="HOK67" s="10"/>
      <c r="HOL67" s="10"/>
      <c r="HOM67" s="10"/>
      <c r="HON67" s="10"/>
      <c r="HOO67" s="10"/>
      <c r="HOP67" s="10"/>
      <c r="HOQ67" s="10"/>
      <c r="HOR67" s="10"/>
      <c r="HOS67" s="10"/>
      <c r="HOT67" s="10"/>
      <c r="HOU67" s="10"/>
      <c r="HOV67" s="10"/>
      <c r="HOW67" s="10"/>
      <c r="HOX67" s="10"/>
      <c r="HOY67" s="10"/>
      <c r="HOZ67" s="10"/>
      <c r="HPA67" s="10"/>
      <c r="HPB67" s="10"/>
      <c r="HPC67" s="10"/>
      <c r="HPD67" s="10"/>
      <c r="HPE67" s="10"/>
      <c r="HPF67" s="10"/>
      <c r="HPG67" s="10"/>
      <c r="HPH67" s="10"/>
      <c r="HPI67" s="10"/>
      <c r="HPJ67" s="10"/>
      <c r="HPK67" s="10"/>
      <c r="HPL67" s="10"/>
      <c r="HPM67" s="10"/>
      <c r="HPN67" s="10"/>
      <c r="HPO67" s="10"/>
      <c r="HPP67" s="10"/>
      <c r="HPQ67" s="10"/>
      <c r="HPR67" s="10"/>
      <c r="HPS67" s="10"/>
      <c r="HPT67" s="10"/>
      <c r="HPU67" s="10"/>
      <c r="HPV67" s="10"/>
      <c r="HPW67" s="10"/>
      <c r="HPX67" s="10"/>
      <c r="HPY67" s="10"/>
      <c r="HPZ67" s="10"/>
      <c r="HQA67" s="10"/>
      <c r="HQB67" s="10"/>
      <c r="HQC67" s="10"/>
      <c r="HQD67" s="10"/>
      <c r="HQE67" s="10"/>
      <c r="HQF67" s="10"/>
      <c r="HQG67" s="10"/>
      <c r="HQH67" s="10"/>
      <c r="HQI67" s="10"/>
      <c r="HQJ67" s="10"/>
      <c r="HQK67" s="10"/>
      <c r="HQL67" s="10"/>
      <c r="HQM67" s="10"/>
      <c r="HQN67" s="10"/>
      <c r="HQO67" s="10"/>
      <c r="HQP67" s="10"/>
      <c r="HQQ67" s="10"/>
      <c r="HQR67" s="10"/>
      <c r="HQS67" s="10"/>
      <c r="HQT67" s="10"/>
      <c r="HQU67" s="10"/>
      <c r="HQV67" s="10"/>
      <c r="HQW67" s="10"/>
      <c r="HQX67" s="10"/>
      <c r="HQY67" s="10"/>
      <c r="HQZ67" s="10"/>
      <c r="HRA67" s="10"/>
      <c r="HRB67" s="10"/>
      <c r="HRC67" s="10"/>
      <c r="HRD67" s="10"/>
      <c r="HRE67" s="10"/>
      <c r="HRF67" s="10"/>
      <c r="HRG67" s="10"/>
      <c r="HRH67" s="10"/>
      <c r="HRI67" s="10"/>
      <c r="HRJ67" s="10"/>
      <c r="HRK67" s="10"/>
      <c r="HRL67" s="10"/>
      <c r="HRM67" s="10"/>
      <c r="HRN67" s="10"/>
      <c r="HRO67" s="10"/>
      <c r="HRP67" s="10"/>
      <c r="HRQ67" s="10"/>
      <c r="HRR67" s="10"/>
      <c r="HRS67" s="10"/>
      <c r="HRT67" s="10"/>
      <c r="HRU67" s="10"/>
      <c r="HRV67" s="10"/>
      <c r="HRW67" s="10"/>
      <c r="HRX67" s="10"/>
      <c r="HRY67" s="10"/>
      <c r="HRZ67" s="10"/>
      <c r="HSA67" s="10"/>
      <c r="HSB67" s="10"/>
      <c r="HSC67" s="10"/>
      <c r="HSD67" s="10"/>
      <c r="HSE67" s="10"/>
      <c r="HSF67" s="10"/>
      <c r="HSG67" s="10"/>
      <c r="HSH67" s="10"/>
      <c r="HSI67" s="10"/>
      <c r="HSJ67" s="10"/>
      <c r="HSK67" s="10"/>
      <c r="HSL67" s="10"/>
      <c r="HSM67" s="10"/>
      <c r="HSN67" s="10"/>
      <c r="HSO67" s="10"/>
      <c r="HSP67" s="10"/>
      <c r="HSQ67" s="10"/>
      <c r="HSR67" s="10"/>
      <c r="HSS67" s="10"/>
      <c r="HST67" s="10"/>
      <c r="HSU67" s="10"/>
      <c r="HSV67" s="10"/>
      <c r="HSW67" s="10"/>
      <c r="HSX67" s="10"/>
      <c r="HSY67" s="10"/>
      <c r="HSZ67" s="10"/>
      <c r="HTA67" s="10"/>
      <c r="HTB67" s="10"/>
      <c r="HTC67" s="10"/>
      <c r="HTD67" s="10"/>
      <c r="HTE67" s="10"/>
      <c r="HTF67" s="10"/>
      <c r="HTG67" s="10"/>
      <c r="HTH67" s="10"/>
      <c r="HTI67" s="10"/>
      <c r="HTJ67" s="10"/>
      <c r="HTK67" s="10"/>
      <c r="HTL67" s="10"/>
      <c r="HTM67" s="10"/>
      <c r="HTN67" s="10"/>
      <c r="HTO67" s="10"/>
      <c r="HTP67" s="10"/>
      <c r="HTQ67" s="10"/>
      <c r="HTR67" s="10"/>
      <c r="HTS67" s="10"/>
      <c r="HTT67" s="10"/>
      <c r="HTU67" s="10"/>
      <c r="HTV67" s="10"/>
      <c r="HTW67" s="10"/>
      <c r="HTX67" s="10"/>
      <c r="HTY67" s="10"/>
      <c r="HTZ67" s="10"/>
      <c r="HUA67" s="10"/>
      <c r="HUB67" s="10"/>
      <c r="HUC67" s="10"/>
      <c r="HUD67" s="10"/>
      <c r="HUE67" s="10"/>
      <c r="HUF67" s="10"/>
      <c r="HUG67" s="10"/>
      <c r="HUH67" s="10"/>
      <c r="HUI67" s="10"/>
      <c r="HUJ67" s="10"/>
      <c r="HUK67" s="10"/>
      <c r="HUL67" s="10"/>
      <c r="HUM67" s="10"/>
      <c r="HUN67" s="10"/>
      <c r="HUO67" s="10"/>
      <c r="HUP67" s="10"/>
      <c r="HUQ67" s="10"/>
      <c r="HUR67" s="10"/>
      <c r="HUS67" s="10"/>
      <c r="HUT67" s="10"/>
      <c r="HUU67" s="10"/>
      <c r="HUV67" s="10"/>
      <c r="HUW67" s="10"/>
      <c r="HUX67" s="10"/>
      <c r="HUY67" s="10"/>
      <c r="HUZ67" s="10"/>
      <c r="HVA67" s="10"/>
      <c r="HVB67" s="10"/>
      <c r="HVC67" s="10"/>
      <c r="HVD67" s="10"/>
      <c r="HVE67" s="10"/>
      <c r="HVF67" s="10"/>
      <c r="HVG67" s="10"/>
      <c r="HVH67" s="10"/>
      <c r="HVI67" s="10"/>
      <c r="HVJ67" s="10"/>
      <c r="HVK67" s="10"/>
      <c r="HVL67" s="10"/>
      <c r="HVM67" s="10"/>
      <c r="HVN67" s="10"/>
      <c r="HVO67" s="10"/>
      <c r="HVP67" s="10"/>
      <c r="HVQ67" s="10"/>
      <c r="HVR67" s="10"/>
      <c r="HVS67" s="10"/>
      <c r="HVT67" s="10"/>
      <c r="HVU67" s="10"/>
      <c r="HVV67" s="10"/>
      <c r="HVW67" s="10"/>
      <c r="HVX67" s="10"/>
      <c r="HVY67" s="10"/>
      <c r="HVZ67" s="10"/>
      <c r="HWA67" s="10"/>
      <c r="HWB67" s="10"/>
      <c r="HWC67" s="10"/>
      <c r="HWD67" s="10"/>
      <c r="HWE67" s="10"/>
      <c r="HWF67" s="10"/>
      <c r="HWG67" s="10"/>
      <c r="HWH67" s="10"/>
      <c r="HWI67" s="10"/>
      <c r="HWJ67" s="10"/>
      <c r="HWK67" s="10"/>
      <c r="HWL67" s="10"/>
      <c r="HWM67" s="10"/>
      <c r="HWN67" s="10"/>
      <c r="HWO67" s="10"/>
      <c r="HWP67" s="10"/>
      <c r="HWQ67" s="10"/>
      <c r="HWR67" s="10"/>
      <c r="HWS67" s="10"/>
      <c r="HWT67" s="10"/>
      <c r="HWU67" s="10"/>
      <c r="HWV67" s="10"/>
      <c r="HWW67" s="10"/>
      <c r="HWX67" s="10"/>
      <c r="HWY67" s="10"/>
      <c r="HWZ67" s="10"/>
      <c r="HXA67" s="10"/>
      <c r="HXB67" s="10"/>
      <c r="HXC67" s="10"/>
      <c r="HXD67" s="10"/>
      <c r="HXE67" s="10"/>
      <c r="HXF67" s="10"/>
      <c r="HXG67" s="10"/>
      <c r="HXH67" s="10"/>
      <c r="HXI67" s="10"/>
      <c r="HXJ67" s="10"/>
      <c r="HXK67" s="10"/>
      <c r="HXL67" s="10"/>
      <c r="HXM67" s="10"/>
      <c r="HXN67" s="10"/>
      <c r="HXO67" s="10"/>
      <c r="HXP67" s="10"/>
      <c r="HXQ67" s="10"/>
      <c r="HXR67" s="10"/>
      <c r="HXS67" s="10"/>
      <c r="HXT67" s="10"/>
      <c r="HXU67" s="10"/>
      <c r="HXV67" s="10"/>
      <c r="HXW67" s="10"/>
      <c r="HXX67" s="10"/>
      <c r="HXY67" s="10"/>
      <c r="HXZ67" s="10"/>
      <c r="HYA67" s="10"/>
      <c r="HYB67" s="10"/>
      <c r="HYC67" s="10"/>
      <c r="HYD67" s="10"/>
      <c r="HYE67" s="10"/>
      <c r="HYF67" s="10"/>
      <c r="HYG67" s="10"/>
      <c r="HYH67" s="10"/>
      <c r="HYI67" s="10"/>
      <c r="HYJ67" s="10"/>
      <c r="HYK67" s="10"/>
      <c r="HYL67" s="10"/>
      <c r="HYM67" s="10"/>
      <c r="HYN67" s="10"/>
      <c r="HYO67" s="10"/>
      <c r="HYP67" s="10"/>
      <c r="HYQ67" s="10"/>
      <c r="HYR67" s="10"/>
      <c r="HYS67" s="10"/>
      <c r="HYT67" s="10"/>
      <c r="HYU67" s="10"/>
      <c r="HYV67" s="10"/>
      <c r="HYW67" s="10"/>
      <c r="HYX67" s="10"/>
      <c r="HYY67" s="10"/>
      <c r="HYZ67" s="10"/>
      <c r="HZA67" s="10"/>
      <c r="HZB67" s="10"/>
      <c r="HZC67" s="10"/>
      <c r="HZD67" s="10"/>
      <c r="HZE67" s="10"/>
      <c r="HZF67" s="10"/>
      <c r="HZG67" s="10"/>
      <c r="HZH67" s="10"/>
      <c r="HZI67" s="10"/>
      <c r="HZJ67" s="10"/>
      <c r="HZK67" s="10"/>
      <c r="HZL67" s="10"/>
      <c r="HZM67" s="10"/>
      <c r="HZN67" s="10"/>
      <c r="HZO67" s="10"/>
      <c r="HZP67" s="10"/>
      <c r="HZQ67" s="10"/>
      <c r="HZR67" s="10"/>
      <c r="HZS67" s="10"/>
      <c r="HZT67" s="10"/>
      <c r="HZU67" s="10"/>
      <c r="HZV67" s="10"/>
      <c r="HZW67" s="10"/>
      <c r="HZX67" s="10"/>
      <c r="HZY67" s="10"/>
      <c r="HZZ67" s="10"/>
      <c r="IAA67" s="10"/>
      <c r="IAB67" s="10"/>
      <c r="IAC67" s="10"/>
      <c r="IAD67" s="10"/>
      <c r="IAE67" s="10"/>
      <c r="IAF67" s="10"/>
      <c r="IAG67" s="10"/>
      <c r="IAH67" s="10"/>
      <c r="IAI67" s="10"/>
      <c r="IAJ67" s="10"/>
      <c r="IAK67" s="10"/>
      <c r="IAL67" s="10"/>
      <c r="IAM67" s="10"/>
      <c r="IAN67" s="10"/>
      <c r="IAO67" s="10"/>
      <c r="IAP67" s="10"/>
      <c r="IAQ67" s="10"/>
      <c r="IAR67" s="10"/>
      <c r="IAS67" s="10"/>
      <c r="IAT67" s="10"/>
      <c r="IAU67" s="10"/>
      <c r="IAV67" s="10"/>
      <c r="IAW67" s="10"/>
      <c r="IAX67" s="10"/>
      <c r="IAY67" s="10"/>
      <c r="IAZ67" s="10"/>
      <c r="IBA67" s="10"/>
      <c r="IBB67" s="10"/>
      <c r="IBC67" s="10"/>
      <c r="IBD67" s="10"/>
      <c r="IBE67" s="10"/>
      <c r="IBF67" s="10"/>
      <c r="IBG67" s="10"/>
      <c r="IBH67" s="10"/>
      <c r="IBI67" s="10"/>
      <c r="IBJ67" s="10"/>
      <c r="IBK67" s="10"/>
      <c r="IBL67" s="10"/>
      <c r="IBM67" s="10"/>
      <c r="IBN67" s="10"/>
      <c r="IBO67" s="10"/>
      <c r="IBP67" s="10"/>
      <c r="IBQ67" s="10"/>
      <c r="IBR67" s="10"/>
      <c r="IBS67" s="10"/>
      <c r="IBT67" s="10"/>
      <c r="IBU67" s="10"/>
      <c r="IBV67" s="10"/>
      <c r="IBW67" s="10"/>
      <c r="IBX67" s="10"/>
      <c r="IBY67" s="10"/>
      <c r="IBZ67" s="10"/>
      <c r="ICA67" s="10"/>
      <c r="ICB67" s="10"/>
      <c r="ICC67" s="10"/>
      <c r="ICD67" s="10"/>
      <c r="ICE67" s="10"/>
      <c r="ICF67" s="10"/>
      <c r="ICG67" s="10"/>
      <c r="ICH67" s="10"/>
      <c r="ICI67" s="10"/>
      <c r="ICJ67" s="10"/>
      <c r="ICK67" s="10"/>
      <c r="ICL67" s="10"/>
      <c r="ICM67" s="10"/>
      <c r="ICN67" s="10"/>
      <c r="ICO67" s="10"/>
      <c r="ICP67" s="10"/>
      <c r="ICQ67" s="10"/>
      <c r="ICR67" s="10"/>
      <c r="ICS67" s="10"/>
      <c r="ICT67" s="10"/>
      <c r="ICU67" s="10"/>
      <c r="ICV67" s="10"/>
      <c r="ICW67" s="10"/>
      <c r="ICX67" s="10"/>
      <c r="ICY67" s="10"/>
      <c r="ICZ67" s="10"/>
      <c r="IDA67" s="10"/>
      <c r="IDB67" s="10"/>
      <c r="IDC67" s="10"/>
      <c r="IDD67" s="10"/>
      <c r="IDE67" s="10"/>
      <c r="IDF67" s="10"/>
      <c r="IDG67" s="10"/>
      <c r="IDH67" s="10"/>
      <c r="IDI67" s="10"/>
      <c r="IDJ67" s="10"/>
      <c r="IDK67" s="10"/>
      <c r="IDL67" s="10"/>
      <c r="IDM67" s="10"/>
      <c r="IDN67" s="10"/>
      <c r="IDO67" s="10"/>
      <c r="IDP67" s="10"/>
      <c r="IDQ67" s="10"/>
      <c r="IDR67" s="10"/>
      <c r="IDS67" s="10"/>
      <c r="IDT67" s="10"/>
      <c r="IDU67" s="10"/>
      <c r="IDV67" s="10"/>
      <c r="IDW67" s="10"/>
      <c r="IDX67" s="10"/>
      <c r="IDY67" s="10"/>
      <c r="IDZ67" s="10"/>
      <c r="IEA67" s="10"/>
      <c r="IEB67" s="10"/>
      <c r="IEC67" s="10"/>
      <c r="IED67" s="10"/>
      <c r="IEE67" s="10"/>
      <c r="IEF67" s="10"/>
      <c r="IEG67" s="10"/>
      <c r="IEH67" s="10"/>
      <c r="IEI67" s="10"/>
      <c r="IEJ67" s="10"/>
      <c r="IEK67" s="10"/>
      <c r="IEL67" s="10"/>
      <c r="IEM67" s="10"/>
      <c r="IEN67" s="10"/>
      <c r="IEO67" s="10"/>
      <c r="IEP67" s="10"/>
      <c r="IEQ67" s="10"/>
      <c r="IER67" s="10"/>
      <c r="IES67" s="10"/>
      <c r="IET67" s="10"/>
      <c r="IEU67" s="10"/>
      <c r="IEV67" s="10"/>
      <c r="IEW67" s="10"/>
      <c r="IEX67" s="10"/>
      <c r="IEY67" s="10"/>
      <c r="IEZ67" s="10"/>
      <c r="IFA67" s="10"/>
      <c r="IFB67" s="10"/>
      <c r="IFC67" s="10"/>
      <c r="IFD67" s="10"/>
      <c r="IFE67" s="10"/>
      <c r="IFF67" s="10"/>
      <c r="IFG67" s="10"/>
      <c r="IFH67" s="10"/>
      <c r="IFI67" s="10"/>
      <c r="IFJ67" s="10"/>
      <c r="IFK67" s="10"/>
      <c r="IFL67" s="10"/>
      <c r="IFM67" s="10"/>
      <c r="IFN67" s="10"/>
      <c r="IFO67" s="10"/>
      <c r="IFP67" s="10"/>
      <c r="IFQ67" s="10"/>
      <c r="IFR67" s="10"/>
      <c r="IFS67" s="10"/>
      <c r="IFT67" s="10"/>
      <c r="IFU67" s="10"/>
      <c r="IFV67" s="10"/>
      <c r="IFW67" s="10"/>
      <c r="IFX67" s="10"/>
      <c r="IFY67" s="10"/>
      <c r="IFZ67" s="10"/>
      <c r="IGA67" s="10"/>
      <c r="IGB67" s="10"/>
      <c r="IGC67" s="10"/>
      <c r="IGD67" s="10"/>
      <c r="IGE67" s="10"/>
      <c r="IGF67" s="10"/>
      <c r="IGG67" s="10"/>
      <c r="IGH67" s="10"/>
      <c r="IGI67" s="10"/>
      <c r="IGJ67" s="10"/>
      <c r="IGK67" s="10"/>
      <c r="IGL67" s="10"/>
      <c r="IGM67" s="10"/>
      <c r="IGN67" s="10"/>
      <c r="IGO67" s="10"/>
      <c r="IGP67" s="10"/>
      <c r="IGQ67" s="10"/>
      <c r="IGR67" s="10"/>
      <c r="IGS67" s="10"/>
      <c r="IGT67" s="10"/>
      <c r="IGU67" s="10"/>
      <c r="IGV67" s="10"/>
      <c r="IGW67" s="10"/>
      <c r="IGX67" s="10"/>
      <c r="IGY67" s="10"/>
      <c r="IGZ67" s="10"/>
      <c r="IHA67" s="10"/>
      <c r="IHB67" s="10"/>
      <c r="IHC67" s="10"/>
      <c r="IHD67" s="10"/>
      <c r="IHE67" s="10"/>
      <c r="IHF67" s="10"/>
      <c r="IHG67" s="10"/>
      <c r="IHH67" s="10"/>
      <c r="IHI67" s="10"/>
      <c r="IHJ67" s="10"/>
      <c r="IHK67" s="10"/>
      <c r="IHL67" s="10"/>
      <c r="IHM67" s="10"/>
      <c r="IHN67" s="10"/>
      <c r="IHO67" s="10"/>
      <c r="IHP67" s="10"/>
      <c r="IHQ67" s="10"/>
      <c r="IHR67" s="10"/>
      <c r="IHS67" s="10"/>
      <c r="IHT67" s="10"/>
      <c r="IHU67" s="10"/>
      <c r="IHV67" s="10"/>
      <c r="IHW67" s="10"/>
      <c r="IHX67" s="10"/>
      <c r="IHY67" s="10"/>
      <c r="IHZ67" s="10"/>
      <c r="IIA67" s="10"/>
      <c r="IIB67" s="10"/>
      <c r="IIC67" s="10"/>
      <c r="IID67" s="10"/>
      <c r="IIE67" s="10"/>
      <c r="IIF67" s="10"/>
      <c r="IIG67" s="10"/>
      <c r="IIH67" s="10"/>
      <c r="III67" s="10"/>
      <c r="IIJ67" s="10"/>
      <c r="IIK67" s="10"/>
      <c r="IIL67" s="10"/>
      <c r="IIM67" s="10"/>
      <c r="IIN67" s="10"/>
      <c r="IIO67" s="10"/>
      <c r="IIP67" s="10"/>
      <c r="IIQ67" s="10"/>
      <c r="IIR67" s="10"/>
      <c r="IIS67" s="10"/>
      <c r="IIT67" s="10"/>
      <c r="IIU67" s="10"/>
      <c r="IIV67" s="10"/>
      <c r="IIW67" s="10"/>
      <c r="IIX67" s="10"/>
      <c r="IIY67" s="10"/>
      <c r="IIZ67" s="10"/>
      <c r="IJA67" s="10"/>
      <c r="IJB67" s="10"/>
      <c r="IJC67" s="10"/>
      <c r="IJD67" s="10"/>
      <c r="IJE67" s="10"/>
      <c r="IJF67" s="10"/>
      <c r="IJG67" s="10"/>
      <c r="IJH67" s="10"/>
      <c r="IJI67" s="10"/>
      <c r="IJJ67" s="10"/>
      <c r="IJK67" s="10"/>
      <c r="IJL67" s="10"/>
      <c r="IJM67" s="10"/>
      <c r="IJN67" s="10"/>
      <c r="IJO67" s="10"/>
      <c r="IJP67" s="10"/>
      <c r="IJQ67" s="10"/>
      <c r="IJR67" s="10"/>
      <c r="IJS67" s="10"/>
      <c r="IJT67" s="10"/>
      <c r="IJU67" s="10"/>
      <c r="IJV67" s="10"/>
      <c r="IJW67" s="10"/>
      <c r="IJX67" s="10"/>
      <c r="IJY67" s="10"/>
      <c r="IJZ67" s="10"/>
      <c r="IKA67" s="10"/>
      <c r="IKB67" s="10"/>
      <c r="IKC67" s="10"/>
      <c r="IKD67" s="10"/>
      <c r="IKE67" s="10"/>
      <c r="IKF67" s="10"/>
      <c r="IKG67" s="10"/>
      <c r="IKH67" s="10"/>
      <c r="IKI67" s="10"/>
      <c r="IKJ67" s="10"/>
      <c r="IKK67" s="10"/>
      <c r="IKL67" s="10"/>
      <c r="IKM67" s="10"/>
      <c r="IKN67" s="10"/>
      <c r="IKO67" s="10"/>
      <c r="IKP67" s="10"/>
      <c r="IKQ67" s="10"/>
      <c r="IKR67" s="10"/>
      <c r="IKS67" s="10"/>
      <c r="IKT67" s="10"/>
      <c r="IKU67" s="10"/>
      <c r="IKV67" s="10"/>
      <c r="IKW67" s="10"/>
      <c r="IKX67" s="10"/>
      <c r="IKY67" s="10"/>
      <c r="IKZ67" s="10"/>
      <c r="ILA67" s="10"/>
      <c r="ILB67" s="10"/>
      <c r="ILC67" s="10"/>
      <c r="ILD67" s="10"/>
      <c r="ILE67" s="10"/>
      <c r="ILF67" s="10"/>
      <c r="ILG67" s="10"/>
      <c r="ILH67" s="10"/>
      <c r="ILI67" s="10"/>
      <c r="ILJ67" s="10"/>
      <c r="ILK67" s="10"/>
      <c r="ILL67" s="10"/>
      <c r="ILM67" s="10"/>
      <c r="ILN67" s="10"/>
      <c r="ILO67" s="10"/>
      <c r="ILP67" s="10"/>
      <c r="ILQ67" s="10"/>
      <c r="ILR67" s="10"/>
      <c r="ILS67" s="10"/>
      <c r="ILT67" s="10"/>
      <c r="ILU67" s="10"/>
      <c r="ILV67" s="10"/>
      <c r="ILW67" s="10"/>
      <c r="ILX67" s="10"/>
      <c r="ILY67" s="10"/>
      <c r="ILZ67" s="10"/>
      <c r="IMA67" s="10"/>
      <c r="IMB67" s="10"/>
      <c r="IMC67" s="10"/>
      <c r="IMD67" s="10"/>
      <c r="IME67" s="10"/>
      <c r="IMF67" s="10"/>
      <c r="IMG67" s="10"/>
      <c r="IMH67" s="10"/>
      <c r="IMI67" s="10"/>
      <c r="IMJ67" s="10"/>
      <c r="IMK67" s="10"/>
      <c r="IML67" s="10"/>
      <c r="IMM67" s="10"/>
      <c r="IMN67" s="10"/>
      <c r="IMO67" s="10"/>
      <c r="IMP67" s="10"/>
      <c r="IMQ67" s="10"/>
      <c r="IMR67" s="10"/>
      <c r="IMS67" s="10"/>
      <c r="IMT67" s="10"/>
      <c r="IMU67" s="10"/>
      <c r="IMV67" s="10"/>
      <c r="IMW67" s="10"/>
      <c r="IMX67" s="10"/>
      <c r="IMY67" s="10"/>
      <c r="IMZ67" s="10"/>
      <c r="INA67" s="10"/>
      <c r="INB67" s="10"/>
      <c r="INC67" s="10"/>
      <c r="IND67" s="10"/>
      <c r="INE67" s="10"/>
      <c r="INF67" s="10"/>
      <c r="ING67" s="10"/>
      <c r="INH67" s="10"/>
      <c r="INI67" s="10"/>
      <c r="INJ67" s="10"/>
      <c r="INK67" s="10"/>
      <c r="INL67" s="10"/>
      <c r="INM67" s="10"/>
      <c r="INN67" s="10"/>
      <c r="INO67" s="10"/>
      <c r="INP67" s="10"/>
      <c r="INQ67" s="10"/>
      <c r="INR67" s="10"/>
      <c r="INS67" s="10"/>
      <c r="INT67" s="10"/>
      <c r="INU67" s="10"/>
      <c r="INV67" s="10"/>
      <c r="INW67" s="10"/>
      <c r="INX67" s="10"/>
      <c r="INY67" s="10"/>
      <c r="INZ67" s="10"/>
      <c r="IOA67" s="10"/>
      <c r="IOB67" s="10"/>
      <c r="IOC67" s="10"/>
      <c r="IOD67" s="10"/>
      <c r="IOE67" s="10"/>
      <c r="IOF67" s="10"/>
      <c r="IOG67" s="10"/>
      <c r="IOH67" s="10"/>
      <c r="IOI67" s="10"/>
      <c r="IOJ67" s="10"/>
      <c r="IOK67" s="10"/>
      <c r="IOL67" s="10"/>
      <c r="IOM67" s="10"/>
      <c r="ION67" s="10"/>
      <c r="IOO67" s="10"/>
      <c r="IOP67" s="10"/>
      <c r="IOQ67" s="10"/>
      <c r="IOR67" s="10"/>
      <c r="IOS67" s="10"/>
      <c r="IOT67" s="10"/>
      <c r="IOU67" s="10"/>
      <c r="IOV67" s="10"/>
      <c r="IOW67" s="10"/>
      <c r="IOX67" s="10"/>
      <c r="IOY67" s="10"/>
      <c r="IOZ67" s="10"/>
      <c r="IPA67" s="10"/>
      <c r="IPB67" s="10"/>
      <c r="IPC67" s="10"/>
      <c r="IPD67" s="10"/>
      <c r="IPE67" s="10"/>
      <c r="IPF67" s="10"/>
      <c r="IPG67" s="10"/>
      <c r="IPH67" s="10"/>
      <c r="IPI67" s="10"/>
      <c r="IPJ67" s="10"/>
      <c r="IPK67" s="10"/>
      <c r="IPL67" s="10"/>
      <c r="IPM67" s="10"/>
      <c r="IPN67" s="10"/>
      <c r="IPO67" s="10"/>
      <c r="IPP67" s="10"/>
      <c r="IPQ67" s="10"/>
      <c r="IPR67" s="10"/>
      <c r="IPS67" s="10"/>
      <c r="IPT67" s="10"/>
      <c r="IPU67" s="10"/>
      <c r="IPV67" s="10"/>
      <c r="IPW67" s="10"/>
      <c r="IPX67" s="10"/>
      <c r="IPY67" s="10"/>
      <c r="IPZ67" s="10"/>
      <c r="IQA67" s="10"/>
      <c r="IQB67" s="10"/>
      <c r="IQC67" s="10"/>
      <c r="IQD67" s="10"/>
      <c r="IQE67" s="10"/>
      <c r="IQF67" s="10"/>
      <c r="IQG67" s="10"/>
      <c r="IQH67" s="10"/>
      <c r="IQI67" s="10"/>
      <c r="IQJ67" s="10"/>
      <c r="IQK67" s="10"/>
      <c r="IQL67" s="10"/>
      <c r="IQM67" s="10"/>
      <c r="IQN67" s="10"/>
      <c r="IQO67" s="10"/>
      <c r="IQP67" s="10"/>
      <c r="IQQ67" s="10"/>
      <c r="IQR67" s="10"/>
      <c r="IQS67" s="10"/>
      <c r="IQT67" s="10"/>
      <c r="IQU67" s="10"/>
      <c r="IQV67" s="10"/>
      <c r="IQW67" s="10"/>
      <c r="IQX67" s="10"/>
      <c r="IQY67" s="10"/>
      <c r="IQZ67" s="10"/>
      <c r="IRA67" s="10"/>
      <c r="IRB67" s="10"/>
      <c r="IRC67" s="10"/>
      <c r="IRD67" s="10"/>
      <c r="IRE67" s="10"/>
      <c r="IRF67" s="10"/>
      <c r="IRG67" s="10"/>
      <c r="IRH67" s="10"/>
      <c r="IRI67" s="10"/>
      <c r="IRJ67" s="10"/>
      <c r="IRK67" s="10"/>
      <c r="IRL67" s="10"/>
      <c r="IRM67" s="10"/>
      <c r="IRN67" s="10"/>
      <c r="IRO67" s="10"/>
      <c r="IRP67" s="10"/>
      <c r="IRQ67" s="10"/>
      <c r="IRR67" s="10"/>
      <c r="IRS67" s="10"/>
      <c r="IRT67" s="10"/>
      <c r="IRU67" s="10"/>
      <c r="IRV67" s="10"/>
      <c r="IRW67" s="10"/>
      <c r="IRX67" s="10"/>
      <c r="IRY67" s="10"/>
      <c r="IRZ67" s="10"/>
      <c r="ISA67" s="10"/>
      <c r="ISB67" s="10"/>
      <c r="ISC67" s="10"/>
      <c r="ISD67" s="10"/>
      <c r="ISE67" s="10"/>
      <c r="ISF67" s="10"/>
      <c r="ISG67" s="10"/>
      <c r="ISH67" s="10"/>
      <c r="ISI67" s="10"/>
      <c r="ISJ67" s="10"/>
      <c r="ISK67" s="10"/>
      <c r="ISL67" s="10"/>
      <c r="ISM67" s="10"/>
      <c r="ISN67" s="10"/>
      <c r="ISO67" s="10"/>
      <c r="ISP67" s="10"/>
      <c r="ISQ67" s="10"/>
      <c r="ISR67" s="10"/>
      <c r="ISS67" s="10"/>
      <c r="IST67" s="10"/>
      <c r="ISU67" s="10"/>
      <c r="ISV67" s="10"/>
      <c r="ISW67" s="10"/>
      <c r="ISX67" s="10"/>
      <c r="ISY67" s="10"/>
      <c r="ISZ67" s="10"/>
      <c r="ITA67" s="10"/>
      <c r="ITB67" s="10"/>
      <c r="ITC67" s="10"/>
      <c r="ITD67" s="10"/>
      <c r="ITE67" s="10"/>
      <c r="ITF67" s="10"/>
      <c r="ITG67" s="10"/>
      <c r="ITH67" s="10"/>
      <c r="ITI67" s="10"/>
      <c r="ITJ67" s="10"/>
      <c r="ITK67" s="10"/>
      <c r="ITL67" s="10"/>
      <c r="ITM67" s="10"/>
      <c r="ITN67" s="10"/>
      <c r="ITO67" s="10"/>
      <c r="ITP67" s="10"/>
      <c r="ITQ67" s="10"/>
      <c r="ITR67" s="10"/>
      <c r="ITS67" s="10"/>
      <c r="ITT67" s="10"/>
      <c r="ITU67" s="10"/>
      <c r="ITV67" s="10"/>
      <c r="ITW67" s="10"/>
      <c r="ITX67" s="10"/>
      <c r="ITY67" s="10"/>
      <c r="ITZ67" s="10"/>
      <c r="IUA67" s="10"/>
      <c r="IUB67" s="10"/>
      <c r="IUC67" s="10"/>
      <c r="IUD67" s="10"/>
      <c r="IUE67" s="10"/>
      <c r="IUF67" s="10"/>
      <c r="IUG67" s="10"/>
      <c r="IUH67" s="10"/>
      <c r="IUI67" s="10"/>
      <c r="IUJ67" s="10"/>
      <c r="IUK67" s="10"/>
      <c r="IUL67" s="10"/>
      <c r="IUM67" s="10"/>
      <c r="IUN67" s="10"/>
      <c r="IUO67" s="10"/>
      <c r="IUP67" s="10"/>
      <c r="IUQ67" s="10"/>
      <c r="IUR67" s="10"/>
      <c r="IUS67" s="10"/>
      <c r="IUT67" s="10"/>
      <c r="IUU67" s="10"/>
      <c r="IUV67" s="10"/>
      <c r="IUW67" s="10"/>
      <c r="IUX67" s="10"/>
      <c r="IUY67" s="10"/>
      <c r="IUZ67" s="10"/>
      <c r="IVA67" s="10"/>
      <c r="IVB67" s="10"/>
      <c r="IVC67" s="10"/>
      <c r="IVD67" s="10"/>
      <c r="IVE67" s="10"/>
      <c r="IVF67" s="10"/>
      <c r="IVG67" s="10"/>
      <c r="IVH67" s="10"/>
      <c r="IVI67" s="10"/>
      <c r="IVJ67" s="10"/>
      <c r="IVK67" s="10"/>
      <c r="IVL67" s="10"/>
      <c r="IVM67" s="10"/>
      <c r="IVN67" s="10"/>
      <c r="IVO67" s="10"/>
      <c r="IVP67" s="10"/>
      <c r="IVQ67" s="10"/>
      <c r="IVR67" s="10"/>
      <c r="IVS67" s="10"/>
      <c r="IVT67" s="10"/>
      <c r="IVU67" s="10"/>
      <c r="IVV67" s="10"/>
      <c r="IVW67" s="10"/>
      <c r="IVX67" s="10"/>
      <c r="IVY67" s="10"/>
      <c r="IVZ67" s="10"/>
      <c r="IWA67" s="10"/>
      <c r="IWB67" s="10"/>
      <c r="IWC67" s="10"/>
      <c r="IWD67" s="10"/>
      <c r="IWE67" s="10"/>
      <c r="IWF67" s="10"/>
      <c r="IWG67" s="10"/>
      <c r="IWH67" s="10"/>
      <c r="IWI67" s="10"/>
      <c r="IWJ67" s="10"/>
      <c r="IWK67" s="10"/>
      <c r="IWL67" s="10"/>
      <c r="IWM67" s="10"/>
      <c r="IWN67" s="10"/>
      <c r="IWO67" s="10"/>
      <c r="IWP67" s="10"/>
      <c r="IWQ67" s="10"/>
      <c r="IWR67" s="10"/>
      <c r="IWS67" s="10"/>
      <c r="IWT67" s="10"/>
      <c r="IWU67" s="10"/>
      <c r="IWV67" s="10"/>
      <c r="IWW67" s="10"/>
      <c r="IWX67" s="10"/>
      <c r="IWY67" s="10"/>
      <c r="IWZ67" s="10"/>
      <c r="IXA67" s="10"/>
      <c r="IXB67" s="10"/>
      <c r="IXC67" s="10"/>
      <c r="IXD67" s="10"/>
      <c r="IXE67" s="10"/>
      <c r="IXF67" s="10"/>
      <c r="IXG67" s="10"/>
      <c r="IXH67" s="10"/>
      <c r="IXI67" s="10"/>
      <c r="IXJ67" s="10"/>
      <c r="IXK67" s="10"/>
      <c r="IXL67" s="10"/>
      <c r="IXM67" s="10"/>
      <c r="IXN67" s="10"/>
      <c r="IXO67" s="10"/>
      <c r="IXP67" s="10"/>
      <c r="IXQ67" s="10"/>
      <c r="IXR67" s="10"/>
      <c r="IXS67" s="10"/>
      <c r="IXT67" s="10"/>
      <c r="IXU67" s="10"/>
      <c r="IXV67" s="10"/>
      <c r="IXW67" s="10"/>
      <c r="IXX67" s="10"/>
      <c r="IXY67" s="10"/>
      <c r="IXZ67" s="10"/>
      <c r="IYA67" s="10"/>
      <c r="IYB67" s="10"/>
      <c r="IYC67" s="10"/>
      <c r="IYD67" s="10"/>
      <c r="IYE67" s="10"/>
      <c r="IYF67" s="10"/>
      <c r="IYG67" s="10"/>
      <c r="IYH67" s="10"/>
      <c r="IYI67" s="10"/>
      <c r="IYJ67" s="10"/>
      <c r="IYK67" s="10"/>
      <c r="IYL67" s="10"/>
      <c r="IYM67" s="10"/>
      <c r="IYN67" s="10"/>
      <c r="IYO67" s="10"/>
      <c r="IYP67" s="10"/>
      <c r="IYQ67" s="10"/>
      <c r="IYR67" s="10"/>
      <c r="IYS67" s="10"/>
      <c r="IYT67" s="10"/>
      <c r="IYU67" s="10"/>
      <c r="IYV67" s="10"/>
      <c r="IYW67" s="10"/>
      <c r="IYX67" s="10"/>
      <c r="IYY67" s="10"/>
      <c r="IYZ67" s="10"/>
      <c r="IZA67" s="10"/>
      <c r="IZB67" s="10"/>
      <c r="IZC67" s="10"/>
      <c r="IZD67" s="10"/>
      <c r="IZE67" s="10"/>
      <c r="IZF67" s="10"/>
      <c r="IZG67" s="10"/>
      <c r="IZH67" s="10"/>
      <c r="IZI67" s="10"/>
      <c r="IZJ67" s="10"/>
      <c r="IZK67" s="10"/>
      <c r="IZL67" s="10"/>
      <c r="IZM67" s="10"/>
      <c r="IZN67" s="10"/>
      <c r="IZO67" s="10"/>
      <c r="IZP67" s="10"/>
      <c r="IZQ67" s="10"/>
      <c r="IZR67" s="10"/>
      <c r="IZS67" s="10"/>
      <c r="IZT67" s="10"/>
      <c r="IZU67" s="10"/>
      <c r="IZV67" s="10"/>
      <c r="IZW67" s="10"/>
      <c r="IZX67" s="10"/>
      <c r="IZY67" s="10"/>
      <c r="IZZ67" s="10"/>
      <c r="JAA67" s="10"/>
      <c r="JAB67" s="10"/>
      <c r="JAC67" s="10"/>
      <c r="JAD67" s="10"/>
      <c r="JAE67" s="10"/>
      <c r="JAF67" s="10"/>
      <c r="JAG67" s="10"/>
      <c r="JAH67" s="10"/>
      <c r="JAI67" s="10"/>
      <c r="JAJ67" s="10"/>
      <c r="JAK67" s="10"/>
      <c r="JAL67" s="10"/>
      <c r="JAM67" s="10"/>
      <c r="JAN67" s="10"/>
      <c r="JAO67" s="10"/>
      <c r="JAP67" s="10"/>
      <c r="JAQ67" s="10"/>
      <c r="JAR67" s="10"/>
      <c r="JAS67" s="10"/>
      <c r="JAT67" s="10"/>
      <c r="JAU67" s="10"/>
      <c r="JAV67" s="10"/>
      <c r="JAW67" s="10"/>
      <c r="JAX67" s="10"/>
      <c r="JAY67" s="10"/>
      <c r="JAZ67" s="10"/>
      <c r="JBA67" s="10"/>
      <c r="JBB67" s="10"/>
      <c r="JBC67" s="10"/>
      <c r="JBD67" s="10"/>
      <c r="JBE67" s="10"/>
      <c r="JBF67" s="10"/>
      <c r="JBG67" s="10"/>
      <c r="JBH67" s="10"/>
      <c r="JBI67" s="10"/>
      <c r="JBJ67" s="10"/>
      <c r="JBK67" s="10"/>
      <c r="JBL67" s="10"/>
      <c r="JBM67" s="10"/>
      <c r="JBN67" s="10"/>
      <c r="JBO67" s="10"/>
      <c r="JBP67" s="10"/>
      <c r="JBQ67" s="10"/>
      <c r="JBR67" s="10"/>
      <c r="JBS67" s="10"/>
      <c r="JBT67" s="10"/>
      <c r="JBU67" s="10"/>
      <c r="JBV67" s="10"/>
      <c r="JBW67" s="10"/>
      <c r="JBX67" s="10"/>
      <c r="JBY67" s="10"/>
      <c r="JBZ67" s="10"/>
      <c r="JCA67" s="10"/>
      <c r="JCB67" s="10"/>
      <c r="JCC67" s="10"/>
      <c r="JCD67" s="10"/>
      <c r="JCE67" s="10"/>
      <c r="JCF67" s="10"/>
      <c r="JCG67" s="10"/>
      <c r="JCH67" s="10"/>
      <c r="JCI67" s="10"/>
      <c r="JCJ67" s="10"/>
      <c r="JCK67" s="10"/>
      <c r="JCL67" s="10"/>
      <c r="JCM67" s="10"/>
      <c r="JCN67" s="10"/>
      <c r="JCO67" s="10"/>
      <c r="JCP67" s="10"/>
      <c r="JCQ67" s="10"/>
      <c r="JCR67" s="10"/>
      <c r="JCS67" s="10"/>
      <c r="JCT67" s="10"/>
      <c r="JCU67" s="10"/>
      <c r="JCV67" s="10"/>
      <c r="JCW67" s="10"/>
      <c r="JCX67" s="10"/>
      <c r="JCY67" s="10"/>
      <c r="JCZ67" s="10"/>
      <c r="JDA67" s="10"/>
      <c r="JDB67" s="10"/>
      <c r="JDC67" s="10"/>
      <c r="JDD67" s="10"/>
      <c r="JDE67" s="10"/>
      <c r="JDF67" s="10"/>
      <c r="JDG67" s="10"/>
      <c r="JDH67" s="10"/>
      <c r="JDI67" s="10"/>
      <c r="JDJ67" s="10"/>
      <c r="JDK67" s="10"/>
      <c r="JDL67" s="10"/>
      <c r="JDM67" s="10"/>
      <c r="JDN67" s="10"/>
      <c r="JDO67" s="10"/>
      <c r="JDP67" s="10"/>
      <c r="JDQ67" s="10"/>
      <c r="JDR67" s="10"/>
      <c r="JDS67" s="10"/>
      <c r="JDT67" s="10"/>
      <c r="JDU67" s="10"/>
      <c r="JDV67" s="10"/>
      <c r="JDW67" s="10"/>
      <c r="JDX67" s="10"/>
      <c r="JDY67" s="10"/>
      <c r="JDZ67" s="10"/>
      <c r="JEA67" s="10"/>
      <c r="JEB67" s="10"/>
      <c r="JEC67" s="10"/>
      <c r="JED67" s="10"/>
      <c r="JEE67" s="10"/>
      <c r="JEF67" s="10"/>
      <c r="JEG67" s="10"/>
      <c r="JEH67" s="10"/>
      <c r="JEI67" s="10"/>
      <c r="JEJ67" s="10"/>
      <c r="JEK67" s="10"/>
      <c r="JEL67" s="10"/>
      <c r="JEM67" s="10"/>
      <c r="JEN67" s="10"/>
      <c r="JEO67" s="10"/>
      <c r="JEP67" s="10"/>
      <c r="JEQ67" s="10"/>
      <c r="JER67" s="10"/>
      <c r="JES67" s="10"/>
      <c r="JET67" s="10"/>
      <c r="JEU67" s="10"/>
      <c r="JEV67" s="10"/>
      <c r="JEW67" s="10"/>
      <c r="JEX67" s="10"/>
      <c r="JEY67" s="10"/>
      <c r="JEZ67" s="10"/>
      <c r="JFA67" s="10"/>
      <c r="JFB67" s="10"/>
      <c r="JFC67" s="10"/>
      <c r="JFD67" s="10"/>
      <c r="JFE67" s="10"/>
      <c r="JFF67" s="10"/>
      <c r="JFG67" s="10"/>
      <c r="JFH67" s="10"/>
      <c r="JFI67" s="10"/>
      <c r="JFJ67" s="10"/>
      <c r="JFK67" s="10"/>
      <c r="JFL67" s="10"/>
      <c r="JFM67" s="10"/>
      <c r="JFN67" s="10"/>
      <c r="JFO67" s="10"/>
      <c r="JFP67" s="10"/>
      <c r="JFQ67" s="10"/>
      <c r="JFR67" s="10"/>
      <c r="JFS67" s="10"/>
      <c r="JFT67" s="10"/>
      <c r="JFU67" s="10"/>
      <c r="JFV67" s="10"/>
      <c r="JFW67" s="10"/>
      <c r="JFX67" s="10"/>
      <c r="JFY67" s="10"/>
      <c r="JFZ67" s="10"/>
      <c r="JGA67" s="10"/>
      <c r="JGB67" s="10"/>
      <c r="JGC67" s="10"/>
      <c r="JGD67" s="10"/>
      <c r="JGE67" s="10"/>
      <c r="JGF67" s="10"/>
      <c r="JGG67" s="10"/>
      <c r="JGH67" s="10"/>
      <c r="JGI67" s="10"/>
      <c r="JGJ67" s="10"/>
      <c r="JGK67" s="10"/>
      <c r="JGL67" s="10"/>
      <c r="JGM67" s="10"/>
      <c r="JGN67" s="10"/>
      <c r="JGO67" s="10"/>
      <c r="JGP67" s="10"/>
      <c r="JGQ67" s="10"/>
      <c r="JGR67" s="10"/>
      <c r="JGS67" s="10"/>
      <c r="JGT67" s="10"/>
      <c r="JGU67" s="10"/>
      <c r="JGV67" s="10"/>
      <c r="JGW67" s="10"/>
      <c r="JGX67" s="10"/>
      <c r="JGY67" s="10"/>
      <c r="JGZ67" s="10"/>
      <c r="JHA67" s="10"/>
      <c r="JHB67" s="10"/>
      <c r="JHC67" s="10"/>
      <c r="JHD67" s="10"/>
      <c r="JHE67" s="10"/>
      <c r="JHF67" s="10"/>
      <c r="JHG67" s="10"/>
      <c r="JHH67" s="10"/>
      <c r="JHI67" s="10"/>
      <c r="JHJ67" s="10"/>
      <c r="JHK67" s="10"/>
      <c r="JHL67" s="10"/>
      <c r="JHM67" s="10"/>
      <c r="JHN67" s="10"/>
      <c r="JHO67" s="10"/>
      <c r="JHP67" s="10"/>
      <c r="JHQ67" s="10"/>
      <c r="JHR67" s="10"/>
      <c r="JHS67" s="10"/>
      <c r="JHT67" s="10"/>
      <c r="JHU67" s="10"/>
      <c r="JHV67" s="10"/>
      <c r="JHW67" s="10"/>
      <c r="JHX67" s="10"/>
      <c r="JHY67" s="10"/>
      <c r="JHZ67" s="10"/>
      <c r="JIA67" s="10"/>
      <c r="JIB67" s="10"/>
      <c r="JIC67" s="10"/>
      <c r="JID67" s="10"/>
      <c r="JIE67" s="10"/>
      <c r="JIF67" s="10"/>
      <c r="JIG67" s="10"/>
      <c r="JIH67" s="10"/>
      <c r="JII67" s="10"/>
      <c r="JIJ67" s="10"/>
      <c r="JIK67" s="10"/>
      <c r="JIL67" s="10"/>
      <c r="JIM67" s="10"/>
      <c r="JIN67" s="10"/>
      <c r="JIO67" s="10"/>
      <c r="JIP67" s="10"/>
      <c r="JIQ67" s="10"/>
      <c r="JIR67" s="10"/>
      <c r="JIS67" s="10"/>
      <c r="JIT67" s="10"/>
      <c r="JIU67" s="10"/>
      <c r="JIV67" s="10"/>
      <c r="JIW67" s="10"/>
      <c r="JIX67" s="10"/>
      <c r="JIY67" s="10"/>
      <c r="JIZ67" s="10"/>
      <c r="JJA67" s="10"/>
      <c r="JJB67" s="10"/>
      <c r="JJC67" s="10"/>
      <c r="JJD67" s="10"/>
      <c r="JJE67" s="10"/>
      <c r="JJF67" s="10"/>
      <c r="JJG67" s="10"/>
      <c r="JJH67" s="10"/>
      <c r="JJI67" s="10"/>
      <c r="JJJ67" s="10"/>
      <c r="JJK67" s="10"/>
      <c r="JJL67" s="10"/>
      <c r="JJM67" s="10"/>
      <c r="JJN67" s="10"/>
      <c r="JJO67" s="10"/>
      <c r="JJP67" s="10"/>
      <c r="JJQ67" s="10"/>
      <c r="JJR67" s="10"/>
      <c r="JJS67" s="10"/>
      <c r="JJT67" s="10"/>
      <c r="JJU67" s="10"/>
      <c r="JJV67" s="10"/>
      <c r="JJW67" s="10"/>
      <c r="JJX67" s="10"/>
      <c r="JJY67" s="10"/>
      <c r="JJZ67" s="10"/>
      <c r="JKA67" s="10"/>
      <c r="JKB67" s="10"/>
      <c r="JKC67" s="10"/>
      <c r="JKD67" s="10"/>
      <c r="JKE67" s="10"/>
      <c r="JKF67" s="10"/>
      <c r="JKG67" s="10"/>
      <c r="JKH67" s="10"/>
      <c r="JKI67" s="10"/>
      <c r="JKJ67" s="10"/>
      <c r="JKK67" s="10"/>
      <c r="JKL67" s="10"/>
      <c r="JKM67" s="10"/>
      <c r="JKN67" s="10"/>
      <c r="JKO67" s="10"/>
      <c r="JKP67" s="10"/>
      <c r="JKQ67" s="10"/>
      <c r="JKR67" s="10"/>
      <c r="JKS67" s="10"/>
      <c r="JKT67" s="10"/>
      <c r="JKU67" s="10"/>
      <c r="JKV67" s="10"/>
      <c r="JKW67" s="10"/>
      <c r="JKX67" s="10"/>
      <c r="JKY67" s="10"/>
      <c r="JKZ67" s="10"/>
      <c r="JLA67" s="10"/>
      <c r="JLB67" s="10"/>
      <c r="JLC67" s="10"/>
      <c r="JLD67" s="10"/>
      <c r="JLE67" s="10"/>
      <c r="JLF67" s="10"/>
      <c r="JLG67" s="10"/>
      <c r="JLH67" s="10"/>
      <c r="JLI67" s="10"/>
      <c r="JLJ67" s="10"/>
      <c r="JLK67" s="10"/>
      <c r="JLL67" s="10"/>
      <c r="JLM67" s="10"/>
      <c r="JLN67" s="10"/>
      <c r="JLO67" s="10"/>
      <c r="JLP67" s="10"/>
      <c r="JLQ67" s="10"/>
      <c r="JLR67" s="10"/>
      <c r="JLS67" s="10"/>
      <c r="JLT67" s="10"/>
      <c r="JLU67" s="10"/>
      <c r="JLV67" s="10"/>
      <c r="JLW67" s="10"/>
      <c r="JLX67" s="10"/>
      <c r="JLY67" s="10"/>
      <c r="JLZ67" s="10"/>
      <c r="JMA67" s="10"/>
      <c r="JMB67" s="10"/>
      <c r="JMC67" s="10"/>
      <c r="JMD67" s="10"/>
      <c r="JME67" s="10"/>
      <c r="JMF67" s="10"/>
      <c r="JMG67" s="10"/>
      <c r="JMH67" s="10"/>
      <c r="JMI67" s="10"/>
      <c r="JMJ67" s="10"/>
      <c r="JMK67" s="10"/>
      <c r="JML67" s="10"/>
      <c r="JMM67" s="10"/>
      <c r="JMN67" s="10"/>
      <c r="JMO67" s="10"/>
      <c r="JMP67" s="10"/>
      <c r="JMQ67" s="10"/>
      <c r="JMR67" s="10"/>
      <c r="JMS67" s="10"/>
      <c r="JMT67" s="10"/>
      <c r="JMU67" s="10"/>
      <c r="JMV67" s="10"/>
      <c r="JMW67" s="10"/>
      <c r="JMX67" s="10"/>
      <c r="JMY67" s="10"/>
      <c r="JMZ67" s="10"/>
      <c r="JNA67" s="10"/>
      <c r="JNB67" s="10"/>
      <c r="JNC67" s="10"/>
      <c r="JND67" s="10"/>
      <c r="JNE67" s="10"/>
      <c r="JNF67" s="10"/>
      <c r="JNG67" s="10"/>
      <c r="JNH67" s="10"/>
      <c r="JNI67" s="10"/>
      <c r="JNJ67" s="10"/>
      <c r="JNK67" s="10"/>
      <c r="JNL67" s="10"/>
      <c r="JNM67" s="10"/>
      <c r="JNN67" s="10"/>
      <c r="JNO67" s="10"/>
      <c r="JNP67" s="10"/>
      <c r="JNQ67" s="10"/>
      <c r="JNR67" s="10"/>
      <c r="JNS67" s="10"/>
      <c r="JNT67" s="10"/>
      <c r="JNU67" s="10"/>
      <c r="JNV67" s="10"/>
      <c r="JNW67" s="10"/>
      <c r="JNX67" s="10"/>
      <c r="JNY67" s="10"/>
      <c r="JNZ67" s="10"/>
      <c r="JOA67" s="10"/>
      <c r="JOB67" s="10"/>
      <c r="JOC67" s="10"/>
      <c r="JOD67" s="10"/>
      <c r="JOE67" s="10"/>
      <c r="JOF67" s="10"/>
      <c r="JOG67" s="10"/>
      <c r="JOH67" s="10"/>
      <c r="JOI67" s="10"/>
      <c r="JOJ67" s="10"/>
      <c r="JOK67" s="10"/>
      <c r="JOL67" s="10"/>
      <c r="JOM67" s="10"/>
      <c r="JON67" s="10"/>
      <c r="JOO67" s="10"/>
      <c r="JOP67" s="10"/>
      <c r="JOQ67" s="10"/>
      <c r="JOR67" s="10"/>
      <c r="JOS67" s="10"/>
      <c r="JOT67" s="10"/>
      <c r="JOU67" s="10"/>
      <c r="JOV67" s="10"/>
      <c r="JOW67" s="10"/>
      <c r="JOX67" s="10"/>
      <c r="JOY67" s="10"/>
      <c r="JOZ67" s="10"/>
      <c r="JPA67" s="10"/>
      <c r="JPB67" s="10"/>
      <c r="JPC67" s="10"/>
      <c r="JPD67" s="10"/>
      <c r="JPE67" s="10"/>
      <c r="JPF67" s="10"/>
      <c r="JPG67" s="10"/>
      <c r="JPH67" s="10"/>
      <c r="JPI67" s="10"/>
      <c r="JPJ67" s="10"/>
      <c r="JPK67" s="10"/>
      <c r="JPL67" s="10"/>
      <c r="JPM67" s="10"/>
      <c r="JPN67" s="10"/>
      <c r="JPO67" s="10"/>
      <c r="JPP67" s="10"/>
      <c r="JPQ67" s="10"/>
      <c r="JPR67" s="10"/>
      <c r="JPS67" s="10"/>
      <c r="JPT67" s="10"/>
      <c r="JPU67" s="10"/>
      <c r="JPV67" s="10"/>
      <c r="JPW67" s="10"/>
      <c r="JPX67" s="10"/>
      <c r="JPY67" s="10"/>
      <c r="JPZ67" s="10"/>
      <c r="JQA67" s="10"/>
      <c r="JQB67" s="10"/>
      <c r="JQC67" s="10"/>
      <c r="JQD67" s="10"/>
      <c r="JQE67" s="10"/>
      <c r="JQF67" s="10"/>
      <c r="JQG67" s="10"/>
      <c r="JQH67" s="10"/>
      <c r="JQI67" s="10"/>
      <c r="JQJ67" s="10"/>
      <c r="JQK67" s="10"/>
      <c r="JQL67" s="10"/>
      <c r="JQM67" s="10"/>
      <c r="JQN67" s="10"/>
      <c r="JQO67" s="10"/>
      <c r="JQP67" s="10"/>
      <c r="JQQ67" s="10"/>
      <c r="JQR67" s="10"/>
      <c r="JQS67" s="10"/>
      <c r="JQT67" s="10"/>
      <c r="JQU67" s="10"/>
      <c r="JQV67" s="10"/>
      <c r="JQW67" s="10"/>
      <c r="JQX67" s="10"/>
      <c r="JQY67" s="10"/>
      <c r="JQZ67" s="10"/>
      <c r="JRA67" s="10"/>
      <c r="JRB67" s="10"/>
      <c r="JRC67" s="10"/>
      <c r="JRD67" s="10"/>
      <c r="JRE67" s="10"/>
      <c r="JRF67" s="10"/>
      <c r="JRG67" s="10"/>
      <c r="JRH67" s="10"/>
      <c r="JRI67" s="10"/>
      <c r="JRJ67" s="10"/>
      <c r="JRK67" s="10"/>
      <c r="JRL67" s="10"/>
      <c r="JRM67" s="10"/>
      <c r="JRN67" s="10"/>
      <c r="JRO67" s="10"/>
      <c r="JRP67" s="10"/>
      <c r="JRQ67" s="10"/>
      <c r="JRR67" s="10"/>
      <c r="JRS67" s="10"/>
      <c r="JRT67" s="10"/>
      <c r="JRU67" s="10"/>
      <c r="JRV67" s="10"/>
      <c r="JRW67" s="10"/>
      <c r="JRX67" s="10"/>
      <c r="JRY67" s="10"/>
      <c r="JRZ67" s="10"/>
      <c r="JSA67" s="10"/>
      <c r="JSB67" s="10"/>
      <c r="JSC67" s="10"/>
      <c r="JSD67" s="10"/>
      <c r="JSE67" s="10"/>
      <c r="JSF67" s="10"/>
      <c r="JSG67" s="10"/>
      <c r="JSH67" s="10"/>
      <c r="JSI67" s="10"/>
      <c r="JSJ67" s="10"/>
      <c r="JSK67" s="10"/>
      <c r="JSL67" s="10"/>
      <c r="JSM67" s="10"/>
      <c r="JSN67" s="10"/>
      <c r="JSO67" s="10"/>
      <c r="JSP67" s="10"/>
      <c r="JSQ67" s="10"/>
      <c r="JSR67" s="10"/>
      <c r="JSS67" s="10"/>
      <c r="JST67" s="10"/>
      <c r="JSU67" s="10"/>
      <c r="JSV67" s="10"/>
      <c r="JSW67" s="10"/>
      <c r="JSX67" s="10"/>
      <c r="JSY67" s="10"/>
      <c r="JSZ67" s="10"/>
      <c r="JTA67" s="10"/>
      <c r="JTB67" s="10"/>
      <c r="JTC67" s="10"/>
      <c r="JTD67" s="10"/>
      <c r="JTE67" s="10"/>
      <c r="JTF67" s="10"/>
      <c r="JTG67" s="10"/>
      <c r="JTH67" s="10"/>
      <c r="JTI67" s="10"/>
      <c r="JTJ67" s="10"/>
      <c r="JTK67" s="10"/>
      <c r="JTL67" s="10"/>
      <c r="JTM67" s="10"/>
      <c r="JTN67" s="10"/>
      <c r="JTO67" s="10"/>
      <c r="JTP67" s="10"/>
      <c r="JTQ67" s="10"/>
      <c r="JTR67" s="10"/>
      <c r="JTS67" s="10"/>
      <c r="JTT67" s="10"/>
      <c r="JTU67" s="10"/>
      <c r="JTV67" s="10"/>
      <c r="JTW67" s="10"/>
      <c r="JTX67" s="10"/>
      <c r="JTY67" s="10"/>
      <c r="JTZ67" s="10"/>
      <c r="JUA67" s="10"/>
      <c r="JUB67" s="10"/>
      <c r="JUC67" s="10"/>
      <c r="JUD67" s="10"/>
      <c r="JUE67" s="10"/>
      <c r="JUF67" s="10"/>
      <c r="JUG67" s="10"/>
      <c r="JUH67" s="10"/>
      <c r="JUI67" s="10"/>
      <c r="JUJ67" s="10"/>
      <c r="JUK67" s="10"/>
      <c r="JUL67" s="10"/>
      <c r="JUM67" s="10"/>
      <c r="JUN67" s="10"/>
      <c r="JUO67" s="10"/>
      <c r="JUP67" s="10"/>
      <c r="JUQ67" s="10"/>
      <c r="JUR67" s="10"/>
      <c r="JUS67" s="10"/>
      <c r="JUT67" s="10"/>
      <c r="JUU67" s="10"/>
      <c r="JUV67" s="10"/>
      <c r="JUW67" s="10"/>
      <c r="JUX67" s="10"/>
      <c r="JUY67" s="10"/>
      <c r="JUZ67" s="10"/>
      <c r="JVA67" s="10"/>
      <c r="JVB67" s="10"/>
      <c r="JVC67" s="10"/>
      <c r="JVD67" s="10"/>
      <c r="JVE67" s="10"/>
      <c r="JVF67" s="10"/>
      <c r="JVG67" s="10"/>
      <c r="JVH67" s="10"/>
      <c r="JVI67" s="10"/>
      <c r="JVJ67" s="10"/>
      <c r="JVK67" s="10"/>
      <c r="JVL67" s="10"/>
      <c r="JVM67" s="10"/>
      <c r="JVN67" s="10"/>
      <c r="JVO67" s="10"/>
      <c r="JVP67" s="10"/>
      <c r="JVQ67" s="10"/>
      <c r="JVR67" s="10"/>
      <c r="JVS67" s="10"/>
      <c r="JVT67" s="10"/>
      <c r="JVU67" s="10"/>
      <c r="JVV67" s="10"/>
      <c r="JVW67" s="10"/>
      <c r="JVX67" s="10"/>
      <c r="JVY67" s="10"/>
      <c r="JVZ67" s="10"/>
      <c r="JWA67" s="10"/>
      <c r="JWB67" s="10"/>
      <c r="JWC67" s="10"/>
      <c r="JWD67" s="10"/>
      <c r="JWE67" s="10"/>
      <c r="JWF67" s="10"/>
      <c r="JWG67" s="10"/>
      <c r="JWH67" s="10"/>
      <c r="JWI67" s="10"/>
      <c r="JWJ67" s="10"/>
      <c r="JWK67" s="10"/>
      <c r="JWL67" s="10"/>
      <c r="JWM67" s="10"/>
      <c r="JWN67" s="10"/>
      <c r="JWO67" s="10"/>
      <c r="JWP67" s="10"/>
      <c r="JWQ67" s="10"/>
      <c r="JWR67" s="10"/>
      <c r="JWS67" s="10"/>
      <c r="JWT67" s="10"/>
      <c r="JWU67" s="10"/>
      <c r="JWV67" s="10"/>
      <c r="JWW67" s="10"/>
      <c r="JWX67" s="10"/>
      <c r="JWY67" s="10"/>
      <c r="JWZ67" s="10"/>
      <c r="JXA67" s="10"/>
      <c r="JXB67" s="10"/>
      <c r="JXC67" s="10"/>
      <c r="JXD67" s="10"/>
      <c r="JXE67" s="10"/>
      <c r="JXF67" s="10"/>
      <c r="JXG67" s="10"/>
      <c r="JXH67" s="10"/>
      <c r="JXI67" s="10"/>
      <c r="JXJ67" s="10"/>
      <c r="JXK67" s="10"/>
      <c r="JXL67" s="10"/>
      <c r="JXM67" s="10"/>
      <c r="JXN67" s="10"/>
      <c r="JXO67" s="10"/>
      <c r="JXP67" s="10"/>
      <c r="JXQ67" s="10"/>
      <c r="JXR67" s="10"/>
      <c r="JXS67" s="10"/>
      <c r="JXT67" s="10"/>
      <c r="JXU67" s="10"/>
      <c r="JXV67" s="10"/>
      <c r="JXW67" s="10"/>
      <c r="JXX67" s="10"/>
      <c r="JXY67" s="10"/>
      <c r="JXZ67" s="10"/>
      <c r="JYA67" s="10"/>
      <c r="JYB67" s="10"/>
      <c r="JYC67" s="10"/>
      <c r="JYD67" s="10"/>
      <c r="JYE67" s="10"/>
      <c r="JYF67" s="10"/>
      <c r="JYG67" s="10"/>
      <c r="JYH67" s="10"/>
      <c r="JYI67" s="10"/>
      <c r="JYJ67" s="10"/>
      <c r="JYK67" s="10"/>
      <c r="JYL67" s="10"/>
      <c r="JYM67" s="10"/>
      <c r="JYN67" s="10"/>
      <c r="JYO67" s="10"/>
      <c r="JYP67" s="10"/>
      <c r="JYQ67" s="10"/>
      <c r="JYR67" s="10"/>
      <c r="JYS67" s="10"/>
      <c r="JYT67" s="10"/>
      <c r="JYU67" s="10"/>
      <c r="JYV67" s="10"/>
      <c r="JYW67" s="10"/>
      <c r="JYX67" s="10"/>
      <c r="JYY67" s="10"/>
      <c r="JYZ67" s="10"/>
      <c r="JZA67" s="10"/>
      <c r="JZB67" s="10"/>
      <c r="JZC67" s="10"/>
      <c r="JZD67" s="10"/>
      <c r="JZE67" s="10"/>
      <c r="JZF67" s="10"/>
      <c r="JZG67" s="10"/>
      <c r="JZH67" s="10"/>
      <c r="JZI67" s="10"/>
      <c r="JZJ67" s="10"/>
      <c r="JZK67" s="10"/>
      <c r="JZL67" s="10"/>
      <c r="JZM67" s="10"/>
      <c r="JZN67" s="10"/>
      <c r="JZO67" s="10"/>
      <c r="JZP67" s="10"/>
      <c r="JZQ67" s="10"/>
      <c r="JZR67" s="10"/>
      <c r="JZS67" s="10"/>
      <c r="JZT67" s="10"/>
      <c r="JZU67" s="10"/>
      <c r="JZV67" s="10"/>
      <c r="JZW67" s="10"/>
      <c r="JZX67" s="10"/>
      <c r="JZY67" s="10"/>
      <c r="JZZ67" s="10"/>
      <c r="KAA67" s="10"/>
      <c r="KAB67" s="10"/>
      <c r="KAC67" s="10"/>
      <c r="KAD67" s="10"/>
      <c r="KAE67" s="10"/>
      <c r="KAF67" s="10"/>
      <c r="KAG67" s="10"/>
      <c r="KAH67" s="10"/>
      <c r="KAI67" s="10"/>
      <c r="KAJ67" s="10"/>
      <c r="KAK67" s="10"/>
      <c r="KAL67" s="10"/>
      <c r="KAM67" s="10"/>
      <c r="KAN67" s="10"/>
      <c r="KAO67" s="10"/>
      <c r="KAP67" s="10"/>
      <c r="KAQ67" s="10"/>
      <c r="KAR67" s="10"/>
      <c r="KAS67" s="10"/>
      <c r="KAT67" s="10"/>
      <c r="KAU67" s="10"/>
      <c r="KAV67" s="10"/>
      <c r="KAW67" s="10"/>
      <c r="KAX67" s="10"/>
      <c r="KAY67" s="10"/>
      <c r="KAZ67" s="10"/>
      <c r="KBA67" s="10"/>
      <c r="KBB67" s="10"/>
      <c r="KBC67" s="10"/>
      <c r="KBD67" s="10"/>
      <c r="KBE67" s="10"/>
      <c r="KBF67" s="10"/>
      <c r="KBG67" s="10"/>
      <c r="KBH67" s="10"/>
      <c r="KBI67" s="10"/>
      <c r="KBJ67" s="10"/>
      <c r="KBK67" s="10"/>
      <c r="KBL67" s="10"/>
      <c r="KBM67" s="10"/>
      <c r="KBN67" s="10"/>
      <c r="KBO67" s="10"/>
      <c r="KBP67" s="10"/>
      <c r="KBQ67" s="10"/>
      <c r="KBR67" s="10"/>
      <c r="KBS67" s="10"/>
      <c r="KBT67" s="10"/>
      <c r="KBU67" s="10"/>
      <c r="KBV67" s="10"/>
      <c r="KBW67" s="10"/>
      <c r="KBX67" s="10"/>
      <c r="KBY67" s="10"/>
      <c r="KBZ67" s="10"/>
      <c r="KCA67" s="10"/>
      <c r="KCB67" s="10"/>
      <c r="KCC67" s="10"/>
      <c r="KCD67" s="10"/>
      <c r="KCE67" s="10"/>
      <c r="KCF67" s="10"/>
      <c r="KCG67" s="10"/>
      <c r="KCH67" s="10"/>
      <c r="KCI67" s="10"/>
      <c r="KCJ67" s="10"/>
      <c r="KCK67" s="10"/>
      <c r="KCL67" s="10"/>
      <c r="KCM67" s="10"/>
      <c r="KCN67" s="10"/>
      <c r="KCO67" s="10"/>
      <c r="KCP67" s="10"/>
      <c r="KCQ67" s="10"/>
      <c r="KCR67" s="10"/>
      <c r="KCS67" s="10"/>
      <c r="KCT67" s="10"/>
      <c r="KCU67" s="10"/>
      <c r="KCV67" s="10"/>
      <c r="KCW67" s="10"/>
      <c r="KCX67" s="10"/>
      <c r="KCY67" s="10"/>
      <c r="KCZ67" s="10"/>
      <c r="KDA67" s="10"/>
      <c r="KDB67" s="10"/>
      <c r="KDC67" s="10"/>
      <c r="KDD67" s="10"/>
      <c r="KDE67" s="10"/>
      <c r="KDF67" s="10"/>
      <c r="KDG67" s="10"/>
      <c r="KDH67" s="10"/>
      <c r="KDI67" s="10"/>
      <c r="KDJ67" s="10"/>
      <c r="KDK67" s="10"/>
      <c r="KDL67" s="10"/>
      <c r="KDM67" s="10"/>
      <c r="KDN67" s="10"/>
      <c r="KDO67" s="10"/>
      <c r="KDP67" s="10"/>
      <c r="KDQ67" s="10"/>
      <c r="KDR67" s="10"/>
      <c r="KDS67" s="10"/>
      <c r="KDT67" s="10"/>
      <c r="KDU67" s="10"/>
      <c r="KDV67" s="10"/>
      <c r="KDW67" s="10"/>
      <c r="KDX67" s="10"/>
      <c r="KDY67" s="10"/>
      <c r="KDZ67" s="10"/>
      <c r="KEA67" s="10"/>
      <c r="KEB67" s="10"/>
      <c r="KEC67" s="10"/>
      <c r="KED67" s="10"/>
      <c r="KEE67" s="10"/>
      <c r="KEF67" s="10"/>
      <c r="KEG67" s="10"/>
      <c r="KEH67" s="10"/>
      <c r="KEI67" s="10"/>
      <c r="KEJ67" s="10"/>
      <c r="KEK67" s="10"/>
      <c r="KEL67" s="10"/>
      <c r="KEM67" s="10"/>
      <c r="KEN67" s="10"/>
      <c r="KEO67" s="10"/>
      <c r="KEP67" s="10"/>
      <c r="KEQ67" s="10"/>
      <c r="KER67" s="10"/>
      <c r="KES67" s="10"/>
      <c r="KET67" s="10"/>
      <c r="KEU67" s="10"/>
      <c r="KEV67" s="10"/>
      <c r="KEW67" s="10"/>
      <c r="KEX67" s="10"/>
      <c r="KEY67" s="10"/>
      <c r="KEZ67" s="10"/>
      <c r="KFA67" s="10"/>
      <c r="KFB67" s="10"/>
      <c r="KFC67" s="10"/>
      <c r="KFD67" s="10"/>
      <c r="KFE67" s="10"/>
      <c r="KFF67" s="10"/>
      <c r="KFG67" s="10"/>
      <c r="KFH67" s="10"/>
      <c r="KFI67" s="10"/>
      <c r="KFJ67" s="10"/>
      <c r="KFK67" s="10"/>
      <c r="KFL67" s="10"/>
      <c r="KFM67" s="10"/>
      <c r="KFN67" s="10"/>
      <c r="KFO67" s="10"/>
      <c r="KFP67" s="10"/>
      <c r="KFQ67" s="10"/>
      <c r="KFR67" s="10"/>
      <c r="KFS67" s="10"/>
      <c r="KFT67" s="10"/>
      <c r="KFU67" s="10"/>
      <c r="KFV67" s="10"/>
      <c r="KFW67" s="10"/>
      <c r="KFX67" s="10"/>
      <c r="KFY67" s="10"/>
      <c r="KFZ67" s="10"/>
      <c r="KGA67" s="10"/>
      <c r="KGB67" s="10"/>
      <c r="KGC67" s="10"/>
      <c r="KGD67" s="10"/>
      <c r="KGE67" s="10"/>
      <c r="KGF67" s="10"/>
      <c r="KGG67" s="10"/>
      <c r="KGH67" s="10"/>
      <c r="KGI67" s="10"/>
      <c r="KGJ67" s="10"/>
      <c r="KGK67" s="10"/>
      <c r="KGL67" s="10"/>
      <c r="KGM67" s="10"/>
      <c r="KGN67" s="10"/>
      <c r="KGO67" s="10"/>
      <c r="KGP67" s="10"/>
      <c r="KGQ67" s="10"/>
      <c r="KGR67" s="10"/>
      <c r="KGS67" s="10"/>
      <c r="KGT67" s="10"/>
      <c r="KGU67" s="10"/>
      <c r="KGV67" s="10"/>
      <c r="KGW67" s="10"/>
      <c r="KGX67" s="10"/>
      <c r="KGY67" s="10"/>
      <c r="KGZ67" s="10"/>
      <c r="KHA67" s="10"/>
      <c r="KHB67" s="10"/>
      <c r="KHC67" s="10"/>
      <c r="KHD67" s="10"/>
      <c r="KHE67" s="10"/>
      <c r="KHF67" s="10"/>
      <c r="KHG67" s="10"/>
      <c r="KHH67" s="10"/>
      <c r="KHI67" s="10"/>
      <c r="KHJ67" s="10"/>
      <c r="KHK67" s="10"/>
      <c r="KHL67" s="10"/>
      <c r="KHM67" s="10"/>
      <c r="KHN67" s="10"/>
      <c r="KHO67" s="10"/>
      <c r="KHP67" s="10"/>
      <c r="KHQ67" s="10"/>
      <c r="KHR67" s="10"/>
      <c r="KHS67" s="10"/>
      <c r="KHT67" s="10"/>
      <c r="KHU67" s="10"/>
      <c r="KHV67" s="10"/>
      <c r="KHW67" s="10"/>
      <c r="KHX67" s="10"/>
      <c r="KHY67" s="10"/>
      <c r="KHZ67" s="10"/>
      <c r="KIA67" s="10"/>
      <c r="KIB67" s="10"/>
      <c r="KIC67" s="10"/>
      <c r="KID67" s="10"/>
      <c r="KIE67" s="10"/>
      <c r="KIF67" s="10"/>
      <c r="KIG67" s="10"/>
      <c r="KIH67" s="10"/>
      <c r="KII67" s="10"/>
      <c r="KIJ67" s="10"/>
      <c r="KIK67" s="10"/>
      <c r="KIL67" s="10"/>
      <c r="KIM67" s="10"/>
      <c r="KIN67" s="10"/>
      <c r="KIO67" s="10"/>
      <c r="KIP67" s="10"/>
      <c r="KIQ67" s="10"/>
      <c r="KIR67" s="10"/>
      <c r="KIS67" s="10"/>
      <c r="KIT67" s="10"/>
      <c r="KIU67" s="10"/>
      <c r="KIV67" s="10"/>
      <c r="KIW67" s="10"/>
      <c r="KIX67" s="10"/>
      <c r="KIY67" s="10"/>
      <c r="KIZ67" s="10"/>
      <c r="KJA67" s="10"/>
      <c r="KJB67" s="10"/>
      <c r="KJC67" s="10"/>
      <c r="KJD67" s="10"/>
      <c r="KJE67" s="10"/>
      <c r="KJF67" s="10"/>
      <c r="KJG67" s="10"/>
      <c r="KJH67" s="10"/>
      <c r="KJI67" s="10"/>
      <c r="KJJ67" s="10"/>
      <c r="KJK67" s="10"/>
      <c r="KJL67" s="10"/>
      <c r="KJM67" s="10"/>
      <c r="KJN67" s="10"/>
      <c r="KJO67" s="10"/>
      <c r="KJP67" s="10"/>
      <c r="KJQ67" s="10"/>
      <c r="KJR67" s="10"/>
      <c r="KJS67" s="10"/>
      <c r="KJT67" s="10"/>
      <c r="KJU67" s="10"/>
      <c r="KJV67" s="10"/>
      <c r="KJW67" s="10"/>
      <c r="KJX67" s="10"/>
      <c r="KJY67" s="10"/>
      <c r="KJZ67" s="10"/>
      <c r="KKA67" s="10"/>
      <c r="KKB67" s="10"/>
      <c r="KKC67" s="10"/>
      <c r="KKD67" s="10"/>
      <c r="KKE67" s="10"/>
      <c r="KKF67" s="10"/>
      <c r="KKG67" s="10"/>
      <c r="KKH67" s="10"/>
      <c r="KKI67" s="10"/>
      <c r="KKJ67" s="10"/>
      <c r="KKK67" s="10"/>
      <c r="KKL67" s="10"/>
      <c r="KKM67" s="10"/>
      <c r="KKN67" s="10"/>
      <c r="KKO67" s="10"/>
      <c r="KKP67" s="10"/>
      <c r="KKQ67" s="10"/>
      <c r="KKR67" s="10"/>
      <c r="KKS67" s="10"/>
      <c r="KKT67" s="10"/>
      <c r="KKU67" s="10"/>
      <c r="KKV67" s="10"/>
      <c r="KKW67" s="10"/>
      <c r="KKX67" s="10"/>
      <c r="KKY67" s="10"/>
      <c r="KKZ67" s="10"/>
      <c r="KLA67" s="10"/>
      <c r="KLB67" s="10"/>
      <c r="KLC67" s="10"/>
      <c r="KLD67" s="10"/>
      <c r="KLE67" s="10"/>
      <c r="KLF67" s="10"/>
      <c r="KLG67" s="10"/>
      <c r="KLH67" s="10"/>
      <c r="KLI67" s="10"/>
      <c r="KLJ67" s="10"/>
      <c r="KLK67" s="10"/>
      <c r="KLL67" s="10"/>
      <c r="KLM67" s="10"/>
      <c r="KLN67" s="10"/>
      <c r="KLO67" s="10"/>
      <c r="KLP67" s="10"/>
      <c r="KLQ67" s="10"/>
      <c r="KLR67" s="10"/>
      <c r="KLS67" s="10"/>
      <c r="KLT67" s="10"/>
      <c r="KLU67" s="10"/>
      <c r="KLV67" s="10"/>
      <c r="KLW67" s="10"/>
      <c r="KLX67" s="10"/>
      <c r="KLY67" s="10"/>
      <c r="KLZ67" s="10"/>
      <c r="KMA67" s="10"/>
      <c r="KMB67" s="10"/>
      <c r="KMC67" s="10"/>
      <c r="KMD67" s="10"/>
      <c r="KME67" s="10"/>
      <c r="KMF67" s="10"/>
      <c r="KMG67" s="10"/>
      <c r="KMH67" s="10"/>
      <c r="KMI67" s="10"/>
      <c r="KMJ67" s="10"/>
      <c r="KMK67" s="10"/>
      <c r="KML67" s="10"/>
      <c r="KMM67" s="10"/>
      <c r="KMN67" s="10"/>
      <c r="KMO67" s="10"/>
      <c r="KMP67" s="10"/>
      <c r="KMQ67" s="10"/>
      <c r="KMR67" s="10"/>
      <c r="KMS67" s="10"/>
      <c r="KMT67" s="10"/>
      <c r="KMU67" s="10"/>
      <c r="KMV67" s="10"/>
      <c r="KMW67" s="10"/>
      <c r="KMX67" s="10"/>
      <c r="KMY67" s="10"/>
      <c r="KMZ67" s="10"/>
      <c r="KNA67" s="10"/>
      <c r="KNB67" s="10"/>
      <c r="KNC67" s="10"/>
      <c r="KND67" s="10"/>
      <c r="KNE67" s="10"/>
      <c r="KNF67" s="10"/>
      <c r="KNG67" s="10"/>
      <c r="KNH67" s="10"/>
      <c r="KNI67" s="10"/>
      <c r="KNJ67" s="10"/>
      <c r="KNK67" s="10"/>
      <c r="KNL67" s="10"/>
      <c r="KNM67" s="10"/>
      <c r="KNN67" s="10"/>
      <c r="KNO67" s="10"/>
      <c r="KNP67" s="10"/>
      <c r="KNQ67" s="10"/>
      <c r="KNR67" s="10"/>
      <c r="KNS67" s="10"/>
      <c r="KNT67" s="10"/>
      <c r="KNU67" s="10"/>
      <c r="KNV67" s="10"/>
      <c r="KNW67" s="10"/>
      <c r="KNX67" s="10"/>
      <c r="KNY67" s="10"/>
      <c r="KNZ67" s="10"/>
      <c r="KOA67" s="10"/>
      <c r="KOB67" s="10"/>
      <c r="KOC67" s="10"/>
      <c r="KOD67" s="10"/>
      <c r="KOE67" s="10"/>
      <c r="KOF67" s="10"/>
      <c r="KOG67" s="10"/>
      <c r="KOH67" s="10"/>
      <c r="KOI67" s="10"/>
      <c r="KOJ67" s="10"/>
      <c r="KOK67" s="10"/>
      <c r="KOL67" s="10"/>
      <c r="KOM67" s="10"/>
      <c r="KON67" s="10"/>
      <c r="KOO67" s="10"/>
      <c r="KOP67" s="10"/>
      <c r="KOQ67" s="10"/>
      <c r="KOR67" s="10"/>
      <c r="KOS67" s="10"/>
      <c r="KOT67" s="10"/>
      <c r="KOU67" s="10"/>
      <c r="KOV67" s="10"/>
      <c r="KOW67" s="10"/>
      <c r="KOX67" s="10"/>
      <c r="KOY67" s="10"/>
      <c r="KOZ67" s="10"/>
      <c r="KPA67" s="10"/>
      <c r="KPB67" s="10"/>
      <c r="KPC67" s="10"/>
      <c r="KPD67" s="10"/>
      <c r="KPE67" s="10"/>
      <c r="KPF67" s="10"/>
      <c r="KPG67" s="10"/>
      <c r="KPH67" s="10"/>
      <c r="KPI67" s="10"/>
      <c r="KPJ67" s="10"/>
      <c r="KPK67" s="10"/>
      <c r="KPL67" s="10"/>
      <c r="KPM67" s="10"/>
      <c r="KPN67" s="10"/>
      <c r="KPO67" s="10"/>
      <c r="KPP67" s="10"/>
      <c r="KPQ67" s="10"/>
      <c r="KPR67" s="10"/>
      <c r="KPS67" s="10"/>
      <c r="KPT67" s="10"/>
      <c r="KPU67" s="10"/>
      <c r="KPV67" s="10"/>
      <c r="KPW67" s="10"/>
      <c r="KPX67" s="10"/>
      <c r="KPY67" s="10"/>
      <c r="KPZ67" s="10"/>
      <c r="KQA67" s="10"/>
      <c r="KQB67" s="10"/>
      <c r="KQC67" s="10"/>
      <c r="KQD67" s="10"/>
      <c r="KQE67" s="10"/>
      <c r="KQF67" s="10"/>
      <c r="KQG67" s="10"/>
      <c r="KQH67" s="10"/>
      <c r="KQI67" s="10"/>
      <c r="KQJ67" s="10"/>
      <c r="KQK67" s="10"/>
      <c r="KQL67" s="10"/>
      <c r="KQM67" s="10"/>
      <c r="KQN67" s="10"/>
      <c r="KQO67" s="10"/>
      <c r="KQP67" s="10"/>
      <c r="KQQ67" s="10"/>
      <c r="KQR67" s="10"/>
      <c r="KQS67" s="10"/>
      <c r="KQT67" s="10"/>
      <c r="KQU67" s="10"/>
      <c r="KQV67" s="10"/>
      <c r="KQW67" s="10"/>
      <c r="KQX67" s="10"/>
      <c r="KQY67" s="10"/>
      <c r="KQZ67" s="10"/>
      <c r="KRA67" s="10"/>
      <c r="KRB67" s="10"/>
      <c r="KRC67" s="10"/>
      <c r="KRD67" s="10"/>
      <c r="KRE67" s="10"/>
      <c r="KRF67" s="10"/>
      <c r="KRG67" s="10"/>
      <c r="KRH67" s="10"/>
      <c r="KRI67" s="10"/>
      <c r="KRJ67" s="10"/>
      <c r="KRK67" s="10"/>
      <c r="KRL67" s="10"/>
      <c r="KRM67" s="10"/>
      <c r="KRN67" s="10"/>
      <c r="KRO67" s="10"/>
      <c r="KRP67" s="10"/>
      <c r="KRQ67" s="10"/>
      <c r="KRR67" s="10"/>
      <c r="KRS67" s="10"/>
      <c r="KRT67" s="10"/>
      <c r="KRU67" s="10"/>
      <c r="KRV67" s="10"/>
      <c r="KRW67" s="10"/>
      <c r="KRX67" s="10"/>
      <c r="KRY67" s="10"/>
      <c r="KRZ67" s="10"/>
      <c r="KSA67" s="10"/>
      <c r="KSB67" s="10"/>
      <c r="KSC67" s="10"/>
      <c r="KSD67" s="10"/>
      <c r="KSE67" s="10"/>
      <c r="KSF67" s="10"/>
      <c r="KSG67" s="10"/>
      <c r="KSH67" s="10"/>
      <c r="KSI67" s="10"/>
      <c r="KSJ67" s="10"/>
      <c r="KSK67" s="10"/>
      <c r="KSL67" s="10"/>
      <c r="KSM67" s="10"/>
      <c r="KSN67" s="10"/>
      <c r="KSO67" s="10"/>
      <c r="KSP67" s="10"/>
      <c r="KSQ67" s="10"/>
      <c r="KSR67" s="10"/>
      <c r="KSS67" s="10"/>
      <c r="KST67" s="10"/>
      <c r="KSU67" s="10"/>
      <c r="KSV67" s="10"/>
      <c r="KSW67" s="10"/>
      <c r="KSX67" s="10"/>
      <c r="KSY67" s="10"/>
      <c r="KSZ67" s="10"/>
      <c r="KTA67" s="10"/>
      <c r="KTB67" s="10"/>
      <c r="KTC67" s="10"/>
      <c r="KTD67" s="10"/>
      <c r="KTE67" s="10"/>
      <c r="KTF67" s="10"/>
      <c r="KTG67" s="10"/>
      <c r="KTH67" s="10"/>
      <c r="KTI67" s="10"/>
      <c r="KTJ67" s="10"/>
      <c r="KTK67" s="10"/>
      <c r="KTL67" s="10"/>
      <c r="KTM67" s="10"/>
      <c r="KTN67" s="10"/>
      <c r="KTO67" s="10"/>
      <c r="KTP67" s="10"/>
      <c r="KTQ67" s="10"/>
      <c r="KTR67" s="10"/>
      <c r="KTS67" s="10"/>
      <c r="KTT67" s="10"/>
      <c r="KTU67" s="10"/>
      <c r="KTV67" s="10"/>
      <c r="KTW67" s="10"/>
      <c r="KTX67" s="10"/>
      <c r="KTY67" s="10"/>
      <c r="KTZ67" s="10"/>
      <c r="KUA67" s="10"/>
      <c r="KUB67" s="10"/>
      <c r="KUC67" s="10"/>
      <c r="KUD67" s="10"/>
      <c r="KUE67" s="10"/>
      <c r="KUF67" s="10"/>
      <c r="KUG67" s="10"/>
      <c r="KUH67" s="10"/>
      <c r="KUI67" s="10"/>
      <c r="KUJ67" s="10"/>
      <c r="KUK67" s="10"/>
      <c r="KUL67" s="10"/>
      <c r="KUM67" s="10"/>
      <c r="KUN67" s="10"/>
      <c r="KUO67" s="10"/>
      <c r="KUP67" s="10"/>
      <c r="KUQ67" s="10"/>
      <c r="KUR67" s="10"/>
      <c r="KUS67" s="10"/>
      <c r="KUT67" s="10"/>
      <c r="KUU67" s="10"/>
      <c r="KUV67" s="10"/>
      <c r="KUW67" s="10"/>
      <c r="KUX67" s="10"/>
      <c r="KUY67" s="10"/>
      <c r="KUZ67" s="10"/>
      <c r="KVA67" s="10"/>
      <c r="KVB67" s="10"/>
      <c r="KVC67" s="10"/>
      <c r="KVD67" s="10"/>
      <c r="KVE67" s="10"/>
      <c r="KVF67" s="10"/>
      <c r="KVG67" s="10"/>
      <c r="KVH67" s="10"/>
      <c r="KVI67" s="10"/>
      <c r="KVJ67" s="10"/>
      <c r="KVK67" s="10"/>
      <c r="KVL67" s="10"/>
      <c r="KVM67" s="10"/>
      <c r="KVN67" s="10"/>
      <c r="KVO67" s="10"/>
      <c r="KVP67" s="10"/>
      <c r="KVQ67" s="10"/>
      <c r="KVR67" s="10"/>
      <c r="KVS67" s="10"/>
      <c r="KVT67" s="10"/>
      <c r="KVU67" s="10"/>
      <c r="KVV67" s="10"/>
      <c r="KVW67" s="10"/>
      <c r="KVX67" s="10"/>
      <c r="KVY67" s="10"/>
      <c r="KVZ67" s="10"/>
      <c r="KWA67" s="10"/>
      <c r="KWB67" s="10"/>
      <c r="KWC67" s="10"/>
      <c r="KWD67" s="10"/>
      <c r="KWE67" s="10"/>
      <c r="KWF67" s="10"/>
      <c r="KWG67" s="10"/>
      <c r="KWH67" s="10"/>
      <c r="KWI67" s="10"/>
      <c r="KWJ67" s="10"/>
      <c r="KWK67" s="10"/>
      <c r="KWL67" s="10"/>
      <c r="KWM67" s="10"/>
      <c r="KWN67" s="10"/>
      <c r="KWO67" s="10"/>
      <c r="KWP67" s="10"/>
      <c r="KWQ67" s="10"/>
      <c r="KWR67" s="10"/>
      <c r="KWS67" s="10"/>
      <c r="KWT67" s="10"/>
      <c r="KWU67" s="10"/>
      <c r="KWV67" s="10"/>
      <c r="KWW67" s="10"/>
      <c r="KWX67" s="10"/>
      <c r="KWY67" s="10"/>
      <c r="KWZ67" s="10"/>
      <c r="KXA67" s="10"/>
      <c r="KXB67" s="10"/>
      <c r="KXC67" s="10"/>
      <c r="KXD67" s="10"/>
      <c r="KXE67" s="10"/>
      <c r="KXF67" s="10"/>
      <c r="KXG67" s="10"/>
      <c r="KXH67" s="10"/>
      <c r="KXI67" s="10"/>
      <c r="KXJ67" s="10"/>
      <c r="KXK67" s="10"/>
      <c r="KXL67" s="10"/>
      <c r="KXM67" s="10"/>
      <c r="KXN67" s="10"/>
      <c r="KXO67" s="10"/>
      <c r="KXP67" s="10"/>
      <c r="KXQ67" s="10"/>
      <c r="KXR67" s="10"/>
      <c r="KXS67" s="10"/>
      <c r="KXT67" s="10"/>
      <c r="KXU67" s="10"/>
      <c r="KXV67" s="10"/>
      <c r="KXW67" s="10"/>
      <c r="KXX67" s="10"/>
      <c r="KXY67" s="10"/>
      <c r="KXZ67" s="10"/>
      <c r="KYA67" s="10"/>
      <c r="KYB67" s="10"/>
      <c r="KYC67" s="10"/>
      <c r="KYD67" s="10"/>
      <c r="KYE67" s="10"/>
      <c r="KYF67" s="10"/>
      <c r="KYG67" s="10"/>
      <c r="KYH67" s="10"/>
      <c r="KYI67" s="10"/>
      <c r="KYJ67" s="10"/>
      <c r="KYK67" s="10"/>
      <c r="KYL67" s="10"/>
      <c r="KYM67" s="10"/>
      <c r="KYN67" s="10"/>
      <c r="KYO67" s="10"/>
      <c r="KYP67" s="10"/>
      <c r="KYQ67" s="10"/>
      <c r="KYR67" s="10"/>
      <c r="KYS67" s="10"/>
      <c r="KYT67" s="10"/>
      <c r="KYU67" s="10"/>
      <c r="KYV67" s="10"/>
      <c r="KYW67" s="10"/>
      <c r="KYX67" s="10"/>
      <c r="KYY67" s="10"/>
      <c r="KYZ67" s="10"/>
      <c r="KZA67" s="10"/>
      <c r="KZB67" s="10"/>
      <c r="KZC67" s="10"/>
      <c r="KZD67" s="10"/>
      <c r="KZE67" s="10"/>
      <c r="KZF67" s="10"/>
      <c r="KZG67" s="10"/>
      <c r="KZH67" s="10"/>
      <c r="KZI67" s="10"/>
      <c r="KZJ67" s="10"/>
      <c r="KZK67" s="10"/>
      <c r="KZL67" s="10"/>
      <c r="KZM67" s="10"/>
      <c r="KZN67" s="10"/>
      <c r="KZO67" s="10"/>
      <c r="KZP67" s="10"/>
      <c r="KZQ67" s="10"/>
      <c r="KZR67" s="10"/>
      <c r="KZS67" s="10"/>
      <c r="KZT67" s="10"/>
      <c r="KZU67" s="10"/>
      <c r="KZV67" s="10"/>
      <c r="KZW67" s="10"/>
      <c r="KZX67" s="10"/>
      <c r="KZY67" s="10"/>
      <c r="KZZ67" s="10"/>
      <c r="LAA67" s="10"/>
      <c r="LAB67" s="10"/>
      <c r="LAC67" s="10"/>
      <c r="LAD67" s="10"/>
      <c r="LAE67" s="10"/>
      <c r="LAF67" s="10"/>
      <c r="LAG67" s="10"/>
      <c r="LAH67" s="10"/>
      <c r="LAI67" s="10"/>
      <c r="LAJ67" s="10"/>
      <c r="LAK67" s="10"/>
      <c r="LAL67" s="10"/>
      <c r="LAM67" s="10"/>
      <c r="LAN67" s="10"/>
      <c r="LAO67" s="10"/>
      <c r="LAP67" s="10"/>
      <c r="LAQ67" s="10"/>
      <c r="LAR67" s="10"/>
      <c r="LAS67" s="10"/>
      <c r="LAT67" s="10"/>
      <c r="LAU67" s="10"/>
      <c r="LAV67" s="10"/>
      <c r="LAW67" s="10"/>
      <c r="LAX67" s="10"/>
      <c r="LAY67" s="10"/>
      <c r="LAZ67" s="10"/>
      <c r="LBA67" s="10"/>
      <c r="LBB67" s="10"/>
      <c r="LBC67" s="10"/>
      <c r="LBD67" s="10"/>
      <c r="LBE67" s="10"/>
      <c r="LBF67" s="10"/>
      <c r="LBG67" s="10"/>
      <c r="LBH67" s="10"/>
      <c r="LBI67" s="10"/>
      <c r="LBJ67" s="10"/>
      <c r="LBK67" s="10"/>
      <c r="LBL67" s="10"/>
      <c r="LBM67" s="10"/>
      <c r="LBN67" s="10"/>
      <c r="LBO67" s="10"/>
      <c r="LBP67" s="10"/>
      <c r="LBQ67" s="10"/>
      <c r="LBR67" s="10"/>
      <c r="LBS67" s="10"/>
      <c r="LBT67" s="10"/>
      <c r="LBU67" s="10"/>
      <c r="LBV67" s="10"/>
      <c r="LBW67" s="10"/>
      <c r="LBX67" s="10"/>
      <c r="LBY67" s="10"/>
      <c r="LBZ67" s="10"/>
      <c r="LCA67" s="10"/>
      <c r="LCB67" s="10"/>
      <c r="LCC67" s="10"/>
      <c r="LCD67" s="10"/>
      <c r="LCE67" s="10"/>
      <c r="LCF67" s="10"/>
      <c r="LCG67" s="10"/>
      <c r="LCH67" s="10"/>
      <c r="LCI67" s="10"/>
      <c r="LCJ67" s="10"/>
      <c r="LCK67" s="10"/>
      <c r="LCL67" s="10"/>
      <c r="LCM67" s="10"/>
      <c r="LCN67" s="10"/>
      <c r="LCO67" s="10"/>
      <c r="LCP67" s="10"/>
      <c r="LCQ67" s="10"/>
      <c r="LCR67" s="10"/>
      <c r="LCS67" s="10"/>
      <c r="LCT67" s="10"/>
      <c r="LCU67" s="10"/>
      <c r="LCV67" s="10"/>
      <c r="LCW67" s="10"/>
      <c r="LCX67" s="10"/>
      <c r="LCY67" s="10"/>
      <c r="LCZ67" s="10"/>
      <c r="LDA67" s="10"/>
      <c r="LDB67" s="10"/>
      <c r="LDC67" s="10"/>
      <c r="LDD67" s="10"/>
      <c r="LDE67" s="10"/>
      <c r="LDF67" s="10"/>
      <c r="LDG67" s="10"/>
      <c r="LDH67" s="10"/>
      <c r="LDI67" s="10"/>
      <c r="LDJ67" s="10"/>
      <c r="LDK67" s="10"/>
      <c r="LDL67" s="10"/>
      <c r="LDM67" s="10"/>
      <c r="LDN67" s="10"/>
      <c r="LDO67" s="10"/>
      <c r="LDP67" s="10"/>
      <c r="LDQ67" s="10"/>
      <c r="LDR67" s="10"/>
      <c r="LDS67" s="10"/>
      <c r="LDT67" s="10"/>
      <c r="LDU67" s="10"/>
      <c r="LDV67" s="10"/>
      <c r="LDW67" s="10"/>
      <c r="LDX67" s="10"/>
      <c r="LDY67" s="10"/>
      <c r="LDZ67" s="10"/>
      <c r="LEA67" s="10"/>
      <c r="LEB67" s="10"/>
      <c r="LEC67" s="10"/>
      <c r="LED67" s="10"/>
      <c r="LEE67" s="10"/>
      <c r="LEF67" s="10"/>
      <c r="LEG67" s="10"/>
      <c r="LEH67" s="10"/>
      <c r="LEI67" s="10"/>
      <c r="LEJ67" s="10"/>
      <c r="LEK67" s="10"/>
      <c r="LEL67" s="10"/>
      <c r="LEM67" s="10"/>
      <c r="LEN67" s="10"/>
      <c r="LEO67" s="10"/>
      <c r="LEP67" s="10"/>
      <c r="LEQ67" s="10"/>
      <c r="LER67" s="10"/>
      <c r="LES67" s="10"/>
      <c r="LET67" s="10"/>
      <c r="LEU67" s="10"/>
      <c r="LEV67" s="10"/>
      <c r="LEW67" s="10"/>
      <c r="LEX67" s="10"/>
      <c r="LEY67" s="10"/>
      <c r="LEZ67" s="10"/>
      <c r="LFA67" s="10"/>
      <c r="LFB67" s="10"/>
      <c r="LFC67" s="10"/>
      <c r="LFD67" s="10"/>
      <c r="LFE67" s="10"/>
      <c r="LFF67" s="10"/>
      <c r="LFG67" s="10"/>
      <c r="LFH67" s="10"/>
      <c r="LFI67" s="10"/>
      <c r="LFJ67" s="10"/>
      <c r="LFK67" s="10"/>
      <c r="LFL67" s="10"/>
      <c r="LFM67" s="10"/>
      <c r="LFN67" s="10"/>
      <c r="LFO67" s="10"/>
      <c r="LFP67" s="10"/>
      <c r="LFQ67" s="10"/>
      <c r="LFR67" s="10"/>
      <c r="LFS67" s="10"/>
      <c r="LFT67" s="10"/>
      <c r="LFU67" s="10"/>
      <c r="LFV67" s="10"/>
      <c r="LFW67" s="10"/>
      <c r="LFX67" s="10"/>
      <c r="LFY67" s="10"/>
      <c r="LFZ67" s="10"/>
      <c r="LGA67" s="10"/>
      <c r="LGB67" s="10"/>
      <c r="LGC67" s="10"/>
      <c r="LGD67" s="10"/>
      <c r="LGE67" s="10"/>
      <c r="LGF67" s="10"/>
      <c r="LGG67" s="10"/>
      <c r="LGH67" s="10"/>
      <c r="LGI67" s="10"/>
      <c r="LGJ67" s="10"/>
      <c r="LGK67" s="10"/>
      <c r="LGL67" s="10"/>
      <c r="LGM67" s="10"/>
      <c r="LGN67" s="10"/>
      <c r="LGO67" s="10"/>
      <c r="LGP67" s="10"/>
      <c r="LGQ67" s="10"/>
      <c r="LGR67" s="10"/>
      <c r="LGS67" s="10"/>
      <c r="LGT67" s="10"/>
      <c r="LGU67" s="10"/>
      <c r="LGV67" s="10"/>
      <c r="LGW67" s="10"/>
      <c r="LGX67" s="10"/>
      <c r="LGY67" s="10"/>
      <c r="LGZ67" s="10"/>
      <c r="LHA67" s="10"/>
      <c r="LHB67" s="10"/>
      <c r="LHC67" s="10"/>
      <c r="LHD67" s="10"/>
      <c r="LHE67" s="10"/>
      <c r="LHF67" s="10"/>
      <c r="LHG67" s="10"/>
      <c r="LHH67" s="10"/>
      <c r="LHI67" s="10"/>
      <c r="LHJ67" s="10"/>
      <c r="LHK67" s="10"/>
      <c r="LHL67" s="10"/>
      <c r="LHM67" s="10"/>
      <c r="LHN67" s="10"/>
      <c r="LHO67" s="10"/>
      <c r="LHP67" s="10"/>
      <c r="LHQ67" s="10"/>
      <c r="LHR67" s="10"/>
      <c r="LHS67" s="10"/>
      <c r="LHT67" s="10"/>
      <c r="LHU67" s="10"/>
      <c r="LHV67" s="10"/>
      <c r="LHW67" s="10"/>
      <c r="LHX67" s="10"/>
      <c r="LHY67" s="10"/>
      <c r="LHZ67" s="10"/>
      <c r="LIA67" s="10"/>
      <c r="LIB67" s="10"/>
      <c r="LIC67" s="10"/>
      <c r="LID67" s="10"/>
      <c r="LIE67" s="10"/>
      <c r="LIF67" s="10"/>
      <c r="LIG67" s="10"/>
      <c r="LIH67" s="10"/>
      <c r="LII67" s="10"/>
      <c r="LIJ67" s="10"/>
      <c r="LIK67" s="10"/>
      <c r="LIL67" s="10"/>
      <c r="LIM67" s="10"/>
      <c r="LIN67" s="10"/>
      <c r="LIO67" s="10"/>
      <c r="LIP67" s="10"/>
      <c r="LIQ67" s="10"/>
      <c r="LIR67" s="10"/>
      <c r="LIS67" s="10"/>
      <c r="LIT67" s="10"/>
      <c r="LIU67" s="10"/>
      <c r="LIV67" s="10"/>
      <c r="LIW67" s="10"/>
      <c r="LIX67" s="10"/>
      <c r="LIY67" s="10"/>
      <c r="LIZ67" s="10"/>
      <c r="LJA67" s="10"/>
      <c r="LJB67" s="10"/>
      <c r="LJC67" s="10"/>
      <c r="LJD67" s="10"/>
      <c r="LJE67" s="10"/>
      <c r="LJF67" s="10"/>
      <c r="LJG67" s="10"/>
      <c r="LJH67" s="10"/>
      <c r="LJI67" s="10"/>
      <c r="LJJ67" s="10"/>
      <c r="LJK67" s="10"/>
      <c r="LJL67" s="10"/>
      <c r="LJM67" s="10"/>
      <c r="LJN67" s="10"/>
      <c r="LJO67" s="10"/>
      <c r="LJP67" s="10"/>
      <c r="LJQ67" s="10"/>
      <c r="LJR67" s="10"/>
      <c r="LJS67" s="10"/>
      <c r="LJT67" s="10"/>
      <c r="LJU67" s="10"/>
      <c r="LJV67" s="10"/>
      <c r="LJW67" s="10"/>
      <c r="LJX67" s="10"/>
      <c r="LJY67" s="10"/>
      <c r="LJZ67" s="10"/>
      <c r="LKA67" s="10"/>
      <c r="LKB67" s="10"/>
      <c r="LKC67" s="10"/>
      <c r="LKD67" s="10"/>
      <c r="LKE67" s="10"/>
      <c r="LKF67" s="10"/>
      <c r="LKG67" s="10"/>
      <c r="LKH67" s="10"/>
      <c r="LKI67" s="10"/>
      <c r="LKJ67" s="10"/>
      <c r="LKK67" s="10"/>
      <c r="LKL67" s="10"/>
      <c r="LKM67" s="10"/>
      <c r="LKN67" s="10"/>
      <c r="LKO67" s="10"/>
      <c r="LKP67" s="10"/>
      <c r="LKQ67" s="10"/>
      <c r="LKR67" s="10"/>
      <c r="LKS67" s="10"/>
      <c r="LKT67" s="10"/>
      <c r="LKU67" s="10"/>
      <c r="LKV67" s="10"/>
      <c r="LKW67" s="10"/>
      <c r="LKX67" s="10"/>
      <c r="LKY67" s="10"/>
      <c r="LKZ67" s="10"/>
      <c r="LLA67" s="10"/>
      <c r="LLB67" s="10"/>
      <c r="LLC67" s="10"/>
      <c r="LLD67" s="10"/>
      <c r="LLE67" s="10"/>
      <c r="LLF67" s="10"/>
      <c r="LLG67" s="10"/>
      <c r="LLH67" s="10"/>
      <c r="LLI67" s="10"/>
      <c r="LLJ67" s="10"/>
      <c r="LLK67" s="10"/>
      <c r="LLL67" s="10"/>
      <c r="LLM67" s="10"/>
      <c r="LLN67" s="10"/>
      <c r="LLO67" s="10"/>
      <c r="LLP67" s="10"/>
      <c r="LLQ67" s="10"/>
      <c r="LLR67" s="10"/>
      <c r="LLS67" s="10"/>
      <c r="LLT67" s="10"/>
      <c r="LLU67" s="10"/>
      <c r="LLV67" s="10"/>
      <c r="LLW67" s="10"/>
      <c r="LLX67" s="10"/>
      <c r="LLY67" s="10"/>
      <c r="LLZ67" s="10"/>
      <c r="LMA67" s="10"/>
      <c r="LMB67" s="10"/>
      <c r="LMC67" s="10"/>
      <c r="LMD67" s="10"/>
      <c r="LME67" s="10"/>
      <c r="LMF67" s="10"/>
      <c r="LMG67" s="10"/>
      <c r="LMH67" s="10"/>
      <c r="LMI67" s="10"/>
      <c r="LMJ67" s="10"/>
      <c r="LMK67" s="10"/>
      <c r="LML67" s="10"/>
      <c r="LMM67" s="10"/>
      <c r="LMN67" s="10"/>
      <c r="LMO67" s="10"/>
      <c r="LMP67" s="10"/>
      <c r="LMQ67" s="10"/>
      <c r="LMR67" s="10"/>
      <c r="LMS67" s="10"/>
      <c r="LMT67" s="10"/>
      <c r="LMU67" s="10"/>
      <c r="LMV67" s="10"/>
      <c r="LMW67" s="10"/>
      <c r="LMX67" s="10"/>
      <c r="LMY67" s="10"/>
      <c r="LMZ67" s="10"/>
      <c r="LNA67" s="10"/>
      <c r="LNB67" s="10"/>
      <c r="LNC67" s="10"/>
      <c r="LND67" s="10"/>
      <c r="LNE67" s="10"/>
      <c r="LNF67" s="10"/>
      <c r="LNG67" s="10"/>
      <c r="LNH67" s="10"/>
      <c r="LNI67" s="10"/>
      <c r="LNJ67" s="10"/>
      <c r="LNK67" s="10"/>
      <c r="LNL67" s="10"/>
      <c r="LNM67" s="10"/>
      <c r="LNN67" s="10"/>
      <c r="LNO67" s="10"/>
      <c r="LNP67" s="10"/>
      <c r="LNQ67" s="10"/>
      <c r="LNR67" s="10"/>
      <c r="LNS67" s="10"/>
      <c r="LNT67" s="10"/>
      <c r="LNU67" s="10"/>
      <c r="LNV67" s="10"/>
      <c r="LNW67" s="10"/>
      <c r="LNX67" s="10"/>
      <c r="LNY67" s="10"/>
      <c r="LNZ67" s="10"/>
      <c r="LOA67" s="10"/>
      <c r="LOB67" s="10"/>
      <c r="LOC67" s="10"/>
      <c r="LOD67" s="10"/>
      <c r="LOE67" s="10"/>
      <c r="LOF67" s="10"/>
      <c r="LOG67" s="10"/>
      <c r="LOH67" s="10"/>
      <c r="LOI67" s="10"/>
      <c r="LOJ67" s="10"/>
      <c r="LOK67" s="10"/>
      <c r="LOL67" s="10"/>
      <c r="LOM67" s="10"/>
      <c r="LON67" s="10"/>
      <c r="LOO67" s="10"/>
      <c r="LOP67" s="10"/>
      <c r="LOQ67" s="10"/>
      <c r="LOR67" s="10"/>
      <c r="LOS67" s="10"/>
      <c r="LOT67" s="10"/>
      <c r="LOU67" s="10"/>
      <c r="LOV67" s="10"/>
      <c r="LOW67" s="10"/>
      <c r="LOX67" s="10"/>
      <c r="LOY67" s="10"/>
      <c r="LOZ67" s="10"/>
      <c r="LPA67" s="10"/>
      <c r="LPB67" s="10"/>
      <c r="LPC67" s="10"/>
      <c r="LPD67" s="10"/>
      <c r="LPE67" s="10"/>
      <c r="LPF67" s="10"/>
      <c r="LPG67" s="10"/>
      <c r="LPH67" s="10"/>
      <c r="LPI67" s="10"/>
      <c r="LPJ67" s="10"/>
      <c r="LPK67" s="10"/>
      <c r="LPL67" s="10"/>
      <c r="LPM67" s="10"/>
      <c r="LPN67" s="10"/>
      <c r="LPO67" s="10"/>
      <c r="LPP67" s="10"/>
      <c r="LPQ67" s="10"/>
      <c r="LPR67" s="10"/>
      <c r="LPS67" s="10"/>
      <c r="LPT67" s="10"/>
      <c r="LPU67" s="10"/>
      <c r="LPV67" s="10"/>
      <c r="LPW67" s="10"/>
      <c r="LPX67" s="10"/>
      <c r="LPY67" s="10"/>
      <c r="LPZ67" s="10"/>
      <c r="LQA67" s="10"/>
      <c r="LQB67" s="10"/>
      <c r="LQC67" s="10"/>
      <c r="LQD67" s="10"/>
      <c r="LQE67" s="10"/>
      <c r="LQF67" s="10"/>
      <c r="LQG67" s="10"/>
      <c r="LQH67" s="10"/>
      <c r="LQI67" s="10"/>
      <c r="LQJ67" s="10"/>
      <c r="LQK67" s="10"/>
      <c r="LQL67" s="10"/>
      <c r="LQM67" s="10"/>
      <c r="LQN67" s="10"/>
      <c r="LQO67" s="10"/>
      <c r="LQP67" s="10"/>
      <c r="LQQ67" s="10"/>
      <c r="LQR67" s="10"/>
      <c r="LQS67" s="10"/>
      <c r="LQT67" s="10"/>
      <c r="LQU67" s="10"/>
      <c r="LQV67" s="10"/>
      <c r="LQW67" s="10"/>
      <c r="LQX67" s="10"/>
      <c r="LQY67" s="10"/>
      <c r="LQZ67" s="10"/>
      <c r="LRA67" s="10"/>
      <c r="LRB67" s="10"/>
      <c r="LRC67" s="10"/>
      <c r="LRD67" s="10"/>
      <c r="LRE67" s="10"/>
      <c r="LRF67" s="10"/>
      <c r="LRG67" s="10"/>
      <c r="LRH67" s="10"/>
      <c r="LRI67" s="10"/>
      <c r="LRJ67" s="10"/>
      <c r="LRK67" s="10"/>
      <c r="LRL67" s="10"/>
      <c r="LRM67" s="10"/>
      <c r="LRN67" s="10"/>
      <c r="LRO67" s="10"/>
      <c r="LRP67" s="10"/>
      <c r="LRQ67" s="10"/>
      <c r="LRR67" s="10"/>
      <c r="LRS67" s="10"/>
      <c r="LRT67" s="10"/>
      <c r="LRU67" s="10"/>
      <c r="LRV67" s="10"/>
      <c r="LRW67" s="10"/>
      <c r="LRX67" s="10"/>
      <c r="LRY67" s="10"/>
      <c r="LRZ67" s="10"/>
      <c r="LSA67" s="10"/>
      <c r="LSB67" s="10"/>
      <c r="LSC67" s="10"/>
      <c r="LSD67" s="10"/>
      <c r="LSE67" s="10"/>
      <c r="LSF67" s="10"/>
      <c r="LSG67" s="10"/>
      <c r="LSH67" s="10"/>
      <c r="LSI67" s="10"/>
      <c r="LSJ67" s="10"/>
      <c r="LSK67" s="10"/>
      <c r="LSL67" s="10"/>
      <c r="LSM67" s="10"/>
      <c r="LSN67" s="10"/>
      <c r="LSO67" s="10"/>
      <c r="LSP67" s="10"/>
      <c r="LSQ67" s="10"/>
      <c r="LSR67" s="10"/>
      <c r="LSS67" s="10"/>
      <c r="LST67" s="10"/>
      <c r="LSU67" s="10"/>
      <c r="LSV67" s="10"/>
      <c r="LSW67" s="10"/>
      <c r="LSX67" s="10"/>
      <c r="LSY67" s="10"/>
      <c r="LSZ67" s="10"/>
      <c r="LTA67" s="10"/>
      <c r="LTB67" s="10"/>
      <c r="LTC67" s="10"/>
      <c r="LTD67" s="10"/>
      <c r="LTE67" s="10"/>
      <c r="LTF67" s="10"/>
      <c r="LTG67" s="10"/>
      <c r="LTH67" s="10"/>
      <c r="LTI67" s="10"/>
      <c r="LTJ67" s="10"/>
      <c r="LTK67" s="10"/>
      <c r="LTL67" s="10"/>
      <c r="LTM67" s="10"/>
      <c r="LTN67" s="10"/>
      <c r="LTO67" s="10"/>
      <c r="LTP67" s="10"/>
      <c r="LTQ67" s="10"/>
      <c r="LTR67" s="10"/>
      <c r="LTS67" s="10"/>
      <c r="LTT67" s="10"/>
      <c r="LTU67" s="10"/>
      <c r="LTV67" s="10"/>
      <c r="LTW67" s="10"/>
      <c r="LTX67" s="10"/>
      <c r="LTY67" s="10"/>
      <c r="LTZ67" s="10"/>
      <c r="LUA67" s="10"/>
      <c r="LUB67" s="10"/>
      <c r="LUC67" s="10"/>
      <c r="LUD67" s="10"/>
      <c r="LUE67" s="10"/>
      <c r="LUF67" s="10"/>
      <c r="LUG67" s="10"/>
      <c r="LUH67" s="10"/>
      <c r="LUI67" s="10"/>
      <c r="LUJ67" s="10"/>
      <c r="LUK67" s="10"/>
      <c r="LUL67" s="10"/>
      <c r="LUM67" s="10"/>
      <c r="LUN67" s="10"/>
      <c r="LUO67" s="10"/>
      <c r="LUP67" s="10"/>
      <c r="LUQ67" s="10"/>
      <c r="LUR67" s="10"/>
      <c r="LUS67" s="10"/>
      <c r="LUT67" s="10"/>
      <c r="LUU67" s="10"/>
      <c r="LUV67" s="10"/>
      <c r="LUW67" s="10"/>
      <c r="LUX67" s="10"/>
      <c r="LUY67" s="10"/>
      <c r="LUZ67" s="10"/>
      <c r="LVA67" s="10"/>
      <c r="LVB67" s="10"/>
      <c r="LVC67" s="10"/>
      <c r="LVD67" s="10"/>
      <c r="LVE67" s="10"/>
      <c r="LVF67" s="10"/>
      <c r="LVG67" s="10"/>
      <c r="LVH67" s="10"/>
      <c r="LVI67" s="10"/>
      <c r="LVJ67" s="10"/>
      <c r="LVK67" s="10"/>
      <c r="LVL67" s="10"/>
      <c r="LVM67" s="10"/>
      <c r="LVN67" s="10"/>
      <c r="LVO67" s="10"/>
      <c r="LVP67" s="10"/>
      <c r="LVQ67" s="10"/>
      <c r="LVR67" s="10"/>
      <c r="LVS67" s="10"/>
      <c r="LVT67" s="10"/>
      <c r="LVU67" s="10"/>
      <c r="LVV67" s="10"/>
      <c r="LVW67" s="10"/>
      <c r="LVX67" s="10"/>
      <c r="LVY67" s="10"/>
      <c r="LVZ67" s="10"/>
      <c r="LWA67" s="10"/>
      <c r="LWB67" s="10"/>
      <c r="LWC67" s="10"/>
      <c r="LWD67" s="10"/>
      <c r="LWE67" s="10"/>
      <c r="LWF67" s="10"/>
      <c r="LWG67" s="10"/>
      <c r="LWH67" s="10"/>
      <c r="LWI67" s="10"/>
      <c r="LWJ67" s="10"/>
      <c r="LWK67" s="10"/>
      <c r="LWL67" s="10"/>
      <c r="LWM67" s="10"/>
      <c r="LWN67" s="10"/>
      <c r="LWO67" s="10"/>
      <c r="LWP67" s="10"/>
      <c r="LWQ67" s="10"/>
      <c r="LWR67" s="10"/>
      <c r="LWS67" s="10"/>
      <c r="LWT67" s="10"/>
      <c r="LWU67" s="10"/>
      <c r="LWV67" s="10"/>
      <c r="LWW67" s="10"/>
      <c r="LWX67" s="10"/>
      <c r="LWY67" s="10"/>
      <c r="LWZ67" s="10"/>
      <c r="LXA67" s="10"/>
      <c r="LXB67" s="10"/>
      <c r="LXC67" s="10"/>
      <c r="LXD67" s="10"/>
      <c r="LXE67" s="10"/>
      <c r="LXF67" s="10"/>
      <c r="LXG67" s="10"/>
      <c r="LXH67" s="10"/>
      <c r="LXI67" s="10"/>
      <c r="LXJ67" s="10"/>
      <c r="LXK67" s="10"/>
      <c r="LXL67" s="10"/>
      <c r="LXM67" s="10"/>
      <c r="LXN67" s="10"/>
      <c r="LXO67" s="10"/>
      <c r="LXP67" s="10"/>
      <c r="LXQ67" s="10"/>
      <c r="LXR67" s="10"/>
      <c r="LXS67" s="10"/>
      <c r="LXT67" s="10"/>
      <c r="LXU67" s="10"/>
      <c r="LXV67" s="10"/>
      <c r="LXW67" s="10"/>
      <c r="LXX67" s="10"/>
      <c r="LXY67" s="10"/>
      <c r="LXZ67" s="10"/>
      <c r="LYA67" s="10"/>
      <c r="LYB67" s="10"/>
      <c r="LYC67" s="10"/>
      <c r="LYD67" s="10"/>
      <c r="LYE67" s="10"/>
      <c r="LYF67" s="10"/>
      <c r="LYG67" s="10"/>
      <c r="LYH67" s="10"/>
      <c r="LYI67" s="10"/>
      <c r="LYJ67" s="10"/>
      <c r="LYK67" s="10"/>
      <c r="LYL67" s="10"/>
      <c r="LYM67" s="10"/>
      <c r="LYN67" s="10"/>
      <c r="LYO67" s="10"/>
      <c r="LYP67" s="10"/>
      <c r="LYQ67" s="10"/>
      <c r="LYR67" s="10"/>
      <c r="LYS67" s="10"/>
      <c r="LYT67" s="10"/>
      <c r="LYU67" s="10"/>
      <c r="LYV67" s="10"/>
      <c r="LYW67" s="10"/>
      <c r="LYX67" s="10"/>
      <c r="LYY67" s="10"/>
      <c r="LYZ67" s="10"/>
      <c r="LZA67" s="10"/>
      <c r="LZB67" s="10"/>
      <c r="LZC67" s="10"/>
      <c r="LZD67" s="10"/>
      <c r="LZE67" s="10"/>
      <c r="LZF67" s="10"/>
      <c r="LZG67" s="10"/>
      <c r="LZH67" s="10"/>
      <c r="LZI67" s="10"/>
      <c r="LZJ67" s="10"/>
      <c r="LZK67" s="10"/>
      <c r="LZL67" s="10"/>
      <c r="LZM67" s="10"/>
      <c r="LZN67" s="10"/>
      <c r="LZO67" s="10"/>
      <c r="LZP67" s="10"/>
      <c r="LZQ67" s="10"/>
      <c r="LZR67" s="10"/>
      <c r="LZS67" s="10"/>
      <c r="LZT67" s="10"/>
      <c r="LZU67" s="10"/>
      <c r="LZV67" s="10"/>
      <c r="LZW67" s="10"/>
      <c r="LZX67" s="10"/>
      <c r="LZY67" s="10"/>
      <c r="LZZ67" s="10"/>
      <c r="MAA67" s="10"/>
      <c r="MAB67" s="10"/>
      <c r="MAC67" s="10"/>
      <c r="MAD67" s="10"/>
      <c r="MAE67" s="10"/>
      <c r="MAF67" s="10"/>
      <c r="MAG67" s="10"/>
      <c r="MAH67" s="10"/>
      <c r="MAI67" s="10"/>
      <c r="MAJ67" s="10"/>
      <c r="MAK67" s="10"/>
      <c r="MAL67" s="10"/>
      <c r="MAM67" s="10"/>
      <c r="MAN67" s="10"/>
      <c r="MAO67" s="10"/>
      <c r="MAP67" s="10"/>
      <c r="MAQ67" s="10"/>
      <c r="MAR67" s="10"/>
      <c r="MAS67" s="10"/>
      <c r="MAT67" s="10"/>
      <c r="MAU67" s="10"/>
      <c r="MAV67" s="10"/>
      <c r="MAW67" s="10"/>
      <c r="MAX67" s="10"/>
      <c r="MAY67" s="10"/>
      <c r="MAZ67" s="10"/>
      <c r="MBA67" s="10"/>
      <c r="MBB67" s="10"/>
      <c r="MBC67" s="10"/>
      <c r="MBD67" s="10"/>
      <c r="MBE67" s="10"/>
      <c r="MBF67" s="10"/>
      <c r="MBG67" s="10"/>
      <c r="MBH67" s="10"/>
      <c r="MBI67" s="10"/>
      <c r="MBJ67" s="10"/>
      <c r="MBK67" s="10"/>
      <c r="MBL67" s="10"/>
      <c r="MBM67" s="10"/>
      <c r="MBN67" s="10"/>
      <c r="MBO67" s="10"/>
      <c r="MBP67" s="10"/>
      <c r="MBQ67" s="10"/>
      <c r="MBR67" s="10"/>
      <c r="MBS67" s="10"/>
      <c r="MBT67" s="10"/>
      <c r="MBU67" s="10"/>
      <c r="MBV67" s="10"/>
      <c r="MBW67" s="10"/>
      <c r="MBX67" s="10"/>
      <c r="MBY67" s="10"/>
      <c r="MBZ67" s="10"/>
      <c r="MCA67" s="10"/>
      <c r="MCB67" s="10"/>
      <c r="MCC67" s="10"/>
      <c r="MCD67" s="10"/>
      <c r="MCE67" s="10"/>
      <c r="MCF67" s="10"/>
      <c r="MCG67" s="10"/>
      <c r="MCH67" s="10"/>
      <c r="MCI67" s="10"/>
      <c r="MCJ67" s="10"/>
      <c r="MCK67" s="10"/>
      <c r="MCL67" s="10"/>
      <c r="MCM67" s="10"/>
      <c r="MCN67" s="10"/>
      <c r="MCO67" s="10"/>
      <c r="MCP67" s="10"/>
      <c r="MCQ67" s="10"/>
      <c r="MCR67" s="10"/>
      <c r="MCS67" s="10"/>
      <c r="MCT67" s="10"/>
      <c r="MCU67" s="10"/>
      <c r="MCV67" s="10"/>
      <c r="MCW67" s="10"/>
      <c r="MCX67" s="10"/>
      <c r="MCY67" s="10"/>
      <c r="MCZ67" s="10"/>
      <c r="MDA67" s="10"/>
      <c r="MDB67" s="10"/>
      <c r="MDC67" s="10"/>
      <c r="MDD67" s="10"/>
      <c r="MDE67" s="10"/>
      <c r="MDF67" s="10"/>
      <c r="MDG67" s="10"/>
      <c r="MDH67" s="10"/>
      <c r="MDI67" s="10"/>
      <c r="MDJ67" s="10"/>
      <c r="MDK67" s="10"/>
      <c r="MDL67" s="10"/>
      <c r="MDM67" s="10"/>
      <c r="MDN67" s="10"/>
      <c r="MDO67" s="10"/>
      <c r="MDP67" s="10"/>
      <c r="MDQ67" s="10"/>
      <c r="MDR67" s="10"/>
      <c r="MDS67" s="10"/>
      <c r="MDT67" s="10"/>
      <c r="MDU67" s="10"/>
      <c r="MDV67" s="10"/>
      <c r="MDW67" s="10"/>
      <c r="MDX67" s="10"/>
      <c r="MDY67" s="10"/>
      <c r="MDZ67" s="10"/>
      <c r="MEA67" s="10"/>
      <c r="MEB67" s="10"/>
      <c r="MEC67" s="10"/>
      <c r="MED67" s="10"/>
      <c r="MEE67" s="10"/>
      <c r="MEF67" s="10"/>
      <c r="MEG67" s="10"/>
      <c r="MEH67" s="10"/>
      <c r="MEI67" s="10"/>
      <c r="MEJ67" s="10"/>
      <c r="MEK67" s="10"/>
      <c r="MEL67" s="10"/>
      <c r="MEM67" s="10"/>
      <c r="MEN67" s="10"/>
      <c r="MEO67" s="10"/>
      <c r="MEP67" s="10"/>
      <c r="MEQ67" s="10"/>
      <c r="MER67" s="10"/>
      <c r="MES67" s="10"/>
      <c r="MET67" s="10"/>
      <c r="MEU67" s="10"/>
      <c r="MEV67" s="10"/>
      <c r="MEW67" s="10"/>
      <c r="MEX67" s="10"/>
      <c r="MEY67" s="10"/>
      <c r="MEZ67" s="10"/>
      <c r="MFA67" s="10"/>
      <c r="MFB67" s="10"/>
      <c r="MFC67" s="10"/>
      <c r="MFD67" s="10"/>
      <c r="MFE67" s="10"/>
      <c r="MFF67" s="10"/>
      <c r="MFG67" s="10"/>
      <c r="MFH67" s="10"/>
      <c r="MFI67" s="10"/>
      <c r="MFJ67" s="10"/>
      <c r="MFK67" s="10"/>
      <c r="MFL67" s="10"/>
      <c r="MFM67" s="10"/>
      <c r="MFN67" s="10"/>
      <c r="MFO67" s="10"/>
      <c r="MFP67" s="10"/>
      <c r="MFQ67" s="10"/>
      <c r="MFR67" s="10"/>
      <c r="MFS67" s="10"/>
      <c r="MFT67" s="10"/>
      <c r="MFU67" s="10"/>
      <c r="MFV67" s="10"/>
      <c r="MFW67" s="10"/>
      <c r="MFX67" s="10"/>
      <c r="MFY67" s="10"/>
      <c r="MFZ67" s="10"/>
      <c r="MGA67" s="10"/>
      <c r="MGB67" s="10"/>
      <c r="MGC67" s="10"/>
      <c r="MGD67" s="10"/>
      <c r="MGE67" s="10"/>
      <c r="MGF67" s="10"/>
      <c r="MGG67" s="10"/>
      <c r="MGH67" s="10"/>
      <c r="MGI67" s="10"/>
      <c r="MGJ67" s="10"/>
      <c r="MGK67" s="10"/>
      <c r="MGL67" s="10"/>
      <c r="MGM67" s="10"/>
      <c r="MGN67" s="10"/>
      <c r="MGO67" s="10"/>
      <c r="MGP67" s="10"/>
      <c r="MGQ67" s="10"/>
      <c r="MGR67" s="10"/>
      <c r="MGS67" s="10"/>
      <c r="MGT67" s="10"/>
      <c r="MGU67" s="10"/>
      <c r="MGV67" s="10"/>
      <c r="MGW67" s="10"/>
      <c r="MGX67" s="10"/>
      <c r="MGY67" s="10"/>
      <c r="MGZ67" s="10"/>
      <c r="MHA67" s="10"/>
      <c r="MHB67" s="10"/>
      <c r="MHC67" s="10"/>
      <c r="MHD67" s="10"/>
      <c r="MHE67" s="10"/>
      <c r="MHF67" s="10"/>
      <c r="MHG67" s="10"/>
      <c r="MHH67" s="10"/>
      <c r="MHI67" s="10"/>
      <c r="MHJ67" s="10"/>
      <c r="MHK67" s="10"/>
      <c r="MHL67" s="10"/>
      <c r="MHM67" s="10"/>
      <c r="MHN67" s="10"/>
      <c r="MHO67" s="10"/>
      <c r="MHP67" s="10"/>
      <c r="MHQ67" s="10"/>
      <c r="MHR67" s="10"/>
      <c r="MHS67" s="10"/>
      <c r="MHT67" s="10"/>
      <c r="MHU67" s="10"/>
      <c r="MHV67" s="10"/>
      <c r="MHW67" s="10"/>
      <c r="MHX67" s="10"/>
      <c r="MHY67" s="10"/>
      <c r="MHZ67" s="10"/>
      <c r="MIA67" s="10"/>
      <c r="MIB67" s="10"/>
      <c r="MIC67" s="10"/>
      <c r="MID67" s="10"/>
      <c r="MIE67" s="10"/>
      <c r="MIF67" s="10"/>
      <c r="MIG67" s="10"/>
      <c r="MIH67" s="10"/>
      <c r="MII67" s="10"/>
      <c r="MIJ67" s="10"/>
      <c r="MIK67" s="10"/>
      <c r="MIL67" s="10"/>
      <c r="MIM67" s="10"/>
      <c r="MIN67" s="10"/>
      <c r="MIO67" s="10"/>
      <c r="MIP67" s="10"/>
      <c r="MIQ67" s="10"/>
      <c r="MIR67" s="10"/>
      <c r="MIS67" s="10"/>
      <c r="MIT67" s="10"/>
      <c r="MIU67" s="10"/>
      <c r="MIV67" s="10"/>
      <c r="MIW67" s="10"/>
      <c r="MIX67" s="10"/>
      <c r="MIY67" s="10"/>
      <c r="MIZ67" s="10"/>
      <c r="MJA67" s="10"/>
      <c r="MJB67" s="10"/>
      <c r="MJC67" s="10"/>
      <c r="MJD67" s="10"/>
      <c r="MJE67" s="10"/>
      <c r="MJF67" s="10"/>
      <c r="MJG67" s="10"/>
      <c r="MJH67" s="10"/>
      <c r="MJI67" s="10"/>
      <c r="MJJ67" s="10"/>
      <c r="MJK67" s="10"/>
      <c r="MJL67" s="10"/>
      <c r="MJM67" s="10"/>
      <c r="MJN67" s="10"/>
      <c r="MJO67" s="10"/>
      <c r="MJP67" s="10"/>
      <c r="MJQ67" s="10"/>
      <c r="MJR67" s="10"/>
      <c r="MJS67" s="10"/>
      <c r="MJT67" s="10"/>
      <c r="MJU67" s="10"/>
      <c r="MJV67" s="10"/>
      <c r="MJW67" s="10"/>
      <c r="MJX67" s="10"/>
      <c r="MJY67" s="10"/>
      <c r="MJZ67" s="10"/>
      <c r="MKA67" s="10"/>
      <c r="MKB67" s="10"/>
      <c r="MKC67" s="10"/>
      <c r="MKD67" s="10"/>
      <c r="MKE67" s="10"/>
      <c r="MKF67" s="10"/>
      <c r="MKG67" s="10"/>
      <c r="MKH67" s="10"/>
      <c r="MKI67" s="10"/>
      <c r="MKJ67" s="10"/>
      <c r="MKK67" s="10"/>
      <c r="MKL67" s="10"/>
      <c r="MKM67" s="10"/>
      <c r="MKN67" s="10"/>
      <c r="MKO67" s="10"/>
      <c r="MKP67" s="10"/>
      <c r="MKQ67" s="10"/>
      <c r="MKR67" s="10"/>
      <c r="MKS67" s="10"/>
      <c r="MKT67" s="10"/>
      <c r="MKU67" s="10"/>
      <c r="MKV67" s="10"/>
      <c r="MKW67" s="10"/>
      <c r="MKX67" s="10"/>
      <c r="MKY67" s="10"/>
      <c r="MKZ67" s="10"/>
      <c r="MLA67" s="10"/>
      <c r="MLB67" s="10"/>
      <c r="MLC67" s="10"/>
      <c r="MLD67" s="10"/>
      <c r="MLE67" s="10"/>
      <c r="MLF67" s="10"/>
      <c r="MLG67" s="10"/>
      <c r="MLH67" s="10"/>
      <c r="MLI67" s="10"/>
      <c r="MLJ67" s="10"/>
      <c r="MLK67" s="10"/>
      <c r="MLL67" s="10"/>
      <c r="MLM67" s="10"/>
      <c r="MLN67" s="10"/>
      <c r="MLO67" s="10"/>
      <c r="MLP67" s="10"/>
      <c r="MLQ67" s="10"/>
      <c r="MLR67" s="10"/>
      <c r="MLS67" s="10"/>
      <c r="MLT67" s="10"/>
      <c r="MLU67" s="10"/>
      <c r="MLV67" s="10"/>
      <c r="MLW67" s="10"/>
      <c r="MLX67" s="10"/>
      <c r="MLY67" s="10"/>
      <c r="MLZ67" s="10"/>
      <c r="MMA67" s="10"/>
      <c r="MMB67" s="10"/>
      <c r="MMC67" s="10"/>
      <c r="MMD67" s="10"/>
      <c r="MME67" s="10"/>
      <c r="MMF67" s="10"/>
      <c r="MMG67" s="10"/>
      <c r="MMH67" s="10"/>
      <c r="MMI67" s="10"/>
      <c r="MMJ67" s="10"/>
      <c r="MMK67" s="10"/>
      <c r="MML67" s="10"/>
      <c r="MMM67" s="10"/>
      <c r="MMN67" s="10"/>
      <c r="MMO67" s="10"/>
      <c r="MMP67" s="10"/>
      <c r="MMQ67" s="10"/>
      <c r="MMR67" s="10"/>
      <c r="MMS67" s="10"/>
      <c r="MMT67" s="10"/>
      <c r="MMU67" s="10"/>
      <c r="MMV67" s="10"/>
      <c r="MMW67" s="10"/>
      <c r="MMX67" s="10"/>
      <c r="MMY67" s="10"/>
      <c r="MMZ67" s="10"/>
      <c r="MNA67" s="10"/>
      <c r="MNB67" s="10"/>
      <c r="MNC67" s="10"/>
      <c r="MND67" s="10"/>
      <c r="MNE67" s="10"/>
      <c r="MNF67" s="10"/>
      <c r="MNG67" s="10"/>
      <c r="MNH67" s="10"/>
      <c r="MNI67" s="10"/>
      <c r="MNJ67" s="10"/>
      <c r="MNK67" s="10"/>
      <c r="MNL67" s="10"/>
      <c r="MNM67" s="10"/>
      <c r="MNN67" s="10"/>
      <c r="MNO67" s="10"/>
      <c r="MNP67" s="10"/>
      <c r="MNQ67" s="10"/>
      <c r="MNR67" s="10"/>
      <c r="MNS67" s="10"/>
      <c r="MNT67" s="10"/>
      <c r="MNU67" s="10"/>
      <c r="MNV67" s="10"/>
      <c r="MNW67" s="10"/>
      <c r="MNX67" s="10"/>
      <c r="MNY67" s="10"/>
      <c r="MNZ67" s="10"/>
      <c r="MOA67" s="10"/>
      <c r="MOB67" s="10"/>
      <c r="MOC67" s="10"/>
      <c r="MOD67" s="10"/>
      <c r="MOE67" s="10"/>
      <c r="MOF67" s="10"/>
      <c r="MOG67" s="10"/>
      <c r="MOH67" s="10"/>
      <c r="MOI67" s="10"/>
      <c r="MOJ67" s="10"/>
      <c r="MOK67" s="10"/>
      <c r="MOL67" s="10"/>
      <c r="MOM67" s="10"/>
      <c r="MON67" s="10"/>
      <c r="MOO67" s="10"/>
      <c r="MOP67" s="10"/>
      <c r="MOQ67" s="10"/>
      <c r="MOR67" s="10"/>
      <c r="MOS67" s="10"/>
      <c r="MOT67" s="10"/>
      <c r="MOU67" s="10"/>
      <c r="MOV67" s="10"/>
      <c r="MOW67" s="10"/>
      <c r="MOX67" s="10"/>
      <c r="MOY67" s="10"/>
      <c r="MOZ67" s="10"/>
      <c r="MPA67" s="10"/>
      <c r="MPB67" s="10"/>
      <c r="MPC67" s="10"/>
      <c r="MPD67" s="10"/>
      <c r="MPE67" s="10"/>
      <c r="MPF67" s="10"/>
      <c r="MPG67" s="10"/>
      <c r="MPH67" s="10"/>
      <c r="MPI67" s="10"/>
      <c r="MPJ67" s="10"/>
      <c r="MPK67" s="10"/>
      <c r="MPL67" s="10"/>
      <c r="MPM67" s="10"/>
      <c r="MPN67" s="10"/>
      <c r="MPO67" s="10"/>
      <c r="MPP67" s="10"/>
      <c r="MPQ67" s="10"/>
      <c r="MPR67" s="10"/>
      <c r="MPS67" s="10"/>
      <c r="MPT67" s="10"/>
      <c r="MPU67" s="10"/>
      <c r="MPV67" s="10"/>
      <c r="MPW67" s="10"/>
      <c r="MPX67" s="10"/>
      <c r="MPY67" s="10"/>
      <c r="MPZ67" s="10"/>
      <c r="MQA67" s="10"/>
      <c r="MQB67" s="10"/>
      <c r="MQC67" s="10"/>
      <c r="MQD67" s="10"/>
      <c r="MQE67" s="10"/>
      <c r="MQF67" s="10"/>
      <c r="MQG67" s="10"/>
      <c r="MQH67" s="10"/>
      <c r="MQI67" s="10"/>
      <c r="MQJ67" s="10"/>
      <c r="MQK67" s="10"/>
      <c r="MQL67" s="10"/>
      <c r="MQM67" s="10"/>
      <c r="MQN67" s="10"/>
      <c r="MQO67" s="10"/>
      <c r="MQP67" s="10"/>
      <c r="MQQ67" s="10"/>
      <c r="MQR67" s="10"/>
      <c r="MQS67" s="10"/>
      <c r="MQT67" s="10"/>
      <c r="MQU67" s="10"/>
      <c r="MQV67" s="10"/>
      <c r="MQW67" s="10"/>
      <c r="MQX67" s="10"/>
      <c r="MQY67" s="10"/>
      <c r="MQZ67" s="10"/>
      <c r="MRA67" s="10"/>
      <c r="MRB67" s="10"/>
      <c r="MRC67" s="10"/>
      <c r="MRD67" s="10"/>
      <c r="MRE67" s="10"/>
      <c r="MRF67" s="10"/>
      <c r="MRG67" s="10"/>
      <c r="MRH67" s="10"/>
      <c r="MRI67" s="10"/>
      <c r="MRJ67" s="10"/>
      <c r="MRK67" s="10"/>
      <c r="MRL67" s="10"/>
      <c r="MRM67" s="10"/>
      <c r="MRN67" s="10"/>
      <c r="MRO67" s="10"/>
      <c r="MRP67" s="10"/>
      <c r="MRQ67" s="10"/>
      <c r="MRR67" s="10"/>
      <c r="MRS67" s="10"/>
      <c r="MRT67" s="10"/>
      <c r="MRU67" s="10"/>
      <c r="MRV67" s="10"/>
      <c r="MRW67" s="10"/>
      <c r="MRX67" s="10"/>
      <c r="MRY67" s="10"/>
      <c r="MRZ67" s="10"/>
      <c r="MSA67" s="10"/>
      <c r="MSB67" s="10"/>
      <c r="MSC67" s="10"/>
      <c r="MSD67" s="10"/>
      <c r="MSE67" s="10"/>
      <c r="MSF67" s="10"/>
      <c r="MSG67" s="10"/>
      <c r="MSH67" s="10"/>
      <c r="MSI67" s="10"/>
      <c r="MSJ67" s="10"/>
      <c r="MSK67" s="10"/>
      <c r="MSL67" s="10"/>
      <c r="MSM67" s="10"/>
      <c r="MSN67" s="10"/>
      <c r="MSO67" s="10"/>
      <c r="MSP67" s="10"/>
      <c r="MSQ67" s="10"/>
      <c r="MSR67" s="10"/>
      <c r="MSS67" s="10"/>
      <c r="MST67" s="10"/>
      <c r="MSU67" s="10"/>
      <c r="MSV67" s="10"/>
      <c r="MSW67" s="10"/>
      <c r="MSX67" s="10"/>
      <c r="MSY67" s="10"/>
      <c r="MSZ67" s="10"/>
      <c r="MTA67" s="10"/>
      <c r="MTB67" s="10"/>
      <c r="MTC67" s="10"/>
      <c r="MTD67" s="10"/>
      <c r="MTE67" s="10"/>
      <c r="MTF67" s="10"/>
      <c r="MTG67" s="10"/>
      <c r="MTH67" s="10"/>
      <c r="MTI67" s="10"/>
      <c r="MTJ67" s="10"/>
      <c r="MTK67" s="10"/>
      <c r="MTL67" s="10"/>
      <c r="MTM67" s="10"/>
      <c r="MTN67" s="10"/>
      <c r="MTO67" s="10"/>
      <c r="MTP67" s="10"/>
      <c r="MTQ67" s="10"/>
      <c r="MTR67" s="10"/>
      <c r="MTS67" s="10"/>
      <c r="MTT67" s="10"/>
      <c r="MTU67" s="10"/>
      <c r="MTV67" s="10"/>
      <c r="MTW67" s="10"/>
      <c r="MTX67" s="10"/>
      <c r="MTY67" s="10"/>
      <c r="MTZ67" s="10"/>
      <c r="MUA67" s="10"/>
      <c r="MUB67" s="10"/>
      <c r="MUC67" s="10"/>
      <c r="MUD67" s="10"/>
      <c r="MUE67" s="10"/>
      <c r="MUF67" s="10"/>
      <c r="MUG67" s="10"/>
      <c r="MUH67" s="10"/>
      <c r="MUI67" s="10"/>
      <c r="MUJ67" s="10"/>
      <c r="MUK67" s="10"/>
      <c r="MUL67" s="10"/>
      <c r="MUM67" s="10"/>
      <c r="MUN67" s="10"/>
      <c r="MUO67" s="10"/>
      <c r="MUP67" s="10"/>
      <c r="MUQ67" s="10"/>
      <c r="MUR67" s="10"/>
      <c r="MUS67" s="10"/>
      <c r="MUT67" s="10"/>
      <c r="MUU67" s="10"/>
      <c r="MUV67" s="10"/>
      <c r="MUW67" s="10"/>
      <c r="MUX67" s="10"/>
      <c r="MUY67" s="10"/>
      <c r="MUZ67" s="10"/>
      <c r="MVA67" s="10"/>
      <c r="MVB67" s="10"/>
      <c r="MVC67" s="10"/>
      <c r="MVD67" s="10"/>
      <c r="MVE67" s="10"/>
      <c r="MVF67" s="10"/>
      <c r="MVG67" s="10"/>
      <c r="MVH67" s="10"/>
      <c r="MVI67" s="10"/>
      <c r="MVJ67" s="10"/>
      <c r="MVK67" s="10"/>
      <c r="MVL67" s="10"/>
      <c r="MVM67" s="10"/>
      <c r="MVN67" s="10"/>
      <c r="MVO67" s="10"/>
      <c r="MVP67" s="10"/>
      <c r="MVQ67" s="10"/>
      <c r="MVR67" s="10"/>
      <c r="MVS67" s="10"/>
      <c r="MVT67" s="10"/>
      <c r="MVU67" s="10"/>
      <c r="MVV67" s="10"/>
      <c r="MVW67" s="10"/>
      <c r="MVX67" s="10"/>
      <c r="MVY67" s="10"/>
      <c r="MVZ67" s="10"/>
      <c r="MWA67" s="10"/>
      <c r="MWB67" s="10"/>
      <c r="MWC67" s="10"/>
      <c r="MWD67" s="10"/>
      <c r="MWE67" s="10"/>
      <c r="MWF67" s="10"/>
      <c r="MWG67" s="10"/>
      <c r="MWH67" s="10"/>
      <c r="MWI67" s="10"/>
      <c r="MWJ67" s="10"/>
      <c r="MWK67" s="10"/>
      <c r="MWL67" s="10"/>
      <c r="MWM67" s="10"/>
      <c r="MWN67" s="10"/>
      <c r="MWO67" s="10"/>
      <c r="MWP67" s="10"/>
      <c r="MWQ67" s="10"/>
      <c r="MWR67" s="10"/>
      <c r="MWS67" s="10"/>
      <c r="MWT67" s="10"/>
      <c r="MWU67" s="10"/>
      <c r="MWV67" s="10"/>
      <c r="MWW67" s="10"/>
      <c r="MWX67" s="10"/>
      <c r="MWY67" s="10"/>
      <c r="MWZ67" s="10"/>
      <c r="MXA67" s="10"/>
      <c r="MXB67" s="10"/>
      <c r="MXC67" s="10"/>
      <c r="MXD67" s="10"/>
      <c r="MXE67" s="10"/>
      <c r="MXF67" s="10"/>
      <c r="MXG67" s="10"/>
      <c r="MXH67" s="10"/>
      <c r="MXI67" s="10"/>
      <c r="MXJ67" s="10"/>
      <c r="MXK67" s="10"/>
      <c r="MXL67" s="10"/>
      <c r="MXM67" s="10"/>
      <c r="MXN67" s="10"/>
      <c r="MXO67" s="10"/>
      <c r="MXP67" s="10"/>
      <c r="MXQ67" s="10"/>
      <c r="MXR67" s="10"/>
      <c r="MXS67" s="10"/>
      <c r="MXT67" s="10"/>
      <c r="MXU67" s="10"/>
      <c r="MXV67" s="10"/>
      <c r="MXW67" s="10"/>
      <c r="MXX67" s="10"/>
      <c r="MXY67" s="10"/>
      <c r="MXZ67" s="10"/>
      <c r="MYA67" s="10"/>
      <c r="MYB67" s="10"/>
      <c r="MYC67" s="10"/>
      <c r="MYD67" s="10"/>
      <c r="MYE67" s="10"/>
      <c r="MYF67" s="10"/>
      <c r="MYG67" s="10"/>
      <c r="MYH67" s="10"/>
      <c r="MYI67" s="10"/>
      <c r="MYJ67" s="10"/>
      <c r="MYK67" s="10"/>
      <c r="MYL67" s="10"/>
      <c r="MYM67" s="10"/>
      <c r="MYN67" s="10"/>
      <c r="MYO67" s="10"/>
      <c r="MYP67" s="10"/>
      <c r="MYQ67" s="10"/>
      <c r="MYR67" s="10"/>
      <c r="MYS67" s="10"/>
      <c r="MYT67" s="10"/>
      <c r="MYU67" s="10"/>
      <c r="MYV67" s="10"/>
      <c r="MYW67" s="10"/>
      <c r="MYX67" s="10"/>
      <c r="MYY67" s="10"/>
      <c r="MYZ67" s="10"/>
      <c r="MZA67" s="10"/>
      <c r="MZB67" s="10"/>
      <c r="MZC67" s="10"/>
      <c r="MZD67" s="10"/>
      <c r="MZE67" s="10"/>
      <c r="MZF67" s="10"/>
      <c r="MZG67" s="10"/>
      <c r="MZH67" s="10"/>
      <c r="MZI67" s="10"/>
      <c r="MZJ67" s="10"/>
      <c r="MZK67" s="10"/>
      <c r="MZL67" s="10"/>
      <c r="MZM67" s="10"/>
      <c r="MZN67" s="10"/>
      <c r="MZO67" s="10"/>
      <c r="MZP67" s="10"/>
      <c r="MZQ67" s="10"/>
      <c r="MZR67" s="10"/>
      <c r="MZS67" s="10"/>
      <c r="MZT67" s="10"/>
      <c r="MZU67" s="10"/>
      <c r="MZV67" s="10"/>
      <c r="MZW67" s="10"/>
      <c r="MZX67" s="10"/>
      <c r="MZY67" s="10"/>
      <c r="MZZ67" s="10"/>
      <c r="NAA67" s="10"/>
      <c r="NAB67" s="10"/>
      <c r="NAC67" s="10"/>
      <c r="NAD67" s="10"/>
      <c r="NAE67" s="10"/>
      <c r="NAF67" s="10"/>
      <c r="NAG67" s="10"/>
      <c r="NAH67" s="10"/>
      <c r="NAI67" s="10"/>
      <c r="NAJ67" s="10"/>
      <c r="NAK67" s="10"/>
      <c r="NAL67" s="10"/>
      <c r="NAM67" s="10"/>
      <c r="NAN67" s="10"/>
      <c r="NAO67" s="10"/>
      <c r="NAP67" s="10"/>
      <c r="NAQ67" s="10"/>
      <c r="NAR67" s="10"/>
      <c r="NAS67" s="10"/>
      <c r="NAT67" s="10"/>
      <c r="NAU67" s="10"/>
      <c r="NAV67" s="10"/>
      <c r="NAW67" s="10"/>
      <c r="NAX67" s="10"/>
      <c r="NAY67" s="10"/>
      <c r="NAZ67" s="10"/>
      <c r="NBA67" s="10"/>
      <c r="NBB67" s="10"/>
      <c r="NBC67" s="10"/>
      <c r="NBD67" s="10"/>
      <c r="NBE67" s="10"/>
      <c r="NBF67" s="10"/>
      <c r="NBG67" s="10"/>
      <c r="NBH67" s="10"/>
      <c r="NBI67" s="10"/>
      <c r="NBJ67" s="10"/>
      <c r="NBK67" s="10"/>
      <c r="NBL67" s="10"/>
      <c r="NBM67" s="10"/>
      <c r="NBN67" s="10"/>
      <c r="NBO67" s="10"/>
      <c r="NBP67" s="10"/>
      <c r="NBQ67" s="10"/>
      <c r="NBR67" s="10"/>
      <c r="NBS67" s="10"/>
      <c r="NBT67" s="10"/>
      <c r="NBU67" s="10"/>
      <c r="NBV67" s="10"/>
      <c r="NBW67" s="10"/>
      <c r="NBX67" s="10"/>
      <c r="NBY67" s="10"/>
      <c r="NBZ67" s="10"/>
      <c r="NCA67" s="10"/>
      <c r="NCB67" s="10"/>
      <c r="NCC67" s="10"/>
      <c r="NCD67" s="10"/>
      <c r="NCE67" s="10"/>
      <c r="NCF67" s="10"/>
      <c r="NCG67" s="10"/>
      <c r="NCH67" s="10"/>
      <c r="NCI67" s="10"/>
      <c r="NCJ67" s="10"/>
      <c r="NCK67" s="10"/>
      <c r="NCL67" s="10"/>
      <c r="NCM67" s="10"/>
      <c r="NCN67" s="10"/>
      <c r="NCO67" s="10"/>
      <c r="NCP67" s="10"/>
      <c r="NCQ67" s="10"/>
      <c r="NCR67" s="10"/>
      <c r="NCS67" s="10"/>
      <c r="NCT67" s="10"/>
      <c r="NCU67" s="10"/>
      <c r="NCV67" s="10"/>
      <c r="NCW67" s="10"/>
      <c r="NCX67" s="10"/>
      <c r="NCY67" s="10"/>
      <c r="NCZ67" s="10"/>
      <c r="NDA67" s="10"/>
      <c r="NDB67" s="10"/>
      <c r="NDC67" s="10"/>
      <c r="NDD67" s="10"/>
      <c r="NDE67" s="10"/>
      <c r="NDF67" s="10"/>
      <c r="NDG67" s="10"/>
      <c r="NDH67" s="10"/>
      <c r="NDI67" s="10"/>
      <c r="NDJ67" s="10"/>
      <c r="NDK67" s="10"/>
      <c r="NDL67" s="10"/>
      <c r="NDM67" s="10"/>
      <c r="NDN67" s="10"/>
      <c r="NDO67" s="10"/>
      <c r="NDP67" s="10"/>
      <c r="NDQ67" s="10"/>
      <c r="NDR67" s="10"/>
      <c r="NDS67" s="10"/>
      <c r="NDT67" s="10"/>
      <c r="NDU67" s="10"/>
      <c r="NDV67" s="10"/>
      <c r="NDW67" s="10"/>
      <c r="NDX67" s="10"/>
      <c r="NDY67" s="10"/>
      <c r="NDZ67" s="10"/>
      <c r="NEA67" s="10"/>
      <c r="NEB67" s="10"/>
      <c r="NEC67" s="10"/>
      <c r="NED67" s="10"/>
      <c r="NEE67" s="10"/>
      <c r="NEF67" s="10"/>
      <c r="NEG67" s="10"/>
      <c r="NEH67" s="10"/>
      <c r="NEI67" s="10"/>
      <c r="NEJ67" s="10"/>
      <c r="NEK67" s="10"/>
      <c r="NEL67" s="10"/>
      <c r="NEM67" s="10"/>
      <c r="NEN67" s="10"/>
      <c r="NEO67" s="10"/>
      <c r="NEP67" s="10"/>
      <c r="NEQ67" s="10"/>
      <c r="NER67" s="10"/>
      <c r="NES67" s="10"/>
      <c r="NET67" s="10"/>
      <c r="NEU67" s="10"/>
      <c r="NEV67" s="10"/>
      <c r="NEW67" s="10"/>
      <c r="NEX67" s="10"/>
      <c r="NEY67" s="10"/>
      <c r="NEZ67" s="10"/>
      <c r="NFA67" s="10"/>
      <c r="NFB67" s="10"/>
      <c r="NFC67" s="10"/>
      <c r="NFD67" s="10"/>
      <c r="NFE67" s="10"/>
      <c r="NFF67" s="10"/>
      <c r="NFG67" s="10"/>
      <c r="NFH67" s="10"/>
      <c r="NFI67" s="10"/>
      <c r="NFJ67" s="10"/>
      <c r="NFK67" s="10"/>
      <c r="NFL67" s="10"/>
      <c r="NFM67" s="10"/>
      <c r="NFN67" s="10"/>
      <c r="NFO67" s="10"/>
      <c r="NFP67" s="10"/>
      <c r="NFQ67" s="10"/>
      <c r="NFR67" s="10"/>
      <c r="NFS67" s="10"/>
      <c r="NFT67" s="10"/>
      <c r="NFU67" s="10"/>
      <c r="NFV67" s="10"/>
      <c r="NFW67" s="10"/>
      <c r="NFX67" s="10"/>
      <c r="NFY67" s="10"/>
      <c r="NFZ67" s="10"/>
      <c r="NGA67" s="10"/>
      <c r="NGB67" s="10"/>
      <c r="NGC67" s="10"/>
      <c r="NGD67" s="10"/>
      <c r="NGE67" s="10"/>
      <c r="NGF67" s="10"/>
      <c r="NGG67" s="10"/>
      <c r="NGH67" s="10"/>
      <c r="NGI67" s="10"/>
      <c r="NGJ67" s="10"/>
      <c r="NGK67" s="10"/>
      <c r="NGL67" s="10"/>
      <c r="NGM67" s="10"/>
      <c r="NGN67" s="10"/>
      <c r="NGO67" s="10"/>
      <c r="NGP67" s="10"/>
      <c r="NGQ67" s="10"/>
      <c r="NGR67" s="10"/>
      <c r="NGS67" s="10"/>
      <c r="NGT67" s="10"/>
      <c r="NGU67" s="10"/>
      <c r="NGV67" s="10"/>
      <c r="NGW67" s="10"/>
      <c r="NGX67" s="10"/>
      <c r="NGY67" s="10"/>
      <c r="NGZ67" s="10"/>
      <c r="NHA67" s="10"/>
      <c r="NHB67" s="10"/>
      <c r="NHC67" s="10"/>
      <c r="NHD67" s="10"/>
      <c r="NHE67" s="10"/>
      <c r="NHF67" s="10"/>
      <c r="NHG67" s="10"/>
      <c r="NHH67" s="10"/>
      <c r="NHI67" s="10"/>
      <c r="NHJ67" s="10"/>
      <c r="NHK67" s="10"/>
      <c r="NHL67" s="10"/>
      <c r="NHM67" s="10"/>
      <c r="NHN67" s="10"/>
      <c r="NHO67" s="10"/>
      <c r="NHP67" s="10"/>
      <c r="NHQ67" s="10"/>
      <c r="NHR67" s="10"/>
      <c r="NHS67" s="10"/>
      <c r="NHT67" s="10"/>
      <c r="NHU67" s="10"/>
      <c r="NHV67" s="10"/>
      <c r="NHW67" s="10"/>
      <c r="NHX67" s="10"/>
      <c r="NHY67" s="10"/>
      <c r="NHZ67" s="10"/>
      <c r="NIA67" s="10"/>
      <c r="NIB67" s="10"/>
      <c r="NIC67" s="10"/>
      <c r="NID67" s="10"/>
      <c r="NIE67" s="10"/>
      <c r="NIF67" s="10"/>
      <c r="NIG67" s="10"/>
      <c r="NIH67" s="10"/>
      <c r="NII67" s="10"/>
      <c r="NIJ67" s="10"/>
      <c r="NIK67" s="10"/>
      <c r="NIL67" s="10"/>
      <c r="NIM67" s="10"/>
      <c r="NIN67" s="10"/>
      <c r="NIO67" s="10"/>
      <c r="NIP67" s="10"/>
      <c r="NIQ67" s="10"/>
      <c r="NIR67" s="10"/>
      <c r="NIS67" s="10"/>
      <c r="NIT67" s="10"/>
      <c r="NIU67" s="10"/>
      <c r="NIV67" s="10"/>
      <c r="NIW67" s="10"/>
      <c r="NIX67" s="10"/>
      <c r="NIY67" s="10"/>
      <c r="NIZ67" s="10"/>
      <c r="NJA67" s="10"/>
      <c r="NJB67" s="10"/>
      <c r="NJC67" s="10"/>
      <c r="NJD67" s="10"/>
      <c r="NJE67" s="10"/>
      <c r="NJF67" s="10"/>
      <c r="NJG67" s="10"/>
      <c r="NJH67" s="10"/>
      <c r="NJI67" s="10"/>
      <c r="NJJ67" s="10"/>
      <c r="NJK67" s="10"/>
      <c r="NJL67" s="10"/>
      <c r="NJM67" s="10"/>
      <c r="NJN67" s="10"/>
      <c r="NJO67" s="10"/>
      <c r="NJP67" s="10"/>
      <c r="NJQ67" s="10"/>
      <c r="NJR67" s="10"/>
      <c r="NJS67" s="10"/>
      <c r="NJT67" s="10"/>
      <c r="NJU67" s="10"/>
      <c r="NJV67" s="10"/>
      <c r="NJW67" s="10"/>
      <c r="NJX67" s="10"/>
      <c r="NJY67" s="10"/>
      <c r="NJZ67" s="10"/>
      <c r="NKA67" s="10"/>
      <c r="NKB67" s="10"/>
      <c r="NKC67" s="10"/>
      <c r="NKD67" s="10"/>
      <c r="NKE67" s="10"/>
      <c r="NKF67" s="10"/>
      <c r="NKG67" s="10"/>
      <c r="NKH67" s="10"/>
      <c r="NKI67" s="10"/>
      <c r="NKJ67" s="10"/>
      <c r="NKK67" s="10"/>
      <c r="NKL67" s="10"/>
      <c r="NKM67" s="10"/>
      <c r="NKN67" s="10"/>
      <c r="NKO67" s="10"/>
      <c r="NKP67" s="10"/>
      <c r="NKQ67" s="10"/>
      <c r="NKR67" s="10"/>
      <c r="NKS67" s="10"/>
      <c r="NKT67" s="10"/>
      <c r="NKU67" s="10"/>
      <c r="NKV67" s="10"/>
      <c r="NKW67" s="10"/>
      <c r="NKX67" s="10"/>
      <c r="NKY67" s="10"/>
      <c r="NKZ67" s="10"/>
      <c r="NLA67" s="10"/>
      <c r="NLB67" s="10"/>
      <c r="NLC67" s="10"/>
      <c r="NLD67" s="10"/>
      <c r="NLE67" s="10"/>
      <c r="NLF67" s="10"/>
      <c r="NLG67" s="10"/>
      <c r="NLH67" s="10"/>
      <c r="NLI67" s="10"/>
      <c r="NLJ67" s="10"/>
      <c r="NLK67" s="10"/>
      <c r="NLL67" s="10"/>
      <c r="NLM67" s="10"/>
      <c r="NLN67" s="10"/>
      <c r="NLO67" s="10"/>
      <c r="NLP67" s="10"/>
      <c r="NLQ67" s="10"/>
      <c r="NLR67" s="10"/>
      <c r="NLS67" s="10"/>
      <c r="NLT67" s="10"/>
      <c r="NLU67" s="10"/>
      <c r="NLV67" s="10"/>
      <c r="NLW67" s="10"/>
      <c r="NLX67" s="10"/>
      <c r="NLY67" s="10"/>
      <c r="NLZ67" s="10"/>
      <c r="NMA67" s="10"/>
      <c r="NMB67" s="10"/>
      <c r="NMC67" s="10"/>
      <c r="NMD67" s="10"/>
      <c r="NME67" s="10"/>
      <c r="NMF67" s="10"/>
      <c r="NMG67" s="10"/>
      <c r="NMH67" s="10"/>
      <c r="NMI67" s="10"/>
      <c r="NMJ67" s="10"/>
      <c r="NMK67" s="10"/>
      <c r="NML67" s="10"/>
      <c r="NMM67" s="10"/>
      <c r="NMN67" s="10"/>
      <c r="NMO67" s="10"/>
      <c r="NMP67" s="10"/>
      <c r="NMQ67" s="10"/>
      <c r="NMR67" s="10"/>
      <c r="NMS67" s="10"/>
      <c r="NMT67" s="10"/>
      <c r="NMU67" s="10"/>
      <c r="NMV67" s="10"/>
      <c r="NMW67" s="10"/>
      <c r="NMX67" s="10"/>
      <c r="NMY67" s="10"/>
      <c r="NMZ67" s="10"/>
      <c r="NNA67" s="10"/>
      <c r="NNB67" s="10"/>
      <c r="NNC67" s="10"/>
      <c r="NND67" s="10"/>
      <c r="NNE67" s="10"/>
      <c r="NNF67" s="10"/>
      <c r="NNG67" s="10"/>
      <c r="NNH67" s="10"/>
      <c r="NNI67" s="10"/>
      <c r="NNJ67" s="10"/>
      <c r="NNK67" s="10"/>
      <c r="NNL67" s="10"/>
      <c r="NNM67" s="10"/>
      <c r="NNN67" s="10"/>
      <c r="NNO67" s="10"/>
      <c r="NNP67" s="10"/>
      <c r="NNQ67" s="10"/>
      <c r="NNR67" s="10"/>
      <c r="NNS67" s="10"/>
      <c r="NNT67" s="10"/>
      <c r="NNU67" s="10"/>
      <c r="NNV67" s="10"/>
      <c r="NNW67" s="10"/>
      <c r="NNX67" s="10"/>
      <c r="NNY67" s="10"/>
      <c r="NNZ67" s="10"/>
      <c r="NOA67" s="10"/>
      <c r="NOB67" s="10"/>
      <c r="NOC67" s="10"/>
      <c r="NOD67" s="10"/>
      <c r="NOE67" s="10"/>
      <c r="NOF67" s="10"/>
      <c r="NOG67" s="10"/>
      <c r="NOH67" s="10"/>
      <c r="NOI67" s="10"/>
      <c r="NOJ67" s="10"/>
      <c r="NOK67" s="10"/>
      <c r="NOL67" s="10"/>
      <c r="NOM67" s="10"/>
      <c r="NON67" s="10"/>
      <c r="NOO67" s="10"/>
      <c r="NOP67" s="10"/>
      <c r="NOQ67" s="10"/>
      <c r="NOR67" s="10"/>
      <c r="NOS67" s="10"/>
      <c r="NOT67" s="10"/>
      <c r="NOU67" s="10"/>
      <c r="NOV67" s="10"/>
      <c r="NOW67" s="10"/>
      <c r="NOX67" s="10"/>
      <c r="NOY67" s="10"/>
      <c r="NOZ67" s="10"/>
      <c r="NPA67" s="10"/>
      <c r="NPB67" s="10"/>
      <c r="NPC67" s="10"/>
      <c r="NPD67" s="10"/>
      <c r="NPE67" s="10"/>
      <c r="NPF67" s="10"/>
      <c r="NPG67" s="10"/>
      <c r="NPH67" s="10"/>
      <c r="NPI67" s="10"/>
      <c r="NPJ67" s="10"/>
      <c r="NPK67" s="10"/>
      <c r="NPL67" s="10"/>
      <c r="NPM67" s="10"/>
      <c r="NPN67" s="10"/>
      <c r="NPO67" s="10"/>
      <c r="NPP67" s="10"/>
      <c r="NPQ67" s="10"/>
      <c r="NPR67" s="10"/>
      <c r="NPS67" s="10"/>
      <c r="NPT67" s="10"/>
      <c r="NPU67" s="10"/>
      <c r="NPV67" s="10"/>
      <c r="NPW67" s="10"/>
      <c r="NPX67" s="10"/>
      <c r="NPY67" s="10"/>
      <c r="NPZ67" s="10"/>
      <c r="NQA67" s="10"/>
      <c r="NQB67" s="10"/>
      <c r="NQC67" s="10"/>
      <c r="NQD67" s="10"/>
      <c r="NQE67" s="10"/>
      <c r="NQF67" s="10"/>
      <c r="NQG67" s="10"/>
      <c r="NQH67" s="10"/>
      <c r="NQI67" s="10"/>
      <c r="NQJ67" s="10"/>
      <c r="NQK67" s="10"/>
      <c r="NQL67" s="10"/>
      <c r="NQM67" s="10"/>
      <c r="NQN67" s="10"/>
      <c r="NQO67" s="10"/>
      <c r="NQP67" s="10"/>
      <c r="NQQ67" s="10"/>
      <c r="NQR67" s="10"/>
      <c r="NQS67" s="10"/>
      <c r="NQT67" s="10"/>
      <c r="NQU67" s="10"/>
      <c r="NQV67" s="10"/>
      <c r="NQW67" s="10"/>
      <c r="NQX67" s="10"/>
      <c r="NQY67" s="10"/>
      <c r="NQZ67" s="10"/>
      <c r="NRA67" s="10"/>
      <c r="NRB67" s="10"/>
      <c r="NRC67" s="10"/>
      <c r="NRD67" s="10"/>
      <c r="NRE67" s="10"/>
      <c r="NRF67" s="10"/>
      <c r="NRG67" s="10"/>
      <c r="NRH67" s="10"/>
      <c r="NRI67" s="10"/>
      <c r="NRJ67" s="10"/>
      <c r="NRK67" s="10"/>
      <c r="NRL67" s="10"/>
      <c r="NRM67" s="10"/>
      <c r="NRN67" s="10"/>
      <c r="NRO67" s="10"/>
      <c r="NRP67" s="10"/>
      <c r="NRQ67" s="10"/>
      <c r="NRR67" s="10"/>
      <c r="NRS67" s="10"/>
      <c r="NRT67" s="10"/>
      <c r="NRU67" s="10"/>
      <c r="NRV67" s="10"/>
      <c r="NRW67" s="10"/>
      <c r="NRX67" s="10"/>
      <c r="NRY67" s="10"/>
      <c r="NRZ67" s="10"/>
      <c r="NSA67" s="10"/>
      <c r="NSB67" s="10"/>
      <c r="NSC67" s="10"/>
      <c r="NSD67" s="10"/>
      <c r="NSE67" s="10"/>
      <c r="NSF67" s="10"/>
      <c r="NSG67" s="10"/>
      <c r="NSH67" s="10"/>
      <c r="NSI67" s="10"/>
      <c r="NSJ67" s="10"/>
      <c r="NSK67" s="10"/>
      <c r="NSL67" s="10"/>
      <c r="NSM67" s="10"/>
      <c r="NSN67" s="10"/>
      <c r="NSO67" s="10"/>
      <c r="NSP67" s="10"/>
      <c r="NSQ67" s="10"/>
      <c r="NSR67" s="10"/>
      <c r="NSS67" s="10"/>
      <c r="NST67" s="10"/>
      <c r="NSU67" s="10"/>
      <c r="NSV67" s="10"/>
      <c r="NSW67" s="10"/>
      <c r="NSX67" s="10"/>
      <c r="NSY67" s="10"/>
      <c r="NSZ67" s="10"/>
      <c r="NTA67" s="10"/>
      <c r="NTB67" s="10"/>
      <c r="NTC67" s="10"/>
      <c r="NTD67" s="10"/>
      <c r="NTE67" s="10"/>
      <c r="NTF67" s="10"/>
      <c r="NTG67" s="10"/>
      <c r="NTH67" s="10"/>
      <c r="NTI67" s="10"/>
      <c r="NTJ67" s="10"/>
      <c r="NTK67" s="10"/>
      <c r="NTL67" s="10"/>
      <c r="NTM67" s="10"/>
      <c r="NTN67" s="10"/>
      <c r="NTO67" s="10"/>
      <c r="NTP67" s="10"/>
      <c r="NTQ67" s="10"/>
      <c r="NTR67" s="10"/>
      <c r="NTS67" s="10"/>
      <c r="NTT67" s="10"/>
      <c r="NTU67" s="10"/>
      <c r="NTV67" s="10"/>
      <c r="NTW67" s="10"/>
      <c r="NTX67" s="10"/>
      <c r="NTY67" s="10"/>
      <c r="NTZ67" s="10"/>
      <c r="NUA67" s="10"/>
      <c r="NUB67" s="10"/>
      <c r="NUC67" s="10"/>
      <c r="NUD67" s="10"/>
      <c r="NUE67" s="10"/>
      <c r="NUF67" s="10"/>
      <c r="NUG67" s="10"/>
      <c r="NUH67" s="10"/>
      <c r="NUI67" s="10"/>
      <c r="NUJ67" s="10"/>
      <c r="NUK67" s="10"/>
      <c r="NUL67" s="10"/>
      <c r="NUM67" s="10"/>
      <c r="NUN67" s="10"/>
      <c r="NUO67" s="10"/>
      <c r="NUP67" s="10"/>
      <c r="NUQ67" s="10"/>
      <c r="NUR67" s="10"/>
      <c r="NUS67" s="10"/>
      <c r="NUT67" s="10"/>
      <c r="NUU67" s="10"/>
      <c r="NUV67" s="10"/>
      <c r="NUW67" s="10"/>
      <c r="NUX67" s="10"/>
      <c r="NUY67" s="10"/>
      <c r="NUZ67" s="10"/>
      <c r="NVA67" s="10"/>
      <c r="NVB67" s="10"/>
      <c r="NVC67" s="10"/>
      <c r="NVD67" s="10"/>
      <c r="NVE67" s="10"/>
      <c r="NVF67" s="10"/>
      <c r="NVG67" s="10"/>
      <c r="NVH67" s="10"/>
      <c r="NVI67" s="10"/>
      <c r="NVJ67" s="10"/>
      <c r="NVK67" s="10"/>
      <c r="NVL67" s="10"/>
      <c r="NVM67" s="10"/>
      <c r="NVN67" s="10"/>
      <c r="NVO67" s="10"/>
      <c r="NVP67" s="10"/>
      <c r="NVQ67" s="10"/>
      <c r="NVR67" s="10"/>
      <c r="NVS67" s="10"/>
      <c r="NVT67" s="10"/>
      <c r="NVU67" s="10"/>
      <c r="NVV67" s="10"/>
      <c r="NVW67" s="10"/>
      <c r="NVX67" s="10"/>
      <c r="NVY67" s="10"/>
      <c r="NVZ67" s="10"/>
      <c r="NWA67" s="10"/>
      <c r="NWB67" s="10"/>
      <c r="NWC67" s="10"/>
      <c r="NWD67" s="10"/>
      <c r="NWE67" s="10"/>
      <c r="NWF67" s="10"/>
      <c r="NWG67" s="10"/>
      <c r="NWH67" s="10"/>
      <c r="NWI67" s="10"/>
      <c r="NWJ67" s="10"/>
      <c r="NWK67" s="10"/>
      <c r="NWL67" s="10"/>
      <c r="NWM67" s="10"/>
      <c r="NWN67" s="10"/>
      <c r="NWO67" s="10"/>
      <c r="NWP67" s="10"/>
      <c r="NWQ67" s="10"/>
      <c r="NWR67" s="10"/>
      <c r="NWS67" s="10"/>
      <c r="NWT67" s="10"/>
      <c r="NWU67" s="10"/>
      <c r="NWV67" s="10"/>
      <c r="NWW67" s="10"/>
      <c r="NWX67" s="10"/>
      <c r="NWY67" s="10"/>
      <c r="NWZ67" s="10"/>
      <c r="NXA67" s="10"/>
      <c r="NXB67" s="10"/>
      <c r="NXC67" s="10"/>
      <c r="NXD67" s="10"/>
      <c r="NXE67" s="10"/>
      <c r="NXF67" s="10"/>
      <c r="NXG67" s="10"/>
      <c r="NXH67" s="10"/>
      <c r="NXI67" s="10"/>
      <c r="NXJ67" s="10"/>
      <c r="NXK67" s="10"/>
      <c r="NXL67" s="10"/>
      <c r="NXM67" s="10"/>
      <c r="NXN67" s="10"/>
      <c r="NXO67" s="10"/>
      <c r="NXP67" s="10"/>
      <c r="NXQ67" s="10"/>
      <c r="NXR67" s="10"/>
      <c r="NXS67" s="10"/>
      <c r="NXT67" s="10"/>
      <c r="NXU67" s="10"/>
      <c r="NXV67" s="10"/>
      <c r="NXW67" s="10"/>
      <c r="NXX67" s="10"/>
      <c r="NXY67" s="10"/>
      <c r="NXZ67" s="10"/>
      <c r="NYA67" s="10"/>
      <c r="NYB67" s="10"/>
      <c r="NYC67" s="10"/>
      <c r="NYD67" s="10"/>
      <c r="NYE67" s="10"/>
      <c r="NYF67" s="10"/>
      <c r="NYG67" s="10"/>
      <c r="NYH67" s="10"/>
      <c r="NYI67" s="10"/>
      <c r="NYJ67" s="10"/>
      <c r="NYK67" s="10"/>
      <c r="NYL67" s="10"/>
      <c r="NYM67" s="10"/>
      <c r="NYN67" s="10"/>
      <c r="NYO67" s="10"/>
      <c r="NYP67" s="10"/>
      <c r="NYQ67" s="10"/>
      <c r="NYR67" s="10"/>
      <c r="NYS67" s="10"/>
      <c r="NYT67" s="10"/>
      <c r="NYU67" s="10"/>
      <c r="NYV67" s="10"/>
      <c r="NYW67" s="10"/>
      <c r="NYX67" s="10"/>
      <c r="NYY67" s="10"/>
      <c r="NYZ67" s="10"/>
      <c r="NZA67" s="10"/>
      <c r="NZB67" s="10"/>
      <c r="NZC67" s="10"/>
      <c r="NZD67" s="10"/>
      <c r="NZE67" s="10"/>
      <c r="NZF67" s="10"/>
      <c r="NZG67" s="10"/>
      <c r="NZH67" s="10"/>
      <c r="NZI67" s="10"/>
      <c r="NZJ67" s="10"/>
      <c r="NZK67" s="10"/>
      <c r="NZL67" s="10"/>
      <c r="NZM67" s="10"/>
      <c r="NZN67" s="10"/>
      <c r="NZO67" s="10"/>
      <c r="NZP67" s="10"/>
      <c r="NZQ67" s="10"/>
      <c r="NZR67" s="10"/>
      <c r="NZS67" s="10"/>
      <c r="NZT67" s="10"/>
      <c r="NZU67" s="10"/>
      <c r="NZV67" s="10"/>
      <c r="NZW67" s="10"/>
      <c r="NZX67" s="10"/>
      <c r="NZY67" s="10"/>
      <c r="NZZ67" s="10"/>
      <c r="OAA67" s="10"/>
      <c r="OAB67" s="10"/>
      <c r="OAC67" s="10"/>
      <c r="OAD67" s="10"/>
      <c r="OAE67" s="10"/>
      <c r="OAF67" s="10"/>
      <c r="OAG67" s="10"/>
      <c r="OAH67" s="10"/>
      <c r="OAI67" s="10"/>
      <c r="OAJ67" s="10"/>
      <c r="OAK67" s="10"/>
      <c r="OAL67" s="10"/>
      <c r="OAM67" s="10"/>
      <c r="OAN67" s="10"/>
      <c r="OAO67" s="10"/>
      <c r="OAP67" s="10"/>
      <c r="OAQ67" s="10"/>
      <c r="OAR67" s="10"/>
      <c r="OAS67" s="10"/>
      <c r="OAT67" s="10"/>
      <c r="OAU67" s="10"/>
      <c r="OAV67" s="10"/>
      <c r="OAW67" s="10"/>
      <c r="OAX67" s="10"/>
      <c r="OAY67" s="10"/>
      <c r="OAZ67" s="10"/>
      <c r="OBA67" s="10"/>
      <c r="OBB67" s="10"/>
      <c r="OBC67" s="10"/>
      <c r="OBD67" s="10"/>
      <c r="OBE67" s="10"/>
      <c r="OBF67" s="10"/>
      <c r="OBG67" s="10"/>
      <c r="OBH67" s="10"/>
      <c r="OBI67" s="10"/>
      <c r="OBJ67" s="10"/>
      <c r="OBK67" s="10"/>
      <c r="OBL67" s="10"/>
      <c r="OBM67" s="10"/>
      <c r="OBN67" s="10"/>
      <c r="OBO67" s="10"/>
      <c r="OBP67" s="10"/>
      <c r="OBQ67" s="10"/>
      <c r="OBR67" s="10"/>
      <c r="OBS67" s="10"/>
      <c r="OBT67" s="10"/>
      <c r="OBU67" s="10"/>
      <c r="OBV67" s="10"/>
      <c r="OBW67" s="10"/>
      <c r="OBX67" s="10"/>
      <c r="OBY67" s="10"/>
      <c r="OBZ67" s="10"/>
      <c r="OCA67" s="10"/>
      <c r="OCB67" s="10"/>
      <c r="OCC67" s="10"/>
      <c r="OCD67" s="10"/>
      <c r="OCE67" s="10"/>
      <c r="OCF67" s="10"/>
      <c r="OCG67" s="10"/>
      <c r="OCH67" s="10"/>
      <c r="OCI67" s="10"/>
      <c r="OCJ67" s="10"/>
      <c r="OCK67" s="10"/>
      <c r="OCL67" s="10"/>
      <c r="OCM67" s="10"/>
      <c r="OCN67" s="10"/>
      <c r="OCO67" s="10"/>
      <c r="OCP67" s="10"/>
      <c r="OCQ67" s="10"/>
      <c r="OCR67" s="10"/>
      <c r="OCS67" s="10"/>
      <c r="OCT67" s="10"/>
      <c r="OCU67" s="10"/>
      <c r="OCV67" s="10"/>
      <c r="OCW67" s="10"/>
      <c r="OCX67" s="10"/>
      <c r="OCY67" s="10"/>
      <c r="OCZ67" s="10"/>
      <c r="ODA67" s="10"/>
      <c r="ODB67" s="10"/>
      <c r="ODC67" s="10"/>
      <c r="ODD67" s="10"/>
      <c r="ODE67" s="10"/>
      <c r="ODF67" s="10"/>
      <c r="ODG67" s="10"/>
      <c r="ODH67" s="10"/>
      <c r="ODI67" s="10"/>
      <c r="ODJ67" s="10"/>
      <c r="ODK67" s="10"/>
      <c r="ODL67" s="10"/>
      <c r="ODM67" s="10"/>
      <c r="ODN67" s="10"/>
      <c r="ODO67" s="10"/>
      <c r="ODP67" s="10"/>
      <c r="ODQ67" s="10"/>
      <c r="ODR67" s="10"/>
      <c r="ODS67" s="10"/>
      <c r="ODT67" s="10"/>
      <c r="ODU67" s="10"/>
      <c r="ODV67" s="10"/>
      <c r="ODW67" s="10"/>
      <c r="ODX67" s="10"/>
      <c r="ODY67" s="10"/>
      <c r="ODZ67" s="10"/>
      <c r="OEA67" s="10"/>
      <c r="OEB67" s="10"/>
      <c r="OEC67" s="10"/>
      <c r="OED67" s="10"/>
      <c r="OEE67" s="10"/>
      <c r="OEF67" s="10"/>
      <c r="OEG67" s="10"/>
      <c r="OEH67" s="10"/>
      <c r="OEI67" s="10"/>
      <c r="OEJ67" s="10"/>
      <c r="OEK67" s="10"/>
      <c r="OEL67" s="10"/>
      <c r="OEM67" s="10"/>
      <c r="OEN67" s="10"/>
      <c r="OEO67" s="10"/>
      <c r="OEP67" s="10"/>
      <c r="OEQ67" s="10"/>
      <c r="OER67" s="10"/>
      <c r="OES67" s="10"/>
      <c r="OET67" s="10"/>
      <c r="OEU67" s="10"/>
      <c r="OEV67" s="10"/>
      <c r="OEW67" s="10"/>
      <c r="OEX67" s="10"/>
      <c r="OEY67" s="10"/>
      <c r="OEZ67" s="10"/>
      <c r="OFA67" s="10"/>
      <c r="OFB67" s="10"/>
      <c r="OFC67" s="10"/>
      <c r="OFD67" s="10"/>
      <c r="OFE67" s="10"/>
      <c r="OFF67" s="10"/>
      <c r="OFG67" s="10"/>
      <c r="OFH67" s="10"/>
      <c r="OFI67" s="10"/>
      <c r="OFJ67" s="10"/>
      <c r="OFK67" s="10"/>
      <c r="OFL67" s="10"/>
      <c r="OFM67" s="10"/>
      <c r="OFN67" s="10"/>
      <c r="OFO67" s="10"/>
      <c r="OFP67" s="10"/>
      <c r="OFQ67" s="10"/>
      <c r="OFR67" s="10"/>
      <c r="OFS67" s="10"/>
      <c r="OFT67" s="10"/>
      <c r="OFU67" s="10"/>
      <c r="OFV67" s="10"/>
      <c r="OFW67" s="10"/>
      <c r="OFX67" s="10"/>
      <c r="OFY67" s="10"/>
      <c r="OFZ67" s="10"/>
      <c r="OGA67" s="10"/>
      <c r="OGB67" s="10"/>
      <c r="OGC67" s="10"/>
      <c r="OGD67" s="10"/>
      <c r="OGE67" s="10"/>
      <c r="OGF67" s="10"/>
      <c r="OGG67" s="10"/>
      <c r="OGH67" s="10"/>
      <c r="OGI67" s="10"/>
      <c r="OGJ67" s="10"/>
      <c r="OGK67" s="10"/>
      <c r="OGL67" s="10"/>
      <c r="OGM67" s="10"/>
      <c r="OGN67" s="10"/>
      <c r="OGO67" s="10"/>
      <c r="OGP67" s="10"/>
      <c r="OGQ67" s="10"/>
      <c r="OGR67" s="10"/>
      <c r="OGS67" s="10"/>
      <c r="OGT67" s="10"/>
      <c r="OGU67" s="10"/>
      <c r="OGV67" s="10"/>
      <c r="OGW67" s="10"/>
      <c r="OGX67" s="10"/>
      <c r="OGY67" s="10"/>
      <c r="OGZ67" s="10"/>
      <c r="OHA67" s="10"/>
      <c r="OHB67" s="10"/>
      <c r="OHC67" s="10"/>
      <c r="OHD67" s="10"/>
      <c r="OHE67" s="10"/>
      <c r="OHF67" s="10"/>
      <c r="OHG67" s="10"/>
      <c r="OHH67" s="10"/>
      <c r="OHI67" s="10"/>
      <c r="OHJ67" s="10"/>
      <c r="OHK67" s="10"/>
      <c r="OHL67" s="10"/>
      <c r="OHM67" s="10"/>
      <c r="OHN67" s="10"/>
      <c r="OHO67" s="10"/>
      <c r="OHP67" s="10"/>
      <c r="OHQ67" s="10"/>
      <c r="OHR67" s="10"/>
      <c r="OHS67" s="10"/>
      <c r="OHT67" s="10"/>
      <c r="OHU67" s="10"/>
      <c r="OHV67" s="10"/>
      <c r="OHW67" s="10"/>
      <c r="OHX67" s="10"/>
      <c r="OHY67" s="10"/>
      <c r="OHZ67" s="10"/>
      <c r="OIA67" s="10"/>
      <c r="OIB67" s="10"/>
      <c r="OIC67" s="10"/>
      <c r="OID67" s="10"/>
      <c r="OIE67" s="10"/>
      <c r="OIF67" s="10"/>
      <c r="OIG67" s="10"/>
      <c r="OIH67" s="10"/>
      <c r="OII67" s="10"/>
      <c r="OIJ67" s="10"/>
      <c r="OIK67" s="10"/>
      <c r="OIL67" s="10"/>
      <c r="OIM67" s="10"/>
      <c r="OIN67" s="10"/>
      <c r="OIO67" s="10"/>
      <c r="OIP67" s="10"/>
      <c r="OIQ67" s="10"/>
      <c r="OIR67" s="10"/>
      <c r="OIS67" s="10"/>
      <c r="OIT67" s="10"/>
      <c r="OIU67" s="10"/>
      <c r="OIV67" s="10"/>
      <c r="OIW67" s="10"/>
      <c r="OIX67" s="10"/>
      <c r="OIY67" s="10"/>
      <c r="OIZ67" s="10"/>
      <c r="OJA67" s="10"/>
      <c r="OJB67" s="10"/>
      <c r="OJC67" s="10"/>
      <c r="OJD67" s="10"/>
      <c r="OJE67" s="10"/>
      <c r="OJF67" s="10"/>
      <c r="OJG67" s="10"/>
      <c r="OJH67" s="10"/>
      <c r="OJI67" s="10"/>
      <c r="OJJ67" s="10"/>
      <c r="OJK67" s="10"/>
      <c r="OJL67" s="10"/>
      <c r="OJM67" s="10"/>
      <c r="OJN67" s="10"/>
      <c r="OJO67" s="10"/>
      <c r="OJP67" s="10"/>
      <c r="OJQ67" s="10"/>
      <c r="OJR67" s="10"/>
      <c r="OJS67" s="10"/>
      <c r="OJT67" s="10"/>
      <c r="OJU67" s="10"/>
      <c r="OJV67" s="10"/>
      <c r="OJW67" s="10"/>
      <c r="OJX67" s="10"/>
      <c r="OJY67" s="10"/>
      <c r="OJZ67" s="10"/>
      <c r="OKA67" s="10"/>
      <c r="OKB67" s="10"/>
      <c r="OKC67" s="10"/>
      <c r="OKD67" s="10"/>
      <c r="OKE67" s="10"/>
      <c r="OKF67" s="10"/>
      <c r="OKG67" s="10"/>
      <c r="OKH67" s="10"/>
      <c r="OKI67" s="10"/>
      <c r="OKJ67" s="10"/>
      <c r="OKK67" s="10"/>
      <c r="OKL67" s="10"/>
      <c r="OKM67" s="10"/>
      <c r="OKN67" s="10"/>
      <c r="OKO67" s="10"/>
      <c r="OKP67" s="10"/>
      <c r="OKQ67" s="10"/>
      <c r="OKR67" s="10"/>
      <c r="OKS67" s="10"/>
      <c r="OKT67" s="10"/>
      <c r="OKU67" s="10"/>
      <c r="OKV67" s="10"/>
      <c r="OKW67" s="10"/>
      <c r="OKX67" s="10"/>
      <c r="OKY67" s="10"/>
      <c r="OKZ67" s="10"/>
      <c r="OLA67" s="10"/>
      <c r="OLB67" s="10"/>
      <c r="OLC67" s="10"/>
      <c r="OLD67" s="10"/>
      <c r="OLE67" s="10"/>
      <c r="OLF67" s="10"/>
      <c r="OLG67" s="10"/>
      <c r="OLH67" s="10"/>
      <c r="OLI67" s="10"/>
      <c r="OLJ67" s="10"/>
      <c r="OLK67" s="10"/>
      <c r="OLL67" s="10"/>
      <c r="OLM67" s="10"/>
      <c r="OLN67" s="10"/>
      <c r="OLO67" s="10"/>
      <c r="OLP67" s="10"/>
      <c r="OLQ67" s="10"/>
      <c r="OLR67" s="10"/>
      <c r="OLS67" s="10"/>
      <c r="OLT67" s="10"/>
      <c r="OLU67" s="10"/>
      <c r="OLV67" s="10"/>
      <c r="OLW67" s="10"/>
      <c r="OLX67" s="10"/>
      <c r="OLY67" s="10"/>
      <c r="OLZ67" s="10"/>
      <c r="OMA67" s="10"/>
      <c r="OMB67" s="10"/>
      <c r="OMC67" s="10"/>
      <c r="OMD67" s="10"/>
      <c r="OME67" s="10"/>
      <c r="OMF67" s="10"/>
      <c r="OMG67" s="10"/>
      <c r="OMH67" s="10"/>
      <c r="OMI67" s="10"/>
      <c r="OMJ67" s="10"/>
      <c r="OMK67" s="10"/>
      <c r="OML67" s="10"/>
      <c r="OMM67" s="10"/>
      <c r="OMN67" s="10"/>
      <c r="OMO67" s="10"/>
      <c r="OMP67" s="10"/>
      <c r="OMQ67" s="10"/>
      <c r="OMR67" s="10"/>
      <c r="OMS67" s="10"/>
      <c r="OMT67" s="10"/>
      <c r="OMU67" s="10"/>
      <c r="OMV67" s="10"/>
      <c r="OMW67" s="10"/>
      <c r="OMX67" s="10"/>
      <c r="OMY67" s="10"/>
      <c r="OMZ67" s="10"/>
      <c r="ONA67" s="10"/>
      <c r="ONB67" s="10"/>
      <c r="ONC67" s="10"/>
      <c r="OND67" s="10"/>
      <c r="ONE67" s="10"/>
      <c r="ONF67" s="10"/>
      <c r="ONG67" s="10"/>
      <c r="ONH67" s="10"/>
      <c r="ONI67" s="10"/>
      <c r="ONJ67" s="10"/>
      <c r="ONK67" s="10"/>
      <c r="ONL67" s="10"/>
      <c r="ONM67" s="10"/>
      <c r="ONN67" s="10"/>
      <c r="ONO67" s="10"/>
      <c r="ONP67" s="10"/>
      <c r="ONQ67" s="10"/>
      <c r="ONR67" s="10"/>
      <c r="ONS67" s="10"/>
      <c r="ONT67" s="10"/>
      <c r="ONU67" s="10"/>
      <c r="ONV67" s="10"/>
      <c r="ONW67" s="10"/>
      <c r="ONX67" s="10"/>
      <c r="ONY67" s="10"/>
      <c r="ONZ67" s="10"/>
      <c r="OOA67" s="10"/>
      <c r="OOB67" s="10"/>
      <c r="OOC67" s="10"/>
      <c r="OOD67" s="10"/>
      <c r="OOE67" s="10"/>
      <c r="OOF67" s="10"/>
      <c r="OOG67" s="10"/>
      <c r="OOH67" s="10"/>
      <c r="OOI67" s="10"/>
      <c r="OOJ67" s="10"/>
      <c r="OOK67" s="10"/>
      <c r="OOL67" s="10"/>
      <c r="OOM67" s="10"/>
      <c r="OON67" s="10"/>
      <c r="OOO67" s="10"/>
      <c r="OOP67" s="10"/>
      <c r="OOQ67" s="10"/>
      <c r="OOR67" s="10"/>
      <c r="OOS67" s="10"/>
      <c r="OOT67" s="10"/>
      <c r="OOU67" s="10"/>
      <c r="OOV67" s="10"/>
      <c r="OOW67" s="10"/>
      <c r="OOX67" s="10"/>
      <c r="OOY67" s="10"/>
      <c r="OOZ67" s="10"/>
      <c r="OPA67" s="10"/>
      <c r="OPB67" s="10"/>
      <c r="OPC67" s="10"/>
      <c r="OPD67" s="10"/>
      <c r="OPE67" s="10"/>
      <c r="OPF67" s="10"/>
      <c r="OPG67" s="10"/>
      <c r="OPH67" s="10"/>
      <c r="OPI67" s="10"/>
      <c r="OPJ67" s="10"/>
      <c r="OPK67" s="10"/>
      <c r="OPL67" s="10"/>
      <c r="OPM67" s="10"/>
      <c r="OPN67" s="10"/>
      <c r="OPO67" s="10"/>
      <c r="OPP67" s="10"/>
      <c r="OPQ67" s="10"/>
      <c r="OPR67" s="10"/>
      <c r="OPS67" s="10"/>
      <c r="OPT67" s="10"/>
      <c r="OPU67" s="10"/>
      <c r="OPV67" s="10"/>
      <c r="OPW67" s="10"/>
      <c r="OPX67" s="10"/>
      <c r="OPY67" s="10"/>
      <c r="OPZ67" s="10"/>
      <c r="OQA67" s="10"/>
      <c r="OQB67" s="10"/>
      <c r="OQC67" s="10"/>
      <c r="OQD67" s="10"/>
      <c r="OQE67" s="10"/>
      <c r="OQF67" s="10"/>
      <c r="OQG67" s="10"/>
      <c r="OQH67" s="10"/>
      <c r="OQI67" s="10"/>
      <c r="OQJ67" s="10"/>
      <c r="OQK67" s="10"/>
      <c r="OQL67" s="10"/>
      <c r="OQM67" s="10"/>
      <c r="OQN67" s="10"/>
      <c r="OQO67" s="10"/>
      <c r="OQP67" s="10"/>
      <c r="OQQ67" s="10"/>
      <c r="OQR67" s="10"/>
      <c r="OQS67" s="10"/>
      <c r="OQT67" s="10"/>
      <c r="OQU67" s="10"/>
      <c r="OQV67" s="10"/>
      <c r="OQW67" s="10"/>
      <c r="OQX67" s="10"/>
      <c r="OQY67" s="10"/>
      <c r="OQZ67" s="10"/>
      <c r="ORA67" s="10"/>
      <c r="ORB67" s="10"/>
      <c r="ORC67" s="10"/>
      <c r="ORD67" s="10"/>
      <c r="ORE67" s="10"/>
      <c r="ORF67" s="10"/>
      <c r="ORG67" s="10"/>
      <c r="ORH67" s="10"/>
      <c r="ORI67" s="10"/>
      <c r="ORJ67" s="10"/>
      <c r="ORK67" s="10"/>
      <c r="ORL67" s="10"/>
      <c r="ORM67" s="10"/>
      <c r="ORN67" s="10"/>
      <c r="ORO67" s="10"/>
      <c r="ORP67" s="10"/>
      <c r="ORQ67" s="10"/>
      <c r="ORR67" s="10"/>
      <c r="ORS67" s="10"/>
      <c r="ORT67" s="10"/>
      <c r="ORU67" s="10"/>
      <c r="ORV67" s="10"/>
      <c r="ORW67" s="10"/>
      <c r="ORX67" s="10"/>
      <c r="ORY67" s="10"/>
      <c r="ORZ67" s="10"/>
      <c r="OSA67" s="10"/>
      <c r="OSB67" s="10"/>
      <c r="OSC67" s="10"/>
      <c r="OSD67" s="10"/>
      <c r="OSE67" s="10"/>
      <c r="OSF67" s="10"/>
      <c r="OSG67" s="10"/>
      <c r="OSH67" s="10"/>
      <c r="OSI67" s="10"/>
      <c r="OSJ67" s="10"/>
      <c r="OSK67" s="10"/>
      <c r="OSL67" s="10"/>
      <c r="OSM67" s="10"/>
      <c r="OSN67" s="10"/>
      <c r="OSO67" s="10"/>
      <c r="OSP67" s="10"/>
      <c r="OSQ67" s="10"/>
      <c r="OSR67" s="10"/>
      <c r="OSS67" s="10"/>
      <c r="OST67" s="10"/>
      <c r="OSU67" s="10"/>
      <c r="OSV67" s="10"/>
      <c r="OSW67" s="10"/>
      <c r="OSX67" s="10"/>
      <c r="OSY67" s="10"/>
      <c r="OSZ67" s="10"/>
      <c r="OTA67" s="10"/>
      <c r="OTB67" s="10"/>
      <c r="OTC67" s="10"/>
      <c r="OTD67" s="10"/>
      <c r="OTE67" s="10"/>
      <c r="OTF67" s="10"/>
      <c r="OTG67" s="10"/>
      <c r="OTH67" s="10"/>
      <c r="OTI67" s="10"/>
      <c r="OTJ67" s="10"/>
      <c r="OTK67" s="10"/>
      <c r="OTL67" s="10"/>
      <c r="OTM67" s="10"/>
      <c r="OTN67" s="10"/>
      <c r="OTO67" s="10"/>
      <c r="OTP67" s="10"/>
      <c r="OTQ67" s="10"/>
      <c r="OTR67" s="10"/>
      <c r="OTS67" s="10"/>
      <c r="OTT67" s="10"/>
      <c r="OTU67" s="10"/>
      <c r="OTV67" s="10"/>
      <c r="OTW67" s="10"/>
      <c r="OTX67" s="10"/>
      <c r="OTY67" s="10"/>
      <c r="OTZ67" s="10"/>
      <c r="OUA67" s="10"/>
      <c r="OUB67" s="10"/>
      <c r="OUC67" s="10"/>
      <c r="OUD67" s="10"/>
      <c r="OUE67" s="10"/>
      <c r="OUF67" s="10"/>
      <c r="OUG67" s="10"/>
      <c r="OUH67" s="10"/>
      <c r="OUI67" s="10"/>
      <c r="OUJ67" s="10"/>
      <c r="OUK67" s="10"/>
      <c r="OUL67" s="10"/>
      <c r="OUM67" s="10"/>
      <c r="OUN67" s="10"/>
      <c r="OUO67" s="10"/>
      <c r="OUP67" s="10"/>
      <c r="OUQ67" s="10"/>
      <c r="OUR67" s="10"/>
      <c r="OUS67" s="10"/>
      <c r="OUT67" s="10"/>
      <c r="OUU67" s="10"/>
      <c r="OUV67" s="10"/>
      <c r="OUW67" s="10"/>
      <c r="OUX67" s="10"/>
      <c r="OUY67" s="10"/>
      <c r="OUZ67" s="10"/>
      <c r="OVA67" s="10"/>
      <c r="OVB67" s="10"/>
      <c r="OVC67" s="10"/>
      <c r="OVD67" s="10"/>
      <c r="OVE67" s="10"/>
      <c r="OVF67" s="10"/>
      <c r="OVG67" s="10"/>
      <c r="OVH67" s="10"/>
      <c r="OVI67" s="10"/>
      <c r="OVJ67" s="10"/>
      <c r="OVK67" s="10"/>
      <c r="OVL67" s="10"/>
      <c r="OVM67" s="10"/>
      <c r="OVN67" s="10"/>
      <c r="OVO67" s="10"/>
      <c r="OVP67" s="10"/>
      <c r="OVQ67" s="10"/>
      <c r="OVR67" s="10"/>
      <c r="OVS67" s="10"/>
      <c r="OVT67" s="10"/>
      <c r="OVU67" s="10"/>
      <c r="OVV67" s="10"/>
      <c r="OVW67" s="10"/>
      <c r="OVX67" s="10"/>
      <c r="OVY67" s="10"/>
      <c r="OVZ67" s="10"/>
      <c r="OWA67" s="10"/>
      <c r="OWB67" s="10"/>
      <c r="OWC67" s="10"/>
      <c r="OWD67" s="10"/>
      <c r="OWE67" s="10"/>
      <c r="OWF67" s="10"/>
      <c r="OWG67" s="10"/>
      <c r="OWH67" s="10"/>
      <c r="OWI67" s="10"/>
      <c r="OWJ67" s="10"/>
      <c r="OWK67" s="10"/>
      <c r="OWL67" s="10"/>
      <c r="OWM67" s="10"/>
      <c r="OWN67" s="10"/>
      <c r="OWO67" s="10"/>
      <c r="OWP67" s="10"/>
      <c r="OWQ67" s="10"/>
      <c r="OWR67" s="10"/>
      <c r="OWS67" s="10"/>
      <c r="OWT67" s="10"/>
      <c r="OWU67" s="10"/>
      <c r="OWV67" s="10"/>
      <c r="OWW67" s="10"/>
      <c r="OWX67" s="10"/>
      <c r="OWY67" s="10"/>
      <c r="OWZ67" s="10"/>
      <c r="OXA67" s="10"/>
      <c r="OXB67" s="10"/>
      <c r="OXC67" s="10"/>
      <c r="OXD67" s="10"/>
      <c r="OXE67" s="10"/>
      <c r="OXF67" s="10"/>
      <c r="OXG67" s="10"/>
      <c r="OXH67" s="10"/>
      <c r="OXI67" s="10"/>
      <c r="OXJ67" s="10"/>
      <c r="OXK67" s="10"/>
      <c r="OXL67" s="10"/>
      <c r="OXM67" s="10"/>
      <c r="OXN67" s="10"/>
      <c r="OXO67" s="10"/>
      <c r="OXP67" s="10"/>
      <c r="OXQ67" s="10"/>
      <c r="OXR67" s="10"/>
      <c r="OXS67" s="10"/>
      <c r="OXT67" s="10"/>
      <c r="OXU67" s="10"/>
      <c r="OXV67" s="10"/>
      <c r="OXW67" s="10"/>
      <c r="OXX67" s="10"/>
      <c r="OXY67" s="10"/>
      <c r="OXZ67" s="10"/>
      <c r="OYA67" s="10"/>
      <c r="OYB67" s="10"/>
      <c r="OYC67" s="10"/>
      <c r="OYD67" s="10"/>
      <c r="OYE67" s="10"/>
      <c r="OYF67" s="10"/>
      <c r="OYG67" s="10"/>
      <c r="OYH67" s="10"/>
      <c r="OYI67" s="10"/>
      <c r="OYJ67" s="10"/>
      <c r="OYK67" s="10"/>
      <c r="OYL67" s="10"/>
      <c r="OYM67" s="10"/>
      <c r="OYN67" s="10"/>
      <c r="OYO67" s="10"/>
      <c r="OYP67" s="10"/>
      <c r="OYQ67" s="10"/>
      <c r="OYR67" s="10"/>
      <c r="OYS67" s="10"/>
      <c r="OYT67" s="10"/>
      <c r="OYU67" s="10"/>
      <c r="OYV67" s="10"/>
      <c r="OYW67" s="10"/>
      <c r="OYX67" s="10"/>
      <c r="OYY67" s="10"/>
      <c r="OYZ67" s="10"/>
      <c r="OZA67" s="10"/>
      <c r="OZB67" s="10"/>
      <c r="OZC67" s="10"/>
      <c r="OZD67" s="10"/>
      <c r="OZE67" s="10"/>
      <c r="OZF67" s="10"/>
      <c r="OZG67" s="10"/>
      <c r="OZH67" s="10"/>
      <c r="OZI67" s="10"/>
      <c r="OZJ67" s="10"/>
      <c r="OZK67" s="10"/>
      <c r="OZL67" s="10"/>
      <c r="OZM67" s="10"/>
      <c r="OZN67" s="10"/>
      <c r="OZO67" s="10"/>
      <c r="OZP67" s="10"/>
      <c r="OZQ67" s="10"/>
      <c r="OZR67" s="10"/>
      <c r="OZS67" s="10"/>
      <c r="OZT67" s="10"/>
      <c r="OZU67" s="10"/>
      <c r="OZV67" s="10"/>
      <c r="OZW67" s="10"/>
      <c r="OZX67" s="10"/>
      <c r="OZY67" s="10"/>
      <c r="OZZ67" s="10"/>
      <c r="PAA67" s="10"/>
      <c r="PAB67" s="10"/>
      <c r="PAC67" s="10"/>
      <c r="PAD67" s="10"/>
      <c r="PAE67" s="10"/>
      <c r="PAF67" s="10"/>
      <c r="PAG67" s="10"/>
      <c r="PAH67" s="10"/>
      <c r="PAI67" s="10"/>
      <c r="PAJ67" s="10"/>
      <c r="PAK67" s="10"/>
      <c r="PAL67" s="10"/>
      <c r="PAM67" s="10"/>
      <c r="PAN67" s="10"/>
      <c r="PAO67" s="10"/>
      <c r="PAP67" s="10"/>
      <c r="PAQ67" s="10"/>
      <c r="PAR67" s="10"/>
      <c r="PAS67" s="10"/>
      <c r="PAT67" s="10"/>
      <c r="PAU67" s="10"/>
      <c r="PAV67" s="10"/>
      <c r="PAW67" s="10"/>
      <c r="PAX67" s="10"/>
      <c r="PAY67" s="10"/>
      <c r="PAZ67" s="10"/>
      <c r="PBA67" s="10"/>
      <c r="PBB67" s="10"/>
      <c r="PBC67" s="10"/>
      <c r="PBD67" s="10"/>
      <c r="PBE67" s="10"/>
      <c r="PBF67" s="10"/>
      <c r="PBG67" s="10"/>
      <c r="PBH67" s="10"/>
      <c r="PBI67" s="10"/>
      <c r="PBJ67" s="10"/>
      <c r="PBK67" s="10"/>
      <c r="PBL67" s="10"/>
      <c r="PBM67" s="10"/>
      <c r="PBN67" s="10"/>
      <c r="PBO67" s="10"/>
      <c r="PBP67" s="10"/>
      <c r="PBQ67" s="10"/>
      <c r="PBR67" s="10"/>
      <c r="PBS67" s="10"/>
      <c r="PBT67" s="10"/>
      <c r="PBU67" s="10"/>
      <c r="PBV67" s="10"/>
      <c r="PBW67" s="10"/>
      <c r="PBX67" s="10"/>
      <c r="PBY67" s="10"/>
      <c r="PBZ67" s="10"/>
      <c r="PCA67" s="10"/>
      <c r="PCB67" s="10"/>
      <c r="PCC67" s="10"/>
      <c r="PCD67" s="10"/>
      <c r="PCE67" s="10"/>
      <c r="PCF67" s="10"/>
      <c r="PCG67" s="10"/>
      <c r="PCH67" s="10"/>
      <c r="PCI67" s="10"/>
      <c r="PCJ67" s="10"/>
      <c r="PCK67" s="10"/>
      <c r="PCL67" s="10"/>
      <c r="PCM67" s="10"/>
      <c r="PCN67" s="10"/>
      <c r="PCO67" s="10"/>
      <c r="PCP67" s="10"/>
      <c r="PCQ67" s="10"/>
      <c r="PCR67" s="10"/>
      <c r="PCS67" s="10"/>
      <c r="PCT67" s="10"/>
      <c r="PCU67" s="10"/>
      <c r="PCV67" s="10"/>
      <c r="PCW67" s="10"/>
      <c r="PCX67" s="10"/>
      <c r="PCY67" s="10"/>
      <c r="PCZ67" s="10"/>
      <c r="PDA67" s="10"/>
      <c r="PDB67" s="10"/>
      <c r="PDC67" s="10"/>
      <c r="PDD67" s="10"/>
      <c r="PDE67" s="10"/>
      <c r="PDF67" s="10"/>
      <c r="PDG67" s="10"/>
      <c r="PDH67" s="10"/>
      <c r="PDI67" s="10"/>
      <c r="PDJ67" s="10"/>
      <c r="PDK67" s="10"/>
      <c r="PDL67" s="10"/>
      <c r="PDM67" s="10"/>
      <c r="PDN67" s="10"/>
      <c r="PDO67" s="10"/>
      <c r="PDP67" s="10"/>
      <c r="PDQ67" s="10"/>
      <c r="PDR67" s="10"/>
      <c r="PDS67" s="10"/>
      <c r="PDT67" s="10"/>
      <c r="PDU67" s="10"/>
      <c r="PDV67" s="10"/>
      <c r="PDW67" s="10"/>
      <c r="PDX67" s="10"/>
      <c r="PDY67" s="10"/>
      <c r="PDZ67" s="10"/>
      <c r="PEA67" s="10"/>
      <c r="PEB67" s="10"/>
      <c r="PEC67" s="10"/>
      <c r="PED67" s="10"/>
      <c r="PEE67" s="10"/>
      <c r="PEF67" s="10"/>
      <c r="PEG67" s="10"/>
      <c r="PEH67" s="10"/>
      <c r="PEI67" s="10"/>
      <c r="PEJ67" s="10"/>
      <c r="PEK67" s="10"/>
      <c r="PEL67" s="10"/>
      <c r="PEM67" s="10"/>
      <c r="PEN67" s="10"/>
      <c r="PEO67" s="10"/>
      <c r="PEP67" s="10"/>
      <c r="PEQ67" s="10"/>
      <c r="PER67" s="10"/>
      <c r="PES67" s="10"/>
      <c r="PET67" s="10"/>
      <c r="PEU67" s="10"/>
      <c r="PEV67" s="10"/>
      <c r="PEW67" s="10"/>
      <c r="PEX67" s="10"/>
      <c r="PEY67" s="10"/>
      <c r="PEZ67" s="10"/>
      <c r="PFA67" s="10"/>
      <c r="PFB67" s="10"/>
      <c r="PFC67" s="10"/>
      <c r="PFD67" s="10"/>
      <c r="PFE67" s="10"/>
      <c r="PFF67" s="10"/>
      <c r="PFG67" s="10"/>
      <c r="PFH67" s="10"/>
      <c r="PFI67" s="10"/>
      <c r="PFJ67" s="10"/>
      <c r="PFK67" s="10"/>
      <c r="PFL67" s="10"/>
      <c r="PFM67" s="10"/>
      <c r="PFN67" s="10"/>
      <c r="PFO67" s="10"/>
      <c r="PFP67" s="10"/>
      <c r="PFQ67" s="10"/>
      <c r="PFR67" s="10"/>
      <c r="PFS67" s="10"/>
      <c r="PFT67" s="10"/>
      <c r="PFU67" s="10"/>
      <c r="PFV67" s="10"/>
      <c r="PFW67" s="10"/>
      <c r="PFX67" s="10"/>
      <c r="PFY67" s="10"/>
      <c r="PFZ67" s="10"/>
      <c r="PGA67" s="10"/>
      <c r="PGB67" s="10"/>
      <c r="PGC67" s="10"/>
      <c r="PGD67" s="10"/>
      <c r="PGE67" s="10"/>
      <c r="PGF67" s="10"/>
      <c r="PGG67" s="10"/>
      <c r="PGH67" s="10"/>
      <c r="PGI67" s="10"/>
      <c r="PGJ67" s="10"/>
      <c r="PGK67" s="10"/>
      <c r="PGL67" s="10"/>
      <c r="PGM67" s="10"/>
      <c r="PGN67" s="10"/>
      <c r="PGO67" s="10"/>
      <c r="PGP67" s="10"/>
      <c r="PGQ67" s="10"/>
      <c r="PGR67" s="10"/>
      <c r="PGS67" s="10"/>
      <c r="PGT67" s="10"/>
      <c r="PGU67" s="10"/>
      <c r="PGV67" s="10"/>
      <c r="PGW67" s="10"/>
      <c r="PGX67" s="10"/>
      <c r="PGY67" s="10"/>
      <c r="PGZ67" s="10"/>
      <c r="PHA67" s="10"/>
      <c r="PHB67" s="10"/>
      <c r="PHC67" s="10"/>
      <c r="PHD67" s="10"/>
      <c r="PHE67" s="10"/>
      <c r="PHF67" s="10"/>
      <c r="PHG67" s="10"/>
      <c r="PHH67" s="10"/>
      <c r="PHI67" s="10"/>
      <c r="PHJ67" s="10"/>
      <c r="PHK67" s="10"/>
      <c r="PHL67" s="10"/>
      <c r="PHM67" s="10"/>
      <c r="PHN67" s="10"/>
      <c r="PHO67" s="10"/>
      <c r="PHP67" s="10"/>
      <c r="PHQ67" s="10"/>
      <c r="PHR67" s="10"/>
      <c r="PHS67" s="10"/>
      <c r="PHT67" s="10"/>
      <c r="PHU67" s="10"/>
      <c r="PHV67" s="10"/>
      <c r="PHW67" s="10"/>
      <c r="PHX67" s="10"/>
      <c r="PHY67" s="10"/>
      <c r="PHZ67" s="10"/>
      <c r="PIA67" s="10"/>
      <c r="PIB67" s="10"/>
      <c r="PIC67" s="10"/>
      <c r="PID67" s="10"/>
      <c r="PIE67" s="10"/>
      <c r="PIF67" s="10"/>
      <c r="PIG67" s="10"/>
      <c r="PIH67" s="10"/>
      <c r="PII67" s="10"/>
      <c r="PIJ67" s="10"/>
      <c r="PIK67" s="10"/>
      <c r="PIL67" s="10"/>
      <c r="PIM67" s="10"/>
      <c r="PIN67" s="10"/>
      <c r="PIO67" s="10"/>
      <c r="PIP67" s="10"/>
      <c r="PIQ67" s="10"/>
      <c r="PIR67" s="10"/>
      <c r="PIS67" s="10"/>
      <c r="PIT67" s="10"/>
      <c r="PIU67" s="10"/>
      <c r="PIV67" s="10"/>
      <c r="PIW67" s="10"/>
      <c r="PIX67" s="10"/>
      <c r="PIY67" s="10"/>
      <c r="PIZ67" s="10"/>
      <c r="PJA67" s="10"/>
      <c r="PJB67" s="10"/>
      <c r="PJC67" s="10"/>
      <c r="PJD67" s="10"/>
      <c r="PJE67" s="10"/>
      <c r="PJF67" s="10"/>
      <c r="PJG67" s="10"/>
      <c r="PJH67" s="10"/>
      <c r="PJI67" s="10"/>
      <c r="PJJ67" s="10"/>
      <c r="PJK67" s="10"/>
      <c r="PJL67" s="10"/>
      <c r="PJM67" s="10"/>
      <c r="PJN67" s="10"/>
      <c r="PJO67" s="10"/>
      <c r="PJP67" s="10"/>
      <c r="PJQ67" s="10"/>
      <c r="PJR67" s="10"/>
      <c r="PJS67" s="10"/>
      <c r="PJT67" s="10"/>
      <c r="PJU67" s="10"/>
      <c r="PJV67" s="10"/>
      <c r="PJW67" s="10"/>
      <c r="PJX67" s="10"/>
      <c r="PJY67" s="10"/>
      <c r="PJZ67" s="10"/>
      <c r="PKA67" s="10"/>
      <c r="PKB67" s="10"/>
      <c r="PKC67" s="10"/>
      <c r="PKD67" s="10"/>
      <c r="PKE67" s="10"/>
      <c r="PKF67" s="10"/>
      <c r="PKG67" s="10"/>
      <c r="PKH67" s="10"/>
      <c r="PKI67" s="10"/>
      <c r="PKJ67" s="10"/>
      <c r="PKK67" s="10"/>
      <c r="PKL67" s="10"/>
      <c r="PKM67" s="10"/>
      <c r="PKN67" s="10"/>
      <c r="PKO67" s="10"/>
      <c r="PKP67" s="10"/>
      <c r="PKQ67" s="10"/>
      <c r="PKR67" s="10"/>
      <c r="PKS67" s="10"/>
      <c r="PKT67" s="10"/>
      <c r="PKU67" s="10"/>
      <c r="PKV67" s="10"/>
      <c r="PKW67" s="10"/>
      <c r="PKX67" s="10"/>
      <c r="PKY67" s="10"/>
      <c r="PKZ67" s="10"/>
      <c r="PLA67" s="10"/>
      <c r="PLB67" s="10"/>
      <c r="PLC67" s="10"/>
      <c r="PLD67" s="10"/>
      <c r="PLE67" s="10"/>
      <c r="PLF67" s="10"/>
      <c r="PLG67" s="10"/>
      <c r="PLH67" s="10"/>
      <c r="PLI67" s="10"/>
      <c r="PLJ67" s="10"/>
      <c r="PLK67" s="10"/>
      <c r="PLL67" s="10"/>
      <c r="PLM67" s="10"/>
      <c r="PLN67" s="10"/>
      <c r="PLO67" s="10"/>
      <c r="PLP67" s="10"/>
      <c r="PLQ67" s="10"/>
      <c r="PLR67" s="10"/>
      <c r="PLS67" s="10"/>
      <c r="PLT67" s="10"/>
      <c r="PLU67" s="10"/>
      <c r="PLV67" s="10"/>
      <c r="PLW67" s="10"/>
      <c r="PLX67" s="10"/>
      <c r="PLY67" s="10"/>
      <c r="PLZ67" s="10"/>
      <c r="PMA67" s="10"/>
      <c r="PMB67" s="10"/>
      <c r="PMC67" s="10"/>
      <c r="PMD67" s="10"/>
      <c r="PME67" s="10"/>
      <c r="PMF67" s="10"/>
      <c r="PMG67" s="10"/>
      <c r="PMH67" s="10"/>
      <c r="PMI67" s="10"/>
      <c r="PMJ67" s="10"/>
      <c r="PMK67" s="10"/>
      <c r="PML67" s="10"/>
      <c r="PMM67" s="10"/>
      <c r="PMN67" s="10"/>
      <c r="PMO67" s="10"/>
      <c r="PMP67" s="10"/>
      <c r="PMQ67" s="10"/>
      <c r="PMR67" s="10"/>
      <c r="PMS67" s="10"/>
      <c r="PMT67" s="10"/>
      <c r="PMU67" s="10"/>
      <c r="PMV67" s="10"/>
      <c r="PMW67" s="10"/>
      <c r="PMX67" s="10"/>
      <c r="PMY67" s="10"/>
      <c r="PMZ67" s="10"/>
      <c r="PNA67" s="10"/>
      <c r="PNB67" s="10"/>
      <c r="PNC67" s="10"/>
      <c r="PND67" s="10"/>
      <c r="PNE67" s="10"/>
      <c r="PNF67" s="10"/>
      <c r="PNG67" s="10"/>
      <c r="PNH67" s="10"/>
      <c r="PNI67" s="10"/>
      <c r="PNJ67" s="10"/>
      <c r="PNK67" s="10"/>
      <c r="PNL67" s="10"/>
      <c r="PNM67" s="10"/>
      <c r="PNN67" s="10"/>
      <c r="PNO67" s="10"/>
      <c r="PNP67" s="10"/>
      <c r="PNQ67" s="10"/>
      <c r="PNR67" s="10"/>
      <c r="PNS67" s="10"/>
      <c r="PNT67" s="10"/>
      <c r="PNU67" s="10"/>
      <c r="PNV67" s="10"/>
      <c r="PNW67" s="10"/>
      <c r="PNX67" s="10"/>
      <c r="PNY67" s="10"/>
      <c r="PNZ67" s="10"/>
      <c r="POA67" s="10"/>
      <c r="POB67" s="10"/>
      <c r="POC67" s="10"/>
      <c r="POD67" s="10"/>
      <c r="POE67" s="10"/>
      <c r="POF67" s="10"/>
      <c r="POG67" s="10"/>
      <c r="POH67" s="10"/>
      <c r="POI67" s="10"/>
      <c r="POJ67" s="10"/>
      <c r="POK67" s="10"/>
      <c r="POL67" s="10"/>
      <c r="POM67" s="10"/>
      <c r="PON67" s="10"/>
      <c r="POO67" s="10"/>
      <c r="POP67" s="10"/>
      <c r="POQ67" s="10"/>
      <c r="POR67" s="10"/>
      <c r="POS67" s="10"/>
      <c r="POT67" s="10"/>
      <c r="POU67" s="10"/>
      <c r="POV67" s="10"/>
      <c r="POW67" s="10"/>
      <c r="POX67" s="10"/>
      <c r="POY67" s="10"/>
      <c r="POZ67" s="10"/>
      <c r="PPA67" s="10"/>
      <c r="PPB67" s="10"/>
      <c r="PPC67" s="10"/>
      <c r="PPD67" s="10"/>
      <c r="PPE67" s="10"/>
      <c r="PPF67" s="10"/>
      <c r="PPG67" s="10"/>
      <c r="PPH67" s="10"/>
      <c r="PPI67" s="10"/>
      <c r="PPJ67" s="10"/>
      <c r="PPK67" s="10"/>
      <c r="PPL67" s="10"/>
      <c r="PPM67" s="10"/>
      <c r="PPN67" s="10"/>
      <c r="PPO67" s="10"/>
      <c r="PPP67" s="10"/>
      <c r="PPQ67" s="10"/>
      <c r="PPR67" s="10"/>
      <c r="PPS67" s="10"/>
      <c r="PPT67" s="10"/>
      <c r="PPU67" s="10"/>
      <c r="PPV67" s="10"/>
      <c r="PPW67" s="10"/>
      <c r="PPX67" s="10"/>
      <c r="PPY67" s="10"/>
      <c r="PPZ67" s="10"/>
      <c r="PQA67" s="10"/>
      <c r="PQB67" s="10"/>
      <c r="PQC67" s="10"/>
      <c r="PQD67" s="10"/>
      <c r="PQE67" s="10"/>
      <c r="PQF67" s="10"/>
      <c r="PQG67" s="10"/>
      <c r="PQH67" s="10"/>
      <c r="PQI67" s="10"/>
      <c r="PQJ67" s="10"/>
      <c r="PQK67" s="10"/>
      <c r="PQL67" s="10"/>
      <c r="PQM67" s="10"/>
      <c r="PQN67" s="10"/>
      <c r="PQO67" s="10"/>
      <c r="PQP67" s="10"/>
      <c r="PQQ67" s="10"/>
      <c r="PQR67" s="10"/>
      <c r="PQS67" s="10"/>
      <c r="PQT67" s="10"/>
      <c r="PQU67" s="10"/>
      <c r="PQV67" s="10"/>
      <c r="PQW67" s="10"/>
      <c r="PQX67" s="10"/>
      <c r="PQY67" s="10"/>
      <c r="PQZ67" s="10"/>
      <c r="PRA67" s="10"/>
      <c r="PRB67" s="10"/>
      <c r="PRC67" s="10"/>
      <c r="PRD67" s="10"/>
      <c r="PRE67" s="10"/>
      <c r="PRF67" s="10"/>
      <c r="PRG67" s="10"/>
      <c r="PRH67" s="10"/>
      <c r="PRI67" s="10"/>
      <c r="PRJ67" s="10"/>
      <c r="PRK67" s="10"/>
      <c r="PRL67" s="10"/>
      <c r="PRM67" s="10"/>
      <c r="PRN67" s="10"/>
      <c r="PRO67" s="10"/>
      <c r="PRP67" s="10"/>
      <c r="PRQ67" s="10"/>
      <c r="PRR67" s="10"/>
      <c r="PRS67" s="10"/>
      <c r="PRT67" s="10"/>
      <c r="PRU67" s="10"/>
      <c r="PRV67" s="10"/>
      <c r="PRW67" s="10"/>
      <c r="PRX67" s="10"/>
      <c r="PRY67" s="10"/>
      <c r="PRZ67" s="10"/>
      <c r="PSA67" s="10"/>
      <c r="PSB67" s="10"/>
      <c r="PSC67" s="10"/>
      <c r="PSD67" s="10"/>
      <c r="PSE67" s="10"/>
      <c r="PSF67" s="10"/>
      <c r="PSG67" s="10"/>
      <c r="PSH67" s="10"/>
      <c r="PSI67" s="10"/>
      <c r="PSJ67" s="10"/>
      <c r="PSK67" s="10"/>
      <c r="PSL67" s="10"/>
      <c r="PSM67" s="10"/>
      <c r="PSN67" s="10"/>
      <c r="PSO67" s="10"/>
      <c r="PSP67" s="10"/>
      <c r="PSQ67" s="10"/>
      <c r="PSR67" s="10"/>
      <c r="PSS67" s="10"/>
      <c r="PST67" s="10"/>
      <c r="PSU67" s="10"/>
      <c r="PSV67" s="10"/>
      <c r="PSW67" s="10"/>
      <c r="PSX67" s="10"/>
      <c r="PSY67" s="10"/>
      <c r="PSZ67" s="10"/>
      <c r="PTA67" s="10"/>
      <c r="PTB67" s="10"/>
      <c r="PTC67" s="10"/>
      <c r="PTD67" s="10"/>
      <c r="PTE67" s="10"/>
      <c r="PTF67" s="10"/>
      <c r="PTG67" s="10"/>
      <c r="PTH67" s="10"/>
      <c r="PTI67" s="10"/>
      <c r="PTJ67" s="10"/>
      <c r="PTK67" s="10"/>
      <c r="PTL67" s="10"/>
      <c r="PTM67" s="10"/>
      <c r="PTN67" s="10"/>
      <c r="PTO67" s="10"/>
      <c r="PTP67" s="10"/>
      <c r="PTQ67" s="10"/>
      <c r="PTR67" s="10"/>
      <c r="PTS67" s="10"/>
      <c r="PTT67" s="10"/>
      <c r="PTU67" s="10"/>
      <c r="PTV67" s="10"/>
      <c r="PTW67" s="10"/>
      <c r="PTX67" s="10"/>
      <c r="PTY67" s="10"/>
      <c r="PTZ67" s="10"/>
      <c r="PUA67" s="10"/>
      <c r="PUB67" s="10"/>
      <c r="PUC67" s="10"/>
      <c r="PUD67" s="10"/>
      <c r="PUE67" s="10"/>
      <c r="PUF67" s="10"/>
      <c r="PUG67" s="10"/>
      <c r="PUH67" s="10"/>
      <c r="PUI67" s="10"/>
      <c r="PUJ67" s="10"/>
      <c r="PUK67" s="10"/>
      <c r="PUL67" s="10"/>
      <c r="PUM67" s="10"/>
      <c r="PUN67" s="10"/>
      <c r="PUO67" s="10"/>
      <c r="PUP67" s="10"/>
      <c r="PUQ67" s="10"/>
      <c r="PUR67" s="10"/>
      <c r="PUS67" s="10"/>
      <c r="PUT67" s="10"/>
      <c r="PUU67" s="10"/>
      <c r="PUV67" s="10"/>
      <c r="PUW67" s="10"/>
      <c r="PUX67" s="10"/>
      <c r="PUY67" s="10"/>
      <c r="PUZ67" s="10"/>
      <c r="PVA67" s="10"/>
      <c r="PVB67" s="10"/>
      <c r="PVC67" s="10"/>
      <c r="PVD67" s="10"/>
      <c r="PVE67" s="10"/>
      <c r="PVF67" s="10"/>
      <c r="PVG67" s="10"/>
      <c r="PVH67" s="10"/>
      <c r="PVI67" s="10"/>
      <c r="PVJ67" s="10"/>
      <c r="PVK67" s="10"/>
      <c r="PVL67" s="10"/>
      <c r="PVM67" s="10"/>
      <c r="PVN67" s="10"/>
      <c r="PVO67" s="10"/>
      <c r="PVP67" s="10"/>
      <c r="PVQ67" s="10"/>
      <c r="PVR67" s="10"/>
      <c r="PVS67" s="10"/>
      <c r="PVT67" s="10"/>
      <c r="PVU67" s="10"/>
      <c r="PVV67" s="10"/>
      <c r="PVW67" s="10"/>
      <c r="PVX67" s="10"/>
      <c r="PVY67" s="10"/>
      <c r="PVZ67" s="10"/>
      <c r="PWA67" s="10"/>
      <c r="PWB67" s="10"/>
      <c r="PWC67" s="10"/>
      <c r="PWD67" s="10"/>
      <c r="PWE67" s="10"/>
      <c r="PWF67" s="10"/>
      <c r="PWG67" s="10"/>
      <c r="PWH67" s="10"/>
      <c r="PWI67" s="10"/>
      <c r="PWJ67" s="10"/>
      <c r="PWK67" s="10"/>
      <c r="PWL67" s="10"/>
      <c r="PWM67" s="10"/>
      <c r="PWN67" s="10"/>
      <c r="PWO67" s="10"/>
      <c r="PWP67" s="10"/>
      <c r="PWQ67" s="10"/>
      <c r="PWR67" s="10"/>
      <c r="PWS67" s="10"/>
      <c r="PWT67" s="10"/>
      <c r="PWU67" s="10"/>
      <c r="PWV67" s="10"/>
      <c r="PWW67" s="10"/>
      <c r="PWX67" s="10"/>
      <c r="PWY67" s="10"/>
      <c r="PWZ67" s="10"/>
      <c r="PXA67" s="10"/>
      <c r="PXB67" s="10"/>
      <c r="PXC67" s="10"/>
      <c r="PXD67" s="10"/>
      <c r="PXE67" s="10"/>
      <c r="PXF67" s="10"/>
      <c r="PXG67" s="10"/>
      <c r="PXH67" s="10"/>
      <c r="PXI67" s="10"/>
      <c r="PXJ67" s="10"/>
      <c r="PXK67" s="10"/>
      <c r="PXL67" s="10"/>
      <c r="PXM67" s="10"/>
      <c r="PXN67" s="10"/>
      <c r="PXO67" s="10"/>
      <c r="PXP67" s="10"/>
      <c r="PXQ67" s="10"/>
      <c r="PXR67" s="10"/>
      <c r="PXS67" s="10"/>
      <c r="PXT67" s="10"/>
      <c r="PXU67" s="10"/>
      <c r="PXV67" s="10"/>
      <c r="PXW67" s="10"/>
      <c r="PXX67" s="10"/>
      <c r="PXY67" s="10"/>
      <c r="PXZ67" s="10"/>
      <c r="PYA67" s="10"/>
      <c r="PYB67" s="10"/>
      <c r="PYC67" s="10"/>
      <c r="PYD67" s="10"/>
      <c r="PYE67" s="10"/>
      <c r="PYF67" s="10"/>
      <c r="PYG67" s="10"/>
      <c r="PYH67" s="10"/>
      <c r="PYI67" s="10"/>
      <c r="PYJ67" s="10"/>
      <c r="PYK67" s="10"/>
      <c r="PYL67" s="10"/>
      <c r="PYM67" s="10"/>
      <c r="PYN67" s="10"/>
      <c r="PYO67" s="10"/>
      <c r="PYP67" s="10"/>
      <c r="PYQ67" s="10"/>
      <c r="PYR67" s="10"/>
      <c r="PYS67" s="10"/>
      <c r="PYT67" s="10"/>
      <c r="PYU67" s="10"/>
      <c r="PYV67" s="10"/>
      <c r="PYW67" s="10"/>
      <c r="PYX67" s="10"/>
      <c r="PYY67" s="10"/>
      <c r="PYZ67" s="10"/>
      <c r="PZA67" s="10"/>
      <c r="PZB67" s="10"/>
      <c r="PZC67" s="10"/>
      <c r="PZD67" s="10"/>
      <c r="PZE67" s="10"/>
      <c r="PZF67" s="10"/>
      <c r="PZG67" s="10"/>
      <c r="PZH67" s="10"/>
      <c r="PZI67" s="10"/>
      <c r="PZJ67" s="10"/>
      <c r="PZK67" s="10"/>
      <c r="PZL67" s="10"/>
      <c r="PZM67" s="10"/>
      <c r="PZN67" s="10"/>
      <c r="PZO67" s="10"/>
      <c r="PZP67" s="10"/>
      <c r="PZQ67" s="10"/>
      <c r="PZR67" s="10"/>
      <c r="PZS67" s="10"/>
      <c r="PZT67" s="10"/>
      <c r="PZU67" s="10"/>
      <c r="PZV67" s="10"/>
      <c r="PZW67" s="10"/>
      <c r="PZX67" s="10"/>
      <c r="PZY67" s="10"/>
      <c r="PZZ67" s="10"/>
      <c r="QAA67" s="10"/>
      <c r="QAB67" s="10"/>
      <c r="QAC67" s="10"/>
      <c r="QAD67" s="10"/>
      <c r="QAE67" s="10"/>
      <c r="QAF67" s="10"/>
      <c r="QAG67" s="10"/>
      <c r="QAH67" s="10"/>
      <c r="QAI67" s="10"/>
      <c r="QAJ67" s="10"/>
      <c r="QAK67" s="10"/>
      <c r="QAL67" s="10"/>
      <c r="QAM67" s="10"/>
      <c r="QAN67" s="10"/>
      <c r="QAO67" s="10"/>
      <c r="QAP67" s="10"/>
      <c r="QAQ67" s="10"/>
      <c r="QAR67" s="10"/>
      <c r="QAS67" s="10"/>
      <c r="QAT67" s="10"/>
      <c r="QAU67" s="10"/>
      <c r="QAV67" s="10"/>
      <c r="QAW67" s="10"/>
      <c r="QAX67" s="10"/>
      <c r="QAY67" s="10"/>
      <c r="QAZ67" s="10"/>
      <c r="QBA67" s="10"/>
      <c r="QBB67" s="10"/>
      <c r="QBC67" s="10"/>
      <c r="QBD67" s="10"/>
      <c r="QBE67" s="10"/>
      <c r="QBF67" s="10"/>
      <c r="QBG67" s="10"/>
      <c r="QBH67" s="10"/>
      <c r="QBI67" s="10"/>
      <c r="QBJ67" s="10"/>
      <c r="QBK67" s="10"/>
      <c r="QBL67" s="10"/>
      <c r="QBM67" s="10"/>
      <c r="QBN67" s="10"/>
      <c r="QBO67" s="10"/>
      <c r="QBP67" s="10"/>
      <c r="QBQ67" s="10"/>
      <c r="QBR67" s="10"/>
      <c r="QBS67" s="10"/>
      <c r="QBT67" s="10"/>
      <c r="QBU67" s="10"/>
      <c r="QBV67" s="10"/>
      <c r="QBW67" s="10"/>
      <c r="QBX67" s="10"/>
      <c r="QBY67" s="10"/>
      <c r="QBZ67" s="10"/>
      <c r="QCA67" s="10"/>
      <c r="QCB67" s="10"/>
      <c r="QCC67" s="10"/>
      <c r="QCD67" s="10"/>
      <c r="QCE67" s="10"/>
      <c r="QCF67" s="10"/>
      <c r="QCG67" s="10"/>
      <c r="QCH67" s="10"/>
      <c r="QCI67" s="10"/>
      <c r="QCJ67" s="10"/>
      <c r="QCK67" s="10"/>
      <c r="QCL67" s="10"/>
      <c r="QCM67" s="10"/>
      <c r="QCN67" s="10"/>
      <c r="QCO67" s="10"/>
      <c r="QCP67" s="10"/>
      <c r="QCQ67" s="10"/>
      <c r="QCR67" s="10"/>
      <c r="QCS67" s="10"/>
      <c r="QCT67" s="10"/>
      <c r="QCU67" s="10"/>
      <c r="QCV67" s="10"/>
      <c r="QCW67" s="10"/>
      <c r="QCX67" s="10"/>
      <c r="QCY67" s="10"/>
      <c r="QCZ67" s="10"/>
      <c r="QDA67" s="10"/>
      <c r="QDB67" s="10"/>
      <c r="QDC67" s="10"/>
      <c r="QDD67" s="10"/>
      <c r="QDE67" s="10"/>
      <c r="QDF67" s="10"/>
      <c r="QDG67" s="10"/>
      <c r="QDH67" s="10"/>
      <c r="QDI67" s="10"/>
      <c r="QDJ67" s="10"/>
      <c r="QDK67" s="10"/>
      <c r="QDL67" s="10"/>
      <c r="QDM67" s="10"/>
      <c r="QDN67" s="10"/>
      <c r="QDO67" s="10"/>
      <c r="QDP67" s="10"/>
      <c r="QDQ67" s="10"/>
      <c r="QDR67" s="10"/>
      <c r="QDS67" s="10"/>
      <c r="QDT67" s="10"/>
      <c r="QDU67" s="10"/>
      <c r="QDV67" s="10"/>
      <c r="QDW67" s="10"/>
      <c r="QDX67" s="10"/>
      <c r="QDY67" s="10"/>
      <c r="QDZ67" s="10"/>
      <c r="QEA67" s="10"/>
      <c r="QEB67" s="10"/>
      <c r="QEC67" s="10"/>
      <c r="QED67" s="10"/>
      <c r="QEE67" s="10"/>
      <c r="QEF67" s="10"/>
      <c r="QEG67" s="10"/>
      <c r="QEH67" s="10"/>
      <c r="QEI67" s="10"/>
      <c r="QEJ67" s="10"/>
      <c r="QEK67" s="10"/>
      <c r="QEL67" s="10"/>
      <c r="QEM67" s="10"/>
      <c r="QEN67" s="10"/>
      <c r="QEO67" s="10"/>
      <c r="QEP67" s="10"/>
      <c r="QEQ67" s="10"/>
      <c r="QER67" s="10"/>
      <c r="QES67" s="10"/>
      <c r="QET67" s="10"/>
      <c r="QEU67" s="10"/>
      <c r="QEV67" s="10"/>
      <c r="QEW67" s="10"/>
      <c r="QEX67" s="10"/>
      <c r="QEY67" s="10"/>
      <c r="QEZ67" s="10"/>
      <c r="QFA67" s="10"/>
      <c r="QFB67" s="10"/>
      <c r="QFC67" s="10"/>
      <c r="QFD67" s="10"/>
      <c r="QFE67" s="10"/>
      <c r="QFF67" s="10"/>
      <c r="QFG67" s="10"/>
      <c r="QFH67" s="10"/>
      <c r="QFI67" s="10"/>
      <c r="QFJ67" s="10"/>
      <c r="QFK67" s="10"/>
      <c r="QFL67" s="10"/>
      <c r="QFM67" s="10"/>
      <c r="QFN67" s="10"/>
      <c r="QFO67" s="10"/>
      <c r="QFP67" s="10"/>
      <c r="QFQ67" s="10"/>
      <c r="QFR67" s="10"/>
      <c r="QFS67" s="10"/>
      <c r="QFT67" s="10"/>
      <c r="QFU67" s="10"/>
      <c r="QFV67" s="10"/>
      <c r="QFW67" s="10"/>
      <c r="QFX67" s="10"/>
      <c r="QFY67" s="10"/>
      <c r="QFZ67" s="10"/>
      <c r="QGA67" s="10"/>
      <c r="QGB67" s="10"/>
      <c r="QGC67" s="10"/>
      <c r="QGD67" s="10"/>
      <c r="QGE67" s="10"/>
      <c r="QGF67" s="10"/>
      <c r="QGG67" s="10"/>
      <c r="QGH67" s="10"/>
      <c r="QGI67" s="10"/>
      <c r="QGJ67" s="10"/>
      <c r="QGK67" s="10"/>
      <c r="QGL67" s="10"/>
      <c r="QGM67" s="10"/>
      <c r="QGN67" s="10"/>
      <c r="QGO67" s="10"/>
      <c r="QGP67" s="10"/>
      <c r="QGQ67" s="10"/>
      <c r="QGR67" s="10"/>
      <c r="QGS67" s="10"/>
      <c r="QGT67" s="10"/>
      <c r="QGU67" s="10"/>
      <c r="QGV67" s="10"/>
      <c r="QGW67" s="10"/>
      <c r="QGX67" s="10"/>
      <c r="QGY67" s="10"/>
      <c r="QGZ67" s="10"/>
      <c r="QHA67" s="10"/>
      <c r="QHB67" s="10"/>
      <c r="QHC67" s="10"/>
      <c r="QHD67" s="10"/>
      <c r="QHE67" s="10"/>
      <c r="QHF67" s="10"/>
      <c r="QHG67" s="10"/>
      <c r="QHH67" s="10"/>
      <c r="QHI67" s="10"/>
      <c r="QHJ67" s="10"/>
      <c r="QHK67" s="10"/>
      <c r="QHL67" s="10"/>
      <c r="QHM67" s="10"/>
      <c r="QHN67" s="10"/>
      <c r="QHO67" s="10"/>
      <c r="QHP67" s="10"/>
      <c r="QHQ67" s="10"/>
      <c r="QHR67" s="10"/>
      <c r="QHS67" s="10"/>
      <c r="QHT67" s="10"/>
      <c r="QHU67" s="10"/>
      <c r="QHV67" s="10"/>
      <c r="QHW67" s="10"/>
      <c r="QHX67" s="10"/>
      <c r="QHY67" s="10"/>
      <c r="QHZ67" s="10"/>
      <c r="QIA67" s="10"/>
      <c r="QIB67" s="10"/>
      <c r="QIC67" s="10"/>
      <c r="QID67" s="10"/>
      <c r="QIE67" s="10"/>
      <c r="QIF67" s="10"/>
      <c r="QIG67" s="10"/>
      <c r="QIH67" s="10"/>
      <c r="QII67" s="10"/>
      <c r="QIJ67" s="10"/>
      <c r="QIK67" s="10"/>
      <c r="QIL67" s="10"/>
      <c r="QIM67" s="10"/>
      <c r="QIN67" s="10"/>
      <c r="QIO67" s="10"/>
      <c r="QIP67" s="10"/>
      <c r="QIQ67" s="10"/>
      <c r="QIR67" s="10"/>
      <c r="QIS67" s="10"/>
      <c r="QIT67" s="10"/>
      <c r="QIU67" s="10"/>
      <c r="QIV67" s="10"/>
      <c r="QIW67" s="10"/>
      <c r="QIX67" s="10"/>
      <c r="QIY67" s="10"/>
      <c r="QIZ67" s="10"/>
      <c r="QJA67" s="10"/>
      <c r="QJB67" s="10"/>
      <c r="QJC67" s="10"/>
      <c r="QJD67" s="10"/>
      <c r="QJE67" s="10"/>
      <c r="QJF67" s="10"/>
      <c r="QJG67" s="10"/>
      <c r="QJH67" s="10"/>
      <c r="QJI67" s="10"/>
      <c r="QJJ67" s="10"/>
      <c r="QJK67" s="10"/>
      <c r="QJL67" s="10"/>
      <c r="QJM67" s="10"/>
      <c r="QJN67" s="10"/>
      <c r="QJO67" s="10"/>
      <c r="QJP67" s="10"/>
      <c r="QJQ67" s="10"/>
      <c r="QJR67" s="10"/>
      <c r="QJS67" s="10"/>
      <c r="QJT67" s="10"/>
      <c r="QJU67" s="10"/>
      <c r="QJV67" s="10"/>
      <c r="QJW67" s="10"/>
      <c r="QJX67" s="10"/>
      <c r="QJY67" s="10"/>
      <c r="QJZ67" s="10"/>
      <c r="QKA67" s="10"/>
      <c r="QKB67" s="10"/>
      <c r="QKC67" s="10"/>
      <c r="QKD67" s="10"/>
      <c r="QKE67" s="10"/>
      <c r="QKF67" s="10"/>
      <c r="QKG67" s="10"/>
      <c r="QKH67" s="10"/>
      <c r="QKI67" s="10"/>
      <c r="QKJ67" s="10"/>
      <c r="QKK67" s="10"/>
      <c r="QKL67" s="10"/>
      <c r="QKM67" s="10"/>
      <c r="QKN67" s="10"/>
      <c r="QKO67" s="10"/>
      <c r="QKP67" s="10"/>
      <c r="QKQ67" s="10"/>
      <c r="QKR67" s="10"/>
      <c r="QKS67" s="10"/>
      <c r="QKT67" s="10"/>
      <c r="QKU67" s="10"/>
      <c r="QKV67" s="10"/>
      <c r="QKW67" s="10"/>
      <c r="QKX67" s="10"/>
      <c r="QKY67" s="10"/>
      <c r="QKZ67" s="10"/>
      <c r="QLA67" s="10"/>
      <c r="QLB67" s="10"/>
      <c r="QLC67" s="10"/>
      <c r="QLD67" s="10"/>
      <c r="QLE67" s="10"/>
      <c r="QLF67" s="10"/>
      <c r="QLG67" s="10"/>
      <c r="QLH67" s="10"/>
      <c r="QLI67" s="10"/>
      <c r="QLJ67" s="10"/>
      <c r="QLK67" s="10"/>
      <c r="QLL67" s="10"/>
      <c r="QLM67" s="10"/>
      <c r="QLN67" s="10"/>
      <c r="QLO67" s="10"/>
      <c r="QLP67" s="10"/>
      <c r="QLQ67" s="10"/>
      <c r="QLR67" s="10"/>
      <c r="QLS67" s="10"/>
      <c r="QLT67" s="10"/>
      <c r="QLU67" s="10"/>
      <c r="QLV67" s="10"/>
      <c r="QLW67" s="10"/>
      <c r="QLX67" s="10"/>
      <c r="QLY67" s="10"/>
      <c r="QLZ67" s="10"/>
      <c r="QMA67" s="10"/>
      <c r="QMB67" s="10"/>
      <c r="QMC67" s="10"/>
      <c r="QMD67" s="10"/>
      <c r="QME67" s="10"/>
      <c r="QMF67" s="10"/>
      <c r="QMG67" s="10"/>
      <c r="QMH67" s="10"/>
      <c r="QMI67" s="10"/>
      <c r="QMJ67" s="10"/>
      <c r="QMK67" s="10"/>
      <c r="QML67" s="10"/>
      <c r="QMM67" s="10"/>
      <c r="QMN67" s="10"/>
      <c r="QMO67" s="10"/>
      <c r="QMP67" s="10"/>
      <c r="QMQ67" s="10"/>
      <c r="QMR67" s="10"/>
      <c r="QMS67" s="10"/>
      <c r="QMT67" s="10"/>
      <c r="QMU67" s="10"/>
      <c r="QMV67" s="10"/>
      <c r="QMW67" s="10"/>
      <c r="QMX67" s="10"/>
      <c r="QMY67" s="10"/>
      <c r="QMZ67" s="10"/>
      <c r="QNA67" s="10"/>
      <c r="QNB67" s="10"/>
      <c r="QNC67" s="10"/>
      <c r="QND67" s="10"/>
      <c r="QNE67" s="10"/>
      <c r="QNF67" s="10"/>
      <c r="QNG67" s="10"/>
      <c r="QNH67" s="10"/>
      <c r="QNI67" s="10"/>
      <c r="QNJ67" s="10"/>
      <c r="QNK67" s="10"/>
      <c r="QNL67" s="10"/>
      <c r="QNM67" s="10"/>
      <c r="QNN67" s="10"/>
      <c r="QNO67" s="10"/>
      <c r="QNP67" s="10"/>
      <c r="QNQ67" s="10"/>
      <c r="QNR67" s="10"/>
      <c r="QNS67" s="10"/>
      <c r="QNT67" s="10"/>
      <c r="QNU67" s="10"/>
      <c r="QNV67" s="10"/>
      <c r="QNW67" s="10"/>
      <c r="QNX67" s="10"/>
      <c r="QNY67" s="10"/>
      <c r="QNZ67" s="10"/>
      <c r="QOA67" s="10"/>
      <c r="QOB67" s="10"/>
      <c r="QOC67" s="10"/>
      <c r="QOD67" s="10"/>
      <c r="QOE67" s="10"/>
      <c r="QOF67" s="10"/>
      <c r="QOG67" s="10"/>
      <c r="QOH67" s="10"/>
      <c r="QOI67" s="10"/>
      <c r="QOJ67" s="10"/>
      <c r="QOK67" s="10"/>
      <c r="QOL67" s="10"/>
      <c r="QOM67" s="10"/>
      <c r="QON67" s="10"/>
      <c r="QOO67" s="10"/>
      <c r="QOP67" s="10"/>
      <c r="QOQ67" s="10"/>
      <c r="QOR67" s="10"/>
      <c r="QOS67" s="10"/>
      <c r="QOT67" s="10"/>
      <c r="QOU67" s="10"/>
      <c r="QOV67" s="10"/>
      <c r="QOW67" s="10"/>
      <c r="QOX67" s="10"/>
      <c r="QOY67" s="10"/>
      <c r="QOZ67" s="10"/>
      <c r="QPA67" s="10"/>
      <c r="QPB67" s="10"/>
      <c r="QPC67" s="10"/>
      <c r="QPD67" s="10"/>
      <c r="QPE67" s="10"/>
      <c r="QPF67" s="10"/>
      <c r="QPG67" s="10"/>
      <c r="QPH67" s="10"/>
      <c r="QPI67" s="10"/>
      <c r="QPJ67" s="10"/>
      <c r="QPK67" s="10"/>
      <c r="QPL67" s="10"/>
      <c r="QPM67" s="10"/>
      <c r="QPN67" s="10"/>
      <c r="QPO67" s="10"/>
      <c r="QPP67" s="10"/>
      <c r="QPQ67" s="10"/>
      <c r="QPR67" s="10"/>
      <c r="QPS67" s="10"/>
      <c r="QPT67" s="10"/>
      <c r="QPU67" s="10"/>
      <c r="QPV67" s="10"/>
      <c r="QPW67" s="10"/>
      <c r="QPX67" s="10"/>
      <c r="QPY67" s="10"/>
      <c r="QPZ67" s="10"/>
      <c r="QQA67" s="10"/>
      <c r="QQB67" s="10"/>
      <c r="QQC67" s="10"/>
      <c r="QQD67" s="10"/>
      <c r="QQE67" s="10"/>
      <c r="QQF67" s="10"/>
      <c r="QQG67" s="10"/>
      <c r="QQH67" s="10"/>
      <c r="QQI67" s="10"/>
      <c r="QQJ67" s="10"/>
      <c r="QQK67" s="10"/>
      <c r="QQL67" s="10"/>
      <c r="QQM67" s="10"/>
      <c r="QQN67" s="10"/>
      <c r="QQO67" s="10"/>
      <c r="QQP67" s="10"/>
      <c r="QQQ67" s="10"/>
      <c r="QQR67" s="10"/>
      <c r="QQS67" s="10"/>
      <c r="QQT67" s="10"/>
      <c r="QQU67" s="10"/>
      <c r="QQV67" s="10"/>
      <c r="QQW67" s="10"/>
      <c r="QQX67" s="10"/>
      <c r="QQY67" s="10"/>
      <c r="QQZ67" s="10"/>
      <c r="QRA67" s="10"/>
      <c r="QRB67" s="10"/>
      <c r="QRC67" s="10"/>
      <c r="QRD67" s="10"/>
      <c r="QRE67" s="10"/>
      <c r="QRF67" s="10"/>
      <c r="QRG67" s="10"/>
      <c r="QRH67" s="10"/>
      <c r="QRI67" s="10"/>
      <c r="QRJ67" s="10"/>
      <c r="QRK67" s="10"/>
      <c r="QRL67" s="10"/>
      <c r="QRM67" s="10"/>
      <c r="QRN67" s="10"/>
      <c r="QRO67" s="10"/>
      <c r="QRP67" s="10"/>
      <c r="QRQ67" s="10"/>
      <c r="QRR67" s="10"/>
      <c r="QRS67" s="10"/>
      <c r="QRT67" s="10"/>
      <c r="QRU67" s="10"/>
      <c r="QRV67" s="10"/>
      <c r="QRW67" s="10"/>
      <c r="QRX67" s="10"/>
      <c r="QRY67" s="10"/>
      <c r="QRZ67" s="10"/>
      <c r="QSA67" s="10"/>
      <c r="QSB67" s="10"/>
      <c r="QSC67" s="10"/>
      <c r="QSD67" s="10"/>
      <c r="QSE67" s="10"/>
      <c r="QSF67" s="10"/>
      <c r="QSG67" s="10"/>
      <c r="QSH67" s="10"/>
      <c r="QSI67" s="10"/>
      <c r="QSJ67" s="10"/>
      <c r="QSK67" s="10"/>
      <c r="QSL67" s="10"/>
      <c r="QSM67" s="10"/>
      <c r="QSN67" s="10"/>
      <c r="QSO67" s="10"/>
      <c r="QSP67" s="10"/>
      <c r="QSQ67" s="10"/>
      <c r="QSR67" s="10"/>
      <c r="QSS67" s="10"/>
      <c r="QST67" s="10"/>
      <c r="QSU67" s="10"/>
      <c r="QSV67" s="10"/>
      <c r="QSW67" s="10"/>
      <c r="QSX67" s="10"/>
      <c r="QSY67" s="10"/>
      <c r="QSZ67" s="10"/>
      <c r="QTA67" s="10"/>
      <c r="QTB67" s="10"/>
      <c r="QTC67" s="10"/>
      <c r="QTD67" s="10"/>
      <c r="QTE67" s="10"/>
      <c r="QTF67" s="10"/>
      <c r="QTG67" s="10"/>
      <c r="QTH67" s="10"/>
      <c r="QTI67" s="10"/>
      <c r="QTJ67" s="10"/>
      <c r="QTK67" s="10"/>
      <c r="QTL67" s="10"/>
      <c r="QTM67" s="10"/>
      <c r="QTN67" s="10"/>
      <c r="QTO67" s="10"/>
      <c r="QTP67" s="10"/>
      <c r="QTQ67" s="10"/>
      <c r="QTR67" s="10"/>
      <c r="QTS67" s="10"/>
      <c r="QTT67" s="10"/>
      <c r="QTU67" s="10"/>
      <c r="QTV67" s="10"/>
      <c r="QTW67" s="10"/>
      <c r="QTX67" s="10"/>
      <c r="QTY67" s="10"/>
      <c r="QTZ67" s="10"/>
      <c r="QUA67" s="10"/>
      <c r="QUB67" s="10"/>
      <c r="QUC67" s="10"/>
      <c r="QUD67" s="10"/>
      <c r="QUE67" s="10"/>
      <c r="QUF67" s="10"/>
      <c r="QUG67" s="10"/>
      <c r="QUH67" s="10"/>
      <c r="QUI67" s="10"/>
      <c r="QUJ67" s="10"/>
      <c r="QUK67" s="10"/>
      <c r="QUL67" s="10"/>
      <c r="QUM67" s="10"/>
      <c r="QUN67" s="10"/>
      <c r="QUO67" s="10"/>
      <c r="QUP67" s="10"/>
      <c r="QUQ67" s="10"/>
      <c r="QUR67" s="10"/>
      <c r="QUS67" s="10"/>
      <c r="QUT67" s="10"/>
      <c r="QUU67" s="10"/>
      <c r="QUV67" s="10"/>
      <c r="QUW67" s="10"/>
      <c r="QUX67" s="10"/>
      <c r="QUY67" s="10"/>
      <c r="QUZ67" s="10"/>
      <c r="QVA67" s="10"/>
      <c r="QVB67" s="10"/>
      <c r="QVC67" s="10"/>
      <c r="QVD67" s="10"/>
      <c r="QVE67" s="10"/>
      <c r="QVF67" s="10"/>
      <c r="QVG67" s="10"/>
      <c r="QVH67" s="10"/>
      <c r="QVI67" s="10"/>
      <c r="QVJ67" s="10"/>
      <c r="QVK67" s="10"/>
      <c r="QVL67" s="10"/>
      <c r="QVM67" s="10"/>
      <c r="QVN67" s="10"/>
      <c r="QVO67" s="10"/>
      <c r="QVP67" s="10"/>
      <c r="QVQ67" s="10"/>
      <c r="QVR67" s="10"/>
      <c r="QVS67" s="10"/>
      <c r="QVT67" s="10"/>
      <c r="QVU67" s="10"/>
      <c r="QVV67" s="10"/>
      <c r="QVW67" s="10"/>
      <c r="QVX67" s="10"/>
      <c r="QVY67" s="10"/>
      <c r="QVZ67" s="10"/>
      <c r="QWA67" s="10"/>
      <c r="QWB67" s="10"/>
      <c r="QWC67" s="10"/>
      <c r="QWD67" s="10"/>
      <c r="QWE67" s="10"/>
      <c r="QWF67" s="10"/>
      <c r="QWG67" s="10"/>
      <c r="QWH67" s="10"/>
      <c r="QWI67" s="10"/>
      <c r="QWJ67" s="10"/>
      <c r="QWK67" s="10"/>
      <c r="QWL67" s="10"/>
      <c r="QWM67" s="10"/>
      <c r="QWN67" s="10"/>
      <c r="QWO67" s="10"/>
      <c r="QWP67" s="10"/>
      <c r="QWQ67" s="10"/>
      <c r="QWR67" s="10"/>
      <c r="QWS67" s="10"/>
      <c r="QWT67" s="10"/>
      <c r="QWU67" s="10"/>
      <c r="QWV67" s="10"/>
      <c r="QWW67" s="10"/>
      <c r="QWX67" s="10"/>
      <c r="QWY67" s="10"/>
      <c r="QWZ67" s="10"/>
      <c r="QXA67" s="10"/>
      <c r="QXB67" s="10"/>
      <c r="QXC67" s="10"/>
      <c r="QXD67" s="10"/>
      <c r="QXE67" s="10"/>
      <c r="QXF67" s="10"/>
      <c r="QXG67" s="10"/>
      <c r="QXH67" s="10"/>
      <c r="QXI67" s="10"/>
      <c r="QXJ67" s="10"/>
      <c r="QXK67" s="10"/>
      <c r="QXL67" s="10"/>
      <c r="QXM67" s="10"/>
      <c r="QXN67" s="10"/>
      <c r="QXO67" s="10"/>
      <c r="QXP67" s="10"/>
      <c r="QXQ67" s="10"/>
      <c r="QXR67" s="10"/>
      <c r="QXS67" s="10"/>
      <c r="QXT67" s="10"/>
      <c r="QXU67" s="10"/>
      <c r="QXV67" s="10"/>
      <c r="QXW67" s="10"/>
      <c r="QXX67" s="10"/>
      <c r="QXY67" s="10"/>
      <c r="QXZ67" s="10"/>
      <c r="QYA67" s="10"/>
      <c r="QYB67" s="10"/>
      <c r="QYC67" s="10"/>
      <c r="QYD67" s="10"/>
      <c r="QYE67" s="10"/>
      <c r="QYF67" s="10"/>
      <c r="QYG67" s="10"/>
      <c r="QYH67" s="10"/>
      <c r="QYI67" s="10"/>
      <c r="QYJ67" s="10"/>
      <c r="QYK67" s="10"/>
      <c r="QYL67" s="10"/>
      <c r="QYM67" s="10"/>
      <c r="QYN67" s="10"/>
      <c r="QYO67" s="10"/>
      <c r="QYP67" s="10"/>
      <c r="QYQ67" s="10"/>
      <c r="QYR67" s="10"/>
      <c r="QYS67" s="10"/>
      <c r="QYT67" s="10"/>
      <c r="QYU67" s="10"/>
      <c r="QYV67" s="10"/>
      <c r="QYW67" s="10"/>
      <c r="QYX67" s="10"/>
      <c r="QYY67" s="10"/>
      <c r="QYZ67" s="10"/>
      <c r="QZA67" s="10"/>
      <c r="QZB67" s="10"/>
      <c r="QZC67" s="10"/>
      <c r="QZD67" s="10"/>
      <c r="QZE67" s="10"/>
      <c r="QZF67" s="10"/>
      <c r="QZG67" s="10"/>
      <c r="QZH67" s="10"/>
      <c r="QZI67" s="10"/>
      <c r="QZJ67" s="10"/>
      <c r="QZK67" s="10"/>
      <c r="QZL67" s="10"/>
      <c r="QZM67" s="10"/>
      <c r="QZN67" s="10"/>
      <c r="QZO67" s="10"/>
      <c r="QZP67" s="10"/>
      <c r="QZQ67" s="10"/>
      <c r="QZR67" s="10"/>
      <c r="QZS67" s="10"/>
      <c r="QZT67" s="10"/>
      <c r="QZU67" s="10"/>
      <c r="QZV67" s="10"/>
      <c r="QZW67" s="10"/>
      <c r="QZX67" s="10"/>
      <c r="QZY67" s="10"/>
      <c r="QZZ67" s="10"/>
      <c r="RAA67" s="10"/>
      <c r="RAB67" s="10"/>
      <c r="RAC67" s="10"/>
      <c r="RAD67" s="10"/>
      <c r="RAE67" s="10"/>
      <c r="RAF67" s="10"/>
      <c r="RAG67" s="10"/>
      <c r="RAH67" s="10"/>
      <c r="RAI67" s="10"/>
      <c r="RAJ67" s="10"/>
      <c r="RAK67" s="10"/>
      <c r="RAL67" s="10"/>
      <c r="RAM67" s="10"/>
      <c r="RAN67" s="10"/>
      <c r="RAO67" s="10"/>
      <c r="RAP67" s="10"/>
      <c r="RAQ67" s="10"/>
      <c r="RAR67" s="10"/>
      <c r="RAS67" s="10"/>
      <c r="RAT67" s="10"/>
      <c r="RAU67" s="10"/>
      <c r="RAV67" s="10"/>
      <c r="RAW67" s="10"/>
      <c r="RAX67" s="10"/>
      <c r="RAY67" s="10"/>
      <c r="RAZ67" s="10"/>
      <c r="RBA67" s="10"/>
      <c r="RBB67" s="10"/>
      <c r="RBC67" s="10"/>
      <c r="RBD67" s="10"/>
      <c r="RBE67" s="10"/>
      <c r="RBF67" s="10"/>
      <c r="RBG67" s="10"/>
      <c r="RBH67" s="10"/>
      <c r="RBI67" s="10"/>
      <c r="RBJ67" s="10"/>
      <c r="RBK67" s="10"/>
      <c r="RBL67" s="10"/>
      <c r="RBM67" s="10"/>
      <c r="RBN67" s="10"/>
      <c r="RBO67" s="10"/>
      <c r="RBP67" s="10"/>
      <c r="RBQ67" s="10"/>
      <c r="RBR67" s="10"/>
      <c r="RBS67" s="10"/>
      <c r="RBT67" s="10"/>
      <c r="RBU67" s="10"/>
      <c r="RBV67" s="10"/>
      <c r="RBW67" s="10"/>
      <c r="RBX67" s="10"/>
      <c r="RBY67" s="10"/>
      <c r="RBZ67" s="10"/>
      <c r="RCA67" s="10"/>
      <c r="RCB67" s="10"/>
      <c r="RCC67" s="10"/>
      <c r="RCD67" s="10"/>
      <c r="RCE67" s="10"/>
      <c r="RCF67" s="10"/>
      <c r="RCG67" s="10"/>
      <c r="RCH67" s="10"/>
      <c r="RCI67" s="10"/>
      <c r="RCJ67" s="10"/>
      <c r="RCK67" s="10"/>
      <c r="RCL67" s="10"/>
      <c r="RCM67" s="10"/>
      <c r="RCN67" s="10"/>
      <c r="RCO67" s="10"/>
      <c r="RCP67" s="10"/>
      <c r="RCQ67" s="10"/>
      <c r="RCR67" s="10"/>
      <c r="RCS67" s="10"/>
      <c r="RCT67" s="10"/>
      <c r="RCU67" s="10"/>
      <c r="RCV67" s="10"/>
      <c r="RCW67" s="10"/>
      <c r="RCX67" s="10"/>
      <c r="RCY67" s="10"/>
      <c r="RCZ67" s="10"/>
      <c r="RDA67" s="10"/>
      <c r="RDB67" s="10"/>
      <c r="RDC67" s="10"/>
      <c r="RDD67" s="10"/>
      <c r="RDE67" s="10"/>
      <c r="RDF67" s="10"/>
      <c r="RDG67" s="10"/>
      <c r="RDH67" s="10"/>
      <c r="RDI67" s="10"/>
      <c r="RDJ67" s="10"/>
      <c r="RDK67" s="10"/>
      <c r="RDL67" s="10"/>
      <c r="RDM67" s="10"/>
      <c r="RDN67" s="10"/>
      <c r="RDO67" s="10"/>
      <c r="RDP67" s="10"/>
      <c r="RDQ67" s="10"/>
      <c r="RDR67" s="10"/>
      <c r="RDS67" s="10"/>
      <c r="RDT67" s="10"/>
      <c r="RDU67" s="10"/>
      <c r="RDV67" s="10"/>
      <c r="RDW67" s="10"/>
      <c r="RDX67" s="10"/>
      <c r="RDY67" s="10"/>
      <c r="RDZ67" s="10"/>
      <c r="REA67" s="10"/>
      <c r="REB67" s="10"/>
      <c r="REC67" s="10"/>
      <c r="RED67" s="10"/>
      <c r="REE67" s="10"/>
      <c r="REF67" s="10"/>
      <c r="REG67" s="10"/>
      <c r="REH67" s="10"/>
      <c r="REI67" s="10"/>
      <c r="REJ67" s="10"/>
      <c r="REK67" s="10"/>
      <c r="REL67" s="10"/>
      <c r="REM67" s="10"/>
      <c r="REN67" s="10"/>
      <c r="REO67" s="10"/>
      <c r="REP67" s="10"/>
      <c r="REQ67" s="10"/>
      <c r="RER67" s="10"/>
      <c r="RES67" s="10"/>
      <c r="RET67" s="10"/>
      <c r="REU67" s="10"/>
      <c r="REV67" s="10"/>
      <c r="REW67" s="10"/>
      <c r="REX67" s="10"/>
      <c r="REY67" s="10"/>
      <c r="REZ67" s="10"/>
      <c r="RFA67" s="10"/>
      <c r="RFB67" s="10"/>
      <c r="RFC67" s="10"/>
      <c r="RFD67" s="10"/>
      <c r="RFE67" s="10"/>
      <c r="RFF67" s="10"/>
      <c r="RFG67" s="10"/>
      <c r="RFH67" s="10"/>
      <c r="RFI67" s="10"/>
      <c r="RFJ67" s="10"/>
      <c r="RFK67" s="10"/>
      <c r="RFL67" s="10"/>
      <c r="RFM67" s="10"/>
      <c r="RFN67" s="10"/>
      <c r="RFO67" s="10"/>
      <c r="RFP67" s="10"/>
      <c r="RFQ67" s="10"/>
      <c r="RFR67" s="10"/>
      <c r="RFS67" s="10"/>
      <c r="RFT67" s="10"/>
      <c r="RFU67" s="10"/>
      <c r="RFV67" s="10"/>
      <c r="RFW67" s="10"/>
      <c r="RFX67" s="10"/>
      <c r="RFY67" s="10"/>
      <c r="RFZ67" s="10"/>
      <c r="RGA67" s="10"/>
      <c r="RGB67" s="10"/>
      <c r="RGC67" s="10"/>
      <c r="RGD67" s="10"/>
      <c r="RGE67" s="10"/>
      <c r="RGF67" s="10"/>
      <c r="RGG67" s="10"/>
      <c r="RGH67" s="10"/>
      <c r="RGI67" s="10"/>
      <c r="RGJ67" s="10"/>
      <c r="RGK67" s="10"/>
      <c r="RGL67" s="10"/>
      <c r="RGM67" s="10"/>
      <c r="RGN67" s="10"/>
      <c r="RGO67" s="10"/>
      <c r="RGP67" s="10"/>
      <c r="RGQ67" s="10"/>
      <c r="RGR67" s="10"/>
      <c r="RGS67" s="10"/>
      <c r="RGT67" s="10"/>
      <c r="RGU67" s="10"/>
      <c r="RGV67" s="10"/>
      <c r="RGW67" s="10"/>
      <c r="RGX67" s="10"/>
      <c r="RGY67" s="10"/>
      <c r="RGZ67" s="10"/>
      <c r="RHA67" s="10"/>
      <c r="RHB67" s="10"/>
      <c r="RHC67" s="10"/>
      <c r="RHD67" s="10"/>
      <c r="RHE67" s="10"/>
      <c r="RHF67" s="10"/>
      <c r="RHG67" s="10"/>
      <c r="RHH67" s="10"/>
      <c r="RHI67" s="10"/>
      <c r="RHJ67" s="10"/>
      <c r="RHK67" s="10"/>
      <c r="RHL67" s="10"/>
      <c r="RHM67" s="10"/>
      <c r="RHN67" s="10"/>
      <c r="RHO67" s="10"/>
      <c r="RHP67" s="10"/>
      <c r="RHQ67" s="10"/>
      <c r="RHR67" s="10"/>
      <c r="RHS67" s="10"/>
      <c r="RHT67" s="10"/>
      <c r="RHU67" s="10"/>
      <c r="RHV67" s="10"/>
      <c r="RHW67" s="10"/>
      <c r="RHX67" s="10"/>
      <c r="RHY67" s="10"/>
      <c r="RHZ67" s="10"/>
      <c r="RIA67" s="10"/>
      <c r="RIB67" s="10"/>
      <c r="RIC67" s="10"/>
      <c r="RID67" s="10"/>
      <c r="RIE67" s="10"/>
      <c r="RIF67" s="10"/>
      <c r="RIG67" s="10"/>
      <c r="RIH67" s="10"/>
      <c r="RII67" s="10"/>
      <c r="RIJ67" s="10"/>
      <c r="RIK67" s="10"/>
      <c r="RIL67" s="10"/>
      <c r="RIM67" s="10"/>
      <c r="RIN67" s="10"/>
      <c r="RIO67" s="10"/>
      <c r="RIP67" s="10"/>
      <c r="RIQ67" s="10"/>
      <c r="RIR67" s="10"/>
      <c r="RIS67" s="10"/>
      <c r="RIT67" s="10"/>
      <c r="RIU67" s="10"/>
      <c r="RIV67" s="10"/>
      <c r="RIW67" s="10"/>
      <c r="RIX67" s="10"/>
      <c r="RIY67" s="10"/>
      <c r="RIZ67" s="10"/>
      <c r="RJA67" s="10"/>
      <c r="RJB67" s="10"/>
      <c r="RJC67" s="10"/>
      <c r="RJD67" s="10"/>
      <c r="RJE67" s="10"/>
      <c r="RJF67" s="10"/>
      <c r="RJG67" s="10"/>
      <c r="RJH67" s="10"/>
      <c r="RJI67" s="10"/>
      <c r="RJJ67" s="10"/>
      <c r="RJK67" s="10"/>
      <c r="RJL67" s="10"/>
      <c r="RJM67" s="10"/>
      <c r="RJN67" s="10"/>
      <c r="RJO67" s="10"/>
      <c r="RJP67" s="10"/>
      <c r="RJQ67" s="10"/>
      <c r="RJR67" s="10"/>
      <c r="RJS67" s="10"/>
      <c r="RJT67" s="10"/>
      <c r="RJU67" s="10"/>
      <c r="RJV67" s="10"/>
      <c r="RJW67" s="10"/>
      <c r="RJX67" s="10"/>
      <c r="RJY67" s="10"/>
      <c r="RJZ67" s="10"/>
      <c r="RKA67" s="10"/>
      <c r="RKB67" s="10"/>
      <c r="RKC67" s="10"/>
      <c r="RKD67" s="10"/>
      <c r="RKE67" s="10"/>
      <c r="RKF67" s="10"/>
      <c r="RKG67" s="10"/>
      <c r="RKH67" s="10"/>
      <c r="RKI67" s="10"/>
      <c r="RKJ67" s="10"/>
      <c r="RKK67" s="10"/>
      <c r="RKL67" s="10"/>
      <c r="RKM67" s="10"/>
      <c r="RKN67" s="10"/>
      <c r="RKO67" s="10"/>
      <c r="RKP67" s="10"/>
      <c r="RKQ67" s="10"/>
      <c r="RKR67" s="10"/>
      <c r="RKS67" s="10"/>
      <c r="RKT67" s="10"/>
      <c r="RKU67" s="10"/>
      <c r="RKV67" s="10"/>
      <c r="RKW67" s="10"/>
      <c r="RKX67" s="10"/>
      <c r="RKY67" s="10"/>
      <c r="RKZ67" s="10"/>
      <c r="RLA67" s="10"/>
      <c r="RLB67" s="10"/>
      <c r="RLC67" s="10"/>
      <c r="RLD67" s="10"/>
      <c r="RLE67" s="10"/>
      <c r="RLF67" s="10"/>
      <c r="RLG67" s="10"/>
      <c r="RLH67" s="10"/>
      <c r="RLI67" s="10"/>
      <c r="RLJ67" s="10"/>
      <c r="RLK67" s="10"/>
      <c r="RLL67" s="10"/>
      <c r="RLM67" s="10"/>
      <c r="RLN67" s="10"/>
      <c r="RLO67" s="10"/>
      <c r="RLP67" s="10"/>
      <c r="RLQ67" s="10"/>
      <c r="RLR67" s="10"/>
      <c r="RLS67" s="10"/>
      <c r="RLT67" s="10"/>
      <c r="RLU67" s="10"/>
      <c r="RLV67" s="10"/>
      <c r="RLW67" s="10"/>
      <c r="RLX67" s="10"/>
      <c r="RLY67" s="10"/>
      <c r="RLZ67" s="10"/>
      <c r="RMA67" s="10"/>
      <c r="RMB67" s="10"/>
      <c r="RMC67" s="10"/>
      <c r="RMD67" s="10"/>
      <c r="RME67" s="10"/>
      <c r="RMF67" s="10"/>
      <c r="RMG67" s="10"/>
      <c r="RMH67" s="10"/>
      <c r="RMI67" s="10"/>
      <c r="RMJ67" s="10"/>
      <c r="RMK67" s="10"/>
      <c r="RML67" s="10"/>
      <c r="RMM67" s="10"/>
      <c r="RMN67" s="10"/>
      <c r="RMO67" s="10"/>
      <c r="RMP67" s="10"/>
      <c r="RMQ67" s="10"/>
      <c r="RMR67" s="10"/>
      <c r="RMS67" s="10"/>
      <c r="RMT67" s="10"/>
      <c r="RMU67" s="10"/>
      <c r="RMV67" s="10"/>
      <c r="RMW67" s="10"/>
      <c r="RMX67" s="10"/>
      <c r="RMY67" s="10"/>
      <c r="RMZ67" s="10"/>
      <c r="RNA67" s="10"/>
      <c r="RNB67" s="10"/>
      <c r="RNC67" s="10"/>
      <c r="RND67" s="10"/>
      <c r="RNE67" s="10"/>
      <c r="RNF67" s="10"/>
      <c r="RNG67" s="10"/>
      <c r="RNH67" s="10"/>
      <c r="RNI67" s="10"/>
      <c r="RNJ67" s="10"/>
      <c r="RNK67" s="10"/>
      <c r="RNL67" s="10"/>
      <c r="RNM67" s="10"/>
      <c r="RNN67" s="10"/>
      <c r="RNO67" s="10"/>
      <c r="RNP67" s="10"/>
      <c r="RNQ67" s="10"/>
      <c r="RNR67" s="10"/>
      <c r="RNS67" s="10"/>
      <c r="RNT67" s="10"/>
      <c r="RNU67" s="10"/>
      <c r="RNV67" s="10"/>
      <c r="RNW67" s="10"/>
      <c r="RNX67" s="10"/>
      <c r="RNY67" s="10"/>
      <c r="RNZ67" s="10"/>
      <c r="ROA67" s="10"/>
      <c r="ROB67" s="10"/>
      <c r="ROC67" s="10"/>
      <c r="ROD67" s="10"/>
      <c r="ROE67" s="10"/>
      <c r="ROF67" s="10"/>
      <c r="ROG67" s="10"/>
      <c r="ROH67" s="10"/>
      <c r="ROI67" s="10"/>
      <c r="ROJ67" s="10"/>
      <c r="ROK67" s="10"/>
      <c r="ROL67" s="10"/>
      <c r="ROM67" s="10"/>
      <c r="RON67" s="10"/>
      <c r="ROO67" s="10"/>
      <c r="ROP67" s="10"/>
      <c r="ROQ67" s="10"/>
      <c r="ROR67" s="10"/>
      <c r="ROS67" s="10"/>
      <c r="ROT67" s="10"/>
      <c r="ROU67" s="10"/>
      <c r="ROV67" s="10"/>
      <c r="ROW67" s="10"/>
      <c r="ROX67" s="10"/>
      <c r="ROY67" s="10"/>
      <c r="ROZ67" s="10"/>
      <c r="RPA67" s="10"/>
      <c r="RPB67" s="10"/>
      <c r="RPC67" s="10"/>
      <c r="RPD67" s="10"/>
      <c r="RPE67" s="10"/>
      <c r="RPF67" s="10"/>
      <c r="RPG67" s="10"/>
      <c r="RPH67" s="10"/>
      <c r="RPI67" s="10"/>
      <c r="RPJ67" s="10"/>
      <c r="RPK67" s="10"/>
      <c r="RPL67" s="10"/>
      <c r="RPM67" s="10"/>
      <c r="RPN67" s="10"/>
      <c r="RPO67" s="10"/>
      <c r="RPP67" s="10"/>
      <c r="RPQ67" s="10"/>
      <c r="RPR67" s="10"/>
      <c r="RPS67" s="10"/>
      <c r="RPT67" s="10"/>
      <c r="RPU67" s="10"/>
      <c r="RPV67" s="10"/>
      <c r="RPW67" s="10"/>
      <c r="RPX67" s="10"/>
      <c r="RPY67" s="10"/>
      <c r="RPZ67" s="10"/>
      <c r="RQA67" s="10"/>
      <c r="RQB67" s="10"/>
      <c r="RQC67" s="10"/>
      <c r="RQD67" s="10"/>
      <c r="RQE67" s="10"/>
      <c r="RQF67" s="10"/>
      <c r="RQG67" s="10"/>
      <c r="RQH67" s="10"/>
      <c r="RQI67" s="10"/>
      <c r="RQJ67" s="10"/>
      <c r="RQK67" s="10"/>
      <c r="RQL67" s="10"/>
      <c r="RQM67" s="10"/>
      <c r="RQN67" s="10"/>
      <c r="RQO67" s="10"/>
      <c r="RQP67" s="10"/>
      <c r="RQQ67" s="10"/>
      <c r="RQR67" s="10"/>
      <c r="RQS67" s="10"/>
      <c r="RQT67" s="10"/>
      <c r="RQU67" s="10"/>
      <c r="RQV67" s="10"/>
      <c r="RQW67" s="10"/>
      <c r="RQX67" s="10"/>
      <c r="RQY67" s="10"/>
      <c r="RQZ67" s="10"/>
      <c r="RRA67" s="10"/>
      <c r="RRB67" s="10"/>
      <c r="RRC67" s="10"/>
      <c r="RRD67" s="10"/>
      <c r="RRE67" s="10"/>
      <c r="RRF67" s="10"/>
      <c r="RRG67" s="10"/>
      <c r="RRH67" s="10"/>
      <c r="RRI67" s="10"/>
      <c r="RRJ67" s="10"/>
      <c r="RRK67" s="10"/>
      <c r="RRL67" s="10"/>
      <c r="RRM67" s="10"/>
      <c r="RRN67" s="10"/>
      <c r="RRO67" s="10"/>
      <c r="RRP67" s="10"/>
      <c r="RRQ67" s="10"/>
      <c r="RRR67" s="10"/>
      <c r="RRS67" s="10"/>
      <c r="RRT67" s="10"/>
      <c r="RRU67" s="10"/>
      <c r="RRV67" s="10"/>
      <c r="RRW67" s="10"/>
      <c r="RRX67" s="10"/>
      <c r="RRY67" s="10"/>
      <c r="RRZ67" s="10"/>
      <c r="RSA67" s="10"/>
      <c r="RSB67" s="10"/>
      <c r="RSC67" s="10"/>
      <c r="RSD67" s="10"/>
      <c r="RSE67" s="10"/>
      <c r="RSF67" s="10"/>
      <c r="RSG67" s="10"/>
      <c r="RSH67" s="10"/>
      <c r="RSI67" s="10"/>
      <c r="RSJ67" s="10"/>
      <c r="RSK67" s="10"/>
      <c r="RSL67" s="10"/>
      <c r="RSM67" s="10"/>
      <c r="RSN67" s="10"/>
      <c r="RSO67" s="10"/>
      <c r="RSP67" s="10"/>
      <c r="RSQ67" s="10"/>
      <c r="RSR67" s="10"/>
      <c r="RSS67" s="10"/>
      <c r="RST67" s="10"/>
      <c r="RSU67" s="10"/>
      <c r="RSV67" s="10"/>
      <c r="RSW67" s="10"/>
      <c r="RSX67" s="10"/>
      <c r="RSY67" s="10"/>
      <c r="RSZ67" s="10"/>
      <c r="RTA67" s="10"/>
      <c r="RTB67" s="10"/>
      <c r="RTC67" s="10"/>
      <c r="RTD67" s="10"/>
      <c r="RTE67" s="10"/>
      <c r="RTF67" s="10"/>
      <c r="RTG67" s="10"/>
      <c r="RTH67" s="10"/>
      <c r="RTI67" s="10"/>
      <c r="RTJ67" s="10"/>
      <c r="RTK67" s="10"/>
      <c r="RTL67" s="10"/>
      <c r="RTM67" s="10"/>
      <c r="RTN67" s="10"/>
      <c r="RTO67" s="10"/>
      <c r="RTP67" s="10"/>
      <c r="RTQ67" s="10"/>
      <c r="RTR67" s="10"/>
      <c r="RTS67" s="10"/>
      <c r="RTT67" s="10"/>
      <c r="RTU67" s="10"/>
      <c r="RTV67" s="10"/>
      <c r="RTW67" s="10"/>
      <c r="RTX67" s="10"/>
      <c r="RTY67" s="10"/>
      <c r="RTZ67" s="10"/>
      <c r="RUA67" s="10"/>
      <c r="RUB67" s="10"/>
      <c r="RUC67" s="10"/>
      <c r="RUD67" s="10"/>
      <c r="RUE67" s="10"/>
      <c r="RUF67" s="10"/>
      <c r="RUG67" s="10"/>
      <c r="RUH67" s="10"/>
      <c r="RUI67" s="10"/>
      <c r="RUJ67" s="10"/>
      <c r="RUK67" s="10"/>
      <c r="RUL67" s="10"/>
      <c r="RUM67" s="10"/>
      <c r="RUN67" s="10"/>
      <c r="RUO67" s="10"/>
      <c r="RUP67" s="10"/>
      <c r="RUQ67" s="10"/>
      <c r="RUR67" s="10"/>
      <c r="RUS67" s="10"/>
      <c r="RUT67" s="10"/>
      <c r="RUU67" s="10"/>
      <c r="RUV67" s="10"/>
      <c r="RUW67" s="10"/>
      <c r="RUX67" s="10"/>
      <c r="RUY67" s="10"/>
      <c r="RUZ67" s="10"/>
      <c r="RVA67" s="10"/>
      <c r="RVB67" s="10"/>
      <c r="RVC67" s="10"/>
      <c r="RVD67" s="10"/>
      <c r="RVE67" s="10"/>
      <c r="RVF67" s="10"/>
      <c r="RVG67" s="10"/>
      <c r="RVH67" s="10"/>
      <c r="RVI67" s="10"/>
      <c r="RVJ67" s="10"/>
      <c r="RVK67" s="10"/>
      <c r="RVL67" s="10"/>
      <c r="RVM67" s="10"/>
      <c r="RVN67" s="10"/>
      <c r="RVO67" s="10"/>
      <c r="RVP67" s="10"/>
      <c r="RVQ67" s="10"/>
      <c r="RVR67" s="10"/>
      <c r="RVS67" s="10"/>
      <c r="RVT67" s="10"/>
      <c r="RVU67" s="10"/>
      <c r="RVV67" s="10"/>
      <c r="RVW67" s="10"/>
      <c r="RVX67" s="10"/>
      <c r="RVY67" s="10"/>
      <c r="RVZ67" s="10"/>
      <c r="RWA67" s="10"/>
      <c r="RWB67" s="10"/>
      <c r="RWC67" s="10"/>
      <c r="RWD67" s="10"/>
      <c r="RWE67" s="10"/>
      <c r="RWF67" s="10"/>
      <c r="RWG67" s="10"/>
      <c r="RWH67" s="10"/>
      <c r="RWI67" s="10"/>
      <c r="RWJ67" s="10"/>
      <c r="RWK67" s="10"/>
      <c r="RWL67" s="10"/>
      <c r="RWM67" s="10"/>
      <c r="RWN67" s="10"/>
      <c r="RWO67" s="10"/>
      <c r="RWP67" s="10"/>
      <c r="RWQ67" s="10"/>
      <c r="RWR67" s="10"/>
      <c r="RWS67" s="10"/>
      <c r="RWT67" s="10"/>
      <c r="RWU67" s="10"/>
      <c r="RWV67" s="10"/>
      <c r="RWW67" s="10"/>
      <c r="RWX67" s="10"/>
      <c r="RWY67" s="10"/>
      <c r="RWZ67" s="10"/>
      <c r="RXA67" s="10"/>
      <c r="RXB67" s="10"/>
      <c r="RXC67" s="10"/>
      <c r="RXD67" s="10"/>
      <c r="RXE67" s="10"/>
      <c r="RXF67" s="10"/>
      <c r="RXG67" s="10"/>
      <c r="RXH67" s="10"/>
      <c r="RXI67" s="10"/>
      <c r="RXJ67" s="10"/>
      <c r="RXK67" s="10"/>
      <c r="RXL67" s="10"/>
      <c r="RXM67" s="10"/>
      <c r="RXN67" s="10"/>
      <c r="RXO67" s="10"/>
      <c r="RXP67" s="10"/>
      <c r="RXQ67" s="10"/>
      <c r="RXR67" s="10"/>
      <c r="RXS67" s="10"/>
      <c r="RXT67" s="10"/>
      <c r="RXU67" s="10"/>
      <c r="RXV67" s="10"/>
      <c r="RXW67" s="10"/>
      <c r="RXX67" s="10"/>
      <c r="RXY67" s="10"/>
      <c r="RXZ67" s="10"/>
      <c r="RYA67" s="10"/>
      <c r="RYB67" s="10"/>
      <c r="RYC67" s="10"/>
      <c r="RYD67" s="10"/>
      <c r="RYE67" s="10"/>
      <c r="RYF67" s="10"/>
      <c r="RYG67" s="10"/>
      <c r="RYH67" s="10"/>
      <c r="RYI67" s="10"/>
      <c r="RYJ67" s="10"/>
      <c r="RYK67" s="10"/>
      <c r="RYL67" s="10"/>
      <c r="RYM67" s="10"/>
      <c r="RYN67" s="10"/>
      <c r="RYO67" s="10"/>
      <c r="RYP67" s="10"/>
      <c r="RYQ67" s="10"/>
      <c r="RYR67" s="10"/>
      <c r="RYS67" s="10"/>
      <c r="RYT67" s="10"/>
      <c r="RYU67" s="10"/>
      <c r="RYV67" s="10"/>
      <c r="RYW67" s="10"/>
      <c r="RYX67" s="10"/>
      <c r="RYY67" s="10"/>
      <c r="RYZ67" s="10"/>
      <c r="RZA67" s="10"/>
      <c r="RZB67" s="10"/>
      <c r="RZC67" s="10"/>
      <c r="RZD67" s="10"/>
      <c r="RZE67" s="10"/>
      <c r="RZF67" s="10"/>
      <c r="RZG67" s="10"/>
      <c r="RZH67" s="10"/>
      <c r="RZI67" s="10"/>
      <c r="RZJ67" s="10"/>
      <c r="RZK67" s="10"/>
      <c r="RZL67" s="10"/>
      <c r="RZM67" s="10"/>
      <c r="RZN67" s="10"/>
      <c r="RZO67" s="10"/>
      <c r="RZP67" s="10"/>
      <c r="RZQ67" s="10"/>
      <c r="RZR67" s="10"/>
      <c r="RZS67" s="10"/>
      <c r="RZT67" s="10"/>
      <c r="RZU67" s="10"/>
      <c r="RZV67" s="10"/>
      <c r="RZW67" s="10"/>
      <c r="RZX67" s="10"/>
      <c r="RZY67" s="10"/>
      <c r="RZZ67" s="10"/>
      <c r="SAA67" s="10"/>
      <c r="SAB67" s="10"/>
      <c r="SAC67" s="10"/>
      <c r="SAD67" s="10"/>
      <c r="SAE67" s="10"/>
      <c r="SAF67" s="10"/>
      <c r="SAG67" s="10"/>
      <c r="SAH67" s="10"/>
      <c r="SAI67" s="10"/>
      <c r="SAJ67" s="10"/>
      <c r="SAK67" s="10"/>
      <c r="SAL67" s="10"/>
      <c r="SAM67" s="10"/>
      <c r="SAN67" s="10"/>
      <c r="SAO67" s="10"/>
      <c r="SAP67" s="10"/>
      <c r="SAQ67" s="10"/>
      <c r="SAR67" s="10"/>
      <c r="SAS67" s="10"/>
      <c r="SAT67" s="10"/>
      <c r="SAU67" s="10"/>
      <c r="SAV67" s="10"/>
      <c r="SAW67" s="10"/>
      <c r="SAX67" s="10"/>
      <c r="SAY67" s="10"/>
      <c r="SAZ67" s="10"/>
      <c r="SBA67" s="10"/>
      <c r="SBB67" s="10"/>
      <c r="SBC67" s="10"/>
      <c r="SBD67" s="10"/>
      <c r="SBE67" s="10"/>
      <c r="SBF67" s="10"/>
      <c r="SBG67" s="10"/>
      <c r="SBH67" s="10"/>
      <c r="SBI67" s="10"/>
      <c r="SBJ67" s="10"/>
      <c r="SBK67" s="10"/>
      <c r="SBL67" s="10"/>
      <c r="SBM67" s="10"/>
      <c r="SBN67" s="10"/>
      <c r="SBO67" s="10"/>
      <c r="SBP67" s="10"/>
      <c r="SBQ67" s="10"/>
      <c r="SBR67" s="10"/>
      <c r="SBS67" s="10"/>
      <c r="SBT67" s="10"/>
      <c r="SBU67" s="10"/>
      <c r="SBV67" s="10"/>
      <c r="SBW67" s="10"/>
      <c r="SBX67" s="10"/>
      <c r="SBY67" s="10"/>
      <c r="SBZ67" s="10"/>
      <c r="SCA67" s="10"/>
      <c r="SCB67" s="10"/>
      <c r="SCC67" s="10"/>
      <c r="SCD67" s="10"/>
      <c r="SCE67" s="10"/>
      <c r="SCF67" s="10"/>
      <c r="SCG67" s="10"/>
      <c r="SCH67" s="10"/>
      <c r="SCI67" s="10"/>
      <c r="SCJ67" s="10"/>
      <c r="SCK67" s="10"/>
      <c r="SCL67" s="10"/>
      <c r="SCM67" s="10"/>
      <c r="SCN67" s="10"/>
      <c r="SCO67" s="10"/>
      <c r="SCP67" s="10"/>
      <c r="SCQ67" s="10"/>
      <c r="SCR67" s="10"/>
      <c r="SCS67" s="10"/>
      <c r="SCT67" s="10"/>
      <c r="SCU67" s="10"/>
      <c r="SCV67" s="10"/>
      <c r="SCW67" s="10"/>
      <c r="SCX67" s="10"/>
      <c r="SCY67" s="10"/>
      <c r="SCZ67" s="10"/>
      <c r="SDA67" s="10"/>
      <c r="SDB67" s="10"/>
      <c r="SDC67" s="10"/>
      <c r="SDD67" s="10"/>
      <c r="SDE67" s="10"/>
      <c r="SDF67" s="10"/>
      <c r="SDG67" s="10"/>
      <c r="SDH67" s="10"/>
      <c r="SDI67" s="10"/>
      <c r="SDJ67" s="10"/>
      <c r="SDK67" s="10"/>
      <c r="SDL67" s="10"/>
      <c r="SDM67" s="10"/>
      <c r="SDN67" s="10"/>
      <c r="SDO67" s="10"/>
      <c r="SDP67" s="10"/>
      <c r="SDQ67" s="10"/>
      <c r="SDR67" s="10"/>
      <c r="SDS67" s="10"/>
      <c r="SDT67" s="10"/>
      <c r="SDU67" s="10"/>
      <c r="SDV67" s="10"/>
      <c r="SDW67" s="10"/>
      <c r="SDX67" s="10"/>
      <c r="SDY67" s="10"/>
      <c r="SDZ67" s="10"/>
      <c r="SEA67" s="10"/>
      <c r="SEB67" s="10"/>
      <c r="SEC67" s="10"/>
      <c r="SED67" s="10"/>
      <c r="SEE67" s="10"/>
      <c r="SEF67" s="10"/>
      <c r="SEG67" s="10"/>
      <c r="SEH67" s="10"/>
      <c r="SEI67" s="10"/>
      <c r="SEJ67" s="10"/>
      <c r="SEK67" s="10"/>
      <c r="SEL67" s="10"/>
      <c r="SEM67" s="10"/>
      <c r="SEN67" s="10"/>
      <c r="SEO67" s="10"/>
      <c r="SEP67" s="10"/>
      <c r="SEQ67" s="10"/>
      <c r="SER67" s="10"/>
      <c r="SES67" s="10"/>
      <c r="SET67" s="10"/>
      <c r="SEU67" s="10"/>
      <c r="SEV67" s="10"/>
      <c r="SEW67" s="10"/>
      <c r="SEX67" s="10"/>
      <c r="SEY67" s="10"/>
      <c r="SEZ67" s="10"/>
      <c r="SFA67" s="10"/>
      <c r="SFB67" s="10"/>
      <c r="SFC67" s="10"/>
      <c r="SFD67" s="10"/>
      <c r="SFE67" s="10"/>
      <c r="SFF67" s="10"/>
      <c r="SFG67" s="10"/>
      <c r="SFH67" s="10"/>
      <c r="SFI67" s="10"/>
      <c r="SFJ67" s="10"/>
      <c r="SFK67" s="10"/>
      <c r="SFL67" s="10"/>
      <c r="SFM67" s="10"/>
      <c r="SFN67" s="10"/>
      <c r="SFO67" s="10"/>
      <c r="SFP67" s="10"/>
      <c r="SFQ67" s="10"/>
      <c r="SFR67" s="10"/>
      <c r="SFS67" s="10"/>
      <c r="SFT67" s="10"/>
      <c r="SFU67" s="10"/>
      <c r="SFV67" s="10"/>
      <c r="SFW67" s="10"/>
      <c r="SFX67" s="10"/>
      <c r="SFY67" s="10"/>
      <c r="SFZ67" s="10"/>
      <c r="SGA67" s="10"/>
      <c r="SGB67" s="10"/>
      <c r="SGC67" s="10"/>
      <c r="SGD67" s="10"/>
      <c r="SGE67" s="10"/>
      <c r="SGF67" s="10"/>
      <c r="SGG67" s="10"/>
      <c r="SGH67" s="10"/>
      <c r="SGI67" s="10"/>
      <c r="SGJ67" s="10"/>
      <c r="SGK67" s="10"/>
      <c r="SGL67" s="10"/>
      <c r="SGM67" s="10"/>
      <c r="SGN67" s="10"/>
      <c r="SGO67" s="10"/>
      <c r="SGP67" s="10"/>
      <c r="SGQ67" s="10"/>
      <c r="SGR67" s="10"/>
      <c r="SGS67" s="10"/>
      <c r="SGT67" s="10"/>
      <c r="SGU67" s="10"/>
      <c r="SGV67" s="10"/>
      <c r="SGW67" s="10"/>
      <c r="SGX67" s="10"/>
      <c r="SGY67" s="10"/>
      <c r="SGZ67" s="10"/>
      <c r="SHA67" s="10"/>
      <c r="SHB67" s="10"/>
      <c r="SHC67" s="10"/>
      <c r="SHD67" s="10"/>
      <c r="SHE67" s="10"/>
      <c r="SHF67" s="10"/>
      <c r="SHG67" s="10"/>
      <c r="SHH67" s="10"/>
      <c r="SHI67" s="10"/>
      <c r="SHJ67" s="10"/>
      <c r="SHK67" s="10"/>
      <c r="SHL67" s="10"/>
      <c r="SHM67" s="10"/>
      <c r="SHN67" s="10"/>
      <c r="SHO67" s="10"/>
      <c r="SHP67" s="10"/>
      <c r="SHQ67" s="10"/>
      <c r="SHR67" s="10"/>
      <c r="SHS67" s="10"/>
      <c r="SHT67" s="10"/>
      <c r="SHU67" s="10"/>
      <c r="SHV67" s="10"/>
      <c r="SHW67" s="10"/>
      <c r="SHX67" s="10"/>
      <c r="SHY67" s="10"/>
      <c r="SHZ67" s="10"/>
      <c r="SIA67" s="10"/>
      <c r="SIB67" s="10"/>
      <c r="SIC67" s="10"/>
      <c r="SID67" s="10"/>
      <c r="SIE67" s="10"/>
      <c r="SIF67" s="10"/>
      <c r="SIG67" s="10"/>
      <c r="SIH67" s="10"/>
      <c r="SII67" s="10"/>
      <c r="SIJ67" s="10"/>
      <c r="SIK67" s="10"/>
      <c r="SIL67" s="10"/>
      <c r="SIM67" s="10"/>
      <c r="SIN67" s="10"/>
      <c r="SIO67" s="10"/>
      <c r="SIP67" s="10"/>
      <c r="SIQ67" s="10"/>
      <c r="SIR67" s="10"/>
      <c r="SIS67" s="10"/>
      <c r="SIT67" s="10"/>
      <c r="SIU67" s="10"/>
      <c r="SIV67" s="10"/>
      <c r="SIW67" s="10"/>
      <c r="SIX67" s="10"/>
      <c r="SIY67" s="10"/>
      <c r="SIZ67" s="10"/>
      <c r="SJA67" s="10"/>
      <c r="SJB67" s="10"/>
      <c r="SJC67" s="10"/>
      <c r="SJD67" s="10"/>
      <c r="SJE67" s="10"/>
      <c r="SJF67" s="10"/>
      <c r="SJG67" s="10"/>
      <c r="SJH67" s="10"/>
      <c r="SJI67" s="10"/>
      <c r="SJJ67" s="10"/>
      <c r="SJK67" s="10"/>
      <c r="SJL67" s="10"/>
      <c r="SJM67" s="10"/>
      <c r="SJN67" s="10"/>
      <c r="SJO67" s="10"/>
      <c r="SJP67" s="10"/>
      <c r="SJQ67" s="10"/>
      <c r="SJR67" s="10"/>
      <c r="SJS67" s="10"/>
      <c r="SJT67" s="10"/>
      <c r="SJU67" s="10"/>
      <c r="SJV67" s="10"/>
      <c r="SJW67" s="10"/>
      <c r="SJX67" s="10"/>
      <c r="SJY67" s="10"/>
      <c r="SJZ67" s="10"/>
      <c r="SKA67" s="10"/>
      <c r="SKB67" s="10"/>
      <c r="SKC67" s="10"/>
      <c r="SKD67" s="10"/>
      <c r="SKE67" s="10"/>
      <c r="SKF67" s="10"/>
      <c r="SKG67" s="10"/>
      <c r="SKH67" s="10"/>
      <c r="SKI67" s="10"/>
      <c r="SKJ67" s="10"/>
      <c r="SKK67" s="10"/>
      <c r="SKL67" s="10"/>
      <c r="SKM67" s="10"/>
      <c r="SKN67" s="10"/>
      <c r="SKO67" s="10"/>
      <c r="SKP67" s="10"/>
      <c r="SKQ67" s="10"/>
      <c r="SKR67" s="10"/>
      <c r="SKS67" s="10"/>
      <c r="SKT67" s="10"/>
      <c r="SKU67" s="10"/>
      <c r="SKV67" s="10"/>
      <c r="SKW67" s="10"/>
      <c r="SKX67" s="10"/>
      <c r="SKY67" s="10"/>
      <c r="SKZ67" s="10"/>
      <c r="SLA67" s="10"/>
      <c r="SLB67" s="10"/>
      <c r="SLC67" s="10"/>
      <c r="SLD67" s="10"/>
      <c r="SLE67" s="10"/>
      <c r="SLF67" s="10"/>
      <c r="SLG67" s="10"/>
      <c r="SLH67" s="10"/>
      <c r="SLI67" s="10"/>
      <c r="SLJ67" s="10"/>
      <c r="SLK67" s="10"/>
      <c r="SLL67" s="10"/>
      <c r="SLM67" s="10"/>
      <c r="SLN67" s="10"/>
      <c r="SLO67" s="10"/>
      <c r="SLP67" s="10"/>
      <c r="SLQ67" s="10"/>
      <c r="SLR67" s="10"/>
      <c r="SLS67" s="10"/>
      <c r="SLT67" s="10"/>
      <c r="SLU67" s="10"/>
      <c r="SLV67" s="10"/>
      <c r="SLW67" s="10"/>
      <c r="SLX67" s="10"/>
      <c r="SLY67" s="10"/>
      <c r="SLZ67" s="10"/>
      <c r="SMA67" s="10"/>
      <c r="SMB67" s="10"/>
      <c r="SMC67" s="10"/>
      <c r="SMD67" s="10"/>
      <c r="SME67" s="10"/>
      <c r="SMF67" s="10"/>
      <c r="SMG67" s="10"/>
      <c r="SMH67" s="10"/>
      <c r="SMI67" s="10"/>
      <c r="SMJ67" s="10"/>
      <c r="SMK67" s="10"/>
      <c r="SML67" s="10"/>
      <c r="SMM67" s="10"/>
      <c r="SMN67" s="10"/>
      <c r="SMO67" s="10"/>
      <c r="SMP67" s="10"/>
      <c r="SMQ67" s="10"/>
      <c r="SMR67" s="10"/>
      <c r="SMS67" s="10"/>
      <c r="SMT67" s="10"/>
      <c r="SMU67" s="10"/>
      <c r="SMV67" s="10"/>
      <c r="SMW67" s="10"/>
      <c r="SMX67" s="10"/>
      <c r="SMY67" s="10"/>
      <c r="SMZ67" s="10"/>
      <c r="SNA67" s="10"/>
      <c r="SNB67" s="10"/>
      <c r="SNC67" s="10"/>
      <c r="SND67" s="10"/>
      <c r="SNE67" s="10"/>
      <c r="SNF67" s="10"/>
      <c r="SNG67" s="10"/>
      <c r="SNH67" s="10"/>
      <c r="SNI67" s="10"/>
      <c r="SNJ67" s="10"/>
      <c r="SNK67" s="10"/>
      <c r="SNL67" s="10"/>
      <c r="SNM67" s="10"/>
      <c r="SNN67" s="10"/>
      <c r="SNO67" s="10"/>
      <c r="SNP67" s="10"/>
      <c r="SNQ67" s="10"/>
      <c r="SNR67" s="10"/>
      <c r="SNS67" s="10"/>
      <c r="SNT67" s="10"/>
      <c r="SNU67" s="10"/>
      <c r="SNV67" s="10"/>
      <c r="SNW67" s="10"/>
      <c r="SNX67" s="10"/>
      <c r="SNY67" s="10"/>
      <c r="SNZ67" s="10"/>
      <c r="SOA67" s="10"/>
      <c r="SOB67" s="10"/>
      <c r="SOC67" s="10"/>
      <c r="SOD67" s="10"/>
      <c r="SOE67" s="10"/>
      <c r="SOF67" s="10"/>
      <c r="SOG67" s="10"/>
      <c r="SOH67" s="10"/>
      <c r="SOI67" s="10"/>
      <c r="SOJ67" s="10"/>
      <c r="SOK67" s="10"/>
      <c r="SOL67" s="10"/>
      <c r="SOM67" s="10"/>
      <c r="SON67" s="10"/>
      <c r="SOO67" s="10"/>
      <c r="SOP67" s="10"/>
      <c r="SOQ67" s="10"/>
      <c r="SOR67" s="10"/>
      <c r="SOS67" s="10"/>
      <c r="SOT67" s="10"/>
      <c r="SOU67" s="10"/>
      <c r="SOV67" s="10"/>
      <c r="SOW67" s="10"/>
      <c r="SOX67" s="10"/>
      <c r="SOY67" s="10"/>
      <c r="SOZ67" s="10"/>
      <c r="SPA67" s="10"/>
      <c r="SPB67" s="10"/>
      <c r="SPC67" s="10"/>
      <c r="SPD67" s="10"/>
      <c r="SPE67" s="10"/>
      <c r="SPF67" s="10"/>
      <c r="SPG67" s="10"/>
      <c r="SPH67" s="10"/>
      <c r="SPI67" s="10"/>
      <c r="SPJ67" s="10"/>
      <c r="SPK67" s="10"/>
      <c r="SPL67" s="10"/>
      <c r="SPM67" s="10"/>
      <c r="SPN67" s="10"/>
      <c r="SPO67" s="10"/>
      <c r="SPP67" s="10"/>
      <c r="SPQ67" s="10"/>
      <c r="SPR67" s="10"/>
      <c r="SPS67" s="10"/>
      <c r="SPT67" s="10"/>
      <c r="SPU67" s="10"/>
      <c r="SPV67" s="10"/>
      <c r="SPW67" s="10"/>
      <c r="SPX67" s="10"/>
      <c r="SPY67" s="10"/>
      <c r="SPZ67" s="10"/>
      <c r="SQA67" s="10"/>
      <c r="SQB67" s="10"/>
      <c r="SQC67" s="10"/>
      <c r="SQD67" s="10"/>
      <c r="SQE67" s="10"/>
      <c r="SQF67" s="10"/>
      <c r="SQG67" s="10"/>
      <c r="SQH67" s="10"/>
      <c r="SQI67" s="10"/>
      <c r="SQJ67" s="10"/>
      <c r="SQK67" s="10"/>
      <c r="SQL67" s="10"/>
      <c r="SQM67" s="10"/>
      <c r="SQN67" s="10"/>
      <c r="SQO67" s="10"/>
      <c r="SQP67" s="10"/>
      <c r="SQQ67" s="10"/>
      <c r="SQR67" s="10"/>
      <c r="SQS67" s="10"/>
      <c r="SQT67" s="10"/>
      <c r="SQU67" s="10"/>
      <c r="SQV67" s="10"/>
      <c r="SQW67" s="10"/>
      <c r="SQX67" s="10"/>
      <c r="SQY67" s="10"/>
      <c r="SQZ67" s="10"/>
      <c r="SRA67" s="10"/>
      <c r="SRB67" s="10"/>
      <c r="SRC67" s="10"/>
      <c r="SRD67" s="10"/>
      <c r="SRE67" s="10"/>
      <c r="SRF67" s="10"/>
      <c r="SRG67" s="10"/>
      <c r="SRH67" s="10"/>
      <c r="SRI67" s="10"/>
      <c r="SRJ67" s="10"/>
      <c r="SRK67" s="10"/>
      <c r="SRL67" s="10"/>
      <c r="SRM67" s="10"/>
      <c r="SRN67" s="10"/>
      <c r="SRO67" s="10"/>
      <c r="SRP67" s="10"/>
      <c r="SRQ67" s="10"/>
      <c r="SRR67" s="10"/>
      <c r="SRS67" s="10"/>
      <c r="SRT67" s="10"/>
      <c r="SRU67" s="10"/>
      <c r="SRV67" s="10"/>
      <c r="SRW67" s="10"/>
      <c r="SRX67" s="10"/>
      <c r="SRY67" s="10"/>
      <c r="SRZ67" s="10"/>
      <c r="SSA67" s="10"/>
      <c r="SSB67" s="10"/>
      <c r="SSC67" s="10"/>
      <c r="SSD67" s="10"/>
      <c r="SSE67" s="10"/>
      <c r="SSF67" s="10"/>
      <c r="SSG67" s="10"/>
      <c r="SSH67" s="10"/>
      <c r="SSI67" s="10"/>
      <c r="SSJ67" s="10"/>
      <c r="SSK67" s="10"/>
      <c r="SSL67" s="10"/>
      <c r="SSM67" s="10"/>
      <c r="SSN67" s="10"/>
      <c r="SSO67" s="10"/>
      <c r="SSP67" s="10"/>
      <c r="SSQ67" s="10"/>
      <c r="SSR67" s="10"/>
      <c r="SSS67" s="10"/>
      <c r="SST67" s="10"/>
      <c r="SSU67" s="10"/>
      <c r="SSV67" s="10"/>
      <c r="SSW67" s="10"/>
      <c r="SSX67" s="10"/>
      <c r="SSY67" s="10"/>
      <c r="SSZ67" s="10"/>
      <c r="STA67" s="10"/>
      <c r="STB67" s="10"/>
      <c r="STC67" s="10"/>
      <c r="STD67" s="10"/>
      <c r="STE67" s="10"/>
      <c r="STF67" s="10"/>
      <c r="STG67" s="10"/>
      <c r="STH67" s="10"/>
      <c r="STI67" s="10"/>
      <c r="STJ67" s="10"/>
      <c r="STK67" s="10"/>
      <c r="STL67" s="10"/>
      <c r="STM67" s="10"/>
      <c r="STN67" s="10"/>
      <c r="STO67" s="10"/>
      <c r="STP67" s="10"/>
      <c r="STQ67" s="10"/>
      <c r="STR67" s="10"/>
      <c r="STS67" s="10"/>
      <c r="STT67" s="10"/>
      <c r="STU67" s="10"/>
      <c r="STV67" s="10"/>
      <c r="STW67" s="10"/>
      <c r="STX67" s="10"/>
      <c r="STY67" s="10"/>
      <c r="STZ67" s="10"/>
      <c r="SUA67" s="10"/>
      <c r="SUB67" s="10"/>
      <c r="SUC67" s="10"/>
      <c r="SUD67" s="10"/>
      <c r="SUE67" s="10"/>
      <c r="SUF67" s="10"/>
      <c r="SUG67" s="10"/>
      <c r="SUH67" s="10"/>
      <c r="SUI67" s="10"/>
      <c r="SUJ67" s="10"/>
      <c r="SUK67" s="10"/>
      <c r="SUL67" s="10"/>
      <c r="SUM67" s="10"/>
      <c r="SUN67" s="10"/>
      <c r="SUO67" s="10"/>
      <c r="SUP67" s="10"/>
      <c r="SUQ67" s="10"/>
      <c r="SUR67" s="10"/>
      <c r="SUS67" s="10"/>
      <c r="SUT67" s="10"/>
      <c r="SUU67" s="10"/>
      <c r="SUV67" s="10"/>
      <c r="SUW67" s="10"/>
      <c r="SUX67" s="10"/>
      <c r="SUY67" s="10"/>
      <c r="SUZ67" s="10"/>
      <c r="SVA67" s="10"/>
      <c r="SVB67" s="10"/>
      <c r="SVC67" s="10"/>
      <c r="SVD67" s="10"/>
      <c r="SVE67" s="10"/>
      <c r="SVF67" s="10"/>
      <c r="SVG67" s="10"/>
      <c r="SVH67" s="10"/>
      <c r="SVI67" s="10"/>
      <c r="SVJ67" s="10"/>
      <c r="SVK67" s="10"/>
      <c r="SVL67" s="10"/>
      <c r="SVM67" s="10"/>
      <c r="SVN67" s="10"/>
      <c r="SVO67" s="10"/>
      <c r="SVP67" s="10"/>
      <c r="SVQ67" s="10"/>
      <c r="SVR67" s="10"/>
      <c r="SVS67" s="10"/>
      <c r="SVT67" s="10"/>
      <c r="SVU67" s="10"/>
      <c r="SVV67" s="10"/>
      <c r="SVW67" s="10"/>
      <c r="SVX67" s="10"/>
      <c r="SVY67" s="10"/>
      <c r="SVZ67" s="10"/>
      <c r="SWA67" s="10"/>
      <c r="SWB67" s="10"/>
      <c r="SWC67" s="10"/>
      <c r="SWD67" s="10"/>
      <c r="SWE67" s="10"/>
      <c r="SWF67" s="10"/>
      <c r="SWG67" s="10"/>
      <c r="SWH67" s="10"/>
      <c r="SWI67" s="10"/>
      <c r="SWJ67" s="10"/>
      <c r="SWK67" s="10"/>
      <c r="SWL67" s="10"/>
      <c r="SWM67" s="10"/>
      <c r="SWN67" s="10"/>
      <c r="SWO67" s="10"/>
      <c r="SWP67" s="10"/>
      <c r="SWQ67" s="10"/>
      <c r="SWR67" s="10"/>
      <c r="SWS67" s="10"/>
      <c r="SWT67" s="10"/>
      <c r="SWU67" s="10"/>
      <c r="SWV67" s="10"/>
      <c r="SWW67" s="10"/>
      <c r="SWX67" s="10"/>
      <c r="SWY67" s="10"/>
      <c r="SWZ67" s="10"/>
      <c r="SXA67" s="10"/>
      <c r="SXB67" s="10"/>
      <c r="SXC67" s="10"/>
      <c r="SXD67" s="10"/>
      <c r="SXE67" s="10"/>
      <c r="SXF67" s="10"/>
      <c r="SXG67" s="10"/>
      <c r="SXH67" s="10"/>
      <c r="SXI67" s="10"/>
      <c r="SXJ67" s="10"/>
      <c r="SXK67" s="10"/>
      <c r="SXL67" s="10"/>
      <c r="SXM67" s="10"/>
      <c r="SXN67" s="10"/>
      <c r="SXO67" s="10"/>
      <c r="SXP67" s="10"/>
      <c r="SXQ67" s="10"/>
      <c r="SXR67" s="10"/>
      <c r="SXS67" s="10"/>
      <c r="SXT67" s="10"/>
      <c r="SXU67" s="10"/>
      <c r="SXV67" s="10"/>
      <c r="SXW67" s="10"/>
      <c r="SXX67" s="10"/>
      <c r="SXY67" s="10"/>
      <c r="SXZ67" s="10"/>
      <c r="SYA67" s="10"/>
      <c r="SYB67" s="10"/>
      <c r="SYC67" s="10"/>
      <c r="SYD67" s="10"/>
      <c r="SYE67" s="10"/>
      <c r="SYF67" s="10"/>
      <c r="SYG67" s="10"/>
      <c r="SYH67" s="10"/>
      <c r="SYI67" s="10"/>
      <c r="SYJ67" s="10"/>
      <c r="SYK67" s="10"/>
      <c r="SYL67" s="10"/>
      <c r="SYM67" s="10"/>
      <c r="SYN67" s="10"/>
      <c r="SYO67" s="10"/>
      <c r="SYP67" s="10"/>
      <c r="SYQ67" s="10"/>
      <c r="SYR67" s="10"/>
      <c r="SYS67" s="10"/>
      <c r="SYT67" s="10"/>
      <c r="SYU67" s="10"/>
      <c r="SYV67" s="10"/>
      <c r="SYW67" s="10"/>
      <c r="SYX67" s="10"/>
      <c r="SYY67" s="10"/>
      <c r="SYZ67" s="10"/>
      <c r="SZA67" s="10"/>
      <c r="SZB67" s="10"/>
      <c r="SZC67" s="10"/>
      <c r="SZD67" s="10"/>
      <c r="SZE67" s="10"/>
      <c r="SZF67" s="10"/>
      <c r="SZG67" s="10"/>
      <c r="SZH67" s="10"/>
      <c r="SZI67" s="10"/>
      <c r="SZJ67" s="10"/>
      <c r="SZK67" s="10"/>
      <c r="SZL67" s="10"/>
      <c r="SZM67" s="10"/>
      <c r="SZN67" s="10"/>
      <c r="SZO67" s="10"/>
      <c r="SZP67" s="10"/>
      <c r="SZQ67" s="10"/>
      <c r="SZR67" s="10"/>
      <c r="SZS67" s="10"/>
      <c r="SZT67" s="10"/>
      <c r="SZU67" s="10"/>
      <c r="SZV67" s="10"/>
      <c r="SZW67" s="10"/>
      <c r="SZX67" s="10"/>
      <c r="SZY67" s="10"/>
      <c r="SZZ67" s="10"/>
      <c r="TAA67" s="10"/>
      <c r="TAB67" s="10"/>
      <c r="TAC67" s="10"/>
      <c r="TAD67" s="10"/>
      <c r="TAE67" s="10"/>
      <c r="TAF67" s="10"/>
      <c r="TAG67" s="10"/>
      <c r="TAH67" s="10"/>
      <c r="TAI67" s="10"/>
      <c r="TAJ67" s="10"/>
      <c r="TAK67" s="10"/>
      <c r="TAL67" s="10"/>
      <c r="TAM67" s="10"/>
      <c r="TAN67" s="10"/>
      <c r="TAO67" s="10"/>
      <c r="TAP67" s="10"/>
      <c r="TAQ67" s="10"/>
      <c r="TAR67" s="10"/>
      <c r="TAS67" s="10"/>
      <c r="TAT67" s="10"/>
      <c r="TAU67" s="10"/>
      <c r="TAV67" s="10"/>
      <c r="TAW67" s="10"/>
      <c r="TAX67" s="10"/>
      <c r="TAY67" s="10"/>
      <c r="TAZ67" s="10"/>
      <c r="TBA67" s="10"/>
      <c r="TBB67" s="10"/>
      <c r="TBC67" s="10"/>
      <c r="TBD67" s="10"/>
      <c r="TBE67" s="10"/>
      <c r="TBF67" s="10"/>
      <c r="TBG67" s="10"/>
      <c r="TBH67" s="10"/>
      <c r="TBI67" s="10"/>
      <c r="TBJ67" s="10"/>
      <c r="TBK67" s="10"/>
      <c r="TBL67" s="10"/>
      <c r="TBM67" s="10"/>
      <c r="TBN67" s="10"/>
      <c r="TBO67" s="10"/>
      <c r="TBP67" s="10"/>
      <c r="TBQ67" s="10"/>
      <c r="TBR67" s="10"/>
      <c r="TBS67" s="10"/>
      <c r="TBT67" s="10"/>
      <c r="TBU67" s="10"/>
      <c r="TBV67" s="10"/>
      <c r="TBW67" s="10"/>
      <c r="TBX67" s="10"/>
      <c r="TBY67" s="10"/>
      <c r="TBZ67" s="10"/>
      <c r="TCA67" s="10"/>
      <c r="TCB67" s="10"/>
      <c r="TCC67" s="10"/>
      <c r="TCD67" s="10"/>
      <c r="TCE67" s="10"/>
      <c r="TCF67" s="10"/>
      <c r="TCG67" s="10"/>
      <c r="TCH67" s="10"/>
      <c r="TCI67" s="10"/>
      <c r="TCJ67" s="10"/>
      <c r="TCK67" s="10"/>
      <c r="TCL67" s="10"/>
      <c r="TCM67" s="10"/>
      <c r="TCN67" s="10"/>
      <c r="TCO67" s="10"/>
      <c r="TCP67" s="10"/>
      <c r="TCQ67" s="10"/>
      <c r="TCR67" s="10"/>
      <c r="TCS67" s="10"/>
      <c r="TCT67" s="10"/>
      <c r="TCU67" s="10"/>
      <c r="TCV67" s="10"/>
      <c r="TCW67" s="10"/>
      <c r="TCX67" s="10"/>
      <c r="TCY67" s="10"/>
      <c r="TCZ67" s="10"/>
      <c r="TDA67" s="10"/>
      <c r="TDB67" s="10"/>
      <c r="TDC67" s="10"/>
      <c r="TDD67" s="10"/>
      <c r="TDE67" s="10"/>
      <c r="TDF67" s="10"/>
      <c r="TDG67" s="10"/>
      <c r="TDH67" s="10"/>
      <c r="TDI67" s="10"/>
      <c r="TDJ67" s="10"/>
      <c r="TDK67" s="10"/>
      <c r="TDL67" s="10"/>
      <c r="TDM67" s="10"/>
      <c r="TDN67" s="10"/>
      <c r="TDO67" s="10"/>
      <c r="TDP67" s="10"/>
      <c r="TDQ67" s="10"/>
      <c r="TDR67" s="10"/>
      <c r="TDS67" s="10"/>
      <c r="TDT67" s="10"/>
      <c r="TDU67" s="10"/>
      <c r="TDV67" s="10"/>
      <c r="TDW67" s="10"/>
      <c r="TDX67" s="10"/>
      <c r="TDY67" s="10"/>
      <c r="TDZ67" s="10"/>
      <c r="TEA67" s="10"/>
      <c r="TEB67" s="10"/>
      <c r="TEC67" s="10"/>
      <c r="TED67" s="10"/>
      <c r="TEE67" s="10"/>
      <c r="TEF67" s="10"/>
      <c r="TEG67" s="10"/>
      <c r="TEH67" s="10"/>
      <c r="TEI67" s="10"/>
      <c r="TEJ67" s="10"/>
      <c r="TEK67" s="10"/>
      <c r="TEL67" s="10"/>
      <c r="TEM67" s="10"/>
      <c r="TEN67" s="10"/>
      <c r="TEO67" s="10"/>
      <c r="TEP67" s="10"/>
      <c r="TEQ67" s="10"/>
      <c r="TER67" s="10"/>
      <c r="TES67" s="10"/>
      <c r="TET67" s="10"/>
      <c r="TEU67" s="10"/>
      <c r="TEV67" s="10"/>
      <c r="TEW67" s="10"/>
      <c r="TEX67" s="10"/>
      <c r="TEY67" s="10"/>
      <c r="TEZ67" s="10"/>
      <c r="TFA67" s="10"/>
      <c r="TFB67" s="10"/>
      <c r="TFC67" s="10"/>
      <c r="TFD67" s="10"/>
      <c r="TFE67" s="10"/>
      <c r="TFF67" s="10"/>
      <c r="TFG67" s="10"/>
      <c r="TFH67" s="10"/>
      <c r="TFI67" s="10"/>
      <c r="TFJ67" s="10"/>
      <c r="TFK67" s="10"/>
      <c r="TFL67" s="10"/>
      <c r="TFM67" s="10"/>
      <c r="TFN67" s="10"/>
      <c r="TFO67" s="10"/>
      <c r="TFP67" s="10"/>
      <c r="TFQ67" s="10"/>
      <c r="TFR67" s="10"/>
      <c r="TFS67" s="10"/>
      <c r="TFT67" s="10"/>
      <c r="TFU67" s="10"/>
      <c r="TFV67" s="10"/>
      <c r="TFW67" s="10"/>
      <c r="TFX67" s="10"/>
      <c r="TFY67" s="10"/>
      <c r="TFZ67" s="10"/>
      <c r="TGA67" s="10"/>
      <c r="TGB67" s="10"/>
      <c r="TGC67" s="10"/>
      <c r="TGD67" s="10"/>
      <c r="TGE67" s="10"/>
      <c r="TGF67" s="10"/>
      <c r="TGG67" s="10"/>
      <c r="TGH67" s="10"/>
      <c r="TGI67" s="10"/>
      <c r="TGJ67" s="10"/>
      <c r="TGK67" s="10"/>
      <c r="TGL67" s="10"/>
      <c r="TGM67" s="10"/>
      <c r="TGN67" s="10"/>
      <c r="TGO67" s="10"/>
      <c r="TGP67" s="10"/>
      <c r="TGQ67" s="10"/>
      <c r="TGR67" s="10"/>
      <c r="TGS67" s="10"/>
      <c r="TGT67" s="10"/>
      <c r="TGU67" s="10"/>
      <c r="TGV67" s="10"/>
      <c r="TGW67" s="10"/>
      <c r="TGX67" s="10"/>
      <c r="TGY67" s="10"/>
      <c r="TGZ67" s="10"/>
      <c r="THA67" s="10"/>
      <c r="THB67" s="10"/>
      <c r="THC67" s="10"/>
      <c r="THD67" s="10"/>
      <c r="THE67" s="10"/>
      <c r="THF67" s="10"/>
      <c r="THG67" s="10"/>
      <c r="THH67" s="10"/>
      <c r="THI67" s="10"/>
      <c r="THJ67" s="10"/>
      <c r="THK67" s="10"/>
      <c r="THL67" s="10"/>
      <c r="THM67" s="10"/>
      <c r="THN67" s="10"/>
      <c r="THO67" s="10"/>
      <c r="THP67" s="10"/>
      <c r="THQ67" s="10"/>
      <c r="THR67" s="10"/>
      <c r="THS67" s="10"/>
      <c r="THT67" s="10"/>
      <c r="THU67" s="10"/>
      <c r="THV67" s="10"/>
      <c r="THW67" s="10"/>
      <c r="THX67" s="10"/>
      <c r="THY67" s="10"/>
      <c r="THZ67" s="10"/>
      <c r="TIA67" s="10"/>
      <c r="TIB67" s="10"/>
      <c r="TIC67" s="10"/>
      <c r="TID67" s="10"/>
      <c r="TIE67" s="10"/>
      <c r="TIF67" s="10"/>
      <c r="TIG67" s="10"/>
      <c r="TIH67" s="10"/>
      <c r="TII67" s="10"/>
      <c r="TIJ67" s="10"/>
      <c r="TIK67" s="10"/>
      <c r="TIL67" s="10"/>
      <c r="TIM67" s="10"/>
      <c r="TIN67" s="10"/>
      <c r="TIO67" s="10"/>
      <c r="TIP67" s="10"/>
      <c r="TIQ67" s="10"/>
      <c r="TIR67" s="10"/>
      <c r="TIS67" s="10"/>
      <c r="TIT67" s="10"/>
      <c r="TIU67" s="10"/>
      <c r="TIV67" s="10"/>
      <c r="TIW67" s="10"/>
      <c r="TIX67" s="10"/>
      <c r="TIY67" s="10"/>
      <c r="TIZ67" s="10"/>
      <c r="TJA67" s="10"/>
      <c r="TJB67" s="10"/>
      <c r="TJC67" s="10"/>
      <c r="TJD67" s="10"/>
      <c r="TJE67" s="10"/>
      <c r="TJF67" s="10"/>
      <c r="TJG67" s="10"/>
      <c r="TJH67" s="10"/>
      <c r="TJI67" s="10"/>
      <c r="TJJ67" s="10"/>
      <c r="TJK67" s="10"/>
      <c r="TJL67" s="10"/>
      <c r="TJM67" s="10"/>
      <c r="TJN67" s="10"/>
      <c r="TJO67" s="10"/>
      <c r="TJP67" s="10"/>
      <c r="TJQ67" s="10"/>
      <c r="TJR67" s="10"/>
      <c r="TJS67" s="10"/>
      <c r="TJT67" s="10"/>
      <c r="TJU67" s="10"/>
      <c r="TJV67" s="10"/>
      <c r="TJW67" s="10"/>
      <c r="TJX67" s="10"/>
      <c r="TJY67" s="10"/>
      <c r="TJZ67" s="10"/>
      <c r="TKA67" s="10"/>
      <c r="TKB67" s="10"/>
      <c r="TKC67" s="10"/>
      <c r="TKD67" s="10"/>
      <c r="TKE67" s="10"/>
      <c r="TKF67" s="10"/>
      <c r="TKG67" s="10"/>
      <c r="TKH67" s="10"/>
      <c r="TKI67" s="10"/>
      <c r="TKJ67" s="10"/>
      <c r="TKK67" s="10"/>
      <c r="TKL67" s="10"/>
      <c r="TKM67" s="10"/>
      <c r="TKN67" s="10"/>
      <c r="TKO67" s="10"/>
      <c r="TKP67" s="10"/>
      <c r="TKQ67" s="10"/>
      <c r="TKR67" s="10"/>
      <c r="TKS67" s="10"/>
      <c r="TKT67" s="10"/>
      <c r="TKU67" s="10"/>
      <c r="TKV67" s="10"/>
      <c r="TKW67" s="10"/>
      <c r="TKX67" s="10"/>
      <c r="TKY67" s="10"/>
      <c r="TKZ67" s="10"/>
      <c r="TLA67" s="10"/>
      <c r="TLB67" s="10"/>
      <c r="TLC67" s="10"/>
      <c r="TLD67" s="10"/>
      <c r="TLE67" s="10"/>
      <c r="TLF67" s="10"/>
      <c r="TLG67" s="10"/>
      <c r="TLH67" s="10"/>
      <c r="TLI67" s="10"/>
      <c r="TLJ67" s="10"/>
      <c r="TLK67" s="10"/>
      <c r="TLL67" s="10"/>
      <c r="TLM67" s="10"/>
      <c r="TLN67" s="10"/>
      <c r="TLO67" s="10"/>
      <c r="TLP67" s="10"/>
      <c r="TLQ67" s="10"/>
      <c r="TLR67" s="10"/>
      <c r="TLS67" s="10"/>
      <c r="TLT67" s="10"/>
      <c r="TLU67" s="10"/>
      <c r="TLV67" s="10"/>
      <c r="TLW67" s="10"/>
      <c r="TLX67" s="10"/>
      <c r="TLY67" s="10"/>
      <c r="TLZ67" s="10"/>
      <c r="TMA67" s="10"/>
      <c r="TMB67" s="10"/>
      <c r="TMC67" s="10"/>
      <c r="TMD67" s="10"/>
      <c r="TME67" s="10"/>
      <c r="TMF67" s="10"/>
      <c r="TMG67" s="10"/>
      <c r="TMH67" s="10"/>
      <c r="TMI67" s="10"/>
      <c r="TMJ67" s="10"/>
      <c r="TMK67" s="10"/>
      <c r="TML67" s="10"/>
      <c r="TMM67" s="10"/>
      <c r="TMN67" s="10"/>
      <c r="TMO67" s="10"/>
      <c r="TMP67" s="10"/>
      <c r="TMQ67" s="10"/>
      <c r="TMR67" s="10"/>
      <c r="TMS67" s="10"/>
      <c r="TMT67" s="10"/>
      <c r="TMU67" s="10"/>
      <c r="TMV67" s="10"/>
      <c r="TMW67" s="10"/>
      <c r="TMX67" s="10"/>
      <c r="TMY67" s="10"/>
      <c r="TMZ67" s="10"/>
      <c r="TNA67" s="10"/>
      <c r="TNB67" s="10"/>
      <c r="TNC67" s="10"/>
      <c r="TND67" s="10"/>
      <c r="TNE67" s="10"/>
      <c r="TNF67" s="10"/>
      <c r="TNG67" s="10"/>
      <c r="TNH67" s="10"/>
      <c r="TNI67" s="10"/>
      <c r="TNJ67" s="10"/>
      <c r="TNK67" s="10"/>
      <c r="TNL67" s="10"/>
      <c r="TNM67" s="10"/>
      <c r="TNN67" s="10"/>
      <c r="TNO67" s="10"/>
      <c r="TNP67" s="10"/>
      <c r="TNQ67" s="10"/>
      <c r="TNR67" s="10"/>
      <c r="TNS67" s="10"/>
      <c r="TNT67" s="10"/>
      <c r="TNU67" s="10"/>
      <c r="TNV67" s="10"/>
      <c r="TNW67" s="10"/>
      <c r="TNX67" s="10"/>
      <c r="TNY67" s="10"/>
      <c r="TNZ67" s="10"/>
      <c r="TOA67" s="10"/>
      <c r="TOB67" s="10"/>
      <c r="TOC67" s="10"/>
      <c r="TOD67" s="10"/>
      <c r="TOE67" s="10"/>
      <c r="TOF67" s="10"/>
      <c r="TOG67" s="10"/>
      <c r="TOH67" s="10"/>
      <c r="TOI67" s="10"/>
      <c r="TOJ67" s="10"/>
      <c r="TOK67" s="10"/>
      <c r="TOL67" s="10"/>
      <c r="TOM67" s="10"/>
      <c r="TON67" s="10"/>
      <c r="TOO67" s="10"/>
      <c r="TOP67" s="10"/>
      <c r="TOQ67" s="10"/>
      <c r="TOR67" s="10"/>
      <c r="TOS67" s="10"/>
      <c r="TOT67" s="10"/>
      <c r="TOU67" s="10"/>
      <c r="TOV67" s="10"/>
      <c r="TOW67" s="10"/>
      <c r="TOX67" s="10"/>
      <c r="TOY67" s="10"/>
      <c r="TOZ67" s="10"/>
      <c r="TPA67" s="10"/>
      <c r="TPB67" s="10"/>
      <c r="TPC67" s="10"/>
      <c r="TPD67" s="10"/>
      <c r="TPE67" s="10"/>
      <c r="TPF67" s="10"/>
      <c r="TPG67" s="10"/>
      <c r="TPH67" s="10"/>
      <c r="TPI67" s="10"/>
      <c r="TPJ67" s="10"/>
      <c r="TPK67" s="10"/>
      <c r="TPL67" s="10"/>
      <c r="TPM67" s="10"/>
      <c r="TPN67" s="10"/>
      <c r="TPO67" s="10"/>
      <c r="TPP67" s="10"/>
      <c r="TPQ67" s="10"/>
      <c r="TPR67" s="10"/>
      <c r="TPS67" s="10"/>
      <c r="TPT67" s="10"/>
      <c r="TPU67" s="10"/>
      <c r="TPV67" s="10"/>
      <c r="TPW67" s="10"/>
      <c r="TPX67" s="10"/>
      <c r="TPY67" s="10"/>
      <c r="TPZ67" s="10"/>
      <c r="TQA67" s="10"/>
      <c r="TQB67" s="10"/>
      <c r="TQC67" s="10"/>
      <c r="TQD67" s="10"/>
      <c r="TQE67" s="10"/>
      <c r="TQF67" s="10"/>
      <c r="TQG67" s="10"/>
      <c r="TQH67" s="10"/>
      <c r="TQI67" s="10"/>
      <c r="TQJ67" s="10"/>
      <c r="TQK67" s="10"/>
      <c r="TQL67" s="10"/>
      <c r="TQM67" s="10"/>
      <c r="TQN67" s="10"/>
      <c r="TQO67" s="10"/>
      <c r="TQP67" s="10"/>
      <c r="TQQ67" s="10"/>
      <c r="TQR67" s="10"/>
      <c r="TQS67" s="10"/>
      <c r="TQT67" s="10"/>
      <c r="TQU67" s="10"/>
      <c r="TQV67" s="10"/>
      <c r="TQW67" s="10"/>
      <c r="TQX67" s="10"/>
      <c r="TQY67" s="10"/>
      <c r="TQZ67" s="10"/>
      <c r="TRA67" s="10"/>
      <c r="TRB67" s="10"/>
      <c r="TRC67" s="10"/>
      <c r="TRD67" s="10"/>
      <c r="TRE67" s="10"/>
      <c r="TRF67" s="10"/>
      <c r="TRG67" s="10"/>
      <c r="TRH67" s="10"/>
      <c r="TRI67" s="10"/>
      <c r="TRJ67" s="10"/>
      <c r="TRK67" s="10"/>
      <c r="TRL67" s="10"/>
      <c r="TRM67" s="10"/>
      <c r="TRN67" s="10"/>
      <c r="TRO67" s="10"/>
      <c r="TRP67" s="10"/>
      <c r="TRQ67" s="10"/>
      <c r="TRR67" s="10"/>
      <c r="TRS67" s="10"/>
      <c r="TRT67" s="10"/>
      <c r="TRU67" s="10"/>
      <c r="TRV67" s="10"/>
      <c r="TRW67" s="10"/>
      <c r="TRX67" s="10"/>
      <c r="TRY67" s="10"/>
      <c r="TRZ67" s="10"/>
      <c r="TSA67" s="10"/>
      <c r="TSB67" s="10"/>
      <c r="TSC67" s="10"/>
      <c r="TSD67" s="10"/>
      <c r="TSE67" s="10"/>
      <c r="TSF67" s="10"/>
      <c r="TSG67" s="10"/>
      <c r="TSH67" s="10"/>
      <c r="TSI67" s="10"/>
      <c r="TSJ67" s="10"/>
      <c r="TSK67" s="10"/>
      <c r="TSL67" s="10"/>
      <c r="TSM67" s="10"/>
      <c r="TSN67" s="10"/>
      <c r="TSO67" s="10"/>
      <c r="TSP67" s="10"/>
      <c r="TSQ67" s="10"/>
      <c r="TSR67" s="10"/>
      <c r="TSS67" s="10"/>
      <c r="TST67" s="10"/>
      <c r="TSU67" s="10"/>
      <c r="TSV67" s="10"/>
      <c r="TSW67" s="10"/>
      <c r="TSX67" s="10"/>
      <c r="TSY67" s="10"/>
      <c r="TSZ67" s="10"/>
      <c r="TTA67" s="10"/>
      <c r="TTB67" s="10"/>
      <c r="TTC67" s="10"/>
      <c r="TTD67" s="10"/>
      <c r="TTE67" s="10"/>
      <c r="TTF67" s="10"/>
      <c r="TTG67" s="10"/>
      <c r="TTH67" s="10"/>
      <c r="TTI67" s="10"/>
      <c r="TTJ67" s="10"/>
      <c r="TTK67" s="10"/>
      <c r="TTL67" s="10"/>
      <c r="TTM67" s="10"/>
      <c r="TTN67" s="10"/>
      <c r="TTO67" s="10"/>
      <c r="TTP67" s="10"/>
      <c r="TTQ67" s="10"/>
      <c r="TTR67" s="10"/>
      <c r="TTS67" s="10"/>
      <c r="TTT67" s="10"/>
      <c r="TTU67" s="10"/>
      <c r="TTV67" s="10"/>
      <c r="TTW67" s="10"/>
      <c r="TTX67" s="10"/>
      <c r="TTY67" s="10"/>
      <c r="TTZ67" s="10"/>
      <c r="TUA67" s="10"/>
      <c r="TUB67" s="10"/>
      <c r="TUC67" s="10"/>
      <c r="TUD67" s="10"/>
      <c r="TUE67" s="10"/>
      <c r="TUF67" s="10"/>
      <c r="TUG67" s="10"/>
      <c r="TUH67" s="10"/>
      <c r="TUI67" s="10"/>
      <c r="TUJ67" s="10"/>
      <c r="TUK67" s="10"/>
      <c r="TUL67" s="10"/>
      <c r="TUM67" s="10"/>
      <c r="TUN67" s="10"/>
      <c r="TUO67" s="10"/>
      <c r="TUP67" s="10"/>
      <c r="TUQ67" s="10"/>
      <c r="TUR67" s="10"/>
      <c r="TUS67" s="10"/>
      <c r="TUT67" s="10"/>
      <c r="TUU67" s="10"/>
      <c r="TUV67" s="10"/>
      <c r="TUW67" s="10"/>
      <c r="TUX67" s="10"/>
      <c r="TUY67" s="10"/>
      <c r="TUZ67" s="10"/>
      <c r="TVA67" s="10"/>
      <c r="TVB67" s="10"/>
      <c r="TVC67" s="10"/>
      <c r="TVD67" s="10"/>
      <c r="TVE67" s="10"/>
      <c r="TVF67" s="10"/>
      <c r="TVG67" s="10"/>
      <c r="TVH67" s="10"/>
      <c r="TVI67" s="10"/>
      <c r="TVJ67" s="10"/>
      <c r="TVK67" s="10"/>
      <c r="TVL67" s="10"/>
      <c r="TVM67" s="10"/>
      <c r="TVN67" s="10"/>
      <c r="TVO67" s="10"/>
      <c r="TVP67" s="10"/>
      <c r="TVQ67" s="10"/>
      <c r="TVR67" s="10"/>
      <c r="TVS67" s="10"/>
      <c r="TVT67" s="10"/>
      <c r="TVU67" s="10"/>
      <c r="TVV67" s="10"/>
      <c r="TVW67" s="10"/>
      <c r="TVX67" s="10"/>
      <c r="TVY67" s="10"/>
      <c r="TVZ67" s="10"/>
      <c r="TWA67" s="10"/>
      <c r="TWB67" s="10"/>
      <c r="TWC67" s="10"/>
      <c r="TWD67" s="10"/>
      <c r="TWE67" s="10"/>
      <c r="TWF67" s="10"/>
      <c r="TWG67" s="10"/>
      <c r="TWH67" s="10"/>
      <c r="TWI67" s="10"/>
      <c r="TWJ67" s="10"/>
      <c r="TWK67" s="10"/>
      <c r="TWL67" s="10"/>
      <c r="TWM67" s="10"/>
      <c r="TWN67" s="10"/>
      <c r="TWO67" s="10"/>
      <c r="TWP67" s="10"/>
      <c r="TWQ67" s="10"/>
      <c r="TWR67" s="10"/>
      <c r="TWS67" s="10"/>
      <c r="TWT67" s="10"/>
      <c r="TWU67" s="10"/>
      <c r="TWV67" s="10"/>
      <c r="TWW67" s="10"/>
      <c r="TWX67" s="10"/>
      <c r="TWY67" s="10"/>
      <c r="TWZ67" s="10"/>
      <c r="TXA67" s="10"/>
      <c r="TXB67" s="10"/>
      <c r="TXC67" s="10"/>
      <c r="TXD67" s="10"/>
      <c r="TXE67" s="10"/>
      <c r="TXF67" s="10"/>
      <c r="TXG67" s="10"/>
      <c r="TXH67" s="10"/>
      <c r="TXI67" s="10"/>
      <c r="TXJ67" s="10"/>
      <c r="TXK67" s="10"/>
      <c r="TXL67" s="10"/>
      <c r="TXM67" s="10"/>
      <c r="TXN67" s="10"/>
      <c r="TXO67" s="10"/>
      <c r="TXP67" s="10"/>
      <c r="TXQ67" s="10"/>
      <c r="TXR67" s="10"/>
      <c r="TXS67" s="10"/>
      <c r="TXT67" s="10"/>
      <c r="TXU67" s="10"/>
      <c r="TXV67" s="10"/>
      <c r="TXW67" s="10"/>
      <c r="TXX67" s="10"/>
      <c r="TXY67" s="10"/>
      <c r="TXZ67" s="10"/>
      <c r="TYA67" s="10"/>
      <c r="TYB67" s="10"/>
      <c r="TYC67" s="10"/>
      <c r="TYD67" s="10"/>
      <c r="TYE67" s="10"/>
      <c r="TYF67" s="10"/>
      <c r="TYG67" s="10"/>
      <c r="TYH67" s="10"/>
      <c r="TYI67" s="10"/>
      <c r="TYJ67" s="10"/>
      <c r="TYK67" s="10"/>
      <c r="TYL67" s="10"/>
      <c r="TYM67" s="10"/>
      <c r="TYN67" s="10"/>
      <c r="TYO67" s="10"/>
      <c r="TYP67" s="10"/>
      <c r="TYQ67" s="10"/>
      <c r="TYR67" s="10"/>
      <c r="TYS67" s="10"/>
      <c r="TYT67" s="10"/>
      <c r="TYU67" s="10"/>
      <c r="TYV67" s="10"/>
      <c r="TYW67" s="10"/>
      <c r="TYX67" s="10"/>
      <c r="TYY67" s="10"/>
      <c r="TYZ67" s="10"/>
      <c r="TZA67" s="10"/>
      <c r="TZB67" s="10"/>
      <c r="TZC67" s="10"/>
      <c r="TZD67" s="10"/>
      <c r="TZE67" s="10"/>
      <c r="TZF67" s="10"/>
      <c r="TZG67" s="10"/>
      <c r="TZH67" s="10"/>
      <c r="TZI67" s="10"/>
      <c r="TZJ67" s="10"/>
      <c r="TZK67" s="10"/>
      <c r="TZL67" s="10"/>
      <c r="TZM67" s="10"/>
      <c r="TZN67" s="10"/>
      <c r="TZO67" s="10"/>
      <c r="TZP67" s="10"/>
      <c r="TZQ67" s="10"/>
      <c r="TZR67" s="10"/>
      <c r="TZS67" s="10"/>
      <c r="TZT67" s="10"/>
      <c r="TZU67" s="10"/>
      <c r="TZV67" s="10"/>
      <c r="TZW67" s="10"/>
      <c r="TZX67" s="10"/>
      <c r="TZY67" s="10"/>
      <c r="TZZ67" s="10"/>
      <c r="UAA67" s="10"/>
      <c r="UAB67" s="10"/>
      <c r="UAC67" s="10"/>
      <c r="UAD67" s="10"/>
      <c r="UAE67" s="10"/>
      <c r="UAF67" s="10"/>
      <c r="UAG67" s="10"/>
      <c r="UAH67" s="10"/>
      <c r="UAI67" s="10"/>
      <c r="UAJ67" s="10"/>
      <c r="UAK67" s="10"/>
      <c r="UAL67" s="10"/>
      <c r="UAM67" s="10"/>
      <c r="UAN67" s="10"/>
      <c r="UAO67" s="10"/>
      <c r="UAP67" s="10"/>
      <c r="UAQ67" s="10"/>
      <c r="UAR67" s="10"/>
      <c r="UAS67" s="10"/>
      <c r="UAT67" s="10"/>
      <c r="UAU67" s="10"/>
      <c r="UAV67" s="10"/>
      <c r="UAW67" s="10"/>
      <c r="UAX67" s="10"/>
      <c r="UAY67" s="10"/>
      <c r="UAZ67" s="10"/>
      <c r="UBA67" s="10"/>
      <c r="UBB67" s="10"/>
      <c r="UBC67" s="10"/>
      <c r="UBD67" s="10"/>
      <c r="UBE67" s="10"/>
      <c r="UBF67" s="10"/>
      <c r="UBG67" s="10"/>
      <c r="UBH67" s="10"/>
      <c r="UBI67" s="10"/>
      <c r="UBJ67" s="10"/>
      <c r="UBK67" s="10"/>
      <c r="UBL67" s="10"/>
      <c r="UBM67" s="10"/>
      <c r="UBN67" s="10"/>
      <c r="UBO67" s="10"/>
      <c r="UBP67" s="10"/>
      <c r="UBQ67" s="10"/>
      <c r="UBR67" s="10"/>
      <c r="UBS67" s="10"/>
      <c r="UBT67" s="10"/>
      <c r="UBU67" s="10"/>
      <c r="UBV67" s="10"/>
      <c r="UBW67" s="10"/>
      <c r="UBX67" s="10"/>
      <c r="UBY67" s="10"/>
      <c r="UBZ67" s="10"/>
      <c r="UCA67" s="10"/>
      <c r="UCB67" s="10"/>
      <c r="UCC67" s="10"/>
      <c r="UCD67" s="10"/>
      <c r="UCE67" s="10"/>
      <c r="UCF67" s="10"/>
      <c r="UCG67" s="10"/>
      <c r="UCH67" s="10"/>
      <c r="UCI67" s="10"/>
      <c r="UCJ67" s="10"/>
      <c r="UCK67" s="10"/>
      <c r="UCL67" s="10"/>
      <c r="UCM67" s="10"/>
      <c r="UCN67" s="10"/>
      <c r="UCO67" s="10"/>
      <c r="UCP67" s="10"/>
      <c r="UCQ67" s="10"/>
      <c r="UCR67" s="10"/>
      <c r="UCS67" s="10"/>
      <c r="UCT67" s="10"/>
      <c r="UCU67" s="10"/>
      <c r="UCV67" s="10"/>
      <c r="UCW67" s="10"/>
      <c r="UCX67" s="10"/>
      <c r="UCY67" s="10"/>
      <c r="UCZ67" s="10"/>
      <c r="UDA67" s="10"/>
      <c r="UDB67" s="10"/>
      <c r="UDC67" s="10"/>
      <c r="UDD67" s="10"/>
      <c r="UDE67" s="10"/>
      <c r="UDF67" s="10"/>
      <c r="UDG67" s="10"/>
      <c r="UDH67" s="10"/>
      <c r="UDI67" s="10"/>
      <c r="UDJ67" s="10"/>
      <c r="UDK67" s="10"/>
      <c r="UDL67" s="10"/>
      <c r="UDM67" s="10"/>
      <c r="UDN67" s="10"/>
      <c r="UDO67" s="10"/>
      <c r="UDP67" s="10"/>
      <c r="UDQ67" s="10"/>
      <c r="UDR67" s="10"/>
      <c r="UDS67" s="10"/>
      <c r="UDT67" s="10"/>
      <c r="UDU67" s="10"/>
      <c r="UDV67" s="10"/>
      <c r="UDW67" s="10"/>
      <c r="UDX67" s="10"/>
      <c r="UDY67" s="10"/>
      <c r="UDZ67" s="10"/>
      <c r="UEA67" s="10"/>
      <c r="UEB67" s="10"/>
      <c r="UEC67" s="10"/>
      <c r="UED67" s="10"/>
      <c r="UEE67" s="10"/>
      <c r="UEF67" s="10"/>
      <c r="UEG67" s="10"/>
      <c r="UEH67" s="10"/>
      <c r="UEI67" s="10"/>
      <c r="UEJ67" s="10"/>
      <c r="UEK67" s="10"/>
      <c r="UEL67" s="10"/>
      <c r="UEM67" s="10"/>
      <c r="UEN67" s="10"/>
      <c r="UEO67" s="10"/>
      <c r="UEP67" s="10"/>
      <c r="UEQ67" s="10"/>
      <c r="UER67" s="10"/>
      <c r="UES67" s="10"/>
      <c r="UET67" s="10"/>
      <c r="UEU67" s="10"/>
      <c r="UEV67" s="10"/>
      <c r="UEW67" s="10"/>
      <c r="UEX67" s="10"/>
      <c r="UEY67" s="10"/>
      <c r="UEZ67" s="10"/>
      <c r="UFA67" s="10"/>
      <c r="UFB67" s="10"/>
      <c r="UFC67" s="10"/>
      <c r="UFD67" s="10"/>
      <c r="UFE67" s="10"/>
      <c r="UFF67" s="10"/>
      <c r="UFG67" s="10"/>
      <c r="UFH67" s="10"/>
      <c r="UFI67" s="10"/>
      <c r="UFJ67" s="10"/>
      <c r="UFK67" s="10"/>
      <c r="UFL67" s="10"/>
      <c r="UFM67" s="10"/>
      <c r="UFN67" s="10"/>
      <c r="UFO67" s="10"/>
      <c r="UFP67" s="10"/>
      <c r="UFQ67" s="10"/>
      <c r="UFR67" s="10"/>
      <c r="UFS67" s="10"/>
      <c r="UFT67" s="10"/>
      <c r="UFU67" s="10"/>
      <c r="UFV67" s="10"/>
      <c r="UFW67" s="10"/>
      <c r="UFX67" s="10"/>
      <c r="UFY67" s="10"/>
      <c r="UFZ67" s="10"/>
      <c r="UGA67" s="10"/>
      <c r="UGB67" s="10"/>
      <c r="UGC67" s="10"/>
      <c r="UGD67" s="10"/>
      <c r="UGE67" s="10"/>
      <c r="UGF67" s="10"/>
      <c r="UGG67" s="10"/>
      <c r="UGH67" s="10"/>
      <c r="UGI67" s="10"/>
      <c r="UGJ67" s="10"/>
      <c r="UGK67" s="10"/>
      <c r="UGL67" s="10"/>
      <c r="UGM67" s="10"/>
      <c r="UGN67" s="10"/>
      <c r="UGO67" s="10"/>
      <c r="UGP67" s="10"/>
      <c r="UGQ67" s="10"/>
      <c r="UGR67" s="10"/>
      <c r="UGS67" s="10"/>
      <c r="UGT67" s="10"/>
      <c r="UGU67" s="10"/>
      <c r="UGV67" s="10"/>
      <c r="UGW67" s="10"/>
      <c r="UGX67" s="10"/>
      <c r="UGY67" s="10"/>
      <c r="UGZ67" s="10"/>
      <c r="UHA67" s="10"/>
      <c r="UHB67" s="10"/>
      <c r="UHC67" s="10"/>
      <c r="UHD67" s="10"/>
      <c r="UHE67" s="10"/>
      <c r="UHF67" s="10"/>
      <c r="UHG67" s="10"/>
      <c r="UHH67" s="10"/>
      <c r="UHI67" s="10"/>
      <c r="UHJ67" s="10"/>
      <c r="UHK67" s="10"/>
      <c r="UHL67" s="10"/>
      <c r="UHM67" s="10"/>
      <c r="UHN67" s="10"/>
      <c r="UHO67" s="10"/>
      <c r="UHP67" s="10"/>
      <c r="UHQ67" s="10"/>
      <c r="UHR67" s="10"/>
      <c r="UHS67" s="10"/>
      <c r="UHT67" s="10"/>
      <c r="UHU67" s="10"/>
      <c r="UHV67" s="10"/>
      <c r="UHW67" s="10"/>
      <c r="UHX67" s="10"/>
      <c r="UHY67" s="10"/>
      <c r="UHZ67" s="10"/>
      <c r="UIA67" s="10"/>
      <c r="UIB67" s="10"/>
      <c r="UIC67" s="10"/>
      <c r="UID67" s="10"/>
      <c r="UIE67" s="10"/>
      <c r="UIF67" s="10"/>
      <c r="UIG67" s="10"/>
      <c r="UIH67" s="10"/>
      <c r="UII67" s="10"/>
      <c r="UIJ67" s="10"/>
      <c r="UIK67" s="10"/>
      <c r="UIL67" s="10"/>
      <c r="UIM67" s="10"/>
      <c r="UIN67" s="10"/>
      <c r="UIO67" s="10"/>
      <c r="UIP67" s="10"/>
      <c r="UIQ67" s="10"/>
      <c r="UIR67" s="10"/>
      <c r="UIS67" s="10"/>
      <c r="UIT67" s="10"/>
      <c r="UIU67" s="10"/>
      <c r="UIV67" s="10"/>
      <c r="UIW67" s="10"/>
      <c r="UIX67" s="10"/>
      <c r="UIY67" s="10"/>
      <c r="UIZ67" s="10"/>
      <c r="UJA67" s="10"/>
      <c r="UJB67" s="10"/>
      <c r="UJC67" s="10"/>
      <c r="UJD67" s="10"/>
      <c r="UJE67" s="10"/>
      <c r="UJF67" s="10"/>
      <c r="UJG67" s="10"/>
      <c r="UJH67" s="10"/>
      <c r="UJI67" s="10"/>
      <c r="UJJ67" s="10"/>
      <c r="UJK67" s="10"/>
      <c r="UJL67" s="10"/>
      <c r="UJM67" s="10"/>
      <c r="UJN67" s="10"/>
      <c r="UJO67" s="10"/>
      <c r="UJP67" s="10"/>
      <c r="UJQ67" s="10"/>
      <c r="UJR67" s="10"/>
      <c r="UJS67" s="10"/>
      <c r="UJT67" s="10"/>
      <c r="UJU67" s="10"/>
      <c r="UJV67" s="10"/>
      <c r="UJW67" s="10"/>
      <c r="UJX67" s="10"/>
      <c r="UJY67" s="10"/>
      <c r="UJZ67" s="10"/>
      <c r="UKA67" s="10"/>
      <c r="UKB67" s="10"/>
      <c r="UKC67" s="10"/>
      <c r="UKD67" s="10"/>
      <c r="UKE67" s="10"/>
      <c r="UKF67" s="10"/>
      <c r="UKG67" s="10"/>
      <c r="UKH67" s="10"/>
      <c r="UKI67" s="10"/>
      <c r="UKJ67" s="10"/>
      <c r="UKK67" s="10"/>
      <c r="UKL67" s="10"/>
      <c r="UKM67" s="10"/>
      <c r="UKN67" s="10"/>
      <c r="UKO67" s="10"/>
      <c r="UKP67" s="10"/>
      <c r="UKQ67" s="10"/>
      <c r="UKR67" s="10"/>
      <c r="UKS67" s="10"/>
      <c r="UKT67" s="10"/>
      <c r="UKU67" s="10"/>
      <c r="UKV67" s="10"/>
      <c r="UKW67" s="10"/>
      <c r="UKX67" s="10"/>
      <c r="UKY67" s="10"/>
      <c r="UKZ67" s="10"/>
      <c r="ULA67" s="10"/>
      <c r="ULB67" s="10"/>
      <c r="ULC67" s="10"/>
      <c r="ULD67" s="10"/>
      <c r="ULE67" s="10"/>
      <c r="ULF67" s="10"/>
      <c r="ULG67" s="10"/>
      <c r="ULH67" s="10"/>
      <c r="ULI67" s="10"/>
      <c r="ULJ67" s="10"/>
      <c r="ULK67" s="10"/>
      <c r="ULL67" s="10"/>
      <c r="ULM67" s="10"/>
      <c r="ULN67" s="10"/>
      <c r="ULO67" s="10"/>
      <c r="ULP67" s="10"/>
      <c r="ULQ67" s="10"/>
      <c r="ULR67" s="10"/>
      <c r="ULS67" s="10"/>
      <c r="ULT67" s="10"/>
      <c r="ULU67" s="10"/>
      <c r="ULV67" s="10"/>
      <c r="ULW67" s="10"/>
      <c r="ULX67" s="10"/>
      <c r="ULY67" s="10"/>
      <c r="ULZ67" s="10"/>
      <c r="UMA67" s="10"/>
      <c r="UMB67" s="10"/>
      <c r="UMC67" s="10"/>
      <c r="UMD67" s="10"/>
      <c r="UME67" s="10"/>
      <c r="UMF67" s="10"/>
      <c r="UMG67" s="10"/>
      <c r="UMH67" s="10"/>
      <c r="UMI67" s="10"/>
      <c r="UMJ67" s="10"/>
      <c r="UMK67" s="10"/>
      <c r="UML67" s="10"/>
      <c r="UMM67" s="10"/>
      <c r="UMN67" s="10"/>
      <c r="UMO67" s="10"/>
      <c r="UMP67" s="10"/>
      <c r="UMQ67" s="10"/>
      <c r="UMR67" s="10"/>
      <c r="UMS67" s="10"/>
      <c r="UMT67" s="10"/>
      <c r="UMU67" s="10"/>
      <c r="UMV67" s="10"/>
      <c r="UMW67" s="10"/>
      <c r="UMX67" s="10"/>
      <c r="UMY67" s="10"/>
      <c r="UMZ67" s="10"/>
      <c r="UNA67" s="10"/>
      <c r="UNB67" s="10"/>
      <c r="UNC67" s="10"/>
      <c r="UND67" s="10"/>
      <c r="UNE67" s="10"/>
      <c r="UNF67" s="10"/>
      <c r="UNG67" s="10"/>
      <c r="UNH67" s="10"/>
      <c r="UNI67" s="10"/>
      <c r="UNJ67" s="10"/>
      <c r="UNK67" s="10"/>
      <c r="UNL67" s="10"/>
      <c r="UNM67" s="10"/>
      <c r="UNN67" s="10"/>
      <c r="UNO67" s="10"/>
      <c r="UNP67" s="10"/>
      <c r="UNQ67" s="10"/>
      <c r="UNR67" s="10"/>
      <c r="UNS67" s="10"/>
      <c r="UNT67" s="10"/>
      <c r="UNU67" s="10"/>
      <c r="UNV67" s="10"/>
      <c r="UNW67" s="10"/>
      <c r="UNX67" s="10"/>
      <c r="UNY67" s="10"/>
      <c r="UNZ67" s="10"/>
      <c r="UOA67" s="10"/>
      <c r="UOB67" s="10"/>
      <c r="UOC67" s="10"/>
      <c r="UOD67" s="10"/>
      <c r="UOE67" s="10"/>
      <c r="UOF67" s="10"/>
      <c r="UOG67" s="10"/>
      <c r="UOH67" s="10"/>
      <c r="UOI67" s="10"/>
      <c r="UOJ67" s="10"/>
      <c r="UOK67" s="10"/>
      <c r="UOL67" s="10"/>
      <c r="UOM67" s="10"/>
      <c r="UON67" s="10"/>
      <c r="UOO67" s="10"/>
      <c r="UOP67" s="10"/>
      <c r="UOQ67" s="10"/>
      <c r="UOR67" s="10"/>
      <c r="UOS67" s="10"/>
      <c r="UOT67" s="10"/>
      <c r="UOU67" s="10"/>
      <c r="UOV67" s="10"/>
      <c r="UOW67" s="10"/>
      <c r="UOX67" s="10"/>
      <c r="UOY67" s="10"/>
      <c r="UOZ67" s="10"/>
      <c r="UPA67" s="10"/>
      <c r="UPB67" s="10"/>
      <c r="UPC67" s="10"/>
      <c r="UPD67" s="10"/>
      <c r="UPE67" s="10"/>
      <c r="UPF67" s="10"/>
      <c r="UPG67" s="10"/>
      <c r="UPH67" s="10"/>
      <c r="UPI67" s="10"/>
      <c r="UPJ67" s="10"/>
      <c r="UPK67" s="10"/>
      <c r="UPL67" s="10"/>
      <c r="UPM67" s="10"/>
      <c r="UPN67" s="10"/>
      <c r="UPO67" s="10"/>
      <c r="UPP67" s="10"/>
      <c r="UPQ67" s="10"/>
      <c r="UPR67" s="10"/>
      <c r="UPS67" s="10"/>
      <c r="UPT67" s="10"/>
      <c r="UPU67" s="10"/>
      <c r="UPV67" s="10"/>
      <c r="UPW67" s="10"/>
      <c r="UPX67" s="10"/>
      <c r="UPY67" s="10"/>
      <c r="UPZ67" s="10"/>
      <c r="UQA67" s="10"/>
      <c r="UQB67" s="10"/>
      <c r="UQC67" s="10"/>
      <c r="UQD67" s="10"/>
      <c r="UQE67" s="10"/>
      <c r="UQF67" s="10"/>
      <c r="UQG67" s="10"/>
      <c r="UQH67" s="10"/>
      <c r="UQI67" s="10"/>
      <c r="UQJ67" s="10"/>
      <c r="UQK67" s="10"/>
      <c r="UQL67" s="10"/>
      <c r="UQM67" s="10"/>
      <c r="UQN67" s="10"/>
      <c r="UQO67" s="10"/>
      <c r="UQP67" s="10"/>
      <c r="UQQ67" s="10"/>
      <c r="UQR67" s="10"/>
      <c r="UQS67" s="10"/>
      <c r="UQT67" s="10"/>
      <c r="UQU67" s="10"/>
      <c r="UQV67" s="10"/>
      <c r="UQW67" s="10"/>
      <c r="UQX67" s="10"/>
      <c r="UQY67" s="10"/>
      <c r="UQZ67" s="10"/>
      <c r="URA67" s="10"/>
      <c r="URB67" s="10"/>
      <c r="URC67" s="10"/>
      <c r="URD67" s="10"/>
      <c r="URE67" s="10"/>
      <c r="URF67" s="10"/>
      <c r="URG67" s="10"/>
      <c r="URH67" s="10"/>
      <c r="URI67" s="10"/>
      <c r="URJ67" s="10"/>
      <c r="URK67" s="10"/>
      <c r="URL67" s="10"/>
      <c r="URM67" s="10"/>
      <c r="URN67" s="10"/>
      <c r="URO67" s="10"/>
      <c r="URP67" s="10"/>
      <c r="URQ67" s="10"/>
      <c r="URR67" s="10"/>
      <c r="URS67" s="10"/>
      <c r="URT67" s="10"/>
      <c r="URU67" s="10"/>
      <c r="URV67" s="10"/>
      <c r="URW67" s="10"/>
      <c r="URX67" s="10"/>
      <c r="URY67" s="10"/>
      <c r="URZ67" s="10"/>
      <c r="USA67" s="10"/>
      <c r="USB67" s="10"/>
      <c r="USC67" s="10"/>
      <c r="USD67" s="10"/>
      <c r="USE67" s="10"/>
      <c r="USF67" s="10"/>
      <c r="USG67" s="10"/>
      <c r="USH67" s="10"/>
      <c r="USI67" s="10"/>
      <c r="USJ67" s="10"/>
      <c r="USK67" s="10"/>
      <c r="USL67" s="10"/>
      <c r="USM67" s="10"/>
      <c r="USN67" s="10"/>
      <c r="USO67" s="10"/>
      <c r="USP67" s="10"/>
      <c r="USQ67" s="10"/>
      <c r="USR67" s="10"/>
      <c r="USS67" s="10"/>
      <c r="UST67" s="10"/>
      <c r="USU67" s="10"/>
      <c r="USV67" s="10"/>
      <c r="USW67" s="10"/>
      <c r="USX67" s="10"/>
      <c r="USY67" s="10"/>
      <c r="USZ67" s="10"/>
      <c r="UTA67" s="10"/>
      <c r="UTB67" s="10"/>
      <c r="UTC67" s="10"/>
      <c r="UTD67" s="10"/>
      <c r="UTE67" s="10"/>
      <c r="UTF67" s="10"/>
      <c r="UTG67" s="10"/>
      <c r="UTH67" s="10"/>
      <c r="UTI67" s="10"/>
      <c r="UTJ67" s="10"/>
      <c r="UTK67" s="10"/>
      <c r="UTL67" s="10"/>
      <c r="UTM67" s="10"/>
      <c r="UTN67" s="10"/>
      <c r="UTO67" s="10"/>
      <c r="UTP67" s="10"/>
      <c r="UTQ67" s="10"/>
      <c r="UTR67" s="10"/>
      <c r="UTS67" s="10"/>
      <c r="UTT67" s="10"/>
      <c r="UTU67" s="10"/>
      <c r="UTV67" s="10"/>
      <c r="UTW67" s="10"/>
      <c r="UTX67" s="10"/>
      <c r="UTY67" s="10"/>
      <c r="UTZ67" s="10"/>
      <c r="UUA67" s="10"/>
      <c r="UUB67" s="10"/>
      <c r="UUC67" s="10"/>
      <c r="UUD67" s="10"/>
      <c r="UUE67" s="10"/>
      <c r="UUF67" s="10"/>
      <c r="UUG67" s="10"/>
      <c r="UUH67" s="10"/>
      <c r="UUI67" s="10"/>
      <c r="UUJ67" s="10"/>
      <c r="UUK67" s="10"/>
      <c r="UUL67" s="10"/>
      <c r="UUM67" s="10"/>
      <c r="UUN67" s="10"/>
      <c r="UUO67" s="10"/>
      <c r="UUP67" s="10"/>
      <c r="UUQ67" s="10"/>
      <c r="UUR67" s="10"/>
      <c r="UUS67" s="10"/>
      <c r="UUT67" s="10"/>
      <c r="UUU67" s="10"/>
      <c r="UUV67" s="10"/>
      <c r="UUW67" s="10"/>
      <c r="UUX67" s="10"/>
      <c r="UUY67" s="10"/>
      <c r="UUZ67" s="10"/>
      <c r="UVA67" s="10"/>
      <c r="UVB67" s="10"/>
      <c r="UVC67" s="10"/>
      <c r="UVD67" s="10"/>
      <c r="UVE67" s="10"/>
      <c r="UVF67" s="10"/>
      <c r="UVG67" s="10"/>
      <c r="UVH67" s="10"/>
      <c r="UVI67" s="10"/>
      <c r="UVJ67" s="10"/>
      <c r="UVK67" s="10"/>
      <c r="UVL67" s="10"/>
      <c r="UVM67" s="10"/>
      <c r="UVN67" s="10"/>
      <c r="UVO67" s="10"/>
      <c r="UVP67" s="10"/>
      <c r="UVQ67" s="10"/>
      <c r="UVR67" s="10"/>
      <c r="UVS67" s="10"/>
      <c r="UVT67" s="10"/>
      <c r="UVU67" s="10"/>
      <c r="UVV67" s="10"/>
      <c r="UVW67" s="10"/>
      <c r="UVX67" s="10"/>
      <c r="UVY67" s="10"/>
      <c r="UVZ67" s="10"/>
      <c r="UWA67" s="10"/>
      <c r="UWB67" s="10"/>
      <c r="UWC67" s="10"/>
      <c r="UWD67" s="10"/>
      <c r="UWE67" s="10"/>
      <c r="UWF67" s="10"/>
      <c r="UWG67" s="10"/>
      <c r="UWH67" s="10"/>
      <c r="UWI67" s="10"/>
      <c r="UWJ67" s="10"/>
      <c r="UWK67" s="10"/>
      <c r="UWL67" s="10"/>
      <c r="UWM67" s="10"/>
      <c r="UWN67" s="10"/>
      <c r="UWO67" s="10"/>
      <c r="UWP67" s="10"/>
      <c r="UWQ67" s="10"/>
      <c r="UWR67" s="10"/>
      <c r="UWS67" s="10"/>
      <c r="UWT67" s="10"/>
      <c r="UWU67" s="10"/>
      <c r="UWV67" s="10"/>
      <c r="UWW67" s="10"/>
      <c r="UWX67" s="10"/>
      <c r="UWY67" s="10"/>
      <c r="UWZ67" s="10"/>
      <c r="UXA67" s="10"/>
      <c r="UXB67" s="10"/>
      <c r="UXC67" s="10"/>
      <c r="UXD67" s="10"/>
      <c r="UXE67" s="10"/>
      <c r="UXF67" s="10"/>
      <c r="UXG67" s="10"/>
      <c r="UXH67" s="10"/>
      <c r="UXI67" s="10"/>
      <c r="UXJ67" s="10"/>
      <c r="UXK67" s="10"/>
      <c r="UXL67" s="10"/>
      <c r="UXM67" s="10"/>
      <c r="UXN67" s="10"/>
      <c r="UXO67" s="10"/>
      <c r="UXP67" s="10"/>
      <c r="UXQ67" s="10"/>
      <c r="UXR67" s="10"/>
      <c r="UXS67" s="10"/>
      <c r="UXT67" s="10"/>
      <c r="UXU67" s="10"/>
      <c r="UXV67" s="10"/>
      <c r="UXW67" s="10"/>
      <c r="UXX67" s="10"/>
      <c r="UXY67" s="10"/>
      <c r="UXZ67" s="10"/>
      <c r="UYA67" s="10"/>
      <c r="UYB67" s="10"/>
      <c r="UYC67" s="10"/>
      <c r="UYD67" s="10"/>
      <c r="UYE67" s="10"/>
      <c r="UYF67" s="10"/>
      <c r="UYG67" s="10"/>
      <c r="UYH67" s="10"/>
      <c r="UYI67" s="10"/>
      <c r="UYJ67" s="10"/>
      <c r="UYK67" s="10"/>
      <c r="UYL67" s="10"/>
      <c r="UYM67" s="10"/>
      <c r="UYN67" s="10"/>
      <c r="UYO67" s="10"/>
      <c r="UYP67" s="10"/>
      <c r="UYQ67" s="10"/>
      <c r="UYR67" s="10"/>
      <c r="UYS67" s="10"/>
      <c r="UYT67" s="10"/>
      <c r="UYU67" s="10"/>
      <c r="UYV67" s="10"/>
      <c r="UYW67" s="10"/>
      <c r="UYX67" s="10"/>
      <c r="UYY67" s="10"/>
      <c r="UYZ67" s="10"/>
      <c r="UZA67" s="10"/>
      <c r="UZB67" s="10"/>
      <c r="UZC67" s="10"/>
      <c r="UZD67" s="10"/>
      <c r="UZE67" s="10"/>
      <c r="UZF67" s="10"/>
      <c r="UZG67" s="10"/>
      <c r="UZH67" s="10"/>
      <c r="UZI67" s="10"/>
      <c r="UZJ67" s="10"/>
      <c r="UZK67" s="10"/>
      <c r="UZL67" s="10"/>
      <c r="UZM67" s="10"/>
      <c r="UZN67" s="10"/>
      <c r="UZO67" s="10"/>
      <c r="UZP67" s="10"/>
      <c r="UZQ67" s="10"/>
      <c r="UZR67" s="10"/>
      <c r="UZS67" s="10"/>
      <c r="UZT67" s="10"/>
      <c r="UZU67" s="10"/>
      <c r="UZV67" s="10"/>
      <c r="UZW67" s="10"/>
      <c r="UZX67" s="10"/>
      <c r="UZY67" s="10"/>
      <c r="UZZ67" s="10"/>
      <c r="VAA67" s="10"/>
      <c r="VAB67" s="10"/>
      <c r="VAC67" s="10"/>
      <c r="VAD67" s="10"/>
      <c r="VAE67" s="10"/>
      <c r="VAF67" s="10"/>
      <c r="VAG67" s="10"/>
      <c r="VAH67" s="10"/>
      <c r="VAI67" s="10"/>
      <c r="VAJ67" s="10"/>
      <c r="VAK67" s="10"/>
      <c r="VAL67" s="10"/>
      <c r="VAM67" s="10"/>
      <c r="VAN67" s="10"/>
      <c r="VAO67" s="10"/>
      <c r="VAP67" s="10"/>
      <c r="VAQ67" s="10"/>
      <c r="VAR67" s="10"/>
      <c r="VAS67" s="10"/>
      <c r="VAT67" s="10"/>
      <c r="VAU67" s="10"/>
      <c r="VAV67" s="10"/>
      <c r="VAW67" s="10"/>
      <c r="VAX67" s="10"/>
      <c r="VAY67" s="10"/>
      <c r="VAZ67" s="10"/>
      <c r="VBA67" s="10"/>
      <c r="VBB67" s="10"/>
      <c r="VBC67" s="10"/>
      <c r="VBD67" s="10"/>
      <c r="VBE67" s="10"/>
      <c r="VBF67" s="10"/>
      <c r="VBG67" s="10"/>
      <c r="VBH67" s="10"/>
      <c r="VBI67" s="10"/>
      <c r="VBJ67" s="10"/>
      <c r="VBK67" s="10"/>
      <c r="VBL67" s="10"/>
      <c r="VBM67" s="10"/>
      <c r="VBN67" s="10"/>
      <c r="VBO67" s="10"/>
      <c r="VBP67" s="10"/>
      <c r="VBQ67" s="10"/>
      <c r="VBR67" s="10"/>
      <c r="VBS67" s="10"/>
      <c r="VBT67" s="10"/>
      <c r="VBU67" s="10"/>
      <c r="VBV67" s="10"/>
      <c r="VBW67" s="10"/>
      <c r="VBX67" s="10"/>
      <c r="VBY67" s="10"/>
      <c r="VBZ67" s="10"/>
      <c r="VCA67" s="10"/>
      <c r="VCB67" s="10"/>
      <c r="VCC67" s="10"/>
      <c r="VCD67" s="10"/>
      <c r="VCE67" s="10"/>
      <c r="VCF67" s="10"/>
      <c r="VCG67" s="10"/>
      <c r="VCH67" s="10"/>
      <c r="VCI67" s="10"/>
      <c r="VCJ67" s="10"/>
      <c r="VCK67" s="10"/>
      <c r="VCL67" s="10"/>
      <c r="VCM67" s="10"/>
      <c r="VCN67" s="10"/>
      <c r="VCO67" s="10"/>
      <c r="VCP67" s="10"/>
      <c r="VCQ67" s="10"/>
      <c r="VCR67" s="10"/>
      <c r="VCS67" s="10"/>
      <c r="VCT67" s="10"/>
      <c r="VCU67" s="10"/>
      <c r="VCV67" s="10"/>
      <c r="VCW67" s="10"/>
      <c r="VCX67" s="10"/>
      <c r="VCY67" s="10"/>
      <c r="VCZ67" s="10"/>
      <c r="VDA67" s="10"/>
      <c r="VDB67" s="10"/>
      <c r="VDC67" s="10"/>
      <c r="VDD67" s="10"/>
      <c r="VDE67" s="10"/>
      <c r="VDF67" s="10"/>
      <c r="VDG67" s="10"/>
      <c r="VDH67" s="10"/>
      <c r="VDI67" s="10"/>
      <c r="VDJ67" s="10"/>
      <c r="VDK67" s="10"/>
      <c r="VDL67" s="10"/>
      <c r="VDM67" s="10"/>
      <c r="VDN67" s="10"/>
      <c r="VDO67" s="10"/>
      <c r="VDP67" s="10"/>
      <c r="VDQ67" s="10"/>
      <c r="VDR67" s="10"/>
      <c r="VDS67" s="10"/>
      <c r="VDT67" s="10"/>
      <c r="VDU67" s="10"/>
      <c r="VDV67" s="10"/>
      <c r="VDW67" s="10"/>
      <c r="VDX67" s="10"/>
      <c r="VDY67" s="10"/>
      <c r="VDZ67" s="10"/>
      <c r="VEA67" s="10"/>
      <c r="VEB67" s="10"/>
      <c r="VEC67" s="10"/>
      <c r="VED67" s="10"/>
      <c r="VEE67" s="10"/>
      <c r="VEF67" s="10"/>
      <c r="VEG67" s="10"/>
      <c r="VEH67" s="10"/>
      <c r="VEI67" s="10"/>
      <c r="VEJ67" s="10"/>
      <c r="VEK67" s="10"/>
      <c r="VEL67" s="10"/>
      <c r="VEM67" s="10"/>
      <c r="VEN67" s="10"/>
      <c r="VEO67" s="10"/>
      <c r="VEP67" s="10"/>
      <c r="VEQ67" s="10"/>
      <c r="VER67" s="10"/>
      <c r="VES67" s="10"/>
      <c r="VET67" s="10"/>
      <c r="VEU67" s="10"/>
      <c r="VEV67" s="10"/>
      <c r="VEW67" s="10"/>
      <c r="VEX67" s="10"/>
      <c r="VEY67" s="10"/>
      <c r="VEZ67" s="10"/>
      <c r="VFA67" s="10"/>
      <c r="VFB67" s="10"/>
      <c r="VFC67" s="10"/>
      <c r="VFD67" s="10"/>
      <c r="VFE67" s="10"/>
      <c r="VFF67" s="10"/>
      <c r="VFG67" s="10"/>
      <c r="VFH67" s="10"/>
      <c r="VFI67" s="10"/>
      <c r="VFJ67" s="10"/>
      <c r="VFK67" s="10"/>
      <c r="VFL67" s="10"/>
      <c r="VFM67" s="10"/>
      <c r="VFN67" s="10"/>
      <c r="VFO67" s="10"/>
      <c r="VFP67" s="10"/>
      <c r="VFQ67" s="10"/>
      <c r="VFR67" s="10"/>
      <c r="VFS67" s="10"/>
      <c r="VFT67" s="10"/>
      <c r="VFU67" s="10"/>
      <c r="VFV67" s="10"/>
      <c r="VFW67" s="10"/>
      <c r="VFX67" s="10"/>
      <c r="VFY67" s="10"/>
      <c r="VFZ67" s="10"/>
      <c r="VGA67" s="10"/>
      <c r="VGB67" s="10"/>
      <c r="VGC67" s="10"/>
      <c r="VGD67" s="10"/>
      <c r="VGE67" s="10"/>
      <c r="VGF67" s="10"/>
      <c r="VGG67" s="10"/>
      <c r="VGH67" s="10"/>
      <c r="VGI67" s="10"/>
      <c r="VGJ67" s="10"/>
      <c r="VGK67" s="10"/>
      <c r="VGL67" s="10"/>
      <c r="VGM67" s="10"/>
      <c r="VGN67" s="10"/>
      <c r="VGO67" s="10"/>
      <c r="VGP67" s="10"/>
      <c r="VGQ67" s="10"/>
      <c r="VGR67" s="10"/>
      <c r="VGS67" s="10"/>
      <c r="VGT67" s="10"/>
      <c r="VGU67" s="10"/>
      <c r="VGV67" s="10"/>
      <c r="VGW67" s="10"/>
      <c r="VGX67" s="10"/>
      <c r="VGY67" s="10"/>
      <c r="VGZ67" s="10"/>
      <c r="VHA67" s="10"/>
      <c r="VHB67" s="10"/>
      <c r="VHC67" s="10"/>
      <c r="VHD67" s="10"/>
      <c r="VHE67" s="10"/>
      <c r="VHF67" s="10"/>
      <c r="VHG67" s="10"/>
      <c r="VHH67" s="10"/>
      <c r="VHI67" s="10"/>
      <c r="VHJ67" s="10"/>
      <c r="VHK67" s="10"/>
      <c r="VHL67" s="10"/>
      <c r="VHM67" s="10"/>
      <c r="VHN67" s="10"/>
      <c r="VHO67" s="10"/>
      <c r="VHP67" s="10"/>
      <c r="VHQ67" s="10"/>
      <c r="VHR67" s="10"/>
      <c r="VHS67" s="10"/>
      <c r="VHT67" s="10"/>
      <c r="VHU67" s="10"/>
      <c r="VHV67" s="10"/>
      <c r="VHW67" s="10"/>
      <c r="VHX67" s="10"/>
      <c r="VHY67" s="10"/>
      <c r="VHZ67" s="10"/>
      <c r="VIA67" s="10"/>
      <c r="VIB67" s="10"/>
      <c r="VIC67" s="10"/>
      <c r="VID67" s="10"/>
      <c r="VIE67" s="10"/>
      <c r="VIF67" s="10"/>
      <c r="VIG67" s="10"/>
      <c r="VIH67" s="10"/>
      <c r="VII67" s="10"/>
      <c r="VIJ67" s="10"/>
      <c r="VIK67" s="10"/>
      <c r="VIL67" s="10"/>
      <c r="VIM67" s="10"/>
      <c r="VIN67" s="10"/>
      <c r="VIO67" s="10"/>
      <c r="VIP67" s="10"/>
      <c r="VIQ67" s="10"/>
      <c r="VIR67" s="10"/>
      <c r="VIS67" s="10"/>
      <c r="VIT67" s="10"/>
      <c r="VIU67" s="10"/>
      <c r="VIV67" s="10"/>
      <c r="VIW67" s="10"/>
      <c r="VIX67" s="10"/>
      <c r="VIY67" s="10"/>
      <c r="VIZ67" s="10"/>
      <c r="VJA67" s="10"/>
      <c r="VJB67" s="10"/>
      <c r="VJC67" s="10"/>
      <c r="VJD67" s="10"/>
      <c r="VJE67" s="10"/>
      <c r="VJF67" s="10"/>
      <c r="VJG67" s="10"/>
      <c r="VJH67" s="10"/>
      <c r="VJI67" s="10"/>
      <c r="VJJ67" s="10"/>
      <c r="VJK67" s="10"/>
      <c r="VJL67" s="10"/>
      <c r="VJM67" s="10"/>
      <c r="VJN67" s="10"/>
      <c r="VJO67" s="10"/>
      <c r="VJP67" s="10"/>
      <c r="VJQ67" s="10"/>
      <c r="VJR67" s="10"/>
      <c r="VJS67" s="10"/>
      <c r="VJT67" s="10"/>
      <c r="VJU67" s="10"/>
      <c r="VJV67" s="10"/>
      <c r="VJW67" s="10"/>
      <c r="VJX67" s="10"/>
      <c r="VJY67" s="10"/>
      <c r="VJZ67" s="10"/>
      <c r="VKA67" s="10"/>
      <c r="VKB67" s="10"/>
      <c r="VKC67" s="10"/>
      <c r="VKD67" s="10"/>
      <c r="VKE67" s="10"/>
      <c r="VKF67" s="10"/>
      <c r="VKG67" s="10"/>
      <c r="VKH67" s="10"/>
      <c r="VKI67" s="10"/>
      <c r="VKJ67" s="10"/>
      <c r="VKK67" s="10"/>
      <c r="VKL67" s="10"/>
      <c r="VKM67" s="10"/>
      <c r="VKN67" s="10"/>
      <c r="VKO67" s="10"/>
      <c r="VKP67" s="10"/>
      <c r="VKQ67" s="10"/>
      <c r="VKR67" s="10"/>
      <c r="VKS67" s="10"/>
      <c r="VKT67" s="10"/>
      <c r="VKU67" s="10"/>
      <c r="VKV67" s="10"/>
      <c r="VKW67" s="10"/>
      <c r="VKX67" s="10"/>
      <c r="VKY67" s="10"/>
      <c r="VKZ67" s="10"/>
      <c r="VLA67" s="10"/>
      <c r="VLB67" s="10"/>
      <c r="VLC67" s="10"/>
      <c r="VLD67" s="10"/>
      <c r="VLE67" s="10"/>
      <c r="VLF67" s="10"/>
      <c r="VLG67" s="10"/>
      <c r="VLH67" s="10"/>
      <c r="VLI67" s="10"/>
      <c r="VLJ67" s="10"/>
      <c r="VLK67" s="10"/>
      <c r="VLL67" s="10"/>
      <c r="VLM67" s="10"/>
      <c r="VLN67" s="10"/>
      <c r="VLO67" s="10"/>
      <c r="VLP67" s="10"/>
      <c r="VLQ67" s="10"/>
      <c r="VLR67" s="10"/>
      <c r="VLS67" s="10"/>
      <c r="VLT67" s="10"/>
      <c r="VLU67" s="10"/>
      <c r="VLV67" s="10"/>
      <c r="VLW67" s="10"/>
      <c r="VLX67" s="10"/>
      <c r="VLY67" s="10"/>
      <c r="VLZ67" s="10"/>
      <c r="VMA67" s="10"/>
      <c r="VMB67" s="10"/>
      <c r="VMC67" s="10"/>
      <c r="VMD67" s="10"/>
      <c r="VME67" s="10"/>
      <c r="VMF67" s="10"/>
      <c r="VMG67" s="10"/>
      <c r="VMH67" s="10"/>
      <c r="VMI67" s="10"/>
      <c r="VMJ67" s="10"/>
      <c r="VMK67" s="10"/>
      <c r="VML67" s="10"/>
      <c r="VMM67" s="10"/>
      <c r="VMN67" s="10"/>
      <c r="VMO67" s="10"/>
      <c r="VMP67" s="10"/>
      <c r="VMQ67" s="10"/>
      <c r="VMR67" s="10"/>
      <c r="VMS67" s="10"/>
      <c r="VMT67" s="10"/>
      <c r="VMU67" s="10"/>
      <c r="VMV67" s="10"/>
      <c r="VMW67" s="10"/>
      <c r="VMX67" s="10"/>
      <c r="VMY67" s="10"/>
      <c r="VMZ67" s="10"/>
      <c r="VNA67" s="10"/>
      <c r="VNB67" s="10"/>
      <c r="VNC67" s="10"/>
      <c r="VND67" s="10"/>
      <c r="VNE67" s="10"/>
      <c r="VNF67" s="10"/>
      <c r="VNG67" s="10"/>
      <c r="VNH67" s="10"/>
      <c r="VNI67" s="10"/>
      <c r="VNJ67" s="10"/>
      <c r="VNK67" s="10"/>
      <c r="VNL67" s="10"/>
      <c r="VNM67" s="10"/>
      <c r="VNN67" s="10"/>
      <c r="VNO67" s="10"/>
      <c r="VNP67" s="10"/>
      <c r="VNQ67" s="10"/>
      <c r="VNR67" s="10"/>
      <c r="VNS67" s="10"/>
      <c r="VNT67" s="10"/>
      <c r="VNU67" s="10"/>
      <c r="VNV67" s="10"/>
      <c r="VNW67" s="10"/>
      <c r="VNX67" s="10"/>
      <c r="VNY67" s="10"/>
      <c r="VNZ67" s="10"/>
      <c r="VOA67" s="10"/>
      <c r="VOB67" s="10"/>
      <c r="VOC67" s="10"/>
      <c r="VOD67" s="10"/>
      <c r="VOE67" s="10"/>
      <c r="VOF67" s="10"/>
      <c r="VOG67" s="10"/>
      <c r="VOH67" s="10"/>
      <c r="VOI67" s="10"/>
      <c r="VOJ67" s="10"/>
      <c r="VOK67" s="10"/>
      <c r="VOL67" s="10"/>
      <c r="VOM67" s="10"/>
      <c r="VON67" s="10"/>
      <c r="VOO67" s="10"/>
      <c r="VOP67" s="10"/>
      <c r="VOQ67" s="10"/>
      <c r="VOR67" s="10"/>
      <c r="VOS67" s="10"/>
      <c r="VOT67" s="10"/>
      <c r="VOU67" s="10"/>
      <c r="VOV67" s="10"/>
      <c r="VOW67" s="10"/>
      <c r="VOX67" s="10"/>
      <c r="VOY67" s="10"/>
      <c r="VOZ67" s="10"/>
      <c r="VPA67" s="10"/>
      <c r="VPB67" s="10"/>
      <c r="VPC67" s="10"/>
      <c r="VPD67" s="10"/>
      <c r="VPE67" s="10"/>
      <c r="VPF67" s="10"/>
      <c r="VPG67" s="10"/>
      <c r="VPH67" s="10"/>
      <c r="VPI67" s="10"/>
      <c r="VPJ67" s="10"/>
      <c r="VPK67" s="10"/>
      <c r="VPL67" s="10"/>
      <c r="VPM67" s="10"/>
      <c r="VPN67" s="10"/>
      <c r="VPO67" s="10"/>
      <c r="VPP67" s="10"/>
      <c r="VPQ67" s="10"/>
      <c r="VPR67" s="10"/>
      <c r="VPS67" s="10"/>
      <c r="VPT67" s="10"/>
      <c r="VPU67" s="10"/>
      <c r="VPV67" s="10"/>
      <c r="VPW67" s="10"/>
      <c r="VPX67" s="10"/>
      <c r="VPY67" s="10"/>
      <c r="VPZ67" s="10"/>
      <c r="VQA67" s="10"/>
      <c r="VQB67" s="10"/>
      <c r="VQC67" s="10"/>
      <c r="VQD67" s="10"/>
      <c r="VQE67" s="10"/>
      <c r="VQF67" s="10"/>
      <c r="VQG67" s="10"/>
      <c r="VQH67" s="10"/>
      <c r="VQI67" s="10"/>
      <c r="VQJ67" s="10"/>
      <c r="VQK67" s="10"/>
      <c r="VQL67" s="10"/>
      <c r="VQM67" s="10"/>
      <c r="VQN67" s="10"/>
      <c r="VQO67" s="10"/>
      <c r="VQP67" s="10"/>
      <c r="VQQ67" s="10"/>
      <c r="VQR67" s="10"/>
      <c r="VQS67" s="10"/>
      <c r="VQT67" s="10"/>
      <c r="VQU67" s="10"/>
      <c r="VQV67" s="10"/>
      <c r="VQW67" s="10"/>
      <c r="VQX67" s="10"/>
      <c r="VQY67" s="10"/>
      <c r="VQZ67" s="10"/>
      <c r="VRA67" s="10"/>
      <c r="VRB67" s="10"/>
      <c r="VRC67" s="10"/>
      <c r="VRD67" s="10"/>
      <c r="VRE67" s="10"/>
      <c r="VRF67" s="10"/>
      <c r="VRG67" s="10"/>
      <c r="VRH67" s="10"/>
      <c r="VRI67" s="10"/>
      <c r="VRJ67" s="10"/>
      <c r="VRK67" s="10"/>
      <c r="VRL67" s="10"/>
      <c r="VRM67" s="10"/>
      <c r="VRN67" s="10"/>
      <c r="VRO67" s="10"/>
      <c r="VRP67" s="10"/>
      <c r="VRQ67" s="10"/>
      <c r="VRR67" s="10"/>
      <c r="VRS67" s="10"/>
      <c r="VRT67" s="10"/>
      <c r="VRU67" s="10"/>
      <c r="VRV67" s="10"/>
      <c r="VRW67" s="10"/>
      <c r="VRX67" s="10"/>
      <c r="VRY67" s="10"/>
      <c r="VRZ67" s="10"/>
      <c r="VSA67" s="10"/>
      <c r="VSB67" s="10"/>
      <c r="VSC67" s="10"/>
      <c r="VSD67" s="10"/>
      <c r="VSE67" s="10"/>
      <c r="VSF67" s="10"/>
      <c r="VSG67" s="10"/>
      <c r="VSH67" s="10"/>
      <c r="VSI67" s="10"/>
      <c r="VSJ67" s="10"/>
      <c r="VSK67" s="10"/>
      <c r="VSL67" s="10"/>
      <c r="VSM67" s="10"/>
      <c r="VSN67" s="10"/>
      <c r="VSO67" s="10"/>
      <c r="VSP67" s="10"/>
      <c r="VSQ67" s="10"/>
      <c r="VSR67" s="10"/>
      <c r="VSS67" s="10"/>
      <c r="VST67" s="10"/>
      <c r="VSU67" s="10"/>
      <c r="VSV67" s="10"/>
      <c r="VSW67" s="10"/>
      <c r="VSX67" s="10"/>
      <c r="VSY67" s="10"/>
      <c r="VSZ67" s="10"/>
      <c r="VTA67" s="10"/>
      <c r="VTB67" s="10"/>
      <c r="VTC67" s="10"/>
      <c r="VTD67" s="10"/>
      <c r="VTE67" s="10"/>
      <c r="VTF67" s="10"/>
      <c r="VTG67" s="10"/>
      <c r="VTH67" s="10"/>
      <c r="VTI67" s="10"/>
      <c r="VTJ67" s="10"/>
      <c r="VTK67" s="10"/>
      <c r="VTL67" s="10"/>
      <c r="VTM67" s="10"/>
      <c r="VTN67" s="10"/>
      <c r="VTO67" s="10"/>
      <c r="VTP67" s="10"/>
      <c r="VTQ67" s="10"/>
      <c r="VTR67" s="10"/>
      <c r="VTS67" s="10"/>
      <c r="VTT67" s="10"/>
      <c r="VTU67" s="10"/>
      <c r="VTV67" s="10"/>
      <c r="VTW67" s="10"/>
      <c r="VTX67" s="10"/>
      <c r="VTY67" s="10"/>
      <c r="VTZ67" s="10"/>
      <c r="VUA67" s="10"/>
      <c r="VUB67" s="10"/>
      <c r="VUC67" s="10"/>
      <c r="VUD67" s="10"/>
      <c r="VUE67" s="10"/>
      <c r="VUF67" s="10"/>
      <c r="VUG67" s="10"/>
      <c r="VUH67" s="10"/>
      <c r="VUI67" s="10"/>
      <c r="VUJ67" s="10"/>
      <c r="VUK67" s="10"/>
      <c r="VUL67" s="10"/>
      <c r="VUM67" s="10"/>
      <c r="VUN67" s="10"/>
      <c r="VUO67" s="10"/>
      <c r="VUP67" s="10"/>
      <c r="VUQ67" s="10"/>
      <c r="VUR67" s="10"/>
      <c r="VUS67" s="10"/>
      <c r="VUT67" s="10"/>
      <c r="VUU67" s="10"/>
      <c r="VUV67" s="10"/>
      <c r="VUW67" s="10"/>
      <c r="VUX67" s="10"/>
      <c r="VUY67" s="10"/>
      <c r="VUZ67" s="10"/>
      <c r="VVA67" s="10"/>
      <c r="VVB67" s="10"/>
      <c r="VVC67" s="10"/>
      <c r="VVD67" s="10"/>
      <c r="VVE67" s="10"/>
      <c r="VVF67" s="10"/>
      <c r="VVG67" s="10"/>
      <c r="VVH67" s="10"/>
      <c r="VVI67" s="10"/>
      <c r="VVJ67" s="10"/>
      <c r="VVK67" s="10"/>
      <c r="VVL67" s="10"/>
      <c r="VVM67" s="10"/>
      <c r="VVN67" s="10"/>
      <c r="VVO67" s="10"/>
      <c r="VVP67" s="10"/>
      <c r="VVQ67" s="10"/>
      <c r="VVR67" s="10"/>
      <c r="VVS67" s="10"/>
      <c r="VVT67" s="10"/>
      <c r="VVU67" s="10"/>
      <c r="VVV67" s="10"/>
      <c r="VVW67" s="10"/>
      <c r="VVX67" s="10"/>
      <c r="VVY67" s="10"/>
      <c r="VVZ67" s="10"/>
      <c r="VWA67" s="10"/>
      <c r="VWB67" s="10"/>
      <c r="VWC67" s="10"/>
      <c r="VWD67" s="10"/>
      <c r="VWE67" s="10"/>
      <c r="VWF67" s="10"/>
      <c r="VWG67" s="10"/>
      <c r="VWH67" s="10"/>
      <c r="VWI67" s="10"/>
      <c r="VWJ67" s="10"/>
      <c r="VWK67" s="10"/>
      <c r="VWL67" s="10"/>
      <c r="VWM67" s="10"/>
      <c r="VWN67" s="10"/>
      <c r="VWO67" s="10"/>
      <c r="VWP67" s="10"/>
      <c r="VWQ67" s="10"/>
      <c r="VWR67" s="10"/>
      <c r="VWS67" s="10"/>
      <c r="VWT67" s="10"/>
      <c r="VWU67" s="10"/>
      <c r="VWV67" s="10"/>
      <c r="VWW67" s="10"/>
      <c r="VWX67" s="10"/>
      <c r="VWY67" s="10"/>
      <c r="VWZ67" s="10"/>
      <c r="VXA67" s="10"/>
      <c r="VXB67" s="10"/>
      <c r="VXC67" s="10"/>
      <c r="VXD67" s="10"/>
      <c r="VXE67" s="10"/>
      <c r="VXF67" s="10"/>
      <c r="VXG67" s="10"/>
      <c r="VXH67" s="10"/>
      <c r="VXI67" s="10"/>
      <c r="VXJ67" s="10"/>
      <c r="VXK67" s="10"/>
      <c r="VXL67" s="10"/>
      <c r="VXM67" s="10"/>
      <c r="VXN67" s="10"/>
      <c r="VXO67" s="10"/>
      <c r="VXP67" s="10"/>
      <c r="VXQ67" s="10"/>
      <c r="VXR67" s="10"/>
      <c r="VXS67" s="10"/>
      <c r="VXT67" s="10"/>
      <c r="VXU67" s="10"/>
      <c r="VXV67" s="10"/>
      <c r="VXW67" s="10"/>
      <c r="VXX67" s="10"/>
      <c r="VXY67" s="10"/>
      <c r="VXZ67" s="10"/>
      <c r="VYA67" s="10"/>
      <c r="VYB67" s="10"/>
      <c r="VYC67" s="10"/>
      <c r="VYD67" s="10"/>
      <c r="VYE67" s="10"/>
      <c r="VYF67" s="10"/>
      <c r="VYG67" s="10"/>
      <c r="VYH67" s="10"/>
      <c r="VYI67" s="10"/>
      <c r="VYJ67" s="10"/>
      <c r="VYK67" s="10"/>
      <c r="VYL67" s="10"/>
      <c r="VYM67" s="10"/>
      <c r="VYN67" s="10"/>
      <c r="VYO67" s="10"/>
      <c r="VYP67" s="10"/>
      <c r="VYQ67" s="10"/>
      <c r="VYR67" s="10"/>
      <c r="VYS67" s="10"/>
      <c r="VYT67" s="10"/>
      <c r="VYU67" s="10"/>
      <c r="VYV67" s="10"/>
      <c r="VYW67" s="10"/>
      <c r="VYX67" s="10"/>
      <c r="VYY67" s="10"/>
      <c r="VYZ67" s="10"/>
      <c r="VZA67" s="10"/>
      <c r="VZB67" s="10"/>
      <c r="VZC67" s="10"/>
      <c r="VZD67" s="10"/>
      <c r="VZE67" s="10"/>
      <c r="VZF67" s="10"/>
      <c r="VZG67" s="10"/>
      <c r="VZH67" s="10"/>
      <c r="VZI67" s="10"/>
      <c r="VZJ67" s="10"/>
      <c r="VZK67" s="10"/>
      <c r="VZL67" s="10"/>
      <c r="VZM67" s="10"/>
      <c r="VZN67" s="10"/>
      <c r="VZO67" s="10"/>
      <c r="VZP67" s="10"/>
      <c r="VZQ67" s="10"/>
      <c r="VZR67" s="10"/>
      <c r="VZS67" s="10"/>
      <c r="VZT67" s="10"/>
      <c r="VZU67" s="10"/>
      <c r="VZV67" s="10"/>
      <c r="VZW67" s="10"/>
      <c r="VZX67" s="10"/>
      <c r="VZY67" s="10"/>
      <c r="VZZ67" s="10"/>
      <c r="WAA67" s="10"/>
      <c r="WAB67" s="10"/>
      <c r="WAC67" s="10"/>
      <c r="WAD67" s="10"/>
      <c r="WAE67" s="10"/>
      <c r="WAF67" s="10"/>
      <c r="WAG67" s="10"/>
      <c r="WAH67" s="10"/>
      <c r="WAI67" s="10"/>
      <c r="WAJ67" s="10"/>
      <c r="WAK67" s="10"/>
      <c r="WAL67" s="10"/>
      <c r="WAM67" s="10"/>
      <c r="WAN67" s="10"/>
      <c r="WAO67" s="10"/>
      <c r="WAP67" s="10"/>
      <c r="WAQ67" s="10"/>
      <c r="WAR67" s="10"/>
      <c r="WAS67" s="10"/>
      <c r="WAT67" s="10"/>
      <c r="WAU67" s="10"/>
      <c r="WAV67" s="10"/>
      <c r="WAW67" s="10"/>
      <c r="WAX67" s="10"/>
      <c r="WAY67" s="10"/>
      <c r="WAZ67" s="10"/>
      <c r="WBA67" s="10"/>
      <c r="WBB67" s="10"/>
      <c r="WBC67" s="10"/>
      <c r="WBD67" s="10"/>
      <c r="WBE67" s="10"/>
      <c r="WBF67" s="10"/>
      <c r="WBG67" s="10"/>
      <c r="WBH67" s="10"/>
      <c r="WBI67" s="10"/>
      <c r="WBJ67" s="10"/>
      <c r="WBK67" s="10"/>
      <c r="WBL67" s="10"/>
      <c r="WBM67" s="10"/>
      <c r="WBN67" s="10"/>
      <c r="WBO67" s="10"/>
      <c r="WBP67" s="10"/>
      <c r="WBQ67" s="10"/>
      <c r="WBR67" s="10"/>
      <c r="WBS67" s="10"/>
      <c r="WBT67" s="10"/>
      <c r="WBU67" s="10"/>
      <c r="WBV67" s="10"/>
      <c r="WBW67" s="10"/>
      <c r="WBX67" s="10"/>
      <c r="WBY67" s="10"/>
      <c r="WBZ67" s="10"/>
      <c r="WCA67" s="10"/>
      <c r="WCB67" s="10"/>
      <c r="WCC67" s="10"/>
      <c r="WCD67" s="10"/>
      <c r="WCE67" s="10"/>
      <c r="WCF67" s="10"/>
      <c r="WCG67" s="10"/>
      <c r="WCH67" s="10"/>
      <c r="WCI67" s="10"/>
      <c r="WCJ67" s="10"/>
      <c r="WCK67" s="10"/>
      <c r="WCL67" s="10"/>
      <c r="WCM67" s="10"/>
      <c r="WCN67" s="10"/>
      <c r="WCO67" s="10"/>
      <c r="WCP67" s="10"/>
      <c r="WCQ67" s="10"/>
      <c r="WCR67" s="10"/>
      <c r="WCS67" s="10"/>
      <c r="WCT67" s="10"/>
      <c r="WCU67" s="10"/>
      <c r="WCV67" s="10"/>
      <c r="WCW67" s="10"/>
      <c r="WCX67" s="10"/>
      <c r="WCY67" s="10"/>
      <c r="WCZ67" s="10"/>
      <c r="WDA67" s="10"/>
      <c r="WDB67" s="10"/>
      <c r="WDC67" s="10"/>
      <c r="WDD67" s="10"/>
      <c r="WDE67" s="10"/>
      <c r="WDF67" s="10"/>
      <c r="WDG67" s="10"/>
      <c r="WDH67" s="10"/>
      <c r="WDI67" s="10"/>
      <c r="WDJ67" s="10"/>
      <c r="WDK67" s="10"/>
      <c r="WDL67" s="10"/>
      <c r="WDM67" s="10"/>
      <c r="WDN67" s="10"/>
      <c r="WDO67" s="10"/>
      <c r="WDP67" s="10"/>
      <c r="WDQ67" s="10"/>
      <c r="WDR67" s="10"/>
      <c r="WDS67" s="10"/>
      <c r="WDT67" s="10"/>
      <c r="WDU67" s="10"/>
      <c r="WDV67" s="10"/>
      <c r="WDW67" s="10"/>
      <c r="WDX67" s="10"/>
      <c r="WDY67" s="10"/>
      <c r="WDZ67" s="10"/>
      <c r="WEA67" s="10"/>
      <c r="WEB67" s="10"/>
      <c r="WEC67" s="10"/>
      <c r="WED67" s="10"/>
      <c r="WEE67" s="10"/>
      <c r="WEF67" s="10"/>
      <c r="WEG67" s="10"/>
      <c r="WEH67" s="10"/>
      <c r="WEI67" s="10"/>
      <c r="WEJ67" s="10"/>
      <c r="WEK67" s="10"/>
      <c r="WEL67" s="10"/>
      <c r="WEM67" s="10"/>
      <c r="WEN67" s="10"/>
      <c r="WEO67" s="10"/>
      <c r="WEP67" s="10"/>
      <c r="WEQ67" s="10"/>
      <c r="WER67" s="10"/>
      <c r="WES67" s="10"/>
      <c r="WET67" s="10"/>
      <c r="WEU67" s="10"/>
      <c r="WEV67" s="10"/>
      <c r="WEW67" s="10"/>
      <c r="WEX67" s="10"/>
      <c r="WEY67" s="10"/>
      <c r="WEZ67" s="10"/>
      <c r="WFA67" s="10"/>
      <c r="WFB67" s="10"/>
      <c r="WFC67" s="10"/>
      <c r="WFD67" s="10"/>
      <c r="WFE67" s="10"/>
      <c r="WFF67" s="10"/>
      <c r="WFG67" s="10"/>
      <c r="WFH67" s="10"/>
      <c r="WFI67" s="10"/>
      <c r="WFJ67" s="10"/>
      <c r="WFK67" s="10"/>
      <c r="WFL67" s="10"/>
      <c r="WFM67" s="10"/>
      <c r="WFN67" s="10"/>
      <c r="WFO67" s="10"/>
      <c r="WFP67" s="10"/>
      <c r="WFQ67" s="10"/>
      <c r="WFR67" s="10"/>
      <c r="WFS67" s="10"/>
      <c r="WFT67" s="10"/>
      <c r="WFU67" s="10"/>
      <c r="WFV67" s="10"/>
      <c r="WFW67" s="10"/>
      <c r="WFX67" s="10"/>
      <c r="WFY67" s="10"/>
      <c r="WFZ67" s="10"/>
      <c r="WGA67" s="10"/>
      <c r="WGB67" s="10"/>
      <c r="WGC67" s="10"/>
      <c r="WGD67" s="10"/>
      <c r="WGE67" s="10"/>
      <c r="WGF67" s="10"/>
      <c r="WGG67" s="10"/>
      <c r="WGH67" s="10"/>
      <c r="WGI67" s="10"/>
      <c r="WGJ67" s="10"/>
      <c r="WGK67" s="10"/>
      <c r="WGL67" s="10"/>
      <c r="WGM67" s="10"/>
      <c r="WGN67" s="10"/>
      <c r="WGO67" s="10"/>
      <c r="WGP67" s="10"/>
      <c r="WGQ67" s="10"/>
      <c r="WGR67" s="10"/>
      <c r="WGS67" s="10"/>
      <c r="WGT67" s="10"/>
      <c r="WGU67" s="10"/>
      <c r="WGV67" s="10"/>
      <c r="WGW67" s="10"/>
      <c r="WGX67" s="10"/>
      <c r="WGY67" s="10"/>
      <c r="WGZ67" s="10"/>
      <c r="WHA67" s="10"/>
      <c r="WHB67" s="10"/>
      <c r="WHC67" s="10"/>
      <c r="WHD67" s="10"/>
      <c r="WHE67" s="10"/>
      <c r="WHF67" s="10"/>
      <c r="WHG67" s="10"/>
      <c r="WHH67" s="10"/>
      <c r="WHI67" s="10"/>
      <c r="WHJ67" s="10"/>
      <c r="WHK67" s="10"/>
      <c r="WHL67" s="10"/>
      <c r="WHM67" s="10"/>
      <c r="WHN67" s="10"/>
      <c r="WHO67" s="10"/>
      <c r="WHP67" s="10"/>
      <c r="WHQ67" s="10"/>
      <c r="WHR67" s="10"/>
      <c r="WHS67" s="10"/>
      <c r="WHT67" s="10"/>
      <c r="WHU67" s="10"/>
      <c r="WHV67" s="10"/>
      <c r="WHW67" s="10"/>
      <c r="WHX67" s="10"/>
      <c r="WHY67" s="10"/>
      <c r="WHZ67" s="10"/>
      <c r="WIA67" s="10"/>
      <c r="WIB67" s="10"/>
      <c r="WIC67" s="10"/>
      <c r="WID67" s="10"/>
      <c r="WIE67" s="10"/>
      <c r="WIF67" s="10"/>
      <c r="WIG67" s="10"/>
      <c r="WIH67" s="10"/>
      <c r="WII67" s="10"/>
      <c r="WIJ67" s="10"/>
      <c r="WIK67" s="10"/>
      <c r="WIL67" s="10"/>
      <c r="WIM67" s="10"/>
      <c r="WIN67" s="10"/>
      <c r="WIO67" s="10"/>
      <c r="WIP67" s="10"/>
      <c r="WIQ67" s="10"/>
      <c r="WIR67" s="10"/>
      <c r="WIS67" s="10"/>
      <c r="WIT67" s="10"/>
      <c r="WIU67" s="10"/>
      <c r="WIV67" s="10"/>
      <c r="WIW67" s="10"/>
      <c r="WIX67" s="10"/>
      <c r="WIY67" s="10"/>
      <c r="WIZ67" s="10"/>
      <c r="WJA67" s="10"/>
      <c r="WJB67" s="10"/>
      <c r="WJC67" s="10"/>
      <c r="WJD67" s="10"/>
      <c r="WJE67" s="10"/>
      <c r="WJF67" s="10"/>
      <c r="WJG67" s="10"/>
      <c r="WJH67" s="10"/>
      <c r="WJI67" s="10"/>
      <c r="WJJ67" s="10"/>
      <c r="WJK67" s="10"/>
      <c r="WJL67" s="10"/>
      <c r="WJM67" s="10"/>
      <c r="WJN67" s="10"/>
      <c r="WJO67" s="10"/>
      <c r="WJP67" s="10"/>
      <c r="WJQ67" s="10"/>
      <c r="WJR67" s="10"/>
      <c r="WJS67" s="10"/>
      <c r="WJT67" s="10"/>
      <c r="WJU67" s="10"/>
      <c r="WJV67" s="10"/>
      <c r="WJW67" s="10"/>
      <c r="WJX67" s="10"/>
      <c r="WJY67" s="10"/>
      <c r="WJZ67" s="10"/>
      <c r="WKA67" s="10"/>
      <c r="WKB67" s="10"/>
      <c r="WKC67" s="10"/>
      <c r="WKD67" s="10"/>
      <c r="WKE67" s="10"/>
      <c r="WKF67" s="10"/>
      <c r="WKG67" s="10"/>
      <c r="WKH67" s="10"/>
      <c r="WKI67" s="10"/>
      <c r="WKJ67" s="10"/>
      <c r="WKK67" s="10"/>
      <c r="WKL67" s="10"/>
      <c r="WKM67" s="10"/>
      <c r="WKN67" s="10"/>
      <c r="WKO67" s="10"/>
      <c r="WKP67" s="10"/>
      <c r="WKQ67" s="10"/>
      <c r="WKR67" s="10"/>
      <c r="WKS67" s="10"/>
      <c r="WKT67" s="10"/>
      <c r="WKU67" s="10"/>
      <c r="WKV67" s="10"/>
      <c r="WKW67" s="10"/>
      <c r="WKX67" s="10"/>
      <c r="WKY67" s="10"/>
      <c r="WKZ67" s="10"/>
      <c r="WLA67" s="10"/>
      <c r="WLB67" s="10"/>
      <c r="WLC67" s="10"/>
      <c r="WLD67" s="10"/>
      <c r="WLE67" s="10"/>
      <c r="WLF67" s="10"/>
      <c r="WLG67" s="10"/>
      <c r="WLH67" s="10"/>
      <c r="WLI67" s="10"/>
      <c r="WLJ67" s="10"/>
      <c r="WLK67" s="10"/>
      <c r="WLL67" s="10"/>
      <c r="WLM67" s="10"/>
      <c r="WLN67" s="10"/>
      <c r="WLO67" s="10"/>
      <c r="WLP67" s="10"/>
      <c r="WLQ67" s="10"/>
      <c r="WLR67" s="10"/>
      <c r="WLS67" s="10"/>
      <c r="WLT67" s="10"/>
      <c r="WLU67" s="10"/>
      <c r="WLV67" s="10"/>
      <c r="WLW67" s="10"/>
      <c r="WLX67" s="10"/>
      <c r="WLY67" s="10"/>
      <c r="WLZ67" s="10"/>
      <c r="WMA67" s="10"/>
      <c r="WMB67" s="10"/>
      <c r="WMC67" s="10"/>
      <c r="WMD67" s="10"/>
      <c r="WME67" s="10"/>
      <c r="WMF67" s="10"/>
      <c r="WMG67" s="10"/>
      <c r="WMH67" s="10"/>
      <c r="WMI67" s="10"/>
      <c r="WMJ67" s="10"/>
      <c r="WMK67" s="10"/>
      <c r="WML67" s="10"/>
      <c r="WMM67" s="10"/>
      <c r="WMN67" s="10"/>
      <c r="WMO67" s="10"/>
      <c r="WMP67" s="10"/>
      <c r="WMQ67" s="10"/>
      <c r="WMR67" s="10"/>
      <c r="WMS67" s="10"/>
      <c r="WMT67" s="10"/>
      <c r="WMU67" s="10"/>
      <c r="WMV67" s="10"/>
      <c r="WMW67" s="10"/>
      <c r="WMX67" s="10"/>
      <c r="WMY67" s="10"/>
      <c r="WMZ67" s="10"/>
      <c r="WNA67" s="10"/>
      <c r="WNB67" s="10"/>
      <c r="WNC67" s="10"/>
      <c r="WND67" s="10"/>
      <c r="WNE67" s="10"/>
      <c r="WNF67" s="10"/>
      <c r="WNG67" s="10"/>
      <c r="WNH67" s="10"/>
      <c r="WNI67" s="10"/>
      <c r="WNJ67" s="10"/>
      <c r="WNK67" s="10"/>
      <c r="WNL67" s="10"/>
      <c r="WNM67" s="10"/>
      <c r="WNN67" s="10"/>
      <c r="WNO67" s="10"/>
      <c r="WNP67" s="10"/>
      <c r="WNQ67" s="10"/>
      <c r="WNR67" s="10"/>
      <c r="WNS67" s="10"/>
      <c r="WNT67" s="10"/>
      <c r="WNU67" s="10"/>
      <c r="WNV67" s="10"/>
      <c r="WNW67" s="10"/>
      <c r="WNX67" s="10"/>
      <c r="WNY67" s="10"/>
      <c r="WNZ67" s="10"/>
      <c r="WOA67" s="10"/>
      <c r="WOB67" s="10"/>
      <c r="WOC67" s="10"/>
      <c r="WOD67" s="10"/>
      <c r="WOE67" s="10"/>
      <c r="WOF67" s="10"/>
      <c r="WOG67" s="10"/>
      <c r="WOH67" s="10"/>
      <c r="WOI67" s="10"/>
      <c r="WOJ67" s="10"/>
      <c r="WOK67" s="10"/>
      <c r="WOL67" s="10"/>
      <c r="WOM67" s="10"/>
      <c r="WON67" s="10"/>
      <c r="WOO67" s="10"/>
      <c r="WOP67" s="10"/>
      <c r="WOQ67" s="10"/>
      <c r="WOR67" s="10"/>
      <c r="WOS67" s="10"/>
      <c r="WOT67" s="10"/>
      <c r="WOU67" s="10"/>
      <c r="WOV67" s="10"/>
      <c r="WOW67" s="10"/>
      <c r="WOX67" s="10"/>
      <c r="WOY67" s="10"/>
      <c r="WOZ67" s="10"/>
      <c r="WPA67" s="10"/>
      <c r="WPB67" s="10"/>
      <c r="WPC67" s="10"/>
      <c r="WPD67" s="10"/>
      <c r="WPE67" s="10"/>
      <c r="WPF67" s="10"/>
      <c r="WPG67" s="10"/>
      <c r="WPH67" s="10"/>
      <c r="WPI67" s="10"/>
      <c r="WPJ67" s="10"/>
      <c r="WPK67" s="10"/>
      <c r="WPL67" s="10"/>
      <c r="WPM67" s="10"/>
      <c r="WPN67" s="10"/>
      <c r="WPO67" s="10"/>
      <c r="WPP67" s="10"/>
      <c r="WPQ67" s="10"/>
      <c r="WPR67" s="10"/>
      <c r="WPS67" s="10"/>
      <c r="WPT67" s="10"/>
      <c r="WPU67" s="10"/>
      <c r="WPV67" s="10"/>
      <c r="WPW67" s="10"/>
      <c r="WPX67" s="10"/>
      <c r="WPY67" s="10"/>
      <c r="WPZ67" s="10"/>
      <c r="WQA67" s="10"/>
      <c r="WQB67" s="10"/>
      <c r="WQC67" s="10"/>
      <c r="WQD67" s="10"/>
      <c r="WQE67" s="10"/>
      <c r="WQF67" s="10"/>
      <c r="WQG67" s="10"/>
      <c r="WQH67" s="10"/>
      <c r="WQI67" s="10"/>
      <c r="WQJ67" s="10"/>
      <c r="WQK67" s="10"/>
      <c r="WQL67" s="10"/>
      <c r="WQM67" s="10"/>
      <c r="WQN67" s="10"/>
      <c r="WQO67" s="10"/>
      <c r="WQP67" s="10"/>
      <c r="WQQ67" s="10"/>
      <c r="WQR67" s="10"/>
      <c r="WQS67" s="10"/>
      <c r="WQT67" s="10"/>
      <c r="WQU67" s="10"/>
      <c r="WQV67" s="10"/>
      <c r="WQW67" s="10"/>
      <c r="WQX67" s="10"/>
      <c r="WQY67" s="10"/>
      <c r="WQZ67" s="10"/>
      <c r="WRA67" s="10"/>
      <c r="WRB67" s="10"/>
      <c r="WRC67" s="10"/>
      <c r="WRD67" s="10"/>
      <c r="WRE67" s="10"/>
      <c r="WRF67" s="10"/>
      <c r="WRG67" s="10"/>
      <c r="WRH67" s="10"/>
      <c r="WRI67" s="10"/>
      <c r="WRJ67" s="10"/>
      <c r="WRK67" s="10"/>
      <c r="WRL67" s="10"/>
      <c r="WRM67" s="10"/>
      <c r="WRN67" s="10"/>
      <c r="WRO67" s="10"/>
      <c r="WRP67" s="10"/>
      <c r="WRQ67" s="10"/>
      <c r="WRR67" s="10"/>
      <c r="WRS67" s="10"/>
      <c r="WRT67" s="10"/>
      <c r="WRU67" s="10"/>
      <c r="WRV67" s="10"/>
      <c r="WRW67" s="10"/>
      <c r="WRX67" s="10"/>
      <c r="WRY67" s="10"/>
      <c r="WRZ67" s="10"/>
      <c r="WSA67" s="10"/>
      <c r="WSB67" s="10"/>
      <c r="WSC67" s="10"/>
      <c r="WSD67" s="10"/>
      <c r="WSE67" s="10"/>
      <c r="WSF67" s="10"/>
      <c r="WSG67" s="10"/>
      <c r="WSH67" s="10"/>
      <c r="WSI67" s="10"/>
      <c r="WSJ67" s="10"/>
      <c r="WSK67" s="10"/>
      <c r="WSL67" s="10"/>
      <c r="WSM67" s="10"/>
      <c r="WSN67" s="10"/>
      <c r="WSO67" s="10"/>
      <c r="WSP67" s="10"/>
      <c r="WSQ67" s="10"/>
      <c r="WSR67" s="10"/>
      <c r="WSS67" s="10"/>
      <c r="WST67" s="10"/>
      <c r="WSU67" s="10"/>
      <c r="WSV67" s="10"/>
      <c r="WSW67" s="10"/>
      <c r="WSX67" s="10"/>
      <c r="WSY67" s="10"/>
      <c r="WSZ67" s="10"/>
      <c r="WTA67" s="10"/>
      <c r="WTB67" s="10"/>
      <c r="WTC67" s="10"/>
      <c r="WTD67" s="10"/>
      <c r="WTE67" s="10"/>
      <c r="WTF67" s="10"/>
      <c r="WTG67" s="10"/>
      <c r="WTH67" s="10"/>
      <c r="WTI67" s="10"/>
      <c r="WTJ67" s="10"/>
      <c r="WTK67" s="10"/>
      <c r="WTL67" s="10"/>
      <c r="WTM67" s="10"/>
      <c r="WTN67" s="10"/>
      <c r="WTO67" s="10"/>
      <c r="WTP67" s="10"/>
      <c r="WTQ67" s="10"/>
      <c r="WTR67" s="10"/>
      <c r="WTS67" s="10"/>
      <c r="WTT67" s="10"/>
      <c r="WTU67" s="10"/>
      <c r="WTV67" s="10"/>
      <c r="WTW67" s="10"/>
      <c r="WTX67" s="10"/>
      <c r="WTY67" s="10"/>
      <c r="WTZ67" s="10"/>
      <c r="WUA67" s="10"/>
      <c r="WUB67" s="10"/>
      <c r="WUC67" s="10"/>
      <c r="WUD67" s="10"/>
      <c r="WUE67" s="10"/>
      <c r="WUF67" s="10"/>
      <c r="WUG67" s="10"/>
      <c r="WUH67" s="10"/>
      <c r="WUI67" s="10"/>
      <c r="WUJ67" s="10"/>
      <c r="WUK67" s="10"/>
      <c r="WUL67" s="10"/>
      <c r="WUM67" s="10"/>
      <c r="WUN67" s="10"/>
      <c r="WUO67" s="10"/>
      <c r="WUP67" s="10"/>
      <c r="WUQ67" s="10"/>
      <c r="WUR67" s="10"/>
      <c r="WUS67" s="10"/>
      <c r="WUT67" s="10"/>
      <c r="WUU67" s="10"/>
      <c r="WUV67" s="10"/>
      <c r="WUW67" s="10"/>
      <c r="WUX67" s="10"/>
      <c r="WUY67" s="10"/>
      <c r="WUZ67" s="10"/>
      <c r="WVA67" s="10"/>
      <c r="WVB67" s="10"/>
      <c r="WVC67" s="10"/>
      <c r="WVD67" s="10"/>
      <c r="WVE67" s="10"/>
      <c r="WVF67" s="10"/>
      <c r="WVG67" s="10"/>
      <c r="WVH67" s="10"/>
      <c r="WVI67" s="10"/>
      <c r="WVJ67" s="10"/>
      <c r="WVK67" s="10"/>
      <c r="WVL67" s="10"/>
      <c r="WVM67" s="10"/>
      <c r="WVN67" s="10"/>
      <c r="WVO67" s="10"/>
      <c r="WVP67" s="10"/>
      <c r="WVQ67" s="10"/>
      <c r="WVR67" s="10"/>
      <c r="WVS67" s="10"/>
      <c r="WVT67" s="10"/>
    </row>
    <row r="68" spans="2:16140" s="242" customFormat="1" ht="21" customHeight="1">
      <c r="B68" s="241"/>
      <c r="C68" s="332"/>
      <c r="D68" s="337"/>
      <c r="F68" s="244"/>
      <c r="G68" s="245"/>
      <c r="H68" s="333"/>
      <c r="I68" s="333"/>
      <c r="J68" s="333"/>
      <c r="K68" s="333"/>
      <c r="L68" s="334"/>
      <c r="M68" s="10"/>
      <c r="N68" s="18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  <c r="HE68" s="10"/>
      <c r="HF68" s="10"/>
      <c r="HG68" s="10"/>
      <c r="HH68" s="10"/>
      <c r="HI68" s="10"/>
      <c r="HJ68" s="10"/>
      <c r="HK68" s="10"/>
      <c r="HL68" s="10"/>
      <c r="HM68" s="10"/>
      <c r="HN68" s="10"/>
      <c r="HO68" s="10"/>
      <c r="HP68" s="10"/>
      <c r="HQ68" s="10"/>
      <c r="HR68" s="10"/>
      <c r="HS68" s="10"/>
      <c r="HT68" s="10"/>
      <c r="HU68" s="10"/>
      <c r="HV68" s="10"/>
      <c r="HW68" s="10"/>
      <c r="HX68" s="10"/>
      <c r="HY68" s="10"/>
      <c r="HZ68" s="10"/>
      <c r="IA68" s="10"/>
      <c r="IB68" s="10"/>
      <c r="IC68" s="10"/>
      <c r="ID68" s="10"/>
      <c r="IE68" s="10"/>
      <c r="IF68" s="10"/>
      <c r="IG68" s="10"/>
      <c r="IH68" s="10"/>
      <c r="II68" s="10"/>
      <c r="IJ68" s="10"/>
      <c r="IK68" s="10"/>
      <c r="IL68" s="10"/>
      <c r="IM68" s="10"/>
      <c r="IN68" s="10"/>
      <c r="IO68" s="10"/>
      <c r="IP68" s="10"/>
      <c r="IQ68" s="10"/>
      <c r="IR68" s="10"/>
      <c r="IS68" s="10"/>
      <c r="IT68" s="10"/>
      <c r="IU68" s="10"/>
      <c r="IV68" s="10"/>
      <c r="IW68" s="10"/>
      <c r="IX68" s="10"/>
      <c r="IY68" s="10"/>
      <c r="IZ68" s="10"/>
      <c r="JA68" s="10"/>
      <c r="JB68" s="10"/>
      <c r="JC68" s="10"/>
      <c r="JD68" s="10"/>
      <c r="JE68" s="10"/>
      <c r="JF68" s="10"/>
      <c r="JG68" s="10"/>
      <c r="JH68" s="10"/>
      <c r="JI68" s="10"/>
      <c r="JJ68" s="10"/>
      <c r="JK68" s="10"/>
      <c r="JL68" s="10"/>
      <c r="JM68" s="10"/>
      <c r="JN68" s="10"/>
      <c r="JO68" s="10"/>
      <c r="JP68" s="10"/>
      <c r="JQ68" s="10"/>
      <c r="JR68" s="10"/>
      <c r="JS68" s="10"/>
      <c r="JT68" s="10"/>
      <c r="JU68" s="10"/>
      <c r="JV68" s="10"/>
      <c r="JW68" s="10"/>
      <c r="JX68" s="10"/>
      <c r="JY68" s="10"/>
      <c r="JZ68" s="10"/>
      <c r="KA68" s="10"/>
      <c r="KB68" s="10"/>
      <c r="KC68" s="10"/>
      <c r="KD68" s="10"/>
      <c r="KE68" s="10"/>
      <c r="KF68" s="10"/>
      <c r="KG68" s="10"/>
      <c r="KH68" s="10"/>
      <c r="KI68" s="10"/>
      <c r="KJ68" s="10"/>
      <c r="KK68" s="10"/>
      <c r="KL68" s="10"/>
      <c r="KM68" s="10"/>
      <c r="KN68" s="10"/>
      <c r="KO68" s="10"/>
      <c r="KP68" s="10"/>
      <c r="KQ68" s="10"/>
      <c r="KR68" s="10"/>
      <c r="KS68" s="10"/>
      <c r="KT68" s="10"/>
      <c r="KU68" s="10"/>
      <c r="KV68" s="10"/>
      <c r="KW68" s="10"/>
      <c r="KX68" s="10"/>
      <c r="KY68" s="10"/>
      <c r="KZ68" s="10"/>
      <c r="LA68" s="10"/>
      <c r="LB68" s="10"/>
      <c r="LC68" s="10"/>
      <c r="LD68" s="10"/>
      <c r="LE68" s="10"/>
      <c r="LF68" s="10"/>
      <c r="LG68" s="10"/>
      <c r="LH68" s="10"/>
      <c r="LI68" s="10"/>
      <c r="LJ68" s="10"/>
      <c r="LK68" s="10"/>
      <c r="LL68" s="10"/>
      <c r="LM68" s="10"/>
      <c r="LN68" s="10"/>
      <c r="LO68" s="10"/>
      <c r="LP68" s="10"/>
      <c r="LQ68" s="10"/>
      <c r="LR68" s="10"/>
      <c r="LS68" s="10"/>
      <c r="LT68" s="10"/>
      <c r="LU68" s="10"/>
      <c r="LV68" s="10"/>
      <c r="LW68" s="10"/>
      <c r="LX68" s="10"/>
      <c r="LY68" s="10"/>
      <c r="LZ68" s="10"/>
      <c r="MA68" s="10"/>
      <c r="MB68" s="10"/>
      <c r="MC68" s="10"/>
      <c r="MD68" s="10"/>
      <c r="ME68" s="10"/>
      <c r="MF68" s="10"/>
      <c r="MG68" s="10"/>
      <c r="MH68" s="10"/>
      <c r="MI68" s="10"/>
      <c r="MJ68" s="10"/>
      <c r="MK68" s="10"/>
      <c r="ML68" s="10"/>
      <c r="MM68" s="10"/>
      <c r="MN68" s="10"/>
      <c r="MO68" s="10"/>
      <c r="MP68" s="10"/>
      <c r="MQ68" s="10"/>
      <c r="MR68" s="10"/>
      <c r="MS68" s="10"/>
      <c r="MT68" s="10"/>
      <c r="MU68" s="10"/>
      <c r="MV68" s="10"/>
      <c r="MW68" s="10"/>
      <c r="MX68" s="10"/>
      <c r="MY68" s="10"/>
      <c r="MZ68" s="10"/>
      <c r="NA68" s="10"/>
      <c r="NB68" s="10"/>
      <c r="NC68" s="10"/>
      <c r="ND68" s="10"/>
      <c r="NE68" s="10"/>
      <c r="NF68" s="10"/>
      <c r="NG68" s="10"/>
      <c r="NH68" s="10"/>
      <c r="NI68" s="10"/>
      <c r="NJ68" s="10"/>
      <c r="NK68" s="10"/>
      <c r="NL68" s="10"/>
      <c r="NM68" s="10"/>
      <c r="NN68" s="10"/>
      <c r="NO68" s="10"/>
      <c r="NP68" s="10"/>
      <c r="NQ68" s="10"/>
      <c r="NR68" s="10"/>
      <c r="NS68" s="10"/>
      <c r="NT68" s="10"/>
      <c r="NU68" s="10"/>
      <c r="NV68" s="10"/>
      <c r="NW68" s="10"/>
      <c r="NX68" s="10"/>
      <c r="NY68" s="10"/>
      <c r="NZ68" s="10"/>
      <c r="OA68" s="10"/>
      <c r="OB68" s="10"/>
      <c r="OC68" s="10"/>
      <c r="OD68" s="10"/>
      <c r="OE68" s="10"/>
      <c r="OF68" s="10"/>
      <c r="OG68" s="10"/>
      <c r="OH68" s="10"/>
      <c r="OI68" s="10"/>
      <c r="OJ68" s="10"/>
      <c r="OK68" s="10"/>
      <c r="OL68" s="10"/>
      <c r="OM68" s="10"/>
      <c r="ON68" s="10"/>
      <c r="OO68" s="10"/>
      <c r="OP68" s="10"/>
      <c r="OQ68" s="10"/>
      <c r="OR68" s="10"/>
      <c r="OS68" s="10"/>
      <c r="OT68" s="10"/>
      <c r="OU68" s="10"/>
      <c r="OV68" s="10"/>
      <c r="OW68" s="10"/>
      <c r="OX68" s="10"/>
      <c r="OY68" s="10"/>
      <c r="OZ68" s="10"/>
      <c r="PA68" s="10"/>
      <c r="PB68" s="10"/>
      <c r="PC68" s="10"/>
      <c r="PD68" s="10"/>
      <c r="PE68" s="10"/>
      <c r="PF68" s="10"/>
      <c r="PG68" s="10"/>
      <c r="PH68" s="10"/>
      <c r="PI68" s="10"/>
      <c r="PJ68" s="10"/>
      <c r="PK68" s="10"/>
      <c r="PL68" s="10"/>
      <c r="PM68" s="10"/>
      <c r="PN68" s="10"/>
      <c r="PO68" s="10"/>
      <c r="PP68" s="10"/>
      <c r="PQ68" s="10"/>
      <c r="PR68" s="10"/>
      <c r="PS68" s="10"/>
      <c r="PT68" s="10"/>
      <c r="PU68" s="10"/>
      <c r="PV68" s="10"/>
      <c r="PW68" s="10"/>
      <c r="PX68" s="10"/>
      <c r="PY68" s="10"/>
      <c r="PZ68" s="10"/>
      <c r="QA68" s="10"/>
      <c r="QB68" s="10"/>
      <c r="QC68" s="10"/>
      <c r="QD68" s="10"/>
      <c r="QE68" s="10"/>
      <c r="QF68" s="10"/>
      <c r="QG68" s="10"/>
      <c r="QH68" s="10"/>
      <c r="QI68" s="10"/>
      <c r="QJ68" s="10"/>
      <c r="QK68" s="10"/>
      <c r="QL68" s="10"/>
      <c r="QM68" s="10"/>
      <c r="QN68" s="10"/>
      <c r="QO68" s="10"/>
      <c r="QP68" s="10"/>
      <c r="QQ68" s="10"/>
      <c r="QR68" s="10"/>
      <c r="QS68" s="10"/>
      <c r="QT68" s="10"/>
      <c r="QU68" s="10"/>
      <c r="QV68" s="10"/>
      <c r="QW68" s="10"/>
      <c r="QX68" s="10"/>
      <c r="QY68" s="10"/>
      <c r="QZ68" s="10"/>
      <c r="RA68" s="10"/>
      <c r="RB68" s="10"/>
      <c r="RC68" s="10"/>
      <c r="RD68" s="10"/>
      <c r="RE68" s="10"/>
      <c r="RF68" s="10"/>
      <c r="RG68" s="10"/>
      <c r="RH68" s="10"/>
      <c r="RI68" s="10"/>
      <c r="RJ68" s="10"/>
      <c r="RK68" s="10"/>
      <c r="RL68" s="10"/>
      <c r="RM68" s="10"/>
      <c r="RN68" s="10"/>
      <c r="RO68" s="10"/>
      <c r="RP68" s="10"/>
      <c r="RQ68" s="10"/>
      <c r="RR68" s="10"/>
      <c r="RS68" s="10"/>
      <c r="RT68" s="10"/>
      <c r="RU68" s="10"/>
      <c r="RV68" s="10"/>
      <c r="RW68" s="10"/>
      <c r="RX68" s="10"/>
      <c r="RY68" s="10"/>
      <c r="RZ68" s="10"/>
      <c r="SA68" s="10"/>
      <c r="SB68" s="10"/>
      <c r="SC68" s="10"/>
      <c r="SD68" s="10"/>
      <c r="SE68" s="10"/>
      <c r="SF68" s="10"/>
      <c r="SG68" s="10"/>
      <c r="SH68" s="10"/>
      <c r="SI68" s="10"/>
      <c r="SJ68" s="10"/>
      <c r="SK68" s="10"/>
      <c r="SL68" s="10"/>
      <c r="SM68" s="10"/>
      <c r="SN68" s="10"/>
      <c r="SO68" s="10"/>
      <c r="SP68" s="10"/>
      <c r="SQ68" s="10"/>
      <c r="SR68" s="10"/>
      <c r="SS68" s="10"/>
      <c r="ST68" s="10"/>
      <c r="SU68" s="10"/>
      <c r="SV68" s="10"/>
      <c r="SW68" s="10"/>
      <c r="SX68" s="10"/>
      <c r="SY68" s="10"/>
      <c r="SZ68" s="10"/>
      <c r="TA68" s="10"/>
      <c r="TB68" s="10"/>
      <c r="TC68" s="10"/>
      <c r="TD68" s="10"/>
      <c r="TE68" s="10"/>
      <c r="TF68" s="10"/>
      <c r="TG68" s="10"/>
      <c r="TH68" s="10"/>
      <c r="TI68" s="10"/>
      <c r="TJ68" s="10"/>
      <c r="TK68" s="10"/>
      <c r="TL68" s="10"/>
      <c r="TM68" s="10"/>
      <c r="TN68" s="10"/>
      <c r="TO68" s="10"/>
      <c r="TP68" s="10"/>
      <c r="TQ68" s="10"/>
      <c r="TR68" s="10"/>
      <c r="TS68" s="10"/>
      <c r="TT68" s="10"/>
      <c r="TU68" s="10"/>
      <c r="TV68" s="10"/>
      <c r="TW68" s="10"/>
      <c r="TX68" s="10"/>
      <c r="TY68" s="10"/>
      <c r="TZ68" s="10"/>
      <c r="UA68" s="10"/>
      <c r="UB68" s="10"/>
      <c r="UC68" s="10"/>
      <c r="UD68" s="10"/>
      <c r="UE68" s="10"/>
      <c r="UF68" s="10"/>
      <c r="UG68" s="10"/>
      <c r="UH68" s="10"/>
      <c r="UI68" s="10"/>
      <c r="UJ68" s="10"/>
      <c r="UK68" s="10"/>
      <c r="UL68" s="10"/>
      <c r="UM68" s="10"/>
      <c r="UN68" s="10"/>
      <c r="UO68" s="10"/>
      <c r="UP68" s="10"/>
      <c r="UQ68" s="10"/>
      <c r="UR68" s="10"/>
      <c r="US68" s="10"/>
      <c r="UT68" s="10"/>
      <c r="UU68" s="10"/>
      <c r="UV68" s="10"/>
      <c r="UW68" s="10"/>
      <c r="UX68" s="10"/>
      <c r="UY68" s="10"/>
      <c r="UZ68" s="10"/>
      <c r="VA68" s="10"/>
      <c r="VB68" s="10"/>
      <c r="VC68" s="10"/>
      <c r="VD68" s="10"/>
      <c r="VE68" s="10"/>
      <c r="VF68" s="10"/>
      <c r="VG68" s="10"/>
      <c r="VH68" s="10"/>
      <c r="VI68" s="10"/>
      <c r="VJ68" s="10"/>
      <c r="VK68" s="10"/>
      <c r="VL68" s="10"/>
      <c r="VM68" s="10"/>
      <c r="VN68" s="10"/>
      <c r="VO68" s="10"/>
      <c r="VP68" s="10"/>
      <c r="VQ68" s="10"/>
      <c r="VR68" s="10"/>
      <c r="VS68" s="10"/>
      <c r="VT68" s="10"/>
      <c r="VU68" s="10"/>
      <c r="VV68" s="10"/>
      <c r="VW68" s="10"/>
      <c r="VX68" s="10"/>
      <c r="VY68" s="10"/>
      <c r="VZ68" s="10"/>
      <c r="WA68" s="10"/>
      <c r="WB68" s="10"/>
      <c r="WC68" s="10"/>
      <c r="WD68" s="10"/>
      <c r="WE68" s="10"/>
      <c r="WF68" s="10"/>
      <c r="WG68" s="10"/>
      <c r="WH68" s="10"/>
      <c r="WI68" s="10"/>
      <c r="WJ68" s="10"/>
      <c r="WK68" s="10"/>
      <c r="WL68" s="10"/>
      <c r="WM68" s="10"/>
      <c r="WN68" s="10"/>
      <c r="WO68" s="10"/>
      <c r="WP68" s="10"/>
      <c r="WQ68" s="10"/>
      <c r="WR68" s="10"/>
      <c r="WS68" s="10"/>
      <c r="WT68" s="10"/>
      <c r="WU68" s="10"/>
      <c r="WV68" s="10"/>
      <c r="WW68" s="10"/>
      <c r="WX68" s="10"/>
      <c r="WY68" s="10"/>
      <c r="WZ68" s="10"/>
      <c r="XA68" s="10"/>
      <c r="XB68" s="10"/>
      <c r="XC68" s="10"/>
      <c r="XD68" s="10"/>
      <c r="XE68" s="10"/>
      <c r="XF68" s="10"/>
      <c r="XG68" s="10"/>
      <c r="XH68" s="10"/>
      <c r="XI68" s="10"/>
      <c r="XJ68" s="10"/>
      <c r="XK68" s="10"/>
      <c r="XL68" s="10"/>
      <c r="XM68" s="10"/>
      <c r="XN68" s="10"/>
      <c r="XO68" s="10"/>
      <c r="XP68" s="10"/>
      <c r="XQ68" s="10"/>
      <c r="XR68" s="10"/>
      <c r="XS68" s="10"/>
      <c r="XT68" s="10"/>
      <c r="XU68" s="10"/>
      <c r="XV68" s="10"/>
      <c r="XW68" s="10"/>
      <c r="XX68" s="10"/>
      <c r="XY68" s="10"/>
      <c r="XZ68" s="10"/>
      <c r="YA68" s="10"/>
      <c r="YB68" s="10"/>
      <c r="YC68" s="10"/>
      <c r="YD68" s="10"/>
      <c r="YE68" s="10"/>
      <c r="YF68" s="10"/>
      <c r="YG68" s="10"/>
      <c r="YH68" s="10"/>
      <c r="YI68" s="10"/>
      <c r="YJ68" s="10"/>
      <c r="YK68" s="10"/>
      <c r="YL68" s="10"/>
      <c r="YM68" s="10"/>
      <c r="YN68" s="10"/>
      <c r="YO68" s="10"/>
      <c r="YP68" s="10"/>
      <c r="YQ68" s="10"/>
      <c r="YR68" s="10"/>
      <c r="YS68" s="10"/>
      <c r="YT68" s="10"/>
      <c r="YU68" s="10"/>
      <c r="YV68" s="10"/>
      <c r="YW68" s="10"/>
      <c r="YX68" s="10"/>
      <c r="YY68" s="10"/>
      <c r="YZ68" s="10"/>
      <c r="ZA68" s="10"/>
      <c r="ZB68" s="10"/>
      <c r="ZC68" s="10"/>
      <c r="ZD68" s="10"/>
      <c r="ZE68" s="10"/>
      <c r="ZF68" s="10"/>
      <c r="ZG68" s="10"/>
      <c r="ZH68" s="10"/>
      <c r="ZI68" s="10"/>
      <c r="ZJ68" s="10"/>
      <c r="ZK68" s="10"/>
      <c r="ZL68" s="10"/>
      <c r="ZM68" s="10"/>
      <c r="ZN68" s="10"/>
      <c r="ZO68" s="10"/>
      <c r="ZP68" s="10"/>
      <c r="ZQ68" s="10"/>
      <c r="ZR68" s="10"/>
      <c r="ZS68" s="10"/>
      <c r="ZT68" s="10"/>
      <c r="ZU68" s="10"/>
      <c r="ZV68" s="10"/>
      <c r="ZW68" s="10"/>
      <c r="ZX68" s="10"/>
      <c r="ZY68" s="10"/>
      <c r="ZZ68" s="10"/>
      <c r="AAA68" s="10"/>
      <c r="AAB68" s="10"/>
      <c r="AAC68" s="10"/>
      <c r="AAD68" s="10"/>
      <c r="AAE68" s="10"/>
      <c r="AAF68" s="10"/>
      <c r="AAG68" s="10"/>
      <c r="AAH68" s="10"/>
      <c r="AAI68" s="10"/>
      <c r="AAJ68" s="10"/>
      <c r="AAK68" s="10"/>
      <c r="AAL68" s="10"/>
      <c r="AAM68" s="10"/>
      <c r="AAN68" s="10"/>
      <c r="AAO68" s="10"/>
      <c r="AAP68" s="10"/>
      <c r="AAQ68" s="10"/>
      <c r="AAR68" s="10"/>
      <c r="AAS68" s="10"/>
      <c r="AAT68" s="10"/>
      <c r="AAU68" s="10"/>
      <c r="AAV68" s="10"/>
      <c r="AAW68" s="10"/>
      <c r="AAX68" s="10"/>
      <c r="AAY68" s="10"/>
      <c r="AAZ68" s="10"/>
      <c r="ABA68" s="10"/>
      <c r="ABB68" s="10"/>
      <c r="ABC68" s="10"/>
      <c r="ABD68" s="10"/>
      <c r="ABE68" s="10"/>
      <c r="ABF68" s="10"/>
      <c r="ABG68" s="10"/>
      <c r="ABH68" s="10"/>
      <c r="ABI68" s="10"/>
      <c r="ABJ68" s="10"/>
      <c r="ABK68" s="10"/>
      <c r="ABL68" s="10"/>
      <c r="ABM68" s="10"/>
      <c r="ABN68" s="10"/>
      <c r="ABO68" s="10"/>
      <c r="ABP68" s="10"/>
      <c r="ABQ68" s="10"/>
      <c r="ABR68" s="10"/>
      <c r="ABS68" s="10"/>
      <c r="ABT68" s="10"/>
      <c r="ABU68" s="10"/>
      <c r="ABV68" s="10"/>
      <c r="ABW68" s="10"/>
      <c r="ABX68" s="10"/>
      <c r="ABY68" s="10"/>
      <c r="ABZ68" s="10"/>
      <c r="ACA68" s="10"/>
      <c r="ACB68" s="10"/>
      <c r="ACC68" s="10"/>
      <c r="ACD68" s="10"/>
      <c r="ACE68" s="10"/>
      <c r="ACF68" s="10"/>
      <c r="ACG68" s="10"/>
      <c r="ACH68" s="10"/>
      <c r="ACI68" s="10"/>
      <c r="ACJ68" s="10"/>
      <c r="ACK68" s="10"/>
      <c r="ACL68" s="10"/>
      <c r="ACM68" s="10"/>
      <c r="ACN68" s="10"/>
      <c r="ACO68" s="10"/>
      <c r="ACP68" s="10"/>
      <c r="ACQ68" s="10"/>
      <c r="ACR68" s="10"/>
      <c r="ACS68" s="10"/>
      <c r="ACT68" s="10"/>
      <c r="ACU68" s="10"/>
      <c r="ACV68" s="10"/>
      <c r="ACW68" s="10"/>
      <c r="ACX68" s="10"/>
      <c r="ACY68" s="10"/>
      <c r="ACZ68" s="10"/>
      <c r="ADA68" s="10"/>
      <c r="ADB68" s="10"/>
      <c r="ADC68" s="10"/>
      <c r="ADD68" s="10"/>
      <c r="ADE68" s="10"/>
      <c r="ADF68" s="10"/>
      <c r="ADG68" s="10"/>
      <c r="ADH68" s="10"/>
      <c r="ADI68" s="10"/>
      <c r="ADJ68" s="10"/>
      <c r="ADK68" s="10"/>
      <c r="ADL68" s="10"/>
      <c r="ADM68" s="10"/>
      <c r="ADN68" s="10"/>
      <c r="ADO68" s="10"/>
      <c r="ADP68" s="10"/>
      <c r="ADQ68" s="10"/>
      <c r="ADR68" s="10"/>
      <c r="ADS68" s="10"/>
      <c r="ADT68" s="10"/>
      <c r="ADU68" s="10"/>
      <c r="ADV68" s="10"/>
      <c r="ADW68" s="10"/>
      <c r="ADX68" s="10"/>
      <c r="ADY68" s="10"/>
      <c r="ADZ68" s="10"/>
      <c r="AEA68" s="10"/>
      <c r="AEB68" s="10"/>
      <c r="AEC68" s="10"/>
      <c r="AED68" s="10"/>
      <c r="AEE68" s="10"/>
      <c r="AEF68" s="10"/>
      <c r="AEG68" s="10"/>
      <c r="AEH68" s="10"/>
      <c r="AEI68" s="10"/>
      <c r="AEJ68" s="10"/>
      <c r="AEK68" s="10"/>
      <c r="AEL68" s="10"/>
      <c r="AEM68" s="10"/>
      <c r="AEN68" s="10"/>
      <c r="AEO68" s="10"/>
      <c r="AEP68" s="10"/>
      <c r="AEQ68" s="10"/>
      <c r="AER68" s="10"/>
      <c r="AES68" s="10"/>
      <c r="AET68" s="10"/>
      <c r="AEU68" s="10"/>
      <c r="AEV68" s="10"/>
      <c r="AEW68" s="10"/>
      <c r="AEX68" s="10"/>
      <c r="AEY68" s="10"/>
      <c r="AEZ68" s="10"/>
      <c r="AFA68" s="10"/>
      <c r="AFB68" s="10"/>
      <c r="AFC68" s="10"/>
      <c r="AFD68" s="10"/>
      <c r="AFE68" s="10"/>
      <c r="AFF68" s="10"/>
      <c r="AFG68" s="10"/>
      <c r="AFH68" s="10"/>
      <c r="AFI68" s="10"/>
      <c r="AFJ68" s="10"/>
      <c r="AFK68" s="10"/>
      <c r="AFL68" s="10"/>
      <c r="AFM68" s="10"/>
      <c r="AFN68" s="10"/>
      <c r="AFO68" s="10"/>
      <c r="AFP68" s="10"/>
      <c r="AFQ68" s="10"/>
      <c r="AFR68" s="10"/>
      <c r="AFS68" s="10"/>
      <c r="AFT68" s="10"/>
      <c r="AFU68" s="10"/>
      <c r="AFV68" s="10"/>
      <c r="AFW68" s="10"/>
      <c r="AFX68" s="10"/>
      <c r="AFY68" s="10"/>
      <c r="AFZ68" s="10"/>
      <c r="AGA68" s="10"/>
      <c r="AGB68" s="10"/>
      <c r="AGC68" s="10"/>
      <c r="AGD68" s="10"/>
      <c r="AGE68" s="10"/>
      <c r="AGF68" s="10"/>
      <c r="AGG68" s="10"/>
      <c r="AGH68" s="10"/>
      <c r="AGI68" s="10"/>
      <c r="AGJ68" s="10"/>
      <c r="AGK68" s="10"/>
      <c r="AGL68" s="10"/>
      <c r="AGM68" s="10"/>
      <c r="AGN68" s="10"/>
      <c r="AGO68" s="10"/>
      <c r="AGP68" s="10"/>
      <c r="AGQ68" s="10"/>
      <c r="AGR68" s="10"/>
      <c r="AGS68" s="10"/>
      <c r="AGT68" s="10"/>
      <c r="AGU68" s="10"/>
      <c r="AGV68" s="10"/>
      <c r="AGW68" s="10"/>
      <c r="AGX68" s="10"/>
      <c r="AGY68" s="10"/>
      <c r="AGZ68" s="10"/>
      <c r="AHA68" s="10"/>
      <c r="AHB68" s="10"/>
      <c r="AHC68" s="10"/>
      <c r="AHD68" s="10"/>
      <c r="AHE68" s="10"/>
      <c r="AHF68" s="10"/>
      <c r="AHG68" s="10"/>
      <c r="AHH68" s="10"/>
      <c r="AHI68" s="10"/>
      <c r="AHJ68" s="10"/>
      <c r="AHK68" s="10"/>
      <c r="AHL68" s="10"/>
      <c r="AHM68" s="10"/>
      <c r="AHN68" s="10"/>
      <c r="AHO68" s="10"/>
      <c r="AHP68" s="10"/>
      <c r="AHQ68" s="10"/>
      <c r="AHR68" s="10"/>
      <c r="AHS68" s="10"/>
      <c r="AHT68" s="10"/>
      <c r="AHU68" s="10"/>
      <c r="AHV68" s="10"/>
      <c r="AHW68" s="10"/>
      <c r="AHX68" s="10"/>
      <c r="AHY68" s="10"/>
      <c r="AHZ68" s="10"/>
      <c r="AIA68" s="10"/>
      <c r="AIB68" s="10"/>
      <c r="AIC68" s="10"/>
      <c r="AID68" s="10"/>
      <c r="AIE68" s="10"/>
      <c r="AIF68" s="10"/>
      <c r="AIG68" s="10"/>
      <c r="AIH68" s="10"/>
      <c r="AII68" s="10"/>
      <c r="AIJ68" s="10"/>
      <c r="AIK68" s="10"/>
      <c r="AIL68" s="10"/>
      <c r="AIM68" s="10"/>
      <c r="AIN68" s="10"/>
      <c r="AIO68" s="10"/>
      <c r="AIP68" s="10"/>
      <c r="AIQ68" s="10"/>
      <c r="AIR68" s="10"/>
      <c r="AIS68" s="10"/>
      <c r="AIT68" s="10"/>
      <c r="AIU68" s="10"/>
      <c r="AIV68" s="10"/>
      <c r="AIW68" s="10"/>
      <c r="AIX68" s="10"/>
      <c r="AIY68" s="10"/>
      <c r="AIZ68" s="10"/>
      <c r="AJA68" s="10"/>
      <c r="AJB68" s="10"/>
      <c r="AJC68" s="10"/>
      <c r="AJD68" s="10"/>
      <c r="AJE68" s="10"/>
      <c r="AJF68" s="10"/>
      <c r="AJG68" s="10"/>
      <c r="AJH68" s="10"/>
      <c r="AJI68" s="10"/>
      <c r="AJJ68" s="10"/>
      <c r="AJK68" s="10"/>
      <c r="AJL68" s="10"/>
      <c r="AJM68" s="10"/>
      <c r="AJN68" s="10"/>
      <c r="AJO68" s="10"/>
      <c r="AJP68" s="10"/>
      <c r="AJQ68" s="10"/>
      <c r="AJR68" s="10"/>
      <c r="AJS68" s="10"/>
      <c r="AJT68" s="10"/>
      <c r="AJU68" s="10"/>
      <c r="AJV68" s="10"/>
      <c r="AJW68" s="10"/>
      <c r="AJX68" s="10"/>
      <c r="AJY68" s="10"/>
      <c r="AJZ68" s="10"/>
      <c r="AKA68" s="10"/>
      <c r="AKB68" s="10"/>
      <c r="AKC68" s="10"/>
      <c r="AKD68" s="10"/>
      <c r="AKE68" s="10"/>
      <c r="AKF68" s="10"/>
      <c r="AKG68" s="10"/>
      <c r="AKH68" s="10"/>
      <c r="AKI68" s="10"/>
      <c r="AKJ68" s="10"/>
      <c r="AKK68" s="10"/>
      <c r="AKL68" s="10"/>
      <c r="AKM68" s="10"/>
      <c r="AKN68" s="10"/>
      <c r="AKO68" s="10"/>
      <c r="AKP68" s="10"/>
      <c r="AKQ68" s="10"/>
      <c r="AKR68" s="10"/>
      <c r="AKS68" s="10"/>
      <c r="AKT68" s="10"/>
      <c r="AKU68" s="10"/>
      <c r="AKV68" s="10"/>
      <c r="AKW68" s="10"/>
      <c r="AKX68" s="10"/>
      <c r="AKY68" s="10"/>
      <c r="AKZ68" s="10"/>
      <c r="ALA68" s="10"/>
      <c r="ALB68" s="10"/>
      <c r="ALC68" s="10"/>
      <c r="ALD68" s="10"/>
      <c r="ALE68" s="10"/>
      <c r="ALF68" s="10"/>
      <c r="ALG68" s="10"/>
      <c r="ALH68" s="10"/>
      <c r="ALI68" s="10"/>
      <c r="ALJ68" s="10"/>
      <c r="ALK68" s="10"/>
      <c r="ALL68" s="10"/>
      <c r="ALM68" s="10"/>
      <c r="ALN68" s="10"/>
      <c r="ALO68" s="10"/>
      <c r="ALP68" s="10"/>
      <c r="ALQ68" s="10"/>
      <c r="ALR68" s="10"/>
      <c r="ALS68" s="10"/>
      <c r="ALT68" s="10"/>
      <c r="ALU68" s="10"/>
      <c r="ALV68" s="10"/>
      <c r="ALW68" s="10"/>
      <c r="ALX68" s="10"/>
      <c r="ALY68" s="10"/>
      <c r="ALZ68" s="10"/>
      <c r="AMA68" s="10"/>
      <c r="AMB68" s="10"/>
      <c r="AMC68" s="10"/>
      <c r="AMD68" s="10"/>
      <c r="AME68" s="10"/>
      <c r="AMF68" s="10"/>
      <c r="AMG68" s="10"/>
      <c r="AMH68" s="10"/>
      <c r="AMI68" s="10"/>
      <c r="AMJ68" s="10"/>
      <c r="AMK68" s="10"/>
      <c r="AML68" s="10"/>
      <c r="AMM68" s="10"/>
      <c r="AMN68" s="10"/>
      <c r="AMO68" s="10"/>
      <c r="AMP68" s="10"/>
      <c r="AMQ68" s="10"/>
      <c r="AMR68" s="10"/>
      <c r="AMS68" s="10"/>
      <c r="AMT68" s="10"/>
      <c r="AMU68" s="10"/>
      <c r="AMV68" s="10"/>
      <c r="AMW68" s="10"/>
      <c r="AMX68" s="10"/>
      <c r="AMY68" s="10"/>
      <c r="AMZ68" s="10"/>
      <c r="ANA68" s="10"/>
      <c r="ANB68" s="10"/>
      <c r="ANC68" s="10"/>
      <c r="AND68" s="10"/>
      <c r="ANE68" s="10"/>
      <c r="ANF68" s="10"/>
      <c r="ANG68" s="10"/>
      <c r="ANH68" s="10"/>
      <c r="ANI68" s="10"/>
      <c r="ANJ68" s="10"/>
      <c r="ANK68" s="10"/>
      <c r="ANL68" s="10"/>
      <c r="ANM68" s="10"/>
      <c r="ANN68" s="10"/>
      <c r="ANO68" s="10"/>
      <c r="ANP68" s="10"/>
      <c r="ANQ68" s="10"/>
      <c r="ANR68" s="10"/>
      <c r="ANS68" s="10"/>
      <c r="ANT68" s="10"/>
      <c r="ANU68" s="10"/>
      <c r="ANV68" s="10"/>
      <c r="ANW68" s="10"/>
      <c r="ANX68" s="10"/>
      <c r="ANY68" s="10"/>
      <c r="ANZ68" s="10"/>
      <c r="AOA68" s="10"/>
      <c r="AOB68" s="10"/>
      <c r="AOC68" s="10"/>
      <c r="AOD68" s="10"/>
      <c r="AOE68" s="10"/>
      <c r="AOF68" s="10"/>
      <c r="AOG68" s="10"/>
      <c r="AOH68" s="10"/>
      <c r="AOI68" s="10"/>
      <c r="AOJ68" s="10"/>
      <c r="AOK68" s="10"/>
      <c r="AOL68" s="10"/>
      <c r="AOM68" s="10"/>
      <c r="AON68" s="10"/>
      <c r="AOO68" s="10"/>
      <c r="AOP68" s="10"/>
      <c r="AOQ68" s="10"/>
      <c r="AOR68" s="10"/>
      <c r="AOS68" s="10"/>
      <c r="AOT68" s="10"/>
      <c r="AOU68" s="10"/>
      <c r="AOV68" s="10"/>
      <c r="AOW68" s="10"/>
      <c r="AOX68" s="10"/>
      <c r="AOY68" s="10"/>
      <c r="AOZ68" s="10"/>
      <c r="APA68" s="10"/>
      <c r="APB68" s="10"/>
      <c r="APC68" s="10"/>
      <c r="APD68" s="10"/>
      <c r="APE68" s="10"/>
      <c r="APF68" s="10"/>
      <c r="APG68" s="10"/>
      <c r="APH68" s="10"/>
      <c r="API68" s="10"/>
      <c r="APJ68" s="10"/>
      <c r="APK68" s="10"/>
      <c r="APL68" s="10"/>
      <c r="APM68" s="10"/>
      <c r="APN68" s="10"/>
      <c r="APO68" s="10"/>
      <c r="APP68" s="10"/>
      <c r="APQ68" s="10"/>
      <c r="APR68" s="10"/>
      <c r="APS68" s="10"/>
      <c r="APT68" s="10"/>
      <c r="APU68" s="10"/>
      <c r="APV68" s="10"/>
      <c r="APW68" s="10"/>
      <c r="APX68" s="10"/>
      <c r="APY68" s="10"/>
      <c r="APZ68" s="10"/>
      <c r="AQA68" s="10"/>
      <c r="AQB68" s="10"/>
      <c r="AQC68" s="10"/>
      <c r="AQD68" s="10"/>
      <c r="AQE68" s="10"/>
      <c r="AQF68" s="10"/>
      <c r="AQG68" s="10"/>
      <c r="AQH68" s="10"/>
      <c r="AQI68" s="10"/>
      <c r="AQJ68" s="10"/>
      <c r="AQK68" s="10"/>
      <c r="AQL68" s="10"/>
      <c r="AQM68" s="10"/>
      <c r="AQN68" s="10"/>
      <c r="AQO68" s="10"/>
      <c r="AQP68" s="10"/>
      <c r="AQQ68" s="10"/>
      <c r="AQR68" s="10"/>
      <c r="AQS68" s="10"/>
      <c r="AQT68" s="10"/>
      <c r="AQU68" s="10"/>
      <c r="AQV68" s="10"/>
      <c r="AQW68" s="10"/>
      <c r="AQX68" s="10"/>
      <c r="AQY68" s="10"/>
      <c r="AQZ68" s="10"/>
      <c r="ARA68" s="10"/>
      <c r="ARB68" s="10"/>
      <c r="ARC68" s="10"/>
      <c r="ARD68" s="10"/>
      <c r="ARE68" s="10"/>
      <c r="ARF68" s="10"/>
      <c r="ARG68" s="10"/>
      <c r="ARH68" s="10"/>
      <c r="ARI68" s="10"/>
      <c r="ARJ68" s="10"/>
      <c r="ARK68" s="10"/>
      <c r="ARL68" s="10"/>
      <c r="ARM68" s="10"/>
      <c r="ARN68" s="10"/>
      <c r="ARO68" s="10"/>
      <c r="ARP68" s="10"/>
      <c r="ARQ68" s="10"/>
      <c r="ARR68" s="10"/>
      <c r="ARS68" s="10"/>
      <c r="ART68" s="10"/>
      <c r="ARU68" s="10"/>
      <c r="ARV68" s="10"/>
      <c r="ARW68" s="10"/>
      <c r="ARX68" s="10"/>
      <c r="ARY68" s="10"/>
      <c r="ARZ68" s="10"/>
      <c r="ASA68" s="10"/>
      <c r="ASB68" s="10"/>
      <c r="ASC68" s="10"/>
      <c r="ASD68" s="10"/>
      <c r="ASE68" s="10"/>
      <c r="ASF68" s="10"/>
      <c r="ASG68" s="10"/>
      <c r="ASH68" s="10"/>
      <c r="ASI68" s="10"/>
      <c r="ASJ68" s="10"/>
      <c r="ASK68" s="10"/>
      <c r="ASL68" s="10"/>
      <c r="ASM68" s="10"/>
      <c r="ASN68" s="10"/>
      <c r="ASO68" s="10"/>
      <c r="ASP68" s="10"/>
      <c r="ASQ68" s="10"/>
      <c r="ASR68" s="10"/>
      <c r="ASS68" s="10"/>
      <c r="AST68" s="10"/>
      <c r="ASU68" s="10"/>
      <c r="ASV68" s="10"/>
      <c r="ASW68" s="10"/>
      <c r="ASX68" s="10"/>
      <c r="ASY68" s="10"/>
      <c r="ASZ68" s="10"/>
      <c r="ATA68" s="10"/>
      <c r="ATB68" s="10"/>
      <c r="ATC68" s="10"/>
      <c r="ATD68" s="10"/>
      <c r="ATE68" s="10"/>
      <c r="ATF68" s="10"/>
      <c r="ATG68" s="10"/>
      <c r="ATH68" s="10"/>
      <c r="ATI68" s="10"/>
      <c r="ATJ68" s="10"/>
      <c r="ATK68" s="10"/>
      <c r="ATL68" s="10"/>
      <c r="ATM68" s="10"/>
      <c r="ATN68" s="10"/>
      <c r="ATO68" s="10"/>
      <c r="ATP68" s="10"/>
      <c r="ATQ68" s="10"/>
      <c r="ATR68" s="10"/>
      <c r="ATS68" s="10"/>
      <c r="ATT68" s="10"/>
      <c r="ATU68" s="10"/>
      <c r="ATV68" s="10"/>
      <c r="ATW68" s="10"/>
      <c r="ATX68" s="10"/>
      <c r="ATY68" s="10"/>
      <c r="ATZ68" s="10"/>
      <c r="AUA68" s="10"/>
      <c r="AUB68" s="10"/>
      <c r="AUC68" s="10"/>
      <c r="AUD68" s="10"/>
      <c r="AUE68" s="10"/>
      <c r="AUF68" s="10"/>
      <c r="AUG68" s="10"/>
      <c r="AUH68" s="10"/>
      <c r="AUI68" s="10"/>
      <c r="AUJ68" s="10"/>
      <c r="AUK68" s="10"/>
      <c r="AUL68" s="10"/>
      <c r="AUM68" s="10"/>
      <c r="AUN68" s="10"/>
      <c r="AUO68" s="10"/>
      <c r="AUP68" s="10"/>
      <c r="AUQ68" s="10"/>
      <c r="AUR68" s="10"/>
      <c r="AUS68" s="10"/>
      <c r="AUT68" s="10"/>
      <c r="AUU68" s="10"/>
      <c r="AUV68" s="10"/>
      <c r="AUW68" s="10"/>
      <c r="AUX68" s="10"/>
      <c r="AUY68" s="10"/>
      <c r="AUZ68" s="10"/>
      <c r="AVA68" s="10"/>
      <c r="AVB68" s="10"/>
      <c r="AVC68" s="10"/>
      <c r="AVD68" s="10"/>
      <c r="AVE68" s="10"/>
      <c r="AVF68" s="10"/>
      <c r="AVG68" s="10"/>
      <c r="AVH68" s="10"/>
      <c r="AVI68" s="10"/>
      <c r="AVJ68" s="10"/>
      <c r="AVK68" s="10"/>
      <c r="AVL68" s="10"/>
      <c r="AVM68" s="10"/>
      <c r="AVN68" s="10"/>
      <c r="AVO68" s="10"/>
      <c r="AVP68" s="10"/>
      <c r="AVQ68" s="10"/>
      <c r="AVR68" s="10"/>
      <c r="AVS68" s="10"/>
      <c r="AVT68" s="10"/>
      <c r="AVU68" s="10"/>
      <c r="AVV68" s="10"/>
      <c r="AVW68" s="10"/>
      <c r="AVX68" s="10"/>
      <c r="AVY68" s="10"/>
      <c r="AVZ68" s="10"/>
      <c r="AWA68" s="10"/>
      <c r="AWB68" s="10"/>
      <c r="AWC68" s="10"/>
      <c r="AWD68" s="10"/>
      <c r="AWE68" s="10"/>
      <c r="AWF68" s="10"/>
      <c r="AWG68" s="10"/>
      <c r="AWH68" s="10"/>
      <c r="AWI68" s="10"/>
      <c r="AWJ68" s="10"/>
      <c r="AWK68" s="10"/>
      <c r="AWL68" s="10"/>
      <c r="AWM68" s="10"/>
      <c r="AWN68" s="10"/>
      <c r="AWO68" s="10"/>
      <c r="AWP68" s="10"/>
      <c r="AWQ68" s="10"/>
      <c r="AWR68" s="10"/>
      <c r="AWS68" s="10"/>
      <c r="AWT68" s="10"/>
      <c r="AWU68" s="10"/>
      <c r="AWV68" s="10"/>
      <c r="AWW68" s="10"/>
      <c r="AWX68" s="10"/>
      <c r="AWY68" s="10"/>
      <c r="AWZ68" s="10"/>
      <c r="AXA68" s="10"/>
      <c r="AXB68" s="10"/>
      <c r="AXC68" s="10"/>
      <c r="AXD68" s="10"/>
      <c r="AXE68" s="10"/>
      <c r="AXF68" s="10"/>
      <c r="AXG68" s="10"/>
      <c r="AXH68" s="10"/>
      <c r="AXI68" s="10"/>
      <c r="AXJ68" s="10"/>
      <c r="AXK68" s="10"/>
      <c r="AXL68" s="10"/>
      <c r="AXM68" s="10"/>
      <c r="AXN68" s="10"/>
      <c r="AXO68" s="10"/>
      <c r="AXP68" s="10"/>
      <c r="AXQ68" s="10"/>
      <c r="AXR68" s="10"/>
      <c r="AXS68" s="10"/>
      <c r="AXT68" s="10"/>
      <c r="AXU68" s="10"/>
      <c r="AXV68" s="10"/>
      <c r="AXW68" s="10"/>
      <c r="AXX68" s="10"/>
      <c r="AXY68" s="10"/>
      <c r="AXZ68" s="10"/>
      <c r="AYA68" s="10"/>
      <c r="AYB68" s="10"/>
      <c r="AYC68" s="10"/>
      <c r="AYD68" s="10"/>
      <c r="AYE68" s="10"/>
      <c r="AYF68" s="10"/>
      <c r="AYG68" s="10"/>
      <c r="AYH68" s="10"/>
      <c r="AYI68" s="10"/>
      <c r="AYJ68" s="10"/>
      <c r="AYK68" s="10"/>
      <c r="AYL68" s="10"/>
      <c r="AYM68" s="10"/>
      <c r="AYN68" s="10"/>
      <c r="AYO68" s="10"/>
      <c r="AYP68" s="10"/>
      <c r="AYQ68" s="10"/>
      <c r="AYR68" s="10"/>
      <c r="AYS68" s="10"/>
      <c r="AYT68" s="10"/>
      <c r="AYU68" s="10"/>
      <c r="AYV68" s="10"/>
      <c r="AYW68" s="10"/>
      <c r="AYX68" s="10"/>
      <c r="AYY68" s="10"/>
      <c r="AYZ68" s="10"/>
      <c r="AZA68" s="10"/>
      <c r="AZB68" s="10"/>
      <c r="AZC68" s="10"/>
      <c r="AZD68" s="10"/>
      <c r="AZE68" s="10"/>
      <c r="AZF68" s="10"/>
      <c r="AZG68" s="10"/>
      <c r="AZH68" s="10"/>
      <c r="AZI68" s="10"/>
      <c r="AZJ68" s="10"/>
      <c r="AZK68" s="10"/>
      <c r="AZL68" s="10"/>
      <c r="AZM68" s="10"/>
      <c r="AZN68" s="10"/>
      <c r="AZO68" s="10"/>
      <c r="AZP68" s="10"/>
      <c r="AZQ68" s="10"/>
      <c r="AZR68" s="10"/>
      <c r="AZS68" s="10"/>
      <c r="AZT68" s="10"/>
      <c r="AZU68" s="10"/>
      <c r="AZV68" s="10"/>
      <c r="AZW68" s="10"/>
      <c r="AZX68" s="10"/>
      <c r="AZY68" s="10"/>
      <c r="AZZ68" s="10"/>
      <c r="BAA68" s="10"/>
      <c r="BAB68" s="10"/>
      <c r="BAC68" s="10"/>
      <c r="BAD68" s="10"/>
      <c r="BAE68" s="10"/>
      <c r="BAF68" s="10"/>
      <c r="BAG68" s="10"/>
      <c r="BAH68" s="10"/>
      <c r="BAI68" s="10"/>
      <c r="BAJ68" s="10"/>
      <c r="BAK68" s="10"/>
      <c r="BAL68" s="10"/>
      <c r="BAM68" s="10"/>
      <c r="BAN68" s="10"/>
      <c r="BAO68" s="10"/>
      <c r="BAP68" s="10"/>
      <c r="BAQ68" s="10"/>
      <c r="BAR68" s="10"/>
      <c r="BAS68" s="10"/>
      <c r="BAT68" s="10"/>
      <c r="BAU68" s="10"/>
      <c r="BAV68" s="10"/>
      <c r="BAW68" s="10"/>
      <c r="BAX68" s="10"/>
      <c r="BAY68" s="10"/>
      <c r="BAZ68" s="10"/>
      <c r="BBA68" s="10"/>
      <c r="BBB68" s="10"/>
      <c r="BBC68" s="10"/>
      <c r="BBD68" s="10"/>
      <c r="BBE68" s="10"/>
      <c r="BBF68" s="10"/>
      <c r="BBG68" s="10"/>
      <c r="BBH68" s="10"/>
      <c r="BBI68" s="10"/>
      <c r="BBJ68" s="10"/>
      <c r="BBK68" s="10"/>
      <c r="BBL68" s="10"/>
      <c r="BBM68" s="10"/>
      <c r="BBN68" s="10"/>
      <c r="BBO68" s="10"/>
      <c r="BBP68" s="10"/>
      <c r="BBQ68" s="10"/>
      <c r="BBR68" s="10"/>
      <c r="BBS68" s="10"/>
      <c r="BBT68" s="10"/>
      <c r="BBU68" s="10"/>
      <c r="BBV68" s="10"/>
      <c r="BBW68" s="10"/>
      <c r="BBX68" s="10"/>
      <c r="BBY68" s="10"/>
      <c r="BBZ68" s="10"/>
      <c r="BCA68" s="10"/>
      <c r="BCB68" s="10"/>
      <c r="BCC68" s="10"/>
      <c r="BCD68" s="10"/>
      <c r="BCE68" s="10"/>
      <c r="BCF68" s="10"/>
      <c r="BCG68" s="10"/>
      <c r="BCH68" s="10"/>
      <c r="BCI68" s="10"/>
      <c r="BCJ68" s="10"/>
      <c r="BCK68" s="10"/>
      <c r="BCL68" s="10"/>
      <c r="BCM68" s="10"/>
      <c r="BCN68" s="10"/>
      <c r="BCO68" s="10"/>
      <c r="BCP68" s="10"/>
      <c r="BCQ68" s="10"/>
      <c r="BCR68" s="10"/>
      <c r="BCS68" s="10"/>
      <c r="BCT68" s="10"/>
      <c r="BCU68" s="10"/>
      <c r="BCV68" s="10"/>
      <c r="BCW68" s="10"/>
      <c r="BCX68" s="10"/>
      <c r="BCY68" s="10"/>
      <c r="BCZ68" s="10"/>
      <c r="BDA68" s="10"/>
      <c r="BDB68" s="10"/>
      <c r="BDC68" s="10"/>
      <c r="BDD68" s="10"/>
      <c r="BDE68" s="10"/>
      <c r="BDF68" s="10"/>
      <c r="BDG68" s="10"/>
      <c r="BDH68" s="10"/>
      <c r="BDI68" s="10"/>
      <c r="BDJ68" s="10"/>
      <c r="BDK68" s="10"/>
      <c r="BDL68" s="10"/>
      <c r="BDM68" s="10"/>
      <c r="BDN68" s="10"/>
      <c r="BDO68" s="10"/>
      <c r="BDP68" s="10"/>
      <c r="BDQ68" s="10"/>
      <c r="BDR68" s="10"/>
      <c r="BDS68" s="10"/>
      <c r="BDT68" s="10"/>
      <c r="BDU68" s="10"/>
      <c r="BDV68" s="10"/>
      <c r="BDW68" s="10"/>
      <c r="BDX68" s="10"/>
      <c r="BDY68" s="10"/>
      <c r="BDZ68" s="10"/>
      <c r="BEA68" s="10"/>
      <c r="BEB68" s="10"/>
      <c r="BEC68" s="10"/>
      <c r="BED68" s="10"/>
      <c r="BEE68" s="10"/>
      <c r="BEF68" s="10"/>
      <c r="BEG68" s="10"/>
      <c r="BEH68" s="10"/>
      <c r="BEI68" s="10"/>
      <c r="BEJ68" s="10"/>
      <c r="BEK68" s="10"/>
      <c r="BEL68" s="10"/>
      <c r="BEM68" s="10"/>
      <c r="BEN68" s="10"/>
      <c r="BEO68" s="10"/>
      <c r="BEP68" s="10"/>
      <c r="BEQ68" s="10"/>
      <c r="BER68" s="10"/>
      <c r="BES68" s="10"/>
      <c r="BET68" s="10"/>
      <c r="BEU68" s="10"/>
      <c r="BEV68" s="10"/>
      <c r="BEW68" s="10"/>
      <c r="BEX68" s="10"/>
      <c r="BEY68" s="10"/>
      <c r="BEZ68" s="10"/>
      <c r="BFA68" s="10"/>
      <c r="BFB68" s="10"/>
      <c r="BFC68" s="10"/>
      <c r="BFD68" s="10"/>
      <c r="BFE68" s="10"/>
      <c r="BFF68" s="10"/>
      <c r="BFG68" s="10"/>
      <c r="BFH68" s="10"/>
      <c r="BFI68" s="10"/>
      <c r="BFJ68" s="10"/>
      <c r="BFK68" s="10"/>
      <c r="BFL68" s="10"/>
      <c r="BFM68" s="10"/>
      <c r="BFN68" s="10"/>
      <c r="BFO68" s="10"/>
      <c r="BFP68" s="10"/>
      <c r="BFQ68" s="10"/>
      <c r="BFR68" s="10"/>
      <c r="BFS68" s="10"/>
      <c r="BFT68" s="10"/>
      <c r="BFU68" s="10"/>
      <c r="BFV68" s="10"/>
      <c r="BFW68" s="10"/>
      <c r="BFX68" s="10"/>
      <c r="BFY68" s="10"/>
      <c r="BFZ68" s="10"/>
      <c r="BGA68" s="10"/>
      <c r="BGB68" s="10"/>
      <c r="BGC68" s="10"/>
      <c r="BGD68" s="10"/>
      <c r="BGE68" s="10"/>
      <c r="BGF68" s="10"/>
      <c r="BGG68" s="10"/>
      <c r="BGH68" s="10"/>
      <c r="BGI68" s="10"/>
      <c r="BGJ68" s="10"/>
      <c r="BGK68" s="10"/>
      <c r="BGL68" s="10"/>
      <c r="BGM68" s="10"/>
      <c r="BGN68" s="10"/>
      <c r="BGO68" s="10"/>
      <c r="BGP68" s="10"/>
      <c r="BGQ68" s="10"/>
      <c r="BGR68" s="10"/>
      <c r="BGS68" s="10"/>
      <c r="BGT68" s="10"/>
      <c r="BGU68" s="10"/>
      <c r="BGV68" s="10"/>
      <c r="BGW68" s="10"/>
      <c r="BGX68" s="10"/>
      <c r="BGY68" s="10"/>
      <c r="BGZ68" s="10"/>
      <c r="BHA68" s="10"/>
      <c r="BHB68" s="10"/>
      <c r="BHC68" s="10"/>
      <c r="BHD68" s="10"/>
      <c r="BHE68" s="10"/>
      <c r="BHF68" s="10"/>
      <c r="BHG68" s="10"/>
      <c r="BHH68" s="10"/>
      <c r="BHI68" s="10"/>
      <c r="BHJ68" s="10"/>
      <c r="BHK68" s="10"/>
      <c r="BHL68" s="10"/>
      <c r="BHM68" s="10"/>
      <c r="BHN68" s="10"/>
      <c r="BHO68" s="10"/>
      <c r="BHP68" s="10"/>
      <c r="BHQ68" s="10"/>
      <c r="BHR68" s="10"/>
      <c r="BHS68" s="10"/>
      <c r="BHT68" s="10"/>
      <c r="BHU68" s="10"/>
      <c r="BHV68" s="10"/>
      <c r="BHW68" s="10"/>
      <c r="BHX68" s="10"/>
      <c r="BHY68" s="10"/>
      <c r="BHZ68" s="10"/>
      <c r="BIA68" s="10"/>
      <c r="BIB68" s="10"/>
      <c r="BIC68" s="10"/>
      <c r="BID68" s="10"/>
      <c r="BIE68" s="10"/>
      <c r="BIF68" s="10"/>
      <c r="BIG68" s="10"/>
      <c r="BIH68" s="10"/>
      <c r="BII68" s="10"/>
      <c r="BIJ68" s="10"/>
      <c r="BIK68" s="10"/>
      <c r="BIL68" s="10"/>
      <c r="BIM68" s="10"/>
      <c r="BIN68" s="10"/>
      <c r="BIO68" s="10"/>
      <c r="BIP68" s="10"/>
      <c r="BIQ68" s="10"/>
      <c r="BIR68" s="10"/>
      <c r="BIS68" s="10"/>
      <c r="BIT68" s="10"/>
      <c r="BIU68" s="10"/>
      <c r="BIV68" s="10"/>
      <c r="BIW68" s="10"/>
      <c r="BIX68" s="10"/>
      <c r="BIY68" s="10"/>
      <c r="BIZ68" s="10"/>
      <c r="BJA68" s="10"/>
      <c r="BJB68" s="10"/>
      <c r="BJC68" s="10"/>
      <c r="BJD68" s="10"/>
      <c r="BJE68" s="10"/>
      <c r="BJF68" s="10"/>
      <c r="BJG68" s="10"/>
      <c r="BJH68" s="10"/>
      <c r="BJI68" s="10"/>
      <c r="BJJ68" s="10"/>
      <c r="BJK68" s="10"/>
      <c r="BJL68" s="10"/>
      <c r="BJM68" s="10"/>
      <c r="BJN68" s="10"/>
      <c r="BJO68" s="10"/>
      <c r="BJP68" s="10"/>
      <c r="BJQ68" s="10"/>
      <c r="BJR68" s="10"/>
      <c r="BJS68" s="10"/>
      <c r="BJT68" s="10"/>
      <c r="BJU68" s="10"/>
      <c r="BJV68" s="10"/>
      <c r="BJW68" s="10"/>
      <c r="BJX68" s="10"/>
      <c r="BJY68" s="10"/>
      <c r="BJZ68" s="10"/>
      <c r="BKA68" s="10"/>
      <c r="BKB68" s="10"/>
      <c r="BKC68" s="10"/>
      <c r="BKD68" s="10"/>
      <c r="BKE68" s="10"/>
      <c r="BKF68" s="10"/>
      <c r="BKG68" s="10"/>
      <c r="BKH68" s="10"/>
      <c r="BKI68" s="10"/>
      <c r="BKJ68" s="10"/>
      <c r="BKK68" s="10"/>
      <c r="BKL68" s="10"/>
      <c r="BKM68" s="10"/>
      <c r="BKN68" s="10"/>
      <c r="BKO68" s="10"/>
      <c r="BKP68" s="10"/>
      <c r="BKQ68" s="10"/>
      <c r="BKR68" s="10"/>
      <c r="BKS68" s="10"/>
      <c r="BKT68" s="10"/>
      <c r="BKU68" s="10"/>
      <c r="BKV68" s="10"/>
      <c r="BKW68" s="10"/>
      <c r="BKX68" s="10"/>
      <c r="BKY68" s="10"/>
      <c r="BKZ68" s="10"/>
      <c r="BLA68" s="10"/>
      <c r="BLB68" s="10"/>
      <c r="BLC68" s="10"/>
      <c r="BLD68" s="10"/>
      <c r="BLE68" s="10"/>
      <c r="BLF68" s="10"/>
      <c r="BLG68" s="10"/>
      <c r="BLH68" s="10"/>
      <c r="BLI68" s="10"/>
      <c r="BLJ68" s="10"/>
      <c r="BLK68" s="10"/>
      <c r="BLL68" s="10"/>
      <c r="BLM68" s="10"/>
      <c r="BLN68" s="10"/>
      <c r="BLO68" s="10"/>
      <c r="BLP68" s="10"/>
      <c r="BLQ68" s="10"/>
      <c r="BLR68" s="10"/>
      <c r="BLS68" s="10"/>
      <c r="BLT68" s="10"/>
      <c r="BLU68" s="10"/>
      <c r="BLV68" s="10"/>
      <c r="BLW68" s="10"/>
      <c r="BLX68" s="10"/>
      <c r="BLY68" s="10"/>
      <c r="BLZ68" s="10"/>
      <c r="BMA68" s="10"/>
      <c r="BMB68" s="10"/>
      <c r="BMC68" s="10"/>
      <c r="BMD68" s="10"/>
      <c r="BME68" s="10"/>
      <c r="BMF68" s="10"/>
      <c r="BMG68" s="10"/>
      <c r="BMH68" s="10"/>
      <c r="BMI68" s="10"/>
      <c r="BMJ68" s="10"/>
      <c r="BMK68" s="10"/>
      <c r="BML68" s="10"/>
      <c r="BMM68" s="10"/>
      <c r="BMN68" s="10"/>
      <c r="BMO68" s="10"/>
      <c r="BMP68" s="10"/>
      <c r="BMQ68" s="10"/>
      <c r="BMR68" s="10"/>
      <c r="BMS68" s="10"/>
      <c r="BMT68" s="10"/>
      <c r="BMU68" s="10"/>
      <c r="BMV68" s="10"/>
      <c r="BMW68" s="10"/>
      <c r="BMX68" s="10"/>
      <c r="BMY68" s="10"/>
      <c r="BMZ68" s="10"/>
      <c r="BNA68" s="10"/>
      <c r="BNB68" s="10"/>
      <c r="BNC68" s="10"/>
      <c r="BND68" s="10"/>
      <c r="BNE68" s="10"/>
      <c r="BNF68" s="10"/>
      <c r="BNG68" s="10"/>
      <c r="BNH68" s="10"/>
      <c r="BNI68" s="10"/>
      <c r="BNJ68" s="10"/>
      <c r="BNK68" s="10"/>
      <c r="BNL68" s="10"/>
      <c r="BNM68" s="10"/>
      <c r="BNN68" s="10"/>
      <c r="BNO68" s="10"/>
      <c r="BNP68" s="10"/>
      <c r="BNQ68" s="10"/>
      <c r="BNR68" s="10"/>
      <c r="BNS68" s="10"/>
      <c r="BNT68" s="10"/>
      <c r="BNU68" s="10"/>
      <c r="BNV68" s="10"/>
      <c r="BNW68" s="10"/>
      <c r="BNX68" s="10"/>
      <c r="BNY68" s="10"/>
      <c r="BNZ68" s="10"/>
      <c r="BOA68" s="10"/>
      <c r="BOB68" s="10"/>
      <c r="BOC68" s="10"/>
      <c r="BOD68" s="10"/>
      <c r="BOE68" s="10"/>
      <c r="BOF68" s="10"/>
      <c r="BOG68" s="10"/>
      <c r="BOH68" s="10"/>
      <c r="BOI68" s="10"/>
      <c r="BOJ68" s="10"/>
      <c r="BOK68" s="10"/>
      <c r="BOL68" s="10"/>
      <c r="BOM68" s="10"/>
      <c r="BON68" s="10"/>
      <c r="BOO68" s="10"/>
      <c r="BOP68" s="10"/>
      <c r="BOQ68" s="10"/>
      <c r="BOR68" s="10"/>
      <c r="BOS68" s="10"/>
      <c r="BOT68" s="10"/>
      <c r="BOU68" s="10"/>
      <c r="BOV68" s="10"/>
      <c r="BOW68" s="10"/>
      <c r="BOX68" s="10"/>
      <c r="BOY68" s="10"/>
      <c r="BOZ68" s="10"/>
      <c r="BPA68" s="10"/>
      <c r="BPB68" s="10"/>
      <c r="BPC68" s="10"/>
      <c r="BPD68" s="10"/>
      <c r="BPE68" s="10"/>
      <c r="BPF68" s="10"/>
      <c r="BPG68" s="10"/>
      <c r="BPH68" s="10"/>
      <c r="BPI68" s="10"/>
      <c r="BPJ68" s="10"/>
      <c r="BPK68" s="10"/>
      <c r="BPL68" s="10"/>
      <c r="BPM68" s="10"/>
      <c r="BPN68" s="10"/>
      <c r="BPO68" s="10"/>
      <c r="BPP68" s="10"/>
      <c r="BPQ68" s="10"/>
      <c r="BPR68" s="10"/>
      <c r="BPS68" s="10"/>
      <c r="BPT68" s="10"/>
      <c r="BPU68" s="10"/>
      <c r="BPV68" s="10"/>
      <c r="BPW68" s="10"/>
      <c r="BPX68" s="10"/>
      <c r="BPY68" s="10"/>
      <c r="BPZ68" s="10"/>
      <c r="BQA68" s="10"/>
      <c r="BQB68" s="10"/>
      <c r="BQC68" s="10"/>
      <c r="BQD68" s="10"/>
      <c r="BQE68" s="10"/>
      <c r="BQF68" s="10"/>
      <c r="BQG68" s="10"/>
      <c r="BQH68" s="10"/>
      <c r="BQI68" s="10"/>
      <c r="BQJ68" s="10"/>
      <c r="BQK68" s="10"/>
      <c r="BQL68" s="10"/>
      <c r="BQM68" s="10"/>
      <c r="BQN68" s="10"/>
      <c r="BQO68" s="10"/>
      <c r="BQP68" s="10"/>
      <c r="BQQ68" s="10"/>
      <c r="BQR68" s="10"/>
      <c r="BQS68" s="10"/>
      <c r="BQT68" s="10"/>
      <c r="BQU68" s="10"/>
      <c r="BQV68" s="10"/>
      <c r="BQW68" s="10"/>
      <c r="BQX68" s="10"/>
      <c r="BQY68" s="10"/>
      <c r="BQZ68" s="10"/>
      <c r="BRA68" s="10"/>
      <c r="BRB68" s="10"/>
      <c r="BRC68" s="10"/>
      <c r="BRD68" s="10"/>
      <c r="BRE68" s="10"/>
      <c r="BRF68" s="10"/>
      <c r="BRG68" s="10"/>
      <c r="BRH68" s="10"/>
      <c r="BRI68" s="10"/>
      <c r="BRJ68" s="10"/>
      <c r="BRK68" s="10"/>
      <c r="BRL68" s="10"/>
      <c r="BRM68" s="10"/>
      <c r="BRN68" s="10"/>
      <c r="BRO68" s="10"/>
      <c r="BRP68" s="10"/>
      <c r="BRQ68" s="10"/>
      <c r="BRR68" s="10"/>
      <c r="BRS68" s="10"/>
      <c r="BRT68" s="10"/>
      <c r="BRU68" s="10"/>
      <c r="BRV68" s="10"/>
      <c r="BRW68" s="10"/>
      <c r="BRX68" s="10"/>
      <c r="BRY68" s="10"/>
      <c r="BRZ68" s="10"/>
      <c r="BSA68" s="10"/>
      <c r="BSB68" s="10"/>
      <c r="BSC68" s="10"/>
      <c r="BSD68" s="10"/>
      <c r="BSE68" s="10"/>
      <c r="BSF68" s="10"/>
      <c r="BSG68" s="10"/>
      <c r="BSH68" s="10"/>
      <c r="BSI68" s="10"/>
      <c r="BSJ68" s="10"/>
      <c r="BSK68" s="10"/>
      <c r="BSL68" s="10"/>
      <c r="BSM68" s="10"/>
      <c r="BSN68" s="10"/>
      <c r="BSO68" s="10"/>
      <c r="BSP68" s="10"/>
      <c r="BSQ68" s="10"/>
      <c r="BSR68" s="10"/>
      <c r="BSS68" s="10"/>
      <c r="BST68" s="10"/>
      <c r="BSU68" s="10"/>
      <c r="BSV68" s="10"/>
      <c r="BSW68" s="10"/>
      <c r="BSX68" s="10"/>
      <c r="BSY68" s="10"/>
      <c r="BSZ68" s="10"/>
      <c r="BTA68" s="10"/>
      <c r="BTB68" s="10"/>
      <c r="BTC68" s="10"/>
      <c r="BTD68" s="10"/>
      <c r="BTE68" s="10"/>
      <c r="BTF68" s="10"/>
      <c r="BTG68" s="10"/>
      <c r="BTH68" s="10"/>
      <c r="BTI68" s="10"/>
      <c r="BTJ68" s="10"/>
      <c r="BTK68" s="10"/>
      <c r="BTL68" s="10"/>
      <c r="BTM68" s="10"/>
      <c r="BTN68" s="10"/>
      <c r="BTO68" s="10"/>
      <c r="BTP68" s="10"/>
      <c r="BTQ68" s="10"/>
      <c r="BTR68" s="10"/>
      <c r="BTS68" s="10"/>
      <c r="BTT68" s="10"/>
      <c r="BTU68" s="10"/>
      <c r="BTV68" s="10"/>
      <c r="BTW68" s="10"/>
      <c r="BTX68" s="10"/>
      <c r="BTY68" s="10"/>
      <c r="BTZ68" s="10"/>
      <c r="BUA68" s="10"/>
      <c r="BUB68" s="10"/>
      <c r="BUC68" s="10"/>
      <c r="BUD68" s="10"/>
      <c r="BUE68" s="10"/>
      <c r="BUF68" s="10"/>
      <c r="BUG68" s="10"/>
      <c r="BUH68" s="10"/>
      <c r="BUI68" s="10"/>
      <c r="BUJ68" s="10"/>
      <c r="BUK68" s="10"/>
      <c r="BUL68" s="10"/>
      <c r="BUM68" s="10"/>
      <c r="BUN68" s="10"/>
      <c r="BUO68" s="10"/>
      <c r="BUP68" s="10"/>
      <c r="BUQ68" s="10"/>
      <c r="BUR68" s="10"/>
      <c r="BUS68" s="10"/>
      <c r="BUT68" s="10"/>
      <c r="BUU68" s="10"/>
      <c r="BUV68" s="10"/>
      <c r="BUW68" s="10"/>
      <c r="BUX68" s="10"/>
      <c r="BUY68" s="10"/>
      <c r="BUZ68" s="10"/>
      <c r="BVA68" s="10"/>
      <c r="BVB68" s="10"/>
      <c r="BVC68" s="10"/>
      <c r="BVD68" s="10"/>
      <c r="BVE68" s="10"/>
      <c r="BVF68" s="10"/>
      <c r="BVG68" s="10"/>
      <c r="BVH68" s="10"/>
      <c r="BVI68" s="10"/>
      <c r="BVJ68" s="10"/>
      <c r="BVK68" s="10"/>
      <c r="BVL68" s="10"/>
      <c r="BVM68" s="10"/>
      <c r="BVN68" s="10"/>
      <c r="BVO68" s="10"/>
      <c r="BVP68" s="10"/>
      <c r="BVQ68" s="10"/>
      <c r="BVR68" s="10"/>
      <c r="BVS68" s="10"/>
      <c r="BVT68" s="10"/>
      <c r="BVU68" s="10"/>
      <c r="BVV68" s="10"/>
      <c r="BVW68" s="10"/>
      <c r="BVX68" s="10"/>
      <c r="BVY68" s="10"/>
      <c r="BVZ68" s="10"/>
      <c r="BWA68" s="10"/>
      <c r="BWB68" s="10"/>
      <c r="BWC68" s="10"/>
      <c r="BWD68" s="10"/>
      <c r="BWE68" s="10"/>
      <c r="BWF68" s="10"/>
      <c r="BWG68" s="10"/>
      <c r="BWH68" s="10"/>
      <c r="BWI68" s="10"/>
      <c r="BWJ68" s="10"/>
      <c r="BWK68" s="10"/>
      <c r="BWL68" s="10"/>
      <c r="BWM68" s="10"/>
      <c r="BWN68" s="10"/>
      <c r="BWO68" s="10"/>
      <c r="BWP68" s="10"/>
      <c r="BWQ68" s="10"/>
      <c r="BWR68" s="10"/>
      <c r="BWS68" s="10"/>
      <c r="BWT68" s="10"/>
      <c r="BWU68" s="10"/>
      <c r="BWV68" s="10"/>
      <c r="BWW68" s="10"/>
      <c r="BWX68" s="10"/>
      <c r="BWY68" s="10"/>
      <c r="BWZ68" s="10"/>
      <c r="BXA68" s="10"/>
      <c r="BXB68" s="10"/>
      <c r="BXC68" s="10"/>
      <c r="BXD68" s="10"/>
      <c r="BXE68" s="10"/>
      <c r="BXF68" s="10"/>
      <c r="BXG68" s="10"/>
      <c r="BXH68" s="10"/>
      <c r="BXI68" s="10"/>
      <c r="BXJ68" s="10"/>
      <c r="BXK68" s="10"/>
      <c r="BXL68" s="10"/>
      <c r="BXM68" s="10"/>
      <c r="BXN68" s="10"/>
      <c r="BXO68" s="10"/>
      <c r="BXP68" s="10"/>
      <c r="BXQ68" s="10"/>
      <c r="BXR68" s="10"/>
      <c r="BXS68" s="10"/>
      <c r="BXT68" s="10"/>
      <c r="BXU68" s="10"/>
      <c r="BXV68" s="10"/>
      <c r="BXW68" s="10"/>
      <c r="BXX68" s="10"/>
      <c r="BXY68" s="10"/>
      <c r="BXZ68" s="10"/>
      <c r="BYA68" s="10"/>
      <c r="BYB68" s="10"/>
      <c r="BYC68" s="10"/>
      <c r="BYD68" s="10"/>
      <c r="BYE68" s="10"/>
      <c r="BYF68" s="10"/>
      <c r="BYG68" s="10"/>
      <c r="BYH68" s="10"/>
      <c r="BYI68" s="10"/>
      <c r="BYJ68" s="10"/>
      <c r="BYK68" s="10"/>
      <c r="BYL68" s="10"/>
      <c r="BYM68" s="10"/>
      <c r="BYN68" s="10"/>
      <c r="BYO68" s="10"/>
      <c r="BYP68" s="10"/>
      <c r="BYQ68" s="10"/>
      <c r="BYR68" s="10"/>
      <c r="BYS68" s="10"/>
      <c r="BYT68" s="10"/>
      <c r="BYU68" s="10"/>
      <c r="BYV68" s="10"/>
      <c r="BYW68" s="10"/>
      <c r="BYX68" s="10"/>
      <c r="BYY68" s="10"/>
      <c r="BYZ68" s="10"/>
      <c r="BZA68" s="10"/>
      <c r="BZB68" s="10"/>
      <c r="BZC68" s="10"/>
      <c r="BZD68" s="10"/>
      <c r="BZE68" s="10"/>
      <c r="BZF68" s="10"/>
      <c r="BZG68" s="10"/>
      <c r="BZH68" s="10"/>
      <c r="BZI68" s="10"/>
      <c r="BZJ68" s="10"/>
      <c r="BZK68" s="10"/>
      <c r="BZL68" s="10"/>
      <c r="BZM68" s="10"/>
      <c r="BZN68" s="10"/>
      <c r="BZO68" s="10"/>
      <c r="BZP68" s="10"/>
      <c r="BZQ68" s="10"/>
      <c r="BZR68" s="10"/>
      <c r="BZS68" s="10"/>
      <c r="BZT68" s="10"/>
      <c r="BZU68" s="10"/>
      <c r="BZV68" s="10"/>
      <c r="BZW68" s="10"/>
      <c r="BZX68" s="10"/>
      <c r="BZY68" s="10"/>
      <c r="BZZ68" s="10"/>
      <c r="CAA68" s="10"/>
      <c r="CAB68" s="10"/>
      <c r="CAC68" s="10"/>
      <c r="CAD68" s="10"/>
      <c r="CAE68" s="10"/>
      <c r="CAF68" s="10"/>
      <c r="CAG68" s="10"/>
      <c r="CAH68" s="10"/>
      <c r="CAI68" s="10"/>
      <c r="CAJ68" s="10"/>
      <c r="CAK68" s="10"/>
      <c r="CAL68" s="10"/>
      <c r="CAM68" s="10"/>
      <c r="CAN68" s="10"/>
      <c r="CAO68" s="10"/>
      <c r="CAP68" s="10"/>
      <c r="CAQ68" s="10"/>
      <c r="CAR68" s="10"/>
      <c r="CAS68" s="10"/>
      <c r="CAT68" s="10"/>
      <c r="CAU68" s="10"/>
      <c r="CAV68" s="10"/>
      <c r="CAW68" s="10"/>
      <c r="CAX68" s="10"/>
      <c r="CAY68" s="10"/>
      <c r="CAZ68" s="10"/>
      <c r="CBA68" s="10"/>
      <c r="CBB68" s="10"/>
      <c r="CBC68" s="10"/>
      <c r="CBD68" s="10"/>
      <c r="CBE68" s="10"/>
      <c r="CBF68" s="10"/>
      <c r="CBG68" s="10"/>
      <c r="CBH68" s="10"/>
      <c r="CBI68" s="10"/>
      <c r="CBJ68" s="10"/>
      <c r="CBK68" s="10"/>
      <c r="CBL68" s="10"/>
      <c r="CBM68" s="10"/>
      <c r="CBN68" s="10"/>
      <c r="CBO68" s="10"/>
      <c r="CBP68" s="10"/>
      <c r="CBQ68" s="10"/>
      <c r="CBR68" s="10"/>
      <c r="CBS68" s="10"/>
      <c r="CBT68" s="10"/>
      <c r="CBU68" s="10"/>
      <c r="CBV68" s="10"/>
      <c r="CBW68" s="10"/>
      <c r="CBX68" s="10"/>
      <c r="CBY68" s="10"/>
      <c r="CBZ68" s="10"/>
      <c r="CCA68" s="10"/>
      <c r="CCB68" s="10"/>
      <c r="CCC68" s="10"/>
      <c r="CCD68" s="10"/>
      <c r="CCE68" s="10"/>
      <c r="CCF68" s="10"/>
      <c r="CCG68" s="10"/>
      <c r="CCH68" s="10"/>
      <c r="CCI68" s="10"/>
      <c r="CCJ68" s="10"/>
      <c r="CCK68" s="10"/>
      <c r="CCL68" s="10"/>
      <c r="CCM68" s="10"/>
      <c r="CCN68" s="10"/>
      <c r="CCO68" s="10"/>
      <c r="CCP68" s="10"/>
      <c r="CCQ68" s="10"/>
      <c r="CCR68" s="10"/>
      <c r="CCS68" s="10"/>
      <c r="CCT68" s="10"/>
      <c r="CCU68" s="10"/>
      <c r="CCV68" s="10"/>
      <c r="CCW68" s="10"/>
      <c r="CCX68" s="10"/>
      <c r="CCY68" s="10"/>
      <c r="CCZ68" s="10"/>
      <c r="CDA68" s="10"/>
      <c r="CDB68" s="10"/>
      <c r="CDC68" s="10"/>
      <c r="CDD68" s="10"/>
      <c r="CDE68" s="10"/>
      <c r="CDF68" s="10"/>
      <c r="CDG68" s="10"/>
      <c r="CDH68" s="10"/>
      <c r="CDI68" s="10"/>
      <c r="CDJ68" s="10"/>
      <c r="CDK68" s="10"/>
      <c r="CDL68" s="10"/>
      <c r="CDM68" s="10"/>
      <c r="CDN68" s="10"/>
      <c r="CDO68" s="10"/>
      <c r="CDP68" s="10"/>
      <c r="CDQ68" s="10"/>
      <c r="CDR68" s="10"/>
      <c r="CDS68" s="10"/>
      <c r="CDT68" s="10"/>
      <c r="CDU68" s="10"/>
      <c r="CDV68" s="10"/>
      <c r="CDW68" s="10"/>
      <c r="CDX68" s="10"/>
      <c r="CDY68" s="10"/>
      <c r="CDZ68" s="10"/>
      <c r="CEA68" s="10"/>
      <c r="CEB68" s="10"/>
      <c r="CEC68" s="10"/>
      <c r="CED68" s="10"/>
      <c r="CEE68" s="10"/>
      <c r="CEF68" s="10"/>
      <c r="CEG68" s="10"/>
      <c r="CEH68" s="10"/>
      <c r="CEI68" s="10"/>
      <c r="CEJ68" s="10"/>
      <c r="CEK68" s="10"/>
      <c r="CEL68" s="10"/>
      <c r="CEM68" s="10"/>
      <c r="CEN68" s="10"/>
      <c r="CEO68" s="10"/>
      <c r="CEP68" s="10"/>
      <c r="CEQ68" s="10"/>
      <c r="CER68" s="10"/>
      <c r="CES68" s="10"/>
      <c r="CET68" s="10"/>
      <c r="CEU68" s="10"/>
      <c r="CEV68" s="10"/>
      <c r="CEW68" s="10"/>
      <c r="CEX68" s="10"/>
      <c r="CEY68" s="10"/>
      <c r="CEZ68" s="10"/>
      <c r="CFA68" s="10"/>
      <c r="CFB68" s="10"/>
      <c r="CFC68" s="10"/>
      <c r="CFD68" s="10"/>
      <c r="CFE68" s="10"/>
      <c r="CFF68" s="10"/>
      <c r="CFG68" s="10"/>
      <c r="CFH68" s="10"/>
      <c r="CFI68" s="10"/>
      <c r="CFJ68" s="10"/>
      <c r="CFK68" s="10"/>
      <c r="CFL68" s="10"/>
      <c r="CFM68" s="10"/>
      <c r="CFN68" s="10"/>
      <c r="CFO68" s="10"/>
      <c r="CFP68" s="10"/>
      <c r="CFQ68" s="10"/>
      <c r="CFR68" s="10"/>
      <c r="CFS68" s="10"/>
      <c r="CFT68" s="10"/>
      <c r="CFU68" s="10"/>
      <c r="CFV68" s="10"/>
      <c r="CFW68" s="10"/>
      <c r="CFX68" s="10"/>
      <c r="CFY68" s="10"/>
      <c r="CFZ68" s="10"/>
      <c r="CGA68" s="10"/>
      <c r="CGB68" s="10"/>
      <c r="CGC68" s="10"/>
      <c r="CGD68" s="10"/>
      <c r="CGE68" s="10"/>
      <c r="CGF68" s="10"/>
      <c r="CGG68" s="10"/>
      <c r="CGH68" s="10"/>
      <c r="CGI68" s="10"/>
      <c r="CGJ68" s="10"/>
      <c r="CGK68" s="10"/>
      <c r="CGL68" s="10"/>
      <c r="CGM68" s="10"/>
      <c r="CGN68" s="10"/>
      <c r="CGO68" s="10"/>
      <c r="CGP68" s="10"/>
      <c r="CGQ68" s="10"/>
      <c r="CGR68" s="10"/>
      <c r="CGS68" s="10"/>
      <c r="CGT68" s="10"/>
      <c r="CGU68" s="10"/>
      <c r="CGV68" s="10"/>
      <c r="CGW68" s="10"/>
      <c r="CGX68" s="10"/>
      <c r="CGY68" s="10"/>
      <c r="CGZ68" s="10"/>
      <c r="CHA68" s="10"/>
      <c r="CHB68" s="10"/>
      <c r="CHC68" s="10"/>
      <c r="CHD68" s="10"/>
      <c r="CHE68" s="10"/>
      <c r="CHF68" s="10"/>
      <c r="CHG68" s="10"/>
      <c r="CHH68" s="10"/>
      <c r="CHI68" s="10"/>
      <c r="CHJ68" s="10"/>
      <c r="CHK68" s="10"/>
      <c r="CHL68" s="10"/>
      <c r="CHM68" s="10"/>
      <c r="CHN68" s="10"/>
      <c r="CHO68" s="10"/>
      <c r="CHP68" s="10"/>
      <c r="CHQ68" s="10"/>
      <c r="CHR68" s="10"/>
      <c r="CHS68" s="10"/>
      <c r="CHT68" s="10"/>
      <c r="CHU68" s="10"/>
      <c r="CHV68" s="10"/>
      <c r="CHW68" s="10"/>
      <c r="CHX68" s="10"/>
      <c r="CHY68" s="10"/>
      <c r="CHZ68" s="10"/>
      <c r="CIA68" s="10"/>
      <c r="CIB68" s="10"/>
      <c r="CIC68" s="10"/>
      <c r="CID68" s="10"/>
      <c r="CIE68" s="10"/>
      <c r="CIF68" s="10"/>
      <c r="CIG68" s="10"/>
      <c r="CIH68" s="10"/>
      <c r="CII68" s="10"/>
      <c r="CIJ68" s="10"/>
      <c r="CIK68" s="10"/>
      <c r="CIL68" s="10"/>
      <c r="CIM68" s="10"/>
      <c r="CIN68" s="10"/>
      <c r="CIO68" s="10"/>
      <c r="CIP68" s="10"/>
      <c r="CIQ68" s="10"/>
      <c r="CIR68" s="10"/>
      <c r="CIS68" s="10"/>
      <c r="CIT68" s="10"/>
      <c r="CIU68" s="10"/>
      <c r="CIV68" s="10"/>
      <c r="CIW68" s="10"/>
      <c r="CIX68" s="10"/>
      <c r="CIY68" s="10"/>
      <c r="CIZ68" s="10"/>
      <c r="CJA68" s="10"/>
      <c r="CJB68" s="10"/>
      <c r="CJC68" s="10"/>
      <c r="CJD68" s="10"/>
      <c r="CJE68" s="10"/>
      <c r="CJF68" s="10"/>
      <c r="CJG68" s="10"/>
      <c r="CJH68" s="10"/>
      <c r="CJI68" s="10"/>
      <c r="CJJ68" s="10"/>
      <c r="CJK68" s="10"/>
      <c r="CJL68" s="10"/>
      <c r="CJM68" s="10"/>
      <c r="CJN68" s="10"/>
      <c r="CJO68" s="10"/>
      <c r="CJP68" s="10"/>
      <c r="CJQ68" s="10"/>
      <c r="CJR68" s="10"/>
      <c r="CJS68" s="10"/>
      <c r="CJT68" s="10"/>
      <c r="CJU68" s="10"/>
      <c r="CJV68" s="10"/>
      <c r="CJW68" s="10"/>
      <c r="CJX68" s="10"/>
      <c r="CJY68" s="10"/>
      <c r="CJZ68" s="10"/>
      <c r="CKA68" s="10"/>
      <c r="CKB68" s="10"/>
      <c r="CKC68" s="10"/>
      <c r="CKD68" s="10"/>
      <c r="CKE68" s="10"/>
      <c r="CKF68" s="10"/>
      <c r="CKG68" s="10"/>
      <c r="CKH68" s="10"/>
      <c r="CKI68" s="10"/>
      <c r="CKJ68" s="10"/>
      <c r="CKK68" s="10"/>
      <c r="CKL68" s="10"/>
      <c r="CKM68" s="10"/>
      <c r="CKN68" s="10"/>
      <c r="CKO68" s="10"/>
      <c r="CKP68" s="10"/>
      <c r="CKQ68" s="10"/>
      <c r="CKR68" s="10"/>
      <c r="CKS68" s="10"/>
      <c r="CKT68" s="10"/>
      <c r="CKU68" s="10"/>
      <c r="CKV68" s="10"/>
      <c r="CKW68" s="10"/>
      <c r="CKX68" s="10"/>
      <c r="CKY68" s="10"/>
      <c r="CKZ68" s="10"/>
      <c r="CLA68" s="10"/>
      <c r="CLB68" s="10"/>
      <c r="CLC68" s="10"/>
      <c r="CLD68" s="10"/>
      <c r="CLE68" s="10"/>
      <c r="CLF68" s="10"/>
      <c r="CLG68" s="10"/>
      <c r="CLH68" s="10"/>
      <c r="CLI68" s="10"/>
      <c r="CLJ68" s="10"/>
      <c r="CLK68" s="10"/>
      <c r="CLL68" s="10"/>
      <c r="CLM68" s="10"/>
      <c r="CLN68" s="10"/>
      <c r="CLO68" s="10"/>
      <c r="CLP68" s="10"/>
      <c r="CLQ68" s="10"/>
      <c r="CLR68" s="10"/>
      <c r="CLS68" s="10"/>
      <c r="CLT68" s="10"/>
      <c r="CLU68" s="10"/>
      <c r="CLV68" s="10"/>
      <c r="CLW68" s="10"/>
      <c r="CLX68" s="10"/>
      <c r="CLY68" s="10"/>
      <c r="CLZ68" s="10"/>
      <c r="CMA68" s="10"/>
      <c r="CMB68" s="10"/>
      <c r="CMC68" s="10"/>
      <c r="CMD68" s="10"/>
      <c r="CME68" s="10"/>
      <c r="CMF68" s="10"/>
      <c r="CMG68" s="10"/>
      <c r="CMH68" s="10"/>
      <c r="CMI68" s="10"/>
      <c r="CMJ68" s="10"/>
      <c r="CMK68" s="10"/>
      <c r="CML68" s="10"/>
      <c r="CMM68" s="10"/>
      <c r="CMN68" s="10"/>
      <c r="CMO68" s="10"/>
      <c r="CMP68" s="10"/>
      <c r="CMQ68" s="10"/>
      <c r="CMR68" s="10"/>
      <c r="CMS68" s="10"/>
      <c r="CMT68" s="10"/>
      <c r="CMU68" s="10"/>
      <c r="CMV68" s="10"/>
      <c r="CMW68" s="10"/>
      <c r="CMX68" s="10"/>
      <c r="CMY68" s="10"/>
      <c r="CMZ68" s="10"/>
      <c r="CNA68" s="10"/>
      <c r="CNB68" s="10"/>
      <c r="CNC68" s="10"/>
      <c r="CND68" s="10"/>
      <c r="CNE68" s="10"/>
      <c r="CNF68" s="10"/>
      <c r="CNG68" s="10"/>
      <c r="CNH68" s="10"/>
      <c r="CNI68" s="10"/>
      <c r="CNJ68" s="10"/>
      <c r="CNK68" s="10"/>
      <c r="CNL68" s="10"/>
      <c r="CNM68" s="10"/>
      <c r="CNN68" s="10"/>
      <c r="CNO68" s="10"/>
      <c r="CNP68" s="10"/>
      <c r="CNQ68" s="10"/>
      <c r="CNR68" s="10"/>
      <c r="CNS68" s="10"/>
      <c r="CNT68" s="10"/>
      <c r="CNU68" s="10"/>
      <c r="CNV68" s="10"/>
      <c r="CNW68" s="10"/>
      <c r="CNX68" s="10"/>
      <c r="CNY68" s="10"/>
      <c r="CNZ68" s="10"/>
      <c r="COA68" s="10"/>
      <c r="COB68" s="10"/>
      <c r="COC68" s="10"/>
      <c r="COD68" s="10"/>
      <c r="COE68" s="10"/>
      <c r="COF68" s="10"/>
      <c r="COG68" s="10"/>
      <c r="COH68" s="10"/>
      <c r="COI68" s="10"/>
      <c r="COJ68" s="10"/>
      <c r="COK68" s="10"/>
      <c r="COL68" s="10"/>
      <c r="COM68" s="10"/>
      <c r="CON68" s="10"/>
      <c r="COO68" s="10"/>
      <c r="COP68" s="10"/>
      <c r="COQ68" s="10"/>
      <c r="COR68" s="10"/>
      <c r="COS68" s="10"/>
      <c r="COT68" s="10"/>
      <c r="COU68" s="10"/>
      <c r="COV68" s="10"/>
      <c r="COW68" s="10"/>
      <c r="COX68" s="10"/>
      <c r="COY68" s="10"/>
      <c r="COZ68" s="10"/>
      <c r="CPA68" s="10"/>
      <c r="CPB68" s="10"/>
      <c r="CPC68" s="10"/>
      <c r="CPD68" s="10"/>
      <c r="CPE68" s="10"/>
      <c r="CPF68" s="10"/>
      <c r="CPG68" s="10"/>
      <c r="CPH68" s="10"/>
      <c r="CPI68" s="10"/>
      <c r="CPJ68" s="10"/>
      <c r="CPK68" s="10"/>
      <c r="CPL68" s="10"/>
      <c r="CPM68" s="10"/>
      <c r="CPN68" s="10"/>
      <c r="CPO68" s="10"/>
      <c r="CPP68" s="10"/>
      <c r="CPQ68" s="10"/>
      <c r="CPR68" s="10"/>
      <c r="CPS68" s="10"/>
      <c r="CPT68" s="10"/>
      <c r="CPU68" s="10"/>
      <c r="CPV68" s="10"/>
      <c r="CPW68" s="10"/>
      <c r="CPX68" s="10"/>
      <c r="CPY68" s="10"/>
      <c r="CPZ68" s="10"/>
      <c r="CQA68" s="10"/>
      <c r="CQB68" s="10"/>
      <c r="CQC68" s="10"/>
      <c r="CQD68" s="10"/>
      <c r="CQE68" s="10"/>
      <c r="CQF68" s="10"/>
      <c r="CQG68" s="10"/>
      <c r="CQH68" s="10"/>
      <c r="CQI68" s="10"/>
      <c r="CQJ68" s="10"/>
      <c r="CQK68" s="10"/>
      <c r="CQL68" s="10"/>
      <c r="CQM68" s="10"/>
      <c r="CQN68" s="10"/>
      <c r="CQO68" s="10"/>
      <c r="CQP68" s="10"/>
      <c r="CQQ68" s="10"/>
      <c r="CQR68" s="10"/>
      <c r="CQS68" s="10"/>
      <c r="CQT68" s="10"/>
      <c r="CQU68" s="10"/>
      <c r="CQV68" s="10"/>
      <c r="CQW68" s="10"/>
      <c r="CQX68" s="10"/>
      <c r="CQY68" s="10"/>
      <c r="CQZ68" s="10"/>
      <c r="CRA68" s="10"/>
      <c r="CRB68" s="10"/>
      <c r="CRC68" s="10"/>
      <c r="CRD68" s="10"/>
      <c r="CRE68" s="10"/>
      <c r="CRF68" s="10"/>
      <c r="CRG68" s="10"/>
      <c r="CRH68" s="10"/>
      <c r="CRI68" s="10"/>
      <c r="CRJ68" s="10"/>
      <c r="CRK68" s="10"/>
      <c r="CRL68" s="10"/>
      <c r="CRM68" s="10"/>
      <c r="CRN68" s="10"/>
      <c r="CRO68" s="10"/>
      <c r="CRP68" s="10"/>
      <c r="CRQ68" s="10"/>
      <c r="CRR68" s="10"/>
      <c r="CRS68" s="10"/>
      <c r="CRT68" s="10"/>
      <c r="CRU68" s="10"/>
      <c r="CRV68" s="10"/>
      <c r="CRW68" s="10"/>
      <c r="CRX68" s="10"/>
      <c r="CRY68" s="10"/>
      <c r="CRZ68" s="10"/>
      <c r="CSA68" s="10"/>
      <c r="CSB68" s="10"/>
      <c r="CSC68" s="10"/>
      <c r="CSD68" s="10"/>
      <c r="CSE68" s="10"/>
      <c r="CSF68" s="10"/>
      <c r="CSG68" s="10"/>
      <c r="CSH68" s="10"/>
      <c r="CSI68" s="10"/>
      <c r="CSJ68" s="10"/>
      <c r="CSK68" s="10"/>
      <c r="CSL68" s="10"/>
      <c r="CSM68" s="10"/>
      <c r="CSN68" s="10"/>
      <c r="CSO68" s="10"/>
      <c r="CSP68" s="10"/>
      <c r="CSQ68" s="10"/>
      <c r="CSR68" s="10"/>
      <c r="CSS68" s="10"/>
      <c r="CST68" s="10"/>
      <c r="CSU68" s="10"/>
      <c r="CSV68" s="10"/>
      <c r="CSW68" s="10"/>
      <c r="CSX68" s="10"/>
      <c r="CSY68" s="10"/>
      <c r="CSZ68" s="10"/>
      <c r="CTA68" s="10"/>
      <c r="CTB68" s="10"/>
      <c r="CTC68" s="10"/>
      <c r="CTD68" s="10"/>
      <c r="CTE68" s="10"/>
      <c r="CTF68" s="10"/>
      <c r="CTG68" s="10"/>
      <c r="CTH68" s="10"/>
      <c r="CTI68" s="10"/>
      <c r="CTJ68" s="10"/>
      <c r="CTK68" s="10"/>
      <c r="CTL68" s="10"/>
      <c r="CTM68" s="10"/>
      <c r="CTN68" s="10"/>
      <c r="CTO68" s="10"/>
      <c r="CTP68" s="10"/>
      <c r="CTQ68" s="10"/>
      <c r="CTR68" s="10"/>
      <c r="CTS68" s="10"/>
      <c r="CTT68" s="10"/>
      <c r="CTU68" s="10"/>
      <c r="CTV68" s="10"/>
      <c r="CTW68" s="10"/>
      <c r="CTX68" s="10"/>
      <c r="CTY68" s="10"/>
      <c r="CTZ68" s="10"/>
      <c r="CUA68" s="10"/>
      <c r="CUB68" s="10"/>
      <c r="CUC68" s="10"/>
      <c r="CUD68" s="10"/>
      <c r="CUE68" s="10"/>
      <c r="CUF68" s="10"/>
      <c r="CUG68" s="10"/>
      <c r="CUH68" s="10"/>
      <c r="CUI68" s="10"/>
      <c r="CUJ68" s="10"/>
      <c r="CUK68" s="10"/>
      <c r="CUL68" s="10"/>
      <c r="CUM68" s="10"/>
      <c r="CUN68" s="10"/>
      <c r="CUO68" s="10"/>
      <c r="CUP68" s="10"/>
      <c r="CUQ68" s="10"/>
      <c r="CUR68" s="10"/>
      <c r="CUS68" s="10"/>
      <c r="CUT68" s="10"/>
      <c r="CUU68" s="10"/>
      <c r="CUV68" s="10"/>
      <c r="CUW68" s="10"/>
      <c r="CUX68" s="10"/>
      <c r="CUY68" s="10"/>
      <c r="CUZ68" s="10"/>
      <c r="CVA68" s="10"/>
      <c r="CVB68" s="10"/>
      <c r="CVC68" s="10"/>
      <c r="CVD68" s="10"/>
      <c r="CVE68" s="10"/>
      <c r="CVF68" s="10"/>
      <c r="CVG68" s="10"/>
      <c r="CVH68" s="10"/>
      <c r="CVI68" s="10"/>
      <c r="CVJ68" s="10"/>
      <c r="CVK68" s="10"/>
      <c r="CVL68" s="10"/>
      <c r="CVM68" s="10"/>
      <c r="CVN68" s="10"/>
      <c r="CVO68" s="10"/>
      <c r="CVP68" s="10"/>
      <c r="CVQ68" s="10"/>
      <c r="CVR68" s="10"/>
      <c r="CVS68" s="10"/>
      <c r="CVT68" s="10"/>
      <c r="CVU68" s="10"/>
      <c r="CVV68" s="10"/>
      <c r="CVW68" s="10"/>
      <c r="CVX68" s="10"/>
      <c r="CVY68" s="10"/>
      <c r="CVZ68" s="10"/>
      <c r="CWA68" s="10"/>
      <c r="CWB68" s="10"/>
      <c r="CWC68" s="10"/>
      <c r="CWD68" s="10"/>
      <c r="CWE68" s="10"/>
      <c r="CWF68" s="10"/>
      <c r="CWG68" s="10"/>
      <c r="CWH68" s="10"/>
      <c r="CWI68" s="10"/>
      <c r="CWJ68" s="10"/>
      <c r="CWK68" s="10"/>
      <c r="CWL68" s="10"/>
      <c r="CWM68" s="10"/>
      <c r="CWN68" s="10"/>
      <c r="CWO68" s="10"/>
      <c r="CWP68" s="10"/>
      <c r="CWQ68" s="10"/>
      <c r="CWR68" s="10"/>
      <c r="CWS68" s="10"/>
      <c r="CWT68" s="10"/>
      <c r="CWU68" s="10"/>
      <c r="CWV68" s="10"/>
      <c r="CWW68" s="10"/>
      <c r="CWX68" s="10"/>
      <c r="CWY68" s="10"/>
      <c r="CWZ68" s="10"/>
      <c r="CXA68" s="10"/>
      <c r="CXB68" s="10"/>
      <c r="CXC68" s="10"/>
      <c r="CXD68" s="10"/>
      <c r="CXE68" s="10"/>
      <c r="CXF68" s="10"/>
      <c r="CXG68" s="10"/>
      <c r="CXH68" s="10"/>
      <c r="CXI68" s="10"/>
      <c r="CXJ68" s="10"/>
      <c r="CXK68" s="10"/>
      <c r="CXL68" s="10"/>
      <c r="CXM68" s="10"/>
      <c r="CXN68" s="10"/>
      <c r="CXO68" s="10"/>
      <c r="CXP68" s="10"/>
      <c r="CXQ68" s="10"/>
      <c r="CXR68" s="10"/>
      <c r="CXS68" s="10"/>
      <c r="CXT68" s="10"/>
      <c r="CXU68" s="10"/>
      <c r="CXV68" s="10"/>
      <c r="CXW68" s="10"/>
      <c r="CXX68" s="10"/>
      <c r="CXY68" s="10"/>
      <c r="CXZ68" s="10"/>
      <c r="CYA68" s="10"/>
      <c r="CYB68" s="10"/>
      <c r="CYC68" s="10"/>
      <c r="CYD68" s="10"/>
      <c r="CYE68" s="10"/>
      <c r="CYF68" s="10"/>
      <c r="CYG68" s="10"/>
      <c r="CYH68" s="10"/>
      <c r="CYI68" s="10"/>
      <c r="CYJ68" s="10"/>
      <c r="CYK68" s="10"/>
      <c r="CYL68" s="10"/>
      <c r="CYM68" s="10"/>
      <c r="CYN68" s="10"/>
      <c r="CYO68" s="10"/>
      <c r="CYP68" s="10"/>
      <c r="CYQ68" s="10"/>
      <c r="CYR68" s="10"/>
      <c r="CYS68" s="10"/>
      <c r="CYT68" s="10"/>
      <c r="CYU68" s="10"/>
      <c r="CYV68" s="10"/>
      <c r="CYW68" s="10"/>
      <c r="CYX68" s="10"/>
      <c r="CYY68" s="10"/>
      <c r="CYZ68" s="10"/>
      <c r="CZA68" s="10"/>
      <c r="CZB68" s="10"/>
      <c r="CZC68" s="10"/>
      <c r="CZD68" s="10"/>
      <c r="CZE68" s="10"/>
      <c r="CZF68" s="10"/>
      <c r="CZG68" s="10"/>
      <c r="CZH68" s="10"/>
      <c r="CZI68" s="10"/>
      <c r="CZJ68" s="10"/>
      <c r="CZK68" s="10"/>
      <c r="CZL68" s="10"/>
      <c r="CZM68" s="10"/>
      <c r="CZN68" s="10"/>
      <c r="CZO68" s="10"/>
      <c r="CZP68" s="10"/>
      <c r="CZQ68" s="10"/>
      <c r="CZR68" s="10"/>
      <c r="CZS68" s="10"/>
      <c r="CZT68" s="10"/>
      <c r="CZU68" s="10"/>
      <c r="CZV68" s="10"/>
      <c r="CZW68" s="10"/>
      <c r="CZX68" s="10"/>
      <c r="CZY68" s="10"/>
      <c r="CZZ68" s="10"/>
      <c r="DAA68" s="10"/>
      <c r="DAB68" s="10"/>
      <c r="DAC68" s="10"/>
      <c r="DAD68" s="10"/>
      <c r="DAE68" s="10"/>
      <c r="DAF68" s="10"/>
      <c r="DAG68" s="10"/>
      <c r="DAH68" s="10"/>
      <c r="DAI68" s="10"/>
      <c r="DAJ68" s="10"/>
      <c r="DAK68" s="10"/>
      <c r="DAL68" s="10"/>
      <c r="DAM68" s="10"/>
      <c r="DAN68" s="10"/>
      <c r="DAO68" s="10"/>
      <c r="DAP68" s="10"/>
      <c r="DAQ68" s="10"/>
      <c r="DAR68" s="10"/>
      <c r="DAS68" s="10"/>
      <c r="DAT68" s="10"/>
      <c r="DAU68" s="10"/>
      <c r="DAV68" s="10"/>
      <c r="DAW68" s="10"/>
      <c r="DAX68" s="10"/>
      <c r="DAY68" s="10"/>
      <c r="DAZ68" s="10"/>
      <c r="DBA68" s="10"/>
      <c r="DBB68" s="10"/>
      <c r="DBC68" s="10"/>
      <c r="DBD68" s="10"/>
      <c r="DBE68" s="10"/>
      <c r="DBF68" s="10"/>
      <c r="DBG68" s="10"/>
      <c r="DBH68" s="10"/>
      <c r="DBI68" s="10"/>
      <c r="DBJ68" s="10"/>
      <c r="DBK68" s="10"/>
      <c r="DBL68" s="10"/>
      <c r="DBM68" s="10"/>
      <c r="DBN68" s="10"/>
      <c r="DBO68" s="10"/>
      <c r="DBP68" s="10"/>
      <c r="DBQ68" s="10"/>
      <c r="DBR68" s="10"/>
      <c r="DBS68" s="10"/>
      <c r="DBT68" s="10"/>
      <c r="DBU68" s="10"/>
      <c r="DBV68" s="10"/>
      <c r="DBW68" s="10"/>
      <c r="DBX68" s="10"/>
      <c r="DBY68" s="10"/>
      <c r="DBZ68" s="10"/>
      <c r="DCA68" s="10"/>
      <c r="DCB68" s="10"/>
      <c r="DCC68" s="10"/>
      <c r="DCD68" s="10"/>
      <c r="DCE68" s="10"/>
      <c r="DCF68" s="10"/>
      <c r="DCG68" s="10"/>
      <c r="DCH68" s="10"/>
      <c r="DCI68" s="10"/>
      <c r="DCJ68" s="10"/>
      <c r="DCK68" s="10"/>
      <c r="DCL68" s="10"/>
      <c r="DCM68" s="10"/>
      <c r="DCN68" s="10"/>
      <c r="DCO68" s="10"/>
      <c r="DCP68" s="10"/>
      <c r="DCQ68" s="10"/>
      <c r="DCR68" s="10"/>
      <c r="DCS68" s="10"/>
      <c r="DCT68" s="10"/>
      <c r="DCU68" s="10"/>
      <c r="DCV68" s="10"/>
      <c r="DCW68" s="10"/>
      <c r="DCX68" s="10"/>
      <c r="DCY68" s="10"/>
      <c r="DCZ68" s="10"/>
      <c r="DDA68" s="10"/>
      <c r="DDB68" s="10"/>
      <c r="DDC68" s="10"/>
      <c r="DDD68" s="10"/>
      <c r="DDE68" s="10"/>
      <c r="DDF68" s="10"/>
      <c r="DDG68" s="10"/>
      <c r="DDH68" s="10"/>
      <c r="DDI68" s="10"/>
      <c r="DDJ68" s="10"/>
      <c r="DDK68" s="10"/>
      <c r="DDL68" s="10"/>
      <c r="DDM68" s="10"/>
      <c r="DDN68" s="10"/>
      <c r="DDO68" s="10"/>
      <c r="DDP68" s="10"/>
      <c r="DDQ68" s="10"/>
      <c r="DDR68" s="10"/>
      <c r="DDS68" s="10"/>
      <c r="DDT68" s="10"/>
      <c r="DDU68" s="10"/>
      <c r="DDV68" s="10"/>
      <c r="DDW68" s="10"/>
      <c r="DDX68" s="10"/>
      <c r="DDY68" s="10"/>
      <c r="DDZ68" s="10"/>
      <c r="DEA68" s="10"/>
      <c r="DEB68" s="10"/>
      <c r="DEC68" s="10"/>
      <c r="DED68" s="10"/>
      <c r="DEE68" s="10"/>
      <c r="DEF68" s="10"/>
      <c r="DEG68" s="10"/>
      <c r="DEH68" s="10"/>
      <c r="DEI68" s="10"/>
      <c r="DEJ68" s="10"/>
      <c r="DEK68" s="10"/>
      <c r="DEL68" s="10"/>
      <c r="DEM68" s="10"/>
      <c r="DEN68" s="10"/>
      <c r="DEO68" s="10"/>
      <c r="DEP68" s="10"/>
      <c r="DEQ68" s="10"/>
      <c r="DER68" s="10"/>
      <c r="DES68" s="10"/>
      <c r="DET68" s="10"/>
      <c r="DEU68" s="10"/>
      <c r="DEV68" s="10"/>
      <c r="DEW68" s="10"/>
      <c r="DEX68" s="10"/>
      <c r="DEY68" s="10"/>
      <c r="DEZ68" s="10"/>
      <c r="DFA68" s="10"/>
      <c r="DFB68" s="10"/>
      <c r="DFC68" s="10"/>
      <c r="DFD68" s="10"/>
      <c r="DFE68" s="10"/>
      <c r="DFF68" s="10"/>
      <c r="DFG68" s="10"/>
      <c r="DFH68" s="10"/>
      <c r="DFI68" s="10"/>
      <c r="DFJ68" s="10"/>
      <c r="DFK68" s="10"/>
      <c r="DFL68" s="10"/>
      <c r="DFM68" s="10"/>
      <c r="DFN68" s="10"/>
      <c r="DFO68" s="10"/>
      <c r="DFP68" s="10"/>
      <c r="DFQ68" s="10"/>
      <c r="DFR68" s="10"/>
      <c r="DFS68" s="10"/>
      <c r="DFT68" s="10"/>
      <c r="DFU68" s="10"/>
      <c r="DFV68" s="10"/>
      <c r="DFW68" s="10"/>
      <c r="DFX68" s="10"/>
      <c r="DFY68" s="10"/>
      <c r="DFZ68" s="10"/>
      <c r="DGA68" s="10"/>
      <c r="DGB68" s="10"/>
      <c r="DGC68" s="10"/>
      <c r="DGD68" s="10"/>
      <c r="DGE68" s="10"/>
      <c r="DGF68" s="10"/>
      <c r="DGG68" s="10"/>
      <c r="DGH68" s="10"/>
      <c r="DGI68" s="10"/>
      <c r="DGJ68" s="10"/>
      <c r="DGK68" s="10"/>
      <c r="DGL68" s="10"/>
      <c r="DGM68" s="10"/>
      <c r="DGN68" s="10"/>
      <c r="DGO68" s="10"/>
      <c r="DGP68" s="10"/>
      <c r="DGQ68" s="10"/>
      <c r="DGR68" s="10"/>
      <c r="DGS68" s="10"/>
      <c r="DGT68" s="10"/>
      <c r="DGU68" s="10"/>
      <c r="DGV68" s="10"/>
      <c r="DGW68" s="10"/>
      <c r="DGX68" s="10"/>
      <c r="DGY68" s="10"/>
      <c r="DGZ68" s="10"/>
      <c r="DHA68" s="10"/>
      <c r="DHB68" s="10"/>
      <c r="DHC68" s="10"/>
      <c r="DHD68" s="10"/>
      <c r="DHE68" s="10"/>
      <c r="DHF68" s="10"/>
      <c r="DHG68" s="10"/>
      <c r="DHH68" s="10"/>
      <c r="DHI68" s="10"/>
      <c r="DHJ68" s="10"/>
      <c r="DHK68" s="10"/>
      <c r="DHL68" s="10"/>
      <c r="DHM68" s="10"/>
      <c r="DHN68" s="10"/>
      <c r="DHO68" s="10"/>
      <c r="DHP68" s="10"/>
      <c r="DHQ68" s="10"/>
      <c r="DHR68" s="10"/>
      <c r="DHS68" s="10"/>
      <c r="DHT68" s="10"/>
      <c r="DHU68" s="10"/>
      <c r="DHV68" s="10"/>
      <c r="DHW68" s="10"/>
      <c r="DHX68" s="10"/>
      <c r="DHY68" s="10"/>
      <c r="DHZ68" s="10"/>
      <c r="DIA68" s="10"/>
      <c r="DIB68" s="10"/>
      <c r="DIC68" s="10"/>
      <c r="DID68" s="10"/>
      <c r="DIE68" s="10"/>
      <c r="DIF68" s="10"/>
      <c r="DIG68" s="10"/>
      <c r="DIH68" s="10"/>
      <c r="DII68" s="10"/>
      <c r="DIJ68" s="10"/>
      <c r="DIK68" s="10"/>
      <c r="DIL68" s="10"/>
      <c r="DIM68" s="10"/>
      <c r="DIN68" s="10"/>
      <c r="DIO68" s="10"/>
      <c r="DIP68" s="10"/>
      <c r="DIQ68" s="10"/>
      <c r="DIR68" s="10"/>
      <c r="DIS68" s="10"/>
      <c r="DIT68" s="10"/>
      <c r="DIU68" s="10"/>
      <c r="DIV68" s="10"/>
      <c r="DIW68" s="10"/>
      <c r="DIX68" s="10"/>
      <c r="DIY68" s="10"/>
      <c r="DIZ68" s="10"/>
      <c r="DJA68" s="10"/>
      <c r="DJB68" s="10"/>
      <c r="DJC68" s="10"/>
      <c r="DJD68" s="10"/>
      <c r="DJE68" s="10"/>
      <c r="DJF68" s="10"/>
      <c r="DJG68" s="10"/>
      <c r="DJH68" s="10"/>
      <c r="DJI68" s="10"/>
      <c r="DJJ68" s="10"/>
      <c r="DJK68" s="10"/>
      <c r="DJL68" s="10"/>
      <c r="DJM68" s="10"/>
      <c r="DJN68" s="10"/>
      <c r="DJO68" s="10"/>
      <c r="DJP68" s="10"/>
      <c r="DJQ68" s="10"/>
      <c r="DJR68" s="10"/>
      <c r="DJS68" s="10"/>
      <c r="DJT68" s="10"/>
      <c r="DJU68" s="10"/>
      <c r="DJV68" s="10"/>
      <c r="DJW68" s="10"/>
      <c r="DJX68" s="10"/>
      <c r="DJY68" s="10"/>
      <c r="DJZ68" s="10"/>
      <c r="DKA68" s="10"/>
      <c r="DKB68" s="10"/>
      <c r="DKC68" s="10"/>
      <c r="DKD68" s="10"/>
      <c r="DKE68" s="10"/>
      <c r="DKF68" s="10"/>
      <c r="DKG68" s="10"/>
      <c r="DKH68" s="10"/>
      <c r="DKI68" s="10"/>
      <c r="DKJ68" s="10"/>
      <c r="DKK68" s="10"/>
      <c r="DKL68" s="10"/>
      <c r="DKM68" s="10"/>
      <c r="DKN68" s="10"/>
      <c r="DKO68" s="10"/>
      <c r="DKP68" s="10"/>
      <c r="DKQ68" s="10"/>
      <c r="DKR68" s="10"/>
      <c r="DKS68" s="10"/>
      <c r="DKT68" s="10"/>
      <c r="DKU68" s="10"/>
      <c r="DKV68" s="10"/>
      <c r="DKW68" s="10"/>
      <c r="DKX68" s="10"/>
      <c r="DKY68" s="10"/>
      <c r="DKZ68" s="10"/>
      <c r="DLA68" s="10"/>
      <c r="DLB68" s="10"/>
      <c r="DLC68" s="10"/>
      <c r="DLD68" s="10"/>
      <c r="DLE68" s="10"/>
      <c r="DLF68" s="10"/>
      <c r="DLG68" s="10"/>
      <c r="DLH68" s="10"/>
      <c r="DLI68" s="10"/>
      <c r="DLJ68" s="10"/>
      <c r="DLK68" s="10"/>
      <c r="DLL68" s="10"/>
      <c r="DLM68" s="10"/>
      <c r="DLN68" s="10"/>
      <c r="DLO68" s="10"/>
      <c r="DLP68" s="10"/>
      <c r="DLQ68" s="10"/>
      <c r="DLR68" s="10"/>
      <c r="DLS68" s="10"/>
      <c r="DLT68" s="10"/>
      <c r="DLU68" s="10"/>
      <c r="DLV68" s="10"/>
      <c r="DLW68" s="10"/>
      <c r="DLX68" s="10"/>
      <c r="DLY68" s="10"/>
      <c r="DLZ68" s="10"/>
      <c r="DMA68" s="10"/>
      <c r="DMB68" s="10"/>
      <c r="DMC68" s="10"/>
      <c r="DMD68" s="10"/>
      <c r="DME68" s="10"/>
      <c r="DMF68" s="10"/>
      <c r="DMG68" s="10"/>
      <c r="DMH68" s="10"/>
      <c r="DMI68" s="10"/>
      <c r="DMJ68" s="10"/>
      <c r="DMK68" s="10"/>
      <c r="DML68" s="10"/>
      <c r="DMM68" s="10"/>
      <c r="DMN68" s="10"/>
      <c r="DMO68" s="10"/>
      <c r="DMP68" s="10"/>
      <c r="DMQ68" s="10"/>
      <c r="DMR68" s="10"/>
      <c r="DMS68" s="10"/>
      <c r="DMT68" s="10"/>
      <c r="DMU68" s="10"/>
      <c r="DMV68" s="10"/>
      <c r="DMW68" s="10"/>
      <c r="DMX68" s="10"/>
      <c r="DMY68" s="10"/>
      <c r="DMZ68" s="10"/>
      <c r="DNA68" s="10"/>
      <c r="DNB68" s="10"/>
      <c r="DNC68" s="10"/>
      <c r="DND68" s="10"/>
      <c r="DNE68" s="10"/>
      <c r="DNF68" s="10"/>
      <c r="DNG68" s="10"/>
      <c r="DNH68" s="10"/>
      <c r="DNI68" s="10"/>
      <c r="DNJ68" s="10"/>
      <c r="DNK68" s="10"/>
      <c r="DNL68" s="10"/>
      <c r="DNM68" s="10"/>
      <c r="DNN68" s="10"/>
      <c r="DNO68" s="10"/>
      <c r="DNP68" s="10"/>
      <c r="DNQ68" s="10"/>
      <c r="DNR68" s="10"/>
      <c r="DNS68" s="10"/>
      <c r="DNT68" s="10"/>
      <c r="DNU68" s="10"/>
      <c r="DNV68" s="10"/>
      <c r="DNW68" s="10"/>
      <c r="DNX68" s="10"/>
      <c r="DNY68" s="10"/>
      <c r="DNZ68" s="10"/>
      <c r="DOA68" s="10"/>
      <c r="DOB68" s="10"/>
      <c r="DOC68" s="10"/>
      <c r="DOD68" s="10"/>
      <c r="DOE68" s="10"/>
      <c r="DOF68" s="10"/>
      <c r="DOG68" s="10"/>
      <c r="DOH68" s="10"/>
      <c r="DOI68" s="10"/>
      <c r="DOJ68" s="10"/>
      <c r="DOK68" s="10"/>
      <c r="DOL68" s="10"/>
      <c r="DOM68" s="10"/>
      <c r="DON68" s="10"/>
      <c r="DOO68" s="10"/>
      <c r="DOP68" s="10"/>
      <c r="DOQ68" s="10"/>
      <c r="DOR68" s="10"/>
      <c r="DOS68" s="10"/>
      <c r="DOT68" s="10"/>
      <c r="DOU68" s="10"/>
      <c r="DOV68" s="10"/>
      <c r="DOW68" s="10"/>
      <c r="DOX68" s="10"/>
      <c r="DOY68" s="10"/>
      <c r="DOZ68" s="10"/>
      <c r="DPA68" s="10"/>
      <c r="DPB68" s="10"/>
      <c r="DPC68" s="10"/>
      <c r="DPD68" s="10"/>
      <c r="DPE68" s="10"/>
      <c r="DPF68" s="10"/>
      <c r="DPG68" s="10"/>
      <c r="DPH68" s="10"/>
      <c r="DPI68" s="10"/>
      <c r="DPJ68" s="10"/>
      <c r="DPK68" s="10"/>
      <c r="DPL68" s="10"/>
      <c r="DPM68" s="10"/>
      <c r="DPN68" s="10"/>
      <c r="DPO68" s="10"/>
      <c r="DPP68" s="10"/>
      <c r="DPQ68" s="10"/>
      <c r="DPR68" s="10"/>
      <c r="DPS68" s="10"/>
      <c r="DPT68" s="10"/>
      <c r="DPU68" s="10"/>
      <c r="DPV68" s="10"/>
      <c r="DPW68" s="10"/>
      <c r="DPX68" s="10"/>
      <c r="DPY68" s="10"/>
      <c r="DPZ68" s="10"/>
      <c r="DQA68" s="10"/>
      <c r="DQB68" s="10"/>
      <c r="DQC68" s="10"/>
      <c r="DQD68" s="10"/>
      <c r="DQE68" s="10"/>
      <c r="DQF68" s="10"/>
      <c r="DQG68" s="10"/>
      <c r="DQH68" s="10"/>
      <c r="DQI68" s="10"/>
      <c r="DQJ68" s="10"/>
      <c r="DQK68" s="10"/>
      <c r="DQL68" s="10"/>
      <c r="DQM68" s="10"/>
      <c r="DQN68" s="10"/>
      <c r="DQO68" s="10"/>
      <c r="DQP68" s="10"/>
      <c r="DQQ68" s="10"/>
      <c r="DQR68" s="10"/>
      <c r="DQS68" s="10"/>
      <c r="DQT68" s="10"/>
      <c r="DQU68" s="10"/>
      <c r="DQV68" s="10"/>
      <c r="DQW68" s="10"/>
      <c r="DQX68" s="10"/>
      <c r="DQY68" s="10"/>
      <c r="DQZ68" s="10"/>
      <c r="DRA68" s="10"/>
      <c r="DRB68" s="10"/>
      <c r="DRC68" s="10"/>
      <c r="DRD68" s="10"/>
      <c r="DRE68" s="10"/>
      <c r="DRF68" s="10"/>
      <c r="DRG68" s="10"/>
      <c r="DRH68" s="10"/>
      <c r="DRI68" s="10"/>
      <c r="DRJ68" s="10"/>
      <c r="DRK68" s="10"/>
      <c r="DRL68" s="10"/>
      <c r="DRM68" s="10"/>
      <c r="DRN68" s="10"/>
      <c r="DRO68" s="10"/>
      <c r="DRP68" s="10"/>
      <c r="DRQ68" s="10"/>
      <c r="DRR68" s="10"/>
      <c r="DRS68" s="10"/>
      <c r="DRT68" s="10"/>
      <c r="DRU68" s="10"/>
      <c r="DRV68" s="10"/>
      <c r="DRW68" s="10"/>
      <c r="DRX68" s="10"/>
      <c r="DRY68" s="10"/>
      <c r="DRZ68" s="10"/>
      <c r="DSA68" s="10"/>
      <c r="DSB68" s="10"/>
      <c r="DSC68" s="10"/>
      <c r="DSD68" s="10"/>
      <c r="DSE68" s="10"/>
      <c r="DSF68" s="10"/>
      <c r="DSG68" s="10"/>
      <c r="DSH68" s="10"/>
      <c r="DSI68" s="10"/>
      <c r="DSJ68" s="10"/>
      <c r="DSK68" s="10"/>
      <c r="DSL68" s="10"/>
      <c r="DSM68" s="10"/>
      <c r="DSN68" s="10"/>
      <c r="DSO68" s="10"/>
      <c r="DSP68" s="10"/>
      <c r="DSQ68" s="10"/>
      <c r="DSR68" s="10"/>
      <c r="DSS68" s="10"/>
      <c r="DST68" s="10"/>
      <c r="DSU68" s="10"/>
      <c r="DSV68" s="10"/>
      <c r="DSW68" s="10"/>
      <c r="DSX68" s="10"/>
      <c r="DSY68" s="10"/>
      <c r="DSZ68" s="10"/>
      <c r="DTA68" s="10"/>
      <c r="DTB68" s="10"/>
      <c r="DTC68" s="10"/>
      <c r="DTD68" s="10"/>
      <c r="DTE68" s="10"/>
      <c r="DTF68" s="10"/>
      <c r="DTG68" s="10"/>
      <c r="DTH68" s="10"/>
      <c r="DTI68" s="10"/>
      <c r="DTJ68" s="10"/>
      <c r="DTK68" s="10"/>
      <c r="DTL68" s="10"/>
      <c r="DTM68" s="10"/>
      <c r="DTN68" s="10"/>
      <c r="DTO68" s="10"/>
      <c r="DTP68" s="10"/>
      <c r="DTQ68" s="10"/>
      <c r="DTR68" s="10"/>
      <c r="DTS68" s="10"/>
      <c r="DTT68" s="10"/>
      <c r="DTU68" s="10"/>
      <c r="DTV68" s="10"/>
      <c r="DTW68" s="10"/>
      <c r="DTX68" s="10"/>
      <c r="DTY68" s="10"/>
      <c r="DTZ68" s="10"/>
      <c r="DUA68" s="10"/>
      <c r="DUB68" s="10"/>
      <c r="DUC68" s="10"/>
      <c r="DUD68" s="10"/>
      <c r="DUE68" s="10"/>
      <c r="DUF68" s="10"/>
      <c r="DUG68" s="10"/>
      <c r="DUH68" s="10"/>
      <c r="DUI68" s="10"/>
      <c r="DUJ68" s="10"/>
      <c r="DUK68" s="10"/>
      <c r="DUL68" s="10"/>
      <c r="DUM68" s="10"/>
      <c r="DUN68" s="10"/>
      <c r="DUO68" s="10"/>
      <c r="DUP68" s="10"/>
      <c r="DUQ68" s="10"/>
      <c r="DUR68" s="10"/>
      <c r="DUS68" s="10"/>
      <c r="DUT68" s="10"/>
      <c r="DUU68" s="10"/>
      <c r="DUV68" s="10"/>
      <c r="DUW68" s="10"/>
      <c r="DUX68" s="10"/>
      <c r="DUY68" s="10"/>
      <c r="DUZ68" s="10"/>
      <c r="DVA68" s="10"/>
      <c r="DVB68" s="10"/>
      <c r="DVC68" s="10"/>
      <c r="DVD68" s="10"/>
      <c r="DVE68" s="10"/>
      <c r="DVF68" s="10"/>
      <c r="DVG68" s="10"/>
      <c r="DVH68" s="10"/>
      <c r="DVI68" s="10"/>
      <c r="DVJ68" s="10"/>
      <c r="DVK68" s="10"/>
      <c r="DVL68" s="10"/>
      <c r="DVM68" s="10"/>
      <c r="DVN68" s="10"/>
      <c r="DVO68" s="10"/>
      <c r="DVP68" s="10"/>
      <c r="DVQ68" s="10"/>
      <c r="DVR68" s="10"/>
      <c r="DVS68" s="10"/>
      <c r="DVT68" s="10"/>
      <c r="DVU68" s="10"/>
      <c r="DVV68" s="10"/>
      <c r="DVW68" s="10"/>
      <c r="DVX68" s="10"/>
      <c r="DVY68" s="10"/>
      <c r="DVZ68" s="10"/>
      <c r="DWA68" s="10"/>
      <c r="DWB68" s="10"/>
      <c r="DWC68" s="10"/>
      <c r="DWD68" s="10"/>
      <c r="DWE68" s="10"/>
      <c r="DWF68" s="10"/>
      <c r="DWG68" s="10"/>
      <c r="DWH68" s="10"/>
      <c r="DWI68" s="10"/>
      <c r="DWJ68" s="10"/>
      <c r="DWK68" s="10"/>
      <c r="DWL68" s="10"/>
      <c r="DWM68" s="10"/>
      <c r="DWN68" s="10"/>
      <c r="DWO68" s="10"/>
      <c r="DWP68" s="10"/>
      <c r="DWQ68" s="10"/>
      <c r="DWR68" s="10"/>
      <c r="DWS68" s="10"/>
      <c r="DWT68" s="10"/>
      <c r="DWU68" s="10"/>
      <c r="DWV68" s="10"/>
      <c r="DWW68" s="10"/>
      <c r="DWX68" s="10"/>
      <c r="DWY68" s="10"/>
      <c r="DWZ68" s="10"/>
      <c r="DXA68" s="10"/>
      <c r="DXB68" s="10"/>
      <c r="DXC68" s="10"/>
      <c r="DXD68" s="10"/>
      <c r="DXE68" s="10"/>
      <c r="DXF68" s="10"/>
      <c r="DXG68" s="10"/>
      <c r="DXH68" s="10"/>
      <c r="DXI68" s="10"/>
      <c r="DXJ68" s="10"/>
      <c r="DXK68" s="10"/>
      <c r="DXL68" s="10"/>
      <c r="DXM68" s="10"/>
      <c r="DXN68" s="10"/>
      <c r="DXO68" s="10"/>
      <c r="DXP68" s="10"/>
      <c r="DXQ68" s="10"/>
      <c r="DXR68" s="10"/>
      <c r="DXS68" s="10"/>
      <c r="DXT68" s="10"/>
      <c r="DXU68" s="10"/>
      <c r="DXV68" s="10"/>
      <c r="DXW68" s="10"/>
      <c r="DXX68" s="10"/>
      <c r="DXY68" s="10"/>
      <c r="DXZ68" s="10"/>
      <c r="DYA68" s="10"/>
      <c r="DYB68" s="10"/>
      <c r="DYC68" s="10"/>
      <c r="DYD68" s="10"/>
      <c r="DYE68" s="10"/>
      <c r="DYF68" s="10"/>
      <c r="DYG68" s="10"/>
      <c r="DYH68" s="10"/>
      <c r="DYI68" s="10"/>
      <c r="DYJ68" s="10"/>
      <c r="DYK68" s="10"/>
      <c r="DYL68" s="10"/>
      <c r="DYM68" s="10"/>
      <c r="DYN68" s="10"/>
      <c r="DYO68" s="10"/>
      <c r="DYP68" s="10"/>
      <c r="DYQ68" s="10"/>
      <c r="DYR68" s="10"/>
      <c r="DYS68" s="10"/>
      <c r="DYT68" s="10"/>
      <c r="DYU68" s="10"/>
      <c r="DYV68" s="10"/>
      <c r="DYW68" s="10"/>
      <c r="DYX68" s="10"/>
      <c r="DYY68" s="10"/>
      <c r="DYZ68" s="10"/>
      <c r="DZA68" s="10"/>
      <c r="DZB68" s="10"/>
      <c r="DZC68" s="10"/>
      <c r="DZD68" s="10"/>
      <c r="DZE68" s="10"/>
      <c r="DZF68" s="10"/>
      <c r="DZG68" s="10"/>
      <c r="DZH68" s="10"/>
      <c r="DZI68" s="10"/>
      <c r="DZJ68" s="10"/>
      <c r="DZK68" s="10"/>
      <c r="DZL68" s="10"/>
      <c r="DZM68" s="10"/>
      <c r="DZN68" s="10"/>
      <c r="DZO68" s="10"/>
      <c r="DZP68" s="10"/>
      <c r="DZQ68" s="10"/>
      <c r="DZR68" s="10"/>
      <c r="DZS68" s="10"/>
      <c r="DZT68" s="10"/>
      <c r="DZU68" s="10"/>
      <c r="DZV68" s="10"/>
      <c r="DZW68" s="10"/>
      <c r="DZX68" s="10"/>
      <c r="DZY68" s="10"/>
      <c r="DZZ68" s="10"/>
      <c r="EAA68" s="10"/>
      <c r="EAB68" s="10"/>
      <c r="EAC68" s="10"/>
      <c r="EAD68" s="10"/>
      <c r="EAE68" s="10"/>
      <c r="EAF68" s="10"/>
      <c r="EAG68" s="10"/>
      <c r="EAH68" s="10"/>
      <c r="EAI68" s="10"/>
      <c r="EAJ68" s="10"/>
      <c r="EAK68" s="10"/>
      <c r="EAL68" s="10"/>
      <c r="EAM68" s="10"/>
      <c r="EAN68" s="10"/>
      <c r="EAO68" s="10"/>
      <c r="EAP68" s="10"/>
      <c r="EAQ68" s="10"/>
      <c r="EAR68" s="10"/>
      <c r="EAS68" s="10"/>
      <c r="EAT68" s="10"/>
      <c r="EAU68" s="10"/>
      <c r="EAV68" s="10"/>
      <c r="EAW68" s="10"/>
      <c r="EAX68" s="10"/>
      <c r="EAY68" s="10"/>
      <c r="EAZ68" s="10"/>
      <c r="EBA68" s="10"/>
      <c r="EBB68" s="10"/>
      <c r="EBC68" s="10"/>
      <c r="EBD68" s="10"/>
      <c r="EBE68" s="10"/>
      <c r="EBF68" s="10"/>
      <c r="EBG68" s="10"/>
      <c r="EBH68" s="10"/>
      <c r="EBI68" s="10"/>
      <c r="EBJ68" s="10"/>
      <c r="EBK68" s="10"/>
      <c r="EBL68" s="10"/>
      <c r="EBM68" s="10"/>
      <c r="EBN68" s="10"/>
      <c r="EBO68" s="10"/>
      <c r="EBP68" s="10"/>
      <c r="EBQ68" s="10"/>
      <c r="EBR68" s="10"/>
      <c r="EBS68" s="10"/>
      <c r="EBT68" s="10"/>
      <c r="EBU68" s="10"/>
      <c r="EBV68" s="10"/>
      <c r="EBW68" s="10"/>
      <c r="EBX68" s="10"/>
      <c r="EBY68" s="10"/>
      <c r="EBZ68" s="10"/>
      <c r="ECA68" s="10"/>
      <c r="ECB68" s="10"/>
      <c r="ECC68" s="10"/>
      <c r="ECD68" s="10"/>
      <c r="ECE68" s="10"/>
      <c r="ECF68" s="10"/>
      <c r="ECG68" s="10"/>
      <c r="ECH68" s="10"/>
      <c r="ECI68" s="10"/>
      <c r="ECJ68" s="10"/>
      <c r="ECK68" s="10"/>
      <c r="ECL68" s="10"/>
      <c r="ECM68" s="10"/>
      <c r="ECN68" s="10"/>
      <c r="ECO68" s="10"/>
      <c r="ECP68" s="10"/>
      <c r="ECQ68" s="10"/>
      <c r="ECR68" s="10"/>
      <c r="ECS68" s="10"/>
      <c r="ECT68" s="10"/>
      <c r="ECU68" s="10"/>
      <c r="ECV68" s="10"/>
      <c r="ECW68" s="10"/>
      <c r="ECX68" s="10"/>
      <c r="ECY68" s="10"/>
      <c r="ECZ68" s="10"/>
      <c r="EDA68" s="10"/>
      <c r="EDB68" s="10"/>
      <c r="EDC68" s="10"/>
      <c r="EDD68" s="10"/>
      <c r="EDE68" s="10"/>
      <c r="EDF68" s="10"/>
      <c r="EDG68" s="10"/>
      <c r="EDH68" s="10"/>
      <c r="EDI68" s="10"/>
      <c r="EDJ68" s="10"/>
      <c r="EDK68" s="10"/>
      <c r="EDL68" s="10"/>
      <c r="EDM68" s="10"/>
      <c r="EDN68" s="10"/>
      <c r="EDO68" s="10"/>
      <c r="EDP68" s="10"/>
      <c r="EDQ68" s="10"/>
      <c r="EDR68" s="10"/>
      <c r="EDS68" s="10"/>
      <c r="EDT68" s="10"/>
      <c r="EDU68" s="10"/>
      <c r="EDV68" s="10"/>
      <c r="EDW68" s="10"/>
      <c r="EDX68" s="10"/>
      <c r="EDY68" s="10"/>
      <c r="EDZ68" s="10"/>
      <c r="EEA68" s="10"/>
      <c r="EEB68" s="10"/>
      <c r="EEC68" s="10"/>
      <c r="EED68" s="10"/>
      <c r="EEE68" s="10"/>
      <c r="EEF68" s="10"/>
      <c r="EEG68" s="10"/>
      <c r="EEH68" s="10"/>
      <c r="EEI68" s="10"/>
      <c r="EEJ68" s="10"/>
      <c r="EEK68" s="10"/>
      <c r="EEL68" s="10"/>
      <c r="EEM68" s="10"/>
      <c r="EEN68" s="10"/>
      <c r="EEO68" s="10"/>
      <c r="EEP68" s="10"/>
      <c r="EEQ68" s="10"/>
      <c r="EER68" s="10"/>
      <c r="EES68" s="10"/>
      <c r="EET68" s="10"/>
      <c r="EEU68" s="10"/>
      <c r="EEV68" s="10"/>
      <c r="EEW68" s="10"/>
      <c r="EEX68" s="10"/>
      <c r="EEY68" s="10"/>
      <c r="EEZ68" s="10"/>
      <c r="EFA68" s="10"/>
      <c r="EFB68" s="10"/>
      <c r="EFC68" s="10"/>
      <c r="EFD68" s="10"/>
      <c r="EFE68" s="10"/>
      <c r="EFF68" s="10"/>
      <c r="EFG68" s="10"/>
      <c r="EFH68" s="10"/>
      <c r="EFI68" s="10"/>
      <c r="EFJ68" s="10"/>
      <c r="EFK68" s="10"/>
      <c r="EFL68" s="10"/>
      <c r="EFM68" s="10"/>
      <c r="EFN68" s="10"/>
      <c r="EFO68" s="10"/>
      <c r="EFP68" s="10"/>
      <c r="EFQ68" s="10"/>
      <c r="EFR68" s="10"/>
      <c r="EFS68" s="10"/>
      <c r="EFT68" s="10"/>
      <c r="EFU68" s="10"/>
      <c r="EFV68" s="10"/>
      <c r="EFW68" s="10"/>
      <c r="EFX68" s="10"/>
      <c r="EFY68" s="10"/>
      <c r="EFZ68" s="10"/>
      <c r="EGA68" s="10"/>
      <c r="EGB68" s="10"/>
      <c r="EGC68" s="10"/>
      <c r="EGD68" s="10"/>
      <c r="EGE68" s="10"/>
      <c r="EGF68" s="10"/>
      <c r="EGG68" s="10"/>
      <c r="EGH68" s="10"/>
      <c r="EGI68" s="10"/>
      <c r="EGJ68" s="10"/>
      <c r="EGK68" s="10"/>
      <c r="EGL68" s="10"/>
      <c r="EGM68" s="10"/>
      <c r="EGN68" s="10"/>
      <c r="EGO68" s="10"/>
      <c r="EGP68" s="10"/>
      <c r="EGQ68" s="10"/>
      <c r="EGR68" s="10"/>
      <c r="EGS68" s="10"/>
      <c r="EGT68" s="10"/>
      <c r="EGU68" s="10"/>
      <c r="EGV68" s="10"/>
      <c r="EGW68" s="10"/>
      <c r="EGX68" s="10"/>
      <c r="EGY68" s="10"/>
      <c r="EGZ68" s="10"/>
      <c r="EHA68" s="10"/>
      <c r="EHB68" s="10"/>
      <c r="EHC68" s="10"/>
      <c r="EHD68" s="10"/>
      <c r="EHE68" s="10"/>
      <c r="EHF68" s="10"/>
      <c r="EHG68" s="10"/>
      <c r="EHH68" s="10"/>
      <c r="EHI68" s="10"/>
      <c r="EHJ68" s="10"/>
      <c r="EHK68" s="10"/>
      <c r="EHL68" s="10"/>
      <c r="EHM68" s="10"/>
      <c r="EHN68" s="10"/>
      <c r="EHO68" s="10"/>
      <c r="EHP68" s="10"/>
      <c r="EHQ68" s="10"/>
      <c r="EHR68" s="10"/>
      <c r="EHS68" s="10"/>
      <c r="EHT68" s="10"/>
      <c r="EHU68" s="10"/>
      <c r="EHV68" s="10"/>
      <c r="EHW68" s="10"/>
      <c r="EHX68" s="10"/>
      <c r="EHY68" s="10"/>
      <c r="EHZ68" s="10"/>
      <c r="EIA68" s="10"/>
      <c r="EIB68" s="10"/>
      <c r="EIC68" s="10"/>
      <c r="EID68" s="10"/>
      <c r="EIE68" s="10"/>
      <c r="EIF68" s="10"/>
      <c r="EIG68" s="10"/>
      <c r="EIH68" s="10"/>
      <c r="EII68" s="10"/>
      <c r="EIJ68" s="10"/>
      <c r="EIK68" s="10"/>
      <c r="EIL68" s="10"/>
      <c r="EIM68" s="10"/>
      <c r="EIN68" s="10"/>
      <c r="EIO68" s="10"/>
      <c r="EIP68" s="10"/>
      <c r="EIQ68" s="10"/>
      <c r="EIR68" s="10"/>
      <c r="EIS68" s="10"/>
      <c r="EIT68" s="10"/>
      <c r="EIU68" s="10"/>
      <c r="EIV68" s="10"/>
      <c r="EIW68" s="10"/>
      <c r="EIX68" s="10"/>
      <c r="EIY68" s="10"/>
      <c r="EIZ68" s="10"/>
      <c r="EJA68" s="10"/>
      <c r="EJB68" s="10"/>
      <c r="EJC68" s="10"/>
      <c r="EJD68" s="10"/>
      <c r="EJE68" s="10"/>
      <c r="EJF68" s="10"/>
      <c r="EJG68" s="10"/>
      <c r="EJH68" s="10"/>
      <c r="EJI68" s="10"/>
      <c r="EJJ68" s="10"/>
      <c r="EJK68" s="10"/>
      <c r="EJL68" s="10"/>
      <c r="EJM68" s="10"/>
      <c r="EJN68" s="10"/>
      <c r="EJO68" s="10"/>
      <c r="EJP68" s="10"/>
      <c r="EJQ68" s="10"/>
      <c r="EJR68" s="10"/>
      <c r="EJS68" s="10"/>
      <c r="EJT68" s="10"/>
      <c r="EJU68" s="10"/>
      <c r="EJV68" s="10"/>
      <c r="EJW68" s="10"/>
      <c r="EJX68" s="10"/>
      <c r="EJY68" s="10"/>
      <c r="EJZ68" s="10"/>
      <c r="EKA68" s="10"/>
      <c r="EKB68" s="10"/>
      <c r="EKC68" s="10"/>
      <c r="EKD68" s="10"/>
      <c r="EKE68" s="10"/>
      <c r="EKF68" s="10"/>
      <c r="EKG68" s="10"/>
      <c r="EKH68" s="10"/>
      <c r="EKI68" s="10"/>
      <c r="EKJ68" s="10"/>
      <c r="EKK68" s="10"/>
      <c r="EKL68" s="10"/>
      <c r="EKM68" s="10"/>
      <c r="EKN68" s="10"/>
      <c r="EKO68" s="10"/>
      <c r="EKP68" s="10"/>
      <c r="EKQ68" s="10"/>
      <c r="EKR68" s="10"/>
      <c r="EKS68" s="10"/>
      <c r="EKT68" s="10"/>
      <c r="EKU68" s="10"/>
      <c r="EKV68" s="10"/>
      <c r="EKW68" s="10"/>
      <c r="EKX68" s="10"/>
      <c r="EKY68" s="10"/>
      <c r="EKZ68" s="10"/>
      <c r="ELA68" s="10"/>
      <c r="ELB68" s="10"/>
      <c r="ELC68" s="10"/>
      <c r="ELD68" s="10"/>
      <c r="ELE68" s="10"/>
      <c r="ELF68" s="10"/>
      <c r="ELG68" s="10"/>
      <c r="ELH68" s="10"/>
      <c r="ELI68" s="10"/>
      <c r="ELJ68" s="10"/>
      <c r="ELK68" s="10"/>
      <c r="ELL68" s="10"/>
      <c r="ELM68" s="10"/>
      <c r="ELN68" s="10"/>
      <c r="ELO68" s="10"/>
      <c r="ELP68" s="10"/>
      <c r="ELQ68" s="10"/>
      <c r="ELR68" s="10"/>
      <c r="ELS68" s="10"/>
      <c r="ELT68" s="10"/>
      <c r="ELU68" s="10"/>
      <c r="ELV68" s="10"/>
      <c r="ELW68" s="10"/>
      <c r="ELX68" s="10"/>
      <c r="ELY68" s="10"/>
      <c r="ELZ68" s="10"/>
      <c r="EMA68" s="10"/>
      <c r="EMB68" s="10"/>
      <c r="EMC68" s="10"/>
      <c r="EMD68" s="10"/>
      <c r="EME68" s="10"/>
      <c r="EMF68" s="10"/>
      <c r="EMG68" s="10"/>
      <c r="EMH68" s="10"/>
      <c r="EMI68" s="10"/>
      <c r="EMJ68" s="10"/>
      <c r="EMK68" s="10"/>
      <c r="EML68" s="10"/>
      <c r="EMM68" s="10"/>
      <c r="EMN68" s="10"/>
      <c r="EMO68" s="10"/>
      <c r="EMP68" s="10"/>
      <c r="EMQ68" s="10"/>
      <c r="EMR68" s="10"/>
      <c r="EMS68" s="10"/>
      <c r="EMT68" s="10"/>
      <c r="EMU68" s="10"/>
      <c r="EMV68" s="10"/>
      <c r="EMW68" s="10"/>
      <c r="EMX68" s="10"/>
      <c r="EMY68" s="10"/>
      <c r="EMZ68" s="10"/>
      <c r="ENA68" s="10"/>
      <c r="ENB68" s="10"/>
      <c r="ENC68" s="10"/>
      <c r="END68" s="10"/>
      <c r="ENE68" s="10"/>
      <c r="ENF68" s="10"/>
      <c r="ENG68" s="10"/>
      <c r="ENH68" s="10"/>
      <c r="ENI68" s="10"/>
      <c r="ENJ68" s="10"/>
      <c r="ENK68" s="10"/>
      <c r="ENL68" s="10"/>
      <c r="ENM68" s="10"/>
      <c r="ENN68" s="10"/>
      <c r="ENO68" s="10"/>
      <c r="ENP68" s="10"/>
      <c r="ENQ68" s="10"/>
      <c r="ENR68" s="10"/>
      <c r="ENS68" s="10"/>
      <c r="ENT68" s="10"/>
      <c r="ENU68" s="10"/>
      <c r="ENV68" s="10"/>
      <c r="ENW68" s="10"/>
      <c r="ENX68" s="10"/>
      <c r="ENY68" s="10"/>
      <c r="ENZ68" s="10"/>
      <c r="EOA68" s="10"/>
      <c r="EOB68" s="10"/>
      <c r="EOC68" s="10"/>
      <c r="EOD68" s="10"/>
      <c r="EOE68" s="10"/>
      <c r="EOF68" s="10"/>
      <c r="EOG68" s="10"/>
      <c r="EOH68" s="10"/>
      <c r="EOI68" s="10"/>
      <c r="EOJ68" s="10"/>
      <c r="EOK68" s="10"/>
      <c r="EOL68" s="10"/>
      <c r="EOM68" s="10"/>
      <c r="EON68" s="10"/>
      <c r="EOO68" s="10"/>
      <c r="EOP68" s="10"/>
      <c r="EOQ68" s="10"/>
      <c r="EOR68" s="10"/>
      <c r="EOS68" s="10"/>
      <c r="EOT68" s="10"/>
      <c r="EOU68" s="10"/>
      <c r="EOV68" s="10"/>
      <c r="EOW68" s="10"/>
      <c r="EOX68" s="10"/>
      <c r="EOY68" s="10"/>
      <c r="EOZ68" s="10"/>
      <c r="EPA68" s="10"/>
      <c r="EPB68" s="10"/>
      <c r="EPC68" s="10"/>
      <c r="EPD68" s="10"/>
      <c r="EPE68" s="10"/>
      <c r="EPF68" s="10"/>
      <c r="EPG68" s="10"/>
      <c r="EPH68" s="10"/>
      <c r="EPI68" s="10"/>
      <c r="EPJ68" s="10"/>
      <c r="EPK68" s="10"/>
      <c r="EPL68" s="10"/>
      <c r="EPM68" s="10"/>
      <c r="EPN68" s="10"/>
      <c r="EPO68" s="10"/>
      <c r="EPP68" s="10"/>
      <c r="EPQ68" s="10"/>
      <c r="EPR68" s="10"/>
      <c r="EPS68" s="10"/>
      <c r="EPT68" s="10"/>
      <c r="EPU68" s="10"/>
      <c r="EPV68" s="10"/>
      <c r="EPW68" s="10"/>
      <c r="EPX68" s="10"/>
      <c r="EPY68" s="10"/>
      <c r="EPZ68" s="10"/>
      <c r="EQA68" s="10"/>
      <c r="EQB68" s="10"/>
      <c r="EQC68" s="10"/>
      <c r="EQD68" s="10"/>
      <c r="EQE68" s="10"/>
      <c r="EQF68" s="10"/>
      <c r="EQG68" s="10"/>
      <c r="EQH68" s="10"/>
      <c r="EQI68" s="10"/>
      <c r="EQJ68" s="10"/>
      <c r="EQK68" s="10"/>
      <c r="EQL68" s="10"/>
      <c r="EQM68" s="10"/>
      <c r="EQN68" s="10"/>
      <c r="EQO68" s="10"/>
      <c r="EQP68" s="10"/>
      <c r="EQQ68" s="10"/>
      <c r="EQR68" s="10"/>
      <c r="EQS68" s="10"/>
      <c r="EQT68" s="10"/>
      <c r="EQU68" s="10"/>
      <c r="EQV68" s="10"/>
      <c r="EQW68" s="10"/>
      <c r="EQX68" s="10"/>
      <c r="EQY68" s="10"/>
      <c r="EQZ68" s="10"/>
      <c r="ERA68" s="10"/>
      <c r="ERB68" s="10"/>
      <c r="ERC68" s="10"/>
      <c r="ERD68" s="10"/>
      <c r="ERE68" s="10"/>
      <c r="ERF68" s="10"/>
      <c r="ERG68" s="10"/>
      <c r="ERH68" s="10"/>
      <c r="ERI68" s="10"/>
      <c r="ERJ68" s="10"/>
      <c r="ERK68" s="10"/>
      <c r="ERL68" s="10"/>
      <c r="ERM68" s="10"/>
      <c r="ERN68" s="10"/>
      <c r="ERO68" s="10"/>
      <c r="ERP68" s="10"/>
      <c r="ERQ68" s="10"/>
      <c r="ERR68" s="10"/>
      <c r="ERS68" s="10"/>
      <c r="ERT68" s="10"/>
      <c r="ERU68" s="10"/>
      <c r="ERV68" s="10"/>
      <c r="ERW68" s="10"/>
      <c r="ERX68" s="10"/>
      <c r="ERY68" s="10"/>
      <c r="ERZ68" s="10"/>
      <c r="ESA68" s="10"/>
      <c r="ESB68" s="10"/>
      <c r="ESC68" s="10"/>
      <c r="ESD68" s="10"/>
      <c r="ESE68" s="10"/>
      <c r="ESF68" s="10"/>
      <c r="ESG68" s="10"/>
      <c r="ESH68" s="10"/>
      <c r="ESI68" s="10"/>
      <c r="ESJ68" s="10"/>
      <c r="ESK68" s="10"/>
      <c r="ESL68" s="10"/>
      <c r="ESM68" s="10"/>
      <c r="ESN68" s="10"/>
      <c r="ESO68" s="10"/>
      <c r="ESP68" s="10"/>
      <c r="ESQ68" s="10"/>
      <c r="ESR68" s="10"/>
      <c r="ESS68" s="10"/>
      <c r="EST68" s="10"/>
      <c r="ESU68" s="10"/>
      <c r="ESV68" s="10"/>
      <c r="ESW68" s="10"/>
      <c r="ESX68" s="10"/>
      <c r="ESY68" s="10"/>
      <c r="ESZ68" s="10"/>
      <c r="ETA68" s="10"/>
      <c r="ETB68" s="10"/>
      <c r="ETC68" s="10"/>
      <c r="ETD68" s="10"/>
      <c r="ETE68" s="10"/>
      <c r="ETF68" s="10"/>
      <c r="ETG68" s="10"/>
      <c r="ETH68" s="10"/>
      <c r="ETI68" s="10"/>
      <c r="ETJ68" s="10"/>
      <c r="ETK68" s="10"/>
      <c r="ETL68" s="10"/>
      <c r="ETM68" s="10"/>
      <c r="ETN68" s="10"/>
      <c r="ETO68" s="10"/>
      <c r="ETP68" s="10"/>
      <c r="ETQ68" s="10"/>
      <c r="ETR68" s="10"/>
      <c r="ETS68" s="10"/>
      <c r="ETT68" s="10"/>
      <c r="ETU68" s="10"/>
      <c r="ETV68" s="10"/>
      <c r="ETW68" s="10"/>
      <c r="ETX68" s="10"/>
      <c r="ETY68" s="10"/>
      <c r="ETZ68" s="10"/>
      <c r="EUA68" s="10"/>
      <c r="EUB68" s="10"/>
      <c r="EUC68" s="10"/>
      <c r="EUD68" s="10"/>
      <c r="EUE68" s="10"/>
      <c r="EUF68" s="10"/>
      <c r="EUG68" s="10"/>
      <c r="EUH68" s="10"/>
      <c r="EUI68" s="10"/>
      <c r="EUJ68" s="10"/>
      <c r="EUK68" s="10"/>
      <c r="EUL68" s="10"/>
      <c r="EUM68" s="10"/>
      <c r="EUN68" s="10"/>
      <c r="EUO68" s="10"/>
      <c r="EUP68" s="10"/>
      <c r="EUQ68" s="10"/>
      <c r="EUR68" s="10"/>
      <c r="EUS68" s="10"/>
      <c r="EUT68" s="10"/>
      <c r="EUU68" s="10"/>
      <c r="EUV68" s="10"/>
      <c r="EUW68" s="10"/>
      <c r="EUX68" s="10"/>
      <c r="EUY68" s="10"/>
      <c r="EUZ68" s="10"/>
      <c r="EVA68" s="10"/>
      <c r="EVB68" s="10"/>
      <c r="EVC68" s="10"/>
      <c r="EVD68" s="10"/>
      <c r="EVE68" s="10"/>
      <c r="EVF68" s="10"/>
      <c r="EVG68" s="10"/>
      <c r="EVH68" s="10"/>
      <c r="EVI68" s="10"/>
      <c r="EVJ68" s="10"/>
      <c r="EVK68" s="10"/>
      <c r="EVL68" s="10"/>
      <c r="EVM68" s="10"/>
      <c r="EVN68" s="10"/>
      <c r="EVO68" s="10"/>
      <c r="EVP68" s="10"/>
      <c r="EVQ68" s="10"/>
      <c r="EVR68" s="10"/>
      <c r="EVS68" s="10"/>
      <c r="EVT68" s="10"/>
      <c r="EVU68" s="10"/>
      <c r="EVV68" s="10"/>
      <c r="EVW68" s="10"/>
      <c r="EVX68" s="10"/>
      <c r="EVY68" s="10"/>
      <c r="EVZ68" s="10"/>
      <c r="EWA68" s="10"/>
      <c r="EWB68" s="10"/>
      <c r="EWC68" s="10"/>
      <c r="EWD68" s="10"/>
      <c r="EWE68" s="10"/>
      <c r="EWF68" s="10"/>
      <c r="EWG68" s="10"/>
      <c r="EWH68" s="10"/>
      <c r="EWI68" s="10"/>
      <c r="EWJ68" s="10"/>
      <c r="EWK68" s="10"/>
      <c r="EWL68" s="10"/>
      <c r="EWM68" s="10"/>
      <c r="EWN68" s="10"/>
      <c r="EWO68" s="10"/>
      <c r="EWP68" s="10"/>
      <c r="EWQ68" s="10"/>
      <c r="EWR68" s="10"/>
      <c r="EWS68" s="10"/>
      <c r="EWT68" s="10"/>
      <c r="EWU68" s="10"/>
      <c r="EWV68" s="10"/>
      <c r="EWW68" s="10"/>
      <c r="EWX68" s="10"/>
      <c r="EWY68" s="10"/>
      <c r="EWZ68" s="10"/>
      <c r="EXA68" s="10"/>
      <c r="EXB68" s="10"/>
      <c r="EXC68" s="10"/>
      <c r="EXD68" s="10"/>
      <c r="EXE68" s="10"/>
      <c r="EXF68" s="10"/>
      <c r="EXG68" s="10"/>
      <c r="EXH68" s="10"/>
      <c r="EXI68" s="10"/>
      <c r="EXJ68" s="10"/>
      <c r="EXK68" s="10"/>
      <c r="EXL68" s="10"/>
      <c r="EXM68" s="10"/>
      <c r="EXN68" s="10"/>
      <c r="EXO68" s="10"/>
      <c r="EXP68" s="10"/>
      <c r="EXQ68" s="10"/>
      <c r="EXR68" s="10"/>
      <c r="EXS68" s="10"/>
      <c r="EXT68" s="10"/>
      <c r="EXU68" s="10"/>
      <c r="EXV68" s="10"/>
      <c r="EXW68" s="10"/>
      <c r="EXX68" s="10"/>
      <c r="EXY68" s="10"/>
      <c r="EXZ68" s="10"/>
      <c r="EYA68" s="10"/>
      <c r="EYB68" s="10"/>
      <c r="EYC68" s="10"/>
      <c r="EYD68" s="10"/>
      <c r="EYE68" s="10"/>
      <c r="EYF68" s="10"/>
      <c r="EYG68" s="10"/>
      <c r="EYH68" s="10"/>
      <c r="EYI68" s="10"/>
      <c r="EYJ68" s="10"/>
      <c r="EYK68" s="10"/>
      <c r="EYL68" s="10"/>
      <c r="EYM68" s="10"/>
      <c r="EYN68" s="10"/>
      <c r="EYO68" s="10"/>
      <c r="EYP68" s="10"/>
      <c r="EYQ68" s="10"/>
      <c r="EYR68" s="10"/>
      <c r="EYS68" s="10"/>
      <c r="EYT68" s="10"/>
      <c r="EYU68" s="10"/>
      <c r="EYV68" s="10"/>
      <c r="EYW68" s="10"/>
      <c r="EYX68" s="10"/>
      <c r="EYY68" s="10"/>
      <c r="EYZ68" s="10"/>
      <c r="EZA68" s="10"/>
      <c r="EZB68" s="10"/>
      <c r="EZC68" s="10"/>
      <c r="EZD68" s="10"/>
      <c r="EZE68" s="10"/>
      <c r="EZF68" s="10"/>
      <c r="EZG68" s="10"/>
      <c r="EZH68" s="10"/>
      <c r="EZI68" s="10"/>
      <c r="EZJ68" s="10"/>
      <c r="EZK68" s="10"/>
      <c r="EZL68" s="10"/>
      <c r="EZM68" s="10"/>
      <c r="EZN68" s="10"/>
      <c r="EZO68" s="10"/>
      <c r="EZP68" s="10"/>
      <c r="EZQ68" s="10"/>
      <c r="EZR68" s="10"/>
      <c r="EZS68" s="10"/>
      <c r="EZT68" s="10"/>
      <c r="EZU68" s="10"/>
      <c r="EZV68" s="10"/>
      <c r="EZW68" s="10"/>
      <c r="EZX68" s="10"/>
      <c r="EZY68" s="10"/>
      <c r="EZZ68" s="10"/>
      <c r="FAA68" s="10"/>
      <c r="FAB68" s="10"/>
      <c r="FAC68" s="10"/>
      <c r="FAD68" s="10"/>
      <c r="FAE68" s="10"/>
      <c r="FAF68" s="10"/>
      <c r="FAG68" s="10"/>
      <c r="FAH68" s="10"/>
      <c r="FAI68" s="10"/>
      <c r="FAJ68" s="10"/>
      <c r="FAK68" s="10"/>
      <c r="FAL68" s="10"/>
      <c r="FAM68" s="10"/>
      <c r="FAN68" s="10"/>
      <c r="FAO68" s="10"/>
      <c r="FAP68" s="10"/>
      <c r="FAQ68" s="10"/>
      <c r="FAR68" s="10"/>
      <c r="FAS68" s="10"/>
      <c r="FAT68" s="10"/>
      <c r="FAU68" s="10"/>
      <c r="FAV68" s="10"/>
      <c r="FAW68" s="10"/>
      <c r="FAX68" s="10"/>
      <c r="FAY68" s="10"/>
      <c r="FAZ68" s="10"/>
      <c r="FBA68" s="10"/>
      <c r="FBB68" s="10"/>
      <c r="FBC68" s="10"/>
      <c r="FBD68" s="10"/>
      <c r="FBE68" s="10"/>
      <c r="FBF68" s="10"/>
      <c r="FBG68" s="10"/>
      <c r="FBH68" s="10"/>
      <c r="FBI68" s="10"/>
      <c r="FBJ68" s="10"/>
      <c r="FBK68" s="10"/>
      <c r="FBL68" s="10"/>
      <c r="FBM68" s="10"/>
      <c r="FBN68" s="10"/>
      <c r="FBO68" s="10"/>
      <c r="FBP68" s="10"/>
      <c r="FBQ68" s="10"/>
      <c r="FBR68" s="10"/>
      <c r="FBS68" s="10"/>
      <c r="FBT68" s="10"/>
      <c r="FBU68" s="10"/>
      <c r="FBV68" s="10"/>
      <c r="FBW68" s="10"/>
      <c r="FBX68" s="10"/>
      <c r="FBY68" s="10"/>
      <c r="FBZ68" s="10"/>
      <c r="FCA68" s="10"/>
      <c r="FCB68" s="10"/>
      <c r="FCC68" s="10"/>
      <c r="FCD68" s="10"/>
      <c r="FCE68" s="10"/>
      <c r="FCF68" s="10"/>
      <c r="FCG68" s="10"/>
      <c r="FCH68" s="10"/>
      <c r="FCI68" s="10"/>
      <c r="FCJ68" s="10"/>
      <c r="FCK68" s="10"/>
      <c r="FCL68" s="10"/>
      <c r="FCM68" s="10"/>
      <c r="FCN68" s="10"/>
      <c r="FCO68" s="10"/>
      <c r="FCP68" s="10"/>
      <c r="FCQ68" s="10"/>
      <c r="FCR68" s="10"/>
      <c r="FCS68" s="10"/>
      <c r="FCT68" s="10"/>
      <c r="FCU68" s="10"/>
      <c r="FCV68" s="10"/>
      <c r="FCW68" s="10"/>
      <c r="FCX68" s="10"/>
      <c r="FCY68" s="10"/>
      <c r="FCZ68" s="10"/>
      <c r="FDA68" s="10"/>
      <c r="FDB68" s="10"/>
      <c r="FDC68" s="10"/>
      <c r="FDD68" s="10"/>
      <c r="FDE68" s="10"/>
      <c r="FDF68" s="10"/>
      <c r="FDG68" s="10"/>
      <c r="FDH68" s="10"/>
      <c r="FDI68" s="10"/>
      <c r="FDJ68" s="10"/>
      <c r="FDK68" s="10"/>
      <c r="FDL68" s="10"/>
      <c r="FDM68" s="10"/>
      <c r="FDN68" s="10"/>
      <c r="FDO68" s="10"/>
      <c r="FDP68" s="10"/>
      <c r="FDQ68" s="10"/>
      <c r="FDR68" s="10"/>
      <c r="FDS68" s="10"/>
      <c r="FDT68" s="10"/>
      <c r="FDU68" s="10"/>
      <c r="FDV68" s="10"/>
      <c r="FDW68" s="10"/>
      <c r="FDX68" s="10"/>
      <c r="FDY68" s="10"/>
      <c r="FDZ68" s="10"/>
      <c r="FEA68" s="10"/>
      <c r="FEB68" s="10"/>
      <c r="FEC68" s="10"/>
      <c r="FED68" s="10"/>
      <c r="FEE68" s="10"/>
      <c r="FEF68" s="10"/>
      <c r="FEG68" s="10"/>
      <c r="FEH68" s="10"/>
      <c r="FEI68" s="10"/>
      <c r="FEJ68" s="10"/>
      <c r="FEK68" s="10"/>
      <c r="FEL68" s="10"/>
      <c r="FEM68" s="10"/>
      <c r="FEN68" s="10"/>
      <c r="FEO68" s="10"/>
      <c r="FEP68" s="10"/>
      <c r="FEQ68" s="10"/>
      <c r="FER68" s="10"/>
      <c r="FES68" s="10"/>
      <c r="FET68" s="10"/>
      <c r="FEU68" s="10"/>
      <c r="FEV68" s="10"/>
      <c r="FEW68" s="10"/>
      <c r="FEX68" s="10"/>
      <c r="FEY68" s="10"/>
      <c r="FEZ68" s="10"/>
      <c r="FFA68" s="10"/>
      <c r="FFB68" s="10"/>
      <c r="FFC68" s="10"/>
      <c r="FFD68" s="10"/>
      <c r="FFE68" s="10"/>
      <c r="FFF68" s="10"/>
      <c r="FFG68" s="10"/>
      <c r="FFH68" s="10"/>
      <c r="FFI68" s="10"/>
      <c r="FFJ68" s="10"/>
      <c r="FFK68" s="10"/>
      <c r="FFL68" s="10"/>
      <c r="FFM68" s="10"/>
      <c r="FFN68" s="10"/>
      <c r="FFO68" s="10"/>
      <c r="FFP68" s="10"/>
      <c r="FFQ68" s="10"/>
      <c r="FFR68" s="10"/>
      <c r="FFS68" s="10"/>
      <c r="FFT68" s="10"/>
      <c r="FFU68" s="10"/>
      <c r="FFV68" s="10"/>
      <c r="FFW68" s="10"/>
      <c r="FFX68" s="10"/>
      <c r="FFY68" s="10"/>
      <c r="FFZ68" s="10"/>
      <c r="FGA68" s="10"/>
      <c r="FGB68" s="10"/>
      <c r="FGC68" s="10"/>
      <c r="FGD68" s="10"/>
      <c r="FGE68" s="10"/>
      <c r="FGF68" s="10"/>
      <c r="FGG68" s="10"/>
      <c r="FGH68" s="10"/>
      <c r="FGI68" s="10"/>
      <c r="FGJ68" s="10"/>
      <c r="FGK68" s="10"/>
      <c r="FGL68" s="10"/>
      <c r="FGM68" s="10"/>
      <c r="FGN68" s="10"/>
      <c r="FGO68" s="10"/>
      <c r="FGP68" s="10"/>
      <c r="FGQ68" s="10"/>
      <c r="FGR68" s="10"/>
      <c r="FGS68" s="10"/>
      <c r="FGT68" s="10"/>
      <c r="FGU68" s="10"/>
      <c r="FGV68" s="10"/>
      <c r="FGW68" s="10"/>
      <c r="FGX68" s="10"/>
      <c r="FGY68" s="10"/>
      <c r="FGZ68" s="10"/>
      <c r="FHA68" s="10"/>
      <c r="FHB68" s="10"/>
      <c r="FHC68" s="10"/>
      <c r="FHD68" s="10"/>
      <c r="FHE68" s="10"/>
      <c r="FHF68" s="10"/>
      <c r="FHG68" s="10"/>
      <c r="FHH68" s="10"/>
      <c r="FHI68" s="10"/>
      <c r="FHJ68" s="10"/>
      <c r="FHK68" s="10"/>
      <c r="FHL68" s="10"/>
      <c r="FHM68" s="10"/>
      <c r="FHN68" s="10"/>
      <c r="FHO68" s="10"/>
      <c r="FHP68" s="10"/>
      <c r="FHQ68" s="10"/>
      <c r="FHR68" s="10"/>
      <c r="FHS68" s="10"/>
      <c r="FHT68" s="10"/>
      <c r="FHU68" s="10"/>
      <c r="FHV68" s="10"/>
      <c r="FHW68" s="10"/>
      <c r="FHX68" s="10"/>
      <c r="FHY68" s="10"/>
      <c r="FHZ68" s="10"/>
      <c r="FIA68" s="10"/>
      <c r="FIB68" s="10"/>
      <c r="FIC68" s="10"/>
      <c r="FID68" s="10"/>
      <c r="FIE68" s="10"/>
      <c r="FIF68" s="10"/>
      <c r="FIG68" s="10"/>
      <c r="FIH68" s="10"/>
      <c r="FII68" s="10"/>
      <c r="FIJ68" s="10"/>
      <c r="FIK68" s="10"/>
      <c r="FIL68" s="10"/>
      <c r="FIM68" s="10"/>
      <c r="FIN68" s="10"/>
      <c r="FIO68" s="10"/>
      <c r="FIP68" s="10"/>
      <c r="FIQ68" s="10"/>
      <c r="FIR68" s="10"/>
      <c r="FIS68" s="10"/>
      <c r="FIT68" s="10"/>
      <c r="FIU68" s="10"/>
      <c r="FIV68" s="10"/>
      <c r="FIW68" s="10"/>
      <c r="FIX68" s="10"/>
      <c r="FIY68" s="10"/>
      <c r="FIZ68" s="10"/>
      <c r="FJA68" s="10"/>
      <c r="FJB68" s="10"/>
      <c r="FJC68" s="10"/>
      <c r="FJD68" s="10"/>
      <c r="FJE68" s="10"/>
      <c r="FJF68" s="10"/>
      <c r="FJG68" s="10"/>
      <c r="FJH68" s="10"/>
      <c r="FJI68" s="10"/>
      <c r="FJJ68" s="10"/>
      <c r="FJK68" s="10"/>
      <c r="FJL68" s="10"/>
      <c r="FJM68" s="10"/>
      <c r="FJN68" s="10"/>
      <c r="FJO68" s="10"/>
      <c r="FJP68" s="10"/>
      <c r="FJQ68" s="10"/>
      <c r="FJR68" s="10"/>
      <c r="FJS68" s="10"/>
      <c r="FJT68" s="10"/>
      <c r="FJU68" s="10"/>
      <c r="FJV68" s="10"/>
      <c r="FJW68" s="10"/>
      <c r="FJX68" s="10"/>
      <c r="FJY68" s="10"/>
      <c r="FJZ68" s="10"/>
      <c r="FKA68" s="10"/>
      <c r="FKB68" s="10"/>
      <c r="FKC68" s="10"/>
      <c r="FKD68" s="10"/>
      <c r="FKE68" s="10"/>
      <c r="FKF68" s="10"/>
      <c r="FKG68" s="10"/>
      <c r="FKH68" s="10"/>
      <c r="FKI68" s="10"/>
      <c r="FKJ68" s="10"/>
      <c r="FKK68" s="10"/>
      <c r="FKL68" s="10"/>
      <c r="FKM68" s="10"/>
      <c r="FKN68" s="10"/>
      <c r="FKO68" s="10"/>
      <c r="FKP68" s="10"/>
      <c r="FKQ68" s="10"/>
      <c r="FKR68" s="10"/>
      <c r="FKS68" s="10"/>
      <c r="FKT68" s="10"/>
      <c r="FKU68" s="10"/>
      <c r="FKV68" s="10"/>
      <c r="FKW68" s="10"/>
      <c r="FKX68" s="10"/>
      <c r="FKY68" s="10"/>
      <c r="FKZ68" s="10"/>
      <c r="FLA68" s="10"/>
      <c r="FLB68" s="10"/>
      <c r="FLC68" s="10"/>
      <c r="FLD68" s="10"/>
      <c r="FLE68" s="10"/>
      <c r="FLF68" s="10"/>
      <c r="FLG68" s="10"/>
      <c r="FLH68" s="10"/>
      <c r="FLI68" s="10"/>
      <c r="FLJ68" s="10"/>
      <c r="FLK68" s="10"/>
      <c r="FLL68" s="10"/>
      <c r="FLM68" s="10"/>
      <c r="FLN68" s="10"/>
      <c r="FLO68" s="10"/>
      <c r="FLP68" s="10"/>
      <c r="FLQ68" s="10"/>
      <c r="FLR68" s="10"/>
      <c r="FLS68" s="10"/>
      <c r="FLT68" s="10"/>
      <c r="FLU68" s="10"/>
      <c r="FLV68" s="10"/>
      <c r="FLW68" s="10"/>
      <c r="FLX68" s="10"/>
      <c r="FLY68" s="10"/>
      <c r="FLZ68" s="10"/>
      <c r="FMA68" s="10"/>
      <c r="FMB68" s="10"/>
      <c r="FMC68" s="10"/>
      <c r="FMD68" s="10"/>
      <c r="FME68" s="10"/>
      <c r="FMF68" s="10"/>
      <c r="FMG68" s="10"/>
      <c r="FMH68" s="10"/>
      <c r="FMI68" s="10"/>
      <c r="FMJ68" s="10"/>
      <c r="FMK68" s="10"/>
      <c r="FML68" s="10"/>
      <c r="FMM68" s="10"/>
      <c r="FMN68" s="10"/>
      <c r="FMO68" s="10"/>
      <c r="FMP68" s="10"/>
      <c r="FMQ68" s="10"/>
      <c r="FMR68" s="10"/>
      <c r="FMS68" s="10"/>
      <c r="FMT68" s="10"/>
      <c r="FMU68" s="10"/>
      <c r="FMV68" s="10"/>
      <c r="FMW68" s="10"/>
      <c r="FMX68" s="10"/>
      <c r="FMY68" s="10"/>
      <c r="FMZ68" s="10"/>
      <c r="FNA68" s="10"/>
      <c r="FNB68" s="10"/>
      <c r="FNC68" s="10"/>
      <c r="FND68" s="10"/>
      <c r="FNE68" s="10"/>
      <c r="FNF68" s="10"/>
      <c r="FNG68" s="10"/>
      <c r="FNH68" s="10"/>
      <c r="FNI68" s="10"/>
      <c r="FNJ68" s="10"/>
      <c r="FNK68" s="10"/>
      <c r="FNL68" s="10"/>
      <c r="FNM68" s="10"/>
      <c r="FNN68" s="10"/>
      <c r="FNO68" s="10"/>
      <c r="FNP68" s="10"/>
      <c r="FNQ68" s="10"/>
      <c r="FNR68" s="10"/>
      <c r="FNS68" s="10"/>
      <c r="FNT68" s="10"/>
      <c r="FNU68" s="10"/>
      <c r="FNV68" s="10"/>
      <c r="FNW68" s="10"/>
      <c r="FNX68" s="10"/>
      <c r="FNY68" s="10"/>
      <c r="FNZ68" s="10"/>
      <c r="FOA68" s="10"/>
      <c r="FOB68" s="10"/>
      <c r="FOC68" s="10"/>
      <c r="FOD68" s="10"/>
      <c r="FOE68" s="10"/>
      <c r="FOF68" s="10"/>
      <c r="FOG68" s="10"/>
      <c r="FOH68" s="10"/>
      <c r="FOI68" s="10"/>
      <c r="FOJ68" s="10"/>
      <c r="FOK68" s="10"/>
      <c r="FOL68" s="10"/>
      <c r="FOM68" s="10"/>
      <c r="FON68" s="10"/>
      <c r="FOO68" s="10"/>
      <c r="FOP68" s="10"/>
      <c r="FOQ68" s="10"/>
      <c r="FOR68" s="10"/>
      <c r="FOS68" s="10"/>
      <c r="FOT68" s="10"/>
      <c r="FOU68" s="10"/>
      <c r="FOV68" s="10"/>
      <c r="FOW68" s="10"/>
      <c r="FOX68" s="10"/>
      <c r="FOY68" s="10"/>
      <c r="FOZ68" s="10"/>
      <c r="FPA68" s="10"/>
      <c r="FPB68" s="10"/>
      <c r="FPC68" s="10"/>
      <c r="FPD68" s="10"/>
      <c r="FPE68" s="10"/>
      <c r="FPF68" s="10"/>
      <c r="FPG68" s="10"/>
      <c r="FPH68" s="10"/>
      <c r="FPI68" s="10"/>
      <c r="FPJ68" s="10"/>
      <c r="FPK68" s="10"/>
      <c r="FPL68" s="10"/>
      <c r="FPM68" s="10"/>
      <c r="FPN68" s="10"/>
      <c r="FPO68" s="10"/>
      <c r="FPP68" s="10"/>
      <c r="FPQ68" s="10"/>
      <c r="FPR68" s="10"/>
      <c r="FPS68" s="10"/>
      <c r="FPT68" s="10"/>
      <c r="FPU68" s="10"/>
      <c r="FPV68" s="10"/>
      <c r="FPW68" s="10"/>
      <c r="FPX68" s="10"/>
      <c r="FPY68" s="10"/>
      <c r="FPZ68" s="10"/>
      <c r="FQA68" s="10"/>
      <c r="FQB68" s="10"/>
      <c r="FQC68" s="10"/>
      <c r="FQD68" s="10"/>
      <c r="FQE68" s="10"/>
      <c r="FQF68" s="10"/>
      <c r="FQG68" s="10"/>
      <c r="FQH68" s="10"/>
      <c r="FQI68" s="10"/>
      <c r="FQJ68" s="10"/>
      <c r="FQK68" s="10"/>
      <c r="FQL68" s="10"/>
      <c r="FQM68" s="10"/>
      <c r="FQN68" s="10"/>
      <c r="FQO68" s="10"/>
      <c r="FQP68" s="10"/>
      <c r="FQQ68" s="10"/>
      <c r="FQR68" s="10"/>
      <c r="FQS68" s="10"/>
      <c r="FQT68" s="10"/>
      <c r="FQU68" s="10"/>
      <c r="FQV68" s="10"/>
      <c r="FQW68" s="10"/>
      <c r="FQX68" s="10"/>
      <c r="FQY68" s="10"/>
      <c r="FQZ68" s="10"/>
      <c r="FRA68" s="10"/>
      <c r="FRB68" s="10"/>
      <c r="FRC68" s="10"/>
      <c r="FRD68" s="10"/>
      <c r="FRE68" s="10"/>
      <c r="FRF68" s="10"/>
      <c r="FRG68" s="10"/>
      <c r="FRH68" s="10"/>
      <c r="FRI68" s="10"/>
      <c r="FRJ68" s="10"/>
      <c r="FRK68" s="10"/>
      <c r="FRL68" s="10"/>
      <c r="FRM68" s="10"/>
      <c r="FRN68" s="10"/>
      <c r="FRO68" s="10"/>
      <c r="FRP68" s="10"/>
      <c r="FRQ68" s="10"/>
      <c r="FRR68" s="10"/>
      <c r="FRS68" s="10"/>
      <c r="FRT68" s="10"/>
      <c r="FRU68" s="10"/>
      <c r="FRV68" s="10"/>
      <c r="FRW68" s="10"/>
      <c r="FRX68" s="10"/>
      <c r="FRY68" s="10"/>
      <c r="FRZ68" s="10"/>
      <c r="FSA68" s="10"/>
      <c r="FSB68" s="10"/>
      <c r="FSC68" s="10"/>
      <c r="FSD68" s="10"/>
      <c r="FSE68" s="10"/>
      <c r="FSF68" s="10"/>
      <c r="FSG68" s="10"/>
      <c r="FSH68" s="10"/>
      <c r="FSI68" s="10"/>
      <c r="FSJ68" s="10"/>
      <c r="FSK68" s="10"/>
      <c r="FSL68" s="10"/>
      <c r="FSM68" s="10"/>
      <c r="FSN68" s="10"/>
      <c r="FSO68" s="10"/>
      <c r="FSP68" s="10"/>
      <c r="FSQ68" s="10"/>
      <c r="FSR68" s="10"/>
      <c r="FSS68" s="10"/>
      <c r="FST68" s="10"/>
      <c r="FSU68" s="10"/>
      <c r="FSV68" s="10"/>
      <c r="FSW68" s="10"/>
      <c r="FSX68" s="10"/>
      <c r="FSY68" s="10"/>
      <c r="FSZ68" s="10"/>
      <c r="FTA68" s="10"/>
      <c r="FTB68" s="10"/>
      <c r="FTC68" s="10"/>
      <c r="FTD68" s="10"/>
      <c r="FTE68" s="10"/>
      <c r="FTF68" s="10"/>
      <c r="FTG68" s="10"/>
      <c r="FTH68" s="10"/>
      <c r="FTI68" s="10"/>
      <c r="FTJ68" s="10"/>
      <c r="FTK68" s="10"/>
      <c r="FTL68" s="10"/>
      <c r="FTM68" s="10"/>
      <c r="FTN68" s="10"/>
      <c r="FTO68" s="10"/>
      <c r="FTP68" s="10"/>
      <c r="FTQ68" s="10"/>
      <c r="FTR68" s="10"/>
      <c r="FTS68" s="10"/>
      <c r="FTT68" s="10"/>
      <c r="FTU68" s="10"/>
      <c r="FTV68" s="10"/>
      <c r="FTW68" s="10"/>
      <c r="FTX68" s="10"/>
      <c r="FTY68" s="10"/>
      <c r="FTZ68" s="10"/>
      <c r="FUA68" s="10"/>
      <c r="FUB68" s="10"/>
      <c r="FUC68" s="10"/>
      <c r="FUD68" s="10"/>
      <c r="FUE68" s="10"/>
      <c r="FUF68" s="10"/>
      <c r="FUG68" s="10"/>
      <c r="FUH68" s="10"/>
      <c r="FUI68" s="10"/>
      <c r="FUJ68" s="10"/>
      <c r="FUK68" s="10"/>
      <c r="FUL68" s="10"/>
      <c r="FUM68" s="10"/>
      <c r="FUN68" s="10"/>
      <c r="FUO68" s="10"/>
      <c r="FUP68" s="10"/>
      <c r="FUQ68" s="10"/>
      <c r="FUR68" s="10"/>
      <c r="FUS68" s="10"/>
      <c r="FUT68" s="10"/>
      <c r="FUU68" s="10"/>
      <c r="FUV68" s="10"/>
      <c r="FUW68" s="10"/>
      <c r="FUX68" s="10"/>
      <c r="FUY68" s="10"/>
      <c r="FUZ68" s="10"/>
      <c r="FVA68" s="10"/>
      <c r="FVB68" s="10"/>
      <c r="FVC68" s="10"/>
      <c r="FVD68" s="10"/>
      <c r="FVE68" s="10"/>
      <c r="FVF68" s="10"/>
      <c r="FVG68" s="10"/>
      <c r="FVH68" s="10"/>
      <c r="FVI68" s="10"/>
      <c r="FVJ68" s="10"/>
      <c r="FVK68" s="10"/>
      <c r="FVL68" s="10"/>
      <c r="FVM68" s="10"/>
      <c r="FVN68" s="10"/>
      <c r="FVO68" s="10"/>
      <c r="FVP68" s="10"/>
      <c r="FVQ68" s="10"/>
      <c r="FVR68" s="10"/>
      <c r="FVS68" s="10"/>
      <c r="FVT68" s="10"/>
      <c r="FVU68" s="10"/>
      <c r="FVV68" s="10"/>
      <c r="FVW68" s="10"/>
      <c r="FVX68" s="10"/>
      <c r="FVY68" s="10"/>
      <c r="FVZ68" s="10"/>
      <c r="FWA68" s="10"/>
      <c r="FWB68" s="10"/>
      <c r="FWC68" s="10"/>
      <c r="FWD68" s="10"/>
      <c r="FWE68" s="10"/>
      <c r="FWF68" s="10"/>
      <c r="FWG68" s="10"/>
      <c r="FWH68" s="10"/>
      <c r="FWI68" s="10"/>
      <c r="FWJ68" s="10"/>
      <c r="FWK68" s="10"/>
      <c r="FWL68" s="10"/>
      <c r="FWM68" s="10"/>
      <c r="FWN68" s="10"/>
      <c r="FWO68" s="10"/>
      <c r="FWP68" s="10"/>
      <c r="FWQ68" s="10"/>
      <c r="FWR68" s="10"/>
      <c r="FWS68" s="10"/>
      <c r="FWT68" s="10"/>
      <c r="FWU68" s="10"/>
      <c r="FWV68" s="10"/>
      <c r="FWW68" s="10"/>
      <c r="FWX68" s="10"/>
      <c r="FWY68" s="10"/>
      <c r="FWZ68" s="10"/>
      <c r="FXA68" s="10"/>
      <c r="FXB68" s="10"/>
      <c r="FXC68" s="10"/>
      <c r="FXD68" s="10"/>
      <c r="FXE68" s="10"/>
      <c r="FXF68" s="10"/>
      <c r="FXG68" s="10"/>
      <c r="FXH68" s="10"/>
      <c r="FXI68" s="10"/>
      <c r="FXJ68" s="10"/>
      <c r="FXK68" s="10"/>
      <c r="FXL68" s="10"/>
      <c r="FXM68" s="10"/>
      <c r="FXN68" s="10"/>
      <c r="FXO68" s="10"/>
      <c r="FXP68" s="10"/>
      <c r="FXQ68" s="10"/>
      <c r="FXR68" s="10"/>
      <c r="FXS68" s="10"/>
      <c r="FXT68" s="10"/>
      <c r="FXU68" s="10"/>
      <c r="FXV68" s="10"/>
      <c r="FXW68" s="10"/>
      <c r="FXX68" s="10"/>
      <c r="FXY68" s="10"/>
      <c r="FXZ68" s="10"/>
      <c r="FYA68" s="10"/>
      <c r="FYB68" s="10"/>
      <c r="FYC68" s="10"/>
      <c r="FYD68" s="10"/>
      <c r="FYE68" s="10"/>
      <c r="FYF68" s="10"/>
      <c r="FYG68" s="10"/>
      <c r="FYH68" s="10"/>
      <c r="FYI68" s="10"/>
      <c r="FYJ68" s="10"/>
      <c r="FYK68" s="10"/>
      <c r="FYL68" s="10"/>
      <c r="FYM68" s="10"/>
      <c r="FYN68" s="10"/>
      <c r="FYO68" s="10"/>
      <c r="FYP68" s="10"/>
      <c r="FYQ68" s="10"/>
      <c r="FYR68" s="10"/>
      <c r="FYS68" s="10"/>
      <c r="FYT68" s="10"/>
      <c r="FYU68" s="10"/>
      <c r="FYV68" s="10"/>
      <c r="FYW68" s="10"/>
      <c r="FYX68" s="10"/>
      <c r="FYY68" s="10"/>
      <c r="FYZ68" s="10"/>
      <c r="FZA68" s="10"/>
      <c r="FZB68" s="10"/>
      <c r="FZC68" s="10"/>
      <c r="FZD68" s="10"/>
      <c r="FZE68" s="10"/>
      <c r="FZF68" s="10"/>
      <c r="FZG68" s="10"/>
      <c r="FZH68" s="10"/>
      <c r="FZI68" s="10"/>
      <c r="FZJ68" s="10"/>
      <c r="FZK68" s="10"/>
      <c r="FZL68" s="10"/>
      <c r="FZM68" s="10"/>
      <c r="FZN68" s="10"/>
      <c r="FZO68" s="10"/>
      <c r="FZP68" s="10"/>
      <c r="FZQ68" s="10"/>
      <c r="FZR68" s="10"/>
      <c r="FZS68" s="10"/>
      <c r="FZT68" s="10"/>
      <c r="FZU68" s="10"/>
      <c r="FZV68" s="10"/>
      <c r="FZW68" s="10"/>
      <c r="FZX68" s="10"/>
      <c r="FZY68" s="10"/>
      <c r="FZZ68" s="10"/>
      <c r="GAA68" s="10"/>
      <c r="GAB68" s="10"/>
      <c r="GAC68" s="10"/>
      <c r="GAD68" s="10"/>
      <c r="GAE68" s="10"/>
      <c r="GAF68" s="10"/>
      <c r="GAG68" s="10"/>
      <c r="GAH68" s="10"/>
      <c r="GAI68" s="10"/>
      <c r="GAJ68" s="10"/>
      <c r="GAK68" s="10"/>
      <c r="GAL68" s="10"/>
      <c r="GAM68" s="10"/>
      <c r="GAN68" s="10"/>
      <c r="GAO68" s="10"/>
      <c r="GAP68" s="10"/>
      <c r="GAQ68" s="10"/>
      <c r="GAR68" s="10"/>
      <c r="GAS68" s="10"/>
      <c r="GAT68" s="10"/>
      <c r="GAU68" s="10"/>
      <c r="GAV68" s="10"/>
      <c r="GAW68" s="10"/>
      <c r="GAX68" s="10"/>
      <c r="GAY68" s="10"/>
      <c r="GAZ68" s="10"/>
      <c r="GBA68" s="10"/>
      <c r="GBB68" s="10"/>
      <c r="GBC68" s="10"/>
      <c r="GBD68" s="10"/>
      <c r="GBE68" s="10"/>
      <c r="GBF68" s="10"/>
      <c r="GBG68" s="10"/>
      <c r="GBH68" s="10"/>
      <c r="GBI68" s="10"/>
      <c r="GBJ68" s="10"/>
      <c r="GBK68" s="10"/>
      <c r="GBL68" s="10"/>
      <c r="GBM68" s="10"/>
      <c r="GBN68" s="10"/>
      <c r="GBO68" s="10"/>
      <c r="GBP68" s="10"/>
      <c r="GBQ68" s="10"/>
      <c r="GBR68" s="10"/>
      <c r="GBS68" s="10"/>
      <c r="GBT68" s="10"/>
      <c r="GBU68" s="10"/>
      <c r="GBV68" s="10"/>
      <c r="GBW68" s="10"/>
      <c r="GBX68" s="10"/>
      <c r="GBY68" s="10"/>
      <c r="GBZ68" s="10"/>
      <c r="GCA68" s="10"/>
      <c r="GCB68" s="10"/>
      <c r="GCC68" s="10"/>
      <c r="GCD68" s="10"/>
      <c r="GCE68" s="10"/>
      <c r="GCF68" s="10"/>
      <c r="GCG68" s="10"/>
      <c r="GCH68" s="10"/>
      <c r="GCI68" s="10"/>
      <c r="GCJ68" s="10"/>
      <c r="GCK68" s="10"/>
      <c r="GCL68" s="10"/>
      <c r="GCM68" s="10"/>
      <c r="GCN68" s="10"/>
      <c r="GCO68" s="10"/>
      <c r="GCP68" s="10"/>
      <c r="GCQ68" s="10"/>
      <c r="GCR68" s="10"/>
      <c r="GCS68" s="10"/>
      <c r="GCT68" s="10"/>
      <c r="GCU68" s="10"/>
      <c r="GCV68" s="10"/>
      <c r="GCW68" s="10"/>
      <c r="GCX68" s="10"/>
      <c r="GCY68" s="10"/>
      <c r="GCZ68" s="10"/>
      <c r="GDA68" s="10"/>
      <c r="GDB68" s="10"/>
      <c r="GDC68" s="10"/>
      <c r="GDD68" s="10"/>
      <c r="GDE68" s="10"/>
      <c r="GDF68" s="10"/>
      <c r="GDG68" s="10"/>
      <c r="GDH68" s="10"/>
      <c r="GDI68" s="10"/>
      <c r="GDJ68" s="10"/>
      <c r="GDK68" s="10"/>
      <c r="GDL68" s="10"/>
      <c r="GDM68" s="10"/>
      <c r="GDN68" s="10"/>
      <c r="GDO68" s="10"/>
      <c r="GDP68" s="10"/>
      <c r="GDQ68" s="10"/>
      <c r="GDR68" s="10"/>
      <c r="GDS68" s="10"/>
      <c r="GDT68" s="10"/>
      <c r="GDU68" s="10"/>
      <c r="GDV68" s="10"/>
      <c r="GDW68" s="10"/>
      <c r="GDX68" s="10"/>
      <c r="GDY68" s="10"/>
      <c r="GDZ68" s="10"/>
      <c r="GEA68" s="10"/>
      <c r="GEB68" s="10"/>
      <c r="GEC68" s="10"/>
      <c r="GED68" s="10"/>
      <c r="GEE68" s="10"/>
      <c r="GEF68" s="10"/>
      <c r="GEG68" s="10"/>
      <c r="GEH68" s="10"/>
      <c r="GEI68" s="10"/>
      <c r="GEJ68" s="10"/>
      <c r="GEK68" s="10"/>
      <c r="GEL68" s="10"/>
      <c r="GEM68" s="10"/>
      <c r="GEN68" s="10"/>
      <c r="GEO68" s="10"/>
      <c r="GEP68" s="10"/>
      <c r="GEQ68" s="10"/>
      <c r="GER68" s="10"/>
      <c r="GES68" s="10"/>
      <c r="GET68" s="10"/>
      <c r="GEU68" s="10"/>
      <c r="GEV68" s="10"/>
      <c r="GEW68" s="10"/>
      <c r="GEX68" s="10"/>
      <c r="GEY68" s="10"/>
      <c r="GEZ68" s="10"/>
      <c r="GFA68" s="10"/>
      <c r="GFB68" s="10"/>
      <c r="GFC68" s="10"/>
      <c r="GFD68" s="10"/>
      <c r="GFE68" s="10"/>
      <c r="GFF68" s="10"/>
      <c r="GFG68" s="10"/>
      <c r="GFH68" s="10"/>
      <c r="GFI68" s="10"/>
      <c r="GFJ68" s="10"/>
      <c r="GFK68" s="10"/>
      <c r="GFL68" s="10"/>
      <c r="GFM68" s="10"/>
      <c r="GFN68" s="10"/>
      <c r="GFO68" s="10"/>
      <c r="GFP68" s="10"/>
      <c r="GFQ68" s="10"/>
      <c r="GFR68" s="10"/>
      <c r="GFS68" s="10"/>
      <c r="GFT68" s="10"/>
      <c r="GFU68" s="10"/>
      <c r="GFV68" s="10"/>
      <c r="GFW68" s="10"/>
      <c r="GFX68" s="10"/>
      <c r="GFY68" s="10"/>
      <c r="GFZ68" s="10"/>
      <c r="GGA68" s="10"/>
      <c r="GGB68" s="10"/>
      <c r="GGC68" s="10"/>
      <c r="GGD68" s="10"/>
      <c r="GGE68" s="10"/>
      <c r="GGF68" s="10"/>
      <c r="GGG68" s="10"/>
      <c r="GGH68" s="10"/>
      <c r="GGI68" s="10"/>
      <c r="GGJ68" s="10"/>
      <c r="GGK68" s="10"/>
      <c r="GGL68" s="10"/>
      <c r="GGM68" s="10"/>
      <c r="GGN68" s="10"/>
      <c r="GGO68" s="10"/>
      <c r="GGP68" s="10"/>
      <c r="GGQ68" s="10"/>
      <c r="GGR68" s="10"/>
      <c r="GGS68" s="10"/>
      <c r="GGT68" s="10"/>
      <c r="GGU68" s="10"/>
      <c r="GGV68" s="10"/>
      <c r="GGW68" s="10"/>
      <c r="GGX68" s="10"/>
      <c r="GGY68" s="10"/>
      <c r="GGZ68" s="10"/>
      <c r="GHA68" s="10"/>
      <c r="GHB68" s="10"/>
      <c r="GHC68" s="10"/>
      <c r="GHD68" s="10"/>
      <c r="GHE68" s="10"/>
      <c r="GHF68" s="10"/>
      <c r="GHG68" s="10"/>
      <c r="GHH68" s="10"/>
      <c r="GHI68" s="10"/>
      <c r="GHJ68" s="10"/>
      <c r="GHK68" s="10"/>
      <c r="GHL68" s="10"/>
      <c r="GHM68" s="10"/>
      <c r="GHN68" s="10"/>
      <c r="GHO68" s="10"/>
      <c r="GHP68" s="10"/>
      <c r="GHQ68" s="10"/>
      <c r="GHR68" s="10"/>
      <c r="GHS68" s="10"/>
      <c r="GHT68" s="10"/>
      <c r="GHU68" s="10"/>
      <c r="GHV68" s="10"/>
      <c r="GHW68" s="10"/>
      <c r="GHX68" s="10"/>
      <c r="GHY68" s="10"/>
      <c r="GHZ68" s="10"/>
      <c r="GIA68" s="10"/>
      <c r="GIB68" s="10"/>
      <c r="GIC68" s="10"/>
      <c r="GID68" s="10"/>
      <c r="GIE68" s="10"/>
      <c r="GIF68" s="10"/>
      <c r="GIG68" s="10"/>
      <c r="GIH68" s="10"/>
      <c r="GII68" s="10"/>
      <c r="GIJ68" s="10"/>
      <c r="GIK68" s="10"/>
      <c r="GIL68" s="10"/>
      <c r="GIM68" s="10"/>
      <c r="GIN68" s="10"/>
      <c r="GIO68" s="10"/>
      <c r="GIP68" s="10"/>
      <c r="GIQ68" s="10"/>
      <c r="GIR68" s="10"/>
      <c r="GIS68" s="10"/>
      <c r="GIT68" s="10"/>
      <c r="GIU68" s="10"/>
      <c r="GIV68" s="10"/>
      <c r="GIW68" s="10"/>
      <c r="GIX68" s="10"/>
      <c r="GIY68" s="10"/>
      <c r="GIZ68" s="10"/>
      <c r="GJA68" s="10"/>
      <c r="GJB68" s="10"/>
      <c r="GJC68" s="10"/>
      <c r="GJD68" s="10"/>
      <c r="GJE68" s="10"/>
      <c r="GJF68" s="10"/>
      <c r="GJG68" s="10"/>
      <c r="GJH68" s="10"/>
      <c r="GJI68" s="10"/>
      <c r="GJJ68" s="10"/>
      <c r="GJK68" s="10"/>
      <c r="GJL68" s="10"/>
      <c r="GJM68" s="10"/>
      <c r="GJN68" s="10"/>
      <c r="GJO68" s="10"/>
      <c r="GJP68" s="10"/>
      <c r="GJQ68" s="10"/>
      <c r="GJR68" s="10"/>
      <c r="GJS68" s="10"/>
      <c r="GJT68" s="10"/>
      <c r="GJU68" s="10"/>
      <c r="GJV68" s="10"/>
      <c r="GJW68" s="10"/>
      <c r="GJX68" s="10"/>
      <c r="GJY68" s="10"/>
      <c r="GJZ68" s="10"/>
      <c r="GKA68" s="10"/>
      <c r="GKB68" s="10"/>
      <c r="GKC68" s="10"/>
      <c r="GKD68" s="10"/>
      <c r="GKE68" s="10"/>
      <c r="GKF68" s="10"/>
      <c r="GKG68" s="10"/>
      <c r="GKH68" s="10"/>
      <c r="GKI68" s="10"/>
      <c r="GKJ68" s="10"/>
      <c r="GKK68" s="10"/>
      <c r="GKL68" s="10"/>
      <c r="GKM68" s="10"/>
      <c r="GKN68" s="10"/>
      <c r="GKO68" s="10"/>
      <c r="GKP68" s="10"/>
      <c r="GKQ68" s="10"/>
      <c r="GKR68" s="10"/>
      <c r="GKS68" s="10"/>
      <c r="GKT68" s="10"/>
      <c r="GKU68" s="10"/>
      <c r="GKV68" s="10"/>
      <c r="GKW68" s="10"/>
      <c r="GKX68" s="10"/>
      <c r="GKY68" s="10"/>
      <c r="GKZ68" s="10"/>
      <c r="GLA68" s="10"/>
      <c r="GLB68" s="10"/>
      <c r="GLC68" s="10"/>
      <c r="GLD68" s="10"/>
      <c r="GLE68" s="10"/>
      <c r="GLF68" s="10"/>
      <c r="GLG68" s="10"/>
      <c r="GLH68" s="10"/>
      <c r="GLI68" s="10"/>
      <c r="GLJ68" s="10"/>
      <c r="GLK68" s="10"/>
      <c r="GLL68" s="10"/>
      <c r="GLM68" s="10"/>
      <c r="GLN68" s="10"/>
      <c r="GLO68" s="10"/>
      <c r="GLP68" s="10"/>
      <c r="GLQ68" s="10"/>
      <c r="GLR68" s="10"/>
      <c r="GLS68" s="10"/>
      <c r="GLT68" s="10"/>
      <c r="GLU68" s="10"/>
      <c r="GLV68" s="10"/>
      <c r="GLW68" s="10"/>
      <c r="GLX68" s="10"/>
      <c r="GLY68" s="10"/>
      <c r="GLZ68" s="10"/>
      <c r="GMA68" s="10"/>
      <c r="GMB68" s="10"/>
      <c r="GMC68" s="10"/>
      <c r="GMD68" s="10"/>
      <c r="GME68" s="10"/>
      <c r="GMF68" s="10"/>
      <c r="GMG68" s="10"/>
      <c r="GMH68" s="10"/>
      <c r="GMI68" s="10"/>
      <c r="GMJ68" s="10"/>
      <c r="GMK68" s="10"/>
      <c r="GML68" s="10"/>
      <c r="GMM68" s="10"/>
      <c r="GMN68" s="10"/>
      <c r="GMO68" s="10"/>
      <c r="GMP68" s="10"/>
      <c r="GMQ68" s="10"/>
      <c r="GMR68" s="10"/>
      <c r="GMS68" s="10"/>
      <c r="GMT68" s="10"/>
      <c r="GMU68" s="10"/>
      <c r="GMV68" s="10"/>
      <c r="GMW68" s="10"/>
      <c r="GMX68" s="10"/>
      <c r="GMY68" s="10"/>
      <c r="GMZ68" s="10"/>
      <c r="GNA68" s="10"/>
      <c r="GNB68" s="10"/>
      <c r="GNC68" s="10"/>
      <c r="GND68" s="10"/>
      <c r="GNE68" s="10"/>
      <c r="GNF68" s="10"/>
      <c r="GNG68" s="10"/>
      <c r="GNH68" s="10"/>
      <c r="GNI68" s="10"/>
      <c r="GNJ68" s="10"/>
      <c r="GNK68" s="10"/>
      <c r="GNL68" s="10"/>
      <c r="GNM68" s="10"/>
      <c r="GNN68" s="10"/>
      <c r="GNO68" s="10"/>
      <c r="GNP68" s="10"/>
      <c r="GNQ68" s="10"/>
      <c r="GNR68" s="10"/>
      <c r="GNS68" s="10"/>
      <c r="GNT68" s="10"/>
      <c r="GNU68" s="10"/>
      <c r="GNV68" s="10"/>
      <c r="GNW68" s="10"/>
      <c r="GNX68" s="10"/>
      <c r="GNY68" s="10"/>
      <c r="GNZ68" s="10"/>
      <c r="GOA68" s="10"/>
      <c r="GOB68" s="10"/>
      <c r="GOC68" s="10"/>
      <c r="GOD68" s="10"/>
      <c r="GOE68" s="10"/>
      <c r="GOF68" s="10"/>
      <c r="GOG68" s="10"/>
      <c r="GOH68" s="10"/>
      <c r="GOI68" s="10"/>
      <c r="GOJ68" s="10"/>
      <c r="GOK68" s="10"/>
      <c r="GOL68" s="10"/>
      <c r="GOM68" s="10"/>
      <c r="GON68" s="10"/>
      <c r="GOO68" s="10"/>
      <c r="GOP68" s="10"/>
      <c r="GOQ68" s="10"/>
      <c r="GOR68" s="10"/>
      <c r="GOS68" s="10"/>
      <c r="GOT68" s="10"/>
      <c r="GOU68" s="10"/>
      <c r="GOV68" s="10"/>
      <c r="GOW68" s="10"/>
      <c r="GOX68" s="10"/>
      <c r="GOY68" s="10"/>
      <c r="GOZ68" s="10"/>
      <c r="GPA68" s="10"/>
      <c r="GPB68" s="10"/>
      <c r="GPC68" s="10"/>
      <c r="GPD68" s="10"/>
      <c r="GPE68" s="10"/>
      <c r="GPF68" s="10"/>
      <c r="GPG68" s="10"/>
      <c r="GPH68" s="10"/>
      <c r="GPI68" s="10"/>
      <c r="GPJ68" s="10"/>
      <c r="GPK68" s="10"/>
      <c r="GPL68" s="10"/>
      <c r="GPM68" s="10"/>
      <c r="GPN68" s="10"/>
      <c r="GPO68" s="10"/>
      <c r="GPP68" s="10"/>
      <c r="GPQ68" s="10"/>
      <c r="GPR68" s="10"/>
      <c r="GPS68" s="10"/>
      <c r="GPT68" s="10"/>
      <c r="GPU68" s="10"/>
      <c r="GPV68" s="10"/>
      <c r="GPW68" s="10"/>
      <c r="GPX68" s="10"/>
      <c r="GPY68" s="10"/>
      <c r="GPZ68" s="10"/>
      <c r="GQA68" s="10"/>
      <c r="GQB68" s="10"/>
      <c r="GQC68" s="10"/>
      <c r="GQD68" s="10"/>
      <c r="GQE68" s="10"/>
      <c r="GQF68" s="10"/>
      <c r="GQG68" s="10"/>
      <c r="GQH68" s="10"/>
      <c r="GQI68" s="10"/>
      <c r="GQJ68" s="10"/>
      <c r="GQK68" s="10"/>
      <c r="GQL68" s="10"/>
      <c r="GQM68" s="10"/>
      <c r="GQN68" s="10"/>
      <c r="GQO68" s="10"/>
      <c r="GQP68" s="10"/>
      <c r="GQQ68" s="10"/>
      <c r="GQR68" s="10"/>
      <c r="GQS68" s="10"/>
      <c r="GQT68" s="10"/>
      <c r="GQU68" s="10"/>
      <c r="GQV68" s="10"/>
      <c r="GQW68" s="10"/>
      <c r="GQX68" s="10"/>
      <c r="GQY68" s="10"/>
      <c r="GQZ68" s="10"/>
      <c r="GRA68" s="10"/>
      <c r="GRB68" s="10"/>
      <c r="GRC68" s="10"/>
      <c r="GRD68" s="10"/>
      <c r="GRE68" s="10"/>
      <c r="GRF68" s="10"/>
      <c r="GRG68" s="10"/>
      <c r="GRH68" s="10"/>
      <c r="GRI68" s="10"/>
      <c r="GRJ68" s="10"/>
      <c r="GRK68" s="10"/>
      <c r="GRL68" s="10"/>
      <c r="GRM68" s="10"/>
      <c r="GRN68" s="10"/>
      <c r="GRO68" s="10"/>
      <c r="GRP68" s="10"/>
      <c r="GRQ68" s="10"/>
      <c r="GRR68" s="10"/>
      <c r="GRS68" s="10"/>
      <c r="GRT68" s="10"/>
      <c r="GRU68" s="10"/>
      <c r="GRV68" s="10"/>
      <c r="GRW68" s="10"/>
      <c r="GRX68" s="10"/>
      <c r="GRY68" s="10"/>
      <c r="GRZ68" s="10"/>
      <c r="GSA68" s="10"/>
      <c r="GSB68" s="10"/>
      <c r="GSC68" s="10"/>
      <c r="GSD68" s="10"/>
      <c r="GSE68" s="10"/>
      <c r="GSF68" s="10"/>
      <c r="GSG68" s="10"/>
      <c r="GSH68" s="10"/>
      <c r="GSI68" s="10"/>
      <c r="GSJ68" s="10"/>
      <c r="GSK68" s="10"/>
      <c r="GSL68" s="10"/>
      <c r="GSM68" s="10"/>
      <c r="GSN68" s="10"/>
      <c r="GSO68" s="10"/>
      <c r="GSP68" s="10"/>
      <c r="GSQ68" s="10"/>
      <c r="GSR68" s="10"/>
      <c r="GSS68" s="10"/>
      <c r="GST68" s="10"/>
      <c r="GSU68" s="10"/>
      <c r="GSV68" s="10"/>
      <c r="GSW68" s="10"/>
      <c r="GSX68" s="10"/>
      <c r="GSY68" s="10"/>
      <c r="GSZ68" s="10"/>
      <c r="GTA68" s="10"/>
      <c r="GTB68" s="10"/>
      <c r="GTC68" s="10"/>
      <c r="GTD68" s="10"/>
      <c r="GTE68" s="10"/>
      <c r="GTF68" s="10"/>
      <c r="GTG68" s="10"/>
      <c r="GTH68" s="10"/>
      <c r="GTI68" s="10"/>
      <c r="GTJ68" s="10"/>
      <c r="GTK68" s="10"/>
      <c r="GTL68" s="10"/>
      <c r="GTM68" s="10"/>
      <c r="GTN68" s="10"/>
      <c r="GTO68" s="10"/>
      <c r="GTP68" s="10"/>
      <c r="GTQ68" s="10"/>
      <c r="GTR68" s="10"/>
      <c r="GTS68" s="10"/>
      <c r="GTT68" s="10"/>
      <c r="GTU68" s="10"/>
      <c r="GTV68" s="10"/>
      <c r="GTW68" s="10"/>
      <c r="GTX68" s="10"/>
      <c r="GTY68" s="10"/>
      <c r="GTZ68" s="10"/>
      <c r="GUA68" s="10"/>
      <c r="GUB68" s="10"/>
      <c r="GUC68" s="10"/>
      <c r="GUD68" s="10"/>
      <c r="GUE68" s="10"/>
      <c r="GUF68" s="10"/>
      <c r="GUG68" s="10"/>
      <c r="GUH68" s="10"/>
      <c r="GUI68" s="10"/>
      <c r="GUJ68" s="10"/>
      <c r="GUK68" s="10"/>
      <c r="GUL68" s="10"/>
      <c r="GUM68" s="10"/>
      <c r="GUN68" s="10"/>
      <c r="GUO68" s="10"/>
      <c r="GUP68" s="10"/>
      <c r="GUQ68" s="10"/>
      <c r="GUR68" s="10"/>
      <c r="GUS68" s="10"/>
      <c r="GUT68" s="10"/>
      <c r="GUU68" s="10"/>
      <c r="GUV68" s="10"/>
      <c r="GUW68" s="10"/>
      <c r="GUX68" s="10"/>
      <c r="GUY68" s="10"/>
      <c r="GUZ68" s="10"/>
      <c r="GVA68" s="10"/>
      <c r="GVB68" s="10"/>
      <c r="GVC68" s="10"/>
      <c r="GVD68" s="10"/>
      <c r="GVE68" s="10"/>
      <c r="GVF68" s="10"/>
      <c r="GVG68" s="10"/>
      <c r="GVH68" s="10"/>
      <c r="GVI68" s="10"/>
      <c r="GVJ68" s="10"/>
      <c r="GVK68" s="10"/>
      <c r="GVL68" s="10"/>
      <c r="GVM68" s="10"/>
      <c r="GVN68" s="10"/>
      <c r="GVO68" s="10"/>
      <c r="GVP68" s="10"/>
      <c r="GVQ68" s="10"/>
      <c r="GVR68" s="10"/>
      <c r="GVS68" s="10"/>
      <c r="GVT68" s="10"/>
      <c r="GVU68" s="10"/>
      <c r="GVV68" s="10"/>
      <c r="GVW68" s="10"/>
      <c r="GVX68" s="10"/>
      <c r="GVY68" s="10"/>
      <c r="GVZ68" s="10"/>
      <c r="GWA68" s="10"/>
      <c r="GWB68" s="10"/>
      <c r="GWC68" s="10"/>
      <c r="GWD68" s="10"/>
      <c r="GWE68" s="10"/>
      <c r="GWF68" s="10"/>
      <c r="GWG68" s="10"/>
      <c r="GWH68" s="10"/>
      <c r="GWI68" s="10"/>
      <c r="GWJ68" s="10"/>
      <c r="GWK68" s="10"/>
      <c r="GWL68" s="10"/>
      <c r="GWM68" s="10"/>
      <c r="GWN68" s="10"/>
      <c r="GWO68" s="10"/>
      <c r="GWP68" s="10"/>
      <c r="GWQ68" s="10"/>
      <c r="GWR68" s="10"/>
      <c r="GWS68" s="10"/>
      <c r="GWT68" s="10"/>
      <c r="GWU68" s="10"/>
      <c r="GWV68" s="10"/>
      <c r="GWW68" s="10"/>
      <c r="GWX68" s="10"/>
      <c r="GWY68" s="10"/>
      <c r="GWZ68" s="10"/>
      <c r="GXA68" s="10"/>
      <c r="GXB68" s="10"/>
      <c r="GXC68" s="10"/>
      <c r="GXD68" s="10"/>
      <c r="GXE68" s="10"/>
      <c r="GXF68" s="10"/>
      <c r="GXG68" s="10"/>
      <c r="GXH68" s="10"/>
      <c r="GXI68" s="10"/>
      <c r="GXJ68" s="10"/>
      <c r="GXK68" s="10"/>
      <c r="GXL68" s="10"/>
      <c r="GXM68" s="10"/>
      <c r="GXN68" s="10"/>
      <c r="GXO68" s="10"/>
      <c r="GXP68" s="10"/>
      <c r="GXQ68" s="10"/>
      <c r="GXR68" s="10"/>
      <c r="GXS68" s="10"/>
      <c r="GXT68" s="10"/>
      <c r="GXU68" s="10"/>
      <c r="GXV68" s="10"/>
      <c r="GXW68" s="10"/>
      <c r="GXX68" s="10"/>
      <c r="GXY68" s="10"/>
      <c r="GXZ68" s="10"/>
      <c r="GYA68" s="10"/>
      <c r="GYB68" s="10"/>
      <c r="GYC68" s="10"/>
      <c r="GYD68" s="10"/>
      <c r="GYE68" s="10"/>
      <c r="GYF68" s="10"/>
      <c r="GYG68" s="10"/>
      <c r="GYH68" s="10"/>
      <c r="GYI68" s="10"/>
      <c r="GYJ68" s="10"/>
      <c r="GYK68" s="10"/>
      <c r="GYL68" s="10"/>
      <c r="GYM68" s="10"/>
      <c r="GYN68" s="10"/>
      <c r="GYO68" s="10"/>
      <c r="GYP68" s="10"/>
      <c r="GYQ68" s="10"/>
      <c r="GYR68" s="10"/>
      <c r="GYS68" s="10"/>
      <c r="GYT68" s="10"/>
      <c r="GYU68" s="10"/>
      <c r="GYV68" s="10"/>
      <c r="GYW68" s="10"/>
      <c r="GYX68" s="10"/>
      <c r="GYY68" s="10"/>
      <c r="GYZ68" s="10"/>
      <c r="GZA68" s="10"/>
      <c r="GZB68" s="10"/>
      <c r="GZC68" s="10"/>
      <c r="GZD68" s="10"/>
      <c r="GZE68" s="10"/>
      <c r="GZF68" s="10"/>
      <c r="GZG68" s="10"/>
      <c r="GZH68" s="10"/>
      <c r="GZI68" s="10"/>
      <c r="GZJ68" s="10"/>
      <c r="GZK68" s="10"/>
      <c r="GZL68" s="10"/>
      <c r="GZM68" s="10"/>
      <c r="GZN68" s="10"/>
      <c r="GZO68" s="10"/>
      <c r="GZP68" s="10"/>
      <c r="GZQ68" s="10"/>
      <c r="GZR68" s="10"/>
      <c r="GZS68" s="10"/>
      <c r="GZT68" s="10"/>
      <c r="GZU68" s="10"/>
      <c r="GZV68" s="10"/>
      <c r="GZW68" s="10"/>
      <c r="GZX68" s="10"/>
      <c r="GZY68" s="10"/>
      <c r="GZZ68" s="10"/>
      <c r="HAA68" s="10"/>
      <c r="HAB68" s="10"/>
      <c r="HAC68" s="10"/>
      <c r="HAD68" s="10"/>
      <c r="HAE68" s="10"/>
      <c r="HAF68" s="10"/>
      <c r="HAG68" s="10"/>
      <c r="HAH68" s="10"/>
      <c r="HAI68" s="10"/>
      <c r="HAJ68" s="10"/>
      <c r="HAK68" s="10"/>
      <c r="HAL68" s="10"/>
      <c r="HAM68" s="10"/>
      <c r="HAN68" s="10"/>
      <c r="HAO68" s="10"/>
      <c r="HAP68" s="10"/>
      <c r="HAQ68" s="10"/>
      <c r="HAR68" s="10"/>
      <c r="HAS68" s="10"/>
      <c r="HAT68" s="10"/>
      <c r="HAU68" s="10"/>
      <c r="HAV68" s="10"/>
      <c r="HAW68" s="10"/>
      <c r="HAX68" s="10"/>
      <c r="HAY68" s="10"/>
      <c r="HAZ68" s="10"/>
      <c r="HBA68" s="10"/>
      <c r="HBB68" s="10"/>
      <c r="HBC68" s="10"/>
      <c r="HBD68" s="10"/>
      <c r="HBE68" s="10"/>
      <c r="HBF68" s="10"/>
      <c r="HBG68" s="10"/>
      <c r="HBH68" s="10"/>
      <c r="HBI68" s="10"/>
      <c r="HBJ68" s="10"/>
      <c r="HBK68" s="10"/>
      <c r="HBL68" s="10"/>
      <c r="HBM68" s="10"/>
      <c r="HBN68" s="10"/>
      <c r="HBO68" s="10"/>
      <c r="HBP68" s="10"/>
      <c r="HBQ68" s="10"/>
      <c r="HBR68" s="10"/>
      <c r="HBS68" s="10"/>
      <c r="HBT68" s="10"/>
      <c r="HBU68" s="10"/>
      <c r="HBV68" s="10"/>
      <c r="HBW68" s="10"/>
      <c r="HBX68" s="10"/>
      <c r="HBY68" s="10"/>
      <c r="HBZ68" s="10"/>
      <c r="HCA68" s="10"/>
      <c r="HCB68" s="10"/>
      <c r="HCC68" s="10"/>
      <c r="HCD68" s="10"/>
      <c r="HCE68" s="10"/>
      <c r="HCF68" s="10"/>
      <c r="HCG68" s="10"/>
      <c r="HCH68" s="10"/>
      <c r="HCI68" s="10"/>
      <c r="HCJ68" s="10"/>
      <c r="HCK68" s="10"/>
      <c r="HCL68" s="10"/>
      <c r="HCM68" s="10"/>
      <c r="HCN68" s="10"/>
      <c r="HCO68" s="10"/>
      <c r="HCP68" s="10"/>
      <c r="HCQ68" s="10"/>
      <c r="HCR68" s="10"/>
      <c r="HCS68" s="10"/>
      <c r="HCT68" s="10"/>
      <c r="HCU68" s="10"/>
      <c r="HCV68" s="10"/>
      <c r="HCW68" s="10"/>
      <c r="HCX68" s="10"/>
      <c r="HCY68" s="10"/>
      <c r="HCZ68" s="10"/>
      <c r="HDA68" s="10"/>
      <c r="HDB68" s="10"/>
      <c r="HDC68" s="10"/>
      <c r="HDD68" s="10"/>
      <c r="HDE68" s="10"/>
      <c r="HDF68" s="10"/>
      <c r="HDG68" s="10"/>
      <c r="HDH68" s="10"/>
      <c r="HDI68" s="10"/>
      <c r="HDJ68" s="10"/>
      <c r="HDK68" s="10"/>
      <c r="HDL68" s="10"/>
      <c r="HDM68" s="10"/>
      <c r="HDN68" s="10"/>
      <c r="HDO68" s="10"/>
      <c r="HDP68" s="10"/>
      <c r="HDQ68" s="10"/>
      <c r="HDR68" s="10"/>
      <c r="HDS68" s="10"/>
      <c r="HDT68" s="10"/>
      <c r="HDU68" s="10"/>
      <c r="HDV68" s="10"/>
      <c r="HDW68" s="10"/>
      <c r="HDX68" s="10"/>
      <c r="HDY68" s="10"/>
      <c r="HDZ68" s="10"/>
      <c r="HEA68" s="10"/>
      <c r="HEB68" s="10"/>
      <c r="HEC68" s="10"/>
      <c r="HED68" s="10"/>
      <c r="HEE68" s="10"/>
      <c r="HEF68" s="10"/>
      <c r="HEG68" s="10"/>
      <c r="HEH68" s="10"/>
      <c r="HEI68" s="10"/>
      <c r="HEJ68" s="10"/>
      <c r="HEK68" s="10"/>
      <c r="HEL68" s="10"/>
      <c r="HEM68" s="10"/>
      <c r="HEN68" s="10"/>
      <c r="HEO68" s="10"/>
      <c r="HEP68" s="10"/>
      <c r="HEQ68" s="10"/>
      <c r="HER68" s="10"/>
      <c r="HES68" s="10"/>
      <c r="HET68" s="10"/>
      <c r="HEU68" s="10"/>
      <c r="HEV68" s="10"/>
      <c r="HEW68" s="10"/>
      <c r="HEX68" s="10"/>
      <c r="HEY68" s="10"/>
      <c r="HEZ68" s="10"/>
      <c r="HFA68" s="10"/>
      <c r="HFB68" s="10"/>
      <c r="HFC68" s="10"/>
      <c r="HFD68" s="10"/>
      <c r="HFE68" s="10"/>
      <c r="HFF68" s="10"/>
      <c r="HFG68" s="10"/>
      <c r="HFH68" s="10"/>
      <c r="HFI68" s="10"/>
      <c r="HFJ68" s="10"/>
      <c r="HFK68" s="10"/>
      <c r="HFL68" s="10"/>
      <c r="HFM68" s="10"/>
      <c r="HFN68" s="10"/>
      <c r="HFO68" s="10"/>
      <c r="HFP68" s="10"/>
      <c r="HFQ68" s="10"/>
      <c r="HFR68" s="10"/>
      <c r="HFS68" s="10"/>
      <c r="HFT68" s="10"/>
      <c r="HFU68" s="10"/>
      <c r="HFV68" s="10"/>
      <c r="HFW68" s="10"/>
      <c r="HFX68" s="10"/>
      <c r="HFY68" s="10"/>
      <c r="HFZ68" s="10"/>
      <c r="HGA68" s="10"/>
      <c r="HGB68" s="10"/>
      <c r="HGC68" s="10"/>
      <c r="HGD68" s="10"/>
      <c r="HGE68" s="10"/>
      <c r="HGF68" s="10"/>
      <c r="HGG68" s="10"/>
      <c r="HGH68" s="10"/>
      <c r="HGI68" s="10"/>
      <c r="HGJ68" s="10"/>
      <c r="HGK68" s="10"/>
      <c r="HGL68" s="10"/>
      <c r="HGM68" s="10"/>
      <c r="HGN68" s="10"/>
      <c r="HGO68" s="10"/>
      <c r="HGP68" s="10"/>
      <c r="HGQ68" s="10"/>
      <c r="HGR68" s="10"/>
      <c r="HGS68" s="10"/>
      <c r="HGT68" s="10"/>
      <c r="HGU68" s="10"/>
      <c r="HGV68" s="10"/>
      <c r="HGW68" s="10"/>
      <c r="HGX68" s="10"/>
      <c r="HGY68" s="10"/>
      <c r="HGZ68" s="10"/>
      <c r="HHA68" s="10"/>
      <c r="HHB68" s="10"/>
      <c r="HHC68" s="10"/>
      <c r="HHD68" s="10"/>
      <c r="HHE68" s="10"/>
      <c r="HHF68" s="10"/>
      <c r="HHG68" s="10"/>
      <c r="HHH68" s="10"/>
      <c r="HHI68" s="10"/>
      <c r="HHJ68" s="10"/>
      <c r="HHK68" s="10"/>
      <c r="HHL68" s="10"/>
      <c r="HHM68" s="10"/>
      <c r="HHN68" s="10"/>
      <c r="HHO68" s="10"/>
      <c r="HHP68" s="10"/>
      <c r="HHQ68" s="10"/>
      <c r="HHR68" s="10"/>
      <c r="HHS68" s="10"/>
      <c r="HHT68" s="10"/>
      <c r="HHU68" s="10"/>
      <c r="HHV68" s="10"/>
      <c r="HHW68" s="10"/>
      <c r="HHX68" s="10"/>
      <c r="HHY68" s="10"/>
      <c r="HHZ68" s="10"/>
      <c r="HIA68" s="10"/>
      <c r="HIB68" s="10"/>
      <c r="HIC68" s="10"/>
      <c r="HID68" s="10"/>
      <c r="HIE68" s="10"/>
      <c r="HIF68" s="10"/>
      <c r="HIG68" s="10"/>
      <c r="HIH68" s="10"/>
      <c r="HII68" s="10"/>
      <c r="HIJ68" s="10"/>
      <c r="HIK68" s="10"/>
      <c r="HIL68" s="10"/>
      <c r="HIM68" s="10"/>
      <c r="HIN68" s="10"/>
      <c r="HIO68" s="10"/>
      <c r="HIP68" s="10"/>
      <c r="HIQ68" s="10"/>
      <c r="HIR68" s="10"/>
      <c r="HIS68" s="10"/>
      <c r="HIT68" s="10"/>
      <c r="HIU68" s="10"/>
      <c r="HIV68" s="10"/>
      <c r="HIW68" s="10"/>
      <c r="HIX68" s="10"/>
      <c r="HIY68" s="10"/>
      <c r="HIZ68" s="10"/>
      <c r="HJA68" s="10"/>
      <c r="HJB68" s="10"/>
      <c r="HJC68" s="10"/>
      <c r="HJD68" s="10"/>
      <c r="HJE68" s="10"/>
      <c r="HJF68" s="10"/>
      <c r="HJG68" s="10"/>
      <c r="HJH68" s="10"/>
      <c r="HJI68" s="10"/>
      <c r="HJJ68" s="10"/>
      <c r="HJK68" s="10"/>
      <c r="HJL68" s="10"/>
      <c r="HJM68" s="10"/>
      <c r="HJN68" s="10"/>
      <c r="HJO68" s="10"/>
      <c r="HJP68" s="10"/>
      <c r="HJQ68" s="10"/>
      <c r="HJR68" s="10"/>
      <c r="HJS68" s="10"/>
      <c r="HJT68" s="10"/>
      <c r="HJU68" s="10"/>
      <c r="HJV68" s="10"/>
      <c r="HJW68" s="10"/>
      <c r="HJX68" s="10"/>
      <c r="HJY68" s="10"/>
      <c r="HJZ68" s="10"/>
      <c r="HKA68" s="10"/>
      <c r="HKB68" s="10"/>
      <c r="HKC68" s="10"/>
      <c r="HKD68" s="10"/>
      <c r="HKE68" s="10"/>
      <c r="HKF68" s="10"/>
      <c r="HKG68" s="10"/>
      <c r="HKH68" s="10"/>
      <c r="HKI68" s="10"/>
      <c r="HKJ68" s="10"/>
      <c r="HKK68" s="10"/>
      <c r="HKL68" s="10"/>
      <c r="HKM68" s="10"/>
      <c r="HKN68" s="10"/>
      <c r="HKO68" s="10"/>
      <c r="HKP68" s="10"/>
      <c r="HKQ68" s="10"/>
      <c r="HKR68" s="10"/>
      <c r="HKS68" s="10"/>
      <c r="HKT68" s="10"/>
      <c r="HKU68" s="10"/>
      <c r="HKV68" s="10"/>
      <c r="HKW68" s="10"/>
      <c r="HKX68" s="10"/>
      <c r="HKY68" s="10"/>
      <c r="HKZ68" s="10"/>
      <c r="HLA68" s="10"/>
      <c r="HLB68" s="10"/>
      <c r="HLC68" s="10"/>
      <c r="HLD68" s="10"/>
      <c r="HLE68" s="10"/>
      <c r="HLF68" s="10"/>
      <c r="HLG68" s="10"/>
      <c r="HLH68" s="10"/>
      <c r="HLI68" s="10"/>
      <c r="HLJ68" s="10"/>
      <c r="HLK68" s="10"/>
      <c r="HLL68" s="10"/>
      <c r="HLM68" s="10"/>
      <c r="HLN68" s="10"/>
      <c r="HLO68" s="10"/>
      <c r="HLP68" s="10"/>
      <c r="HLQ68" s="10"/>
      <c r="HLR68" s="10"/>
      <c r="HLS68" s="10"/>
      <c r="HLT68" s="10"/>
      <c r="HLU68" s="10"/>
      <c r="HLV68" s="10"/>
      <c r="HLW68" s="10"/>
      <c r="HLX68" s="10"/>
      <c r="HLY68" s="10"/>
      <c r="HLZ68" s="10"/>
      <c r="HMA68" s="10"/>
      <c r="HMB68" s="10"/>
      <c r="HMC68" s="10"/>
      <c r="HMD68" s="10"/>
      <c r="HME68" s="10"/>
      <c r="HMF68" s="10"/>
      <c r="HMG68" s="10"/>
      <c r="HMH68" s="10"/>
      <c r="HMI68" s="10"/>
      <c r="HMJ68" s="10"/>
      <c r="HMK68" s="10"/>
      <c r="HML68" s="10"/>
      <c r="HMM68" s="10"/>
      <c r="HMN68" s="10"/>
      <c r="HMO68" s="10"/>
      <c r="HMP68" s="10"/>
      <c r="HMQ68" s="10"/>
      <c r="HMR68" s="10"/>
      <c r="HMS68" s="10"/>
      <c r="HMT68" s="10"/>
      <c r="HMU68" s="10"/>
      <c r="HMV68" s="10"/>
      <c r="HMW68" s="10"/>
      <c r="HMX68" s="10"/>
      <c r="HMY68" s="10"/>
      <c r="HMZ68" s="10"/>
      <c r="HNA68" s="10"/>
      <c r="HNB68" s="10"/>
      <c r="HNC68" s="10"/>
      <c r="HND68" s="10"/>
      <c r="HNE68" s="10"/>
      <c r="HNF68" s="10"/>
      <c r="HNG68" s="10"/>
      <c r="HNH68" s="10"/>
      <c r="HNI68" s="10"/>
      <c r="HNJ68" s="10"/>
      <c r="HNK68" s="10"/>
      <c r="HNL68" s="10"/>
      <c r="HNM68" s="10"/>
      <c r="HNN68" s="10"/>
      <c r="HNO68" s="10"/>
      <c r="HNP68" s="10"/>
      <c r="HNQ68" s="10"/>
      <c r="HNR68" s="10"/>
      <c r="HNS68" s="10"/>
      <c r="HNT68" s="10"/>
      <c r="HNU68" s="10"/>
      <c r="HNV68" s="10"/>
      <c r="HNW68" s="10"/>
      <c r="HNX68" s="10"/>
      <c r="HNY68" s="10"/>
      <c r="HNZ68" s="10"/>
      <c r="HOA68" s="10"/>
      <c r="HOB68" s="10"/>
      <c r="HOC68" s="10"/>
      <c r="HOD68" s="10"/>
      <c r="HOE68" s="10"/>
      <c r="HOF68" s="10"/>
      <c r="HOG68" s="10"/>
      <c r="HOH68" s="10"/>
      <c r="HOI68" s="10"/>
      <c r="HOJ68" s="10"/>
      <c r="HOK68" s="10"/>
      <c r="HOL68" s="10"/>
      <c r="HOM68" s="10"/>
      <c r="HON68" s="10"/>
      <c r="HOO68" s="10"/>
      <c r="HOP68" s="10"/>
      <c r="HOQ68" s="10"/>
      <c r="HOR68" s="10"/>
      <c r="HOS68" s="10"/>
      <c r="HOT68" s="10"/>
      <c r="HOU68" s="10"/>
      <c r="HOV68" s="10"/>
      <c r="HOW68" s="10"/>
      <c r="HOX68" s="10"/>
      <c r="HOY68" s="10"/>
      <c r="HOZ68" s="10"/>
      <c r="HPA68" s="10"/>
      <c r="HPB68" s="10"/>
      <c r="HPC68" s="10"/>
      <c r="HPD68" s="10"/>
      <c r="HPE68" s="10"/>
      <c r="HPF68" s="10"/>
      <c r="HPG68" s="10"/>
      <c r="HPH68" s="10"/>
      <c r="HPI68" s="10"/>
      <c r="HPJ68" s="10"/>
      <c r="HPK68" s="10"/>
      <c r="HPL68" s="10"/>
      <c r="HPM68" s="10"/>
      <c r="HPN68" s="10"/>
      <c r="HPO68" s="10"/>
      <c r="HPP68" s="10"/>
      <c r="HPQ68" s="10"/>
      <c r="HPR68" s="10"/>
      <c r="HPS68" s="10"/>
      <c r="HPT68" s="10"/>
      <c r="HPU68" s="10"/>
      <c r="HPV68" s="10"/>
      <c r="HPW68" s="10"/>
      <c r="HPX68" s="10"/>
      <c r="HPY68" s="10"/>
      <c r="HPZ68" s="10"/>
      <c r="HQA68" s="10"/>
      <c r="HQB68" s="10"/>
      <c r="HQC68" s="10"/>
      <c r="HQD68" s="10"/>
      <c r="HQE68" s="10"/>
      <c r="HQF68" s="10"/>
      <c r="HQG68" s="10"/>
      <c r="HQH68" s="10"/>
      <c r="HQI68" s="10"/>
      <c r="HQJ68" s="10"/>
      <c r="HQK68" s="10"/>
      <c r="HQL68" s="10"/>
      <c r="HQM68" s="10"/>
      <c r="HQN68" s="10"/>
      <c r="HQO68" s="10"/>
      <c r="HQP68" s="10"/>
      <c r="HQQ68" s="10"/>
      <c r="HQR68" s="10"/>
      <c r="HQS68" s="10"/>
      <c r="HQT68" s="10"/>
      <c r="HQU68" s="10"/>
      <c r="HQV68" s="10"/>
      <c r="HQW68" s="10"/>
      <c r="HQX68" s="10"/>
      <c r="HQY68" s="10"/>
      <c r="HQZ68" s="10"/>
      <c r="HRA68" s="10"/>
      <c r="HRB68" s="10"/>
      <c r="HRC68" s="10"/>
      <c r="HRD68" s="10"/>
      <c r="HRE68" s="10"/>
      <c r="HRF68" s="10"/>
      <c r="HRG68" s="10"/>
      <c r="HRH68" s="10"/>
      <c r="HRI68" s="10"/>
      <c r="HRJ68" s="10"/>
      <c r="HRK68" s="10"/>
      <c r="HRL68" s="10"/>
      <c r="HRM68" s="10"/>
      <c r="HRN68" s="10"/>
      <c r="HRO68" s="10"/>
      <c r="HRP68" s="10"/>
      <c r="HRQ68" s="10"/>
      <c r="HRR68" s="10"/>
      <c r="HRS68" s="10"/>
      <c r="HRT68" s="10"/>
      <c r="HRU68" s="10"/>
      <c r="HRV68" s="10"/>
      <c r="HRW68" s="10"/>
      <c r="HRX68" s="10"/>
      <c r="HRY68" s="10"/>
      <c r="HRZ68" s="10"/>
      <c r="HSA68" s="10"/>
      <c r="HSB68" s="10"/>
      <c r="HSC68" s="10"/>
      <c r="HSD68" s="10"/>
      <c r="HSE68" s="10"/>
      <c r="HSF68" s="10"/>
      <c r="HSG68" s="10"/>
      <c r="HSH68" s="10"/>
      <c r="HSI68" s="10"/>
      <c r="HSJ68" s="10"/>
      <c r="HSK68" s="10"/>
      <c r="HSL68" s="10"/>
      <c r="HSM68" s="10"/>
      <c r="HSN68" s="10"/>
      <c r="HSO68" s="10"/>
      <c r="HSP68" s="10"/>
      <c r="HSQ68" s="10"/>
      <c r="HSR68" s="10"/>
      <c r="HSS68" s="10"/>
      <c r="HST68" s="10"/>
      <c r="HSU68" s="10"/>
      <c r="HSV68" s="10"/>
      <c r="HSW68" s="10"/>
      <c r="HSX68" s="10"/>
      <c r="HSY68" s="10"/>
      <c r="HSZ68" s="10"/>
      <c r="HTA68" s="10"/>
      <c r="HTB68" s="10"/>
      <c r="HTC68" s="10"/>
      <c r="HTD68" s="10"/>
      <c r="HTE68" s="10"/>
      <c r="HTF68" s="10"/>
      <c r="HTG68" s="10"/>
      <c r="HTH68" s="10"/>
      <c r="HTI68" s="10"/>
      <c r="HTJ68" s="10"/>
      <c r="HTK68" s="10"/>
      <c r="HTL68" s="10"/>
      <c r="HTM68" s="10"/>
      <c r="HTN68" s="10"/>
      <c r="HTO68" s="10"/>
      <c r="HTP68" s="10"/>
      <c r="HTQ68" s="10"/>
      <c r="HTR68" s="10"/>
      <c r="HTS68" s="10"/>
      <c r="HTT68" s="10"/>
      <c r="HTU68" s="10"/>
      <c r="HTV68" s="10"/>
      <c r="HTW68" s="10"/>
      <c r="HTX68" s="10"/>
      <c r="HTY68" s="10"/>
      <c r="HTZ68" s="10"/>
      <c r="HUA68" s="10"/>
      <c r="HUB68" s="10"/>
      <c r="HUC68" s="10"/>
      <c r="HUD68" s="10"/>
      <c r="HUE68" s="10"/>
      <c r="HUF68" s="10"/>
      <c r="HUG68" s="10"/>
      <c r="HUH68" s="10"/>
      <c r="HUI68" s="10"/>
      <c r="HUJ68" s="10"/>
      <c r="HUK68" s="10"/>
      <c r="HUL68" s="10"/>
      <c r="HUM68" s="10"/>
      <c r="HUN68" s="10"/>
      <c r="HUO68" s="10"/>
      <c r="HUP68" s="10"/>
      <c r="HUQ68" s="10"/>
      <c r="HUR68" s="10"/>
      <c r="HUS68" s="10"/>
      <c r="HUT68" s="10"/>
      <c r="HUU68" s="10"/>
      <c r="HUV68" s="10"/>
      <c r="HUW68" s="10"/>
      <c r="HUX68" s="10"/>
      <c r="HUY68" s="10"/>
      <c r="HUZ68" s="10"/>
      <c r="HVA68" s="10"/>
      <c r="HVB68" s="10"/>
      <c r="HVC68" s="10"/>
      <c r="HVD68" s="10"/>
      <c r="HVE68" s="10"/>
      <c r="HVF68" s="10"/>
      <c r="HVG68" s="10"/>
      <c r="HVH68" s="10"/>
      <c r="HVI68" s="10"/>
      <c r="HVJ68" s="10"/>
      <c r="HVK68" s="10"/>
      <c r="HVL68" s="10"/>
      <c r="HVM68" s="10"/>
      <c r="HVN68" s="10"/>
      <c r="HVO68" s="10"/>
      <c r="HVP68" s="10"/>
      <c r="HVQ68" s="10"/>
      <c r="HVR68" s="10"/>
      <c r="HVS68" s="10"/>
      <c r="HVT68" s="10"/>
      <c r="HVU68" s="10"/>
      <c r="HVV68" s="10"/>
      <c r="HVW68" s="10"/>
      <c r="HVX68" s="10"/>
      <c r="HVY68" s="10"/>
      <c r="HVZ68" s="10"/>
      <c r="HWA68" s="10"/>
      <c r="HWB68" s="10"/>
      <c r="HWC68" s="10"/>
      <c r="HWD68" s="10"/>
      <c r="HWE68" s="10"/>
      <c r="HWF68" s="10"/>
      <c r="HWG68" s="10"/>
      <c r="HWH68" s="10"/>
      <c r="HWI68" s="10"/>
      <c r="HWJ68" s="10"/>
      <c r="HWK68" s="10"/>
      <c r="HWL68" s="10"/>
      <c r="HWM68" s="10"/>
      <c r="HWN68" s="10"/>
      <c r="HWO68" s="10"/>
      <c r="HWP68" s="10"/>
      <c r="HWQ68" s="10"/>
      <c r="HWR68" s="10"/>
      <c r="HWS68" s="10"/>
      <c r="HWT68" s="10"/>
      <c r="HWU68" s="10"/>
      <c r="HWV68" s="10"/>
      <c r="HWW68" s="10"/>
      <c r="HWX68" s="10"/>
      <c r="HWY68" s="10"/>
      <c r="HWZ68" s="10"/>
      <c r="HXA68" s="10"/>
      <c r="HXB68" s="10"/>
      <c r="HXC68" s="10"/>
      <c r="HXD68" s="10"/>
      <c r="HXE68" s="10"/>
      <c r="HXF68" s="10"/>
      <c r="HXG68" s="10"/>
      <c r="HXH68" s="10"/>
      <c r="HXI68" s="10"/>
      <c r="HXJ68" s="10"/>
      <c r="HXK68" s="10"/>
      <c r="HXL68" s="10"/>
      <c r="HXM68" s="10"/>
      <c r="HXN68" s="10"/>
      <c r="HXO68" s="10"/>
      <c r="HXP68" s="10"/>
      <c r="HXQ68" s="10"/>
      <c r="HXR68" s="10"/>
      <c r="HXS68" s="10"/>
      <c r="HXT68" s="10"/>
      <c r="HXU68" s="10"/>
      <c r="HXV68" s="10"/>
      <c r="HXW68" s="10"/>
      <c r="HXX68" s="10"/>
      <c r="HXY68" s="10"/>
      <c r="HXZ68" s="10"/>
      <c r="HYA68" s="10"/>
      <c r="HYB68" s="10"/>
      <c r="HYC68" s="10"/>
      <c r="HYD68" s="10"/>
      <c r="HYE68" s="10"/>
      <c r="HYF68" s="10"/>
      <c r="HYG68" s="10"/>
      <c r="HYH68" s="10"/>
      <c r="HYI68" s="10"/>
      <c r="HYJ68" s="10"/>
      <c r="HYK68" s="10"/>
      <c r="HYL68" s="10"/>
      <c r="HYM68" s="10"/>
      <c r="HYN68" s="10"/>
      <c r="HYO68" s="10"/>
      <c r="HYP68" s="10"/>
      <c r="HYQ68" s="10"/>
      <c r="HYR68" s="10"/>
      <c r="HYS68" s="10"/>
      <c r="HYT68" s="10"/>
      <c r="HYU68" s="10"/>
      <c r="HYV68" s="10"/>
      <c r="HYW68" s="10"/>
      <c r="HYX68" s="10"/>
      <c r="HYY68" s="10"/>
      <c r="HYZ68" s="10"/>
      <c r="HZA68" s="10"/>
      <c r="HZB68" s="10"/>
      <c r="HZC68" s="10"/>
      <c r="HZD68" s="10"/>
      <c r="HZE68" s="10"/>
      <c r="HZF68" s="10"/>
      <c r="HZG68" s="10"/>
      <c r="HZH68" s="10"/>
      <c r="HZI68" s="10"/>
      <c r="HZJ68" s="10"/>
      <c r="HZK68" s="10"/>
      <c r="HZL68" s="10"/>
      <c r="HZM68" s="10"/>
      <c r="HZN68" s="10"/>
      <c r="HZO68" s="10"/>
      <c r="HZP68" s="10"/>
      <c r="HZQ68" s="10"/>
      <c r="HZR68" s="10"/>
      <c r="HZS68" s="10"/>
      <c r="HZT68" s="10"/>
      <c r="HZU68" s="10"/>
      <c r="HZV68" s="10"/>
      <c r="HZW68" s="10"/>
      <c r="HZX68" s="10"/>
      <c r="HZY68" s="10"/>
      <c r="HZZ68" s="10"/>
      <c r="IAA68" s="10"/>
      <c r="IAB68" s="10"/>
      <c r="IAC68" s="10"/>
      <c r="IAD68" s="10"/>
      <c r="IAE68" s="10"/>
      <c r="IAF68" s="10"/>
      <c r="IAG68" s="10"/>
      <c r="IAH68" s="10"/>
      <c r="IAI68" s="10"/>
      <c r="IAJ68" s="10"/>
      <c r="IAK68" s="10"/>
      <c r="IAL68" s="10"/>
      <c r="IAM68" s="10"/>
      <c r="IAN68" s="10"/>
      <c r="IAO68" s="10"/>
      <c r="IAP68" s="10"/>
      <c r="IAQ68" s="10"/>
      <c r="IAR68" s="10"/>
      <c r="IAS68" s="10"/>
      <c r="IAT68" s="10"/>
      <c r="IAU68" s="10"/>
      <c r="IAV68" s="10"/>
      <c r="IAW68" s="10"/>
      <c r="IAX68" s="10"/>
      <c r="IAY68" s="10"/>
      <c r="IAZ68" s="10"/>
      <c r="IBA68" s="10"/>
      <c r="IBB68" s="10"/>
      <c r="IBC68" s="10"/>
      <c r="IBD68" s="10"/>
      <c r="IBE68" s="10"/>
      <c r="IBF68" s="10"/>
      <c r="IBG68" s="10"/>
      <c r="IBH68" s="10"/>
      <c r="IBI68" s="10"/>
      <c r="IBJ68" s="10"/>
      <c r="IBK68" s="10"/>
      <c r="IBL68" s="10"/>
      <c r="IBM68" s="10"/>
      <c r="IBN68" s="10"/>
      <c r="IBO68" s="10"/>
      <c r="IBP68" s="10"/>
      <c r="IBQ68" s="10"/>
      <c r="IBR68" s="10"/>
      <c r="IBS68" s="10"/>
      <c r="IBT68" s="10"/>
      <c r="IBU68" s="10"/>
      <c r="IBV68" s="10"/>
      <c r="IBW68" s="10"/>
      <c r="IBX68" s="10"/>
      <c r="IBY68" s="10"/>
      <c r="IBZ68" s="10"/>
      <c r="ICA68" s="10"/>
      <c r="ICB68" s="10"/>
      <c r="ICC68" s="10"/>
      <c r="ICD68" s="10"/>
      <c r="ICE68" s="10"/>
      <c r="ICF68" s="10"/>
      <c r="ICG68" s="10"/>
      <c r="ICH68" s="10"/>
      <c r="ICI68" s="10"/>
      <c r="ICJ68" s="10"/>
      <c r="ICK68" s="10"/>
      <c r="ICL68" s="10"/>
      <c r="ICM68" s="10"/>
      <c r="ICN68" s="10"/>
      <c r="ICO68" s="10"/>
      <c r="ICP68" s="10"/>
      <c r="ICQ68" s="10"/>
      <c r="ICR68" s="10"/>
      <c r="ICS68" s="10"/>
      <c r="ICT68" s="10"/>
      <c r="ICU68" s="10"/>
      <c r="ICV68" s="10"/>
      <c r="ICW68" s="10"/>
      <c r="ICX68" s="10"/>
      <c r="ICY68" s="10"/>
      <c r="ICZ68" s="10"/>
      <c r="IDA68" s="10"/>
      <c r="IDB68" s="10"/>
      <c r="IDC68" s="10"/>
      <c r="IDD68" s="10"/>
      <c r="IDE68" s="10"/>
      <c r="IDF68" s="10"/>
      <c r="IDG68" s="10"/>
      <c r="IDH68" s="10"/>
      <c r="IDI68" s="10"/>
      <c r="IDJ68" s="10"/>
      <c r="IDK68" s="10"/>
      <c r="IDL68" s="10"/>
      <c r="IDM68" s="10"/>
      <c r="IDN68" s="10"/>
      <c r="IDO68" s="10"/>
      <c r="IDP68" s="10"/>
      <c r="IDQ68" s="10"/>
      <c r="IDR68" s="10"/>
      <c r="IDS68" s="10"/>
      <c r="IDT68" s="10"/>
      <c r="IDU68" s="10"/>
      <c r="IDV68" s="10"/>
      <c r="IDW68" s="10"/>
      <c r="IDX68" s="10"/>
      <c r="IDY68" s="10"/>
      <c r="IDZ68" s="10"/>
      <c r="IEA68" s="10"/>
      <c r="IEB68" s="10"/>
      <c r="IEC68" s="10"/>
      <c r="IED68" s="10"/>
      <c r="IEE68" s="10"/>
      <c r="IEF68" s="10"/>
      <c r="IEG68" s="10"/>
      <c r="IEH68" s="10"/>
      <c r="IEI68" s="10"/>
      <c r="IEJ68" s="10"/>
      <c r="IEK68" s="10"/>
      <c r="IEL68" s="10"/>
      <c r="IEM68" s="10"/>
      <c r="IEN68" s="10"/>
      <c r="IEO68" s="10"/>
      <c r="IEP68" s="10"/>
      <c r="IEQ68" s="10"/>
      <c r="IER68" s="10"/>
      <c r="IES68" s="10"/>
      <c r="IET68" s="10"/>
      <c r="IEU68" s="10"/>
      <c r="IEV68" s="10"/>
      <c r="IEW68" s="10"/>
      <c r="IEX68" s="10"/>
      <c r="IEY68" s="10"/>
      <c r="IEZ68" s="10"/>
      <c r="IFA68" s="10"/>
      <c r="IFB68" s="10"/>
      <c r="IFC68" s="10"/>
      <c r="IFD68" s="10"/>
      <c r="IFE68" s="10"/>
      <c r="IFF68" s="10"/>
      <c r="IFG68" s="10"/>
      <c r="IFH68" s="10"/>
      <c r="IFI68" s="10"/>
      <c r="IFJ68" s="10"/>
      <c r="IFK68" s="10"/>
      <c r="IFL68" s="10"/>
      <c r="IFM68" s="10"/>
      <c r="IFN68" s="10"/>
      <c r="IFO68" s="10"/>
      <c r="IFP68" s="10"/>
      <c r="IFQ68" s="10"/>
      <c r="IFR68" s="10"/>
      <c r="IFS68" s="10"/>
      <c r="IFT68" s="10"/>
      <c r="IFU68" s="10"/>
      <c r="IFV68" s="10"/>
      <c r="IFW68" s="10"/>
      <c r="IFX68" s="10"/>
      <c r="IFY68" s="10"/>
      <c r="IFZ68" s="10"/>
      <c r="IGA68" s="10"/>
      <c r="IGB68" s="10"/>
      <c r="IGC68" s="10"/>
      <c r="IGD68" s="10"/>
      <c r="IGE68" s="10"/>
      <c r="IGF68" s="10"/>
      <c r="IGG68" s="10"/>
      <c r="IGH68" s="10"/>
      <c r="IGI68" s="10"/>
      <c r="IGJ68" s="10"/>
      <c r="IGK68" s="10"/>
      <c r="IGL68" s="10"/>
      <c r="IGM68" s="10"/>
      <c r="IGN68" s="10"/>
      <c r="IGO68" s="10"/>
      <c r="IGP68" s="10"/>
      <c r="IGQ68" s="10"/>
      <c r="IGR68" s="10"/>
      <c r="IGS68" s="10"/>
      <c r="IGT68" s="10"/>
      <c r="IGU68" s="10"/>
      <c r="IGV68" s="10"/>
      <c r="IGW68" s="10"/>
      <c r="IGX68" s="10"/>
      <c r="IGY68" s="10"/>
      <c r="IGZ68" s="10"/>
      <c r="IHA68" s="10"/>
      <c r="IHB68" s="10"/>
      <c r="IHC68" s="10"/>
      <c r="IHD68" s="10"/>
      <c r="IHE68" s="10"/>
      <c r="IHF68" s="10"/>
      <c r="IHG68" s="10"/>
      <c r="IHH68" s="10"/>
      <c r="IHI68" s="10"/>
      <c r="IHJ68" s="10"/>
      <c r="IHK68" s="10"/>
      <c r="IHL68" s="10"/>
      <c r="IHM68" s="10"/>
      <c r="IHN68" s="10"/>
      <c r="IHO68" s="10"/>
      <c r="IHP68" s="10"/>
      <c r="IHQ68" s="10"/>
      <c r="IHR68" s="10"/>
      <c r="IHS68" s="10"/>
      <c r="IHT68" s="10"/>
      <c r="IHU68" s="10"/>
      <c r="IHV68" s="10"/>
      <c r="IHW68" s="10"/>
      <c r="IHX68" s="10"/>
      <c r="IHY68" s="10"/>
      <c r="IHZ68" s="10"/>
      <c r="IIA68" s="10"/>
      <c r="IIB68" s="10"/>
      <c r="IIC68" s="10"/>
      <c r="IID68" s="10"/>
      <c r="IIE68" s="10"/>
      <c r="IIF68" s="10"/>
      <c r="IIG68" s="10"/>
      <c r="IIH68" s="10"/>
      <c r="III68" s="10"/>
      <c r="IIJ68" s="10"/>
      <c r="IIK68" s="10"/>
      <c r="IIL68" s="10"/>
      <c r="IIM68" s="10"/>
      <c r="IIN68" s="10"/>
      <c r="IIO68" s="10"/>
      <c r="IIP68" s="10"/>
      <c r="IIQ68" s="10"/>
      <c r="IIR68" s="10"/>
      <c r="IIS68" s="10"/>
      <c r="IIT68" s="10"/>
      <c r="IIU68" s="10"/>
      <c r="IIV68" s="10"/>
      <c r="IIW68" s="10"/>
      <c r="IIX68" s="10"/>
      <c r="IIY68" s="10"/>
      <c r="IIZ68" s="10"/>
      <c r="IJA68" s="10"/>
      <c r="IJB68" s="10"/>
      <c r="IJC68" s="10"/>
      <c r="IJD68" s="10"/>
      <c r="IJE68" s="10"/>
      <c r="IJF68" s="10"/>
      <c r="IJG68" s="10"/>
      <c r="IJH68" s="10"/>
      <c r="IJI68" s="10"/>
      <c r="IJJ68" s="10"/>
      <c r="IJK68" s="10"/>
      <c r="IJL68" s="10"/>
      <c r="IJM68" s="10"/>
      <c r="IJN68" s="10"/>
      <c r="IJO68" s="10"/>
      <c r="IJP68" s="10"/>
      <c r="IJQ68" s="10"/>
      <c r="IJR68" s="10"/>
      <c r="IJS68" s="10"/>
      <c r="IJT68" s="10"/>
      <c r="IJU68" s="10"/>
      <c r="IJV68" s="10"/>
      <c r="IJW68" s="10"/>
      <c r="IJX68" s="10"/>
      <c r="IJY68" s="10"/>
      <c r="IJZ68" s="10"/>
      <c r="IKA68" s="10"/>
      <c r="IKB68" s="10"/>
      <c r="IKC68" s="10"/>
      <c r="IKD68" s="10"/>
      <c r="IKE68" s="10"/>
      <c r="IKF68" s="10"/>
      <c r="IKG68" s="10"/>
      <c r="IKH68" s="10"/>
      <c r="IKI68" s="10"/>
      <c r="IKJ68" s="10"/>
      <c r="IKK68" s="10"/>
      <c r="IKL68" s="10"/>
      <c r="IKM68" s="10"/>
      <c r="IKN68" s="10"/>
      <c r="IKO68" s="10"/>
      <c r="IKP68" s="10"/>
      <c r="IKQ68" s="10"/>
      <c r="IKR68" s="10"/>
      <c r="IKS68" s="10"/>
      <c r="IKT68" s="10"/>
      <c r="IKU68" s="10"/>
      <c r="IKV68" s="10"/>
      <c r="IKW68" s="10"/>
      <c r="IKX68" s="10"/>
      <c r="IKY68" s="10"/>
      <c r="IKZ68" s="10"/>
      <c r="ILA68" s="10"/>
      <c r="ILB68" s="10"/>
      <c r="ILC68" s="10"/>
      <c r="ILD68" s="10"/>
      <c r="ILE68" s="10"/>
      <c r="ILF68" s="10"/>
      <c r="ILG68" s="10"/>
      <c r="ILH68" s="10"/>
      <c r="ILI68" s="10"/>
      <c r="ILJ68" s="10"/>
      <c r="ILK68" s="10"/>
      <c r="ILL68" s="10"/>
      <c r="ILM68" s="10"/>
      <c r="ILN68" s="10"/>
      <c r="ILO68" s="10"/>
      <c r="ILP68" s="10"/>
      <c r="ILQ68" s="10"/>
      <c r="ILR68" s="10"/>
      <c r="ILS68" s="10"/>
      <c r="ILT68" s="10"/>
      <c r="ILU68" s="10"/>
      <c r="ILV68" s="10"/>
      <c r="ILW68" s="10"/>
      <c r="ILX68" s="10"/>
      <c r="ILY68" s="10"/>
      <c r="ILZ68" s="10"/>
      <c r="IMA68" s="10"/>
      <c r="IMB68" s="10"/>
      <c r="IMC68" s="10"/>
      <c r="IMD68" s="10"/>
      <c r="IME68" s="10"/>
      <c r="IMF68" s="10"/>
      <c r="IMG68" s="10"/>
      <c r="IMH68" s="10"/>
      <c r="IMI68" s="10"/>
      <c r="IMJ68" s="10"/>
      <c r="IMK68" s="10"/>
      <c r="IML68" s="10"/>
      <c r="IMM68" s="10"/>
      <c r="IMN68" s="10"/>
      <c r="IMO68" s="10"/>
      <c r="IMP68" s="10"/>
      <c r="IMQ68" s="10"/>
      <c r="IMR68" s="10"/>
      <c r="IMS68" s="10"/>
      <c r="IMT68" s="10"/>
      <c r="IMU68" s="10"/>
      <c r="IMV68" s="10"/>
      <c r="IMW68" s="10"/>
      <c r="IMX68" s="10"/>
      <c r="IMY68" s="10"/>
      <c r="IMZ68" s="10"/>
      <c r="INA68" s="10"/>
      <c r="INB68" s="10"/>
      <c r="INC68" s="10"/>
      <c r="IND68" s="10"/>
      <c r="INE68" s="10"/>
      <c r="INF68" s="10"/>
      <c r="ING68" s="10"/>
      <c r="INH68" s="10"/>
      <c r="INI68" s="10"/>
      <c r="INJ68" s="10"/>
      <c r="INK68" s="10"/>
      <c r="INL68" s="10"/>
      <c r="INM68" s="10"/>
      <c r="INN68" s="10"/>
      <c r="INO68" s="10"/>
      <c r="INP68" s="10"/>
      <c r="INQ68" s="10"/>
      <c r="INR68" s="10"/>
      <c r="INS68" s="10"/>
      <c r="INT68" s="10"/>
      <c r="INU68" s="10"/>
      <c r="INV68" s="10"/>
      <c r="INW68" s="10"/>
      <c r="INX68" s="10"/>
      <c r="INY68" s="10"/>
      <c r="INZ68" s="10"/>
      <c r="IOA68" s="10"/>
      <c r="IOB68" s="10"/>
      <c r="IOC68" s="10"/>
      <c r="IOD68" s="10"/>
      <c r="IOE68" s="10"/>
      <c r="IOF68" s="10"/>
      <c r="IOG68" s="10"/>
      <c r="IOH68" s="10"/>
      <c r="IOI68" s="10"/>
      <c r="IOJ68" s="10"/>
      <c r="IOK68" s="10"/>
      <c r="IOL68" s="10"/>
      <c r="IOM68" s="10"/>
      <c r="ION68" s="10"/>
      <c r="IOO68" s="10"/>
      <c r="IOP68" s="10"/>
      <c r="IOQ68" s="10"/>
      <c r="IOR68" s="10"/>
      <c r="IOS68" s="10"/>
      <c r="IOT68" s="10"/>
      <c r="IOU68" s="10"/>
      <c r="IOV68" s="10"/>
      <c r="IOW68" s="10"/>
      <c r="IOX68" s="10"/>
      <c r="IOY68" s="10"/>
      <c r="IOZ68" s="10"/>
      <c r="IPA68" s="10"/>
      <c r="IPB68" s="10"/>
      <c r="IPC68" s="10"/>
      <c r="IPD68" s="10"/>
      <c r="IPE68" s="10"/>
      <c r="IPF68" s="10"/>
      <c r="IPG68" s="10"/>
      <c r="IPH68" s="10"/>
      <c r="IPI68" s="10"/>
      <c r="IPJ68" s="10"/>
      <c r="IPK68" s="10"/>
      <c r="IPL68" s="10"/>
      <c r="IPM68" s="10"/>
      <c r="IPN68" s="10"/>
      <c r="IPO68" s="10"/>
      <c r="IPP68" s="10"/>
      <c r="IPQ68" s="10"/>
      <c r="IPR68" s="10"/>
      <c r="IPS68" s="10"/>
      <c r="IPT68" s="10"/>
      <c r="IPU68" s="10"/>
      <c r="IPV68" s="10"/>
      <c r="IPW68" s="10"/>
      <c r="IPX68" s="10"/>
      <c r="IPY68" s="10"/>
      <c r="IPZ68" s="10"/>
      <c r="IQA68" s="10"/>
      <c r="IQB68" s="10"/>
      <c r="IQC68" s="10"/>
      <c r="IQD68" s="10"/>
      <c r="IQE68" s="10"/>
      <c r="IQF68" s="10"/>
      <c r="IQG68" s="10"/>
      <c r="IQH68" s="10"/>
      <c r="IQI68" s="10"/>
      <c r="IQJ68" s="10"/>
      <c r="IQK68" s="10"/>
      <c r="IQL68" s="10"/>
      <c r="IQM68" s="10"/>
      <c r="IQN68" s="10"/>
      <c r="IQO68" s="10"/>
      <c r="IQP68" s="10"/>
      <c r="IQQ68" s="10"/>
      <c r="IQR68" s="10"/>
      <c r="IQS68" s="10"/>
      <c r="IQT68" s="10"/>
      <c r="IQU68" s="10"/>
      <c r="IQV68" s="10"/>
      <c r="IQW68" s="10"/>
      <c r="IQX68" s="10"/>
      <c r="IQY68" s="10"/>
      <c r="IQZ68" s="10"/>
      <c r="IRA68" s="10"/>
      <c r="IRB68" s="10"/>
      <c r="IRC68" s="10"/>
      <c r="IRD68" s="10"/>
      <c r="IRE68" s="10"/>
      <c r="IRF68" s="10"/>
      <c r="IRG68" s="10"/>
      <c r="IRH68" s="10"/>
      <c r="IRI68" s="10"/>
      <c r="IRJ68" s="10"/>
      <c r="IRK68" s="10"/>
      <c r="IRL68" s="10"/>
      <c r="IRM68" s="10"/>
      <c r="IRN68" s="10"/>
      <c r="IRO68" s="10"/>
      <c r="IRP68" s="10"/>
      <c r="IRQ68" s="10"/>
      <c r="IRR68" s="10"/>
      <c r="IRS68" s="10"/>
      <c r="IRT68" s="10"/>
      <c r="IRU68" s="10"/>
      <c r="IRV68" s="10"/>
      <c r="IRW68" s="10"/>
      <c r="IRX68" s="10"/>
      <c r="IRY68" s="10"/>
      <c r="IRZ68" s="10"/>
      <c r="ISA68" s="10"/>
      <c r="ISB68" s="10"/>
      <c r="ISC68" s="10"/>
      <c r="ISD68" s="10"/>
      <c r="ISE68" s="10"/>
      <c r="ISF68" s="10"/>
      <c r="ISG68" s="10"/>
      <c r="ISH68" s="10"/>
      <c r="ISI68" s="10"/>
      <c r="ISJ68" s="10"/>
      <c r="ISK68" s="10"/>
      <c r="ISL68" s="10"/>
      <c r="ISM68" s="10"/>
      <c r="ISN68" s="10"/>
      <c r="ISO68" s="10"/>
      <c r="ISP68" s="10"/>
      <c r="ISQ68" s="10"/>
      <c r="ISR68" s="10"/>
      <c r="ISS68" s="10"/>
      <c r="IST68" s="10"/>
      <c r="ISU68" s="10"/>
      <c r="ISV68" s="10"/>
      <c r="ISW68" s="10"/>
      <c r="ISX68" s="10"/>
      <c r="ISY68" s="10"/>
      <c r="ISZ68" s="10"/>
      <c r="ITA68" s="10"/>
      <c r="ITB68" s="10"/>
      <c r="ITC68" s="10"/>
      <c r="ITD68" s="10"/>
      <c r="ITE68" s="10"/>
      <c r="ITF68" s="10"/>
      <c r="ITG68" s="10"/>
      <c r="ITH68" s="10"/>
      <c r="ITI68" s="10"/>
      <c r="ITJ68" s="10"/>
      <c r="ITK68" s="10"/>
      <c r="ITL68" s="10"/>
      <c r="ITM68" s="10"/>
      <c r="ITN68" s="10"/>
      <c r="ITO68" s="10"/>
      <c r="ITP68" s="10"/>
      <c r="ITQ68" s="10"/>
      <c r="ITR68" s="10"/>
      <c r="ITS68" s="10"/>
      <c r="ITT68" s="10"/>
      <c r="ITU68" s="10"/>
      <c r="ITV68" s="10"/>
      <c r="ITW68" s="10"/>
      <c r="ITX68" s="10"/>
      <c r="ITY68" s="10"/>
      <c r="ITZ68" s="10"/>
      <c r="IUA68" s="10"/>
      <c r="IUB68" s="10"/>
      <c r="IUC68" s="10"/>
      <c r="IUD68" s="10"/>
      <c r="IUE68" s="10"/>
      <c r="IUF68" s="10"/>
      <c r="IUG68" s="10"/>
      <c r="IUH68" s="10"/>
      <c r="IUI68" s="10"/>
      <c r="IUJ68" s="10"/>
      <c r="IUK68" s="10"/>
      <c r="IUL68" s="10"/>
      <c r="IUM68" s="10"/>
      <c r="IUN68" s="10"/>
      <c r="IUO68" s="10"/>
      <c r="IUP68" s="10"/>
      <c r="IUQ68" s="10"/>
      <c r="IUR68" s="10"/>
      <c r="IUS68" s="10"/>
      <c r="IUT68" s="10"/>
      <c r="IUU68" s="10"/>
      <c r="IUV68" s="10"/>
      <c r="IUW68" s="10"/>
      <c r="IUX68" s="10"/>
      <c r="IUY68" s="10"/>
      <c r="IUZ68" s="10"/>
      <c r="IVA68" s="10"/>
      <c r="IVB68" s="10"/>
      <c r="IVC68" s="10"/>
      <c r="IVD68" s="10"/>
      <c r="IVE68" s="10"/>
      <c r="IVF68" s="10"/>
      <c r="IVG68" s="10"/>
      <c r="IVH68" s="10"/>
      <c r="IVI68" s="10"/>
      <c r="IVJ68" s="10"/>
      <c r="IVK68" s="10"/>
      <c r="IVL68" s="10"/>
      <c r="IVM68" s="10"/>
      <c r="IVN68" s="10"/>
      <c r="IVO68" s="10"/>
      <c r="IVP68" s="10"/>
      <c r="IVQ68" s="10"/>
      <c r="IVR68" s="10"/>
      <c r="IVS68" s="10"/>
      <c r="IVT68" s="10"/>
      <c r="IVU68" s="10"/>
      <c r="IVV68" s="10"/>
      <c r="IVW68" s="10"/>
      <c r="IVX68" s="10"/>
      <c r="IVY68" s="10"/>
      <c r="IVZ68" s="10"/>
      <c r="IWA68" s="10"/>
      <c r="IWB68" s="10"/>
      <c r="IWC68" s="10"/>
      <c r="IWD68" s="10"/>
      <c r="IWE68" s="10"/>
      <c r="IWF68" s="10"/>
      <c r="IWG68" s="10"/>
      <c r="IWH68" s="10"/>
      <c r="IWI68" s="10"/>
      <c r="IWJ68" s="10"/>
      <c r="IWK68" s="10"/>
      <c r="IWL68" s="10"/>
      <c r="IWM68" s="10"/>
      <c r="IWN68" s="10"/>
      <c r="IWO68" s="10"/>
      <c r="IWP68" s="10"/>
      <c r="IWQ68" s="10"/>
      <c r="IWR68" s="10"/>
      <c r="IWS68" s="10"/>
      <c r="IWT68" s="10"/>
      <c r="IWU68" s="10"/>
      <c r="IWV68" s="10"/>
      <c r="IWW68" s="10"/>
      <c r="IWX68" s="10"/>
      <c r="IWY68" s="10"/>
      <c r="IWZ68" s="10"/>
      <c r="IXA68" s="10"/>
      <c r="IXB68" s="10"/>
      <c r="IXC68" s="10"/>
      <c r="IXD68" s="10"/>
      <c r="IXE68" s="10"/>
      <c r="IXF68" s="10"/>
      <c r="IXG68" s="10"/>
      <c r="IXH68" s="10"/>
      <c r="IXI68" s="10"/>
      <c r="IXJ68" s="10"/>
      <c r="IXK68" s="10"/>
      <c r="IXL68" s="10"/>
      <c r="IXM68" s="10"/>
      <c r="IXN68" s="10"/>
      <c r="IXO68" s="10"/>
      <c r="IXP68" s="10"/>
      <c r="IXQ68" s="10"/>
      <c r="IXR68" s="10"/>
      <c r="IXS68" s="10"/>
      <c r="IXT68" s="10"/>
      <c r="IXU68" s="10"/>
      <c r="IXV68" s="10"/>
      <c r="IXW68" s="10"/>
      <c r="IXX68" s="10"/>
      <c r="IXY68" s="10"/>
      <c r="IXZ68" s="10"/>
      <c r="IYA68" s="10"/>
      <c r="IYB68" s="10"/>
      <c r="IYC68" s="10"/>
      <c r="IYD68" s="10"/>
      <c r="IYE68" s="10"/>
      <c r="IYF68" s="10"/>
      <c r="IYG68" s="10"/>
      <c r="IYH68" s="10"/>
      <c r="IYI68" s="10"/>
      <c r="IYJ68" s="10"/>
      <c r="IYK68" s="10"/>
      <c r="IYL68" s="10"/>
      <c r="IYM68" s="10"/>
      <c r="IYN68" s="10"/>
      <c r="IYO68" s="10"/>
      <c r="IYP68" s="10"/>
      <c r="IYQ68" s="10"/>
      <c r="IYR68" s="10"/>
      <c r="IYS68" s="10"/>
      <c r="IYT68" s="10"/>
      <c r="IYU68" s="10"/>
      <c r="IYV68" s="10"/>
      <c r="IYW68" s="10"/>
      <c r="IYX68" s="10"/>
      <c r="IYY68" s="10"/>
      <c r="IYZ68" s="10"/>
      <c r="IZA68" s="10"/>
      <c r="IZB68" s="10"/>
      <c r="IZC68" s="10"/>
      <c r="IZD68" s="10"/>
      <c r="IZE68" s="10"/>
      <c r="IZF68" s="10"/>
      <c r="IZG68" s="10"/>
      <c r="IZH68" s="10"/>
      <c r="IZI68" s="10"/>
      <c r="IZJ68" s="10"/>
      <c r="IZK68" s="10"/>
      <c r="IZL68" s="10"/>
      <c r="IZM68" s="10"/>
      <c r="IZN68" s="10"/>
      <c r="IZO68" s="10"/>
      <c r="IZP68" s="10"/>
      <c r="IZQ68" s="10"/>
      <c r="IZR68" s="10"/>
      <c r="IZS68" s="10"/>
      <c r="IZT68" s="10"/>
      <c r="IZU68" s="10"/>
      <c r="IZV68" s="10"/>
      <c r="IZW68" s="10"/>
      <c r="IZX68" s="10"/>
      <c r="IZY68" s="10"/>
      <c r="IZZ68" s="10"/>
      <c r="JAA68" s="10"/>
      <c r="JAB68" s="10"/>
      <c r="JAC68" s="10"/>
      <c r="JAD68" s="10"/>
      <c r="JAE68" s="10"/>
      <c r="JAF68" s="10"/>
      <c r="JAG68" s="10"/>
      <c r="JAH68" s="10"/>
      <c r="JAI68" s="10"/>
      <c r="JAJ68" s="10"/>
      <c r="JAK68" s="10"/>
      <c r="JAL68" s="10"/>
      <c r="JAM68" s="10"/>
      <c r="JAN68" s="10"/>
      <c r="JAO68" s="10"/>
      <c r="JAP68" s="10"/>
      <c r="JAQ68" s="10"/>
      <c r="JAR68" s="10"/>
      <c r="JAS68" s="10"/>
      <c r="JAT68" s="10"/>
      <c r="JAU68" s="10"/>
      <c r="JAV68" s="10"/>
      <c r="JAW68" s="10"/>
      <c r="JAX68" s="10"/>
      <c r="JAY68" s="10"/>
      <c r="JAZ68" s="10"/>
      <c r="JBA68" s="10"/>
      <c r="JBB68" s="10"/>
      <c r="JBC68" s="10"/>
      <c r="JBD68" s="10"/>
      <c r="JBE68" s="10"/>
      <c r="JBF68" s="10"/>
      <c r="JBG68" s="10"/>
      <c r="JBH68" s="10"/>
      <c r="JBI68" s="10"/>
      <c r="JBJ68" s="10"/>
      <c r="JBK68" s="10"/>
      <c r="JBL68" s="10"/>
      <c r="JBM68" s="10"/>
      <c r="JBN68" s="10"/>
      <c r="JBO68" s="10"/>
      <c r="JBP68" s="10"/>
      <c r="JBQ68" s="10"/>
      <c r="JBR68" s="10"/>
      <c r="JBS68" s="10"/>
      <c r="JBT68" s="10"/>
      <c r="JBU68" s="10"/>
      <c r="JBV68" s="10"/>
      <c r="JBW68" s="10"/>
      <c r="JBX68" s="10"/>
      <c r="JBY68" s="10"/>
      <c r="JBZ68" s="10"/>
      <c r="JCA68" s="10"/>
      <c r="JCB68" s="10"/>
      <c r="JCC68" s="10"/>
      <c r="JCD68" s="10"/>
      <c r="JCE68" s="10"/>
      <c r="JCF68" s="10"/>
      <c r="JCG68" s="10"/>
      <c r="JCH68" s="10"/>
      <c r="JCI68" s="10"/>
      <c r="JCJ68" s="10"/>
      <c r="JCK68" s="10"/>
      <c r="JCL68" s="10"/>
      <c r="JCM68" s="10"/>
      <c r="JCN68" s="10"/>
      <c r="JCO68" s="10"/>
      <c r="JCP68" s="10"/>
      <c r="JCQ68" s="10"/>
      <c r="JCR68" s="10"/>
      <c r="JCS68" s="10"/>
      <c r="JCT68" s="10"/>
      <c r="JCU68" s="10"/>
      <c r="JCV68" s="10"/>
      <c r="JCW68" s="10"/>
      <c r="JCX68" s="10"/>
      <c r="JCY68" s="10"/>
      <c r="JCZ68" s="10"/>
      <c r="JDA68" s="10"/>
      <c r="JDB68" s="10"/>
      <c r="JDC68" s="10"/>
      <c r="JDD68" s="10"/>
      <c r="JDE68" s="10"/>
      <c r="JDF68" s="10"/>
      <c r="JDG68" s="10"/>
      <c r="JDH68" s="10"/>
      <c r="JDI68" s="10"/>
      <c r="JDJ68" s="10"/>
      <c r="JDK68" s="10"/>
      <c r="JDL68" s="10"/>
      <c r="JDM68" s="10"/>
      <c r="JDN68" s="10"/>
      <c r="JDO68" s="10"/>
      <c r="JDP68" s="10"/>
      <c r="JDQ68" s="10"/>
      <c r="JDR68" s="10"/>
      <c r="JDS68" s="10"/>
      <c r="JDT68" s="10"/>
      <c r="JDU68" s="10"/>
      <c r="JDV68" s="10"/>
      <c r="JDW68" s="10"/>
      <c r="JDX68" s="10"/>
      <c r="JDY68" s="10"/>
      <c r="JDZ68" s="10"/>
      <c r="JEA68" s="10"/>
      <c r="JEB68" s="10"/>
      <c r="JEC68" s="10"/>
      <c r="JED68" s="10"/>
      <c r="JEE68" s="10"/>
      <c r="JEF68" s="10"/>
      <c r="JEG68" s="10"/>
      <c r="JEH68" s="10"/>
      <c r="JEI68" s="10"/>
      <c r="JEJ68" s="10"/>
      <c r="JEK68" s="10"/>
      <c r="JEL68" s="10"/>
      <c r="JEM68" s="10"/>
      <c r="JEN68" s="10"/>
      <c r="JEO68" s="10"/>
      <c r="JEP68" s="10"/>
      <c r="JEQ68" s="10"/>
      <c r="JER68" s="10"/>
      <c r="JES68" s="10"/>
      <c r="JET68" s="10"/>
      <c r="JEU68" s="10"/>
      <c r="JEV68" s="10"/>
      <c r="JEW68" s="10"/>
      <c r="JEX68" s="10"/>
      <c r="JEY68" s="10"/>
      <c r="JEZ68" s="10"/>
      <c r="JFA68" s="10"/>
      <c r="JFB68" s="10"/>
      <c r="JFC68" s="10"/>
      <c r="JFD68" s="10"/>
      <c r="JFE68" s="10"/>
      <c r="JFF68" s="10"/>
      <c r="JFG68" s="10"/>
      <c r="JFH68" s="10"/>
      <c r="JFI68" s="10"/>
      <c r="JFJ68" s="10"/>
      <c r="JFK68" s="10"/>
      <c r="JFL68" s="10"/>
      <c r="JFM68" s="10"/>
      <c r="JFN68" s="10"/>
      <c r="JFO68" s="10"/>
      <c r="JFP68" s="10"/>
      <c r="JFQ68" s="10"/>
      <c r="JFR68" s="10"/>
      <c r="JFS68" s="10"/>
      <c r="JFT68" s="10"/>
      <c r="JFU68" s="10"/>
      <c r="JFV68" s="10"/>
      <c r="JFW68" s="10"/>
      <c r="JFX68" s="10"/>
      <c r="JFY68" s="10"/>
      <c r="JFZ68" s="10"/>
      <c r="JGA68" s="10"/>
      <c r="JGB68" s="10"/>
      <c r="JGC68" s="10"/>
      <c r="JGD68" s="10"/>
      <c r="JGE68" s="10"/>
      <c r="JGF68" s="10"/>
      <c r="JGG68" s="10"/>
      <c r="JGH68" s="10"/>
      <c r="JGI68" s="10"/>
      <c r="JGJ68" s="10"/>
      <c r="JGK68" s="10"/>
      <c r="JGL68" s="10"/>
      <c r="JGM68" s="10"/>
      <c r="JGN68" s="10"/>
      <c r="JGO68" s="10"/>
      <c r="JGP68" s="10"/>
      <c r="JGQ68" s="10"/>
      <c r="JGR68" s="10"/>
      <c r="JGS68" s="10"/>
      <c r="JGT68" s="10"/>
      <c r="JGU68" s="10"/>
      <c r="JGV68" s="10"/>
      <c r="JGW68" s="10"/>
      <c r="JGX68" s="10"/>
      <c r="JGY68" s="10"/>
      <c r="JGZ68" s="10"/>
      <c r="JHA68" s="10"/>
      <c r="JHB68" s="10"/>
      <c r="JHC68" s="10"/>
      <c r="JHD68" s="10"/>
      <c r="JHE68" s="10"/>
      <c r="JHF68" s="10"/>
      <c r="JHG68" s="10"/>
      <c r="JHH68" s="10"/>
      <c r="JHI68" s="10"/>
      <c r="JHJ68" s="10"/>
      <c r="JHK68" s="10"/>
      <c r="JHL68" s="10"/>
      <c r="JHM68" s="10"/>
      <c r="JHN68" s="10"/>
      <c r="JHO68" s="10"/>
      <c r="JHP68" s="10"/>
      <c r="JHQ68" s="10"/>
      <c r="JHR68" s="10"/>
      <c r="JHS68" s="10"/>
      <c r="JHT68" s="10"/>
      <c r="JHU68" s="10"/>
      <c r="JHV68" s="10"/>
      <c r="JHW68" s="10"/>
      <c r="JHX68" s="10"/>
      <c r="JHY68" s="10"/>
      <c r="JHZ68" s="10"/>
      <c r="JIA68" s="10"/>
      <c r="JIB68" s="10"/>
      <c r="JIC68" s="10"/>
      <c r="JID68" s="10"/>
      <c r="JIE68" s="10"/>
      <c r="JIF68" s="10"/>
      <c r="JIG68" s="10"/>
      <c r="JIH68" s="10"/>
      <c r="JII68" s="10"/>
      <c r="JIJ68" s="10"/>
      <c r="JIK68" s="10"/>
      <c r="JIL68" s="10"/>
      <c r="JIM68" s="10"/>
      <c r="JIN68" s="10"/>
      <c r="JIO68" s="10"/>
      <c r="JIP68" s="10"/>
      <c r="JIQ68" s="10"/>
      <c r="JIR68" s="10"/>
      <c r="JIS68" s="10"/>
      <c r="JIT68" s="10"/>
      <c r="JIU68" s="10"/>
      <c r="JIV68" s="10"/>
      <c r="JIW68" s="10"/>
      <c r="JIX68" s="10"/>
      <c r="JIY68" s="10"/>
      <c r="JIZ68" s="10"/>
      <c r="JJA68" s="10"/>
      <c r="JJB68" s="10"/>
      <c r="JJC68" s="10"/>
      <c r="JJD68" s="10"/>
      <c r="JJE68" s="10"/>
      <c r="JJF68" s="10"/>
      <c r="JJG68" s="10"/>
      <c r="JJH68" s="10"/>
      <c r="JJI68" s="10"/>
      <c r="JJJ68" s="10"/>
      <c r="JJK68" s="10"/>
      <c r="JJL68" s="10"/>
      <c r="JJM68" s="10"/>
      <c r="JJN68" s="10"/>
      <c r="JJO68" s="10"/>
      <c r="JJP68" s="10"/>
      <c r="JJQ68" s="10"/>
      <c r="JJR68" s="10"/>
      <c r="JJS68" s="10"/>
      <c r="JJT68" s="10"/>
      <c r="JJU68" s="10"/>
      <c r="JJV68" s="10"/>
      <c r="JJW68" s="10"/>
      <c r="JJX68" s="10"/>
      <c r="JJY68" s="10"/>
      <c r="JJZ68" s="10"/>
      <c r="JKA68" s="10"/>
      <c r="JKB68" s="10"/>
      <c r="JKC68" s="10"/>
      <c r="JKD68" s="10"/>
      <c r="JKE68" s="10"/>
      <c r="JKF68" s="10"/>
      <c r="JKG68" s="10"/>
      <c r="JKH68" s="10"/>
      <c r="JKI68" s="10"/>
      <c r="JKJ68" s="10"/>
      <c r="JKK68" s="10"/>
      <c r="JKL68" s="10"/>
      <c r="JKM68" s="10"/>
      <c r="JKN68" s="10"/>
      <c r="JKO68" s="10"/>
      <c r="JKP68" s="10"/>
      <c r="JKQ68" s="10"/>
      <c r="JKR68" s="10"/>
      <c r="JKS68" s="10"/>
      <c r="JKT68" s="10"/>
      <c r="JKU68" s="10"/>
      <c r="JKV68" s="10"/>
      <c r="JKW68" s="10"/>
      <c r="JKX68" s="10"/>
      <c r="JKY68" s="10"/>
      <c r="JKZ68" s="10"/>
      <c r="JLA68" s="10"/>
      <c r="JLB68" s="10"/>
      <c r="JLC68" s="10"/>
      <c r="JLD68" s="10"/>
      <c r="JLE68" s="10"/>
      <c r="JLF68" s="10"/>
      <c r="JLG68" s="10"/>
      <c r="JLH68" s="10"/>
      <c r="JLI68" s="10"/>
      <c r="JLJ68" s="10"/>
      <c r="JLK68" s="10"/>
      <c r="JLL68" s="10"/>
      <c r="JLM68" s="10"/>
      <c r="JLN68" s="10"/>
      <c r="JLO68" s="10"/>
      <c r="JLP68" s="10"/>
      <c r="JLQ68" s="10"/>
      <c r="JLR68" s="10"/>
      <c r="JLS68" s="10"/>
      <c r="JLT68" s="10"/>
      <c r="JLU68" s="10"/>
      <c r="JLV68" s="10"/>
      <c r="JLW68" s="10"/>
      <c r="JLX68" s="10"/>
      <c r="JLY68" s="10"/>
      <c r="JLZ68" s="10"/>
      <c r="JMA68" s="10"/>
      <c r="JMB68" s="10"/>
      <c r="JMC68" s="10"/>
      <c r="JMD68" s="10"/>
      <c r="JME68" s="10"/>
      <c r="JMF68" s="10"/>
      <c r="JMG68" s="10"/>
      <c r="JMH68" s="10"/>
      <c r="JMI68" s="10"/>
      <c r="JMJ68" s="10"/>
      <c r="JMK68" s="10"/>
      <c r="JML68" s="10"/>
      <c r="JMM68" s="10"/>
      <c r="JMN68" s="10"/>
      <c r="JMO68" s="10"/>
      <c r="JMP68" s="10"/>
      <c r="JMQ68" s="10"/>
      <c r="JMR68" s="10"/>
      <c r="JMS68" s="10"/>
      <c r="JMT68" s="10"/>
      <c r="JMU68" s="10"/>
      <c r="JMV68" s="10"/>
      <c r="JMW68" s="10"/>
      <c r="JMX68" s="10"/>
      <c r="JMY68" s="10"/>
      <c r="JMZ68" s="10"/>
      <c r="JNA68" s="10"/>
      <c r="JNB68" s="10"/>
      <c r="JNC68" s="10"/>
      <c r="JND68" s="10"/>
      <c r="JNE68" s="10"/>
      <c r="JNF68" s="10"/>
      <c r="JNG68" s="10"/>
      <c r="JNH68" s="10"/>
      <c r="JNI68" s="10"/>
      <c r="JNJ68" s="10"/>
      <c r="JNK68" s="10"/>
      <c r="JNL68" s="10"/>
      <c r="JNM68" s="10"/>
      <c r="JNN68" s="10"/>
      <c r="JNO68" s="10"/>
      <c r="JNP68" s="10"/>
      <c r="JNQ68" s="10"/>
      <c r="JNR68" s="10"/>
      <c r="JNS68" s="10"/>
      <c r="JNT68" s="10"/>
      <c r="JNU68" s="10"/>
      <c r="JNV68" s="10"/>
      <c r="JNW68" s="10"/>
      <c r="JNX68" s="10"/>
      <c r="JNY68" s="10"/>
      <c r="JNZ68" s="10"/>
      <c r="JOA68" s="10"/>
      <c r="JOB68" s="10"/>
      <c r="JOC68" s="10"/>
      <c r="JOD68" s="10"/>
      <c r="JOE68" s="10"/>
      <c r="JOF68" s="10"/>
      <c r="JOG68" s="10"/>
      <c r="JOH68" s="10"/>
      <c r="JOI68" s="10"/>
      <c r="JOJ68" s="10"/>
      <c r="JOK68" s="10"/>
      <c r="JOL68" s="10"/>
      <c r="JOM68" s="10"/>
      <c r="JON68" s="10"/>
      <c r="JOO68" s="10"/>
      <c r="JOP68" s="10"/>
      <c r="JOQ68" s="10"/>
      <c r="JOR68" s="10"/>
      <c r="JOS68" s="10"/>
      <c r="JOT68" s="10"/>
      <c r="JOU68" s="10"/>
      <c r="JOV68" s="10"/>
      <c r="JOW68" s="10"/>
      <c r="JOX68" s="10"/>
      <c r="JOY68" s="10"/>
      <c r="JOZ68" s="10"/>
      <c r="JPA68" s="10"/>
      <c r="JPB68" s="10"/>
      <c r="JPC68" s="10"/>
      <c r="JPD68" s="10"/>
      <c r="JPE68" s="10"/>
      <c r="JPF68" s="10"/>
      <c r="JPG68" s="10"/>
      <c r="JPH68" s="10"/>
      <c r="JPI68" s="10"/>
      <c r="JPJ68" s="10"/>
      <c r="JPK68" s="10"/>
      <c r="JPL68" s="10"/>
      <c r="JPM68" s="10"/>
      <c r="JPN68" s="10"/>
      <c r="JPO68" s="10"/>
      <c r="JPP68" s="10"/>
      <c r="JPQ68" s="10"/>
      <c r="JPR68" s="10"/>
      <c r="JPS68" s="10"/>
      <c r="JPT68" s="10"/>
      <c r="JPU68" s="10"/>
      <c r="JPV68" s="10"/>
      <c r="JPW68" s="10"/>
      <c r="JPX68" s="10"/>
      <c r="JPY68" s="10"/>
      <c r="JPZ68" s="10"/>
      <c r="JQA68" s="10"/>
      <c r="JQB68" s="10"/>
      <c r="JQC68" s="10"/>
      <c r="JQD68" s="10"/>
      <c r="JQE68" s="10"/>
      <c r="JQF68" s="10"/>
      <c r="JQG68" s="10"/>
      <c r="JQH68" s="10"/>
      <c r="JQI68" s="10"/>
      <c r="JQJ68" s="10"/>
      <c r="JQK68" s="10"/>
      <c r="JQL68" s="10"/>
      <c r="JQM68" s="10"/>
      <c r="JQN68" s="10"/>
      <c r="JQO68" s="10"/>
      <c r="JQP68" s="10"/>
      <c r="JQQ68" s="10"/>
      <c r="JQR68" s="10"/>
      <c r="JQS68" s="10"/>
      <c r="JQT68" s="10"/>
      <c r="JQU68" s="10"/>
      <c r="JQV68" s="10"/>
      <c r="JQW68" s="10"/>
      <c r="JQX68" s="10"/>
      <c r="JQY68" s="10"/>
      <c r="JQZ68" s="10"/>
      <c r="JRA68" s="10"/>
      <c r="JRB68" s="10"/>
      <c r="JRC68" s="10"/>
      <c r="JRD68" s="10"/>
      <c r="JRE68" s="10"/>
      <c r="JRF68" s="10"/>
      <c r="JRG68" s="10"/>
      <c r="JRH68" s="10"/>
      <c r="JRI68" s="10"/>
      <c r="JRJ68" s="10"/>
      <c r="JRK68" s="10"/>
      <c r="JRL68" s="10"/>
      <c r="JRM68" s="10"/>
      <c r="JRN68" s="10"/>
      <c r="JRO68" s="10"/>
      <c r="JRP68" s="10"/>
      <c r="JRQ68" s="10"/>
      <c r="JRR68" s="10"/>
      <c r="JRS68" s="10"/>
      <c r="JRT68" s="10"/>
      <c r="JRU68" s="10"/>
      <c r="JRV68" s="10"/>
      <c r="JRW68" s="10"/>
      <c r="JRX68" s="10"/>
      <c r="JRY68" s="10"/>
      <c r="JRZ68" s="10"/>
      <c r="JSA68" s="10"/>
      <c r="JSB68" s="10"/>
      <c r="JSC68" s="10"/>
      <c r="JSD68" s="10"/>
      <c r="JSE68" s="10"/>
      <c r="JSF68" s="10"/>
      <c r="JSG68" s="10"/>
      <c r="JSH68" s="10"/>
      <c r="JSI68" s="10"/>
      <c r="JSJ68" s="10"/>
      <c r="JSK68" s="10"/>
      <c r="JSL68" s="10"/>
      <c r="JSM68" s="10"/>
      <c r="JSN68" s="10"/>
      <c r="JSO68" s="10"/>
      <c r="JSP68" s="10"/>
      <c r="JSQ68" s="10"/>
      <c r="JSR68" s="10"/>
      <c r="JSS68" s="10"/>
      <c r="JST68" s="10"/>
      <c r="JSU68" s="10"/>
      <c r="JSV68" s="10"/>
      <c r="JSW68" s="10"/>
      <c r="JSX68" s="10"/>
      <c r="JSY68" s="10"/>
      <c r="JSZ68" s="10"/>
      <c r="JTA68" s="10"/>
      <c r="JTB68" s="10"/>
      <c r="JTC68" s="10"/>
      <c r="JTD68" s="10"/>
      <c r="JTE68" s="10"/>
      <c r="JTF68" s="10"/>
      <c r="JTG68" s="10"/>
      <c r="JTH68" s="10"/>
      <c r="JTI68" s="10"/>
      <c r="JTJ68" s="10"/>
      <c r="JTK68" s="10"/>
      <c r="JTL68" s="10"/>
      <c r="JTM68" s="10"/>
      <c r="JTN68" s="10"/>
      <c r="JTO68" s="10"/>
      <c r="JTP68" s="10"/>
      <c r="JTQ68" s="10"/>
      <c r="JTR68" s="10"/>
      <c r="JTS68" s="10"/>
      <c r="JTT68" s="10"/>
      <c r="JTU68" s="10"/>
      <c r="JTV68" s="10"/>
      <c r="JTW68" s="10"/>
      <c r="JTX68" s="10"/>
      <c r="JTY68" s="10"/>
      <c r="JTZ68" s="10"/>
      <c r="JUA68" s="10"/>
      <c r="JUB68" s="10"/>
      <c r="JUC68" s="10"/>
      <c r="JUD68" s="10"/>
      <c r="JUE68" s="10"/>
      <c r="JUF68" s="10"/>
      <c r="JUG68" s="10"/>
      <c r="JUH68" s="10"/>
      <c r="JUI68" s="10"/>
      <c r="JUJ68" s="10"/>
      <c r="JUK68" s="10"/>
      <c r="JUL68" s="10"/>
      <c r="JUM68" s="10"/>
      <c r="JUN68" s="10"/>
      <c r="JUO68" s="10"/>
      <c r="JUP68" s="10"/>
      <c r="JUQ68" s="10"/>
      <c r="JUR68" s="10"/>
      <c r="JUS68" s="10"/>
      <c r="JUT68" s="10"/>
      <c r="JUU68" s="10"/>
      <c r="JUV68" s="10"/>
      <c r="JUW68" s="10"/>
      <c r="JUX68" s="10"/>
      <c r="JUY68" s="10"/>
      <c r="JUZ68" s="10"/>
      <c r="JVA68" s="10"/>
      <c r="JVB68" s="10"/>
      <c r="JVC68" s="10"/>
      <c r="JVD68" s="10"/>
      <c r="JVE68" s="10"/>
      <c r="JVF68" s="10"/>
      <c r="JVG68" s="10"/>
      <c r="JVH68" s="10"/>
      <c r="JVI68" s="10"/>
      <c r="JVJ68" s="10"/>
      <c r="JVK68" s="10"/>
      <c r="JVL68" s="10"/>
      <c r="JVM68" s="10"/>
      <c r="JVN68" s="10"/>
      <c r="JVO68" s="10"/>
      <c r="JVP68" s="10"/>
      <c r="JVQ68" s="10"/>
      <c r="JVR68" s="10"/>
      <c r="JVS68" s="10"/>
      <c r="JVT68" s="10"/>
      <c r="JVU68" s="10"/>
      <c r="JVV68" s="10"/>
      <c r="JVW68" s="10"/>
      <c r="JVX68" s="10"/>
      <c r="JVY68" s="10"/>
      <c r="JVZ68" s="10"/>
      <c r="JWA68" s="10"/>
      <c r="JWB68" s="10"/>
      <c r="JWC68" s="10"/>
      <c r="JWD68" s="10"/>
      <c r="JWE68" s="10"/>
      <c r="JWF68" s="10"/>
      <c r="JWG68" s="10"/>
      <c r="JWH68" s="10"/>
      <c r="JWI68" s="10"/>
      <c r="JWJ68" s="10"/>
      <c r="JWK68" s="10"/>
      <c r="JWL68" s="10"/>
      <c r="JWM68" s="10"/>
      <c r="JWN68" s="10"/>
      <c r="JWO68" s="10"/>
      <c r="JWP68" s="10"/>
      <c r="JWQ68" s="10"/>
      <c r="JWR68" s="10"/>
      <c r="JWS68" s="10"/>
      <c r="JWT68" s="10"/>
      <c r="JWU68" s="10"/>
      <c r="JWV68" s="10"/>
      <c r="JWW68" s="10"/>
      <c r="JWX68" s="10"/>
      <c r="JWY68" s="10"/>
      <c r="JWZ68" s="10"/>
      <c r="JXA68" s="10"/>
      <c r="JXB68" s="10"/>
      <c r="JXC68" s="10"/>
      <c r="JXD68" s="10"/>
      <c r="JXE68" s="10"/>
      <c r="JXF68" s="10"/>
      <c r="JXG68" s="10"/>
      <c r="JXH68" s="10"/>
      <c r="JXI68" s="10"/>
      <c r="JXJ68" s="10"/>
      <c r="JXK68" s="10"/>
      <c r="JXL68" s="10"/>
      <c r="JXM68" s="10"/>
      <c r="JXN68" s="10"/>
      <c r="JXO68" s="10"/>
      <c r="JXP68" s="10"/>
      <c r="JXQ68" s="10"/>
      <c r="JXR68" s="10"/>
      <c r="JXS68" s="10"/>
      <c r="JXT68" s="10"/>
      <c r="JXU68" s="10"/>
      <c r="JXV68" s="10"/>
      <c r="JXW68" s="10"/>
      <c r="JXX68" s="10"/>
      <c r="JXY68" s="10"/>
      <c r="JXZ68" s="10"/>
      <c r="JYA68" s="10"/>
      <c r="JYB68" s="10"/>
      <c r="JYC68" s="10"/>
      <c r="JYD68" s="10"/>
      <c r="JYE68" s="10"/>
      <c r="JYF68" s="10"/>
      <c r="JYG68" s="10"/>
      <c r="JYH68" s="10"/>
      <c r="JYI68" s="10"/>
      <c r="JYJ68" s="10"/>
      <c r="JYK68" s="10"/>
      <c r="JYL68" s="10"/>
      <c r="JYM68" s="10"/>
      <c r="JYN68" s="10"/>
      <c r="JYO68" s="10"/>
      <c r="JYP68" s="10"/>
      <c r="JYQ68" s="10"/>
      <c r="JYR68" s="10"/>
      <c r="JYS68" s="10"/>
      <c r="JYT68" s="10"/>
      <c r="JYU68" s="10"/>
      <c r="JYV68" s="10"/>
      <c r="JYW68" s="10"/>
      <c r="JYX68" s="10"/>
      <c r="JYY68" s="10"/>
      <c r="JYZ68" s="10"/>
      <c r="JZA68" s="10"/>
      <c r="JZB68" s="10"/>
      <c r="JZC68" s="10"/>
      <c r="JZD68" s="10"/>
      <c r="JZE68" s="10"/>
      <c r="JZF68" s="10"/>
      <c r="JZG68" s="10"/>
      <c r="JZH68" s="10"/>
      <c r="JZI68" s="10"/>
      <c r="JZJ68" s="10"/>
      <c r="JZK68" s="10"/>
      <c r="JZL68" s="10"/>
      <c r="JZM68" s="10"/>
      <c r="JZN68" s="10"/>
      <c r="JZO68" s="10"/>
      <c r="JZP68" s="10"/>
      <c r="JZQ68" s="10"/>
      <c r="JZR68" s="10"/>
      <c r="JZS68" s="10"/>
      <c r="JZT68" s="10"/>
      <c r="JZU68" s="10"/>
      <c r="JZV68" s="10"/>
      <c r="JZW68" s="10"/>
      <c r="JZX68" s="10"/>
      <c r="JZY68" s="10"/>
      <c r="JZZ68" s="10"/>
      <c r="KAA68" s="10"/>
      <c r="KAB68" s="10"/>
      <c r="KAC68" s="10"/>
      <c r="KAD68" s="10"/>
      <c r="KAE68" s="10"/>
      <c r="KAF68" s="10"/>
      <c r="KAG68" s="10"/>
      <c r="KAH68" s="10"/>
      <c r="KAI68" s="10"/>
      <c r="KAJ68" s="10"/>
      <c r="KAK68" s="10"/>
      <c r="KAL68" s="10"/>
      <c r="KAM68" s="10"/>
      <c r="KAN68" s="10"/>
      <c r="KAO68" s="10"/>
      <c r="KAP68" s="10"/>
      <c r="KAQ68" s="10"/>
      <c r="KAR68" s="10"/>
      <c r="KAS68" s="10"/>
      <c r="KAT68" s="10"/>
      <c r="KAU68" s="10"/>
      <c r="KAV68" s="10"/>
      <c r="KAW68" s="10"/>
      <c r="KAX68" s="10"/>
      <c r="KAY68" s="10"/>
      <c r="KAZ68" s="10"/>
      <c r="KBA68" s="10"/>
      <c r="KBB68" s="10"/>
      <c r="KBC68" s="10"/>
      <c r="KBD68" s="10"/>
      <c r="KBE68" s="10"/>
      <c r="KBF68" s="10"/>
      <c r="KBG68" s="10"/>
      <c r="KBH68" s="10"/>
      <c r="KBI68" s="10"/>
      <c r="KBJ68" s="10"/>
      <c r="KBK68" s="10"/>
      <c r="KBL68" s="10"/>
      <c r="KBM68" s="10"/>
      <c r="KBN68" s="10"/>
      <c r="KBO68" s="10"/>
      <c r="KBP68" s="10"/>
      <c r="KBQ68" s="10"/>
      <c r="KBR68" s="10"/>
      <c r="KBS68" s="10"/>
      <c r="KBT68" s="10"/>
      <c r="KBU68" s="10"/>
      <c r="KBV68" s="10"/>
      <c r="KBW68" s="10"/>
      <c r="KBX68" s="10"/>
      <c r="KBY68" s="10"/>
      <c r="KBZ68" s="10"/>
      <c r="KCA68" s="10"/>
      <c r="KCB68" s="10"/>
      <c r="KCC68" s="10"/>
      <c r="KCD68" s="10"/>
      <c r="KCE68" s="10"/>
      <c r="KCF68" s="10"/>
      <c r="KCG68" s="10"/>
      <c r="KCH68" s="10"/>
      <c r="KCI68" s="10"/>
      <c r="KCJ68" s="10"/>
      <c r="KCK68" s="10"/>
      <c r="KCL68" s="10"/>
      <c r="KCM68" s="10"/>
      <c r="KCN68" s="10"/>
      <c r="KCO68" s="10"/>
      <c r="KCP68" s="10"/>
      <c r="KCQ68" s="10"/>
      <c r="KCR68" s="10"/>
      <c r="KCS68" s="10"/>
      <c r="KCT68" s="10"/>
      <c r="KCU68" s="10"/>
      <c r="KCV68" s="10"/>
      <c r="KCW68" s="10"/>
      <c r="KCX68" s="10"/>
      <c r="KCY68" s="10"/>
      <c r="KCZ68" s="10"/>
      <c r="KDA68" s="10"/>
      <c r="KDB68" s="10"/>
      <c r="KDC68" s="10"/>
      <c r="KDD68" s="10"/>
      <c r="KDE68" s="10"/>
      <c r="KDF68" s="10"/>
      <c r="KDG68" s="10"/>
      <c r="KDH68" s="10"/>
      <c r="KDI68" s="10"/>
      <c r="KDJ68" s="10"/>
      <c r="KDK68" s="10"/>
      <c r="KDL68" s="10"/>
      <c r="KDM68" s="10"/>
      <c r="KDN68" s="10"/>
      <c r="KDO68" s="10"/>
      <c r="KDP68" s="10"/>
      <c r="KDQ68" s="10"/>
      <c r="KDR68" s="10"/>
      <c r="KDS68" s="10"/>
      <c r="KDT68" s="10"/>
      <c r="KDU68" s="10"/>
      <c r="KDV68" s="10"/>
      <c r="KDW68" s="10"/>
      <c r="KDX68" s="10"/>
      <c r="KDY68" s="10"/>
      <c r="KDZ68" s="10"/>
      <c r="KEA68" s="10"/>
      <c r="KEB68" s="10"/>
      <c r="KEC68" s="10"/>
      <c r="KED68" s="10"/>
      <c r="KEE68" s="10"/>
      <c r="KEF68" s="10"/>
      <c r="KEG68" s="10"/>
      <c r="KEH68" s="10"/>
      <c r="KEI68" s="10"/>
      <c r="KEJ68" s="10"/>
      <c r="KEK68" s="10"/>
      <c r="KEL68" s="10"/>
      <c r="KEM68" s="10"/>
      <c r="KEN68" s="10"/>
      <c r="KEO68" s="10"/>
      <c r="KEP68" s="10"/>
      <c r="KEQ68" s="10"/>
      <c r="KER68" s="10"/>
      <c r="KES68" s="10"/>
      <c r="KET68" s="10"/>
      <c r="KEU68" s="10"/>
      <c r="KEV68" s="10"/>
      <c r="KEW68" s="10"/>
      <c r="KEX68" s="10"/>
      <c r="KEY68" s="10"/>
      <c r="KEZ68" s="10"/>
      <c r="KFA68" s="10"/>
      <c r="KFB68" s="10"/>
      <c r="KFC68" s="10"/>
      <c r="KFD68" s="10"/>
      <c r="KFE68" s="10"/>
      <c r="KFF68" s="10"/>
      <c r="KFG68" s="10"/>
      <c r="KFH68" s="10"/>
      <c r="KFI68" s="10"/>
      <c r="KFJ68" s="10"/>
      <c r="KFK68" s="10"/>
      <c r="KFL68" s="10"/>
      <c r="KFM68" s="10"/>
      <c r="KFN68" s="10"/>
      <c r="KFO68" s="10"/>
      <c r="KFP68" s="10"/>
      <c r="KFQ68" s="10"/>
      <c r="KFR68" s="10"/>
      <c r="KFS68" s="10"/>
      <c r="KFT68" s="10"/>
      <c r="KFU68" s="10"/>
      <c r="KFV68" s="10"/>
      <c r="KFW68" s="10"/>
      <c r="KFX68" s="10"/>
      <c r="KFY68" s="10"/>
      <c r="KFZ68" s="10"/>
      <c r="KGA68" s="10"/>
      <c r="KGB68" s="10"/>
      <c r="KGC68" s="10"/>
      <c r="KGD68" s="10"/>
      <c r="KGE68" s="10"/>
      <c r="KGF68" s="10"/>
      <c r="KGG68" s="10"/>
      <c r="KGH68" s="10"/>
      <c r="KGI68" s="10"/>
      <c r="KGJ68" s="10"/>
      <c r="KGK68" s="10"/>
      <c r="KGL68" s="10"/>
      <c r="KGM68" s="10"/>
      <c r="KGN68" s="10"/>
      <c r="KGO68" s="10"/>
      <c r="KGP68" s="10"/>
      <c r="KGQ68" s="10"/>
      <c r="KGR68" s="10"/>
      <c r="KGS68" s="10"/>
      <c r="KGT68" s="10"/>
      <c r="KGU68" s="10"/>
      <c r="KGV68" s="10"/>
      <c r="KGW68" s="10"/>
      <c r="KGX68" s="10"/>
      <c r="KGY68" s="10"/>
      <c r="KGZ68" s="10"/>
      <c r="KHA68" s="10"/>
      <c r="KHB68" s="10"/>
      <c r="KHC68" s="10"/>
      <c r="KHD68" s="10"/>
      <c r="KHE68" s="10"/>
      <c r="KHF68" s="10"/>
      <c r="KHG68" s="10"/>
      <c r="KHH68" s="10"/>
      <c r="KHI68" s="10"/>
      <c r="KHJ68" s="10"/>
      <c r="KHK68" s="10"/>
      <c r="KHL68" s="10"/>
      <c r="KHM68" s="10"/>
      <c r="KHN68" s="10"/>
      <c r="KHO68" s="10"/>
      <c r="KHP68" s="10"/>
      <c r="KHQ68" s="10"/>
      <c r="KHR68" s="10"/>
      <c r="KHS68" s="10"/>
      <c r="KHT68" s="10"/>
      <c r="KHU68" s="10"/>
      <c r="KHV68" s="10"/>
      <c r="KHW68" s="10"/>
      <c r="KHX68" s="10"/>
      <c r="KHY68" s="10"/>
      <c r="KHZ68" s="10"/>
      <c r="KIA68" s="10"/>
      <c r="KIB68" s="10"/>
      <c r="KIC68" s="10"/>
      <c r="KID68" s="10"/>
      <c r="KIE68" s="10"/>
      <c r="KIF68" s="10"/>
      <c r="KIG68" s="10"/>
      <c r="KIH68" s="10"/>
      <c r="KII68" s="10"/>
      <c r="KIJ68" s="10"/>
      <c r="KIK68" s="10"/>
      <c r="KIL68" s="10"/>
      <c r="KIM68" s="10"/>
      <c r="KIN68" s="10"/>
      <c r="KIO68" s="10"/>
      <c r="KIP68" s="10"/>
      <c r="KIQ68" s="10"/>
      <c r="KIR68" s="10"/>
      <c r="KIS68" s="10"/>
      <c r="KIT68" s="10"/>
      <c r="KIU68" s="10"/>
      <c r="KIV68" s="10"/>
      <c r="KIW68" s="10"/>
      <c r="KIX68" s="10"/>
      <c r="KIY68" s="10"/>
      <c r="KIZ68" s="10"/>
      <c r="KJA68" s="10"/>
      <c r="KJB68" s="10"/>
      <c r="KJC68" s="10"/>
      <c r="KJD68" s="10"/>
      <c r="KJE68" s="10"/>
      <c r="KJF68" s="10"/>
      <c r="KJG68" s="10"/>
      <c r="KJH68" s="10"/>
      <c r="KJI68" s="10"/>
      <c r="KJJ68" s="10"/>
      <c r="KJK68" s="10"/>
      <c r="KJL68" s="10"/>
      <c r="KJM68" s="10"/>
      <c r="KJN68" s="10"/>
      <c r="KJO68" s="10"/>
      <c r="KJP68" s="10"/>
      <c r="KJQ68" s="10"/>
      <c r="KJR68" s="10"/>
      <c r="KJS68" s="10"/>
      <c r="KJT68" s="10"/>
      <c r="KJU68" s="10"/>
      <c r="KJV68" s="10"/>
      <c r="KJW68" s="10"/>
      <c r="KJX68" s="10"/>
      <c r="KJY68" s="10"/>
      <c r="KJZ68" s="10"/>
      <c r="KKA68" s="10"/>
      <c r="KKB68" s="10"/>
      <c r="KKC68" s="10"/>
      <c r="KKD68" s="10"/>
      <c r="KKE68" s="10"/>
      <c r="KKF68" s="10"/>
      <c r="KKG68" s="10"/>
      <c r="KKH68" s="10"/>
      <c r="KKI68" s="10"/>
      <c r="KKJ68" s="10"/>
      <c r="KKK68" s="10"/>
      <c r="KKL68" s="10"/>
      <c r="KKM68" s="10"/>
      <c r="KKN68" s="10"/>
      <c r="KKO68" s="10"/>
      <c r="KKP68" s="10"/>
      <c r="KKQ68" s="10"/>
      <c r="KKR68" s="10"/>
      <c r="KKS68" s="10"/>
      <c r="KKT68" s="10"/>
      <c r="KKU68" s="10"/>
      <c r="KKV68" s="10"/>
      <c r="KKW68" s="10"/>
      <c r="KKX68" s="10"/>
      <c r="KKY68" s="10"/>
      <c r="KKZ68" s="10"/>
      <c r="KLA68" s="10"/>
      <c r="KLB68" s="10"/>
      <c r="KLC68" s="10"/>
      <c r="KLD68" s="10"/>
      <c r="KLE68" s="10"/>
      <c r="KLF68" s="10"/>
      <c r="KLG68" s="10"/>
      <c r="KLH68" s="10"/>
      <c r="KLI68" s="10"/>
      <c r="KLJ68" s="10"/>
      <c r="KLK68" s="10"/>
      <c r="KLL68" s="10"/>
      <c r="KLM68" s="10"/>
      <c r="KLN68" s="10"/>
      <c r="KLO68" s="10"/>
      <c r="KLP68" s="10"/>
      <c r="KLQ68" s="10"/>
      <c r="KLR68" s="10"/>
      <c r="KLS68" s="10"/>
      <c r="KLT68" s="10"/>
      <c r="KLU68" s="10"/>
      <c r="KLV68" s="10"/>
      <c r="KLW68" s="10"/>
      <c r="KLX68" s="10"/>
      <c r="KLY68" s="10"/>
      <c r="KLZ68" s="10"/>
      <c r="KMA68" s="10"/>
      <c r="KMB68" s="10"/>
      <c r="KMC68" s="10"/>
      <c r="KMD68" s="10"/>
      <c r="KME68" s="10"/>
      <c r="KMF68" s="10"/>
      <c r="KMG68" s="10"/>
      <c r="KMH68" s="10"/>
      <c r="KMI68" s="10"/>
      <c r="KMJ68" s="10"/>
      <c r="KMK68" s="10"/>
      <c r="KML68" s="10"/>
      <c r="KMM68" s="10"/>
      <c r="KMN68" s="10"/>
      <c r="KMO68" s="10"/>
      <c r="KMP68" s="10"/>
      <c r="KMQ68" s="10"/>
      <c r="KMR68" s="10"/>
      <c r="KMS68" s="10"/>
      <c r="KMT68" s="10"/>
      <c r="KMU68" s="10"/>
      <c r="KMV68" s="10"/>
      <c r="KMW68" s="10"/>
      <c r="KMX68" s="10"/>
      <c r="KMY68" s="10"/>
      <c r="KMZ68" s="10"/>
      <c r="KNA68" s="10"/>
      <c r="KNB68" s="10"/>
      <c r="KNC68" s="10"/>
      <c r="KND68" s="10"/>
      <c r="KNE68" s="10"/>
      <c r="KNF68" s="10"/>
      <c r="KNG68" s="10"/>
      <c r="KNH68" s="10"/>
      <c r="KNI68" s="10"/>
      <c r="KNJ68" s="10"/>
      <c r="KNK68" s="10"/>
      <c r="KNL68" s="10"/>
      <c r="KNM68" s="10"/>
      <c r="KNN68" s="10"/>
      <c r="KNO68" s="10"/>
      <c r="KNP68" s="10"/>
      <c r="KNQ68" s="10"/>
      <c r="KNR68" s="10"/>
      <c r="KNS68" s="10"/>
      <c r="KNT68" s="10"/>
      <c r="KNU68" s="10"/>
      <c r="KNV68" s="10"/>
      <c r="KNW68" s="10"/>
      <c r="KNX68" s="10"/>
      <c r="KNY68" s="10"/>
      <c r="KNZ68" s="10"/>
      <c r="KOA68" s="10"/>
      <c r="KOB68" s="10"/>
      <c r="KOC68" s="10"/>
      <c r="KOD68" s="10"/>
      <c r="KOE68" s="10"/>
      <c r="KOF68" s="10"/>
      <c r="KOG68" s="10"/>
      <c r="KOH68" s="10"/>
      <c r="KOI68" s="10"/>
      <c r="KOJ68" s="10"/>
      <c r="KOK68" s="10"/>
      <c r="KOL68" s="10"/>
      <c r="KOM68" s="10"/>
      <c r="KON68" s="10"/>
      <c r="KOO68" s="10"/>
      <c r="KOP68" s="10"/>
      <c r="KOQ68" s="10"/>
      <c r="KOR68" s="10"/>
      <c r="KOS68" s="10"/>
      <c r="KOT68" s="10"/>
      <c r="KOU68" s="10"/>
      <c r="KOV68" s="10"/>
      <c r="KOW68" s="10"/>
      <c r="KOX68" s="10"/>
      <c r="KOY68" s="10"/>
      <c r="KOZ68" s="10"/>
      <c r="KPA68" s="10"/>
      <c r="KPB68" s="10"/>
      <c r="KPC68" s="10"/>
      <c r="KPD68" s="10"/>
      <c r="KPE68" s="10"/>
      <c r="KPF68" s="10"/>
      <c r="KPG68" s="10"/>
      <c r="KPH68" s="10"/>
      <c r="KPI68" s="10"/>
      <c r="KPJ68" s="10"/>
      <c r="KPK68" s="10"/>
      <c r="KPL68" s="10"/>
      <c r="KPM68" s="10"/>
      <c r="KPN68" s="10"/>
      <c r="KPO68" s="10"/>
      <c r="KPP68" s="10"/>
      <c r="KPQ68" s="10"/>
      <c r="KPR68" s="10"/>
      <c r="KPS68" s="10"/>
      <c r="KPT68" s="10"/>
      <c r="KPU68" s="10"/>
      <c r="KPV68" s="10"/>
      <c r="KPW68" s="10"/>
      <c r="KPX68" s="10"/>
      <c r="KPY68" s="10"/>
      <c r="KPZ68" s="10"/>
      <c r="KQA68" s="10"/>
      <c r="KQB68" s="10"/>
      <c r="KQC68" s="10"/>
      <c r="KQD68" s="10"/>
      <c r="KQE68" s="10"/>
      <c r="KQF68" s="10"/>
      <c r="KQG68" s="10"/>
      <c r="KQH68" s="10"/>
      <c r="KQI68" s="10"/>
      <c r="KQJ68" s="10"/>
      <c r="KQK68" s="10"/>
      <c r="KQL68" s="10"/>
      <c r="KQM68" s="10"/>
      <c r="KQN68" s="10"/>
      <c r="KQO68" s="10"/>
      <c r="KQP68" s="10"/>
      <c r="KQQ68" s="10"/>
      <c r="KQR68" s="10"/>
      <c r="KQS68" s="10"/>
      <c r="KQT68" s="10"/>
      <c r="KQU68" s="10"/>
      <c r="KQV68" s="10"/>
      <c r="KQW68" s="10"/>
      <c r="KQX68" s="10"/>
      <c r="KQY68" s="10"/>
      <c r="KQZ68" s="10"/>
      <c r="KRA68" s="10"/>
      <c r="KRB68" s="10"/>
      <c r="KRC68" s="10"/>
      <c r="KRD68" s="10"/>
      <c r="KRE68" s="10"/>
      <c r="KRF68" s="10"/>
      <c r="KRG68" s="10"/>
      <c r="KRH68" s="10"/>
      <c r="KRI68" s="10"/>
      <c r="KRJ68" s="10"/>
      <c r="KRK68" s="10"/>
      <c r="KRL68" s="10"/>
      <c r="KRM68" s="10"/>
      <c r="KRN68" s="10"/>
      <c r="KRO68" s="10"/>
      <c r="KRP68" s="10"/>
      <c r="KRQ68" s="10"/>
      <c r="KRR68" s="10"/>
      <c r="KRS68" s="10"/>
      <c r="KRT68" s="10"/>
      <c r="KRU68" s="10"/>
      <c r="KRV68" s="10"/>
      <c r="KRW68" s="10"/>
      <c r="KRX68" s="10"/>
      <c r="KRY68" s="10"/>
      <c r="KRZ68" s="10"/>
      <c r="KSA68" s="10"/>
      <c r="KSB68" s="10"/>
      <c r="KSC68" s="10"/>
      <c r="KSD68" s="10"/>
      <c r="KSE68" s="10"/>
      <c r="KSF68" s="10"/>
      <c r="KSG68" s="10"/>
      <c r="KSH68" s="10"/>
      <c r="KSI68" s="10"/>
      <c r="KSJ68" s="10"/>
      <c r="KSK68" s="10"/>
      <c r="KSL68" s="10"/>
      <c r="KSM68" s="10"/>
      <c r="KSN68" s="10"/>
      <c r="KSO68" s="10"/>
      <c r="KSP68" s="10"/>
      <c r="KSQ68" s="10"/>
      <c r="KSR68" s="10"/>
      <c r="KSS68" s="10"/>
      <c r="KST68" s="10"/>
      <c r="KSU68" s="10"/>
      <c r="KSV68" s="10"/>
      <c r="KSW68" s="10"/>
      <c r="KSX68" s="10"/>
      <c r="KSY68" s="10"/>
      <c r="KSZ68" s="10"/>
      <c r="KTA68" s="10"/>
      <c r="KTB68" s="10"/>
      <c r="KTC68" s="10"/>
      <c r="KTD68" s="10"/>
      <c r="KTE68" s="10"/>
      <c r="KTF68" s="10"/>
      <c r="KTG68" s="10"/>
      <c r="KTH68" s="10"/>
      <c r="KTI68" s="10"/>
      <c r="KTJ68" s="10"/>
      <c r="KTK68" s="10"/>
      <c r="KTL68" s="10"/>
      <c r="KTM68" s="10"/>
      <c r="KTN68" s="10"/>
      <c r="KTO68" s="10"/>
      <c r="KTP68" s="10"/>
      <c r="KTQ68" s="10"/>
      <c r="KTR68" s="10"/>
      <c r="KTS68" s="10"/>
      <c r="KTT68" s="10"/>
      <c r="KTU68" s="10"/>
      <c r="KTV68" s="10"/>
      <c r="KTW68" s="10"/>
      <c r="KTX68" s="10"/>
      <c r="KTY68" s="10"/>
      <c r="KTZ68" s="10"/>
      <c r="KUA68" s="10"/>
      <c r="KUB68" s="10"/>
      <c r="KUC68" s="10"/>
      <c r="KUD68" s="10"/>
      <c r="KUE68" s="10"/>
      <c r="KUF68" s="10"/>
      <c r="KUG68" s="10"/>
      <c r="KUH68" s="10"/>
      <c r="KUI68" s="10"/>
      <c r="KUJ68" s="10"/>
      <c r="KUK68" s="10"/>
      <c r="KUL68" s="10"/>
      <c r="KUM68" s="10"/>
      <c r="KUN68" s="10"/>
      <c r="KUO68" s="10"/>
      <c r="KUP68" s="10"/>
      <c r="KUQ68" s="10"/>
      <c r="KUR68" s="10"/>
      <c r="KUS68" s="10"/>
      <c r="KUT68" s="10"/>
      <c r="KUU68" s="10"/>
      <c r="KUV68" s="10"/>
      <c r="KUW68" s="10"/>
      <c r="KUX68" s="10"/>
      <c r="KUY68" s="10"/>
      <c r="KUZ68" s="10"/>
      <c r="KVA68" s="10"/>
      <c r="KVB68" s="10"/>
      <c r="KVC68" s="10"/>
      <c r="KVD68" s="10"/>
      <c r="KVE68" s="10"/>
      <c r="KVF68" s="10"/>
      <c r="KVG68" s="10"/>
      <c r="KVH68" s="10"/>
      <c r="KVI68" s="10"/>
      <c r="KVJ68" s="10"/>
      <c r="KVK68" s="10"/>
      <c r="KVL68" s="10"/>
      <c r="KVM68" s="10"/>
      <c r="KVN68" s="10"/>
      <c r="KVO68" s="10"/>
      <c r="KVP68" s="10"/>
      <c r="KVQ68" s="10"/>
      <c r="KVR68" s="10"/>
      <c r="KVS68" s="10"/>
      <c r="KVT68" s="10"/>
      <c r="KVU68" s="10"/>
      <c r="KVV68" s="10"/>
      <c r="KVW68" s="10"/>
      <c r="KVX68" s="10"/>
      <c r="KVY68" s="10"/>
      <c r="KVZ68" s="10"/>
      <c r="KWA68" s="10"/>
      <c r="KWB68" s="10"/>
      <c r="KWC68" s="10"/>
      <c r="KWD68" s="10"/>
      <c r="KWE68" s="10"/>
      <c r="KWF68" s="10"/>
      <c r="KWG68" s="10"/>
      <c r="KWH68" s="10"/>
      <c r="KWI68" s="10"/>
      <c r="KWJ68" s="10"/>
      <c r="KWK68" s="10"/>
      <c r="KWL68" s="10"/>
      <c r="KWM68" s="10"/>
      <c r="KWN68" s="10"/>
      <c r="KWO68" s="10"/>
      <c r="KWP68" s="10"/>
      <c r="KWQ68" s="10"/>
      <c r="KWR68" s="10"/>
      <c r="KWS68" s="10"/>
      <c r="KWT68" s="10"/>
      <c r="KWU68" s="10"/>
      <c r="KWV68" s="10"/>
      <c r="KWW68" s="10"/>
      <c r="KWX68" s="10"/>
      <c r="KWY68" s="10"/>
      <c r="KWZ68" s="10"/>
      <c r="KXA68" s="10"/>
      <c r="KXB68" s="10"/>
      <c r="KXC68" s="10"/>
      <c r="KXD68" s="10"/>
      <c r="KXE68" s="10"/>
      <c r="KXF68" s="10"/>
      <c r="KXG68" s="10"/>
      <c r="KXH68" s="10"/>
      <c r="KXI68" s="10"/>
      <c r="KXJ68" s="10"/>
      <c r="KXK68" s="10"/>
      <c r="KXL68" s="10"/>
      <c r="KXM68" s="10"/>
      <c r="KXN68" s="10"/>
      <c r="KXO68" s="10"/>
      <c r="KXP68" s="10"/>
      <c r="KXQ68" s="10"/>
      <c r="KXR68" s="10"/>
      <c r="KXS68" s="10"/>
      <c r="KXT68" s="10"/>
      <c r="KXU68" s="10"/>
      <c r="KXV68" s="10"/>
      <c r="KXW68" s="10"/>
      <c r="KXX68" s="10"/>
      <c r="KXY68" s="10"/>
      <c r="KXZ68" s="10"/>
      <c r="KYA68" s="10"/>
      <c r="KYB68" s="10"/>
      <c r="KYC68" s="10"/>
      <c r="KYD68" s="10"/>
      <c r="KYE68" s="10"/>
      <c r="KYF68" s="10"/>
      <c r="KYG68" s="10"/>
      <c r="KYH68" s="10"/>
      <c r="KYI68" s="10"/>
      <c r="KYJ68" s="10"/>
      <c r="KYK68" s="10"/>
      <c r="KYL68" s="10"/>
      <c r="KYM68" s="10"/>
      <c r="KYN68" s="10"/>
      <c r="KYO68" s="10"/>
      <c r="KYP68" s="10"/>
      <c r="KYQ68" s="10"/>
      <c r="KYR68" s="10"/>
      <c r="KYS68" s="10"/>
      <c r="KYT68" s="10"/>
      <c r="KYU68" s="10"/>
      <c r="KYV68" s="10"/>
      <c r="KYW68" s="10"/>
      <c r="KYX68" s="10"/>
      <c r="KYY68" s="10"/>
      <c r="KYZ68" s="10"/>
      <c r="KZA68" s="10"/>
      <c r="KZB68" s="10"/>
      <c r="KZC68" s="10"/>
      <c r="KZD68" s="10"/>
      <c r="KZE68" s="10"/>
      <c r="KZF68" s="10"/>
      <c r="KZG68" s="10"/>
      <c r="KZH68" s="10"/>
      <c r="KZI68" s="10"/>
      <c r="KZJ68" s="10"/>
      <c r="KZK68" s="10"/>
      <c r="KZL68" s="10"/>
      <c r="KZM68" s="10"/>
      <c r="KZN68" s="10"/>
      <c r="KZO68" s="10"/>
      <c r="KZP68" s="10"/>
      <c r="KZQ68" s="10"/>
      <c r="KZR68" s="10"/>
      <c r="KZS68" s="10"/>
      <c r="KZT68" s="10"/>
      <c r="KZU68" s="10"/>
      <c r="KZV68" s="10"/>
      <c r="KZW68" s="10"/>
      <c r="KZX68" s="10"/>
      <c r="KZY68" s="10"/>
      <c r="KZZ68" s="10"/>
      <c r="LAA68" s="10"/>
      <c r="LAB68" s="10"/>
      <c r="LAC68" s="10"/>
      <c r="LAD68" s="10"/>
      <c r="LAE68" s="10"/>
      <c r="LAF68" s="10"/>
      <c r="LAG68" s="10"/>
      <c r="LAH68" s="10"/>
      <c r="LAI68" s="10"/>
      <c r="LAJ68" s="10"/>
      <c r="LAK68" s="10"/>
      <c r="LAL68" s="10"/>
      <c r="LAM68" s="10"/>
      <c r="LAN68" s="10"/>
      <c r="LAO68" s="10"/>
      <c r="LAP68" s="10"/>
      <c r="LAQ68" s="10"/>
      <c r="LAR68" s="10"/>
      <c r="LAS68" s="10"/>
      <c r="LAT68" s="10"/>
      <c r="LAU68" s="10"/>
      <c r="LAV68" s="10"/>
      <c r="LAW68" s="10"/>
      <c r="LAX68" s="10"/>
      <c r="LAY68" s="10"/>
      <c r="LAZ68" s="10"/>
      <c r="LBA68" s="10"/>
      <c r="LBB68" s="10"/>
      <c r="LBC68" s="10"/>
      <c r="LBD68" s="10"/>
      <c r="LBE68" s="10"/>
      <c r="LBF68" s="10"/>
      <c r="LBG68" s="10"/>
      <c r="LBH68" s="10"/>
      <c r="LBI68" s="10"/>
      <c r="LBJ68" s="10"/>
      <c r="LBK68" s="10"/>
      <c r="LBL68" s="10"/>
      <c r="LBM68" s="10"/>
      <c r="LBN68" s="10"/>
      <c r="LBO68" s="10"/>
      <c r="LBP68" s="10"/>
      <c r="LBQ68" s="10"/>
      <c r="LBR68" s="10"/>
      <c r="LBS68" s="10"/>
      <c r="LBT68" s="10"/>
      <c r="LBU68" s="10"/>
      <c r="LBV68" s="10"/>
      <c r="LBW68" s="10"/>
      <c r="LBX68" s="10"/>
      <c r="LBY68" s="10"/>
      <c r="LBZ68" s="10"/>
      <c r="LCA68" s="10"/>
      <c r="LCB68" s="10"/>
      <c r="LCC68" s="10"/>
      <c r="LCD68" s="10"/>
      <c r="LCE68" s="10"/>
      <c r="LCF68" s="10"/>
      <c r="LCG68" s="10"/>
      <c r="LCH68" s="10"/>
      <c r="LCI68" s="10"/>
      <c r="LCJ68" s="10"/>
      <c r="LCK68" s="10"/>
      <c r="LCL68" s="10"/>
      <c r="LCM68" s="10"/>
      <c r="LCN68" s="10"/>
      <c r="LCO68" s="10"/>
      <c r="LCP68" s="10"/>
      <c r="LCQ68" s="10"/>
      <c r="LCR68" s="10"/>
      <c r="LCS68" s="10"/>
      <c r="LCT68" s="10"/>
      <c r="LCU68" s="10"/>
      <c r="LCV68" s="10"/>
      <c r="LCW68" s="10"/>
      <c r="LCX68" s="10"/>
      <c r="LCY68" s="10"/>
      <c r="LCZ68" s="10"/>
      <c r="LDA68" s="10"/>
      <c r="LDB68" s="10"/>
      <c r="LDC68" s="10"/>
      <c r="LDD68" s="10"/>
      <c r="LDE68" s="10"/>
      <c r="LDF68" s="10"/>
      <c r="LDG68" s="10"/>
      <c r="LDH68" s="10"/>
      <c r="LDI68" s="10"/>
      <c r="LDJ68" s="10"/>
      <c r="LDK68" s="10"/>
      <c r="LDL68" s="10"/>
      <c r="LDM68" s="10"/>
      <c r="LDN68" s="10"/>
      <c r="LDO68" s="10"/>
      <c r="LDP68" s="10"/>
      <c r="LDQ68" s="10"/>
      <c r="LDR68" s="10"/>
      <c r="LDS68" s="10"/>
      <c r="LDT68" s="10"/>
      <c r="LDU68" s="10"/>
      <c r="LDV68" s="10"/>
      <c r="LDW68" s="10"/>
      <c r="LDX68" s="10"/>
      <c r="LDY68" s="10"/>
      <c r="LDZ68" s="10"/>
      <c r="LEA68" s="10"/>
      <c r="LEB68" s="10"/>
      <c r="LEC68" s="10"/>
      <c r="LED68" s="10"/>
      <c r="LEE68" s="10"/>
      <c r="LEF68" s="10"/>
      <c r="LEG68" s="10"/>
      <c r="LEH68" s="10"/>
      <c r="LEI68" s="10"/>
      <c r="LEJ68" s="10"/>
      <c r="LEK68" s="10"/>
      <c r="LEL68" s="10"/>
      <c r="LEM68" s="10"/>
      <c r="LEN68" s="10"/>
      <c r="LEO68" s="10"/>
      <c r="LEP68" s="10"/>
      <c r="LEQ68" s="10"/>
      <c r="LER68" s="10"/>
      <c r="LES68" s="10"/>
      <c r="LET68" s="10"/>
      <c r="LEU68" s="10"/>
      <c r="LEV68" s="10"/>
      <c r="LEW68" s="10"/>
      <c r="LEX68" s="10"/>
      <c r="LEY68" s="10"/>
      <c r="LEZ68" s="10"/>
      <c r="LFA68" s="10"/>
      <c r="LFB68" s="10"/>
      <c r="LFC68" s="10"/>
      <c r="LFD68" s="10"/>
      <c r="LFE68" s="10"/>
      <c r="LFF68" s="10"/>
      <c r="LFG68" s="10"/>
      <c r="LFH68" s="10"/>
      <c r="LFI68" s="10"/>
      <c r="LFJ68" s="10"/>
      <c r="LFK68" s="10"/>
      <c r="LFL68" s="10"/>
      <c r="LFM68" s="10"/>
      <c r="LFN68" s="10"/>
      <c r="LFO68" s="10"/>
      <c r="LFP68" s="10"/>
      <c r="LFQ68" s="10"/>
      <c r="LFR68" s="10"/>
      <c r="LFS68" s="10"/>
      <c r="LFT68" s="10"/>
      <c r="LFU68" s="10"/>
      <c r="LFV68" s="10"/>
      <c r="LFW68" s="10"/>
      <c r="LFX68" s="10"/>
      <c r="LFY68" s="10"/>
      <c r="LFZ68" s="10"/>
      <c r="LGA68" s="10"/>
      <c r="LGB68" s="10"/>
      <c r="LGC68" s="10"/>
      <c r="LGD68" s="10"/>
      <c r="LGE68" s="10"/>
      <c r="LGF68" s="10"/>
      <c r="LGG68" s="10"/>
      <c r="LGH68" s="10"/>
      <c r="LGI68" s="10"/>
      <c r="LGJ68" s="10"/>
      <c r="LGK68" s="10"/>
      <c r="LGL68" s="10"/>
      <c r="LGM68" s="10"/>
      <c r="LGN68" s="10"/>
      <c r="LGO68" s="10"/>
      <c r="LGP68" s="10"/>
      <c r="LGQ68" s="10"/>
      <c r="LGR68" s="10"/>
      <c r="LGS68" s="10"/>
      <c r="LGT68" s="10"/>
      <c r="LGU68" s="10"/>
      <c r="LGV68" s="10"/>
      <c r="LGW68" s="10"/>
      <c r="LGX68" s="10"/>
      <c r="LGY68" s="10"/>
      <c r="LGZ68" s="10"/>
      <c r="LHA68" s="10"/>
      <c r="LHB68" s="10"/>
      <c r="LHC68" s="10"/>
      <c r="LHD68" s="10"/>
      <c r="LHE68" s="10"/>
      <c r="LHF68" s="10"/>
      <c r="LHG68" s="10"/>
      <c r="LHH68" s="10"/>
      <c r="LHI68" s="10"/>
      <c r="LHJ68" s="10"/>
      <c r="LHK68" s="10"/>
      <c r="LHL68" s="10"/>
      <c r="LHM68" s="10"/>
      <c r="LHN68" s="10"/>
      <c r="LHO68" s="10"/>
      <c r="LHP68" s="10"/>
      <c r="LHQ68" s="10"/>
      <c r="LHR68" s="10"/>
      <c r="LHS68" s="10"/>
      <c r="LHT68" s="10"/>
      <c r="LHU68" s="10"/>
      <c r="LHV68" s="10"/>
      <c r="LHW68" s="10"/>
      <c r="LHX68" s="10"/>
      <c r="LHY68" s="10"/>
      <c r="LHZ68" s="10"/>
      <c r="LIA68" s="10"/>
      <c r="LIB68" s="10"/>
      <c r="LIC68" s="10"/>
      <c r="LID68" s="10"/>
      <c r="LIE68" s="10"/>
      <c r="LIF68" s="10"/>
      <c r="LIG68" s="10"/>
      <c r="LIH68" s="10"/>
      <c r="LII68" s="10"/>
      <c r="LIJ68" s="10"/>
      <c r="LIK68" s="10"/>
      <c r="LIL68" s="10"/>
      <c r="LIM68" s="10"/>
      <c r="LIN68" s="10"/>
      <c r="LIO68" s="10"/>
      <c r="LIP68" s="10"/>
      <c r="LIQ68" s="10"/>
      <c r="LIR68" s="10"/>
      <c r="LIS68" s="10"/>
      <c r="LIT68" s="10"/>
      <c r="LIU68" s="10"/>
      <c r="LIV68" s="10"/>
      <c r="LIW68" s="10"/>
      <c r="LIX68" s="10"/>
      <c r="LIY68" s="10"/>
      <c r="LIZ68" s="10"/>
      <c r="LJA68" s="10"/>
      <c r="LJB68" s="10"/>
      <c r="LJC68" s="10"/>
      <c r="LJD68" s="10"/>
      <c r="LJE68" s="10"/>
      <c r="LJF68" s="10"/>
      <c r="LJG68" s="10"/>
      <c r="LJH68" s="10"/>
      <c r="LJI68" s="10"/>
      <c r="LJJ68" s="10"/>
      <c r="LJK68" s="10"/>
      <c r="LJL68" s="10"/>
      <c r="LJM68" s="10"/>
      <c r="LJN68" s="10"/>
      <c r="LJO68" s="10"/>
      <c r="LJP68" s="10"/>
      <c r="LJQ68" s="10"/>
      <c r="LJR68" s="10"/>
      <c r="LJS68" s="10"/>
      <c r="LJT68" s="10"/>
      <c r="LJU68" s="10"/>
      <c r="LJV68" s="10"/>
      <c r="LJW68" s="10"/>
      <c r="LJX68" s="10"/>
      <c r="LJY68" s="10"/>
      <c r="LJZ68" s="10"/>
      <c r="LKA68" s="10"/>
      <c r="LKB68" s="10"/>
      <c r="LKC68" s="10"/>
      <c r="LKD68" s="10"/>
      <c r="LKE68" s="10"/>
      <c r="LKF68" s="10"/>
      <c r="LKG68" s="10"/>
      <c r="LKH68" s="10"/>
      <c r="LKI68" s="10"/>
      <c r="LKJ68" s="10"/>
      <c r="LKK68" s="10"/>
      <c r="LKL68" s="10"/>
      <c r="LKM68" s="10"/>
      <c r="LKN68" s="10"/>
      <c r="LKO68" s="10"/>
      <c r="LKP68" s="10"/>
      <c r="LKQ68" s="10"/>
      <c r="LKR68" s="10"/>
      <c r="LKS68" s="10"/>
      <c r="LKT68" s="10"/>
      <c r="LKU68" s="10"/>
      <c r="LKV68" s="10"/>
      <c r="LKW68" s="10"/>
      <c r="LKX68" s="10"/>
      <c r="LKY68" s="10"/>
      <c r="LKZ68" s="10"/>
      <c r="LLA68" s="10"/>
      <c r="LLB68" s="10"/>
      <c r="LLC68" s="10"/>
      <c r="LLD68" s="10"/>
      <c r="LLE68" s="10"/>
      <c r="LLF68" s="10"/>
      <c r="LLG68" s="10"/>
      <c r="LLH68" s="10"/>
      <c r="LLI68" s="10"/>
      <c r="LLJ68" s="10"/>
      <c r="LLK68" s="10"/>
      <c r="LLL68" s="10"/>
      <c r="LLM68" s="10"/>
      <c r="LLN68" s="10"/>
      <c r="LLO68" s="10"/>
      <c r="LLP68" s="10"/>
      <c r="LLQ68" s="10"/>
      <c r="LLR68" s="10"/>
      <c r="LLS68" s="10"/>
      <c r="LLT68" s="10"/>
      <c r="LLU68" s="10"/>
      <c r="LLV68" s="10"/>
      <c r="LLW68" s="10"/>
      <c r="LLX68" s="10"/>
      <c r="LLY68" s="10"/>
      <c r="LLZ68" s="10"/>
      <c r="LMA68" s="10"/>
      <c r="LMB68" s="10"/>
      <c r="LMC68" s="10"/>
      <c r="LMD68" s="10"/>
      <c r="LME68" s="10"/>
      <c r="LMF68" s="10"/>
      <c r="LMG68" s="10"/>
      <c r="LMH68" s="10"/>
      <c r="LMI68" s="10"/>
      <c r="LMJ68" s="10"/>
      <c r="LMK68" s="10"/>
      <c r="LML68" s="10"/>
      <c r="LMM68" s="10"/>
      <c r="LMN68" s="10"/>
      <c r="LMO68" s="10"/>
      <c r="LMP68" s="10"/>
      <c r="LMQ68" s="10"/>
      <c r="LMR68" s="10"/>
      <c r="LMS68" s="10"/>
      <c r="LMT68" s="10"/>
      <c r="LMU68" s="10"/>
      <c r="LMV68" s="10"/>
      <c r="LMW68" s="10"/>
      <c r="LMX68" s="10"/>
      <c r="LMY68" s="10"/>
      <c r="LMZ68" s="10"/>
      <c r="LNA68" s="10"/>
      <c r="LNB68" s="10"/>
      <c r="LNC68" s="10"/>
      <c r="LND68" s="10"/>
      <c r="LNE68" s="10"/>
      <c r="LNF68" s="10"/>
      <c r="LNG68" s="10"/>
      <c r="LNH68" s="10"/>
      <c r="LNI68" s="10"/>
      <c r="LNJ68" s="10"/>
      <c r="LNK68" s="10"/>
      <c r="LNL68" s="10"/>
      <c r="LNM68" s="10"/>
      <c r="LNN68" s="10"/>
      <c r="LNO68" s="10"/>
      <c r="LNP68" s="10"/>
      <c r="LNQ68" s="10"/>
      <c r="LNR68" s="10"/>
      <c r="LNS68" s="10"/>
      <c r="LNT68" s="10"/>
      <c r="LNU68" s="10"/>
      <c r="LNV68" s="10"/>
      <c r="LNW68" s="10"/>
      <c r="LNX68" s="10"/>
      <c r="LNY68" s="10"/>
      <c r="LNZ68" s="10"/>
      <c r="LOA68" s="10"/>
      <c r="LOB68" s="10"/>
      <c r="LOC68" s="10"/>
      <c r="LOD68" s="10"/>
      <c r="LOE68" s="10"/>
      <c r="LOF68" s="10"/>
      <c r="LOG68" s="10"/>
      <c r="LOH68" s="10"/>
      <c r="LOI68" s="10"/>
      <c r="LOJ68" s="10"/>
      <c r="LOK68" s="10"/>
      <c r="LOL68" s="10"/>
      <c r="LOM68" s="10"/>
      <c r="LON68" s="10"/>
      <c r="LOO68" s="10"/>
      <c r="LOP68" s="10"/>
      <c r="LOQ68" s="10"/>
      <c r="LOR68" s="10"/>
      <c r="LOS68" s="10"/>
      <c r="LOT68" s="10"/>
      <c r="LOU68" s="10"/>
      <c r="LOV68" s="10"/>
      <c r="LOW68" s="10"/>
      <c r="LOX68" s="10"/>
      <c r="LOY68" s="10"/>
      <c r="LOZ68" s="10"/>
      <c r="LPA68" s="10"/>
      <c r="LPB68" s="10"/>
      <c r="LPC68" s="10"/>
      <c r="LPD68" s="10"/>
      <c r="LPE68" s="10"/>
      <c r="LPF68" s="10"/>
      <c r="LPG68" s="10"/>
      <c r="LPH68" s="10"/>
      <c r="LPI68" s="10"/>
      <c r="LPJ68" s="10"/>
      <c r="LPK68" s="10"/>
      <c r="LPL68" s="10"/>
      <c r="LPM68" s="10"/>
      <c r="LPN68" s="10"/>
      <c r="LPO68" s="10"/>
      <c r="LPP68" s="10"/>
      <c r="LPQ68" s="10"/>
      <c r="LPR68" s="10"/>
      <c r="LPS68" s="10"/>
      <c r="LPT68" s="10"/>
      <c r="LPU68" s="10"/>
      <c r="LPV68" s="10"/>
      <c r="LPW68" s="10"/>
      <c r="LPX68" s="10"/>
      <c r="LPY68" s="10"/>
      <c r="LPZ68" s="10"/>
      <c r="LQA68" s="10"/>
      <c r="LQB68" s="10"/>
      <c r="LQC68" s="10"/>
      <c r="LQD68" s="10"/>
      <c r="LQE68" s="10"/>
      <c r="LQF68" s="10"/>
      <c r="LQG68" s="10"/>
      <c r="LQH68" s="10"/>
      <c r="LQI68" s="10"/>
      <c r="LQJ68" s="10"/>
      <c r="LQK68" s="10"/>
      <c r="LQL68" s="10"/>
      <c r="LQM68" s="10"/>
      <c r="LQN68" s="10"/>
      <c r="LQO68" s="10"/>
      <c r="LQP68" s="10"/>
      <c r="LQQ68" s="10"/>
      <c r="LQR68" s="10"/>
      <c r="LQS68" s="10"/>
      <c r="LQT68" s="10"/>
      <c r="LQU68" s="10"/>
      <c r="LQV68" s="10"/>
      <c r="LQW68" s="10"/>
      <c r="LQX68" s="10"/>
      <c r="LQY68" s="10"/>
      <c r="LQZ68" s="10"/>
      <c r="LRA68" s="10"/>
      <c r="LRB68" s="10"/>
      <c r="LRC68" s="10"/>
      <c r="LRD68" s="10"/>
      <c r="LRE68" s="10"/>
      <c r="LRF68" s="10"/>
      <c r="LRG68" s="10"/>
      <c r="LRH68" s="10"/>
      <c r="LRI68" s="10"/>
      <c r="LRJ68" s="10"/>
      <c r="LRK68" s="10"/>
      <c r="LRL68" s="10"/>
      <c r="LRM68" s="10"/>
      <c r="LRN68" s="10"/>
      <c r="LRO68" s="10"/>
      <c r="LRP68" s="10"/>
      <c r="LRQ68" s="10"/>
      <c r="LRR68" s="10"/>
      <c r="LRS68" s="10"/>
      <c r="LRT68" s="10"/>
      <c r="LRU68" s="10"/>
      <c r="LRV68" s="10"/>
      <c r="LRW68" s="10"/>
      <c r="LRX68" s="10"/>
      <c r="LRY68" s="10"/>
      <c r="LRZ68" s="10"/>
      <c r="LSA68" s="10"/>
      <c r="LSB68" s="10"/>
      <c r="LSC68" s="10"/>
      <c r="LSD68" s="10"/>
      <c r="LSE68" s="10"/>
      <c r="LSF68" s="10"/>
      <c r="LSG68" s="10"/>
      <c r="LSH68" s="10"/>
      <c r="LSI68" s="10"/>
      <c r="LSJ68" s="10"/>
      <c r="LSK68" s="10"/>
      <c r="LSL68" s="10"/>
      <c r="LSM68" s="10"/>
      <c r="LSN68" s="10"/>
      <c r="LSO68" s="10"/>
      <c r="LSP68" s="10"/>
      <c r="LSQ68" s="10"/>
      <c r="LSR68" s="10"/>
      <c r="LSS68" s="10"/>
      <c r="LST68" s="10"/>
      <c r="LSU68" s="10"/>
      <c r="LSV68" s="10"/>
      <c r="LSW68" s="10"/>
      <c r="LSX68" s="10"/>
      <c r="LSY68" s="10"/>
      <c r="LSZ68" s="10"/>
      <c r="LTA68" s="10"/>
      <c r="LTB68" s="10"/>
      <c r="LTC68" s="10"/>
      <c r="LTD68" s="10"/>
      <c r="LTE68" s="10"/>
      <c r="LTF68" s="10"/>
      <c r="LTG68" s="10"/>
      <c r="LTH68" s="10"/>
      <c r="LTI68" s="10"/>
      <c r="LTJ68" s="10"/>
      <c r="LTK68" s="10"/>
      <c r="LTL68" s="10"/>
      <c r="LTM68" s="10"/>
      <c r="LTN68" s="10"/>
      <c r="LTO68" s="10"/>
      <c r="LTP68" s="10"/>
      <c r="LTQ68" s="10"/>
      <c r="LTR68" s="10"/>
      <c r="LTS68" s="10"/>
      <c r="LTT68" s="10"/>
      <c r="LTU68" s="10"/>
      <c r="LTV68" s="10"/>
      <c r="LTW68" s="10"/>
      <c r="LTX68" s="10"/>
      <c r="LTY68" s="10"/>
      <c r="LTZ68" s="10"/>
      <c r="LUA68" s="10"/>
      <c r="LUB68" s="10"/>
      <c r="LUC68" s="10"/>
      <c r="LUD68" s="10"/>
      <c r="LUE68" s="10"/>
      <c r="LUF68" s="10"/>
      <c r="LUG68" s="10"/>
      <c r="LUH68" s="10"/>
      <c r="LUI68" s="10"/>
      <c r="LUJ68" s="10"/>
      <c r="LUK68" s="10"/>
      <c r="LUL68" s="10"/>
      <c r="LUM68" s="10"/>
      <c r="LUN68" s="10"/>
      <c r="LUO68" s="10"/>
      <c r="LUP68" s="10"/>
      <c r="LUQ68" s="10"/>
      <c r="LUR68" s="10"/>
      <c r="LUS68" s="10"/>
      <c r="LUT68" s="10"/>
      <c r="LUU68" s="10"/>
      <c r="LUV68" s="10"/>
      <c r="LUW68" s="10"/>
      <c r="LUX68" s="10"/>
      <c r="LUY68" s="10"/>
      <c r="LUZ68" s="10"/>
      <c r="LVA68" s="10"/>
      <c r="LVB68" s="10"/>
      <c r="LVC68" s="10"/>
      <c r="LVD68" s="10"/>
      <c r="LVE68" s="10"/>
      <c r="LVF68" s="10"/>
      <c r="LVG68" s="10"/>
      <c r="LVH68" s="10"/>
      <c r="LVI68" s="10"/>
      <c r="LVJ68" s="10"/>
      <c r="LVK68" s="10"/>
      <c r="LVL68" s="10"/>
      <c r="LVM68" s="10"/>
      <c r="LVN68" s="10"/>
      <c r="LVO68" s="10"/>
      <c r="LVP68" s="10"/>
      <c r="LVQ68" s="10"/>
      <c r="LVR68" s="10"/>
      <c r="LVS68" s="10"/>
      <c r="LVT68" s="10"/>
      <c r="LVU68" s="10"/>
      <c r="LVV68" s="10"/>
      <c r="LVW68" s="10"/>
      <c r="LVX68" s="10"/>
      <c r="LVY68" s="10"/>
      <c r="LVZ68" s="10"/>
      <c r="LWA68" s="10"/>
      <c r="LWB68" s="10"/>
      <c r="LWC68" s="10"/>
      <c r="LWD68" s="10"/>
      <c r="LWE68" s="10"/>
      <c r="LWF68" s="10"/>
      <c r="LWG68" s="10"/>
      <c r="LWH68" s="10"/>
      <c r="LWI68" s="10"/>
      <c r="LWJ68" s="10"/>
      <c r="LWK68" s="10"/>
      <c r="LWL68" s="10"/>
      <c r="LWM68" s="10"/>
      <c r="LWN68" s="10"/>
      <c r="LWO68" s="10"/>
      <c r="LWP68" s="10"/>
      <c r="LWQ68" s="10"/>
      <c r="LWR68" s="10"/>
      <c r="LWS68" s="10"/>
      <c r="LWT68" s="10"/>
      <c r="LWU68" s="10"/>
      <c r="LWV68" s="10"/>
      <c r="LWW68" s="10"/>
      <c r="LWX68" s="10"/>
      <c r="LWY68" s="10"/>
      <c r="LWZ68" s="10"/>
      <c r="LXA68" s="10"/>
      <c r="LXB68" s="10"/>
      <c r="LXC68" s="10"/>
      <c r="LXD68" s="10"/>
      <c r="LXE68" s="10"/>
      <c r="LXF68" s="10"/>
      <c r="LXG68" s="10"/>
      <c r="LXH68" s="10"/>
      <c r="LXI68" s="10"/>
      <c r="LXJ68" s="10"/>
      <c r="LXK68" s="10"/>
      <c r="LXL68" s="10"/>
      <c r="LXM68" s="10"/>
      <c r="LXN68" s="10"/>
      <c r="LXO68" s="10"/>
      <c r="LXP68" s="10"/>
      <c r="LXQ68" s="10"/>
      <c r="LXR68" s="10"/>
      <c r="LXS68" s="10"/>
      <c r="LXT68" s="10"/>
      <c r="LXU68" s="10"/>
      <c r="LXV68" s="10"/>
      <c r="LXW68" s="10"/>
      <c r="LXX68" s="10"/>
      <c r="LXY68" s="10"/>
      <c r="LXZ68" s="10"/>
      <c r="LYA68" s="10"/>
      <c r="LYB68" s="10"/>
      <c r="LYC68" s="10"/>
      <c r="LYD68" s="10"/>
      <c r="LYE68" s="10"/>
      <c r="LYF68" s="10"/>
      <c r="LYG68" s="10"/>
      <c r="LYH68" s="10"/>
      <c r="LYI68" s="10"/>
      <c r="LYJ68" s="10"/>
      <c r="LYK68" s="10"/>
      <c r="LYL68" s="10"/>
      <c r="LYM68" s="10"/>
      <c r="LYN68" s="10"/>
      <c r="LYO68" s="10"/>
      <c r="LYP68" s="10"/>
      <c r="LYQ68" s="10"/>
      <c r="LYR68" s="10"/>
      <c r="LYS68" s="10"/>
      <c r="LYT68" s="10"/>
      <c r="LYU68" s="10"/>
      <c r="LYV68" s="10"/>
      <c r="LYW68" s="10"/>
      <c r="LYX68" s="10"/>
      <c r="LYY68" s="10"/>
      <c r="LYZ68" s="10"/>
      <c r="LZA68" s="10"/>
      <c r="LZB68" s="10"/>
      <c r="LZC68" s="10"/>
      <c r="LZD68" s="10"/>
      <c r="LZE68" s="10"/>
      <c r="LZF68" s="10"/>
      <c r="LZG68" s="10"/>
      <c r="LZH68" s="10"/>
      <c r="LZI68" s="10"/>
      <c r="LZJ68" s="10"/>
      <c r="LZK68" s="10"/>
      <c r="LZL68" s="10"/>
      <c r="LZM68" s="10"/>
      <c r="LZN68" s="10"/>
      <c r="LZO68" s="10"/>
      <c r="LZP68" s="10"/>
      <c r="LZQ68" s="10"/>
      <c r="LZR68" s="10"/>
      <c r="LZS68" s="10"/>
      <c r="LZT68" s="10"/>
      <c r="LZU68" s="10"/>
      <c r="LZV68" s="10"/>
      <c r="LZW68" s="10"/>
      <c r="LZX68" s="10"/>
      <c r="LZY68" s="10"/>
      <c r="LZZ68" s="10"/>
      <c r="MAA68" s="10"/>
      <c r="MAB68" s="10"/>
      <c r="MAC68" s="10"/>
      <c r="MAD68" s="10"/>
      <c r="MAE68" s="10"/>
      <c r="MAF68" s="10"/>
      <c r="MAG68" s="10"/>
      <c r="MAH68" s="10"/>
      <c r="MAI68" s="10"/>
      <c r="MAJ68" s="10"/>
      <c r="MAK68" s="10"/>
      <c r="MAL68" s="10"/>
      <c r="MAM68" s="10"/>
      <c r="MAN68" s="10"/>
      <c r="MAO68" s="10"/>
      <c r="MAP68" s="10"/>
      <c r="MAQ68" s="10"/>
      <c r="MAR68" s="10"/>
      <c r="MAS68" s="10"/>
      <c r="MAT68" s="10"/>
      <c r="MAU68" s="10"/>
      <c r="MAV68" s="10"/>
      <c r="MAW68" s="10"/>
      <c r="MAX68" s="10"/>
      <c r="MAY68" s="10"/>
      <c r="MAZ68" s="10"/>
      <c r="MBA68" s="10"/>
      <c r="MBB68" s="10"/>
      <c r="MBC68" s="10"/>
      <c r="MBD68" s="10"/>
      <c r="MBE68" s="10"/>
      <c r="MBF68" s="10"/>
      <c r="MBG68" s="10"/>
      <c r="MBH68" s="10"/>
      <c r="MBI68" s="10"/>
      <c r="MBJ68" s="10"/>
      <c r="MBK68" s="10"/>
      <c r="MBL68" s="10"/>
      <c r="MBM68" s="10"/>
      <c r="MBN68" s="10"/>
      <c r="MBO68" s="10"/>
      <c r="MBP68" s="10"/>
      <c r="MBQ68" s="10"/>
      <c r="MBR68" s="10"/>
      <c r="MBS68" s="10"/>
      <c r="MBT68" s="10"/>
      <c r="MBU68" s="10"/>
      <c r="MBV68" s="10"/>
      <c r="MBW68" s="10"/>
      <c r="MBX68" s="10"/>
      <c r="MBY68" s="10"/>
      <c r="MBZ68" s="10"/>
      <c r="MCA68" s="10"/>
      <c r="MCB68" s="10"/>
      <c r="MCC68" s="10"/>
      <c r="MCD68" s="10"/>
      <c r="MCE68" s="10"/>
      <c r="MCF68" s="10"/>
      <c r="MCG68" s="10"/>
      <c r="MCH68" s="10"/>
      <c r="MCI68" s="10"/>
      <c r="MCJ68" s="10"/>
      <c r="MCK68" s="10"/>
      <c r="MCL68" s="10"/>
      <c r="MCM68" s="10"/>
      <c r="MCN68" s="10"/>
      <c r="MCO68" s="10"/>
      <c r="MCP68" s="10"/>
      <c r="MCQ68" s="10"/>
      <c r="MCR68" s="10"/>
      <c r="MCS68" s="10"/>
      <c r="MCT68" s="10"/>
      <c r="MCU68" s="10"/>
      <c r="MCV68" s="10"/>
      <c r="MCW68" s="10"/>
      <c r="MCX68" s="10"/>
      <c r="MCY68" s="10"/>
      <c r="MCZ68" s="10"/>
      <c r="MDA68" s="10"/>
      <c r="MDB68" s="10"/>
      <c r="MDC68" s="10"/>
      <c r="MDD68" s="10"/>
      <c r="MDE68" s="10"/>
      <c r="MDF68" s="10"/>
      <c r="MDG68" s="10"/>
      <c r="MDH68" s="10"/>
      <c r="MDI68" s="10"/>
      <c r="MDJ68" s="10"/>
      <c r="MDK68" s="10"/>
      <c r="MDL68" s="10"/>
      <c r="MDM68" s="10"/>
      <c r="MDN68" s="10"/>
      <c r="MDO68" s="10"/>
      <c r="MDP68" s="10"/>
      <c r="MDQ68" s="10"/>
      <c r="MDR68" s="10"/>
      <c r="MDS68" s="10"/>
      <c r="MDT68" s="10"/>
      <c r="MDU68" s="10"/>
      <c r="MDV68" s="10"/>
      <c r="MDW68" s="10"/>
      <c r="MDX68" s="10"/>
      <c r="MDY68" s="10"/>
      <c r="MDZ68" s="10"/>
      <c r="MEA68" s="10"/>
      <c r="MEB68" s="10"/>
      <c r="MEC68" s="10"/>
      <c r="MED68" s="10"/>
      <c r="MEE68" s="10"/>
      <c r="MEF68" s="10"/>
      <c r="MEG68" s="10"/>
      <c r="MEH68" s="10"/>
      <c r="MEI68" s="10"/>
      <c r="MEJ68" s="10"/>
      <c r="MEK68" s="10"/>
      <c r="MEL68" s="10"/>
      <c r="MEM68" s="10"/>
      <c r="MEN68" s="10"/>
      <c r="MEO68" s="10"/>
      <c r="MEP68" s="10"/>
      <c r="MEQ68" s="10"/>
      <c r="MER68" s="10"/>
      <c r="MES68" s="10"/>
      <c r="MET68" s="10"/>
      <c r="MEU68" s="10"/>
      <c r="MEV68" s="10"/>
      <c r="MEW68" s="10"/>
      <c r="MEX68" s="10"/>
      <c r="MEY68" s="10"/>
      <c r="MEZ68" s="10"/>
      <c r="MFA68" s="10"/>
      <c r="MFB68" s="10"/>
      <c r="MFC68" s="10"/>
      <c r="MFD68" s="10"/>
      <c r="MFE68" s="10"/>
      <c r="MFF68" s="10"/>
      <c r="MFG68" s="10"/>
      <c r="MFH68" s="10"/>
      <c r="MFI68" s="10"/>
      <c r="MFJ68" s="10"/>
      <c r="MFK68" s="10"/>
      <c r="MFL68" s="10"/>
      <c r="MFM68" s="10"/>
      <c r="MFN68" s="10"/>
      <c r="MFO68" s="10"/>
      <c r="MFP68" s="10"/>
      <c r="MFQ68" s="10"/>
      <c r="MFR68" s="10"/>
      <c r="MFS68" s="10"/>
      <c r="MFT68" s="10"/>
      <c r="MFU68" s="10"/>
      <c r="MFV68" s="10"/>
      <c r="MFW68" s="10"/>
      <c r="MFX68" s="10"/>
      <c r="MFY68" s="10"/>
      <c r="MFZ68" s="10"/>
      <c r="MGA68" s="10"/>
      <c r="MGB68" s="10"/>
      <c r="MGC68" s="10"/>
      <c r="MGD68" s="10"/>
      <c r="MGE68" s="10"/>
      <c r="MGF68" s="10"/>
      <c r="MGG68" s="10"/>
      <c r="MGH68" s="10"/>
      <c r="MGI68" s="10"/>
      <c r="MGJ68" s="10"/>
      <c r="MGK68" s="10"/>
      <c r="MGL68" s="10"/>
      <c r="MGM68" s="10"/>
      <c r="MGN68" s="10"/>
      <c r="MGO68" s="10"/>
      <c r="MGP68" s="10"/>
      <c r="MGQ68" s="10"/>
      <c r="MGR68" s="10"/>
      <c r="MGS68" s="10"/>
      <c r="MGT68" s="10"/>
      <c r="MGU68" s="10"/>
      <c r="MGV68" s="10"/>
      <c r="MGW68" s="10"/>
      <c r="MGX68" s="10"/>
      <c r="MGY68" s="10"/>
      <c r="MGZ68" s="10"/>
      <c r="MHA68" s="10"/>
      <c r="MHB68" s="10"/>
      <c r="MHC68" s="10"/>
      <c r="MHD68" s="10"/>
      <c r="MHE68" s="10"/>
      <c r="MHF68" s="10"/>
      <c r="MHG68" s="10"/>
      <c r="MHH68" s="10"/>
      <c r="MHI68" s="10"/>
      <c r="MHJ68" s="10"/>
      <c r="MHK68" s="10"/>
      <c r="MHL68" s="10"/>
      <c r="MHM68" s="10"/>
      <c r="MHN68" s="10"/>
      <c r="MHO68" s="10"/>
      <c r="MHP68" s="10"/>
      <c r="MHQ68" s="10"/>
      <c r="MHR68" s="10"/>
      <c r="MHS68" s="10"/>
      <c r="MHT68" s="10"/>
      <c r="MHU68" s="10"/>
      <c r="MHV68" s="10"/>
      <c r="MHW68" s="10"/>
      <c r="MHX68" s="10"/>
      <c r="MHY68" s="10"/>
      <c r="MHZ68" s="10"/>
      <c r="MIA68" s="10"/>
      <c r="MIB68" s="10"/>
      <c r="MIC68" s="10"/>
      <c r="MID68" s="10"/>
      <c r="MIE68" s="10"/>
      <c r="MIF68" s="10"/>
      <c r="MIG68" s="10"/>
      <c r="MIH68" s="10"/>
      <c r="MII68" s="10"/>
      <c r="MIJ68" s="10"/>
      <c r="MIK68" s="10"/>
      <c r="MIL68" s="10"/>
      <c r="MIM68" s="10"/>
      <c r="MIN68" s="10"/>
      <c r="MIO68" s="10"/>
      <c r="MIP68" s="10"/>
      <c r="MIQ68" s="10"/>
      <c r="MIR68" s="10"/>
      <c r="MIS68" s="10"/>
      <c r="MIT68" s="10"/>
      <c r="MIU68" s="10"/>
      <c r="MIV68" s="10"/>
      <c r="MIW68" s="10"/>
      <c r="MIX68" s="10"/>
      <c r="MIY68" s="10"/>
      <c r="MIZ68" s="10"/>
      <c r="MJA68" s="10"/>
      <c r="MJB68" s="10"/>
      <c r="MJC68" s="10"/>
      <c r="MJD68" s="10"/>
      <c r="MJE68" s="10"/>
      <c r="MJF68" s="10"/>
      <c r="MJG68" s="10"/>
      <c r="MJH68" s="10"/>
      <c r="MJI68" s="10"/>
      <c r="MJJ68" s="10"/>
      <c r="MJK68" s="10"/>
      <c r="MJL68" s="10"/>
      <c r="MJM68" s="10"/>
      <c r="MJN68" s="10"/>
      <c r="MJO68" s="10"/>
      <c r="MJP68" s="10"/>
      <c r="MJQ68" s="10"/>
      <c r="MJR68" s="10"/>
      <c r="MJS68" s="10"/>
      <c r="MJT68" s="10"/>
      <c r="MJU68" s="10"/>
      <c r="MJV68" s="10"/>
      <c r="MJW68" s="10"/>
      <c r="MJX68" s="10"/>
      <c r="MJY68" s="10"/>
      <c r="MJZ68" s="10"/>
      <c r="MKA68" s="10"/>
      <c r="MKB68" s="10"/>
      <c r="MKC68" s="10"/>
      <c r="MKD68" s="10"/>
      <c r="MKE68" s="10"/>
      <c r="MKF68" s="10"/>
      <c r="MKG68" s="10"/>
      <c r="MKH68" s="10"/>
      <c r="MKI68" s="10"/>
      <c r="MKJ68" s="10"/>
      <c r="MKK68" s="10"/>
      <c r="MKL68" s="10"/>
      <c r="MKM68" s="10"/>
      <c r="MKN68" s="10"/>
      <c r="MKO68" s="10"/>
      <c r="MKP68" s="10"/>
      <c r="MKQ68" s="10"/>
      <c r="MKR68" s="10"/>
      <c r="MKS68" s="10"/>
      <c r="MKT68" s="10"/>
      <c r="MKU68" s="10"/>
      <c r="MKV68" s="10"/>
      <c r="MKW68" s="10"/>
      <c r="MKX68" s="10"/>
      <c r="MKY68" s="10"/>
      <c r="MKZ68" s="10"/>
      <c r="MLA68" s="10"/>
      <c r="MLB68" s="10"/>
      <c r="MLC68" s="10"/>
      <c r="MLD68" s="10"/>
      <c r="MLE68" s="10"/>
      <c r="MLF68" s="10"/>
      <c r="MLG68" s="10"/>
      <c r="MLH68" s="10"/>
      <c r="MLI68" s="10"/>
      <c r="MLJ68" s="10"/>
      <c r="MLK68" s="10"/>
      <c r="MLL68" s="10"/>
      <c r="MLM68" s="10"/>
      <c r="MLN68" s="10"/>
      <c r="MLO68" s="10"/>
      <c r="MLP68" s="10"/>
      <c r="MLQ68" s="10"/>
      <c r="MLR68" s="10"/>
      <c r="MLS68" s="10"/>
      <c r="MLT68" s="10"/>
      <c r="MLU68" s="10"/>
      <c r="MLV68" s="10"/>
      <c r="MLW68" s="10"/>
      <c r="MLX68" s="10"/>
      <c r="MLY68" s="10"/>
      <c r="MLZ68" s="10"/>
      <c r="MMA68" s="10"/>
      <c r="MMB68" s="10"/>
      <c r="MMC68" s="10"/>
      <c r="MMD68" s="10"/>
      <c r="MME68" s="10"/>
      <c r="MMF68" s="10"/>
      <c r="MMG68" s="10"/>
      <c r="MMH68" s="10"/>
      <c r="MMI68" s="10"/>
      <c r="MMJ68" s="10"/>
      <c r="MMK68" s="10"/>
      <c r="MML68" s="10"/>
      <c r="MMM68" s="10"/>
      <c r="MMN68" s="10"/>
      <c r="MMO68" s="10"/>
      <c r="MMP68" s="10"/>
      <c r="MMQ68" s="10"/>
      <c r="MMR68" s="10"/>
      <c r="MMS68" s="10"/>
      <c r="MMT68" s="10"/>
      <c r="MMU68" s="10"/>
      <c r="MMV68" s="10"/>
      <c r="MMW68" s="10"/>
      <c r="MMX68" s="10"/>
      <c r="MMY68" s="10"/>
      <c r="MMZ68" s="10"/>
      <c r="MNA68" s="10"/>
      <c r="MNB68" s="10"/>
      <c r="MNC68" s="10"/>
      <c r="MND68" s="10"/>
      <c r="MNE68" s="10"/>
      <c r="MNF68" s="10"/>
      <c r="MNG68" s="10"/>
      <c r="MNH68" s="10"/>
      <c r="MNI68" s="10"/>
      <c r="MNJ68" s="10"/>
      <c r="MNK68" s="10"/>
      <c r="MNL68" s="10"/>
      <c r="MNM68" s="10"/>
      <c r="MNN68" s="10"/>
      <c r="MNO68" s="10"/>
      <c r="MNP68" s="10"/>
      <c r="MNQ68" s="10"/>
      <c r="MNR68" s="10"/>
      <c r="MNS68" s="10"/>
      <c r="MNT68" s="10"/>
      <c r="MNU68" s="10"/>
      <c r="MNV68" s="10"/>
      <c r="MNW68" s="10"/>
      <c r="MNX68" s="10"/>
      <c r="MNY68" s="10"/>
      <c r="MNZ68" s="10"/>
      <c r="MOA68" s="10"/>
      <c r="MOB68" s="10"/>
      <c r="MOC68" s="10"/>
      <c r="MOD68" s="10"/>
      <c r="MOE68" s="10"/>
      <c r="MOF68" s="10"/>
      <c r="MOG68" s="10"/>
      <c r="MOH68" s="10"/>
      <c r="MOI68" s="10"/>
      <c r="MOJ68" s="10"/>
      <c r="MOK68" s="10"/>
      <c r="MOL68" s="10"/>
      <c r="MOM68" s="10"/>
      <c r="MON68" s="10"/>
      <c r="MOO68" s="10"/>
      <c r="MOP68" s="10"/>
      <c r="MOQ68" s="10"/>
      <c r="MOR68" s="10"/>
      <c r="MOS68" s="10"/>
      <c r="MOT68" s="10"/>
      <c r="MOU68" s="10"/>
      <c r="MOV68" s="10"/>
      <c r="MOW68" s="10"/>
      <c r="MOX68" s="10"/>
      <c r="MOY68" s="10"/>
      <c r="MOZ68" s="10"/>
      <c r="MPA68" s="10"/>
      <c r="MPB68" s="10"/>
      <c r="MPC68" s="10"/>
      <c r="MPD68" s="10"/>
      <c r="MPE68" s="10"/>
      <c r="MPF68" s="10"/>
      <c r="MPG68" s="10"/>
      <c r="MPH68" s="10"/>
      <c r="MPI68" s="10"/>
      <c r="MPJ68" s="10"/>
      <c r="MPK68" s="10"/>
      <c r="MPL68" s="10"/>
      <c r="MPM68" s="10"/>
      <c r="MPN68" s="10"/>
      <c r="MPO68" s="10"/>
      <c r="MPP68" s="10"/>
      <c r="MPQ68" s="10"/>
      <c r="MPR68" s="10"/>
      <c r="MPS68" s="10"/>
      <c r="MPT68" s="10"/>
      <c r="MPU68" s="10"/>
      <c r="MPV68" s="10"/>
      <c r="MPW68" s="10"/>
      <c r="MPX68" s="10"/>
      <c r="MPY68" s="10"/>
      <c r="MPZ68" s="10"/>
      <c r="MQA68" s="10"/>
      <c r="MQB68" s="10"/>
      <c r="MQC68" s="10"/>
      <c r="MQD68" s="10"/>
      <c r="MQE68" s="10"/>
      <c r="MQF68" s="10"/>
      <c r="MQG68" s="10"/>
      <c r="MQH68" s="10"/>
      <c r="MQI68" s="10"/>
      <c r="MQJ68" s="10"/>
      <c r="MQK68" s="10"/>
      <c r="MQL68" s="10"/>
      <c r="MQM68" s="10"/>
      <c r="MQN68" s="10"/>
      <c r="MQO68" s="10"/>
      <c r="MQP68" s="10"/>
      <c r="MQQ68" s="10"/>
      <c r="MQR68" s="10"/>
      <c r="MQS68" s="10"/>
      <c r="MQT68" s="10"/>
      <c r="MQU68" s="10"/>
      <c r="MQV68" s="10"/>
      <c r="MQW68" s="10"/>
      <c r="MQX68" s="10"/>
      <c r="MQY68" s="10"/>
      <c r="MQZ68" s="10"/>
      <c r="MRA68" s="10"/>
      <c r="MRB68" s="10"/>
      <c r="MRC68" s="10"/>
      <c r="MRD68" s="10"/>
      <c r="MRE68" s="10"/>
      <c r="MRF68" s="10"/>
      <c r="MRG68" s="10"/>
      <c r="MRH68" s="10"/>
      <c r="MRI68" s="10"/>
      <c r="MRJ68" s="10"/>
      <c r="MRK68" s="10"/>
      <c r="MRL68" s="10"/>
      <c r="MRM68" s="10"/>
      <c r="MRN68" s="10"/>
      <c r="MRO68" s="10"/>
      <c r="MRP68" s="10"/>
      <c r="MRQ68" s="10"/>
      <c r="MRR68" s="10"/>
      <c r="MRS68" s="10"/>
      <c r="MRT68" s="10"/>
      <c r="MRU68" s="10"/>
      <c r="MRV68" s="10"/>
      <c r="MRW68" s="10"/>
      <c r="MRX68" s="10"/>
      <c r="MRY68" s="10"/>
      <c r="MRZ68" s="10"/>
      <c r="MSA68" s="10"/>
      <c r="MSB68" s="10"/>
      <c r="MSC68" s="10"/>
      <c r="MSD68" s="10"/>
      <c r="MSE68" s="10"/>
      <c r="MSF68" s="10"/>
      <c r="MSG68" s="10"/>
      <c r="MSH68" s="10"/>
      <c r="MSI68" s="10"/>
      <c r="MSJ68" s="10"/>
      <c r="MSK68" s="10"/>
      <c r="MSL68" s="10"/>
      <c r="MSM68" s="10"/>
      <c r="MSN68" s="10"/>
      <c r="MSO68" s="10"/>
      <c r="MSP68" s="10"/>
      <c r="MSQ68" s="10"/>
      <c r="MSR68" s="10"/>
      <c r="MSS68" s="10"/>
      <c r="MST68" s="10"/>
      <c r="MSU68" s="10"/>
      <c r="MSV68" s="10"/>
      <c r="MSW68" s="10"/>
      <c r="MSX68" s="10"/>
      <c r="MSY68" s="10"/>
      <c r="MSZ68" s="10"/>
      <c r="MTA68" s="10"/>
      <c r="MTB68" s="10"/>
      <c r="MTC68" s="10"/>
      <c r="MTD68" s="10"/>
      <c r="MTE68" s="10"/>
      <c r="MTF68" s="10"/>
      <c r="MTG68" s="10"/>
      <c r="MTH68" s="10"/>
      <c r="MTI68" s="10"/>
      <c r="MTJ68" s="10"/>
      <c r="MTK68" s="10"/>
      <c r="MTL68" s="10"/>
      <c r="MTM68" s="10"/>
      <c r="MTN68" s="10"/>
      <c r="MTO68" s="10"/>
      <c r="MTP68" s="10"/>
      <c r="MTQ68" s="10"/>
      <c r="MTR68" s="10"/>
      <c r="MTS68" s="10"/>
      <c r="MTT68" s="10"/>
      <c r="MTU68" s="10"/>
      <c r="MTV68" s="10"/>
      <c r="MTW68" s="10"/>
      <c r="MTX68" s="10"/>
      <c r="MTY68" s="10"/>
      <c r="MTZ68" s="10"/>
      <c r="MUA68" s="10"/>
      <c r="MUB68" s="10"/>
      <c r="MUC68" s="10"/>
      <c r="MUD68" s="10"/>
      <c r="MUE68" s="10"/>
      <c r="MUF68" s="10"/>
      <c r="MUG68" s="10"/>
      <c r="MUH68" s="10"/>
      <c r="MUI68" s="10"/>
      <c r="MUJ68" s="10"/>
      <c r="MUK68" s="10"/>
      <c r="MUL68" s="10"/>
      <c r="MUM68" s="10"/>
      <c r="MUN68" s="10"/>
      <c r="MUO68" s="10"/>
      <c r="MUP68" s="10"/>
      <c r="MUQ68" s="10"/>
      <c r="MUR68" s="10"/>
      <c r="MUS68" s="10"/>
      <c r="MUT68" s="10"/>
      <c r="MUU68" s="10"/>
      <c r="MUV68" s="10"/>
      <c r="MUW68" s="10"/>
      <c r="MUX68" s="10"/>
      <c r="MUY68" s="10"/>
      <c r="MUZ68" s="10"/>
      <c r="MVA68" s="10"/>
      <c r="MVB68" s="10"/>
      <c r="MVC68" s="10"/>
      <c r="MVD68" s="10"/>
      <c r="MVE68" s="10"/>
      <c r="MVF68" s="10"/>
      <c r="MVG68" s="10"/>
      <c r="MVH68" s="10"/>
      <c r="MVI68" s="10"/>
      <c r="MVJ68" s="10"/>
      <c r="MVK68" s="10"/>
      <c r="MVL68" s="10"/>
      <c r="MVM68" s="10"/>
      <c r="MVN68" s="10"/>
      <c r="MVO68" s="10"/>
      <c r="MVP68" s="10"/>
      <c r="MVQ68" s="10"/>
      <c r="MVR68" s="10"/>
      <c r="MVS68" s="10"/>
      <c r="MVT68" s="10"/>
      <c r="MVU68" s="10"/>
      <c r="MVV68" s="10"/>
      <c r="MVW68" s="10"/>
      <c r="MVX68" s="10"/>
      <c r="MVY68" s="10"/>
      <c r="MVZ68" s="10"/>
      <c r="MWA68" s="10"/>
      <c r="MWB68" s="10"/>
      <c r="MWC68" s="10"/>
      <c r="MWD68" s="10"/>
      <c r="MWE68" s="10"/>
      <c r="MWF68" s="10"/>
      <c r="MWG68" s="10"/>
      <c r="MWH68" s="10"/>
      <c r="MWI68" s="10"/>
      <c r="MWJ68" s="10"/>
      <c r="MWK68" s="10"/>
      <c r="MWL68" s="10"/>
      <c r="MWM68" s="10"/>
      <c r="MWN68" s="10"/>
      <c r="MWO68" s="10"/>
      <c r="MWP68" s="10"/>
      <c r="MWQ68" s="10"/>
      <c r="MWR68" s="10"/>
      <c r="MWS68" s="10"/>
      <c r="MWT68" s="10"/>
      <c r="MWU68" s="10"/>
      <c r="MWV68" s="10"/>
      <c r="MWW68" s="10"/>
      <c r="MWX68" s="10"/>
      <c r="MWY68" s="10"/>
      <c r="MWZ68" s="10"/>
      <c r="MXA68" s="10"/>
      <c r="MXB68" s="10"/>
      <c r="MXC68" s="10"/>
      <c r="MXD68" s="10"/>
      <c r="MXE68" s="10"/>
      <c r="MXF68" s="10"/>
      <c r="MXG68" s="10"/>
      <c r="MXH68" s="10"/>
      <c r="MXI68" s="10"/>
      <c r="MXJ68" s="10"/>
      <c r="MXK68" s="10"/>
      <c r="MXL68" s="10"/>
      <c r="MXM68" s="10"/>
      <c r="MXN68" s="10"/>
      <c r="MXO68" s="10"/>
      <c r="MXP68" s="10"/>
      <c r="MXQ68" s="10"/>
      <c r="MXR68" s="10"/>
      <c r="MXS68" s="10"/>
      <c r="MXT68" s="10"/>
      <c r="MXU68" s="10"/>
      <c r="MXV68" s="10"/>
      <c r="MXW68" s="10"/>
      <c r="MXX68" s="10"/>
      <c r="MXY68" s="10"/>
      <c r="MXZ68" s="10"/>
      <c r="MYA68" s="10"/>
      <c r="MYB68" s="10"/>
      <c r="MYC68" s="10"/>
      <c r="MYD68" s="10"/>
      <c r="MYE68" s="10"/>
      <c r="MYF68" s="10"/>
      <c r="MYG68" s="10"/>
      <c r="MYH68" s="10"/>
      <c r="MYI68" s="10"/>
      <c r="MYJ68" s="10"/>
      <c r="MYK68" s="10"/>
      <c r="MYL68" s="10"/>
      <c r="MYM68" s="10"/>
      <c r="MYN68" s="10"/>
      <c r="MYO68" s="10"/>
      <c r="MYP68" s="10"/>
      <c r="MYQ68" s="10"/>
      <c r="MYR68" s="10"/>
      <c r="MYS68" s="10"/>
      <c r="MYT68" s="10"/>
      <c r="MYU68" s="10"/>
      <c r="MYV68" s="10"/>
      <c r="MYW68" s="10"/>
      <c r="MYX68" s="10"/>
      <c r="MYY68" s="10"/>
      <c r="MYZ68" s="10"/>
      <c r="MZA68" s="10"/>
      <c r="MZB68" s="10"/>
      <c r="MZC68" s="10"/>
      <c r="MZD68" s="10"/>
      <c r="MZE68" s="10"/>
      <c r="MZF68" s="10"/>
      <c r="MZG68" s="10"/>
      <c r="MZH68" s="10"/>
      <c r="MZI68" s="10"/>
      <c r="MZJ68" s="10"/>
      <c r="MZK68" s="10"/>
      <c r="MZL68" s="10"/>
      <c r="MZM68" s="10"/>
      <c r="MZN68" s="10"/>
      <c r="MZO68" s="10"/>
      <c r="MZP68" s="10"/>
      <c r="MZQ68" s="10"/>
      <c r="MZR68" s="10"/>
      <c r="MZS68" s="10"/>
      <c r="MZT68" s="10"/>
      <c r="MZU68" s="10"/>
      <c r="MZV68" s="10"/>
      <c r="MZW68" s="10"/>
      <c r="MZX68" s="10"/>
      <c r="MZY68" s="10"/>
      <c r="MZZ68" s="10"/>
      <c r="NAA68" s="10"/>
      <c r="NAB68" s="10"/>
      <c r="NAC68" s="10"/>
      <c r="NAD68" s="10"/>
      <c r="NAE68" s="10"/>
      <c r="NAF68" s="10"/>
      <c r="NAG68" s="10"/>
      <c r="NAH68" s="10"/>
      <c r="NAI68" s="10"/>
      <c r="NAJ68" s="10"/>
      <c r="NAK68" s="10"/>
      <c r="NAL68" s="10"/>
      <c r="NAM68" s="10"/>
      <c r="NAN68" s="10"/>
      <c r="NAO68" s="10"/>
      <c r="NAP68" s="10"/>
      <c r="NAQ68" s="10"/>
      <c r="NAR68" s="10"/>
      <c r="NAS68" s="10"/>
      <c r="NAT68" s="10"/>
      <c r="NAU68" s="10"/>
      <c r="NAV68" s="10"/>
      <c r="NAW68" s="10"/>
      <c r="NAX68" s="10"/>
      <c r="NAY68" s="10"/>
      <c r="NAZ68" s="10"/>
      <c r="NBA68" s="10"/>
      <c r="NBB68" s="10"/>
      <c r="NBC68" s="10"/>
      <c r="NBD68" s="10"/>
      <c r="NBE68" s="10"/>
      <c r="NBF68" s="10"/>
      <c r="NBG68" s="10"/>
      <c r="NBH68" s="10"/>
      <c r="NBI68" s="10"/>
      <c r="NBJ68" s="10"/>
      <c r="NBK68" s="10"/>
      <c r="NBL68" s="10"/>
      <c r="NBM68" s="10"/>
      <c r="NBN68" s="10"/>
      <c r="NBO68" s="10"/>
      <c r="NBP68" s="10"/>
      <c r="NBQ68" s="10"/>
      <c r="NBR68" s="10"/>
      <c r="NBS68" s="10"/>
      <c r="NBT68" s="10"/>
      <c r="NBU68" s="10"/>
      <c r="NBV68" s="10"/>
      <c r="NBW68" s="10"/>
      <c r="NBX68" s="10"/>
      <c r="NBY68" s="10"/>
      <c r="NBZ68" s="10"/>
      <c r="NCA68" s="10"/>
      <c r="NCB68" s="10"/>
      <c r="NCC68" s="10"/>
      <c r="NCD68" s="10"/>
      <c r="NCE68" s="10"/>
      <c r="NCF68" s="10"/>
      <c r="NCG68" s="10"/>
      <c r="NCH68" s="10"/>
      <c r="NCI68" s="10"/>
      <c r="NCJ68" s="10"/>
      <c r="NCK68" s="10"/>
      <c r="NCL68" s="10"/>
      <c r="NCM68" s="10"/>
      <c r="NCN68" s="10"/>
      <c r="NCO68" s="10"/>
      <c r="NCP68" s="10"/>
      <c r="NCQ68" s="10"/>
      <c r="NCR68" s="10"/>
      <c r="NCS68" s="10"/>
      <c r="NCT68" s="10"/>
      <c r="NCU68" s="10"/>
      <c r="NCV68" s="10"/>
      <c r="NCW68" s="10"/>
      <c r="NCX68" s="10"/>
      <c r="NCY68" s="10"/>
      <c r="NCZ68" s="10"/>
      <c r="NDA68" s="10"/>
      <c r="NDB68" s="10"/>
      <c r="NDC68" s="10"/>
      <c r="NDD68" s="10"/>
      <c r="NDE68" s="10"/>
      <c r="NDF68" s="10"/>
      <c r="NDG68" s="10"/>
      <c r="NDH68" s="10"/>
      <c r="NDI68" s="10"/>
      <c r="NDJ68" s="10"/>
      <c r="NDK68" s="10"/>
      <c r="NDL68" s="10"/>
      <c r="NDM68" s="10"/>
      <c r="NDN68" s="10"/>
      <c r="NDO68" s="10"/>
      <c r="NDP68" s="10"/>
      <c r="NDQ68" s="10"/>
      <c r="NDR68" s="10"/>
      <c r="NDS68" s="10"/>
      <c r="NDT68" s="10"/>
      <c r="NDU68" s="10"/>
      <c r="NDV68" s="10"/>
      <c r="NDW68" s="10"/>
      <c r="NDX68" s="10"/>
      <c r="NDY68" s="10"/>
      <c r="NDZ68" s="10"/>
      <c r="NEA68" s="10"/>
      <c r="NEB68" s="10"/>
      <c r="NEC68" s="10"/>
      <c r="NED68" s="10"/>
      <c r="NEE68" s="10"/>
      <c r="NEF68" s="10"/>
      <c r="NEG68" s="10"/>
      <c r="NEH68" s="10"/>
      <c r="NEI68" s="10"/>
      <c r="NEJ68" s="10"/>
      <c r="NEK68" s="10"/>
      <c r="NEL68" s="10"/>
      <c r="NEM68" s="10"/>
      <c r="NEN68" s="10"/>
      <c r="NEO68" s="10"/>
      <c r="NEP68" s="10"/>
      <c r="NEQ68" s="10"/>
      <c r="NER68" s="10"/>
      <c r="NES68" s="10"/>
      <c r="NET68" s="10"/>
      <c r="NEU68" s="10"/>
      <c r="NEV68" s="10"/>
      <c r="NEW68" s="10"/>
      <c r="NEX68" s="10"/>
      <c r="NEY68" s="10"/>
      <c r="NEZ68" s="10"/>
      <c r="NFA68" s="10"/>
      <c r="NFB68" s="10"/>
      <c r="NFC68" s="10"/>
      <c r="NFD68" s="10"/>
      <c r="NFE68" s="10"/>
      <c r="NFF68" s="10"/>
      <c r="NFG68" s="10"/>
      <c r="NFH68" s="10"/>
      <c r="NFI68" s="10"/>
      <c r="NFJ68" s="10"/>
      <c r="NFK68" s="10"/>
      <c r="NFL68" s="10"/>
      <c r="NFM68" s="10"/>
      <c r="NFN68" s="10"/>
      <c r="NFO68" s="10"/>
      <c r="NFP68" s="10"/>
      <c r="NFQ68" s="10"/>
      <c r="NFR68" s="10"/>
      <c r="NFS68" s="10"/>
      <c r="NFT68" s="10"/>
      <c r="NFU68" s="10"/>
      <c r="NFV68" s="10"/>
      <c r="NFW68" s="10"/>
      <c r="NFX68" s="10"/>
      <c r="NFY68" s="10"/>
      <c r="NFZ68" s="10"/>
      <c r="NGA68" s="10"/>
      <c r="NGB68" s="10"/>
      <c r="NGC68" s="10"/>
      <c r="NGD68" s="10"/>
      <c r="NGE68" s="10"/>
      <c r="NGF68" s="10"/>
      <c r="NGG68" s="10"/>
      <c r="NGH68" s="10"/>
      <c r="NGI68" s="10"/>
      <c r="NGJ68" s="10"/>
      <c r="NGK68" s="10"/>
      <c r="NGL68" s="10"/>
      <c r="NGM68" s="10"/>
      <c r="NGN68" s="10"/>
      <c r="NGO68" s="10"/>
      <c r="NGP68" s="10"/>
      <c r="NGQ68" s="10"/>
      <c r="NGR68" s="10"/>
      <c r="NGS68" s="10"/>
      <c r="NGT68" s="10"/>
      <c r="NGU68" s="10"/>
      <c r="NGV68" s="10"/>
      <c r="NGW68" s="10"/>
      <c r="NGX68" s="10"/>
      <c r="NGY68" s="10"/>
      <c r="NGZ68" s="10"/>
      <c r="NHA68" s="10"/>
      <c r="NHB68" s="10"/>
      <c r="NHC68" s="10"/>
      <c r="NHD68" s="10"/>
      <c r="NHE68" s="10"/>
      <c r="NHF68" s="10"/>
      <c r="NHG68" s="10"/>
      <c r="NHH68" s="10"/>
      <c r="NHI68" s="10"/>
      <c r="NHJ68" s="10"/>
      <c r="NHK68" s="10"/>
      <c r="NHL68" s="10"/>
      <c r="NHM68" s="10"/>
      <c r="NHN68" s="10"/>
      <c r="NHO68" s="10"/>
      <c r="NHP68" s="10"/>
      <c r="NHQ68" s="10"/>
      <c r="NHR68" s="10"/>
      <c r="NHS68" s="10"/>
      <c r="NHT68" s="10"/>
      <c r="NHU68" s="10"/>
      <c r="NHV68" s="10"/>
      <c r="NHW68" s="10"/>
      <c r="NHX68" s="10"/>
      <c r="NHY68" s="10"/>
      <c r="NHZ68" s="10"/>
      <c r="NIA68" s="10"/>
      <c r="NIB68" s="10"/>
      <c r="NIC68" s="10"/>
      <c r="NID68" s="10"/>
      <c r="NIE68" s="10"/>
      <c r="NIF68" s="10"/>
      <c r="NIG68" s="10"/>
      <c r="NIH68" s="10"/>
      <c r="NII68" s="10"/>
      <c r="NIJ68" s="10"/>
      <c r="NIK68" s="10"/>
      <c r="NIL68" s="10"/>
      <c r="NIM68" s="10"/>
      <c r="NIN68" s="10"/>
      <c r="NIO68" s="10"/>
      <c r="NIP68" s="10"/>
      <c r="NIQ68" s="10"/>
      <c r="NIR68" s="10"/>
      <c r="NIS68" s="10"/>
      <c r="NIT68" s="10"/>
      <c r="NIU68" s="10"/>
      <c r="NIV68" s="10"/>
      <c r="NIW68" s="10"/>
      <c r="NIX68" s="10"/>
      <c r="NIY68" s="10"/>
      <c r="NIZ68" s="10"/>
      <c r="NJA68" s="10"/>
      <c r="NJB68" s="10"/>
      <c r="NJC68" s="10"/>
      <c r="NJD68" s="10"/>
      <c r="NJE68" s="10"/>
      <c r="NJF68" s="10"/>
      <c r="NJG68" s="10"/>
      <c r="NJH68" s="10"/>
      <c r="NJI68" s="10"/>
      <c r="NJJ68" s="10"/>
      <c r="NJK68" s="10"/>
      <c r="NJL68" s="10"/>
      <c r="NJM68" s="10"/>
      <c r="NJN68" s="10"/>
      <c r="NJO68" s="10"/>
      <c r="NJP68" s="10"/>
      <c r="NJQ68" s="10"/>
      <c r="NJR68" s="10"/>
      <c r="NJS68" s="10"/>
      <c r="NJT68" s="10"/>
      <c r="NJU68" s="10"/>
      <c r="NJV68" s="10"/>
      <c r="NJW68" s="10"/>
      <c r="NJX68" s="10"/>
      <c r="NJY68" s="10"/>
      <c r="NJZ68" s="10"/>
      <c r="NKA68" s="10"/>
      <c r="NKB68" s="10"/>
      <c r="NKC68" s="10"/>
      <c r="NKD68" s="10"/>
      <c r="NKE68" s="10"/>
      <c r="NKF68" s="10"/>
      <c r="NKG68" s="10"/>
      <c r="NKH68" s="10"/>
      <c r="NKI68" s="10"/>
      <c r="NKJ68" s="10"/>
      <c r="NKK68" s="10"/>
      <c r="NKL68" s="10"/>
      <c r="NKM68" s="10"/>
      <c r="NKN68" s="10"/>
      <c r="NKO68" s="10"/>
      <c r="NKP68" s="10"/>
      <c r="NKQ68" s="10"/>
      <c r="NKR68" s="10"/>
      <c r="NKS68" s="10"/>
      <c r="NKT68" s="10"/>
      <c r="NKU68" s="10"/>
      <c r="NKV68" s="10"/>
      <c r="NKW68" s="10"/>
      <c r="NKX68" s="10"/>
      <c r="NKY68" s="10"/>
      <c r="NKZ68" s="10"/>
      <c r="NLA68" s="10"/>
      <c r="NLB68" s="10"/>
      <c r="NLC68" s="10"/>
      <c r="NLD68" s="10"/>
      <c r="NLE68" s="10"/>
      <c r="NLF68" s="10"/>
      <c r="NLG68" s="10"/>
      <c r="NLH68" s="10"/>
      <c r="NLI68" s="10"/>
      <c r="NLJ68" s="10"/>
      <c r="NLK68" s="10"/>
      <c r="NLL68" s="10"/>
      <c r="NLM68" s="10"/>
      <c r="NLN68" s="10"/>
      <c r="NLO68" s="10"/>
      <c r="NLP68" s="10"/>
      <c r="NLQ68" s="10"/>
      <c r="NLR68" s="10"/>
      <c r="NLS68" s="10"/>
      <c r="NLT68" s="10"/>
      <c r="NLU68" s="10"/>
      <c r="NLV68" s="10"/>
      <c r="NLW68" s="10"/>
      <c r="NLX68" s="10"/>
      <c r="NLY68" s="10"/>
      <c r="NLZ68" s="10"/>
      <c r="NMA68" s="10"/>
      <c r="NMB68" s="10"/>
      <c r="NMC68" s="10"/>
      <c r="NMD68" s="10"/>
      <c r="NME68" s="10"/>
      <c r="NMF68" s="10"/>
      <c r="NMG68" s="10"/>
      <c r="NMH68" s="10"/>
      <c r="NMI68" s="10"/>
      <c r="NMJ68" s="10"/>
      <c r="NMK68" s="10"/>
      <c r="NML68" s="10"/>
      <c r="NMM68" s="10"/>
      <c r="NMN68" s="10"/>
      <c r="NMO68" s="10"/>
      <c r="NMP68" s="10"/>
      <c r="NMQ68" s="10"/>
      <c r="NMR68" s="10"/>
      <c r="NMS68" s="10"/>
      <c r="NMT68" s="10"/>
      <c r="NMU68" s="10"/>
      <c r="NMV68" s="10"/>
      <c r="NMW68" s="10"/>
      <c r="NMX68" s="10"/>
      <c r="NMY68" s="10"/>
      <c r="NMZ68" s="10"/>
      <c r="NNA68" s="10"/>
      <c r="NNB68" s="10"/>
      <c r="NNC68" s="10"/>
      <c r="NND68" s="10"/>
      <c r="NNE68" s="10"/>
      <c r="NNF68" s="10"/>
      <c r="NNG68" s="10"/>
      <c r="NNH68" s="10"/>
      <c r="NNI68" s="10"/>
      <c r="NNJ68" s="10"/>
      <c r="NNK68" s="10"/>
      <c r="NNL68" s="10"/>
      <c r="NNM68" s="10"/>
      <c r="NNN68" s="10"/>
      <c r="NNO68" s="10"/>
      <c r="NNP68" s="10"/>
      <c r="NNQ68" s="10"/>
      <c r="NNR68" s="10"/>
      <c r="NNS68" s="10"/>
      <c r="NNT68" s="10"/>
      <c r="NNU68" s="10"/>
      <c r="NNV68" s="10"/>
      <c r="NNW68" s="10"/>
      <c r="NNX68" s="10"/>
      <c r="NNY68" s="10"/>
      <c r="NNZ68" s="10"/>
      <c r="NOA68" s="10"/>
      <c r="NOB68" s="10"/>
      <c r="NOC68" s="10"/>
      <c r="NOD68" s="10"/>
      <c r="NOE68" s="10"/>
      <c r="NOF68" s="10"/>
      <c r="NOG68" s="10"/>
      <c r="NOH68" s="10"/>
      <c r="NOI68" s="10"/>
      <c r="NOJ68" s="10"/>
      <c r="NOK68" s="10"/>
      <c r="NOL68" s="10"/>
      <c r="NOM68" s="10"/>
      <c r="NON68" s="10"/>
      <c r="NOO68" s="10"/>
      <c r="NOP68" s="10"/>
      <c r="NOQ68" s="10"/>
      <c r="NOR68" s="10"/>
      <c r="NOS68" s="10"/>
      <c r="NOT68" s="10"/>
      <c r="NOU68" s="10"/>
      <c r="NOV68" s="10"/>
      <c r="NOW68" s="10"/>
      <c r="NOX68" s="10"/>
      <c r="NOY68" s="10"/>
      <c r="NOZ68" s="10"/>
      <c r="NPA68" s="10"/>
      <c r="NPB68" s="10"/>
      <c r="NPC68" s="10"/>
      <c r="NPD68" s="10"/>
      <c r="NPE68" s="10"/>
      <c r="NPF68" s="10"/>
      <c r="NPG68" s="10"/>
      <c r="NPH68" s="10"/>
      <c r="NPI68" s="10"/>
      <c r="NPJ68" s="10"/>
      <c r="NPK68" s="10"/>
      <c r="NPL68" s="10"/>
      <c r="NPM68" s="10"/>
      <c r="NPN68" s="10"/>
      <c r="NPO68" s="10"/>
      <c r="NPP68" s="10"/>
      <c r="NPQ68" s="10"/>
      <c r="NPR68" s="10"/>
      <c r="NPS68" s="10"/>
      <c r="NPT68" s="10"/>
      <c r="NPU68" s="10"/>
      <c r="NPV68" s="10"/>
      <c r="NPW68" s="10"/>
      <c r="NPX68" s="10"/>
      <c r="NPY68" s="10"/>
      <c r="NPZ68" s="10"/>
      <c r="NQA68" s="10"/>
      <c r="NQB68" s="10"/>
      <c r="NQC68" s="10"/>
      <c r="NQD68" s="10"/>
      <c r="NQE68" s="10"/>
      <c r="NQF68" s="10"/>
      <c r="NQG68" s="10"/>
      <c r="NQH68" s="10"/>
      <c r="NQI68" s="10"/>
      <c r="NQJ68" s="10"/>
      <c r="NQK68" s="10"/>
      <c r="NQL68" s="10"/>
      <c r="NQM68" s="10"/>
      <c r="NQN68" s="10"/>
      <c r="NQO68" s="10"/>
      <c r="NQP68" s="10"/>
      <c r="NQQ68" s="10"/>
      <c r="NQR68" s="10"/>
      <c r="NQS68" s="10"/>
      <c r="NQT68" s="10"/>
      <c r="NQU68" s="10"/>
      <c r="NQV68" s="10"/>
      <c r="NQW68" s="10"/>
      <c r="NQX68" s="10"/>
      <c r="NQY68" s="10"/>
      <c r="NQZ68" s="10"/>
      <c r="NRA68" s="10"/>
      <c r="NRB68" s="10"/>
      <c r="NRC68" s="10"/>
      <c r="NRD68" s="10"/>
      <c r="NRE68" s="10"/>
      <c r="NRF68" s="10"/>
      <c r="NRG68" s="10"/>
      <c r="NRH68" s="10"/>
      <c r="NRI68" s="10"/>
      <c r="NRJ68" s="10"/>
      <c r="NRK68" s="10"/>
      <c r="NRL68" s="10"/>
      <c r="NRM68" s="10"/>
      <c r="NRN68" s="10"/>
      <c r="NRO68" s="10"/>
      <c r="NRP68" s="10"/>
      <c r="NRQ68" s="10"/>
      <c r="NRR68" s="10"/>
      <c r="NRS68" s="10"/>
      <c r="NRT68" s="10"/>
      <c r="NRU68" s="10"/>
      <c r="NRV68" s="10"/>
      <c r="NRW68" s="10"/>
      <c r="NRX68" s="10"/>
      <c r="NRY68" s="10"/>
      <c r="NRZ68" s="10"/>
      <c r="NSA68" s="10"/>
      <c r="NSB68" s="10"/>
      <c r="NSC68" s="10"/>
      <c r="NSD68" s="10"/>
      <c r="NSE68" s="10"/>
      <c r="NSF68" s="10"/>
      <c r="NSG68" s="10"/>
      <c r="NSH68" s="10"/>
      <c r="NSI68" s="10"/>
      <c r="NSJ68" s="10"/>
      <c r="NSK68" s="10"/>
      <c r="NSL68" s="10"/>
      <c r="NSM68" s="10"/>
      <c r="NSN68" s="10"/>
      <c r="NSO68" s="10"/>
      <c r="NSP68" s="10"/>
      <c r="NSQ68" s="10"/>
      <c r="NSR68" s="10"/>
      <c r="NSS68" s="10"/>
      <c r="NST68" s="10"/>
      <c r="NSU68" s="10"/>
      <c r="NSV68" s="10"/>
      <c r="NSW68" s="10"/>
      <c r="NSX68" s="10"/>
      <c r="NSY68" s="10"/>
      <c r="NSZ68" s="10"/>
      <c r="NTA68" s="10"/>
      <c r="NTB68" s="10"/>
      <c r="NTC68" s="10"/>
      <c r="NTD68" s="10"/>
      <c r="NTE68" s="10"/>
      <c r="NTF68" s="10"/>
      <c r="NTG68" s="10"/>
      <c r="NTH68" s="10"/>
      <c r="NTI68" s="10"/>
      <c r="NTJ68" s="10"/>
      <c r="NTK68" s="10"/>
      <c r="NTL68" s="10"/>
      <c r="NTM68" s="10"/>
      <c r="NTN68" s="10"/>
      <c r="NTO68" s="10"/>
      <c r="NTP68" s="10"/>
      <c r="NTQ68" s="10"/>
      <c r="NTR68" s="10"/>
      <c r="NTS68" s="10"/>
      <c r="NTT68" s="10"/>
      <c r="NTU68" s="10"/>
      <c r="NTV68" s="10"/>
      <c r="NTW68" s="10"/>
      <c r="NTX68" s="10"/>
      <c r="NTY68" s="10"/>
      <c r="NTZ68" s="10"/>
      <c r="NUA68" s="10"/>
      <c r="NUB68" s="10"/>
      <c r="NUC68" s="10"/>
      <c r="NUD68" s="10"/>
      <c r="NUE68" s="10"/>
      <c r="NUF68" s="10"/>
      <c r="NUG68" s="10"/>
      <c r="NUH68" s="10"/>
      <c r="NUI68" s="10"/>
      <c r="NUJ68" s="10"/>
      <c r="NUK68" s="10"/>
      <c r="NUL68" s="10"/>
      <c r="NUM68" s="10"/>
      <c r="NUN68" s="10"/>
      <c r="NUO68" s="10"/>
      <c r="NUP68" s="10"/>
      <c r="NUQ68" s="10"/>
      <c r="NUR68" s="10"/>
      <c r="NUS68" s="10"/>
      <c r="NUT68" s="10"/>
      <c r="NUU68" s="10"/>
      <c r="NUV68" s="10"/>
      <c r="NUW68" s="10"/>
      <c r="NUX68" s="10"/>
      <c r="NUY68" s="10"/>
      <c r="NUZ68" s="10"/>
      <c r="NVA68" s="10"/>
      <c r="NVB68" s="10"/>
      <c r="NVC68" s="10"/>
      <c r="NVD68" s="10"/>
      <c r="NVE68" s="10"/>
      <c r="NVF68" s="10"/>
      <c r="NVG68" s="10"/>
      <c r="NVH68" s="10"/>
      <c r="NVI68" s="10"/>
      <c r="NVJ68" s="10"/>
      <c r="NVK68" s="10"/>
      <c r="NVL68" s="10"/>
      <c r="NVM68" s="10"/>
      <c r="NVN68" s="10"/>
      <c r="NVO68" s="10"/>
      <c r="NVP68" s="10"/>
      <c r="NVQ68" s="10"/>
      <c r="NVR68" s="10"/>
      <c r="NVS68" s="10"/>
      <c r="NVT68" s="10"/>
      <c r="NVU68" s="10"/>
      <c r="NVV68" s="10"/>
      <c r="NVW68" s="10"/>
      <c r="NVX68" s="10"/>
      <c r="NVY68" s="10"/>
      <c r="NVZ68" s="10"/>
      <c r="NWA68" s="10"/>
      <c r="NWB68" s="10"/>
      <c r="NWC68" s="10"/>
      <c r="NWD68" s="10"/>
      <c r="NWE68" s="10"/>
      <c r="NWF68" s="10"/>
      <c r="NWG68" s="10"/>
      <c r="NWH68" s="10"/>
      <c r="NWI68" s="10"/>
      <c r="NWJ68" s="10"/>
      <c r="NWK68" s="10"/>
      <c r="NWL68" s="10"/>
      <c r="NWM68" s="10"/>
      <c r="NWN68" s="10"/>
      <c r="NWO68" s="10"/>
      <c r="NWP68" s="10"/>
      <c r="NWQ68" s="10"/>
      <c r="NWR68" s="10"/>
      <c r="NWS68" s="10"/>
      <c r="NWT68" s="10"/>
      <c r="NWU68" s="10"/>
      <c r="NWV68" s="10"/>
      <c r="NWW68" s="10"/>
      <c r="NWX68" s="10"/>
      <c r="NWY68" s="10"/>
      <c r="NWZ68" s="10"/>
      <c r="NXA68" s="10"/>
      <c r="NXB68" s="10"/>
      <c r="NXC68" s="10"/>
      <c r="NXD68" s="10"/>
      <c r="NXE68" s="10"/>
      <c r="NXF68" s="10"/>
      <c r="NXG68" s="10"/>
      <c r="NXH68" s="10"/>
      <c r="NXI68" s="10"/>
      <c r="NXJ68" s="10"/>
      <c r="NXK68" s="10"/>
      <c r="NXL68" s="10"/>
      <c r="NXM68" s="10"/>
      <c r="NXN68" s="10"/>
      <c r="NXO68" s="10"/>
      <c r="NXP68" s="10"/>
      <c r="NXQ68" s="10"/>
      <c r="NXR68" s="10"/>
      <c r="NXS68" s="10"/>
      <c r="NXT68" s="10"/>
      <c r="NXU68" s="10"/>
      <c r="NXV68" s="10"/>
      <c r="NXW68" s="10"/>
      <c r="NXX68" s="10"/>
      <c r="NXY68" s="10"/>
      <c r="NXZ68" s="10"/>
      <c r="NYA68" s="10"/>
      <c r="NYB68" s="10"/>
      <c r="NYC68" s="10"/>
      <c r="NYD68" s="10"/>
      <c r="NYE68" s="10"/>
      <c r="NYF68" s="10"/>
      <c r="NYG68" s="10"/>
      <c r="NYH68" s="10"/>
      <c r="NYI68" s="10"/>
      <c r="NYJ68" s="10"/>
      <c r="NYK68" s="10"/>
      <c r="NYL68" s="10"/>
      <c r="NYM68" s="10"/>
      <c r="NYN68" s="10"/>
      <c r="NYO68" s="10"/>
      <c r="NYP68" s="10"/>
      <c r="NYQ68" s="10"/>
      <c r="NYR68" s="10"/>
      <c r="NYS68" s="10"/>
      <c r="NYT68" s="10"/>
      <c r="NYU68" s="10"/>
      <c r="NYV68" s="10"/>
      <c r="NYW68" s="10"/>
      <c r="NYX68" s="10"/>
      <c r="NYY68" s="10"/>
      <c r="NYZ68" s="10"/>
      <c r="NZA68" s="10"/>
      <c r="NZB68" s="10"/>
      <c r="NZC68" s="10"/>
      <c r="NZD68" s="10"/>
      <c r="NZE68" s="10"/>
      <c r="NZF68" s="10"/>
      <c r="NZG68" s="10"/>
      <c r="NZH68" s="10"/>
      <c r="NZI68" s="10"/>
      <c r="NZJ68" s="10"/>
      <c r="NZK68" s="10"/>
      <c r="NZL68" s="10"/>
      <c r="NZM68" s="10"/>
      <c r="NZN68" s="10"/>
      <c r="NZO68" s="10"/>
      <c r="NZP68" s="10"/>
      <c r="NZQ68" s="10"/>
      <c r="NZR68" s="10"/>
      <c r="NZS68" s="10"/>
      <c r="NZT68" s="10"/>
      <c r="NZU68" s="10"/>
      <c r="NZV68" s="10"/>
      <c r="NZW68" s="10"/>
      <c r="NZX68" s="10"/>
      <c r="NZY68" s="10"/>
      <c r="NZZ68" s="10"/>
      <c r="OAA68" s="10"/>
      <c r="OAB68" s="10"/>
      <c r="OAC68" s="10"/>
      <c r="OAD68" s="10"/>
      <c r="OAE68" s="10"/>
      <c r="OAF68" s="10"/>
      <c r="OAG68" s="10"/>
      <c r="OAH68" s="10"/>
      <c r="OAI68" s="10"/>
      <c r="OAJ68" s="10"/>
      <c r="OAK68" s="10"/>
      <c r="OAL68" s="10"/>
      <c r="OAM68" s="10"/>
      <c r="OAN68" s="10"/>
      <c r="OAO68" s="10"/>
      <c r="OAP68" s="10"/>
      <c r="OAQ68" s="10"/>
      <c r="OAR68" s="10"/>
      <c r="OAS68" s="10"/>
      <c r="OAT68" s="10"/>
      <c r="OAU68" s="10"/>
      <c r="OAV68" s="10"/>
      <c r="OAW68" s="10"/>
      <c r="OAX68" s="10"/>
      <c r="OAY68" s="10"/>
      <c r="OAZ68" s="10"/>
      <c r="OBA68" s="10"/>
      <c r="OBB68" s="10"/>
      <c r="OBC68" s="10"/>
      <c r="OBD68" s="10"/>
      <c r="OBE68" s="10"/>
      <c r="OBF68" s="10"/>
      <c r="OBG68" s="10"/>
      <c r="OBH68" s="10"/>
      <c r="OBI68" s="10"/>
      <c r="OBJ68" s="10"/>
      <c r="OBK68" s="10"/>
      <c r="OBL68" s="10"/>
      <c r="OBM68" s="10"/>
      <c r="OBN68" s="10"/>
      <c r="OBO68" s="10"/>
      <c r="OBP68" s="10"/>
      <c r="OBQ68" s="10"/>
      <c r="OBR68" s="10"/>
      <c r="OBS68" s="10"/>
      <c r="OBT68" s="10"/>
      <c r="OBU68" s="10"/>
      <c r="OBV68" s="10"/>
      <c r="OBW68" s="10"/>
      <c r="OBX68" s="10"/>
      <c r="OBY68" s="10"/>
      <c r="OBZ68" s="10"/>
      <c r="OCA68" s="10"/>
      <c r="OCB68" s="10"/>
      <c r="OCC68" s="10"/>
      <c r="OCD68" s="10"/>
      <c r="OCE68" s="10"/>
      <c r="OCF68" s="10"/>
      <c r="OCG68" s="10"/>
      <c r="OCH68" s="10"/>
      <c r="OCI68" s="10"/>
      <c r="OCJ68" s="10"/>
      <c r="OCK68" s="10"/>
      <c r="OCL68" s="10"/>
      <c r="OCM68" s="10"/>
      <c r="OCN68" s="10"/>
      <c r="OCO68" s="10"/>
      <c r="OCP68" s="10"/>
      <c r="OCQ68" s="10"/>
      <c r="OCR68" s="10"/>
      <c r="OCS68" s="10"/>
      <c r="OCT68" s="10"/>
      <c r="OCU68" s="10"/>
      <c r="OCV68" s="10"/>
      <c r="OCW68" s="10"/>
      <c r="OCX68" s="10"/>
      <c r="OCY68" s="10"/>
      <c r="OCZ68" s="10"/>
      <c r="ODA68" s="10"/>
      <c r="ODB68" s="10"/>
      <c r="ODC68" s="10"/>
      <c r="ODD68" s="10"/>
      <c r="ODE68" s="10"/>
      <c r="ODF68" s="10"/>
      <c r="ODG68" s="10"/>
      <c r="ODH68" s="10"/>
      <c r="ODI68" s="10"/>
      <c r="ODJ68" s="10"/>
      <c r="ODK68" s="10"/>
      <c r="ODL68" s="10"/>
      <c r="ODM68" s="10"/>
      <c r="ODN68" s="10"/>
      <c r="ODO68" s="10"/>
      <c r="ODP68" s="10"/>
      <c r="ODQ68" s="10"/>
      <c r="ODR68" s="10"/>
      <c r="ODS68" s="10"/>
      <c r="ODT68" s="10"/>
      <c r="ODU68" s="10"/>
      <c r="ODV68" s="10"/>
      <c r="ODW68" s="10"/>
      <c r="ODX68" s="10"/>
      <c r="ODY68" s="10"/>
      <c r="ODZ68" s="10"/>
      <c r="OEA68" s="10"/>
      <c r="OEB68" s="10"/>
      <c r="OEC68" s="10"/>
      <c r="OED68" s="10"/>
      <c r="OEE68" s="10"/>
      <c r="OEF68" s="10"/>
      <c r="OEG68" s="10"/>
      <c r="OEH68" s="10"/>
      <c r="OEI68" s="10"/>
      <c r="OEJ68" s="10"/>
      <c r="OEK68" s="10"/>
      <c r="OEL68" s="10"/>
      <c r="OEM68" s="10"/>
      <c r="OEN68" s="10"/>
      <c r="OEO68" s="10"/>
      <c r="OEP68" s="10"/>
      <c r="OEQ68" s="10"/>
      <c r="OER68" s="10"/>
      <c r="OES68" s="10"/>
      <c r="OET68" s="10"/>
      <c r="OEU68" s="10"/>
      <c r="OEV68" s="10"/>
      <c r="OEW68" s="10"/>
      <c r="OEX68" s="10"/>
      <c r="OEY68" s="10"/>
      <c r="OEZ68" s="10"/>
      <c r="OFA68" s="10"/>
      <c r="OFB68" s="10"/>
      <c r="OFC68" s="10"/>
      <c r="OFD68" s="10"/>
      <c r="OFE68" s="10"/>
      <c r="OFF68" s="10"/>
      <c r="OFG68" s="10"/>
      <c r="OFH68" s="10"/>
      <c r="OFI68" s="10"/>
      <c r="OFJ68" s="10"/>
      <c r="OFK68" s="10"/>
      <c r="OFL68" s="10"/>
      <c r="OFM68" s="10"/>
      <c r="OFN68" s="10"/>
      <c r="OFO68" s="10"/>
      <c r="OFP68" s="10"/>
      <c r="OFQ68" s="10"/>
      <c r="OFR68" s="10"/>
      <c r="OFS68" s="10"/>
      <c r="OFT68" s="10"/>
      <c r="OFU68" s="10"/>
      <c r="OFV68" s="10"/>
      <c r="OFW68" s="10"/>
      <c r="OFX68" s="10"/>
      <c r="OFY68" s="10"/>
      <c r="OFZ68" s="10"/>
      <c r="OGA68" s="10"/>
      <c r="OGB68" s="10"/>
      <c r="OGC68" s="10"/>
      <c r="OGD68" s="10"/>
      <c r="OGE68" s="10"/>
      <c r="OGF68" s="10"/>
      <c r="OGG68" s="10"/>
      <c r="OGH68" s="10"/>
      <c r="OGI68" s="10"/>
      <c r="OGJ68" s="10"/>
      <c r="OGK68" s="10"/>
      <c r="OGL68" s="10"/>
      <c r="OGM68" s="10"/>
      <c r="OGN68" s="10"/>
      <c r="OGO68" s="10"/>
      <c r="OGP68" s="10"/>
      <c r="OGQ68" s="10"/>
      <c r="OGR68" s="10"/>
      <c r="OGS68" s="10"/>
      <c r="OGT68" s="10"/>
      <c r="OGU68" s="10"/>
      <c r="OGV68" s="10"/>
      <c r="OGW68" s="10"/>
      <c r="OGX68" s="10"/>
      <c r="OGY68" s="10"/>
      <c r="OGZ68" s="10"/>
      <c r="OHA68" s="10"/>
      <c r="OHB68" s="10"/>
      <c r="OHC68" s="10"/>
      <c r="OHD68" s="10"/>
      <c r="OHE68" s="10"/>
      <c r="OHF68" s="10"/>
      <c r="OHG68" s="10"/>
      <c r="OHH68" s="10"/>
      <c r="OHI68" s="10"/>
      <c r="OHJ68" s="10"/>
      <c r="OHK68" s="10"/>
      <c r="OHL68" s="10"/>
      <c r="OHM68" s="10"/>
      <c r="OHN68" s="10"/>
      <c r="OHO68" s="10"/>
      <c r="OHP68" s="10"/>
      <c r="OHQ68" s="10"/>
      <c r="OHR68" s="10"/>
      <c r="OHS68" s="10"/>
      <c r="OHT68" s="10"/>
      <c r="OHU68" s="10"/>
      <c r="OHV68" s="10"/>
      <c r="OHW68" s="10"/>
      <c r="OHX68" s="10"/>
      <c r="OHY68" s="10"/>
      <c r="OHZ68" s="10"/>
      <c r="OIA68" s="10"/>
      <c r="OIB68" s="10"/>
      <c r="OIC68" s="10"/>
      <c r="OID68" s="10"/>
      <c r="OIE68" s="10"/>
      <c r="OIF68" s="10"/>
      <c r="OIG68" s="10"/>
      <c r="OIH68" s="10"/>
      <c r="OII68" s="10"/>
      <c r="OIJ68" s="10"/>
      <c r="OIK68" s="10"/>
      <c r="OIL68" s="10"/>
      <c r="OIM68" s="10"/>
      <c r="OIN68" s="10"/>
      <c r="OIO68" s="10"/>
      <c r="OIP68" s="10"/>
      <c r="OIQ68" s="10"/>
      <c r="OIR68" s="10"/>
      <c r="OIS68" s="10"/>
      <c r="OIT68" s="10"/>
      <c r="OIU68" s="10"/>
      <c r="OIV68" s="10"/>
      <c r="OIW68" s="10"/>
      <c r="OIX68" s="10"/>
      <c r="OIY68" s="10"/>
      <c r="OIZ68" s="10"/>
      <c r="OJA68" s="10"/>
      <c r="OJB68" s="10"/>
      <c r="OJC68" s="10"/>
      <c r="OJD68" s="10"/>
      <c r="OJE68" s="10"/>
      <c r="OJF68" s="10"/>
      <c r="OJG68" s="10"/>
      <c r="OJH68" s="10"/>
      <c r="OJI68" s="10"/>
      <c r="OJJ68" s="10"/>
      <c r="OJK68" s="10"/>
      <c r="OJL68" s="10"/>
      <c r="OJM68" s="10"/>
      <c r="OJN68" s="10"/>
      <c r="OJO68" s="10"/>
      <c r="OJP68" s="10"/>
      <c r="OJQ68" s="10"/>
      <c r="OJR68" s="10"/>
      <c r="OJS68" s="10"/>
      <c r="OJT68" s="10"/>
      <c r="OJU68" s="10"/>
      <c r="OJV68" s="10"/>
      <c r="OJW68" s="10"/>
      <c r="OJX68" s="10"/>
      <c r="OJY68" s="10"/>
      <c r="OJZ68" s="10"/>
      <c r="OKA68" s="10"/>
      <c r="OKB68" s="10"/>
      <c r="OKC68" s="10"/>
      <c r="OKD68" s="10"/>
      <c r="OKE68" s="10"/>
      <c r="OKF68" s="10"/>
      <c r="OKG68" s="10"/>
      <c r="OKH68" s="10"/>
      <c r="OKI68" s="10"/>
      <c r="OKJ68" s="10"/>
      <c r="OKK68" s="10"/>
      <c r="OKL68" s="10"/>
      <c r="OKM68" s="10"/>
      <c r="OKN68" s="10"/>
      <c r="OKO68" s="10"/>
      <c r="OKP68" s="10"/>
      <c r="OKQ68" s="10"/>
      <c r="OKR68" s="10"/>
      <c r="OKS68" s="10"/>
      <c r="OKT68" s="10"/>
      <c r="OKU68" s="10"/>
      <c r="OKV68" s="10"/>
      <c r="OKW68" s="10"/>
      <c r="OKX68" s="10"/>
      <c r="OKY68" s="10"/>
      <c r="OKZ68" s="10"/>
      <c r="OLA68" s="10"/>
      <c r="OLB68" s="10"/>
      <c r="OLC68" s="10"/>
      <c r="OLD68" s="10"/>
      <c r="OLE68" s="10"/>
      <c r="OLF68" s="10"/>
      <c r="OLG68" s="10"/>
      <c r="OLH68" s="10"/>
      <c r="OLI68" s="10"/>
      <c r="OLJ68" s="10"/>
      <c r="OLK68" s="10"/>
      <c r="OLL68" s="10"/>
      <c r="OLM68" s="10"/>
      <c r="OLN68" s="10"/>
      <c r="OLO68" s="10"/>
      <c r="OLP68" s="10"/>
      <c r="OLQ68" s="10"/>
      <c r="OLR68" s="10"/>
      <c r="OLS68" s="10"/>
      <c r="OLT68" s="10"/>
      <c r="OLU68" s="10"/>
      <c r="OLV68" s="10"/>
      <c r="OLW68" s="10"/>
      <c r="OLX68" s="10"/>
      <c r="OLY68" s="10"/>
      <c r="OLZ68" s="10"/>
      <c r="OMA68" s="10"/>
      <c r="OMB68" s="10"/>
      <c r="OMC68" s="10"/>
      <c r="OMD68" s="10"/>
      <c r="OME68" s="10"/>
      <c r="OMF68" s="10"/>
      <c r="OMG68" s="10"/>
      <c r="OMH68" s="10"/>
      <c r="OMI68" s="10"/>
      <c r="OMJ68" s="10"/>
      <c r="OMK68" s="10"/>
      <c r="OML68" s="10"/>
      <c r="OMM68" s="10"/>
      <c r="OMN68" s="10"/>
      <c r="OMO68" s="10"/>
      <c r="OMP68" s="10"/>
      <c r="OMQ68" s="10"/>
      <c r="OMR68" s="10"/>
      <c r="OMS68" s="10"/>
      <c r="OMT68" s="10"/>
      <c r="OMU68" s="10"/>
      <c r="OMV68" s="10"/>
      <c r="OMW68" s="10"/>
      <c r="OMX68" s="10"/>
      <c r="OMY68" s="10"/>
      <c r="OMZ68" s="10"/>
      <c r="ONA68" s="10"/>
      <c r="ONB68" s="10"/>
      <c r="ONC68" s="10"/>
      <c r="OND68" s="10"/>
      <c r="ONE68" s="10"/>
      <c r="ONF68" s="10"/>
      <c r="ONG68" s="10"/>
      <c r="ONH68" s="10"/>
      <c r="ONI68" s="10"/>
      <c r="ONJ68" s="10"/>
      <c r="ONK68" s="10"/>
      <c r="ONL68" s="10"/>
      <c r="ONM68" s="10"/>
      <c r="ONN68" s="10"/>
      <c r="ONO68" s="10"/>
      <c r="ONP68" s="10"/>
      <c r="ONQ68" s="10"/>
      <c r="ONR68" s="10"/>
      <c r="ONS68" s="10"/>
      <c r="ONT68" s="10"/>
      <c r="ONU68" s="10"/>
      <c r="ONV68" s="10"/>
      <c r="ONW68" s="10"/>
      <c r="ONX68" s="10"/>
      <c r="ONY68" s="10"/>
      <c r="ONZ68" s="10"/>
      <c r="OOA68" s="10"/>
      <c r="OOB68" s="10"/>
      <c r="OOC68" s="10"/>
      <c r="OOD68" s="10"/>
      <c r="OOE68" s="10"/>
      <c r="OOF68" s="10"/>
      <c r="OOG68" s="10"/>
      <c r="OOH68" s="10"/>
      <c r="OOI68" s="10"/>
      <c r="OOJ68" s="10"/>
      <c r="OOK68" s="10"/>
      <c r="OOL68" s="10"/>
      <c r="OOM68" s="10"/>
      <c r="OON68" s="10"/>
      <c r="OOO68" s="10"/>
      <c r="OOP68" s="10"/>
      <c r="OOQ68" s="10"/>
      <c r="OOR68" s="10"/>
      <c r="OOS68" s="10"/>
      <c r="OOT68" s="10"/>
      <c r="OOU68" s="10"/>
      <c r="OOV68" s="10"/>
      <c r="OOW68" s="10"/>
      <c r="OOX68" s="10"/>
      <c r="OOY68" s="10"/>
      <c r="OOZ68" s="10"/>
      <c r="OPA68" s="10"/>
      <c r="OPB68" s="10"/>
      <c r="OPC68" s="10"/>
      <c r="OPD68" s="10"/>
      <c r="OPE68" s="10"/>
      <c r="OPF68" s="10"/>
      <c r="OPG68" s="10"/>
      <c r="OPH68" s="10"/>
      <c r="OPI68" s="10"/>
      <c r="OPJ68" s="10"/>
      <c r="OPK68" s="10"/>
      <c r="OPL68" s="10"/>
      <c r="OPM68" s="10"/>
      <c r="OPN68" s="10"/>
      <c r="OPO68" s="10"/>
      <c r="OPP68" s="10"/>
      <c r="OPQ68" s="10"/>
      <c r="OPR68" s="10"/>
      <c r="OPS68" s="10"/>
      <c r="OPT68" s="10"/>
      <c r="OPU68" s="10"/>
      <c r="OPV68" s="10"/>
      <c r="OPW68" s="10"/>
      <c r="OPX68" s="10"/>
      <c r="OPY68" s="10"/>
      <c r="OPZ68" s="10"/>
      <c r="OQA68" s="10"/>
      <c r="OQB68" s="10"/>
      <c r="OQC68" s="10"/>
      <c r="OQD68" s="10"/>
      <c r="OQE68" s="10"/>
      <c r="OQF68" s="10"/>
      <c r="OQG68" s="10"/>
      <c r="OQH68" s="10"/>
      <c r="OQI68" s="10"/>
      <c r="OQJ68" s="10"/>
      <c r="OQK68" s="10"/>
      <c r="OQL68" s="10"/>
      <c r="OQM68" s="10"/>
      <c r="OQN68" s="10"/>
      <c r="OQO68" s="10"/>
      <c r="OQP68" s="10"/>
      <c r="OQQ68" s="10"/>
      <c r="OQR68" s="10"/>
      <c r="OQS68" s="10"/>
      <c r="OQT68" s="10"/>
      <c r="OQU68" s="10"/>
      <c r="OQV68" s="10"/>
      <c r="OQW68" s="10"/>
      <c r="OQX68" s="10"/>
      <c r="OQY68" s="10"/>
      <c r="OQZ68" s="10"/>
      <c r="ORA68" s="10"/>
      <c r="ORB68" s="10"/>
      <c r="ORC68" s="10"/>
      <c r="ORD68" s="10"/>
      <c r="ORE68" s="10"/>
      <c r="ORF68" s="10"/>
      <c r="ORG68" s="10"/>
      <c r="ORH68" s="10"/>
      <c r="ORI68" s="10"/>
      <c r="ORJ68" s="10"/>
      <c r="ORK68" s="10"/>
      <c r="ORL68" s="10"/>
      <c r="ORM68" s="10"/>
      <c r="ORN68" s="10"/>
      <c r="ORO68" s="10"/>
      <c r="ORP68" s="10"/>
      <c r="ORQ68" s="10"/>
      <c r="ORR68" s="10"/>
      <c r="ORS68" s="10"/>
      <c r="ORT68" s="10"/>
      <c r="ORU68" s="10"/>
      <c r="ORV68" s="10"/>
      <c r="ORW68" s="10"/>
      <c r="ORX68" s="10"/>
      <c r="ORY68" s="10"/>
      <c r="ORZ68" s="10"/>
      <c r="OSA68" s="10"/>
      <c r="OSB68" s="10"/>
      <c r="OSC68" s="10"/>
      <c r="OSD68" s="10"/>
      <c r="OSE68" s="10"/>
      <c r="OSF68" s="10"/>
      <c r="OSG68" s="10"/>
      <c r="OSH68" s="10"/>
      <c r="OSI68" s="10"/>
      <c r="OSJ68" s="10"/>
      <c r="OSK68" s="10"/>
      <c r="OSL68" s="10"/>
      <c r="OSM68" s="10"/>
      <c r="OSN68" s="10"/>
      <c r="OSO68" s="10"/>
      <c r="OSP68" s="10"/>
      <c r="OSQ68" s="10"/>
      <c r="OSR68" s="10"/>
      <c r="OSS68" s="10"/>
      <c r="OST68" s="10"/>
      <c r="OSU68" s="10"/>
      <c r="OSV68" s="10"/>
      <c r="OSW68" s="10"/>
      <c r="OSX68" s="10"/>
      <c r="OSY68" s="10"/>
      <c r="OSZ68" s="10"/>
      <c r="OTA68" s="10"/>
      <c r="OTB68" s="10"/>
      <c r="OTC68" s="10"/>
      <c r="OTD68" s="10"/>
      <c r="OTE68" s="10"/>
      <c r="OTF68" s="10"/>
      <c r="OTG68" s="10"/>
      <c r="OTH68" s="10"/>
      <c r="OTI68" s="10"/>
      <c r="OTJ68" s="10"/>
      <c r="OTK68" s="10"/>
      <c r="OTL68" s="10"/>
      <c r="OTM68" s="10"/>
      <c r="OTN68" s="10"/>
      <c r="OTO68" s="10"/>
      <c r="OTP68" s="10"/>
      <c r="OTQ68" s="10"/>
      <c r="OTR68" s="10"/>
      <c r="OTS68" s="10"/>
      <c r="OTT68" s="10"/>
      <c r="OTU68" s="10"/>
      <c r="OTV68" s="10"/>
      <c r="OTW68" s="10"/>
      <c r="OTX68" s="10"/>
      <c r="OTY68" s="10"/>
      <c r="OTZ68" s="10"/>
      <c r="OUA68" s="10"/>
      <c r="OUB68" s="10"/>
      <c r="OUC68" s="10"/>
      <c r="OUD68" s="10"/>
      <c r="OUE68" s="10"/>
      <c r="OUF68" s="10"/>
      <c r="OUG68" s="10"/>
      <c r="OUH68" s="10"/>
      <c r="OUI68" s="10"/>
      <c r="OUJ68" s="10"/>
      <c r="OUK68" s="10"/>
      <c r="OUL68" s="10"/>
      <c r="OUM68" s="10"/>
      <c r="OUN68" s="10"/>
      <c r="OUO68" s="10"/>
      <c r="OUP68" s="10"/>
      <c r="OUQ68" s="10"/>
      <c r="OUR68" s="10"/>
      <c r="OUS68" s="10"/>
      <c r="OUT68" s="10"/>
      <c r="OUU68" s="10"/>
      <c r="OUV68" s="10"/>
      <c r="OUW68" s="10"/>
      <c r="OUX68" s="10"/>
      <c r="OUY68" s="10"/>
      <c r="OUZ68" s="10"/>
      <c r="OVA68" s="10"/>
      <c r="OVB68" s="10"/>
      <c r="OVC68" s="10"/>
      <c r="OVD68" s="10"/>
      <c r="OVE68" s="10"/>
      <c r="OVF68" s="10"/>
      <c r="OVG68" s="10"/>
      <c r="OVH68" s="10"/>
      <c r="OVI68" s="10"/>
      <c r="OVJ68" s="10"/>
      <c r="OVK68" s="10"/>
      <c r="OVL68" s="10"/>
      <c r="OVM68" s="10"/>
      <c r="OVN68" s="10"/>
      <c r="OVO68" s="10"/>
      <c r="OVP68" s="10"/>
      <c r="OVQ68" s="10"/>
      <c r="OVR68" s="10"/>
      <c r="OVS68" s="10"/>
      <c r="OVT68" s="10"/>
      <c r="OVU68" s="10"/>
      <c r="OVV68" s="10"/>
      <c r="OVW68" s="10"/>
      <c r="OVX68" s="10"/>
      <c r="OVY68" s="10"/>
      <c r="OVZ68" s="10"/>
      <c r="OWA68" s="10"/>
      <c r="OWB68" s="10"/>
      <c r="OWC68" s="10"/>
      <c r="OWD68" s="10"/>
      <c r="OWE68" s="10"/>
      <c r="OWF68" s="10"/>
      <c r="OWG68" s="10"/>
      <c r="OWH68" s="10"/>
      <c r="OWI68" s="10"/>
      <c r="OWJ68" s="10"/>
      <c r="OWK68" s="10"/>
      <c r="OWL68" s="10"/>
      <c r="OWM68" s="10"/>
      <c r="OWN68" s="10"/>
      <c r="OWO68" s="10"/>
      <c r="OWP68" s="10"/>
      <c r="OWQ68" s="10"/>
      <c r="OWR68" s="10"/>
      <c r="OWS68" s="10"/>
      <c r="OWT68" s="10"/>
      <c r="OWU68" s="10"/>
      <c r="OWV68" s="10"/>
      <c r="OWW68" s="10"/>
      <c r="OWX68" s="10"/>
      <c r="OWY68" s="10"/>
      <c r="OWZ68" s="10"/>
      <c r="OXA68" s="10"/>
      <c r="OXB68" s="10"/>
      <c r="OXC68" s="10"/>
      <c r="OXD68" s="10"/>
      <c r="OXE68" s="10"/>
      <c r="OXF68" s="10"/>
      <c r="OXG68" s="10"/>
      <c r="OXH68" s="10"/>
      <c r="OXI68" s="10"/>
      <c r="OXJ68" s="10"/>
      <c r="OXK68" s="10"/>
      <c r="OXL68" s="10"/>
      <c r="OXM68" s="10"/>
      <c r="OXN68" s="10"/>
      <c r="OXO68" s="10"/>
      <c r="OXP68" s="10"/>
      <c r="OXQ68" s="10"/>
      <c r="OXR68" s="10"/>
      <c r="OXS68" s="10"/>
      <c r="OXT68" s="10"/>
      <c r="OXU68" s="10"/>
      <c r="OXV68" s="10"/>
      <c r="OXW68" s="10"/>
      <c r="OXX68" s="10"/>
      <c r="OXY68" s="10"/>
      <c r="OXZ68" s="10"/>
      <c r="OYA68" s="10"/>
      <c r="OYB68" s="10"/>
      <c r="OYC68" s="10"/>
      <c r="OYD68" s="10"/>
      <c r="OYE68" s="10"/>
      <c r="OYF68" s="10"/>
      <c r="OYG68" s="10"/>
      <c r="OYH68" s="10"/>
      <c r="OYI68" s="10"/>
      <c r="OYJ68" s="10"/>
      <c r="OYK68" s="10"/>
      <c r="OYL68" s="10"/>
      <c r="OYM68" s="10"/>
      <c r="OYN68" s="10"/>
      <c r="OYO68" s="10"/>
      <c r="OYP68" s="10"/>
      <c r="OYQ68" s="10"/>
      <c r="OYR68" s="10"/>
      <c r="OYS68" s="10"/>
      <c r="OYT68" s="10"/>
      <c r="OYU68" s="10"/>
      <c r="OYV68" s="10"/>
      <c r="OYW68" s="10"/>
      <c r="OYX68" s="10"/>
      <c r="OYY68" s="10"/>
      <c r="OYZ68" s="10"/>
      <c r="OZA68" s="10"/>
      <c r="OZB68" s="10"/>
      <c r="OZC68" s="10"/>
      <c r="OZD68" s="10"/>
      <c r="OZE68" s="10"/>
      <c r="OZF68" s="10"/>
      <c r="OZG68" s="10"/>
      <c r="OZH68" s="10"/>
      <c r="OZI68" s="10"/>
      <c r="OZJ68" s="10"/>
      <c r="OZK68" s="10"/>
      <c r="OZL68" s="10"/>
      <c r="OZM68" s="10"/>
      <c r="OZN68" s="10"/>
      <c r="OZO68" s="10"/>
      <c r="OZP68" s="10"/>
      <c r="OZQ68" s="10"/>
      <c r="OZR68" s="10"/>
      <c r="OZS68" s="10"/>
      <c r="OZT68" s="10"/>
      <c r="OZU68" s="10"/>
      <c r="OZV68" s="10"/>
      <c r="OZW68" s="10"/>
      <c r="OZX68" s="10"/>
      <c r="OZY68" s="10"/>
      <c r="OZZ68" s="10"/>
      <c r="PAA68" s="10"/>
      <c r="PAB68" s="10"/>
      <c r="PAC68" s="10"/>
      <c r="PAD68" s="10"/>
      <c r="PAE68" s="10"/>
      <c r="PAF68" s="10"/>
      <c r="PAG68" s="10"/>
      <c r="PAH68" s="10"/>
      <c r="PAI68" s="10"/>
      <c r="PAJ68" s="10"/>
      <c r="PAK68" s="10"/>
      <c r="PAL68" s="10"/>
      <c r="PAM68" s="10"/>
      <c r="PAN68" s="10"/>
      <c r="PAO68" s="10"/>
      <c r="PAP68" s="10"/>
      <c r="PAQ68" s="10"/>
      <c r="PAR68" s="10"/>
      <c r="PAS68" s="10"/>
      <c r="PAT68" s="10"/>
      <c r="PAU68" s="10"/>
      <c r="PAV68" s="10"/>
      <c r="PAW68" s="10"/>
      <c r="PAX68" s="10"/>
      <c r="PAY68" s="10"/>
      <c r="PAZ68" s="10"/>
      <c r="PBA68" s="10"/>
      <c r="PBB68" s="10"/>
      <c r="PBC68" s="10"/>
      <c r="PBD68" s="10"/>
      <c r="PBE68" s="10"/>
      <c r="PBF68" s="10"/>
      <c r="PBG68" s="10"/>
      <c r="PBH68" s="10"/>
      <c r="PBI68" s="10"/>
      <c r="PBJ68" s="10"/>
      <c r="PBK68" s="10"/>
      <c r="PBL68" s="10"/>
      <c r="PBM68" s="10"/>
      <c r="PBN68" s="10"/>
      <c r="PBO68" s="10"/>
      <c r="PBP68" s="10"/>
      <c r="PBQ68" s="10"/>
      <c r="PBR68" s="10"/>
      <c r="PBS68" s="10"/>
      <c r="PBT68" s="10"/>
      <c r="PBU68" s="10"/>
      <c r="PBV68" s="10"/>
      <c r="PBW68" s="10"/>
      <c r="PBX68" s="10"/>
      <c r="PBY68" s="10"/>
      <c r="PBZ68" s="10"/>
      <c r="PCA68" s="10"/>
      <c r="PCB68" s="10"/>
      <c r="PCC68" s="10"/>
      <c r="PCD68" s="10"/>
      <c r="PCE68" s="10"/>
      <c r="PCF68" s="10"/>
      <c r="PCG68" s="10"/>
      <c r="PCH68" s="10"/>
      <c r="PCI68" s="10"/>
      <c r="PCJ68" s="10"/>
      <c r="PCK68" s="10"/>
      <c r="PCL68" s="10"/>
      <c r="PCM68" s="10"/>
      <c r="PCN68" s="10"/>
      <c r="PCO68" s="10"/>
      <c r="PCP68" s="10"/>
      <c r="PCQ68" s="10"/>
      <c r="PCR68" s="10"/>
      <c r="PCS68" s="10"/>
      <c r="PCT68" s="10"/>
      <c r="PCU68" s="10"/>
      <c r="PCV68" s="10"/>
      <c r="PCW68" s="10"/>
      <c r="PCX68" s="10"/>
      <c r="PCY68" s="10"/>
      <c r="PCZ68" s="10"/>
      <c r="PDA68" s="10"/>
      <c r="PDB68" s="10"/>
      <c r="PDC68" s="10"/>
      <c r="PDD68" s="10"/>
      <c r="PDE68" s="10"/>
      <c r="PDF68" s="10"/>
      <c r="PDG68" s="10"/>
      <c r="PDH68" s="10"/>
      <c r="PDI68" s="10"/>
      <c r="PDJ68" s="10"/>
      <c r="PDK68" s="10"/>
      <c r="PDL68" s="10"/>
      <c r="PDM68" s="10"/>
      <c r="PDN68" s="10"/>
      <c r="PDO68" s="10"/>
      <c r="PDP68" s="10"/>
      <c r="PDQ68" s="10"/>
      <c r="PDR68" s="10"/>
      <c r="PDS68" s="10"/>
      <c r="PDT68" s="10"/>
      <c r="PDU68" s="10"/>
      <c r="PDV68" s="10"/>
      <c r="PDW68" s="10"/>
      <c r="PDX68" s="10"/>
      <c r="PDY68" s="10"/>
      <c r="PDZ68" s="10"/>
      <c r="PEA68" s="10"/>
      <c r="PEB68" s="10"/>
      <c r="PEC68" s="10"/>
      <c r="PED68" s="10"/>
      <c r="PEE68" s="10"/>
      <c r="PEF68" s="10"/>
      <c r="PEG68" s="10"/>
      <c r="PEH68" s="10"/>
      <c r="PEI68" s="10"/>
      <c r="PEJ68" s="10"/>
      <c r="PEK68" s="10"/>
      <c r="PEL68" s="10"/>
      <c r="PEM68" s="10"/>
      <c r="PEN68" s="10"/>
      <c r="PEO68" s="10"/>
      <c r="PEP68" s="10"/>
      <c r="PEQ68" s="10"/>
      <c r="PER68" s="10"/>
      <c r="PES68" s="10"/>
      <c r="PET68" s="10"/>
      <c r="PEU68" s="10"/>
      <c r="PEV68" s="10"/>
      <c r="PEW68" s="10"/>
      <c r="PEX68" s="10"/>
      <c r="PEY68" s="10"/>
      <c r="PEZ68" s="10"/>
      <c r="PFA68" s="10"/>
      <c r="PFB68" s="10"/>
      <c r="PFC68" s="10"/>
      <c r="PFD68" s="10"/>
      <c r="PFE68" s="10"/>
      <c r="PFF68" s="10"/>
      <c r="PFG68" s="10"/>
      <c r="PFH68" s="10"/>
      <c r="PFI68" s="10"/>
      <c r="PFJ68" s="10"/>
      <c r="PFK68" s="10"/>
      <c r="PFL68" s="10"/>
      <c r="PFM68" s="10"/>
      <c r="PFN68" s="10"/>
      <c r="PFO68" s="10"/>
      <c r="PFP68" s="10"/>
      <c r="PFQ68" s="10"/>
      <c r="PFR68" s="10"/>
      <c r="PFS68" s="10"/>
      <c r="PFT68" s="10"/>
      <c r="PFU68" s="10"/>
      <c r="PFV68" s="10"/>
      <c r="PFW68" s="10"/>
      <c r="PFX68" s="10"/>
      <c r="PFY68" s="10"/>
      <c r="PFZ68" s="10"/>
      <c r="PGA68" s="10"/>
      <c r="PGB68" s="10"/>
      <c r="PGC68" s="10"/>
      <c r="PGD68" s="10"/>
      <c r="PGE68" s="10"/>
      <c r="PGF68" s="10"/>
      <c r="PGG68" s="10"/>
      <c r="PGH68" s="10"/>
      <c r="PGI68" s="10"/>
      <c r="PGJ68" s="10"/>
      <c r="PGK68" s="10"/>
      <c r="PGL68" s="10"/>
      <c r="PGM68" s="10"/>
      <c r="PGN68" s="10"/>
      <c r="PGO68" s="10"/>
      <c r="PGP68" s="10"/>
      <c r="PGQ68" s="10"/>
      <c r="PGR68" s="10"/>
      <c r="PGS68" s="10"/>
      <c r="PGT68" s="10"/>
      <c r="PGU68" s="10"/>
      <c r="PGV68" s="10"/>
      <c r="PGW68" s="10"/>
      <c r="PGX68" s="10"/>
      <c r="PGY68" s="10"/>
      <c r="PGZ68" s="10"/>
      <c r="PHA68" s="10"/>
      <c r="PHB68" s="10"/>
      <c r="PHC68" s="10"/>
      <c r="PHD68" s="10"/>
      <c r="PHE68" s="10"/>
      <c r="PHF68" s="10"/>
      <c r="PHG68" s="10"/>
      <c r="PHH68" s="10"/>
      <c r="PHI68" s="10"/>
      <c r="PHJ68" s="10"/>
      <c r="PHK68" s="10"/>
      <c r="PHL68" s="10"/>
      <c r="PHM68" s="10"/>
      <c r="PHN68" s="10"/>
      <c r="PHO68" s="10"/>
      <c r="PHP68" s="10"/>
      <c r="PHQ68" s="10"/>
      <c r="PHR68" s="10"/>
      <c r="PHS68" s="10"/>
      <c r="PHT68" s="10"/>
      <c r="PHU68" s="10"/>
      <c r="PHV68" s="10"/>
      <c r="PHW68" s="10"/>
      <c r="PHX68" s="10"/>
      <c r="PHY68" s="10"/>
      <c r="PHZ68" s="10"/>
      <c r="PIA68" s="10"/>
      <c r="PIB68" s="10"/>
      <c r="PIC68" s="10"/>
      <c r="PID68" s="10"/>
      <c r="PIE68" s="10"/>
      <c r="PIF68" s="10"/>
      <c r="PIG68" s="10"/>
      <c r="PIH68" s="10"/>
      <c r="PII68" s="10"/>
      <c r="PIJ68" s="10"/>
      <c r="PIK68" s="10"/>
      <c r="PIL68" s="10"/>
      <c r="PIM68" s="10"/>
      <c r="PIN68" s="10"/>
      <c r="PIO68" s="10"/>
      <c r="PIP68" s="10"/>
      <c r="PIQ68" s="10"/>
      <c r="PIR68" s="10"/>
      <c r="PIS68" s="10"/>
      <c r="PIT68" s="10"/>
      <c r="PIU68" s="10"/>
      <c r="PIV68" s="10"/>
      <c r="PIW68" s="10"/>
      <c r="PIX68" s="10"/>
      <c r="PIY68" s="10"/>
      <c r="PIZ68" s="10"/>
      <c r="PJA68" s="10"/>
      <c r="PJB68" s="10"/>
      <c r="PJC68" s="10"/>
      <c r="PJD68" s="10"/>
      <c r="PJE68" s="10"/>
      <c r="PJF68" s="10"/>
      <c r="PJG68" s="10"/>
      <c r="PJH68" s="10"/>
      <c r="PJI68" s="10"/>
      <c r="PJJ68" s="10"/>
      <c r="PJK68" s="10"/>
      <c r="PJL68" s="10"/>
      <c r="PJM68" s="10"/>
      <c r="PJN68" s="10"/>
      <c r="PJO68" s="10"/>
      <c r="PJP68" s="10"/>
      <c r="PJQ68" s="10"/>
      <c r="PJR68" s="10"/>
      <c r="PJS68" s="10"/>
      <c r="PJT68" s="10"/>
      <c r="PJU68" s="10"/>
      <c r="PJV68" s="10"/>
      <c r="PJW68" s="10"/>
      <c r="PJX68" s="10"/>
      <c r="PJY68" s="10"/>
      <c r="PJZ68" s="10"/>
      <c r="PKA68" s="10"/>
      <c r="PKB68" s="10"/>
      <c r="PKC68" s="10"/>
      <c r="PKD68" s="10"/>
      <c r="PKE68" s="10"/>
      <c r="PKF68" s="10"/>
      <c r="PKG68" s="10"/>
      <c r="PKH68" s="10"/>
      <c r="PKI68" s="10"/>
      <c r="PKJ68" s="10"/>
      <c r="PKK68" s="10"/>
      <c r="PKL68" s="10"/>
      <c r="PKM68" s="10"/>
      <c r="PKN68" s="10"/>
      <c r="PKO68" s="10"/>
      <c r="PKP68" s="10"/>
      <c r="PKQ68" s="10"/>
      <c r="PKR68" s="10"/>
      <c r="PKS68" s="10"/>
      <c r="PKT68" s="10"/>
      <c r="PKU68" s="10"/>
      <c r="PKV68" s="10"/>
      <c r="PKW68" s="10"/>
      <c r="PKX68" s="10"/>
      <c r="PKY68" s="10"/>
      <c r="PKZ68" s="10"/>
      <c r="PLA68" s="10"/>
      <c r="PLB68" s="10"/>
      <c r="PLC68" s="10"/>
      <c r="PLD68" s="10"/>
      <c r="PLE68" s="10"/>
      <c r="PLF68" s="10"/>
      <c r="PLG68" s="10"/>
      <c r="PLH68" s="10"/>
      <c r="PLI68" s="10"/>
      <c r="PLJ68" s="10"/>
      <c r="PLK68" s="10"/>
      <c r="PLL68" s="10"/>
      <c r="PLM68" s="10"/>
      <c r="PLN68" s="10"/>
      <c r="PLO68" s="10"/>
      <c r="PLP68" s="10"/>
      <c r="PLQ68" s="10"/>
      <c r="PLR68" s="10"/>
      <c r="PLS68" s="10"/>
      <c r="PLT68" s="10"/>
      <c r="PLU68" s="10"/>
      <c r="PLV68" s="10"/>
      <c r="PLW68" s="10"/>
      <c r="PLX68" s="10"/>
      <c r="PLY68" s="10"/>
      <c r="PLZ68" s="10"/>
      <c r="PMA68" s="10"/>
      <c r="PMB68" s="10"/>
      <c r="PMC68" s="10"/>
      <c r="PMD68" s="10"/>
      <c r="PME68" s="10"/>
      <c r="PMF68" s="10"/>
      <c r="PMG68" s="10"/>
      <c r="PMH68" s="10"/>
      <c r="PMI68" s="10"/>
      <c r="PMJ68" s="10"/>
      <c r="PMK68" s="10"/>
      <c r="PML68" s="10"/>
      <c r="PMM68" s="10"/>
      <c r="PMN68" s="10"/>
      <c r="PMO68" s="10"/>
      <c r="PMP68" s="10"/>
      <c r="PMQ68" s="10"/>
      <c r="PMR68" s="10"/>
      <c r="PMS68" s="10"/>
      <c r="PMT68" s="10"/>
      <c r="PMU68" s="10"/>
      <c r="PMV68" s="10"/>
      <c r="PMW68" s="10"/>
      <c r="PMX68" s="10"/>
      <c r="PMY68" s="10"/>
      <c r="PMZ68" s="10"/>
      <c r="PNA68" s="10"/>
      <c r="PNB68" s="10"/>
      <c r="PNC68" s="10"/>
      <c r="PND68" s="10"/>
      <c r="PNE68" s="10"/>
      <c r="PNF68" s="10"/>
      <c r="PNG68" s="10"/>
      <c r="PNH68" s="10"/>
      <c r="PNI68" s="10"/>
      <c r="PNJ68" s="10"/>
      <c r="PNK68" s="10"/>
      <c r="PNL68" s="10"/>
      <c r="PNM68" s="10"/>
      <c r="PNN68" s="10"/>
      <c r="PNO68" s="10"/>
      <c r="PNP68" s="10"/>
      <c r="PNQ68" s="10"/>
      <c r="PNR68" s="10"/>
      <c r="PNS68" s="10"/>
      <c r="PNT68" s="10"/>
      <c r="PNU68" s="10"/>
      <c r="PNV68" s="10"/>
      <c r="PNW68" s="10"/>
      <c r="PNX68" s="10"/>
      <c r="PNY68" s="10"/>
      <c r="PNZ68" s="10"/>
      <c r="POA68" s="10"/>
      <c r="POB68" s="10"/>
      <c r="POC68" s="10"/>
      <c r="POD68" s="10"/>
      <c r="POE68" s="10"/>
      <c r="POF68" s="10"/>
      <c r="POG68" s="10"/>
      <c r="POH68" s="10"/>
      <c r="POI68" s="10"/>
      <c r="POJ68" s="10"/>
      <c r="POK68" s="10"/>
      <c r="POL68" s="10"/>
      <c r="POM68" s="10"/>
      <c r="PON68" s="10"/>
      <c r="POO68" s="10"/>
      <c r="POP68" s="10"/>
      <c r="POQ68" s="10"/>
      <c r="POR68" s="10"/>
      <c r="POS68" s="10"/>
      <c r="POT68" s="10"/>
      <c r="POU68" s="10"/>
      <c r="POV68" s="10"/>
      <c r="POW68" s="10"/>
      <c r="POX68" s="10"/>
      <c r="POY68" s="10"/>
      <c r="POZ68" s="10"/>
      <c r="PPA68" s="10"/>
      <c r="PPB68" s="10"/>
      <c r="PPC68" s="10"/>
      <c r="PPD68" s="10"/>
      <c r="PPE68" s="10"/>
      <c r="PPF68" s="10"/>
      <c r="PPG68" s="10"/>
      <c r="PPH68" s="10"/>
      <c r="PPI68" s="10"/>
      <c r="PPJ68" s="10"/>
      <c r="PPK68" s="10"/>
      <c r="PPL68" s="10"/>
      <c r="PPM68" s="10"/>
      <c r="PPN68" s="10"/>
      <c r="PPO68" s="10"/>
      <c r="PPP68" s="10"/>
      <c r="PPQ68" s="10"/>
      <c r="PPR68" s="10"/>
      <c r="PPS68" s="10"/>
      <c r="PPT68" s="10"/>
      <c r="PPU68" s="10"/>
      <c r="PPV68" s="10"/>
      <c r="PPW68" s="10"/>
      <c r="PPX68" s="10"/>
      <c r="PPY68" s="10"/>
      <c r="PPZ68" s="10"/>
      <c r="PQA68" s="10"/>
      <c r="PQB68" s="10"/>
      <c r="PQC68" s="10"/>
      <c r="PQD68" s="10"/>
      <c r="PQE68" s="10"/>
      <c r="PQF68" s="10"/>
      <c r="PQG68" s="10"/>
      <c r="PQH68" s="10"/>
      <c r="PQI68" s="10"/>
      <c r="PQJ68" s="10"/>
      <c r="PQK68" s="10"/>
      <c r="PQL68" s="10"/>
      <c r="PQM68" s="10"/>
      <c r="PQN68" s="10"/>
      <c r="PQO68" s="10"/>
      <c r="PQP68" s="10"/>
      <c r="PQQ68" s="10"/>
      <c r="PQR68" s="10"/>
      <c r="PQS68" s="10"/>
      <c r="PQT68" s="10"/>
      <c r="PQU68" s="10"/>
      <c r="PQV68" s="10"/>
      <c r="PQW68" s="10"/>
      <c r="PQX68" s="10"/>
      <c r="PQY68" s="10"/>
      <c r="PQZ68" s="10"/>
      <c r="PRA68" s="10"/>
      <c r="PRB68" s="10"/>
      <c r="PRC68" s="10"/>
      <c r="PRD68" s="10"/>
      <c r="PRE68" s="10"/>
      <c r="PRF68" s="10"/>
      <c r="PRG68" s="10"/>
      <c r="PRH68" s="10"/>
      <c r="PRI68" s="10"/>
      <c r="PRJ68" s="10"/>
      <c r="PRK68" s="10"/>
      <c r="PRL68" s="10"/>
      <c r="PRM68" s="10"/>
      <c r="PRN68" s="10"/>
      <c r="PRO68" s="10"/>
      <c r="PRP68" s="10"/>
      <c r="PRQ68" s="10"/>
      <c r="PRR68" s="10"/>
      <c r="PRS68" s="10"/>
      <c r="PRT68" s="10"/>
      <c r="PRU68" s="10"/>
      <c r="PRV68" s="10"/>
      <c r="PRW68" s="10"/>
      <c r="PRX68" s="10"/>
      <c r="PRY68" s="10"/>
      <c r="PRZ68" s="10"/>
      <c r="PSA68" s="10"/>
      <c r="PSB68" s="10"/>
      <c r="PSC68" s="10"/>
      <c r="PSD68" s="10"/>
      <c r="PSE68" s="10"/>
      <c r="PSF68" s="10"/>
      <c r="PSG68" s="10"/>
      <c r="PSH68" s="10"/>
      <c r="PSI68" s="10"/>
      <c r="PSJ68" s="10"/>
      <c r="PSK68" s="10"/>
      <c r="PSL68" s="10"/>
      <c r="PSM68" s="10"/>
      <c r="PSN68" s="10"/>
      <c r="PSO68" s="10"/>
      <c r="PSP68" s="10"/>
      <c r="PSQ68" s="10"/>
      <c r="PSR68" s="10"/>
      <c r="PSS68" s="10"/>
      <c r="PST68" s="10"/>
      <c r="PSU68" s="10"/>
      <c r="PSV68" s="10"/>
      <c r="PSW68" s="10"/>
      <c r="PSX68" s="10"/>
      <c r="PSY68" s="10"/>
      <c r="PSZ68" s="10"/>
      <c r="PTA68" s="10"/>
      <c r="PTB68" s="10"/>
      <c r="PTC68" s="10"/>
      <c r="PTD68" s="10"/>
      <c r="PTE68" s="10"/>
      <c r="PTF68" s="10"/>
      <c r="PTG68" s="10"/>
      <c r="PTH68" s="10"/>
      <c r="PTI68" s="10"/>
      <c r="PTJ68" s="10"/>
      <c r="PTK68" s="10"/>
      <c r="PTL68" s="10"/>
      <c r="PTM68" s="10"/>
      <c r="PTN68" s="10"/>
      <c r="PTO68" s="10"/>
      <c r="PTP68" s="10"/>
      <c r="PTQ68" s="10"/>
      <c r="PTR68" s="10"/>
      <c r="PTS68" s="10"/>
      <c r="PTT68" s="10"/>
      <c r="PTU68" s="10"/>
      <c r="PTV68" s="10"/>
      <c r="PTW68" s="10"/>
      <c r="PTX68" s="10"/>
      <c r="PTY68" s="10"/>
      <c r="PTZ68" s="10"/>
      <c r="PUA68" s="10"/>
      <c r="PUB68" s="10"/>
      <c r="PUC68" s="10"/>
      <c r="PUD68" s="10"/>
      <c r="PUE68" s="10"/>
      <c r="PUF68" s="10"/>
      <c r="PUG68" s="10"/>
      <c r="PUH68" s="10"/>
      <c r="PUI68" s="10"/>
      <c r="PUJ68" s="10"/>
      <c r="PUK68" s="10"/>
      <c r="PUL68" s="10"/>
      <c r="PUM68" s="10"/>
      <c r="PUN68" s="10"/>
      <c r="PUO68" s="10"/>
      <c r="PUP68" s="10"/>
      <c r="PUQ68" s="10"/>
      <c r="PUR68" s="10"/>
      <c r="PUS68" s="10"/>
      <c r="PUT68" s="10"/>
      <c r="PUU68" s="10"/>
      <c r="PUV68" s="10"/>
      <c r="PUW68" s="10"/>
      <c r="PUX68" s="10"/>
      <c r="PUY68" s="10"/>
      <c r="PUZ68" s="10"/>
      <c r="PVA68" s="10"/>
      <c r="PVB68" s="10"/>
      <c r="PVC68" s="10"/>
      <c r="PVD68" s="10"/>
      <c r="PVE68" s="10"/>
      <c r="PVF68" s="10"/>
      <c r="PVG68" s="10"/>
      <c r="PVH68" s="10"/>
      <c r="PVI68" s="10"/>
      <c r="PVJ68" s="10"/>
      <c r="PVK68" s="10"/>
      <c r="PVL68" s="10"/>
      <c r="PVM68" s="10"/>
      <c r="PVN68" s="10"/>
      <c r="PVO68" s="10"/>
      <c r="PVP68" s="10"/>
      <c r="PVQ68" s="10"/>
      <c r="PVR68" s="10"/>
      <c r="PVS68" s="10"/>
      <c r="PVT68" s="10"/>
      <c r="PVU68" s="10"/>
      <c r="PVV68" s="10"/>
      <c r="PVW68" s="10"/>
      <c r="PVX68" s="10"/>
      <c r="PVY68" s="10"/>
      <c r="PVZ68" s="10"/>
      <c r="PWA68" s="10"/>
      <c r="PWB68" s="10"/>
      <c r="PWC68" s="10"/>
      <c r="PWD68" s="10"/>
      <c r="PWE68" s="10"/>
      <c r="PWF68" s="10"/>
      <c r="PWG68" s="10"/>
      <c r="PWH68" s="10"/>
      <c r="PWI68" s="10"/>
      <c r="PWJ68" s="10"/>
      <c r="PWK68" s="10"/>
      <c r="PWL68" s="10"/>
      <c r="PWM68" s="10"/>
      <c r="PWN68" s="10"/>
      <c r="PWO68" s="10"/>
      <c r="PWP68" s="10"/>
      <c r="PWQ68" s="10"/>
      <c r="PWR68" s="10"/>
      <c r="PWS68" s="10"/>
      <c r="PWT68" s="10"/>
      <c r="PWU68" s="10"/>
      <c r="PWV68" s="10"/>
      <c r="PWW68" s="10"/>
      <c r="PWX68" s="10"/>
      <c r="PWY68" s="10"/>
      <c r="PWZ68" s="10"/>
      <c r="PXA68" s="10"/>
      <c r="PXB68" s="10"/>
      <c r="PXC68" s="10"/>
      <c r="PXD68" s="10"/>
      <c r="PXE68" s="10"/>
      <c r="PXF68" s="10"/>
      <c r="PXG68" s="10"/>
      <c r="PXH68" s="10"/>
      <c r="PXI68" s="10"/>
      <c r="PXJ68" s="10"/>
      <c r="PXK68" s="10"/>
      <c r="PXL68" s="10"/>
      <c r="PXM68" s="10"/>
      <c r="PXN68" s="10"/>
      <c r="PXO68" s="10"/>
      <c r="PXP68" s="10"/>
      <c r="PXQ68" s="10"/>
      <c r="PXR68" s="10"/>
      <c r="PXS68" s="10"/>
      <c r="PXT68" s="10"/>
      <c r="PXU68" s="10"/>
      <c r="PXV68" s="10"/>
      <c r="PXW68" s="10"/>
      <c r="PXX68" s="10"/>
      <c r="PXY68" s="10"/>
      <c r="PXZ68" s="10"/>
      <c r="PYA68" s="10"/>
      <c r="PYB68" s="10"/>
      <c r="PYC68" s="10"/>
      <c r="PYD68" s="10"/>
      <c r="PYE68" s="10"/>
      <c r="PYF68" s="10"/>
      <c r="PYG68" s="10"/>
      <c r="PYH68" s="10"/>
      <c r="PYI68" s="10"/>
      <c r="PYJ68" s="10"/>
      <c r="PYK68" s="10"/>
      <c r="PYL68" s="10"/>
      <c r="PYM68" s="10"/>
      <c r="PYN68" s="10"/>
      <c r="PYO68" s="10"/>
      <c r="PYP68" s="10"/>
      <c r="PYQ68" s="10"/>
      <c r="PYR68" s="10"/>
      <c r="PYS68" s="10"/>
      <c r="PYT68" s="10"/>
      <c r="PYU68" s="10"/>
      <c r="PYV68" s="10"/>
      <c r="PYW68" s="10"/>
      <c r="PYX68" s="10"/>
      <c r="PYY68" s="10"/>
      <c r="PYZ68" s="10"/>
      <c r="PZA68" s="10"/>
      <c r="PZB68" s="10"/>
      <c r="PZC68" s="10"/>
      <c r="PZD68" s="10"/>
      <c r="PZE68" s="10"/>
      <c r="PZF68" s="10"/>
      <c r="PZG68" s="10"/>
      <c r="PZH68" s="10"/>
      <c r="PZI68" s="10"/>
      <c r="PZJ68" s="10"/>
      <c r="PZK68" s="10"/>
      <c r="PZL68" s="10"/>
      <c r="PZM68" s="10"/>
      <c r="PZN68" s="10"/>
      <c r="PZO68" s="10"/>
      <c r="PZP68" s="10"/>
      <c r="PZQ68" s="10"/>
      <c r="PZR68" s="10"/>
      <c r="PZS68" s="10"/>
      <c r="PZT68" s="10"/>
      <c r="PZU68" s="10"/>
      <c r="PZV68" s="10"/>
      <c r="PZW68" s="10"/>
      <c r="PZX68" s="10"/>
      <c r="PZY68" s="10"/>
      <c r="PZZ68" s="10"/>
      <c r="QAA68" s="10"/>
      <c r="QAB68" s="10"/>
      <c r="QAC68" s="10"/>
      <c r="QAD68" s="10"/>
      <c r="QAE68" s="10"/>
      <c r="QAF68" s="10"/>
      <c r="QAG68" s="10"/>
      <c r="QAH68" s="10"/>
      <c r="QAI68" s="10"/>
      <c r="QAJ68" s="10"/>
      <c r="QAK68" s="10"/>
      <c r="QAL68" s="10"/>
      <c r="QAM68" s="10"/>
      <c r="QAN68" s="10"/>
      <c r="QAO68" s="10"/>
      <c r="QAP68" s="10"/>
      <c r="QAQ68" s="10"/>
      <c r="QAR68" s="10"/>
      <c r="QAS68" s="10"/>
      <c r="QAT68" s="10"/>
      <c r="QAU68" s="10"/>
      <c r="QAV68" s="10"/>
      <c r="QAW68" s="10"/>
      <c r="QAX68" s="10"/>
      <c r="QAY68" s="10"/>
      <c r="QAZ68" s="10"/>
      <c r="QBA68" s="10"/>
      <c r="QBB68" s="10"/>
      <c r="QBC68" s="10"/>
      <c r="QBD68" s="10"/>
      <c r="QBE68" s="10"/>
      <c r="QBF68" s="10"/>
      <c r="QBG68" s="10"/>
      <c r="QBH68" s="10"/>
      <c r="QBI68" s="10"/>
      <c r="QBJ68" s="10"/>
      <c r="QBK68" s="10"/>
      <c r="QBL68" s="10"/>
      <c r="QBM68" s="10"/>
      <c r="QBN68" s="10"/>
      <c r="QBO68" s="10"/>
      <c r="QBP68" s="10"/>
      <c r="QBQ68" s="10"/>
      <c r="QBR68" s="10"/>
      <c r="QBS68" s="10"/>
      <c r="QBT68" s="10"/>
      <c r="QBU68" s="10"/>
      <c r="QBV68" s="10"/>
      <c r="QBW68" s="10"/>
      <c r="QBX68" s="10"/>
      <c r="QBY68" s="10"/>
      <c r="QBZ68" s="10"/>
      <c r="QCA68" s="10"/>
      <c r="QCB68" s="10"/>
      <c r="QCC68" s="10"/>
      <c r="QCD68" s="10"/>
      <c r="QCE68" s="10"/>
      <c r="QCF68" s="10"/>
      <c r="QCG68" s="10"/>
      <c r="QCH68" s="10"/>
      <c r="QCI68" s="10"/>
      <c r="QCJ68" s="10"/>
      <c r="QCK68" s="10"/>
      <c r="QCL68" s="10"/>
      <c r="QCM68" s="10"/>
      <c r="QCN68" s="10"/>
      <c r="QCO68" s="10"/>
      <c r="QCP68" s="10"/>
      <c r="QCQ68" s="10"/>
      <c r="QCR68" s="10"/>
      <c r="QCS68" s="10"/>
      <c r="QCT68" s="10"/>
      <c r="QCU68" s="10"/>
      <c r="QCV68" s="10"/>
      <c r="QCW68" s="10"/>
      <c r="QCX68" s="10"/>
      <c r="QCY68" s="10"/>
      <c r="QCZ68" s="10"/>
      <c r="QDA68" s="10"/>
      <c r="QDB68" s="10"/>
      <c r="QDC68" s="10"/>
      <c r="QDD68" s="10"/>
      <c r="QDE68" s="10"/>
      <c r="QDF68" s="10"/>
      <c r="QDG68" s="10"/>
      <c r="QDH68" s="10"/>
      <c r="QDI68" s="10"/>
      <c r="QDJ68" s="10"/>
      <c r="QDK68" s="10"/>
      <c r="QDL68" s="10"/>
      <c r="QDM68" s="10"/>
      <c r="QDN68" s="10"/>
      <c r="QDO68" s="10"/>
      <c r="QDP68" s="10"/>
      <c r="QDQ68" s="10"/>
      <c r="QDR68" s="10"/>
      <c r="QDS68" s="10"/>
      <c r="QDT68" s="10"/>
      <c r="QDU68" s="10"/>
      <c r="QDV68" s="10"/>
      <c r="QDW68" s="10"/>
      <c r="QDX68" s="10"/>
      <c r="QDY68" s="10"/>
      <c r="QDZ68" s="10"/>
      <c r="QEA68" s="10"/>
      <c r="QEB68" s="10"/>
      <c r="QEC68" s="10"/>
      <c r="QED68" s="10"/>
      <c r="QEE68" s="10"/>
      <c r="QEF68" s="10"/>
      <c r="QEG68" s="10"/>
      <c r="QEH68" s="10"/>
      <c r="QEI68" s="10"/>
      <c r="QEJ68" s="10"/>
      <c r="QEK68" s="10"/>
      <c r="QEL68" s="10"/>
      <c r="QEM68" s="10"/>
      <c r="QEN68" s="10"/>
      <c r="QEO68" s="10"/>
      <c r="QEP68" s="10"/>
      <c r="QEQ68" s="10"/>
      <c r="QER68" s="10"/>
      <c r="QES68" s="10"/>
      <c r="QET68" s="10"/>
      <c r="QEU68" s="10"/>
      <c r="QEV68" s="10"/>
      <c r="QEW68" s="10"/>
      <c r="QEX68" s="10"/>
      <c r="QEY68" s="10"/>
      <c r="QEZ68" s="10"/>
      <c r="QFA68" s="10"/>
      <c r="QFB68" s="10"/>
      <c r="QFC68" s="10"/>
      <c r="QFD68" s="10"/>
      <c r="QFE68" s="10"/>
      <c r="QFF68" s="10"/>
      <c r="QFG68" s="10"/>
      <c r="QFH68" s="10"/>
      <c r="QFI68" s="10"/>
      <c r="QFJ68" s="10"/>
      <c r="QFK68" s="10"/>
      <c r="QFL68" s="10"/>
      <c r="QFM68" s="10"/>
      <c r="QFN68" s="10"/>
      <c r="QFO68" s="10"/>
      <c r="QFP68" s="10"/>
      <c r="QFQ68" s="10"/>
      <c r="QFR68" s="10"/>
      <c r="QFS68" s="10"/>
      <c r="QFT68" s="10"/>
      <c r="QFU68" s="10"/>
      <c r="QFV68" s="10"/>
      <c r="QFW68" s="10"/>
      <c r="QFX68" s="10"/>
      <c r="QFY68" s="10"/>
      <c r="QFZ68" s="10"/>
      <c r="QGA68" s="10"/>
      <c r="QGB68" s="10"/>
      <c r="QGC68" s="10"/>
      <c r="QGD68" s="10"/>
      <c r="QGE68" s="10"/>
      <c r="QGF68" s="10"/>
      <c r="QGG68" s="10"/>
      <c r="QGH68" s="10"/>
      <c r="QGI68" s="10"/>
      <c r="QGJ68" s="10"/>
      <c r="QGK68" s="10"/>
      <c r="QGL68" s="10"/>
      <c r="QGM68" s="10"/>
      <c r="QGN68" s="10"/>
      <c r="QGO68" s="10"/>
      <c r="QGP68" s="10"/>
      <c r="QGQ68" s="10"/>
      <c r="QGR68" s="10"/>
      <c r="QGS68" s="10"/>
      <c r="QGT68" s="10"/>
      <c r="QGU68" s="10"/>
      <c r="QGV68" s="10"/>
      <c r="QGW68" s="10"/>
      <c r="QGX68" s="10"/>
      <c r="QGY68" s="10"/>
      <c r="QGZ68" s="10"/>
      <c r="QHA68" s="10"/>
      <c r="QHB68" s="10"/>
      <c r="QHC68" s="10"/>
      <c r="QHD68" s="10"/>
      <c r="QHE68" s="10"/>
      <c r="QHF68" s="10"/>
      <c r="QHG68" s="10"/>
      <c r="QHH68" s="10"/>
      <c r="QHI68" s="10"/>
      <c r="QHJ68" s="10"/>
      <c r="QHK68" s="10"/>
      <c r="QHL68" s="10"/>
      <c r="QHM68" s="10"/>
      <c r="QHN68" s="10"/>
      <c r="QHO68" s="10"/>
      <c r="QHP68" s="10"/>
      <c r="QHQ68" s="10"/>
      <c r="QHR68" s="10"/>
      <c r="QHS68" s="10"/>
      <c r="QHT68" s="10"/>
      <c r="QHU68" s="10"/>
      <c r="QHV68" s="10"/>
      <c r="QHW68" s="10"/>
      <c r="QHX68" s="10"/>
      <c r="QHY68" s="10"/>
      <c r="QHZ68" s="10"/>
      <c r="QIA68" s="10"/>
      <c r="QIB68" s="10"/>
      <c r="QIC68" s="10"/>
      <c r="QID68" s="10"/>
      <c r="QIE68" s="10"/>
      <c r="QIF68" s="10"/>
      <c r="QIG68" s="10"/>
      <c r="QIH68" s="10"/>
      <c r="QII68" s="10"/>
      <c r="QIJ68" s="10"/>
      <c r="QIK68" s="10"/>
      <c r="QIL68" s="10"/>
      <c r="QIM68" s="10"/>
      <c r="QIN68" s="10"/>
      <c r="QIO68" s="10"/>
      <c r="QIP68" s="10"/>
      <c r="QIQ68" s="10"/>
      <c r="QIR68" s="10"/>
      <c r="QIS68" s="10"/>
      <c r="QIT68" s="10"/>
      <c r="QIU68" s="10"/>
      <c r="QIV68" s="10"/>
      <c r="QIW68" s="10"/>
      <c r="QIX68" s="10"/>
      <c r="QIY68" s="10"/>
      <c r="QIZ68" s="10"/>
      <c r="QJA68" s="10"/>
      <c r="QJB68" s="10"/>
      <c r="QJC68" s="10"/>
      <c r="QJD68" s="10"/>
      <c r="QJE68" s="10"/>
      <c r="QJF68" s="10"/>
      <c r="QJG68" s="10"/>
      <c r="QJH68" s="10"/>
      <c r="QJI68" s="10"/>
      <c r="QJJ68" s="10"/>
      <c r="QJK68" s="10"/>
      <c r="QJL68" s="10"/>
      <c r="QJM68" s="10"/>
      <c r="QJN68" s="10"/>
      <c r="QJO68" s="10"/>
      <c r="QJP68" s="10"/>
      <c r="QJQ68" s="10"/>
      <c r="QJR68" s="10"/>
      <c r="QJS68" s="10"/>
      <c r="QJT68" s="10"/>
      <c r="QJU68" s="10"/>
      <c r="QJV68" s="10"/>
      <c r="QJW68" s="10"/>
      <c r="QJX68" s="10"/>
      <c r="QJY68" s="10"/>
      <c r="QJZ68" s="10"/>
      <c r="QKA68" s="10"/>
      <c r="QKB68" s="10"/>
      <c r="QKC68" s="10"/>
      <c r="QKD68" s="10"/>
      <c r="QKE68" s="10"/>
      <c r="QKF68" s="10"/>
      <c r="QKG68" s="10"/>
      <c r="QKH68" s="10"/>
      <c r="QKI68" s="10"/>
      <c r="QKJ68" s="10"/>
      <c r="QKK68" s="10"/>
      <c r="QKL68" s="10"/>
      <c r="QKM68" s="10"/>
      <c r="QKN68" s="10"/>
      <c r="QKO68" s="10"/>
      <c r="QKP68" s="10"/>
      <c r="QKQ68" s="10"/>
      <c r="QKR68" s="10"/>
      <c r="QKS68" s="10"/>
      <c r="QKT68" s="10"/>
      <c r="QKU68" s="10"/>
      <c r="QKV68" s="10"/>
      <c r="QKW68" s="10"/>
      <c r="QKX68" s="10"/>
      <c r="QKY68" s="10"/>
      <c r="QKZ68" s="10"/>
      <c r="QLA68" s="10"/>
      <c r="QLB68" s="10"/>
      <c r="QLC68" s="10"/>
      <c r="QLD68" s="10"/>
      <c r="QLE68" s="10"/>
      <c r="QLF68" s="10"/>
      <c r="QLG68" s="10"/>
      <c r="QLH68" s="10"/>
      <c r="QLI68" s="10"/>
      <c r="QLJ68" s="10"/>
      <c r="QLK68" s="10"/>
      <c r="QLL68" s="10"/>
      <c r="QLM68" s="10"/>
      <c r="QLN68" s="10"/>
      <c r="QLO68" s="10"/>
      <c r="QLP68" s="10"/>
      <c r="QLQ68" s="10"/>
      <c r="QLR68" s="10"/>
      <c r="QLS68" s="10"/>
      <c r="QLT68" s="10"/>
      <c r="QLU68" s="10"/>
      <c r="QLV68" s="10"/>
      <c r="QLW68" s="10"/>
      <c r="QLX68" s="10"/>
      <c r="QLY68" s="10"/>
      <c r="QLZ68" s="10"/>
      <c r="QMA68" s="10"/>
      <c r="QMB68" s="10"/>
      <c r="QMC68" s="10"/>
      <c r="QMD68" s="10"/>
      <c r="QME68" s="10"/>
      <c r="QMF68" s="10"/>
      <c r="QMG68" s="10"/>
      <c r="QMH68" s="10"/>
      <c r="QMI68" s="10"/>
      <c r="QMJ68" s="10"/>
      <c r="QMK68" s="10"/>
      <c r="QML68" s="10"/>
      <c r="QMM68" s="10"/>
      <c r="QMN68" s="10"/>
      <c r="QMO68" s="10"/>
      <c r="QMP68" s="10"/>
      <c r="QMQ68" s="10"/>
      <c r="QMR68" s="10"/>
      <c r="QMS68" s="10"/>
      <c r="QMT68" s="10"/>
      <c r="QMU68" s="10"/>
      <c r="QMV68" s="10"/>
      <c r="QMW68" s="10"/>
      <c r="QMX68" s="10"/>
      <c r="QMY68" s="10"/>
      <c r="QMZ68" s="10"/>
      <c r="QNA68" s="10"/>
      <c r="QNB68" s="10"/>
      <c r="QNC68" s="10"/>
      <c r="QND68" s="10"/>
      <c r="QNE68" s="10"/>
      <c r="QNF68" s="10"/>
      <c r="QNG68" s="10"/>
      <c r="QNH68" s="10"/>
      <c r="QNI68" s="10"/>
      <c r="QNJ68" s="10"/>
      <c r="QNK68" s="10"/>
      <c r="QNL68" s="10"/>
      <c r="QNM68" s="10"/>
      <c r="QNN68" s="10"/>
      <c r="QNO68" s="10"/>
      <c r="QNP68" s="10"/>
      <c r="QNQ68" s="10"/>
      <c r="QNR68" s="10"/>
      <c r="QNS68" s="10"/>
      <c r="QNT68" s="10"/>
      <c r="QNU68" s="10"/>
      <c r="QNV68" s="10"/>
      <c r="QNW68" s="10"/>
      <c r="QNX68" s="10"/>
      <c r="QNY68" s="10"/>
      <c r="QNZ68" s="10"/>
      <c r="QOA68" s="10"/>
      <c r="QOB68" s="10"/>
      <c r="QOC68" s="10"/>
      <c r="QOD68" s="10"/>
      <c r="QOE68" s="10"/>
      <c r="QOF68" s="10"/>
      <c r="QOG68" s="10"/>
      <c r="QOH68" s="10"/>
      <c r="QOI68" s="10"/>
      <c r="QOJ68" s="10"/>
      <c r="QOK68" s="10"/>
      <c r="QOL68" s="10"/>
      <c r="QOM68" s="10"/>
      <c r="QON68" s="10"/>
      <c r="QOO68" s="10"/>
      <c r="QOP68" s="10"/>
      <c r="QOQ68" s="10"/>
      <c r="QOR68" s="10"/>
      <c r="QOS68" s="10"/>
      <c r="QOT68" s="10"/>
      <c r="QOU68" s="10"/>
      <c r="QOV68" s="10"/>
      <c r="QOW68" s="10"/>
      <c r="QOX68" s="10"/>
      <c r="QOY68" s="10"/>
      <c r="QOZ68" s="10"/>
      <c r="QPA68" s="10"/>
      <c r="QPB68" s="10"/>
      <c r="QPC68" s="10"/>
      <c r="QPD68" s="10"/>
      <c r="QPE68" s="10"/>
      <c r="QPF68" s="10"/>
      <c r="QPG68" s="10"/>
      <c r="QPH68" s="10"/>
      <c r="QPI68" s="10"/>
      <c r="QPJ68" s="10"/>
      <c r="QPK68" s="10"/>
      <c r="QPL68" s="10"/>
      <c r="QPM68" s="10"/>
      <c r="QPN68" s="10"/>
      <c r="QPO68" s="10"/>
      <c r="QPP68" s="10"/>
      <c r="QPQ68" s="10"/>
      <c r="QPR68" s="10"/>
      <c r="QPS68" s="10"/>
      <c r="QPT68" s="10"/>
      <c r="QPU68" s="10"/>
      <c r="QPV68" s="10"/>
      <c r="QPW68" s="10"/>
      <c r="QPX68" s="10"/>
      <c r="QPY68" s="10"/>
      <c r="QPZ68" s="10"/>
      <c r="QQA68" s="10"/>
      <c r="QQB68" s="10"/>
      <c r="QQC68" s="10"/>
      <c r="QQD68" s="10"/>
      <c r="QQE68" s="10"/>
      <c r="QQF68" s="10"/>
      <c r="QQG68" s="10"/>
      <c r="QQH68" s="10"/>
      <c r="QQI68" s="10"/>
      <c r="QQJ68" s="10"/>
      <c r="QQK68" s="10"/>
      <c r="QQL68" s="10"/>
      <c r="QQM68" s="10"/>
      <c r="QQN68" s="10"/>
      <c r="QQO68" s="10"/>
      <c r="QQP68" s="10"/>
      <c r="QQQ68" s="10"/>
      <c r="QQR68" s="10"/>
      <c r="QQS68" s="10"/>
      <c r="QQT68" s="10"/>
      <c r="QQU68" s="10"/>
      <c r="QQV68" s="10"/>
      <c r="QQW68" s="10"/>
      <c r="QQX68" s="10"/>
      <c r="QQY68" s="10"/>
      <c r="QQZ68" s="10"/>
      <c r="QRA68" s="10"/>
      <c r="QRB68" s="10"/>
      <c r="QRC68" s="10"/>
      <c r="QRD68" s="10"/>
      <c r="QRE68" s="10"/>
      <c r="QRF68" s="10"/>
      <c r="QRG68" s="10"/>
      <c r="QRH68" s="10"/>
      <c r="QRI68" s="10"/>
      <c r="QRJ68" s="10"/>
      <c r="QRK68" s="10"/>
      <c r="QRL68" s="10"/>
      <c r="QRM68" s="10"/>
      <c r="QRN68" s="10"/>
      <c r="QRO68" s="10"/>
      <c r="QRP68" s="10"/>
      <c r="QRQ68" s="10"/>
      <c r="QRR68" s="10"/>
      <c r="QRS68" s="10"/>
      <c r="QRT68" s="10"/>
      <c r="QRU68" s="10"/>
      <c r="QRV68" s="10"/>
      <c r="QRW68" s="10"/>
      <c r="QRX68" s="10"/>
      <c r="QRY68" s="10"/>
      <c r="QRZ68" s="10"/>
      <c r="QSA68" s="10"/>
      <c r="QSB68" s="10"/>
      <c r="QSC68" s="10"/>
      <c r="QSD68" s="10"/>
      <c r="QSE68" s="10"/>
      <c r="QSF68" s="10"/>
      <c r="QSG68" s="10"/>
      <c r="QSH68" s="10"/>
      <c r="QSI68" s="10"/>
      <c r="QSJ68" s="10"/>
      <c r="QSK68" s="10"/>
      <c r="QSL68" s="10"/>
      <c r="QSM68" s="10"/>
      <c r="QSN68" s="10"/>
      <c r="QSO68" s="10"/>
      <c r="QSP68" s="10"/>
      <c r="QSQ68" s="10"/>
      <c r="QSR68" s="10"/>
      <c r="QSS68" s="10"/>
      <c r="QST68" s="10"/>
      <c r="QSU68" s="10"/>
      <c r="QSV68" s="10"/>
      <c r="QSW68" s="10"/>
      <c r="QSX68" s="10"/>
      <c r="QSY68" s="10"/>
      <c r="QSZ68" s="10"/>
      <c r="QTA68" s="10"/>
      <c r="QTB68" s="10"/>
      <c r="QTC68" s="10"/>
      <c r="QTD68" s="10"/>
      <c r="QTE68" s="10"/>
      <c r="QTF68" s="10"/>
      <c r="QTG68" s="10"/>
      <c r="QTH68" s="10"/>
      <c r="QTI68" s="10"/>
      <c r="QTJ68" s="10"/>
      <c r="QTK68" s="10"/>
      <c r="QTL68" s="10"/>
      <c r="QTM68" s="10"/>
      <c r="QTN68" s="10"/>
      <c r="QTO68" s="10"/>
      <c r="QTP68" s="10"/>
      <c r="QTQ68" s="10"/>
      <c r="QTR68" s="10"/>
      <c r="QTS68" s="10"/>
      <c r="QTT68" s="10"/>
      <c r="QTU68" s="10"/>
      <c r="QTV68" s="10"/>
      <c r="QTW68" s="10"/>
      <c r="QTX68" s="10"/>
      <c r="QTY68" s="10"/>
      <c r="QTZ68" s="10"/>
      <c r="QUA68" s="10"/>
      <c r="QUB68" s="10"/>
      <c r="QUC68" s="10"/>
      <c r="QUD68" s="10"/>
      <c r="QUE68" s="10"/>
      <c r="QUF68" s="10"/>
      <c r="QUG68" s="10"/>
      <c r="QUH68" s="10"/>
      <c r="QUI68" s="10"/>
      <c r="QUJ68" s="10"/>
      <c r="QUK68" s="10"/>
      <c r="QUL68" s="10"/>
      <c r="QUM68" s="10"/>
      <c r="QUN68" s="10"/>
      <c r="QUO68" s="10"/>
      <c r="QUP68" s="10"/>
      <c r="QUQ68" s="10"/>
      <c r="QUR68" s="10"/>
      <c r="QUS68" s="10"/>
      <c r="QUT68" s="10"/>
      <c r="QUU68" s="10"/>
      <c r="QUV68" s="10"/>
      <c r="QUW68" s="10"/>
      <c r="QUX68" s="10"/>
      <c r="QUY68" s="10"/>
      <c r="QUZ68" s="10"/>
      <c r="QVA68" s="10"/>
      <c r="QVB68" s="10"/>
      <c r="QVC68" s="10"/>
      <c r="QVD68" s="10"/>
      <c r="QVE68" s="10"/>
      <c r="QVF68" s="10"/>
      <c r="QVG68" s="10"/>
      <c r="QVH68" s="10"/>
      <c r="QVI68" s="10"/>
      <c r="QVJ68" s="10"/>
      <c r="QVK68" s="10"/>
      <c r="QVL68" s="10"/>
      <c r="QVM68" s="10"/>
      <c r="QVN68" s="10"/>
      <c r="QVO68" s="10"/>
      <c r="QVP68" s="10"/>
      <c r="QVQ68" s="10"/>
      <c r="QVR68" s="10"/>
      <c r="QVS68" s="10"/>
      <c r="QVT68" s="10"/>
      <c r="QVU68" s="10"/>
      <c r="QVV68" s="10"/>
      <c r="QVW68" s="10"/>
      <c r="QVX68" s="10"/>
      <c r="QVY68" s="10"/>
      <c r="QVZ68" s="10"/>
      <c r="QWA68" s="10"/>
      <c r="QWB68" s="10"/>
      <c r="QWC68" s="10"/>
      <c r="QWD68" s="10"/>
      <c r="QWE68" s="10"/>
      <c r="QWF68" s="10"/>
      <c r="QWG68" s="10"/>
      <c r="QWH68" s="10"/>
      <c r="QWI68" s="10"/>
      <c r="QWJ68" s="10"/>
      <c r="QWK68" s="10"/>
      <c r="QWL68" s="10"/>
      <c r="QWM68" s="10"/>
      <c r="QWN68" s="10"/>
      <c r="QWO68" s="10"/>
      <c r="QWP68" s="10"/>
      <c r="QWQ68" s="10"/>
      <c r="QWR68" s="10"/>
      <c r="QWS68" s="10"/>
      <c r="QWT68" s="10"/>
      <c r="QWU68" s="10"/>
      <c r="QWV68" s="10"/>
      <c r="QWW68" s="10"/>
      <c r="QWX68" s="10"/>
      <c r="QWY68" s="10"/>
      <c r="QWZ68" s="10"/>
      <c r="QXA68" s="10"/>
      <c r="QXB68" s="10"/>
      <c r="QXC68" s="10"/>
      <c r="QXD68" s="10"/>
      <c r="QXE68" s="10"/>
      <c r="QXF68" s="10"/>
      <c r="QXG68" s="10"/>
      <c r="QXH68" s="10"/>
      <c r="QXI68" s="10"/>
      <c r="QXJ68" s="10"/>
      <c r="QXK68" s="10"/>
      <c r="QXL68" s="10"/>
      <c r="QXM68" s="10"/>
      <c r="QXN68" s="10"/>
      <c r="QXO68" s="10"/>
      <c r="QXP68" s="10"/>
      <c r="QXQ68" s="10"/>
      <c r="QXR68" s="10"/>
      <c r="QXS68" s="10"/>
      <c r="QXT68" s="10"/>
      <c r="QXU68" s="10"/>
      <c r="QXV68" s="10"/>
      <c r="QXW68" s="10"/>
      <c r="QXX68" s="10"/>
      <c r="QXY68" s="10"/>
      <c r="QXZ68" s="10"/>
      <c r="QYA68" s="10"/>
      <c r="QYB68" s="10"/>
      <c r="QYC68" s="10"/>
      <c r="QYD68" s="10"/>
      <c r="QYE68" s="10"/>
      <c r="QYF68" s="10"/>
      <c r="QYG68" s="10"/>
      <c r="QYH68" s="10"/>
      <c r="QYI68" s="10"/>
      <c r="QYJ68" s="10"/>
      <c r="QYK68" s="10"/>
      <c r="QYL68" s="10"/>
      <c r="QYM68" s="10"/>
      <c r="QYN68" s="10"/>
      <c r="QYO68" s="10"/>
      <c r="QYP68" s="10"/>
      <c r="QYQ68" s="10"/>
      <c r="QYR68" s="10"/>
      <c r="QYS68" s="10"/>
      <c r="QYT68" s="10"/>
      <c r="QYU68" s="10"/>
      <c r="QYV68" s="10"/>
      <c r="QYW68" s="10"/>
      <c r="QYX68" s="10"/>
      <c r="QYY68" s="10"/>
      <c r="QYZ68" s="10"/>
      <c r="QZA68" s="10"/>
      <c r="QZB68" s="10"/>
      <c r="QZC68" s="10"/>
      <c r="QZD68" s="10"/>
      <c r="QZE68" s="10"/>
      <c r="QZF68" s="10"/>
      <c r="QZG68" s="10"/>
      <c r="QZH68" s="10"/>
      <c r="QZI68" s="10"/>
      <c r="QZJ68" s="10"/>
      <c r="QZK68" s="10"/>
      <c r="QZL68" s="10"/>
      <c r="QZM68" s="10"/>
      <c r="QZN68" s="10"/>
      <c r="QZO68" s="10"/>
      <c r="QZP68" s="10"/>
      <c r="QZQ68" s="10"/>
      <c r="QZR68" s="10"/>
      <c r="QZS68" s="10"/>
      <c r="QZT68" s="10"/>
      <c r="QZU68" s="10"/>
      <c r="QZV68" s="10"/>
      <c r="QZW68" s="10"/>
      <c r="QZX68" s="10"/>
      <c r="QZY68" s="10"/>
      <c r="QZZ68" s="10"/>
      <c r="RAA68" s="10"/>
      <c r="RAB68" s="10"/>
      <c r="RAC68" s="10"/>
      <c r="RAD68" s="10"/>
      <c r="RAE68" s="10"/>
      <c r="RAF68" s="10"/>
      <c r="RAG68" s="10"/>
      <c r="RAH68" s="10"/>
      <c r="RAI68" s="10"/>
      <c r="RAJ68" s="10"/>
      <c r="RAK68" s="10"/>
      <c r="RAL68" s="10"/>
      <c r="RAM68" s="10"/>
      <c r="RAN68" s="10"/>
      <c r="RAO68" s="10"/>
      <c r="RAP68" s="10"/>
      <c r="RAQ68" s="10"/>
      <c r="RAR68" s="10"/>
      <c r="RAS68" s="10"/>
      <c r="RAT68" s="10"/>
      <c r="RAU68" s="10"/>
      <c r="RAV68" s="10"/>
      <c r="RAW68" s="10"/>
      <c r="RAX68" s="10"/>
      <c r="RAY68" s="10"/>
      <c r="RAZ68" s="10"/>
      <c r="RBA68" s="10"/>
      <c r="RBB68" s="10"/>
      <c r="RBC68" s="10"/>
      <c r="RBD68" s="10"/>
      <c r="RBE68" s="10"/>
      <c r="RBF68" s="10"/>
      <c r="RBG68" s="10"/>
      <c r="RBH68" s="10"/>
      <c r="RBI68" s="10"/>
      <c r="RBJ68" s="10"/>
      <c r="RBK68" s="10"/>
      <c r="RBL68" s="10"/>
      <c r="RBM68" s="10"/>
      <c r="RBN68" s="10"/>
      <c r="RBO68" s="10"/>
      <c r="RBP68" s="10"/>
      <c r="RBQ68" s="10"/>
      <c r="RBR68" s="10"/>
      <c r="RBS68" s="10"/>
      <c r="RBT68" s="10"/>
      <c r="RBU68" s="10"/>
      <c r="RBV68" s="10"/>
      <c r="RBW68" s="10"/>
      <c r="RBX68" s="10"/>
      <c r="RBY68" s="10"/>
      <c r="RBZ68" s="10"/>
      <c r="RCA68" s="10"/>
      <c r="RCB68" s="10"/>
      <c r="RCC68" s="10"/>
      <c r="RCD68" s="10"/>
      <c r="RCE68" s="10"/>
      <c r="RCF68" s="10"/>
      <c r="RCG68" s="10"/>
      <c r="RCH68" s="10"/>
      <c r="RCI68" s="10"/>
      <c r="RCJ68" s="10"/>
      <c r="RCK68" s="10"/>
      <c r="RCL68" s="10"/>
      <c r="RCM68" s="10"/>
      <c r="RCN68" s="10"/>
      <c r="RCO68" s="10"/>
      <c r="RCP68" s="10"/>
      <c r="RCQ68" s="10"/>
      <c r="RCR68" s="10"/>
      <c r="RCS68" s="10"/>
      <c r="RCT68" s="10"/>
      <c r="RCU68" s="10"/>
      <c r="RCV68" s="10"/>
      <c r="RCW68" s="10"/>
      <c r="RCX68" s="10"/>
      <c r="RCY68" s="10"/>
      <c r="RCZ68" s="10"/>
      <c r="RDA68" s="10"/>
      <c r="RDB68" s="10"/>
      <c r="RDC68" s="10"/>
      <c r="RDD68" s="10"/>
      <c r="RDE68" s="10"/>
      <c r="RDF68" s="10"/>
      <c r="RDG68" s="10"/>
      <c r="RDH68" s="10"/>
      <c r="RDI68" s="10"/>
      <c r="RDJ68" s="10"/>
      <c r="RDK68" s="10"/>
      <c r="RDL68" s="10"/>
      <c r="RDM68" s="10"/>
      <c r="RDN68" s="10"/>
      <c r="RDO68" s="10"/>
      <c r="RDP68" s="10"/>
      <c r="RDQ68" s="10"/>
      <c r="RDR68" s="10"/>
      <c r="RDS68" s="10"/>
      <c r="RDT68" s="10"/>
      <c r="RDU68" s="10"/>
      <c r="RDV68" s="10"/>
      <c r="RDW68" s="10"/>
      <c r="RDX68" s="10"/>
      <c r="RDY68" s="10"/>
      <c r="RDZ68" s="10"/>
      <c r="REA68" s="10"/>
      <c r="REB68" s="10"/>
      <c r="REC68" s="10"/>
      <c r="RED68" s="10"/>
      <c r="REE68" s="10"/>
      <c r="REF68" s="10"/>
      <c r="REG68" s="10"/>
      <c r="REH68" s="10"/>
      <c r="REI68" s="10"/>
      <c r="REJ68" s="10"/>
      <c r="REK68" s="10"/>
      <c r="REL68" s="10"/>
      <c r="REM68" s="10"/>
      <c r="REN68" s="10"/>
      <c r="REO68" s="10"/>
      <c r="REP68" s="10"/>
      <c r="REQ68" s="10"/>
      <c r="RER68" s="10"/>
      <c r="RES68" s="10"/>
      <c r="RET68" s="10"/>
      <c r="REU68" s="10"/>
      <c r="REV68" s="10"/>
      <c r="REW68" s="10"/>
      <c r="REX68" s="10"/>
      <c r="REY68" s="10"/>
      <c r="REZ68" s="10"/>
      <c r="RFA68" s="10"/>
      <c r="RFB68" s="10"/>
      <c r="RFC68" s="10"/>
      <c r="RFD68" s="10"/>
      <c r="RFE68" s="10"/>
      <c r="RFF68" s="10"/>
      <c r="RFG68" s="10"/>
      <c r="RFH68" s="10"/>
      <c r="RFI68" s="10"/>
      <c r="RFJ68" s="10"/>
      <c r="RFK68" s="10"/>
      <c r="RFL68" s="10"/>
      <c r="RFM68" s="10"/>
      <c r="RFN68" s="10"/>
      <c r="RFO68" s="10"/>
      <c r="RFP68" s="10"/>
      <c r="RFQ68" s="10"/>
      <c r="RFR68" s="10"/>
      <c r="RFS68" s="10"/>
      <c r="RFT68" s="10"/>
      <c r="RFU68" s="10"/>
      <c r="RFV68" s="10"/>
      <c r="RFW68" s="10"/>
      <c r="RFX68" s="10"/>
      <c r="RFY68" s="10"/>
      <c r="RFZ68" s="10"/>
      <c r="RGA68" s="10"/>
      <c r="RGB68" s="10"/>
      <c r="RGC68" s="10"/>
      <c r="RGD68" s="10"/>
      <c r="RGE68" s="10"/>
      <c r="RGF68" s="10"/>
      <c r="RGG68" s="10"/>
      <c r="RGH68" s="10"/>
      <c r="RGI68" s="10"/>
      <c r="RGJ68" s="10"/>
      <c r="RGK68" s="10"/>
      <c r="RGL68" s="10"/>
      <c r="RGM68" s="10"/>
      <c r="RGN68" s="10"/>
      <c r="RGO68" s="10"/>
      <c r="RGP68" s="10"/>
      <c r="RGQ68" s="10"/>
      <c r="RGR68" s="10"/>
      <c r="RGS68" s="10"/>
      <c r="RGT68" s="10"/>
      <c r="RGU68" s="10"/>
      <c r="RGV68" s="10"/>
      <c r="RGW68" s="10"/>
      <c r="RGX68" s="10"/>
      <c r="RGY68" s="10"/>
      <c r="RGZ68" s="10"/>
      <c r="RHA68" s="10"/>
      <c r="RHB68" s="10"/>
      <c r="RHC68" s="10"/>
      <c r="RHD68" s="10"/>
      <c r="RHE68" s="10"/>
      <c r="RHF68" s="10"/>
      <c r="RHG68" s="10"/>
      <c r="RHH68" s="10"/>
      <c r="RHI68" s="10"/>
      <c r="RHJ68" s="10"/>
      <c r="RHK68" s="10"/>
      <c r="RHL68" s="10"/>
      <c r="RHM68" s="10"/>
      <c r="RHN68" s="10"/>
      <c r="RHO68" s="10"/>
      <c r="RHP68" s="10"/>
      <c r="RHQ68" s="10"/>
      <c r="RHR68" s="10"/>
      <c r="RHS68" s="10"/>
      <c r="RHT68" s="10"/>
      <c r="RHU68" s="10"/>
      <c r="RHV68" s="10"/>
      <c r="RHW68" s="10"/>
      <c r="RHX68" s="10"/>
      <c r="RHY68" s="10"/>
      <c r="RHZ68" s="10"/>
      <c r="RIA68" s="10"/>
      <c r="RIB68" s="10"/>
      <c r="RIC68" s="10"/>
      <c r="RID68" s="10"/>
      <c r="RIE68" s="10"/>
      <c r="RIF68" s="10"/>
      <c r="RIG68" s="10"/>
      <c r="RIH68" s="10"/>
      <c r="RII68" s="10"/>
      <c r="RIJ68" s="10"/>
      <c r="RIK68" s="10"/>
      <c r="RIL68" s="10"/>
      <c r="RIM68" s="10"/>
      <c r="RIN68" s="10"/>
      <c r="RIO68" s="10"/>
      <c r="RIP68" s="10"/>
      <c r="RIQ68" s="10"/>
      <c r="RIR68" s="10"/>
      <c r="RIS68" s="10"/>
      <c r="RIT68" s="10"/>
      <c r="RIU68" s="10"/>
      <c r="RIV68" s="10"/>
      <c r="RIW68" s="10"/>
      <c r="RIX68" s="10"/>
      <c r="RIY68" s="10"/>
      <c r="RIZ68" s="10"/>
      <c r="RJA68" s="10"/>
      <c r="RJB68" s="10"/>
      <c r="RJC68" s="10"/>
      <c r="RJD68" s="10"/>
      <c r="RJE68" s="10"/>
      <c r="RJF68" s="10"/>
      <c r="RJG68" s="10"/>
      <c r="RJH68" s="10"/>
      <c r="RJI68" s="10"/>
      <c r="RJJ68" s="10"/>
      <c r="RJK68" s="10"/>
      <c r="RJL68" s="10"/>
      <c r="RJM68" s="10"/>
      <c r="RJN68" s="10"/>
      <c r="RJO68" s="10"/>
      <c r="RJP68" s="10"/>
      <c r="RJQ68" s="10"/>
      <c r="RJR68" s="10"/>
      <c r="RJS68" s="10"/>
      <c r="RJT68" s="10"/>
      <c r="RJU68" s="10"/>
      <c r="RJV68" s="10"/>
      <c r="RJW68" s="10"/>
      <c r="RJX68" s="10"/>
      <c r="RJY68" s="10"/>
      <c r="RJZ68" s="10"/>
      <c r="RKA68" s="10"/>
      <c r="RKB68" s="10"/>
      <c r="RKC68" s="10"/>
      <c r="RKD68" s="10"/>
      <c r="RKE68" s="10"/>
      <c r="RKF68" s="10"/>
      <c r="RKG68" s="10"/>
      <c r="RKH68" s="10"/>
      <c r="RKI68" s="10"/>
      <c r="RKJ68" s="10"/>
      <c r="RKK68" s="10"/>
      <c r="RKL68" s="10"/>
      <c r="RKM68" s="10"/>
      <c r="RKN68" s="10"/>
      <c r="RKO68" s="10"/>
      <c r="RKP68" s="10"/>
      <c r="RKQ68" s="10"/>
      <c r="RKR68" s="10"/>
      <c r="RKS68" s="10"/>
      <c r="RKT68" s="10"/>
      <c r="RKU68" s="10"/>
      <c r="RKV68" s="10"/>
      <c r="RKW68" s="10"/>
      <c r="RKX68" s="10"/>
      <c r="RKY68" s="10"/>
      <c r="RKZ68" s="10"/>
      <c r="RLA68" s="10"/>
      <c r="RLB68" s="10"/>
      <c r="RLC68" s="10"/>
      <c r="RLD68" s="10"/>
      <c r="RLE68" s="10"/>
      <c r="RLF68" s="10"/>
      <c r="RLG68" s="10"/>
      <c r="RLH68" s="10"/>
      <c r="RLI68" s="10"/>
      <c r="RLJ68" s="10"/>
      <c r="RLK68" s="10"/>
      <c r="RLL68" s="10"/>
      <c r="RLM68" s="10"/>
      <c r="RLN68" s="10"/>
      <c r="RLO68" s="10"/>
      <c r="RLP68" s="10"/>
      <c r="RLQ68" s="10"/>
      <c r="RLR68" s="10"/>
      <c r="RLS68" s="10"/>
      <c r="RLT68" s="10"/>
      <c r="RLU68" s="10"/>
      <c r="RLV68" s="10"/>
      <c r="RLW68" s="10"/>
      <c r="RLX68" s="10"/>
      <c r="RLY68" s="10"/>
      <c r="RLZ68" s="10"/>
      <c r="RMA68" s="10"/>
      <c r="RMB68" s="10"/>
      <c r="RMC68" s="10"/>
      <c r="RMD68" s="10"/>
      <c r="RME68" s="10"/>
      <c r="RMF68" s="10"/>
      <c r="RMG68" s="10"/>
      <c r="RMH68" s="10"/>
      <c r="RMI68" s="10"/>
      <c r="RMJ68" s="10"/>
      <c r="RMK68" s="10"/>
      <c r="RML68" s="10"/>
      <c r="RMM68" s="10"/>
      <c r="RMN68" s="10"/>
      <c r="RMO68" s="10"/>
      <c r="RMP68" s="10"/>
      <c r="RMQ68" s="10"/>
      <c r="RMR68" s="10"/>
      <c r="RMS68" s="10"/>
      <c r="RMT68" s="10"/>
      <c r="RMU68" s="10"/>
      <c r="RMV68" s="10"/>
      <c r="RMW68" s="10"/>
      <c r="RMX68" s="10"/>
      <c r="RMY68" s="10"/>
      <c r="RMZ68" s="10"/>
      <c r="RNA68" s="10"/>
      <c r="RNB68" s="10"/>
      <c r="RNC68" s="10"/>
      <c r="RND68" s="10"/>
      <c r="RNE68" s="10"/>
      <c r="RNF68" s="10"/>
      <c r="RNG68" s="10"/>
      <c r="RNH68" s="10"/>
      <c r="RNI68" s="10"/>
      <c r="RNJ68" s="10"/>
      <c r="RNK68" s="10"/>
      <c r="RNL68" s="10"/>
      <c r="RNM68" s="10"/>
      <c r="RNN68" s="10"/>
      <c r="RNO68" s="10"/>
      <c r="RNP68" s="10"/>
      <c r="RNQ68" s="10"/>
      <c r="RNR68" s="10"/>
      <c r="RNS68" s="10"/>
      <c r="RNT68" s="10"/>
      <c r="RNU68" s="10"/>
      <c r="RNV68" s="10"/>
      <c r="RNW68" s="10"/>
      <c r="RNX68" s="10"/>
      <c r="RNY68" s="10"/>
      <c r="RNZ68" s="10"/>
      <c r="ROA68" s="10"/>
      <c r="ROB68" s="10"/>
      <c r="ROC68" s="10"/>
      <c r="ROD68" s="10"/>
      <c r="ROE68" s="10"/>
      <c r="ROF68" s="10"/>
      <c r="ROG68" s="10"/>
      <c r="ROH68" s="10"/>
      <c r="ROI68" s="10"/>
      <c r="ROJ68" s="10"/>
      <c r="ROK68" s="10"/>
      <c r="ROL68" s="10"/>
      <c r="ROM68" s="10"/>
      <c r="RON68" s="10"/>
      <c r="ROO68" s="10"/>
      <c r="ROP68" s="10"/>
      <c r="ROQ68" s="10"/>
      <c r="ROR68" s="10"/>
      <c r="ROS68" s="10"/>
      <c r="ROT68" s="10"/>
      <c r="ROU68" s="10"/>
      <c r="ROV68" s="10"/>
      <c r="ROW68" s="10"/>
      <c r="ROX68" s="10"/>
      <c r="ROY68" s="10"/>
      <c r="ROZ68" s="10"/>
      <c r="RPA68" s="10"/>
      <c r="RPB68" s="10"/>
      <c r="RPC68" s="10"/>
      <c r="RPD68" s="10"/>
      <c r="RPE68" s="10"/>
      <c r="RPF68" s="10"/>
      <c r="RPG68" s="10"/>
      <c r="RPH68" s="10"/>
      <c r="RPI68" s="10"/>
      <c r="RPJ68" s="10"/>
      <c r="RPK68" s="10"/>
      <c r="RPL68" s="10"/>
      <c r="RPM68" s="10"/>
      <c r="RPN68" s="10"/>
      <c r="RPO68" s="10"/>
      <c r="RPP68" s="10"/>
      <c r="RPQ68" s="10"/>
      <c r="RPR68" s="10"/>
      <c r="RPS68" s="10"/>
      <c r="RPT68" s="10"/>
      <c r="RPU68" s="10"/>
      <c r="RPV68" s="10"/>
      <c r="RPW68" s="10"/>
      <c r="RPX68" s="10"/>
      <c r="RPY68" s="10"/>
      <c r="RPZ68" s="10"/>
      <c r="RQA68" s="10"/>
      <c r="RQB68" s="10"/>
      <c r="RQC68" s="10"/>
      <c r="RQD68" s="10"/>
      <c r="RQE68" s="10"/>
      <c r="RQF68" s="10"/>
      <c r="RQG68" s="10"/>
      <c r="RQH68" s="10"/>
      <c r="RQI68" s="10"/>
      <c r="RQJ68" s="10"/>
      <c r="RQK68" s="10"/>
      <c r="RQL68" s="10"/>
      <c r="RQM68" s="10"/>
      <c r="RQN68" s="10"/>
      <c r="RQO68" s="10"/>
      <c r="RQP68" s="10"/>
      <c r="RQQ68" s="10"/>
      <c r="RQR68" s="10"/>
      <c r="RQS68" s="10"/>
      <c r="RQT68" s="10"/>
      <c r="RQU68" s="10"/>
      <c r="RQV68" s="10"/>
      <c r="RQW68" s="10"/>
      <c r="RQX68" s="10"/>
      <c r="RQY68" s="10"/>
      <c r="RQZ68" s="10"/>
      <c r="RRA68" s="10"/>
      <c r="RRB68" s="10"/>
      <c r="RRC68" s="10"/>
      <c r="RRD68" s="10"/>
      <c r="RRE68" s="10"/>
      <c r="RRF68" s="10"/>
      <c r="RRG68" s="10"/>
      <c r="RRH68" s="10"/>
      <c r="RRI68" s="10"/>
      <c r="RRJ68" s="10"/>
      <c r="RRK68" s="10"/>
      <c r="RRL68" s="10"/>
      <c r="RRM68" s="10"/>
      <c r="RRN68" s="10"/>
      <c r="RRO68" s="10"/>
      <c r="RRP68" s="10"/>
      <c r="RRQ68" s="10"/>
      <c r="RRR68" s="10"/>
      <c r="RRS68" s="10"/>
      <c r="RRT68" s="10"/>
      <c r="RRU68" s="10"/>
      <c r="RRV68" s="10"/>
      <c r="RRW68" s="10"/>
      <c r="RRX68" s="10"/>
      <c r="RRY68" s="10"/>
      <c r="RRZ68" s="10"/>
      <c r="RSA68" s="10"/>
      <c r="RSB68" s="10"/>
      <c r="RSC68" s="10"/>
      <c r="RSD68" s="10"/>
      <c r="RSE68" s="10"/>
      <c r="RSF68" s="10"/>
      <c r="RSG68" s="10"/>
      <c r="RSH68" s="10"/>
      <c r="RSI68" s="10"/>
      <c r="RSJ68" s="10"/>
      <c r="RSK68" s="10"/>
      <c r="RSL68" s="10"/>
      <c r="RSM68" s="10"/>
      <c r="RSN68" s="10"/>
      <c r="RSO68" s="10"/>
      <c r="RSP68" s="10"/>
      <c r="RSQ68" s="10"/>
      <c r="RSR68" s="10"/>
      <c r="RSS68" s="10"/>
      <c r="RST68" s="10"/>
      <c r="RSU68" s="10"/>
      <c r="RSV68" s="10"/>
      <c r="RSW68" s="10"/>
      <c r="RSX68" s="10"/>
      <c r="RSY68" s="10"/>
      <c r="RSZ68" s="10"/>
      <c r="RTA68" s="10"/>
      <c r="RTB68" s="10"/>
      <c r="RTC68" s="10"/>
      <c r="RTD68" s="10"/>
      <c r="RTE68" s="10"/>
      <c r="RTF68" s="10"/>
      <c r="RTG68" s="10"/>
      <c r="RTH68" s="10"/>
      <c r="RTI68" s="10"/>
      <c r="RTJ68" s="10"/>
      <c r="RTK68" s="10"/>
      <c r="RTL68" s="10"/>
      <c r="RTM68" s="10"/>
      <c r="RTN68" s="10"/>
      <c r="RTO68" s="10"/>
      <c r="RTP68" s="10"/>
      <c r="RTQ68" s="10"/>
      <c r="RTR68" s="10"/>
      <c r="RTS68" s="10"/>
      <c r="RTT68" s="10"/>
      <c r="RTU68" s="10"/>
      <c r="RTV68" s="10"/>
      <c r="RTW68" s="10"/>
      <c r="RTX68" s="10"/>
      <c r="RTY68" s="10"/>
      <c r="RTZ68" s="10"/>
      <c r="RUA68" s="10"/>
      <c r="RUB68" s="10"/>
      <c r="RUC68" s="10"/>
      <c r="RUD68" s="10"/>
      <c r="RUE68" s="10"/>
      <c r="RUF68" s="10"/>
      <c r="RUG68" s="10"/>
      <c r="RUH68" s="10"/>
      <c r="RUI68" s="10"/>
      <c r="RUJ68" s="10"/>
      <c r="RUK68" s="10"/>
      <c r="RUL68" s="10"/>
      <c r="RUM68" s="10"/>
      <c r="RUN68" s="10"/>
      <c r="RUO68" s="10"/>
      <c r="RUP68" s="10"/>
      <c r="RUQ68" s="10"/>
      <c r="RUR68" s="10"/>
      <c r="RUS68" s="10"/>
      <c r="RUT68" s="10"/>
      <c r="RUU68" s="10"/>
      <c r="RUV68" s="10"/>
      <c r="RUW68" s="10"/>
      <c r="RUX68" s="10"/>
      <c r="RUY68" s="10"/>
      <c r="RUZ68" s="10"/>
      <c r="RVA68" s="10"/>
      <c r="RVB68" s="10"/>
      <c r="RVC68" s="10"/>
      <c r="RVD68" s="10"/>
      <c r="RVE68" s="10"/>
      <c r="RVF68" s="10"/>
      <c r="RVG68" s="10"/>
      <c r="RVH68" s="10"/>
      <c r="RVI68" s="10"/>
      <c r="RVJ68" s="10"/>
      <c r="RVK68" s="10"/>
      <c r="RVL68" s="10"/>
      <c r="RVM68" s="10"/>
      <c r="RVN68" s="10"/>
      <c r="RVO68" s="10"/>
      <c r="RVP68" s="10"/>
      <c r="RVQ68" s="10"/>
      <c r="RVR68" s="10"/>
      <c r="RVS68" s="10"/>
      <c r="RVT68" s="10"/>
      <c r="RVU68" s="10"/>
      <c r="RVV68" s="10"/>
      <c r="RVW68" s="10"/>
      <c r="RVX68" s="10"/>
      <c r="RVY68" s="10"/>
      <c r="RVZ68" s="10"/>
      <c r="RWA68" s="10"/>
      <c r="RWB68" s="10"/>
      <c r="RWC68" s="10"/>
      <c r="RWD68" s="10"/>
      <c r="RWE68" s="10"/>
      <c r="RWF68" s="10"/>
      <c r="RWG68" s="10"/>
      <c r="RWH68" s="10"/>
      <c r="RWI68" s="10"/>
      <c r="RWJ68" s="10"/>
      <c r="RWK68" s="10"/>
      <c r="RWL68" s="10"/>
      <c r="RWM68" s="10"/>
      <c r="RWN68" s="10"/>
      <c r="RWO68" s="10"/>
      <c r="RWP68" s="10"/>
      <c r="RWQ68" s="10"/>
      <c r="RWR68" s="10"/>
      <c r="RWS68" s="10"/>
      <c r="RWT68" s="10"/>
      <c r="RWU68" s="10"/>
      <c r="RWV68" s="10"/>
      <c r="RWW68" s="10"/>
      <c r="RWX68" s="10"/>
      <c r="RWY68" s="10"/>
      <c r="RWZ68" s="10"/>
      <c r="RXA68" s="10"/>
      <c r="RXB68" s="10"/>
      <c r="RXC68" s="10"/>
      <c r="RXD68" s="10"/>
      <c r="RXE68" s="10"/>
      <c r="RXF68" s="10"/>
      <c r="RXG68" s="10"/>
      <c r="RXH68" s="10"/>
      <c r="RXI68" s="10"/>
      <c r="RXJ68" s="10"/>
      <c r="RXK68" s="10"/>
      <c r="RXL68" s="10"/>
      <c r="RXM68" s="10"/>
      <c r="RXN68" s="10"/>
      <c r="RXO68" s="10"/>
      <c r="RXP68" s="10"/>
      <c r="RXQ68" s="10"/>
      <c r="RXR68" s="10"/>
      <c r="RXS68" s="10"/>
      <c r="RXT68" s="10"/>
      <c r="RXU68" s="10"/>
      <c r="RXV68" s="10"/>
      <c r="RXW68" s="10"/>
      <c r="RXX68" s="10"/>
      <c r="RXY68" s="10"/>
      <c r="RXZ68" s="10"/>
      <c r="RYA68" s="10"/>
      <c r="RYB68" s="10"/>
      <c r="RYC68" s="10"/>
      <c r="RYD68" s="10"/>
      <c r="RYE68" s="10"/>
      <c r="RYF68" s="10"/>
      <c r="RYG68" s="10"/>
      <c r="RYH68" s="10"/>
      <c r="RYI68" s="10"/>
      <c r="RYJ68" s="10"/>
      <c r="RYK68" s="10"/>
      <c r="RYL68" s="10"/>
      <c r="RYM68" s="10"/>
      <c r="RYN68" s="10"/>
      <c r="RYO68" s="10"/>
      <c r="RYP68" s="10"/>
      <c r="RYQ68" s="10"/>
      <c r="RYR68" s="10"/>
      <c r="RYS68" s="10"/>
      <c r="RYT68" s="10"/>
      <c r="RYU68" s="10"/>
      <c r="RYV68" s="10"/>
      <c r="RYW68" s="10"/>
      <c r="RYX68" s="10"/>
      <c r="RYY68" s="10"/>
      <c r="RYZ68" s="10"/>
      <c r="RZA68" s="10"/>
      <c r="RZB68" s="10"/>
      <c r="RZC68" s="10"/>
      <c r="RZD68" s="10"/>
      <c r="RZE68" s="10"/>
      <c r="RZF68" s="10"/>
      <c r="RZG68" s="10"/>
      <c r="RZH68" s="10"/>
      <c r="RZI68" s="10"/>
      <c r="RZJ68" s="10"/>
      <c r="RZK68" s="10"/>
      <c r="RZL68" s="10"/>
      <c r="RZM68" s="10"/>
      <c r="RZN68" s="10"/>
      <c r="RZO68" s="10"/>
      <c r="RZP68" s="10"/>
      <c r="RZQ68" s="10"/>
      <c r="RZR68" s="10"/>
      <c r="RZS68" s="10"/>
      <c r="RZT68" s="10"/>
      <c r="RZU68" s="10"/>
      <c r="RZV68" s="10"/>
      <c r="RZW68" s="10"/>
      <c r="RZX68" s="10"/>
      <c r="RZY68" s="10"/>
      <c r="RZZ68" s="10"/>
      <c r="SAA68" s="10"/>
      <c r="SAB68" s="10"/>
      <c r="SAC68" s="10"/>
      <c r="SAD68" s="10"/>
      <c r="SAE68" s="10"/>
      <c r="SAF68" s="10"/>
      <c r="SAG68" s="10"/>
      <c r="SAH68" s="10"/>
      <c r="SAI68" s="10"/>
      <c r="SAJ68" s="10"/>
      <c r="SAK68" s="10"/>
      <c r="SAL68" s="10"/>
      <c r="SAM68" s="10"/>
      <c r="SAN68" s="10"/>
      <c r="SAO68" s="10"/>
      <c r="SAP68" s="10"/>
      <c r="SAQ68" s="10"/>
      <c r="SAR68" s="10"/>
      <c r="SAS68" s="10"/>
      <c r="SAT68" s="10"/>
      <c r="SAU68" s="10"/>
      <c r="SAV68" s="10"/>
      <c r="SAW68" s="10"/>
      <c r="SAX68" s="10"/>
      <c r="SAY68" s="10"/>
      <c r="SAZ68" s="10"/>
      <c r="SBA68" s="10"/>
      <c r="SBB68" s="10"/>
      <c r="SBC68" s="10"/>
      <c r="SBD68" s="10"/>
      <c r="SBE68" s="10"/>
      <c r="SBF68" s="10"/>
      <c r="SBG68" s="10"/>
      <c r="SBH68" s="10"/>
      <c r="SBI68" s="10"/>
      <c r="SBJ68" s="10"/>
      <c r="SBK68" s="10"/>
      <c r="SBL68" s="10"/>
      <c r="SBM68" s="10"/>
      <c r="SBN68" s="10"/>
      <c r="SBO68" s="10"/>
      <c r="SBP68" s="10"/>
      <c r="SBQ68" s="10"/>
      <c r="SBR68" s="10"/>
      <c r="SBS68" s="10"/>
      <c r="SBT68" s="10"/>
      <c r="SBU68" s="10"/>
      <c r="SBV68" s="10"/>
      <c r="SBW68" s="10"/>
      <c r="SBX68" s="10"/>
      <c r="SBY68" s="10"/>
      <c r="SBZ68" s="10"/>
      <c r="SCA68" s="10"/>
      <c r="SCB68" s="10"/>
      <c r="SCC68" s="10"/>
      <c r="SCD68" s="10"/>
      <c r="SCE68" s="10"/>
      <c r="SCF68" s="10"/>
      <c r="SCG68" s="10"/>
      <c r="SCH68" s="10"/>
      <c r="SCI68" s="10"/>
      <c r="SCJ68" s="10"/>
      <c r="SCK68" s="10"/>
      <c r="SCL68" s="10"/>
      <c r="SCM68" s="10"/>
      <c r="SCN68" s="10"/>
      <c r="SCO68" s="10"/>
      <c r="SCP68" s="10"/>
      <c r="SCQ68" s="10"/>
      <c r="SCR68" s="10"/>
      <c r="SCS68" s="10"/>
      <c r="SCT68" s="10"/>
      <c r="SCU68" s="10"/>
      <c r="SCV68" s="10"/>
      <c r="SCW68" s="10"/>
      <c r="SCX68" s="10"/>
      <c r="SCY68" s="10"/>
      <c r="SCZ68" s="10"/>
      <c r="SDA68" s="10"/>
      <c r="SDB68" s="10"/>
      <c r="SDC68" s="10"/>
      <c r="SDD68" s="10"/>
      <c r="SDE68" s="10"/>
      <c r="SDF68" s="10"/>
      <c r="SDG68" s="10"/>
      <c r="SDH68" s="10"/>
      <c r="SDI68" s="10"/>
      <c r="SDJ68" s="10"/>
      <c r="SDK68" s="10"/>
      <c r="SDL68" s="10"/>
      <c r="SDM68" s="10"/>
      <c r="SDN68" s="10"/>
      <c r="SDO68" s="10"/>
      <c r="SDP68" s="10"/>
      <c r="SDQ68" s="10"/>
      <c r="SDR68" s="10"/>
      <c r="SDS68" s="10"/>
      <c r="SDT68" s="10"/>
      <c r="SDU68" s="10"/>
      <c r="SDV68" s="10"/>
      <c r="SDW68" s="10"/>
      <c r="SDX68" s="10"/>
      <c r="SDY68" s="10"/>
      <c r="SDZ68" s="10"/>
      <c r="SEA68" s="10"/>
      <c r="SEB68" s="10"/>
      <c r="SEC68" s="10"/>
      <c r="SED68" s="10"/>
      <c r="SEE68" s="10"/>
      <c r="SEF68" s="10"/>
      <c r="SEG68" s="10"/>
      <c r="SEH68" s="10"/>
      <c r="SEI68" s="10"/>
      <c r="SEJ68" s="10"/>
      <c r="SEK68" s="10"/>
      <c r="SEL68" s="10"/>
      <c r="SEM68" s="10"/>
      <c r="SEN68" s="10"/>
      <c r="SEO68" s="10"/>
      <c r="SEP68" s="10"/>
      <c r="SEQ68" s="10"/>
      <c r="SER68" s="10"/>
      <c r="SES68" s="10"/>
      <c r="SET68" s="10"/>
      <c r="SEU68" s="10"/>
      <c r="SEV68" s="10"/>
      <c r="SEW68" s="10"/>
      <c r="SEX68" s="10"/>
      <c r="SEY68" s="10"/>
      <c r="SEZ68" s="10"/>
      <c r="SFA68" s="10"/>
      <c r="SFB68" s="10"/>
      <c r="SFC68" s="10"/>
      <c r="SFD68" s="10"/>
      <c r="SFE68" s="10"/>
      <c r="SFF68" s="10"/>
      <c r="SFG68" s="10"/>
      <c r="SFH68" s="10"/>
      <c r="SFI68" s="10"/>
      <c r="SFJ68" s="10"/>
      <c r="SFK68" s="10"/>
      <c r="SFL68" s="10"/>
      <c r="SFM68" s="10"/>
      <c r="SFN68" s="10"/>
      <c r="SFO68" s="10"/>
      <c r="SFP68" s="10"/>
      <c r="SFQ68" s="10"/>
      <c r="SFR68" s="10"/>
      <c r="SFS68" s="10"/>
      <c r="SFT68" s="10"/>
      <c r="SFU68" s="10"/>
      <c r="SFV68" s="10"/>
      <c r="SFW68" s="10"/>
      <c r="SFX68" s="10"/>
      <c r="SFY68" s="10"/>
      <c r="SFZ68" s="10"/>
      <c r="SGA68" s="10"/>
      <c r="SGB68" s="10"/>
      <c r="SGC68" s="10"/>
      <c r="SGD68" s="10"/>
      <c r="SGE68" s="10"/>
      <c r="SGF68" s="10"/>
      <c r="SGG68" s="10"/>
      <c r="SGH68" s="10"/>
      <c r="SGI68" s="10"/>
      <c r="SGJ68" s="10"/>
      <c r="SGK68" s="10"/>
      <c r="SGL68" s="10"/>
      <c r="SGM68" s="10"/>
      <c r="SGN68" s="10"/>
      <c r="SGO68" s="10"/>
      <c r="SGP68" s="10"/>
      <c r="SGQ68" s="10"/>
      <c r="SGR68" s="10"/>
      <c r="SGS68" s="10"/>
      <c r="SGT68" s="10"/>
      <c r="SGU68" s="10"/>
      <c r="SGV68" s="10"/>
      <c r="SGW68" s="10"/>
      <c r="SGX68" s="10"/>
      <c r="SGY68" s="10"/>
      <c r="SGZ68" s="10"/>
      <c r="SHA68" s="10"/>
      <c r="SHB68" s="10"/>
      <c r="SHC68" s="10"/>
      <c r="SHD68" s="10"/>
      <c r="SHE68" s="10"/>
      <c r="SHF68" s="10"/>
      <c r="SHG68" s="10"/>
      <c r="SHH68" s="10"/>
      <c r="SHI68" s="10"/>
      <c r="SHJ68" s="10"/>
      <c r="SHK68" s="10"/>
      <c r="SHL68" s="10"/>
      <c r="SHM68" s="10"/>
      <c r="SHN68" s="10"/>
      <c r="SHO68" s="10"/>
      <c r="SHP68" s="10"/>
      <c r="SHQ68" s="10"/>
      <c r="SHR68" s="10"/>
      <c r="SHS68" s="10"/>
      <c r="SHT68" s="10"/>
      <c r="SHU68" s="10"/>
      <c r="SHV68" s="10"/>
      <c r="SHW68" s="10"/>
      <c r="SHX68" s="10"/>
      <c r="SHY68" s="10"/>
      <c r="SHZ68" s="10"/>
      <c r="SIA68" s="10"/>
      <c r="SIB68" s="10"/>
      <c r="SIC68" s="10"/>
      <c r="SID68" s="10"/>
      <c r="SIE68" s="10"/>
      <c r="SIF68" s="10"/>
      <c r="SIG68" s="10"/>
      <c r="SIH68" s="10"/>
      <c r="SII68" s="10"/>
      <c r="SIJ68" s="10"/>
      <c r="SIK68" s="10"/>
      <c r="SIL68" s="10"/>
      <c r="SIM68" s="10"/>
      <c r="SIN68" s="10"/>
      <c r="SIO68" s="10"/>
      <c r="SIP68" s="10"/>
      <c r="SIQ68" s="10"/>
      <c r="SIR68" s="10"/>
      <c r="SIS68" s="10"/>
      <c r="SIT68" s="10"/>
      <c r="SIU68" s="10"/>
      <c r="SIV68" s="10"/>
      <c r="SIW68" s="10"/>
      <c r="SIX68" s="10"/>
      <c r="SIY68" s="10"/>
      <c r="SIZ68" s="10"/>
      <c r="SJA68" s="10"/>
      <c r="SJB68" s="10"/>
      <c r="SJC68" s="10"/>
      <c r="SJD68" s="10"/>
      <c r="SJE68" s="10"/>
      <c r="SJF68" s="10"/>
      <c r="SJG68" s="10"/>
      <c r="SJH68" s="10"/>
      <c r="SJI68" s="10"/>
      <c r="SJJ68" s="10"/>
      <c r="SJK68" s="10"/>
      <c r="SJL68" s="10"/>
      <c r="SJM68" s="10"/>
      <c r="SJN68" s="10"/>
      <c r="SJO68" s="10"/>
      <c r="SJP68" s="10"/>
      <c r="SJQ68" s="10"/>
      <c r="SJR68" s="10"/>
      <c r="SJS68" s="10"/>
      <c r="SJT68" s="10"/>
      <c r="SJU68" s="10"/>
      <c r="SJV68" s="10"/>
      <c r="SJW68" s="10"/>
      <c r="SJX68" s="10"/>
      <c r="SJY68" s="10"/>
      <c r="SJZ68" s="10"/>
      <c r="SKA68" s="10"/>
      <c r="SKB68" s="10"/>
      <c r="SKC68" s="10"/>
      <c r="SKD68" s="10"/>
      <c r="SKE68" s="10"/>
      <c r="SKF68" s="10"/>
      <c r="SKG68" s="10"/>
      <c r="SKH68" s="10"/>
      <c r="SKI68" s="10"/>
      <c r="SKJ68" s="10"/>
      <c r="SKK68" s="10"/>
      <c r="SKL68" s="10"/>
      <c r="SKM68" s="10"/>
      <c r="SKN68" s="10"/>
      <c r="SKO68" s="10"/>
      <c r="SKP68" s="10"/>
      <c r="SKQ68" s="10"/>
      <c r="SKR68" s="10"/>
      <c r="SKS68" s="10"/>
      <c r="SKT68" s="10"/>
      <c r="SKU68" s="10"/>
      <c r="SKV68" s="10"/>
      <c r="SKW68" s="10"/>
      <c r="SKX68" s="10"/>
      <c r="SKY68" s="10"/>
      <c r="SKZ68" s="10"/>
      <c r="SLA68" s="10"/>
      <c r="SLB68" s="10"/>
      <c r="SLC68" s="10"/>
      <c r="SLD68" s="10"/>
      <c r="SLE68" s="10"/>
      <c r="SLF68" s="10"/>
      <c r="SLG68" s="10"/>
      <c r="SLH68" s="10"/>
      <c r="SLI68" s="10"/>
      <c r="SLJ68" s="10"/>
      <c r="SLK68" s="10"/>
      <c r="SLL68" s="10"/>
      <c r="SLM68" s="10"/>
      <c r="SLN68" s="10"/>
      <c r="SLO68" s="10"/>
      <c r="SLP68" s="10"/>
      <c r="SLQ68" s="10"/>
      <c r="SLR68" s="10"/>
      <c r="SLS68" s="10"/>
      <c r="SLT68" s="10"/>
      <c r="SLU68" s="10"/>
      <c r="SLV68" s="10"/>
      <c r="SLW68" s="10"/>
      <c r="SLX68" s="10"/>
      <c r="SLY68" s="10"/>
      <c r="SLZ68" s="10"/>
      <c r="SMA68" s="10"/>
      <c r="SMB68" s="10"/>
      <c r="SMC68" s="10"/>
      <c r="SMD68" s="10"/>
      <c r="SME68" s="10"/>
      <c r="SMF68" s="10"/>
      <c r="SMG68" s="10"/>
      <c r="SMH68" s="10"/>
      <c r="SMI68" s="10"/>
      <c r="SMJ68" s="10"/>
      <c r="SMK68" s="10"/>
      <c r="SML68" s="10"/>
      <c r="SMM68" s="10"/>
      <c r="SMN68" s="10"/>
      <c r="SMO68" s="10"/>
      <c r="SMP68" s="10"/>
      <c r="SMQ68" s="10"/>
      <c r="SMR68" s="10"/>
      <c r="SMS68" s="10"/>
      <c r="SMT68" s="10"/>
      <c r="SMU68" s="10"/>
      <c r="SMV68" s="10"/>
      <c r="SMW68" s="10"/>
      <c r="SMX68" s="10"/>
      <c r="SMY68" s="10"/>
      <c r="SMZ68" s="10"/>
      <c r="SNA68" s="10"/>
      <c r="SNB68" s="10"/>
      <c r="SNC68" s="10"/>
      <c r="SND68" s="10"/>
      <c r="SNE68" s="10"/>
      <c r="SNF68" s="10"/>
      <c r="SNG68" s="10"/>
      <c r="SNH68" s="10"/>
      <c r="SNI68" s="10"/>
      <c r="SNJ68" s="10"/>
      <c r="SNK68" s="10"/>
      <c r="SNL68" s="10"/>
      <c r="SNM68" s="10"/>
      <c r="SNN68" s="10"/>
      <c r="SNO68" s="10"/>
      <c r="SNP68" s="10"/>
      <c r="SNQ68" s="10"/>
      <c r="SNR68" s="10"/>
      <c r="SNS68" s="10"/>
      <c r="SNT68" s="10"/>
      <c r="SNU68" s="10"/>
      <c r="SNV68" s="10"/>
      <c r="SNW68" s="10"/>
      <c r="SNX68" s="10"/>
      <c r="SNY68" s="10"/>
      <c r="SNZ68" s="10"/>
      <c r="SOA68" s="10"/>
      <c r="SOB68" s="10"/>
      <c r="SOC68" s="10"/>
      <c r="SOD68" s="10"/>
      <c r="SOE68" s="10"/>
      <c r="SOF68" s="10"/>
      <c r="SOG68" s="10"/>
      <c r="SOH68" s="10"/>
      <c r="SOI68" s="10"/>
      <c r="SOJ68" s="10"/>
      <c r="SOK68" s="10"/>
      <c r="SOL68" s="10"/>
      <c r="SOM68" s="10"/>
      <c r="SON68" s="10"/>
      <c r="SOO68" s="10"/>
      <c r="SOP68" s="10"/>
      <c r="SOQ68" s="10"/>
      <c r="SOR68" s="10"/>
      <c r="SOS68" s="10"/>
      <c r="SOT68" s="10"/>
      <c r="SOU68" s="10"/>
      <c r="SOV68" s="10"/>
      <c r="SOW68" s="10"/>
      <c r="SOX68" s="10"/>
      <c r="SOY68" s="10"/>
      <c r="SOZ68" s="10"/>
      <c r="SPA68" s="10"/>
      <c r="SPB68" s="10"/>
      <c r="SPC68" s="10"/>
      <c r="SPD68" s="10"/>
      <c r="SPE68" s="10"/>
      <c r="SPF68" s="10"/>
      <c r="SPG68" s="10"/>
      <c r="SPH68" s="10"/>
      <c r="SPI68" s="10"/>
      <c r="SPJ68" s="10"/>
      <c r="SPK68" s="10"/>
      <c r="SPL68" s="10"/>
      <c r="SPM68" s="10"/>
      <c r="SPN68" s="10"/>
      <c r="SPO68" s="10"/>
      <c r="SPP68" s="10"/>
      <c r="SPQ68" s="10"/>
      <c r="SPR68" s="10"/>
      <c r="SPS68" s="10"/>
      <c r="SPT68" s="10"/>
      <c r="SPU68" s="10"/>
      <c r="SPV68" s="10"/>
      <c r="SPW68" s="10"/>
      <c r="SPX68" s="10"/>
      <c r="SPY68" s="10"/>
      <c r="SPZ68" s="10"/>
      <c r="SQA68" s="10"/>
      <c r="SQB68" s="10"/>
      <c r="SQC68" s="10"/>
      <c r="SQD68" s="10"/>
      <c r="SQE68" s="10"/>
      <c r="SQF68" s="10"/>
      <c r="SQG68" s="10"/>
      <c r="SQH68" s="10"/>
      <c r="SQI68" s="10"/>
      <c r="SQJ68" s="10"/>
      <c r="SQK68" s="10"/>
      <c r="SQL68" s="10"/>
      <c r="SQM68" s="10"/>
      <c r="SQN68" s="10"/>
      <c r="SQO68" s="10"/>
      <c r="SQP68" s="10"/>
      <c r="SQQ68" s="10"/>
      <c r="SQR68" s="10"/>
      <c r="SQS68" s="10"/>
      <c r="SQT68" s="10"/>
      <c r="SQU68" s="10"/>
      <c r="SQV68" s="10"/>
      <c r="SQW68" s="10"/>
      <c r="SQX68" s="10"/>
      <c r="SQY68" s="10"/>
      <c r="SQZ68" s="10"/>
      <c r="SRA68" s="10"/>
      <c r="SRB68" s="10"/>
      <c r="SRC68" s="10"/>
      <c r="SRD68" s="10"/>
      <c r="SRE68" s="10"/>
      <c r="SRF68" s="10"/>
      <c r="SRG68" s="10"/>
      <c r="SRH68" s="10"/>
      <c r="SRI68" s="10"/>
      <c r="SRJ68" s="10"/>
      <c r="SRK68" s="10"/>
      <c r="SRL68" s="10"/>
      <c r="SRM68" s="10"/>
      <c r="SRN68" s="10"/>
      <c r="SRO68" s="10"/>
      <c r="SRP68" s="10"/>
      <c r="SRQ68" s="10"/>
      <c r="SRR68" s="10"/>
      <c r="SRS68" s="10"/>
      <c r="SRT68" s="10"/>
      <c r="SRU68" s="10"/>
      <c r="SRV68" s="10"/>
      <c r="SRW68" s="10"/>
      <c r="SRX68" s="10"/>
      <c r="SRY68" s="10"/>
      <c r="SRZ68" s="10"/>
      <c r="SSA68" s="10"/>
      <c r="SSB68" s="10"/>
      <c r="SSC68" s="10"/>
      <c r="SSD68" s="10"/>
      <c r="SSE68" s="10"/>
      <c r="SSF68" s="10"/>
      <c r="SSG68" s="10"/>
      <c r="SSH68" s="10"/>
      <c r="SSI68" s="10"/>
      <c r="SSJ68" s="10"/>
      <c r="SSK68" s="10"/>
      <c r="SSL68" s="10"/>
      <c r="SSM68" s="10"/>
      <c r="SSN68" s="10"/>
      <c r="SSO68" s="10"/>
      <c r="SSP68" s="10"/>
      <c r="SSQ68" s="10"/>
      <c r="SSR68" s="10"/>
      <c r="SSS68" s="10"/>
      <c r="SST68" s="10"/>
      <c r="SSU68" s="10"/>
      <c r="SSV68" s="10"/>
      <c r="SSW68" s="10"/>
      <c r="SSX68" s="10"/>
      <c r="SSY68" s="10"/>
      <c r="SSZ68" s="10"/>
      <c r="STA68" s="10"/>
      <c r="STB68" s="10"/>
      <c r="STC68" s="10"/>
      <c r="STD68" s="10"/>
      <c r="STE68" s="10"/>
      <c r="STF68" s="10"/>
      <c r="STG68" s="10"/>
      <c r="STH68" s="10"/>
      <c r="STI68" s="10"/>
      <c r="STJ68" s="10"/>
      <c r="STK68" s="10"/>
      <c r="STL68" s="10"/>
      <c r="STM68" s="10"/>
      <c r="STN68" s="10"/>
      <c r="STO68" s="10"/>
      <c r="STP68" s="10"/>
      <c r="STQ68" s="10"/>
      <c r="STR68" s="10"/>
      <c r="STS68" s="10"/>
      <c r="STT68" s="10"/>
      <c r="STU68" s="10"/>
      <c r="STV68" s="10"/>
      <c r="STW68" s="10"/>
      <c r="STX68" s="10"/>
      <c r="STY68" s="10"/>
      <c r="STZ68" s="10"/>
      <c r="SUA68" s="10"/>
      <c r="SUB68" s="10"/>
      <c r="SUC68" s="10"/>
      <c r="SUD68" s="10"/>
      <c r="SUE68" s="10"/>
      <c r="SUF68" s="10"/>
      <c r="SUG68" s="10"/>
      <c r="SUH68" s="10"/>
      <c r="SUI68" s="10"/>
      <c r="SUJ68" s="10"/>
      <c r="SUK68" s="10"/>
      <c r="SUL68" s="10"/>
      <c r="SUM68" s="10"/>
      <c r="SUN68" s="10"/>
      <c r="SUO68" s="10"/>
      <c r="SUP68" s="10"/>
      <c r="SUQ68" s="10"/>
      <c r="SUR68" s="10"/>
      <c r="SUS68" s="10"/>
      <c r="SUT68" s="10"/>
      <c r="SUU68" s="10"/>
      <c r="SUV68" s="10"/>
      <c r="SUW68" s="10"/>
      <c r="SUX68" s="10"/>
      <c r="SUY68" s="10"/>
      <c r="SUZ68" s="10"/>
      <c r="SVA68" s="10"/>
      <c r="SVB68" s="10"/>
      <c r="SVC68" s="10"/>
      <c r="SVD68" s="10"/>
      <c r="SVE68" s="10"/>
      <c r="SVF68" s="10"/>
      <c r="SVG68" s="10"/>
      <c r="SVH68" s="10"/>
      <c r="SVI68" s="10"/>
      <c r="SVJ68" s="10"/>
      <c r="SVK68" s="10"/>
      <c r="SVL68" s="10"/>
      <c r="SVM68" s="10"/>
      <c r="SVN68" s="10"/>
      <c r="SVO68" s="10"/>
      <c r="SVP68" s="10"/>
      <c r="SVQ68" s="10"/>
      <c r="SVR68" s="10"/>
      <c r="SVS68" s="10"/>
      <c r="SVT68" s="10"/>
      <c r="SVU68" s="10"/>
      <c r="SVV68" s="10"/>
      <c r="SVW68" s="10"/>
      <c r="SVX68" s="10"/>
      <c r="SVY68" s="10"/>
      <c r="SVZ68" s="10"/>
      <c r="SWA68" s="10"/>
      <c r="SWB68" s="10"/>
      <c r="SWC68" s="10"/>
      <c r="SWD68" s="10"/>
      <c r="SWE68" s="10"/>
      <c r="SWF68" s="10"/>
      <c r="SWG68" s="10"/>
      <c r="SWH68" s="10"/>
      <c r="SWI68" s="10"/>
      <c r="SWJ68" s="10"/>
      <c r="SWK68" s="10"/>
      <c r="SWL68" s="10"/>
      <c r="SWM68" s="10"/>
      <c r="SWN68" s="10"/>
      <c r="SWO68" s="10"/>
      <c r="SWP68" s="10"/>
      <c r="SWQ68" s="10"/>
      <c r="SWR68" s="10"/>
      <c r="SWS68" s="10"/>
      <c r="SWT68" s="10"/>
      <c r="SWU68" s="10"/>
      <c r="SWV68" s="10"/>
      <c r="SWW68" s="10"/>
      <c r="SWX68" s="10"/>
      <c r="SWY68" s="10"/>
      <c r="SWZ68" s="10"/>
      <c r="SXA68" s="10"/>
      <c r="SXB68" s="10"/>
      <c r="SXC68" s="10"/>
      <c r="SXD68" s="10"/>
      <c r="SXE68" s="10"/>
      <c r="SXF68" s="10"/>
      <c r="SXG68" s="10"/>
      <c r="SXH68" s="10"/>
      <c r="SXI68" s="10"/>
      <c r="SXJ68" s="10"/>
      <c r="SXK68" s="10"/>
      <c r="SXL68" s="10"/>
      <c r="SXM68" s="10"/>
      <c r="SXN68" s="10"/>
      <c r="SXO68" s="10"/>
      <c r="SXP68" s="10"/>
      <c r="SXQ68" s="10"/>
      <c r="SXR68" s="10"/>
      <c r="SXS68" s="10"/>
      <c r="SXT68" s="10"/>
      <c r="SXU68" s="10"/>
      <c r="SXV68" s="10"/>
      <c r="SXW68" s="10"/>
      <c r="SXX68" s="10"/>
      <c r="SXY68" s="10"/>
      <c r="SXZ68" s="10"/>
      <c r="SYA68" s="10"/>
      <c r="SYB68" s="10"/>
      <c r="SYC68" s="10"/>
      <c r="SYD68" s="10"/>
      <c r="SYE68" s="10"/>
      <c r="SYF68" s="10"/>
      <c r="SYG68" s="10"/>
      <c r="SYH68" s="10"/>
      <c r="SYI68" s="10"/>
      <c r="SYJ68" s="10"/>
      <c r="SYK68" s="10"/>
      <c r="SYL68" s="10"/>
      <c r="SYM68" s="10"/>
      <c r="SYN68" s="10"/>
      <c r="SYO68" s="10"/>
      <c r="SYP68" s="10"/>
      <c r="SYQ68" s="10"/>
      <c r="SYR68" s="10"/>
      <c r="SYS68" s="10"/>
      <c r="SYT68" s="10"/>
      <c r="SYU68" s="10"/>
      <c r="SYV68" s="10"/>
      <c r="SYW68" s="10"/>
      <c r="SYX68" s="10"/>
      <c r="SYY68" s="10"/>
      <c r="SYZ68" s="10"/>
      <c r="SZA68" s="10"/>
      <c r="SZB68" s="10"/>
      <c r="SZC68" s="10"/>
      <c r="SZD68" s="10"/>
      <c r="SZE68" s="10"/>
      <c r="SZF68" s="10"/>
      <c r="SZG68" s="10"/>
      <c r="SZH68" s="10"/>
      <c r="SZI68" s="10"/>
      <c r="SZJ68" s="10"/>
      <c r="SZK68" s="10"/>
      <c r="SZL68" s="10"/>
      <c r="SZM68" s="10"/>
      <c r="SZN68" s="10"/>
      <c r="SZO68" s="10"/>
      <c r="SZP68" s="10"/>
      <c r="SZQ68" s="10"/>
      <c r="SZR68" s="10"/>
      <c r="SZS68" s="10"/>
      <c r="SZT68" s="10"/>
      <c r="SZU68" s="10"/>
      <c r="SZV68" s="10"/>
      <c r="SZW68" s="10"/>
      <c r="SZX68" s="10"/>
      <c r="SZY68" s="10"/>
      <c r="SZZ68" s="10"/>
      <c r="TAA68" s="10"/>
      <c r="TAB68" s="10"/>
      <c r="TAC68" s="10"/>
      <c r="TAD68" s="10"/>
      <c r="TAE68" s="10"/>
      <c r="TAF68" s="10"/>
      <c r="TAG68" s="10"/>
      <c r="TAH68" s="10"/>
      <c r="TAI68" s="10"/>
      <c r="TAJ68" s="10"/>
      <c r="TAK68" s="10"/>
      <c r="TAL68" s="10"/>
      <c r="TAM68" s="10"/>
      <c r="TAN68" s="10"/>
      <c r="TAO68" s="10"/>
      <c r="TAP68" s="10"/>
      <c r="TAQ68" s="10"/>
      <c r="TAR68" s="10"/>
      <c r="TAS68" s="10"/>
      <c r="TAT68" s="10"/>
      <c r="TAU68" s="10"/>
      <c r="TAV68" s="10"/>
      <c r="TAW68" s="10"/>
      <c r="TAX68" s="10"/>
      <c r="TAY68" s="10"/>
      <c r="TAZ68" s="10"/>
      <c r="TBA68" s="10"/>
      <c r="TBB68" s="10"/>
      <c r="TBC68" s="10"/>
      <c r="TBD68" s="10"/>
      <c r="TBE68" s="10"/>
      <c r="TBF68" s="10"/>
      <c r="TBG68" s="10"/>
      <c r="TBH68" s="10"/>
      <c r="TBI68" s="10"/>
      <c r="TBJ68" s="10"/>
      <c r="TBK68" s="10"/>
      <c r="TBL68" s="10"/>
      <c r="TBM68" s="10"/>
      <c r="TBN68" s="10"/>
      <c r="TBO68" s="10"/>
      <c r="TBP68" s="10"/>
      <c r="TBQ68" s="10"/>
      <c r="TBR68" s="10"/>
      <c r="TBS68" s="10"/>
      <c r="TBT68" s="10"/>
      <c r="TBU68" s="10"/>
      <c r="TBV68" s="10"/>
      <c r="TBW68" s="10"/>
      <c r="TBX68" s="10"/>
      <c r="TBY68" s="10"/>
      <c r="TBZ68" s="10"/>
      <c r="TCA68" s="10"/>
      <c r="TCB68" s="10"/>
      <c r="TCC68" s="10"/>
      <c r="TCD68" s="10"/>
      <c r="TCE68" s="10"/>
      <c r="TCF68" s="10"/>
      <c r="TCG68" s="10"/>
      <c r="TCH68" s="10"/>
      <c r="TCI68" s="10"/>
      <c r="TCJ68" s="10"/>
      <c r="TCK68" s="10"/>
      <c r="TCL68" s="10"/>
      <c r="TCM68" s="10"/>
      <c r="TCN68" s="10"/>
      <c r="TCO68" s="10"/>
      <c r="TCP68" s="10"/>
      <c r="TCQ68" s="10"/>
      <c r="TCR68" s="10"/>
      <c r="TCS68" s="10"/>
      <c r="TCT68" s="10"/>
      <c r="TCU68" s="10"/>
      <c r="TCV68" s="10"/>
      <c r="TCW68" s="10"/>
      <c r="TCX68" s="10"/>
      <c r="TCY68" s="10"/>
      <c r="TCZ68" s="10"/>
      <c r="TDA68" s="10"/>
      <c r="TDB68" s="10"/>
      <c r="TDC68" s="10"/>
      <c r="TDD68" s="10"/>
      <c r="TDE68" s="10"/>
      <c r="TDF68" s="10"/>
      <c r="TDG68" s="10"/>
      <c r="TDH68" s="10"/>
      <c r="TDI68" s="10"/>
      <c r="TDJ68" s="10"/>
      <c r="TDK68" s="10"/>
      <c r="TDL68" s="10"/>
      <c r="TDM68" s="10"/>
      <c r="TDN68" s="10"/>
      <c r="TDO68" s="10"/>
      <c r="TDP68" s="10"/>
      <c r="TDQ68" s="10"/>
      <c r="TDR68" s="10"/>
      <c r="TDS68" s="10"/>
      <c r="TDT68" s="10"/>
      <c r="TDU68" s="10"/>
      <c r="TDV68" s="10"/>
      <c r="TDW68" s="10"/>
      <c r="TDX68" s="10"/>
      <c r="TDY68" s="10"/>
      <c r="TDZ68" s="10"/>
      <c r="TEA68" s="10"/>
      <c r="TEB68" s="10"/>
      <c r="TEC68" s="10"/>
      <c r="TED68" s="10"/>
      <c r="TEE68" s="10"/>
      <c r="TEF68" s="10"/>
      <c r="TEG68" s="10"/>
      <c r="TEH68" s="10"/>
      <c r="TEI68" s="10"/>
      <c r="TEJ68" s="10"/>
      <c r="TEK68" s="10"/>
      <c r="TEL68" s="10"/>
      <c r="TEM68" s="10"/>
      <c r="TEN68" s="10"/>
      <c r="TEO68" s="10"/>
      <c r="TEP68" s="10"/>
      <c r="TEQ68" s="10"/>
      <c r="TER68" s="10"/>
      <c r="TES68" s="10"/>
      <c r="TET68" s="10"/>
      <c r="TEU68" s="10"/>
      <c r="TEV68" s="10"/>
      <c r="TEW68" s="10"/>
      <c r="TEX68" s="10"/>
      <c r="TEY68" s="10"/>
      <c r="TEZ68" s="10"/>
      <c r="TFA68" s="10"/>
      <c r="TFB68" s="10"/>
      <c r="TFC68" s="10"/>
      <c r="TFD68" s="10"/>
      <c r="TFE68" s="10"/>
      <c r="TFF68" s="10"/>
      <c r="TFG68" s="10"/>
      <c r="TFH68" s="10"/>
      <c r="TFI68" s="10"/>
      <c r="TFJ68" s="10"/>
      <c r="TFK68" s="10"/>
      <c r="TFL68" s="10"/>
      <c r="TFM68" s="10"/>
      <c r="TFN68" s="10"/>
      <c r="TFO68" s="10"/>
      <c r="TFP68" s="10"/>
      <c r="TFQ68" s="10"/>
      <c r="TFR68" s="10"/>
      <c r="TFS68" s="10"/>
      <c r="TFT68" s="10"/>
      <c r="TFU68" s="10"/>
      <c r="TFV68" s="10"/>
      <c r="TFW68" s="10"/>
      <c r="TFX68" s="10"/>
      <c r="TFY68" s="10"/>
      <c r="TFZ68" s="10"/>
      <c r="TGA68" s="10"/>
      <c r="TGB68" s="10"/>
      <c r="TGC68" s="10"/>
      <c r="TGD68" s="10"/>
      <c r="TGE68" s="10"/>
      <c r="TGF68" s="10"/>
      <c r="TGG68" s="10"/>
      <c r="TGH68" s="10"/>
      <c r="TGI68" s="10"/>
      <c r="TGJ68" s="10"/>
      <c r="TGK68" s="10"/>
      <c r="TGL68" s="10"/>
      <c r="TGM68" s="10"/>
      <c r="TGN68" s="10"/>
      <c r="TGO68" s="10"/>
      <c r="TGP68" s="10"/>
      <c r="TGQ68" s="10"/>
      <c r="TGR68" s="10"/>
      <c r="TGS68" s="10"/>
      <c r="TGT68" s="10"/>
      <c r="TGU68" s="10"/>
      <c r="TGV68" s="10"/>
      <c r="TGW68" s="10"/>
      <c r="TGX68" s="10"/>
      <c r="TGY68" s="10"/>
      <c r="TGZ68" s="10"/>
      <c r="THA68" s="10"/>
      <c r="THB68" s="10"/>
      <c r="THC68" s="10"/>
      <c r="THD68" s="10"/>
      <c r="THE68" s="10"/>
      <c r="THF68" s="10"/>
      <c r="THG68" s="10"/>
      <c r="THH68" s="10"/>
      <c r="THI68" s="10"/>
      <c r="THJ68" s="10"/>
      <c r="THK68" s="10"/>
      <c r="THL68" s="10"/>
      <c r="THM68" s="10"/>
      <c r="THN68" s="10"/>
      <c r="THO68" s="10"/>
      <c r="THP68" s="10"/>
      <c r="THQ68" s="10"/>
      <c r="THR68" s="10"/>
      <c r="THS68" s="10"/>
      <c r="THT68" s="10"/>
      <c r="THU68" s="10"/>
      <c r="THV68" s="10"/>
      <c r="THW68" s="10"/>
      <c r="THX68" s="10"/>
      <c r="THY68" s="10"/>
      <c r="THZ68" s="10"/>
      <c r="TIA68" s="10"/>
      <c r="TIB68" s="10"/>
      <c r="TIC68" s="10"/>
      <c r="TID68" s="10"/>
      <c r="TIE68" s="10"/>
      <c r="TIF68" s="10"/>
      <c r="TIG68" s="10"/>
      <c r="TIH68" s="10"/>
      <c r="TII68" s="10"/>
      <c r="TIJ68" s="10"/>
      <c r="TIK68" s="10"/>
      <c r="TIL68" s="10"/>
      <c r="TIM68" s="10"/>
      <c r="TIN68" s="10"/>
      <c r="TIO68" s="10"/>
      <c r="TIP68" s="10"/>
      <c r="TIQ68" s="10"/>
      <c r="TIR68" s="10"/>
      <c r="TIS68" s="10"/>
      <c r="TIT68" s="10"/>
      <c r="TIU68" s="10"/>
      <c r="TIV68" s="10"/>
      <c r="TIW68" s="10"/>
      <c r="TIX68" s="10"/>
      <c r="TIY68" s="10"/>
      <c r="TIZ68" s="10"/>
      <c r="TJA68" s="10"/>
      <c r="TJB68" s="10"/>
      <c r="TJC68" s="10"/>
      <c r="TJD68" s="10"/>
      <c r="TJE68" s="10"/>
      <c r="TJF68" s="10"/>
      <c r="TJG68" s="10"/>
      <c r="TJH68" s="10"/>
      <c r="TJI68" s="10"/>
      <c r="TJJ68" s="10"/>
      <c r="TJK68" s="10"/>
      <c r="TJL68" s="10"/>
      <c r="TJM68" s="10"/>
      <c r="TJN68" s="10"/>
      <c r="TJO68" s="10"/>
      <c r="TJP68" s="10"/>
      <c r="TJQ68" s="10"/>
      <c r="TJR68" s="10"/>
      <c r="TJS68" s="10"/>
      <c r="TJT68" s="10"/>
      <c r="TJU68" s="10"/>
      <c r="TJV68" s="10"/>
      <c r="TJW68" s="10"/>
      <c r="TJX68" s="10"/>
      <c r="TJY68" s="10"/>
      <c r="TJZ68" s="10"/>
      <c r="TKA68" s="10"/>
      <c r="TKB68" s="10"/>
      <c r="TKC68" s="10"/>
      <c r="TKD68" s="10"/>
      <c r="TKE68" s="10"/>
      <c r="TKF68" s="10"/>
      <c r="TKG68" s="10"/>
      <c r="TKH68" s="10"/>
      <c r="TKI68" s="10"/>
      <c r="TKJ68" s="10"/>
      <c r="TKK68" s="10"/>
      <c r="TKL68" s="10"/>
      <c r="TKM68" s="10"/>
      <c r="TKN68" s="10"/>
      <c r="TKO68" s="10"/>
      <c r="TKP68" s="10"/>
      <c r="TKQ68" s="10"/>
      <c r="TKR68" s="10"/>
      <c r="TKS68" s="10"/>
      <c r="TKT68" s="10"/>
      <c r="TKU68" s="10"/>
      <c r="TKV68" s="10"/>
      <c r="TKW68" s="10"/>
      <c r="TKX68" s="10"/>
      <c r="TKY68" s="10"/>
      <c r="TKZ68" s="10"/>
      <c r="TLA68" s="10"/>
      <c r="TLB68" s="10"/>
      <c r="TLC68" s="10"/>
      <c r="TLD68" s="10"/>
      <c r="TLE68" s="10"/>
      <c r="TLF68" s="10"/>
      <c r="TLG68" s="10"/>
      <c r="TLH68" s="10"/>
      <c r="TLI68" s="10"/>
      <c r="TLJ68" s="10"/>
      <c r="TLK68" s="10"/>
      <c r="TLL68" s="10"/>
      <c r="TLM68" s="10"/>
      <c r="TLN68" s="10"/>
      <c r="TLO68" s="10"/>
      <c r="TLP68" s="10"/>
      <c r="TLQ68" s="10"/>
      <c r="TLR68" s="10"/>
      <c r="TLS68" s="10"/>
      <c r="TLT68" s="10"/>
      <c r="TLU68" s="10"/>
      <c r="TLV68" s="10"/>
      <c r="TLW68" s="10"/>
      <c r="TLX68" s="10"/>
      <c r="TLY68" s="10"/>
      <c r="TLZ68" s="10"/>
      <c r="TMA68" s="10"/>
      <c r="TMB68" s="10"/>
      <c r="TMC68" s="10"/>
      <c r="TMD68" s="10"/>
      <c r="TME68" s="10"/>
      <c r="TMF68" s="10"/>
      <c r="TMG68" s="10"/>
      <c r="TMH68" s="10"/>
      <c r="TMI68" s="10"/>
      <c r="TMJ68" s="10"/>
      <c r="TMK68" s="10"/>
      <c r="TML68" s="10"/>
      <c r="TMM68" s="10"/>
      <c r="TMN68" s="10"/>
      <c r="TMO68" s="10"/>
      <c r="TMP68" s="10"/>
      <c r="TMQ68" s="10"/>
      <c r="TMR68" s="10"/>
      <c r="TMS68" s="10"/>
      <c r="TMT68" s="10"/>
      <c r="TMU68" s="10"/>
      <c r="TMV68" s="10"/>
      <c r="TMW68" s="10"/>
      <c r="TMX68" s="10"/>
      <c r="TMY68" s="10"/>
      <c r="TMZ68" s="10"/>
      <c r="TNA68" s="10"/>
      <c r="TNB68" s="10"/>
      <c r="TNC68" s="10"/>
      <c r="TND68" s="10"/>
      <c r="TNE68" s="10"/>
      <c r="TNF68" s="10"/>
      <c r="TNG68" s="10"/>
      <c r="TNH68" s="10"/>
      <c r="TNI68" s="10"/>
      <c r="TNJ68" s="10"/>
      <c r="TNK68" s="10"/>
      <c r="TNL68" s="10"/>
      <c r="TNM68" s="10"/>
      <c r="TNN68" s="10"/>
      <c r="TNO68" s="10"/>
      <c r="TNP68" s="10"/>
      <c r="TNQ68" s="10"/>
      <c r="TNR68" s="10"/>
      <c r="TNS68" s="10"/>
      <c r="TNT68" s="10"/>
      <c r="TNU68" s="10"/>
      <c r="TNV68" s="10"/>
      <c r="TNW68" s="10"/>
      <c r="TNX68" s="10"/>
      <c r="TNY68" s="10"/>
      <c r="TNZ68" s="10"/>
      <c r="TOA68" s="10"/>
      <c r="TOB68" s="10"/>
      <c r="TOC68" s="10"/>
      <c r="TOD68" s="10"/>
      <c r="TOE68" s="10"/>
      <c r="TOF68" s="10"/>
      <c r="TOG68" s="10"/>
      <c r="TOH68" s="10"/>
      <c r="TOI68" s="10"/>
      <c r="TOJ68" s="10"/>
      <c r="TOK68" s="10"/>
      <c r="TOL68" s="10"/>
      <c r="TOM68" s="10"/>
      <c r="TON68" s="10"/>
      <c r="TOO68" s="10"/>
      <c r="TOP68" s="10"/>
      <c r="TOQ68" s="10"/>
      <c r="TOR68" s="10"/>
      <c r="TOS68" s="10"/>
      <c r="TOT68" s="10"/>
      <c r="TOU68" s="10"/>
      <c r="TOV68" s="10"/>
      <c r="TOW68" s="10"/>
      <c r="TOX68" s="10"/>
      <c r="TOY68" s="10"/>
      <c r="TOZ68" s="10"/>
      <c r="TPA68" s="10"/>
      <c r="TPB68" s="10"/>
      <c r="TPC68" s="10"/>
      <c r="TPD68" s="10"/>
      <c r="TPE68" s="10"/>
      <c r="TPF68" s="10"/>
      <c r="TPG68" s="10"/>
      <c r="TPH68" s="10"/>
      <c r="TPI68" s="10"/>
      <c r="TPJ68" s="10"/>
      <c r="TPK68" s="10"/>
      <c r="TPL68" s="10"/>
      <c r="TPM68" s="10"/>
      <c r="TPN68" s="10"/>
      <c r="TPO68" s="10"/>
      <c r="TPP68" s="10"/>
      <c r="TPQ68" s="10"/>
      <c r="TPR68" s="10"/>
      <c r="TPS68" s="10"/>
      <c r="TPT68" s="10"/>
      <c r="TPU68" s="10"/>
      <c r="TPV68" s="10"/>
      <c r="TPW68" s="10"/>
      <c r="TPX68" s="10"/>
      <c r="TPY68" s="10"/>
      <c r="TPZ68" s="10"/>
      <c r="TQA68" s="10"/>
      <c r="TQB68" s="10"/>
      <c r="TQC68" s="10"/>
      <c r="TQD68" s="10"/>
      <c r="TQE68" s="10"/>
      <c r="TQF68" s="10"/>
      <c r="TQG68" s="10"/>
      <c r="TQH68" s="10"/>
      <c r="TQI68" s="10"/>
      <c r="TQJ68" s="10"/>
      <c r="TQK68" s="10"/>
      <c r="TQL68" s="10"/>
      <c r="TQM68" s="10"/>
      <c r="TQN68" s="10"/>
      <c r="TQO68" s="10"/>
      <c r="TQP68" s="10"/>
      <c r="TQQ68" s="10"/>
      <c r="TQR68" s="10"/>
      <c r="TQS68" s="10"/>
      <c r="TQT68" s="10"/>
      <c r="TQU68" s="10"/>
      <c r="TQV68" s="10"/>
      <c r="TQW68" s="10"/>
      <c r="TQX68" s="10"/>
      <c r="TQY68" s="10"/>
      <c r="TQZ68" s="10"/>
      <c r="TRA68" s="10"/>
      <c r="TRB68" s="10"/>
      <c r="TRC68" s="10"/>
      <c r="TRD68" s="10"/>
      <c r="TRE68" s="10"/>
      <c r="TRF68" s="10"/>
      <c r="TRG68" s="10"/>
      <c r="TRH68" s="10"/>
      <c r="TRI68" s="10"/>
      <c r="TRJ68" s="10"/>
      <c r="TRK68" s="10"/>
      <c r="TRL68" s="10"/>
      <c r="TRM68" s="10"/>
      <c r="TRN68" s="10"/>
      <c r="TRO68" s="10"/>
      <c r="TRP68" s="10"/>
      <c r="TRQ68" s="10"/>
      <c r="TRR68" s="10"/>
      <c r="TRS68" s="10"/>
      <c r="TRT68" s="10"/>
      <c r="TRU68" s="10"/>
      <c r="TRV68" s="10"/>
      <c r="TRW68" s="10"/>
      <c r="TRX68" s="10"/>
      <c r="TRY68" s="10"/>
      <c r="TRZ68" s="10"/>
      <c r="TSA68" s="10"/>
      <c r="TSB68" s="10"/>
      <c r="TSC68" s="10"/>
      <c r="TSD68" s="10"/>
      <c r="TSE68" s="10"/>
      <c r="TSF68" s="10"/>
      <c r="TSG68" s="10"/>
      <c r="TSH68" s="10"/>
      <c r="TSI68" s="10"/>
      <c r="TSJ68" s="10"/>
      <c r="TSK68" s="10"/>
      <c r="TSL68" s="10"/>
      <c r="TSM68" s="10"/>
      <c r="TSN68" s="10"/>
      <c r="TSO68" s="10"/>
      <c r="TSP68" s="10"/>
      <c r="TSQ68" s="10"/>
      <c r="TSR68" s="10"/>
      <c r="TSS68" s="10"/>
      <c r="TST68" s="10"/>
      <c r="TSU68" s="10"/>
      <c r="TSV68" s="10"/>
      <c r="TSW68" s="10"/>
      <c r="TSX68" s="10"/>
      <c r="TSY68" s="10"/>
      <c r="TSZ68" s="10"/>
      <c r="TTA68" s="10"/>
      <c r="TTB68" s="10"/>
      <c r="TTC68" s="10"/>
      <c r="TTD68" s="10"/>
      <c r="TTE68" s="10"/>
      <c r="TTF68" s="10"/>
      <c r="TTG68" s="10"/>
      <c r="TTH68" s="10"/>
      <c r="TTI68" s="10"/>
      <c r="TTJ68" s="10"/>
      <c r="TTK68" s="10"/>
      <c r="TTL68" s="10"/>
      <c r="TTM68" s="10"/>
      <c r="TTN68" s="10"/>
      <c r="TTO68" s="10"/>
      <c r="TTP68" s="10"/>
      <c r="TTQ68" s="10"/>
      <c r="TTR68" s="10"/>
      <c r="TTS68" s="10"/>
      <c r="TTT68" s="10"/>
      <c r="TTU68" s="10"/>
      <c r="TTV68" s="10"/>
      <c r="TTW68" s="10"/>
      <c r="TTX68" s="10"/>
      <c r="TTY68" s="10"/>
      <c r="TTZ68" s="10"/>
      <c r="TUA68" s="10"/>
      <c r="TUB68" s="10"/>
      <c r="TUC68" s="10"/>
      <c r="TUD68" s="10"/>
      <c r="TUE68" s="10"/>
      <c r="TUF68" s="10"/>
      <c r="TUG68" s="10"/>
      <c r="TUH68" s="10"/>
      <c r="TUI68" s="10"/>
      <c r="TUJ68" s="10"/>
      <c r="TUK68" s="10"/>
      <c r="TUL68" s="10"/>
      <c r="TUM68" s="10"/>
      <c r="TUN68" s="10"/>
      <c r="TUO68" s="10"/>
      <c r="TUP68" s="10"/>
      <c r="TUQ68" s="10"/>
      <c r="TUR68" s="10"/>
      <c r="TUS68" s="10"/>
      <c r="TUT68" s="10"/>
      <c r="TUU68" s="10"/>
      <c r="TUV68" s="10"/>
      <c r="TUW68" s="10"/>
      <c r="TUX68" s="10"/>
      <c r="TUY68" s="10"/>
      <c r="TUZ68" s="10"/>
      <c r="TVA68" s="10"/>
      <c r="TVB68" s="10"/>
      <c r="TVC68" s="10"/>
      <c r="TVD68" s="10"/>
      <c r="TVE68" s="10"/>
      <c r="TVF68" s="10"/>
      <c r="TVG68" s="10"/>
      <c r="TVH68" s="10"/>
      <c r="TVI68" s="10"/>
      <c r="TVJ68" s="10"/>
      <c r="TVK68" s="10"/>
      <c r="TVL68" s="10"/>
      <c r="TVM68" s="10"/>
      <c r="TVN68" s="10"/>
      <c r="TVO68" s="10"/>
      <c r="TVP68" s="10"/>
      <c r="TVQ68" s="10"/>
      <c r="TVR68" s="10"/>
      <c r="TVS68" s="10"/>
      <c r="TVT68" s="10"/>
      <c r="TVU68" s="10"/>
      <c r="TVV68" s="10"/>
      <c r="TVW68" s="10"/>
      <c r="TVX68" s="10"/>
      <c r="TVY68" s="10"/>
      <c r="TVZ68" s="10"/>
      <c r="TWA68" s="10"/>
      <c r="TWB68" s="10"/>
      <c r="TWC68" s="10"/>
      <c r="TWD68" s="10"/>
      <c r="TWE68" s="10"/>
      <c r="TWF68" s="10"/>
      <c r="TWG68" s="10"/>
      <c r="TWH68" s="10"/>
      <c r="TWI68" s="10"/>
      <c r="TWJ68" s="10"/>
      <c r="TWK68" s="10"/>
      <c r="TWL68" s="10"/>
      <c r="TWM68" s="10"/>
      <c r="TWN68" s="10"/>
      <c r="TWO68" s="10"/>
      <c r="TWP68" s="10"/>
      <c r="TWQ68" s="10"/>
      <c r="TWR68" s="10"/>
      <c r="TWS68" s="10"/>
      <c r="TWT68" s="10"/>
      <c r="TWU68" s="10"/>
      <c r="TWV68" s="10"/>
      <c r="TWW68" s="10"/>
      <c r="TWX68" s="10"/>
      <c r="TWY68" s="10"/>
      <c r="TWZ68" s="10"/>
      <c r="TXA68" s="10"/>
      <c r="TXB68" s="10"/>
      <c r="TXC68" s="10"/>
      <c r="TXD68" s="10"/>
      <c r="TXE68" s="10"/>
      <c r="TXF68" s="10"/>
      <c r="TXG68" s="10"/>
      <c r="TXH68" s="10"/>
      <c r="TXI68" s="10"/>
      <c r="TXJ68" s="10"/>
      <c r="TXK68" s="10"/>
      <c r="TXL68" s="10"/>
      <c r="TXM68" s="10"/>
      <c r="TXN68" s="10"/>
      <c r="TXO68" s="10"/>
      <c r="TXP68" s="10"/>
      <c r="TXQ68" s="10"/>
      <c r="TXR68" s="10"/>
      <c r="TXS68" s="10"/>
      <c r="TXT68" s="10"/>
      <c r="TXU68" s="10"/>
      <c r="TXV68" s="10"/>
      <c r="TXW68" s="10"/>
      <c r="TXX68" s="10"/>
      <c r="TXY68" s="10"/>
      <c r="TXZ68" s="10"/>
      <c r="TYA68" s="10"/>
      <c r="TYB68" s="10"/>
      <c r="TYC68" s="10"/>
      <c r="TYD68" s="10"/>
      <c r="TYE68" s="10"/>
      <c r="TYF68" s="10"/>
      <c r="TYG68" s="10"/>
      <c r="TYH68" s="10"/>
      <c r="TYI68" s="10"/>
      <c r="TYJ68" s="10"/>
      <c r="TYK68" s="10"/>
      <c r="TYL68" s="10"/>
      <c r="TYM68" s="10"/>
      <c r="TYN68" s="10"/>
      <c r="TYO68" s="10"/>
      <c r="TYP68" s="10"/>
      <c r="TYQ68" s="10"/>
      <c r="TYR68" s="10"/>
      <c r="TYS68" s="10"/>
      <c r="TYT68" s="10"/>
      <c r="TYU68" s="10"/>
      <c r="TYV68" s="10"/>
      <c r="TYW68" s="10"/>
      <c r="TYX68" s="10"/>
      <c r="TYY68" s="10"/>
      <c r="TYZ68" s="10"/>
      <c r="TZA68" s="10"/>
      <c r="TZB68" s="10"/>
      <c r="TZC68" s="10"/>
      <c r="TZD68" s="10"/>
      <c r="TZE68" s="10"/>
      <c r="TZF68" s="10"/>
      <c r="TZG68" s="10"/>
      <c r="TZH68" s="10"/>
      <c r="TZI68" s="10"/>
      <c r="TZJ68" s="10"/>
      <c r="TZK68" s="10"/>
      <c r="TZL68" s="10"/>
      <c r="TZM68" s="10"/>
      <c r="TZN68" s="10"/>
      <c r="TZO68" s="10"/>
      <c r="TZP68" s="10"/>
      <c r="TZQ68" s="10"/>
      <c r="TZR68" s="10"/>
      <c r="TZS68" s="10"/>
      <c r="TZT68" s="10"/>
      <c r="TZU68" s="10"/>
      <c r="TZV68" s="10"/>
      <c r="TZW68" s="10"/>
      <c r="TZX68" s="10"/>
      <c r="TZY68" s="10"/>
      <c r="TZZ68" s="10"/>
      <c r="UAA68" s="10"/>
      <c r="UAB68" s="10"/>
      <c r="UAC68" s="10"/>
      <c r="UAD68" s="10"/>
      <c r="UAE68" s="10"/>
      <c r="UAF68" s="10"/>
      <c r="UAG68" s="10"/>
      <c r="UAH68" s="10"/>
      <c r="UAI68" s="10"/>
      <c r="UAJ68" s="10"/>
      <c r="UAK68" s="10"/>
      <c r="UAL68" s="10"/>
      <c r="UAM68" s="10"/>
      <c r="UAN68" s="10"/>
      <c r="UAO68" s="10"/>
      <c r="UAP68" s="10"/>
      <c r="UAQ68" s="10"/>
      <c r="UAR68" s="10"/>
      <c r="UAS68" s="10"/>
      <c r="UAT68" s="10"/>
      <c r="UAU68" s="10"/>
      <c r="UAV68" s="10"/>
      <c r="UAW68" s="10"/>
      <c r="UAX68" s="10"/>
      <c r="UAY68" s="10"/>
      <c r="UAZ68" s="10"/>
      <c r="UBA68" s="10"/>
      <c r="UBB68" s="10"/>
      <c r="UBC68" s="10"/>
      <c r="UBD68" s="10"/>
      <c r="UBE68" s="10"/>
      <c r="UBF68" s="10"/>
      <c r="UBG68" s="10"/>
      <c r="UBH68" s="10"/>
      <c r="UBI68" s="10"/>
      <c r="UBJ68" s="10"/>
      <c r="UBK68" s="10"/>
      <c r="UBL68" s="10"/>
      <c r="UBM68" s="10"/>
      <c r="UBN68" s="10"/>
      <c r="UBO68" s="10"/>
      <c r="UBP68" s="10"/>
      <c r="UBQ68" s="10"/>
      <c r="UBR68" s="10"/>
      <c r="UBS68" s="10"/>
      <c r="UBT68" s="10"/>
      <c r="UBU68" s="10"/>
      <c r="UBV68" s="10"/>
      <c r="UBW68" s="10"/>
      <c r="UBX68" s="10"/>
      <c r="UBY68" s="10"/>
      <c r="UBZ68" s="10"/>
      <c r="UCA68" s="10"/>
      <c r="UCB68" s="10"/>
      <c r="UCC68" s="10"/>
      <c r="UCD68" s="10"/>
      <c r="UCE68" s="10"/>
      <c r="UCF68" s="10"/>
      <c r="UCG68" s="10"/>
      <c r="UCH68" s="10"/>
      <c r="UCI68" s="10"/>
      <c r="UCJ68" s="10"/>
      <c r="UCK68" s="10"/>
      <c r="UCL68" s="10"/>
      <c r="UCM68" s="10"/>
      <c r="UCN68" s="10"/>
      <c r="UCO68" s="10"/>
      <c r="UCP68" s="10"/>
      <c r="UCQ68" s="10"/>
      <c r="UCR68" s="10"/>
      <c r="UCS68" s="10"/>
      <c r="UCT68" s="10"/>
      <c r="UCU68" s="10"/>
      <c r="UCV68" s="10"/>
      <c r="UCW68" s="10"/>
      <c r="UCX68" s="10"/>
      <c r="UCY68" s="10"/>
      <c r="UCZ68" s="10"/>
      <c r="UDA68" s="10"/>
      <c r="UDB68" s="10"/>
      <c r="UDC68" s="10"/>
      <c r="UDD68" s="10"/>
      <c r="UDE68" s="10"/>
      <c r="UDF68" s="10"/>
      <c r="UDG68" s="10"/>
      <c r="UDH68" s="10"/>
      <c r="UDI68" s="10"/>
      <c r="UDJ68" s="10"/>
      <c r="UDK68" s="10"/>
      <c r="UDL68" s="10"/>
      <c r="UDM68" s="10"/>
      <c r="UDN68" s="10"/>
      <c r="UDO68" s="10"/>
      <c r="UDP68" s="10"/>
      <c r="UDQ68" s="10"/>
      <c r="UDR68" s="10"/>
      <c r="UDS68" s="10"/>
      <c r="UDT68" s="10"/>
      <c r="UDU68" s="10"/>
      <c r="UDV68" s="10"/>
      <c r="UDW68" s="10"/>
      <c r="UDX68" s="10"/>
      <c r="UDY68" s="10"/>
      <c r="UDZ68" s="10"/>
      <c r="UEA68" s="10"/>
      <c r="UEB68" s="10"/>
      <c r="UEC68" s="10"/>
      <c r="UED68" s="10"/>
      <c r="UEE68" s="10"/>
      <c r="UEF68" s="10"/>
      <c r="UEG68" s="10"/>
      <c r="UEH68" s="10"/>
      <c r="UEI68" s="10"/>
      <c r="UEJ68" s="10"/>
      <c r="UEK68" s="10"/>
      <c r="UEL68" s="10"/>
      <c r="UEM68" s="10"/>
      <c r="UEN68" s="10"/>
      <c r="UEO68" s="10"/>
      <c r="UEP68" s="10"/>
      <c r="UEQ68" s="10"/>
      <c r="UER68" s="10"/>
      <c r="UES68" s="10"/>
      <c r="UET68" s="10"/>
      <c r="UEU68" s="10"/>
      <c r="UEV68" s="10"/>
      <c r="UEW68" s="10"/>
      <c r="UEX68" s="10"/>
      <c r="UEY68" s="10"/>
      <c r="UEZ68" s="10"/>
      <c r="UFA68" s="10"/>
      <c r="UFB68" s="10"/>
      <c r="UFC68" s="10"/>
      <c r="UFD68" s="10"/>
      <c r="UFE68" s="10"/>
      <c r="UFF68" s="10"/>
      <c r="UFG68" s="10"/>
      <c r="UFH68" s="10"/>
      <c r="UFI68" s="10"/>
      <c r="UFJ68" s="10"/>
      <c r="UFK68" s="10"/>
      <c r="UFL68" s="10"/>
      <c r="UFM68" s="10"/>
      <c r="UFN68" s="10"/>
      <c r="UFO68" s="10"/>
      <c r="UFP68" s="10"/>
      <c r="UFQ68" s="10"/>
      <c r="UFR68" s="10"/>
      <c r="UFS68" s="10"/>
      <c r="UFT68" s="10"/>
      <c r="UFU68" s="10"/>
      <c r="UFV68" s="10"/>
      <c r="UFW68" s="10"/>
      <c r="UFX68" s="10"/>
      <c r="UFY68" s="10"/>
      <c r="UFZ68" s="10"/>
      <c r="UGA68" s="10"/>
      <c r="UGB68" s="10"/>
      <c r="UGC68" s="10"/>
      <c r="UGD68" s="10"/>
      <c r="UGE68" s="10"/>
      <c r="UGF68" s="10"/>
      <c r="UGG68" s="10"/>
      <c r="UGH68" s="10"/>
      <c r="UGI68" s="10"/>
      <c r="UGJ68" s="10"/>
      <c r="UGK68" s="10"/>
      <c r="UGL68" s="10"/>
      <c r="UGM68" s="10"/>
      <c r="UGN68" s="10"/>
      <c r="UGO68" s="10"/>
      <c r="UGP68" s="10"/>
      <c r="UGQ68" s="10"/>
      <c r="UGR68" s="10"/>
      <c r="UGS68" s="10"/>
      <c r="UGT68" s="10"/>
      <c r="UGU68" s="10"/>
      <c r="UGV68" s="10"/>
      <c r="UGW68" s="10"/>
      <c r="UGX68" s="10"/>
      <c r="UGY68" s="10"/>
      <c r="UGZ68" s="10"/>
      <c r="UHA68" s="10"/>
      <c r="UHB68" s="10"/>
      <c r="UHC68" s="10"/>
      <c r="UHD68" s="10"/>
      <c r="UHE68" s="10"/>
      <c r="UHF68" s="10"/>
      <c r="UHG68" s="10"/>
      <c r="UHH68" s="10"/>
      <c r="UHI68" s="10"/>
      <c r="UHJ68" s="10"/>
      <c r="UHK68" s="10"/>
      <c r="UHL68" s="10"/>
      <c r="UHM68" s="10"/>
      <c r="UHN68" s="10"/>
      <c r="UHO68" s="10"/>
      <c r="UHP68" s="10"/>
      <c r="UHQ68" s="10"/>
      <c r="UHR68" s="10"/>
      <c r="UHS68" s="10"/>
      <c r="UHT68" s="10"/>
      <c r="UHU68" s="10"/>
      <c r="UHV68" s="10"/>
      <c r="UHW68" s="10"/>
      <c r="UHX68" s="10"/>
      <c r="UHY68" s="10"/>
      <c r="UHZ68" s="10"/>
      <c r="UIA68" s="10"/>
      <c r="UIB68" s="10"/>
      <c r="UIC68" s="10"/>
      <c r="UID68" s="10"/>
      <c r="UIE68" s="10"/>
      <c r="UIF68" s="10"/>
      <c r="UIG68" s="10"/>
      <c r="UIH68" s="10"/>
      <c r="UII68" s="10"/>
      <c r="UIJ68" s="10"/>
      <c r="UIK68" s="10"/>
      <c r="UIL68" s="10"/>
      <c r="UIM68" s="10"/>
      <c r="UIN68" s="10"/>
      <c r="UIO68" s="10"/>
      <c r="UIP68" s="10"/>
      <c r="UIQ68" s="10"/>
      <c r="UIR68" s="10"/>
      <c r="UIS68" s="10"/>
      <c r="UIT68" s="10"/>
      <c r="UIU68" s="10"/>
      <c r="UIV68" s="10"/>
      <c r="UIW68" s="10"/>
      <c r="UIX68" s="10"/>
      <c r="UIY68" s="10"/>
      <c r="UIZ68" s="10"/>
      <c r="UJA68" s="10"/>
      <c r="UJB68" s="10"/>
      <c r="UJC68" s="10"/>
      <c r="UJD68" s="10"/>
      <c r="UJE68" s="10"/>
      <c r="UJF68" s="10"/>
      <c r="UJG68" s="10"/>
      <c r="UJH68" s="10"/>
      <c r="UJI68" s="10"/>
      <c r="UJJ68" s="10"/>
      <c r="UJK68" s="10"/>
      <c r="UJL68" s="10"/>
      <c r="UJM68" s="10"/>
      <c r="UJN68" s="10"/>
      <c r="UJO68" s="10"/>
      <c r="UJP68" s="10"/>
      <c r="UJQ68" s="10"/>
      <c r="UJR68" s="10"/>
      <c r="UJS68" s="10"/>
      <c r="UJT68" s="10"/>
      <c r="UJU68" s="10"/>
      <c r="UJV68" s="10"/>
      <c r="UJW68" s="10"/>
      <c r="UJX68" s="10"/>
      <c r="UJY68" s="10"/>
      <c r="UJZ68" s="10"/>
      <c r="UKA68" s="10"/>
      <c r="UKB68" s="10"/>
      <c r="UKC68" s="10"/>
      <c r="UKD68" s="10"/>
      <c r="UKE68" s="10"/>
      <c r="UKF68" s="10"/>
      <c r="UKG68" s="10"/>
      <c r="UKH68" s="10"/>
      <c r="UKI68" s="10"/>
      <c r="UKJ68" s="10"/>
      <c r="UKK68" s="10"/>
      <c r="UKL68" s="10"/>
      <c r="UKM68" s="10"/>
      <c r="UKN68" s="10"/>
      <c r="UKO68" s="10"/>
      <c r="UKP68" s="10"/>
      <c r="UKQ68" s="10"/>
      <c r="UKR68" s="10"/>
      <c r="UKS68" s="10"/>
      <c r="UKT68" s="10"/>
      <c r="UKU68" s="10"/>
      <c r="UKV68" s="10"/>
      <c r="UKW68" s="10"/>
      <c r="UKX68" s="10"/>
      <c r="UKY68" s="10"/>
      <c r="UKZ68" s="10"/>
      <c r="ULA68" s="10"/>
      <c r="ULB68" s="10"/>
      <c r="ULC68" s="10"/>
      <c r="ULD68" s="10"/>
      <c r="ULE68" s="10"/>
      <c r="ULF68" s="10"/>
      <c r="ULG68" s="10"/>
      <c r="ULH68" s="10"/>
      <c r="ULI68" s="10"/>
      <c r="ULJ68" s="10"/>
      <c r="ULK68" s="10"/>
      <c r="ULL68" s="10"/>
      <c r="ULM68" s="10"/>
      <c r="ULN68" s="10"/>
      <c r="ULO68" s="10"/>
      <c r="ULP68" s="10"/>
      <c r="ULQ68" s="10"/>
      <c r="ULR68" s="10"/>
      <c r="ULS68" s="10"/>
      <c r="ULT68" s="10"/>
      <c r="ULU68" s="10"/>
      <c r="ULV68" s="10"/>
      <c r="ULW68" s="10"/>
      <c r="ULX68" s="10"/>
      <c r="ULY68" s="10"/>
      <c r="ULZ68" s="10"/>
      <c r="UMA68" s="10"/>
      <c r="UMB68" s="10"/>
      <c r="UMC68" s="10"/>
      <c r="UMD68" s="10"/>
      <c r="UME68" s="10"/>
      <c r="UMF68" s="10"/>
      <c r="UMG68" s="10"/>
      <c r="UMH68" s="10"/>
      <c r="UMI68" s="10"/>
      <c r="UMJ68" s="10"/>
      <c r="UMK68" s="10"/>
      <c r="UML68" s="10"/>
      <c r="UMM68" s="10"/>
      <c r="UMN68" s="10"/>
      <c r="UMO68" s="10"/>
      <c r="UMP68" s="10"/>
      <c r="UMQ68" s="10"/>
      <c r="UMR68" s="10"/>
      <c r="UMS68" s="10"/>
      <c r="UMT68" s="10"/>
      <c r="UMU68" s="10"/>
      <c r="UMV68" s="10"/>
      <c r="UMW68" s="10"/>
      <c r="UMX68" s="10"/>
      <c r="UMY68" s="10"/>
      <c r="UMZ68" s="10"/>
      <c r="UNA68" s="10"/>
      <c r="UNB68" s="10"/>
      <c r="UNC68" s="10"/>
      <c r="UND68" s="10"/>
      <c r="UNE68" s="10"/>
      <c r="UNF68" s="10"/>
      <c r="UNG68" s="10"/>
      <c r="UNH68" s="10"/>
      <c r="UNI68" s="10"/>
      <c r="UNJ68" s="10"/>
      <c r="UNK68" s="10"/>
      <c r="UNL68" s="10"/>
      <c r="UNM68" s="10"/>
      <c r="UNN68" s="10"/>
      <c r="UNO68" s="10"/>
      <c r="UNP68" s="10"/>
      <c r="UNQ68" s="10"/>
      <c r="UNR68" s="10"/>
      <c r="UNS68" s="10"/>
      <c r="UNT68" s="10"/>
      <c r="UNU68" s="10"/>
      <c r="UNV68" s="10"/>
      <c r="UNW68" s="10"/>
      <c r="UNX68" s="10"/>
      <c r="UNY68" s="10"/>
      <c r="UNZ68" s="10"/>
      <c r="UOA68" s="10"/>
      <c r="UOB68" s="10"/>
      <c r="UOC68" s="10"/>
      <c r="UOD68" s="10"/>
      <c r="UOE68" s="10"/>
      <c r="UOF68" s="10"/>
      <c r="UOG68" s="10"/>
      <c r="UOH68" s="10"/>
      <c r="UOI68" s="10"/>
      <c r="UOJ68" s="10"/>
      <c r="UOK68" s="10"/>
      <c r="UOL68" s="10"/>
      <c r="UOM68" s="10"/>
      <c r="UON68" s="10"/>
      <c r="UOO68" s="10"/>
      <c r="UOP68" s="10"/>
      <c r="UOQ68" s="10"/>
      <c r="UOR68" s="10"/>
      <c r="UOS68" s="10"/>
      <c r="UOT68" s="10"/>
      <c r="UOU68" s="10"/>
      <c r="UOV68" s="10"/>
      <c r="UOW68" s="10"/>
      <c r="UOX68" s="10"/>
      <c r="UOY68" s="10"/>
      <c r="UOZ68" s="10"/>
      <c r="UPA68" s="10"/>
      <c r="UPB68" s="10"/>
      <c r="UPC68" s="10"/>
      <c r="UPD68" s="10"/>
      <c r="UPE68" s="10"/>
      <c r="UPF68" s="10"/>
      <c r="UPG68" s="10"/>
      <c r="UPH68" s="10"/>
      <c r="UPI68" s="10"/>
      <c r="UPJ68" s="10"/>
      <c r="UPK68" s="10"/>
      <c r="UPL68" s="10"/>
      <c r="UPM68" s="10"/>
      <c r="UPN68" s="10"/>
      <c r="UPO68" s="10"/>
      <c r="UPP68" s="10"/>
      <c r="UPQ68" s="10"/>
      <c r="UPR68" s="10"/>
      <c r="UPS68" s="10"/>
      <c r="UPT68" s="10"/>
      <c r="UPU68" s="10"/>
      <c r="UPV68" s="10"/>
      <c r="UPW68" s="10"/>
      <c r="UPX68" s="10"/>
      <c r="UPY68" s="10"/>
      <c r="UPZ68" s="10"/>
      <c r="UQA68" s="10"/>
      <c r="UQB68" s="10"/>
      <c r="UQC68" s="10"/>
      <c r="UQD68" s="10"/>
      <c r="UQE68" s="10"/>
      <c r="UQF68" s="10"/>
      <c r="UQG68" s="10"/>
      <c r="UQH68" s="10"/>
      <c r="UQI68" s="10"/>
      <c r="UQJ68" s="10"/>
      <c r="UQK68" s="10"/>
      <c r="UQL68" s="10"/>
      <c r="UQM68" s="10"/>
      <c r="UQN68" s="10"/>
      <c r="UQO68" s="10"/>
      <c r="UQP68" s="10"/>
      <c r="UQQ68" s="10"/>
      <c r="UQR68" s="10"/>
      <c r="UQS68" s="10"/>
      <c r="UQT68" s="10"/>
      <c r="UQU68" s="10"/>
      <c r="UQV68" s="10"/>
      <c r="UQW68" s="10"/>
      <c r="UQX68" s="10"/>
      <c r="UQY68" s="10"/>
      <c r="UQZ68" s="10"/>
      <c r="URA68" s="10"/>
      <c r="URB68" s="10"/>
      <c r="URC68" s="10"/>
      <c r="URD68" s="10"/>
      <c r="URE68" s="10"/>
      <c r="URF68" s="10"/>
      <c r="URG68" s="10"/>
      <c r="URH68" s="10"/>
      <c r="URI68" s="10"/>
      <c r="URJ68" s="10"/>
      <c r="URK68" s="10"/>
      <c r="URL68" s="10"/>
      <c r="URM68" s="10"/>
      <c r="URN68" s="10"/>
      <c r="URO68" s="10"/>
      <c r="URP68" s="10"/>
      <c r="URQ68" s="10"/>
      <c r="URR68" s="10"/>
      <c r="URS68" s="10"/>
      <c r="URT68" s="10"/>
      <c r="URU68" s="10"/>
      <c r="URV68" s="10"/>
      <c r="URW68" s="10"/>
      <c r="URX68" s="10"/>
      <c r="URY68" s="10"/>
      <c r="URZ68" s="10"/>
      <c r="USA68" s="10"/>
      <c r="USB68" s="10"/>
      <c r="USC68" s="10"/>
      <c r="USD68" s="10"/>
      <c r="USE68" s="10"/>
      <c r="USF68" s="10"/>
      <c r="USG68" s="10"/>
      <c r="USH68" s="10"/>
      <c r="USI68" s="10"/>
      <c r="USJ68" s="10"/>
      <c r="USK68" s="10"/>
      <c r="USL68" s="10"/>
      <c r="USM68" s="10"/>
      <c r="USN68" s="10"/>
      <c r="USO68" s="10"/>
      <c r="USP68" s="10"/>
      <c r="USQ68" s="10"/>
      <c r="USR68" s="10"/>
      <c r="USS68" s="10"/>
      <c r="UST68" s="10"/>
      <c r="USU68" s="10"/>
      <c r="USV68" s="10"/>
      <c r="USW68" s="10"/>
      <c r="USX68" s="10"/>
      <c r="USY68" s="10"/>
      <c r="USZ68" s="10"/>
      <c r="UTA68" s="10"/>
      <c r="UTB68" s="10"/>
      <c r="UTC68" s="10"/>
      <c r="UTD68" s="10"/>
      <c r="UTE68" s="10"/>
      <c r="UTF68" s="10"/>
      <c r="UTG68" s="10"/>
      <c r="UTH68" s="10"/>
      <c r="UTI68" s="10"/>
      <c r="UTJ68" s="10"/>
      <c r="UTK68" s="10"/>
      <c r="UTL68" s="10"/>
      <c r="UTM68" s="10"/>
      <c r="UTN68" s="10"/>
      <c r="UTO68" s="10"/>
      <c r="UTP68" s="10"/>
      <c r="UTQ68" s="10"/>
      <c r="UTR68" s="10"/>
      <c r="UTS68" s="10"/>
      <c r="UTT68" s="10"/>
      <c r="UTU68" s="10"/>
      <c r="UTV68" s="10"/>
      <c r="UTW68" s="10"/>
      <c r="UTX68" s="10"/>
      <c r="UTY68" s="10"/>
      <c r="UTZ68" s="10"/>
      <c r="UUA68" s="10"/>
      <c r="UUB68" s="10"/>
      <c r="UUC68" s="10"/>
      <c r="UUD68" s="10"/>
      <c r="UUE68" s="10"/>
      <c r="UUF68" s="10"/>
      <c r="UUG68" s="10"/>
      <c r="UUH68" s="10"/>
      <c r="UUI68" s="10"/>
      <c r="UUJ68" s="10"/>
      <c r="UUK68" s="10"/>
      <c r="UUL68" s="10"/>
      <c r="UUM68" s="10"/>
      <c r="UUN68" s="10"/>
      <c r="UUO68" s="10"/>
      <c r="UUP68" s="10"/>
      <c r="UUQ68" s="10"/>
      <c r="UUR68" s="10"/>
      <c r="UUS68" s="10"/>
      <c r="UUT68" s="10"/>
      <c r="UUU68" s="10"/>
      <c r="UUV68" s="10"/>
      <c r="UUW68" s="10"/>
      <c r="UUX68" s="10"/>
      <c r="UUY68" s="10"/>
      <c r="UUZ68" s="10"/>
      <c r="UVA68" s="10"/>
      <c r="UVB68" s="10"/>
      <c r="UVC68" s="10"/>
      <c r="UVD68" s="10"/>
      <c r="UVE68" s="10"/>
      <c r="UVF68" s="10"/>
      <c r="UVG68" s="10"/>
      <c r="UVH68" s="10"/>
      <c r="UVI68" s="10"/>
      <c r="UVJ68" s="10"/>
      <c r="UVK68" s="10"/>
      <c r="UVL68" s="10"/>
      <c r="UVM68" s="10"/>
      <c r="UVN68" s="10"/>
      <c r="UVO68" s="10"/>
      <c r="UVP68" s="10"/>
      <c r="UVQ68" s="10"/>
      <c r="UVR68" s="10"/>
      <c r="UVS68" s="10"/>
      <c r="UVT68" s="10"/>
      <c r="UVU68" s="10"/>
      <c r="UVV68" s="10"/>
      <c r="UVW68" s="10"/>
      <c r="UVX68" s="10"/>
      <c r="UVY68" s="10"/>
      <c r="UVZ68" s="10"/>
      <c r="UWA68" s="10"/>
      <c r="UWB68" s="10"/>
      <c r="UWC68" s="10"/>
      <c r="UWD68" s="10"/>
      <c r="UWE68" s="10"/>
      <c r="UWF68" s="10"/>
      <c r="UWG68" s="10"/>
      <c r="UWH68" s="10"/>
      <c r="UWI68" s="10"/>
      <c r="UWJ68" s="10"/>
      <c r="UWK68" s="10"/>
      <c r="UWL68" s="10"/>
      <c r="UWM68" s="10"/>
      <c r="UWN68" s="10"/>
      <c r="UWO68" s="10"/>
      <c r="UWP68" s="10"/>
      <c r="UWQ68" s="10"/>
      <c r="UWR68" s="10"/>
      <c r="UWS68" s="10"/>
      <c r="UWT68" s="10"/>
      <c r="UWU68" s="10"/>
      <c r="UWV68" s="10"/>
      <c r="UWW68" s="10"/>
      <c r="UWX68" s="10"/>
      <c r="UWY68" s="10"/>
      <c r="UWZ68" s="10"/>
      <c r="UXA68" s="10"/>
      <c r="UXB68" s="10"/>
      <c r="UXC68" s="10"/>
      <c r="UXD68" s="10"/>
      <c r="UXE68" s="10"/>
      <c r="UXF68" s="10"/>
      <c r="UXG68" s="10"/>
      <c r="UXH68" s="10"/>
      <c r="UXI68" s="10"/>
      <c r="UXJ68" s="10"/>
      <c r="UXK68" s="10"/>
      <c r="UXL68" s="10"/>
      <c r="UXM68" s="10"/>
      <c r="UXN68" s="10"/>
      <c r="UXO68" s="10"/>
      <c r="UXP68" s="10"/>
      <c r="UXQ68" s="10"/>
      <c r="UXR68" s="10"/>
      <c r="UXS68" s="10"/>
      <c r="UXT68" s="10"/>
      <c r="UXU68" s="10"/>
      <c r="UXV68" s="10"/>
      <c r="UXW68" s="10"/>
      <c r="UXX68" s="10"/>
      <c r="UXY68" s="10"/>
      <c r="UXZ68" s="10"/>
      <c r="UYA68" s="10"/>
      <c r="UYB68" s="10"/>
      <c r="UYC68" s="10"/>
      <c r="UYD68" s="10"/>
      <c r="UYE68" s="10"/>
      <c r="UYF68" s="10"/>
      <c r="UYG68" s="10"/>
      <c r="UYH68" s="10"/>
      <c r="UYI68" s="10"/>
      <c r="UYJ68" s="10"/>
      <c r="UYK68" s="10"/>
      <c r="UYL68" s="10"/>
      <c r="UYM68" s="10"/>
      <c r="UYN68" s="10"/>
      <c r="UYO68" s="10"/>
      <c r="UYP68" s="10"/>
      <c r="UYQ68" s="10"/>
      <c r="UYR68" s="10"/>
      <c r="UYS68" s="10"/>
      <c r="UYT68" s="10"/>
      <c r="UYU68" s="10"/>
      <c r="UYV68" s="10"/>
      <c r="UYW68" s="10"/>
      <c r="UYX68" s="10"/>
      <c r="UYY68" s="10"/>
      <c r="UYZ68" s="10"/>
      <c r="UZA68" s="10"/>
      <c r="UZB68" s="10"/>
      <c r="UZC68" s="10"/>
      <c r="UZD68" s="10"/>
      <c r="UZE68" s="10"/>
      <c r="UZF68" s="10"/>
      <c r="UZG68" s="10"/>
      <c r="UZH68" s="10"/>
      <c r="UZI68" s="10"/>
      <c r="UZJ68" s="10"/>
      <c r="UZK68" s="10"/>
      <c r="UZL68" s="10"/>
      <c r="UZM68" s="10"/>
      <c r="UZN68" s="10"/>
      <c r="UZO68" s="10"/>
      <c r="UZP68" s="10"/>
      <c r="UZQ68" s="10"/>
      <c r="UZR68" s="10"/>
      <c r="UZS68" s="10"/>
      <c r="UZT68" s="10"/>
      <c r="UZU68" s="10"/>
      <c r="UZV68" s="10"/>
      <c r="UZW68" s="10"/>
      <c r="UZX68" s="10"/>
      <c r="UZY68" s="10"/>
      <c r="UZZ68" s="10"/>
      <c r="VAA68" s="10"/>
      <c r="VAB68" s="10"/>
      <c r="VAC68" s="10"/>
      <c r="VAD68" s="10"/>
      <c r="VAE68" s="10"/>
      <c r="VAF68" s="10"/>
      <c r="VAG68" s="10"/>
      <c r="VAH68" s="10"/>
      <c r="VAI68" s="10"/>
      <c r="VAJ68" s="10"/>
      <c r="VAK68" s="10"/>
      <c r="VAL68" s="10"/>
      <c r="VAM68" s="10"/>
      <c r="VAN68" s="10"/>
      <c r="VAO68" s="10"/>
      <c r="VAP68" s="10"/>
      <c r="VAQ68" s="10"/>
      <c r="VAR68" s="10"/>
      <c r="VAS68" s="10"/>
      <c r="VAT68" s="10"/>
      <c r="VAU68" s="10"/>
      <c r="VAV68" s="10"/>
      <c r="VAW68" s="10"/>
      <c r="VAX68" s="10"/>
      <c r="VAY68" s="10"/>
      <c r="VAZ68" s="10"/>
      <c r="VBA68" s="10"/>
      <c r="VBB68" s="10"/>
      <c r="VBC68" s="10"/>
      <c r="VBD68" s="10"/>
      <c r="VBE68" s="10"/>
      <c r="VBF68" s="10"/>
      <c r="VBG68" s="10"/>
      <c r="VBH68" s="10"/>
      <c r="VBI68" s="10"/>
      <c r="VBJ68" s="10"/>
      <c r="VBK68" s="10"/>
      <c r="VBL68" s="10"/>
      <c r="VBM68" s="10"/>
      <c r="VBN68" s="10"/>
      <c r="VBO68" s="10"/>
      <c r="VBP68" s="10"/>
      <c r="VBQ68" s="10"/>
      <c r="VBR68" s="10"/>
      <c r="VBS68" s="10"/>
      <c r="VBT68" s="10"/>
      <c r="VBU68" s="10"/>
      <c r="VBV68" s="10"/>
      <c r="VBW68" s="10"/>
      <c r="VBX68" s="10"/>
      <c r="VBY68" s="10"/>
      <c r="VBZ68" s="10"/>
      <c r="VCA68" s="10"/>
      <c r="VCB68" s="10"/>
      <c r="VCC68" s="10"/>
      <c r="VCD68" s="10"/>
      <c r="VCE68" s="10"/>
      <c r="VCF68" s="10"/>
      <c r="VCG68" s="10"/>
      <c r="VCH68" s="10"/>
      <c r="VCI68" s="10"/>
      <c r="VCJ68" s="10"/>
      <c r="VCK68" s="10"/>
      <c r="VCL68" s="10"/>
      <c r="VCM68" s="10"/>
      <c r="VCN68" s="10"/>
      <c r="VCO68" s="10"/>
      <c r="VCP68" s="10"/>
      <c r="VCQ68" s="10"/>
      <c r="VCR68" s="10"/>
      <c r="VCS68" s="10"/>
      <c r="VCT68" s="10"/>
      <c r="VCU68" s="10"/>
      <c r="VCV68" s="10"/>
      <c r="VCW68" s="10"/>
      <c r="VCX68" s="10"/>
      <c r="VCY68" s="10"/>
      <c r="VCZ68" s="10"/>
      <c r="VDA68" s="10"/>
      <c r="VDB68" s="10"/>
      <c r="VDC68" s="10"/>
      <c r="VDD68" s="10"/>
      <c r="VDE68" s="10"/>
      <c r="VDF68" s="10"/>
      <c r="VDG68" s="10"/>
      <c r="VDH68" s="10"/>
      <c r="VDI68" s="10"/>
      <c r="VDJ68" s="10"/>
      <c r="VDK68" s="10"/>
      <c r="VDL68" s="10"/>
      <c r="VDM68" s="10"/>
      <c r="VDN68" s="10"/>
      <c r="VDO68" s="10"/>
      <c r="VDP68" s="10"/>
      <c r="VDQ68" s="10"/>
      <c r="VDR68" s="10"/>
      <c r="VDS68" s="10"/>
      <c r="VDT68" s="10"/>
      <c r="VDU68" s="10"/>
      <c r="VDV68" s="10"/>
      <c r="VDW68" s="10"/>
      <c r="VDX68" s="10"/>
      <c r="VDY68" s="10"/>
      <c r="VDZ68" s="10"/>
      <c r="VEA68" s="10"/>
      <c r="VEB68" s="10"/>
      <c r="VEC68" s="10"/>
      <c r="VED68" s="10"/>
      <c r="VEE68" s="10"/>
      <c r="VEF68" s="10"/>
      <c r="VEG68" s="10"/>
      <c r="VEH68" s="10"/>
      <c r="VEI68" s="10"/>
      <c r="VEJ68" s="10"/>
      <c r="VEK68" s="10"/>
      <c r="VEL68" s="10"/>
      <c r="VEM68" s="10"/>
      <c r="VEN68" s="10"/>
      <c r="VEO68" s="10"/>
      <c r="VEP68" s="10"/>
      <c r="VEQ68" s="10"/>
      <c r="VER68" s="10"/>
      <c r="VES68" s="10"/>
      <c r="VET68" s="10"/>
      <c r="VEU68" s="10"/>
      <c r="VEV68" s="10"/>
      <c r="VEW68" s="10"/>
      <c r="VEX68" s="10"/>
      <c r="VEY68" s="10"/>
      <c r="VEZ68" s="10"/>
      <c r="VFA68" s="10"/>
      <c r="VFB68" s="10"/>
      <c r="VFC68" s="10"/>
      <c r="VFD68" s="10"/>
      <c r="VFE68" s="10"/>
      <c r="VFF68" s="10"/>
      <c r="VFG68" s="10"/>
      <c r="VFH68" s="10"/>
      <c r="VFI68" s="10"/>
      <c r="VFJ68" s="10"/>
      <c r="VFK68" s="10"/>
      <c r="VFL68" s="10"/>
      <c r="VFM68" s="10"/>
      <c r="VFN68" s="10"/>
      <c r="VFO68" s="10"/>
      <c r="VFP68" s="10"/>
      <c r="VFQ68" s="10"/>
      <c r="VFR68" s="10"/>
      <c r="VFS68" s="10"/>
      <c r="VFT68" s="10"/>
      <c r="VFU68" s="10"/>
      <c r="VFV68" s="10"/>
      <c r="VFW68" s="10"/>
      <c r="VFX68" s="10"/>
      <c r="VFY68" s="10"/>
      <c r="VFZ68" s="10"/>
      <c r="VGA68" s="10"/>
      <c r="VGB68" s="10"/>
      <c r="VGC68" s="10"/>
      <c r="VGD68" s="10"/>
      <c r="VGE68" s="10"/>
      <c r="VGF68" s="10"/>
      <c r="VGG68" s="10"/>
      <c r="VGH68" s="10"/>
      <c r="VGI68" s="10"/>
      <c r="VGJ68" s="10"/>
      <c r="VGK68" s="10"/>
      <c r="VGL68" s="10"/>
      <c r="VGM68" s="10"/>
      <c r="VGN68" s="10"/>
      <c r="VGO68" s="10"/>
      <c r="VGP68" s="10"/>
      <c r="VGQ68" s="10"/>
      <c r="VGR68" s="10"/>
      <c r="VGS68" s="10"/>
      <c r="VGT68" s="10"/>
      <c r="VGU68" s="10"/>
      <c r="VGV68" s="10"/>
      <c r="VGW68" s="10"/>
      <c r="VGX68" s="10"/>
      <c r="VGY68" s="10"/>
      <c r="VGZ68" s="10"/>
      <c r="VHA68" s="10"/>
      <c r="VHB68" s="10"/>
      <c r="VHC68" s="10"/>
      <c r="VHD68" s="10"/>
      <c r="VHE68" s="10"/>
      <c r="VHF68" s="10"/>
      <c r="VHG68" s="10"/>
      <c r="VHH68" s="10"/>
      <c r="VHI68" s="10"/>
      <c r="VHJ68" s="10"/>
      <c r="VHK68" s="10"/>
      <c r="VHL68" s="10"/>
      <c r="VHM68" s="10"/>
      <c r="VHN68" s="10"/>
      <c r="VHO68" s="10"/>
      <c r="VHP68" s="10"/>
      <c r="VHQ68" s="10"/>
      <c r="VHR68" s="10"/>
      <c r="VHS68" s="10"/>
      <c r="VHT68" s="10"/>
      <c r="VHU68" s="10"/>
      <c r="VHV68" s="10"/>
      <c r="VHW68" s="10"/>
      <c r="VHX68" s="10"/>
      <c r="VHY68" s="10"/>
      <c r="VHZ68" s="10"/>
      <c r="VIA68" s="10"/>
      <c r="VIB68" s="10"/>
      <c r="VIC68" s="10"/>
      <c r="VID68" s="10"/>
      <c r="VIE68" s="10"/>
      <c r="VIF68" s="10"/>
      <c r="VIG68" s="10"/>
      <c r="VIH68" s="10"/>
      <c r="VII68" s="10"/>
      <c r="VIJ68" s="10"/>
      <c r="VIK68" s="10"/>
      <c r="VIL68" s="10"/>
      <c r="VIM68" s="10"/>
      <c r="VIN68" s="10"/>
      <c r="VIO68" s="10"/>
      <c r="VIP68" s="10"/>
      <c r="VIQ68" s="10"/>
      <c r="VIR68" s="10"/>
      <c r="VIS68" s="10"/>
      <c r="VIT68" s="10"/>
      <c r="VIU68" s="10"/>
      <c r="VIV68" s="10"/>
      <c r="VIW68" s="10"/>
      <c r="VIX68" s="10"/>
      <c r="VIY68" s="10"/>
      <c r="VIZ68" s="10"/>
      <c r="VJA68" s="10"/>
      <c r="VJB68" s="10"/>
      <c r="VJC68" s="10"/>
      <c r="VJD68" s="10"/>
      <c r="VJE68" s="10"/>
      <c r="VJF68" s="10"/>
      <c r="VJG68" s="10"/>
      <c r="VJH68" s="10"/>
      <c r="VJI68" s="10"/>
      <c r="VJJ68" s="10"/>
      <c r="VJK68" s="10"/>
      <c r="VJL68" s="10"/>
      <c r="VJM68" s="10"/>
      <c r="VJN68" s="10"/>
      <c r="VJO68" s="10"/>
      <c r="VJP68" s="10"/>
      <c r="VJQ68" s="10"/>
      <c r="VJR68" s="10"/>
      <c r="VJS68" s="10"/>
      <c r="VJT68" s="10"/>
      <c r="VJU68" s="10"/>
      <c r="VJV68" s="10"/>
      <c r="VJW68" s="10"/>
      <c r="VJX68" s="10"/>
      <c r="VJY68" s="10"/>
      <c r="VJZ68" s="10"/>
      <c r="VKA68" s="10"/>
      <c r="VKB68" s="10"/>
      <c r="VKC68" s="10"/>
      <c r="VKD68" s="10"/>
      <c r="VKE68" s="10"/>
      <c r="VKF68" s="10"/>
      <c r="VKG68" s="10"/>
      <c r="VKH68" s="10"/>
      <c r="VKI68" s="10"/>
      <c r="VKJ68" s="10"/>
      <c r="VKK68" s="10"/>
      <c r="VKL68" s="10"/>
      <c r="VKM68" s="10"/>
      <c r="VKN68" s="10"/>
      <c r="VKO68" s="10"/>
      <c r="VKP68" s="10"/>
      <c r="VKQ68" s="10"/>
      <c r="VKR68" s="10"/>
      <c r="VKS68" s="10"/>
      <c r="VKT68" s="10"/>
      <c r="VKU68" s="10"/>
      <c r="VKV68" s="10"/>
      <c r="VKW68" s="10"/>
      <c r="VKX68" s="10"/>
      <c r="VKY68" s="10"/>
      <c r="VKZ68" s="10"/>
      <c r="VLA68" s="10"/>
      <c r="VLB68" s="10"/>
      <c r="VLC68" s="10"/>
      <c r="VLD68" s="10"/>
      <c r="VLE68" s="10"/>
      <c r="VLF68" s="10"/>
      <c r="VLG68" s="10"/>
      <c r="VLH68" s="10"/>
      <c r="VLI68" s="10"/>
      <c r="VLJ68" s="10"/>
      <c r="VLK68" s="10"/>
      <c r="VLL68" s="10"/>
      <c r="VLM68" s="10"/>
      <c r="VLN68" s="10"/>
      <c r="VLO68" s="10"/>
      <c r="VLP68" s="10"/>
      <c r="VLQ68" s="10"/>
      <c r="VLR68" s="10"/>
      <c r="VLS68" s="10"/>
      <c r="VLT68" s="10"/>
      <c r="VLU68" s="10"/>
      <c r="VLV68" s="10"/>
      <c r="VLW68" s="10"/>
      <c r="VLX68" s="10"/>
      <c r="VLY68" s="10"/>
      <c r="VLZ68" s="10"/>
      <c r="VMA68" s="10"/>
      <c r="VMB68" s="10"/>
      <c r="VMC68" s="10"/>
      <c r="VMD68" s="10"/>
      <c r="VME68" s="10"/>
      <c r="VMF68" s="10"/>
      <c r="VMG68" s="10"/>
      <c r="VMH68" s="10"/>
      <c r="VMI68" s="10"/>
      <c r="VMJ68" s="10"/>
      <c r="VMK68" s="10"/>
      <c r="VML68" s="10"/>
      <c r="VMM68" s="10"/>
      <c r="VMN68" s="10"/>
      <c r="VMO68" s="10"/>
      <c r="VMP68" s="10"/>
      <c r="VMQ68" s="10"/>
      <c r="VMR68" s="10"/>
      <c r="VMS68" s="10"/>
      <c r="VMT68" s="10"/>
      <c r="VMU68" s="10"/>
      <c r="VMV68" s="10"/>
      <c r="VMW68" s="10"/>
      <c r="VMX68" s="10"/>
      <c r="VMY68" s="10"/>
      <c r="VMZ68" s="10"/>
      <c r="VNA68" s="10"/>
      <c r="VNB68" s="10"/>
      <c r="VNC68" s="10"/>
      <c r="VND68" s="10"/>
      <c r="VNE68" s="10"/>
      <c r="VNF68" s="10"/>
      <c r="VNG68" s="10"/>
      <c r="VNH68" s="10"/>
      <c r="VNI68" s="10"/>
      <c r="VNJ68" s="10"/>
      <c r="VNK68" s="10"/>
      <c r="VNL68" s="10"/>
      <c r="VNM68" s="10"/>
      <c r="VNN68" s="10"/>
      <c r="VNO68" s="10"/>
      <c r="VNP68" s="10"/>
      <c r="VNQ68" s="10"/>
      <c r="VNR68" s="10"/>
      <c r="VNS68" s="10"/>
      <c r="VNT68" s="10"/>
      <c r="VNU68" s="10"/>
      <c r="VNV68" s="10"/>
      <c r="VNW68" s="10"/>
      <c r="VNX68" s="10"/>
      <c r="VNY68" s="10"/>
      <c r="VNZ68" s="10"/>
      <c r="VOA68" s="10"/>
      <c r="VOB68" s="10"/>
      <c r="VOC68" s="10"/>
      <c r="VOD68" s="10"/>
      <c r="VOE68" s="10"/>
      <c r="VOF68" s="10"/>
      <c r="VOG68" s="10"/>
      <c r="VOH68" s="10"/>
      <c r="VOI68" s="10"/>
      <c r="VOJ68" s="10"/>
      <c r="VOK68" s="10"/>
      <c r="VOL68" s="10"/>
      <c r="VOM68" s="10"/>
      <c r="VON68" s="10"/>
      <c r="VOO68" s="10"/>
      <c r="VOP68" s="10"/>
      <c r="VOQ68" s="10"/>
      <c r="VOR68" s="10"/>
      <c r="VOS68" s="10"/>
      <c r="VOT68" s="10"/>
      <c r="VOU68" s="10"/>
      <c r="VOV68" s="10"/>
      <c r="VOW68" s="10"/>
      <c r="VOX68" s="10"/>
      <c r="VOY68" s="10"/>
      <c r="VOZ68" s="10"/>
      <c r="VPA68" s="10"/>
      <c r="VPB68" s="10"/>
      <c r="VPC68" s="10"/>
      <c r="VPD68" s="10"/>
      <c r="VPE68" s="10"/>
      <c r="VPF68" s="10"/>
      <c r="VPG68" s="10"/>
      <c r="VPH68" s="10"/>
      <c r="VPI68" s="10"/>
      <c r="VPJ68" s="10"/>
      <c r="VPK68" s="10"/>
      <c r="VPL68" s="10"/>
      <c r="VPM68" s="10"/>
      <c r="VPN68" s="10"/>
      <c r="VPO68" s="10"/>
      <c r="VPP68" s="10"/>
      <c r="VPQ68" s="10"/>
      <c r="VPR68" s="10"/>
      <c r="VPS68" s="10"/>
      <c r="VPT68" s="10"/>
      <c r="VPU68" s="10"/>
      <c r="VPV68" s="10"/>
      <c r="VPW68" s="10"/>
      <c r="VPX68" s="10"/>
      <c r="VPY68" s="10"/>
      <c r="VPZ68" s="10"/>
      <c r="VQA68" s="10"/>
      <c r="VQB68" s="10"/>
      <c r="VQC68" s="10"/>
      <c r="VQD68" s="10"/>
      <c r="VQE68" s="10"/>
      <c r="VQF68" s="10"/>
      <c r="VQG68" s="10"/>
      <c r="VQH68" s="10"/>
      <c r="VQI68" s="10"/>
      <c r="VQJ68" s="10"/>
      <c r="VQK68" s="10"/>
      <c r="VQL68" s="10"/>
      <c r="VQM68" s="10"/>
      <c r="VQN68" s="10"/>
      <c r="VQO68" s="10"/>
      <c r="VQP68" s="10"/>
      <c r="VQQ68" s="10"/>
      <c r="VQR68" s="10"/>
      <c r="VQS68" s="10"/>
      <c r="VQT68" s="10"/>
      <c r="VQU68" s="10"/>
      <c r="VQV68" s="10"/>
      <c r="VQW68" s="10"/>
      <c r="VQX68" s="10"/>
      <c r="VQY68" s="10"/>
      <c r="VQZ68" s="10"/>
      <c r="VRA68" s="10"/>
      <c r="VRB68" s="10"/>
      <c r="VRC68" s="10"/>
      <c r="VRD68" s="10"/>
      <c r="VRE68" s="10"/>
      <c r="VRF68" s="10"/>
      <c r="VRG68" s="10"/>
      <c r="VRH68" s="10"/>
      <c r="VRI68" s="10"/>
      <c r="VRJ68" s="10"/>
      <c r="VRK68" s="10"/>
      <c r="VRL68" s="10"/>
      <c r="VRM68" s="10"/>
      <c r="VRN68" s="10"/>
      <c r="VRO68" s="10"/>
      <c r="VRP68" s="10"/>
      <c r="VRQ68" s="10"/>
      <c r="VRR68" s="10"/>
      <c r="VRS68" s="10"/>
      <c r="VRT68" s="10"/>
      <c r="VRU68" s="10"/>
      <c r="VRV68" s="10"/>
      <c r="VRW68" s="10"/>
      <c r="VRX68" s="10"/>
      <c r="VRY68" s="10"/>
      <c r="VRZ68" s="10"/>
      <c r="VSA68" s="10"/>
      <c r="VSB68" s="10"/>
      <c r="VSC68" s="10"/>
      <c r="VSD68" s="10"/>
      <c r="VSE68" s="10"/>
      <c r="VSF68" s="10"/>
      <c r="VSG68" s="10"/>
      <c r="VSH68" s="10"/>
      <c r="VSI68" s="10"/>
      <c r="VSJ68" s="10"/>
      <c r="VSK68" s="10"/>
      <c r="VSL68" s="10"/>
      <c r="VSM68" s="10"/>
      <c r="VSN68" s="10"/>
      <c r="VSO68" s="10"/>
      <c r="VSP68" s="10"/>
      <c r="VSQ68" s="10"/>
      <c r="VSR68" s="10"/>
      <c r="VSS68" s="10"/>
      <c r="VST68" s="10"/>
      <c r="VSU68" s="10"/>
      <c r="VSV68" s="10"/>
      <c r="VSW68" s="10"/>
      <c r="VSX68" s="10"/>
      <c r="VSY68" s="10"/>
      <c r="VSZ68" s="10"/>
      <c r="VTA68" s="10"/>
      <c r="VTB68" s="10"/>
      <c r="VTC68" s="10"/>
      <c r="VTD68" s="10"/>
      <c r="VTE68" s="10"/>
      <c r="VTF68" s="10"/>
      <c r="VTG68" s="10"/>
      <c r="VTH68" s="10"/>
      <c r="VTI68" s="10"/>
      <c r="VTJ68" s="10"/>
      <c r="VTK68" s="10"/>
      <c r="VTL68" s="10"/>
      <c r="VTM68" s="10"/>
      <c r="VTN68" s="10"/>
      <c r="VTO68" s="10"/>
      <c r="VTP68" s="10"/>
      <c r="VTQ68" s="10"/>
      <c r="VTR68" s="10"/>
      <c r="VTS68" s="10"/>
      <c r="VTT68" s="10"/>
      <c r="VTU68" s="10"/>
      <c r="VTV68" s="10"/>
      <c r="VTW68" s="10"/>
      <c r="VTX68" s="10"/>
      <c r="VTY68" s="10"/>
      <c r="VTZ68" s="10"/>
      <c r="VUA68" s="10"/>
      <c r="VUB68" s="10"/>
      <c r="VUC68" s="10"/>
      <c r="VUD68" s="10"/>
      <c r="VUE68" s="10"/>
      <c r="VUF68" s="10"/>
      <c r="VUG68" s="10"/>
      <c r="VUH68" s="10"/>
      <c r="VUI68" s="10"/>
      <c r="VUJ68" s="10"/>
      <c r="VUK68" s="10"/>
      <c r="VUL68" s="10"/>
      <c r="VUM68" s="10"/>
      <c r="VUN68" s="10"/>
      <c r="VUO68" s="10"/>
      <c r="VUP68" s="10"/>
      <c r="VUQ68" s="10"/>
      <c r="VUR68" s="10"/>
      <c r="VUS68" s="10"/>
      <c r="VUT68" s="10"/>
      <c r="VUU68" s="10"/>
      <c r="VUV68" s="10"/>
      <c r="VUW68" s="10"/>
      <c r="VUX68" s="10"/>
      <c r="VUY68" s="10"/>
      <c r="VUZ68" s="10"/>
      <c r="VVA68" s="10"/>
      <c r="VVB68" s="10"/>
      <c r="VVC68" s="10"/>
      <c r="VVD68" s="10"/>
      <c r="VVE68" s="10"/>
      <c r="VVF68" s="10"/>
      <c r="VVG68" s="10"/>
      <c r="VVH68" s="10"/>
      <c r="VVI68" s="10"/>
      <c r="VVJ68" s="10"/>
      <c r="VVK68" s="10"/>
      <c r="VVL68" s="10"/>
      <c r="VVM68" s="10"/>
      <c r="VVN68" s="10"/>
      <c r="VVO68" s="10"/>
      <c r="VVP68" s="10"/>
      <c r="VVQ68" s="10"/>
      <c r="VVR68" s="10"/>
      <c r="VVS68" s="10"/>
      <c r="VVT68" s="10"/>
      <c r="VVU68" s="10"/>
      <c r="VVV68" s="10"/>
      <c r="VVW68" s="10"/>
      <c r="VVX68" s="10"/>
      <c r="VVY68" s="10"/>
      <c r="VVZ68" s="10"/>
      <c r="VWA68" s="10"/>
      <c r="VWB68" s="10"/>
      <c r="VWC68" s="10"/>
      <c r="VWD68" s="10"/>
      <c r="VWE68" s="10"/>
      <c r="VWF68" s="10"/>
      <c r="VWG68" s="10"/>
      <c r="VWH68" s="10"/>
      <c r="VWI68" s="10"/>
      <c r="VWJ68" s="10"/>
      <c r="VWK68" s="10"/>
      <c r="VWL68" s="10"/>
      <c r="VWM68" s="10"/>
      <c r="VWN68" s="10"/>
      <c r="VWO68" s="10"/>
      <c r="VWP68" s="10"/>
      <c r="VWQ68" s="10"/>
      <c r="VWR68" s="10"/>
      <c r="VWS68" s="10"/>
      <c r="VWT68" s="10"/>
      <c r="VWU68" s="10"/>
      <c r="VWV68" s="10"/>
      <c r="VWW68" s="10"/>
      <c r="VWX68" s="10"/>
      <c r="VWY68" s="10"/>
      <c r="VWZ68" s="10"/>
      <c r="VXA68" s="10"/>
      <c r="VXB68" s="10"/>
      <c r="VXC68" s="10"/>
      <c r="VXD68" s="10"/>
      <c r="VXE68" s="10"/>
      <c r="VXF68" s="10"/>
      <c r="VXG68" s="10"/>
      <c r="VXH68" s="10"/>
      <c r="VXI68" s="10"/>
      <c r="VXJ68" s="10"/>
      <c r="VXK68" s="10"/>
      <c r="VXL68" s="10"/>
      <c r="VXM68" s="10"/>
      <c r="VXN68" s="10"/>
      <c r="VXO68" s="10"/>
      <c r="VXP68" s="10"/>
      <c r="VXQ68" s="10"/>
      <c r="VXR68" s="10"/>
      <c r="VXS68" s="10"/>
      <c r="VXT68" s="10"/>
      <c r="VXU68" s="10"/>
      <c r="VXV68" s="10"/>
      <c r="VXW68" s="10"/>
      <c r="VXX68" s="10"/>
      <c r="VXY68" s="10"/>
      <c r="VXZ68" s="10"/>
      <c r="VYA68" s="10"/>
      <c r="VYB68" s="10"/>
      <c r="VYC68" s="10"/>
      <c r="VYD68" s="10"/>
      <c r="VYE68" s="10"/>
      <c r="VYF68" s="10"/>
      <c r="VYG68" s="10"/>
      <c r="VYH68" s="10"/>
      <c r="VYI68" s="10"/>
      <c r="VYJ68" s="10"/>
      <c r="VYK68" s="10"/>
      <c r="VYL68" s="10"/>
      <c r="VYM68" s="10"/>
      <c r="VYN68" s="10"/>
      <c r="VYO68" s="10"/>
      <c r="VYP68" s="10"/>
      <c r="VYQ68" s="10"/>
      <c r="VYR68" s="10"/>
      <c r="VYS68" s="10"/>
      <c r="VYT68" s="10"/>
      <c r="VYU68" s="10"/>
      <c r="VYV68" s="10"/>
      <c r="VYW68" s="10"/>
      <c r="VYX68" s="10"/>
      <c r="VYY68" s="10"/>
      <c r="VYZ68" s="10"/>
      <c r="VZA68" s="10"/>
      <c r="VZB68" s="10"/>
      <c r="VZC68" s="10"/>
      <c r="VZD68" s="10"/>
      <c r="VZE68" s="10"/>
      <c r="VZF68" s="10"/>
      <c r="VZG68" s="10"/>
      <c r="VZH68" s="10"/>
      <c r="VZI68" s="10"/>
      <c r="VZJ68" s="10"/>
      <c r="VZK68" s="10"/>
      <c r="VZL68" s="10"/>
      <c r="VZM68" s="10"/>
      <c r="VZN68" s="10"/>
      <c r="VZO68" s="10"/>
      <c r="VZP68" s="10"/>
      <c r="VZQ68" s="10"/>
      <c r="VZR68" s="10"/>
      <c r="VZS68" s="10"/>
      <c r="VZT68" s="10"/>
      <c r="VZU68" s="10"/>
      <c r="VZV68" s="10"/>
      <c r="VZW68" s="10"/>
      <c r="VZX68" s="10"/>
      <c r="VZY68" s="10"/>
      <c r="VZZ68" s="10"/>
      <c r="WAA68" s="10"/>
      <c r="WAB68" s="10"/>
      <c r="WAC68" s="10"/>
      <c r="WAD68" s="10"/>
      <c r="WAE68" s="10"/>
      <c r="WAF68" s="10"/>
      <c r="WAG68" s="10"/>
      <c r="WAH68" s="10"/>
      <c r="WAI68" s="10"/>
      <c r="WAJ68" s="10"/>
      <c r="WAK68" s="10"/>
      <c r="WAL68" s="10"/>
      <c r="WAM68" s="10"/>
      <c r="WAN68" s="10"/>
      <c r="WAO68" s="10"/>
      <c r="WAP68" s="10"/>
      <c r="WAQ68" s="10"/>
      <c r="WAR68" s="10"/>
      <c r="WAS68" s="10"/>
      <c r="WAT68" s="10"/>
      <c r="WAU68" s="10"/>
      <c r="WAV68" s="10"/>
      <c r="WAW68" s="10"/>
      <c r="WAX68" s="10"/>
      <c r="WAY68" s="10"/>
      <c r="WAZ68" s="10"/>
      <c r="WBA68" s="10"/>
      <c r="WBB68" s="10"/>
      <c r="WBC68" s="10"/>
      <c r="WBD68" s="10"/>
      <c r="WBE68" s="10"/>
      <c r="WBF68" s="10"/>
      <c r="WBG68" s="10"/>
      <c r="WBH68" s="10"/>
      <c r="WBI68" s="10"/>
      <c r="WBJ68" s="10"/>
      <c r="WBK68" s="10"/>
      <c r="WBL68" s="10"/>
      <c r="WBM68" s="10"/>
      <c r="WBN68" s="10"/>
      <c r="WBO68" s="10"/>
      <c r="WBP68" s="10"/>
      <c r="WBQ68" s="10"/>
      <c r="WBR68" s="10"/>
      <c r="WBS68" s="10"/>
      <c r="WBT68" s="10"/>
      <c r="WBU68" s="10"/>
      <c r="WBV68" s="10"/>
      <c r="WBW68" s="10"/>
      <c r="WBX68" s="10"/>
      <c r="WBY68" s="10"/>
      <c r="WBZ68" s="10"/>
      <c r="WCA68" s="10"/>
      <c r="WCB68" s="10"/>
      <c r="WCC68" s="10"/>
      <c r="WCD68" s="10"/>
      <c r="WCE68" s="10"/>
      <c r="WCF68" s="10"/>
      <c r="WCG68" s="10"/>
      <c r="WCH68" s="10"/>
      <c r="WCI68" s="10"/>
      <c r="WCJ68" s="10"/>
      <c r="WCK68" s="10"/>
      <c r="WCL68" s="10"/>
      <c r="WCM68" s="10"/>
      <c r="WCN68" s="10"/>
      <c r="WCO68" s="10"/>
      <c r="WCP68" s="10"/>
      <c r="WCQ68" s="10"/>
      <c r="WCR68" s="10"/>
      <c r="WCS68" s="10"/>
      <c r="WCT68" s="10"/>
      <c r="WCU68" s="10"/>
      <c r="WCV68" s="10"/>
      <c r="WCW68" s="10"/>
      <c r="WCX68" s="10"/>
      <c r="WCY68" s="10"/>
      <c r="WCZ68" s="10"/>
      <c r="WDA68" s="10"/>
      <c r="WDB68" s="10"/>
      <c r="WDC68" s="10"/>
      <c r="WDD68" s="10"/>
      <c r="WDE68" s="10"/>
      <c r="WDF68" s="10"/>
      <c r="WDG68" s="10"/>
      <c r="WDH68" s="10"/>
      <c r="WDI68" s="10"/>
      <c r="WDJ68" s="10"/>
      <c r="WDK68" s="10"/>
      <c r="WDL68" s="10"/>
      <c r="WDM68" s="10"/>
      <c r="WDN68" s="10"/>
      <c r="WDO68" s="10"/>
      <c r="WDP68" s="10"/>
      <c r="WDQ68" s="10"/>
      <c r="WDR68" s="10"/>
      <c r="WDS68" s="10"/>
      <c r="WDT68" s="10"/>
      <c r="WDU68" s="10"/>
      <c r="WDV68" s="10"/>
      <c r="WDW68" s="10"/>
      <c r="WDX68" s="10"/>
      <c r="WDY68" s="10"/>
      <c r="WDZ68" s="10"/>
      <c r="WEA68" s="10"/>
      <c r="WEB68" s="10"/>
      <c r="WEC68" s="10"/>
      <c r="WED68" s="10"/>
      <c r="WEE68" s="10"/>
      <c r="WEF68" s="10"/>
      <c r="WEG68" s="10"/>
      <c r="WEH68" s="10"/>
      <c r="WEI68" s="10"/>
      <c r="WEJ68" s="10"/>
      <c r="WEK68" s="10"/>
      <c r="WEL68" s="10"/>
      <c r="WEM68" s="10"/>
      <c r="WEN68" s="10"/>
      <c r="WEO68" s="10"/>
      <c r="WEP68" s="10"/>
      <c r="WEQ68" s="10"/>
      <c r="WER68" s="10"/>
      <c r="WES68" s="10"/>
      <c r="WET68" s="10"/>
      <c r="WEU68" s="10"/>
      <c r="WEV68" s="10"/>
      <c r="WEW68" s="10"/>
      <c r="WEX68" s="10"/>
      <c r="WEY68" s="10"/>
      <c r="WEZ68" s="10"/>
      <c r="WFA68" s="10"/>
      <c r="WFB68" s="10"/>
      <c r="WFC68" s="10"/>
      <c r="WFD68" s="10"/>
      <c r="WFE68" s="10"/>
      <c r="WFF68" s="10"/>
      <c r="WFG68" s="10"/>
      <c r="WFH68" s="10"/>
      <c r="WFI68" s="10"/>
      <c r="WFJ68" s="10"/>
      <c r="WFK68" s="10"/>
      <c r="WFL68" s="10"/>
      <c r="WFM68" s="10"/>
      <c r="WFN68" s="10"/>
      <c r="WFO68" s="10"/>
      <c r="WFP68" s="10"/>
      <c r="WFQ68" s="10"/>
      <c r="WFR68" s="10"/>
      <c r="WFS68" s="10"/>
      <c r="WFT68" s="10"/>
      <c r="WFU68" s="10"/>
      <c r="WFV68" s="10"/>
      <c r="WFW68" s="10"/>
      <c r="WFX68" s="10"/>
      <c r="WFY68" s="10"/>
      <c r="WFZ68" s="10"/>
      <c r="WGA68" s="10"/>
      <c r="WGB68" s="10"/>
      <c r="WGC68" s="10"/>
      <c r="WGD68" s="10"/>
      <c r="WGE68" s="10"/>
      <c r="WGF68" s="10"/>
      <c r="WGG68" s="10"/>
      <c r="WGH68" s="10"/>
      <c r="WGI68" s="10"/>
      <c r="WGJ68" s="10"/>
      <c r="WGK68" s="10"/>
      <c r="WGL68" s="10"/>
      <c r="WGM68" s="10"/>
      <c r="WGN68" s="10"/>
      <c r="WGO68" s="10"/>
      <c r="WGP68" s="10"/>
      <c r="WGQ68" s="10"/>
      <c r="WGR68" s="10"/>
      <c r="WGS68" s="10"/>
      <c r="WGT68" s="10"/>
      <c r="WGU68" s="10"/>
      <c r="WGV68" s="10"/>
      <c r="WGW68" s="10"/>
      <c r="WGX68" s="10"/>
      <c r="WGY68" s="10"/>
      <c r="WGZ68" s="10"/>
      <c r="WHA68" s="10"/>
      <c r="WHB68" s="10"/>
      <c r="WHC68" s="10"/>
      <c r="WHD68" s="10"/>
      <c r="WHE68" s="10"/>
      <c r="WHF68" s="10"/>
      <c r="WHG68" s="10"/>
      <c r="WHH68" s="10"/>
      <c r="WHI68" s="10"/>
      <c r="WHJ68" s="10"/>
      <c r="WHK68" s="10"/>
      <c r="WHL68" s="10"/>
      <c r="WHM68" s="10"/>
      <c r="WHN68" s="10"/>
      <c r="WHO68" s="10"/>
      <c r="WHP68" s="10"/>
      <c r="WHQ68" s="10"/>
      <c r="WHR68" s="10"/>
      <c r="WHS68" s="10"/>
      <c r="WHT68" s="10"/>
      <c r="WHU68" s="10"/>
      <c r="WHV68" s="10"/>
      <c r="WHW68" s="10"/>
      <c r="WHX68" s="10"/>
      <c r="WHY68" s="10"/>
      <c r="WHZ68" s="10"/>
      <c r="WIA68" s="10"/>
      <c r="WIB68" s="10"/>
      <c r="WIC68" s="10"/>
      <c r="WID68" s="10"/>
      <c r="WIE68" s="10"/>
      <c r="WIF68" s="10"/>
      <c r="WIG68" s="10"/>
      <c r="WIH68" s="10"/>
      <c r="WII68" s="10"/>
      <c r="WIJ68" s="10"/>
      <c r="WIK68" s="10"/>
      <c r="WIL68" s="10"/>
      <c r="WIM68" s="10"/>
      <c r="WIN68" s="10"/>
      <c r="WIO68" s="10"/>
      <c r="WIP68" s="10"/>
      <c r="WIQ68" s="10"/>
      <c r="WIR68" s="10"/>
      <c r="WIS68" s="10"/>
      <c r="WIT68" s="10"/>
      <c r="WIU68" s="10"/>
      <c r="WIV68" s="10"/>
      <c r="WIW68" s="10"/>
      <c r="WIX68" s="10"/>
      <c r="WIY68" s="10"/>
      <c r="WIZ68" s="10"/>
      <c r="WJA68" s="10"/>
      <c r="WJB68" s="10"/>
      <c r="WJC68" s="10"/>
      <c r="WJD68" s="10"/>
      <c r="WJE68" s="10"/>
      <c r="WJF68" s="10"/>
      <c r="WJG68" s="10"/>
      <c r="WJH68" s="10"/>
      <c r="WJI68" s="10"/>
      <c r="WJJ68" s="10"/>
      <c r="WJK68" s="10"/>
      <c r="WJL68" s="10"/>
      <c r="WJM68" s="10"/>
      <c r="WJN68" s="10"/>
      <c r="WJO68" s="10"/>
      <c r="WJP68" s="10"/>
      <c r="WJQ68" s="10"/>
      <c r="WJR68" s="10"/>
      <c r="WJS68" s="10"/>
      <c r="WJT68" s="10"/>
      <c r="WJU68" s="10"/>
      <c r="WJV68" s="10"/>
      <c r="WJW68" s="10"/>
      <c r="WJX68" s="10"/>
      <c r="WJY68" s="10"/>
      <c r="WJZ68" s="10"/>
      <c r="WKA68" s="10"/>
      <c r="WKB68" s="10"/>
      <c r="WKC68" s="10"/>
      <c r="WKD68" s="10"/>
      <c r="WKE68" s="10"/>
      <c r="WKF68" s="10"/>
      <c r="WKG68" s="10"/>
      <c r="WKH68" s="10"/>
      <c r="WKI68" s="10"/>
      <c r="WKJ68" s="10"/>
      <c r="WKK68" s="10"/>
      <c r="WKL68" s="10"/>
      <c r="WKM68" s="10"/>
      <c r="WKN68" s="10"/>
      <c r="WKO68" s="10"/>
      <c r="WKP68" s="10"/>
      <c r="WKQ68" s="10"/>
      <c r="WKR68" s="10"/>
      <c r="WKS68" s="10"/>
      <c r="WKT68" s="10"/>
      <c r="WKU68" s="10"/>
      <c r="WKV68" s="10"/>
      <c r="WKW68" s="10"/>
      <c r="WKX68" s="10"/>
      <c r="WKY68" s="10"/>
      <c r="WKZ68" s="10"/>
      <c r="WLA68" s="10"/>
      <c r="WLB68" s="10"/>
      <c r="WLC68" s="10"/>
      <c r="WLD68" s="10"/>
      <c r="WLE68" s="10"/>
      <c r="WLF68" s="10"/>
      <c r="WLG68" s="10"/>
      <c r="WLH68" s="10"/>
      <c r="WLI68" s="10"/>
      <c r="WLJ68" s="10"/>
      <c r="WLK68" s="10"/>
      <c r="WLL68" s="10"/>
      <c r="WLM68" s="10"/>
      <c r="WLN68" s="10"/>
      <c r="WLO68" s="10"/>
      <c r="WLP68" s="10"/>
      <c r="WLQ68" s="10"/>
      <c r="WLR68" s="10"/>
      <c r="WLS68" s="10"/>
      <c r="WLT68" s="10"/>
      <c r="WLU68" s="10"/>
      <c r="WLV68" s="10"/>
      <c r="WLW68" s="10"/>
      <c r="WLX68" s="10"/>
      <c r="WLY68" s="10"/>
      <c r="WLZ68" s="10"/>
      <c r="WMA68" s="10"/>
      <c r="WMB68" s="10"/>
      <c r="WMC68" s="10"/>
      <c r="WMD68" s="10"/>
      <c r="WME68" s="10"/>
      <c r="WMF68" s="10"/>
      <c r="WMG68" s="10"/>
      <c r="WMH68" s="10"/>
      <c r="WMI68" s="10"/>
      <c r="WMJ68" s="10"/>
      <c r="WMK68" s="10"/>
      <c r="WML68" s="10"/>
      <c r="WMM68" s="10"/>
      <c r="WMN68" s="10"/>
      <c r="WMO68" s="10"/>
      <c r="WMP68" s="10"/>
      <c r="WMQ68" s="10"/>
      <c r="WMR68" s="10"/>
      <c r="WMS68" s="10"/>
      <c r="WMT68" s="10"/>
      <c r="WMU68" s="10"/>
      <c r="WMV68" s="10"/>
      <c r="WMW68" s="10"/>
      <c r="WMX68" s="10"/>
      <c r="WMY68" s="10"/>
      <c r="WMZ68" s="10"/>
      <c r="WNA68" s="10"/>
      <c r="WNB68" s="10"/>
      <c r="WNC68" s="10"/>
      <c r="WND68" s="10"/>
      <c r="WNE68" s="10"/>
      <c r="WNF68" s="10"/>
      <c r="WNG68" s="10"/>
      <c r="WNH68" s="10"/>
      <c r="WNI68" s="10"/>
      <c r="WNJ68" s="10"/>
      <c r="WNK68" s="10"/>
      <c r="WNL68" s="10"/>
      <c r="WNM68" s="10"/>
      <c r="WNN68" s="10"/>
      <c r="WNO68" s="10"/>
      <c r="WNP68" s="10"/>
      <c r="WNQ68" s="10"/>
      <c r="WNR68" s="10"/>
      <c r="WNS68" s="10"/>
      <c r="WNT68" s="10"/>
      <c r="WNU68" s="10"/>
      <c r="WNV68" s="10"/>
      <c r="WNW68" s="10"/>
      <c r="WNX68" s="10"/>
      <c r="WNY68" s="10"/>
      <c r="WNZ68" s="10"/>
      <c r="WOA68" s="10"/>
      <c r="WOB68" s="10"/>
      <c r="WOC68" s="10"/>
      <c r="WOD68" s="10"/>
      <c r="WOE68" s="10"/>
      <c r="WOF68" s="10"/>
      <c r="WOG68" s="10"/>
      <c r="WOH68" s="10"/>
      <c r="WOI68" s="10"/>
      <c r="WOJ68" s="10"/>
      <c r="WOK68" s="10"/>
      <c r="WOL68" s="10"/>
      <c r="WOM68" s="10"/>
      <c r="WON68" s="10"/>
      <c r="WOO68" s="10"/>
      <c r="WOP68" s="10"/>
      <c r="WOQ68" s="10"/>
      <c r="WOR68" s="10"/>
      <c r="WOS68" s="10"/>
      <c r="WOT68" s="10"/>
      <c r="WOU68" s="10"/>
      <c r="WOV68" s="10"/>
      <c r="WOW68" s="10"/>
      <c r="WOX68" s="10"/>
      <c r="WOY68" s="10"/>
      <c r="WOZ68" s="10"/>
      <c r="WPA68" s="10"/>
      <c r="WPB68" s="10"/>
      <c r="WPC68" s="10"/>
      <c r="WPD68" s="10"/>
      <c r="WPE68" s="10"/>
      <c r="WPF68" s="10"/>
      <c r="WPG68" s="10"/>
      <c r="WPH68" s="10"/>
      <c r="WPI68" s="10"/>
      <c r="WPJ68" s="10"/>
      <c r="WPK68" s="10"/>
      <c r="WPL68" s="10"/>
      <c r="WPM68" s="10"/>
      <c r="WPN68" s="10"/>
      <c r="WPO68" s="10"/>
      <c r="WPP68" s="10"/>
      <c r="WPQ68" s="10"/>
      <c r="WPR68" s="10"/>
      <c r="WPS68" s="10"/>
      <c r="WPT68" s="10"/>
      <c r="WPU68" s="10"/>
      <c r="WPV68" s="10"/>
      <c r="WPW68" s="10"/>
      <c r="WPX68" s="10"/>
      <c r="WPY68" s="10"/>
      <c r="WPZ68" s="10"/>
      <c r="WQA68" s="10"/>
      <c r="WQB68" s="10"/>
      <c r="WQC68" s="10"/>
      <c r="WQD68" s="10"/>
      <c r="WQE68" s="10"/>
      <c r="WQF68" s="10"/>
      <c r="WQG68" s="10"/>
      <c r="WQH68" s="10"/>
      <c r="WQI68" s="10"/>
      <c r="WQJ68" s="10"/>
      <c r="WQK68" s="10"/>
      <c r="WQL68" s="10"/>
      <c r="WQM68" s="10"/>
      <c r="WQN68" s="10"/>
      <c r="WQO68" s="10"/>
      <c r="WQP68" s="10"/>
      <c r="WQQ68" s="10"/>
      <c r="WQR68" s="10"/>
      <c r="WQS68" s="10"/>
      <c r="WQT68" s="10"/>
      <c r="WQU68" s="10"/>
      <c r="WQV68" s="10"/>
      <c r="WQW68" s="10"/>
      <c r="WQX68" s="10"/>
      <c r="WQY68" s="10"/>
      <c r="WQZ68" s="10"/>
      <c r="WRA68" s="10"/>
      <c r="WRB68" s="10"/>
      <c r="WRC68" s="10"/>
      <c r="WRD68" s="10"/>
      <c r="WRE68" s="10"/>
      <c r="WRF68" s="10"/>
      <c r="WRG68" s="10"/>
      <c r="WRH68" s="10"/>
      <c r="WRI68" s="10"/>
      <c r="WRJ68" s="10"/>
      <c r="WRK68" s="10"/>
      <c r="WRL68" s="10"/>
      <c r="WRM68" s="10"/>
      <c r="WRN68" s="10"/>
      <c r="WRO68" s="10"/>
      <c r="WRP68" s="10"/>
      <c r="WRQ68" s="10"/>
      <c r="WRR68" s="10"/>
      <c r="WRS68" s="10"/>
      <c r="WRT68" s="10"/>
      <c r="WRU68" s="10"/>
      <c r="WRV68" s="10"/>
      <c r="WRW68" s="10"/>
      <c r="WRX68" s="10"/>
      <c r="WRY68" s="10"/>
      <c r="WRZ68" s="10"/>
      <c r="WSA68" s="10"/>
      <c r="WSB68" s="10"/>
      <c r="WSC68" s="10"/>
      <c r="WSD68" s="10"/>
      <c r="WSE68" s="10"/>
      <c r="WSF68" s="10"/>
      <c r="WSG68" s="10"/>
      <c r="WSH68" s="10"/>
      <c r="WSI68" s="10"/>
      <c r="WSJ68" s="10"/>
      <c r="WSK68" s="10"/>
      <c r="WSL68" s="10"/>
      <c r="WSM68" s="10"/>
      <c r="WSN68" s="10"/>
      <c r="WSO68" s="10"/>
      <c r="WSP68" s="10"/>
      <c r="WSQ68" s="10"/>
      <c r="WSR68" s="10"/>
      <c r="WSS68" s="10"/>
      <c r="WST68" s="10"/>
      <c r="WSU68" s="10"/>
      <c r="WSV68" s="10"/>
      <c r="WSW68" s="10"/>
      <c r="WSX68" s="10"/>
      <c r="WSY68" s="10"/>
      <c r="WSZ68" s="10"/>
      <c r="WTA68" s="10"/>
      <c r="WTB68" s="10"/>
      <c r="WTC68" s="10"/>
      <c r="WTD68" s="10"/>
      <c r="WTE68" s="10"/>
      <c r="WTF68" s="10"/>
      <c r="WTG68" s="10"/>
      <c r="WTH68" s="10"/>
      <c r="WTI68" s="10"/>
      <c r="WTJ68" s="10"/>
      <c r="WTK68" s="10"/>
      <c r="WTL68" s="10"/>
      <c r="WTM68" s="10"/>
      <c r="WTN68" s="10"/>
      <c r="WTO68" s="10"/>
      <c r="WTP68" s="10"/>
      <c r="WTQ68" s="10"/>
      <c r="WTR68" s="10"/>
      <c r="WTS68" s="10"/>
      <c r="WTT68" s="10"/>
      <c r="WTU68" s="10"/>
      <c r="WTV68" s="10"/>
      <c r="WTW68" s="10"/>
      <c r="WTX68" s="10"/>
      <c r="WTY68" s="10"/>
      <c r="WTZ68" s="10"/>
      <c r="WUA68" s="10"/>
      <c r="WUB68" s="10"/>
      <c r="WUC68" s="10"/>
      <c r="WUD68" s="10"/>
      <c r="WUE68" s="10"/>
      <c r="WUF68" s="10"/>
      <c r="WUG68" s="10"/>
      <c r="WUH68" s="10"/>
      <c r="WUI68" s="10"/>
      <c r="WUJ68" s="10"/>
      <c r="WUK68" s="10"/>
      <c r="WUL68" s="10"/>
      <c r="WUM68" s="10"/>
      <c r="WUN68" s="10"/>
      <c r="WUO68" s="10"/>
      <c r="WUP68" s="10"/>
      <c r="WUQ68" s="10"/>
      <c r="WUR68" s="10"/>
      <c r="WUS68" s="10"/>
      <c r="WUT68" s="10"/>
      <c r="WUU68" s="10"/>
      <c r="WUV68" s="10"/>
      <c r="WUW68" s="10"/>
      <c r="WUX68" s="10"/>
      <c r="WUY68" s="10"/>
      <c r="WUZ68" s="10"/>
      <c r="WVA68" s="10"/>
      <c r="WVB68" s="10"/>
      <c r="WVC68" s="10"/>
      <c r="WVD68" s="10"/>
      <c r="WVE68" s="10"/>
      <c r="WVF68" s="10"/>
      <c r="WVG68" s="10"/>
      <c r="WVH68" s="10"/>
      <c r="WVI68" s="10"/>
      <c r="WVJ68" s="10"/>
      <c r="WVK68" s="10"/>
      <c r="WVL68" s="10"/>
      <c r="WVM68" s="10"/>
      <c r="WVN68" s="10"/>
      <c r="WVO68" s="10"/>
      <c r="WVP68" s="10"/>
      <c r="WVQ68" s="10"/>
      <c r="WVR68" s="10"/>
      <c r="WVS68" s="10"/>
      <c r="WVT68" s="10"/>
    </row>
    <row r="69" spans="2:16140" s="242" customFormat="1" ht="21" customHeight="1">
      <c r="B69" s="241"/>
      <c r="C69" s="332"/>
      <c r="D69" s="337"/>
      <c r="F69" s="244"/>
      <c r="G69" s="245"/>
      <c r="H69" s="333"/>
      <c r="I69" s="333"/>
      <c r="J69" s="333"/>
      <c r="K69" s="333"/>
      <c r="L69" s="334"/>
      <c r="M69" s="10"/>
      <c r="N69" s="18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/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/>
      <c r="IV69" s="10"/>
      <c r="IW69" s="10"/>
      <c r="IX69" s="10"/>
      <c r="IY69" s="10"/>
      <c r="IZ69" s="10"/>
      <c r="JA69" s="10"/>
      <c r="JB69" s="10"/>
      <c r="JC69" s="10"/>
      <c r="JD69" s="10"/>
      <c r="JE69" s="10"/>
      <c r="JF69" s="10"/>
      <c r="JG69" s="10"/>
      <c r="JH69" s="10"/>
      <c r="JI69" s="10"/>
      <c r="JJ69" s="10"/>
      <c r="JK69" s="10"/>
      <c r="JL69" s="10"/>
      <c r="JM69" s="10"/>
      <c r="JN69" s="10"/>
      <c r="JO69" s="10"/>
      <c r="JP69" s="10"/>
      <c r="JQ69" s="10"/>
      <c r="JR69" s="10"/>
      <c r="JS69" s="10"/>
      <c r="JT69" s="10"/>
      <c r="JU69" s="10"/>
      <c r="JV69" s="10"/>
      <c r="JW69" s="10"/>
      <c r="JX69" s="10"/>
      <c r="JY69" s="10"/>
      <c r="JZ69" s="10"/>
      <c r="KA69" s="10"/>
      <c r="KB69" s="10"/>
      <c r="KC69" s="10"/>
      <c r="KD69" s="10"/>
      <c r="KE69" s="10"/>
      <c r="KF69" s="10"/>
      <c r="KG69" s="10"/>
      <c r="KH69" s="10"/>
      <c r="KI69" s="10"/>
      <c r="KJ69" s="10"/>
      <c r="KK69" s="10"/>
      <c r="KL69" s="10"/>
      <c r="KM69" s="10"/>
      <c r="KN69" s="10"/>
      <c r="KO69" s="10"/>
      <c r="KP69" s="10"/>
      <c r="KQ69" s="10"/>
      <c r="KR69" s="10"/>
      <c r="KS69" s="10"/>
      <c r="KT69" s="10"/>
      <c r="KU69" s="10"/>
      <c r="KV69" s="10"/>
      <c r="KW69" s="10"/>
      <c r="KX69" s="10"/>
      <c r="KY69" s="10"/>
      <c r="KZ69" s="10"/>
      <c r="LA69" s="10"/>
      <c r="LB69" s="10"/>
      <c r="LC69" s="10"/>
      <c r="LD69" s="10"/>
      <c r="LE69" s="10"/>
      <c r="LF69" s="10"/>
      <c r="LG69" s="10"/>
      <c r="LH69" s="10"/>
      <c r="LI69" s="10"/>
      <c r="LJ69" s="10"/>
      <c r="LK69" s="10"/>
      <c r="LL69" s="10"/>
      <c r="LM69" s="10"/>
      <c r="LN69" s="10"/>
      <c r="LO69" s="10"/>
      <c r="LP69" s="10"/>
      <c r="LQ69" s="10"/>
      <c r="LR69" s="10"/>
      <c r="LS69" s="10"/>
      <c r="LT69" s="10"/>
      <c r="LU69" s="10"/>
      <c r="LV69" s="10"/>
      <c r="LW69" s="10"/>
      <c r="LX69" s="10"/>
      <c r="LY69" s="10"/>
      <c r="LZ69" s="10"/>
      <c r="MA69" s="10"/>
      <c r="MB69" s="10"/>
      <c r="MC69" s="10"/>
      <c r="MD69" s="10"/>
      <c r="ME69" s="10"/>
      <c r="MF69" s="10"/>
      <c r="MG69" s="10"/>
      <c r="MH69" s="10"/>
      <c r="MI69" s="10"/>
      <c r="MJ69" s="10"/>
      <c r="MK69" s="10"/>
      <c r="ML69" s="10"/>
      <c r="MM69" s="10"/>
      <c r="MN69" s="10"/>
      <c r="MO69" s="10"/>
      <c r="MP69" s="10"/>
      <c r="MQ69" s="10"/>
      <c r="MR69" s="10"/>
      <c r="MS69" s="10"/>
      <c r="MT69" s="10"/>
      <c r="MU69" s="10"/>
      <c r="MV69" s="10"/>
      <c r="MW69" s="10"/>
      <c r="MX69" s="10"/>
      <c r="MY69" s="10"/>
      <c r="MZ69" s="10"/>
      <c r="NA69" s="10"/>
      <c r="NB69" s="10"/>
      <c r="NC69" s="10"/>
      <c r="ND69" s="10"/>
      <c r="NE69" s="10"/>
      <c r="NF69" s="10"/>
      <c r="NG69" s="10"/>
      <c r="NH69" s="10"/>
      <c r="NI69" s="10"/>
      <c r="NJ69" s="10"/>
      <c r="NK69" s="10"/>
      <c r="NL69" s="10"/>
      <c r="NM69" s="10"/>
      <c r="NN69" s="10"/>
      <c r="NO69" s="10"/>
      <c r="NP69" s="10"/>
      <c r="NQ69" s="10"/>
      <c r="NR69" s="10"/>
      <c r="NS69" s="10"/>
      <c r="NT69" s="10"/>
      <c r="NU69" s="10"/>
      <c r="NV69" s="10"/>
      <c r="NW69" s="10"/>
      <c r="NX69" s="10"/>
      <c r="NY69" s="10"/>
      <c r="NZ69" s="10"/>
      <c r="OA69" s="10"/>
      <c r="OB69" s="10"/>
      <c r="OC69" s="10"/>
      <c r="OD69" s="10"/>
      <c r="OE69" s="10"/>
      <c r="OF69" s="10"/>
      <c r="OG69" s="10"/>
      <c r="OH69" s="10"/>
      <c r="OI69" s="10"/>
      <c r="OJ69" s="10"/>
      <c r="OK69" s="10"/>
      <c r="OL69" s="10"/>
      <c r="OM69" s="10"/>
      <c r="ON69" s="10"/>
      <c r="OO69" s="10"/>
      <c r="OP69" s="10"/>
      <c r="OQ69" s="10"/>
      <c r="OR69" s="10"/>
      <c r="OS69" s="10"/>
      <c r="OT69" s="10"/>
      <c r="OU69" s="10"/>
      <c r="OV69" s="10"/>
      <c r="OW69" s="10"/>
      <c r="OX69" s="10"/>
      <c r="OY69" s="10"/>
      <c r="OZ69" s="10"/>
      <c r="PA69" s="10"/>
      <c r="PB69" s="10"/>
      <c r="PC69" s="10"/>
      <c r="PD69" s="10"/>
      <c r="PE69" s="10"/>
      <c r="PF69" s="10"/>
      <c r="PG69" s="10"/>
      <c r="PH69" s="10"/>
      <c r="PI69" s="10"/>
      <c r="PJ69" s="10"/>
      <c r="PK69" s="10"/>
      <c r="PL69" s="10"/>
      <c r="PM69" s="10"/>
      <c r="PN69" s="10"/>
      <c r="PO69" s="10"/>
      <c r="PP69" s="10"/>
      <c r="PQ69" s="10"/>
      <c r="PR69" s="10"/>
      <c r="PS69" s="10"/>
      <c r="PT69" s="10"/>
      <c r="PU69" s="10"/>
      <c r="PV69" s="10"/>
      <c r="PW69" s="10"/>
      <c r="PX69" s="10"/>
      <c r="PY69" s="10"/>
      <c r="PZ69" s="10"/>
      <c r="QA69" s="10"/>
      <c r="QB69" s="10"/>
      <c r="QC69" s="10"/>
      <c r="QD69" s="10"/>
      <c r="QE69" s="10"/>
      <c r="QF69" s="10"/>
      <c r="QG69" s="10"/>
      <c r="QH69" s="10"/>
      <c r="QI69" s="10"/>
      <c r="QJ69" s="10"/>
      <c r="QK69" s="10"/>
      <c r="QL69" s="10"/>
      <c r="QM69" s="10"/>
      <c r="QN69" s="10"/>
      <c r="QO69" s="10"/>
      <c r="QP69" s="10"/>
      <c r="QQ69" s="10"/>
      <c r="QR69" s="10"/>
      <c r="QS69" s="10"/>
      <c r="QT69" s="10"/>
      <c r="QU69" s="10"/>
      <c r="QV69" s="10"/>
      <c r="QW69" s="10"/>
      <c r="QX69" s="10"/>
      <c r="QY69" s="10"/>
      <c r="QZ69" s="10"/>
      <c r="RA69" s="10"/>
      <c r="RB69" s="10"/>
      <c r="RC69" s="10"/>
      <c r="RD69" s="10"/>
      <c r="RE69" s="10"/>
      <c r="RF69" s="10"/>
      <c r="RG69" s="10"/>
      <c r="RH69" s="10"/>
      <c r="RI69" s="10"/>
      <c r="RJ69" s="10"/>
      <c r="RK69" s="10"/>
      <c r="RL69" s="10"/>
      <c r="RM69" s="10"/>
      <c r="RN69" s="10"/>
      <c r="RO69" s="10"/>
      <c r="RP69" s="10"/>
      <c r="RQ69" s="10"/>
      <c r="RR69" s="10"/>
      <c r="RS69" s="10"/>
      <c r="RT69" s="10"/>
      <c r="RU69" s="10"/>
      <c r="RV69" s="10"/>
      <c r="RW69" s="10"/>
      <c r="RX69" s="10"/>
      <c r="RY69" s="10"/>
      <c r="RZ69" s="10"/>
      <c r="SA69" s="10"/>
      <c r="SB69" s="10"/>
      <c r="SC69" s="10"/>
      <c r="SD69" s="10"/>
      <c r="SE69" s="10"/>
      <c r="SF69" s="10"/>
      <c r="SG69" s="10"/>
      <c r="SH69" s="10"/>
      <c r="SI69" s="10"/>
      <c r="SJ69" s="10"/>
      <c r="SK69" s="10"/>
      <c r="SL69" s="10"/>
      <c r="SM69" s="10"/>
      <c r="SN69" s="10"/>
      <c r="SO69" s="10"/>
      <c r="SP69" s="10"/>
      <c r="SQ69" s="10"/>
      <c r="SR69" s="10"/>
      <c r="SS69" s="10"/>
      <c r="ST69" s="10"/>
      <c r="SU69" s="10"/>
      <c r="SV69" s="10"/>
      <c r="SW69" s="10"/>
      <c r="SX69" s="10"/>
      <c r="SY69" s="10"/>
      <c r="SZ69" s="10"/>
      <c r="TA69" s="10"/>
      <c r="TB69" s="10"/>
      <c r="TC69" s="10"/>
      <c r="TD69" s="10"/>
      <c r="TE69" s="10"/>
      <c r="TF69" s="10"/>
      <c r="TG69" s="10"/>
      <c r="TH69" s="10"/>
      <c r="TI69" s="10"/>
      <c r="TJ69" s="10"/>
      <c r="TK69" s="10"/>
      <c r="TL69" s="10"/>
      <c r="TM69" s="10"/>
      <c r="TN69" s="10"/>
      <c r="TO69" s="10"/>
      <c r="TP69" s="10"/>
      <c r="TQ69" s="10"/>
      <c r="TR69" s="10"/>
      <c r="TS69" s="10"/>
      <c r="TT69" s="10"/>
      <c r="TU69" s="10"/>
      <c r="TV69" s="10"/>
      <c r="TW69" s="10"/>
      <c r="TX69" s="10"/>
      <c r="TY69" s="10"/>
      <c r="TZ69" s="10"/>
      <c r="UA69" s="10"/>
      <c r="UB69" s="10"/>
      <c r="UC69" s="10"/>
      <c r="UD69" s="10"/>
      <c r="UE69" s="10"/>
      <c r="UF69" s="10"/>
      <c r="UG69" s="10"/>
      <c r="UH69" s="10"/>
      <c r="UI69" s="10"/>
      <c r="UJ69" s="10"/>
      <c r="UK69" s="10"/>
      <c r="UL69" s="10"/>
      <c r="UM69" s="10"/>
      <c r="UN69" s="10"/>
      <c r="UO69" s="10"/>
      <c r="UP69" s="10"/>
      <c r="UQ69" s="10"/>
      <c r="UR69" s="10"/>
      <c r="US69" s="10"/>
      <c r="UT69" s="10"/>
      <c r="UU69" s="10"/>
      <c r="UV69" s="10"/>
      <c r="UW69" s="10"/>
      <c r="UX69" s="10"/>
      <c r="UY69" s="10"/>
      <c r="UZ69" s="10"/>
      <c r="VA69" s="10"/>
      <c r="VB69" s="10"/>
      <c r="VC69" s="10"/>
      <c r="VD69" s="10"/>
      <c r="VE69" s="10"/>
      <c r="VF69" s="10"/>
      <c r="VG69" s="10"/>
      <c r="VH69" s="10"/>
      <c r="VI69" s="10"/>
      <c r="VJ69" s="10"/>
      <c r="VK69" s="10"/>
      <c r="VL69" s="10"/>
      <c r="VM69" s="10"/>
      <c r="VN69" s="10"/>
      <c r="VO69" s="10"/>
      <c r="VP69" s="10"/>
      <c r="VQ69" s="10"/>
      <c r="VR69" s="10"/>
      <c r="VS69" s="10"/>
      <c r="VT69" s="10"/>
      <c r="VU69" s="10"/>
      <c r="VV69" s="10"/>
      <c r="VW69" s="10"/>
      <c r="VX69" s="10"/>
      <c r="VY69" s="10"/>
      <c r="VZ69" s="10"/>
      <c r="WA69" s="10"/>
      <c r="WB69" s="10"/>
      <c r="WC69" s="10"/>
      <c r="WD69" s="10"/>
      <c r="WE69" s="10"/>
      <c r="WF69" s="10"/>
      <c r="WG69" s="10"/>
      <c r="WH69" s="10"/>
      <c r="WI69" s="10"/>
      <c r="WJ69" s="10"/>
      <c r="WK69" s="10"/>
      <c r="WL69" s="10"/>
      <c r="WM69" s="10"/>
      <c r="WN69" s="10"/>
      <c r="WO69" s="10"/>
      <c r="WP69" s="10"/>
      <c r="WQ69" s="10"/>
      <c r="WR69" s="10"/>
      <c r="WS69" s="10"/>
      <c r="WT69" s="10"/>
      <c r="WU69" s="10"/>
      <c r="WV69" s="10"/>
      <c r="WW69" s="10"/>
      <c r="WX69" s="10"/>
      <c r="WY69" s="10"/>
      <c r="WZ69" s="10"/>
      <c r="XA69" s="10"/>
      <c r="XB69" s="10"/>
      <c r="XC69" s="10"/>
      <c r="XD69" s="10"/>
      <c r="XE69" s="10"/>
      <c r="XF69" s="10"/>
      <c r="XG69" s="10"/>
      <c r="XH69" s="10"/>
      <c r="XI69" s="10"/>
      <c r="XJ69" s="10"/>
      <c r="XK69" s="10"/>
      <c r="XL69" s="10"/>
      <c r="XM69" s="10"/>
      <c r="XN69" s="10"/>
      <c r="XO69" s="10"/>
      <c r="XP69" s="10"/>
      <c r="XQ69" s="10"/>
      <c r="XR69" s="10"/>
      <c r="XS69" s="10"/>
      <c r="XT69" s="10"/>
      <c r="XU69" s="10"/>
      <c r="XV69" s="10"/>
      <c r="XW69" s="10"/>
      <c r="XX69" s="10"/>
      <c r="XY69" s="10"/>
      <c r="XZ69" s="10"/>
      <c r="YA69" s="10"/>
      <c r="YB69" s="10"/>
      <c r="YC69" s="10"/>
      <c r="YD69" s="10"/>
      <c r="YE69" s="10"/>
      <c r="YF69" s="10"/>
      <c r="YG69" s="10"/>
      <c r="YH69" s="10"/>
      <c r="YI69" s="10"/>
      <c r="YJ69" s="10"/>
      <c r="YK69" s="10"/>
      <c r="YL69" s="10"/>
      <c r="YM69" s="10"/>
      <c r="YN69" s="10"/>
      <c r="YO69" s="10"/>
      <c r="YP69" s="10"/>
      <c r="YQ69" s="10"/>
      <c r="YR69" s="10"/>
      <c r="YS69" s="10"/>
      <c r="YT69" s="10"/>
      <c r="YU69" s="10"/>
      <c r="YV69" s="10"/>
      <c r="YW69" s="10"/>
      <c r="YX69" s="10"/>
      <c r="YY69" s="10"/>
      <c r="YZ69" s="10"/>
      <c r="ZA69" s="10"/>
      <c r="ZB69" s="10"/>
      <c r="ZC69" s="10"/>
      <c r="ZD69" s="10"/>
      <c r="ZE69" s="10"/>
      <c r="ZF69" s="10"/>
      <c r="ZG69" s="10"/>
      <c r="ZH69" s="10"/>
      <c r="ZI69" s="10"/>
      <c r="ZJ69" s="10"/>
      <c r="ZK69" s="10"/>
      <c r="ZL69" s="10"/>
      <c r="ZM69" s="10"/>
      <c r="ZN69" s="10"/>
      <c r="ZO69" s="10"/>
      <c r="ZP69" s="10"/>
      <c r="ZQ69" s="10"/>
      <c r="ZR69" s="10"/>
      <c r="ZS69" s="10"/>
      <c r="ZT69" s="10"/>
      <c r="ZU69" s="10"/>
      <c r="ZV69" s="10"/>
      <c r="ZW69" s="10"/>
      <c r="ZX69" s="10"/>
      <c r="ZY69" s="10"/>
      <c r="ZZ69" s="10"/>
      <c r="AAA69" s="10"/>
      <c r="AAB69" s="10"/>
      <c r="AAC69" s="10"/>
      <c r="AAD69" s="10"/>
      <c r="AAE69" s="10"/>
      <c r="AAF69" s="10"/>
      <c r="AAG69" s="10"/>
      <c r="AAH69" s="10"/>
      <c r="AAI69" s="10"/>
      <c r="AAJ69" s="10"/>
      <c r="AAK69" s="10"/>
      <c r="AAL69" s="10"/>
      <c r="AAM69" s="10"/>
      <c r="AAN69" s="10"/>
      <c r="AAO69" s="10"/>
      <c r="AAP69" s="10"/>
      <c r="AAQ69" s="10"/>
      <c r="AAR69" s="10"/>
      <c r="AAS69" s="10"/>
      <c r="AAT69" s="10"/>
      <c r="AAU69" s="10"/>
      <c r="AAV69" s="10"/>
      <c r="AAW69" s="10"/>
      <c r="AAX69" s="10"/>
      <c r="AAY69" s="10"/>
      <c r="AAZ69" s="10"/>
      <c r="ABA69" s="10"/>
      <c r="ABB69" s="10"/>
      <c r="ABC69" s="10"/>
      <c r="ABD69" s="10"/>
      <c r="ABE69" s="10"/>
      <c r="ABF69" s="10"/>
      <c r="ABG69" s="10"/>
      <c r="ABH69" s="10"/>
      <c r="ABI69" s="10"/>
      <c r="ABJ69" s="10"/>
      <c r="ABK69" s="10"/>
      <c r="ABL69" s="10"/>
      <c r="ABM69" s="10"/>
      <c r="ABN69" s="10"/>
      <c r="ABO69" s="10"/>
      <c r="ABP69" s="10"/>
      <c r="ABQ69" s="10"/>
      <c r="ABR69" s="10"/>
      <c r="ABS69" s="10"/>
      <c r="ABT69" s="10"/>
      <c r="ABU69" s="10"/>
      <c r="ABV69" s="10"/>
      <c r="ABW69" s="10"/>
      <c r="ABX69" s="10"/>
      <c r="ABY69" s="10"/>
      <c r="ABZ69" s="10"/>
      <c r="ACA69" s="10"/>
      <c r="ACB69" s="10"/>
      <c r="ACC69" s="10"/>
      <c r="ACD69" s="10"/>
      <c r="ACE69" s="10"/>
      <c r="ACF69" s="10"/>
      <c r="ACG69" s="10"/>
      <c r="ACH69" s="10"/>
      <c r="ACI69" s="10"/>
      <c r="ACJ69" s="10"/>
      <c r="ACK69" s="10"/>
      <c r="ACL69" s="10"/>
      <c r="ACM69" s="10"/>
      <c r="ACN69" s="10"/>
      <c r="ACO69" s="10"/>
      <c r="ACP69" s="10"/>
      <c r="ACQ69" s="10"/>
      <c r="ACR69" s="10"/>
      <c r="ACS69" s="10"/>
      <c r="ACT69" s="10"/>
      <c r="ACU69" s="10"/>
      <c r="ACV69" s="10"/>
      <c r="ACW69" s="10"/>
      <c r="ACX69" s="10"/>
      <c r="ACY69" s="10"/>
      <c r="ACZ69" s="10"/>
      <c r="ADA69" s="10"/>
      <c r="ADB69" s="10"/>
      <c r="ADC69" s="10"/>
      <c r="ADD69" s="10"/>
      <c r="ADE69" s="10"/>
      <c r="ADF69" s="10"/>
      <c r="ADG69" s="10"/>
      <c r="ADH69" s="10"/>
      <c r="ADI69" s="10"/>
      <c r="ADJ69" s="10"/>
      <c r="ADK69" s="10"/>
      <c r="ADL69" s="10"/>
      <c r="ADM69" s="10"/>
      <c r="ADN69" s="10"/>
      <c r="ADO69" s="10"/>
      <c r="ADP69" s="10"/>
      <c r="ADQ69" s="10"/>
      <c r="ADR69" s="10"/>
      <c r="ADS69" s="10"/>
      <c r="ADT69" s="10"/>
      <c r="ADU69" s="10"/>
      <c r="ADV69" s="10"/>
      <c r="ADW69" s="10"/>
      <c r="ADX69" s="10"/>
      <c r="ADY69" s="10"/>
      <c r="ADZ69" s="10"/>
      <c r="AEA69" s="10"/>
      <c r="AEB69" s="10"/>
      <c r="AEC69" s="10"/>
      <c r="AED69" s="10"/>
      <c r="AEE69" s="10"/>
      <c r="AEF69" s="10"/>
      <c r="AEG69" s="10"/>
      <c r="AEH69" s="10"/>
      <c r="AEI69" s="10"/>
      <c r="AEJ69" s="10"/>
      <c r="AEK69" s="10"/>
      <c r="AEL69" s="10"/>
      <c r="AEM69" s="10"/>
      <c r="AEN69" s="10"/>
      <c r="AEO69" s="10"/>
      <c r="AEP69" s="10"/>
      <c r="AEQ69" s="10"/>
      <c r="AER69" s="10"/>
      <c r="AES69" s="10"/>
      <c r="AET69" s="10"/>
      <c r="AEU69" s="10"/>
      <c r="AEV69" s="10"/>
      <c r="AEW69" s="10"/>
      <c r="AEX69" s="10"/>
      <c r="AEY69" s="10"/>
      <c r="AEZ69" s="10"/>
      <c r="AFA69" s="10"/>
      <c r="AFB69" s="10"/>
      <c r="AFC69" s="10"/>
      <c r="AFD69" s="10"/>
      <c r="AFE69" s="10"/>
      <c r="AFF69" s="10"/>
      <c r="AFG69" s="10"/>
      <c r="AFH69" s="10"/>
      <c r="AFI69" s="10"/>
      <c r="AFJ69" s="10"/>
      <c r="AFK69" s="10"/>
      <c r="AFL69" s="10"/>
      <c r="AFM69" s="10"/>
      <c r="AFN69" s="10"/>
      <c r="AFO69" s="10"/>
      <c r="AFP69" s="10"/>
      <c r="AFQ69" s="10"/>
      <c r="AFR69" s="10"/>
      <c r="AFS69" s="10"/>
      <c r="AFT69" s="10"/>
      <c r="AFU69" s="10"/>
      <c r="AFV69" s="10"/>
      <c r="AFW69" s="10"/>
      <c r="AFX69" s="10"/>
      <c r="AFY69" s="10"/>
      <c r="AFZ69" s="10"/>
      <c r="AGA69" s="10"/>
      <c r="AGB69" s="10"/>
      <c r="AGC69" s="10"/>
      <c r="AGD69" s="10"/>
      <c r="AGE69" s="10"/>
      <c r="AGF69" s="10"/>
      <c r="AGG69" s="10"/>
      <c r="AGH69" s="10"/>
      <c r="AGI69" s="10"/>
      <c r="AGJ69" s="10"/>
      <c r="AGK69" s="10"/>
      <c r="AGL69" s="10"/>
      <c r="AGM69" s="10"/>
      <c r="AGN69" s="10"/>
      <c r="AGO69" s="10"/>
      <c r="AGP69" s="10"/>
      <c r="AGQ69" s="10"/>
      <c r="AGR69" s="10"/>
      <c r="AGS69" s="10"/>
      <c r="AGT69" s="10"/>
      <c r="AGU69" s="10"/>
      <c r="AGV69" s="10"/>
      <c r="AGW69" s="10"/>
      <c r="AGX69" s="10"/>
      <c r="AGY69" s="10"/>
      <c r="AGZ69" s="10"/>
      <c r="AHA69" s="10"/>
      <c r="AHB69" s="10"/>
      <c r="AHC69" s="10"/>
      <c r="AHD69" s="10"/>
      <c r="AHE69" s="10"/>
      <c r="AHF69" s="10"/>
      <c r="AHG69" s="10"/>
      <c r="AHH69" s="10"/>
      <c r="AHI69" s="10"/>
      <c r="AHJ69" s="10"/>
      <c r="AHK69" s="10"/>
      <c r="AHL69" s="10"/>
      <c r="AHM69" s="10"/>
      <c r="AHN69" s="10"/>
      <c r="AHO69" s="10"/>
      <c r="AHP69" s="10"/>
      <c r="AHQ69" s="10"/>
      <c r="AHR69" s="10"/>
      <c r="AHS69" s="10"/>
      <c r="AHT69" s="10"/>
      <c r="AHU69" s="10"/>
      <c r="AHV69" s="10"/>
      <c r="AHW69" s="10"/>
      <c r="AHX69" s="10"/>
      <c r="AHY69" s="10"/>
      <c r="AHZ69" s="10"/>
      <c r="AIA69" s="10"/>
      <c r="AIB69" s="10"/>
      <c r="AIC69" s="10"/>
      <c r="AID69" s="10"/>
      <c r="AIE69" s="10"/>
      <c r="AIF69" s="10"/>
      <c r="AIG69" s="10"/>
      <c r="AIH69" s="10"/>
      <c r="AII69" s="10"/>
      <c r="AIJ69" s="10"/>
      <c r="AIK69" s="10"/>
      <c r="AIL69" s="10"/>
      <c r="AIM69" s="10"/>
      <c r="AIN69" s="10"/>
      <c r="AIO69" s="10"/>
      <c r="AIP69" s="10"/>
      <c r="AIQ69" s="10"/>
      <c r="AIR69" s="10"/>
      <c r="AIS69" s="10"/>
      <c r="AIT69" s="10"/>
      <c r="AIU69" s="10"/>
      <c r="AIV69" s="10"/>
      <c r="AIW69" s="10"/>
      <c r="AIX69" s="10"/>
      <c r="AIY69" s="10"/>
      <c r="AIZ69" s="10"/>
      <c r="AJA69" s="10"/>
      <c r="AJB69" s="10"/>
      <c r="AJC69" s="10"/>
      <c r="AJD69" s="10"/>
      <c r="AJE69" s="10"/>
      <c r="AJF69" s="10"/>
      <c r="AJG69" s="10"/>
      <c r="AJH69" s="10"/>
      <c r="AJI69" s="10"/>
      <c r="AJJ69" s="10"/>
      <c r="AJK69" s="10"/>
      <c r="AJL69" s="10"/>
      <c r="AJM69" s="10"/>
      <c r="AJN69" s="10"/>
      <c r="AJO69" s="10"/>
      <c r="AJP69" s="10"/>
      <c r="AJQ69" s="10"/>
      <c r="AJR69" s="10"/>
      <c r="AJS69" s="10"/>
      <c r="AJT69" s="10"/>
      <c r="AJU69" s="10"/>
      <c r="AJV69" s="10"/>
      <c r="AJW69" s="10"/>
      <c r="AJX69" s="10"/>
      <c r="AJY69" s="10"/>
      <c r="AJZ69" s="10"/>
      <c r="AKA69" s="10"/>
      <c r="AKB69" s="10"/>
      <c r="AKC69" s="10"/>
      <c r="AKD69" s="10"/>
      <c r="AKE69" s="10"/>
      <c r="AKF69" s="10"/>
      <c r="AKG69" s="10"/>
      <c r="AKH69" s="10"/>
      <c r="AKI69" s="10"/>
      <c r="AKJ69" s="10"/>
      <c r="AKK69" s="10"/>
      <c r="AKL69" s="10"/>
      <c r="AKM69" s="10"/>
      <c r="AKN69" s="10"/>
      <c r="AKO69" s="10"/>
      <c r="AKP69" s="10"/>
      <c r="AKQ69" s="10"/>
      <c r="AKR69" s="10"/>
      <c r="AKS69" s="10"/>
      <c r="AKT69" s="10"/>
      <c r="AKU69" s="10"/>
      <c r="AKV69" s="10"/>
      <c r="AKW69" s="10"/>
      <c r="AKX69" s="10"/>
      <c r="AKY69" s="10"/>
      <c r="AKZ69" s="10"/>
      <c r="ALA69" s="10"/>
      <c r="ALB69" s="10"/>
      <c r="ALC69" s="10"/>
      <c r="ALD69" s="10"/>
      <c r="ALE69" s="10"/>
      <c r="ALF69" s="10"/>
      <c r="ALG69" s="10"/>
      <c r="ALH69" s="10"/>
      <c r="ALI69" s="10"/>
      <c r="ALJ69" s="10"/>
      <c r="ALK69" s="10"/>
      <c r="ALL69" s="10"/>
      <c r="ALM69" s="10"/>
      <c r="ALN69" s="10"/>
      <c r="ALO69" s="10"/>
      <c r="ALP69" s="10"/>
      <c r="ALQ69" s="10"/>
      <c r="ALR69" s="10"/>
      <c r="ALS69" s="10"/>
      <c r="ALT69" s="10"/>
      <c r="ALU69" s="10"/>
      <c r="ALV69" s="10"/>
      <c r="ALW69" s="10"/>
      <c r="ALX69" s="10"/>
      <c r="ALY69" s="10"/>
      <c r="ALZ69" s="10"/>
      <c r="AMA69" s="10"/>
      <c r="AMB69" s="10"/>
      <c r="AMC69" s="10"/>
      <c r="AMD69" s="10"/>
      <c r="AME69" s="10"/>
      <c r="AMF69" s="10"/>
      <c r="AMG69" s="10"/>
      <c r="AMH69" s="10"/>
      <c r="AMI69" s="10"/>
      <c r="AMJ69" s="10"/>
      <c r="AMK69" s="10"/>
      <c r="AML69" s="10"/>
      <c r="AMM69" s="10"/>
      <c r="AMN69" s="10"/>
      <c r="AMO69" s="10"/>
      <c r="AMP69" s="10"/>
      <c r="AMQ69" s="10"/>
      <c r="AMR69" s="10"/>
      <c r="AMS69" s="10"/>
      <c r="AMT69" s="10"/>
      <c r="AMU69" s="10"/>
      <c r="AMV69" s="10"/>
      <c r="AMW69" s="10"/>
      <c r="AMX69" s="10"/>
      <c r="AMY69" s="10"/>
      <c r="AMZ69" s="10"/>
      <c r="ANA69" s="10"/>
      <c r="ANB69" s="10"/>
      <c r="ANC69" s="10"/>
      <c r="AND69" s="10"/>
      <c r="ANE69" s="10"/>
      <c r="ANF69" s="10"/>
      <c r="ANG69" s="10"/>
      <c r="ANH69" s="10"/>
      <c r="ANI69" s="10"/>
      <c r="ANJ69" s="10"/>
      <c r="ANK69" s="10"/>
      <c r="ANL69" s="10"/>
      <c r="ANM69" s="10"/>
      <c r="ANN69" s="10"/>
      <c r="ANO69" s="10"/>
      <c r="ANP69" s="10"/>
      <c r="ANQ69" s="10"/>
      <c r="ANR69" s="10"/>
      <c r="ANS69" s="10"/>
      <c r="ANT69" s="10"/>
      <c r="ANU69" s="10"/>
      <c r="ANV69" s="10"/>
      <c r="ANW69" s="10"/>
      <c r="ANX69" s="10"/>
      <c r="ANY69" s="10"/>
      <c r="ANZ69" s="10"/>
      <c r="AOA69" s="10"/>
      <c r="AOB69" s="10"/>
      <c r="AOC69" s="10"/>
      <c r="AOD69" s="10"/>
      <c r="AOE69" s="10"/>
      <c r="AOF69" s="10"/>
      <c r="AOG69" s="10"/>
      <c r="AOH69" s="10"/>
      <c r="AOI69" s="10"/>
      <c r="AOJ69" s="10"/>
      <c r="AOK69" s="10"/>
      <c r="AOL69" s="10"/>
      <c r="AOM69" s="10"/>
      <c r="AON69" s="10"/>
      <c r="AOO69" s="10"/>
      <c r="AOP69" s="10"/>
      <c r="AOQ69" s="10"/>
      <c r="AOR69" s="10"/>
      <c r="AOS69" s="10"/>
      <c r="AOT69" s="10"/>
      <c r="AOU69" s="10"/>
      <c r="AOV69" s="10"/>
      <c r="AOW69" s="10"/>
      <c r="AOX69" s="10"/>
      <c r="AOY69" s="10"/>
      <c r="AOZ69" s="10"/>
      <c r="APA69" s="10"/>
      <c r="APB69" s="10"/>
      <c r="APC69" s="10"/>
      <c r="APD69" s="10"/>
      <c r="APE69" s="10"/>
      <c r="APF69" s="10"/>
      <c r="APG69" s="10"/>
      <c r="APH69" s="10"/>
      <c r="API69" s="10"/>
      <c r="APJ69" s="10"/>
      <c r="APK69" s="10"/>
      <c r="APL69" s="10"/>
      <c r="APM69" s="10"/>
      <c r="APN69" s="10"/>
      <c r="APO69" s="10"/>
      <c r="APP69" s="10"/>
      <c r="APQ69" s="10"/>
      <c r="APR69" s="10"/>
      <c r="APS69" s="10"/>
      <c r="APT69" s="10"/>
      <c r="APU69" s="10"/>
      <c r="APV69" s="10"/>
      <c r="APW69" s="10"/>
      <c r="APX69" s="10"/>
      <c r="APY69" s="10"/>
      <c r="APZ69" s="10"/>
      <c r="AQA69" s="10"/>
      <c r="AQB69" s="10"/>
      <c r="AQC69" s="10"/>
      <c r="AQD69" s="10"/>
      <c r="AQE69" s="10"/>
      <c r="AQF69" s="10"/>
      <c r="AQG69" s="10"/>
      <c r="AQH69" s="10"/>
      <c r="AQI69" s="10"/>
      <c r="AQJ69" s="10"/>
      <c r="AQK69" s="10"/>
      <c r="AQL69" s="10"/>
      <c r="AQM69" s="10"/>
      <c r="AQN69" s="10"/>
      <c r="AQO69" s="10"/>
      <c r="AQP69" s="10"/>
      <c r="AQQ69" s="10"/>
      <c r="AQR69" s="10"/>
      <c r="AQS69" s="10"/>
      <c r="AQT69" s="10"/>
      <c r="AQU69" s="10"/>
      <c r="AQV69" s="10"/>
      <c r="AQW69" s="10"/>
      <c r="AQX69" s="10"/>
      <c r="AQY69" s="10"/>
      <c r="AQZ69" s="10"/>
      <c r="ARA69" s="10"/>
      <c r="ARB69" s="10"/>
      <c r="ARC69" s="10"/>
      <c r="ARD69" s="10"/>
      <c r="ARE69" s="10"/>
      <c r="ARF69" s="10"/>
      <c r="ARG69" s="10"/>
      <c r="ARH69" s="10"/>
      <c r="ARI69" s="10"/>
      <c r="ARJ69" s="10"/>
      <c r="ARK69" s="10"/>
      <c r="ARL69" s="10"/>
      <c r="ARM69" s="10"/>
      <c r="ARN69" s="10"/>
      <c r="ARO69" s="10"/>
      <c r="ARP69" s="10"/>
      <c r="ARQ69" s="10"/>
      <c r="ARR69" s="10"/>
      <c r="ARS69" s="10"/>
      <c r="ART69" s="10"/>
      <c r="ARU69" s="10"/>
      <c r="ARV69" s="10"/>
      <c r="ARW69" s="10"/>
      <c r="ARX69" s="10"/>
      <c r="ARY69" s="10"/>
      <c r="ARZ69" s="10"/>
      <c r="ASA69" s="10"/>
      <c r="ASB69" s="10"/>
      <c r="ASC69" s="10"/>
      <c r="ASD69" s="10"/>
      <c r="ASE69" s="10"/>
      <c r="ASF69" s="10"/>
      <c r="ASG69" s="10"/>
      <c r="ASH69" s="10"/>
      <c r="ASI69" s="10"/>
      <c r="ASJ69" s="10"/>
      <c r="ASK69" s="10"/>
      <c r="ASL69" s="10"/>
      <c r="ASM69" s="10"/>
      <c r="ASN69" s="10"/>
      <c r="ASO69" s="10"/>
      <c r="ASP69" s="10"/>
      <c r="ASQ69" s="10"/>
      <c r="ASR69" s="10"/>
      <c r="ASS69" s="10"/>
      <c r="AST69" s="10"/>
      <c r="ASU69" s="10"/>
      <c r="ASV69" s="10"/>
      <c r="ASW69" s="10"/>
      <c r="ASX69" s="10"/>
      <c r="ASY69" s="10"/>
      <c r="ASZ69" s="10"/>
      <c r="ATA69" s="10"/>
      <c r="ATB69" s="10"/>
      <c r="ATC69" s="10"/>
      <c r="ATD69" s="10"/>
      <c r="ATE69" s="10"/>
      <c r="ATF69" s="10"/>
      <c r="ATG69" s="10"/>
      <c r="ATH69" s="10"/>
      <c r="ATI69" s="10"/>
      <c r="ATJ69" s="10"/>
      <c r="ATK69" s="10"/>
      <c r="ATL69" s="10"/>
      <c r="ATM69" s="10"/>
      <c r="ATN69" s="10"/>
      <c r="ATO69" s="10"/>
      <c r="ATP69" s="10"/>
      <c r="ATQ69" s="10"/>
      <c r="ATR69" s="10"/>
      <c r="ATS69" s="10"/>
      <c r="ATT69" s="10"/>
      <c r="ATU69" s="10"/>
      <c r="ATV69" s="10"/>
      <c r="ATW69" s="10"/>
      <c r="ATX69" s="10"/>
      <c r="ATY69" s="10"/>
      <c r="ATZ69" s="10"/>
      <c r="AUA69" s="10"/>
      <c r="AUB69" s="10"/>
      <c r="AUC69" s="10"/>
      <c r="AUD69" s="10"/>
      <c r="AUE69" s="10"/>
      <c r="AUF69" s="10"/>
      <c r="AUG69" s="10"/>
      <c r="AUH69" s="10"/>
      <c r="AUI69" s="10"/>
      <c r="AUJ69" s="10"/>
      <c r="AUK69" s="10"/>
      <c r="AUL69" s="10"/>
      <c r="AUM69" s="10"/>
      <c r="AUN69" s="10"/>
      <c r="AUO69" s="10"/>
      <c r="AUP69" s="10"/>
      <c r="AUQ69" s="10"/>
      <c r="AUR69" s="10"/>
      <c r="AUS69" s="10"/>
      <c r="AUT69" s="10"/>
      <c r="AUU69" s="10"/>
      <c r="AUV69" s="10"/>
      <c r="AUW69" s="10"/>
      <c r="AUX69" s="10"/>
      <c r="AUY69" s="10"/>
      <c r="AUZ69" s="10"/>
      <c r="AVA69" s="10"/>
      <c r="AVB69" s="10"/>
      <c r="AVC69" s="10"/>
      <c r="AVD69" s="10"/>
      <c r="AVE69" s="10"/>
      <c r="AVF69" s="10"/>
      <c r="AVG69" s="10"/>
      <c r="AVH69" s="10"/>
      <c r="AVI69" s="10"/>
      <c r="AVJ69" s="10"/>
      <c r="AVK69" s="10"/>
      <c r="AVL69" s="10"/>
      <c r="AVM69" s="10"/>
      <c r="AVN69" s="10"/>
      <c r="AVO69" s="10"/>
      <c r="AVP69" s="10"/>
      <c r="AVQ69" s="10"/>
      <c r="AVR69" s="10"/>
      <c r="AVS69" s="10"/>
      <c r="AVT69" s="10"/>
      <c r="AVU69" s="10"/>
      <c r="AVV69" s="10"/>
      <c r="AVW69" s="10"/>
      <c r="AVX69" s="10"/>
      <c r="AVY69" s="10"/>
      <c r="AVZ69" s="10"/>
      <c r="AWA69" s="10"/>
      <c r="AWB69" s="10"/>
      <c r="AWC69" s="10"/>
      <c r="AWD69" s="10"/>
      <c r="AWE69" s="10"/>
      <c r="AWF69" s="10"/>
      <c r="AWG69" s="10"/>
      <c r="AWH69" s="10"/>
      <c r="AWI69" s="10"/>
      <c r="AWJ69" s="10"/>
      <c r="AWK69" s="10"/>
      <c r="AWL69" s="10"/>
      <c r="AWM69" s="10"/>
      <c r="AWN69" s="10"/>
      <c r="AWO69" s="10"/>
      <c r="AWP69" s="10"/>
      <c r="AWQ69" s="10"/>
      <c r="AWR69" s="10"/>
      <c r="AWS69" s="10"/>
      <c r="AWT69" s="10"/>
      <c r="AWU69" s="10"/>
      <c r="AWV69" s="10"/>
      <c r="AWW69" s="10"/>
      <c r="AWX69" s="10"/>
      <c r="AWY69" s="10"/>
      <c r="AWZ69" s="10"/>
      <c r="AXA69" s="10"/>
      <c r="AXB69" s="10"/>
      <c r="AXC69" s="10"/>
      <c r="AXD69" s="10"/>
      <c r="AXE69" s="10"/>
      <c r="AXF69" s="10"/>
      <c r="AXG69" s="10"/>
      <c r="AXH69" s="10"/>
      <c r="AXI69" s="10"/>
      <c r="AXJ69" s="10"/>
      <c r="AXK69" s="10"/>
      <c r="AXL69" s="10"/>
      <c r="AXM69" s="10"/>
      <c r="AXN69" s="10"/>
      <c r="AXO69" s="10"/>
      <c r="AXP69" s="10"/>
      <c r="AXQ69" s="10"/>
      <c r="AXR69" s="10"/>
      <c r="AXS69" s="10"/>
      <c r="AXT69" s="10"/>
      <c r="AXU69" s="10"/>
      <c r="AXV69" s="10"/>
      <c r="AXW69" s="10"/>
      <c r="AXX69" s="10"/>
      <c r="AXY69" s="10"/>
      <c r="AXZ69" s="10"/>
      <c r="AYA69" s="10"/>
      <c r="AYB69" s="10"/>
      <c r="AYC69" s="10"/>
      <c r="AYD69" s="10"/>
      <c r="AYE69" s="10"/>
      <c r="AYF69" s="10"/>
      <c r="AYG69" s="10"/>
      <c r="AYH69" s="10"/>
      <c r="AYI69" s="10"/>
      <c r="AYJ69" s="10"/>
      <c r="AYK69" s="10"/>
      <c r="AYL69" s="10"/>
      <c r="AYM69" s="10"/>
      <c r="AYN69" s="10"/>
      <c r="AYO69" s="10"/>
      <c r="AYP69" s="10"/>
      <c r="AYQ69" s="10"/>
      <c r="AYR69" s="10"/>
      <c r="AYS69" s="10"/>
      <c r="AYT69" s="10"/>
      <c r="AYU69" s="10"/>
      <c r="AYV69" s="10"/>
      <c r="AYW69" s="10"/>
      <c r="AYX69" s="10"/>
      <c r="AYY69" s="10"/>
      <c r="AYZ69" s="10"/>
      <c r="AZA69" s="10"/>
      <c r="AZB69" s="10"/>
      <c r="AZC69" s="10"/>
      <c r="AZD69" s="10"/>
      <c r="AZE69" s="10"/>
      <c r="AZF69" s="10"/>
      <c r="AZG69" s="10"/>
      <c r="AZH69" s="10"/>
      <c r="AZI69" s="10"/>
      <c r="AZJ69" s="10"/>
      <c r="AZK69" s="10"/>
      <c r="AZL69" s="10"/>
      <c r="AZM69" s="10"/>
      <c r="AZN69" s="10"/>
      <c r="AZO69" s="10"/>
      <c r="AZP69" s="10"/>
      <c r="AZQ69" s="10"/>
      <c r="AZR69" s="10"/>
      <c r="AZS69" s="10"/>
      <c r="AZT69" s="10"/>
      <c r="AZU69" s="10"/>
      <c r="AZV69" s="10"/>
      <c r="AZW69" s="10"/>
      <c r="AZX69" s="10"/>
      <c r="AZY69" s="10"/>
      <c r="AZZ69" s="10"/>
      <c r="BAA69" s="10"/>
      <c r="BAB69" s="10"/>
      <c r="BAC69" s="10"/>
      <c r="BAD69" s="10"/>
      <c r="BAE69" s="10"/>
      <c r="BAF69" s="10"/>
      <c r="BAG69" s="10"/>
      <c r="BAH69" s="10"/>
      <c r="BAI69" s="10"/>
      <c r="BAJ69" s="10"/>
      <c r="BAK69" s="10"/>
      <c r="BAL69" s="10"/>
      <c r="BAM69" s="10"/>
      <c r="BAN69" s="10"/>
      <c r="BAO69" s="10"/>
      <c r="BAP69" s="10"/>
      <c r="BAQ69" s="10"/>
      <c r="BAR69" s="10"/>
      <c r="BAS69" s="10"/>
      <c r="BAT69" s="10"/>
      <c r="BAU69" s="10"/>
      <c r="BAV69" s="10"/>
      <c r="BAW69" s="10"/>
      <c r="BAX69" s="10"/>
      <c r="BAY69" s="10"/>
      <c r="BAZ69" s="10"/>
      <c r="BBA69" s="10"/>
      <c r="BBB69" s="10"/>
      <c r="BBC69" s="10"/>
      <c r="BBD69" s="10"/>
      <c r="BBE69" s="10"/>
      <c r="BBF69" s="10"/>
      <c r="BBG69" s="10"/>
      <c r="BBH69" s="10"/>
      <c r="BBI69" s="10"/>
      <c r="BBJ69" s="10"/>
      <c r="BBK69" s="10"/>
      <c r="BBL69" s="10"/>
      <c r="BBM69" s="10"/>
      <c r="BBN69" s="10"/>
      <c r="BBO69" s="10"/>
      <c r="BBP69" s="10"/>
      <c r="BBQ69" s="10"/>
      <c r="BBR69" s="10"/>
      <c r="BBS69" s="10"/>
      <c r="BBT69" s="10"/>
      <c r="BBU69" s="10"/>
      <c r="BBV69" s="10"/>
      <c r="BBW69" s="10"/>
      <c r="BBX69" s="10"/>
      <c r="BBY69" s="10"/>
      <c r="BBZ69" s="10"/>
      <c r="BCA69" s="10"/>
      <c r="BCB69" s="10"/>
      <c r="BCC69" s="10"/>
      <c r="BCD69" s="10"/>
      <c r="BCE69" s="10"/>
      <c r="BCF69" s="10"/>
      <c r="BCG69" s="10"/>
      <c r="BCH69" s="10"/>
      <c r="BCI69" s="10"/>
      <c r="BCJ69" s="10"/>
      <c r="BCK69" s="10"/>
      <c r="BCL69" s="10"/>
      <c r="BCM69" s="10"/>
      <c r="BCN69" s="10"/>
      <c r="BCO69" s="10"/>
      <c r="BCP69" s="10"/>
      <c r="BCQ69" s="10"/>
      <c r="BCR69" s="10"/>
      <c r="BCS69" s="10"/>
      <c r="BCT69" s="10"/>
      <c r="BCU69" s="10"/>
      <c r="BCV69" s="10"/>
      <c r="BCW69" s="10"/>
      <c r="BCX69" s="10"/>
      <c r="BCY69" s="10"/>
      <c r="BCZ69" s="10"/>
      <c r="BDA69" s="10"/>
      <c r="BDB69" s="10"/>
      <c r="BDC69" s="10"/>
      <c r="BDD69" s="10"/>
      <c r="BDE69" s="10"/>
      <c r="BDF69" s="10"/>
      <c r="BDG69" s="10"/>
      <c r="BDH69" s="10"/>
      <c r="BDI69" s="10"/>
      <c r="BDJ69" s="10"/>
      <c r="BDK69" s="10"/>
      <c r="BDL69" s="10"/>
      <c r="BDM69" s="10"/>
      <c r="BDN69" s="10"/>
      <c r="BDO69" s="10"/>
      <c r="BDP69" s="10"/>
      <c r="BDQ69" s="10"/>
      <c r="BDR69" s="10"/>
      <c r="BDS69" s="10"/>
      <c r="BDT69" s="10"/>
      <c r="BDU69" s="10"/>
      <c r="BDV69" s="10"/>
      <c r="BDW69" s="10"/>
      <c r="BDX69" s="10"/>
      <c r="BDY69" s="10"/>
      <c r="BDZ69" s="10"/>
      <c r="BEA69" s="10"/>
      <c r="BEB69" s="10"/>
      <c r="BEC69" s="10"/>
      <c r="BED69" s="10"/>
      <c r="BEE69" s="10"/>
      <c r="BEF69" s="10"/>
      <c r="BEG69" s="10"/>
      <c r="BEH69" s="10"/>
      <c r="BEI69" s="10"/>
      <c r="BEJ69" s="10"/>
      <c r="BEK69" s="10"/>
      <c r="BEL69" s="10"/>
      <c r="BEM69" s="10"/>
      <c r="BEN69" s="10"/>
      <c r="BEO69" s="10"/>
      <c r="BEP69" s="10"/>
      <c r="BEQ69" s="10"/>
      <c r="BER69" s="10"/>
      <c r="BES69" s="10"/>
      <c r="BET69" s="10"/>
      <c r="BEU69" s="10"/>
      <c r="BEV69" s="10"/>
      <c r="BEW69" s="10"/>
      <c r="BEX69" s="10"/>
      <c r="BEY69" s="10"/>
      <c r="BEZ69" s="10"/>
      <c r="BFA69" s="10"/>
      <c r="BFB69" s="10"/>
      <c r="BFC69" s="10"/>
      <c r="BFD69" s="10"/>
      <c r="BFE69" s="10"/>
      <c r="BFF69" s="10"/>
      <c r="BFG69" s="10"/>
      <c r="BFH69" s="10"/>
      <c r="BFI69" s="10"/>
      <c r="BFJ69" s="10"/>
      <c r="BFK69" s="10"/>
      <c r="BFL69" s="10"/>
      <c r="BFM69" s="10"/>
      <c r="BFN69" s="10"/>
      <c r="BFO69" s="10"/>
      <c r="BFP69" s="10"/>
      <c r="BFQ69" s="10"/>
      <c r="BFR69" s="10"/>
      <c r="BFS69" s="10"/>
      <c r="BFT69" s="10"/>
      <c r="BFU69" s="10"/>
      <c r="BFV69" s="10"/>
      <c r="BFW69" s="10"/>
      <c r="BFX69" s="10"/>
      <c r="BFY69" s="10"/>
      <c r="BFZ69" s="10"/>
      <c r="BGA69" s="10"/>
      <c r="BGB69" s="10"/>
      <c r="BGC69" s="10"/>
      <c r="BGD69" s="10"/>
      <c r="BGE69" s="10"/>
      <c r="BGF69" s="10"/>
      <c r="BGG69" s="10"/>
      <c r="BGH69" s="10"/>
      <c r="BGI69" s="10"/>
      <c r="BGJ69" s="10"/>
      <c r="BGK69" s="10"/>
      <c r="BGL69" s="10"/>
      <c r="BGM69" s="10"/>
      <c r="BGN69" s="10"/>
      <c r="BGO69" s="10"/>
      <c r="BGP69" s="10"/>
      <c r="BGQ69" s="10"/>
      <c r="BGR69" s="10"/>
      <c r="BGS69" s="10"/>
      <c r="BGT69" s="10"/>
      <c r="BGU69" s="10"/>
      <c r="BGV69" s="10"/>
      <c r="BGW69" s="10"/>
      <c r="BGX69" s="10"/>
      <c r="BGY69" s="10"/>
      <c r="BGZ69" s="10"/>
      <c r="BHA69" s="10"/>
      <c r="BHB69" s="10"/>
      <c r="BHC69" s="10"/>
      <c r="BHD69" s="10"/>
      <c r="BHE69" s="10"/>
      <c r="BHF69" s="10"/>
      <c r="BHG69" s="10"/>
      <c r="BHH69" s="10"/>
      <c r="BHI69" s="10"/>
      <c r="BHJ69" s="10"/>
      <c r="BHK69" s="10"/>
      <c r="BHL69" s="10"/>
      <c r="BHM69" s="10"/>
      <c r="BHN69" s="10"/>
      <c r="BHO69" s="10"/>
      <c r="BHP69" s="10"/>
      <c r="BHQ69" s="10"/>
      <c r="BHR69" s="10"/>
      <c r="BHS69" s="10"/>
      <c r="BHT69" s="10"/>
      <c r="BHU69" s="10"/>
      <c r="BHV69" s="10"/>
      <c r="BHW69" s="10"/>
      <c r="BHX69" s="10"/>
      <c r="BHY69" s="10"/>
      <c r="BHZ69" s="10"/>
      <c r="BIA69" s="10"/>
      <c r="BIB69" s="10"/>
      <c r="BIC69" s="10"/>
      <c r="BID69" s="10"/>
      <c r="BIE69" s="10"/>
      <c r="BIF69" s="10"/>
      <c r="BIG69" s="10"/>
      <c r="BIH69" s="10"/>
      <c r="BII69" s="10"/>
      <c r="BIJ69" s="10"/>
      <c r="BIK69" s="10"/>
      <c r="BIL69" s="10"/>
      <c r="BIM69" s="10"/>
      <c r="BIN69" s="10"/>
      <c r="BIO69" s="10"/>
      <c r="BIP69" s="10"/>
      <c r="BIQ69" s="10"/>
      <c r="BIR69" s="10"/>
      <c r="BIS69" s="10"/>
      <c r="BIT69" s="10"/>
      <c r="BIU69" s="10"/>
      <c r="BIV69" s="10"/>
      <c r="BIW69" s="10"/>
      <c r="BIX69" s="10"/>
      <c r="BIY69" s="10"/>
      <c r="BIZ69" s="10"/>
      <c r="BJA69" s="10"/>
      <c r="BJB69" s="10"/>
      <c r="BJC69" s="10"/>
      <c r="BJD69" s="10"/>
      <c r="BJE69" s="10"/>
      <c r="BJF69" s="10"/>
      <c r="BJG69" s="10"/>
      <c r="BJH69" s="10"/>
      <c r="BJI69" s="10"/>
      <c r="BJJ69" s="10"/>
      <c r="BJK69" s="10"/>
      <c r="BJL69" s="10"/>
      <c r="BJM69" s="10"/>
      <c r="BJN69" s="10"/>
      <c r="BJO69" s="10"/>
      <c r="BJP69" s="10"/>
      <c r="BJQ69" s="10"/>
      <c r="BJR69" s="10"/>
      <c r="BJS69" s="10"/>
      <c r="BJT69" s="10"/>
      <c r="BJU69" s="10"/>
      <c r="BJV69" s="10"/>
      <c r="BJW69" s="10"/>
      <c r="BJX69" s="10"/>
      <c r="BJY69" s="10"/>
      <c r="BJZ69" s="10"/>
      <c r="BKA69" s="10"/>
      <c r="BKB69" s="10"/>
      <c r="BKC69" s="10"/>
      <c r="BKD69" s="10"/>
      <c r="BKE69" s="10"/>
      <c r="BKF69" s="10"/>
      <c r="BKG69" s="10"/>
      <c r="BKH69" s="10"/>
      <c r="BKI69" s="10"/>
      <c r="BKJ69" s="10"/>
      <c r="BKK69" s="10"/>
      <c r="BKL69" s="10"/>
      <c r="BKM69" s="10"/>
      <c r="BKN69" s="10"/>
      <c r="BKO69" s="10"/>
      <c r="BKP69" s="10"/>
      <c r="BKQ69" s="10"/>
      <c r="BKR69" s="10"/>
      <c r="BKS69" s="10"/>
      <c r="BKT69" s="10"/>
      <c r="BKU69" s="10"/>
      <c r="BKV69" s="10"/>
      <c r="BKW69" s="10"/>
      <c r="BKX69" s="10"/>
      <c r="BKY69" s="10"/>
      <c r="BKZ69" s="10"/>
      <c r="BLA69" s="10"/>
      <c r="BLB69" s="10"/>
      <c r="BLC69" s="10"/>
      <c r="BLD69" s="10"/>
      <c r="BLE69" s="10"/>
      <c r="BLF69" s="10"/>
      <c r="BLG69" s="10"/>
      <c r="BLH69" s="10"/>
      <c r="BLI69" s="10"/>
      <c r="BLJ69" s="10"/>
      <c r="BLK69" s="10"/>
      <c r="BLL69" s="10"/>
      <c r="BLM69" s="10"/>
      <c r="BLN69" s="10"/>
      <c r="BLO69" s="10"/>
      <c r="BLP69" s="10"/>
      <c r="BLQ69" s="10"/>
      <c r="BLR69" s="10"/>
      <c r="BLS69" s="10"/>
      <c r="BLT69" s="10"/>
      <c r="BLU69" s="10"/>
      <c r="BLV69" s="10"/>
      <c r="BLW69" s="10"/>
      <c r="BLX69" s="10"/>
      <c r="BLY69" s="10"/>
      <c r="BLZ69" s="10"/>
      <c r="BMA69" s="10"/>
      <c r="BMB69" s="10"/>
      <c r="BMC69" s="10"/>
      <c r="BMD69" s="10"/>
      <c r="BME69" s="10"/>
      <c r="BMF69" s="10"/>
      <c r="BMG69" s="10"/>
      <c r="BMH69" s="10"/>
      <c r="BMI69" s="10"/>
      <c r="BMJ69" s="10"/>
      <c r="BMK69" s="10"/>
      <c r="BML69" s="10"/>
      <c r="BMM69" s="10"/>
      <c r="BMN69" s="10"/>
      <c r="BMO69" s="10"/>
      <c r="BMP69" s="10"/>
      <c r="BMQ69" s="10"/>
      <c r="BMR69" s="10"/>
      <c r="BMS69" s="10"/>
      <c r="BMT69" s="10"/>
      <c r="BMU69" s="10"/>
      <c r="BMV69" s="10"/>
      <c r="BMW69" s="10"/>
      <c r="BMX69" s="10"/>
      <c r="BMY69" s="10"/>
      <c r="BMZ69" s="10"/>
      <c r="BNA69" s="10"/>
      <c r="BNB69" s="10"/>
      <c r="BNC69" s="10"/>
      <c r="BND69" s="10"/>
      <c r="BNE69" s="10"/>
      <c r="BNF69" s="10"/>
      <c r="BNG69" s="10"/>
      <c r="BNH69" s="10"/>
      <c r="BNI69" s="10"/>
      <c r="BNJ69" s="10"/>
      <c r="BNK69" s="10"/>
      <c r="BNL69" s="10"/>
      <c r="BNM69" s="10"/>
      <c r="BNN69" s="10"/>
      <c r="BNO69" s="10"/>
      <c r="BNP69" s="10"/>
      <c r="BNQ69" s="10"/>
      <c r="BNR69" s="10"/>
      <c r="BNS69" s="10"/>
      <c r="BNT69" s="10"/>
      <c r="BNU69" s="10"/>
      <c r="BNV69" s="10"/>
      <c r="BNW69" s="10"/>
      <c r="BNX69" s="10"/>
      <c r="BNY69" s="10"/>
      <c r="BNZ69" s="10"/>
      <c r="BOA69" s="10"/>
      <c r="BOB69" s="10"/>
      <c r="BOC69" s="10"/>
      <c r="BOD69" s="10"/>
      <c r="BOE69" s="10"/>
      <c r="BOF69" s="10"/>
      <c r="BOG69" s="10"/>
      <c r="BOH69" s="10"/>
      <c r="BOI69" s="10"/>
      <c r="BOJ69" s="10"/>
      <c r="BOK69" s="10"/>
      <c r="BOL69" s="10"/>
      <c r="BOM69" s="10"/>
      <c r="BON69" s="10"/>
      <c r="BOO69" s="10"/>
      <c r="BOP69" s="10"/>
      <c r="BOQ69" s="10"/>
      <c r="BOR69" s="10"/>
      <c r="BOS69" s="10"/>
      <c r="BOT69" s="10"/>
      <c r="BOU69" s="10"/>
      <c r="BOV69" s="10"/>
      <c r="BOW69" s="10"/>
      <c r="BOX69" s="10"/>
      <c r="BOY69" s="10"/>
      <c r="BOZ69" s="10"/>
      <c r="BPA69" s="10"/>
      <c r="BPB69" s="10"/>
      <c r="BPC69" s="10"/>
      <c r="BPD69" s="10"/>
      <c r="BPE69" s="10"/>
      <c r="BPF69" s="10"/>
      <c r="BPG69" s="10"/>
      <c r="BPH69" s="10"/>
      <c r="BPI69" s="10"/>
      <c r="BPJ69" s="10"/>
      <c r="BPK69" s="10"/>
      <c r="BPL69" s="10"/>
      <c r="BPM69" s="10"/>
      <c r="BPN69" s="10"/>
      <c r="BPO69" s="10"/>
      <c r="BPP69" s="10"/>
      <c r="BPQ69" s="10"/>
      <c r="BPR69" s="10"/>
      <c r="BPS69" s="10"/>
      <c r="BPT69" s="10"/>
      <c r="BPU69" s="10"/>
      <c r="BPV69" s="10"/>
      <c r="BPW69" s="10"/>
      <c r="BPX69" s="10"/>
      <c r="BPY69" s="10"/>
      <c r="BPZ69" s="10"/>
      <c r="BQA69" s="10"/>
      <c r="BQB69" s="10"/>
      <c r="BQC69" s="10"/>
      <c r="BQD69" s="10"/>
      <c r="BQE69" s="10"/>
      <c r="BQF69" s="10"/>
      <c r="BQG69" s="10"/>
      <c r="BQH69" s="10"/>
      <c r="BQI69" s="10"/>
      <c r="BQJ69" s="10"/>
      <c r="BQK69" s="10"/>
      <c r="BQL69" s="10"/>
      <c r="BQM69" s="10"/>
      <c r="BQN69" s="10"/>
      <c r="BQO69" s="10"/>
      <c r="BQP69" s="10"/>
      <c r="BQQ69" s="10"/>
      <c r="BQR69" s="10"/>
      <c r="BQS69" s="10"/>
      <c r="BQT69" s="10"/>
      <c r="BQU69" s="10"/>
      <c r="BQV69" s="10"/>
      <c r="BQW69" s="10"/>
      <c r="BQX69" s="10"/>
      <c r="BQY69" s="10"/>
      <c r="BQZ69" s="10"/>
      <c r="BRA69" s="10"/>
      <c r="BRB69" s="10"/>
      <c r="BRC69" s="10"/>
      <c r="BRD69" s="10"/>
      <c r="BRE69" s="10"/>
      <c r="BRF69" s="10"/>
      <c r="BRG69" s="10"/>
      <c r="BRH69" s="10"/>
      <c r="BRI69" s="10"/>
      <c r="BRJ69" s="10"/>
      <c r="BRK69" s="10"/>
      <c r="BRL69" s="10"/>
      <c r="BRM69" s="10"/>
      <c r="BRN69" s="10"/>
      <c r="BRO69" s="10"/>
      <c r="BRP69" s="10"/>
      <c r="BRQ69" s="10"/>
      <c r="BRR69" s="10"/>
      <c r="BRS69" s="10"/>
      <c r="BRT69" s="10"/>
      <c r="BRU69" s="10"/>
      <c r="BRV69" s="10"/>
      <c r="BRW69" s="10"/>
      <c r="BRX69" s="10"/>
      <c r="BRY69" s="10"/>
      <c r="BRZ69" s="10"/>
      <c r="BSA69" s="10"/>
      <c r="BSB69" s="10"/>
      <c r="BSC69" s="10"/>
      <c r="BSD69" s="10"/>
      <c r="BSE69" s="10"/>
      <c r="BSF69" s="10"/>
      <c r="BSG69" s="10"/>
      <c r="BSH69" s="10"/>
      <c r="BSI69" s="10"/>
      <c r="BSJ69" s="10"/>
      <c r="BSK69" s="10"/>
      <c r="BSL69" s="10"/>
      <c r="BSM69" s="10"/>
      <c r="BSN69" s="10"/>
      <c r="BSO69" s="10"/>
      <c r="BSP69" s="10"/>
      <c r="BSQ69" s="10"/>
      <c r="BSR69" s="10"/>
      <c r="BSS69" s="10"/>
      <c r="BST69" s="10"/>
      <c r="BSU69" s="10"/>
      <c r="BSV69" s="10"/>
      <c r="BSW69" s="10"/>
      <c r="BSX69" s="10"/>
      <c r="BSY69" s="10"/>
      <c r="BSZ69" s="10"/>
      <c r="BTA69" s="10"/>
      <c r="BTB69" s="10"/>
      <c r="BTC69" s="10"/>
      <c r="BTD69" s="10"/>
      <c r="BTE69" s="10"/>
      <c r="BTF69" s="10"/>
      <c r="BTG69" s="10"/>
      <c r="BTH69" s="10"/>
      <c r="BTI69" s="10"/>
      <c r="BTJ69" s="10"/>
      <c r="BTK69" s="10"/>
      <c r="BTL69" s="10"/>
      <c r="BTM69" s="10"/>
      <c r="BTN69" s="10"/>
      <c r="BTO69" s="10"/>
      <c r="BTP69" s="10"/>
      <c r="BTQ69" s="10"/>
      <c r="BTR69" s="10"/>
      <c r="BTS69" s="10"/>
      <c r="BTT69" s="10"/>
      <c r="BTU69" s="10"/>
      <c r="BTV69" s="10"/>
      <c r="BTW69" s="10"/>
      <c r="BTX69" s="10"/>
      <c r="BTY69" s="10"/>
      <c r="BTZ69" s="10"/>
      <c r="BUA69" s="10"/>
      <c r="BUB69" s="10"/>
      <c r="BUC69" s="10"/>
      <c r="BUD69" s="10"/>
      <c r="BUE69" s="10"/>
      <c r="BUF69" s="10"/>
      <c r="BUG69" s="10"/>
      <c r="BUH69" s="10"/>
      <c r="BUI69" s="10"/>
      <c r="BUJ69" s="10"/>
      <c r="BUK69" s="10"/>
      <c r="BUL69" s="10"/>
      <c r="BUM69" s="10"/>
      <c r="BUN69" s="10"/>
      <c r="BUO69" s="10"/>
      <c r="BUP69" s="10"/>
      <c r="BUQ69" s="10"/>
      <c r="BUR69" s="10"/>
      <c r="BUS69" s="10"/>
      <c r="BUT69" s="10"/>
      <c r="BUU69" s="10"/>
      <c r="BUV69" s="10"/>
      <c r="BUW69" s="10"/>
      <c r="BUX69" s="10"/>
      <c r="BUY69" s="10"/>
      <c r="BUZ69" s="10"/>
      <c r="BVA69" s="10"/>
      <c r="BVB69" s="10"/>
      <c r="BVC69" s="10"/>
      <c r="BVD69" s="10"/>
      <c r="BVE69" s="10"/>
      <c r="BVF69" s="10"/>
      <c r="BVG69" s="10"/>
      <c r="BVH69" s="10"/>
      <c r="BVI69" s="10"/>
      <c r="BVJ69" s="10"/>
      <c r="BVK69" s="10"/>
      <c r="BVL69" s="10"/>
      <c r="BVM69" s="10"/>
      <c r="BVN69" s="10"/>
      <c r="BVO69" s="10"/>
      <c r="BVP69" s="10"/>
      <c r="BVQ69" s="10"/>
      <c r="BVR69" s="10"/>
      <c r="BVS69" s="10"/>
      <c r="BVT69" s="10"/>
      <c r="BVU69" s="10"/>
      <c r="BVV69" s="10"/>
      <c r="BVW69" s="10"/>
      <c r="BVX69" s="10"/>
      <c r="BVY69" s="10"/>
      <c r="BVZ69" s="10"/>
      <c r="BWA69" s="10"/>
      <c r="BWB69" s="10"/>
      <c r="BWC69" s="10"/>
      <c r="BWD69" s="10"/>
      <c r="BWE69" s="10"/>
      <c r="BWF69" s="10"/>
      <c r="BWG69" s="10"/>
      <c r="BWH69" s="10"/>
      <c r="BWI69" s="10"/>
      <c r="BWJ69" s="10"/>
      <c r="BWK69" s="10"/>
      <c r="BWL69" s="10"/>
      <c r="BWM69" s="10"/>
      <c r="BWN69" s="10"/>
      <c r="BWO69" s="10"/>
      <c r="BWP69" s="10"/>
      <c r="BWQ69" s="10"/>
      <c r="BWR69" s="10"/>
      <c r="BWS69" s="10"/>
      <c r="BWT69" s="10"/>
      <c r="BWU69" s="10"/>
      <c r="BWV69" s="10"/>
      <c r="BWW69" s="10"/>
      <c r="BWX69" s="10"/>
      <c r="BWY69" s="10"/>
      <c r="BWZ69" s="10"/>
      <c r="BXA69" s="10"/>
      <c r="BXB69" s="10"/>
      <c r="BXC69" s="10"/>
      <c r="BXD69" s="10"/>
      <c r="BXE69" s="10"/>
      <c r="BXF69" s="10"/>
      <c r="BXG69" s="10"/>
      <c r="BXH69" s="10"/>
      <c r="BXI69" s="10"/>
      <c r="BXJ69" s="10"/>
      <c r="BXK69" s="10"/>
      <c r="BXL69" s="10"/>
      <c r="BXM69" s="10"/>
      <c r="BXN69" s="10"/>
      <c r="BXO69" s="10"/>
      <c r="BXP69" s="10"/>
      <c r="BXQ69" s="10"/>
      <c r="BXR69" s="10"/>
      <c r="BXS69" s="10"/>
      <c r="BXT69" s="10"/>
      <c r="BXU69" s="10"/>
      <c r="BXV69" s="10"/>
      <c r="BXW69" s="10"/>
      <c r="BXX69" s="10"/>
      <c r="BXY69" s="10"/>
      <c r="BXZ69" s="10"/>
      <c r="BYA69" s="10"/>
      <c r="BYB69" s="10"/>
      <c r="BYC69" s="10"/>
      <c r="BYD69" s="10"/>
      <c r="BYE69" s="10"/>
      <c r="BYF69" s="10"/>
      <c r="BYG69" s="10"/>
      <c r="BYH69" s="10"/>
      <c r="BYI69" s="10"/>
      <c r="BYJ69" s="10"/>
      <c r="BYK69" s="10"/>
      <c r="BYL69" s="10"/>
      <c r="BYM69" s="10"/>
      <c r="BYN69" s="10"/>
      <c r="BYO69" s="10"/>
      <c r="BYP69" s="10"/>
      <c r="BYQ69" s="10"/>
      <c r="BYR69" s="10"/>
      <c r="BYS69" s="10"/>
      <c r="BYT69" s="10"/>
      <c r="BYU69" s="10"/>
      <c r="BYV69" s="10"/>
      <c r="BYW69" s="10"/>
      <c r="BYX69" s="10"/>
      <c r="BYY69" s="10"/>
      <c r="BYZ69" s="10"/>
      <c r="BZA69" s="10"/>
      <c r="BZB69" s="10"/>
      <c r="BZC69" s="10"/>
      <c r="BZD69" s="10"/>
      <c r="BZE69" s="10"/>
      <c r="BZF69" s="10"/>
      <c r="BZG69" s="10"/>
      <c r="BZH69" s="10"/>
      <c r="BZI69" s="10"/>
      <c r="BZJ69" s="10"/>
      <c r="BZK69" s="10"/>
      <c r="BZL69" s="10"/>
      <c r="BZM69" s="10"/>
      <c r="BZN69" s="10"/>
      <c r="BZO69" s="10"/>
      <c r="BZP69" s="10"/>
      <c r="BZQ69" s="10"/>
      <c r="BZR69" s="10"/>
      <c r="BZS69" s="10"/>
      <c r="BZT69" s="10"/>
      <c r="BZU69" s="10"/>
      <c r="BZV69" s="10"/>
      <c r="BZW69" s="10"/>
      <c r="BZX69" s="10"/>
      <c r="BZY69" s="10"/>
      <c r="BZZ69" s="10"/>
      <c r="CAA69" s="10"/>
      <c r="CAB69" s="10"/>
      <c r="CAC69" s="10"/>
      <c r="CAD69" s="10"/>
      <c r="CAE69" s="10"/>
      <c r="CAF69" s="10"/>
      <c r="CAG69" s="10"/>
      <c r="CAH69" s="10"/>
      <c r="CAI69" s="10"/>
      <c r="CAJ69" s="10"/>
      <c r="CAK69" s="10"/>
      <c r="CAL69" s="10"/>
      <c r="CAM69" s="10"/>
      <c r="CAN69" s="10"/>
      <c r="CAO69" s="10"/>
      <c r="CAP69" s="10"/>
      <c r="CAQ69" s="10"/>
      <c r="CAR69" s="10"/>
      <c r="CAS69" s="10"/>
      <c r="CAT69" s="10"/>
      <c r="CAU69" s="10"/>
      <c r="CAV69" s="10"/>
      <c r="CAW69" s="10"/>
      <c r="CAX69" s="10"/>
      <c r="CAY69" s="10"/>
      <c r="CAZ69" s="10"/>
      <c r="CBA69" s="10"/>
      <c r="CBB69" s="10"/>
      <c r="CBC69" s="10"/>
      <c r="CBD69" s="10"/>
      <c r="CBE69" s="10"/>
      <c r="CBF69" s="10"/>
      <c r="CBG69" s="10"/>
      <c r="CBH69" s="10"/>
      <c r="CBI69" s="10"/>
      <c r="CBJ69" s="10"/>
      <c r="CBK69" s="10"/>
      <c r="CBL69" s="10"/>
      <c r="CBM69" s="10"/>
      <c r="CBN69" s="10"/>
      <c r="CBO69" s="10"/>
      <c r="CBP69" s="10"/>
      <c r="CBQ69" s="10"/>
      <c r="CBR69" s="10"/>
      <c r="CBS69" s="10"/>
      <c r="CBT69" s="10"/>
      <c r="CBU69" s="10"/>
      <c r="CBV69" s="10"/>
      <c r="CBW69" s="10"/>
      <c r="CBX69" s="10"/>
      <c r="CBY69" s="10"/>
      <c r="CBZ69" s="10"/>
      <c r="CCA69" s="10"/>
      <c r="CCB69" s="10"/>
      <c r="CCC69" s="10"/>
      <c r="CCD69" s="10"/>
      <c r="CCE69" s="10"/>
      <c r="CCF69" s="10"/>
      <c r="CCG69" s="10"/>
      <c r="CCH69" s="10"/>
      <c r="CCI69" s="10"/>
      <c r="CCJ69" s="10"/>
      <c r="CCK69" s="10"/>
      <c r="CCL69" s="10"/>
      <c r="CCM69" s="10"/>
      <c r="CCN69" s="10"/>
      <c r="CCO69" s="10"/>
      <c r="CCP69" s="10"/>
      <c r="CCQ69" s="10"/>
      <c r="CCR69" s="10"/>
      <c r="CCS69" s="10"/>
      <c r="CCT69" s="10"/>
      <c r="CCU69" s="10"/>
      <c r="CCV69" s="10"/>
      <c r="CCW69" s="10"/>
      <c r="CCX69" s="10"/>
      <c r="CCY69" s="10"/>
      <c r="CCZ69" s="10"/>
      <c r="CDA69" s="10"/>
      <c r="CDB69" s="10"/>
      <c r="CDC69" s="10"/>
      <c r="CDD69" s="10"/>
      <c r="CDE69" s="10"/>
      <c r="CDF69" s="10"/>
      <c r="CDG69" s="10"/>
      <c r="CDH69" s="10"/>
      <c r="CDI69" s="10"/>
      <c r="CDJ69" s="10"/>
      <c r="CDK69" s="10"/>
      <c r="CDL69" s="10"/>
      <c r="CDM69" s="10"/>
      <c r="CDN69" s="10"/>
      <c r="CDO69" s="10"/>
      <c r="CDP69" s="10"/>
      <c r="CDQ69" s="10"/>
      <c r="CDR69" s="10"/>
      <c r="CDS69" s="10"/>
      <c r="CDT69" s="10"/>
      <c r="CDU69" s="10"/>
      <c r="CDV69" s="10"/>
      <c r="CDW69" s="10"/>
      <c r="CDX69" s="10"/>
      <c r="CDY69" s="10"/>
      <c r="CDZ69" s="10"/>
      <c r="CEA69" s="10"/>
      <c r="CEB69" s="10"/>
      <c r="CEC69" s="10"/>
      <c r="CED69" s="10"/>
      <c r="CEE69" s="10"/>
      <c r="CEF69" s="10"/>
      <c r="CEG69" s="10"/>
      <c r="CEH69" s="10"/>
      <c r="CEI69" s="10"/>
      <c r="CEJ69" s="10"/>
      <c r="CEK69" s="10"/>
      <c r="CEL69" s="10"/>
      <c r="CEM69" s="10"/>
      <c r="CEN69" s="10"/>
      <c r="CEO69" s="10"/>
      <c r="CEP69" s="10"/>
      <c r="CEQ69" s="10"/>
      <c r="CER69" s="10"/>
      <c r="CES69" s="10"/>
      <c r="CET69" s="10"/>
      <c r="CEU69" s="10"/>
      <c r="CEV69" s="10"/>
      <c r="CEW69" s="10"/>
      <c r="CEX69" s="10"/>
      <c r="CEY69" s="10"/>
      <c r="CEZ69" s="10"/>
      <c r="CFA69" s="10"/>
      <c r="CFB69" s="10"/>
      <c r="CFC69" s="10"/>
      <c r="CFD69" s="10"/>
      <c r="CFE69" s="10"/>
      <c r="CFF69" s="10"/>
      <c r="CFG69" s="10"/>
      <c r="CFH69" s="10"/>
      <c r="CFI69" s="10"/>
      <c r="CFJ69" s="10"/>
      <c r="CFK69" s="10"/>
      <c r="CFL69" s="10"/>
      <c r="CFM69" s="10"/>
      <c r="CFN69" s="10"/>
      <c r="CFO69" s="10"/>
      <c r="CFP69" s="10"/>
      <c r="CFQ69" s="10"/>
      <c r="CFR69" s="10"/>
      <c r="CFS69" s="10"/>
      <c r="CFT69" s="10"/>
      <c r="CFU69" s="10"/>
      <c r="CFV69" s="10"/>
      <c r="CFW69" s="10"/>
      <c r="CFX69" s="10"/>
      <c r="CFY69" s="10"/>
      <c r="CFZ69" s="10"/>
      <c r="CGA69" s="10"/>
      <c r="CGB69" s="10"/>
      <c r="CGC69" s="10"/>
      <c r="CGD69" s="10"/>
      <c r="CGE69" s="10"/>
      <c r="CGF69" s="10"/>
      <c r="CGG69" s="10"/>
      <c r="CGH69" s="10"/>
      <c r="CGI69" s="10"/>
      <c r="CGJ69" s="10"/>
      <c r="CGK69" s="10"/>
      <c r="CGL69" s="10"/>
      <c r="CGM69" s="10"/>
      <c r="CGN69" s="10"/>
      <c r="CGO69" s="10"/>
      <c r="CGP69" s="10"/>
      <c r="CGQ69" s="10"/>
      <c r="CGR69" s="10"/>
      <c r="CGS69" s="10"/>
      <c r="CGT69" s="10"/>
      <c r="CGU69" s="10"/>
      <c r="CGV69" s="10"/>
      <c r="CGW69" s="10"/>
      <c r="CGX69" s="10"/>
      <c r="CGY69" s="10"/>
      <c r="CGZ69" s="10"/>
      <c r="CHA69" s="10"/>
      <c r="CHB69" s="10"/>
      <c r="CHC69" s="10"/>
      <c r="CHD69" s="10"/>
      <c r="CHE69" s="10"/>
      <c r="CHF69" s="10"/>
      <c r="CHG69" s="10"/>
      <c r="CHH69" s="10"/>
      <c r="CHI69" s="10"/>
      <c r="CHJ69" s="10"/>
      <c r="CHK69" s="10"/>
      <c r="CHL69" s="10"/>
      <c r="CHM69" s="10"/>
      <c r="CHN69" s="10"/>
      <c r="CHO69" s="10"/>
      <c r="CHP69" s="10"/>
      <c r="CHQ69" s="10"/>
      <c r="CHR69" s="10"/>
      <c r="CHS69" s="10"/>
      <c r="CHT69" s="10"/>
      <c r="CHU69" s="10"/>
      <c r="CHV69" s="10"/>
      <c r="CHW69" s="10"/>
      <c r="CHX69" s="10"/>
      <c r="CHY69" s="10"/>
      <c r="CHZ69" s="10"/>
      <c r="CIA69" s="10"/>
      <c r="CIB69" s="10"/>
      <c r="CIC69" s="10"/>
      <c r="CID69" s="10"/>
      <c r="CIE69" s="10"/>
      <c r="CIF69" s="10"/>
      <c r="CIG69" s="10"/>
      <c r="CIH69" s="10"/>
      <c r="CII69" s="10"/>
      <c r="CIJ69" s="10"/>
      <c r="CIK69" s="10"/>
      <c r="CIL69" s="10"/>
      <c r="CIM69" s="10"/>
      <c r="CIN69" s="10"/>
      <c r="CIO69" s="10"/>
      <c r="CIP69" s="10"/>
      <c r="CIQ69" s="10"/>
      <c r="CIR69" s="10"/>
      <c r="CIS69" s="10"/>
      <c r="CIT69" s="10"/>
      <c r="CIU69" s="10"/>
      <c r="CIV69" s="10"/>
      <c r="CIW69" s="10"/>
      <c r="CIX69" s="10"/>
      <c r="CIY69" s="10"/>
      <c r="CIZ69" s="10"/>
      <c r="CJA69" s="10"/>
      <c r="CJB69" s="10"/>
      <c r="CJC69" s="10"/>
      <c r="CJD69" s="10"/>
      <c r="CJE69" s="10"/>
      <c r="CJF69" s="10"/>
      <c r="CJG69" s="10"/>
      <c r="CJH69" s="10"/>
      <c r="CJI69" s="10"/>
      <c r="CJJ69" s="10"/>
      <c r="CJK69" s="10"/>
      <c r="CJL69" s="10"/>
      <c r="CJM69" s="10"/>
      <c r="CJN69" s="10"/>
      <c r="CJO69" s="10"/>
      <c r="CJP69" s="10"/>
      <c r="CJQ69" s="10"/>
      <c r="CJR69" s="10"/>
      <c r="CJS69" s="10"/>
      <c r="CJT69" s="10"/>
      <c r="CJU69" s="10"/>
      <c r="CJV69" s="10"/>
      <c r="CJW69" s="10"/>
      <c r="CJX69" s="10"/>
      <c r="CJY69" s="10"/>
      <c r="CJZ69" s="10"/>
      <c r="CKA69" s="10"/>
      <c r="CKB69" s="10"/>
      <c r="CKC69" s="10"/>
      <c r="CKD69" s="10"/>
      <c r="CKE69" s="10"/>
      <c r="CKF69" s="10"/>
      <c r="CKG69" s="10"/>
      <c r="CKH69" s="10"/>
      <c r="CKI69" s="10"/>
      <c r="CKJ69" s="10"/>
      <c r="CKK69" s="10"/>
      <c r="CKL69" s="10"/>
      <c r="CKM69" s="10"/>
      <c r="CKN69" s="10"/>
      <c r="CKO69" s="10"/>
      <c r="CKP69" s="10"/>
      <c r="CKQ69" s="10"/>
      <c r="CKR69" s="10"/>
      <c r="CKS69" s="10"/>
      <c r="CKT69" s="10"/>
      <c r="CKU69" s="10"/>
      <c r="CKV69" s="10"/>
      <c r="CKW69" s="10"/>
      <c r="CKX69" s="10"/>
      <c r="CKY69" s="10"/>
      <c r="CKZ69" s="10"/>
      <c r="CLA69" s="10"/>
      <c r="CLB69" s="10"/>
      <c r="CLC69" s="10"/>
      <c r="CLD69" s="10"/>
      <c r="CLE69" s="10"/>
      <c r="CLF69" s="10"/>
      <c r="CLG69" s="10"/>
      <c r="CLH69" s="10"/>
      <c r="CLI69" s="10"/>
      <c r="CLJ69" s="10"/>
      <c r="CLK69" s="10"/>
      <c r="CLL69" s="10"/>
      <c r="CLM69" s="10"/>
      <c r="CLN69" s="10"/>
      <c r="CLO69" s="10"/>
      <c r="CLP69" s="10"/>
      <c r="CLQ69" s="10"/>
      <c r="CLR69" s="10"/>
      <c r="CLS69" s="10"/>
      <c r="CLT69" s="10"/>
      <c r="CLU69" s="10"/>
      <c r="CLV69" s="10"/>
      <c r="CLW69" s="10"/>
      <c r="CLX69" s="10"/>
      <c r="CLY69" s="10"/>
      <c r="CLZ69" s="10"/>
      <c r="CMA69" s="10"/>
      <c r="CMB69" s="10"/>
      <c r="CMC69" s="10"/>
      <c r="CMD69" s="10"/>
      <c r="CME69" s="10"/>
      <c r="CMF69" s="10"/>
      <c r="CMG69" s="10"/>
      <c r="CMH69" s="10"/>
      <c r="CMI69" s="10"/>
      <c r="CMJ69" s="10"/>
      <c r="CMK69" s="10"/>
      <c r="CML69" s="10"/>
      <c r="CMM69" s="10"/>
      <c r="CMN69" s="10"/>
      <c r="CMO69" s="10"/>
      <c r="CMP69" s="10"/>
      <c r="CMQ69" s="10"/>
      <c r="CMR69" s="10"/>
      <c r="CMS69" s="10"/>
      <c r="CMT69" s="10"/>
      <c r="CMU69" s="10"/>
      <c r="CMV69" s="10"/>
      <c r="CMW69" s="10"/>
      <c r="CMX69" s="10"/>
      <c r="CMY69" s="10"/>
      <c r="CMZ69" s="10"/>
      <c r="CNA69" s="10"/>
      <c r="CNB69" s="10"/>
      <c r="CNC69" s="10"/>
      <c r="CND69" s="10"/>
      <c r="CNE69" s="10"/>
      <c r="CNF69" s="10"/>
      <c r="CNG69" s="10"/>
      <c r="CNH69" s="10"/>
      <c r="CNI69" s="10"/>
      <c r="CNJ69" s="10"/>
      <c r="CNK69" s="10"/>
      <c r="CNL69" s="10"/>
      <c r="CNM69" s="10"/>
      <c r="CNN69" s="10"/>
      <c r="CNO69" s="10"/>
      <c r="CNP69" s="10"/>
      <c r="CNQ69" s="10"/>
      <c r="CNR69" s="10"/>
      <c r="CNS69" s="10"/>
      <c r="CNT69" s="10"/>
      <c r="CNU69" s="10"/>
      <c r="CNV69" s="10"/>
      <c r="CNW69" s="10"/>
      <c r="CNX69" s="10"/>
      <c r="CNY69" s="10"/>
      <c r="CNZ69" s="10"/>
      <c r="COA69" s="10"/>
      <c r="COB69" s="10"/>
      <c r="COC69" s="10"/>
      <c r="COD69" s="10"/>
      <c r="COE69" s="10"/>
      <c r="COF69" s="10"/>
      <c r="COG69" s="10"/>
      <c r="COH69" s="10"/>
      <c r="COI69" s="10"/>
      <c r="COJ69" s="10"/>
      <c r="COK69" s="10"/>
      <c r="COL69" s="10"/>
      <c r="COM69" s="10"/>
      <c r="CON69" s="10"/>
      <c r="COO69" s="10"/>
      <c r="COP69" s="10"/>
      <c r="COQ69" s="10"/>
      <c r="COR69" s="10"/>
      <c r="COS69" s="10"/>
      <c r="COT69" s="10"/>
      <c r="COU69" s="10"/>
      <c r="COV69" s="10"/>
      <c r="COW69" s="10"/>
      <c r="COX69" s="10"/>
      <c r="COY69" s="10"/>
      <c r="COZ69" s="10"/>
      <c r="CPA69" s="10"/>
      <c r="CPB69" s="10"/>
      <c r="CPC69" s="10"/>
      <c r="CPD69" s="10"/>
      <c r="CPE69" s="10"/>
      <c r="CPF69" s="10"/>
      <c r="CPG69" s="10"/>
      <c r="CPH69" s="10"/>
      <c r="CPI69" s="10"/>
      <c r="CPJ69" s="10"/>
      <c r="CPK69" s="10"/>
      <c r="CPL69" s="10"/>
      <c r="CPM69" s="10"/>
      <c r="CPN69" s="10"/>
      <c r="CPO69" s="10"/>
      <c r="CPP69" s="10"/>
      <c r="CPQ69" s="10"/>
      <c r="CPR69" s="10"/>
      <c r="CPS69" s="10"/>
      <c r="CPT69" s="10"/>
      <c r="CPU69" s="10"/>
      <c r="CPV69" s="10"/>
      <c r="CPW69" s="10"/>
      <c r="CPX69" s="10"/>
      <c r="CPY69" s="10"/>
      <c r="CPZ69" s="10"/>
      <c r="CQA69" s="10"/>
      <c r="CQB69" s="10"/>
      <c r="CQC69" s="10"/>
      <c r="CQD69" s="10"/>
      <c r="CQE69" s="10"/>
      <c r="CQF69" s="10"/>
      <c r="CQG69" s="10"/>
      <c r="CQH69" s="10"/>
      <c r="CQI69" s="10"/>
      <c r="CQJ69" s="10"/>
      <c r="CQK69" s="10"/>
      <c r="CQL69" s="10"/>
      <c r="CQM69" s="10"/>
      <c r="CQN69" s="10"/>
      <c r="CQO69" s="10"/>
      <c r="CQP69" s="10"/>
      <c r="CQQ69" s="10"/>
      <c r="CQR69" s="10"/>
      <c r="CQS69" s="10"/>
      <c r="CQT69" s="10"/>
      <c r="CQU69" s="10"/>
      <c r="CQV69" s="10"/>
      <c r="CQW69" s="10"/>
      <c r="CQX69" s="10"/>
      <c r="CQY69" s="10"/>
      <c r="CQZ69" s="10"/>
      <c r="CRA69" s="10"/>
      <c r="CRB69" s="10"/>
      <c r="CRC69" s="10"/>
      <c r="CRD69" s="10"/>
      <c r="CRE69" s="10"/>
      <c r="CRF69" s="10"/>
      <c r="CRG69" s="10"/>
      <c r="CRH69" s="10"/>
      <c r="CRI69" s="10"/>
      <c r="CRJ69" s="10"/>
      <c r="CRK69" s="10"/>
      <c r="CRL69" s="10"/>
      <c r="CRM69" s="10"/>
      <c r="CRN69" s="10"/>
      <c r="CRO69" s="10"/>
      <c r="CRP69" s="10"/>
      <c r="CRQ69" s="10"/>
      <c r="CRR69" s="10"/>
      <c r="CRS69" s="10"/>
      <c r="CRT69" s="10"/>
      <c r="CRU69" s="10"/>
      <c r="CRV69" s="10"/>
      <c r="CRW69" s="10"/>
      <c r="CRX69" s="10"/>
      <c r="CRY69" s="10"/>
      <c r="CRZ69" s="10"/>
      <c r="CSA69" s="10"/>
      <c r="CSB69" s="10"/>
      <c r="CSC69" s="10"/>
      <c r="CSD69" s="10"/>
      <c r="CSE69" s="10"/>
      <c r="CSF69" s="10"/>
      <c r="CSG69" s="10"/>
      <c r="CSH69" s="10"/>
      <c r="CSI69" s="10"/>
      <c r="CSJ69" s="10"/>
      <c r="CSK69" s="10"/>
      <c r="CSL69" s="10"/>
      <c r="CSM69" s="10"/>
      <c r="CSN69" s="10"/>
      <c r="CSO69" s="10"/>
      <c r="CSP69" s="10"/>
      <c r="CSQ69" s="10"/>
      <c r="CSR69" s="10"/>
      <c r="CSS69" s="10"/>
      <c r="CST69" s="10"/>
      <c r="CSU69" s="10"/>
      <c r="CSV69" s="10"/>
      <c r="CSW69" s="10"/>
      <c r="CSX69" s="10"/>
      <c r="CSY69" s="10"/>
      <c r="CSZ69" s="10"/>
      <c r="CTA69" s="10"/>
      <c r="CTB69" s="10"/>
      <c r="CTC69" s="10"/>
      <c r="CTD69" s="10"/>
      <c r="CTE69" s="10"/>
      <c r="CTF69" s="10"/>
      <c r="CTG69" s="10"/>
      <c r="CTH69" s="10"/>
      <c r="CTI69" s="10"/>
      <c r="CTJ69" s="10"/>
      <c r="CTK69" s="10"/>
      <c r="CTL69" s="10"/>
      <c r="CTM69" s="10"/>
      <c r="CTN69" s="10"/>
      <c r="CTO69" s="10"/>
      <c r="CTP69" s="10"/>
      <c r="CTQ69" s="10"/>
      <c r="CTR69" s="10"/>
      <c r="CTS69" s="10"/>
      <c r="CTT69" s="10"/>
      <c r="CTU69" s="10"/>
      <c r="CTV69" s="10"/>
      <c r="CTW69" s="10"/>
      <c r="CTX69" s="10"/>
      <c r="CTY69" s="10"/>
      <c r="CTZ69" s="10"/>
      <c r="CUA69" s="10"/>
      <c r="CUB69" s="10"/>
      <c r="CUC69" s="10"/>
      <c r="CUD69" s="10"/>
      <c r="CUE69" s="10"/>
      <c r="CUF69" s="10"/>
      <c r="CUG69" s="10"/>
      <c r="CUH69" s="10"/>
      <c r="CUI69" s="10"/>
      <c r="CUJ69" s="10"/>
      <c r="CUK69" s="10"/>
      <c r="CUL69" s="10"/>
      <c r="CUM69" s="10"/>
      <c r="CUN69" s="10"/>
      <c r="CUO69" s="10"/>
      <c r="CUP69" s="10"/>
      <c r="CUQ69" s="10"/>
      <c r="CUR69" s="10"/>
      <c r="CUS69" s="10"/>
      <c r="CUT69" s="10"/>
      <c r="CUU69" s="10"/>
      <c r="CUV69" s="10"/>
      <c r="CUW69" s="10"/>
      <c r="CUX69" s="10"/>
      <c r="CUY69" s="10"/>
      <c r="CUZ69" s="10"/>
      <c r="CVA69" s="10"/>
      <c r="CVB69" s="10"/>
      <c r="CVC69" s="10"/>
      <c r="CVD69" s="10"/>
      <c r="CVE69" s="10"/>
      <c r="CVF69" s="10"/>
      <c r="CVG69" s="10"/>
      <c r="CVH69" s="10"/>
      <c r="CVI69" s="10"/>
      <c r="CVJ69" s="10"/>
      <c r="CVK69" s="10"/>
      <c r="CVL69" s="10"/>
      <c r="CVM69" s="10"/>
      <c r="CVN69" s="10"/>
      <c r="CVO69" s="10"/>
      <c r="CVP69" s="10"/>
      <c r="CVQ69" s="10"/>
      <c r="CVR69" s="10"/>
      <c r="CVS69" s="10"/>
      <c r="CVT69" s="10"/>
      <c r="CVU69" s="10"/>
      <c r="CVV69" s="10"/>
      <c r="CVW69" s="10"/>
      <c r="CVX69" s="10"/>
      <c r="CVY69" s="10"/>
      <c r="CVZ69" s="10"/>
      <c r="CWA69" s="10"/>
      <c r="CWB69" s="10"/>
      <c r="CWC69" s="10"/>
      <c r="CWD69" s="10"/>
      <c r="CWE69" s="10"/>
      <c r="CWF69" s="10"/>
      <c r="CWG69" s="10"/>
      <c r="CWH69" s="10"/>
      <c r="CWI69" s="10"/>
      <c r="CWJ69" s="10"/>
      <c r="CWK69" s="10"/>
      <c r="CWL69" s="10"/>
      <c r="CWM69" s="10"/>
      <c r="CWN69" s="10"/>
      <c r="CWO69" s="10"/>
      <c r="CWP69" s="10"/>
      <c r="CWQ69" s="10"/>
      <c r="CWR69" s="10"/>
      <c r="CWS69" s="10"/>
      <c r="CWT69" s="10"/>
      <c r="CWU69" s="10"/>
      <c r="CWV69" s="10"/>
      <c r="CWW69" s="10"/>
      <c r="CWX69" s="10"/>
      <c r="CWY69" s="10"/>
      <c r="CWZ69" s="10"/>
      <c r="CXA69" s="10"/>
      <c r="CXB69" s="10"/>
      <c r="CXC69" s="10"/>
      <c r="CXD69" s="10"/>
      <c r="CXE69" s="10"/>
      <c r="CXF69" s="10"/>
      <c r="CXG69" s="10"/>
      <c r="CXH69" s="10"/>
      <c r="CXI69" s="10"/>
      <c r="CXJ69" s="10"/>
      <c r="CXK69" s="10"/>
      <c r="CXL69" s="10"/>
      <c r="CXM69" s="10"/>
      <c r="CXN69" s="10"/>
      <c r="CXO69" s="10"/>
      <c r="CXP69" s="10"/>
      <c r="CXQ69" s="10"/>
      <c r="CXR69" s="10"/>
      <c r="CXS69" s="10"/>
      <c r="CXT69" s="10"/>
      <c r="CXU69" s="10"/>
      <c r="CXV69" s="10"/>
      <c r="CXW69" s="10"/>
      <c r="CXX69" s="10"/>
      <c r="CXY69" s="10"/>
      <c r="CXZ69" s="10"/>
      <c r="CYA69" s="10"/>
      <c r="CYB69" s="10"/>
      <c r="CYC69" s="10"/>
      <c r="CYD69" s="10"/>
      <c r="CYE69" s="10"/>
      <c r="CYF69" s="10"/>
      <c r="CYG69" s="10"/>
      <c r="CYH69" s="10"/>
      <c r="CYI69" s="10"/>
      <c r="CYJ69" s="10"/>
      <c r="CYK69" s="10"/>
      <c r="CYL69" s="10"/>
      <c r="CYM69" s="10"/>
      <c r="CYN69" s="10"/>
      <c r="CYO69" s="10"/>
      <c r="CYP69" s="10"/>
      <c r="CYQ69" s="10"/>
      <c r="CYR69" s="10"/>
      <c r="CYS69" s="10"/>
      <c r="CYT69" s="10"/>
      <c r="CYU69" s="10"/>
      <c r="CYV69" s="10"/>
      <c r="CYW69" s="10"/>
      <c r="CYX69" s="10"/>
      <c r="CYY69" s="10"/>
      <c r="CYZ69" s="10"/>
      <c r="CZA69" s="10"/>
      <c r="CZB69" s="10"/>
      <c r="CZC69" s="10"/>
      <c r="CZD69" s="10"/>
      <c r="CZE69" s="10"/>
      <c r="CZF69" s="10"/>
      <c r="CZG69" s="10"/>
      <c r="CZH69" s="10"/>
      <c r="CZI69" s="10"/>
      <c r="CZJ69" s="10"/>
      <c r="CZK69" s="10"/>
      <c r="CZL69" s="10"/>
      <c r="CZM69" s="10"/>
      <c r="CZN69" s="10"/>
      <c r="CZO69" s="10"/>
      <c r="CZP69" s="10"/>
      <c r="CZQ69" s="10"/>
      <c r="CZR69" s="10"/>
      <c r="CZS69" s="10"/>
      <c r="CZT69" s="10"/>
      <c r="CZU69" s="10"/>
      <c r="CZV69" s="10"/>
      <c r="CZW69" s="10"/>
      <c r="CZX69" s="10"/>
      <c r="CZY69" s="10"/>
      <c r="CZZ69" s="10"/>
      <c r="DAA69" s="10"/>
      <c r="DAB69" s="10"/>
      <c r="DAC69" s="10"/>
      <c r="DAD69" s="10"/>
      <c r="DAE69" s="10"/>
      <c r="DAF69" s="10"/>
      <c r="DAG69" s="10"/>
      <c r="DAH69" s="10"/>
      <c r="DAI69" s="10"/>
      <c r="DAJ69" s="10"/>
      <c r="DAK69" s="10"/>
      <c r="DAL69" s="10"/>
      <c r="DAM69" s="10"/>
      <c r="DAN69" s="10"/>
      <c r="DAO69" s="10"/>
      <c r="DAP69" s="10"/>
      <c r="DAQ69" s="10"/>
      <c r="DAR69" s="10"/>
      <c r="DAS69" s="10"/>
      <c r="DAT69" s="10"/>
      <c r="DAU69" s="10"/>
      <c r="DAV69" s="10"/>
      <c r="DAW69" s="10"/>
      <c r="DAX69" s="10"/>
      <c r="DAY69" s="10"/>
      <c r="DAZ69" s="10"/>
      <c r="DBA69" s="10"/>
      <c r="DBB69" s="10"/>
      <c r="DBC69" s="10"/>
      <c r="DBD69" s="10"/>
      <c r="DBE69" s="10"/>
      <c r="DBF69" s="10"/>
      <c r="DBG69" s="10"/>
      <c r="DBH69" s="10"/>
      <c r="DBI69" s="10"/>
      <c r="DBJ69" s="10"/>
      <c r="DBK69" s="10"/>
      <c r="DBL69" s="10"/>
      <c r="DBM69" s="10"/>
      <c r="DBN69" s="10"/>
      <c r="DBO69" s="10"/>
      <c r="DBP69" s="10"/>
      <c r="DBQ69" s="10"/>
      <c r="DBR69" s="10"/>
      <c r="DBS69" s="10"/>
      <c r="DBT69" s="10"/>
      <c r="DBU69" s="10"/>
      <c r="DBV69" s="10"/>
      <c r="DBW69" s="10"/>
      <c r="DBX69" s="10"/>
      <c r="DBY69" s="10"/>
      <c r="DBZ69" s="10"/>
      <c r="DCA69" s="10"/>
      <c r="DCB69" s="10"/>
      <c r="DCC69" s="10"/>
      <c r="DCD69" s="10"/>
      <c r="DCE69" s="10"/>
      <c r="DCF69" s="10"/>
      <c r="DCG69" s="10"/>
      <c r="DCH69" s="10"/>
      <c r="DCI69" s="10"/>
      <c r="DCJ69" s="10"/>
      <c r="DCK69" s="10"/>
      <c r="DCL69" s="10"/>
      <c r="DCM69" s="10"/>
      <c r="DCN69" s="10"/>
      <c r="DCO69" s="10"/>
      <c r="DCP69" s="10"/>
      <c r="DCQ69" s="10"/>
      <c r="DCR69" s="10"/>
      <c r="DCS69" s="10"/>
      <c r="DCT69" s="10"/>
      <c r="DCU69" s="10"/>
      <c r="DCV69" s="10"/>
      <c r="DCW69" s="10"/>
      <c r="DCX69" s="10"/>
      <c r="DCY69" s="10"/>
      <c r="DCZ69" s="10"/>
      <c r="DDA69" s="10"/>
      <c r="DDB69" s="10"/>
      <c r="DDC69" s="10"/>
      <c r="DDD69" s="10"/>
      <c r="DDE69" s="10"/>
      <c r="DDF69" s="10"/>
      <c r="DDG69" s="10"/>
      <c r="DDH69" s="10"/>
      <c r="DDI69" s="10"/>
      <c r="DDJ69" s="10"/>
      <c r="DDK69" s="10"/>
      <c r="DDL69" s="10"/>
      <c r="DDM69" s="10"/>
      <c r="DDN69" s="10"/>
      <c r="DDO69" s="10"/>
      <c r="DDP69" s="10"/>
      <c r="DDQ69" s="10"/>
      <c r="DDR69" s="10"/>
      <c r="DDS69" s="10"/>
      <c r="DDT69" s="10"/>
      <c r="DDU69" s="10"/>
      <c r="DDV69" s="10"/>
      <c r="DDW69" s="10"/>
      <c r="DDX69" s="10"/>
      <c r="DDY69" s="10"/>
      <c r="DDZ69" s="10"/>
      <c r="DEA69" s="10"/>
      <c r="DEB69" s="10"/>
      <c r="DEC69" s="10"/>
      <c r="DED69" s="10"/>
      <c r="DEE69" s="10"/>
      <c r="DEF69" s="10"/>
      <c r="DEG69" s="10"/>
      <c r="DEH69" s="10"/>
      <c r="DEI69" s="10"/>
      <c r="DEJ69" s="10"/>
      <c r="DEK69" s="10"/>
      <c r="DEL69" s="10"/>
      <c r="DEM69" s="10"/>
      <c r="DEN69" s="10"/>
      <c r="DEO69" s="10"/>
      <c r="DEP69" s="10"/>
      <c r="DEQ69" s="10"/>
      <c r="DER69" s="10"/>
      <c r="DES69" s="10"/>
      <c r="DET69" s="10"/>
      <c r="DEU69" s="10"/>
      <c r="DEV69" s="10"/>
      <c r="DEW69" s="10"/>
      <c r="DEX69" s="10"/>
      <c r="DEY69" s="10"/>
      <c r="DEZ69" s="10"/>
      <c r="DFA69" s="10"/>
      <c r="DFB69" s="10"/>
      <c r="DFC69" s="10"/>
      <c r="DFD69" s="10"/>
      <c r="DFE69" s="10"/>
      <c r="DFF69" s="10"/>
      <c r="DFG69" s="10"/>
      <c r="DFH69" s="10"/>
      <c r="DFI69" s="10"/>
      <c r="DFJ69" s="10"/>
      <c r="DFK69" s="10"/>
      <c r="DFL69" s="10"/>
      <c r="DFM69" s="10"/>
      <c r="DFN69" s="10"/>
      <c r="DFO69" s="10"/>
      <c r="DFP69" s="10"/>
      <c r="DFQ69" s="10"/>
      <c r="DFR69" s="10"/>
      <c r="DFS69" s="10"/>
      <c r="DFT69" s="10"/>
      <c r="DFU69" s="10"/>
      <c r="DFV69" s="10"/>
      <c r="DFW69" s="10"/>
      <c r="DFX69" s="10"/>
      <c r="DFY69" s="10"/>
      <c r="DFZ69" s="10"/>
      <c r="DGA69" s="10"/>
      <c r="DGB69" s="10"/>
      <c r="DGC69" s="10"/>
      <c r="DGD69" s="10"/>
      <c r="DGE69" s="10"/>
      <c r="DGF69" s="10"/>
      <c r="DGG69" s="10"/>
      <c r="DGH69" s="10"/>
      <c r="DGI69" s="10"/>
      <c r="DGJ69" s="10"/>
      <c r="DGK69" s="10"/>
      <c r="DGL69" s="10"/>
      <c r="DGM69" s="10"/>
      <c r="DGN69" s="10"/>
      <c r="DGO69" s="10"/>
      <c r="DGP69" s="10"/>
      <c r="DGQ69" s="10"/>
      <c r="DGR69" s="10"/>
      <c r="DGS69" s="10"/>
      <c r="DGT69" s="10"/>
      <c r="DGU69" s="10"/>
      <c r="DGV69" s="10"/>
      <c r="DGW69" s="10"/>
      <c r="DGX69" s="10"/>
      <c r="DGY69" s="10"/>
      <c r="DGZ69" s="10"/>
      <c r="DHA69" s="10"/>
      <c r="DHB69" s="10"/>
      <c r="DHC69" s="10"/>
      <c r="DHD69" s="10"/>
      <c r="DHE69" s="10"/>
      <c r="DHF69" s="10"/>
      <c r="DHG69" s="10"/>
      <c r="DHH69" s="10"/>
      <c r="DHI69" s="10"/>
      <c r="DHJ69" s="10"/>
      <c r="DHK69" s="10"/>
      <c r="DHL69" s="10"/>
      <c r="DHM69" s="10"/>
      <c r="DHN69" s="10"/>
      <c r="DHO69" s="10"/>
      <c r="DHP69" s="10"/>
      <c r="DHQ69" s="10"/>
      <c r="DHR69" s="10"/>
      <c r="DHS69" s="10"/>
      <c r="DHT69" s="10"/>
      <c r="DHU69" s="10"/>
      <c r="DHV69" s="10"/>
      <c r="DHW69" s="10"/>
      <c r="DHX69" s="10"/>
      <c r="DHY69" s="10"/>
      <c r="DHZ69" s="10"/>
      <c r="DIA69" s="10"/>
      <c r="DIB69" s="10"/>
      <c r="DIC69" s="10"/>
      <c r="DID69" s="10"/>
      <c r="DIE69" s="10"/>
      <c r="DIF69" s="10"/>
      <c r="DIG69" s="10"/>
      <c r="DIH69" s="10"/>
      <c r="DII69" s="10"/>
      <c r="DIJ69" s="10"/>
      <c r="DIK69" s="10"/>
      <c r="DIL69" s="10"/>
      <c r="DIM69" s="10"/>
      <c r="DIN69" s="10"/>
      <c r="DIO69" s="10"/>
      <c r="DIP69" s="10"/>
      <c r="DIQ69" s="10"/>
      <c r="DIR69" s="10"/>
      <c r="DIS69" s="10"/>
      <c r="DIT69" s="10"/>
      <c r="DIU69" s="10"/>
      <c r="DIV69" s="10"/>
      <c r="DIW69" s="10"/>
      <c r="DIX69" s="10"/>
      <c r="DIY69" s="10"/>
      <c r="DIZ69" s="10"/>
      <c r="DJA69" s="10"/>
      <c r="DJB69" s="10"/>
      <c r="DJC69" s="10"/>
      <c r="DJD69" s="10"/>
      <c r="DJE69" s="10"/>
      <c r="DJF69" s="10"/>
      <c r="DJG69" s="10"/>
      <c r="DJH69" s="10"/>
      <c r="DJI69" s="10"/>
      <c r="DJJ69" s="10"/>
      <c r="DJK69" s="10"/>
      <c r="DJL69" s="10"/>
      <c r="DJM69" s="10"/>
      <c r="DJN69" s="10"/>
      <c r="DJO69" s="10"/>
      <c r="DJP69" s="10"/>
      <c r="DJQ69" s="10"/>
      <c r="DJR69" s="10"/>
      <c r="DJS69" s="10"/>
      <c r="DJT69" s="10"/>
      <c r="DJU69" s="10"/>
      <c r="DJV69" s="10"/>
      <c r="DJW69" s="10"/>
      <c r="DJX69" s="10"/>
      <c r="DJY69" s="10"/>
      <c r="DJZ69" s="10"/>
      <c r="DKA69" s="10"/>
      <c r="DKB69" s="10"/>
      <c r="DKC69" s="10"/>
      <c r="DKD69" s="10"/>
      <c r="DKE69" s="10"/>
      <c r="DKF69" s="10"/>
      <c r="DKG69" s="10"/>
      <c r="DKH69" s="10"/>
      <c r="DKI69" s="10"/>
      <c r="DKJ69" s="10"/>
      <c r="DKK69" s="10"/>
      <c r="DKL69" s="10"/>
      <c r="DKM69" s="10"/>
      <c r="DKN69" s="10"/>
      <c r="DKO69" s="10"/>
      <c r="DKP69" s="10"/>
      <c r="DKQ69" s="10"/>
      <c r="DKR69" s="10"/>
      <c r="DKS69" s="10"/>
      <c r="DKT69" s="10"/>
      <c r="DKU69" s="10"/>
      <c r="DKV69" s="10"/>
      <c r="DKW69" s="10"/>
      <c r="DKX69" s="10"/>
      <c r="DKY69" s="10"/>
      <c r="DKZ69" s="10"/>
      <c r="DLA69" s="10"/>
      <c r="DLB69" s="10"/>
      <c r="DLC69" s="10"/>
      <c r="DLD69" s="10"/>
      <c r="DLE69" s="10"/>
      <c r="DLF69" s="10"/>
      <c r="DLG69" s="10"/>
      <c r="DLH69" s="10"/>
      <c r="DLI69" s="10"/>
      <c r="DLJ69" s="10"/>
      <c r="DLK69" s="10"/>
      <c r="DLL69" s="10"/>
      <c r="DLM69" s="10"/>
      <c r="DLN69" s="10"/>
      <c r="DLO69" s="10"/>
      <c r="DLP69" s="10"/>
      <c r="DLQ69" s="10"/>
      <c r="DLR69" s="10"/>
      <c r="DLS69" s="10"/>
      <c r="DLT69" s="10"/>
      <c r="DLU69" s="10"/>
      <c r="DLV69" s="10"/>
      <c r="DLW69" s="10"/>
      <c r="DLX69" s="10"/>
      <c r="DLY69" s="10"/>
      <c r="DLZ69" s="10"/>
      <c r="DMA69" s="10"/>
      <c r="DMB69" s="10"/>
      <c r="DMC69" s="10"/>
      <c r="DMD69" s="10"/>
      <c r="DME69" s="10"/>
      <c r="DMF69" s="10"/>
      <c r="DMG69" s="10"/>
      <c r="DMH69" s="10"/>
      <c r="DMI69" s="10"/>
      <c r="DMJ69" s="10"/>
      <c r="DMK69" s="10"/>
      <c r="DML69" s="10"/>
      <c r="DMM69" s="10"/>
      <c r="DMN69" s="10"/>
      <c r="DMO69" s="10"/>
      <c r="DMP69" s="10"/>
      <c r="DMQ69" s="10"/>
      <c r="DMR69" s="10"/>
      <c r="DMS69" s="10"/>
      <c r="DMT69" s="10"/>
      <c r="DMU69" s="10"/>
      <c r="DMV69" s="10"/>
      <c r="DMW69" s="10"/>
      <c r="DMX69" s="10"/>
      <c r="DMY69" s="10"/>
      <c r="DMZ69" s="10"/>
      <c r="DNA69" s="10"/>
      <c r="DNB69" s="10"/>
      <c r="DNC69" s="10"/>
      <c r="DND69" s="10"/>
      <c r="DNE69" s="10"/>
      <c r="DNF69" s="10"/>
      <c r="DNG69" s="10"/>
      <c r="DNH69" s="10"/>
      <c r="DNI69" s="10"/>
      <c r="DNJ69" s="10"/>
      <c r="DNK69" s="10"/>
      <c r="DNL69" s="10"/>
      <c r="DNM69" s="10"/>
      <c r="DNN69" s="10"/>
      <c r="DNO69" s="10"/>
      <c r="DNP69" s="10"/>
      <c r="DNQ69" s="10"/>
      <c r="DNR69" s="10"/>
      <c r="DNS69" s="10"/>
      <c r="DNT69" s="10"/>
      <c r="DNU69" s="10"/>
      <c r="DNV69" s="10"/>
      <c r="DNW69" s="10"/>
      <c r="DNX69" s="10"/>
      <c r="DNY69" s="10"/>
      <c r="DNZ69" s="10"/>
      <c r="DOA69" s="10"/>
      <c r="DOB69" s="10"/>
      <c r="DOC69" s="10"/>
      <c r="DOD69" s="10"/>
      <c r="DOE69" s="10"/>
      <c r="DOF69" s="10"/>
      <c r="DOG69" s="10"/>
      <c r="DOH69" s="10"/>
      <c r="DOI69" s="10"/>
      <c r="DOJ69" s="10"/>
      <c r="DOK69" s="10"/>
      <c r="DOL69" s="10"/>
      <c r="DOM69" s="10"/>
      <c r="DON69" s="10"/>
      <c r="DOO69" s="10"/>
      <c r="DOP69" s="10"/>
      <c r="DOQ69" s="10"/>
      <c r="DOR69" s="10"/>
      <c r="DOS69" s="10"/>
      <c r="DOT69" s="10"/>
      <c r="DOU69" s="10"/>
      <c r="DOV69" s="10"/>
      <c r="DOW69" s="10"/>
      <c r="DOX69" s="10"/>
      <c r="DOY69" s="10"/>
      <c r="DOZ69" s="10"/>
      <c r="DPA69" s="10"/>
      <c r="DPB69" s="10"/>
      <c r="DPC69" s="10"/>
      <c r="DPD69" s="10"/>
      <c r="DPE69" s="10"/>
      <c r="DPF69" s="10"/>
      <c r="DPG69" s="10"/>
      <c r="DPH69" s="10"/>
      <c r="DPI69" s="10"/>
      <c r="DPJ69" s="10"/>
      <c r="DPK69" s="10"/>
      <c r="DPL69" s="10"/>
      <c r="DPM69" s="10"/>
      <c r="DPN69" s="10"/>
      <c r="DPO69" s="10"/>
      <c r="DPP69" s="10"/>
      <c r="DPQ69" s="10"/>
      <c r="DPR69" s="10"/>
      <c r="DPS69" s="10"/>
      <c r="DPT69" s="10"/>
      <c r="DPU69" s="10"/>
      <c r="DPV69" s="10"/>
      <c r="DPW69" s="10"/>
      <c r="DPX69" s="10"/>
      <c r="DPY69" s="10"/>
      <c r="DPZ69" s="10"/>
      <c r="DQA69" s="10"/>
      <c r="DQB69" s="10"/>
      <c r="DQC69" s="10"/>
      <c r="DQD69" s="10"/>
      <c r="DQE69" s="10"/>
      <c r="DQF69" s="10"/>
      <c r="DQG69" s="10"/>
      <c r="DQH69" s="10"/>
      <c r="DQI69" s="10"/>
      <c r="DQJ69" s="10"/>
      <c r="DQK69" s="10"/>
      <c r="DQL69" s="10"/>
      <c r="DQM69" s="10"/>
      <c r="DQN69" s="10"/>
      <c r="DQO69" s="10"/>
      <c r="DQP69" s="10"/>
      <c r="DQQ69" s="10"/>
      <c r="DQR69" s="10"/>
      <c r="DQS69" s="10"/>
      <c r="DQT69" s="10"/>
      <c r="DQU69" s="10"/>
      <c r="DQV69" s="10"/>
      <c r="DQW69" s="10"/>
      <c r="DQX69" s="10"/>
      <c r="DQY69" s="10"/>
      <c r="DQZ69" s="10"/>
      <c r="DRA69" s="10"/>
      <c r="DRB69" s="10"/>
      <c r="DRC69" s="10"/>
      <c r="DRD69" s="10"/>
      <c r="DRE69" s="10"/>
      <c r="DRF69" s="10"/>
      <c r="DRG69" s="10"/>
      <c r="DRH69" s="10"/>
      <c r="DRI69" s="10"/>
      <c r="DRJ69" s="10"/>
      <c r="DRK69" s="10"/>
      <c r="DRL69" s="10"/>
      <c r="DRM69" s="10"/>
      <c r="DRN69" s="10"/>
      <c r="DRO69" s="10"/>
      <c r="DRP69" s="10"/>
      <c r="DRQ69" s="10"/>
      <c r="DRR69" s="10"/>
      <c r="DRS69" s="10"/>
      <c r="DRT69" s="10"/>
      <c r="DRU69" s="10"/>
      <c r="DRV69" s="10"/>
      <c r="DRW69" s="10"/>
      <c r="DRX69" s="10"/>
      <c r="DRY69" s="10"/>
      <c r="DRZ69" s="10"/>
      <c r="DSA69" s="10"/>
      <c r="DSB69" s="10"/>
      <c r="DSC69" s="10"/>
      <c r="DSD69" s="10"/>
      <c r="DSE69" s="10"/>
      <c r="DSF69" s="10"/>
      <c r="DSG69" s="10"/>
      <c r="DSH69" s="10"/>
      <c r="DSI69" s="10"/>
      <c r="DSJ69" s="10"/>
      <c r="DSK69" s="10"/>
      <c r="DSL69" s="10"/>
      <c r="DSM69" s="10"/>
      <c r="DSN69" s="10"/>
      <c r="DSO69" s="10"/>
      <c r="DSP69" s="10"/>
      <c r="DSQ69" s="10"/>
      <c r="DSR69" s="10"/>
      <c r="DSS69" s="10"/>
      <c r="DST69" s="10"/>
      <c r="DSU69" s="10"/>
      <c r="DSV69" s="10"/>
      <c r="DSW69" s="10"/>
      <c r="DSX69" s="10"/>
      <c r="DSY69" s="10"/>
      <c r="DSZ69" s="10"/>
      <c r="DTA69" s="10"/>
      <c r="DTB69" s="10"/>
      <c r="DTC69" s="10"/>
      <c r="DTD69" s="10"/>
      <c r="DTE69" s="10"/>
      <c r="DTF69" s="10"/>
      <c r="DTG69" s="10"/>
      <c r="DTH69" s="10"/>
      <c r="DTI69" s="10"/>
      <c r="DTJ69" s="10"/>
      <c r="DTK69" s="10"/>
      <c r="DTL69" s="10"/>
      <c r="DTM69" s="10"/>
      <c r="DTN69" s="10"/>
      <c r="DTO69" s="10"/>
      <c r="DTP69" s="10"/>
      <c r="DTQ69" s="10"/>
      <c r="DTR69" s="10"/>
      <c r="DTS69" s="10"/>
      <c r="DTT69" s="10"/>
      <c r="DTU69" s="10"/>
      <c r="DTV69" s="10"/>
      <c r="DTW69" s="10"/>
      <c r="DTX69" s="10"/>
      <c r="DTY69" s="10"/>
      <c r="DTZ69" s="10"/>
      <c r="DUA69" s="10"/>
      <c r="DUB69" s="10"/>
      <c r="DUC69" s="10"/>
      <c r="DUD69" s="10"/>
      <c r="DUE69" s="10"/>
      <c r="DUF69" s="10"/>
      <c r="DUG69" s="10"/>
      <c r="DUH69" s="10"/>
      <c r="DUI69" s="10"/>
      <c r="DUJ69" s="10"/>
      <c r="DUK69" s="10"/>
      <c r="DUL69" s="10"/>
      <c r="DUM69" s="10"/>
      <c r="DUN69" s="10"/>
      <c r="DUO69" s="10"/>
      <c r="DUP69" s="10"/>
      <c r="DUQ69" s="10"/>
      <c r="DUR69" s="10"/>
      <c r="DUS69" s="10"/>
      <c r="DUT69" s="10"/>
      <c r="DUU69" s="10"/>
      <c r="DUV69" s="10"/>
      <c r="DUW69" s="10"/>
      <c r="DUX69" s="10"/>
      <c r="DUY69" s="10"/>
      <c r="DUZ69" s="10"/>
      <c r="DVA69" s="10"/>
      <c r="DVB69" s="10"/>
      <c r="DVC69" s="10"/>
      <c r="DVD69" s="10"/>
      <c r="DVE69" s="10"/>
      <c r="DVF69" s="10"/>
      <c r="DVG69" s="10"/>
      <c r="DVH69" s="10"/>
      <c r="DVI69" s="10"/>
      <c r="DVJ69" s="10"/>
      <c r="DVK69" s="10"/>
      <c r="DVL69" s="10"/>
      <c r="DVM69" s="10"/>
      <c r="DVN69" s="10"/>
      <c r="DVO69" s="10"/>
      <c r="DVP69" s="10"/>
      <c r="DVQ69" s="10"/>
      <c r="DVR69" s="10"/>
      <c r="DVS69" s="10"/>
      <c r="DVT69" s="10"/>
      <c r="DVU69" s="10"/>
      <c r="DVV69" s="10"/>
      <c r="DVW69" s="10"/>
      <c r="DVX69" s="10"/>
      <c r="DVY69" s="10"/>
      <c r="DVZ69" s="10"/>
      <c r="DWA69" s="10"/>
      <c r="DWB69" s="10"/>
      <c r="DWC69" s="10"/>
      <c r="DWD69" s="10"/>
      <c r="DWE69" s="10"/>
      <c r="DWF69" s="10"/>
      <c r="DWG69" s="10"/>
      <c r="DWH69" s="10"/>
      <c r="DWI69" s="10"/>
      <c r="DWJ69" s="10"/>
      <c r="DWK69" s="10"/>
      <c r="DWL69" s="10"/>
      <c r="DWM69" s="10"/>
      <c r="DWN69" s="10"/>
      <c r="DWO69" s="10"/>
      <c r="DWP69" s="10"/>
      <c r="DWQ69" s="10"/>
      <c r="DWR69" s="10"/>
      <c r="DWS69" s="10"/>
      <c r="DWT69" s="10"/>
      <c r="DWU69" s="10"/>
      <c r="DWV69" s="10"/>
      <c r="DWW69" s="10"/>
      <c r="DWX69" s="10"/>
      <c r="DWY69" s="10"/>
      <c r="DWZ69" s="10"/>
      <c r="DXA69" s="10"/>
      <c r="DXB69" s="10"/>
      <c r="DXC69" s="10"/>
      <c r="DXD69" s="10"/>
      <c r="DXE69" s="10"/>
      <c r="DXF69" s="10"/>
      <c r="DXG69" s="10"/>
      <c r="DXH69" s="10"/>
      <c r="DXI69" s="10"/>
      <c r="DXJ69" s="10"/>
      <c r="DXK69" s="10"/>
      <c r="DXL69" s="10"/>
      <c r="DXM69" s="10"/>
      <c r="DXN69" s="10"/>
      <c r="DXO69" s="10"/>
      <c r="DXP69" s="10"/>
      <c r="DXQ69" s="10"/>
      <c r="DXR69" s="10"/>
      <c r="DXS69" s="10"/>
      <c r="DXT69" s="10"/>
      <c r="DXU69" s="10"/>
      <c r="DXV69" s="10"/>
      <c r="DXW69" s="10"/>
      <c r="DXX69" s="10"/>
      <c r="DXY69" s="10"/>
      <c r="DXZ69" s="10"/>
      <c r="DYA69" s="10"/>
      <c r="DYB69" s="10"/>
      <c r="DYC69" s="10"/>
      <c r="DYD69" s="10"/>
      <c r="DYE69" s="10"/>
      <c r="DYF69" s="10"/>
      <c r="DYG69" s="10"/>
      <c r="DYH69" s="10"/>
      <c r="DYI69" s="10"/>
      <c r="DYJ69" s="10"/>
      <c r="DYK69" s="10"/>
      <c r="DYL69" s="10"/>
      <c r="DYM69" s="10"/>
      <c r="DYN69" s="10"/>
      <c r="DYO69" s="10"/>
      <c r="DYP69" s="10"/>
      <c r="DYQ69" s="10"/>
      <c r="DYR69" s="10"/>
      <c r="DYS69" s="10"/>
      <c r="DYT69" s="10"/>
      <c r="DYU69" s="10"/>
      <c r="DYV69" s="10"/>
      <c r="DYW69" s="10"/>
      <c r="DYX69" s="10"/>
      <c r="DYY69" s="10"/>
      <c r="DYZ69" s="10"/>
      <c r="DZA69" s="10"/>
      <c r="DZB69" s="10"/>
      <c r="DZC69" s="10"/>
      <c r="DZD69" s="10"/>
      <c r="DZE69" s="10"/>
      <c r="DZF69" s="10"/>
      <c r="DZG69" s="10"/>
      <c r="DZH69" s="10"/>
      <c r="DZI69" s="10"/>
      <c r="DZJ69" s="10"/>
      <c r="DZK69" s="10"/>
      <c r="DZL69" s="10"/>
      <c r="DZM69" s="10"/>
      <c r="DZN69" s="10"/>
      <c r="DZO69" s="10"/>
      <c r="DZP69" s="10"/>
      <c r="DZQ69" s="10"/>
      <c r="DZR69" s="10"/>
      <c r="DZS69" s="10"/>
      <c r="DZT69" s="10"/>
      <c r="DZU69" s="10"/>
      <c r="DZV69" s="10"/>
      <c r="DZW69" s="10"/>
      <c r="DZX69" s="10"/>
      <c r="DZY69" s="10"/>
      <c r="DZZ69" s="10"/>
      <c r="EAA69" s="10"/>
      <c r="EAB69" s="10"/>
      <c r="EAC69" s="10"/>
      <c r="EAD69" s="10"/>
      <c r="EAE69" s="10"/>
      <c r="EAF69" s="10"/>
      <c r="EAG69" s="10"/>
      <c r="EAH69" s="10"/>
      <c r="EAI69" s="10"/>
      <c r="EAJ69" s="10"/>
      <c r="EAK69" s="10"/>
      <c r="EAL69" s="10"/>
      <c r="EAM69" s="10"/>
      <c r="EAN69" s="10"/>
      <c r="EAO69" s="10"/>
      <c r="EAP69" s="10"/>
      <c r="EAQ69" s="10"/>
      <c r="EAR69" s="10"/>
      <c r="EAS69" s="10"/>
      <c r="EAT69" s="10"/>
      <c r="EAU69" s="10"/>
      <c r="EAV69" s="10"/>
      <c r="EAW69" s="10"/>
      <c r="EAX69" s="10"/>
      <c r="EAY69" s="10"/>
      <c r="EAZ69" s="10"/>
      <c r="EBA69" s="10"/>
      <c r="EBB69" s="10"/>
      <c r="EBC69" s="10"/>
      <c r="EBD69" s="10"/>
      <c r="EBE69" s="10"/>
      <c r="EBF69" s="10"/>
      <c r="EBG69" s="10"/>
      <c r="EBH69" s="10"/>
      <c r="EBI69" s="10"/>
      <c r="EBJ69" s="10"/>
      <c r="EBK69" s="10"/>
      <c r="EBL69" s="10"/>
      <c r="EBM69" s="10"/>
      <c r="EBN69" s="10"/>
      <c r="EBO69" s="10"/>
      <c r="EBP69" s="10"/>
      <c r="EBQ69" s="10"/>
      <c r="EBR69" s="10"/>
      <c r="EBS69" s="10"/>
      <c r="EBT69" s="10"/>
      <c r="EBU69" s="10"/>
      <c r="EBV69" s="10"/>
      <c r="EBW69" s="10"/>
      <c r="EBX69" s="10"/>
      <c r="EBY69" s="10"/>
      <c r="EBZ69" s="10"/>
      <c r="ECA69" s="10"/>
      <c r="ECB69" s="10"/>
      <c r="ECC69" s="10"/>
      <c r="ECD69" s="10"/>
      <c r="ECE69" s="10"/>
      <c r="ECF69" s="10"/>
      <c r="ECG69" s="10"/>
      <c r="ECH69" s="10"/>
      <c r="ECI69" s="10"/>
      <c r="ECJ69" s="10"/>
      <c r="ECK69" s="10"/>
      <c r="ECL69" s="10"/>
      <c r="ECM69" s="10"/>
      <c r="ECN69" s="10"/>
      <c r="ECO69" s="10"/>
      <c r="ECP69" s="10"/>
      <c r="ECQ69" s="10"/>
      <c r="ECR69" s="10"/>
      <c r="ECS69" s="10"/>
      <c r="ECT69" s="10"/>
      <c r="ECU69" s="10"/>
      <c r="ECV69" s="10"/>
      <c r="ECW69" s="10"/>
      <c r="ECX69" s="10"/>
      <c r="ECY69" s="10"/>
      <c r="ECZ69" s="10"/>
      <c r="EDA69" s="10"/>
      <c r="EDB69" s="10"/>
      <c r="EDC69" s="10"/>
      <c r="EDD69" s="10"/>
      <c r="EDE69" s="10"/>
      <c r="EDF69" s="10"/>
      <c r="EDG69" s="10"/>
      <c r="EDH69" s="10"/>
      <c r="EDI69" s="10"/>
      <c r="EDJ69" s="10"/>
      <c r="EDK69" s="10"/>
      <c r="EDL69" s="10"/>
      <c r="EDM69" s="10"/>
      <c r="EDN69" s="10"/>
      <c r="EDO69" s="10"/>
      <c r="EDP69" s="10"/>
      <c r="EDQ69" s="10"/>
      <c r="EDR69" s="10"/>
      <c r="EDS69" s="10"/>
      <c r="EDT69" s="10"/>
      <c r="EDU69" s="10"/>
      <c r="EDV69" s="10"/>
      <c r="EDW69" s="10"/>
      <c r="EDX69" s="10"/>
      <c r="EDY69" s="10"/>
      <c r="EDZ69" s="10"/>
      <c r="EEA69" s="10"/>
      <c r="EEB69" s="10"/>
      <c r="EEC69" s="10"/>
      <c r="EED69" s="10"/>
      <c r="EEE69" s="10"/>
      <c r="EEF69" s="10"/>
      <c r="EEG69" s="10"/>
      <c r="EEH69" s="10"/>
      <c r="EEI69" s="10"/>
      <c r="EEJ69" s="10"/>
      <c r="EEK69" s="10"/>
      <c r="EEL69" s="10"/>
      <c r="EEM69" s="10"/>
      <c r="EEN69" s="10"/>
      <c r="EEO69" s="10"/>
      <c r="EEP69" s="10"/>
      <c r="EEQ69" s="10"/>
      <c r="EER69" s="10"/>
      <c r="EES69" s="10"/>
      <c r="EET69" s="10"/>
      <c r="EEU69" s="10"/>
      <c r="EEV69" s="10"/>
      <c r="EEW69" s="10"/>
      <c r="EEX69" s="10"/>
      <c r="EEY69" s="10"/>
      <c r="EEZ69" s="10"/>
      <c r="EFA69" s="10"/>
      <c r="EFB69" s="10"/>
      <c r="EFC69" s="10"/>
      <c r="EFD69" s="10"/>
      <c r="EFE69" s="10"/>
      <c r="EFF69" s="10"/>
      <c r="EFG69" s="10"/>
      <c r="EFH69" s="10"/>
      <c r="EFI69" s="10"/>
      <c r="EFJ69" s="10"/>
      <c r="EFK69" s="10"/>
      <c r="EFL69" s="10"/>
      <c r="EFM69" s="10"/>
      <c r="EFN69" s="10"/>
      <c r="EFO69" s="10"/>
      <c r="EFP69" s="10"/>
      <c r="EFQ69" s="10"/>
      <c r="EFR69" s="10"/>
      <c r="EFS69" s="10"/>
      <c r="EFT69" s="10"/>
      <c r="EFU69" s="10"/>
      <c r="EFV69" s="10"/>
      <c r="EFW69" s="10"/>
      <c r="EFX69" s="10"/>
      <c r="EFY69" s="10"/>
      <c r="EFZ69" s="10"/>
      <c r="EGA69" s="10"/>
      <c r="EGB69" s="10"/>
      <c r="EGC69" s="10"/>
      <c r="EGD69" s="10"/>
      <c r="EGE69" s="10"/>
      <c r="EGF69" s="10"/>
      <c r="EGG69" s="10"/>
      <c r="EGH69" s="10"/>
      <c r="EGI69" s="10"/>
      <c r="EGJ69" s="10"/>
      <c r="EGK69" s="10"/>
      <c r="EGL69" s="10"/>
      <c r="EGM69" s="10"/>
      <c r="EGN69" s="10"/>
      <c r="EGO69" s="10"/>
      <c r="EGP69" s="10"/>
      <c r="EGQ69" s="10"/>
      <c r="EGR69" s="10"/>
      <c r="EGS69" s="10"/>
      <c r="EGT69" s="10"/>
      <c r="EGU69" s="10"/>
      <c r="EGV69" s="10"/>
      <c r="EGW69" s="10"/>
      <c r="EGX69" s="10"/>
      <c r="EGY69" s="10"/>
      <c r="EGZ69" s="10"/>
      <c r="EHA69" s="10"/>
      <c r="EHB69" s="10"/>
      <c r="EHC69" s="10"/>
      <c r="EHD69" s="10"/>
      <c r="EHE69" s="10"/>
      <c r="EHF69" s="10"/>
      <c r="EHG69" s="10"/>
      <c r="EHH69" s="10"/>
      <c r="EHI69" s="10"/>
      <c r="EHJ69" s="10"/>
      <c r="EHK69" s="10"/>
      <c r="EHL69" s="10"/>
      <c r="EHM69" s="10"/>
      <c r="EHN69" s="10"/>
      <c r="EHO69" s="10"/>
      <c r="EHP69" s="10"/>
      <c r="EHQ69" s="10"/>
      <c r="EHR69" s="10"/>
      <c r="EHS69" s="10"/>
      <c r="EHT69" s="10"/>
      <c r="EHU69" s="10"/>
      <c r="EHV69" s="10"/>
      <c r="EHW69" s="10"/>
      <c r="EHX69" s="10"/>
      <c r="EHY69" s="10"/>
      <c r="EHZ69" s="10"/>
      <c r="EIA69" s="10"/>
      <c r="EIB69" s="10"/>
      <c r="EIC69" s="10"/>
      <c r="EID69" s="10"/>
      <c r="EIE69" s="10"/>
      <c r="EIF69" s="10"/>
      <c r="EIG69" s="10"/>
      <c r="EIH69" s="10"/>
      <c r="EII69" s="10"/>
      <c r="EIJ69" s="10"/>
      <c r="EIK69" s="10"/>
      <c r="EIL69" s="10"/>
      <c r="EIM69" s="10"/>
      <c r="EIN69" s="10"/>
      <c r="EIO69" s="10"/>
      <c r="EIP69" s="10"/>
      <c r="EIQ69" s="10"/>
      <c r="EIR69" s="10"/>
      <c r="EIS69" s="10"/>
      <c r="EIT69" s="10"/>
      <c r="EIU69" s="10"/>
      <c r="EIV69" s="10"/>
      <c r="EIW69" s="10"/>
      <c r="EIX69" s="10"/>
      <c r="EIY69" s="10"/>
      <c r="EIZ69" s="10"/>
      <c r="EJA69" s="10"/>
      <c r="EJB69" s="10"/>
      <c r="EJC69" s="10"/>
      <c r="EJD69" s="10"/>
      <c r="EJE69" s="10"/>
      <c r="EJF69" s="10"/>
      <c r="EJG69" s="10"/>
      <c r="EJH69" s="10"/>
      <c r="EJI69" s="10"/>
      <c r="EJJ69" s="10"/>
      <c r="EJK69" s="10"/>
      <c r="EJL69" s="10"/>
      <c r="EJM69" s="10"/>
      <c r="EJN69" s="10"/>
      <c r="EJO69" s="10"/>
      <c r="EJP69" s="10"/>
      <c r="EJQ69" s="10"/>
      <c r="EJR69" s="10"/>
      <c r="EJS69" s="10"/>
      <c r="EJT69" s="10"/>
      <c r="EJU69" s="10"/>
      <c r="EJV69" s="10"/>
      <c r="EJW69" s="10"/>
      <c r="EJX69" s="10"/>
      <c r="EJY69" s="10"/>
      <c r="EJZ69" s="10"/>
      <c r="EKA69" s="10"/>
      <c r="EKB69" s="10"/>
      <c r="EKC69" s="10"/>
      <c r="EKD69" s="10"/>
      <c r="EKE69" s="10"/>
      <c r="EKF69" s="10"/>
      <c r="EKG69" s="10"/>
      <c r="EKH69" s="10"/>
      <c r="EKI69" s="10"/>
      <c r="EKJ69" s="10"/>
      <c r="EKK69" s="10"/>
      <c r="EKL69" s="10"/>
      <c r="EKM69" s="10"/>
      <c r="EKN69" s="10"/>
      <c r="EKO69" s="10"/>
      <c r="EKP69" s="10"/>
      <c r="EKQ69" s="10"/>
      <c r="EKR69" s="10"/>
      <c r="EKS69" s="10"/>
      <c r="EKT69" s="10"/>
      <c r="EKU69" s="10"/>
      <c r="EKV69" s="10"/>
      <c r="EKW69" s="10"/>
      <c r="EKX69" s="10"/>
      <c r="EKY69" s="10"/>
      <c r="EKZ69" s="10"/>
      <c r="ELA69" s="10"/>
      <c r="ELB69" s="10"/>
      <c r="ELC69" s="10"/>
      <c r="ELD69" s="10"/>
      <c r="ELE69" s="10"/>
      <c r="ELF69" s="10"/>
      <c r="ELG69" s="10"/>
      <c r="ELH69" s="10"/>
      <c r="ELI69" s="10"/>
      <c r="ELJ69" s="10"/>
      <c r="ELK69" s="10"/>
      <c r="ELL69" s="10"/>
      <c r="ELM69" s="10"/>
      <c r="ELN69" s="10"/>
      <c r="ELO69" s="10"/>
      <c r="ELP69" s="10"/>
      <c r="ELQ69" s="10"/>
      <c r="ELR69" s="10"/>
      <c r="ELS69" s="10"/>
      <c r="ELT69" s="10"/>
      <c r="ELU69" s="10"/>
      <c r="ELV69" s="10"/>
      <c r="ELW69" s="10"/>
      <c r="ELX69" s="10"/>
      <c r="ELY69" s="10"/>
      <c r="ELZ69" s="10"/>
      <c r="EMA69" s="10"/>
      <c r="EMB69" s="10"/>
      <c r="EMC69" s="10"/>
      <c r="EMD69" s="10"/>
      <c r="EME69" s="10"/>
      <c r="EMF69" s="10"/>
      <c r="EMG69" s="10"/>
      <c r="EMH69" s="10"/>
      <c r="EMI69" s="10"/>
      <c r="EMJ69" s="10"/>
      <c r="EMK69" s="10"/>
      <c r="EML69" s="10"/>
      <c r="EMM69" s="10"/>
      <c r="EMN69" s="10"/>
      <c r="EMO69" s="10"/>
      <c r="EMP69" s="10"/>
      <c r="EMQ69" s="10"/>
      <c r="EMR69" s="10"/>
      <c r="EMS69" s="10"/>
      <c r="EMT69" s="10"/>
      <c r="EMU69" s="10"/>
      <c r="EMV69" s="10"/>
      <c r="EMW69" s="10"/>
      <c r="EMX69" s="10"/>
      <c r="EMY69" s="10"/>
      <c r="EMZ69" s="10"/>
      <c r="ENA69" s="10"/>
      <c r="ENB69" s="10"/>
      <c r="ENC69" s="10"/>
      <c r="END69" s="10"/>
      <c r="ENE69" s="10"/>
      <c r="ENF69" s="10"/>
      <c r="ENG69" s="10"/>
      <c r="ENH69" s="10"/>
      <c r="ENI69" s="10"/>
      <c r="ENJ69" s="10"/>
      <c r="ENK69" s="10"/>
      <c r="ENL69" s="10"/>
      <c r="ENM69" s="10"/>
      <c r="ENN69" s="10"/>
      <c r="ENO69" s="10"/>
      <c r="ENP69" s="10"/>
      <c r="ENQ69" s="10"/>
      <c r="ENR69" s="10"/>
      <c r="ENS69" s="10"/>
      <c r="ENT69" s="10"/>
      <c r="ENU69" s="10"/>
      <c r="ENV69" s="10"/>
      <c r="ENW69" s="10"/>
      <c r="ENX69" s="10"/>
      <c r="ENY69" s="10"/>
      <c r="ENZ69" s="10"/>
      <c r="EOA69" s="10"/>
      <c r="EOB69" s="10"/>
      <c r="EOC69" s="10"/>
      <c r="EOD69" s="10"/>
      <c r="EOE69" s="10"/>
      <c r="EOF69" s="10"/>
      <c r="EOG69" s="10"/>
      <c r="EOH69" s="10"/>
      <c r="EOI69" s="10"/>
      <c r="EOJ69" s="10"/>
      <c r="EOK69" s="10"/>
      <c r="EOL69" s="10"/>
      <c r="EOM69" s="10"/>
      <c r="EON69" s="10"/>
      <c r="EOO69" s="10"/>
      <c r="EOP69" s="10"/>
      <c r="EOQ69" s="10"/>
      <c r="EOR69" s="10"/>
      <c r="EOS69" s="10"/>
      <c r="EOT69" s="10"/>
      <c r="EOU69" s="10"/>
      <c r="EOV69" s="10"/>
      <c r="EOW69" s="10"/>
      <c r="EOX69" s="10"/>
      <c r="EOY69" s="10"/>
      <c r="EOZ69" s="10"/>
      <c r="EPA69" s="10"/>
      <c r="EPB69" s="10"/>
      <c r="EPC69" s="10"/>
      <c r="EPD69" s="10"/>
      <c r="EPE69" s="10"/>
      <c r="EPF69" s="10"/>
      <c r="EPG69" s="10"/>
      <c r="EPH69" s="10"/>
      <c r="EPI69" s="10"/>
      <c r="EPJ69" s="10"/>
      <c r="EPK69" s="10"/>
      <c r="EPL69" s="10"/>
      <c r="EPM69" s="10"/>
      <c r="EPN69" s="10"/>
      <c r="EPO69" s="10"/>
      <c r="EPP69" s="10"/>
      <c r="EPQ69" s="10"/>
      <c r="EPR69" s="10"/>
      <c r="EPS69" s="10"/>
      <c r="EPT69" s="10"/>
      <c r="EPU69" s="10"/>
      <c r="EPV69" s="10"/>
      <c r="EPW69" s="10"/>
      <c r="EPX69" s="10"/>
      <c r="EPY69" s="10"/>
      <c r="EPZ69" s="10"/>
      <c r="EQA69" s="10"/>
      <c r="EQB69" s="10"/>
      <c r="EQC69" s="10"/>
      <c r="EQD69" s="10"/>
      <c r="EQE69" s="10"/>
      <c r="EQF69" s="10"/>
      <c r="EQG69" s="10"/>
      <c r="EQH69" s="10"/>
      <c r="EQI69" s="10"/>
      <c r="EQJ69" s="10"/>
      <c r="EQK69" s="10"/>
      <c r="EQL69" s="10"/>
      <c r="EQM69" s="10"/>
      <c r="EQN69" s="10"/>
      <c r="EQO69" s="10"/>
      <c r="EQP69" s="10"/>
      <c r="EQQ69" s="10"/>
      <c r="EQR69" s="10"/>
      <c r="EQS69" s="10"/>
      <c r="EQT69" s="10"/>
      <c r="EQU69" s="10"/>
      <c r="EQV69" s="10"/>
      <c r="EQW69" s="10"/>
      <c r="EQX69" s="10"/>
      <c r="EQY69" s="10"/>
      <c r="EQZ69" s="10"/>
      <c r="ERA69" s="10"/>
      <c r="ERB69" s="10"/>
      <c r="ERC69" s="10"/>
      <c r="ERD69" s="10"/>
      <c r="ERE69" s="10"/>
      <c r="ERF69" s="10"/>
      <c r="ERG69" s="10"/>
      <c r="ERH69" s="10"/>
      <c r="ERI69" s="10"/>
      <c r="ERJ69" s="10"/>
      <c r="ERK69" s="10"/>
      <c r="ERL69" s="10"/>
      <c r="ERM69" s="10"/>
      <c r="ERN69" s="10"/>
      <c r="ERO69" s="10"/>
      <c r="ERP69" s="10"/>
      <c r="ERQ69" s="10"/>
      <c r="ERR69" s="10"/>
      <c r="ERS69" s="10"/>
      <c r="ERT69" s="10"/>
      <c r="ERU69" s="10"/>
      <c r="ERV69" s="10"/>
      <c r="ERW69" s="10"/>
      <c r="ERX69" s="10"/>
      <c r="ERY69" s="10"/>
      <c r="ERZ69" s="10"/>
      <c r="ESA69" s="10"/>
      <c r="ESB69" s="10"/>
      <c r="ESC69" s="10"/>
      <c r="ESD69" s="10"/>
      <c r="ESE69" s="10"/>
      <c r="ESF69" s="10"/>
      <c r="ESG69" s="10"/>
      <c r="ESH69" s="10"/>
      <c r="ESI69" s="10"/>
      <c r="ESJ69" s="10"/>
      <c r="ESK69" s="10"/>
      <c r="ESL69" s="10"/>
      <c r="ESM69" s="10"/>
      <c r="ESN69" s="10"/>
      <c r="ESO69" s="10"/>
      <c r="ESP69" s="10"/>
      <c r="ESQ69" s="10"/>
      <c r="ESR69" s="10"/>
      <c r="ESS69" s="10"/>
      <c r="EST69" s="10"/>
      <c r="ESU69" s="10"/>
      <c r="ESV69" s="10"/>
      <c r="ESW69" s="10"/>
      <c r="ESX69" s="10"/>
      <c r="ESY69" s="10"/>
      <c r="ESZ69" s="10"/>
      <c r="ETA69" s="10"/>
      <c r="ETB69" s="10"/>
      <c r="ETC69" s="10"/>
      <c r="ETD69" s="10"/>
      <c r="ETE69" s="10"/>
      <c r="ETF69" s="10"/>
      <c r="ETG69" s="10"/>
      <c r="ETH69" s="10"/>
      <c r="ETI69" s="10"/>
      <c r="ETJ69" s="10"/>
      <c r="ETK69" s="10"/>
      <c r="ETL69" s="10"/>
      <c r="ETM69" s="10"/>
      <c r="ETN69" s="10"/>
      <c r="ETO69" s="10"/>
      <c r="ETP69" s="10"/>
      <c r="ETQ69" s="10"/>
      <c r="ETR69" s="10"/>
      <c r="ETS69" s="10"/>
      <c r="ETT69" s="10"/>
      <c r="ETU69" s="10"/>
      <c r="ETV69" s="10"/>
      <c r="ETW69" s="10"/>
      <c r="ETX69" s="10"/>
      <c r="ETY69" s="10"/>
      <c r="ETZ69" s="10"/>
      <c r="EUA69" s="10"/>
      <c r="EUB69" s="10"/>
      <c r="EUC69" s="10"/>
      <c r="EUD69" s="10"/>
      <c r="EUE69" s="10"/>
      <c r="EUF69" s="10"/>
      <c r="EUG69" s="10"/>
      <c r="EUH69" s="10"/>
      <c r="EUI69" s="10"/>
      <c r="EUJ69" s="10"/>
      <c r="EUK69" s="10"/>
      <c r="EUL69" s="10"/>
      <c r="EUM69" s="10"/>
      <c r="EUN69" s="10"/>
      <c r="EUO69" s="10"/>
      <c r="EUP69" s="10"/>
      <c r="EUQ69" s="10"/>
      <c r="EUR69" s="10"/>
      <c r="EUS69" s="10"/>
      <c r="EUT69" s="10"/>
      <c r="EUU69" s="10"/>
      <c r="EUV69" s="10"/>
      <c r="EUW69" s="10"/>
      <c r="EUX69" s="10"/>
      <c r="EUY69" s="10"/>
      <c r="EUZ69" s="10"/>
      <c r="EVA69" s="10"/>
      <c r="EVB69" s="10"/>
      <c r="EVC69" s="10"/>
      <c r="EVD69" s="10"/>
      <c r="EVE69" s="10"/>
      <c r="EVF69" s="10"/>
      <c r="EVG69" s="10"/>
      <c r="EVH69" s="10"/>
      <c r="EVI69" s="10"/>
      <c r="EVJ69" s="10"/>
      <c r="EVK69" s="10"/>
      <c r="EVL69" s="10"/>
      <c r="EVM69" s="10"/>
      <c r="EVN69" s="10"/>
      <c r="EVO69" s="10"/>
      <c r="EVP69" s="10"/>
      <c r="EVQ69" s="10"/>
      <c r="EVR69" s="10"/>
      <c r="EVS69" s="10"/>
      <c r="EVT69" s="10"/>
      <c r="EVU69" s="10"/>
      <c r="EVV69" s="10"/>
      <c r="EVW69" s="10"/>
      <c r="EVX69" s="10"/>
      <c r="EVY69" s="10"/>
      <c r="EVZ69" s="10"/>
      <c r="EWA69" s="10"/>
      <c r="EWB69" s="10"/>
      <c r="EWC69" s="10"/>
      <c r="EWD69" s="10"/>
      <c r="EWE69" s="10"/>
      <c r="EWF69" s="10"/>
      <c r="EWG69" s="10"/>
      <c r="EWH69" s="10"/>
      <c r="EWI69" s="10"/>
      <c r="EWJ69" s="10"/>
      <c r="EWK69" s="10"/>
      <c r="EWL69" s="10"/>
      <c r="EWM69" s="10"/>
      <c r="EWN69" s="10"/>
      <c r="EWO69" s="10"/>
      <c r="EWP69" s="10"/>
      <c r="EWQ69" s="10"/>
      <c r="EWR69" s="10"/>
      <c r="EWS69" s="10"/>
      <c r="EWT69" s="10"/>
      <c r="EWU69" s="10"/>
      <c r="EWV69" s="10"/>
      <c r="EWW69" s="10"/>
      <c r="EWX69" s="10"/>
      <c r="EWY69" s="10"/>
      <c r="EWZ69" s="10"/>
      <c r="EXA69" s="10"/>
      <c r="EXB69" s="10"/>
      <c r="EXC69" s="10"/>
      <c r="EXD69" s="10"/>
      <c r="EXE69" s="10"/>
      <c r="EXF69" s="10"/>
      <c r="EXG69" s="10"/>
      <c r="EXH69" s="10"/>
      <c r="EXI69" s="10"/>
      <c r="EXJ69" s="10"/>
      <c r="EXK69" s="10"/>
      <c r="EXL69" s="10"/>
      <c r="EXM69" s="10"/>
      <c r="EXN69" s="10"/>
      <c r="EXO69" s="10"/>
      <c r="EXP69" s="10"/>
      <c r="EXQ69" s="10"/>
      <c r="EXR69" s="10"/>
      <c r="EXS69" s="10"/>
      <c r="EXT69" s="10"/>
      <c r="EXU69" s="10"/>
      <c r="EXV69" s="10"/>
      <c r="EXW69" s="10"/>
      <c r="EXX69" s="10"/>
      <c r="EXY69" s="10"/>
      <c r="EXZ69" s="10"/>
      <c r="EYA69" s="10"/>
      <c r="EYB69" s="10"/>
      <c r="EYC69" s="10"/>
      <c r="EYD69" s="10"/>
      <c r="EYE69" s="10"/>
      <c r="EYF69" s="10"/>
      <c r="EYG69" s="10"/>
      <c r="EYH69" s="10"/>
      <c r="EYI69" s="10"/>
      <c r="EYJ69" s="10"/>
      <c r="EYK69" s="10"/>
      <c r="EYL69" s="10"/>
      <c r="EYM69" s="10"/>
      <c r="EYN69" s="10"/>
      <c r="EYO69" s="10"/>
      <c r="EYP69" s="10"/>
      <c r="EYQ69" s="10"/>
      <c r="EYR69" s="10"/>
      <c r="EYS69" s="10"/>
      <c r="EYT69" s="10"/>
      <c r="EYU69" s="10"/>
      <c r="EYV69" s="10"/>
      <c r="EYW69" s="10"/>
      <c r="EYX69" s="10"/>
      <c r="EYY69" s="10"/>
      <c r="EYZ69" s="10"/>
      <c r="EZA69" s="10"/>
      <c r="EZB69" s="10"/>
      <c r="EZC69" s="10"/>
      <c r="EZD69" s="10"/>
      <c r="EZE69" s="10"/>
      <c r="EZF69" s="10"/>
      <c r="EZG69" s="10"/>
      <c r="EZH69" s="10"/>
      <c r="EZI69" s="10"/>
      <c r="EZJ69" s="10"/>
      <c r="EZK69" s="10"/>
      <c r="EZL69" s="10"/>
      <c r="EZM69" s="10"/>
      <c r="EZN69" s="10"/>
      <c r="EZO69" s="10"/>
      <c r="EZP69" s="10"/>
      <c r="EZQ69" s="10"/>
      <c r="EZR69" s="10"/>
      <c r="EZS69" s="10"/>
      <c r="EZT69" s="10"/>
      <c r="EZU69" s="10"/>
      <c r="EZV69" s="10"/>
      <c r="EZW69" s="10"/>
      <c r="EZX69" s="10"/>
      <c r="EZY69" s="10"/>
      <c r="EZZ69" s="10"/>
      <c r="FAA69" s="10"/>
      <c r="FAB69" s="10"/>
      <c r="FAC69" s="10"/>
      <c r="FAD69" s="10"/>
      <c r="FAE69" s="10"/>
      <c r="FAF69" s="10"/>
      <c r="FAG69" s="10"/>
      <c r="FAH69" s="10"/>
      <c r="FAI69" s="10"/>
      <c r="FAJ69" s="10"/>
      <c r="FAK69" s="10"/>
      <c r="FAL69" s="10"/>
      <c r="FAM69" s="10"/>
      <c r="FAN69" s="10"/>
      <c r="FAO69" s="10"/>
      <c r="FAP69" s="10"/>
      <c r="FAQ69" s="10"/>
      <c r="FAR69" s="10"/>
      <c r="FAS69" s="10"/>
      <c r="FAT69" s="10"/>
      <c r="FAU69" s="10"/>
      <c r="FAV69" s="10"/>
      <c r="FAW69" s="10"/>
      <c r="FAX69" s="10"/>
      <c r="FAY69" s="10"/>
      <c r="FAZ69" s="10"/>
      <c r="FBA69" s="10"/>
      <c r="FBB69" s="10"/>
      <c r="FBC69" s="10"/>
      <c r="FBD69" s="10"/>
      <c r="FBE69" s="10"/>
      <c r="FBF69" s="10"/>
      <c r="FBG69" s="10"/>
      <c r="FBH69" s="10"/>
      <c r="FBI69" s="10"/>
      <c r="FBJ69" s="10"/>
      <c r="FBK69" s="10"/>
      <c r="FBL69" s="10"/>
      <c r="FBM69" s="10"/>
      <c r="FBN69" s="10"/>
      <c r="FBO69" s="10"/>
      <c r="FBP69" s="10"/>
      <c r="FBQ69" s="10"/>
      <c r="FBR69" s="10"/>
      <c r="FBS69" s="10"/>
      <c r="FBT69" s="10"/>
      <c r="FBU69" s="10"/>
      <c r="FBV69" s="10"/>
      <c r="FBW69" s="10"/>
      <c r="FBX69" s="10"/>
      <c r="FBY69" s="10"/>
      <c r="FBZ69" s="10"/>
      <c r="FCA69" s="10"/>
      <c r="FCB69" s="10"/>
      <c r="FCC69" s="10"/>
      <c r="FCD69" s="10"/>
      <c r="FCE69" s="10"/>
      <c r="FCF69" s="10"/>
      <c r="FCG69" s="10"/>
      <c r="FCH69" s="10"/>
      <c r="FCI69" s="10"/>
      <c r="FCJ69" s="10"/>
      <c r="FCK69" s="10"/>
      <c r="FCL69" s="10"/>
      <c r="FCM69" s="10"/>
      <c r="FCN69" s="10"/>
      <c r="FCO69" s="10"/>
      <c r="FCP69" s="10"/>
      <c r="FCQ69" s="10"/>
      <c r="FCR69" s="10"/>
      <c r="FCS69" s="10"/>
      <c r="FCT69" s="10"/>
      <c r="FCU69" s="10"/>
      <c r="FCV69" s="10"/>
      <c r="FCW69" s="10"/>
      <c r="FCX69" s="10"/>
      <c r="FCY69" s="10"/>
      <c r="FCZ69" s="10"/>
      <c r="FDA69" s="10"/>
      <c r="FDB69" s="10"/>
      <c r="FDC69" s="10"/>
      <c r="FDD69" s="10"/>
      <c r="FDE69" s="10"/>
      <c r="FDF69" s="10"/>
      <c r="FDG69" s="10"/>
      <c r="FDH69" s="10"/>
      <c r="FDI69" s="10"/>
      <c r="FDJ69" s="10"/>
      <c r="FDK69" s="10"/>
      <c r="FDL69" s="10"/>
      <c r="FDM69" s="10"/>
      <c r="FDN69" s="10"/>
      <c r="FDO69" s="10"/>
      <c r="FDP69" s="10"/>
      <c r="FDQ69" s="10"/>
      <c r="FDR69" s="10"/>
      <c r="FDS69" s="10"/>
      <c r="FDT69" s="10"/>
      <c r="FDU69" s="10"/>
      <c r="FDV69" s="10"/>
      <c r="FDW69" s="10"/>
      <c r="FDX69" s="10"/>
      <c r="FDY69" s="10"/>
      <c r="FDZ69" s="10"/>
      <c r="FEA69" s="10"/>
      <c r="FEB69" s="10"/>
      <c r="FEC69" s="10"/>
      <c r="FED69" s="10"/>
      <c r="FEE69" s="10"/>
      <c r="FEF69" s="10"/>
      <c r="FEG69" s="10"/>
      <c r="FEH69" s="10"/>
      <c r="FEI69" s="10"/>
      <c r="FEJ69" s="10"/>
      <c r="FEK69" s="10"/>
      <c r="FEL69" s="10"/>
      <c r="FEM69" s="10"/>
      <c r="FEN69" s="10"/>
      <c r="FEO69" s="10"/>
      <c r="FEP69" s="10"/>
      <c r="FEQ69" s="10"/>
      <c r="FER69" s="10"/>
      <c r="FES69" s="10"/>
      <c r="FET69" s="10"/>
      <c r="FEU69" s="10"/>
      <c r="FEV69" s="10"/>
      <c r="FEW69" s="10"/>
      <c r="FEX69" s="10"/>
      <c r="FEY69" s="10"/>
      <c r="FEZ69" s="10"/>
      <c r="FFA69" s="10"/>
      <c r="FFB69" s="10"/>
      <c r="FFC69" s="10"/>
      <c r="FFD69" s="10"/>
      <c r="FFE69" s="10"/>
      <c r="FFF69" s="10"/>
      <c r="FFG69" s="10"/>
      <c r="FFH69" s="10"/>
      <c r="FFI69" s="10"/>
      <c r="FFJ69" s="10"/>
      <c r="FFK69" s="10"/>
      <c r="FFL69" s="10"/>
      <c r="FFM69" s="10"/>
      <c r="FFN69" s="10"/>
      <c r="FFO69" s="10"/>
      <c r="FFP69" s="10"/>
      <c r="FFQ69" s="10"/>
      <c r="FFR69" s="10"/>
      <c r="FFS69" s="10"/>
      <c r="FFT69" s="10"/>
      <c r="FFU69" s="10"/>
      <c r="FFV69" s="10"/>
      <c r="FFW69" s="10"/>
      <c r="FFX69" s="10"/>
      <c r="FFY69" s="10"/>
      <c r="FFZ69" s="10"/>
      <c r="FGA69" s="10"/>
      <c r="FGB69" s="10"/>
      <c r="FGC69" s="10"/>
      <c r="FGD69" s="10"/>
      <c r="FGE69" s="10"/>
      <c r="FGF69" s="10"/>
      <c r="FGG69" s="10"/>
      <c r="FGH69" s="10"/>
      <c r="FGI69" s="10"/>
      <c r="FGJ69" s="10"/>
      <c r="FGK69" s="10"/>
      <c r="FGL69" s="10"/>
      <c r="FGM69" s="10"/>
      <c r="FGN69" s="10"/>
      <c r="FGO69" s="10"/>
      <c r="FGP69" s="10"/>
      <c r="FGQ69" s="10"/>
      <c r="FGR69" s="10"/>
      <c r="FGS69" s="10"/>
      <c r="FGT69" s="10"/>
      <c r="FGU69" s="10"/>
      <c r="FGV69" s="10"/>
      <c r="FGW69" s="10"/>
      <c r="FGX69" s="10"/>
      <c r="FGY69" s="10"/>
      <c r="FGZ69" s="10"/>
      <c r="FHA69" s="10"/>
      <c r="FHB69" s="10"/>
      <c r="FHC69" s="10"/>
      <c r="FHD69" s="10"/>
      <c r="FHE69" s="10"/>
      <c r="FHF69" s="10"/>
      <c r="FHG69" s="10"/>
      <c r="FHH69" s="10"/>
      <c r="FHI69" s="10"/>
      <c r="FHJ69" s="10"/>
      <c r="FHK69" s="10"/>
      <c r="FHL69" s="10"/>
      <c r="FHM69" s="10"/>
      <c r="FHN69" s="10"/>
      <c r="FHO69" s="10"/>
      <c r="FHP69" s="10"/>
      <c r="FHQ69" s="10"/>
      <c r="FHR69" s="10"/>
      <c r="FHS69" s="10"/>
      <c r="FHT69" s="10"/>
      <c r="FHU69" s="10"/>
      <c r="FHV69" s="10"/>
      <c r="FHW69" s="10"/>
      <c r="FHX69" s="10"/>
      <c r="FHY69" s="10"/>
      <c r="FHZ69" s="10"/>
      <c r="FIA69" s="10"/>
      <c r="FIB69" s="10"/>
      <c r="FIC69" s="10"/>
      <c r="FID69" s="10"/>
      <c r="FIE69" s="10"/>
      <c r="FIF69" s="10"/>
      <c r="FIG69" s="10"/>
      <c r="FIH69" s="10"/>
      <c r="FII69" s="10"/>
      <c r="FIJ69" s="10"/>
      <c r="FIK69" s="10"/>
      <c r="FIL69" s="10"/>
      <c r="FIM69" s="10"/>
      <c r="FIN69" s="10"/>
      <c r="FIO69" s="10"/>
      <c r="FIP69" s="10"/>
      <c r="FIQ69" s="10"/>
      <c r="FIR69" s="10"/>
      <c r="FIS69" s="10"/>
      <c r="FIT69" s="10"/>
      <c r="FIU69" s="10"/>
      <c r="FIV69" s="10"/>
      <c r="FIW69" s="10"/>
      <c r="FIX69" s="10"/>
      <c r="FIY69" s="10"/>
      <c r="FIZ69" s="10"/>
      <c r="FJA69" s="10"/>
      <c r="FJB69" s="10"/>
      <c r="FJC69" s="10"/>
      <c r="FJD69" s="10"/>
      <c r="FJE69" s="10"/>
      <c r="FJF69" s="10"/>
      <c r="FJG69" s="10"/>
      <c r="FJH69" s="10"/>
      <c r="FJI69" s="10"/>
      <c r="FJJ69" s="10"/>
      <c r="FJK69" s="10"/>
      <c r="FJL69" s="10"/>
      <c r="FJM69" s="10"/>
      <c r="FJN69" s="10"/>
      <c r="FJO69" s="10"/>
      <c r="FJP69" s="10"/>
      <c r="FJQ69" s="10"/>
      <c r="FJR69" s="10"/>
      <c r="FJS69" s="10"/>
      <c r="FJT69" s="10"/>
      <c r="FJU69" s="10"/>
      <c r="FJV69" s="10"/>
      <c r="FJW69" s="10"/>
      <c r="FJX69" s="10"/>
      <c r="FJY69" s="10"/>
      <c r="FJZ69" s="10"/>
      <c r="FKA69" s="10"/>
      <c r="FKB69" s="10"/>
      <c r="FKC69" s="10"/>
      <c r="FKD69" s="10"/>
      <c r="FKE69" s="10"/>
      <c r="FKF69" s="10"/>
      <c r="FKG69" s="10"/>
      <c r="FKH69" s="10"/>
      <c r="FKI69" s="10"/>
      <c r="FKJ69" s="10"/>
      <c r="FKK69" s="10"/>
      <c r="FKL69" s="10"/>
      <c r="FKM69" s="10"/>
      <c r="FKN69" s="10"/>
      <c r="FKO69" s="10"/>
      <c r="FKP69" s="10"/>
      <c r="FKQ69" s="10"/>
      <c r="FKR69" s="10"/>
      <c r="FKS69" s="10"/>
      <c r="FKT69" s="10"/>
      <c r="FKU69" s="10"/>
      <c r="FKV69" s="10"/>
      <c r="FKW69" s="10"/>
      <c r="FKX69" s="10"/>
      <c r="FKY69" s="10"/>
      <c r="FKZ69" s="10"/>
      <c r="FLA69" s="10"/>
      <c r="FLB69" s="10"/>
      <c r="FLC69" s="10"/>
      <c r="FLD69" s="10"/>
      <c r="FLE69" s="10"/>
      <c r="FLF69" s="10"/>
      <c r="FLG69" s="10"/>
      <c r="FLH69" s="10"/>
      <c r="FLI69" s="10"/>
      <c r="FLJ69" s="10"/>
      <c r="FLK69" s="10"/>
      <c r="FLL69" s="10"/>
      <c r="FLM69" s="10"/>
      <c r="FLN69" s="10"/>
      <c r="FLO69" s="10"/>
      <c r="FLP69" s="10"/>
      <c r="FLQ69" s="10"/>
      <c r="FLR69" s="10"/>
      <c r="FLS69" s="10"/>
      <c r="FLT69" s="10"/>
      <c r="FLU69" s="10"/>
      <c r="FLV69" s="10"/>
      <c r="FLW69" s="10"/>
      <c r="FLX69" s="10"/>
      <c r="FLY69" s="10"/>
      <c r="FLZ69" s="10"/>
      <c r="FMA69" s="10"/>
      <c r="FMB69" s="10"/>
      <c r="FMC69" s="10"/>
      <c r="FMD69" s="10"/>
      <c r="FME69" s="10"/>
      <c r="FMF69" s="10"/>
      <c r="FMG69" s="10"/>
      <c r="FMH69" s="10"/>
      <c r="FMI69" s="10"/>
      <c r="FMJ69" s="10"/>
      <c r="FMK69" s="10"/>
      <c r="FML69" s="10"/>
      <c r="FMM69" s="10"/>
      <c r="FMN69" s="10"/>
      <c r="FMO69" s="10"/>
      <c r="FMP69" s="10"/>
      <c r="FMQ69" s="10"/>
      <c r="FMR69" s="10"/>
      <c r="FMS69" s="10"/>
      <c r="FMT69" s="10"/>
      <c r="FMU69" s="10"/>
      <c r="FMV69" s="10"/>
      <c r="FMW69" s="10"/>
      <c r="FMX69" s="10"/>
      <c r="FMY69" s="10"/>
      <c r="FMZ69" s="10"/>
      <c r="FNA69" s="10"/>
      <c r="FNB69" s="10"/>
      <c r="FNC69" s="10"/>
      <c r="FND69" s="10"/>
      <c r="FNE69" s="10"/>
      <c r="FNF69" s="10"/>
      <c r="FNG69" s="10"/>
      <c r="FNH69" s="10"/>
      <c r="FNI69" s="10"/>
      <c r="FNJ69" s="10"/>
      <c r="FNK69" s="10"/>
      <c r="FNL69" s="10"/>
      <c r="FNM69" s="10"/>
      <c r="FNN69" s="10"/>
      <c r="FNO69" s="10"/>
      <c r="FNP69" s="10"/>
      <c r="FNQ69" s="10"/>
      <c r="FNR69" s="10"/>
      <c r="FNS69" s="10"/>
      <c r="FNT69" s="10"/>
      <c r="FNU69" s="10"/>
      <c r="FNV69" s="10"/>
      <c r="FNW69" s="10"/>
      <c r="FNX69" s="10"/>
      <c r="FNY69" s="10"/>
      <c r="FNZ69" s="10"/>
      <c r="FOA69" s="10"/>
      <c r="FOB69" s="10"/>
      <c r="FOC69" s="10"/>
      <c r="FOD69" s="10"/>
      <c r="FOE69" s="10"/>
      <c r="FOF69" s="10"/>
      <c r="FOG69" s="10"/>
      <c r="FOH69" s="10"/>
      <c r="FOI69" s="10"/>
      <c r="FOJ69" s="10"/>
      <c r="FOK69" s="10"/>
      <c r="FOL69" s="10"/>
      <c r="FOM69" s="10"/>
      <c r="FON69" s="10"/>
      <c r="FOO69" s="10"/>
      <c r="FOP69" s="10"/>
      <c r="FOQ69" s="10"/>
      <c r="FOR69" s="10"/>
      <c r="FOS69" s="10"/>
      <c r="FOT69" s="10"/>
      <c r="FOU69" s="10"/>
      <c r="FOV69" s="10"/>
      <c r="FOW69" s="10"/>
      <c r="FOX69" s="10"/>
      <c r="FOY69" s="10"/>
      <c r="FOZ69" s="10"/>
      <c r="FPA69" s="10"/>
      <c r="FPB69" s="10"/>
      <c r="FPC69" s="10"/>
      <c r="FPD69" s="10"/>
      <c r="FPE69" s="10"/>
      <c r="FPF69" s="10"/>
      <c r="FPG69" s="10"/>
      <c r="FPH69" s="10"/>
      <c r="FPI69" s="10"/>
      <c r="FPJ69" s="10"/>
      <c r="FPK69" s="10"/>
      <c r="FPL69" s="10"/>
      <c r="FPM69" s="10"/>
      <c r="FPN69" s="10"/>
      <c r="FPO69" s="10"/>
      <c r="FPP69" s="10"/>
      <c r="FPQ69" s="10"/>
      <c r="FPR69" s="10"/>
      <c r="FPS69" s="10"/>
      <c r="FPT69" s="10"/>
      <c r="FPU69" s="10"/>
      <c r="FPV69" s="10"/>
      <c r="FPW69" s="10"/>
      <c r="FPX69" s="10"/>
      <c r="FPY69" s="10"/>
      <c r="FPZ69" s="10"/>
      <c r="FQA69" s="10"/>
      <c r="FQB69" s="10"/>
      <c r="FQC69" s="10"/>
      <c r="FQD69" s="10"/>
      <c r="FQE69" s="10"/>
      <c r="FQF69" s="10"/>
      <c r="FQG69" s="10"/>
      <c r="FQH69" s="10"/>
      <c r="FQI69" s="10"/>
      <c r="FQJ69" s="10"/>
      <c r="FQK69" s="10"/>
      <c r="FQL69" s="10"/>
      <c r="FQM69" s="10"/>
      <c r="FQN69" s="10"/>
      <c r="FQO69" s="10"/>
      <c r="FQP69" s="10"/>
      <c r="FQQ69" s="10"/>
      <c r="FQR69" s="10"/>
      <c r="FQS69" s="10"/>
      <c r="FQT69" s="10"/>
      <c r="FQU69" s="10"/>
      <c r="FQV69" s="10"/>
      <c r="FQW69" s="10"/>
      <c r="FQX69" s="10"/>
      <c r="FQY69" s="10"/>
      <c r="FQZ69" s="10"/>
      <c r="FRA69" s="10"/>
      <c r="FRB69" s="10"/>
      <c r="FRC69" s="10"/>
      <c r="FRD69" s="10"/>
      <c r="FRE69" s="10"/>
      <c r="FRF69" s="10"/>
      <c r="FRG69" s="10"/>
      <c r="FRH69" s="10"/>
      <c r="FRI69" s="10"/>
      <c r="FRJ69" s="10"/>
      <c r="FRK69" s="10"/>
      <c r="FRL69" s="10"/>
      <c r="FRM69" s="10"/>
      <c r="FRN69" s="10"/>
      <c r="FRO69" s="10"/>
      <c r="FRP69" s="10"/>
      <c r="FRQ69" s="10"/>
      <c r="FRR69" s="10"/>
      <c r="FRS69" s="10"/>
      <c r="FRT69" s="10"/>
      <c r="FRU69" s="10"/>
      <c r="FRV69" s="10"/>
      <c r="FRW69" s="10"/>
      <c r="FRX69" s="10"/>
      <c r="FRY69" s="10"/>
      <c r="FRZ69" s="10"/>
      <c r="FSA69" s="10"/>
      <c r="FSB69" s="10"/>
      <c r="FSC69" s="10"/>
      <c r="FSD69" s="10"/>
      <c r="FSE69" s="10"/>
      <c r="FSF69" s="10"/>
      <c r="FSG69" s="10"/>
      <c r="FSH69" s="10"/>
      <c r="FSI69" s="10"/>
      <c r="FSJ69" s="10"/>
      <c r="FSK69" s="10"/>
      <c r="FSL69" s="10"/>
      <c r="FSM69" s="10"/>
      <c r="FSN69" s="10"/>
      <c r="FSO69" s="10"/>
      <c r="FSP69" s="10"/>
      <c r="FSQ69" s="10"/>
      <c r="FSR69" s="10"/>
      <c r="FSS69" s="10"/>
      <c r="FST69" s="10"/>
      <c r="FSU69" s="10"/>
      <c r="FSV69" s="10"/>
      <c r="FSW69" s="10"/>
      <c r="FSX69" s="10"/>
      <c r="FSY69" s="10"/>
      <c r="FSZ69" s="10"/>
      <c r="FTA69" s="10"/>
      <c r="FTB69" s="10"/>
      <c r="FTC69" s="10"/>
      <c r="FTD69" s="10"/>
      <c r="FTE69" s="10"/>
      <c r="FTF69" s="10"/>
      <c r="FTG69" s="10"/>
      <c r="FTH69" s="10"/>
      <c r="FTI69" s="10"/>
      <c r="FTJ69" s="10"/>
      <c r="FTK69" s="10"/>
      <c r="FTL69" s="10"/>
      <c r="FTM69" s="10"/>
      <c r="FTN69" s="10"/>
      <c r="FTO69" s="10"/>
      <c r="FTP69" s="10"/>
      <c r="FTQ69" s="10"/>
      <c r="FTR69" s="10"/>
      <c r="FTS69" s="10"/>
      <c r="FTT69" s="10"/>
      <c r="FTU69" s="10"/>
      <c r="FTV69" s="10"/>
      <c r="FTW69" s="10"/>
      <c r="FTX69" s="10"/>
      <c r="FTY69" s="10"/>
      <c r="FTZ69" s="10"/>
      <c r="FUA69" s="10"/>
      <c r="FUB69" s="10"/>
      <c r="FUC69" s="10"/>
      <c r="FUD69" s="10"/>
      <c r="FUE69" s="10"/>
      <c r="FUF69" s="10"/>
      <c r="FUG69" s="10"/>
      <c r="FUH69" s="10"/>
      <c r="FUI69" s="10"/>
      <c r="FUJ69" s="10"/>
      <c r="FUK69" s="10"/>
      <c r="FUL69" s="10"/>
      <c r="FUM69" s="10"/>
      <c r="FUN69" s="10"/>
      <c r="FUO69" s="10"/>
      <c r="FUP69" s="10"/>
      <c r="FUQ69" s="10"/>
      <c r="FUR69" s="10"/>
      <c r="FUS69" s="10"/>
      <c r="FUT69" s="10"/>
      <c r="FUU69" s="10"/>
      <c r="FUV69" s="10"/>
      <c r="FUW69" s="10"/>
      <c r="FUX69" s="10"/>
      <c r="FUY69" s="10"/>
      <c r="FUZ69" s="10"/>
      <c r="FVA69" s="10"/>
      <c r="FVB69" s="10"/>
      <c r="FVC69" s="10"/>
      <c r="FVD69" s="10"/>
      <c r="FVE69" s="10"/>
      <c r="FVF69" s="10"/>
      <c r="FVG69" s="10"/>
      <c r="FVH69" s="10"/>
      <c r="FVI69" s="10"/>
      <c r="FVJ69" s="10"/>
      <c r="FVK69" s="10"/>
      <c r="FVL69" s="10"/>
      <c r="FVM69" s="10"/>
      <c r="FVN69" s="10"/>
      <c r="FVO69" s="10"/>
      <c r="FVP69" s="10"/>
      <c r="FVQ69" s="10"/>
      <c r="FVR69" s="10"/>
      <c r="FVS69" s="10"/>
      <c r="FVT69" s="10"/>
      <c r="FVU69" s="10"/>
      <c r="FVV69" s="10"/>
      <c r="FVW69" s="10"/>
      <c r="FVX69" s="10"/>
      <c r="FVY69" s="10"/>
      <c r="FVZ69" s="10"/>
      <c r="FWA69" s="10"/>
      <c r="FWB69" s="10"/>
      <c r="FWC69" s="10"/>
      <c r="FWD69" s="10"/>
      <c r="FWE69" s="10"/>
      <c r="FWF69" s="10"/>
      <c r="FWG69" s="10"/>
      <c r="FWH69" s="10"/>
      <c r="FWI69" s="10"/>
      <c r="FWJ69" s="10"/>
      <c r="FWK69" s="10"/>
      <c r="FWL69" s="10"/>
      <c r="FWM69" s="10"/>
      <c r="FWN69" s="10"/>
      <c r="FWO69" s="10"/>
      <c r="FWP69" s="10"/>
      <c r="FWQ69" s="10"/>
      <c r="FWR69" s="10"/>
      <c r="FWS69" s="10"/>
      <c r="FWT69" s="10"/>
      <c r="FWU69" s="10"/>
      <c r="FWV69" s="10"/>
      <c r="FWW69" s="10"/>
      <c r="FWX69" s="10"/>
      <c r="FWY69" s="10"/>
      <c r="FWZ69" s="10"/>
      <c r="FXA69" s="10"/>
      <c r="FXB69" s="10"/>
      <c r="FXC69" s="10"/>
      <c r="FXD69" s="10"/>
      <c r="FXE69" s="10"/>
      <c r="FXF69" s="10"/>
      <c r="FXG69" s="10"/>
      <c r="FXH69" s="10"/>
      <c r="FXI69" s="10"/>
      <c r="FXJ69" s="10"/>
      <c r="FXK69" s="10"/>
      <c r="FXL69" s="10"/>
      <c r="FXM69" s="10"/>
      <c r="FXN69" s="10"/>
      <c r="FXO69" s="10"/>
      <c r="FXP69" s="10"/>
      <c r="FXQ69" s="10"/>
      <c r="FXR69" s="10"/>
      <c r="FXS69" s="10"/>
      <c r="FXT69" s="10"/>
      <c r="FXU69" s="10"/>
      <c r="FXV69" s="10"/>
      <c r="FXW69" s="10"/>
      <c r="FXX69" s="10"/>
      <c r="FXY69" s="10"/>
      <c r="FXZ69" s="10"/>
      <c r="FYA69" s="10"/>
      <c r="FYB69" s="10"/>
      <c r="FYC69" s="10"/>
      <c r="FYD69" s="10"/>
      <c r="FYE69" s="10"/>
      <c r="FYF69" s="10"/>
      <c r="FYG69" s="10"/>
      <c r="FYH69" s="10"/>
      <c r="FYI69" s="10"/>
      <c r="FYJ69" s="10"/>
      <c r="FYK69" s="10"/>
      <c r="FYL69" s="10"/>
      <c r="FYM69" s="10"/>
      <c r="FYN69" s="10"/>
      <c r="FYO69" s="10"/>
      <c r="FYP69" s="10"/>
      <c r="FYQ69" s="10"/>
      <c r="FYR69" s="10"/>
      <c r="FYS69" s="10"/>
      <c r="FYT69" s="10"/>
      <c r="FYU69" s="10"/>
      <c r="FYV69" s="10"/>
      <c r="FYW69" s="10"/>
      <c r="FYX69" s="10"/>
      <c r="FYY69" s="10"/>
      <c r="FYZ69" s="10"/>
      <c r="FZA69" s="10"/>
      <c r="FZB69" s="10"/>
      <c r="FZC69" s="10"/>
      <c r="FZD69" s="10"/>
      <c r="FZE69" s="10"/>
      <c r="FZF69" s="10"/>
      <c r="FZG69" s="10"/>
      <c r="FZH69" s="10"/>
      <c r="FZI69" s="10"/>
      <c r="FZJ69" s="10"/>
      <c r="FZK69" s="10"/>
      <c r="FZL69" s="10"/>
      <c r="FZM69" s="10"/>
      <c r="FZN69" s="10"/>
      <c r="FZO69" s="10"/>
      <c r="FZP69" s="10"/>
      <c r="FZQ69" s="10"/>
      <c r="FZR69" s="10"/>
      <c r="FZS69" s="10"/>
      <c r="FZT69" s="10"/>
      <c r="FZU69" s="10"/>
      <c r="FZV69" s="10"/>
      <c r="FZW69" s="10"/>
      <c r="FZX69" s="10"/>
      <c r="FZY69" s="10"/>
      <c r="FZZ69" s="10"/>
      <c r="GAA69" s="10"/>
      <c r="GAB69" s="10"/>
      <c r="GAC69" s="10"/>
      <c r="GAD69" s="10"/>
      <c r="GAE69" s="10"/>
      <c r="GAF69" s="10"/>
      <c r="GAG69" s="10"/>
      <c r="GAH69" s="10"/>
      <c r="GAI69" s="10"/>
      <c r="GAJ69" s="10"/>
      <c r="GAK69" s="10"/>
      <c r="GAL69" s="10"/>
      <c r="GAM69" s="10"/>
      <c r="GAN69" s="10"/>
      <c r="GAO69" s="10"/>
      <c r="GAP69" s="10"/>
      <c r="GAQ69" s="10"/>
      <c r="GAR69" s="10"/>
      <c r="GAS69" s="10"/>
      <c r="GAT69" s="10"/>
      <c r="GAU69" s="10"/>
      <c r="GAV69" s="10"/>
      <c r="GAW69" s="10"/>
      <c r="GAX69" s="10"/>
      <c r="GAY69" s="10"/>
      <c r="GAZ69" s="10"/>
      <c r="GBA69" s="10"/>
      <c r="GBB69" s="10"/>
      <c r="GBC69" s="10"/>
      <c r="GBD69" s="10"/>
      <c r="GBE69" s="10"/>
      <c r="GBF69" s="10"/>
      <c r="GBG69" s="10"/>
      <c r="GBH69" s="10"/>
      <c r="GBI69" s="10"/>
      <c r="GBJ69" s="10"/>
      <c r="GBK69" s="10"/>
      <c r="GBL69" s="10"/>
      <c r="GBM69" s="10"/>
      <c r="GBN69" s="10"/>
      <c r="GBO69" s="10"/>
      <c r="GBP69" s="10"/>
      <c r="GBQ69" s="10"/>
      <c r="GBR69" s="10"/>
      <c r="GBS69" s="10"/>
      <c r="GBT69" s="10"/>
      <c r="GBU69" s="10"/>
      <c r="GBV69" s="10"/>
      <c r="GBW69" s="10"/>
      <c r="GBX69" s="10"/>
      <c r="GBY69" s="10"/>
      <c r="GBZ69" s="10"/>
      <c r="GCA69" s="10"/>
      <c r="GCB69" s="10"/>
      <c r="GCC69" s="10"/>
      <c r="GCD69" s="10"/>
      <c r="GCE69" s="10"/>
      <c r="GCF69" s="10"/>
      <c r="GCG69" s="10"/>
      <c r="GCH69" s="10"/>
      <c r="GCI69" s="10"/>
      <c r="GCJ69" s="10"/>
      <c r="GCK69" s="10"/>
      <c r="GCL69" s="10"/>
      <c r="GCM69" s="10"/>
      <c r="GCN69" s="10"/>
      <c r="GCO69" s="10"/>
      <c r="GCP69" s="10"/>
      <c r="GCQ69" s="10"/>
      <c r="GCR69" s="10"/>
      <c r="GCS69" s="10"/>
      <c r="GCT69" s="10"/>
      <c r="GCU69" s="10"/>
      <c r="GCV69" s="10"/>
      <c r="GCW69" s="10"/>
      <c r="GCX69" s="10"/>
      <c r="GCY69" s="10"/>
      <c r="GCZ69" s="10"/>
      <c r="GDA69" s="10"/>
      <c r="GDB69" s="10"/>
      <c r="GDC69" s="10"/>
      <c r="GDD69" s="10"/>
      <c r="GDE69" s="10"/>
      <c r="GDF69" s="10"/>
      <c r="GDG69" s="10"/>
      <c r="GDH69" s="10"/>
      <c r="GDI69" s="10"/>
      <c r="GDJ69" s="10"/>
      <c r="GDK69" s="10"/>
      <c r="GDL69" s="10"/>
      <c r="GDM69" s="10"/>
      <c r="GDN69" s="10"/>
      <c r="GDO69" s="10"/>
      <c r="GDP69" s="10"/>
      <c r="GDQ69" s="10"/>
      <c r="GDR69" s="10"/>
      <c r="GDS69" s="10"/>
      <c r="GDT69" s="10"/>
      <c r="GDU69" s="10"/>
      <c r="GDV69" s="10"/>
      <c r="GDW69" s="10"/>
      <c r="GDX69" s="10"/>
      <c r="GDY69" s="10"/>
      <c r="GDZ69" s="10"/>
      <c r="GEA69" s="10"/>
      <c r="GEB69" s="10"/>
      <c r="GEC69" s="10"/>
      <c r="GED69" s="10"/>
      <c r="GEE69" s="10"/>
      <c r="GEF69" s="10"/>
      <c r="GEG69" s="10"/>
      <c r="GEH69" s="10"/>
      <c r="GEI69" s="10"/>
      <c r="GEJ69" s="10"/>
      <c r="GEK69" s="10"/>
      <c r="GEL69" s="10"/>
      <c r="GEM69" s="10"/>
      <c r="GEN69" s="10"/>
      <c r="GEO69" s="10"/>
      <c r="GEP69" s="10"/>
      <c r="GEQ69" s="10"/>
      <c r="GER69" s="10"/>
      <c r="GES69" s="10"/>
      <c r="GET69" s="10"/>
      <c r="GEU69" s="10"/>
      <c r="GEV69" s="10"/>
      <c r="GEW69" s="10"/>
      <c r="GEX69" s="10"/>
      <c r="GEY69" s="10"/>
      <c r="GEZ69" s="10"/>
      <c r="GFA69" s="10"/>
      <c r="GFB69" s="10"/>
      <c r="GFC69" s="10"/>
      <c r="GFD69" s="10"/>
      <c r="GFE69" s="10"/>
      <c r="GFF69" s="10"/>
      <c r="GFG69" s="10"/>
      <c r="GFH69" s="10"/>
      <c r="GFI69" s="10"/>
      <c r="GFJ69" s="10"/>
      <c r="GFK69" s="10"/>
      <c r="GFL69" s="10"/>
      <c r="GFM69" s="10"/>
      <c r="GFN69" s="10"/>
      <c r="GFO69" s="10"/>
      <c r="GFP69" s="10"/>
      <c r="GFQ69" s="10"/>
      <c r="GFR69" s="10"/>
      <c r="GFS69" s="10"/>
      <c r="GFT69" s="10"/>
      <c r="GFU69" s="10"/>
      <c r="GFV69" s="10"/>
      <c r="GFW69" s="10"/>
      <c r="GFX69" s="10"/>
      <c r="GFY69" s="10"/>
      <c r="GFZ69" s="10"/>
      <c r="GGA69" s="10"/>
      <c r="GGB69" s="10"/>
      <c r="GGC69" s="10"/>
      <c r="GGD69" s="10"/>
      <c r="GGE69" s="10"/>
      <c r="GGF69" s="10"/>
      <c r="GGG69" s="10"/>
      <c r="GGH69" s="10"/>
      <c r="GGI69" s="10"/>
      <c r="GGJ69" s="10"/>
      <c r="GGK69" s="10"/>
      <c r="GGL69" s="10"/>
      <c r="GGM69" s="10"/>
      <c r="GGN69" s="10"/>
      <c r="GGO69" s="10"/>
      <c r="GGP69" s="10"/>
      <c r="GGQ69" s="10"/>
      <c r="GGR69" s="10"/>
      <c r="GGS69" s="10"/>
      <c r="GGT69" s="10"/>
      <c r="GGU69" s="10"/>
      <c r="GGV69" s="10"/>
      <c r="GGW69" s="10"/>
      <c r="GGX69" s="10"/>
      <c r="GGY69" s="10"/>
      <c r="GGZ69" s="10"/>
      <c r="GHA69" s="10"/>
      <c r="GHB69" s="10"/>
      <c r="GHC69" s="10"/>
      <c r="GHD69" s="10"/>
      <c r="GHE69" s="10"/>
      <c r="GHF69" s="10"/>
      <c r="GHG69" s="10"/>
      <c r="GHH69" s="10"/>
      <c r="GHI69" s="10"/>
      <c r="GHJ69" s="10"/>
      <c r="GHK69" s="10"/>
      <c r="GHL69" s="10"/>
      <c r="GHM69" s="10"/>
      <c r="GHN69" s="10"/>
      <c r="GHO69" s="10"/>
      <c r="GHP69" s="10"/>
      <c r="GHQ69" s="10"/>
      <c r="GHR69" s="10"/>
      <c r="GHS69" s="10"/>
      <c r="GHT69" s="10"/>
      <c r="GHU69" s="10"/>
      <c r="GHV69" s="10"/>
      <c r="GHW69" s="10"/>
      <c r="GHX69" s="10"/>
      <c r="GHY69" s="10"/>
      <c r="GHZ69" s="10"/>
      <c r="GIA69" s="10"/>
      <c r="GIB69" s="10"/>
      <c r="GIC69" s="10"/>
      <c r="GID69" s="10"/>
      <c r="GIE69" s="10"/>
      <c r="GIF69" s="10"/>
      <c r="GIG69" s="10"/>
      <c r="GIH69" s="10"/>
      <c r="GII69" s="10"/>
      <c r="GIJ69" s="10"/>
      <c r="GIK69" s="10"/>
      <c r="GIL69" s="10"/>
      <c r="GIM69" s="10"/>
      <c r="GIN69" s="10"/>
      <c r="GIO69" s="10"/>
      <c r="GIP69" s="10"/>
      <c r="GIQ69" s="10"/>
      <c r="GIR69" s="10"/>
      <c r="GIS69" s="10"/>
      <c r="GIT69" s="10"/>
      <c r="GIU69" s="10"/>
      <c r="GIV69" s="10"/>
      <c r="GIW69" s="10"/>
      <c r="GIX69" s="10"/>
      <c r="GIY69" s="10"/>
      <c r="GIZ69" s="10"/>
      <c r="GJA69" s="10"/>
      <c r="GJB69" s="10"/>
      <c r="GJC69" s="10"/>
      <c r="GJD69" s="10"/>
      <c r="GJE69" s="10"/>
      <c r="GJF69" s="10"/>
      <c r="GJG69" s="10"/>
      <c r="GJH69" s="10"/>
      <c r="GJI69" s="10"/>
      <c r="GJJ69" s="10"/>
      <c r="GJK69" s="10"/>
      <c r="GJL69" s="10"/>
      <c r="GJM69" s="10"/>
      <c r="GJN69" s="10"/>
      <c r="GJO69" s="10"/>
      <c r="GJP69" s="10"/>
      <c r="GJQ69" s="10"/>
      <c r="GJR69" s="10"/>
      <c r="GJS69" s="10"/>
      <c r="GJT69" s="10"/>
      <c r="GJU69" s="10"/>
      <c r="GJV69" s="10"/>
      <c r="GJW69" s="10"/>
      <c r="GJX69" s="10"/>
      <c r="GJY69" s="10"/>
      <c r="GJZ69" s="10"/>
      <c r="GKA69" s="10"/>
      <c r="GKB69" s="10"/>
      <c r="GKC69" s="10"/>
      <c r="GKD69" s="10"/>
      <c r="GKE69" s="10"/>
      <c r="GKF69" s="10"/>
      <c r="GKG69" s="10"/>
      <c r="GKH69" s="10"/>
      <c r="GKI69" s="10"/>
      <c r="GKJ69" s="10"/>
      <c r="GKK69" s="10"/>
      <c r="GKL69" s="10"/>
      <c r="GKM69" s="10"/>
      <c r="GKN69" s="10"/>
      <c r="GKO69" s="10"/>
      <c r="GKP69" s="10"/>
      <c r="GKQ69" s="10"/>
      <c r="GKR69" s="10"/>
      <c r="GKS69" s="10"/>
      <c r="GKT69" s="10"/>
      <c r="GKU69" s="10"/>
      <c r="GKV69" s="10"/>
      <c r="GKW69" s="10"/>
      <c r="GKX69" s="10"/>
      <c r="GKY69" s="10"/>
      <c r="GKZ69" s="10"/>
      <c r="GLA69" s="10"/>
      <c r="GLB69" s="10"/>
      <c r="GLC69" s="10"/>
      <c r="GLD69" s="10"/>
      <c r="GLE69" s="10"/>
      <c r="GLF69" s="10"/>
      <c r="GLG69" s="10"/>
      <c r="GLH69" s="10"/>
      <c r="GLI69" s="10"/>
      <c r="GLJ69" s="10"/>
      <c r="GLK69" s="10"/>
      <c r="GLL69" s="10"/>
      <c r="GLM69" s="10"/>
      <c r="GLN69" s="10"/>
      <c r="GLO69" s="10"/>
      <c r="GLP69" s="10"/>
      <c r="GLQ69" s="10"/>
      <c r="GLR69" s="10"/>
      <c r="GLS69" s="10"/>
      <c r="GLT69" s="10"/>
      <c r="GLU69" s="10"/>
      <c r="GLV69" s="10"/>
      <c r="GLW69" s="10"/>
      <c r="GLX69" s="10"/>
      <c r="GLY69" s="10"/>
      <c r="GLZ69" s="10"/>
      <c r="GMA69" s="10"/>
      <c r="GMB69" s="10"/>
      <c r="GMC69" s="10"/>
      <c r="GMD69" s="10"/>
      <c r="GME69" s="10"/>
      <c r="GMF69" s="10"/>
      <c r="GMG69" s="10"/>
      <c r="GMH69" s="10"/>
      <c r="GMI69" s="10"/>
      <c r="GMJ69" s="10"/>
      <c r="GMK69" s="10"/>
      <c r="GML69" s="10"/>
      <c r="GMM69" s="10"/>
      <c r="GMN69" s="10"/>
      <c r="GMO69" s="10"/>
      <c r="GMP69" s="10"/>
      <c r="GMQ69" s="10"/>
      <c r="GMR69" s="10"/>
      <c r="GMS69" s="10"/>
      <c r="GMT69" s="10"/>
      <c r="GMU69" s="10"/>
      <c r="GMV69" s="10"/>
      <c r="GMW69" s="10"/>
      <c r="GMX69" s="10"/>
      <c r="GMY69" s="10"/>
      <c r="GMZ69" s="10"/>
      <c r="GNA69" s="10"/>
      <c r="GNB69" s="10"/>
      <c r="GNC69" s="10"/>
      <c r="GND69" s="10"/>
      <c r="GNE69" s="10"/>
      <c r="GNF69" s="10"/>
      <c r="GNG69" s="10"/>
      <c r="GNH69" s="10"/>
      <c r="GNI69" s="10"/>
      <c r="GNJ69" s="10"/>
      <c r="GNK69" s="10"/>
      <c r="GNL69" s="10"/>
      <c r="GNM69" s="10"/>
      <c r="GNN69" s="10"/>
      <c r="GNO69" s="10"/>
      <c r="GNP69" s="10"/>
      <c r="GNQ69" s="10"/>
      <c r="GNR69" s="10"/>
      <c r="GNS69" s="10"/>
      <c r="GNT69" s="10"/>
      <c r="GNU69" s="10"/>
      <c r="GNV69" s="10"/>
      <c r="GNW69" s="10"/>
      <c r="GNX69" s="10"/>
      <c r="GNY69" s="10"/>
      <c r="GNZ69" s="10"/>
      <c r="GOA69" s="10"/>
      <c r="GOB69" s="10"/>
      <c r="GOC69" s="10"/>
      <c r="GOD69" s="10"/>
      <c r="GOE69" s="10"/>
      <c r="GOF69" s="10"/>
      <c r="GOG69" s="10"/>
      <c r="GOH69" s="10"/>
      <c r="GOI69" s="10"/>
      <c r="GOJ69" s="10"/>
      <c r="GOK69" s="10"/>
      <c r="GOL69" s="10"/>
      <c r="GOM69" s="10"/>
      <c r="GON69" s="10"/>
      <c r="GOO69" s="10"/>
      <c r="GOP69" s="10"/>
      <c r="GOQ69" s="10"/>
      <c r="GOR69" s="10"/>
      <c r="GOS69" s="10"/>
      <c r="GOT69" s="10"/>
      <c r="GOU69" s="10"/>
      <c r="GOV69" s="10"/>
      <c r="GOW69" s="10"/>
      <c r="GOX69" s="10"/>
      <c r="GOY69" s="10"/>
      <c r="GOZ69" s="10"/>
      <c r="GPA69" s="10"/>
      <c r="GPB69" s="10"/>
      <c r="GPC69" s="10"/>
      <c r="GPD69" s="10"/>
      <c r="GPE69" s="10"/>
      <c r="GPF69" s="10"/>
      <c r="GPG69" s="10"/>
      <c r="GPH69" s="10"/>
      <c r="GPI69" s="10"/>
      <c r="GPJ69" s="10"/>
      <c r="GPK69" s="10"/>
      <c r="GPL69" s="10"/>
      <c r="GPM69" s="10"/>
      <c r="GPN69" s="10"/>
      <c r="GPO69" s="10"/>
      <c r="GPP69" s="10"/>
      <c r="GPQ69" s="10"/>
      <c r="GPR69" s="10"/>
      <c r="GPS69" s="10"/>
      <c r="GPT69" s="10"/>
      <c r="GPU69" s="10"/>
      <c r="GPV69" s="10"/>
      <c r="GPW69" s="10"/>
      <c r="GPX69" s="10"/>
      <c r="GPY69" s="10"/>
      <c r="GPZ69" s="10"/>
      <c r="GQA69" s="10"/>
      <c r="GQB69" s="10"/>
      <c r="GQC69" s="10"/>
      <c r="GQD69" s="10"/>
      <c r="GQE69" s="10"/>
      <c r="GQF69" s="10"/>
      <c r="GQG69" s="10"/>
      <c r="GQH69" s="10"/>
      <c r="GQI69" s="10"/>
      <c r="GQJ69" s="10"/>
      <c r="GQK69" s="10"/>
      <c r="GQL69" s="10"/>
      <c r="GQM69" s="10"/>
      <c r="GQN69" s="10"/>
      <c r="GQO69" s="10"/>
      <c r="GQP69" s="10"/>
      <c r="GQQ69" s="10"/>
      <c r="GQR69" s="10"/>
      <c r="GQS69" s="10"/>
      <c r="GQT69" s="10"/>
      <c r="GQU69" s="10"/>
      <c r="GQV69" s="10"/>
      <c r="GQW69" s="10"/>
      <c r="GQX69" s="10"/>
      <c r="GQY69" s="10"/>
      <c r="GQZ69" s="10"/>
      <c r="GRA69" s="10"/>
      <c r="GRB69" s="10"/>
      <c r="GRC69" s="10"/>
      <c r="GRD69" s="10"/>
      <c r="GRE69" s="10"/>
      <c r="GRF69" s="10"/>
      <c r="GRG69" s="10"/>
      <c r="GRH69" s="10"/>
      <c r="GRI69" s="10"/>
      <c r="GRJ69" s="10"/>
      <c r="GRK69" s="10"/>
      <c r="GRL69" s="10"/>
      <c r="GRM69" s="10"/>
      <c r="GRN69" s="10"/>
      <c r="GRO69" s="10"/>
      <c r="GRP69" s="10"/>
      <c r="GRQ69" s="10"/>
      <c r="GRR69" s="10"/>
      <c r="GRS69" s="10"/>
      <c r="GRT69" s="10"/>
      <c r="GRU69" s="10"/>
      <c r="GRV69" s="10"/>
      <c r="GRW69" s="10"/>
      <c r="GRX69" s="10"/>
      <c r="GRY69" s="10"/>
      <c r="GRZ69" s="10"/>
      <c r="GSA69" s="10"/>
      <c r="GSB69" s="10"/>
      <c r="GSC69" s="10"/>
      <c r="GSD69" s="10"/>
      <c r="GSE69" s="10"/>
      <c r="GSF69" s="10"/>
      <c r="GSG69" s="10"/>
      <c r="GSH69" s="10"/>
      <c r="GSI69" s="10"/>
      <c r="GSJ69" s="10"/>
      <c r="GSK69" s="10"/>
      <c r="GSL69" s="10"/>
      <c r="GSM69" s="10"/>
      <c r="GSN69" s="10"/>
      <c r="GSO69" s="10"/>
      <c r="GSP69" s="10"/>
      <c r="GSQ69" s="10"/>
      <c r="GSR69" s="10"/>
      <c r="GSS69" s="10"/>
      <c r="GST69" s="10"/>
      <c r="GSU69" s="10"/>
      <c r="GSV69" s="10"/>
      <c r="GSW69" s="10"/>
      <c r="GSX69" s="10"/>
      <c r="GSY69" s="10"/>
      <c r="GSZ69" s="10"/>
      <c r="GTA69" s="10"/>
      <c r="GTB69" s="10"/>
      <c r="GTC69" s="10"/>
      <c r="GTD69" s="10"/>
      <c r="GTE69" s="10"/>
      <c r="GTF69" s="10"/>
      <c r="GTG69" s="10"/>
      <c r="GTH69" s="10"/>
      <c r="GTI69" s="10"/>
      <c r="GTJ69" s="10"/>
      <c r="GTK69" s="10"/>
      <c r="GTL69" s="10"/>
      <c r="GTM69" s="10"/>
      <c r="GTN69" s="10"/>
      <c r="GTO69" s="10"/>
      <c r="GTP69" s="10"/>
      <c r="GTQ69" s="10"/>
      <c r="GTR69" s="10"/>
      <c r="GTS69" s="10"/>
      <c r="GTT69" s="10"/>
      <c r="GTU69" s="10"/>
      <c r="GTV69" s="10"/>
      <c r="GTW69" s="10"/>
      <c r="GTX69" s="10"/>
      <c r="GTY69" s="10"/>
      <c r="GTZ69" s="10"/>
      <c r="GUA69" s="10"/>
      <c r="GUB69" s="10"/>
      <c r="GUC69" s="10"/>
      <c r="GUD69" s="10"/>
      <c r="GUE69" s="10"/>
      <c r="GUF69" s="10"/>
      <c r="GUG69" s="10"/>
      <c r="GUH69" s="10"/>
      <c r="GUI69" s="10"/>
      <c r="GUJ69" s="10"/>
      <c r="GUK69" s="10"/>
      <c r="GUL69" s="10"/>
      <c r="GUM69" s="10"/>
      <c r="GUN69" s="10"/>
      <c r="GUO69" s="10"/>
      <c r="GUP69" s="10"/>
      <c r="GUQ69" s="10"/>
      <c r="GUR69" s="10"/>
      <c r="GUS69" s="10"/>
      <c r="GUT69" s="10"/>
      <c r="GUU69" s="10"/>
      <c r="GUV69" s="10"/>
      <c r="GUW69" s="10"/>
      <c r="GUX69" s="10"/>
      <c r="GUY69" s="10"/>
      <c r="GUZ69" s="10"/>
      <c r="GVA69" s="10"/>
      <c r="GVB69" s="10"/>
      <c r="GVC69" s="10"/>
      <c r="GVD69" s="10"/>
      <c r="GVE69" s="10"/>
      <c r="GVF69" s="10"/>
      <c r="GVG69" s="10"/>
      <c r="GVH69" s="10"/>
      <c r="GVI69" s="10"/>
      <c r="GVJ69" s="10"/>
      <c r="GVK69" s="10"/>
      <c r="GVL69" s="10"/>
      <c r="GVM69" s="10"/>
      <c r="GVN69" s="10"/>
      <c r="GVO69" s="10"/>
      <c r="GVP69" s="10"/>
      <c r="GVQ69" s="10"/>
      <c r="GVR69" s="10"/>
      <c r="GVS69" s="10"/>
      <c r="GVT69" s="10"/>
      <c r="GVU69" s="10"/>
      <c r="GVV69" s="10"/>
      <c r="GVW69" s="10"/>
      <c r="GVX69" s="10"/>
      <c r="GVY69" s="10"/>
      <c r="GVZ69" s="10"/>
      <c r="GWA69" s="10"/>
      <c r="GWB69" s="10"/>
      <c r="GWC69" s="10"/>
      <c r="GWD69" s="10"/>
      <c r="GWE69" s="10"/>
      <c r="GWF69" s="10"/>
      <c r="GWG69" s="10"/>
      <c r="GWH69" s="10"/>
      <c r="GWI69" s="10"/>
      <c r="GWJ69" s="10"/>
      <c r="GWK69" s="10"/>
      <c r="GWL69" s="10"/>
      <c r="GWM69" s="10"/>
      <c r="GWN69" s="10"/>
      <c r="GWO69" s="10"/>
      <c r="GWP69" s="10"/>
      <c r="GWQ69" s="10"/>
      <c r="GWR69" s="10"/>
      <c r="GWS69" s="10"/>
      <c r="GWT69" s="10"/>
      <c r="GWU69" s="10"/>
      <c r="GWV69" s="10"/>
      <c r="GWW69" s="10"/>
      <c r="GWX69" s="10"/>
      <c r="GWY69" s="10"/>
      <c r="GWZ69" s="10"/>
      <c r="GXA69" s="10"/>
      <c r="GXB69" s="10"/>
      <c r="GXC69" s="10"/>
      <c r="GXD69" s="10"/>
      <c r="GXE69" s="10"/>
      <c r="GXF69" s="10"/>
      <c r="GXG69" s="10"/>
      <c r="GXH69" s="10"/>
      <c r="GXI69" s="10"/>
      <c r="GXJ69" s="10"/>
      <c r="GXK69" s="10"/>
      <c r="GXL69" s="10"/>
      <c r="GXM69" s="10"/>
      <c r="GXN69" s="10"/>
      <c r="GXO69" s="10"/>
      <c r="GXP69" s="10"/>
      <c r="GXQ69" s="10"/>
      <c r="GXR69" s="10"/>
      <c r="GXS69" s="10"/>
      <c r="GXT69" s="10"/>
      <c r="GXU69" s="10"/>
      <c r="GXV69" s="10"/>
      <c r="GXW69" s="10"/>
      <c r="GXX69" s="10"/>
      <c r="GXY69" s="10"/>
      <c r="GXZ69" s="10"/>
      <c r="GYA69" s="10"/>
      <c r="GYB69" s="10"/>
      <c r="GYC69" s="10"/>
      <c r="GYD69" s="10"/>
      <c r="GYE69" s="10"/>
      <c r="GYF69" s="10"/>
      <c r="GYG69" s="10"/>
      <c r="GYH69" s="10"/>
      <c r="GYI69" s="10"/>
      <c r="GYJ69" s="10"/>
      <c r="GYK69" s="10"/>
      <c r="GYL69" s="10"/>
      <c r="GYM69" s="10"/>
      <c r="GYN69" s="10"/>
      <c r="GYO69" s="10"/>
      <c r="GYP69" s="10"/>
      <c r="GYQ69" s="10"/>
      <c r="GYR69" s="10"/>
      <c r="GYS69" s="10"/>
      <c r="GYT69" s="10"/>
      <c r="GYU69" s="10"/>
      <c r="GYV69" s="10"/>
      <c r="GYW69" s="10"/>
      <c r="GYX69" s="10"/>
      <c r="GYY69" s="10"/>
      <c r="GYZ69" s="10"/>
      <c r="GZA69" s="10"/>
      <c r="GZB69" s="10"/>
      <c r="GZC69" s="10"/>
      <c r="GZD69" s="10"/>
      <c r="GZE69" s="10"/>
      <c r="GZF69" s="10"/>
      <c r="GZG69" s="10"/>
      <c r="GZH69" s="10"/>
      <c r="GZI69" s="10"/>
      <c r="GZJ69" s="10"/>
      <c r="GZK69" s="10"/>
      <c r="GZL69" s="10"/>
      <c r="GZM69" s="10"/>
      <c r="GZN69" s="10"/>
      <c r="GZO69" s="10"/>
      <c r="GZP69" s="10"/>
      <c r="GZQ69" s="10"/>
      <c r="GZR69" s="10"/>
      <c r="GZS69" s="10"/>
      <c r="GZT69" s="10"/>
      <c r="GZU69" s="10"/>
      <c r="GZV69" s="10"/>
      <c r="GZW69" s="10"/>
      <c r="GZX69" s="10"/>
      <c r="GZY69" s="10"/>
      <c r="GZZ69" s="10"/>
      <c r="HAA69" s="10"/>
      <c r="HAB69" s="10"/>
      <c r="HAC69" s="10"/>
      <c r="HAD69" s="10"/>
      <c r="HAE69" s="10"/>
      <c r="HAF69" s="10"/>
      <c r="HAG69" s="10"/>
      <c r="HAH69" s="10"/>
      <c r="HAI69" s="10"/>
      <c r="HAJ69" s="10"/>
      <c r="HAK69" s="10"/>
      <c r="HAL69" s="10"/>
      <c r="HAM69" s="10"/>
      <c r="HAN69" s="10"/>
      <c r="HAO69" s="10"/>
      <c r="HAP69" s="10"/>
      <c r="HAQ69" s="10"/>
      <c r="HAR69" s="10"/>
      <c r="HAS69" s="10"/>
      <c r="HAT69" s="10"/>
      <c r="HAU69" s="10"/>
      <c r="HAV69" s="10"/>
      <c r="HAW69" s="10"/>
      <c r="HAX69" s="10"/>
      <c r="HAY69" s="10"/>
      <c r="HAZ69" s="10"/>
      <c r="HBA69" s="10"/>
      <c r="HBB69" s="10"/>
      <c r="HBC69" s="10"/>
      <c r="HBD69" s="10"/>
      <c r="HBE69" s="10"/>
      <c r="HBF69" s="10"/>
      <c r="HBG69" s="10"/>
      <c r="HBH69" s="10"/>
      <c r="HBI69" s="10"/>
      <c r="HBJ69" s="10"/>
      <c r="HBK69" s="10"/>
      <c r="HBL69" s="10"/>
      <c r="HBM69" s="10"/>
      <c r="HBN69" s="10"/>
      <c r="HBO69" s="10"/>
      <c r="HBP69" s="10"/>
      <c r="HBQ69" s="10"/>
      <c r="HBR69" s="10"/>
      <c r="HBS69" s="10"/>
      <c r="HBT69" s="10"/>
      <c r="HBU69" s="10"/>
      <c r="HBV69" s="10"/>
      <c r="HBW69" s="10"/>
      <c r="HBX69" s="10"/>
      <c r="HBY69" s="10"/>
      <c r="HBZ69" s="10"/>
      <c r="HCA69" s="10"/>
      <c r="HCB69" s="10"/>
      <c r="HCC69" s="10"/>
      <c r="HCD69" s="10"/>
      <c r="HCE69" s="10"/>
      <c r="HCF69" s="10"/>
      <c r="HCG69" s="10"/>
      <c r="HCH69" s="10"/>
      <c r="HCI69" s="10"/>
      <c r="HCJ69" s="10"/>
      <c r="HCK69" s="10"/>
      <c r="HCL69" s="10"/>
      <c r="HCM69" s="10"/>
      <c r="HCN69" s="10"/>
      <c r="HCO69" s="10"/>
      <c r="HCP69" s="10"/>
      <c r="HCQ69" s="10"/>
      <c r="HCR69" s="10"/>
      <c r="HCS69" s="10"/>
      <c r="HCT69" s="10"/>
      <c r="HCU69" s="10"/>
      <c r="HCV69" s="10"/>
      <c r="HCW69" s="10"/>
      <c r="HCX69" s="10"/>
      <c r="HCY69" s="10"/>
      <c r="HCZ69" s="10"/>
      <c r="HDA69" s="10"/>
      <c r="HDB69" s="10"/>
      <c r="HDC69" s="10"/>
      <c r="HDD69" s="10"/>
      <c r="HDE69" s="10"/>
      <c r="HDF69" s="10"/>
      <c r="HDG69" s="10"/>
      <c r="HDH69" s="10"/>
      <c r="HDI69" s="10"/>
      <c r="HDJ69" s="10"/>
      <c r="HDK69" s="10"/>
      <c r="HDL69" s="10"/>
      <c r="HDM69" s="10"/>
      <c r="HDN69" s="10"/>
      <c r="HDO69" s="10"/>
      <c r="HDP69" s="10"/>
      <c r="HDQ69" s="10"/>
      <c r="HDR69" s="10"/>
      <c r="HDS69" s="10"/>
      <c r="HDT69" s="10"/>
      <c r="HDU69" s="10"/>
      <c r="HDV69" s="10"/>
      <c r="HDW69" s="10"/>
      <c r="HDX69" s="10"/>
      <c r="HDY69" s="10"/>
      <c r="HDZ69" s="10"/>
      <c r="HEA69" s="10"/>
      <c r="HEB69" s="10"/>
      <c r="HEC69" s="10"/>
      <c r="HED69" s="10"/>
      <c r="HEE69" s="10"/>
      <c r="HEF69" s="10"/>
      <c r="HEG69" s="10"/>
      <c r="HEH69" s="10"/>
      <c r="HEI69" s="10"/>
      <c r="HEJ69" s="10"/>
      <c r="HEK69" s="10"/>
      <c r="HEL69" s="10"/>
      <c r="HEM69" s="10"/>
      <c r="HEN69" s="10"/>
      <c r="HEO69" s="10"/>
      <c r="HEP69" s="10"/>
      <c r="HEQ69" s="10"/>
      <c r="HER69" s="10"/>
      <c r="HES69" s="10"/>
      <c r="HET69" s="10"/>
      <c r="HEU69" s="10"/>
      <c r="HEV69" s="10"/>
      <c r="HEW69" s="10"/>
      <c r="HEX69" s="10"/>
      <c r="HEY69" s="10"/>
      <c r="HEZ69" s="10"/>
      <c r="HFA69" s="10"/>
      <c r="HFB69" s="10"/>
      <c r="HFC69" s="10"/>
      <c r="HFD69" s="10"/>
      <c r="HFE69" s="10"/>
      <c r="HFF69" s="10"/>
      <c r="HFG69" s="10"/>
      <c r="HFH69" s="10"/>
      <c r="HFI69" s="10"/>
      <c r="HFJ69" s="10"/>
      <c r="HFK69" s="10"/>
      <c r="HFL69" s="10"/>
      <c r="HFM69" s="10"/>
      <c r="HFN69" s="10"/>
      <c r="HFO69" s="10"/>
      <c r="HFP69" s="10"/>
      <c r="HFQ69" s="10"/>
      <c r="HFR69" s="10"/>
      <c r="HFS69" s="10"/>
      <c r="HFT69" s="10"/>
      <c r="HFU69" s="10"/>
      <c r="HFV69" s="10"/>
      <c r="HFW69" s="10"/>
      <c r="HFX69" s="10"/>
      <c r="HFY69" s="10"/>
      <c r="HFZ69" s="10"/>
      <c r="HGA69" s="10"/>
      <c r="HGB69" s="10"/>
      <c r="HGC69" s="10"/>
      <c r="HGD69" s="10"/>
      <c r="HGE69" s="10"/>
      <c r="HGF69" s="10"/>
      <c r="HGG69" s="10"/>
      <c r="HGH69" s="10"/>
      <c r="HGI69" s="10"/>
      <c r="HGJ69" s="10"/>
      <c r="HGK69" s="10"/>
      <c r="HGL69" s="10"/>
      <c r="HGM69" s="10"/>
      <c r="HGN69" s="10"/>
      <c r="HGO69" s="10"/>
      <c r="HGP69" s="10"/>
      <c r="HGQ69" s="10"/>
      <c r="HGR69" s="10"/>
      <c r="HGS69" s="10"/>
      <c r="HGT69" s="10"/>
      <c r="HGU69" s="10"/>
      <c r="HGV69" s="10"/>
      <c r="HGW69" s="10"/>
      <c r="HGX69" s="10"/>
      <c r="HGY69" s="10"/>
      <c r="HGZ69" s="10"/>
      <c r="HHA69" s="10"/>
      <c r="HHB69" s="10"/>
      <c r="HHC69" s="10"/>
      <c r="HHD69" s="10"/>
      <c r="HHE69" s="10"/>
      <c r="HHF69" s="10"/>
      <c r="HHG69" s="10"/>
      <c r="HHH69" s="10"/>
      <c r="HHI69" s="10"/>
      <c r="HHJ69" s="10"/>
      <c r="HHK69" s="10"/>
      <c r="HHL69" s="10"/>
      <c r="HHM69" s="10"/>
      <c r="HHN69" s="10"/>
      <c r="HHO69" s="10"/>
      <c r="HHP69" s="10"/>
      <c r="HHQ69" s="10"/>
      <c r="HHR69" s="10"/>
      <c r="HHS69" s="10"/>
      <c r="HHT69" s="10"/>
      <c r="HHU69" s="10"/>
      <c r="HHV69" s="10"/>
      <c r="HHW69" s="10"/>
      <c r="HHX69" s="10"/>
      <c r="HHY69" s="10"/>
      <c r="HHZ69" s="10"/>
      <c r="HIA69" s="10"/>
      <c r="HIB69" s="10"/>
      <c r="HIC69" s="10"/>
      <c r="HID69" s="10"/>
      <c r="HIE69" s="10"/>
      <c r="HIF69" s="10"/>
      <c r="HIG69" s="10"/>
      <c r="HIH69" s="10"/>
      <c r="HII69" s="10"/>
      <c r="HIJ69" s="10"/>
      <c r="HIK69" s="10"/>
      <c r="HIL69" s="10"/>
      <c r="HIM69" s="10"/>
      <c r="HIN69" s="10"/>
      <c r="HIO69" s="10"/>
      <c r="HIP69" s="10"/>
      <c r="HIQ69" s="10"/>
      <c r="HIR69" s="10"/>
      <c r="HIS69" s="10"/>
      <c r="HIT69" s="10"/>
      <c r="HIU69" s="10"/>
      <c r="HIV69" s="10"/>
      <c r="HIW69" s="10"/>
      <c r="HIX69" s="10"/>
      <c r="HIY69" s="10"/>
      <c r="HIZ69" s="10"/>
      <c r="HJA69" s="10"/>
      <c r="HJB69" s="10"/>
      <c r="HJC69" s="10"/>
      <c r="HJD69" s="10"/>
      <c r="HJE69" s="10"/>
      <c r="HJF69" s="10"/>
      <c r="HJG69" s="10"/>
      <c r="HJH69" s="10"/>
      <c r="HJI69" s="10"/>
      <c r="HJJ69" s="10"/>
      <c r="HJK69" s="10"/>
      <c r="HJL69" s="10"/>
      <c r="HJM69" s="10"/>
      <c r="HJN69" s="10"/>
      <c r="HJO69" s="10"/>
      <c r="HJP69" s="10"/>
      <c r="HJQ69" s="10"/>
      <c r="HJR69" s="10"/>
      <c r="HJS69" s="10"/>
      <c r="HJT69" s="10"/>
      <c r="HJU69" s="10"/>
      <c r="HJV69" s="10"/>
      <c r="HJW69" s="10"/>
      <c r="HJX69" s="10"/>
      <c r="HJY69" s="10"/>
      <c r="HJZ69" s="10"/>
      <c r="HKA69" s="10"/>
      <c r="HKB69" s="10"/>
      <c r="HKC69" s="10"/>
      <c r="HKD69" s="10"/>
      <c r="HKE69" s="10"/>
      <c r="HKF69" s="10"/>
      <c r="HKG69" s="10"/>
      <c r="HKH69" s="10"/>
      <c r="HKI69" s="10"/>
      <c r="HKJ69" s="10"/>
      <c r="HKK69" s="10"/>
      <c r="HKL69" s="10"/>
      <c r="HKM69" s="10"/>
      <c r="HKN69" s="10"/>
      <c r="HKO69" s="10"/>
      <c r="HKP69" s="10"/>
      <c r="HKQ69" s="10"/>
      <c r="HKR69" s="10"/>
      <c r="HKS69" s="10"/>
      <c r="HKT69" s="10"/>
      <c r="HKU69" s="10"/>
      <c r="HKV69" s="10"/>
      <c r="HKW69" s="10"/>
      <c r="HKX69" s="10"/>
      <c r="HKY69" s="10"/>
      <c r="HKZ69" s="10"/>
      <c r="HLA69" s="10"/>
      <c r="HLB69" s="10"/>
      <c r="HLC69" s="10"/>
      <c r="HLD69" s="10"/>
      <c r="HLE69" s="10"/>
      <c r="HLF69" s="10"/>
      <c r="HLG69" s="10"/>
      <c r="HLH69" s="10"/>
      <c r="HLI69" s="10"/>
      <c r="HLJ69" s="10"/>
      <c r="HLK69" s="10"/>
      <c r="HLL69" s="10"/>
      <c r="HLM69" s="10"/>
      <c r="HLN69" s="10"/>
      <c r="HLO69" s="10"/>
      <c r="HLP69" s="10"/>
      <c r="HLQ69" s="10"/>
      <c r="HLR69" s="10"/>
      <c r="HLS69" s="10"/>
      <c r="HLT69" s="10"/>
      <c r="HLU69" s="10"/>
      <c r="HLV69" s="10"/>
      <c r="HLW69" s="10"/>
      <c r="HLX69" s="10"/>
      <c r="HLY69" s="10"/>
      <c r="HLZ69" s="10"/>
      <c r="HMA69" s="10"/>
      <c r="HMB69" s="10"/>
      <c r="HMC69" s="10"/>
      <c r="HMD69" s="10"/>
      <c r="HME69" s="10"/>
      <c r="HMF69" s="10"/>
      <c r="HMG69" s="10"/>
      <c r="HMH69" s="10"/>
      <c r="HMI69" s="10"/>
      <c r="HMJ69" s="10"/>
      <c r="HMK69" s="10"/>
      <c r="HML69" s="10"/>
      <c r="HMM69" s="10"/>
      <c r="HMN69" s="10"/>
      <c r="HMO69" s="10"/>
      <c r="HMP69" s="10"/>
      <c r="HMQ69" s="10"/>
      <c r="HMR69" s="10"/>
      <c r="HMS69" s="10"/>
      <c r="HMT69" s="10"/>
      <c r="HMU69" s="10"/>
      <c r="HMV69" s="10"/>
      <c r="HMW69" s="10"/>
      <c r="HMX69" s="10"/>
      <c r="HMY69" s="10"/>
      <c r="HMZ69" s="10"/>
      <c r="HNA69" s="10"/>
      <c r="HNB69" s="10"/>
      <c r="HNC69" s="10"/>
      <c r="HND69" s="10"/>
      <c r="HNE69" s="10"/>
      <c r="HNF69" s="10"/>
      <c r="HNG69" s="10"/>
      <c r="HNH69" s="10"/>
      <c r="HNI69" s="10"/>
      <c r="HNJ69" s="10"/>
      <c r="HNK69" s="10"/>
      <c r="HNL69" s="10"/>
      <c r="HNM69" s="10"/>
      <c r="HNN69" s="10"/>
      <c r="HNO69" s="10"/>
      <c r="HNP69" s="10"/>
      <c r="HNQ69" s="10"/>
      <c r="HNR69" s="10"/>
      <c r="HNS69" s="10"/>
      <c r="HNT69" s="10"/>
      <c r="HNU69" s="10"/>
      <c r="HNV69" s="10"/>
      <c r="HNW69" s="10"/>
      <c r="HNX69" s="10"/>
      <c r="HNY69" s="10"/>
      <c r="HNZ69" s="10"/>
      <c r="HOA69" s="10"/>
      <c r="HOB69" s="10"/>
      <c r="HOC69" s="10"/>
      <c r="HOD69" s="10"/>
      <c r="HOE69" s="10"/>
      <c r="HOF69" s="10"/>
      <c r="HOG69" s="10"/>
      <c r="HOH69" s="10"/>
      <c r="HOI69" s="10"/>
      <c r="HOJ69" s="10"/>
      <c r="HOK69" s="10"/>
      <c r="HOL69" s="10"/>
      <c r="HOM69" s="10"/>
      <c r="HON69" s="10"/>
      <c r="HOO69" s="10"/>
      <c r="HOP69" s="10"/>
      <c r="HOQ69" s="10"/>
      <c r="HOR69" s="10"/>
      <c r="HOS69" s="10"/>
      <c r="HOT69" s="10"/>
      <c r="HOU69" s="10"/>
      <c r="HOV69" s="10"/>
      <c r="HOW69" s="10"/>
      <c r="HOX69" s="10"/>
      <c r="HOY69" s="10"/>
      <c r="HOZ69" s="10"/>
      <c r="HPA69" s="10"/>
      <c r="HPB69" s="10"/>
      <c r="HPC69" s="10"/>
      <c r="HPD69" s="10"/>
      <c r="HPE69" s="10"/>
      <c r="HPF69" s="10"/>
      <c r="HPG69" s="10"/>
      <c r="HPH69" s="10"/>
      <c r="HPI69" s="10"/>
      <c r="HPJ69" s="10"/>
      <c r="HPK69" s="10"/>
      <c r="HPL69" s="10"/>
      <c r="HPM69" s="10"/>
      <c r="HPN69" s="10"/>
      <c r="HPO69" s="10"/>
      <c r="HPP69" s="10"/>
      <c r="HPQ69" s="10"/>
      <c r="HPR69" s="10"/>
      <c r="HPS69" s="10"/>
      <c r="HPT69" s="10"/>
      <c r="HPU69" s="10"/>
      <c r="HPV69" s="10"/>
      <c r="HPW69" s="10"/>
      <c r="HPX69" s="10"/>
      <c r="HPY69" s="10"/>
      <c r="HPZ69" s="10"/>
      <c r="HQA69" s="10"/>
      <c r="HQB69" s="10"/>
      <c r="HQC69" s="10"/>
      <c r="HQD69" s="10"/>
      <c r="HQE69" s="10"/>
      <c r="HQF69" s="10"/>
      <c r="HQG69" s="10"/>
      <c r="HQH69" s="10"/>
      <c r="HQI69" s="10"/>
      <c r="HQJ69" s="10"/>
      <c r="HQK69" s="10"/>
      <c r="HQL69" s="10"/>
      <c r="HQM69" s="10"/>
      <c r="HQN69" s="10"/>
      <c r="HQO69" s="10"/>
      <c r="HQP69" s="10"/>
      <c r="HQQ69" s="10"/>
      <c r="HQR69" s="10"/>
      <c r="HQS69" s="10"/>
      <c r="HQT69" s="10"/>
      <c r="HQU69" s="10"/>
      <c r="HQV69" s="10"/>
      <c r="HQW69" s="10"/>
      <c r="HQX69" s="10"/>
      <c r="HQY69" s="10"/>
      <c r="HQZ69" s="10"/>
      <c r="HRA69" s="10"/>
      <c r="HRB69" s="10"/>
      <c r="HRC69" s="10"/>
      <c r="HRD69" s="10"/>
      <c r="HRE69" s="10"/>
      <c r="HRF69" s="10"/>
      <c r="HRG69" s="10"/>
      <c r="HRH69" s="10"/>
      <c r="HRI69" s="10"/>
      <c r="HRJ69" s="10"/>
      <c r="HRK69" s="10"/>
      <c r="HRL69" s="10"/>
      <c r="HRM69" s="10"/>
      <c r="HRN69" s="10"/>
      <c r="HRO69" s="10"/>
      <c r="HRP69" s="10"/>
      <c r="HRQ69" s="10"/>
      <c r="HRR69" s="10"/>
      <c r="HRS69" s="10"/>
      <c r="HRT69" s="10"/>
      <c r="HRU69" s="10"/>
      <c r="HRV69" s="10"/>
      <c r="HRW69" s="10"/>
      <c r="HRX69" s="10"/>
      <c r="HRY69" s="10"/>
      <c r="HRZ69" s="10"/>
      <c r="HSA69" s="10"/>
      <c r="HSB69" s="10"/>
      <c r="HSC69" s="10"/>
      <c r="HSD69" s="10"/>
      <c r="HSE69" s="10"/>
      <c r="HSF69" s="10"/>
      <c r="HSG69" s="10"/>
      <c r="HSH69" s="10"/>
      <c r="HSI69" s="10"/>
      <c r="HSJ69" s="10"/>
      <c r="HSK69" s="10"/>
      <c r="HSL69" s="10"/>
      <c r="HSM69" s="10"/>
      <c r="HSN69" s="10"/>
      <c r="HSO69" s="10"/>
      <c r="HSP69" s="10"/>
      <c r="HSQ69" s="10"/>
      <c r="HSR69" s="10"/>
      <c r="HSS69" s="10"/>
      <c r="HST69" s="10"/>
      <c r="HSU69" s="10"/>
      <c r="HSV69" s="10"/>
      <c r="HSW69" s="10"/>
      <c r="HSX69" s="10"/>
      <c r="HSY69" s="10"/>
      <c r="HSZ69" s="10"/>
      <c r="HTA69" s="10"/>
      <c r="HTB69" s="10"/>
      <c r="HTC69" s="10"/>
      <c r="HTD69" s="10"/>
      <c r="HTE69" s="10"/>
      <c r="HTF69" s="10"/>
      <c r="HTG69" s="10"/>
      <c r="HTH69" s="10"/>
      <c r="HTI69" s="10"/>
      <c r="HTJ69" s="10"/>
      <c r="HTK69" s="10"/>
      <c r="HTL69" s="10"/>
      <c r="HTM69" s="10"/>
      <c r="HTN69" s="10"/>
      <c r="HTO69" s="10"/>
      <c r="HTP69" s="10"/>
      <c r="HTQ69" s="10"/>
      <c r="HTR69" s="10"/>
      <c r="HTS69" s="10"/>
      <c r="HTT69" s="10"/>
      <c r="HTU69" s="10"/>
      <c r="HTV69" s="10"/>
      <c r="HTW69" s="10"/>
      <c r="HTX69" s="10"/>
      <c r="HTY69" s="10"/>
      <c r="HTZ69" s="10"/>
      <c r="HUA69" s="10"/>
      <c r="HUB69" s="10"/>
      <c r="HUC69" s="10"/>
      <c r="HUD69" s="10"/>
      <c r="HUE69" s="10"/>
      <c r="HUF69" s="10"/>
      <c r="HUG69" s="10"/>
      <c r="HUH69" s="10"/>
      <c r="HUI69" s="10"/>
      <c r="HUJ69" s="10"/>
      <c r="HUK69" s="10"/>
      <c r="HUL69" s="10"/>
      <c r="HUM69" s="10"/>
      <c r="HUN69" s="10"/>
      <c r="HUO69" s="10"/>
      <c r="HUP69" s="10"/>
      <c r="HUQ69" s="10"/>
      <c r="HUR69" s="10"/>
      <c r="HUS69" s="10"/>
      <c r="HUT69" s="10"/>
      <c r="HUU69" s="10"/>
      <c r="HUV69" s="10"/>
      <c r="HUW69" s="10"/>
      <c r="HUX69" s="10"/>
      <c r="HUY69" s="10"/>
      <c r="HUZ69" s="10"/>
      <c r="HVA69" s="10"/>
      <c r="HVB69" s="10"/>
      <c r="HVC69" s="10"/>
      <c r="HVD69" s="10"/>
      <c r="HVE69" s="10"/>
      <c r="HVF69" s="10"/>
      <c r="HVG69" s="10"/>
      <c r="HVH69" s="10"/>
      <c r="HVI69" s="10"/>
      <c r="HVJ69" s="10"/>
      <c r="HVK69" s="10"/>
      <c r="HVL69" s="10"/>
      <c r="HVM69" s="10"/>
      <c r="HVN69" s="10"/>
      <c r="HVO69" s="10"/>
      <c r="HVP69" s="10"/>
      <c r="HVQ69" s="10"/>
      <c r="HVR69" s="10"/>
      <c r="HVS69" s="10"/>
      <c r="HVT69" s="10"/>
      <c r="HVU69" s="10"/>
      <c r="HVV69" s="10"/>
      <c r="HVW69" s="10"/>
      <c r="HVX69" s="10"/>
      <c r="HVY69" s="10"/>
      <c r="HVZ69" s="10"/>
      <c r="HWA69" s="10"/>
      <c r="HWB69" s="10"/>
      <c r="HWC69" s="10"/>
      <c r="HWD69" s="10"/>
      <c r="HWE69" s="10"/>
      <c r="HWF69" s="10"/>
      <c r="HWG69" s="10"/>
      <c r="HWH69" s="10"/>
      <c r="HWI69" s="10"/>
      <c r="HWJ69" s="10"/>
      <c r="HWK69" s="10"/>
      <c r="HWL69" s="10"/>
      <c r="HWM69" s="10"/>
      <c r="HWN69" s="10"/>
      <c r="HWO69" s="10"/>
      <c r="HWP69" s="10"/>
      <c r="HWQ69" s="10"/>
      <c r="HWR69" s="10"/>
      <c r="HWS69" s="10"/>
      <c r="HWT69" s="10"/>
      <c r="HWU69" s="10"/>
      <c r="HWV69" s="10"/>
      <c r="HWW69" s="10"/>
      <c r="HWX69" s="10"/>
      <c r="HWY69" s="10"/>
      <c r="HWZ69" s="10"/>
      <c r="HXA69" s="10"/>
      <c r="HXB69" s="10"/>
      <c r="HXC69" s="10"/>
      <c r="HXD69" s="10"/>
      <c r="HXE69" s="10"/>
      <c r="HXF69" s="10"/>
      <c r="HXG69" s="10"/>
      <c r="HXH69" s="10"/>
      <c r="HXI69" s="10"/>
      <c r="HXJ69" s="10"/>
      <c r="HXK69" s="10"/>
      <c r="HXL69" s="10"/>
      <c r="HXM69" s="10"/>
      <c r="HXN69" s="10"/>
      <c r="HXO69" s="10"/>
      <c r="HXP69" s="10"/>
      <c r="HXQ69" s="10"/>
      <c r="HXR69" s="10"/>
      <c r="HXS69" s="10"/>
      <c r="HXT69" s="10"/>
      <c r="HXU69" s="10"/>
      <c r="HXV69" s="10"/>
      <c r="HXW69" s="10"/>
      <c r="HXX69" s="10"/>
      <c r="HXY69" s="10"/>
      <c r="HXZ69" s="10"/>
      <c r="HYA69" s="10"/>
      <c r="HYB69" s="10"/>
      <c r="HYC69" s="10"/>
      <c r="HYD69" s="10"/>
      <c r="HYE69" s="10"/>
      <c r="HYF69" s="10"/>
      <c r="HYG69" s="10"/>
      <c r="HYH69" s="10"/>
      <c r="HYI69" s="10"/>
      <c r="HYJ69" s="10"/>
      <c r="HYK69" s="10"/>
      <c r="HYL69" s="10"/>
      <c r="HYM69" s="10"/>
      <c r="HYN69" s="10"/>
      <c r="HYO69" s="10"/>
      <c r="HYP69" s="10"/>
      <c r="HYQ69" s="10"/>
      <c r="HYR69" s="10"/>
      <c r="HYS69" s="10"/>
      <c r="HYT69" s="10"/>
      <c r="HYU69" s="10"/>
      <c r="HYV69" s="10"/>
      <c r="HYW69" s="10"/>
      <c r="HYX69" s="10"/>
      <c r="HYY69" s="10"/>
      <c r="HYZ69" s="10"/>
      <c r="HZA69" s="10"/>
      <c r="HZB69" s="10"/>
      <c r="HZC69" s="10"/>
      <c r="HZD69" s="10"/>
      <c r="HZE69" s="10"/>
      <c r="HZF69" s="10"/>
      <c r="HZG69" s="10"/>
      <c r="HZH69" s="10"/>
      <c r="HZI69" s="10"/>
      <c r="HZJ69" s="10"/>
      <c r="HZK69" s="10"/>
      <c r="HZL69" s="10"/>
      <c r="HZM69" s="10"/>
      <c r="HZN69" s="10"/>
      <c r="HZO69" s="10"/>
      <c r="HZP69" s="10"/>
      <c r="HZQ69" s="10"/>
      <c r="HZR69" s="10"/>
      <c r="HZS69" s="10"/>
      <c r="HZT69" s="10"/>
      <c r="HZU69" s="10"/>
      <c r="HZV69" s="10"/>
      <c r="HZW69" s="10"/>
      <c r="HZX69" s="10"/>
      <c r="HZY69" s="10"/>
      <c r="HZZ69" s="10"/>
      <c r="IAA69" s="10"/>
      <c r="IAB69" s="10"/>
      <c r="IAC69" s="10"/>
      <c r="IAD69" s="10"/>
      <c r="IAE69" s="10"/>
      <c r="IAF69" s="10"/>
      <c r="IAG69" s="10"/>
      <c r="IAH69" s="10"/>
      <c r="IAI69" s="10"/>
      <c r="IAJ69" s="10"/>
      <c r="IAK69" s="10"/>
      <c r="IAL69" s="10"/>
      <c r="IAM69" s="10"/>
      <c r="IAN69" s="10"/>
      <c r="IAO69" s="10"/>
      <c r="IAP69" s="10"/>
      <c r="IAQ69" s="10"/>
      <c r="IAR69" s="10"/>
      <c r="IAS69" s="10"/>
      <c r="IAT69" s="10"/>
      <c r="IAU69" s="10"/>
      <c r="IAV69" s="10"/>
      <c r="IAW69" s="10"/>
      <c r="IAX69" s="10"/>
      <c r="IAY69" s="10"/>
      <c r="IAZ69" s="10"/>
      <c r="IBA69" s="10"/>
      <c r="IBB69" s="10"/>
      <c r="IBC69" s="10"/>
      <c r="IBD69" s="10"/>
      <c r="IBE69" s="10"/>
      <c r="IBF69" s="10"/>
      <c r="IBG69" s="10"/>
      <c r="IBH69" s="10"/>
      <c r="IBI69" s="10"/>
      <c r="IBJ69" s="10"/>
      <c r="IBK69" s="10"/>
      <c r="IBL69" s="10"/>
      <c r="IBM69" s="10"/>
      <c r="IBN69" s="10"/>
      <c r="IBO69" s="10"/>
      <c r="IBP69" s="10"/>
      <c r="IBQ69" s="10"/>
      <c r="IBR69" s="10"/>
      <c r="IBS69" s="10"/>
      <c r="IBT69" s="10"/>
      <c r="IBU69" s="10"/>
      <c r="IBV69" s="10"/>
      <c r="IBW69" s="10"/>
      <c r="IBX69" s="10"/>
      <c r="IBY69" s="10"/>
      <c r="IBZ69" s="10"/>
      <c r="ICA69" s="10"/>
      <c r="ICB69" s="10"/>
      <c r="ICC69" s="10"/>
      <c r="ICD69" s="10"/>
      <c r="ICE69" s="10"/>
      <c r="ICF69" s="10"/>
      <c r="ICG69" s="10"/>
      <c r="ICH69" s="10"/>
      <c r="ICI69" s="10"/>
      <c r="ICJ69" s="10"/>
      <c r="ICK69" s="10"/>
      <c r="ICL69" s="10"/>
      <c r="ICM69" s="10"/>
      <c r="ICN69" s="10"/>
      <c r="ICO69" s="10"/>
      <c r="ICP69" s="10"/>
      <c r="ICQ69" s="10"/>
      <c r="ICR69" s="10"/>
      <c r="ICS69" s="10"/>
      <c r="ICT69" s="10"/>
      <c r="ICU69" s="10"/>
      <c r="ICV69" s="10"/>
      <c r="ICW69" s="10"/>
      <c r="ICX69" s="10"/>
      <c r="ICY69" s="10"/>
      <c r="ICZ69" s="10"/>
      <c r="IDA69" s="10"/>
      <c r="IDB69" s="10"/>
      <c r="IDC69" s="10"/>
      <c r="IDD69" s="10"/>
      <c r="IDE69" s="10"/>
      <c r="IDF69" s="10"/>
      <c r="IDG69" s="10"/>
      <c r="IDH69" s="10"/>
      <c r="IDI69" s="10"/>
      <c r="IDJ69" s="10"/>
      <c r="IDK69" s="10"/>
      <c r="IDL69" s="10"/>
      <c r="IDM69" s="10"/>
      <c r="IDN69" s="10"/>
      <c r="IDO69" s="10"/>
      <c r="IDP69" s="10"/>
      <c r="IDQ69" s="10"/>
      <c r="IDR69" s="10"/>
      <c r="IDS69" s="10"/>
      <c r="IDT69" s="10"/>
      <c r="IDU69" s="10"/>
      <c r="IDV69" s="10"/>
      <c r="IDW69" s="10"/>
      <c r="IDX69" s="10"/>
      <c r="IDY69" s="10"/>
      <c r="IDZ69" s="10"/>
      <c r="IEA69" s="10"/>
      <c r="IEB69" s="10"/>
      <c r="IEC69" s="10"/>
      <c r="IED69" s="10"/>
      <c r="IEE69" s="10"/>
      <c r="IEF69" s="10"/>
      <c r="IEG69" s="10"/>
      <c r="IEH69" s="10"/>
      <c r="IEI69" s="10"/>
      <c r="IEJ69" s="10"/>
      <c r="IEK69" s="10"/>
      <c r="IEL69" s="10"/>
      <c r="IEM69" s="10"/>
      <c r="IEN69" s="10"/>
      <c r="IEO69" s="10"/>
      <c r="IEP69" s="10"/>
      <c r="IEQ69" s="10"/>
      <c r="IER69" s="10"/>
      <c r="IES69" s="10"/>
      <c r="IET69" s="10"/>
      <c r="IEU69" s="10"/>
      <c r="IEV69" s="10"/>
      <c r="IEW69" s="10"/>
      <c r="IEX69" s="10"/>
      <c r="IEY69" s="10"/>
      <c r="IEZ69" s="10"/>
      <c r="IFA69" s="10"/>
      <c r="IFB69" s="10"/>
      <c r="IFC69" s="10"/>
      <c r="IFD69" s="10"/>
      <c r="IFE69" s="10"/>
      <c r="IFF69" s="10"/>
      <c r="IFG69" s="10"/>
      <c r="IFH69" s="10"/>
      <c r="IFI69" s="10"/>
      <c r="IFJ69" s="10"/>
      <c r="IFK69" s="10"/>
      <c r="IFL69" s="10"/>
      <c r="IFM69" s="10"/>
      <c r="IFN69" s="10"/>
      <c r="IFO69" s="10"/>
      <c r="IFP69" s="10"/>
      <c r="IFQ69" s="10"/>
      <c r="IFR69" s="10"/>
      <c r="IFS69" s="10"/>
      <c r="IFT69" s="10"/>
      <c r="IFU69" s="10"/>
      <c r="IFV69" s="10"/>
      <c r="IFW69" s="10"/>
      <c r="IFX69" s="10"/>
      <c r="IFY69" s="10"/>
      <c r="IFZ69" s="10"/>
      <c r="IGA69" s="10"/>
      <c r="IGB69" s="10"/>
      <c r="IGC69" s="10"/>
      <c r="IGD69" s="10"/>
      <c r="IGE69" s="10"/>
      <c r="IGF69" s="10"/>
      <c r="IGG69" s="10"/>
      <c r="IGH69" s="10"/>
      <c r="IGI69" s="10"/>
      <c r="IGJ69" s="10"/>
      <c r="IGK69" s="10"/>
      <c r="IGL69" s="10"/>
      <c r="IGM69" s="10"/>
      <c r="IGN69" s="10"/>
      <c r="IGO69" s="10"/>
      <c r="IGP69" s="10"/>
      <c r="IGQ69" s="10"/>
      <c r="IGR69" s="10"/>
      <c r="IGS69" s="10"/>
      <c r="IGT69" s="10"/>
      <c r="IGU69" s="10"/>
      <c r="IGV69" s="10"/>
      <c r="IGW69" s="10"/>
      <c r="IGX69" s="10"/>
      <c r="IGY69" s="10"/>
      <c r="IGZ69" s="10"/>
      <c r="IHA69" s="10"/>
      <c r="IHB69" s="10"/>
      <c r="IHC69" s="10"/>
      <c r="IHD69" s="10"/>
      <c r="IHE69" s="10"/>
      <c r="IHF69" s="10"/>
      <c r="IHG69" s="10"/>
      <c r="IHH69" s="10"/>
      <c r="IHI69" s="10"/>
      <c r="IHJ69" s="10"/>
      <c r="IHK69" s="10"/>
      <c r="IHL69" s="10"/>
      <c r="IHM69" s="10"/>
      <c r="IHN69" s="10"/>
      <c r="IHO69" s="10"/>
      <c r="IHP69" s="10"/>
      <c r="IHQ69" s="10"/>
      <c r="IHR69" s="10"/>
      <c r="IHS69" s="10"/>
      <c r="IHT69" s="10"/>
      <c r="IHU69" s="10"/>
      <c r="IHV69" s="10"/>
      <c r="IHW69" s="10"/>
      <c r="IHX69" s="10"/>
      <c r="IHY69" s="10"/>
      <c r="IHZ69" s="10"/>
      <c r="IIA69" s="10"/>
      <c r="IIB69" s="10"/>
      <c r="IIC69" s="10"/>
      <c r="IID69" s="10"/>
      <c r="IIE69" s="10"/>
      <c r="IIF69" s="10"/>
      <c r="IIG69" s="10"/>
      <c r="IIH69" s="10"/>
      <c r="III69" s="10"/>
      <c r="IIJ69" s="10"/>
      <c r="IIK69" s="10"/>
      <c r="IIL69" s="10"/>
      <c r="IIM69" s="10"/>
      <c r="IIN69" s="10"/>
      <c r="IIO69" s="10"/>
      <c r="IIP69" s="10"/>
      <c r="IIQ69" s="10"/>
      <c r="IIR69" s="10"/>
      <c r="IIS69" s="10"/>
      <c r="IIT69" s="10"/>
      <c r="IIU69" s="10"/>
      <c r="IIV69" s="10"/>
      <c r="IIW69" s="10"/>
      <c r="IIX69" s="10"/>
      <c r="IIY69" s="10"/>
      <c r="IIZ69" s="10"/>
      <c r="IJA69" s="10"/>
      <c r="IJB69" s="10"/>
      <c r="IJC69" s="10"/>
      <c r="IJD69" s="10"/>
      <c r="IJE69" s="10"/>
      <c r="IJF69" s="10"/>
      <c r="IJG69" s="10"/>
      <c r="IJH69" s="10"/>
      <c r="IJI69" s="10"/>
      <c r="IJJ69" s="10"/>
      <c r="IJK69" s="10"/>
      <c r="IJL69" s="10"/>
      <c r="IJM69" s="10"/>
      <c r="IJN69" s="10"/>
      <c r="IJO69" s="10"/>
      <c r="IJP69" s="10"/>
      <c r="IJQ69" s="10"/>
      <c r="IJR69" s="10"/>
      <c r="IJS69" s="10"/>
      <c r="IJT69" s="10"/>
      <c r="IJU69" s="10"/>
      <c r="IJV69" s="10"/>
      <c r="IJW69" s="10"/>
      <c r="IJX69" s="10"/>
      <c r="IJY69" s="10"/>
      <c r="IJZ69" s="10"/>
      <c r="IKA69" s="10"/>
      <c r="IKB69" s="10"/>
      <c r="IKC69" s="10"/>
      <c r="IKD69" s="10"/>
      <c r="IKE69" s="10"/>
      <c r="IKF69" s="10"/>
      <c r="IKG69" s="10"/>
      <c r="IKH69" s="10"/>
      <c r="IKI69" s="10"/>
      <c r="IKJ69" s="10"/>
      <c r="IKK69" s="10"/>
      <c r="IKL69" s="10"/>
      <c r="IKM69" s="10"/>
      <c r="IKN69" s="10"/>
      <c r="IKO69" s="10"/>
      <c r="IKP69" s="10"/>
      <c r="IKQ69" s="10"/>
      <c r="IKR69" s="10"/>
      <c r="IKS69" s="10"/>
      <c r="IKT69" s="10"/>
      <c r="IKU69" s="10"/>
      <c r="IKV69" s="10"/>
      <c r="IKW69" s="10"/>
      <c r="IKX69" s="10"/>
      <c r="IKY69" s="10"/>
      <c r="IKZ69" s="10"/>
      <c r="ILA69" s="10"/>
      <c r="ILB69" s="10"/>
      <c r="ILC69" s="10"/>
      <c r="ILD69" s="10"/>
      <c r="ILE69" s="10"/>
      <c r="ILF69" s="10"/>
      <c r="ILG69" s="10"/>
      <c r="ILH69" s="10"/>
      <c r="ILI69" s="10"/>
      <c r="ILJ69" s="10"/>
      <c r="ILK69" s="10"/>
      <c r="ILL69" s="10"/>
      <c r="ILM69" s="10"/>
      <c r="ILN69" s="10"/>
      <c r="ILO69" s="10"/>
      <c r="ILP69" s="10"/>
      <c r="ILQ69" s="10"/>
      <c r="ILR69" s="10"/>
      <c r="ILS69" s="10"/>
      <c r="ILT69" s="10"/>
      <c r="ILU69" s="10"/>
      <c r="ILV69" s="10"/>
      <c r="ILW69" s="10"/>
      <c r="ILX69" s="10"/>
      <c r="ILY69" s="10"/>
      <c r="ILZ69" s="10"/>
      <c r="IMA69" s="10"/>
      <c r="IMB69" s="10"/>
      <c r="IMC69" s="10"/>
      <c r="IMD69" s="10"/>
      <c r="IME69" s="10"/>
      <c r="IMF69" s="10"/>
      <c r="IMG69" s="10"/>
      <c r="IMH69" s="10"/>
      <c r="IMI69" s="10"/>
      <c r="IMJ69" s="10"/>
      <c r="IMK69" s="10"/>
      <c r="IML69" s="10"/>
      <c r="IMM69" s="10"/>
      <c r="IMN69" s="10"/>
      <c r="IMO69" s="10"/>
      <c r="IMP69" s="10"/>
      <c r="IMQ69" s="10"/>
      <c r="IMR69" s="10"/>
      <c r="IMS69" s="10"/>
      <c r="IMT69" s="10"/>
      <c r="IMU69" s="10"/>
      <c r="IMV69" s="10"/>
      <c r="IMW69" s="10"/>
      <c r="IMX69" s="10"/>
      <c r="IMY69" s="10"/>
      <c r="IMZ69" s="10"/>
      <c r="INA69" s="10"/>
      <c r="INB69" s="10"/>
      <c r="INC69" s="10"/>
      <c r="IND69" s="10"/>
      <c r="INE69" s="10"/>
      <c r="INF69" s="10"/>
      <c r="ING69" s="10"/>
      <c r="INH69" s="10"/>
      <c r="INI69" s="10"/>
      <c r="INJ69" s="10"/>
      <c r="INK69" s="10"/>
      <c r="INL69" s="10"/>
      <c r="INM69" s="10"/>
      <c r="INN69" s="10"/>
      <c r="INO69" s="10"/>
      <c r="INP69" s="10"/>
      <c r="INQ69" s="10"/>
      <c r="INR69" s="10"/>
      <c r="INS69" s="10"/>
      <c r="INT69" s="10"/>
      <c r="INU69" s="10"/>
      <c r="INV69" s="10"/>
      <c r="INW69" s="10"/>
      <c r="INX69" s="10"/>
      <c r="INY69" s="10"/>
      <c r="INZ69" s="10"/>
      <c r="IOA69" s="10"/>
      <c r="IOB69" s="10"/>
      <c r="IOC69" s="10"/>
      <c r="IOD69" s="10"/>
      <c r="IOE69" s="10"/>
      <c r="IOF69" s="10"/>
      <c r="IOG69" s="10"/>
      <c r="IOH69" s="10"/>
      <c r="IOI69" s="10"/>
      <c r="IOJ69" s="10"/>
      <c r="IOK69" s="10"/>
      <c r="IOL69" s="10"/>
      <c r="IOM69" s="10"/>
      <c r="ION69" s="10"/>
      <c r="IOO69" s="10"/>
      <c r="IOP69" s="10"/>
      <c r="IOQ69" s="10"/>
      <c r="IOR69" s="10"/>
      <c r="IOS69" s="10"/>
      <c r="IOT69" s="10"/>
      <c r="IOU69" s="10"/>
      <c r="IOV69" s="10"/>
      <c r="IOW69" s="10"/>
      <c r="IOX69" s="10"/>
      <c r="IOY69" s="10"/>
      <c r="IOZ69" s="10"/>
      <c r="IPA69" s="10"/>
      <c r="IPB69" s="10"/>
      <c r="IPC69" s="10"/>
      <c r="IPD69" s="10"/>
      <c r="IPE69" s="10"/>
      <c r="IPF69" s="10"/>
      <c r="IPG69" s="10"/>
      <c r="IPH69" s="10"/>
      <c r="IPI69" s="10"/>
      <c r="IPJ69" s="10"/>
      <c r="IPK69" s="10"/>
      <c r="IPL69" s="10"/>
      <c r="IPM69" s="10"/>
      <c r="IPN69" s="10"/>
      <c r="IPO69" s="10"/>
      <c r="IPP69" s="10"/>
      <c r="IPQ69" s="10"/>
      <c r="IPR69" s="10"/>
      <c r="IPS69" s="10"/>
      <c r="IPT69" s="10"/>
      <c r="IPU69" s="10"/>
      <c r="IPV69" s="10"/>
      <c r="IPW69" s="10"/>
      <c r="IPX69" s="10"/>
      <c r="IPY69" s="10"/>
      <c r="IPZ69" s="10"/>
      <c r="IQA69" s="10"/>
      <c r="IQB69" s="10"/>
      <c r="IQC69" s="10"/>
      <c r="IQD69" s="10"/>
      <c r="IQE69" s="10"/>
      <c r="IQF69" s="10"/>
      <c r="IQG69" s="10"/>
      <c r="IQH69" s="10"/>
      <c r="IQI69" s="10"/>
      <c r="IQJ69" s="10"/>
      <c r="IQK69" s="10"/>
      <c r="IQL69" s="10"/>
      <c r="IQM69" s="10"/>
      <c r="IQN69" s="10"/>
      <c r="IQO69" s="10"/>
      <c r="IQP69" s="10"/>
      <c r="IQQ69" s="10"/>
      <c r="IQR69" s="10"/>
      <c r="IQS69" s="10"/>
      <c r="IQT69" s="10"/>
      <c r="IQU69" s="10"/>
      <c r="IQV69" s="10"/>
      <c r="IQW69" s="10"/>
      <c r="IQX69" s="10"/>
      <c r="IQY69" s="10"/>
      <c r="IQZ69" s="10"/>
      <c r="IRA69" s="10"/>
      <c r="IRB69" s="10"/>
      <c r="IRC69" s="10"/>
      <c r="IRD69" s="10"/>
      <c r="IRE69" s="10"/>
      <c r="IRF69" s="10"/>
      <c r="IRG69" s="10"/>
      <c r="IRH69" s="10"/>
      <c r="IRI69" s="10"/>
      <c r="IRJ69" s="10"/>
      <c r="IRK69" s="10"/>
      <c r="IRL69" s="10"/>
      <c r="IRM69" s="10"/>
      <c r="IRN69" s="10"/>
      <c r="IRO69" s="10"/>
      <c r="IRP69" s="10"/>
      <c r="IRQ69" s="10"/>
      <c r="IRR69" s="10"/>
      <c r="IRS69" s="10"/>
      <c r="IRT69" s="10"/>
      <c r="IRU69" s="10"/>
      <c r="IRV69" s="10"/>
      <c r="IRW69" s="10"/>
      <c r="IRX69" s="10"/>
      <c r="IRY69" s="10"/>
      <c r="IRZ69" s="10"/>
      <c r="ISA69" s="10"/>
      <c r="ISB69" s="10"/>
      <c r="ISC69" s="10"/>
      <c r="ISD69" s="10"/>
      <c r="ISE69" s="10"/>
      <c r="ISF69" s="10"/>
      <c r="ISG69" s="10"/>
      <c r="ISH69" s="10"/>
      <c r="ISI69" s="10"/>
      <c r="ISJ69" s="10"/>
      <c r="ISK69" s="10"/>
      <c r="ISL69" s="10"/>
      <c r="ISM69" s="10"/>
      <c r="ISN69" s="10"/>
      <c r="ISO69" s="10"/>
      <c r="ISP69" s="10"/>
      <c r="ISQ69" s="10"/>
      <c r="ISR69" s="10"/>
      <c r="ISS69" s="10"/>
      <c r="IST69" s="10"/>
      <c r="ISU69" s="10"/>
      <c r="ISV69" s="10"/>
      <c r="ISW69" s="10"/>
      <c r="ISX69" s="10"/>
      <c r="ISY69" s="10"/>
      <c r="ISZ69" s="10"/>
      <c r="ITA69" s="10"/>
      <c r="ITB69" s="10"/>
      <c r="ITC69" s="10"/>
      <c r="ITD69" s="10"/>
      <c r="ITE69" s="10"/>
      <c r="ITF69" s="10"/>
      <c r="ITG69" s="10"/>
      <c r="ITH69" s="10"/>
      <c r="ITI69" s="10"/>
      <c r="ITJ69" s="10"/>
      <c r="ITK69" s="10"/>
      <c r="ITL69" s="10"/>
      <c r="ITM69" s="10"/>
      <c r="ITN69" s="10"/>
      <c r="ITO69" s="10"/>
      <c r="ITP69" s="10"/>
      <c r="ITQ69" s="10"/>
      <c r="ITR69" s="10"/>
      <c r="ITS69" s="10"/>
      <c r="ITT69" s="10"/>
      <c r="ITU69" s="10"/>
      <c r="ITV69" s="10"/>
      <c r="ITW69" s="10"/>
      <c r="ITX69" s="10"/>
      <c r="ITY69" s="10"/>
      <c r="ITZ69" s="10"/>
      <c r="IUA69" s="10"/>
      <c r="IUB69" s="10"/>
      <c r="IUC69" s="10"/>
      <c r="IUD69" s="10"/>
      <c r="IUE69" s="10"/>
      <c r="IUF69" s="10"/>
      <c r="IUG69" s="10"/>
      <c r="IUH69" s="10"/>
      <c r="IUI69" s="10"/>
      <c r="IUJ69" s="10"/>
      <c r="IUK69" s="10"/>
      <c r="IUL69" s="10"/>
      <c r="IUM69" s="10"/>
      <c r="IUN69" s="10"/>
      <c r="IUO69" s="10"/>
      <c r="IUP69" s="10"/>
      <c r="IUQ69" s="10"/>
      <c r="IUR69" s="10"/>
      <c r="IUS69" s="10"/>
      <c r="IUT69" s="10"/>
      <c r="IUU69" s="10"/>
      <c r="IUV69" s="10"/>
      <c r="IUW69" s="10"/>
      <c r="IUX69" s="10"/>
      <c r="IUY69" s="10"/>
      <c r="IUZ69" s="10"/>
      <c r="IVA69" s="10"/>
      <c r="IVB69" s="10"/>
      <c r="IVC69" s="10"/>
      <c r="IVD69" s="10"/>
      <c r="IVE69" s="10"/>
      <c r="IVF69" s="10"/>
      <c r="IVG69" s="10"/>
      <c r="IVH69" s="10"/>
      <c r="IVI69" s="10"/>
      <c r="IVJ69" s="10"/>
      <c r="IVK69" s="10"/>
      <c r="IVL69" s="10"/>
      <c r="IVM69" s="10"/>
      <c r="IVN69" s="10"/>
      <c r="IVO69" s="10"/>
      <c r="IVP69" s="10"/>
      <c r="IVQ69" s="10"/>
      <c r="IVR69" s="10"/>
      <c r="IVS69" s="10"/>
      <c r="IVT69" s="10"/>
      <c r="IVU69" s="10"/>
      <c r="IVV69" s="10"/>
      <c r="IVW69" s="10"/>
      <c r="IVX69" s="10"/>
      <c r="IVY69" s="10"/>
      <c r="IVZ69" s="10"/>
      <c r="IWA69" s="10"/>
      <c r="IWB69" s="10"/>
      <c r="IWC69" s="10"/>
      <c r="IWD69" s="10"/>
      <c r="IWE69" s="10"/>
      <c r="IWF69" s="10"/>
      <c r="IWG69" s="10"/>
      <c r="IWH69" s="10"/>
      <c r="IWI69" s="10"/>
      <c r="IWJ69" s="10"/>
      <c r="IWK69" s="10"/>
      <c r="IWL69" s="10"/>
      <c r="IWM69" s="10"/>
      <c r="IWN69" s="10"/>
      <c r="IWO69" s="10"/>
      <c r="IWP69" s="10"/>
      <c r="IWQ69" s="10"/>
      <c r="IWR69" s="10"/>
      <c r="IWS69" s="10"/>
      <c r="IWT69" s="10"/>
      <c r="IWU69" s="10"/>
      <c r="IWV69" s="10"/>
      <c r="IWW69" s="10"/>
      <c r="IWX69" s="10"/>
      <c r="IWY69" s="10"/>
      <c r="IWZ69" s="10"/>
      <c r="IXA69" s="10"/>
      <c r="IXB69" s="10"/>
      <c r="IXC69" s="10"/>
      <c r="IXD69" s="10"/>
      <c r="IXE69" s="10"/>
      <c r="IXF69" s="10"/>
      <c r="IXG69" s="10"/>
      <c r="IXH69" s="10"/>
      <c r="IXI69" s="10"/>
      <c r="IXJ69" s="10"/>
      <c r="IXK69" s="10"/>
      <c r="IXL69" s="10"/>
      <c r="IXM69" s="10"/>
      <c r="IXN69" s="10"/>
      <c r="IXO69" s="10"/>
      <c r="IXP69" s="10"/>
      <c r="IXQ69" s="10"/>
      <c r="IXR69" s="10"/>
      <c r="IXS69" s="10"/>
      <c r="IXT69" s="10"/>
      <c r="IXU69" s="10"/>
      <c r="IXV69" s="10"/>
      <c r="IXW69" s="10"/>
      <c r="IXX69" s="10"/>
      <c r="IXY69" s="10"/>
      <c r="IXZ69" s="10"/>
      <c r="IYA69" s="10"/>
      <c r="IYB69" s="10"/>
      <c r="IYC69" s="10"/>
      <c r="IYD69" s="10"/>
      <c r="IYE69" s="10"/>
      <c r="IYF69" s="10"/>
      <c r="IYG69" s="10"/>
      <c r="IYH69" s="10"/>
      <c r="IYI69" s="10"/>
      <c r="IYJ69" s="10"/>
      <c r="IYK69" s="10"/>
      <c r="IYL69" s="10"/>
      <c r="IYM69" s="10"/>
      <c r="IYN69" s="10"/>
      <c r="IYO69" s="10"/>
      <c r="IYP69" s="10"/>
      <c r="IYQ69" s="10"/>
      <c r="IYR69" s="10"/>
      <c r="IYS69" s="10"/>
      <c r="IYT69" s="10"/>
      <c r="IYU69" s="10"/>
      <c r="IYV69" s="10"/>
      <c r="IYW69" s="10"/>
      <c r="IYX69" s="10"/>
      <c r="IYY69" s="10"/>
      <c r="IYZ69" s="10"/>
      <c r="IZA69" s="10"/>
      <c r="IZB69" s="10"/>
      <c r="IZC69" s="10"/>
      <c r="IZD69" s="10"/>
      <c r="IZE69" s="10"/>
      <c r="IZF69" s="10"/>
      <c r="IZG69" s="10"/>
      <c r="IZH69" s="10"/>
      <c r="IZI69" s="10"/>
      <c r="IZJ69" s="10"/>
      <c r="IZK69" s="10"/>
      <c r="IZL69" s="10"/>
      <c r="IZM69" s="10"/>
      <c r="IZN69" s="10"/>
      <c r="IZO69" s="10"/>
      <c r="IZP69" s="10"/>
      <c r="IZQ69" s="10"/>
      <c r="IZR69" s="10"/>
      <c r="IZS69" s="10"/>
      <c r="IZT69" s="10"/>
      <c r="IZU69" s="10"/>
      <c r="IZV69" s="10"/>
      <c r="IZW69" s="10"/>
      <c r="IZX69" s="10"/>
      <c r="IZY69" s="10"/>
      <c r="IZZ69" s="10"/>
      <c r="JAA69" s="10"/>
      <c r="JAB69" s="10"/>
      <c r="JAC69" s="10"/>
      <c r="JAD69" s="10"/>
      <c r="JAE69" s="10"/>
      <c r="JAF69" s="10"/>
      <c r="JAG69" s="10"/>
      <c r="JAH69" s="10"/>
      <c r="JAI69" s="10"/>
      <c r="JAJ69" s="10"/>
      <c r="JAK69" s="10"/>
      <c r="JAL69" s="10"/>
      <c r="JAM69" s="10"/>
      <c r="JAN69" s="10"/>
      <c r="JAO69" s="10"/>
      <c r="JAP69" s="10"/>
      <c r="JAQ69" s="10"/>
      <c r="JAR69" s="10"/>
      <c r="JAS69" s="10"/>
      <c r="JAT69" s="10"/>
      <c r="JAU69" s="10"/>
      <c r="JAV69" s="10"/>
      <c r="JAW69" s="10"/>
      <c r="JAX69" s="10"/>
      <c r="JAY69" s="10"/>
      <c r="JAZ69" s="10"/>
      <c r="JBA69" s="10"/>
      <c r="JBB69" s="10"/>
      <c r="JBC69" s="10"/>
      <c r="JBD69" s="10"/>
      <c r="JBE69" s="10"/>
      <c r="JBF69" s="10"/>
      <c r="JBG69" s="10"/>
      <c r="JBH69" s="10"/>
      <c r="JBI69" s="10"/>
      <c r="JBJ69" s="10"/>
      <c r="JBK69" s="10"/>
      <c r="JBL69" s="10"/>
      <c r="JBM69" s="10"/>
      <c r="JBN69" s="10"/>
      <c r="JBO69" s="10"/>
      <c r="JBP69" s="10"/>
      <c r="JBQ69" s="10"/>
      <c r="JBR69" s="10"/>
      <c r="JBS69" s="10"/>
      <c r="JBT69" s="10"/>
      <c r="JBU69" s="10"/>
      <c r="JBV69" s="10"/>
      <c r="JBW69" s="10"/>
      <c r="JBX69" s="10"/>
      <c r="JBY69" s="10"/>
      <c r="JBZ69" s="10"/>
      <c r="JCA69" s="10"/>
      <c r="JCB69" s="10"/>
      <c r="JCC69" s="10"/>
      <c r="JCD69" s="10"/>
      <c r="JCE69" s="10"/>
      <c r="JCF69" s="10"/>
      <c r="JCG69" s="10"/>
      <c r="JCH69" s="10"/>
      <c r="JCI69" s="10"/>
      <c r="JCJ69" s="10"/>
      <c r="JCK69" s="10"/>
      <c r="JCL69" s="10"/>
      <c r="JCM69" s="10"/>
      <c r="JCN69" s="10"/>
      <c r="JCO69" s="10"/>
      <c r="JCP69" s="10"/>
      <c r="JCQ69" s="10"/>
      <c r="JCR69" s="10"/>
      <c r="JCS69" s="10"/>
      <c r="JCT69" s="10"/>
      <c r="JCU69" s="10"/>
      <c r="JCV69" s="10"/>
      <c r="JCW69" s="10"/>
      <c r="JCX69" s="10"/>
      <c r="JCY69" s="10"/>
      <c r="JCZ69" s="10"/>
      <c r="JDA69" s="10"/>
      <c r="JDB69" s="10"/>
      <c r="JDC69" s="10"/>
      <c r="JDD69" s="10"/>
      <c r="JDE69" s="10"/>
      <c r="JDF69" s="10"/>
      <c r="JDG69" s="10"/>
      <c r="JDH69" s="10"/>
      <c r="JDI69" s="10"/>
      <c r="JDJ69" s="10"/>
      <c r="JDK69" s="10"/>
      <c r="JDL69" s="10"/>
      <c r="JDM69" s="10"/>
      <c r="JDN69" s="10"/>
      <c r="JDO69" s="10"/>
      <c r="JDP69" s="10"/>
      <c r="JDQ69" s="10"/>
      <c r="JDR69" s="10"/>
      <c r="JDS69" s="10"/>
      <c r="JDT69" s="10"/>
      <c r="JDU69" s="10"/>
      <c r="JDV69" s="10"/>
      <c r="JDW69" s="10"/>
      <c r="JDX69" s="10"/>
      <c r="JDY69" s="10"/>
      <c r="JDZ69" s="10"/>
      <c r="JEA69" s="10"/>
      <c r="JEB69" s="10"/>
      <c r="JEC69" s="10"/>
      <c r="JED69" s="10"/>
      <c r="JEE69" s="10"/>
      <c r="JEF69" s="10"/>
      <c r="JEG69" s="10"/>
      <c r="JEH69" s="10"/>
      <c r="JEI69" s="10"/>
      <c r="JEJ69" s="10"/>
      <c r="JEK69" s="10"/>
      <c r="JEL69" s="10"/>
      <c r="JEM69" s="10"/>
      <c r="JEN69" s="10"/>
      <c r="JEO69" s="10"/>
      <c r="JEP69" s="10"/>
      <c r="JEQ69" s="10"/>
      <c r="JER69" s="10"/>
      <c r="JES69" s="10"/>
      <c r="JET69" s="10"/>
      <c r="JEU69" s="10"/>
      <c r="JEV69" s="10"/>
      <c r="JEW69" s="10"/>
      <c r="JEX69" s="10"/>
      <c r="JEY69" s="10"/>
      <c r="JEZ69" s="10"/>
      <c r="JFA69" s="10"/>
      <c r="JFB69" s="10"/>
      <c r="JFC69" s="10"/>
      <c r="JFD69" s="10"/>
      <c r="JFE69" s="10"/>
      <c r="JFF69" s="10"/>
      <c r="JFG69" s="10"/>
      <c r="JFH69" s="10"/>
      <c r="JFI69" s="10"/>
      <c r="JFJ69" s="10"/>
      <c r="JFK69" s="10"/>
      <c r="JFL69" s="10"/>
      <c r="JFM69" s="10"/>
      <c r="JFN69" s="10"/>
      <c r="JFO69" s="10"/>
      <c r="JFP69" s="10"/>
      <c r="JFQ69" s="10"/>
      <c r="JFR69" s="10"/>
      <c r="JFS69" s="10"/>
      <c r="JFT69" s="10"/>
      <c r="JFU69" s="10"/>
      <c r="JFV69" s="10"/>
      <c r="JFW69" s="10"/>
      <c r="JFX69" s="10"/>
      <c r="JFY69" s="10"/>
      <c r="JFZ69" s="10"/>
      <c r="JGA69" s="10"/>
      <c r="JGB69" s="10"/>
      <c r="JGC69" s="10"/>
      <c r="JGD69" s="10"/>
      <c r="JGE69" s="10"/>
      <c r="JGF69" s="10"/>
      <c r="JGG69" s="10"/>
      <c r="JGH69" s="10"/>
      <c r="JGI69" s="10"/>
      <c r="JGJ69" s="10"/>
      <c r="JGK69" s="10"/>
      <c r="JGL69" s="10"/>
      <c r="JGM69" s="10"/>
      <c r="JGN69" s="10"/>
      <c r="JGO69" s="10"/>
      <c r="JGP69" s="10"/>
      <c r="JGQ69" s="10"/>
      <c r="JGR69" s="10"/>
      <c r="JGS69" s="10"/>
      <c r="JGT69" s="10"/>
      <c r="JGU69" s="10"/>
      <c r="JGV69" s="10"/>
      <c r="JGW69" s="10"/>
      <c r="JGX69" s="10"/>
      <c r="JGY69" s="10"/>
      <c r="JGZ69" s="10"/>
      <c r="JHA69" s="10"/>
      <c r="JHB69" s="10"/>
      <c r="JHC69" s="10"/>
      <c r="JHD69" s="10"/>
      <c r="JHE69" s="10"/>
      <c r="JHF69" s="10"/>
      <c r="JHG69" s="10"/>
      <c r="JHH69" s="10"/>
      <c r="JHI69" s="10"/>
      <c r="JHJ69" s="10"/>
      <c r="JHK69" s="10"/>
      <c r="JHL69" s="10"/>
      <c r="JHM69" s="10"/>
      <c r="JHN69" s="10"/>
      <c r="JHO69" s="10"/>
      <c r="JHP69" s="10"/>
      <c r="JHQ69" s="10"/>
      <c r="JHR69" s="10"/>
      <c r="JHS69" s="10"/>
      <c r="JHT69" s="10"/>
      <c r="JHU69" s="10"/>
      <c r="JHV69" s="10"/>
      <c r="JHW69" s="10"/>
      <c r="JHX69" s="10"/>
      <c r="JHY69" s="10"/>
      <c r="JHZ69" s="10"/>
      <c r="JIA69" s="10"/>
      <c r="JIB69" s="10"/>
      <c r="JIC69" s="10"/>
      <c r="JID69" s="10"/>
      <c r="JIE69" s="10"/>
      <c r="JIF69" s="10"/>
      <c r="JIG69" s="10"/>
      <c r="JIH69" s="10"/>
      <c r="JII69" s="10"/>
      <c r="JIJ69" s="10"/>
      <c r="JIK69" s="10"/>
      <c r="JIL69" s="10"/>
      <c r="JIM69" s="10"/>
      <c r="JIN69" s="10"/>
      <c r="JIO69" s="10"/>
      <c r="JIP69" s="10"/>
      <c r="JIQ69" s="10"/>
      <c r="JIR69" s="10"/>
      <c r="JIS69" s="10"/>
      <c r="JIT69" s="10"/>
      <c r="JIU69" s="10"/>
      <c r="JIV69" s="10"/>
      <c r="JIW69" s="10"/>
      <c r="JIX69" s="10"/>
      <c r="JIY69" s="10"/>
      <c r="JIZ69" s="10"/>
      <c r="JJA69" s="10"/>
      <c r="JJB69" s="10"/>
      <c r="JJC69" s="10"/>
      <c r="JJD69" s="10"/>
      <c r="JJE69" s="10"/>
      <c r="JJF69" s="10"/>
      <c r="JJG69" s="10"/>
      <c r="JJH69" s="10"/>
      <c r="JJI69" s="10"/>
      <c r="JJJ69" s="10"/>
      <c r="JJK69" s="10"/>
      <c r="JJL69" s="10"/>
      <c r="JJM69" s="10"/>
      <c r="JJN69" s="10"/>
      <c r="JJO69" s="10"/>
      <c r="JJP69" s="10"/>
      <c r="JJQ69" s="10"/>
      <c r="JJR69" s="10"/>
      <c r="JJS69" s="10"/>
      <c r="JJT69" s="10"/>
      <c r="JJU69" s="10"/>
      <c r="JJV69" s="10"/>
      <c r="JJW69" s="10"/>
      <c r="JJX69" s="10"/>
      <c r="JJY69" s="10"/>
      <c r="JJZ69" s="10"/>
      <c r="JKA69" s="10"/>
      <c r="JKB69" s="10"/>
      <c r="JKC69" s="10"/>
      <c r="JKD69" s="10"/>
      <c r="JKE69" s="10"/>
      <c r="JKF69" s="10"/>
      <c r="JKG69" s="10"/>
      <c r="JKH69" s="10"/>
      <c r="JKI69" s="10"/>
      <c r="JKJ69" s="10"/>
      <c r="JKK69" s="10"/>
      <c r="JKL69" s="10"/>
      <c r="JKM69" s="10"/>
      <c r="JKN69" s="10"/>
      <c r="JKO69" s="10"/>
      <c r="JKP69" s="10"/>
      <c r="JKQ69" s="10"/>
      <c r="JKR69" s="10"/>
      <c r="JKS69" s="10"/>
      <c r="JKT69" s="10"/>
      <c r="JKU69" s="10"/>
      <c r="JKV69" s="10"/>
      <c r="JKW69" s="10"/>
      <c r="JKX69" s="10"/>
      <c r="JKY69" s="10"/>
      <c r="JKZ69" s="10"/>
      <c r="JLA69" s="10"/>
      <c r="JLB69" s="10"/>
      <c r="JLC69" s="10"/>
      <c r="JLD69" s="10"/>
      <c r="JLE69" s="10"/>
      <c r="JLF69" s="10"/>
      <c r="JLG69" s="10"/>
      <c r="JLH69" s="10"/>
      <c r="JLI69" s="10"/>
      <c r="JLJ69" s="10"/>
      <c r="JLK69" s="10"/>
      <c r="JLL69" s="10"/>
      <c r="JLM69" s="10"/>
      <c r="JLN69" s="10"/>
      <c r="JLO69" s="10"/>
      <c r="JLP69" s="10"/>
      <c r="JLQ69" s="10"/>
      <c r="JLR69" s="10"/>
      <c r="JLS69" s="10"/>
      <c r="JLT69" s="10"/>
      <c r="JLU69" s="10"/>
      <c r="JLV69" s="10"/>
      <c r="JLW69" s="10"/>
      <c r="JLX69" s="10"/>
      <c r="JLY69" s="10"/>
      <c r="JLZ69" s="10"/>
      <c r="JMA69" s="10"/>
      <c r="JMB69" s="10"/>
      <c r="JMC69" s="10"/>
      <c r="JMD69" s="10"/>
      <c r="JME69" s="10"/>
      <c r="JMF69" s="10"/>
      <c r="JMG69" s="10"/>
      <c r="JMH69" s="10"/>
      <c r="JMI69" s="10"/>
      <c r="JMJ69" s="10"/>
      <c r="JMK69" s="10"/>
      <c r="JML69" s="10"/>
      <c r="JMM69" s="10"/>
      <c r="JMN69" s="10"/>
      <c r="JMO69" s="10"/>
      <c r="JMP69" s="10"/>
      <c r="JMQ69" s="10"/>
      <c r="JMR69" s="10"/>
      <c r="JMS69" s="10"/>
      <c r="JMT69" s="10"/>
      <c r="JMU69" s="10"/>
      <c r="JMV69" s="10"/>
      <c r="JMW69" s="10"/>
      <c r="JMX69" s="10"/>
      <c r="JMY69" s="10"/>
      <c r="JMZ69" s="10"/>
      <c r="JNA69" s="10"/>
      <c r="JNB69" s="10"/>
      <c r="JNC69" s="10"/>
      <c r="JND69" s="10"/>
      <c r="JNE69" s="10"/>
      <c r="JNF69" s="10"/>
      <c r="JNG69" s="10"/>
      <c r="JNH69" s="10"/>
      <c r="JNI69" s="10"/>
      <c r="JNJ69" s="10"/>
      <c r="JNK69" s="10"/>
      <c r="JNL69" s="10"/>
      <c r="JNM69" s="10"/>
      <c r="JNN69" s="10"/>
      <c r="JNO69" s="10"/>
      <c r="JNP69" s="10"/>
      <c r="JNQ69" s="10"/>
      <c r="JNR69" s="10"/>
      <c r="JNS69" s="10"/>
      <c r="JNT69" s="10"/>
      <c r="JNU69" s="10"/>
      <c r="JNV69" s="10"/>
      <c r="JNW69" s="10"/>
      <c r="JNX69" s="10"/>
      <c r="JNY69" s="10"/>
      <c r="JNZ69" s="10"/>
      <c r="JOA69" s="10"/>
      <c r="JOB69" s="10"/>
      <c r="JOC69" s="10"/>
      <c r="JOD69" s="10"/>
      <c r="JOE69" s="10"/>
      <c r="JOF69" s="10"/>
      <c r="JOG69" s="10"/>
      <c r="JOH69" s="10"/>
      <c r="JOI69" s="10"/>
      <c r="JOJ69" s="10"/>
      <c r="JOK69" s="10"/>
      <c r="JOL69" s="10"/>
      <c r="JOM69" s="10"/>
      <c r="JON69" s="10"/>
      <c r="JOO69" s="10"/>
      <c r="JOP69" s="10"/>
      <c r="JOQ69" s="10"/>
      <c r="JOR69" s="10"/>
      <c r="JOS69" s="10"/>
      <c r="JOT69" s="10"/>
      <c r="JOU69" s="10"/>
      <c r="JOV69" s="10"/>
      <c r="JOW69" s="10"/>
      <c r="JOX69" s="10"/>
      <c r="JOY69" s="10"/>
      <c r="JOZ69" s="10"/>
      <c r="JPA69" s="10"/>
      <c r="JPB69" s="10"/>
      <c r="JPC69" s="10"/>
      <c r="JPD69" s="10"/>
      <c r="JPE69" s="10"/>
      <c r="JPF69" s="10"/>
      <c r="JPG69" s="10"/>
      <c r="JPH69" s="10"/>
      <c r="JPI69" s="10"/>
      <c r="JPJ69" s="10"/>
      <c r="JPK69" s="10"/>
      <c r="JPL69" s="10"/>
      <c r="JPM69" s="10"/>
      <c r="JPN69" s="10"/>
      <c r="JPO69" s="10"/>
      <c r="JPP69" s="10"/>
      <c r="JPQ69" s="10"/>
      <c r="JPR69" s="10"/>
      <c r="JPS69" s="10"/>
      <c r="JPT69" s="10"/>
      <c r="JPU69" s="10"/>
      <c r="JPV69" s="10"/>
      <c r="JPW69" s="10"/>
      <c r="JPX69" s="10"/>
      <c r="JPY69" s="10"/>
      <c r="JPZ69" s="10"/>
      <c r="JQA69" s="10"/>
      <c r="JQB69" s="10"/>
      <c r="JQC69" s="10"/>
      <c r="JQD69" s="10"/>
      <c r="JQE69" s="10"/>
      <c r="JQF69" s="10"/>
      <c r="JQG69" s="10"/>
      <c r="JQH69" s="10"/>
      <c r="JQI69" s="10"/>
      <c r="JQJ69" s="10"/>
      <c r="JQK69" s="10"/>
      <c r="JQL69" s="10"/>
      <c r="JQM69" s="10"/>
      <c r="JQN69" s="10"/>
      <c r="JQO69" s="10"/>
      <c r="JQP69" s="10"/>
      <c r="JQQ69" s="10"/>
      <c r="JQR69" s="10"/>
      <c r="JQS69" s="10"/>
      <c r="JQT69" s="10"/>
      <c r="JQU69" s="10"/>
      <c r="JQV69" s="10"/>
      <c r="JQW69" s="10"/>
      <c r="JQX69" s="10"/>
      <c r="JQY69" s="10"/>
      <c r="JQZ69" s="10"/>
      <c r="JRA69" s="10"/>
      <c r="JRB69" s="10"/>
      <c r="JRC69" s="10"/>
      <c r="JRD69" s="10"/>
      <c r="JRE69" s="10"/>
      <c r="JRF69" s="10"/>
      <c r="JRG69" s="10"/>
      <c r="JRH69" s="10"/>
      <c r="JRI69" s="10"/>
      <c r="JRJ69" s="10"/>
      <c r="JRK69" s="10"/>
      <c r="JRL69" s="10"/>
      <c r="JRM69" s="10"/>
      <c r="JRN69" s="10"/>
      <c r="JRO69" s="10"/>
      <c r="JRP69" s="10"/>
      <c r="JRQ69" s="10"/>
      <c r="JRR69" s="10"/>
      <c r="JRS69" s="10"/>
      <c r="JRT69" s="10"/>
      <c r="JRU69" s="10"/>
      <c r="JRV69" s="10"/>
      <c r="JRW69" s="10"/>
      <c r="JRX69" s="10"/>
      <c r="JRY69" s="10"/>
      <c r="JRZ69" s="10"/>
      <c r="JSA69" s="10"/>
      <c r="JSB69" s="10"/>
      <c r="JSC69" s="10"/>
      <c r="JSD69" s="10"/>
      <c r="JSE69" s="10"/>
      <c r="JSF69" s="10"/>
      <c r="JSG69" s="10"/>
      <c r="JSH69" s="10"/>
      <c r="JSI69" s="10"/>
      <c r="JSJ69" s="10"/>
      <c r="JSK69" s="10"/>
      <c r="JSL69" s="10"/>
      <c r="JSM69" s="10"/>
      <c r="JSN69" s="10"/>
      <c r="JSO69" s="10"/>
      <c r="JSP69" s="10"/>
      <c r="JSQ69" s="10"/>
      <c r="JSR69" s="10"/>
      <c r="JSS69" s="10"/>
      <c r="JST69" s="10"/>
      <c r="JSU69" s="10"/>
      <c r="JSV69" s="10"/>
      <c r="JSW69" s="10"/>
      <c r="JSX69" s="10"/>
      <c r="JSY69" s="10"/>
      <c r="JSZ69" s="10"/>
      <c r="JTA69" s="10"/>
      <c r="JTB69" s="10"/>
      <c r="JTC69" s="10"/>
      <c r="JTD69" s="10"/>
      <c r="JTE69" s="10"/>
      <c r="JTF69" s="10"/>
      <c r="JTG69" s="10"/>
      <c r="JTH69" s="10"/>
      <c r="JTI69" s="10"/>
      <c r="JTJ69" s="10"/>
      <c r="JTK69" s="10"/>
      <c r="JTL69" s="10"/>
      <c r="JTM69" s="10"/>
      <c r="JTN69" s="10"/>
      <c r="JTO69" s="10"/>
      <c r="JTP69" s="10"/>
      <c r="JTQ69" s="10"/>
      <c r="JTR69" s="10"/>
      <c r="JTS69" s="10"/>
      <c r="JTT69" s="10"/>
      <c r="JTU69" s="10"/>
      <c r="JTV69" s="10"/>
      <c r="JTW69" s="10"/>
      <c r="JTX69" s="10"/>
      <c r="JTY69" s="10"/>
      <c r="JTZ69" s="10"/>
      <c r="JUA69" s="10"/>
      <c r="JUB69" s="10"/>
      <c r="JUC69" s="10"/>
      <c r="JUD69" s="10"/>
      <c r="JUE69" s="10"/>
      <c r="JUF69" s="10"/>
      <c r="JUG69" s="10"/>
      <c r="JUH69" s="10"/>
      <c r="JUI69" s="10"/>
      <c r="JUJ69" s="10"/>
      <c r="JUK69" s="10"/>
      <c r="JUL69" s="10"/>
      <c r="JUM69" s="10"/>
      <c r="JUN69" s="10"/>
      <c r="JUO69" s="10"/>
      <c r="JUP69" s="10"/>
      <c r="JUQ69" s="10"/>
      <c r="JUR69" s="10"/>
      <c r="JUS69" s="10"/>
      <c r="JUT69" s="10"/>
      <c r="JUU69" s="10"/>
      <c r="JUV69" s="10"/>
      <c r="JUW69" s="10"/>
      <c r="JUX69" s="10"/>
      <c r="JUY69" s="10"/>
      <c r="JUZ69" s="10"/>
      <c r="JVA69" s="10"/>
      <c r="JVB69" s="10"/>
      <c r="JVC69" s="10"/>
      <c r="JVD69" s="10"/>
      <c r="JVE69" s="10"/>
      <c r="JVF69" s="10"/>
      <c r="JVG69" s="10"/>
      <c r="JVH69" s="10"/>
      <c r="JVI69" s="10"/>
      <c r="JVJ69" s="10"/>
      <c r="JVK69" s="10"/>
      <c r="JVL69" s="10"/>
      <c r="JVM69" s="10"/>
      <c r="JVN69" s="10"/>
      <c r="JVO69" s="10"/>
      <c r="JVP69" s="10"/>
      <c r="JVQ69" s="10"/>
      <c r="JVR69" s="10"/>
      <c r="JVS69" s="10"/>
      <c r="JVT69" s="10"/>
      <c r="JVU69" s="10"/>
      <c r="JVV69" s="10"/>
      <c r="JVW69" s="10"/>
      <c r="JVX69" s="10"/>
      <c r="JVY69" s="10"/>
      <c r="JVZ69" s="10"/>
      <c r="JWA69" s="10"/>
      <c r="JWB69" s="10"/>
      <c r="JWC69" s="10"/>
      <c r="JWD69" s="10"/>
      <c r="JWE69" s="10"/>
      <c r="JWF69" s="10"/>
      <c r="JWG69" s="10"/>
      <c r="JWH69" s="10"/>
      <c r="JWI69" s="10"/>
      <c r="JWJ69" s="10"/>
      <c r="JWK69" s="10"/>
      <c r="JWL69" s="10"/>
      <c r="JWM69" s="10"/>
      <c r="JWN69" s="10"/>
      <c r="JWO69" s="10"/>
      <c r="JWP69" s="10"/>
      <c r="JWQ69" s="10"/>
      <c r="JWR69" s="10"/>
      <c r="JWS69" s="10"/>
      <c r="JWT69" s="10"/>
      <c r="JWU69" s="10"/>
      <c r="JWV69" s="10"/>
      <c r="JWW69" s="10"/>
      <c r="JWX69" s="10"/>
      <c r="JWY69" s="10"/>
      <c r="JWZ69" s="10"/>
      <c r="JXA69" s="10"/>
      <c r="JXB69" s="10"/>
      <c r="JXC69" s="10"/>
      <c r="JXD69" s="10"/>
      <c r="JXE69" s="10"/>
      <c r="JXF69" s="10"/>
      <c r="JXG69" s="10"/>
      <c r="JXH69" s="10"/>
      <c r="JXI69" s="10"/>
      <c r="JXJ69" s="10"/>
      <c r="JXK69" s="10"/>
      <c r="JXL69" s="10"/>
      <c r="JXM69" s="10"/>
      <c r="JXN69" s="10"/>
      <c r="JXO69" s="10"/>
      <c r="JXP69" s="10"/>
      <c r="JXQ69" s="10"/>
      <c r="JXR69" s="10"/>
      <c r="JXS69" s="10"/>
      <c r="JXT69" s="10"/>
      <c r="JXU69" s="10"/>
      <c r="JXV69" s="10"/>
      <c r="JXW69" s="10"/>
      <c r="JXX69" s="10"/>
      <c r="JXY69" s="10"/>
      <c r="JXZ69" s="10"/>
      <c r="JYA69" s="10"/>
      <c r="JYB69" s="10"/>
      <c r="JYC69" s="10"/>
      <c r="JYD69" s="10"/>
      <c r="JYE69" s="10"/>
      <c r="JYF69" s="10"/>
      <c r="JYG69" s="10"/>
      <c r="JYH69" s="10"/>
      <c r="JYI69" s="10"/>
      <c r="JYJ69" s="10"/>
      <c r="JYK69" s="10"/>
      <c r="JYL69" s="10"/>
      <c r="JYM69" s="10"/>
      <c r="JYN69" s="10"/>
      <c r="JYO69" s="10"/>
      <c r="JYP69" s="10"/>
      <c r="JYQ69" s="10"/>
      <c r="JYR69" s="10"/>
      <c r="JYS69" s="10"/>
      <c r="JYT69" s="10"/>
      <c r="JYU69" s="10"/>
      <c r="JYV69" s="10"/>
      <c r="JYW69" s="10"/>
      <c r="JYX69" s="10"/>
      <c r="JYY69" s="10"/>
      <c r="JYZ69" s="10"/>
      <c r="JZA69" s="10"/>
      <c r="JZB69" s="10"/>
      <c r="JZC69" s="10"/>
      <c r="JZD69" s="10"/>
      <c r="JZE69" s="10"/>
      <c r="JZF69" s="10"/>
      <c r="JZG69" s="10"/>
      <c r="JZH69" s="10"/>
      <c r="JZI69" s="10"/>
      <c r="JZJ69" s="10"/>
      <c r="JZK69" s="10"/>
      <c r="JZL69" s="10"/>
      <c r="JZM69" s="10"/>
      <c r="JZN69" s="10"/>
      <c r="JZO69" s="10"/>
      <c r="JZP69" s="10"/>
      <c r="JZQ69" s="10"/>
      <c r="JZR69" s="10"/>
      <c r="JZS69" s="10"/>
      <c r="JZT69" s="10"/>
      <c r="JZU69" s="10"/>
      <c r="JZV69" s="10"/>
      <c r="JZW69" s="10"/>
      <c r="JZX69" s="10"/>
      <c r="JZY69" s="10"/>
      <c r="JZZ69" s="10"/>
      <c r="KAA69" s="10"/>
      <c r="KAB69" s="10"/>
      <c r="KAC69" s="10"/>
      <c r="KAD69" s="10"/>
      <c r="KAE69" s="10"/>
      <c r="KAF69" s="10"/>
      <c r="KAG69" s="10"/>
      <c r="KAH69" s="10"/>
      <c r="KAI69" s="10"/>
      <c r="KAJ69" s="10"/>
      <c r="KAK69" s="10"/>
      <c r="KAL69" s="10"/>
      <c r="KAM69" s="10"/>
      <c r="KAN69" s="10"/>
      <c r="KAO69" s="10"/>
      <c r="KAP69" s="10"/>
      <c r="KAQ69" s="10"/>
      <c r="KAR69" s="10"/>
      <c r="KAS69" s="10"/>
      <c r="KAT69" s="10"/>
      <c r="KAU69" s="10"/>
      <c r="KAV69" s="10"/>
      <c r="KAW69" s="10"/>
      <c r="KAX69" s="10"/>
      <c r="KAY69" s="10"/>
      <c r="KAZ69" s="10"/>
      <c r="KBA69" s="10"/>
      <c r="KBB69" s="10"/>
      <c r="KBC69" s="10"/>
      <c r="KBD69" s="10"/>
      <c r="KBE69" s="10"/>
      <c r="KBF69" s="10"/>
      <c r="KBG69" s="10"/>
      <c r="KBH69" s="10"/>
      <c r="KBI69" s="10"/>
      <c r="KBJ69" s="10"/>
      <c r="KBK69" s="10"/>
      <c r="KBL69" s="10"/>
      <c r="KBM69" s="10"/>
      <c r="KBN69" s="10"/>
      <c r="KBO69" s="10"/>
      <c r="KBP69" s="10"/>
      <c r="KBQ69" s="10"/>
      <c r="KBR69" s="10"/>
      <c r="KBS69" s="10"/>
      <c r="KBT69" s="10"/>
      <c r="KBU69" s="10"/>
      <c r="KBV69" s="10"/>
      <c r="KBW69" s="10"/>
      <c r="KBX69" s="10"/>
      <c r="KBY69" s="10"/>
      <c r="KBZ69" s="10"/>
      <c r="KCA69" s="10"/>
      <c r="KCB69" s="10"/>
      <c r="KCC69" s="10"/>
      <c r="KCD69" s="10"/>
      <c r="KCE69" s="10"/>
      <c r="KCF69" s="10"/>
      <c r="KCG69" s="10"/>
      <c r="KCH69" s="10"/>
      <c r="KCI69" s="10"/>
      <c r="KCJ69" s="10"/>
      <c r="KCK69" s="10"/>
      <c r="KCL69" s="10"/>
      <c r="KCM69" s="10"/>
      <c r="KCN69" s="10"/>
      <c r="KCO69" s="10"/>
      <c r="KCP69" s="10"/>
      <c r="KCQ69" s="10"/>
      <c r="KCR69" s="10"/>
      <c r="KCS69" s="10"/>
      <c r="KCT69" s="10"/>
      <c r="KCU69" s="10"/>
      <c r="KCV69" s="10"/>
      <c r="KCW69" s="10"/>
      <c r="KCX69" s="10"/>
      <c r="KCY69" s="10"/>
      <c r="KCZ69" s="10"/>
      <c r="KDA69" s="10"/>
      <c r="KDB69" s="10"/>
      <c r="KDC69" s="10"/>
      <c r="KDD69" s="10"/>
      <c r="KDE69" s="10"/>
      <c r="KDF69" s="10"/>
      <c r="KDG69" s="10"/>
      <c r="KDH69" s="10"/>
      <c r="KDI69" s="10"/>
      <c r="KDJ69" s="10"/>
      <c r="KDK69" s="10"/>
      <c r="KDL69" s="10"/>
      <c r="KDM69" s="10"/>
      <c r="KDN69" s="10"/>
      <c r="KDO69" s="10"/>
      <c r="KDP69" s="10"/>
      <c r="KDQ69" s="10"/>
      <c r="KDR69" s="10"/>
      <c r="KDS69" s="10"/>
      <c r="KDT69" s="10"/>
      <c r="KDU69" s="10"/>
      <c r="KDV69" s="10"/>
      <c r="KDW69" s="10"/>
      <c r="KDX69" s="10"/>
      <c r="KDY69" s="10"/>
      <c r="KDZ69" s="10"/>
      <c r="KEA69" s="10"/>
      <c r="KEB69" s="10"/>
      <c r="KEC69" s="10"/>
      <c r="KED69" s="10"/>
      <c r="KEE69" s="10"/>
      <c r="KEF69" s="10"/>
      <c r="KEG69" s="10"/>
      <c r="KEH69" s="10"/>
      <c r="KEI69" s="10"/>
      <c r="KEJ69" s="10"/>
      <c r="KEK69" s="10"/>
      <c r="KEL69" s="10"/>
      <c r="KEM69" s="10"/>
      <c r="KEN69" s="10"/>
      <c r="KEO69" s="10"/>
      <c r="KEP69" s="10"/>
      <c r="KEQ69" s="10"/>
      <c r="KER69" s="10"/>
      <c r="KES69" s="10"/>
      <c r="KET69" s="10"/>
      <c r="KEU69" s="10"/>
      <c r="KEV69" s="10"/>
      <c r="KEW69" s="10"/>
      <c r="KEX69" s="10"/>
      <c r="KEY69" s="10"/>
      <c r="KEZ69" s="10"/>
      <c r="KFA69" s="10"/>
      <c r="KFB69" s="10"/>
      <c r="KFC69" s="10"/>
      <c r="KFD69" s="10"/>
      <c r="KFE69" s="10"/>
      <c r="KFF69" s="10"/>
      <c r="KFG69" s="10"/>
      <c r="KFH69" s="10"/>
      <c r="KFI69" s="10"/>
      <c r="KFJ69" s="10"/>
      <c r="KFK69" s="10"/>
      <c r="KFL69" s="10"/>
      <c r="KFM69" s="10"/>
      <c r="KFN69" s="10"/>
      <c r="KFO69" s="10"/>
      <c r="KFP69" s="10"/>
      <c r="KFQ69" s="10"/>
      <c r="KFR69" s="10"/>
      <c r="KFS69" s="10"/>
      <c r="KFT69" s="10"/>
      <c r="KFU69" s="10"/>
      <c r="KFV69" s="10"/>
      <c r="KFW69" s="10"/>
      <c r="KFX69" s="10"/>
      <c r="KFY69" s="10"/>
      <c r="KFZ69" s="10"/>
      <c r="KGA69" s="10"/>
      <c r="KGB69" s="10"/>
      <c r="KGC69" s="10"/>
      <c r="KGD69" s="10"/>
      <c r="KGE69" s="10"/>
      <c r="KGF69" s="10"/>
      <c r="KGG69" s="10"/>
      <c r="KGH69" s="10"/>
      <c r="KGI69" s="10"/>
      <c r="KGJ69" s="10"/>
      <c r="KGK69" s="10"/>
      <c r="KGL69" s="10"/>
      <c r="KGM69" s="10"/>
      <c r="KGN69" s="10"/>
      <c r="KGO69" s="10"/>
      <c r="KGP69" s="10"/>
      <c r="KGQ69" s="10"/>
      <c r="KGR69" s="10"/>
      <c r="KGS69" s="10"/>
      <c r="KGT69" s="10"/>
      <c r="KGU69" s="10"/>
      <c r="KGV69" s="10"/>
      <c r="KGW69" s="10"/>
      <c r="KGX69" s="10"/>
      <c r="KGY69" s="10"/>
      <c r="KGZ69" s="10"/>
      <c r="KHA69" s="10"/>
      <c r="KHB69" s="10"/>
      <c r="KHC69" s="10"/>
      <c r="KHD69" s="10"/>
      <c r="KHE69" s="10"/>
      <c r="KHF69" s="10"/>
      <c r="KHG69" s="10"/>
      <c r="KHH69" s="10"/>
      <c r="KHI69" s="10"/>
      <c r="KHJ69" s="10"/>
      <c r="KHK69" s="10"/>
      <c r="KHL69" s="10"/>
      <c r="KHM69" s="10"/>
      <c r="KHN69" s="10"/>
      <c r="KHO69" s="10"/>
      <c r="KHP69" s="10"/>
      <c r="KHQ69" s="10"/>
      <c r="KHR69" s="10"/>
      <c r="KHS69" s="10"/>
      <c r="KHT69" s="10"/>
      <c r="KHU69" s="10"/>
      <c r="KHV69" s="10"/>
      <c r="KHW69" s="10"/>
      <c r="KHX69" s="10"/>
      <c r="KHY69" s="10"/>
      <c r="KHZ69" s="10"/>
      <c r="KIA69" s="10"/>
      <c r="KIB69" s="10"/>
      <c r="KIC69" s="10"/>
      <c r="KID69" s="10"/>
      <c r="KIE69" s="10"/>
      <c r="KIF69" s="10"/>
      <c r="KIG69" s="10"/>
      <c r="KIH69" s="10"/>
      <c r="KII69" s="10"/>
      <c r="KIJ69" s="10"/>
      <c r="KIK69" s="10"/>
      <c r="KIL69" s="10"/>
      <c r="KIM69" s="10"/>
      <c r="KIN69" s="10"/>
      <c r="KIO69" s="10"/>
      <c r="KIP69" s="10"/>
      <c r="KIQ69" s="10"/>
      <c r="KIR69" s="10"/>
      <c r="KIS69" s="10"/>
      <c r="KIT69" s="10"/>
      <c r="KIU69" s="10"/>
      <c r="KIV69" s="10"/>
      <c r="KIW69" s="10"/>
      <c r="KIX69" s="10"/>
      <c r="KIY69" s="10"/>
      <c r="KIZ69" s="10"/>
      <c r="KJA69" s="10"/>
      <c r="KJB69" s="10"/>
      <c r="KJC69" s="10"/>
      <c r="KJD69" s="10"/>
      <c r="KJE69" s="10"/>
      <c r="KJF69" s="10"/>
      <c r="KJG69" s="10"/>
      <c r="KJH69" s="10"/>
      <c r="KJI69" s="10"/>
      <c r="KJJ69" s="10"/>
      <c r="KJK69" s="10"/>
      <c r="KJL69" s="10"/>
      <c r="KJM69" s="10"/>
      <c r="KJN69" s="10"/>
      <c r="KJO69" s="10"/>
      <c r="KJP69" s="10"/>
      <c r="KJQ69" s="10"/>
      <c r="KJR69" s="10"/>
      <c r="KJS69" s="10"/>
      <c r="KJT69" s="10"/>
      <c r="KJU69" s="10"/>
      <c r="KJV69" s="10"/>
      <c r="KJW69" s="10"/>
      <c r="KJX69" s="10"/>
      <c r="KJY69" s="10"/>
      <c r="KJZ69" s="10"/>
      <c r="KKA69" s="10"/>
      <c r="KKB69" s="10"/>
      <c r="KKC69" s="10"/>
      <c r="KKD69" s="10"/>
      <c r="KKE69" s="10"/>
      <c r="KKF69" s="10"/>
      <c r="KKG69" s="10"/>
      <c r="KKH69" s="10"/>
      <c r="KKI69" s="10"/>
      <c r="KKJ69" s="10"/>
      <c r="KKK69" s="10"/>
      <c r="KKL69" s="10"/>
      <c r="KKM69" s="10"/>
      <c r="KKN69" s="10"/>
      <c r="KKO69" s="10"/>
      <c r="KKP69" s="10"/>
      <c r="KKQ69" s="10"/>
      <c r="KKR69" s="10"/>
      <c r="KKS69" s="10"/>
      <c r="KKT69" s="10"/>
      <c r="KKU69" s="10"/>
      <c r="KKV69" s="10"/>
      <c r="KKW69" s="10"/>
      <c r="KKX69" s="10"/>
      <c r="KKY69" s="10"/>
      <c r="KKZ69" s="10"/>
      <c r="KLA69" s="10"/>
      <c r="KLB69" s="10"/>
      <c r="KLC69" s="10"/>
      <c r="KLD69" s="10"/>
      <c r="KLE69" s="10"/>
      <c r="KLF69" s="10"/>
      <c r="KLG69" s="10"/>
      <c r="KLH69" s="10"/>
      <c r="KLI69" s="10"/>
      <c r="KLJ69" s="10"/>
      <c r="KLK69" s="10"/>
      <c r="KLL69" s="10"/>
      <c r="KLM69" s="10"/>
      <c r="KLN69" s="10"/>
      <c r="KLO69" s="10"/>
      <c r="KLP69" s="10"/>
      <c r="KLQ69" s="10"/>
      <c r="KLR69" s="10"/>
      <c r="KLS69" s="10"/>
      <c r="KLT69" s="10"/>
      <c r="KLU69" s="10"/>
      <c r="KLV69" s="10"/>
      <c r="KLW69" s="10"/>
      <c r="KLX69" s="10"/>
      <c r="KLY69" s="10"/>
      <c r="KLZ69" s="10"/>
      <c r="KMA69" s="10"/>
      <c r="KMB69" s="10"/>
      <c r="KMC69" s="10"/>
      <c r="KMD69" s="10"/>
      <c r="KME69" s="10"/>
      <c r="KMF69" s="10"/>
      <c r="KMG69" s="10"/>
      <c r="KMH69" s="10"/>
      <c r="KMI69" s="10"/>
      <c r="KMJ69" s="10"/>
      <c r="KMK69" s="10"/>
      <c r="KML69" s="10"/>
      <c r="KMM69" s="10"/>
      <c r="KMN69" s="10"/>
      <c r="KMO69" s="10"/>
      <c r="KMP69" s="10"/>
      <c r="KMQ69" s="10"/>
      <c r="KMR69" s="10"/>
      <c r="KMS69" s="10"/>
      <c r="KMT69" s="10"/>
      <c r="KMU69" s="10"/>
      <c r="KMV69" s="10"/>
      <c r="KMW69" s="10"/>
      <c r="KMX69" s="10"/>
      <c r="KMY69" s="10"/>
      <c r="KMZ69" s="10"/>
      <c r="KNA69" s="10"/>
      <c r="KNB69" s="10"/>
      <c r="KNC69" s="10"/>
      <c r="KND69" s="10"/>
      <c r="KNE69" s="10"/>
      <c r="KNF69" s="10"/>
      <c r="KNG69" s="10"/>
      <c r="KNH69" s="10"/>
      <c r="KNI69" s="10"/>
      <c r="KNJ69" s="10"/>
      <c r="KNK69" s="10"/>
      <c r="KNL69" s="10"/>
      <c r="KNM69" s="10"/>
      <c r="KNN69" s="10"/>
      <c r="KNO69" s="10"/>
      <c r="KNP69" s="10"/>
      <c r="KNQ69" s="10"/>
      <c r="KNR69" s="10"/>
      <c r="KNS69" s="10"/>
      <c r="KNT69" s="10"/>
      <c r="KNU69" s="10"/>
      <c r="KNV69" s="10"/>
      <c r="KNW69" s="10"/>
      <c r="KNX69" s="10"/>
      <c r="KNY69" s="10"/>
      <c r="KNZ69" s="10"/>
      <c r="KOA69" s="10"/>
      <c r="KOB69" s="10"/>
      <c r="KOC69" s="10"/>
      <c r="KOD69" s="10"/>
      <c r="KOE69" s="10"/>
      <c r="KOF69" s="10"/>
      <c r="KOG69" s="10"/>
      <c r="KOH69" s="10"/>
      <c r="KOI69" s="10"/>
      <c r="KOJ69" s="10"/>
      <c r="KOK69" s="10"/>
      <c r="KOL69" s="10"/>
      <c r="KOM69" s="10"/>
      <c r="KON69" s="10"/>
      <c r="KOO69" s="10"/>
      <c r="KOP69" s="10"/>
      <c r="KOQ69" s="10"/>
      <c r="KOR69" s="10"/>
      <c r="KOS69" s="10"/>
      <c r="KOT69" s="10"/>
      <c r="KOU69" s="10"/>
      <c r="KOV69" s="10"/>
      <c r="KOW69" s="10"/>
      <c r="KOX69" s="10"/>
      <c r="KOY69" s="10"/>
      <c r="KOZ69" s="10"/>
      <c r="KPA69" s="10"/>
      <c r="KPB69" s="10"/>
      <c r="KPC69" s="10"/>
      <c r="KPD69" s="10"/>
      <c r="KPE69" s="10"/>
      <c r="KPF69" s="10"/>
      <c r="KPG69" s="10"/>
      <c r="KPH69" s="10"/>
      <c r="KPI69" s="10"/>
      <c r="KPJ69" s="10"/>
      <c r="KPK69" s="10"/>
      <c r="KPL69" s="10"/>
      <c r="KPM69" s="10"/>
      <c r="KPN69" s="10"/>
      <c r="KPO69" s="10"/>
      <c r="KPP69" s="10"/>
      <c r="KPQ69" s="10"/>
      <c r="KPR69" s="10"/>
      <c r="KPS69" s="10"/>
      <c r="KPT69" s="10"/>
      <c r="KPU69" s="10"/>
      <c r="KPV69" s="10"/>
      <c r="KPW69" s="10"/>
      <c r="KPX69" s="10"/>
      <c r="KPY69" s="10"/>
      <c r="KPZ69" s="10"/>
      <c r="KQA69" s="10"/>
      <c r="KQB69" s="10"/>
      <c r="KQC69" s="10"/>
      <c r="KQD69" s="10"/>
      <c r="KQE69" s="10"/>
      <c r="KQF69" s="10"/>
      <c r="KQG69" s="10"/>
      <c r="KQH69" s="10"/>
      <c r="KQI69" s="10"/>
      <c r="KQJ69" s="10"/>
      <c r="KQK69" s="10"/>
      <c r="KQL69" s="10"/>
      <c r="KQM69" s="10"/>
      <c r="KQN69" s="10"/>
      <c r="KQO69" s="10"/>
      <c r="KQP69" s="10"/>
      <c r="KQQ69" s="10"/>
      <c r="KQR69" s="10"/>
      <c r="KQS69" s="10"/>
      <c r="KQT69" s="10"/>
      <c r="KQU69" s="10"/>
      <c r="KQV69" s="10"/>
      <c r="KQW69" s="10"/>
      <c r="KQX69" s="10"/>
      <c r="KQY69" s="10"/>
      <c r="KQZ69" s="10"/>
      <c r="KRA69" s="10"/>
      <c r="KRB69" s="10"/>
      <c r="KRC69" s="10"/>
      <c r="KRD69" s="10"/>
      <c r="KRE69" s="10"/>
      <c r="KRF69" s="10"/>
      <c r="KRG69" s="10"/>
      <c r="KRH69" s="10"/>
      <c r="KRI69" s="10"/>
      <c r="KRJ69" s="10"/>
      <c r="KRK69" s="10"/>
      <c r="KRL69" s="10"/>
      <c r="KRM69" s="10"/>
      <c r="KRN69" s="10"/>
      <c r="KRO69" s="10"/>
      <c r="KRP69" s="10"/>
      <c r="KRQ69" s="10"/>
      <c r="KRR69" s="10"/>
      <c r="KRS69" s="10"/>
      <c r="KRT69" s="10"/>
      <c r="KRU69" s="10"/>
      <c r="KRV69" s="10"/>
      <c r="KRW69" s="10"/>
      <c r="KRX69" s="10"/>
      <c r="KRY69" s="10"/>
      <c r="KRZ69" s="10"/>
      <c r="KSA69" s="10"/>
      <c r="KSB69" s="10"/>
      <c r="KSC69" s="10"/>
      <c r="KSD69" s="10"/>
      <c r="KSE69" s="10"/>
      <c r="KSF69" s="10"/>
      <c r="KSG69" s="10"/>
      <c r="KSH69" s="10"/>
      <c r="KSI69" s="10"/>
      <c r="KSJ69" s="10"/>
      <c r="KSK69" s="10"/>
      <c r="KSL69" s="10"/>
      <c r="KSM69" s="10"/>
      <c r="KSN69" s="10"/>
      <c r="KSO69" s="10"/>
      <c r="KSP69" s="10"/>
      <c r="KSQ69" s="10"/>
      <c r="KSR69" s="10"/>
      <c r="KSS69" s="10"/>
      <c r="KST69" s="10"/>
      <c r="KSU69" s="10"/>
      <c r="KSV69" s="10"/>
      <c r="KSW69" s="10"/>
      <c r="KSX69" s="10"/>
      <c r="KSY69" s="10"/>
      <c r="KSZ69" s="10"/>
      <c r="KTA69" s="10"/>
      <c r="KTB69" s="10"/>
      <c r="KTC69" s="10"/>
      <c r="KTD69" s="10"/>
      <c r="KTE69" s="10"/>
      <c r="KTF69" s="10"/>
      <c r="KTG69" s="10"/>
      <c r="KTH69" s="10"/>
      <c r="KTI69" s="10"/>
      <c r="KTJ69" s="10"/>
      <c r="KTK69" s="10"/>
      <c r="KTL69" s="10"/>
      <c r="KTM69" s="10"/>
      <c r="KTN69" s="10"/>
      <c r="KTO69" s="10"/>
      <c r="KTP69" s="10"/>
      <c r="KTQ69" s="10"/>
      <c r="KTR69" s="10"/>
      <c r="KTS69" s="10"/>
      <c r="KTT69" s="10"/>
      <c r="KTU69" s="10"/>
      <c r="KTV69" s="10"/>
      <c r="KTW69" s="10"/>
      <c r="KTX69" s="10"/>
      <c r="KTY69" s="10"/>
      <c r="KTZ69" s="10"/>
      <c r="KUA69" s="10"/>
      <c r="KUB69" s="10"/>
      <c r="KUC69" s="10"/>
      <c r="KUD69" s="10"/>
      <c r="KUE69" s="10"/>
      <c r="KUF69" s="10"/>
      <c r="KUG69" s="10"/>
      <c r="KUH69" s="10"/>
      <c r="KUI69" s="10"/>
      <c r="KUJ69" s="10"/>
      <c r="KUK69" s="10"/>
      <c r="KUL69" s="10"/>
      <c r="KUM69" s="10"/>
      <c r="KUN69" s="10"/>
      <c r="KUO69" s="10"/>
      <c r="KUP69" s="10"/>
      <c r="KUQ69" s="10"/>
      <c r="KUR69" s="10"/>
      <c r="KUS69" s="10"/>
      <c r="KUT69" s="10"/>
      <c r="KUU69" s="10"/>
      <c r="KUV69" s="10"/>
      <c r="KUW69" s="10"/>
      <c r="KUX69" s="10"/>
      <c r="KUY69" s="10"/>
      <c r="KUZ69" s="10"/>
      <c r="KVA69" s="10"/>
      <c r="KVB69" s="10"/>
      <c r="KVC69" s="10"/>
      <c r="KVD69" s="10"/>
      <c r="KVE69" s="10"/>
      <c r="KVF69" s="10"/>
      <c r="KVG69" s="10"/>
      <c r="KVH69" s="10"/>
      <c r="KVI69" s="10"/>
      <c r="KVJ69" s="10"/>
      <c r="KVK69" s="10"/>
      <c r="KVL69" s="10"/>
      <c r="KVM69" s="10"/>
      <c r="KVN69" s="10"/>
      <c r="KVO69" s="10"/>
      <c r="KVP69" s="10"/>
      <c r="KVQ69" s="10"/>
      <c r="KVR69" s="10"/>
      <c r="KVS69" s="10"/>
      <c r="KVT69" s="10"/>
      <c r="KVU69" s="10"/>
      <c r="KVV69" s="10"/>
      <c r="KVW69" s="10"/>
      <c r="KVX69" s="10"/>
      <c r="KVY69" s="10"/>
      <c r="KVZ69" s="10"/>
      <c r="KWA69" s="10"/>
      <c r="KWB69" s="10"/>
      <c r="KWC69" s="10"/>
      <c r="KWD69" s="10"/>
      <c r="KWE69" s="10"/>
      <c r="KWF69" s="10"/>
      <c r="KWG69" s="10"/>
      <c r="KWH69" s="10"/>
      <c r="KWI69" s="10"/>
      <c r="KWJ69" s="10"/>
      <c r="KWK69" s="10"/>
      <c r="KWL69" s="10"/>
      <c r="KWM69" s="10"/>
      <c r="KWN69" s="10"/>
      <c r="KWO69" s="10"/>
      <c r="KWP69" s="10"/>
      <c r="KWQ69" s="10"/>
      <c r="KWR69" s="10"/>
      <c r="KWS69" s="10"/>
      <c r="KWT69" s="10"/>
      <c r="KWU69" s="10"/>
      <c r="KWV69" s="10"/>
      <c r="KWW69" s="10"/>
      <c r="KWX69" s="10"/>
      <c r="KWY69" s="10"/>
      <c r="KWZ69" s="10"/>
      <c r="KXA69" s="10"/>
      <c r="KXB69" s="10"/>
      <c r="KXC69" s="10"/>
      <c r="KXD69" s="10"/>
      <c r="KXE69" s="10"/>
      <c r="KXF69" s="10"/>
      <c r="KXG69" s="10"/>
      <c r="KXH69" s="10"/>
      <c r="KXI69" s="10"/>
      <c r="KXJ69" s="10"/>
      <c r="KXK69" s="10"/>
      <c r="KXL69" s="10"/>
      <c r="KXM69" s="10"/>
      <c r="KXN69" s="10"/>
      <c r="KXO69" s="10"/>
      <c r="KXP69" s="10"/>
      <c r="KXQ69" s="10"/>
      <c r="KXR69" s="10"/>
      <c r="KXS69" s="10"/>
      <c r="KXT69" s="10"/>
      <c r="KXU69" s="10"/>
      <c r="KXV69" s="10"/>
      <c r="KXW69" s="10"/>
      <c r="KXX69" s="10"/>
      <c r="KXY69" s="10"/>
      <c r="KXZ69" s="10"/>
      <c r="KYA69" s="10"/>
      <c r="KYB69" s="10"/>
      <c r="KYC69" s="10"/>
      <c r="KYD69" s="10"/>
      <c r="KYE69" s="10"/>
      <c r="KYF69" s="10"/>
      <c r="KYG69" s="10"/>
      <c r="KYH69" s="10"/>
      <c r="KYI69" s="10"/>
      <c r="KYJ69" s="10"/>
      <c r="KYK69" s="10"/>
      <c r="KYL69" s="10"/>
      <c r="KYM69" s="10"/>
      <c r="KYN69" s="10"/>
      <c r="KYO69" s="10"/>
      <c r="KYP69" s="10"/>
      <c r="KYQ69" s="10"/>
      <c r="KYR69" s="10"/>
      <c r="KYS69" s="10"/>
      <c r="KYT69" s="10"/>
      <c r="KYU69" s="10"/>
      <c r="KYV69" s="10"/>
      <c r="KYW69" s="10"/>
      <c r="KYX69" s="10"/>
      <c r="KYY69" s="10"/>
      <c r="KYZ69" s="10"/>
      <c r="KZA69" s="10"/>
      <c r="KZB69" s="10"/>
      <c r="KZC69" s="10"/>
      <c r="KZD69" s="10"/>
      <c r="KZE69" s="10"/>
      <c r="KZF69" s="10"/>
      <c r="KZG69" s="10"/>
      <c r="KZH69" s="10"/>
      <c r="KZI69" s="10"/>
      <c r="KZJ69" s="10"/>
      <c r="KZK69" s="10"/>
      <c r="KZL69" s="10"/>
      <c r="KZM69" s="10"/>
      <c r="KZN69" s="10"/>
      <c r="KZO69" s="10"/>
      <c r="KZP69" s="10"/>
      <c r="KZQ69" s="10"/>
      <c r="KZR69" s="10"/>
      <c r="KZS69" s="10"/>
      <c r="KZT69" s="10"/>
      <c r="KZU69" s="10"/>
      <c r="KZV69" s="10"/>
      <c r="KZW69" s="10"/>
      <c r="KZX69" s="10"/>
      <c r="KZY69" s="10"/>
      <c r="KZZ69" s="10"/>
      <c r="LAA69" s="10"/>
      <c r="LAB69" s="10"/>
      <c r="LAC69" s="10"/>
      <c r="LAD69" s="10"/>
      <c r="LAE69" s="10"/>
      <c r="LAF69" s="10"/>
      <c r="LAG69" s="10"/>
      <c r="LAH69" s="10"/>
      <c r="LAI69" s="10"/>
      <c r="LAJ69" s="10"/>
      <c r="LAK69" s="10"/>
      <c r="LAL69" s="10"/>
      <c r="LAM69" s="10"/>
      <c r="LAN69" s="10"/>
      <c r="LAO69" s="10"/>
      <c r="LAP69" s="10"/>
      <c r="LAQ69" s="10"/>
      <c r="LAR69" s="10"/>
      <c r="LAS69" s="10"/>
      <c r="LAT69" s="10"/>
      <c r="LAU69" s="10"/>
      <c r="LAV69" s="10"/>
      <c r="LAW69" s="10"/>
      <c r="LAX69" s="10"/>
      <c r="LAY69" s="10"/>
      <c r="LAZ69" s="10"/>
      <c r="LBA69" s="10"/>
      <c r="LBB69" s="10"/>
      <c r="LBC69" s="10"/>
      <c r="LBD69" s="10"/>
      <c r="LBE69" s="10"/>
      <c r="LBF69" s="10"/>
      <c r="LBG69" s="10"/>
      <c r="LBH69" s="10"/>
      <c r="LBI69" s="10"/>
      <c r="LBJ69" s="10"/>
      <c r="LBK69" s="10"/>
      <c r="LBL69" s="10"/>
      <c r="LBM69" s="10"/>
      <c r="LBN69" s="10"/>
      <c r="LBO69" s="10"/>
      <c r="LBP69" s="10"/>
      <c r="LBQ69" s="10"/>
      <c r="LBR69" s="10"/>
      <c r="LBS69" s="10"/>
      <c r="LBT69" s="10"/>
      <c r="LBU69" s="10"/>
      <c r="LBV69" s="10"/>
      <c r="LBW69" s="10"/>
      <c r="LBX69" s="10"/>
      <c r="LBY69" s="10"/>
      <c r="LBZ69" s="10"/>
      <c r="LCA69" s="10"/>
      <c r="LCB69" s="10"/>
      <c r="LCC69" s="10"/>
      <c r="LCD69" s="10"/>
      <c r="LCE69" s="10"/>
      <c r="LCF69" s="10"/>
      <c r="LCG69" s="10"/>
      <c r="LCH69" s="10"/>
      <c r="LCI69" s="10"/>
      <c r="LCJ69" s="10"/>
      <c r="LCK69" s="10"/>
      <c r="LCL69" s="10"/>
      <c r="LCM69" s="10"/>
      <c r="LCN69" s="10"/>
      <c r="LCO69" s="10"/>
      <c r="LCP69" s="10"/>
      <c r="LCQ69" s="10"/>
      <c r="LCR69" s="10"/>
      <c r="LCS69" s="10"/>
      <c r="LCT69" s="10"/>
      <c r="LCU69" s="10"/>
      <c r="LCV69" s="10"/>
      <c r="LCW69" s="10"/>
      <c r="LCX69" s="10"/>
      <c r="LCY69" s="10"/>
      <c r="LCZ69" s="10"/>
      <c r="LDA69" s="10"/>
      <c r="LDB69" s="10"/>
      <c r="LDC69" s="10"/>
      <c r="LDD69" s="10"/>
      <c r="LDE69" s="10"/>
      <c r="LDF69" s="10"/>
      <c r="LDG69" s="10"/>
      <c r="LDH69" s="10"/>
      <c r="LDI69" s="10"/>
      <c r="LDJ69" s="10"/>
      <c r="LDK69" s="10"/>
      <c r="LDL69" s="10"/>
      <c r="LDM69" s="10"/>
      <c r="LDN69" s="10"/>
      <c r="LDO69" s="10"/>
      <c r="LDP69" s="10"/>
      <c r="LDQ69" s="10"/>
      <c r="LDR69" s="10"/>
      <c r="LDS69" s="10"/>
      <c r="LDT69" s="10"/>
      <c r="LDU69" s="10"/>
      <c r="LDV69" s="10"/>
      <c r="LDW69" s="10"/>
      <c r="LDX69" s="10"/>
      <c r="LDY69" s="10"/>
      <c r="LDZ69" s="10"/>
      <c r="LEA69" s="10"/>
      <c r="LEB69" s="10"/>
      <c r="LEC69" s="10"/>
      <c r="LED69" s="10"/>
      <c r="LEE69" s="10"/>
      <c r="LEF69" s="10"/>
      <c r="LEG69" s="10"/>
      <c r="LEH69" s="10"/>
      <c r="LEI69" s="10"/>
      <c r="LEJ69" s="10"/>
      <c r="LEK69" s="10"/>
      <c r="LEL69" s="10"/>
      <c r="LEM69" s="10"/>
      <c r="LEN69" s="10"/>
      <c r="LEO69" s="10"/>
      <c r="LEP69" s="10"/>
      <c r="LEQ69" s="10"/>
      <c r="LER69" s="10"/>
      <c r="LES69" s="10"/>
      <c r="LET69" s="10"/>
      <c r="LEU69" s="10"/>
      <c r="LEV69" s="10"/>
      <c r="LEW69" s="10"/>
      <c r="LEX69" s="10"/>
      <c r="LEY69" s="10"/>
      <c r="LEZ69" s="10"/>
      <c r="LFA69" s="10"/>
      <c r="LFB69" s="10"/>
      <c r="LFC69" s="10"/>
      <c r="LFD69" s="10"/>
      <c r="LFE69" s="10"/>
      <c r="LFF69" s="10"/>
      <c r="LFG69" s="10"/>
      <c r="LFH69" s="10"/>
      <c r="LFI69" s="10"/>
      <c r="LFJ69" s="10"/>
      <c r="LFK69" s="10"/>
      <c r="LFL69" s="10"/>
      <c r="LFM69" s="10"/>
      <c r="LFN69" s="10"/>
      <c r="LFO69" s="10"/>
      <c r="LFP69" s="10"/>
      <c r="LFQ69" s="10"/>
      <c r="LFR69" s="10"/>
      <c r="LFS69" s="10"/>
      <c r="LFT69" s="10"/>
      <c r="LFU69" s="10"/>
      <c r="LFV69" s="10"/>
      <c r="LFW69" s="10"/>
      <c r="LFX69" s="10"/>
      <c r="LFY69" s="10"/>
      <c r="LFZ69" s="10"/>
      <c r="LGA69" s="10"/>
      <c r="LGB69" s="10"/>
      <c r="LGC69" s="10"/>
      <c r="LGD69" s="10"/>
      <c r="LGE69" s="10"/>
      <c r="LGF69" s="10"/>
      <c r="LGG69" s="10"/>
      <c r="LGH69" s="10"/>
      <c r="LGI69" s="10"/>
      <c r="LGJ69" s="10"/>
      <c r="LGK69" s="10"/>
      <c r="LGL69" s="10"/>
      <c r="LGM69" s="10"/>
      <c r="LGN69" s="10"/>
      <c r="LGO69" s="10"/>
      <c r="LGP69" s="10"/>
      <c r="LGQ69" s="10"/>
      <c r="LGR69" s="10"/>
      <c r="LGS69" s="10"/>
      <c r="LGT69" s="10"/>
      <c r="LGU69" s="10"/>
      <c r="LGV69" s="10"/>
      <c r="LGW69" s="10"/>
      <c r="LGX69" s="10"/>
      <c r="LGY69" s="10"/>
      <c r="LGZ69" s="10"/>
      <c r="LHA69" s="10"/>
      <c r="LHB69" s="10"/>
      <c r="LHC69" s="10"/>
      <c r="LHD69" s="10"/>
      <c r="LHE69" s="10"/>
      <c r="LHF69" s="10"/>
      <c r="LHG69" s="10"/>
      <c r="LHH69" s="10"/>
      <c r="LHI69" s="10"/>
      <c r="LHJ69" s="10"/>
      <c r="LHK69" s="10"/>
      <c r="LHL69" s="10"/>
      <c r="LHM69" s="10"/>
      <c r="LHN69" s="10"/>
      <c r="LHO69" s="10"/>
      <c r="LHP69" s="10"/>
      <c r="LHQ69" s="10"/>
      <c r="LHR69" s="10"/>
      <c r="LHS69" s="10"/>
      <c r="LHT69" s="10"/>
      <c r="LHU69" s="10"/>
      <c r="LHV69" s="10"/>
      <c r="LHW69" s="10"/>
      <c r="LHX69" s="10"/>
      <c r="LHY69" s="10"/>
      <c r="LHZ69" s="10"/>
      <c r="LIA69" s="10"/>
      <c r="LIB69" s="10"/>
      <c r="LIC69" s="10"/>
      <c r="LID69" s="10"/>
      <c r="LIE69" s="10"/>
      <c r="LIF69" s="10"/>
      <c r="LIG69" s="10"/>
      <c r="LIH69" s="10"/>
      <c r="LII69" s="10"/>
      <c r="LIJ69" s="10"/>
      <c r="LIK69" s="10"/>
      <c r="LIL69" s="10"/>
      <c r="LIM69" s="10"/>
      <c r="LIN69" s="10"/>
      <c r="LIO69" s="10"/>
      <c r="LIP69" s="10"/>
      <c r="LIQ69" s="10"/>
      <c r="LIR69" s="10"/>
      <c r="LIS69" s="10"/>
      <c r="LIT69" s="10"/>
      <c r="LIU69" s="10"/>
      <c r="LIV69" s="10"/>
      <c r="LIW69" s="10"/>
      <c r="LIX69" s="10"/>
      <c r="LIY69" s="10"/>
      <c r="LIZ69" s="10"/>
      <c r="LJA69" s="10"/>
      <c r="LJB69" s="10"/>
      <c r="LJC69" s="10"/>
      <c r="LJD69" s="10"/>
      <c r="LJE69" s="10"/>
      <c r="LJF69" s="10"/>
      <c r="LJG69" s="10"/>
      <c r="LJH69" s="10"/>
      <c r="LJI69" s="10"/>
      <c r="LJJ69" s="10"/>
      <c r="LJK69" s="10"/>
      <c r="LJL69" s="10"/>
      <c r="LJM69" s="10"/>
      <c r="LJN69" s="10"/>
      <c r="LJO69" s="10"/>
      <c r="LJP69" s="10"/>
      <c r="LJQ69" s="10"/>
      <c r="LJR69" s="10"/>
      <c r="LJS69" s="10"/>
      <c r="LJT69" s="10"/>
      <c r="LJU69" s="10"/>
      <c r="LJV69" s="10"/>
      <c r="LJW69" s="10"/>
      <c r="LJX69" s="10"/>
      <c r="LJY69" s="10"/>
      <c r="LJZ69" s="10"/>
      <c r="LKA69" s="10"/>
      <c r="LKB69" s="10"/>
      <c r="LKC69" s="10"/>
      <c r="LKD69" s="10"/>
      <c r="LKE69" s="10"/>
      <c r="LKF69" s="10"/>
      <c r="LKG69" s="10"/>
      <c r="LKH69" s="10"/>
      <c r="LKI69" s="10"/>
      <c r="LKJ69" s="10"/>
      <c r="LKK69" s="10"/>
      <c r="LKL69" s="10"/>
      <c r="LKM69" s="10"/>
      <c r="LKN69" s="10"/>
      <c r="LKO69" s="10"/>
      <c r="LKP69" s="10"/>
      <c r="LKQ69" s="10"/>
      <c r="LKR69" s="10"/>
      <c r="LKS69" s="10"/>
      <c r="LKT69" s="10"/>
      <c r="LKU69" s="10"/>
      <c r="LKV69" s="10"/>
      <c r="LKW69" s="10"/>
      <c r="LKX69" s="10"/>
      <c r="LKY69" s="10"/>
      <c r="LKZ69" s="10"/>
      <c r="LLA69" s="10"/>
      <c r="LLB69" s="10"/>
      <c r="LLC69" s="10"/>
      <c r="LLD69" s="10"/>
      <c r="LLE69" s="10"/>
      <c r="LLF69" s="10"/>
      <c r="LLG69" s="10"/>
      <c r="LLH69" s="10"/>
      <c r="LLI69" s="10"/>
      <c r="LLJ69" s="10"/>
      <c r="LLK69" s="10"/>
      <c r="LLL69" s="10"/>
      <c r="LLM69" s="10"/>
      <c r="LLN69" s="10"/>
      <c r="LLO69" s="10"/>
      <c r="LLP69" s="10"/>
      <c r="LLQ69" s="10"/>
      <c r="LLR69" s="10"/>
      <c r="LLS69" s="10"/>
      <c r="LLT69" s="10"/>
      <c r="LLU69" s="10"/>
      <c r="LLV69" s="10"/>
      <c r="LLW69" s="10"/>
      <c r="LLX69" s="10"/>
      <c r="LLY69" s="10"/>
      <c r="LLZ69" s="10"/>
      <c r="LMA69" s="10"/>
      <c r="LMB69" s="10"/>
      <c r="LMC69" s="10"/>
      <c r="LMD69" s="10"/>
      <c r="LME69" s="10"/>
      <c r="LMF69" s="10"/>
      <c r="LMG69" s="10"/>
      <c r="LMH69" s="10"/>
      <c r="LMI69" s="10"/>
      <c r="LMJ69" s="10"/>
      <c r="LMK69" s="10"/>
      <c r="LML69" s="10"/>
      <c r="LMM69" s="10"/>
      <c r="LMN69" s="10"/>
      <c r="LMO69" s="10"/>
      <c r="LMP69" s="10"/>
      <c r="LMQ69" s="10"/>
      <c r="LMR69" s="10"/>
      <c r="LMS69" s="10"/>
      <c r="LMT69" s="10"/>
      <c r="LMU69" s="10"/>
      <c r="LMV69" s="10"/>
      <c r="LMW69" s="10"/>
      <c r="LMX69" s="10"/>
      <c r="LMY69" s="10"/>
      <c r="LMZ69" s="10"/>
      <c r="LNA69" s="10"/>
      <c r="LNB69" s="10"/>
      <c r="LNC69" s="10"/>
      <c r="LND69" s="10"/>
      <c r="LNE69" s="10"/>
      <c r="LNF69" s="10"/>
      <c r="LNG69" s="10"/>
      <c r="LNH69" s="10"/>
      <c r="LNI69" s="10"/>
      <c r="LNJ69" s="10"/>
      <c r="LNK69" s="10"/>
      <c r="LNL69" s="10"/>
      <c r="LNM69" s="10"/>
      <c r="LNN69" s="10"/>
      <c r="LNO69" s="10"/>
      <c r="LNP69" s="10"/>
      <c r="LNQ69" s="10"/>
      <c r="LNR69" s="10"/>
      <c r="LNS69" s="10"/>
      <c r="LNT69" s="10"/>
      <c r="LNU69" s="10"/>
      <c r="LNV69" s="10"/>
      <c r="LNW69" s="10"/>
      <c r="LNX69" s="10"/>
      <c r="LNY69" s="10"/>
      <c r="LNZ69" s="10"/>
      <c r="LOA69" s="10"/>
      <c r="LOB69" s="10"/>
      <c r="LOC69" s="10"/>
      <c r="LOD69" s="10"/>
      <c r="LOE69" s="10"/>
      <c r="LOF69" s="10"/>
      <c r="LOG69" s="10"/>
      <c r="LOH69" s="10"/>
      <c r="LOI69" s="10"/>
      <c r="LOJ69" s="10"/>
      <c r="LOK69" s="10"/>
      <c r="LOL69" s="10"/>
      <c r="LOM69" s="10"/>
      <c r="LON69" s="10"/>
      <c r="LOO69" s="10"/>
      <c r="LOP69" s="10"/>
      <c r="LOQ69" s="10"/>
      <c r="LOR69" s="10"/>
      <c r="LOS69" s="10"/>
      <c r="LOT69" s="10"/>
      <c r="LOU69" s="10"/>
      <c r="LOV69" s="10"/>
      <c r="LOW69" s="10"/>
      <c r="LOX69" s="10"/>
      <c r="LOY69" s="10"/>
      <c r="LOZ69" s="10"/>
      <c r="LPA69" s="10"/>
      <c r="LPB69" s="10"/>
      <c r="LPC69" s="10"/>
      <c r="LPD69" s="10"/>
      <c r="LPE69" s="10"/>
      <c r="LPF69" s="10"/>
      <c r="LPG69" s="10"/>
      <c r="LPH69" s="10"/>
      <c r="LPI69" s="10"/>
      <c r="LPJ69" s="10"/>
      <c r="LPK69" s="10"/>
      <c r="LPL69" s="10"/>
      <c r="LPM69" s="10"/>
      <c r="LPN69" s="10"/>
      <c r="LPO69" s="10"/>
      <c r="LPP69" s="10"/>
      <c r="LPQ69" s="10"/>
      <c r="LPR69" s="10"/>
      <c r="LPS69" s="10"/>
      <c r="LPT69" s="10"/>
      <c r="LPU69" s="10"/>
      <c r="LPV69" s="10"/>
      <c r="LPW69" s="10"/>
      <c r="LPX69" s="10"/>
      <c r="LPY69" s="10"/>
      <c r="LPZ69" s="10"/>
      <c r="LQA69" s="10"/>
      <c r="LQB69" s="10"/>
      <c r="LQC69" s="10"/>
      <c r="LQD69" s="10"/>
      <c r="LQE69" s="10"/>
      <c r="LQF69" s="10"/>
      <c r="LQG69" s="10"/>
      <c r="LQH69" s="10"/>
      <c r="LQI69" s="10"/>
      <c r="LQJ69" s="10"/>
      <c r="LQK69" s="10"/>
      <c r="LQL69" s="10"/>
      <c r="LQM69" s="10"/>
      <c r="LQN69" s="10"/>
      <c r="LQO69" s="10"/>
      <c r="LQP69" s="10"/>
      <c r="LQQ69" s="10"/>
      <c r="LQR69" s="10"/>
      <c r="LQS69" s="10"/>
      <c r="LQT69" s="10"/>
      <c r="LQU69" s="10"/>
      <c r="LQV69" s="10"/>
      <c r="LQW69" s="10"/>
      <c r="LQX69" s="10"/>
      <c r="LQY69" s="10"/>
      <c r="LQZ69" s="10"/>
      <c r="LRA69" s="10"/>
      <c r="LRB69" s="10"/>
      <c r="LRC69" s="10"/>
      <c r="LRD69" s="10"/>
      <c r="LRE69" s="10"/>
      <c r="LRF69" s="10"/>
      <c r="LRG69" s="10"/>
      <c r="LRH69" s="10"/>
      <c r="LRI69" s="10"/>
      <c r="LRJ69" s="10"/>
      <c r="LRK69" s="10"/>
      <c r="LRL69" s="10"/>
      <c r="LRM69" s="10"/>
      <c r="LRN69" s="10"/>
      <c r="LRO69" s="10"/>
      <c r="LRP69" s="10"/>
      <c r="LRQ69" s="10"/>
      <c r="LRR69" s="10"/>
      <c r="LRS69" s="10"/>
      <c r="LRT69" s="10"/>
      <c r="LRU69" s="10"/>
      <c r="LRV69" s="10"/>
      <c r="LRW69" s="10"/>
      <c r="LRX69" s="10"/>
      <c r="LRY69" s="10"/>
      <c r="LRZ69" s="10"/>
      <c r="LSA69" s="10"/>
      <c r="LSB69" s="10"/>
      <c r="LSC69" s="10"/>
      <c r="LSD69" s="10"/>
      <c r="LSE69" s="10"/>
      <c r="LSF69" s="10"/>
      <c r="LSG69" s="10"/>
      <c r="LSH69" s="10"/>
      <c r="LSI69" s="10"/>
      <c r="LSJ69" s="10"/>
      <c r="LSK69" s="10"/>
      <c r="LSL69" s="10"/>
      <c r="LSM69" s="10"/>
      <c r="LSN69" s="10"/>
      <c r="LSO69" s="10"/>
      <c r="LSP69" s="10"/>
      <c r="LSQ69" s="10"/>
      <c r="LSR69" s="10"/>
      <c r="LSS69" s="10"/>
      <c r="LST69" s="10"/>
      <c r="LSU69" s="10"/>
      <c r="LSV69" s="10"/>
      <c r="LSW69" s="10"/>
      <c r="LSX69" s="10"/>
      <c r="LSY69" s="10"/>
      <c r="LSZ69" s="10"/>
      <c r="LTA69" s="10"/>
      <c r="LTB69" s="10"/>
      <c r="LTC69" s="10"/>
      <c r="LTD69" s="10"/>
      <c r="LTE69" s="10"/>
      <c r="LTF69" s="10"/>
      <c r="LTG69" s="10"/>
      <c r="LTH69" s="10"/>
      <c r="LTI69" s="10"/>
      <c r="LTJ69" s="10"/>
      <c r="LTK69" s="10"/>
      <c r="LTL69" s="10"/>
      <c r="LTM69" s="10"/>
      <c r="LTN69" s="10"/>
      <c r="LTO69" s="10"/>
      <c r="LTP69" s="10"/>
      <c r="LTQ69" s="10"/>
      <c r="LTR69" s="10"/>
      <c r="LTS69" s="10"/>
      <c r="LTT69" s="10"/>
      <c r="LTU69" s="10"/>
      <c r="LTV69" s="10"/>
      <c r="LTW69" s="10"/>
      <c r="LTX69" s="10"/>
      <c r="LTY69" s="10"/>
      <c r="LTZ69" s="10"/>
      <c r="LUA69" s="10"/>
      <c r="LUB69" s="10"/>
      <c r="LUC69" s="10"/>
      <c r="LUD69" s="10"/>
      <c r="LUE69" s="10"/>
      <c r="LUF69" s="10"/>
      <c r="LUG69" s="10"/>
      <c r="LUH69" s="10"/>
      <c r="LUI69" s="10"/>
      <c r="LUJ69" s="10"/>
      <c r="LUK69" s="10"/>
      <c r="LUL69" s="10"/>
      <c r="LUM69" s="10"/>
      <c r="LUN69" s="10"/>
      <c r="LUO69" s="10"/>
      <c r="LUP69" s="10"/>
      <c r="LUQ69" s="10"/>
      <c r="LUR69" s="10"/>
      <c r="LUS69" s="10"/>
      <c r="LUT69" s="10"/>
      <c r="LUU69" s="10"/>
      <c r="LUV69" s="10"/>
      <c r="LUW69" s="10"/>
      <c r="LUX69" s="10"/>
      <c r="LUY69" s="10"/>
      <c r="LUZ69" s="10"/>
      <c r="LVA69" s="10"/>
      <c r="LVB69" s="10"/>
      <c r="LVC69" s="10"/>
      <c r="LVD69" s="10"/>
      <c r="LVE69" s="10"/>
      <c r="LVF69" s="10"/>
      <c r="LVG69" s="10"/>
      <c r="LVH69" s="10"/>
      <c r="LVI69" s="10"/>
      <c r="LVJ69" s="10"/>
      <c r="LVK69" s="10"/>
      <c r="LVL69" s="10"/>
      <c r="LVM69" s="10"/>
      <c r="LVN69" s="10"/>
      <c r="LVO69" s="10"/>
      <c r="LVP69" s="10"/>
      <c r="LVQ69" s="10"/>
      <c r="LVR69" s="10"/>
      <c r="LVS69" s="10"/>
      <c r="LVT69" s="10"/>
      <c r="LVU69" s="10"/>
      <c r="LVV69" s="10"/>
      <c r="LVW69" s="10"/>
      <c r="LVX69" s="10"/>
      <c r="LVY69" s="10"/>
      <c r="LVZ69" s="10"/>
      <c r="LWA69" s="10"/>
      <c r="LWB69" s="10"/>
      <c r="LWC69" s="10"/>
      <c r="LWD69" s="10"/>
      <c r="LWE69" s="10"/>
      <c r="LWF69" s="10"/>
      <c r="LWG69" s="10"/>
      <c r="LWH69" s="10"/>
      <c r="LWI69" s="10"/>
      <c r="LWJ69" s="10"/>
      <c r="LWK69" s="10"/>
      <c r="LWL69" s="10"/>
      <c r="LWM69" s="10"/>
      <c r="LWN69" s="10"/>
      <c r="LWO69" s="10"/>
      <c r="LWP69" s="10"/>
      <c r="LWQ69" s="10"/>
      <c r="LWR69" s="10"/>
      <c r="LWS69" s="10"/>
      <c r="LWT69" s="10"/>
      <c r="LWU69" s="10"/>
      <c r="LWV69" s="10"/>
      <c r="LWW69" s="10"/>
      <c r="LWX69" s="10"/>
      <c r="LWY69" s="10"/>
      <c r="LWZ69" s="10"/>
      <c r="LXA69" s="10"/>
      <c r="LXB69" s="10"/>
      <c r="LXC69" s="10"/>
      <c r="LXD69" s="10"/>
      <c r="LXE69" s="10"/>
      <c r="LXF69" s="10"/>
      <c r="LXG69" s="10"/>
      <c r="LXH69" s="10"/>
      <c r="LXI69" s="10"/>
      <c r="LXJ69" s="10"/>
      <c r="LXK69" s="10"/>
      <c r="LXL69" s="10"/>
      <c r="LXM69" s="10"/>
      <c r="LXN69" s="10"/>
      <c r="LXO69" s="10"/>
      <c r="LXP69" s="10"/>
      <c r="LXQ69" s="10"/>
      <c r="LXR69" s="10"/>
      <c r="LXS69" s="10"/>
      <c r="LXT69" s="10"/>
      <c r="LXU69" s="10"/>
      <c r="LXV69" s="10"/>
      <c r="LXW69" s="10"/>
      <c r="LXX69" s="10"/>
      <c r="LXY69" s="10"/>
      <c r="LXZ69" s="10"/>
      <c r="LYA69" s="10"/>
      <c r="LYB69" s="10"/>
      <c r="LYC69" s="10"/>
      <c r="LYD69" s="10"/>
      <c r="LYE69" s="10"/>
      <c r="LYF69" s="10"/>
      <c r="LYG69" s="10"/>
      <c r="LYH69" s="10"/>
      <c r="LYI69" s="10"/>
      <c r="LYJ69" s="10"/>
      <c r="LYK69" s="10"/>
      <c r="LYL69" s="10"/>
      <c r="LYM69" s="10"/>
      <c r="LYN69" s="10"/>
      <c r="LYO69" s="10"/>
      <c r="LYP69" s="10"/>
      <c r="LYQ69" s="10"/>
      <c r="LYR69" s="10"/>
      <c r="LYS69" s="10"/>
      <c r="LYT69" s="10"/>
      <c r="LYU69" s="10"/>
      <c r="LYV69" s="10"/>
      <c r="LYW69" s="10"/>
      <c r="LYX69" s="10"/>
      <c r="LYY69" s="10"/>
      <c r="LYZ69" s="10"/>
      <c r="LZA69" s="10"/>
      <c r="LZB69" s="10"/>
      <c r="LZC69" s="10"/>
      <c r="LZD69" s="10"/>
      <c r="LZE69" s="10"/>
      <c r="LZF69" s="10"/>
      <c r="LZG69" s="10"/>
      <c r="LZH69" s="10"/>
      <c r="LZI69" s="10"/>
      <c r="LZJ69" s="10"/>
      <c r="LZK69" s="10"/>
      <c r="LZL69" s="10"/>
      <c r="LZM69" s="10"/>
      <c r="LZN69" s="10"/>
      <c r="LZO69" s="10"/>
      <c r="LZP69" s="10"/>
      <c r="LZQ69" s="10"/>
      <c r="LZR69" s="10"/>
      <c r="LZS69" s="10"/>
      <c r="LZT69" s="10"/>
      <c r="LZU69" s="10"/>
      <c r="LZV69" s="10"/>
      <c r="LZW69" s="10"/>
      <c r="LZX69" s="10"/>
      <c r="LZY69" s="10"/>
      <c r="LZZ69" s="10"/>
      <c r="MAA69" s="10"/>
      <c r="MAB69" s="10"/>
      <c r="MAC69" s="10"/>
      <c r="MAD69" s="10"/>
      <c r="MAE69" s="10"/>
      <c r="MAF69" s="10"/>
      <c r="MAG69" s="10"/>
      <c r="MAH69" s="10"/>
      <c r="MAI69" s="10"/>
      <c r="MAJ69" s="10"/>
      <c r="MAK69" s="10"/>
      <c r="MAL69" s="10"/>
      <c r="MAM69" s="10"/>
      <c r="MAN69" s="10"/>
      <c r="MAO69" s="10"/>
      <c r="MAP69" s="10"/>
      <c r="MAQ69" s="10"/>
      <c r="MAR69" s="10"/>
      <c r="MAS69" s="10"/>
      <c r="MAT69" s="10"/>
      <c r="MAU69" s="10"/>
      <c r="MAV69" s="10"/>
      <c r="MAW69" s="10"/>
      <c r="MAX69" s="10"/>
      <c r="MAY69" s="10"/>
      <c r="MAZ69" s="10"/>
      <c r="MBA69" s="10"/>
      <c r="MBB69" s="10"/>
      <c r="MBC69" s="10"/>
      <c r="MBD69" s="10"/>
      <c r="MBE69" s="10"/>
      <c r="MBF69" s="10"/>
      <c r="MBG69" s="10"/>
      <c r="MBH69" s="10"/>
      <c r="MBI69" s="10"/>
      <c r="MBJ69" s="10"/>
      <c r="MBK69" s="10"/>
      <c r="MBL69" s="10"/>
      <c r="MBM69" s="10"/>
      <c r="MBN69" s="10"/>
      <c r="MBO69" s="10"/>
      <c r="MBP69" s="10"/>
      <c r="MBQ69" s="10"/>
      <c r="MBR69" s="10"/>
      <c r="MBS69" s="10"/>
      <c r="MBT69" s="10"/>
      <c r="MBU69" s="10"/>
      <c r="MBV69" s="10"/>
      <c r="MBW69" s="10"/>
      <c r="MBX69" s="10"/>
      <c r="MBY69" s="10"/>
      <c r="MBZ69" s="10"/>
      <c r="MCA69" s="10"/>
      <c r="MCB69" s="10"/>
      <c r="MCC69" s="10"/>
      <c r="MCD69" s="10"/>
      <c r="MCE69" s="10"/>
      <c r="MCF69" s="10"/>
      <c r="MCG69" s="10"/>
      <c r="MCH69" s="10"/>
      <c r="MCI69" s="10"/>
      <c r="MCJ69" s="10"/>
      <c r="MCK69" s="10"/>
      <c r="MCL69" s="10"/>
      <c r="MCM69" s="10"/>
      <c r="MCN69" s="10"/>
      <c r="MCO69" s="10"/>
      <c r="MCP69" s="10"/>
      <c r="MCQ69" s="10"/>
      <c r="MCR69" s="10"/>
      <c r="MCS69" s="10"/>
      <c r="MCT69" s="10"/>
      <c r="MCU69" s="10"/>
      <c r="MCV69" s="10"/>
      <c r="MCW69" s="10"/>
      <c r="MCX69" s="10"/>
      <c r="MCY69" s="10"/>
      <c r="MCZ69" s="10"/>
      <c r="MDA69" s="10"/>
      <c r="MDB69" s="10"/>
      <c r="MDC69" s="10"/>
      <c r="MDD69" s="10"/>
      <c r="MDE69" s="10"/>
      <c r="MDF69" s="10"/>
      <c r="MDG69" s="10"/>
      <c r="MDH69" s="10"/>
      <c r="MDI69" s="10"/>
      <c r="MDJ69" s="10"/>
      <c r="MDK69" s="10"/>
      <c r="MDL69" s="10"/>
      <c r="MDM69" s="10"/>
      <c r="MDN69" s="10"/>
      <c r="MDO69" s="10"/>
      <c r="MDP69" s="10"/>
      <c r="MDQ69" s="10"/>
      <c r="MDR69" s="10"/>
      <c r="MDS69" s="10"/>
      <c r="MDT69" s="10"/>
      <c r="MDU69" s="10"/>
      <c r="MDV69" s="10"/>
      <c r="MDW69" s="10"/>
      <c r="MDX69" s="10"/>
      <c r="MDY69" s="10"/>
      <c r="MDZ69" s="10"/>
      <c r="MEA69" s="10"/>
      <c r="MEB69" s="10"/>
      <c r="MEC69" s="10"/>
      <c r="MED69" s="10"/>
      <c r="MEE69" s="10"/>
      <c r="MEF69" s="10"/>
      <c r="MEG69" s="10"/>
      <c r="MEH69" s="10"/>
      <c r="MEI69" s="10"/>
      <c r="MEJ69" s="10"/>
      <c r="MEK69" s="10"/>
      <c r="MEL69" s="10"/>
      <c r="MEM69" s="10"/>
      <c r="MEN69" s="10"/>
      <c r="MEO69" s="10"/>
      <c r="MEP69" s="10"/>
      <c r="MEQ69" s="10"/>
      <c r="MER69" s="10"/>
      <c r="MES69" s="10"/>
      <c r="MET69" s="10"/>
      <c r="MEU69" s="10"/>
      <c r="MEV69" s="10"/>
      <c r="MEW69" s="10"/>
      <c r="MEX69" s="10"/>
      <c r="MEY69" s="10"/>
      <c r="MEZ69" s="10"/>
      <c r="MFA69" s="10"/>
      <c r="MFB69" s="10"/>
      <c r="MFC69" s="10"/>
      <c r="MFD69" s="10"/>
      <c r="MFE69" s="10"/>
      <c r="MFF69" s="10"/>
      <c r="MFG69" s="10"/>
      <c r="MFH69" s="10"/>
      <c r="MFI69" s="10"/>
      <c r="MFJ69" s="10"/>
      <c r="MFK69" s="10"/>
      <c r="MFL69" s="10"/>
      <c r="MFM69" s="10"/>
      <c r="MFN69" s="10"/>
      <c r="MFO69" s="10"/>
      <c r="MFP69" s="10"/>
      <c r="MFQ69" s="10"/>
      <c r="MFR69" s="10"/>
      <c r="MFS69" s="10"/>
      <c r="MFT69" s="10"/>
      <c r="MFU69" s="10"/>
      <c r="MFV69" s="10"/>
      <c r="MFW69" s="10"/>
      <c r="MFX69" s="10"/>
      <c r="MFY69" s="10"/>
      <c r="MFZ69" s="10"/>
      <c r="MGA69" s="10"/>
      <c r="MGB69" s="10"/>
      <c r="MGC69" s="10"/>
      <c r="MGD69" s="10"/>
      <c r="MGE69" s="10"/>
      <c r="MGF69" s="10"/>
      <c r="MGG69" s="10"/>
      <c r="MGH69" s="10"/>
      <c r="MGI69" s="10"/>
      <c r="MGJ69" s="10"/>
      <c r="MGK69" s="10"/>
      <c r="MGL69" s="10"/>
      <c r="MGM69" s="10"/>
      <c r="MGN69" s="10"/>
      <c r="MGO69" s="10"/>
      <c r="MGP69" s="10"/>
      <c r="MGQ69" s="10"/>
      <c r="MGR69" s="10"/>
      <c r="MGS69" s="10"/>
      <c r="MGT69" s="10"/>
      <c r="MGU69" s="10"/>
      <c r="MGV69" s="10"/>
      <c r="MGW69" s="10"/>
      <c r="MGX69" s="10"/>
      <c r="MGY69" s="10"/>
      <c r="MGZ69" s="10"/>
      <c r="MHA69" s="10"/>
      <c r="MHB69" s="10"/>
      <c r="MHC69" s="10"/>
      <c r="MHD69" s="10"/>
      <c r="MHE69" s="10"/>
      <c r="MHF69" s="10"/>
      <c r="MHG69" s="10"/>
      <c r="MHH69" s="10"/>
      <c r="MHI69" s="10"/>
      <c r="MHJ69" s="10"/>
      <c r="MHK69" s="10"/>
      <c r="MHL69" s="10"/>
      <c r="MHM69" s="10"/>
      <c r="MHN69" s="10"/>
      <c r="MHO69" s="10"/>
      <c r="MHP69" s="10"/>
      <c r="MHQ69" s="10"/>
      <c r="MHR69" s="10"/>
      <c r="MHS69" s="10"/>
      <c r="MHT69" s="10"/>
      <c r="MHU69" s="10"/>
      <c r="MHV69" s="10"/>
      <c r="MHW69" s="10"/>
      <c r="MHX69" s="10"/>
      <c r="MHY69" s="10"/>
      <c r="MHZ69" s="10"/>
      <c r="MIA69" s="10"/>
      <c r="MIB69" s="10"/>
      <c r="MIC69" s="10"/>
      <c r="MID69" s="10"/>
      <c r="MIE69" s="10"/>
      <c r="MIF69" s="10"/>
      <c r="MIG69" s="10"/>
      <c r="MIH69" s="10"/>
      <c r="MII69" s="10"/>
      <c r="MIJ69" s="10"/>
      <c r="MIK69" s="10"/>
      <c r="MIL69" s="10"/>
      <c r="MIM69" s="10"/>
      <c r="MIN69" s="10"/>
      <c r="MIO69" s="10"/>
      <c r="MIP69" s="10"/>
      <c r="MIQ69" s="10"/>
      <c r="MIR69" s="10"/>
      <c r="MIS69" s="10"/>
      <c r="MIT69" s="10"/>
      <c r="MIU69" s="10"/>
      <c r="MIV69" s="10"/>
      <c r="MIW69" s="10"/>
      <c r="MIX69" s="10"/>
      <c r="MIY69" s="10"/>
      <c r="MIZ69" s="10"/>
      <c r="MJA69" s="10"/>
      <c r="MJB69" s="10"/>
      <c r="MJC69" s="10"/>
      <c r="MJD69" s="10"/>
      <c r="MJE69" s="10"/>
      <c r="MJF69" s="10"/>
      <c r="MJG69" s="10"/>
      <c r="MJH69" s="10"/>
      <c r="MJI69" s="10"/>
      <c r="MJJ69" s="10"/>
      <c r="MJK69" s="10"/>
      <c r="MJL69" s="10"/>
      <c r="MJM69" s="10"/>
      <c r="MJN69" s="10"/>
      <c r="MJO69" s="10"/>
      <c r="MJP69" s="10"/>
      <c r="MJQ69" s="10"/>
      <c r="MJR69" s="10"/>
      <c r="MJS69" s="10"/>
      <c r="MJT69" s="10"/>
      <c r="MJU69" s="10"/>
      <c r="MJV69" s="10"/>
      <c r="MJW69" s="10"/>
      <c r="MJX69" s="10"/>
      <c r="MJY69" s="10"/>
      <c r="MJZ69" s="10"/>
      <c r="MKA69" s="10"/>
      <c r="MKB69" s="10"/>
      <c r="MKC69" s="10"/>
      <c r="MKD69" s="10"/>
      <c r="MKE69" s="10"/>
      <c r="MKF69" s="10"/>
      <c r="MKG69" s="10"/>
      <c r="MKH69" s="10"/>
      <c r="MKI69" s="10"/>
      <c r="MKJ69" s="10"/>
      <c r="MKK69" s="10"/>
      <c r="MKL69" s="10"/>
      <c r="MKM69" s="10"/>
      <c r="MKN69" s="10"/>
      <c r="MKO69" s="10"/>
      <c r="MKP69" s="10"/>
      <c r="MKQ69" s="10"/>
      <c r="MKR69" s="10"/>
      <c r="MKS69" s="10"/>
      <c r="MKT69" s="10"/>
      <c r="MKU69" s="10"/>
      <c r="MKV69" s="10"/>
      <c r="MKW69" s="10"/>
      <c r="MKX69" s="10"/>
      <c r="MKY69" s="10"/>
      <c r="MKZ69" s="10"/>
      <c r="MLA69" s="10"/>
      <c r="MLB69" s="10"/>
      <c r="MLC69" s="10"/>
      <c r="MLD69" s="10"/>
      <c r="MLE69" s="10"/>
      <c r="MLF69" s="10"/>
      <c r="MLG69" s="10"/>
      <c r="MLH69" s="10"/>
      <c r="MLI69" s="10"/>
      <c r="MLJ69" s="10"/>
      <c r="MLK69" s="10"/>
      <c r="MLL69" s="10"/>
      <c r="MLM69" s="10"/>
      <c r="MLN69" s="10"/>
      <c r="MLO69" s="10"/>
      <c r="MLP69" s="10"/>
      <c r="MLQ69" s="10"/>
      <c r="MLR69" s="10"/>
      <c r="MLS69" s="10"/>
      <c r="MLT69" s="10"/>
      <c r="MLU69" s="10"/>
      <c r="MLV69" s="10"/>
      <c r="MLW69" s="10"/>
      <c r="MLX69" s="10"/>
      <c r="MLY69" s="10"/>
      <c r="MLZ69" s="10"/>
      <c r="MMA69" s="10"/>
      <c r="MMB69" s="10"/>
      <c r="MMC69" s="10"/>
      <c r="MMD69" s="10"/>
      <c r="MME69" s="10"/>
      <c r="MMF69" s="10"/>
      <c r="MMG69" s="10"/>
      <c r="MMH69" s="10"/>
      <c r="MMI69" s="10"/>
      <c r="MMJ69" s="10"/>
      <c r="MMK69" s="10"/>
      <c r="MML69" s="10"/>
      <c r="MMM69" s="10"/>
      <c r="MMN69" s="10"/>
      <c r="MMO69" s="10"/>
      <c r="MMP69" s="10"/>
      <c r="MMQ69" s="10"/>
      <c r="MMR69" s="10"/>
      <c r="MMS69" s="10"/>
      <c r="MMT69" s="10"/>
      <c r="MMU69" s="10"/>
      <c r="MMV69" s="10"/>
      <c r="MMW69" s="10"/>
      <c r="MMX69" s="10"/>
      <c r="MMY69" s="10"/>
      <c r="MMZ69" s="10"/>
      <c r="MNA69" s="10"/>
      <c r="MNB69" s="10"/>
      <c r="MNC69" s="10"/>
      <c r="MND69" s="10"/>
      <c r="MNE69" s="10"/>
      <c r="MNF69" s="10"/>
      <c r="MNG69" s="10"/>
      <c r="MNH69" s="10"/>
      <c r="MNI69" s="10"/>
      <c r="MNJ69" s="10"/>
      <c r="MNK69" s="10"/>
      <c r="MNL69" s="10"/>
      <c r="MNM69" s="10"/>
      <c r="MNN69" s="10"/>
      <c r="MNO69" s="10"/>
      <c r="MNP69" s="10"/>
      <c r="MNQ69" s="10"/>
      <c r="MNR69" s="10"/>
      <c r="MNS69" s="10"/>
      <c r="MNT69" s="10"/>
      <c r="MNU69" s="10"/>
      <c r="MNV69" s="10"/>
      <c r="MNW69" s="10"/>
      <c r="MNX69" s="10"/>
      <c r="MNY69" s="10"/>
      <c r="MNZ69" s="10"/>
      <c r="MOA69" s="10"/>
      <c r="MOB69" s="10"/>
      <c r="MOC69" s="10"/>
      <c r="MOD69" s="10"/>
      <c r="MOE69" s="10"/>
      <c r="MOF69" s="10"/>
      <c r="MOG69" s="10"/>
      <c r="MOH69" s="10"/>
      <c r="MOI69" s="10"/>
      <c r="MOJ69" s="10"/>
      <c r="MOK69" s="10"/>
      <c r="MOL69" s="10"/>
      <c r="MOM69" s="10"/>
      <c r="MON69" s="10"/>
      <c r="MOO69" s="10"/>
      <c r="MOP69" s="10"/>
      <c r="MOQ69" s="10"/>
      <c r="MOR69" s="10"/>
      <c r="MOS69" s="10"/>
      <c r="MOT69" s="10"/>
      <c r="MOU69" s="10"/>
      <c r="MOV69" s="10"/>
      <c r="MOW69" s="10"/>
      <c r="MOX69" s="10"/>
      <c r="MOY69" s="10"/>
      <c r="MOZ69" s="10"/>
      <c r="MPA69" s="10"/>
      <c r="MPB69" s="10"/>
      <c r="MPC69" s="10"/>
      <c r="MPD69" s="10"/>
      <c r="MPE69" s="10"/>
      <c r="MPF69" s="10"/>
      <c r="MPG69" s="10"/>
      <c r="MPH69" s="10"/>
      <c r="MPI69" s="10"/>
      <c r="MPJ69" s="10"/>
      <c r="MPK69" s="10"/>
      <c r="MPL69" s="10"/>
      <c r="MPM69" s="10"/>
      <c r="MPN69" s="10"/>
      <c r="MPO69" s="10"/>
      <c r="MPP69" s="10"/>
      <c r="MPQ69" s="10"/>
      <c r="MPR69" s="10"/>
      <c r="MPS69" s="10"/>
      <c r="MPT69" s="10"/>
      <c r="MPU69" s="10"/>
      <c r="MPV69" s="10"/>
      <c r="MPW69" s="10"/>
      <c r="MPX69" s="10"/>
      <c r="MPY69" s="10"/>
      <c r="MPZ69" s="10"/>
      <c r="MQA69" s="10"/>
      <c r="MQB69" s="10"/>
      <c r="MQC69" s="10"/>
      <c r="MQD69" s="10"/>
      <c r="MQE69" s="10"/>
      <c r="MQF69" s="10"/>
      <c r="MQG69" s="10"/>
      <c r="MQH69" s="10"/>
      <c r="MQI69" s="10"/>
      <c r="MQJ69" s="10"/>
      <c r="MQK69" s="10"/>
      <c r="MQL69" s="10"/>
      <c r="MQM69" s="10"/>
      <c r="MQN69" s="10"/>
      <c r="MQO69" s="10"/>
      <c r="MQP69" s="10"/>
      <c r="MQQ69" s="10"/>
      <c r="MQR69" s="10"/>
      <c r="MQS69" s="10"/>
      <c r="MQT69" s="10"/>
      <c r="MQU69" s="10"/>
      <c r="MQV69" s="10"/>
      <c r="MQW69" s="10"/>
      <c r="MQX69" s="10"/>
      <c r="MQY69" s="10"/>
      <c r="MQZ69" s="10"/>
      <c r="MRA69" s="10"/>
      <c r="MRB69" s="10"/>
      <c r="MRC69" s="10"/>
      <c r="MRD69" s="10"/>
      <c r="MRE69" s="10"/>
      <c r="MRF69" s="10"/>
      <c r="MRG69" s="10"/>
      <c r="MRH69" s="10"/>
      <c r="MRI69" s="10"/>
      <c r="MRJ69" s="10"/>
      <c r="MRK69" s="10"/>
      <c r="MRL69" s="10"/>
      <c r="MRM69" s="10"/>
      <c r="MRN69" s="10"/>
      <c r="MRO69" s="10"/>
      <c r="MRP69" s="10"/>
      <c r="MRQ69" s="10"/>
      <c r="MRR69" s="10"/>
      <c r="MRS69" s="10"/>
      <c r="MRT69" s="10"/>
      <c r="MRU69" s="10"/>
      <c r="MRV69" s="10"/>
      <c r="MRW69" s="10"/>
      <c r="MRX69" s="10"/>
      <c r="MRY69" s="10"/>
      <c r="MRZ69" s="10"/>
      <c r="MSA69" s="10"/>
      <c r="MSB69" s="10"/>
      <c r="MSC69" s="10"/>
      <c r="MSD69" s="10"/>
      <c r="MSE69" s="10"/>
      <c r="MSF69" s="10"/>
      <c r="MSG69" s="10"/>
      <c r="MSH69" s="10"/>
      <c r="MSI69" s="10"/>
      <c r="MSJ69" s="10"/>
      <c r="MSK69" s="10"/>
      <c r="MSL69" s="10"/>
      <c r="MSM69" s="10"/>
      <c r="MSN69" s="10"/>
      <c r="MSO69" s="10"/>
      <c r="MSP69" s="10"/>
      <c r="MSQ69" s="10"/>
      <c r="MSR69" s="10"/>
      <c r="MSS69" s="10"/>
      <c r="MST69" s="10"/>
      <c r="MSU69" s="10"/>
      <c r="MSV69" s="10"/>
      <c r="MSW69" s="10"/>
      <c r="MSX69" s="10"/>
      <c r="MSY69" s="10"/>
      <c r="MSZ69" s="10"/>
      <c r="MTA69" s="10"/>
      <c r="MTB69" s="10"/>
      <c r="MTC69" s="10"/>
      <c r="MTD69" s="10"/>
      <c r="MTE69" s="10"/>
      <c r="MTF69" s="10"/>
      <c r="MTG69" s="10"/>
      <c r="MTH69" s="10"/>
      <c r="MTI69" s="10"/>
      <c r="MTJ69" s="10"/>
      <c r="MTK69" s="10"/>
      <c r="MTL69" s="10"/>
      <c r="MTM69" s="10"/>
      <c r="MTN69" s="10"/>
      <c r="MTO69" s="10"/>
      <c r="MTP69" s="10"/>
      <c r="MTQ69" s="10"/>
      <c r="MTR69" s="10"/>
      <c r="MTS69" s="10"/>
      <c r="MTT69" s="10"/>
      <c r="MTU69" s="10"/>
      <c r="MTV69" s="10"/>
      <c r="MTW69" s="10"/>
      <c r="MTX69" s="10"/>
      <c r="MTY69" s="10"/>
      <c r="MTZ69" s="10"/>
      <c r="MUA69" s="10"/>
      <c r="MUB69" s="10"/>
      <c r="MUC69" s="10"/>
      <c r="MUD69" s="10"/>
      <c r="MUE69" s="10"/>
      <c r="MUF69" s="10"/>
      <c r="MUG69" s="10"/>
      <c r="MUH69" s="10"/>
      <c r="MUI69" s="10"/>
      <c r="MUJ69" s="10"/>
      <c r="MUK69" s="10"/>
      <c r="MUL69" s="10"/>
      <c r="MUM69" s="10"/>
      <c r="MUN69" s="10"/>
      <c r="MUO69" s="10"/>
      <c r="MUP69" s="10"/>
      <c r="MUQ69" s="10"/>
      <c r="MUR69" s="10"/>
      <c r="MUS69" s="10"/>
      <c r="MUT69" s="10"/>
      <c r="MUU69" s="10"/>
      <c r="MUV69" s="10"/>
      <c r="MUW69" s="10"/>
      <c r="MUX69" s="10"/>
      <c r="MUY69" s="10"/>
      <c r="MUZ69" s="10"/>
      <c r="MVA69" s="10"/>
      <c r="MVB69" s="10"/>
      <c r="MVC69" s="10"/>
      <c r="MVD69" s="10"/>
      <c r="MVE69" s="10"/>
      <c r="MVF69" s="10"/>
      <c r="MVG69" s="10"/>
      <c r="MVH69" s="10"/>
      <c r="MVI69" s="10"/>
      <c r="MVJ69" s="10"/>
      <c r="MVK69" s="10"/>
      <c r="MVL69" s="10"/>
      <c r="MVM69" s="10"/>
      <c r="MVN69" s="10"/>
      <c r="MVO69" s="10"/>
      <c r="MVP69" s="10"/>
      <c r="MVQ69" s="10"/>
      <c r="MVR69" s="10"/>
      <c r="MVS69" s="10"/>
      <c r="MVT69" s="10"/>
      <c r="MVU69" s="10"/>
      <c r="MVV69" s="10"/>
      <c r="MVW69" s="10"/>
      <c r="MVX69" s="10"/>
      <c r="MVY69" s="10"/>
      <c r="MVZ69" s="10"/>
      <c r="MWA69" s="10"/>
      <c r="MWB69" s="10"/>
      <c r="MWC69" s="10"/>
      <c r="MWD69" s="10"/>
      <c r="MWE69" s="10"/>
      <c r="MWF69" s="10"/>
      <c r="MWG69" s="10"/>
      <c r="MWH69" s="10"/>
      <c r="MWI69" s="10"/>
      <c r="MWJ69" s="10"/>
      <c r="MWK69" s="10"/>
      <c r="MWL69" s="10"/>
      <c r="MWM69" s="10"/>
      <c r="MWN69" s="10"/>
      <c r="MWO69" s="10"/>
      <c r="MWP69" s="10"/>
      <c r="MWQ69" s="10"/>
      <c r="MWR69" s="10"/>
      <c r="MWS69" s="10"/>
      <c r="MWT69" s="10"/>
      <c r="MWU69" s="10"/>
      <c r="MWV69" s="10"/>
      <c r="MWW69" s="10"/>
      <c r="MWX69" s="10"/>
      <c r="MWY69" s="10"/>
      <c r="MWZ69" s="10"/>
      <c r="MXA69" s="10"/>
      <c r="MXB69" s="10"/>
      <c r="MXC69" s="10"/>
      <c r="MXD69" s="10"/>
      <c r="MXE69" s="10"/>
      <c r="MXF69" s="10"/>
      <c r="MXG69" s="10"/>
      <c r="MXH69" s="10"/>
      <c r="MXI69" s="10"/>
      <c r="MXJ69" s="10"/>
      <c r="MXK69" s="10"/>
      <c r="MXL69" s="10"/>
      <c r="MXM69" s="10"/>
      <c r="MXN69" s="10"/>
      <c r="MXO69" s="10"/>
      <c r="MXP69" s="10"/>
      <c r="MXQ69" s="10"/>
      <c r="MXR69" s="10"/>
      <c r="MXS69" s="10"/>
      <c r="MXT69" s="10"/>
      <c r="MXU69" s="10"/>
      <c r="MXV69" s="10"/>
      <c r="MXW69" s="10"/>
      <c r="MXX69" s="10"/>
      <c r="MXY69" s="10"/>
      <c r="MXZ69" s="10"/>
      <c r="MYA69" s="10"/>
      <c r="MYB69" s="10"/>
      <c r="MYC69" s="10"/>
      <c r="MYD69" s="10"/>
      <c r="MYE69" s="10"/>
      <c r="MYF69" s="10"/>
      <c r="MYG69" s="10"/>
      <c r="MYH69" s="10"/>
      <c r="MYI69" s="10"/>
      <c r="MYJ69" s="10"/>
      <c r="MYK69" s="10"/>
      <c r="MYL69" s="10"/>
      <c r="MYM69" s="10"/>
      <c r="MYN69" s="10"/>
      <c r="MYO69" s="10"/>
      <c r="MYP69" s="10"/>
      <c r="MYQ69" s="10"/>
      <c r="MYR69" s="10"/>
      <c r="MYS69" s="10"/>
      <c r="MYT69" s="10"/>
      <c r="MYU69" s="10"/>
      <c r="MYV69" s="10"/>
      <c r="MYW69" s="10"/>
      <c r="MYX69" s="10"/>
      <c r="MYY69" s="10"/>
      <c r="MYZ69" s="10"/>
      <c r="MZA69" s="10"/>
      <c r="MZB69" s="10"/>
      <c r="MZC69" s="10"/>
      <c r="MZD69" s="10"/>
      <c r="MZE69" s="10"/>
      <c r="MZF69" s="10"/>
      <c r="MZG69" s="10"/>
      <c r="MZH69" s="10"/>
      <c r="MZI69" s="10"/>
      <c r="MZJ69" s="10"/>
      <c r="MZK69" s="10"/>
      <c r="MZL69" s="10"/>
      <c r="MZM69" s="10"/>
      <c r="MZN69" s="10"/>
      <c r="MZO69" s="10"/>
      <c r="MZP69" s="10"/>
      <c r="MZQ69" s="10"/>
      <c r="MZR69" s="10"/>
      <c r="MZS69" s="10"/>
      <c r="MZT69" s="10"/>
      <c r="MZU69" s="10"/>
      <c r="MZV69" s="10"/>
      <c r="MZW69" s="10"/>
      <c r="MZX69" s="10"/>
      <c r="MZY69" s="10"/>
      <c r="MZZ69" s="10"/>
      <c r="NAA69" s="10"/>
      <c r="NAB69" s="10"/>
      <c r="NAC69" s="10"/>
      <c r="NAD69" s="10"/>
      <c r="NAE69" s="10"/>
      <c r="NAF69" s="10"/>
      <c r="NAG69" s="10"/>
      <c r="NAH69" s="10"/>
      <c r="NAI69" s="10"/>
      <c r="NAJ69" s="10"/>
      <c r="NAK69" s="10"/>
      <c r="NAL69" s="10"/>
      <c r="NAM69" s="10"/>
      <c r="NAN69" s="10"/>
      <c r="NAO69" s="10"/>
      <c r="NAP69" s="10"/>
      <c r="NAQ69" s="10"/>
      <c r="NAR69" s="10"/>
      <c r="NAS69" s="10"/>
      <c r="NAT69" s="10"/>
      <c r="NAU69" s="10"/>
      <c r="NAV69" s="10"/>
      <c r="NAW69" s="10"/>
      <c r="NAX69" s="10"/>
      <c r="NAY69" s="10"/>
      <c r="NAZ69" s="10"/>
      <c r="NBA69" s="10"/>
      <c r="NBB69" s="10"/>
      <c r="NBC69" s="10"/>
      <c r="NBD69" s="10"/>
      <c r="NBE69" s="10"/>
      <c r="NBF69" s="10"/>
      <c r="NBG69" s="10"/>
      <c r="NBH69" s="10"/>
      <c r="NBI69" s="10"/>
      <c r="NBJ69" s="10"/>
      <c r="NBK69" s="10"/>
      <c r="NBL69" s="10"/>
      <c r="NBM69" s="10"/>
      <c r="NBN69" s="10"/>
      <c r="NBO69" s="10"/>
      <c r="NBP69" s="10"/>
      <c r="NBQ69" s="10"/>
      <c r="NBR69" s="10"/>
      <c r="NBS69" s="10"/>
      <c r="NBT69" s="10"/>
      <c r="NBU69" s="10"/>
      <c r="NBV69" s="10"/>
      <c r="NBW69" s="10"/>
      <c r="NBX69" s="10"/>
      <c r="NBY69" s="10"/>
      <c r="NBZ69" s="10"/>
      <c r="NCA69" s="10"/>
      <c r="NCB69" s="10"/>
      <c r="NCC69" s="10"/>
      <c r="NCD69" s="10"/>
      <c r="NCE69" s="10"/>
      <c r="NCF69" s="10"/>
      <c r="NCG69" s="10"/>
      <c r="NCH69" s="10"/>
      <c r="NCI69" s="10"/>
      <c r="NCJ69" s="10"/>
      <c r="NCK69" s="10"/>
      <c r="NCL69" s="10"/>
      <c r="NCM69" s="10"/>
      <c r="NCN69" s="10"/>
      <c r="NCO69" s="10"/>
      <c r="NCP69" s="10"/>
      <c r="NCQ69" s="10"/>
      <c r="NCR69" s="10"/>
      <c r="NCS69" s="10"/>
      <c r="NCT69" s="10"/>
      <c r="NCU69" s="10"/>
      <c r="NCV69" s="10"/>
      <c r="NCW69" s="10"/>
      <c r="NCX69" s="10"/>
      <c r="NCY69" s="10"/>
      <c r="NCZ69" s="10"/>
      <c r="NDA69" s="10"/>
      <c r="NDB69" s="10"/>
      <c r="NDC69" s="10"/>
      <c r="NDD69" s="10"/>
      <c r="NDE69" s="10"/>
      <c r="NDF69" s="10"/>
      <c r="NDG69" s="10"/>
      <c r="NDH69" s="10"/>
      <c r="NDI69" s="10"/>
      <c r="NDJ69" s="10"/>
      <c r="NDK69" s="10"/>
      <c r="NDL69" s="10"/>
      <c r="NDM69" s="10"/>
      <c r="NDN69" s="10"/>
      <c r="NDO69" s="10"/>
      <c r="NDP69" s="10"/>
      <c r="NDQ69" s="10"/>
      <c r="NDR69" s="10"/>
      <c r="NDS69" s="10"/>
      <c r="NDT69" s="10"/>
      <c r="NDU69" s="10"/>
      <c r="NDV69" s="10"/>
      <c r="NDW69" s="10"/>
      <c r="NDX69" s="10"/>
      <c r="NDY69" s="10"/>
      <c r="NDZ69" s="10"/>
      <c r="NEA69" s="10"/>
      <c r="NEB69" s="10"/>
      <c r="NEC69" s="10"/>
      <c r="NED69" s="10"/>
      <c r="NEE69" s="10"/>
      <c r="NEF69" s="10"/>
      <c r="NEG69" s="10"/>
      <c r="NEH69" s="10"/>
      <c r="NEI69" s="10"/>
      <c r="NEJ69" s="10"/>
      <c r="NEK69" s="10"/>
      <c r="NEL69" s="10"/>
      <c r="NEM69" s="10"/>
      <c r="NEN69" s="10"/>
      <c r="NEO69" s="10"/>
      <c r="NEP69" s="10"/>
      <c r="NEQ69" s="10"/>
      <c r="NER69" s="10"/>
      <c r="NES69" s="10"/>
      <c r="NET69" s="10"/>
      <c r="NEU69" s="10"/>
      <c r="NEV69" s="10"/>
      <c r="NEW69" s="10"/>
      <c r="NEX69" s="10"/>
      <c r="NEY69" s="10"/>
      <c r="NEZ69" s="10"/>
      <c r="NFA69" s="10"/>
      <c r="NFB69" s="10"/>
      <c r="NFC69" s="10"/>
      <c r="NFD69" s="10"/>
      <c r="NFE69" s="10"/>
      <c r="NFF69" s="10"/>
      <c r="NFG69" s="10"/>
      <c r="NFH69" s="10"/>
      <c r="NFI69" s="10"/>
      <c r="NFJ69" s="10"/>
      <c r="NFK69" s="10"/>
      <c r="NFL69" s="10"/>
      <c r="NFM69" s="10"/>
      <c r="NFN69" s="10"/>
      <c r="NFO69" s="10"/>
      <c r="NFP69" s="10"/>
      <c r="NFQ69" s="10"/>
      <c r="NFR69" s="10"/>
      <c r="NFS69" s="10"/>
      <c r="NFT69" s="10"/>
      <c r="NFU69" s="10"/>
      <c r="NFV69" s="10"/>
      <c r="NFW69" s="10"/>
      <c r="NFX69" s="10"/>
      <c r="NFY69" s="10"/>
      <c r="NFZ69" s="10"/>
      <c r="NGA69" s="10"/>
      <c r="NGB69" s="10"/>
      <c r="NGC69" s="10"/>
      <c r="NGD69" s="10"/>
      <c r="NGE69" s="10"/>
      <c r="NGF69" s="10"/>
      <c r="NGG69" s="10"/>
      <c r="NGH69" s="10"/>
      <c r="NGI69" s="10"/>
      <c r="NGJ69" s="10"/>
      <c r="NGK69" s="10"/>
      <c r="NGL69" s="10"/>
      <c r="NGM69" s="10"/>
      <c r="NGN69" s="10"/>
      <c r="NGO69" s="10"/>
      <c r="NGP69" s="10"/>
      <c r="NGQ69" s="10"/>
      <c r="NGR69" s="10"/>
      <c r="NGS69" s="10"/>
      <c r="NGT69" s="10"/>
      <c r="NGU69" s="10"/>
      <c r="NGV69" s="10"/>
      <c r="NGW69" s="10"/>
      <c r="NGX69" s="10"/>
      <c r="NGY69" s="10"/>
      <c r="NGZ69" s="10"/>
      <c r="NHA69" s="10"/>
      <c r="NHB69" s="10"/>
      <c r="NHC69" s="10"/>
      <c r="NHD69" s="10"/>
      <c r="NHE69" s="10"/>
      <c r="NHF69" s="10"/>
      <c r="NHG69" s="10"/>
      <c r="NHH69" s="10"/>
      <c r="NHI69" s="10"/>
      <c r="NHJ69" s="10"/>
      <c r="NHK69" s="10"/>
      <c r="NHL69" s="10"/>
      <c r="NHM69" s="10"/>
      <c r="NHN69" s="10"/>
      <c r="NHO69" s="10"/>
      <c r="NHP69" s="10"/>
      <c r="NHQ69" s="10"/>
      <c r="NHR69" s="10"/>
      <c r="NHS69" s="10"/>
      <c r="NHT69" s="10"/>
      <c r="NHU69" s="10"/>
      <c r="NHV69" s="10"/>
      <c r="NHW69" s="10"/>
      <c r="NHX69" s="10"/>
      <c r="NHY69" s="10"/>
      <c r="NHZ69" s="10"/>
      <c r="NIA69" s="10"/>
      <c r="NIB69" s="10"/>
      <c r="NIC69" s="10"/>
      <c r="NID69" s="10"/>
      <c r="NIE69" s="10"/>
      <c r="NIF69" s="10"/>
      <c r="NIG69" s="10"/>
      <c r="NIH69" s="10"/>
      <c r="NII69" s="10"/>
      <c r="NIJ69" s="10"/>
      <c r="NIK69" s="10"/>
      <c r="NIL69" s="10"/>
      <c r="NIM69" s="10"/>
      <c r="NIN69" s="10"/>
      <c r="NIO69" s="10"/>
      <c r="NIP69" s="10"/>
      <c r="NIQ69" s="10"/>
      <c r="NIR69" s="10"/>
      <c r="NIS69" s="10"/>
      <c r="NIT69" s="10"/>
      <c r="NIU69" s="10"/>
      <c r="NIV69" s="10"/>
      <c r="NIW69" s="10"/>
      <c r="NIX69" s="10"/>
      <c r="NIY69" s="10"/>
      <c r="NIZ69" s="10"/>
      <c r="NJA69" s="10"/>
      <c r="NJB69" s="10"/>
      <c r="NJC69" s="10"/>
      <c r="NJD69" s="10"/>
      <c r="NJE69" s="10"/>
      <c r="NJF69" s="10"/>
      <c r="NJG69" s="10"/>
      <c r="NJH69" s="10"/>
      <c r="NJI69" s="10"/>
      <c r="NJJ69" s="10"/>
      <c r="NJK69" s="10"/>
      <c r="NJL69" s="10"/>
      <c r="NJM69" s="10"/>
      <c r="NJN69" s="10"/>
      <c r="NJO69" s="10"/>
      <c r="NJP69" s="10"/>
      <c r="NJQ69" s="10"/>
      <c r="NJR69" s="10"/>
      <c r="NJS69" s="10"/>
      <c r="NJT69" s="10"/>
      <c r="NJU69" s="10"/>
      <c r="NJV69" s="10"/>
      <c r="NJW69" s="10"/>
      <c r="NJX69" s="10"/>
      <c r="NJY69" s="10"/>
      <c r="NJZ69" s="10"/>
      <c r="NKA69" s="10"/>
      <c r="NKB69" s="10"/>
      <c r="NKC69" s="10"/>
      <c r="NKD69" s="10"/>
      <c r="NKE69" s="10"/>
      <c r="NKF69" s="10"/>
      <c r="NKG69" s="10"/>
      <c r="NKH69" s="10"/>
      <c r="NKI69" s="10"/>
      <c r="NKJ69" s="10"/>
      <c r="NKK69" s="10"/>
      <c r="NKL69" s="10"/>
      <c r="NKM69" s="10"/>
      <c r="NKN69" s="10"/>
      <c r="NKO69" s="10"/>
      <c r="NKP69" s="10"/>
      <c r="NKQ69" s="10"/>
      <c r="NKR69" s="10"/>
      <c r="NKS69" s="10"/>
      <c r="NKT69" s="10"/>
      <c r="NKU69" s="10"/>
      <c r="NKV69" s="10"/>
      <c r="NKW69" s="10"/>
      <c r="NKX69" s="10"/>
      <c r="NKY69" s="10"/>
      <c r="NKZ69" s="10"/>
      <c r="NLA69" s="10"/>
      <c r="NLB69" s="10"/>
      <c r="NLC69" s="10"/>
      <c r="NLD69" s="10"/>
      <c r="NLE69" s="10"/>
      <c r="NLF69" s="10"/>
      <c r="NLG69" s="10"/>
      <c r="NLH69" s="10"/>
      <c r="NLI69" s="10"/>
      <c r="NLJ69" s="10"/>
      <c r="NLK69" s="10"/>
      <c r="NLL69" s="10"/>
      <c r="NLM69" s="10"/>
      <c r="NLN69" s="10"/>
      <c r="NLO69" s="10"/>
      <c r="NLP69" s="10"/>
      <c r="NLQ69" s="10"/>
      <c r="NLR69" s="10"/>
      <c r="NLS69" s="10"/>
      <c r="NLT69" s="10"/>
      <c r="NLU69" s="10"/>
      <c r="NLV69" s="10"/>
      <c r="NLW69" s="10"/>
      <c r="NLX69" s="10"/>
      <c r="NLY69" s="10"/>
      <c r="NLZ69" s="10"/>
      <c r="NMA69" s="10"/>
      <c r="NMB69" s="10"/>
      <c r="NMC69" s="10"/>
      <c r="NMD69" s="10"/>
      <c r="NME69" s="10"/>
      <c r="NMF69" s="10"/>
      <c r="NMG69" s="10"/>
      <c r="NMH69" s="10"/>
      <c r="NMI69" s="10"/>
      <c r="NMJ69" s="10"/>
      <c r="NMK69" s="10"/>
      <c r="NML69" s="10"/>
      <c r="NMM69" s="10"/>
      <c r="NMN69" s="10"/>
      <c r="NMO69" s="10"/>
      <c r="NMP69" s="10"/>
      <c r="NMQ69" s="10"/>
      <c r="NMR69" s="10"/>
      <c r="NMS69" s="10"/>
      <c r="NMT69" s="10"/>
      <c r="NMU69" s="10"/>
      <c r="NMV69" s="10"/>
      <c r="NMW69" s="10"/>
      <c r="NMX69" s="10"/>
      <c r="NMY69" s="10"/>
      <c r="NMZ69" s="10"/>
      <c r="NNA69" s="10"/>
      <c r="NNB69" s="10"/>
      <c r="NNC69" s="10"/>
      <c r="NND69" s="10"/>
      <c r="NNE69" s="10"/>
      <c r="NNF69" s="10"/>
      <c r="NNG69" s="10"/>
      <c r="NNH69" s="10"/>
      <c r="NNI69" s="10"/>
      <c r="NNJ69" s="10"/>
      <c r="NNK69" s="10"/>
      <c r="NNL69" s="10"/>
      <c r="NNM69" s="10"/>
      <c r="NNN69" s="10"/>
      <c r="NNO69" s="10"/>
      <c r="NNP69" s="10"/>
      <c r="NNQ69" s="10"/>
      <c r="NNR69" s="10"/>
      <c r="NNS69" s="10"/>
      <c r="NNT69" s="10"/>
      <c r="NNU69" s="10"/>
      <c r="NNV69" s="10"/>
      <c r="NNW69" s="10"/>
      <c r="NNX69" s="10"/>
      <c r="NNY69" s="10"/>
      <c r="NNZ69" s="10"/>
      <c r="NOA69" s="10"/>
      <c r="NOB69" s="10"/>
      <c r="NOC69" s="10"/>
      <c r="NOD69" s="10"/>
      <c r="NOE69" s="10"/>
      <c r="NOF69" s="10"/>
      <c r="NOG69" s="10"/>
      <c r="NOH69" s="10"/>
      <c r="NOI69" s="10"/>
      <c r="NOJ69" s="10"/>
      <c r="NOK69" s="10"/>
      <c r="NOL69" s="10"/>
      <c r="NOM69" s="10"/>
      <c r="NON69" s="10"/>
      <c r="NOO69" s="10"/>
      <c r="NOP69" s="10"/>
      <c r="NOQ69" s="10"/>
      <c r="NOR69" s="10"/>
      <c r="NOS69" s="10"/>
      <c r="NOT69" s="10"/>
      <c r="NOU69" s="10"/>
      <c r="NOV69" s="10"/>
      <c r="NOW69" s="10"/>
      <c r="NOX69" s="10"/>
      <c r="NOY69" s="10"/>
      <c r="NOZ69" s="10"/>
      <c r="NPA69" s="10"/>
      <c r="NPB69" s="10"/>
      <c r="NPC69" s="10"/>
      <c r="NPD69" s="10"/>
      <c r="NPE69" s="10"/>
      <c r="NPF69" s="10"/>
      <c r="NPG69" s="10"/>
      <c r="NPH69" s="10"/>
      <c r="NPI69" s="10"/>
      <c r="NPJ69" s="10"/>
      <c r="NPK69" s="10"/>
      <c r="NPL69" s="10"/>
      <c r="NPM69" s="10"/>
      <c r="NPN69" s="10"/>
      <c r="NPO69" s="10"/>
      <c r="NPP69" s="10"/>
      <c r="NPQ69" s="10"/>
      <c r="NPR69" s="10"/>
      <c r="NPS69" s="10"/>
      <c r="NPT69" s="10"/>
      <c r="NPU69" s="10"/>
      <c r="NPV69" s="10"/>
      <c r="NPW69" s="10"/>
      <c r="NPX69" s="10"/>
      <c r="NPY69" s="10"/>
      <c r="NPZ69" s="10"/>
      <c r="NQA69" s="10"/>
      <c r="NQB69" s="10"/>
      <c r="NQC69" s="10"/>
      <c r="NQD69" s="10"/>
      <c r="NQE69" s="10"/>
      <c r="NQF69" s="10"/>
      <c r="NQG69" s="10"/>
      <c r="NQH69" s="10"/>
      <c r="NQI69" s="10"/>
      <c r="NQJ69" s="10"/>
      <c r="NQK69" s="10"/>
      <c r="NQL69" s="10"/>
      <c r="NQM69" s="10"/>
      <c r="NQN69" s="10"/>
      <c r="NQO69" s="10"/>
      <c r="NQP69" s="10"/>
      <c r="NQQ69" s="10"/>
      <c r="NQR69" s="10"/>
      <c r="NQS69" s="10"/>
      <c r="NQT69" s="10"/>
      <c r="NQU69" s="10"/>
      <c r="NQV69" s="10"/>
      <c r="NQW69" s="10"/>
      <c r="NQX69" s="10"/>
      <c r="NQY69" s="10"/>
      <c r="NQZ69" s="10"/>
      <c r="NRA69" s="10"/>
      <c r="NRB69" s="10"/>
      <c r="NRC69" s="10"/>
      <c r="NRD69" s="10"/>
      <c r="NRE69" s="10"/>
      <c r="NRF69" s="10"/>
      <c r="NRG69" s="10"/>
      <c r="NRH69" s="10"/>
      <c r="NRI69" s="10"/>
      <c r="NRJ69" s="10"/>
      <c r="NRK69" s="10"/>
      <c r="NRL69" s="10"/>
      <c r="NRM69" s="10"/>
      <c r="NRN69" s="10"/>
      <c r="NRO69" s="10"/>
      <c r="NRP69" s="10"/>
      <c r="NRQ69" s="10"/>
      <c r="NRR69" s="10"/>
      <c r="NRS69" s="10"/>
      <c r="NRT69" s="10"/>
      <c r="NRU69" s="10"/>
      <c r="NRV69" s="10"/>
      <c r="NRW69" s="10"/>
      <c r="NRX69" s="10"/>
      <c r="NRY69" s="10"/>
      <c r="NRZ69" s="10"/>
      <c r="NSA69" s="10"/>
      <c r="NSB69" s="10"/>
      <c r="NSC69" s="10"/>
      <c r="NSD69" s="10"/>
      <c r="NSE69" s="10"/>
      <c r="NSF69" s="10"/>
      <c r="NSG69" s="10"/>
      <c r="NSH69" s="10"/>
      <c r="NSI69" s="10"/>
      <c r="NSJ69" s="10"/>
      <c r="NSK69" s="10"/>
      <c r="NSL69" s="10"/>
      <c r="NSM69" s="10"/>
      <c r="NSN69" s="10"/>
      <c r="NSO69" s="10"/>
      <c r="NSP69" s="10"/>
      <c r="NSQ69" s="10"/>
      <c r="NSR69" s="10"/>
      <c r="NSS69" s="10"/>
      <c r="NST69" s="10"/>
      <c r="NSU69" s="10"/>
      <c r="NSV69" s="10"/>
      <c r="NSW69" s="10"/>
      <c r="NSX69" s="10"/>
      <c r="NSY69" s="10"/>
      <c r="NSZ69" s="10"/>
      <c r="NTA69" s="10"/>
      <c r="NTB69" s="10"/>
      <c r="NTC69" s="10"/>
      <c r="NTD69" s="10"/>
      <c r="NTE69" s="10"/>
      <c r="NTF69" s="10"/>
      <c r="NTG69" s="10"/>
      <c r="NTH69" s="10"/>
      <c r="NTI69" s="10"/>
      <c r="NTJ69" s="10"/>
      <c r="NTK69" s="10"/>
      <c r="NTL69" s="10"/>
      <c r="NTM69" s="10"/>
      <c r="NTN69" s="10"/>
      <c r="NTO69" s="10"/>
      <c r="NTP69" s="10"/>
      <c r="NTQ69" s="10"/>
      <c r="NTR69" s="10"/>
      <c r="NTS69" s="10"/>
      <c r="NTT69" s="10"/>
      <c r="NTU69" s="10"/>
      <c r="NTV69" s="10"/>
      <c r="NTW69" s="10"/>
      <c r="NTX69" s="10"/>
      <c r="NTY69" s="10"/>
      <c r="NTZ69" s="10"/>
      <c r="NUA69" s="10"/>
      <c r="NUB69" s="10"/>
      <c r="NUC69" s="10"/>
      <c r="NUD69" s="10"/>
      <c r="NUE69" s="10"/>
      <c r="NUF69" s="10"/>
      <c r="NUG69" s="10"/>
      <c r="NUH69" s="10"/>
      <c r="NUI69" s="10"/>
      <c r="NUJ69" s="10"/>
      <c r="NUK69" s="10"/>
      <c r="NUL69" s="10"/>
      <c r="NUM69" s="10"/>
      <c r="NUN69" s="10"/>
      <c r="NUO69" s="10"/>
      <c r="NUP69" s="10"/>
      <c r="NUQ69" s="10"/>
      <c r="NUR69" s="10"/>
      <c r="NUS69" s="10"/>
      <c r="NUT69" s="10"/>
      <c r="NUU69" s="10"/>
      <c r="NUV69" s="10"/>
      <c r="NUW69" s="10"/>
      <c r="NUX69" s="10"/>
      <c r="NUY69" s="10"/>
      <c r="NUZ69" s="10"/>
      <c r="NVA69" s="10"/>
      <c r="NVB69" s="10"/>
      <c r="NVC69" s="10"/>
      <c r="NVD69" s="10"/>
      <c r="NVE69" s="10"/>
      <c r="NVF69" s="10"/>
      <c r="NVG69" s="10"/>
      <c r="NVH69" s="10"/>
      <c r="NVI69" s="10"/>
      <c r="NVJ69" s="10"/>
      <c r="NVK69" s="10"/>
      <c r="NVL69" s="10"/>
      <c r="NVM69" s="10"/>
      <c r="NVN69" s="10"/>
      <c r="NVO69" s="10"/>
      <c r="NVP69" s="10"/>
      <c r="NVQ69" s="10"/>
      <c r="NVR69" s="10"/>
      <c r="NVS69" s="10"/>
      <c r="NVT69" s="10"/>
      <c r="NVU69" s="10"/>
      <c r="NVV69" s="10"/>
      <c r="NVW69" s="10"/>
      <c r="NVX69" s="10"/>
      <c r="NVY69" s="10"/>
      <c r="NVZ69" s="10"/>
      <c r="NWA69" s="10"/>
      <c r="NWB69" s="10"/>
      <c r="NWC69" s="10"/>
      <c r="NWD69" s="10"/>
      <c r="NWE69" s="10"/>
      <c r="NWF69" s="10"/>
      <c r="NWG69" s="10"/>
      <c r="NWH69" s="10"/>
      <c r="NWI69" s="10"/>
      <c r="NWJ69" s="10"/>
      <c r="NWK69" s="10"/>
      <c r="NWL69" s="10"/>
      <c r="NWM69" s="10"/>
      <c r="NWN69" s="10"/>
      <c r="NWO69" s="10"/>
      <c r="NWP69" s="10"/>
      <c r="NWQ69" s="10"/>
      <c r="NWR69" s="10"/>
      <c r="NWS69" s="10"/>
      <c r="NWT69" s="10"/>
      <c r="NWU69" s="10"/>
      <c r="NWV69" s="10"/>
      <c r="NWW69" s="10"/>
      <c r="NWX69" s="10"/>
      <c r="NWY69" s="10"/>
      <c r="NWZ69" s="10"/>
      <c r="NXA69" s="10"/>
      <c r="NXB69" s="10"/>
      <c r="NXC69" s="10"/>
      <c r="NXD69" s="10"/>
      <c r="NXE69" s="10"/>
      <c r="NXF69" s="10"/>
      <c r="NXG69" s="10"/>
      <c r="NXH69" s="10"/>
      <c r="NXI69" s="10"/>
      <c r="NXJ69" s="10"/>
      <c r="NXK69" s="10"/>
      <c r="NXL69" s="10"/>
      <c r="NXM69" s="10"/>
      <c r="NXN69" s="10"/>
      <c r="NXO69" s="10"/>
      <c r="NXP69" s="10"/>
      <c r="NXQ69" s="10"/>
      <c r="NXR69" s="10"/>
      <c r="NXS69" s="10"/>
      <c r="NXT69" s="10"/>
      <c r="NXU69" s="10"/>
      <c r="NXV69" s="10"/>
      <c r="NXW69" s="10"/>
      <c r="NXX69" s="10"/>
      <c r="NXY69" s="10"/>
      <c r="NXZ69" s="10"/>
      <c r="NYA69" s="10"/>
      <c r="NYB69" s="10"/>
      <c r="NYC69" s="10"/>
      <c r="NYD69" s="10"/>
      <c r="NYE69" s="10"/>
      <c r="NYF69" s="10"/>
      <c r="NYG69" s="10"/>
      <c r="NYH69" s="10"/>
      <c r="NYI69" s="10"/>
      <c r="NYJ69" s="10"/>
      <c r="NYK69" s="10"/>
      <c r="NYL69" s="10"/>
      <c r="NYM69" s="10"/>
      <c r="NYN69" s="10"/>
      <c r="NYO69" s="10"/>
      <c r="NYP69" s="10"/>
      <c r="NYQ69" s="10"/>
      <c r="NYR69" s="10"/>
      <c r="NYS69" s="10"/>
      <c r="NYT69" s="10"/>
      <c r="NYU69" s="10"/>
      <c r="NYV69" s="10"/>
      <c r="NYW69" s="10"/>
      <c r="NYX69" s="10"/>
      <c r="NYY69" s="10"/>
      <c r="NYZ69" s="10"/>
      <c r="NZA69" s="10"/>
      <c r="NZB69" s="10"/>
      <c r="NZC69" s="10"/>
      <c r="NZD69" s="10"/>
      <c r="NZE69" s="10"/>
      <c r="NZF69" s="10"/>
      <c r="NZG69" s="10"/>
      <c r="NZH69" s="10"/>
      <c r="NZI69" s="10"/>
      <c r="NZJ69" s="10"/>
      <c r="NZK69" s="10"/>
      <c r="NZL69" s="10"/>
      <c r="NZM69" s="10"/>
      <c r="NZN69" s="10"/>
      <c r="NZO69" s="10"/>
      <c r="NZP69" s="10"/>
      <c r="NZQ69" s="10"/>
      <c r="NZR69" s="10"/>
      <c r="NZS69" s="10"/>
      <c r="NZT69" s="10"/>
      <c r="NZU69" s="10"/>
      <c r="NZV69" s="10"/>
      <c r="NZW69" s="10"/>
      <c r="NZX69" s="10"/>
      <c r="NZY69" s="10"/>
      <c r="NZZ69" s="10"/>
      <c r="OAA69" s="10"/>
      <c r="OAB69" s="10"/>
      <c r="OAC69" s="10"/>
      <c r="OAD69" s="10"/>
      <c r="OAE69" s="10"/>
      <c r="OAF69" s="10"/>
      <c r="OAG69" s="10"/>
      <c r="OAH69" s="10"/>
      <c r="OAI69" s="10"/>
      <c r="OAJ69" s="10"/>
      <c r="OAK69" s="10"/>
      <c r="OAL69" s="10"/>
      <c r="OAM69" s="10"/>
      <c r="OAN69" s="10"/>
      <c r="OAO69" s="10"/>
      <c r="OAP69" s="10"/>
      <c r="OAQ69" s="10"/>
      <c r="OAR69" s="10"/>
      <c r="OAS69" s="10"/>
      <c r="OAT69" s="10"/>
      <c r="OAU69" s="10"/>
      <c r="OAV69" s="10"/>
      <c r="OAW69" s="10"/>
      <c r="OAX69" s="10"/>
      <c r="OAY69" s="10"/>
      <c r="OAZ69" s="10"/>
      <c r="OBA69" s="10"/>
      <c r="OBB69" s="10"/>
      <c r="OBC69" s="10"/>
      <c r="OBD69" s="10"/>
      <c r="OBE69" s="10"/>
      <c r="OBF69" s="10"/>
      <c r="OBG69" s="10"/>
      <c r="OBH69" s="10"/>
      <c r="OBI69" s="10"/>
      <c r="OBJ69" s="10"/>
      <c r="OBK69" s="10"/>
      <c r="OBL69" s="10"/>
      <c r="OBM69" s="10"/>
      <c r="OBN69" s="10"/>
      <c r="OBO69" s="10"/>
      <c r="OBP69" s="10"/>
      <c r="OBQ69" s="10"/>
      <c r="OBR69" s="10"/>
      <c r="OBS69" s="10"/>
      <c r="OBT69" s="10"/>
      <c r="OBU69" s="10"/>
      <c r="OBV69" s="10"/>
      <c r="OBW69" s="10"/>
      <c r="OBX69" s="10"/>
      <c r="OBY69" s="10"/>
      <c r="OBZ69" s="10"/>
      <c r="OCA69" s="10"/>
      <c r="OCB69" s="10"/>
      <c r="OCC69" s="10"/>
      <c r="OCD69" s="10"/>
      <c r="OCE69" s="10"/>
      <c r="OCF69" s="10"/>
      <c r="OCG69" s="10"/>
      <c r="OCH69" s="10"/>
      <c r="OCI69" s="10"/>
      <c r="OCJ69" s="10"/>
      <c r="OCK69" s="10"/>
      <c r="OCL69" s="10"/>
      <c r="OCM69" s="10"/>
      <c r="OCN69" s="10"/>
      <c r="OCO69" s="10"/>
      <c r="OCP69" s="10"/>
      <c r="OCQ69" s="10"/>
      <c r="OCR69" s="10"/>
      <c r="OCS69" s="10"/>
      <c r="OCT69" s="10"/>
      <c r="OCU69" s="10"/>
      <c r="OCV69" s="10"/>
      <c r="OCW69" s="10"/>
      <c r="OCX69" s="10"/>
      <c r="OCY69" s="10"/>
      <c r="OCZ69" s="10"/>
      <c r="ODA69" s="10"/>
      <c r="ODB69" s="10"/>
      <c r="ODC69" s="10"/>
      <c r="ODD69" s="10"/>
      <c r="ODE69" s="10"/>
      <c r="ODF69" s="10"/>
      <c r="ODG69" s="10"/>
      <c r="ODH69" s="10"/>
      <c r="ODI69" s="10"/>
      <c r="ODJ69" s="10"/>
      <c r="ODK69" s="10"/>
      <c r="ODL69" s="10"/>
      <c r="ODM69" s="10"/>
      <c r="ODN69" s="10"/>
      <c r="ODO69" s="10"/>
      <c r="ODP69" s="10"/>
      <c r="ODQ69" s="10"/>
      <c r="ODR69" s="10"/>
      <c r="ODS69" s="10"/>
      <c r="ODT69" s="10"/>
      <c r="ODU69" s="10"/>
      <c r="ODV69" s="10"/>
      <c r="ODW69" s="10"/>
      <c r="ODX69" s="10"/>
      <c r="ODY69" s="10"/>
      <c r="ODZ69" s="10"/>
      <c r="OEA69" s="10"/>
      <c r="OEB69" s="10"/>
      <c r="OEC69" s="10"/>
      <c r="OED69" s="10"/>
      <c r="OEE69" s="10"/>
      <c r="OEF69" s="10"/>
      <c r="OEG69" s="10"/>
      <c r="OEH69" s="10"/>
      <c r="OEI69" s="10"/>
      <c r="OEJ69" s="10"/>
      <c r="OEK69" s="10"/>
      <c r="OEL69" s="10"/>
      <c r="OEM69" s="10"/>
      <c r="OEN69" s="10"/>
      <c r="OEO69" s="10"/>
      <c r="OEP69" s="10"/>
      <c r="OEQ69" s="10"/>
      <c r="OER69" s="10"/>
      <c r="OES69" s="10"/>
      <c r="OET69" s="10"/>
      <c r="OEU69" s="10"/>
      <c r="OEV69" s="10"/>
      <c r="OEW69" s="10"/>
      <c r="OEX69" s="10"/>
      <c r="OEY69" s="10"/>
      <c r="OEZ69" s="10"/>
      <c r="OFA69" s="10"/>
      <c r="OFB69" s="10"/>
      <c r="OFC69" s="10"/>
      <c r="OFD69" s="10"/>
      <c r="OFE69" s="10"/>
      <c r="OFF69" s="10"/>
      <c r="OFG69" s="10"/>
      <c r="OFH69" s="10"/>
      <c r="OFI69" s="10"/>
      <c r="OFJ69" s="10"/>
      <c r="OFK69" s="10"/>
      <c r="OFL69" s="10"/>
      <c r="OFM69" s="10"/>
      <c r="OFN69" s="10"/>
      <c r="OFO69" s="10"/>
      <c r="OFP69" s="10"/>
      <c r="OFQ69" s="10"/>
      <c r="OFR69" s="10"/>
      <c r="OFS69" s="10"/>
      <c r="OFT69" s="10"/>
      <c r="OFU69" s="10"/>
      <c r="OFV69" s="10"/>
      <c r="OFW69" s="10"/>
      <c r="OFX69" s="10"/>
      <c r="OFY69" s="10"/>
      <c r="OFZ69" s="10"/>
      <c r="OGA69" s="10"/>
      <c r="OGB69" s="10"/>
      <c r="OGC69" s="10"/>
      <c r="OGD69" s="10"/>
      <c r="OGE69" s="10"/>
      <c r="OGF69" s="10"/>
      <c r="OGG69" s="10"/>
      <c r="OGH69" s="10"/>
      <c r="OGI69" s="10"/>
      <c r="OGJ69" s="10"/>
      <c r="OGK69" s="10"/>
      <c r="OGL69" s="10"/>
      <c r="OGM69" s="10"/>
      <c r="OGN69" s="10"/>
      <c r="OGO69" s="10"/>
      <c r="OGP69" s="10"/>
      <c r="OGQ69" s="10"/>
      <c r="OGR69" s="10"/>
      <c r="OGS69" s="10"/>
      <c r="OGT69" s="10"/>
      <c r="OGU69" s="10"/>
      <c r="OGV69" s="10"/>
      <c r="OGW69" s="10"/>
      <c r="OGX69" s="10"/>
      <c r="OGY69" s="10"/>
      <c r="OGZ69" s="10"/>
      <c r="OHA69" s="10"/>
      <c r="OHB69" s="10"/>
      <c r="OHC69" s="10"/>
      <c r="OHD69" s="10"/>
      <c r="OHE69" s="10"/>
      <c r="OHF69" s="10"/>
      <c r="OHG69" s="10"/>
      <c r="OHH69" s="10"/>
      <c r="OHI69" s="10"/>
      <c r="OHJ69" s="10"/>
      <c r="OHK69" s="10"/>
      <c r="OHL69" s="10"/>
      <c r="OHM69" s="10"/>
      <c r="OHN69" s="10"/>
      <c r="OHO69" s="10"/>
      <c r="OHP69" s="10"/>
      <c r="OHQ69" s="10"/>
      <c r="OHR69" s="10"/>
      <c r="OHS69" s="10"/>
      <c r="OHT69" s="10"/>
      <c r="OHU69" s="10"/>
      <c r="OHV69" s="10"/>
      <c r="OHW69" s="10"/>
      <c r="OHX69" s="10"/>
      <c r="OHY69" s="10"/>
      <c r="OHZ69" s="10"/>
      <c r="OIA69" s="10"/>
      <c r="OIB69" s="10"/>
      <c r="OIC69" s="10"/>
      <c r="OID69" s="10"/>
      <c r="OIE69" s="10"/>
      <c r="OIF69" s="10"/>
      <c r="OIG69" s="10"/>
      <c r="OIH69" s="10"/>
      <c r="OII69" s="10"/>
      <c r="OIJ69" s="10"/>
      <c r="OIK69" s="10"/>
      <c r="OIL69" s="10"/>
      <c r="OIM69" s="10"/>
      <c r="OIN69" s="10"/>
      <c r="OIO69" s="10"/>
      <c r="OIP69" s="10"/>
      <c r="OIQ69" s="10"/>
      <c r="OIR69" s="10"/>
      <c r="OIS69" s="10"/>
      <c r="OIT69" s="10"/>
      <c r="OIU69" s="10"/>
      <c r="OIV69" s="10"/>
      <c r="OIW69" s="10"/>
      <c r="OIX69" s="10"/>
      <c r="OIY69" s="10"/>
      <c r="OIZ69" s="10"/>
      <c r="OJA69" s="10"/>
      <c r="OJB69" s="10"/>
      <c r="OJC69" s="10"/>
      <c r="OJD69" s="10"/>
      <c r="OJE69" s="10"/>
      <c r="OJF69" s="10"/>
      <c r="OJG69" s="10"/>
      <c r="OJH69" s="10"/>
      <c r="OJI69" s="10"/>
      <c r="OJJ69" s="10"/>
      <c r="OJK69" s="10"/>
      <c r="OJL69" s="10"/>
      <c r="OJM69" s="10"/>
      <c r="OJN69" s="10"/>
      <c r="OJO69" s="10"/>
      <c r="OJP69" s="10"/>
      <c r="OJQ69" s="10"/>
      <c r="OJR69" s="10"/>
      <c r="OJS69" s="10"/>
      <c r="OJT69" s="10"/>
      <c r="OJU69" s="10"/>
      <c r="OJV69" s="10"/>
      <c r="OJW69" s="10"/>
      <c r="OJX69" s="10"/>
      <c r="OJY69" s="10"/>
      <c r="OJZ69" s="10"/>
      <c r="OKA69" s="10"/>
      <c r="OKB69" s="10"/>
      <c r="OKC69" s="10"/>
      <c r="OKD69" s="10"/>
      <c r="OKE69" s="10"/>
      <c r="OKF69" s="10"/>
      <c r="OKG69" s="10"/>
      <c r="OKH69" s="10"/>
      <c r="OKI69" s="10"/>
      <c r="OKJ69" s="10"/>
      <c r="OKK69" s="10"/>
      <c r="OKL69" s="10"/>
      <c r="OKM69" s="10"/>
      <c r="OKN69" s="10"/>
      <c r="OKO69" s="10"/>
      <c r="OKP69" s="10"/>
      <c r="OKQ69" s="10"/>
      <c r="OKR69" s="10"/>
      <c r="OKS69" s="10"/>
      <c r="OKT69" s="10"/>
      <c r="OKU69" s="10"/>
      <c r="OKV69" s="10"/>
      <c r="OKW69" s="10"/>
      <c r="OKX69" s="10"/>
      <c r="OKY69" s="10"/>
      <c r="OKZ69" s="10"/>
      <c r="OLA69" s="10"/>
      <c r="OLB69" s="10"/>
      <c r="OLC69" s="10"/>
      <c r="OLD69" s="10"/>
      <c r="OLE69" s="10"/>
      <c r="OLF69" s="10"/>
      <c r="OLG69" s="10"/>
      <c r="OLH69" s="10"/>
      <c r="OLI69" s="10"/>
      <c r="OLJ69" s="10"/>
      <c r="OLK69" s="10"/>
      <c r="OLL69" s="10"/>
      <c r="OLM69" s="10"/>
      <c r="OLN69" s="10"/>
      <c r="OLO69" s="10"/>
      <c r="OLP69" s="10"/>
      <c r="OLQ69" s="10"/>
      <c r="OLR69" s="10"/>
      <c r="OLS69" s="10"/>
      <c r="OLT69" s="10"/>
      <c r="OLU69" s="10"/>
      <c r="OLV69" s="10"/>
      <c r="OLW69" s="10"/>
      <c r="OLX69" s="10"/>
      <c r="OLY69" s="10"/>
      <c r="OLZ69" s="10"/>
      <c r="OMA69" s="10"/>
      <c r="OMB69" s="10"/>
      <c r="OMC69" s="10"/>
      <c r="OMD69" s="10"/>
      <c r="OME69" s="10"/>
      <c r="OMF69" s="10"/>
      <c r="OMG69" s="10"/>
      <c r="OMH69" s="10"/>
      <c r="OMI69" s="10"/>
      <c r="OMJ69" s="10"/>
      <c r="OMK69" s="10"/>
      <c r="OML69" s="10"/>
      <c r="OMM69" s="10"/>
      <c r="OMN69" s="10"/>
      <c r="OMO69" s="10"/>
      <c r="OMP69" s="10"/>
      <c r="OMQ69" s="10"/>
      <c r="OMR69" s="10"/>
      <c r="OMS69" s="10"/>
      <c r="OMT69" s="10"/>
      <c r="OMU69" s="10"/>
      <c r="OMV69" s="10"/>
      <c r="OMW69" s="10"/>
      <c r="OMX69" s="10"/>
      <c r="OMY69" s="10"/>
      <c r="OMZ69" s="10"/>
      <c r="ONA69" s="10"/>
      <c r="ONB69" s="10"/>
      <c r="ONC69" s="10"/>
      <c r="OND69" s="10"/>
      <c r="ONE69" s="10"/>
      <c r="ONF69" s="10"/>
      <c r="ONG69" s="10"/>
      <c r="ONH69" s="10"/>
      <c r="ONI69" s="10"/>
      <c r="ONJ69" s="10"/>
      <c r="ONK69" s="10"/>
      <c r="ONL69" s="10"/>
      <c r="ONM69" s="10"/>
      <c r="ONN69" s="10"/>
      <c r="ONO69" s="10"/>
      <c r="ONP69" s="10"/>
      <c r="ONQ69" s="10"/>
      <c r="ONR69" s="10"/>
      <c r="ONS69" s="10"/>
      <c r="ONT69" s="10"/>
      <c r="ONU69" s="10"/>
      <c r="ONV69" s="10"/>
      <c r="ONW69" s="10"/>
      <c r="ONX69" s="10"/>
      <c r="ONY69" s="10"/>
      <c r="ONZ69" s="10"/>
      <c r="OOA69" s="10"/>
      <c r="OOB69" s="10"/>
      <c r="OOC69" s="10"/>
      <c r="OOD69" s="10"/>
      <c r="OOE69" s="10"/>
      <c r="OOF69" s="10"/>
      <c r="OOG69" s="10"/>
      <c r="OOH69" s="10"/>
      <c r="OOI69" s="10"/>
      <c r="OOJ69" s="10"/>
      <c r="OOK69" s="10"/>
      <c r="OOL69" s="10"/>
      <c r="OOM69" s="10"/>
      <c r="OON69" s="10"/>
      <c r="OOO69" s="10"/>
      <c r="OOP69" s="10"/>
      <c r="OOQ69" s="10"/>
      <c r="OOR69" s="10"/>
      <c r="OOS69" s="10"/>
      <c r="OOT69" s="10"/>
      <c r="OOU69" s="10"/>
      <c r="OOV69" s="10"/>
      <c r="OOW69" s="10"/>
      <c r="OOX69" s="10"/>
      <c r="OOY69" s="10"/>
      <c r="OOZ69" s="10"/>
      <c r="OPA69" s="10"/>
      <c r="OPB69" s="10"/>
      <c r="OPC69" s="10"/>
      <c r="OPD69" s="10"/>
      <c r="OPE69" s="10"/>
      <c r="OPF69" s="10"/>
      <c r="OPG69" s="10"/>
      <c r="OPH69" s="10"/>
      <c r="OPI69" s="10"/>
      <c r="OPJ69" s="10"/>
      <c r="OPK69" s="10"/>
      <c r="OPL69" s="10"/>
      <c r="OPM69" s="10"/>
      <c r="OPN69" s="10"/>
      <c r="OPO69" s="10"/>
      <c r="OPP69" s="10"/>
      <c r="OPQ69" s="10"/>
      <c r="OPR69" s="10"/>
      <c r="OPS69" s="10"/>
      <c r="OPT69" s="10"/>
      <c r="OPU69" s="10"/>
      <c r="OPV69" s="10"/>
      <c r="OPW69" s="10"/>
      <c r="OPX69" s="10"/>
      <c r="OPY69" s="10"/>
      <c r="OPZ69" s="10"/>
      <c r="OQA69" s="10"/>
      <c r="OQB69" s="10"/>
      <c r="OQC69" s="10"/>
      <c r="OQD69" s="10"/>
      <c r="OQE69" s="10"/>
      <c r="OQF69" s="10"/>
      <c r="OQG69" s="10"/>
      <c r="OQH69" s="10"/>
      <c r="OQI69" s="10"/>
      <c r="OQJ69" s="10"/>
      <c r="OQK69" s="10"/>
      <c r="OQL69" s="10"/>
      <c r="OQM69" s="10"/>
      <c r="OQN69" s="10"/>
      <c r="OQO69" s="10"/>
      <c r="OQP69" s="10"/>
      <c r="OQQ69" s="10"/>
      <c r="OQR69" s="10"/>
      <c r="OQS69" s="10"/>
      <c r="OQT69" s="10"/>
      <c r="OQU69" s="10"/>
      <c r="OQV69" s="10"/>
      <c r="OQW69" s="10"/>
      <c r="OQX69" s="10"/>
      <c r="OQY69" s="10"/>
      <c r="OQZ69" s="10"/>
      <c r="ORA69" s="10"/>
      <c r="ORB69" s="10"/>
      <c r="ORC69" s="10"/>
      <c r="ORD69" s="10"/>
      <c r="ORE69" s="10"/>
      <c r="ORF69" s="10"/>
      <c r="ORG69" s="10"/>
      <c r="ORH69" s="10"/>
      <c r="ORI69" s="10"/>
      <c r="ORJ69" s="10"/>
      <c r="ORK69" s="10"/>
      <c r="ORL69" s="10"/>
      <c r="ORM69" s="10"/>
      <c r="ORN69" s="10"/>
      <c r="ORO69" s="10"/>
      <c r="ORP69" s="10"/>
      <c r="ORQ69" s="10"/>
      <c r="ORR69" s="10"/>
      <c r="ORS69" s="10"/>
      <c r="ORT69" s="10"/>
      <c r="ORU69" s="10"/>
      <c r="ORV69" s="10"/>
      <c r="ORW69" s="10"/>
      <c r="ORX69" s="10"/>
      <c r="ORY69" s="10"/>
      <c r="ORZ69" s="10"/>
      <c r="OSA69" s="10"/>
      <c r="OSB69" s="10"/>
      <c r="OSC69" s="10"/>
      <c r="OSD69" s="10"/>
      <c r="OSE69" s="10"/>
      <c r="OSF69" s="10"/>
      <c r="OSG69" s="10"/>
      <c r="OSH69" s="10"/>
      <c r="OSI69" s="10"/>
      <c r="OSJ69" s="10"/>
      <c r="OSK69" s="10"/>
      <c r="OSL69" s="10"/>
      <c r="OSM69" s="10"/>
      <c r="OSN69" s="10"/>
      <c r="OSO69" s="10"/>
      <c r="OSP69" s="10"/>
      <c r="OSQ69" s="10"/>
      <c r="OSR69" s="10"/>
      <c r="OSS69" s="10"/>
      <c r="OST69" s="10"/>
      <c r="OSU69" s="10"/>
      <c r="OSV69" s="10"/>
      <c r="OSW69" s="10"/>
      <c r="OSX69" s="10"/>
      <c r="OSY69" s="10"/>
      <c r="OSZ69" s="10"/>
      <c r="OTA69" s="10"/>
      <c r="OTB69" s="10"/>
      <c r="OTC69" s="10"/>
      <c r="OTD69" s="10"/>
      <c r="OTE69" s="10"/>
      <c r="OTF69" s="10"/>
      <c r="OTG69" s="10"/>
      <c r="OTH69" s="10"/>
      <c r="OTI69" s="10"/>
      <c r="OTJ69" s="10"/>
      <c r="OTK69" s="10"/>
      <c r="OTL69" s="10"/>
      <c r="OTM69" s="10"/>
      <c r="OTN69" s="10"/>
      <c r="OTO69" s="10"/>
      <c r="OTP69" s="10"/>
      <c r="OTQ69" s="10"/>
      <c r="OTR69" s="10"/>
      <c r="OTS69" s="10"/>
      <c r="OTT69" s="10"/>
      <c r="OTU69" s="10"/>
      <c r="OTV69" s="10"/>
      <c r="OTW69" s="10"/>
      <c r="OTX69" s="10"/>
      <c r="OTY69" s="10"/>
      <c r="OTZ69" s="10"/>
      <c r="OUA69" s="10"/>
      <c r="OUB69" s="10"/>
      <c r="OUC69" s="10"/>
      <c r="OUD69" s="10"/>
      <c r="OUE69" s="10"/>
      <c r="OUF69" s="10"/>
      <c r="OUG69" s="10"/>
      <c r="OUH69" s="10"/>
      <c r="OUI69" s="10"/>
      <c r="OUJ69" s="10"/>
      <c r="OUK69" s="10"/>
      <c r="OUL69" s="10"/>
      <c r="OUM69" s="10"/>
      <c r="OUN69" s="10"/>
      <c r="OUO69" s="10"/>
      <c r="OUP69" s="10"/>
      <c r="OUQ69" s="10"/>
      <c r="OUR69" s="10"/>
      <c r="OUS69" s="10"/>
      <c r="OUT69" s="10"/>
      <c r="OUU69" s="10"/>
      <c r="OUV69" s="10"/>
      <c r="OUW69" s="10"/>
      <c r="OUX69" s="10"/>
      <c r="OUY69" s="10"/>
      <c r="OUZ69" s="10"/>
      <c r="OVA69" s="10"/>
      <c r="OVB69" s="10"/>
      <c r="OVC69" s="10"/>
      <c r="OVD69" s="10"/>
      <c r="OVE69" s="10"/>
      <c r="OVF69" s="10"/>
      <c r="OVG69" s="10"/>
      <c r="OVH69" s="10"/>
      <c r="OVI69" s="10"/>
      <c r="OVJ69" s="10"/>
      <c r="OVK69" s="10"/>
      <c r="OVL69" s="10"/>
      <c r="OVM69" s="10"/>
      <c r="OVN69" s="10"/>
      <c r="OVO69" s="10"/>
      <c r="OVP69" s="10"/>
      <c r="OVQ69" s="10"/>
      <c r="OVR69" s="10"/>
      <c r="OVS69" s="10"/>
      <c r="OVT69" s="10"/>
      <c r="OVU69" s="10"/>
      <c r="OVV69" s="10"/>
      <c r="OVW69" s="10"/>
      <c r="OVX69" s="10"/>
      <c r="OVY69" s="10"/>
      <c r="OVZ69" s="10"/>
      <c r="OWA69" s="10"/>
      <c r="OWB69" s="10"/>
      <c r="OWC69" s="10"/>
      <c r="OWD69" s="10"/>
      <c r="OWE69" s="10"/>
      <c r="OWF69" s="10"/>
      <c r="OWG69" s="10"/>
      <c r="OWH69" s="10"/>
      <c r="OWI69" s="10"/>
      <c r="OWJ69" s="10"/>
      <c r="OWK69" s="10"/>
      <c r="OWL69" s="10"/>
      <c r="OWM69" s="10"/>
      <c r="OWN69" s="10"/>
      <c r="OWO69" s="10"/>
      <c r="OWP69" s="10"/>
      <c r="OWQ69" s="10"/>
      <c r="OWR69" s="10"/>
      <c r="OWS69" s="10"/>
      <c r="OWT69" s="10"/>
      <c r="OWU69" s="10"/>
      <c r="OWV69" s="10"/>
      <c r="OWW69" s="10"/>
      <c r="OWX69" s="10"/>
      <c r="OWY69" s="10"/>
      <c r="OWZ69" s="10"/>
      <c r="OXA69" s="10"/>
      <c r="OXB69" s="10"/>
      <c r="OXC69" s="10"/>
      <c r="OXD69" s="10"/>
      <c r="OXE69" s="10"/>
      <c r="OXF69" s="10"/>
      <c r="OXG69" s="10"/>
      <c r="OXH69" s="10"/>
      <c r="OXI69" s="10"/>
      <c r="OXJ69" s="10"/>
      <c r="OXK69" s="10"/>
      <c r="OXL69" s="10"/>
      <c r="OXM69" s="10"/>
      <c r="OXN69" s="10"/>
      <c r="OXO69" s="10"/>
      <c r="OXP69" s="10"/>
      <c r="OXQ69" s="10"/>
      <c r="OXR69" s="10"/>
      <c r="OXS69" s="10"/>
      <c r="OXT69" s="10"/>
      <c r="OXU69" s="10"/>
      <c r="OXV69" s="10"/>
      <c r="OXW69" s="10"/>
      <c r="OXX69" s="10"/>
      <c r="OXY69" s="10"/>
      <c r="OXZ69" s="10"/>
      <c r="OYA69" s="10"/>
      <c r="OYB69" s="10"/>
      <c r="OYC69" s="10"/>
      <c r="OYD69" s="10"/>
      <c r="OYE69" s="10"/>
      <c r="OYF69" s="10"/>
      <c r="OYG69" s="10"/>
      <c r="OYH69" s="10"/>
      <c r="OYI69" s="10"/>
      <c r="OYJ69" s="10"/>
      <c r="OYK69" s="10"/>
      <c r="OYL69" s="10"/>
      <c r="OYM69" s="10"/>
      <c r="OYN69" s="10"/>
      <c r="OYO69" s="10"/>
      <c r="OYP69" s="10"/>
      <c r="OYQ69" s="10"/>
      <c r="OYR69" s="10"/>
      <c r="OYS69" s="10"/>
      <c r="OYT69" s="10"/>
      <c r="OYU69" s="10"/>
      <c r="OYV69" s="10"/>
      <c r="OYW69" s="10"/>
      <c r="OYX69" s="10"/>
      <c r="OYY69" s="10"/>
      <c r="OYZ69" s="10"/>
      <c r="OZA69" s="10"/>
      <c r="OZB69" s="10"/>
      <c r="OZC69" s="10"/>
      <c r="OZD69" s="10"/>
      <c r="OZE69" s="10"/>
      <c r="OZF69" s="10"/>
      <c r="OZG69" s="10"/>
      <c r="OZH69" s="10"/>
      <c r="OZI69" s="10"/>
      <c r="OZJ69" s="10"/>
      <c r="OZK69" s="10"/>
      <c r="OZL69" s="10"/>
      <c r="OZM69" s="10"/>
      <c r="OZN69" s="10"/>
      <c r="OZO69" s="10"/>
      <c r="OZP69" s="10"/>
      <c r="OZQ69" s="10"/>
      <c r="OZR69" s="10"/>
      <c r="OZS69" s="10"/>
      <c r="OZT69" s="10"/>
      <c r="OZU69" s="10"/>
      <c r="OZV69" s="10"/>
      <c r="OZW69" s="10"/>
      <c r="OZX69" s="10"/>
      <c r="OZY69" s="10"/>
      <c r="OZZ69" s="10"/>
      <c r="PAA69" s="10"/>
      <c r="PAB69" s="10"/>
      <c r="PAC69" s="10"/>
      <c r="PAD69" s="10"/>
      <c r="PAE69" s="10"/>
      <c r="PAF69" s="10"/>
      <c r="PAG69" s="10"/>
      <c r="PAH69" s="10"/>
      <c r="PAI69" s="10"/>
      <c r="PAJ69" s="10"/>
      <c r="PAK69" s="10"/>
      <c r="PAL69" s="10"/>
      <c r="PAM69" s="10"/>
      <c r="PAN69" s="10"/>
      <c r="PAO69" s="10"/>
      <c r="PAP69" s="10"/>
      <c r="PAQ69" s="10"/>
      <c r="PAR69" s="10"/>
      <c r="PAS69" s="10"/>
      <c r="PAT69" s="10"/>
      <c r="PAU69" s="10"/>
      <c r="PAV69" s="10"/>
      <c r="PAW69" s="10"/>
      <c r="PAX69" s="10"/>
      <c r="PAY69" s="10"/>
      <c r="PAZ69" s="10"/>
      <c r="PBA69" s="10"/>
      <c r="PBB69" s="10"/>
      <c r="PBC69" s="10"/>
      <c r="PBD69" s="10"/>
      <c r="PBE69" s="10"/>
      <c r="PBF69" s="10"/>
      <c r="PBG69" s="10"/>
      <c r="PBH69" s="10"/>
      <c r="PBI69" s="10"/>
      <c r="PBJ69" s="10"/>
      <c r="PBK69" s="10"/>
      <c r="PBL69" s="10"/>
      <c r="PBM69" s="10"/>
      <c r="PBN69" s="10"/>
      <c r="PBO69" s="10"/>
      <c r="PBP69" s="10"/>
      <c r="PBQ69" s="10"/>
      <c r="PBR69" s="10"/>
      <c r="PBS69" s="10"/>
      <c r="PBT69" s="10"/>
      <c r="PBU69" s="10"/>
      <c r="PBV69" s="10"/>
      <c r="PBW69" s="10"/>
      <c r="PBX69" s="10"/>
      <c r="PBY69" s="10"/>
      <c r="PBZ69" s="10"/>
      <c r="PCA69" s="10"/>
      <c r="PCB69" s="10"/>
      <c r="PCC69" s="10"/>
      <c r="PCD69" s="10"/>
      <c r="PCE69" s="10"/>
      <c r="PCF69" s="10"/>
      <c r="PCG69" s="10"/>
      <c r="PCH69" s="10"/>
      <c r="PCI69" s="10"/>
      <c r="PCJ69" s="10"/>
      <c r="PCK69" s="10"/>
      <c r="PCL69" s="10"/>
      <c r="PCM69" s="10"/>
      <c r="PCN69" s="10"/>
      <c r="PCO69" s="10"/>
      <c r="PCP69" s="10"/>
      <c r="PCQ69" s="10"/>
      <c r="PCR69" s="10"/>
      <c r="PCS69" s="10"/>
      <c r="PCT69" s="10"/>
      <c r="PCU69" s="10"/>
      <c r="PCV69" s="10"/>
      <c r="PCW69" s="10"/>
      <c r="PCX69" s="10"/>
      <c r="PCY69" s="10"/>
      <c r="PCZ69" s="10"/>
      <c r="PDA69" s="10"/>
      <c r="PDB69" s="10"/>
      <c r="PDC69" s="10"/>
      <c r="PDD69" s="10"/>
      <c r="PDE69" s="10"/>
      <c r="PDF69" s="10"/>
      <c r="PDG69" s="10"/>
      <c r="PDH69" s="10"/>
      <c r="PDI69" s="10"/>
      <c r="PDJ69" s="10"/>
      <c r="PDK69" s="10"/>
      <c r="PDL69" s="10"/>
      <c r="PDM69" s="10"/>
      <c r="PDN69" s="10"/>
      <c r="PDO69" s="10"/>
      <c r="PDP69" s="10"/>
      <c r="PDQ69" s="10"/>
      <c r="PDR69" s="10"/>
      <c r="PDS69" s="10"/>
      <c r="PDT69" s="10"/>
      <c r="PDU69" s="10"/>
      <c r="PDV69" s="10"/>
      <c r="PDW69" s="10"/>
      <c r="PDX69" s="10"/>
      <c r="PDY69" s="10"/>
      <c r="PDZ69" s="10"/>
      <c r="PEA69" s="10"/>
      <c r="PEB69" s="10"/>
      <c r="PEC69" s="10"/>
      <c r="PED69" s="10"/>
      <c r="PEE69" s="10"/>
      <c r="PEF69" s="10"/>
      <c r="PEG69" s="10"/>
      <c r="PEH69" s="10"/>
      <c r="PEI69" s="10"/>
      <c r="PEJ69" s="10"/>
      <c r="PEK69" s="10"/>
      <c r="PEL69" s="10"/>
      <c r="PEM69" s="10"/>
      <c r="PEN69" s="10"/>
      <c r="PEO69" s="10"/>
      <c r="PEP69" s="10"/>
      <c r="PEQ69" s="10"/>
      <c r="PER69" s="10"/>
      <c r="PES69" s="10"/>
      <c r="PET69" s="10"/>
      <c r="PEU69" s="10"/>
      <c r="PEV69" s="10"/>
      <c r="PEW69" s="10"/>
      <c r="PEX69" s="10"/>
      <c r="PEY69" s="10"/>
      <c r="PEZ69" s="10"/>
      <c r="PFA69" s="10"/>
      <c r="PFB69" s="10"/>
      <c r="PFC69" s="10"/>
      <c r="PFD69" s="10"/>
      <c r="PFE69" s="10"/>
      <c r="PFF69" s="10"/>
      <c r="PFG69" s="10"/>
      <c r="PFH69" s="10"/>
      <c r="PFI69" s="10"/>
      <c r="PFJ69" s="10"/>
      <c r="PFK69" s="10"/>
      <c r="PFL69" s="10"/>
      <c r="PFM69" s="10"/>
      <c r="PFN69" s="10"/>
      <c r="PFO69" s="10"/>
      <c r="PFP69" s="10"/>
      <c r="PFQ69" s="10"/>
      <c r="PFR69" s="10"/>
      <c r="PFS69" s="10"/>
      <c r="PFT69" s="10"/>
      <c r="PFU69" s="10"/>
      <c r="PFV69" s="10"/>
      <c r="PFW69" s="10"/>
      <c r="PFX69" s="10"/>
      <c r="PFY69" s="10"/>
      <c r="PFZ69" s="10"/>
      <c r="PGA69" s="10"/>
      <c r="PGB69" s="10"/>
      <c r="PGC69" s="10"/>
      <c r="PGD69" s="10"/>
      <c r="PGE69" s="10"/>
      <c r="PGF69" s="10"/>
      <c r="PGG69" s="10"/>
      <c r="PGH69" s="10"/>
      <c r="PGI69" s="10"/>
      <c r="PGJ69" s="10"/>
      <c r="PGK69" s="10"/>
      <c r="PGL69" s="10"/>
      <c r="PGM69" s="10"/>
      <c r="PGN69" s="10"/>
      <c r="PGO69" s="10"/>
      <c r="PGP69" s="10"/>
      <c r="PGQ69" s="10"/>
      <c r="PGR69" s="10"/>
      <c r="PGS69" s="10"/>
      <c r="PGT69" s="10"/>
      <c r="PGU69" s="10"/>
      <c r="PGV69" s="10"/>
      <c r="PGW69" s="10"/>
      <c r="PGX69" s="10"/>
      <c r="PGY69" s="10"/>
      <c r="PGZ69" s="10"/>
      <c r="PHA69" s="10"/>
      <c r="PHB69" s="10"/>
      <c r="PHC69" s="10"/>
      <c r="PHD69" s="10"/>
      <c r="PHE69" s="10"/>
      <c r="PHF69" s="10"/>
      <c r="PHG69" s="10"/>
      <c r="PHH69" s="10"/>
      <c r="PHI69" s="10"/>
      <c r="PHJ69" s="10"/>
      <c r="PHK69" s="10"/>
      <c r="PHL69" s="10"/>
      <c r="PHM69" s="10"/>
      <c r="PHN69" s="10"/>
      <c r="PHO69" s="10"/>
      <c r="PHP69" s="10"/>
      <c r="PHQ69" s="10"/>
      <c r="PHR69" s="10"/>
      <c r="PHS69" s="10"/>
      <c r="PHT69" s="10"/>
      <c r="PHU69" s="10"/>
      <c r="PHV69" s="10"/>
      <c r="PHW69" s="10"/>
      <c r="PHX69" s="10"/>
      <c r="PHY69" s="10"/>
      <c r="PHZ69" s="10"/>
      <c r="PIA69" s="10"/>
      <c r="PIB69" s="10"/>
      <c r="PIC69" s="10"/>
      <c r="PID69" s="10"/>
      <c r="PIE69" s="10"/>
      <c r="PIF69" s="10"/>
      <c r="PIG69" s="10"/>
      <c r="PIH69" s="10"/>
      <c r="PII69" s="10"/>
      <c r="PIJ69" s="10"/>
      <c r="PIK69" s="10"/>
      <c r="PIL69" s="10"/>
      <c r="PIM69" s="10"/>
      <c r="PIN69" s="10"/>
      <c r="PIO69" s="10"/>
      <c r="PIP69" s="10"/>
      <c r="PIQ69" s="10"/>
      <c r="PIR69" s="10"/>
      <c r="PIS69" s="10"/>
      <c r="PIT69" s="10"/>
      <c r="PIU69" s="10"/>
      <c r="PIV69" s="10"/>
      <c r="PIW69" s="10"/>
      <c r="PIX69" s="10"/>
      <c r="PIY69" s="10"/>
      <c r="PIZ69" s="10"/>
      <c r="PJA69" s="10"/>
      <c r="PJB69" s="10"/>
      <c r="PJC69" s="10"/>
      <c r="PJD69" s="10"/>
      <c r="PJE69" s="10"/>
      <c r="PJF69" s="10"/>
      <c r="PJG69" s="10"/>
      <c r="PJH69" s="10"/>
      <c r="PJI69" s="10"/>
      <c r="PJJ69" s="10"/>
      <c r="PJK69" s="10"/>
      <c r="PJL69" s="10"/>
      <c r="PJM69" s="10"/>
      <c r="PJN69" s="10"/>
      <c r="PJO69" s="10"/>
      <c r="PJP69" s="10"/>
      <c r="PJQ69" s="10"/>
      <c r="PJR69" s="10"/>
      <c r="PJS69" s="10"/>
      <c r="PJT69" s="10"/>
      <c r="PJU69" s="10"/>
      <c r="PJV69" s="10"/>
      <c r="PJW69" s="10"/>
      <c r="PJX69" s="10"/>
      <c r="PJY69" s="10"/>
      <c r="PJZ69" s="10"/>
      <c r="PKA69" s="10"/>
      <c r="PKB69" s="10"/>
      <c r="PKC69" s="10"/>
      <c r="PKD69" s="10"/>
      <c r="PKE69" s="10"/>
      <c r="PKF69" s="10"/>
      <c r="PKG69" s="10"/>
      <c r="PKH69" s="10"/>
      <c r="PKI69" s="10"/>
      <c r="PKJ69" s="10"/>
      <c r="PKK69" s="10"/>
      <c r="PKL69" s="10"/>
      <c r="PKM69" s="10"/>
      <c r="PKN69" s="10"/>
      <c r="PKO69" s="10"/>
      <c r="PKP69" s="10"/>
      <c r="PKQ69" s="10"/>
      <c r="PKR69" s="10"/>
      <c r="PKS69" s="10"/>
      <c r="PKT69" s="10"/>
      <c r="PKU69" s="10"/>
      <c r="PKV69" s="10"/>
      <c r="PKW69" s="10"/>
      <c r="PKX69" s="10"/>
      <c r="PKY69" s="10"/>
      <c r="PKZ69" s="10"/>
      <c r="PLA69" s="10"/>
      <c r="PLB69" s="10"/>
      <c r="PLC69" s="10"/>
      <c r="PLD69" s="10"/>
      <c r="PLE69" s="10"/>
      <c r="PLF69" s="10"/>
      <c r="PLG69" s="10"/>
      <c r="PLH69" s="10"/>
      <c r="PLI69" s="10"/>
      <c r="PLJ69" s="10"/>
      <c r="PLK69" s="10"/>
      <c r="PLL69" s="10"/>
      <c r="PLM69" s="10"/>
      <c r="PLN69" s="10"/>
      <c r="PLO69" s="10"/>
      <c r="PLP69" s="10"/>
      <c r="PLQ69" s="10"/>
      <c r="PLR69" s="10"/>
      <c r="PLS69" s="10"/>
      <c r="PLT69" s="10"/>
      <c r="PLU69" s="10"/>
      <c r="PLV69" s="10"/>
      <c r="PLW69" s="10"/>
      <c r="PLX69" s="10"/>
      <c r="PLY69" s="10"/>
      <c r="PLZ69" s="10"/>
      <c r="PMA69" s="10"/>
      <c r="PMB69" s="10"/>
      <c r="PMC69" s="10"/>
      <c r="PMD69" s="10"/>
      <c r="PME69" s="10"/>
      <c r="PMF69" s="10"/>
      <c r="PMG69" s="10"/>
      <c r="PMH69" s="10"/>
      <c r="PMI69" s="10"/>
      <c r="PMJ69" s="10"/>
      <c r="PMK69" s="10"/>
      <c r="PML69" s="10"/>
      <c r="PMM69" s="10"/>
      <c r="PMN69" s="10"/>
      <c r="PMO69" s="10"/>
      <c r="PMP69" s="10"/>
      <c r="PMQ69" s="10"/>
      <c r="PMR69" s="10"/>
      <c r="PMS69" s="10"/>
      <c r="PMT69" s="10"/>
      <c r="PMU69" s="10"/>
      <c r="PMV69" s="10"/>
      <c r="PMW69" s="10"/>
      <c r="PMX69" s="10"/>
      <c r="PMY69" s="10"/>
      <c r="PMZ69" s="10"/>
      <c r="PNA69" s="10"/>
      <c r="PNB69" s="10"/>
      <c r="PNC69" s="10"/>
      <c r="PND69" s="10"/>
      <c r="PNE69" s="10"/>
      <c r="PNF69" s="10"/>
      <c r="PNG69" s="10"/>
      <c r="PNH69" s="10"/>
      <c r="PNI69" s="10"/>
      <c r="PNJ69" s="10"/>
      <c r="PNK69" s="10"/>
      <c r="PNL69" s="10"/>
      <c r="PNM69" s="10"/>
      <c r="PNN69" s="10"/>
      <c r="PNO69" s="10"/>
      <c r="PNP69" s="10"/>
      <c r="PNQ69" s="10"/>
      <c r="PNR69" s="10"/>
      <c r="PNS69" s="10"/>
      <c r="PNT69" s="10"/>
      <c r="PNU69" s="10"/>
      <c r="PNV69" s="10"/>
      <c r="PNW69" s="10"/>
      <c r="PNX69" s="10"/>
      <c r="PNY69" s="10"/>
      <c r="PNZ69" s="10"/>
      <c r="POA69" s="10"/>
      <c r="POB69" s="10"/>
      <c r="POC69" s="10"/>
      <c r="POD69" s="10"/>
      <c r="POE69" s="10"/>
      <c r="POF69" s="10"/>
      <c r="POG69" s="10"/>
      <c r="POH69" s="10"/>
      <c r="POI69" s="10"/>
      <c r="POJ69" s="10"/>
      <c r="POK69" s="10"/>
      <c r="POL69" s="10"/>
      <c r="POM69" s="10"/>
      <c r="PON69" s="10"/>
      <c r="POO69" s="10"/>
      <c r="POP69" s="10"/>
      <c r="POQ69" s="10"/>
      <c r="POR69" s="10"/>
      <c r="POS69" s="10"/>
      <c r="POT69" s="10"/>
      <c r="POU69" s="10"/>
      <c r="POV69" s="10"/>
      <c r="POW69" s="10"/>
      <c r="POX69" s="10"/>
      <c r="POY69" s="10"/>
      <c r="POZ69" s="10"/>
      <c r="PPA69" s="10"/>
      <c r="PPB69" s="10"/>
      <c r="PPC69" s="10"/>
      <c r="PPD69" s="10"/>
      <c r="PPE69" s="10"/>
      <c r="PPF69" s="10"/>
      <c r="PPG69" s="10"/>
      <c r="PPH69" s="10"/>
      <c r="PPI69" s="10"/>
      <c r="PPJ69" s="10"/>
      <c r="PPK69" s="10"/>
      <c r="PPL69" s="10"/>
      <c r="PPM69" s="10"/>
      <c r="PPN69" s="10"/>
      <c r="PPO69" s="10"/>
      <c r="PPP69" s="10"/>
      <c r="PPQ69" s="10"/>
      <c r="PPR69" s="10"/>
      <c r="PPS69" s="10"/>
      <c r="PPT69" s="10"/>
      <c r="PPU69" s="10"/>
      <c r="PPV69" s="10"/>
      <c r="PPW69" s="10"/>
      <c r="PPX69" s="10"/>
      <c r="PPY69" s="10"/>
      <c r="PPZ69" s="10"/>
      <c r="PQA69" s="10"/>
      <c r="PQB69" s="10"/>
      <c r="PQC69" s="10"/>
      <c r="PQD69" s="10"/>
      <c r="PQE69" s="10"/>
      <c r="PQF69" s="10"/>
      <c r="PQG69" s="10"/>
      <c r="PQH69" s="10"/>
      <c r="PQI69" s="10"/>
      <c r="PQJ69" s="10"/>
      <c r="PQK69" s="10"/>
      <c r="PQL69" s="10"/>
      <c r="PQM69" s="10"/>
      <c r="PQN69" s="10"/>
      <c r="PQO69" s="10"/>
      <c r="PQP69" s="10"/>
      <c r="PQQ69" s="10"/>
      <c r="PQR69" s="10"/>
      <c r="PQS69" s="10"/>
      <c r="PQT69" s="10"/>
      <c r="PQU69" s="10"/>
      <c r="PQV69" s="10"/>
      <c r="PQW69" s="10"/>
      <c r="PQX69" s="10"/>
      <c r="PQY69" s="10"/>
      <c r="PQZ69" s="10"/>
      <c r="PRA69" s="10"/>
      <c r="PRB69" s="10"/>
      <c r="PRC69" s="10"/>
      <c r="PRD69" s="10"/>
      <c r="PRE69" s="10"/>
      <c r="PRF69" s="10"/>
      <c r="PRG69" s="10"/>
      <c r="PRH69" s="10"/>
      <c r="PRI69" s="10"/>
      <c r="PRJ69" s="10"/>
      <c r="PRK69" s="10"/>
      <c r="PRL69" s="10"/>
      <c r="PRM69" s="10"/>
      <c r="PRN69" s="10"/>
      <c r="PRO69" s="10"/>
      <c r="PRP69" s="10"/>
      <c r="PRQ69" s="10"/>
      <c r="PRR69" s="10"/>
      <c r="PRS69" s="10"/>
      <c r="PRT69" s="10"/>
      <c r="PRU69" s="10"/>
      <c r="PRV69" s="10"/>
      <c r="PRW69" s="10"/>
      <c r="PRX69" s="10"/>
      <c r="PRY69" s="10"/>
      <c r="PRZ69" s="10"/>
      <c r="PSA69" s="10"/>
      <c r="PSB69" s="10"/>
      <c r="PSC69" s="10"/>
      <c r="PSD69" s="10"/>
      <c r="PSE69" s="10"/>
      <c r="PSF69" s="10"/>
      <c r="PSG69" s="10"/>
      <c r="PSH69" s="10"/>
      <c r="PSI69" s="10"/>
      <c r="PSJ69" s="10"/>
      <c r="PSK69" s="10"/>
      <c r="PSL69" s="10"/>
      <c r="PSM69" s="10"/>
      <c r="PSN69" s="10"/>
      <c r="PSO69" s="10"/>
      <c r="PSP69" s="10"/>
      <c r="PSQ69" s="10"/>
      <c r="PSR69" s="10"/>
      <c r="PSS69" s="10"/>
      <c r="PST69" s="10"/>
      <c r="PSU69" s="10"/>
      <c r="PSV69" s="10"/>
      <c r="PSW69" s="10"/>
      <c r="PSX69" s="10"/>
      <c r="PSY69" s="10"/>
      <c r="PSZ69" s="10"/>
      <c r="PTA69" s="10"/>
      <c r="PTB69" s="10"/>
      <c r="PTC69" s="10"/>
      <c r="PTD69" s="10"/>
      <c r="PTE69" s="10"/>
      <c r="PTF69" s="10"/>
      <c r="PTG69" s="10"/>
      <c r="PTH69" s="10"/>
      <c r="PTI69" s="10"/>
      <c r="PTJ69" s="10"/>
      <c r="PTK69" s="10"/>
      <c r="PTL69" s="10"/>
      <c r="PTM69" s="10"/>
      <c r="PTN69" s="10"/>
      <c r="PTO69" s="10"/>
      <c r="PTP69" s="10"/>
      <c r="PTQ69" s="10"/>
      <c r="PTR69" s="10"/>
      <c r="PTS69" s="10"/>
      <c r="PTT69" s="10"/>
      <c r="PTU69" s="10"/>
      <c r="PTV69" s="10"/>
      <c r="PTW69" s="10"/>
      <c r="PTX69" s="10"/>
      <c r="PTY69" s="10"/>
      <c r="PTZ69" s="10"/>
      <c r="PUA69" s="10"/>
      <c r="PUB69" s="10"/>
      <c r="PUC69" s="10"/>
      <c r="PUD69" s="10"/>
      <c r="PUE69" s="10"/>
      <c r="PUF69" s="10"/>
      <c r="PUG69" s="10"/>
      <c r="PUH69" s="10"/>
      <c r="PUI69" s="10"/>
      <c r="PUJ69" s="10"/>
      <c r="PUK69" s="10"/>
      <c r="PUL69" s="10"/>
      <c r="PUM69" s="10"/>
      <c r="PUN69" s="10"/>
      <c r="PUO69" s="10"/>
      <c r="PUP69" s="10"/>
      <c r="PUQ69" s="10"/>
      <c r="PUR69" s="10"/>
      <c r="PUS69" s="10"/>
      <c r="PUT69" s="10"/>
      <c r="PUU69" s="10"/>
      <c r="PUV69" s="10"/>
      <c r="PUW69" s="10"/>
      <c r="PUX69" s="10"/>
      <c r="PUY69" s="10"/>
      <c r="PUZ69" s="10"/>
      <c r="PVA69" s="10"/>
      <c r="PVB69" s="10"/>
      <c r="PVC69" s="10"/>
      <c r="PVD69" s="10"/>
      <c r="PVE69" s="10"/>
      <c r="PVF69" s="10"/>
      <c r="PVG69" s="10"/>
      <c r="PVH69" s="10"/>
      <c r="PVI69" s="10"/>
      <c r="PVJ69" s="10"/>
      <c r="PVK69" s="10"/>
      <c r="PVL69" s="10"/>
      <c r="PVM69" s="10"/>
      <c r="PVN69" s="10"/>
      <c r="PVO69" s="10"/>
      <c r="PVP69" s="10"/>
      <c r="PVQ69" s="10"/>
      <c r="PVR69" s="10"/>
      <c r="PVS69" s="10"/>
      <c r="PVT69" s="10"/>
      <c r="PVU69" s="10"/>
      <c r="PVV69" s="10"/>
      <c r="PVW69" s="10"/>
      <c r="PVX69" s="10"/>
      <c r="PVY69" s="10"/>
      <c r="PVZ69" s="10"/>
      <c r="PWA69" s="10"/>
      <c r="PWB69" s="10"/>
      <c r="PWC69" s="10"/>
      <c r="PWD69" s="10"/>
      <c r="PWE69" s="10"/>
      <c r="PWF69" s="10"/>
      <c r="PWG69" s="10"/>
      <c r="PWH69" s="10"/>
      <c r="PWI69" s="10"/>
      <c r="PWJ69" s="10"/>
      <c r="PWK69" s="10"/>
      <c r="PWL69" s="10"/>
      <c r="PWM69" s="10"/>
      <c r="PWN69" s="10"/>
      <c r="PWO69" s="10"/>
      <c r="PWP69" s="10"/>
      <c r="PWQ69" s="10"/>
      <c r="PWR69" s="10"/>
      <c r="PWS69" s="10"/>
      <c r="PWT69" s="10"/>
      <c r="PWU69" s="10"/>
      <c r="PWV69" s="10"/>
      <c r="PWW69" s="10"/>
      <c r="PWX69" s="10"/>
      <c r="PWY69" s="10"/>
      <c r="PWZ69" s="10"/>
      <c r="PXA69" s="10"/>
      <c r="PXB69" s="10"/>
      <c r="PXC69" s="10"/>
      <c r="PXD69" s="10"/>
      <c r="PXE69" s="10"/>
      <c r="PXF69" s="10"/>
      <c r="PXG69" s="10"/>
      <c r="PXH69" s="10"/>
      <c r="PXI69" s="10"/>
      <c r="PXJ69" s="10"/>
      <c r="PXK69" s="10"/>
      <c r="PXL69" s="10"/>
      <c r="PXM69" s="10"/>
      <c r="PXN69" s="10"/>
      <c r="PXO69" s="10"/>
      <c r="PXP69" s="10"/>
      <c r="PXQ69" s="10"/>
      <c r="PXR69" s="10"/>
      <c r="PXS69" s="10"/>
      <c r="PXT69" s="10"/>
      <c r="PXU69" s="10"/>
      <c r="PXV69" s="10"/>
      <c r="PXW69" s="10"/>
      <c r="PXX69" s="10"/>
      <c r="PXY69" s="10"/>
      <c r="PXZ69" s="10"/>
      <c r="PYA69" s="10"/>
      <c r="PYB69" s="10"/>
      <c r="PYC69" s="10"/>
      <c r="PYD69" s="10"/>
      <c r="PYE69" s="10"/>
      <c r="PYF69" s="10"/>
      <c r="PYG69" s="10"/>
      <c r="PYH69" s="10"/>
      <c r="PYI69" s="10"/>
      <c r="PYJ69" s="10"/>
      <c r="PYK69" s="10"/>
      <c r="PYL69" s="10"/>
      <c r="PYM69" s="10"/>
      <c r="PYN69" s="10"/>
      <c r="PYO69" s="10"/>
      <c r="PYP69" s="10"/>
      <c r="PYQ69" s="10"/>
      <c r="PYR69" s="10"/>
      <c r="PYS69" s="10"/>
      <c r="PYT69" s="10"/>
      <c r="PYU69" s="10"/>
      <c r="PYV69" s="10"/>
      <c r="PYW69" s="10"/>
      <c r="PYX69" s="10"/>
      <c r="PYY69" s="10"/>
      <c r="PYZ69" s="10"/>
      <c r="PZA69" s="10"/>
      <c r="PZB69" s="10"/>
      <c r="PZC69" s="10"/>
      <c r="PZD69" s="10"/>
      <c r="PZE69" s="10"/>
      <c r="PZF69" s="10"/>
      <c r="PZG69" s="10"/>
      <c r="PZH69" s="10"/>
      <c r="PZI69" s="10"/>
      <c r="PZJ69" s="10"/>
      <c r="PZK69" s="10"/>
      <c r="PZL69" s="10"/>
      <c r="PZM69" s="10"/>
      <c r="PZN69" s="10"/>
      <c r="PZO69" s="10"/>
      <c r="PZP69" s="10"/>
      <c r="PZQ69" s="10"/>
      <c r="PZR69" s="10"/>
      <c r="PZS69" s="10"/>
      <c r="PZT69" s="10"/>
      <c r="PZU69" s="10"/>
      <c r="PZV69" s="10"/>
      <c r="PZW69" s="10"/>
      <c r="PZX69" s="10"/>
      <c r="PZY69" s="10"/>
      <c r="PZZ69" s="10"/>
      <c r="QAA69" s="10"/>
      <c r="QAB69" s="10"/>
      <c r="QAC69" s="10"/>
      <c r="QAD69" s="10"/>
      <c r="QAE69" s="10"/>
      <c r="QAF69" s="10"/>
      <c r="QAG69" s="10"/>
      <c r="QAH69" s="10"/>
      <c r="QAI69" s="10"/>
      <c r="QAJ69" s="10"/>
      <c r="QAK69" s="10"/>
      <c r="QAL69" s="10"/>
      <c r="QAM69" s="10"/>
      <c r="QAN69" s="10"/>
      <c r="QAO69" s="10"/>
      <c r="QAP69" s="10"/>
      <c r="QAQ69" s="10"/>
      <c r="QAR69" s="10"/>
      <c r="QAS69" s="10"/>
      <c r="QAT69" s="10"/>
      <c r="QAU69" s="10"/>
      <c r="QAV69" s="10"/>
      <c r="QAW69" s="10"/>
      <c r="QAX69" s="10"/>
      <c r="QAY69" s="10"/>
      <c r="QAZ69" s="10"/>
      <c r="QBA69" s="10"/>
      <c r="QBB69" s="10"/>
      <c r="QBC69" s="10"/>
      <c r="QBD69" s="10"/>
      <c r="QBE69" s="10"/>
      <c r="QBF69" s="10"/>
      <c r="QBG69" s="10"/>
      <c r="QBH69" s="10"/>
      <c r="QBI69" s="10"/>
      <c r="QBJ69" s="10"/>
      <c r="QBK69" s="10"/>
      <c r="QBL69" s="10"/>
      <c r="QBM69" s="10"/>
      <c r="QBN69" s="10"/>
      <c r="QBO69" s="10"/>
      <c r="QBP69" s="10"/>
      <c r="QBQ69" s="10"/>
      <c r="QBR69" s="10"/>
      <c r="QBS69" s="10"/>
      <c r="QBT69" s="10"/>
      <c r="QBU69" s="10"/>
      <c r="QBV69" s="10"/>
      <c r="QBW69" s="10"/>
      <c r="QBX69" s="10"/>
      <c r="QBY69" s="10"/>
      <c r="QBZ69" s="10"/>
      <c r="QCA69" s="10"/>
      <c r="QCB69" s="10"/>
      <c r="QCC69" s="10"/>
      <c r="QCD69" s="10"/>
      <c r="QCE69" s="10"/>
      <c r="QCF69" s="10"/>
      <c r="QCG69" s="10"/>
      <c r="QCH69" s="10"/>
      <c r="QCI69" s="10"/>
      <c r="QCJ69" s="10"/>
      <c r="QCK69" s="10"/>
      <c r="QCL69" s="10"/>
      <c r="QCM69" s="10"/>
      <c r="QCN69" s="10"/>
      <c r="QCO69" s="10"/>
      <c r="QCP69" s="10"/>
      <c r="QCQ69" s="10"/>
      <c r="QCR69" s="10"/>
      <c r="QCS69" s="10"/>
      <c r="QCT69" s="10"/>
      <c r="QCU69" s="10"/>
      <c r="QCV69" s="10"/>
      <c r="QCW69" s="10"/>
      <c r="QCX69" s="10"/>
      <c r="QCY69" s="10"/>
      <c r="QCZ69" s="10"/>
      <c r="QDA69" s="10"/>
      <c r="QDB69" s="10"/>
      <c r="QDC69" s="10"/>
      <c r="QDD69" s="10"/>
      <c r="QDE69" s="10"/>
      <c r="QDF69" s="10"/>
      <c r="QDG69" s="10"/>
      <c r="QDH69" s="10"/>
      <c r="QDI69" s="10"/>
      <c r="QDJ69" s="10"/>
      <c r="QDK69" s="10"/>
      <c r="QDL69" s="10"/>
      <c r="QDM69" s="10"/>
      <c r="QDN69" s="10"/>
      <c r="QDO69" s="10"/>
      <c r="QDP69" s="10"/>
      <c r="QDQ69" s="10"/>
      <c r="QDR69" s="10"/>
      <c r="QDS69" s="10"/>
      <c r="QDT69" s="10"/>
      <c r="QDU69" s="10"/>
      <c r="QDV69" s="10"/>
      <c r="QDW69" s="10"/>
      <c r="QDX69" s="10"/>
      <c r="QDY69" s="10"/>
      <c r="QDZ69" s="10"/>
      <c r="QEA69" s="10"/>
      <c r="QEB69" s="10"/>
      <c r="QEC69" s="10"/>
      <c r="QED69" s="10"/>
      <c r="QEE69" s="10"/>
      <c r="QEF69" s="10"/>
      <c r="QEG69" s="10"/>
      <c r="QEH69" s="10"/>
      <c r="QEI69" s="10"/>
      <c r="QEJ69" s="10"/>
      <c r="QEK69" s="10"/>
      <c r="QEL69" s="10"/>
      <c r="QEM69" s="10"/>
      <c r="QEN69" s="10"/>
      <c r="QEO69" s="10"/>
      <c r="QEP69" s="10"/>
      <c r="QEQ69" s="10"/>
      <c r="QER69" s="10"/>
      <c r="QES69" s="10"/>
      <c r="QET69" s="10"/>
      <c r="QEU69" s="10"/>
      <c r="QEV69" s="10"/>
      <c r="QEW69" s="10"/>
      <c r="QEX69" s="10"/>
      <c r="QEY69" s="10"/>
      <c r="QEZ69" s="10"/>
      <c r="QFA69" s="10"/>
      <c r="QFB69" s="10"/>
      <c r="QFC69" s="10"/>
      <c r="QFD69" s="10"/>
      <c r="QFE69" s="10"/>
      <c r="QFF69" s="10"/>
      <c r="QFG69" s="10"/>
      <c r="QFH69" s="10"/>
      <c r="QFI69" s="10"/>
      <c r="QFJ69" s="10"/>
      <c r="QFK69" s="10"/>
      <c r="QFL69" s="10"/>
      <c r="QFM69" s="10"/>
      <c r="QFN69" s="10"/>
      <c r="QFO69" s="10"/>
      <c r="QFP69" s="10"/>
      <c r="QFQ69" s="10"/>
      <c r="QFR69" s="10"/>
      <c r="QFS69" s="10"/>
      <c r="QFT69" s="10"/>
      <c r="QFU69" s="10"/>
      <c r="QFV69" s="10"/>
      <c r="QFW69" s="10"/>
      <c r="QFX69" s="10"/>
      <c r="QFY69" s="10"/>
      <c r="QFZ69" s="10"/>
      <c r="QGA69" s="10"/>
      <c r="QGB69" s="10"/>
      <c r="QGC69" s="10"/>
      <c r="QGD69" s="10"/>
      <c r="QGE69" s="10"/>
      <c r="QGF69" s="10"/>
      <c r="QGG69" s="10"/>
      <c r="QGH69" s="10"/>
      <c r="QGI69" s="10"/>
      <c r="QGJ69" s="10"/>
      <c r="QGK69" s="10"/>
      <c r="QGL69" s="10"/>
      <c r="QGM69" s="10"/>
      <c r="QGN69" s="10"/>
      <c r="QGO69" s="10"/>
      <c r="QGP69" s="10"/>
      <c r="QGQ69" s="10"/>
      <c r="QGR69" s="10"/>
      <c r="QGS69" s="10"/>
      <c r="QGT69" s="10"/>
      <c r="QGU69" s="10"/>
      <c r="QGV69" s="10"/>
      <c r="QGW69" s="10"/>
      <c r="QGX69" s="10"/>
      <c r="QGY69" s="10"/>
      <c r="QGZ69" s="10"/>
      <c r="QHA69" s="10"/>
      <c r="QHB69" s="10"/>
      <c r="QHC69" s="10"/>
      <c r="QHD69" s="10"/>
      <c r="QHE69" s="10"/>
      <c r="QHF69" s="10"/>
      <c r="QHG69" s="10"/>
      <c r="QHH69" s="10"/>
      <c r="QHI69" s="10"/>
      <c r="QHJ69" s="10"/>
      <c r="QHK69" s="10"/>
      <c r="QHL69" s="10"/>
      <c r="QHM69" s="10"/>
      <c r="QHN69" s="10"/>
      <c r="QHO69" s="10"/>
      <c r="QHP69" s="10"/>
      <c r="QHQ69" s="10"/>
      <c r="QHR69" s="10"/>
      <c r="QHS69" s="10"/>
      <c r="QHT69" s="10"/>
      <c r="QHU69" s="10"/>
      <c r="QHV69" s="10"/>
      <c r="QHW69" s="10"/>
      <c r="QHX69" s="10"/>
      <c r="QHY69" s="10"/>
      <c r="QHZ69" s="10"/>
      <c r="QIA69" s="10"/>
      <c r="QIB69" s="10"/>
      <c r="QIC69" s="10"/>
      <c r="QID69" s="10"/>
      <c r="QIE69" s="10"/>
      <c r="QIF69" s="10"/>
      <c r="QIG69" s="10"/>
      <c r="QIH69" s="10"/>
      <c r="QII69" s="10"/>
      <c r="QIJ69" s="10"/>
      <c r="QIK69" s="10"/>
      <c r="QIL69" s="10"/>
      <c r="QIM69" s="10"/>
      <c r="QIN69" s="10"/>
      <c r="QIO69" s="10"/>
      <c r="QIP69" s="10"/>
      <c r="QIQ69" s="10"/>
      <c r="QIR69" s="10"/>
      <c r="QIS69" s="10"/>
      <c r="QIT69" s="10"/>
      <c r="QIU69" s="10"/>
      <c r="QIV69" s="10"/>
      <c r="QIW69" s="10"/>
      <c r="QIX69" s="10"/>
      <c r="QIY69" s="10"/>
      <c r="QIZ69" s="10"/>
      <c r="QJA69" s="10"/>
      <c r="QJB69" s="10"/>
      <c r="QJC69" s="10"/>
      <c r="QJD69" s="10"/>
      <c r="QJE69" s="10"/>
      <c r="QJF69" s="10"/>
      <c r="QJG69" s="10"/>
      <c r="QJH69" s="10"/>
      <c r="QJI69" s="10"/>
      <c r="QJJ69" s="10"/>
      <c r="QJK69" s="10"/>
      <c r="QJL69" s="10"/>
      <c r="QJM69" s="10"/>
      <c r="QJN69" s="10"/>
      <c r="QJO69" s="10"/>
      <c r="QJP69" s="10"/>
      <c r="QJQ69" s="10"/>
      <c r="QJR69" s="10"/>
      <c r="QJS69" s="10"/>
      <c r="QJT69" s="10"/>
      <c r="QJU69" s="10"/>
      <c r="QJV69" s="10"/>
      <c r="QJW69" s="10"/>
      <c r="QJX69" s="10"/>
      <c r="QJY69" s="10"/>
      <c r="QJZ69" s="10"/>
      <c r="QKA69" s="10"/>
      <c r="QKB69" s="10"/>
      <c r="QKC69" s="10"/>
      <c r="QKD69" s="10"/>
      <c r="QKE69" s="10"/>
      <c r="QKF69" s="10"/>
      <c r="QKG69" s="10"/>
      <c r="QKH69" s="10"/>
      <c r="QKI69" s="10"/>
      <c r="QKJ69" s="10"/>
      <c r="QKK69" s="10"/>
      <c r="QKL69" s="10"/>
      <c r="QKM69" s="10"/>
      <c r="QKN69" s="10"/>
      <c r="QKO69" s="10"/>
      <c r="QKP69" s="10"/>
      <c r="QKQ69" s="10"/>
      <c r="QKR69" s="10"/>
      <c r="QKS69" s="10"/>
      <c r="QKT69" s="10"/>
      <c r="QKU69" s="10"/>
      <c r="QKV69" s="10"/>
      <c r="QKW69" s="10"/>
      <c r="QKX69" s="10"/>
      <c r="QKY69" s="10"/>
      <c r="QKZ69" s="10"/>
      <c r="QLA69" s="10"/>
      <c r="QLB69" s="10"/>
      <c r="QLC69" s="10"/>
      <c r="QLD69" s="10"/>
      <c r="QLE69" s="10"/>
      <c r="QLF69" s="10"/>
      <c r="QLG69" s="10"/>
      <c r="QLH69" s="10"/>
      <c r="QLI69" s="10"/>
      <c r="QLJ69" s="10"/>
      <c r="QLK69" s="10"/>
      <c r="QLL69" s="10"/>
      <c r="QLM69" s="10"/>
      <c r="QLN69" s="10"/>
      <c r="QLO69" s="10"/>
      <c r="QLP69" s="10"/>
      <c r="QLQ69" s="10"/>
      <c r="QLR69" s="10"/>
      <c r="QLS69" s="10"/>
      <c r="QLT69" s="10"/>
      <c r="QLU69" s="10"/>
      <c r="QLV69" s="10"/>
      <c r="QLW69" s="10"/>
      <c r="QLX69" s="10"/>
      <c r="QLY69" s="10"/>
      <c r="QLZ69" s="10"/>
      <c r="QMA69" s="10"/>
      <c r="QMB69" s="10"/>
      <c r="QMC69" s="10"/>
      <c r="QMD69" s="10"/>
      <c r="QME69" s="10"/>
      <c r="QMF69" s="10"/>
      <c r="QMG69" s="10"/>
      <c r="QMH69" s="10"/>
      <c r="QMI69" s="10"/>
      <c r="QMJ69" s="10"/>
      <c r="QMK69" s="10"/>
      <c r="QML69" s="10"/>
      <c r="QMM69" s="10"/>
      <c r="QMN69" s="10"/>
      <c r="QMO69" s="10"/>
      <c r="QMP69" s="10"/>
      <c r="QMQ69" s="10"/>
      <c r="QMR69" s="10"/>
      <c r="QMS69" s="10"/>
      <c r="QMT69" s="10"/>
      <c r="QMU69" s="10"/>
      <c r="QMV69" s="10"/>
      <c r="QMW69" s="10"/>
      <c r="QMX69" s="10"/>
      <c r="QMY69" s="10"/>
      <c r="QMZ69" s="10"/>
      <c r="QNA69" s="10"/>
      <c r="QNB69" s="10"/>
      <c r="QNC69" s="10"/>
      <c r="QND69" s="10"/>
      <c r="QNE69" s="10"/>
      <c r="QNF69" s="10"/>
      <c r="QNG69" s="10"/>
      <c r="QNH69" s="10"/>
      <c r="QNI69" s="10"/>
      <c r="QNJ69" s="10"/>
      <c r="QNK69" s="10"/>
      <c r="QNL69" s="10"/>
      <c r="QNM69" s="10"/>
      <c r="QNN69" s="10"/>
      <c r="QNO69" s="10"/>
      <c r="QNP69" s="10"/>
      <c r="QNQ69" s="10"/>
      <c r="QNR69" s="10"/>
      <c r="QNS69" s="10"/>
      <c r="QNT69" s="10"/>
      <c r="QNU69" s="10"/>
      <c r="QNV69" s="10"/>
      <c r="QNW69" s="10"/>
      <c r="QNX69" s="10"/>
      <c r="QNY69" s="10"/>
      <c r="QNZ69" s="10"/>
      <c r="QOA69" s="10"/>
      <c r="QOB69" s="10"/>
      <c r="QOC69" s="10"/>
      <c r="QOD69" s="10"/>
      <c r="QOE69" s="10"/>
      <c r="QOF69" s="10"/>
      <c r="QOG69" s="10"/>
      <c r="QOH69" s="10"/>
      <c r="QOI69" s="10"/>
      <c r="QOJ69" s="10"/>
      <c r="QOK69" s="10"/>
      <c r="QOL69" s="10"/>
      <c r="QOM69" s="10"/>
      <c r="QON69" s="10"/>
      <c r="QOO69" s="10"/>
      <c r="QOP69" s="10"/>
      <c r="QOQ69" s="10"/>
      <c r="QOR69" s="10"/>
      <c r="QOS69" s="10"/>
      <c r="QOT69" s="10"/>
      <c r="QOU69" s="10"/>
      <c r="QOV69" s="10"/>
      <c r="QOW69" s="10"/>
      <c r="QOX69" s="10"/>
      <c r="QOY69" s="10"/>
      <c r="QOZ69" s="10"/>
      <c r="QPA69" s="10"/>
      <c r="QPB69" s="10"/>
      <c r="QPC69" s="10"/>
      <c r="QPD69" s="10"/>
      <c r="QPE69" s="10"/>
      <c r="QPF69" s="10"/>
      <c r="QPG69" s="10"/>
      <c r="QPH69" s="10"/>
      <c r="QPI69" s="10"/>
      <c r="QPJ69" s="10"/>
      <c r="QPK69" s="10"/>
      <c r="QPL69" s="10"/>
      <c r="QPM69" s="10"/>
      <c r="QPN69" s="10"/>
      <c r="QPO69" s="10"/>
      <c r="QPP69" s="10"/>
      <c r="QPQ69" s="10"/>
      <c r="QPR69" s="10"/>
      <c r="QPS69" s="10"/>
      <c r="QPT69" s="10"/>
      <c r="QPU69" s="10"/>
      <c r="QPV69" s="10"/>
      <c r="QPW69" s="10"/>
      <c r="QPX69" s="10"/>
      <c r="QPY69" s="10"/>
      <c r="QPZ69" s="10"/>
      <c r="QQA69" s="10"/>
      <c r="QQB69" s="10"/>
      <c r="QQC69" s="10"/>
      <c r="QQD69" s="10"/>
      <c r="QQE69" s="10"/>
      <c r="QQF69" s="10"/>
      <c r="QQG69" s="10"/>
      <c r="QQH69" s="10"/>
      <c r="QQI69" s="10"/>
      <c r="QQJ69" s="10"/>
      <c r="QQK69" s="10"/>
      <c r="QQL69" s="10"/>
      <c r="QQM69" s="10"/>
      <c r="QQN69" s="10"/>
      <c r="QQO69" s="10"/>
      <c r="QQP69" s="10"/>
      <c r="QQQ69" s="10"/>
      <c r="QQR69" s="10"/>
      <c r="QQS69" s="10"/>
      <c r="QQT69" s="10"/>
      <c r="QQU69" s="10"/>
      <c r="QQV69" s="10"/>
      <c r="QQW69" s="10"/>
      <c r="QQX69" s="10"/>
      <c r="QQY69" s="10"/>
      <c r="QQZ69" s="10"/>
      <c r="QRA69" s="10"/>
      <c r="QRB69" s="10"/>
      <c r="QRC69" s="10"/>
      <c r="QRD69" s="10"/>
      <c r="QRE69" s="10"/>
      <c r="QRF69" s="10"/>
      <c r="QRG69" s="10"/>
      <c r="QRH69" s="10"/>
      <c r="QRI69" s="10"/>
      <c r="QRJ69" s="10"/>
      <c r="QRK69" s="10"/>
      <c r="QRL69" s="10"/>
      <c r="QRM69" s="10"/>
      <c r="QRN69" s="10"/>
      <c r="QRO69" s="10"/>
      <c r="QRP69" s="10"/>
      <c r="QRQ69" s="10"/>
      <c r="QRR69" s="10"/>
      <c r="QRS69" s="10"/>
      <c r="QRT69" s="10"/>
      <c r="QRU69" s="10"/>
      <c r="QRV69" s="10"/>
      <c r="QRW69" s="10"/>
      <c r="QRX69" s="10"/>
      <c r="QRY69" s="10"/>
      <c r="QRZ69" s="10"/>
      <c r="QSA69" s="10"/>
      <c r="QSB69" s="10"/>
      <c r="QSC69" s="10"/>
      <c r="QSD69" s="10"/>
      <c r="QSE69" s="10"/>
      <c r="QSF69" s="10"/>
      <c r="QSG69" s="10"/>
      <c r="QSH69" s="10"/>
      <c r="QSI69" s="10"/>
      <c r="QSJ69" s="10"/>
      <c r="QSK69" s="10"/>
      <c r="QSL69" s="10"/>
      <c r="QSM69" s="10"/>
      <c r="QSN69" s="10"/>
      <c r="QSO69" s="10"/>
      <c r="QSP69" s="10"/>
      <c r="QSQ69" s="10"/>
      <c r="QSR69" s="10"/>
      <c r="QSS69" s="10"/>
      <c r="QST69" s="10"/>
      <c r="QSU69" s="10"/>
      <c r="QSV69" s="10"/>
      <c r="QSW69" s="10"/>
      <c r="QSX69" s="10"/>
      <c r="QSY69" s="10"/>
      <c r="QSZ69" s="10"/>
      <c r="QTA69" s="10"/>
      <c r="QTB69" s="10"/>
      <c r="QTC69" s="10"/>
      <c r="QTD69" s="10"/>
      <c r="QTE69" s="10"/>
      <c r="QTF69" s="10"/>
      <c r="QTG69" s="10"/>
      <c r="QTH69" s="10"/>
      <c r="QTI69" s="10"/>
      <c r="QTJ69" s="10"/>
      <c r="QTK69" s="10"/>
      <c r="QTL69" s="10"/>
      <c r="QTM69" s="10"/>
      <c r="QTN69" s="10"/>
      <c r="QTO69" s="10"/>
      <c r="QTP69" s="10"/>
      <c r="QTQ69" s="10"/>
      <c r="QTR69" s="10"/>
      <c r="QTS69" s="10"/>
      <c r="QTT69" s="10"/>
      <c r="QTU69" s="10"/>
      <c r="QTV69" s="10"/>
      <c r="QTW69" s="10"/>
      <c r="QTX69" s="10"/>
      <c r="QTY69" s="10"/>
      <c r="QTZ69" s="10"/>
      <c r="QUA69" s="10"/>
      <c r="QUB69" s="10"/>
      <c r="QUC69" s="10"/>
      <c r="QUD69" s="10"/>
      <c r="QUE69" s="10"/>
      <c r="QUF69" s="10"/>
      <c r="QUG69" s="10"/>
      <c r="QUH69" s="10"/>
      <c r="QUI69" s="10"/>
      <c r="QUJ69" s="10"/>
      <c r="QUK69" s="10"/>
      <c r="QUL69" s="10"/>
      <c r="QUM69" s="10"/>
      <c r="QUN69" s="10"/>
      <c r="QUO69" s="10"/>
      <c r="QUP69" s="10"/>
      <c r="QUQ69" s="10"/>
      <c r="QUR69" s="10"/>
      <c r="QUS69" s="10"/>
      <c r="QUT69" s="10"/>
      <c r="QUU69" s="10"/>
      <c r="QUV69" s="10"/>
      <c r="QUW69" s="10"/>
      <c r="QUX69" s="10"/>
      <c r="QUY69" s="10"/>
      <c r="QUZ69" s="10"/>
      <c r="QVA69" s="10"/>
      <c r="QVB69" s="10"/>
      <c r="QVC69" s="10"/>
      <c r="QVD69" s="10"/>
      <c r="QVE69" s="10"/>
      <c r="QVF69" s="10"/>
      <c r="QVG69" s="10"/>
      <c r="QVH69" s="10"/>
      <c r="QVI69" s="10"/>
      <c r="QVJ69" s="10"/>
      <c r="QVK69" s="10"/>
      <c r="QVL69" s="10"/>
      <c r="QVM69" s="10"/>
      <c r="QVN69" s="10"/>
      <c r="QVO69" s="10"/>
      <c r="QVP69" s="10"/>
      <c r="QVQ69" s="10"/>
      <c r="QVR69" s="10"/>
      <c r="QVS69" s="10"/>
      <c r="QVT69" s="10"/>
      <c r="QVU69" s="10"/>
      <c r="QVV69" s="10"/>
      <c r="QVW69" s="10"/>
      <c r="QVX69" s="10"/>
      <c r="QVY69" s="10"/>
      <c r="QVZ69" s="10"/>
      <c r="QWA69" s="10"/>
      <c r="QWB69" s="10"/>
      <c r="QWC69" s="10"/>
      <c r="QWD69" s="10"/>
      <c r="QWE69" s="10"/>
      <c r="QWF69" s="10"/>
      <c r="QWG69" s="10"/>
      <c r="QWH69" s="10"/>
      <c r="QWI69" s="10"/>
      <c r="QWJ69" s="10"/>
      <c r="QWK69" s="10"/>
      <c r="QWL69" s="10"/>
      <c r="QWM69" s="10"/>
      <c r="QWN69" s="10"/>
      <c r="QWO69" s="10"/>
      <c r="QWP69" s="10"/>
      <c r="QWQ69" s="10"/>
      <c r="QWR69" s="10"/>
      <c r="QWS69" s="10"/>
      <c r="QWT69" s="10"/>
      <c r="QWU69" s="10"/>
      <c r="QWV69" s="10"/>
      <c r="QWW69" s="10"/>
      <c r="QWX69" s="10"/>
      <c r="QWY69" s="10"/>
      <c r="QWZ69" s="10"/>
      <c r="QXA69" s="10"/>
      <c r="QXB69" s="10"/>
      <c r="QXC69" s="10"/>
      <c r="QXD69" s="10"/>
      <c r="QXE69" s="10"/>
      <c r="QXF69" s="10"/>
      <c r="QXG69" s="10"/>
      <c r="QXH69" s="10"/>
      <c r="QXI69" s="10"/>
      <c r="QXJ69" s="10"/>
      <c r="QXK69" s="10"/>
      <c r="QXL69" s="10"/>
      <c r="QXM69" s="10"/>
      <c r="QXN69" s="10"/>
      <c r="QXO69" s="10"/>
      <c r="QXP69" s="10"/>
      <c r="QXQ69" s="10"/>
      <c r="QXR69" s="10"/>
      <c r="QXS69" s="10"/>
      <c r="QXT69" s="10"/>
      <c r="QXU69" s="10"/>
      <c r="QXV69" s="10"/>
      <c r="QXW69" s="10"/>
      <c r="QXX69" s="10"/>
      <c r="QXY69" s="10"/>
      <c r="QXZ69" s="10"/>
      <c r="QYA69" s="10"/>
      <c r="QYB69" s="10"/>
      <c r="QYC69" s="10"/>
      <c r="QYD69" s="10"/>
      <c r="QYE69" s="10"/>
      <c r="QYF69" s="10"/>
      <c r="QYG69" s="10"/>
      <c r="QYH69" s="10"/>
      <c r="QYI69" s="10"/>
      <c r="QYJ69" s="10"/>
      <c r="QYK69" s="10"/>
      <c r="QYL69" s="10"/>
      <c r="QYM69" s="10"/>
      <c r="QYN69" s="10"/>
      <c r="QYO69" s="10"/>
      <c r="QYP69" s="10"/>
      <c r="QYQ69" s="10"/>
      <c r="QYR69" s="10"/>
      <c r="QYS69" s="10"/>
      <c r="QYT69" s="10"/>
      <c r="QYU69" s="10"/>
      <c r="QYV69" s="10"/>
      <c r="QYW69" s="10"/>
      <c r="QYX69" s="10"/>
      <c r="QYY69" s="10"/>
      <c r="QYZ69" s="10"/>
      <c r="QZA69" s="10"/>
      <c r="QZB69" s="10"/>
      <c r="QZC69" s="10"/>
      <c r="QZD69" s="10"/>
      <c r="QZE69" s="10"/>
      <c r="QZF69" s="10"/>
      <c r="QZG69" s="10"/>
      <c r="QZH69" s="10"/>
      <c r="QZI69" s="10"/>
      <c r="QZJ69" s="10"/>
      <c r="QZK69" s="10"/>
      <c r="QZL69" s="10"/>
      <c r="QZM69" s="10"/>
      <c r="QZN69" s="10"/>
      <c r="QZO69" s="10"/>
      <c r="QZP69" s="10"/>
      <c r="QZQ69" s="10"/>
      <c r="QZR69" s="10"/>
      <c r="QZS69" s="10"/>
      <c r="QZT69" s="10"/>
      <c r="QZU69" s="10"/>
      <c r="QZV69" s="10"/>
      <c r="QZW69" s="10"/>
      <c r="QZX69" s="10"/>
      <c r="QZY69" s="10"/>
      <c r="QZZ69" s="10"/>
      <c r="RAA69" s="10"/>
      <c r="RAB69" s="10"/>
      <c r="RAC69" s="10"/>
      <c r="RAD69" s="10"/>
      <c r="RAE69" s="10"/>
      <c r="RAF69" s="10"/>
      <c r="RAG69" s="10"/>
      <c r="RAH69" s="10"/>
      <c r="RAI69" s="10"/>
      <c r="RAJ69" s="10"/>
      <c r="RAK69" s="10"/>
      <c r="RAL69" s="10"/>
      <c r="RAM69" s="10"/>
      <c r="RAN69" s="10"/>
      <c r="RAO69" s="10"/>
      <c r="RAP69" s="10"/>
      <c r="RAQ69" s="10"/>
      <c r="RAR69" s="10"/>
      <c r="RAS69" s="10"/>
      <c r="RAT69" s="10"/>
      <c r="RAU69" s="10"/>
      <c r="RAV69" s="10"/>
      <c r="RAW69" s="10"/>
      <c r="RAX69" s="10"/>
      <c r="RAY69" s="10"/>
      <c r="RAZ69" s="10"/>
      <c r="RBA69" s="10"/>
      <c r="RBB69" s="10"/>
      <c r="RBC69" s="10"/>
      <c r="RBD69" s="10"/>
      <c r="RBE69" s="10"/>
      <c r="RBF69" s="10"/>
      <c r="RBG69" s="10"/>
      <c r="RBH69" s="10"/>
      <c r="RBI69" s="10"/>
      <c r="RBJ69" s="10"/>
      <c r="RBK69" s="10"/>
      <c r="RBL69" s="10"/>
      <c r="RBM69" s="10"/>
      <c r="RBN69" s="10"/>
      <c r="RBO69" s="10"/>
      <c r="RBP69" s="10"/>
      <c r="RBQ69" s="10"/>
      <c r="RBR69" s="10"/>
      <c r="RBS69" s="10"/>
      <c r="RBT69" s="10"/>
      <c r="RBU69" s="10"/>
      <c r="RBV69" s="10"/>
      <c r="RBW69" s="10"/>
      <c r="RBX69" s="10"/>
      <c r="RBY69" s="10"/>
      <c r="RBZ69" s="10"/>
      <c r="RCA69" s="10"/>
      <c r="RCB69" s="10"/>
      <c r="RCC69" s="10"/>
      <c r="RCD69" s="10"/>
      <c r="RCE69" s="10"/>
      <c r="RCF69" s="10"/>
      <c r="RCG69" s="10"/>
      <c r="RCH69" s="10"/>
      <c r="RCI69" s="10"/>
      <c r="RCJ69" s="10"/>
      <c r="RCK69" s="10"/>
      <c r="RCL69" s="10"/>
      <c r="RCM69" s="10"/>
      <c r="RCN69" s="10"/>
      <c r="RCO69" s="10"/>
      <c r="RCP69" s="10"/>
      <c r="RCQ69" s="10"/>
      <c r="RCR69" s="10"/>
      <c r="RCS69" s="10"/>
      <c r="RCT69" s="10"/>
      <c r="RCU69" s="10"/>
      <c r="RCV69" s="10"/>
      <c r="RCW69" s="10"/>
      <c r="RCX69" s="10"/>
      <c r="RCY69" s="10"/>
      <c r="RCZ69" s="10"/>
      <c r="RDA69" s="10"/>
      <c r="RDB69" s="10"/>
      <c r="RDC69" s="10"/>
      <c r="RDD69" s="10"/>
      <c r="RDE69" s="10"/>
      <c r="RDF69" s="10"/>
      <c r="RDG69" s="10"/>
      <c r="RDH69" s="10"/>
      <c r="RDI69" s="10"/>
      <c r="RDJ69" s="10"/>
      <c r="RDK69" s="10"/>
      <c r="RDL69" s="10"/>
      <c r="RDM69" s="10"/>
      <c r="RDN69" s="10"/>
      <c r="RDO69" s="10"/>
      <c r="RDP69" s="10"/>
      <c r="RDQ69" s="10"/>
      <c r="RDR69" s="10"/>
      <c r="RDS69" s="10"/>
      <c r="RDT69" s="10"/>
      <c r="RDU69" s="10"/>
      <c r="RDV69" s="10"/>
      <c r="RDW69" s="10"/>
      <c r="RDX69" s="10"/>
      <c r="RDY69" s="10"/>
      <c r="RDZ69" s="10"/>
      <c r="REA69" s="10"/>
      <c r="REB69" s="10"/>
      <c r="REC69" s="10"/>
      <c r="RED69" s="10"/>
      <c r="REE69" s="10"/>
      <c r="REF69" s="10"/>
      <c r="REG69" s="10"/>
      <c r="REH69" s="10"/>
      <c r="REI69" s="10"/>
      <c r="REJ69" s="10"/>
      <c r="REK69" s="10"/>
      <c r="REL69" s="10"/>
      <c r="REM69" s="10"/>
      <c r="REN69" s="10"/>
      <c r="REO69" s="10"/>
      <c r="REP69" s="10"/>
      <c r="REQ69" s="10"/>
      <c r="RER69" s="10"/>
      <c r="RES69" s="10"/>
      <c r="RET69" s="10"/>
      <c r="REU69" s="10"/>
      <c r="REV69" s="10"/>
      <c r="REW69" s="10"/>
      <c r="REX69" s="10"/>
      <c r="REY69" s="10"/>
      <c r="REZ69" s="10"/>
      <c r="RFA69" s="10"/>
      <c r="RFB69" s="10"/>
      <c r="RFC69" s="10"/>
      <c r="RFD69" s="10"/>
      <c r="RFE69" s="10"/>
      <c r="RFF69" s="10"/>
      <c r="RFG69" s="10"/>
      <c r="RFH69" s="10"/>
      <c r="RFI69" s="10"/>
      <c r="RFJ69" s="10"/>
      <c r="RFK69" s="10"/>
      <c r="RFL69" s="10"/>
      <c r="RFM69" s="10"/>
      <c r="RFN69" s="10"/>
      <c r="RFO69" s="10"/>
      <c r="RFP69" s="10"/>
      <c r="RFQ69" s="10"/>
      <c r="RFR69" s="10"/>
      <c r="RFS69" s="10"/>
      <c r="RFT69" s="10"/>
      <c r="RFU69" s="10"/>
      <c r="RFV69" s="10"/>
      <c r="RFW69" s="10"/>
      <c r="RFX69" s="10"/>
      <c r="RFY69" s="10"/>
      <c r="RFZ69" s="10"/>
      <c r="RGA69" s="10"/>
      <c r="RGB69" s="10"/>
      <c r="RGC69" s="10"/>
      <c r="RGD69" s="10"/>
      <c r="RGE69" s="10"/>
      <c r="RGF69" s="10"/>
      <c r="RGG69" s="10"/>
      <c r="RGH69" s="10"/>
      <c r="RGI69" s="10"/>
      <c r="RGJ69" s="10"/>
      <c r="RGK69" s="10"/>
      <c r="RGL69" s="10"/>
      <c r="RGM69" s="10"/>
      <c r="RGN69" s="10"/>
      <c r="RGO69" s="10"/>
      <c r="RGP69" s="10"/>
      <c r="RGQ69" s="10"/>
      <c r="RGR69" s="10"/>
      <c r="RGS69" s="10"/>
      <c r="RGT69" s="10"/>
      <c r="RGU69" s="10"/>
      <c r="RGV69" s="10"/>
      <c r="RGW69" s="10"/>
      <c r="RGX69" s="10"/>
      <c r="RGY69" s="10"/>
      <c r="RGZ69" s="10"/>
      <c r="RHA69" s="10"/>
      <c r="RHB69" s="10"/>
      <c r="RHC69" s="10"/>
      <c r="RHD69" s="10"/>
      <c r="RHE69" s="10"/>
      <c r="RHF69" s="10"/>
      <c r="RHG69" s="10"/>
      <c r="RHH69" s="10"/>
      <c r="RHI69" s="10"/>
      <c r="RHJ69" s="10"/>
      <c r="RHK69" s="10"/>
      <c r="RHL69" s="10"/>
      <c r="RHM69" s="10"/>
      <c r="RHN69" s="10"/>
      <c r="RHO69" s="10"/>
      <c r="RHP69" s="10"/>
      <c r="RHQ69" s="10"/>
      <c r="RHR69" s="10"/>
      <c r="RHS69" s="10"/>
      <c r="RHT69" s="10"/>
      <c r="RHU69" s="10"/>
      <c r="RHV69" s="10"/>
      <c r="RHW69" s="10"/>
      <c r="RHX69" s="10"/>
      <c r="RHY69" s="10"/>
      <c r="RHZ69" s="10"/>
      <c r="RIA69" s="10"/>
      <c r="RIB69" s="10"/>
      <c r="RIC69" s="10"/>
      <c r="RID69" s="10"/>
      <c r="RIE69" s="10"/>
      <c r="RIF69" s="10"/>
      <c r="RIG69" s="10"/>
      <c r="RIH69" s="10"/>
      <c r="RII69" s="10"/>
      <c r="RIJ69" s="10"/>
      <c r="RIK69" s="10"/>
      <c r="RIL69" s="10"/>
      <c r="RIM69" s="10"/>
      <c r="RIN69" s="10"/>
      <c r="RIO69" s="10"/>
      <c r="RIP69" s="10"/>
      <c r="RIQ69" s="10"/>
      <c r="RIR69" s="10"/>
      <c r="RIS69" s="10"/>
      <c r="RIT69" s="10"/>
      <c r="RIU69" s="10"/>
      <c r="RIV69" s="10"/>
      <c r="RIW69" s="10"/>
      <c r="RIX69" s="10"/>
      <c r="RIY69" s="10"/>
      <c r="RIZ69" s="10"/>
      <c r="RJA69" s="10"/>
      <c r="RJB69" s="10"/>
      <c r="RJC69" s="10"/>
      <c r="RJD69" s="10"/>
      <c r="RJE69" s="10"/>
      <c r="RJF69" s="10"/>
      <c r="RJG69" s="10"/>
      <c r="RJH69" s="10"/>
      <c r="RJI69" s="10"/>
      <c r="RJJ69" s="10"/>
      <c r="RJK69" s="10"/>
      <c r="RJL69" s="10"/>
      <c r="RJM69" s="10"/>
      <c r="RJN69" s="10"/>
      <c r="RJO69" s="10"/>
      <c r="RJP69" s="10"/>
      <c r="RJQ69" s="10"/>
      <c r="RJR69" s="10"/>
      <c r="RJS69" s="10"/>
      <c r="RJT69" s="10"/>
      <c r="RJU69" s="10"/>
      <c r="RJV69" s="10"/>
      <c r="RJW69" s="10"/>
      <c r="RJX69" s="10"/>
      <c r="RJY69" s="10"/>
      <c r="RJZ69" s="10"/>
      <c r="RKA69" s="10"/>
      <c r="RKB69" s="10"/>
      <c r="RKC69" s="10"/>
      <c r="RKD69" s="10"/>
      <c r="RKE69" s="10"/>
      <c r="RKF69" s="10"/>
      <c r="RKG69" s="10"/>
      <c r="RKH69" s="10"/>
      <c r="RKI69" s="10"/>
      <c r="RKJ69" s="10"/>
      <c r="RKK69" s="10"/>
      <c r="RKL69" s="10"/>
      <c r="RKM69" s="10"/>
      <c r="RKN69" s="10"/>
      <c r="RKO69" s="10"/>
      <c r="RKP69" s="10"/>
      <c r="RKQ69" s="10"/>
      <c r="RKR69" s="10"/>
      <c r="RKS69" s="10"/>
      <c r="RKT69" s="10"/>
      <c r="RKU69" s="10"/>
      <c r="RKV69" s="10"/>
      <c r="RKW69" s="10"/>
      <c r="RKX69" s="10"/>
      <c r="RKY69" s="10"/>
      <c r="RKZ69" s="10"/>
      <c r="RLA69" s="10"/>
      <c r="RLB69" s="10"/>
      <c r="RLC69" s="10"/>
      <c r="RLD69" s="10"/>
      <c r="RLE69" s="10"/>
      <c r="RLF69" s="10"/>
      <c r="RLG69" s="10"/>
      <c r="RLH69" s="10"/>
      <c r="RLI69" s="10"/>
      <c r="RLJ69" s="10"/>
      <c r="RLK69" s="10"/>
      <c r="RLL69" s="10"/>
      <c r="RLM69" s="10"/>
      <c r="RLN69" s="10"/>
      <c r="RLO69" s="10"/>
      <c r="RLP69" s="10"/>
      <c r="RLQ69" s="10"/>
      <c r="RLR69" s="10"/>
      <c r="RLS69" s="10"/>
      <c r="RLT69" s="10"/>
      <c r="RLU69" s="10"/>
      <c r="RLV69" s="10"/>
      <c r="RLW69" s="10"/>
      <c r="RLX69" s="10"/>
      <c r="RLY69" s="10"/>
      <c r="RLZ69" s="10"/>
      <c r="RMA69" s="10"/>
      <c r="RMB69" s="10"/>
      <c r="RMC69" s="10"/>
      <c r="RMD69" s="10"/>
      <c r="RME69" s="10"/>
      <c r="RMF69" s="10"/>
      <c r="RMG69" s="10"/>
      <c r="RMH69" s="10"/>
      <c r="RMI69" s="10"/>
      <c r="RMJ69" s="10"/>
      <c r="RMK69" s="10"/>
      <c r="RML69" s="10"/>
      <c r="RMM69" s="10"/>
      <c r="RMN69" s="10"/>
      <c r="RMO69" s="10"/>
      <c r="RMP69" s="10"/>
      <c r="RMQ69" s="10"/>
      <c r="RMR69" s="10"/>
      <c r="RMS69" s="10"/>
      <c r="RMT69" s="10"/>
      <c r="RMU69" s="10"/>
      <c r="RMV69" s="10"/>
      <c r="RMW69" s="10"/>
      <c r="RMX69" s="10"/>
      <c r="RMY69" s="10"/>
      <c r="RMZ69" s="10"/>
      <c r="RNA69" s="10"/>
      <c r="RNB69" s="10"/>
      <c r="RNC69" s="10"/>
      <c r="RND69" s="10"/>
      <c r="RNE69" s="10"/>
      <c r="RNF69" s="10"/>
      <c r="RNG69" s="10"/>
      <c r="RNH69" s="10"/>
      <c r="RNI69" s="10"/>
      <c r="RNJ69" s="10"/>
      <c r="RNK69" s="10"/>
      <c r="RNL69" s="10"/>
      <c r="RNM69" s="10"/>
      <c r="RNN69" s="10"/>
      <c r="RNO69" s="10"/>
      <c r="RNP69" s="10"/>
      <c r="RNQ69" s="10"/>
      <c r="RNR69" s="10"/>
      <c r="RNS69" s="10"/>
      <c r="RNT69" s="10"/>
      <c r="RNU69" s="10"/>
      <c r="RNV69" s="10"/>
      <c r="RNW69" s="10"/>
      <c r="RNX69" s="10"/>
      <c r="RNY69" s="10"/>
      <c r="RNZ69" s="10"/>
      <c r="ROA69" s="10"/>
      <c r="ROB69" s="10"/>
      <c r="ROC69" s="10"/>
      <c r="ROD69" s="10"/>
      <c r="ROE69" s="10"/>
      <c r="ROF69" s="10"/>
      <c r="ROG69" s="10"/>
      <c r="ROH69" s="10"/>
      <c r="ROI69" s="10"/>
      <c r="ROJ69" s="10"/>
      <c r="ROK69" s="10"/>
      <c r="ROL69" s="10"/>
      <c r="ROM69" s="10"/>
      <c r="RON69" s="10"/>
      <c r="ROO69" s="10"/>
      <c r="ROP69" s="10"/>
      <c r="ROQ69" s="10"/>
      <c r="ROR69" s="10"/>
      <c r="ROS69" s="10"/>
      <c r="ROT69" s="10"/>
      <c r="ROU69" s="10"/>
      <c r="ROV69" s="10"/>
      <c r="ROW69" s="10"/>
      <c r="ROX69" s="10"/>
      <c r="ROY69" s="10"/>
      <c r="ROZ69" s="10"/>
      <c r="RPA69" s="10"/>
      <c r="RPB69" s="10"/>
      <c r="RPC69" s="10"/>
      <c r="RPD69" s="10"/>
      <c r="RPE69" s="10"/>
      <c r="RPF69" s="10"/>
      <c r="RPG69" s="10"/>
      <c r="RPH69" s="10"/>
      <c r="RPI69" s="10"/>
      <c r="RPJ69" s="10"/>
      <c r="RPK69" s="10"/>
      <c r="RPL69" s="10"/>
      <c r="RPM69" s="10"/>
      <c r="RPN69" s="10"/>
      <c r="RPO69" s="10"/>
      <c r="RPP69" s="10"/>
      <c r="RPQ69" s="10"/>
      <c r="RPR69" s="10"/>
      <c r="RPS69" s="10"/>
      <c r="RPT69" s="10"/>
      <c r="RPU69" s="10"/>
      <c r="RPV69" s="10"/>
      <c r="RPW69" s="10"/>
      <c r="RPX69" s="10"/>
      <c r="RPY69" s="10"/>
      <c r="RPZ69" s="10"/>
      <c r="RQA69" s="10"/>
      <c r="RQB69" s="10"/>
      <c r="RQC69" s="10"/>
      <c r="RQD69" s="10"/>
      <c r="RQE69" s="10"/>
      <c r="RQF69" s="10"/>
      <c r="RQG69" s="10"/>
      <c r="RQH69" s="10"/>
      <c r="RQI69" s="10"/>
      <c r="RQJ69" s="10"/>
      <c r="RQK69" s="10"/>
      <c r="RQL69" s="10"/>
      <c r="RQM69" s="10"/>
      <c r="RQN69" s="10"/>
      <c r="RQO69" s="10"/>
      <c r="RQP69" s="10"/>
      <c r="RQQ69" s="10"/>
      <c r="RQR69" s="10"/>
      <c r="RQS69" s="10"/>
      <c r="RQT69" s="10"/>
      <c r="RQU69" s="10"/>
      <c r="RQV69" s="10"/>
      <c r="RQW69" s="10"/>
      <c r="RQX69" s="10"/>
      <c r="RQY69" s="10"/>
      <c r="RQZ69" s="10"/>
      <c r="RRA69" s="10"/>
      <c r="RRB69" s="10"/>
      <c r="RRC69" s="10"/>
      <c r="RRD69" s="10"/>
      <c r="RRE69" s="10"/>
      <c r="RRF69" s="10"/>
      <c r="RRG69" s="10"/>
      <c r="RRH69" s="10"/>
      <c r="RRI69" s="10"/>
      <c r="RRJ69" s="10"/>
      <c r="RRK69" s="10"/>
      <c r="RRL69" s="10"/>
      <c r="RRM69" s="10"/>
      <c r="RRN69" s="10"/>
      <c r="RRO69" s="10"/>
      <c r="RRP69" s="10"/>
      <c r="RRQ69" s="10"/>
      <c r="RRR69" s="10"/>
      <c r="RRS69" s="10"/>
      <c r="RRT69" s="10"/>
      <c r="RRU69" s="10"/>
      <c r="RRV69" s="10"/>
      <c r="RRW69" s="10"/>
      <c r="RRX69" s="10"/>
      <c r="RRY69" s="10"/>
      <c r="RRZ69" s="10"/>
      <c r="RSA69" s="10"/>
      <c r="RSB69" s="10"/>
      <c r="RSC69" s="10"/>
      <c r="RSD69" s="10"/>
      <c r="RSE69" s="10"/>
      <c r="RSF69" s="10"/>
      <c r="RSG69" s="10"/>
      <c r="RSH69" s="10"/>
      <c r="RSI69" s="10"/>
      <c r="RSJ69" s="10"/>
      <c r="RSK69" s="10"/>
      <c r="RSL69" s="10"/>
      <c r="RSM69" s="10"/>
      <c r="RSN69" s="10"/>
      <c r="RSO69" s="10"/>
      <c r="RSP69" s="10"/>
      <c r="RSQ69" s="10"/>
      <c r="RSR69" s="10"/>
      <c r="RSS69" s="10"/>
      <c r="RST69" s="10"/>
      <c r="RSU69" s="10"/>
      <c r="RSV69" s="10"/>
      <c r="RSW69" s="10"/>
      <c r="RSX69" s="10"/>
      <c r="RSY69" s="10"/>
      <c r="RSZ69" s="10"/>
      <c r="RTA69" s="10"/>
      <c r="RTB69" s="10"/>
      <c r="RTC69" s="10"/>
      <c r="RTD69" s="10"/>
      <c r="RTE69" s="10"/>
      <c r="RTF69" s="10"/>
      <c r="RTG69" s="10"/>
      <c r="RTH69" s="10"/>
      <c r="RTI69" s="10"/>
      <c r="RTJ69" s="10"/>
      <c r="RTK69" s="10"/>
      <c r="RTL69" s="10"/>
      <c r="RTM69" s="10"/>
      <c r="RTN69" s="10"/>
      <c r="RTO69" s="10"/>
      <c r="RTP69" s="10"/>
      <c r="RTQ69" s="10"/>
      <c r="RTR69" s="10"/>
      <c r="RTS69" s="10"/>
      <c r="RTT69" s="10"/>
      <c r="RTU69" s="10"/>
      <c r="RTV69" s="10"/>
      <c r="RTW69" s="10"/>
      <c r="RTX69" s="10"/>
      <c r="RTY69" s="10"/>
      <c r="RTZ69" s="10"/>
      <c r="RUA69" s="10"/>
      <c r="RUB69" s="10"/>
      <c r="RUC69" s="10"/>
      <c r="RUD69" s="10"/>
      <c r="RUE69" s="10"/>
      <c r="RUF69" s="10"/>
      <c r="RUG69" s="10"/>
      <c r="RUH69" s="10"/>
      <c r="RUI69" s="10"/>
      <c r="RUJ69" s="10"/>
      <c r="RUK69" s="10"/>
      <c r="RUL69" s="10"/>
      <c r="RUM69" s="10"/>
      <c r="RUN69" s="10"/>
      <c r="RUO69" s="10"/>
      <c r="RUP69" s="10"/>
      <c r="RUQ69" s="10"/>
      <c r="RUR69" s="10"/>
      <c r="RUS69" s="10"/>
      <c r="RUT69" s="10"/>
      <c r="RUU69" s="10"/>
      <c r="RUV69" s="10"/>
      <c r="RUW69" s="10"/>
      <c r="RUX69" s="10"/>
      <c r="RUY69" s="10"/>
      <c r="RUZ69" s="10"/>
      <c r="RVA69" s="10"/>
      <c r="RVB69" s="10"/>
      <c r="RVC69" s="10"/>
      <c r="RVD69" s="10"/>
      <c r="RVE69" s="10"/>
      <c r="RVF69" s="10"/>
      <c r="RVG69" s="10"/>
      <c r="RVH69" s="10"/>
      <c r="RVI69" s="10"/>
      <c r="RVJ69" s="10"/>
      <c r="RVK69" s="10"/>
      <c r="RVL69" s="10"/>
      <c r="RVM69" s="10"/>
      <c r="RVN69" s="10"/>
      <c r="RVO69" s="10"/>
      <c r="RVP69" s="10"/>
      <c r="RVQ69" s="10"/>
      <c r="RVR69" s="10"/>
      <c r="RVS69" s="10"/>
      <c r="RVT69" s="10"/>
      <c r="RVU69" s="10"/>
      <c r="RVV69" s="10"/>
      <c r="RVW69" s="10"/>
      <c r="RVX69" s="10"/>
      <c r="RVY69" s="10"/>
      <c r="RVZ69" s="10"/>
      <c r="RWA69" s="10"/>
      <c r="RWB69" s="10"/>
      <c r="RWC69" s="10"/>
      <c r="RWD69" s="10"/>
      <c r="RWE69" s="10"/>
      <c r="RWF69" s="10"/>
      <c r="RWG69" s="10"/>
      <c r="RWH69" s="10"/>
      <c r="RWI69" s="10"/>
      <c r="RWJ69" s="10"/>
      <c r="RWK69" s="10"/>
      <c r="RWL69" s="10"/>
      <c r="RWM69" s="10"/>
      <c r="RWN69" s="10"/>
      <c r="RWO69" s="10"/>
      <c r="RWP69" s="10"/>
      <c r="RWQ69" s="10"/>
      <c r="RWR69" s="10"/>
      <c r="RWS69" s="10"/>
      <c r="RWT69" s="10"/>
      <c r="RWU69" s="10"/>
      <c r="RWV69" s="10"/>
      <c r="RWW69" s="10"/>
      <c r="RWX69" s="10"/>
      <c r="RWY69" s="10"/>
      <c r="RWZ69" s="10"/>
      <c r="RXA69" s="10"/>
      <c r="RXB69" s="10"/>
      <c r="RXC69" s="10"/>
      <c r="RXD69" s="10"/>
      <c r="RXE69" s="10"/>
      <c r="RXF69" s="10"/>
      <c r="RXG69" s="10"/>
      <c r="RXH69" s="10"/>
      <c r="RXI69" s="10"/>
      <c r="RXJ69" s="10"/>
      <c r="RXK69" s="10"/>
      <c r="RXL69" s="10"/>
      <c r="RXM69" s="10"/>
      <c r="RXN69" s="10"/>
      <c r="RXO69" s="10"/>
      <c r="RXP69" s="10"/>
      <c r="RXQ69" s="10"/>
      <c r="RXR69" s="10"/>
      <c r="RXS69" s="10"/>
      <c r="RXT69" s="10"/>
      <c r="RXU69" s="10"/>
      <c r="RXV69" s="10"/>
      <c r="RXW69" s="10"/>
      <c r="RXX69" s="10"/>
      <c r="RXY69" s="10"/>
      <c r="RXZ69" s="10"/>
      <c r="RYA69" s="10"/>
      <c r="RYB69" s="10"/>
      <c r="RYC69" s="10"/>
      <c r="RYD69" s="10"/>
      <c r="RYE69" s="10"/>
      <c r="RYF69" s="10"/>
      <c r="RYG69" s="10"/>
      <c r="RYH69" s="10"/>
      <c r="RYI69" s="10"/>
      <c r="RYJ69" s="10"/>
      <c r="RYK69" s="10"/>
      <c r="RYL69" s="10"/>
      <c r="RYM69" s="10"/>
      <c r="RYN69" s="10"/>
      <c r="RYO69" s="10"/>
      <c r="RYP69" s="10"/>
      <c r="RYQ69" s="10"/>
      <c r="RYR69" s="10"/>
      <c r="RYS69" s="10"/>
      <c r="RYT69" s="10"/>
      <c r="RYU69" s="10"/>
      <c r="RYV69" s="10"/>
      <c r="RYW69" s="10"/>
      <c r="RYX69" s="10"/>
      <c r="RYY69" s="10"/>
      <c r="RYZ69" s="10"/>
      <c r="RZA69" s="10"/>
      <c r="RZB69" s="10"/>
      <c r="RZC69" s="10"/>
      <c r="RZD69" s="10"/>
      <c r="RZE69" s="10"/>
      <c r="RZF69" s="10"/>
      <c r="RZG69" s="10"/>
      <c r="RZH69" s="10"/>
      <c r="RZI69" s="10"/>
      <c r="RZJ69" s="10"/>
      <c r="RZK69" s="10"/>
      <c r="RZL69" s="10"/>
      <c r="RZM69" s="10"/>
      <c r="RZN69" s="10"/>
      <c r="RZO69" s="10"/>
      <c r="RZP69" s="10"/>
      <c r="RZQ69" s="10"/>
      <c r="RZR69" s="10"/>
      <c r="RZS69" s="10"/>
      <c r="RZT69" s="10"/>
      <c r="RZU69" s="10"/>
      <c r="RZV69" s="10"/>
      <c r="RZW69" s="10"/>
      <c r="RZX69" s="10"/>
      <c r="RZY69" s="10"/>
      <c r="RZZ69" s="10"/>
      <c r="SAA69" s="10"/>
      <c r="SAB69" s="10"/>
      <c r="SAC69" s="10"/>
      <c r="SAD69" s="10"/>
      <c r="SAE69" s="10"/>
      <c r="SAF69" s="10"/>
      <c r="SAG69" s="10"/>
      <c r="SAH69" s="10"/>
      <c r="SAI69" s="10"/>
      <c r="SAJ69" s="10"/>
      <c r="SAK69" s="10"/>
      <c r="SAL69" s="10"/>
      <c r="SAM69" s="10"/>
      <c r="SAN69" s="10"/>
      <c r="SAO69" s="10"/>
      <c r="SAP69" s="10"/>
      <c r="SAQ69" s="10"/>
      <c r="SAR69" s="10"/>
      <c r="SAS69" s="10"/>
      <c r="SAT69" s="10"/>
      <c r="SAU69" s="10"/>
      <c r="SAV69" s="10"/>
      <c r="SAW69" s="10"/>
      <c r="SAX69" s="10"/>
      <c r="SAY69" s="10"/>
      <c r="SAZ69" s="10"/>
      <c r="SBA69" s="10"/>
      <c r="SBB69" s="10"/>
      <c r="SBC69" s="10"/>
      <c r="SBD69" s="10"/>
      <c r="SBE69" s="10"/>
      <c r="SBF69" s="10"/>
      <c r="SBG69" s="10"/>
      <c r="SBH69" s="10"/>
      <c r="SBI69" s="10"/>
      <c r="SBJ69" s="10"/>
      <c r="SBK69" s="10"/>
      <c r="SBL69" s="10"/>
      <c r="SBM69" s="10"/>
      <c r="SBN69" s="10"/>
      <c r="SBO69" s="10"/>
      <c r="SBP69" s="10"/>
      <c r="SBQ69" s="10"/>
      <c r="SBR69" s="10"/>
      <c r="SBS69" s="10"/>
      <c r="SBT69" s="10"/>
      <c r="SBU69" s="10"/>
      <c r="SBV69" s="10"/>
      <c r="SBW69" s="10"/>
      <c r="SBX69" s="10"/>
      <c r="SBY69" s="10"/>
      <c r="SBZ69" s="10"/>
      <c r="SCA69" s="10"/>
      <c r="SCB69" s="10"/>
      <c r="SCC69" s="10"/>
      <c r="SCD69" s="10"/>
      <c r="SCE69" s="10"/>
      <c r="SCF69" s="10"/>
      <c r="SCG69" s="10"/>
      <c r="SCH69" s="10"/>
      <c r="SCI69" s="10"/>
      <c r="SCJ69" s="10"/>
      <c r="SCK69" s="10"/>
      <c r="SCL69" s="10"/>
      <c r="SCM69" s="10"/>
      <c r="SCN69" s="10"/>
      <c r="SCO69" s="10"/>
      <c r="SCP69" s="10"/>
      <c r="SCQ69" s="10"/>
      <c r="SCR69" s="10"/>
      <c r="SCS69" s="10"/>
      <c r="SCT69" s="10"/>
      <c r="SCU69" s="10"/>
      <c r="SCV69" s="10"/>
      <c r="SCW69" s="10"/>
      <c r="SCX69" s="10"/>
      <c r="SCY69" s="10"/>
      <c r="SCZ69" s="10"/>
      <c r="SDA69" s="10"/>
      <c r="SDB69" s="10"/>
      <c r="SDC69" s="10"/>
      <c r="SDD69" s="10"/>
      <c r="SDE69" s="10"/>
      <c r="SDF69" s="10"/>
      <c r="SDG69" s="10"/>
      <c r="SDH69" s="10"/>
      <c r="SDI69" s="10"/>
      <c r="SDJ69" s="10"/>
      <c r="SDK69" s="10"/>
      <c r="SDL69" s="10"/>
      <c r="SDM69" s="10"/>
      <c r="SDN69" s="10"/>
      <c r="SDO69" s="10"/>
      <c r="SDP69" s="10"/>
      <c r="SDQ69" s="10"/>
      <c r="SDR69" s="10"/>
      <c r="SDS69" s="10"/>
      <c r="SDT69" s="10"/>
      <c r="SDU69" s="10"/>
      <c r="SDV69" s="10"/>
      <c r="SDW69" s="10"/>
      <c r="SDX69" s="10"/>
      <c r="SDY69" s="10"/>
      <c r="SDZ69" s="10"/>
      <c r="SEA69" s="10"/>
      <c r="SEB69" s="10"/>
      <c r="SEC69" s="10"/>
      <c r="SED69" s="10"/>
      <c r="SEE69" s="10"/>
      <c r="SEF69" s="10"/>
      <c r="SEG69" s="10"/>
      <c r="SEH69" s="10"/>
      <c r="SEI69" s="10"/>
      <c r="SEJ69" s="10"/>
      <c r="SEK69" s="10"/>
      <c r="SEL69" s="10"/>
      <c r="SEM69" s="10"/>
      <c r="SEN69" s="10"/>
      <c r="SEO69" s="10"/>
      <c r="SEP69" s="10"/>
      <c r="SEQ69" s="10"/>
      <c r="SER69" s="10"/>
      <c r="SES69" s="10"/>
      <c r="SET69" s="10"/>
      <c r="SEU69" s="10"/>
      <c r="SEV69" s="10"/>
      <c r="SEW69" s="10"/>
      <c r="SEX69" s="10"/>
      <c r="SEY69" s="10"/>
      <c r="SEZ69" s="10"/>
      <c r="SFA69" s="10"/>
      <c r="SFB69" s="10"/>
      <c r="SFC69" s="10"/>
      <c r="SFD69" s="10"/>
      <c r="SFE69" s="10"/>
      <c r="SFF69" s="10"/>
      <c r="SFG69" s="10"/>
      <c r="SFH69" s="10"/>
      <c r="SFI69" s="10"/>
      <c r="SFJ69" s="10"/>
      <c r="SFK69" s="10"/>
      <c r="SFL69" s="10"/>
      <c r="SFM69" s="10"/>
      <c r="SFN69" s="10"/>
      <c r="SFO69" s="10"/>
      <c r="SFP69" s="10"/>
      <c r="SFQ69" s="10"/>
      <c r="SFR69" s="10"/>
      <c r="SFS69" s="10"/>
      <c r="SFT69" s="10"/>
      <c r="SFU69" s="10"/>
      <c r="SFV69" s="10"/>
      <c r="SFW69" s="10"/>
      <c r="SFX69" s="10"/>
      <c r="SFY69" s="10"/>
      <c r="SFZ69" s="10"/>
      <c r="SGA69" s="10"/>
      <c r="SGB69" s="10"/>
      <c r="SGC69" s="10"/>
      <c r="SGD69" s="10"/>
      <c r="SGE69" s="10"/>
      <c r="SGF69" s="10"/>
      <c r="SGG69" s="10"/>
      <c r="SGH69" s="10"/>
      <c r="SGI69" s="10"/>
      <c r="SGJ69" s="10"/>
      <c r="SGK69" s="10"/>
      <c r="SGL69" s="10"/>
      <c r="SGM69" s="10"/>
      <c r="SGN69" s="10"/>
      <c r="SGO69" s="10"/>
      <c r="SGP69" s="10"/>
      <c r="SGQ69" s="10"/>
      <c r="SGR69" s="10"/>
      <c r="SGS69" s="10"/>
      <c r="SGT69" s="10"/>
      <c r="SGU69" s="10"/>
      <c r="SGV69" s="10"/>
      <c r="SGW69" s="10"/>
      <c r="SGX69" s="10"/>
      <c r="SGY69" s="10"/>
      <c r="SGZ69" s="10"/>
      <c r="SHA69" s="10"/>
      <c r="SHB69" s="10"/>
      <c r="SHC69" s="10"/>
      <c r="SHD69" s="10"/>
      <c r="SHE69" s="10"/>
      <c r="SHF69" s="10"/>
      <c r="SHG69" s="10"/>
      <c r="SHH69" s="10"/>
      <c r="SHI69" s="10"/>
      <c r="SHJ69" s="10"/>
      <c r="SHK69" s="10"/>
      <c r="SHL69" s="10"/>
      <c r="SHM69" s="10"/>
      <c r="SHN69" s="10"/>
      <c r="SHO69" s="10"/>
      <c r="SHP69" s="10"/>
      <c r="SHQ69" s="10"/>
      <c r="SHR69" s="10"/>
      <c r="SHS69" s="10"/>
      <c r="SHT69" s="10"/>
      <c r="SHU69" s="10"/>
      <c r="SHV69" s="10"/>
      <c r="SHW69" s="10"/>
      <c r="SHX69" s="10"/>
      <c r="SHY69" s="10"/>
      <c r="SHZ69" s="10"/>
      <c r="SIA69" s="10"/>
      <c r="SIB69" s="10"/>
      <c r="SIC69" s="10"/>
      <c r="SID69" s="10"/>
      <c r="SIE69" s="10"/>
      <c r="SIF69" s="10"/>
      <c r="SIG69" s="10"/>
      <c r="SIH69" s="10"/>
      <c r="SII69" s="10"/>
      <c r="SIJ69" s="10"/>
      <c r="SIK69" s="10"/>
      <c r="SIL69" s="10"/>
      <c r="SIM69" s="10"/>
      <c r="SIN69" s="10"/>
      <c r="SIO69" s="10"/>
      <c r="SIP69" s="10"/>
      <c r="SIQ69" s="10"/>
      <c r="SIR69" s="10"/>
      <c r="SIS69" s="10"/>
      <c r="SIT69" s="10"/>
      <c r="SIU69" s="10"/>
      <c r="SIV69" s="10"/>
      <c r="SIW69" s="10"/>
      <c r="SIX69" s="10"/>
      <c r="SIY69" s="10"/>
      <c r="SIZ69" s="10"/>
      <c r="SJA69" s="10"/>
      <c r="SJB69" s="10"/>
      <c r="SJC69" s="10"/>
      <c r="SJD69" s="10"/>
      <c r="SJE69" s="10"/>
      <c r="SJF69" s="10"/>
      <c r="SJG69" s="10"/>
      <c r="SJH69" s="10"/>
      <c r="SJI69" s="10"/>
      <c r="SJJ69" s="10"/>
      <c r="SJK69" s="10"/>
      <c r="SJL69" s="10"/>
      <c r="SJM69" s="10"/>
      <c r="SJN69" s="10"/>
      <c r="SJO69" s="10"/>
      <c r="SJP69" s="10"/>
      <c r="SJQ69" s="10"/>
      <c r="SJR69" s="10"/>
      <c r="SJS69" s="10"/>
      <c r="SJT69" s="10"/>
      <c r="SJU69" s="10"/>
      <c r="SJV69" s="10"/>
      <c r="SJW69" s="10"/>
      <c r="SJX69" s="10"/>
      <c r="SJY69" s="10"/>
      <c r="SJZ69" s="10"/>
      <c r="SKA69" s="10"/>
      <c r="SKB69" s="10"/>
      <c r="SKC69" s="10"/>
      <c r="SKD69" s="10"/>
      <c r="SKE69" s="10"/>
      <c r="SKF69" s="10"/>
      <c r="SKG69" s="10"/>
      <c r="SKH69" s="10"/>
      <c r="SKI69" s="10"/>
      <c r="SKJ69" s="10"/>
      <c r="SKK69" s="10"/>
      <c r="SKL69" s="10"/>
      <c r="SKM69" s="10"/>
      <c r="SKN69" s="10"/>
      <c r="SKO69" s="10"/>
      <c r="SKP69" s="10"/>
      <c r="SKQ69" s="10"/>
      <c r="SKR69" s="10"/>
      <c r="SKS69" s="10"/>
      <c r="SKT69" s="10"/>
      <c r="SKU69" s="10"/>
      <c r="SKV69" s="10"/>
      <c r="SKW69" s="10"/>
      <c r="SKX69" s="10"/>
      <c r="SKY69" s="10"/>
      <c r="SKZ69" s="10"/>
      <c r="SLA69" s="10"/>
      <c r="SLB69" s="10"/>
      <c r="SLC69" s="10"/>
      <c r="SLD69" s="10"/>
      <c r="SLE69" s="10"/>
      <c r="SLF69" s="10"/>
      <c r="SLG69" s="10"/>
      <c r="SLH69" s="10"/>
      <c r="SLI69" s="10"/>
      <c r="SLJ69" s="10"/>
      <c r="SLK69" s="10"/>
      <c r="SLL69" s="10"/>
      <c r="SLM69" s="10"/>
      <c r="SLN69" s="10"/>
      <c r="SLO69" s="10"/>
      <c r="SLP69" s="10"/>
      <c r="SLQ69" s="10"/>
      <c r="SLR69" s="10"/>
      <c r="SLS69" s="10"/>
      <c r="SLT69" s="10"/>
      <c r="SLU69" s="10"/>
      <c r="SLV69" s="10"/>
      <c r="SLW69" s="10"/>
      <c r="SLX69" s="10"/>
      <c r="SLY69" s="10"/>
      <c r="SLZ69" s="10"/>
      <c r="SMA69" s="10"/>
      <c r="SMB69" s="10"/>
      <c r="SMC69" s="10"/>
      <c r="SMD69" s="10"/>
      <c r="SME69" s="10"/>
      <c r="SMF69" s="10"/>
      <c r="SMG69" s="10"/>
      <c r="SMH69" s="10"/>
      <c r="SMI69" s="10"/>
      <c r="SMJ69" s="10"/>
      <c r="SMK69" s="10"/>
      <c r="SML69" s="10"/>
      <c r="SMM69" s="10"/>
      <c r="SMN69" s="10"/>
      <c r="SMO69" s="10"/>
      <c r="SMP69" s="10"/>
      <c r="SMQ69" s="10"/>
      <c r="SMR69" s="10"/>
      <c r="SMS69" s="10"/>
      <c r="SMT69" s="10"/>
      <c r="SMU69" s="10"/>
      <c r="SMV69" s="10"/>
      <c r="SMW69" s="10"/>
      <c r="SMX69" s="10"/>
      <c r="SMY69" s="10"/>
      <c r="SMZ69" s="10"/>
      <c r="SNA69" s="10"/>
      <c r="SNB69" s="10"/>
      <c r="SNC69" s="10"/>
      <c r="SND69" s="10"/>
      <c r="SNE69" s="10"/>
      <c r="SNF69" s="10"/>
      <c r="SNG69" s="10"/>
      <c r="SNH69" s="10"/>
      <c r="SNI69" s="10"/>
      <c r="SNJ69" s="10"/>
      <c r="SNK69" s="10"/>
      <c r="SNL69" s="10"/>
      <c r="SNM69" s="10"/>
      <c r="SNN69" s="10"/>
      <c r="SNO69" s="10"/>
      <c r="SNP69" s="10"/>
      <c r="SNQ69" s="10"/>
      <c r="SNR69" s="10"/>
      <c r="SNS69" s="10"/>
      <c r="SNT69" s="10"/>
      <c r="SNU69" s="10"/>
      <c r="SNV69" s="10"/>
      <c r="SNW69" s="10"/>
      <c r="SNX69" s="10"/>
      <c r="SNY69" s="10"/>
      <c r="SNZ69" s="10"/>
      <c r="SOA69" s="10"/>
      <c r="SOB69" s="10"/>
      <c r="SOC69" s="10"/>
      <c r="SOD69" s="10"/>
      <c r="SOE69" s="10"/>
      <c r="SOF69" s="10"/>
      <c r="SOG69" s="10"/>
      <c r="SOH69" s="10"/>
      <c r="SOI69" s="10"/>
      <c r="SOJ69" s="10"/>
      <c r="SOK69" s="10"/>
      <c r="SOL69" s="10"/>
      <c r="SOM69" s="10"/>
      <c r="SON69" s="10"/>
      <c r="SOO69" s="10"/>
      <c r="SOP69" s="10"/>
      <c r="SOQ69" s="10"/>
      <c r="SOR69" s="10"/>
      <c r="SOS69" s="10"/>
      <c r="SOT69" s="10"/>
      <c r="SOU69" s="10"/>
      <c r="SOV69" s="10"/>
      <c r="SOW69" s="10"/>
      <c r="SOX69" s="10"/>
      <c r="SOY69" s="10"/>
      <c r="SOZ69" s="10"/>
      <c r="SPA69" s="10"/>
      <c r="SPB69" s="10"/>
      <c r="SPC69" s="10"/>
      <c r="SPD69" s="10"/>
      <c r="SPE69" s="10"/>
      <c r="SPF69" s="10"/>
      <c r="SPG69" s="10"/>
      <c r="SPH69" s="10"/>
      <c r="SPI69" s="10"/>
      <c r="SPJ69" s="10"/>
      <c r="SPK69" s="10"/>
      <c r="SPL69" s="10"/>
      <c r="SPM69" s="10"/>
      <c r="SPN69" s="10"/>
      <c r="SPO69" s="10"/>
      <c r="SPP69" s="10"/>
      <c r="SPQ69" s="10"/>
      <c r="SPR69" s="10"/>
      <c r="SPS69" s="10"/>
      <c r="SPT69" s="10"/>
      <c r="SPU69" s="10"/>
      <c r="SPV69" s="10"/>
      <c r="SPW69" s="10"/>
      <c r="SPX69" s="10"/>
      <c r="SPY69" s="10"/>
      <c r="SPZ69" s="10"/>
      <c r="SQA69" s="10"/>
      <c r="SQB69" s="10"/>
      <c r="SQC69" s="10"/>
      <c r="SQD69" s="10"/>
      <c r="SQE69" s="10"/>
      <c r="SQF69" s="10"/>
      <c r="SQG69" s="10"/>
      <c r="SQH69" s="10"/>
      <c r="SQI69" s="10"/>
      <c r="SQJ69" s="10"/>
      <c r="SQK69" s="10"/>
      <c r="SQL69" s="10"/>
      <c r="SQM69" s="10"/>
      <c r="SQN69" s="10"/>
      <c r="SQO69" s="10"/>
      <c r="SQP69" s="10"/>
      <c r="SQQ69" s="10"/>
      <c r="SQR69" s="10"/>
      <c r="SQS69" s="10"/>
      <c r="SQT69" s="10"/>
      <c r="SQU69" s="10"/>
      <c r="SQV69" s="10"/>
      <c r="SQW69" s="10"/>
      <c r="SQX69" s="10"/>
      <c r="SQY69" s="10"/>
      <c r="SQZ69" s="10"/>
      <c r="SRA69" s="10"/>
      <c r="SRB69" s="10"/>
      <c r="SRC69" s="10"/>
      <c r="SRD69" s="10"/>
      <c r="SRE69" s="10"/>
      <c r="SRF69" s="10"/>
      <c r="SRG69" s="10"/>
      <c r="SRH69" s="10"/>
      <c r="SRI69" s="10"/>
      <c r="SRJ69" s="10"/>
      <c r="SRK69" s="10"/>
      <c r="SRL69" s="10"/>
      <c r="SRM69" s="10"/>
      <c r="SRN69" s="10"/>
      <c r="SRO69" s="10"/>
      <c r="SRP69" s="10"/>
      <c r="SRQ69" s="10"/>
      <c r="SRR69" s="10"/>
      <c r="SRS69" s="10"/>
      <c r="SRT69" s="10"/>
      <c r="SRU69" s="10"/>
      <c r="SRV69" s="10"/>
      <c r="SRW69" s="10"/>
      <c r="SRX69" s="10"/>
      <c r="SRY69" s="10"/>
      <c r="SRZ69" s="10"/>
      <c r="SSA69" s="10"/>
      <c r="SSB69" s="10"/>
      <c r="SSC69" s="10"/>
      <c r="SSD69" s="10"/>
      <c r="SSE69" s="10"/>
      <c r="SSF69" s="10"/>
      <c r="SSG69" s="10"/>
      <c r="SSH69" s="10"/>
      <c r="SSI69" s="10"/>
      <c r="SSJ69" s="10"/>
      <c r="SSK69" s="10"/>
      <c r="SSL69" s="10"/>
      <c r="SSM69" s="10"/>
      <c r="SSN69" s="10"/>
      <c r="SSO69" s="10"/>
      <c r="SSP69" s="10"/>
      <c r="SSQ69" s="10"/>
      <c r="SSR69" s="10"/>
      <c r="SSS69" s="10"/>
      <c r="SST69" s="10"/>
      <c r="SSU69" s="10"/>
      <c r="SSV69" s="10"/>
      <c r="SSW69" s="10"/>
      <c r="SSX69" s="10"/>
      <c r="SSY69" s="10"/>
      <c r="SSZ69" s="10"/>
      <c r="STA69" s="10"/>
      <c r="STB69" s="10"/>
      <c r="STC69" s="10"/>
      <c r="STD69" s="10"/>
      <c r="STE69" s="10"/>
      <c r="STF69" s="10"/>
      <c r="STG69" s="10"/>
      <c r="STH69" s="10"/>
      <c r="STI69" s="10"/>
      <c r="STJ69" s="10"/>
      <c r="STK69" s="10"/>
      <c r="STL69" s="10"/>
      <c r="STM69" s="10"/>
      <c r="STN69" s="10"/>
      <c r="STO69" s="10"/>
      <c r="STP69" s="10"/>
      <c r="STQ69" s="10"/>
      <c r="STR69" s="10"/>
      <c r="STS69" s="10"/>
      <c r="STT69" s="10"/>
      <c r="STU69" s="10"/>
      <c r="STV69" s="10"/>
      <c r="STW69" s="10"/>
      <c r="STX69" s="10"/>
      <c r="STY69" s="10"/>
      <c r="STZ69" s="10"/>
      <c r="SUA69" s="10"/>
      <c r="SUB69" s="10"/>
      <c r="SUC69" s="10"/>
      <c r="SUD69" s="10"/>
      <c r="SUE69" s="10"/>
      <c r="SUF69" s="10"/>
      <c r="SUG69" s="10"/>
      <c r="SUH69" s="10"/>
      <c r="SUI69" s="10"/>
      <c r="SUJ69" s="10"/>
      <c r="SUK69" s="10"/>
      <c r="SUL69" s="10"/>
      <c r="SUM69" s="10"/>
      <c r="SUN69" s="10"/>
      <c r="SUO69" s="10"/>
      <c r="SUP69" s="10"/>
      <c r="SUQ69" s="10"/>
      <c r="SUR69" s="10"/>
      <c r="SUS69" s="10"/>
      <c r="SUT69" s="10"/>
      <c r="SUU69" s="10"/>
      <c r="SUV69" s="10"/>
      <c r="SUW69" s="10"/>
      <c r="SUX69" s="10"/>
      <c r="SUY69" s="10"/>
      <c r="SUZ69" s="10"/>
      <c r="SVA69" s="10"/>
      <c r="SVB69" s="10"/>
      <c r="SVC69" s="10"/>
      <c r="SVD69" s="10"/>
      <c r="SVE69" s="10"/>
      <c r="SVF69" s="10"/>
      <c r="SVG69" s="10"/>
      <c r="SVH69" s="10"/>
      <c r="SVI69" s="10"/>
      <c r="SVJ69" s="10"/>
      <c r="SVK69" s="10"/>
      <c r="SVL69" s="10"/>
      <c r="SVM69" s="10"/>
      <c r="SVN69" s="10"/>
      <c r="SVO69" s="10"/>
      <c r="SVP69" s="10"/>
      <c r="SVQ69" s="10"/>
      <c r="SVR69" s="10"/>
      <c r="SVS69" s="10"/>
      <c r="SVT69" s="10"/>
      <c r="SVU69" s="10"/>
      <c r="SVV69" s="10"/>
      <c r="SVW69" s="10"/>
      <c r="SVX69" s="10"/>
      <c r="SVY69" s="10"/>
      <c r="SVZ69" s="10"/>
      <c r="SWA69" s="10"/>
      <c r="SWB69" s="10"/>
      <c r="SWC69" s="10"/>
      <c r="SWD69" s="10"/>
      <c r="SWE69" s="10"/>
      <c r="SWF69" s="10"/>
      <c r="SWG69" s="10"/>
      <c r="SWH69" s="10"/>
      <c r="SWI69" s="10"/>
      <c r="SWJ69" s="10"/>
      <c r="SWK69" s="10"/>
      <c r="SWL69" s="10"/>
      <c r="SWM69" s="10"/>
      <c r="SWN69" s="10"/>
      <c r="SWO69" s="10"/>
      <c r="SWP69" s="10"/>
      <c r="SWQ69" s="10"/>
      <c r="SWR69" s="10"/>
      <c r="SWS69" s="10"/>
      <c r="SWT69" s="10"/>
      <c r="SWU69" s="10"/>
      <c r="SWV69" s="10"/>
      <c r="SWW69" s="10"/>
      <c r="SWX69" s="10"/>
      <c r="SWY69" s="10"/>
      <c r="SWZ69" s="10"/>
      <c r="SXA69" s="10"/>
      <c r="SXB69" s="10"/>
      <c r="SXC69" s="10"/>
      <c r="SXD69" s="10"/>
      <c r="SXE69" s="10"/>
      <c r="SXF69" s="10"/>
      <c r="SXG69" s="10"/>
      <c r="SXH69" s="10"/>
      <c r="SXI69" s="10"/>
      <c r="SXJ69" s="10"/>
      <c r="SXK69" s="10"/>
      <c r="SXL69" s="10"/>
      <c r="SXM69" s="10"/>
      <c r="SXN69" s="10"/>
      <c r="SXO69" s="10"/>
      <c r="SXP69" s="10"/>
      <c r="SXQ69" s="10"/>
      <c r="SXR69" s="10"/>
      <c r="SXS69" s="10"/>
      <c r="SXT69" s="10"/>
      <c r="SXU69" s="10"/>
      <c r="SXV69" s="10"/>
      <c r="SXW69" s="10"/>
      <c r="SXX69" s="10"/>
      <c r="SXY69" s="10"/>
      <c r="SXZ69" s="10"/>
      <c r="SYA69" s="10"/>
      <c r="SYB69" s="10"/>
      <c r="SYC69" s="10"/>
      <c r="SYD69" s="10"/>
      <c r="SYE69" s="10"/>
      <c r="SYF69" s="10"/>
      <c r="SYG69" s="10"/>
      <c r="SYH69" s="10"/>
      <c r="SYI69" s="10"/>
      <c r="SYJ69" s="10"/>
      <c r="SYK69" s="10"/>
      <c r="SYL69" s="10"/>
      <c r="SYM69" s="10"/>
      <c r="SYN69" s="10"/>
      <c r="SYO69" s="10"/>
      <c r="SYP69" s="10"/>
      <c r="SYQ69" s="10"/>
      <c r="SYR69" s="10"/>
      <c r="SYS69" s="10"/>
      <c r="SYT69" s="10"/>
      <c r="SYU69" s="10"/>
      <c r="SYV69" s="10"/>
      <c r="SYW69" s="10"/>
      <c r="SYX69" s="10"/>
      <c r="SYY69" s="10"/>
      <c r="SYZ69" s="10"/>
      <c r="SZA69" s="10"/>
      <c r="SZB69" s="10"/>
      <c r="SZC69" s="10"/>
      <c r="SZD69" s="10"/>
      <c r="SZE69" s="10"/>
      <c r="SZF69" s="10"/>
      <c r="SZG69" s="10"/>
      <c r="SZH69" s="10"/>
      <c r="SZI69" s="10"/>
      <c r="SZJ69" s="10"/>
      <c r="SZK69" s="10"/>
      <c r="SZL69" s="10"/>
      <c r="SZM69" s="10"/>
      <c r="SZN69" s="10"/>
      <c r="SZO69" s="10"/>
      <c r="SZP69" s="10"/>
      <c r="SZQ69" s="10"/>
      <c r="SZR69" s="10"/>
      <c r="SZS69" s="10"/>
      <c r="SZT69" s="10"/>
      <c r="SZU69" s="10"/>
      <c r="SZV69" s="10"/>
      <c r="SZW69" s="10"/>
      <c r="SZX69" s="10"/>
      <c r="SZY69" s="10"/>
      <c r="SZZ69" s="10"/>
      <c r="TAA69" s="10"/>
      <c r="TAB69" s="10"/>
      <c r="TAC69" s="10"/>
      <c r="TAD69" s="10"/>
      <c r="TAE69" s="10"/>
      <c r="TAF69" s="10"/>
      <c r="TAG69" s="10"/>
      <c r="TAH69" s="10"/>
      <c r="TAI69" s="10"/>
      <c r="TAJ69" s="10"/>
      <c r="TAK69" s="10"/>
      <c r="TAL69" s="10"/>
      <c r="TAM69" s="10"/>
      <c r="TAN69" s="10"/>
      <c r="TAO69" s="10"/>
      <c r="TAP69" s="10"/>
      <c r="TAQ69" s="10"/>
      <c r="TAR69" s="10"/>
      <c r="TAS69" s="10"/>
      <c r="TAT69" s="10"/>
      <c r="TAU69" s="10"/>
      <c r="TAV69" s="10"/>
      <c r="TAW69" s="10"/>
      <c r="TAX69" s="10"/>
      <c r="TAY69" s="10"/>
      <c r="TAZ69" s="10"/>
      <c r="TBA69" s="10"/>
      <c r="TBB69" s="10"/>
      <c r="TBC69" s="10"/>
      <c r="TBD69" s="10"/>
      <c r="TBE69" s="10"/>
      <c r="TBF69" s="10"/>
      <c r="TBG69" s="10"/>
      <c r="TBH69" s="10"/>
      <c r="TBI69" s="10"/>
      <c r="TBJ69" s="10"/>
      <c r="TBK69" s="10"/>
      <c r="TBL69" s="10"/>
      <c r="TBM69" s="10"/>
      <c r="TBN69" s="10"/>
      <c r="TBO69" s="10"/>
      <c r="TBP69" s="10"/>
      <c r="TBQ69" s="10"/>
      <c r="TBR69" s="10"/>
      <c r="TBS69" s="10"/>
      <c r="TBT69" s="10"/>
      <c r="TBU69" s="10"/>
      <c r="TBV69" s="10"/>
      <c r="TBW69" s="10"/>
      <c r="TBX69" s="10"/>
      <c r="TBY69" s="10"/>
      <c r="TBZ69" s="10"/>
      <c r="TCA69" s="10"/>
      <c r="TCB69" s="10"/>
      <c r="TCC69" s="10"/>
      <c r="TCD69" s="10"/>
      <c r="TCE69" s="10"/>
      <c r="TCF69" s="10"/>
      <c r="TCG69" s="10"/>
      <c r="TCH69" s="10"/>
      <c r="TCI69" s="10"/>
      <c r="TCJ69" s="10"/>
      <c r="TCK69" s="10"/>
      <c r="TCL69" s="10"/>
      <c r="TCM69" s="10"/>
      <c r="TCN69" s="10"/>
      <c r="TCO69" s="10"/>
      <c r="TCP69" s="10"/>
      <c r="TCQ69" s="10"/>
      <c r="TCR69" s="10"/>
      <c r="TCS69" s="10"/>
      <c r="TCT69" s="10"/>
      <c r="TCU69" s="10"/>
      <c r="TCV69" s="10"/>
      <c r="TCW69" s="10"/>
      <c r="TCX69" s="10"/>
      <c r="TCY69" s="10"/>
      <c r="TCZ69" s="10"/>
      <c r="TDA69" s="10"/>
      <c r="TDB69" s="10"/>
      <c r="TDC69" s="10"/>
      <c r="TDD69" s="10"/>
      <c r="TDE69" s="10"/>
      <c r="TDF69" s="10"/>
      <c r="TDG69" s="10"/>
      <c r="TDH69" s="10"/>
      <c r="TDI69" s="10"/>
      <c r="TDJ69" s="10"/>
      <c r="TDK69" s="10"/>
      <c r="TDL69" s="10"/>
      <c r="TDM69" s="10"/>
      <c r="TDN69" s="10"/>
      <c r="TDO69" s="10"/>
      <c r="TDP69" s="10"/>
      <c r="TDQ69" s="10"/>
      <c r="TDR69" s="10"/>
      <c r="TDS69" s="10"/>
      <c r="TDT69" s="10"/>
      <c r="TDU69" s="10"/>
      <c r="TDV69" s="10"/>
      <c r="TDW69" s="10"/>
      <c r="TDX69" s="10"/>
      <c r="TDY69" s="10"/>
      <c r="TDZ69" s="10"/>
      <c r="TEA69" s="10"/>
      <c r="TEB69" s="10"/>
      <c r="TEC69" s="10"/>
      <c r="TED69" s="10"/>
      <c r="TEE69" s="10"/>
      <c r="TEF69" s="10"/>
      <c r="TEG69" s="10"/>
      <c r="TEH69" s="10"/>
      <c r="TEI69" s="10"/>
      <c r="TEJ69" s="10"/>
      <c r="TEK69" s="10"/>
      <c r="TEL69" s="10"/>
      <c r="TEM69" s="10"/>
      <c r="TEN69" s="10"/>
      <c r="TEO69" s="10"/>
      <c r="TEP69" s="10"/>
      <c r="TEQ69" s="10"/>
      <c r="TER69" s="10"/>
      <c r="TES69" s="10"/>
      <c r="TET69" s="10"/>
      <c r="TEU69" s="10"/>
      <c r="TEV69" s="10"/>
      <c r="TEW69" s="10"/>
      <c r="TEX69" s="10"/>
      <c r="TEY69" s="10"/>
      <c r="TEZ69" s="10"/>
      <c r="TFA69" s="10"/>
      <c r="TFB69" s="10"/>
      <c r="TFC69" s="10"/>
      <c r="TFD69" s="10"/>
      <c r="TFE69" s="10"/>
      <c r="TFF69" s="10"/>
      <c r="TFG69" s="10"/>
      <c r="TFH69" s="10"/>
      <c r="TFI69" s="10"/>
      <c r="TFJ69" s="10"/>
      <c r="TFK69" s="10"/>
      <c r="TFL69" s="10"/>
      <c r="TFM69" s="10"/>
      <c r="TFN69" s="10"/>
      <c r="TFO69" s="10"/>
      <c r="TFP69" s="10"/>
      <c r="TFQ69" s="10"/>
      <c r="TFR69" s="10"/>
      <c r="TFS69" s="10"/>
      <c r="TFT69" s="10"/>
      <c r="TFU69" s="10"/>
      <c r="TFV69" s="10"/>
      <c r="TFW69" s="10"/>
      <c r="TFX69" s="10"/>
      <c r="TFY69" s="10"/>
      <c r="TFZ69" s="10"/>
      <c r="TGA69" s="10"/>
      <c r="TGB69" s="10"/>
      <c r="TGC69" s="10"/>
      <c r="TGD69" s="10"/>
      <c r="TGE69" s="10"/>
      <c r="TGF69" s="10"/>
      <c r="TGG69" s="10"/>
      <c r="TGH69" s="10"/>
      <c r="TGI69" s="10"/>
      <c r="TGJ69" s="10"/>
      <c r="TGK69" s="10"/>
      <c r="TGL69" s="10"/>
      <c r="TGM69" s="10"/>
      <c r="TGN69" s="10"/>
      <c r="TGO69" s="10"/>
      <c r="TGP69" s="10"/>
      <c r="TGQ69" s="10"/>
      <c r="TGR69" s="10"/>
      <c r="TGS69" s="10"/>
      <c r="TGT69" s="10"/>
      <c r="TGU69" s="10"/>
      <c r="TGV69" s="10"/>
      <c r="TGW69" s="10"/>
      <c r="TGX69" s="10"/>
      <c r="TGY69" s="10"/>
      <c r="TGZ69" s="10"/>
      <c r="THA69" s="10"/>
      <c r="THB69" s="10"/>
      <c r="THC69" s="10"/>
      <c r="THD69" s="10"/>
      <c r="THE69" s="10"/>
      <c r="THF69" s="10"/>
      <c r="THG69" s="10"/>
      <c r="THH69" s="10"/>
      <c r="THI69" s="10"/>
      <c r="THJ69" s="10"/>
      <c r="THK69" s="10"/>
      <c r="THL69" s="10"/>
      <c r="THM69" s="10"/>
      <c r="THN69" s="10"/>
      <c r="THO69" s="10"/>
      <c r="THP69" s="10"/>
      <c r="THQ69" s="10"/>
      <c r="THR69" s="10"/>
      <c r="THS69" s="10"/>
      <c r="THT69" s="10"/>
      <c r="THU69" s="10"/>
      <c r="THV69" s="10"/>
      <c r="THW69" s="10"/>
      <c r="THX69" s="10"/>
      <c r="THY69" s="10"/>
      <c r="THZ69" s="10"/>
      <c r="TIA69" s="10"/>
      <c r="TIB69" s="10"/>
      <c r="TIC69" s="10"/>
      <c r="TID69" s="10"/>
      <c r="TIE69" s="10"/>
      <c r="TIF69" s="10"/>
      <c r="TIG69" s="10"/>
      <c r="TIH69" s="10"/>
      <c r="TII69" s="10"/>
      <c r="TIJ69" s="10"/>
      <c r="TIK69" s="10"/>
      <c r="TIL69" s="10"/>
      <c r="TIM69" s="10"/>
      <c r="TIN69" s="10"/>
      <c r="TIO69" s="10"/>
      <c r="TIP69" s="10"/>
      <c r="TIQ69" s="10"/>
      <c r="TIR69" s="10"/>
      <c r="TIS69" s="10"/>
      <c r="TIT69" s="10"/>
      <c r="TIU69" s="10"/>
      <c r="TIV69" s="10"/>
      <c r="TIW69" s="10"/>
      <c r="TIX69" s="10"/>
      <c r="TIY69" s="10"/>
      <c r="TIZ69" s="10"/>
      <c r="TJA69" s="10"/>
      <c r="TJB69" s="10"/>
      <c r="TJC69" s="10"/>
      <c r="TJD69" s="10"/>
      <c r="TJE69" s="10"/>
      <c r="TJF69" s="10"/>
      <c r="TJG69" s="10"/>
      <c r="TJH69" s="10"/>
      <c r="TJI69" s="10"/>
      <c r="TJJ69" s="10"/>
      <c r="TJK69" s="10"/>
      <c r="TJL69" s="10"/>
      <c r="TJM69" s="10"/>
      <c r="TJN69" s="10"/>
      <c r="TJO69" s="10"/>
      <c r="TJP69" s="10"/>
      <c r="TJQ69" s="10"/>
      <c r="TJR69" s="10"/>
      <c r="TJS69" s="10"/>
      <c r="TJT69" s="10"/>
      <c r="TJU69" s="10"/>
      <c r="TJV69" s="10"/>
      <c r="TJW69" s="10"/>
      <c r="TJX69" s="10"/>
      <c r="TJY69" s="10"/>
      <c r="TJZ69" s="10"/>
      <c r="TKA69" s="10"/>
      <c r="TKB69" s="10"/>
      <c r="TKC69" s="10"/>
      <c r="TKD69" s="10"/>
      <c r="TKE69" s="10"/>
      <c r="TKF69" s="10"/>
      <c r="TKG69" s="10"/>
      <c r="TKH69" s="10"/>
      <c r="TKI69" s="10"/>
      <c r="TKJ69" s="10"/>
      <c r="TKK69" s="10"/>
      <c r="TKL69" s="10"/>
      <c r="TKM69" s="10"/>
      <c r="TKN69" s="10"/>
      <c r="TKO69" s="10"/>
      <c r="TKP69" s="10"/>
      <c r="TKQ69" s="10"/>
      <c r="TKR69" s="10"/>
      <c r="TKS69" s="10"/>
      <c r="TKT69" s="10"/>
      <c r="TKU69" s="10"/>
      <c r="TKV69" s="10"/>
      <c r="TKW69" s="10"/>
      <c r="TKX69" s="10"/>
      <c r="TKY69" s="10"/>
      <c r="TKZ69" s="10"/>
      <c r="TLA69" s="10"/>
      <c r="TLB69" s="10"/>
      <c r="TLC69" s="10"/>
      <c r="TLD69" s="10"/>
      <c r="TLE69" s="10"/>
      <c r="TLF69" s="10"/>
      <c r="TLG69" s="10"/>
      <c r="TLH69" s="10"/>
      <c r="TLI69" s="10"/>
      <c r="TLJ69" s="10"/>
      <c r="TLK69" s="10"/>
      <c r="TLL69" s="10"/>
      <c r="TLM69" s="10"/>
      <c r="TLN69" s="10"/>
      <c r="TLO69" s="10"/>
      <c r="TLP69" s="10"/>
      <c r="TLQ69" s="10"/>
      <c r="TLR69" s="10"/>
      <c r="TLS69" s="10"/>
      <c r="TLT69" s="10"/>
      <c r="TLU69" s="10"/>
      <c r="TLV69" s="10"/>
      <c r="TLW69" s="10"/>
      <c r="TLX69" s="10"/>
      <c r="TLY69" s="10"/>
      <c r="TLZ69" s="10"/>
      <c r="TMA69" s="10"/>
      <c r="TMB69" s="10"/>
      <c r="TMC69" s="10"/>
      <c r="TMD69" s="10"/>
      <c r="TME69" s="10"/>
      <c r="TMF69" s="10"/>
      <c r="TMG69" s="10"/>
      <c r="TMH69" s="10"/>
      <c r="TMI69" s="10"/>
      <c r="TMJ69" s="10"/>
      <c r="TMK69" s="10"/>
      <c r="TML69" s="10"/>
      <c r="TMM69" s="10"/>
      <c r="TMN69" s="10"/>
      <c r="TMO69" s="10"/>
      <c r="TMP69" s="10"/>
      <c r="TMQ69" s="10"/>
      <c r="TMR69" s="10"/>
      <c r="TMS69" s="10"/>
      <c r="TMT69" s="10"/>
      <c r="TMU69" s="10"/>
      <c r="TMV69" s="10"/>
      <c r="TMW69" s="10"/>
      <c r="TMX69" s="10"/>
      <c r="TMY69" s="10"/>
      <c r="TMZ69" s="10"/>
      <c r="TNA69" s="10"/>
      <c r="TNB69" s="10"/>
      <c r="TNC69" s="10"/>
      <c r="TND69" s="10"/>
      <c r="TNE69" s="10"/>
      <c r="TNF69" s="10"/>
      <c r="TNG69" s="10"/>
      <c r="TNH69" s="10"/>
      <c r="TNI69" s="10"/>
      <c r="TNJ69" s="10"/>
      <c r="TNK69" s="10"/>
      <c r="TNL69" s="10"/>
      <c r="TNM69" s="10"/>
      <c r="TNN69" s="10"/>
      <c r="TNO69" s="10"/>
      <c r="TNP69" s="10"/>
      <c r="TNQ69" s="10"/>
      <c r="TNR69" s="10"/>
      <c r="TNS69" s="10"/>
      <c r="TNT69" s="10"/>
      <c r="TNU69" s="10"/>
      <c r="TNV69" s="10"/>
      <c r="TNW69" s="10"/>
      <c r="TNX69" s="10"/>
      <c r="TNY69" s="10"/>
      <c r="TNZ69" s="10"/>
      <c r="TOA69" s="10"/>
      <c r="TOB69" s="10"/>
      <c r="TOC69" s="10"/>
      <c r="TOD69" s="10"/>
      <c r="TOE69" s="10"/>
      <c r="TOF69" s="10"/>
      <c r="TOG69" s="10"/>
      <c r="TOH69" s="10"/>
      <c r="TOI69" s="10"/>
      <c r="TOJ69" s="10"/>
      <c r="TOK69" s="10"/>
      <c r="TOL69" s="10"/>
      <c r="TOM69" s="10"/>
      <c r="TON69" s="10"/>
      <c r="TOO69" s="10"/>
      <c r="TOP69" s="10"/>
      <c r="TOQ69" s="10"/>
      <c r="TOR69" s="10"/>
      <c r="TOS69" s="10"/>
      <c r="TOT69" s="10"/>
      <c r="TOU69" s="10"/>
      <c r="TOV69" s="10"/>
      <c r="TOW69" s="10"/>
      <c r="TOX69" s="10"/>
      <c r="TOY69" s="10"/>
      <c r="TOZ69" s="10"/>
      <c r="TPA69" s="10"/>
      <c r="TPB69" s="10"/>
      <c r="TPC69" s="10"/>
      <c r="TPD69" s="10"/>
      <c r="TPE69" s="10"/>
      <c r="TPF69" s="10"/>
      <c r="TPG69" s="10"/>
      <c r="TPH69" s="10"/>
      <c r="TPI69" s="10"/>
      <c r="TPJ69" s="10"/>
      <c r="TPK69" s="10"/>
      <c r="TPL69" s="10"/>
      <c r="TPM69" s="10"/>
      <c r="TPN69" s="10"/>
      <c r="TPO69" s="10"/>
      <c r="TPP69" s="10"/>
      <c r="TPQ69" s="10"/>
      <c r="TPR69" s="10"/>
      <c r="TPS69" s="10"/>
      <c r="TPT69" s="10"/>
      <c r="TPU69" s="10"/>
      <c r="TPV69" s="10"/>
      <c r="TPW69" s="10"/>
      <c r="TPX69" s="10"/>
      <c r="TPY69" s="10"/>
      <c r="TPZ69" s="10"/>
      <c r="TQA69" s="10"/>
      <c r="TQB69" s="10"/>
      <c r="TQC69" s="10"/>
      <c r="TQD69" s="10"/>
      <c r="TQE69" s="10"/>
      <c r="TQF69" s="10"/>
      <c r="TQG69" s="10"/>
      <c r="TQH69" s="10"/>
      <c r="TQI69" s="10"/>
      <c r="TQJ69" s="10"/>
      <c r="TQK69" s="10"/>
      <c r="TQL69" s="10"/>
      <c r="TQM69" s="10"/>
      <c r="TQN69" s="10"/>
      <c r="TQO69" s="10"/>
      <c r="TQP69" s="10"/>
      <c r="TQQ69" s="10"/>
      <c r="TQR69" s="10"/>
      <c r="TQS69" s="10"/>
      <c r="TQT69" s="10"/>
      <c r="TQU69" s="10"/>
      <c r="TQV69" s="10"/>
      <c r="TQW69" s="10"/>
      <c r="TQX69" s="10"/>
      <c r="TQY69" s="10"/>
      <c r="TQZ69" s="10"/>
      <c r="TRA69" s="10"/>
      <c r="TRB69" s="10"/>
      <c r="TRC69" s="10"/>
      <c r="TRD69" s="10"/>
      <c r="TRE69" s="10"/>
      <c r="TRF69" s="10"/>
      <c r="TRG69" s="10"/>
      <c r="TRH69" s="10"/>
      <c r="TRI69" s="10"/>
      <c r="TRJ69" s="10"/>
      <c r="TRK69" s="10"/>
      <c r="TRL69" s="10"/>
      <c r="TRM69" s="10"/>
      <c r="TRN69" s="10"/>
      <c r="TRO69" s="10"/>
      <c r="TRP69" s="10"/>
      <c r="TRQ69" s="10"/>
      <c r="TRR69" s="10"/>
      <c r="TRS69" s="10"/>
      <c r="TRT69" s="10"/>
      <c r="TRU69" s="10"/>
      <c r="TRV69" s="10"/>
      <c r="TRW69" s="10"/>
      <c r="TRX69" s="10"/>
      <c r="TRY69" s="10"/>
      <c r="TRZ69" s="10"/>
      <c r="TSA69" s="10"/>
      <c r="TSB69" s="10"/>
      <c r="TSC69" s="10"/>
      <c r="TSD69" s="10"/>
      <c r="TSE69" s="10"/>
      <c r="TSF69" s="10"/>
      <c r="TSG69" s="10"/>
      <c r="TSH69" s="10"/>
      <c r="TSI69" s="10"/>
      <c r="TSJ69" s="10"/>
      <c r="TSK69" s="10"/>
      <c r="TSL69" s="10"/>
      <c r="TSM69" s="10"/>
      <c r="TSN69" s="10"/>
      <c r="TSO69" s="10"/>
      <c r="TSP69" s="10"/>
      <c r="TSQ69" s="10"/>
      <c r="TSR69" s="10"/>
      <c r="TSS69" s="10"/>
      <c r="TST69" s="10"/>
      <c r="TSU69" s="10"/>
      <c r="TSV69" s="10"/>
      <c r="TSW69" s="10"/>
      <c r="TSX69" s="10"/>
      <c r="TSY69" s="10"/>
      <c r="TSZ69" s="10"/>
      <c r="TTA69" s="10"/>
      <c r="TTB69" s="10"/>
      <c r="TTC69" s="10"/>
      <c r="TTD69" s="10"/>
      <c r="TTE69" s="10"/>
      <c r="TTF69" s="10"/>
      <c r="TTG69" s="10"/>
      <c r="TTH69" s="10"/>
      <c r="TTI69" s="10"/>
      <c r="TTJ69" s="10"/>
      <c r="TTK69" s="10"/>
      <c r="TTL69" s="10"/>
      <c r="TTM69" s="10"/>
      <c r="TTN69" s="10"/>
      <c r="TTO69" s="10"/>
      <c r="TTP69" s="10"/>
      <c r="TTQ69" s="10"/>
      <c r="TTR69" s="10"/>
      <c r="TTS69" s="10"/>
      <c r="TTT69" s="10"/>
      <c r="TTU69" s="10"/>
      <c r="TTV69" s="10"/>
      <c r="TTW69" s="10"/>
      <c r="TTX69" s="10"/>
      <c r="TTY69" s="10"/>
      <c r="TTZ69" s="10"/>
      <c r="TUA69" s="10"/>
      <c r="TUB69" s="10"/>
      <c r="TUC69" s="10"/>
      <c r="TUD69" s="10"/>
      <c r="TUE69" s="10"/>
      <c r="TUF69" s="10"/>
      <c r="TUG69" s="10"/>
      <c r="TUH69" s="10"/>
      <c r="TUI69" s="10"/>
      <c r="TUJ69" s="10"/>
      <c r="TUK69" s="10"/>
      <c r="TUL69" s="10"/>
      <c r="TUM69" s="10"/>
      <c r="TUN69" s="10"/>
      <c r="TUO69" s="10"/>
      <c r="TUP69" s="10"/>
      <c r="TUQ69" s="10"/>
      <c r="TUR69" s="10"/>
      <c r="TUS69" s="10"/>
      <c r="TUT69" s="10"/>
      <c r="TUU69" s="10"/>
      <c r="TUV69" s="10"/>
      <c r="TUW69" s="10"/>
      <c r="TUX69" s="10"/>
      <c r="TUY69" s="10"/>
      <c r="TUZ69" s="10"/>
      <c r="TVA69" s="10"/>
      <c r="TVB69" s="10"/>
      <c r="TVC69" s="10"/>
      <c r="TVD69" s="10"/>
      <c r="TVE69" s="10"/>
      <c r="TVF69" s="10"/>
      <c r="TVG69" s="10"/>
      <c r="TVH69" s="10"/>
      <c r="TVI69" s="10"/>
      <c r="TVJ69" s="10"/>
      <c r="TVK69" s="10"/>
      <c r="TVL69" s="10"/>
      <c r="TVM69" s="10"/>
      <c r="TVN69" s="10"/>
      <c r="TVO69" s="10"/>
      <c r="TVP69" s="10"/>
      <c r="TVQ69" s="10"/>
      <c r="TVR69" s="10"/>
      <c r="TVS69" s="10"/>
      <c r="TVT69" s="10"/>
      <c r="TVU69" s="10"/>
      <c r="TVV69" s="10"/>
      <c r="TVW69" s="10"/>
      <c r="TVX69" s="10"/>
      <c r="TVY69" s="10"/>
      <c r="TVZ69" s="10"/>
      <c r="TWA69" s="10"/>
      <c r="TWB69" s="10"/>
      <c r="TWC69" s="10"/>
      <c r="TWD69" s="10"/>
      <c r="TWE69" s="10"/>
      <c r="TWF69" s="10"/>
      <c r="TWG69" s="10"/>
      <c r="TWH69" s="10"/>
      <c r="TWI69" s="10"/>
      <c r="TWJ69" s="10"/>
      <c r="TWK69" s="10"/>
      <c r="TWL69" s="10"/>
      <c r="TWM69" s="10"/>
      <c r="TWN69" s="10"/>
      <c r="TWO69" s="10"/>
      <c r="TWP69" s="10"/>
      <c r="TWQ69" s="10"/>
      <c r="TWR69" s="10"/>
      <c r="TWS69" s="10"/>
      <c r="TWT69" s="10"/>
      <c r="TWU69" s="10"/>
      <c r="TWV69" s="10"/>
      <c r="TWW69" s="10"/>
      <c r="TWX69" s="10"/>
      <c r="TWY69" s="10"/>
      <c r="TWZ69" s="10"/>
      <c r="TXA69" s="10"/>
      <c r="TXB69" s="10"/>
      <c r="TXC69" s="10"/>
      <c r="TXD69" s="10"/>
      <c r="TXE69" s="10"/>
      <c r="TXF69" s="10"/>
      <c r="TXG69" s="10"/>
      <c r="TXH69" s="10"/>
      <c r="TXI69" s="10"/>
      <c r="TXJ69" s="10"/>
      <c r="TXK69" s="10"/>
      <c r="TXL69" s="10"/>
      <c r="TXM69" s="10"/>
      <c r="TXN69" s="10"/>
      <c r="TXO69" s="10"/>
      <c r="TXP69" s="10"/>
      <c r="TXQ69" s="10"/>
      <c r="TXR69" s="10"/>
      <c r="TXS69" s="10"/>
      <c r="TXT69" s="10"/>
      <c r="TXU69" s="10"/>
      <c r="TXV69" s="10"/>
      <c r="TXW69" s="10"/>
      <c r="TXX69" s="10"/>
      <c r="TXY69" s="10"/>
      <c r="TXZ69" s="10"/>
      <c r="TYA69" s="10"/>
      <c r="TYB69" s="10"/>
      <c r="TYC69" s="10"/>
      <c r="TYD69" s="10"/>
      <c r="TYE69" s="10"/>
      <c r="TYF69" s="10"/>
      <c r="TYG69" s="10"/>
      <c r="TYH69" s="10"/>
      <c r="TYI69" s="10"/>
      <c r="TYJ69" s="10"/>
      <c r="TYK69" s="10"/>
      <c r="TYL69" s="10"/>
      <c r="TYM69" s="10"/>
      <c r="TYN69" s="10"/>
      <c r="TYO69" s="10"/>
      <c r="TYP69" s="10"/>
      <c r="TYQ69" s="10"/>
      <c r="TYR69" s="10"/>
      <c r="TYS69" s="10"/>
      <c r="TYT69" s="10"/>
      <c r="TYU69" s="10"/>
      <c r="TYV69" s="10"/>
      <c r="TYW69" s="10"/>
      <c r="TYX69" s="10"/>
      <c r="TYY69" s="10"/>
      <c r="TYZ69" s="10"/>
      <c r="TZA69" s="10"/>
      <c r="TZB69" s="10"/>
      <c r="TZC69" s="10"/>
      <c r="TZD69" s="10"/>
      <c r="TZE69" s="10"/>
      <c r="TZF69" s="10"/>
      <c r="TZG69" s="10"/>
      <c r="TZH69" s="10"/>
      <c r="TZI69" s="10"/>
      <c r="TZJ69" s="10"/>
      <c r="TZK69" s="10"/>
      <c r="TZL69" s="10"/>
      <c r="TZM69" s="10"/>
      <c r="TZN69" s="10"/>
      <c r="TZO69" s="10"/>
      <c r="TZP69" s="10"/>
      <c r="TZQ69" s="10"/>
      <c r="TZR69" s="10"/>
      <c r="TZS69" s="10"/>
      <c r="TZT69" s="10"/>
      <c r="TZU69" s="10"/>
      <c r="TZV69" s="10"/>
      <c r="TZW69" s="10"/>
      <c r="TZX69" s="10"/>
      <c r="TZY69" s="10"/>
      <c r="TZZ69" s="10"/>
      <c r="UAA69" s="10"/>
      <c r="UAB69" s="10"/>
      <c r="UAC69" s="10"/>
      <c r="UAD69" s="10"/>
      <c r="UAE69" s="10"/>
      <c r="UAF69" s="10"/>
      <c r="UAG69" s="10"/>
      <c r="UAH69" s="10"/>
      <c r="UAI69" s="10"/>
      <c r="UAJ69" s="10"/>
      <c r="UAK69" s="10"/>
      <c r="UAL69" s="10"/>
      <c r="UAM69" s="10"/>
      <c r="UAN69" s="10"/>
      <c r="UAO69" s="10"/>
      <c r="UAP69" s="10"/>
      <c r="UAQ69" s="10"/>
      <c r="UAR69" s="10"/>
      <c r="UAS69" s="10"/>
      <c r="UAT69" s="10"/>
      <c r="UAU69" s="10"/>
      <c r="UAV69" s="10"/>
      <c r="UAW69" s="10"/>
      <c r="UAX69" s="10"/>
      <c r="UAY69" s="10"/>
      <c r="UAZ69" s="10"/>
      <c r="UBA69" s="10"/>
      <c r="UBB69" s="10"/>
      <c r="UBC69" s="10"/>
      <c r="UBD69" s="10"/>
      <c r="UBE69" s="10"/>
      <c r="UBF69" s="10"/>
      <c r="UBG69" s="10"/>
      <c r="UBH69" s="10"/>
      <c r="UBI69" s="10"/>
      <c r="UBJ69" s="10"/>
      <c r="UBK69" s="10"/>
      <c r="UBL69" s="10"/>
      <c r="UBM69" s="10"/>
      <c r="UBN69" s="10"/>
      <c r="UBO69" s="10"/>
      <c r="UBP69" s="10"/>
      <c r="UBQ69" s="10"/>
      <c r="UBR69" s="10"/>
      <c r="UBS69" s="10"/>
      <c r="UBT69" s="10"/>
      <c r="UBU69" s="10"/>
      <c r="UBV69" s="10"/>
      <c r="UBW69" s="10"/>
      <c r="UBX69" s="10"/>
      <c r="UBY69" s="10"/>
      <c r="UBZ69" s="10"/>
      <c r="UCA69" s="10"/>
      <c r="UCB69" s="10"/>
      <c r="UCC69" s="10"/>
      <c r="UCD69" s="10"/>
      <c r="UCE69" s="10"/>
      <c r="UCF69" s="10"/>
      <c r="UCG69" s="10"/>
      <c r="UCH69" s="10"/>
      <c r="UCI69" s="10"/>
      <c r="UCJ69" s="10"/>
      <c r="UCK69" s="10"/>
      <c r="UCL69" s="10"/>
      <c r="UCM69" s="10"/>
      <c r="UCN69" s="10"/>
      <c r="UCO69" s="10"/>
      <c r="UCP69" s="10"/>
      <c r="UCQ69" s="10"/>
      <c r="UCR69" s="10"/>
      <c r="UCS69" s="10"/>
      <c r="UCT69" s="10"/>
      <c r="UCU69" s="10"/>
      <c r="UCV69" s="10"/>
      <c r="UCW69" s="10"/>
      <c r="UCX69" s="10"/>
      <c r="UCY69" s="10"/>
      <c r="UCZ69" s="10"/>
      <c r="UDA69" s="10"/>
      <c r="UDB69" s="10"/>
      <c r="UDC69" s="10"/>
      <c r="UDD69" s="10"/>
      <c r="UDE69" s="10"/>
      <c r="UDF69" s="10"/>
      <c r="UDG69" s="10"/>
      <c r="UDH69" s="10"/>
      <c r="UDI69" s="10"/>
      <c r="UDJ69" s="10"/>
      <c r="UDK69" s="10"/>
      <c r="UDL69" s="10"/>
      <c r="UDM69" s="10"/>
      <c r="UDN69" s="10"/>
      <c r="UDO69" s="10"/>
      <c r="UDP69" s="10"/>
      <c r="UDQ69" s="10"/>
      <c r="UDR69" s="10"/>
      <c r="UDS69" s="10"/>
      <c r="UDT69" s="10"/>
      <c r="UDU69" s="10"/>
      <c r="UDV69" s="10"/>
      <c r="UDW69" s="10"/>
      <c r="UDX69" s="10"/>
      <c r="UDY69" s="10"/>
      <c r="UDZ69" s="10"/>
      <c r="UEA69" s="10"/>
      <c r="UEB69" s="10"/>
      <c r="UEC69" s="10"/>
      <c r="UED69" s="10"/>
      <c r="UEE69" s="10"/>
      <c r="UEF69" s="10"/>
      <c r="UEG69" s="10"/>
      <c r="UEH69" s="10"/>
      <c r="UEI69" s="10"/>
      <c r="UEJ69" s="10"/>
      <c r="UEK69" s="10"/>
      <c r="UEL69" s="10"/>
      <c r="UEM69" s="10"/>
      <c r="UEN69" s="10"/>
      <c r="UEO69" s="10"/>
      <c r="UEP69" s="10"/>
      <c r="UEQ69" s="10"/>
      <c r="UER69" s="10"/>
      <c r="UES69" s="10"/>
      <c r="UET69" s="10"/>
      <c r="UEU69" s="10"/>
      <c r="UEV69" s="10"/>
      <c r="UEW69" s="10"/>
      <c r="UEX69" s="10"/>
      <c r="UEY69" s="10"/>
      <c r="UEZ69" s="10"/>
      <c r="UFA69" s="10"/>
      <c r="UFB69" s="10"/>
      <c r="UFC69" s="10"/>
      <c r="UFD69" s="10"/>
      <c r="UFE69" s="10"/>
      <c r="UFF69" s="10"/>
      <c r="UFG69" s="10"/>
      <c r="UFH69" s="10"/>
      <c r="UFI69" s="10"/>
      <c r="UFJ69" s="10"/>
      <c r="UFK69" s="10"/>
      <c r="UFL69" s="10"/>
      <c r="UFM69" s="10"/>
      <c r="UFN69" s="10"/>
      <c r="UFO69" s="10"/>
      <c r="UFP69" s="10"/>
      <c r="UFQ69" s="10"/>
      <c r="UFR69" s="10"/>
      <c r="UFS69" s="10"/>
      <c r="UFT69" s="10"/>
      <c r="UFU69" s="10"/>
      <c r="UFV69" s="10"/>
      <c r="UFW69" s="10"/>
      <c r="UFX69" s="10"/>
      <c r="UFY69" s="10"/>
      <c r="UFZ69" s="10"/>
      <c r="UGA69" s="10"/>
      <c r="UGB69" s="10"/>
      <c r="UGC69" s="10"/>
      <c r="UGD69" s="10"/>
      <c r="UGE69" s="10"/>
      <c r="UGF69" s="10"/>
      <c r="UGG69" s="10"/>
      <c r="UGH69" s="10"/>
      <c r="UGI69" s="10"/>
      <c r="UGJ69" s="10"/>
      <c r="UGK69" s="10"/>
      <c r="UGL69" s="10"/>
      <c r="UGM69" s="10"/>
      <c r="UGN69" s="10"/>
      <c r="UGO69" s="10"/>
      <c r="UGP69" s="10"/>
      <c r="UGQ69" s="10"/>
      <c r="UGR69" s="10"/>
      <c r="UGS69" s="10"/>
      <c r="UGT69" s="10"/>
      <c r="UGU69" s="10"/>
      <c r="UGV69" s="10"/>
      <c r="UGW69" s="10"/>
      <c r="UGX69" s="10"/>
      <c r="UGY69" s="10"/>
      <c r="UGZ69" s="10"/>
      <c r="UHA69" s="10"/>
      <c r="UHB69" s="10"/>
      <c r="UHC69" s="10"/>
      <c r="UHD69" s="10"/>
      <c r="UHE69" s="10"/>
      <c r="UHF69" s="10"/>
      <c r="UHG69" s="10"/>
      <c r="UHH69" s="10"/>
      <c r="UHI69" s="10"/>
      <c r="UHJ69" s="10"/>
      <c r="UHK69" s="10"/>
      <c r="UHL69" s="10"/>
      <c r="UHM69" s="10"/>
      <c r="UHN69" s="10"/>
      <c r="UHO69" s="10"/>
      <c r="UHP69" s="10"/>
      <c r="UHQ69" s="10"/>
      <c r="UHR69" s="10"/>
      <c r="UHS69" s="10"/>
      <c r="UHT69" s="10"/>
      <c r="UHU69" s="10"/>
      <c r="UHV69" s="10"/>
      <c r="UHW69" s="10"/>
      <c r="UHX69" s="10"/>
      <c r="UHY69" s="10"/>
      <c r="UHZ69" s="10"/>
      <c r="UIA69" s="10"/>
      <c r="UIB69" s="10"/>
      <c r="UIC69" s="10"/>
      <c r="UID69" s="10"/>
      <c r="UIE69" s="10"/>
      <c r="UIF69" s="10"/>
      <c r="UIG69" s="10"/>
      <c r="UIH69" s="10"/>
      <c r="UII69" s="10"/>
      <c r="UIJ69" s="10"/>
      <c r="UIK69" s="10"/>
      <c r="UIL69" s="10"/>
      <c r="UIM69" s="10"/>
      <c r="UIN69" s="10"/>
      <c r="UIO69" s="10"/>
      <c r="UIP69" s="10"/>
      <c r="UIQ69" s="10"/>
      <c r="UIR69" s="10"/>
      <c r="UIS69" s="10"/>
      <c r="UIT69" s="10"/>
      <c r="UIU69" s="10"/>
      <c r="UIV69" s="10"/>
      <c r="UIW69" s="10"/>
      <c r="UIX69" s="10"/>
      <c r="UIY69" s="10"/>
      <c r="UIZ69" s="10"/>
      <c r="UJA69" s="10"/>
      <c r="UJB69" s="10"/>
      <c r="UJC69" s="10"/>
      <c r="UJD69" s="10"/>
      <c r="UJE69" s="10"/>
      <c r="UJF69" s="10"/>
      <c r="UJG69" s="10"/>
      <c r="UJH69" s="10"/>
      <c r="UJI69" s="10"/>
      <c r="UJJ69" s="10"/>
      <c r="UJK69" s="10"/>
      <c r="UJL69" s="10"/>
      <c r="UJM69" s="10"/>
      <c r="UJN69" s="10"/>
      <c r="UJO69" s="10"/>
      <c r="UJP69" s="10"/>
      <c r="UJQ69" s="10"/>
      <c r="UJR69" s="10"/>
      <c r="UJS69" s="10"/>
      <c r="UJT69" s="10"/>
      <c r="UJU69" s="10"/>
      <c r="UJV69" s="10"/>
      <c r="UJW69" s="10"/>
      <c r="UJX69" s="10"/>
      <c r="UJY69" s="10"/>
      <c r="UJZ69" s="10"/>
      <c r="UKA69" s="10"/>
      <c r="UKB69" s="10"/>
      <c r="UKC69" s="10"/>
      <c r="UKD69" s="10"/>
      <c r="UKE69" s="10"/>
      <c r="UKF69" s="10"/>
      <c r="UKG69" s="10"/>
      <c r="UKH69" s="10"/>
      <c r="UKI69" s="10"/>
      <c r="UKJ69" s="10"/>
      <c r="UKK69" s="10"/>
      <c r="UKL69" s="10"/>
      <c r="UKM69" s="10"/>
      <c r="UKN69" s="10"/>
      <c r="UKO69" s="10"/>
      <c r="UKP69" s="10"/>
      <c r="UKQ69" s="10"/>
      <c r="UKR69" s="10"/>
      <c r="UKS69" s="10"/>
      <c r="UKT69" s="10"/>
      <c r="UKU69" s="10"/>
      <c r="UKV69" s="10"/>
      <c r="UKW69" s="10"/>
      <c r="UKX69" s="10"/>
      <c r="UKY69" s="10"/>
      <c r="UKZ69" s="10"/>
      <c r="ULA69" s="10"/>
      <c r="ULB69" s="10"/>
      <c r="ULC69" s="10"/>
      <c r="ULD69" s="10"/>
      <c r="ULE69" s="10"/>
      <c r="ULF69" s="10"/>
      <c r="ULG69" s="10"/>
      <c r="ULH69" s="10"/>
      <c r="ULI69" s="10"/>
      <c r="ULJ69" s="10"/>
      <c r="ULK69" s="10"/>
      <c r="ULL69" s="10"/>
      <c r="ULM69" s="10"/>
      <c r="ULN69" s="10"/>
      <c r="ULO69" s="10"/>
      <c r="ULP69" s="10"/>
      <c r="ULQ69" s="10"/>
      <c r="ULR69" s="10"/>
      <c r="ULS69" s="10"/>
      <c r="ULT69" s="10"/>
      <c r="ULU69" s="10"/>
      <c r="ULV69" s="10"/>
      <c r="ULW69" s="10"/>
      <c r="ULX69" s="10"/>
      <c r="ULY69" s="10"/>
      <c r="ULZ69" s="10"/>
      <c r="UMA69" s="10"/>
      <c r="UMB69" s="10"/>
      <c r="UMC69" s="10"/>
      <c r="UMD69" s="10"/>
      <c r="UME69" s="10"/>
      <c r="UMF69" s="10"/>
      <c r="UMG69" s="10"/>
      <c r="UMH69" s="10"/>
      <c r="UMI69" s="10"/>
      <c r="UMJ69" s="10"/>
      <c r="UMK69" s="10"/>
      <c r="UML69" s="10"/>
      <c r="UMM69" s="10"/>
      <c r="UMN69" s="10"/>
      <c r="UMO69" s="10"/>
      <c r="UMP69" s="10"/>
      <c r="UMQ69" s="10"/>
      <c r="UMR69" s="10"/>
      <c r="UMS69" s="10"/>
      <c r="UMT69" s="10"/>
      <c r="UMU69" s="10"/>
      <c r="UMV69" s="10"/>
      <c r="UMW69" s="10"/>
      <c r="UMX69" s="10"/>
      <c r="UMY69" s="10"/>
      <c r="UMZ69" s="10"/>
      <c r="UNA69" s="10"/>
      <c r="UNB69" s="10"/>
      <c r="UNC69" s="10"/>
      <c r="UND69" s="10"/>
      <c r="UNE69" s="10"/>
      <c r="UNF69" s="10"/>
      <c r="UNG69" s="10"/>
      <c r="UNH69" s="10"/>
      <c r="UNI69" s="10"/>
      <c r="UNJ69" s="10"/>
      <c r="UNK69" s="10"/>
      <c r="UNL69" s="10"/>
      <c r="UNM69" s="10"/>
      <c r="UNN69" s="10"/>
      <c r="UNO69" s="10"/>
      <c r="UNP69" s="10"/>
      <c r="UNQ69" s="10"/>
      <c r="UNR69" s="10"/>
      <c r="UNS69" s="10"/>
      <c r="UNT69" s="10"/>
      <c r="UNU69" s="10"/>
      <c r="UNV69" s="10"/>
      <c r="UNW69" s="10"/>
      <c r="UNX69" s="10"/>
      <c r="UNY69" s="10"/>
      <c r="UNZ69" s="10"/>
      <c r="UOA69" s="10"/>
      <c r="UOB69" s="10"/>
      <c r="UOC69" s="10"/>
      <c r="UOD69" s="10"/>
      <c r="UOE69" s="10"/>
      <c r="UOF69" s="10"/>
      <c r="UOG69" s="10"/>
      <c r="UOH69" s="10"/>
      <c r="UOI69" s="10"/>
      <c r="UOJ69" s="10"/>
      <c r="UOK69" s="10"/>
      <c r="UOL69" s="10"/>
      <c r="UOM69" s="10"/>
      <c r="UON69" s="10"/>
      <c r="UOO69" s="10"/>
      <c r="UOP69" s="10"/>
      <c r="UOQ69" s="10"/>
      <c r="UOR69" s="10"/>
      <c r="UOS69" s="10"/>
      <c r="UOT69" s="10"/>
      <c r="UOU69" s="10"/>
      <c r="UOV69" s="10"/>
      <c r="UOW69" s="10"/>
      <c r="UOX69" s="10"/>
      <c r="UOY69" s="10"/>
      <c r="UOZ69" s="10"/>
      <c r="UPA69" s="10"/>
      <c r="UPB69" s="10"/>
      <c r="UPC69" s="10"/>
      <c r="UPD69" s="10"/>
      <c r="UPE69" s="10"/>
      <c r="UPF69" s="10"/>
      <c r="UPG69" s="10"/>
      <c r="UPH69" s="10"/>
      <c r="UPI69" s="10"/>
      <c r="UPJ69" s="10"/>
      <c r="UPK69" s="10"/>
      <c r="UPL69" s="10"/>
      <c r="UPM69" s="10"/>
      <c r="UPN69" s="10"/>
      <c r="UPO69" s="10"/>
      <c r="UPP69" s="10"/>
      <c r="UPQ69" s="10"/>
      <c r="UPR69" s="10"/>
      <c r="UPS69" s="10"/>
      <c r="UPT69" s="10"/>
      <c r="UPU69" s="10"/>
      <c r="UPV69" s="10"/>
      <c r="UPW69" s="10"/>
      <c r="UPX69" s="10"/>
      <c r="UPY69" s="10"/>
      <c r="UPZ69" s="10"/>
      <c r="UQA69" s="10"/>
      <c r="UQB69" s="10"/>
      <c r="UQC69" s="10"/>
      <c r="UQD69" s="10"/>
      <c r="UQE69" s="10"/>
      <c r="UQF69" s="10"/>
      <c r="UQG69" s="10"/>
      <c r="UQH69" s="10"/>
      <c r="UQI69" s="10"/>
      <c r="UQJ69" s="10"/>
      <c r="UQK69" s="10"/>
      <c r="UQL69" s="10"/>
      <c r="UQM69" s="10"/>
      <c r="UQN69" s="10"/>
      <c r="UQO69" s="10"/>
      <c r="UQP69" s="10"/>
      <c r="UQQ69" s="10"/>
      <c r="UQR69" s="10"/>
      <c r="UQS69" s="10"/>
      <c r="UQT69" s="10"/>
      <c r="UQU69" s="10"/>
      <c r="UQV69" s="10"/>
      <c r="UQW69" s="10"/>
      <c r="UQX69" s="10"/>
      <c r="UQY69" s="10"/>
      <c r="UQZ69" s="10"/>
      <c r="URA69" s="10"/>
      <c r="URB69" s="10"/>
      <c r="URC69" s="10"/>
      <c r="URD69" s="10"/>
      <c r="URE69" s="10"/>
      <c r="URF69" s="10"/>
      <c r="URG69" s="10"/>
      <c r="URH69" s="10"/>
      <c r="URI69" s="10"/>
      <c r="URJ69" s="10"/>
      <c r="URK69" s="10"/>
      <c r="URL69" s="10"/>
      <c r="URM69" s="10"/>
      <c r="URN69" s="10"/>
      <c r="URO69" s="10"/>
      <c r="URP69" s="10"/>
      <c r="URQ69" s="10"/>
      <c r="URR69" s="10"/>
      <c r="URS69" s="10"/>
      <c r="URT69" s="10"/>
      <c r="URU69" s="10"/>
      <c r="URV69" s="10"/>
      <c r="URW69" s="10"/>
      <c r="URX69" s="10"/>
      <c r="URY69" s="10"/>
      <c r="URZ69" s="10"/>
      <c r="USA69" s="10"/>
      <c r="USB69" s="10"/>
      <c r="USC69" s="10"/>
      <c r="USD69" s="10"/>
      <c r="USE69" s="10"/>
      <c r="USF69" s="10"/>
      <c r="USG69" s="10"/>
      <c r="USH69" s="10"/>
      <c r="USI69" s="10"/>
      <c r="USJ69" s="10"/>
      <c r="USK69" s="10"/>
      <c r="USL69" s="10"/>
      <c r="USM69" s="10"/>
      <c r="USN69" s="10"/>
      <c r="USO69" s="10"/>
      <c r="USP69" s="10"/>
      <c r="USQ69" s="10"/>
      <c r="USR69" s="10"/>
      <c r="USS69" s="10"/>
      <c r="UST69" s="10"/>
      <c r="USU69" s="10"/>
      <c r="USV69" s="10"/>
      <c r="USW69" s="10"/>
      <c r="USX69" s="10"/>
      <c r="USY69" s="10"/>
      <c r="USZ69" s="10"/>
      <c r="UTA69" s="10"/>
      <c r="UTB69" s="10"/>
      <c r="UTC69" s="10"/>
      <c r="UTD69" s="10"/>
      <c r="UTE69" s="10"/>
      <c r="UTF69" s="10"/>
      <c r="UTG69" s="10"/>
      <c r="UTH69" s="10"/>
      <c r="UTI69" s="10"/>
      <c r="UTJ69" s="10"/>
      <c r="UTK69" s="10"/>
      <c r="UTL69" s="10"/>
      <c r="UTM69" s="10"/>
      <c r="UTN69" s="10"/>
      <c r="UTO69" s="10"/>
      <c r="UTP69" s="10"/>
      <c r="UTQ69" s="10"/>
      <c r="UTR69" s="10"/>
      <c r="UTS69" s="10"/>
      <c r="UTT69" s="10"/>
      <c r="UTU69" s="10"/>
      <c r="UTV69" s="10"/>
      <c r="UTW69" s="10"/>
      <c r="UTX69" s="10"/>
      <c r="UTY69" s="10"/>
      <c r="UTZ69" s="10"/>
      <c r="UUA69" s="10"/>
      <c r="UUB69" s="10"/>
      <c r="UUC69" s="10"/>
      <c r="UUD69" s="10"/>
      <c r="UUE69" s="10"/>
      <c r="UUF69" s="10"/>
      <c r="UUG69" s="10"/>
      <c r="UUH69" s="10"/>
      <c r="UUI69" s="10"/>
      <c r="UUJ69" s="10"/>
      <c r="UUK69" s="10"/>
      <c r="UUL69" s="10"/>
      <c r="UUM69" s="10"/>
      <c r="UUN69" s="10"/>
      <c r="UUO69" s="10"/>
      <c r="UUP69" s="10"/>
      <c r="UUQ69" s="10"/>
      <c r="UUR69" s="10"/>
      <c r="UUS69" s="10"/>
      <c r="UUT69" s="10"/>
      <c r="UUU69" s="10"/>
      <c r="UUV69" s="10"/>
      <c r="UUW69" s="10"/>
      <c r="UUX69" s="10"/>
      <c r="UUY69" s="10"/>
      <c r="UUZ69" s="10"/>
      <c r="UVA69" s="10"/>
      <c r="UVB69" s="10"/>
      <c r="UVC69" s="10"/>
      <c r="UVD69" s="10"/>
      <c r="UVE69" s="10"/>
      <c r="UVF69" s="10"/>
      <c r="UVG69" s="10"/>
      <c r="UVH69" s="10"/>
      <c r="UVI69" s="10"/>
      <c r="UVJ69" s="10"/>
      <c r="UVK69" s="10"/>
      <c r="UVL69" s="10"/>
      <c r="UVM69" s="10"/>
      <c r="UVN69" s="10"/>
      <c r="UVO69" s="10"/>
      <c r="UVP69" s="10"/>
      <c r="UVQ69" s="10"/>
      <c r="UVR69" s="10"/>
      <c r="UVS69" s="10"/>
      <c r="UVT69" s="10"/>
      <c r="UVU69" s="10"/>
      <c r="UVV69" s="10"/>
      <c r="UVW69" s="10"/>
      <c r="UVX69" s="10"/>
      <c r="UVY69" s="10"/>
      <c r="UVZ69" s="10"/>
      <c r="UWA69" s="10"/>
      <c r="UWB69" s="10"/>
      <c r="UWC69" s="10"/>
      <c r="UWD69" s="10"/>
      <c r="UWE69" s="10"/>
      <c r="UWF69" s="10"/>
      <c r="UWG69" s="10"/>
      <c r="UWH69" s="10"/>
      <c r="UWI69" s="10"/>
      <c r="UWJ69" s="10"/>
      <c r="UWK69" s="10"/>
      <c r="UWL69" s="10"/>
      <c r="UWM69" s="10"/>
      <c r="UWN69" s="10"/>
      <c r="UWO69" s="10"/>
      <c r="UWP69" s="10"/>
      <c r="UWQ69" s="10"/>
      <c r="UWR69" s="10"/>
      <c r="UWS69" s="10"/>
      <c r="UWT69" s="10"/>
      <c r="UWU69" s="10"/>
      <c r="UWV69" s="10"/>
      <c r="UWW69" s="10"/>
      <c r="UWX69" s="10"/>
      <c r="UWY69" s="10"/>
      <c r="UWZ69" s="10"/>
      <c r="UXA69" s="10"/>
      <c r="UXB69" s="10"/>
      <c r="UXC69" s="10"/>
      <c r="UXD69" s="10"/>
      <c r="UXE69" s="10"/>
      <c r="UXF69" s="10"/>
      <c r="UXG69" s="10"/>
      <c r="UXH69" s="10"/>
      <c r="UXI69" s="10"/>
      <c r="UXJ69" s="10"/>
      <c r="UXK69" s="10"/>
      <c r="UXL69" s="10"/>
      <c r="UXM69" s="10"/>
      <c r="UXN69" s="10"/>
      <c r="UXO69" s="10"/>
      <c r="UXP69" s="10"/>
      <c r="UXQ69" s="10"/>
      <c r="UXR69" s="10"/>
      <c r="UXS69" s="10"/>
      <c r="UXT69" s="10"/>
      <c r="UXU69" s="10"/>
      <c r="UXV69" s="10"/>
      <c r="UXW69" s="10"/>
      <c r="UXX69" s="10"/>
      <c r="UXY69" s="10"/>
      <c r="UXZ69" s="10"/>
      <c r="UYA69" s="10"/>
      <c r="UYB69" s="10"/>
      <c r="UYC69" s="10"/>
      <c r="UYD69" s="10"/>
      <c r="UYE69" s="10"/>
      <c r="UYF69" s="10"/>
      <c r="UYG69" s="10"/>
      <c r="UYH69" s="10"/>
      <c r="UYI69" s="10"/>
      <c r="UYJ69" s="10"/>
      <c r="UYK69" s="10"/>
      <c r="UYL69" s="10"/>
      <c r="UYM69" s="10"/>
      <c r="UYN69" s="10"/>
      <c r="UYO69" s="10"/>
      <c r="UYP69" s="10"/>
      <c r="UYQ69" s="10"/>
      <c r="UYR69" s="10"/>
      <c r="UYS69" s="10"/>
      <c r="UYT69" s="10"/>
      <c r="UYU69" s="10"/>
      <c r="UYV69" s="10"/>
      <c r="UYW69" s="10"/>
      <c r="UYX69" s="10"/>
      <c r="UYY69" s="10"/>
      <c r="UYZ69" s="10"/>
      <c r="UZA69" s="10"/>
      <c r="UZB69" s="10"/>
      <c r="UZC69" s="10"/>
      <c r="UZD69" s="10"/>
      <c r="UZE69" s="10"/>
      <c r="UZF69" s="10"/>
      <c r="UZG69" s="10"/>
      <c r="UZH69" s="10"/>
      <c r="UZI69" s="10"/>
      <c r="UZJ69" s="10"/>
      <c r="UZK69" s="10"/>
      <c r="UZL69" s="10"/>
      <c r="UZM69" s="10"/>
      <c r="UZN69" s="10"/>
      <c r="UZO69" s="10"/>
      <c r="UZP69" s="10"/>
      <c r="UZQ69" s="10"/>
      <c r="UZR69" s="10"/>
      <c r="UZS69" s="10"/>
      <c r="UZT69" s="10"/>
      <c r="UZU69" s="10"/>
      <c r="UZV69" s="10"/>
      <c r="UZW69" s="10"/>
      <c r="UZX69" s="10"/>
      <c r="UZY69" s="10"/>
      <c r="UZZ69" s="10"/>
      <c r="VAA69" s="10"/>
      <c r="VAB69" s="10"/>
      <c r="VAC69" s="10"/>
      <c r="VAD69" s="10"/>
      <c r="VAE69" s="10"/>
      <c r="VAF69" s="10"/>
      <c r="VAG69" s="10"/>
      <c r="VAH69" s="10"/>
      <c r="VAI69" s="10"/>
      <c r="VAJ69" s="10"/>
      <c r="VAK69" s="10"/>
      <c r="VAL69" s="10"/>
      <c r="VAM69" s="10"/>
      <c r="VAN69" s="10"/>
      <c r="VAO69" s="10"/>
      <c r="VAP69" s="10"/>
      <c r="VAQ69" s="10"/>
      <c r="VAR69" s="10"/>
      <c r="VAS69" s="10"/>
      <c r="VAT69" s="10"/>
      <c r="VAU69" s="10"/>
      <c r="VAV69" s="10"/>
      <c r="VAW69" s="10"/>
      <c r="VAX69" s="10"/>
      <c r="VAY69" s="10"/>
      <c r="VAZ69" s="10"/>
      <c r="VBA69" s="10"/>
      <c r="VBB69" s="10"/>
      <c r="VBC69" s="10"/>
      <c r="VBD69" s="10"/>
      <c r="VBE69" s="10"/>
      <c r="VBF69" s="10"/>
      <c r="VBG69" s="10"/>
      <c r="VBH69" s="10"/>
      <c r="VBI69" s="10"/>
      <c r="VBJ69" s="10"/>
      <c r="VBK69" s="10"/>
      <c r="VBL69" s="10"/>
      <c r="VBM69" s="10"/>
      <c r="VBN69" s="10"/>
      <c r="VBO69" s="10"/>
      <c r="VBP69" s="10"/>
      <c r="VBQ69" s="10"/>
      <c r="VBR69" s="10"/>
      <c r="VBS69" s="10"/>
      <c r="VBT69" s="10"/>
      <c r="VBU69" s="10"/>
      <c r="VBV69" s="10"/>
      <c r="VBW69" s="10"/>
      <c r="VBX69" s="10"/>
      <c r="VBY69" s="10"/>
      <c r="VBZ69" s="10"/>
      <c r="VCA69" s="10"/>
      <c r="VCB69" s="10"/>
      <c r="VCC69" s="10"/>
      <c r="VCD69" s="10"/>
      <c r="VCE69" s="10"/>
      <c r="VCF69" s="10"/>
      <c r="VCG69" s="10"/>
      <c r="VCH69" s="10"/>
      <c r="VCI69" s="10"/>
      <c r="VCJ69" s="10"/>
      <c r="VCK69" s="10"/>
      <c r="VCL69" s="10"/>
      <c r="VCM69" s="10"/>
      <c r="VCN69" s="10"/>
      <c r="VCO69" s="10"/>
      <c r="VCP69" s="10"/>
      <c r="VCQ69" s="10"/>
      <c r="VCR69" s="10"/>
      <c r="VCS69" s="10"/>
      <c r="VCT69" s="10"/>
      <c r="VCU69" s="10"/>
      <c r="VCV69" s="10"/>
      <c r="VCW69" s="10"/>
      <c r="VCX69" s="10"/>
      <c r="VCY69" s="10"/>
      <c r="VCZ69" s="10"/>
      <c r="VDA69" s="10"/>
      <c r="VDB69" s="10"/>
      <c r="VDC69" s="10"/>
      <c r="VDD69" s="10"/>
      <c r="VDE69" s="10"/>
      <c r="VDF69" s="10"/>
      <c r="VDG69" s="10"/>
      <c r="VDH69" s="10"/>
      <c r="VDI69" s="10"/>
      <c r="VDJ69" s="10"/>
      <c r="VDK69" s="10"/>
      <c r="VDL69" s="10"/>
      <c r="VDM69" s="10"/>
      <c r="VDN69" s="10"/>
      <c r="VDO69" s="10"/>
      <c r="VDP69" s="10"/>
      <c r="VDQ69" s="10"/>
      <c r="VDR69" s="10"/>
      <c r="VDS69" s="10"/>
      <c r="VDT69" s="10"/>
      <c r="VDU69" s="10"/>
      <c r="VDV69" s="10"/>
      <c r="VDW69" s="10"/>
      <c r="VDX69" s="10"/>
      <c r="VDY69" s="10"/>
      <c r="VDZ69" s="10"/>
      <c r="VEA69" s="10"/>
      <c r="VEB69" s="10"/>
      <c r="VEC69" s="10"/>
      <c r="VED69" s="10"/>
      <c r="VEE69" s="10"/>
      <c r="VEF69" s="10"/>
      <c r="VEG69" s="10"/>
      <c r="VEH69" s="10"/>
      <c r="VEI69" s="10"/>
      <c r="VEJ69" s="10"/>
      <c r="VEK69" s="10"/>
      <c r="VEL69" s="10"/>
      <c r="VEM69" s="10"/>
      <c r="VEN69" s="10"/>
      <c r="VEO69" s="10"/>
      <c r="VEP69" s="10"/>
      <c r="VEQ69" s="10"/>
      <c r="VER69" s="10"/>
      <c r="VES69" s="10"/>
      <c r="VET69" s="10"/>
      <c r="VEU69" s="10"/>
      <c r="VEV69" s="10"/>
      <c r="VEW69" s="10"/>
      <c r="VEX69" s="10"/>
      <c r="VEY69" s="10"/>
      <c r="VEZ69" s="10"/>
      <c r="VFA69" s="10"/>
      <c r="VFB69" s="10"/>
      <c r="VFC69" s="10"/>
      <c r="VFD69" s="10"/>
      <c r="VFE69" s="10"/>
      <c r="VFF69" s="10"/>
      <c r="VFG69" s="10"/>
      <c r="VFH69" s="10"/>
      <c r="VFI69" s="10"/>
      <c r="VFJ69" s="10"/>
      <c r="VFK69" s="10"/>
      <c r="VFL69" s="10"/>
      <c r="VFM69" s="10"/>
      <c r="VFN69" s="10"/>
      <c r="VFO69" s="10"/>
      <c r="VFP69" s="10"/>
      <c r="VFQ69" s="10"/>
      <c r="VFR69" s="10"/>
      <c r="VFS69" s="10"/>
      <c r="VFT69" s="10"/>
      <c r="VFU69" s="10"/>
      <c r="VFV69" s="10"/>
      <c r="VFW69" s="10"/>
      <c r="VFX69" s="10"/>
      <c r="VFY69" s="10"/>
      <c r="VFZ69" s="10"/>
      <c r="VGA69" s="10"/>
      <c r="VGB69" s="10"/>
      <c r="VGC69" s="10"/>
      <c r="VGD69" s="10"/>
      <c r="VGE69" s="10"/>
      <c r="VGF69" s="10"/>
      <c r="VGG69" s="10"/>
      <c r="VGH69" s="10"/>
      <c r="VGI69" s="10"/>
      <c r="VGJ69" s="10"/>
      <c r="VGK69" s="10"/>
      <c r="VGL69" s="10"/>
      <c r="VGM69" s="10"/>
      <c r="VGN69" s="10"/>
      <c r="VGO69" s="10"/>
      <c r="VGP69" s="10"/>
      <c r="VGQ69" s="10"/>
      <c r="VGR69" s="10"/>
      <c r="VGS69" s="10"/>
      <c r="VGT69" s="10"/>
      <c r="VGU69" s="10"/>
      <c r="VGV69" s="10"/>
      <c r="VGW69" s="10"/>
      <c r="VGX69" s="10"/>
      <c r="VGY69" s="10"/>
      <c r="VGZ69" s="10"/>
      <c r="VHA69" s="10"/>
      <c r="VHB69" s="10"/>
      <c r="VHC69" s="10"/>
      <c r="VHD69" s="10"/>
      <c r="VHE69" s="10"/>
      <c r="VHF69" s="10"/>
      <c r="VHG69" s="10"/>
      <c r="VHH69" s="10"/>
      <c r="VHI69" s="10"/>
      <c r="VHJ69" s="10"/>
      <c r="VHK69" s="10"/>
      <c r="VHL69" s="10"/>
      <c r="VHM69" s="10"/>
      <c r="VHN69" s="10"/>
      <c r="VHO69" s="10"/>
      <c r="VHP69" s="10"/>
      <c r="VHQ69" s="10"/>
      <c r="VHR69" s="10"/>
      <c r="VHS69" s="10"/>
      <c r="VHT69" s="10"/>
      <c r="VHU69" s="10"/>
      <c r="VHV69" s="10"/>
      <c r="VHW69" s="10"/>
      <c r="VHX69" s="10"/>
      <c r="VHY69" s="10"/>
      <c r="VHZ69" s="10"/>
      <c r="VIA69" s="10"/>
      <c r="VIB69" s="10"/>
      <c r="VIC69" s="10"/>
      <c r="VID69" s="10"/>
      <c r="VIE69" s="10"/>
      <c r="VIF69" s="10"/>
      <c r="VIG69" s="10"/>
      <c r="VIH69" s="10"/>
      <c r="VII69" s="10"/>
      <c r="VIJ69" s="10"/>
      <c r="VIK69" s="10"/>
      <c r="VIL69" s="10"/>
      <c r="VIM69" s="10"/>
      <c r="VIN69" s="10"/>
      <c r="VIO69" s="10"/>
      <c r="VIP69" s="10"/>
      <c r="VIQ69" s="10"/>
      <c r="VIR69" s="10"/>
      <c r="VIS69" s="10"/>
      <c r="VIT69" s="10"/>
      <c r="VIU69" s="10"/>
      <c r="VIV69" s="10"/>
      <c r="VIW69" s="10"/>
      <c r="VIX69" s="10"/>
      <c r="VIY69" s="10"/>
      <c r="VIZ69" s="10"/>
      <c r="VJA69" s="10"/>
      <c r="VJB69" s="10"/>
      <c r="VJC69" s="10"/>
      <c r="VJD69" s="10"/>
      <c r="VJE69" s="10"/>
      <c r="VJF69" s="10"/>
      <c r="VJG69" s="10"/>
      <c r="VJH69" s="10"/>
      <c r="VJI69" s="10"/>
      <c r="VJJ69" s="10"/>
      <c r="VJK69" s="10"/>
      <c r="VJL69" s="10"/>
      <c r="VJM69" s="10"/>
      <c r="VJN69" s="10"/>
      <c r="VJO69" s="10"/>
      <c r="VJP69" s="10"/>
      <c r="VJQ69" s="10"/>
      <c r="VJR69" s="10"/>
      <c r="VJS69" s="10"/>
      <c r="VJT69" s="10"/>
      <c r="VJU69" s="10"/>
      <c r="VJV69" s="10"/>
      <c r="VJW69" s="10"/>
      <c r="VJX69" s="10"/>
      <c r="VJY69" s="10"/>
      <c r="VJZ69" s="10"/>
      <c r="VKA69" s="10"/>
      <c r="VKB69" s="10"/>
      <c r="VKC69" s="10"/>
      <c r="VKD69" s="10"/>
      <c r="VKE69" s="10"/>
      <c r="VKF69" s="10"/>
      <c r="VKG69" s="10"/>
      <c r="VKH69" s="10"/>
      <c r="VKI69" s="10"/>
      <c r="VKJ69" s="10"/>
      <c r="VKK69" s="10"/>
      <c r="VKL69" s="10"/>
      <c r="VKM69" s="10"/>
      <c r="VKN69" s="10"/>
      <c r="VKO69" s="10"/>
      <c r="VKP69" s="10"/>
      <c r="VKQ69" s="10"/>
      <c r="VKR69" s="10"/>
      <c r="VKS69" s="10"/>
      <c r="VKT69" s="10"/>
      <c r="VKU69" s="10"/>
      <c r="VKV69" s="10"/>
      <c r="VKW69" s="10"/>
      <c r="VKX69" s="10"/>
      <c r="VKY69" s="10"/>
      <c r="VKZ69" s="10"/>
      <c r="VLA69" s="10"/>
      <c r="VLB69" s="10"/>
      <c r="VLC69" s="10"/>
      <c r="VLD69" s="10"/>
      <c r="VLE69" s="10"/>
      <c r="VLF69" s="10"/>
      <c r="VLG69" s="10"/>
      <c r="VLH69" s="10"/>
      <c r="VLI69" s="10"/>
      <c r="VLJ69" s="10"/>
      <c r="VLK69" s="10"/>
      <c r="VLL69" s="10"/>
      <c r="VLM69" s="10"/>
      <c r="VLN69" s="10"/>
      <c r="VLO69" s="10"/>
      <c r="VLP69" s="10"/>
      <c r="VLQ69" s="10"/>
      <c r="VLR69" s="10"/>
      <c r="VLS69" s="10"/>
      <c r="VLT69" s="10"/>
      <c r="VLU69" s="10"/>
      <c r="VLV69" s="10"/>
      <c r="VLW69" s="10"/>
      <c r="VLX69" s="10"/>
      <c r="VLY69" s="10"/>
      <c r="VLZ69" s="10"/>
      <c r="VMA69" s="10"/>
      <c r="VMB69" s="10"/>
      <c r="VMC69" s="10"/>
      <c r="VMD69" s="10"/>
      <c r="VME69" s="10"/>
      <c r="VMF69" s="10"/>
      <c r="VMG69" s="10"/>
      <c r="VMH69" s="10"/>
      <c r="VMI69" s="10"/>
      <c r="VMJ69" s="10"/>
      <c r="VMK69" s="10"/>
      <c r="VML69" s="10"/>
      <c r="VMM69" s="10"/>
      <c r="VMN69" s="10"/>
      <c r="VMO69" s="10"/>
      <c r="VMP69" s="10"/>
      <c r="VMQ69" s="10"/>
      <c r="VMR69" s="10"/>
      <c r="VMS69" s="10"/>
      <c r="VMT69" s="10"/>
      <c r="VMU69" s="10"/>
      <c r="VMV69" s="10"/>
      <c r="VMW69" s="10"/>
      <c r="VMX69" s="10"/>
      <c r="VMY69" s="10"/>
      <c r="VMZ69" s="10"/>
      <c r="VNA69" s="10"/>
      <c r="VNB69" s="10"/>
      <c r="VNC69" s="10"/>
      <c r="VND69" s="10"/>
      <c r="VNE69" s="10"/>
      <c r="VNF69" s="10"/>
      <c r="VNG69" s="10"/>
      <c r="VNH69" s="10"/>
      <c r="VNI69" s="10"/>
      <c r="VNJ69" s="10"/>
      <c r="VNK69" s="10"/>
      <c r="VNL69" s="10"/>
      <c r="VNM69" s="10"/>
      <c r="VNN69" s="10"/>
      <c r="VNO69" s="10"/>
      <c r="VNP69" s="10"/>
      <c r="VNQ69" s="10"/>
      <c r="VNR69" s="10"/>
      <c r="VNS69" s="10"/>
      <c r="VNT69" s="10"/>
      <c r="VNU69" s="10"/>
      <c r="VNV69" s="10"/>
      <c r="VNW69" s="10"/>
      <c r="VNX69" s="10"/>
      <c r="VNY69" s="10"/>
      <c r="VNZ69" s="10"/>
      <c r="VOA69" s="10"/>
      <c r="VOB69" s="10"/>
      <c r="VOC69" s="10"/>
      <c r="VOD69" s="10"/>
      <c r="VOE69" s="10"/>
      <c r="VOF69" s="10"/>
      <c r="VOG69" s="10"/>
      <c r="VOH69" s="10"/>
      <c r="VOI69" s="10"/>
      <c r="VOJ69" s="10"/>
      <c r="VOK69" s="10"/>
      <c r="VOL69" s="10"/>
      <c r="VOM69" s="10"/>
      <c r="VON69" s="10"/>
      <c r="VOO69" s="10"/>
      <c r="VOP69" s="10"/>
      <c r="VOQ69" s="10"/>
      <c r="VOR69" s="10"/>
      <c r="VOS69" s="10"/>
      <c r="VOT69" s="10"/>
      <c r="VOU69" s="10"/>
      <c r="VOV69" s="10"/>
      <c r="VOW69" s="10"/>
      <c r="VOX69" s="10"/>
      <c r="VOY69" s="10"/>
      <c r="VOZ69" s="10"/>
      <c r="VPA69" s="10"/>
      <c r="VPB69" s="10"/>
      <c r="VPC69" s="10"/>
      <c r="VPD69" s="10"/>
      <c r="VPE69" s="10"/>
      <c r="VPF69" s="10"/>
      <c r="VPG69" s="10"/>
      <c r="VPH69" s="10"/>
      <c r="VPI69" s="10"/>
      <c r="VPJ69" s="10"/>
      <c r="VPK69" s="10"/>
      <c r="VPL69" s="10"/>
      <c r="VPM69" s="10"/>
      <c r="VPN69" s="10"/>
      <c r="VPO69" s="10"/>
      <c r="VPP69" s="10"/>
      <c r="VPQ69" s="10"/>
      <c r="VPR69" s="10"/>
      <c r="VPS69" s="10"/>
      <c r="VPT69" s="10"/>
      <c r="VPU69" s="10"/>
      <c r="VPV69" s="10"/>
      <c r="VPW69" s="10"/>
      <c r="VPX69" s="10"/>
      <c r="VPY69" s="10"/>
      <c r="VPZ69" s="10"/>
      <c r="VQA69" s="10"/>
      <c r="VQB69" s="10"/>
      <c r="VQC69" s="10"/>
      <c r="VQD69" s="10"/>
      <c r="VQE69" s="10"/>
      <c r="VQF69" s="10"/>
      <c r="VQG69" s="10"/>
      <c r="VQH69" s="10"/>
      <c r="VQI69" s="10"/>
      <c r="VQJ69" s="10"/>
      <c r="VQK69" s="10"/>
      <c r="VQL69" s="10"/>
      <c r="VQM69" s="10"/>
      <c r="VQN69" s="10"/>
      <c r="VQO69" s="10"/>
      <c r="VQP69" s="10"/>
      <c r="VQQ69" s="10"/>
      <c r="VQR69" s="10"/>
      <c r="VQS69" s="10"/>
      <c r="VQT69" s="10"/>
      <c r="VQU69" s="10"/>
      <c r="VQV69" s="10"/>
      <c r="VQW69" s="10"/>
      <c r="VQX69" s="10"/>
      <c r="VQY69" s="10"/>
      <c r="VQZ69" s="10"/>
      <c r="VRA69" s="10"/>
      <c r="VRB69" s="10"/>
      <c r="VRC69" s="10"/>
      <c r="VRD69" s="10"/>
      <c r="VRE69" s="10"/>
      <c r="VRF69" s="10"/>
      <c r="VRG69" s="10"/>
      <c r="VRH69" s="10"/>
      <c r="VRI69" s="10"/>
      <c r="VRJ69" s="10"/>
      <c r="VRK69" s="10"/>
      <c r="VRL69" s="10"/>
      <c r="VRM69" s="10"/>
      <c r="VRN69" s="10"/>
      <c r="VRO69" s="10"/>
      <c r="VRP69" s="10"/>
      <c r="VRQ69" s="10"/>
      <c r="VRR69" s="10"/>
      <c r="VRS69" s="10"/>
      <c r="VRT69" s="10"/>
      <c r="VRU69" s="10"/>
      <c r="VRV69" s="10"/>
      <c r="VRW69" s="10"/>
      <c r="VRX69" s="10"/>
      <c r="VRY69" s="10"/>
      <c r="VRZ69" s="10"/>
      <c r="VSA69" s="10"/>
      <c r="VSB69" s="10"/>
      <c r="VSC69" s="10"/>
      <c r="VSD69" s="10"/>
      <c r="VSE69" s="10"/>
      <c r="VSF69" s="10"/>
      <c r="VSG69" s="10"/>
      <c r="VSH69" s="10"/>
      <c r="VSI69" s="10"/>
      <c r="VSJ69" s="10"/>
      <c r="VSK69" s="10"/>
      <c r="VSL69" s="10"/>
      <c r="VSM69" s="10"/>
      <c r="VSN69" s="10"/>
      <c r="VSO69" s="10"/>
      <c r="VSP69" s="10"/>
      <c r="VSQ69" s="10"/>
      <c r="VSR69" s="10"/>
      <c r="VSS69" s="10"/>
      <c r="VST69" s="10"/>
      <c r="VSU69" s="10"/>
      <c r="VSV69" s="10"/>
      <c r="VSW69" s="10"/>
      <c r="VSX69" s="10"/>
      <c r="VSY69" s="10"/>
      <c r="VSZ69" s="10"/>
      <c r="VTA69" s="10"/>
      <c r="VTB69" s="10"/>
      <c r="VTC69" s="10"/>
      <c r="VTD69" s="10"/>
      <c r="VTE69" s="10"/>
      <c r="VTF69" s="10"/>
      <c r="VTG69" s="10"/>
      <c r="VTH69" s="10"/>
      <c r="VTI69" s="10"/>
      <c r="VTJ69" s="10"/>
      <c r="VTK69" s="10"/>
      <c r="VTL69" s="10"/>
      <c r="VTM69" s="10"/>
      <c r="VTN69" s="10"/>
      <c r="VTO69" s="10"/>
      <c r="VTP69" s="10"/>
      <c r="VTQ69" s="10"/>
      <c r="VTR69" s="10"/>
      <c r="VTS69" s="10"/>
      <c r="VTT69" s="10"/>
      <c r="VTU69" s="10"/>
      <c r="VTV69" s="10"/>
      <c r="VTW69" s="10"/>
      <c r="VTX69" s="10"/>
      <c r="VTY69" s="10"/>
      <c r="VTZ69" s="10"/>
      <c r="VUA69" s="10"/>
      <c r="VUB69" s="10"/>
      <c r="VUC69" s="10"/>
      <c r="VUD69" s="10"/>
      <c r="VUE69" s="10"/>
      <c r="VUF69" s="10"/>
      <c r="VUG69" s="10"/>
      <c r="VUH69" s="10"/>
      <c r="VUI69" s="10"/>
      <c r="VUJ69" s="10"/>
      <c r="VUK69" s="10"/>
      <c r="VUL69" s="10"/>
      <c r="VUM69" s="10"/>
      <c r="VUN69" s="10"/>
      <c r="VUO69" s="10"/>
      <c r="VUP69" s="10"/>
      <c r="VUQ69" s="10"/>
      <c r="VUR69" s="10"/>
      <c r="VUS69" s="10"/>
      <c r="VUT69" s="10"/>
      <c r="VUU69" s="10"/>
      <c r="VUV69" s="10"/>
      <c r="VUW69" s="10"/>
      <c r="VUX69" s="10"/>
      <c r="VUY69" s="10"/>
      <c r="VUZ69" s="10"/>
      <c r="VVA69" s="10"/>
      <c r="VVB69" s="10"/>
      <c r="VVC69" s="10"/>
      <c r="VVD69" s="10"/>
      <c r="VVE69" s="10"/>
      <c r="VVF69" s="10"/>
      <c r="VVG69" s="10"/>
      <c r="VVH69" s="10"/>
      <c r="VVI69" s="10"/>
      <c r="VVJ69" s="10"/>
      <c r="VVK69" s="10"/>
      <c r="VVL69" s="10"/>
      <c r="VVM69" s="10"/>
      <c r="VVN69" s="10"/>
      <c r="VVO69" s="10"/>
      <c r="VVP69" s="10"/>
      <c r="VVQ69" s="10"/>
      <c r="VVR69" s="10"/>
      <c r="VVS69" s="10"/>
      <c r="VVT69" s="10"/>
      <c r="VVU69" s="10"/>
      <c r="VVV69" s="10"/>
      <c r="VVW69" s="10"/>
      <c r="VVX69" s="10"/>
      <c r="VVY69" s="10"/>
      <c r="VVZ69" s="10"/>
      <c r="VWA69" s="10"/>
      <c r="VWB69" s="10"/>
      <c r="VWC69" s="10"/>
      <c r="VWD69" s="10"/>
      <c r="VWE69" s="10"/>
      <c r="VWF69" s="10"/>
      <c r="VWG69" s="10"/>
      <c r="VWH69" s="10"/>
      <c r="VWI69" s="10"/>
      <c r="VWJ69" s="10"/>
      <c r="VWK69" s="10"/>
      <c r="VWL69" s="10"/>
      <c r="VWM69" s="10"/>
      <c r="VWN69" s="10"/>
      <c r="VWO69" s="10"/>
      <c r="VWP69" s="10"/>
      <c r="VWQ69" s="10"/>
      <c r="VWR69" s="10"/>
      <c r="VWS69" s="10"/>
      <c r="VWT69" s="10"/>
      <c r="VWU69" s="10"/>
      <c r="VWV69" s="10"/>
      <c r="VWW69" s="10"/>
      <c r="VWX69" s="10"/>
      <c r="VWY69" s="10"/>
      <c r="VWZ69" s="10"/>
      <c r="VXA69" s="10"/>
      <c r="VXB69" s="10"/>
      <c r="VXC69" s="10"/>
      <c r="VXD69" s="10"/>
      <c r="VXE69" s="10"/>
      <c r="VXF69" s="10"/>
      <c r="VXG69" s="10"/>
      <c r="VXH69" s="10"/>
      <c r="VXI69" s="10"/>
      <c r="VXJ69" s="10"/>
      <c r="VXK69" s="10"/>
      <c r="VXL69" s="10"/>
      <c r="VXM69" s="10"/>
      <c r="VXN69" s="10"/>
      <c r="VXO69" s="10"/>
      <c r="VXP69" s="10"/>
      <c r="VXQ69" s="10"/>
      <c r="VXR69" s="10"/>
      <c r="VXS69" s="10"/>
      <c r="VXT69" s="10"/>
      <c r="VXU69" s="10"/>
      <c r="VXV69" s="10"/>
      <c r="VXW69" s="10"/>
      <c r="VXX69" s="10"/>
      <c r="VXY69" s="10"/>
      <c r="VXZ69" s="10"/>
      <c r="VYA69" s="10"/>
      <c r="VYB69" s="10"/>
      <c r="VYC69" s="10"/>
      <c r="VYD69" s="10"/>
      <c r="VYE69" s="10"/>
      <c r="VYF69" s="10"/>
      <c r="VYG69" s="10"/>
      <c r="VYH69" s="10"/>
      <c r="VYI69" s="10"/>
      <c r="VYJ69" s="10"/>
      <c r="VYK69" s="10"/>
      <c r="VYL69" s="10"/>
      <c r="VYM69" s="10"/>
      <c r="VYN69" s="10"/>
      <c r="VYO69" s="10"/>
      <c r="VYP69" s="10"/>
      <c r="VYQ69" s="10"/>
      <c r="VYR69" s="10"/>
      <c r="VYS69" s="10"/>
      <c r="VYT69" s="10"/>
      <c r="VYU69" s="10"/>
      <c r="VYV69" s="10"/>
      <c r="VYW69" s="10"/>
      <c r="VYX69" s="10"/>
      <c r="VYY69" s="10"/>
      <c r="VYZ69" s="10"/>
      <c r="VZA69" s="10"/>
      <c r="VZB69" s="10"/>
      <c r="VZC69" s="10"/>
      <c r="VZD69" s="10"/>
      <c r="VZE69" s="10"/>
      <c r="VZF69" s="10"/>
      <c r="VZG69" s="10"/>
      <c r="VZH69" s="10"/>
      <c r="VZI69" s="10"/>
      <c r="VZJ69" s="10"/>
      <c r="VZK69" s="10"/>
      <c r="VZL69" s="10"/>
      <c r="VZM69" s="10"/>
      <c r="VZN69" s="10"/>
      <c r="VZO69" s="10"/>
      <c r="VZP69" s="10"/>
      <c r="VZQ69" s="10"/>
      <c r="VZR69" s="10"/>
      <c r="VZS69" s="10"/>
      <c r="VZT69" s="10"/>
      <c r="VZU69" s="10"/>
      <c r="VZV69" s="10"/>
      <c r="VZW69" s="10"/>
      <c r="VZX69" s="10"/>
      <c r="VZY69" s="10"/>
      <c r="VZZ69" s="10"/>
      <c r="WAA69" s="10"/>
      <c r="WAB69" s="10"/>
      <c r="WAC69" s="10"/>
      <c r="WAD69" s="10"/>
      <c r="WAE69" s="10"/>
      <c r="WAF69" s="10"/>
      <c r="WAG69" s="10"/>
      <c r="WAH69" s="10"/>
      <c r="WAI69" s="10"/>
      <c r="WAJ69" s="10"/>
      <c r="WAK69" s="10"/>
      <c r="WAL69" s="10"/>
      <c r="WAM69" s="10"/>
      <c r="WAN69" s="10"/>
      <c r="WAO69" s="10"/>
      <c r="WAP69" s="10"/>
      <c r="WAQ69" s="10"/>
      <c r="WAR69" s="10"/>
      <c r="WAS69" s="10"/>
      <c r="WAT69" s="10"/>
      <c r="WAU69" s="10"/>
      <c r="WAV69" s="10"/>
      <c r="WAW69" s="10"/>
      <c r="WAX69" s="10"/>
      <c r="WAY69" s="10"/>
      <c r="WAZ69" s="10"/>
      <c r="WBA69" s="10"/>
      <c r="WBB69" s="10"/>
      <c r="WBC69" s="10"/>
      <c r="WBD69" s="10"/>
      <c r="WBE69" s="10"/>
      <c r="WBF69" s="10"/>
      <c r="WBG69" s="10"/>
      <c r="WBH69" s="10"/>
      <c r="WBI69" s="10"/>
      <c r="WBJ69" s="10"/>
      <c r="WBK69" s="10"/>
      <c r="WBL69" s="10"/>
      <c r="WBM69" s="10"/>
      <c r="WBN69" s="10"/>
      <c r="WBO69" s="10"/>
      <c r="WBP69" s="10"/>
      <c r="WBQ69" s="10"/>
      <c r="WBR69" s="10"/>
      <c r="WBS69" s="10"/>
      <c r="WBT69" s="10"/>
      <c r="WBU69" s="10"/>
      <c r="WBV69" s="10"/>
      <c r="WBW69" s="10"/>
      <c r="WBX69" s="10"/>
      <c r="WBY69" s="10"/>
      <c r="WBZ69" s="10"/>
      <c r="WCA69" s="10"/>
      <c r="WCB69" s="10"/>
      <c r="WCC69" s="10"/>
      <c r="WCD69" s="10"/>
      <c r="WCE69" s="10"/>
      <c r="WCF69" s="10"/>
      <c r="WCG69" s="10"/>
      <c r="WCH69" s="10"/>
      <c r="WCI69" s="10"/>
      <c r="WCJ69" s="10"/>
      <c r="WCK69" s="10"/>
      <c r="WCL69" s="10"/>
      <c r="WCM69" s="10"/>
      <c r="WCN69" s="10"/>
      <c r="WCO69" s="10"/>
      <c r="WCP69" s="10"/>
      <c r="WCQ69" s="10"/>
      <c r="WCR69" s="10"/>
      <c r="WCS69" s="10"/>
      <c r="WCT69" s="10"/>
      <c r="WCU69" s="10"/>
      <c r="WCV69" s="10"/>
      <c r="WCW69" s="10"/>
      <c r="WCX69" s="10"/>
      <c r="WCY69" s="10"/>
      <c r="WCZ69" s="10"/>
      <c r="WDA69" s="10"/>
      <c r="WDB69" s="10"/>
      <c r="WDC69" s="10"/>
      <c r="WDD69" s="10"/>
      <c r="WDE69" s="10"/>
      <c r="WDF69" s="10"/>
      <c r="WDG69" s="10"/>
      <c r="WDH69" s="10"/>
      <c r="WDI69" s="10"/>
      <c r="WDJ69" s="10"/>
      <c r="WDK69" s="10"/>
      <c r="WDL69" s="10"/>
      <c r="WDM69" s="10"/>
      <c r="WDN69" s="10"/>
      <c r="WDO69" s="10"/>
      <c r="WDP69" s="10"/>
      <c r="WDQ69" s="10"/>
      <c r="WDR69" s="10"/>
      <c r="WDS69" s="10"/>
      <c r="WDT69" s="10"/>
      <c r="WDU69" s="10"/>
      <c r="WDV69" s="10"/>
      <c r="WDW69" s="10"/>
      <c r="WDX69" s="10"/>
      <c r="WDY69" s="10"/>
      <c r="WDZ69" s="10"/>
      <c r="WEA69" s="10"/>
      <c r="WEB69" s="10"/>
      <c r="WEC69" s="10"/>
      <c r="WED69" s="10"/>
      <c r="WEE69" s="10"/>
      <c r="WEF69" s="10"/>
      <c r="WEG69" s="10"/>
      <c r="WEH69" s="10"/>
      <c r="WEI69" s="10"/>
      <c r="WEJ69" s="10"/>
      <c r="WEK69" s="10"/>
      <c r="WEL69" s="10"/>
      <c r="WEM69" s="10"/>
      <c r="WEN69" s="10"/>
      <c r="WEO69" s="10"/>
      <c r="WEP69" s="10"/>
      <c r="WEQ69" s="10"/>
      <c r="WER69" s="10"/>
      <c r="WES69" s="10"/>
      <c r="WET69" s="10"/>
      <c r="WEU69" s="10"/>
      <c r="WEV69" s="10"/>
      <c r="WEW69" s="10"/>
      <c r="WEX69" s="10"/>
      <c r="WEY69" s="10"/>
      <c r="WEZ69" s="10"/>
      <c r="WFA69" s="10"/>
      <c r="WFB69" s="10"/>
      <c r="WFC69" s="10"/>
      <c r="WFD69" s="10"/>
      <c r="WFE69" s="10"/>
      <c r="WFF69" s="10"/>
      <c r="WFG69" s="10"/>
      <c r="WFH69" s="10"/>
      <c r="WFI69" s="10"/>
      <c r="WFJ69" s="10"/>
      <c r="WFK69" s="10"/>
      <c r="WFL69" s="10"/>
      <c r="WFM69" s="10"/>
      <c r="WFN69" s="10"/>
      <c r="WFO69" s="10"/>
      <c r="WFP69" s="10"/>
      <c r="WFQ69" s="10"/>
      <c r="WFR69" s="10"/>
      <c r="WFS69" s="10"/>
      <c r="WFT69" s="10"/>
      <c r="WFU69" s="10"/>
      <c r="WFV69" s="10"/>
      <c r="WFW69" s="10"/>
      <c r="WFX69" s="10"/>
      <c r="WFY69" s="10"/>
      <c r="WFZ69" s="10"/>
      <c r="WGA69" s="10"/>
      <c r="WGB69" s="10"/>
      <c r="WGC69" s="10"/>
      <c r="WGD69" s="10"/>
      <c r="WGE69" s="10"/>
      <c r="WGF69" s="10"/>
      <c r="WGG69" s="10"/>
      <c r="WGH69" s="10"/>
      <c r="WGI69" s="10"/>
      <c r="WGJ69" s="10"/>
      <c r="WGK69" s="10"/>
      <c r="WGL69" s="10"/>
      <c r="WGM69" s="10"/>
      <c r="WGN69" s="10"/>
      <c r="WGO69" s="10"/>
      <c r="WGP69" s="10"/>
      <c r="WGQ69" s="10"/>
      <c r="WGR69" s="10"/>
      <c r="WGS69" s="10"/>
      <c r="WGT69" s="10"/>
      <c r="WGU69" s="10"/>
      <c r="WGV69" s="10"/>
      <c r="WGW69" s="10"/>
      <c r="WGX69" s="10"/>
      <c r="WGY69" s="10"/>
      <c r="WGZ69" s="10"/>
      <c r="WHA69" s="10"/>
      <c r="WHB69" s="10"/>
      <c r="WHC69" s="10"/>
      <c r="WHD69" s="10"/>
      <c r="WHE69" s="10"/>
      <c r="WHF69" s="10"/>
      <c r="WHG69" s="10"/>
      <c r="WHH69" s="10"/>
      <c r="WHI69" s="10"/>
      <c r="WHJ69" s="10"/>
      <c r="WHK69" s="10"/>
      <c r="WHL69" s="10"/>
      <c r="WHM69" s="10"/>
      <c r="WHN69" s="10"/>
      <c r="WHO69" s="10"/>
      <c r="WHP69" s="10"/>
      <c r="WHQ69" s="10"/>
      <c r="WHR69" s="10"/>
      <c r="WHS69" s="10"/>
      <c r="WHT69" s="10"/>
      <c r="WHU69" s="10"/>
      <c r="WHV69" s="10"/>
      <c r="WHW69" s="10"/>
      <c r="WHX69" s="10"/>
      <c r="WHY69" s="10"/>
      <c r="WHZ69" s="10"/>
      <c r="WIA69" s="10"/>
      <c r="WIB69" s="10"/>
      <c r="WIC69" s="10"/>
      <c r="WID69" s="10"/>
      <c r="WIE69" s="10"/>
      <c r="WIF69" s="10"/>
      <c r="WIG69" s="10"/>
      <c r="WIH69" s="10"/>
      <c r="WII69" s="10"/>
      <c r="WIJ69" s="10"/>
      <c r="WIK69" s="10"/>
      <c r="WIL69" s="10"/>
      <c r="WIM69" s="10"/>
      <c r="WIN69" s="10"/>
      <c r="WIO69" s="10"/>
      <c r="WIP69" s="10"/>
      <c r="WIQ69" s="10"/>
      <c r="WIR69" s="10"/>
      <c r="WIS69" s="10"/>
      <c r="WIT69" s="10"/>
      <c r="WIU69" s="10"/>
      <c r="WIV69" s="10"/>
      <c r="WIW69" s="10"/>
      <c r="WIX69" s="10"/>
      <c r="WIY69" s="10"/>
      <c r="WIZ69" s="10"/>
      <c r="WJA69" s="10"/>
      <c r="WJB69" s="10"/>
      <c r="WJC69" s="10"/>
      <c r="WJD69" s="10"/>
      <c r="WJE69" s="10"/>
      <c r="WJF69" s="10"/>
      <c r="WJG69" s="10"/>
      <c r="WJH69" s="10"/>
      <c r="WJI69" s="10"/>
      <c r="WJJ69" s="10"/>
      <c r="WJK69" s="10"/>
      <c r="WJL69" s="10"/>
      <c r="WJM69" s="10"/>
      <c r="WJN69" s="10"/>
      <c r="WJO69" s="10"/>
      <c r="WJP69" s="10"/>
      <c r="WJQ69" s="10"/>
      <c r="WJR69" s="10"/>
      <c r="WJS69" s="10"/>
      <c r="WJT69" s="10"/>
      <c r="WJU69" s="10"/>
      <c r="WJV69" s="10"/>
      <c r="WJW69" s="10"/>
      <c r="WJX69" s="10"/>
      <c r="WJY69" s="10"/>
      <c r="WJZ69" s="10"/>
      <c r="WKA69" s="10"/>
      <c r="WKB69" s="10"/>
      <c r="WKC69" s="10"/>
      <c r="WKD69" s="10"/>
      <c r="WKE69" s="10"/>
      <c r="WKF69" s="10"/>
      <c r="WKG69" s="10"/>
      <c r="WKH69" s="10"/>
      <c r="WKI69" s="10"/>
      <c r="WKJ69" s="10"/>
      <c r="WKK69" s="10"/>
      <c r="WKL69" s="10"/>
      <c r="WKM69" s="10"/>
      <c r="WKN69" s="10"/>
      <c r="WKO69" s="10"/>
      <c r="WKP69" s="10"/>
      <c r="WKQ69" s="10"/>
      <c r="WKR69" s="10"/>
      <c r="WKS69" s="10"/>
      <c r="WKT69" s="10"/>
      <c r="WKU69" s="10"/>
      <c r="WKV69" s="10"/>
      <c r="WKW69" s="10"/>
      <c r="WKX69" s="10"/>
      <c r="WKY69" s="10"/>
      <c r="WKZ69" s="10"/>
      <c r="WLA69" s="10"/>
      <c r="WLB69" s="10"/>
      <c r="WLC69" s="10"/>
      <c r="WLD69" s="10"/>
      <c r="WLE69" s="10"/>
      <c r="WLF69" s="10"/>
      <c r="WLG69" s="10"/>
      <c r="WLH69" s="10"/>
      <c r="WLI69" s="10"/>
      <c r="WLJ69" s="10"/>
      <c r="WLK69" s="10"/>
      <c r="WLL69" s="10"/>
      <c r="WLM69" s="10"/>
      <c r="WLN69" s="10"/>
      <c r="WLO69" s="10"/>
      <c r="WLP69" s="10"/>
      <c r="WLQ69" s="10"/>
      <c r="WLR69" s="10"/>
      <c r="WLS69" s="10"/>
      <c r="WLT69" s="10"/>
      <c r="WLU69" s="10"/>
      <c r="WLV69" s="10"/>
      <c r="WLW69" s="10"/>
      <c r="WLX69" s="10"/>
      <c r="WLY69" s="10"/>
      <c r="WLZ69" s="10"/>
      <c r="WMA69" s="10"/>
      <c r="WMB69" s="10"/>
      <c r="WMC69" s="10"/>
      <c r="WMD69" s="10"/>
      <c r="WME69" s="10"/>
      <c r="WMF69" s="10"/>
      <c r="WMG69" s="10"/>
      <c r="WMH69" s="10"/>
      <c r="WMI69" s="10"/>
      <c r="WMJ69" s="10"/>
      <c r="WMK69" s="10"/>
      <c r="WML69" s="10"/>
      <c r="WMM69" s="10"/>
      <c r="WMN69" s="10"/>
      <c r="WMO69" s="10"/>
      <c r="WMP69" s="10"/>
      <c r="WMQ69" s="10"/>
      <c r="WMR69" s="10"/>
      <c r="WMS69" s="10"/>
      <c r="WMT69" s="10"/>
      <c r="WMU69" s="10"/>
      <c r="WMV69" s="10"/>
      <c r="WMW69" s="10"/>
      <c r="WMX69" s="10"/>
      <c r="WMY69" s="10"/>
      <c r="WMZ69" s="10"/>
      <c r="WNA69" s="10"/>
      <c r="WNB69" s="10"/>
      <c r="WNC69" s="10"/>
      <c r="WND69" s="10"/>
      <c r="WNE69" s="10"/>
      <c r="WNF69" s="10"/>
      <c r="WNG69" s="10"/>
      <c r="WNH69" s="10"/>
      <c r="WNI69" s="10"/>
      <c r="WNJ69" s="10"/>
      <c r="WNK69" s="10"/>
      <c r="WNL69" s="10"/>
      <c r="WNM69" s="10"/>
      <c r="WNN69" s="10"/>
      <c r="WNO69" s="10"/>
      <c r="WNP69" s="10"/>
      <c r="WNQ69" s="10"/>
      <c r="WNR69" s="10"/>
      <c r="WNS69" s="10"/>
      <c r="WNT69" s="10"/>
      <c r="WNU69" s="10"/>
      <c r="WNV69" s="10"/>
      <c r="WNW69" s="10"/>
      <c r="WNX69" s="10"/>
      <c r="WNY69" s="10"/>
      <c r="WNZ69" s="10"/>
      <c r="WOA69" s="10"/>
      <c r="WOB69" s="10"/>
      <c r="WOC69" s="10"/>
      <c r="WOD69" s="10"/>
      <c r="WOE69" s="10"/>
      <c r="WOF69" s="10"/>
      <c r="WOG69" s="10"/>
      <c r="WOH69" s="10"/>
      <c r="WOI69" s="10"/>
      <c r="WOJ69" s="10"/>
      <c r="WOK69" s="10"/>
      <c r="WOL69" s="10"/>
      <c r="WOM69" s="10"/>
      <c r="WON69" s="10"/>
      <c r="WOO69" s="10"/>
      <c r="WOP69" s="10"/>
      <c r="WOQ69" s="10"/>
      <c r="WOR69" s="10"/>
      <c r="WOS69" s="10"/>
      <c r="WOT69" s="10"/>
      <c r="WOU69" s="10"/>
      <c r="WOV69" s="10"/>
      <c r="WOW69" s="10"/>
      <c r="WOX69" s="10"/>
      <c r="WOY69" s="10"/>
      <c r="WOZ69" s="10"/>
      <c r="WPA69" s="10"/>
      <c r="WPB69" s="10"/>
      <c r="WPC69" s="10"/>
      <c r="WPD69" s="10"/>
      <c r="WPE69" s="10"/>
      <c r="WPF69" s="10"/>
      <c r="WPG69" s="10"/>
      <c r="WPH69" s="10"/>
      <c r="WPI69" s="10"/>
      <c r="WPJ69" s="10"/>
      <c r="WPK69" s="10"/>
      <c r="WPL69" s="10"/>
      <c r="WPM69" s="10"/>
      <c r="WPN69" s="10"/>
      <c r="WPO69" s="10"/>
      <c r="WPP69" s="10"/>
      <c r="WPQ69" s="10"/>
      <c r="WPR69" s="10"/>
      <c r="WPS69" s="10"/>
      <c r="WPT69" s="10"/>
      <c r="WPU69" s="10"/>
      <c r="WPV69" s="10"/>
      <c r="WPW69" s="10"/>
      <c r="WPX69" s="10"/>
      <c r="WPY69" s="10"/>
      <c r="WPZ69" s="10"/>
      <c r="WQA69" s="10"/>
      <c r="WQB69" s="10"/>
      <c r="WQC69" s="10"/>
      <c r="WQD69" s="10"/>
      <c r="WQE69" s="10"/>
      <c r="WQF69" s="10"/>
      <c r="WQG69" s="10"/>
      <c r="WQH69" s="10"/>
      <c r="WQI69" s="10"/>
      <c r="WQJ69" s="10"/>
      <c r="WQK69" s="10"/>
      <c r="WQL69" s="10"/>
      <c r="WQM69" s="10"/>
      <c r="WQN69" s="10"/>
      <c r="WQO69" s="10"/>
      <c r="WQP69" s="10"/>
      <c r="WQQ69" s="10"/>
      <c r="WQR69" s="10"/>
      <c r="WQS69" s="10"/>
      <c r="WQT69" s="10"/>
      <c r="WQU69" s="10"/>
      <c r="WQV69" s="10"/>
      <c r="WQW69" s="10"/>
      <c r="WQX69" s="10"/>
      <c r="WQY69" s="10"/>
      <c r="WQZ69" s="10"/>
      <c r="WRA69" s="10"/>
      <c r="WRB69" s="10"/>
      <c r="WRC69" s="10"/>
      <c r="WRD69" s="10"/>
      <c r="WRE69" s="10"/>
      <c r="WRF69" s="10"/>
      <c r="WRG69" s="10"/>
      <c r="WRH69" s="10"/>
      <c r="WRI69" s="10"/>
      <c r="WRJ69" s="10"/>
      <c r="WRK69" s="10"/>
      <c r="WRL69" s="10"/>
      <c r="WRM69" s="10"/>
      <c r="WRN69" s="10"/>
      <c r="WRO69" s="10"/>
      <c r="WRP69" s="10"/>
      <c r="WRQ69" s="10"/>
      <c r="WRR69" s="10"/>
      <c r="WRS69" s="10"/>
      <c r="WRT69" s="10"/>
      <c r="WRU69" s="10"/>
      <c r="WRV69" s="10"/>
      <c r="WRW69" s="10"/>
      <c r="WRX69" s="10"/>
      <c r="WRY69" s="10"/>
      <c r="WRZ69" s="10"/>
      <c r="WSA69" s="10"/>
      <c r="WSB69" s="10"/>
      <c r="WSC69" s="10"/>
      <c r="WSD69" s="10"/>
      <c r="WSE69" s="10"/>
      <c r="WSF69" s="10"/>
      <c r="WSG69" s="10"/>
      <c r="WSH69" s="10"/>
      <c r="WSI69" s="10"/>
      <c r="WSJ69" s="10"/>
      <c r="WSK69" s="10"/>
      <c r="WSL69" s="10"/>
      <c r="WSM69" s="10"/>
      <c r="WSN69" s="10"/>
      <c r="WSO69" s="10"/>
      <c r="WSP69" s="10"/>
      <c r="WSQ69" s="10"/>
      <c r="WSR69" s="10"/>
      <c r="WSS69" s="10"/>
      <c r="WST69" s="10"/>
      <c r="WSU69" s="10"/>
      <c r="WSV69" s="10"/>
      <c r="WSW69" s="10"/>
      <c r="WSX69" s="10"/>
      <c r="WSY69" s="10"/>
      <c r="WSZ69" s="10"/>
      <c r="WTA69" s="10"/>
      <c r="WTB69" s="10"/>
      <c r="WTC69" s="10"/>
      <c r="WTD69" s="10"/>
      <c r="WTE69" s="10"/>
      <c r="WTF69" s="10"/>
      <c r="WTG69" s="10"/>
      <c r="WTH69" s="10"/>
      <c r="WTI69" s="10"/>
      <c r="WTJ69" s="10"/>
      <c r="WTK69" s="10"/>
      <c r="WTL69" s="10"/>
      <c r="WTM69" s="10"/>
      <c r="WTN69" s="10"/>
      <c r="WTO69" s="10"/>
      <c r="WTP69" s="10"/>
      <c r="WTQ69" s="10"/>
      <c r="WTR69" s="10"/>
      <c r="WTS69" s="10"/>
      <c r="WTT69" s="10"/>
      <c r="WTU69" s="10"/>
      <c r="WTV69" s="10"/>
      <c r="WTW69" s="10"/>
      <c r="WTX69" s="10"/>
      <c r="WTY69" s="10"/>
      <c r="WTZ69" s="10"/>
      <c r="WUA69" s="10"/>
      <c r="WUB69" s="10"/>
      <c r="WUC69" s="10"/>
      <c r="WUD69" s="10"/>
      <c r="WUE69" s="10"/>
      <c r="WUF69" s="10"/>
      <c r="WUG69" s="10"/>
      <c r="WUH69" s="10"/>
      <c r="WUI69" s="10"/>
      <c r="WUJ69" s="10"/>
      <c r="WUK69" s="10"/>
      <c r="WUL69" s="10"/>
      <c r="WUM69" s="10"/>
      <c r="WUN69" s="10"/>
      <c r="WUO69" s="10"/>
      <c r="WUP69" s="10"/>
      <c r="WUQ69" s="10"/>
      <c r="WUR69" s="10"/>
      <c r="WUS69" s="10"/>
      <c r="WUT69" s="10"/>
      <c r="WUU69" s="10"/>
      <c r="WUV69" s="10"/>
      <c r="WUW69" s="10"/>
      <c r="WUX69" s="10"/>
      <c r="WUY69" s="10"/>
      <c r="WUZ69" s="10"/>
      <c r="WVA69" s="10"/>
      <c r="WVB69" s="10"/>
      <c r="WVC69" s="10"/>
      <c r="WVD69" s="10"/>
      <c r="WVE69" s="10"/>
      <c r="WVF69" s="10"/>
      <c r="WVG69" s="10"/>
      <c r="WVH69" s="10"/>
      <c r="WVI69" s="10"/>
      <c r="WVJ69" s="10"/>
      <c r="WVK69" s="10"/>
      <c r="WVL69" s="10"/>
      <c r="WVM69" s="10"/>
      <c r="WVN69" s="10"/>
      <c r="WVO69" s="10"/>
      <c r="WVP69" s="10"/>
      <c r="WVQ69" s="10"/>
      <c r="WVR69" s="10"/>
      <c r="WVS69" s="10"/>
      <c r="WVT69" s="10"/>
    </row>
    <row r="74" spans="2:16140" s="105" customFormat="1" ht="21" customHeight="1">
      <c r="B74" s="338"/>
      <c r="C74" s="339"/>
      <c r="D74" s="340"/>
      <c r="E74" s="340"/>
      <c r="F74" s="341"/>
      <c r="G74" s="342"/>
      <c r="H74" s="343"/>
      <c r="I74" s="343"/>
      <c r="J74" s="343"/>
      <c r="K74" s="343"/>
      <c r="L74" s="344"/>
      <c r="N74" s="104"/>
    </row>
    <row r="82" spans="2:14" s="352" customFormat="1" ht="21" customHeight="1">
      <c r="B82" s="345"/>
      <c r="C82" s="346"/>
      <c r="D82" s="347"/>
      <c r="E82" s="347"/>
      <c r="F82" s="348"/>
      <c r="G82" s="349"/>
      <c r="H82" s="350"/>
      <c r="I82" s="350"/>
      <c r="J82" s="350"/>
      <c r="K82" s="350"/>
      <c r="L82" s="351"/>
      <c r="N82" s="353"/>
    </row>
    <row r="123" spans="2:14" s="105" customFormat="1" ht="21" customHeight="1">
      <c r="B123" s="338"/>
      <c r="C123" s="339"/>
      <c r="D123" s="340"/>
      <c r="E123" s="340"/>
      <c r="F123" s="341"/>
      <c r="G123" s="342"/>
      <c r="H123" s="343"/>
      <c r="I123" s="343"/>
      <c r="J123" s="343"/>
      <c r="K123" s="343"/>
      <c r="L123" s="344"/>
      <c r="N123" s="104"/>
    </row>
  </sheetData>
  <mergeCells count="7">
    <mergeCell ref="L4:L5"/>
    <mergeCell ref="B4:B5"/>
    <mergeCell ref="D4:D5"/>
    <mergeCell ref="E4:E5"/>
    <mergeCell ref="F4:F5"/>
    <mergeCell ref="G4:G5"/>
    <mergeCell ref="H4:K4"/>
  </mergeCells>
  <phoneticPr fontId="3" type="noConversion"/>
  <printOptions horizontalCentered="1"/>
  <pageMargins left="0.19685039370078741" right="0.19685039370078741" top="0.19685039370078741" bottom="0.19685039370078741" header="0.31496062992125984" footer="0.31496062992125984"/>
  <pageSetup paperSize="9" scale="59" orientation="landscape" r:id="rId1"/>
  <ignoredErrors>
    <ignoredError sqref="H29:I29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transitionEvaluation="1" transitionEntry="1">
    <tabColor theme="8"/>
    <pageSetUpPr fitToPage="1"/>
  </sheetPr>
  <dimension ref="B4:V229"/>
  <sheetViews>
    <sheetView showGridLines="0" tabSelected="1" view="pageBreakPreview" zoomScale="50" zoomScaleNormal="70" zoomScaleSheetLayoutView="50" workbookViewId="0">
      <pane xSplit="2" ySplit="6" topLeftCell="D7" activePane="bottomRight" state="frozen"/>
      <selection activeCell="I26" sqref="I26"/>
      <selection pane="topRight" activeCell="I26" sqref="I26"/>
      <selection pane="bottomLeft" activeCell="I26" sqref="I26"/>
      <selection pane="bottomRight" activeCell="I189" sqref="I189"/>
    </sheetView>
  </sheetViews>
  <sheetFormatPr defaultRowHeight="21" customHeight="1"/>
  <cols>
    <col min="1" max="1" width="2.625" style="10" customWidth="1"/>
    <col min="2" max="2" width="6.375" style="241" bestFit="1" customWidth="1"/>
    <col min="3" max="3" width="40.125" style="242" hidden="1" customWidth="1"/>
    <col min="4" max="4" width="56.125" style="242" bestFit="1" customWidth="1"/>
    <col min="5" max="5" width="149.625" style="242" customWidth="1"/>
    <col min="6" max="6" width="101.125" style="243" hidden="1" customWidth="1"/>
    <col min="7" max="7" width="58.75" style="243" hidden="1" customWidth="1"/>
    <col min="8" max="8" width="10.125" style="244" customWidth="1"/>
    <col min="9" max="9" width="11" style="245" customWidth="1"/>
    <col min="10" max="10" width="11" style="379" hidden="1" customWidth="1"/>
    <col min="11" max="14" width="16.625" style="246" customWidth="1"/>
    <col min="15" max="15" width="19.125" style="246" customWidth="1"/>
    <col min="16" max="16" width="36.375" style="243" customWidth="1"/>
    <col min="17" max="17" width="2.625" style="10" customWidth="1"/>
    <col min="18" max="18" width="0" style="18" hidden="1" customWidth="1"/>
    <col min="19" max="19" width="9.625" style="10" hidden="1" customWidth="1"/>
    <col min="20" max="20" width="9" style="50"/>
    <col min="21" max="21" width="12.125" style="50" bestFit="1" customWidth="1"/>
    <col min="22" max="258" width="9" style="10"/>
    <col min="259" max="259" width="7.125" style="10" customWidth="1"/>
    <col min="260" max="260" width="49.625" style="10" bestFit="1" customWidth="1"/>
    <col min="261" max="261" width="36.875" style="10" customWidth="1"/>
    <col min="262" max="262" width="8.5" style="10" customWidth="1"/>
    <col min="263" max="263" width="11" style="10" customWidth="1"/>
    <col min="264" max="269" width="15" style="10" customWidth="1"/>
    <col min="270" max="270" width="19.625" style="10" customWidth="1"/>
    <col min="271" max="514" width="9" style="10"/>
    <col min="515" max="515" width="7.125" style="10" customWidth="1"/>
    <col min="516" max="516" width="49.625" style="10" bestFit="1" customWidth="1"/>
    <col min="517" max="517" width="36.875" style="10" customWidth="1"/>
    <col min="518" max="518" width="8.5" style="10" customWidth="1"/>
    <col min="519" max="519" width="11" style="10" customWidth="1"/>
    <col min="520" max="525" width="15" style="10" customWidth="1"/>
    <col min="526" max="526" width="19.625" style="10" customWidth="1"/>
    <col min="527" max="770" width="9" style="10"/>
    <col min="771" max="771" width="7.125" style="10" customWidth="1"/>
    <col min="772" max="772" width="49.625" style="10" bestFit="1" customWidth="1"/>
    <col min="773" max="773" width="36.875" style="10" customWidth="1"/>
    <col min="774" max="774" width="8.5" style="10" customWidth="1"/>
    <col min="775" max="775" width="11" style="10" customWidth="1"/>
    <col min="776" max="781" width="15" style="10" customWidth="1"/>
    <col min="782" max="782" width="19.625" style="10" customWidth="1"/>
    <col min="783" max="1026" width="9" style="10"/>
    <col min="1027" max="1027" width="7.125" style="10" customWidth="1"/>
    <col min="1028" max="1028" width="49.625" style="10" bestFit="1" customWidth="1"/>
    <col min="1029" max="1029" width="36.875" style="10" customWidth="1"/>
    <col min="1030" max="1030" width="8.5" style="10" customWidth="1"/>
    <col min="1031" max="1031" width="11" style="10" customWidth="1"/>
    <col min="1032" max="1037" width="15" style="10" customWidth="1"/>
    <col min="1038" max="1038" width="19.625" style="10" customWidth="1"/>
    <col min="1039" max="1282" width="9" style="10"/>
    <col min="1283" max="1283" width="7.125" style="10" customWidth="1"/>
    <col min="1284" max="1284" width="49.625" style="10" bestFit="1" customWidth="1"/>
    <col min="1285" max="1285" width="36.875" style="10" customWidth="1"/>
    <col min="1286" max="1286" width="8.5" style="10" customWidth="1"/>
    <col min="1287" max="1287" width="11" style="10" customWidth="1"/>
    <col min="1288" max="1293" width="15" style="10" customWidth="1"/>
    <col min="1294" max="1294" width="19.625" style="10" customWidth="1"/>
    <col min="1295" max="1538" width="9" style="10"/>
    <col min="1539" max="1539" width="7.125" style="10" customWidth="1"/>
    <col min="1540" max="1540" width="49.625" style="10" bestFit="1" customWidth="1"/>
    <col min="1541" max="1541" width="36.875" style="10" customWidth="1"/>
    <col min="1542" max="1542" width="8.5" style="10" customWidth="1"/>
    <col min="1543" max="1543" width="11" style="10" customWidth="1"/>
    <col min="1544" max="1549" width="15" style="10" customWidth="1"/>
    <col min="1550" max="1550" width="19.625" style="10" customWidth="1"/>
    <col min="1551" max="1794" width="9" style="10"/>
    <col min="1795" max="1795" width="7.125" style="10" customWidth="1"/>
    <col min="1796" max="1796" width="49.625" style="10" bestFit="1" customWidth="1"/>
    <col min="1797" max="1797" width="36.875" style="10" customWidth="1"/>
    <col min="1798" max="1798" width="8.5" style="10" customWidth="1"/>
    <col min="1799" max="1799" width="11" style="10" customWidth="1"/>
    <col min="1800" max="1805" width="15" style="10" customWidth="1"/>
    <col min="1806" max="1806" width="19.625" style="10" customWidth="1"/>
    <col min="1807" max="2050" width="9" style="10"/>
    <col min="2051" max="2051" width="7.125" style="10" customWidth="1"/>
    <col min="2052" max="2052" width="49.625" style="10" bestFit="1" customWidth="1"/>
    <col min="2053" max="2053" width="36.875" style="10" customWidth="1"/>
    <col min="2054" max="2054" width="8.5" style="10" customWidth="1"/>
    <col min="2055" max="2055" width="11" style="10" customWidth="1"/>
    <col min="2056" max="2061" width="15" style="10" customWidth="1"/>
    <col min="2062" max="2062" width="19.625" style="10" customWidth="1"/>
    <col min="2063" max="2306" width="9" style="10"/>
    <col min="2307" max="2307" width="7.125" style="10" customWidth="1"/>
    <col min="2308" max="2308" width="49.625" style="10" bestFit="1" customWidth="1"/>
    <col min="2309" max="2309" width="36.875" style="10" customWidth="1"/>
    <col min="2310" max="2310" width="8.5" style="10" customWidth="1"/>
    <col min="2311" max="2311" width="11" style="10" customWidth="1"/>
    <col min="2312" max="2317" width="15" style="10" customWidth="1"/>
    <col min="2318" max="2318" width="19.625" style="10" customWidth="1"/>
    <col min="2319" max="2562" width="9" style="10"/>
    <col min="2563" max="2563" width="7.125" style="10" customWidth="1"/>
    <col min="2564" max="2564" width="49.625" style="10" bestFit="1" customWidth="1"/>
    <col min="2565" max="2565" width="36.875" style="10" customWidth="1"/>
    <col min="2566" max="2566" width="8.5" style="10" customWidth="1"/>
    <col min="2567" max="2567" width="11" style="10" customWidth="1"/>
    <col min="2568" max="2573" width="15" style="10" customWidth="1"/>
    <col min="2574" max="2574" width="19.625" style="10" customWidth="1"/>
    <col min="2575" max="2818" width="9" style="10"/>
    <col min="2819" max="2819" width="7.125" style="10" customWidth="1"/>
    <col min="2820" max="2820" width="49.625" style="10" bestFit="1" customWidth="1"/>
    <col min="2821" max="2821" width="36.875" style="10" customWidth="1"/>
    <col min="2822" max="2822" width="8.5" style="10" customWidth="1"/>
    <col min="2823" max="2823" width="11" style="10" customWidth="1"/>
    <col min="2824" max="2829" width="15" style="10" customWidth="1"/>
    <col min="2830" max="2830" width="19.625" style="10" customWidth="1"/>
    <col min="2831" max="3074" width="9" style="10"/>
    <col min="3075" max="3075" width="7.125" style="10" customWidth="1"/>
    <col min="3076" max="3076" width="49.625" style="10" bestFit="1" customWidth="1"/>
    <col min="3077" max="3077" width="36.875" style="10" customWidth="1"/>
    <col min="3078" max="3078" width="8.5" style="10" customWidth="1"/>
    <col min="3079" max="3079" width="11" style="10" customWidth="1"/>
    <col min="3080" max="3085" width="15" style="10" customWidth="1"/>
    <col min="3086" max="3086" width="19.625" style="10" customWidth="1"/>
    <col min="3087" max="3330" width="9" style="10"/>
    <col min="3331" max="3331" width="7.125" style="10" customWidth="1"/>
    <col min="3332" max="3332" width="49.625" style="10" bestFit="1" customWidth="1"/>
    <col min="3333" max="3333" width="36.875" style="10" customWidth="1"/>
    <col min="3334" max="3334" width="8.5" style="10" customWidth="1"/>
    <col min="3335" max="3335" width="11" style="10" customWidth="1"/>
    <col min="3336" max="3341" width="15" style="10" customWidth="1"/>
    <col min="3342" max="3342" width="19.625" style="10" customWidth="1"/>
    <col min="3343" max="3586" width="9" style="10"/>
    <col min="3587" max="3587" width="7.125" style="10" customWidth="1"/>
    <col min="3588" max="3588" width="49.625" style="10" bestFit="1" customWidth="1"/>
    <col min="3589" max="3589" width="36.875" style="10" customWidth="1"/>
    <col min="3590" max="3590" width="8.5" style="10" customWidth="1"/>
    <col min="3591" max="3591" width="11" style="10" customWidth="1"/>
    <col min="3592" max="3597" width="15" style="10" customWidth="1"/>
    <col min="3598" max="3598" width="19.625" style="10" customWidth="1"/>
    <col min="3599" max="3842" width="9" style="10"/>
    <col min="3843" max="3843" width="7.125" style="10" customWidth="1"/>
    <col min="3844" max="3844" width="49.625" style="10" bestFit="1" customWidth="1"/>
    <col min="3845" max="3845" width="36.875" style="10" customWidth="1"/>
    <col min="3846" max="3846" width="8.5" style="10" customWidth="1"/>
    <col min="3847" max="3847" width="11" style="10" customWidth="1"/>
    <col min="3848" max="3853" width="15" style="10" customWidth="1"/>
    <col min="3854" max="3854" width="19.625" style="10" customWidth="1"/>
    <col min="3855" max="4098" width="9" style="10"/>
    <col min="4099" max="4099" width="7.125" style="10" customWidth="1"/>
    <col min="4100" max="4100" width="49.625" style="10" bestFit="1" customWidth="1"/>
    <col min="4101" max="4101" width="36.875" style="10" customWidth="1"/>
    <col min="4102" max="4102" width="8.5" style="10" customWidth="1"/>
    <col min="4103" max="4103" width="11" style="10" customWidth="1"/>
    <col min="4104" max="4109" width="15" style="10" customWidth="1"/>
    <col min="4110" max="4110" width="19.625" style="10" customWidth="1"/>
    <col min="4111" max="4354" width="9" style="10"/>
    <col min="4355" max="4355" width="7.125" style="10" customWidth="1"/>
    <col min="4356" max="4356" width="49.625" style="10" bestFit="1" customWidth="1"/>
    <col min="4357" max="4357" width="36.875" style="10" customWidth="1"/>
    <col min="4358" max="4358" width="8.5" style="10" customWidth="1"/>
    <col min="4359" max="4359" width="11" style="10" customWidth="1"/>
    <col min="4360" max="4365" width="15" style="10" customWidth="1"/>
    <col min="4366" max="4366" width="19.625" style="10" customWidth="1"/>
    <col min="4367" max="4610" width="9" style="10"/>
    <col min="4611" max="4611" width="7.125" style="10" customWidth="1"/>
    <col min="4612" max="4612" width="49.625" style="10" bestFit="1" customWidth="1"/>
    <col min="4613" max="4613" width="36.875" style="10" customWidth="1"/>
    <col min="4614" max="4614" width="8.5" style="10" customWidth="1"/>
    <col min="4615" max="4615" width="11" style="10" customWidth="1"/>
    <col min="4616" max="4621" width="15" style="10" customWidth="1"/>
    <col min="4622" max="4622" width="19.625" style="10" customWidth="1"/>
    <col min="4623" max="4866" width="9" style="10"/>
    <col min="4867" max="4867" width="7.125" style="10" customWidth="1"/>
    <col min="4868" max="4868" width="49.625" style="10" bestFit="1" customWidth="1"/>
    <col min="4869" max="4869" width="36.875" style="10" customWidth="1"/>
    <col min="4870" max="4870" width="8.5" style="10" customWidth="1"/>
    <col min="4871" max="4871" width="11" style="10" customWidth="1"/>
    <col min="4872" max="4877" width="15" style="10" customWidth="1"/>
    <col min="4878" max="4878" width="19.625" style="10" customWidth="1"/>
    <col min="4879" max="5122" width="9" style="10"/>
    <col min="5123" max="5123" width="7.125" style="10" customWidth="1"/>
    <col min="5124" max="5124" width="49.625" style="10" bestFit="1" customWidth="1"/>
    <col min="5125" max="5125" width="36.875" style="10" customWidth="1"/>
    <col min="5126" max="5126" width="8.5" style="10" customWidth="1"/>
    <col min="5127" max="5127" width="11" style="10" customWidth="1"/>
    <col min="5128" max="5133" width="15" style="10" customWidth="1"/>
    <col min="5134" max="5134" width="19.625" style="10" customWidth="1"/>
    <col min="5135" max="5378" width="9" style="10"/>
    <col min="5379" max="5379" width="7.125" style="10" customWidth="1"/>
    <col min="5380" max="5380" width="49.625" style="10" bestFit="1" customWidth="1"/>
    <col min="5381" max="5381" width="36.875" style="10" customWidth="1"/>
    <col min="5382" max="5382" width="8.5" style="10" customWidth="1"/>
    <col min="5383" max="5383" width="11" style="10" customWidth="1"/>
    <col min="5384" max="5389" width="15" style="10" customWidth="1"/>
    <col min="5390" max="5390" width="19.625" style="10" customWidth="1"/>
    <col min="5391" max="5634" width="9" style="10"/>
    <col min="5635" max="5635" width="7.125" style="10" customWidth="1"/>
    <col min="5636" max="5636" width="49.625" style="10" bestFit="1" customWidth="1"/>
    <col min="5637" max="5637" width="36.875" style="10" customWidth="1"/>
    <col min="5638" max="5638" width="8.5" style="10" customWidth="1"/>
    <col min="5639" max="5639" width="11" style="10" customWidth="1"/>
    <col min="5640" max="5645" width="15" style="10" customWidth="1"/>
    <col min="5646" max="5646" width="19.625" style="10" customWidth="1"/>
    <col min="5647" max="5890" width="9" style="10"/>
    <col min="5891" max="5891" width="7.125" style="10" customWidth="1"/>
    <col min="5892" max="5892" width="49.625" style="10" bestFit="1" customWidth="1"/>
    <col min="5893" max="5893" width="36.875" style="10" customWidth="1"/>
    <col min="5894" max="5894" width="8.5" style="10" customWidth="1"/>
    <col min="5895" max="5895" width="11" style="10" customWidth="1"/>
    <col min="5896" max="5901" width="15" style="10" customWidth="1"/>
    <col min="5902" max="5902" width="19.625" style="10" customWidth="1"/>
    <col min="5903" max="6146" width="9" style="10"/>
    <col min="6147" max="6147" width="7.125" style="10" customWidth="1"/>
    <col min="6148" max="6148" width="49.625" style="10" bestFit="1" customWidth="1"/>
    <col min="6149" max="6149" width="36.875" style="10" customWidth="1"/>
    <col min="6150" max="6150" width="8.5" style="10" customWidth="1"/>
    <col min="6151" max="6151" width="11" style="10" customWidth="1"/>
    <col min="6152" max="6157" width="15" style="10" customWidth="1"/>
    <col min="6158" max="6158" width="19.625" style="10" customWidth="1"/>
    <col min="6159" max="6402" width="9" style="10"/>
    <col min="6403" max="6403" width="7.125" style="10" customWidth="1"/>
    <col min="6404" max="6404" width="49.625" style="10" bestFit="1" customWidth="1"/>
    <col min="6405" max="6405" width="36.875" style="10" customWidth="1"/>
    <col min="6406" max="6406" width="8.5" style="10" customWidth="1"/>
    <col min="6407" max="6407" width="11" style="10" customWidth="1"/>
    <col min="6408" max="6413" width="15" style="10" customWidth="1"/>
    <col min="6414" max="6414" width="19.625" style="10" customWidth="1"/>
    <col min="6415" max="6658" width="9" style="10"/>
    <col min="6659" max="6659" width="7.125" style="10" customWidth="1"/>
    <col min="6660" max="6660" width="49.625" style="10" bestFit="1" customWidth="1"/>
    <col min="6661" max="6661" width="36.875" style="10" customWidth="1"/>
    <col min="6662" max="6662" width="8.5" style="10" customWidth="1"/>
    <col min="6663" max="6663" width="11" style="10" customWidth="1"/>
    <col min="6664" max="6669" width="15" style="10" customWidth="1"/>
    <col min="6670" max="6670" width="19.625" style="10" customWidth="1"/>
    <col min="6671" max="6914" width="9" style="10"/>
    <col min="6915" max="6915" width="7.125" style="10" customWidth="1"/>
    <col min="6916" max="6916" width="49.625" style="10" bestFit="1" customWidth="1"/>
    <col min="6917" max="6917" width="36.875" style="10" customWidth="1"/>
    <col min="6918" max="6918" width="8.5" style="10" customWidth="1"/>
    <col min="6919" max="6919" width="11" style="10" customWidth="1"/>
    <col min="6920" max="6925" width="15" style="10" customWidth="1"/>
    <col min="6926" max="6926" width="19.625" style="10" customWidth="1"/>
    <col min="6927" max="7170" width="9" style="10"/>
    <col min="7171" max="7171" width="7.125" style="10" customWidth="1"/>
    <col min="7172" max="7172" width="49.625" style="10" bestFit="1" customWidth="1"/>
    <col min="7173" max="7173" width="36.875" style="10" customWidth="1"/>
    <col min="7174" max="7174" width="8.5" style="10" customWidth="1"/>
    <col min="7175" max="7175" width="11" style="10" customWidth="1"/>
    <col min="7176" max="7181" width="15" style="10" customWidth="1"/>
    <col min="7182" max="7182" width="19.625" style="10" customWidth="1"/>
    <col min="7183" max="7426" width="9" style="10"/>
    <col min="7427" max="7427" width="7.125" style="10" customWidth="1"/>
    <col min="7428" max="7428" width="49.625" style="10" bestFit="1" customWidth="1"/>
    <col min="7429" max="7429" width="36.875" style="10" customWidth="1"/>
    <col min="7430" max="7430" width="8.5" style="10" customWidth="1"/>
    <col min="7431" max="7431" width="11" style="10" customWidth="1"/>
    <col min="7432" max="7437" width="15" style="10" customWidth="1"/>
    <col min="7438" max="7438" width="19.625" style="10" customWidth="1"/>
    <col min="7439" max="7682" width="9" style="10"/>
    <col min="7683" max="7683" width="7.125" style="10" customWidth="1"/>
    <col min="7684" max="7684" width="49.625" style="10" bestFit="1" customWidth="1"/>
    <col min="7685" max="7685" width="36.875" style="10" customWidth="1"/>
    <col min="7686" max="7686" width="8.5" style="10" customWidth="1"/>
    <col min="7687" max="7687" width="11" style="10" customWidth="1"/>
    <col min="7688" max="7693" width="15" style="10" customWidth="1"/>
    <col min="7694" max="7694" width="19.625" style="10" customWidth="1"/>
    <col min="7695" max="7938" width="9" style="10"/>
    <col min="7939" max="7939" width="7.125" style="10" customWidth="1"/>
    <col min="7940" max="7940" width="49.625" style="10" bestFit="1" customWidth="1"/>
    <col min="7941" max="7941" width="36.875" style="10" customWidth="1"/>
    <col min="7942" max="7942" width="8.5" style="10" customWidth="1"/>
    <col min="7943" max="7943" width="11" style="10" customWidth="1"/>
    <col min="7944" max="7949" width="15" style="10" customWidth="1"/>
    <col min="7950" max="7950" width="19.625" style="10" customWidth="1"/>
    <col min="7951" max="8194" width="9" style="10"/>
    <col min="8195" max="8195" width="7.125" style="10" customWidth="1"/>
    <col min="8196" max="8196" width="49.625" style="10" bestFit="1" customWidth="1"/>
    <col min="8197" max="8197" width="36.875" style="10" customWidth="1"/>
    <col min="8198" max="8198" width="8.5" style="10" customWidth="1"/>
    <col min="8199" max="8199" width="11" style="10" customWidth="1"/>
    <col min="8200" max="8205" width="15" style="10" customWidth="1"/>
    <col min="8206" max="8206" width="19.625" style="10" customWidth="1"/>
    <col min="8207" max="8450" width="9" style="10"/>
    <col min="8451" max="8451" width="7.125" style="10" customWidth="1"/>
    <col min="8452" max="8452" width="49.625" style="10" bestFit="1" customWidth="1"/>
    <col min="8453" max="8453" width="36.875" style="10" customWidth="1"/>
    <col min="8454" max="8454" width="8.5" style="10" customWidth="1"/>
    <col min="8455" max="8455" width="11" style="10" customWidth="1"/>
    <col min="8456" max="8461" width="15" style="10" customWidth="1"/>
    <col min="8462" max="8462" width="19.625" style="10" customWidth="1"/>
    <col min="8463" max="8706" width="9" style="10"/>
    <col min="8707" max="8707" width="7.125" style="10" customWidth="1"/>
    <col min="8708" max="8708" width="49.625" style="10" bestFit="1" customWidth="1"/>
    <col min="8709" max="8709" width="36.875" style="10" customWidth="1"/>
    <col min="8710" max="8710" width="8.5" style="10" customWidth="1"/>
    <col min="8711" max="8711" width="11" style="10" customWidth="1"/>
    <col min="8712" max="8717" width="15" style="10" customWidth="1"/>
    <col min="8718" max="8718" width="19.625" style="10" customWidth="1"/>
    <col min="8719" max="8962" width="9" style="10"/>
    <col min="8963" max="8963" width="7.125" style="10" customWidth="1"/>
    <col min="8964" max="8964" width="49.625" style="10" bestFit="1" customWidth="1"/>
    <col min="8965" max="8965" width="36.875" style="10" customWidth="1"/>
    <col min="8966" max="8966" width="8.5" style="10" customWidth="1"/>
    <col min="8967" max="8967" width="11" style="10" customWidth="1"/>
    <col min="8968" max="8973" width="15" style="10" customWidth="1"/>
    <col min="8974" max="8974" width="19.625" style="10" customWidth="1"/>
    <col min="8975" max="9218" width="9" style="10"/>
    <col min="9219" max="9219" width="7.125" style="10" customWidth="1"/>
    <col min="9220" max="9220" width="49.625" style="10" bestFit="1" customWidth="1"/>
    <col min="9221" max="9221" width="36.875" style="10" customWidth="1"/>
    <col min="9222" max="9222" width="8.5" style="10" customWidth="1"/>
    <col min="9223" max="9223" width="11" style="10" customWidth="1"/>
    <col min="9224" max="9229" width="15" style="10" customWidth="1"/>
    <col min="9230" max="9230" width="19.625" style="10" customWidth="1"/>
    <col min="9231" max="9474" width="9" style="10"/>
    <col min="9475" max="9475" width="7.125" style="10" customWidth="1"/>
    <col min="9476" max="9476" width="49.625" style="10" bestFit="1" customWidth="1"/>
    <col min="9477" max="9477" width="36.875" style="10" customWidth="1"/>
    <col min="9478" max="9478" width="8.5" style="10" customWidth="1"/>
    <col min="9479" max="9479" width="11" style="10" customWidth="1"/>
    <col min="9480" max="9485" width="15" style="10" customWidth="1"/>
    <col min="9486" max="9486" width="19.625" style="10" customWidth="1"/>
    <col min="9487" max="9730" width="9" style="10"/>
    <col min="9731" max="9731" width="7.125" style="10" customWidth="1"/>
    <col min="9732" max="9732" width="49.625" style="10" bestFit="1" customWidth="1"/>
    <col min="9733" max="9733" width="36.875" style="10" customWidth="1"/>
    <col min="9734" max="9734" width="8.5" style="10" customWidth="1"/>
    <col min="9735" max="9735" width="11" style="10" customWidth="1"/>
    <col min="9736" max="9741" width="15" style="10" customWidth="1"/>
    <col min="9742" max="9742" width="19.625" style="10" customWidth="1"/>
    <col min="9743" max="9986" width="9" style="10"/>
    <col min="9987" max="9987" width="7.125" style="10" customWidth="1"/>
    <col min="9988" max="9988" width="49.625" style="10" bestFit="1" customWidth="1"/>
    <col min="9989" max="9989" width="36.875" style="10" customWidth="1"/>
    <col min="9990" max="9990" width="8.5" style="10" customWidth="1"/>
    <col min="9991" max="9991" width="11" style="10" customWidth="1"/>
    <col min="9992" max="9997" width="15" style="10" customWidth="1"/>
    <col min="9998" max="9998" width="19.625" style="10" customWidth="1"/>
    <col min="9999" max="10242" width="9" style="10"/>
    <col min="10243" max="10243" width="7.125" style="10" customWidth="1"/>
    <col min="10244" max="10244" width="49.625" style="10" bestFit="1" customWidth="1"/>
    <col min="10245" max="10245" width="36.875" style="10" customWidth="1"/>
    <col min="10246" max="10246" width="8.5" style="10" customWidth="1"/>
    <col min="10247" max="10247" width="11" style="10" customWidth="1"/>
    <col min="10248" max="10253" width="15" style="10" customWidth="1"/>
    <col min="10254" max="10254" width="19.625" style="10" customWidth="1"/>
    <col min="10255" max="10498" width="9" style="10"/>
    <col min="10499" max="10499" width="7.125" style="10" customWidth="1"/>
    <col min="10500" max="10500" width="49.625" style="10" bestFit="1" customWidth="1"/>
    <col min="10501" max="10501" width="36.875" style="10" customWidth="1"/>
    <col min="10502" max="10502" width="8.5" style="10" customWidth="1"/>
    <col min="10503" max="10503" width="11" style="10" customWidth="1"/>
    <col min="10504" max="10509" width="15" style="10" customWidth="1"/>
    <col min="10510" max="10510" width="19.625" style="10" customWidth="1"/>
    <col min="10511" max="10754" width="9" style="10"/>
    <col min="10755" max="10755" width="7.125" style="10" customWidth="1"/>
    <col min="10756" max="10756" width="49.625" style="10" bestFit="1" customWidth="1"/>
    <col min="10757" max="10757" width="36.875" style="10" customWidth="1"/>
    <col min="10758" max="10758" width="8.5" style="10" customWidth="1"/>
    <col min="10759" max="10759" width="11" style="10" customWidth="1"/>
    <col min="10760" max="10765" width="15" style="10" customWidth="1"/>
    <col min="10766" max="10766" width="19.625" style="10" customWidth="1"/>
    <col min="10767" max="11010" width="9" style="10"/>
    <col min="11011" max="11011" width="7.125" style="10" customWidth="1"/>
    <col min="11012" max="11012" width="49.625" style="10" bestFit="1" customWidth="1"/>
    <col min="11013" max="11013" width="36.875" style="10" customWidth="1"/>
    <col min="11014" max="11014" width="8.5" style="10" customWidth="1"/>
    <col min="11015" max="11015" width="11" style="10" customWidth="1"/>
    <col min="11016" max="11021" width="15" style="10" customWidth="1"/>
    <col min="11022" max="11022" width="19.625" style="10" customWidth="1"/>
    <col min="11023" max="11266" width="9" style="10"/>
    <col min="11267" max="11267" width="7.125" style="10" customWidth="1"/>
    <col min="11268" max="11268" width="49.625" style="10" bestFit="1" customWidth="1"/>
    <col min="11269" max="11269" width="36.875" style="10" customWidth="1"/>
    <col min="11270" max="11270" width="8.5" style="10" customWidth="1"/>
    <col min="11271" max="11271" width="11" style="10" customWidth="1"/>
    <col min="11272" max="11277" width="15" style="10" customWidth="1"/>
    <col min="11278" max="11278" width="19.625" style="10" customWidth="1"/>
    <col min="11279" max="11522" width="9" style="10"/>
    <col min="11523" max="11523" width="7.125" style="10" customWidth="1"/>
    <col min="11524" max="11524" width="49.625" style="10" bestFit="1" customWidth="1"/>
    <col min="11525" max="11525" width="36.875" style="10" customWidth="1"/>
    <col min="11526" max="11526" width="8.5" style="10" customWidth="1"/>
    <col min="11527" max="11527" width="11" style="10" customWidth="1"/>
    <col min="11528" max="11533" width="15" style="10" customWidth="1"/>
    <col min="11534" max="11534" width="19.625" style="10" customWidth="1"/>
    <col min="11535" max="11778" width="9" style="10"/>
    <col min="11779" max="11779" width="7.125" style="10" customWidth="1"/>
    <col min="11780" max="11780" width="49.625" style="10" bestFit="1" customWidth="1"/>
    <col min="11781" max="11781" width="36.875" style="10" customWidth="1"/>
    <col min="11782" max="11782" width="8.5" style="10" customWidth="1"/>
    <col min="11783" max="11783" width="11" style="10" customWidth="1"/>
    <col min="11784" max="11789" width="15" style="10" customWidth="1"/>
    <col min="11790" max="11790" width="19.625" style="10" customWidth="1"/>
    <col min="11791" max="12034" width="9" style="10"/>
    <col min="12035" max="12035" width="7.125" style="10" customWidth="1"/>
    <col min="12036" max="12036" width="49.625" style="10" bestFit="1" customWidth="1"/>
    <col min="12037" max="12037" width="36.875" style="10" customWidth="1"/>
    <col min="12038" max="12038" width="8.5" style="10" customWidth="1"/>
    <col min="12039" max="12039" width="11" style="10" customWidth="1"/>
    <col min="12040" max="12045" width="15" style="10" customWidth="1"/>
    <col min="12046" max="12046" width="19.625" style="10" customWidth="1"/>
    <col min="12047" max="12290" width="9" style="10"/>
    <col min="12291" max="12291" width="7.125" style="10" customWidth="1"/>
    <col min="12292" max="12292" width="49.625" style="10" bestFit="1" customWidth="1"/>
    <col min="12293" max="12293" width="36.875" style="10" customWidth="1"/>
    <col min="12294" max="12294" width="8.5" style="10" customWidth="1"/>
    <col min="12295" max="12295" width="11" style="10" customWidth="1"/>
    <col min="12296" max="12301" width="15" style="10" customWidth="1"/>
    <col min="12302" max="12302" width="19.625" style="10" customWidth="1"/>
    <col min="12303" max="12546" width="9" style="10"/>
    <col min="12547" max="12547" width="7.125" style="10" customWidth="1"/>
    <col min="12548" max="12548" width="49.625" style="10" bestFit="1" customWidth="1"/>
    <col min="12549" max="12549" width="36.875" style="10" customWidth="1"/>
    <col min="12550" max="12550" width="8.5" style="10" customWidth="1"/>
    <col min="12551" max="12551" width="11" style="10" customWidth="1"/>
    <col min="12552" max="12557" width="15" style="10" customWidth="1"/>
    <col min="12558" max="12558" width="19.625" style="10" customWidth="1"/>
    <col min="12559" max="12802" width="9" style="10"/>
    <col min="12803" max="12803" width="7.125" style="10" customWidth="1"/>
    <col min="12804" max="12804" width="49.625" style="10" bestFit="1" customWidth="1"/>
    <col min="12805" max="12805" width="36.875" style="10" customWidth="1"/>
    <col min="12806" max="12806" width="8.5" style="10" customWidth="1"/>
    <col min="12807" max="12807" width="11" style="10" customWidth="1"/>
    <col min="12808" max="12813" width="15" style="10" customWidth="1"/>
    <col min="12814" max="12814" width="19.625" style="10" customWidth="1"/>
    <col min="12815" max="13058" width="9" style="10"/>
    <col min="13059" max="13059" width="7.125" style="10" customWidth="1"/>
    <col min="13060" max="13060" width="49.625" style="10" bestFit="1" customWidth="1"/>
    <col min="13061" max="13061" width="36.875" style="10" customWidth="1"/>
    <col min="13062" max="13062" width="8.5" style="10" customWidth="1"/>
    <col min="13063" max="13063" width="11" style="10" customWidth="1"/>
    <col min="13064" max="13069" width="15" style="10" customWidth="1"/>
    <col min="13070" max="13070" width="19.625" style="10" customWidth="1"/>
    <col min="13071" max="13314" width="9" style="10"/>
    <col min="13315" max="13315" width="7.125" style="10" customWidth="1"/>
    <col min="13316" max="13316" width="49.625" style="10" bestFit="1" customWidth="1"/>
    <col min="13317" max="13317" width="36.875" style="10" customWidth="1"/>
    <col min="13318" max="13318" width="8.5" style="10" customWidth="1"/>
    <col min="13319" max="13319" width="11" style="10" customWidth="1"/>
    <col min="13320" max="13325" width="15" style="10" customWidth="1"/>
    <col min="13326" max="13326" width="19.625" style="10" customWidth="1"/>
    <col min="13327" max="13570" width="9" style="10"/>
    <col min="13571" max="13571" width="7.125" style="10" customWidth="1"/>
    <col min="13572" max="13572" width="49.625" style="10" bestFit="1" customWidth="1"/>
    <col min="13573" max="13573" width="36.875" style="10" customWidth="1"/>
    <col min="13574" max="13574" width="8.5" style="10" customWidth="1"/>
    <col min="13575" max="13575" width="11" style="10" customWidth="1"/>
    <col min="13576" max="13581" width="15" style="10" customWidth="1"/>
    <col min="13582" max="13582" width="19.625" style="10" customWidth="1"/>
    <col min="13583" max="13826" width="9" style="10"/>
    <col min="13827" max="13827" width="7.125" style="10" customWidth="1"/>
    <col min="13828" max="13828" width="49.625" style="10" bestFit="1" customWidth="1"/>
    <col min="13829" max="13829" width="36.875" style="10" customWidth="1"/>
    <col min="13830" max="13830" width="8.5" style="10" customWidth="1"/>
    <col min="13831" max="13831" width="11" style="10" customWidth="1"/>
    <col min="13832" max="13837" width="15" style="10" customWidth="1"/>
    <col min="13838" max="13838" width="19.625" style="10" customWidth="1"/>
    <col min="13839" max="14082" width="9" style="10"/>
    <col min="14083" max="14083" width="7.125" style="10" customWidth="1"/>
    <col min="14084" max="14084" width="49.625" style="10" bestFit="1" customWidth="1"/>
    <col min="14085" max="14085" width="36.875" style="10" customWidth="1"/>
    <col min="14086" max="14086" width="8.5" style="10" customWidth="1"/>
    <col min="14087" max="14087" width="11" style="10" customWidth="1"/>
    <col min="14088" max="14093" width="15" style="10" customWidth="1"/>
    <col min="14094" max="14094" width="19.625" style="10" customWidth="1"/>
    <col min="14095" max="14338" width="9" style="10"/>
    <col min="14339" max="14339" width="7.125" style="10" customWidth="1"/>
    <col min="14340" max="14340" width="49.625" style="10" bestFit="1" customWidth="1"/>
    <col min="14341" max="14341" width="36.875" style="10" customWidth="1"/>
    <col min="14342" max="14342" width="8.5" style="10" customWidth="1"/>
    <col min="14343" max="14343" width="11" style="10" customWidth="1"/>
    <col min="14344" max="14349" width="15" style="10" customWidth="1"/>
    <col min="14350" max="14350" width="19.625" style="10" customWidth="1"/>
    <col min="14351" max="14594" width="9" style="10"/>
    <col min="14595" max="14595" width="7.125" style="10" customWidth="1"/>
    <col min="14596" max="14596" width="49.625" style="10" bestFit="1" customWidth="1"/>
    <col min="14597" max="14597" width="36.875" style="10" customWidth="1"/>
    <col min="14598" max="14598" width="8.5" style="10" customWidth="1"/>
    <col min="14599" max="14599" width="11" style="10" customWidth="1"/>
    <col min="14600" max="14605" width="15" style="10" customWidth="1"/>
    <col min="14606" max="14606" width="19.625" style="10" customWidth="1"/>
    <col min="14607" max="14850" width="9" style="10"/>
    <col min="14851" max="14851" width="7.125" style="10" customWidth="1"/>
    <col min="14852" max="14852" width="49.625" style="10" bestFit="1" customWidth="1"/>
    <col min="14853" max="14853" width="36.875" style="10" customWidth="1"/>
    <col min="14854" max="14854" width="8.5" style="10" customWidth="1"/>
    <col min="14855" max="14855" width="11" style="10" customWidth="1"/>
    <col min="14856" max="14861" width="15" style="10" customWidth="1"/>
    <col min="14862" max="14862" width="19.625" style="10" customWidth="1"/>
    <col min="14863" max="15106" width="9" style="10"/>
    <col min="15107" max="15107" width="7.125" style="10" customWidth="1"/>
    <col min="15108" max="15108" width="49.625" style="10" bestFit="1" customWidth="1"/>
    <col min="15109" max="15109" width="36.875" style="10" customWidth="1"/>
    <col min="15110" max="15110" width="8.5" style="10" customWidth="1"/>
    <col min="15111" max="15111" width="11" style="10" customWidth="1"/>
    <col min="15112" max="15117" width="15" style="10" customWidth="1"/>
    <col min="15118" max="15118" width="19.625" style="10" customWidth="1"/>
    <col min="15119" max="15362" width="9" style="10"/>
    <col min="15363" max="15363" width="7.125" style="10" customWidth="1"/>
    <col min="15364" max="15364" width="49.625" style="10" bestFit="1" customWidth="1"/>
    <col min="15365" max="15365" width="36.875" style="10" customWidth="1"/>
    <col min="15366" max="15366" width="8.5" style="10" customWidth="1"/>
    <col min="15367" max="15367" width="11" style="10" customWidth="1"/>
    <col min="15368" max="15373" width="15" style="10" customWidth="1"/>
    <col min="15374" max="15374" width="19.625" style="10" customWidth="1"/>
    <col min="15375" max="15618" width="9" style="10"/>
    <col min="15619" max="15619" width="7.125" style="10" customWidth="1"/>
    <col min="15620" max="15620" width="49.625" style="10" bestFit="1" customWidth="1"/>
    <col min="15621" max="15621" width="36.875" style="10" customWidth="1"/>
    <col min="15622" max="15622" width="8.5" style="10" customWidth="1"/>
    <col min="15623" max="15623" width="11" style="10" customWidth="1"/>
    <col min="15624" max="15629" width="15" style="10" customWidth="1"/>
    <col min="15630" max="15630" width="19.625" style="10" customWidth="1"/>
    <col min="15631" max="15874" width="9" style="10"/>
    <col min="15875" max="15875" width="7.125" style="10" customWidth="1"/>
    <col min="15876" max="15876" width="49.625" style="10" bestFit="1" customWidth="1"/>
    <col min="15877" max="15877" width="36.875" style="10" customWidth="1"/>
    <col min="15878" max="15878" width="8.5" style="10" customWidth="1"/>
    <col min="15879" max="15879" width="11" style="10" customWidth="1"/>
    <col min="15880" max="15885" width="15" style="10" customWidth="1"/>
    <col min="15886" max="15886" width="19.625" style="10" customWidth="1"/>
    <col min="15887" max="16130" width="9" style="10"/>
    <col min="16131" max="16131" width="7.125" style="10" customWidth="1"/>
    <col min="16132" max="16132" width="49.625" style="10" bestFit="1" customWidth="1"/>
    <col min="16133" max="16133" width="36.875" style="10" customWidth="1"/>
    <col min="16134" max="16134" width="8.5" style="10" customWidth="1"/>
    <col min="16135" max="16135" width="11" style="10" customWidth="1"/>
    <col min="16136" max="16141" width="15" style="10" customWidth="1"/>
    <col min="16142" max="16142" width="19.625" style="10" customWidth="1"/>
    <col min="16143" max="16384" width="9" style="10"/>
  </cols>
  <sheetData>
    <row r="4" spans="2:21" ht="20.25" customHeight="1">
      <c r="B4" s="428" t="s">
        <v>97</v>
      </c>
      <c r="C4" s="431" t="s">
        <v>28</v>
      </c>
      <c r="D4" s="431" t="s">
        <v>28</v>
      </c>
      <c r="E4" s="354"/>
      <c r="F4" s="431" t="s">
        <v>111</v>
      </c>
      <c r="G4" s="431" t="s">
        <v>29</v>
      </c>
      <c r="H4" s="433" t="s">
        <v>90</v>
      </c>
      <c r="I4" s="434" t="s">
        <v>91</v>
      </c>
      <c r="J4" s="369"/>
      <c r="K4" s="459"/>
      <c r="L4" s="459"/>
      <c r="M4" s="459"/>
      <c r="N4" s="459"/>
      <c r="O4" s="460"/>
      <c r="P4" s="427" t="s">
        <v>30</v>
      </c>
    </row>
    <row r="5" spans="2:21" ht="20.25" customHeight="1">
      <c r="B5" s="464"/>
      <c r="C5" s="465"/>
      <c r="D5" s="465"/>
      <c r="E5" s="356" t="s">
        <v>759</v>
      </c>
      <c r="F5" s="465"/>
      <c r="G5" s="465"/>
      <c r="H5" s="433"/>
      <c r="I5" s="463"/>
      <c r="J5" s="370"/>
      <c r="K5" s="461" t="s">
        <v>93</v>
      </c>
      <c r="L5" s="462"/>
      <c r="M5" s="461" t="s">
        <v>31</v>
      </c>
      <c r="N5" s="462"/>
      <c r="O5" s="123" t="s">
        <v>96</v>
      </c>
      <c r="P5" s="427"/>
    </row>
    <row r="6" spans="2:21" ht="20.25" customHeight="1">
      <c r="B6" s="429"/>
      <c r="C6" s="432"/>
      <c r="D6" s="432"/>
      <c r="E6" s="355"/>
      <c r="F6" s="432"/>
      <c r="G6" s="432"/>
      <c r="H6" s="433"/>
      <c r="I6" s="435"/>
      <c r="J6" s="371"/>
      <c r="K6" s="124" t="s">
        <v>32</v>
      </c>
      <c r="L6" s="125" t="s">
        <v>33</v>
      </c>
      <c r="M6" s="124" t="s">
        <v>32</v>
      </c>
      <c r="N6" s="125" t="s">
        <v>33</v>
      </c>
      <c r="O6" s="123" t="s">
        <v>73</v>
      </c>
      <c r="P6" s="427"/>
      <c r="R6" s="18" t="s">
        <v>71</v>
      </c>
      <c r="S6" s="10" t="s">
        <v>72</v>
      </c>
    </row>
    <row r="7" spans="2:21" ht="30" customHeight="1">
      <c r="B7" s="126">
        <v>1</v>
      </c>
      <c r="C7" s="127" t="s">
        <v>102</v>
      </c>
      <c r="D7" s="127" t="s">
        <v>102</v>
      </c>
      <c r="E7" s="127"/>
      <c r="F7" s="128"/>
      <c r="G7" s="128"/>
      <c r="H7" s="437"/>
      <c r="I7" s="438"/>
      <c r="J7" s="438"/>
      <c r="K7" s="438"/>
      <c r="L7" s="438"/>
      <c r="M7" s="438"/>
      <c r="N7" s="438"/>
      <c r="O7" s="438"/>
      <c r="P7" s="439"/>
    </row>
    <row r="8" spans="2:21" ht="24" customHeight="1">
      <c r="B8" s="449" t="s">
        <v>215</v>
      </c>
      <c r="C8" s="248" t="s">
        <v>499</v>
      </c>
      <c r="D8" s="362" t="s">
        <v>500</v>
      </c>
      <c r="E8" s="380" t="s">
        <v>269</v>
      </c>
      <c r="F8" s="132" t="s">
        <v>209</v>
      </c>
      <c r="G8" s="133"/>
      <c r="H8" s="134" t="s">
        <v>114</v>
      </c>
      <c r="I8" s="135">
        <v>1</v>
      </c>
      <c r="J8" s="373">
        <f>IFERROR(VLOOKUP(C8,[1]Sheet2!$A:$B,2,0),"")</f>
        <v>65000</v>
      </c>
      <c r="K8" s="250">
        <f t="shared" ref="K8:K21" si="0">T8</f>
        <v>0</v>
      </c>
      <c r="L8" s="136">
        <f>K8*I8</f>
        <v>0</v>
      </c>
      <c r="M8" s="249">
        <v>65000</v>
      </c>
      <c r="N8" s="138">
        <f>M8*I8</f>
        <v>65000</v>
      </c>
      <c r="O8" s="261">
        <f t="shared" ref="O8:O71" si="1">N8+L8</f>
        <v>65000</v>
      </c>
      <c r="P8" s="139"/>
      <c r="R8" s="11">
        <v>0</v>
      </c>
      <c r="S8" s="35">
        <v>80000</v>
      </c>
      <c r="T8" s="140">
        <v>0</v>
      </c>
      <c r="U8" s="140">
        <v>80000</v>
      </c>
    </row>
    <row r="9" spans="2:21" ht="24" customHeight="1">
      <c r="B9" s="450"/>
      <c r="C9" s="248" t="s">
        <v>250</v>
      </c>
      <c r="D9" s="362" t="s">
        <v>501</v>
      </c>
      <c r="E9" s="380" t="s">
        <v>270</v>
      </c>
      <c r="F9" s="132" t="s">
        <v>210</v>
      </c>
      <c r="G9" s="133"/>
      <c r="H9" s="134" t="s">
        <v>114</v>
      </c>
      <c r="I9" s="135"/>
      <c r="J9" s="373">
        <f>IFERROR(VLOOKUP(C9,[1]Sheet2!$A:$B,2,0),"")</f>
        <v>80000</v>
      </c>
      <c r="K9" s="250">
        <f t="shared" si="0"/>
        <v>0</v>
      </c>
      <c r="L9" s="136">
        <f t="shared" ref="L9" si="2">K9*I9</f>
        <v>0</v>
      </c>
      <c r="M9" s="249">
        <v>80000</v>
      </c>
      <c r="N9" s="138">
        <f t="shared" ref="N9" si="3">M9*I9</f>
        <v>0</v>
      </c>
      <c r="O9" s="261">
        <f t="shared" ref="O9" si="4">N9+L9</f>
        <v>0</v>
      </c>
      <c r="P9" s="139"/>
      <c r="R9" s="21"/>
      <c r="S9" s="119"/>
      <c r="T9" s="140"/>
      <c r="U9" s="140"/>
    </row>
    <row r="10" spans="2:21" ht="24" customHeight="1">
      <c r="B10" s="450"/>
      <c r="C10" s="248" t="s">
        <v>251</v>
      </c>
      <c r="D10" s="362" t="s">
        <v>514</v>
      </c>
      <c r="E10" s="380" t="s">
        <v>271</v>
      </c>
      <c r="F10" s="132" t="s">
        <v>211</v>
      </c>
      <c r="G10" s="133"/>
      <c r="H10" s="134" t="s">
        <v>114</v>
      </c>
      <c r="I10" s="135"/>
      <c r="J10" s="373">
        <f>IFERROR(VLOOKUP(C10,[1]Sheet2!$A:$B,2,0),"")</f>
        <v>90000</v>
      </c>
      <c r="K10" s="250">
        <f t="shared" si="0"/>
        <v>0</v>
      </c>
      <c r="L10" s="136">
        <f>K10*I10</f>
        <v>0</v>
      </c>
      <c r="M10" s="249">
        <f>U10</f>
        <v>90000</v>
      </c>
      <c r="N10" s="138">
        <f>M10*I10</f>
        <v>0</v>
      </c>
      <c r="O10" s="261">
        <f t="shared" si="1"/>
        <v>0</v>
      </c>
      <c r="P10" s="139"/>
      <c r="R10" s="13">
        <v>0</v>
      </c>
      <c r="S10" s="39">
        <v>90000</v>
      </c>
      <c r="T10" s="140">
        <v>0</v>
      </c>
      <c r="U10" s="140">
        <v>90000</v>
      </c>
    </row>
    <row r="11" spans="2:21" ht="24" customHeight="1">
      <c r="B11" s="450"/>
      <c r="C11" s="248" t="s">
        <v>252</v>
      </c>
      <c r="D11" s="362" t="s">
        <v>515</v>
      </c>
      <c r="E11" s="380" t="s">
        <v>272</v>
      </c>
      <c r="F11" s="132" t="s">
        <v>212</v>
      </c>
      <c r="G11" s="133"/>
      <c r="H11" s="134" t="s">
        <v>114</v>
      </c>
      <c r="I11" s="135"/>
      <c r="J11" s="373">
        <f>IFERROR(VLOOKUP(C11,[1]Sheet2!$A:$B,2,0),"")</f>
        <v>120000</v>
      </c>
      <c r="K11" s="250">
        <f t="shared" si="0"/>
        <v>0</v>
      </c>
      <c r="L11" s="136">
        <f>K11*I11</f>
        <v>0</v>
      </c>
      <c r="M11" s="249">
        <f>U11</f>
        <v>120000</v>
      </c>
      <c r="N11" s="138">
        <f>M11*I11</f>
        <v>0</v>
      </c>
      <c r="O11" s="261">
        <f t="shared" si="1"/>
        <v>0</v>
      </c>
      <c r="P11" s="139"/>
      <c r="R11" s="13">
        <v>0</v>
      </c>
      <c r="S11" s="39">
        <v>120000</v>
      </c>
      <c r="T11" s="140">
        <v>0</v>
      </c>
      <c r="U11" s="140">
        <v>120000</v>
      </c>
    </row>
    <row r="12" spans="2:21" ht="24" customHeight="1">
      <c r="B12" s="450"/>
      <c r="C12" s="248" t="s">
        <v>253</v>
      </c>
      <c r="D12" s="362" t="s">
        <v>516</v>
      </c>
      <c r="E12" s="380" t="s">
        <v>273</v>
      </c>
      <c r="F12" s="132" t="s">
        <v>248</v>
      </c>
      <c r="G12" s="133"/>
      <c r="H12" s="134" t="s">
        <v>114</v>
      </c>
      <c r="I12" s="135"/>
      <c r="J12" s="373">
        <f>IFERROR(VLOOKUP(C12,[1]Sheet2!$A:$B,2,0),"")</f>
        <v>140000</v>
      </c>
      <c r="K12" s="250">
        <f t="shared" si="0"/>
        <v>0</v>
      </c>
      <c r="L12" s="136">
        <f t="shared" ref="L12" si="5">K12*I12</f>
        <v>0</v>
      </c>
      <c r="M12" s="249">
        <v>140000</v>
      </c>
      <c r="N12" s="138">
        <f t="shared" ref="N12" si="6">M12*I12</f>
        <v>0</v>
      </c>
      <c r="O12" s="261">
        <f t="shared" ref="O12" si="7">N12+L12</f>
        <v>0</v>
      </c>
      <c r="P12" s="139"/>
      <c r="R12" s="13"/>
      <c r="S12" s="39"/>
      <c r="T12" s="140"/>
      <c r="U12" s="140"/>
    </row>
    <row r="13" spans="2:21" ht="24" customHeight="1">
      <c r="B13" s="450"/>
      <c r="C13" s="248" t="s">
        <v>254</v>
      </c>
      <c r="D13" s="362" t="s">
        <v>517</v>
      </c>
      <c r="E13" s="380" t="s">
        <v>274</v>
      </c>
      <c r="F13" s="132" t="s">
        <v>240</v>
      </c>
      <c r="G13" s="133"/>
      <c r="H13" s="134" t="s">
        <v>114</v>
      </c>
      <c r="I13" s="135"/>
      <c r="J13" s="373">
        <f>IFERROR(VLOOKUP(C13,[1]Sheet2!$A:$B,2,0),"")</f>
        <v>30000</v>
      </c>
      <c r="K13" s="250">
        <f t="shared" si="0"/>
        <v>0</v>
      </c>
      <c r="L13" s="136">
        <f t="shared" ref="L13" si="8">K13*I13</f>
        <v>0</v>
      </c>
      <c r="M13" s="249">
        <v>30000</v>
      </c>
      <c r="N13" s="138">
        <f t="shared" ref="N13" si="9">M13*I13</f>
        <v>0</v>
      </c>
      <c r="O13" s="261">
        <f t="shared" ref="O13" si="10">N13+L13</f>
        <v>0</v>
      </c>
      <c r="P13" s="139"/>
      <c r="R13" s="13"/>
      <c r="S13" s="39"/>
      <c r="T13" s="140"/>
      <c r="U13" s="140"/>
    </row>
    <row r="14" spans="2:21" ht="24" customHeight="1">
      <c r="B14" s="450"/>
      <c r="C14" s="248" t="s">
        <v>255</v>
      </c>
      <c r="D14" s="362" t="s">
        <v>518</v>
      </c>
      <c r="E14" s="380" t="s">
        <v>275</v>
      </c>
      <c r="F14" s="132" t="s">
        <v>135</v>
      </c>
      <c r="G14" s="133"/>
      <c r="H14" s="134" t="s">
        <v>114</v>
      </c>
      <c r="I14" s="135"/>
      <c r="J14" s="373">
        <f>IFERROR(VLOOKUP(C14,[1]Sheet2!$A:$B,2,0),"")</f>
        <v>30000</v>
      </c>
      <c r="K14" s="250">
        <f t="shared" si="0"/>
        <v>0</v>
      </c>
      <c r="L14" s="136">
        <f t="shared" ref="L14:L20" si="11">K14*I14</f>
        <v>0</v>
      </c>
      <c r="M14" s="249">
        <v>30000</v>
      </c>
      <c r="N14" s="138">
        <f t="shared" ref="N14:N20" si="12">M14*I14</f>
        <v>0</v>
      </c>
      <c r="O14" s="261">
        <f t="shared" si="1"/>
        <v>0</v>
      </c>
      <c r="P14" s="139"/>
      <c r="R14" s="13">
        <v>0</v>
      </c>
      <c r="S14" s="39">
        <v>140000</v>
      </c>
      <c r="T14" s="140">
        <v>0</v>
      </c>
      <c r="U14" s="140">
        <v>140000</v>
      </c>
    </row>
    <row r="15" spans="2:21" ht="24" customHeight="1">
      <c r="B15" s="450"/>
      <c r="C15" s="141" t="s">
        <v>256</v>
      </c>
      <c r="D15" s="141" t="s">
        <v>519</v>
      </c>
      <c r="E15" s="380" t="s">
        <v>276</v>
      </c>
      <c r="F15" s="132" t="s">
        <v>239</v>
      </c>
      <c r="G15" s="133"/>
      <c r="H15" s="142" t="s">
        <v>35</v>
      </c>
      <c r="I15" s="135"/>
      <c r="J15" s="373">
        <f>IFERROR(VLOOKUP(C15,[1]Sheet2!$A:$B,2,0),"")</f>
        <v>10000</v>
      </c>
      <c r="K15" s="250">
        <f t="shared" si="0"/>
        <v>0</v>
      </c>
      <c r="L15" s="136">
        <f t="shared" si="11"/>
        <v>0</v>
      </c>
      <c r="M15" s="249">
        <f>U15</f>
        <v>10000</v>
      </c>
      <c r="N15" s="138">
        <f t="shared" si="12"/>
        <v>0</v>
      </c>
      <c r="O15" s="261">
        <f t="shared" si="1"/>
        <v>0</v>
      </c>
      <c r="P15" s="139"/>
      <c r="R15" s="13">
        <v>0</v>
      </c>
      <c r="S15" s="39">
        <v>10000</v>
      </c>
      <c r="T15" s="140">
        <v>0</v>
      </c>
      <c r="U15" s="140">
        <v>10000</v>
      </c>
    </row>
    <row r="16" spans="2:21" ht="24" customHeight="1">
      <c r="B16" s="451"/>
      <c r="C16" s="143" t="s">
        <v>257</v>
      </c>
      <c r="D16" s="141" t="s">
        <v>520</v>
      </c>
      <c r="E16" s="380" t="s">
        <v>277</v>
      </c>
      <c r="F16" s="144" t="s">
        <v>238</v>
      </c>
      <c r="G16" s="133"/>
      <c r="H16" s="135" t="s">
        <v>66</v>
      </c>
      <c r="I16" s="135"/>
      <c r="J16" s="373">
        <f>IFERROR(VLOOKUP(C16,[1]Sheet2!$A:$B,2,0),"")</f>
        <v>70000</v>
      </c>
      <c r="K16" s="250">
        <f t="shared" si="0"/>
        <v>0</v>
      </c>
      <c r="L16" s="136">
        <f t="shared" si="11"/>
        <v>0</v>
      </c>
      <c r="M16" s="250">
        <v>70000</v>
      </c>
      <c r="N16" s="136">
        <f t="shared" si="12"/>
        <v>0</v>
      </c>
      <c r="O16" s="261">
        <f>L16+N16</f>
        <v>0</v>
      </c>
      <c r="P16" s="139"/>
      <c r="R16" s="20">
        <v>0</v>
      </c>
      <c r="S16" s="39">
        <v>70000</v>
      </c>
      <c r="T16" s="140">
        <v>0</v>
      </c>
      <c r="U16" s="140">
        <v>84000</v>
      </c>
    </row>
    <row r="17" spans="2:22" ht="24" customHeight="1">
      <c r="B17" s="449" t="s">
        <v>216</v>
      </c>
      <c r="C17" s="141" t="s">
        <v>258</v>
      </c>
      <c r="D17" s="141" t="s">
        <v>521</v>
      </c>
      <c r="E17" s="380" t="s">
        <v>264</v>
      </c>
      <c r="F17" s="132" t="s">
        <v>249</v>
      </c>
      <c r="G17" s="133"/>
      <c r="H17" s="142" t="s">
        <v>66</v>
      </c>
      <c r="I17" s="135">
        <v>3</v>
      </c>
      <c r="J17" s="373">
        <f>IFERROR(VLOOKUP(C17,[1]Sheet2!$A:$B,2,0),"")</f>
        <v>10000</v>
      </c>
      <c r="K17" s="250">
        <f t="shared" si="0"/>
        <v>0</v>
      </c>
      <c r="L17" s="136">
        <f t="shared" si="11"/>
        <v>0</v>
      </c>
      <c r="M17" s="249">
        <f>U17</f>
        <v>10000</v>
      </c>
      <c r="N17" s="138">
        <f t="shared" si="12"/>
        <v>30000</v>
      </c>
      <c r="O17" s="261">
        <f>N17+L17</f>
        <v>30000</v>
      </c>
      <c r="P17" s="139"/>
      <c r="R17" s="13">
        <v>0</v>
      </c>
      <c r="S17" s="39">
        <v>10000</v>
      </c>
      <c r="T17" s="140">
        <v>0</v>
      </c>
      <c r="U17" s="140">
        <v>10000</v>
      </c>
    </row>
    <row r="18" spans="2:22" ht="24" customHeight="1">
      <c r="B18" s="450"/>
      <c r="C18" s="141" t="s">
        <v>259</v>
      </c>
      <c r="D18" s="141" t="s">
        <v>522</v>
      </c>
      <c r="E18" s="380" t="s">
        <v>265</v>
      </c>
      <c r="F18" s="132" t="s">
        <v>136</v>
      </c>
      <c r="G18" s="133"/>
      <c r="H18" s="142" t="s">
        <v>66</v>
      </c>
      <c r="I18" s="135"/>
      <c r="J18" s="373">
        <f>IFERROR(VLOOKUP(C18,[1]Sheet2!$A:$B,2,0),"")</f>
        <v>12000</v>
      </c>
      <c r="K18" s="250">
        <f t="shared" si="0"/>
        <v>0</v>
      </c>
      <c r="L18" s="136">
        <f t="shared" si="11"/>
        <v>0</v>
      </c>
      <c r="M18" s="249">
        <v>12000</v>
      </c>
      <c r="N18" s="138">
        <f t="shared" si="12"/>
        <v>0</v>
      </c>
      <c r="O18" s="261">
        <f>N18+L18</f>
        <v>0</v>
      </c>
      <c r="P18" s="139"/>
      <c r="R18" s="13">
        <v>0</v>
      </c>
      <c r="S18" s="39">
        <v>15000</v>
      </c>
      <c r="T18" s="140">
        <v>0</v>
      </c>
      <c r="U18" s="140">
        <v>15000</v>
      </c>
    </row>
    <row r="19" spans="2:22" ht="24" customHeight="1">
      <c r="B19" s="450"/>
      <c r="C19" s="141" t="s">
        <v>260</v>
      </c>
      <c r="D19" s="141" t="s">
        <v>523</v>
      </c>
      <c r="E19" s="380" t="s">
        <v>266</v>
      </c>
      <c r="F19" s="132" t="s">
        <v>137</v>
      </c>
      <c r="G19" s="133"/>
      <c r="H19" s="142" t="s">
        <v>36</v>
      </c>
      <c r="I19" s="135"/>
      <c r="J19" s="373">
        <f>IFERROR(VLOOKUP(C19,[1]Sheet2!$A:$B,2,0),"")</f>
        <v>15000</v>
      </c>
      <c r="K19" s="250">
        <f t="shared" si="0"/>
        <v>0</v>
      </c>
      <c r="L19" s="136">
        <f t="shared" si="11"/>
        <v>0</v>
      </c>
      <c r="M19" s="249">
        <v>15000</v>
      </c>
      <c r="N19" s="138">
        <f t="shared" si="12"/>
        <v>0</v>
      </c>
      <c r="O19" s="261">
        <f>N19+L19</f>
        <v>0</v>
      </c>
      <c r="P19" s="139"/>
      <c r="R19" s="137">
        <v>12000</v>
      </c>
      <c r="S19" s="146">
        <f>R19*O19</f>
        <v>0</v>
      </c>
      <c r="T19" s="147">
        <v>0</v>
      </c>
      <c r="U19" s="148">
        <v>10000</v>
      </c>
    </row>
    <row r="20" spans="2:22" ht="24" customHeight="1">
      <c r="B20" s="450"/>
      <c r="C20" s="141" t="s">
        <v>261</v>
      </c>
      <c r="D20" s="141" t="s">
        <v>524</v>
      </c>
      <c r="E20" s="380" t="s">
        <v>267</v>
      </c>
      <c r="F20" s="132" t="s">
        <v>138</v>
      </c>
      <c r="G20" s="133"/>
      <c r="H20" s="142" t="s">
        <v>35</v>
      </c>
      <c r="I20" s="135"/>
      <c r="J20" s="373">
        <f>IFERROR(VLOOKUP(C20,[1]Sheet2!$A:$B,2,0),"")</f>
        <v>10000</v>
      </c>
      <c r="K20" s="250">
        <f t="shared" si="0"/>
        <v>0</v>
      </c>
      <c r="L20" s="136">
        <f t="shared" si="11"/>
        <v>0</v>
      </c>
      <c r="M20" s="249">
        <v>10000</v>
      </c>
      <c r="N20" s="138">
        <f t="shared" si="12"/>
        <v>0</v>
      </c>
      <c r="O20" s="261">
        <f>N20+L20</f>
        <v>0</v>
      </c>
      <c r="P20" s="139"/>
      <c r="R20" s="137">
        <v>36000</v>
      </c>
      <c r="S20" s="146">
        <f>R20*O20</f>
        <v>0</v>
      </c>
      <c r="T20" s="147">
        <v>0</v>
      </c>
      <c r="U20" s="148">
        <v>30000</v>
      </c>
    </row>
    <row r="21" spans="2:22" ht="24" customHeight="1">
      <c r="B21" s="450"/>
      <c r="C21" s="141" t="s">
        <v>262</v>
      </c>
      <c r="D21" s="141" t="s">
        <v>525</v>
      </c>
      <c r="E21" s="380" t="s">
        <v>268</v>
      </c>
      <c r="F21" s="132" t="s">
        <v>139</v>
      </c>
      <c r="G21" s="133"/>
      <c r="H21" s="142" t="s">
        <v>66</v>
      </c>
      <c r="I21" s="135"/>
      <c r="J21" s="373">
        <f>IFERROR(VLOOKUP(C21,[1]Sheet2!$A:$B,2,0),"")</f>
        <v>30000</v>
      </c>
      <c r="K21" s="250">
        <f t="shared" si="0"/>
        <v>0</v>
      </c>
      <c r="L21" s="136">
        <f t="shared" ref="L21" si="13">K21*I21</f>
        <v>0</v>
      </c>
      <c r="M21" s="249">
        <v>30000</v>
      </c>
      <c r="N21" s="138">
        <f t="shared" ref="N21" si="14">M21*I21</f>
        <v>0</v>
      </c>
      <c r="O21" s="261">
        <f t="shared" ref="O21" si="15">N21+L21</f>
        <v>0</v>
      </c>
      <c r="P21" s="139"/>
      <c r="R21" s="137"/>
      <c r="S21" s="146"/>
      <c r="T21" s="147"/>
      <c r="U21" s="148"/>
    </row>
    <row r="22" spans="2:22" ht="24" customHeight="1">
      <c r="B22" s="451"/>
      <c r="C22" s="141" t="s">
        <v>263</v>
      </c>
      <c r="D22" s="141" t="s">
        <v>761</v>
      </c>
      <c r="E22" s="380"/>
      <c r="F22" s="132"/>
      <c r="G22" s="133"/>
      <c r="H22" s="142"/>
      <c r="I22" s="135"/>
      <c r="J22" s="373"/>
      <c r="K22" s="250"/>
      <c r="L22" s="136"/>
      <c r="M22" s="249"/>
      <c r="N22" s="138"/>
      <c r="O22" s="261"/>
      <c r="P22" s="139"/>
      <c r="R22" s="13">
        <v>0</v>
      </c>
      <c r="S22" s="39">
        <v>10000</v>
      </c>
      <c r="T22" s="140">
        <v>0</v>
      </c>
      <c r="U22" s="140">
        <v>10000</v>
      </c>
    </row>
    <row r="23" spans="2:22" ht="24" customHeight="1">
      <c r="B23" s="449" t="s">
        <v>217</v>
      </c>
      <c r="C23" s="141" t="s">
        <v>763</v>
      </c>
      <c r="D23" s="141" t="s">
        <v>526</v>
      </c>
      <c r="E23" s="380" t="s">
        <v>282</v>
      </c>
      <c r="F23" s="132" t="s">
        <v>213</v>
      </c>
      <c r="G23" s="133"/>
      <c r="H23" s="142" t="s">
        <v>95</v>
      </c>
      <c r="I23" s="135">
        <v>19</v>
      </c>
      <c r="J23" s="373">
        <f>IFERROR(VLOOKUP(C23,[1]Sheet2!$A:$B,2,0),"")</f>
        <v>23000</v>
      </c>
      <c r="K23" s="250">
        <f t="shared" ref="K23:K47" si="16">T23</f>
        <v>0</v>
      </c>
      <c r="L23" s="136">
        <f t="shared" ref="L23:L28" si="17">K23*I23</f>
        <v>0</v>
      </c>
      <c r="M23" s="249">
        <v>23000</v>
      </c>
      <c r="N23" s="138">
        <f t="shared" ref="N23:N28" si="18">M23*I23</f>
        <v>437000</v>
      </c>
      <c r="O23" s="261">
        <f t="shared" si="1"/>
        <v>437000</v>
      </c>
      <c r="P23" s="139"/>
      <c r="R23" s="137">
        <v>8364</v>
      </c>
      <c r="S23" s="146">
        <f t="shared" ref="S23:S33" si="19">R23*O23</f>
        <v>3655068000</v>
      </c>
      <c r="T23" s="147">
        <v>0</v>
      </c>
      <c r="U23" s="148">
        <v>6970</v>
      </c>
    </row>
    <row r="24" spans="2:22" ht="24" customHeight="1">
      <c r="B24" s="450"/>
      <c r="C24" s="141" t="s">
        <v>764</v>
      </c>
      <c r="D24" s="141" t="s">
        <v>527</v>
      </c>
      <c r="E24" s="380" t="s">
        <v>283</v>
      </c>
      <c r="F24" s="132" t="s">
        <v>214</v>
      </c>
      <c r="G24" s="133"/>
      <c r="H24" s="142" t="s">
        <v>95</v>
      </c>
      <c r="I24" s="135"/>
      <c r="J24" s="373">
        <f>IFERROR(VLOOKUP(C24,[1]Sheet2!$A:$B,2,0),"")</f>
        <v>15200</v>
      </c>
      <c r="K24" s="250">
        <f t="shared" si="16"/>
        <v>0</v>
      </c>
      <c r="L24" s="136">
        <f t="shared" si="17"/>
        <v>0</v>
      </c>
      <c r="M24" s="249">
        <v>15200</v>
      </c>
      <c r="N24" s="138">
        <f t="shared" si="18"/>
        <v>0</v>
      </c>
      <c r="O24" s="261">
        <f>N24+L24</f>
        <v>0</v>
      </c>
      <c r="P24" s="139"/>
      <c r="R24" s="137">
        <v>5454</v>
      </c>
      <c r="S24" s="146">
        <f>R24*O24</f>
        <v>0</v>
      </c>
      <c r="T24" s="147">
        <v>0</v>
      </c>
      <c r="U24" s="148">
        <v>4600</v>
      </c>
    </row>
    <row r="25" spans="2:22" ht="24" customHeight="1">
      <c r="B25" s="450"/>
      <c r="C25" s="141" t="s">
        <v>765</v>
      </c>
      <c r="D25" s="141" t="s">
        <v>528</v>
      </c>
      <c r="E25" s="380" t="s">
        <v>284</v>
      </c>
      <c r="F25" s="132" t="s">
        <v>141</v>
      </c>
      <c r="G25" s="133"/>
      <c r="H25" s="142" t="s">
        <v>95</v>
      </c>
      <c r="I25" s="135"/>
      <c r="J25" s="373">
        <f>IFERROR(VLOOKUP(C25,[1]Sheet2!$A:$B,2,0),"")</f>
        <v>15200</v>
      </c>
      <c r="K25" s="250">
        <f t="shared" si="16"/>
        <v>0</v>
      </c>
      <c r="L25" s="136">
        <f t="shared" si="17"/>
        <v>0</v>
      </c>
      <c r="M25" s="249">
        <v>15200</v>
      </c>
      <c r="N25" s="138">
        <f t="shared" si="18"/>
        <v>0</v>
      </c>
      <c r="O25" s="261">
        <f>N25+L25</f>
        <v>0</v>
      </c>
      <c r="P25" s="139"/>
      <c r="R25" s="137">
        <v>5454</v>
      </c>
      <c r="S25" s="146">
        <f>R25*O25</f>
        <v>0</v>
      </c>
      <c r="T25" s="147">
        <v>0</v>
      </c>
      <c r="U25" s="148">
        <v>4600</v>
      </c>
    </row>
    <row r="26" spans="2:22" ht="24" customHeight="1">
      <c r="B26" s="450"/>
      <c r="C26" s="141" t="s">
        <v>278</v>
      </c>
      <c r="D26" s="141" t="s">
        <v>529</v>
      </c>
      <c r="E26" s="380" t="s">
        <v>285</v>
      </c>
      <c r="F26" s="132" t="s">
        <v>142</v>
      </c>
      <c r="G26" s="133"/>
      <c r="H26" s="142" t="s">
        <v>66</v>
      </c>
      <c r="I26" s="135">
        <v>3</v>
      </c>
      <c r="J26" s="373">
        <f>IFERROR(VLOOKUP(C26,[1]Sheet2!$A:$B,2,0),"")</f>
        <v>10000</v>
      </c>
      <c r="K26" s="250">
        <f t="shared" si="16"/>
        <v>0</v>
      </c>
      <c r="L26" s="136">
        <f t="shared" si="17"/>
        <v>0</v>
      </c>
      <c r="M26" s="249">
        <f>U26</f>
        <v>10000</v>
      </c>
      <c r="N26" s="138">
        <f t="shared" si="18"/>
        <v>30000</v>
      </c>
      <c r="O26" s="261">
        <f>N26+L26</f>
        <v>30000</v>
      </c>
      <c r="P26" s="139"/>
      <c r="R26" s="137">
        <v>12000</v>
      </c>
      <c r="S26" s="146">
        <f>R26*O26</f>
        <v>360000000</v>
      </c>
      <c r="T26" s="147">
        <v>0</v>
      </c>
      <c r="U26" s="148">
        <v>10000</v>
      </c>
    </row>
    <row r="27" spans="2:22" ht="24" customHeight="1">
      <c r="B27" s="450"/>
      <c r="C27" s="141" t="s">
        <v>279</v>
      </c>
      <c r="D27" s="141" t="s">
        <v>530</v>
      </c>
      <c r="E27" s="380" t="s">
        <v>286</v>
      </c>
      <c r="F27" s="132" t="s">
        <v>140</v>
      </c>
      <c r="G27" s="133"/>
      <c r="H27" s="142" t="s">
        <v>95</v>
      </c>
      <c r="I27" s="135"/>
      <c r="J27" s="373">
        <f>IFERROR(VLOOKUP(C27,[1]Sheet2!$A:$B,2,0),"")</f>
        <v>40000</v>
      </c>
      <c r="K27" s="250">
        <f t="shared" si="16"/>
        <v>0</v>
      </c>
      <c r="L27" s="136">
        <f t="shared" si="17"/>
        <v>0</v>
      </c>
      <c r="M27" s="249">
        <v>40000</v>
      </c>
      <c r="N27" s="138">
        <f t="shared" si="18"/>
        <v>0</v>
      </c>
      <c r="O27" s="261">
        <f>N27+L27</f>
        <v>0</v>
      </c>
      <c r="P27" s="139"/>
      <c r="R27" s="137">
        <v>14545.199999999999</v>
      </c>
      <c r="S27" s="146">
        <f>R27*O27</f>
        <v>0</v>
      </c>
      <c r="T27" s="147">
        <v>0</v>
      </c>
      <c r="U27" s="148">
        <v>12000</v>
      </c>
    </row>
    <row r="28" spans="2:22" ht="24" customHeight="1">
      <c r="B28" s="450"/>
      <c r="C28" s="141" t="s">
        <v>766</v>
      </c>
      <c r="D28" s="141" t="s">
        <v>531</v>
      </c>
      <c r="E28" s="380" t="s">
        <v>287</v>
      </c>
      <c r="F28" s="132" t="s">
        <v>39</v>
      </c>
      <c r="G28" s="133"/>
      <c r="H28" s="142" t="s">
        <v>95</v>
      </c>
      <c r="I28" s="135"/>
      <c r="J28" s="373">
        <f>IFERROR(VLOOKUP(C28,[1]Sheet2!$A:$B,2,0),"")</f>
        <v>10000</v>
      </c>
      <c r="K28" s="250">
        <f t="shared" si="16"/>
        <v>0</v>
      </c>
      <c r="L28" s="136">
        <f t="shared" si="17"/>
        <v>0</v>
      </c>
      <c r="M28" s="249">
        <f>U28</f>
        <v>10000</v>
      </c>
      <c r="N28" s="138">
        <f t="shared" si="18"/>
        <v>0</v>
      </c>
      <c r="O28" s="261">
        <f>N28+L28</f>
        <v>0</v>
      </c>
      <c r="P28" s="139"/>
      <c r="R28" s="137">
        <v>12000</v>
      </c>
      <c r="S28" s="146">
        <f>R28*O28</f>
        <v>0</v>
      </c>
      <c r="T28" s="147">
        <v>0</v>
      </c>
      <c r="U28" s="148">
        <v>10000</v>
      </c>
    </row>
    <row r="29" spans="2:22" ht="24" customHeight="1">
      <c r="B29" s="450"/>
      <c r="C29" s="141" t="s">
        <v>280</v>
      </c>
      <c r="D29" s="141" t="s">
        <v>532</v>
      </c>
      <c r="E29" s="380" t="s">
        <v>288</v>
      </c>
      <c r="F29" s="132" t="s">
        <v>139</v>
      </c>
      <c r="G29" s="133"/>
      <c r="H29" s="142" t="s">
        <v>95</v>
      </c>
      <c r="I29" s="135"/>
      <c r="J29" s="373">
        <f>IFERROR(VLOOKUP(C29,[1]Sheet2!$A:$B,2,0),"")</f>
        <v>5000</v>
      </c>
      <c r="K29" s="250">
        <f t="shared" si="16"/>
        <v>0</v>
      </c>
      <c r="L29" s="136">
        <f t="shared" ref="L29" si="20">K29*I29</f>
        <v>0</v>
      </c>
      <c r="M29" s="249">
        <v>5000</v>
      </c>
      <c r="N29" s="138">
        <f t="shared" ref="N29" si="21">M29*I29</f>
        <v>0</v>
      </c>
      <c r="O29" s="261">
        <f t="shared" ref="O29" si="22">N29+L29</f>
        <v>0</v>
      </c>
      <c r="P29" s="139"/>
      <c r="R29" s="137"/>
      <c r="S29" s="146"/>
      <c r="T29" s="147"/>
      <c r="U29" s="148"/>
    </row>
    <row r="30" spans="2:22" ht="24" customHeight="1">
      <c r="B30" s="451"/>
      <c r="C30" s="141" t="s">
        <v>281</v>
      </c>
      <c r="D30" s="141" t="s">
        <v>533</v>
      </c>
      <c r="E30" s="380" t="s">
        <v>289</v>
      </c>
      <c r="F30" s="132" t="s">
        <v>38</v>
      </c>
      <c r="G30" s="133"/>
      <c r="H30" s="142" t="s">
        <v>95</v>
      </c>
      <c r="I30" s="135"/>
      <c r="J30" s="373">
        <f>IFERROR(VLOOKUP(C30,[1]Sheet2!$A:$B,2,0),"")</f>
        <v>7000</v>
      </c>
      <c r="K30" s="250">
        <f t="shared" si="16"/>
        <v>0</v>
      </c>
      <c r="L30" s="136">
        <f t="shared" ref="L30:L36" si="23">K30*I30</f>
        <v>0</v>
      </c>
      <c r="M30" s="249">
        <v>7000</v>
      </c>
      <c r="N30" s="138">
        <f t="shared" ref="N30:N36" si="24">M30*I30</f>
        <v>0</v>
      </c>
      <c r="O30" s="261">
        <f t="shared" si="1"/>
        <v>0</v>
      </c>
      <c r="P30" s="139"/>
      <c r="R30" s="137">
        <v>2545.1999999999998</v>
      </c>
      <c r="S30" s="146">
        <f t="shared" si="19"/>
        <v>0</v>
      </c>
      <c r="T30" s="147">
        <v>0</v>
      </c>
      <c r="U30" s="148">
        <v>2120</v>
      </c>
    </row>
    <row r="31" spans="2:22" ht="24" customHeight="1">
      <c r="B31" s="449" t="s">
        <v>218</v>
      </c>
      <c r="C31" s="141" t="s">
        <v>290</v>
      </c>
      <c r="D31" s="141" t="s">
        <v>534</v>
      </c>
      <c r="E31" s="380" t="s">
        <v>292</v>
      </c>
      <c r="F31" s="132" t="s">
        <v>143</v>
      </c>
      <c r="G31" s="133"/>
      <c r="H31" s="142" t="s">
        <v>66</v>
      </c>
      <c r="I31" s="135">
        <v>1</v>
      </c>
      <c r="J31" s="373">
        <f>IFERROR(VLOOKUP(C31,[1]Sheet2!$A:$B,2,0),"")</f>
        <v>100000</v>
      </c>
      <c r="K31" s="250">
        <f t="shared" si="16"/>
        <v>0</v>
      </c>
      <c r="L31" s="136">
        <f t="shared" si="23"/>
        <v>0</v>
      </c>
      <c r="M31" s="249">
        <f>U31</f>
        <v>100000</v>
      </c>
      <c r="N31" s="138">
        <f t="shared" si="24"/>
        <v>100000</v>
      </c>
      <c r="O31" s="261">
        <f>N31+L31</f>
        <v>100000</v>
      </c>
      <c r="P31" s="139"/>
      <c r="R31" s="11">
        <v>0</v>
      </c>
      <c r="S31" s="35">
        <v>100000</v>
      </c>
      <c r="T31" s="140">
        <v>0</v>
      </c>
      <c r="U31" s="140">
        <v>100000</v>
      </c>
    </row>
    <row r="32" spans="2:22" ht="24" customHeight="1">
      <c r="B32" s="451"/>
      <c r="C32" s="141" t="s">
        <v>291</v>
      </c>
      <c r="D32" s="141" t="s">
        <v>535</v>
      </c>
      <c r="E32" s="380" t="s">
        <v>293</v>
      </c>
      <c r="F32" s="132" t="s">
        <v>143</v>
      </c>
      <c r="G32" s="133"/>
      <c r="H32" s="142" t="s">
        <v>66</v>
      </c>
      <c r="I32" s="135">
        <v>2</v>
      </c>
      <c r="J32" s="373">
        <f>IFERROR(VLOOKUP(C32,[1]Sheet2!$A:$B,2,0),"")</f>
        <v>80000</v>
      </c>
      <c r="K32" s="250">
        <f t="shared" si="16"/>
        <v>0</v>
      </c>
      <c r="L32" s="136">
        <f t="shared" si="23"/>
        <v>0</v>
      </c>
      <c r="M32" s="249">
        <f>U32</f>
        <v>80000</v>
      </c>
      <c r="N32" s="138">
        <f t="shared" si="24"/>
        <v>160000</v>
      </c>
      <c r="O32" s="261">
        <f>N32+L32</f>
        <v>160000</v>
      </c>
      <c r="P32" s="139"/>
      <c r="R32" s="12">
        <v>0</v>
      </c>
      <c r="S32" s="42">
        <v>80000</v>
      </c>
      <c r="T32" s="140">
        <v>0</v>
      </c>
      <c r="U32" s="140">
        <v>80000</v>
      </c>
      <c r="V32" s="18"/>
    </row>
    <row r="33" spans="2:21" ht="24" customHeight="1">
      <c r="B33" s="452" t="s">
        <v>224</v>
      </c>
      <c r="C33" s="141" t="s">
        <v>294</v>
      </c>
      <c r="D33" s="141" t="s">
        <v>536</v>
      </c>
      <c r="E33" s="380" t="s">
        <v>306</v>
      </c>
      <c r="F33" s="132" t="s">
        <v>144</v>
      </c>
      <c r="G33" s="133"/>
      <c r="H33" s="142" t="s">
        <v>95</v>
      </c>
      <c r="I33" s="135">
        <v>36</v>
      </c>
      <c r="J33" s="373">
        <f>IFERROR(VLOOKUP(C33,[1]Sheet2!$A:$B,2,0),"")</f>
        <v>1700</v>
      </c>
      <c r="K33" s="250">
        <f t="shared" si="16"/>
        <v>0</v>
      </c>
      <c r="L33" s="136">
        <f t="shared" si="23"/>
        <v>0</v>
      </c>
      <c r="M33" s="249">
        <v>1700</v>
      </c>
      <c r="N33" s="138">
        <f t="shared" si="24"/>
        <v>61200</v>
      </c>
      <c r="O33" s="261">
        <f t="shared" si="1"/>
        <v>61200</v>
      </c>
      <c r="P33" s="139"/>
      <c r="R33" s="137">
        <v>840</v>
      </c>
      <c r="S33" s="146">
        <f t="shared" si="19"/>
        <v>51408000</v>
      </c>
      <c r="T33" s="147">
        <v>0</v>
      </c>
      <c r="U33" s="148">
        <v>700</v>
      </c>
    </row>
    <row r="34" spans="2:21" ht="24" customHeight="1">
      <c r="B34" s="453"/>
      <c r="C34" s="141" t="s">
        <v>295</v>
      </c>
      <c r="D34" s="141" t="s">
        <v>537</v>
      </c>
      <c r="E34" s="380" t="s">
        <v>307</v>
      </c>
      <c r="F34" s="132" t="s">
        <v>144</v>
      </c>
      <c r="G34" s="133"/>
      <c r="H34" s="142" t="s">
        <v>95</v>
      </c>
      <c r="I34" s="135">
        <v>36</v>
      </c>
      <c r="J34" s="373">
        <f>IFERROR(VLOOKUP(C34,[1]Sheet2!$A:$B,2,0),"")</f>
        <v>1700</v>
      </c>
      <c r="K34" s="250">
        <f t="shared" si="16"/>
        <v>0</v>
      </c>
      <c r="L34" s="136">
        <f t="shared" si="23"/>
        <v>0</v>
      </c>
      <c r="M34" s="249">
        <v>1700</v>
      </c>
      <c r="N34" s="138">
        <f t="shared" si="24"/>
        <v>61200</v>
      </c>
      <c r="O34" s="261">
        <f t="shared" si="1"/>
        <v>61200</v>
      </c>
      <c r="P34" s="139"/>
      <c r="R34" s="13">
        <v>0</v>
      </c>
      <c r="S34" s="39">
        <v>700</v>
      </c>
      <c r="T34" s="140">
        <v>0</v>
      </c>
      <c r="U34" s="140">
        <v>700</v>
      </c>
    </row>
    <row r="35" spans="2:21" ht="24" customHeight="1">
      <c r="B35" s="453"/>
      <c r="C35" s="141" t="s">
        <v>296</v>
      </c>
      <c r="D35" s="141" t="s">
        <v>538</v>
      </c>
      <c r="E35" s="380" t="s">
        <v>308</v>
      </c>
      <c r="F35" s="132" t="s">
        <v>220</v>
      </c>
      <c r="G35" s="133"/>
      <c r="H35" s="142" t="s">
        <v>40</v>
      </c>
      <c r="I35" s="135"/>
      <c r="J35" s="373">
        <f>IFERROR(VLOOKUP(C35,[1]Sheet2!$A:$B,2,0),"")</f>
        <v>30000</v>
      </c>
      <c r="K35" s="250">
        <f t="shared" si="16"/>
        <v>0</v>
      </c>
      <c r="L35" s="136">
        <f t="shared" si="23"/>
        <v>0</v>
      </c>
      <c r="M35" s="249">
        <f>U35</f>
        <v>30000</v>
      </c>
      <c r="N35" s="138">
        <f t="shared" si="24"/>
        <v>0</v>
      </c>
      <c r="O35" s="261">
        <f t="shared" si="1"/>
        <v>0</v>
      </c>
      <c r="P35" s="139"/>
      <c r="R35" s="13">
        <v>0</v>
      </c>
      <c r="S35" s="39">
        <v>30000</v>
      </c>
      <c r="T35" s="140">
        <v>0</v>
      </c>
      <c r="U35" s="140">
        <v>30000</v>
      </c>
    </row>
    <row r="36" spans="2:21" ht="24" customHeight="1">
      <c r="B36" s="453"/>
      <c r="C36" s="141" t="s">
        <v>297</v>
      </c>
      <c r="D36" s="141" t="s">
        <v>539</v>
      </c>
      <c r="E36" s="380" t="s">
        <v>309</v>
      </c>
      <c r="F36" s="132" t="s">
        <v>219</v>
      </c>
      <c r="G36" s="133"/>
      <c r="H36" s="142" t="s">
        <v>35</v>
      </c>
      <c r="I36" s="135"/>
      <c r="J36" s="373">
        <f>IFERROR(VLOOKUP(C36,[1]Sheet2!$A:$B,2,0),"")</f>
        <v>10000</v>
      </c>
      <c r="K36" s="250">
        <f t="shared" si="16"/>
        <v>0</v>
      </c>
      <c r="L36" s="136">
        <f t="shared" si="23"/>
        <v>0</v>
      </c>
      <c r="M36" s="249">
        <f>U36</f>
        <v>10000</v>
      </c>
      <c r="N36" s="138">
        <f t="shared" si="24"/>
        <v>0</v>
      </c>
      <c r="O36" s="261">
        <f t="shared" si="1"/>
        <v>0</v>
      </c>
      <c r="P36" s="139"/>
      <c r="R36" s="13">
        <v>0</v>
      </c>
      <c r="S36" s="39">
        <v>10000</v>
      </c>
      <c r="T36" s="140">
        <v>0</v>
      </c>
      <c r="U36" s="140">
        <v>10000</v>
      </c>
    </row>
    <row r="37" spans="2:21" ht="24" customHeight="1">
      <c r="B37" s="453"/>
      <c r="C37" s="141" t="s">
        <v>298</v>
      </c>
      <c r="D37" s="141" t="s">
        <v>540</v>
      </c>
      <c r="E37" s="380" t="s">
        <v>310</v>
      </c>
      <c r="F37" s="132" t="s">
        <v>145</v>
      </c>
      <c r="G37" s="133"/>
      <c r="H37" s="142" t="s">
        <v>66</v>
      </c>
      <c r="I37" s="135"/>
      <c r="J37" s="373">
        <f>IFERROR(VLOOKUP(C37,[1]Sheet2!$A:$B,2,0),"")</f>
        <v>5000</v>
      </c>
      <c r="K37" s="250">
        <f t="shared" si="16"/>
        <v>0</v>
      </c>
      <c r="L37" s="136">
        <f t="shared" ref="L37" si="25">K37*I37</f>
        <v>0</v>
      </c>
      <c r="M37" s="249">
        <v>5000</v>
      </c>
      <c r="N37" s="138">
        <f t="shared" ref="N37" si="26">M37*I37</f>
        <v>0</v>
      </c>
      <c r="O37" s="261">
        <f t="shared" ref="O37" si="27">N37+L37</f>
        <v>0</v>
      </c>
      <c r="P37" s="139"/>
      <c r="R37" s="13"/>
      <c r="S37" s="39"/>
      <c r="T37" s="140"/>
      <c r="U37" s="140"/>
    </row>
    <row r="38" spans="2:21" ht="24" customHeight="1">
      <c r="B38" s="453"/>
      <c r="C38" s="141" t="s">
        <v>299</v>
      </c>
      <c r="D38" s="141" t="s">
        <v>541</v>
      </c>
      <c r="E38" s="380" t="s">
        <v>311</v>
      </c>
      <c r="F38" s="132" t="s">
        <v>221</v>
      </c>
      <c r="G38" s="133"/>
      <c r="H38" s="142" t="s">
        <v>35</v>
      </c>
      <c r="I38" s="135"/>
      <c r="J38" s="373">
        <f>IFERROR(VLOOKUP(C38,[1]Sheet2!$A:$B,2,0),"")</f>
        <v>30000</v>
      </c>
      <c r="K38" s="250">
        <f t="shared" si="16"/>
        <v>0</v>
      </c>
      <c r="L38" s="136">
        <f t="shared" ref="L38:L43" si="28">K38*I38</f>
        <v>0</v>
      </c>
      <c r="M38" s="249">
        <f t="shared" ref="M38:M43" si="29">U38</f>
        <v>30000</v>
      </c>
      <c r="N38" s="138">
        <f t="shared" ref="N38:N43" si="30">M38*I38</f>
        <v>0</v>
      </c>
      <c r="O38" s="261">
        <f t="shared" si="1"/>
        <v>0</v>
      </c>
      <c r="P38" s="139"/>
      <c r="R38" s="13">
        <v>0</v>
      </c>
      <c r="S38" s="39">
        <v>25000</v>
      </c>
      <c r="T38" s="140">
        <v>0</v>
      </c>
      <c r="U38" s="140">
        <v>30000</v>
      </c>
    </row>
    <row r="39" spans="2:21" ht="24" customHeight="1">
      <c r="B39" s="453"/>
      <c r="C39" s="141" t="s">
        <v>300</v>
      </c>
      <c r="D39" s="141" t="s">
        <v>542</v>
      </c>
      <c r="E39" s="380" t="s">
        <v>312</v>
      </c>
      <c r="F39" s="132" t="s">
        <v>222</v>
      </c>
      <c r="G39" s="133"/>
      <c r="H39" s="142" t="s">
        <v>35</v>
      </c>
      <c r="I39" s="135"/>
      <c r="J39" s="373">
        <f>IFERROR(VLOOKUP(C39,[1]Sheet2!$A:$B,2,0),"")</f>
        <v>10000</v>
      </c>
      <c r="K39" s="250">
        <f t="shared" si="16"/>
        <v>0</v>
      </c>
      <c r="L39" s="136">
        <f t="shared" si="28"/>
        <v>0</v>
      </c>
      <c r="M39" s="249">
        <f t="shared" si="29"/>
        <v>10000</v>
      </c>
      <c r="N39" s="138">
        <f t="shared" si="30"/>
        <v>0</v>
      </c>
      <c r="O39" s="261">
        <f t="shared" si="1"/>
        <v>0</v>
      </c>
      <c r="P39" s="139"/>
      <c r="R39" s="13">
        <v>0</v>
      </c>
      <c r="S39" s="39">
        <v>10000</v>
      </c>
      <c r="T39" s="140">
        <v>0</v>
      </c>
      <c r="U39" s="140">
        <v>10000</v>
      </c>
    </row>
    <row r="40" spans="2:21" ht="24" customHeight="1">
      <c r="B40" s="453"/>
      <c r="C40" s="141" t="s">
        <v>301</v>
      </c>
      <c r="D40" s="141" t="s">
        <v>543</v>
      </c>
      <c r="E40" s="380" t="s">
        <v>313</v>
      </c>
      <c r="F40" s="132" t="s">
        <v>223</v>
      </c>
      <c r="G40" s="133"/>
      <c r="H40" s="142" t="s">
        <v>40</v>
      </c>
      <c r="I40" s="135"/>
      <c r="J40" s="373">
        <f>IFERROR(VLOOKUP(C40,[1]Sheet2!$A:$B,2,0),"")</f>
        <v>60000</v>
      </c>
      <c r="K40" s="250">
        <f t="shared" si="16"/>
        <v>0</v>
      </c>
      <c r="L40" s="136">
        <f t="shared" si="28"/>
        <v>0</v>
      </c>
      <c r="M40" s="249">
        <f t="shared" si="29"/>
        <v>60000</v>
      </c>
      <c r="N40" s="138">
        <f t="shared" si="30"/>
        <v>0</v>
      </c>
      <c r="O40" s="261">
        <f t="shared" si="1"/>
        <v>0</v>
      </c>
      <c r="P40" s="139"/>
      <c r="R40" s="13">
        <v>0</v>
      </c>
      <c r="S40" s="39">
        <v>50000</v>
      </c>
      <c r="T40" s="140">
        <v>0</v>
      </c>
      <c r="U40" s="140">
        <v>60000</v>
      </c>
    </row>
    <row r="41" spans="2:21" ht="24" customHeight="1">
      <c r="B41" s="453"/>
      <c r="C41" s="247" t="s">
        <v>302</v>
      </c>
      <c r="D41" s="363" t="s">
        <v>544</v>
      </c>
      <c r="E41" s="381" t="s">
        <v>314</v>
      </c>
      <c r="F41" s="132" t="s">
        <v>146</v>
      </c>
      <c r="G41" s="133"/>
      <c r="H41" s="142" t="s">
        <v>114</v>
      </c>
      <c r="I41" s="135">
        <v>1</v>
      </c>
      <c r="J41" s="373">
        <f>IFERROR(VLOOKUP(C41,[1]Sheet2!$A:$B,2,0),"")</f>
        <v>100000</v>
      </c>
      <c r="K41" s="250">
        <f t="shared" si="16"/>
        <v>0</v>
      </c>
      <c r="L41" s="136">
        <f t="shared" si="28"/>
        <v>0</v>
      </c>
      <c r="M41" s="249">
        <f t="shared" si="29"/>
        <v>100000</v>
      </c>
      <c r="N41" s="138">
        <f t="shared" si="30"/>
        <v>100000</v>
      </c>
      <c r="O41" s="261">
        <f t="shared" si="1"/>
        <v>100000</v>
      </c>
      <c r="P41" s="139"/>
      <c r="R41" s="13">
        <v>0</v>
      </c>
      <c r="S41" s="39">
        <v>100000</v>
      </c>
      <c r="T41" s="140">
        <v>0</v>
      </c>
      <c r="U41" s="140">
        <v>100000</v>
      </c>
    </row>
    <row r="42" spans="2:21" ht="24" customHeight="1">
      <c r="B42" s="453"/>
      <c r="C42" s="247" t="s">
        <v>303</v>
      </c>
      <c r="D42" s="363" t="s">
        <v>545</v>
      </c>
      <c r="E42" s="381" t="s">
        <v>315</v>
      </c>
      <c r="F42" s="132" t="s">
        <v>147</v>
      </c>
      <c r="G42" s="133"/>
      <c r="H42" s="142" t="s">
        <v>114</v>
      </c>
      <c r="I42" s="135"/>
      <c r="J42" s="373">
        <f>IFERROR(VLOOKUP(C42,[1]Sheet2!$A:$B,2,0),"")</f>
        <v>30000</v>
      </c>
      <c r="K42" s="250">
        <f t="shared" si="16"/>
        <v>0</v>
      </c>
      <c r="L42" s="136">
        <f t="shared" si="28"/>
        <v>0</v>
      </c>
      <c r="M42" s="249">
        <f t="shared" si="29"/>
        <v>30000</v>
      </c>
      <c r="N42" s="138">
        <f t="shared" si="30"/>
        <v>0</v>
      </c>
      <c r="O42" s="261">
        <f t="shared" si="1"/>
        <v>0</v>
      </c>
      <c r="P42" s="139"/>
      <c r="R42" s="13">
        <v>0</v>
      </c>
      <c r="S42" s="39">
        <v>30000</v>
      </c>
      <c r="T42" s="140">
        <v>0</v>
      </c>
      <c r="U42" s="140">
        <v>30000</v>
      </c>
    </row>
    <row r="43" spans="2:21" ht="24" customHeight="1">
      <c r="B43" s="453"/>
      <c r="C43" s="247" t="s">
        <v>304</v>
      </c>
      <c r="D43" s="363" t="s">
        <v>546</v>
      </c>
      <c r="E43" s="381" t="s">
        <v>316</v>
      </c>
      <c r="F43" s="132" t="s">
        <v>148</v>
      </c>
      <c r="G43" s="133"/>
      <c r="H43" s="142" t="s">
        <v>41</v>
      </c>
      <c r="I43" s="135"/>
      <c r="J43" s="373">
        <f>IFERROR(VLOOKUP(C43,[1]Sheet2!$A:$B,2,0),"")</f>
        <v>15000</v>
      </c>
      <c r="K43" s="250">
        <f t="shared" si="16"/>
        <v>0</v>
      </c>
      <c r="L43" s="136">
        <f t="shared" si="28"/>
        <v>0</v>
      </c>
      <c r="M43" s="249">
        <f t="shared" si="29"/>
        <v>15000</v>
      </c>
      <c r="N43" s="138">
        <f t="shared" si="30"/>
        <v>0</v>
      </c>
      <c r="O43" s="261">
        <f t="shared" si="1"/>
        <v>0</v>
      </c>
      <c r="P43" s="139"/>
      <c r="R43" s="13">
        <v>0</v>
      </c>
      <c r="S43" s="39">
        <v>15000</v>
      </c>
      <c r="T43" s="140">
        <v>0</v>
      </c>
      <c r="U43" s="140">
        <v>15000</v>
      </c>
    </row>
    <row r="44" spans="2:21" ht="24" customHeight="1">
      <c r="B44" s="454"/>
      <c r="C44" s="149" t="s">
        <v>305</v>
      </c>
      <c r="D44" s="149" t="s">
        <v>547</v>
      </c>
      <c r="E44" s="380" t="s">
        <v>317</v>
      </c>
      <c r="F44" s="132" t="s">
        <v>149</v>
      </c>
      <c r="G44" s="133"/>
      <c r="H44" s="142" t="s">
        <v>128</v>
      </c>
      <c r="I44" s="135"/>
      <c r="J44" s="373">
        <f>IFERROR(VLOOKUP(C44,[1]Sheet2!$A:$B,2,0),"")</f>
        <v>30000</v>
      </c>
      <c r="K44" s="250">
        <f t="shared" si="16"/>
        <v>0</v>
      </c>
      <c r="L44" s="136">
        <f t="shared" ref="L44" si="31">K44*I44</f>
        <v>0</v>
      </c>
      <c r="M44" s="249">
        <v>30000</v>
      </c>
      <c r="N44" s="138">
        <f t="shared" ref="N44" si="32">M44*I44</f>
        <v>0</v>
      </c>
      <c r="O44" s="261">
        <f t="shared" ref="O44" si="33">N44+L44</f>
        <v>0</v>
      </c>
      <c r="P44" s="139"/>
      <c r="R44" s="13"/>
      <c r="S44" s="39"/>
      <c r="T44" s="140"/>
      <c r="U44" s="140"/>
    </row>
    <row r="45" spans="2:21" ht="24" customHeight="1">
      <c r="B45" s="449" t="s">
        <v>225</v>
      </c>
      <c r="C45" s="141" t="s">
        <v>318</v>
      </c>
      <c r="D45" s="141" t="s">
        <v>616</v>
      </c>
      <c r="E45" s="380" t="s">
        <v>323</v>
      </c>
      <c r="F45" s="132" t="s">
        <v>150</v>
      </c>
      <c r="G45" s="133"/>
      <c r="H45" s="142" t="s">
        <v>36</v>
      </c>
      <c r="I45" s="135"/>
      <c r="J45" s="373">
        <f>IFERROR(VLOOKUP(C45,[1]Sheet2!$A:$B,2,0),"")</f>
        <v>50000</v>
      </c>
      <c r="K45" s="250">
        <f t="shared" si="16"/>
        <v>0</v>
      </c>
      <c r="L45" s="136">
        <f>K45*I45</f>
        <v>0</v>
      </c>
      <c r="M45" s="249">
        <f>U45</f>
        <v>50000</v>
      </c>
      <c r="N45" s="138">
        <f>M45*I45</f>
        <v>0</v>
      </c>
      <c r="O45" s="261">
        <f t="shared" si="1"/>
        <v>0</v>
      </c>
      <c r="P45" s="139"/>
      <c r="R45" s="13">
        <v>0</v>
      </c>
      <c r="S45" s="39">
        <v>50000</v>
      </c>
      <c r="T45" s="140">
        <v>0</v>
      </c>
      <c r="U45" s="140">
        <v>50000</v>
      </c>
    </row>
    <row r="46" spans="2:21" ht="24" customHeight="1">
      <c r="B46" s="450"/>
      <c r="C46" s="141" t="s">
        <v>319</v>
      </c>
      <c r="D46" s="141" t="s">
        <v>617</v>
      </c>
      <c r="E46" s="380" t="s">
        <v>324</v>
      </c>
      <c r="F46" s="132" t="s">
        <v>151</v>
      </c>
      <c r="G46" s="133"/>
      <c r="H46" s="142" t="s">
        <v>35</v>
      </c>
      <c r="I46" s="135"/>
      <c r="J46" s="373">
        <f>IFERROR(VLOOKUP(C46,[1]Sheet2!$A:$B,2,0),"")</f>
        <v>30000</v>
      </c>
      <c r="K46" s="250">
        <f t="shared" si="16"/>
        <v>0</v>
      </c>
      <c r="L46" s="136">
        <f>K46*I46</f>
        <v>0</v>
      </c>
      <c r="M46" s="249">
        <f>U46</f>
        <v>30000</v>
      </c>
      <c r="N46" s="138">
        <f>M46*I46</f>
        <v>0</v>
      </c>
      <c r="O46" s="261">
        <f t="shared" si="1"/>
        <v>0</v>
      </c>
      <c r="P46" s="139"/>
      <c r="R46" s="13">
        <v>0</v>
      </c>
      <c r="S46" s="39">
        <v>30000</v>
      </c>
      <c r="T46" s="140">
        <v>0</v>
      </c>
      <c r="U46" s="140">
        <v>30000</v>
      </c>
    </row>
    <row r="47" spans="2:21" ht="24" customHeight="1">
      <c r="B47" s="450"/>
      <c r="C47" s="141" t="s">
        <v>320</v>
      </c>
      <c r="D47" s="141" t="s">
        <v>618</v>
      </c>
      <c r="E47" s="380" t="s">
        <v>325</v>
      </c>
      <c r="F47" s="132" t="s">
        <v>152</v>
      </c>
      <c r="G47" s="133"/>
      <c r="H47" s="142" t="s">
        <v>36</v>
      </c>
      <c r="I47" s="135"/>
      <c r="J47" s="373">
        <f>IFERROR(VLOOKUP(C47,[1]Sheet2!$A:$B,2,0),"")</f>
        <v>50000</v>
      </c>
      <c r="K47" s="250">
        <f t="shared" si="16"/>
        <v>0</v>
      </c>
      <c r="L47" s="136">
        <f>K47*I47</f>
        <v>0</v>
      </c>
      <c r="M47" s="249">
        <f>U47</f>
        <v>50000</v>
      </c>
      <c r="N47" s="138">
        <f>M47*I47</f>
        <v>0</v>
      </c>
      <c r="O47" s="261">
        <f t="shared" si="1"/>
        <v>0</v>
      </c>
      <c r="P47" s="139"/>
      <c r="R47" s="13">
        <v>0</v>
      </c>
      <c r="S47" s="39">
        <v>50000</v>
      </c>
      <c r="T47" s="140">
        <v>0</v>
      </c>
      <c r="U47" s="140">
        <v>50000</v>
      </c>
    </row>
    <row r="48" spans="2:21" ht="24" customHeight="1">
      <c r="B48" s="450"/>
      <c r="C48" s="141" t="s">
        <v>710</v>
      </c>
      <c r="D48" s="141" t="s">
        <v>714</v>
      </c>
      <c r="E48" s="380" t="s">
        <v>712</v>
      </c>
      <c r="F48" s="132"/>
      <c r="G48" s="133"/>
      <c r="H48" s="142" t="s">
        <v>782</v>
      </c>
      <c r="I48" s="135"/>
      <c r="J48" s="373">
        <f>IFERROR(VLOOKUP(C48,[1]Sheet2!$A:$B,2,0),"")</f>
        <v>40000</v>
      </c>
      <c r="K48" s="250"/>
      <c r="L48" s="136"/>
      <c r="M48" s="249">
        <v>40000</v>
      </c>
      <c r="N48" s="138">
        <f t="shared" ref="N48:N49" si="34">M48*I48</f>
        <v>0</v>
      </c>
      <c r="O48" s="261">
        <f t="shared" si="1"/>
        <v>0</v>
      </c>
      <c r="P48" s="139"/>
      <c r="R48" s="13"/>
      <c r="S48" s="39"/>
      <c r="T48" s="140"/>
      <c r="U48" s="140"/>
    </row>
    <row r="49" spans="2:21" ht="24" customHeight="1">
      <c r="B49" s="450"/>
      <c r="C49" s="141" t="s">
        <v>711</v>
      </c>
      <c r="D49" s="141" t="s">
        <v>715</v>
      </c>
      <c r="E49" s="380" t="s">
        <v>713</v>
      </c>
      <c r="F49" s="132"/>
      <c r="G49" s="133"/>
      <c r="H49" s="142" t="s">
        <v>783</v>
      </c>
      <c r="I49" s="135"/>
      <c r="J49" s="373">
        <f>IFERROR(VLOOKUP(C49,[1]Sheet2!$A:$B,2,0),"")</f>
        <v>50000</v>
      </c>
      <c r="K49" s="250"/>
      <c r="L49" s="136"/>
      <c r="M49" s="249">
        <v>50000</v>
      </c>
      <c r="N49" s="138">
        <f t="shared" si="34"/>
        <v>0</v>
      </c>
      <c r="O49" s="261">
        <f t="shared" si="1"/>
        <v>0</v>
      </c>
      <c r="P49" s="139"/>
      <c r="R49" s="13"/>
      <c r="S49" s="39"/>
      <c r="T49" s="140"/>
      <c r="U49" s="140"/>
    </row>
    <row r="50" spans="2:21" ht="24" customHeight="1">
      <c r="B50" s="450"/>
      <c r="C50" s="141" t="s">
        <v>321</v>
      </c>
      <c r="D50" s="141" t="s">
        <v>619</v>
      </c>
      <c r="E50" s="380" t="s">
        <v>326</v>
      </c>
      <c r="F50" s="132" t="s">
        <v>153</v>
      </c>
      <c r="G50" s="133"/>
      <c r="H50" s="142" t="s">
        <v>36</v>
      </c>
      <c r="I50" s="135"/>
      <c r="J50" s="373">
        <f>IFERROR(VLOOKUP(C50,[1]Sheet2!$A:$B,2,0),"")</f>
        <v>30000</v>
      </c>
      <c r="K50" s="250">
        <f t="shared" ref="K50:K55" si="35">T50</f>
        <v>0</v>
      </c>
      <c r="L50" s="136">
        <f>K50*I50</f>
        <v>0</v>
      </c>
      <c r="M50" s="249">
        <f>U50</f>
        <v>30000</v>
      </c>
      <c r="N50" s="138">
        <f>M50*I50</f>
        <v>0</v>
      </c>
      <c r="O50" s="261">
        <f t="shared" si="1"/>
        <v>0</v>
      </c>
      <c r="P50" s="139"/>
      <c r="R50" s="13">
        <v>0</v>
      </c>
      <c r="S50" s="39">
        <v>25000</v>
      </c>
      <c r="T50" s="140">
        <v>0</v>
      </c>
      <c r="U50" s="140">
        <v>30000</v>
      </c>
    </row>
    <row r="51" spans="2:21" ht="24" customHeight="1">
      <c r="B51" s="451"/>
      <c r="C51" s="141" t="s">
        <v>322</v>
      </c>
      <c r="D51" s="141" t="s">
        <v>620</v>
      </c>
      <c r="E51" s="380" t="s">
        <v>327</v>
      </c>
      <c r="F51" s="132" t="s">
        <v>154</v>
      </c>
      <c r="G51" s="133"/>
      <c r="H51" s="142" t="s">
        <v>36</v>
      </c>
      <c r="I51" s="135"/>
      <c r="J51" s="373">
        <f>IFERROR(VLOOKUP(C51,[1]Sheet2!$A:$B,2,0),"")</f>
        <v>45600</v>
      </c>
      <c r="K51" s="250">
        <f t="shared" si="35"/>
        <v>0</v>
      </c>
      <c r="L51" s="136">
        <f>K51*I51</f>
        <v>0</v>
      </c>
      <c r="M51" s="249">
        <f>U51</f>
        <v>45600</v>
      </c>
      <c r="N51" s="138">
        <f>M51*I51</f>
        <v>0</v>
      </c>
      <c r="O51" s="261">
        <f t="shared" si="1"/>
        <v>0</v>
      </c>
      <c r="P51" s="139"/>
      <c r="R51" s="13">
        <v>0</v>
      </c>
      <c r="S51" s="39">
        <v>38000</v>
      </c>
      <c r="T51" s="140">
        <v>0</v>
      </c>
      <c r="U51" s="140">
        <v>45600</v>
      </c>
    </row>
    <row r="52" spans="2:21" ht="24" customHeight="1">
      <c r="B52" s="449" t="s">
        <v>226</v>
      </c>
      <c r="C52" s="141" t="s">
        <v>328</v>
      </c>
      <c r="D52" s="141" t="s">
        <v>621</v>
      </c>
      <c r="E52" s="380" t="s">
        <v>332</v>
      </c>
      <c r="F52" s="132" t="s">
        <v>156</v>
      </c>
      <c r="G52" s="133"/>
      <c r="H52" s="142" t="s">
        <v>36</v>
      </c>
      <c r="I52" s="135">
        <v>4.0999999999999996</v>
      </c>
      <c r="J52" s="373">
        <f>IFERROR(VLOOKUP(C52,[1]Sheet2!$A:$B,2,0),"")</f>
        <v>15000</v>
      </c>
      <c r="K52" s="250">
        <f t="shared" si="35"/>
        <v>0</v>
      </c>
      <c r="L52" s="136">
        <f>K52*I52</f>
        <v>0</v>
      </c>
      <c r="M52" s="249">
        <f>U52</f>
        <v>15000</v>
      </c>
      <c r="N52" s="138">
        <f>M52*I52</f>
        <v>61499.999999999993</v>
      </c>
      <c r="O52" s="261">
        <f>N52+L52</f>
        <v>61499.999999999993</v>
      </c>
      <c r="P52" s="139"/>
      <c r="R52" s="13">
        <v>0</v>
      </c>
      <c r="S52" s="39">
        <v>15000</v>
      </c>
      <c r="T52" s="140">
        <v>0</v>
      </c>
      <c r="U52" s="140">
        <v>15000</v>
      </c>
    </row>
    <row r="53" spans="2:21" ht="24" customHeight="1">
      <c r="B53" s="457"/>
      <c r="C53" s="143" t="s">
        <v>329</v>
      </c>
      <c r="D53" s="143" t="s">
        <v>622</v>
      </c>
      <c r="E53" s="382" t="s">
        <v>333</v>
      </c>
      <c r="F53" s="150" t="s">
        <v>227</v>
      </c>
      <c r="G53" s="151"/>
      <c r="H53" s="142" t="s">
        <v>37</v>
      </c>
      <c r="I53" s="135">
        <v>9</v>
      </c>
      <c r="J53" s="373">
        <f>IFERROR(VLOOKUP(C53,[1]Sheet2!$A:$B,2,0),"")</f>
        <v>18000</v>
      </c>
      <c r="K53" s="250">
        <f t="shared" si="35"/>
        <v>0</v>
      </c>
      <c r="L53" s="136">
        <f>K53*I53</f>
        <v>0</v>
      </c>
      <c r="M53" s="249">
        <f>U53</f>
        <v>18000</v>
      </c>
      <c r="N53" s="138">
        <f>M53*I53</f>
        <v>162000</v>
      </c>
      <c r="O53" s="261">
        <f>N53+L53</f>
        <v>162000</v>
      </c>
      <c r="P53" s="152"/>
      <c r="R53" s="14">
        <v>0</v>
      </c>
      <c r="S53" s="40">
        <v>18000</v>
      </c>
      <c r="T53" s="140">
        <v>0</v>
      </c>
      <c r="U53" s="140">
        <v>18000</v>
      </c>
    </row>
    <row r="54" spans="2:21" ht="24" customHeight="1">
      <c r="B54" s="457"/>
      <c r="C54" s="141" t="s">
        <v>330</v>
      </c>
      <c r="D54" s="141" t="s">
        <v>623</v>
      </c>
      <c r="E54" s="380" t="s">
        <v>334</v>
      </c>
      <c r="F54" s="132" t="s">
        <v>155</v>
      </c>
      <c r="G54" s="133"/>
      <c r="H54" s="142" t="s">
        <v>95</v>
      </c>
      <c r="I54" s="135">
        <v>1</v>
      </c>
      <c r="J54" s="373">
        <f>IFERROR(VLOOKUP(C54,[1]Sheet2!$A:$B,2,0),"")</f>
        <v>50000</v>
      </c>
      <c r="K54" s="250">
        <f t="shared" si="35"/>
        <v>0</v>
      </c>
      <c r="L54" s="136">
        <f>K54*I54</f>
        <v>0</v>
      </c>
      <c r="M54" s="249">
        <f>U54</f>
        <v>50000</v>
      </c>
      <c r="N54" s="138">
        <f>M54*I54</f>
        <v>50000</v>
      </c>
      <c r="O54" s="261">
        <f t="shared" si="1"/>
        <v>50000</v>
      </c>
      <c r="P54" s="139"/>
      <c r="R54" s="13">
        <v>0</v>
      </c>
      <c r="S54" s="39">
        <v>50000</v>
      </c>
      <c r="T54" s="140">
        <v>0</v>
      </c>
      <c r="U54" s="140">
        <v>50000</v>
      </c>
    </row>
    <row r="55" spans="2:21" ht="24" customHeight="1">
      <c r="B55" s="457"/>
      <c r="C55" s="141" t="s">
        <v>331</v>
      </c>
      <c r="D55" s="141" t="s">
        <v>624</v>
      </c>
      <c r="E55" s="380" t="s">
        <v>335</v>
      </c>
      <c r="F55" s="132" t="s">
        <v>157</v>
      </c>
      <c r="G55" s="133"/>
      <c r="H55" s="142" t="s">
        <v>66</v>
      </c>
      <c r="I55" s="135"/>
      <c r="J55" s="373">
        <f>IFERROR(VLOOKUP(C55,[1]Sheet2!$A:$B,2,0),"")</f>
        <v>50000</v>
      </c>
      <c r="K55" s="250">
        <f t="shared" si="35"/>
        <v>0</v>
      </c>
      <c r="L55" s="136">
        <f t="shared" ref="L55" si="36">K55*I55</f>
        <v>0</v>
      </c>
      <c r="M55" s="249">
        <v>50000</v>
      </c>
      <c r="N55" s="138">
        <f t="shared" ref="N55" si="37">M55*I55</f>
        <v>0</v>
      </c>
      <c r="O55" s="261">
        <f t="shared" ref="O55" si="38">N55+L55</f>
        <v>0</v>
      </c>
      <c r="P55" s="139"/>
      <c r="R55" s="117"/>
      <c r="S55" s="118"/>
      <c r="T55" s="140"/>
      <c r="U55" s="140"/>
    </row>
    <row r="56" spans="2:21" ht="24" customHeight="1">
      <c r="B56" s="458"/>
      <c r="C56" s="141" t="s">
        <v>708</v>
      </c>
      <c r="D56" s="141" t="s">
        <v>709</v>
      </c>
      <c r="E56" s="380" t="s">
        <v>771</v>
      </c>
      <c r="F56" s="132"/>
      <c r="G56" s="133"/>
      <c r="H56" s="142" t="s">
        <v>782</v>
      </c>
      <c r="I56" s="135"/>
      <c r="J56" s="373">
        <f>IFERROR(VLOOKUP(C56,[1]Sheet2!$A:$B,2,0),"")</f>
        <v>50000</v>
      </c>
      <c r="K56" s="250"/>
      <c r="L56" s="136"/>
      <c r="M56" s="249">
        <v>50000</v>
      </c>
      <c r="N56" s="138">
        <f t="shared" ref="N56" si="39">M56*I56</f>
        <v>0</v>
      </c>
      <c r="O56" s="261">
        <f t="shared" ref="O56" si="40">N56+L56</f>
        <v>0</v>
      </c>
      <c r="P56" s="139"/>
      <c r="R56" s="117"/>
      <c r="S56" s="118"/>
      <c r="T56" s="140"/>
      <c r="U56" s="140"/>
    </row>
    <row r="57" spans="2:21" ht="24" customHeight="1">
      <c r="B57" s="449" t="s">
        <v>234</v>
      </c>
      <c r="C57" s="141" t="s">
        <v>336</v>
      </c>
      <c r="D57" s="141" t="s">
        <v>625</v>
      </c>
      <c r="E57" s="380" t="s">
        <v>348</v>
      </c>
      <c r="F57" s="132" t="s">
        <v>228</v>
      </c>
      <c r="G57" s="133"/>
      <c r="H57" s="142" t="s">
        <v>114</v>
      </c>
      <c r="I57" s="135">
        <v>2</v>
      </c>
      <c r="J57" s="373">
        <f>IFERROR(VLOOKUP(C57,[1]Sheet2!$A:$B,2,0),"")</f>
        <v>120000</v>
      </c>
      <c r="K57" s="250">
        <f>T57</f>
        <v>0</v>
      </c>
      <c r="L57" s="136">
        <f>K57*I57</f>
        <v>0</v>
      </c>
      <c r="M57" s="249">
        <f>U57</f>
        <v>120000</v>
      </c>
      <c r="N57" s="138">
        <f>M57*I57</f>
        <v>240000</v>
      </c>
      <c r="O57" s="261">
        <f t="shared" si="1"/>
        <v>240000</v>
      </c>
      <c r="P57" s="139"/>
      <c r="R57" s="11">
        <v>0</v>
      </c>
      <c r="S57" s="35">
        <v>120000</v>
      </c>
      <c r="T57" s="140">
        <v>0</v>
      </c>
      <c r="U57" s="140">
        <v>120000</v>
      </c>
    </row>
    <row r="58" spans="2:21" ht="24" customHeight="1">
      <c r="B58" s="450"/>
      <c r="C58" s="141" t="s">
        <v>337</v>
      </c>
      <c r="D58" s="141" t="s">
        <v>626</v>
      </c>
      <c r="E58" s="380" t="s">
        <v>349</v>
      </c>
      <c r="F58" s="132" t="s">
        <v>229</v>
      </c>
      <c r="G58" s="133"/>
      <c r="H58" s="142" t="s">
        <v>66</v>
      </c>
      <c r="I58" s="135">
        <v>1</v>
      </c>
      <c r="J58" s="373">
        <f>IFERROR(VLOOKUP(C58,[1]Sheet2!$A:$B,2,0),"")</f>
        <v>30000</v>
      </c>
      <c r="K58" s="250">
        <f>T58</f>
        <v>0</v>
      </c>
      <c r="L58" s="136">
        <f>K58*I58</f>
        <v>0</v>
      </c>
      <c r="M58" s="249">
        <f>U58</f>
        <v>30000</v>
      </c>
      <c r="N58" s="138">
        <f>M58*I58</f>
        <v>30000</v>
      </c>
      <c r="O58" s="261">
        <f t="shared" si="1"/>
        <v>30000</v>
      </c>
      <c r="P58" s="139"/>
      <c r="R58" s="13">
        <v>0</v>
      </c>
      <c r="S58" s="39">
        <v>30000</v>
      </c>
      <c r="T58" s="140">
        <v>0</v>
      </c>
      <c r="U58" s="140">
        <v>30000</v>
      </c>
    </row>
    <row r="59" spans="2:21" ht="24" customHeight="1">
      <c r="B59" s="450"/>
      <c r="C59" s="141" t="s">
        <v>338</v>
      </c>
      <c r="D59" s="141" t="s">
        <v>627</v>
      </c>
      <c r="E59" s="380" t="s">
        <v>350</v>
      </c>
      <c r="F59" s="132" t="s">
        <v>230</v>
      </c>
      <c r="G59" s="133"/>
      <c r="H59" s="142" t="s">
        <v>66</v>
      </c>
      <c r="I59" s="135"/>
      <c r="J59" s="373">
        <f>IFERROR(VLOOKUP(C59,[1]Sheet2!$A:$B,2,0),"")</f>
        <v>50000</v>
      </c>
      <c r="K59" s="250">
        <f>T59</f>
        <v>0</v>
      </c>
      <c r="L59" s="136">
        <f>K59*I59</f>
        <v>0</v>
      </c>
      <c r="M59" s="249">
        <f>U59</f>
        <v>50000</v>
      </c>
      <c r="N59" s="138">
        <f>M59*I59</f>
        <v>0</v>
      </c>
      <c r="O59" s="261">
        <f t="shared" si="1"/>
        <v>0</v>
      </c>
      <c r="P59" s="139"/>
      <c r="R59" s="13">
        <v>0</v>
      </c>
      <c r="S59" s="39">
        <v>50000</v>
      </c>
      <c r="T59" s="140">
        <v>0</v>
      </c>
      <c r="U59" s="140">
        <v>50000</v>
      </c>
    </row>
    <row r="60" spans="2:21" ht="24" customHeight="1">
      <c r="B60" s="450"/>
      <c r="C60" s="141" t="s">
        <v>716</v>
      </c>
      <c r="D60" s="141" t="s">
        <v>719</v>
      </c>
      <c r="E60" s="380" t="s">
        <v>768</v>
      </c>
      <c r="F60" s="132"/>
      <c r="G60" s="133"/>
      <c r="H60" s="142" t="s">
        <v>35</v>
      </c>
      <c r="I60" s="135"/>
      <c r="J60" s="373">
        <f>IFERROR(VLOOKUP(C60,[1]Sheet2!$A:$B,2,0),"")</f>
        <v>307800</v>
      </c>
      <c r="K60" s="250"/>
      <c r="L60" s="136"/>
      <c r="M60" s="249">
        <v>307800</v>
      </c>
      <c r="N60" s="138">
        <f t="shared" ref="N60:N62" si="41">M60*I60</f>
        <v>0</v>
      </c>
      <c r="O60" s="261">
        <f t="shared" si="1"/>
        <v>0</v>
      </c>
      <c r="P60" s="139"/>
      <c r="R60" s="13"/>
      <c r="S60" s="39"/>
      <c r="T60" s="140"/>
      <c r="U60" s="140"/>
    </row>
    <row r="61" spans="2:21" ht="24" customHeight="1">
      <c r="B61" s="450"/>
      <c r="C61" s="141" t="s">
        <v>717</v>
      </c>
      <c r="D61" s="141" t="s">
        <v>720</v>
      </c>
      <c r="E61" s="380" t="s">
        <v>769</v>
      </c>
      <c r="F61" s="132"/>
      <c r="G61" s="133"/>
      <c r="H61" s="142" t="s">
        <v>35</v>
      </c>
      <c r="I61" s="135"/>
      <c r="J61" s="373">
        <f>IFERROR(VLOOKUP(C61,[1]Sheet2!$A:$B,2,0),"")</f>
        <v>666900</v>
      </c>
      <c r="K61" s="250"/>
      <c r="L61" s="136"/>
      <c r="M61" s="249">
        <v>666900</v>
      </c>
      <c r="N61" s="138">
        <f t="shared" si="41"/>
        <v>0</v>
      </c>
      <c r="O61" s="261">
        <f t="shared" si="1"/>
        <v>0</v>
      </c>
      <c r="P61" s="139"/>
      <c r="R61" s="13"/>
      <c r="S61" s="39"/>
      <c r="T61" s="140"/>
      <c r="U61" s="140"/>
    </row>
    <row r="62" spans="2:21" ht="24" customHeight="1">
      <c r="B62" s="450"/>
      <c r="C62" s="141" t="s">
        <v>718</v>
      </c>
      <c r="D62" s="141" t="s">
        <v>721</v>
      </c>
      <c r="E62" s="380" t="s">
        <v>770</v>
      </c>
      <c r="F62" s="132"/>
      <c r="G62" s="133"/>
      <c r="H62" s="142" t="s">
        <v>35</v>
      </c>
      <c r="I62" s="135"/>
      <c r="J62" s="373">
        <f>IFERROR(VLOOKUP(C62,[1]Sheet2!$A:$B,2,0),"")</f>
        <v>1026000</v>
      </c>
      <c r="K62" s="250"/>
      <c r="L62" s="136"/>
      <c r="M62" s="249">
        <v>1026000</v>
      </c>
      <c r="N62" s="138">
        <f t="shared" si="41"/>
        <v>0</v>
      </c>
      <c r="O62" s="261">
        <f t="shared" si="1"/>
        <v>0</v>
      </c>
      <c r="P62" s="139"/>
      <c r="R62" s="13"/>
      <c r="S62" s="39"/>
      <c r="T62" s="140"/>
      <c r="U62" s="140"/>
    </row>
    <row r="63" spans="2:21" ht="24" customHeight="1">
      <c r="B63" s="450"/>
      <c r="C63" s="141" t="s">
        <v>339</v>
      </c>
      <c r="D63" s="141" t="s">
        <v>628</v>
      </c>
      <c r="E63" s="380" t="s">
        <v>351</v>
      </c>
      <c r="F63" s="132" t="s">
        <v>159</v>
      </c>
      <c r="G63" s="133"/>
      <c r="H63" s="142" t="s">
        <v>66</v>
      </c>
      <c r="I63" s="135"/>
      <c r="J63" s="373">
        <f>IFERROR(VLOOKUP(C63,[1]Sheet2!$A:$B,2,0),"")</f>
        <v>100000</v>
      </c>
      <c r="K63" s="250">
        <f t="shared" ref="K63:K77" si="42">T63</f>
        <v>0</v>
      </c>
      <c r="L63" s="136">
        <f>K63*I63</f>
        <v>0</v>
      </c>
      <c r="M63" s="249">
        <f>U63</f>
        <v>100000</v>
      </c>
      <c r="N63" s="138">
        <f>M63*I63</f>
        <v>0</v>
      </c>
      <c r="O63" s="261">
        <f>N63+L63</f>
        <v>0</v>
      </c>
      <c r="P63" s="139"/>
      <c r="R63" s="13">
        <v>0</v>
      </c>
      <c r="S63" s="39">
        <v>100000</v>
      </c>
      <c r="T63" s="140">
        <v>0</v>
      </c>
      <c r="U63" s="140">
        <v>100000</v>
      </c>
    </row>
    <row r="64" spans="2:21" ht="24" customHeight="1">
      <c r="B64" s="450"/>
      <c r="C64" s="141" t="s">
        <v>340</v>
      </c>
      <c r="D64" s="141" t="s">
        <v>629</v>
      </c>
      <c r="E64" s="380" t="s">
        <v>352</v>
      </c>
      <c r="F64" s="132" t="s">
        <v>158</v>
      </c>
      <c r="G64" s="133"/>
      <c r="H64" s="142" t="s">
        <v>66</v>
      </c>
      <c r="I64" s="135">
        <v>1</v>
      </c>
      <c r="J64" s="373">
        <f>IFERROR(VLOOKUP(C64,[1]Sheet2!$A:$B,2,0),"")</f>
        <v>50000</v>
      </c>
      <c r="K64" s="250">
        <f t="shared" si="42"/>
        <v>0</v>
      </c>
      <c r="L64" s="136">
        <f>K64*I64</f>
        <v>0</v>
      </c>
      <c r="M64" s="249">
        <f>U64</f>
        <v>50000</v>
      </c>
      <c r="N64" s="138">
        <f>M64*I64</f>
        <v>50000</v>
      </c>
      <c r="O64" s="261">
        <f t="shared" si="1"/>
        <v>50000</v>
      </c>
      <c r="P64" s="139"/>
      <c r="R64" s="13">
        <v>0</v>
      </c>
      <c r="S64" s="39">
        <v>50000</v>
      </c>
      <c r="T64" s="140">
        <v>0</v>
      </c>
      <c r="U64" s="140">
        <v>50000</v>
      </c>
    </row>
    <row r="65" spans="2:21" ht="24" customHeight="1">
      <c r="B65" s="450"/>
      <c r="C65" s="141" t="s">
        <v>341</v>
      </c>
      <c r="D65" s="141" t="s">
        <v>630</v>
      </c>
      <c r="E65" s="380" t="s">
        <v>353</v>
      </c>
      <c r="F65" s="132" t="s">
        <v>231</v>
      </c>
      <c r="G65" s="133"/>
      <c r="H65" s="142" t="s">
        <v>66</v>
      </c>
      <c r="I65" s="135"/>
      <c r="J65" s="373">
        <f>IFERROR(VLOOKUP(C65,[1]Sheet2!$A:$B,2,0),"")</f>
        <v>70000</v>
      </c>
      <c r="K65" s="250">
        <f t="shared" si="42"/>
        <v>0</v>
      </c>
      <c r="L65" s="136">
        <f>K65*I65</f>
        <v>0</v>
      </c>
      <c r="M65" s="249">
        <f>U65</f>
        <v>70000</v>
      </c>
      <c r="N65" s="138">
        <f>M65*I65</f>
        <v>0</v>
      </c>
      <c r="O65" s="261">
        <f t="shared" si="1"/>
        <v>0</v>
      </c>
      <c r="P65" s="153"/>
      <c r="R65" s="14">
        <v>0</v>
      </c>
      <c r="S65" s="40">
        <v>70000</v>
      </c>
      <c r="T65" s="140">
        <v>0</v>
      </c>
      <c r="U65" s="140">
        <v>70000</v>
      </c>
    </row>
    <row r="66" spans="2:21" ht="24" customHeight="1">
      <c r="B66" s="450"/>
      <c r="C66" s="141" t="s">
        <v>342</v>
      </c>
      <c r="D66" s="141" t="s">
        <v>605</v>
      </c>
      <c r="E66" s="380" t="s">
        <v>354</v>
      </c>
      <c r="F66" s="132" t="s">
        <v>232</v>
      </c>
      <c r="G66" s="133"/>
      <c r="H66" s="142" t="s">
        <v>66</v>
      </c>
      <c r="I66" s="135"/>
      <c r="J66" s="373">
        <f>IFERROR(VLOOKUP(C66,[1]Sheet2!$A:$B,2,0),"")</f>
        <v>120000</v>
      </c>
      <c r="K66" s="250">
        <f t="shared" si="42"/>
        <v>0</v>
      </c>
      <c r="L66" s="136">
        <f t="shared" ref="L66:L67" si="43">K66*I66</f>
        <v>0</v>
      </c>
      <c r="M66" s="249">
        <v>120000</v>
      </c>
      <c r="N66" s="138">
        <f t="shared" ref="N66:N67" si="44">M66*I66</f>
        <v>0</v>
      </c>
      <c r="O66" s="261">
        <f t="shared" ref="O66:O67" si="45">N66+L66</f>
        <v>0</v>
      </c>
      <c r="P66" s="153"/>
      <c r="R66" s="117"/>
      <c r="S66" s="118"/>
      <c r="T66" s="140"/>
      <c r="U66" s="140"/>
    </row>
    <row r="67" spans="2:21" ht="24" customHeight="1">
      <c r="B67" s="450"/>
      <c r="C67" s="141" t="s">
        <v>343</v>
      </c>
      <c r="D67" s="141" t="s">
        <v>606</v>
      </c>
      <c r="E67" s="380" t="s">
        <v>355</v>
      </c>
      <c r="F67" s="132" t="s">
        <v>233</v>
      </c>
      <c r="G67" s="133"/>
      <c r="H67" s="142" t="s">
        <v>66</v>
      </c>
      <c r="I67" s="135"/>
      <c r="J67" s="373">
        <f>IFERROR(VLOOKUP(C67,[1]Sheet2!$A:$B,2,0),"")</f>
        <v>180000</v>
      </c>
      <c r="K67" s="250">
        <f t="shared" si="42"/>
        <v>0</v>
      </c>
      <c r="L67" s="136">
        <f t="shared" si="43"/>
        <v>0</v>
      </c>
      <c r="M67" s="249">
        <v>180000</v>
      </c>
      <c r="N67" s="138">
        <f t="shared" si="44"/>
        <v>0</v>
      </c>
      <c r="O67" s="261">
        <f t="shared" si="45"/>
        <v>0</v>
      </c>
      <c r="P67" s="153"/>
      <c r="R67" s="117"/>
      <c r="S67" s="118"/>
      <c r="T67" s="140"/>
      <c r="U67" s="140"/>
    </row>
    <row r="68" spans="2:21" ht="24" customHeight="1">
      <c r="B68" s="450"/>
      <c r="C68" s="141" t="s">
        <v>344</v>
      </c>
      <c r="D68" s="141" t="s">
        <v>607</v>
      </c>
      <c r="E68" s="380" t="s">
        <v>356</v>
      </c>
      <c r="F68" s="132" t="s">
        <v>160</v>
      </c>
      <c r="G68" s="133"/>
      <c r="H68" s="142" t="s">
        <v>66</v>
      </c>
      <c r="I68" s="135"/>
      <c r="J68" s="373">
        <f>IFERROR(VLOOKUP(C68,[1]Sheet2!$A:$B,2,0),"")</f>
        <v>84000</v>
      </c>
      <c r="K68" s="250">
        <f t="shared" si="42"/>
        <v>0</v>
      </c>
      <c r="L68" s="136">
        <f>K68*I68</f>
        <v>0</v>
      </c>
      <c r="M68" s="249">
        <v>84000</v>
      </c>
      <c r="N68" s="138">
        <f>M68*I68</f>
        <v>0</v>
      </c>
      <c r="O68" s="261">
        <f>N68+L68</f>
        <v>0</v>
      </c>
      <c r="P68" s="153"/>
      <c r="R68" s="117"/>
      <c r="S68" s="118"/>
      <c r="T68" s="140"/>
      <c r="U68" s="140"/>
    </row>
    <row r="69" spans="2:21" ht="24" customHeight="1">
      <c r="B69" s="450"/>
      <c r="C69" s="141" t="s">
        <v>345</v>
      </c>
      <c r="D69" s="141" t="s">
        <v>608</v>
      </c>
      <c r="E69" s="380" t="s">
        <v>357</v>
      </c>
      <c r="F69" s="132" t="s">
        <v>161</v>
      </c>
      <c r="G69" s="133"/>
      <c r="H69" s="142" t="s">
        <v>66</v>
      </c>
      <c r="I69" s="135"/>
      <c r="J69" s="373">
        <f>IFERROR(VLOOKUP(C69,[1]Sheet2!$A:$B,2,0),"")</f>
        <v>84000</v>
      </c>
      <c r="K69" s="250">
        <f t="shared" si="42"/>
        <v>0</v>
      </c>
      <c r="L69" s="136">
        <f t="shared" ref="L69:L70" si="46">K69*I69</f>
        <v>0</v>
      </c>
      <c r="M69" s="249">
        <v>84000</v>
      </c>
      <c r="N69" s="138">
        <f t="shared" ref="N69:N70" si="47">M69*I69</f>
        <v>0</v>
      </c>
      <c r="O69" s="261">
        <f t="shared" ref="O69:O70" si="48">N69+L69</f>
        <v>0</v>
      </c>
      <c r="P69" s="153"/>
      <c r="R69" s="117"/>
      <c r="S69" s="118"/>
      <c r="T69" s="140"/>
      <c r="U69" s="140"/>
    </row>
    <row r="70" spans="2:21" ht="24" customHeight="1">
      <c r="B70" s="450"/>
      <c r="C70" s="141" t="s">
        <v>346</v>
      </c>
      <c r="D70" s="141" t="s">
        <v>609</v>
      </c>
      <c r="E70" s="380" t="s">
        <v>358</v>
      </c>
      <c r="F70" s="132" t="s">
        <v>162</v>
      </c>
      <c r="G70" s="133"/>
      <c r="H70" s="142" t="s">
        <v>66</v>
      </c>
      <c r="I70" s="135"/>
      <c r="J70" s="373">
        <f>IFERROR(VLOOKUP(C70,[1]Sheet2!$A:$B,2,0),"")</f>
        <v>150000</v>
      </c>
      <c r="K70" s="250">
        <f t="shared" si="42"/>
        <v>0</v>
      </c>
      <c r="L70" s="136">
        <f t="shared" si="46"/>
        <v>0</v>
      </c>
      <c r="M70" s="249">
        <v>150000</v>
      </c>
      <c r="N70" s="138">
        <f t="shared" si="47"/>
        <v>0</v>
      </c>
      <c r="O70" s="261">
        <f t="shared" si="48"/>
        <v>0</v>
      </c>
      <c r="P70" s="153"/>
      <c r="R70" s="117"/>
      <c r="S70" s="118"/>
      <c r="T70" s="140"/>
      <c r="U70" s="140"/>
    </row>
    <row r="71" spans="2:21" ht="24" customHeight="1">
      <c r="B71" s="451"/>
      <c r="C71" s="141" t="s">
        <v>347</v>
      </c>
      <c r="D71" s="141" t="s">
        <v>610</v>
      </c>
      <c r="E71" s="380" t="s">
        <v>359</v>
      </c>
      <c r="F71" s="132" t="s">
        <v>163</v>
      </c>
      <c r="G71" s="133"/>
      <c r="H71" s="142" t="s">
        <v>66</v>
      </c>
      <c r="I71" s="135"/>
      <c r="J71" s="373">
        <f>IFERROR(VLOOKUP(C71,[1]Sheet2!$A:$B,2,0),"")</f>
        <v>200000</v>
      </c>
      <c r="K71" s="250">
        <f t="shared" si="42"/>
        <v>0</v>
      </c>
      <c r="L71" s="136">
        <f>K71*I71</f>
        <v>0</v>
      </c>
      <c r="M71" s="249">
        <f>U71</f>
        <v>200000</v>
      </c>
      <c r="N71" s="138">
        <f>M71*I71</f>
        <v>0</v>
      </c>
      <c r="O71" s="261">
        <f t="shared" si="1"/>
        <v>0</v>
      </c>
      <c r="P71" s="153"/>
      <c r="R71" s="30"/>
      <c r="S71" s="48">
        <v>200000</v>
      </c>
      <c r="T71" s="140">
        <v>0</v>
      </c>
      <c r="U71" s="140">
        <v>200000</v>
      </c>
    </row>
    <row r="72" spans="2:21" ht="24" customHeight="1">
      <c r="B72" s="449" t="s">
        <v>235</v>
      </c>
      <c r="C72" s="141" t="s">
        <v>360</v>
      </c>
      <c r="D72" s="141" t="s">
        <v>631</v>
      </c>
      <c r="E72" s="380" t="s">
        <v>366</v>
      </c>
      <c r="F72" s="132" t="s">
        <v>164</v>
      </c>
      <c r="G72" s="133"/>
      <c r="H72" s="142" t="s">
        <v>66</v>
      </c>
      <c r="I72" s="135"/>
      <c r="J72" s="373">
        <f>IFERROR(VLOOKUP(C72,[1]Sheet2!$A:$B,2,0),"")</f>
        <v>100000</v>
      </c>
      <c r="K72" s="250">
        <f t="shared" si="42"/>
        <v>0</v>
      </c>
      <c r="L72" s="136">
        <f>K72*I72</f>
        <v>0</v>
      </c>
      <c r="M72" s="249">
        <v>100000</v>
      </c>
      <c r="N72" s="138">
        <f t="shared" ref="N72" si="49">M72*I72</f>
        <v>0</v>
      </c>
      <c r="O72" s="261">
        <f t="shared" ref="O72" si="50">N72+L72</f>
        <v>0</v>
      </c>
      <c r="P72" s="153"/>
      <c r="R72" s="120"/>
      <c r="S72" s="16"/>
      <c r="T72" s="140"/>
      <c r="U72" s="140"/>
    </row>
    <row r="73" spans="2:21" ht="24" customHeight="1">
      <c r="B73" s="450"/>
      <c r="C73" s="143" t="s">
        <v>361</v>
      </c>
      <c r="D73" s="143" t="s">
        <v>632</v>
      </c>
      <c r="E73" s="382" t="s">
        <v>367</v>
      </c>
      <c r="F73" s="150" t="s">
        <v>165</v>
      </c>
      <c r="G73" s="151"/>
      <c r="H73" s="154" t="s">
        <v>66</v>
      </c>
      <c r="I73" s="135"/>
      <c r="J73" s="373">
        <f>IFERROR(VLOOKUP(C73,[1]Sheet2!$A:$B,2,0),"")</f>
        <v>150000</v>
      </c>
      <c r="K73" s="250">
        <f t="shared" si="42"/>
        <v>60000</v>
      </c>
      <c r="L73" s="136">
        <f>K73*I73</f>
        <v>0</v>
      </c>
      <c r="M73" s="249">
        <v>150000</v>
      </c>
      <c r="N73" s="138">
        <f>M73*I73</f>
        <v>0</v>
      </c>
      <c r="O73" s="261">
        <f>N73+L73</f>
        <v>0</v>
      </c>
      <c r="P73" s="139"/>
      <c r="R73" s="11">
        <v>50000</v>
      </c>
      <c r="S73" s="43">
        <v>50000</v>
      </c>
      <c r="T73" s="140">
        <v>60000</v>
      </c>
      <c r="U73" s="140">
        <v>90000</v>
      </c>
    </row>
    <row r="74" spans="2:21" ht="24" customHeight="1">
      <c r="B74" s="450"/>
      <c r="C74" s="141" t="s">
        <v>362</v>
      </c>
      <c r="D74" s="141" t="s">
        <v>633</v>
      </c>
      <c r="E74" s="380" t="s">
        <v>368</v>
      </c>
      <c r="F74" s="132" t="s">
        <v>166</v>
      </c>
      <c r="G74" s="133"/>
      <c r="H74" s="154" t="s">
        <v>66</v>
      </c>
      <c r="I74" s="135"/>
      <c r="J74" s="373">
        <f>IFERROR(VLOOKUP(C74,[1]Sheet2!$A:$B,2,0),"")</f>
        <v>5500</v>
      </c>
      <c r="K74" s="250">
        <f t="shared" si="42"/>
        <v>0</v>
      </c>
      <c r="L74" s="136">
        <f t="shared" ref="L74" si="51">K74*I74</f>
        <v>0</v>
      </c>
      <c r="M74" s="249">
        <v>5500</v>
      </c>
      <c r="N74" s="138">
        <f t="shared" ref="N74:N75" si="52">M74*I74</f>
        <v>0</v>
      </c>
      <c r="O74" s="261">
        <f t="shared" ref="O74:O75" si="53">N74+L74</f>
        <v>0</v>
      </c>
      <c r="P74" s="139"/>
      <c r="R74" s="117"/>
      <c r="S74" s="121"/>
      <c r="T74" s="140"/>
      <c r="U74" s="140"/>
    </row>
    <row r="75" spans="2:21" ht="24" customHeight="1">
      <c r="B75" s="450"/>
      <c r="C75" s="141" t="s">
        <v>363</v>
      </c>
      <c r="D75" s="141" t="s">
        <v>634</v>
      </c>
      <c r="E75" s="380" t="s">
        <v>369</v>
      </c>
      <c r="F75" s="132" t="s">
        <v>236</v>
      </c>
      <c r="G75" s="133"/>
      <c r="H75" s="154" t="s">
        <v>66</v>
      </c>
      <c r="I75" s="135"/>
      <c r="J75" s="373">
        <f>IFERROR(VLOOKUP(C75,[1]Sheet2!$A:$B,2,0),"")</f>
        <v>30000</v>
      </c>
      <c r="K75" s="250">
        <f t="shared" si="42"/>
        <v>0</v>
      </c>
      <c r="L75" s="136">
        <f t="shared" ref="L75" si="54">K75*I75</f>
        <v>0</v>
      </c>
      <c r="M75" s="249">
        <v>30000</v>
      </c>
      <c r="N75" s="138">
        <f t="shared" si="52"/>
        <v>0</v>
      </c>
      <c r="O75" s="261">
        <f t="shared" si="53"/>
        <v>0</v>
      </c>
      <c r="P75" s="139"/>
      <c r="R75" s="117"/>
      <c r="S75" s="121"/>
      <c r="T75" s="140"/>
      <c r="U75" s="140"/>
    </row>
    <row r="76" spans="2:21" ht="24" customHeight="1">
      <c r="B76" s="450"/>
      <c r="C76" s="141" t="s">
        <v>364</v>
      </c>
      <c r="D76" s="141" t="s">
        <v>635</v>
      </c>
      <c r="E76" s="380" t="s">
        <v>370</v>
      </c>
      <c r="F76" s="132" t="s">
        <v>237</v>
      </c>
      <c r="G76" s="133"/>
      <c r="H76" s="135" t="s">
        <v>34</v>
      </c>
      <c r="I76" s="135"/>
      <c r="J76" s="373" t="str">
        <f>IFERROR(VLOOKUP(C76,[1]Sheet2!$A:$B,2,0),"")</f>
        <v/>
      </c>
      <c r="K76" s="250">
        <f t="shared" si="42"/>
        <v>0</v>
      </c>
      <c r="L76" s="136">
        <f>K76*I76</f>
        <v>0</v>
      </c>
      <c r="M76" s="249">
        <f>U76</f>
        <v>100000</v>
      </c>
      <c r="N76" s="138">
        <f>M76*I76</f>
        <v>0</v>
      </c>
      <c r="O76" s="261">
        <f>N76+L76</f>
        <v>0</v>
      </c>
      <c r="P76" s="139"/>
      <c r="R76" s="12">
        <v>0</v>
      </c>
      <c r="S76" s="44">
        <v>100000</v>
      </c>
      <c r="T76" s="140">
        <v>0</v>
      </c>
      <c r="U76" s="140">
        <v>100000</v>
      </c>
    </row>
    <row r="77" spans="2:21" ht="24" customHeight="1">
      <c r="B77" s="450"/>
      <c r="C77" s="141" t="s">
        <v>365</v>
      </c>
      <c r="D77" s="141" t="s">
        <v>760</v>
      </c>
      <c r="E77" s="380"/>
      <c r="F77" s="132" t="s">
        <v>246</v>
      </c>
      <c r="G77" s="133"/>
      <c r="H77" s="142" t="s">
        <v>66</v>
      </c>
      <c r="I77" s="135"/>
      <c r="J77" s="373" t="str">
        <f>IFERROR(VLOOKUP(C77,[1]Sheet2!$A:$B,2,0),"")</f>
        <v/>
      </c>
      <c r="K77" s="250">
        <f t="shared" si="42"/>
        <v>0</v>
      </c>
      <c r="L77" s="136">
        <f>K77*I77</f>
        <v>0</v>
      </c>
      <c r="M77" s="249">
        <v>100000</v>
      </c>
      <c r="N77" s="138">
        <f>M77*I77</f>
        <v>0</v>
      </c>
      <c r="O77" s="261">
        <f>N77+L77</f>
        <v>0</v>
      </c>
      <c r="P77" s="139"/>
      <c r="R77" s="16"/>
      <c r="S77" s="16"/>
      <c r="T77" s="140">
        <v>0</v>
      </c>
      <c r="U77" s="140">
        <v>0</v>
      </c>
    </row>
    <row r="78" spans="2:21" s="105" customFormat="1" ht="24.95" customHeight="1">
      <c r="B78" s="155"/>
      <c r="C78" s="156" t="s">
        <v>42</v>
      </c>
      <c r="D78" s="156" t="s">
        <v>502</v>
      </c>
      <c r="E78" s="156"/>
      <c r="F78" s="157"/>
      <c r="G78" s="157"/>
      <c r="H78" s="158"/>
      <c r="I78" s="159"/>
      <c r="J78" s="374" t="str">
        <f>IFERROR(VLOOKUP(C78,[1]Sheet2!$A:$B,2,0),"")</f>
        <v/>
      </c>
      <c r="K78" s="251"/>
      <c r="L78" s="160">
        <f>SUM(L8:L77)</f>
        <v>0</v>
      </c>
      <c r="M78" s="251"/>
      <c r="N78" s="160">
        <f>SUM(N8:N77)</f>
        <v>1637900</v>
      </c>
      <c r="O78" s="262">
        <f>SUM(O8:O77)</f>
        <v>1637900</v>
      </c>
      <c r="P78" s="158"/>
      <c r="Q78" s="103"/>
      <c r="R78" s="104"/>
      <c r="T78" s="161"/>
      <c r="U78" s="161"/>
    </row>
    <row r="79" spans="2:21" ht="30" customHeight="1">
      <c r="B79" s="162">
        <v>2</v>
      </c>
      <c r="C79" s="163" t="s">
        <v>172</v>
      </c>
      <c r="D79" s="163" t="s">
        <v>503</v>
      </c>
      <c r="E79" s="163"/>
      <c r="F79" s="128"/>
      <c r="G79" s="128"/>
      <c r="H79" s="443" t="str">
        <f>IFERROR(VLOOKUP(C79,[1]Sheet2!$A:$B,2,0),"")</f>
        <v/>
      </c>
      <c r="I79" s="444"/>
      <c r="J79" s="444"/>
      <c r="K79" s="444"/>
      <c r="L79" s="444"/>
      <c r="M79" s="444"/>
      <c r="N79" s="444"/>
      <c r="O79" s="444"/>
      <c r="P79" s="445"/>
      <c r="T79" s="25"/>
      <c r="U79" s="25"/>
    </row>
    <row r="80" spans="2:21" ht="24" customHeight="1">
      <c r="B80" s="267"/>
      <c r="C80" s="248" t="s">
        <v>371</v>
      </c>
      <c r="D80" s="362" t="s">
        <v>611</v>
      </c>
      <c r="E80" s="380" t="s">
        <v>354</v>
      </c>
      <c r="F80" s="144" t="s">
        <v>168</v>
      </c>
      <c r="G80" s="133"/>
      <c r="H80" s="135" t="s">
        <v>35</v>
      </c>
      <c r="I80" s="135"/>
      <c r="J80" s="373">
        <f>IFERROR(VLOOKUP(C80,[1]Sheet2!$A:$B,2,0),"")</f>
        <v>120000</v>
      </c>
      <c r="K80" s="250">
        <f t="shared" ref="K80:K86" si="55">T80</f>
        <v>0</v>
      </c>
      <c r="L80" s="136">
        <f t="shared" ref="L80:L83" si="56">K80*I80</f>
        <v>0</v>
      </c>
      <c r="M80" s="250">
        <f>U80</f>
        <v>120000</v>
      </c>
      <c r="N80" s="136">
        <f t="shared" ref="N80:N83" si="57">M80*I80</f>
        <v>0</v>
      </c>
      <c r="O80" s="261">
        <f t="shared" ref="O80:O83" si="58">L80+N80</f>
        <v>0</v>
      </c>
      <c r="P80" s="139"/>
      <c r="R80" s="11">
        <v>0</v>
      </c>
      <c r="S80" s="43">
        <v>100000</v>
      </c>
      <c r="T80" s="140">
        <v>0</v>
      </c>
      <c r="U80" s="140">
        <v>120000</v>
      </c>
    </row>
    <row r="81" spans="2:21" ht="24" customHeight="1">
      <c r="B81" s="267"/>
      <c r="C81" s="248" t="s">
        <v>372</v>
      </c>
      <c r="D81" s="362" t="s">
        <v>612</v>
      </c>
      <c r="E81" s="380" t="s">
        <v>355</v>
      </c>
      <c r="F81" s="144" t="s">
        <v>169</v>
      </c>
      <c r="G81" s="133"/>
      <c r="H81" s="135" t="s">
        <v>35</v>
      </c>
      <c r="I81" s="135"/>
      <c r="J81" s="373">
        <f>IFERROR(VLOOKUP(C81,[1]Sheet2!$A:$B,2,0),"")</f>
        <v>180000</v>
      </c>
      <c r="K81" s="250" t="str">
        <f t="shared" si="55"/>
        <v>-</v>
      </c>
      <c r="L81" s="136">
        <f t="shared" si="56"/>
        <v>0</v>
      </c>
      <c r="M81" s="250">
        <f>U81</f>
        <v>180000</v>
      </c>
      <c r="N81" s="136">
        <f t="shared" si="57"/>
        <v>0</v>
      </c>
      <c r="O81" s="261">
        <f t="shared" si="58"/>
        <v>0</v>
      </c>
      <c r="P81" s="139"/>
      <c r="R81" s="21"/>
      <c r="S81" s="45"/>
      <c r="T81" s="140" t="s">
        <v>127</v>
      </c>
      <c r="U81" s="140">
        <v>180000</v>
      </c>
    </row>
    <row r="82" spans="2:21" ht="24" customHeight="1" thickBot="1">
      <c r="B82" s="145"/>
      <c r="C82" s="141" t="s">
        <v>767</v>
      </c>
      <c r="D82" s="141" t="s">
        <v>613</v>
      </c>
      <c r="E82" s="380" t="s">
        <v>425</v>
      </c>
      <c r="F82" s="132" t="s">
        <v>167</v>
      </c>
      <c r="G82" s="133"/>
      <c r="H82" s="142" t="s">
        <v>35</v>
      </c>
      <c r="I82" s="135"/>
      <c r="J82" s="373">
        <f>IFERROR(VLOOKUP(C82,[1]Sheet2!$A:$B,2,0),"")</f>
        <v>84000</v>
      </c>
      <c r="K82" s="250">
        <f t="shared" si="55"/>
        <v>0</v>
      </c>
      <c r="L82" s="136">
        <f>T82</f>
        <v>0</v>
      </c>
      <c r="M82" s="250">
        <f>U82</f>
        <v>84000</v>
      </c>
      <c r="N82" s="138">
        <f t="shared" si="57"/>
        <v>0</v>
      </c>
      <c r="O82" s="261">
        <f>SUM(L82,N82)</f>
        <v>0</v>
      </c>
      <c r="P82" s="139"/>
      <c r="R82" s="31"/>
      <c r="S82" s="49">
        <v>70000</v>
      </c>
      <c r="T82" s="140">
        <v>0</v>
      </c>
      <c r="U82" s="140">
        <v>84000</v>
      </c>
    </row>
    <row r="83" spans="2:21" ht="24" customHeight="1">
      <c r="B83" s="164"/>
      <c r="C83" s="143" t="s">
        <v>373</v>
      </c>
      <c r="D83" s="141" t="s">
        <v>614</v>
      </c>
      <c r="E83" s="380" t="s">
        <v>426</v>
      </c>
      <c r="F83" s="144" t="s">
        <v>170</v>
      </c>
      <c r="G83" s="133"/>
      <c r="H83" s="135" t="s">
        <v>66</v>
      </c>
      <c r="I83" s="135"/>
      <c r="J83" s="373">
        <f>IFERROR(VLOOKUP(C83,[1]Sheet2!$A:$B,2,0),"")</f>
        <v>486000</v>
      </c>
      <c r="K83" s="250">
        <f t="shared" si="55"/>
        <v>186000</v>
      </c>
      <c r="L83" s="136">
        <f t="shared" si="56"/>
        <v>0</v>
      </c>
      <c r="M83" s="250">
        <f>U83</f>
        <v>300000</v>
      </c>
      <c r="N83" s="136">
        <f t="shared" si="57"/>
        <v>0</v>
      </c>
      <c r="O83" s="261">
        <f t="shared" si="58"/>
        <v>0</v>
      </c>
      <c r="P83" s="139"/>
      <c r="R83" s="11">
        <v>200000</v>
      </c>
      <c r="S83" s="43">
        <v>250000</v>
      </c>
      <c r="T83" s="140">
        <f>240000-54000</f>
        <v>186000</v>
      </c>
      <c r="U83" s="140">
        <v>300000</v>
      </c>
    </row>
    <row r="84" spans="2:21" ht="24" customHeight="1" thickBot="1">
      <c r="B84" s="164"/>
      <c r="C84" s="143" t="s">
        <v>374</v>
      </c>
      <c r="D84" s="141" t="s">
        <v>615</v>
      </c>
      <c r="E84" s="380" t="s">
        <v>427</v>
      </c>
      <c r="F84" s="144" t="s">
        <v>171</v>
      </c>
      <c r="G84" s="133"/>
      <c r="H84" s="135" t="s">
        <v>66</v>
      </c>
      <c r="I84" s="135">
        <v>1</v>
      </c>
      <c r="J84" s="373">
        <f>IFERROR(VLOOKUP(C84,[1]Sheet2!$A:$B,2,0),"")</f>
        <v>96000</v>
      </c>
      <c r="K84" s="250">
        <f t="shared" si="55"/>
        <v>0</v>
      </c>
      <c r="L84" s="136">
        <f t="shared" ref="L84" si="59">K84*I84</f>
        <v>0</v>
      </c>
      <c r="M84" s="250">
        <f>U84</f>
        <v>96000</v>
      </c>
      <c r="N84" s="136">
        <f t="shared" ref="N84" si="60">M84*I84</f>
        <v>96000</v>
      </c>
      <c r="O84" s="261">
        <f t="shared" ref="O84" si="61">L84+N84</f>
        <v>96000</v>
      </c>
      <c r="P84" s="139"/>
      <c r="R84" s="15">
        <v>0</v>
      </c>
      <c r="S84" s="47">
        <v>80000</v>
      </c>
      <c r="T84" s="140">
        <v>0</v>
      </c>
      <c r="U84" s="140">
        <v>96000</v>
      </c>
    </row>
    <row r="85" spans="2:21" ht="24" customHeight="1" thickBot="1">
      <c r="B85" s="164"/>
      <c r="C85" s="143" t="s">
        <v>705</v>
      </c>
      <c r="D85" s="141" t="s">
        <v>795</v>
      </c>
      <c r="E85" s="380" t="s">
        <v>707</v>
      </c>
      <c r="F85" s="144"/>
      <c r="G85" s="133"/>
      <c r="H85" s="135" t="s">
        <v>35</v>
      </c>
      <c r="I85" s="135"/>
      <c r="J85" s="373">
        <f>IFERROR(VLOOKUP(C85,[1]Sheet2!$A:$B,2,0),"")</f>
        <v>84000</v>
      </c>
      <c r="K85" s="250">
        <f t="shared" si="55"/>
        <v>0</v>
      </c>
      <c r="L85" s="136">
        <f>K85*I85</f>
        <v>0</v>
      </c>
      <c r="M85" s="250">
        <v>84000</v>
      </c>
      <c r="N85" s="136">
        <f>M85*I85</f>
        <v>0</v>
      </c>
      <c r="O85" s="261">
        <f>L85+N85</f>
        <v>0</v>
      </c>
      <c r="P85" s="139"/>
      <c r="R85" s="15">
        <v>0</v>
      </c>
      <c r="S85" s="47">
        <v>80000</v>
      </c>
      <c r="T85" s="140">
        <v>0</v>
      </c>
      <c r="U85" s="140" t="s">
        <v>110</v>
      </c>
    </row>
    <row r="86" spans="2:21" ht="24" customHeight="1" thickBot="1">
      <c r="B86" s="164"/>
      <c r="C86" s="143" t="s">
        <v>706</v>
      </c>
      <c r="D86" s="141" t="s">
        <v>796</v>
      </c>
      <c r="E86" s="141" t="s">
        <v>772</v>
      </c>
      <c r="F86" s="144"/>
      <c r="G86" s="133"/>
      <c r="H86" s="135" t="s">
        <v>35</v>
      </c>
      <c r="I86" s="135"/>
      <c r="J86" s="373">
        <f>IFERROR(VLOOKUP(C86,[1]Sheet2!$A:$B,2,0),"")</f>
        <v>96000</v>
      </c>
      <c r="K86" s="250">
        <f t="shared" si="55"/>
        <v>0</v>
      </c>
      <c r="L86" s="136">
        <f>K86*I86</f>
        <v>0</v>
      </c>
      <c r="M86" s="250">
        <v>96000</v>
      </c>
      <c r="N86" s="136">
        <f>M86*I86</f>
        <v>0</v>
      </c>
      <c r="O86" s="261">
        <f>L86+N86</f>
        <v>0</v>
      </c>
      <c r="P86" s="139"/>
      <c r="R86" s="15">
        <v>0</v>
      </c>
      <c r="S86" s="47">
        <v>80000</v>
      </c>
      <c r="T86" s="140">
        <v>0</v>
      </c>
      <c r="U86" s="140" t="s">
        <v>110</v>
      </c>
    </row>
    <row r="87" spans="2:21" s="110" customFormat="1" ht="24" customHeight="1">
      <c r="B87" s="155"/>
      <c r="C87" s="156" t="s">
        <v>46</v>
      </c>
      <c r="D87" s="156" t="s">
        <v>502</v>
      </c>
      <c r="E87" s="156"/>
      <c r="F87" s="158"/>
      <c r="G87" s="158"/>
      <c r="H87" s="159"/>
      <c r="I87" s="165"/>
      <c r="J87" s="374" t="str">
        <f>IFERROR(VLOOKUP(C87,[1]Sheet2!$A:$B,2,0),"")</f>
        <v/>
      </c>
      <c r="K87" s="253"/>
      <c r="L87" s="166">
        <f>SUM(L80:L86)</f>
        <v>0</v>
      </c>
      <c r="M87" s="253"/>
      <c r="N87" s="166">
        <f>SUM(N80:N86)</f>
        <v>96000</v>
      </c>
      <c r="O87" s="262">
        <f>SUM(O80:O86)</f>
        <v>96000</v>
      </c>
      <c r="P87" s="158"/>
      <c r="R87" s="111"/>
      <c r="T87" s="167"/>
      <c r="U87" s="167"/>
    </row>
    <row r="88" spans="2:21" ht="30" customHeight="1">
      <c r="B88" s="162">
        <v>3</v>
      </c>
      <c r="C88" s="163" t="s">
        <v>173</v>
      </c>
      <c r="D88" s="163" t="s">
        <v>504</v>
      </c>
      <c r="E88" s="163"/>
      <c r="F88" s="128"/>
      <c r="G88" s="128"/>
      <c r="H88" s="443" t="str">
        <f>IFERROR(VLOOKUP(C88,[1]Sheet2!$A:$B,2,0),"")</f>
        <v/>
      </c>
      <c r="I88" s="444"/>
      <c r="J88" s="444"/>
      <c r="K88" s="444"/>
      <c r="L88" s="444"/>
      <c r="M88" s="444"/>
      <c r="N88" s="444"/>
      <c r="O88" s="444"/>
      <c r="P88" s="445"/>
      <c r="T88" s="25"/>
      <c r="U88" s="25"/>
    </row>
    <row r="89" spans="2:21" ht="24" customHeight="1">
      <c r="B89" s="164"/>
      <c r="C89" s="143" t="s">
        <v>428</v>
      </c>
      <c r="D89" s="141" t="s">
        <v>597</v>
      </c>
      <c r="E89" s="380" t="s">
        <v>375</v>
      </c>
      <c r="F89" s="144" t="s">
        <v>43</v>
      </c>
      <c r="G89" s="133"/>
      <c r="H89" s="135" t="s">
        <v>35</v>
      </c>
      <c r="I89" s="135"/>
      <c r="J89" s="373">
        <f>IFERROR(VLOOKUP(C89,[1]Sheet2!$A:$B,2,0),"")</f>
        <v>1242000</v>
      </c>
      <c r="K89" s="250">
        <f>T89</f>
        <v>522000</v>
      </c>
      <c r="L89" s="136">
        <f t="shared" ref="L89:L93" si="62">K89*I89</f>
        <v>0</v>
      </c>
      <c r="M89" s="250">
        <f>U89</f>
        <v>720000</v>
      </c>
      <c r="N89" s="136">
        <f t="shared" ref="N89:N93" si="63">M89*I89</f>
        <v>0</v>
      </c>
      <c r="O89" s="261">
        <f t="shared" ref="O89:O93" si="64">L89+N89</f>
        <v>0</v>
      </c>
      <c r="P89" s="139"/>
      <c r="R89" s="21">
        <v>550000</v>
      </c>
      <c r="S89" s="45">
        <v>600000</v>
      </c>
      <c r="T89" s="140">
        <f>660000-138000</f>
        <v>522000</v>
      </c>
      <c r="U89" s="140">
        <v>720000</v>
      </c>
    </row>
    <row r="90" spans="2:21" ht="24" customHeight="1">
      <c r="B90" s="164"/>
      <c r="C90" s="143" t="s">
        <v>429</v>
      </c>
      <c r="D90" s="141" t="s">
        <v>598</v>
      </c>
      <c r="E90" s="380" t="s">
        <v>375</v>
      </c>
      <c r="F90" s="144" t="s">
        <v>43</v>
      </c>
      <c r="G90" s="133"/>
      <c r="H90" s="135" t="s">
        <v>35</v>
      </c>
      <c r="I90" s="135">
        <v>2</v>
      </c>
      <c r="J90" s="373">
        <f>IFERROR(VLOOKUP(C90,[1]Sheet2!$A:$B,2,0),"")</f>
        <v>972000</v>
      </c>
      <c r="K90" s="250">
        <f>T90</f>
        <v>432000</v>
      </c>
      <c r="L90" s="136">
        <f t="shared" si="62"/>
        <v>864000</v>
      </c>
      <c r="M90" s="250">
        <f>U90</f>
        <v>540000</v>
      </c>
      <c r="N90" s="136">
        <f t="shared" si="63"/>
        <v>1080000</v>
      </c>
      <c r="O90" s="261">
        <f t="shared" si="64"/>
        <v>1944000</v>
      </c>
      <c r="P90" s="139"/>
      <c r="R90" s="14">
        <v>450000</v>
      </c>
      <c r="S90" s="46">
        <v>450000</v>
      </c>
      <c r="T90" s="140">
        <f>540000-108000</f>
        <v>432000</v>
      </c>
      <c r="U90" s="140">
        <v>540000</v>
      </c>
    </row>
    <row r="91" spans="2:21" ht="24" customHeight="1">
      <c r="B91" s="164"/>
      <c r="C91" s="143" t="s">
        <v>430</v>
      </c>
      <c r="D91" s="141" t="s">
        <v>599</v>
      </c>
      <c r="E91" s="380" t="s">
        <v>376</v>
      </c>
      <c r="F91" s="144" t="s">
        <v>241</v>
      </c>
      <c r="G91" s="133"/>
      <c r="H91" s="135" t="s">
        <v>66</v>
      </c>
      <c r="I91" s="135"/>
      <c r="J91" s="373">
        <f>IFERROR(VLOOKUP(C91,[1]Sheet2!$A:$B,2,0),"")</f>
        <v>621000</v>
      </c>
      <c r="K91" s="250">
        <v>261000</v>
      </c>
      <c r="L91" s="136">
        <f t="shared" si="62"/>
        <v>0</v>
      </c>
      <c r="M91" s="250">
        <v>360000</v>
      </c>
      <c r="N91" s="136">
        <f t="shared" ref="N91:N92" si="65">M91*I91</f>
        <v>0</v>
      </c>
      <c r="O91" s="261">
        <f t="shared" ref="O91:O92" si="66">L91+N91</f>
        <v>0</v>
      </c>
      <c r="P91" s="139"/>
      <c r="R91" s="117"/>
      <c r="S91" s="121"/>
      <c r="T91" s="140"/>
      <c r="U91" s="140"/>
    </row>
    <row r="92" spans="2:21" ht="24" customHeight="1">
      <c r="B92" s="164"/>
      <c r="C92" s="143" t="s">
        <v>431</v>
      </c>
      <c r="D92" s="141" t="s">
        <v>600</v>
      </c>
      <c r="E92" s="380" t="s">
        <v>377</v>
      </c>
      <c r="F92" s="144" t="s">
        <v>242</v>
      </c>
      <c r="G92" s="133"/>
      <c r="H92" s="135" t="s">
        <v>66</v>
      </c>
      <c r="I92" s="135"/>
      <c r="J92" s="373">
        <f>IFERROR(VLOOKUP(C92,[1]Sheet2!$A:$B,2,0),"")</f>
        <v>486000</v>
      </c>
      <c r="K92" s="250">
        <v>216000</v>
      </c>
      <c r="L92" s="136">
        <f t="shared" si="62"/>
        <v>0</v>
      </c>
      <c r="M92" s="250">
        <v>270000</v>
      </c>
      <c r="N92" s="136">
        <f t="shared" si="65"/>
        <v>0</v>
      </c>
      <c r="O92" s="261">
        <f t="shared" si="66"/>
        <v>0</v>
      </c>
      <c r="P92" s="139"/>
      <c r="R92" s="117"/>
      <c r="S92" s="121"/>
      <c r="T92" s="140"/>
      <c r="U92" s="140"/>
    </row>
    <row r="93" spans="2:21" ht="24" customHeight="1">
      <c r="B93" s="164"/>
      <c r="C93" s="143" t="s">
        <v>432</v>
      </c>
      <c r="D93" s="141" t="s">
        <v>601</v>
      </c>
      <c r="E93" s="380" t="s">
        <v>378</v>
      </c>
      <c r="F93" s="144" t="s">
        <v>44</v>
      </c>
      <c r="G93" s="133"/>
      <c r="H93" s="135" t="s">
        <v>66</v>
      </c>
      <c r="I93" s="135"/>
      <c r="J93" s="373">
        <f>IFERROR(VLOOKUP(C93,[1]Sheet2!$A:$B,2,0),"")</f>
        <v>486000</v>
      </c>
      <c r="K93" s="250">
        <f>T93</f>
        <v>186000</v>
      </c>
      <c r="L93" s="136">
        <f t="shared" si="62"/>
        <v>0</v>
      </c>
      <c r="M93" s="250">
        <f>U93</f>
        <v>300000</v>
      </c>
      <c r="N93" s="136">
        <f t="shared" si="63"/>
        <v>0</v>
      </c>
      <c r="O93" s="261">
        <f t="shared" si="64"/>
        <v>0</v>
      </c>
      <c r="P93" s="139"/>
      <c r="R93" s="11">
        <v>200000</v>
      </c>
      <c r="S93" s="43">
        <v>250000</v>
      </c>
      <c r="T93" s="140">
        <f>240000-54000</f>
        <v>186000</v>
      </c>
      <c r="U93" s="140">
        <v>300000</v>
      </c>
    </row>
    <row r="94" spans="2:21" ht="24" customHeight="1" thickBot="1">
      <c r="B94" s="164"/>
      <c r="C94" s="143" t="s">
        <v>433</v>
      </c>
      <c r="D94" s="141" t="s">
        <v>602</v>
      </c>
      <c r="E94" s="380" t="s">
        <v>379</v>
      </c>
      <c r="F94" s="144" t="s">
        <v>45</v>
      </c>
      <c r="G94" s="133"/>
      <c r="H94" s="135" t="s">
        <v>66</v>
      </c>
      <c r="I94" s="135"/>
      <c r="J94" s="373">
        <f>IFERROR(VLOOKUP(C94,[1]Sheet2!$A:$B,2,0),"")</f>
        <v>96000</v>
      </c>
      <c r="K94" s="250">
        <f>T94</f>
        <v>0</v>
      </c>
      <c r="L94" s="136">
        <f>K94*I94</f>
        <v>0</v>
      </c>
      <c r="M94" s="250">
        <f>U94</f>
        <v>96000</v>
      </c>
      <c r="N94" s="136">
        <f>M94*I94</f>
        <v>0</v>
      </c>
      <c r="O94" s="261">
        <f>L94+N94</f>
        <v>0</v>
      </c>
      <c r="P94" s="139"/>
      <c r="R94" s="15">
        <v>0</v>
      </c>
      <c r="S94" s="47">
        <v>80000</v>
      </c>
      <c r="T94" s="140">
        <v>0</v>
      </c>
      <c r="U94" s="140">
        <v>96000</v>
      </c>
    </row>
    <row r="95" spans="2:21" s="110" customFormat="1" ht="24.95" customHeight="1">
      <c r="B95" s="155"/>
      <c r="C95" s="156" t="s">
        <v>42</v>
      </c>
      <c r="D95" s="156" t="s">
        <v>502</v>
      </c>
      <c r="E95" s="156"/>
      <c r="F95" s="158"/>
      <c r="G95" s="158"/>
      <c r="H95" s="159"/>
      <c r="I95" s="165"/>
      <c r="J95" s="374" t="str">
        <f>IFERROR(VLOOKUP(C95,[1]Sheet2!$A:$B,2,0),"")</f>
        <v/>
      </c>
      <c r="K95" s="253"/>
      <c r="L95" s="166">
        <f>SUM(L89:L94)</f>
        <v>864000</v>
      </c>
      <c r="M95" s="253"/>
      <c r="N95" s="166">
        <f>SUM(N89:N94)</f>
        <v>1080000</v>
      </c>
      <c r="O95" s="262">
        <f>SUM(O89:O94)</f>
        <v>1944000</v>
      </c>
      <c r="P95" s="158"/>
      <c r="R95" s="111"/>
      <c r="T95" s="167"/>
      <c r="U95" s="167"/>
    </row>
    <row r="96" spans="2:21" ht="30" customHeight="1">
      <c r="B96" s="162">
        <v>4</v>
      </c>
      <c r="C96" s="163" t="s">
        <v>103</v>
      </c>
      <c r="D96" s="163" t="s">
        <v>505</v>
      </c>
      <c r="E96" s="163"/>
      <c r="F96" s="168"/>
      <c r="G96" s="168"/>
      <c r="H96" s="446" t="str">
        <f>IFERROR(VLOOKUP(C96,[1]Sheet2!$A:$B,2,0),"")</f>
        <v/>
      </c>
      <c r="I96" s="447"/>
      <c r="J96" s="447"/>
      <c r="K96" s="447"/>
      <c r="L96" s="447"/>
      <c r="M96" s="447"/>
      <c r="N96" s="447"/>
      <c r="O96" s="447"/>
      <c r="P96" s="448"/>
      <c r="Q96" s="17"/>
      <c r="R96" s="23"/>
      <c r="S96" s="22"/>
      <c r="T96" s="25"/>
      <c r="U96" s="25"/>
    </row>
    <row r="97" spans="2:21" s="169" customFormat="1" ht="24" customHeight="1">
      <c r="B97" s="170"/>
      <c r="C97" s="171" t="s">
        <v>380</v>
      </c>
      <c r="D97" s="171" t="s">
        <v>592</v>
      </c>
      <c r="E97" s="383" t="s">
        <v>385</v>
      </c>
      <c r="F97" s="172" t="s">
        <v>49</v>
      </c>
      <c r="G97" s="173"/>
      <c r="H97" s="174" t="s">
        <v>36</v>
      </c>
      <c r="I97" s="175"/>
      <c r="J97" s="375">
        <f>IFERROR(VLOOKUP(C97,[1]Sheet2!$A:$B,2,0),"")</f>
        <v>100000</v>
      </c>
      <c r="K97" s="250">
        <f>T97</f>
        <v>40000</v>
      </c>
      <c r="L97" s="136">
        <f t="shared" ref="L97:L98" si="67">K97*I97</f>
        <v>0</v>
      </c>
      <c r="M97" s="249">
        <f>U97</f>
        <v>60000</v>
      </c>
      <c r="N97" s="138">
        <f t="shared" ref="N97:N98" si="68">M97*I97</f>
        <v>0</v>
      </c>
      <c r="O97" s="263">
        <f t="shared" ref="O97:O98" si="69">L97+N97</f>
        <v>0</v>
      </c>
      <c r="P97" s="176"/>
      <c r="Q97" s="177"/>
      <c r="R97" s="178">
        <v>48000</v>
      </c>
      <c r="S97" s="179">
        <v>50000</v>
      </c>
      <c r="T97" s="180">
        <v>40000</v>
      </c>
      <c r="U97" s="180">
        <v>60000</v>
      </c>
    </row>
    <row r="98" spans="2:21" s="169" customFormat="1" ht="24" customHeight="1" thickBot="1">
      <c r="B98" s="170"/>
      <c r="C98" s="171" t="s">
        <v>381</v>
      </c>
      <c r="D98" s="171" t="s">
        <v>593</v>
      </c>
      <c r="E98" s="383" t="s">
        <v>386</v>
      </c>
      <c r="F98" s="172" t="s">
        <v>51</v>
      </c>
      <c r="G98" s="173"/>
      <c r="H98" s="174" t="s">
        <v>35</v>
      </c>
      <c r="I98" s="175"/>
      <c r="J98" s="375">
        <f>IFERROR(VLOOKUP(C98,[1]Sheet2!$A:$B,2,0),"")</f>
        <v>117200</v>
      </c>
      <c r="K98" s="250">
        <f>T98</f>
        <v>57200</v>
      </c>
      <c r="L98" s="136">
        <f t="shared" si="67"/>
        <v>0</v>
      </c>
      <c r="M98" s="249">
        <f>U98</f>
        <v>60000</v>
      </c>
      <c r="N98" s="138">
        <f t="shared" si="68"/>
        <v>0</v>
      </c>
      <c r="O98" s="263">
        <f t="shared" si="69"/>
        <v>0</v>
      </c>
      <c r="P98" s="139"/>
      <c r="Q98" s="177"/>
      <c r="R98" s="181">
        <v>58500</v>
      </c>
      <c r="S98" s="182">
        <v>50000</v>
      </c>
      <c r="T98" s="180">
        <f>70200-13000</f>
        <v>57200</v>
      </c>
      <c r="U98" s="180">
        <v>60000</v>
      </c>
    </row>
    <row r="99" spans="2:21" s="169" customFormat="1" ht="24" customHeight="1">
      <c r="B99" s="170"/>
      <c r="C99" s="171" t="s">
        <v>382</v>
      </c>
      <c r="D99" s="171" t="s">
        <v>594</v>
      </c>
      <c r="E99" s="383" t="s">
        <v>387</v>
      </c>
      <c r="F99" s="172" t="s">
        <v>50</v>
      </c>
      <c r="G99" s="173"/>
      <c r="H99" s="174" t="s">
        <v>35</v>
      </c>
      <c r="I99" s="175"/>
      <c r="J99" s="375">
        <f>IFERROR(VLOOKUP(C99,[1]Sheet2!$A:$B,2,0),"")</f>
        <v>101400</v>
      </c>
      <c r="K99" s="250">
        <f>T99</f>
        <v>41400</v>
      </c>
      <c r="L99" s="136">
        <f t="shared" ref="L99" si="70">K99*I99</f>
        <v>0</v>
      </c>
      <c r="M99" s="249">
        <f>U99</f>
        <v>60000</v>
      </c>
      <c r="N99" s="138">
        <f t="shared" ref="N99" si="71">M99*I99</f>
        <v>0</v>
      </c>
      <c r="O99" s="263">
        <f t="shared" ref="O99" si="72">L99+N99</f>
        <v>0</v>
      </c>
      <c r="P99" s="139"/>
      <c r="Q99" s="177"/>
      <c r="R99" s="178">
        <v>34500</v>
      </c>
      <c r="S99" s="179">
        <v>50000</v>
      </c>
      <c r="T99" s="180">
        <v>41400</v>
      </c>
      <c r="U99" s="180">
        <v>60000</v>
      </c>
    </row>
    <row r="100" spans="2:21" s="169" customFormat="1" ht="24" customHeight="1">
      <c r="B100" s="170"/>
      <c r="C100" s="171" t="s">
        <v>383</v>
      </c>
      <c r="D100" s="171" t="s">
        <v>595</v>
      </c>
      <c r="E100" s="383" t="s">
        <v>388</v>
      </c>
      <c r="F100" s="172" t="s">
        <v>47</v>
      </c>
      <c r="G100" s="173"/>
      <c r="H100" s="174" t="s">
        <v>36</v>
      </c>
      <c r="I100" s="175"/>
      <c r="J100" s="375">
        <f>IFERROR(VLOOKUP(C100,[1]Sheet2!$A:$B,2,0),"")</f>
        <v>94800</v>
      </c>
      <c r="K100" s="250">
        <f>T100</f>
        <v>34800</v>
      </c>
      <c r="L100" s="136">
        <f t="shared" ref="L100:L102" si="73">K100*I100</f>
        <v>0</v>
      </c>
      <c r="M100" s="249">
        <f>U100</f>
        <v>60000</v>
      </c>
      <c r="N100" s="138">
        <f t="shared" ref="N100:N102" si="74">M100*I100</f>
        <v>0</v>
      </c>
      <c r="O100" s="263">
        <f t="shared" ref="O100:O102" si="75">L100+N100</f>
        <v>0</v>
      </c>
      <c r="P100" s="139"/>
      <c r="Q100" s="177"/>
      <c r="R100" s="183">
        <v>29000</v>
      </c>
      <c r="S100" s="184">
        <v>50000</v>
      </c>
      <c r="T100" s="180">
        <v>34800</v>
      </c>
      <c r="U100" s="180">
        <v>60000</v>
      </c>
    </row>
    <row r="101" spans="2:21" s="169" customFormat="1" ht="24" customHeight="1">
      <c r="B101" s="170"/>
      <c r="C101" s="171" t="s">
        <v>384</v>
      </c>
      <c r="D101" s="171" t="s">
        <v>596</v>
      </c>
      <c r="E101" s="383" t="s">
        <v>389</v>
      </c>
      <c r="F101" s="172" t="s">
        <v>48</v>
      </c>
      <c r="G101" s="173"/>
      <c r="H101" s="174" t="s">
        <v>36</v>
      </c>
      <c r="I101" s="175"/>
      <c r="J101" s="375">
        <f>IFERROR(VLOOKUP(C101,[1]Sheet2!$A:$B,2,0),"")</f>
        <v>98800</v>
      </c>
      <c r="K101" s="250">
        <f>T101</f>
        <v>38800</v>
      </c>
      <c r="L101" s="136">
        <f t="shared" si="73"/>
        <v>0</v>
      </c>
      <c r="M101" s="249">
        <f>U101</f>
        <v>60000</v>
      </c>
      <c r="N101" s="138">
        <f t="shared" si="74"/>
        <v>0</v>
      </c>
      <c r="O101" s="263">
        <f t="shared" si="75"/>
        <v>0</v>
      </c>
      <c r="P101" s="139"/>
      <c r="Q101" s="177"/>
      <c r="R101" s="178">
        <v>39000</v>
      </c>
      <c r="S101" s="179">
        <v>50000</v>
      </c>
      <c r="T101" s="180">
        <v>38800</v>
      </c>
      <c r="U101" s="180">
        <v>60000</v>
      </c>
    </row>
    <row r="102" spans="2:21" s="169" customFormat="1" ht="24" customHeight="1">
      <c r="B102" s="170"/>
      <c r="C102" s="185" t="s">
        <v>703</v>
      </c>
      <c r="D102" s="185" t="s">
        <v>704</v>
      </c>
      <c r="E102" s="383" t="s">
        <v>773</v>
      </c>
      <c r="F102" s="172"/>
      <c r="G102" s="173"/>
      <c r="H102" s="174" t="s">
        <v>35</v>
      </c>
      <c r="I102" s="175"/>
      <c r="J102" s="375">
        <f>IFERROR(VLOOKUP(C102,[1]Sheet2!$A:$B,2,0),"")</f>
        <v>50000</v>
      </c>
      <c r="K102" s="250">
        <v>19200</v>
      </c>
      <c r="L102" s="136">
        <f t="shared" si="73"/>
        <v>0</v>
      </c>
      <c r="M102" s="249">
        <v>30800</v>
      </c>
      <c r="N102" s="138">
        <f t="shared" si="74"/>
        <v>0</v>
      </c>
      <c r="O102" s="263">
        <f t="shared" si="75"/>
        <v>0</v>
      </c>
      <c r="P102" s="176"/>
      <c r="Q102" s="177"/>
      <c r="R102" s="186"/>
      <c r="S102" s="187"/>
      <c r="T102" s="180">
        <v>0</v>
      </c>
      <c r="U102" s="180">
        <v>0</v>
      </c>
    </row>
    <row r="103" spans="2:21" s="188" customFormat="1" ht="24.95" customHeight="1">
      <c r="B103" s="189"/>
      <c r="C103" s="190" t="s">
        <v>42</v>
      </c>
      <c r="D103" s="190" t="s">
        <v>502</v>
      </c>
      <c r="E103" s="190"/>
      <c r="F103" s="191"/>
      <c r="G103" s="191"/>
      <c r="H103" s="192"/>
      <c r="I103" s="193"/>
      <c r="J103" s="376" t="str">
        <f>IFERROR(VLOOKUP(C103,[1]Sheet2!$A:$B,2,0),"")</f>
        <v/>
      </c>
      <c r="K103" s="254"/>
      <c r="L103" s="194">
        <f>SUM(L97:L102)</f>
        <v>0</v>
      </c>
      <c r="M103" s="254"/>
      <c r="N103" s="194">
        <f>SUM(N97:N102)</f>
        <v>0</v>
      </c>
      <c r="O103" s="264">
        <f>SUM(O97:O102)</f>
        <v>0</v>
      </c>
      <c r="P103" s="191"/>
      <c r="R103" s="195"/>
      <c r="S103" s="196"/>
      <c r="T103" s="197"/>
      <c r="U103" s="197"/>
    </row>
    <row r="104" spans="2:21" ht="30" customHeight="1" thickBot="1">
      <c r="B104" s="162">
        <v>5</v>
      </c>
      <c r="C104" s="163" t="s">
        <v>104</v>
      </c>
      <c r="D104" s="163" t="s">
        <v>506</v>
      </c>
      <c r="E104" s="163"/>
      <c r="F104" s="198"/>
      <c r="G104" s="198"/>
      <c r="H104" s="446" t="str">
        <f>IFERROR(VLOOKUP(C104,[1]Sheet2!$A:$B,2,0),"")</f>
        <v/>
      </c>
      <c r="I104" s="447"/>
      <c r="J104" s="447"/>
      <c r="K104" s="447"/>
      <c r="L104" s="447"/>
      <c r="M104" s="447"/>
      <c r="N104" s="447"/>
      <c r="O104" s="447"/>
      <c r="P104" s="448"/>
      <c r="R104" s="23"/>
      <c r="S104" s="22"/>
      <c r="T104" s="25"/>
      <c r="U104" s="25"/>
    </row>
    <row r="105" spans="2:21" ht="24" customHeight="1">
      <c r="B105" s="164"/>
      <c r="C105" s="200" t="s">
        <v>390</v>
      </c>
      <c r="D105" s="200" t="s">
        <v>603</v>
      </c>
      <c r="E105" s="384" t="s">
        <v>410</v>
      </c>
      <c r="F105" s="201" t="s">
        <v>67</v>
      </c>
      <c r="G105" s="202"/>
      <c r="H105" s="154" t="s">
        <v>35</v>
      </c>
      <c r="I105" s="135"/>
      <c r="J105" s="373">
        <f>IFERROR(VLOOKUP(C105,[1]Sheet2!$A:$B,2,0),"")</f>
        <v>621000</v>
      </c>
      <c r="K105" s="250">
        <v>261000</v>
      </c>
      <c r="L105" s="136">
        <f t="shared" ref="L105:L130" si="76">K105*I105</f>
        <v>0</v>
      </c>
      <c r="M105" s="249">
        <v>360000</v>
      </c>
      <c r="N105" s="138">
        <f t="shared" ref="N105:N130" si="77">M105*I105</f>
        <v>0</v>
      </c>
      <c r="O105" s="263">
        <f t="shared" ref="O105:O130" si="78">L105+N105</f>
        <v>0</v>
      </c>
      <c r="P105" s="139"/>
      <c r="R105" s="34">
        <v>106500</v>
      </c>
      <c r="S105" s="41">
        <v>250000</v>
      </c>
      <c r="T105" s="140">
        <v>105000</v>
      </c>
      <c r="U105" s="140">
        <v>300000</v>
      </c>
    </row>
    <row r="106" spans="2:21" ht="24" customHeight="1">
      <c r="B106" s="164"/>
      <c r="C106" s="200" t="s">
        <v>391</v>
      </c>
      <c r="D106" s="200" t="s">
        <v>604</v>
      </c>
      <c r="E106" s="384" t="s">
        <v>410</v>
      </c>
      <c r="F106" s="201" t="s">
        <v>68</v>
      </c>
      <c r="G106" s="202"/>
      <c r="H106" s="154" t="s">
        <v>35</v>
      </c>
      <c r="I106" s="135"/>
      <c r="J106" s="373">
        <f>IFERROR(VLOOKUP(C106,[1]Sheet2!$A:$B,2,0),"")</f>
        <v>486000</v>
      </c>
      <c r="K106" s="250">
        <v>216000</v>
      </c>
      <c r="L106" s="136">
        <f t="shared" si="76"/>
        <v>0</v>
      </c>
      <c r="M106" s="249">
        <v>270000</v>
      </c>
      <c r="N106" s="138">
        <f t="shared" si="77"/>
        <v>0</v>
      </c>
      <c r="O106" s="263">
        <f t="shared" si="78"/>
        <v>0</v>
      </c>
      <c r="P106" s="139"/>
      <c r="R106" s="9">
        <v>196000</v>
      </c>
      <c r="S106" s="39">
        <v>350000</v>
      </c>
      <c r="T106" s="140">
        <f>235200-39200</f>
        <v>196000</v>
      </c>
      <c r="U106" s="140">
        <v>420000</v>
      </c>
    </row>
    <row r="107" spans="2:21" s="17" customFormat="1" ht="24" customHeight="1">
      <c r="B107" s="203"/>
      <c r="C107" s="204" t="s">
        <v>392</v>
      </c>
      <c r="D107" s="204" t="s">
        <v>575</v>
      </c>
      <c r="E107" s="385" t="s">
        <v>411</v>
      </c>
      <c r="F107" s="205" t="s">
        <v>69</v>
      </c>
      <c r="G107" s="206"/>
      <c r="H107" s="174" t="s">
        <v>134</v>
      </c>
      <c r="I107" s="135"/>
      <c r="J107" s="373">
        <f>IFERROR(VLOOKUP(C107,[1]Sheet2!$A:$B,2,0),"")</f>
        <v>405000</v>
      </c>
      <c r="K107" s="250">
        <v>105000</v>
      </c>
      <c r="L107" s="136">
        <f t="shared" si="76"/>
        <v>0</v>
      </c>
      <c r="M107" s="249">
        <v>300000</v>
      </c>
      <c r="N107" s="138">
        <f t="shared" si="77"/>
        <v>0</v>
      </c>
      <c r="O107" s="263">
        <f t="shared" si="78"/>
        <v>0</v>
      </c>
      <c r="P107" s="139"/>
      <c r="R107" s="9">
        <v>76000</v>
      </c>
      <c r="S107" s="39">
        <v>150000</v>
      </c>
      <c r="T107" s="140">
        <f>91200-16000</f>
        <v>75200</v>
      </c>
      <c r="U107" s="140">
        <v>180000</v>
      </c>
    </row>
    <row r="108" spans="2:21" ht="24" customHeight="1">
      <c r="B108" s="164"/>
      <c r="C108" s="207" t="s">
        <v>393</v>
      </c>
      <c r="D108" s="207" t="s">
        <v>576</v>
      </c>
      <c r="E108" s="386" t="s">
        <v>412</v>
      </c>
      <c r="F108" s="201" t="s">
        <v>70</v>
      </c>
      <c r="G108" s="202"/>
      <c r="H108" s="154" t="s">
        <v>134</v>
      </c>
      <c r="I108" s="135"/>
      <c r="J108" s="373">
        <f>IFERROR(VLOOKUP(C108,[1]Sheet2!$A:$B,2,0),"")</f>
        <v>616000</v>
      </c>
      <c r="K108" s="250">
        <v>196000</v>
      </c>
      <c r="L108" s="136">
        <f t="shared" si="76"/>
        <v>0</v>
      </c>
      <c r="M108" s="249">
        <v>420000</v>
      </c>
      <c r="N108" s="138">
        <f t="shared" si="77"/>
        <v>0</v>
      </c>
      <c r="O108" s="263">
        <f t="shared" si="78"/>
        <v>0</v>
      </c>
      <c r="P108" s="139"/>
      <c r="R108" s="9">
        <v>79000</v>
      </c>
      <c r="S108" s="39">
        <v>150000</v>
      </c>
      <c r="T108" s="140">
        <f>94800-16000</f>
        <v>78800</v>
      </c>
      <c r="U108" s="140">
        <v>180000</v>
      </c>
    </row>
    <row r="109" spans="2:21" s="17" customFormat="1" ht="24" customHeight="1">
      <c r="B109" s="203"/>
      <c r="C109" s="207" t="s">
        <v>394</v>
      </c>
      <c r="D109" s="207" t="s">
        <v>577</v>
      </c>
      <c r="E109" s="386" t="s">
        <v>413</v>
      </c>
      <c r="F109" s="205" t="s">
        <v>182</v>
      </c>
      <c r="G109" s="206"/>
      <c r="H109" s="142" t="s">
        <v>35</v>
      </c>
      <c r="I109" s="135"/>
      <c r="J109" s="373">
        <f>IFERROR(VLOOKUP(C109,[1]Sheet2!$A:$B,2,0),"")</f>
        <v>255200</v>
      </c>
      <c r="K109" s="250">
        <v>75200</v>
      </c>
      <c r="L109" s="136">
        <f t="shared" si="76"/>
        <v>0</v>
      </c>
      <c r="M109" s="249">
        <v>180000</v>
      </c>
      <c r="N109" s="138">
        <f t="shared" si="77"/>
        <v>0</v>
      </c>
      <c r="O109" s="263">
        <f t="shared" si="78"/>
        <v>0</v>
      </c>
      <c r="P109" s="139"/>
      <c r="R109" s="9">
        <v>56000</v>
      </c>
      <c r="S109" s="42">
        <v>150000</v>
      </c>
      <c r="T109" s="140">
        <v>67200</v>
      </c>
      <c r="U109" s="140">
        <v>180000</v>
      </c>
    </row>
    <row r="110" spans="2:21" s="17" customFormat="1" ht="24" customHeight="1">
      <c r="B110" s="208"/>
      <c r="C110" s="209" t="s">
        <v>395</v>
      </c>
      <c r="D110" s="209" t="s">
        <v>578</v>
      </c>
      <c r="E110" s="387" t="s">
        <v>414</v>
      </c>
      <c r="F110" s="210" t="s">
        <v>129</v>
      </c>
      <c r="G110" s="206"/>
      <c r="H110" s="142" t="s">
        <v>36</v>
      </c>
      <c r="I110" s="135"/>
      <c r="J110" s="373">
        <f>IFERROR(VLOOKUP(C110,[1]Sheet2!$A:$B,2,0),"")</f>
        <v>258800</v>
      </c>
      <c r="K110" s="250">
        <v>78800</v>
      </c>
      <c r="L110" s="136">
        <f t="shared" ref="L110:L111" si="79">K110*I110</f>
        <v>0</v>
      </c>
      <c r="M110" s="249">
        <v>180000</v>
      </c>
      <c r="N110" s="138">
        <f t="shared" ref="N110:N111" si="80">M110*I110</f>
        <v>0</v>
      </c>
      <c r="O110" s="263">
        <f t="shared" ref="O110:O111" si="81">L110+N110</f>
        <v>0</v>
      </c>
      <c r="P110" s="139"/>
      <c r="R110" s="9">
        <v>76000</v>
      </c>
      <c r="S110" s="35">
        <v>100000</v>
      </c>
      <c r="T110" s="140">
        <v>30000</v>
      </c>
      <c r="U110" s="140">
        <v>54000</v>
      </c>
    </row>
    <row r="111" spans="2:21" s="17" customFormat="1" ht="24" customHeight="1">
      <c r="B111" s="208"/>
      <c r="C111" s="209" t="s">
        <v>396</v>
      </c>
      <c r="D111" s="209" t="s">
        <v>579</v>
      </c>
      <c r="E111" s="387" t="s">
        <v>415</v>
      </c>
      <c r="F111" s="210" t="s">
        <v>130</v>
      </c>
      <c r="G111" s="206"/>
      <c r="H111" s="142" t="s">
        <v>36</v>
      </c>
      <c r="I111" s="135">
        <v>3</v>
      </c>
      <c r="J111" s="373">
        <f>IFERROR(VLOOKUP(C111,[1]Sheet2!$A:$B,2,0),"")</f>
        <v>247200</v>
      </c>
      <c r="K111" s="250">
        <v>67200</v>
      </c>
      <c r="L111" s="136">
        <f t="shared" si="79"/>
        <v>201600</v>
      </c>
      <c r="M111" s="249">
        <v>180000</v>
      </c>
      <c r="N111" s="138">
        <f t="shared" si="80"/>
        <v>540000</v>
      </c>
      <c r="O111" s="263">
        <f t="shared" si="81"/>
        <v>741600</v>
      </c>
      <c r="P111" s="139"/>
      <c r="R111" s="9">
        <v>76000</v>
      </c>
      <c r="S111" s="35">
        <v>100000</v>
      </c>
      <c r="T111" s="140">
        <v>23400</v>
      </c>
      <c r="U111" s="140">
        <v>48000</v>
      </c>
    </row>
    <row r="112" spans="2:21" s="17" customFormat="1" ht="24" customHeight="1">
      <c r="B112" s="203"/>
      <c r="C112" s="209" t="s">
        <v>397</v>
      </c>
      <c r="D112" s="209" t="s">
        <v>580</v>
      </c>
      <c r="E112" s="387" t="s">
        <v>416</v>
      </c>
      <c r="F112" s="210" t="s">
        <v>52</v>
      </c>
      <c r="G112" s="206"/>
      <c r="H112" s="142" t="s">
        <v>36</v>
      </c>
      <c r="I112" s="135"/>
      <c r="J112" s="373">
        <f>IFERROR(VLOOKUP(C112,[1]Sheet2!$A:$B,2,0),"")</f>
        <v>84000</v>
      </c>
      <c r="K112" s="250">
        <v>30000</v>
      </c>
      <c r="L112" s="136">
        <f t="shared" si="76"/>
        <v>0</v>
      </c>
      <c r="M112" s="249">
        <v>54000</v>
      </c>
      <c r="N112" s="138">
        <f t="shared" si="77"/>
        <v>0</v>
      </c>
      <c r="O112" s="263">
        <f t="shared" si="78"/>
        <v>0</v>
      </c>
      <c r="P112" s="139"/>
      <c r="R112" s="9">
        <v>76000</v>
      </c>
      <c r="S112" s="35">
        <v>100000</v>
      </c>
      <c r="T112" s="140">
        <v>62500</v>
      </c>
      <c r="U112" s="140">
        <v>140000</v>
      </c>
    </row>
    <row r="113" spans="2:21" s="17" customFormat="1" ht="24" customHeight="1">
      <c r="B113" s="203"/>
      <c r="C113" s="209" t="s">
        <v>398</v>
      </c>
      <c r="D113" s="209" t="s">
        <v>581</v>
      </c>
      <c r="E113" s="387" t="s">
        <v>417</v>
      </c>
      <c r="F113" s="210" t="s">
        <v>53</v>
      </c>
      <c r="G113" s="206"/>
      <c r="H113" s="142" t="s">
        <v>121</v>
      </c>
      <c r="I113" s="135"/>
      <c r="J113" s="373">
        <f>IFERROR(VLOOKUP(C113,[1]Sheet2!$A:$B,2,0),"")</f>
        <v>71400</v>
      </c>
      <c r="K113" s="250">
        <v>23400</v>
      </c>
      <c r="L113" s="136">
        <f t="shared" si="76"/>
        <v>0</v>
      </c>
      <c r="M113" s="249">
        <v>48000</v>
      </c>
      <c r="N113" s="138">
        <f t="shared" si="77"/>
        <v>0</v>
      </c>
      <c r="O113" s="263">
        <f t="shared" si="78"/>
        <v>0</v>
      </c>
      <c r="P113" s="139"/>
      <c r="R113" s="9">
        <v>75000</v>
      </c>
      <c r="S113" s="39">
        <v>100000</v>
      </c>
      <c r="T113" s="140">
        <v>62500</v>
      </c>
      <c r="U113" s="140">
        <v>140000</v>
      </c>
    </row>
    <row r="114" spans="2:21" s="17" customFormat="1" ht="24" customHeight="1">
      <c r="B114" s="203"/>
      <c r="C114" s="209" t="s">
        <v>399</v>
      </c>
      <c r="D114" s="209" t="s">
        <v>582</v>
      </c>
      <c r="E114" s="387" t="s">
        <v>418</v>
      </c>
      <c r="F114" s="210" t="s">
        <v>54</v>
      </c>
      <c r="G114" s="206"/>
      <c r="H114" s="142" t="s">
        <v>121</v>
      </c>
      <c r="I114" s="135"/>
      <c r="J114" s="373">
        <f>IFERROR(VLOOKUP(C114,[1]Sheet2!$A:$B,2,0),"")</f>
        <v>202500</v>
      </c>
      <c r="K114" s="250">
        <f>T114</f>
        <v>62500</v>
      </c>
      <c r="L114" s="136">
        <f t="shared" si="76"/>
        <v>0</v>
      </c>
      <c r="M114" s="249">
        <f>U114</f>
        <v>140000</v>
      </c>
      <c r="N114" s="138">
        <f t="shared" si="77"/>
        <v>0</v>
      </c>
      <c r="O114" s="263">
        <f t="shared" si="78"/>
        <v>0</v>
      </c>
      <c r="P114" s="139"/>
      <c r="R114" s="9">
        <v>87500</v>
      </c>
      <c r="S114" s="39">
        <v>100000</v>
      </c>
      <c r="T114" s="140">
        <v>62500</v>
      </c>
      <c r="U114" s="140">
        <v>140000</v>
      </c>
    </row>
    <row r="115" spans="2:21" s="17" customFormat="1" ht="24" customHeight="1">
      <c r="B115" s="203"/>
      <c r="C115" s="209" t="s">
        <v>400</v>
      </c>
      <c r="D115" s="209" t="s">
        <v>583</v>
      </c>
      <c r="E115" s="387" t="s">
        <v>419</v>
      </c>
      <c r="F115" s="210" t="s">
        <v>183</v>
      </c>
      <c r="G115" s="206"/>
      <c r="H115" s="142" t="s">
        <v>121</v>
      </c>
      <c r="I115" s="135"/>
      <c r="J115" s="373">
        <f>IFERROR(VLOOKUP(C115,[1]Sheet2!$A:$B,2,0),"")</f>
        <v>202500</v>
      </c>
      <c r="K115" s="250">
        <f>T115</f>
        <v>62500</v>
      </c>
      <c r="L115" s="136">
        <f t="shared" si="76"/>
        <v>0</v>
      </c>
      <c r="M115" s="249">
        <f>U115</f>
        <v>140000</v>
      </c>
      <c r="N115" s="138">
        <f t="shared" si="77"/>
        <v>0</v>
      </c>
      <c r="O115" s="263">
        <f t="shared" si="78"/>
        <v>0</v>
      </c>
      <c r="P115" s="139"/>
      <c r="R115" s="9">
        <v>87500</v>
      </c>
      <c r="S115" s="39">
        <v>100000</v>
      </c>
      <c r="T115" s="140">
        <v>62500</v>
      </c>
      <c r="U115" s="140">
        <v>140000</v>
      </c>
    </row>
    <row r="116" spans="2:21" s="17" customFormat="1" ht="24" customHeight="1">
      <c r="B116" s="203"/>
      <c r="C116" s="209" t="s">
        <v>401</v>
      </c>
      <c r="D116" s="209" t="s">
        <v>584</v>
      </c>
      <c r="E116" s="387" t="s">
        <v>420</v>
      </c>
      <c r="F116" s="210" t="s">
        <v>55</v>
      </c>
      <c r="G116" s="206"/>
      <c r="H116" s="142" t="s">
        <v>35</v>
      </c>
      <c r="I116" s="135">
        <v>1</v>
      </c>
      <c r="J116" s="373">
        <f>IFERROR(VLOOKUP(C116,[1]Sheet2!$A:$B,2,0),"")</f>
        <v>202500</v>
      </c>
      <c r="K116" s="250">
        <v>62500</v>
      </c>
      <c r="L116" s="136">
        <f t="shared" si="76"/>
        <v>62500</v>
      </c>
      <c r="M116" s="249">
        <v>140000</v>
      </c>
      <c r="N116" s="138">
        <f t="shared" si="77"/>
        <v>140000</v>
      </c>
      <c r="O116" s="263">
        <f t="shared" si="78"/>
        <v>202500</v>
      </c>
      <c r="P116" s="139"/>
      <c r="R116" s="9">
        <v>82000</v>
      </c>
      <c r="S116" s="39">
        <v>150000</v>
      </c>
      <c r="T116" s="140">
        <v>98400</v>
      </c>
      <c r="U116" s="140">
        <v>180000</v>
      </c>
    </row>
    <row r="117" spans="2:21" s="17" customFormat="1" ht="24" customHeight="1">
      <c r="B117" s="203"/>
      <c r="C117" s="209" t="s">
        <v>691</v>
      </c>
      <c r="D117" s="209" t="s">
        <v>691</v>
      </c>
      <c r="E117" s="387" t="s">
        <v>697</v>
      </c>
      <c r="F117" s="210"/>
      <c r="G117" s="206"/>
      <c r="H117" s="142" t="s">
        <v>35</v>
      </c>
      <c r="I117" s="135"/>
      <c r="J117" s="373">
        <f>IFERROR(VLOOKUP(C117,[1]Sheet2!$A:$B,2,0),"")</f>
        <v>258800</v>
      </c>
      <c r="K117" s="250">
        <v>78800</v>
      </c>
      <c r="L117" s="136">
        <f t="shared" si="76"/>
        <v>0</v>
      </c>
      <c r="M117" s="249">
        <v>180000</v>
      </c>
      <c r="N117" s="138">
        <f t="shared" si="77"/>
        <v>0</v>
      </c>
      <c r="O117" s="263">
        <f t="shared" si="78"/>
        <v>0</v>
      </c>
      <c r="P117" s="139"/>
      <c r="R117" s="9"/>
      <c r="S117" s="39"/>
      <c r="T117" s="140"/>
      <c r="U117" s="140"/>
    </row>
    <row r="118" spans="2:21" s="17" customFormat="1" ht="24" customHeight="1">
      <c r="B118" s="203"/>
      <c r="C118" s="209" t="s">
        <v>692</v>
      </c>
      <c r="D118" s="209" t="s">
        <v>692</v>
      </c>
      <c r="E118" s="387" t="s">
        <v>698</v>
      </c>
      <c r="F118" s="210"/>
      <c r="G118" s="206"/>
      <c r="H118" s="142" t="s">
        <v>35</v>
      </c>
      <c r="I118" s="135"/>
      <c r="J118" s="373">
        <f>IFERROR(VLOOKUP(C118,[1]Sheet2!$A:$B,2,0),"")</f>
        <v>100000</v>
      </c>
      <c r="K118" s="250">
        <v>32500</v>
      </c>
      <c r="L118" s="136">
        <f t="shared" si="76"/>
        <v>0</v>
      </c>
      <c r="M118" s="249">
        <v>67500</v>
      </c>
      <c r="N118" s="138">
        <f t="shared" si="77"/>
        <v>0</v>
      </c>
      <c r="O118" s="263">
        <f t="shared" si="78"/>
        <v>0</v>
      </c>
      <c r="P118" s="139"/>
      <c r="R118" s="9"/>
      <c r="S118" s="39"/>
      <c r="T118" s="140"/>
      <c r="U118" s="140"/>
    </row>
    <row r="119" spans="2:21" s="17" customFormat="1" ht="24" customHeight="1">
      <c r="B119" s="203"/>
      <c r="C119" s="209" t="s">
        <v>693</v>
      </c>
      <c r="D119" s="209" t="s">
        <v>693</v>
      </c>
      <c r="E119" s="387" t="s">
        <v>699</v>
      </c>
      <c r="F119" s="210"/>
      <c r="G119" s="206"/>
      <c r="H119" s="142" t="s">
        <v>35</v>
      </c>
      <c r="I119" s="135"/>
      <c r="J119" s="373">
        <f>IFERROR(VLOOKUP(C119,[1]Sheet2!$A:$B,2,0),"")</f>
        <v>26680</v>
      </c>
      <c r="K119" s="250">
        <f>T119</f>
        <v>0</v>
      </c>
      <c r="L119" s="136">
        <f t="shared" si="76"/>
        <v>0</v>
      </c>
      <c r="M119" s="249">
        <v>26680</v>
      </c>
      <c r="N119" s="138">
        <f t="shared" si="77"/>
        <v>0</v>
      </c>
      <c r="O119" s="263">
        <f t="shared" si="78"/>
        <v>0</v>
      </c>
      <c r="P119" s="139"/>
      <c r="R119" s="9"/>
      <c r="S119" s="39"/>
      <c r="T119" s="140"/>
      <c r="U119" s="140"/>
    </row>
    <row r="120" spans="2:21" s="17" customFormat="1" ht="24" customHeight="1">
      <c r="B120" s="203"/>
      <c r="C120" s="209" t="s">
        <v>694</v>
      </c>
      <c r="D120" s="209" t="s">
        <v>694</v>
      </c>
      <c r="E120" s="387" t="s">
        <v>700</v>
      </c>
      <c r="F120" s="210"/>
      <c r="G120" s="206"/>
      <c r="H120" s="142" t="s">
        <v>35</v>
      </c>
      <c r="I120" s="135"/>
      <c r="J120" s="373">
        <f>IFERROR(VLOOKUP(C120,[1]Sheet2!$A:$B,2,0),"")</f>
        <v>202500</v>
      </c>
      <c r="K120" s="250">
        <v>62500</v>
      </c>
      <c r="L120" s="136">
        <f t="shared" si="76"/>
        <v>0</v>
      </c>
      <c r="M120" s="249">
        <v>140000</v>
      </c>
      <c r="N120" s="138">
        <f t="shared" si="77"/>
        <v>0</v>
      </c>
      <c r="O120" s="263">
        <f t="shared" si="78"/>
        <v>0</v>
      </c>
      <c r="P120" s="139"/>
      <c r="R120" s="9"/>
      <c r="S120" s="39"/>
      <c r="T120" s="140"/>
      <c r="U120" s="140"/>
    </row>
    <row r="121" spans="2:21" s="17" customFormat="1" ht="24" customHeight="1">
      <c r="B121" s="203"/>
      <c r="C121" s="209" t="s">
        <v>695</v>
      </c>
      <c r="D121" s="209" t="s">
        <v>695</v>
      </c>
      <c r="E121" s="387" t="s">
        <v>701</v>
      </c>
      <c r="F121" s="210"/>
      <c r="G121" s="206"/>
      <c r="H121" s="142" t="s">
        <v>35</v>
      </c>
      <c r="I121" s="135"/>
      <c r="J121" s="373">
        <f>IFERROR(VLOOKUP(C121,[1]Sheet2!$A:$B,2,0),"")</f>
        <v>100000</v>
      </c>
      <c r="K121" s="250">
        <f>T121</f>
        <v>0</v>
      </c>
      <c r="L121" s="136">
        <f t="shared" si="76"/>
        <v>0</v>
      </c>
      <c r="M121" s="249">
        <v>100000</v>
      </c>
      <c r="N121" s="138">
        <f t="shared" si="77"/>
        <v>0</v>
      </c>
      <c r="O121" s="263">
        <f t="shared" si="78"/>
        <v>0</v>
      </c>
      <c r="P121" s="139"/>
      <c r="R121" s="9"/>
      <c r="S121" s="39"/>
      <c r="T121" s="140"/>
      <c r="U121" s="140"/>
    </row>
    <row r="122" spans="2:21" s="17" customFormat="1" ht="24" customHeight="1">
      <c r="B122" s="203"/>
      <c r="C122" s="209" t="s">
        <v>696</v>
      </c>
      <c r="D122" s="209" t="s">
        <v>696</v>
      </c>
      <c r="E122" s="387" t="s">
        <v>702</v>
      </c>
      <c r="F122" s="210"/>
      <c r="G122" s="206"/>
      <c r="H122" s="142" t="s">
        <v>66</v>
      </c>
      <c r="I122" s="135">
        <v>1</v>
      </c>
      <c r="J122" s="373">
        <f>IFERROR(VLOOKUP(C122,[1]Sheet2!$A:$B,2,0),"")</f>
        <v>30000</v>
      </c>
      <c r="K122" s="250">
        <v>9500</v>
      </c>
      <c r="L122" s="136">
        <f t="shared" si="76"/>
        <v>9500</v>
      </c>
      <c r="M122" s="249">
        <v>20500</v>
      </c>
      <c r="N122" s="138">
        <f t="shared" si="77"/>
        <v>20500</v>
      </c>
      <c r="O122" s="263">
        <f t="shared" si="78"/>
        <v>30000</v>
      </c>
      <c r="P122" s="139"/>
      <c r="R122" s="9"/>
      <c r="S122" s="39"/>
      <c r="T122" s="140"/>
      <c r="U122" s="140"/>
    </row>
    <row r="123" spans="2:21" s="17" customFormat="1" ht="24" customHeight="1">
      <c r="B123" s="208"/>
      <c r="C123" s="209" t="s">
        <v>402</v>
      </c>
      <c r="D123" s="209" t="s">
        <v>585</v>
      </c>
      <c r="E123" s="387" t="s">
        <v>421</v>
      </c>
      <c r="F123" s="210" t="s">
        <v>184</v>
      </c>
      <c r="G123" s="206"/>
      <c r="H123" s="142" t="s">
        <v>784</v>
      </c>
      <c r="I123" s="135"/>
      <c r="J123" s="373">
        <f>IFERROR(VLOOKUP(C123,[1]Sheet2!$A:$B,2,0),"")</f>
        <v>278400</v>
      </c>
      <c r="K123" s="250">
        <v>98400</v>
      </c>
      <c r="L123" s="136">
        <f t="shared" si="76"/>
        <v>0</v>
      </c>
      <c r="M123" s="249">
        <v>180000</v>
      </c>
      <c r="N123" s="138">
        <f t="shared" si="77"/>
        <v>0</v>
      </c>
      <c r="O123" s="263">
        <f t="shared" si="78"/>
        <v>0</v>
      </c>
      <c r="P123" s="139"/>
      <c r="R123" s="32"/>
      <c r="S123" s="35">
        <v>2800</v>
      </c>
      <c r="T123" s="140">
        <v>0</v>
      </c>
      <c r="U123" s="140">
        <v>3360</v>
      </c>
    </row>
    <row r="124" spans="2:21" s="17" customFormat="1" ht="24" customHeight="1" thickBot="1">
      <c r="B124" s="208"/>
      <c r="C124" s="209" t="s">
        <v>403</v>
      </c>
      <c r="D124" s="209" t="s">
        <v>586</v>
      </c>
      <c r="E124" s="387" t="s">
        <v>422</v>
      </c>
      <c r="F124" s="210" t="s">
        <v>185</v>
      </c>
      <c r="G124" s="206"/>
      <c r="H124" s="142" t="s">
        <v>66</v>
      </c>
      <c r="I124" s="135"/>
      <c r="J124" s="373">
        <f>IFERROR(VLOOKUP(C124,[1]Sheet2!$A:$B,2,0),"")</f>
        <v>260400</v>
      </c>
      <c r="K124" s="250">
        <v>116400</v>
      </c>
      <c r="L124" s="136">
        <f t="shared" si="76"/>
        <v>0</v>
      </c>
      <c r="M124" s="249">
        <v>144000</v>
      </c>
      <c r="N124" s="138">
        <f t="shared" si="77"/>
        <v>0</v>
      </c>
      <c r="O124" s="263">
        <f t="shared" si="78"/>
        <v>0</v>
      </c>
      <c r="P124" s="139"/>
      <c r="R124" s="33"/>
      <c r="S124" s="36">
        <v>1500</v>
      </c>
      <c r="T124" s="140">
        <v>0</v>
      </c>
      <c r="U124" s="140">
        <v>1800</v>
      </c>
    </row>
    <row r="125" spans="2:21" s="17" customFormat="1" ht="24" customHeight="1">
      <c r="B125" s="395"/>
      <c r="C125" s="360" t="s">
        <v>404</v>
      </c>
      <c r="D125" s="360" t="s">
        <v>587</v>
      </c>
      <c r="E125" s="388" t="s">
        <v>636</v>
      </c>
      <c r="F125" s="210" t="s">
        <v>185</v>
      </c>
      <c r="G125" s="206"/>
      <c r="H125" s="142" t="s">
        <v>785</v>
      </c>
      <c r="I125" s="135">
        <v>40</v>
      </c>
      <c r="J125" s="373">
        <f>IFERROR(VLOOKUP(C125,[1]Sheet2!$A:$B,2,0),"")</f>
        <v>8100</v>
      </c>
      <c r="K125" s="250" t="str">
        <f t="shared" ref="K125:K130" si="82">T125</f>
        <v>-</v>
      </c>
      <c r="L125" s="136">
        <f t="shared" si="76"/>
        <v>0</v>
      </c>
      <c r="M125" s="249">
        <v>8100</v>
      </c>
      <c r="N125" s="138">
        <f t="shared" si="77"/>
        <v>324000</v>
      </c>
      <c r="O125" s="263">
        <f t="shared" si="78"/>
        <v>324000</v>
      </c>
      <c r="P125" s="139"/>
      <c r="R125" s="25"/>
      <c r="S125" s="16"/>
      <c r="T125" s="140" t="s">
        <v>127</v>
      </c>
      <c r="U125" s="140">
        <v>200000</v>
      </c>
    </row>
    <row r="126" spans="2:21" s="17" customFormat="1" ht="24" customHeight="1">
      <c r="B126" s="397"/>
      <c r="C126" s="209" t="s">
        <v>405</v>
      </c>
      <c r="D126" s="209" t="s">
        <v>588</v>
      </c>
      <c r="E126" s="387" t="s">
        <v>423</v>
      </c>
      <c r="F126" s="357" t="s">
        <v>423</v>
      </c>
      <c r="G126" s="206"/>
      <c r="H126" s="142" t="s">
        <v>113</v>
      </c>
      <c r="I126" s="135">
        <v>40</v>
      </c>
      <c r="J126" s="373">
        <f>IFERROR(VLOOKUP(C126,[1]Sheet2!$A:$B,2,0),"")</f>
        <v>4300</v>
      </c>
      <c r="K126" s="250">
        <f t="shared" si="82"/>
        <v>0</v>
      </c>
      <c r="L126" s="136">
        <f t="shared" si="76"/>
        <v>0</v>
      </c>
      <c r="M126" s="249">
        <v>4300</v>
      </c>
      <c r="N126" s="138">
        <f t="shared" si="77"/>
        <v>172000</v>
      </c>
      <c r="O126" s="263">
        <f t="shared" si="78"/>
        <v>172000</v>
      </c>
      <c r="P126" s="139"/>
      <c r="R126" s="25"/>
      <c r="S126" s="16"/>
      <c r="T126" s="140"/>
      <c r="U126" s="140"/>
    </row>
    <row r="127" spans="2:21" s="17" customFormat="1" ht="24" customHeight="1">
      <c r="B127" s="396"/>
      <c r="C127" s="361" t="s">
        <v>406</v>
      </c>
      <c r="D127" s="361" t="s">
        <v>589</v>
      </c>
      <c r="E127" s="389" t="s">
        <v>637</v>
      </c>
      <c r="F127" s="210" t="s">
        <v>188</v>
      </c>
      <c r="G127" s="206"/>
      <c r="H127" s="142" t="s">
        <v>35</v>
      </c>
      <c r="I127" s="135"/>
      <c r="J127" s="373">
        <f>IFERROR(VLOOKUP(C127,[1]Sheet2!$A:$B,2,0),"")</f>
        <v>201780</v>
      </c>
      <c r="K127" s="250" t="str">
        <f t="shared" si="82"/>
        <v>-</v>
      </c>
      <c r="L127" s="136">
        <f t="shared" si="76"/>
        <v>0</v>
      </c>
      <c r="M127" s="249">
        <v>201780</v>
      </c>
      <c r="N127" s="138">
        <f t="shared" si="77"/>
        <v>0</v>
      </c>
      <c r="O127" s="263">
        <f t="shared" si="78"/>
        <v>0</v>
      </c>
      <c r="P127" s="139"/>
      <c r="R127" s="25"/>
      <c r="S127" s="16"/>
      <c r="T127" s="140" t="s">
        <v>127</v>
      </c>
      <c r="U127" s="140">
        <v>400000</v>
      </c>
    </row>
    <row r="128" spans="2:21" s="17" customFormat="1" ht="24" customHeight="1">
      <c r="B128" s="203"/>
      <c r="C128" s="207" t="s">
        <v>407</v>
      </c>
      <c r="D128" s="207" t="s">
        <v>590</v>
      </c>
      <c r="E128" s="386" t="s">
        <v>424</v>
      </c>
      <c r="F128" s="210" t="s">
        <v>187</v>
      </c>
      <c r="G128" s="206"/>
      <c r="H128" s="142" t="s">
        <v>66</v>
      </c>
      <c r="I128" s="135"/>
      <c r="J128" s="373">
        <f>IFERROR(VLOOKUP(C128,[1]Sheet2!$A:$B,2,0),"")</f>
        <v>302670</v>
      </c>
      <c r="K128" s="250">
        <f t="shared" si="82"/>
        <v>0</v>
      </c>
      <c r="L128" s="136">
        <f t="shared" si="76"/>
        <v>0</v>
      </c>
      <c r="M128" s="249">
        <v>302670</v>
      </c>
      <c r="N128" s="138">
        <f t="shared" si="77"/>
        <v>0</v>
      </c>
      <c r="O128" s="263">
        <f t="shared" si="78"/>
        <v>0</v>
      </c>
      <c r="P128" s="139"/>
      <c r="R128" s="25"/>
      <c r="S128" s="16"/>
      <c r="T128" s="140">
        <v>0</v>
      </c>
      <c r="U128" s="140">
        <v>0</v>
      </c>
    </row>
    <row r="129" spans="2:21" s="17" customFormat="1" ht="24" customHeight="1">
      <c r="B129" s="203"/>
      <c r="C129" s="207" t="s">
        <v>408</v>
      </c>
      <c r="D129" s="207" t="s">
        <v>591</v>
      </c>
      <c r="E129" s="386" t="s">
        <v>424</v>
      </c>
      <c r="F129" s="210" t="s">
        <v>186</v>
      </c>
      <c r="G129" s="206"/>
      <c r="H129" s="142" t="s">
        <v>783</v>
      </c>
      <c r="I129" s="135"/>
      <c r="J129" s="373">
        <f>IFERROR(VLOOKUP(C129,[1]Sheet2!$A:$B,2,0),"")</f>
        <v>392350</v>
      </c>
      <c r="K129" s="250">
        <f t="shared" si="82"/>
        <v>0</v>
      </c>
      <c r="L129" s="136">
        <f t="shared" si="76"/>
        <v>0</v>
      </c>
      <c r="M129" s="249">
        <v>392350</v>
      </c>
      <c r="N129" s="138">
        <f t="shared" si="77"/>
        <v>0</v>
      </c>
      <c r="O129" s="263">
        <f t="shared" si="78"/>
        <v>0</v>
      </c>
      <c r="P129" s="139"/>
      <c r="R129" s="25"/>
      <c r="S129" s="16"/>
      <c r="T129" s="140"/>
      <c r="U129" s="140"/>
    </row>
    <row r="130" spans="2:21" s="17" customFormat="1" ht="24" customHeight="1">
      <c r="B130" s="203"/>
      <c r="C130" s="207" t="s">
        <v>409</v>
      </c>
      <c r="D130" s="207" t="s">
        <v>64</v>
      </c>
      <c r="E130" s="207"/>
      <c r="F130" s="205"/>
      <c r="G130" s="206"/>
      <c r="H130" s="142"/>
      <c r="I130" s="135"/>
      <c r="J130" s="373" t="str">
        <f>IFERROR(VLOOKUP(C130,[1]Sheet2!$A:$B,2,0),"")</f>
        <v/>
      </c>
      <c r="K130" s="250">
        <f t="shared" si="82"/>
        <v>0</v>
      </c>
      <c r="L130" s="136">
        <f t="shared" si="76"/>
        <v>0</v>
      </c>
      <c r="M130" s="249">
        <f>U130</f>
        <v>0</v>
      </c>
      <c r="N130" s="138">
        <f t="shared" si="77"/>
        <v>0</v>
      </c>
      <c r="O130" s="263">
        <f t="shared" si="78"/>
        <v>0</v>
      </c>
      <c r="P130" s="139"/>
      <c r="R130" s="25"/>
      <c r="S130" s="16"/>
      <c r="T130" s="140">
        <v>0</v>
      </c>
      <c r="U130" s="140">
        <v>0</v>
      </c>
    </row>
    <row r="131" spans="2:21" s="112" customFormat="1" ht="24.95" customHeight="1">
      <c r="B131" s="155"/>
      <c r="C131" s="156" t="s">
        <v>56</v>
      </c>
      <c r="D131" s="156" t="s">
        <v>502</v>
      </c>
      <c r="E131" s="156"/>
      <c r="F131" s="158"/>
      <c r="G131" s="158"/>
      <c r="H131" s="159"/>
      <c r="I131" s="165"/>
      <c r="J131" s="377" t="str">
        <f>IFERROR(VLOOKUP(C131,[1]Sheet2!$A:$B,2,0),"")</f>
        <v/>
      </c>
      <c r="K131" s="255"/>
      <c r="L131" s="160">
        <f>SUM(L105:L130)</f>
        <v>273600</v>
      </c>
      <c r="M131" s="255"/>
      <c r="N131" s="160">
        <f>SUM(N105:N130)</f>
        <v>1196500</v>
      </c>
      <c r="O131" s="262">
        <f>SUM(O105:O130)</f>
        <v>1470100</v>
      </c>
      <c r="P131" s="158"/>
      <c r="R131" s="113"/>
      <c r="S131" s="114"/>
      <c r="T131" s="211"/>
      <c r="U131" s="211"/>
    </row>
    <row r="132" spans="2:21" ht="30" customHeight="1">
      <c r="B132" s="162">
        <v>6</v>
      </c>
      <c r="C132" s="163" t="s">
        <v>192</v>
      </c>
      <c r="D132" s="163" t="s">
        <v>507</v>
      </c>
      <c r="E132" s="163"/>
      <c r="F132" s="128"/>
      <c r="G132" s="128"/>
      <c r="H132" s="443" t="str">
        <f>IFERROR(VLOOKUP(C132,[1]Sheet2!$A:$B,2,0),"")</f>
        <v/>
      </c>
      <c r="I132" s="444"/>
      <c r="J132" s="444"/>
      <c r="K132" s="444"/>
      <c r="L132" s="444"/>
      <c r="M132" s="444"/>
      <c r="N132" s="444"/>
      <c r="O132" s="444"/>
      <c r="P132" s="445"/>
      <c r="R132" s="26"/>
      <c r="S132" s="24"/>
      <c r="T132" s="25"/>
      <c r="U132" s="25"/>
    </row>
    <row r="133" spans="2:21" ht="24" customHeight="1">
      <c r="B133" s="367"/>
      <c r="C133" s="364" t="s">
        <v>474</v>
      </c>
      <c r="D133" s="204" t="s">
        <v>474</v>
      </c>
      <c r="E133" s="383" t="s">
        <v>762</v>
      </c>
      <c r="F133" s="368" t="s">
        <v>473</v>
      </c>
      <c r="G133" s="128"/>
      <c r="H133" s="129" t="s">
        <v>786</v>
      </c>
      <c r="I133" s="130">
        <v>36</v>
      </c>
      <c r="J133" s="372">
        <f>IFERROR(VLOOKUP(C133,[1]Sheet2!$A:$B,2,0),"")</f>
        <v>8500</v>
      </c>
      <c r="K133" s="252">
        <f>T133</f>
        <v>0</v>
      </c>
      <c r="L133" s="131">
        <f t="shared" ref="L133:L137" si="83">K133*I133</f>
        <v>0</v>
      </c>
      <c r="M133" s="252">
        <v>8500</v>
      </c>
      <c r="N133" s="138">
        <f t="shared" ref="N133:N137" si="84">M133*I133</f>
        <v>306000</v>
      </c>
      <c r="O133" s="263">
        <f t="shared" ref="O133:O137" si="85">L133+N133</f>
        <v>306000</v>
      </c>
      <c r="P133" s="366"/>
      <c r="R133" s="26"/>
      <c r="S133" s="24"/>
      <c r="T133" s="25"/>
      <c r="U133" s="25"/>
    </row>
    <row r="134" spans="2:21" ht="24" customHeight="1">
      <c r="B134" s="367"/>
      <c r="C134" s="364" t="s">
        <v>722</v>
      </c>
      <c r="D134" s="204" t="s">
        <v>787</v>
      </c>
      <c r="E134" s="383" t="s">
        <v>727</v>
      </c>
      <c r="F134" s="368"/>
      <c r="G134" s="128"/>
      <c r="H134" s="129" t="s">
        <v>783</v>
      </c>
      <c r="I134" s="130">
        <v>1</v>
      </c>
      <c r="J134" s="372">
        <f>IFERROR(VLOOKUP(C134,[1]Sheet2!$A:$B,2,0),"")</f>
        <v>153400</v>
      </c>
      <c r="K134" s="252">
        <v>23400</v>
      </c>
      <c r="L134" s="131">
        <f t="shared" si="83"/>
        <v>23400</v>
      </c>
      <c r="M134" s="252">
        <v>130000</v>
      </c>
      <c r="N134" s="138">
        <f t="shared" si="84"/>
        <v>130000</v>
      </c>
      <c r="O134" s="263">
        <f t="shared" si="85"/>
        <v>153400</v>
      </c>
      <c r="P134" s="366"/>
      <c r="R134" s="26"/>
      <c r="S134" s="24"/>
      <c r="T134" s="25"/>
      <c r="U134" s="25"/>
    </row>
    <row r="135" spans="2:21" ht="24" customHeight="1">
      <c r="B135" s="367"/>
      <c r="C135" s="364" t="s">
        <v>723</v>
      </c>
      <c r="D135" s="204" t="s">
        <v>726</v>
      </c>
      <c r="E135" s="390" t="s">
        <v>728</v>
      </c>
      <c r="F135" s="368"/>
      <c r="G135" s="128"/>
      <c r="H135" s="129" t="s">
        <v>782</v>
      </c>
      <c r="I135" s="130"/>
      <c r="J135" s="372">
        <f>IFERROR(VLOOKUP(C135,[1]Sheet2!$A:$B,2,0),"")</f>
        <v>32400</v>
      </c>
      <c r="K135" s="252">
        <v>9000</v>
      </c>
      <c r="L135" s="131">
        <f t="shared" si="83"/>
        <v>0</v>
      </c>
      <c r="M135" s="252">
        <v>23400</v>
      </c>
      <c r="N135" s="138">
        <f t="shared" si="84"/>
        <v>0</v>
      </c>
      <c r="O135" s="263">
        <f t="shared" si="85"/>
        <v>0</v>
      </c>
      <c r="P135" s="366"/>
      <c r="R135" s="26"/>
      <c r="S135" s="24"/>
      <c r="T135" s="25"/>
      <c r="U135" s="25"/>
    </row>
    <row r="136" spans="2:21" ht="24" customHeight="1">
      <c r="B136" s="367"/>
      <c r="C136" s="364" t="s">
        <v>724</v>
      </c>
      <c r="D136" s="204" t="s">
        <v>788</v>
      </c>
      <c r="E136" s="390" t="s">
        <v>729</v>
      </c>
      <c r="F136" s="368"/>
      <c r="G136" s="128"/>
      <c r="H136" s="129" t="s">
        <v>790</v>
      </c>
      <c r="I136" s="130"/>
      <c r="J136" s="372">
        <f>IFERROR(VLOOKUP(C136,[1]Sheet2!$A:$B,2,0),"")</f>
        <v>62000</v>
      </c>
      <c r="K136" s="252">
        <v>10000</v>
      </c>
      <c r="L136" s="131">
        <f t="shared" si="83"/>
        <v>0</v>
      </c>
      <c r="M136" s="252">
        <v>52000</v>
      </c>
      <c r="N136" s="138">
        <f t="shared" si="84"/>
        <v>0</v>
      </c>
      <c r="O136" s="263">
        <f t="shared" si="85"/>
        <v>0</v>
      </c>
      <c r="P136" s="366"/>
      <c r="R136" s="26"/>
      <c r="S136" s="24"/>
      <c r="T136" s="25"/>
      <c r="U136" s="25"/>
    </row>
    <row r="137" spans="2:21" ht="24" customHeight="1">
      <c r="B137" s="212"/>
      <c r="C137" s="171" t="s">
        <v>725</v>
      </c>
      <c r="D137" s="204" t="s">
        <v>789</v>
      </c>
      <c r="E137" s="390" t="s">
        <v>730</v>
      </c>
      <c r="F137" s="213"/>
      <c r="G137" s="151"/>
      <c r="H137" s="135" t="s">
        <v>782</v>
      </c>
      <c r="I137" s="135">
        <v>40</v>
      </c>
      <c r="J137" s="373">
        <f>IFERROR(VLOOKUP(C137,[1]Sheet2!$A:$B,2,0),"")</f>
        <v>34000</v>
      </c>
      <c r="K137" s="252">
        <v>5000</v>
      </c>
      <c r="L137" s="136">
        <f t="shared" si="83"/>
        <v>200000</v>
      </c>
      <c r="M137" s="249">
        <v>29000</v>
      </c>
      <c r="N137" s="138">
        <f t="shared" si="84"/>
        <v>1160000</v>
      </c>
      <c r="O137" s="263">
        <f t="shared" si="85"/>
        <v>1360000</v>
      </c>
      <c r="P137" s="139"/>
      <c r="Q137" s="17"/>
      <c r="R137" s="27">
        <v>19500</v>
      </c>
      <c r="S137" s="38">
        <v>55000</v>
      </c>
      <c r="T137" s="140">
        <v>23400</v>
      </c>
      <c r="U137" s="140">
        <v>66000</v>
      </c>
    </row>
    <row r="138" spans="2:21" ht="24" customHeight="1">
      <c r="B138" s="358"/>
      <c r="C138" s="364" t="s">
        <v>434</v>
      </c>
      <c r="D138" s="204" t="s">
        <v>566</v>
      </c>
      <c r="E138" s="390" t="s">
        <v>444</v>
      </c>
      <c r="F138" s="213" t="s">
        <v>122</v>
      </c>
      <c r="G138" s="151"/>
      <c r="H138" s="135" t="s">
        <v>134</v>
      </c>
      <c r="I138" s="135">
        <v>4</v>
      </c>
      <c r="J138" s="373">
        <f>IFERROR(VLOOKUP(C138,[1]Sheet2!$A:$B,2,0),"")</f>
        <v>32400</v>
      </c>
      <c r="K138" s="250">
        <f t="shared" ref="K138:K144" si="86">T138</f>
        <v>9000</v>
      </c>
      <c r="L138" s="136">
        <f t="shared" ref="L138:L144" si="87">K138*I138</f>
        <v>36000</v>
      </c>
      <c r="M138" s="249">
        <f t="shared" ref="M138:M143" si="88">U138</f>
        <v>23400</v>
      </c>
      <c r="N138" s="138">
        <f t="shared" ref="N138" si="89">M138*I138</f>
        <v>93600</v>
      </c>
      <c r="O138" s="263">
        <f t="shared" ref="O138" si="90">L138+N138</f>
        <v>129600</v>
      </c>
      <c r="P138" s="139"/>
      <c r="Q138" s="17"/>
      <c r="R138" s="27">
        <v>19500</v>
      </c>
      <c r="S138" s="38">
        <v>55000</v>
      </c>
      <c r="T138" s="140">
        <v>9000</v>
      </c>
      <c r="U138" s="140">
        <v>23400</v>
      </c>
    </row>
    <row r="139" spans="2:21" ht="24" customHeight="1">
      <c r="B139" s="455"/>
      <c r="C139" s="364" t="s">
        <v>435</v>
      </c>
      <c r="D139" s="204" t="s">
        <v>567</v>
      </c>
      <c r="E139" s="390" t="s">
        <v>445</v>
      </c>
      <c r="F139" s="144" t="s">
        <v>57</v>
      </c>
      <c r="G139" s="133"/>
      <c r="H139" s="135" t="s">
        <v>134</v>
      </c>
      <c r="I139" s="135">
        <v>1</v>
      </c>
      <c r="J139" s="373">
        <f>IFERROR(VLOOKUP(C139,[1]Sheet2!$A:$B,2,0),"")</f>
        <v>32400</v>
      </c>
      <c r="K139" s="250">
        <f t="shared" si="86"/>
        <v>9000</v>
      </c>
      <c r="L139" s="136">
        <f t="shared" si="87"/>
        <v>9000</v>
      </c>
      <c r="M139" s="249">
        <f t="shared" si="88"/>
        <v>23400</v>
      </c>
      <c r="N139" s="138">
        <f t="shared" ref="N139:N143" si="91">M139*I139</f>
        <v>23400</v>
      </c>
      <c r="O139" s="263">
        <f t="shared" ref="O139:O143" si="92">L139+N139</f>
        <v>32400</v>
      </c>
      <c r="P139" s="139"/>
      <c r="Q139" s="17"/>
      <c r="R139" s="13">
        <v>7500</v>
      </c>
      <c r="S139" s="39">
        <v>19500</v>
      </c>
      <c r="T139" s="140">
        <v>9000</v>
      </c>
      <c r="U139" s="140">
        <v>23400</v>
      </c>
    </row>
    <row r="140" spans="2:21" ht="24" customHeight="1">
      <c r="B140" s="456"/>
      <c r="C140" s="365" t="s">
        <v>436</v>
      </c>
      <c r="D140" s="204" t="s">
        <v>568</v>
      </c>
      <c r="E140" s="390" t="s">
        <v>446</v>
      </c>
      <c r="F140" s="144" t="s">
        <v>58</v>
      </c>
      <c r="G140" s="133"/>
      <c r="H140" s="135" t="s">
        <v>134</v>
      </c>
      <c r="I140" s="135"/>
      <c r="J140" s="373">
        <f>IFERROR(VLOOKUP(C140,[1]Sheet2!$A:$B,2,0),"")</f>
        <v>32400</v>
      </c>
      <c r="K140" s="250">
        <f t="shared" si="86"/>
        <v>9000</v>
      </c>
      <c r="L140" s="136">
        <f t="shared" si="87"/>
        <v>0</v>
      </c>
      <c r="M140" s="249">
        <f t="shared" si="88"/>
        <v>23400</v>
      </c>
      <c r="N140" s="138">
        <f t="shared" si="91"/>
        <v>0</v>
      </c>
      <c r="O140" s="263">
        <f t="shared" si="92"/>
        <v>0</v>
      </c>
      <c r="P140" s="139"/>
      <c r="Q140" s="17"/>
      <c r="R140" s="13">
        <v>7500</v>
      </c>
      <c r="S140" s="39">
        <v>19500</v>
      </c>
      <c r="T140" s="140">
        <v>9000</v>
      </c>
      <c r="U140" s="140">
        <v>23400</v>
      </c>
    </row>
    <row r="141" spans="2:21" ht="24" customHeight="1">
      <c r="B141" s="455"/>
      <c r="C141" s="364" t="s">
        <v>437</v>
      </c>
      <c r="D141" s="204" t="s">
        <v>569</v>
      </c>
      <c r="E141" s="390" t="s">
        <v>447</v>
      </c>
      <c r="F141" s="144" t="s">
        <v>59</v>
      </c>
      <c r="G141" s="133"/>
      <c r="H141" s="135" t="s">
        <v>134</v>
      </c>
      <c r="I141" s="135"/>
      <c r="J141" s="373">
        <f>IFERROR(VLOOKUP(C141,[1]Sheet2!$A:$B,2,0),"")</f>
        <v>102600</v>
      </c>
      <c r="K141" s="250">
        <f t="shared" si="86"/>
        <v>23400</v>
      </c>
      <c r="L141" s="136">
        <f t="shared" si="87"/>
        <v>0</v>
      </c>
      <c r="M141" s="249">
        <f t="shared" si="88"/>
        <v>79200</v>
      </c>
      <c r="N141" s="138">
        <f t="shared" si="91"/>
        <v>0</v>
      </c>
      <c r="O141" s="263">
        <f t="shared" si="92"/>
        <v>0</v>
      </c>
      <c r="P141" s="139"/>
      <c r="Q141" s="17"/>
      <c r="R141" s="13">
        <v>19500</v>
      </c>
      <c r="S141" s="39">
        <v>66000</v>
      </c>
      <c r="T141" s="140">
        <v>23400</v>
      </c>
      <c r="U141" s="140">
        <v>79200</v>
      </c>
    </row>
    <row r="142" spans="2:21" ht="24" customHeight="1">
      <c r="B142" s="456"/>
      <c r="C142" s="365" t="s">
        <v>438</v>
      </c>
      <c r="D142" s="204" t="s">
        <v>570</v>
      </c>
      <c r="E142" s="390" t="s">
        <v>448</v>
      </c>
      <c r="F142" s="144" t="s">
        <v>60</v>
      </c>
      <c r="G142" s="133"/>
      <c r="H142" s="135" t="s">
        <v>134</v>
      </c>
      <c r="I142" s="135"/>
      <c r="J142" s="373">
        <f>IFERROR(VLOOKUP(C142,[1]Sheet2!$A:$B,2,0),"")</f>
        <v>89400</v>
      </c>
      <c r="K142" s="250">
        <f t="shared" si="86"/>
        <v>23400</v>
      </c>
      <c r="L142" s="136">
        <f t="shared" si="87"/>
        <v>0</v>
      </c>
      <c r="M142" s="249">
        <f t="shared" si="88"/>
        <v>66000</v>
      </c>
      <c r="N142" s="138">
        <f t="shared" si="91"/>
        <v>0</v>
      </c>
      <c r="O142" s="263">
        <f t="shared" si="92"/>
        <v>0</v>
      </c>
      <c r="P142" s="139"/>
      <c r="Q142" s="17"/>
      <c r="R142" s="13">
        <v>19500</v>
      </c>
      <c r="S142" s="39">
        <v>55000</v>
      </c>
      <c r="T142" s="140">
        <v>23400</v>
      </c>
      <c r="U142" s="140">
        <v>66000</v>
      </c>
    </row>
    <row r="143" spans="2:21" ht="24" customHeight="1" thickBot="1">
      <c r="B143" s="212"/>
      <c r="C143" s="171" t="s">
        <v>439</v>
      </c>
      <c r="D143" s="204" t="s">
        <v>571</v>
      </c>
      <c r="E143" s="390" t="s">
        <v>449</v>
      </c>
      <c r="F143" s="144" t="s">
        <v>116</v>
      </c>
      <c r="G143" s="133"/>
      <c r="H143" s="135" t="s">
        <v>134</v>
      </c>
      <c r="I143" s="135">
        <v>4</v>
      </c>
      <c r="J143" s="373">
        <f>IFERROR(VLOOKUP(C143,[1]Sheet2!$A:$B,2,0),"")</f>
        <v>89400</v>
      </c>
      <c r="K143" s="250">
        <f t="shared" si="86"/>
        <v>23400</v>
      </c>
      <c r="L143" s="136">
        <f t="shared" si="87"/>
        <v>93600</v>
      </c>
      <c r="M143" s="249">
        <f t="shared" si="88"/>
        <v>66000</v>
      </c>
      <c r="N143" s="138">
        <f t="shared" si="91"/>
        <v>264000</v>
      </c>
      <c r="O143" s="263">
        <f t="shared" si="92"/>
        <v>357600</v>
      </c>
      <c r="P143" s="139"/>
      <c r="Q143" s="17"/>
      <c r="R143" s="15">
        <v>19500</v>
      </c>
      <c r="S143" s="36">
        <v>55000</v>
      </c>
      <c r="T143" s="140">
        <v>23400</v>
      </c>
      <c r="U143" s="140">
        <v>66000</v>
      </c>
    </row>
    <row r="144" spans="2:21" ht="24" customHeight="1">
      <c r="B144" s="214"/>
      <c r="C144" s="215" t="s">
        <v>440</v>
      </c>
      <c r="D144" s="204" t="s">
        <v>572</v>
      </c>
      <c r="E144" s="390" t="s">
        <v>450</v>
      </c>
      <c r="F144" s="216" t="s">
        <v>189</v>
      </c>
      <c r="G144" s="133"/>
      <c r="H144" s="142" t="s">
        <v>190</v>
      </c>
      <c r="I144" s="135"/>
      <c r="J144" s="373">
        <f>IFERROR(VLOOKUP(C144,[1]Sheet2!$A:$B,2,0),"")</f>
        <v>30000</v>
      </c>
      <c r="K144" s="250">
        <f t="shared" si="86"/>
        <v>0</v>
      </c>
      <c r="L144" s="136">
        <f t="shared" si="87"/>
        <v>0</v>
      </c>
      <c r="M144" s="249">
        <v>30000</v>
      </c>
      <c r="N144" s="138">
        <f t="shared" ref="N144" si="93">M144*I144</f>
        <v>0</v>
      </c>
      <c r="O144" s="263">
        <f t="shared" ref="O144" si="94">L144+N144</f>
        <v>0</v>
      </c>
      <c r="P144" s="139"/>
      <c r="Q144" s="17"/>
      <c r="R144" s="16"/>
      <c r="S144" s="16"/>
      <c r="T144" s="140">
        <v>0</v>
      </c>
      <c r="U144" s="140">
        <v>8500</v>
      </c>
    </row>
    <row r="145" spans="2:21" ht="24" customHeight="1">
      <c r="B145" s="217"/>
      <c r="C145" s="215" t="s">
        <v>441</v>
      </c>
      <c r="D145" s="204" t="s">
        <v>573</v>
      </c>
      <c r="E145" s="390" t="s">
        <v>451</v>
      </c>
      <c r="F145" s="216" t="s">
        <v>191</v>
      </c>
      <c r="G145" s="133"/>
      <c r="H145" s="142" t="s">
        <v>190</v>
      </c>
      <c r="I145" s="135"/>
      <c r="J145" s="373">
        <f>IFERROR(VLOOKUP(C145,[1]Sheet2!$A:$B,2,0),"")</f>
        <v>350000</v>
      </c>
      <c r="K145" s="250">
        <v>150000</v>
      </c>
      <c r="L145" s="136">
        <f t="shared" ref="L145:L146" si="95">K145*I145</f>
        <v>0</v>
      </c>
      <c r="M145" s="249">
        <v>200000</v>
      </c>
      <c r="N145" s="138">
        <f t="shared" ref="N145:N146" si="96">M145*I145</f>
        <v>0</v>
      </c>
      <c r="O145" s="263">
        <f t="shared" ref="O145:O146" si="97">L145+N145</f>
        <v>0</v>
      </c>
      <c r="P145" s="139"/>
      <c r="Q145" s="17"/>
      <c r="R145" s="16"/>
      <c r="S145" s="16"/>
      <c r="T145" s="140"/>
      <c r="U145" s="140"/>
    </row>
    <row r="146" spans="2:21" ht="24" customHeight="1">
      <c r="B146" s="217"/>
      <c r="C146" s="215" t="s">
        <v>442</v>
      </c>
      <c r="D146" s="204" t="s">
        <v>574</v>
      </c>
      <c r="E146" s="390" t="s">
        <v>452</v>
      </c>
      <c r="F146" s="216" t="s">
        <v>193</v>
      </c>
      <c r="G146" s="133"/>
      <c r="H146" s="142" t="s">
        <v>190</v>
      </c>
      <c r="I146" s="135"/>
      <c r="J146" s="373">
        <f>IFERROR(VLOOKUP(C146,[1]Sheet2!$A:$B,2,0),"")</f>
        <v>45000</v>
      </c>
      <c r="K146" s="250">
        <v>10000</v>
      </c>
      <c r="L146" s="136">
        <f t="shared" si="95"/>
        <v>0</v>
      </c>
      <c r="M146" s="249">
        <v>35000</v>
      </c>
      <c r="N146" s="138">
        <f t="shared" si="96"/>
        <v>0</v>
      </c>
      <c r="O146" s="263">
        <f t="shared" si="97"/>
        <v>0</v>
      </c>
      <c r="P146" s="139"/>
      <c r="Q146" s="17"/>
      <c r="R146" s="16"/>
      <c r="S146" s="16"/>
      <c r="T146" s="140"/>
      <c r="U146" s="140"/>
    </row>
    <row r="147" spans="2:21" ht="24" customHeight="1">
      <c r="B147" s="214"/>
      <c r="C147" s="215" t="s">
        <v>443</v>
      </c>
      <c r="D147" s="204" t="s">
        <v>512</v>
      </c>
      <c r="E147" s="390"/>
      <c r="F147" s="216" t="s">
        <v>131</v>
      </c>
      <c r="G147" s="133"/>
      <c r="H147" s="142"/>
      <c r="I147" s="135"/>
      <c r="J147" s="373" t="str">
        <f>IFERROR(VLOOKUP(C147,[1]Sheet2!$A:$B,2,0),"")</f>
        <v/>
      </c>
      <c r="K147" s="250">
        <f>T147</f>
        <v>0</v>
      </c>
      <c r="L147" s="136">
        <f>K147*I147</f>
        <v>0</v>
      </c>
      <c r="M147" s="249"/>
      <c r="N147" s="138">
        <f>M147*I147</f>
        <v>0</v>
      </c>
      <c r="O147" s="263">
        <f>L147+N147</f>
        <v>0</v>
      </c>
      <c r="P147" s="139"/>
      <c r="Q147" s="17"/>
      <c r="R147" s="16"/>
      <c r="S147" s="16"/>
      <c r="T147" s="140">
        <v>0</v>
      </c>
      <c r="U147" s="140">
        <v>8500</v>
      </c>
    </row>
    <row r="148" spans="2:21" s="112" customFormat="1" ht="24.95" customHeight="1">
      <c r="B148" s="155"/>
      <c r="C148" s="156" t="s">
        <v>42</v>
      </c>
      <c r="D148" s="156" t="s">
        <v>502</v>
      </c>
      <c r="E148" s="391"/>
      <c r="F148" s="158"/>
      <c r="G148" s="158"/>
      <c r="H148" s="159"/>
      <c r="I148" s="165"/>
      <c r="J148" s="377" t="str">
        <f>IFERROR(VLOOKUP(C148,[1]Sheet2!$A:$B,2,0),"")</f>
        <v/>
      </c>
      <c r="K148" s="255"/>
      <c r="L148" s="160">
        <f>SUM(L137:L147)</f>
        <v>338600</v>
      </c>
      <c r="M148" s="255"/>
      <c r="N148" s="160">
        <f>SUM(N137:N147)</f>
        <v>1541000</v>
      </c>
      <c r="O148" s="262">
        <f>SUM(O137:O147)</f>
        <v>1879600</v>
      </c>
      <c r="P148" s="158"/>
      <c r="R148" s="115"/>
      <c r="T148" s="211"/>
      <c r="U148" s="211"/>
    </row>
    <row r="149" spans="2:21" ht="30" customHeight="1">
      <c r="B149" s="162">
        <v>7</v>
      </c>
      <c r="C149" s="163" t="s">
        <v>105</v>
      </c>
      <c r="D149" s="163" t="s">
        <v>508</v>
      </c>
      <c r="E149" s="392"/>
      <c r="F149" s="218"/>
      <c r="G149" s="219"/>
      <c r="H149" s="443" t="str">
        <f>IFERROR(VLOOKUP(C149,[1]Sheet2!$A:$B,2,0),"")</f>
        <v/>
      </c>
      <c r="I149" s="444"/>
      <c r="J149" s="444"/>
      <c r="K149" s="444"/>
      <c r="L149" s="444"/>
      <c r="M149" s="444"/>
      <c r="N149" s="444"/>
      <c r="O149" s="444"/>
      <c r="P149" s="445"/>
      <c r="T149" s="25"/>
      <c r="U149" s="25"/>
    </row>
    <row r="150" spans="2:21" ht="24" customHeight="1">
      <c r="B150" s="203"/>
      <c r="C150" s="204" t="s">
        <v>453</v>
      </c>
      <c r="D150" s="204" t="s">
        <v>557</v>
      </c>
      <c r="E150" s="385" t="s">
        <v>463</v>
      </c>
      <c r="F150" s="220" t="s">
        <v>61</v>
      </c>
      <c r="G150" s="206"/>
      <c r="H150" s="135" t="s">
        <v>35</v>
      </c>
      <c r="I150" s="135">
        <v>2</v>
      </c>
      <c r="J150" s="373">
        <f>IFERROR(VLOOKUP(C150,[1]Sheet2!$A:$B,2,0),"")</f>
        <v>180000</v>
      </c>
      <c r="K150" s="250">
        <f t="shared" ref="K150:K159" si="98">T150</f>
        <v>0</v>
      </c>
      <c r="L150" s="136">
        <f>K150*I150</f>
        <v>0</v>
      </c>
      <c r="M150" s="249">
        <f t="shared" ref="M150:M156" si="99">U150</f>
        <v>180000</v>
      </c>
      <c r="N150" s="138">
        <f t="shared" ref="N150:N154" si="100">M150*I150</f>
        <v>360000</v>
      </c>
      <c r="O150" s="263">
        <f t="shared" ref="O150:O154" si="101">L150+N150</f>
        <v>360000</v>
      </c>
      <c r="P150" s="152"/>
      <c r="R150" s="27"/>
      <c r="S150" s="38">
        <v>150000</v>
      </c>
      <c r="T150" s="140">
        <v>0</v>
      </c>
      <c r="U150" s="140">
        <v>180000</v>
      </c>
    </row>
    <row r="151" spans="2:21" ht="24" customHeight="1">
      <c r="B151" s="203"/>
      <c r="C151" s="204" t="s">
        <v>454</v>
      </c>
      <c r="D151" s="204" t="s">
        <v>558</v>
      </c>
      <c r="E151" s="385" t="s">
        <v>464</v>
      </c>
      <c r="F151" s="220" t="s">
        <v>126</v>
      </c>
      <c r="G151" s="206"/>
      <c r="H151" s="135" t="s">
        <v>35</v>
      </c>
      <c r="I151" s="135">
        <v>2</v>
      </c>
      <c r="J151" s="373">
        <f>IFERROR(VLOOKUP(C151,[1]Sheet2!$A:$B,2,0),"")</f>
        <v>120000</v>
      </c>
      <c r="K151" s="250">
        <f t="shared" si="98"/>
        <v>0</v>
      </c>
      <c r="L151" s="136">
        <f t="shared" ref="L151:L159" si="102">K151*I151</f>
        <v>0</v>
      </c>
      <c r="M151" s="249">
        <f t="shared" si="99"/>
        <v>120000</v>
      </c>
      <c r="N151" s="138">
        <f t="shared" si="100"/>
        <v>240000</v>
      </c>
      <c r="O151" s="263">
        <f t="shared" si="101"/>
        <v>240000</v>
      </c>
      <c r="P151" s="139"/>
      <c r="R151" s="13"/>
      <c r="S151" s="39">
        <v>100000</v>
      </c>
      <c r="T151" s="140">
        <v>0</v>
      </c>
      <c r="U151" s="140">
        <v>120000</v>
      </c>
    </row>
    <row r="152" spans="2:21" ht="24" customHeight="1">
      <c r="B152" s="203"/>
      <c r="C152" s="204" t="s">
        <v>455</v>
      </c>
      <c r="D152" s="204" t="s">
        <v>559</v>
      </c>
      <c r="E152" s="385" t="s">
        <v>465</v>
      </c>
      <c r="F152" s="220" t="s">
        <v>194</v>
      </c>
      <c r="G152" s="206"/>
      <c r="H152" s="135" t="s">
        <v>66</v>
      </c>
      <c r="I152" s="135"/>
      <c r="J152" s="373">
        <f>IFERROR(VLOOKUP(C152,[1]Sheet2!$A:$B,2,0),"")</f>
        <v>240000</v>
      </c>
      <c r="K152" s="250">
        <f t="shared" si="98"/>
        <v>0</v>
      </c>
      <c r="L152" s="136">
        <f t="shared" si="102"/>
        <v>0</v>
      </c>
      <c r="M152" s="249">
        <f t="shared" si="99"/>
        <v>240000</v>
      </c>
      <c r="N152" s="138">
        <f t="shared" si="100"/>
        <v>0</v>
      </c>
      <c r="O152" s="263">
        <f t="shared" si="101"/>
        <v>0</v>
      </c>
      <c r="P152" s="139"/>
      <c r="R152" s="13"/>
      <c r="S152" s="39">
        <v>200000</v>
      </c>
      <c r="T152" s="140">
        <v>0</v>
      </c>
      <c r="U152" s="140">
        <v>240000</v>
      </c>
    </row>
    <row r="153" spans="2:21" ht="24" customHeight="1">
      <c r="B153" s="203"/>
      <c r="C153" s="221" t="s">
        <v>456</v>
      </c>
      <c r="D153" s="221" t="s">
        <v>560</v>
      </c>
      <c r="E153" s="390" t="s">
        <v>466</v>
      </c>
      <c r="F153" s="222" t="s">
        <v>195</v>
      </c>
      <c r="G153" s="206"/>
      <c r="H153" s="135" t="s">
        <v>66</v>
      </c>
      <c r="I153" s="135"/>
      <c r="J153" s="373">
        <f>IFERROR(VLOOKUP(C153,[1]Sheet2!$A:$B,2,0),"")</f>
        <v>360000</v>
      </c>
      <c r="K153" s="250">
        <f t="shared" si="98"/>
        <v>0</v>
      </c>
      <c r="L153" s="136">
        <f t="shared" si="102"/>
        <v>0</v>
      </c>
      <c r="M153" s="249">
        <f t="shared" si="99"/>
        <v>360000</v>
      </c>
      <c r="N153" s="138">
        <f t="shared" si="100"/>
        <v>0</v>
      </c>
      <c r="O153" s="263">
        <f t="shared" si="101"/>
        <v>0</v>
      </c>
      <c r="P153" s="139"/>
      <c r="R153" s="13"/>
      <c r="S153" s="39">
        <v>300000</v>
      </c>
      <c r="T153" s="140">
        <v>0</v>
      </c>
      <c r="U153" s="140">
        <v>360000</v>
      </c>
    </row>
    <row r="154" spans="2:21" ht="24" customHeight="1">
      <c r="B154" s="208"/>
      <c r="C154" s="221" t="s">
        <v>457</v>
      </c>
      <c r="D154" s="221" t="s">
        <v>561</v>
      </c>
      <c r="E154" s="390" t="s">
        <v>467</v>
      </c>
      <c r="F154" s="222" t="s">
        <v>196</v>
      </c>
      <c r="G154" s="206"/>
      <c r="H154" s="135" t="s">
        <v>66</v>
      </c>
      <c r="I154" s="135">
        <v>2</v>
      </c>
      <c r="J154" s="373">
        <f>IFERROR(VLOOKUP(C154,[1]Sheet2!$A:$B,2,0),"")</f>
        <v>228000</v>
      </c>
      <c r="K154" s="250">
        <f t="shared" si="98"/>
        <v>0</v>
      </c>
      <c r="L154" s="136">
        <f t="shared" si="102"/>
        <v>0</v>
      </c>
      <c r="M154" s="249">
        <f t="shared" si="99"/>
        <v>228000</v>
      </c>
      <c r="N154" s="138">
        <f t="shared" si="100"/>
        <v>456000</v>
      </c>
      <c r="O154" s="263">
        <f t="shared" si="101"/>
        <v>456000</v>
      </c>
      <c r="P154" s="139"/>
      <c r="R154" s="13"/>
      <c r="S154" s="39">
        <v>200000</v>
      </c>
      <c r="T154" s="140">
        <v>0</v>
      </c>
      <c r="U154" s="140">
        <v>228000</v>
      </c>
    </row>
    <row r="155" spans="2:21" ht="24" customHeight="1">
      <c r="B155" s="208"/>
      <c r="C155" s="221" t="s">
        <v>458</v>
      </c>
      <c r="D155" s="221" t="s">
        <v>562</v>
      </c>
      <c r="E155" s="390" t="s">
        <v>468</v>
      </c>
      <c r="F155" s="222" t="s">
        <v>197</v>
      </c>
      <c r="G155" s="206"/>
      <c r="H155" s="135" t="s">
        <v>66</v>
      </c>
      <c r="I155" s="135"/>
      <c r="J155" s="373">
        <f>IFERROR(VLOOKUP(C155,[1]Sheet2!$A:$B,2,0),"")</f>
        <v>192000</v>
      </c>
      <c r="K155" s="250">
        <f t="shared" si="98"/>
        <v>0</v>
      </c>
      <c r="L155" s="136">
        <f t="shared" si="102"/>
        <v>0</v>
      </c>
      <c r="M155" s="249">
        <f t="shared" si="99"/>
        <v>192000</v>
      </c>
      <c r="N155" s="138">
        <f t="shared" ref="N155" si="103">M155*I155</f>
        <v>0</v>
      </c>
      <c r="O155" s="263">
        <f t="shared" ref="O155" si="104">L155+N155</f>
        <v>0</v>
      </c>
      <c r="P155" s="139"/>
      <c r="R155" s="13"/>
      <c r="S155" s="39">
        <v>200000</v>
      </c>
      <c r="T155" s="140">
        <v>0</v>
      </c>
      <c r="U155" s="140">
        <v>192000</v>
      </c>
    </row>
    <row r="156" spans="2:21" ht="24" customHeight="1">
      <c r="B156" s="203"/>
      <c r="C156" s="204" t="s">
        <v>459</v>
      </c>
      <c r="D156" s="204" t="s">
        <v>563</v>
      </c>
      <c r="E156" s="385" t="s">
        <v>469</v>
      </c>
      <c r="F156" s="223" t="s">
        <v>198</v>
      </c>
      <c r="G156" s="206"/>
      <c r="H156" s="142" t="s">
        <v>37</v>
      </c>
      <c r="I156" s="135"/>
      <c r="J156" s="373" t="str">
        <f>IFERROR(VLOOKUP(C156,[1]Sheet2!$A:$B,2,0),"")</f>
        <v/>
      </c>
      <c r="K156" s="250">
        <f t="shared" si="98"/>
        <v>0</v>
      </c>
      <c r="L156" s="136">
        <f t="shared" si="102"/>
        <v>0</v>
      </c>
      <c r="M156" s="249">
        <f t="shared" si="99"/>
        <v>30000</v>
      </c>
      <c r="N156" s="138">
        <f t="shared" ref="N156" si="105">M156*I156</f>
        <v>0</v>
      </c>
      <c r="O156" s="263">
        <f t="shared" ref="O156" si="106">L156+N156</f>
        <v>0</v>
      </c>
      <c r="P156" s="139"/>
      <c r="R156" s="14"/>
      <c r="S156" s="40">
        <v>25000</v>
      </c>
      <c r="T156" s="140">
        <v>0</v>
      </c>
      <c r="U156" s="140">
        <v>30000</v>
      </c>
    </row>
    <row r="157" spans="2:21" ht="24" customHeight="1">
      <c r="B157" s="203"/>
      <c r="C157" s="204" t="s">
        <v>460</v>
      </c>
      <c r="D157" s="204" t="s">
        <v>564</v>
      </c>
      <c r="E157" s="385" t="s">
        <v>470</v>
      </c>
      <c r="F157" s="223" t="s">
        <v>199</v>
      </c>
      <c r="G157" s="206"/>
      <c r="H157" s="142" t="s">
        <v>37</v>
      </c>
      <c r="I157" s="135"/>
      <c r="J157" s="373">
        <f>IFERROR(VLOOKUP(C157,[1]Sheet2!$A:$B,2,0),"")</f>
        <v>36000</v>
      </c>
      <c r="K157" s="250">
        <f t="shared" si="98"/>
        <v>0</v>
      </c>
      <c r="L157" s="136">
        <f t="shared" ref="L157:L158" si="107">K157*I157</f>
        <v>0</v>
      </c>
      <c r="M157" s="249">
        <v>36000</v>
      </c>
      <c r="N157" s="138">
        <f t="shared" ref="N157:N159" si="108">M157*I157</f>
        <v>0</v>
      </c>
      <c r="O157" s="263">
        <f t="shared" ref="O157:O159" si="109">L157+N157</f>
        <v>0</v>
      </c>
      <c r="P157" s="139"/>
      <c r="R157" s="14"/>
      <c r="S157" s="40"/>
      <c r="T157" s="140"/>
      <c r="U157" s="140"/>
    </row>
    <row r="158" spans="2:21" ht="24" customHeight="1">
      <c r="B158" s="203"/>
      <c r="C158" s="204" t="s">
        <v>461</v>
      </c>
      <c r="D158" s="204" t="s">
        <v>565</v>
      </c>
      <c r="E158" s="385" t="s">
        <v>471</v>
      </c>
      <c r="F158" s="223" t="s">
        <v>200</v>
      </c>
      <c r="G158" s="206"/>
      <c r="H158" s="142" t="s">
        <v>37</v>
      </c>
      <c r="I158" s="135"/>
      <c r="J158" s="373">
        <f>IFERROR(VLOOKUP(C158,[1]Sheet2!$A:$B,2,0),"")</f>
        <v>26000</v>
      </c>
      <c r="K158" s="250">
        <f t="shared" si="98"/>
        <v>0</v>
      </c>
      <c r="L158" s="136">
        <f t="shared" si="107"/>
        <v>0</v>
      </c>
      <c r="M158" s="249">
        <v>26000</v>
      </c>
      <c r="N158" s="138">
        <f t="shared" si="108"/>
        <v>0</v>
      </c>
      <c r="O158" s="263">
        <f t="shared" si="109"/>
        <v>0</v>
      </c>
      <c r="P158" s="139"/>
      <c r="R158" s="14"/>
      <c r="S158" s="40"/>
      <c r="T158" s="140"/>
      <c r="U158" s="140"/>
    </row>
    <row r="159" spans="2:21" ht="24" customHeight="1">
      <c r="B159" s="203"/>
      <c r="C159" s="204" t="s">
        <v>462</v>
      </c>
      <c r="D159" s="204" t="s">
        <v>512</v>
      </c>
      <c r="E159" s="385" t="s">
        <v>472</v>
      </c>
      <c r="F159" s="359"/>
      <c r="G159" s="206"/>
      <c r="H159" s="142" t="s">
        <v>35</v>
      </c>
      <c r="I159" s="135"/>
      <c r="J159" s="373" t="str">
        <f>IFERROR(VLOOKUP(C159,[1]Sheet2!$A:$B,2,0),"")</f>
        <v/>
      </c>
      <c r="K159" s="250">
        <f t="shared" si="98"/>
        <v>0</v>
      </c>
      <c r="L159" s="136">
        <f t="shared" si="102"/>
        <v>0</v>
      </c>
      <c r="M159" s="249"/>
      <c r="N159" s="138">
        <f t="shared" si="108"/>
        <v>0</v>
      </c>
      <c r="O159" s="263">
        <f t="shared" si="109"/>
        <v>0</v>
      </c>
      <c r="P159" s="139"/>
      <c r="R159" s="14"/>
      <c r="S159" s="40">
        <v>25000</v>
      </c>
      <c r="T159" s="140">
        <v>0</v>
      </c>
      <c r="U159" s="140" t="s">
        <v>110</v>
      </c>
    </row>
    <row r="160" spans="2:21" s="112" customFormat="1" ht="24.95" customHeight="1">
      <c r="B160" s="155"/>
      <c r="C160" s="156" t="s">
        <v>42</v>
      </c>
      <c r="D160" s="156" t="s">
        <v>502</v>
      </c>
      <c r="E160" s="391"/>
      <c r="F160" s="158"/>
      <c r="G160" s="158"/>
      <c r="H160" s="159"/>
      <c r="I160" s="165"/>
      <c r="J160" s="377" t="str">
        <f>IFERROR(VLOOKUP(C160,[1]Sheet2!$A:$B,2,0),"")</f>
        <v/>
      </c>
      <c r="K160" s="255"/>
      <c r="L160" s="160">
        <f>SUM(L150:L159)</f>
        <v>0</v>
      </c>
      <c r="M160" s="255"/>
      <c r="N160" s="160">
        <f>SUM(N150:N159)</f>
        <v>1056000</v>
      </c>
      <c r="O160" s="262">
        <f>SUM(O150:O159)</f>
        <v>1056000</v>
      </c>
      <c r="P160" s="158"/>
      <c r="T160" s="211"/>
      <c r="U160" s="211"/>
    </row>
    <row r="161" spans="2:21" ht="30" customHeight="1">
      <c r="B161" s="162">
        <v>8</v>
      </c>
      <c r="C161" s="163" t="s">
        <v>107</v>
      </c>
      <c r="D161" s="163" t="s">
        <v>509</v>
      </c>
      <c r="E161" s="392"/>
      <c r="F161" s="219"/>
      <c r="G161" s="219"/>
      <c r="H161" s="443" t="str">
        <f>IFERROR(VLOOKUP(C161,[1]Sheet2!$A:$B,2,0),"")</f>
        <v/>
      </c>
      <c r="I161" s="444"/>
      <c r="J161" s="444"/>
      <c r="K161" s="444"/>
      <c r="L161" s="444"/>
      <c r="M161" s="444"/>
      <c r="N161" s="444"/>
      <c r="O161" s="444"/>
      <c r="P161" s="445"/>
      <c r="R161" s="10"/>
      <c r="T161" s="25"/>
      <c r="U161" s="25"/>
    </row>
    <row r="162" spans="2:21" ht="24" customHeight="1" thickBot="1">
      <c r="B162" s="164"/>
      <c r="C162" s="224" t="s">
        <v>475</v>
      </c>
      <c r="D162" s="224" t="s">
        <v>555</v>
      </c>
      <c r="E162" s="384" t="s">
        <v>478</v>
      </c>
      <c r="F162" s="220" t="s">
        <v>243</v>
      </c>
      <c r="G162" s="198"/>
      <c r="H162" s="135" t="s">
        <v>37</v>
      </c>
      <c r="I162" s="135">
        <v>297</v>
      </c>
      <c r="J162" s="373">
        <f>IFERROR(VLOOKUP(C162,[1]Sheet2!$A:$B,2,0),"")</f>
        <v>5616</v>
      </c>
      <c r="K162" s="256">
        <v>1008</v>
      </c>
      <c r="L162" s="199">
        <f t="shared" ref="L162" si="110">K162*I162</f>
        <v>299376</v>
      </c>
      <c r="M162" s="256">
        <f>U162</f>
        <v>4608</v>
      </c>
      <c r="N162" s="199">
        <f t="shared" ref="N162" si="111">M162*I162</f>
        <v>1368576</v>
      </c>
      <c r="O162" s="265">
        <f t="shared" ref="O162" si="112">L162+N162</f>
        <v>1667952</v>
      </c>
      <c r="P162" s="152"/>
      <c r="R162" s="29">
        <v>840</v>
      </c>
      <c r="S162" s="37">
        <v>3840</v>
      </c>
      <c r="T162" s="140">
        <v>1008</v>
      </c>
      <c r="U162" s="140">
        <v>4608</v>
      </c>
    </row>
    <row r="163" spans="2:21" ht="24" customHeight="1">
      <c r="B163" s="164"/>
      <c r="C163" s="224" t="s">
        <v>476</v>
      </c>
      <c r="D163" s="224" t="s">
        <v>556</v>
      </c>
      <c r="E163" s="384" t="s">
        <v>479</v>
      </c>
      <c r="F163" s="220" t="s">
        <v>207</v>
      </c>
      <c r="G163" s="198"/>
      <c r="H163" s="135" t="s">
        <v>66</v>
      </c>
      <c r="I163" s="135">
        <v>1</v>
      </c>
      <c r="J163" s="373">
        <f>IFERROR(VLOOKUP(C163,[1]Sheet2!$A:$B,2,0),"")</f>
        <v>220000</v>
      </c>
      <c r="K163" s="256">
        <v>20000</v>
      </c>
      <c r="L163" s="199">
        <f t="shared" ref="L163:L164" si="113">K163*I163</f>
        <v>20000</v>
      </c>
      <c r="M163" s="256">
        <v>200000</v>
      </c>
      <c r="N163" s="199">
        <f t="shared" ref="N163:N164" si="114">M163*I163</f>
        <v>200000</v>
      </c>
      <c r="O163" s="265">
        <f t="shared" ref="O163:O164" si="115">L163+N163</f>
        <v>220000</v>
      </c>
      <c r="P163" s="152"/>
      <c r="R163" s="16"/>
      <c r="S163" s="16"/>
      <c r="T163" s="140"/>
      <c r="U163" s="140"/>
    </row>
    <row r="164" spans="2:21" ht="24" customHeight="1">
      <c r="B164" s="203"/>
      <c r="C164" s="204" t="s">
        <v>477</v>
      </c>
      <c r="D164" s="204" t="s">
        <v>512</v>
      </c>
      <c r="E164" s="385"/>
      <c r="F164" s="220"/>
      <c r="G164" s="206"/>
      <c r="H164" s="142"/>
      <c r="I164" s="135"/>
      <c r="J164" s="373" t="str">
        <f>IFERROR(VLOOKUP(C164,[1]Sheet2!$A:$B,2,0),"")</f>
        <v/>
      </c>
      <c r="K164" s="256">
        <v>0</v>
      </c>
      <c r="L164" s="199">
        <f t="shared" si="113"/>
        <v>0</v>
      </c>
      <c r="M164" s="256" t="str">
        <f>U164</f>
        <v>-</v>
      </c>
      <c r="N164" s="199">
        <f t="shared" si="114"/>
        <v>0</v>
      </c>
      <c r="O164" s="265">
        <f t="shared" si="115"/>
        <v>0</v>
      </c>
      <c r="P164" s="152"/>
      <c r="R164" s="10"/>
      <c r="T164" s="140" t="s">
        <v>127</v>
      </c>
      <c r="U164" s="140" t="s">
        <v>127</v>
      </c>
    </row>
    <row r="165" spans="2:21" s="112" customFormat="1" ht="24.95" customHeight="1">
      <c r="B165" s="155"/>
      <c r="C165" s="156" t="s">
        <v>42</v>
      </c>
      <c r="D165" s="156" t="s">
        <v>502</v>
      </c>
      <c r="E165" s="391"/>
      <c r="F165" s="158"/>
      <c r="G165" s="158"/>
      <c r="H165" s="159"/>
      <c r="I165" s="165"/>
      <c r="J165" s="374" t="str">
        <f>IFERROR(VLOOKUP(C165,[1]Sheet2!$A:$B,2,0),"")</f>
        <v/>
      </c>
      <c r="K165" s="251"/>
      <c r="L165" s="160">
        <f>SUM(L162:L164)</f>
        <v>319376</v>
      </c>
      <c r="M165" s="251"/>
      <c r="N165" s="160">
        <f>SUM(N162:N164)</f>
        <v>1568576</v>
      </c>
      <c r="O165" s="262">
        <f>SUM(O162:O164)</f>
        <v>1887952</v>
      </c>
      <c r="P165" s="158"/>
      <c r="T165" s="211"/>
      <c r="U165" s="211"/>
    </row>
    <row r="166" spans="2:21" ht="30" customHeight="1">
      <c r="B166" s="162">
        <v>9</v>
      </c>
      <c r="C166" s="163" t="s">
        <v>108</v>
      </c>
      <c r="D166" s="163" t="s">
        <v>510</v>
      </c>
      <c r="E166" s="392"/>
      <c r="F166" s="219"/>
      <c r="G166" s="219"/>
      <c r="H166" s="443" t="str">
        <f>IFERROR(VLOOKUP(C166,[1]Sheet2!$A:$B,2,0),"")</f>
        <v/>
      </c>
      <c r="I166" s="444"/>
      <c r="J166" s="444"/>
      <c r="K166" s="444"/>
      <c r="L166" s="444"/>
      <c r="M166" s="444"/>
      <c r="N166" s="444"/>
      <c r="O166" s="444"/>
      <c r="P166" s="445"/>
      <c r="R166" s="10"/>
      <c r="T166" s="25"/>
      <c r="U166" s="25"/>
    </row>
    <row r="167" spans="2:21" ht="24" customHeight="1">
      <c r="B167" s="203"/>
      <c r="C167" s="204" t="s">
        <v>480</v>
      </c>
      <c r="D167" s="204" t="s">
        <v>549</v>
      </c>
      <c r="E167" s="385" t="s">
        <v>487</v>
      </c>
      <c r="F167" s="223" t="s">
        <v>201</v>
      </c>
      <c r="G167" s="206"/>
      <c r="H167" s="142" t="s">
        <v>66</v>
      </c>
      <c r="I167" s="135"/>
      <c r="J167" s="373">
        <f>IFERROR(VLOOKUP(C167,[1]Sheet2!$A:$B,2,0),"")</f>
        <v>300000</v>
      </c>
      <c r="K167" s="250">
        <v>30000</v>
      </c>
      <c r="L167" s="136">
        <f t="shared" ref="L167:L173" si="116">K167*I167</f>
        <v>0</v>
      </c>
      <c r="M167" s="249">
        <v>270000</v>
      </c>
      <c r="N167" s="138">
        <f t="shared" ref="N167:N173" si="117">M167*I167</f>
        <v>0</v>
      </c>
      <c r="O167" s="263" t="b">
        <f>IF(I167=1,300000,IF(I167=2,400000,IF(I167&gt;2,L167+N167)))</f>
        <v>0</v>
      </c>
      <c r="P167" s="152"/>
      <c r="R167" s="19">
        <v>25000</v>
      </c>
      <c r="S167" s="35">
        <v>105000</v>
      </c>
      <c r="T167" s="140">
        <v>30000</v>
      </c>
      <c r="U167" s="140">
        <v>126000</v>
      </c>
    </row>
    <row r="168" spans="2:21" ht="24" customHeight="1">
      <c r="B168" s="203"/>
      <c r="C168" s="204" t="s">
        <v>481</v>
      </c>
      <c r="D168" s="204" t="s">
        <v>550</v>
      </c>
      <c r="E168" s="385" t="s">
        <v>488</v>
      </c>
      <c r="F168" s="223" t="s">
        <v>202</v>
      </c>
      <c r="G168" s="206"/>
      <c r="H168" s="142" t="s">
        <v>66</v>
      </c>
      <c r="I168" s="135"/>
      <c r="J168" s="373">
        <f>IFERROR(VLOOKUP(C168,[1]Sheet2!$A:$B,2,0),"")</f>
        <v>200000</v>
      </c>
      <c r="K168" s="250">
        <v>30000</v>
      </c>
      <c r="L168" s="136">
        <f t="shared" si="116"/>
        <v>0</v>
      </c>
      <c r="M168" s="249">
        <v>170000</v>
      </c>
      <c r="N168" s="138">
        <f t="shared" si="117"/>
        <v>0</v>
      </c>
      <c r="O168" s="263" t="b">
        <f>IF(I168=1,300000,IF(I168=2,400000,IF(I168&gt;2,L168+N168)))</f>
        <v>0</v>
      </c>
      <c r="P168" s="139"/>
      <c r="R168" s="122"/>
      <c r="S168" s="118"/>
      <c r="T168" s="140"/>
      <c r="U168" s="140"/>
    </row>
    <row r="169" spans="2:21" ht="24" customHeight="1">
      <c r="B169" s="203"/>
      <c r="C169" s="204" t="s">
        <v>482</v>
      </c>
      <c r="D169" s="204" t="s">
        <v>551</v>
      </c>
      <c r="E169" s="385" t="s">
        <v>489</v>
      </c>
      <c r="F169" s="223" t="s">
        <v>204</v>
      </c>
      <c r="G169" s="206"/>
      <c r="H169" s="142" t="s">
        <v>66</v>
      </c>
      <c r="I169" s="135"/>
      <c r="J169" s="373">
        <f>IFERROR(VLOOKUP(C169,[1]Sheet2!$A:$B,2,0),"")</f>
        <v>156000</v>
      </c>
      <c r="K169" s="250">
        <v>30000</v>
      </c>
      <c r="L169" s="136">
        <f t="shared" si="116"/>
        <v>0</v>
      </c>
      <c r="M169" s="249">
        <v>126000</v>
      </c>
      <c r="N169" s="138">
        <f t="shared" si="117"/>
        <v>0</v>
      </c>
      <c r="O169" s="263" t="b">
        <f>IF(I169=1,300000,IF(I169=2,400000,IF(I169&gt;2,L169+N169)))</f>
        <v>0</v>
      </c>
      <c r="P169" s="139"/>
      <c r="R169" s="122"/>
      <c r="S169" s="118"/>
      <c r="T169" s="140"/>
      <c r="U169" s="140"/>
    </row>
    <row r="170" spans="2:21" ht="24" customHeight="1">
      <c r="B170" s="203"/>
      <c r="C170" s="204" t="s">
        <v>483</v>
      </c>
      <c r="D170" s="204" t="s">
        <v>552</v>
      </c>
      <c r="E170" s="385" t="s">
        <v>638</v>
      </c>
      <c r="F170" s="223" t="s">
        <v>203</v>
      </c>
      <c r="G170" s="206"/>
      <c r="H170" s="142" t="s">
        <v>66</v>
      </c>
      <c r="I170" s="135"/>
      <c r="J170" s="373">
        <f>IFERROR(VLOOKUP(C170,[1]Sheet2!$A:$B,2,0),"")</f>
        <v>300000</v>
      </c>
      <c r="K170" s="250">
        <v>48000</v>
      </c>
      <c r="L170" s="136">
        <f t="shared" si="116"/>
        <v>0</v>
      </c>
      <c r="M170" s="249">
        <v>252000</v>
      </c>
      <c r="N170" s="138">
        <f t="shared" si="117"/>
        <v>0</v>
      </c>
      <c r="O170" s="263" t="b">
        <f>IF(I170=1,300000,IF(I170=2,400000,IF(I170&gt;2,L170+N170)))</f>
        <v>0</v>
      </c>
      <c r="P170" s="139"/>
      <c r="R170" s="122"/>
      <c r="S170" s="118"/>
      <c r="T170" s="140"/>
      <c r="U170" s="140"/>
    </row>
    <row r="171" spans="2:21" ht="24" customHeight="1">
      <c r="B171" s="203"/>
      <c r="C171" s="204" t="s">
        <v>484</v>
      </c>
      <c r="D171" s="204" t="s">
        <v>553</v>
      </c>
      <c r="E171" s="385" t="s">
        <v>639</v>
      </c>
      <c r="F171" s="223" t="s">
        <v>206</v>
      </c>
      <c r="G171" s="206"/>
      <c r="H171" s="142" t="s">
        <v>66</v>
      </c>
      <c r="I171" s="135"/>
      <c r="J171" s="373">
        <f>IFERROR(VLOOKUP(C171,[1]Sheet2!$A:$B,2,0),"")</f>
        <v>200000</v>
      </c>
      <c r="K171" s="250">
        <v>48000</v>
      </c>
      <c r="L171" s="136">
        <f t="shared" si="116"/>
        <v>0</v>
      </c>
      <c r="M171" s="249">
        <v>152000</v>
      </c>
      <c r="N171" s="138">
        <f t="shared" si="117"/>
        <v>0</v>
      </c>
      <c r="O171" s="263" t="b">
        <f>IF(I171=1,300000,IF(I171=2,400000,IF(I171&gt;2,L171+N171)))</f>
        <v>0</v>
      </c>
      <c r="P171" s="139"/>
      <c r="R171" s="122"/>
      <c r="S171" s="118"/>
      <c r="T171" s="140"/>
      <c r="U171" s="140"/>
    </row>
    <row r="172" spans="2:21" ht="24" customHeight="1" thickBot="1">
      <c r="B172" s="208"/>
      <c r="C172" s="221" t="s">
        <v>485</v>
      </c>
      <c r="D172" s="221" t="s">
        <v>554</v>
      </c>
      <c r="E172" s="390" t="s">
        <v>640</v>
      </c>
      <c r="F172" s="229" t="s">
        <v>205</v>
      </c>
      <c r="G172" s="206"/>
      <c r="H172" s="142" t="s">
        <v>66</v>
      </c>
      <c r="I172" s="135">
        <v>5</v>
      </c>
      <c r="J172" s="373">
        <f>IFERROR(VLOOKUP(C172,[1]Sheet2!$A:$B,2,0),"")</f>
        <v>198000</v>
      </c>
      <c r="K172" s="250">
        <v>48000</v>
      </c>
      <c r="L172" s="136">
        <f t="shared" si="116"/>
        <v>240000</v>
      </c>
      <c r="M172" s="249">
        <v>150000</v>
      </c>
      <c r="N172" s="138">
        <f t="shared" si="117"/>
        <v>750000</v>
      </c>
      <c r="O172" s="263">
        <f>SUM(L172,N172)</f>
        <v>990000</v>
      </c>
      <c r="P172" s="139"/>
      <c r="R172" s="28">
        <v>80000</v>
      </c>
      <c r="S172" s="36">
        <v>220000</v>
      </c>
      <c r="T172" s="140">
        <v>48000</v>
      </c>
      <c r="U172" s="140">
        <v>150000</v>
      </c>
    </row>
    <row r="173" spans="2:21" ht="24" customHeight="1" thickBot="1">
      <c r="B173" s="203"/>
      <c r="C173" s="204" t="s">
        <v>486</v>
      </c>
      <c r="D173" s="204" t="s">
        <v>512</v>
      </c>
      <c r="E173" s="385"/>
      <c r="F173" s="223"/>
      <c r="G173" s="206"/>
      <c r="H173" s="142"/>
      <c r="I173" s="135"/>
      <c r="J173" s="373" t="str">
        <f>IFERROR(VLOOKUP(C173,[1]Sheet2!$A:$B,2,0),"")</f>
        <v/>
      </c>
      <c r="K173" s="250">
        <f>T173</f>
        <v>0</v>
      </c>
      <c r="L173" s="136">
        <f t="shared" si="116"/>
        <v>0</v>
      </c>
      <c r="M173" s="249">
        <f>U173</f>
        <v>0</v>
      </c>
      <c r="N173" s="138">
        <f t="shared" si="117"/>
        <v>0</v>
      </c>
      <c r="O173" s="263">
        <f>SUM(L173,N173)</f>
        <v>0</v>
      </c>
      <c r="P173" s="139"/>
      <c r="R173" s="28">
        <v>80000</v>
      </c>
      <c r="S173" s="36">
        <v>220000</v>
      </c>
      <c r="T173" s="140"/>
      <c r="U173" s="140"/>
    </row>
    <row r="174" spans="2:21" s="112" customFormat="1" ht="24" customHeight="1">
      <c r="B174" s="155"/>
      <c r="C174" s="156" t="s">
        <v>63</v>
      </c>
      <c r="D174" s="156" t="s">
        <v>502</v>
      </c>
      <c r="E174" s="391"/>
      <c r="F174" s="158"/>
      <c r="G174" s="158"/>
      <c r="H174" s="159"/>
      <c r="I174" s="165"/>
      <c r="J174" s="374" t="str">
        <f>IFERROR(VLOOKUP(C174,[1]Sheet2!$A:$B,2,0),"")</f>
        <v/>
      </c>
      <c r="K174" s="251"/>
      <c r="L174" s="160">
        <f>SUM(L167:L173)</f>
        <v>240000</v>
      </c>
      <c r="M174" s="251"/>
      <c r="N174" s="160">
        <f>SUM(N167:N173)</f>
        <v>750000</v>
      </c>
      <c r="O174" s="262">
        <f>SUM(O167:O173)</f>
        <v>990000</v>
      </c>
      <c r="P174" s="158"/>
      <c r="T174" s="211"/>
      <c r="U174" s="211"/>
    </row>
    <row r="175" spans="2:21" ht="30" customHeight="1">
      <c r="B175" s="162">
        <v>8</v>
      </c>
      <c r="C175" s="163" t="s">
        <v>106</v>
      </c>
      <c r="D175" s="163" t="s">
        <v>511</v>
      </c>
      <c r="E175" s="392"/>
      <c r="F175" s="219"/>
      <c r="G175" s="219"/>
      <c r="H175" s="443" t="str">
        <f>IFERROR(VLOOKUP(C175,[1]Sheet2!$A:$B,2,0),"")</f>
        <v/>
      </c>
      <c r="I175" s="444"/>
      <c r="J175" s="444"/>
      <c r="K175" s="444"/>
      <c r="L175" s="444"/>
      <c r="M175" s="444"/>
      <c r="N175" s="444"/>
      <c r="O175" s="444"/>
      <c r="P175" s="445"/>
      <c r="T175" s="25"/>
      <c r="U175" s="25"/>
    </row>
    <row r="176" spans="2:21" ht="24" customHeight="1" thickBot="1">
      <c r="B176" s="164"/>
      <c r="C176" s="224" t="s">
        <v>490</v>
      </c>
      <c r="D176" s="224" t="s">
        <v>548</v>
      </c>
      <c r="E176" s="384" t="s">
        <v>491</v>
      </c>
      <c r="F176" s="225" t="s">
        <v>115</v>
      </c>
      <c r="G176" s="198"/>
      <c r="H176" s="154" t="s">
        <v>35</v>
      </c>
      <c r="I176" s="135">
        <v>1</v>
      </c>
      <c r="J176" s="373">
        <f>IFERROR(VLOOKUP(C176,[1]Sheet2!$A:$B,2,0),"")</f>
        <v>150000</v>
      </c>
      <c r="K176" s="256">
        <v>0</v>
      </c>
      <c r="L176" s="199">
        <f>K176*I176</f>
        <v>0</v>
      </c>
      <c r="M176" s="256">
        <v>150000</v>
      </c>
      <c r="N176" s="199">
        <f>M176*I176</f>
        <v>150000</v>
      </c>
      <c r="O176" s="265">
        <f>L176+N176</f>
        <v>150000</v>
      </c>
      <c r="P176" s="152"/>
      <c r="R176" s="29">
        <v>0</v>
      </c>
      <c r="S176" s="37">
        <v>125000</v>
      </c>
      <c r="T176" s="140">
        <v>0</v>
      </c>
      <c r="U176" s="140">
        <v>136000</v>
      </c>
    </row>
    <row r="177" spans="2:21" ht="24" customHeight="1">
      <c r="B177" s="164"/>
      <c r="C177" s="224" t="s">
        <v>643</v>
      </c>
      <c r="D177" s="224" t="s">
        <v>734</v>
      </c>
      <c r="E177" s="384" t="s">
        <v>644</v>
      </c>
      <c r="F177" s="225"/>
      <c r="G177" s="198"/>
      <c r="H177" s="154" t="s">
        <v>35</v>
      </c>
      <c r="I177" s="135"/>
      <c r="J177" s="373">
        <f>IFERROR(VLOOKUP(C177,[1]Sheet2!$A:$B,2,0),"")</f>
        <v>150000</v>
      </c>
      <c r="K177" s="256">
        <v>0</v>
      </c>
      <c r="L177" s="199">
        <f t="shared" ref="L177:L193" si="118">K177*I177</f>
        <v>0</v>
      </c>
      <c r="M177" s="256">
        <v>150000</v>
      </c>
      <c r="N177" s="199">
        <f t="shared" ref="N177:N193" si="119">M177*I177</f>
        <v>0</v>
      </c>
      <c r="O177" s="265">
        <f t="shared" ref="O177:O193" si="120">L177+N177</f>
        <v>0</v>
      </c>
      <c r="P177" s="152"/>
      <c r="R177" s="16"/>
      <c r="S177" s="16"/>
      <c r="T177" s="140"/>
      <c r="U177" s="140"/>
    </row>
    <row r="178" spans="2:21" ht="24" customHeight="1">
      <c r="B178" s="164"/>
      <c r="C178" s="224" t="s">
        <v>645</v>
      </c>
      <c r="D178" s="224" t="s">
        <v>735</v>
      </c>
      <c r="E178" s="384" t="s">
        <v>646</v>
      </c>
      <c r="F178" s="225"/>
      <c r="G178" s="198"/>
      <c r="H178" s="154" t="s">
        <v>35</v>
      </c>
      <c r="I178" s="135"/>
      <c r="J178" s="373">
        <f>IFERROR(VLOOKUP(C178,[1]Sheet2!$A:$B,2,0),"")</f>
        <v>110000</v>
      </c>
      <c r="K178" s="256">
        <v>0</v>
      </c>
      <c r="L178" s="199">
        <f t="shared" si="118"/>
        <v>0</v>
      </c>
      <c r="M178" s="256">
        <v>110000</v>
      </c>
      <c r="N178" s="199">
        <f t="shared" si="119"/>
        <v>0</v>
      </c>
      <c r="O178" s="265">
        <f t="shared" si="120"/>
        <v>0</v>
      </c>
      <c r="P178" s="152"/>
      <c r="R178" s="16"/>
      <c r="S178" s="16"/>
      <c r="T178" s="140"/>
      <c r="U178" s="140"/>
    </row>
    <row r="179" spans="2:21" ht="24" customHeight="1">
      <c r="B179" s="164"/>
      <c r="C179" s="224" t="s">
        <v>647</v>
      </c>
      <c r="D179" s="224" t="s">
        <v>736</v>
      </c>
      <c r="E179" s="384" t="s">
        <v>648</v>
      </c>
      <c r="F179" s="225"/>
      <c r="G179" s="198"/>
      <c r="H179" s="154" t="s">
        <v>35</v>
      </c>
      <c r="I179" s="135">
        <v>5</v>
      </c>
      <c r="J179" s="373">
        <f>IFERROR(VLOOKUP(C179,[1]Sheet2!$A:$B,2,0),"")</f>
        <v>160000</v>
      </c>
      <c r="K179" s="256">
        <v>0</v>
      </c>
      <c r="L179" s="199">
        <f t="shared" si="118"/>
        <v>0</v>
      </c>
      <c r="M179" s="256">
        <v>160000</v>
      </c>
      <c r="N179" s="199">
        <f t="shared" si="119"/>
        <v>800000</v>
      </c>
      <c r="O179" s="265">
        <f t="shared" si="120"/>
        <v>800000</v>
      </c>
      <c r="P179" s="152"/>
      <c r="R179" s="16"/>
      <c r="S179" s="16"/>
      <c r="T179" s="140"/>
      <c r="U179" s="140"/>
    </row>
    <row r="180" spans="2:21" ht="24" customHeight="1">
      <c r="B180" s="164"/>
      <c r="C180" s="224" t="s">
        <v>649</v>
      </c>
      <c r="D180" s="224" t="s">
        <v>737</v>
      </c>
      <c r="E180" s="384" t="s">
        <v>650</v>
      </c>
      <c r="F180" s="225"/>
      <c r="G180" s="198"/>
      <c r="H180" s="154" t="s">
        <v>35</v>
      </c>
      <c r="I180" s="135"/>
      <c r="J180" s="373">
        <f>IFERROR(VLOOKUP(C180,[1]Sheet2!$A:$B,2,0),"")</f>
        <v>60000</v>
      </c>
      <c r="K180" s="256">
        <v>0</v>
      </c>
      <c r="L180" s="199">
        <f t="shared" si="118"/>
        <v>0</v>
      </c>
      <c r="M180" s="256">
        <v>60000</v>
      </c>
      <c r="N180" s="199">
        <f t="shared" si="119"/>
        <v>0</v>
      </c>
      <c r="O180" s="265">
        <f t="shared" si="120"/>
        <v>0</v>
      </c>
      <c r="P180" s="152"/>
      <c r="R180" s="16"/>
      <c r="S180" s="16"/>
      <c r="T180" s="140"/>
      <c r="U180" s="140"/>
    </row>
    <row r="181" spans="2:21" ht="24" customHeight="1">
      <c r="B181" s="164"/>
      <c r="C181" s="224" t="s">
        <v>651</v>
      </c>
      <c r="D181" s="224" t="s">
        <v>738</v>
      </c>
      <c r="E181" s="384" t="s">
        <v>652</v>
      </c>
      <c r="F181" s="225"/>
      <c r="G181" s="198"/>
      <c r="H181" s="154" t="s">
        <v>35</v>
      </c>
      <c r="I181" s="135">
        <v>1</v>
      </c>
      <c r="J181" s="373">
        <f>IFERROR(VLOOKUP(C181,[1]Sheet2!$A:$B,2,0),"")</f>
        <v>80000</v>
      </c>
      <c r="K181" s="256">
        <v>0</v>
      </c>
      <c r="L181" s="199">
        <f t="shared" si="118"/>
        <v>0</v>
      </c>
      <c r="M181" s="256">
        <v>80000</v>
      </c>
      <c r="N181" s="199">
        <f t="shared" si="119"/>
        <v>80000</v>
      </c>
      <c r="O181" s="265">
        <f t="shared" si="120"/>
        <v>80000</v>
      </c>
      <c r="P181" s="152"/>
      <c r="R181" s="16"/>
      <c r="S181" s="16"/>
      <c r="T181" s="140"/>
      <c r="U181" s="140"/>
    </row>
    <row r="182" spans="2:21" ht="24" customHeight="1">
      <c r="B182" s="164"/>
      <c r="C182" s="224" t="s">
        <v>653</v>
      </c>
      <c r="D182" s="224" t="s">
        <v>739</v>
      </c>
      <c r="E182" s="384" t="s">
        <v>654</v>
      </c>
      <c r="F182" s="225"/>
      <c r="G182" s="198"/>
      <c r="H182" s="154" t="s">
        <v>35</v>
      </c>
      <c r="I182" s="135"/>
      <c r="J182" s="373">
        <f>IFERROR(VLOOKUP(C182,[1]Sheet2!$A:$B,2,0),"")</f>
        <v>60000</v>
      </c>
      <c r="K182" s="256">
        <v>0</v>
      </c>
      <c r="L182" s="199">
        <f t="shared" si="118"/>
        <v>0</v>
      </c>
      <c r="M182" s="256">
        <v>60000</v>
      </c>
      <c r="N182" s="199">
        <f t="shared" si="119"/>
        <v>0</v>
      </c>
      <c r="O182" s="265">
        <f t="shared" si="120"/>
        <v>0</v>
      </c>
      <c r="P182" s="152"/>
      <c r="R182" s="16"/>
      <c r="S182" s="16"/>
      <c r="T182" s="140"/>
      <c r="U182" s="140"/>
    </row>
    <row r="183" spans="2:21" ht="24" customHeight="1">
      <c r="B183" s="164"/>
      <c r="C183" s="224" t="s">
        <v>655</v>
      </c>
      <c r="D183" s="224" t="s">
        <v>740</v>
      </c>
      <c r="E183" s="384" t="s">
        <v>656</v>
      </c>
      <c r="F183" s="225"/>
      <c r="G183" s="198"/>
      <c r="H183" s="154" t="s">
        <v>35</v>
      </c>
      <c r="I183" s="135"/>
      <c r="J183" s="373">
        <f>IFERROR(VLOOKUP(C183,[1]Sheet2!$A:$B,2,0),"")</f>
        <v>85000</v>
      </c>
      <c r="K183" s="256">
        <v>0</v>
      </c>
      <c r="L183" s="199">
        <f t="shared" si="118"/>
        <v>0</v>
      </c>
      <c r="M183" s="256">
        <v>85000</v>
      </c>
      <c r="N183" s="199">
        <f t="shared" si="119"/>
        <v>0</v>
      </c>
      <c r="O183" s="265">
        <f t="shared" si="120"/>
        <v>0</v>
      </c>
      <c r="P183" s="152"/>
      <c r="R183" s="16"/>
      <c r="S183" s="16"/>
      <c r="T183" s="140"/>
      <c r="U183" s="140"/>
    </row>
    <row r="184" spans="2:21" ht="24" customHeight="1">
      <c r="B184" s="164"/>
      <c r="C184" s="224" t="s">
        <v>657</v>
      </c>
      <c r="D184" s="224" t="s">
        <v>741</v>
      </c>
      <c r="E184" s="384" t="s">
        <v>658</v>
      </c>
      <c r="F184" s="225"/>
      <c r="G184" s="198"/>
      <c r="H184" s="154" t="s">
        <v>35</v>
      </c>
      <c r="I184" s="135"/>
      <c r="J184" s="373">
        <f>IFERROR(VLOOKUP(C184,[1]Sheet2!$A:$B,2,0),"")</f>
        <v>80000</v>
      </c>
      <c r="K184" s="256">
        <v>0</v>
      </c>
      <c r="L184" s="199">
        <f t="shared" si="118"/>
        <v>0</v>
      </c>
      <c r="M184" s="256">
        <v>80000</v>
      </c>
      <c r="N184" s="199">
        <f t="shared" si="119"/>
        <v>0</v>
      </c>
      <c r="O184" s="265">
        <f t="shared" si="120"/>
        <v>0</v>
      </c>
      <c r="P184" s="152"/>
      <c r="R184" s="16"/>
      <c r="S184" s="16"/>
      <c r="T184" s="140"/>
      <c r="U184" s="140"/>
    </row>
    <row r="185" spans="2:21" ht="24" customHeight="1">
      <c r="B185" s="164"/>
      <c r="C185" s="224" t="s">
        <v>659</v>
      </c>
      <c r="D185" s="224" t="s">
        <v>742</v>
      </c>
      <c r="E185" s="384" t="s">
        <v>660</v>
      </c>
      <c r="F185" s="225"/>
      <c r="G185" s="198"/>
      <c r="H185" s="154" t="s">
        <v>35</v>
      </c>
      <c r="I185" s="135">
        <v>6</v>
      </c>
      <c r="J185" s="373">
        <f>IFERROR(VLOOKUP(C185,[1]Sheet2!$A:$B,2,0),"")</f>
        <v>5000</v>
      </c>
      <c r="K185" s="256">
        <v>0</v>
      </c>
      <c r="L185" s="199">
        <f t="shared" si="118"/>
        <v>0</v>
      </c>
      <c r="M185" s="256">
        <v>5000</v>
      </c>
      <c r="N185" s="199">
        <f t="shared" si="119"/>
        <v>30000</v>
      </c>
      <c r="O185" s="265">
        <f t="shared" si="120"/>
        <v>30000</v>
      </c>
      <c r="P185" s="152"/>
      <c r="R185" s="16"/>
      <c r="S185" s="16"/>
      <c r="T185" s="140"/>
      <c r="U185" s="140"/>
    </row>
    <row r="186" spans="2:21" ht="24" customHeight="1">
      <c r="B186" s="164"/>
      <c r="C186" s="224" t="s">
        <v>661</v>
      </c>
      <c r="D186" s="224" t="s">
        <v>743</v>
      </c>
      <c r="E186" s="384" t="s">
        <v>662</v>
      </c>
      <c r="F186" s="225"/>
      <c r="G186" s="198"/>
      <c r="H186" s="154" t="s">
        <v>35</v>
      </c>
      <c r="I186" s="135"/>
      <c r="J186" s="373">
        <f>IFERROR(VLOOKUP(C186,[1]Sheet2!$A:$B,2,0),"")</f>
        <v>70000</v>
      </c>
      <c r="K186" s="256">
        <v>0</v>
      </c>
      <c r="L186" s="199">
        <f t="shared" si="118"/>
        <v>0</v>
      </c>
      <c r="M186" s="256">
        <v>70000</v>
      </c>
      <c r="N186" s="199">
        <f t="shared" si="119"/>
        <v>0</v>
      </c>
      <c r="O186" s="265">
        <f t="shared" si="120"/>
        <v>0</v>
      </c>
      <c r="P186" s="152"/>
      <c r="R186" s="16"/>
      <c r="S186" s="16"/>
      <c r="T186" s="140"/>
      <c r="U186" s="140"/>
    </row>
    <row r="187" spans="2:21" ht="24" customHeight="1">
      <c r="B187" s="164"/>
      <c r="C187" s="224" t="s">
        <v>663</v>
      </c>
      <c r="D187" s="224" t="s">
        <v>744</v>
      </c>
      <c r="E187" s="384" t="s">
        <v>664</v>
      </c>
      <c r="F187" s="225"/>
      <c r="G187" s="198"/>
      <c r="H187" s="154" t="s">
        <v>35</v>
      </c>
      <c r="I187" s="135">
        <v>4</v>
      </c>
      <c r="J187" s="373">
        <f>IFERROR(VLOOKUP(C187,[1]Sheet2!$A:$B,2,0),"")</f>
        <v>100000</v>
      </c>
      <c r="K187" s="256">
        <v>0</v>
      </c>
      <c r="L187" s="199">
        <f t="shared" si="118"/>
        <v>0</v>
      </c>
      <c r="M187" s="256">
        <v>100000</v>
      </c>
      <c r="N187" s="199">
        <f t="shared" si="119"/>
        <v>400000</v>
      </c>
      <c r="O187" s="265">
        <f t="shared" si="120"/>
        <v>400000</v>
      </c>
      <c r="P187" s="152"/>
      <c r="R187" s="16"/>
      <c r="S187" s="16"/>
      <c r="T187" s="140"/>
      <c r="U187" s="140"/>
    </row>
    <row r="188" spans="2:21" ht="24" customHeight="1">
      <c r="B188" s="164"/>
      <c r="C188" s="224" t="s">
        <v>665</v>
      </c>
      <c r="D188" s="224" t="s">
        <v>745</v>
      </c>
      <c r="E188" s="384" t="s">
        <v>666</v>
      </c>
      <c r="F188" s="225"/>
      <c r="G188" s="198"/>
      <c r="H188" s="154" t="s">
        <v>35</v>
      </c>
      <c r="I188" s="135">
        <v>3</v>
      </c>
      <c r="J188" s="373">
        <f>IFERROR(VLOOKUP(C188,[1]Sheet2!$A:$B,2,0),"")</f>
        <v>136000</v>
      </c>
      <c r="K188" s="256">
        <v>0</v>
      </c>
      <c r="L188" s="199">
        <f t="shared" si="118"/>
        <v>0</v>
      </c>
      <c r="M188" s="256">
        <v>136000</v>
      </c>
      <c r="N188" s="199">
        <f t="shared" si="119"/>
        <v>408000</v>
      </c>
      <c r="O188" s="265">
        <f t="shared" si="120"/>
        <v>408000</v>
      </c>
      <c r="P188" s="152"/>
      <c r="R188" s="16"/>
      <c r="S188" s="16"/>
      <c r="T188" s="140"/>
      <c r="U188" s="140"/>
    </row>
    <row r="189" spans="2:21" ht="24" customHeight="1">
      <c r="B189" s="164"/>
      <c r="C189" s="224" t="s">
        <v>667</v>
      </c>
      <c r="D189" s="224" t="s">
        <v>746</v>
      </c>
      <c r="E189" s="384" t="s">
        <v>668</v>
      </c>
      <c r="F189" s="225"/>
      <c r="G189" s="198"/>
      <c r="H189" s="154" t="s">
        <v>35</v>
      </c>
      <c r="I189" s="135"/>
      <c r="J189" s="373">
        <f>IFERROR(VLOOKUP(C189,[1]Sheet2!$A:$B,2,0),"")</f>
        <v>100000</v>
      </c>
      <c r="K189" s="256">
        <v>0</v>
      </c>
      <c r="L189" s="199">
        <f t="shared" si="118"/>
        <v>0</v>
      </c>
      <c r="M189" s="256">
        <v>100000</v>
      </c>
      <c r="N189" s="199">
        <f t="shared" si="119"/>
        <v>0</v>
      </c>
      <c r="O189" s="265">
        <f t="shared" si="120"/>
        <v>0</v>
      </c>
      <c r="P189" s="152"/>
      <c r="R189" s="16"/>
      <c r="S189" s="16"/>
      <c r="T189" s="140"/>
      <c r="U189" s="140"/>
    </row>
    <row r="190" spans="2:21" ht="24" customHeight="1">
      <c r="B190" s="164"/>
      <c r="C190" s="224" t="s">
        <v>669</v>
      </c>
      <c r="D190" s="224" t="s">
        <v>747</v>
      </c>
      <c r="E190" s="384" t="s">
        <v>664</v>
      </c>
      <c r="F190" s="225"/>
      <c r="G190" s="198"/>
      <c r="H190" s="154" t="s">
        <v>35</v>
      </c>
      <c r="I190" s="135"/>
      <c r="J190" s="373">
        <f>IFERROR(VLOOKUP(C190,[1]Sheet2!$A:$B,2,0),"")</f>
        <v>160000</v>
      </c>
      <c r="K190" s="256">
        <v>0</v>
      </c>
      <c r="L190" s="199">
        <f t="shared" si="118"/>
        <v>0</v>
      </c>
      <c r="M190" s="256">
        <v>160000</v>
      </c>
      <c r="N190" s="199">
        <f t="shared" si="119"/>
        <v>0</v>
      </c>
      <c r="O190" s="265">
        <f t="shared" si="120"/>
        <v>0</v>
      </c>
      <c r="P190" s="152"/>
      <c r="R190" s="16"/>
      <c r="S190" s="16"/>
      <c r="T190" s="140"/>
      <c r="U190" s="140"/>
    </row>
    <row r="191" spans="2:21" ht="24" customHeight="1">
      <c r="B191" s="164"/>
      <c r="C191" s="224" t="s">
        <v>670</v>
      </c>
      <c r="D191" s="224" t="s">
        <v>748</v>
      </c>
      <c r="E191" s="384" t="s">
        <v>671</v>
      </c>
      <c r="F191" s="225"/>
      <c r="G191" s="198"/>
      <c r="H191" s="154" t="s">
        <v>35</v>
      </c>
      <c r="I191" s="135"/>
      <c r="J191" s="373">
        <f>IFERROR(VLOOKUP(C191,[1]Sheet2!$A:$B,2,0),"")</f>
        <v>230000</v>
      </c>
      <c r="K191" s="256">
        <v>0</v>
      </c>
      <c r="L191" s="199">
        <f t="shared" si="118"/>
        <v>0</v>
      </c>
      <c r="M191" s="256">
        <v>230000</v>
      </c>
      <c r="N191" s="199">
        <f t="shared" si="119"/>
        <v>0</v>
      </c>
      <c r="O191" s="265">
        <f t="shared" si="120"/>
        <v>0</v>
      </c>
      <c r="P191" s="152"/>
      <c r="R191" s="16"/>
      <c r="S191" s="16"/>
      <c r="T191" s="140"/>
      <c r="U191" s="140"/>
    </row>
    <row r="192" spans="2:21" ht="24" customHeight="1">
      <c r="B192" s="164"/>
      <c r="C192" s="224" t="s">
        <v>672</v>
      </c>
      <c r="D192" s="224" t="s">
        <v>749</v>
      </c>
      <c r="E192" s="384" t="s">
        <v>673</v>
      </c>
      <c r="F192" s="225"/>
      <c r="G192" s="198"/>
      <c r="H192" s="154" t="s">
        <v>35</v>
      </c>
      <c r="I192" s="135"/>
      <c r="J192" s="373">
        <f>IFERROR(VLOOKUP(C192,[1]Sheet2!$A:$B,2,0),"")</f>
        <v>105000</v>
      </c>
      <c r="K192" s="256">
        <v>0</v>
      </c>
      <c r="L192" s="199">
        <f t="shared" si="118"/>
        <v>0</v>
      </c>
      <c r="M192" s="256">
        <v>105000</v>
      </c>
      <c r="N192" s="199">
        <f t="shared" si="119"/>
        <v>0</v>
      </c>
      <c r="O192" s="265">
        <f t="shared" si="120"/>
        <v>0</v>
      </c>
      <c r="P192" s="152"/>
      <c r="R192" s="16"/>
      <c r="S192" s="16"/>
      <c r="T192" s="140"/>
      <c r="U192" s="140"/>
    </row>
    <row r="193" spans="2:21" ht="24" customHeight="1">
      <c r="B193" s="164"/>
      <c r="C193" s="224" t="s">
        <v>674</v>
      </c>
      <c r="D193" s="224" t="s">
        <v>750</v>
      </c>
      <c r="E193" s="384" t="s">
        <v>664</v>
      </c>
      <c r="F193" s="225"/>
      <c r="G193" s="198"/>
      <c r="H193" s="154" t="s">
        <v>35</v>
      </c>
      <c r="I193" s="135"/>
      <c r="J193" s="373">
        <f>IFERROR(VLOOKUP(C193,[1]Sheet2!$A:$B,2,0),"")</f>
        <v>150000</v>
      </c>
      <c r="K193" s="256">
        <v>0</v>
      </c>
      <c r="L193" s="199">
        <f t="shared" si="118"/>
        <v>0</v>
      </c>
      <c r="M193" s="256">
        <v>150000</v>
      </c>
      <c r="N193" s="199">
        <f t="shared" si="119"/>
        <v>0</v>
      </c>
      <c r="O193" s="265">
        <f t="shared" si="120"/>
        <v>0</v>
      </c>
      <c r="P193" s="152"/>
      <c r="R193" s="16"/>
      <c r="S193" s="16"/>
      <c r="T193" s="140"/>
      <c r="U193" s="140"/>
    </row>
    <row r="194" spans="2:21" ht="24" customHeight="1">
      <c r="B194" s="208"/>
      <c r="C194" s="226" t="s">
        <v>675</v>
      </c>
      <c r="D194" s="226" t="s">
        <v>751</v>
      </c>
      <c r="E194" s="393" t="s">
        <v>676</v>
      </c>
      <c r="F194" s="227"/>
      <c r="G194" s="198"/>
      <c r="H194" s="154" t="s">
        <v>66</v>
      </c>
      <c r="I194" s="135"/>
      <c r="J194" s="373">
        <f>IFERROR(VLOOKUP(C194,[1]Sheet2!$A:$B,2,0),"")</f>
        <v>225000</v>
      </c>
      <c r="K194" s="256">
        <v>0</v>
      </c>
      <c r="L194" s="199">
        <f t="shared" ref="L194:L202" si="121">K194*I194</f>
        <v>0</v>
      </c>
      <c r="M194" s="256">
        <v>225000</v>
      </c>
      <c r="N194" s="199">
        <f t="shared" ref="N194:N202" si="122">M194*I194</f>
        <v>0</v>
      </c>
      <c r="O194" s="265">
        <f t="shared" ref="O194:O202" si="123">L194+N194</f>
        <v>0</v>
      </c>
      <c r="P194" s="152"/>
      <c r="T194" s="140">
        <v>0</v>
      </c>
      <c r="U194" s="140">
        <v>136000</v>
      </c>
    </row>
    <row r="195" spans="2:21" ht="24" customHeight="1">
      <c r="B195" s="208"/>
      <c r="C195" s="226" t="s">
        <v>677</v>
      </c>
      <c r="D195" s="226" t="s">
        <v>752</v>
      </c>
      <c r="E195" s="393" t="s">
        <v>678</v>
      </c>
      <c r="F195" s="227"/>
      <c r="G195" s="198"/>
      <c r="H195" s="154" t="s">
        <v>66</v>
      </c>
      <c r="I195" s="135"/>
      <c r="J195" s="373">
        <f>IFERROR(VLOOKUP(C195,[1]Sheet2!$A:$B,2,0),"")</f>
        <v>9500</v>
      </c>
      <c r="K195" s="256">
        <v>0</v>
      </c>
      <c r="L195" s="199">
        <f t="shared" si="121"/>
        <v>0</v>
      </c>
      <c r="M195" s="256">
        <v>9500</v>
      </c>
      <c r="N195" s="199">
        <f t="shared" ref="N195" si="124">M195*I195</f>
        <v>0</v>
      </c>
      <c r="O195" s="265">
        <f t="shared" si="123"/>
        <v>0</v>
      </c>
      <c r="P195" s="152"/>
      <c r="T195" s="140">
        <v>0</v>
      </c>
      <c r="U195" s="140">
        <v>230000</v>
      </c>
    </row>
    <row r="196" spans="2:21" ht="24" customHeight="1">
      <c r="B196" s="208"/>
      <c r="C196" s="226" t="s">
        <v>679</v>
      </c>
      <c r="D196" s="226" t="s">
        <v>753</v>
      </c>
      <c r="E196" s="393" t="s">
        <v>680</v>
      </c>
      <c r="F196" s="227"/>
      <c r="G196" s="198"/>
      <c r="H196" s="154" t="s">
        <v>66</v>
      </c>
      <c r="I196" s="135"/>
      <c r="J196" s="373">
        <f>IFERROR(VLOOKUP(C196,[1]Sheet2!$A:$B,2,0),"")</f>
        <v>11000</v>
      </c>
      <c r="K196" s="256">
        <v>0</v>
      </c>
      <c r="L196" s="199">
        <f t="shared" si="121"/>
        <v>0</v>
      </c>
      <c r="M196" s="256">
        <v>11000</v>
      </c>
      <c r="N196" s="199">
        <f t="shared" si="122"/>
        <v>0</v>
      </c>
      <c r="O196" s="265">
        <f t="shared" si="123"/>
        <v>0</v>
      </c>
      <c r="P196" s="152"/>
      <c r="T196" s="140">
        <v>0</v>
      </c>
      <c r="U196" s="140">
        <v>136000</v>
      </c>
    </row>
    <row r="197" spans="2:21" ht="24" customHeight="1">
      <c r="B197" s="208"/>
      <c r="C197" s="226" t="s">
        <v>681</v>
      </c>
      <c r="D197" s="226" t="s">
        <v>754</v>
      </c>
      <c r="E197" s="393" t="s">
        <v>682</v>
      </c>
      <c r="F197" s="227"/>
      <c r="G197" s="198"/>
      <c r="H197" s="154" t="s">
        <v>66</v>
      </c>
      <c r="I197" s="135"/>
      <c r="J197" s="373">
        <f>IFERROR(VLOOKUP(C197,[1]Sheet2!$A:$B,2,0),"")</f>
        <v>9500</v>
      </c>
      <c r="K197" s="256">
        <v>0</v>
      </c>
      <c r="L197" s="199">
        <f t="shared" si="121"/>
        <v>0</v>
      </c>
      <c r="M197" s="256">
        <v>9500</v>
      </c>
      <c r="N197" s="199">
        <f t="shared" si="122"/>
        <v>0</v>
      </c>
      <c r="O197" s="265">
        <f t="shared" si="123"/>
        <v>0</v>
      </c>
      <c r="P197" s="152"/>
      <c r="T197" s="140">
        <v>0</v>
      </c>
      <c r="U197" s="140">
        <v>72000</v>
      </c>
    </row>
    <row r="198" spans="2:21" ht="24" customHeight="1">
      <c r="B198" s="208"/>
      <c r="C198" s="226" t="s">
        <v>683</v>
      </c>
      <c r="D198" s="226" t="s">
        <v>755</v>
      </c>
      <c r="E198" s="393" t="s">
        <v>684</v>
      </c>
      <c r="F198" s="227"/>
      <c r="G198" s="198"/>
      <c r="H198" s="154" t="s">
        <v>66</v>
      </c>
      <c r="I198" s="135"/>
      <c r="J198" s="373">
        <f>IFERROR(VLOOKUP(C198,[1]Sheet2!$A:$B,2,0),"")</f>
        <v>11000</v>
      </c>
      <c r="K198" s="256">
        <v>0</v>
      </c>
      <c r="L198" s="199">
        <f t="shared" si="121"/>
        <v>0</v>
      </c>
      <c r="M198" s="256">
        <v>11000</v>
      </c>
      <c r="N198" s="199">
        <f t="shared" si="122"/>
        <v>0</v>
      </c>
      <c r="O198" s="265">
        <f t="shared" si="123"/>
        <v>0</v>
      </c>
      <c r="P198" s="152"/>
      <c r="T198" s="140">
        <v>0</v>
      </c>
      <c r="U198" s="140">
        <v>72000</v>
      </c>
    </row>
    <row r="199" spans="2:21" ht="24" customHeight="1">
      <c r="B199" s="208"/>
      <c r="C199" s="226" t="s">
        <v>685</v>
      </c>
      <c r="D199" s="226" t="s">
        <v>756</v>
      </c>
      <c r="E199" s="393" t="s">
        <v>686</v>
      </c>
      <c r="F199" s="227"/>
      <c r="G199" s="198"/>
      <c r="H199" s="154" t="s">
        <v>66</v>
      </c>
      <c r="I199" s="135"/>
      <c r="J199" s="373">
        <f>IFERROR(VLOOKUP(C199,[1]Sheet2!$A:$B,2,0),"")</f>
        <v>100000</v>
      </c>
      <c r="K199" s="256">
        <v>0</v>
      </c>
      <c r="L199" s="199">
        <f t="shared" ref="L199:L200" si="125">K199*I199</f>
        <v>0</v>
      </c>
      <c r="M199" s="256">
        <v>100000</v>
      </c>
      <c r="N199" s="199">
        <f t="shared" ref="N199:N200" si="126">M199*I199</f>
        <v>0</v>
      </c>
      <c r="O199" s="265">
        <f t="shared" ref="O199:O200" si="127">L199+N199</f>
        <v>0</v>
      </c>
      <c r="P199" s="152"/>
      <c r="T199" s="140"/>
      <c r="U199" s="140"/>
    </row>
    <row r="200" spans="2:21" ht="24" customHeight="1">
      <c r="B200" s="208"/>
      <c r="C200" s="226" t="s">
        <v>687</v>
      </c>
      <c r="D200" s="226" t="s">
        <v>757</v>
      </c>
      <c r="E200" s="393" t="s">
        <v>688</v>
      </c>
      <c r="F200" s="227"/>
      <c r="G200" s="198"/>
      <c r="H200" s="154" t="s">
        <v>66</v>
      </c>
      <c r="I200" s="135"/>
      <c r="J200" s="373">
        <f>IFERROR(VLOOKUP(C200,[1]Sheet2!$A:$B,2,0),"")</f>
        <v>150000</v>
      </c>
      <c r="K200" s="256">
        <v>0</v>
      </c>
      <c r="L200" s="199">
        <f t="shared" si="125"/>
        <v>0</v>
      </c>
      <c r="M200" s="256">
        <v>150000</v>
      </c>
      <c r="N200" s="199">
        <f t="shared" si="126"/>
        <v>0</v>
      </c>
      <c r="O200" s="265">
        <f t="shared" si="127"/>
        <v>0</v>
      </c>
      <c r="P200" s="152"/>
      <c r="T200" s="140"/>
      <c r="U200" s="140"/>
    </row>
    <row r="201" spans="2:21" ht="24" customHeight="1">
      <c r="B201" s="208"/>
      <c r="C201" s="226" t="s">
        <v>689</v>
      </c>
      <c r="D201" s="226" t="s">
        <v>758</v>
      </c>
      <c r="E201" s="393" t="s">
        <v>690</v>
      </c>
      <c r="F201" s="227"/>
      <c r="G201" s="198"/>
      <c r="H201" s="154" t="s">
        <v>66</v>
      </c>
      <c r="I201" s="135"/>
      <c r="J201" s="373">
        <f>IFERROR(VLOOKUP(C201,[1]Sheet2!$A:$B,2,0),"")</f>
        <v>100000</v>
      </c>
      <c r="K201" s="256">
        <v>0</v>
      </c>
      <c r="L201" s="199">
        <f t="shared" si="121"/>
        <v>0</v>
      </c>
      <c r="M201" s="256">
        <v>100000</v>
      </c>
      <c r="N201" s="199">
        <f t="shared" ref="N201" si="128">M201*I201</f>
        <v>0</v>
      </c>
      <c r="O201" s="265">
        <f t="shared" si="123"/>
        <v>0</v>
      </c>
      <c r="P201" s="152"/>
      <c r="T201" s="140">
        <v>0</v>
      </c>
      <c r="U201" s="140" t="s">
        <v>127</v>
      </c>
    </row>
    <row r="202" spans="2:21" ht="24" customHeight="1">
      <c r="B202" s="164"/>
      <c r="C202" s="224" t="s">
        <v>641</v>
      </c>
      <c r="D202" s="224" t="s">
        <v>642</v>
      </c>
      <c r="E202" s="384"/>
      <c r="F202" s="225"/>
      <c r="G202" s="198"/>
      <c r="H202" s="154"/>
      <c r="I202" s="135"/>
      <c r="J202" s="373"/>
      <c r="K202" s="256">
        <v>0</v>
      </c>
      <c r="L202" s="199">
        <f t="shared" si="121"/>
        <v>0</v>
      </c>
      <c r="M202" s="256">
        <f>U202</f>
        <v>0</v>
      </c>
      <c r="N202" s="199">
        <f t="shared" si="122"/>
        <v>0</v>
      </c>
      <c r="O202" s="265">
        <f t="shared" si="123"/>
        <v>0</v>
      </c>
      <c r="P202" s="152"/>
      <c r="T202" s="140">
        <v>0</v>
      </c>
      <c r="U202" s="140">
        <v>0</v>
      </c>
    </row>
    <row r="203" spans="2:21" s="110" customFormat="1" ht="24.95" customHeight="1">
      <c r="B203" s="155"/>
      <c r="C203" s="156" t="s">
        <v>62</v>
      </c>
      <c r="D203" s="156" t="s">
        <v>502</v>
      </c>
      <c r="E203" s="391"/>
      <c r="F203" s="158"/>
      <c r="G203" s="158"/>
      <c r="H203" s="159"/>
      <c r="I203" s="165"/>
      <c r="J203" s="377" t="str">
        <f>IFERROR(VLOOKUP(C203,[1]Sheet2!$A:$B,2,0),"")</f>
        <v/>
      </c>
      <c r="K203" s="257"/>
      <c r="L203" s="228">
        <f>SUM(L176:L202)</f>
        <v>0</v>
      </c>
      <c r="M203" s="257"/>
      <c r="N203" s="160">
        <f>SUM(N176:N202)</f>
        <v>1868000</v>
      </c>
      <c r="O203" s="262">
        <f>SUM(O176:O202)</f>
        <v>1868000</v>
      </c>
      <c r="P203" s="158"/>
      <c r="T203" s="167"/>
      <c r="U203" s="167"/>
    </row>
    <row r="204" spans="2:21" ht="30" customHeight="1">
      <c r="B204" s="230">
        <v>11</v>
      </c>
      <c r="C204" s="231" t="s">
        <v>109</v>
      </c>
      <c r="D204" s="231" t="s">
        <v>513</v>
      </c>
      <c r="E204" s="394"/>
      <c r="F204" s="232"/>
      <c r="G204" s="232"/>
      <c r="H204" s="440" t="str">
        <f>IFERROR(VLOOKUP(C204,[1]Sheet2!$A:$B,2,0),"")</f>
        <v/>
      </c>
      <c r="I204" s="441"/>
      <c r="J204" s="441"/>
      <c r="K204" s="441"/>
      <c r="L204" s="441"/>
      <c r="M204" s="441"/>
      <c r="N204" s="441"/>
      <c r="O204" s="441"/>
      <c r="P204" s="442"/>
      <c r="R204" s="10"/>
      <c r="T204" s="25"/>
      <c r="U204" s="25"/>
    </row>
    <row r="205" spans="2:21" ht="24" customHeight="1">
      <c r="B205" s="233"/>
      <c r="C205" s="204" t="s">
        <v>492</v>
      </c>
      <c r="D205" s="204" t="s">
        <v>775</v>
      </c>
      <c r="E205" s="385" t="s">
        <v>731</v>
      </c>
      <c r="F205" s="223"/>
      <c r="G205" s="206"/>
      <c r="H205" s="142" t="s">
        <v>35</v>
      </c>
      <c r="I205" s="135">
        <v>1.5</v>
      </c>
      <c r="J205" s="373">
        <f>IFERROR(VLOOKUP(C205,[1]Sheet2!$A:$B,2,0),"")</f>
        <v>240000</v>
      </c>
      <c r="K205" s="260">
        <f t="shared" ref="K205:K212" si="129">T205</f>
        <v>0</v>
      </c>
      <c r="L205" s="136">
        <f>I205*K205</f>
        <v>0</v>
      </c>
      <c r="M205" s="258">
        <f>U205</f>
        <v>240000</v>
      </c>
      <c r="N205" s="138">
        <f>I205*M205</f>
        <v>360000</v>
      </c>
      <c r="O205" s="263">
        <f>SUM(L205,N205)</f>
        <v>360000</v>
      </c>
      <c r="P205" s="152"/>
      <c r="R205" s="10"/>
      <c r="T205" s="140">
        <v>0</v>
      </c>
      <c r="U205" s="140">
        <v>240000</v>
      </c>
    </row>
    <row r="206" spans="2:21" ht="24" customHeight="1">
      <c r="B206" s="233"/>
      <c r="C206" s="204" t="s">
        <v>493</v>
      </c>
      <c r="D206" s="204" t="s">
        <v>776</v>
      </c>
      <c r="E206" s="385" t="s">
        <v>791</v>
      </c>
      <c r="F206" s="223"/>
      <c r="G206" s="206"/>
      <c r="H206" s="142" t="s">
        <v>35</v>
      </c>
      <c r="I206" s="135">
        <v>1</v>
      </c>
      <c r="J206" s="373">
        <f>IFERROR(VLOOKUP(C206,[1]Sheet2!$A:$B,2,0),"")</f>
        <v>15000</v>
      </c>
      <c r="K206" s="260">
        <f t="shared" si="129"/>
        <v>0</v>
      </c>
      <c r="L206" s="136">
        <f>I206*K206</f>
        <v>0</v>
      </c>
      <c r="M206" s="258">
        <v>15000</v>
      </c>
      <c r="N206" s="138">
        <f>I206*M206</f>
        <v>15000</v>
      </c>
      <c r="O206" s="263">
        <f>SUM(L206,N206)</f>
        <v>15000</v>
      </c>
      <c r="P206" s="152"/>
      <c r="R206" s="10"/>
      <c r="T206" s="140">
        <v>0</v>
      </c>
      <c r="U206" s="140">
        <v>240000</v>
      </c>
    </row>
    <row r="207" spans="2:21" ht="24" customHeight="1">
      <c r="B207" s="233"/>
      <c r="C207" s="204" t="s">
        <v>494</v>
      </c>
      <c r="D207" s="204" t="s">
        <v>777</v>
      </c>
      <c r="E207" s="385" t="s">
        <v>732</v>
      </c>
      <c r="F207" s="223"/>
      <c r="G207" s="206"/>
      <c r="H207" s="142" t="s">
        <v>35</v>
      </c>
      <c r="I207" s="135">
        <v>3</v>
      </c>
      <c r="J207" s="373">
        <f>IFERROR(VLOOKUP(C207,[1]Sheet2!$A:$B,2,0),"")</f>
        <v>15000</v>
      </c>
      <c r="K207" s="260">
        <f t="shared" si="129"/>
        <v>0</v>
      </c>
      <c r="L207" s="136">
        <f>I207*K207</f>
        <v>0</v>
      </c>
      <c r="M207" s="258">
        <v>15000</v>
      </c>
      <c r="N207" s="138">
        <f>I207*M207</f>
        <v>45000</v>
      </c>
      <c r="O207" s="263">
        <f>SUM(L207,N207)</f>
        <v>45000</v>
      </c>
      <c r="P207" s="152"/>
      <c r="R207" s="10"/>
      <c r="T207" s="140">
        <v>0</v>
      </c>
      <c r="U207" s="140">
        <v>240000</v>
      </c>
    </row>
    <row r="208" spans="2:21" ht="24" customHeight="1">
      <c r="B208" s="208"/>
      <c r="C208" s="221" t="s">
        <v>495</v>
      </c>
      <c r="D208" s="221" t="s">
        <v>778</v>
      </c>
      <c r="E208" s="390" t="s">
        <v>792</v>
      </c>
      <c r="F208" s="229"/>
      <c r="G208" s="206"/>
      <c r="H208" s="142" t="s">
        <v>35</v>
      </c>
      <c r="I208" s="135">
        <v>2</v>
      </c>
      <c r="J208" s="373">
        <f>IFERROR(VLOOKUP(C208,[1]Sheet2!$A:$B,2,0),"")</f>
        <v>15000</v>
      </c>
      <c r="K208" s="260">
        <f t="shared" si="129"/>
        <v>0</v>
      </c>
      <c r="L208" s="136">
        <f t="shared" ref="L208:L212" si="130">I208*K208</f>
        <v>0</v>
      </c>
      <c r="M208" s="258">
        <v>15000</v>
      </c>
      <c r="N208" s="138">
        <f t="shared" ref="N208:N212" si="131">I208*M208</f>
        <v>30000</v>
      </c>
      <c r="O208" s="263">
        <f t="shared" ref="O208:O212" si="132">SUM(L208,N208)</f>
        <v>30000</v>
      </c>
      <c r="P208" s="152"/>
      <c r="R208" s="10"/>
      <c r="T208" s="140">
        <v>0</v>
      </c>
      <c r="U208" s="140" t="s">
        <v>127</v>
      </c>
    </row>
    <row r="209" spans="2:21" ht="24" customHeight="1">
      <c r="B209" s="208"/>
      <c r="C209" s="221" t="s">
        <v>496</v>
      </c>
      <c r="D209" s="221" t="s">
        <v>779</v>
      </c>
      <c r="E209" s="390" t="s">
        <v>793</v>
      </c>
      <c r="F209" s="229"/>
      <c r="G209" s="206"/>
      <c r="H209" s="142" t="s">
        <v>35</v>
      </c>
      <c r="I209" s="135">
        <v>4</v>
      </c>
      <c r="J209" s="373">
        <f>IFERROR(VLOOKUP(C209,[1]Sheet2!$A:$B,2,0),"")</f>
        <v>15000</v>
      </c>
      <c r="K209" s="260">
        <f t="shared" si="129"/>
        <v>0</v>
      </c>
      <c r="L209" s="136">
        <f t="shared" si="130"/>
        <v>0</v>
      </c>
      <c r="M209" s="258">
        <v>15000</v>
      </c>
      <c r="N209" s="138">
        <f t="shared" si="131"/>
        <v>60000</v>
      </c>
      <c r="O209" s="263">
        <f t="shared" si="132"/>
        <v>60000</v>
      </c>
      <c r="P209" s="152"/>
      <c r="R209" s="10"/>
      <c r="T209" s="140">
        <v>0</v>
      </c>
      <c r="U209" s="140">
        <v>0</v>
      </c>
    </row>
    <row r="210" spans="2:21" ht="24" customHeight="1">
      <c r="B210" s="208"/>
      <c r="C210" s="221" t="s">
        <v>497</v>
      </c>
      <c r="D210" s="221" t="s">
        <v>780</v>
      </c>
      <c r="E210" s="390" t="s">
        <v>794</v>
      </c>
      <c r="F210" s="229"/>
      <c r="G210" s="206"/>
      <c r="H210" s="142" t="s">
        <v>35</v>
      </c>
      <c r="I210" s="135">
        <v>1</v>
      </c>
      <c r="J210" s="373">
        <f>IFERROR(VLOOKUP(C210,[1]Sheet2!$A:$B,2,0),"")</f>
        <v>15000</v>
      </c>
      <c r="K210" s="260">
        <f t="shared" si="129"/>
        <v>0</v>
      </c>
      <c r="L210" s="136">
        <f t="shared" si="130"/>
        <v>0</v>
      </c>
      <c r="M210" s="258">
        <v>15000</v>
      </c>
      <c r="N210" s="138">
        <f t="shared" si="131"/>
        <v>15000</v>
      </c>
      <c r="O210" s="263">
        <f t="shared" si="132"/>
        <v>15000</v>
      </c>
      <c r="P210" s="152"/>
      <c r="R210" s="10"/>
      <c r="T210" s="140">
        <v>0</v>
      </c>
      <c r="U210" s="140">
        <v>0</v>
      </c>
    </row>
    <row r="211" spans="2:21" ht="24" customHeight="1">
      <c r="B211" s="208"/>
      <c r="C211" s="221" t="s">
        <v>774</v>
      </c>
      <c r="D211" s="221" t="s">
        <v>781</v>
      </c>
      <c r="E211" s="390" t="s">
        <v>733</v>
      </c>
      <c r="F211" s="229"/>
      <c r="G211" s="206"/>
      <c r="H211" s="142" t="s">
        <v>35</v>
      </c>
      <c r="I211" s="135">
        <v>2</v>
      </c>
      <c r="J211" s="373">
        <f>IFERROR(VLOOKUP(C211,[1]Sheet2!$A:$B,2,0),"")</f>
        <v>15000</v>
      </c>
      <c r="K211" s="260">
        <f t="shared" si="129"/>
        <v>0</v>
      </c>
      <c r="L211" s="136">
        <f t="shared" si="130"/>
        <v>0</v>
      </c>
      <c r="M211" s="258">
        <v>15000</v>
      </c>
      <c r="N211" s="138">
        <f t="shared" si="131"/>
        <v>30000</v>
      </c>
      <c r="O211" s="263">
        <f t="shared" si="132"/>
        <v>30000</v>
      </c>
      <c r="P211" s="152"/>
      <c r="R211" s="10"/>
      <c r="T211" s="140">
        <v>0</v>
      </c>
      <c r="U211" s="140">
        <v>0</v>
      </c>
    </row>
    <row r="212" spans="2:21" ht="24" customHeight="1">
      <c r="B212" s="233"/>
      <c r="C212" s="204" t="s">
        <v>498</v>
      </c>
      <c r="D212" s="204" t="s">
        <v>512</v>
      </c>
      <c r="E212" s="385"/>
      <c r="F212" s="223"/>
      <c r="G212" s="206"/>
      <c r="H212" s="142" t="s">
        <v>35</v>
      </c>
      <c r="I212" s="135"/>
      <c r="J212" s="373" t="str">
        <f>IFERROR(VLOOKUP(C212,[1]Sheet2!$A:$B,2,0),"")</f>
        <v/>
      </c>
      <c r="K212" s="260">
        <f t="shared" si="129"/>
        <v>0</v>
      </c>
      <c r="L212" s="136">
        <f t="shared" si="130"/>
        <v>0</v>
      </c>
      <c r="M212" s="258">
        <f>U212</f>
        <v>0</v>
      </c>
      <c r="N212" s="138">
        <f t="shared" si="131"/>
        <v>0</v>
      </c>
      <c r="O212" s="263">
        <f t="shared" si="132"/>
        <v>0</v>
      </c>
      <c r="P212" s="152"/>
      <c r="R212" s="10"/>
      <c r="T212" s="140">
        <v>0</v>
      </c>
      <c r="U212" s="140">
        <v>0</v>
      </c>
    </row>
    <row r="213" spans="2:21" s="110" customFormat="1" ht="24.95" customHeight="1">
      <c r="B213" s="234"/>
      <c r="C213" s="235" t="s">
        <v>99</v>
      </c>
      <c r="D213" s="235" t="s">
        <v>502</v>
      </c>
      <c r="E213" s="235"/>
      <c r="F213" s="236"/>
      <c r="G213" s="236"/>
      <c r="H213" s="237"/>
      <c r="I213" s="238"/>
      <c r="J213" s="378" t="str">
        <f>IFERROR(VLOOKUP(C213,[1]Sheet2!$A:$B,2,0),"")</f>
        <v/>
      </c>
      <c r="K213" s="259"/>
      <c r="L213" s="239">
        <f>SUM(L205:L212)</f>
        <v>0</v>
      </c>
      <c r="M213" s="259"/>
      <c r="N213" s="239">
        <f>SUM(N205:N212)</f>
        <v>555000</v>
      </c>
      <c r="O213" s="266">
        <f>SUM(O205:O212)</f>
        <v>555000</v>
      </c>
      <c r="P213" s="236"/>
      <c r="T213" s="240"/>
      <c r="U213" s="240"/>
    </row>
    <row r="215" spans="2:21" ht="20.25" customHeight="1">
      <c r="R215" s="10"/>
    </row>
    <row r="216" spans="2:21" ht="20.25" customHeight="1">
      <c r="R216" s="10"/>
    </row>
    <row r="217" spans="2:21" ht="20.25" customHeight="1"/>
    <row r="218" spans="2:21" ht="21" customHeight="1">
      <c r="O218" s="246">
        <v>5603600</v>
      </c>
    </row>
    <row r="219" spans="2:21" ht="21" customHeight="1">
      <c r="O219" s="246">
        <v>1366000</v>
      </c>
    </row>
    <row r="220" spans="2:21" ht="21" customHeight="1">
      <c r="O220" s="246">
        <v>3903000</v>
      </c>
    </row>
    <row r="221" spans="2:21" ht="21" customHeight="1">
      <c r="O221" s="246">
        <v>562200</v>
      </c>
    </row>
    <row r="222" spans="2:21" ht="21" customHeight="1">
      <c r="O222" s="246">
        <v>5818080</v>
      </c>
    </row>
    <row r="223" spans="2:21" ht="21" customHeight="1">
      <c r="O223" s="246">
        <v>837600</v>
      </c>
    </row>
    <row r="224" spans="2:21" ht="21" customHeight="1">
      <c r="O224" s="246">
        <v>1662000</v>
      </c>
    </row>
    <row r="225" spans="15:15" ht="21" customHeight="1">
      <c r="O225" s="246">
        <v>225616</v>
      </c>
    </row>
    <row r="226" spans="15:15" ht="21" customHeight="1">
      <c r="O226" s="246">
        <v>2462000</v>
      </c>
    </row>
    <row r="227" spans="15:15" ht="21" customHeight="1">
      <c r="O227" s="246">
        <v>2607000</v>
      </c>
    </row>
    <row r="228" spans="15:15" ht="21" customHeight="1">
      <c r="O228" s="246">
        <v>330000</v>
      </c>
    </row>
    <row r="229" spans="15:15" ht="21" customHeight="1">
      <c r="O229" s="246">
        <f>SUM(O218:O228)</f>
        <v>25377096</v>
      </c>
    </row>
  </sheetData>
  <mergeCells count="33">
    <mergeCell ref="B4:B6"/>
    <mergeCell ref="C4:C6"/>
    <mergeCell ref="F4:F6"/>
    <mergeCell ref="G4:G6"/>
    <mergeCell ref="H4:H6"/>
    <mergeCell ref="D4:D6"/>
    <mergeCell ref="K4:O4"/>
    <mergeCell ref="P4:P6"/>
    <mergeCell ref="K5:L5"/>
    <mergeCell ref="M5:N5"/>
    <mergeCell ref="I4:I6"/>
    <mergeCell ref="B45:B51"/>
    <mergeCell ref="B57:B71"/>
    <mergeCell ref="B72:B77"/>
    <mergeCell ref="B139:B140"/>
    <mergeCell ref="B141:B142"/>
    <mergeCell ref="B52:B56"/>
    <mergeCell ref="B8:B16"/>
    <mergeCell ref="B17:B22"/>
    <mergeCell ref="B23:B30"/>
    <mergeCell ref="B31:B32"/>
    <mergeCell ref="B33:B44"/>
    <mergeCell ref="H7:P7"/>
    <mergeCell ref="H204:P204"/>
    <mergeCell ref="H175:P175"/>
    <mergeCell ref="H166:P166"/>
    <mergeCell ref="H161:P161"/>
    <mergeCell ref="H149:P149"/>
    <mergeCell ref="H132:P132"/>
    <mergeCell ref="H104:P104"/>
    <mergeCell ref="H96:P96"/>
    <mergeCell ref="H88:P88"/>
    <mergeCell ref="H79:P79"/>
  </mergeCells>
  <phoneticPr fontId="3" type="noConversion"/>
  <conditionalFormatting sqref="P215:P1048576 P130:P131 P86:P87 P89:P93 P159:P160 P112:P127 P139:P143 P173:P174 F176:F202 P148 P95 P1:P6 P83 P103 P8:P78 P205 P176:P203 P167:P171 P162:P165 P150:P154 P133:P137 P105:P109 P80:P81">
    <cfRule type="containsText" dxfId="55" priority="123" operator="containsText" text="업체진행">
      <formula>NOT(ISERROR(SEARCH("업체진행",F1)))</formula>
    </cfRule>
    <cfRule type="containsText" dxfId="54" priority="124" operator="containsText" text="옵션공사">
      <formula>NOT(ISERROR(SEARCH("옵션공사",F1)))</formula>
    </cfRule>
  </conditionalFormatting>
  <conditionalFormatting sqref="P98">
    <cfRule type="containsText" dxfId="53" priority="121" operator="containsText" text="업체진행">
      <formula>NOT(ISERROR(SEARCH("업체진행",P98)))</formula>
    </cfRule>
    <cfRule type="containsText" dxfId="52" priority="122" operator="containsText" text="옵션공사">
      <formula>NOT(ISERROR(SEARCH("옵션공사",P98)))</formula>
    </cfRule>
  </conditionalFormatting>
  <conditionalFormatting sqref="P97">
    <cfRule type="containsText" dxfId="51" priority="117" operator="containsText" text="업체진행">
      <formula>NOT(ISERROR(SEARCH("업체진행",P97)))</formula>
    </cfRule>
    <cfRule type="containsText" dxfId="50" priority="118" operator="containsText" text="옵션공사">
      <formula>NOT(ISERROR(SEARCH("옵션공사",P97)))</formula>
    </cfRule>
  </conditionalFormatting>
  <conditionalFormatting sqref="P213">
    <cfRule type="containsText" dxfId="49" priority="111" operator="containsText" text="업체진행">
      <formula>NOT(ISERROR(SEARCH("업체진행",P213)))</formula>
    </cfRule>
    <cfRule type="containsText" dxfId="48" priority="112" operator="containsText" text="옵션공사">
      <formula>NOT(ISERROR(SEARCH("옵션공사",P213)))</formula>
    </cfRule>
  </conditionalFormatting>
  <conditionalFormatting sqref="P212">
    <cfRule type="containsText" dxfId="47" priority="107" operator="containsText" text="업체진행">
      <formula>NOT(ISERROR(SEARCH("업체진행",P212)))</formula>
    </cfRule>
    <cfRule type="containsText" dxfId="46" priority="108" operator="containsText" text="옵션공사">
      <formula>NOT(ISERROR(SEARCH("옵션공사",P212)))</formula>
    </cfRule>
  </conditionalFormatting>
  <conditionalFormatting sqref="P84">
    <cfRule type="containsText" dxfId="45" priority="97" operator="containsText" text="업체진행">
      <formula>NOT(ISERROR(SEARCH("업체진행",P84)))</formula>
    </cfRule>
    <cfRule type="containsText" dxfId="44" priority="98" operator="containsText" text="옵션공사">
      <formula>NOT(ISERROR(SEARCH("옵션공사",P84)))</formula>
    </cfRule>
  </conditionalFormatting>
  <conditionalFormatting sqref="P128:P129">
    <cfRule type="containsText" dxfId="43" priority="99" operator="containsText" text="업체진행">
      <formula>NOT(ISERROR(SEARCH("업체진행",P128)))</formula>
    </cfRule>
    <cfRule type="containsText" dxfId="42" priority="100" operator="containsText" text="옵션공사">
      <formula>NOT(ISERROR(SEARCH("옵션공사",P128)))</formula>
    </cfRule>
  </conditionalFormatting>
  <conditionalFormatting sqref="P85">
    <cfRule type="containsText" dxfId="41" priority="95" operator="containsText" text="업체진행">
      <formula>NOT(ISERROR(SEARCH("업체진행",P85)))</formula>
    </cfRule>
    <cfRule type="containsText" dxfId="40" priority="96" operator="containsText" text="옵션공사">
      <formula>NOT(ISERROR(SEARCH("옵션공사",P85)))</formula>
    </cfRule>
  </conditionalFormatting>
  <conditionalFormatting sqref="P156:P158">
    <cfRule type="containsText" dxfId="39" priority="91" operator="containsText" text="업체진행">
      <formula>NOT(ISERROR(SEARCH("업체진행",P156)))</formula>
    </cfRule>
    <cfRule type="containsText" dxfId="38" priority="92" operator="containsText" text="옵션공사">
      <formula>NOT(ISERROR(SEARCH("옵션공사",P156)))</formula>
    </cfRule>
  </conditionalFormatting>
  <conditionalFormatting sqref="P208">
    <cfRule type="containsText" dxfId="37" priority="71" operator="containsText" text="업체진행">
      <formula>NOT(ISERROR(SEARCH("업체진행",P208)))</formula>
    </cfRule>
    <cfRule type="containsText" dxfId="36" priority="72" operator="containsText" text="옵션공사">
      <formula>NOT(ISERROR(SEARCH("옵션공사",P208)))</formula>
    </cfRule>
  </conditionalFormatting>
  <conditionalFormatting sqref="P209">
    <cfRule type="containsText" dxfId="35" priority="69" operator="containsText" text="업체진행">
      <formula>NOT(ISERROR(SEARCH("업체진행",P209)))</formula>
    </cfRule>
    <cfRule type="containsText" dxfId="34" priority="70" operator="containsText" text="옵션공사">
      <formula>NOT(ISERROR(SEARCH("옵션공사",P209)))</formula>
    </cfRule>
  </conditionalFormatting>
  <conditionalFormatting sqref="P210">
    <cfRule type="containsText" dxfId="33" priority="67" operator="containsText" text="업체진행">
      <formula>NOT(ISERROR(SEARCH("업체진행",P210)))</formula>
    </cfRule>
    <cfRule type="containsText" dxfId="32" priority="68" operator="containsText" text="옵션공사">
      <formula>NOT(ISERROR(SEARCH("옵션공사",P210)))</formula>
    </cfRule>
  </conditionalFormatting>
  <conditionalFormatting sqref="P138">
    <cfRule type="containsText" dxfId="31" priority="65" operator="containsText" text="업체진행">
      <formula>NOT(ISERROR(SEARCH("업체진행",P138)))</formula>
    </cfRule>
    <cfRule type="containsText" dxfId="30" priority="66" operator="containsText" text="옵션공사">
      <formula>NOT(ISERROR(SEARCH("옵션공사",P138)))</formula>
    </cfRule>
  </conditionalFormatting>
  <conditionalFormatting sqref="P172">
    <cfRule type="containsText" dxfId="29" priority="63" operator="containsText" text="업체진행">
      <formula>NOT(ISERROR(SEARCH("업체진행",P172)))</formula>
    </cfRule>
    <cfRule type="containsText" dxfId="28" priority="64" operator="containsText" text="옵션공사">
      <formula>NOT(ISERROR(SEARCH("옵션공사",P172)))</formula>
    </cfRule>
  </conditionalFormatting>
  <conditionalFormatting sqref="P211">
    <cfRule type="containsText" dxfId="27" priority="61" operator="containsText" text="업체진행">
      <formula>NOT(ISERROR(SEARCH("업체진행",P211)))</formula>
    </cfRule>
    <cfRule type="containsText" dxfId="26" priority="62" operator="containsText" text="옵션공사">
      <formula>NOT(ISERROR(SEARCH("옵션공사",P211)))</formula>
    </cfRule>
  </conditionalFormatting>
  <conditionalFormatting sqref="P101">
    <cfRule type="containsText" dxfId="25" priority="49" operator="containsText" text="업체진행">
      <formula>NOT(ISERROR(SEARCH("업체진행",P101)))</formula>
    </cfRule>
    <cfRule type="containsText" dxfId="24" priority="50" operator="containsText" text="옵션공사">
      <formula>NOT(ISERROR(SEARCH("옵션공사",P101)))</formula>
    </cfRule>
  </conditionalFormatting>
  <conditionalFormatting sqref="P100">
    <cfRule type="containsText" dxfId="23" priority="47" operator="containsText" text="업체진행">
      <formula>NOT(ISERROR(SEARCH("업체진행",P100)))</formula>
    </cfRule>
    <cfRule type="containsText" dxfId="22" priority="48" operator="containsText" text="옵션공사">
      <formula>NOT(ISERROR(SEARCH("옵션공사",P100)))</formula>
    </cfRule>
  </conditionalFormatting>
  <conditionalFormatting sqref="P99">
    <cfRule type="containsText" dxfId="21" priority="45" operator="containsText" text="업체진행">
      <formula>NOT(ISERROR(SEARCH("업체진행",P99)))</formula>
    </cfRule>
    <cfRule type="containsText" dxfId="20" priority="46" operator="containsText" text="옵션공사">
      <formula>NOT(ISERROR(SEARCH("옵션공사",P99)))</formula>
    </cfRule>
  </conditionalFormatting>
  <conditionalFormatting sqref="P155">
    <cfRule type="containsText" dxfId="19" priority="41" operator="containsText" text="업체진행">
      <formula>NOT(ISERROR(SEARCH("업체진행",P155)))</formula>
    </cfRule>
    <cfRule type="containsText" dxfId="18" priority="42" operator="containsText" text="옵션공사">
      <formula>NOT(ISERROR(SEARCH("옵션공사",P155)))</formula>
    </cfRule>
  </conditionalFormatting>
  <conditionalFormatting sqref="P110">
    <cfRule type="containsText" dxfId="17" priority="39" operator="containsText" text="업체진행">
      <formula>NOT(ISERROR(SEARCH("업체진행",P110)))</formula>
    </cfRule>
    <cfRule type="containsText" dxfId="16" priority="40" operator="containsText" text="옵션공사">
      <formula>NOT(ISERROR(SEARCH("옵션공사",P110)))</formula>
    </cfRule>
  </conditionalFormatting>
  <conditionalFormatting sqref="P111">
    <cfRule type="containsText" dxfId="15" priority="37" operator="containsText" text="업체진행">
      <formula>NOT(ISERROR(SEARCH("업체진행",P111)))</formula>
    </cfRule>
    <cfRule type="containsText" dxfId="14" priority="38" operator="containsText" text="옵션공사">
      <formula>NOT(ISERROR(SEARCH("옵션공사",P111)))</formula>
    </cfRule>
  </conditionalFormatting>
  <conditionalFormatting sqref="P144:P147">
    <cfRule type="containsText" dxfId="13" priority="27" operator="containsText" text="업체진행">
      <formula>NOT(ISERROR(SEARCH("업체진행",P144)))</formula>
    </cfRule>
    <cfRule type="containsText" dxfId="12" priority="28" operator="containsText" text="옵션공사">
      <formula>NOT(ISERROR(SEARCH("옵션공사",P144)))</formula>
    </cfRule>
  </conditionalFormatting>
  <conditionalFormatting sqref="P82">
    <cfRule type="containsText" dxfId="11" priority="25" operator="containsText" text="업체진행">
      <formula>NOT(ISERROR(SEARCH("업체진행",P82)))</formula>
    </cfRule>
    <cfRule type="containsText" dxfId="10" priority="26" operator="containsText" text="옵션공사">
      <formula>NOT(ISERROR(SEARCH("옵션공사",P82)))</formula>
    </cfRule>
  </conditionalFormatting>
  <conditionalFormatting sqref="P94">
    <cfRule type="containsText" dxfId="9" priority="21" operator="containsText" text="업체진행">
      <formula>NOT(ISERROR(SEARCH("업체진행",P94)))</formula>
    </cfRule>
    <cfRule type="containsText" dxfId="8" priority="22" operator="containsText" text="옵션공사">
      <formula>NOT(ISERROR(SEARCH("옵션공사",P94)))</formula>
    </cfRule>
  </conditionalFormatting>
  <conditionalFormatting sqref="P147">
    <cfRule type="containsText" dxfId="7" priority="9" operator="containsText" text="업체진행">
      <formula>NOT(ISERROR(SEARCH("업체진행",P147)))</formula>
    </cfRule>
    <cfRule type="containsText" dxfId="6" priority="10" operator="containsText" text="옵션공사">
      <formula>NOT(ISERROR(SEARCH("옵션공사",P147)))</formula>
    </cfRule>
  </conditionalFormatting>
  <conditionalFormatting sqref="P102">
    <cfRule type="containsText" dxfId="5" priority="5" operator="containsText" text="업체진행">
      <formula>NOT(ISERROR(SEARCH("업체진행",P102)))</formula>
    </cfRule>
    <cfRule type="containsText" dxfId="4" priority="6" operator="containsText" text="옵션공사">
      <formula>NOT(ISERROR(SEARCH("옵션공사",P102)))</formula>
    </cfRule>
  </conditionalFormatting>
  <conditionalFormatting sqref="P206">
    <cfRule type="containsText" dxfId="3" priority="3" operator="containsText" text="업체진행">
      <formula>NOT(ISERROR(SEARCH("업체진행",P206)))</formula>
    </cfRule>
    <cfRule type="containsText" dxfId="2" priority="4" operator="containsText" text="옵션공사">
      <formula>NOT(ISERROR(SEARCH("옵션공사",P206)))</formula>
    </cfRule>
  </conditionalFormatting>
  <conditionalFormatting sqref="P207">
    <cfRule type="containsText" dxfId="1" priority="1" operator="containsText" text="업체진행">
      <formula>NOT(ISERROR(SEARCH("업체진행",P207)))</formula>
    </cfRule>
    <cfRule type="containsText" dxfId="0" priority="2" operator="containsText" text="옵션공사">
      <formula>NOT(ISERROR(SEARCH("옵션공사",P207)))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8" scale="33" fitToHeight="0" orientation="landscape" r:id="rId1"/>
  <rowBreaks count="3" manualBreakCount="3">
    <brk id="66" min="1" max="15" man="1"/>
    <brk id="128" min="1" max="15" man="1"/>
    <brk id="190" min="1" max="1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4"/>
  <sheetViews>
    <sheetView workbookViewId="0">
      <selection activeCell="K26" sqref="K26"/>
    </sheetView>
  </sheetViews>
  <sheetFormatPr defaultRowHeight="16.5"/>
  <sheetData>
    <row r="4" spans="2:2">
      <c r="B4" t="s">
        <v>65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5</vt:i4>
      </vt:variant>
    </vt:vector>
  </HeadingPairs>
  <TitlesOfParts>
    <vt:vector size="9" baseType="lpstr">
      <vt:lpstr>갑지</vt:lpstr>
      <vt:lpstr>을지</vt:lpstr>
      <vt:lpstr>견적상세</vt:lpstr>
      <vt:lpstr>추가항목기입</vt:lpstr>
      <vt:lpstr>갑지!Print_Area</vt:lpstr>
      <vt:lpstr>견적상세!Print_Area</vt:lpstr>
      <vt:lpstr>을지!Print_Area</vt:lpstr>
      <vt:lpstr>견적상세!Print_Titles</vt:lpstr>
      <vt:lpstr>을지!Print_Titles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2020-12-27T23:50:12Z</cp:lastPrinted>
  <dcterms:created xsi:type="dcterms:W3CDTF">2018-08-17T08:13:08Z</dcterms:created>
  <dcterms:modified xsi:type="dcterms:W3CDTF">2021-02-16T16:11:55Z</dcterms:modified>
</cp:coreProperties>
</file>