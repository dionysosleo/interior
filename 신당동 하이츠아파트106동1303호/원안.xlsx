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이창선\Desktop\약수동아하이츠\현장사진\"/>
    </mc:Choice>
  </mc:AlternateContent>
  <bookViews>
    <workbookView xWindow="1020" yWindow="120" windowWidth="19320" windowHeight="10392" activeTab="2"/>
  </bookViews>
  <sheets>
    <sheet name="갑 지" sheetId="6" r:id="rId1"/>
    <sheet name="내역" sheetId="8" r:id="rId2"/>
    <sheet name="진환" sheetId="10" r:id="rId3"/>
  </sheets>
  <definedNames>
    <definedName name="__" localSheetId="2" hidden="1">#REF!</definedName>
    <definedName name="__" hidden="1">#REF!</definedName>
    <definedName name="__IntlFixup" hidden="1">TRUE</definedName>
    <definedName name="_\D" localSheetId="2">#REF!</definedName>
    <definedName name="_\D">#REF!</definedName>
    <definedName name="_\X" localSheetId="2">#REF!</definedName>
    <definedName name="_\X">#REF!</definedName>
    <definedName name="_01" localSheetId="2">#REF!</definedName>
    <definedName name="_01">#REF!</definedName>
    <definedName name="_02" localSheetId="2">#REF!</definedName>
    <definedName name="_02">#REF!</definedName>
    <definedName name="_03" localSheetId="2">#REF!</definedName>
    <definedName name="_03">#REF!</definedName>
    <definedName name="_1" localSheetId="2">#REF!</definedName>
    <definedName name="_1">#REF!</definedName>
    <definedName name="_10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공장" localSheetId="2">#REF!</definedName>
    <definedName name="_1공장">#REF!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공장" localSheetId="2">#REF!</definedName>
    <definedName name="_2공장">#REF!</definedName>
    <definedName name="_3" localSheetId="2">#REF!</definedName>
    <definedName name="_3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공장" localSheetId="2">#REF!</definedName>
    <definedName name="_3공장">#REF!</definedName>
    <definedName name="_4" localSheetId="2">#REF!</definedName>
    <definedName name="_4">#REF!</definedName>
    <definedName name="_４._설___비____공___사" localSheetId="2">#REF!</definedName>
    <definedName name="_４._설___비____공___사">#REF!</definedName>
    <definedName name="_4_6_7">"a=evaluate(사진대지!B24)"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 localSheetId="2">#REF!</definedName>
    <definedName name="_5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 localSheetId="2">#REF!</definedName>
    <definedName name="_6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 localSheetId="2">#REF!</definedName>
    <definedName name="_7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306" localSheetId="2">#REF!</definedName>
    <definedName name="_9306">#REF!</definedName>
    <definedName name="_9307" localSheetId="2">#REF!</definedName>
    <definedName name="_9307">#REF!</definedName>
    <definedName name="_93081" localSheetId="2">#REF!</definedName>
    <definedName name="_93081">#REF!</definedName>
    <definedName name="_93082" localSheetId="2">#REF!</definedName>
    <definedName name="_93082">#REF!</definedName>
    <definedName name="_9309" localSheetId="2">#REF!</definedName>
    <definedName name="_9309">#REF!</definedName>
    <definedName name="_9310" localSheetId="2">#REF!</definedName>
    <definedName name="_9310">#REF!</definedName>
    <definedName name="_9311" localSheetId="2">#REF!</definedName>
    <definedName name="_9311">#REF!</definedName>
    <definedName name="_93121" localSheetId="2">#REF!</definedName>
    <definedName name="_93121">#REF!</definedName>
    <definedName name="_93122" localSheetId="2">#REF!</definedName>
    <definedName name="_93122">#REF!</definedName>
    <definedName name="_94">#N/A</definedName>
    <definedName name="_9401" localSheetId="2">#REF!</definedName>
    <definedName name="_9401">#REF!</definedName>
    <definedName name="_9402" localSheetId="2">#REF!</definedName>
    <definedName name="_9402">#REF!</definedName>
    <definedName name="_9403" localSheetId="2">#REF!</definedName>
    <definedName name="_9403">#REF!</definedName>
    <definedName name="_9404" localSheetId="2">#REF!</definedName>
    <definedName name="_9404">#REF!</definedName>
    <definedName name="_9405" localSheetId="2">#REF!</definedName>
    <definedName name="_9405">#REF!</definedName>
    <definedName name="_9406" localSheetId="2">#REF!</definedName>
    <definedName name="_9406">#REF!</definedName>
    <definedName name="_94071" localSheetId="2">#REF!</definedName>
    <definedName name="_94071">#REF!</definedName>
    <definedName name="_94072" localSheetId="2">#REF!</definedName>
    <definedName name="_94072">#REF!</definedName>
    <definedName name="_9408" localSheetId="2">#REF!</definedName>
    <definedName name="_9408">#REF!</definedName>
    <definedName name="_9409" localSheetId="2">#REF!</definedName>
    <definedName name="_9409">#REF!</definedName>
    <definedName name="_9410" localSheetId="2">#REF!</definedName>
    <definedName name="_9410">#REF!</definedName>
    <definedName name="_9411" localSheetId="2">#REF!</definedName>
    <definedName name="_9411">#REF!</definedName>
    <definedName name="_94121" localSheetId="2">#REF!</definedName>
    <definedName name="_94121">#REF!</definedName>
    <definedName name="_94122" localSheetId="2">#REF!</definedName>
    <definedName name="_94122">#REF!</definedName>
    <definedName name="_95">#N/A</definedName>
    <definedName name="_9501" localSheetId="2">#REF!</definedName>
    <definedName name="_9501">#REF!</definedName>
    <definedName name="_96">#N/A</definedName>
    <definedName name="_97">#N/A</definedName>
    <definedName name="_98">#N/A</definedName>
    <definedName name="_99">#N/A</definedName>
    <definedName name="_A" localSheetId="2">#REF!</definedName>
    <definedName name="_A">#REF!</definedName>
    <definedName name="_A69999" localSheetId="2">#REF!</definedName>
    <definedName name="_A69999">#REF!</definedName>
    <definedName name="_A99999" localSheetId="2">#REF!</definedName>
    <definedName name="_A99999">#REF!</definedName>
    <definedName name="_CSU1" localSheetId="2">#REF!</definedName>
    <definedName name="_CSU1">#REF!</definedName>
    <definedName name="_CSU2" localSheetId="2">#REF!</definedName>
    <definedName name="_CSU2">#REF!</definedName>
    <definedName name="_CSU3" localSheetId="2">#REF!</definedName>
    <definedName name="_CSU3">#REF!</definedName>
    <definedName name="_Dist_Bin" localSheetId="2" hidden="1">#REF!</definedName>
    <definedName name="_Dist_Bin" hidden="1">#REF!</definedName>
    <definedName name="_Dist_Values" localSheetId="2" hidden="1">#REF!</definedName>
    <definedName name="_Dist_Values" hidden="1">#REF!</definedName>
    <definedName name="_DOG1" localSheetId="2">#REF!</definedName>
    <definedName name="_DOG1">#REF!</definedName>
    <definedName name="_DOG2" localSheetId="2">#REF!</definedName>
    <definedName name="_DOG2">#REF!</definedName>
    <definedName name="_DOG22" localSheetId="2">#REF!</definedName>
    <definedName name="_DOG22">#REF!</definedName>
    <definedName name="_DOG3" localSheetId="2">#REF!</definedName>
    <definedName name="_DOG3">#REF!</definedName>
    <definedName name="_DOG33" localSheetId="2">#REF!</definedName>
    <definedName name="_DOG33">#REF!</definedName>
    <definedName name="_DOG4" localSheetId="2">#REF!</definedName>
    <definedName name="_DOG4">#REF!</definedName>
    <definedName name="_Fill" localSheetId="1" hidden="1">#REF!</definedName>
    <definedName name="_Fill" localSheetId="2" hidden="1">#REF!</definedName>
    <definedName name="_Fill" hidden="1">#REF!</definedName>
    <definedName name="_fks1" localSheetId="2">#REF!</definedName>
    <definedName name="_fks1">#REF!</definedName>
    <definedName name="_Fld01" localSheetId="2">#REF!</definedName>
    <definedName name="_Fld01">#REF!</definedName>
    <definedName name="_Fld02" localSheetId="2">#REF!</definedName>
    <definedName name="_Fld02">#REF!</definedName>
    <definedName name="_Fld03" localSheetId="2">#REF!</definedName>
    <definedName name="_Fld03">#REF!</definedName>
    <definedName name="_Fld04" localSheetId="2">#REF!</definedName>
    <definedName name="_Fld04">#REF!</definedName>
    <definedName name="_Fld05" localSheetId="2">#REF!</definedName>
    <definedName name="_Fld05">#REF!</definedName>
    <definedName name="_Fld06" localSheetId="2">#REF!</definedName>
    <definedName name="_Fld06">#REF!</definedName>
    <definedName name="_Fld07" localSheetId="2">#REF!</definedName>
    <definedName name="_Fld07">#REF!</definedName>
    <definedName name="_Fld08" localSheetId="2">#REF!</definedName>
    <definedName name="_Fld08">#REF!</definedName>
    <definedName name="_Fld09" localSheetId="2">#REF!</definedName>
    <definedName name="_Fld09">#REF!</definedName>
    <definedName name="_Fld10" localSheetId="2">#REF!</definedName>
    <definedName name="_Fld10">#REF!</definedName>
    <definedName name="_Fld11" localSheetId="2">#REF!</definedName>
    <definedName name="_Fld11">#REF!</definedName>
    <definedName name="_Fld13" localSheetId="2">#REF!</definedName>
    <definedName name="_Fld13">#REF!</definedName>
    <definedName name="_Fld14" localSheetId="2">#REF!</definedName>
    <definedName name="_Fld14">#REF!</definedName>
    <definedName name="_Fld15" localSheetId="2">#REF!</definedName>
    <definedName name="_Fld15">#REF!</definedName>
    <definedName name="_Fld16" localSheetId="2">#REF!</definedName>
    <definedName name="_Fld16">#REF!</definedName>
    <definedName name="_Fld18" localSheetId="2">#REF!</definedName>
    <definedName name="_Fld18">#REF!</definedName>
    <definedName name="_Fld19" localSheetId="2">#REF!</definedName>
    <definedName name="_Fld19">#REF!</definedName>
    <definedName name="_Fld20" localSheetId="2">#REF!</definedName>
    <definedName name="_Fld20">#REF!</definedName>
    <definedName name="_G640768" localSheetId="2">#REF!</definedName>
    <definedName name="_G640768">#REF!</definedName>
    <definedName name="_gap1" localSheetId="2">#REF!</definedName>
    <definedName name="_gap1">#REF!</definedName>
    <definedName name="_gap2" localSheetId="2">#REF!</definedName>
    <definedName name="_gap2">#REF!</definedName>
    <definedName name="_H100000" localSheetId="2">#REF!</definedName>
    <definedName name="_H100000">#REF!</definedName>
    <definedName name="_H65600" localSheetId="2">#REF!</definedName>
    <definedName name="_H65600">#REF!</definedName>
    <definedName name="_H65700" localSheetId="2">#REF!</definedName>
    <definedName name="_H65700">#REF!</definedName>
    <definedName name="_H65900" localSheetId="2">#REF!</definedName>
    <definedName name="_H65900">#REF!</definedName>
    <definedName name="_H66000" localSheetId="2">#REF!</definedName>
    <definedName name="_H66000">#REF!</definedName>
    <definedName name="_H70000" localSheetId="2">#REF!</definedName>
    <definedName name="_H70000">#REF!</definedName>
    <definedName name="_H71223" localSheetId="2">#REF!</definedName>
    <definedName name="_H71223">#REF!</definedName>
    <definedName name="_IDF15" localSheetId="2">#REF!</definedName>
    <definedName name="_IDF15">#REF!</definedName>
    <definedName name="_IL1" localSheetId="2">#REF!</definedName>
    <definedName name="_IL1">#REF!</definedName>
    <definedName name="_K809632" localSheetId="2">#REF!</definedName>
    <definedName name="_K809632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hidden="1">#REF!</definedName>
    <definedName name="_ksg1" localSheetId="2">#REF!</definedName>
    <definedName name="_ksg1">#REF!</definedName>
    <definedName name="_MatInverse_In" localSheetId="2" hidden="1">#REF!</definedName>
    <definedName name="_MatInverse_In" hidden="1">#REF!</definedName>
    <definedName name="_MatMult_A" localSheetId="2" hidden="1">#REF!</definedName>
    <definedName name="_MatMult_A" hidden="1">#REF!</definedName>
    <definedName name="_MatMult_AxB" localSheetId="2" hidden="1">#REF!</definedName>
    <definedName name="_MatMult_AxB" hidden="1">#REF!</definedName>
    <definedName name="_MatMult_B" localSheetId="2" hidden="1">#REF!</definedName>
    <definedName name="_MatMult_B" hidden="1">#REF!</definedName>
    <definedName name="_MUX3240" localSheetId="2">#REF!</definedName>
    <definedName name="_MUX3240">#REF!</definedName>
    <definedName name="_NIU1" localSheetId="2">#REF!</definedName>
    <definedName name="_NIU1">#REF!</definedName>
    <definedName name="_NIU2" localSheetId="2">#REF!</definedName>
    <definedName name="_NIU2">#REF!</definedName>
    <definedName name="_No3" localSheetId="2">#REF!</definedName>
    <definedName name="_No3">#REF!</definedName>
    <definedName name="_OFD24" localSheetId="2">#REF!</definedName>
    <definedName name="_OFD24">#REF!</definedName>
    <definedName name="_OFD48" localSheetId="2">#REF!</definedName>
    <definedName name="_OFD48">#REF!</definedName>
    <definedName name="_OFD96" localSheetId="2">#REF!</definedName>
    <definedName name="_OFD96">#REF!</definedName>
    <definedName name="_OIU1" localSheetId="2">#REF!</definedName>
    <definedName name="_OIU1">#REF!</definedName>
    <definedName name="_OIU2" localSheetId="2">#REF!</definedName>
    <definedName name="_OIU2">#REF!</definedName>
    <definedName name="_Order1" hidden="1">255</definedName>
    <definedName name="_Order2" hidden="1">255</definedName>
    <definedName name="_PI48" localSheetId="2">#REF!</definedName>
    <definedName name="_PI48">#REF!</definedName>
    <definedName name="_PI60" localSheetId="2">#REF!</definedName>
    <definedName name="_PI60">#REF!</definedName>
    <definedName name="_PP2" localSheetId="2">#REF!</definedName>
    <definedName name="_PP2">#REF!</definedName>
    <definedName name="_PP3" localSheetId="2">#REF!</definedName>
    <definedName name="_PP3">#REF!</definedName>
    <definedName name="_RE1" localSheetId="2">#REF!</definedName>
    <definedName name="_RE1">#REF!</definedName>
    <definedName name="_RE2" localSheetId="2">#REF!</definedName>
    <definedName name="_RE2">#REF!</definedName>
    <definedName name="_re3" localSheetId="2">#REF!</definedName>
    <definedName name="_re3">#REF!</definedName>
    <definedName name="_re4" localSheetId="2">#REF!</definedName>
    <definedName name="_re4">#REF!</definedName>
    <definedName name="_re5" localSheetId="2">#REF!</definedName>
    <definedName name="_re5">#REF!</definedName>
    <definedName name="_re6" localSheetId="2">#REF!</definedName>
    <definedName name="_re6">#REF!</definedName>
    <definedName name="_re7" localSheetId="2">#REF!</definedName>
    <definedName name="_re7">#REF!</definedName>
    <definedName name="_Regression_Int">1</definedName>
    <definedName name="_RO110" localSheetId="2">#REF!</definedName>
    <definedName name="_RO110">#REF!</definedName>
    <definedName name="_RO22" localSheetId="2">#REF!</definedName>
    <definedName name="_RO22">#REF!</definedName>
    <definedName name="_RO35" localSheetId="2">#REF!</definedName>
    <definedName name="_RO35">#REF!</definedName>
    <definedName name="_RO45" localSheetId="2">#REF!</definedName>
    <definedName name="_RO45">#REF!</definedName>
    <definedName name="_RO60" localSheetId="2">#REF!</definedName>
    <definedName name="_RO60">#REF!</definedName>
    <definedName name="_RO80" localSheetId="2">#REF!</definedName>
    <definedName name="_RO80">#REF!</definedName>
    <definedName name="_Sort" localSheetId="1" hidden="1">#REF!</definedName>
    <definedName name="_Sort" localSheetId="2" hidden="1">#REF!</definedName>
    <definedName name="_Sort" hidden="1">#REF!</definedName>
    <definedName name="_ST1">#N/A</definedName>
    <definedName name="_Table1_In1" localSheetId="2" hidden="1">#REF!</definedName>
    <definedName name="_Table1_In1" hidden="1">#REF!</definedName>
    <definedName name="_Table1_Out" localSheetId="2" hidden="1">#REF!</definedName>
    <definedName name="_Table1_Out" hidden="1">#REF!</definedName>
    <definedName name="_to1" localSheetId="2">#REF!</definedName>
    <definedName name="_to1">#REF!</definedName>
    <definedName name="_to2" localSheetId="2">#REF!</definedName>
    <definedName name="_to2">#REF!</definedName>
    <definedName name="_TON1" localSheetId="2">#REF!</definedName>
    <definedName name="_TON1">#REF!</definedName>
    <definedName name="_TON2" localSheetId="2">#REF!</definedName>
    <definedName name="_TON2">#REF!</definedName>
    <definedName name="_WW2" localSheetId="2">#REF!</definedName>
    <definedName name="_WW2">#REF!</definedName>
    <definedName name="_WW3" localSheetId="2">#REF!</definedName>
    <definedName name="_WW3">#REF!</definedName>
    <definedName name="_WW6" localSheetId="2">#REF!</definedName>
    <definedName name="_WW6">#REF!</definedName>
    <definedName name="_WW7" localSheetId="2">#REF!</definedName>
    <definedName name="_WW7">#REF!</definedName>
    <definedName name="_WW8" localSheetId="2">#REF!</definedName>
    <definedName name="_WW8">#REF!</definedName>
    <definedName name="¨u¨￢Au" localSheetId="2">#REF!</definedName>
    <definedName name="¨u¨￢Au">#REF!</definedName>
    <definedName name="¿¹≫e" localSheetId="2">#REF!</definedName>
    <definedName name="¿¹≫e">#REF!</definedName>
    <definedName name="¤C315" localSheetId="2">#REF!</definedName>
    <definedName name="¤C315">#REF!</definedName>
    <definedName name="¤Ç315" localSheetId="2">#REF!</definedName>
    <definedName name="¤Ç315">#REF!</definedName>
    <definedName name="\0">#N/A</definedName>
    <definedName name="\a" localSheetId="2">#REF!</definedName>
    <definedName name="\a">#REF!</definedName>
    <definedName name="\b" localSheetId="2">#REF!</definedName>
    <definedName name="\b">#REF!</definedName>
    <definedName name="\buffer4" localSheetId="2">#REF!</definedName>
    <definedName name="\buffer4">#REF!</definedName>
    <definedName name="\c" localSheetId="1">#N/A</definedName>
    <definedName name="\c" localSheetId="2">#N/A</definedName>
    <definedName name="\c">#REF!</definedName>
    <definedName name="\d" localSheetId="2">#REF!</definedName>
    <definedName name="\d">#REF!</definedName>
    <definedName name="\e" localSheetId="2">#REF!</definedName>
    <definedName name="\e">#REF!</definedName>
    <definedName name="\f" localSheetId="2">#REF!</definedName>
    <definedName name="\f">#REF!</definedName>
    <definedName name="\g" localSheetId="2">#REF!</definedName>
    <definedName name="\g">#REF!</definedName>
    <definedName name="\h" localSheetId="2">#REF!</definedName>
    <definedName name="\h">#REF!</definedName>
    <definedName name="\i" localSheetId="1">#REF!</definedName>
    <definedName name="\i" localSheetId="2">#REF!</definedName>
    <definedName name="\i">#REF!</definedName>
    <definedName name="\j" localSheetId="1">#N/A</definedName>
    <definedName name="\j" localSheetId="2">#N/A</definedName>
    <definedName name="\j">#REF!</definedName>
    <definedName name="\k" localSheetId="2">#REF!</definedName>
    <definedName name="\k">#REF!</definedName>
    <definedName name="\l" localSheetId="2">#REF!</definedName>
    <definedName name="\l">#REF!</definedName>
    <definedName name="\m" localSheetId="2">#REF!</definedName>
    <definedName name="\m">#REF!</definedName>
    <definedName name="\n" localSheetId="2">#REF!</definedName>
    <definedName name="\n">#REF!</definedName>
    <definedName name="\o" localSheetId="2">#REF!</definedName>
    <definedName name="\o">#REF!</definedName>
    <definedName name="\p" localSheetId="1">#N/A</definedName>
    <definedName name="\p" localSheetId="2">#N/A</definedName>
    <definedName name="\p">#REF!</definedName>
    <definedName name="\q" localSheetId="1">#N/A</definedName>
    <definedName name="\q" localSheetId="2">#N/A</definedName>
    <definedName name="\q">#REF!</definedName>
    <definedName name="\r" localSheetId="2">#REF!</definedName>
    <definedName name="\r">#REF!</definedName>
    <definedName name="\s">#N/A</definedName>
    <definedName name="\t" localSheetId="2">#REF!</definedName>
    <definedName name="\t">#REF!</definedName>
    <definedName name="\u" localSheetId="2">#REF!</definedName>
    <definedName name="\u">#REF!</definedName>
    <definedName name="\v" localSheetId="2">#REF!</definedName>
    <definedName name="\v">#REF!</definedName>
    <definedName name="\w" localSheetId="2">#REF!</definedName>
    <definedName name="\w">#REF!</definedName>
    <definedName name="\x" localSheetId="2">#REF!</definedName>
    <definedName name="\x">#REF!</definedName>
    <definedName name="\z" localSheetId="2">#REF!</definedName>
    <definedName name="\z">#REF!</definedName>
    <definedName name="¼ºAu" localSheetId="2">#REF!</definedName>
    <definedName name="¼ºAu">#REF!</definedName>
    <definedName name="A" localSheetId="1" hidden="1">#REF!</definedName>
    <definedName name="A" localSheetId="2" hidden="1">#REF!</definedName>
    <definedName name="A">BlankMacro1</definedName>
    <definedName name="A_" localSheetId="2">#REF!</definedName>
    <definedName name="A_">#REF!</definedName>
    <definedName name="A0" localSheetId="2">#REF!</definedName>
    <definedName name="A0">#REF!</definedName>
    <definedName name="A2배선공" localSheetId="2">#REF!</definedName>
    <definedName name="A2배선공">#REF!</definedName>
    <definedName name="AA" localSheetId="1">#REF!</definedName>
    <definedName name="AA" localSheetId="2">#REF!</definedName>
    <definedName name="aa">#REF!</definedName>
    <definedName name="AAA" localSheetId="2">#REF!</definedName>
    <definedName name="AAA">#REF!</definedName>
    <definedName name="AAAA" localSheetId="1">#REF!</definedName>
    <definedName name="AAAA" localSheetId="2">#REF!</definedName>
    <definedName name="aaaa">#REF!</definedName>
    <definedName name="ABC" localSheetId="2">BLCH</definedName>
    <definedName name="ABC">BLCH</definedName>
    <definedName name="ad_conv" localSheetId="2">#REF!</definedName>
    <definedName name="ad_conv">#REF!</definedName>
    <definedName name="ADDRESS" localSheetId="2">#REF!</definedName>
    <definedName name="ADDRESS">#REF!</definedName>
    <definedName name="agdump" localSheetId="2">#REF!</definedName>
    <definedName name="agdump">#REF!</definedName>
    <definedName name="agedump" localSheetId="2">#REF!</definedName>
    <definedName name="agedump">#REF!</definedName>
    <definedName name="agencydump" localSheetId="2">#REF!</definedName>
    <definedName name="agencydump">#REF!</definedName>
    <definedName name="AGENCYLY" localSheetId="2">#REF!</definedName>
    <definedName name="AGENCYLY">#REF!</definedName>
    <definedName name="AGENCYPLAN" localSheetId="2">#REF!</definedName>
    <definedName name="AGENCYPLAN">#REF!</definedName>
    <definedName name="AH" localSheetId="2">#REF!</definedName>
    <definedName name="AH">#REF!</definedName>
    <definedName name="AI" localSheetId="2">#REF!</definedName>
    <definedName name="AI">#REF!</definedName>
    <definedName name="Alkali" localSheetId="2">#REF!</definedName>
    <definedName name="Alkali">#REF!</definedName>
    <definedName name="ALKr" localSheetId="2">#REF!</definedName>
    <definedName name="ALKr">#REF!</definedName>
    <definedName name="ALKs" localSheetId="2">#REF!</definedName>
    <definedName name="ALKs">#REF!</definedName>
    <definedName name="amc" localSheetId="2">#REF!</definedName>
    <definedName name="amc">#REF!</definedName>
    <definedName name="ANFRK2" localSheetId="2">#REF!</definedName>
    <definedName name="ANFRK2">#REF!</definedName>
    <definedName name="ANFRK3" localSheetId="2">#REF!</definedName>
    <definedName name="ANFRK3">#REF!</definedName>
    <definedName name="anfrkk" localSheetId="2">#REF!</definedName>
    <definedName name="anfrkk">#REF!</definedName>
    <definedName name="anscount" hidden="1">1</definedName>
    <definedName name="APT" localSheetId="2">#REF!</definedName>
    <definedName name="APT">#REF!</definedName>
    <definedName name="APTGI" localSheetId="2">#REF!</definedName>
    <definedName name="APTGI">#REF!</definedName>
    <definedName name="APT경비" localSheetId="2">#REF!</definedName>
    <definedName name="APT경비">#REF!</definedName>
    <definedName name="as" localSheetId="1">#REF!</definedName>
    <definedName name="as" localSheetId="2">#REF!</definedName>
    <definedName name="AS" hidden="1">{#N/A,#N/A,FALSE,"CAM-G7";#N/A,#N/A,FALSE,"SPL";#N/A,#N/A,FALSE,"butt-in G7";#N/A,#N/A,FALSE,"dia-in G7";#N/A,#N/A,FALSE,"추가-STA G7"}</definedName>
    <definedName name="asaasa" localSheetId="2">#REF!</definedName>
    <definedName name="asaasa">#REF!</definedName>
    <definedName name="ASTE" localSheetId="2">#REF!</definedName>
    <definedName name="ASTE">#REF!</definedName>
    <definedName name="ASTE_4WEM" localSheetId="2">#REF!</definedName>
    <definedName name="ASTE_4WEM">#REF!</definedName>
    <definedName name="ASTE_COM" localSheetId="2">#REF!</definedName>
    <definedName name="ASTE_COM">#REF!</definedName>
    <definedName name="ASTE_OCUDPAR" localSheetId="2">#REF!</definedName>
    <definedName name="ASTE_OCUDPAR">#REF!</definedName>
    <definedName name="ASTE_PSU" localSheetId="2">#REF!</definedName>
    <definedName name="ASTE_PSU">#REF!</definedName>
    <definedName name="aumx" localSheetId="2">#REF!</definedName>
    <definedName name="aumx">#REF!</definedName>
    <definedName name="AUTOEXEC" localSheetId="2">#REF!</definedName>
    <definedName name="AUTOEXEC">#REF!</definedName>
    <definedName name="AV" localSheetId="2">#REF!</definedName>
    <definedName name="AV">#REF!</definedName>
    <definedName name="b" localSheetId="1">#REF!</definedName>
    <definedName name="b" localSheetId="2">#REF!</definedName>
    <definedName name="B">#N/A</definedName>
    <definedName name="B_" localSheetId="2">#REF!</definedName>
    <definedName name="B_">#REF!</definedName>
    <definedName name="BDCODE">#N/A</definedName>
    <definedName name="bn" localSheetId="2">#REF!</definedName>
    <definedName name="bn">#REF!</definedName>
    <definedName name="bns" localSheetId="2">#REF!</definedName>
    <definedName name="bns">#REF!</definedName>
    <definedName name="BOD" localSheetId="2">#REF!</definedName>
    <definedName name="BOD">#REF!</definedName>
    <definedName name="Book1_Sheet2_List" localSheetId="2">#REF!</definedName>
    <definedName name="Book1_Sheet2_List">#REF!</definedName>
    <definedName name="BU" localSheetId="2">#REF!</definedName>
    <definedName name="BU">#REF!</definedName>
    <definedName name="BUFFER1" localSheetId="2">#REF!</definedName>
    <definedName name="BUFFER1">#REF!</definedName>
    <definedName name="BUFFER2" localSheetId="2">#REF!</definedName>
    <definedName name="BUFFER2">#REF!</definedName>
    <definedName name="BUFFER3" localSheetId="2">#REF!</definedName>
    <definedName name="BUFFER3">#REF!</definedName>
    <definedName name="BUFFER4" localSheetId="2">#REF!</definedName>
    <definedName name="BUFFER4">#REF!</definedName>
    <definedName name="BUGI" localSheetId="2">#REF!</definedName>
    <definedName name="BUGI">#REF!</definedName>
    <definedName name="BV" localSheetId="2">#REF!</definedName>
    <definedName name="BV">#REF!</definedName>
    <definedName name="bytesync" localSheetId="2">#REF!</definedName>
    <definedName name="bytesync">#REF!</definedName>
    <definedName name="C_" localSheetId="2">#REF!</definedName>
    <definedName name="C_">#REF!</definedName>
    <definedName name="CABLEMNO">#N/A</definedName>
    <definedName name="CABLENO">#N/A</definedName>
    <definedName name="CABLETYPE">#N/A</definedName>
    <definedName name="CalcAgencyPrice" localSheetId="2">#REF!</definedName>
    <definedName name="CalcAgencyPrice">#REF!</definedName>
    <definedName name="CCC" localSheetId="2">#REF!</definedName>
    <definedName name="CCC">#REF!</definedName>
    <definedName name="ccdc" localSheetId="2">#REF!</definedName>
    <definedName name="ccdc">#REF!</definedName>
    <definedName name="CHO">#N/A</definedName>
    <definedName name="COD" localSheetId="2">#REF!</definedName>
    <definedName name="COD">#REF!</definedName>
    <definedName name="CODcr" localSheetId="2">#REF!</definedName>
    <definedName name="CODcr">#REF!</definedName>
    <definedName name="CODE" localSheetId="2">#REF!</definedName>
    <definedName name="CODE">#REF!</definedName>
    <definedName name="com" localSheetId="2">#REF!</definedName>
    <definedName name="com">#REF!</definedName>
    <definedName name="Commission" localSheetId="2">#REF!</definedName>
    <definedName name="Commission">#REF!</definedName>
    <definedName name="COMPANY">#N/A</definedName>
    <definedName name="CONC">#N/A</definedName>
    <definedName name="controller" localSheetId="2">#REF!</definedName>
    <definedName name="controller">#REF!</definedName>
    <definedName name="CORE융착접속" localSheetId="2">#REF!</definedName>
    <definedName name="CORE융착접속">#REF!</definedName>
    <definedName name="CPEV" localSheetId="2">#REF!</definedName>
    <definedName name="CPEV">#REF!</definedName>
    <definedName name="cpu" localSheetId="2">#REF!</definedName>
    <definedName name="cpu">#REF!</definedName>
    <definedName name="CPU_시험기사" localSheetId="2">#REF!</definedName>
    <definedName name="CPU_시험기사">#REF!</definedName>
    <definedName name="cpu시험" localSheetId="2">#REF!</definedName>
    <definedName name="cpu시험">#REF!</definedName>
    <definedName name="CPU시험기사" localSheetId="2">#REF!</definedName>
    <definedName name="CPU시험기사">#REF!</definedName>
    <definedName name="CPU시험사" localSheetId="2">#REF!</definedName>
    <definedName name="CPU시험사">#REF!</definedName>
    <definedName name="cq_508" localSheetId="2">#REF!</definedName>
    <definedName name="cq_508">#REF!</definedName>
    <definedName name="CQ_MUX" localSheetId="2">#REF!</definedName>
    <definedName name="CQ_MUX">#REF!</definedName>
    <definedName name="cq_r" localSheetId="2">#REF!</definedName>
    <definedName name="cq_r">#REF!</definedName>
    <definedName name="cq_t" localSheetId="2">#REF!</definedName>
    <definedName name="cq_t">#REF!</definedName>
    <definedName name="CR" localSheetId="2">#REF!</definedName>
    <definedName name="CR">#REF!</definedName>
    <definedName name="Csr" localSheetId="2">#REF!</definedName>
    <definedName name="Csr">#REF!</definedName>
    <definedName name="CVVS14" localSheetId="2">#REF!</definedName>
    <definedName name="CVVS14">#REF!</definedName>
    <definedName name="CVVS55" localSheetId="2">#REF!</definedName>
    <definedName name="CVVS55">#REF!</definedName>
    <definedName name="CZ" localSheetId="2">#REF!</definedName>
    <definedName name="CZ">#REF!</definedName>
    <definedName name="d" localSheetId="1">#REF!</definedName>
    <definedName name="d" localSheetId="2">#REF!</definedName>
    <definedName name="D">#REF!</definedName>
    <definedName name="da_conv" localSheetId="2">#REF!</definedName>
    <definedName name="da_conv">#REF!</definedName>
    <definedName name="DAN_S">#N/A</definedName>
    <definedName name="DANGA" localSheetId="1">#REF!,#REF!</definedName>
    <definedName name="DANGA" localSheetId="2">#REF!,#REF!</definedName>
    <definedName name="DANGA">#REF!,#REF!</definedName>
    <definedName name="danga2" localSheetId="2">#REF!,#REF!</definedName>
    <definedName name="danga2">#REF!,#REF!</definedName>
    <definedName name="DaRWk1" localSheetId="2">#REF!</definedName>
    <definedName name="DaRWk1">#REF!</definedName>
    <definedName name="DaRWk10" localSheetId="2">#REF!</definedName>
    <definedName name="DaRWk10">#REF!</definedName>
    <definedName name="DaRWk11" localSheetId="2">#REF!</definedName>
    <definedName name="DaRWk11">#REF!</definedName>
    <definedName name="DaRWk12" localSheetId="2">#REF!</definedName>
    <definedName name="DaRWk12">#REF!</definedName>
    <definedName name="DaRWk2" localSheetId="2">#REF!</definedName>
    <definedName name="DaRWk2">#REF!</definedName>
    <definedName name="DaRWk3" localSheetId="2">#REF!</definedName>
    <definedName name="DaRWk3">#REF!</definedName>
    <definedName name="DaRWk4" localSheetId="2">#REF!</definedName>
    <definedName name="DaRWk4">#REF!</definedName>
    <definedName name="DaRWk5" localSheetId="2">#REF!</definedName>
    <definedName name="DaRWk5">#REF!</definedName>
    <definedName name="DaRWk6" localSheetId="2">#REF!</definedName>
    <definedName name="DaRWk6">#REF!</definedName>
    <definedName name="DaRWk8" localSheetId="2">#REF!</definedName>
    <definedName name="DaRWk8">#REF!</definedName>
    <definedName name="DaRwk9" localSheetId="2">#REF!</definedName>
    <definedName name="DaRwk9">#REF!</definedName>
    <definedName name="DATA" hidden="1">{#N/A,#N/A,FALSE,"CAM-G7";#N/A,#N/A,FALSE,"SPL";#N/A,#N/A,FALSE,"butt-in G7";#N/A,#N/A,FALSE,"dia-in G7";#N/A,#N/A,FALSE,"추가-STA G7"}</definedName>
    <definedName name="Data1" localSheetId="2">#REF!</definedName>
    <definedName name="Data1">#REF!</definedName>
    <definedName name="Data2" localSheetId="2">#REF!</definedName>
    <definedName name="Data2">#REF!</definedName>
    <definedName name="Data3" localSheetId="2">#REF!</definedName>
    <definedName name="Data3">#REF!</definedName>
    <definedName name="Data4" localSheetId="2">#REF!</definedName>
    <definedName name="Data4">#REF!</definedName>
    <definedName name="_xlnm.Database" localSheetId="1">#REF!</definedName>
    <definedName name="_xlnm.Database" localSheetId="2">#REF!</definedName>
    <definedName name="_xlnm.Database">#REF!</definedName>
    <definedName name="Database_MI" localSheetId="2">#REF!</definedName>
    <definedName name="Database_MI">#REF!</definedName>
    <definedName name="database2" localSheetId="1">#REF!</definedName>
    <definedName name="database2" localSheetId="2">#REF!</definedName>
    <definedName name="database2">#REF!</definedName>
    <definedName name="DaWk7" localSheetId="2">#REF!</definedName>
    <definedName name="DaWk7">#REF!</definedName>
    <definedName name="DAY">#N/A</definedName>
    <definedName name="dbrwk1" localSheetId="2">#REF!</definedName>
    <definedName name="dbrwk1">#REF!</definedName>
    <definedName name="dbrwk10" localSheetId="2">#REF!</definedName>
    <definedName name="dbrwk10">#REF!</definedName>
    <definedName name="dbrwk11" localSheetId="2">#REF!</definedName>
    <definedName name="dbrwk11">#REF!</definedName>
    <definedName name="dbrwk12" localSheetId="2">#REF!</definedName>
    <definedName name="dbrwk12">#REF!</definedName>
    <definedName name="dbrwk2" localSheetId="2">#REF!</definedName>
    <definedName name="dbrwk2">#REF!</definedName>
    <definedName name="dbrwk3" localSheetId="2">#REF!</definedName>
    <definedName name="dbrwk3">#REF!</definedName>
    <definedName name="dbrwk4" localSheetId="2">#REF!</definedName>
    <definedName name="dbrwk4">#REF!</definedName>
    <definedName name="dbrwk5" localSheetId="2">#REF!</definedName>
    <definedName name="dbrwk5">#REF!</definedName>
    <definedName name="dbrwk6" localSheetId="2">#REF!</definedName>
    <definedName name="dbrwk6">#REF!</definedName>
    <definedName name="dbrwk7" localSheetId="2">#REF!</definedName>
    <definedName name="dbrwk7">#REF!</definedName>
    <definedName name="dbrwk8" localSheetId="2">#REF!</definedName>
    <definedName name="dbrwk8">#REF!</definedName>
    <definedName name="dbrwk9" localSheetId="2">#REF!</definedName>
    <definedName name="dbrwk9">#REF!</definedName>
    <definedName name="dcrwk1" localSheetId="2">#REF!</definedName>
    <definedName name="dcrwk1">#REF!</definedName>
    <definedName name="dcrwk10" localSheetId="2">#REF!</definedName>
    <definedName name="dcrwk10">#REF!</definedName>
    <definedName name="dcrwk11" localSheetId="2">#REF!</definedName>
    <definedName name="dcrwk11">#REF!</definedName>
    <definedName name="dcrwk12" localSheetId="2">#REF!</definedName>
    <definedName name="dcrwk12">#REF!</definedName>
    <definedName name="dcrwk2" localSheetId="2">#REF!</definedName>
    <definedName name="dcrwk2">#REF!</definedName>
    <definedName name="dcrwk3" localSheetId="2">#REF!</definedName>
    <definedName name="dcrwk3">#REF!</definedName>
    <definedName name="dcrwk4" localSheetId="2">#REF!</definedName>
    <definedName name="dcrwk4">#REF!</definedName>
    <definedName name="dcrwk5" localSheetId="2">#REF!</definedName>
    <definedName name="dcrwk5">#REF!</definedName>
    <definedName name="dcrwk6" localSheetId="2">#REF!</definedName>
    <definedName name="dcrwk6">#REF!</definedName>
    <definedName name="dcrwk7" localSheetId="2">#REF!</definedName>
    <definedName name="dcrwk7">#REF!</definedName>
    <definedName name="dcrwk8" localSheetId="2">#REF!</definedName>
    <definedName name="dcrwk8">#REF!</definedName>
    <definedName name="dcrwk9" localSheetId="2">#REF!</definedName>
    <definedName name="dcrwk9">#REF!</definedName>
    <definedName name="DD" localSheetId="2">#REF!</definedName>
    <definedName name="DD">#REF!</definedName>
    <definedName name="DDD" localSheetId="2">#REF!</definedName>
    <definedName name="DDD">#REF!</definedName>
    <definedName name="DDDD" localSheetId="2">#REF!</definedName>
    <definedName name="DDDD">#REF!</definedName>
    <definedName name="DelDC" localSheetId="2">#REF!</definedName>
    <definedName name="DelDC">#REF!</definedName>
    <definedName name="DelDm" localSheetId="2">#REF!</definedName>
    <definedName name="DelDm">#REF!</definedName>
    <definedName name="Delivery" localSheetId="2">#REF!</definedName>
    <definedName name="Delivery">#REF!</definedName>
    <definedName name="DelType" localSheetId="2">#REF!</definedName>
    <definedName name="DelType">#REF!</definedName>
    <definedName name="DEMO" localSheetId="2">#REF!</definedName>
    <definedName name="DEMO">#REF!</definedName>
    <definedName name="deptLookup" localSheetId="2">#REF!</definedName>
    <definedName name="deptLookup">#REF!</definedName>
    <definedName name="df" localSheetId="2">#REF!</definedName>
    <definedName name="df">#REF!</definedName>
    <definedName name="dfjlf" localSheetId="2">BlankMacro1</definedName>
    <definedName name="dfjlf">BlankMacro1</definedName>
    <definedName name="DFS" localSheetId="2">#REF!</definedName>
    <definedName name="DFS">#REF!</definedName>
    <definedName name="dl" localSheetId="2">#REF!</definedName>
    <definedName name="dl">#REF!</definedName>
    <definedName name="dlf" localSheetId="2">#REF!</definedName>
    <definedName name="dlf">#REF!</definedName>
    <definedName name="dn" hidden="1">{#N/A,#N/A,FALSE,"혼합골재"}</definedName>
    <definedName name="DO" localSheetId="2">#REF!</definedName>
    <definedName name="DO">#REF!</definedName>
    <definedName name="DRIVE" localSheetId="2">#REF!</definedName>
    <definedName name="DRIVE">#REF!</definedName>
    <definedName name="DROW">#N/A</definedName>
    <definedName name="ds" localSheetId="2">#REF!</definedName>
    <definedName name="ds">#REF!</definedName>
    <definedName name="dsagasga" localSheetId="2">#REF!</definedName>
    <definedName name="dsagasga">#REF!</definedName>
    <definedName name="DSU" localSheetId="2">#REF!</definedName>
    <definedName name="DSU">#REF!</definedName>
    <definedName name="DSVP" localSheetId="2">#REF!</definedName>
    <definedName name="DSVP">#REF!</definedName>
    <definedName name="dumppr" localSheetId="2">#REF!</definedName>
    <definedName name="dumppr">#REF!</definedName>
    <definedName name="E">#N/A</definedName>
    <definedName name="E1_3240" localSheetId="2">#REF!</definedName>
    <definedName name="E1_3240">#REF!</definedName>
    <definedName name="E10M" localSheetId="2">#REF!</definedName>
    <definedName name="E10M">#REF!</definedName>
    <definedName name="E10P" localSheetId="2">#REF!</definedName>
    <definedName name="E10P">#REF!</definedName>
    <definedName name="E11M" localSheetId="2">#REF!</definedName>
    <definedName name="E11M">#REF!</definedName>
    <definedName name="E11P" localSheetId="2">#REF!</definedName>
    <definedName name="E11P">#REF!</definedName>
    <definedName name="E12M" localSheetId="2">#REF!</definedName>
    <definedName name="E12M">#REF!</definedName>
    <definedName name="E12P" localSheetId="2">#REF!</definedName>
    <definedName name="E12P">#REF!</definedName>
    <definedName name="E13M" localSheetId="2">#REF!</definedName>
    <definedName name="E13M">#REF!</definedName>
    <definedName name="E13P" localSheetId="2">#REF!</definedName>
    <definedName name="E13P">#REF!</definedName>
    <definedName name="E14M" localSheetId="2">#REF!</definedName>
    <definedName name="E14M">#REF!</definedName>
    <definedName name="E14P" localSheetId="2">#REF!</definedName>
    <definedName name="E14P">#REF!</definedName>
    <definedName name="E15M" localSheetId="2">#REF!</definedName>
    <definedName name="E15M">#REF!</definedName>
    <definedName name="E15P" localSheetId="2">#REF!</definedName>
    <definedName name="E15P">#REF!</definedName>
    <definedName name="E16M" localSheetId="2">#REF!</definedName>
    <definedName name="E16M">#REF!</definedName>
    <definedName name="E16P" localSheetId="2">#REF!</definedName>
    <definedName name="E16P">#REF!</definedName>
    <definedName name="E17M" localSheetId="2">#REF!</definedName>
    <definedName name="E17M">#REF!</definedName>
    <definedName name="E17P" localSheetId="2">#REF!</definedName>
    <definedName name="E17P">#REF!</definedName>
    <definedName name="E18M" localSheetId="2">#REF!</definedName>
    <definedName name="E18M">#REF!</definedName>
    <definedName name="E18P" localSheetId="2">#REF!</definedName>
    <definedName name="E18P">#REF!</definedName>
    <definedName name="E19M" localSheetId="2">#REF!</definedName>
    <definedName name="E19M">#REF!</definedName>
    <definedName name="E19P" localSheetId="2">#REF!</definedName>
    <definedName name="E19P">#REF!</definedName>
    <definedName name="E1E" localSheetId="2">#REF!</definedName>
    <definedName name="E1E">#REF!</definedName>
    <definedName name="E1M" localSheetId="2">#REF!</definedName>
    <definedName name="E1M">#REF!</definedName>
    <definedName name="E1P" localSheetId="2">#REF!</definedName>
    <definedName name="E1P">#REF!</definedName>
    <definedName name="E20M" localSheetId="2">#REF!</definedName>
    <definedName name="E20M">#REF!</definedName>
    <definedName name="E20P" localSheetId="2">#REF!</definedName>
    <definedName name="E20P">#REF!</definedName>
    <definedName name="E21M" localSheetId="2">#REF!</definedName>
    <definedName name="E21M">#REF!</definedName>
    <definedName name="E21P" localSheetId="2">#REF!</definedName>
    <definedName name="E21P">#REF!</definedName>
    <definedName name="E22M" localSheetId="2">#REF!</definedName>
    <definedName name="E22M">#REF!</definedName>
    <definedName name="E22P" localSheetId="2">#REF!</definedName>
    <definedName name="E22P">#REF!</definedName>
    <definedName name="E23M" localSheetId="2">#REF!</definedName>
    <definedName name="E23M">#REF!</definedName>
    <definedName name="E23P" localSheetId="2">#REF!</definedName>
    <definedName name="E23P">#REF!</definedName>
    <definedName name="E24M" localSheetId="2">#REF!</definedName>
    <definedName name="E24M">#REF!</definedName>
    <definedName name="E24P" localSheetId="2">#REF!</definedName>
    <definedName name="E24P">#REF!</definedName>
    <definedName name="E25M" localSheetId="2">#REF!</definedName>
    <definedName name="E25M">#REF!</definedName>
    <definedName name="E25P" localSheetId="2">#REF!</definedName>
    <definedName name="E25P">#REF!</definedName>
    <definedName name="E26E" localSheetId="2">#REF!</definedName>
    <definedName name="E26E">#REF!</definedName>
    <definedName name="E26M" localSheetId="2">#REF!</definedName>
    <definedName name="E26M">#REF!</definedName>
    <definedName name="E26P" localSheetId="2">#REF!</definedName>
    <definedName name="E26P">#REF!</definedName>
    <definedName name="E27E" localSheetId="2">#REF!</definedName>
    <definedName name="E27E">#REF!</definedName>
    <definedName name="E27M" localSheetId="2">#REF!</definedName>
    <definedName name="E27M">#REF!</definedName>
    <definedName name="E27P" localSheetId="2">#REF!</definedName>
    <definedName name="E27P">#REF!</definedName>
    <definedName name="E28E" localSheetId="2">#REF!</definedName>
    <definedName name="E28E">#REF!</definedName>
    <definedName name="E28M" localSheetId="2">#REF!</definedName>
    <definedName name="E28M">#REF!</definedName>
    <definedName name="E28P" localSheetId="2">#REF!</definedName>
    <definedName name="E28P">#REF!</definedName>
    <definedName name="E29M" localSheetId="2">#REF!</definedName>
    <definedName name="E29M">#REF!</definedName>
    <definedName name="E29P" localSheetId="2">#REF!</definedName>
    <definedName name="E29P">#REF!</definedName>
    <definedName name="E2E" localSheetId="2">#REF!</definedName>
    <definedName name="E2E">#REF!</definedName>
    <definedName name="E2M" localSheetId="2">#REF!</definedName>
    <definedName name="E2M">#REF!</definedName>
    <definedName name="E2P" localSheetId="2">#REF!</definedName>
    <definedName name="E2P">#REF!</definedName>
    <definedName name="E30M" localSheetId="2">#REF!</definedName>
    <definedName name="E30M">#REF!</definedName>
    <definedName name="E30P" localSheetId="2">#REF!</definedName>
    <definedName name="E30P">#REF!</definedName>
    <definedName name="E31E" localSheetId="2">#REF!</definedName>
    <definedName name="E31E">#REF!</definedName>
    <definedName name="E31M" localSheetId="2">#REF!</definedName>
    <definedName name="E31M">#REF!</definedName>
    <definedName name="E31P" localSheetId="2">#REF!</definedName>
    <definedName name="E31P">#REF!</definedName>
    <definedName name="E32E" localSheetId="2">#REF!</definedName>
    <definedName name="E32E">#REF!</definedName>
    <definedName name="E32M" localSheetId="2">#REF!</definedName>
    <definedName name="E32M">#REF!</definedName>
    <definedName name="E32P" localSheetId="2">#REF!</definedName>
    <definedName name="E32P">#REF!</definedName>
    <definedName name="E33E" localSheetId="2">#REF!</definedName>
    <definedName name="E33E">#REF!</definedName>
    <definedName name="E33M" localSheetId="2">#REF!</definedName>
    <definedName name="E33M">#REF!</definedName>
    <definedName name="E33P" localSheetId="2">#REF!</definedName>
    <definedName name="E33P">#REF!</definedName>
    <definedName name="E34E" localSheetId="2">#REF!</definedName>
    <definedName name="E34E">#REF!</definedName>
    <definedName name="E34M" localSheetId="2">#REF!</definedName>
    <definedName name="E34M">#REF!</definedName>
    <definedName name="E34P" localSheetId="2">#REF!</definedName>
    <definedName name="E34P">#REF!</definedName>
    <definedName name="E35M" localSheetId="2">#REF!</definedName>
    <definedName name="E35M">#REF!</definedName>
    <definedName name="E35P" localSheetId="2">#REF!</definedName>
    <definedName name="E35P">#REF!</definedName>
    <definedName name="E36M" localSheetId="2">#REF!</definedName>
    <definedName name="E36M">#REF!</definedName>
    <definedName name="E36P" localSheetId="2">#REF!</definedName>
    <definedName name="E36P">#REF!</definedName>
    <definedName name="E37M" localSheetId="2">#REF!</definedName>
    <definedName name="E37M">#REF!</definedName>
    <definedName name="E37P" localSheetId="2">#REF!</definedName>
    <definedName name="E37P">#REF!</definedName>
    <definedName name="E38M" localSheetId="2">#REF!</definedName>
    <definedName name="E38M">#REF!</definedName>
    <definedName name="E38P" localSheetId="2">#REF!</definedName>
    <definedName name="E38P">#REF!</definedName>
    <definedName name="E39M" localSheetId="2">#REF!</definedName>
    <definedName name="E39M">#REF!</definedName>
    <definedName name="E39P" localSheetId="2">#REF!</definedName>
    <definedName name="E39P">#REF!</definedName>
    <definedName name="E3P" localSheetId="2">#REF!</definedName>
    <definedName name="E3P">#REF!</definedName>
    <definedName name="E40M" localSheetId="2">#REF!</definedName>
    <definedName name="E40M">#REF!</definedName>
    <definedName name="E40P" localSheetId="2">#REF!</definedName>
    <definedName name="E40P">#REF!</definedName>
    <definedName name="E41M" localSheetId="2">#REF!</definedName>
    <definedName name="E41M">#REF!</definedName>
    <definedName name="E41P" localSheetId="2">#REF!</definedName>
    <definedName name="E41P">#REF!</definedName>
    <definedName name="E42M" localSheetId="2">#REF!</definedName>
    <definedName name="E42M">#REF!</definedName>
    <definedName name="E42P" localSheetId="2">#REF!</definedName>
    <definedName name="E42P">#REF!</definedName>
    <definedName name="E43M" localSheetId="2">#REF!</definedName>
    <definedName name="E43M">#REF!</definedName>
    <definedName name="E43P" localSheetId="2">#REF!</definedName>
    <definedName name="E43P">#REF!</definedName>
    <definedName name="E44M" localSheetId="2">#REF!</definedName>
    <definedName name="E44M">#REF!</definedName>
    <definedName name="E44P" localSheetId="2">#REF!</definedName>
    <definedName name="E44P">#REF!</definedName>
    <definedName name="E45M" localSheetId="2">#REF!</definedName>
    <definedName name="E45M">#REF!</definedName>
    <definedName name="E45P" localSheetId="2">#REF!</definedName>
    <definedName name="E45P">#REF!</definedName>
    <definedName name="E46M" localSheetId="2">#REF!</definedName>
    <definedName name="E46M">#REF!</definedName>
    <definedName name="E46P" localSheetId="2">#REF!</definedName>
    <definedName name="E46P">#REF!</definedName>
    <definedName name="E47M" localSheetId="2">#REF!</definedName>
    <definedName name="E47M">#REF!</definedName>
    <definedName name="E47P" localSheetId="2">#REF!</definedName>
    <definedName name="E47P">#REF!</definedName>
    <definedName name="E48M" localSheetId="2">#REF!</definedName>
    <definedName name="E48M">#REF!</definedName>
    <definedName name="E48P" localSheetId="2">#REF!</definedName>
    <definedName name="E48P">#REF!</definedName>
    <definedName name="E49M" localSheetId="2">#REF!</definedName>
    <definedName name="E49M">#REF!</definedName>
    <definedName name="E49P" localSheetId="2">#REF!</definedName>
    <definedName name="E49P">#REF!</definedName>
    <definedName name="E4M" localSheetId="2">#REF!</definedName>
    <definedName name="E4M">#REF!</definedName>
    <definedName name="E4P" localSheetId="2">#REF!</definedName>
    <definedName name="E4P">#REF!</definedName>
    <definedName name="E50M" localSheetId="2">#REF!</definedName>
    <definedName name="E50M">#REF!</definedName>
    <definedName name="E50P" localSheetId="2">#REF!</definedName>
    <definedName name="E50P">#REF!</definedName>
    <definedName name="E51E" localSheetId="2">#REF!</definedName>
    <definedName name="E51E">#REF!</definedName>
    <definedName name="E52M" localSheetId="2">#REF!</definedName>
    <definedName name="E52M">#REF!</definedName>
    <definedName name="E52P" localSheetId="2">#REF!</definedName>
    <definedName name="E52P">#REF!</definedName>
    <definedName name="E53M" localSheetId="2">#REF!</definedName>
    <definedName name="E53M">#REF!</definedName>
    <definedName name="E53P" localSheetId="2">#REF!</definedName>
    <definedName name="E53P">#REF!</definedName>
    <definedName name="E54M" localSheetId="2">#REF!</definedName>
    <definedName name="E54M">#REF!</definedName>
    <definedName name="E54P" localSheetId="2">#REF!</definedName>
    <definedName name="E54P">#REF!</definedName>
    <definedName name="E55M" localSheetId="2">#REF!</definedName>
    <definedName name="E55M">#REF!</definedName>
    <definedName name="E55P" localSheetId="2">#REF!</definedName>
    <definedName name="E55P">#REF!</definedName>
    <definedName name="E56M" localSheetId="2">#REF!</definedName>
    <definedName name="E56M">#REF!</definedName>
    <definedName name="E56P" localSheetId="2">#REF!</definedName>
    <definedName name="E56P">#REF!</definedName>
    <definedName name="E57M" localSheetId="2">#REF!</definedName>
    <definedName name="E57M">#REF!</definedName>
    <definedName name="E57P" localSheetId="2">#REF!</definedName>
    <definedName name="E57P">#REF!</definedName>
    <definedName name="E58M" localSheetId="2">#REF!</definedName>
    <definedName name="E58M">#REF!</definedName>
    <definedName name="E58P" localSheetId="2">#REF!</definedName>
    <definedName name="E58P">#REF!</definedName>
    <definedName name="E59M" localSheetId="2">#REF!</definedName>
    <definedName name="E59M">#REF!</definedName>
    <definedName name="E59P" localSheetId="2">#REF!</definedName>
    <definedName name="E59P">#REF!</definedName>
    <definedName name="E5M" localSheetId="2">#REF!</definedName>
    <definedName name="E5M">#REF!</definedName>
    <definedName name="E5P" localSheetId="2">#REF!</definedName>
    <definedName name="E5P">#REF!</definedName>
    <definedName name="E60M" localSheetId="2">#REF!</definedName>
    <definedName name="E60M">#REF!</definedName>
    <definedName name="E60P" localSheetId="2">#REF!</definedName>
    <definedName name="E60P">#REF!</definedName>
    <definedName name="E61M" localSheetId="2">#REF!</definedName>
    <definedName name="E61M">#REF!</definedName>
    <definedName name="E61P" localSheetId="2">#REF!</definedName>
    <definedName name="E61P">#REF!</definedName>
    <definedName name="E62M" localSheetId="2">#REF!</definedName>
    <definedName name="E62M">#REF!</definedName>
    <definedName name="E62P" localSheetId="2">#REF!</definedName>
    <definedName name="E62P">#REF!</definedName>
    <definedName name="E63M" localSheetId="2">#REF!</definedName>
    <definedName name="E63M">#REF!</definedName>
    <definedName name="E63P" localSheetId="2">#REF!</definedName>
    <definedName name="E63P">#REF!</definedName>
    <definedName name="E64M" localSheetId="2">#REF!</definedName>
    <definedName name="E64M">#REF!</definedName>
    <definedName name="E64P" localSheetId="2">#REF!</definedName>
    <definedName name="E64P">#REF!</definedName>
    <definedName name="E65M" localSheetId="2">#REF!</definedName>
    <definedName name="E65M">#REF!</definedName>
    <definedName name="E65P" localSheetId="2">#REF!</definedName>
    <definedName name="E65P">#REF!</definedName>
    <definedName name="E66M" localSheetId="2">#REF!</definedName>
    <definedName name="E66M">#REF!</definedName>
    <definedName name="E66P" localSheetId="2">#REF!</definedName>
    <definedName name="E66P">#REF!</definedName>
    <definedName name="E67M" localSheetId="2">#REF!</definedName>
    <definedName name="E67M">#REF!</definedName>
    <definedName name="E67P" localSheetId="2">#REF!</definedName>
    <definedName name="E67P">#REF!</definedName>
    <definedName name="E68M" localSheetId="2">#REF!</definedName>
    <definedName name="E68M">#REF!</definedName>
    <definedName name="E6M" localSheetId="2">#REF!</definedName>
    <definedName name="E6M">#REF!</definedName>
    <definedName name="E6P" localSheetId="2">#REF!</definedName>
    <definedName name="E6P">#REF!</definedName>
    <definedName name="E7M" localSheetId="2">#REF!</definedName>
    <definedName name="E7M">#REF!</definedName>
    <definedName name="E7P" localSheetId="2">#REF!</definedName>
    <definedName name="E7P">#REF!</definedName>
    <definedName name="E8M" localSheetId="2">#REF!</definedName>
    <definedName name="E8M">#REF!</definedName>
    <definedName name="E8P" localSheetId="2">#REF!</definedName>
    <definedName name="E8P">#REF!</definedName>
    <definedName name="E9M" localSheetId="2">#REF!</definedName>
    <definedName name="E9M">#REF!</definedName>
    <definedName name="E9P" localSheetId="2">#REF!</definedName>
    <definedName name="E9P">#REF!</definedName>
    <definedName name="ee" hidden="1">{#N/A,#N/A,FALSE,"단가표지"}</definedName>
    <definedName name="EEE" localSheetId="2">#REF!</definedName>
    <definedName name="EEE">#REF!</definedName>
    <definedName name="ENCOST">#N/A</definedName>
    <definedName name="ERER" localSheetId="2">#REF!</definedName>
    <definedName name="ERER">#REF!</definedName>
    <definedName name="EXE">#N/A</definedName>
    <definedName name="_xlnm.Extract" localSheetId="2">#REF!</definedName>
    <definedName name="_xlnm.Extract">#REF!</definedName>
    <definedName name="Extract_MI" localSheetId="2">#REF!</definedName>
    <definedName name="Extract_MI">#REF!</definedName>
    <definedName name="F" localSheetId="1">#REF!</definedName>
    <definedName name="F" localSheetId="2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SC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LVL">#N/A</definedName>
    <definedName name="F_NAME">#N/A</definedName>
    <definedName name="F_PAGE">#N/A</definedName>
    <definedName name="F_REMK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EQ">#N/A</definedName>
    <definedName name="F_SIZE">#N/A</definedName>
    <definedName name="F_SU">#N/A</definedName>
    <definedName name="F_SUBTOT">#N/A</definedName>
    <definedName name="F_UNIT">#N/A</definedName>
    <definedName name="fadp" localSheetId="2">#REF!</definedName>
    <definedName name="fadp">#REF!</definedName>
    <definedName name="fan" localSheetId="2">#REF!</definedName>
    <definedName name="fan">#REF!</definedName>
    <definedName name="fdgz" localSheetId="2">#REF!</definedName>
    <definedName name="fdgz">#REF!</definedName>
    <definedName name="FEEL" localSheetId="2">#REF!</definedName>
    <definedName name="FEEL">#REF!</definedName>
    <definedName name="FFDGGFD" localSheetId="2">#REF!</definedName>
    <definedName name="FFDGGFD">#REF!</definedName>
    <definedName name="FFFF" localSheetId="2">#REF!</definedName>
    <definedName name="FFFF">#REF!</definedName>
    <definedName name="FFFFF" localSheetId="2">#REF!</definedName>
    <definedName name="FFFFF">#REF!</definedName>
    <definedName name="FG" localSheetId="2">#REF!</definedName>
    <definedName name="FG">#REF!</definedName>
    <definedName name="FG16TBTB2RT" localSheetId="2">#REF!</definedName>
    <definedName name="FG16TBTB2RT">#REF!</definedName>
    <definedName name="FG19TBTB2RTDKDKFG19TBTB2RTDKDKF" localSheetId="2">#REF!</definedName>
    <definedName name="FG19TBTB2RTDKDKFG19TBTB2RTDKDKF">#REF!</definedName>
    <definedName name="fg28TBTB2RTDKDK" localSheetId="2">#REF!</definedName>
    <definedName name="fg28TBTB2RTDKDK">#REF!</definedName>
    <definedName name="FGGG" localSheetId="2">#REF!</definedName>
    <definedName name="FGGG">#REF!</definedName>
    <definedName name="FGRKRKRKRKRKRKRKRKRKRKRKRKRKRKR" localSheetId="2">#REF!</definedName>
    <definedName name="FGRKRKRKRKRKRKRKRKRKRKRKRKRKRKR">#REF!</definedName>
    <definedName name="FGRKRKRKRKRKRKRKRKRKRKRKRKTBTB3" localSheetId="2">#REF!</definedName>
    <definedName name="FGRKRKRKRKRKRKRKRKRKRKRKRKTBTB3">#REF!</definedName>
    <definedName name="FGTBTB2RTDKDK" localSheetId="2">#REF!</definedName>
    <definedName name="FGTBTB2RTDKDK">#REF!</definedName>
    <definedName name="fgTBTB4RTDKDK" localSheetId="2">#REF!</definedName>
    <definedName name="fgTBTB4RTDKDK">#REF!</definedName>
    <definedName name="fjkf" localSheetId="2">#REF!</definedName>
    <definedName name="fjkf">#REF!</definedName>
    <definedName name="fkac" localSheetId="2">#REF!</definedName>
    <definedName name="fkac">#REF!</definedName>
    <definedName name="FKKF" localSheetId="2">BlankMacro1</definedName>
    <definedName name="FKKF">BlankMacro1</definedName>
    <definedName name="flc_blank1" localSheetId="2">#REF!</definedName>
    <definedName name="flc_blank1">#REF!</definedName>
    <definedName name="flc_blank2" localSheetId="2">#REF!</definedName>
    <definedName name="flc_blank2">#REF!</definedName>
    <definedName name="flc_clk" localSheetId="2">#REF!</definedName>
    <definedName name="flc_clk">#REF!</definedName>
    <definedName name="flc_dcu" localSheetId="2">#REF!</definedName>
    <definedName name="flc_dcu">#REF!</definedName>
    <definedName name="flc_ds1" localSheetId="2">#REF!</definedName>
    <definedName name="flc_ds1">#REF!</definedName>
    <definedName name="flc_ds3" localSheetId="2">#REF!</definedName>
    <definedName name="flc_ds3">#REF!</definedName>
    <definedName name="flc_mcu" localSheetId="2">#REF!</definedName>
    <definedName name="flc_mcu">#REF!</definedName>
    <definedName name="flc_rack1" localSheetId="2">#REF!</definedName>
    <definedName name="flc_rack1">#REF!</definedName>
    <definedName name="flc_rack2" localSheetId="2">#REF!</definedName>
    <definedName name="flc_rack2">#REF!</definedName>
    <definedName name="flc_sw" localSheetId="2">#REF!</definedName>
    <definedName name="flc_sw">#REF!</definedName>
    <definedName name="FLC충전기" localSheetId="2">#REF!</definedName>
    <definedName name="FLC충전기">#REF!</definedName>
    <definedName name="fld00" localSheetId="2">#REF!</definedName>
    <definedName name="fld00">#REF!</definedName>
    <definedName name="Fld000" localSheetId="2">#REF!</definedName>
    <definedName name="Fld000">#REF!</definedName>
    <definedName name="FLL" localSheetId="2" hidden="1">#REF!</definedName>
    <definedName name="FLL" hidden="1">#REF!</definedName>
    <definedName name="FME" localSheetId="2">#REF!</definedName>
    <definedName name="FME">#REF!</definedName>
    <definedName name="FME_T1" localSheetId="2">#REF!</definedName>
    <definedName name="FME_T1">#REF!</definedName>
    <definedName name="FROM">#N/A</definedName>
    <definedName name="g" localSheetId="2">#REF!</definedName>
    <definedName name="g">#REF!</definedName>
    <definedName name="G1외피접속" localSheetId="2">#REF!</definedName>
    <definedName name="G1외피접속">#REF!</definedName>
    <definedName name="gap" localSheetId="2">#REF!</definedName>
    <definedName name="gap">#REF!</definedName>
    <definedName name="GEMCO" localSheetId="2" hidden="1">#REF!</definedName>
    <definedName name="GEMCO" hidden="1">#REF!</definedName>
    <definedName name="GFD" localSheetId="2">#REF!</definedName>
    <definedName name="GFD">#REF!</definedName>
    <definedName name="gfdgdgdf" localSheetId="2">#REF!</definedName>
    <definedName name="gfdgdgdf">#REF!</definedName>
    <definedName name="gfggfr" localSheetId="2">#REF!</definedName>
    <definedName name="gfggfr">#REF!</definedName>
    <definedName name="gg" localSheetId="2">#REF!</definedName>
    <definedName name="gg">#REF!</definedName>
    <definedName name="ggg" localSheetId="2">#REF!</definedName>
    <definedName name="ggg">#REF!</definedName>
    <definedName name="GGGG" localSheetId="2">#REF!</definedName>
    <definedName name="GGGG">#REF!</definedName>
    <definedName name="GH" localSheetId="2">#REF!</definedName>
    <definedName name="GH">#REF!</definedName>
    <definedName name="gjj" localSheetId="2">#REF!</definedName>
    <definedName name="gjj">#REF!</definedName>
    <definedName name="grew" localSheetId="2" hidden="1">#REF!</definedName>
    <definedName name="grew" hidden="1">#REF!</definedName>
    <definedName name="GrphActSales" localSheetId="2">#REF!</definedName>
    <definedName name="GrphActSales">#REF!</definedName>
    <definedName name="GrphActStk" localSheetId="2">#REF!</definedName>
    <definedName name="GrphActStk">#REF!</definedName>
    <definedName name="GrphPlanSales" localSheetId="2">#REF!</definedName>
    <definedName name="GrphPlanSales">#REF!</definedName>
    <definedName name="GrphTgtStk" localSheetId="2">#REF!</definedName>
    <definedName name="GrphTgtStk">#REF!</definedName>
    <definedName name="GS" localSheetId="2">#REF!</definedName>
    <definedName name="GS">#REF!</definedName>
    <definedName name="gsu" localSheetId="2">#REF!</definedName>
    <definedName name="gsu">#REF!</definedName>
    <definedName name="GUM_S">#N/A</definedName>
    <definedName name="GV_14" localSheetId="2">#REF!</definedName>
    <definedName name="GV_14">#REF!</definedName>
    <definedName name="GV_22" localSheetId="2">#REF!</definedName>
    <definedName name="GV_22">#REF!</definedName>
    <definedName name="GV_38" localSheetId="2">#REF!</definedName>
    <definedName name="GV_38">#REF!</definedName>
    <definedName name="h" localSheetId="1">#REF!</definedName>
    <definedName name="h" localSheetId="2">#REF!</definedName>
    <definedName name="H">#REF!</definedName>
    <definedName name="H_W_설치기사" localSheetId="2">#REF!</definedName>
    <definedName name="H_W_설치기사">#REF!</definedName>
    <definedName name="H_W_시험기사" localSheetId="2">#REF!</definedName>
    <definedName name="H_W_시험기사">#REF!</definedName>
    <definedName name="h_w설치" localSheetId="2">#REF!</definedName>
    <definedName name="h_w설치">#REF!</definedName>
    <definedName name="H_W설치기사" localSheetId="2">#REF!</definedName>
    <definedName name="H_W설치기사">#REF!</definedName>
    <definedName name="H_W설치사" localSheetId="2">#REF!</definedName>
    <definedName name="H_W설치사">#REF!</definedName>
    <definedName name="h_w시험" localSheetId="2">#REF!</definedName>
    <definedName name="h_w시험">#REF!</definedName>
    <definedName name="H_W시험기사" localSheetId="2">#REF!</definedName>
    <definedName name="H_W시험기사">#REF!</definedName>
    <definedName name="H_W시험사" localSheetId="2">#REF!</definedName>
    <definedName name="H_W시험사">#REF!</definedName>
    <definedName name="HAF" localSheetId="2">#REF!</definedName>
    <definedName name="HAF">#REF!</definedName>
    <definedName name="han" localSheetId="2" hidden="1">#REF!</definedName>
    <definedName name="han" hidden="1">#REF!</definedName>
    <definedName name="HANIWALL_FB" localSheetId="2">#REF!</definedName>
    <definedName name="HANIWALL_FB">#REF!</definedName>
    <definedName name="HANIWALL_GC" localSheetId="2">#REF!</definedName>
    <definedName name="HANIWALL_GC">#REF!</definedName>
    <definedName name="hardwar" localSheetId="2" hidden="1">#REF!</definedName>
    <definedName name="hardwar" hidden="1">#REF!</definedName>
    <definedName name="hb_a" localSheetId="2">#REF!</definedName>
    <definedName name="hb_a">#REF!</definedName>
    <definedName name="HBV" localSheetId="2">#REF!</definedName>
    <definedName name="HBV">#REF!</definedName>
    <definedName name="HCR" localSheetId="2">#REF!</definedName>
    <definedName name="HCR">#REF!</definedName>
    <definedName name="HDSVP" localSheetId="2">#REF!</definedName>
    <definedName name="HDSVP">#REF!</definedName>
    <definedName name="HH" localSheetId="2">#REF!</definedName>
    <definedName name="HH">#REF!</definedName>
    <definedName name="HHAF" localSheetId="2">#REF!</definedName>
    <definedName name="HHAF">#REF!</definedName>
    <definedName name="HHH" localSheetId="2">#REF!</definedName>
    <definedName name="HHH">#REF!</definedName>
    <definedName name="HHMF" localSheetId="2">#REF!</definedName>
    <definedName name="HHMF">#REF!</definedName>
    <definedName name="HI_전선관" localSheetId="2">#REF!</definedName>
    <definedName name="HI_전선관">#REF!</definedName>
    <definedName name="hj" localSheetId="2">#REF!</definedName>
    <definedName name="hj">#REF!</definedName>
    <definedName name="HMF" localSheetId="2">#REF!</definedName>
    <definedName name="HMF">#REF!</definedName>
    <definedName name="HMOTOR" localSheetId="2">#REF!</definedName>
    <definedName name="HMOTOR">#REF!</definedName>
    <definedName name="HPUMP" localSheetId="2">#REF!</definedName>
    <definedName name="HPUMP">#REF!</definedName>
    <definedName name="HSV" localSheetId="2">#REF!</definedName>
    <definedName name="HSV">#REF!</definedName>
    <definedName name="HTML_CodePage" hidden="1">949</definedName>
    <definedName name="HTML_Control" hidden="1">{"'Sheet1'!$D$19","'Sheet1'!$B$22:$E$22"}</definedName>
    <definedName name="HTML_Description" hidden="1">""</definedName>
    <definedName name="HTML_Email" hidden="1">""</definedName>
    <definedName name="HTML_Header" hidden="1">"Sheet1"</definedName>
    <definedName name="HTML_LastUpdate" hidden="1">"98-06-22"</definedName>
    <definedName name="HTML_LineAfter" hidden="1">FALSE</definedName>
    <definedName name="HTML_LineBefore" hidden="1">FALSE</definedName>
    <definedName name="HTML_Name" hidden="1">"김성현"</definedName>
    <definedName name="HTML_OBDlg2" hidden="1">TRUE</definedName>
    <definedName name="HTML_OBDlg4" hidden="1">TRUE</definedName>
    <definedName name="HTML_OS" hidden="1">0</definedName>
    <definedName name="HTML_PathFile" hidden="1">"C:\My Documents\Work Excel\MyHTML.htm"</definedName>
    <definedName name="HTML_Title" hidden="1">"출입명단"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VAFP" localSheetId="2">#REF!</definedName>
    <definedName name="HVAFP">#REF!</definedName>
    <definedName name="HVMF" localSheetId="2">#REF!</definedName>
    <definedName name="HVMF">#REF!</definedName>
    <definedName name="HWEI" localSheetId="2">#REF!</definedName>
    <definedName name="HWEI">#REF!</definedName>
    <definedName name="hw설치" localSheetId="2">#REF!</definedName>
    <definedName name="hw설치">#REF!</definedName>
    <definedName name="hw시험" localSheetId="2">#REF!</definedName>
    <definedName name="hw시험">#REF!</definedName>
    <definedName name="I" localSheetId="2">#REF!</definedName>
    <definedName name="I">#REF!</definedName>
    <definedName name="ID" localSheetId="1">#REF!,#REF!</definedName>
    <definedName name="ID" localSheetId="2">#REF!,#REF!</definedName>
    <definedName name="ID">#REF!,#REF!</definedName>
    <definedName name="IDF28B" localSheetId="2">#REF!</definedName>
    <definedName name="IDF28B">#REF!</definedName>
    <definedName name="IDF30A" localSheetId="2">#REF!</definedName>
    <definedName name="IDF30A">#REF!</definedName>
    <definedName name="IDFPIX" localSheetId="2">#REF!</definedName>
    <definedName name="IDFPIX">#REF!</definedName>
    <definedName name="IDF단" localSheetId="2">#REF!</definedName>
    <definedName name="IDF단">#REF!</definedName>
    <definedName name="IDF취부" localSheetId="2">#REF!</definedName>
    <definedName name="IDF취부">#REF!</definedName>
    <definedName name="IDF통" localSheetId="2">#REF!</definedName>
    <definedName name="IDF통">#REF!</definedName>
    <definedName name="IELWSALES" localSheetId="2">#REF!</definedName>
    <definedName name="IELWSALES">#REF!</definedName>
    <definedName name="IELYSALES" localSheetId="2">#REF!</definedName>
    <definedName name="IELYSALES">#REF!</definedName>
    <definedName name="IEPLANSALES" localSheetId="2">#REF!</definedName>
    <definedName name="IEPLANSALES">#REF!</definedName>
    <definedName name="IESP" localSheetId="2">#REF!</definedName>
    <definedName name="IESP">#REF!</definedName>
    <definedName name="ii" localSheetId="2">#REF!</definedName>
    <definedName name="ii">#REF!</definedName>
    <definedName name="IJPBOX옥내" localSheetId="2">#REF!</definedName>
    <definedName name="IJPBOX옥내">#REF!</definedName>
    <definedName name="IJPBOX옥외" localSheetId="2">#REF!</definedName>
    <definedName name="IJPBOX옥외">#REF!</definedName>
    <definedName name="IL" localSheetId="1">#REF!</definedName>
    <definedName name="IL" localSheetId="2">#REF!</definedName>
    <definedName name="il">#REF!</definedName>
    <definedName name="In_SCODcr" localSheetId="2">#REF!</definedName>
    <definedName name="In_SCODcr">#REF!</definedName>
    <definedName name="INSA1" localSheetId="2">#REF!</definedName>
    <definedName name="INSA1">#REF!</definedName>
    <definedName name="IntFreeCred" localSheetId="2">#REF!</definedName>
    <definedName name="IntFreeCred">#REF!</definedName>
    <definedName name="ir2rtcfr3c1r4c26rtqu" localSheetId="2">#REF!</definedName>
    <definedName name="ir2rtcfr3c1r4c26rtqu">#REF!</definedName>
    <definedName name="ITNUM">#N/A</definedName>
    <definedName name="I형행가설치" localSheetId="2">#REF!</definedName>
    <definedName name="I형행가설치">#REF!</definedName>
    <definedName name="I형행거" localSheetId="2">#REF!</definedName>
    <definedName name="I형행거">#REF!</definedName>
    <definedName name="JAE_K" localSheetId="2">#REF!</definedName>
    <definedName name="JAE_K">#REF!</definedName>
    <definedName name="JAE_SD" localSheetId="2">#REF!</definedName>
    <definedName name="JAE_SD">#REF!</definedName>
    <definedName name="jg" localSheetId="2">#REF!</definedName>
    <definedName name="jg">#REF!</definedName>
    <definedName name="JH" localSheetId="2">#REF!</definedName>
    <definedName name="JH">#REF!</definedName>
    <definedName name="jhjyg" localSheetId="2">#REF!</definedName>
    <definedName name="jhjyg">#REF!</definedName>
    <definedName name="JJ" localSheetId="2">#REF!</definedName>
    <definedName name="JJ">#REF!</definedName>
    <definedName name="JS" localSheetId="2">#REF!</definedName>
    <definedName name="JS">#REF!</definedName>
    <definedName name="JUST" localSheetId="2">#REF!</definedName>
    <definedName name="JUST">#REF!</definedName>
    <definedName name="k" localSheetId="1">#REF!</definedName>
    <definedName name="k" localSheetId="2">#REF!</definedName>
    <definedName name="k">#REF!</definedName>
    <definedName name="kcc단가" localSheetId="2">#REF!</definedName>
    <definedName name="kcc단가">#REF!</definedName>
    <definedName name="Kdo" localSheetId="2">#REF!</definedName>
    <definedName name="Kdo">#REF!</definedName>
    <definedName name="KFJG" localSheetId="2">#REF!</definedName>
    <definedName name="KFJG">#REF!</definedName>
    <definedName name="kjjh" localSheetId="2">#REF!</definedName>
    <definedName name="kjjh">#REF!</definedName>
    <definedName name="KK" localSheetId="2">#REF!</definedName>
    <definedName name="KK">#REF!</definedName>
    <definedName name="KKK" localSheetId="2">#REF!</definedName>
    <definedName name="KKK">#REF!</definedName>
    <definedName name="kkkk" localSheetId="2">#REF!</definedName>
    <definedName name="kkkk">#REF!</definedName>
    <definedName name="kn" localSheetId="2">#REF!</definedName>
    <definedName name="kn">#REF!</definedName>
    <definedName name="Kns" localSheetId="2">#REF!</definedName>
    <definedName name="Kns">#REF!</definedName>
    <definedName name="Ks" localSheetId="2">#REF!</definedName>
    <definedName name="Ks">#REF!</definedName>
    <definedName name="KSF" localSheetId="2">#REF!</definedName>
    <definedName name="KSF">#REF!</definedName>
    <definedName name="ksg" localSheetId="2">#REF!</definedName>
    <definedName name="ksg">#REF!</definedName>
    <definedName name="L">#N/A</definedName>
    <definedName name="la" localSheetId="2">#REF!</definedName>
    <definedName name="la">#REF!</definedName>
    <definedName name="LAST" localSheetId="2">#REF!</definedName>
    <definedName name="LAST">#REF!</definedName>
    <definedName name="LENGTH">#N/A</definedName>
    <definedName name="list" localSheetId="2">#REF!</definedName>
    <definedName name="list">#REF!</definedName>
    <definedName name="LL">#N/A</definedName>
    <definedName name="lll" localSheetId="2">#REF!</definedName>
    <definedName name="lll">#REF!</definedName>
    <definedName name="LP___4" localSheetId="2">#REF!</definedName>
    <definedName name="LP___4">#REF!</definedName>
    <definedName name="LWSALES" localSheetId="2">#REF!</definedName>
    <definedName name="LWSALES">#REF!</definedName>
    <definedName name="LYBin" localSheetId="2">#REF!</definedName>
    <definedName name="LYBin">#REF!</definedName>
    <definedName name="LYHolds" localSheetId="2">#REF!</definedName>
    <definedName name="LYHolds">#REF!</definedName>
    <definedName name="LYNet" localSheetId="2">#REF!</definedName>
    <definedName name="LYNet">#REF!</definedName>
    <definedName name="LYoos" localSheetId="2">#REF!</definedName>
    <definedName name="LYoos">#REF!</definedName>
    <definedName name="LYReselects" localSheetId="2">#REF!</definedName>
    <definedName name="LYReselects">#REF!</definedName>
    <definedName name="LYReturns" localSheetId="2">#REF!</definedName>
    <definedName name="LYReturns">#REF!</definedName>
    <definedName name="LYSales" localSheetId="2">#REF!</definedName>
    <definedName name="LYSales">#REF!</definedName>
    <definedName name="LYTotal" localSheetId="2">#REF!</definedName>
    <definedName name="LYTotal">#REF!</definedName>
    <definedName name="m" localSheetId="1" hidden="1">#REF!</definedName>
    <definedName name="m" localSheetId="2" hidden="1">#REF!</definedName>
    <definedName name="M">#N/A</definedName>
    <definedName name="mac" localSheetId="2">#REF!</definedName>
    <definedName name="mac">#REF!</definedName>
    <definedName name="MARGINPLAN" localSheetId="2">#REF!</definedName>
    <definedName name="MARGINPLAN">#REF!</definedName>
    <definedName name="MARGINPROJ" localSheetId="2">#REF!</definedName>
    <definedName name="MARGINPROJ">#REF!</definedName>
    <definedName name="MDF" localSheetId="2">#REF!</definedName>
    <definedName name="MDF">#REF!</definedName>
    <definedName name="MLR" localSheetId="2">#REF!</definedName>
    <definedName name="MLR">#REF!</definedName>
    <definedName name="MLSS" localSheetId="2">#REF!</definedName>
    <definedName name="MLSS">#REF!</definedName>
    <definedName name="MLVSS" localSheetId="2">#REF!</definedName>
    <definedName name="MLVSS">#REF!</definedName>
    <definedName name="MONEY" localSheetId="1">#REF!,#REF!</definedName>
    <definedName name="MONEY" localSheetId="2">#REF!,#REF!</definedName>
    <definedName name="MONEY">#REF!,#REF!</definedName>
    <definedName name="MOTOR" localSheetId="2">#REF!</definedName>
    <definedName name="MOTOR">#REF!</definedName>
    <definedName name="MOTOR__농형_전폐" localSheetId="2">#REF!</definedName>
    <definedName name="MOTOR__농형_전폐">#REF!</definedName>
    <definedName name="MUX7104_1" localSheetId="2">#REF!</definedName>
    <definedName name="MUX7104_1">#REF!</definedName>
    <definedName name="MUX7104_2" localSheetId="2">#REF!</definedName>
    <definedName name="MUX7104_2">#REF!</definedName>
    <definedName name="myRange" localSheetId="2">#REF!</definedName>
    <definedName name="myRange">#REF!</definedName>
    <definedName name="myRegion" localSheetId="2">#REF!</definedName>
    <definedName name="myRegion">#REF!</definedName>
    <definedName name="N" localSheetId="1">#REF!</definedName>
    <definedName name="N" localSheetId="2">#REF!</definedName>
    <definedName name="NAK">#N/A</definedName>
    <definedName name="NAME">#N/A</definedName>
    <definedName name="NDU" localSheetId="2">#REF!</definedName>
    <definedName name="NDU">#REF!</definedName>
    <definedName name="NEIM" localSheetId="2">#REF!</definedName>
    <definedName name="NEIM">#REF!</definedName>
    <definedName name="NEW" localSheetId="2">#REF!</definedName>
    <definedName name="NEW">#REF!</definedName>
    <definedName name="NEWNAME" hidden="1">{#N/A,#N/A,FALSE,"CCTV"}</definedName>
    <definedName name="NH4N" localSheetId="2">#REF!</definedName>
    <definedName name="NH4N">#REF!</definedName>
    <definedName name="NMS_3240" localSheetId="2">#REF!</definedName>
    <definedName name="NMS_3240">#REF!</definedName>
    <definedName name="NO3eq" localSheetId="2">#REF!</definedName>
    <definedName name="NO3eq">#REF!</definedName>
    <definedName name="NOR" localSheetId="2">#REF!</definedName>
    <definedName name="NOR">#REF!</definedName>
    <definedName name="Nox" localSheetId="2">#REF!</definedName>
    <definedName name="Nox">#REF!</definedName>
    <definedName name="NUMBER" localSheetId="2">#REF!</definedName>
    <definedName name="NUMBER">#REF!</definedName>
    <definedName name="Nx" localSheetId="2">#REF!</definedName>
    <definedName name="Nx">#REF!</definedName>
    <definedName name="NY" localSheetId="2">#REF!</definedName>
    <definedName name="NY">#REF!</definedName>
    <definedName name="NYE" localSheetId="2">#REF!</definedName>
    <definedName name="NYE">#REF!</definedName>
    <definedName name="oc_1" localSheetId="2">#REF!</definedName>
    <definedName name="oc_1">#REF!</definedName>
    <definedName name="oc1_v35" localSheetId="2">#REF!</definedName>
    <definedName name="oc1_v35">#REF!</definedName>
    <definedName name="OIU_NIU" localSheetId="2">#REF!</definedName>
    <definedName name="OIU_NIU">#REF!</definedName>
    <definedName name="OO">#N/A</definedName>
    <definedName name="OOO" localSheetId="2">#REF!</definedName>
    <definedName name="OOO">#REF!</definedName>
    <definedName name="OTRU_A" localSheetId="2">#REF!</definedName>
    <definedName name="OTRU_A">#REF!</definedName>
    <definedName name="OTRU_B" localSheetId="2">#REF!</definedName>
    <definedName name="OTRU_B">#REF!</definedName>
    <definedName name="OTRU_C" localSheetId="2">#REF!</definedName>
    <definedName name="OTRU_C">#REF!</definedName>
    <definedName name="OUT" localSheetId="2">#REF!</definedName>
    <definedName name="OUT">#REF!</definedName>
    <definedName name="P">#N/A</definedName>
    <definedName name="P01_" localSheetId="2">#REF!</definedName>
    <definedName name="P01_">#REF!</definedName>
    <definedName name="P02_" localSheetId="2">#REF!</definedName>
    <definedName name="P02_">#REF!</definedName>
    <definedName name="PCM" localSheetId="2">#REF!</definedName>
    <definedName name="PCM">#REF!</definedName>
    <definedName name="PCM국내케이블포설" localSheetId="2">#REF!</definedName>
    <definedName name="PCM국내케이블포설">#REF!</definedName>
    <definedName name="PCM성단" localSheetId="2">#REF!</definedName>
    <definedName name="PCM성단">#REF!</definedName>
    <definedName name="PCM케이블선단" localSheetId="2">#REF!</definedName>
    <definedName name="PCM케이블선단">#REF!</definedName>
    <definedName name="PCM케이블성단" localSheetId="2">#REF!</definedName>
    <definedName name="PCM케이블성단">#REF!</definedName>
    <definedName name="PCM포설" localSheetId="2">#REF!</definedName>
    <definedName name="PCM포설">#REF!</definedName>
    <definedName name="PDF" localSheetId="2">#REF!</definedName>
    <definedName name="PDF">#REF!</definedName>
    <definedName name="PDP" localSheetId="2">#REF!</definedName>
    <definedName name="PDP">#REF!</definedName>
    <definedName name="PE" localSheetId="2">#REF!</definedName>
    <definedName name="PE">#REF!</definedName>
    <definedName name="PE1열" localSheetId="2">#REF!</definedName>
    <definedName name="PE1열">#REF!</definedName>
    <definedName name="PE2열" localSheetId="2">#REF!</definedName>
    <definedName name="PE2열">#REF!</definedName>
    <definedName name="PE3열" localSheetId="2">#REF!</definedName>
    <definedName name="PE3열">#REF!</definedName>
    <definedName name="PE내관2난연" localSheetId="2">#REF!</definedName>
    <definedName name="PE내관2난연">#REF!</definedName>
    <definedName name="PE내관2일반" localSheetId="2">#REF!</definedName>
    <definedName name="PE내관2일반">#REF!</definedName>
    <definedName name="PE내관3난연" localSheetId="2">#REF!</definedName>
    <definedName name="PE내관3난연">#REF!</definedName>
    <definedName name="PE내관3일반" localSheetId="2">#REF!</definedName>
    <definedName name="PE내관3일반">#REF!</definedName>
    <definedName name="PE내관난연" localSheetId="2">#REF!</definedName>
    <definedName name="PE내관난연">#REF!</definedName>
    <definedName name="PE내관일반" localSheetId="2">#REF!</definedName>
    <definedName name="PE내관일반">#REF!</definedName>
    <definedName name="PE내관포설1" localSheetId="2">#REF!</definedName>
    <definedName name="PE내관포설1">#REF!</definedName>
    <definedName name="PE전선관" localSheetId="2">#REF!</definedName>
    <definedName name="PE전선관">#REF!</definedName>
    <definedName name="PE전선관1" localSheetId="2">#REF!</definedName>
    <definedName name="PE전선관1">#REF!</definedName>
    <definedName name="PE전선관2" localSheetId="2">#REF!</definedName>
    <definedName name="PE전선관2">#REF!</definedName>
    <definedName name="PF" localSheetId="2">#REF!</definedName>
    <definedName name="PF">#REF!</definedName>
    <definedName name="pH" localSheetId="2">#REF!</definedName>
    <definedName name="pH">#REF!</definedName>
    <definedName name="pj" localSheetId="2">#REF!,#REF!</definedName>
    <definedName name="pj">#REF!,#REF!</definedName>
    <definedName name="PJT">#N/A</definedName>
    <definedName name="PJT개요" localSheetId="2">#REF!</definedName>
    <definedName name="PJT개요">#REF!</definedName>
    <definedName name="PL50T" localSheetId="2">#REF!</definedName>
    <definedName name="PL50T">#REF!</definedName>
    <definedName name="POAARTRTPOBBRTRT" localSheetId="2">#REF!</definedName>
    <definedName name="POAARTRTPOBBRTRT">#REF!</definedName>
    <definedName name="poaaRTRTpobbRTRTpoccRTRTpoddRTR" localSheetId="2">#REF!</definedName>
    <definedName name="poaaRTRTpobbRTRTpoccRTRTpoddRTR">#REF!</definedName>
    <definedName name="pojjRTRTpoiiRTRTpohhRTRT" localSheetId="2">#REF!</definedName>
    <definedName name="pojjRTRTpoiiRTRTpohhRTRT">#REF!</definedName>
    <definedName name="POR121175C2054RTSKS15C6LRTHDLRT" localSheetId="2">#REF!</definedName>
    <definedName name="POR121175C2054RTSKS15C6LRTHDLRT">#REF!</definedName>
    <definedName name="POR3C41R52C44RTSKS13C5LRTHDLTBD" localSheetId="2">#REF!</definedName>
    <definedName name="POR3C41R52C44RTSKS13C5LRTHDLTBD">#REF!</definedName>
    <definedName name="POR3C56R44C76RTSKS15C5LRTHDLTBD" localSheetId="2">#REF!</definedName>
    <definedName name="POR3C56R44C76RTSKS15C5LRTHDLTBD">#REF!</definedName>
    <definedName name="POR458C2054RTSKS15C6LRTHDLRTM4T" localSheetId="2">#REF!</definedName>
    <definedName name="POR458C2054RTSKS15C6LRTHDLRTM4T">#REF!</definedName>
    <definedName name="POR6C20R55C38RTSKS13C5LRTHDLTBD" localSheetId="2">#REF!</definedName>
    <definedName name="POR6C20R55C38RTSKS13C5LRTHDLTBD">#REF!</definedName>
    <definedName name="POR7280C116RTSKS15C6LRTHR26C116" localSheetId="2">#REF!</definedName>
    <definedName name="POR7280C116RTSKS15C6LRTHR26C116">#REF!</definedName>
    <definedName name="POR7C2R55C18RTSKS13C5LRTHDLTBDL" localSheetId="2">#REF!</definedName>
    <definedName name="POR7C2R55C18RTSKS13C5LRTHDLTBDL">#REF!</definedName>
    <definedName name="POR7C77R72C83RTSKS13C5LRTHDLTBD" localSheetId="2">#REF!</definedName>
    <definedName name="POR7C77R72C83RTSKS13C5LRTHDLTBD">#REF!</definedName>
    <definedName name="por840c3542RTsks12c4lRTm1TB0TB5" localSheetId="2">#REF!</definedName>
    <definedName name="por840c3542RTsks12c4lRTm1TB0TB5">#REF!</definedName>
    <definedName name="POR8C46R200C54RTSKS13C6LRTHR3C4" localSheetId="2">#REF!</definedName>
    <definedName name="POR8C46R200C54RTSKS13C6LRTHR3C4">#REF!</definedName>
    <definedName name="PPLINK_T" localSheetId="2">#REF!</definedName>
    <definedName name="PPLINK_T">#REF!</definedName>
    <definedName name="PPLINK1" localSheetId="2">#REF!</definedName>
    <definedName name="PPLINK1">#REF!</definedName>
    <definedName name="PPLINK2" localSheetId="2">#REF!</definedName>
    <definedName name="PPLINK2">#REF!</definedName>
    <definedName name="PPP" localSheetId="2">#REF!</definedName>
    <definedName name="PPP">#REF!</definedName>
    <definedName name="PRDump" localSheetId="2">#REF!</definedName>
    <definedName name="PRDump">#REF!</definedName>
    <definedName name="Prel" localSheetId="2">#REF!</definedName>
    <definedName name="Prel">#REF!</definedName>
    <definedName name="print" localSheetId="1">#REF!</definedName>
    <definedName name="print" localSheetId="2">#REF!</definedName>
    <definedName name="print">#REF!</definedName>
    <definedName name="_xlnm.Print_Area" localSheetId="0">'갑 지'!$A$49:$Z$66</definedName>
    <definedName name="_xlnm.Print_Area" localSheetId="1">내역!$A$1:$M$217</definedName>
    <definedName name="_xlnm.Print_Area" localSheetId="2">진환!$A$1:$M$217</definedName>
    <definedName name="_xlnm.Print_Area">#N/A</definedName>
    <definedName name="PRINT_AREA_MI" localSheetId="1">#N/A</definedName>
    <definedName name="PRINT_AREA_MI" localSheetId="2">#N/A</definedName>
    <definedName name="Print_Area_MI">#REF!</definedName>
    <definedName name="PRINT_AREA_MI1" localSheetId="2">#REF!</definedName>
    <definedName name="PRINT_AREA_MI1">#REF!</definedName>
    <definedName name="Print_Area\C" localSheetId="2">#REF!</definedName>
    <definedName name="Print_Area\C">#REF!</definedName>
    <definedName name="PRINT_TILTES" localSheetId="2">#REF!</definedName>
    <definedName name="PRINT_TILTES">#REF!</definedName>
    <definedName name="_xlnm.Print_Titles" localSheetId="1">내역!$1:$2</definedName>
    <definedName name="_xlnm.Print_Titles" localSheetId="2">진환!$1:$2</definedName>
    <definedName name="_xlnm.Print_Titles">#N/A</definedName>
    <definedName name="Print_Titles_MI" localSheetId="1">#REF!</definedName>
    <definedName name="Print_Titles_MI" localSheetId="2">#REF!</definedName>
    <definedName name="PRINT_TITLES_MI">#N/A</definedName>
    <definedName name="PRINT_TITLES_MI1" localSheetId="2">#REF!</definedName>
    <definedName name="PRINT_TITLES_MI1">#REF!</definedName>
    <definedName name="PSKS12C4LRTOR50C1R84C10RTHDLRTM" localSheetId="2">#REF!</definedName>
    <definedName name="PSKS12C4LRTOR50C1R84C10RTHDLRTM">#REF!</definedName>
    <definedName name="PSKS12C4LRTOR6C73R45C74RTHDLRTM" localSheetId="2">#REF!</definedName>
    <definedName name="PSKS12C4LRTOR6C73R45C74RTHDLRTM">#REF!</definedName>
    <definedName name="PSKS12C4LRTOR9C1R47C10RTHDLRTM3" localSheetId="2">#REF!</definedName>
    <definedName name="PSKS12C4LRTOR9C1R47C10RTHDLRTM3">#REF!</definedName>
    <definedName name="PSKS13C4LRTOR138C45R180C58RTHDL" localSheetId="2">#REF!</definedName>
    <definedName name="PSKS13C4LRTOR138C45R180C58RTHDL">#REF!</definedName>
    <definedName name="PSKS13C4LRTOR182C45R224C58RTHDL" localSheetId="2">#REF!</definedName>
    <definedName name="PSKS13C4LRTOR182C45R224C58RTHDL">#REF!</definedName>
    <definedName name="PSKS13C4LRTOR39C29R79C43RTHDLRT" localSheetId="2">#REF!</definedName>
    <definedName name="PSKS13C4LRTOR39C29R79C43RTHDLRT">#REF!</definedName>
    <definedName name="PSKS13C4LRTOR49C45R91C58RTHDLRT" localSheetId="2">#REF!</definedName>
    <definedName name="PSKS13C4LRTOR49C45R91C58RTHDLRT">#REF!</definedName>
    <definedName name="PSKS13C4LRTOR5C29R40C43RTHDLRTM" localSheetId="2">#REF!</definedName>
    <definedName name="PSKS13C4LRTOR5C29R40C43RTHDLRTM">#REF!</definedName>
    <definedName name="PSKS13C4LRTOR5C45R47C58RTHDLRTM" localSheetId="2">#REF!</definedName>
    <definedName name="PSKS13C4LRTOR5C45R47C58RTHDLRTM">#REF!</definedName>
    <definedName name="PSKS13C4LRTOR94C45R136C58RTHDLR" localSheetId="2">#REF!</definedName>
    <definedName name="PSKS13C4LRTOR94C45R136C58RTHDLR">#REF!</definedName>
    <definedName name="PSKS13C6LRTOR3C76R62C87RTM1TB0T" localSheetId="2">#REF!</definedName>
    <definedName name="PSKS13C6LRTOR3C76R62C87RTM1TB0T">#REF!</definedName>
    <definedName name="PSKS15C6LRTOR3C76R62C88RTM1TB0T" localSheetId="2">#REF!</definedName>
    <definedName name="PSKS15C6LRTOR3C76R62C88RTM1TB0T">#REF!</definedName>
    <definedName name="Psqlbp4lRTOR6C15R45C16RTHDLRTM0" localSheetId="2">#REF!</definedName>
    <definedName name="Psqlbp4lRTOR6C15R45C16RTHDLRTM0">#REF!</definedName>
    <definedName name="Psqlbp4lRTOR6C15R45C16RTHDLRTM7" localSheetId="2">#REF!</definedName>
    <definedName name="Psqlbp4lRTOR6C15R45C16RTHDLRTM7">#REF!</definedName>
    <definedName name="PUMP" localSheetId="2">#REF!</definedName>
    <definedName name="PUMP">#REF!</definedName>
    <definedName name="PVC" localSheetId="2">#REF!</definedName>
    <definedName name="PVC">#REF!</definedName>
    <definedName name="PVC분석" localSheetId="2">#REF!</definedName>
    <definedName name="PVC분석">#REF!</definedName>
    <definedName name="Px" localSheetId="2">#REF!</definedName>
    <definedName name="Px">#REF!</definedName>
    <definedName name="Pxa" localSheetId="2">#REF!</definedName>
    <definedName name="Pxa">#REF!</definedName>
    <definedName name="Pxan" localSheetId="2">#REF!</definedName>
    <definedName name="Pxan">#REF!</definedName>
    <definedName name="Pxh" localSheetId="2">#REF!</definedName>
    <definedName name="Pxh">#REF!</definedName>
    <definedName name="QLQL" localSheetId="2">#REF!</definedName>
    <definedName name="QLQL">#REF!</definedName>
    <definedName name="qq" localSheetId="2">#REF!</definedName>
    <definedName name="qq">#REF!</definedName>
    <definedName name="qqq" localSheetId="2">#REF!</definedName>
    <definedName name="qqq">#REF!</definedName>
    <definedName name="qqqq" localSheetId="2">Dlog_Show</definedName>
    <definedName name="qqqq">Dlog_Show</definedName>
    <definedName name="QTY">#N/A</definedName>
    <definedName name="quad_e" localSheetId="2">#REF!</definedName>
    <definedName name="quad_e">#REF!</definedName>
    <definedName name="quad_t" localSheetId="2">#REF!</definedName>
    <definedName name="quad_t">#REF!</definedName>
    <definedName name="qw" hidden="1">{#N/A,#N/A,FALSE,"단가표지"}</definedName>
    <definedName name="RACK1" localSheetId="2">#REF!</definedName>
    <definedName name="RACK1">#REF!</definedName>
    <definedName name="RACK10" localSheetId="2">#REF!</definedName>
    <definedName name="RACK10">#REF!</definedName>
    <definedName name="RACK18" localSheetId="2">#REF!</definedName>
    <definedName name="RACK18">#REF!</definedName>
    <definedName name="RACK1800" localSheetId="2">#REF!</definedName>
    <definedName name="RACK1800">#REF!</definedName>
    <definedName name="RACK2" localSheetId="2">#REF!</definedName>
    <definedName name="RACK2">#REF!</definedName>
    <definedName name="RACK2000" localSheetId="2">#REF!</definedName>
    <definedName name="RACK2000">#REF!</definedName>
    <definedName name="RACK22" localSheetId="2">#REF!</definedName>
    <definedName name="RACK22">#REF!</definedName>
    <definedName name="RACK2200" localSheetId="2">#REF!</definedName>
    <definedName name="RACK2200">#REF!</definedName>
    <definedName name="RACK3" localSheetId="2">#REF!</definedName>
    <definedName name="RACK3">#REF!</definedName>
    <definedName name="RACK4" localSheetId="2">#REF!</definedName>
    <definedName name="RACK4">#REF!</definedName>
    <definedName name="RACK5" localSheetId="2">#REF!</definedName>
    <definedName name="RACK5">#REF!</definedName>
    <definedName name="RACK6" localSheetId="2">#REF!</definedName>
    <definedName name="RACK6">#REF!</definedName>
    <definedName name="RACK7" localSheetId="2">#REF!</definedName>
    <definedName name="RACK7">#REF!</definedName>
    <definedName name="RACK8" localSheetId="2">#REF!</definedName>
    <definedName name="RACK8">#REF!</definedName>
    <definedName name="RACK9" localSheetId="2">#REF!</definedName>
    <definedName name="RACK9">#REF!</definedName>
    <definedName name="RACKXXX" localSheetId="2">#REF!</definedName>
    <definedName name="RACKXXX">#REF!</definedName>
    <definedName name="RACK설치" localSheetId="2">#REF!</definedName>
    <definedName name="RACK설치">#REF!</definedName>
    <definedName name="RAS" localSheetId="2">#REF!</definedName>
    <definedName name="RAS">#REF!</definedName>
    <definedName name="RATE" localSheetId="2">#REF!</definedName>
    <definedName name="RATE">#REF!</definedName>
    <definedName name="RAW" localSheetId="2">#REF!</definedName>
    <definedName name="RAW">#REF!</definedName>
    <definedName name="RawAgencyPrice" localSheetId="2">#REF!</definedName>
    <definedName name="RawAgencyPrice">#REF!</definedName>
    <definedName name="RBData" localSheetId="2">#REF!</definedName>
    <definedName name="RBData">#REF!</definedName>
    <definedName name="RCU" localSheetId="2">#REF!</definedName>
    <definedName name="RCU">#REF!</definedName>
    <definedName name="_xlnm.Recorder" localSheetId="2">#REF!</definedName>
    <definedName name="_xlnm.Recorder">#REF!</definedName>
    <definedName name="REM">#N/A</definedName>
    <definedName name="REMARKS">#N/A</definedName>
    <definedName name="Reselects" localSheetId="2">#REF!</definedName>
    <definedName name="Reselects">#REF!</definedName>
    <definedName name="ROUTER" localSheetId="2">#REF!</definedName>
    <definedName name="ROUTER">#REF!</definedName>
    <definedName name="RRR" localSheetId="2">#REF!</definedName>
    <definedName name="RRR">#REF!</definedName>
    <definedName name="RSS" localSheetId="2">#REF!</definedName>
    <definedName name="RSS">#REF!</definedName>
    <definedName name="RTCLCRDLCRCRCRCRCRDLRT" localSheetId="2">#REF!</definedName>
    <definedName name="RTCLCRDLCRCRCRCRCRDLRT">#REF!</definedName>
    <definedName name="s" localSheetId="2">#REF!</definedName>
    <definedName name="s">#REF!</definedName>
    <definedName name="S_P" localSheetId="2">#REF!</definedName>
    <definedName name="S_P">#REF!</definedName>
    <definedName name="S_W_시험기사" localSheetId="2">#REF!</definedName>
    <definedName name="S_W_시험기사">#REF!</definedName>
    <definedName name="s_w시험" localSheetId="2">#REF!</definedName>
    <definedName name="s_w시험">#REF!</definedName>
    <definedName name="S_W시험기사" localSheetId="2">#REF!</definedName>
    <definedName name="S_W시험기사">#REF!</definedName>
    <definedName name="S_W시험사" localSheetId="2">#REF!</definedName>
    <definedName name="S_W시험사">#REF!</definedName>
    <definedName name="S1ITEM11" localSheetId="2">#REF!</definedName>
    <definedName name="S1ITEM11">#REF!</definedName>
    <definedName name="S1ITEM12" localSheetId="2">#REF!</definedName>
    <definedName name="S1ITEM12">#REF!</definedName>
    <definedName name="S1ITEM13" localSheetId="2">#REF!</definedName>
    <definedName name="S1ITEM13">#REF!</definedName>
    <definedName name="S1ITEM14" localSheetId="2">#REF!</definedName>
    <definedName name="S1ITEM14">#REF!</definedName>
    <definedName name="S1ITEM15" localSheetId="2">#REF!</definedName>
    <definedName name="S1ITEM15">#REF!</definedName>
    <definedName name="S1ITEM21" localSheetId="2">#REF!</definedName>
    <definedName name="S1ITEM21">#REF!</definedName>
    <definedName name="S1ITEM22" localSheetId="2">#REF!</definedName>
    <definedName name="S1ITEM22">#REF!</definedName>
    <definedName name="S1ITEM23" localSheetId="2">#REF!</definedName>
    <definedName name="S1ITEM23">#REF!</definedName>
    <definedName name="S1ITEM24" localSheetId="2">#REF!</definedName>
    <definedName name="S1ITEM24">#REF!</definedName>
    <definedName name="S1ITEM25" localSheetId="2">#REF!</definedName>
    <definedName name="S1ITEM25">#REF!</definedName>
    <definedName name="S1ITEM31" localSheetId="2">#REF!</definedName>
    <definedName name="S1ITEM31">#REF!</definedName>
    <definedName name="S1ITEM32" localSheetId="2">#REF!</definedName>
    <definedName name="S1ITEM32">#REF!</definedName>
    <definedName name="S1ITEM33" localSheetId="2">#REF!</definedName>
    <definedName name="S1ITEM33">#REF!</definedName>
    <definedName name="S1ITEM34" localSheetId="2">#REF!</definedName>
    <definedName name="S1ITEM34">#REF!</definedName>
    <definedName name="S1ITEM35" localSheetId="2">#REF!</definedName>
    <definedName name="S1ITEM35">#REF!</definedName>
    <definedName name="S1ITEM41" localSheetId="2">#REF!</definedName>
    <definedName name="S1ITEM41">#REF!</definedName>
    <definedName name="S1ITEM42" localSheetId="2">#REF!</definedName>
    <definedName name="S1ITEM42">#REF!</definedName>
    <definedName name="S1ITEM43" localSheetId="2">#REF!</definedName>
    <definedName name="S1ITEM43">#REF!</definedName>
    <definedName name="S1ITEM44" localSheetId="2">#REF!</definedName>
    <definedName name="S1ITEM44">#REF!</definedName>
    <definedName name="S1ITEM45" localSheetId="2">#REF!</definedName>
    <definedName name="S1ITEM45">#REF!</definedName>
    <definedName name="S1ITEM51" localSheetId="2">#REF!</definedName>
    <definedName name="S1ITEM51">#REF!</definedName>
    <definedName name="S1ITEM52" localSheetId="2">#REF!</definedName>
    <definedName name="S1ITEM52">#REF!</definedName>
    <definedName name="S1ITEM53" localSheetId="2">#REF!</definedName>
    <definedName name="S1ITEM53">#REF!</definedName>
    <definedName name="S1ITEM54" localSheetId="2">#REF!</definedName>
    <definedName name="S1ITEM54">#REF!</definedName>
    <definedName name="S1ITEM55" localSheetId="2">#REF!</definedName>
    <definedName name="S1ITEM55">#REF!</definedName>
    <definedName name="S1ITEM61" localSheetId="2">#REF!</definedName>
    <definedName name="S1ITEM61">#REF!</definedName>
    <definedName name="S1ITEM62" localSheetId="2">#REF!</definedName>
    <definedName name="S1ITEM62">#REF!</definedName>
    <definedName name="S1ITEM63" localSheetId="2">#REF!</definedName>
    <definedName name="S1ITEM63">#REF!</definedName>
    <definedName name="S1ITEM64" localSheetId="2">#REF!</definedName>
    <definedName name="S1ITEM64">#REF!</definedName>
    <definedName name="S1ITEM65" localSheetId="2">#REF!</definedName>
    <definedName name="S1ITEM65">#REF!</definedName>
    <definedName name="S1ITEM71" localSheetId="2">#REF!</definedName>
    <definedName name="S1ITEM71">#REF!</definedName>
    <definedName name="S1ITEM72" localSheetId="2">#REF!</definedName>
    <definedName name="S1ITEM72">#REF!</definedName>
    <definedName name="S1ITEM73" localSheetId="2">#REF!</definedName>
    <definedName name="S1ITEM73">#REF!</definedName>
    <definedName name="S1ITEM74" localSheetId="2">#REF!</definedName>
    <definedName name="S1ITEM74">#REF!</definedName>
    <definedName name="S1ITEM75" localSheetId="2">#REF!</definedName>
    <definedName name="S1ITEM75">#REF!</definedName>
    <definedName name="S1견적기준" localSheetId="2">#REF!</definedName>
    <definedName name="S1견적기준">#REF!</definedName>
    <definedName name="S1공사명" localSheetId="2">#REF!</definedName>
    <definedName name="S1공사명">#REF!</definedName>
    <definedName name="S1부지면적" localSheetId="2">#REF!</definedName>
    <definedName name="S1부지면적">#REF!</definedName>
    <definedName name="S1부지위치" localSheetId="2">#REF!</definedName>
    <definedName name="S1부지위치">#REF!</definedName>
    <definedName name="S1수신처" localSheetId="2">#REF!</definedName>
    <definedName name="S1수신처">#REF!</definedName>
    <definedName name="S1연면적" localSheetId="2">#REF!</definedName>
    <definedName name="S1연면적">#REF!</definedName>
    <definedName name="S2ADDCOST" localSheetId="2">#REF!</definedName>
    <definedName name="S2ADDCOST">#REF!</definedName>
    <definedName name="S2APT_AREA" localSheetId="2">#REF!</definedName>
    <definedName name="S2APT_AREA">#REF!</definedName>
    <definedName name="S2APT_TOTAREA" localSheetId="2">#REF!</definedName>
    <definedName name="S2APT_TOTAREA">#REF!</definedName>
    <definedName name="S2BLDG_INFO" localSheetId="2">#REF!</definedName>
    <definedName name="S2BLDG_INFO">#REF!</definedName>
    <definedName name="S2CIVILPYCOST" localSheetId="2">#REF!</definedName>
    <definedName name="S2CIVILPYCOST">#REF!</definedName>
    <definedName name="S2DONG" localSheetId="2">#REF!</definedName>
    <definedName name="S2DONG">#REF!</definedName>
    <definedName name="S2FLOOR" localSheetId="2">#REF!</definedName>
    <definedName name="S2FLOOR">#REF!</definedName>
    <definedName name="S2KINDER_AREA" localSheetId="2">#REF!</definedName>
    <definedName name="S2KINDER_AREA">#REF!</definedName>
    <definedName name="S2MECH_AREA" localSheetId="2">#REF!</definedName>
    <definedName name="S2MECH_AREA">#REF!</definedName>
    <definedName name="S2MGR_AREA" localSheetId="2">#REF!</definedName>
    <definedName name="S2MGR_AREA">#REF!</definedName>
    <definedName name="S2PARK_AREA" localSheetId="2">#REF!</definedName>
    <definedName name="S2PARK_AREA">#REF!</definedName>
    <definedName name="S2PYTYPE" localSheetId="2">#REF!</definedName>
    <definedName name="S2PYTYPE">#REF!</definedName>
    <definedName name="S2SHOP_AREA" localSheetId="2">#REF!</definedName>
    <definedName name="S2SHOP_AREA">#REF!</definedName>
    <definedName name="S2UNIT" localSheetId="2">#REF!</definedName>
    <definedName name="S2UNIT">#REF!</definedName>
    <definedName name="S2공기" localSheetId="2">#REF!</definedName>
    <definedName name="S2공기">#REF!</definedName>
    <definedName name="S2세대수" localSheetId="2">#REF!</definedName>
    <definedName name="S2세대수">#REF!</definedName>
    <definedName name="S2연면적" localSheetId="2">#REF!</definedName>
    <definedName name="S2연면적">#REF!</definedName>
    <definedName name="S2착공일" localSheetId="2">#REF!</definedName>
    <definedName name="S2착공일">#REF!</definedName>
    <definedName name="S3KINDER" localSheetId="2">#REF!</definedName>
    <definedName name="S3KINDER">#REF!</definedName>
    <definedName name="S3MACH" localSheetId="2">#REF!</definedName>
    <definedName name="S3MACH">#REF!</definedName>
    <definedName name="S3MANAGE" localSheetId="2">#REF!</definedName>
    <definedName name="S3MANAGE">#REF!</definedName>
    <definedName name="S3PARK" localSheetId="2">#REF!</definedName>
    <definedName name="S3PARK">#REF!</definedName>
    <definedName name="S3SEPTIC" localSheetId="2">#REF!</definedName>
    <definedName name="S3SEPTIC">#REF!</definedName>
    <definedName name="S3SHOP" localSheetId="2">#REF!</definedName>
    <definedName name="S3SHOP">#REF!</definedName>
    <definedName name="S3WATER" localSheetId="2">#REF!</definedName>
    <definedName name="S3WATER">#REF!</definedName>
    <definedName name="S4APT_PYCOST" localSheetId="2">#REF!</definedName>
    <definedName name="S4APT_PYCOST">#REF!</definedName>
    <definedName name="S4APTBOX" localSheetId="2">#REF!</definedName>
    <definedName name="S4APTBOX">#REF!</definedName>
    <definedName name="S4CIVIL_COST" localSheetId="2">#REF!</definedName>
    <definedName name="S4CIVIL_COST">#REF!</definedName>
    <definedName name="S4DONG" localSheetId="2">#REF!</definedName>
    <definedName name="S4DONG">#REF!</definedName>
    <definedName name="S5SITE" localSheetId="2">#REF!</definedName>
    <definedName name="S5SITE">#REF!</definedName>
    <definedName name="S5공기" localSheetId="2">#REF!</definedName>
    <definedName name="S5공기">#REF!</definedName>
    <definedName name="S5세대수" localSheetId="2">#REF!</definedName>
    <definedName name="S5세대수">#REF!</definedName>
    <definedName name="S5연면적" localSheetId="2">#REF!</definedName>
    <definedName name="S5연면적">#REF!</definedName>
    <definedName name="S5추가공사비" localSheetId="2">#REF!</definedName>
    <definedName name="S5추가공사비">#REF!</definedName>
    <definedName name="S5층수" localSheetId="2">#REF!</definedName>
    <definedName name="S5층수">#REF!</definedName>
    <definedName name="S6견적금액" localSheetId="2">#REF!</definedName>
    <definedName name="S6견적금액">#REF!</definedName>
    <definedName name="S6견적자" localSheetId="2">#REF!</definedName>
    <definedName name="S6견적자">#REF!</definedName>
    <definedName name="S6기타" localSheetId="2">#REF!</definedName>
    <definedName name="S6기타">#REF!</definedName>
    <definedName name="S6담장" localSheetId="2">#REF!</definedName>
    <definedName name="S6담장">#REF!</definedName>
    <definedName name="S6시설물" localSheetId="2">#REF!</definedName>
    <definedName name="S6시설물">#REF!</definedName>
    <definedName name="S6연면적" localSheetId="2">#REF!</definedName>
    <definedName name="S6연면적">#REF!</definedName>
    <definedName name="S6조경" localSheetId="2">#REF!</definedName>
    <definedName name="S6조경">#REF!</definedName>
    <definedName name="S6토목금액" localSheetId="2">#REF!</definedName>
    <definedName name="S6토목금액">#REF!</definedName>
    <definedName name="S7ARGUE_PYCOST" localSheetId="2">#REF!</definedName>
    <definedName name="S7ARGUE_PYCOST">#REF!</definedName>
    <definedName name="S7ARGUE1" localSheetId="2">#REF!</definedName>
    <definedName name="S7ARGUE1">#REF!</definedName>
    <definedName name="S8ADD" localSheetId="2">#REF!</definedName>
    <definedName name="S8ADD">#REF!</definedName>
    <definedName name="S8ARCHADD_BOX" localSheetId="2">#REF!</definedName>
    <definedName name="S8ARCHADD_BOX">#REF!</definedName>
    <definedName name="S9매입세율" localSheetId="2">#REF!</definedName>
    <definedName name="S9매입세율">#REF!</definedName>
    <definedName name="S9법정안전관리비" localSheetId="2">#REF!</definedName>
    <definedName name="S9법정안전관리비">#REF!</definedName>
    <definedName name="S9보험료_기본" localSheetId="2">#REF!</definedName>
    <definedName name="S9보험료_기본">#REF!</definedName>
    <definedName name="S9비적용면적" localSheetId="2">#REF!</definedName>
    <definedName name="S9비적용면적">#REF!</definedName>
    <definedName name="S9설비" localSheetId="2">#REF!</definedName>
    <definedName name="S9설비">#REF!</definedName>
    <definedName name="S9안전_경비율" localSheetId="2">#REF!</definedName>
    <definedName name="S9안전_경비율">#REF!</definedName>
    <definedName name="S9안전관리비공제" localSheetId="2">#REF!</definedName>
    <definedName name="S9안전관리비공제">#REF!</definedName>
    <definedName name="S9연면적" localSheetId="2">#REF!</definedName>
    <definedName name="S9연면적">#REF!</definedName>
    <definedName name="S9전기" localSheetId="2">#REF!</definedName>
    <definedName name="S9전기">#REF!</definedName>
    <definedName name="S9토목" localSheetId="2">#REF!</definedName>
    <definedName name="S9토목">#REF!</definedName>
    <definedName name="SALESPLAN" localSheetId="2">#REF!</definedName>
    <definedName name="SALESPLAN">#REF!</definedName>
    <definedName name="SCODcr" localSheetId="2">#REF!</definedName>
    <definedName name="SCODcr">#REF!</definedName>
    <definedName name="SDF" localSheetId="2">#REF!</definedName>
    <definedName name="SDF">#REF!</definedName>
    <definedName name="SDNR" localSheetId="2">#REF!</definedName>
    <definedName name="SDNR">#REF!</definedName>
    <definedName name="SEEKA" localSheetId="2">#REF!</definedName>
    <definedName name="SEEKA">#REF!</definedName>
    <definedName name="SEEKB" localSheetId="2">#REF!</definedName>
    <definedName name="SEEKB">#REF!</definedName>
    <definedName name="SELECT">#N/A</definedName>
    <definedName name="shin123" localSheetId="2">#REF!</definedName>
    <definedName name="shin123">#REF!</definedName>
    <definedName name="SLID" localSheetId="2">#REF!</definedName>
    <definedName name="SLID">#REF!</definedName>
    <definedName name="Sno" localSheetId="2">#REF!</definedName>
    <definedName name="Sno">#REF!</definedName>
    <definedName name="SORTCODE">#N/A</definedName>
    <definedName name="SRT_all" localSheetId="2">#REF!</definedName>
    <definedName name="SRT_all">#REF!</definedName>
    <definedName name="SRT_d" localSheetId="2">#REF!</definedName>
    <definedName name="SRT_d">#REF!</definedName>
    <definedName name="SRT_m" localSheetId="2">#REF!</definedName>
    <definedName name="SRT_m">#REF!</definedName>
    <definedName name="SS" localSheetId="1">#REF!</definedName>
    <definedName name="SS" localSheetId="2">#REF!</definedName>
    <definedName name="ss">#REF!</definedName>
    <definedName name="SSS" localSheetId="2">#REF!</definedName>
    <definedName name="SSS">#REF!</definedName>
    <definedName name="SSSS" localSheetId="2">#REF!</definedName>
    <definedName name="SSSS">#REF!</definedName>
    <definedName name="SSSSS" localSheetId="1">#REF!</definedName>
    <definedName name="SSSSS" localSheetId="2">#REF!</definedName>
    <definedName name="sssss" hidden="1">{#N/A,#N/A,FALSE,"CAM-G7";#N/A,#N/A,FALSE,"SPL";#N/A,#N/A,FALSE,"butt-in G7";#N/A,#N/A,FALSE,"dia-in G7";#N/A,#N/A,FALSE,"추가-STA G7"}</definedName>
    <definedName name="SSSSSS" localSheetId="2">#REF!</definedName>
    <definedName name="SSSSSS">#REF!</definedName>
    <definedName name="START" localSheetId="2">#REF!</definedName>
    <definedName name="START">#REF!</definedName>
    <definedName name="SU_S">#N/A</definedName>
    <definedName name="SUYO">#N/A</definedName>
    <definedName name="SV" localSheetId="2">#REF!</definedName>
    <definedName name="SV">#REF!</definedName>
    <definedName name="sw설치" localSheetId="2">#REF!</definedName>
    <definedName name="sw설치">#REF!</definedName>
    <definedName name="sw시험" localSheetId="2">#REF!</definedName>
    <definedName name="sw시험">#REF!</definedName>
    <definedName name="t" localSheetId="2">#REF!</definedName>
    <definedName name="t">#REF!</definedName>
    <definedName name="T._A._B_____공___사" localSheetId="2">#REF!</definedName>
    <definedName name="T._A._B_____공___사">#REF!</definedName>
    <definedName name="T_AMOUNT">#N/A</definedName>
    <definedName name="T_MLSS" localSheetId="2">#REF!</definedName>
    <definedName name="T_MLSS">#REF!</definedName>
    <definedName name="T_N" localSheetId="2">#REF!</definedName>
    <definedName name="T_N">#REF!</definedName>
    <definedName name="T_P" localSheetId="2">#REF!</definedName>
    <definedName name="T_P">#REF!</definedName>
    <definedName name="T_Pch" localSheetId="2">#REF!</definedName>
    <definedName name="T_Pch">#REF!</definedName>
    <definedName name="T_UPRICE">#N/A</definedName>
    <definedName name="T1_3240" localSheetId="2">#REF!</definedName>
    <definedName name="T1_3240">#REF!</definedName>
    <definedName name="T10M" localSheetId="2">#REF!</definedName>
    <definedName name="T10M">#REF!</definedName>
    <definedName name="T10P" localSheetId="2">#REF!</definedName>
    <definedName name="T10P">#REF!</definedName>
    <definedName name="T11M" localSheetId="2">#REF!</definedName>
    <definedName name="T11M">#REF!</definedName>
    <definedName name="T11P" localSheetId="2">#REF!</definedName>
    <definedName name="T11P">#REF!</definedName>
    <definedName name="T12M" localSheetId="2">#REF!</definedName>
    <definedName name="T12M">#REF!</definedName>
    <definedName name="T12P" localSheetId="2">#REF!</definedName>
    <definedName name="T12P">#REF!</definedName>
    <definedName name="T13M" localSheetId="2">#REF!</definedName>
    <definedName name="T13M">#REF!</definedName>
    <definedName name="T13P" localSheetId="2">#REF!</definedName>
    <definedName name="T13P">#REF!</definedName>
    <definedName name="T14M" localSheetId="2">#REF!</definedName>
    <definedName name="T14M">#REF!</definedName>
    <definedName name="T14P" localSheetId="2">#REF!</definedName>
    <definedName name="T14P">#REF!</definedName>
    <definedName name="T15M" localSheetId="2">#REF!</definedName>
    <definedName name="T15M">#REF!</definedName>
    <definedName name="T15P" localSheetId="2">#REF!</definedName>
    <definedName name="T15P">#REF!</definedName>
    <definedName name="T16M" localSheetId="2">#REF!</definedName>
    <definedName name="T16M">#REF!</definedName>
    <definedName name="T16P" localSheetId="2">#REF!</definedName>
    <definedName name="T16P">#REF!</definedName>
    <definedName name="T17M" localSheetId="2">#REF!</definedName>
    <definedName name="T17M">#REF!</definedName>
    <definedName name="T17P" localSheetId="2">#REF!</definedName>
    <definedName name="T17P">#REF!</definedName>
    <definedName name="T18M" localSheetId="2">#REF!</definedName>
    <definedName name="T18M">#REF!</definedName>
    <definedName name="T18P" localSheetId="2">#REF!</definedName>
    <definedName name="T18P">#REF!</definedName>
    <definedName name="T19M" localSheetId="2">#REF!</definedName>
    <definedName name="T19M">#REF!</definedName>
    <definedName name="T19P" localSheetId="2">#REF!</definedName>
    <definedName name="T19P">#REF!</definedName>
    <definedName name="T1E" localSheetId="2">#REF!</definedName>
    <definedName name="T1E">#REF!</definedName>
    <definedName name="T1M" localSheetId="2">#REF!</definedName>
    <definedName name="T1M">#REF!</definedName>
    <definedName name="T1P" localSheetId="2">#REF!</definedName>
    <definedName name="T1P">#REF!</definedName>
    <definedName name="T20M" localSheetId="2">#REF!</definedName>
    <definedName name="T20M">#REF!</definedName>
    <definedName name="T20P" localSheetId="2">#REF!</definedName>
    <definedName name="T20P">#REF!</definedName>
    <definedName name="T21M" localSheetId="2">#REF!</definedName>
    <definedName name="T21M">#REF!</definedName>
    <definedName name="T21P" localSheetId="2">#REF!</definedName>
    <definedName name="T21P">#REF!</definedName>
    <definedName name="T22E" localSheetId="2">#REF!</definedName>
    <definedName name="T22E">#REF!</definedName>
    <definedName name="T23M" localSheetId="2">#REF!</definedName>
    <definedName name="T23M">#REF!</definedName>
    <definedName name="T23P" localSheetId="2">#REF!</definedName>
    <definedName name="T23P">#REF!</definedName>
    <definedName name="T24M" localSheetId="2">#REF!</definedName>
    <definedName name="T24M">#REF!</definedName>
    <definedName name="T24P" localSheetId="2">#REF!</definedName>
    <definedName name="T24P">#REF!</definedName>
    <definedName name="T2E" localSheetId="2">#REF!</definedName>
    <definedName name="T2E">#REF!</definedName>
    <definedName name="T2M" localSheetId="2">#REF!</definedName>
    <definedName name="T2M">#REF!</definedName>
    <definedName name="T2P" localSheetId="2">#REF!</definedName>
    <definedName name="T2P">#REF!</definedName>
    <definedName name="T3P" localSheetId="2">#REF!</definedName>
    <definedName name="T3P">#REF!</definedName>
    <definedName name="T4M" localSheetId="2">#REF!</definedName>
    <definedName name="T4M">#REF!</definedName>
    <definedName name="T4P" localSheetId="2">#REF!</definedName>
    <definedName name="T4P">#REF!</definedName>
    <definedName name="T5M" localSheetId="2">#REF!</definedName>
    <definedName name="T5M">#REF!</definedName>
    <definedName name="T5P" localSheetId="2">#REF!</definedName>
    <definedName name="T5P">#REF!</definedName>
    <definedName name="T6M" localSheetId="2">#REF!</definedName>
    <definedName name="T6M">#REF!</definedName>
    <definedName name="T6P" localSheetId="2">#REF!</definedName>
    <definedName name="T6P">#REF!</definedName>
    <definedName name="T7M" localSheetId="2">#REF!</definedName>
    <definedName name="T7M">#REF!</definedName>
    <definedName name="T7P" localSheetId="2">#REF!</definedName>
    <definedName name="T7P">#REF!</definedName>
    <definedName name="T8M" localSheetId="2">#REF!</definedName>
    <definedName name="T8M">#REF!</definedName>
    <definedName name="T8P" localSheetId="2">#REF!</definedName>
    <definedName name="T8P">#REF!</definedName>
    <definedName name="T9M" localSheetId="2">#REF!</definedName>
    <definedName name="T9M">#REF!</definedName>
    <definedName name="T9P" localSheetId="2">#REF!</definedName>
    <definedName name="T9P">#REF!</definedName>
    <definedName name="Table" localSheetId="2">#REF!</definedName>
    <definedName name="Table">#REF!</definedName>
    <definedName name="Table1" localSheetId="2">#REF!</definedName>
    <definedName name="Table1">#REF!</definedName>
    <definedName name="TAG" localSheetId="2">#REF!</definedName>
    <definedName name="TAG">#REF!</definedName>
    <definedName name="TEMP" localSheetId="2">#REF!</definedName>
    <definedName name="TEMP">#REF!</definedName>
    <definedName name="THRU" localSheetId="2">#REF!</definedName>
    <definedName name="THRU">#REF!</definedName>
    <definedName name="TIT" localSheetId="2">#REF!</definedName>
    <definedName name="TIT">#REF!</definedName>
    <definedName name="TITLE_PRINT" localSheetId="2">#REF!</definedName>
    <definedName name="TITLE_PRINT">#REF!</definedName>
    <definedName name="TITLES_PRINT" localSheetId="2">#REF!</definedName>
    <definedName name="TITLES_PRINT">#REF!</definedName>
    <definedName name="TNOR" localSheetId="2">#REF!</definedName>
    <definedName name="TNOR">#REF!</definedName>
    <definedName name="TO">#N/A</definedName>
    <definedName name="TOO">#N/A</definedName>
    <definedName name="TSI" localSheetId="2">#REF!</definedName>
    <definedName name="TSI">#REF!</definedName>
    <definedName name="TSS" localSheetId="2">#REF!</definedName>
    <definedName name="TSS">#REF!</definedName>
    <definedName name="TT" localSheetId="2">#REF!</definedName>
    <definedName name="TT">#REF!</definedName>
    <definedName name="TTT" localSheetId="2">#REF!</definedName>
    <definedName name="TTT">#REF!</definedName>
    <definedName name="Un" localSheetId="2">#REF!</definedName>
    <definedName name="Un">#REF!</definedName>
    <definedName name="Un_m" localSheetId="2">#REF!</definedName>
    <definedName name="Un_m">#REF!</definedName>
    <definedName name="UNI_ACCESSORY" localSheetId="2">#REF!</definedName>
    <definedName name="UNI_ACCESSORY">#REF!</definedName>
    <definedName name="UNI_CPU" localSheetId="2">#REF!</definedName>
    <definedName name="UNI_CPU">#REF!</definedName>
    <definedName name="UNI_NMU" localSheetId="2">#REF!</definedName>
    <definedName name="UNI_NMU">#REF!</definedName>
    <definedName name="UNI_OFAT" localSheetId="2">#REF!</definedName>
    <definedName name="UNI_OFAT">#REF!</definedName>
    <definedName name="UNI_PW_AC" localSheetId="2">#REF!</definedName>
    <definedName name="UNI_PW_AC">#REF!</definedName>
    <definedName name="UNI_PW_DC" localSheetId="2">#REF!</definedName>
    <definedName name="UNI_PW_DC">#REF!</definedName>
    <definedName name="UNI_RS232" localSheetId="2">#REF!</definedName>
    <definedName name="UNI_RS232">#REF!</definedName>
    <definedName name="UNI_V35" localSheetId="2">#REF!</definedName>
    <definedName name="UNI_V35">#REF!</definedName>
    <definedName name="UNIMUX" localSheetId="2">#REF!</definedName>
    <definedName name="UNIMUX">#REF!</definedName>
    <definedName name="V" localSheetId="2">#REF!</definedName>
    <definedName name="V">#REF!</definedName>
    <definedName name="V35_3240" localSheetId="2">#REF!</definedName>
    <definedName name="V35_3240">#REF!</definedName>
    <definedName name="Va" localSheetId="2">#REF!</definedName>
    <definedName name="Va">#REF!</definedName>
    <definedName name="VAFP" localSheetId="2">#REF!</definedName>
    <definedName name="VAFP">#REF!</definedName>
    <definedName name="VBV" localSheetId="2">#REF!</definedName>
    <definedName name="VBV">#REF!</definedName>
    <definedName name="VCR" localSheetId="2">#REF!</definedName>
    <definedName name="VCR">#REF!</definedName>
    <definedName name="VDSVP" localSheetId="2">#REF!</definedName>
    <definedName name="VDSVP">#REF!</definedName>
    <definedName name="VHAF" localSheetId="2">#REF!</definedName>
    <definedName name="VHAF">#REF!</definedName>
    <definedName name="VHMF" localSheetId="2">#REF!</definedName>
    <definedName name="VHMF">#REF!</definedName>
    <definedName name="VJFGH" localSheetId="2">#REF!</definedName>
    <definedName name="VJFGH">#REF!</definedName>
    <definedName name="VMF" localSheetId="2">#REF!</definedName>
    <definedName name="VMF">#REF!</definedName>
    <definedName name="VMOTOR" localSheetId="2">#REF!</definedName>
    <definedName name="VMOTOR">#REF!</definedName>
    <definedName name="VPUMP" localSheetId="2">#REF!</definedName>
    <definedName name="VPUMP">#REF!</definedName>
    <definedName name="VSS_SS" localSheetId="2">#REF!</definedName>
    <definedName name="VSS_SS">#REF!</definedName>
    <definedName name="VSV" localSheetId="2">#REF!</definedName>
    <definedName name="VSV">#REF!</definedName>
    <definedName name="VVAFP" localSheetId="2">#REF!</definedName>
    <definedName name="VVAFP">#REF!</definedName>
    <definedName name="VVMF" localSheetId="2">#REF!</definedName>
    <definedName name="VVMF">#REF!</definedName>
    <definedName name="VVV" localSheetId="2">#REF!</definedName>
    <definedName name="VVV">#REF!</definedName>
    <definedName name="VWEI" localSheetId="2">#REF!</definedName>
    <definedName name="VWEI">#REF!</definedName>
    <definedName name="WEI" localSheetId="2">#REF!</definedName>
    <definedName name="WEI">#REF!</definedName>
    <definedName name="WEQ" localSheetId="2">#REF!</definedName>
    <definedName name="WEQ">#REF!</definedName>
    <definedName name="WEW" localSheetId="2">#REF!</definedName>
    <definedName name="WEW">#REF!</definedName>
    <definedName name="wir__d_2" localSheetId="2">#REF!</definedName>
    <definedName name="wir__d_2">#REF!</definedName>
    <definedName name="wm.조골재1" hidden="1">{#N/A,#N/A,FALSE,"조골재"}</definedName>
    <definedName name="WRITE" hidden="1">{#N/A,#N/A,FALSE,"CCTV"}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A." hidden="1">{#N/A,#N/A,FALSE,"CAM-G7";#N/A,#N/A,FALSE,"SPL";#N/A,#N/A,FALSE,"butt-in G7";#N/A,#N/A,FALSE,"dia-in G7";#N/A,#N/A,FALSE,"추가-STA G7"}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hidden="1">{#N/A,#N/A,FALSE,"CCTV"}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수." hidden="1">{#N/A,"수불부",FALSE,"사급자재수불서";#N/A,"수불부",FALSE,"사급자재수불서"}</definedName>
    <definedName name="wrn.시행결의." hidden="1">{#N/A,#N/A,FALSE,"도급대비시행율";#N/A,#N/A,FALSE,"결의서";#N/A,#N/A,FALSE,"내역서";#N/A,#N/A,FALSE,"도급예상"}</definedName>
    <definedName name="wrn.업체별._.견적공사명." hidden="1">{"SJ - 기본 보기",#N/A,FALSE,"공사별 외주견적"}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집기비품보고서._.품목별._.및._.현장별._.집계표." hidden="1">{#N/A,#N/A,FALSE,"Sheet6"}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 localSheetId="2">#REF!</definedName>
    <definedName name="WW">#REF!</definedName>
    <definedName name="W행" localSheetId="2">#REF!</definedName>
    <definedName name="W행">#REF!</definedName>
    <definedName name="X" localSheetId="2">#REF!</definedName>
    <definedName name="X">#REF!</definedName>
    <definedName name="XL" localSheetId="2">#REF!</definedName>
    <definedName name="XL">#REF!</definedName>
    <definedName name="XOD" localSheetId="2">BlankMacro1</definedName>
    <definedName name="XOD">BlankMacro1</definedName>
    <definedName name="xxx" localSheetId="2">#REF!</definedName>
    <definedName name="xxx">#REF!</definedName>
    <definedName name="Ya" localSheetId="2">#REF!</definedName>
    <definedName name="Ya">#REF!</definedName>
    <definedName name="YE">#N/A</definedName>
    <definedName name="YEKA">#N/A</definedName>
    <definedName name="Yh" localSheetId="2">#REF!</definedName>
    <definedName name="Yh">#REF!</definedName>
    <definedName name="Z" localSheetId="2">#REF!</definedName>
    <definedName name="Z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μμ±Þ¾×" localSheetId="2">#REF!</definedName>
    <definedName name="μμ±Þ¾×">#REF!</definedName>
    <definedName name="ㄱ." localSheetId="2">#REF!</definedName>
    <definedName name="ㄱ.">#REF!</definedName>
    <definedName name="ㄱㄱ" hidden="1">{#N/A,"수불부",FALSE,"사급자재수불서";#N/A,"수불부",FALSE,"사급자재수불서"}</definedName>
    <definedName name="ㄱㄱㄱ" localSheetId="2">BLCH</definedName>
    <definedName name="ㄱㄱㄱ">BLCH</definedName>
    <definedName name="ㄱㄱㄱㄱㄱ" localSheetId="2">#REF!</definedName>
    <definedName name="ㄱㄱㄱㄱㄱ">#REF!</definedName>
    <definedName name="ㄱㅈㅎ" localSheetId="2" hidden="1">#REF!</definedName>
    <definedName name="ㄱㅈㅎ" hidden="1">#REF!</definedName>
    <definedName name="가" localSheetId="1">#REF!</definedName>
    <definedName name="가" localSheetId="2">#REF!</definedName>
    <definedName name="가">내역!가</definedName>
    <definedName name="가공거리" localSheetId="2">#REF!</definedName>
    <definedName name="가공거리">#REF!</definedName>
    <definedName name="가공명찰취부" localSheetId="2">#REF!</definedName>
    <definedName name="가공명찰취부">#REF!</definedName>
    <definedName name="가공철거" localSheetId="2">#REF!</definedName>
    <definedName name="가공철거">#REF!</definedName>
    <definedName name="가공포설" localSheetId="2">#REF!</definedName>
    <definedName name="가공포설">#REF!</definedName>
    <definedName name="가나" localSheetId="2">#REF!</definedName>
    <definedName name="가나">#REF!</definedName>
    <definedName name="가니ㅏㄻ" localSheetId="2">#REF!</definedName>
    <definedName name="가니ㅏㄻ">#REF!</definedName>
    <definedName name="가라" hidden="1">{#N/A,#N/A,FALSE,"CAM-G7";#N/A,#N/A,FALSE,"SPL";#N/A,#N/A,FALSE,"butt-in G7";#N/A,#N/A,FALSE,"dia-in G7";#N/A,#N/A,FALSE,"추가-STA G7"}</definedName>
    <definedName name="가맹" localSheetId="2">#REF!</definedName>
    <definedName name="가맹">#REF!</definedName>
    <definedName name="가설비" localSheetId="2">#REF!</definedName>
    <definedName name="가설비">#REF!</definedName>
    <definedName name="각암타이" localSheetId="2">#REF!</definedName>
    <definedName name="각암타이">#REF!</definedName>
    <definedName name="간노" localSheetId="2">#REF!</definedName>
    <definedName name="간노">#REF!</definedName>
    <definedName name="간접노무" localSheetId="2">#REF!</definedName>
    <definedName name="간접노무">#REF!</definedName>
    <definedName name="간접노무1" localSheetId="2">#REF!</definedName>
    <definedName name="간접노무1">#REF!</definedName>
    <definedName name="간접노무비" localSheetId="1">#REF!</definedName>
    <definedName name="간접노무비" localSheetId="2">#REF!</definedName>
    <definedName name="간접노무비">#REF!</definedName>
    <definedName name="간접노무비요율" localSheetId="2">#REF!</definedName>
    <definedName name="간접노무비요율">#REF!</definedName>
    <definedName name="간접노무비표" localSheetId="2">#REF!</definedName>
    <definedName name="간접노무비표">#REF!</definedName>
    <definedName name="갈빌1호" localSheetId="2">#REF!</definedName>
    <definedName name="갈빌1호">#REF!</definedName>
    <definedName name="갈빌2호" localSheetId="2">#REF!</definedName>
    <definedName name="갈빌2호">#REF!</definedName>
    <definedName name="갈빌3호" localSheetId="2">#REF!</definedName>
    <definedName name="갈빌3호">#REF!</definedName>
    <definedName name="감나무" localSheetId="2">#REF!</definedName>
    <definedName name="감나무">#REF!</definedName>
    <definedName name="감상우넌" localSheetId="2">#REF!</definedName>
    <definedName name="감상우넌">#REF!</definedName>
    <definedName name="감액" localSheetId="2">BlankMacro1</definedName>
    <definedName name="감액">BlankMacro1</definedName>
    <definedName name="갑" localSheetId="2">#REF!</definedName>
    <definedName name="갑">#REF!</definedName>
    <definedName name="갑03" localSheetId="2">#REF!</definedName>
    <definedName name="갑03">#REF!</definedName>
    <definedName name="갑지" localSheetId="1">#REF!</definedName>
    <definedName name="갑지" localSheetId="2">#REF!</definedName>
    <definedName name="갑지" hidden="1">{#N/A,#N/A,FALSE,"현장 NCR 분석";#N/A,#N/A,FALSE,"현장품질감사";#N/A,#N/A,FALSE,"현장품질감사"}</definedName>
    <definedName name="갑지1" hidden="1">{#N/A,#N/A,FALSE,"도급대비시행율";#N/A,#N/A,FALSE,"결의서";#N/A,#N/A,FALSE,"내역서";#N/A,#N/A,FALSE,"도급예상"}</definedName>
    <definedName name="강관건주" localSheetId="2">#REF!</definedName>
    <definedName name="강관건주">#REF!</definedName>
    <definedName name="강관주" localSheetId="2">#REF!</definedName>
    <definedName name="강관주">#REF!</definedName>
    <definedName name="강관주건주" localSheetId="2">#REF!</definedName>
    <definedName name="강관주건주">#REF!</definedName>
    <definedName name="강재" localSheetId="2">#REF!</definedName>
    <definedName name="강재">#REF!</definedName>
    <definedName name="강재시설" localSheetId="2">#REF!</definedName>
    <definedName name="강재시설">#REF!</definedName>
    <definedName name="강제간선" localSheetId="2">#REF!</definedName>
    <definedName name="강제간선">#REF!</definedName>
    <definedName name="개나리" localSheetId="2">#REF!</definedName>
    <definedName name="개나리">#REF!</definedName>
    <definedName name="개산분" localSheetId="2">#REF!</definedName>
    <definedName name="개산분">#REF!</definedName>
    <definedName name="개요부분" localSheetId="2">#REF!</definedName>
    <definedName name="개요부분">#REF!</definedName>
    <definedName name="개통" localSheetId="2">#REF!</definedName>
    <definedName name="개통">#REF!</definedName>
    <definedName name="개통시험1" localSheetId="2">#REF!</definedName>
    <definedName name="개통시험1">#REF!</definedName>
    <definedName name="개통시험2" localSheetId="2">#REF!</definedName>
    <definedName name="개통시험2">#REF!</definedName>
    <definedName name="개통시험3" localSheetId="2">#REF!</definedName>
    <definedName name="개통시험3">#REF!</definedName>
    <definedName name="개통시험비" localSheetId="2">#REF!</definedName>
    <definedName name="개통시험비">#REF!</definedName>
    <definedName name="갱부" localSheetId="2">#REF!</definedName>
    <definedName name="갱부">#REF!</definedName>
    <definedName name="건설기계운전기사" localSheetId="2">#REF!</definedName>
    <definedName name="건설기계운전기사">#REF!</definedName>
    <definedName name="건설기계운전조수" localSheetId="2">#REF!</definedName>
    <definedName name="건설기계운전조수">#REF!</definedName>
    <definedName name="건설기계조장" localSheetId="2">#REF!</definedName>
    <definedName name="건설기계조장">#REF!</definedName>
    <definedName name="건축" localSheetId="2">#REF!</definedName>
    <definedName name="건축">#REF!</definedName>
    <definedName name="건축001" localSheetId="2">#REF!</definedName>
    <definedName name="건축001">#REF!</definedName>
    <definedName name="건축공사집계표" localSheetId="2">#REF!</definedName>
    <definedName name="건축공사집계표">#REF!</definedName>
    <definedName name="건축목공" localSheetId="1">#REF!</definedName>
    <definedName name="건축목공" localSheetId="2">#REF!</definedName>
    <definedName name="건축목공">#REF!</definedName>
    <definedName name="검" localSheetId="2">#REF!</definedName>
    <definedName name="검">#REF!</definedName>
    <definedName name="견" localSheetId="2">#REF!,#REF!</definedName>
    <definedName name="견">#REF!,#REF!</definedName>
    <definedName name="견인선" localSheetId="2">#REF!</definedName>
    <definedName name="견인선">#REF!</definedName>
    <definedName name="견인선1" localSheetId="2">#REF!</definedName>
    <definedName name="견인선1">#REF!</definedName>
    <definedName name="견적" localSheetId="2">Dlog_Show</definedName>
    <definedName name="견적">Dlog_Show</definedName>
    <definedName name="견적1" localSheetId="2">Dlog_Show</definedName>
    <definedName name="견적1">Dlog_Show</definedName>
    <definedName name="견적대비">#N/A</definedName>
    <definedName name="견적대실행" hidden="1">{#N/A,#N/A,FALSE,"CAM-G7";#N/A,#N/A,FALSE,"SPL";#N/A,#N/A,FALSE,"butt-in G7";#N/A,#N/A,FALSE,"dia-in G7";#N/A,#N/A,FALSE,"추가-STA G7"}</definedName>
    <definedName name="견적서" hidden="1">{#N/A,#N/A,FALSE,"CAM-G7";#N/A,#N/A,FALSE,"SPL";#N/A,#N/A,FALSE,"butt-in G7";#N/A,#N/A,FALSE,"dia-in G7";#N/A,#N/A,FALSE,"추가-STA G7"}</definedName>
    <definedName name="견적의뢰" localSheetId="2">#REF!</definedName>
    <definedName name="견적의뢰">#REF!</definedName>
    <definedName name="견적탱크" localSheetId="2">#REF!</definedName>
    <definedName name="견적탱크">#REF!</definedName>
    <definedName name="견출공" localSheetId="2">#REF!</definedName>
    <definedName name="견출공">#REF!</definedName>
    <definedName name="경" localSheetId="1" hidden="1">#REF!</definedName>
    <definedName name="경" localSheetId="2" hidden="1">#REF!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비" localSheetId="2">#REF!</definedName>
    <definedName name="경비">#REF!</definedName>
    <definedName name="경비1" localSheetId="2" hidden="1">#REF!</definedName>
    <definedName name="경비1" hidden="1">#REF!</definedName>
    <definedName name="경비율" localSheetId="2">#REF!</definedName>
    <definedName name="경비율">#REF!</definedName>
    <definedName name="경비정산" localSheetId="2">BlankMacro1</definedName>
    <definedName name="경비정산">BlankMacro1</definedName>
    <definedName name="경비정산서" localSheetId="2">BlankMacro1</definedName>
    <definedName name="경비정산서">BlankMacro1</definedName>
    <definedName name="경비합" localSheetId="2">#REF!</definedName>
    <definedName name="경비합">#REF!</definedName>
    <definedName name="경수" hidden="1">{#N/A,#N/A,FALSE,"도급대비시행율";#N/A,#N/A,FALSE,"결의서";#N/A,#N/A,FALSE,"내역서";#N/A,#N/A,FALSE,"도급예상"}</definedName>
    <definedName name="경수을" localSheetId="2">#REF!,#REF!,#REF!,#REF!</definedName>
    <definedName name="경수을">#REF!,#REF!,#REF!,#REF!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영2000" localSheetId="2">#REF!</definedName>
    <definedName name="경영2000">#REF!</definedName>
    <definedName name="경영99" localSheetId="2">#REF!</definedName>
    <definedName name="경영99">#REF!</definedName>
    <definedName name="경완금" localSheetId="2">#REF!</definedName>
    <definedName name="경완금">#REF!</definedName>
    <definedName name="경완금1" localSheetId="2">#REF!</definedName>
    <definedName name="경완금1">#REF!</definedName>
    <definedName name="계" localSheetId="2">#REF!</definedName>
    <definedName name="계">#REF!</definedName>
    <definedName name="계보율" localSheetId="2">#REF!</definedName>
    <definedName name="계보율">#REF!</definedName>
    <definedName name="계수" localSheetId="2">#REF!,#REF!,#REF!,#REF!,#REF!</definedName>
    <definedName name="계수">#REF!,#REF!,#REF!,#REF!,#REF!</definedName>
    <definedName name="계약공기" localSheetId="2">#REF!</definedName>
    <definedName name="계약공기">#REF!</definedName>
    <definedName name="계약날짜" localSheetId="2">#REF!</definedName>
    <definedName name="계약날짜">#REF!</definedName>
    <definedName name="계약일" localSheetId="2">#REF!</definedName>
    <definedName name="계약일">#REF!</definedName>
    <definedName name="계장공" localSheetId="1">#REF!</definedName>
    <definedName name="계장공" localSheetId="2">#REF!</definedName>
    <definedName name="계장공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급선원" localSheetId="2">#REF!</definedName>
    <definedName name="고급선원">#REF!</definedName>
    <definedName name="고급원자력비파괴시험공" localSheetId="2">#REF!</definedName>
    <definedName name="고급원자력비파괴시험공">#REF!</definedName>
    <definedName name="고아" localSheetId="2">#REF!</definedName>
    <definedName name="고아">#REF!</definedName>
    <definedName name="고압" localSheetId="2">#REF!</definedName>
    <definedName name="고압">#REF!</definedName>
    <definedName name="고압케이블공" localSheetId="2">#REF!</definedName>
    <definedName name="고압케이블공">#REF!</definedName>
    <definedName name="고압케이블전공" localSheetId="2">#REF!</definedName>
    <definedName name="고압케이블전공">#REF!</definedName>
    <definedName name="고용보험료" localSheetId="2">#REF!</definedName>
    <definedName name="고용보험료">#REF!</definedName>
    <definedName name="고케" localSheetId="2">#REF!</definedName>
    <definedName name="고케">#REF!</definedName>
    <definedName name="골조" localSheetId="2">#REF!</definedName>
    <definedName name="골조">#REF!</definedName>
    <definedName name="공" localSheetId="2">#REF!</definedName>
    <definedName name="공">#REF!</definedName>
    <definedName name="공______사______명" localSheetId="2">#REF!</definedName>
    <definedName name="공______사______명">#REF!</definedName>
    <definedName name="공___사____원____가" localSheetId="2">#REF!</definedName>
    <definedName name="공___사____원____가">#REF!</definedName>
    <definedName name="공_사_개_요" localSheetId="2">#REF!</definedName>
    <definedName name="공_사_개_요">#REF!</definedName>
    <definedName name="工_事_槪_要" localSheetId="2">#REF!</definedName>
    <definedName name="工_事_槪_要">#REF!</definedName>
    <definedName name="공9501" localSheetId="2">#REF!</definedName>
    <definedName name="공9501">#REF!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 localSheetId="2">#REF!</definedName>
    <definedName name="공구">#REF!</definedName>
    <definedName name="공구1" localSheetId="2">#REF!</definedName>
    <definedName name="공구1">#REF!</definedName>
    <definedName name="공구손료" localSheetId="2">#REF!</definedName>
    <definedName name="공구손료">#REF!</definedName>
    <definedName name="공급가액" localSheetId="2">#REF!</definedName>
    <definedName name="공급가액">#REF!</definedName>
    <definedName name="공급가액1" localSheetId="2">#REF!</definedName>
    <definedName name="공급가액1">#REF!</definedName>
    <definedName name="공급가액10" localSheetId="2">#REF!</definedName>
    <definedName name="공급가액10">#REF!</definedName>
    <definedName name="공급가액11" localSheetId="2">#REF!</definedName>
    <definedName name="공급가액11">#REF!</definedName>
    <definedName name="공급가액12" localSheetId="2">#REF!</definedName>
    <definedName name="공급가액12">#REF!</definedName>
    <definedName name="공급가액13" localSheetId="2">#REF!</definedName>
    <definedName name="공급가액13">#REF!</definedName>
    <definedName name="공급가액2" localSheetId="2">#REF!</definedName>
    <definedName name="공급가액2">#REF!</definedName>
    <definedName name="공급가액3" localSheetId="2">#REF!</definedName>
    <definedName name="공급가액3">#REF!</definedName>
    <definedName name="공급가액4" localSheetId="2">#REF!</definedName>
    <definedName name="공급가액4">#REF!</definedName>
    <definedName name="공급가액5" localSheetId="2">#REF!</definedName>
    <definedName name="공급가액5">#REF!</definedName>
    <definedName name="공급가액6" localSheetId="2">#REF!</definedName>
    <definedName name="공급가액6">#REF!</definedName>
    <definedName name="공급가액7" localSheetId="2">#REF!</definedName>
    <definedName name="공급가액7">#REF!</definedName>
    <definedName name="공급가액8" localSheetId="2">#REF!</definedName>
    <definedName name="공급가액8">#REF!</definedName>
    <definedName name="공급가액9" localSheetId="2">#REF!</definedName>
    <definedName name="공급가액9">#REF!</definedName>
    <definedName name="공기" localSheetId="2">#REF!</definedName>
    <definedName name="공기">#REF!</definedName>
    <definedName name="공기입력" localSheetId="2">#REF!</definedName>
    <definedName name="공기입력">#REF!</definedName>
    <definedName name="공무" localSheetId="2">#REF!</definedName>
    <definedName name="공무">#REF!</definedName>
    <definedName name="공문" localSheetId="2">#REF!</definedName>
    <definedName name="공문">#REF!</definedName>
    <definedName name="공문1" localSheetId="2">#REF!</definedName>
    <definedName name="공문1">#REF!</definedName>
    <definedName name="공문서" localSheetId="2">#REF!</definedName>
    <definedName name="공문서">#REF!</definedName>
    <definedName name="공사" localSheetId="2">#REF!</definedName>
    <definedName name="공사">#REF!</definedName>
    <definedName name="공사개요" localSheetId="2">#REF!</definedName>
    <definedName name="공사개요">#REF!</definedName>
    <definedName name="공사기간" localSheetId="1">#REF!</definedName>
    <definedName name="공사기간" localSheetId="2">#REF!</definedName>
    <definedName name="공사기간">#REF!</definedName>
    <definedName name="공사내용1" localSheetId="2">#REF!</definedName>
    <definedName name="공사내용1">#REF!</definedName>
    <definedName name="공사내용10" localSheetId="2">#REF!</definedName>
    <definedName name="공사내용10">#REF!</definedName>
    <definedName name="공사내용11" localSheetId="2">#REF!</definedName>
    <definedName name="공사내용11">#REF!</definedName>
    <definedName name="공사내용12" localSheetId="2">#REF!</definedName>
    <definedName name="공사내용12">#REF!</definedName>
    <definedName name="공사내용13" localSheetId="2">#REF!</definedName>
    <definedName name="공사내용13">#REF!</definedName>
    <definedName name="공사내용2" localSheetId="2">#REF!</definedName>
    <definedName name="공사내용2">#REF!</definedName>
    <definedName name="공사내용3" localSheetId="2">#REF!</definedName>
    <definedName name="공사내용3">#REF!</definedName>
    <definedName name="공사내용4" localSheetId="2">#REF!</definedName>
    <definedName name="공사내용4">#REF!</definedName>
    <definedName name="공사내용5" localSheetId="2">#REF!</definedName>
    <definedName name="공사내용5">#REF!</definedName>
    <definedName name="공사내용6" localSheetId="2">#REF!</definedName>
    <definedName name="공사내용6">#REF!</definedName>
    <definedName name="공사내용7" localSheetId="2">#REF!</definedName>
    <definedName name="공사내용7">#REF!</definedName>
    <definedName name="공사내용8" localSheetId="2">#REF!</definedName>
    <definedName name="공사내용8">#REF!</definedName>
    <definedName name="공사내용9" localSheetId="2">#REF!</definedName>
    <definedName name="공사내용9">#REF!</definedName>
    <definedName name="공사명" localSheetId="1">#REF!</definedName>
    <definedName name="공사명" localSheetId="2">#REF!</definedName>
    <definedName name="공사명">#REF!</definedName>
    <definedName name="공사비산출" localSheetId="2">#REF!</definedName>
    <definedName name="공사비산출">#REF!</definedName>
    <definedName name="공사비제시조건" localSheetId="2">#REF!</definedName>
    <definedName name="공사비제시조건">#REF!</definedName>
    <definedName name="공사원가" localSheetId="2">#REF!</definedName>
    <definedName name="공사원가">#REF!</definedName>
    <definedName name="공사위치" localSheetId="2">#REF!</definedName>
    <definedName name="공사위치">#REF!</definedName>
    <definedName name="공수1" localSheetId="2">BLCH</definedName>
    <definedName name="공수1">BLCH</definedName>
    <definedName name="공일" localSheetId="2">#REF!</definedName>
    <definedName name="공일">#REF!</definedName>
    <definedName name="공작실" localSheetId="2">#REF!</definedName>
    <definedName name="공작실">#REF!</definedName>
    <definedName name="공정수량" localSheetId="2">#REF!</definedName>
    <definedName name="공정수량">#REF!</definedName>
    <definedName name="공정코드" localSheetId="2">#REF!</definedName>
    <definedName name="공정코드">#REF!</definedName>
    <definedName name="공종" localSheetId="2">#REF!</definedName>
    <definedName name="공종">#REF!</definedName>
    <definedName name="공종갯수" localSheetId="2">#REF!</definedName>
    <definedName name="공종갯수">#REF!</definedName>
    <definedName name="공종별견적서" localSheetId="2">BlankMacro1</definedName>
    <definedName name="공종별견적서">BlankMacro1</definedName>
    <definedName name="공종별내역서" localSheetId="2">BlankMacro1</definedName>
    <definedName name="공종별내역서">BlankMacro1</definedName>
    <definedName name="공토공단위당" localSheetId="2">#REF!</definedName>
    <definedName name="공토공단위당">#REF!</definedName>
    <definedName name="공통" localSheetId="2">#REF!</definedName>
    <definedName name="공통">#REF!</definedName>
    <definedName name="공통일위" localSheetId="2">#REF!</definedName>
    <definedName name="공통일위">#REF!</definedName>
    <definedName name="관급" localSheetId="1">#REF!,#REF!,#REF!</definedName>
    <definedName name="관급" localSheetId="2">#REF!,#REF!,#REF!</definedName>
    <definedName name="관급">#REF!,#REF!,#REF!</definedName>
    <definedName name="관급액" localSheetId="2">#REF!</definedName>
    <definedName name="관급액">#REF!</definedName>
    <definedName name="관급자재대" localSheetId="2">#REF!</definedName>
    <definedName name="관급자재대">#REF!</definedName>
    <definedName name="관로공사1" localSheetId="2">#REF!</definedName>
    <definedName name="관로공사1">#REF!</definedName>
    <definedName name="관로공사2" localSheetId="2">#REF!</definedName>
    <definedName name="관로공사2">#REF!</definedName>
    <definedName name="관로공사3" localSheetId="2">#REF!</definedName>
    <definedName name="관로공사3">#REF!</definedName>
    <definedName name="관로공사4" localSheetId="2">#REF!</definedName>
    <definedName name="관로공사4">#REF!</definedName>
    <definedName name="관로구삽입형방수" localSheetId="2">#REF!</definedName>
    <definedName name="관로구삽입형방수">#REF!</definedName>
    <definedName name="관로선통" localSheetId="2">#REF!</definedName>
    <definedName name="관로선통">#REF!</definedName>
    <definedName name="관로연장거리" localSheetId="2">#REF!</definedName>
    <definedName name="관로연장거리">#REF!</definedName>
    <definedName name="관로청소" localSheetId="2">#REF!</definedName>
    <definedName name="관로청소">#REF!</definedName>
    <definedName name="관리" localSheetId="2">#REF!</definedName>
    <definedName name="관리">#REF!</definedName>
    <definedName name="관리비산정기준" localSheetId="2">#REF!</definedName>
    <definedName name="관리비산정기준">#REF!</definedName>
    <definedName name="관리비지침2000년" localSheetId="2">#REF!</definedName>
    <definedName name="관리비지침2000년">#REF!</definedName>
    <definedName name="관목계" localSheetId="2">#REF!</definedName>
    <definedName name="관목계">#REF!</definedName>
    <definedName name="관정지반고" localSheetId="2">#REF!</definedName>
    <definedName name="관정지반고">#REF!</definedName>
    <definedName name="광1" localSheetId="2">#REF!</definedName>
    <definedName name="광1">#REF!</definedName>
    <definedName name="광10" localSheetId="2">#REF!</definedName>
    <definedName name="광10">#REF!</definedName>
    <definedName name="광11" localSheetId="2">#REF!</definedName>
    <definedName name="광11">#REF!</definedName>
    <definedName name="광12" localSheetId="2">#REF!</definedName>
    <definedName name="광12">#REF!</definedName>
    <definedName name="광2" localSheetId="2">#REF!</definedName>
    <definedName name="광2">#REF!</definedName>
    <definedName name="광3" localSheetId="2">#REF!</definedName>
    <definedName name="광3">#REF!</definedName>
    <definedName name="광4" localSheetId="2">#REF!</definedName>
    <definedName name="광4">#REF!</definedName>
    <definedName name="광5" localSheetId="2">#REF!</definedName>
    <definedName name="광5">#REF!</definedName>
    <definedName name="광6" localSheetId="2">#REF!</definedName>
    <definedName name="광6">#REF!</definedName>
    <definedName name="광7" localSheetId="2">#REF!</definedName>
    <definedName name="광7">#REF!</definedName>
    <definedName name="광8" localSheetId="2">#REF!</definedName>
    <definedName name="광8">#REF!</definedName>
    <definedName name="광9" localSheetId="2">#REF!</definedName>
    <definedName name="광9">#REF!</definedName>
    <definedName name="광명" localSheetId="2">#REF!</definedName>
    <definedName name="광명">#REF!</definedName>
    <definedName name="광분배함1" localSheetId="2">#REF!</definedName>
    <definedName name="광분배함1">#REF!</definedName>
    <definedName name="광분배함2" localSheetId="2">#REF!</definedName>
    <definedName name="광분배함2">#REF!</definedName>
    <definedName name="광분배함24" localSheetId="2">#REF!</definedName>
    <definedName name="광분배함24">#REF!</definedName>
    <definedName name="광분배함3" localSheetId="2">#REF!</definedName>
    <definedName name="광분배함3">#REF!</definedName>
    <definedName name="광분배함4" localSheetId="2">#REF!</definedName>
    <definedName name="광분배함4">#REF!</definedName>
    <definedName name="광분배함48" localSheetId="2">#REF!</definedName>
    <definedName name="광분배함48">#REF!</definedName>
    <definedName name="광분배함5" localSheetId="2">#REF!</definedName>
    <definedName name="광분배함5">#REF!</definedName>
    <definedName name="광분배함6" localSheetId="2">#REF!</definedName>
    <definedName name="광분배함6">#REF!</definedName>
    <definedName name="광분배함7" localSheetId="2">#REF!</definedName>
    <definedName name="광분배함7">#REF!</definedName>
    <definedName name="광분배함8" localSheetId="2">#REF!</definedName>
    <definedName name="광분배함8">#REF!</definedName>
    <definedName name="광분배함96" localSheetId="2">#REF!</definedName>
    <definedName name="광분배함96">#REF!</definedName>
    <definedName name="광분배함XX" localSheetId="2">#REF!</definedName>
    <definedName name="광분배함XX">#REF!</definedName>
    <definedName name="광분배함취부" localSheetId="2">#REF!</definedName>
    <definedName name="광분배함취부">#REF!</definedName>
    <definedName name="광수신감도" localSheetId="2">#REF!</definedName>
    <definedName name="광수신감도">#REF!</definedName>
    <definedName name="광수신감도축정" localSheetId="2">#REF!</definedName>
    <definedName name="광수신감도축정">#REF!</definedName>
    <definedName name="광수신감도측정" localSheetId="2">#REF!</definedName>
    <definedName name="광수신감도측정">#REF!</definedName>
    <definedName name="광아답터" localSheetId="2">#REF!</definedName>
    <definedName name="광아답터">#REF!</definedName>
    <definedName name="광원파장작성" localSheetId="2">#REF!</definedName>
    <definedName name="광원파장작성">#REF!</definedName>
    <definedName name="광원파장측정" localSheetId="2">#REF!</definedName>
    <definedName name="광원파장측정">#REF!</definedName>
    <definedName name="광접속함체24" localSheetId="2">#REF!</definedName>
    <definedName name="광접속함체24">#REF!</definedName>
    <definedName name="광접속함체48" localSheetId="2">#REF!</definedName>
    <definedName name="광접속함체48">#REF!</definedName>
    <definedName name="광접속함체96" localSheetId="2">#REF!</definedName>
    <definedName name="광접속함체96">#REF!</definedName>
    <definedName name="광접속함체XXC" localSheetId="2">#REF!</definedName>
    <definedName name="광접속함체XXC">#REF!</definedName>
    <definedName name="광접속함체설치" localSheetId="2">#REF!</definedName>
    <definedName name="광접속함체설치">#REF!</definedName>
    <definedName name="광케" localSheetId="2">#REF!</definedName>
    <definedName name="광케">#REF!</definedName>
    <definedName name="광케이블" localSheetId="2">#REF!</definedName>
    <definedName name="광케이블">#REF!</definedName>
    <definedName name="광케이블가공12" localSheetId="2">#REF!</definedName>
    <definedName name="광케이블가공12">#REF!</definedName>
    <definedName name="광케이블가공24" localSheetId="2">#REF!</definedName>
    <definedName name="광케이블가공24">#REF!</definedName>
    <definedName name="광케이블가공48" localSheetId="2">#REF!</definedName>
    <definedName name="광케이블가공48">#REF!</definedName>
    <definedName name="광케이블가공6" localSheetId="2">#REF!</definedName>
    <definedName name="광케이블가공6">#REF!</definedName>
    <definedName name="광케이블가공96" localSheetId="2">#REF!</definedName>
    <definedName name="광케이블가공96">#REF!</definedName>
    <definedName name="광케이블설치사" localSheetId="2">#REF!</definedName>
    <definedName name="광케이블설치사">#REF!</definedName>
    <definedName name="광케이블지중12" localSheetId="2">#REF!</definedName>
    <definedName name="광케이블지중12">#REF!</definedName>
    <definedName name="광케이블지중24" localSheetId="2">#REF!</definedName>
    <definedName name="광케이블지중24">#REF!</definedName>
    <definedName name="광케이블지중48" localSheetId="2">#REF!</definedName>
    <definedName name="광케이블지중48">#REF!</definedName>
    <definedName name="광케이블지중6" localSheetId="2">#REF!</definedName>
    <definedName name="광케이블지중6">#REF!</definedName>
    <definedName name="광케이블지중96" localSheetId="2">#REF!</definedName>
    <definedName name="광케이블지중96">#REF!</definedName>
    <definedName name="광케이블철거1" localSheetId="2">#REF!</definedName>
    <definedName name="광케이블철거1">#REF!</definedName>
    <definedName name="광케이블철거2" localSheetId="2">#REF!</definedName>
    <definedName name="광케이블철거2">#REF!</definedName>
    <definedName name="광케이블포설1" localSheetId="2">#REF!</definedName>
    <definedName name="광케이블포설1">#REF!</definedName>
    <definedName name="광케이블포설2" localSheetId="2">#REF!</definedName>
    <definedName name="광케이블포설2">#REF!</definedName>
    <definedName name="광코드01" localSheetId="2">#REF!</definedName>
    <definedName name="광코드01">#REF!</definedName>
    <definedName name="광코드02" localSheetId="2">#REF!</definedName>
    <definedName name="광코드02">#REF!</definedName>
    <definedName name="광코드03" localSheetId="2">#REF!</definedName>
    <definedName name="광코드03">#REF!</definedName>
    <definedName name="광코드04" localSheetId="2">#REF!</definedName>
    <definedName name="광코드04">#REF!</definedName>
    <definedName name="광코드10" localSheetId="2">#REF!</definedName>
    <definedName name="광코드10">#REF!</definedName>
    <definedName name="광코드11" localSheetId="2">#REF!</definedName>
    <definedName name="광코드11">#REF!</definedName>
    <definedName name="광코드12" localSheetId="2">#REF!</definedName>
    <definedName name="광코드12">#REF!</definedName>
    <definedName name="광코드13" localSheetId="2">#REF!</definedName>
    <definedName name="광코드13">#REF!</definedName>
    <definedName name="광코드14" localSheetId="2">#REF!</definedName>
    <definedName name="광코드14">#REF!</definedName>
    <definedName name="광코드20" localSheetId="2">#REF!</definedName>
    <definedName name="광코드20">#REF!</definedName>
    <definedName name="광코드21" localSheetId="2">#REF!</definedName>
    <definedName name="광코드21">#REF!</definedName>
    <definedName name="광코드22" localSheetId="2">#REF!</definedName>
    <definedName name="광코드22">#REF!</definedName>
    <definedName name="광코드23" localSheetId="2">#REF!</definedName>
    <definedName name="광코드23">#REF!</definedName>
    <definedName name="광코드24" localSheetId="2">#REF!</definedName>
    <definedName name="광코드24">#REF!</definedName>
    <definedName name="광코드3" localSheetId="2">#REF!</definedName>
    <definedName name="광코드3">#REF!</definedName>
    <definedName name="광코드31" localSheetId="2">#REF!</definedName>
    <definedName name="광코드31">#REF!</definedName>
    <definedName name="광코드32" localSheetId="2">#REF!</definedName>
    <definedName name="광코드32">#REF!</definedName>
    <definedName name="광코드33" localSheetId="2">#REF!</definedName>
    <definedName name="광코드33">#REF!</definedName>
    <definedName name="광코드34" localSheetId="2">#REF!</definedName>
    <definedName name="광코드34">#REF!</definedName>
    <definedName name="광코드41" localSheetId="2">#REF!</definedName>
    <definedName name="광코드41">#REF!</definedName>
    <definedName name="광코드42" localSheetId="2">#REF!</definedName>
    <definedName name="광코드42">#REF!</definedName>
    <definedName name="광코드43" localSheetId="2">#REF!</definedName>
    <definedName name="광코드43">#REF!</definedName>
    <definedName name="광코드44" localSheetId="2">#REF!</definedName>
    <definedName name="광코드44">#REF!</definedName>
    <definedName name="광코드51" localSheetId="2">#REF!</definedName>
    <definedName name="광코드51">#REF!</definedName>
    <definedName name="광코드52" localSheetId="2">#REF!</definedName>
    <definedName name="광코드52">#REF!</definedName>
    <definedName name="광코드53" localSheetId="2">#REF!</definedName>
    <definedName name="광코드53">#REF!</definedName>
    <definedName name="광코드54" localSheetId="2">#REF!</definedName>
    <definedName name="광코드54">#REF!</definedName>
    <definedName name="광코드61" localSheetId="2">#REF!</definedName>
    <definedName name="광코드61">#REF!</definedName>
    <definedName name="광코드62" localSheetId="2">#REF!</definedName>
    <definedName name="광코드62">#REF!</definedName>
    <definedName name="광코드63" localSheetId="2">#REF!</definedName>
    <definedName name="광코드63">#REF!</definedName>
    <definedName name="광코드64" localSheetId="2">#REF!</definedName>
    <definedName name="광코드64">#REF!</definedName>
    <definedName name="광코드71" localSheetId="2">#REF!</definedName>
    <definedName name="광코드71">#REF!</definedName>
    <definedName name="광코드72" localSheetId="2">#REF!</definedName>
    <definedName name="광코드72">#REF!</definedName>
    <definedName name="광코드73" localSheetId="2">#REF!</definedName>
    <definedName name="광코드73">#REF!</definedName>
    <definedName name="광코드74" localSheetId="2">#REF!</definedName>
    <definedName name="광코드74">#REF!</definedName>
    <definedName name="광통" localSheetId="2">#REF!</definedName>
    <definedName name="광통">#REF!</definedName>
    <definedName name="광통신" localSheetId="2">#REF!</definedName>
    <definedName name="광통신">#REF!</definedName>
    <definedName name="광통신설치사" localSheetId="2">#REF!</definedName>
    <definedName name="광통신설치사">#REF!</definedName>
    <definedName name="교목계" localSheetId="2">#REF!</definedName>
    <definedName name="교목계">#REF!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리2" localSheetId="2">#REF!</definedName>
    <definedName name="구리2">#REF!</definedName>
    <definedName name="구리변경전기" localSheetId="2">BlankMacro1</definedName>
    <definedName name="구리변경전기">BlankMacro1</definedName>
    <definedName name="구리전기" localSheetId="2">BlankMacro1</definedName>
    <definedName name="구리전기">BlankMacro1</definedName>
    <definedName name="구분1" localSheetId="2">#REF!</definedName>
    <definedName name="구분1">#REF!</definedName>
    <definedName name="구분10" localSheetId="2">#REF!</definedName>
    <definedName name="구분10">#REF!</definedName>
    <definedName name="구분11" localSheetId="2">#REF!</definedName>
    <definedName name="구분11">#REF!</definedName>
    <definedName name="구분12" localSheetId="2">#REF!</definedName>
    <definedName name="구분12">#REF!</definedName>
    <definedName name="구분13" localSheetId="2">#REF!</definedName>
    <definedName name="구분13">#REF!</definedName>
    <definedName name="구분2" localSheetId="2">#REF!</definedName>
    <definedName name="구분2">#REF!</definedName>
    <definedName name="구분3" localSheetId="2">#REF!</definedName>
    <definedName name="구분3">#REF!</definedName>
    <definedName name="구분4" localSheetId="2">#REF!</definedName>
    <definedName name="구분4">#REF!</definedName>
    <definedName name="구분5" localSheetId="2">#REF!</definedName>
    <definedName name="구분5">#REF!</definedName>
    <definedName name="구분6" localSheetId="2">#REF!</definedName>
    <definedName name="구분6">#REF!</definedName>
    <definedName name="구분7" localSheetId="2">#REF!</definedName>
    <definedName name="구분7">#REF!</definedName>
    <definedName name="구분8" localSheetId="2">#REF!</definedName>
    <definedName name="구분8">#REF!</definedName>
    <definedName name="구분9" localSheetId="2">#REF!</definedName>
    <definedName name="구분9">#REF!</definedName>
    <definedName name="구산갑지" localSheetId="2" hidden="1">#REF!</definedName>
    <definedName name="구산갑지" hidden="1">#REF!</definedName>
    <definedName name="구월" localSheetId="2">BlankMacro1</definedName>
    <definedName name="구월">BlankMacro1</definedName>
    <definedName name="구자관" hidden="1">{#N/A,#N/A,FALSE,"신청통보";#N/A,#N/A,FALSE,"기성확인서";#N/A,#N/A,FALSE,"기성내역서"}</definedName>
    <definedName name="국내성단" localSheetId="2">#REF!</definedName>
    <definedName name="국내성단">#REF!</definedName>
    <definedName name="국명" localSheetId="2">#REF!</definedName>
    <definedName name="국명">#REF!</definedName>
    <definedName name="국소카운팅" localSheetId="2">#REF!</definedName>
    <definedName name="국소카운팅">#REF!</definedName>
    <definedName name="군유1" localSheetId="2">#REF!</definedName>
    <definedName name="군유1">#REF!</definedName>
    <definedName name="군유2" localSheetId="2">#REF!</definedName>
    <definedName name="군유2">#REF!</definedName>
    <definedName name="군유3" localSheetId="2">#REF!</definedName>
    <definedName name="군유3">#REF!</definedName>
    <definedName name="군유4" localSheetId="2">#REF!</definedName>
    <definedName name="군유4">#REF!</definedName>
    <definedName name="군유5" localSheetId="2">#REF!</definedName>
    <definedName name="군유5">#REF!</definedName>
    <definedName name="군유6" localSheetId="2">#REF!</definedName>
    <definedName name="군유6">#REF!</definedName>
    <definedName name="군유7" localSheetId="2">#REF!</definedName>
    <definedName name="군유7">#REF!</definedName>
    <definedName name="굴착공사5" localSheetId="2">#REF!</definedName>
    <definedName name="굴착공사5">#REF!</definedName>
    <definedName name="굴착공사6" localSheetId="2">#REF!</definedName>
    <definedName name="굴착공사6">#REF!</definedName>
    <definedName name="굴착공사7" localSheetId="2">#REF!</definedName>
    <definedName name="굴착공사7">#REF!</definedName>
    <definedName name="굴착공사8" localSheetId="2">#REF!</definedName>
    <definedName name="굴착공사8">#REF!</definedName>
    <definedName name="굴착보도" localSheetId="2">#REF!</definedName>
    <definedName name="굴착보도">#REF!</definedName>
    <definedName name="굴착사리도" localSheetId="2">#REF!</definedName>
    <definedName name="굴착사리도">#REF!</definedName>
    <definedName name="굴착아스콘" localSheetId="2">#REF!</definedName>
    <definedName name="굴착아스콘">#REF!</definedName>
    <definedName name="궤도공" localSheetId="2">#REF!</definedName>
    <definedName name="궤도공">#REF!</definedName>
    <definedName name="규격" localSheetId="2">#REF!</definedName>
    <definedName name="규격">#REF!</definedName>
    <definedName name="그냔" localSheetId="2">#REF!</definedName>
    <definedName name="그냔">#REF!</definedName>
    <definedName name="그린네트" hidden="1">{#N/A,#N/A,FALSE,"현장 NCR 분석";#N/A,#N/A,FALSE,"현장품질감사";#N/A,#N/A,FALSE,"현장품질감사"}</definedName>
    <definedName name="근01" localSheetId="2">#REF!</definedName>
    <definedName name="근01">#REF!</definedName>
    <definedName name="근가" localSheetId="2">#REF!</definedName>
    <definedName name="근가">#REF!</definedName>
    <definedName name="근거" localSheetId="2">#REF!</definedName>
    <definedName name="근거">#REF!</definedName>
    <definedName name="근거1" localSheetId="2">#REF!</definedName>
    <definedName name="근거1">#REF!</definedName>
    <definedName name="금마타리" localSheetId="2">#REF!</definedName>
    <definedName name="금마타리">#REF!</definedName>
    <definedName name="금변금간접노무비" localSheetId="2">#REF!</definedName>
    <definedName name="금변금간접노무비">#REF!</definedName>
    <definedName name="금변금고용보험료" localSheetId="2">#REF!</definedName>
    <definedName name="금변금고용보험료">#REF!</definedName>
    <definedName name="금변금공급가액" localSheetId="2">#REF!</definedName>
    <definedName name="금변금공급가액">#REF!</definedName>
    <definedName name="금변금공사원가" localSheetId="2">#REF!</definedName>
    <definedName name="금변금공사원가">#REF!</definedName>
    <definedName name="금변금기타경비" localSheetId="2">#REF!</definedName>
    <definedName name="금변금기타경비">#REF!</definedName>
    <definedName name="금변금도급액" localSheetId="2">#REF!</definedName>
    <definedName name="금변금도급액">#REF!</definedName>
    <definedName name="금변금부가가치세" localSheetId="2">#REF!</definedName>
    <definedName name="금변금부가가치세">#REF!</definedName>
    <definedName name="금변금산재보험료" localSheetId="2">#REF!</definedName>
    <definedName name="금변금산재보험료">#REF!</definedName>
    <definedName name="금변금순공사원가" localSheetId="2">#REF!</definedName>
    <definedName name="금변금순공사원가">#REF!</definedName>
    <definedName name="금변금안전관리비" localSheetId="2">#REF!</definedName>
    <definedName name="금변금안전관리비">#REF!</definedName>
    <definedName name="금변금이윤" localSheetId="2">#REF!</definedName>
    <definedName name="금변금이윤">#REF!</definedName>
    <definedName name="금변금일반관리비" localSheetId="2">#REF!</definedName>
    <definedName name="금변금일반관리비">#REF!</definedName>
    <definedName name="금변금폐기물처리비" localSheetId="2">#REF!</definedName>
    <definedName name="금변금폐기물처리비">#REF!</definedName>
    <definedName name="금변전간접노무비" localSheetId="2">#REF!</definedName>
    <definedName name="금변전간접노무비">#REF!</definedName>
    <definedName name="금변전고용보험료" localSheetId="2">#REF!</definedName>
    <definedName name="금변전고용보험료">#REF!</definedName>
    <definedName name="금변전공급가액" localSheetId="2">#REF!</definedName>
    <definedName name="금변전공급가액">#REF!</definedName>
    <definedName name="금변전공사원가" localSheetId="2">#REF!</definedName>
    <definedName name="금변전공사원가">#REF!</definedName>
    <definedName name="금변전기타경비" localSheetId="2">#REF!</definedName>
    <definedName name="금변전기타경비">#REF!</definedName>
    <definedName name="금변전도급액" localSheetId="2">#REF!</definedName>
    <definedName name="금변전도급액">#REF!</definedName>
    <definedName name="금변전부가가치세" localSheetId="2">#REF!</definedName>
    <definedName name="금변전부가가치세">#REF!</definedName>
    <definedName name="금변전산재보험료" localSheetId="2">#REF!</definedName>
    <definedName name="금변전산재보험료">#REF!</definedName>
    <definedName name="금변전순공사원가" localSheetId="2">#REF!</definedName>
    <definedName name="금변전순공사원가">#REF!</definedName>
    <definedName name="금변전안전관리비" localSheetId="2">#REF!</definedName>
    <definedName name="금변전안전관리비">#REF!</definedName>
    <definedName name="금변전이윤" localSheetId="2">#REF!</definedName>
    <definedName name="금변전이윤">#REF!</definedName>
    <definedName name="금변전일반관리비" localSheetId="2">#REF!</definedName>
    <definedName name="금변전일반관리비">#REF!</definedName>
    <definedName name="금변전폐기물처리비" localSheetId="2">#REF!</definedName>
    <definedName name="금변전폐기물처리비">#REF!</definedName>
    <definedName name="금속견적" localSheetId="2">BlankMacro1</definedName>
    <definedName name="금속견적">BlankMacro1</definedName>
    <definedName name="금액1" localSheetId="2">#REF!</definedName>
    <definedName name="금액1">#REF!</definedName>
    <definedName name="금액2" localSheetId="2">#REF!</definedName>
    <definedName name="금액2">#REF!</definedName>
    <definedName name="금액3" localSheetId="2">#REF!</definedName>
    <definedName name="금액3">#REF!</definedName>
    <definedName name="금액4" localSheetId="2">#REF!</definedName>
    <definedName name="금액4">#REF!</definedName>
    <definedName name="금액5" localSheetId="2">#REF!</definedName>
    <definedName name="금액5">#REF!</definedName>
    <definedName name="금액6" localSheetId="2">#REF!</definedName>
    <definedName name="금액6">#REF!</definedName>
    <definedName name="금액대비" localSheetId="2">BlankMacro1</definedName>
    <definedName name="금액대비">BlankMacro1</definedName>
    <definedName name="금회공사원가금회" localSheetId="2">#REF!</definedName>
    <definedName name="금회공사원가금회">#REF!</definedName>
    <definedName name="금회공사원가기시행" localSheetId="2">#REF!</definedName>
    <definedName name="금회공사원가기시행">#REF!</definedName>
    <definedName name="금회공사원가전체" localSheetId="2">#REF!</definedName>
    <definedName name="금회공사원가전체">#REF!</definedName>
    <definedName name="금회금간접노무비" localSheetId="2">#REF!</definedName>
    <definedName name="금회금간접노무비">#REF!</definedName>
    <definedName name="금회금고용보험료" localSheetId="2">#REF!</definedName>
    <definedName name="금회금고용보험료">#REF!</definedName>
    <definedName name="금회금공사원가" localSheetId="2">#REF!</definedName>
    <definedName name="금회금공사원가">#REF!</definedName>
    <definedName name="금회금기타경비" localSheetId="2">#REF!</definedName>
    <definedName name="금회금기타경비">#REF!</definedName>
    <definedName name="금회금산재보험료" localSheetId="2">#REF!</definedName>
    <definedName name="금회금산재보험료">#REF!</definedName>
    <definedName name="금회금안전관리비" localSheetId="2">#REF!</definedName>
    <definedName name="금회금안전관리비">#REF!</definedName>
    <definedName name="금회금이윤" localSheetId="2">#REF!</definedName>
    <definedName name="금회금이윤">#REF!</definedName>
    <definedName name="금회금일반관리비" localSheetId="2">#REF!</definedName>
    <definedName name="금회금일반관리비">#REF!</definedName>
    <definedName name="금회금제이윤" localSheetId="2">#REF!</definedName>
    <definedName name="금회금제이윤">#REF!</definedName>
    <definedName name="금회금폐기물처리비" localSheetId="2">#REF!</definedName>
    <definedName name="금회금폐기물처리비">#REF!</definedName>
    <definedName name="금회기공사원가" localSheetId="2">#REF!</definedName>
    <definedName name="금회기공사원가">#REF!</definedName>
    <definedName name="금회장공사원가" localSheetId="2">#REF!</definedName>
    <definedName name="금회장공사원가">#REF!</definedName>
    <definedName name="금회전공사원가" localSheetId="2">#REF!</definedName>
    <definedName name="금회전공사원가">#REF!</definedName>
    <definedName name="기1997" localSheetId="2">#REF!</definedName>
    <definedName name="기1997">#REF!</definedName>
    <definedName name="기96083" localSheetId="2">#REF!</definedName>
    <definedName name="기96083">#REF!</definedName>
    <definedName name="기96091" localSheetId="2">#REF!</definedName>
    <definedName name="기96091">#REF!</definedName>
    <definedName name="기96093" localSheetId="2">#REF!</definedName>
    <definedName name="기96093">#REF!</definedName>
    <definedName name="기96101" localSheetId="2">#REF!</definedName>
    <definedName name="기96101">#REF!</definedName>
    <definedName name="기96103" localSheetId="2">#REF!</definedName>
    <definedName name="기96103">#REF!</definedName>
    <definedName name="기96111" localSheetId="2">#REF!</definedName>
    <definedName name="기96111">#REF!</definedName>
    <definedName name="기96113" localSheetId="2">#REF!</definedName>
    <definedName name="기96113">#REF!</definedName>
    <definedName name="기96121" localSheetId="2">#REF!</definedName>
    <definedName name="기96121">#REF!</definedName>
    <definedName name="기96123" localSheetId="2">#REF!</definedName>
    <definedName name="기96123">#REF!</definedName>
    <definedName name="기97011" localSheetId="2">#REF!</definedName>
    <definedName name="기97011">#REF!</definedName>
    <definedName name="기97013" localSheetId="2">#REF!</definedName>
    <definedName name="기97013">#REF!</definedName>
    <definedName name="기계" localSheetId="2">#REF!</definedName>
    <definedName name="기계">#REF!</definedName>
    <definedName name="기계경비" localSheetId="2">#REF!</definedName>
    <definedName name="기계경비">#REF!</definedName>
    <definedName name="기계공" localSheetId="1">#REF!</definedName>
    <definedName name="기계공" localSheetId="2">#REF!</definedName>
    <definedName name="기계공">#REF!</definedName>
    <definedName name="기계근거" localSheetId="2">#REF!</definedName>
    <definedName name="기계근거">#REF!</definedName>
    <definedName name="기계산정" localSheetId="2">#REF!</definedName>
    <definedName name="기계산정">#REF!</definedName>
    <definedName name="기계산정표" localSheetId="2">#REF!,#REF!</definedName>
    <definedName name="기계산정표">#REF!,#REF!</definedName>
    <definedName name="기계설치공" localSheetId="1">#REF!</definedName>
    <definedName name="기계설치공" localSheetId="2">#REF!</definedName>
    <definedName name="기계설치공">#REF!</definedName>
    <definedName name="기능사1" localSheetId="2">#REF!</definedName>
    <definedName name="기능사1">#REF!</definedName>
    <definedName name="기능사2" localSheetId="2">#REF!</definedName>
    <definedName name="기능사2">#REF!</definedName>
    <definedName name="기사" localSheetId="2">#REF!</definedName>
    <definedName name="기사">#REF!</definedName>
    <definedName name="기사1" localSheetId="2">#REF!</definedName>
    <definedName name="기사1">#REF!</definedName>
    <definedName name="기사2" localSheetId="2">#REF!</definedName>
    <definedName name="기사2">#REF!</definedName>
    <definedName name="기성" localSheetId="2">#REF!</definedName>
    <definedName name="기성">#REF!</definedName>
    <definedName name="기성집계1" localSheetId="2">#REF!</definedName>
    <definedName name="기성집계1">#REF!</definedName>
    <definedName name="기안갑" localSheetId="2">#REF!</definedName>
    <definedName name="기안갑">#REF!</definedName>
    <definedName name="기안을" localSheetId="2">#REF!</definedName>
    <definedName name="기안을">#REF!</definedName>
    <definedName name="기준일" localSheetId="2">#REF!</definedName>
    <definedName name="기준일">#REF!</definedName>
    <definedName name="기지수" localSheetId="2">#REF!</definedName>
    <definedName name="기지수">#REF!</definedName>
    <definedName name="기초데이타" localSheetId="2">#REF!</definedName>
    <definedName name="기초데이타">#REF!</definedName>
    <definedName name="기초액" localSheetId="2">#REF!</definedName>
    <definedName name="기초액">#REF!</definedName>
    <definedName name="기타" localSheetId="2">#REF!</definedName>
    <definedName name="기타">#REF!</definedName>
    <definedName name="기타경비" localSheetId="1">#REF!</definedName>
    <definedName name="기타경비" localSheetId="2">#REF!</definedName>
    <definedName name="기타경비">#REF!</definedName>
    <definedName name="기타경비요율" localSheetId="2">#REF!</definedName>
    <definedName name="기타경비요율">#REF!</definedName>
    <definedName name="기타경비표" localSheetId="2">#REF!</definedName>
    <definedName name="기타경비표">#REF!</definedName>
    <definedName name="기타비목" localSheetId="2">#REF!</definedName>
    <definedName name="기타비목">#REF!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2" hidden="1">#REF!</definedName>
    <definedName name="김" hidden="1">#REF!</definedName>
    <definedName name="김형수" hidden="1">{#N/A,#N/A,FALSE,"CAM-G7";#N/A,#N/A,FALSE,"SPL";#N/A,#N/A,FALSE,"butt-in G7";#N/A,#N/A,FALSE,"dia-in G7";#N/A,#N/A,FALSE,"추가-STA G7"}</definedName>
    <definedName name="꽃창포" localSheetId="2">#REF!</definedName>
    <definedName name="꽃창포">#REF!</definedName>
    <definedName name="꽃향유" localSheetId="2">#REF!</definedName>
    <definedName name="꽃향유">#REF!</definedName>
    <definedName name="ㄳㄳ" localSheetId="2">#REF!</definedName>
    <definedName name="ㄳㄳ">#REF!</definedName>
    <definedName name="ㄴ" localSheetId="1">#REF!</definedName>
    <definedName name="ㄴ" localSheetId="2">#REF!</definedName>
    <definedName name="ㄴ">#REF!</definedName>
    <definedName name="ㄴ." localSheetId="2">#REF!</definedName>
    <definedName name="ㄴ.">#REF!</definedName>
    <definedName name="ㄴㄱㄹ" localSheetId="2" hidden="1">#REF!</definedName>
    <definedName name="ㄴㄱㄹ" hidden="1">#REF!</definedName>
    <definedName name="ㄴㄴ" localSheetId="2">#REF!</definedName>
    <definedName name="ㄴㄴ">#REF!</definedName>
    <definedName name="ㄴㄴㄴ" localSheetId="1" hidden="1">#REF!</definedName>
    <definedName name="ㄴㄴㄴ" localSheetId="2" hidden="1">#REF!</definedName>
    <definedName name="ㄴㄴㄴ">내역!ㄴㄴㄴ</definedName>
    <definedName name="ㄴㄴㄴㄴ" localSheetId="1" hidden="1">#REF!</definedName>
    <definedName name="ㄴㄴㄴㄴ" localSheetId="2" hidden="1">#REF!</definedName>
    <definedName name="ㄴㄴㄴㄴ">내역!ㄴㄴㄴㄴ</definedName>
    <definedName name="ㄴㄴㄴㄴㄴ" localSheetId="2" hidden="1">#REF!</definedName>
    <definedName name="ㄴㄴㄴㄴㄴ" hidden="1">#REF!</definedName>
    <definedName name="ㄴㄴㄴㄴㄴㄴ" localSheetId="2">#REF!</definedName>
    <definedName name="ㄴㄴㄴㄴㄴㄴ">#REF!</definedName>
    <definedName name="ㄴㄴㄴㄴㄴㄴㄴㄴㄴㄴ" localSheetId="2">#REF!</definedName>
    <definedName name="ㄴㄴㄴㄴㄴㄴㄴㄴㄴㄴ">#REF!</definedName>
    <definedName name="ㄴㄴㄴㄴㄴㅁ" localSheetId="2">#REF!</definedName>
    <definedName name="ㄴㄴㄴㄴㄴㅁ">#REF!</definedName>
    <definedName name="ㄴㄴㅁㅁㅇㄴ" localSheetId="2">#REF!</definedName>
    <definedName name="ㄴㄴㅁㅁㅇㄴ">#REF!</definedName>
    <definedName name="ㄴㄴㅇㅇㄴ" localSheetId="2">#REF!</definedName>
    <definedName name="ㄴㄴㅇㅇㄴ">#REF!</definedName>
    <definedName name="ㄴㄹㄴㅁㅎㅇㄹ" hidden="1">{#N/A,"수불부",FALSE,"사급자재수불서";#N/A,"수불부",FALSE,"사급자재수불서"}</definedName>
    <definedName name="ㄴㄹㅇㄴㄹㅇ" localSheetId="2">#REF!</definedName>
    <definedName name="ㄴㄹㅇㄴㄹㅇ">#REF!</definedName>
    <definedName name="ㄴㅁ" localSheetId="1">#REF!</definedName>
    <definedName name="ㄴㅁ" localSheetId="2">#REF!</definedName>
    <definedName name="ㄴㅁ" hidden="1">#REF!</definedName>
    <definedName name="ㄴㅁㄻㄴㅇㄹㅇㄴㄹ" hidden="1">{#N/A,"수불부",FALSE,"사급자재수불서";#N/A,"수불부",FALSE,"사급자재수불서"}</definedName>
    <definedName name="ㄴㅁㅁ" localSheetId="2">#REF!</definedName>
    <definedName name="ㄴㅁㅁ">#REF!</definedName>
    <definedName name="ㄴㅁㅇㅇㄴㅇ" localSheetId="2">#REF!</definedName>
    <definedName name="ㄴㅁㅇㅇㄴㅇ">#REF!</definedName>
    <definedName name="ㄴㅁㅇㅇㄴㅇㄴ" localSheetId="2">#REF!</definedName>
    <definedName name="ㄴㅁㅇㅇㄴㅇㄴ">#REF!</definedName>
    <definedName name="ㄴㅇ" localSheetId="2">#REF!</definedName>
    <definedName name="ㄴㅇ">#REF!</definedName>
    <definedName name="ㄴㅇㄴㄴㅁㅁ" localSheetId="2">#REF!</definedName>
    <definedName name="ㄴㅇㄴㄴㅁㅁ">#REF!</definedName>
    <definedName name="ㄴㅇㄹ" localSheetId="1">#REF!</definedName>
    <definedName name="ㄴㅇㄹ" localSheetId="2">#REF!</definedName>
    <definedName name="ㄴㅇㄹ">내역!ㄴㅇㄹ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ㄹㅇㄷ" localSheetId="2">#REF!</definedName>
    <definedName name="ㄴㅇㄹㅇㄷ">#REF!</definedName>
    <definedName name="나." localSheetId="2">#REF!</definedName>
    <definedName name="나.">#REF!</definedName>
    <definedName name="나무" localSheetId="2">#REF!</definedName>
    <definedName name="나무">#REF!</definedName>
    <definedName name="낙찰가">#N/A</definedName>
    <definedName name="낙찰율" localSheetId="2">#REF!</definedName>
    <definedName name="낙찰율">#REF!</definedName>
    <definedName name="난연" localSheetId="2">#REF!</definedName>
    <definedName name="난연">#REF!</definedName>
    <definedName name="남산1호" localSheetId="2">#REF!</definedName>
    <definedName name="남산1호">#REF!</definedName>
    <definedName name="남산2호" localSheetId="2">#REF!</definedName>
    <definedName name="남산2호">#REF!</definedName>
    <definedName name="납땜" localSheetId="2">#REF!</definedName>
    <definedName name="납땜">#REF!</definedName>
    <definedName name="내선" localSheetId="2">#REF!</definedName>
    <definedName name="내선">#REF!</definedName>
    <definedName name="내선전공" localSheetId="1">#REF!</definedName>
    <definedName name="내선전공" localSheetId="2">#REF!</definedName>
    <definedName name="내선전공">#REF!</definedName>
    <definedName name="내역" hidden="1">{#N/A,#N/A,FALSE,"CCTV"}</definedName>
    <definedName name="내역서" localSheetId="2">#REF!</definedName>
    <definedName name="내역서">#REF!</definedName>
    <definedName name="내장공" localSheetId="1">#REF!</definedName>
    <definedName name="내장공" localSheetId="2">#REF!</definedName>
    <definedName name="내장공">#REF!</definedName>
    <definedName name="냉샐행" localSheetId="2">#REF!</definedName>
    <definedName name="냉샐행">#REF!</definedName>
    <definedName name="년도" localSheetId="2">#REF!</definedName>
    <definedName name="년도">#REF!</definedName>
    <definedName name="노9501" localSheetId="2">#REF!</definedName>
    <definedName name="노9501">#REF!</definedName>
    <definedName name="노경" localSheetId="2">#REF!</definedName>
    <definedName name="노경">#REF!</definedName>
    <definedName name="노계1" localSheetId="2">BLCH</definedName>
    <definedName name="노계1">BLCH</definedName>
    <definedName name="노곡1호" localSheetId="2">#REF!</definedName>
    <definedName name="노곡1호">#REF!</definedName>
    <definedName name="노곡2호" localSheetId="2">#REF!</definedName>
    <definedName name="노곡2호">#REF!</definedName>
    <definedName name="노곡3호" localSheetId="2">#REF!</definedName>
    <definedName name="노곡3호">#REF!</definedName>
    <definedName name="노곡4호" localSheetId="2">#REF!</definedName>
    <definedName name="노곡4호">#REF!</definedName>
    <definedName name="노무" localSheetId="2">#REF!</definedName>
    <definedName name="노무">#REF!</definedName>
    <definedName name="노무비" localSheetId="2">#REF!</definedName>
    <definedName name="노무비">#REF!</definedName>
    <definedName name="노무비단가" localSheetId="2">#REF!</definedName>
    <definedName name="노무비단가">#REF!</definedName>
    <definedName name="노무비합" localSheetId="2">#REF!</definedName>
    <definedName name="노무비합">#REF!</definedName>
    <definedName name="노무율" localSheetId="2">#REF!</definedName>
    <definedName name="노무율">#REF!</definedName>
    <definedName name="노부비" localSheetId="2">#REF!</definedName>
    <definedName name="노부비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2">#REF!</definedName>
    <definedName name="노임">#REF!</definedName>
    <definedName name="노임단가" localSheetId="1" hidden="1">{"SJ - 기본 보기",#N/A,FALSE,"공사별 외주견적"}</definedName>
    <definedName name="노임단가" localSheetId="2" hidden="1">{"SJ - 기본 보기",#N/A,FALSE,"공사별 외주견적"}</definedName>
    <definedName name="노임단가">#REF!</definedName>
    <definedName name="노즐공" localSheetId="2">#REF!</definedName>
    <definedName name="노즐공">#REF!</definedName>
    <definedName name="노지율" localSheetId="2">#REF!</definedName>
    <definedName name="노지율">#REF!</definedName>
    <definedName name="노집1" localSheetId="2">BLCH</definedName>
    <definedName name="노집1">BLCH</definedName>
    <definedName name="녹음기" localSheetId="2">BlankMacro1</definedName>
    <definedName name="녹음기">BlankMacro1</definedName>
    <definedName name="논현동외" hidden="1">{#N/A,#N/A,FALSE,"Sheet6"}</definedName>
    <definedName name="농원1호" localSheetId="2">#REF!</definedName>
    <definedName name="농원1호">#REF!</definedName>
    <definedName name="농원2호" localSheetId="2">#REF!</definedName>
    <definedName name="농원2호">#REF!</definedName>
    <definedName name="눈주목" localSheetId="2">#REF!</definedName>
    <definedName name="눈주목">#REF!</definedName>
    <definedName name="느티나무" localSheetId="2">#REF!</definedName>
    <definedName name="느티나무">#REF!</definedName>
    <definedName name="ㄷㄱㄷㅅㅅㅅ" localSheetId="2">#REF!</definedName>
    <definedName name="ㄷㄱㄷㅅㅅㅅ">#REF!</definedName>
    <definedName name="ㄷㄷ" localSheetId="2" hidden="1">#REF!</definedName>
    <definedName name="ㄷㄷ" hidden="1">#REF!</definedName>
    <definedName name="ㄷㄷㄷ" localSheetId="2">#REF!</definedName>
    <definedName name="ㄷㄷㄷ">#REF!</definedName>
    <definedName name="ㄷㄷㅈ" localSheetId="2">#REF!</definedName>
    <definedName name="ㄷㄷㅈ">#REF!</definedName>
    <definedName name="ㄷㄹㄹㅇ" localSheetId="2">#REF!</definedName>
    <definedName name="ㄷㄹㄹㅇ">#REF!</definedName>
    <definedName name="ㄷㄹㅇㄴ" localSheetId="2">#REF!</definedName>
    <definedName name="ㄷㄹㅇㄴ">#REF!</definedName>
    <definedName name="ㄷㄹㅇㄴㄹ" localSheetId="2">#REF!</definedName>
    <definedName name="ㄷㄹㅇㄴㄹ">#REF!</definedName>
    <definedName name="ㄷㅇㄴ" localSheetId="2">#REF!</definedName>
    <definedName name="ㄷㅇㄴ">#REF!</definedName>
    <definedName name="ㄷㅇㄹ" localSheetId="2">#REF!</definedName>
    <definedName name="ㄷㅇㄹ">#REF!</definedName>
    <definedName name="ㄷㅇㄹㄴ" localSheetId="2">#REF!</definedName>
    <definedName name="ㄷㅇㄹㄴ">#REF!</definedName>
    <definedName name="다." localSheetId="2">#REF!</definedName>
    <definedName name="다.">#REF!</definedName>
    <definedName name="닥트공" localSheetId="1">#REF!</definedName>
    <definedName name="닥트공" localSheetId="2">#REF!</definedName>
    <definedName name="닥트공">#REF!</definedName>
    <definedName name="단가" localSheetId="2">#REF!</definedName>
    <definedName name="단가">#REF!</definedName>
    <definedName name="단가2" localSheetId="2">#REF!,#REF!</definedName>
    <definedName name="단가2">#REF!,#REF!</definedName>
    <definedName name="단가비교표" localSheetId="1">#REF!,#REF!</definedName>
    <definedName name="단가비교표" localSheetId="2">#REF!,#REF!</definedName>
    <definedName name="단가비교표">#REF!,#REF!</definedName>
    <definedName name="단가산출서" localSheetId="2">BlankMacro1</definedName>
    <definedName name="단가산출서">BlankMacro1</definedName>
    <definedName name="단가산출서1" localSheetId="2">BlankMacro1</definedName>
    <definedName name="단가산출서1">BlankMacro1</definedName>
    <definedName name="단가적용표" localSheetId="2">#REF!</definedName>
    <definedName name="단가적용표">#REF!</definedName>
    <definedName name="단수처리" localSheetId="2">#REF!</definedName>
    <definedName name="단수처리">#REF!</definedName>
    <definedName name="단위별" localSheetId="2">#REF!</definedName>
    <definedName name="단위별">#REF!</definedName>
    <definedName name="단자블럭취부" localSheetId="2">#REF!</definedName>
    <definedName name="단자블럭취부">#REF!</definedName>
    <definedName name="달" localSheetId="2">BlankMacro1</definedName>
    <definedName name="달">BlankMacro1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나무" localSheetId="2">#REF!</definedName>
    <definedName name="대나무">#REF!</definedName>
    <definedName name="대비" localSheetId="2">#REF!</definedName>
    <definedName name="대비">#REF!</definedName>
    <definedName name="대비표" hidden="1">{#N/A,#N/A,FALSE,"CAM-G7";#N/A,#N/A,FALSE,"SPL";#N/A,#N/A,FALSE,"butt-in G7";#N/A,#N/A,FALSE,"dia-in G7";#N/A,#N/A,FALSE,"추가-STA G7"}</definedName>
    <definedName name="대전중리1" localSheetId="2">#REF!</definedName>
    <definedName name="대전중리1">#REF!</definedName>
    <definedName name="대전타임월드" localSheetId="2">#REF!</definedName>
    <definedName name="대전타임월드">#REF!</definedName>
    <definedName name="대존" localSheetId="2">#REF!</definedName>
    <definedName name="대존">#REF!</definedName>
    <definedName name="대표자" localSheetId="2">#REF!</definedName>
    <definedName name="대표자">#REF!</definedName>
    <definedName name="덕산1호" localSheetId="2">#REF!</definedName>
    <definedName name="덕산1호">#REF!</definedName>
    <definedName name="덕산2호" localSheetId="2">#REF!</definedName>
    <definedName name="덕산2호">#REF!</definedName>
    <definedName name="덕산3호" localSheetId="2">#REF!</definedName>
    <definedName name="덕산3호">#REF!</definedName>
    <definedName name="덕산4호" localSheetId="2">#REF!</definedName>
    <definedName name="덕산4호">#REF!</definedName>
    <definedName name="덕전1호" localSheetId="2">#REF!</definedName>
    <definedName name="덕전1호">#REF!</definedName>
    <definedName name="덕전2호" localSheetId="2">#REF!</definedName>
    <definedName name="덕전2호">#REF!</definedName>
    <definedName name="덕전3호" localSheetId="2">#REF!</definedName>
    <definedName name="덕전3호">#REF!</definedName>
    <definedName name="덕지1호" localSheetId="2">#REF!</definedName>
    <definedName name="덕지1호">#REF!</definedName>
    <definedName name="덕천1호" localSheetId="2">#REF!</definedName>
    <definedName name="덕천1호">#REF!</definedName>
    <definedName name="덕천2호" localSheetId="2">#REF!</definedName>
    <definedName name="덕천2호">#REF!</definedName>
    <definedName name="덕천3호" localSheetId="2">#REF!</definedName>
    <definedName name="덕천3호">#REF!</definedName>
    <definedName name="덕천4호" localSheetId="2">#REF!</definedName>
    <definedName name="덕천4호">#REF!</definedName>
    <definedName name="덤프트럭" localSheetId="2">#REF!</definedName>
    <definedName name="덤프트럭">#REF!</definedName>
    <definedName name="도______급______액" localSheetId="2">#REF!</definedName>
    <definedName name="도______급______액">#REF!</definedName>
    <definedName name="도급" localSheetId="2">BlankMacro1</definedName>
    <definedName name="도급">BlankMacro1</definedName>
    <definedName name="도급가" localSheetId="2">#REF!</definedName>
    <definedName name="도급가">#REF!</definedName>
    <definedName name="도급경비" localSheetId="2">#REF!</definedName>
    <definedName name="도급경비">#REF!</definedName>
    <definedName name="도급경비1" localSheetId="2">#REF!</definedName>
    <definedName name="도급경비1">#REF!</definedName>
    <definedName name="도급계" localSheetId="2">#REF!</definedName>
    <definedName name="도급계">#REF!</definedName>
    <definedName name="도급계1" localSheetId="2">#REF!</definedName>
    <definedName name="도급계1">#REF!</definedName>
    <definedName name="도급내역서" localSheetId="2">#REF!</definedName>
    <definedName name="도급내역서">#REF!</definedName>
    <definedName name="도급분" localSheetId="2">#REF!</definedName>
    <definedName name="도급분">#REF!</definedName>
    <definedName name="도급분경비" localSheetId="2">#REF!</definedName>
    <definedName name="도급분경비">#REF!</definedName>
    <definedName name="도급재료" localSheetId="2">#REF!</definedName>
    <definedName name="도급재료">#REF!</definedName>
    <definedName name="도급재료1" localSheetId="2">#REF!</definedName>
    <definedName name="도급재료1">#REF!</definedName>
    <definedName name="도배공" localSheetId="2">#REF!</definedName>
    <definedName name="도배공">#REF!</definedName>
    <definedName name="도서" localSheetId="2">#REF!</definedName>
    <definedName name="도서">#REF!</definedName>
    <definedName name="도서1" localSheetId="2">#REF!</definedName>
    <definedName name="도서1">#REF!</definedName>
    <definedName name="도서인쇄비" localSheetId="2">#REF!</definedName>
    <definedName name="도서인쇄비">#REF!</definedName>
    <definedName name="도장" hidden="1">{#N/A,#N/A,FALSE,"CAM-G7";#N/A,#N/A,FALSE,"SPL";#N/A,#N/A,FALSE,"butt-in G7";#N/A,#N/A,FALSE,"dia-in G7";#N/A,#N/A,FALSE,"추가-STA G7"}</definedName>
    <definedName name="도장견적" localSheetId="2">BlankMacro1</definedName>
    <definedName name="도장견적">BlankMacro1</definedName>
    <definedName name="도장공" localSheetId="1">#REF!</definedName>
    <definedName name="도장공" localSheetId="2">#REF!</definedName>
    <definedName name="도장공">#REF!</definedName>
    <definedName name="도장상관D" hidden="1">{#N/A,#N/A,FALSE,"CAM-G7";#N/A,#N/A,FALSE,"SPL";#N/A,#N/A,FALSE,"butt-in G7";#N/A,#N/A,FALSE,"dia-in G7";#N/A,#N/A,FALSE,"추가-STA G7"}</definedName>
    <definedName name="도장장호원4" hidden="1">{#N/A,#N/A,FALSE,"CAM-G7";#N/A,#N/A,FALSE,"SPL";#N/A,#N/A,FALSE,"butt-in G7";#N/A,#N/A,FALSE,"dia-in G7";#N/A,#N/A,FALSE,"추가-STA G7"}</definedName>
    <definedName name="도장장호원5" hidden="1">{#N/A,#N/A,FALSE,"CAM-G7";#N/A,#N/A,FALSE,"SPL";#N/A,#N/A,FALSE,"butt-in G7";#N/A,#N/A,FALSE,"dia-in G7";#N/A,#N/A,FALSE,"추가-STA G7"}</definedName>
    <definedName name="도쟈" localSheetId="2">#REF!</definedName>
    <definedName name="도쟈">#REF!</definedName>
    <definedName name="도편수" localSheetId="2">#REF!</definedName>
    <definedName name="도편수">#REF!</definedName>
    <definedName name="돌단풍" localSheetId="2">#REF!</definedName>
    <definedName name="돌단풍">#REF!</definedName>
    <definedName name="동발공_터널" localSheetId="2">#REF!</definedName>
    <definedName name="동발공_터널">#REF!</definedName>
    <definedName name="동양2" localSheetId="2">#REF!</definedName>
    <definedName name="동양2">#REF!</definedName>
    <definedName name="동의건축디자인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두기1" localSheetId="2">#REF!</definedName>
    <definedName name="두기1">#REF!</definedName>
    <definedName name="두기1호" localSheetId="2">#REF!</definedName>
    <definedName name="두기1호">#REF!</definedName>
    <definedName name="두기2" localSheetId="2">#REF!</definedName>
    <definedName name="두기2">#REF!</definedName>
    <definedName name="두기2호" localSheetId="2">#REF!</definedName>
    <definedName name="두기2호">#REF!</definedName>
    <definedName name="두기3" localSheetId="2">#REF!</definedName>
    <definedName name="두기3">#REF!</definedName>
    <definedName name="두기3호" localSheetId="2">#REF!</definedName>
    <definedName name="두기3호">#REF!</definedName>
    <definedName name="드잡이공" localSheetId="2">#REF!</definedName>
    <definedName name="드잡이공">#REF!</definedName>
    <definedName name="등기구" localSheetId="2">BlankMacro1</definedName>
    <definedName name="등기구">BlankMacro1</definedName>
    <definedName name="디스트리뷰터" localSheetId="2">#REF!</definedName>
    <definedName name="디스트리뷰터">#REF!</definedName>
    <definedName name="ㄹ" localSheetId="2">#REF!</definedName>
    <definedName name="ㄹ">#REF!</definedName>
    <definedName name="ㄹ1339" localSheetId="2">#REF!</definedName>
    <definedName name="ㄹ1339">#REF!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ㄹㄹ" localSheetId="2" hidden="1">#REF!</definedName>
    <definedName name="ㄹㄹㄹ" hidden="1">#REF!</definedName>
    <definedName name="ㄹㅇ" hidden="1">{#N/A,#N/A,FALSE,"도급대비시행율";#N/A,#N/A,FALSE,"결의서";#N/A,#N/A,FALSE,"내역서";#N/A,#N/A,FALSE,"도급예상"}</definedName>
    <definedName name="ㄹㅇㄴㄹ" hidden="1">{#N/A,"수불부",FALSE,"사급자재수불서";#N/A,"수불부",FALSE,"사급자재수불서"}</definedName>
    <definedName name="ㄹㅇㄹㅇㄴ" hidden="1">{#N/A,"수불부",FALSE,"사급자재수불서";#N/A,"수불부",FALSE,"사급자재수불서"}</definedName>
    <definedName name="랙1" localSheetId="2">#REF!</definedName>
    <definedName name="랙1">#REF!</definedName>
    <definedName name="랙2" localSheetId="2">#REF!</definedName>
    <definedName name="랙2">#REF!</definedName>
    <definedName name="랙3" localSheetId="2">#REF!</definedName>
    <definedName name="랙3">#REF!</definedName>
    <definedName name="랙4" localSheetId="2">#REF!</definedName>
    <definedName name="랙4">#REF!</definedName>
    <definedName name="랙설치" localSheetId="2">#REF!</definedName>
    <definedName name="랙설치">#REF!</definedName>
    <definedName name="러헐" hidden="1">{#N/A,#N/A,FALSE,"도급대비시행율";#N/A,#N/A,FALSE,"결의서";#N/A,#N/A,FALSE,"내역서";#N/A,#N/A,FALSE,"도급예상"}</definedName>
    <definedName name="롯드" localSheetId="2">#REF!</definedName>
    <definedName name="롯드">#REF!</definedName>
    <definedName name="리벳공" localSheetId="2">#REF!</definedName>
    <definedName name="리벳공">#REF!</definedName>
    <definedName name="ㅁ" localSheetId="2" hidden="1">#REF!</definedName>
    <definedName name="ㅁ" hidden="1">#REF!</definedName>
    <definedName name="ㅁ0" localSheetId="2">#REF!</definedName>
    <definedName name="ㅁ0">#REF!</definedName>
    <definedName name="ㅁ1" localSheetId="1">#REF!</definedName>
    <definedName name="ㅁ1" localSheetId="2">#REF!</definedName>
    <definedName name="ㅁ1">#REF!</definedName>
    <definedName name="ㅁ100" localSheetId="2">#REF!</definedName>
    <definedName name="ㅁ100">#REF!</definedName>
    <definedName name="ㅁ1000" localSheetId="2">#REF!</definedName>
    <definedName name="ㅁ1000">#REF!</definedName>
    <definedName name="ㅁ1180" localSheetId="2">#REF!</definedName>
    <definedName name="ㅁ1180">#REF!</definedName>
    <definedName name="ㅁ1700" localSheetId="2">#REF!</definedName>
    <definedName name="ㅁ1700">#REF!</definedName>
    <definedName name="ㅁ1800" localSheetId="2">#REF!</definedName>
    <definedName name="ㅁ1800">#REF!</definedName>
    <definedName name="ㅁ1882" localSheetId="2">#REF!</definedName>
    <definedName name="ㅁ1882">#REF!</definedName>
    <definedName name="ㅁ2200" localSheetId="2">#REF!</definedName>
    <definedName name="ㅁ2200">#REF!</definedName>
    <definedName name="ㅁ2400" localSheetId="2">#REF!</definedName>
    <definedName name="ㅁ2400">#REF!</definedName>
    <definedName name="ㅁ250" localSheetId="2">#REF!</definedName>
    <definedName name="ㅁ250">#REF!</definedName>
    <definedName name="ㅁ400" localSheetId="2">#REF!</definedName>
    <definedName name="ㅁ400">#REF!</definedName>
    <definedName name="ㅁ500" localSheetId="2">#REF!</definedName>
    <definedName name="ㅁ500">#REF!</definedName>
    <definedName name="ㅁㄴ" localSheetId="2" hidden="1">#REF!</definedName>
    <definedName name="ㅁㄴ" hidden="1">#REF!</definedName>
    <definedName name="ㅁㄴㅇㄹㄴㄹ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ㄴㅇ" localSheetId="2">#REF!</definedName>
    <definedName name="ㅁㄻㄴㅇ">#REF!</definedName>
    <definedName name="ㅁㄻㅇㄹㄴ" hidden="1">{#N/A,"수불부",FALSE,"사급자재수불서";#N/A,"수불부",FALSE,"사급자재수불서"}</definedName>
    <definedName name="ㅁㅁ" localSheetId="1" hidden="1">#REF!</definedName>
    <definedName name="ㅁㅁ" localSheetId="2" hidden="1">#REF!</definedName>
    <definedName name="ㅁㅁ" hidden="1">{#N/A,#N/A,FALSE,"CAM-G7";#N/A,#N/A,FALSE,"SPL";#N/A,#N/A,FALSE,"butt-in G7";#N/A,#N/A,FALSE,"dia-in G7";#N/A,#N/A,FALSE,"추가-STA G7"}</definedName>
    <definedName name="ㅁㅁㅁㅁㅁ" hidden="1">{#N/A,#N/A,FALSE,"CAM-G7";#N/A,#N/A,FALSE,"SPL";#N/A,#N/A,FALSE,"butt-in G7";#N/A,#N/A,FALSE,"dia-in G7";#N/A,#N/A,FALSE,"추가-STA G7"}</definedName>
    <definedName name="ㅁㅇ" localSheetId="2">#REF!</definedName>
    <definedName name="ㅁㅇ">#REF!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감사" localSheetId="2">#REF!</definedName>
    <definedName name="마감사">#REF!</definedName>
    <definedName name="만수" localSheetId="2">BlankMacro1</definedName>
    <definedName name="만수">BlankMacro1</definedName>
    <definedName name="매입" localSheetId="2">#REF!</definedName>
    <definedName name="매입">#REF!</definedName>
    <definedName name="맥문동" localSheetId="2">#REF!</definedName>
    <definedName name="맥문동">#REF!</definedName>
    <definedName name="머캔덤롤러" localSheetId="2">#REF!</definedName>
    <definedName name="머캔덤롤러">#REF!</definedName>
    <definedName name="먹스" localSheetId="2">#REF!</definedName>
    <definedName name="먹스">#REF!</definedName>
    <definedName name="면적" localSheetId="2">#REF!</definedName>
    <definedName name="면적">#REF!</definedName>
    <definedName name="명단" hidden="1">{#N/A,"수불부",FALSE,"사급자재수불서";#N/A,"수불부",FALSE,"사급자재수불서"}</definedName>
    <definedName name="명암" localSheetId="2">#REF!</definedName>
    <definedName name="명암">#REF!</definedName>
    <definedName name="명암2" localSheetId="2">#REF!</definedName>
    <definedName name="명암2">#REF!</definedName>
    <definedName name="명찰1" localSheetId="2">#REF!</definedName>
    <definedName name="명찰1">#REF!</definedName>
    <definedName name="명찰2" localSheetId="2">#REF!</definedName>
    <definedName name="명찰2">#REF!</definedName>
    <definedName name="명찰취부1" localSheetId="2">#REF!</definedName>
    <definedName name="명찰취부1">#REF!</definedName>
    <definedName name="명찰취부2" localSheetId="2">#REF!</definedName>
    <definedName name="명찰취부2">#REF!</definedName>
    <definedName name="명칭" localSheetId="2">#REF!</definedName>
    <definedName name="명칭">#REF!</definedName>
    <definedName name="모과나무" localSheetId="2">#REF!</definedName>
    <definedName name="모과나무">#REF!</definedName>
    <definedName name="모랑" localSheetId="2">#REF!</definedName>
    <definedName name="모랑">#REF!</definedName>
    <definedName name="모래" localSheetId="2">#REF!</definedName>
    <definedName name="모래">#REF!</definedName>
    <definedName name="모터그레이더" localSheetId="2">#REF!</definedName>
    <definedName name="모터그레이더">#REF!</definedName>
    <definedName name="목견적" localSheetId="2">BlankMacro1</definedName>
    <definedName name="목견적">BlankMacro1</definedName>
    <definedName name="목공" localSheetId="2">#REF!</definedName>
    <definedName name="목공">#REF!</definedName>
    <definedName name="목도" localSheetId="2">#REF!</definedName>
    <definedName name="목도">#REF!</definedName>
    <definedName name="목도공" localSheetId="1">#REF!</definedName>
    <definedName name="목도공" localSheetId="2">#REF!</definedName>
    <definedName name="목도공">#REF!</definedName>
    <definedName name="목백합" localSheetId="2">#REF!</definedName>
    <definedName name="목백합">#REF!</definedName>
    <definedName name="목조각공" localSheetId="2">#REF!</definedName>
    <definedName name="목조각공">#REF!</definedName>
    <definedName name="목차" localSheetId="2">#REF!</definedName>
    <definedName name="목차">#REF!</definedName>
    <definedName name="몰라" localSheetId="2">#REF!</definedName>
    <definedName name="몰라">#REF!</definedName>
    <definedName name="무궁화" localSheetId="2">#REF!</definedName>
    <definedName name="무궁화">#REF!</definedName>
    <definedName name="무농1호" localSheetId="2">#REF!</definedName>
    <definedName name="무농1호">#REF!</definedName>
    <definedName name="무농2호" localSheetId="2">#REF!</definedName>
    <definedName name="무농2호">#REF!</definedName>
    <definedName name="무선안테나공" localSheetId="2">#REF!</definedName>
    <definedName name="무선안테나공">#REF!</definedName>
    <definedName name="무인경비" localSheetId="2">BlankMacro1</definedName>
    <definedName name="무인경비">BlankMacro1</definedName>
    <definedName name="물가" localSheetId="2">#REF!</definedName>
    <definedName name="물가">#REF!</definedName>
    <definedName name="물가2" localSheetId="2">#REF!</definedName>
    <definedName name="물가2">#REF!</definedName>
    <definedName name="물탱크" localSheetId="2">#REF!</definedName>
    <definedName name="물탱크">#REF!</definedName>
    <definedName name="미술설계" localSheetId="2">#REF!</definedName>
    <definedName name="미술설계">#REF!</definedName>
    <definedName name="미장공" localSheetId="2">#REF!</definedName>
    <definedName name="미장공">#REF!</definedName>
    <definedName name="ㅂ" localSheetId="1">#REF!</definedName>
    <definedName name="ㅂ" localSheetId="2">#REF!</definedName>
    <definedName name="ㅂ">내역!ㅂ</definedName>
    <definedName name="ㅂㅈ" localSheetId="1">#REF!</definedName>
    <definedName name="ㅂㅈ" localSheetId="2">#REF!</definedName>
    <definedName name="ㅂㅈ">내역!ㅂㅈ</definedName>
    <definedName name="ㅂㅈㅂㅈㅂㅈ" localSheetId="2">#REF!</definedName>
    <definedName name="ㅂㅈㅂㅈㅂㅈ">#REF!</definedName>
    <definedName name="바보팅" localSheetId="2">#REF!</definedName>
    <definedName name="바보팅">#REF!</definedName>
    <definedName name="바인드선" localSheetId="2">#REF!</definedName>
    <definedName name="바인드선">#REF!</definedName>
    <definedName name="바인드신설1" localSheetId="2">#REF!</definedName>
    <definedName name="바인드신설1">#REF!</definedName>
    <definedName name="바인드신설2" localSheetId="2">#REF!</definedName>
    <definedName name="바인드신설2">#REF!</definedName>
    <definedName name="바인드신설3" localSheetId="2">#REF!</definedName>
    <definedName name="바인드신설3">#REF!</definedName>
    <definedName name="바인드해체1" localSheetId="2">#REF!</definedName>
    <definedName name="바인드해체1">#REF!</definedName>
    <definedName name="박원흠" hidden="1">{#N/A,#N/A,FALSE,"현장 NCR 분석";#N/A,#N/A,FALSE,"현장품질감사";#N/A,#N/A,FALSE,"현장품질감사"}</definedName>
    <definedName name="박은하" localSheetId="2">Dlog_Show</definedName>
    <definedName name="박은하">Dlog_Show</definedName>
    <definedName name="박태기" localSheetId="2">#REF!</definedName>
    <definedName name="박태기">#REF!</definedName>
    <definedName name="반경관" localSheetId="2">#REF!</definedName>
    <definedName name="반경관">#REF!</definedName>
    <definedName name="반경관취부밴드" localSheetId="2">#REF!</definedName>
    <definedName name="반경관취부밴드">#REF!</definedName>
    <definedName name="반송쉴드케이블포선남땜" localSheetId="2">#REF!</definedName>
    <definedName name="반송쉴드케이블포선남땜">#REF!</definedName>
    <definedName name="반송쉴드케이블포설" localSheetId="2">#REF!</definedName>
    <definedName name="반송쉴드케이블포설">#REF!</definedName>
    <definedName name="발주처" localSheetId="2">#REF!</definedName>
    <definedName name="발주처">#REF!</definedName>
    <definedName name="발포지수제" localSheetId="2">#REF!</definedName>
    <definedName name="발포지수제">#REF!</definedName>
    <definedName name="발포지수제분사처리" localSheetId="2">#REF!</definedName>
    <definedName name="발포지수제분사처리">#REF!</definedName>
    <definedName name="밧데리1" localSheetId="2">#REF!</definedName>
    <definedName name="밧데리1">#REF!</definedName>
    <definedName name="밧데리2" localSheetId="2">#REF!</definedName>
    <definedName name="밧데리2">#REF!</definedName>
    <definedName name="방수" localSheetId="2">#REF!</definedName>
    <definedName name="방수">#REF!</definedName>
    <definedName name="방수공" localSheetId="2">#REF!</definedName>
    <definedName name="방수공">#REF!</definedName>
    <definedName name="방수시설" localSheetId="2">#REF!</definedName>
    <definedName name="방수시설">#REF!</definedName>
    <definedName name="방수장치" localSheetId="2">#REF!</definedName>
    <definedName name="방수장치">#REF!</definedName>
    <definedName name="배관" localSheetId="2">#REF!</definedName>
    <definedName name="배관">#REF!</definedName>
    <definedName name="배관공" localSheetId="1">#REF!</definedName>
    <definedName name="배관공" localSheetId="2">#REF!</definedName>
    <definedName name="배관공">#REF!</definedName>
    <definedName name="배롱나무" localSheetId="2">#REF!</definedName>
    <definedName name="배롱나무">#REF!</definedName>
    <definedName name="배전" localSheetId="2">#REF!</definedName>
    <definedName name="배전">#REF!</definedName>
    <definedName name="배전전공" localSheetId="1">#REF!</definedName>
    <definedName name="배전전공" localSheetId="2">#REF!</definedName>
    <definedName name="배전전공">#REF!</definedName>
    <definedName name="배전활선전공" localSheetId="1">#REF!</definedName>
    <definedName name="배전활선전공" localSheetId="2">#REF!</definedName>
    <definedName name="배전활선전공">#REF!</definedName>
    <definedName name="백강관배관_Sheet2_List" localSheetId="2">#REF!</definedName>
    <definedName name="백강관배관_Sheet2_List">#REF!</definedName>
    <definedName name="밴드취부" localSheetId="2">#REF!</definedName>
    <definedName name="밴드취부">#REF!</definedName>
    <definedName name="번들1호" localSheetId="2">#REF!</definedName>
    <definedName name="번들1호">#REF!</definedName>
    <definedName name="번들2호" localSheetId="2">#REF!</definedName>
    <definedName name="번들2호">#REF!</definedName>
    <definedName name="번들3호" localSheetId="2">#REF!</definedName>
    <definedName name="번들3호">#REF!</definedName>
    <definedName name="벌목부" localSheetId="2">#REF!</definedName>
    <definedName name="벌목부">#REF!</definedName>
    <definedName name="법번" localSheetId="2">#REF!</definedName>
    <definedName name="법번">#REF!</definedName>
    <definedName name="벽관통" localSheetId="2">#REF!</definedName>
    <definedName name="벽관통">#REF!</definedName>
    <definedName name="벽돌_블럭_제작공" localSheetId="2">#REF!</definedName>
    <definedName name="벽돌_블럭_제작공">#REF!</definedName>
    <definedName name="벽철" localSheetId="2">#REF!</definedName>
    <definedName name="벽철">#REF!</definedName>
    <definedName name="벽철취부" localSheetId="2">#REF!</definedName>
    <definedName name="벽철취부">#REF!</definedName>
    <definedName name="변경비" localSheetId="2">#REF!</definedName>
    <definedName name="변경비">#REF!</definedName>
    <definedName name="변고용보험료" localSheetId="2">#REF!</definedName>
    <definedName name="변고용보험료">#REF!</definedName>
    <definedName name="변공급가액" localSheetId="2">#REF!</definedName>
    <definedName name="변공급가액">#REF!</definedName>
    <definedName name="변기타경비" localSheetId="2">#REF!</definedName>
    <definedName name="변기타경비">#REF!</definedName>
    <definedName name="변노무비" localSheetId="2">#REF!</definedName>
    <definedName name="변노무비">#REF!</definedName>
    <definedName name="변도급액" localSheetId="2">#REF!</definedName>
    <definedName name="변도급액">#REF!</definedName>
    <definedName name="변부가가치세" localSheetId="2">#REF!</definedName>
    <definedName name="변부가가치세">#REF!</definedName>
    <definedName name="변산재보험료" localSheetId="2">#REF!</definedName>
    <definedName name="변산재보험료">#REF!</definedName>
    <definedName name="변순공사원가" localSheetId="2">#REF!</definedName>
    <definedName name="변순공사원가">#REF!</definedName>
    <definedName name="변재료비" localSheetId="2">#REF!</definedName>
    <definedName name="변재료비">#REF!</definedName>
    <definedName name="변전전공" localSheetId="2">#REF!</definedName>
    <definedName name="변전전공">#REF!</definedName>
    <definedName name="변폐기물처리비" localSheetId="2">#REF!</definedName>
    <definedName name="변폐기물처리비">#REF!</definedName>
    <definedName name="보굴착" localSheetId="2">#REF!</definedName>
    <definedName name="보굴착">#REF!</definedName>
    <definedName name="보도" localSheetId="2">#REF!</definedName>
    <definedName name="보도">#REF!</definedName>
    <definedName name="보링공_지질조사" localSheetId="2">#REF!</definedName>
    <definedName name="보링공_지질조사">#REF!</definedName>
    <definedName name="보안공" localSheetId="2">#REF!</definedName>
    <definedName name="보안공">#REF!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 localSheetId="2">#REF!</definedName>
    <definedName name="보온공">#REF!</definedName>
    <definedName name="보인" localSheetId="2">#REF!</definedName>
    <definedName name="보인">#REF!</definedName>
    <definedName name="보일러공" localSheetId="2">#REF!</definedName>
    <definedName name="보일러공">#REF!</definedName>
    <definedName name="보통" localSheetId="2">#REF!</definedName>
    <definedName name="보통">#REF!</definedName>
    <definedName name="보통선원" localSheetId="2">#REF!</definedName>
    <definedName name="보통선원">#REF!</definedName>
    <definedName name="보통인부" localSheetId="2">#REF!</definedName>
    <definedName name="보통인부">#REF!</definedName>
    <definedName name="보험료.i33" localSheetId="2">#REF!</definedName>
    <definedName name="보험료.i33">#REF!</definedName>
    <definedName name="복리" localSheetId="2">#REF!</definedName>
    <definedName name="복리">#REF!</definedName>
    <definedName name="복리1" localSheetId="2">#REF!</definedName>
    <definedName name="복리1">#REF!</definedName>
    <definedName name="봉천동주택2" localSheetId="2">BlankMacro1</definedName>
    <definedName name="봉천동주택2">BlankMacro1</definedName>
    <definedName name="부__가___가__치__세" localSheetId="2">#REF!</definedName>
    <definedName name="부__가___가__치__세">#REF!</definedName>
    <definedName name="부가가치세" localSheetId="2">#REF!</definedName>
    <definedName name="부가가치세">#REF!</definedName>
    <definedName name="부가가치세요율" localSheetId="2">#REF!</definedName>
    <definedName name="부가가치세요율">#REF!</definedName>
    <definedName name="부가가치표" localSheetId="2">#REF!</definedName>
    <definedName name="부가가치표">#REF!</definedName>
    <definedName name="부가세" localSheetId="2">#REF!</definedName>
    <definedName name="부가세">#REF!</definedName>
    <definedName name="부경비" localSheetId="2">#REF!</definedName>
    <definedName name="부경비">#REF!</definedName>
    <definedName name="부기경비" localSheetId="2">#REF!</definedName>
    <definedName name="부기경비">#REF!</definedName>
    <definedName name="부대공사집계표" localSheetId="2">#REF!</definedName>
    <definedName name="부대공사집계표">#REF!</definedName>
    <definedName name="부대내역비교" localSheetId="2">#REF!</definedName>
    <definedName name="부대내역비교">#REF!</definedName>
    <definedName name="부대사항" localSheetId="2">#REF!</definedName>
    <definedName name="부대사항">#REF!</definedName>
    <definedName name="부대원본" hidden="1">{#N/A,#N/A,FALSE,"토공2"}</definedName>
    <definedName name="부대일위대가" localSheetId="2">#REF!</definedName>
    <definedName name="부대일위대가">#REF!</definedName>
    <definedName name="부대입찰잡비" localSheetId="2">Dlog_Show</definedName>
    <definedName name="부대입찰잡비">Dlog_Show</definedName>
    <definedName name="부대토목" localSheetId="2">#REF!</definedName>
    <definedName name="부대토목">#REF!</definedName>
    <definedName name="부손익" hidden="1">{#N/A,#N/A,FALSE,"현장 NCR 분석";#N/A,#N/A,FALSE,"현장품질감사";#N/A,#N/A,FALSE,"현장품질감사"}</definedName>
    <definedName name="부토" localSheetId="2">Dlog_Show</definedName>
    <definedName name="부토">Dlog_Show</definedName>
    <definedName name="분배함취부" localSheetId="2">#REF!</definedName>
    <definedName name="분배함취부">#REF!</definedName>
    <definedName name="분석CHART" localSheetId="2">#REF!</definedName>
    <definedName name="분석CHART">#REF!</definedName>
    <definedName name="분석CHAT" localSheetId="2">#REF!</definedName>
    <definedName name="분석CHAT">#REF!</definedName>
    <definedName name="분석챠트" localSheetId="2">#REF!,#REF!</definedName>
    <definedName name="분석챠트">#REF!,#REF!</definedName>
    <definedName name="備_________考" localSheetId="2">#REF!</definedName>
    <definedName name="備_________考">#REF!</definedName>
    <definedName name="비______목" localSheetId="2">#REF!</definedName>
    <definedName name="비______목">#REF!</definedName>
    <definedName name="비계" localSheetId="2">#REF!</definedName>
    <definedName name="비계">#REF!</definedName>
    <definedName name="비계공" localSheetId="1">#REF!</definedName>
    <definedName name="비계공" localSheetId="2">#REF!</definedName>
    <definedName name="비계공">#REF!</definedName>
    <definedName name="비고" localSheetId="2">#REF!</definedName>
    <definedName name="비고">#REF!</definedName>
    <definedName name="비닐절연전선1" localSheetId="2">#REF!</definedName>
    <definedName name="비닐절연전선1">#REF!</definedName>
    <definedName name="비닐절연전선2" localSheetId="2">#REF!</definedName>
    <definedName name="비닐절연전선2">#REF!</definedName>
    <definedName name="비닐절연전선3" localSheetId="2">#REF!</definedName>
    <definedName name="비닐절연전선3">#REF!</definedName>
    <definedName name="비닐절연전선4" localSheetId="2">#REF!</definedName>
    <definedName name="비닐절연전선4">#REF!</definedName>
    <definedName name="비닐절연전선5" localSheetId="2">#REF!</definedName>
    <definedName name="비닐절연전선5">#REF!</definedName>
    <definedName name="비목1" localSheetId="1">#REF!</definedName>
    <definedName name="비목1" localSheetId="2">#REF!</definedName>
    <definedName name="비목1">#REF!</definedName>
    <definedName name="비목2" localSheetId="1">#REF!</definedName>
    <definedName name="비목2" localSheetId="2">#REF!</definedName>
    <definedName name="비목2">#REF!</definedName>
    <definedName name="비목3" localSheetId="1">#REF!</definedName>
    <definedName name="비목3" localSheetId="2">#REF!</definedName>
    <definedName name="비목3">#REF!</definedName>
    <definedName name="비목4" localSheetId="1">#REF!</definedName>
    <definedName name="비목4" localSheetId="2">#REF!</definedName>
    <definedName name="비목4">#REF!</definedName>
    <definedName name="비비추" localSheetId="2">#REF!</definedName>
    <definedName name="비비추">#REF!</definedName>
    <definedName name="비율" localSheetId="2">#REF!</definedName>
    <definedName name="비율">#REF!</definedName>
    <definedName name="비지수" localSheetId="2">#REF!</definedName>
    <definedName name="비지수">#REF!</definedName>
    <definedName name="사" localSheetId="2">#REF!</definedName>
    <definedName name="사">#REF!</definedName>
    <definedName name="사__급___자__재__비" localSheetId="2">#REF!</definedName>
    <definedName name="사__급___자__재__비">#REF!</definedName>
    <definedName name="사계계약고" localSheetId="2">#REF!</definedName>
    <definedName name="사계계약고">#REF!</definedName>
    <definedName name="사계비고" localSheetId="2">#REF!</definedName>
    <definedName name="사계비고">#REF!</definedName>
    <definedName name="사계소화" localSheetId="2">#REF!</definedName>
    <definedName name="사계소화">#REF!</definedName>
    <definedName name="사계전월실적" localSheetId="2">#REF!</definedName>
    <definedName name="사계전월실적">#REF!</definedName>
    <definedName name="사계투입" localSheetId="2">#REF!</definedName>
    <definedName name="사계투입">#REF!</definedName>
    <definedName name="사계현재실적" localSheetId="2">#REF!</definedName>
    <definedName name="사계현재실적">#REF!</definedName>
    <definedName name="사굴착" localSheetId="2">#REF!</definedName>
    <definedName name="사굴착">#REF!</definedName>
    <definedName name="사급경비" localSheetId="2">#REF!</definedName>
    <definedName name="사급경비">#REF!</definedName>
    <definedName name="사급경비1" localSheetId="2">#REF!</definedName>
    <definedName name="사급경비1">#REF!</definedName>
    <definedName name="사급장비" localSheetId="2">#REF!</definedName>
    <definedName name="사급장비">#REF!</definedName>
    <definedName name="사급장비비" localSheetId="2">#REF!</definedName>
    <definedName name="사급장비비">#REF!</definedName>
    <definedName name="사급재료" localSheetId="2">#REF!</definedName>
    <definedName name="사급재료">#REF!</definedName>
    <definedName name="사급재료1" localSheetId="2">#REF!</definedName>
    <definedName name="사급재료1">#REF!</definedName>
    <definedName name="사급재료비" localSheetId="2">#REF!</definedName>
    <definedName name="사급재료비">#REF!</definedName>
    <definedName name="사리도" localSheetId="2">#REF!</definedName>
    <definedName name="사리도">#REF!</definedName>
    <definedName name="사번" localSheetId="2">#REF!</definedName>
    <definedName name="사번">#REF!</definedName>
    <definedName name="사업비_현황" localSheetId="2">#REF!</definedName>
    <definedName name="사업비_현황">#REF!</definedName>
    <definedName name="산1" localSheetId="2">#REF!</definedName>
    <definedName name="산1">#REF!</definedName>
    <definedName name="산안" localSheetId="2">#REF!</definedName>
    <definedName name="산안">#REF!</definedName>
    <definedName name="산영상31" localSheetId="2">#REF!</definedName>
    <definedName name="산영상31">#REF!</definedName>
    <definedName name="산재" localSheetId="2">#REF!</definedName>
    <definedName name="산재">#REF!</definedName>
    <definedName name="산재1" localSheetId="2">#REF!</definedName>
    <definedName name="산재1">#REF!</definedName>
    <definedName name="산재보험료" localSheetId="1">#REF!</definedName>
    <definedName name="산재보험료" localSheetId="2">#REF!</definedName>
    <definedName name="산재보험료">#REF!</definedName>
    <definedName name="산재보험료요율" localSheetId="2">#REF!</definedName>
    <definedName name="산재보험료요율">#REF!</definedName>
    <definedName name="산재보험료표" localSheetId="2">#REF!</definedName>
    <definedName name="산재보험료표">#REF!</definedName>
    <definedName name="산정2" localSheetId="2">#REF!</definedName>
    <definedName name="산정2">#REF!</definedName>
    <definedName name="산정표" localSheetId="2">#REF!</definedName>
    <definedName name="산정표">#REF!</definedName>
    <definedName name="산철쭉" localSheetId="2">#REF!</definedName>
    <definedName name="산철쭉">#REF!</definedName>
    <definedName name="산출" localSheetId="2">#REF!</definedName>
    <definedName name="산출">#REF!</definedName>
    <definedName name="산출경비" localSheetId="2">#REF!</definedName>
    <definedName name="산출경비">#REF!</definedName>
    <definedName name="산출근거" localSheetId="1">#REF!</definedName>
    <definedName name="산출근거" localSheetId="2">#REF!</definedName>
    <definedName name="산출근거">#REF!</definedName>
    <definedName name="산출자재수량1" localSheetId="2">#REF!</definedName>
    <definedName name="산출자재수량1">#REF!</definedName>
    <definedName name="산출자재수량2" localSheetId="2">#REF!</definedName>
    <definedName name="산출자재수량2">#REF!</definedName>
    <definedName name="산출자재수량3" localSheetId="2">#REF!</definedName>
    <definedName name="산출자재수량3">#REF!</definedName>
    <definedName name="산출자재수량4" localSheetId="2">#REF!</definedName>
    <definedName name="산출자재수량4">#REF!</definedName>
    <definedName name="산출자재수량5" localSheetId="2">#REF!</definedName>
    <definedName name="산출자재수량5">#REF!</definedName>
    <definedName name="산출자재코드1" localSheetId="2">#REF!</definedName>
    <definedName name="산출자재코드1">#REF!</definedName>
    <definedName name="산출자재코드2" localSheetId="2">#REF!</definedName>
    <definedName name="산출자재코드2">#REF!</definedName>
    <definedName name="산출자재코드3" localSheetId="2">#REF!</definedName>
    <definedName name="산출자재코드3">#REF!</definedName>
    <definedName name="산출자재코드4" localSheetId="2">#REF!</definedName>
    <definedName name="산출자재코드4">#REF!</definedName>
    <definedName name="산출자재코드5" localSheetId="2">#REF!</definedName>
    <definedName name="산출자재코드5">#REF!</definedName>
    <definedName name="삼" localSheetId="2">#REF!</definedName>
    <definedName name="삼">#REF!</definedName>
    <definedName name="상관D교" hidden="1">{#N/A,#N/A,FALSE,"CAM-G7";#N/A,#N/A,FALSE,"SPL";#N/A,#N/A,FALSE,"butt-in G7";#N/A,#N/A,FALSE,"dia-in G7";#N/A,#N/A,FALSE,"추가-STA G7"}</definedName>
    <definedName name="상급원자력기술자" localSheetId="2">#REF!</definedName>
    <definedName name="상급원자력기술자">#REF!</definedName>
    <definedName name="상림1호" localSheetId="2">#REF!</definedName>
    <definedName name="상림1호">#REF!</definedName>
    <definedName name="상림2호" localSheetId="2">#REF!</definedName>
    <definedName name="상림2호">#REF!</definedName>
    <definedName name="상림3호" localSheetId="2">#REF!</definedName>
    <definedName name="상림3호">#REF!</definedName>
    <definedName name="상우" localSheetId="2">#REF!</definedName>
    <definedName name="상우">#REF!</definedName>
    <definedName name="상원도급" localSheetId="2">#REF!</definedName>
    <definedName name="상원도급">#REF!</definedName>
    <definedName name="상한" localSheetId="2">#REF!</definedName>
    <definedName name="상한">#REF!</definedName>
    <definedName name="상호" localSheetId="2">#REF!</definedName>
    <definedName name="상호">#REF!</definedName>
    <definedName name="새들" localSheetId="2">#REF!</definedName>
    <definedName name="새들">#REF!</definedName>
    <definedName name="색인" localSheetId="2">#REF!</definedName>
    <definedName name="색인">#REF!</definedName>
    <definedName name="생사1호" localSheetId="2">#REF!</definedName>
    <definedName name="생사1호">#REF!</definedName>
    <definedName name="생사2호" localSheetId="2">#REF!</definedName>
    <definedName name="생사2호">#REF!</definedName>
    <definedName name="생사기존" localSheetId="2">#REF!</definedName>
    <definedName name="생사기존">#REF!</definedName>
    <definedName name="샷시공" localSheetId="2">#REF!</definedName>
    <definedName name="샷시공">#REF!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부간선" hidden="1">{#N/A,#N/A,FALSE,"CAM-G7";#N/A,#N/A,FALSE,"SPL";#N/A,#N/A,FALSE,"butt-in G7";#N/A,#N/A,FALSE,"dia-in G7";#N/A,#N/A,FALSE,"추가-STA G7"}</definedName>
    <definedName name="석공" localSheetId="2">#REF!</definedName>
    <definedName name="석공">#REF!</definedName>
    <definedName name="석조각공" localSheetId="2">#REF!</definedName>
    <definedName name="석조각공">#REF!</definedName>
    <definedName name="선관" localSheetId="2">#REF!</definedName>
    <definedName name="선관">#REF!</definedName>
    <definedName name="선량1호" localSheetId="2">#REF!</definedName>
    <definedName name="선량1호">#REF!</definedName>
    <definedName name="선량2호" localSheetId="2">#REF!</definedName>
    <definedName name="선량2호">#REF!</definedName>
    <definedName name="선량3호" localSheetId="2">#REF!</definedName>
    <definedName name="선량3호">#REF!</definedName>
    <definedName name="선량4호" localSheetId="2">#REF!</definedName>
    <definedName name="선량4호">#REF!</definedName>
    <definedName name="선량5호" localSheetId="2">#REF!</definedName>
    <definedName name="선량5호">#REF!</definedName>
    <definedName name="선로분계" localSheetId="2">#REF!</definedName>
    <definedName name="선로분계">#REF!</definedName>
    <definedName name="선부" localSheetId="2">#REF!</definedName>
    <definedName name="선부">#REF!</definedName>
    <definedName name="설계">#N/A</definedName>
    <definedName name="설계가">#N/A</definedName>
    <definedName name="설계내역서" localSheetId="2">BLCH</definedName>
    <definedName name="설계내역서">BLCH</definedName>
    <definedName name="설계단가" localSheetId="2">#REF!</definedName>
    <definedName name="설계단가">#REF!</definedName>
    <definedName name="설계요율" localSheetId="2">#REF!</definedName>
    <definedName name="설계요율">#REF!</definedName>
    <definedName name="설비" localSheetId="2">#REF!</definedName>
    <definedName name="설비">#REF!</definedName>
    <definedName name="설비기초일위" localSheetId="2">#REF!</definedName>
    <definedName name="설비기초일위">#REF!</definedName>
    <definedName name="설집" localSheetId="2">#REF!</definedName>
    <definedName name="설집">#REF!</definedName>
    <definedName name="성단" localSheetId="2">#REF!</definedName>
    <definedName name="성단">#REF!</definedName>
    <definedName name="성산1호" localSheetId="2">#REF!</definedName>
    <definedName name="성산1호">#REF!</definedName>
    <definedName name="성산2호" localSheetId="2">#REF!</definedName>
    <definedName name="성산2호">#REF!</definedName>
    <definedName name="성산3호" localSheetId="2">#REF!</definedName>
    <definedName name="성산3호">#REF!</definedName>
    <definedName name="성산4호" localSheetId="2">#REF!</definedName>
    <definedName name="성산4호">#REF!</definedName>
    <definedName name="성산5호" localSheetId="2">#REF!</definedName>
    <definedName name="성산5호">#REF!</definedName>
    <definedName name="성적" localSheetId="2">#REF!</definedName>
    <definedName name="성적">#REF!</definedName>
    <definedName name="세금" localSheetId="2">#REF!</definedName>
    <definedName name="세금">#REF!</definedName>
    <definedName name="세금1" localSheetId="2">#REF!</definedName>
    <definedName name="세금1">#REF!</definedName>
    <definedName name="세금과공과" localSheetId="2">#REF!</definedName>
    <definedName name="세금과공과">#REF!</definedName>
    <definedName name="세로" localSheetId="2">#REF!</definedName>
    <definedName name="세로">#REF!</definedName>
    <definedName name="소" localSheetId="2">#REF!</definedName>
    <definedName name="소">#REF!</definedName>
    <definedName name="소갑" localSheetId="2">#REF!</definedName>
    <definedName name="소갑">#REF!</definedName>
    <definedName name="소계" localSheetId="2">#REF!</definedName>
    <definedName name="소계">#REF!</definedName>
    <definedName name="소나무" localSheetId="2">#REF!</definedName>
    <definedName name="소나무">#REF!</definedName>
    <definedName name="소모품" localSheetId="2">#REF!</definedName>
    <definedName name="소모품">#REF!</definedName>
    <definedName name="소모품1" localSheetId="2">#REF!</definedName>
    <definedName name="소모품1">#REF!</definedName>
    <definedName name="소모품비" localSheetId="2">#REF!</definedName>
    <definedName name="소모품비">#REF!</definedName>
    <definedName name="소방" localSheetId="2">#REF!</definedName>
    <definedName name="소방">#REF!</definedName>
    <definedName name="소용량충전기" localSheetId="2">#REF!</definedName>
    <definedName name="소용량충전기">#REF!</definedName>
    <definedName name="소일위대가1" localSheetId="2">#REF!</definedName>
    <definedName name="소일위대가1">#REF!</definedName>
    <definedName name="소장" localSheetId="2">#REF!</definedName>
    <definedName name="소장">#REF!</definedName>
    <definedName name="소화갑지" hidden="1">{#N/A,#N/A,FALSE,"CCTV"}</definedName>
    <definedName name="송수관로구경" localSheetId="2">#REF!</definedName>
    <definedName name="송수관로구경">#REF!</definedName>
    <definedName name="송신광출력" localSheetId="2">#REF!</definedName>
    <definedName name="송신광출력">#REF!</definedName>
    <definedName name="송신광출력작성" localSheetId="2">#REF!</definedName>
    <definedName name="송신광출력작성">#REF!</definedName>
    <definedName name="송전전공" localSheetId="1">#REF!</definedName>
    <definedName name="송전전공" localSheetId="2">#REF!</definedName>
    <definedName name="송전전공">#REF!</definedName>
    <definedName name="송전활선전공" localSheetId="1">#REF!</definedName>
    <definedName name="송전활선전공" localSheetId="2">#REF!</definedName>
    <definedName name="송전활선전공">#REF!</definedName>
    <definedName name="송천1" localSheetId="2">#REF!</definedName>
    <definedName name="송천1">#REF!</definedName>
    <definedName name="송천2" localSheetId="2">#REF!</definedName>
    <definedName name="송천2">#REF!</definedName>
    <definedName name="수____종" localSheetId="2">#REF!</definedName>
    <definedName name="수____종">#REF!</definedName>
    <definedName name="수경단가" localSheetId="2">#REF!</definedName>
    <definedName name="수경단가">#REF!</definedName>
    <definedName name="수경단가1" localSheetId="2">#REF!</definedName>
    <definedName name="수경단가1">#REF!</definedName>
    <definedName name="수경일위" localSheetId="2">#REF!</definedName>
    <definedName name="수경일위">#REF!</definedName>
    <definedName name="수금" localSheetId="2">#REF!</definedName>
    <definedName name="수금">#REF!</definedName>
    <definedName name="수급" localSheetId="2">#REF!</definedName>
    <definedName name="수급">#REF!</definedName>
    <definedName name="수도" localSheetId="2">#REF!</definedName>
    <definedName name="수도">#REF!</definedName>
    <definedName name="수도1" localSheetId="2">#REF!</definedName>
    <definedName name="수도1">#REF!</definedName>
    <definedName name="수도광열비" localSheetId="2">#REF!</definedName>
    <definedName name="수도광열비">#REF!</definedName>
    <definedName name="수량산출" localSheetId="2">#REF!</definedName>
    <definedName name="수량산출">#REF!</definedName>
    <definedName name="수목" localSheetId="2">#REF!</definedName>
    <definedName name="수목">#REF!</definedName>
    <definedName name="수목수량" localSheetId="2">#REF!</definedName>
    <definedName name="수목수량">#REF!</definedName>
    <definedName name="수수꽃다리" localSheetId="2">#REF!</definedName>
    <definedName name="수수꽃다리">#REF!</definedName>
    <definedName name="수수료.i74" localSheetId="2">#REF!</definedName>
    <definedName name="수수료.i74">#REF!</definedName>
    <definedName name="수원설계가" localSheetId="2">#REF!</definedName>
    <definedName name="수원설계가">#REF!</definedName>
    <definedName name="수자재단위당" localSheetId="2">#REF!</definedName>
    <definedName name="수자재단위당">#REF!</definedName>
    <definedName name="수장" localSheetId="2">#REF!</definedName>
    <definedName name="수장">#REF!</definedName>
    <definedName name="수장.1" localSheetId="2">#REF!</definedName>
    <definedName name="수장.1">#REF!</definedName>
    <definedName name="수정내역" hidden="1">{#N/A,#N/A,FALSE,"CAM-G7";#N/A,#N/A,FALSE,"SPL";#N/A,#N/A,FALSE,"butt-in G7";#N/A,#N/A,FALSE,"dia-in G7";#N/A,#N/A,FALSE,"추가-STA G7"}</definedName>
    <definedName name="수중모타1" localSheetId="2">#REF!</definedName>
    <definedName name="수중모타1">#REF!</definedName>
    <definedName name="수중모타10" localSheetId="2">#REF!</definedName>
    <definedName name="수중모타10">#REF!</definedName>
    <definedName name="수중모타15" localSheetId="2">#REF!</definedName>
    <definedName name="수중모타15">#REF!</definedName>
    <definedName name="수중모타2" localSheetId="2">#REF!</definedName>
    <definedName name="수중모타2">#REF!</definedName>
    <definedName name="수중모타20" localSheetId="2">#REF!</definedName>
    <definedName name="수중모타20">#REF!</definedName>
    <definedName name="수중모타25" localSheetId="2">#REF!</definedName>
    <definedName name="수중모타25">#REF!</definedName>
    <definedName name="수중모타3" localSheetId="2">#REF!</definedName>
    <definedName name="수중모타3">#REF!</definedName>
    <definedName name="수중모타30" localSheetId="2">#REF!</definedName>
    <definedName name="수중모타30">#REF!</definedName>
    <definedName name="수중모타5" localSheetId="2">#REF!</definedName>
    <definedName name="수중모타5">#REF!</definedName>
    <definedName name="수중모타7.5" localSheetId="2">#REF!</definedName>
    <definedName name="수중모타7.5">#REF!</definedName>
    <definedName name="수중모터펌프단가" localSheetId="2">#REF!</definedName>
    <definedName name="수중모터펌프단가">#REF!</definedName>
    <definedName name="수중케이블단가" localSheetId="2">#REF!</definedName>
    <definedName name="수중케이블단가">#REF!</definedName>
    <definedName name="수토공단위당" localSheetId="2">#REF!</definedName>
    <definedName name="수토공단위당">#REF!</definedName>
    <definedName name="순" localSheetId="2">#REF!</definedName>
    <definedName name="순">#REF!</definedName>
    <definedName name="순공사비" localSheetId="2">#REF!</definedName>
    <definedName name="순공사비">#REF!</definedName>
    <definedName name="순공사비_현황" localSheetId="2">#REF!</definedName>
    <definedName name="순공사비_현황">#REF!</definedName>
    <definedName name="쉴드" localSheetId="2">#REF!</definedName>
    <definedName name="쉴드">#REF!</definedName>
    <definedName name="스파이라슬리브가공" localSheetId="2">#REF!</definedName>
    <definedName name="스파이라슬리브가공">#REF!</definedName>
    <definedName name="스파이랄1" localSheetId="2">#REF!</definedName>
    <definedName name="스파이랄1">#REF!</definedName>
    <definedName name="스파이랄2" localSheetId="2">#REF!</definedName>
    <definedName name="스파이랄2">#REF!</definedName>
    <definedName name="스파이랄슬리브가공" localSheetId="2">#REF!</definedName>
    <definedName name="스파이랄슬리브가공">#REF!</definedName>
    <definedName name="스파이랄슬리브지중" localSheetId="2">#REF!</definedName>
    <definedName name="스파이랄슬리브지중">#REF!</definedName>
    <definedName name="스파이랄취부1" localSheetId="2">#REF!</definedName>
    <definedName name="스파이랄취부1">#REF!</definedName>
    <definedName name="스파이랄취부2" localSheetId="2">#REF!</definedName>
    <definedName name="스파이랄취부2">#REF!</definedName>
    <definedName name="스파이럴슬리브" localSheetId="2">#REF!</definedName>
    <definedName name="스파이럴슬리브">#REF!</definedName>
    <definedName name="스파이럴슬리브가공" localSheetId="2">#REF!</definedName>
    <definedName name="스파이럴슬리브가공">#REF!</definedName>
    <definedName name="스파이럴슬리브지중" localSheetId="2">#REF!</definedName>
    <definedName name="스파이럴슬리브지중">#REF!</definedName>
    <definedName name="슬리브" localSheetId="2">#REF!</definedName>
    <definedName name="슬리브">#REF!</definedName>
    <definedName name="슬리브1" localSheetId="2">#REF!</definedName>
    <definedName name="슬리브1">#REF!</definedName>
    <definedName name="시공측량사" localSheetId="2">#REF!</definedName>
    <definedName name="시공측량사">#REF!</definedName>
    <definedName name="시공측량사조수" localSheetId="2">#REF!</definedName>
    <definedName name="시공측량사조수">#REF!</definedName>
    <definedName name="시료" localSheetId="2">#REF!</definedName>
    <definedName name="시료">#REF!</definedName>
    <definedName name="시멘트" localSheetId="2">#REF!</definedName>
    <definedName name="시멘트">#REF!</definedName>
    <definedName name="시방" localSheetId="2">#REF!</definedName>
    <definedName name="시방">#REF!</definedName>
    <definedName name="시방1" localSheetId="2">#REF!</definedName>
    <definedName name="시방1">#REF!</definedName>
    <definedName name="시설물수량" localSheetId="2">#REF!</definedName>
    <definedName name="시설물수량">#REF!</definedName>
    <definedName name="시설수량" localSheetId="2">#REF!</definedName>
    <definedName name="시설수량">#REF!</definedName>
    <definedName name="시설일위" localSheetId="2">#REF!</definedName>
    <definedName name="시설일위">#REF!</definedName>
    <definedName name="시설일위1" localSheetId="2">#REF!</definedName>
    <definedName name="시설일위1">#REF!</definedName>
    <definedName name="시험관련기사" localSheetId="2">#REF!</definedName>
    <definedName name="시험관련기사">#REF!</definedName>
    <definedName name="시험관련기사_시험사1급" localSheetId="2">#REF!</definedName>
    <definedName name="시험관련기사_시험사1급">#REF!</definedName>
    <definedName name="시험관련산업기사" localSheetId="2">#REF!</definedName>
    <definedName name="시험관련산업기사">#REF!</definedName>
    <definedName name="시험관련산업기사_2급" localSheetId="2">#REF!</definedName>
    <definedName name="시험관련산업기사_2급">#REF!</definedName>
    <definedName name="시험보조수" localSheetId="2">#REF!</definedName>
    <definedName name="시험보조수">#REF!</definedName>
    <definedName name="시험성적서" localSheetId="2">#REF!</definedName>
    <definedName name="시험성적서">#REF!</definedName>
    <definedName name="시험성적서작성" localSheetId="2">#REF!</definedName>
    <definedName name="시험성적서작성">#REF!</definedName>
    <definedName name="시험작성서작서" localSheetId="2">#REF!</definedName>
    <definedName name="시험작성서작서">#REF!</definedName>
    <definedName name="식재" localSheetId="2">#REF!</definedName>
    <definedName name="식재">#REF!</definedName>
    <definedName name="식재단가" localSheetId="2">#REF!</definedName>
    <definedName name="식재단가">#REF!</definedName>
    <definedName name="식재단가1" localSheetId="2">#REF!</definedName>
    <definedName name="식재단가1">#REF!</definedName>
    <definedName name="식재수량" localSheetId="2">#REF!</definedName>
    <definedName name="식재수량">#REF!</definedName>
    <definedName name="신성1" localSheetId="2">#REF!</definedName>
    <definedName name="신성1">#REF!</definedName>
    <definedName name="신성2" localSheetId="2">#REF!</definedName>
    <definedName name="신성2">#REF!</definedName>
    <definedName name="신성3" localSheetId="2">#REF!</definedName>
    <definedName name="신성3">#REF!</definedName>
    <definedName name="신성4" localSheetId="2">#REF!</definedName>
    <definedName name="신성4">#REF!</definedName>
    <definedName name="신성5" localSheetId="2">#REF!</definedName>
    <definedName name="신성5">#REF!</definedName>
    <definedName name="신성6" localSheetId="2">#REF!</definedName>
    <definedName name="신성6">#REF!</definedName>
    <definedName name="신성7" localSheetId="2">#REF!</definedName>
    <definedName name="신성7">#REF!</definedName>
    <definedName name="신증설" localSheetId="2">#REF!</definedName>
    <definedName name="신증설">#REF!</definedName>
    <definedName name="신호공" localSheetId="2">#REF!</definedName>
    <definedName name="신호공">#REF!</definedName>
    <definedName name="신흥1호" localSheetId="2">#REF!</definedName>
    <definedName name="신흥1호">#REF!</definedName>
    <definedName name="신흥2호" localSheetId="2">#REF!</definedName>
    <definedName name="신흥2호">#REF!</definedName>
    <definedName name="실적98" localSheetId="2">#REF!</definedName>
    <definedName name="실적98">#REF!</definedName>
    <definedName name="실적99" localSheetId="2">#REF!</definedName>
    <definedName name="실적99">#REF!</definedName>
    <definedName name="실행" hidden="1">{#N/A,#N/A,FALSE,"CAM-G7";#N/A,#N/A,FALSE,"SPL";#N/A,#N/A,FALSE,"butt-in G7";#N/A,#N/A,FALSE,"dia-in G7";#N/A,#N/A,FALSE,"추가-STA G7"}</definedName>
    <definedName name="실행공기" localSheetId="2">#REF!</definedName>
    <definedName name="실행공기">#REF!</definedName>
    <definedName name="실행내역" localSheetId="2">#REF!</definedName>
    <definedName name="실행내역">#REF!</definedName>
    <definedName name="실행보고서1" localSheetId="2">BlankMacro1</definedName>
    <definedName name="실행보고서1">BlankMacro1</definedName>
    <definedName name="실행안" localSheetId="2">#REF!</definedName>
    <definedName name="실행안">#REF!</definedName>
    <definedName name="실행양식" localSheetId="2">BlankMacro1</definedName>
    <definedName name="실행양식">BlankMacro1</definedName>
    <definedName name="실행예산1" localSheetId="2">#REF!</definedName>
    <definedName name="실행예산1">#REF!</definedName>
    <definedName name="실행예산10" localSheetId="2">#REF!</definedName>
    <definedName name="실행예산10">#REF!</definedName>
    <definedName name="실행예산11" localSheetId="2">#REF!</definedName>
    <definedName name="실행예산11">#REF!</definedName>
    <definedName name="실행예산12" localSheetId="2">#REF!</definedName>
    <definedName name="실행예산12">#REF!</definedName>
    <definedName name="실행예산13" localSheetId="2">#REF!</definedName>
    <definedName name="실행예산13">#REF!</definedName>
    <definedName name="실행예산2" localSheetId="2">#REF!</definedName>
    <definedName name="실행예산2">#REF!</definedName>
    <definedName name="실행예산3" localSheetId="2">#REF!</definedName>
    <definedName name="실행예산3">#REF!</definedName>
    <definedName name="실행예산4" localSheetId="2">#REF!</definedName>
    <definedName name="실행예산4">#REF!</definedName>
    <definedName name="실행예산5" localSheetId="2">#REF!</definedName>
    <definedName name="실행예산5">#REF!</definedName>
    <definedName name="실행예산6" localSheetId="2">#REF!</definedName>
    <definedName name="실행예산6">#REF!</definedName>
    <definedName name="실행예산7" localSheetId="2">#REF!</definedName>
    <definedName name="실행예산7">#REF!</definedName>
    <definedName name="실행예산8" localSheetId="2">#REF!</definedName>
    <definedName name="실행예산8">#REF!</definedName>
    <definedName name="실행예산9" localSheetId="2">#REF!</definedName>
    <definedName name="실행예산9">#REF!</definedName>
    <definedName name="실행예산서" localSheetId="2">#REF!</definedName>
    <definedName name="실행예산서">#REF!</definedName>
    <definedName name="실행집계" localSheetId="2">#REF!</definedName>
    <definedName name="실행집계">#REF!</definedName>
    <definedName name="써비스커넥터" localSheetId="2">#REF!</definedName>
    <definedName name="써비스커넥터">#REF!</definedName>
    <definedName name="써콘" localSheetId="2">#REF!</definedName>
    <definedName name="써콘">#REF!</definedName>
    <definedName name="써콘시설" localSheetId="2">#REF!</definedName>
    <definedName name="써콘시설">#REF!</definedName>
    <definedName name="ㅇ" localSheetId="2">#REF!</definedName>
    <definedName name="ㅇ">#REF!</definedName>
    <definedName name="ㅇ10" localSheetId="2">#REF!</definedName>
    <definedName name="ㅇ10">#REF!</definedName>
    <definedName name="ㅇ1200" localSheetId="2">#REF!</definedName>
    <definedName name="ㅇ1200">#REF!</definedName>
    <definedName name="ㅇ20" localSheetId="2">#REF!</definedName>
    <definedName name="ㅇ20">#REF!</definedName>
    <definedName name="ㅇ48" localSheetId="2">#REF!</definedName>
    <definedName name="ㅇ48">#REF!</definedName>
    <definedName name="ㅇㄴㄹㄴㅇ" hidden="1">{#N/A,"수불부",FALSE,"사급자재수불서";#N/A,"수불부",FALSE,"사급자재수불서"}</definedName>
    <definedName name="ㅇㄴㄻㅎㅈㄷㅈㄷㄴ" hidden="1">{"'Sheet1'!$D$19","'Sheet1'!$B$22:$E$22"}</definedName>
    <definedName name="ㅇㄴㅁㄹㅇㄻㅇㄹㄴㅇ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localSheetId="2" hidden="1">#REF!</definedName>
    <definedName name="ㅇㄹㄹ" hidden="1">#REF!</definedName>
    <definedName name="ㅇㄹㅇㄹ" localSheetId="2" hidden="1">#REF!</definedName>
    <definedName name="ㅇㄹㅇㄹ" hidden="1">#REF!</definedName>
    <definedName name="ㅇㄻㄴㅀ" hidden="1">{#N/A,"수불부",FALSE,"사급자재수불서";#N/A,"수불부",FALSE,"사급자재수불서"}</definedName>
    <definedName name="ㅇㅀ" localSheetId="2">BlankMacro1</definedName>
    <definedName name="ㅇㅀ">BlankMacro1</definedName>
    <definedName name="ㅇㅁㄶㄴㅇㅁㅀㅇㄴ" hidden="1">{#N/A,"수불부",FALSE,"사급자재수불서";#N/A,"수불부",FALSE,"사급자재수불서"}</definedName>
    <definedName name="ㅇㅇ" hidden="1">{#N/A,"수불부",FALSE,"사급자재수불서";#N/A,"수불부",FALSE,"사급자재수불서"}</definedName>
    <definedName name="ㅇㅇㄹ" localSheetId="2" hidden="1">#REF!</definedName>
    <definedName name="ㅇㅇㄹ" hidden="1">#REF!</definedName>
    <definedName name="ㅇㅇㅇ" localSheetId="1" hidden="1">#REF!</definedName>
    <definedName name="ㅇㅇㅇ" localSheetId="2" hidden="1">#REF!</definedName>
    <definedName name="ㅇㅇㅇ">BLCH</definedName>
    <definedName name="ㅇㅇㅇㅇ" localSheetId="2">#REF!</definedName>
    <definedName name="ㅇㅇㅇㅇ">#REF!</definedName>
    <definedName name="ㅇㅇㅇㅇㅇ" localSheetId="2">#REF!</definedName>
    <definedName name="ㅇㅇㅇㅇㅇ">#REF!</definedName>
    <definedName name="ㅇㅇㅇㅇㅇㅇㅇ" localSheetId="2">#REF!</definedName>
    <definedName name="ㅇㅇㅇㅇㅇㅇㅇ">#REF!</definedName>
    <definedName name="ㅇ아라ㅣ니" localSheetId="2">#REF!</definedName>
    <definedName name="ㅇ아라ㅣ니">#REF!</definedName>
    <definedName name="ㅇㅎㅁㅇㅎㄴㅇㅁ" hidden="1">{#N/A,"수불부",FALSE,"사급자재수불서";#N/A,"수불부",FALSE,"사급자재수불서"}</definedName>
    <definedName name="아" localSheetId="2">#REF!</definedName>
    <definedName name="아">#REF!</definedName>
    <definedName name="아굴착" localSheetId="2">#REF!</definedName>
    <definedName name="아굴착">#REF!</definedName>
    <definedName name="아기경비" localSheetId="2">#REF!</definedName>
    <definedName name="아기경비">#REF!</definedName>
    <definedName name="아답터" localSheetId="2">#REF!</definedName>
    <definedName name="아답터">#REF!</definedName>
    <definedName name="아리이" localSheetId="2">BlankMacro1</definedName>
    <definedName name="아리이">BlankMacro1</definedName>
    <definedName name="아무거나" localSheetId="2">BlankMacro1</definedName>
    <definedName name="아무거나">BlankMacro1</definedName>
    <definedName name="아스타일__공" localSheetId="2">#REF!</definedName>
    <definedName name="아스타일__공">#REF!</definedName>
    <definedName name="아스팔트" localSheetId="2">#REF!</definedName>
    <definedName name="아스팔트">#REF!</definedName>
    <definedName name="아연도강관단가" localSheetId="2">#REF!</definedName>
    <definedName name="아연도강관단가">#REF!</definedName>
    <definedName name="아연도배관단가" localSheetId="2">#REF!</definedName>
    <definedName name="아연도배관단가">#REF!</definedName>
    <definedName name="아연도배관자재" localSheetId="2">#REF!</definedName>
    <definedName name="아연도배관자재">#REF!</definedName>
    <definedName name="아이" localSheetId="2">#REF!</definedName>
    <definedName name="아이">#REF!</definedName>
    <definedName name="아파트" localSheetId="2">#REF!</definedName>
    <definedName name="아파트">#REF!</definedName>
    <definedName name="아파트벽식" localSheetId="2">#REF!</definedName>
    <definedName name="아파트벽식">#REF!</definedName>
    <definedName name="안" localSheetId="2">#REF!</definedName>
    <definedName name="안">#REF!</definedName>
    <definedName name="안___전__점__검__비" localSheetId="2">#REF!</definedName>
    <definedName name="안___전__점__검__비">#REF!</definedName>
    <definedName name="안방1호" localSheetId="2">#REF!</definedName>
    <definedName name="안방1호">#REF!</definedName>
    <definedName name="안방2호" localSheetId="2">#REF!</definedName>
    <definedName name="안방2호">#REF!</definedName>
    <definedName name="안전" localSheetId="2">#REF!</definedName>
    <definedName name="안전">#REF!</definedName>
    <definedName name="안전1" localSheetId="2">#REF!</definedName>
    <definedName name="안전1">#REF!</definedName>
    <definedName name="안전관리비" localSheetId="1">#REF!</definedName>
    <definedName name="안전관리비" localSheetId="2">#REF!</definedName>
    <definedName name="안전관리비">#REF!</definedName>
    <definedName name="안전관리비요율" localSheetId="2">#REF!</definedName>
    <definedName name="안전관리비요율">#REF!</definedName>
    <definedName name="안전관리비표" localSheetId="2">#REF!</definedName>
    <definedName name="안전관리비표">#REF!</definedName>
    <definedName name="안전기초" localSheetId="2">#REF!</definedName>
    <definedName name="안전기초">#REF!</definedName>
    <definedName name="안전시험" localSheetId="2">#REF!</definedName>
    <definedName name="안전시험">#REF!</definedName>
    <definedName name="안전점검내역" hidden="1">{#N/A,#N/A,FALSE,"현장 NCR 분석";#N/A,#N/A,FALSE,"현장품질감사";#N/A,#N/A,FALSE,"현장품질감사"}</definedName>
    <definedName name="안정수위" localSheetId="2">#REF!</definedName>
    <definedName name="안정수위">#REF!</definedName>
    <definedName name="알" localSheetId="2">#REF!</definedName>
    <definedName name="알">#REF!</definedName>
    <definedName name="알아부러라" localSheetId="2">BLCH</definedName>
    <definedName name="알아부러라">BLCH</definedName>
    <definedName name="알어러" localSheetId="2">BLCH</definedName>
    <definedName name="알어러">BLCH</definedName>
    <definedName name="암타이" localSheetId="2">#REF!</definedName>
    <definedName name="암타이">#REF!</definedName>
    <definedName name="암타이밴드" localSheetId="2">#REF!</definedName>
    <definedName name="암타이밴드">#REF!</definedName>
    <definedName name="압축단자" localSheetId="2">#REF!</definedName>
    <definedName name="압축단자">#REF!</definedName>
    <definedName name="앙" localSheetId="2">BLCH</definedName>
    <definedName name="앙">BLCH</definedName>
    <definedName name="앙카" localSheetId="2">#REF!</definedName>
    <definedName name="앙카">#REF!</definedName>
    <definedName name="앙카볼트설치" localSheetId="2">#REF!</definedName>
    <definedName name="앙카볼트설치">#REF!</definedName>
    <definedName name="앙카설치" localSheetId="2">#REF!</definedName>
    <definedName name="앙카설치">#REF!</definedName>
    <definedName name="앞들1호" localSheetId="2">#REF!</definedName>
    <definedName name="앞들1호">#REF!</definedName>
    <definedName name="앞들2호" localSheetId="2">#REF!</definedName>
    <definedName name="앞들2호">#REF!</definedName>
    <definedName name="애자" localSheetId="2">#REF!</definedName>
    <definedName name="애자">#REF!</definedName>
    <definedName name="약제팀" localSheetId="2">BlankMacro1</definedName>
    <definedName name="약제팀">BlankMacro1</definedName>
    <definedName name="약제팀공사" localSheetId="2">BlankMacro1</definedName>
    <definedName name="약제팀공사">BlankMacro1</definedName>
    <definedName name="양수량" localSheetId="2">#REF!</definedName>
    <definedName name="양수량">#REF!</definedName>
    <definedName name="양식" localSheetId="2">#REF!</definedName>
    <definedName name="양식">#REF!</definedName>
    <definedName name="양주덕정" localSheetId="2">#REF!</definedName>
    <definedName name="양주덕정">#REF!</definedName>
    <definedName name="어랑너ㅣㄹㄴㅇ" hidden="1">{#N/A,"수불부",FALSE,"사급자재수불서";#N/A,"수불부",FALSE,"사급자재수불서"}</definedName>
    <definedName name="어ㅏ아" localSheetId="2">BLCH</definedName>
    <definedName name="어ㅏ아">BLCH</definedName>
    <definedName name="억이상" hidden="1">{#N/A,#N/A,FALSE,"2~8번"}</definedName>
    <definedName name="업" localSheetId="2">#REF!</definedName>
    <definedName name="업">#REF!</definedName>
    <definedName name="업무">#N/A</definedName>
    <definedName name="업무1" localSheetId="2">#REF!</definedName>
    <definedName name="업무1">#REF!</definedName>
    <definedName name="업무연락" localSheetId="2">#REF!</definedName>
    <definedName name="업무연락">#REF!</definedName>
    <definedName name="업무연락2">#N/A</definedName>
    <definedName name="업연" localSheetId="2">#REF!</definedName>
    <definedName name="업연">#REF!</definedName>
    <definedName name="업체" localSheetId="2" hidden="1">#REF!</definedName>
    <definedName name="업체" hidden="1">#REF!</definedName>
    <definedName name="업체견적서" localSheetId="2">BlankMacro1</definedName>
    <definedName name="업체견적서">BlankMacro1</definedName>
    <definedName name="업체기성" localSheetId="2">BlankMacro1</definedName>
    <definedName name="업체기성">BlankMacro1</definedName>
    <definedName name="업체기성지급" localSheetId="2">BlankMacro1</definedName>
    <definedName name="업체기성지급">BlankMacro1</definedName>
    <definedName name="여벌" localSheetId="2">#REF!</definedName>
    <definedName name="여벌">#REF!</definedName>
    <definedName name="여비" localSheetId="2">#REF!</definedName>
    <definedName name="여비">#REF!</definedName>
    <definedName name="여비1" localSheetId="2">#REF!</definedName>
    <definedName name="여비1">#REF!</definedName>
    <definedName name="여비교통비" localSheetId="2">#REF!</definedName>
    <definedName name="여비교통비">#REF!</definedName>
    <definedName name="연공기계" localSheetId="2">#REF!,#REF!</definedName>
    <definedName name="연공기계">#REF!,#REF!</definedName>
    <definedName name="연동연선" localSheetId="2">#REF!</definedName>
    <definedName name="연동연선">#REF!</definedName>
    <definedName name="연락1" localSheetId="2">#REF!</definedName>
    <definedName name="연락1">#REF!</definedName>
    <definedName name="연마공" localSheetId="2">#REF!</definedName>
    <definedName name="연마공">#REF!</definedName>
    <definedName name="영산홍" localSheetId="2">#REF!</definedName>
    <definedName name="영산홍">#REF!</definedName>
    <definedName name="예산" localSheetId="2">#REF!</definedName>
    <definedName name="예산">#REF!</definedName>
    <definedName name="예산초과" localSheetId="2">#REF!</definedName>
    <definedName name="예산초과">#REF!</definedName>
    <definedName name="예정가" localSheetId="2">#REF!</definedName>
    <definedName name="예정가">#REF!</definedName>
    <definedName name="예제_데이터" localSheetId="2">#REF!</definedName>
    <definedName name="예제_데이터">#REF!</definedName>
    <definedName name="오오오" localSheetId="2">#REF!</definedName>
    <definedName name="오오오">#REF!</definedName>
    <definedName name="오주1호" localSheetId="2">#REF!</definedName>
    <definedName name="오주1호">#REF!</definedName>
    <definedName name="오주2호" localSheetId="2">#REF!</definedName>
    <definedName name="오주2호">#REF!</definedName>
    <definedName name="오주3호" localSheetId="2">#REF!</definedName>
    <definedName name="오주3호">#REF!</definedName>
    <definedName name="오주4호" localSheetId="2">#REF!</definedName>
    <definedName name="오주4호">#REF!</definedName>
    <definedName name="옥내접지" localSheetId="2">#REF!</definedName>
    <definedName name="옥내접지">#REF!</definedName>
    <definedName name="옥내접지2" localSheetId="2">#REF!</definedName>
    <definedName name="옥내접지2">#REF!</definedName>
    <definedName name="옥내케이블" localSheetId="2">#REF!</definedName>
    <definedName name="옥내케이블">#REF!</definedName>
    <definedName name="옥내케이블시설" localSheetId="2">#REF!</definedName>
    <definedName name="옥내케이블시설">#REF!</definedName>
    <definedName name="옥외접지" localSheetId="2">#REF!</definedName>
    <definedName name="옥외접지">#REF!</definedName>
    <definedName name="완금" localSheetId="2">#REF!</definedName>
    <definedName name="완금">#REF!</definedName>
    <definedName name="완료예정일자1" localSheetId="2">#REF!</definedName>
    <definedName name="완료예정일자1">#REF!</definedName>
    <definedName name="완료예정일자2" localSheetId="2">#REF!</definedName>
    <definedName name="완료예정일자2">#REF!</definedName>
    <definedName name="완철설치" localSheetId="2">#REF!</definedName>
    <definedName name="완철설치">#REF!</definedName>
    <definedName name="왕벚나무" localSheetId="2">#REF!</definedName>
    <definedName name="왕벚나무">#REF!</definedName>
    <definedName name="왕암내역" localSheetId="2">#REF!</definedName>
    <definedName name="왕암내역">#REF!</definedName>
    <definedName name="왜성도라지" localSheetId="2">#REF!</definedName>
    <definedName name="왜성도라지">#REF!</definedName>
    <definedName name="외선" localSheetId="2">#REF!</definedName>
    <definedName name="외선">#REF!</definedName>
    <definedName name="외주" localSheetId="2">#REF!</definedName>
    <definedName name="외주">#REF!</definedName>
    <definedName name="외피접속" localSheetId="2">#REF!</definedName>
    <definedName name="외피접속">#REF!</definedName>
    <definedName name="요동1호" localSheetId="2">#REF!</definedName>
    <definedName name="요동1호">#REF!</definedName>
    <definedName name="요동2호" localSheetId="2">#REF!</definedName>
    <definedName name="요동2호">#REF!</definedName>
    <definedName name="요율" localSheetId="2">#REF!</definedName>
    <definedName name="요율">#REF!</definedName>
    <definedName name="요율인쇄" localSheetId="2">#REF!</definedName>
    <definedName name="요율인쇄">#REF!</definedName>
    <definedName name="용" localSheetId="2">#REF!</definedName>
    <definedName name="용">#REF!</definedName>
    <definedName name="용접" localSheetId="2">#REF!</definedName>
    <definedName name="용접">#REF!</definedName>
    <definedName name="용접공" localSheetId="2">#REF!</definedName>
    <definedName name="용접공">#REF!</definedName>
    <definedName name="용접공_일반" localSheetId="2">#REF!</definedName>
    <definedName name="용접공_일반">#REF!</definedName>
    <definedName name="용접공_철도" localSheetId="2">#REF!</definedName>
    <definedName name="용접공_철도">#REF!</definedName>
    <definedName name="우산" localSheetId="2">#REF!</definedName>
    <definedName name="우산">#REF!</definedName>
    <definedName name="우이사" localSheetId="2">#REF!</definedName>
    <definedName name="우이사">#REF!</definedName>
    <definedName name="운반차운전사" localSheetId="2">#REF!</definedName>
    <definedName name="운반차운전사">#REF!</definedName>
    <definedName name="운반차운전사기" localSheetId="2">#REF!</definedName>
    <definedName name="운반차운전사기">#REF!</definedName>
    <definedName name="운암" localSheetId="2">#REF!</definedName>
    <definedName name="운암">#REF!</definedName>
    <definedName name="운전" localSheetId="2">#REF!</definedName>
    <definedName name="운전">#REF!</definedName>
    <definedName name="운전사" localSheetId="2">#REF!</definedName>
    <definedName name="운전사">#REF!</definedName>
    <definedName name="운전사_기계" localSheetId="2">#REF!</definedName>
    <definedName name="운전사_기계">#REF!</definedName>
    <definedName name="운전사_운반차" localSheetId="2">#REF!</definedName>
    <definedName name="운전사_운반차">#REF!</definedName>
    <definedName name="운전조" localSheetId="2">#REF!</definedName>
    <definedName name="운전조">#REF!</definedName>
    <definedName name="운호1호" localSheetId="2">#REF!</definedName>
    <definedName name="운호1호">#REF!</definedName>
    <definedName name="운호2호" localSheetId="2">#REF!</definedName>
    <definedName name="운호2호">#REF!</definedName>
    <definedName name="운호3호" localSheetId="2">#REF!</definedName>
    <definedName name="운호3호">#REF!</definedName>
    <definedName name="울산프랜지" localSheetId="2">#REF!</definedName>
    <definedName name="울산프랜지">#REF!</definedName>
    <definedName name="원" localSheetId="2">#REF!</definedName>
    <definedName name="원">#REF!</definedName>
    <definedName name="원가" localSheetId="2">#REF!</definedName>
    <definedName name="원가">#REF!</definedName>
    <definedName name="원가계산명" localSheetId="2">#REF!</definedName>
    <definedName name="원가계산명">#REF!</definedName>
    <definedName name="원본심정" localSheetId="2">#REF!</definedName>
    <definedName name="원본심정">#REF!</definedName>
    <definedName name="원수" localSheetId="2">#REF!</definedName>
    <definedName name="원수">#REF!</definedName>
    <definedName name="원운1호" localSheetId="2">#REF!</definedName>
    <definedName name="원운1호">#REF!</definedName>
    <definedName name="원운2호" localSheetId="2">#REF!</definedName>
    <definedName name="원운2호">#REF!</definedName>
    <definedName name="원자력계장공" localSheetId="2">#REF!</definedName>
    <definedName name="원자력계장공">#REF!</definedName>
    <definedName name="원자력기계설치공" localSheetId="2">#REF!</definedName>
    <definedName name="원자력기계설치공">#REF!</definedName>
    <definedName name="원자력기술자" localSheetId="2">#REF!</definedName>
    <definedName name="원자력기술자">#REF!</definedName>
    <definedName name="원자력덕트공" localSheetId="2">#REF!</definedName>
    <definedName name="원자력덕트공">#REF!</definedName>
    <definedName name="원자력배관공" localSheetId="2">#REF!</definedName>
    <definedName name="원자력배관공">#REF!</definedName>
    <definedName name="원자력보온공" localSheetId="2">#REF!</definedName>
    <definedName name="원자력보온공">#REF!</definedName>
    <definedName name="원자력용접공" localSheetId="1">#REF!</definedName>
    <definedName name="원자력용접공" localSheetId="2">#REF!</definedName>
    <definedName name="원자력용접공">#REF!</definedName>
    <definedName name="원자력제관공" localSheetId="2">#REF!</definedName>
    <definedName name="원자력제관공">#REF!</definedName>
    <definedName name="원자력케이블전공" localSheetId="2">#REF!</definedName>
    <definedName name="원자력케이블전공">#REF!</definedName>
    <definedName name="원자력특별인부" localSheetId="2">#REF!</definedName>
    <definedName name="원자력특별인부">#REF!</definedName>
    <definedName name="원자력품질관리사" localSheetId="1">#REF!</definedName>
    <definedName name="원자력품질관리사" localSheetId="2">#REF!</definedName>
    <definedName name="원자력품질관리사">#REF!</definedName>
    <definedName name="원자력플랜트전공" localSheetId="2">#REF!</definedName>
    <definedName name="원자력플랜트전공">#REF!</definedName>
    <definedName name="위생공" localSheetId="2">#REF!</definedName>
    <definedName name="위생공">#REF!</definedName>
    <definedName name="위치">#N/A</definedName>
    <definedName name="위치별" localSheetId="2">#REF!</definedName>
    <definedName name="위치별">#REF!</definedName>
    <definedName name="위험표시찰취부" localSheetId="2">#REF!</definedName>
    <definedName name="위험표시찰취부">#REF!</definedName>
    <definedName name="위험표지판" localSheetId="2">#REF!</definedName>
    <definedName name="위험표지판">#REF!</definedName>
    <definedName name="유리공" localSheetId="2">#REF!</definedName>
    <definedName name="유리공">#REF!</definedName>
    <definedName name="유압식백호" localSheetId="2">#REF!</definedName>
    <definedName name="유압식백호">#REF!</definedName>
    <definedName name="육" localSheetId="2">#REF!</definedName>
    <definedName name="육">#REF!</definedName>
    <definedName name="육리1호" localSheetId="2">#REF!</definedName>
    <definedName name="육리1호">#REF!</definedName>
    <definedName name="육리2호" localSheetId="2">#REF!</definedName>
    <definedName name="육리2호">#REF!</definedName>
    <definedName name="융착접속" localSheetId="2">#REF!</definedName>
    <definedName name="융착접속">#REF!</definedName>
    <definedName name="은산1호" localSheetId="2">#REF!</definedName>
    <definedName name="은산1호">#REF!</definedName>
    <definedName name="은산2호" localSheetId="2">#REF!</definedName>
    <definedName name="은산2호">#REF!</definedName>
    <definedName name="은산3호" localSheetId="2">#REF!</definedName>
    <definedName name="은산3호">#REF!</definedName>
    <definedName name="은산4호" localSheetId="2">#REF!</definedName>
    <definedName name="은산4호">#REF!</definedName>
    <definedName name="은행나무" localSheetId="2">#REF!</definedName>
    <definedName name="은행나무">#REF!</definedName>
    <definedName name="을" localSheetId="2">BlankMacro1</definedName>
    <definedName name="을">BlankMacro1</definedName>
    <definedName name="을지" localSheetId="2">BlankMacro1</definedName>
    <definedName name="을지">BlankMacro1</definedName>
    <definedName name="의" hidden="1">{#N/A,#N/A,FALSE,"운반시간"}</definedName>
    <definedName name="이______________윤" localSheetId="2">#REF!</definedName>
    <definedName name="이______________윤">#REF!</definedName>
    <definedName name="이______전______비" localSheetId="2">#REF!</definedName>
    <definedName name="이______전______비">#REF!</definedName>
    <definedName name="이공구가설비" localSheetId="2">#REF!</definedName>
    <definedName name="이공구가설비">#REF!</definedName>
    <definedName name="이공구간접노무비" localSheetId="2">#REF!</definedName>
    <definedName name="이공구간접노무비">#REF!</definedName>
    <definedName name="이공구공사원가" localSheetId="2">#REF!</definedName>
    <definedName name="이공구공사원가">#REF!</definedName>
    <definedName name="이공구기타경비" localSheetId="2">#REF!</definedName>
    <definedName name="이공구기타경비">#REF!</definedName>
    <definedName name="이공구산재보험료" localSheetId="2">#REF!</definedName>
    <definedName name="이공구산재보험료">#REF!</definedName>
    <definedName name="이공구안전관리비" localSheetId="2">#REF!</definedName>
    <definedName name="이공구안전관리비">#REF!</definedName>
    <definedName name="이공구이윤" localSheetId="2">#REF!</definedName>
    <definedName name="이공구이윤">#REF!</definedName>
    <definedName name="이공구일반관리비" localSheetId="2">#REF!</definedName>
    <definedName name="이공구일반관리비">#REF!</definedName>
    <definedName name="이름" localSheetId="2">#REF!</definedName>
    <definedName name="이름">#REF!</definedName>
    <definedName name="이식" localSheetId="2">#REF!</definedName>
    <definedName name="이식">#REF!</definedName>
    <definedName name="이식단가" localSheetId="2">#REF!</definedName>
    <definedName name="이식단가">#REF!</definedName>
    <definedName name="이식단가1" localSheetId="2">#REF!</definedName>
    <definedName name="이식단가1">#REF!</definedName>
    <definedName name="이식일위" localSheetId="2">#REF!</definedName>
    <definedName name="이식일위">#REF!</definedName>
    <definedName name="이윤" localSheetId="1">#REF!</definedName>
    <definedName name="이윤" localSheetId="2">#REF!</definedName>
    <definedName name="이윤">#REF!</definedName>
    <definedName name="이윤요율" localSheetId="2">#REF!</definedName>
    <definedName name="이윤요율">#REF!</definedName>
    <definedName name="이윤표" localSheetId="2">#REF!</definedName>
    <definedName name="이윤표">#REF!</definedName>
    <definedName name="이자.k18" localSheetId="2">#REF!</definedName>
    <definedName name="이자.k18">#REF!</definedName>
    <definedName name="인공" localSheetId="2">#REF!</definedName>
    <definedName name="인공">#REF!</definedName>
    <definedName name="인동덩쿨" localSheetId="2">#REF!</definedName>
    <definedName name="인동덩쿨">#REF!</definedName>
    <definedName name="인류" localSheetId="2">#REF!</definedName>
    <definedName name="인류">#REF!</definedName>
    <definedName name="인류클램프" localSheetId="2">#REF!</definedName>
    <definedName name="인류클램프">#REF!</definedName>
    <definedName name="인부신상자료" localSheetId="2">#REF!</definedName>
    <definedName name="인부신상자료">#REF!</definedName>
    <definedName name="인상PVC" localSheetId="2">#REF!</definedName>
    <definedName name="인상PVC">#REF!</definedName>
    <definedName name="인쇄01" localSheetId="2">#REF!</definedName>
    <definedName name="인쇄01">#REF!</definedName>
    <definedName name="인쇄범위" localSheetId="2">#REF!</definedName>
    <definedName name="인쇄범위">#REF!</definedName>
    <definedName name="인쇄영역" localSheetId="2">#REF!</definedName>
    <definedName name="인쇄영역">#REF!</definedName>
    <definedName name="인쇄영역2" localSheetId="2">#REF!</definedName>
    <definedName name="인쇄영역2">#REF!</definedName>
    <definedName name="인원" localSheetId="2">#REF!</definedName>
    <definedName name="인원">#REF!</definedName>
    <definedName name="인입공사비" localSheetId="2">#REF!</definedName>
    <definedName name="인입공사비">#REF!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호표" localSheetId="2">#REF!</definedName>
    <definedName name="인테호표">#REF!</definedName>
    <definedName name="일__반___관__리__비" localSheetId="2">#REF!</definedName>
    <definedName name="일__반___관__리__비">#REF!</definedName>
    <definedName name="일공구직영비" localSheetId="2">#REF!</definedName>
    <definedName name="일공구직영비">#REF!</definedName>
    <definedName name="일반" localSheetId="2">#REF!</definedName>
    <definedName name="일반">#REF!</definedName>
    <definedName name="일반관리" localSheetId="2">#REF!</definedName>
    <definedName name="일반관리">#REF!</definedName>
    <definedName name="일반관리1" localSheetId="2">#REF!</definedName>
    <definedName name="일반관리1">#REF!</definedName>
    <definedName name="일반관리비" localSheetId="1">#REF!</definedName>
    <definedName name="일반관리비" localSheetId="2">#REF!</definedName>
    <definedName name="일반관리비">#REF!</definedName>
    <definedName name="일반관리비요율" localSheetId="2">#REF!</definedName>
    <definedName name="일반관리비요율">#REF!</definedName>
    <definedName name="일반관리비표" localSheetId="2">#REF!</definedName>
    <definedName name="일반관리비표">#REF!</definedName>
    <definedName name="일선종건" hidden="1">{#N/A,#N/A,FALSE,"현장 NCR 분석";#N/A,#N/A,FALSE,"현장품질감사";#N/A,#N/A,FALSE,"현장품질감사"}</definedName>
    <definedName name="일위" localSheetId="2">#REF!,#REF!</definedName>
    <definedName name="일위">#REF!,#REF!</definedName>
    <definedName name="일위1" localSheetId="2">#REF!</definedName>
    <definedName name="일위1">#REF!</definedName>
    <definedName name="일위단가" localSheetId="2">#REF!</definedName>
    <definedName name="일위단가">#REF!</definedName>
    <definedName name="일위대가" localSheetId="2">#REF!</definedName>
    <definedName name="일위대가">#REF!</definedName>
    <definedName name="일위대가11" localSheetId="2">#REF!</definedName>
    <definedName name="일위대가11">#REF!</definedName>
    <definedName name="일위대가표" localSheetId="2">#REF!</definedName>
    <definedName name="일위대가표">#REF!</definedName>
    <definedName name="일위목록" localSheetId="2">#REF!</definedName>
    <definedName name="일위목록">#REF!</definedName>
    <definedName name="일위전기" localSheetId="2">#REF!</definedName>
    <definedName name="일위전기">#REF!</definedName>
    <definedName name="일자1" localSheetId="2">#REF!</definedName>
    <definedName name="일자1">#REF!</definedName>
    <definedName name="일자10" localSheetId="2">#REF!</definedName>
    <definedName name="일자10">#REF!</definedName>
    <definedName name="일자11" localSheetId="2">#REF!</definedName>
    <definedName name="일자11">#REF!</definedName>
    <definedName name="일자12" localSheetId="2">#REF!</definedName>
    <definedName name="일자12">#REF!</definedName>
    <definedName name="일자13" localSheetId="2">#REF!</definedName>
    <definedName name="일자13">#REF!</definedName>
    <definedName name="일자2" localSheetId="2">#REF!</definedName>
    <definedName name="일자2">#REF!</definedName>
    <definedName name="일자3" localSheetId="2">#REF!</definedName>
    <definedName name="일자3">#REF!</definedName>
    <definedName name="일자4" localSheetId="2">#REF!</definedName>
    <definedName name="일자4">#REF!</definedName>
    <definedName name="일자5" localSheetId="2">#REF!</definedName>
    <definedName name="일자5">#REF!</definedName>
    <definedName name="일자6" localSheetId="2">#REF!</definedName>
    <definedName name="일자6">#REF!</definedName>
    <definedName name="일자7" localSheetId="2">#REF!</definedName>
    <definedName name="일자7">#REF!</definedName>
    <definedName name="일자8" localSheetId="2">#REF!</definedName>
    <definedName name="일자8">#REF!</definedName>
    <definedName name="일자9" localSheetId="2">#REF!</definedName>
    <definedName name="일자9">#REF!</definedName>
    <definedName name="임시" hidden="1">{#N/A,#N/A,FALSE,"현장 NCR 분석";#N/A,#N/A,FALSE,"현장품질감사";#N/A,#N/A,FALSE,"현장품질감사"}</definedName>
    <definedName name="임시동력" localSheetId="2">#REF!</definedName>
    <definedName name="임시동력">#REF!</definedName>
    <definedName name="임직" localSheetId="2">#REF!</definedName>
    <definedName name="임직">#REF!</definedName>
    <definedName name="임차이용료.i9" localSheetId="2">#REF!</definedName>
    <definedName name="임차이용료.i9">#REF!</definedName>
    <definedName name="입력란" localSheetId="2">#REF!</definedName>
    <definedName name="입력란">#REF!</definedName>
    <definedName name="입력선택" localSheetId="2">#REF!</definedName>
    <definedName name="입력선택">#REF!</definedName>
    <definedName name="입력전체" localSheetId="2">#REF!</definedName>
    <definedName name="입력전체">#REF!</definedName>
    <definedName name="입상관취부" localSheetId="2">#REF!</definedName>
    <definedName name="입상관취부">#REF!</definedName>
    <definedName name="입안1호" localSheetId="2">#REF!</definedName>
    <definedName name="입안1호">#REF!</definedName>
    <definedName name="입안2호" localSheetId="2">#REF!</definedName>
    <definedName name="입안2호">#REF!</definedName>
    <definedName name="입안3호" localSheetId="2">#REF!</definedName>
    <definedName name="입안3호">#REF!</definedName>
    <definedName name="입안4호" localSheetId="2">#REF!</definedName>
    <definedName name="입안4호">#REF!</definedName>
    <definedName name="입안기존2" localSheetId="2">#REF!</definedName>
    <definedName name="입안기존2">#REF!</definedName>
    <definedName name="입찰품의" localSheetId="2">#REF!</definedName>
    <definedName name="입찰품의">#REF!</definedName>
    <definedName name="ㅈㄷㅈㄷ" localSheetId="2">#REF!</definedName>
    <definedName name="ㅈㄷㅈㄷ">#REF!</definedName>
    <definedName name="ㅈㅂㄱㅂㅈㄷㄱ" hidden="1">{#N/A,#N/A,FALSE,"CAM-G7";#N/A,#N/A,FALSE,"SPL";#N/A,#N/A,FALSE,"butt-in G7";#N/A,#N/A,FALSE,"dia-in G7";#N/A,#N/A,FALSE,"추가-STA G7"}</definedName>
    <definedName name="ㅈㅈ" hidden="1">{#N/A,"수불부",FALSE,"사급자재수불서";#N/A,"수불부",FALSE,"사급자재수불서"}</definedName>
    <definedName name="ㅈㅈㅈ" localSheetId="2" hidden="1">#REF!</definedName>
    <definedName name="ㅈㅈㅈ" hidden="1">#REF!</definedName>
    <definedName name="ㅈㅎ" localSheetId="2">#REF!</definedName>
    <definedName name="ㅈㅎ">#REF!</definedName>
    <definedName name="자갈" localSheetId="2">#REF!</definedName>
    <definedName name="자갈">#REF!</definedName>
    <definedName name="자귀나무" localSheetId="2">#REF!</definedName>
    <definedName name="자귀나무">#REF!</definedName>
    <definedName name="자연수위" localSheetId="2">#REF!</definedName>
    <definedName name="자연수위">#REF!</definedName>
    <definedName name="자재" localSheetId="2">#REF!</definedName>
    <definedName name="자재">#REF!</definedName>
    <definedName name="작업" localSheetId="2">#REF!</definedName>
    <definedName name="작업">#REF!</definedName>
    <definedName name="작업반장" localSheetId="2">#REF!</definedName>
    <definedName name="작업반장">#REF!</definedName>
    <definedName name="작업중" localSheetId="2">BlankMacro1</definedName>
    <definedName name="작업중">BlankMacro1</definedName>
    <definedName name="잔디_평떼" localSheetId="2">#REF!</definedName>
    <definedName name="잔디_평떼">#REF!</definedName>
    <definedName name="잠수부" localSheetId="2">#REF!</definedName>
    <definedName name="잠수부">#REF!</definedName>
    <definedName name="잣나무" localSheetId="2">#REF!</definedName>
    <definedName name="잣나무">#REF!</definedName>
    <definedName name="장4" hidden="1">{#N/A,#N/A,FALSE,"CAM-G7";#N/A,#N/A,FALSE,"SPL";#N/A,#N/A,FALSE,"butt-in G7";#N/A,#N/A,FALSE,"dia-in G7";#N/A,#N/A,FALSE,"추가-STA G7"}</definedName>
    <definedName name="장산1" localSheetId="2">#REF!</definedName>
    <definedName name="장산1">#REF!</definedName>
    <definedName name="장산2" localSheetId="2">#REF!</definedName>
    <definedName name="장산2">#REF!</definedName>
    <definedName name="장산3" localSheetId="2">#REF!</definedName>
    <definedName name="장산3">#REF!</definedName>
    <definedName name="장춘" localSheetId="2">#REF!</definedName>
    <definedName name="장춘">#REF!</definedName>
    <definedName name="재노경" localSheetId="2">#REF!</definedName>
    <definedName name="재노경">#REF!</definedName>
    <definedName name="재료비" localSheetId="2">#REF!</definedName>
    <definedName name="재료비">#REF!</definedName>
    <definedName name="재료비1" localSheetId="2">#REF!</definedName>
    <definedName name="재료비1">#REF!</definedName>
    <definedName name="재료비요율" localSheetId="2">#REF!</definedName>
    <definedName name="재료비요율">#REF!</definedName>
    <definedName name="저수조만수위" localSheetId="2">#REF!</definedName>
    <definedName name="저수조만수위">#REF!</definedName>
    <definedName name="저압" localSheetId="2">#REF!</definedName>
    <definedName name="저압">#REF!</definedName>
    <definedName name="저압케이블공" localSheetId="1">#REF!</definedName>
    <definedName name="저압케이블공" localSheetId="2">#REF!</definedName>
    <definedName name="저압케이블공">#REF!</definedName>
    <definedName name="저압케이블전공" localSheetId="1">#REF!</definedName>
    <definedName name="저압케이블전공" localSheetId="2">#REF!</definedName>
    <definedName name="저압케이블전공">#REF!</definedName>
    <definedName name="저유황경유" localSheetId="2">#REF!</definedName>
    <definedName name="저유황경유">#REF!</definedName>
    <definedName name="저케" localSheetId="2">#REF!</definedName>
    <definedName name="저케">#REF!</definedName>
    <definedName name="적용계약간접노무비" localSheetId="2">#REF!</definedName>
    <definedName name="적용계약간접노무비">#REF!</definedName>
    <definedName name="적용계약공사원가" localSheetId="2">#REF!</definedName>
    <definedName name="적용계약공사원가">#REF!</definedName>
    <definedName name="적용계약공사원가경비" localSheetId="2">#REF!</definedName>
    <definedName name="적용계약공사원가경비">#REF!</definedName>
    <definedName name="적용계약공사원가노무비" localSheetId="2">#REF!</definedName>
    <definedName name="적용계약공사원가노무비">#REF!</definedName>
    <definedName name="적용계약공사원가재료비" localSheetId="2">#REF!</definedName>
    <definedName name="적용계약공사원가재료비">#REF!</definedName>
    <definedName name="적용계약기타경비" localSheetId="2">#REF!</definedName>
    <definedName name="적용계약기타경비">#REF!</definedName>
    <definedName name="적용계약산재보험료" localSheetId="2">#REF!</definedName>
    <definedName name="적용계약산재보험료">#REF!</definedName>
    <definedName name="적용계약안전관리비" localSheetId="2">#REF!</definedName>
    <definedName name="적용계약안전관리비">#REF!</definedName>
    <definedName name="적용계약이윤" localSheetId="2">#REF!</definedName>
    <definedName name="적용계약이윤">#REF!</definedName>
    <definedName name="적용계약일반관리비" localSheetId="2">#REF!</definedName>
    <definedName name="적용계약일반관리비">#REF!</definedName>
    <definedName name="적용도급액" localSheetId="2">#REF!</definedName>
    <definedName name="적용도급액">#REF!</definedName>
    <definedName name="적용제외간접노무비" localSheetId="2">#REF!</definedName>
    <definedName name="적용제외간접노무비">#REF!</definedName>
    <definedName name="적용제외공사원가" localSheetId="2">#REF!</definedName>
    <definedName name="적용제외공사원가">#REF!</definedName>
    <definedName name="적용제외공사원가경비" localSheetId="2">#REF!</definedName>
    <definedName name="적용제외공사원가경비">#REF!</definedName>
    <definedName name="적용제외공사원가노무비" localSheetId="2">#REF!</definedName>
    <definedName name="적용제외공사원가노무비">#REF!</definedName>
    <definedName name="적용제외공사원가재료비" localSheetId="2">#REF!</definedName>
    <definedName name="적용제외공사원가재료비">#REF!</definedName>
    <definedName name="적용제외기타경비" localSheetId="2">#REF!</definedName>
    <definedName name="적용제외기타경비">#REF!</definedName>
    <definedName name="적용제외도급액" localSheetId="2">#REF!</definedName>
    <definedName name="적용제외도급액">#REF!</definedName>
    <definedName name="적용제외산재보험료" localSheetId="2">#REF!</definedName>
    <definedName name="적용제외산재보험료">#REF!</definedName>
    <definedName name="적용제외안전관리비" localSheetId="2">#REF!</definedName>
    <definedName name="적용제외안전관리비">#REF!</definedName>
    <definedName name="적용제외이윤" localSheetId="2">#REF!</definedName>
    <definedName name="적용제외이윤">#REF!</definedName>
    <definedName name="적용제외일반관리비" localSheetId="2">#REF!</definedName>
    <definedName name="적용제외일반관리비">#REF!</definedName>
    <definedName name="전1" localSheetId="2">#REF!</definedName>
    <definedName name="전1">#REF!</definedName>
    <definedName name="전2" localSheetId="2">#REF!</definedName>
    <definedName name="전2">#REF!</definedName>
    <definedName name="전기" localSheetId="2">BlankMacro1</definedName>
    <definedName name="전기">BlankMacro1</definedName>
    <definedName name="전기공사기사" localSheetId="2">#REF!</definedName>
    <definedName name="전기공사기사">#REF!</definedName>
    <definedName name="전기공사기사_전기공사기사1급" localSheetId="2">#REF!</definedName>
    <definedName name="전기공사기사_전기공사기사1급">#REF!</definedName>
    <definedName name="전기공사기사1급" localSheetId="2">#REF!</definedName>
    <definedName name="전기공사기사1급">#REF!</definedName>
    <definedName name="전기공사기사2급" localSheetId="2">#REF!</definedName>
    <definedName name="전기공사기사2급">#REF!</definedName>
    <definedName name="전기공사산업기사" localSheetId="2">#REF!</definedName>
    <definedName name="전기공사산업기사">#REF!</definedName>
    <definedName name="전기공사산업기사_전기공사기사2급" localSheetId="2">#REF!</definedName>
    <definedName name="전기공사산업기사_전기공사기사2급">#REF!</definedName>
    <definedName name="전기산정표" localSheetId="2">#REF!,#REF!</definedName>
    <definedName name="전기산정표">#REF!,#REF!</definedName>
    <definedName name="전기일위" localSheetId="2">#REF!</definedName>
    <definedName name="전기일위">#REF!</definedName>
    <definedName name="전동기용량" localSheetId="2">#REF!</definedName>
    <definedName name="전동기용량">#REF!</definedName>
    <definedName name="전시장비노임단가" hidden="1">{"SJ - 기본 보기",#N/A,FALSE,"공사별 외주견적"}</definedName>
    <definedName name="전원선포설" localSheetId="2">#REF!</definedName>
    <definedName name="전원선포설">#REF!</definedName>
    <definedName name="전원선포설1" localSheetId="2">#REF!</definedName>
    <definedName name="전원선포설1">#REF!</definedName>
    <definedName name="전원케이블" localSheetId="2">#REF!</definedName>
    <definedName name="전원케이블">#REF!</definedName>
    <definedName name="전의조적" localSheetId="2">#REF!</definedName>
    <definedName name="전의조적">#REF!</definedName>
    <definedName name="전주" localSheetId="2">#REF!</definedName>
    <definedName name="전주">#REF!</definedName>
    <definedName name="전주건주" localSheetId="2">#REF!</definedName>
    <definedName name="전주건주">#REF!</definedName>
    <definedName name="절단공" localSheetId="1">#REF!</definedName>
    <definedName name="절단공" localSheetId="2">#REF!</definedName>
    <definedName name="절단공">#REF!</definedName>
    <definedName name="점수표" localSheetId="2">#REF!</definedName>
    <definedName name="점수표">#REF!</definedName>
    <definedName name="점퍼카드2" localSheetId="2">#REF!</definedName>
    <definedName name="점퍼카드2">#REF!</definedName>
    <definedName name="점퍼카드3" localSheetId="2">#REF!</definedName>
    <definedName name="점퍼카드3">#REF!</definedName>
    <definedName name="점퍼카드4" localSheetId="2">#REF!</definedName>
    <definedName name="점퍼카드4">#REF!</definedName>
    <definedName name="접속" localSheetId="2">#REF!</definedName>
    <definedName name="접속">#REF!</definedName>
    <definedName name="접속및단자설치" localSheetId="2">#REF!</definedName>
    <definedName name="접속및단자설치">#REF!</definedName>
    <definedName name="접속크램프" localSheetId="2">#REF!</definedName>
    <definedName name="접속크램프">#REF!</definedName>
    <definedName name="접속클램프" localSheetId="2">#REF!</definedName>
    <definedName name="접속클램프">#REF!</definedName>
    <definedName name="접속후시험" localSheetId="2">#REF!</definedName>
    <definedName name="접속후시험">#REF!</definedName>
    <definedName name="접지봉" localSheetId="2">#REF!</definedName>
    <definedName name="접지봉">#REF!</definedName>
    <definedName name="접지봉시설" localSheetId="2">#REF!</definedName>
    <definedName name="접지봉시설">#REF!</definedName>
    <definedName name="접지봉시설1" localSheetId="2">#REF!</definedName>
    <definedName name="접지봉시설1">#REF!</definedName>
    <definedName name="접지봉시설2" localSheetId="2">#REF!</definedName>
    <definedName name="접지봉시설2">#REF!</definedName>
    <definedName name="접지봉시설3" localSheetId="2">#REF!</definedName>
    <definedName name="접지봉시설3">#REF!</definedName>
    <definedName name="접지선" localSheetId="2">#REF!</definedName>
    <definedName name="접지선">#REF!</definedName>
    <definedName name="접지선매설" localSheetId="2">#REF!</definedName>
    <definedName name="접지선매설">#REF!</definedName>
    <definedName name="접지선시설" localSheetId="2">#REF!</definedName>
    <definedName name="접지선시설">#REF!</definedName>
    <definedName name="접지선시설1" localSheetId="2">#REF!</definedName>
    <definedName name="접지선시설1">#REF!</definedName>
    <definedName name="접지선시설2" localSheetId="2">#REF!</definedName>
    <definedName name="접지선시설2">#REF!</definedName>
    <definedName name="접지슬리브" localSheetId="2">#REF!</definedName>
    <definedName name="접지슬리브">#REF!</definedName>
    <definedName name="접지써콘시설" localSheetId="2">#REF!</definedName>
    <definedName name="접지써콘시설">#REF!</definedName>
    <definedName name="정___비___공" localSheetId="2">#REF!</definedName>
    <definedName name="정___비___공">#REF!</definedName>
    <definedName name="정열범위" localSheetId="2">#REF!</definedName>
    <definedName name="정열범위">#REF!</definedName>
    <definedName name="제___도___사" localSheetId="2">#REF!</definedName>
    <definedName name="제___도___사">#REF!</definedName>
    <definedName name="제___재___공" localSheetId="2">#REF!</definedName>
    <definedName name="제___재___공">#REF!</definedName>
    <definedName name="제1호표" localSheetId="2">#REF!</definedName>
    <definedName name="제1호표">#REF!</definedName>
    <definedName name="제2호표" localSheetId="2">#REF!</definedName>
    <definedName name="제2호표">#REF!</definedName>
    <definedName name="제3호표" localSheetId="2">#REF!</definedName>
    <definedName name="제3호표">#REF!</definedName>
    <definedName name="제4호표" localSheetId="2">#REF!</definedName>
    <definedName name="제4호표">#REF!</definedName>
    <definedName name="제5호표" localSheetId="2">#REF!</definedName>
    <definedName name="제5호표">#REF!</definedName>
    <definedName name="제6호표" localSheetId="2">#REF!</definedName>
    <definedName name="제6호표">#REF!</definedName>
    <definedName name="제도사" localSheetId="2">#REF!</definedName>
    <definedName name="제도사">#REF!</definedName>
    <definedName name="제안서" localSheetId="2">BLCH</definedName>
    <definedName name="제안서">BLCH</definedName>
    <definedName name="제작설치대비표" hidden="1">{#N/A,#N/A,FALSE,"CAM-G7";#N/A,#N/A,FALSE,"SPL";#N/A,#N/A,FALSE,"butt-in G7";#N/A,#N/A,FALSE,"dia-in G7";#N/A,#N/A,FALSE,"추가-STA G7"}</definedName>
    <definedName name="제잡비" localSheetId="2">#REF!</definedName>
    <definedName name="제잡비">#REF!</definedName>
    <definedName name="제철__축로공" localSheetId="2">#REF!</definedName>
    <definedName name="제철__축로공">#REF!</definedName>
    <definedName name="제철축로공" localSheetId="2">#REF!</definedName>
    <definedName name="제철축로공">#REF!</definedName>
    <definedName name="조___력___공" localSheetId="2">#REF!</definedName>
    <definedName name="조___력___공">#REF!</definedName>
    <definedName name="조___적___공" localSheetId="2">#REF!</definedName>
    <definedName name="조___적___공">#REF!</definedName>
    <definedName name="조_림__인_부" localSheetId="2">#REF!</definedName>
    <definedName name="조_림__인_부">#REF!</definedName>
    <definedName name="조가선" localSheetId="2">#REF!</definedName>
    <definedName name="조가선">#REF!</definedName>
    <definedName name="조가선시설" localSheetId="2">#REF!</definedName>
    <definedName name="조가선시설">#REF!</definedName>
    <definedName name="조가선신설" localSheetId="2">#REF!</definedName>
    <definedName name="조가선신설">#REF!</definedName>
    <definedName name="조경공" localSheetId="2">#REF!</definedName>
    <definedName name="조경공">#REF!</definedName>
    <definedName name="조경산정표" localSheetId="2">#REF!,#REF!</definedName>
    <definedName name="조경산정표">#REF!,#REF!</definedName>
    <definedName name="조달수수료" localSheetId="2">#REF!</definedName>
    <definedName name="조달수수료">#REF!</definedName>
    <definedName name="조달예가" localSheetId="2">#REF!</definedName>
    <definedName name="조달예가">#REF!</definedName>
    <definedName name="조력공" localSheetId="1">#REF!</definedName>
    <definedName name="조력공" localSheetId="2">#REF!</definedName>
    <definedName name="조력공">#REF!</definedName>
    <definedName name="조림인부" localSheetId="2">#REF!</definedName>
    <definedName name="조림인부">#REF!</definedName>
    <definedName name="조명설계" localSheetId="2">#REF!</definedName>
    <definedName name="조명설계">#REF!</definedName>
    <definedName name="조묭" localSheetId="2">#REF!</definedName>
    <definedName name="조묭">#REF!</definedName>
    <definedName name="조영욱" localSheetId="2">#REF!</definedName>
    <definedName name="조영욱">#REF!</definedName>
    <definedName name="조장" localSheetId="2">#REF!</definedName>
    <definedName name="조장">#REF!</definedName>
    <definedName name="조적" localSheetId="2">#REF!</definedName>
    <definedName name="조적">#REF!</definedName>
    <definedName name="조적공" localSheetId="2">#REF!</definedName>
    <definedName name="조적공">#REF!</definedName>
    <definedName name="조적대비표" localSheetId="2">#REF!</definedName>
    <definedName name="조적대비표">#REF!</definedName>
    <definedName name="조정" localSheetId="2">#REF!</definedName>
    <definedName name="조정">#REF!</definedName>
    <definedName name="조정1" localSheetId="2" hidden="1">#REF!</definedName>
    <definedName name="조정1" hidden="1">#REF!</definedName>
    <definedName name="조정기준일" localSheetId="2">#REF!</definedName>
    <definedName name="조정기준일">#REF!</definedName>
    <definedName name="조직현황1" localSheetId="2">BLCH</definedName>
    <definedName name="조직현황1">BLCH</definedName>
    <definedName name="조홍" localSheetId="2">BLCH</definedName>
    <definedName name="조홍">BLCH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판정" localSheetId="2">#REF!</definedName>
    <definedName name="종합판정">#REF!</definedName>
    <definedName name="좆도" localSheetId="2">#REF!</definedName>
    <definedName name="좆도">#REF!</definedName>
    <definedName name="주목" localSheetId="2">#REF!</definedName>
    <definedName name="주목">#REF!</definedName>
    <definedName name="주번" localSheetId="2">#REF!</definedName>
    <definedName name="주번">#REF!</definedName>
    <definedName name="주소" localSheetId="2">#REF!</definedName>
    <definedName name="주소">#REF!</definedName>
    <definedName name="준공일" localSheetId="2">#REF!</definedName>
    <definedName name="준공일">#REF!</definedName>
    <definedName name="준설선__선장" localSheetId="2">#REF!</definedName>
    <definedName name="준설선__선장">#REF!</definedName>
    <definedName name="준설선기관사" localSheetId="1">#REF!</definedName>
    <definedName name="준설선기관사" localSheetId="2">#REF!</definedName>
    <definedName name="준설선기관사">#REF!</definedName>
    <definedName name="준설선기관장" localSheetId="1">#REF!</definedName>
    <definedName name="준설선기관장" localSheetId="2">#REF!</definedName>
    <definedName name="준설선기관장">#REF!</definedName>
    <definedName name="준설선선장" localSheetId="2">#REF!</definedName>
    <definedName name="준설선선장">#REF!</definedName>
    <definedName name="준설선운전사" localSheetId="1">#REF!</definedName>
    <definedName name="준설선운전사" localSheetId="2">#REF!</definedName>
    <definedName name="준설선운전사">#REF!</definedName>
    <definedName name="준설선전기사" localSheetId="1">#REF!</definedName>
    <definedName name="준설선전기사" localSheetId="2">#REF!</definedName>
    <definedName name="준설선전기사">#REF!</definedName>
    <definedName name="줄___눈___공" localSheetId="2">#REF!</definedName>
    <definedName name="줄___눈___공">#REF!</definedName>
    <definedName name="줄눈공" localSheetId="2">#REF!</definedName>
    <definedName name="줄눈공">#REF!</definedName>
    <definedName name="줄사철" localSheetId="2">#REF!</definedName>
    <definedName name="줄사철">#REF!</definedName>
    <definedName name="중_기__조_장" localSheetId="2">#REF!</definedName>
    <definedName name="중_기__조_장">#REF!</definedName>
    <definedName name="중곡" localSheetId="2">#REF!</definedName>
    <definedName name="중곡">#REF!</definedName>
    <definedName name="중급원자력기술자" localSheetId="1">#REF!</definedName>
    <definedName name="중급원자력기술자" localSheetId="2">#REF!</definedName>
    <definedName name="중급원자력기술자">#REF!</definedName>
    <definedName name="중기" localSheetId="2">#REF!</definedName>
    <definedName name="중기">#REF!</definedName>
    <definedName name="중기가격" localSheetId="2">#REF!</definedName>
    <definedName name="중기가격">#REF!</definedName>
    <definedName name="중기운전기사" localSheetId="1">#REF!</definedName>
    <definedName name="중기운전기사" localSheetId="2">#REF!</definedName>
    <definedName name="중기운전기사">#REF!</definedName>
    <definedName name="중기운전조수" localSheetId="1">#REF!</definedName>
    <definedName name="중기운전조수" localSheetId="2">#REF!</definedName>
    <definedName name="중기운전조수">#REF!</definedName>
    <definedName name="중기조장" localSheetId="1">#REF!</definedName>
    <definedName name="중기조장" localSheetId="2">#REF!</definedName>
    <definedName name="중기조장">#REF!</definedName>
    <definedName name="중량" localSheetId="1">#REF!</definedName>
    <definedName name="중량" localSheetId="2">#REF!</definedName>
    <definedName name="중량">#REF!</definedName>
    <definedName name="중량표" localSheetId="1">#REF!</definedName>
    <definedName name="중량표" localSheetId="2">#REF!</definedName>
    <definedName name="중량표">#REF!</definedName>
    <definedName name="중접슬리브" localSheetId="2">#REF!</definedName>
    <definedName name="중접슬리브">#REF!</definedName>
    <definedName name="증설" localSheetId="2">BlankMacro1</definedName>
    <definedName name="증설">BlankMacro1</definedName>
    <definedName name="지__급__자__재__비" localSheetId="2">#REF!</definedName>
    <definedName name="지__급__자__재__비">#REF!</definedName>
    <definedName name="지동" localSheetId="2">#REF!</definedName>
    <definedName name="지동">#REF!</definedName>
    <definedName name="지붕__잇기공" localSheetId="2">#REF!</definedName>
    <definedName name="지붕__잇기공">#REF!</definedName>
    <definedName name="지붕잇기공" localSheetId="2">#REF!</definedName>
    <definedName name="지붕잇기공">#REF!</definedName>
    <definedName name="지선" localSheetId="2">#REF!</definedName>
    <definedName name="지선">#REF!</definedName>
    <definedName name="지선밴드" localSheetId="2">#REF!</definedName>
    <definedName name="지선밴드">#REF!</definedName>
    <definedName name="지선시설" localSheetId="2">#REF!</definedName>
    <definedName name="지선시설">#REF!</definedName>
    <definedName name="지수1" localSheetId="2">#REF!</definedName>
    <definedName name="지수1">#REF!</definedName>
    <definedName name="지수제" localSheetId="2">#REF!</definedName>
    <definedName name="지수제">#REF!</definedName>
    <definedName name="지수제처리" localSheetId="2">#REF!</definedName>
    <definedName name="지수제처리">#REF!</definedName>
    <definedName name="지수표" localSheetId="2">#REF!</definedName>
    <definedName name="지수표">#REF!</definedName>
    <definedName name="지역">#N/A</definedName>
    <definedName name="지입재료비계" localSheetId="2">#REF!</definedName>
    <definedName name="지입재료비계">#REF!</definedName>
    <definedName name="지적기능사" localSheetId="2">#REF!</definedName>
    <definedName name="지적기능사">#REF!</definedName>
    <definedName name="지적기능사_지적기능사2급" localSheetId="2">#REF!</definedName>
    <definedName name="지적기능사_지적기능사2급">#REF!</definedName>
    <definedName name="지적기능사1" localSheetId="2">#REF!</definedName>
    <definedName name="지적기능사1">#REF!</definedName>
    <definedName name="지적기능사1급" localSheetId="2">#REF!</definedName>
    <definedName name="지적기능사1급">#REF!</definedName>
    <definedName name="지적기능사2" localSheetId="2">#REF!</definedName>
    <definedName name="지적기능사2">#REF!</definedName>
    <definedName name="지적기능사2급" localSheetId="2">#REF!</definedName>
    <definedName name="지적기능사2급">#REF!</definedName>
    <definedName name="지적기능산업기사" localSheetId="2">#REF!</definedName>
    <definedName name="지적기능산업기사">#REF!</definedName>
    <definedName name="지적기능산업기사_지적기능사1급" localSheetId="2">#REF!</definedName>
    <definedName name="지적기능산업기사_지적기능사1급">#REF!</definedName>
    <definedName name="지적기사" localSheetId="2">#REF!</definedName>
    <definedName name="지적기사">#REF!</definedName>
    <definedName name="지적기사_1급" localSheetId="2">#REF!</definedName>
    <definedName name="지적기사_1급">#REF!</definedName>
    <definedName name="지적기사_2급" localSheetId="2">#REF!</definedName>
    <definedName name="지적기사_2급">#REF!</definedName>
    <definedName name="지적기사_지적기사1급" localSheetId="2">#REF!</definedName>
    <definedName name="지적기사_지적기사1급">#REF!</definedName>
    <definedName name="지적기사1" localSheetId="2">#REF!</definedName>
    <definedName name="지적기사1">#REF!</definedName>
    <definedName name="지적기사1급" localSheetId="2">#REF!</definedName>
    <definedName name="지적기사1급">#REF!</definedName>
    <definedName name="지적기사2" localSheetId="2">#REF!</definedName>
    <definedName name="지적기사2">#REF!</definedName>
    <definedName name="지적기사2급" localSheetId="2">#REF!</definedName>
    <definedName name="지적기사2급">#REF!</definedName>
    <definedName name="지적산업기사" localSheetId="2">#REF!</definedName>
    <definedName name="지적산업기사">#REF!</definedName>
    <definedName name="지적산업기사_지적기사2급" localSheetId="2">#REF!</definedName>
    <definedName name="지적산업기사_지적기사2급">#REF!</definedName>
    <definedName name="지중거리" localSheetId="2">#REF!</definedName>
    <definedName name="지중거리">#REF!</definedName>
    <definedName name="지중명찰취부" localSheetId="2">#REF!</definedName>
    <definedName name="지중명찰취부">#REF!</definedName>
    <definedName name="지중철거" localSheetId="2">#REF!</definedName>
    <definedName name="지중철거">#REF!</definedName>
    <definedName name="지중포설" localSheetId="2">#REF!</definedName>
    <definedName name="지중포설">#REF!</definedName>
    <definedName name="직노" localSheetId="2">#REF!</definedName>
    <definedName name="직노">#REF!</definedName>
    <definedName name="직노비" localSheetId="2">#REF!</definedName>
    <definedName name="직노비">#REF!</definedName>
    <definedName name="직노율" localSheetId="2">#REF!</definedName>
    <definedName name="직노율">#REF!</definedName>
    <definedName name="직영" localSheetId="2">#REF!</definedName>
    <definedName name="직영">#REF!</definedName>
    <definedName name="직재비" localSheetId="2">#REF!</definedName>
    <definedName name="직재비">#REF!</definedName>
    <definedName name="직재율" localSheetId="2">#REF!</definedName>
    <definedName name="직재율">#REF!</definedName>
    <definedName name="직접노무" localSheetId="2">#REF!</definedName>
    <definedName name="직접노무">#REF!</definedName>
    <definedName name="직접노무1" localSheetId="2">#REF!</definedName>
    <definedName name="직접노무1">#REF!</definedName>
    <definedName name="직접노무비" localSheetId="2">#REF!</definedName>
    <definedName name="직접노무비">#REF!</definedName>
    <definedName name="직접노무비요율" localSheetId="2">#REF!</definedName>
    <definedName name="직접노무비요율">#REF!</definedName>
    <definedName name="직접재료비" localSheetId="2">#REF!</definedName>
    <definedName name="직접재료비">#REF!</definedName>
    <definedName name="직접재료비합" localSheetId="2">#REF!</definedName>
    <definedName name="직접재료비합">#REF!</definedName>
    <definedName name="직종" localSheetId="2">#REF!</definedName>
    <definedName name="직종">#REF!</definedName>
    <definedName name="직종명" localSheetId="1">#REF!</definedName>
    <definedName name="직종명" localSheetId="2">#REF!</definedName>
    <definedName name="직종명">#REF!</definedName>
    <definedName name="진남도급" localSheetId="2">BlankMacro1</definedName>
    <definedName name="진남도급">BlankMacro1</definedName>
    <definedName name="진동롤러" localSheetId="2">#REF!</definedName>
    <definedName name="진동롤러">#REF!</definedName>
    <definedName name="집">#N/A</definedName>
    <definedName name="집계1" localSheetId="2">#REF!</definedName>
    <definedName name="집계1">#REF!</definedName>
    <definedName name="집계2" localSheetId="2">#REF!</definedName>
    <definedName name="집계2">#REF!</definedName>
    <definedName name="집계표2" localSheetId="2">BlankMacro1</definedName>
    <definedName name="집계표2">BlankMacro1</definedName>
    <definedName name="집기공사" localSheetId="2">BlankMacro1</definedName>
    <definedName name="집기공사">BlankMacro1</definedName>
    <definedName name="ㅊ1000" localSheetId="2">#REF!</definedName>
    <definedName name="ㅊ1000">#REF!</definedName>
    <definedName name="ㅊ214" localSheetId="2">#REF!</definedName>
    <definedName name="ㅊ214">#REF!</definedName>
    <definedName name="ㅊ5" localSheetId="2">#REF!</definedName>
    <definedName name="ㅊ5">#REF!</definedName>
    <definedName name="차이" localSheetId="2">#REF!</definedName>
    <definedName name="차이">#REF!</definedName>
    <definedName name="차ㅓㅇ" localSheetId="2">#REF!</definedName>
    <definedName name="차ㅓㅇ">#REF!</definedName>
    <definedName name="착___암___공" localSheetId="2">#REF!</definedName>
    <definedName name="착___암___공">#REF!</definedName>
    <definedName name="착공월" localSheetId="2">#REF!</definedName>
    <definedName name="착공월">#REF!</definedName>
    <definedName name="착공일" localSheetId="2">#REF!</definedName>
    <definedName name="착공일">#REF!</definedName>
    <definedName name="착암공" localSheetId="1">#REF!</definedName>
    <definedName name="착암공" localSheetId="2">#REF!</definedName>
    <definedName name="착암공">#REF!</definedName>
    <definedName name="착정심도" localSheetId="2">#REF!</definedName>
    <definedName name="착정심도">#REF!</definedName>
    <definedName name="창호목공" localSheetId="1">#REF!</definedName>
    <definedName name="창호목공" localSheetId="2">#REF!</definedName>
    <definedName name="창호목공">#REF!</definedName>
    <definedName name="창화" localSheetId="2">#REF!</definedName>
    <definedName name="창화">#REF!</definedName>
    <definedName name="챠01" localSheetId="2">#REF!</definedName>
    <definedName name="챠01">#REF!</definedName>
    <definedName name="챠02" localSheetId="2">#REF!</definedName>
    <definedName name="챠02">#REF!</definedName>
    <definedName name="챠트" localSheetId="2">#REF!</definedName>
    <definedName name="챠트">#REF!</definedName>
    <definedName name="챠트2" localSheetId="2">#REF!</definedName>
    <definedName name="챠트2">#REF!</definedName>
    <definedName name="챠트3" localSheetId="2">#REF!</definedName>
    <definedName name="챠트3">#REF!</definedName>
    <definedName name="챠트4" localSheetId="2">#REF!</definedName>
    <definedName name="챠트4">#REF!</definedName>
    <definedName name="천성건설" localSheetId="2">#REF!</definedName>
    <definedName name="천성건설">#REF!</definedName>
    <definedName name="천호" localSheetId="2">#REF!</definedName>
    <definedName name="천호">#REF!</definedName>
    <definedName name="천호대비" localSheetId="2">#REF!</definedName>
    <definedName name="천호대비">#REF!</definedName>
    <definedName name="철2" hidden="1">{#N/A,#N/A,FALSE,"혼합골재"}</definedName>
    <definedName name="철골공" localSheetId="1">#REF!</definedName>
    <definedName name="철골공" localSheetId="2">#REF!</definedName>
    <definedName name="철골공">#REF!</definedName>
    <definedName name="철공" localSheetId="2">#REF!</definedName>
    <definedName name="철공">#REF!</definedName>
    <definedName name="철근공" localSheetId="1">#REF!</definedName>
    <definedName name="철근공" localSheetId="2">#REF!</definedName>
    <definedName name="철근공">#REF!</definedName>
    <definedName name="철도__궤도공" localSheetId="2">#REF!</definedName>
    <definedName name="철도__궤도공">#REF!</definedName>
    <definedName name="철도__신호공" localSheetId="2">#REF!</definedName>
    <definedName name="철도__신호공">#REF!</definedName>
    <definedName name="철도신호공" localSheetId="2">#REF!</definedName>
    <definedName name="철도신호공">#REF!</definedName>
    <definedName name="철목1호" localSheetId="2">#REF!</definedName>
    <definedName name="철목1호">#REF!</definedName>
    <definedName name="철목2호" localSheetId="2">#REF!</definedName>
    <definedName name="철목2호">#REF!</definedName>
    <definedName name="철목3호" localSheetId="2">#REF!</definedName>
    <definedName name="철목3호">#REF!</definedName>
    <definedName name="철목4호" localSheetId="2">#REF!</definedName>
    <definedName name="철목4호">#REF!</definedName>
    <definedName name="철콘" localSheetId="2">#REF!</definedName>
    <definedName name="철콘">#REF!</definedName>
    <definedName name="철판공" localSheetId="1">#REF!</definedName>
    <definedName name="철판공" localSheetId="2">#REF!</definedName>
    <definedName name="철판공">#REF!</definedName>
    <definedName name="청단풍" localSheetId="2">#REF!</definedName>
    <definedName name="청단풍">#REF!</definedName>
    <definedName name="청림1호" localSheetId="2">#REF!</definedName>
    <definedName name="청림1호">#REF!</definedName>
    <definedName name="청림2호" localSheetId="2">#REF!</definedName>
    <definedName name="청림2호">#REF!</definedName>
    <definedName name="청림3호" localSheetId="2">#REF!</definedName>
    <definedName name="청림3호">#REF!</definedName>
    <definedName name="청암" localSheetId="2">#REF!</definedName>
    <definedName name="청암">#REF!</definedName>
    <definedName name="초과" localSheetId="2">#REF!</definedName>
    <definedName name="초과">#REF!</definedName>
    <definedName name="총" localSheetId="2">#REF!</definedName>
    <definedName name="총">#REF!</definedName>
    <definedName name="총______원_______가" localSheetId="2">#REF!</definedName>
    <definedName name="총______원_______가">#REF!</definedName>
    <definedName name="총___공____사___비" localSheetId="2">#REF!</definedName>
    <definedName name="총___공____사___비">#REF!</definedName>
    <definedName name="총계" localSheetId="2">#REF!</definedName>
    <definedName name="총계">#REF!</definedName>
    <definedName name="총계1" localSheetId="2">#REF!</definedName>
    <definedName name="총계1">#REF!</definedName>
    <definedName name="총공" hidden="1">{#N/A,#N/A,FALSE,"운반시간"}</definedName>
    <definedName name="총공사비" localSheetId="2">#REF!</definedName>
    <definedName name="총공사비">#REF!</definedName>
    <definedName name="총괄" localSheetId="2">#REF!</definedName>
    <definedName name="총괄">#REF!</definedName>
    <definedName name="총괄공사예산서" localSheetId="2">#REF!</definedName>
    <definedName name="총괄공사예산서">#REF!</definedName>
    <definedName name="총괄표" localSheetId="2">#REF!</definedName>
    <definedName name="총괄표">#REF!</definedName>
    <definedName name="총괄표2" hidden="1">{#N/A,#N/A,FALSE,"CAM-G7";#N/A,#N/A,FALSE,"SPL";#N/A,#N/A,FALSE,"butt-in G7";#N/A,#N/A,FALSE,"dia-in G7";#N/A,#N/A,FALSE,"추가-STA G7"}</definedName>
    <definedName name="총괄표3" hidden="1">{#N/A,#N/A,FALSE,"현장 NCR 분석";#N/A,#N/A,FALSE,"현장품질감사";#N/A,#N/A,FALSE,"현장품질감사"}</definedName>
    <definedName name="총원가" localSheetId="2">#REF!</definedName>
    <definedName name="총원가">#REF!</definedName>
    <definedName name="총원가2" localSheetId="2">#REF!</definedName>
    <definedName name="총원가2">#REF!</definedName>
    <definedName name="총토탈" localSheetId="2">#REF!</definedName>
    <definedName name="총토탈">#REF!</definedName>
    <definedName name="총토탈1" localSheetId="2">#REF!</definedName>
    <definedName name="총토탈1">#REF!</definedName>
    <definedName name="총토탈2" localSheetId="2">#REF!</definedName>
    <definedName name="총토탈2">#REF!</definedName>
    <definedName name="최종시험" localSheetId="2">#REF!</definedName>
    <definedName name="최종시험">#REF!</definedName>
    <definedName name="최종실행확정" localSheetId="2">BlankMacro1</definedName>
    <definedName name="최종실행확정">BlankMacro1</definedName>
    <definedName name="추가견적갑지" localSheetId="2">BlankMacro1</definedName>
    <definedName name="추가견적갑지">BlankMacro1</definedName>
    <definedName name="추진현황" localSheetId="2">#REF!</definedName>
    <definedName name="추진현황">#REF!</definedName>
    <definedName name="축전지" localSheetId="2">#REF!</definedName>
    <definedName name="축전지">#REF!</definedName>
    <definedName name="출력인원" localSheetId="2">BlankMacro1</definedName>
    <definedName name="출력인원">BlankMacro1</definedName>
    <definedName name="충남" localSheetId="2">#REF!</definedName>
    <definedName name="충남">#REF!</definedName>
    <definedName name="충남타임월드" localSheetId="2">#REF!</definedName>
    <definedName name="충남타임월드">#REF!</definedName>
    <definedName name="충맘" localSheetId="2">#REF!</definedName>
    <definedName name="충맘">#REF!</definedName>
    <definedName name="충전기" localSheetId="2">#REF!</definedName>
    <definedName name="충전기">#REF!</definedName>
    <definedName name="취부밴드" localSheetId="2">#REF!</definedName>
    <definedName name="취부밴드">#REF!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측________부" localSheetId="2">#REF!</definedName>
    <definedName name="측________부">#REF!</definedName>
    <definedName name="측량" localSheetId="2">#REF!</definedName>
    <definedName name="측량">#REF!</definedName>
    <definedName name="측부" localSheetId="2">#REF!</definedName>
    <definedName name="측부">#REF!</definedName>
    <definedName name="치장__벽돌공" localSheetId="2">#REF!</definedName>
    <definedName name="치장__벽돌공">#REF!</definedName>
    <definedName name="치장벽돌공" localSheetId="2">#REF!</definedName>
    <definedName name="치장벽돌공">#REF!</definedName>
    <definedName name="칠" localSheetId="2">#REF!</definedName>
    <definedName name="칠">#REF!</definedName>
    <definedName name="카본" localSheetId="2">#REF!</definedName>
    <definedName name="카본">#REF!</definedName>
    <definedName name="케이블" localSheetId="2">#REF!</definedName>
    <definedName name="케이블">#REF!</definedName>
    <definedName name="케이블명찰" localSheetId="2">#REF!</definedName>
    <definedName name="케이블명찰">#REF!</definedName>
    <definedName name="케이블명찰지중" localSheetId="2">#REF!</definedName>
    <definedName name="케이블명찰지중">#REF!</definedName>
    <definedName name="케이블바인드신설1" localSheetId="2">#REF!</definedName>
    <definedName name="케이블바인드신설1">#REF!</definedName>
    <definedName name="케이블바인드신설2" localSheetId="2">#REF!</definedName>
    <definedName name="케이블바인드신설2">#REF!</definedName>
    <definedName name="케이블바인드신설3" localSheetId="2">#REF!</definedName>
    <definedName name="케이블바인드신설3">#REF!</definedName>
    <definedName name="케이블바인드신설4" localSheetId="2">#REF!</definedName>
    <definedName name="케이블바인드신설4">#REF!</definedName>
    <definedName name="케이블바인드신설5" localSheetId="2">#REF!</definedName>
    <definedName name="케이블바인드신설5">#REF!</definedName>
    <definedName name="케이블바인드해체" localSheetId="2">#REF!</definedName>
    <definedName name="케이블바인드해체">#REF!</definedName>
    <definedName name="케이블여장" localSheetId="2">#REF!</definedName>
    <definedName name="케이블여장">#REF!</definedName>
    <definedName name="케이블크리트" localSheetId="2">#REF!</definedName>
    <definedName name="케이블크리트">#REF!</definedName>
    <definedName name="케이블크리트설치" localSheetId="2">#REF!</definedName>
    <definedName name="케이블크리트설치">#REF!</definedName>
    <definedName name="코___킹___공" localSheetId="2">#REF!</definedName>
    <definedName name="코___킹___공">#REF!</definedName>
    <definedName name="코드" localSheetId="2">#REF!</definedName>
    <definedName name="코드">#REF!</definedName>
    <definedName name="코킹공" localSheetId="2">#REF!</definedName>
    <definedName name="코킹공">#REF!</definedName>
    <definedName name="콘굴착" localSheetId="2">#REF!</definedName>
    <definedName name="콘굴착">#REF!</definedName>
    <definedName name="콘넥타" localSheetId="2">#REF!</definedName>
    <definedName name="콘넥타">#REF!</definedName>
    <definedName name="콘크" localSheetId="2">#REF!</definedName>
    <definedName name="콘크">#REF!</definedName>
    <definedName name="콘크리이리트건주" localSheetId="2">#REF!</definedName>
    <definedName name="콘크리이리트건주">#REF!</definedName>
    <definedName name="콘크리트" localSheetId="2">#REF!</definedName>
    <definedName name="콘크리트">#REF!</definedName>
    <definedName name="콘크리트__공" localSheetId="2">#REF!</definedName>
    <definedName name="콘크리트__공">#REF!</definedName>
    <definedName name="콘크리트공" localSheetId="1">#REF!</definedName>
    <definedName name="콘크리트공" localSheetId="2">#REF!</definedName>
    <definedName name="콘크리트공">#REF!</definedName>
    <definedName name="콘크리트공_광의" localSheetId="2">#REF!</definedName>
    <definedName name="콘크리트공_광의">#REF!</definedName>
    <definedName name="크램프취부" localSheetId="2">#REF!</definedName>
    <definedName name="크램프취부">#REF!</definedName>
    <definedName name="크리트" localSheetId="2">#REF!</definedName>
    <definedName name="크리트">#REF!</definedName>
    <definedName name="크리트설치" localSheetId="2">#REF!</definedName>
    <definedName name="크리트설치">#REF!</definedName>
    <definedName name="클램프취부" localSheetId="2">#REF!</definedName>
    <definedName name="클램프취부">#REF!</definedName>
    <definedName name="ㅌ" localSheetId="1">#REF!</definedName>
    <definedName name="ㅌ" localSheetId="2">#REF!</definedName>
    <definedName name="ㅌ">BlankMacro1</definedName>
    <definedName name="ㅌㅌㅌㅌㅌㅌㅌ" localSheetId="2">#REF!</definedName>
    <definedName name="ㅌㅌㅌㅌㅌㅌㅌ">#REF!</definedName>
    <definedName name="ㅌㅍㅊㅇㅌㅎ" hidden="1">{#N/A,#N/A,FALSE,"도급대비시행율";#N/A,#N/A,FALSE,"결의서";#N/A,#N/A,FALSE,"내역서";#N/A,#N/A,FALSE,"도급예상"}</definedName>
    <definedName name="타___일___공" localSheetId="2">#REF!</definedName>
    <definedName name="타___일___공">#REF!</definedName>
    <definedName name="타이" localSheetId="2">#REF!</definedName>
    <definedName name="타이">#REF!</definedName>
    <definedName name="타이어롤러" localSheetId="2">#REF!</definedName>
    <definedName name="타이어롤러">#REF!</definedName>
    <definedName name="타일공" localSheetId="2">#REF!</definedName>
    <definedName name="타일공">#REF!</definedName>
    <definedName name="태그" localSheetId="2">#REF!</definedName>
    <definedName name="태그">#REF!</definedName>
    <definedName name="템덤롤러" localSheetId="2">#REF!</definedName>
    <definedName name="템덤롤러">#REF!</definedName>
    <definedName name="템플리트모듈1" localSheetId="2">BlankMacro1</definedName>
    <definedName name="템플리트모듈1">BlankMacro1</definedName>
    <definedName name="템플리트모듈14" localSheetId="2">BlankMacro1</definedName>
    <definedName name="템플리트모듈14">BlankMacro1</definedName>
    <definedName name="템플리트모듈2" localSheetId="2">BlankMacro1</definedName>
    <definedName name="템플리트모듈2">BlankMacro1</definedName>
    <definedName name="템플리트모듈3" localSheetId="2">BlankMacro1</definedName>
    <definedName name="템플리트모듈3">BlankMacro1</definedName>
    <definedName name="템플리트모듈4" localSheetId="2">BlankMacro1</definedName>
    <definedName name="템플리트모듈4">BlankMacro1</definedName>
    <definedName name="템플리트모듈5" localSheetId="2">BlankMacro1</definedName>
    <definedName name="템플리트모듈5">BlankMacro1</definedName>
    <definedName name="템플리트모듈6" localSheetId="1">BlankMacro1</definedName>
    <definedName name="템플리트모듈6" localSheetId="2">BlankMacro1</definedName>
    <definedName name="템플리트모듈6">Dlog_Show</definedName>
    <definedName name="템플리트모듈8" localSheetId="2">BlankMacro1</definedName>
    <definedName name="템플리트모듈8">BlankMacro1</definedName>
    <definedName name="토" localSheetId="2" hidden="1">#REF!</definedName>
    <definedName name="토" hidden="1">#REF!</definedName>
    <definedName name="토공2" hidden="1">{#N/A,#N/A,FALSE,"2~8번"}</definedName>
    <definedName name="토공전체" hidden="1">{#N/A,#N/A,FALSE,"운반시간"}</definedName>
    <definedName name="토목" localSheetId="2">#REF!</definedName>
    <definedName name="토목">#REF!</definedName>
    <definedName name="토목공사" localSheetId="2">#REF!</definedName>
    <definedName name="토목공사">#REF!</definedName>
    <definedName name="토목공사1" localSheetId="2">#REF!</definedName>
    <definedName name="토목공사1">#REF!</definedName>
    <definedName name="토목내역" localSheetId="2">#REF!</definedName>
    <definedName name="토목내역">#REF!</definedName>
    <definedName name="토목산정표" localSheetId="2">#REF!,#REF!</definedName>
    <definedName name="토목산정표">#REF!,#REF!</definedName>
    <definedName name="토목설계" hidden="1">{#N/A,#N/A,FALSE,"골재소요량";#N/A,#N/A,FALSE,"골재소요량"}</definedName>
    <definedName name="토목원가계산서" localSheetId="2">#REF!</definedName>
    <definedName name="토목원가계산서">#REF!</definedName>
    <definedName name="토목집계" localSheetId="2">#REF!</definedName>
    <definedName name="토목집계">#REF!</definedName>
    <definedName name="통2" localSheetId="2">#REF!</definedName>
    <definedName name="통2">#REF!</definedName>
    <definedName name="통기1" localSheetId="2">#REF!</definedName>
    <definedName name="통기1">#REF!</definedName>
    <definedName name="통기2" localSheetId="2">#REF!</definedName>
    <definedName name="통기2">#REF!</definedName>
    <definedName name="통신__기능사" localSheetId="2">#REF!</definedName>
    <definedName name="통신__기능사">#REF!</definedName>
    <definedName name="통신__내선공" localSheetId="2">#REF!</definedName>
    <definedName name="통신__내선공">#REF!</definedName>
    <definedName name="통신__설비공" localSheetId="2">#REF!</definedName>
    <definedName name="통신__설비공">#REF!</definedName>
    <definedName name="통신__외선공" localSheetId="2">#REF!</definedName>
    <definedName name="통신__외선공">#REF!</definedName>
    <definedName name="통신관련기능사" localSheetId="2">#REF!</definedName>
    <definedName name="통신관련기능사">#REF!</definedName>
    <definedName name="통신관련기능사_통신기능사" localSheetId="2">#REF!</definedName>
    <definedName name="통신관련기능사_통신기능사">#REF!</definedName>
    <definedName name="통신관련기사" localSheetId="2">#REF!</definedName>
    <definedName name="통신관련기사">#REF!</definedName>
    <definedName name="통신관련기사_통신기사1급" localSheetId="2">#REF!</definedName>
    <definedName name="통신관련기사_통신기사1급">#REF!</definedName>
    <definedName name="통신관련산업기사" localSheetId="2">#REF!</definedName>
    <definedName name="통신관련산업기사">#REF!</definedName>
    <definedName name="통신관련산업기사_통신기사2급" localSheetId="2">#REF!</definedName>
    <definedName name="통신관련산업기사_통신기사2급">#REF!</definedName>
    <definedName name="통신기능사" localSheetId="2">#REF!</definedName>
    <definedName name="통신기능사">#REF!</definedName>
    <definedName name="통신기사_1급" localSheetId="2">#REF!</definedName>
    <definedName name="통신기사_1급">#REF!</definedName>
    <definedName name="통신기사_2급" localSheetId="2">#REF!</definedName>
    <definedName name="통신기사_2급">#REF!</definedName>
    <definedName name="통신기사1급" localSheetId="1">#REF!</definedName>
    <definedName name="통신기사1급" localSheetId="2">#REF!</definedName>
    <definedName name="통신기사1급">#REF!</definedName>
    <definedName name="통신기사2급" localSheetId="1">#REF!</definedName>
    <definedName name="통신기사2급" localSheetId="2">#REF!</definedName>
    <definedName name="통신기사2급">#REF!</definedName>
    <definedName name="통신내" localSheetId="2">#REF!</definedName>
    <definedName name="통신내">#REF!</definedName>
    <definedName name="통신내선" localSheetId="2">#REF!</definedName>
    <definedName name="통신내선">#REF!</definedName>
    <definedName name="통신내선공" localSheetId="1">#REF!</definedName>
    <definedName name="통신내선공" localSheetId="2">#REF!</definedName>
    <definedName name="통신내선공">#REF!</definedName>
    <definedName name="통신설" localSheetId="2">#REF!</definedName>
    <definedName name="통신설">#REF!</definedName>
    <definedName name="통신설비공" localSheetId="1">#REF!</definedName>
    <definedName name="통신설비공" localSheetId="2">#REF!</definedName>
    <definedName name="통신설비공">#REF!</definedName>
    <definedName name="통신외" localSheetId="2">#REF!</definedName>
    <definedName name="통신외">#REF!</definedName>
    <definedName name="통신외선공" localSheetId="1">#REF!</definedName>
    <definedName name="통신외선공" localSheetId="2">#REF!</definedName>
    <definedName name="통신외선공">#REF!</definedName>
    <definedName name="통신용벽철" localSheetId="2">#REF!</definedName>
    <definedName name="통신용벽철">#REF!</definedName>
    <definedName name="통신용완철" localSheetId="2">#REF!</definedName>
    <definedName name="통신용완철">#REF!</definedName>
    <definedName name="통신용인입벽청" localSheetId="2">#REF!</definedName>
    <definedName name="통신용인입벽청">#REF!</definedName>
    <definedName name="통신케" localSheetId="2">#REF!</definedName>
    <definedName name="통신케">#REF!</definedName>
    <definedName name="통신케이블공" localSheetId="1">#REF!</definedName>
    <definedName name="통신케이블공" localSheetId="2">#REF!</definedName>
    <definedName name="통신케이블공">#REF!</definedName>
    <definedName name="투간접노무비" localSheetId="2">#REF!</definedName>
    <definedName name="투간접노무비">#REF!</definedName>
    <definedName name="투경비" localSheetId="2">#REF!</definedName>
    <definedName name="투경비">#REF!</definedName>
    <definedName name="투고용보험료" localSheetId="2">#REF!</definedName>
    <definedName name="투고용보험료">#REF!</definedName>
    <definedName name="투공급가액" localSheetId="2">#REF!</definedName>
    <definedName name="투공급가액">#REF!</definedName>
    <definedName name="투공사원가" localSheetId="2">#REF!</definedName>
    <definedName name="투공사원가">#REF!</definedName>
    <definedName name="투기타경비" localSheetId="2">#REF!</definedName>
    <definedName name="투기타경비">#REF!</definedName>
    <definedName name="투노무비" localSheetId="2">#REF!</definedName>
    <definedName name="투노무비">#REF!</definedName>
    <definedName name="투도급액" localSheetId="2">#REF!</definedName>
    <definedName name="투도급액">#REF!</definedName>
    <definedName name="투부가가치세" localSheetId="2">#REF!</definedName>
    <definedName name="투부가가치세">#REF!</definedName>
    <definedName name="투산재보험료" localSheetId="2">#REF!</definedName>
    <definedName name="투산재보험료">#REF!</definedName>
    <definedName name="투순공사원가" localSheetId="2">#REF!</definedName>
    <definedName name="투순공사원가">#REF!</definedName>
    <definedName name="투안전관리비" localSheetId="2">#REF!</definedName>
    <definedName name="투안전관리비">#REF!</definedName>
    <definedName name="투이윤" localSheetId="2">#REF!</definedName>
    <definedName name="투이윤">#REF!</definedName>
    <definedName name="투일반관리비" localSheetId="2">#REF!</definedName>
    <definedName name="투일반관리비">#REF!</definedName>
    <definedName name="투재료비" localSheetId="2">#REF!</definedName>
    <definedName name="투재료비">#REF!</definedName>
    <definedName name="투폐기물처리비" localSheetId="2">#REF!</definedName>
    <definedName name="투폐기물처리비">#REF!</definedName>
    <definedName name="특_별__인_부" localSheetId="2">#REF!</definedName>
    <definedName name="특_별__인_부">#REF!</definedName>
    <definedName name="특_수_화__공" localSheetId="2">#REF!</definedName>
    <definedName name="특_수_화__공">#REF!</definedName>
    <definedName name="특고" localSheetId="2">#REF!</definedName>
    <definedName name="특고">#REF!</definedName>
    <definedName name="특고압케이블전공" localSheetId="1">#REF!</definedName>
    <definedName name="특고압케이블전공" localSheetId="2">#REF!</definedName>
    <definedName name="특고압케이블전공">#REF!</definedName>
    <definedName name="특고케이블공" localSheetId="2">#REF!</definedName>
    <definedName name="특고케이블공">#REF!</definedName>
    <definedName name="특급원자력비파괴시험" localSheetId="2">#REF!</definedName>
    <definedName name="특급원자력비파괴시험">#REF!</definedName>
    <definedName name="특급원자력비파괴시험공" localSheetId="2">#REF!</definedName>
    <definedName name="특급원자력비파괴시험공">#REF!</definedName>
    <definedName name="특기" localSheetId="2">#REF!</definedName>
    <definedName name="특기">#REF!</definedName>
    <definedName name="특별" localSheetId="2">#REF!</definedName>
    <definedName name="특별">#REF!</definedName>
    <definedName name="특별인부" localSheetId="1">#REF!</definedName>
    <definedName name="특별인부" localSheetId="2">#REF!</definedName>
    <definedName name="특별인부">#REF!</definedName>
    <definedName name="특수비계공" localSheetId="1">#REF!</definedName>
    <definedName name="특수비계공" localSheetId="2">#REF!</definedName>
    <definedName name="특수비계공">#REF!</definedName>
    <definedName name="특수화공" localSheetId="2">#REF!</definedName>
    <definedName name="특수화공">#REF!</definedName>
    <definedName name="특케" localSheetId="2">#REF!</definedName>
    <definedName name="특케">#REF!</definedName>
    <definedName name="판군" localSheetId="2">#REF!</definedName>
    <definedName name="판군">#REF!</definedName>
    <definedName name="판넬__조립공" localSheetId="2">#REF!</definedName>
    <definedName name="판넬__조립공">#REF!</definedName>
    <definedName name="판넬조립공" localSheetId="2">#REF!</definedName>
    <definedName name="판넬조립공">#REF!</definedName>
    <definedName name="팔" localSheetId="2" hidden="1">#REF!</definedName>
    <definedName name="팔" hidden="1">#REF!</definedName>
    <definedName name="펌프구경" localSheetId="2">#REF!</definedName>
    <definedName name="펌프구경">#REF!</definedName>
    <definedName name="페이로다" localSheetId="2">#REF!</definedName>
    <definedName name="페이로다">#REF!</definedName>
    <definedName name="평균" localSheetId="2">#REF!</definedName>
    <definedName name="평균">#REF!</definedName>
    <definedName name="폐_기_물___수_수_료" localSheetId="2">#REF!</definedName>
    <definedName name="폐_기_물___수_수_료">#REF!</definedName>
    <definedName name="폐_기_물___처_리_비" localSheetId="2">#REF!</definedName>
    <definedName name="폐_기_물___처_리_비">#REF!</definedName>
    <definedName name="포___설___공" localSheetId="2">#REF!</definedName>
    <definedName name="포___설___공">#REF!</definedName>
    <definedName name="포___장___공" localSheetId="2">#REF!</definedName>
    <definedName name="포___장___공">#REF!</definedName>
    <definedName name="포설공" localSheetId="2">#REF!</definedName>
    <definedName name="포설공">#REF!</definedName>
    <definedName name="포장공" localSheetId="2">#REF!</definedName>
    <definedName name="포장공">#REF!</definedName>
    <definedName name="표2" localSheetId="2">#REF!</definedName>
    <definedName name="표2">#REF!</definedName>
    <definedName name="표시찰" localSheetId="2">#REF!</definedName>
    <definedName name="표시찰">#REF!</definedName>
    <definedName name="표시찰취부" localSheetId="2">#REF!</definedName>
    <definedName name="표시찰취부">#REF!</definedName>
    <definedName name="표지" localSheetId="2">#REF!</definedName>
    <definedName name="표지">#REF!</definedName>
    <definedName name="표지1" localSheetId="2" hidden="1">#REF!</definedName>
    <definedName name="표지1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표지다" localSheetId="2">#REF!</definedName>
    <definedName name="표지다">#REF!</definedName>
    <definedName name="품명" localSheetId="2">#REF!</definedName>
    <definedName name="품명">#REF!</definedName>
    <definedName name="품목상승간접노무비" localSheetId="2">#REF!</definedName>
    <definedName name="품목상승간접노무비">#REF!</definedName>
    <definedName name="품목상승공사원가" localSheetId="2">#REF!</definedName>
    <definedName name="품목상승공사원가">#REF!</definedName>
    <definedName name="품목상승공사원가경비" localSheetId="2">#REF!</definedName>
    <definedName name="품목상승공사원가경비">#REF!</definedName>
    <definedName name="품목상승공사원가노무비" localSheetId="2">#REF!</definedName>
    <definedName name="품목상승공사원가노무비">#REF!</definedName>
    <definedName name="품목상승공사원가재료비" localSheetId="2">#REF!</definedName>
    <definedName name="품목상승공사원가재료비">#REF!</definedName>
    <definedName name="품목상승기타경비" localSheetId="2">#REF!</definedName>
    <definedName name="품목상승기타경비">#REF!</definedName>
    <definedName name="품목상승도급액" localSheetId="2">#REF!</definedName>
    <definedName name="품목상승도급액">#REF!</definedName>
    <definedName name="품목상승산재보험료" localSheetId="2">#REF!</definedName>
    <definedName name="품목상승산재보험료">#REF!</definedName>
    <definedName name="품목상승안전관리비" localSheetId="2">#REF!</definedName>
    <definedName name="품목상승안전관리비">#REF!</definedName>
    <definedName name="품목상승이윤" localSheetId="2">#REF!</definedName>
    <definedName name="품목상승이윤">#REF!</definedName>
    <definedName name="품목상승일반관리비" localSheetId="2">#REF!</definedName>
    <definedName name="품목상승일반관리비">#REF!</definedName>
    <definedName name="프랜트" localSheetId="2">#REF!</definedName>
    <definedName name="프랜트">#REF!</definedName>
    <definedName name="플랜" localSheetId="2">#REF!</definedName>
    <definedName name="플랜">#REF!</definedName>
    <definedName name="플랜트__전공" localSheetId="2">#REF!</definedName>
    <definedName name="플랜트__전공">#REF!</definedName>
    <definedName name="플랜트기계설치공" localSheetId="1">#REF!</definedName>
    <definedName name="플랜트기계설치공" localSheetId="2">#REF!</definedName>
    <definedName name="플랜트기계설치공">#REF!</definedName>
    <definedName name="플랜트배관공" localSheetId="1">#REF!</definedName>
    <definedName name="플랜트배관공" localSheetId="2">#REF!</definedName>
    <definedName name="플랜트배관공">#REF!</definedName>
    <definedName name="플랜트용접공" localSheetId="1">#REF!</definedName>
    <definedName name="플랜트용접공" localSheetId="2">#REF!</definedName>
    <definedName name="플랜트용접공">#REF!</definedName>
    <definedName name="플랜트전공" localSheetId="1">#REF!</definedName>
    <definedName name="플랜트전공" localSheetId="2">#REF!</definedName>
    <definedName name="플랜트전공">#REF!</definedName>
    <definedName name="플랜트제관공" localSheetId="1">#REF!</definedName>
    <definedName name="플랜트제관공" localSheetId="2">#REF!</definedName>
    <definedName name="플랜트제관공">#REF!</definedName>
    <definedName name="플랜트특수용접공" localSheetId="1">#REF!</definedName>
    <definedName name="플랜트특수용접공" localSheetId="2">#REF!</definedName>
    <definedName name="플랜트특수용접공">#REF!</definedName>
    <definedName name="플레이트콤펙터" localSheetId="2">#REF!</definedName>
    <definedName name="플레이트콤펙터">#REF!</definedName>
    <definedName name="플렉시블" localSheetId="2">#REF!</definedName>
    <definedName name="플렉시블">#REF!</definedName>
    <definedName name="ㅎ" localSheetId="2">#REF!</definedName>
    <definedName name="ㅎ">#REF!</definedName>
    <definedName name="ㅎ200" localSheetId="2">#REF!</definedName>
    <definedName name="ㅎ200">#REF!</definedName>
    <definedName name="ㅎ314" localSheetId="2">#REF!</definedName>
    <definedName name="ㅎ314">#REF!</definedName>
    <definedName name="ㅎ384" localSheetId="2">#REF!</definedName>
    <definedName name="ㅎ384">#REF!</definedName>
    <definedName name="ㅎㄴㅁㄹㅇㄹㄴ" hidden="1">{#N/A,"수불부",FALSE,"사급자재수불서";#N/A,"수불부",FALSE,"사급자재수불서"}</definedName>
    <definedName name="ㅎㄹㄹ" localSheetId="2">#REF!</definedName>
    <definedName name="ㅎㄹㄹ">#REF!</definedName>
    <definedName name="ㅎㅎ" localSheetId="1">#REF!</definedName>
    <definedName name="ㅎㅎ" localSheetId="2">#REF!</definedName>
    <definedName name="ㅎㅎ">내역!ㅎㅎ</definedName>
    <definedName name="하경비금액" localSheetId="2">#REF!</definedName>
    <definedName name="하경비금액">#REF!</definedName>
    <definedName name="하경비단가" localSheetId="2">#REF!</definedName>
    <definedName name="하경비단가">#REF!</definedName>
    <definedName name="하노무비금액" localSheetId="2">#REF!</definedName>
    <definedName name="하노무비금액">#REF!</definedName>
    <definedName name="하노무비단가" localSheetId="2">#REF!</definedName>
    <definedName name="하노무비단가">#REF!</definedName>
    <definedName name="하도공종1" localSheetId="2">#REF!</definedName>
    <definedName name="하도공종1">#REF!</definedName>
    <definedName name="하도공종2" localSheetId="2">#REF!</definedName>
    <definedName name="하도공종2">#REF!</definedName>
    <definedName name="하도공종3" localSheetId="2">#REF!</definedName>
    <definedName name="하도공종3">#REF!</definedName>
    <definedName name="하도공종4" localSheetId="2">#REF!</definedName>
    <definedName name="하도공종4">#REF!</definedName>
    <definedName name="하도공종5" localSheetId="2">#REF!</definedName>
    <definedName name="하도공종5">#REF!</definedName>
    <definedName name="하도공종6" localSheetId="2">#REF!</definedName>
    <definedName name="하도공종6">#REF!</definedName>
    <definedName name="하도급계획서" localSheetId="2">#REF!</definedName>
    <definedName name="하도급계획서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 localSheetId="2">#REF!</definedName>
    <definedName name="하도업체1">#REF!</definedName>
    <definedName name="하도업체2" localSheetId="2">#REF!</definedName>
    <definedName name="하도업체2">#REF!</definedName>
    <definedName name="하도업체3" localSheetId="2">#REF!</definedName>
    <definedName name="하도업체3">#REF!</definedName>
    <definedName name="하도업체4" localSheetId="2">#REF!</definedName>
    <definedName name="하도업체4">#REF!</definedName>
    <definedName name="하도업체5" localSheetId="2">#REF!</definedName>
    <definedName name="하도업체5">#REF!</definedName>
    <definedName name="하도업체6" localSheetId="2">#REF!</definedName>
    <definedName name="하도업체6">#REF!</definedName>
    <definedName name="하원수" localSheetId="2">#REF!</definedName>
    <definedName name="하원수">#REF!</definedName>
    <definedName name="하자공종1" localSheetId="2">#REF!</definedName>
    <definedName name="하자공종1">#REF!</definedName>
    <definedName name="하자공종2" localSheetId="2">#REF!</definedName>
    <definedName name="하자공종2">#REF!</definedName>
    <definedName name="하자기간1" localSheetId="2">#REF!</definedName>
    <definedName name="하자기간1">#REF!</definedName>
    <definedName name="하자기간2" localSheetId="2">#REF!</definedName>
    <definedName name="하자기간2">#REF!</definedName>
    <definedName name="하자기간3" localSheetId="2">#REF!</definedName>
    <definedName name="하자기간3">#REF!</definedName>
    <definedName name="하자기간4" localSheetId="2">#REF!</definedName>
    <definedName name="하자기간4">#REF!</definedName>
    <definedName name="하자기간5" localSheetId="2">#REF!</definedName>
    <definedName name="하자기간5">#REF!</definedName>
    <definedName name="하자기간6" localSheetId="2">#REF!</definedName>
    <definedName name="하자기간6">#REF!</definedName>
    <definedName name="하자보증기간1" localSheetId="2">#REF!</definedName>
    <definedName name="하자보증기간1">#REF!</definedName>
    <definedName name="하자보증기간2" localSheetId="2">#REF!</definedName>
    <definedName name="하자보증기간2">#REF!</definedName>
    <definedName name="하재료비금액" localSheetId="2">#REF!</definedName>
    <definedName name="하재료비금액">#REF!</definedName>
    <definedName name="하재료비단가" localSheetId="2">#REF!</definedName>
    <definedName name="하재료비단가">#REF!</definedName>
    <definedName name="하하" localSheetId="1">#REF!</definedName>
    <definedName name="하하" localSheetId="2">#REF!</definedName>
    <definedName name="하하" hidden="1">{#N/A,#N/A,FALSE,"CAM-G7";#N/A,#N/A,FALSE,"SPL";#N/A,#N/A,FALSE,"butt-in G7";#N/A,#N/A,FALSE,"dia-in G7";#N/A,#N/A,FALSE,"추가-STA G7"}</definedName>
    <definedName name="하한" localSheetId="2">#REF!</definedName>
    <definedName name="하한">#REF!</definedName>
    <definedName name="학교" localSheetId="2">#REF!</definedName>
    <definedName name="학교">#REF!</definedName>
    <definedName name="학교2" localSheetId="2">#REF!</definedName>
    <definedName name="학교2">#REF!</definedName>
    <definedName name="한" localSheetId="2" hidden="1">#REF!</definedName>
    <definedName name="한" hidden="1">#REF!</definedName>
    <definedName name="한_식__목_공" localSheetId="2">#REF!</definedName>
    <definedName name="한_식__목_공">#REF!</definedName>
    <definedName name="한_식__와_공" localSheetId="2">#REF!</definedName>
    <definedName name="한_식__와_공">#REF!</definedName>
    <definedName name="한교1호" localSheetId="2">#REF!</definedName>
    <definedName name="한교1호">#REF!</definedName>
    <definedName name="한교2호" localSheetId="2">#REF!</definedName>
    <definedName name="한교2호">#REF!</definedName>
    <definedName name="한교3호" localSheetId="2">#REF!</definedName>
    <definedName name="한교3호">#REF!</definedName>
    <definedName name="한국정보기술" localSheetId="2">#REF!</definedName>
    <definedName name="한국정보기술">#REF!</definedName>
    <definedName name="한라구절초" localSheetId="2">#REF!</definedName>
    <definedName name="한라구절초">#REF!</definedName>
    <definedName name="한식__미장공" localSheetId="2">#REF!</definedName>
    <definedName name="한식__미장공">#REF!</definedName>
    <definedName name="한식목공" localSheetId="2">#REF!</definedName>
    <definedName name="한식목공">#REF!</definedName>
    <definedName name="한식목공조공" localSheetId="1">#REF!</definedName>
    <definedName name="한식목공조공" localSheetId="2">#REF!</definedName>
    <definedName name="한식목공조공">#REF!</definedName>
    <definedName name="한식미장공" localSheetId="2">#REF!</definedName>
    <definedName name="한식미장공">#REF!</definedName>
    <definedName name="한식와공" localSheetId="2">#REF!</definedName>
    <definedName name="한식와공">#REF!</definedName>
    <definedName name="한식와공조공" localSheetId="1">#REF!</definedName>
    <definedName name="한식와공조공" localSheetId="2">#REF!</definedName>
    <definedName name="한식와공조공">#REF!</definedName>
    <definedName name="한얼" localSheetId="2">BlankMacro1</definedName>
    <definedName name="한얼">BlankMacro1</definedName>
    <definedName name="한일건설" hidden="1">{#N/A,#N/A,FALSE,"현장 NCR 분석";#N/A,#N/A,FALSE,"현장품질감사";#N/A,#N/A,FALSE,"현장품질감사"}</definedName>
    <definedName name="한잔인입" localSheetId="2">BlankMacro1</definedName>
    <definedName name="한잔인입">BlankMacro1</definedName>
    <definedName name="한전인입" localSheetId="2">BlankMacro1</definedName>
    <definedName name="한전인입">BlankMacro1</definedName>
    <definedName name="할___석___공" localSheetId="2">#REF!</definedName>
    <definedName name="할___석___공">#REF!</definedName>
    <definedName name="할석공" localSheetId="1">#REF!</definedName>
    <definedName name="할석공" localSheetId="2">#REF!</definedName>
    <definedName name="할석공">#REF!</definedName>
    <definedName name="할증" localSheetId="2">#REF!</definedName>
    <definedName name="할증">#REF!</definedName>
    <definedName name="함___석___공" localSheetId="2">#REF!</definedName>
    <definedName name="함___석___공">#REF!</definedName>
    <definedName name="함석공" localSheetId="1">#REF!</definedName>
    <definedName name="함석공" localSheetId="2">#REF!</definedName>
    <definedName name="함석공">#REF!</definedName>
    <definedName name="함체100" localSheetId="2">#REF!</definedName>
    <definedName name="함체100">#REF!</definedName>
    <definedName name="함체30" localSheetId="2">#REF!</definedName>
    <definedName name="함체30">#REF!</definedName>
    <definedName name="함체50" localSheetId="2">#REF!</definedName>
    <definedName name="함체50">#REF!</definedName>
    <definedName name="함체신설" localSheetId="2">#REF!</definedName>
    <definedName name="함체신설">#REF!</definedName>
    <definedName name="합______________계" localSheetId="2">#REF!</definedName>
    <definedName name="합______________계">#REF!</definedName>
    <definedName name="합계" localSheetId="2">#REF!</definedName>
    <definedName name="합계">#REF!</definedName>
    <definedName name="항__목" localSheetId="2">#REF!</definedName>
    <definedName name="항__목">#REF!</definedName>
    <definedName name="항목1" localSheetId="2">#REF!</definedName>
    <definedName name="항목1">#REF!</definedName>
    <definedName name="항목2" localSheetId="2">#REF!</definedName>
    <definedName name="항목2">#REF!</definedName>
    <definedName name="항목3" localSheetId="2">#REF!</definedName>
    <definedName name="항목3">#REF!</definedName>
    <definedName name="항목4" localSheetId="2">#REF!</definedName>
    <definedName name="항목4">#REF!</definedName>
    <definedName name="항목5" localSheetId="2">#REF!</definedName>
    <definedName name="항목5">#REF!</definedName>
    <definedName name="항목판정" localSheetId="2">#REF!</definedName>
    <definedName name="항목판정">#REF!</definedName>
    <definedName name="해당화" localSheetId="2">#REF!</definedName>
    <definedName name="해당화">#REF!</definedName>
    <definedName name="행가" localSheetId="2">#REF!</definedName>
    <definedName name="행가">#REF!</definedName>
    <definedName name="행가1" localSheetId="2">#REF!</definedName>
    <definedName name="행가1">#REF!</definedName>
    <definedName name="행가설치" localSheetId="2">#REF!</definedName>
    <definedName name="행가설치">#REF!</definedName>
    <definedName name="행삭제" localSheetId="2">#REF!</definedName>
    <definedName name="행삭제">#REF!</definedName>
    <definedName name="허" localSheetId="2">#REF!</definedName>
    <definedName name="허">#REF!</definedName>
    <definedName name="현___도___사" localSheetId="2">#REF!</definedName>
    <definedName name="현___도___사">#REF!</definedName>
    <definedName name="현대건설" hidden="1">{#N/A,#N/A,FALSE,"현장 NCR 분석";#N/A,#N/A,FALSE,"현장품질감사";#N/A,#N/A,FALSE,"현장품질감사"}</definedName>
    <definedName name="현도사" localSheetId="2">#REF!</definedName>
    <definedName name="현도사">#REF!</definedName>
    <definedName name="현장대리인" localSheetId="2">#REF!</definedName>
    <definedName name="현장대리인">#REF!</definedName>
    <definedName name="현장명" localSheetId="2">#REF!</definedName>
    <definedName name="현장명">#REF!</definedName>
    <definedName name="현장보고" localSheetId="2">#REF!</definedName>
    <definedName name="현장보고">#REF!</definedName>
    <definedName name="현장보고서" localSheetId="2">#REF!</definedName>
    <definedName name="현장보고서">#REF!</definedName>
    <definedName name="현장설명실시서1" localSheetId="2">#REF!</definedName>
    <definedName name="현장설명실시서1">#REF!</definedName>
    <definedName name="현황" localSheetId="2">#REF!</definedName>
    <definedName name="현황">#REF!</definedName>
    <definedName name="형">#N/A</definedName>
    <definedName name="형틀" localSheetId="2">#REF!</definedName>
    <definedName name="형틀">#REF!</definedName>
    <definedName name="형틀목공" localSheetId="2">#REF!</definedName>
    <definedName name="형틀목공">#REF!</definedName>
    <definedName name="호" localSheetId="2">#REF!</definedName>
    <definedName name="호">#REF!</definedName>
    <definedName name="호처리시험" localSheetId="2">#REF!</definedName>
    <definedName name="호처리시험">#REF!</definedName>
    <definedName name="호호호호" localSheetId="2">#REF!</definedName>
    <definedName name="호호호호">#REF!</definedName>
    <definedName name="홇롷러ㅗㄹ호" hidden="1">{#N/A,#N/A,FALSE,"CAM-G7";#N/A,#N/A,FALSE,"SPL";#N/A,#N/A,FALSE,"butt-in G7";#N/A,#N/A,FALSE,"dia-in G7";#N/A,#N/A,FALSE,"추가-STA G7"}</definedName>
    <definedName name="홍단풍" localSheetId="2">#REF!</definedName>
    <definedName name="홍단풍">#REF!</definedName>
    <definedName name="화________공" localSheetId="2">#REF!</definedName>
    <definedName name="화________공">#REF!</definedName>
    <definedName name="화공" localSheetId="2">#REF!</definedName>
    <definedName name="화공">#REF!</definedName>
    <definedName name="화신1호" localSheetId="2">#REF!</definedName>
    <definedName name="화신1호">#REF!</definedName>
    <definedName name="화신2호" localSheetId="2">#REF!</definedName>
    <definedName name="화신2호">#REF!</definedName>
    <definedName name="화신기존1" localSheetId="2">#REF!</definedName>
    <definedName name="화신기존1">#REF!</definedName>
    <definedName name="화신기존2" localSheetId="2">#REF!</definedName>
    <definedName name="화신기존2">#REF!</definedName>
    <definedName name="화약__취급공" localSheetId="2">#REF!</definedName>
    <definedName name="화약__취급공">#REF!</definedName>
    <definedName name="화약취급공" localSheetId="2">#REF!</definedName>
    <definedName name="화약취급공">#REF!</definedName>
    <definedName name="화인" localSheetId="2">BlankMacro1</definedName>
    <definedName name="화인">BlankMacro1</definedName>
    <definedName name="확정" localSheetId="2">BlankMacro1</definedName>
    <definedName name="확정">BlankMacro1</definedName>
    <definedName name="회사계" localSheetId="2">#REF!</definedName>
    <definedName name="회사계">#REF!</definedName>
    <definedName name="회사계1" localSheetId="2">#REF!</definedName>
    <definedName name="회사계1">#REF!</definedName>
    <definedName name="회사명" localSheetId="2">#REF!</definedName>
    <definedName name="회사명">#REF!</definedName>
    <definedName name="회사분경비" localSheetId="2">#REF!</definedName>
    <definedName name="회사분경비">#REF!</definedName>
    <definedName name="회사분장비" localSheetId="2">#REF!</definedName>
    <definedName name="회사분장비">#REF!</definedName>
    <definedName name="회사운반비" localSheetId="2">#REF!</definedName>
    <definedName name="회사운반비">#REF!</definedName>
    <definedName name="회시1호" localSheetId="2">#REF!</definedName>
    <definedName name="회시1호">#REF!</definedName>
    <definedName name="회시2호" localSheetId="2">#REF!</definedName>
    <definedName name="회시2호">#REF!</definedName>
    <definedName name="효구" localSheetId="2">Dlog_Show</definedName>
    <definedName name="효구">Dlog_Show</definedName>
    <definedName name="효자" localSheetId="2">Dlog_Show</definedName>
    <definedName name="효자">Dlog_Show</definedName>
    <definedName name="효자건설" localSheetId="2">Dlog_Show</definedName>
    <definedName name="효자건설">Dlog_Show</definedName>
    <definedName name="후렉시블" localSheetId="2">#REF!</definedName>
    <definedName name="후렉시블">#REF!</definedName>
    <definedName name="후렉시블시설" localSheetId="2">#REF!</definedName>
    <definedName name="후렉시블시설">#REF!</definedName>
    <definedName name="휘니셔" localSheetId="2">#REF!</definedName>
    <definedName name="휘니셔">#REF!</definedName>
    <definedName name="희선" localSheetId="2">#REF!,#REF!,#REF!,#REF!,#REF!,#REF!,#REF!,#REF!,#REF!,#REF!,#REF!,#REF!,#REF!,#REF!,#REF!,#REF!,#REF!,#REF!,#REF!</definedName>
    <definedName name="희선">#REF!,#REF!,#REF!,#REF!,#REF!,#REF!,#REF!,#REF!,#REF!,#REF!,#REF!,#REF!,#REF!,#REF!,#REF!,#REF!,#REF!,#REF!,#REF!</definedName>
    <definedName name="ㅏ100" localSheetId="2">#REF!</definedName>
    <definedName name="ㅏ100">#REF!</definedName>
    <definedName name="ㅏ1211" localSheetId="2">#REF!</definedName>
    <definedName name="ㅏ1211">#REF!</definedName>
    <definedName name="ㅏ30" localSheetId="2">#REF!</definedName>
    <definedName name="ㅏ30">#REF!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ㅓ114" localSheetId="2">#REF!</definedName>
    <definedName name="ㅓ114">#REF!</definedName>
    <definedName name="ㅓ1514" localSheetId="2">#REF!</definedName>
    <definedName name="ㅓ1514">#REF!</definedName>
    <definedName name="ㅓ437" localSheetId="2">#REF!</definedName>
    <definedName name="ㅓ437">#REF!</definedName>
    <definedName name="ㅓㅏㅏㅣ" localSheetId="2">BLCH</definedName>
    <definedName name="ㅓㅏㅏㅣ">BLCH</definedName>
    <definedName name="ㅓㅗ" hidden="1">{#N/A,"수불부",FALSE,"사급자재수불서";#N/A,"수불부",FALSE,"사급자재수불서"}</definedName>
    <definedName name="ㅔㅐㅔ" hidden="1">{#N/A,"수불부",FALSE,"사급자재수불서";#N/A,"수불부",FALSE,"사급자재수불서"}</definedName>
    <definedName name="ㅗ118" localSheetId="2">#REF!</definedName>
    <definedName name="ㅗ118">#REF!</definedName>
    <definedName name="ㅗ415" localSheetId="2">#REF!</definedName>
    <definedName name="ㅗ415">#REF!</definedName>
    <definedName name="ㅗ461" localSheetId="2">#REF!</definedName>
    <definedName name="ㅗ461">#REF!</definedName>
    <definedName name="ㅗㄹ" localSheetId="2">#REF!</definedName>
    <definedName name="ㅗㄹ">#REF!</definedName>
    <definedName name="ㅗ로ㅓㅗㅓ허ㅏ" hidden="1">{#N/A,#N/A,FALSE,"CAM-G7";#N/A,#N/A,FALSE,"SPL";#N/A,#N/A,FALSE,"butt-in G7";#N/A,#N/A,FALSE,"dia-in G7";#N/A,#N/A,FALSE,"추가-STA G7"}</definedName>
    <definedName name="ㅗㅎㅇㅁㄹㅇㅎ" hidden="1">{#N/A,"수불부",FALSE,"사급자재수불서";#N/A,"수불부",FALSE,"사급자재수불서"}</definedName>
    <definedName name="ㅗㅓ하ㅓ하ㅓㅗ" hidden="1">{#N/A,#N/A,FALSE,"CAM-G7";#N/A,#N/A,FALSE,"SPL";#N/A,#N/A,FALSE,"butt-in G7";#N/A,#N/A,FALSE,"dia-in G7";#N/A,#N/A,FALSE,"추가-STA G7"}</definedName>
    <definedName name="ㅗㅓㅏ" localSheetId="2">#REF!</definedName>
    <definedName name="ㅗㅓㅏ">#REF!</definedName>
    <definedName name="ㅠ10" localSheetId="2">#REF!</definedName>
    <definedName name="ㅠ10">#REF!</definedName>
    <definedName name="ㅠ1000" localSheetId="2">#REF!</definedName>
    <definedName name="ㅠ1000">#REF!</definedName>
    <definedName name="ㅠ109" localSheetId="2">#REF!</definedName>
    <definedName name="ㅠ109">#REF!</definedName>
    <definedName name="ㅠ1300" localSheetId="2">#REF!</definedName>
    <definedName name="ㅠ1300">#REF!</definedName>
    <definedName name="ㅠ200" localSheetId="2">#REF!</definedName>
    <definedName name="ㅠ200">#REF!</definedName>
    <definedName name="ㅠ2000" localSheetId="2">#REF!</definedName>
    <definedName name="ㅠ2000">#REF!</definedName>
    <definedName name="ㅠ2300" localSheetId="2">#REF!</definedName>
    <definedName name="ㅠ2300">#REF!</definedName>
    <definedName name="ㅠ238" localSheetId="2">#REF!</definedName>
    <definedName name="ㅠ238">#REF!</definedName>
    <definedName name="ㅠ30" localSheetId="2">#REF!</definedName>
    <definedName name="ㅠ30">#REF!</definedName>
    <definedName name="ㅠ3130" localSheetId="2">#REF!</definedName>
    <definedName name="ㅠ3130">#REF!</definedName>
    <definedName name="ㅠ400" localSheetId="2">#REF!</definedName>
    <definedName name="ㅠ400">#REF!</definedName>
    <definedName name="ㅠ500" localSheetId="2">#REF!</definedName>
    <definedName name="ㅠ500">#REF!</definedName>
    <definedName name="ㅡ10" localSheetId="2">#REF!</definedName>
    <definedName name="ㅡ10">#REF!</definedName>
    <definedName name="ㅡ1698" localSheetId="2">#REF!</definedName>
    <definedName name="ㅡ1698">#REF!</definedName>
    <definedName name="ㅡ5" localSheetId="2">#REF!</definedName>
    <definedName name="ㅡ5">#REF!</definedName>
    <definedName name="ㅡㅡ" hidden="1">{"'Sheet1'!$D$19","'Sheet1'!$B$22:$E$22"}</definedName>
    <definedName name="ㅣ1" localSheetId="2">#REF!</definedName>
    <definedName name="ㅣ1">#REF!</definedName>
    <definedName name="ㅣ1517" localSheetId="2">#REF!</definedName>
    <definedName name="ㅣ1517">#REF!</definedName>
    <definedName name="ㅣ1549" localSheetId="2">#REF!</definedName>
    <definedName name="ㅣ1549">#REF!</definedName>
    <definedName name="ㅣ275" localSheetId="2">#REF!</definedName>
    <definedName name="ㅣ275">#REF!</definedName>
    <definedName name="ㅣ618" localSheetId="2">#REF!</definedName>
    <definedName name="ㅣ618">#REF!</definedName>
  </definedNames>
  <calcPr calcId="152511"/>
</workbook>
</file>

<file path=xl/calcChain.xml><?xml version="1.0" encoding="utf-8"?>
<calcChain xmlns="http://schemas.openxmlformats.org/spreadsheetml/2006/main">
  <c r="J167" i="8" l="1"/>
  <c r="L167" i="8"/>
  <c r="L211" i="10" l="1"/>
  <c r="K211" i="10"/>
  <c r="J211" i="10"/>
  <c r="H211" i="10"/>
  <c r="L210" i="10"/>
  <c r="K210" i="10"/>
  <c r="J210" i="10"/>
  <c r="H210" i="10"/>
  <c r="K209" i="10"/>
  <c r="J209" i="10"/>
  <c r="H209" i="10"/>
  <c r="L209" i="10" s="1"/>
  <c r="K208" i="10"/>
  <c r="J208" i="10"/>
  <c r="H208" i="10"/>
  <c r="L208" i="10" s="1"/>
  <c r="L207" i="10"/>
  <c r="K207" i="10"/>
  <c r="J207" i="10"/>
  <c r="H207" i="10"/>
  <c r="L206" i="10"/>
  <c r="K206" i="10"/>
  <c r="J206" i="10"/>
  <c r="H206" i="10"/>
  <c r="L205" i="10"/>
  <c r="K205" i="10"/>
  <c r="J205" i="10"/>
  <c r="H205" i="10"/>
  <c r="B204" i="10"/>
  <c r="A204" i="10"/>
  <c r="H202" i="10"/>
  <c r="H14" i="10" s="1"/>
  <c r="K199" i="10"/>
  <c r="J199" i="10"/>
  <c r="J202" i="10" s="1"/>
  <c r="H199" i="10"/>
  <c r="L199" i="10" s="1"/>
  <c r="L202" i="10" s="1"/>
  <c r="L14" i="10" s="1"/>
  <c r="B198" i="10"/>
  <c r="A198" i="10"/>
  <c r="K193" i="10"/>
  <c r="J193" i="10"/>
  <c r="H193" i="10"/>
  <c r="L193" i="10" s="1"/>
  <c r="K192" i="10"/>
  <c r="J192" i="10"/>
  <c r="J196" i="10" s="1"/>
  <c r="J13" i="10" s="1"/>
  <c r="H192" i="10"/>
  <c r="H196" i="10" s="1"/>
  <c r="H13" i="10" s="1"/>
  <c r="B191" i="10"/>
  <c r="A191" i="10"/>
  <c r="K187" i="10"/>
  <c r="J187" i="10"/>
  <c r="H187" i="10"/>
  <c r="L187" i="10" s="1"/>
  <c r="K186" i="10"/>
  <c r="J186" i="10"/>
  <c r="H186" i="10"/>
  <c r="L186" i="10" s="1"/>
  <c r="K185" i="10"/>
  <c r="J185" i="10"/>
  <c r="H185" i="10"/>
  <c r="L185" i="10" s="1"/>
  <c r="K184" i="10"/>
  <c r="J184" i="10"/>
  <c r="H184" i="10"/>
  <c r="L184" i="10" s="1"/>
  <c r="K183" i="10"/>
  <c r="J183" i="10"/>
  <c r="H183" i="10"/>
  <c r="L183" i="10" s="1"/>
  <c r="K182" i="10"/>
  <c r="J182" i="10"/>
  <c r="H182" i="10"/>
  <c r="L182" i="10" s="1"/>
  <c r="K181" i="10"/>
  <c r="J181" i="10"/>
  <c r="H181" i="10"/>
  <c r="L181" i="10" s="1"/>
  <c r="K180" i="10"/>
  <c r="J180" i="10"/>
  <c r="H180" i="10"/>
  <c r="L180" i="10" s="1"/>
  <c r="K179" i="10"/>
  <c r="J179" i="10"/>
  <c r="H179" i="10"/>
  <c r="L179" i="10" s="1"/>
  <c r="K178" i="10"/>
  <c r="J178" i="10"/>
  <c r="H178" i="10"/>
  <c r="L178" i="10" s="1"/>
  <c r="K177" i="10"/>
  <c r="J177" i="10"/>
  <c r="H177" i="10"/>
  <c r="L177" i="10" s="1"/>
  <c r="K176" i="10"/>
  <c r="J176" i="10"/>
  <c r="H176" i="10"/>
  <c r="L176" i="10" s="1"/>
  <c r="K175" i="10"/>
  <c r="J175" i="10"/>
  <c r="H175" i="10"/>
  <c r="L175" i="10" s="1"/>
  <c r="K174" i="10"/>
  <c r="J174" i="10"/>
  <c r="H174" i="10"/>
  <c r="L174" i="10" s="1"/>
  <c r="K173" i="10"/>
  <c r="J173" i="10"/>
  <c r="H173" i="10"/>
  <c r="L173" i="10" s="1"/>
  <c r="K172" i="10"/>
  <c r="J172" i="10"/>
  <c r="H172" i="10"/>
  <c r="B171" i="10"/>
  <c r="A171" i="10"/>
  <c r="L168" i="10"/>
  <c r="K168" i="10"/>
  <c r="H168" i="10"/>
  <c r="K167" i="10"/>
  <c r="J167" i="10"/>
  <c r="J169" i="10" s="1"/>
  <c r="H167" i="10"/>
  <c r="H169" i="10" s="1"/>
  <c r="H11" i="10" s="1"/>
  <c r="B166" i="10"/>
  <c r="A166" i="10"/>
  <c r="K162" i="10"/>
  <c r="J162" i="10"/>
  <c r="H162" i="10"/>
  <c r="L162" i="10" s="1"/>
  <c r="K161" i="10"/>
  <c r="J161" i="10"/>
  <c r="H161" i="10"/>
  <c r="L161" i="10" s="1"/>
  <c r="K160" i="10"/>
  <c r="J160" i="10"/>
  <c r="H160" i="10"/>
  <c r="L160" i="10" s="1"/>
  <c r="K159" i="10"/>
  <c r="J159" i="10"/>
  <c r="H159" i="10"/>
  <c r="L159" i="10" s="1"/>
  <c r="K158" i="10"/>
  <c r="J158" i="10"/>
  <c r="H158" i="10"/>
  <c r="L158" i="10" s="1"/>
  <c r="K157" i="10"/>
  <c r="J157" i="10"/>
  <c r="H157" i="10"/>
  <c r="L157" i="10" s="1"/>
  <c r="K156" i="10"/>
  <c r="J156" i="10"/>
  <c r="H156" i="10"/>
  <c r="L156" i="10" s="1"/>
  <c r="K155" i="10"/>
  <c r="J155" i="10"/>
  <c r="H155" i="10"/>
  <c r="L155" i="10" s="1"/>
  <c r="K154" i="10"/>
  <c r="J154" i="10"/>
  <c r="H154" i="10"/>
  <c r="L154" i="10" s="1"/>
  <c r="K153" i="10"/>
  <c r="J153" i="10"/>
  <c r="H153" i="10"/>
  <c r="L153" i="10" s="1"/>
  <c r="K152" i="10"/>
  <c r="J152" i="10"/>
  <c r="H152" i="10"/>
  <c r="L152" i="10" s="1"/>
  <c r="K151" i="10"/>
  <c r="J151" i="10"/>
  <c r="H151" i="10"/>
  <c r="L151" i="10" s="1"/>
  <c r="K150" i="10"/>
  <c r="J150" i="10"/>
  <c r="H150" i="10"/>
  <c r="K149" i="10"/>
  <c r="J149" i="10"/>
  <c r="H149" i="10"/>
  <c r="L149" i="10" s="1"/>
  <c r="K148" i="10"/>
  <c r="J148" i="10"/>
  <c r="H148" i="10"/>
  <c r="L148" i="10" s="1"/>
  <c r="K147" i="10"/>
  <c r="J147" i="10"/>
  <c r="H147" i="10"/>
  <c r="L147" i="10" s="1"/>
  <c r="K146" i="10"/>
  <c r="J146" i="10"/>
  <c r="H146" i="10"/>
  <c r="L146" i="10" s="1"/>
  <c r="K145" i="10"/>
  <c r="J145" i="10"/>
  <c r="H145" i="10"/>
  <c r="L145" i="10" s="1"/>
  <c r="K144" i="10"/>
  <c r="J144" i="10"/>
  <c r="H144" i="10"/>
  <c r="L144" i="10" s="1"/>
  <c r="K143" i="10"/>
  <c r="J143" i="10"/>
  <c r="H143" i="10"/>
  <c r="L143" i="10" s="1"/>
  <c r="K142" i="10"/>
  <c r="J142" i="10"/>
  <c r="H142" i="10"/>
  <c r="K141" i="10"/>
  <c r="J141" i="10"/>
  <c r="H141" i="10"/>
  <c r="L141" i="10" s="1"/>
  <c r="K140" i="10"/>
  <c r="J140" i="10"/>
  <c r="H140" i="10"/>
  <c r="L140" i="10" s="1"/>
  <c r="K139" i="10"/>
  <c r="J139" i="10"/>
  <c r="H139" i="10"/>
  <c r="L139" i="10" s="1"/>
  <c r="K138" i="10"/>
  <c r="J138" i="10"/>
  <c r="H138" i="10"/>
  <c r="B137" i="10"/>
  <c r="A137" i="10"/>
  <c r="L133" i="10"/>
  <c r="K133" i="10"/>
  <c r="J133" i="10"/>
  <c r="H133" i="10"/>
  <c r="L132" i="10"/>
  <c r="K132" i="10"/>
  <c r="J132" i="10"/>
  <c r="H132" i="10"/>
  <c r="L131" i="10"/>
  <c r="K131" i="10"/>
  <c r="J131" i="10"/>
  <c r="H131" i="10"/>
  <c r="L130" i="10"/>
  <c r="K130" i="10"/>
  <c r="J130" i="10"/>
  <c r="H130" i="10"/>
  <c r="L129" i="10"/>
  <c r="K129" i="10"/>
  <c r="J129" i="10"/>
  <c r="H129" i="10"/>
  <c r="L128" i="10"/>
  <c r="K128" i="10"/>
  <c r="J128" i="10"/>
  <c r="H128" i="10"/>
  <c r="L127" i="10"/>
  <c r="K127" i="10"/>
  <c r="J127" i="10"/>
  <c r="H127" i="10"/>
  <c r="L126" i="10"/>
  <c r="K126" i="10"/>
  <c r="J126" i="10"/>
  <c r="H126" i="10"/>
  <c r="L125" i="10"/>
  <c r="K125" i="10"/>
  <c r="J125" i="10"/>
  <c r="H125" i="10"/>
  <c r="L124" i="10"/>
  <c r="L135" i="10" s="1"/>
  <c r="L9" i="10" s="1"/>
  <c r="K124" i="10"/>
  <c r="J124" i="10"/>
  <c r="J135" i="10" s="1"/>
  <c r="J9" i="10" s="1"/>
  <c r="H124" i="10"/>
  <c r="H135" i="10" s="1"/>
  <c r="H9" i="10" s="1"/>
  <c r="B123" i="10"/>
  <c r="A123" i="10"/>
  <c r="K119" i="10"/>
  <c r="J119" i="10"/>
  <c r="H119" i="10"/>
  <c r="L119" i="10" s="1"/>
  <c r="K118" i="10"/>
  <c r="E118" i="10"/>
  <c r="H118" i="10" s="1"/>
  <c r="L118" i="10" s="1"/>
  <c r="K117" i="10"/>
  <c r="J117" i="10"/>
  <c r="H117" i="10"/>
  <c r="L117" i="10" s="1"/>
  <c r="K116" i="10"/>
  <c r="J116" i="10"/>
  <c r="J121" i="10" s="1"/>
  <c r="J8" i="10" s="1"/>
  <c r="H116" i="10"/>
  <c r="L116" i="10" s="1"/>
  <c r="B115" i="10"/>
  <c r="A115" i="10"/>
  <c r="K110" i="10"/>
  <c r="J110" i="10"/>
  <c r="H110" i="10"/>
  <c r="L110" i="10" s="1"/>
  <c r="K109" i="10"/>
  <c r="J109" i="10"/>
  <c r="H109" i="10"/>
  <c r="L109" i="10" s="1"/>
  <c r="K108" i="10"/>
  <c r="J108" i="10"/>
  <c r="H108" i="10"/>
  <c r="L108" i="10" s="1"/>
  <c r="K107" i="10"/>
  <c r="J107" i="10"/>
  <c r="H107" i="10"/>
  <c r="L107" i="10" s="1"/>
  <c r="K106" i="10"/>
  <c r="J106" i="10"/>
  <c r="H106" i="10"/>
  <c r="L106" i="10" s="1"/>
  <c r="K105" i="10"/>
  <c r="J105" i="10"/>
  <c r="H105" i="10"/>
  <c r="L105" i="10" s="1"/>
  <c r="K104" i="10"/>
  <c r="J104" i="10"/>
  <c r="H104" i="10"/>
  <c r="L104" i="10" s="1"/>
  <c r="K103" i="10"/>
  <c r="J103" i="10"/>
  <c r="H103" i="10"/>
  <c r="L103" i="10" s="1"/>
  <c r="K102" i="10"/>
  <c r="J102" i="10"/>
  <c r="H102" i="10"/>
  <c r="L102" i="10" s="1"/>
  <c r="K101" i="10"/>
  <c r="J101" i="10"/>
  <c r="H101" i="10"/>
  <c r="L101" i="10" s="1"/>
  <c r="K100" i="10"/>
  <c r="J100" i="10"/>
  <c r="H100" i="10"/>
  <c r="L100" i="10" s="1"/>
  <c r="K99" i="10"/>
  <c r="J99" i="10"/>
  <c r="H99" i="10"/>
  <c r="L99" i="10" s="1"/>
  <c r="K98" i="10"/>
  <c r="J98" i="10"/>
  <c r="H98" i="10"/>
  <c r="L98" i="10" s="1"/>
  <c r="K97" i="10"/>
  <c r="J97" i="10"/>
  <c r="H97" i="10"/>
  <c r="L97" i="10" s="1"/>
  <c r="K96" i="10"/>
  <c r="J96" i="10"/>
  <c r="H96" i="10"/>
  <c r="L96" i="10" s="1"/>
  <c r="K95" i="10"/>
  <c r="J95" i="10"/>
  <c r="H95" i="10"/>
  <c r="L95" i="10" s="1"/>
  <c r="K94" i="10"/>
  <c r="J94" i="10"/>
  <c r="H94" i="10"/>
  <c r="L94" i="10" s="1"/>
  <c r="K93" i="10"/>
  <c r="J93" i="10"/>
  <c r="H93" i="10"/>
  <c r="L93" i="10" s="1"/>
  <c r="K92" i="10"/>
  <c r="J92" i="10"/>
  <c r="H92" i="10"/>
  <c r="L92" i="10" s="1"/>
  <c r="K91" i="10"/>
  <c r="J91" i="10"/>
  <c r="H91" i="10"/>
  <c r="L91" i="10" s="1"/>
  <c r="K90" i="10"/>
  <c r="J90" i="10"/>
  <c r="H90" i="10"/>
  <c r="L90" i="10" s="1"/>
  <c r="K89" i="10"/>
  <c r="J89" i="10"/>
  <c r="H89" i="10"/>
  <c r="L89" i="10" s="1"/>
  <c r="K88" i="10"/>
  <c r="J88" i="10"/>
  <c r="H88" i="10"/>
  <c r="L88" i="10" s="1"/>
  <c r="K87" i="10"/>
  <c r="J87" i="10"/>
  <c r="H87" i="10"/>
  <c r="L87" i="10" s="1"/>
  <c r="K86" i="10"/>
  <c r="J86" i="10"/>
  <c r="H86" i="10"/>
  <c r="L86" i="10" s="1"/>
  <c r="K85" i="10"/>
  <c r="J85" i="10"/>
  <c r="J112" i="10" s="1"/>
  <c r="J7" i="10" s="1"/>
  <c r="H85" i="10"/>
  <c r="B84" i="10"/>
  <c r="A84" i="10"/>
  <c r="K80" i="10"/>
  <c r="J80" i="10"/>
  <c r="H80" i="10"/>
  <c r="L80" i="10" s="1"/>
  <c r="K79" i="10"/>
  <c r="J79" i="10"/>
  <c r="H79" i="10"/>
  <c r="L79" i="10" s="1"/>
  <c r="K78" i="10"/>
  <c r="J78" i="10"/>
  <c r="H78" i="10"/>
  <c r="L78" i="10" s="1"/>
  <c r="K77" i="10"/>
  <c r="J77" i="10"/>
  <c r="H77" i="10"/>
  <c r="L77" i="10" s="1"/>
  <c r="K76" i="10"/>
  <c r="J76" i="10"/>
  <c r="H76" i="10"/>
  <c r="L76" i="10" s="1"/>
  <c r="K75" i="10"/>
  <c r="J75" i="10"/>
  <c r="H75" i="10"/>
  <c r="L75" i="10" s="1"/>
  <c r="K74" i="10"/>
  <c r="J74" i="10"/>
  <c r="H74" i="10"/>
  <c r="L74" i="10" s="1"/>
  <c r="K73" i="10"/>
  <c r="J73" i="10"/>
  <c r="H73" i="10"/>
  <c r="L73" i="10" s="1"/>
  <c r="K72" i="10"/>
  <c r="J72" i="10"/>
  <c r="H72" i="10"/>
  <c r="K71" i="10"/>
  <c r="J71" i="10"/>
  <c r="H71" i="10"/>
  <c r="L71" i="10" s="1"/>
  <c r="K70" i="10"/>
  <c r="J70" i="10"/>
  <c r="H70" i="10"/>
  <c r="L70" i="10" s="1"/>
  <c r="K68" i="10"/>
  <c r="J68" i="10"/>
  <c r="H68" i="10"/>
  <c r="L68" i="10" s="1"/>
  <c r="K67" i="10"/>
  <c r="J67" i="10"/>
  <c r="H67" i="10"/>
  <c r="L67" i="10" s="1"/>
  <c r="K66" i="10"/>
  <c r="J66" i="10"/>
  <c r="H66" i="10"/>
  <c r="L66" i="10" s="1"/>
  <c r="K65" i="10"/>
  <c r="J65" i="10"/>
  <c r="H65" i="10"/>
  <c r="L65" i="10" s="1"/>
  <c r="K64" i="10"/>
  <c r="J64" i="10"/>
  <c r="H64" i="10"/>
  <c r="L64" i="10" s="1"/>
  <c r="K63" i="10"/>
  <c r="J63" i="10"/>
  <c r="H63" i="10"/>
  <c r="L63" i="10" s="1"/>
  <c r="K62" i="10"/>
  <c r="J62" i="10"/>
  <c r="H62" i="10"/>
  <c r="L62" i="10" s="1"/>
  <c r="K61" i="10"/>
  <c r="J61" i="10"/>
  <c r="H61" i="10"/>
  <c r="L61" i="10" s="1"/>
  <c r="K60" i="10"/>
  <c r="J60" i="10"/>
  <c r="H60" i="10"/>
  <c r="L60" i="10" s="1"/>
  <c r="K59" i="10"/>
  <c r="J59" i="10"/>
  <c r="J82" i="10" s="1"/>
  <c r="J6" i="10" s="1"/>
  <c r="H59" i="10"/>
  <c r="B58" i="10"/>
  <c r="A58" i="10"/>
  <c r="L52" i="10"/>
  <c r="K52" i="10"/>
  <c r="J52" i="10"/>
  <c r="H52" i="10"/>
  <c r="L51" i="10"/>
  <c r="K51" i="10"/>
  <c r="J51" i="10"/>
  <c r="H51" i="10"/>
  <c r="L50" i="10"/>
  <c r="K50" i="10"/>
  <c r="J50" i="10"/>
  <c r="H50" i="10"/>
  <c r="L49" i="10"/>
  <c r="K49" i="10"/>
  <c r="J49" i="10"/>
  <c r="H49" i="10"/>
  <c r="L48" i="10"/>
  <c r="K48" i="10"/>
  <c r="J48" i="10"/>
  <c r="H48" i="10"/>
  <c r="L47" i="10"/>
  <c r="K47" i="10"/>
  <c r="J47" i="10"/>
  <c r="H47" i="10"/>
  <c r="L46" i="10"/>
  <c r="K46" i="10"/>
  <c r="J46" i="10"/>
  <c r="H46" i="10"/>
  <c r="L45" i="10"/>
  <c r="K45" i="10"/>
  <c r="J45" i="10"/>
  <c r="H45" i="10"/>
  <c r="L44" i="10"/>
  <c r="K44" i="10"/>
  <c r="J44" i="10"/>
  <c r="H44" i="10"/>
  <c r="L43" i="10"/>
  <c r="K43" i="10"/>
  <c r="J43" i="10"/>
  <c r="H43" i="10"/>
  <c r="L42" i="10"/>
  <c r="L56" i="10" s="1"/>
  <c r="L5" i="10" s="1"/>
  <c r="K42" i="10"/>
  <c r="J42" i="10"/>
  <c r="J56" i="10" s="1"/>
  <c r="J5" i="10" s="1"/>
  <c r="H42" i="10"/>
  <c r="H56" i="10" s="1"/>
  <c r="H5" i="10" s="1"/>
  <c r="B41" i="10"/>
  <c r="A41" i="10"/>
  <c r="H39" i="10"/>
  <c r="H4" i="10" s="1"/>
  <c r="L38" i="10"/>
  <c r="K38" i="10"/>
  <c r="K37" i="10"/>
  <c r="J37" i="10"/>
  <c r="H37" i="10"/>
  <c r="L37" i="10" s="1"/>
  <c r="K36" i="10"/>
  <c r="J36" i="10"/>
  <c r="H36" i="10"/>
  <c r="L36" i="10" s="1"/>
  <c r="K35" i="10"/>
  <c r="J35" i="10"/>
  <c r="H35" i="10"/>
  <c r="L35" i="10" s="1"/>
  <c r="K34" i="10"/>
  <c r="J34" i="10"/>
  <c r="H34" i="10"/>
  <c r="L34" i="10" s="1"/>
  <c r="K33" i="10"/>
  <c r="J33" i="10"/>
  <c r="J39" i="10" s="1"/>
  <c r="J4" i="10" s="1"/>
  <c r="H33" i="10"/>
  <c r="L33" i="10" s="1"/>
  <c r="B32" i="10"/>
  <c r="A32" i="10"/>
  <c r="J26" i="10"/>
  <c r="H26" i="10"/>
  <c r="E25" i="10"/>
  <c r="E24" i="10"/>
  <c r="E23" i="10"/>
  <c r="E22" i="10"/>
  <c r="E15" i="10"/>
  <c r="J14" i="10"/>
  <c r="E14" i="10"/>
  <c r="E13" i="10"/>
  <c r="E12" i="10"/>
  <c r="E11" i="10"/>
  <c r="E10" i="10"/>
  <c r="E9" i="10"/>
  <c r="E8" i="10"/>
  <c r="E7" i="10"/>
  <c r="E6" i="10"/>
  <c r="E5" i="10"/>
  <c r="E4" i="10"/>
  <c r="H214" i="10" l="1"/>
  <c r="H15" i="10" s="1"/>
  <c r="J214" i="10"/>
  <c r="J15" i="10" s="1"/>
  <c r="L214" i="10"/>
  <c r="L15" i="10" s="1"/>
  <c r="L167" i="10"/>
  <c r="L169" i="10" s="1"/>
  <c r="L11" i="10" s="1"/>
  <c r="H189" i="10"/>
  <c r="H12" i="10" s="1"/>
  <c r="H112" i="10"/>
  <c r="H7" i="10" s="1"/>
  <c r="J164" i="10"/>
  <c r="J10" i="10" s="1"/>
  <c r="L150" i="10"/>
  <c r="L142" i="10"/>
  <c r="H164" i="10"/>
  <c r="H10" i="10" s="1"/>
  <c r="L121" i="10"/>
  <c r="L8" i="10" s="1"/>
  <c r="H82" i="10"/>
  <c r="H6" i="10" s="1"/>
  <c r="L72" i="10"/>
  <c r="L39" i="10"/>
  <c r="L4" i="10" s="1"/>
  <c r="J189" i="10"/>
  <c r="J12" i="10" s="1"/>
  <c r="J11" i="10"/>
  <c r="L59" i="10"/>
  <c r="L82" i="10" s="1"/>
  <c r="L6" i="10" s="1"/>
  <c r="L138" i="10"/>
  <c r="L164" i="10" s="1"/>
  <c r="L10" i="10" s="1"/>
  <c r="L172" i="10"/>
  <c r="L189" i="10" s="1"/>
  <c r="L12" i="10" s="1"/>
  <c r="L85" i="10"/>
  <c r="L112" i="10" s="1"/>
  <c r="L7" i="10" s="1"/>
  <c r="L192" i="10"/>
  <c r="L196" i="10" s="1"/>
  <c r="L13" i="10" s="1"/>
  <c r="H121" i="10"/>
  <c r="H8" i="10" s="1"/>
  <c r="K168" i="8"/>
  <c r="H168" i="8"/>
  <c r="L168" i="8" s="1"/>
  <c r="J20" i="10" l="1"/>
  <c r="J27" i="10" s="1"/>
  <c r="H20" i="10"/>
  <c r="H27" i="10" s="1"/>
  <c r="L20" i="10"/>
  <c r="K42" i="8"/>
  <c r="H172" i="8"/>
  <c r="H173" i="8"/>
  <c r="L25" i="10" l="1"/>
  <c r="L26" i="10" s="1"/>
  <c r="L27" i="10" s="1"/>
  <c r="L28" i="10" s="1"/>
  <c r="K99" i="8"/>
  <c r="J99" i="8"/>
  <c r="H99" i="8"/>
  <c r="K48" i="8"/>
  <c r="J48" i="8"/>
  <c r="H48" i="8"/>
  <c r="K130" i="8"/>
  <c r="J130" i="8"/>
  <c r="H130" i="8"/>
  <c r="L130" i="8" s="1"/>
  <c r="K127" i="8"/>
  <c r="J127" i="8"/>
  <c r="H127" i="8"/>
  <c r="K193" i="8"/>
  <c r="J193" i="8"/>
  <c r="H193" i="8"/>
  <c r="K52" i="8"/>
  <c r="J52" i="8"/>
  <c r="H52" i="8"/>
  <c r="K211" i="8"/>
  <c r="J211" i="8"/>
  <c r="H211" i="8"/>
  <c r="K210" i="8"/>
  <c r="J210" i="8"/>
  <c r="H210" i="8"/>
  <c r="K209" i="8"/>
  <c r="J209" i="8"/>
  <c r="H209" i="8"/>
  <c r="K208" i="8"/>
  <c r="J208" i="8"/>
  <c r="H208" i="8"/>
  <c r="A204" i="8"/>
  <c r="A198" i="8"/>
  <c r="A84" i="8"/>
  <c r="A58" i="8"/>
  <c r="A41" i="8"/>
  <c r="K161" i="8"/>
  <c r="J161" i="8"/>
  <c r="H161" i="8"/>
  <c r="K160" i="8"/>
  <c r="J160" i="8"/>
  <c r="H160" i="8"/>
  <c r="K159" i="8"/>
  <c r="J159" i="8"/>
  <c r="H159" i="8"/>
  <c r="K158" i="8"/>
  <c r="J158" i="8"/>
  <c r="H158" i="8"/>
  <c r="K153" i="8"/>
  <c r="J153" i="8"/>
  <c r="H153" i="8"/>
  <c r="K144" i="8"/>
  <c r="J144" i="8"/>
  <c r="H144" i="8"/>
  <c r="K151" i="8"/>
  <c r="J151" i="8"/>
  <c r="H151" i="8"/>
  <c r="K143" i="8"/>
  <c r="J143" i="8"/>
  <c r="H143" i="8"/>
  <c r="K149" i="8"/>
  <c r="J149" i="8"/>
  <c r="H149" i="8"/>
  <c r="K146" i="8"/>
  <c r="J146" i="8"/>
  <c r="H146" i="8"/>
  <c r="K147" i="8"/>
  <c r="J147" i="8"/>
  <c r="H147" i="8"/>
  <c r="K142" i="8"/>
  <c r="J142" i="8"/>
  <c r="H142" i="8"/>
  <c r="K140" i="8"/>
  <c r="J140" i="8"/>
  <c r="H140" i="8"/>
  <c r="K187" i="8"/>
  <c r="J187" i="8"/>
  <c r="H187" i="8"/>
  <c r="K186" i="8"/>
  <c r="J186" i="8"/>
  <c r="H186" i="8"/>
  <c r="K185" i="8"/>
  <c r="J185" i="8"/>
  <c r="H185" i="8"/>
  <c r="K184" i="8"/>
  <c r="J184" i="8"/>
  <c r="H184" i="8"/>
  <c r="J44" i="8"/>
  <c r="J45" i="8"/>
  <c r="K44" i="8"/>
  <c r="H44" i="8"/>
  <c r="K183" i="8"/>
  <c r="J183" i="8"/>
  <c r="H183" i="8"/>
  <c r="K182" i="8"/>
  <c r="J182" i="8"/>
  <c r="H182" i="8"/>
  <c r="K181" i="8"/>
  <c r="J181" i="8"/>
  <c r="H181" i="8"/>
  <c r="K180" i="8"/>
  <c r="J180" i="8"/>
  <c r="H180" i="8"/>
  <c r="K179" i="8"/>
  <c r="J179" i="8"/>
  <c r="H179" i="8"/>
  <c r="K178" i="8"/>
  <c r="J178" i="8"/>
  <c r="H178" i="8"/>
  <c r="K177" i="8"/>
  <c r="J177" i="8"/>
  <c r="H177" i="8"/>
  <c r="K176" i="8"/>
  <c r="J176" i="8"/>
  <c r="H176" i="8"/>
  <c r="K175" i="8"/>
  <c r="J175" i="8"/>
  <c r="H175" i="8"/>
  <c r="K174" i="8"/>
  <c r="J174" i="8"/>
  <c r="H174" i="8"/>
  <c r="K105" i="8"/>
  <c r="J105" i="8"/>
  <c r="H105" i="8"/>
  <c r="K104" i="8"/>
  <c r="J104" i="8"/>
  <c r="H104" i="8"/>
  <c r="K207" i="8"/>
  <c r="J207" i="8"/>
  <c r="H207" i="8"/>
  <c r="K206" i="8"/>
  <c r="J206" i="8"/>
  <c r="H206" i="8"/>
  <c r="B204" i="8"/>
  <c r="K205" i="8"/>
  <c r="J205" i="8"/>
  <c r="H205" i="8"/>
  <c r="B198" i="8"/>
  <c r="E15" i="8"/>
  <c r="E14" i="8"/>
  <c r="K199" i="8"/>
  <c r="J199" i="8"/>
  <c r="H199" i="8"/>
  <c r="H202" i="8" s="1"/>
  <c r="H14" i="8" s="1"/>
  <c r="K157" i="8"/>
  <c r="J157" i="8"/>
  <c r="H157" i="8"/>
  <c r="J110" i="8"/>
  <c r="K132" i="8"/>
  <c r="J132" i="8"/>
  <c r="H132" i="8"/>
  <c r="J46" i="8"/>
  <c r="H46" i="8"/>
  <c r="K92" i="8"/>
  <c r="J92" i="8"/>
  <c r="H92" i="8"/>
  <c r="K93" i="8"/>
  <c r="J93" i="8"/>
  <c r="H93" i="8"/>
  <c r="K94" i="8"/>
  <c r="J94" i="8"/>
  <c r="H94" i="8"/>
  <c r="K96" i="8"/>
  <c r="J96" i="8"/>
  <c r="H96" i="8"/>
  <c r="K95" i="8"/>
  <c r="J95" i="8"/>
  <c r="H95" i="8"/>
  <c r="K108" i="8"/>
  <c r="J108" i="8"/>
  <c r="H108" i="8"/>
  <c r="K109" i="8"/>
  <c r="J109" i="8"/>
  <c r="H109" i="8"/>
  <c r="K107" i="8"/>
  <c r="J107" i="8"/>
  <c r="H107" i="8"/>
  <c r="K102" i="8"/>
  <c r="J102" i="8"/>
  <c r="H102" i="8"/>
  <c r="K88" i="8"/>
  <c r="J88" i="8"/>
  <c r="H88" i="8"/>
  <c r="K106" i="8"/>
  <c r="J106" i="8"/>
  <c r="H106" i="8"/>
  <c r="K103" i="8"/>
  <c r="J103" i="8"/>
  <c r="H103" i="8"/>
  <c r="K101" i="8"/>
  <c r="J101" i="8"/>
  <c r="H101" i="8"/>
  <c r="K100" i="8"/>
  <c r="J100" i="8"/>
  <c r="H100" i="8"/>
  <c r="K98" i="8"/>
  <c r="J98" i="8"/>
  <c r="H98" i="8"/>
  <c r="K97" i="8"/>
  <c r="J97" i="8"/>
  <c r="H97" i="8"/>
  <c r="K91" i="8"/>
  <c r="J91" i="8"/>
  <c r="H91" i="8"/>
  <c r="K90" i="8"/>
  <c r="J90" i="8"/>
  <c r="H90" i="8"/>
  <c r="K89" i="8"/>
  <c r="J89" i="8"/>
  <c r="H89" i="8"/>
  <c r="K87" i="8"/>
  <c r="J87" i="8"/>
  <c r="H87" i="8"/>
  <c r="K76" i="8"/>
  <c r="J76" i="8"/>
  <c r="H76" i="8"/>
  <c r="B84" i="8"/>
  <c r="E7" i="8"/>
  <c r="K110" i="8"/>
  <c r="H110" i="8"/>
  <c r="K86" i="8"/>
  <c r="J86" i="8"/>
  <c r="H86" i="8"/>
  <c r="K85" i="8"/>
  <c r="J85" i="8"/>
  <c r="H85" i="8"/>
  <c r="K125" i="8"/>
  <c r="J125" i="8"/>
  <c r="H125" i="8"/>
  <c r="K119" i="8"/>
  <c r="J119" i="8"/>
  <c r="H119" i="8"/>
  <c r="K75" i="8"/>
  <c r="J75" i="8"/>
  <c r="H75" i="8"/>
  <c r="K72" i="8"/>
  <c r="J72" i="8"/>
  <c r="H72" i="8"/>
  <c r="K80" i="8"/>
  <c r="J80" i="8"/>
  <c r="H80" i="8"/>
  <c r="K73" i="8"/>
  <c r="J73" i="8"/>
  <c r="H73" i="8"/>
  <c r="K68" i="8"/>
  <c r="J68" i="8"/>
  <c r="H68" i="8"/>
  <c r="K67" i="8"/>
  <c r="J67" i="8"/>
  <c r="H67" i="8"/>
  <c r="K66" i="8"/>
  <c r="J66" i="8"/>
  <c r="H66" i="8"/>
  <c r="K65" i="8"/>
  <c r="J65" i="8"/>
  <c r="H65" i="8"/>
  <c r="K64" i="8"/>
  <c r="J64" i="8"/>
  <c r="H64" i="8"/>
  <c r="K63" i="8"/>
  <c r="J63" i="8"/>
  <c r="H63" i="8"/>
  <c r="K62" i="8"/>
  <c r="J62" i="8"/>
  <c r="H62" i="8"/>
  <c r="K71" i="8"/>
  <c r="J71" i="8"/>
  <c r="H71" i="8"/>
  <c r="K70" i="8"/>
  <c r="J70" i="8"/>
  <c r="H70" i="8"/>
  <c r="K61" i="8"/>
  <c r="J61" i="8"/>
  <c r="H61" i="8"/>
  <c r="K60" i="8"/>
  <c r="J60" i="8"/>
  <c r="H60" i="8"/>
  <c r="K79" i="8"/>
  <c r="J79" i="8"/>
  <c r="H79" i="8"/>
  <c r="K50" i="8"/>
  <c r="J50" i="8"/>
  <c r="H50" i="8"/>
  <c r="K43" i="8"/>
  <c r="J43" i="8"/>
  <c r="H43" i="8"/>
  <c r="K46" i="8"/>
  <c r="K37" i="8"/>
  <c r="J37" i="8"/>
  <c r="H37" i="8"/>
  <c r="K45" i="8"/>
  <c r="H45" i="8"/>
  <c r="K78" i="8"/>
  <c r="J78" i="8"/>
  <c r="H78" i="8"/>
  <c r="K77" i="8"/>
  <c r="J77" i="8"/>
  <c r="H77" i="8"/>
  <c r="K74" i="8"/>
  <c r="J74" i="8"/>
  <c r="H74" i="8"/>
  <c r="K59" i="8"/>
  <c r="J59" i="8"/>
  <c r="H59" i="8"/>
  <c r="K51" i="8"/>
  <c r="J51" i="8"/>
  <c r="H51" i="8"/>
  <c r="K49" i="8"/>
  <c r="J49" i="8"/>
  <c r="H49" i="8"/>
  <c r="K47" i="8"/>
  <c r="J47" i="8"/>
  <c r="H47" i="8"/>
  <c r="J42" i="8"/>
  <c r="H42" i="8"/>
  <c r="B58" i="8"/>
  <c r="B41" i="8"/>
  <c r="E5" i="8"/>
  <c r="K152" i="8"/>
  <c r="J152" i="8"/>
  <c r="H152" i="8"/>
  <c r="K173" i="8"/>
  <c r="J173" i="8"/>
  <c r="K172" i="8"/>
  <c r="J172" i="8"/>
  <c r="J202" i="8" l="1"/>
  <c r="J14" i="8"/>
  <c r="L99" i="8"/>
  <c r="L178" i="8"/>
  <c r="L48" i="8"/>
  <c r="L127" i="8"/>
  <c r="L193" i="8"/>
  <c r="L208" i="8"/>
  <c r="L52" i="8"/>
  <c r="L144" i="8"/>
  <c r="L151" i="8"/>
  <c r="L140" i="8"/>
  <c r="L149" i="8"/>
  <c r="L161" i="8"/>
  <c r="L175" i="8"/>
  <c r="L211" i="8"/>
  <c r="L143" i="8"/>
  <c r="L209" i="8"/>
  <c r="L210" i="8"/>
  <c r="L160" i="8"/>
  <c r="L147" i="8"/>
  <c r="L146" i="8"/>
  <c r="L142" i="8"/>
  <c r="L159" i="8"/>
  <c r="L158" i="8"/>
  <c r="L153" i="8"/>
  <c r="L187" i="8"/>
  <c r="L176" i="8"/>
  <c r="L186" i="8"/>
  <c r="L179" i="8"/>
  <c r="L183" i="8"/>
  <c r="L185" i="8"/>
  <c r="L184" i="8"/>
  <c r="L181" i="8"/>
  <c r="L44" i="8"/>
  <c r="L182" i="8"/>
  <c r="L109" i="8"/>
  <c r="L174" i="8"/>
  <c r="L177" i="8"/>
  <c r="L105" i="8"/>
  <c r="L180" i="8"/>
  <c r="L205" i="8"/>
  <c r="L104" i="8"/>
  <c r="L207" i="8"/>
  <c r="L110" i="8"/>
  <c r="J214" i="8"/>
  <c r="J15" i="8" s="1"/>
  <c r="L206" i="8"/>
  <c r="H214" i="8"/>
  <c r="H15" i="8" s="1"/>
  <c r="L199" i="8"/>
  <c r="L202" i="8" s="1"/>
  <c r="L14" i="8" s="1"/>
  <c r="L157" i="8"/>
  <c r="L79" i="8"/>
  <c r="L63" i="8"/>
  <c r="L132" i="8"/>
  <c r="L96" i="8"/>
  <c r="L94" i="8"/>
  <c r="L93" i="8"/>
  <c r="L92" i="8"/>
  <c r="L95" i="8"/>
  <c r="L108" i="8"/>
  <c r="L125" i="8"/>
  <c r="L90" i="8"/>
  <c r="L88" i="8"/>
  <c r="L89" i="8"/>
  <c r="L98" i="8"/>
  <c r="L106" i="8"/>
  <c r="L87" i="8"/>
  <c r="L97" i="8"/>
  <c r="L107" i="8"/>
  <c r="L85" i="8"/>
  <c r="L101" i="8"/>
  <c r="L103" i="8"/>
  <c r="L102" i="8"/>
  <c r="L100" i="8"/>
  <c r="L91" i="8"/>
  <c r="J112" i="8"/>
  <c r="J7" i="8" s="1"/>
  <c r="H112" i="8"/>
  <c r="H7" i="8" s="1"/>
  <c r="L76" i="8"/>
  <c r="L86" i="8"/>
  <c r="J56" i="8"/>
  <c r="J5" i="8" s="1"/>
  <c r="H56" i="8"/>
  <c r="H5" i="8" s="1"/>
  <c r="L119" i="8"/>
  <c r="L72" i="8"/>
  <c r="H82" i="8"/>
  <c r="H6" i="8" s="1"/>
  <c r="L50" i="8"/>
  <c r="L75" i="8"/>
  <c r="J82" i="8"/>
  <c r="J6" i="8" s="1"/>
  <c r="L80" i="8"/>
  <c r="L73" i="8"/>
  <c r="L64" i="8"/>
  <c r="L68" i="8"/>
  <c r="L61" i="8"/>
  <c r="L60" i="8"/>
  <c r="L71" i="8"/>
  <c r="L70" i="8"/>
  <c r="L67" i="8"/>
  <c r="L66" i="8"/>
  <c r="L62" i="8"/>
  <c r="L65" i="8"/>
  <c r="L78" i="8"/>
  <c r="L37" i="8"/>
  <c r="L51" i="8"/>
  <c r="L43" i="8"/>
  <c r="L46" i="8"/>
  <c r="L45" i="8"/>
  <c r="L47" i="8"/>
  <c r="L77" i="8"/>
  <c r="L74" i="8"/>
  <c r="L42" i="8"/>
  <c r="L49" i="8"/>
  <c r="L59" i="8"/>
  <c r="L173" i="8"/>
  <c r="L152" i="8"/>
  <c r="L172" i="8"/>
  <c r="K167" i="8"/>
  <c r="H167" i="8"/>
  <c r="B191" i="8"/>
  <c r="A191" i="8"/>
  <c r="K192" i="8"/>
  <c r="J192" i="8"/>
  <c r="J196" i="8" s="1"/>
  <c r="J13" i="8" s="1"/>
  <c r="H192" i="8"/>
  <c r="E118" i="8"/>
  <c r="K124" i="8"/>
  <c r="J124" i="8"/>
  <c r="H124" i="8"/>
  <c r="K33" i="8"/>
  <c r="J33" i="8"/>
  <c r="H33" i="8"/>
  <c r="L112" i="8" l="1"/>
  <c r="L7" i="8" s="1"/>
  <c r="L82" i="8"/>
  <c r="L214" i="8"/>
  <c r="L15" i="8" s="1"/>
  <c r="L56" i="8"/>
  <c r="L192" i="8"/>
  <c r="L196" i="8" s="1"/>
  <c r="L13" i="8" s="1"/>
  <c r="L124" i="8"/>
  <c r="H196" i="8"/>
  <c r="H13" i="8" s="1"/>
  <c r="L33" i="8"/>
  <c r="E13" i="8" l="1"/>
  <c r="A166" i="8"/>
  <c r="B171" i="8"/>
  <c r="A171" i="8"/>
  <c r="B166" i="8"/>
  <c r="J162" i="8"/>
  <c r="J156" i="8"/>
  <c r="J155" i="8"/>
  <c r="J154" i="8"/>
  <c r="J150" i="8"/>
  <c r="J148" i="8"/>
  <c r="K162" i="8"/>
  <c r="K156" i="8"/>
  <c r="K155" i="8"/>
  <c r="K154" i="8"/>
  <c r="K150" i="8"/>
  <c r="H162" i="8"/>
  <c r="H156" i="8"/>
  <c r="H155" i="8"/>
  <c r="H154" i="8"/>
  <c r="H150" i="8"/>
  <c r="H148" i="8"/>
  <c r="H145" i="8"/>
  <c r="H141" i="8"/>
  <c r="H139" i="8"/>
  <c r="B137" i="8"/>
  <c r="A137" i="8"/>
  <c r="K148" i="8"/>
  <c r="K145" i="8"/>
  <c r="J145" i="8"/>
  <c r="K141" i="8"/>
  <c r="J141" i="8"/>
  <c r="K139" i="8"/>
  <c r="J139" i="8"/>
  <c r="K138" i="8"/>
  <c r="J138" i="8"/>
  <c r="H138" i="8"/>
  <c r="J133" i="8"/>
  <c r="J131" i="8"/>
  <c r="B123" i="8"/>
  <c r="A123" i="8"/>
  <c r="K133" i="8"/>
  <c r="H133" i="8"/>
  <c r="K131" i="8"/>
  <c r="H131" i="8"/>
  <c r="K129" i="8"/>
  <c r="J129" i="8"/>
  <c r="H129" i="8"/>
  <c r="K128" i="8"/>
  <c r="J128" i="8"/>
  <c r="H128" i="8"/>
  <c r="K126" i="8"/>
  <c r="J126" i="8"/>
  <c r="H126" i="8"/>
  <c r="A115" i="8"/>
  <c r="H118" i="8"/>
  <c r="L118" i="8" s="1"/>
  <c r="B115" i="8"/>
  <c r="K118" i="8"/>
  <c r="K117" i="8"/>
  <c r="J117" i="8"/>
  <c r="H117" i="8"/>
  <c r="K116" i="8"/>
  <c r="J116" i="8"/>
  <c r="H116" i="8"/>
  <c r="J135" i="8" l="1"/>
  <c r="J9" i="8" s="1"/>
  <c r="H135" i="8"/>
  <c r="H9" i="8" s="1"/>
  <c r="H121" i="8"/>
  <c r="H8" i="8" s="1"/>
  <c r="J121" i="8"/>
  <c r="J8" i="8" s="1"/>
  <c r="L150" i="8"/>
  <c r="L156" i="8"/>
  <c r="L162" i="8"/>
  <c r="H189" i="8"/>
  <c r="H12" i="8" s="1"/>
  <c r="L148" i="8"/>
  <c r="L155" i="8"/>
  <c r="J169" i="8"/>
  <c r="J11" i="8" s="1"/>
  <c r="H169" i="8"/>
  <c r="H11" i="8" s="1"/>
  <c r="L133" i="8"/>
  <c r="L117" i="8"/>
  <c r="L138" i="8"/>
  <c r="L154" i="8"/>
  <c r="H164" i="8"/>
  <c r="H10" i="8" s="1"/>
  <c r="J164" i="8"/>
  <c r="J10" i="8" s="1"/>
  <c r="L139" i="8"/>
  <c r="L141" i="8"/>
  <c r="L145" i="8"/>
  <c r="L131" i="8"/>
  <c r="L126" i="8"/>
  <c r="L128" i="8"/>
  <c r="L116" i="8"/>
  <c r="L121" i="8" s="1"/>
  <c r="L129" i="8"/>
  <c r="L38" i="8"/>
  <c r="K38" i="8"/>
  <c r="K36" i="8"/>
  <c r="K35" i="8"/>
  <c r="K34" i="8"/>
  <c r="H36" i="8"/>
  <c r="J36" i="8"/>
  <c r="H35" i="8"/>
  <c r="H34" i="8"/>
  <c r="J34" i="8"/>
  <c r="J35" i="8"/>
  <c r="E12" i="8"/>
  <c r="E11" i="8"/>
  <c r="L57" i="6"/>
  <c r="G48" i="6"/>
  <c r="F42" i="6"/>
  <c r="L135" i="8" l="1"/>
  <c r="L9" i="8" s="1"/>
  <c r="L164" i="8"/>
  <c r="L10" i="8" s="1"/>
  <c r="L8" i="8"/>
  <c r="H39" i="8"/>
  <c r="J39" i="8"/>
  <c r="L169" i="8"/>
  <c r="L11" i="8" s="1"/>
  <c r="L189" i="8"/>
  <c r="L12" i="8" s="1"/>
  <c r="L34" i="8"/>
  <c r="L6" i="8"/>
  <c r="L5" i="8"/>
  <c r="L36" i="8"/>
  <c r="L35" i="8"/>
  <c r="F43" i="6"/>
  <c r="F44" i="6" s="1"/>
  <c r="L39" i="8" l="1"/>
  <c r="F45" i="6"/>
  <c r="F48" i="6" s="1"/>
  <c r="A32" i="8" l="1"/>
  <c r="B32" i="8"/>
  <c r="E4" i="8"/>
  <c r="L4" i="8" l="1"/>
  <c r="J4" i="8"/>
  <c r="H4" i="8"/>
  <c r="H20" i="8" s="1"/>
  <c r="F37" i="6" s="1"/>
  <c r="F39" i="6" s="1"/>
  <c r="F50" i="6" s="1"/>
  <c r="H26" i="8"/>
  <c r="J26" i="8" s="1"/>
  <c r="E6" i="8"/>
  <c r="E8" i="8"/>
  <c r="E9" i="8"/>
  <c r="E10" i="8"/>
  <c r="E22" i="8"/>
  <c r="E23" i="8"/>
  <c r="E24" i="8"/>
  <c r="E25" i="8"/>
  <c r="L20" i="8" l="1"/>
  <c r="L25" i="8" s="1"/>
  <c r="H45" i="6" s="1"/>
  <c r="H44" i="6"/>
  <c r="J189" i="8"/>
  <c r="J12" i="8" s="1"/>
  <c r="J20" i="8" s="1"/>
  <c r="G37" i="6" s="1"/>
  <c r="G39" i="6" s="1"/>
  <c r="G50" i="6" s="1"/>
  <c r="H27" i="8"/>
  <c r="H37" i="6" l="1"/>
  <c r="H39" i="6" s="1"/>
  <c r="J27" i="8"/>
  <c r="H43" i="6"/>
  <c r="H42" i="6"/>
  <c r="H48" i="6" l="1"/>
  <c r="H50" i="6" s="1"/>
  <c r="H51" i="6" s="1"/>
  <c r="L26" i="8"/>
  <c r="L27" i="8" s="1"/>
  <c r="L28" i="8" s="1"/>
  <c r="A26" i="6" l="1"/>
  <c r="R57" i="6"/>
</calcChain>
</file>

<file path=xl/sharedStrings.xml><?xml version="1.0" encoding="utf-8"?>
<sst xmlns="http://schemas.openxmlformats.org/spreadsheetml/2006/main" count="1185" uniqueCount="331">
  <si>
    <t>합계</t>
  </si>
  <si>
    <t>비  고</t>
  </si>
  <si>
    <t>단위</t>
    <phoneticPr fontId="139" type="noConversion"/>
  </si>
  <si>
    <t>명        칭</t>
    <phoneticPr fontId="139" type="noConversion"/>
  </si>
  <si>
    <t xml:space="preserve"> </t>
  </si>
  <si>
    <t xml:space="preserve">                                             工 事 名 : </t>
    <phoneticPr fontId="2" type="noConversion"/>
  </si>
  <si>
    <t>TO.</t>
    <phoneticPr fontId="2" type="noConversion"/>
  </si>
  <si>
    <t>수량</t>
    <phoneticPr fontId="139" type="noConversion"/>
  </si>
  <si>
    <t>식</t>
    <phoneticPr fontId="1" type="noConversion"/>
  </si>
  <si>
    <t>(V.A.T 별도)</t>
    <phoneticPr fontId="1" type="noConversion"/>
  </si>
  <si>
    <t>총     액</t>
    <phoneticPr fontId="1" type="noConversion"/>
  </si>
  <si>
    <t>납품 또는 시공완료예정일/ESTIMATED DATE OF COMPLETION</t>
    <phoneticPr fontId="1" type="noConversion"/>
  </si>
  <si>
    <t>착수보증금/DEPOSIT</t>
    <phoneticPr fontId="1" type="noConversion"/>
  </si>
  <si>
    <t>납품 또는 시공장소/DESTINATION AND/OR CONSTRUCTION SITE</t>
    <phoneticPr fontId="1" type="noConversion"/>
  </si>
  <si>
    <t>고객이름 및 서명/CLIENT'S NAME &amp; SIGNATURE</t>
    <phoneticPr fontId="1" type="noConversion"/>
  </si>
  <si>
    <t>간접공사비</t>
    <phoneticPr fontId="1" type="noConversion"/>
  </si>
  <si>
    <t>인테리어공사</t>
    <phoneticPr fontId="2" type="noConversion"/>
  </si>
  <si>
    <t>직접공사비</t>
    <phoneticPr fontId="1" type="noConversion"/>
  </si>
  <si>
    <t>見  積  書</t>
    <phoneticPr fontId="139" type="noConversion"/>
  </si>
  <si>
    <t xml:space="preserve">工 事 名 :                         </t>
    <phoneticPr fontId="1" type="noConversion"/>
  </si>
  <si>
    <t>소계</t>
    <phoneticPr fontId="2" type="noConversion"/>
  </si>
  <si>
    <t>**견적기준</t>
    <phoneticPr fontId="2" type="noConversion"/>
  </si>
  <si>
    <t>(단수정리)</t>
    <phoneticPr fontId="2" type="noConversion"/>
  </si>
  <si>
    <t>합계</t>
    <phoneticPr fontId="2" type="noConversion"/>
  </si>
  <si>
    <t>간접접공사비계</t>
    <phoneticPr fontId="2" type="noConversion"/>
  </si>
  <si>
    <t>식</t>
    <phoneticPr fontId="2" type="noConversion"/>
  </si>
  <si>
    <t>직접공사비계</t>
    <phoneticPr fontId="2" type="noConversion"/>
  </si>
  <si>
    <t xml:space="preserve">공 사 명: </t>
    <phoneticPr fontId="2" type="noConversion"/>
  </si>
  <si>
    <t>**</t>
    <phoneticPr fontId="2" type="noConversion"/>
  </si>
  <si>
    <t>금액</t>
    <phoneticPr fontId="2" type="noConversion"/>
  </si>
  <si>
    <t>단가</t>
    <phoneticPr fontId="2" type="noConversion"/>
  </si>
  <si>
    <t>비고</t>
    <phoneticPr fontId="2" type="noConversion"/>
  </si>
  <si>
    <t>총액</t>
    <phoneticPr fontId="2" type="noConversion"/>
  </si>
  <si>
    <t>노무비</t>
    <phoneticPr fontId="2" type="noConversion"/>
  </si>
  <si>
    <t>재료비</t>
    <phoneticPr fontId="2" type="noConversion"/>
  </si>
  <si>
    <t>단위</t>
    <phoneticPr fontId="2" type="noConversion"/>
  </si>
  <si>
    <t>수량</t>
    <phoneticPr fontId="2" type="noConversion"/>
  </si>
  <si>
    <t>Spec.</t>
    <phoneticPr fontId="2" type="noConversion"/>
  </si>
  <si>
    <t>규격</t>
    <phoneticPr fontId="2" type="noConversion"/>
  </si>
  <si>
    <t>명칭</t>
    <phoneticPr fontId="2" type="noConversion"/>
  </si>
  <si>
    <t>번호</t>
    <phoneticPr fontId="2" type="noConversion"/>
  </si>
  <si>
    <t>2.VAT별도.</t>
    <phoneticPr fontId="1" type="noConversion"/>
  </si>
  <si>
    <t>계약일</t>
    <phoneticPr fontId="1" type="noConversion"/>
  </si>
  <si>
    <t>담당자</t>
    <phoneticPr fontId="1" type="noConversion"/>
  </si>
  <si>
    <t>고객명</t>
    <phoneticPr fontId="1" type="noConversion"/>
  </si>
  <si>
    <t>연락처</t>
    <phoneticPr fontId="1" type="noConversion"/>
  </si>
  <si>
    <t>현장주소</t>
    <phoneticPr fontId="1" type="noConversion"/>
  </si>
  <si>
    <t>견적가</t>
    <phoneticPr fontId="1" type="noConversion"/>
  </si>
  <si>
    <t>원정</t>
    <phoneticPr fontId="1" type="noConversion"/>
  </si>
  <si>
    <t>( \</t>
    <phoneticPr fontId="1" type="noConversion"/>
  </si>
  <si>
    <t>원 )</t>
    <phoneticPr fontId="1" type="noConversion"/>
  </si>
  <si>
    <t>일금</t>
    <phoneticPr fontId="1" type="noConversion"/>
  </si>
  <si>
    <t>下記와 같이 견적합니다.</t>
    <phoneticPr fontId="1" type="noConversion"/>
  </si>
  <si>
    <t>샤시 공사</t>
    <phoneticPr fontId="1" type="noConversion"/>
  </si>
  <si>
    <t>목공 공사</t>
    <phoneticPr fontId="2" type="noConversion"/>
  </si>
  <si>
    <t>도배 공사</t>
    <phoneticPr fontId="2" type="noConversion"/>
  </si>
  <si>
    <t>타일 공사</t>
    <phoneticPr fontId="1" type="noConversion"/>
  </si>
  <si>
    <t>욕실 공사</t>
    <phoneticPr fontId="1" type="noConversion"/>
  </si>
  <si>
    <t>가구 공사</t>
    <phoneticPr fontId="1" type="noConversion"/>
  </si>
  <si>
    <t>가설 공사</t>
    <phoneticPr fontId="2" type="noConversion"/>
  </si>
  <si>
    <t>Ⅰ</t>
    <phoneticPr fontId="1" type="noConversion"/>
  </si>
  <si>
    <t>NO</t>
    <phoneticPr fontId="2" type="noConversion"/>
  </si>
  <si>
    <t>규        격</t>
    <phoneticPr fontId="139" type="noConversion"/>
  </si>
  <si>
    <t>재 료 비</t>
    <phoneticPr fontId="1" type="noConversion"/>
  </si>
  <si>
    <t>노 무 비</t>
    <phoneticPr fontId="1" type="noConversion"/>
  </si>
  <si>
    <t>소계(A)</t>
    <phoneticPr fontId="2" type="noConversion"/>
  </si>
  <si>
    <t>Ⅱ</t>
    <phoneticPr fontId="1" type="noConversion"/>
  </si>
  <si>
    <t>Ⅲ</t>
    <phoneticPr fontId="1" type="noConversion"/>
  </si>
  <si>
    <t>Ⅳ</t>
    <phoneticPr fontId="1" type="noConversion"/>
  </si>
  <si>
    <t>Ⅴ</t>
    <phoneticPr fontId="1" type="noConversion"/>
  </si>
  <si>
    <t>소계(B)</t>
    <phoneticPr fontId="1" type="noConversion"/>
  </si>
  <si>
    <t>현장정리</t>
    <phoneticPr fontId="1" type="noConversion"/>
  </si>
  <si>
    <t>준공청소</t>
    <phoneticPr fontId="1" type="noConversion"/>
  </si>
  <si>
    <t>자재소운반</t>
    <phoneticPr fontId="1" type="noConversion"/>
  </si>
  <si>
    <t>폐기물</t>
    <phoneticPr fontId="1" type="noConversion"/>
  </si>
  <si>
    <t>차</t>
    <phoneticPr fontId="1" type="noConversion"/>
  </si>
  <si>
    <t>M2</t>
  </si>
  <si>
    <t>인</t>
    <phoneticPr fontId="1" type="noConversion"/>
  </si>
  <si>
    <t>목공노임</t>
    <phoneticPr fontId="1" type="noConversion"/>
  </si>
  <si>
    <t>식</t>
    <phoneticPr fontId="1" type="noConversion"/>
  </si>
  <si>
    <t>부자재</t>
    <phoneticPr fontId="1" type="noConversion"/>
  </si>
  <si>
    <t>내부지정철거</t>
    <phoneticPr fontId="1" type="noConversion"/>
  </si>
  <si>
    <t>화장실 철거</t>
    <phoneticPr fontId="2" type="noConversion"/>
  </si>
  <si>
    <t>노임</t>
    <phoneticPr fontId="1" type="noConversion"/>
  </si>
  <si>
    <t>도배 자재</t>
    <phoneticPr fontId="2" type="noConversion"/>
  </si>
  <si>
    <t>천정,실크</t>
    <phoneticPr fontId="2" type="noConversion"/>
  </si>
  <si>
    <t>벽면,실크</t>
    <phoneticPr fontId="2" type="noConversion"/>
  </si>
  <si>
    <t>인</t>
    <phoneticPr fontId="1" type="noConversion"/>
  </si>
  <si>
    <t>EA</t>
    <phoneticPr fontId="1" type="noConversion"/>
  </si>
  <si>
    <t>타일부자재</t>
    <phoneticPr fontId="157" type="noConversion"/>
  </si>
  <si>
    <t>시공비</t>
    <phoneticPr fontId="157" type="noConversion"/>
  </si>
  <si>
    <t>세면수전</t>
    <phoneticPr fontId="157" type="noConversion"/>
  </si>
  <si>
    <t>욕실장</t>
    <phoneticPr fontId="157" type="noConversion"/>
  </si>
  <si>
    <t>거울</t>
    <phoneticPr fontId="157" type="noConversion"/>
  </si>
  <si>
    <t>천정돔</t>
    <phoneticPr fontId="157" type="noConversion"/>
  </si>
  <si>
    <t>액세서리</t>
    <phoneticPr fontId="157" type="noConversion"/>
  </si>
  <si>
    <t>코너선반</t>
    <phoneticPr fontId="157" type="noConversion"/>
  </si>
  <si>
    <t>EA</t>
    <phoneticPr fontId="1" type="noConversion"/>
  </si>
  <si>
    <t>SET</t>
    <phoneticPr fontId="1" type="noConversion"/>
  </si>
  <si>
    <t>SET</t>
    <phoneticPr fontId="157" type="noConversion"/>
  </si>
  <si>
    <t>A. 근재보험(노무비의 1.8%)</t>
    <phoneticPr fontId="2" type="noConversion"/>
  </si>
  <si>
    <t>B. 기타경비(재료비+노무비의 3%)</t>
    <phoneticPr fontId="2" type="noConversion"/>
  </si>
  <si>
    <t>C. 일반관리비(재료비+노무비의 2%)</t>
    <phoneticPr fontId="2" type="noConversion"/>
  </si>
  <si>
    <t>D. 기업이윤(총액의 10%)</t>
    <phoneticPr fontId="2" type="noConversion"/>
  </si>
  <si>
    <t>(단수정리)</t>
    <phoneticPr fontId="1" type="noConversion"/>
  </si>
  <si>
    <t>양변기</t>
    <phoneticPr fontId="157" type="noConversion"/>
  </si>
  <si>
    <t>세면대</t>
    <phoneticPr fontId="157" type="noConversion"/>
  </si>
  <si>
    <t>철거,설비 공사</t>
    <phoneticPr fontId="1" type="noConversion"/>
  </si>
  <si>
    <t>공사신고 및 동의서</t>
    <phoneticPr fontId="1" type="noConversion"/>
  </si>
  <si>
    <t>식</t>
    <phoneticPr fontId="1" type="noConversion"/>
  </si>
  <si>
    <t>천정몰딩</t>
    <phoneticPr fontId="1" type="noConversion"/>
  </si>
  <si>
    <t>M2</t>
    <phoneticPr fontId="1" type="noConversion"/>
  </si>
  <si>
    <t>*난방공사 부분은 분배기와 배관의 상태에 따라 변동가능</t>
    <phoneticPr fontId="1" type="noConversion"/>
  </si>
  <si>
    <t>도장 공사</t>
    <phoneticPr fontId="1" type="noConversion"/>
  </si>
  <si>
    <t>탄성도장</t>
    <phoneticPr fontId="2" type="noConversion"/>
  </si>
  <si>
    <t>*단 외부에서 누수되는 부분은 불가</t>
    <phoneticPr fontId="2" type="noConversion"/>
  </si>
  <si>
    <t>*온도조절기 부분은 별도 협의(현장 상태에 따른 협의)</t>
    <phoneticPr fontId="1" type="noConversion"/>
  </si>
  <si>
    <t>실린더 및 경첩</t>
    <phoneticPr fontId="1" type="noConversion"/>
  </si>
  <si>
    <t>미장공사</t>
    <phoneticPr fontId="2" type="noConversion"/>
  </si>
  <si>
    <t>욕조</t>
    <phoneticPr fontId="157" type="noConversion"/>
  </si>
  <si>
    <t xml:space="preserve">    회사명 :</t>
    <phoneticPr fontId="1" type="noConversion"/>
  </si>
  <si>
    <t xml:space="preserve">    주  소 :</t>
    <phoneticPr fontId="1" type="noConversion"/>
  </si>
  <si>
    <t xml:space="preserve">    TEL/FAX: </t>
    <phoneticPr fontId="1" type="noConversion"/>
  </si>
  <si>
    <t xml:space="preserve">   대표자 :                    (인)</t>
    <phoneticPr fontId="1" type="noConversion"/>
  </si>
  <si>
    <t>1.관리소 예치금,견적외 제외</t>
    <phoneticPr fontId="2" type="noConversion"/>
  </si>
  <si>
    <t>DESCRIPTION</t>
    <phoneticPr fontId="1" type="noConversion"/>
  </si>
  <si>
    <t>SIZE</t>
    <phoneticPr fontId="1" type="noConversion"/>
  </si>
  <si>
    <t>Q'TY</t>
  </si>
  <si>
    <t>UNIT</t>
    <phoneticPr fontId="1" type="noConversion"/>
  </si>
  <si>
    <t>스팩</t>
    <phoneticPr fontId="2" type="noConversion"/>
  </si>
  <si>
    <t>REMARK</t>
    <phoneticPr fontId="1" type="noConversion"/>
  </si>
  <si>
    <t>확장신고 대행 및 도면작성</t>
    <phoneticPr fontId="1" type="noConversion"/>
  </si>
  <si>
    <t>ELV보양 포함</t>
    <phoneticPr fontId="1" type="noConversion"/>
  </si>
  <si>
    <t>자재대운반</t>
    <phoneticPr fontId="1" type="noConversion"/>
  </si>
  <si>
    <t>개소</t>
    <phoneticPr fontId="1" type="noConversion"/>
  </si>
  <si>
    <t>D. 기업이윤(총액의 10%)</t>
    <phoneticPr fontId="2" type="noConversion"/>
  </si>
  <si>
    <t>방화판</t>
    <phoneticPr fontId="1" type="noConversion"/>
  </si>
  <si>
    <t>실행</t>
    <phoneticPr fontId="1" type="noConversion"/>
  </si>
  <si>
    <t>선택</t>
    <phoneticPr fontId="1" type="noConversion"/>
  </si>
  <si>
    <t>기본</t>
    <phoneticPr fontId="1" type="noConversion"/>
  </si>
  <si>
    <t>1톤</t>
    <phoneticPr fontId="1" type="noConversion"/>
  </si>
  <si>
    <t>1차 몰탈, 2차 고마스</t>
    <phoneticPr fontId="1" type="noConversion"/>
  </si>
  <si>
    <t>확장부위 난방신설</t>
    <phoneticPr fontId="2" type="noConversion"/>
  </si>
  <si>
    <t>엑셀</t>
    <phoneticPr fontId="1" type="noConversion"/>
  </si>
  <si>
    <t>바닥철거</t>
    <phoneticPr fontId="2" type="noConversion"/>
  </si>
  <si>
    <t>거실 확장 철거</t>
    <phoneticPr fontId="1" type="noConversion"/>
  </si>
  <si>
    <t>확장부위 전체</t>
    <phoneticPr fontId="1" type="noConversion"/>
  </si>
  <si>
    <t>식</t>
    <phoneticPr fontId="1" type="noConversion"/>
  </si>
  <si>
    <t>분배기 교체</t>
    <phoneticPr fontId="2" type="noConversion"/>
  </si>
  <si>
    <t>석고보드</t>
    <phoneticPr fontId="1" type="noConversion"/>
  </si>
  <si>
    <t>3*6</t>
    <phoneticPr fontId="1" type="noConversion"/>
  </si>
  <si>
    <t>방수석고보드</t>
    <phoneticPr fontId="1" type="noConversion"/>
  </si>
  <si>
    <t>각재</t>
    <phoneticPr fontId="1" type="noConversion"/>
  </si>
  <si>
    <t>1*1*12</t>
    <phoneticPr fontId="1" type="noConversion"/>
  </si>
  <si>
    <t>단</t>
    <phoneticPr fontId="1" type="noConversion"/>
  </si>
  <si>
    <t>합판</t>
    <phoneticPr fontId="1" type="noConversion"/>
  </si>
  <si>
    <t>4*8 9.5T</t>
    <phoneticPr fontId="1" type="noConversion"/>
  </si>
  <si>
    <t>4*8 12T</t>
    <phoneticPr fontId="1" type="noConversion"/>
  </si>
  <si>
    <t>MDF</t>
    <phoneticPr fontId="1" type="noConversion"/>
  </si>
  <si>
    <t>4*8 18T</t>
    <phoneticPr fontId="1" type="noConversion"/>
  </si>
  <si>
    <t>ISO PINK</t>
    <phoneticPr fontId="1" type="noConversion"/>
  </si>
  <si>
    <t>2*3 30T</t>
    <phoneticPr fontId="1" type="noConversion"/>
  </si>
  <si>
    <t>온돌이</t>
    <phoneticPr fontId="1" type="noConversion"/>
  </si>
  <si>
    <t>롤</t>
    <phoneticPr fontId="1" type="noConversion"/>
  </si>
  <si>
    <t>난방 단열용</t>
    <phoneticPr fontId="1" type="noConversion"/>
  </si>
  <si>
    <t>걸레받이</t>
    <phoneticPr fontId="1" type="noConversion"/>
  </si>
  <si>
    <t>액자레일</t>
    <phoneticPr fontId="1" type="noConversion"/>
  </si>
  <si>
    <t>타카,본드,실리콘,폼 외</t>
    <phoneticPr fontId="1" type="noConversion"/>
  </si>
  <si>
    <t>장비대</t>
    <phoneticPr fontId="1" type="noConversion"/>
  </si>
  <si>
    <t>대</t>
    <phoneticPr fontId="1" type="noConversion"/>
  </si>
  <si>
    <t>문선몰딩</t>
    <phoneticPr fontId="1" type="noConversion"/>
  </si>
  <si>
    <t>전기 공사</t>
    <phoneticPr fontId="2" type="noConversion"/>
  </si>
  <si>
    <t>방등</t>
    <phoneticPr fontId="2" type="noConversion"/>
  </si>
  <si>
    <t>거실등</t>
    <phoneticPr fontId="2" type="noConversion"/>
  </si>
  <si>
    <t>EA</t>
    <phoneticPr fontId="1" type="noConversion"/>
  </si>
  <si>
    <t>주방등</t>
    <phoneticPr fontId="2" type="noConversion"/>
  </si>
  <si>
    <t>전실센서등</t>
    <phoneticPr fontId="2" type="noConversion"/>
  </si>
  <si>
    <t>현관센서등(히든센서)</t>
    <phoneticPr fontId="2" type="noConversion"/>
  </si>
  <si>
    <t>발코니,세탁실 등</t>
    <phoneticPr fontId="2" type="noConversion"/>
  </si>
  <si>
    <t>라인조명(거실)</t>
    <phoneticPr fontId="2" type="noConversion"/>
  </si>
  <si>
    <t>한샘</t>
    <phoneticPr fontId="1" type="noConversion"/>
  </si>
  <si>
    <t>ABS 도어</t>
    <phoneticPr fontId="1" type="noConversion"/>
  </si>
  <si>
    <t>월플러스</t>
    <phoneticPr fontId="1" type="noConversion"/>
  </si>
  <si>
    <t>LED 직부등</t>
    <phoneticPr fontId="2" type="noConversion"/>
  </si>
  <si>
    <t>LED 엣지등</t>
    <phoneticPr fontId="2" type="noConversion"/>
  </si>
  <si>
    <t>LED 직부등+히든센서</t>
    <phoneticPr fontId="2" type="noConversion"/>
  </si>
  <si>
    <t>LED 라인조명(거실)</t>
    <phoneticPr fontId="2" type="noConversion"/>
  </si>
  <si>
    <t>매입등</t>
    <phoneticPr fontId="2" type="noConversion"/>
  </si>
  <si>
    <t>LED 6인치 방습</t>
    <phoneticPr fontId="2" type="noConversion"/>
  </si>
  <si>
    <t>드레스룸등</t>
    <phoneticPr fontId="2" type="noConversion"/>
  </si>
  <si>
    <t>SET</t>
    <phoneticPr fontId="1" type="noConversion"/>
  </si>
  <si>
    <t>스위치 콘센트</t>
    <phoneticPr fontId="2" type="noConversion"/>
  </si>
  <si>
    <t>신규 교체</t>
    <phoneticPr fontId="2" type="noConversion"/>
  </si>
  <si>
    <t>지정스위치</t>
    <phoneticPr fontId="1" type="noConversion"/>
  </si>
  <si>
    <t>IOT스위치</t>
    <phoneticPr fontId="1" type="noConversion"/>
  </si>
  <si>
    <t>전기이설</t>
    <phoneticPr fontId="2" type="noConversion"/>
  </si>
  <si>
    <t>2.5sq</t>
    <phoneticPr fontId="2" type="noConversion"/>
  </si>
  <si>
    <t>디지털도어락</t>
    <phoneticPr fontId="2" type="noConversion"/>
  </si>
  <si>
    <t>터치식</t>
    <phoneticPr fontId="2" type="noConversion"/>
  </si>
  <si>
    <t>비디오폰</t>
    <phoneticPr fontId="2" type="noConversion"/>
  </si>
  <si>
    <t>7인치</t>
    <phoneticPr fontId="2" type="noConversion"/>
  </si>
  <si>
    <t>전동커튼</t>
    <phoneticPr fontId="2" type="noConversion"/>
  </si>
  <si>
    <t>간접조명</t>
    <phoneticPr fontId="2" type="noConversion"/>
  </si>
  <si>
    <t>LED T5(천장,신발장)</t>
    <phoneticPr fontId="2" type="noConversion"/>
  </si>
  <si>
    <t>한샘 제품 사용?</t>
    <phoneticPr fontId="1" type="noConversion"/>
  </si>
  <si>
    <t>LED T5(싱크상부장,욕실장)</t>
    <phoneticPr fontId="2" type="noConversion"/>
  </si>
  <si>
    <t>주방 벽부등</t>
    <phoneticPr fontId="2" type="noConversion"/>
  </si>
  <si>
    <t>아일랜드 등</t>
    <phoneticPr fontId="2" type="noConversion"/>
  </si>
  <si>
    <t>식탁 등</t>
    <phoneticPr fontId="2" type="noConversion"/>
  </si>
  <si>
    <t>LED 팬던트</t>
    <phoneticPr fontId="2" type="noConversion"/>
  </si>
  <si>
    <t>없는듯?</t>
    <phoneticPr fontId="1" type="noConversion"/>
  </si>
  <si>
    <t>제품 어디꺼?</t>
    <phoneticPr fontId="1" type="noConversion"/>
  </si>
  <si>
    <t>거실</t>
    <phoneticPr fontId="1" type="noConversion"/>
  </si>
  <si>
    <t>600*600</t>
    <phoneticPr fontId="157" type="noConversion"/>
  </si>
  <si>
    <t>포세린</t>
    <phoneticPr fontId="1" type="noConversion"/>
  </si>
  <si>
    <t>발코니 및 세탁실 바닥</t>
    <phoneticPr fontId="157" type="noConversion"/>
  </si>
  <si>
    <t>300*300</t>
    <phoneticPr fontId="157" type="noConversion"/>
  </si>
  <si>
    <t>거실 욕실 바닥</t>
    <phoneticPr fontId="157" type="noConversion"/>
  </si>
  <si>
    <t>안방 욕실 바닥</t>
    <phoneticPr fontId="157" type="noConversion"/>
  </si>
  <si>
    <t>안방 욕실 벽</t>
    <phoneticPr fontId="157" type="noConversion"/>
  </si>
  <si>
    <t>주방타일 없음?</t>
    <phoneticPr fontId="1" type="noConversion"/>
  </si>
  <si>
    <t>압착,백시멘트,세라픽스외</t>
    <phoneticPr fontId="1" type="noConversion"/>
  </si>
  <si>
    <t>운송비</t>
    <phoneticPr fontId="157" type="noConversion"/>
  </si>
  <si>
    <t>샤워파티션</t>
    <phoneticPr fontId="157" type="noConversion"/>
  </si>
  <si>
    <t>환풍기</t>
    <phoneticPr fontId="157" type="noConversion"/>
  </si>
  <si>
    <t>파티션 설치 제외</t>
    <phoneticPr fontId="1" type="noConversion"/>
  </si>
  <si>
    <t>발코니</t>
    <phoneticPr fontId="2" type="noConversion"/>
  </si>
  <si>
    <t>*지정위치 평단가 조정</t>
    <phoneticPr fontId="2" type="noConversion"/>
  </si>
  <si>
    <t>마루 공사</t>
    <phoneticPr fontId="1" type="noConversion"/>
  </si>
  <si>
    <t>기타 공사</t>
    <phoneticPr fontId="1" type="noConversion"/>
  </si>
  <si>
    <t>강마루</t>
    <phoneticPr fontId="2" type="noConversion"/>
  </si>
  <si>
    <t>지정위치</t>
    <phoneticPr fontId="2" type="noConversion"/>
  </si>
  <si>
    <t>필름공사</t>
    <phoneticPr fontId="2" type="noConversion"/>
  </si>
  <si>
    <t>부자재</t>
    <phoneticPr fontId="2" type="noConversion"/>
  </si>
  <si>
    <t>분전함 교체</t>
    <phoneticPr fontId="2" type="noConversion"/>
  </si>
  <si>
    <t>에어컨전기</t>
    <phoneticPr fontId="1" type="noConversion"/>
  </si>
  <si>
    <t>차단기 신설포함</t>
    <phoneticPr fontId="2" type="noConversion"/>
  </si>
  <si>
    <t>에어컨공사</t>
    <phoneticPr fontId="1" type="noConversion"/>
  </si>
  <si>
    <t>삼성</t>
    <phoneticPr fontId="1" type="noConversion"/>
  </si>
  <si>
    <t>확정</t>
    <phoneticPr fontId="1" type="noConversion"/>
  </si>
  <si>
    <t>건너방 확장 철거</t>
    <phoneticPr fontId="1" type="noConversion"/>
  </si>
  <si>
    <t xml:space="preserve">기본철거 </t>
    <phoneticPr fontId="2" type="noConversion"/>
  </si>
  <si>
    <t>화장실 방수</t>
    <phoneticPr fontId="2" type="noConversion"/>
  </si>
  <si>
    <t>확장 난방공사</t>
    <phoneticPr fontId="2" type="noConversion"/>
  </si>
  <si>
    <t>현관중문</t>
    <phoneticPr fontId="1" type="noConversion"/>
  </si>
  <si>
    <t>얼만지 모름</t>
    <phoneticPr fontId="1" type="noConversion"/>
  </si>
  <si>
    <t>로스계산 체크</t>
    <phoneticPr fontId="1" type="noConversion"/>
  </si>
  <si>
    <t>시스템 4대,18Py1,5PY2</t>
    <phoneticPr fontId="2" type="noConversion"/>
  </si>
  <si>
    <t>입구방 내창</t>
    <phoneticPr fontId="1" type="noConversion"/>
  </si>
  <si>
    <t>베스트3</t>
    <phoneticPr fontId="1" type="noConversion"/>
  </si>
  <si>
    <t>1500*1500(단창)</t>
    <phoneticPr fontId="1" type="noConversion"/>
  </si>
  <si>
    <t>입구방 발코니</t>
    <phoneticPr fontId="1" type="noConversion"/>
  </si>
  <si>
    <t>3038*1230(단창)</t>
    <phoneticPr fontId="1" type="noConversion"/>
  </si>
  <si>
    <t>310*1230(단창)</t>
    <phoneticPr fontId="1" type="noConversion"/>
  </si>
  <si>
    <t>1100*1230(단창)</t>
    <phoneticPr fontId="1" type="noConversion"/>
  </si>
  <si>
    <t>주방</t>
    <phoneticPr fontId="1" type="noConversion"/>
  </si>
  <si>
    <t>1490*420(2중창)</t>
    <phoneticPr fontId="1" type="noConversion"/>
  </si>
  <si>
    <t>건너방 확장</t>
    <phoneticPr fontId="1" type="noConversion"/>
  </si>
  <si>
    <t>안방 내창</t>
    <phoneticPr fontId="1" type="noConversion"/>
  </si>
  <si>
    <t>3010*1800(2중창)</t>
    <phoneticPr fontId="1" type="noConversion"/>
  </si>
  <si>
    <t>2990*1250(2중창,단면로이)</t>
    <phoneticPr fontId="1" type="noConversion"/>
  </si>
  <si>
    <t>안방 발코니</t>
    <phoneticPr fontId="1" type="noConversion"/>
  </si>
  <si>
    <t>3790*1170(단창)</t>
    <phoneticPr fontId="1" type="noConversion"/>
  </si>
  <si>
    <t>거실확장</t>
    <phoneticPr fontId="1" type="noConversion"/>
  </si>
  <si>
    <t>4330*2340(2중창,단면로이)</t>
    <phoneticPr fontId="1" type="noConversion"/>
  </si>
  <si>
    <t>입구방2 내창</t>
    <phoneticPr fontId="1" type="noConversion"/>
  </si>
  <si>
    <t xml:space="preserve">입구방2 발코니 </t>
    <phoneticPr fontId="1" type="noConversion"/>
  </si>
  <si>
    <t>2090*1240</t>
    <phoneticPr fontId="1" type="noConversion"/>
  </si>
  <si>
    <t>프로젝트창(주방 발코니)</t>
    <phoneticPr fontId="1" type="noConversion"/>
  </si>
  <si>
    <t>프로젝트창(보일러실)</t>
    <phoneticPr fontId="1" type="noConversion"/>
  </si>
  <si>
    <t xml:space="preserve">터닝도어 </t>
    <phoneticPr fontId="1" type="noConversion"/>
  </si>
  <si>
    <t>철거비</t>
    <phoneticPr fontId="1" type="noConversion"/>
  </si>
  <si>
    <t>장비대</t>
    <phoneticPr fontId="1" type="noConversion"/>
  </si>
  <si>
    <t>*선택범위에 따라 철거비 변동있음</t>
    <phoneticPr fontId="2" type="noConversion"/>
  </si>
  <si>
    <t>pc-7020</t>
    <phoneticPr fontId="1" type="noConversion"/>
  </si>
  <si>
    <t>페데스탈 일체형</t>
    <phoneticPr fontId="1" type="noConversion"/>
  </si>
  <si>
    <t>하부장형</t>
    <phoneticPr fontId="1" type="noConversion"/>
  </si>
  <si>
    <t>원홀 bp-f5410</t>
    <phoneticPr fontId="1" type="noConversion"/>
  </si>
  <si>
    <t>샤워수전</t>
    <phoneticPr fontId="157" type="noConversion"/>
  </si>
  <si>
    <t>bp-r9010</t>
    <phoneticPr fontId="1" type="noConversion"/>
  </si>
  <si>
    <t>슬라이딩 거울장</t>
    <phoneticPr fontId="1" type="noConversion"/>
  </si>
  <si>
    <t>상부장 좌형PS6090</t>
    <phoneticPr fontId="1" type="noConversion"/>
  </si>
  <si>
    <t>상부장 우형PS6090</t>
    <phoneticPr fontId="1" type="noConversion"/>
  </si>
  <si>
    <t>원형거울BW600</t>
    <phoneticPr fontId="1" type="noConversion"/>
  </si>
  <si>
    <t>800*800 알루미늄</t>
    <phoneticPr fontId="1" type="noConversion"/>
  </si>
  <si>
    <t>샤워수전(수납형)</t>
    <phoneticPr fontId="157" type="noConversion"/>
  </si>
  <si>
    <t>크롬,일체형</t>
    <phoneticPr fontId="1" type="noConversion"/>
  </si>
  <si>
    <t>샤워부스</t>
    <phoneticPr fontId="157" type="noConversion"/>
  </si>
  <si>
    <t>슬라이딩바</t>
    <phoneticPr fontId="157" type="noConversion"/>
  </si>
  <si>
    <t>BP-4103</t>
    <phoneticPr fontId="1" type="noConversion"/>
  </si>
  <si>
    <t>아크릴 1700 BT1517(매립형)</t>
    <phoneticPr fontId="1" type="noConversion"/>
  </si>
  <si>
    <t>광천장형</t>
    <phoneticPr fontId="1" type="noConversion"/>
  </si>
  <si>
    <t>BP-3100수건걸이,휴지걸이</t>
    <phoneticPr fontId="1" type="noConversion"/>
  </si>
  <si>
    <t>강화유리,타올 거치</t>
    <phoneticPr fontId="1" type="noConversion"/>
  </si>
  <si>
    <t>터보 747</t>
    <phoneticPr fontId="1" type="noConversion"/>
  </si>
  <si>
    <t>온품기 겸용</t>
    <phoneticPr fontId="1" type="noConversion"/>
  </si>
  <si>
    <t>일반형,슬라이드 평판</t>
    <phoneticPr fontId="1" type="noConversion"/>
  </si>
  <si>
    <t>욕실 청소건</t>
    <phoneticPr fontId="1" type="noConversion"/>
  </si>
  <si>
    <t>발코니 청소용 수도</t>
    <phoneticPr fontId="1" type="noConversion"/>
  </si>
  <si>
    <t>세탁기 수도</t>
    <phoneticPr fontId="1" type="noConversion"/>
  </si>
  <si>
    <t>양갈래 냉온수</t>
    <phoneticPr fontId="1" type="noConversion"/>
  </si>
  <si>
    <t>(창선)</t>
    <phoneticPr fontId="1" type="noConversion"/>
  </si>
  <si>
    <t>NO</t>
    <phoneticPr fontId="1" type="noConversion"/>
  </si>
  <si>
    <t>방화문</t>
    <phoneticPr fontId="1" type="noConversion"/>
  </si>
  <si>
    <t>갑종방화문</t>
    <phoneticPr fontId="1" type="noConversion"/>
  </si>
  <si>
    <t>화재감지기</t>
    <phoneticPr fontId="1" type="noConversion"/>
  </si>
  <si>
    <t>랜턴</t>
    <phoneticPr fontId="1" type="noConversion"/>
  </si>
  <si>
    <t xml:space="preserve">전체 철거 </t>
    <phoneticPr fontId="2" type="noConversion"/>
  </si>
  <si>
    <t>협의</t>
    <phoneticPr fontId="1" type="noConversion"/>
  </si>
  <si>
    <t>협의</t>
    <phoneticPr fontId="1" type="noConversion"/>
  </si>
  <si>
    <t>이창선</t>
    <phoneticPr fontId="1" type="noConversion"/>
  </si>
  <si>
    <t>*천고가 낮아서 매입등 설치가 힘듦</t>
    <phoneticPr fontId="1" type="noConversion"/>
  </si>
  <si>
    <t>수성도장</t>
    <phoneticPr fontId="2" type="noConversion"/>
  </si>
  <si>
    <t>현관 바닥</t>
    <phoneticPr fontId="157" type="noConversion"/>
  </si>
  <si>
    <t>거실 욕실 벽</t>
    <phoneticPr fontId="157" type="noConversion"/>
  </si>
  <si>
    <t>주방 벽</t>
    <phoneticPr fontId="157" type="noConversion"/>
  </si>
  <si>
    <t>600*600</t>
    <phoneticPr fontId="157" type="noConversion"/>
  </si>
  <si>
    <t>다용도실 방수</t>
    <phoneticPr fontId="2" type="noConversion"/>
  </si>
  <si>
    <t>LED 3인치 슬림</t>
    <phoneticPr fontId="2" type="noConversion"/>
  </si>
  <si>
    <t>차단기 신설</t>
    <phoneticPr fontId="2" type="noConversion"/>
  </si>
  <si>
    <t>LED 6인치 슬림</t>
    <phoneticPr fontId="2" type="noConversion"/>
  </si>
  <si>
    <t>샤시</t>
    <phoneticPr fontId="2" type="noConversion"/>
  </si>
  <si>
    <t>벤자민무어</t>
    <phoneticPr fontId="1" type="noConversion"/>
  </si>
  <si>
    <t>강화 유리</t>
    <phoneticPr fontId="1" type="noConversion"/>
  </si>
  <si>
    <t xml:space="preserve">기본철거 </t>
    <phoneticPr fontId="2" type="noConversion"/>
  </si>
  <si>
    <t>덧붙이기 시공</t>
    <phoneticPr fontId="1" type="noConversion"/>
  </si>
  <si>
    <t>공 사 명/PROJECT :신당동 하이츠아파트 106동1303호 인테리어 공사</t>
    <phoneticPr fontId="1" type="noConversion"/>
  </si>
  <si>
    <t>날  짜 / DATE   : 2022 년   09월     2일.</t>
    <phoneticPr fontId="1" type="noConversion"/>
  </si>
  <si>
    <t>메인주방</t>
    <phoneticPr fontId="1" type="noConversion"/>
  </si>
  <si>
    <t>가전기기</t>
    <phoneticPr fontId="1" type="noConversion"/>
  </si>
  <si>
    <t>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</si>
</sst>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0_);[Red]\(0.00\)"/>
    <numFmt numFmtId="177" formatCode="0.0%"/>
    <numFmt numFmtId="178" formatCode="_ &quot;₩&quot;* #,##0_ ;_ &quot;₩&quot;* \-#,##0_ ;_ &quot;₩&quot;* &quot;-&quot;_ ;_ @_ "/>
    <numFmt numFmtId="179" formatCode="\ "/>
    <numFmt numFmtId="180" formatCode="0_ "/>
    <numFmt numFmtId="181" formatCode="&quot;113-&quot;@"/>
    <numFmt numFmtId="182" formatCode="&quot;?#,##0.00;[Red]\-&quot;&quot;?&quot;#,##0.00"/>
    <numFmt numFmtId="183" formatCode="_ &quot;₩&quot;* #,##0.00_ ;_ &quot;₩&quot;* \-#,##0.00_ ;_ &quot;₩&quot;* &quot;-&quot;??_ ;_ @_ "/>
    <numFmt numFmtId="184" formatCode="_ * #,##0_ ;_ * \-#,##0_ ;_ * &quot;-&quot;_ ;_ @_ "/>
    <numFmt numFmtId="185" formatCode="_ * #,##0.00_ ;_ * \-#,##0.00_ ;_ * &quot;-&quot;??_ ;_ @_ "/>
    <numFmt numFmtId="186" formatCode="#,##0_);[Red]\(#,##0\)"/>
    <numFmt numFmtId="187" formatCode="&quot;D&quot;###&quot; X &quot;##&quot;m&quot;"/>
    <numFmt numFmtId="188" formatCode="&quot;₩&quot;#,##0;&quot;₩&quot;\-#,##0"/>
    <numFmt numFmtId="189" formatCode="mm&quot;월&quot;\ dd&quot;일&quot;"/>
    <numFmt numFmtId="190" formatCode="?/?#"/>
    <numFmt numFmtId="191" formatCode="_(&quot;$&quot;* #,##0_);_(&quot;$&quot;* \(#,##0\);_(&quot;$&quot;* &quot;-&quot;_);_(@_)"/>
    <numFmt numFmtId="192" formatCode="#,##0;[Red]&quot;-&quot;#,##0"/>
    <numFmt numFmtId="193" formatCode="&quot;PG1130&quot;@&quot;01&quot;"/>
    <numFmt numFmtId="194" formatCode="yyyy/m/d"/>
    <numFmt numFmtId="195" formatCode="#,##0;&quot;-&quot;#,##0"/>
    <numFmt numFmtId="196" formatCode="&quot;₩&quot;#,##0;[Red]&quot;₩&quot;\!\-&quot;₩&quot;#,##0"/>
    <numFmt numFmtId="197" formatCode="\$#,##0.0000_);\(\$#,##0.0000\)"/>
    <numFmt numFmtId="198" formatCode="#,##0.000"/>
    <numFmt numFmtId="199" formatCode="_ * #\!\,##0_ ;_ * &quot;₩&quot;\!\-#\!\,##0_ ;_ * &quot;-&quot;_ ;_ @_ "/>
    <numFmt numFmtId="200" formatCode="_-* #,##0_-;&quot;₩&quot;\!\-* #,##0_-;_-* &quot;-&quot;_-;_-@_-"/>
    <numFmt numFmtId="201" formatCode="_ * #,##0.00_ ;_ * &quot;₩&quot;\!\-#,##0.00_ ;_ * &quot;-&quot;??_ ;_ @_ "/>
    <numFmt numFmtId="202" formatCode="#,##0\ ;[Red]&quot;-&quot;#,##0\ "/>
    <numFmt numFmtId="203" formatCode="* #,##0\ ;[Red]* &quot;-&quot;#,##0\ "/>
    <numFmt numFmtId="204" formatCode="_-* #,##0.000_-;\-* #,##0.000_-;_-* &quot;-&quot;_-;_-@_-"/>
    <numFmt numFmtId="205" formatCode="#,##0.####;[Red]&quot;-&quot;#,##0.####"/>
    <numFmt numFmtId="206" formatCode="0.0"/>
    <numFmt numFmtId="207" formatCode="&quot;₩&quot;#,##0.00;[Red]&quot;₩&quot;&quot;₩&quot;\!\-#,##0.00"/>
    <numFmt numFmtId="208" formatCode="&quot;₩&quot;#,##0;[Red]&quot;₩&quot;&quot;₩&quot;\!\-#,##0"/>
    <numFmt numFmtId="209" formatCode="_-&quot;$&quot;* #,##0_-;\-&quot;$&quot;* #,##0_-;_-&quot;$&quot;* &quot;-&quot;_-;_-@_-"/>
    <numFmt numFmtId="210" formatCode="_-&quot;$&quot;* #,##0.00_-;\-&quot;$&quot;* #,##0.00_-;_-&quot;$&quot;* &quot;-&quot;??_-;_-@_-"/>
    <numFmt numFmtId="211" formatCode="_ &quot;$&quot;* #,##0_ ;_ &quot;$&quot;* \-#,##0_ ;_ &quot;$&quot;* &quot;-&quot;_ ;_ @_ "/>
    <numFmt numFmtId="212" formatCode="_ &quot;￥&quot;* #,##0.00_ ;_ &quot;￥&quot;* &quot;₩&quot;\!\-#,##0.00_ ;_ &quot;￥&quot;* &quot;-&quot;??_ ;_ @_ "/>
    <numFmt numFmtId="213" formatCode="0%\ "/>
    <numFmt numFmtId="214" formatCode="#,##0.00;[Red]&quot;-&quot;#,##0.00"/>
    <numFmt numFmtId="215" formatCode="_ * #,##0_ ;_ * &quot;₩&quot;\!\-#,##0_ ;_ * &quot;-&quot;_ ;_ @_ "/>
    <numFmt numFmtId="216" formatCode="##,##0.0"/>
    <numFmt numFmtId="217" formatCode="_-* #,##0.00_-;&quot;₩&quot;\!\-* #,##0.00_-;_-* &quot;-&quot;??_-;_-@_-"/>
    <numFmt numFmtId="218" formatCode="&quot;#0.0&quot;"/>
    <numFmt numFmtId="219" formatCode="_ &quot;₩&quot;* #,##0.00_ ;_ &quot;₩&quot;* &quot;₩&quot;&quot;₩&quot;&quot;₩&quot;&quot;₩&quot;&quot;₩&quot;&quot;₩&quot;&quot;₩&quot;\-#,##0.00_ ;_ &quot;₩&quot;* &quot;-&quot;??_ ;_ @_ "/>
    <numFmt numFmtId="220" formatCode="#,##0\ \ \ "/>
    <numFmt numFmtId="221" formatCode="#,##0&quot;₩&quot;\!\ &quot;₩&quot;\!\ &quot;₩&quot;\!\ "/>
    <numFmt numFmtId="222" formatCode="_ &quot;₩&quot;* #,##0_ ;_ &quot;₩&quot;* &quot;₩&quot;\!\-#,##0_ ;_ &quot;₩&quot;* &quot;-&quot;_ ;_ @_ "/>
    <numFmt numFmtId="223" formatCode="&quot;₩&quot;\!\(#,###&quot;₩&quot;\!\);&quot;₩&quot;\!\(&quot;₩&quot;\!\-#,##0&quot;₩&quot;\!\)"/>
    <numFmt numFmtId="224" formatCode="_-&quot;₩&quot;* #,##0_-;&quot;₩&quot;\!\-&quot;₩&quot;* #,##0_-;_-&quot;₩&quot;* &quot;-&quot;_-;_-@_-"/>
    <numFmt numFmtId="225" formatCode="&quot;$&quot;#,##0"/>
    <numFmt numFmtId="226" formatCode="&quot;₩&quot;#,##0;&quot;₩&quot;&quot;₩&quot;&quot;₩&quot;&quot;₩&quot;&quot;₩&quot;&quot;₩&quot;&quot;₩&quot;&quot;₩&quot;&quot;₩&quot;\-#,##0"/>
    <numFmt numFmtId="227" formatCode="d/mm/yy&quot;₩&quot;\!\ h:mm"/>
    <numFmt numFmtId="228" formatCode="d/mm/yy\ h:mm"/>
    <numFmt numFmtId="229" formatCode="h&quot;¨oA&quot;mm&quot;¨￢¨￠&quot;ss&quot;AE&quot;"/>
    <numFmt numFmtId="230" formatCode="&quot;₩&quot;\!\r&quot;₩&quot;\!\-m&quot;₩&quot;\!\-d"/>
    <numFmt numFmtId="231" formatCode="_ &quot;₩&quot;* #,##0.00_ ;_ &quot;₩&quot;* &quot;₩&quot;\!\-#,##0.00_ ;_ &quot;₩&quot;* &quot;-&quot;??_ ;_ @_ "/>
    <numFmt numFmtId="232" formatCode="&quot;₩&quot;\!\$#,##0&quot;₩&quot;\!\ "/>
    <numFmt numFmtId="233" formatCode="_-&quot;₩&quot;* #,##0.00_-;&quot;₩&quot;\!\-&quot;₩&quot;* #,##0.00_-;_-&quot;₩&quot;* &quot;-&quot;??_-;_-@_-"/>
    <numFmt numFmtId="234" formatCode="&quot;₩&quot;\!\(#,##0&quot;₩&quot;\!\)"/>
    <numFmt numFmtId="235" formatCode="\(#,##0\)"/>
    <numFmt numFmtId="236" formatCode="_(&quot;$&quot;* #,##0.00_);_(&quot;$&quot;* \(#,##0.00\);_(&quot;$&quot;* &quot;-&quot;??_);_(@_)"/>
    <numFmt numFmtId="237" formatCode="&quot;₩&quot;#,##0.00;[Red]&quot;₩&quot;\-#,##0.00"/>
    <numFmt numFmtId="238" formatCode="&quot;₩&quot;#,##0;[Red]&quot;₩&quot;\-#,##0"/>
    <numFmt numFmtId="239" formatCode="_ * #,##0.00_ ;_ * &quot;₩&quot;&quot;₩&quot;&quot;₩&quot;&quot;₩&quot;&quot;₩&quot;&quot;₩&quot;&quot;₩&quot;\-#,##0.00_ ;_ * &quot;-&quot;??_ ;_ @_ "/>
    <numFmt numFmtId="240" formatCode="&quot;₩&quot;\!\(#,##0&quot;₩&quot;\!\);&quot;₩&quot;\!\(&quot;₩&quot;\!\-#,##0&quot;₩&quot;\!\)"/>
    <numFmt numFmtId="241" formatCode="_(* #,##0_);_(* \(#,##0\);_(* &quot;-&quot;_);_(@_)"/>
    <numFmt numFmtId="242" formatCode="&quot;₩&quot;#,##0;[Red]&quot;₩&quot;&quot;₩&quot;&quot;₩&quot;&quot;₩&quot;&quot;₩&quot;&quot;₩&quot;&quot;₩&quot;&quot;₩&quot;&quot;₩&quot;\-#,##0"/>
    <numFmt numFmtId="243" formatCode="#,##0&quot;¨ui&quot;&quot;₩&quot;\!\ "/>
    <numFmt numFmtId="244" formatCode="_(* #,##0.00_);_(* \(#,##0.00\);_(* &quot;-&quot;??_);_(@_)"/>
    <numFmt numFmtId="245" formatCode="&quot; &quot;@"/>
    <numFmt numFmtId="246" formatCode="&quot;₩&quot;#,##0;&quot;₩&quot;\-&quot;₩&quot;#,##0"/>
    <numFmt numFmtId="247" formatCode="#,##0_ "/>
    <numFmt numFmtId="248" formatCode="0.000"/>
    <numFmt numFmtId="249" formatCode="\-\2\2\4&quot; &quot;"/>
    <numFmt numFmtId="250" formatCode="\-\1&quot; &quot;"/>
    <numFmt numFmtId="251" formatCode="#,##0&quot;  &quot;"/>
    <numFmt numFmtId="252" formatCode="\-\1\4\4&quot; &quot;"/>
    <numFmt numFmtId="253" formatCode="&quot;$&quot;#,##0_);[Red]\(&quot;$&quot;#,##0\)"/>
    <numFmt numFmtId="254" formatCode="0.0000000"/>
    <numFmt numFmtId="255" formatCode="#."/>
    <numFmt numFmtId="256" formatCode="_-[$€-2]* #,##0.00_-;\-[$€-2]* #,##0.00_-;_-[$€-2]* &quot;-&quot;??_-"/>
    <numFmt numFmtId="257" formatCode="#,##0.0&quot;     &quot;"/>
    <numFmt numFmtId="258" formatCode="\-\2\2\5&quot; &quot;"/>
    <numFmt numFmtId="259" formatCode="\ &quot;~~ &quot;@"/>
    <numFmt numFmtId="260" formatCode="\1\4\4&quot; &quot;"/>
    <numFmt numFmtId="261" formatCode="_(* #,##0.0_);_(* \(#,##0.0\);_(* &quot;-&quot;??_);_(@_)"/>
    <numFmt numFmtId="262" formatCode="yyyy\ \.\ \ mm\ \.\ \ dd\ \."/>
    <numFmt numFmtId="263" formatCode="_-* #,##0.00_-;\-* #,##0.00_-;_-* &quot;-&quot;_-;_-@_-"/>
    <numFmt numFmtId="264" formatCode="&quot;(&quot;###.00&quot;)&quot;"/>
    <numFmt numFmtId="265" formatCode="[Red]\+#;[Red]\-#;[Red]0"/>
    <numFmt numFmtId="266" formatCode="#,##0;[Red]&quot;△&quot;#,##0"/>
    <numFmt numFmtId="267" formatCode="#,##0_ ;[Red]&quot;△&quot;#,##0\ "/>
    <numFmt numFmtId="268" formatCode="_-* #,##0.0000_-;\-* #,##0.0000_-;_-* &quot;-&quot;_-;_-@_-"/>
    <numFmt numFmtId="269" formatCode="0.0%;[Red]&quot;△&quot;0.0%"/>
    <numFmt numFmtId="270" formatCode="0.00%;[Red]&quot;△&quot;0.00%"/>
    <numFmt numFmtId="271" formatCode="#,##0_ ;[Red]\-#,##0\ "/>
    <numFmt numFmtId="272" formatCode="#,##0.0#####\ ;[Red]\-#,##0.0#####\ "/>
    <numFmt numFmtId="273" formatCode="0.0_ "/>
  </numFmts>
  <fonts count="16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8"/>
      <name val="굴림체"/>
      <family val="3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1"/>
      <name val="돋움체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돋움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2"/>
      <name val="¹????¼"/>
      <family val="1"/>
      <charset val="129"/>
    </font>
    <font>
      <sz val="14"/>
      <name val="AngsanaUPC"/>
      <family val="1"/>
    </font>
    <font>
      <sz val="12"/>
      <name val="System"/>
      <family val="2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9"/>
      <name val="Arial"/>
      <family val="2"/>
    </font>
    <font>
      <sz val="10"/>
      <name val="Helv"/>
      <family val="2"/>
    </font>
    <font>
      <sz val="10"/>
      <color indexed="22"/>
      <name val="Modern"/>
      <family val="3"/>
      <charset val="255"/>
    </font>
    <font>
      <sz val="10"/>
      <color indexed="8"/>
      <name val="Arial"/>
      <family val="2"/>
    </font>
    <font>
      <sz val="12"/>
      <name val="Times New Roman"/>
      <family val="1"/>
    </font>
    <font>
      <u/>
      <sz val="7.5"/>
      <color indexed="36"/>
      <name val="Arial"/>
      <family val="2"/>
    </font>
    <font>
      <sz val="10"/>
      <name val="Courier New"/>
      <family val="3"/>
    </font>
    <font>
      <sz val="10"/>
      <name val="옛체"/>
      <family val="1"/>
      <charset val="129"/>
    </font>
    <font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0"/>
      <name val="태-물방울B"/>
      <family val="1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i/>
      <sz val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뼟?￠R¡¿?¡ER￠R¡¿I"/>
      <family val="3"/>
      <charset val="129"/>
    </font>
    <font>
      <sz val="14"/>
      <name val="뼥?ⓒ"/>
      <family val="3"/>
      <charset val="129"/>
    </font>
    <font>
      <b/>
      <sz val="11"/>
      <name val="돋움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Geneva"/>
      <family val="2"/>
    </font>
    <font>
      <sz val="12"/>
      <name val="官帕眉"/>
      <family val="1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color indexed="8"/>
      <name val="돋움체"/>
      <family val="3"/>
      <charset val="129"/>
    </font>
    <font>
      <sz val="18"/>
      <name val="돋움체"/>
      <family val="3"/>
      <charset val="129"/>
    </font>
    <font>
      <b/>
      <sz val="10"/>
      <name val="Flange-Light"/>
      <family val="1"/>
    </font>
    <font>
      <b/>
      <sz val="16"/>
      <name val="돋움체"/>
      <family val="3"/>
      <charset val="129"/>
    </font>
    <font>
      <b/>
      <sz val="12"/>
      <color indexed="8"/>
      <name val="돋움체"/>
      <family val="3"/>
      <charset val="129"/>
    </font>
    <font>
      <sz val="12"/>
      <name val="宋体"/>
      <charset val="129"/>
    </font>
    <font>
      <sz val="14"/>
      <name val="柧挬"/>
      <family val="3"/>
    </font>
    <font>
      <sz val="10"/>
      <name val="굴림"/>
      <family val="3"/>
      <charset val="129"/>
    </font>
    <font>
      <sz val="10"/>
      <name val=".VnArial"/>
      <family val="2"/>
    </font>
    <font>
      <sz val="12"/>
      <name val="柧挬"/>
      <family val="1"/>
    </font>
    <font>
      <i/>
      <outline/>
      <shadow/>
      <u/>
      <sz val="1"/>
      <color indexed="24"/>
      <name val="Courier"/>
      <family val="3"/>
    </font>
    <font>
      <sz val="12"/>
      <name val="¨IoUAAA¡§u"/>
      <family val="1"/>
      <charset val="129"/>
    </font>
    <font>
      <sz val="12"/>
      <name val="￠R¡×IoUAAA¡ER￠R¡¿u"/>
      <family val="1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1"/>
      <name val="¥ì¢¬¢¯o"/>
      <family val="3"/>
    </font>
    <font>
      <sz val="11"/>
      <name val="￥i￠￢￠?o"/>
      <family val="3"/>
      <charset val="129"/>
    </font>
    <font>
      <sz val="12"/>
      <name val="￠RE￠Rⓒ­iA￠REO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¸iA¶"/>
      <family val="3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µ¸¿ò"/>
      <family val="1"/>
      <charset val="129"/>
    </font>
    <font>
      <sz val="12"/>
      <name val="¹ÙÅÁÃ¼"/>
      <family val="1"/>
    </font>
    <font>
      <sz val="12"/>
      <name val="¹UAAA¼"/>
      <family val="3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0"/>
      <color indexed="8"/>
      <name val="MS Sans Serif"/>
      <family val="2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b/>
      <sz val="12"/>
      <name val="Arial MT"/>
      <family val="2"/>
    </font>
    <font>
      <sz val="12"/>
      <name val="￠RIi￠RE￠Rⓒ­￠RE?oA￠R¡×u"/>
      <family val="3"/>
      <charset val="129"/>
    </font>
    <font>
      <sz val="12"/>
      <name val="¥ì¢¬¢¯oA¨ù"/>
      <family val="3"/>
      <charset val="129"/>
    </font>
    <font>
      <sz val="12"/>
      <name val="￥i￠￢￠?oA¨u"/>
      <family val="3"/>
      <charset val="129"/>
    </font>
    <font>
      <sz val="12"/>
      <name val="¡¾¨u￠￢ⓒ÷A¨u"/>
      <family val="3"/>
      <charset val="129"/>
    </font>
    <font>
      <sz val="12"/>
      <name val="¡¾¨ù¢¬©÷A¨ù"/>
      <family val="3"/>
      <charset val="129"/>
    </font>
    <font>
      <sz val="10"/>
      <name val="¡¾¨ù¢¬©÷A¨ù"/>
      <family val="3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sz val="12"/>
      <name val="¸íÁ¶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</font>
    <font>
      <sz val="9"/>
      <name val="Times New Roman"/>
      <family val="1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16"/>
      <name val="Courier"/>
      <family val="3"/>
    </font>
    <font>
      <sz val="12"/>
      <name val="Arial MT"/>
      <family val="2"/>
    </font>
    <font>
      <sz val="10"/>
      <name val="MS Serif"/>
      <family val="1"/>
    </font>
    <font>
      <b/>
      <sz val="12"/>
      <name val="바탕체"/>
      <family val="1"/>
      <charset val="129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5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9"/>
      <name val="바탕체"/>
      <family val="1"/>
      <charset val="129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Wingdings"/>
      <charset val="2"/>
    </font>
    <font>
      <sz val="8"/>
      <name val="Helv"/>
      <family val="2"/>
    </font>
    <font>
      <i/>
      <sz val="10"/>
      <color indexed="8"/>
      <name val="궁서체"/>
      <family val="1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№ЩЕБГј"/>
      <family val="1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name val="굴림체"/>
      <family val="3"/>
      <charset val="129"/>
    </font>
    <font>
      <sz val="11.5"/>
      <name val="굴림체"/>
      <family val="3"/>
      <charset val="129"/>
    </font>
    <font>
      <sz val="16"/>
      <name val="굴림체"/>
      <family val="3"/>
      <charset val="129"/>
    </font>
    <font>
      <b/>
      <sz val="12"/>
      <name val="굴림체"/>
      <family val="3"/>
      <charset val="129"/>
    </font>
    <font>
      <b/>
      <sz val="16"/>
      <name val="굴림체"/>
      <family val="3"/>
      <charset val="129"/>
    </font>
    <font>
      <b/>
      <sz val="18"/>
      <name val="굴림체"/>
      <family val="3"/>
      <charset val="129"/>
    </font>
    <font>
      <b/>
      <sz val="15"/>
      <name val="굴림체"/>
      <family val="3"/>
      <charset val="129"/>
    </font>
    <font>
      <b/>
      <sz val="36"/>
      <name val="굴림체"/>
      <family val="3"/>
      <charset val="129"/>
    </font>
    <font>
      <b/>
      <sz val="10"/>
      <color indexed="48"/>
      <name val="굴림체"/>
      <family val="3"/>
      <charset val="129"/>
    </font>
    <font>
      <sz val="1"/>
      <color indexed="0"/>
      <name val="Courier"/>
      <family val="3"/>
    </font>
    <font>
      <sz val="12"/>
      <name val="¹UAAA¼"/>
      <family val="1"/>
      <charset val="129"/>
    </font>
    <font>
      <sz val="11"/>
      <name val="µ¸¿òÃ¼"/>
      <family val="3"/>
      <charset val="129"/>
    </font>
    <font>
      <sz val="11"/>
      <name val="¹ÙÅÁÃ¼"/>
      <family val="3"/>
      <charset val="129"/>
    </font>
    <font>
      <b/>
      <sz val="16"/>
      <name val="돋움"/>
      <family val="3"/>
      <charset val="129"/>
    </font>
    <font>
      <b/>
      <i/>
      <sz val="18"/>
      <color indexed="39"/>
      <name val="돋움체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sz val="11.5"/>
      <name val="굴림"/>
      <family val="3"/>
      <charset val="129"/>
    </font>
    <font>
      <b/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.5"/>
      <name val="Courier"/>
      <family val="3"/>
    </font>
    <font>
      <sz val="10"/>
      <color theme="1"/>
      <name val="굴림"/>
      <family val="3"/>
      <charset val="129"/>
    </font>
    <font>
      <sz val="10"/>
      <color rgb="FFFF0000"/>
      <name val="굴림체"/>
      <family val="3"/>
      <charset val="129"/>
    </font>
    <font>
      <sz val="10"/>
      <color rgb="FFFF0000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429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protection locked="0"/>
    </xf>
    <xf numFmtId="179" fontId="4" fillId="0" borderId="0" applyFill="0" applyBorder="0" applyProtection="0"/>
    <xf numFmtId="0" fontId="9" fillId="0" borderId="0"/>
    <xf numFmtId="0" fontId="4" fillId="0" borderId="0">
      <protection locked="0"/>
    </xf>
    <xf numFmtId="0" fontId="4" fillId="0" borderId="0">
      <protection locked="0"/>
    </xf>
    <xf numFmtId="0" fontId="3" fillId="0" borderId="0" applyFont="0" applyFill="0" applyBorder="0" applyAlignment="0" applyProtection="0"/>
    <xf numFmtId="0" fontId="4" fillId="0" borderId="0">
      <protection locked="0"/>
    </xf>
    <xf numFmtId="0" fontId="10" fillId="0" borderId="0"/>
    <xf numFmtId="3" fontId="6" fillId="0" borderId="2"/>
    <xf numFmtId="0" fontId="11" fillId="0" borderId="4">
      <alignment horizontal="centerContinuous" vertical="center"/>
    </xf>
    <xf numFmtId="24" fontId="12" fillId="0" borderId="0" applyFont="0" applyFill="0" applyBorder="0" applyAlignment="0" applyProtection="0"/>
    <xf numFmtId="180" fontId="3" fillId="0" borderId="0" applyNumberFormat="0" applyFont="0" applyFill="0" applyBorder="0" applyAlignment="0" applyProtection="0"/>
    <xf numFmtId="181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2" fontId="13" fillId="0" borderId="0" applyNumberFormat="0" applyFont="0" applyFill="0" applyBorder="0" applyAlignment="0" applyProtection="0"/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5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  <xf numFmtId="0" fontId="16" fillId="0" borderId="0"/>
    <xf numFmtId="178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17" fillId="0" borderId="0"/>
    <xf numFmtId="0" fontId="18" fillId="0" borderId="0"/>
    <xf numFmtId="0" fontId="19" fillId="0" borderId="0"/>
    <xf numFmtId="184" fontId="17" fillId="0" borderId="0" applyFont="0" applyFill="0" applyBorder="0" applyAlignment="0" applyProtection="0"/>
    <xf numFmtId="185" fontId="17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21" fillId="0" borderId="0"/>
    <xf numFmtId="0" fontId="3" fillId="0" borderId="0" applyFont="0" applyFill="0" applyBorder="0" applyAlignment="0" applyProtection="0"/>
    <xf numFmtId="0" fontId="22" fillId="0" borderId="0"/>
    <xf numFmtId="0" fontId="9" fillId="0" borderId="0"/>
    <xf numFmtId="0" fontId="21" fillId="0" borderId="0"/>
    <xf numFmtId="0" fontId="9" fillId="0" borderId="0"/>
    <xf numFmtId="0" fontId="23" fillId="0" borderId="0"/>
    <xf numFmtId="0" fontId="11" fillId="0" borderId="0"/>
    <xf numFmtId="0" fontId="23" fillId="0" borderId="0"/>
    <xf numFmtId="0" fontId="20" fillId="0" borderId="0" applyFont="0" applyFill="0" applyBorder="0" applyAlignment="0" applyProtection="0"/>
    <xf numFmtId="0" fontId="24" fillId="0" borderId="0" applyProtection="0"/>
    <xf numFmtId="0" fontId="20" fillId="0" borderId="0" applyFont="0" applyFill="0" applyBorder="0" applyAlignment="0" applyProtection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2" fillId="0" borderId="0"/>
    <xf numFmtId="0" fontId="2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/>
    <xf numFmtId="0" fontId="9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20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24" fillId="0" borderId="0" applyProtection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9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 applyProtection="0"/>
    <xf numFmtId="0" fontId="23" fillId="0" borderId="0"/>
    <xf numFmtId="0" fontId="23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2" fillId="0" borderId="0"/>
    <xf numFmtId="0" fontId="12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2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24" fillId="0" borderId="0" applyProtection="0"/>
    <xf numFmtId="0" fontId="9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9" fillId="0" borderId="0"/>
    <xf numFmtId="0" fontId="23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0" fillId="0" borderId="0" applyFont="0" applyFill="0" applyBorder="0" applyAlignment="0" applyProtection="0"/>
    <xf numFmtId="0" fontId="4" fillId="0" borderId="0"/>
    <xf numFmtId="0" fontId="20" fillId="0" borderId="0" applyFont="0" applyFill="0" applyBorder="0" applyAlignment="0" applyProtection="0"/>
    <xf numFmtId="0" fontId="24" fillId="0" borderId="0" applyProtection="0"/>
    <xf numFmtId="0" fontId="9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1" fillId="0" borderId="0"/>
    <xf numFmtId="0" fontId="20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12" fillId="0" borderId="0"/>
    <xf numFmtId="0" fontId="9" fillId="0" borderId="0"/>
    <xf numFmtId="0" fontId="4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5" fillId="0" borderId="0"/>
    <xf numFmtId="0" fontId="24" fillId="0" borderId="0" applyProtection="0"/>
    <xf numFmtId="0" fontId="9" fillId="0" borderId="0"/>
    <xf numFmtId="40" fontId="12" fillId="0" borderId="0" applyFont="0" applyFill="0" applyBorder="0" applyAlignment="0" applyProtection="0"/>
    <xf numFmtId="0" fontId="23" fillId="0" borderId="0"/>
    <xf numFmtId="0" fontId="12" fillId="0" borderId="0"/>
    <xf numFmtId="0" fontId="12" fillId="0" borderId="0"/>
    <xf numFmtId="0" fontId="9" fillId="0" borderId="0"/>
    <xf numFmtId="0" fontId="26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9" fillId="0" borderId="0" applyNumberFormat="0"/>
    <xf numFmtId="0" fontId="10" fillId="0" borderId="0">
      <alignment vertical="center"/>
    </xf>
    <xf numFmtId="0" fontId="10" fillId="0" borderId="0">
      <alignment vertical="center"/>
    </xf>
    <xf numFmtId="0" fontId="22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/>
    <xf numFmtId="3" fontId="6" fillId="0" borderId="2"/>
    <xf numFmtId="3" fontId="6" fillId="0" borderId="2"/>
    <xf numFmtId="0" fontId="11" fillId="0" borderId="0">
      <alignment vertical="center"/>
    </xf>
    <xf numFmtId="0" fontId="3" fillId="0" borderId="0">
      <alignment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0" fontId="29" fillId="0" borderId="0"/>
    <xf numFmtId="2" fontId="28" fillId="0" borderId="12">
      <alignment horizontal="right" vertical="center"/>
    </xf>
    <xf numFmtId="0" fontId="4" fillId="0" borderId="0"/>
    <xf numFmtId="0" fontId="4" fillId="0" borderId="7">
      <alignment horizontal="center"/>
    </xf>
    <xf numFmtId="2" fontId="28" fillId="0" borderId="12">
      <alignment horizontal="right"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4" fillId="0" borderId="0">
      <protection locked="0"/>
    </xf>
    <xf numFmtId="0" fontId="30" fillId="0" borderId="0"/>
    <xf numFmtId="186" fontId="10" fillId="0" borderId="0"/>
    <xf numFmtId="2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/>
    <xf numFmtId="49" fontId="35" fillId="0" borderId="13">
      <alignment horizontal="center" vertical="center" wrapText="1"/>
    </xf>
    <xf numFmtId="187" fontId="36" fillId="0" borderId="0"/>
    <xf numFmtId="0" fontId="6" fillId="0" borderId="0"/>
    <xf numFmtId="188" fontId="4" fillId="0" borderId="2">
      <alignment horizontal="right" vertical="center" shrinkToFit="1"/>
    </xf>
    <xf numFmtId="186" fontId="37" fillId="0" borderId="0"/>
    <xf numFmtId="0" fontId="3" fillId="0" borderId="0">
      <protection locked="0"/>
    </xf>
    <xf numFmtId="0" fontId="31" fillId="0" borderId="0" applyFont="0" applyFill="0" applyBorder="0" applyAlignment="0" applyProtection="0"/>
    <xf numFmtId="189" fontId="3" fillId="0" borderId="0" applyFont="0" applyFill="0" applyBorder="0" applyAlignment="0" applyProtection="0"/>
    <xf numFmtId="3" fontId="12" fillId="0" borderId="8">
      <alignment horizontal="center"/>
    </xf>
    <xf numFmtId="3" fontId="2" fillId="0" borderId="11" applyNumberFormat="0" applyFill="0" applyBorder="0" applyProtection="0">
      <alignment horizontal="center" vertical="center"/>
    </xf>
    <xf numFmtId="0" fontId="31" fillId="0" borderId="0" applyFont="0" applyFill="0" applyBorder="0" applyAlignment="0" applyProtection="0"/>
    <xf numFmtId="49" fontId="38" fillId="0" borderId="13">
      <alignment horizontal="center" vertical="center" wrapText="1"/>
    </xf>
    <xf numFmtId="0" fontId="39" fillId="0" borderId="0" applyNumberFormat="0" applyFill="0" applyBorder="0" applyAlignment="0" applyProtection="0">
      <alignment vertical="top"/>
      <protection locked="0"/>
    </xf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2" fillId="0" borderId="2" applyNumberFormat="0" applyFont="0" applyFill="0" applyAlignment="0" applyProtection="0">
      <alignment horizontal="center" vertical="center"/>
    </xf>
    <xf numFmtId="9" fontId="37" fillId="2" borderId="0" applyFill="0" applyBorder="0" applyProtection="0">
      <alignment horizontal="right"/>
    </xf>
    <xf numFmtId="10" fontId="37" fillId="0" borderId="0" applyFill="0" applyBorder="0" applyProtection="0">
      <alignment horizontal="right"/>
    </xf>
    <xf numFmtId="190" fontId="43" fillId="0" borderId="11" applyFont="0" applyFill="0" applyAlignment="0" applyProtection="0">
      <alignment horizontal="center" vertical="center"/>
    </xf>
    <xf numFmtId="0" fontId="44" fillId="0" borderId="0"/>
    <xf numFmtId="191" fontId="3" fillId="0" borderId="0"/>
    <xf numFmtId="0" fontId="6" fillId="0" borderId="0"/>
    <xf numFmtId="3" fontId="7" fillId="0" borderId="2"/>
    <xf numFmtId="3" fontId="7" fillId="0" borderId="14"/>
    <xf numFmtId="0" fontId="45" fillId="0" borderId="2"/>
    <xf numFmtId="0" fontId="46" fillId="0" borderId="0">
      <alignment horizontal="center"/>
    </xf>
    <xf numFmtId="0" fontId="13" fillId="0" borderId="2" applyFont="0" applyFill="0" applyBorder="0" applyAlignment="0" applyProtection="0"/>
    <xf numFmtId="3" fontId="4" fillId="0" borderId="0" applyFont="0" applyFill="0" applyBorder="0" applyAlignment="0" applyProtection="0"/>
    <xf numFmtId="192" fontId="47" fillId="0" borderId="0">
      <alignment vertical="center"/>
    </xf>
    <xf numFmtId="0" fontId="20" fillId="0" borderId="0"/>
    <xf numFmtId="38" fontId="23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4" fillId="0" borderId="10"/>
    <xf numFmtId="0" fontId="15" fillId="0" borderId="15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1" fillId="0" borderId="0"/>
    <xf numFmtId="193" fontId="4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85" fontId="20" fillId="0" borderId="0" applyFont="0" applyFill="0" applyBorder="0" applyAlignment="0" applyProtection="0"/>
    <xf numFmtId="195" fontId="50" fillId="0" borderId="0" applyFont="0" applyFill="0" applyBorder="0" applyAlignment="0" applyProtection="0"/>
    <xf numFmtId="193" fontId="4" fillId="0" borderId="0" applyFont="0" applyFill="0" applyBorder="0" applyAlignment="0" applyProtection="0"/>
    <xf numFmtId="196" fontId="3" fillId="0" borderId="0" applyFont="0" applyFill="0" applyBorder="0" applyAlignment="0" applyProtection="0"/>
    <xf numFmtId="197" fontId="20" fillId="0" borderId="0" applyFont="0" applyFill="0" applyBorder="0" applyAlignment="0" applyProtection="0"/>
    <xf numFmtId="0" fontId="51" fillId="0" borderId="0">
      <alignment vertical="center"/>
    </xf>
    <xf numFmtId="0" fontId="52" fillId="0" borderId="0">
      <alignment horizontal="center" vertical="center"/>
    </xf>
    <xf numFmtId="0" fontId="26" fillId="0" borderId="0"/>
    <xf numFmtId="4" fontId="31" fillId="0" borderId="0" applyFont="0" applyFill="0" applyBorder="0" applyAlignment="0" applyProtection="0"/>
    <xf numFmtId="0" fontId="34" fillId="0" borderId="0"/>
    <xf numFmtId="3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0" fontId="22" fillId="0" borderId="0"/>
    <xf numFmtId="1" fontId="6" fillId="2" borderId="0" applyNumberFormat="0" applyFont="0" applyFill="0" applyBorder="0" applyAlignment="0">
      <alignment vertical="center"/>
    </xf>
    <xf numFmtId="1" fontId="53" fillId="2" borderId="0" applyNumberFormat="0" applyBorder="0" applyAlignment="0">
      <alignment vertical="center"/>
    </xf>
    <xf numFmtId="0" fontId="4" fillId="0" borderId="0">
      <alignment vertical="center"/>
    </xf>
    <xf numFmtId="0" fontId="54" fillId="0" borderId="0">
      <alignment horizontal="centerContinuous" vertical="center"/>
    </xf>
    <xf numFmtId="0" fontId="55" fillId="3" borderId="16">
      <alignment horizontal="centerContinuous"/>
    </xf>
    <xf numFmtId="0" fontId="4" fillId="0" borderId="2">
      <alignment horizontal="distributed" vertical="center"/>
    </xf>
    <xf numFmtId="0" fontId="4" fillId="0" borderId="6">
      <alignment horizontal="distributed" vertical="top"/>
    </xf>
    <xf numFmtId="0" fontId="4" fillId="0" borderId="3">
      <alignment horizontal="distributed"/>
    </xf>
    <xf numFmtId="199" fontId="56" fillId="0" borderId="0">
      <alignment vertical="center"/>
    </xf>
    <xf numFmtId="0" fontId="22" fillId="0" borderId="0"/>
    <xf numFmtId="0" fontId="37" fillId="0" borderId="4" applyFont="0" applyBorder="0" applyAlignment="0">
      <alignment vertical="center"/>
    </xf>
    <xf numFmtId="0" fontId="4" fillId="0" borderId="0"/>
    <xf numFmtId="1" fontId="57" fillId="2" borderId="0" applyNumberFormat="0" applyFont="0" applyFill="0" applyBorder="0" applyAlignment="0">
      <alignment vertical="center"/>
    </xf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4" fillId="0" borderId="0" applyFont="0" applyFill="0" applyBorder="0" applyAlignment="0" applyProtection="0"/>
    <xf numFmtId="192" fontId="60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0" fontId="37" fillId="2" borderId="0" applyFill="0" applyBorder="0" applyProtection="0">
      <alignment horizontal="right"/>
    </xf>
    <xf numFmtId="202" fontId="20" fillId="0" borderId="0" applyFont="0" applyFill="0" applyBorder="0" applyAlignment="0" applyProtection="0">
      <alignment textRotation="255"/>
    </xf>
    <xf numFmtId="203" fontId="20" fillId="0" borderId="0" applyFont="0" applyFill="0" applyBorder="0" applyAlignment="0" applyProtection="0">
      <alignment textRotation="255"/>
    </xf>
    <xf numFmtId="204" fontId="8" fillId="0" borderId="2">
      <alignment vertical="center"/>
    </xf>
    <xf numFmtId="205" fontId="20" fillId="0" borderId="0" applyFont="0" applyFill="0" applyBorder="0" applyAlignment="0" applyProtection="0">
      <alignment textRotation="255"/>
    </xf>
    <xf numFmtId="199" fontId="6" fillId="0" borderId="4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10" fillId="0" borderId="2">
      <alignment horizontal="center"/>
    </xf>
    <xf numFmtId="206" fontId="4" fillId="0" borderId="0" applyFont="0" applyFill="0" applyBorder="0" applyAlignment="0" applyProtection="0"/>
    <xf numFmtId="207" fontId="49" fillId="0" borderId="0" applyFont="0" applyFill="0" applyBorder="0" applyAlignment="0" applyProtection="0"/>
    <xf numFmtId="208" fontId="49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6" fillId="0" borderId="3">
      <alignment horizontal="distributed"/>
    </xf>
    <xf numFmtId="0" fontId="6" fillId="0" borderId="17">
      <alignment horizontal="distributed" vertical="center"/>
    </xf>
    <xf numFmtId="0" fontId="6" fillId="0" borderId="18">
      <alignment horizontal="distributed" vertical="top"/>
    </xf>
    <xf numFmtId="0" fontId="3" fillId="0" borderId="0"/>
    <xf numFmtId="0" fontId="3" fillId="0" borderId="0"/>
    <xf numFmtId="0" fontId="4" fillId="0" borderId="0"/>
    <xf numFmtId="0" fontId="31" fillId="0" borderId="19" applyNumberFormat="0" applyFont="0" applyFill="0" applyAlignment="0" applyProtection="0"/>
    <xf numFmtId="185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209" fontId="26" fillId="0" borderId="0" applyFont="0" applyFill="0" applyBorder="0" applyAlignment="0" applyProtection="0"/>
    <xf numFmtId="210" fontId="26" fillId="0" borderId="0" applyFont="0" applyFill="0" applyBorder="0" applyAlignment="0" applyProtection="0"/>
    <xf numFmtId="21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/>
    <xf numFmtId="212" fontId="58" fillId="0" borderId="0" applyFont="0" applyFill="0" applyBorder="0" applyAlignment="0" applyProtection="0"/>
    <xf numFmtId="0" fontId="49" fillId="0" borderId="0"/>
    <xf numFmtId="0" fontId="63" fillId="0" borderId="0">
      <protection locked="0"/>
    </xf>
    <xf numFmtId="0" fontId="10" fillId="0" borderId="0"/>
    <xf numFmtId="213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192" fontId="65" fillId="0" borderId="0" applyFont="0" applyFill="0" applyBorder="0" applyAlignment="0" applyProtection="0"/>
    <xf numFmtId="214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78" fontId="76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3" fillId="0" borderId="0" applyFont="0" applyFill="0" applyBorder="0" applyAlignment="0" applyProtection="0"/>
    <xf numFmtId="221" fontId="74" fillId="0" borderId="0" applyFont="0" applyFill="0" applyBorder="0" applyAlignment="0" applyProtection="0"/>
    <xf numFmtId="0" fontId="10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42" fontId="77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2" fontId="73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191" fontId="9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83" fontId="76" fillId="0" borderId="0" applyFont="0" applyFill="0" applyBorder="0" applyAlignment="0" applyProtection="0"/>
    <xf numFmtId="226" fontId="73" fillId="0" borderId="0" applyFont="0" applyFill="0" applyBorder="0" applyAlignment="0" applyProtection="0"/>
    <xf numFmtId="227" fontId="74" fillId="0" borderId="0" applyFont="0" applyFill="0" applyBorder="0" applyAlignment="0" applyProtection="0"/>
    <xf numFmtId="227" fontId="73" fillId="0" borderId="0" applyFont="0" applyFill="0" applyBorder="0" applyAlignment="0" applyProtection="0"/>
    <xf numFmtId="228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30" fontId="68" fillId="0" borderId="0" applyFont="0" applyFill="0" applyBorder="0" applyAlignment="0" applyProtection="0"/>
    <xf numFmtId="228" fontId="7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44" fontId="77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2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36" fontId="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37" fontId="65" fillId="0" borderId="0" applyFont="0" applyFill="0" applyBorder="0" applyAlignment="0" applyProtection="0"/>
    <xf numFmtId="238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" fillId="0" borderId="0"/>
    <xf numFmtId="0" fontId="83" fillId="0" borderId="0">
      <alignment horizontal="center" wrapText="1"/>
      <protection locked="0"/>
    </xf>
    <xf numFmtId="0" fontId="8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5" fillId="0" borderId="0" applyFont="0" applyFill="0" applyBorder="0" applyAlignment="0" applyProtection="0"/>
    <xf numFmtId="184" fontId="76" fillId="0" borderId="0" applyFont="0" applyFill="0" applyBorder="0" applyAlignment="0" applyProtection="0"/>
    <xf numFmtId="239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4" fontId="73" fillId="0" borderId="0" applyFont="0" applyFill="0" applyBorder="0" applyAlignment="0" applyProtection="0"/>
    <xf numFmtId="41" fontId="77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0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1" fontId="85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6" fillId="0" borderId="0" applyFont="0" applyFill="0" applyBorder="0" applyAlignment="0" applyProtection="0"/>
    <xf numFmtId="242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5" fontId="73" fillId="0" borderId="0" applyFont="0" applyFill="0" applyBorder="0" applyAlignment="0" applyProtection="0"/>
    <xf numFmtId="43" fontId="77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3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4" fontId="85" fillId="0" borderId="0" applyFont="0" applyFill="0" applyBorder="0" applyAlignment="0" applyProtection="0"/>
    <xf numFmtId="58" fontId="3" fillId="0" borderId="0" applyFont="0" applyFill="0" applyBorder="0" applyAlignment="0" applyProtection="0"/>
    <xf numFmtId="245" fontId="60" fillId="0" borderId="0" applyFont="0" applyFill="0" applyBorder="0" applyAlignment="0" applyProtection="0">
      <alignment horizontal="right"/>
    </xf>
    <xf numFmtId="0" fontId="88" fillId="0" borderId="0"/>
    <xf numFmtId="0" fontId="82" fillId="0" borderId="0"/>
    <xf numFmtId="0" fontId="89" fillId="0" borderId="0"/>
    <xf numFmtId="0" fontId="68" fillId="0" borderId="0"/>
    <xf numFmtId="0" fontId="6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90" fillId="0" borderId="0"/>
    <xf numFmtId="0" fontId="91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71" fillId="0" borderId="0"/>
    <xf numFmtId="0" fontId="69" fillId="0" borderId="0"/>
    <xf numFmtId="0" fontId="71" fillId="0" borderId="0"/>
    <xf numFmtId="0" fontId="70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70" fillId="0" borderId="0"/>
    <xf numFmtId="0" fontId="7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2" fillId="0" borderId="0"/>
    <xf numFmtId="0" fontId="93" fillId="0" borderId="0"/>
    <xf numFmtId="0" fontId="92" fillId="0" borderId="0"/>
    <xf numFmtId="0" fontId="94" fillId="0" borderId="0"/>
    <xf numFmtId="0" fontId="95" fillId="0" borderId="0"/>
    <xf numFmtId="0" fontId="69" fillId="0" borderId="0"/>
    <xf numFmtId="0" fontId="9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6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7" fillId="0" borderId="0"/>
    <xf numFmtId="0" fontId="65" fillId="0" borderId="0"/>
    <xf numFmtId="0" fontId="64" fillId="0" borderId="0"/>
    <xf numFmtId="0" fontId="97" fillId="0" borderId="0"/>
    <xf numFmtId="0" fontId="76" fillId="0" borderId="0"/>
    <xf numFmtId="0" fontId="98" fillId="0" borderId="0"/>
    <xf numFmtId="0" fontId="99" fillId="0" borderId="0"/>
    <xf numFmtId="0" fontId="100" fillId="0" borderId="0"/>
    <xf numFmtId="0" fontId="76" fillId="0" borderId="0"/>
    <xf numFmtId="0" fontId="77" fillId="0" borderId="0"/>
    <xf numFmtId="0" fontId="78" fillId="0" borderId="0"/>
    <xf numFmtId="0" fontId="73" fillId="0" borderId="0"/>
    <xf numFmtId="0" fontId="77" fillId="0" borderId="0"/>
    <xf numFmtId="0" fontId="101" fillId="0" borderId="0"/>
    <xf numFmtId="0" fontId="19" fillId="0" borderId="0"/>
    <xf numFmtId="0" fontId="73" fillId="0" borderId="0"/>
    <xf numFmtId="0" fontId="79" fillId="0" borderId="0"/>
    <xf numFmtId="0" fontId="73" fillId="0" borderId="0"/>
    <xf numFmtId="0" fontId="79" fillId="0" borderId="0"/>
    <xf numFmtId="0" fontId="73" fillId="0" borderId="0"/>
    <xf numFmtId="0" fontId="76" fillId="0" borderId="0"/>
    <xf numFmtId="0" fontId="100" fillId="0" borderId="0"/>
    <xf numFmtId="0" fontId="78" fillId="0" borderId="0"/>
    <xf numFmtId="37" fontId="73" fillId="0" borderId="0"/>
    <xf numFmtId="0" fontId="74" fillId="0" borderId="0"/>
    <xf numFmtId="0" fontId="73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87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73" fillId="0" borderId="0"/>
    <xf numFmtId="0" fontId="78" fillId="0" borderId="0"/>
    <xf numFmtId="0" fontId="73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80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80" fillId="0" borderId="0"/>
    <xf numFmtId="0" fontId="76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73" fillId="0" borderId="0"/>
    <xf numFmtId="0" fontId="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246" fontId="3" fillId="0" borderId="0" applyFill="0" applyBorder="0" applyAlignment="0"/>
    <xf numFmtId="247" fontId="4" fillId="0" borderId="0" applyFill="0" applyBorder="0" applyAlignment="0"/>
    <xf numFmtId="248" fontId="105" fillId="0" borderId="0" applyFill="0" applyBorder="0" applyAlignment="0"/>
    <xf numFmtId="249" fontId="60" fillId="0" borderId="0" applyFill="0" applyBorder="0" applyAlignment="0"/>
    <xf numFmtId="250" fontId="60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06" fillId="0" borderId="0"/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>
      <protection locked="0"/>
    </xf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38" fontId="9" fillId="0" borderId="0" applyFont="0" applyFill="0" applyBorder="0" applyAlignment="0" applyProtection="0"/>
    <xf numFmtId="251" fontId="60" fillId="0" borderId="0" applyFont="0" applyFill="0" applyBorder="0" applyAlignment="0" applyProtection="0"/>
    <xf numFmtId="0" fontId="21" fillId="0" borderId="0"/>
    <xf numFmtId="185" fontId="9" fillId="0" borderId="0" applyFont="0" applyFill="0" applyBorder="0" applyAlignment="0" applyProtection="0"/>
    <xf numFmtId="1" fontId="3" fillId="0" borderId="0" applyFont="0" applyFill="0" applyBorder="0" applyAlignment="0" applyProtection="0"/>
    <xf numFmtId="0" fontId="110" fillId="0" borderId="0" applyNumberFormat="0" applyAlignment="0">
      <alignment horizontal="left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8" fillId="0" borderId="0">
      <protection locked="0"/>
    </xf>
    <xf numFmtId="0" fontId="9" fillId="0" borderId="0" applyFont="0" applyFill="0" applyBorder="0" applyAlignment="0" applyProtection="0"/>
    <xf numFmtId="253" fontId="9" fillId="0" borderId="0" applyFont="0" applyFill="0" applyBorder="0" applyAlignment="0" applyProtection="0"/>
    <xf numFmtId="247" fontId="4" fillId="0" borderId="0" applyFont="0" applyFill="0" applyBorder="0" applyAlignment="0" applyProtection="0"/>
    <xf numFmtId="0" fontId="3" fillId="0" borderId="0">
      <protection locked="0"/>
    </xf>
    <xf numFmtId="1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254" fontId="20" fillId="0" borderId="0">
      <protection locked="0"/>
    </xf>
    <xf numFmtId="14" fontId="25" fillId="0" borderId="0" applyFill="0" applyBorder="0" applyAlignment="0"/>
    <xf numFmtId="255" fontId="108" fillId="0" borderId="0">
      <protection locked="0"/>
    </xf>
    <xf numFmtId="180" fontId="9" fillId="0" borderId="2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1" fillId="0" borderId="0"/>
    <xf numFmtId="0" fontId="111" fillId="0" borderId="2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12" fillId="0" borderId="0" applyNumberFormat="0" applyAlignment="0">
      <alignment horizontal="left"/>
    </xf>
    <xf numFmtId="256" fontId="3" fillId="0" borderId="0" applyFont="0" applyFill="0" applyBorder="0" applyAlignment="0" applyProtection="0"/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254" fontId="20" fillId="0" borderId="0"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2" fontId="48" fillId="0" borderId="0">
      <alignment horizontal="left"/>
    </xf>
    <xf numFmtId="38" fontId="116" fillId="4" borderId="0" applyNumberFormat="0" applyBorder="0" applyAlignment="0" applyProtection="0"/>
    <xf numFmtId="3" fontId="11" fillId="0" borderId="21">
      <alignment horizontal="right" vertical="center"/>
    </xf>
    <xf numFmtId="4" fontId="11" fillId="0" borderId="21">
      <alignment horizontal="right" vertical="center"/>
    </xf>
    <xf numFmtId="0" fontId="117" fillId="0" borderId="0">
      <alignment horizontal="left"/>
    </xf>
    <xf numFmtId="0" fontId="118" fillId="0" borderId="22" applyNumberFormat="0" applyAlignment="0" applyProtection="0">
      <alignment horizontal="left" vertical="center"/>
    </xf>
    <xf numFmtId="0" fontId="118" fillId="0" borderId="5">
      <alignment horizontal="left" vertical="center"/>
    </xf>
    <xf numFmtId="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254" fontId="20" fillId="0" borderId="0">
      <protection locked="0"/>
    </xf>
    <xf numFmtId="254" fontId="20" fillId="0" borderId="0">
      <protection locked="0"/>
    </xf>
    <xf numFmtId="0" fontId="120" fillId="0" borderId="23">
      <alignment horizontal="center"/>
    </xf>
    <xf numFmtId="0" fontId="120" fillId="0" borderId="0">
      <alignment horizontal="center"/>
    </xf>
    <xf numFmtId="0" fontId="107" fillId="0" borderId="0" applyNumberFormat="0" applyFill="0" applyBorder="0" applyAlignment="0" applyProtection="0">
      <alignment vertical="top"/>
      <protection locked="0"/>
    </xf>
    <xf numFmtId="10" fontId="116" fillId="5" borderId="2" applyNumberFormat="0" applyBorder="0" applyAlignment="0" applyProtection="0"/>
    <xf numFmtId="0" fontId="121" fillId="0" borderId="9" applyNumberFormat="0" applyBorder="0" applyAlignment="0"/>
    <xf numFmtId="0" fontId="10" fillId="0" borderId="0" applyFont="0" applyFill="0" applyBorder="0" applyAlignment="0" applyProtection="0"/>
    <xf numFmtId="0" fontId="3" fillId="0" borderId="23">
      <protection locked="0"/>
    </xf>
    <xf numFmtId="0" fontId="21" fillId="0" borderId="0" applyNumberFormat="0" applyFont="0" applyFill="0" applyBorder="0" applyProtection="0">
      <alignment horizontal="left" vertical="center"/>
    </xf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184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22" fillId="0" borderId="23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236" fontId="9" fillId="0" borderId="0" applyFont="0" applyFill="0" applyBorder="0" applyAlignment="0" applyProtection="0"/>
    <xf numFmtId="37" fontId="123" fillId="0" borderId="0"/>
    <xf numFmtId="0" fontId="22" fillId="0" borderId="0"/>
    <xf numFmtId="0" fontId="9" fillId="0" borderId="0" applyNumberFormat="0" applyFill="0" applyBorder="0" applyAlignment="0" applyProtection="0"/>
    <xf numFmtId="0" fontId="4" fillId="0" borderId="0"/>
    <xf numFmtId="0" fontId="3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9" fillId="0" borderId="0"/>
    <xf numFmtId="0" fontId="4" fillId="0" borderId="24"/>
    <xf numFmtId="0" fontId="9" fillId="0" borderId="0" applyFont="0" applyFill="0" applyBorder="0" applyAlignment="0" applyProtection="0"/>
    <xf numFmtId="0" fontId="21" fillId="0" borderId="0"/>
    <xf numFmtId="0" fontId="22" fillId="0" borderId="0"/>
    <xf numFmtId="14" fontId="83" fillId="0" borderId="0">
      <alignment horizontal="center" wrapText="1"/>
      <protection locked="0"/>
    </xf>
    <xf numFmtId="0" fontId="108" fillId="0" borderId="0">
      <protection locked="0"/>
    </xf>
    <xf numFmtId="177" fontId="9" fillId="0" borderId="0" applyFont="0" applyFill="0" applyBorder="0" applyAlignment="0" applyProtection="0"/>
    <xf numFmtId="250" fontId="60" fillId="0" borderId="0" applyFont="0" applyFill="0" applyBorder="0" applyAlignment="0" applyProtection="0"/>
    <xf numFmtId="257" fontId="60" fillId="0" borderId="0" applyFont="0" applyFill="0" applyBorder="0" applyAlignment="0" applyProtection="0"/>
    <xf numFmtId="10" fontId="9" fillId="0" borderId="0" applyFont="0" applyFill="0" applyBorder="0" applyAlignment="0" applyProtection="0"/>
    <xf numFmtId="258" fontId="60" fillId="0" borderId="0" applyFont="0" applyFill="0" applyBorder="0" applyAlignment="0" applyProtection="0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25" fillId="6" borderId="0" applyNumberFormat="0" applyFont="0" applyBorder="0" applyAlignment="0">
      <alignment horizontal="center"/>
    </xf>
    <xf numFmtId="30" fontId="126" fillId="0" borderId="0" applyNumberFormat="0" applyFill="0" applyBorder="0" applyAlignment="0" applyProtection="0">
      <alignment horizontal="left"/>
    </xf>
    <xf numFmtId="259" fontId="127" fillId="0" borderId="13">
      <alignment vertical="center" wrapText="1"/>
    </xf>
    <xf numFmtId="0" fontId="125" fillId="1" borderId="5" applyNumberFormat="0" applyFont="0" applyAlignment="0">
      <alignment horizontal="center"/>
    </xf>
    <xf numFmtId="0" fontId="128" fillId="0" borderId="0" applyNumberFormat="0" applyFill="0" applyBorder="0" applyAlignment="0">
      <alignment horizontal="center"/>
    </xf>
    <xf numFmtId="0" fontId="3" fillId="0" borderId="0">
      <alignment horizontal="center"/>
    </xf>
    <xf numFmtId="0" fontId="122" fillId="0" borderId="0"/>
    <xf numFmtId="40" fontId="129" fillId="0" borderId="0" applyBorder="0">
      <alignment horizontal="right"/>
    </xf>
    <xf numFmtId="49" fontId="25" fillId="0" borderId="0" applyFill="0" applyBorder="0" applyAlignment="0"/>
    <xf numFmtId="258" fontId="60" fillId="0" borderId="0" applyFill="0" applyBorder="0" applyAlignment="0"/>
    <xf numFmtId="260" fontId="60" fillId="0" borderId="0" applyFill="0" applyBorder="0" applyAlignment="0"/>
    <xf numFmtId="0" fontId="130" fillId="0" borderId="0" applyFill="0" applyBorder="0" applyProtection="0">
      <alignment horizontal="centerContinuous" vertical="center"/>
    </xf>
    <xf numFmtId="0" fontId="10" fillId="2" borderId="0" applyFill="0" applyBorder="0" applyProtection="0">
      <alignment horizontal="center" vertical="center"/>
    </xf>
    <xf numFmtId="254" fontId="20" fillId="0" borderId="25">
      <protection locked="0"/>
    </xf>
    <xf numFmtId="0" fontId="4" fillId="0" borderId="0" applyFont="0" applyFill="0" applyBorder="0" applyAlignment="0" applyProtection="0"/>
    <xf numFmtId="0" fontId="131" fillId="0" borderId="7">
      <alignment horizontal="left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8" fillId="0" borderId="0" applyNumberFormat="0" applyFont="0" applyFill="0" applyBorder="0" applyProtection="0">
      <alignment horizontal="center" vertical="center" wrapText="1"/>
    </xf>
    <xf numFmtId="0" fontId="3" fillId="0" borderId="0"/>
    <xf numFmtId="0" fontId="13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133" fillId="0" borderId="0"/>
    <xf numFmtId="0" fontId="3" fillId="0" borderId="0"/>
    <xf numFmtId="176" fontId="121" fillId="0" borderId="0" applyFont="0" applyFill="0" applyBorder="0" applyAlignment="0" applyProtection="0"/>
    <xf numFmtId="0" fontId="3" fillId="0" borderId="0"/>
    <xf numFmtId="0" fontId="121" fillId="0" borderId="0"/>
    <xf numFmtId="0" fontId="3" fillId="0" borderId="0"/>
    <xf numFmtId="0" fontId="3" fillId="0" borderId="0">
      <alignment vertical="center"/>
    </xf>
    <xf numFmtId="0" fontId="12" fillId="0" borderId="42">
      <alignment horizontal="center"/>
    </xf>
    <xf numFmtId="264" fontId="7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/>
    <xf numFmtId="0" fontId="20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0" fontId="1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9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20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 applyFont="0" applyFill="0" applyBorder="0" applyAlignment="0" applyProtection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23" fillId="0" borderId="0"/>
    <xf numFmtId="0" fontId="12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265" fontId="7" fillId="0" borderId="0" applyFont="0" applyFill="0" applyBorder="0" applyProtection="0">
      <alignment vertical="center"/>
    </xf>
    <xf numFmtId="266" fontId="7" fillId="0" borderId="0">
      <alignment vertical="center"/>
    </xf>
    <xf numFmtId="267" fontId="7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255" fontId="146" fillId="0" borderId="0">
      <protection locked="0"/>
    </xf>
    <xf numFmtId="268" fontId="3" fillId="0" borderId="0">
      <protection locked="0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9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121" fillId="0" borderId="43">
      <alignment horizontal="center" vertical="center"/>
    </xf>
    <xf numFmtId="266" fontId="20" fillId="0" borderId="44" applyFont="0" applyFill="0" applyBorder="0" applyAlignment="0">
      <alignment horizontal="left" vertical="center"/>
    </xf>
    <xf numFmtId="37" fontId="6" fillId="0" borderId="0"/>
    <xf numFmtId="0" fontId="11" fillId="0" borderId="0" applyBorder="0"/>
    <xf numFmtId="0" fontId="7" fillId="0" borderId="0" applyNumberFormat="0" applyFont="0" applyFill="0" applyBorder="0" applyProtection="0">
      <alignment horizontal="distributed" vertical="center" justifyLastLine="1"/>
    </xf>
    <xf numFmtId="269" fontId="7" fillId="0" borderId="0" applyFont="0" applyFill="0" applyBorder="0" applyProtection="0">
      <alignment horizontal="center" vertical="center"/>
    </xf>
    <xf numFmtId="270" fontId="7" fillId="0" borderId="0" applyFont="0" applyFill="0" applyBorder="0" applyProtection="0">
      <alignment horizontal="center" vertical="center"/>
    </xf>
    <xf numFmtId="271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centerContinuous" vertical="center"/>
    </xf>
    <xf numFmtId="4" fontId="31" fillId="0" borderId="0" applyFont="0" applyFill="0" applyBorder="0" applyAlignment="0" applyProtection="0"/>
    <xf numFmtId="272" fontId="7" fillId="0" borderId="0" applyFont="0" applyFill="0" applyBorder="0" applyProtection="0">
      <alignment vertical="center"/>
    </xf>
    <xf numFmtId="38" fontId="7" fillId="0" borderId="0" applyFont="0" applyFill="0" applyBorder="0" applyProtection="0">
      <alignment vertical="center"/>
    </xf>
    <xf numFmtId="38" fontId="7" fillId="0" borderId="0" applyFont="0" applyFill="0" applyBorder="0" applyAlignment="0" applyProtection="0">
      <alignment vertical="center"/>
    </xf>
    <xf numFmtId="247" fontId="7" fillId="0" borderId="0" applyFont="0" applyFill="0" applyBorder="0" applyAlignment="0" applyProtection="0">
      <alignment vertical="center"/>
    </xf>
    <xf numFmtId="38" fontId="7" fillId="0" borderId="0" applyFill="0" applyBorder="0" applyAlignment="0" applyProtection="0">
      <alignment vertical="center"/>
    </xf>
    <xf numFmtId="0" fontId="121" fillId="0" borderId="43">
      <alignment horizontal="center" vertical="center"/>
    </xf>
    <xf numFmtId="255" fontId="113" fillId="0" borderId="0">
      <protection locked="0"/>
    </xf>
    <xf numFmtId="255" fontId="113" fillId="0" borderId="0">
      <protection locked="0"/>
    </xf>
    <xf numFmtId="255" fontId="113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78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3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84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5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0" fontId="74" fillId="0" borderId="0"/>
    <xf numFmtId="0" fontId="148" fillId="0" borderId="0"/>
    <xf numFmtId="0" fontId="149" fillId="0" borderId="0"/>
    <xf numFmtId="255" fontId="113" fillId="0" borderId="0">
      <protection locked="0"/>
    </xf>
    <xf numFmtId="0" fontId="21" fillId="0" borderId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150" fillId="0" borderId="0">
      <alignment horizontal="centerContinuous"/>
    </xf>
    <xf numFmtId="49" fontId="151" fillId="0" borderId="0" applyFill="0" applyBorder="0" applyProtection="0">
      <alignment horizontal="centerContinuous" vertical="center"/>
    </xf>
    <xf numFmtId="0" fontId="4" fillId="0" borderId="0" applyFont="0" applyFill="0" applyBorder="0" applyAlignment="0" applyProtection="0"/>
    <xf numFmtId="41" fontId="156" fillId="0" borderId="0" applyFont="0" applyFill="0" applyBorder="0" applyAlignment="0" applyProtection="0">
      <alignment vertical="center"/>
    </xf>
    <xf numFmtId="0" fontId="3" fillId="0" borderId="0"/>
    <xf numFmtId="0" fontId="4" fillId="0" borderId="0"/>
  </cellStyleXfs>
  <cellXfs count="221">
    <xf numFmtId="0" fontId="0" fillId="0" borderId="0" xfId="0">
      <alignment vertical="center"/>
    </xf>
    <xf numFmtId="0" fontId="20" fillId="0" borderId="0" xfId="2835" applyFont="1" applyFill="1" applyBorder="1" applyAlignment="1">
      <alignment vertical="center"/>
    </xf>
    <xf numFmtId="0" fontId="134" fillId="0" borderId="0" xfId="2835" applyFont="1" applyFill="1" applyBorder="1" applyAlignment="1">
      <alignment vertical="center"/>
    </xf>
    <xf numFmtId="41" fontId="135" fillId="0" borderId="0" xfId="1" applyFont="1" applyBorder="1" applyAlignment="1">
      <alignment vertical="center"/>
    </xf>
    <xf numFmtId="41" fontId="20" fillId="0" borderId="0" xfId="1" applyFont="1" applyBorder="1" applyAlignment="1">
      <alignment vertical="center"/>
    </xf>
    <xf numFmtId="0" fontId="20" fillId="0" borderId="0" xfId="2835" applyFont="1" applyBorder="1" applyAlignment="1">
      <alignment horizontal="center" vertical="center"/>
    </xf>
    <xf numFmtId="0" fontId="20" fillId="0" borderId="0" xfId="2835" applyFont="1" applyBorder="1" applyAlignment="1">
      <alignment horizontal="left" vertical="center"/>
    </xf>
    <xf numFmtId="0" fontId="20" fillId="0" borderId="0" xfId="2835" applyFont="1" applyBorder="1" applyAlignment="1">
      <alignment vertical="center"/>
    </xf>
    <xf numFmtId="0" fontId="134" fillId="0" borderId="0" xfId="2835" applyFont="1" applyBorder="1" applyAlignment="1">
      <alignment vertical="center"/>
    </xf>
    <xf numFmtId="41" fontId="134" fillId="0" borderId="26" xfId="1" applyFont="1" applyBorder="1" applyAlignment="1">
      <alignment horizontal="center" vertical="center"/>
    </xf>
    <xf numFmtId="41" fontId="134" fillId="0" borderId="27" xfId="1" applyFont="1" applyBorder="1" applyAlignment="1">
      <alignment vertical="center"/>
    </xf>
    <xf numFmtId="41" fontId="134" fillId="0" borderId="28" xfId="1" applyFont="1" applyBorder="1" applyAlignment="1">
      <alignment vertical="center"/>
    </xf>
    <xf numFmtId="41" fontId="134" fillId="0" borderId="27" xfId="1" applyFont="1" applyBorder="1" applyAlignment="1">
      <alignment horizontal="right" vertical="center"/>
    </xf>
    <xf numFmtId="0" fontId="134" fillId="0" borderId="27" xfId="2837" applyFont="1" applyBorder="1" applyAlignment="1">
      <alignment horizontal="center" vertical="center"/>
    </xf>
    <xf numFmtId="0" fontId="134" fillId="0" borderId="27" xfId="2837" applyFont="1" applyBorder="1" applyAlignment="1">
      <alignment vertical="center"/>
    </xf>
    <xf numFmtId="49" fontId="134" fillId="0" borderId="28" xfId="2837" applyNumberFormat="1" applyFont="1" applyBorder="1" applyAlignment="1">
      <alignment horizontal="center" vertical="center"/>
    </xf>
    <xf numFmtId="0" fontId="136" fillId="0" borderId="0" xfId="2835" applyFont="1" applyAlignment="1">
      <alignment vertical="center"/>
    </xf>
    <xf numFmtId="0" fontId="137" fillId="0" borderId="0" xfId="2835" applyFont="1" applyAlignment="1">
      <alignment vertical="center"/>
    </xf>
    <xf numFmtId="0" fontId="134" fillId="0" borderId="29" xfId="2835" applyFont="1" applyBorder="1" applyAlignment="1">
      <alignment vertical="center"/>
    </xf>
    <xf numFmtId="261" fontId="134" fillId="0" borderId="30" xfId="2836" applyNumberFormat="1" applyFont="1" applyBorder="1" applyAlignment="1">
      <alignment vertical="center"/>
    </xf>
    <xf numFmtId="0" fontId="134" fillId="0" borderId="30" xfId="2835" applyFont="1" applyBorder="1" applyAlignment="1">
      <alignment horizontal="center" vertical="center"/>
    </xf>
    <xf numFmtId="0" fontId="134" fillId="0" borderId="30" xfId="2837" applyFont="1" applyBorder="1" applyAlignment="1">
      <alignment vertical="center"/>
    </xf>
    <xf numFmtId="0" fontId="134" fillId="0" borderId="31" xfId="2835" applyFont="1" applyBorder="1" applyAlignment="1">
      <alignment horizontal="center" vertical="center"/>
    </xf>
    <xf numFmtId="0" fontId="136" fillId="0" borderId="0" xfId="2837" applyFont="1" applyAlignment="1">
      <alignment vertical="center"/>
    </xf>
    <xf numFmtId="0" fontId="138" fillId="0" borderId="0" xfId="2837" applyFont="1" applyAlignment="1">
      <alignment vertical="center"/>
    </xf>
    <xf numFmtId="0" fontId="134" fillId="0" borderId="0" xfId="2837" applyFont="1" applyAlignment="1">
      <alignment vertical="center"/>
    </xf>
    <xf numFmtId="0" fontId="134" fillId="0" borderId="30" xfId="2837" applyFont="1" applyBorder="1" applyAlignment="1">
      <alignment horizontal="center" vertical="center" shrinkToFit="1"/>
    </xf>
    <xf numFmtId="0" fontId="134" fillId="0" borderId="31" xfId="2837" applyFont="1" applyBorder="1" applyAlignment="1">
      <alignment horizontal="center" vertical="center" shrinkToFit="1"/>
    </xf>
    <xf numFmtId="0" fontId="134" fillId="0" borderId="30" xfId="2837" applyFont="1" applyBorder="1" applyAlignment="1">
      <alignment horizontal="left" vertical="center" shrinkToFit="1"/>
    </xf>
    <xf numFmtId="0" fontId="134" fillId="0" borderId="30" xfId="2837" applyFont="1" applyBorder="1" applyAlignment="1">
      <alignment vertical="center" shrinkToFit="1"/>
    </xf>
    <xf numFmtId="41" fontId="134" fillId="0" borderId="29" xfId="1" applyFont="1" applyBorder="1" applyAlignment="1">
      <alignment vertical="center"/>
    </xf>
    <xf numFmtId="49" fontId="134" fillId="0" borderId="31" xfId="2837" applyNumberFormat="1" applyFont="1" applyBorder="1" applyAlignment="1">
      <alignment horizontal="center" vertical="center" shrinkToFit="1"/>
    </xf>
    <xf numFmtId="41" fontId="134" fillId="0" borderId="32" xfId="1" applyFont="1" applyBorder="1" applyAlignment="1">
      <alignment vertical="center"/>
    </xf>
    <xf numFmtId="0" fontId="134" fillId="0" borderId="33" xfId="2837" applyFont="1" applyBorder="1" applyAlignment="1">
      <alignment horizontal="center" vertical="center" shrinkToFit="1"/>
    </xf>
    <xf numFmtId="0" fontId="134" fillId="0" borderId="33" xfId="2837" applyFont="1" applyBorder="1" applyAlignment="1">
      <alignment horizontal="left" vertical="center" shrinkToFit="1"/>
    </xf>
    <xf numFmtId="0" fontId="134" fillId="0" borderId="34" xfId="2837" applyFont="1" applyBorder="1" applyAlignment="1">
      <alignment horizontal="center" vertical="center" shrinkToFit="1"/>
    </xf>
    <xf numFmtId="0" fontId="140" fillId="0" borderId="0" xfId="2835" applyFont="1" applyAlignment="1">
      <alignment vertical="center"/>
    </xf>
    <xf numFmtId="0" fontId="140" fillId="0" borderId="0" xfId="2837" applyFont="1" applyAlignment="1">
      <alignment vertical="center"/>
    </xf>
    <xf numFmtId="0" fontId="5" fillId="0" borderId="0" xfId="2835" applyFont="1" applyAlignment="1">
      <alignment vertical="center"/>
    </xf>
    <xf numFmtId="0" fontId="140" fillId="0" borderId="0" xfId="2835" applyFont="1" applyBorder="1" applyAlignment="1">
      <alignment vertical="center"/>
    </xf>
    <xf numFmtId="0" fontId="37" fillId="0" borderId="0" xfId="2835" applyFont="1" applyBorder="1"/>
    <xf numFmtId="0" fontId="37" fillId="0" borderId="0" xfId="2835" applyFont="1"/>
    <xf numFmtId="0" fontId="140" fillId="0" borderId="0" xfId="2835" applyFont="1" applyAlignment="1"/>
    <xf numFmtId="0" fontId="140" fillId="0" borderId="0" xfId="2835" applyFont="1" applyBorder="1" applyAlignment="1"/>
    <xf numFmtId="0" fontId="36" fillId="0" borderId="0" xfId="2835" applyFont="1" applyBorder="1" applyAlignment="1">
      <alignment horizontal="left"/>
    </xf>
    <xf numFmtId="0" fontId="137" fillId="0" borderId="0" xfId="2835" applyFont="1" applyBorder="1" applyAlignment="1">
      <alignment vertical="center"/>
    </xf>
    <xf numFmtId="0" fontId="137" fillId="0" borderId="0" xfId="2835" quotePrefix="1" applyFont="1" applyBorder="1" applyAlignment="1">
      <alignment horizontal="left" vertical="center"/>
    </xf>
    <xf numFmtId="0" fontId="137" fillId="0" borderId="0" xfId="2835" applyFont="1" applyBorder="1" applyAlignment="1">
      <alignment horizontal="justify" vertical="center"/>
    </xf>
    <xf numFmtId="0" fontId="37" fillId="0" borderId="0" xfId="2835" applyFont="1" applyBorder="1" applyAlignment="1">
      <alignment vertical="center"/>
    </xf>
    <xf numFmtId="0" fontId="140" fillId="0" borderId="0" xfId="2835" applyFont="1" applyBorder="1" applyAlignment="1">
      <alignment horizontal="left" vertical="center"/>
    </xf>
    <xf numFmtId="0" fontId="134" fillId="0" borderId="0" xfId="2835" applyFont="1"/>
    <xf numFmtId="0" fontId="136" fillId="0" borderId="0" xfId="2835" applyFont="1" applyBorder="1" applyAlignment="1">
      <alignment horizontal="right" vertical="top"/>
    </xf>
    <xf numFmtId="0" fontId="5" fillId="0" borderId="37" xfId="2835" applyFont="1" applyBorder="1" applyAlignment="1">
      <alignment vertical="center"/>
    </xf>
    <xf numFmtId="0" fontId="140" fillId="0" borderId="37" xfId="2835" applyFont="1" applyBorder="1" applyAlignment="1">
      <alignment vertical="center"/>
    </xf>
    <xf numFmtId="0" fontId="5" fillId="0" borderId="0" xfId="2835" applyFont="1" applyAlignment="1"/>
    <xf numFmtId="49" fontId="142" fillId="0" borderId="0" xfId="2835" applyNumberFormat="1" applyFont="1" applyBorder="1" applyAlignment="1">
      <alignment horizontal="left"/>
    </xf>
    <xf numFmtId="0" fontId="140" fillId="0" borderId="0" xfId="2835" applyNumberFormat="1" applyFont="1" applyBorder="1" applyAlignment="1"/>
    <xf numFmtId="0" fontId="5" fillId="0" borderId="0" xfId="2835" applyFont="1" applyBorder="1" applyAlignment="1">
      <alignment vertical="center"/>
    </xf>
    <xf numFmtId="0" fontId="143" fillId="0" borderId="0" xfId="2835" applyFont="1" applyAlignment="1">
      <alignment horizontal="left" vertical="center"/>
    </xf>
    <xf numFmtId="41" fontId="137" fillId="0" borderId="35" xfId="1" applyFont="1" applyFill="1" applyBorder="1" applyAlignment="1">
      <alignment horizontal="center" vertical="center"/>
    </xf>
    <xf numFmtId="0" fontId="137" fillId="0" borderId="36" xfId="2835" applyFont="1" applyFill="1" applyBorder="1" applyAlignment="1">
      <alignment horizontal="center" vertical="center"/>
    </xf>
    <xf numFmtId="0" fontId="137" fillId="0" borderId="38" xfId="2835" applyFont="1" applyBorder="1" applyAlignment="1">
      <alignment horizontal="center" vertical="center"/>
    </xf>
    <xf numFmtId="0" fontId="134" fillId="0" borderId="0" xfId="2837" applyFont="1" applyAlignment="1">
      <alignment horizontal="center" vertical="center"/>
    </xf>
    <xf numFmtId="0" fontId="138" fillId="0" borderId="0" xfId="2837" applyFont="1" applyAlignment="1">
      <alignment horizontal="center" vertical="center"/>
    </xf>
    <xf numFmtId="0" fontId="137" fillId="0" borderId="0" xfId="2837" applyFont="1" applyAlignment="1">
      <alignment horizontal="center" vertical="center"/>
    </xf>
    <xf numFmtId="0" fontId="137" fillId="0" borderId="0" xfId="2835" applyFont="1" applyAlignment="1">
      <alignment horizontal="center" vertical="center"/>
    </xf>
    <xf numFmtId="0" fontId="140" fillId="0" borderId="19" xfId="2835" applyFont="1" applyBorder="1" applyAlignment="1">
      <alignment vertical="center"/>
    </xf>
    <xf numFmtId="186" fontId="134" fillId="0" borderId="30" xfId="1" applyNumberFormat="1" applyFont="1" applyBorder="1" applyAlignment="1">
      <alignment horizontal="right" vertical="center" shrinkToFit="1"/>
    </xf>
    <xf numFmtId="186" fontId="134" fillId="0" borderId="30" xfId="1" applyNumberFormat="1" applyFont="1" applyBorder="1" applyAlignment="1">
      <alignment vertical="center"/>
    </xf>
    <xf numFmtId="41" fontId="134" fillId="0" borderId="33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horizontal="right" vertical="center" shrinkToFit="1"/>
    </xf>
    <xf numFmtId="41" fontId="134" fillId="0" borderId="30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vertical="center" shrinkToFit="1"/>
    </xf>
    <xf numFmtId="184" fontId="134" fillId="0" borderId="30" xfId="2837" applyNumberFormat="1" applyFont="1" applyFill="1" applyBorder="1" applyAlignment="1">
      <alignment horizontal="center" shrinkToFit="1"/>
    </xf>
    <xf numFmtId="41" fontId="137" fillId="0" borderId="33" xfId="1" applyNumberFormat="1" applyFont="1" applyBorder="1" applyAlignment="1">
      <alignment vertical="center"/>
    </xf>
    <xf numFmtId="41" fontId="137" fillId="0" borderId="30" xfId="1" applyNumberFormat="1" applyFont="1" applyBorder="1" applyAlignment="1">
      <alignment vertical="center"/>
    </xf>
    <xf numFmtId="186" fontId="137" fillId="0" borderId="30" xfId="1" applyNumberFormat="1" applyFont="1" applyBorder="1" applyAlignment="1">
      <alignment vertical="center"/>
    </xf>
    <xf numFmtId="0" fontId="140" fillId="0" borderId="1" xfId="2837" applyFont="1" applyBorder="1" applyAlignment="1">
      <alignment vertical="center"/>
    </xf>
    <xf numFmtId="0" fontId="137" fillId="0" borderId="33" xfId="2837" applyFont="1" applyBorder="1" applyAlignment="1">
      <alignment horizontal="left" vertical="center" shrinkToFit="1"/>
    </xf>
    <xf numFmtId="0" fontId="137" fillId="0" borderId="30" xfId="2837" applyFont="1" applyBorder="1" applyAlignment="1">
      <alignment horizontal="left" vertical="center" shrinkToFit="1"/>
    </xf>
    <xf numFmtId="0" fontId="134" fillId="0" borderId="21" xfId="2837" applyFont="1" applyBorder="1" applyAlignment="1">
      <alignment horizontal="center" vertical="center" shrinkToFit="1"/>
    </xf>
    <xf numFmtId="0" fontId="134" fillId="0" borderId="12" xfId="2837" applyFont="1" applyBorder="1" applyAlignment="1">
      <alignment horizontal="left" vertical="center" shrinkToFit="1"/>
    </xf>
    <xf numFmtId="0" fontId="134" fillId="0" borderId="12" xfId="2837" applyFont="1" applyBorder="1" applyAlignment="1">
      <alignment horizontal="center" vertical="center" shrinkToFit="1"/>
    </xf>
    <xf numFmtId="41" fontId="134" fillId="0" borderId="12" xfId="1" applyNumberFormat="1" applyFont="1" applyBorder="1" applyAlignment="1">
      <alignment vertical="center"/>
    </xf>
    <xf numFmtId="41" fontId="134" fillId="0" borderId="40" xfId="1" applyFont="1" applyBorder="1" applyAlignment="1">
      <alignment vertical="center"/>
    </xf>
    <xf numFmtId="41" fontId="134" fillId="0" borderId="33" xfId="1" applyNumberFormat="1" applyFont="1" applyBorder="1" applyAlignment="1">
      <alignment horizontal="right" vertical="center" shrinkToFit="1"/>
    </xf>
    <xf numFmtId="0" fontId="20" fillId="0" borderId="0" xfId="2840" applyFont="1">
      <alignment vertical="center"/>
    </xf>
    <xf numFmtId="41" fontId="20" fillId="0" borderId="0" xfId="1" applyFont="1">
      <alignment vertical="center"/>
    </xf>
    <xf numFmtId="41" fontId="20" fillId="0" borderId="0" xfId="1" applyFont="1" applyAlignment="1">
      <alignment horizontal="center" vertical="center"/>
    </xf>
    <xf numFmtId="263" fontId="20" fillId="0" borderId="0" xfId="1" applyNumberFormat="1" applyFont="1">
      <alignment vertical="center"/>
    </xf>
    <xf numFmtId="41" fontId="20" fillId="0" borderId="0" xfId="1" applyFont="1" applyAlignment="1">
      <alignment horizontal="left" vertical="center"/>
    </xf>
    <xf numFmtId="41" fontId="20" fillId="0" borderId="39" xfId="1" applyFont="1" applyBorder="1">
      <alignment vertical="center"/>
    </xf>
    <xf numFmtId="41" fontId="20" fillId="0" borderId="30" xfId="1" applyFont="1" applyBorder="1">
      <alignment vertical="center"/>
    </xf>
    <xf numFmtId="41" fontId="20" fillId="0" borderId="30" xfId="1" applyFont="1" applyBorder="1" applyAlignment="1">
      <alignment horizontal="center" vertical="center"/>
    </xf>
    <xf numFmtId="263" fontId="20" fillId="0" borderId="30" xfId="1" applyNumberFormat="1" applyFont="1" applyBorder="1">
      <alignment vertical="center"/>
    </xf>
    <xf numFmtId="41" fontId="20" fillId="0" borderId="30" xfId="1" applyFont="1" applyBorder="1" applyAlignment="1">
      <alignment horizontal="left" vertical="center"/>
    </xf>
    <xf numFmtId="41" fontId="20" fillId="0" borderId="7" xfId="1" applyFont="1" applyBorder="1" applyAlignment="1">
      <alignment horizontal="center" vertical="center"/>
    </xf>
    <xf numFmtId="41" fontId="36" fillId="7" borderId="39" xfId="1" applyFont="1" applyFill="1" applyBorder="1">
      <alignment vertical="center"/>
    </xf>
    <xf numFmtId="41" fontId="36" fillId="7" borderId="30" xfId="1" applyFont="1" applyFill="1" applyBorder="1">
      <alignment vertical="center"/>
    </xf>
    <xf numFmtId="41" fontId="36" fillId="7" borderId="30" xfId="1" applyFont="1" applyFill="1" applyBorder="1" applyAlignment="1">
      <alignment horizontal="center" vertical="center"/>
    </xf>
    <xf numFmtId="263" fontId="36" fillId="7" borderId="30" xfId="1" applyNumberFormat="1" applyFont="1" applyFill="1" applyBorder="1">
      <alignment vertical="center"/>
    </xf>
    <xf numFmtId="41" fontId="36" fillId="7" borderId="30" xfId="1" applyFont="1" applyFill="1" applyBorder="1" applyAlignment="1">
      <alignment horizontal="left" vertical="center"/>
    </xf>
    <xf numFmtId="41" fontId="36" fillId="7" borderId="7" xfId="1" applyFont="1" applyFill="1" applyBorder="1" applyAlignment="1">
      <alignment horizontal="center" vertical="center"/>
    </xf>
    <xf numFmtId="41" fontId="36" fillId="0" borderId="7" xfId="1" applyFont="1" applyBorder="1" applyAlignment="1">
      <alignment horizontal="center" vertical="center"/>
    </xf>
    <xf numFmtId="41" fontId="36" fillId="0" borderId="30" xfId="1" applyFont="1" applyBorder="1" applyAlignment="1">
      <alignment horizontal="left" vertical="center"/>
    </xf>
    <xf numFmtId="41" fontId="36" fillId="0" borderId="30" xfId="1" applyFont="1" applyBorder="1">
      <alignment vertical="center"/>
    </xf>
    <xf numFmtId="0" fontId="20" fillId="8" borderId="0" xfId="2840" applyFont="1" applyFill="1">
      <alignment vertical="center"/>
    </xf>
    <xf numFmtId="41" fontId="20" fillId="0" borderId="30" xfId="1" applyFont="1" applyFill="1" applyBorder="1">
      <alignment vertical="center"/>
    </xf>
    <xf numFmtId="41" fontId="20" fillId="0" borderId="30" xfId="1" applyFont="1" applyFill="1" applyBorder="1" applyAlignment="1">
      <alignment horizontal="center" vertical="center"/>
    </xf>
    <xf numFmtId="263" fontId="20" fillId="0" borderId="30" xfId="1" applyNumberFormat="1" applyFont="1" applyFill="1" applyBorder="1">
      <alignment vertical="center"/>
    </xf>
    <xf numFmtId="41" fontId="20" fillId="0" borderId="30" xfId="1" applyFont="1" applyFill="1" applyBorder="1" applyAlignment="1">
      <alignment horizontal="left" vertical="center"/>
    </xf>
    <xf numFmtId="0" fontId="137" fillId="0" borderId="0" xfId="2835" applyFont="1" applyBorder="1" applyAlignment="1">
      <alignment horizontal="left" vertical="top"/>
    </xf>
    <xf numFmtId="0" fontId="141" fillId="0" borderId="23" xfId="2835" applyFont="1" applyBorder="1" applyAlignment="1">
      <alignment horizontal="center" vertical="center"/>
    </xf>
    <xf numFmtId="0" fontId="136" fillId="0" borderId="0" xfId="2835" applyFont="1" applyAlignment="1">
      <alignment horizontal="right" vertical="center"/>
    </xf>
    <xf numFmtId="0" fontId="37" fillId="0" borderId="0" xfId="2837" applyFont="1" applyAlignment="1">
      <alignment vertical="center"/>
    </xf>
    <xf numFmtId="0" fontId="37" fillId="0" borderId="0" xfId="2835" applyFont="1" applyAlignment="1">
      <alignment vertical="center"/>
    </xf>
    <xf numFmtId="0" fontId="37" fillId="0" borderId="0" xfId="2835" applyFont="1" applyAlignment="1">
      <alignment horizontal="center" vertical="center"/>
    </xf>
    <xf numFmtId="0" fontId="154" fillId="0" borderId="53" xfId="2837" applyFont="1" applyBorder="1" applyAlignment="1">
      <alignment horizontal="center" vertical="center"/>
    </xf>
    <xf numFmtId="0" fontId="153" fillId="0" borderId="54" xfId="2837" applyFont="1" applyBorder="1" applyAlignment="1">
      <alignment horizontal="center" vertical="center"/>
    </xf>
    <xf numFmtId="0" fontId="153" fillId="0" borderId="54" xfId="2835" applyFont="1" applyBorder="1" applyAlignment="1">
      <alignment vertical="center"/>
    </xf>
    <xf numFmtId="0" fontId="60" fillId="0" borderId="54" xfId="2835" applyFont="1" applyFill="1" applyBorder="1" applyAlignment="1">
      <alignment vertical="center"/>
    </xf>
    <xf numFmtId="0" fontId="154" fillId="0" borderId="56" xfId="2837" applyFont="1" applyBorder="1" applyAlignment="1">
      <alignment horizontal="center" vertical="center"/>
    </xf>
    <xf numFmtId="0" fontId="153" fillId="0" borderId="42" xfId="2837" applyFont="1" applyBorder="1" applyAlignment="1">
      <alignment horizontal="right" vertical="center"/>
    </xf>
    <xf numFmtId="0" fontId="155" fillId="0" borderId="42" xfId="2835" applyFont="1" applyBorder="1" applyAlignment="1">
      <alignment vertical="center"/>
    </xf>
    <xf numFmtId="0" fontId="153" fillId="0" borderId="42" xfId="2835" applyFont="1" applyBorder="1" applyAlignment="1">
      <alignment vertical="center"/>
    </xf>
    <xf numFmtId="0" fontId="155" fillId="0" borderId="50" xfId="2835" applyFont="1" applyBorder="1" applyAlignment="1">
      <alignment vertical="center"/>
    </xf>
    <xf numFmtId="0" fontId="155" fillId="0" borderId="49" xfId="2835" applyFont="1" applyBorder="1" applyAlignment="1">
      <alignment horizontal="right" vertical="center"/>
    </xf>
    <xf numFmtId="0" fontId="153" fillId="0" borderId="49" xfId="2835" applyFont="1" applyBorder="1" applyAlignment="1">
      <alignment horizontal="center" vertical="center"/>
    </xf>
    <xf numFmtId="0" fontId="153" fillId="0" borderId="49" xfId="2835" applyFont="1" applyBorder="1" applyAlignment="1">
      <alignment vertical="center"/>
    </xf>
    <xf numFmtId="0" fontId="60" fillId="0" borderId="47" xfId="2835" applyFont="1" applyFill="1" applyBorder="1" applyAlignment="1">
      <alignment vertical="center"/>
    </xf>
    <xf numFmtId="0" fontId="60" fillId="0" borderId="45" xfId="2835" applyFont="1" applyFill="1" applyBorder="1" applyAlignment="1">
      <alignment vertical="center"/>
    </xf>
    <xf numFmtId="0" fontId="60" fillId="0" borderId="48" xfId="2835" applyFont="1" applyFill="1" applyBorder="1" applyAlignment="1">
      <alignment vertical="center"/>
    </xf>
    <xf numFmtId="0" fontId="60" fillId="0" borderId="50" xfId="2835" applyFont="1" applyFill="1" applyBorder="1" applyAlignment="1">
      <alignment vertical="center"/>
    </xf>
    <xf numFmtId="0" fontId="60" fillId="0" borderId="49" xfId="2835" applyFont="1" applyFill="1" applyBorder="1" applyAlignment="1">
      <alignment vertical="center"/>
    </xf>
    <xf numFmtId="0" fontId="60" fillId="0" borderId="52" xfId="2835" applyFont="1" applyFill="1" applyBorder="1" applyAlignment="1">
      <alignment vertical="center"/>
    </xf>
    <xf numFmtId="0" fontId="136" fillId="0" borderId="0" xfId="2835" applyFont="1" applyAlignment="1">
      <alignment horizontal="left" vertical="center"/>
    </xf>
    <xf numFmtId="0" fontId="140" fillId="0" borderId="0" xfId="2835" applyFont="1" applyAlignment="1">
      <alignment horizontal="left"/>
    </xf>
    <xf numFmtId="262" fontId="37" fillId="0" borderId="37" xfId="2839" applyNumberFormat="1" applyFont="1" applyBorder="1" applyAlignment="1">
      <alignment horizontal="distributed"/>
    </xf>
    <xf numFmtId="0" fontId="141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vertical="center"/>
    </xf>
    <xf numFmtId="41" fontId="20" fillId="0" borderId="0" xfId="4293" applyFont="1" applyAlignment="1">
      <alignment vertical="center"/>
    </xf>
    <xf numFmtId="41" fontId="20" fillId="0" borderId="30" xfId="4293" applyFont="1" applyBorder="1" applyAlignment="1">
      <alignment vertical="center"/>
    </xf>
    <xf numFmtId="41" fontId="20" fillId="0" borderId="30" xfId="4293" applyFont="1" applyBorder="1" applyAlignment="1">
      <alignment vertical="center" wrapText="1"/>
    </xf>
    <xf numFmtId="263" fontId="20" fillId="0" borderId="30" xfId="4293" applyNumberFormat="1" applyFont="1" applyBorder="1" applyAlignment="1">
      <alignment vertical="center"/>
    </xf>
    <xf numFmtId="0" fontId="20" fillId="0" borderId="12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vertical="center" shrinkToFit="1"/>
    </xf>
    <xf numFmtId="0" fontId="20" fillId="0" borderId="30" xfId="2837" applyFont="1" applyBorder="1" applyAlignment="1">
      <alignment vertical="center"/>
    </xf>
    <xf numFmtId="0" fontId="20" fillId="0" borderId="12" xfId="2837" applyFont="1" applyBorder="1" applyAlignment="1">
      <alignment horizontal="center" vertical="center" shrinkToFit="1"/>
    </xf>
    <xf numFmtId="0" fontId="20" fillId="0" borderId="21" xfId="2837" applyFont="1" applyBorder="1" applyAlignment="1">
      <alignment horizontal="center" vertical="center" shrinkToFit="1"/>
    </xf>
    <xf numFmtId="0" fontId="20" fillId="0" borderId="31" xfId="2837" applyFont="1" applyBorder="1" applyAlignment="1">
      <alignment horizontal="center" vertical="center" shrinkToFit="1"/>
    </xf>
    <xf numFmtId="263" fontId="20" fillId="0" borderId="30" xfId="1" applyNumberFormat="1" applyFont="1" applyBorder="1" applyAlignment="1">
      <alignment horizontal="center" vertical="center"/>
    </xf>
    <xf numFmtId="41" fontId="20" fillId="0" borderId="30" xfId="4293" applyFont="1" applyBorder="1" applyAlignment="1">
      <alignment horizontal="left" vertical="center"/>
    </xf>
    <xf numFmtId="41" fontId="20" fillId="0" borderId="30" xfId="4293" applyFont="1" applyFill="1" applyBorder="1" applyAlignment="1">
      <alignment vertical="center"/>
    </xf>
    <xf numFmtId="41" fontId="20" fillId="0" borderId="30" xfId="4293" applyFont="1" applyFill="1" applyBorder="1" applyAlignment="1">
      <alignment vertical="center" wrapText="1"/>
    </xf>
    <xf numFmtId="273" fontId="158" fillId="0" borderId="30" xfId="4294" applyNumberFormat="1" applyFont="1" applyFill="1" applyBorder="1" applyAlignment="1">
      <alignment horizontal="left" vertical="center"/>
    </xf>
    <xf numFmtId="263" fontId="20" fillId="0" borderId="30" xfId="4293" applyNumberFormat="1" applyFont="1" applyFill="1" applyBorder="1" applyAlignment="1">
      <alignment vertical="center"/>
    </xf>
    <xf numFmtId="41" fontId="20" fillId="0" borderId="30" xfId="4293" applyFont="1" applyFill="1" applyBorder="1" applyAlignment="1">
      <alignment horizontal="center" vertical="center"/>
    </xf>
    <xf numFmtId="41" fontId="7" fillId="0" borderId="30" xfId="4293" applyFont="1" applyFill="1" applyBorder="1" applyAlignment="1">
      <alignment vertical="center"/>
    </xf>
    <xf numFmtId="41" fontId="7" fillId="0" borderId="30" xfId="4293" applyFont="1" applyFill="1" applyBorder="1" applyAlignment="1">
      <alignment horizontal="center" vertical="center" wrapText="1"/>
    </xf>
    <xf numFmtId="263" fontId="7" fillId="0" borderId="30" xfId="4293" applyNumberFormat="1" applyFont="1" applyFill="1" applyBorder="1" applyAlignment="1">
      <alignment vertical="center"/>
    </xf>
    <xf numFmtId="41" fontId="134" fillId="9" borderId="30" xfId="2835" applyNumberFormat="1" applyFont="1" applyFill="1" applyBorder="1" applyAlignment="1">
      <alignment vertical="center"/>
    </xf>
    <xf numFmtId="0" fontId="134" fillId="0" borderId="30" xfId="2835" applyFont="1" applyBorder="1" applyAlignment="1">
      <alignment horizontal="right" vertical="center"/>
    </xf>
    <xf numFmtId="41" fontId="159" fillId="0" borderId="30" xfId="4293" applyFont="1" applyFill="1" applyBorder="1" applyAlignment="1">
      <alignment vertical="center"/>
    </xf>
    <xf numFmtId="41" fontId="20" fillId="0" borderId="59" xfId="4293" applyFont="1" applyBorder="1" applyAlignment="1">
      <alignment horizontal="left" vertical="center"/>
    </xf>
    <xf numFmtId="41" fontId="20" fillId="0" borderId="12" xfId="4293" applyFont="1" applyBorder="1" applyAlignment="1">
      <alignment horizontal="left" vertical="center"/>
    </xf>
    <xf numFmtId="0" fontId="60" fillId="0" borderId="31" xfId="1305" applyFont="1" applyFill="1" applyBorder="1" applyAlignment="1">
      <alignment vertical="center"/>
    </xf>
    <xf numFmtId="41" fontId="20" fillId="0" borderId="29" xfId="4293" applyFont="1" applyBorder="1" applyAlignment="1">
      <alignment horizontal="left" vertical="center"/>
    </xf>
    <xf numFmtId="0" fontId="60" fillId="0" borderId="30" xfId="1305" applyFont="1" applyFill="1" applyBorder="1" applyAlignment="1">
      <alignment vertical="center"/>
    </xf>
    <xf numFmtId="41" fontId="159" fillId="0" borderId="30" xfId="1" applyFont="1" applyBorder="1" applyAlignment="1">
      <alignment horizontal="left" vertical="center"/>
    </xf>
    <xf numFmtId="41" fontId="159" fillId="0" borderId="39" xfId="1" applyFont="1" applyBorder="1">
      <alignment vertical="center"/>
    </xf>
    <xf numFmtId="41" fontId="160" fillId="0" borderId="30" xfId="4293" applyFont="1" applyFill="1" applyBorder="1" applyAlignment="1">
      <alignment vertical="center"/>
    </xf>
    <xf numFmtId="41" fontId="20" fillId="0" borderId="12" xfId="4293" applyFont="1" applyBorder="1" applyAlignment="1">
      <alignment vertical="center" wrapText="1"/>
    </xf>
    <xf numFmtId="0" fontId="60" fillId="0" borderId="12" xfId="1305" applyFont="1" applyFill="1" applyBorder="1" applyAlignment="1">
      <alignment vertical="center"/>
    </xf>
    <xf numFmtId="41" fontId="36" fillId="10" borderId="41" xfId="1" applyFont="1" applyFill="1" applyBorder="1" applyAlignment="1">
      <alignment horizontal="center" vertical="center"/>
    </xf>
    <xf numFmtId="41" fontId="36" fillId="9" borderId="30" xfId="1" applyFont="1" applyFill="1" applyBorder="1" applyAlignment="1">
      <alignment horizontal="left" vertical="center"/>
    </xf>
    <xf numFmtId="263" fontId="36" fillId="9" borderId="30" xfId="1" applyNumberFormat="1" applyFont="1" applyFill="1" applyBorder="1">
      <alignment vertical="center"/>
    </xf>
    <xf numFmtId="41" fontId="36" fillId="9" borderId="30" xfId="1" applyFont="1" applyFill="1" applyBorder="1" applyAlignment="1">
      <alignment horizontal="center" vertical="center"/>
    </xf>
    <xf numFmtId="41" fontId="36" fillId="9" borderId="30" xfId="1" applyFont="1" applyFill="1" applyBorder="1">
      <alignment vertical="center"/>
    </xf>
    <xf numFmtId="41" fontId="20" fillId="9" borderId="39" xfId="1" applyFont="1" applyFill="1" applyBorder="1">
      <alignment vertical="center"/>
    </xf>
    <xf numFmtId="41" fontId="36" fillId="10" borderId="33" xfId="1" applyFont="1" applyFill="1" applyBorder="1" applyAlignment="1">
      <alignment horizontal="center" vertical="center"/>
    </xf>
    <xf numFmtId="263" fontId="36" fillId="10" borderId="33" xfId="1" applyNumberFormat="1" applyFont="1" applyFill="1" applyBorder="1" applyAlignment="1">
      <alignment horizontal="center" vertical="center"/>
    </xf>
    <xf numFmtId="0" fontId="161" fillId="10" borderId="41" xfId="0" applyFont="1" applyFill="1" applyBorder="1" applyAlignment="1">
      <alignment horizontal="center" vertical="center"/>
    </xf>
    <xf numFmtId="41" fontId="20" fillId="0" borderId="12" xfId="1" applyFont="1" applyBorder="1" applyAlignment="1">
      <alignment horizontal="left" vertical="center"/>
    </xf>
    <xf numFmtId="41" fontId="145" fillId="10" borderId="41" xfId="1" applyFont="1" applyFill="1" applyBorder="1" applyAlignment="1">
      <alignment horizontal="center" vertical="center"/>
    </xf>
    <xf numFmtId="41" fontId="36" fillId="10" borderId="60" xfId="1" applyFont="1" applyFill="1" applyBorder="1" applyAlignment="1">
      <alignment horizontal="center" vertical="center"/>
    </xf>
    <xf numFmtId="0" fontId="161" fillId="10" borderId="61" xfId="0" applyFont="1" applyFill="1" applyBorder="1" applyAlignment="1">
      <alignment vertical="center"/>
    </xf>
    <xf numFmtId="263" fontId="20" fillId="0" borderId="0" xfId="1" applyNumberFormat="1" applyFont="1" applyAlignment="1">
      <alignment vertical="center"/>
    </xf>
    <xf numFmtId="0" fontId="36" fillId="0" borderId="0" xfId="2840" applyFont="1" applyAlignment="1">
      <alignment horizontal="center" vertical="center"/>
    </xf>
    <xf numFmtId="42" fontId="10" fillId="0" borderId="0" xfId="2840" applyNumberFormat="1" applyFont="1">
      <alignment vertical="center"/>
    </xf>
    <xf numFmtId="42" fontId="20" fillId="0" borderId="0" xfId="2840" applyNumberFormat="1" applyFont="1">
      <alignment vertical="center"/>
    </xf>
    <xf numFmtId="41" fontId="159" fillId="0" borderId="39" xfId="1" applyFont="1" applyBorder="1" applyAlignment="1">
      <alignment horizontal="center" vertical="center"/>
    </xf>
    <xf numFmtId="0" fontId="16" fillId="0" borderId="0" xfId="2845" applyFont="1"/>
    <xf numFmtId="41" fontId="7" fillId="0" borderId="30" xfId="4293" applyFont="1" applyFill="1" applyBorder="1" applyAlignment="1">
      <alignment horizontal="center" vertical="center"/>
    </xf>
    <xf numFmtId="41" fontId="20" fillId="9" borderId="7" xfId="1" applyFont="1" applyFill="1" applyBorder="1" applyAlignment="1">
      <alignment horizontal="center" vertical="center"/>
    </xf>
    <xf numFmtId="41" fontId="36" fillId="10" borderId="57" xfId="1" applyFont="1" applyFill="1" applyBorder="1" applyAlignment="1">
      <alignment horizontal="center" vertical="center"/>
    </xf>
    <xf numFmtId="0" fontId="161" fillId="10" borderId="58" xfId="0" applyFont="1" applyFill="1" applyBorder="1" applyAlignment="1">
      <alignment horizontal="center" vertical="center"/>
    </xf>
    <xf numFmtId="0" fontId="7" fillId="0" borderId="29" xfId="4295" applyFont="1" applyBorder="1" applyAlignment="1">
      <alignment horizontal="left" vertical="center" shrinkToFit="1"/>
    </xf>
    <xf numFmtId="0" fontId="7" fillId="0" borderId="31" xfId="4295" applyFont="1" applyBorder="1" applyAlignment="1">
      <alignment horizontal="left" vertical="center" shrinkToFit="1"/>
    </xf>
    <xf numFmtId="0" fontId="153" fillId="0" borderId="47" xfId="2837" applyFont="1" applyBorder="1" applyAlignment="1">
      <alignment horizontal="center" vertical="center"/>
    </xf>
    <xf numFmtId="0" fontId="153" fillId="0" borderId="46" xfId="2837" applyFont="1" applyBorder="1" applyAlignment="1">
      <alignment horizontal="center" vertical="center"/>
    </xf>
    <xf numFmtId="0" fontId="153" fillId="0" borderId="47" xfId="2835" applyFont="1" applyBorder="1" applyAlignment="1">
      <alignment horizontal="center" vertical="center"/>
    </xf>
    <xf numFmtId="0" fontId="153" fillId="0" borderId="45" xfId="2835" applyFont="1" applyBorder="1" applyAlignment="1">
      <alignment horizontal="center" vertical="center"/>
    </xf>
    <xf numFmtId="0" fontId="153" fillId="0" borderId="46" xfId="2835" applyFont="1" applyBorder="1" applyAlignment="1">
      <alignment horizontal="center" vertical="center"/>
    </xf>
    <xf numFmtId="0" fontId="152" fillId="0" borderId="55" xfId="2835" applyFont="1" applyFill="1" applyBorder="1" applyAlignment="1">
      <alignment horizontal="center" vertical="center"/>
    </xf>
    <xf numFmtId="0" fontId="152" fillId="0" borderId="2" xfId="2835" applyFont="1" applyFill="1" applyBorder="1" applyAlignment="1">
      <alignment horizontal="center" vertical="center"/>
    </xf>
    <xf numFmtId="0" fontId="152" fillId="0" borderId="14" xfId="2835" applyFont="1" applyFill="1" applyBorder="1" applyAlignment="1">
      <alignment horizontal="center" vertical="center"/>
    </xf>
    <xf numFmtId="0" fontId="155" fillId="0" borderId="42" xfId="2837" applyFont="1" applyBorder="1" applyAlignment="1">
      <alignment horizontal="right" vertical="center"/>
    </xf>
    <xf numFmtId="184" fontId="155" fillId="0" borderId="51" xfId="2835" applyNumberFormat="1" applyFont="1" applyBorder="1" applyAlignment="1">
      <alignment horizontal="center" vertical="center"/>
    </xf>
    <xf numFmtId="0" fontId="155" fillId="0" borderId="50" xfId="2835" applyFont="1" applyBorder="1" applyAlignment="1">
      <alignment horizontal="center" vertical="center"/>
    </xf>
    <xf numFmtId="0" fontId="136" fillId="0" borderId="0" xfId="2835" applyFont="1" applyAlignment="1">
      <alignment horizontal="center" vertical="center"/>
    </xf>
    <xf numFmtId="0" fontId="36" fillId="0" borderId="1" xfId="2838" applyFont="1" applyBorder="1" applyAlignment="1">
      <alignment horizontal="left" vertical="center"/>
    </xf>
    <xf numFmtId="0" fontId="143" fillId="0" borderId="0" xfId="2835" applyFont="1" applyAlignment="1">
      <alignment horizontal="center" vertical="center"/>
    </xf>
    <xf numFmtId="0" fontId="144" fillId="0" borderId="0" xfId="2835" applyFont="1" applyAlignment="1">
      <alignment horizontal="center" vertical="center"/>
    </xf>
    <xf numFmtId="0" fontId="141" fillId="0" borderId="0" xfId="2835" applyFont="1" applyBorder="1" applyAlignment="1">
      <alignment horizontal="center" vertical="center"/>
    </xf>
    <xf numFmtId="0" fontId="140" fillId="0" borderId="1" xfId="2838" applyFont="1" applyBorder="1" applyAlignment="1">
      <alignment horizontal="left" vertical="center"/>
    </xf>
    <xf numFmtId="0" fontId="140" fillId="0" borderId="1" xfId="2835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41" fontId="36" fillId="10" borderId="32" xfId="1" applyFont="1" applyFill="1" applyBorder="1" applyAlignment="1">
      <alignment horizontal="center" vertical="center"/>
    </xf>
    <xf numFmtId="41" fontId="36" fillId="10" borderId="34" xfId="1" applyFont="1" applyFill="1" applyBorder="1" applyAlignment="1">
      <alignment horizontal="center" vertical="center"/>
    </xf>
  </cellXfs>
  <cellStyles count="4296">
    <cellStyle name="_x0001_" xfId="4"/>
    <cellStyle name=" " xfId="5"/>
    <cellStyle name="' '" xfId="6"/>
    <cellStyle name="          _x000d__x000a_mouse.drv=lmouse.drv" xfId="7"/>
    <cellStyle name=" _97연말" xfId="8"/>
    <cellStyle name=" _97연말1" xfId="9"/>
    <cellStyle name=" _Book1" xfId="11"/>
    <cellStyle name=" _무역10월 " xfId="10"/>
    <cellStyle name="Ი_x000b_" xfId="12"/>
    <cellStyle name="&quot;" xfId="2841"/>
    <cellStyle name="#,##0" xfId="13"/>
    <cellStyle name="#_품셈 " xfId="14"/>
    <cellStyle name="$" xfId="15"/>
    <cellStyle name="$_db진흥" xfId="18"/>
    <cellStyle name="$_SE40" xfId="19"/>
    <cellStyle name="$_견적2" xfId="16"/>
    <cellStyle name="$_기아" xfId="17"/>
    <cellStyle name="(##.00)" xfId="2842"/>
    <cellStyle name="(△콤마)" xfId="20"/>
    <cellStyle name="(백분율)" xfId="21"/>
    <cellStyle name="(콤마)" xfId="22"/>
    <cellStyle name="??_x000c_둄_x001b__x000d_|?_x0001_?_x0003__x0014__x0007__x0001__x0001_" xfId="23"/>
    <cellStyle name="??&amp;5_x0007_?._x0007_9_x0008_??_x0007__x0001__x0001_" xfId="2843"/>
    <cellStyle name="??&amp;6_x0007_?/_x0007_9_x0008_??_x0007__x0001__x0001_" xfId="2844"/>
    <cellStyle name="??&amp;O?&amp;H?_x0008__x000f__x0007_?_x0007__x0001__x0001_" xfId="24"/>
    <cellStyle name="??&amp;O?&amp;H?_x0008_??_x0007__x0001__x0001_" xfId="25"/>
    <cellStyle name="??&amp;O?&amp;H?_x0008_??_x0007__x0001__x0001_ 2" xfId="26"/>
    <cellStyle name="??&amp;O?&amp;H?_x0008__x000f__x0007_?_x0007__x0001__x0001__인테리어 공사 공내역2009.07.23최종(조과장)" xfId="27"/>
    <cellStyle name="??&amp;멅?둃9_x0008_??_x0007__x0001__x0001_" xfId="2845"/>
    <cellStyle name="??&amp;쏗?뷐9_x0008__x0011__x0007_?_x0007__x0001__x0001_" xfId="2846"/>
    <cellStyle name="???­ [0]_±??¸" xfId="28"/>
    <cellStyle name="???­_±??¸" xfId="29"/>
    <cellStyle name="???Ø_??°???(2¿?) " xfId="30"/>
    <cellStyle name="??_pldt" xfId="31"/>
    <cellStyle name="?Þ¸¶ [0]_±??¸" xfId="33"/>
    <cellStyle name="?Þ¸¶_±??¸" xfId="34"/>
    <cellStyle name="?W?_laroux" xfId="35"/>
    <cellStyle name="?霖_??何喊 ?拌 " xfId="32"/>
    <cellStyle name="?曹%U?&amp;H?_x0008_?s_x000a__x0007__x0001__x0001_" xfId="2847"/>
    <cellStyle name="_(02.09.23  64,000평)인천 삼산1지구 2블럭 " xfId="2848"/>
    <cellStyle name="_(1월2일)" xfId="2849"/>
    <cellStyle name="_(주)울산물류창고 실행예산 061205" xfId="36"/>
    <cellStyle name="_★3차 제출  발산1단지 도급내역서(기계 페이지)" xfId="37"/>
    <cellStyle name="_0.MOU(03년-06년)-수정안2-국공송부" xfId="38"/>
    <cellStyle name="_00 하도급사항(적격제출본)-안산연구센터" xfId="39"/>
    <cellStyle name="_00 하도급사항(적격제출본)-안산연구센터_(주)KCC 아산공장 위험물창고 증축공사-200684" xfId="40"/>
    <cellStyle name="_000기본검토서양식" xfId="41"/>
    <cellStyle name="_01 건축(1)기초" xfId="42"/>
    <cellStyle name="_01 건축예산5(040517)" xfId="43"/>
    <cellStyle name="_01 총괄표 12월 6일" xfId="44"/>
    <cellStyle name="_01 표지~원가총괄표(납품)1차물가변동" xfId="45"/>
    <cellStyle name="_01.중소기업진흥공단(시설 및 위생관리) " xfId="46"/>
    <cellStyle name="_0106-06-007 금속 및 수장공사 단가견적- 대림" xfId="2850"/>
    <cellStyle name="_021224-단지인프라견적금액대비검토-030122수정" xfId="47"/>
    <cellStyle name="_03 기계경비(2000~2002)" xfId="48"/>
    <cellStyle name="_030121-견적금액대비검토-건설단-대박물관" xfId="49"/>
    <cellStyle name="_030121-단지INFRA내역-건설단검토" xfId="50"/>
    <cellStyle name="_0605뉴월드호텔 객실공사(11.12.14F)" xfId="2851"/>
    <cellStyle name="_060705-최종견적(디오_전체시공)" xfId="2852"/>
    <cellStyle name="_0809 중점관리" xfId="51"/>
    <cellStyle name="_1-01옥외전력간선및외등설비공사" xfId="52"/>
    <cellStyle name="_10-27영등포마트 리뉴얼 인테리어 공사" xfId="2853"/>
    <cellStyle name="_11.해운대 카이저빌(최종)" xfId="53"/>
    <cellStyle name="_1115-견적서양식(현재)" xfId="2854"/>
    <cellStyle name="_1-2공구 송배전(내역서)" xfId="54"/>
    <cellStyle name="_2004년수주계획" xfId="55"/>
    <cellStyle name="_2-4.상반기실적부문별요약" xfId="56"/>
    <cellStyle name="_2-4.상반기실적부문별요약(표지및목차포함)" xfId="57"/>
    <cellStyle name="_2-4.상반기실적부문별요약(표지및목차포함)_1" xfId="58"/>
    <cellStyle name="_2-4.상반기실적부문별요약_1" xfId="59"/>
    <cellStyle name="_4.청강문화산업대학 학생회관 임시전력-1" xfId="60"/>
    <cellStyle name="_5. 총괄표" xfId="61"/>
    <cellStyle name="_5.청강대 학생회관" xfId="62"/>
    <cellStyle name="_'99상반기경영개선활동결과(게시용)" xfId="63"/>
    <cellStyle name="_AA" xfId="4157"/>
    <cellStyle name="_B F SPOOL FINAL1122" xfId="754"/>
    <cellStyle name="_B F SPOOL FINAL1122_B F SPOOL FINAL" xfId="772"/>
    <cellStyle name="_B F SPOOL FINAL1122_B F SPOOL FINAL_내역서" xfId="773"/>
    <cellStyle name="_B F SPOOL FINAL1122_B F SPOOL FINAL_순서1(PM &amp; 생기부)" xfId="774"/>
    <cellStyle name="_B F SPOOL FINAL1122_B F SPOOL FINAL_순서1(PM &amp; 생기부)_내역서" xfId="775"/>
    <cellStyle name="_B F SPOOL FINAL1122_B F SPOOL FINAL_잔업계획실적(9월)" xfId="776"/>
    <cellStyle name="_B F SPOOL FINAL1122_B F SPOOL FINAL_잔업계획실적(9월)_내역서" xfId="777"/>
    <cellStyle name="_B F SPOOL FINAL1122_B F SPOOL FINAL1122" xfId="778"/>
    <cellStyle name="_B F SPOOL FINAL1122_B F SPOOL FINAL1122_내역서" xfId="779"/>
    <cellStyle name="_B F SPOOL FINAL1122_B F SPOOL FINAL1122_순서1(PM &amp; 생기부)" xfId="780"/>
    <cellStyle name="_B F SPOOL FINAL1122_B F SPOOL FINAL1122_순서1(PM &amp; 생기부)_내역서" xfId="781"/>
    <cellStyle name="_B F SPOOL FINAL1122_B F SPOOL FINAL1122_잔업계획실적(9월)" xfId="782"/>
    <cellStyle name="_B F SPOOL FINAL1122_B F SPOOL FINAL1122_잔업계획실적(9월)_내역서" xfId="783"/>
    <cellStyle name="_B F SPOOL FINAL1122_B F SPOOL FINAL-설계물량-실험용" xfId="784"/>
    <cellStyle name="_B F SPOOL FINAL1122_B F SPOOL FINAL-설계물량-실험용_내역서" xfId="785"/>
    <cellStyle name="_B F SPOOL FINAL1122_B F SPOOL FINAL-설계물량-실험용_순서1(PM &amp; 생기부)" xfId="786"/>
    <cellStyle name="_B F SPOOL FINAL1122_B F SPOOL FINAL-설계물량-실험용_순서1(PM &amp; 생기부)_내역서" xfId="787"/>
    <cellStyle name="_B F SPOOL FINAL1122_B F SPOOL FINAL-설계물량-실험용_잔업계획실적(9월)" xfId="788"/>
    <cellStyle name="_B F SPOOL FINAL1122_B F SPOOL FINAL-설계물량-실험용_잔업계획실적(9월)_내역서" xfId="789"/>
    <cellStyle name="_B F SPOOL FINAL1122_B F SPOOL 입고 및 설치현황" xfId="760"/>
    <cellStyle name="_B F SPOOL FINAL1122_B F SPOOL 입고 및 설치현황_내역서" xfId="761"/>
    <cellStyle name="_B F SPOOL FINAL1122_B F SPOOL 입고 및 설치현황_순서1(PM &amp; 생기부)" xfId="762"/>
    <cellStyle name="_B F SPOOL FINAL1122_B F SPOOL 입고 및 설치현황_순서1(PM &amp; 생기부)_내역서" xfId="763"/>
    <cellStyle name="_B F SPOOL FINAL1122_B F SPOOL 입고 및 설치현황_잔업계획실적(9월)" xfId="764"/>
    <cellStyle name="_B F SPOOL FINAL1122_B F SPOOL 입고 및 설치현황_잔업계획실적(9월)_내역서" xfId="765"/>
    <cellStyle name="_B F SPOOL FINAL1122_B F SPOOL 입고 및 설치현황-B" xfId="766"/>
    <cellStyle name="_B F SPOOL FINAL1122_B F SPOOL 입고 및 설치현황-B_내역서" xfId="767"/>
    <cellStyle name="_B F SPOOL FINAL1122_B F SPOOL 입고 및 설치현황-B_순서1(PM &amp; 생기부)" xfId="768"/>
    <cellStyle name="_B F SPOOL FINAL1122_B F SPOOL 입고 및 설치현황-B_순서1(PM &amp; 생기부)_내역서" xfId="769"/>
    <cellStyle name="_B F SPOOL FINAL1122_B F SPOOL 입고 및 설치현황-B_잔업계획실적(9월)" xfId="770"/>
    <cellStyle name="_B F SPOOL FINAL1122_B F SPOOL 입고 및 설치현황-B_잔업계획실적(9월)_내역서" xfId="771"/>
    <cellStyle name="_B F SPOOL FINAL1122_KIZOMBA SPOOL 입고 및 설치현황(최종)" xfId="790"/>
    <cellStyle name="_B F SPOOL FINAL1122_KIZOMBA SPOOL 입고 및 설치현황(최종)_내역서" xfId="791"/>
    <cellStyle name="_B F SPOOL FINAL1122_KIZOMBA SPOOL 입고 및 설치현황(최종)_순서1(PM &amp; 생기부)" xfId="792"/>
    <cellStyle name="_B F SPOOL FINAL1122_KIZOMBA SPOOL 입고 및 설치현황(최종)_순서1(PM &amp; 생기부)_내역서" xfId="793"/>
    <cellStyle name="_B F SPOOL FINAL1122_KIZOMBA SPOOL 입고 및 설치현황(최종)_잔업계획실적(9월)" xfId="794"/>
    <cellStyle name="_B F SPOOL FINAL1122_KIZOMBA SPOOL 입고 및 설치현황(최종)_잔업계획실적(9월)_내역서" xfId="795"/>
    <cellStyle name="_B F SPOOL FINAL1122_내역서" xfId="755"/>
    <cellStyle name="_B F SPOOL FINAL1122_순서1(PM &amp; 생기부)" xfId="756"/>
    <cellStyle name="_B F SPOOL FINAL1122_순서1(PM &amp; 생기부)_내역서" xfId="757"/>
    <cellStyle name="_B F SPOOL FINAL1122_잔업계획실적(9월)" xfId="758"/>
    <cellStyle name="_B F SPOOL FINAL1122_잔업계획실적(9월)_내역서" xfId="759"/>
    <cellStyle name="_bitoville(제출내역)-발주처제출2(식포함)" xfId="4158"/>
    <cellStyle name="_BLK SUP'T-SP'L TOTAL" xfId="796"/>
    <cellStyle name="_BLK SUP'T-SP'L TOTAL_B F SPOOL FINAL1122" xfId="802"/>
    <cellStyle name="_BLK SUP'T-SP'L TOTAL_B F SPOOL FINAL1122_B F SPOOL FINAL" xfId="820"/>
    <cellStyle name="_BLK SUP'T-SP'L TOTAL_B F SPOOL FINAL1122_B F SPOOL FINAL_내역서" xfId="821"/>
    <cellStyle name="_BLK SUP'T-SP'L TOTAL_B F SPOOL FINAL1122_B F SPOOL FINAL_순서1(PM &amp; 생기부)" xfId="822"/>
    <cellStyle name="_BLK SUP'T-SP'L TOTAL_B F SPOOL FINAL1122_B F SPOOL FINAL_순서1(PM &amp; 생기부)_내역서" xfId="823"/>
    <cellStyle name="_BLK SUP'T-SP'L TOTAL_B F SPOOL FINAL1122_B F SPOOL FINAL_잔업계획실적(9월)" xfId="824"/>
    <cellStyle name="_BLK SUP'T-SP'L TOTAL_B F SPOOL FINAL1122_B F SPOOL FINAL_잔업계획실적(9월)_내역서" xfId="825"/>
    <cellStyle name="_BLK SUP'T-SP'L TOTAL_B F SPOOL FINAL1122_B F SPOOL FINAL1122" xfId="826"/>
    <cellStyle name="_BLK SUP'T-SP'L TOTAL_B F SPOOL FINAL1122_B F SPOOL FINAL1122_내역서" xfId="827"/>
    <cellStyle name="_BLK SUP'T-SP'L TOTAL_B F SPOOL FINAL1122_B F SPOOL FINAL1122_순서1(PM &amp; 생기부)" xfId="828"/>
    <cellStyle name="_BLK SUP'T-SP'L TOTAL_B F SPOOL FINAL1122_B F SPOOL FINAL1122_순서1(PM &amp; 생기부)_내역서" xfId="829"/>
    <cellStyle name="_BLK SUP'T-SP'L TOTAL_B F SPOOL FINAL1122_B F SPOOL FINAL1122_잔업계획실적(9월)" xfId="830"/>
    <cellStyle name="_BLK SUP'T-SP'L TOTAL_B F SPOOL FINAL1122_B F SPOOL FINAL1122_잔업계획실적(9월)_내역서" xfId="831"/>
    <cellStyle name="_BLK SUP'T-SP'L TOTAL_B F SPOOL FINAL1122_B F SPOOL FINAL-설계물량-실험용" xfId="832"/>
    <cellStyle name="_BLK SUP'T-SP'L TOTAL_B F SPOOL FINAL1122_B F SPOOL FINAL-설계물량-실험용_내역서" xfId="833"/>
    <cellStyle name="_BLK SUP'T-SP'L TOTAL_B F SPOOL FINAL1122_B F SPOOL FINAL-설계물량-실험용_순서1(PM &amp; 생기부)" xfId="834"/>
    <cellStyle name="_BLK SUP'T-SP'L TOTAL_B F SPOOL FINAL1122_B F SPOOL FINAL-설계물량-실험용_순서1(PM &amp; 생기부)_내역서" xfId="835"/>
    <cellStyle name="_BLK SUP'T-SP'L TOTAL_B F SPOOL FINAL1122_B F SPOOL FINAL-설계물량-실험용_잔업계획실적(9월)" xfId="836"/>
    <cellStyle name="_BLK SUP'T-SP'L TOTAL_B F SPOOL FINAL1122_B F SPOOL FINAL-설계물량-실험용_잔업계획실적(9월)_내역서" xfId="837"/>
    <cellStyle name="_BLK SUP'T-SP'L TOTAL_B F SPOOL FINAL1122_B F SPOOL 입고 및 설치현황" xfId="808"/>
    <cellStyle name="_BLK SUP'T-SP'L TOTAL_B F SPOOL FINAL1122_B F SPOOL 입고 및 설치현황_내역서" xfId="809"/>
    <cellStyle name="_BLK SUP'T-SP'L TOTAL_B F SPOOL FINAL1122_B F SPOOL 입고 및 설치현황_순서1(PM &amp; 생기부)" xfId="810"/>
    <cellStyle name="_BLK SUP'T-SP'L TOTAL_B F SPOOL FINAL1122_B F SPOOL 입고 및 설치현황_순서1(PM &amp; 생기부)_내역서" xfId="811"/>
    <cellStyle name="_BLK SUP'T-SP'L TOTAL_B F SPOOL FINAL1122_B F SPOOL 입고 및 설치현황_잔업계획실적(9월)" xfId="812"/>
    <cellStyle name="_BLK SUP'T-SP'L TOTAL_B F SPOOL FINAL1122_B F SPOOL 입고 및 설치현황_잔업계획실적(9월)_내역서" xfId="813"/>
    <cellStyle name="_BLK SUP'T-SP'L TOTAL_B F SPOOL FINAL1122_B F SPOOL 입고 및 설치현황-B" xfId="814"/>
    <cellStyle name="_BLK SUP'T-SP'L TOTAL_B F SPOOL FINAL1122_B F SPOOL 입고 및 설치현황-B_내역서" xfId="815"/>
    <cellStyle name="_BLK SUP'T-SP'L TOTAL_B F SPOOL FINAL1122_B F SPOOL 입고 및 설치현황-B_순서1(PM &amp; 생기부)" xfId="816"/>
    <cellStyle name="_BLK SUP'T-SP'L TOTAL_B F SPOOL FINAL1122_B F SPOOL 입고 및 설치현황-B_순서1(PM &amp; 생기부)_내역서" xfId="817"/>
    <cellStyle name="_BLK SUP'T-SP'L TOTAL_B F SPOOL FINAL1122_B F SPOOL 입고 및 설치현황-B_잔업계획실적(9월)" xfId="818"/>
    <cellStyle name="_BLK SUP'T-SP'L TOTAL_B F SPOOL FINAL1122_B F SPOOL 입고 및 설치현황-B_잔업계획실적(9월)_내역서" xfId="819"/>
    <cellStyle name="_BLK SUP'T-SP'L TOTAL_B F SPOOL FINAL1122_KIZOMBA SPOOL 입고 및 설치현황(최종)" xfId="838"/>
    <cellStyle name="_BLK SUP'T-SP'L TOTAL_B F SPOOL FINAL1122_KIZOMBA SPOOL 입고 및 설치현황(최종)_내역서" xfId="839"/>
    <cellStyle name="_BLK SUP'T-SP'L TOTAL_B F SPOOL FINAL1122_KIZOMBA SPOOL 입고 및 설치현황(최종)_순서1(PM &amp; 생기부)" xfId="840"/>
    <cellStyle name="_BLK SUP'T-SP'L TOTAL_B F SPOOL FINAL1122_KIZOMBA SPOOL 입고 및 설치현황(최종)_순서1(PM &amp; 생기부)_내역서" xfId="841"/>
    <cellStyle name="_BLK SUP'T-SP'L TOTAL_B F SPOOL FINAL1122_KIZOMBA SPOOL 입고 및 설치현황(최종)_잔업계획실적(9월)" xfId="842"/>
    <cellStyle name="_BLK SUP'T-SP'L TOTAL_B F SPOOL FINAL1122_KIZOMBA SPOOL 입고 및 설치현황(최종)_잔업계획실적(9월)_내역서" xfId="843"/>
    <cellStyle name="_BLK SUP'T-SP'L TOTAL_B F SPOOL FINAL1122_내역서" xfId="803"/>
    <cellStyle name="_BLK SUP'T-SP'L TOTAL_B F SPOOL FINAL1122_순서1(PM &amp; 생기부)" xfId="804"/>
    <cellStyle name="_BLK SUP'T-SP'L TOTAL_B F SPOOL FINAL1122_순서1(PM &amp; 생기부)_내역서" xfId="805"/>
    <cellStyle name="_BLK SUP'T-SP'L TOTAL_B F SPOOL FINAL1122_잔업계획실적(9월)" xfId="806"/>
    <cellStyle name="_BLK SUP'T-SP'L TOTAL_B F SPOOL FINAL1122_잔업계획실적(9월)_내역서" xfId="807"/>
    <cellStyle name="_BLK SUP'T-SP'L TOTAL_BLK SUP'T-SP'L TOTAL" xfId="844"/>
    <cellStyle name="_BLK SUP'T-SP'L TOTAL_BLK SUP'T-SP'L TOTAL_B F SPOOL FINAL1122" xfId="850"/>
    <cellStyle name="_BLK SUP'T-SP'L TOTAL_BLK SUP'T-SP'L TOTAL_B F SPOOL FINAL1122_B F SPOOL FINAL" xfId="868"/>
    <cellStyle name="_BLK SUP'T-SP'L TOTAL_BLK SUP'T-SP'L TOTAL_B F SPOOL FINAL1122_B F SPOOL FINAL_내역서" xfId="869"/>
    <cellStyle name="_BLK SUP'T-SP'L TOTAL_BLK SUP'T-SP'L TOTAL_B F SPOOL FINAL1122_B F SPOOL FINAL_순서1(PM &amp; 생기부)" xfId="870"/>
    <cellStyle name="_BLK SUP'T-SP'L TOTAL_BLK SUP'T-SP'L TOTAL_B F SPOOL FINAL1122_B F SPOOL FINAL_순서1(PM &amp; 생기부)_내역서" xfId="871"/>
    <cellStyle name="_BLK SUP'T-SP'L TOTAL_BLK SUP'T-SP'L TOTAL_B F SPOOL FINAL1122_B F SPOOL FINAL_잔업계획실적(9월)" xfId="872"/>
    <cellStyle name="_BLK SUP'T-SP'L TOTAL_BLK SUP'T-SP'L TOTAL_B F SPOOL FINAL1122_B F SPOOL FINAL_잔업계획실적(9월)_내역서" xfId="873"/>
    <cellStyle name="_BLK SUP'T-SP'L TOTAL_BLK SUP'T-SP'L TOTAL_B F SPOOL FINAL1122_B F SPOOL FINAL1122" xfId="874"/>
    <cellStyle name="_BLK SUP'T-SP'L TOTAL_BLK SUP'T-SP'L TOTAL_B F SPOOL FINAL1122_B F SPOOL FINAL1122_내역서" xfId="875"/>
    <cellStyle name="_BLK SUP'T-SP'L TOTAL_BLK SUP'T-SP'L TOTAL_B F SPOOL FINAL1122_B F SPOOL FINAL1122_순서1(PM &amp; 생기부)" xfId="876"/>
    <cellStyle name="_BLK SUP'T-SP'L TOTAL_BLK SUP'T-SP'L TOTAL_B F SPOOL FINAL1122_B F SPOOL FINAL1122_순서1(PM &amp; 생기부)_내역서" xfId="877"/>
    <cellStyle name="_BLK SUP'T-SP'L TOTAL_BLK SUP'T-SP'L TOTAL_B F SPOOL FINAL1122_B F SPOOL FINAL1122_잔업계획실적(9월)" xfId="878"/>
    <cellStyle name="_BLK SUP'T-SP'L TOTAL_BLK SUP'T-SP'L TOTAL_B F SPOOL FINAL1122_B F SPOOL FINAL1122_잔업계획실적(9월)_내역서" xfId="879"/>
    <cellStyle name="_BLK SUP'T-SP'L TOTAL_BLK SUP'T-SP'L TOTAL_B F SPOOL FINAL1122_B F SPOOL FINAL-설계물량-실험용" xfId="880"/>
    <cellStyle name="_BLK SUP'T-SP'L TOTAL_BLK SUP'T-SP'L TOTAL_B F SPOOL FINAL1122_B F SPOOL FINAL-설계물량-실험용_내역서" xfId="881"/>
    <cellStyle name="_BLK SUP'T-SP'L TOTAL_BLK SUP'T-SP'L TOTAL_B F SPOOL FINAL1122_B F SPOOL FINAL-설계물량-실험용_순서1(PM &amp; 생기부)" xfId="882"/>
    <cellStyle name="_BLK SUP'T-SP'L TOTAL_BLK SUP'T-SP'L TOTAL_B F SPOOL FINAL1122_B F SPOOL FINAL-설계물량-실험용_순서1(PM &amp; 생기부)_내역서" xfId="883"/>
    <cellStyle name="_BLK SUP'T-SP'L TOTAL_BLK SUP'T-SP'L TOTAL_B F SPOOL FINAL1122_B F SPOOL FINAL-설계물량-실험용_잔업계획실적(9월)" xfId="884"/>
    <cellStyle name="_BLK SUP'T-SP'L TOTAL_BLK SUP'T-SP'L TOTAL_B F SPOOL FINAL1122_B F SPOOL FINAL-설계물량-실험용_잔업계획실적(9월)_내역서" xfId="885"/>
    <cellStyle name="_BLK SUP'T-SP'L TOTAL_BLK SUP'T-SP'L TOTAL_B F SPOOL FINAL1122_B F SPOOL 입고 및 설치현황" xfId="856"/>
    <cellStyle name="_BLK SUP'T-SP'L TOTAL_BLK SUP'T-SP'L TOTAL_B F SPOOL FINAL1122_B F SPOOL 입고 및 설치현황_내역서" xfId="857"/>
    <cellStyle name="_BLK SUP'T-SP'L TOTAL_BLK SUP'T-SP'L TOTAL_B F SPOOL FINAL1122_B F SPOOL 입고 및 설치현황_순서1(PM &amp; 생기부)" xfId="858"/>
    <cellStyle name="_BLK SUP'T-SP'L TOTAL_BLK SUP'T-SP'L TOTAL_B F SPOOL FINAL1122_B F SPOOL 입고 및 설치현황_순서1(PM &amp; 생기부)_내역서" xfId="859"/>
    <cellStyle name="_BLK SUP'T-SP'L TOTAL_BLK SUP'T-SP'L TOTAL_B F SPOOL FINAL1122_B F SPOOL 입고 및 설치현황_잔업계획실적(9월)" xfId="860"/>
    <cellStyle name="_BLK SUP'T-SP'L TOTAL_BLK SUP'T-SP'L TOTAL_B F SPOOL FINAL1122_B F SPOOL 입고 및 설치현황_잔업계획실적(9월)_내역서" xfId="861"/>
    <cellStyle name="_BLK SUP'T-SP'L TOTAL_BLK SUP'T-SP'L TOTAL_B F SPOOL FINAL1122_B F SPOOL 입고 및 설치현황-B" xfId="862"/>
    <cellStyle name="_BLK SUP'T-SP'L TOTAL_BLK SUP'T-SP'L TOTAL_B F SPOOL FINAL1122_B F SPOOL 입고 및 설치현황-B_내역서" xfId="863"/>
    <cellStyle name="_BLK SUP'T-SP'L TOTAL_BLK SUP'T-SP'L TOTAL_B F SPOOL FINAL1122_B F SPOOL 입고 및 설치현황-B_순서1(PM &amp; 생기부)" xfId="864"/>
    <cellStyle name="_BLK SUP'T-SP'L TOTAL_BLK SUP'T-SP'L TOTAL_B F SPOOL FINAL1122_B F SPOOL 입고 및 설치현황-B_순서1(PM &amp; 생기부)_내역서" xfId="865"/>
    <cellStyle name="_BLK SUP'T-SP'L TOTAL_BLK SUP'T-SP'L TOTAL_B F SPOOL FINAL1122_B F SPOOL 입고 및 설치현황-B_잔업계획실적(9월)" xfId="866"/>
    <cellStyle name="_BLK SUP'T-SP'L TOTAL_BLK SUP'T-SP'L TOTAL_B F SPOOL FINAL1122_B F SPOOL 입고 및 설치현황-B_잔업계획실적(9월)_내역서" xfId="867"/>
    <cellStyle name="_BLK SUP'T-SP'L TOTAL_BLK SUP'T-SP'L TOTAL_B F SPOOL FINAL1122_KIZOMBA SPOOL 입고 및 설치현황(최종)" xfId="886"/>
    <cellStyle name="_BLK SUP'T-SP'L TOTAL_BLK SUP'T-SP'L TOTAL_B F SPOOL FINAL1122_KIZOMBA SPOOL 입고 및 설치현황(최종)_내역서" xfId="887"/>
    <cellStyle name="_BLK SUP'T-SP'L TOTAL_BLK SUP'T-SP'L TOTAL_B F SPOOL FINAL1122_KIZOMBA SPOOL 입고 및 설치현황(최종)_순서1(PM &amp; 생기부)" xfId="888"/>
    <cellStyle name="_BLK SUP'T-SP'L TOTAL_BLK SUP'T-SP'L TOTAL_B F SPOOL FINAL1122_KIZOMBA SPOOL 입고 및 설치현황(최종)_순서1(PM &amp; 생기부)_내역서" xfId="889"/>
    <cellStyle name="_BLK SUP'T-SP'L TOTAL_BLK SUP'T-SP'L TOTAL_B F SPOOL FINAL1122_KIZOMBA SPOOL 입고 및 설치현황(최종)_잔업계획실적(9월)" xfId="890"/>
    <cellStyle name="_BLK SUP'T-SP'L TOTAL_BLK SUP'T-SP'L TOTAL_B F SPOOL FINAL1122_KIZOMBA SPOOL 입고 및 설치현황(최종)_잔업계획실적(9월)_내역서" xfId="891"/>
    <cellStyle name="_BLK SUP'T-SP'L TOTAL_BLK SUP'T-SP'L TOTAL_B F SPOOL FINAL1122_내역서" xfId="851"/>
    <cellStyle name="_BLK SUP'T-SP'L TOTAL_BLK SUP'T-SP'L TOTAL_B F SPOOL FINAL1122_순서1(PM &amp; 생기부)" xfId="852"/>
    <cellStyle name="_BLK SUP'T-SP'L TOTAL_BLK SUP'T-SP'L TOTAL_B F SPOOL FINAL1122_순서1(PM &amp; 생기부)_내역서" xfId="853"/>
    <cellStyle name="_BLK SUP'T-SP'L TOTAL_BLK SUP'T-SP'L TOTAL_B F SPOOL FINAL1122_잔업계획실적(9월)" xfId="854"/>
    <cellStyle name="_BLK SUP'T-SP'L TOTAL_BLK SUP'T-SP'L TOTAL_B F SPOOL FINAL1122_잔업계획실적(9월)_내역서" xfId="855"/>
    <cellStyle name="_BLK SUP'T-SP'L TOTAL_BLK SUP'T-SP'L TOTAL_내역서" xfId="845"/>
    <cellStyle name="_BLK SUP'T-SP'L TOTAL_BLK SUP'T-SP'L TOTAL_순서1(PM &amp; 생기부)" xfId="846"/>
    <cellStyle name="_BLK SUP'T-SP'L TOTAL_BLK SUP'T-SP'L TOTAL_순서1(PM &amp; 생기부)_내역서" xfId="847"/>
    <cellStyle name="_BLK SUP'T-SP'L TOTAL_BLK SUP'T-SP'L TOTAL_잔업계획실적(9월)" xfId="848"/>
    <cellStyle name="_BLK SUP'T-SP'L TOTAL_BLK SUP'T-SP'L TOTAL_잔업계획실적(9월)_내역서" xfId="849"/>
    <cellStyle name="_BLK SUP'T-SP'L TOTAL_내역서" xfId="797"/>
    <cellStyle name="_BLK SUP'T-SP'L TOTAL_순서1(PM &amp; 생기부)" xfId="798"/>
    <cellStyle name="_BLK SUP'T-SP'L TOTAL_순서1(PM &amp; 생기부)_내역서" xfId="799"/>
    <cellStyle name="_BLK SUP'T-SP'L TOTAL_잔업계획실적(9월)" xfId="800"/>
    <cellStyle name="_BLK SUP'T-SP'L TOTAL_잔업계획실적(9월)_내역서" xfId="801"/>
    <cellStyle name="_Book1" xfId="892"/>
    <cellStyle name="_Book1_1" xfId="4159"/>
    <cellStyle name="_Book2" xfId="4160"/>
    <cellStyle name="_BOQ(Hang Lung)" xfId="893"/>
    <cellStyle name="_BOQ(Hang Lung-rev1)" xfId="894"/>
    <cellStyle name="_DMC 첨단산업센타 건설공사(인테리어)" xfId="4161"/>
    <cellStyle name="_DRYWALL일위대가방화석고보드" xfId="4162"/>
    <cellStyle name="_es내역서(증도 갯벌)" xfId="895"/>
    <cellStyle name="_FCST (2)" xfId="896"/>
    <cellStyle name="_F-DUPLEX 미입고 LIST-0306(승민)" xfId="897"/>
    <cellStyle name="_F-DUPLEX 미입고 LIST-0306(승민)_내역서" xfId="898"/>
    <cellStyle name="_F-DUPLEX 미입고 LIST-0306(승민)_순서1(PM &amp; 생기부)" xfId="899"/>
    <cellStyle name="_F-DUPLEX 미입고 LIST-0306(승민)_순서1(PM &amp; 생기부)_내역서" xfId="900"/>
    <cellStyle name="_F-DUPLEX 미입고 LIST-0306(승민)_잔업계획실적(9월)" xfId="901"/>
    <cellStyle name="_F-DUPLEX 미입고 LIST-0306(승민)_잔업계획실적(9월)_내역서" xfId="902"/>
    <cellStyle name="_KIL11107비교xls" xfId="903"/>
    <cellStyle name="_LG2,3,4,6층(0313)" xfId="904"/>
    <cellStyle name="_pinx biotopia (0409제출)" xfId="4163"/>
    <cellStyle name="_PM구분안" xfId="905"/>
    <cellStyle name="_port" xfId="4164"/>
    <cellStyle name="_RESULTS" xfId="906"/>
    <cellStyle name="_sample6" xfId="907"/>
    <cellStyle name="_Sheet1" xfId="908"/>
    <cellStyle name="_SK수송동 주상복합" xfId="4165"/>
    <cellStyle name="_SK수송동 주상복합 신축공사" xfId="4166"/>
    <cellStyle name="_summary for MTRC P3" xfId="909"/>
    <cellStyle name="_Unit rate &amp; Quantity" xfId="910"/>
    <cellStyle name="_Virus" xfId="911"/>
    <cellStyle name="_X" xfId="4167"/>
    <cellStyle name="_가설고압판넬이설" xfId="64"/>
    <cellStyle name="_가설전기내역서" xfId="65"/>
    <cellStyle name="_가실행 최종본사분" xfId="66"/>
    <cellStyle name="_갑지,집계" xfId="67"/>
    <cellStyle name="_갑지양식" xfId="68"/>
    <cellStyle name="_건축" xfId="2855"/>
    <cellStyle name="_건축실행(휴먼센터)03-내역수정" xfId="69"/>
    <cellStyle name="_검암2차사전공사(본사검토) " xfId="2856"/>
    <cellStyle name="_검암2차사전공사(본사검토) _사우나최종" xfId="2857"/>
    <cellStyle name="_검암2차사전공사(본사검토) _사우나최종_사우나최종17" xfId="2858"/>
    <cellStyle name="_검암2차사전공사(본사검토) _사우나최종_워터파크" xfId="2859"/>
    <cellStyle name="_검토서(1.7)" xfId="70"/>
    <cellStyle name="_견적 양식" xfId="2860"/>
    <cellStyle name="_견적 양식(최종)" xfId="2861"/>
    <cellStyle name="_견적서" xfId="2862"/>
    <cellStyle name="_견적서 양식" xfId="2863"/>
    <cellStyle name="_견적서갑지양식" xfId="71"/>
    <cellStyle name="_견적양식" xfId="2864"/>
    <cellStyle name="_견적의뢰 양식" xfId="2865"/>
    <cellStyle name="_견적의뢰(협력)27" xfId="2866"/>
    <cellStyle name="_견적의뢰1" xfId="72"/>
    <cellStyle name="_견적조건" xfId="2867"/>
    <cellStyle name="_경기도 대심리 주택" xfId="2868"/>
    <cellStyle name="_경영개선활동상반기실적(990708)" xfId="73"/>
    <cellStyle name="_경영개선활동상반기실적(990708)_1" xfId="74"/>
    <cellStyle name="_경영개선활동상반기실적(990708)_2" xfId="75"/>
    <cellStyle name="_경영개선활성화방안(990802)" xfId="76"/>
    <cellStyle name="_경영개선활성화방안(990802)_1" xfId="77"/>
    <cellStyle name="_경영현황(최종)" xfId="78"/>
    <cellStyle name="_경쟁사" xfId="79"/>
    <cellStyle name="_고려-수원미네시티(작업)" xfId="80"/>
    <cellStyle name="_공내역서(송파트리플)" xfId="2869"/>
    <cellStyle name="_공내역서_토목" xfId="81"/>
    <cellStyle name="_공내역서_토목_내역분개" xfId="82"/>
    <cellStyle name="_공내역서_토목_내역분개_내역분개" xfId="83"/>
    <cellStyle name="_공문및작성양식최종" xfId="84"/>
    <cellStyle name="_공사개요" xfId="2870"/>
    <cellStyle name="_공양식" xfId="2871"/>
    <cellStyle name="_공통" xfId="85"/>
    <cellStyle name="_광주평동실행" xfId="2872"/>
    <cellStyle name="_광주평동실행_번암견적의뢰(협력)" xfId="2873"/>
    <cellStyle name="_광주평동실행_번암견적의뢰(협력)_사우나최종" xfId="2874"/>
    <cellStyle name="_광주평동실행_번암견적의뢰(협력)_사우나최종_사우나최종17" xfId="2875"/>
    <cellStyle name="_광주평동실행_번암견적의뢰(협력)_사우나최종_워터파크" xfId="2876"/>
    <cellStyle name="_광주평동실행_사우나최종" xfId="2877"/>
    <cellStyle name="_광주평동실행_사우나최종_사우나최종17" xfId="2878"/>
    <cellStyle name="_광주평동실행_사우나최종_워터파크" xfId="2879"/>
    <cellStyle name="_광주평동품의1" xfId="2880"/>
    <cellStyle name="_광주평동품의1_무안-광주2공구(협력)수정" xfId="2881"/>
    <cellStyle name="_광주평동품의1_무안-광주2공구(협력)수정_사우나최종" xfId="2882"/>
    <cellStyle name="_광주평동품의1_무안-광주2공구(협력)수정_사우나최종_사우나최종17" xfId="2883"/>
    <cellStyle name="_광주평동품의1_무안-광주2공구(협력)수정_사우나최종_워터파크" xfId="2884"/>
    <cellStyle name="_광주평동품의1_번암견적의뢰(협력)" xfId="2885"/>
    <cellStyle name="_광주평동품의1_번암견적의뢰(협력)_사우나최종" xfId="2886"/>
    <cellStyle name="_광주평동품의1_번암견적의뢰(협력)_사우나최종_사우나최종17" xfId="2887"/>
    <cellStyle name="_광주평동품의1_번암견적의뢰(협력)_사우나최종_워터파크" xfId="2888"/>
    <cellStyle name="_광주평동품의1_사우나최종" xfId="2889"/>
    <cellStyle name="_광주평동품의1_사우나최종_사우나최종17" xfId="2890"/>
    <cellStyle name="_광주평동품의1_사우나최종_워터파크" xfId="2891"/>
    <cellStyle name="_광주평동품의1_적상무주IC도로(1공구)" xfId="2892"/>
    <cellStyle name="_광주평동품의1_적상무주IC도로(1공구)_사우나최종" xfId="2893"/>
    <cellStyle name="_광주평동품의1_적상무주IC도로(1공구)_사우나최종_사우나최종17" xfId="2894"/>
    <cellStyle name="_광주평동품의1_적상무주IC도로(1공구)_사우나최종_워터파크" xfId="2895"/>
    <cellStyle name="_교원그룹 낙산 숙박시설 신축공사" xfId="86"/>
    <cellStyle name="_구이~이서보고서" xfId="87"/>
    <cellStyle name="_구이~이서보고서_담양 창평 주택시설 부지조성사업" xfId="88"/>
    <cellStyle name="_국민은행" xfId="89"/>
    <cellStyle name="_군포당동1실행예산20040202(관리부검토)-2004211" xfId="90"/>
    <cellStyle name="_귤현역사.본선터널 신축공사" xfId="91"/>
    <cellStyle name="_기계경비(2000~2002)" xfId="92"/>
    <cellStyle name="_기계경비(2001~2002)" xfId="93"/>
    <cellStyle name="_기계경비지수2000-2003" xfId="94"/>
    <cellStyle name="_기계경비지수산출" xfId="95"/>
    <cellStyle name="_기계경비지수산출(03년용)" xfId="96"/>
    <cellStyle name="_기안" xfId="97"/>
    <cellStyle name="_기안_(주)KCC 아산공장 위험물창고 증축공사-200684" xfId="98"/>
    <cellStyle name="_기안_예산분류 (공구구분)" xfId="99"/>
    <cellStyle name="_기안_예산분류 (공구구분)_(주)KCC 아산공장 위험물창고 증축공사-200684" xfId="100"/>
    <cellStyle name="_기안_예산분류 (공구구분)_발산 아파트 1공구 공내역" xfId="101"/>
    <cellStyle name="_기안_예산분류 (공구구분)_발산 아파트 1공구 공내역_(주)KCC 아산공장 위험물창고 증축공사-200684" xfId="102"/>
    <cellStyle name="_기안_예산분류 (공구구분)_일반 외주 공내역서 (공구구분)" xfId="103"/>
    <cellStyle name="_기안_예산분류 (공구구분)_일반 외주 공내역서 (공구구분)_(주)KCC 아산공장 위험물창고 증축공사-200684" xfId="104"/>
    <cellStyle name="_기안_예산분류 (공구구분)_일반배관 외주발주 예산분류 (공구구분)" xfId="105"/>
    <cellStyle name="_기안_예산분류 (공구구분)_일반배관 외주발주 예산분류 (공구구분)_(주)KCC 아산공장 위험물창고 증축공사-200684" xfId="106"/>
    <cellStyle name="_기안_예산분류 (공구구분)_일반배관 외주발주 예산분류 (공구구분)-1" xfId="107"/>
    <cellStyle name="_기안_예산분류 (공구구분)_일반배관 외주발주 예산분류 (공구구분)-1_(주)KCC 아산공장 위험물창고 증축공사-200684" xfId="108"/>
    <cellStyle name="_기안_일반배관 외주발주 예산분류 (공구구분)" xfId="109"/>
    <cellStyle name="_기안_일반배관 외주발주 예산분류 (공구구분)_(주)KCC 아산공장 위험물창고 증축공사-200684" xfId="110"/>
    <cellStyle name="_기안_일반배관 외주발주 예산분류 (공구구분)_발산 아파트 1공구 공내역" xfId="111"/>
    <cellStyle name="_기안_일반배관 외주발주 예산분류 (공구구분)_발산 아파트 1공구 공내역_(주)KCC 아산공장 위험물창고 증축공사-200684" xfId="112"/>
    <cellStyle name="_기안_일반배관 외주발주 예산분류 (공구구분)_일반 외주 공내역서 (공구구분)" xfId="113"/>
    <cellStyle name="_기안_일반배관 외주발주 예산분류 (공구구분)_일반 외주 공내역서 (공구구분)_(주)KCC 아산공장 위험물창고 증축공사-200684" xfId="114"/>
    <cellStyle name="_기안_일반배관 외주발주 예산분류 (공구구분)_일반배관 외주발주 예산분류 (공구구분)" xfId="115"/>
    <cellStyle name="_기안_일반배관 외주발주 예산분류 (공구구분)_일반배관 외주발주 예산분류 (공구구분)_(주)KCC 아산공장 위험물창고 증축공사-200684" xfId="116"/>
    <cellStyle name="_기안_일반배관 외주발주 예산분류 (공구구분)_일반배관 외주발주 예산분류 (공구구분)-1" xfId="117"/>
    <cellStyle name="_기안_일반배관 외주발주 예산분류 (공구구분)_일반배관 외주발주 예산분류 (공구구분)-1_(주)KCC 아산공장 위험물창고 증축공사-200684" xfId="118"/>
    <cellStyle name="_기장하수실행1" xfId="2896"/>
    <cellStyle name="_기장하수실행1_번암견적의뢰(협력)" xfId="2897"/>
    <cellStyle name="_기장하수실행1_번암견적의뢰(협력)_사우나최종" xfId="2898"/>
    <cellStyle name="_기장하수실행1_번암견적의뢰(협력)_사우나최종_사우나최종17" xfId="2899"/>
    <cellStyle name="_기장하수실행1_번암견적의뢰(협력)_사우나최종_워터파크" xfId="2900"/>
    <cellStyle name="_기장하수실행1_사우나최종" xfId="2901"/>
    <cellStyle name="_기장하수실행1_사우나최종_사우나최종17" xfId="2902"/>
    <cellStyle name="_기장하수실행1_사우나최종_워터파크" xfId="2903"/>
    <cellStyle name="_나주견적서" xfId="2904"/>
    <cellStyle name="_남양주 록인CC 견적(최종)" xfId="119"/>
    <cellStyle name="_내역분계" xfId="120"/>
    <cellStyle name="_내역서_토목" xfId="121"/>
    <cellStyle name="_내역서_토목_내역분개" xfId="122"/>
    <cellStyle name="_내역서_토목_내역분개_내역분개" xfId="123"/>
    <cellStyle name="_논일 복합건물" xfId="124"/>
    <cellStyle name="_단가공사(2003년)" xfId="125"/>
    <cellStyle name="_단가공사(2003년)_1" xfId="126"/>
    <cellStyle name="_단가공사(2003년)_2" xfId="127"/>
    <cellStyle name="_단가공사(2003년)_3" xfId="128"/>
    <cellStyle name="_단가공사(2003년)_4" xfId="129"/>
    <cellStyle name="_단가공사(2003년)_5" xfId="130"/>
    <cellStyle name="_단가표" xfId="131"/>
    <cellStyle name="_당하대비표" xfId="2905"/>
    <cellStyle name="_대경관 6인치 이상 미입고 SPL 0307" xfId="132"/>
    <cellStyle name="_대경관 6인치 이상 미입고 SPL 0307_내역서" xfId="133"/>
    <cellStyle name="_대경관 6인치 이상 미입고 SPL 0307_순서1(PM &amp; 생기부)" xfId="134"/>
    <cellStyle name="_대경관 6인치 이상 미입고 SPL 0307_순서1(PM &amp; 생기부)_내역서" xfId="135"/>
    <cellStyle name="_대경관 6인치 이상 미입고 SPL 0307_잔업계획실적(9월)" xfId="136"/>
    <cellStyle name="_대경관 6인치 이상 미입고 SPL 0307_잔업계획실적(9월)_내역서" xfId="137"/>
    <cellStyle name="_대비표양식" xfId="2906"/>
    <cellStyle name="_대죽.광주 견적서" xfId="138"/>
    <cellStyle name="_대죽.광주 견적서_(주)KCC 아산공장 위험물창고 증축공사-200684" xfId="139"/>
    <cellStyle name="_도고천품의안11" xfId="2907"/>
    <cellStyle name="_도고천품의안11_1" xfId="2908"/>
    <cellStyle name="_도고천품의안11_1_무안-광주2공구(협력)수정" xfId="2909"/>
    <cellStyle name="_도고천품의안11_1_무안-광주2공구(협력)수정_사우나최종" xfId="2910"/>
    <cellStyle name="_도고천품의안11_1_무안-광주2공구(협력)수정_사우나최종_사우나최종17" xfId="2911"/>
    <cellStyle name="_도고천품의안11_1_무안-광주2공구(협력)수정_사우나최종_워터파크" xfId="2912"/>
    <cellStyle name="_도고천품의안11_1_번암견적의뢰(협력)" xfId="2913"/>
    <cellStyle name="_도고천품의안11_1_번암견적의뢰(협력)_사우나최종" xfId="2914"/>
    <cellStyle name="_도고천품의안11_1_번암견적의뢰(협력)_사우나최종_사우나최종17" xfId="2915"/>
    <cellStyle name="_도고천품의안11_1_번암견적의뢰(협력)_사우나최종_워터파크" xfId="2916"/>
    <cellStyle name="_도고천품의안11_1_사우나최종" xfId="2917"/>
    <cellStyle name="_도고천품의안11_1_사우나최종_사우나최종17" xfId="2918"/>
    <cellStyle name="_도고천품의안11_1_사우나최종_워터파크" xfId="2919"/>
    <cellStyle name="_도고천품의안11_1_적상무주IC도로(1공구)" xfId="2920"/>
    <cellStyle name="_도고천품의안11_1_적상무주IC도로(1공구)_사우나최종" xfId="2921"/>
    <cellStyle name="_도고천품의안11_1_적상무주IC도로(1공구)_사우나최종_사우나최종17" xfId="2922"/>
    <cellStyle name="_도고천품의안11_1_적상무주IC도로(1공구)_사우나최종_워터파크" xfId="2923"/>
    <cellStyle name="_도고천품의안11_광주평동실행" xfId="2924"/>
    <cellStyle name="_도고천품의안11_광주평동실행_번암견적의뢰(협력)" xfId="2925"/>
    <cellStyle name="_도고천품의안11_광주평동실행_번암견적의뢰(협력)_사우나최종" xfId="2926"/>
    <cellStyle name="_도고천품의안11_광주평동실행_번암견적의뢰(협력)_사우나최종_사우나최종17" xfId="2927"/>
    <cellStyle name="_도고천품의안11_광주평동실행_번암견적의뢰(협력)_사우나최종_워터파크" xfId="2928"/>
    <cellStyle name="_도고천품의안11_광주평동실행_사우나최종" xfId="2929"/>
    <cellStyle name="_도고천품의안11_광주평동실행_사우나최종_사우나최종17" xfId="2930"/>
    <cellStyle name="_도고천품의안11_광주평동실행_사우나최종_워터파크" xfId="2931"/>
    <cellStyle name="_도고천품의안11_광주평동품의1" xfId="2932"/>
    <cellStyle name="_도고천품의안11_광주평동품의1_무안-광주2공구(협력)수정" xfId="2933"/>
    <cellStyle name="_도고천품의안11_광주평동품의1_무안-광주2공구(협력)수정_사우나최종" xfId="2934"/>
    <cellStyle name="_도고천품의안11_광주평동품의1_무안-광주2공구(협력)수정_사우나최종_사우나최종17" xfId="2935"/>
    <cellStyle name="_도고천품의안11_광주평동품의1_무안-광주2공구(협력)수정_사우나최종_워터파크" xfId="2936"/>
    <cellStyle name="_도고천품의안11_광주평동품의1_번암견적의뢰(협력)" xfId="2937"/>
    <cellStyle name="_도고천품의안11_광주평동품의1_번암견적의뢰(협력)_사우나최종" xfId="2938"/>
    <cellStyle name="_도고천품의안11_광주평동품의1_번암견적의뢰(협력)_사우나최종_사우나최종17" xfId="2939"/>
    <cellStyle name="_도고천품의안11_광주평동품의1_번암견적의뢰(협력)_사우나최종_워터파크" xfId="2940"/>
    <cellStyle name="_도고천품의안11_광주평동품의1_사우나최종" xfId="2941"/>
    <cellStyle name="_도고천품의안11_광주평동품의1_사우나최종_사우나최종17" xfId="2942"/>
    <cellStyle name="_도고천품의안11_광주평동품의1_사우나최종_워터파크" xfId="2943"/>
    <cellStyle name="_도고천품의안11_광주평동품의1_적상무주IC도로(1공구)" xfId="2944"/>
    <cellStyle name="_도고천품의안11_광주평동품의1_적상무주IC도로(1공구)_사우나최종" xfId="2945"/>
    <cellStyle name="_도고천품의안11_광주평동품의1_적상무주IC도로(1공구)_사우나최종_사우나최종17" xfId="2946"/>
    <cellStyle name="_도고천품의안11_광주평동품의1_적상무주IC도로(1공구)_사우나최종_워터파크" xfId="2947"/>
    <cellStyle name="_도고천품의안11_무안-광주2공구(협력)수정" xfId="2948"/>
    <cellStyle name="_도고천품의안11_무안-광주2공구(협력)수정_사우나최종" xfId="2949"/>
    <cellStyle name="_도고천품의안11_무안-광주2공구(협력)수정_사우나최종_사우나최종17" xfId="2950"/>
    <cellStyle name="_도고천품의안11_무안-광주2공구(협력)수정_사우나최종_워터파크" xfId="2951"/>
    <cellStyle name="_도고천품의안11_번암견적의뢰(협력)" xfId="2952"/>
    <cellStyle name="_도고천품의안11_번암견적의뢰(협력)_사우나최종" xfId="2953"/>
    <cellStyle name="_도고천품의안11_번암견적의뢰(협력)_사우나최종_사우나최종17" xfId="2954"/>
    <cellStyle name="_도고천품의안11_번암견적의뢰(협력)_사우나최종_워터파크" xfId="2955"/>
    <cellStyle name="_도고천품의안11_사우나최종" xfId="2956"/>
    <cellStyle name="_도고천품의안11_사우나최종_사우나최종17" xfId="2957"/>
    <cellStyle name="_도고천품의안11_사우나최종_워터파크" xfId="2958"/>
    <cellStyle name="_도고천품의안11_송학실행안" xfId="2959"/>
    <cellStyle name="_도고천품의안11_송학실행안_번암견적의뢰(협력)" xfId="2960"/>
    <cellStyle name="_도고천품의안11_송학실행안_번암견적의뢰(협력)_사우나최종" xfId="2961"/>
    <cellStyle name="_도고천품의안11_송학실행안_번암견적의뢰(협력)_사우나최종_사우나최종17" xfId="2962"/>
    <cellStyle name="_도고천품의안11_송학실행안_번암견적의뢰(협력)_사우나최종_워터파크" xfId="2963"/>
    <cellStyle name="_도고천품의안11_송학실행안_사우나최종" xfId="2964"/>
    <cellStyle name="_도고천품의안11_송학실행안_사우나최종_사우나최종17" xfId="2965"/>
    <cellStyle name="_도고천품의안11_송학실행안_사우나최종_워터파크" xfId="2966"/>
    <cellStyle name="_도고천품의안11_송학하수품의(설계넣고)" xfId="2967"/>
    <cellStyle name="_도고천품의안11_송학하수품의(설계넣고)_무안-광주2공구(협력)수정" xfId="2968"/>
    <cellStyle name="_도고천품의안11_송학하수품의(설계넣고)_무안-광주2공구(협력)수정_사우나최종" xfId="2969"/>
    <cellStyle name="_도고천품의안11_송학하수품의(설계넣고)_무안-광주2공구(협력)수정_사우나최종_사우나최종17" xfId="2970"/>
    <cellStyle name="_도고천품의안11_송학하수품의(설계넣고)_무안-광주2공구(협력)수정_사우나최종_워터파크" xfId="2971"/>
    <cellStyle name="_도고천품의안11_송학하수품의(설계넣고)_번암견적의뢰(협력)" xfId="2972"/>
    <cellStyle name="_도고천품의안11_송학하수품의(설계넣고)_번암견적의뢰(협력)_사우나최종" xfId="2973"/>
    <cellStyle name="_도고천품의안11_송학하수품의(설계넣고)_번암견적의뢰(협력)_사우나최종_사우나최종17" xfId="2974"/>
    <cellStyle name="_도고천품의안11_송학하수품의(설계넣고)_번암견적의뢰(협력)_사우나최종_워터파크" xfId="2975"/>
    <cellStyle name="_도고천품의안11_송학하수품의(설계넣고)_사우나최종" xfId="2976"/>
    <cellStyle name="_도고천품의안11_송학하수품의(설계넣고)_사우나최종_사우나최종17" xfId="2977"/>
    <cellStyle name="_도고천품의안11_송학하수품의(설계넣고)_사우나최종_워터파크" xfId="2978"/>
    <cellStyle name="_도고천품의안11_송학하수품의(설계넣고)_적상무주IC도로(1공구)" xfId="2979"/>
    <cellStyle name="_도고천품의안11_송학하수품의(설계넣고)_적상무주IC도로(1공구)_사우나최종" xfId="2980"/>
    <cellStyle name="_도고천품의안11_송학하수품의(설계넣고)_적상무주IC도로(1공구)_사우나최종_사우나최종17" xfId="2981"/>
    <cellStyle name="_도고천품의안11_송학하수품의(설계넣고)_적상무주IC도로(1공구)_사우나최종_워터파크" xfId="2982"/>
    <cellStyle name="_도고천품의안11_적상무주IC도로(1공구)" xfId="2983"/>
    <cellStyle name="_도고천품의안11_적상무주IC도로(1공구)_사우나최종" xfId="2984"/>
    <cellStyle name="_도고천품의안11_적상무주IC도로(1공구)_사우나최종_사우나최종17" xfId="2985"/>
    <cellStyle name="_도고천품의안11_적상무주IC도로(1공구)_사우나최종_워터파크" xfId="2986"/>
    <cellStyle name="_도곡주공" xfId="140"/>
    <cellStyle name="_도곡주공_1" xfId="141"/>
    <cellStyle name="_도곡주공v95" xfId="142"/>
    <cellStyle name="_도곡주공v95_1" xfId="143"/>
    <cellStyle name="_도급,제외,적용내역편집" xfId="144"/>
    <cellStyle name="_동학농민혁명기념관(개요)" xfId="145"/>
    <cellStyle name="_동학농민혁명기념관(개요)_담양 창평 주택시설 부지조성사업" xfId="146"/>
    <cellStyle name="_롯데케논사옥02.02" xfId="2987"/>
    <cellStyle name="_마가레트 호텔" xfId="147"/>
    <cellStyle name="_말띠고개(수정)" xfId="148"/>
    <cellStyle name="_매정견적보고" xfId="2988"/>
    <cellStyle name="_명동아르누보(후드코트)-제출(DATA)" xfId="2989"/>
    <cellStyle name="_명암지도로실행" xfId="2990"/>
    <cellStyle name="_명암지도로실행_번암견적의뢰(협력)" xfId="2991"/>
    <cellStyle name="_명암지도로실행_번암견적의뢰(협력)_사우나최종" xfId="2992"/>
    <cellStyle name="_명암지도로실행_번암견적의뢰(협력)_사우나최종_사우나최종17" xfId="2993"/>
    <cellStyle name="_명암지도로실행_번암견적의뢰(협력)_사우나최종_워터파크" xfId="2994"/>
    <cellStyle name="_명암지도로실행_사우나최종" xfId="2995"/>
    <cellStyle name="_명암지도로실행_사우나최종_사우나최종17" xfId="2996"/>
    <cellStyle name="_명암지도로실행_사우나최종_워터파크" xfId="2997"/>
    <cellStyle name="_목표평가" xfId="149"/>
    <cellStyle name="_무안-광주2공구(협력)" xfId="2998"/>
    <cellStyle name="_무안-광주2공구(협력)_사우나최종" xfId="2999"/>
    <cellStyle name="_무안-광주2공구(협력)_사우나최종_사우나최종17" xfId="3000"/>
    <cellStyle name="_무안-광주2공구(협력)_사우나최종_워터파크" xfId="3001"/>
    <cellStyle name="_무안-광주2공구(협력)수정" xfId="3002"/>
    <cellStyle name="_무안-광주2공구(협력)수정_사우나최종" xfId="3003"/>
    <cellStyle name="_무안-광주2공구(협력)수정_사우나최종_사우나최종17" xfId="3004"/>
    <cellStyle name="_무안-광주2공구(협력)수정_사우나최종_워터파크" xfId="3005"/>
    <cellStyle name="_물양장(4월19)" xfId="150"/>
    <cellStyle name="_물양장(4월19)_담양 창평 주택시설 부지조성사업" xfId="151"/>
    <cellStyle name="_물양장(4월19)_신북" xfId="152"/>
    <cellStyle name="_물양장(4월19)_신북_담양 창평 주택시설 부지조성사업" xfId="153"/>
    <cellStyle name="_물양장(4월19)_신북상수도보고서(성일)" xfId="154"/>
    <cellStyle name="_물양장(4월19)_신북상수도보고서(성일)_담양 창평 주택시설 부지조성사업" xfId="155"/>
    <cellStyle name="_물양장(4월19)_신북상수도보고서(성일)_신북" xfId="156"/>
    <cellStyle name="_물양장(4월19)_신북상수도보고서(성일)_신북_담양 창평 주택시설 부지조성사업" xfId="157"/>
    <cellStyle name="_물양장(4월19)_신북상수도보고서(성일)_신북상수도" xfId="158"/>
    <cellStyle name="_물양장(4월19)_신북상수도보고서(성일)_신북상수도_담양 창평 주택시설 부지조성사업" xfId="159"/>
    <cellStyle name="_물양장(4월19)_신북상수도보고서(성일)_신북상수도보고서(성일)" xfId="160"/>
    <cellStyle name="_물양장(4월19)_신북상수도보고서(성일)_신북상수도보고서(성일)_담양 창평 주택시설 부지조성사업" xfId="161"/>
    <cellStyle name="_물양장(4월19)_여천~화양간보고서(성일)" xfId="162"/>
    <cellStyle name="_물양장(4월19)_여천~화양간보고서(성일)_담양 창평 주택시설 부지조성사업" xfId="163"/>
    <cellStyle name="_물양장(4월19)_여천~화양간보고서(성일)_신북" xfId="164"/>
    <cellStyle name="_물양장(4월19)_여천~화양간보고서(성일)_신북_담양 창평 주택시설 부지조성사업" xfId="165"/>
    <cellStyle name="_물양장(4월19)_여천~화양간보고서(성일)_신북상수도" xfId="166"/>
    <cellStyle name="_물양장(4월19)_여천~화양간보고서(성일)_신북상수도_담양 창평 주택시설 부지조성사업" xfId="167"/>
    <cellStyle name="_물양장(4월19)_여천~화양간보고서(성일)_신북상수도보고서(성일)" xfId="168"/>
    <cellStyle name="_물양장(4월19)_여천~화양간보고서(성일)_신북상수도보고서(성일)_담양 창평 주택시설 부지조성사업" xfId="169"/>
    <cellStyle name="_물양장실정보고(추가분)" xfId="170"/>
    <cellStyle name="_물양장실정보고(추가분)_2차 - 물양장(C.물양장공)" xfId="171"/>
    <cellStyle name="_물양장실정보고(추가분)_2차 - 물양장(C.물양장공)_담양 창평 주택시설 부지조성사업" xfId="172"/>
    <cellStyle name="_물양장실정보고(추가분)_2차 - 물양장(C.물양장공)_신북" xfId="173"/>
    <cellStyle name="_물양장실정보고(추가분)_2차 - 물양장(C.물양장공)_신북_담양 창평 주택시설 부지조성사업" xfId="174"/>
    <cellStyle name="_물양장실정보고(추가분)_2차 - 물양장(C.물양장공)_신북상수도보고서(성일)" xfId="175"/>
    <cellStyle name="_물양장실정보고(추가분)_2차 - 물양장(C.물양장공)_신북상수도보고서(성일)_담양 창평 주택시설 부지조성사업" xfId="176"/>
    <cellStyle name="_물양장실정보고(추가분)_2차 - 물양장(C.물양장공)_신북상수도보고서(성일)_신북" xfId="177"/>
    <cellStyle name="_물양장실정보고(추가분)_2차 - 물양장(C.물양장공)_신북상수도보고서(성일)_신북_담양 창평 주택시설 부지조성사업" xfId="178"/>
    <cellStyle name="_물양장실정보고(추가분)_2차 - 물양장(C.물양장공)_신북상수도보고서(성일)_신북상수도" xfId="179"/>
    <cellStyle name="_물양장실정보고(추가분)_2차 - 물양장(C.물양장공)_신북상수도보고서(성일)_신북상수도_담양 창평 주택시설 부지조성사업" xfId="180"/>
    <cellStyle name="_물양장실정보고(추가분)_2차 - 물양장(C.물양장공)_신북상수도보고서(성일)_신북상수도보고서(성일)" xfId="181"/>
    <cellStyle name="_물양장실정보고(추가분)_2차 - 물양장(C.물양장공)_신북상수도보고서(성일)_신북상수도보고서(성일)_담양 창평 주택시설 부지조성사업" xfId="182"/>
    <cellStyle name="_물양장실정보고(추가분)_2차 - 물양장(C.물양장공)_여천~화양간보고서(성일)" xfId="183"/>
    <cellStyle name="_물양장실정보고(추가분)_2차 - 물양장(C.물양장공)_여천~화양간보고서(성일)_담양 창평 주택시설 부지조성사업" xfId="184"/>
    <cellStyle name="_물양장실정보고(추가분)_2차 - 물양장(C.물양장공)_여천~화양간보고서(성일)_신북" xfId="185"/>
    <cellStyle name="_물양장실정보고(추가분)_2차 - 물양장(C.물양장공)_여천~화양간보고서(성일)_신북_담양 창평 주택시설 부지조성사업" xfId="186"/>
    <cellStyle name="_물양장실정보고(추가분)_2차 - 물양장(C.물양장공)_여천~화양간보고서(성일)_신북상수도" xfId="187"/>
    <cellStyle name="_물양장실정보고(추가분)_2차 - 물양장(C.물양장공)_여천~화양간보고서(성일)_신북상수도_담양 창평 주택시설 부지조성사업" xfId="188"/>
    <cellStyle name="_물양장실정보고(추가분)_2차 - 물양장(C.물양장공)_여천~화양간보고서(성일)_신북상수도보고서(성일)" xfId="189"/>
    <cellStyle name="_물양장실정보고(추가분)_2차 - 물양장(C.물양장공)_여천~화양간보고서(성일)_신북상수도보고서(성일)_담양 창평 주택시설 부지조성사업" xfId="190"/>
    <cellStyle name="_물양장실정보고(추가분)_단가산출" xfId="191"/>
    <cellStyle name="_물양장실정보고(추가분)_단가산출_담양 창평 주택시설 부지조성사업" xfId="192"/>
    <cellStyle name="_물양장실정보고(추가분)_단가산출_신북" xfId="193"/>
    <cellStyle name="_물양장실정보고(추가분)_단가산출_신북_담양 창평 주택시설 부지조성사업" xfId="194"/>
    <cellStyle name="_물양장실정보고(추가분)_단가산출_신북상수도보고서(성일)" xfId="195"/>
    <cellStyle name="_물양장실정보고(추가분)_단가산출_신북상수도보고서(성일)_담양 창평 주택시설 부지조성사업" xfId="196"/>
    <cellStyle name="_물양장실정보고(추가분)_단가산출_신북상수도보고서(성일)_신북" xfId="197"/>
    <cellStyle name="_물양장실정보고(추가분)_단가산출_신북상수도보고서(성일)_신북_담양 창평 주택시설 부지조성사업" xfId="198"/>
    <cellStyle name="_물양장실정보고(추가분)_단가산출_신북상수도보고서(성일)_신북상수도" xfId="199"/>
    <cellStyle name="_물양장실정보고(추가분)_단가산출_신북상수도보고서(성일)_신북상수도_담양 창평 주택시설 부지조성사업" xfId="200"/>
    <cellStyle name="_물양장실정보고(추가분)_단가산출_신북상수도보고서(성일)_신북상수도보고서(성일)" xfId="201"/>
    <cellStyle name="_물양장실정보고(추가분)_단가산출_신북상수도보고서(성일)_신북상수도보고서(성일)_담양 창평 주택시설 부지조성사업" xfId="202"/>
    <cellStyle name="_물양장실정보고(추가분)_단가산출_여천~화양간보고서(성일)" xfId="203"/>
    <cellStyle name="_물양장실정보고(추가분)_단가산출_여천~화양간보고서(성일)_담양 창평 주택시설 부지조성사업" xfId="204"/>
    <cellStyle name="_물양장실정보고(추가분)_단가산출_여천~화양간보고서(성일)_신북" xfId="205"/>
    <cellStyle name="_물양장실정보고(추가분)_단가산출_여천~화양간보고서(성일)_신북_담양 창평 주택시설 부지조성사업" xfId="206"/>
    <cellStyle name="_물양장실정보고(추가분)_단가산출_여천~화양간보고서(성일)_신북상수도" xfId="207"/>
    <cellStyle name="_물양장실정보고(추가분)_단가산출_여천~화양간보고서(성일)_신북상수도_담양 창평 주택시설 부지조성사업" xfId="208"/>
    <cellStyle name="_물양장실정보고(추가분)_단가산출_여천~화양간보고서(성일)_신북상수도보고서(성일)" xfId="209"/>
    <cellStyle name="_물양장실정보고(추가분)_단가산출_여천~화양간보고서(성일)_신북상수도보고서(성일)_담양 창평 주택시설 부지조성사업" xfId="210"/>
    <cellStyle name="_물양장실정보고(추가분)_담양 창평 주택시설 부지조성사업" xfId="211"/>
    <cellStyle name="_물양장실정보고(추가분)_물양장(C.물양장공)" xfId="212"/>
    <cellStyle name="_물양장실정보고(추가분)_물양장(C.물양장공)_담양 창평 주택시설 부지조성사업" xfId="213"/>
    <cellStyle name="_물양장실정보고(추가분)_물양장(C.물양장공)_신북" xfId="214"/>
    <cellStyle name="_물양장실정보고(추가분)_물양장(C.물양장공)_신북_담양 창평 주택시설 부지조성사업" xfId="215"/>
    <cellStyle name="_물양장실정보고(추가분)_물양장(C.물양장공)_신북상수도보고서(성일)" xfId="216"/>
    <cellStyle name="_물양장실정보고(추가분)_물양장(C.물양장공)_신북상수도보고서(성일)_담양 창평 주택시설 부지조성사업" xfId="217"/>
    <cellStyle name="_물양장실정보고(추가분)_물양장(C.물양장공)_신북상수도보고서(성일)_신북" xfId="218"/>
    <cellStyle name="_물양장실정보고(추가분)_물양장(C.물양장공)_신북상수도보고서(성일)_신북_담양 창평 주택시설 부지조성사업" xfId="219"/>
    <cellStyle name="_물양장실정보고(추가분)_물양장(C.물양장공)_신북상수도보고서(성일)_신북상수도" xfId="220"/>
    <cellStyle name="_물양장실정보고(추가분)_물양장(C.물양장공)_신북상수도보고서(성일)_신북상수도_담양 창평 주택시설 부지조성사업" xfId="221"/>
    <cellStyle name="_물양장실정보고(추가분)_물양장(C.물양장공)_신북상수도보고서(성일)_신북상수도보고서(성일)" xfId="222"/>
    <cellStyle name="_물양장실정보고(추가분)_물양장(C.물양장공)_신북상수도보고서(성일)_신북상수도보고서(성일)_담양 창평 주택시설 부지조성사업" xfId="223"/>
    <cellStyle name="_물양장실정보고(추가분)_물양장(C.물양장공)_여천~화양간보고서(성일)" xfId="224"/>
    <cellStyle name="_물양장실정보고(추가분)_물양장(C.물양장공)_여천~화양간보고서(성일)_담양 창평 주택시설 부지조성사업" xfId="225"/>
    <cellStyle name="_물양장실정보고(추가분)_물양장(C.물양장공)_여천~화양간보고서(성일)_신북" xfId="226"/>
    <cellStyle name="_물양장실정보고(추가분)_물양장(C.물양장공)_여천~화양간보고서(성일)_신북_담양 창평 주택시설 부지조성사업" xfId="227"/>
    <cellStyle name="_물양장실정보고(추가분)_물양장(C.물양장공)_여천~화양간보고서(성일)_신북상수도" xfId="228"/>
    <cellStyle name="_물양장실정보고(추가분)_물양장(C.물양장공)_여천~화양간보고서(성일)_신북상수도_담양 창평 주택시설 부지조성사업" xfId="229"/>
    <cellStyle name="_물양장실정보고(추가분)_물양장(C.물양장공)_여천~화양간보고서(성일)_신북상수도보고서(성일)" xfId="230"/>
    <cellStyle name="_물양장실정보고(추가분)_물양장(C.물양장공)_여천~화양간보고서(성일)_신북상수도보고서(성일)_담양 창평 주택시설 부지조성사업" xfId="231"/>
    <cellStyle name="_물양장실정보고(추가분)_백야도상수도이설" xfId="232"/>
    <cellStyle name="_물양장실정보고(추가분)_백야도상수도이설_담양 창평 주택시설 부지조성사업" xfId="233"/>
    <cellStyle name="_물양장실정보고(추가분)_백야도상수도이설_신북" xfId="234"/>
    <cellStyle name="_물양장실정보고(추가분)_백야도상수도이설_신북_담양 창평 주택시설 부지조성사업" xfId="235"/>
    <cellStyle name="_물양장실정보고(추가분)_백야도상수도이설_신북상수도보고서(성일)" xfId="236"/>
    <cellStyle name="_물양장실정보고(추가분)_백야도상수도이설_신북상수도보고서(성일)_담양 창평 주택시설 부지조성사업" xfId="237"/>
    <cellStyle name="_물양장실정보고(추가분)_백야도상수도이설_신북상수도보고서(성일)_신북" xfId="238"/>
    <cellStyle name="_물양장실정보고(추가분)_백야도상수도이설_신북상수도보고서(성일)_신북_담양 창평 주택시설 부지조성사업" xfId="239"/>
    <cellStyle name="_물양장실정보고(추가분)_백야도상수도이설_신북상수도보고서(성일)_신북상수도" xfId="240"/>
    <cellStyle name="_물양장실정보고(추가분)_백야도상수도이설_신북상수도보고서(성일)_신북상수도_담양 창평 주택시설 부지조성사업" xfId="241"/>
    <cellStyle name="_물양장실정보고(추가분)_백야도상수도이설_신북상수도보고서(성일)_신북상수도보고서(성일)" xfId="242"/>
    <cellStyle name="_물양장실정보고(추가분)_백야도상수도이설_신북상수도보고서(성일)_신북상수도보고서(성일)_담양 창평 주택시설 부지조성사업" xfId="243"/>
    <cellStyle name="_물양장실정보고(추가분)_백야도상수도이설_여천~화양간보고서(성일)" xfId="244"/>
    <cellStyle name="_물양장실정보고(추가분)_백야도상수도이설_여천~화양간보고서(성일)_담양 창평 주택시설 부지조성사업" xfId="245"/>
    <cellStyle name="_물양장실정보고(추가분)_백야도상수도이설_여천~화양간보고서(성일)_신북" xfId="246"/>
    <cellStyle name="_물양장실정보고(추가분)_백야도상수도이설_여천~화양간보고서(성일)_신북_담양 창평 주택시설 부지조성사업" xfId="247"/>
    <cellStyle name="_물양장실정보고(추가분)_백야도상수도이설_여천~화양간보고서(성일)_신북상수도" xfId="248"/>
    <cellStyle name="_물양장실정보고(추가분)_백야도상수도이설_여천~화양간보고서(성일)_신북상수도_담양 창평 주택시설 부지조성사업" xfId="249"/>
    <cellStyle name="_물양장실정보고(추가분)_백야도상수도이설_여천~화양간보고서(성일)_신북상수도보고서(성일)" xfId="250"/>
    <cellStyle name="_물양장실정보고(추가분)_백야도상수도이설_여천~화양간보고서(성일)_신북상수도보고서(성일)_담양 창평 주택시설 부지조성사업" xfId="251"/>
    <cellStyle name="_물양장실정보고(추가분)_백야도상수도이설2" xfId="252"/>
    <cellStyle name="_물양장실정보고(추가분)_백야도상수도이설2_담양 창평 주택시설 부지조성사업" xfId="253"/>
    <cellStyle name="_물양장실정보고(추가분)_백야도상수도이설2_신북" xfId="254"/>
    <cellStyle name="_물양장실정보고(추가분)_백야도상수도이설2_신북_담양 창평 주택시설 부지조성사업" xfId="255"/>
    <cellStyle name="_물양장실정보고(추가분)_백야도상수도이설2_신북상수도보고서(성일)" xfId="256"/>
    <cellStyle name="_물양장실정보고(추가분)_백야도상수도이설2_신북상수도보고서(성일)_담양 창평 주택시설 부지조성사업" xfId="257"/>
    <cellStyle name="_물양장실정보고(추가분)_백야도상수도이설2_신북상수도보고서(성일)_신북" xfId="258"/>
    <cellStyle name="_물양장실정보고(추가분)_백야도상수도이설2_신북상수도보고서(성일)_신북_담양 창평 주택시설 부지조성사업" xfId="259"/>
    <cellStyle name="_물양장실정보고(추가분)_백야도상수도이설2_신북상수도보고서(성일)_신북상수도" xfId="260"/>
    <cellStyle name="_물양장실정보고(추가분)_백야도상수도이설2_신북상수도보고서(성일)_신북상수도_담양 창평 주택시설 부지조성사업" xfId="261"/>
    <cellStyle name="_물양장실정보고(추가분)_백야도상수도이설2_신북상수도보고서(성일)_신북상수도보고서(성일)" xfId="262"/>
    <cellStyle name="_물양장실정보고(추가분)_백야도상수도이설2_신북상수도보고서(성일)_신북상수도보고서(성일)_담양 창평 주택시설 부지조성사업" xfId="263"/>
    <cellStyle name="_물양장실정보고(추가분)_백야도상수도이설2_여천~화양간보고서(성일)" xfId="264"/>
    <cellStyle name="_물양장실정보고(추가분)_백야도상수도이설2_여천~화양간보고서(성일)_담양 창평 주택시설 부지조성사업" xfId="265"/>
    <cellStyle name="_물양장실정보고(추가분)_백야도상수도이설2_여천~화양간보고서(성일)_신북" xfId="266"/>
    <cellStyle name="_물양장실정보고(추가분)_백야도상수도이설2_여천~화양간보고서(성일)_신북_담양 창평 주택시설 부지조성사업" xfId="267"/>
    <cellStyle name="_물양장실정보고(추가분)_백야도상수도이설2_여천~화양간보고서(성일)_신북상수도" xfId="268"/>
    <cellStyle name="_물양장실정보고(추가분)_백야도상수도이설2_여천~화양간보고서(성일)_신북상수도_담양 창평 주택시설 부지조성사업" xfId="269"/>
    <cellStyle name="_물양장실정보고(추가분)_백야도상수도이설2_여천~화양간보고서(성일)_신북상수도보고서(성일)" xfId="270"/>
    <cellStyle name="_물양장실정보고(추가분)_백야도상수도이설2_여천~화양간보고서(성일)_신북상수도보고서(성일)_담양 창평 주택시설 부지조성사업" xfId="271"/>
    <cellStyle name="_물양장실정보고(추가분)_부대공수량집계" xfId="272"/>
    <cellStyle name="_물양장실정보고(추가분)_부대공수량집계_담양 창평 주택시설 부지조성사업" xfId="273"/>
    <cellStyle name="_물양장실정보고(추가분)_부대공수량집계_신북" xfId="274"/>
    <cellStyle name="_물양장실정보고(추가분)_부대공수량집계_신북_담양 창평 주택시설 부지조성사업" xfId="275"/>
    <cellStyle name="_물양장실정보고(추가분)_부대공수량집계_신북상수도보고서(성일)" xfId="276"/>
    <cellStyle name="_물양장실정보고(추가분)_부대공수량집계_신북상수도보고서(성일)_담양 창평 주택시설 부지조성사업" xfId="277"/>
    <cellStyle name="_물양장실정보고(추가분)_부대공수량집계_신북상수도보고서(성일)_신북" xfId="278"/>
    <cellStyle name="_물양장실정보고(추가분)_부대공수량집계_신북상수도보고서(성일)_신북_담양 창평 주택시설 부지조성사업" xfId="279"/>
    <cellStyle name="_물양장실정보고(추가분)_부대공수량집계_신북상수도보고서(성일)_신북상수도" xfId="280"/>
    <cellStyle name="_물양장실정보고(추가분)_부대공수량집계_신북상수도보고서(성일)_신북상수도_담양 창평 주택시설 부지조성사업" xfId="281"/>
    <cellStyle name="_물양장실정보고(추가분)_부대공수량집계_신북상수도보고서(성일)_신북상수도보고서(성일)" xfId="282"/>
    <cellStyle name="_물양장실정보고(추가분)_부대공수량집계_신북상수도보고서(성일)_신북상수도보고서(성일)_담양 창평 주택시설 부지조성사업" xfId="283"/>
    <cellStyle name="_물양장실정보고(추가분)_부대공수량집계_여천~화양간보고서(성일)" xfId="284"/>
    <cellStyle name="_물양장실정보고(추가분)_부대공수량집계_여천~화양간보고서(성일)_담양 창평 주택시설 부지조성사업" xfId="285"/>
    <cellStyle name="_물양장실정보고(추가분)_부대공수량집계_여천~화양간보고서(성일)_신북" xfId="286"/>
    <cellStyle name="_물양장실정보고(추가분)_부대공수량집계_여천~화양간보고서(성일)_신북_담양 창평 주택시설 부지조성사업" xfId="287"/>
    <cellStyle name="_물양장실정보고(추가분)_부대공수량집계_여천~화양간보고서(성일)_신북상수도" xfId="288"/>
    <cellStyle name="_물양장실정보고(추가분)_부대공수량집계_여천~화양간보고서(성일)_신북상수도_담양 창평 주택시설 부지조성사업" xfId="289"/>
    <cellStyle name="_물양장실정보고(추가분)_부대공수량집계_여천~화양간보고서(성일)_신북상수도보고서(성일)" xfId="290"/>
    <cellStyle name="_물양장실정보고(추가분)_부대공수량집계_여천~화양간보고서(성일)_신북상수도보고서(성일)_담양 창평 주택시설 부지조성사업" xfId="291"/>
    <cellStyle name="_물양장실정보고(추가분)_신북" xfId="292"/>
    <cellStyle name="_물양장실정보고(추가분)_신북_담양 창평 주택시설 부지조성사업" xfId="293"/>
    <cellStyle name="_물양장실정보고(추가분)_신북상수도보고서(성일)" xfId="294"/>
    <cellStyle name="_물양장실정보고(추가분)_신북상수도보고서(성일)_담양 창평 주택시설 부지조성사업" xfId="295"/>
    <cellStyle name="_물양장실정보고(추가분)_신북상수도보고서(성일)_신북" xfId="296"/>
    <cellStyle name="_물양장실정보고(추가분)_신북상수도보고서(성일)_신북_담양 창평 주택시설 부지조성사업" xfId="297"/>
    <cellStyle name="_물양장실정보고(추가분)_신북상수도보고서(성일)_신북상수도" xfId="298"/>
    <cellStyle name="_물양장실정보고(추가분)_신북상수도보고서(성일)_신북상수도_담양 창평 주택시설 부지조성사업" xfId="299"/>
    <cellStyle name="_물양장실정보고(추가분)_신북상수도보고서(성일)_신북상수도보고서(성일)" xfId="300"/>
    <cellStyle name="_물양장실정보고(추가분)_신북상수도보고서(성일)_신북상수도보고서(성일)_담양 창평 주택시설 부지조성사업" xfId="301"/>
    <cellStyle name="_물양장실정보고(추가분)_여천~화양간보고서(성일)" xfId="302"/>
    <cellStyle name="_물양장실정보고(추가분)_여천~화양간보고서(성일)_담양 창평 주택시설 부지조성사업" xfId="303"/>
    <cellStyle name="_물양장실정보고(추가분)_여천~화양간보고서(성일)_신북" xfId="304"/>
    <cellStyle name="_물양장실정보고(추가분)_여천~화양간보고서(성일)_신북_담양 창평 주택시설 부지조성사업" xfId="305"/>
    <cellStyle name="_물양장실정보고(추가분)_여천~화양간보고서(성일)_신북상수도" xfId="306"/>
    <cellStyle name="_물양장실정보고(추가분)_여천~화양간보고서(성일)_신북상수도_담양 창평 주택시설 부지조성사업" xfId="307"/>
    <cellStyle name="_물양장실정보고(추가분)_여천~화양간보고서(성일)_신북상수도보고서(성일)" xfId="308"/>
    <cellStyle name="_물양장실정보고(추가분)_여천~화양간보고서(성일)_신북상수도보고서(성일)_담양 창평 주택시설 부지조성사업" xfId="309"/>
    <cellStyle name="_민방위교육관20051201" xfId="3006"/>
    <cellStyle name="_박물관억지말뚝가설전기공사-021011" xfId="310"/>
    <cellStyle name="_방염산출" xfId="311"/>
    <cellStyle name="_번암견적의뢰(협력)" xfId="3007"/>
    <cellStyle name="_번암견적의뢰(협력)_사우나최종" xfId="3008"/>
    <cellStyle name="_번암견적의뢰(협력)_사우나최종_사우나최종17" xfId="3009"/>
    <cellStyle name="_번암견적의뢰(협력)_사우나최종_워터파크" xfId="3010"/>
    <cellStyle name="_벤처오피스실행초안20030925" xfId="312"/>
    <cellStyle name="_별관동" xfId="313"/>
    <cellStyle name="_별관동#2" xfId="314"/>
    <cellStyle name="_별량 설계서(디오_전면)-최종2007.02.01" xfId="3011"/>
    <cellStyle name="_별량 설계서(디오_전체)-최종2007.02.01" xfId="3012"/>
    <cellStyle name="_별첨(계획서및실적서양식)" xfId="315"/>
    <cellStyle name="_별첨(계획서및실적서양식)_1" xfId="316"/>
    <cellStyle name="_보강사전(검토)" xfId="3013"/>
    <cellStyle name="_보호피뢰침설치공사내역서(최종)" xfId="317"/>
    <cellStyle name="_본관동 전등,전열" xfId="318"/>
    <cellStyle name="_본관동 전력간선" xfId="319"/>
    <cellStyle name="_본관동 전력간선#2" xfId="320"/>
    <cellStyle name="_본관동전등전열#2" xfId="321"/>
    <cellStyle name="_본점)6,7층 리뉴얼공사 현장설명" xfId="3014"/>
    <cellStyle name="_부대공내역" xfId="322"/>
    <cellStyle name="_부대공내역_(주)KCC 아산공장 위험물창고 증축공사-200684" xfId="323"/>
    <cellStyle name="_부대공내역_기안" xfId="324"/>
    <cellStyle name="_부대공내역_기안_(주)KCC 아산공장 위험물창고 증축공사-200684" xfId="325"/>
    <cellStyle name="_부대공내역_기안_예산분류 (공구구분)" xfId="326"/>
    <cellStyle name="_부대공내역_기안_예산분류 (공구구분)_(주)KCC 아산공장 위험물창고 증축공사-200684" xfId="327"/>
    <cellStyle name="_부대공내역_기안_예산분류 (공구구분)_발산 아파트 1공구 공내역" xfId="328"/>
    <cellStyle name="_부대공내역_기안_예산분류 (공구구분)_발산 아파트 1공구 공내역_(주)KCC 아산공장 위험물창고 증축공사-200684" xfId="329"/>
    <cellStyle name="_부대공내역_기안_예산분류 (공구구분)_일반 외주 공내역서 (공구구분)" xfId="330"/>
    <cellStyle name="_부대공내역_기안_예산분류 (공구구분)_일반 외주 공내역서 (공구구분)_(주)KCC 아산공장 위험물창고 증축공사-200684" xfId="331"/>
    <cellStyle name="_부대공내역_기안_예산분류 (공구구분)_일반배관 외주발주 예산분류 (공구구분)" xfId="332"/>
    <cellStyle name="_부대공내역_기안_예산분류 (공구구분)_일반배관 외주발주 예산분류 (공구구분)_(주)KCC 아산공장 위험물창고 증축공사-200684" xfId="333"/>
    <cellStyle name="_부대공내역_기안_예산분류 (공구구분)_일반배관 외주발주 예산분류 (공구구분)-1" xfId="334"/>
    <cellStyle name="_부대공내역_기안_예산분류 (공구구분)_일반배관 외주발주 예산분류 (공구구분)-1_(주)KCC 아산공장 위험물창고 증축공사-200684" xfId="335"/>
    <cellStyle name="_부대공내역_기안_일반배관 외주발주 예산분류 (공구구분)" xfId="336"/>
    <cellStyle name="_부대공내역_기안_일반배관 외주발주 예산분류 (공구구분)_(주)KCC 아산공장 위험물창고 증축공사-200684" xfId="337"/>
    <cellStyle name="_부대공내역_기안_일반배관 외주발주 예산분류 (공구구분)_발산 아파트 1공구 공내역" xfId="338"/>
    <cellStyle name="_부대공내역_기안_일반배관 외주발주 예산분류 (공구구분)_발산 아파트 1공구 공내역_(주)KCC 아산공장 위험물창고 증축공사-200684" xfId="339"/>
    <cellStyle name="_부대공내역_기안_일반배관 외주발주 예산분류 (공구구분)_일반 외주 공내역서 (공구구분)" xfId="340"/>
    <cellStyle name="_부대공내역_기안_일반배관 외주발주 예산분류 (공구구분)_일반 외주 공내역서 (공구구분)_(주)KCC 아산공장 위험물창고 증축공사-200684" xfId="341"/>
    <cellStyle name="_부대공내역_기안_일반배관 외주발주 예산분류 (공구구분)_일반배관 외주발주 예산분류 (공구구분)" xfId="342"/>
    <cellStyle name="_부대공내역_기안_일반배관 외주발주 예산분류 (공구구분)_일반배관 외주발주 예산분류 (공구구분)_(주)KCC 아산공장 위험물창고 증축공사-200684" xfId="343"/>
    <cellStyle name="_부대공내역_기안_일반배관 외주발주 예산분류 (공구구분)_일반배관 외주발주 예산분류 (공구구분)-1" xfId="344"/>
    <cellStyle name="_부대공내역_기안_일반배관 외주발주 예산분류 (공구구분)_일반배관 외주발주 예산분류 (공구구분)-1_(주)KCC 아산공장 위험물창고 증축공사-200684" xfId="345"/>
    <cellStyle name="_부대공내역_예산분류 (공구구분)" xfId="346"/>
    <cellStyle name="_부대공내역_예산분류 (공구구분)_(주)KCC 아산공장 위험물창고 증축공사-200684" xfId="347"/>
    <cellStyle name="_부대공내역_예산분류 (공구구분)_발산 아파트 1공구 공내역" xfId="348"/>
    <cellStyle name="_부대공내역_예산분류 (공구구분)_발산 아파트 1공구 공내역_(주)KCC 아산공장 위험물창고 증축공사-200684" xfId="349"/>
    <cellStyle name="_부대공내역_예산분류 (공구구분)_일반 외주 공내역서 (공구구분)" xfId="350"/>
    <cellStyle name="_부대공내역_예산분류 (공구구분)_일반 외주 공내역서 (공구구분)_(주)KCC 아산공장 위험물창고 증축공사-200684" xfId="351"/>
    <cellStyle name="_부대공내역_예산분류 (공구구분)_일반배관 외주발주 예산분류 (공구구분)" xfId="352"/>
    <cellStyle name="_부대공내역_예산분류 (공구구분)_일반배관 외주발주 예산분류 (공구구분)_(주)KCC 아산공장 위험물창고 증축공사-200684" xfId="353"/>
    <cellStyle name="_부대공내역_예산분류 (공구구분)_일반배관 외주발주 예산분류 (공구구분)-1" xfId="354"/>
    <cellStyle name="_부대공내역_예산분류 (공구구분)_일반배관 외주발주 예산분류 (공구구분)-1_(주)KCC 아산공장 위험물창고 증축공사-200684" xfId="355"/>
    <cellStyle name="_부대공내역_일반배관 외주발주 예산분류 (공구구분)" xfId="356"/>
    <cellStyle name="_부대공내역_일반배관 외주발주 예산분류 (공구구분)_(주)KCC 아산공장 위험물창고 증축공사-200684" xfId="357"/>
    <cellStyle name="_부대공내역_일반배관 외주발주 예산분류 (공구구분)_발산 아파트 1공구 공내역" xfId="358"/>
    <cellStyle name="_부대공내역_일반배관 외주발주 예산분류 (공구구분)_발산 아파트 1공구 공내역_(주)KCC 아산공장 위험물창고 증축공사-200684" xfId="359"/>
    <cellStyle name="_부대공내역_일반배관 외주발주 예산분류 (공구구분)_일반 외주 공내역서 (공구구분)" xfId="360"/>
    <cellStyle name="_부대공내역_일반배관 외주발주 예산분류 (공구구분)_일반 외주 공내역서 (공구구분)_(주)KCC 아산공장 위험물창고 증축공사-200684" xfId="361"/>
    <cellStyle name="_부대공내역_일반배관 외주발주 예산분류 (공구구분)_일반배관 외주발주 예산분류 (공구구분)" xfId="362"/>
    <cellStyle name="_부대공내역_일반배관 외주발주 예산분류 (공구구분)_일반배관 외주발주 예산분류 (공구구분)_(주)KCC 아산공장 위험물창고 증축공사-200684" xfId="363"/>
    <cellStyle name="_부대공내역_일반배관 외주발주 예산분류 (공구구분)_일반배관 외주발주 예산분류 (공구구분)-1" xfId="364"/>
    <cellStyle name="_부대공내역_일반배관 외주발주 예산분류 (공구구분)_일반배관 외주발주 예산분류 (공구구분)-1_(주)KCC 아산공장 위험물창고 증축공사-200684" xfId="365"/>
    <cellStyle name="_부에나비스타 빌라 설계견적" xfId="366"/>
    <cellStyle name="_부천범박동" xfId="367"/>
    <cellStyle name="_북부지방법원청사신축공사 2007,02,06" xfId="368"/>
    <cellStyle name="_분당정자동파라곤주상복합공사비(재검토I-SPACE수준)6-M.H" xfId="369"/>
    <cellStyle name="_사당동 아주연립 재건축" xfId="370"/>
    <cellStyle name="_사본 - 최종견적서 - 신관 4층, 14층공사 산출물량, 견적서 12-18(1안)" xfId="371"/>
    <cellStyle name="_사업부발송" xfId="372"/>
    <cellStyle name="_사전공사 - 대치아파트 1차 (02.11.08)" xfId="3015"/>
    <cellStyle name="_사전공사 - 대치아파트 1차 (02.11.08)_사우나최종" xfId="3016"/>
    <cellStyle name="_사전공사 - 대치아파트 1차 (02.11.08)_사우나최종_사우나최종17" xfId="3017"/>
    <cellStyle name="_사전공사 - 대치아파트 1차 (02.11.08)_사우나최종_워터파크" xfId="3018"/>
    <cellStyle name="_사전공사 - 대치아파트 2차 (02.10.24)" xfId="3019"/>
    <cellStyle name="_사전공사 - 대치아파트 2차 (02.10.24)_사우나최종" xfId="3020"/>
    <cellStyle name="_사전공사 - 대치아파트 2차 (02.10.24)_사우나최종_사우나최종17" xfId="3021"/>
    <cellStyle name="_사전공사 - 대치아파트 2차 (02.10.24)_사우나최종_워터파크" xfId="3022"/>
    <cellStyle name="_사전공사 검토양식" xfId="3023"/>
    <cellStyle name="_사전공사(토목본사검토) " xfId="3024"/>
    <cellStyle name="_사전공사(토목본사검토) _사우나최종" xfId="3025"/>
    <cellStyle name="_사전공사(토목본사검토) _사우나최종_사우나최종17" xfId="3026"/>
    <cellStyle name="_사전공사(토목본사검토) _사우나최종_워터파크" xfId="3027"/>
    <cellStyle name="_산월초등학교 학생용사물함 제조원가계산(납품)" xfId="373"/>
    <cellStyle name="_산출 근거서-08.22" xfId="374"/>
    <cellStyle name="_생산7PAGE" xfId="375"/>
    <cellStyle name="_생산LOAD2" xfId="377"/>
    <cellStyle name="_생산수정" xfId="376"/>
    <cellStyle name="_서울 중앙우체국 인테리어공사(03.10.08)" xfId="378"/>
    <cellStyle name="_서울 중앙우체국 인테리어공사(04.03.29)철희실행(0417)" xfId="379"/>
    <cellStyle name="_서울여대 학생복지관,기숙사-최종견적서" xfId="380"/>
    <cellStyle name="_서초 오피스텔 가)실행(인테리어)" xfId="3028"/>
    <cellStyle name="_선릉SK텔레콤금속공사" xfId="3029"/>
    <cellStyle name="_설계(최종)" xfId="381"/>
    <cellStyle name="_설계0515" xfId="382"/>
    <cellStyle name="_설계LOAD" xfId="384"/>
    <cellStyle name="_설계외주사무동 실행(가)" xfId="383"/>
    <cellStyle name="_설계추정2(토목)대림" xfId="3030"/>
    <cellStyle name="_설변계약 견적서" xfId="385"/>
    <cellStyle name="_성령교회 임시전력 견적" xfId="386"/>
    <cellStyle name="_성신여대" xfId="387"/>
    <cellStyle name="_성원오피스텔휘트니스센터" xfId="3031"/>
    <cellStyle name="_소규모통신시설단가공사(2003년)" xfId="388"/>
    <cellStyle name="_소규모통신시설단가공사(2003년)_1" xfId="389"/>
    <cellStyle name="_소규모통신시설단가공사(2003년)_2" xfId="390"/>
    <cellStyle name="_소규모통신시설단가공사(2003년)_3" xfId="391"/>
    <cellStyle name="_소규모통신시설단가공사(2003년)_4" xfId="392"/>
    <cellStyle name="_소규모통신시설단가공사(2003년)_5" xfId="393"/>
    <cellStyle name="_송학실행안" xfId="3032"/>
    <cellStyle name="_송학실행안_번암견적의뢰(협력)" xfId="3033"/>
    <cellStyle name="_송학실행안_번암견적의뢰(협력)_사우나최종" xfId="3034"/>
    <cellStyle name="_송학실행안_번암견적의뢰(협력)_사우나최종_사우나최종17" xfId="3035"/>
    <cellStyle name="_송학실행안_번암견적의뢰(협력)_사우나최종_워터파크" xfId="3036"/>
    <cellStyle name="_송학실행안_사우나최종" xfId="3037"/>
    <cellStyle name="_송학실행안_사우나최종_사우나최종17" xfId="3038"/>
    <cellStyle name="_송학실행안_사우나최종_워터파크" xfId="3039"/>
    <cellStyle name="_송학하수투찰" xfId="3040"/>
    <cellStyle name="_송학하수투찰_번암견적의뢰(협력)" xfId="3041"/>
    <cellStyle name="_송학하수투찰_번암견적의뢰(협력)_사우나최종" xfId="3042"/>
    <cellStyle name="_송학하수투찰_번암견적의뢰(협력)_사우나최종_사우나최종17" xfId="3043"/>
    <cellStyle name="_송학하수투찰_번암견적의뢰(협력)_사우나최종_워터파크" xfId="3044"/>
    <cellStyle name="_송학하수투찰_사우나최종" xfId="3045"/>
    <cellStyle name="_송학하수투찰_사우나최종_사우나최종17" xfId="3046"/>
    <cellStyle name="_송학하수투찰_사우나최종_워터파크" xfId="3047"/>
    <cellStyle name="_송학하수품의(설계넣고)" xfId="3048"/>
    <cellStyle name="_송학하수품의(설계넣고)_무안-광주2공구(협력)수정" xfId="3049"/>
    <cellStyle name="_송학하수품의(설계넣고)_무안-광주2공구(협력)수정_사우나최종" xfId="3050"/>
    <cellStyle name="_송학하수품의(설계넣고)_무안-광주2공구(협력)수정_사우나최종_사우나최종17" xfId="3051"/>
    <cellStyle name="_송학하수품의(설계넣고)_무안-광주2공구(협력)수정_사우나최종_워터파크" xfId="3052"/>
    <cellStyle name="_송학하수품의(설계넣고)_번암견적의뢰(협력)" xfId="3053"/>
    <cellStyle name="_송학하수품의(설계넣고)_번암견적의뢰(협력)_사우나최종" xfId="3054"/>
    <cellStyle name="_송학하수품의(설계넣고)_번암견적의뢰(협력)_사우나최종_사우나최종17" xfId="3055"/>
    <cellStyle name="_송학하수품의(설계넣고)_번암견적의뢰(협력)_사우나최종_워터파크" xfId="3056"/>
    <cellStyle name="_송학하수품의(설계넣고)_사우나최종" xfId="3057"/>
    <cellStyle name="_송학하수품의(설계넣고)_사우나최종_사우나최종17" xfId="3058"/>
    <cellStyle name="_송학하수품의(설계넣고)_사우나최종_워터파크" xfId="3059"/>
    <cellStyle name="_송학하수품의(설계넣고)_적상무주IC도로(1공구)" xfId="3060"/>
    <cellStyle name="_송학하수품의(설계넣고)_적상무주IC도로(1공구)_사우나최종" xfId="3061"/>
    <cellStyle name="_송학하수품의(설계넣고)_적상무주IC도로(1공구)_사우나최종_사우나최종17" xfId="3062"/>
    <cellStyle name="_송학하수품의(설계넣고)_적상무주IC도로(1공구)_사우나최종_워터파크" xfId="3063"/>
    <cellStyle name="_송현실행내역" xfId="394"/>
    <cellStyle name="_수의계약사유서" xfId="395"/>
    <cellStyle name="_스튜디오" xfId="396"/>
    <cellStyle name="_승선생활관최종보고서(02.06.04)" xfId="397"/>
    <cellStyle name="_승선생활관최종보고서(02.06.04)_담양 창평 주택시설 부지조성사업" xfId="398"/>
    <cellStyle name="_신북" xfId="399"/>
    <cellStyle name="_신북_담양 창평 주택시설 부지조성사업" xfId="400"/>
    <cellStyle name="_신북상수도보고서(성일)" xfId="401"/>
    <cellStyle name="_신북상수도보고서(성일)_담양 창평 주택시설 부지조성사업" xfId="402"/>
    <cellStyle name="_신북상수도보고서(성일)_신북" xfId="403"/>
    <cellStyle name="_신북상수도보고서(성일)_신북_담양 창평 주택시설 부지조성사업" xfId="404"/>
    <cellStyle name="_신북상수도보고서(성일)_신북상수도" xfId="405"/>
    <cellStyle name="_신북상수도보고서(성일)_신북상수도_담양 창평 주택시설 부지조성사업" xfId="406"/>
    <cellStyle name="_신북상수도보고서(성일)_신북상수도보고서(성일)" xfId="407"/>
    <cellStyle name="_신북상수도보고서(성일)_신북상수도보고서(성일)_담양 창평 주택시설 부지조성사업" xfId="408"/>
    <cellStyle name="_신양테크견적" xfId="3064"/>
    <cellStyle name="_신의~하태(성일)" xfId="409"/>
    <cellStyle name="_신의~하태(성일)_03 기계경비(2000~2002)" xfId="410"/>
    <cellStyle name="_신의~하태(성일)_기계경비(2000~2002)" xfId="411"/>
    <cellStyle name="_신의~하태(성일)_기계경비(2001~2002)" xfId="412"/>
    <cellStyle name="_신의~하태(성일)_기계경비지수산출" xfId="413"/>
    <cellStyle name="_신의~하태(성일)_기계경비지수산출(03년용)" xfId="414"/>
    <cellStyle name="_신의~하태(성일)_총기계경비(2001-2003)" xfId="415"/>
    <cellStyle name="_신중점현장20020810굴포천" xfId="416"/>
    <cellStyle name="_신촌 트리플지점 내장공사" xfId="3065"/>
    <cellStyle name="_신촌(2차)트리플지점(원본)" xfId="3066"/>
    <cellStyle name="_실버타운가설전력산출서" xfId="417"/>
    <cellStyle name="_실행" xfId="3067"/>
    <cellStyle name="_실행(9,10블럭)통합" xfId="3068"/>
    <cellStyle name="_실행_의왕연구소-실행통합(입찰)" xfId="3069"/>
    <cellStyle name="_실행갑지" xfId="3070"/>
    <cellStyle name="_실행갑지_사우나최종" xfId="3071"/>
    <cellStyle name="_실행갑지_사우나최종_사우나최종17" xfId="3072"/>
    <cellStyle name="_실행갑지_사우나최종_워터파크" xfId="3073"/>
    <cellStyle name="_실행단가표1" xfId="3074"/>
    <cellStyle name="_실행예산(최종,전주실리콘1)" xfId="418"/>
    <cellStyle name="_아미고터워 리모델링공사(계약,실행내역)9월.3일 " xfId="419"/>
    <cellStyle name="_양식" xfId="420"/>
    <cellStyle name="_양식_1" xfId="421"/>
    <cellStyle name="_양식_2" xfId="422"/>
    <cellStyle name="_양재 HUB PRIMO 발코니 확장공사" xfId="3075"/>
    <cellStyle name="_언주중-1" xfId="423"/>
    <cellStyle name="_업무연락" xfId="424"/>
    <cellStyle name="_엑셀 - 이름충돌 해결" xfId="425"/>
    <cellStyle name="_여의도실행초안20030905-결재수정" xfId="426"/>
    <cellStyle name="_여천~화양간보고서(성일)" xfId="427"/>
    <cellStyle name="_여천~화양간보고서(성일)_담양 창평 주택시설 부지조성사업" xfId="428"/>
    <cellStyle name="_여천~화양간보고서(성일)_신북" xfId="429"/>
    <cellStyle name="_여천~화양간보고서(성일)_신북_담양 창평 주택시설 부지조성사업" xfId="430"/>
    <cellStyle name="_여천~화양간보고서(성일)_신북상수도" xfId="431"/>
    <cellStyle name="_여천~화양간보고서(성일)_신북상수도_담양 창평 주택시설 부지조성사업" xfId="432"/>
    <cellStyle name="_여천~화양간보고서(성일)_신북상수도보고서(성일)" xfId="433"/>
    <cellStyle name="_여천~화양간보고서(성일)_신북상수도보고서(성일)_담양 창평 주택시설 부지조성사업" xfId="434"/>
    <cellStyle name="_역삼성진" xfId="435"/>
    <cellStyle name="_염리v95" xfId="437"/>
    <cellStyle name="_염리실행" xfId="436"/>
    <cellStyle name="_영주판타시온리조트-재입찰실행" xfId="3076"/>
    <cellStyle name="_예산분류 (공구구분)" xfId="438"/>
    <cellStyle name="_예산분류 (공구구분)_(주)KCC 아산공장 위험물창고 증축공사-200684" xfId="439"/>
    <cellStyle name="_예산분류 (공구구분)_발산 아파트 1공구 공내역" xfId="440"/>
    <cellStyle name="_예산분류 (공구구분)_발산 아파트 1공구 공내역_(주)KCC 아산공장 위험물창고 증축공사-200684" xfId="441"/>
    <cellStyle name="_예산분류 (공구구분)_일반 외주 공내역서 (공구구분)" xfId="442"/>
    <cellStyle name="_예산분류 (공구구분)_일반 외주 공내역서 (공구구분)_(주)KCC 아산공장 위험물창고 증축공사-200684" xfId="443"/>
    <cellStyle name="_예산분류 (공구구분)_일반배관 외주발주 예산분류 (공구구분)" xfId="444"/>
    <cellStyle name="_예산분류 (공구구분)_일반배관 외주발주 예산분류 (공구구분)_(주)KCC 아산공장 위험물창고 증축공사-200684" xfId="445"/>
    <cellStyle name="_예산분류 (공구구분)_일반배관 외주발주 예산분류 (공구구분)-1" xfId="446"/>
    <cellStyle name="_예산분류 (공구구분)_일반배관 외주발주 예산분류 (공구구분)-1_(주)KCC 아산공장 위험물창고 증축공사-200684" xfId="447"/>
    <cellStyle name="_오엑스견적" xfId="3077"/>
    <cellStyle name="_외주발주요청서" xfId="448"/>
    <cellStyle name="_외주발주요청서(을)" xfId="449"/>
    <cellStyle name="_요약" xfId="450"/>
    <cellStyle name="_용산 외국인학교 인테리어공사 " xfId="3078"/>
    <cellStyle name="_용평리조트 (임시동력)" xfId="451"/>
    <cellStyle name="_우" xfId="3079"/>
    <cellStyle name="_우_광주평동실행" xfId="3080"/>
    <cellStyle name="_우_광주평동실행_번암견적의뢰(협력)" xfId="3081"/>
    <cellStyle name="_우_광주평동실행_번암견적의뢰(협력)_사우나최종" xfId="3082"/>
    <cellStyle name="_우_광주평동실행_번암견적의뢰(협력)_사우나최종_사우나최종17" xfId="3083"/>
    <cellStyle name="_우_광주평동실행_번암견적의뢰(협력)_사우나최종_워터파크" xfId="3084"/>
    <cellStyle name="_우_광주평동실행_사우나최종" xfId="3085"/>
    <cellStyle name="_우_광주평동실행_사우나최종_사우나최종17" xfId="3086"/>
    <cellStyle name="_우_광주평동실행_사우나최종_워터파크" xfId="3087"/>
    <cellStyle name="_우_광주평동품의1" xfId="3088"/>
    <cellStyle name="_우_광주평동품의1_무안-광주2공구(협력)수정" xfId="3089"/>
    <cellStyle name="_우_광주평동품의1_무안-광주2공구(협력)수정_사우나최종" xfId="3090"/>
    <cellStyle name="_우_광주평동품의1_무안-광주2공구(협력)수정_사우나최종_사우나최종17" xfId="3091"/>
    <cellStyle name="_우_광주평동품의1_무안-광주2공구(협력)수정_사우나최종_워터파크" xfId="3092"/>
    <cellStyle name="_우_광주평동품의1_번암견적의뢰(협력)" xfId="3093"/>
    <cellStyle name="_우_광주평동품의1_번암견적의뢰(협력)_사우나최종" xfId="3094"/>
    <cellStyle name="_우_광주평동품의1_번암견적의뢰(협력)_사우나최종_사우나최종17" xfId="3095"/>
    <cellStyle name="_우_광주평동품의1_번암견적의뢰(협력)_사우나최종_워터파크" xfId="3096"/>
    <cellStyle name="_우_광주평동품의1_사우나최종" xfId="3097"/>
    <cellStyle name="_우_광주평동품의1_사우나최종_사우나최종17" xfId="3098"/>
    <cellStyle name="_우_광주평동품의1_사우나최종_워터파크" xfId="3099"/>
    <cellStyle name="_우_광주평동품의1_적상무주IC도로(1공구)" xfId="3100"/>
    <cellStyle name="_우_광주평동품의1_적상무주IC도로(1공구)_사우나최종" xfId="3101"/>
    <cellStyle name="_우_광주평동품의1_적상무주IC도로(1공구)_사우나최종_사우나최종17" xfId="3102"/>
    <cellStyle name="_우_광주평동품의1_적상무주IC도로(1공구)_사우나최종_워터파크" xfId="3103"/>
    <cellStyle name="_우_기장하수실행1" xfId="3104"/>
    <cellStyle name="_우_기장하수실행1_번암견적의뢰(협력)" xfId="3105"/>
    <cellStyle name="_우_기장하수실행1_번암견적의뢰(협력)_사우나최종" xfId="3106"/>
    <cellStyle name="_우_기장하수실행1_번암견적의뢰(협력)_사우나최종_사우나최종17" xfId="3107"/>
    <cellStyle name="_우_기장하수실행1_번암견적의뢰(협력)_사우나최종_워터파크" xfId="3108"/>
    <cellStyle name="_우_기장하수실행1_사우나최종" xfId="3109"/>
    <cellStyle name="_우_기장하수실행1_사우나최종_사우나최종17" xfId="3110"/>
    <cellStyle name="_우_기장하수실행1_사우나최종_워터파크" xfId="3111"/>
    <cellStyle name="_우_무안-광주2공구(협력)수정" xfId="3112"/>
    <cellStyle name="_우_무안-광주2공구(협력)수정_사우나최종" xfId="3113"/>
    <cellStyle name="_우_무안-광주2공구(협력)수정_사우나최종_사우나최종17" xfId="3114"/>
    <cellStyle name="_우_무안-광주2공구(협력)수정_사우나최종_워터파크" xfId="3115"/>
    <cellStyle name="_우_번암견적의뢰(협력)" xfId="3116"/>
    <cellStyle name="_우_번암견적의뢰(협력)_사우나최종" xfId="3117"/>
    <cellStyle name="_우_번암견적의뢰(협력)_사우나최종_사우나최종17" xfId="3118"/>
    <cellStyle name="_우_번암견적의뢰(협력)_사우나최종_워터파크" xfId="3119"/>
    <cellStyle name="_우_사우나최종" xfId="3120"/>
    <cellStyle name="_우_사우나최종_사우나최종17" xfId="3121"/>
    <cellStyle name="_우_사우나최종_워터파크" xfId="3122"/>
    <cellStyle name="_우_송학실행안" xfId="3123"/>
    <cellStyle name="_우_송학실행안_번암견적의뢰(협력)" xfId="3124"/>
    <cellStyle name="_우_송학실행안_번암견적의뢰(협력)_사우나최종" xfId="3125"/>
    <cellStyle name="_우_송학실행안_번암견적의뢰(협력)_사우나최종_사우나최종17" xfId="3126"/>
    <cellStyle name="_우_송학실행안_번암견적의뢰(협력)_사우나최종_워터파크" xfId="3127"/>
    <cellStyle name="_우_송학실행안_사우나최종" xfId="3128"/>
    <cellStyle name="_우_송학실행안_사우나최종_사우나최종17" xfId="3129"/>
    <cellStyle name="_우_송학실행안_사우나최종_워터파크" xfId="3130"/>
    <cellStyle name="_우_송학하수투찰" xfId="3131"/>
    <cellStyle name="_우_송학하수투찰_번암견적의뢰(협력)" xfId="3132"/>
    <cellStyle name="_우_송학하수투찰_번암견적의뢰(협력)_사우나최종" xfId="3133"/>
    <cellStyle name="_우_송학하수투찰_번암견적의뢰(협력)_사우나최종_사우나최종17" xfId="3134"/>
    <cellStyle name="_우_송학하수투찰_번암견적의뢰(협력)_사우나최종_워터파크" xfId="3135"/>
    <cellStyle name="_우_송학하수투찰_사우나최종" xfId="3136"/>
    <cellStyle name="_우_송학하수투찰_사우나최종_사우나최종17" xfId="3137"/>
    <cellStyle name="_우_송학하수투찰_사우나최종_워터파크" xfId="3138"/>
    <cellStyle name="_우_송학하수품의(설계넣고)" xfId="3139"/>
    <cellStyle name="_우_송학하수품의(설계넣고)_무안-광주2공구(협력)수정" xfId="3140"/>
    <cellStyle name="_우_송학하수품의(설계넣고)_무안-광주2공구(협력)수정_사우나최종" xfId="3141"/>
    <cellStyle name="_우_송학하수품의(설계넣고)_무안-광주2공구(협력)수정_사우나최종_사우나최종17" xfId="3142"/>
    <cellStyle name="_우_송학하수품의(설계넣고)_무안-광주2공구(협력)수정_사우나최종_워터파크" xfId="3143"/>
    <cellStyle name="_우_송학하수품의(설계넣고)_번암견적의뢰(협력)" xfId="3144"/>
    <cellStyle name="_우_송학하수품의(설계넣고)_번암견적의뢰(협력)_사우나최종" xfId="3145"/>
    <cellStyle name="_우_송학하수품의(설계넣고)_번암견적의뢰(협력)_사우나최종_사우나최종17" xfId="3146"/>
    <cellStyle name="_우_송학하수품의(설계넣고)_번암견적의뢰(협력)_사우나최종_워터파크" xfId="3147"/>
    <cellStyle name="_우_송학하수품의(설계넣고)_사우나최종" xfId="3148"/>
    <cellStyle name="_우_송학하수품의(설계넣고)_사우나최종_사우나최종17" xfId="3149"/>
    <cellStyle name="_우_송학하수품의(설계넣고)_사우나최종_워터파크" xfId="3150"/>
    <cellStyle name="_우_송학하수품의(설계넣고)_적상무주IC도로(1공구)" xfId="3151"/>
    <cellStyle name="_우_송학하수품의(설계넣고)_적상무주IC도로(1공구)_사우나최종" xfId="3152"/>
    <cellStyle name="_우_송학하수품의(설계넣고)_적상무주IC도로(1공구)_사우나최종_사우나최종17" xfId="3153"/>
    <cellStyle name="_우_송학하수품의(설계넣고)_적상무주IC도로(1공구)_사우나최종_워터파크" xfId="3154"/>
    <cellStyle name="_우_우주센터투찰" xfId="3155"/>
    <cellStyle name="_우_우주센터투찰_광주평동실행" xfId="3156"/>
    <cellStyle name="_우_우주센터투찰_광주평동실행_번암견적의뢰(협력)" xfId="3157"/>
    <cellStyle name="_우_우주센터투찰_광주평동실행_번암견적의뢰(협력)_사우나최종" xfId="3158"/>
    <cellStyle name="_우_우주센터투찰_광주평동실행_번암견적의뢰(협력)_사우나최종_사우나최종17" xfId="3159"/>
    <cellStyle name="_우_우주센터투찰_광주평동실행_번암견적의뢰(협력)_사우나최종_워터파크" xfId="3160"/>
    <cellStyle name="_우_우주센터투찰_광주평동실행_사우나최종" xfId="3161"/>
    <cellStyle name="_우_우주센터투찰_광주평동실행_사우나최종_사우나최종17" xfId="3162"/>
    <cellStyle name="_우_우주센터투찰_광주평동실행_사우나최종_워터파크" xfId="3163"/>
    <cellStyle name="_우_우주센터투찰_광주평동품의1" xfId="3164"/>
    <cellStyle name="_우_우주센터투찰_광주평동품의1_무안-광주2공구(협력)수정" xfId="3165"/>
    <cellStyle name="_우_우주센터투찰_광주평동품의1_무안-광주2공구(협력)수정_사우나최종" xfId="3166"/>
    <cellStyle name="_우_우주센터투찰_광주평동품의1_무안-광주2공구(협력)수정_사우나최종_사우나최종17" xfId="3167"/>
    <cellStyle name="_우_우주센터투찰_광주평동품의1_무안-광주2공구(협력)수정_사우나최종_워터파크" xfId="3168"/>
    <cellStyle name="_우_우주센터투찰_광주평동품의1_번암견적의뢰(협력)" xfId="3169"/>
    <cellStyle name="_우_우주센터투찰_광주평동품의1_번암견적의뢰(협력)_사우나최종" xfId="3170"/>
    <cellStyle name="_우_우주센터투찰_광주평동품의1_번암견적의뢰(협력)_사우나최종_사우나최종17" xfId="3171"/>
    <cellStyle name="_우_우주센터투찰_광주평동품의1_번암견적의뢰(협력)_사우나최종_워터파크" xfId="3172"/>
    <cellStyle name="_우_우주센터투찰_광주평동품의1_사우나최종" xfId="3173"/>
    <cellStyle name="_우_우주센터투찰_광주평동품의1_사우나최종_사우나최종17" xfId="3174"/>
    <cellStyle name="_우_우주센터투찰_광주평동품의1_사우나최종_워터파크" xfId="3175"/>
    <cellStyle name="_우_우주센터투찰_광주평동품의1_적상무주IC도로(1공구)" xfId="3176"/>
    <cellStyle name="_우_우주센터투찰_광주평동품의1_적상무주IC도로(1공구)_사우나최종" xfId="3177"/>
    <cellStyle name="_우_우주센터투찰_광주평동품의1_적상무주IC도로(1공구)_사우나최종_사우나최종17" xfId="3178"/>
    <cellStyle name="_우_우주센터투찰_광주평동품의1_적상무주IC도로(1공구)_사우나최종_워터파크" xfId="3179"/>
    <cellStyle name="_우_우주센터투찰_기장하수실행1" xfId="3180"/>
    <cellStyle name="_우_우주센터투찰_기장하수실행1_번암견적의뢰(협력)" xfId="3181"/>
    <cellStyle name="_우_우주센터투찰_기장하수실행1_번암견적의뢰(협력)_사우나최종" xfId="3182"/>
    <cellStyle name="_우_우주센터투찰_기장하수실행1_번암견적의뢰(협력)_사우나최종_사우나최종17" xfId="3183"/>
    <cellStyle name="_우_우주센터투찰_기장하수실행1_번암견적의뢰(협력)_사우나최종_워터파크" xfId="3184"/>
    <cellStyle name="_우_우주센터투찰_기장하수실행1_사우나최종" xfId="3185"/>
    <cellStyle name="_우_우주센터투찰_기장하수실행1_사우나최종_사우나최종17" xfId="3186"/>
    <cellStyle name="_우_우주센터투찰_기장하수실행1_사우나최종_워터파크" xfId="3187"/>
    <cellStyle name="_우_우주센터투찰_무안-광주2공구(협력)수정" xfId="3188"/>
    <cellStyle name="_우_우주센터투찰_무안-광주2공구(협력)수정_사우나최종" xfId="3189"/>
    <cellStyle name="_우_우주센터투찰_무안-광주2공구(협력)수정_사우나최종_사우나최종17" xfId="3190"/>
    <cellStyle name="_우_우주센터투찰_무안-광주2공구(협력)수정_사우나최종_워터파크" xfId="3191"/>
    <cellStyle name="_우_우주센터투찰_번암견적의뢰(협력)" xfId="3192"/>
    <cellStyle name="_우_우주센터투찰_번암견적의뢰(협력)_사우나최종" xfId="3193"/>
    <cellStyle name="_우_우주센터투찰_번암견적의뢰(협력)_사우나최종_사우나최종17" xfId="3194"/>
    <cellStyle name="_우_우주센터투찰_번암견적의뢰(협력)_사우나최종_워터파크" xfId="3195"/>
    <cellStyle name="_우_우주센터투찰_사우나최종" xfId="3196"/>
    <cellStyle name="_우_우주센터투찰_사우나최종_사우나최종17" xfId="3197"/>
    <cellStyle name="_우_우주센터투찰_사우나최종_워터파크" xfId="3198"/>
    <cellStyle name="_우_우주센터투찰_송학실행안" xfId="3199"/>
    <cellStyle name="_우_우주센터투찰_송학실행안_번암견적의뢰(협력)" xfId="3200"/>
    <cellStyle name="_우_우주센터투찰_송학실행안_번암견적의뢰(협력)_사우나최종" xfId="3201"/>
    <cellStyle name="_우_우주센터투찰_송학실행안_번암견적의뢰(협력)_사우나최종_사우나최종17" xfId="3202"/>
    <cellStyle name="_우_우주센터투찰_송학실행안_번암견적의뢰(협력)_사우나최종_워터파크" xfId="3203"/>
    <cellStyle name="_우_우주센터투찰_송학실행안_사우나최종" xfId="3204"/>
    <cellStyle name="_우_우주센터투찰_송학실행안_사우나최종_사우나최종17" xfId="3205"/>
    <cellStyle name="_우_우주센터투찰_송학실행안_사우나최종_워터파크" xfId="3206"/>
    <cellStyle name="_우_우주센터투찰_송학하수투찰" xfId="3207"/>
    <cellStyle name="_우_우주센터투찰_송학하수투찰_번암견적의뢰(협력)" xfId="3208"/>
    <cellStyle name="_우_우주센터투찰_송학하수투찰_번암견적의뢰(협력)_사우나최종" xfId="3209"/>
    <cellStyle name="_우_우주센터투찰_송학하수투찰_번암견적의뢰(협력)_사우나최종_사우나최종17" xfId="3210"/>
    <cellStyle name="_우_우주센터투찰_송학하수투찰_번암견적의뢰(협력)_사우나최종_워터파크" xfId="3211"/>
    <cellStyle name="_우_우주센터투찰_송학하수투찰_사우나최종" xfId="3212"/>
    <cellStyle name="_우_우주센터투찰_송학하수투찰_사우나최종_사우나최종17" xfId="3213"/>
    <cellStyle name="_우_우주센터투찰_송학하수투찰_사우나최종_워터파크" xfId="3214"/>
    <cellStyle name="_우_우주센터투찰_송학하수품의(설계넣고)" xfId="3215"/>
    <cellStyle name="_우_우주센터투찰_송학하수품의(설계넣고)_무안-광주2공구(협력)수정" xfId="3216"/>
    <cellStyle name="_우_우주센터투찰_송학하수품의(설계넣고)_무안-광주2공구(협력)수정_사우나최종" xfId="3217"/>
    <cellStyle name="_우_우주센터투찰_송학하수품의(설계넣고)_무안-광주2공구(협력)수정_사우나최종_사우나최종17" xfId="3218"/>
    <cellStyle name="_우_우주센터투찰_송학하수품의(설계넣고)_무안-광주2공구(협력)수정_사우나최종_워터파크" xfId="3219"/>
    <cellStyle name="_우_우주센터투찰_송학하수품의(설계넣고)_번암견적의뢰(협력)" xfId="3220"/>
    <cellStyle name="_우_우주센터투찰_송학하수품의(설계넣고)_번암견적의뢰(협력)_사우나최종" xfId="3221"/>
    <cellStyle name="_우_우주센터투찰_송학하수품의(설계넣고)_번암견적의뢰(협력)_사우나최종_사우나최종17" xfId="3222"/>
    <cellStyle name="_우_우주센터투찰_송학하수품의(설계넣고)_번암견적의뢰(협력)_사우나최종_워터파크" xfId="3223"/>
    <cellStyle name="_우_우주센터투찰_송학하수품의(설계넣고)_사우나최종" xfId="3224"/>
    <cellStyle name="_우_우주센터투찰_송학하수품의(설계넣고)_사우나최종_사우나최종17" xfId="3225"/>
    <cellStyle name="_우_우주센터투찰_송학하수품의(설계넣고)_사우나최종_워터파크" xfId="3226"/>
    <cellStyle name="_우_우주센터투찰_송학하수품의(설계넣고)_적상무주IC도로(1공구)" xfId="3227"/>
    <cellStyle name="_우_우주센터투찰_송학하수품의(설계넣고)_적상무주IC도로(1공구)_사우나최종" xfId="3228"/>
    <cellStyle name="_우_우주센터투찰_송학하수품의(설계넣고)_적상무주IC도로(1공구)_사우나최종_사우나최종17" xfId="3229"/>
    <cellStyle name="_우_우주센터투찰_송학하수품의(설계넣고)_적상무주IC도로(1공구)_사우나최종_워터파크" xfId="3230"/>
    <cellStyle name="_우_우주센터투찰_적상무주IC도로(1공구)" xfId="3231"/>
    <cellStyle name="_우_우주센터투찰_적상무주IC도로(1공구)_사우나최종" xfId="3232"/>
    <cellStyle name="_우_우주센터투찰_적상무주IC도로(1공구)_사우나최종_사우나최종17" xfId="3233"/>
    <cellStyle name="_우_우주센터투찰_적상무주IC도로(1공구)_사우나최종_워터파크" xfId="3234"/>
    <cellStyle name="_우_적상무주IC도로(1공구)" xfId="3235"/>
    <cellStyle name="_우_적상무주IC도로(1공구)_사우나최종" xfId="3236"/>
    <cellStyle name="_우_적상무주IC도로(1공구)_사우나최종_사우나최종17" xfId="3237"/>
    <cellStyle name="_우_적상무주IC도로(1공구)_사우나최종_워터파크" xfId="3238"/>
    <cellStyle name="_우면동주택계약내역서초안(1110)" xfId="3239"/>
    <cellStyle name="_우주센" xfId="3240"/>
    <cellStyle name="_우주센_광주평동실행" xfId="3241"/>
    <cellStyle name="_우주센_광주평동실행_번암견적의뢰(협력)" xfId="3242"/>
    <cellStyle name="_우주센_광주평동실행_번암견적의뢰(협력)_사우나최종" xfId="3243"/>
    <cellStyle name="_우주센_광주평동실행_번암견적의뢰(협력)_사우나최종_사우나최종17" xfId="3244"/>
    <cellStyle name="_우주센_광주평동실행_번암견적의뢰(협력)_사우나최종_워터파크" xfId="3245"/>
    <cellStyle name="_우주센_광주평동실행_사우나최종" xfId="3246"/>
    <cellStyle name="_우주센_광주평동실행_사우나최종_사우나최종17" xfId="3247"/>
    <cellStyle name="_우주센_광주평동실행_사우나최종_워터파크" xfId="3248"/>
    <cellStyle name="_우주센_광주평동품의1" xfId="3249"/>
    <cellStyle name="_우주센_광주평동품의1_무안-광주2공구(협력)수정" xfId="3250"/>
    <cellStyle name="_우주센_광주평동품의1_무안-광주2공구(협력)수정_사우나최종" xfId="3251"/>
    <cellStyle name="_우주센_광주평동품의1_무안-광주2공구(협력)수정_사우나최종_사우나최종17" xfId="3252"/>
    <cellStyle name="_우주센_광주평동품의1_무안-광주2공구(협력)수정_사우나최종_워터파크" xfId="3253"/>
    <cellStyle name="_우주센_광주평동품의1_번암견적의뢰(협력)" xfId="3254"/>
    <cellStyle name="_우주센_광주평동품의1_번암견적의뢰(협력)_사우나최종" xfId="3255"/>
    <cellStyle name="_우주센_광주평동품의1_번암견적의뢰(협력)_사우나최종_사우나최종17" xfId="3256"/>
    <cellStyle name="_우주센_광주평동품의1_번암견적의뢰(협력)_사우나최종_워터파크" xfId="3257"/>
    <cellStyle name="_우주센_광주평동품의1_사우나최종" xfId="3258"/>
    <cellStyle name="_우주센_광주평동품의1_사우나최종_사우나최종17" xfId="3259"/>
    <cellStyle name="_우주센_광주평동품의1_사우나최종_워터파크" xfId="3260"/>
    <cellStyle name="_우주센_광주평동품의1_적상무주IC도로(1공구)" xfId="3261"/>
    <cellStyle name="_우주센_광주평동품의1_적상무주IC도로(1공구)_사우나최종" xfId="3262"/>
    <cellStyle name="_우주센_광주평동품의1_적상무주IC도로(1공구)_사우나최종_사우나최종17" xfId="3263"/>
    <cellStyle name="_우주센_광주평동품의1_적상무주IC도로(1공구)_사우나최종_워터파크" xfId="3264"/>
    <cellStyle name="_우주센_기장하수실행1" xfId="3265"/>
    <cellStyle name="_우주센_기장하수실행1_번암견적의뢰(협력)" xfId="3266"/>
    <cellStyle name="_우주센_기장하수실행1_번암견적의뢰(협력)_사우나최종" xfId="3267"/>
    <cellStyle name="_우주센_기장하수실행1_번암견적의뢰(협력)_사우나최종_사우나최종17" xfId="3268"/>
    <cellStyle name="_우주센_기장하수실행1_번암견적의뢰(협력)_사우나최종_워터파크" xfId="3269"/>
    <cellStyle name="_우주센_기장하수실행1_사우나최종" xfId="3270"/>
    <cellStyle name="_우주센_기장하수실행1_사우나최종_사우나최종17" xfId="3271"/>
    <cellStyle name="_우주센_기장하수실행1_사우나최종_워터파크" xfId="3272"/>
    <cellStyle name="_우주센_무안-광주2공구(협력)수정" xfId="3273"/>
    <cellStyle name="_우주센_무안-광주2공구(협력)수정_사우나최종" xfId="3274"/>
    <cellStyle name="_우주센_무안-광주2공구(협력)수정_사우나최종_사우나최종17" xfId="3275"/>
    <cellStyle name="_우주센_무안-광주2공구(협력)수정_사우나최종_워터파크" xfId="3276"/>
    <cellStyle name="_우주센_번암견적의뢰(협력)" xfId="3277"/>
    <cellStyle name="_우주센_번암견적의뢰(협력)_사우나최종" xfId="3278"/>
    <cellStyle name="_우주센_번암견적의뢰(협력)_사우나최종_사우나최종17" xfId="3279"/>
    <cellStyle name="_우주센_번암견적의뢰(협력)_사우나최종_워터파크" xfId="3280"/>
    <cellStyle name="_우주센_사우나최종" xfId="3281"/>
    <cellStyle name="_우주센_사우나최종_사우나최종17" xfId="3282"/>
    <cellStyle name="_우주센_사우나최종_워터파크" xfId="3283"/>
    <cellStyle name="_우주센_송학실행안" xfId="3284"/>
    <cellStyle name="_우주센_송학실행안_번암견적의뢰(협력)" xfId="3285"/>
    <cellStyle name="_우주센_송학실행안_번암견적의뢰(협력)_사우나최종" xfId="3286"/>
    <cellStyle name="_우주센_송학실행안_번암견적의뢰(협력)_사우나최종_사우나최종17" xfId="3287"/>
    <cellStyle name="_우주센_송학실행안_번암견적의뢰(협력)_사우나최종_워터파크" xfId="3288"/>
    <cellStyle name="_우주센_송학실행안_사우나최종" xfId="3289"/>
    <cellStyle name="_우주센_송학실행안_사우나최종_사우나최종17" xfId="3290"/>
    <cellStyle name="_우주센_송학실행안_사우나최종_워터파크" xfId="3291"/>
    <cellStyle name="_우주센_송학하수투찰" xfId="3292"/>
    <cellStyle name="_우주센_송학하수투찰_번암견적의뢰(협력)" xfId="3293"/>
    <cellStyle name="_우주센_송학하수투찰_번암견적의뢰(협력)_사우나최종" xfId="3294"/>
    <cellStyle name="_우주센_송학하수투찰_번암견적의뢰(협력)_사우나최종_사우나최종17" xfId="3295"/>
    <cellStyle name="_우주센_송학하수투찰_번암견적의뢰(협력)_사우나최종_워터파크" xfId="3296"/>
    <cellStyle name="_우주센_송학하수투찰_사우나최종" xfId="3297"/>
    <cellStyle name="_우주센_송학하수투찰_사우나최종_사우나최종17" xfId="3298"/>
    <cellStyle name="_우주센_송학하수투찰_사우나최종_워터파크" xfId="3299"/>
    <cellStyle name="_우주센_송학하수품의(설계넣고)" xfId="3300"/>
    <cellStyle name="_우주센_송학하수품의(설계넣고)_무안-광주2공구(협력)수정" xfId="3301"/>
    <cellStyle name="_우주센_송학하수품의(설계넣고)_무안-광주2공구(협력)수정_사우나최종" xfId="3302"/>
    <cellStyle name="_우주센_송학하수품의(설계넣고)_무안-광주2공구(협력)수정_사우나최종_사우나최종17" xfId="3303"/>
    <cellStyle name="_우주센_송학하수품의(설계넣고)_무안-광주2공구(협력)수정_사우나최종_워터파크" xfId="3304"/>
    <cellStyle name="_우주센_송학하수품의(설계넣고)_번암견적의뢰(협력)" xfId="3305"/>
    <cellStyle name="_우주센_송학하수품의(설계넣고)_번암견적의뢰(협력)_사우나최종" xfId="3306"/>
    <cellStyle name="_우주센_송학하수품의(설계넣고)_번암견적의뢰(협력)_사우나최종_사우나최종17" xfId="3307"/>
    <cellStyle name="_우주센_송학하수품의(설계넣고)_번암견적의뢰(협력)_사우나최종_워터파크" xfId="3308"/>
    <cellStyle name="_우주센_송학하수품의(설계넣고)_사우나최종" xfId="3309"/>
    <cellStyle name="_우주센_송학하수품의(설계넣고)_사우나최종_사우나최종17" xfId="3310"/>
    <cellStyle name="_우주센_송학하수품의(설계넣고)_사우나최종_워터파크" xfId="3311"/>
    <cellStyle name="_우주센_송학하수품의(설계넣고)_적상무주IC도로(1공구)" xfId="3312"/>
    <cellStyle name="_우주센_송학하수품의(설계넣고)_적상무주IC도로(1공구)_사우나최종" xfId="3313"/>
    <cellStyle name="_우주센_송학하수품의(설계넣고)_적상무주IC도로(1공구)_사우나최종_사우나최종17" xfId="3314"/>
    <cellStyle name="_우주센_송학하수품의(설계넣고)_적상무주IC도로(1공구)_사우나최종_워터파크" xfId="3315"/>
    <cellStyle name="_우주센_우주센터투찰" xfId="3316"/>
    <cellStyle name="_우주센_우주센터투찰_광주평동실행" xfId="3317"/>
    <cellStyle name="_우주센_우주센터투찰_광주평동실행_번암견적의뢰(협력)" xfId="3318"/>
    <cellStyle name="_우주센_우주센터투찰_광주평동실행_번암견적의뢰(협력)_사우나최종" xfId="3319"/>
    <cellStyle name="_우주센_우주센터투찰_광주평동실행_번암견적의뢰(협력)_사우나최종_사우나최종17" xfId="3320"/>
    <cellStyle name="_우주센_우주센터투찰_광주평동실행_번암견적의뢰(협력)_사우나최종_워터파크" xfId="3321"/>
    <cellStyle name="_우주센_우주센터투찰_광주평동실행_사우나최종" xfId="3322"/>
    <cellStyle name="_우주센_우주센터투찰_광주평동실행_사우나최종_사우나최종17" xfId="3323"/>
    <cellStyle name="_우주센_우주센터투찰_광주평동실행_사우나최종_워터파크" xfId="3324"/>
    <cellStyle name="_우주센_우주센터투찰_광주평동품의1" xfId="3325"/>
    <cellStyle name="_우주센_우주센터투찰_광주평동품의1_무안-광주2공구(협력)수정" xfId="3326"/>
    <cellStyle name="_우주센_우주센터투찰_광주평동품의1_무안-광주2공구(협력)수정_사우나최종" xfId="3327"/>
    <cellStyle name="_우주센_우주센터투찰_광주평동품의1_무안-광주2공구(협력)수정_사우나최종_사우나최종17" xfId="3328"/>
    <cellStyle name="_우주센_우주센터투찰_광주평동품의1_무안-광주2공구(협력)수정_사우나최종_워터파크" xfId="3329"/>
    <cellStyle name="_우주센_우주센터투찰_광주평동품의1_번암견적의뢰(협력)" xfId="3330"/>
    <cellStyle name="_우주센_우주센터투찰_광주평동품의1_번암견적의뢰(협력)_사우나최종" xfId="3331"/>
    <cellStyle name="_우주센_우주센터투찰_광주평동품의1_번암견적의뢰(협력)_사우나최종_사우나최종17" xfId="3332"/>
    <cellStyle name="_우주센_우주센터투찰_광주평동품의1_번암견적의뢰(협력)_사우나최종_워터파크" xfId="3333"/>
    <cellStyle name="_우주센_우주센터투찰_광주평동품의1_사우나최종" xfId="3334"/>
    <cellStyle name="_우주센_우주센터투찰_광주평동품의1_사우나최종_사우나최종17" xfId="3335"/>
    <cellStyle name="_우주센_우주센터투찰_광주평동품의1_사우나최종_워터파크" xfId="3336"/>
    <cellStyle name="_우주센_우주센터투찰_광주평동품의1_적상무주IC도로(1공구)" xfId="3337"/>
    <cellStyle name="_우주센_우주센터투찰_광주평동품의1_적상무주IC도로(1공구)_사우나최종" xfId="3338"/>
    <cellStyle name="_우주센_우주센터투찰_광주평동품의1_적상무주IC도로(1공구)_사우나최종_사우나최종17" xfId="3339"/>
    <cellStyle name="_우주센_우주센터투찰_광주평동품의1_적상무주IC도로(1공구)_사우나최종_워터파크" xfId="3340"/>
    <cellStyle name="_우주센_우주센터투찰_기장하수실행1" xfId="3341"/>
    <cellStyle name="_우주센_우주센터투찰_기장하수실행1_번암견적의뢰(협력)" xfId="3342"/>
    <cellStyle name="_우주센_우주센터투찰_기장하수실행1_번암견적의뢰(협력)_사우나최종" xfId="3343"/>
    <cellStyle name="_우주센_우주센터투찰_기장하수실행1_번암견적의뢰(협력)_사우나최종_사우나최종17" xfId="3344"/>
    <cellStyle name="_우주센_우주센터투찰_기장하수실행1_번암견적의뢰(협력)_사우나최종_워터파크" xfId="3345"/>
    <cellStyle name="_우주센_우주센터투찰_기장하수실행1_사우나최종" xfId="3346"/>
    <cellStyle name="_우주센_우주센터투찰_기장하수실행1_사우나최종_사우나최종17" xfId="3347"/>
    <cellStyle name="_우주센_우주센터투찰_기장하수실행1_사우나최종_워터파크" xfId="3348"/>
    <cellStyle name="_우주센_우주센터투찰_무안-광주2공구(협력)수정" xfId="3349"/>
    <cellStyle name="_우주센_우주센터투찰_무안-광주2공구(협력)수정_사우나최종" xfId="3350"/>
    <cellStyle name="_우주센_우주센터투찰_무안-광주2공구(협력)수정_사우나최종_사우나최종17" xfId="3351"/>
    <cellStyle name="_우주센_우주센터투찰_무안-광주2공구(협력)수정_사우나최종_워터파크" xfId="3352"/>
    <cellStyle name="_우주센_우주센터투찰_번암견적의뢰(협력)" xfId="3353"/>
    <cellStyle name="_우주센_우주센터투찰_번암견적의뢰(협력)_사우나최종" xfId="3354"/>
    <cellStyle name="_우주센_우주센터투찰_번암견적의뢰(협력)_사우나최종_사우나최종17" xfId="3355"/>
    <cellStyle name="_우주센_우주센터투찰_번암견적의뢰(협력)_사우나최종_워터파크" xfId="3356"/>
    <cellStyle name="_우주센_우주센터투찰_사우나최종" xfId="3357"/>
    <cellStyle name="_우주센_우주센터투찰_사우나최종_사우나최종17" xfId="3358"/>
    <cellStyle name="_우주센_우주센터투찰_사우나최종_워터파크" xfId="3359"/>
    <cellStyle name="_우주센_우주센터투찰_송학실행안" xfId="3360"/>
    <cellStyle name="_우주센_우주센터투찰_송학실행안_번암견적의뢰(협력)" xfId="3361"/>
    <cellStyle name="_우주센_우주센터투찰_송학실행안_번암견적의뢰(협력)_사우나최종" xfId="3362"/>
    <cellStyle name="_우주센_우주센터투찰_송학실행안_번암견적의뢰(협력)_사우나최종_사우나최종17" xfId="3363"/>
    <cellStyle name="_우주센_우주센터투찰_송학실행안_번암견적의뢰(협력)_사우나최종_워터파크" xfId="3364"/>
    <cellStyle name="_우주센_우주센터투찰_송학실행안_사우나최종" xfId="3365"/>
    <cellStyle name="_우주센_우주센터투찰_송학실행안_사우나최종_사우나최종17" xfId="3366"/>
    <cellStyle name="_우주센_우주센터투찰_송학실행안_사우나최종_워터파크" xfId="3367"/>
    <cellStyle name="_우주센_우주센터투찰_송학하수투찰" xfId="3368"/>
    <cellStyle name="_우주센_우주센터투찰_송학하수투찰_번암견적의뢰(협력)" xfId="3369"/>
    <cellStyle name="_우주센_우주센터투찰_송학하수투찰_번암견적의뢰(협력)_사우나최종" xfId="3370"/>
    <cellStyle name="_우주센_우주센터투찰_송학하수투찰_번암견적의뢰(협력)_사우나최종_사우나최종17" xfId="3371"/>
    <cellStyle name="_우주센_우주센터투찰_송학하수투찰_번암견적의뢰(협력)_사우나최종_워터파크" xfId="3372"/>
    <cellStyle name="_우주센_우주센터투찰_송학하수투찰_사우나최종" xfId="3373"/>
    <cellStyle name="_우주센_우주센터투찰_송학하수투찰_사우나최종_사우나최종17" xfId="3374"/>
    <cellStyle name="_우주센_우주센터투찰_송학하수투찰_사우나최종_워터파크" xfId="3375"/>
    <cellStyle name="_우주센_우주센터투찰_송학하수품의(설계넣고)" xfId="3376"/>
    <cellStyle name="_우주센_우주센터투찰_송학하수품의(설계넣고)_무안-광주2공구(협력)수정" xfId="3377"/>
    <cellStyle name="_우주센_우주센터투찰_송학하수품의(설계넣고)_무안-광주2공구(협력)수정_사우나최종" xfId="3378"/>
    <cellStyle name="_우주센_우주센터투찰_송학하수품의(설계넣고)_무안-광주2공구(협력)수정_사우나최종_사우나최종17" xfId="3379"/>
    <cellStyle name="_우주센_우주센터투찰_송학하수품의(설계넣고)_무안-광주2공구(협력)수정_사우나최종_워터파크" xfId="3380"/>
    <cellStyle name="_우주센_우주센터투찰_송학하수품의(설계넣고)_번암견적의뢰(협력)" xfId="3381"/>
    <cellStyle name="_우주센_우주센터투찰_송학하수품의(설계넣고)_번암견적의뢰(협력)_사우나최종" xfId="3382"/>
    <cellStyle name="_우주센_우주센터투찰_송학하수품의(설계넣고)_번암견적의뢰(협력)_사우나최종_사우나최종17" xfId="3383"/>
    <cellStyle name="_우주센_우주센터투찰_송학하수품의(설계넣고)_번암견적의뢰(협력)_사우나최종_워터파크" xfId="3384"/>
    <cellStyle name="_우주센_우주센터투찰_송학하수품의(설계넣고)_사우나최종" xfId="3385"/>
    <cellStyle name="_우주센_우주센터투찰_송학하수품의(설계넣고)_사우나최종_사우나최종17" xfId="3386"/>
    <cellStyle name="_우주센_우주센터투찰_송학하수품의(설계넣고)_사우나최종_워터파크" xfId="3387"/>
    <cellStyle name="_우주센_우주센터투찰_송학하수품의(설계넣고)_적상무주IC도로(1공구)" xfId="3388"/>
    <cellStyle name="_우주센_우주센터투찰_송학하수품의(설계넣고)_적상무주IC도로(1공구)_사우나최종" xfId="3389"/>
    <cellStyle name="_우주센_우주센터투찰_송학하수품의(설계넣고)_적상무주IC도로(1공구)_사우나최종_사우나최종17" xfId="3390"/>
    <cellStyle name="_우주센_우주센터투찰_송학하수품의(설계넣고)_적상무주IC도로(1공구)_사우나최종_워터파크" xfId="3391"/>
    <cellStyle name="_우주센_우주센터투찰_적상무주IC도로(1공구)" xfId="3392"/>
    <cellStyle name="_우주센_우주센터투찰_적상무주IC도로(1공구)_사우나최종" xfId="3393"/>
    <cellStyle name="_우주센_우주센터투찰_적상무주IC도로(1공구)_사우나최종_사우나최종17" xfId="3394"/>
    <cellStyle name="_우주센_우주센터투찰_적상무주IC도로(1공구)_사우나최종_워터파크" xfId="3395"/>
    <cellStyle name="_우주센_적상무주IC도로(1공구)" xfId="3396"/>
    <cellStyle name="_우주센_적상무주IC도로(1공구)_사우나최종" xfId="3397"/>
    <cellStyle name="_우주센_적상무주IC도로(1공구)_사우나최종_사우나최종17" xfId="3398"/>
    <cellStyle name="_우주센_적상무주IC도로(1공구)_사우나최종_워터파크" xfId="3399"/>
    <cellStyle name="_울산무거동 내역서" xfId="452"/>
    <cellStyle name="_원가계산보고서" xfId="453"/>
    <cellStyle name="_월성단신부임자사택신축 기계실행" xfId="454"/>
    <cellStyle name="_유첨3(서식)" xfId="455"/>
    <cellStyle name="_유첨3(서식)_1" xfId="456"/>
    <cellStyle name="_의왕연구소-실행통합" xfId="3400"/>
    <cellStyle name="_이행각서" xfId="457"/>
    <cellStyle name="_이행각서_내역분개" xfId="458"/>
    <cellStyle name="_이행각서_내역분개_내역분개" xfId="459"/>
    <cellStyle name="_인원계획표 " xfId="460"/>
    <cellStyle name="_인원계획표 _(주)KCC 아산공장 위험물창고 증축공사-200684" xfId="461"/>
    <cellStyle name="_인원계획표 _검암2차사전공사(본사검토) " xfId="3401"/>
    <cellStyle name="_인원계획표 _검암2차사전공사(본사검토) _사우나최종" xfId="3402"/>
    <cellStyle name="_인원계획표 _검암2차사전공사(본사검토) _사우나최종_사우나최종17" xfId="3403"/>
    <cellStyle name="_인원계획표 _검암2차사전공사(본사검토) _사우나최종_워터파크" xfId="3404"/>
    <cellStyle name="_인원계획표 _견적내역서(0530)" xfId="3405"/>
    <cellStyle name="_인원계획표 _견적내역서(0530)_견적내역서(0530)" xfId="3406"/>
    <cellStyle name="_인원계획표 _견적내역서(0530)_견적내역서(0530)_사우나최종" xfId="3407"/>
    <cellStyle name="_인원계획표 _견적내역서(0530)_견적내역서(0530)_사우나최종_사우나최종17" xfId="3408"/>
    <cellStyle name="_인원계획표 _견적내역서(0530)_견적내역서(0530)_사우나최종_워터파크" xfId="3409"/>
    <cellStyle name="_인원계획표 _견적내역서(0530)_사우나최종" xfId="3410"/>
    <cellStyle name="_인원계획표 _견적내역서(0530)_사우나최종_사우나최종17" xfId="3411"/>
    <cellStyle name="_인원계획표 _견적내역서(0530)_사우나최종_워터파크" xfId="3412"/>
    <cellStyle name="_인원계획표 _견적내역서(0530)_청호빌딩 가)실행(6.25)" xfId="3413"/>
    <cellStyle name="_인원계획표 _견적내역서(0530)_청호빌딩 가)실행(6.25)_사우나최종" xfId="3414"/>
    <cellStyle name="_인원계획표 _견적내역서(0530)_청호빌딩 가)실행(6.25)_사우나최종_사우나최종17" xfId="3415"/>
    <cellStyle name="_인원계획표 _견적내역서(0530)_청호빌딩 가)실행(6.25)_사우나최종_워터파크" xfId="3416"/>
    <cellStyle name="_인원계획표 _광주평동실행" xfId="3417"/>
    <cellStyle name="_인원계획표 _광주평동실행_번암견적의뢰(협력)" xfId="3418"/>
    <cellStyle name="_인원계획표 _광주평동실행_번암견적의뢰(협력)_사우나최종" xfId="3419"/>
    <cellStyle name="_인원계획표 _광주평동실행_번암견적의뢰(협력)_사우나최종_사우나최종17" xfId="3420"/>
    <cellStyle name="_인원계획표 _광주평동실행_번암견적의뢰(협력)_사우나최종_워터파크" xfId="3421"/>
    <cellStyle name="_인원계획표 _광주평동실행_사우나최종" xfId="3422"/>
    <cellStyle name="_인원계획표 _광주평동실행_사우나최종_사우나최종17" xfId="3423"/>
    <cellStyle name="_인원계획표 _광주평동실행_사우나최종_워터파크" xfId="3424"/>
    <cellStyle name="_인원계획표 _광주평동품의1" xfId="3425"/>
    <cellStyle name="_인원계획표 _광주평동품의1_무안-광주2공구(협력)수정" xfId="3426"/>
    <cellStyle name="_인원계획표 _광주평동품의1_무안-광주2공구(협력)수정_사우나최종" xfId="3427"/>
    <cellStyle name="_인원계획표 _광주평동품의1_무안-광주2공구(협력)수정_사우나최종_사우나최종17" xfId="3428"/>
    <cellStyle name="_인원계획표 _광주평동품의1_무안-광주2공구(협력)수정_사우나최종_워터파크" xfId="3429"/>
    <cellStyle name="_인원계획표 _광주평동품의1_번암견적의뢰(협력)" xfId="3430"/>
    <cellStyle name="_인원계획표 _광주평동품의1_번암견적의뢰(협력)_사우나최종" xfId="3431"/>
    <cellStyle name="_인원계획표 _광주평동품의1_번암견적의뢰(협력)_사우나최종_사우나최종17" xfId="3432"/>
    <cellStyle name="_인원계획표 _광주평동품의1_번암견적의뢰(협력)_사우나최종_워터파크" xfId="3433"/>
    <cellStyle name="_인원계획표 _광주평동품의1_사우나최종" xfId="3434"/>
    <cellStyle name="_인원계획표 _광주평동품의1_사우나최종_사우나최종17" xfId="3435"/>
    <cellStyle name="_인원계획표 _광주평동품의1_사우나최종_워터파크" xfId="3436"/>
    <cellStyle name="_인원계획표 _광주평동품의1_적상무주IC도로(1공구)" xfId="3437"/>
    <cellStyle name="_인원계획표 _광주평동품의1_적상무주IC도로(1공구)_사우나최종" xfId="3438"/>
    <cellStyle name="_인원계획표 _광주평동품의1_적상무주IC도로(1공구)_사우나최종_사우나최종17" xfId="3439"/>
    <cellStyle name="_인원계획표 _광주평동품의1_적상무주IC도로(1공구)_사우나최종_워터파크" xfId="3440"/>
    <cellStyle name="_인원계획표 _기장하수실행1" xfId="3441"/>
    <cellStyle name="_인원계획표 _기장하수실행1_번암견적의뢰(협력)" xfId="3442"/>
    <cellStyle name="_인원계획표 _기장하수실행1_번암견적의뢰(협력)_사우나최종" xfId="3443"/>
    <cellStyle name="_인원계획표 _기장하수실행1_번암견적의뢰(협력)_사우나최종_사우나최종17" xfId="3444"/>
    <cellStyle name="_인원계획표 _기장하수실행1_번암견적의뢰(협력)_사우나최종_워터파크" xfId="3445"/>
    <cellStyle name="_인원계획표 _기장하수실행1_사우나최종" xfId="3446"/>
    <cellStyle name="_인원계획표 _기장하수실행1_사우나최종_사우나최종17" xfId="3447"/>
    <cellStyle name="_인원계획표 _기장하수실행1_사우나최종_워터파크" xfId="3448"/>
    <cellStyle name="_인원계획표 _내역분개" xfId="462"/>
    <cellStyle name="_인원계획표 _내역분개_내역분개" xfId="463"/>
    <cellStyle name="_인원계획표 _담양 창평 주택시설 부지조성사업" xfId="464"/>
    <cellStyle name="_인원계획표 _무안-광주2공구(협력)수정" xfId="3449"/>
    <cellStyle name="_인원계획표 _무안-광주2공구(협력)수정_사우나최종" xfId="3450"/>
    <cellStyle name="_인원계획표 _무안-광주2공구(협력)수정_사우나최종_사우나최종17" xfId="3451"/>
    <cellStyle name="_인원계획표 _무안-광주2공구(협력)수정_사우나최종_워터파크" xfId="3452"/>
    <cellStyle name="_인원계획표 _번암견적의뢰(협력)" xfId="3453"/>
    <cellStyle name="_인원계획표 _번암견적의뢰(협력)_사우나최종" xfId="3454"/>
    <cellStyle name="_인원계획표 _번암견적의뢰(협력)_사우나최종_사우나최종17" xfId="3455"/>
    <cellStyle name="_인원계획표 _번암견적의뢰(협력)_사우나최종_워터파크" xfId="3456"/>
    <cellStyle name="_인원계획표 _사우나최종" xfId="3457"/>
    <cellStyle name="_인원계획표 _사우나최종_사우나최종17" xfId="3458"/>
    <cellStyle name="_인원계획표 _사우나최종_워터파크" xfId="3459"/>
    <cellStyle name="_인원계획표 _사전공사(토목본사검토) " xfId="3460"/>
    <cellStyle name="_인원계획표 _사전공사(토목본사검토) _사우나최종" xfId="3461"/>
    <cellStyle name="_인원계획표 _사전공사(토목본사검토) _사우나최종_사우나최종17" xfId="3462"/>
    <cellStyle name="_인원계획표 _사전공사(토목본사검토) _사우나최종_워터파크" xfId="3463"/>
    <cellStyle name="_인원계획표 _송학실행안" xfId="3464"/>
    <cellStyle name="_인원계획표 _송학실행안_번암견적의뢰(협력)" xfId="3465"/>
    <cellStyle name="_인원계획표 _송학실행안_번암견적의뢰(협력)_사우나최종" xfId="3466"/>
    <cellStyle name="_인원계획표 _송학실행안_번암견적의뢰(협력)_사우나최종_사우나최종17" xfId="3467"/>
    <cellStyle name="_인원계획표 _송학실행안_번암견적의뢰(협력)_사우나최종_워터파크" xfId="3468"/>
    <cellStyle name="_인원계획표 _송학실행안_사우나최종" xfId="3469"/>
    <cellStyle name="_인원계획표 _송학실행안_사우나최종_사우나최종17" xfId="3470"/>
    <cellStyle name="_인원계획표 _송학실행안_사우나최종_워터파크" xfId="3471"/>
    <cellStyle name="_인원계획표 _송학하수투찰" xfId="3472"/>
    <cellStyle name="_인원계획표 _송학하수투찰_번암견적의뢰(협력)" xfId="3473"/>
    <cellStyle name="_인원계획표 _송학하수투찰_번암견적의뢰(협력)_사우나최종" xfId="3474"/>
    <cellStyle name="_인원계획표 _송학하수투찰_번암견적의뢰(협력)_사우나최종_사우나최종17" xfId="3475"/>
    <cellStyle name="_인원계획표 _송학하수투찰_번암견적의뢰(협력)_사우나최종_워터파크" xfId="3476"/>
    <cellStyle name="_인원계획표 _송학하수투찰_사우나최종" xfId="3477"/>
    <cellStyle name="_인원계획표 _송학하수투찰_사우나최종_사우나최종17" xfId="3478"/>
    <cellStyle name="_인원계획표 _송학하수투찰_사우나최종_워터파크" xfId="3479"/>
    <cellStyle name="_인원계획표 _송학하수품의(설계넣고)" xfId="3480"/>
    <cellStyle name="_인원계획표 _송학하수품의(설계넣고)_무안-광주2공구(협력)수정" xfId="3481"/>
    <cellStyle name="_인원계획표 _송학하수품의(설계넣고)_무안-광주2공구(협력)수정_사우나최종" xfId="3482"/>
    <cellStyle name="_인원계획표 _송학하수품의(설계넣고)_무안-광주2공구(협력)수정_사우나최종_사우나최종17" xfId="3483"/>
    <cellStyle name="_인원계획표 _송학하수품의(설계넣고)_무안-광주2공구(협력)수정_사우나최종_워터파크" xfId="3484"/>
    <cellStyle name="_인원계획표 _송학하수품의(설계넣고)_번암견적의뢰(협력)" xfId="3485"/>
    <cellStyle name="_인원계획표 _송학하수품의(설계넣고)_번암견적의뢰(협력)_사우나최종" xfId="3486"/>
    <cellStyle name="_인원계획표 _송학하수품의(설계넣고)_번암견적의뢰(협력)_사우나최종_사우나최종17" xfId="3487"/>
    <cellStyle name="_인원계획표 _송학하수품의(설계넣고)_번암견적의뢰(협력)_사우나최종_워터파크" xfId="3488"/>
    <cellStyle name="_인원계획표 _송학하수품의(설계넣고)_사우나최종" xfId="3489"/>
    <cellStyle name="_인원계획표 _송학하수품의(설계넣고)_사우나최종_사우나최종17" xfId="3490"/>
    <cellStyle name="_인원계획표 _송학하수품의(설계넣고)_사우나최종_워터파크" xfId="3491"/>
    <cellStyle name="_인원계획표 _송학하수품의(설계넣고)_적상무주IC도로(1공구)" xfId="3492"/>
    <cellStyle name="_인원계획표 _송학하수품의(설계넣고)_적상무주IC도로(1공구)_사우나최종" xfId="3493"/>
    <cellStyle name="_인원계획표 _송학하수품의(설계넣고)_적상무주IC도로(1공구)_사우나최종_사우나최종17" xfId="3494"/>
    <cellStyle name="_인원계획표 _송학하수품의(설계넣고)_적상무주IC도로(1공구)_사우나최종_워터파크" xfId="3495"/>
    <cellStyle name="_인원계획표 _예산분류 (공구구분)" xfId="465"/>
    <cellStyle name="_인원계획표 _예산분류 (공구구분)_(주)KCC 아산공장 위험물창고 증축공사-200684" xfId="466"/>
    <cellStyle name="_인원계획표 _예산분류 (공구구분)_발산 아파트 1공구 공내역" xfId="467"/>
    <cellStyle name="_인원계획표 _예산분류 (공구구분)_발산 아파트 1공구 공내역_(주)KCC 아산공장 위험물창고 증축공사-200684" xfId="468"/>
    <cellStyle name="_인원계획표 _예산분류 (공구구분)_일반 외주 공내역서 (공구구분)" xfId="469"/>
    <cellStyle name="_인원계획표 _예산분류 (공구구분)_일반 외주 공내역서 (공구구분)_(주)KCC 아산공장 위험물창고 증축공사-200684" xfId="470"/>
    <cellStyle name="_인원계획표 _예산분류 (공구구분)_일반배관 외주발주 예산분류 (공구구분)" xfId="471"/>
    <cellStyle name="_인원계획표 _예산분류 (공구구분)_일반배관 외주발주 예산분류 (공구구분)_(주)KCC 아산공장 위험물창고 증축공사-200684" xfId="472"/>
    <cellStyle name="_인원계획표 _예산분류 (공구구분)_일반배관 외주발주 예산분류 (공구구분)-1" xfId="473"/>
    <cellStyle name="_인원계획표 _예산분류 (공구구분)_일반배관 외주발주 예산분류 (공구구분)-1_(주)KCC 아산공장 위험물창고 증축공사-200684" xfId="474"/>
    <cellStyle name="_인원계획표 _이행각서" xfId="475"/>
    <cellStyle name="_인원계획표 _이행각서_내역분개" xfId="476"/>
    <cellStyle name="_인원계획표 _이행각서_내역분개_내역분개" xfId="477"/>
    <cellStyle name="_인원계획표 _일반배관 외주발주 예산분류 (공구구분)" xfId="478"/>
    <cellStyle name="_인원계획표 _일반배관 외주발주 예산분류 (공구구분)_(주)KCC 아산공장 위험물창고 증축공사-200684" xfId="479"/>
    <cellStyle name="_인원계획표 _일반배관 외주발주 예산분류 (공구구분)_발산 아파트 1공구 공내역" xfId="480"/>
    <cellStyle name="_인원계획표 _일반배관 외주발주 예산분류 (공구구분)_발산 아파트 1공구 공내역_(주)KCC 아산공장 위험물창고 증축공사-200684" xfId="481"/>
    <cellStyle name="_인원계획표 _일반배관 외주발주 예산분류 (공구구분)_일반 외주 공내역서 (공구구분)" xfId="482"/>
    <cellStyle name="_인원계획표 _일반배관 외주발주 예산분류 (공구구분)_일반 외주 공내역서 (공구구분)_(주)KCC 아산공장 위험물창고 증축공사-200684" xfId="483"/>
    <cellStyle name="_인원계획표 _일반배관 외주발주 예산분류 (공구구분)_일반배관 외주발주 예산분류 (공구구분)" xfId="484"/>
    <cellStyle name="_인원계획표 _일반배관 외주발주 예산분류 (공구구분)_일반배관 외주발주 예산분류 (공구구분)_(주)KCC 아산공장 위험물창고 증축공사-200684" xfId="485"/>
    <cellStyle name="_인원계획표 _일반배관 외주발주 예산분류 (공구구분)_일반배관 외주발주 예산분류 (공구구분)-1" xfId="486"/>
    <cellStyle name="_인원계획표 _일반배관 외주발주 예산분류 (공구구분)_일반배관 외주발주 예산분류 (공구구분)-1_(주)KCC 아산공장 위험물창고 증축공사-200684" xfId="487"/>
    <cellStyle name="_인원계획표 _적격 " xfId="488"/>
    <cellStyle name="_인원계획표 _적격 _(주)KCC 아산공장 위험물창고 증축공사-200684" xfId="489"/>
    <cellStyle name="_인원계획표 _적격 _견적내역서(0530)" xfId="3496"/>
    <cellStyle name="_인원계획표 _적격 _견적내역서(0530)_견적내역서(0530)" xfId="3497"/>
    <cellStyle name="_인원계획표 _적격 _견적내역서(0530)_견적내역서(0530)_사우나최종" xfId="3498"/>
    <cellStyle name="_인원계획표 _적격 _견적내역서(0530)_견적내역서(0530)_사우나최종_사우나최종17" xfId="3499"/>
    <cellStyle name="_인원계획표 _적격 _견적내역서(0530)_견적내역서(0530)_사우나최종_워터파크" xfId="3500"/>
    <cellStyle name="_인원계획표 _적격 _견적내역서(0530)_사우나최종" xfId="3501"/>
    <cellStyle name="_인원계획표 _적격 _견적내역서(0530)_사우나최종_사우나최종17" xfId="3502"/>
    <cellStyle name="_인원계획표 _적격 _견적내역서(0530)_사우나최종_워터파크" xfId="3503"/>
    <cellStyle name="_인원계획표 _적격 _견적내역서(0530)_청호빌딩 가)실행(6.25)" xfId="3504"/>
    <cellStyle name="_인원계획표 _적격 _견적내역서(0530)_청호빌딩 가)실행(6.25)_사우나최종" xfId="3505"/>
    <cellStyle name="_인원계획표 _적격 _견적내역서(0530)_청호빌딩 가)실행(6.25)_사우나최종_사우나최종17" xfId="3506"/>
    <cellStyle name="_인원계획표 _적격 _견적내역서(0530)_청호빌딩 가)실행(6.25)_사우나최종_워터파크" xfId="3507"/>
    <cellStyle name="_인원계획표 _적격 _광주평동실행" xfId="3508"/>
    <cellStyle name="_인원계획표 _적격 _광주평동실행_번암견적의뢰(협력)" xfId="3509"/>
    <cellStyle name="_인원계획표 _적격 _광주평동실행_번암견적의뢰(협력)_사우나최종" xfId="3510"/>
    <cellStyle name="_인원계획표 _적격 _광주평동실행_번암견적의뢰(협력)_사우나최종_사우나최종17" xfId="3511"/>
    <cellStyle name="_인원계획표 _적격 _광주평동실행_번암견적의뢰(협력)_사우나최종_워터파크" xfId="3512"/>
    <cellStyle name="_인원계획표 _적격 _광주평동실행_사우나최종" xfId="3513"/>
    <cellStyle name="_인원계획표 _적격 _광주평동실행_사우나최종_사우나최종17" xfId="3514"/>
    <cellStyle name="_인원계획표 _적격 _광주평동실행_사우나최종_워터파크" xfId="3515"/>
    <cellStyle name="_인원계획표 _적격 _광주평동품의1" xfId="3516"/>
    <cellStyle name="_인원계획표 _적격 _광주평동품의1_무안-광주2공구(협력)수정" xfId="3517"/>
    <cellStyle name="_인원계획표 _적격 _광주평동품의1_무안-광주2공구(협력)수정_사우나최종" xfId="3518"/>
    <cellStyle name="_인원계획표 _적격 _광주평동품의1_무안-광주2공구(협력)수정_사우나최종_사우나최종17" xfId="3519"/>
    <cellStyle name="_인원계획표 _적격 _광주평동품의1_무안-광주2공구(협력)수정_사우나최종_워터파크" xfId="3520"/>
    <cellStyle name="_인원계획표 _적격 _광주평동품의1_번암견적의뢰(협력)" xfId="3521"/>
    <cellStyle name="_인원계획표 _적격 _광주평동품의1_번암견적의뢰(협력)_사우나최종" xfId="3522"/>
    <cellStyle name="_인원계획표 _적격 _광주평동품의1_번암견적의뢰(협력)_사우나최종_사우나최종17" xfId="3523"/>
    <cellStyle name="_인원계획표 _적격 _광주평동품의1_번암견적의뢰(협력)_사우나최종_워터파크" xfId="3524"/>
    <cellStyle name="_인원계획표 _적격 _광주평동품의1_사우나최종" xfId="3525"/>
    <cellStyle name="_인원계획표 _적격 _광주평동품의1_사우나최종_사우나최종17" xfId="3526"/>
    <cellStyle name="_인원계획표 _적격 _광주평동품의1_사우나최종_워터파크" xfId="3527"/>
    <cellStyle name="_인원계획표 _적격 _광주평동품의1_적상무주IC도로(1공구)" xfId="3528"/>
    <cellStyle name="_인원계획표 _적격 _광주평동품의1_적상무주IC도로(1공구)_사우나최종" xfId="3529"/>
    <cellStyle name="_인원계획표 _적격 _광주평동품의1_적상무주IC도로(1공구)_사우나최종_사우나최종17" xfId="3530"/>
    <cellStyle name="_인원계획표 _적격 _광주평동품의1_적상무주IC도로(1공구)_사우나최종_워터파크" xfId="3531"/>
    <cellStyle name="_인원계획표 _적격 _기장하수실행1" xfId="3532"/>
    <cellStyle name="_인원계획표 _적격 _기장하수실행1_번암견적의뢰(협력)" xfId="3533"/>
    <cellStyle name="_인원계획표 _적격 _기장하수실행1_번암견적의뢰(협력)_사우나최종" xfId="3534"/>
    <cellStyle name="_인원계획표 _적격 _기장하수실행1_번암견적의뢰(협력)_사우나최종_사우나최종17" xfId="3535"/>
    <cellStyle name="_인원계획표 _적격 _기장하수실행1_번암견적의뢰(협력)_사우나최종_워터파크" xfId="3536"/>
    <cellStyle name="_인원계획표 _적격 _기장하수실행1_사우나최종" xfId="3537"/>
    <cellStyle name="_인원계획표 _적격 _기장하수실행1_사우나최종_사우나최종17" xfId="3538"/>
    <cellStyle name="_인원계획표 _적격 _기장하수실행1_사우나최종_워터파크" xfId="3539"/>
    <cellStyle name="_인원계획표 _적격 _내역분개" xfId="490"/>
    <cellStyle name="_인원계획표 _적격 _내역분개_내역분개" xfId="491"/>
    <cellStyle name="_인원계획표 _적격 _담양 창평 주택시설 부지조성사업" xfId="492"/>
    <cellStyle name="_인원계획표 _적격 _무안-광주2공구(협력)수정" xfId="3540"/>
    <cellStyle name="_인원계획표 _적격 _무안-광주2공구(협력)수정_사우나최종" xfId="3541"/>
    <cellStyle name="_인원계획표 _적격 _무안-광주2공구(협력)수정_사우나최종_사우나최종17" xfId="3542"/>
    <cellStyle name="_인원계획표 _적격 _무안-광주2공구(협력)수정_사우나최종_워터파크" xfId="3543"/>
    <cellStyle name="_인원계획표 _적격 _번암견적의뢰(협력)" xfId="3544"/>
    <cellStyle name="_인원계획표 _적격 _번암견적의뢰(협력)_사우나최종" xfId="3545"/>
    <cellStyle name="_인원계획표 _적격 _번암견적의뢰(협력)_사우나최종_사우나최종17" xfId="3546"/>
    <cellStyle name="_인원계획표 _적격 _번암견적의뢰(협력)_사우나최종_워터파크" xfId="3547"/>
    <cellStyle name="_인원계획표 _적격 _사우나최종" xfId="3548"/>
    <cellStyle name="_인원계획표 _적격 _사우나최종_사우나최종17" xfId="3549"/>
    <cellStyle name="_인원계획표 _적격 _사우나최종_워터파크" xfId="3550"/>
    <cellStyle name="_인원계획표 _적격 _송학실행안" xfId="3551"/>
    <cellStyle name="_인원계획표 _적격 _송학실행안_번암견적의뢰(협력)" xfId="3552"/>
    <cellStyle name="_인원계획표 _적격 _송학실행안_번암견적의뢰(협력)_사우나최종" xfId="3553"/>
    <cellStyle name="_인원계획표 _적격 _송학실행안_번암견적의뢰(협력)_사우나최종_사우나최종17" xfId="3554"/>
    <cellStyle name="_인원계획표 _적격 _송학실행안_번암견적의뢰(협력)_사우나최종_워터파크" xfId="3555"/>
    <cellStyle name="_인원계획표 _적격 _송학실행안_사우나최종" xfId="3556"/>
    <cellStyle name="_인원계획표 _적격 _송학실행안_사우나최종_사우나최종17" xfId="3557"/>
    <cellStyle name="_인원계획표 _적격 _송학실행안_사우나최종_워터파크" xfId="3558"/>
    <cellStyle name="_인원계획표 _적격 _송학하수투찰" xfId="3559"/>
    <cellStyle name="_인원계획표 _적격 _송학하수투찰_번암견적의뢰(협력)" xfId="3560"/>
    <cellStyle name="_인원계획표 _적격 _송학하수투찰_번암견적의뢰(협력)_사우나최종" xfId="3561"/>
    <cellStyle name="_인원계획표 _적격 _송학하수투찰_번암견적의뢰(협력)_사우나최종_사우나최종17" xfId="3562"/>
    <cellStyle name="_인원계획표 _적격 _송학하수투찰_번암견적의뢰(협력)_사우나최종_워터파크" xfId="3563"/>
    <cellStyle name="_인원계획표 _적격 _송학하수투찰_사우나최종" xfId="3564"/>
    <cellStyle name="_인원계획표 _적격 _송학하수투찰_사우나최종_사우나최종17" xfId="3565"/>
    <cellStyle name="_인원계획표 _적격 _송학하수투찰_사우나최종_워터파크" xfId="3566"/>
    <cellStyle name="_인원계획표 _적격 _송학하수품의(설계넣고)" xfId="3567"/>
    <cellStyle name="_인원계획표 _적격 _송학하수품의(설계넣고)_무안-광주2공구(협력)수정" xfId="3568"/>
    <cellStyle name="_인원계획표 _적격 _송학하수품의(설계넣고)_무안-광주2공구(협력)수정_사우나최종" xfId="3569"/>
    <cellStyle name="_인원계획표 _적격 _송학하수품의(설계넣고)_무안-광주2공구(협력)수정_사우나최종_사우나최종17" xfId="3570"/>
    <cellStyle name="_인원계획표 _적격 _송학하수품의(설계넣고)_무안-광주2공구(협력)수정_사우나최종_워터파크" xfId="3571"/>
    <cellStyle name="_인원계획표 _적격 _송학하수품의(설계넣고)_번암견적의뢰(협력)" xfId="3572"/>
    <cellStyle name="_인원계획표 _적격 _송학하수품의(설계넣고)_번암견적의뢰(협력)_사우나최종" xfId="3573"/>
    <cellStyle name="_인원계획표 _적격 _송학하수품의(설계넣고)_번암견적의뢰(협력)_사우나최종_사우나최종17" xfId="3574"/>
    <cellStyle name="_인원계획표 _적격 _송학하수품의(설계넣고)_번암견적의뢰(협력)_사우나최종_워터파크" xfId="3575"/>
    <cellStyle name="_인원계획표 _적격 _송학하수품의(설계넣고)_사우나최종" xfId="3576"/>
    <cellStyle name="_인원계획표 _적격 _송학하수품의(설계넣고)_사우나최종_사우나최종17" xfId="3577"/>
    <cellStyle name="_인원계획표 _적격 _송학하수품의(설계넣고)_사우나최종_워터파크" xfId="3578"/>
    <cellStyle name="_인원계획표 _적격 _송학하수품의(설계넣고)_적상무주IC도로(1공구)" xfId="3579"/>
    <cellStyle name="_인원계획표 _적격 _송학하수품의(설계넣고)_적상무주IC도로(1공구)_사우나최종" xfId="3580"/>
    <cellStyle name="_인원계획표 _적격 _송학하수품의(설계넣고)_적상무주IC도로(1공구)_사우나최종_사우나최종17" xfId="3581"/>
    <cellStyle name="_인원계획표 _적격 _송학하수품의(설계넣고)_적상무주IC도로(1공구)_사우나최종_워터파크" xfId="3582"/>
    <cellStyle name="_인원계획표 _적격 _예산분류 (공구구분)" xfId="493"/>
    <cellStyle name="_인원계획표 _적격 _예산분류 (공구구분)_(주)KCC 아산공장 위험물창고 증축공사-200684" xfId="494"/>
    <cellStyle name="_인원계획표 _적격 _예산분류 (공구구분)_발산 아파트 1공구 공내역" xfId="495"/>
    <cellStyle name="_인원계획표 _적격 _예산분류 (공구구분)_발산 아파트 1공구 공내역_(주)KCC 아산공장 위험물창고 증축공사-200684" xfId="496"/>
    <cellStyle name="_인원계획표 _적격 _예산분류 (공구구분)_일반 외주 공내역서 (공구구분)" xfId="497"/>
    <cellStyle name="_인원계획표 _적격 _예산분류 (공구구분)_일반 외주 공내역서 (공구구분)_(주)KCC 아산공장 위험물창고 증축공사-200684" xfId="498"/>
    <cellStyle name="_인원계획표 _적격 _예산분류 (공구구분)_일반배관 외주발주 예산분류 (공구구분)" xfId="499"/>
    <cellStyle name="_인원계획표 _적격 _예산분류 (공구구분)_일반배관 외주발주 예산분류 (공구구분)_(주)KCC 아산공장 위험물창고 증축공사-200684" xfId="500"/>
    <cellStyle name="_인원계획표 _적격 _예산분류 (공구구분)_일반배관 외주발주 예산분류 (공구구분)-1" xfId="501"/>
    <cellStyle name="_인원계획표 _적격 _예산분류 (공구구분)_일반배관 외주발주 예산분류 (공구구분)-1_(주)KCC 아산공장 위험물창고 증축공사-200684" xfId="502"/>
    <cellStyle name="_인원계획표 _적격 _일반배관 외주발주 예산분류 (공구구분)" xfId="503"/>
    <cellStyle name="_인원계획표 _적격 _일반배관 외주발주 예산분류 (공구구분)_(주)KCC 아산공장 위험물창고 증축공사-200684" xfId="504"/>
    <cellStyle name="_인원계획표 _적격 _일반배관 외주발주 예산분류 (공구구분)_발산 아파트 1공구 공내역" xfId="505"/>
    <cellStyle name="_인원계획표 _적격 _일반배관 외주발주 예산분류 (공구구분)_발산 아파트 1공구 공내역_(주)KCC 아산공장 위험물창고 증축공사-200684" xfId="506"/>
    <cellStyle name="_인원계획표 _적격 _일반배관 외주발주 예산분류 (공구구분)_일반 외주 공내역서 (공구구분)" xfId="507"/>
    <cellStyle name="_인원계획표 _적격 _일반배관 외주발주 예산분류 (공구구분)_일반 외주 공내역서 (공구구분)_(주)KCC 아산공장 위험물창고 증축공사-200684" xfId="508"/>
    <cellStyle name="_인원계획표 _적격 _일반배관 외주발주 예산분류 (공구구분)_일반배관 외주발주 예산분류 (공구구분)" xfId="509"/>
    <cellStyle name="_인원계획표 _적격 _일반배관 외주발주 예산분류 (공구구분)_일반배관 외주발주 예산분류 (공구구분)_(주)KCC 아산공장 위험물창고 증축공사-200684" xfId="510"/>
    <cellStyle name="_인원계획표 _적격 _일반배관 외주발주 예산분류 (공구구분)_일반배관 외주발주 예산분류 (공구구분)-1" xfId="511"/>
    <cellStyle name="_인원계획표 _적격 _일반배관 외주발주 예산분류 (공구구분)_일반배관 외주발주 예산분류 (공구구분)-1_(주)KCC 아산공장 위험물창고 증축공사-200684" xfId="512"/>
    <cellStyle name="_인원계획표 _적격 _적상무주IC도로(1공구)" xfId="3583"/>
    <cellStyle name="_인원계획표 _적격 _적상무주IC도로(1공구)_사우나최종" xfId="3584"/>
    <cellStyle name="_인원계획표 _적격 _적상무주IC도로(1공구)_사우나최종_사우나최종17" xfId="3585"/>
    <cellStyle name="_인원계획표 _적격 _적상무주IC도로(1공구)_사우나최종_워터파크" xfId="3586"/>
    <cellStyle name="_인원계획표 _적상무주IC도로(1공구)" xfId="3587"/>
    <cellStyle name="_인원계획표 _적상무주IC도로(1공구)_사우나최종" xfId="3588"/>
    <cellStyle name="_인원계획표 _적상무주IC도로(1공구)_사우나최종_사우나최종17" xfId="3589"/>
    <cellStyle name="_인원계획표 _적상무주IC도로(1공구)_사우나최종_워터파크" xfId="3590"/>
    <cellStyle name="_인원계획표 _포기각서" xfId="513"/>
    <cellStyle name="_인원계획표 _포기각서_내역분개" xfId="514"/>
    <cellStyle name="_인원계획표 _포기각서_내역분개_내역분개" xfId="515"/>
    <cellStyle name="_인원계획표 _현설양식" xfId="516"/>
    <cellStyle name="_인원계획표 _현설양식_내역분개" xfId="517"/>
    <cellStyle name="_인원계획표 _현설양식_내역분개_내역분개" xfId="518"/>
    <cellStyle name="_인원계획표 _현장설명" xfId="519"/>
    <cellStyle name="_인원계획표 _현장설명_내역분개" xfId="520"/>
    <cellStyle name="_인원계획표 _현장설명_내역분개_내역분개" xfId="521"/>
    <cellStyle name="_인테리어 - 건축공내역(칠곡경북대병원)" xfId="522"/>
    <cellStyle name="_인테리어내역(최종)" xfId="3591"/>
    <cellStyle name="_일반배관 외주발주 예산분류 (공구구분)" xfId="523"/>
    <cellStyle name="_일반배관 외주발주 예산분류 (공구구분)_(주)KCC 아산공장 위험물창고 증축공사-200684" xfId="524"/>
    <cellStyle name="_일반배관 외주발주 예산분류 (공구구분)_발산 아파트 1공구 공내역" xfId="525"/>
    <cellStyle name="_일반배관 외주발주 예산분류 (공구구분)_발산 아파트 1공구 공내역_(주)KCC 아산공장 위험물창고 증축공사-200684" xfId="526"/>
    <cellStyle name="_일반배관 외주발주 예산분류 (공구구분)_일반 외주 공내역서 (공구구분)" xfId="527"/>
    <cellStyle name="_일반배관 외주발주 예산분류 (공구구분)_일반 외주 공내역서 (공구구분)_(주)KCC 아산공장 위험물창고 증축공사-200684" xfId="528"/>
    <cellStyle name="_일반배관 외주발주 예산분류 (공구구분)_일반배관 외주발주 예산분류 (공구구분)" xfId="529"/>
    <cellStyle name="_일반배관 외주발주 예산분류 (공구구분)_일반배관 외주발주 예산분류 (공구구분)_(주)KCC 아산공장 위험물창고 증축공사-200684" xfId="530"/>
    <cellStyle name="_일반배관 외주발주 예산분류 (공구구분)_일반배관 외주발주 예산분류 (공구구분)-1" xfId="531"/>
    <cellStyle name="_일반배관 외주발주 예산분류 (공구구분)_일반배관 외주발주 예산분류 (공구구분)-1_(주)KCC 아산공장 위험물창고 증축공사-200684" xfId="532"/>
    <cellStyle name="_일반배관 외주작성중(35%050526)-1" xfId="533"/>
    <cellStyle name="_일위대가(비목군분류)" xfId="534"/>
    <cellStyle name="_입찰금액" xfId="535"/>
    <cellStyle name="_입찰표지 " xfId="536"/>
    <cellStyle name="_입찰표지 _(주)KCC 아산공장 위험물창고 증축공사-200684" xfId="537"/>
    <cellStyle name="_입찰표지 _검암2차사전공사(본사검토) " xfId="3592"/>
    <cellStyle name="_입찰표지 _검암2차사전공사(본사검토) _사우나최종" xfId="3593"/>
    <cellStyle name="_입찰표지 _검암2차사전공사(본사검토) _사우나최종_사우나최종17" xfId="3594"/>
    <cellStyle name="_입찰표지 _검암2차사전공사(본사검토) _사우나최종_워터파크" xfId="3595"/>
    <cellStyle name="_입찰표지 _견적내역서(0530)" xfId="3596"/>
    <cellStyle name="_입찰표지 _견적내역서(0530)_견적내역서(0530)" xfId="3597"/>
    <cellStyle name="_입찰표지 _견적내역서(0530)_견적내역서(0530)_사우나최종" xfId="3598"/>
    <cellStyle name="_입찰표지 _견적내역서(0530)_견적내역서(0530)_사우나최종_사우나최종17" xfId="3599"/>
    <cellStyle name="_입찰표지 _견적내역서(0530)_견적내역서(0530)_사우나최종_워터파크" xfId="3600"/>
    <cellStyle name="_입찰표지 _견적내역서(0530)_사우나최종" xfId="3601"/>
    <cellStyle name="_입찰표지 _견적내역서(0530)_사우나최종_사우나최종17" xfId="3602"/>
    <cellStyle name="_입찰표지 _견적내역서(0530)_사우나최종_워터파크" xfId="3603"/>
    <cellStyle name="_입찰표지 _견적내역서(0530)_청호빌딩 가)실행(6.25)" xfId="3604"/>
    <cellStyle name="_입찰표지 _견적내역서(0530)_청호빌딩 가)실행(6.25)_사우나최종" xfId="3605"/>
    <cellStyle name="_입찰표지 _견적내역서(0530)_청호빌딩 가)실행(6.25)_사우나최종_사우나최종17" xfId="3606"/>
    <cellStyle name="_입찰표지 _견적내역서(0530)_청호빌딩 가)실행(6.25)_사우나최종_워터파크" xfId="3607"/>
    <cellStyle name="_입찰표지 _광주평동실행" xfId="3608"/>
    <cellStyle name="_입찰표지 _광주평동실행_번암견적의뢰(협력)" xfId="3609"/>
    <cellStyle name="_입찰표지 _광주평동실행_번암견적의뢰(협력)_사우나최종" xfId="3610"/>
    <cellStyle name="_입찰표지 _광주평동실행_번암견적의뢰(협력)_사우나최종_사우나최종17" xfId="3611"/>
    <cellStyle name="_입찰표지 _광주평동실행_번암견적의뢰(협력)_사우나최종_워터파크" xfId="3612"/>
    <cellStyle name="_입찰표지 _광주평동실행_사우나최종" xfId="3613"/>
    <cellStyle name="_입찰표지 _광주평동실행_사우나최종_사우나최종17" xfId="3614"/>
    <cellStyle name="_입찰표지 _광주평동실행_사우나최종_워터파크" xfId="3615"/>
    <cellStyle name="_입찰표지 _광주평동품의1" xfId="3616"/>
    <cellStyle name="_입찰표지 _광주평동품의1_무안-광주2공구(협력)수정" xfId="3617"/>
    <cellStyle name="_입찰표지 _광주평동품의1_무안-광주2공구(협력)수정_사우나최종" xfId="3618"/>
    <cellStyle name="_입찰표지 _광주평동품의1_무안-광주2공구(협력)수정_사우나최종_사우나최종17" xfId="3619"/>
    <cellStyle name="_입찰표지 _광주평동품의1_무안-광주2공구(협력)수정_사우나최종_워터파크" xfId="3620"/>
    <cellStyle name="_입찰표지 _광주평동품의1_번암견적의뢰(협력)" xfId="3621"/>
    <cellStyle name="_입찰표지 _광주평동품의1_번암견적의뢰(협력)_사우나최종" xfId="3622"/>
    <cellStyle name="_입찰표지 _광주평동품의1_번암견적의뢰(협력)_사우나최종_사우나최종17" xfId="3623"/>
    <cellStyle name="_입찰표지 _광주평동품의1_번암견적의뢰(협력)_사우나최종_워터파크" xfId="3624"/>
    <cellStyle name="_입찰표지 _광주평동품의1_사우나최종" xfId="3625"/>
    <cellStyle name="_입찰표지 _광주평동품의1_사우나최종_사우나최종17" xfId="3626"/>
    <cellStyle name="_입찰표지 _광주평동품의1_사우나최종_워터파크" xfId="3627"/>
    <cellStyle name="_입찰표지 _광주평동품의1_적상무주IC도로(1공구)" xfId="3628"/>
    <cellStyle name="_입찰표지 _광주평동품의1_적상무주IC도로(1공구)_사우나최종" xfId="3629"/>
    <cellStyle name="_입찰표지 _광주평동품의1_적상무주IC도로(1공구)_사우나최종_사우나최종17" xfId="3630"/>
    <cellStyle name="_입찰표지 _광주평동품의1_적상무주IC도로(1공구)_사우나최종_워터파크" xfId="3631"/>
    <cellStyle name="_입찰표지 _기장하수실행1" xfId="3632"/>
    <cellStyle name="_입찰표지 _기장하수실행1_번암견적의뢰(협력)" xfId="3633"/>
    <cellStyle name="_입찰표지 _기장하수실행1_번암견적의뢰(협력)_사우나최종" xfId="3634"/>
    <cellStyle name="_입찰표지 _기장하수실행1_번암견적의뢰(협력)_사우나최종_사우나최종17" xfId="3635"/>
    <cellStyle name="_입찰표지 _기장하수실행1_번암견적의뢰(협력)_사우나최종_워터파크" xfId="3636"/>
    <cellStyle name="_입찰표지 _기장하수실행1_사우나최종" xfId="3637"/>
    <cellStyle name="_입찰표지 _기장하수실행1_사우나최종_사우나최종17" xfId="3638"/>
    <cellStyle name="_입찰표지 _기장하수실행1_사우나최종_워터파크" xfId="3639"/>
    <cellStyle name="_입찰표지 _내역분개" xfId="538"/>
    <cellStyle name="_입찰표지 _내역분개_내역분개" xfId="539"/>
    <cellStyle name="_입찰표지 _담양 창평 주택시설 부지조성사업" xfId="540"/>
    <cellStyle name="_입찰표지 _무안-광주2공구(협력)수정" xfId="3640"/>
    <cellStyle name="_입찰표지 _무안-광주2공구(협력)수정_사우나최종" xfId="3641"/>
    <cellStyle name="_입찰표지 _무안-광주2공구(협력)수정_사우나최종_사우나최종17" xfId="3642"/>
    <cellStyle name="_입찰표지 _무안-광주2공구(협력)수정_사우나최종_워터파크" xfId="3643"/>
    <cellStyle name="_입찰표지 _번암견적의뢰(협력)" xfId="3644"/>
    <cellStyle name="_입찰표지 _번암견적의뢰(협력)_사우나최종" xfId="3645"/>
    <cellStyle name="_입찰표지 _번암견적의뢰(협력)_사우나최종_사우나최종17" xfId="3646"/>
    <cellStyle name="_입찰표지 _번암견적의뢰(협력)_사우나최종_워터파크" xfId="3647"/>
    <cellStyle name="_입찰표지 _사우나최종" xfId="3648"/>
    <cellStyle name="_입찰표지 _사우나최종_사우나최종17" xfId="3649"/>
    <cellStyle name="_입찰표지 _사우나최종_워터파크" xfId="3650"/>
    <cellStyle name="_입찰표지 _사전공사(토목본사검토) " xfId="3651"/>
    <cellStyle name="_입찰표지 _사전공사(토목본사검토) _사우나최종" xfId="3652"/>
    <cellStyle name="_입찰표지 _사전공사(토목본사검토) _사우나최종_사우나최종17" xfId="3653"/>
    <cellStyle name="_입찰표지 _사전공사(토목본사검토) _사우나최종_워터파크" xfId="3654"/>
    <cellStyle name="_입찰표지 _송학실행안" xfId="3655"/>
    <cellStyle name="_입찰표지 _송학실행안_번암견적의뢰(협력)" xfId="3656"/>
    <cellStyle name="_입찰표지 _송학실행안_번암견적의뢰(협력)_사우나최종" xfId="3657"/>
    <cellStyle name="_입찰표지 _송학실행안_번암견적의뢰(협력)_사우나최종_사우나최종17" xfId="3658"/>
    <cellStyle name="_입찰표지 _송학실행안_번암견적의뢰(협력)_사우나최종_워터파크" xfId="3659"/>
    <cellStyle name="_입찰표지 _송학실행안_사우나최종" xfId="3660"/>
    <cellStyle name="_입찰표지 _송학실행안_사우나최종_사우나최종17" xfId="3661"/>
    <cellStyle name="_입찰표지 _송학실행안_사우나최종_워터파크" xfId="3662"/>
    <cellStyle name="_입찰표지 _송학하수투찰" xfId="3663"/>
    <cellStyle name="_입찰표지 _송학하수투찰_번암견적의뢰(협력)" xfId="3664"/>
    <cellStyle name="_입찰표지 _송학하수투찰_번암견적의뢰(협력)_사우나최종" xfId="3665"/>
    <cellStyle name="_입찰표지 _송학하수투찰_번암견적의뢰(협력)_사우나최종_사우나최종17" xfId="3666"/>
    <cellStyle name="_입찰표지 _송학하수투찰_번암견적의뢰(협력)_사우나최종_워터파크" xfId="3667"/>
    <cellStyle name="_입찰표지 _송학하수투찰_사우나최종" xfId="3668"/>
    <cellStyle name="_입찰표지 _송학하수투찰_사우나최종_사우나최종17" xfId="3669"/>
    <cellStyle name="_입찰표지 _송학하수투찰_사우나최종_워터파크" xfId="3670"/>
    <cellStyle name="_입찰표지 _송학하수품의(설계넣고)" xfId="3671"/>
    <cellStyle name="_입찰표지 _송학하수품의(설계넣고)_무안-광주2공구(협력)수정" xfId="3672"/>
    <cellStyle name="_입찰표지 _송학하수품의(설계넣고)_무안-광주2공구(협력)수정_사우나최종" xfId="3673"/>
    <cellStyle name="_입찰표지 _송학하수품의(설계넣고)_무안-광주2공구(협력)수정_사우나최종_사우나최종17" xfId="3674"/>
    <cellStyle name="_입찰표지 _송학하수품의(설계넣고)_무안-광주2공구(협력)수정_사우나최종_워터파크" xfId="3675"/>
    <cellStyle name="_입찰표지 _송학하수품의(설계넣고)_번암견적의뢰(협력)" xfId="3676"/>
    <cellStyle name="_입찰표지 _송학하수품의(설계넣고)_번암견적의뢰(협력)_사우나최종" xfId="3677"/>
    <cellStyle name="_입찰표지 _송학하수품의(설계넣고)_번암견적의뢰(협력)_사우나최종_사우나최종17" xfId="3678"/>
    <cellStyle name="_입찰표지 _송학하수품의(설계넣고)_번암견적의뢰(협력)_사우나최종_워터파크" xfId="3679"/>
    <cellStyle name="_입찰표지 _송학하수품의(설계넣고)_사우나최종" xfId="3680"/>
    <cellStyle name="_입찰표지 _송학하수품의(설계넣고)_사우나최종_사우나최종17" xfId="3681"/>
    <cellStyle name="_입찰표지 _송학하수품의(설계넣고)_사우나최종_워터파크" xfId="3682"/>
    <cellStyle name="_입찰표지 _송학하수품의(설계넣고)_적상무주IC도로(1공구)" xfId="3683"/>
    <cellStyle name="_입찰표지 _송학하수품의(설계넣고)_적상무주IC도로(1공구)_사우나최종" xfId="3684"/>
    <cellStyle name="_입찰표지 _송학하수품의(설계넣고)_적상무주IC도로(1공구)_사우나최종_사우나최종17" xfId="3685"/>
    <cellStyle name="_입찰표지 _송학하수품의(설계넣고)_적상무주IC도로(1공구)_사우나최종_워터파크" xfId="3686"/>
    <cellStyle name="_입찰표지 _예산분류 (공구구분)" xfId="541"/>
    <cellStyle name="_입찰표지 _예산분류 (공구구분)_(주)KCC 아산공장 위험물창고 증축공사-200684" xfId="542"/>
    <cellStyle name="_입찰표지 _예산분류 (공구구분)_발산 아파트 1공구 공내역" xfId="543"/>
    <cellStyle name="_입찰표지 _예산분류 (공구구분)_발산 아파트 1공구 공내역_(주)KCC 아산공장 위험물창고 증축공사-200684" xfId="544"/>
    <cellStyle name="_입찰표지 _예산분류 (공구구분)_일반 외주 공내역서 (공구구분)" xfId="545"/>
    <cellStyle name="_입찰표지 _예산분류 (공구구분)_일반 외주 공내역서 (공구구분)_(주)KCC 아산공장 위험물창고 증축공사-200684" xfId="546"/>
    <cellStyle name="_입찰표지 _예산분류 (공구구분)_일반배관 외주발주 예산분류 (공구구분)" xfId="547"/>
    <cellStyle name="_입찰표지 _예산분류 (공구구분)_일반배관 외주발주 예산분류 (공구구분)_(주)KCC 아산공장 위험물창고 증축공사-200684" xfId="548"/>
    <cellStyle name="_입찰표지 _예산분류 (공구구분)_일반배관 외주발주 예산분류 (공구구분)-1" xfId="549"/>
    <cellStyle name="_입찰표지 _예산분류 (공구구분)_일반배관 외주발주 예산분류 (공구구분)-1_(주)KCC 아산공장 위험물창고 증축공사-200684" xfId="550"/>
    <cellStyle name="_입찰표지 _이행각서" xfId="551"/>
    <cellStyle name="_입찰표지 _이행각서_내역분개" xfId="552"/>
    <cellStyle name="_입찰표지 _이행각서_내역분개_내역분개" xfId="553"/>
    <cellStyle name="_입찰표지 _일반배관 외주발주 예산분류 (공구구분)" xfId="554"/>
    <cellStyle name="_입찰표지 _일반배관 외주발주 예산분류 (공구구분)_(주)KCC 아산공장 위험물창고 증축공사-200684" xfId="555"/>
    <cellStyle name="_입찰표지 _일반배관 외주발주 예산분류 (공구구분)_발산 아파트 1공구 공내역" xfId="556"/>
    <cellStyle name="_입찰표지 _일반배관 외주발주 예산분류 (공구구분)_발산 아파트 1공구 공내역_(주)KCC 아산공장 위험물창고 증축공사-200684" xfId="557"/>
    <cellStyle name="_입찰표지 _일반배관 외주발주 예산분류 (공구구분)_일반 외주 공내역서 (공구구분)" xfId="558"/>
    <cellStyle name="_입찰표지 _일반배관 외주발주 예산분류 (공구구분)_일반 외주 공내역서 (공구구분)_(주)KCC 아산공장 위험물창고 증축공사-200684" xfId="559"/>
    <cellStyle name="_입찰표지 _일반배관 외주발주 예산분류 (공구구분)_일반배관 외주발주 예산분류 (공구구분)" xfId="560"/>
    <cellStyle name="_입찰표지 _일반배관 외주발주 예산분류 (공구구분)_일반배관 외주발주 예산분류 (공구구분)_(주)KCC 아산공장 위험물창고 증축공사-200684" xfId="561"/>
    <cellStyle name="_입찰표지 _일반배관 외주발주 예산분류 (공구구분)_일반배관 외주발주 예산분류 (공구구분)-1" xfId="562"/>
    <cellStyle name="_입찰표지 _일반배관 외주발주 예산분류 (공구구분)_일반배관 외주발주 예산분류 (공구구분)-1_(주)KCC 아산공장 위험물창고 증축공사-200684" xfId="563"/>
    <cellStyle name="_입찰표지 _적상무주IC도로(1공구)" xfId="3687"/>
    <cellStyle name="_입찰표지 _적상무주IC도로(1공구)_사우나최종" xfId="3688"/>
    <cellStyle name="_입찰표지 _적상무주IC도로(1공구)_사우나최종_사우나최종17" xfId="3689"/>
    <cellStyle name="_입찰표지 _적상무주IC도로(1공구)_사우나최종_워터파크" xfId="3690"/>
    <cellStyle name="_입찰표지 _포기각서" xfId="564"/>
    <cellStyle name="_입찰표지 _포기각서_내역분개" xfId="565"/>
    <cellStyle name="_입찰표지 _포기각서_내역분개_내역분개" xfId="566"/>
    <cellStyle name="_입찰표지 _현설양식" xfId="567"/>
    <cellStyle name="_입찰표지 _현설양식_내역분개" xfId="568"/>
    <cellStyle name="_입찰표지 _현설양식_내역분개_내역분개" xfId="569"/>
    <cellStyle name="_입찰표지 _현장설명" xfId="570"/>
    <cellStyle name="_입찰표지 _현장설명_내역분개" xfId="571"/>
    <cellStyle name="_입찰표지 _현장설명_내역분개_내역분개" xfId="572"/>
    <cellStyle name="_입찰품의" xfId="573"/>
    <cellStyle name="_입찰품의(HANG LUNG)" xfId="574"/>
    <cellStyle name="_입찰품의(HANG LUNG-Rev1)" xfId="575"/>
    <cellStyle name="_입찰품의(KIL)" xfId="576"/>
    <cellStyle name="_작업내역(전기,통신)" xfId="577"/>
    <cellStyle name="_적격 " xfId="578"/>
    <cellStyle name="_적격 _(주)KCC 아산공장 위험물창고 증축공사-200684" xfId="579"/>
    <cellStyle name="_적격 _견적내역서(0530)" xfId="3691"/>
    <cellStyle name="_적격 _견적내역서(0530)_견적내역서(0530)" xfId="3692"/>
    <cellStyle name="_적격 _견적내역서(0530)_견적내역서(0530)_사우나최종" xfId="3693"/>
    <cellStyle name="_적격 _견적내역서(0530)_견적내역서(0530)_사우나최종_사우나최종17" xfId="3694"/>
    <cellStyle name="_적격 _견적내역서(0530)_견적내역서(0530)_사우나최종_워터파크" xfId="3695"/>
    <cellStyle name="_적격 _견적내역서(0530)_사우나최종" xfId="3696"/>
    <cellStyle name="_적격 _견적내역서(0530)_사우나최종_사우나최종17" xfId="3697"/>
    <cellStyle name="_적격 _견적내역서(0530)_사우나최종_워터파크" xfId="3698"/>
    <cellStyle name="_적격 _견적내역서(0530)_청호빌딩 가)실행(6.25)" xfId="3699"/>
    <cellStyle name="_적격 _견적내역서(0530)_청호빌딩 가)실행(6.25)_사우나최종" xfId="3700"/>
    <cellStyle name="_적격 _견적내역서(0530)_청호빌딩 가)실행(6.25)_사우나최종_사우나최종17" xfId="3701"/>
    <cellStyle name="_적격 _견적내역서(0530)_청호빌딩 가)실행(6.25)_사우나최종_워터파크" xfId="3702"/>
    <cellStyle name="_적격 _광주평동실행" xfId="3703"/>
    <cellStyle name="_적격 _광주평동실행_번암견적의뢰(협력)" xfId="3704"/>
    <cellStyle name="_적격 _광주평동실행_번암견적의뢰(협력)_사우나최종" xfId="3705"/>
    <cellStyle name="_적격 _광주평동실행_번암견적의뢰(협력)_사우나최종_사우나최종17" xfId="3706"/>
    <cellStyle name="_적격 _광주평동실행_번암견적의뢰(협력)_사우나최종_워터파크" xfId="3707"/>
    <cellStyle name="_적격 _광주평동실행_사우나최종" xfId="3708"/>
    <cellStyle name="_적격 _광주평동실행_사우나최종_사우나최종17" xfId="3709"/>
    <cellStyle name="_적격 _광주평동실행_사우나최종_워터파크" xfId="3710"/>
    <cellStyle name="_적격 _광주평동품의1" xfId="3711"/>
    <cellStyle name="_적격 _광주평동품의1_무안-광주2공구(협력)수정" xfId="3712"/>
    <cellStyle name="_적격 _광주평동품의1_무안-광주2공구(협력)수정_사우나최종" xfId="3713"/>
    <cellStyle name="_적격 _광주평동품의1_무안-광주2공구(협력)수정_사우나최종_사우나최종17" xfId="3714"/>
    <cellStyle name="_적격 _광주평동품의1_무안-광주2공구(협력)수정_사우나최종_워터파크" xfId="3715"/>
    <cellStyle name="_적격 _광주평동품의1_번암견적의뢰(협력)" xfId="3716"/>
    <cellStyle name="_적격 _광주평동품의1_번암견적의뢰(협력)_사우나최종" xfId="3717"/>
    <cellStyle name="_적격 _광주평동품의1_번암견적의뢰(협력)_사우나최종_사우나최종17" xfId="3718"/>
    <cellStyle name="_적격 _광주평동품의1_번암견적의뢰(협력)_사우나최종_워터파크" xfId="3719"/>
    <cellStyle name="_적격 _광주평동품의1_사우나최종" xfId="3720"/>
    <cellStyle name="_적격 _광주평동품의1_사우나최종_사우나최종17" xfId="3721"/>
    <cellStyle name="_적격 _광주평동품의1_사우나최종_워터파크" xfId="3722"/>
    <cellStyle name="_적격 _광주평동품의1_적상무주IC도로(1공구)" xfId="3723"/>
    <cellStyle name="_적격 _광주평동품의1_적상무주IC도로(1공구)_사우나최종" xfId="3724"/>
    <cellStyle name="_적격 _광주평동품의1_적상무주IC도로(1공구)_사우나최종_사우나최종17" xfId="3725"/>
    <cellStyle name="_적격 _광주평동품의1_적상무주IC도로(1공구)_사우나최종_워터파크" xfId="3726"/>
    <cellStyle name="_적격 _기장하수실행1" xfId="3727"/>
    <cellStyle name="_적격 _기장하수실행1_번암견적의뢰(협력)" xfId="3728"/>
    <cellStyle name="_적격 _기장하수실행1_번암견적의뢰(협력)_사우나최종" xfId="3729"/>
    <cellStyle name="_적격 _기장하수실행1_번암견적의뢰(협력)_사우나최종_사우나최종17" xfId="3730"/>
    <cellStyle name="_적격 _기장하수실행1_번암견적의뢰(협력)_사우나최종_워터파크" xfId="3731"/>
    <cellStyle name="_적격 _기장하수실행1_사우나최종" xfId="3732"/>
    <cellStyle name="_적격 _기장하수실행1_사우나최종_사우나최종17" xfId="3733"/>
    <cellStyle name="_적격 _기장하수실행1_사우나최종_워터파크" xfId="3734"/>
    <cellStyle name="_적격 _내역분개" xfId="580"/>
    <cellStyle name="_적격 _내역분개_내역분개" xfId="581"/>
    <cellStyle name="_적격 _담양 창평 주택시설 부지조성사업" xfId="582"/>
    <cellStyle name="_적격 _무안-광주2공구(협력)수정" xfId="3735"/>
    <cellStyle name="_적격 _무안-광주2공구(협력)수정_사우나최종" xfId="3736"/>
    <cellStyle name="_적격 _무안-광주2공구(협력)수정_사우나최종_사우나최종17" xfId="3737"/>
    <cellStyle name="_적격 _무안-광주2공구(협력)수정_사우나최종_워터파크" xfId="3738"/>
    <cellStyle name="_적격 _번암견적의뢰(협력)" xfId="3739"/>
    <cellStyle name="_적격 _번암견적의뢰(협력)_사우나최종" xfId="3740"/>
    <cellStyle name="_적격 _번암견적의뢰(협력)_사우나최종_사우나최종17" xfId="3741"/>
    <cellStyle name="_적격 _번암견적의뢰(협력)_사우나최종_워터파크" xfId="3742"/>
    <cellStyle name="_적격 _사우나최종" xfId="3743"/>
    <cellStyle name="_적격 _사우나최종_사우나최종17" xfId="3744"/>
    <cellStyle name="_적격 _사우나최종_워터파크" xfId="3745"/>
    <cellStyle name="_적격 _송학실행안" xfId="3746"/>
    <cellStyle name="_적격 _송학실행안_번암견적의뢰(협력)" xfId="3747"/>
    <cellStyle name="_적격 _송학실행안_번암견적의뢰(협력)_사우나최종" xfId="3748"/>
    <cellStyle name="_적격 _송학실행안_번암견적의뢰(협력)_사우나최종_사우나최종17" xfId="3749"/>
    <cellStyle name="_적격 _송학실행안_번암견적의뢰(협력)_사우나최종_워터파크" xfId="3750"/>
    <cellStyle name="_적격 _송학실행안_사우나최종" xfId="3751"/>
    <cellStyle name="_적격 _송학실행안_사우나최종_사우나최종17" xfId="3752"/>
    <cellStyle name="_적격 _송학실행안_사우나최종_워터파크" xfId="3753"/>
    <cellStyle name="_적격 _송학하수투찰" xfId="3754"/>
    <cellStyle name="_적격 _송학하수투찰_번암견적의뢰(협력)" xfId="3755"/>
    <cellStyle name="_적격 _송학하수투찰_번암견적의뢰(협력)_사우나최종" xfId="3756"/>
    <cellStyle name="_적격 _송학하수투찰_번암견적의뢰(협력)_사우나최종_사우나최종17" xfId="3757"/>
    <cellStyle name="_적격 _송학하수투찰_번암견적의뢰(협력)_사우나최종_워터파크" xfId="3758"/>
    <cellStyle name="_적격 _송학하수투찰_사우나최종" xfId="3759"/>
    <cellStyle name="_적격 _송학하수투찰_사우나최종_사우나최종17" xfId="3760"/>
    <cellStyle name="_적격 _송학하수투찰_사우나최종_워터파크" xfId="3761"/>
    <cellStyle name="_적격 _송학하수품의(설계넣고)" xfId="3762"/>
    <cellStyle name="_적격 _송학하수품의(설계넣고)_무안-광주2공구(협력)수정" xfId="3763"/>
    <cellStyle name="_적격 _송학하수품의(설계넣고)_무안-광주2공구(협력)수정_사우나최종" xfId="3764"/>
    <cellStyle name="_적격 _송학하수품의(설계넣고)_무안-광주2공구(협력)수정_사우나최종_사우나최종17" xfId="3765"/>
    <cellStyle name="_적격 _송학하수품의(설계넣고)_무안-광주2공구(협력)수정_사우나최종_워터파크" xfId="3766"/>
    <cellStyle name="_적격 _송학하수품의(설계넣고)_번암견적의뢰(협력)" xfId="3767"/>
    <cellStyle name="_적격 _송학하수품의(설계넣고)_번암견적의뢰(협력)_사우나최종" xfId="3768"/>
    <cellStyle name="_적격 _송학하수품의(설계넣고)_번암견적의뢰(협력)_사우나최종_사우나최종17" xfId="3769"/>
    <cellStyle name="_적격 _송학하수품의(설계넣고)_번암견적의뢰(협력)_사우나최종_워터파크" xfId="3770"/>
    <cellStyle name="_적격 _송학하수품의(설계넣고)_사우나최종" xfId="3771"/>
    <cellStyle name="_적격 _송학하수품의(설계넣고)_사우나최종_사우나최종17" xfId="3772"/>
    <cellStyle name="_적격 _송학하수품의(설계넣고)_사우나최종_워터파크" xfId="3773"/>
    <cellStyle name="_적격 _송학하수품의(설계넣고)_적상무주IC도로(1공구)" xfId="3774"/>
    <cellStyle name="_적격 _송학하수품의(설계넣고)_적상무주IC도로(1공구)_사우나최종" xfId="3775"/>
    <cellStyle name="_적격 _송학하수품의(설계넣고)_적상무주IC도로(1공구)_사우나최종_사우나최종17" xfId="3776"/>
    <cellStyle name="_적격 _송학하수품의(설계넣고)_적상무주IC도로(1공구)_사우나최종_워터파크" xfId="3777"/>
    <cellStyle name="_적격 _예산분류 (공구구분)" xfId="583"/>
    <cellStyle name="_적격 _예산분류 (공구구분)_(주)KCC 아산공장 위험물창고 증축공사-200684" xfId="584"/>
    <cellStyle name="_적격 _예산분류 (공구구분)_발산 아파트 1공구 공내역" xfId="585"/>
    <cellStyle name="_적격 _예산분류 (공구구분)_발산 아파트 1공구 공내역_(주)KCC 아산공장 위험물창고 증축공사-200684" xfId="586"/>
    <cellStyle name="_적격 _예산분류 (공구구분)_일반 외주 공내역서 (공구구분)" xfId="587"/>
    <cellStyle name="_적격 _예산분류 (공구구분)_일반 외주 공내역서 (공구구분)_(주)KCC 아산공장 위험물창고 증축공사-200684" xfId="588"/>
    <cellStyle name="_적격 _예산분류 (공구구분)_일반배관 외주발주 예산분류 (공구구분)" xfId="589"/>
    <cellStyle name="_적격 _예산분류 (공구구분)_일반배관 외주발주 예산분류 (공구구분)_(주)KCC 아산공장 위험물창고 증축공사-200684" xfId="590"/>
    <cellStyle name="_적격 _예산분류 (공구구분)_일반배관 외주발주 예산분류 (공구구분)-1" xfId="591"/>
    <cellStyle name="_적격 _예산분류 (공구구분)_일반배관 외주발주 예산분류 (공구구분)-1_(주)KCC 아산공장 위험물창고 증축공사-200684" xfId="592"/>
    <cellStyle name="_적격 _일반배관 외주발주 예산분류 (공구구분)" xfId="593"/>
    <cellStyle name="_적격 _일반배관 외주발주 예산분류 (공구구분)_(주)KCC 아산공장 위험물창고 증축공사-200684" xfId="594"/>
    <cellStyle name="_적격 _일반배관 외주발주 예산분류 (공구구분)_발산 아파트 1공구 공내역" xfId="595"/>
    <cellStyle name="_적격 _일반배관 외주발주 예산분류 (공구구분)_발산 아파트 1공구 공내역_(주)KCC 아산공장 위험물창고 증축공사-200684" xfId="596"/>
    <cellStyle name="_적격 _일반배관 외주발주 예산분류 (공구구분)_일반 외주 공내역서 (공구구분)" xfId="597"/>
    <cellStyle name="_적격 _일반배관 외주발주 예산분류 (공구구분)_일반 외주 공내역서 (공구구분)_(주)KCC 아산공장 위험물창고 증축공사-200684" xfId="598"/>
    <cellStyle name="_적격 _일반배관 외주발주 예산분류 (공구구분)_일반배관 외주발주 예산분류 (공구구분)" xfId="599"/>
    <cellStyle name="_적격 _일반배관 외주발주 예산분류 (공구구분)_일반배관 외주발주 예산분류 (공구구분)_(주)KCC 아산공장 위험물창고 증축공사-200684" xfId="600"/>
    <cellStyle name="_적격 _일반배관 외주발주 예산분류 (공구구분)_일반배관 외주발주 예산분류 (공구구분)-1" xfId="601"/>
    <cellStyle name="_적격 _일반배관 외주발주 예산분류 (공구구분)_일반배관 외주발주 예산분류 (공구구분)-1_(주)KCC 아산공장 위험물창고 증축공사-200684" xfId="602"/>
    <cellStyle name="_적격 _적상무주IC도로(1공구)" xfId="3778"/>
    <cellStyle name="_적격 _적상무주IC도로(1공구)_사우나최종" xfId="3779"/>
    <cellStyle name="_적격 _적상무주IC도로(1공구)_사우나최종_사우나최종17" xfId="3780"/>
    <cellStyle name="_적격 _적상무주IC도로(1공구)_사우나최종_워터파크" xfId="3781"/>
    <cellStyle name="_적격 _집행갑지 " xfId="603"/>
    <cellStyle name="_적격 _집행갑지 _(주)KCC 아산공장 위험물창고 증축공사-200684" xfId="604"/>
    <cellStyle name="_적격 _집행갑지 _광주평동실행" xfId="3782"/>
    <cellStyle name="_적격 _집행갑지 _광주평동실행_번암견적의뢰(협력)" xfId="3783"/>
    <cellStyle name="_적격 _집행갑지 _광주평동실행_번암견적의뢰(협력)_사우나최종" xfId="3784"/>
    <cellStyle name="_적격 _집행갑지 _광주평동실행_번암견적의뢰(협력)_사우나최종_사우나최종17" xfId="3785"/>
    <cellStyle name="_적격 _집행갑지 _광주평동실행_번암견적의뢰(협력)_사우나최종_워터파크" xfId="3786"/>
    <cellStyle name="_적격 _집행갑지 _광주평동실행_사우나최종" xfId="3787"/>
    <cellStyle name="_적격 _집행갑지 _광주평동실행_사우나최종_사우나최종17" xfId="3788"/>
    <cellStyle name="_적격 _집행갑지 _광주평동실행_사우나최종_워터파크" xfId="3789"/>
    <cellStyle name="_적격 _집행갑지 _광주평동품의1" xfId="3790"/>
    <cellStyle name="_적격 _집행갑지 _광주평동품의1_무안-광주2공구(협력)수정" xfId="3791"/>
    <cellStyle name="_적격 _집행갑지 _광주평동품의1_무안-광주2공구(협력)수정_사우나최종" xfId="3792"/>
    <cellStyle name="_적격 _집행갑지 _광주평동품의1_무안-광주2공구(협력)수정_사우나최종_사우나최종17" xfId="3793"/>
    <cellStyle name="_적격 _집행갑지 _광주평동품의1_무안-광주2공구(협력)수정_사우나최종_워터파크" xfId="3794"/>
    <cellStyle name="_적격 _집행갑지 _광주평동품의1_번암견적의뢰(협력)" xfId="3795"/>
    <cellStyle name="_적격 _집행갑지 _광주평동품의1_번암견적의뢰(협력)_사우나최종" xfId="3796"/>
    <cellStyle name="_적격 _집행갑지 _광주평동품의1_번암견적의뢰(협력)_사우나최종_사우나최종17" xfId="3797"/>
    <cellStyle name="_적격 _집행갑지 _광주평동품의1_번암견적의뢰(협력)_사우나최종_워터파크" xfId="3798"/>
    <cellStyle name="_적격 _집행갑지 _광주평동품의1_사우나최종" xfId="3799"/>
    <cellStyle name="_적격 _집행갑지 _광주평동품의1_사우나최종_사우나최종17" xfId="3800"/>
    <cellStyle name="_적격 _집행갑지 _광주평동품의1_사우나최종_워터파크" xfId="3801"/>
    <cellStyle name="_적격 _집행갑지 _광주평동품의1_적상무주IC도로(1공구)" xfId="3802"/>
    <cellStyle name="_적격 _집행갑지 _광주평동품의1_적상무주IC도로(1공구)_사우나최종" xfId="3803"/>
    <cellStyle name="_적격 _집행갑지 _광주평동품의1_적상무주IC도로(1공구)_사우나최종_사우나최종17" xfId="3804"/>
    <cellStyle name="_적격 _집행갑지 _광주평동품의1_적상무주IC도로(1공구)_사우나최종_워터파크" xfId="3805"/>
    <cellStyle name="_적격 _집행갑지 _기장하수실행1" xfId="3806"/>
    <cellStyle name="_적격 _집행갑지 _기장하수실행1_번암견적의뢰(협력)" xfId="3807"/>
    <cellStyle name="_적격 _집행갑지 _기장하수실행1_번암견적의뢰(협력)_사우나최종" xfId="3808"/>
    <cellStyle name="_적격 _집행갑지 _기장하수실행1_번암견적의뢰(협력)_사우나최종_사우나최종17" xfId="3809"/>
    <cellStyle name="_적격 _집행갑지 _기장하수실행1_번암견적의뢰(협력)_사우나최종_워터파크" xfId="3810"/>
    <cellStyle name="_적격 _집행갑지 _기장하수실행1_사우나최종" xfId="3811"/>
    <cellStyle name="_적격 _집행갑지 _기장하수실행1_사우나최종_사우나최종17" xfId="3812"/>
    <cellStyle name="_적격 _집행갑지 _기장하수실행1_사우나최종_워터파크" xfId="3813"/>
    <cellStyle name="_적격 _집행갑지 _내역분개" xfId="605"/>
    <cellStyle name="_적격 _집행갑지 _내역분개_내역분개" xfId="606"/>
    <cellStyle name="_적격 _집행갑지 _담양 창평 주택시설 부지조성사업" xfId="607"/>
    <cellStyle name="_적격 _집행갑지 _무안-광주2공구(협력)수정" xfId="3814"/>
    <cellStyle name="_적격 _집행갑지 _무안-광주2공구(협력)수정_사우나최종" xfId="3815"/>
    <cellStyle name="_적격 _집행갑지 _무안-광주2공구(협력)수정_사우나최종_사우나최종17" xfId="3816"/>
    <cellStyle name="_적격 _집행갑지 _무안-광주2공구(협력)수정_사우나최종_워터파크" xfId="3817"/>
    <cellStyle name="_적격 _집행갑지 _번암견적의뢰(협력)" xfId="3818"/>
    <cellStyle name="_적격 _집행갑지 _번암견적의뢰(협력)_사우나최종" xfId="3819"/>
    <cellStyle name="_적격 _집행갑지 _번암견적의뢰(협력)_사우나최종_사우나최종17" xfId="3820"/>
    <cellStyle name="_적격 _집행갑지 _번암견적의뢰(협력)_사우나최종_워터파크" xfId="3821"/>
    <cellStyle name="_적격 _집행갑지 _사우나최종" xfId="3822"/>
    <cellStyle name="_적격 _집행갑지 _사우나최종_사우나최종17" xfId="3823"/>
    <cellStyle name="_적격 _집행갑지 _사우나최종_워터파크" xfId="3824"/>
    <cellStyle name="_적격 _집행갑지 _송학실행안" xfId="3825"/>
    <cellStyle name="_적격 _집행갑지 _송학실행안_번암견적의뢰(협력)" xfId="3826"/>
    <cellStyle name="_적격 _집행갑지 _송학실행안_번암견적의뢰(협력)_사우나최종" xfId="3827"/>
    <cellStyle name="_적격 _집행갑지 _송학실행안_번암견적의뢰(협력)_사우나최종_사우나최종17" xfId="3828"/>
    <cellStyle name="_적격 _집행갑지 _송학실행안_번암견적의뢰(협력)_사우나최종_워터파크" xfId="3829"/>
    <cellStyle name="_적격 _집행갑지 _송학실행안_사우나최종" xfId="3830"/>
    <cellStyle name="_적격 _집행갑지 _송학실행안_사우나최종_사우나최종17" xfId="3831"/>
    <cellStyle name="_적격 _집행갑지 _송학실행안_사우나최종_워터파크" xfId="3832"/>
    <cellStyle name="_적격 _집행갑지 _송학하수투찰" xfId="3833"/>
    <cellStyle name="_적격 _집행갑지 _송학하수투찰_번암견적의뢰(협력)" xfId="3834"/>
    <cellStyle name="_적격 _집행갑지 _송학하수투찰_번암견적의뢰(협력)_사우나최종" xfId="3835"/>
    <cellStyle name="_적격 _집행갑지 _송학하수투찰_번암견적의뢰(협력)_사우나최종_사우나최종17" xfId="3836"/>
    <cellStyle name="_적격 _집행갑지 _송학하수투찰_번암견적의뢰(협력)_사우나최종_워터파크" xfId="3837"/>
    <cellStyle name="_적격 _집행갑지 _송학하수투찰_사우나최종" xfId="3838"/>
    <cellStyle name="_적격 _집행갑지 _송학하수투찰_사우나최종_사우나최종17" xfId="3839"/>
    <cellStyle name="_적격 _집행갑지 _송학하수투찰_사우나최종_워터파크" xfId="3840"/>
    <cellStyle name="_적격 _집행갑지 _송학하수품의(설계넣고)" xfId="3841"/>
    <cellStyle name="_적격 _집행갑지 _송학하수품의(설계넣고)_무안-광주2공구(협력)수정" xfId="3842"/>
    <cellStyle name="_적격 _집행갑지 _송학하수품의(설계넣고)_무안-광주2공구(협력)수정_사우나최종" xfId="3843"/>
    <cellStyle name="_적격 _집행갑지 _송학하수품의(설계넣고)_무안-광주2공구(협력)수정_사우나최종_사우나최종17" xfId="3844"/>
    <cellStyle name="_적격 _집행갑지 _송학하수품의(설계넣고)_무안-광주2공구(협력)수정_사우나최종_워터파크" xfId="3845"/>
    <cellStyle name="_적격 _집행갑지 _송학하수품의(설계넣고)_번암견적의뢰(협력)" xfId="3846"/>
    <cellStyle name="_적격 _집행갑지 _송학하수품의(설계넣고)_번암견적의뢰(협력)_사우나최종" xfId="3847"/>
    <cellStyle name="_적격 _집행갑지 _송학하수품의(설계넣고)_번암견적의뢰(협력)_사우나최종_사우나최종17" xfId="3848"/>
    <cellStyle name="_적격 _집행갑지 _송학하수품의(설계넣고)_번암견적의뢰(협력)_사우나최종_워터파크" xfId="3849"/>
    <cellStyle name="_적격 _집행갑지 _송학하수품의(설계넣고)_사우나최종" xfId="3850"/>
    <cellStyle name="_적격 _집행갑지 _송학하수품의(설계넣고)_사우나최종_사우나최종17" xfId="3851"/>
    <cellStyle name="_적격 _집행갑지 _송학하수품의(설계넣고)_사우나최종_워터파크" xfId="3852"/>
    <cellStyle name="_적격 _집행갑지 _송학하수품의(설계넣고)_적상무주IC도로(1공구)" xfId="3853"/>
    <cellStyle name="_적격 _집행갑지 _송학하수품의(설계넣고)_적상무주IC도로(1공구)_사우나최종" xfId="3854"/>
    <cellStyle name="_적격 _집행갑지 _송학하수품의(설계넣고)_적상무주IC도로(1공구)_사우나최종_사우나최종17" xfId="3855"/>
    <cellStyle name="_적격 _집행갑지 _송학하수품의(설계넣고)_적상무주IC도로(1공구)_사우나최종_워터파크" xfId="3856"/>
    <cellStyle name="_적격 _집행갑지 _예산분류 (공구구분)" xfId="608"/>
    <cellStyle name="_적격 _집행갑지 _예산분류 (공구구분)_(주)KCC 아산공장 위험물창고 증축공사-200684" xfId="609"/>
    <cellStyle name="_적격 _집행갑지 _예산분류 (공구구분)_발산 아파트 1공구 공내역" xfId="610"/>
    <cellStyle name="_적격 _집행갑지 _예산분류 (공구구분)_발산 아파트 1공구 공내역_(주)KCC 아산공장 위험물창고 증축공사-200684" xfId="611"/>
    <cellStyle name="_적격 _집행갑지 _예산분류 (공구구분)_일반 외주 공내역서 (공구구분)" xfId="612"/>
    <cellStyle name="_적격 _집행갑지 _예산분류 (공구구분)_일반 외주 공내역서 (공구구분)_(주)KCC 아산공장 위험물창고 증축공사-200684" xfId="613"/>
    <cellStyle name="_적격 _집행갑지 _예산분류 (공구구분)_일반배관 외주발주 예산분류 (공구구분)" xfId="614"/>
    <cellStyle name="_적격 _집행갑지 _예산분류 (공구구분)_일반배관 외주발주 예산분류 (공구구분)_(주)KCC 아산공장 위험물창고 증축공사-200684" xfId="615"/>
    <cellStyle name="_적격 _집행갑지 _예산분류 (공구구분)_일반배관 외주발주 예산분류 (공구구분)-1" xfId="616"/>
    <cellStyle name="_적격 _집행갑지 _예산분류 (공구구분)_일반배관 외주발주 예산분류 (공구구분)-1_(주)KCC 아산공장 위험물창고 증축공사-200684" xfId="617"/>
    <cellStyle name="_적격 _집행갑지 _일반배관 외주발주 예산분류 (공구구분)" xfId="618"/>
    <cellStyle name="_적격 _집행갑지 _일반배관 외주발주 예산분류 (공구구분)_(주)KCC 아산공장 위험물창고 증축공사-200684" xfId="619"/>
    <cellStyle name="_적격 _집행갑지 _일반배관 외주발주 예산분류 (공구구분)_발산 아파트 1공구 공내역" xfId="620"/>
    <cellStyle name="_적격 _집행갑지 _일반배관 외주발주 예산분류 (공구구분)_발산 아파트 1공구 공내역_(주)KCC 아산공장 위험물창고 증축공사-200684" xfId="621"/>
    <cellStyle name="_적격 _집행갑지 _일반배관 외주발주 예산분류 (공구구분)_일반 외주 공내역서 (공구구분)" xfId="622"/>
    <cellStyle name="_적격 _집행갑지 _일반배관 외주발주 예산분류 (공구구분)_일반 외주 공내역서 (공구구분)_(주)KCC 아산공장 위험물창고 증축공사-200684" xfId="623"/>
    <cellStyle name="_적격 _집행갑지 _일반배관 외주발주 예산분류 (공구구분)_일반배관 외주발주 예산분류 (공구구분)" xfId="624"/>
    <cellStyle name="_적격 _집행갑지 _일반배관 외주발주 예산분류 (공구구분)_일반배관 외주발주 예산분류 (공구구분)_(주)KCC 아산공장 위험물창고 증축공사-200684" xfId="625"/>
    <cellStyle name="_적격 _집행갑지 _일반배관 외주발주 예산분류 (공구구분)_일반배관 외주발주 예산분류 (공구구분)-1" xfId="626"/>
    <cellStyle name="_적격 _집행갑지 _일반배관 외주발주 예산분류 (공구구분)_일반배관 외주발주 예산분류 (공구구분)-1_(주)KCC 아산공장 위험물창고 증축공사-200684" xfId="627"/>
    <cellStyle name="_적격 _집행갑지 _적상무주IC도로(1공구)" xfId="3857"/>
    <cellStyle name="_적격 _집행갑지 _적상무주IC도로(1공구)_사우나최종" xfId="3858"/>
    <cellStyle name="_적격 _집행갑지 _적상무주IC도로(1공구)_사우나최종_사우나최종17" xfId="3859"/>
    <cellStyle name="_적격 _집행갑지 _적상무주IC도로(1공구)_사우나최종_워터파크" xfId="3860"/>
    <cellStyle name="_적격(화산) " xfId="628"/>
    <cellStyle name="_적격(화산) _(주)KCC 아산공장 위험물창고 증축공사-200684" xfId="629"/>
    <cellStyle name="_적격(화산) _검암2차사전공사(본사검토) " xfId="3861"/>
    <cellStyle name="_적격(화산) _검암2차사전공사(본사검토) _사우나최종" xfId="3862"/>
    <cellStyle name="_적격(화산) _검암2차사전공사(본사검토) _사우나최종_사우나최종17" xfId="3863"/>
    <cellStyle name="_적격(화산) _검암2차사전공사(본사검토) _사우나최종_워터파크" xfId="3864"/>
    <cellStyle name="_적격(화산) _견적내역서(0530)" xfId="3865"/>
    <cellStyle name="_적격(화산) _견적내역서(0530)_견적내역서(0530)" xfId="3866"/>
    <cellStyle name="_적격(화산) _견적내역서(0530)_견적내역서(0530)_사우나최종" xfId="3867"/>
    <cellStyle name="_적격(화산) _견적내역서(0530)_견적내역서(0530)_사우나최종_사우나최종17" xfId="3868"/>
    <cellStyle name="_적격(화산) _견적내역서(0530)_견적내역서(0530)_사우나최종_워터파크" xfId="3869"/>
    <cellStyle name="_적격(화산) _견적내역서(0530)_사우나최종" xfId="3870"/>
    <cellStyle name="_적격(화산) _견적내역서(0530)_사우나최종_사우나최종17" xfId="3871"/>
    <cellStyle name="_적격(화산) _견적내역서(0530)_사우나최종_워터파크" xfId="3872"/>
    <cellStyle name="_적격(화산) _견적내역서(0530)_청호빌딩 가)실행(6.25)" xfId="3873"/>
    <cellStyle name="_적격(화산) _견적내역서(0530)_청호빌딩 가)실행(6.25)_사우나최종" xfId="3874"/>
    <cellStyle name="_적격(화산) _견적내역서(0530)_청호빌딩 가)실행(6.25)_사우나최종_사우나최종17" xfId="3875"/>
    <cellStyle name="_적격(화산) _견적내역서(0530)_청호빌딩 가)실행(6.25)_사우나최종_워터파크" xfId="3876"/>
    <cellStyle name="_적격(화산) _광주평동실행" xfId="3877"/>
    <cellStyle name="_적격(화산) _광주평동실행_번암견적의뢰(협력)" xfId="3878"/>
    <cellStyle name="_적격(화산) _광주평동실행_번암견적의뢰(협력)_사우나최종" xfId="3879"/>
    <cellStyle name="_적격(화산) _광주평동실행_번암견적의뢰(협력)_사우나최종_사우나최종17" xfId="3880"/>
    <cellStyle name="_적격(화산) _광주평동실행_번암견적의뢰(협력)_사우나최종_워터파크" xfId="3881"/>
    <cellStyle name="_적격(화산) _광주평동실행_사우나최종" xfId="3882"/>
    <cellStyle name="_적격(화산) _광주평동실행_사우나최종_사우나최종17" xfId="3883"/>
    <cellStyle name="_적격(화산) _광주평동실행_사우나최종_워터파크" xfId="3884"/>
    <cellStyle name="_적격(화산) _광주평동품의1" xfId="3885"/>
    <cellStyle name="_적격(화산) _광주평동품의1_무안-광주2공구(협력)수정" xfId="3886"/>
    <cellStyle name="_적격(화산) _광주평동품의1_무안-광주2공구(협력)수정_사우나최종" xfId="3887"/>
    <cellStyle name="_적격(화산) _광주평동품의1_무안-광주2공구(협력)수정_사우나최종_사우나최종17" xfId="3888"/>
    <cellStyle name="_적격(화산) _광주평동품의1_무안-광주2공구(협력)수정_사우나최종_워터파크" xfId="3889"/>
    <cellStyle name="_적격(화산) _광주평동품의1_번암견적의뢰(협력)" xfId="3890"/>
    <cellStyle name="_적격(화산) _광주평동품의1_번암견적의뢰(협력)_사우나최종" xfId="3891"/>
    <cellStyle name="_적격(화산) _광주평동품의1_번암견적의뢰(협력)_사우나최종_사우나최종17" xfId="3892"/>
    <cellStyle name="_적격(화산) _광주평동품의1_번암견적의뢰(협력)_사우나최종_워터파크" xfId="3893"/>
    <cellStyle name="_적격(화산) _광주평동품의1_사우나최종" xfId="3894"/>
    <cellStyle name="_적격(화산) _광주평동품의1_사우나최종_사우나최종17" xfId="3895"/>
    <cellStyle name="_적격(화산) _광주평동품의1_사우나최종_워터파크" xfId="3896"/>
    <cellStyle name="_적격(화산) _광주평동품의1_적상무주IC도로(1공구)" xfId="3897"/>
    <cellStyle name="_적격(화산) _광주평동품의1_적상무주IC도로(1공구)_사우나최종" xfId="3898"/>
    <cellStyle name="_적격(화산) _광주평동품의1_적상무주IC도로(1공구)_사우나최종_사우나최종17" xfId="3899"/>
    <cellStyle name="_적격(화산) _광주평동품의1_적상무주IC도로(1공구)_사우나최종_워터파크" xfId="3900"/>
    <cellStyle name="_적격(화산) _기장하수실행1" xfId="3901"/>
    <cellStyle name="_적격(화산) _기장하수실행1_번암견적의뢰(협력)" xfId="3902"/>
    <cellStyle name="_적격(화산) _기장하수실행1_번암견적의뢰(협력)_사우나최종" xfId="3903"/>
    <cellStyle name="_적격(화산) _기장하수실행1_번암견적의뢰(협력)_사우나최종_사우나최종17" xfId="3904"/>
    <cellStyle name="_적격(화산) _기장하수실행1_번암견적의뢰(협력)_사우나최종_워터파크" xfId="3905"/>
    <cellStyle name="_적격(화산) _기장하수실행1_사우나최종" xfId="3906"/>
    <cellStyle name="_적격(화산) _기장하수실행1_사우나최종_사우나최종17" xfId="3907"/>
    <cellStyle name="_적격(화산) _기장하수실행1_사우나최종_워터파크" xfId="3908"/>
    <cellStyle name="_적격(화산) _내역분개" xfId="630"/>
    <cellStyle name="_적격(화산) _내역분개_내역분개" xfId="631"/>
    <cellStyle name="_적격(화산) _담양 창평 주택시설 부지조성사업" xfId="632"/>
    <cellStyle name="_적격(화산) _무안-광주2공구(협력)수정" xfId="3909"/>
    <cellStyle name="_적격(화산) _무안-광주2공구(협력)수정_사우나최종" xfId="3910"/>
    <cellStyle name="_적격(화산) _무안-광주2공구(협력)수정_사우나최종_사우나최종17" xfId="3911"/>
    <cellStyle name="_적격(화산) _무안-광주2공구(협력)수정_사우나최종_워터파크" xfId="3912"/>
    <cellStyle name="_적격(화산) _번암견적의뢰(협력)" xfId="3913"/>
    <cellStyle name="_적격(화산) _번암견적의뢰(협력)_사우나최종" xfId="3914"/>
    <cellStyle name="_적격(화산) _번암견적의뢰(협력)_사우나최종_사우나최종17" xfId="3915"/>
    <cellStyle name="_적격(화산) _번암견적의뢰(협력)_사우나최종_워터파크" xfId="3916"/>
    <cellStyle name="_적격(화산) _사우나최종" xfId="3917"/>
    <cellStyle name="_적격(화산) _사우나최종_사우나최종17" xfId="3918"/>
    <cellStyle name="_적격(화산) _사우나최종_워터파크" xfId="3919"/>
    <cellStyle name="_적격(화산) _사전공사(토목본사검토) " xfId="3920"/>
    <cellStyle name="_적격(화산) _사전공사(토목본사검토) _사우나최종" xfId="3921"/>
    <cellStyle name="_적격(화산) _사전공사(토목본사검토) _사우나최종_사우나최종17" xfId="3922"/>
    <cellStyle name="_적격(화산) _사전공사(토목본사검토) _사우나최종_워터파크" xfId="3923"/>
    <cellStyle name="_적격(화산) _송학실행안" xfId="3924"/>
    <cellStyle name="_적격(화산) _송학실행안_번암견적의뢰(협력)" xfId="3925"/>
    <cellStyle name="_적격(화산) _송학실행안_번암견적의뢰(협력)_사우나최종" xfId="3926"/>
    <cellStyle name="_적격(화산) _송학실행안_번암견적의뢰(협력)_사우나최종_사우나최종17" xfId="3927"/>
    <cellStyle name="_적격(화산) _송학실행안_번암견적의뢰(협력)_사우나최종_워터파크" xfId="3928"/>
    <cellStyle name="_적격(화산) _송학실행안_사우나최종" xfId="3929"/>
    <cellStyle name="_적격(화산) _송학실행안_사우나최종_사우나최종17" xfId="3930"/>
    <cellStyle name="_적격(화산) _송학실행안_사우나최종_워터파크" xfId="3931"/>
    <cellStyle name="_적격(화산) _송학하수투찰" xfId="3932"/>
    <cellStyle name="_적격(화산) _송학하수투찰_번암견적의뢰(협력)" xfId="3933"/>
    <cellStyle name="_적격(화산) _송학하수투찰_번암견적의뢰(협력)_사우나최종" xfId="3934"/>
    <cellStyle name="_적격(화산) _송학하수투찰_번암견적의뢰(협력)_사우나최종_사우나최종17" xfId="3935"/>
    <cellStyle name="_적격(화산) _송학하수투찰_번암견적의뢰(협력)_사우나최종_워터파크" xfId="3936"/>
    <cellStyle name="_적격(화산) _송학하수투찰_사우나최종" xfId="3937"/>
    <cellStyle name="_적격(화산) _송학하수투찰_사우나최종_사우나최종17" xfId="3938"/>
    <cellStyle name="_적격(화산) _송학하수투찰_사우나최종_워터파크" xfId="3939"/>
    <cellStyle name="_적격(화산) _송학하수품의(설계넣고)" xfId="3940"/>
    <cellStyle name="_적격(화산) _송학하수품의(설계넣고)_무안-광주2공구(협력)수정" xfId="3941"/>
    <cellStyle name="_적격(화산) _송학하수품의(설계넣고)_무안-광주2공구(협력)수정_사우나최종" xfId="3942"/>
    <cellStyle name="_적격(화산) _송학하수품의(설계넣고)_무안-광주2공구(협력)수정_사우나최종_사우나최종17" xfId="3943"/>
    <cellStyle name="_적격(화산) _송학하수품의(설계넣고)_무안-광주2공구(협력)수정_사우나최종_워터파크" xfId="3944"/>
    <cellStyle name="_적격(화산) _송학하수품의(설계넣고)_번암견적의뢰(협력)" xfId="3945"/>
    <cellStyle name="_적격(화산) _송학하수품의(설계넣고)_번암견적의뢰(협력)_사우나최종" xfId="3946"/>
    <cellStyle name="_적격(화산) _송학하수품의(설계넣고)_번암견적의뢰(협력)_사우나최종_사우나최종17" xfId="3947"/>
    <cellStyle name="_적격(화산) _송학하수품의(설계넣고)_번암견적의뢰(협력)_사우나최종_워터파크" xfId="3948"/>
    <cellStyle name="_적격(화산) _송학하수품의(설계넣고)_사우나최종" xfId="3949"/>
    <cellStyle name="_적격(화산) _송학하수품의(설계넣고)_사우나최종_사우나최종17" xfId="3950"/>
    <cellStyle name="_적격(화산) _송학하수품의(설계넣고)_사우나최종_워터파크" xfId="3951"/>
    <cellStyle name="_적격(화산) _송학하수품의(설계넣고)_적상무주IC도로(1공구)" xfId="3952"/>
    <cellStyle name="_적격(화산) _송학하수품의(설계넣고)_적상무주IC도로(1공구)_사우나최종" xfId="3953"/>
    <cellStyle name="_적격(화산) _송학하수품의(설계넣고)_적상무주IC도로(1공구)_사우나최종_사우나최종17" xfId="3954"/>
    <cellStyle name="_적격(화산) _송학하수품의(설계넣고)_적상무주IC도로(1공구)_사우나최종_워터파크" xfId="3955"/>
    <cellStyle name="_적격(화산) _예산분류 (공구구분)" xfId="633"/>
    <cellStyle name="_적격(화산) _예산분류 (공구구분)_(주)KCC 아산공장 위험물창고 증축공사-200684" xfId="634"/>
    <cellStyle name="_적격(화산) _예산분류 (공구구분)_발산 아파트 1공구 공내역" xfId="635"/>
    <cellStyle name="_적격(화산) _예산분류 (공구구분)_발산 아파트 1공구 공내역_(주)KCC 아산공장 위험물창고 증축공사-200684" xfId="636"/>
    <cellStyle name="_적격(화산) _예산분류 (공구구분)_일반 외주 공내역서 (공구구분)" xfId="637"/>
    <cellStyle name="_적격(화산) _예산분류 (공구구분)_일반 외주 공내역서 (공구구분)_(주)KCC 아산공장 위험물창고 증축공사-200684" xfId="638"/>
    <cellStyle name="_적격(화산) _예산분류 (공구구분)_일반배관 외주발주 예산분류 (공구구분)" xfId="639"/>
    <cellStyle name="_적격(화산) _예산분류 (공구구분)_일반배관 외주발주 예산분류 (공구구분)_(주)KCC 아산공장 위험물창고 증축공사-200684" xfId="640"/>
    <cellStyle name="_적격(화산) _예산분류 (공구구분)_일반배관 외주발주 예산분류 (공구구분)-1" xfId="641"/>
    <cellStyle name="_적격(화산) _예산분류 (공구구분)_일반배관 외주발주 예산분류 (공구구분)-1_(주)KCC 아산공장 위험물창고 증축공사-200684" xfId="642"/>
    <cellStyle name="_적격(화산) _이행각서" xfId="643"/>
    <cellStyle name="_적격(화산) _이행각서_내역분개" xfId="644"/>
    <cellStyle name="_적격(화산) _이행각서_내역분개_내역분개" xfId="645"/>
    <cellStyle name="_적격(화산) _일반배관 외주발주 예산분류 (공구구분)" xfId="646"/>
    <cellStyle name="_적격(화산) _일반배관 외주발주 예산분류 (공구구분)_(주)KCC 아산공장 위험물창고 증축공사-200684" xfId="647"/>
    <cellStyle name="_적격(화산) _일반배관 외주발주 예산분류 (공구구분)_발산 아파트 1공구 공내역" xfId="648"/>
    <cellStyle name="_적격(화산) _일반배관 외주발주 예산분류 (공구구분)_발산 아파트 1공구 공내역_(주)KCC 아산공장 위험물창고 증축공사-200684" xfId="649"/>
    <cellStyle name="_적격(화산) _일반배관 외주발주 예산분류 (공구구분)_일반 외주 공내역서 (공구구분)" xfId="650"/>
    <cellStyle name="_적격(화산) _일반배관 외주발주 예산분류 (공구구분)_일반 외주 공내역서 (공구구분)_(주)KCC 아산공장 위험물창고 증축공사-200684" xfId="651"/>
    <cellStyle name="_적격(화산) _일반배관 외주발주 예산분류 (공구구분)_일반배관 외주발주 예산분류 (공구구분)" xfId="652"/>
    <cellStyle name="_적격(화산) _일반배관 외주발주 예산분류 (공구구분)_일반배관 외주발주 예산분류 (공구구분)_(주)KCC 아산공장 위험물창고 증축공사-200684" xfId="653"/>
    <cellStyle name="_적격(화산) _일반배관 외주발주 예산분류 (공구구분)_일반배관 외주발주 예산분류 (공구구분)-1" xfId="654"/>
    <cellStyle name="_적격(화산) _일반배관 외주발주 예산분류 (공구구분)_일반배관 외주발주 예산분류 (공구구분)-1_(주)KCC 아산공장 위험물창고 증축공사-200684" xfId="655"/>
    <cellStyle name="_적격(화산) _적상무주IC도로(1공구)" xfId="3956"/>
    <cellStyle name="_적격(화산) _적상무주IC도로(1공구)_사우나최종" xfId="3957"/>
    <cellStyle name="_적격(화산) _적상무주IC도로(1공구)_사우나최종_사우나최종17" xfId="3958"/>
    <cellStyle name="_적격(화산) _적상무주IC도로(1공구)_사우나최종_워터파크" xfId="3959"/>
    <cellStyle name="_적격(화산) _포기각서" xfId="656"/>
    <cellStyle name="_적격(화산) _포기각서_내역분개" xfId="657"/>
    <cellStyle name="_적격(화산) _포기각서_내역분개_내역분개" xfId="658"/>
    <cellStyle name="_적격(화산) _현설양식" xfId="659"/>
    <cellStyle name="_적격(화산) _현설양식_내역분개" xfId="660"/>
    <cellStyle name="_적격(화산) _현설양식_내역분개_내역분개" xfId="661"/>
    <cellStyle name="_적격(화산) _현장설명" xfId="662"/>
    <cellStyle name="_적격(화산) _현장설명_내역분개" xfId="663"/>
    <cellStyle name="_적격(화산) _현장설명_내역분개_내역분개" xfId="664"/>
    <cellStyle name="_전기2" xfId="3960"/>
    <cellStyle name="_제2시립묘지보고서" xfId="665"/>
    <cellStyle name="_제2시립묘지보고서_담양 창평 주택시설 부지조성사업" xfId="666"/>
    <cellStyle name="_제외내역" xfId="667"/>
    <cellStyle name="_제외내역_담양 창평 주택시설 부지조성사업" xfId="668"/>
    <cellStyle name="_제주물항" xfId="669"/>
    <cellStyle name="_제출(2.25)" xfId="3961"/>
    <cellStyle name="_제출내역(2.26)" xfId="3962"/>
    <cellStyle name="_제출용병천하수(지역관로1)" xfId="3963"/>
    <cellStyle name="_제출용병천하수(지역관로1)_광주평동실행" xfId="3964"/>
    <cellStyle name="_제출용병천하수(지역관로1)_광주평동실행_번암견적의뢰(협력)" xfId="3965"/>
    <cellStyle name="_제출용병천하수(지역관로1)_광주평동실행_번암견적의뢰(협력)_사우나최종" xfId="3966"/>
    <cellStyle name="_제출용병천하수(지역관로1)_광주평동실행_번암견적의뢰(협력)_사우나최종_사우나최종17" xfId="3967"/>
    <cellStyle name="_제출용병천하수(지역관로1)_광주평동실행_번암견적의뢰(협력)_사우나최종_워터파크" xfId="3968"/>
    <cellStyle name="_제출용병천하수(지역관로1)_광주평동실행_사우나최종" xfId="3969"/>
    <cellStyle name="_제출용병천하수(지역관로1)_광주평동실행_사우나최종_사우나최종17" xfId="3970"/>
    <cellStyle name="_제출용병천하수(지역관로1)_광주평동실행_사우나최종_워터파크" xfId="3971"/>
    <cellStyle name="_제출용병천하수(지역관로1)_광주평동품의1" xfId="3972"/>
    <cellStyle name="_제출용병천하수(지역관로1)_광주평동품의1_무안-광주2공구(협력)수정" xfId="3973"/>
    <cellStyle name="_제출용병천하수(지역관로1)_광주평동품의1_무안-광주2공구(협력)수정_사우나최종" xfId="3974"/>
    <cellStyle name="_제출용병천하수(지역관로1)_광주평동품의1_무안-광주2공구(협력)수정_사우나최종_사우나최종17" xfId="3975"/>
    <cellStyle name="_제출용병천하수(지역관로1)_광주평동품의1_무안-광주2공구(협력)수정_사우나최종_워터파크" xfId="3976"/>
    <cellStyle name="_제출용병천하수(지역관로1)_광주평동품의1_번암견적의뢰(협력)" xfId="3977"/>
    <cellStyle name="_제출용병천하수(지역관로1)_광주평동품의1_번암견적의뢰(협력)_사우나최종" xfId="3978"/>
    <cellStyle name="_제출용병천하수(지역관로1)_광주평동품의1_번암견적의뢰(협력)_사우나최종_사우나최종17" xfId="3979"/>
    <cellStyle name="_제출용병천하수(지역관로1)_광주평동품의1_번암견적의뢰(협력)_사우나최종_워터파크" xfId="3980"/>
    <cellStyle name="_제출용병천하수(지역관로1)_광주평동품의1_사우나최종" xfId="3981"/>
    <cellStyle name="_제출용병천하수(지역관로1)_광주평동품의1_사우나최종_사우나최종17" xfId="3982"/>
    <cellStyle name="_제출용병천하수(지역관로1)_광주평동품의1_사우나최종_워터파크" xfId="3983"/>
    <cellStyle name="_제출용병천하수(지역관로1)_광주평동품의1_적상무주IC도로(1공구)" xfId="3984"/>
    <cellStyle name="_제출용병천하수(지역관로1)_광주평동품의1_적상무주IC도로(1공구)_사우나최종" xfId="3985"/>
    <cellStyle name="_제출용병천하수(지역관로1)_광주평동품의1_적상무주IC도로(1공구)_사우나최종_사우나최종17" xfId="3986"/>
    <cellStyle name="_제출용병천하수(지역관로1)_광주평동품의1_적상무주IC도로(1공구)_사우나최종_워터파크" xfId="3987"/>
    <cellStyle name="_제출용병천하수(지역관로1)_기장하수실행1" xfId="3988"/>
    <cellStyle name="_제출용병천하수(지역관로1)_기장하수실행1_번암견적의뢰(협력)" xfId="3989"/>
    <cellStyle name="_제출용병천하수(지역관로1)_기장하수실행1_번암견적의뢰(협력)_사우나최종" xfId="3990"/>
    <cellStyle name="_제출용병천하수(지역관로1)_기장하수실행1_번암견적의뢰(협력)_사우나최종_사우나최종17" xfId="3991"/>
    <cellStyle name="_제출용병천하수(지역관로1)_기장하수실행1_번암견적의뢰(협력)_사우나최종_워터파크" xfId="3992"/>
    <cellStyle name="_제출용병천하수(지역관로1)_기장하수실행1_사우나최종" xfId="3993"/>
    <cellStyle name="_제출용병천하수(지역관로1)_기장하수실행1_사우나최종_사우나최종17" xfId="3994"/>
    <cellStyle name="_제출용병천하수(지역관로1)_기장하수실행1_사우나최종_워터파크" xfId="3995"/>
    <cellStyle name="_제출용병천하수(지역관로1)_무안-광주2공구(협력)수정" xfId="3996"/>
    <cellStyle name="_제출용병천하수(지역관로1)_무안-광주2공구(협력)수정_사우나최종" xfId="3997"/>
    <cellStyle name="_제출용병천하수(지역관로1)_무안-광주2공구(협력)수정_사우나최종_사우나최종17" xfId="3998"/>
    <cellStyle name="_제출용병천하수(지역관로1)_무안-광주2공구(협력)수정_사우나최종_워터파크" xfId="3999"/>
    <cellStyle name="_제출용병천하수(지역관로1)_번암견적의뢰(협력)" xfId="4000"/>
    <cellStyle name="_제출용병천하수(지역관로1)_번암견적의뢰(협력)_사우나최종" xfId="4001"/>
    <cellStyle name="_제출용병천하수(지역관로1)_번암견적의뢰(협력)_사우나최종_사우나최종17" xfId="4002"/>
    <cellStyle name="_제출용병천하수(지역관로1)_번암견적의뢰(협력)_사우나최종_워터파크" xfId="4003"/>
    <cellStyle name="_제출용병천하수(지역관로1)_사우나최종" xfId="4004"/>
    <cellStyle name="_제출용병천하수(지역관로1)_사우나최종_사우나최종17" xfId="4005"/>
    <cellStyle name="_제출용병천하수(지역관로1)_사우나최종_워터파크" xfId="4006"/>
    <cellStyle name="_제출용병천하수(지역관로1)_송학실행안" xfId="4007"/>
    <cellStyle name="_제출용병천하수(지역관로1)_송학실행안_번암견적의뢰(협력)" xfId="4008"/>
    <cellStyle name="_제출용병천하수(지역관로1)_송학실행안_번암견적의뢰(협력)_사우나최종" xfId="4009"/>
    <cellStyle name="_제출용병천하수(지역관로1)_송학실행안_번암견적의뢰(협력)_사우나최종_사우나최종17" xfId="4010"/>
    <cellStyle name="_제출용병천하수(지역관로1)_송학실행안_번암견적의뢰(협력)_사우나최종_워터파크" xfId="4011"/>
    <cellStyle name="_제출용병천하수(지역관로1)_송학실행안_사우나최종" xfId="4012"/>
    <cellStyle name="_제출용병천하수(지역관로1)_송학실행안_사우나최종_사우나최종17" xfId="4013"/>
    <cellStyle name="_제출용병천하수(지역관로1)_송학실행안_사우나최종_워터파크" xfId="4014"/>
    <cellStyle name="_제출용병천하수(지역관로1)_송학하수투찰" xfId="4015"/>
    <cellStyle name="_제출용병천하수(지역관로1)_송학하수투찰_번암견적의뢰(협력)" xfId="4016"/>
    <cellStyle name="_제출용병천하수(지역관로1)_송학하수투찰_번암견적의뢰(협력)_사우나최종" xfId="4017"/>
    <cellStyle name="_제출용병천하수(지역관로1)_송학하수투찰_번암견적의뢰(협력)_사우나최종_사우나최종17" xfId="4018"/>
    <cellStyle name="_제출용병천하수(지역관로1)_송학하수투찰_번암견적의뢰(협력)_사우나최종_워터파크" xfId="4019"/>
    <cellStyle name="_제출용병천하수(지역관로1)_송학하수투찰_사우나최종" xfId="4020"/>
    <cellStyle name="_제출용병천하수(지역관로1)_송학하수투찰_사우나최종_사우나최종17" xfId="4021"/>
    <cellStyle name="_제출용병천하수(지역관로1)_송학하수투찰_사우나최종_워터파크" xfId="4022"/>
    <cellStyle name="_제출용병천하수(지역관로1)_송학하수품의(설계넣고)" xfId="4023"/>
    <cellStyle name="_제출용병천하수(지역관로1)_송학하수품의(설계넣고)_무안-광주2공구(협력)수정" xfId="4024"/>
    <cellStyle name="_제출용병천하수(지역관로1)_송학하수품의(설계넣고)_무안-광주2공구(협력)수정_사우나최종" xfId="4025"/>
    <cellStyle name="_제출용병천하수(지역관로1)_송학하수품의(설계넣고)_무안-광주2공구(협력)수정_사우나최종_사우나최종17" xfId="4026"/>
    <cellStyle name="_제출용병천하수(지역관로1)_송학하수품의(설계넣고)_무안-광주2공구(협력)수정_사우나최종_워터파크" xfId="4027"/>
    <cellStyle name="_제출용병천하수(지역관로1)_송학하수품의(설계넣고)_번암견적의뢰(협력)" xfId="4028"/>
    <cellStyle name="_제출용병천하수(지역관로1)_송학하수품의(설계넣고)_번암견적의뢰(협력)_사우나최종" xfId="4029"/>
    <cellStyle name="_제출용병천하수(지역관로1)_송학하수품의(설계넣고)_번암견적의뢰(협력)_사우나최종_사우나최종17" xfId="4030"/>
    <cellStyle name="_제출용병천하수(지역관로1)_송학하수품의(설계넣고)_번암견적의뢰(협력)_사우나최종_워터파크" xfId="4031"/>
    <cellStyle name="_제출용병천하수(지역관로1)_송학하수품의(설계넣고)_사우나최종" xfId="4032"/>
    <cellStyle name="_제출용병천하수(지역관로1)_송학하수품의(설계넣고)_사우나최종_사우나최종17" xfId="4033"/>
    <cellStyle name="_제출용병천하수(지역관로1)_송학하수품의(설계넣고)_사우나최종_워터파크" xfId="4034"/>
    <cellStyle name="_제출용병천하수(지역관로1)_송학하수품의(설계넣고)_적상무주IC도로(1공구)" xfId="4035"/>
    <cellStyle name="_제출용병천하수(지역관로1)_송학하수품의(설계넣고)_적상무주IC도로(1공구)_사우나최종" xfId="4036"/>
    <cellStyle name="_제출용병천하수(지역관로1)_송학하수품의(설계넣고)_적상무주IC도로(1공구)_사우나최종_사우나최종17" xfId="4037"/>
    <cellStyle name="_제출용병천하수(지역관로1)_송학하수품의(설계넣고)_적상무주IC도로(1공구)_사우나최종_워터파크" xfId="4038"/>
    <cellStyle name="_제출용병천하수(지역관로1)_적상무주IC도로(1공구)" xfId="4039"/>
    <cellStyle name="_제출용병천하수(지역관로1)_적상무주IC도로(1공구)_사우나최종" xfId="4040"/>
    <cellStyle name="_제출용병천하수(지역관로1)_적상무주IC도로(1공구)_사우나최종_사우나최종17" xfId="4041"/>
    <cellStyle name="_제출용병천하수(지역관로1)_적상무주IC도로(1공구)_사우나최종_워터파크" xfId="4042"/>
    <cellStyle name="_조명기구변경" xfId="670"/>
    <cellStyle name="_중앙연구소 PILOT증축 실행예산내역 070125" xfId="671"/>
    <cellStyle name="_중역업무구분(2004-1)" xfId="672"/>
    <cellStyle name="_증감분석양식" xfId="673"/>
    <cellStyle name="_지정과제1분기실적(확정990408)" xfId="674"/>
    <cellStyle name="_지정과제1분기실적(확정990408)_1" xfId="675"/>
    <cellStyle name="_지정과제2차심의list" xfId="686"/>
    <cellStyle name="_지정과제2차심의list_1" xfId="687"/>
    <cellStyle name="_지정과제2차심의list_2" xfId="688"/>
    <cellStyle name="_지정과제2차심의결과" xfId="676"/>
    <cellStyle name="_지정과제2차심의결과(금액조정후최종)" xfId="677"/>
    <cellStyle name="_지정과제2차심의결과(금액조정후최종)_1" xfId="678"/>
    <cellStyle name="_지정과제2차심의결과(금액조정후최종)_1_경영개선실적보고(전주공장)" xfId="679"/>
    <cellStyle name="_지정과제2차심의결과(금액조정후최종)_1_별첨1_2" xfId="680"/>
    <cellStyle name="_지정과제2차심의결과(금액조정후최종)_1_제안과제집계표(공장전체)" xfId="681"/>
    <cellStyle name="_지정과제2차심의결과(금액조정후최종)_경영개선실적보고(전주공장)" xfId="682"/>
    <cellStyle name="_지정과제2차심의결과(금액조정후최종)_별첨1_2" xfId="683"/>
    <cellStyle name="_지정과제2차심의결과(금액조정후최종)_제안과제집계표(공장전체)" xfId="684"/>
    <cellStyle name="_지정과제2차심의결과_1" xfId="685"/>
    <cellStyle name="_집계" xfId="4043"/>
    <cellStyle name="_집중관리(981231)" xfId="689"/>
    <cellStyle name="_집중관리(981231)_1" xfId="690"/>
    <cellStyle name="_집중관리(지정과제및 양식)" xfId="691"/>
    <cellStyle name="_집중관리(지정과제및 양식)_1" xfId="692"/>
    <cellStyle name="_집행갑지 " xfId="693"/>
    <cellStyle name="_집행갑지 _(주)KCC 아산공장 위험물창고 증축공사-200684" xfId="694"/>
    <cellStyle name="_집행갑지 _광주평동실행" xfId="4044"/>
    <cellStyle name="_집행갑지 _광주평동실행_번암견적의뢰(협력)" xfId="4045"/>
    <cellStyle name="_집행갑지 _광주평동실행_번암견적의뢰(협력)_사우나최종" xfId="4046"/>
    <cellStyle name="_집행갑지 _광주평동실행_번암견적의뢰(협력)_사우나최종_사우나최종17" xfId="4047"/>
    <cellStyle name="_집행갑지 _광주평동실행_번암견적의뢰(협력)_사우나최종_워터파크" xfId="4048"/>
    <cellStyle name="_집행갑지 _광주평동실행_사우나최종" xfId="4049"/>
    <cellStyle name="_집행갑지 _광주평동실행_사우나최종_사우나최종17" xfId="4050"/>
    <cellStyle name="_집행갑지 _광주평동실행_사우나최종_워터파크" xfId="4051"/>
    <cellStyle name="_집행갑지 _광주평동품의1" xfId="4052"/>
    <cellStyle name="_집행갑지 _광주평동품의1_무안-광주2공구(협력)수정" xfId="4053"/>
    <cellStyle name="_집행갑지 _광주평동품의1_무안-광주2공구(협력)수정_사우나최종" xfId="4054"/>
    <cellStyle name="_집행갑지 _광주평동품의1_무안-광주2공구(협력)수정_사우나최종_사우나최종17" xfId="4055"/>
    <cellStyle name="_집행갑지 _광주평동품의1_무안-광주2공구(협력)수정_사우나최종_워터파크" xfId="4056"/>
    <cellStyle name="_집행갑지 _광주평동품의1_번암견적의뢰(협력)" xfId="4057"/>
    <cellStyle name="_집행갑지 _광주평동품의1_번암견적의뢰(협력)_사우나최종" xfId="4058"/>
    <cellStyle name="_집행갑지 _광주평동품의1_번암견적의뢰(협력)_사우나최종_사우나최종17" xfId="4059"/>
    <cellStyle name="_집행갑지 _광주평동품의1_번암견적의뢰(협력)_사우나최종_워터파크" xfId="4060"/>
    <cellStyle name="_집행갑지 _광주평동품의1_사우나최종" xfId="4061"/>
    <cellStyle name="_집행갑지 _광주평동품의1_사우나최종_사우나최종17" xfId="4062"/>
    <cellStyle name="_집행갑지 _광주평동품의1_사우나최종_워터파크" xfId="4063"/>
    <cellStyle name="_집행갑지 _광주평동품의1_적상무주IC도로(1공구)" xfId="4064"/>
    <cellStyle name="_집행갑지 _광주평동품의1_적상무주IC도로(1공구)_사우나최종" xfId="4065"/>
    <cellStyle name="_집행갑지 _광주평동품의1_적상무주IC도로(1공구)_사우나최종_사우나최종17" xfId="4066"/>
    <cellStyle name="_집행갑지 _광주평동품의1_적상무주IC도로(1공구)_사우나최종_워터파크" xfId="4067"/>
    <cellStyle name="_집행갑지 _기장하수실행1" xfId="4068"/>
    <cellStyle name="_집행갑지 _기장하수실행1_번암견적의뢰(협력)" xfId="4069"/>
    <cellStyle name="_집행갑지 _기장하수실행1_번암견적의뢰(협력)_사우나최종" xfId="4070"/>
    <cellStyle name="_집행갑지 _기장하수실행1_번암견적의뢰(협력)_사우나최종_사우나최종17" xfId="4071"/>
    <cellStyle name="_집행갑지 _기장하수실행1_번암견적의뢰(협력)_사우나최종_워터파크" xfId="4072"/>
    <cellStyle name="_집행갑지 _기장하수실행1_사우나최종" xfId="4073"/>
    <cellStyle name="_집행갑지 _기장하수실행1_사우나최종_사우나최종17" xfId="4074"/>
    <cellStyle name="_집행갑지 _기장하수실행1_사우나최종_워터파크" xfId="4075"/>
    <cellStyle name="_집행갑지 _내역분개" xfId="695"/>
    <cellStyle name="_집행갑지 _내역분개_내역분개" xfId="696"/>
    <cellStyle name="_집행갑지 _담양 창평 주택시설 부지조성사업" xfId="697"/>
    <cellStyle name="_집행갑지 _무안-광주2공구(협력)수정" xfId="4076"/>
    <cellStyle name="_집행갑지 _무안-광주2공구(협력)수정_사우나최종" xfId="4077"/>
    <cellStyle name="_집행갑지 _무안-광주2공구(협력)수정_사우나최종_사우나최종17" xfId="4078"/>
    <cellStyle name="_집행갑지 _무안-광주2공구(협력)수정_사우나최종_워터파크" xfId="4079"/>
    <cellStyle name="_집행갑지 _번암견적의뢰(협력)" xfId="4080"/>
    <cellStyle name="_집행갑지 _번암견적의뢰(협력)_사우나최종" xfId="4081"/>
    <cellStyle name="_집행갑지 _번암견적의뢰(협력)_사우나최종_사우나최종17" xfId="4082"/>
    <cellStyle name="_집행갑지 _번암견적의뢰(협력)_사우나최종_워터파크" xfId="4083"/>
    <cellStyle name="_집행갑지 _사우나최종" xfId="4084"/>
    <cellStyle name="_집행갑지 _사우나최종_사우나최종17" xfId="4085"/>
    <cellStyle name="_집행갑지 _사우나최종_워터파크" xfId="4086"/>
    <cellStyle name="_집행갑지 _송학실행안" xfId="4087"/>
    <cellStyle name="_집행갑지 _송학실행안_번암견적의뢰(협력)" xfId="4088"/>
    <cellStyle name="_집행갑지 _송학실행안_번암견적의뢰(협력)_사우나최종" xfId="4089"/>
    <cellStyle name="_집행갑지 _송학실행안_번암견적의뢰(협력)_사우나최종_사우나최종17" xfId="4090"/>
    <cellStyle name="_집행갑지 _송학실행안_번암견적의뢰(협력)_사우나최종_워터파크" xfId="4091"/>
    <cellStyle name="_집행갑지 _송학실행안_사우나최종" xfId="4092"/>
    <cellStyle name="_집행갑지 _송학실행안_사우나최종_사우나최종17" xfId="4093"/>
    <cellStyle name="_집행갑지 _송학실행안_사우나최종_워터파크" xfId="4094"/>
    <cellStyle name="_집행갑지 _송학하수투찰" xfId="4095"/>
    <cellStyle name="_집행갑지 _송학하수투찰_번암견적의뢰(협력)" xfId="4096"/>
    <cellStyle name="_집행갑지 _송학하수투찰_번암견적의뢰(협력)_사우나최종" xfId="4097"/>
    <cellStyle name="_집행갑지 _송학하수투찰_번암견적의뢰(협력)_사우나최종_사우나최종17" xfId="4098"/>
    <cellStyle name="_집행갑지 _송학하수투찰_번암견적의뢰(협력)_사우나최종_워터파크" xfId="4099"/>
    <cellStyle name="_집행갑지 _송학하수투찰_사우나최종" xfId="4100"/>
    <cellStyle name="_집행갑지 _송학하수투찰_사우나최종_사우나최종17" xfId="4101"/>
    <cellStyle name="_집행갑지 _송학하수투찰_사우나최종_워터파크" xfId="4102"/>
    <cellStyle name="_집행갑지 _송학하수품의(설계넣고)" xfId="4103"/>
    <cellStyle name="_집행갑지 _송학하수품의(설계넣고)_무안-광주2공구(협력)수정" xfId="4104"/>
    <cellStyle name="_집행갑지 _송학하수품의(설계넣고)_무안-광주2공구(협력)수정_사우나최종" xfId="4105"/>
    <cellStyle name="_집행갑지 _송학하수품의(설계넣고)_무안-광주2공구(협력)수정_사우나최종_사우나최종17" xfId="4106"/>
    <cellStyle name="_집행갑지 _송학하수품의(설계넣고)_무안-광주2공구(협력)수정_사우나최종_워터파크" xfId="4107"/>
    <cellStyle name="_집행갑지 _송학하수품의(설계넣고)_번암견적의뢰(협력)" xfId="4108"/>
    <cellStyle name="_집행갑지 _송학하수품의(설계넣고)_번암견적의뢰(협력)_사우나최종" xfId="4109"/>
    <cellStyle name="_집행갑지 _송학하수품의(설계넣고)_번암견적의뢰(협력)_사우나최종_사우나최종17" xfId="4110"/>
    <cellStyle name="_집행갑지 _송학하수품의(설계넣고)_번암견적의뢰(협력)_사우나최종_워터파크" xfId="4111"/>
    <cellStyle name="_집행갑지 _송학하수품의(설계넣고)_사우나최종" xfId="4112"/>
    <cellStyle name="_집행갑지 _송학하수품의(설계넣고)_사우나최종_사우나최종17" xfId="4113"/>
    <cellStyle name="_집행갑지 _송학하수품의(설계넣고)_사우나최종_워터파크" xfId="4114"/>
    <cellStyle name="_집행갑지 _송학하수품의(설계넣고)_적상무주IC도로(1공구)" xfId="4115"/>
    <cellStyle name="_집행갑지 _송학하수품의(설계넣고)_적상무주IC도로(1공구)_사우나최종" xfId="4116"/>
    <cellStyle name="_집행갑지 _송학하수품의(설계넣고)_적상무주IC도로(1공구)_사우나최종_사우나최종17" xfId="4117"/>
    <cellStyle name="_집행갑지 _송학하수품의(설계넣고)_적상무주IC도로(1공구)_사우나최종_워터파크" xfId="4118"/>
    <cellStyle name="_집행갑지 _예산분류 (공구구분)" xfId="698"/>
    <cellStyle name="_집행갑지 _예산분류 (공구구분)_(주)KCC 아산공장 위험물창고 증축공사-200684" xfId="699"/>
    <cellStyle name="_집행갑지 _예산분류 (공구구분)_발산 아파트 1공구 공내역" xfId="700"/>
    <cellStyle name="_집행갑지 _예산분류 (공구구분)_발산 아파트 1공구 공내역_(주)KCC 아산공장 위험물창고 증축공사-200684" xfId="701"/>
    <cellStyle name="_집행갑지 _예산분류 (공구구분)_일반 외주 공내역서 (공구구분)" xfId="702"/>
    <cellStyle name="_집행갑지 _예산분류 (공구구분)_일반 외주 공내역서 (공구구분)_(주)KCC 아산공장 위험물창고 증축공사-200684" xfId="703"/>
    <cellStyle name="_집행갑지 _예산분류 (공구구분)_일반배관 외주발주 예산분류 (공구구분)" xfId="704"/>
    <cellStyle name="_집행갑지 _예산분류 (공구구분)_일반배관 외주발주 예산분류 (공구구분)_(주)KCC 아산공장 위험물창고 증축공사-200684" xfId="705"/>
    <cellStyle name="_집행갑지 _예산분류 (공구구분)_일반배관 외주발주 예산분류 (공구구분)-1" xfId="706"/>
    <cellStyle name="_집행갑지 _예산분류 (공구구분)_일반배관 외주발주 예산분류 (공구구분)-1_(주)KCC 아산공장 위험물창고 증축공사-200684" xfId="707"/>
    <cellStyle name="_집행갑지 _일반배관 외주발주 예산분류 (공구구분)" xfId="708"/>
    <cellStyle name="_집행갑지 _일반배관 외주발주 예산분류 (공구구분)_(주)KCC 아산공장 위험물창고 증축공사-200684" xfId="709"/>
    <cellStyle name="_집행갑지 _일반배관 외주발주 예산분류 (공구구분)_발산 아파트 1공구 공내역" xfId="710"/>
    <cellStyle name="_집행갑지 _일반배관 외주발주 예산분류 (공구구분)_발산 아파트 1공구 공내역_(주)KCC 아산공장 위험물창고 증축공사-200684" xfId="711"/>
    <cellStyle name="_집행갑지 _일반배관 외주발주 예산분류 (공구구분)_일반 외주 공내역서 (공구구분)" xfId="712"/>
    <cellStyle name="_집행갑지 _일반배관 외주발주 예산분류 (공구구분)_일반 외주 공내역서 (공구구분)_(주)KCC 아산공장 위험물창고 증축공사-200684" xfId="713"/>
    <cellStyle name="_집행갑지 _일반배관 외주발주 예산분류 (공구구분)_일반배관 외주발주 예산분류 (공구구분)" xfId="714"/>
    <cellStyle name="_집행갑지 _일반배관 외주발주 예산분류 (공구구분)_일반배관 외주발주 예산분류 (공구구분)_(주)KCC 아산공장 위험물창고 증축공사-200684" xfId="715"/>
    <cellStyle name="_집행갑지 _일반배관 외주발주 예산분류 (공구구분)_일반배관 외주발주 예산분류 (공구구분)-1" xfId="716"/>
    <cellStyle name="_집행갑지 _일반배관 외주발주 예산분류 (공구구분)_일반배관 외주발주 예산분류 (공구구분)-1_(주)KCC 아산공장 위험물창고 증축공사-200684" xfId="717"/>
    <cellStyle name="_집행갑지 _적상무주IC도로(1공구)" xfId="4119"/>
    <cellStyle name="_집행갑지 _적상무주IC도로(1공구)_사우나최종" xfId="4120"/>
    <cellStyle name="_집행갑지 _적상무주IC도로(1공구)_사우나최종_사우나최종17" xfId="4121"/>
    <cellStyle name="_집행갑지 _적상무주IC도로(1공구)_사우나최종_워터파크" xfId="4122"/>
    <cellStyle name="_창원점A공구" xfId="718"/>
    <cellStyle name="_천안 고객 PLAZA 내장공사" xfId="4123"/>
    <cellStyle name="_천안민방위교육관  인테리어견적(장비포함)" xfId="4124"/>
    <cellStyle name="_청호빌딩 가)실행(6.25)" xfId="4125"/>
    <cellStyle name="_총기계경비(2001-2003)" xfId="719"/>
    <cellStyle name="_추가정산(2003,2,20)" xfId="720"/>
    <cellStyle name="_충정실행" xfId="721"/>
    <cellStyle name="_충정실행_의왕실행" xfId="722"/>
    <cellStyle name="_측량하도승인요청" xfId="4126"/>
    <cellStyle name="_카펠라(조정제출)" xfId="4127"/>
    <cellStyle name="_카펠라스포츠클럽(쇼핑몰)-변경비교내역0413" xfId="4128"/>
    <cellStyle name="_타니CC(실행예산)-공사분류" xfId="4129"/>
    <cellStyle name="_태인-원평2공구(협력)" xfId="4130"/>
    <cellStyle name="_태인-원평2공구(협력)_사우나최종" xfId="4131"/>
    <cellStyle name="_태인-원평2공구(협력)_사우나최종_사우나최종17" xfId="4132"/>
    <cellStyle name="_태인-원평2공구(협력)_사우나최종_워터파크" xfId="4133"/>
    <cellStyle name="_태인-원평2공구(협력)_적상무주IC도로(1공구)" xfId="4134"/>
    <cellStyle name="_태인-원평2공구(협력)_적상무주IC도로(1공구)_사우나최종" xfId="4135"/>
    <cellStyle name="_태인-원평2공구(협력)_적상무주IC도로(1공구)_사우나최종_사우나최종17" xfId="4136"/>
    <cellStyle name="_태인-원평2공구(협력)_적상무주IC도로(1공구)_사우나최종_워터파크" xfId="4137"/>
    <cellStyle name="_토목" xfId="4138"/>
    <cellStyle name="_토목계약서(정릉)" xfId="4139"/>
    <cellStyle name="_토목설계" xfId="4140"/>
    <cellStyle name="_토목설계_사우나최종" xfId="4141"/>
    <cellStyle name="_토목설계_사우나최종_사우나최종17" xfId="4142"/>
    <cellStyle name="_토목설계_사우나최종_워터파크" xfId="4143"/>
    <cellStyle name="_토목하도승인요청" xfId="4144"/>
    <cellStyle name="_토목하도승인요청_사우나최종" xfId="4145"/>
    <cellStyle name="_토목하도승인요청_사우나최종_사우나최종17" xfId="4146"/>
    <cellStyle name="_토목하도승인요청_사우나최종_워터파크" xfId="4147"/>
    <cellStyle name="_파일사전공사승인(본사)" xfId="4148"/>
    <cellStyle name="_파일사전공사승인(본사)_사우나최종" xfId="4149"/>
    <cellStyle name="_파일사전공사승인(본사)_사우나최종_사우나최종17" xfId="4150"/>
    <cellStyle name="_파일사전공사승인(본사)_사우나최종_워터파크" xfId="4151"/>
    <cellStyle name="_파주아카데미견적서" xfId="4152"/>
    <cellStyle name="_포기각서" xfId="723"/>
    <cellStyle name="_포기각서_내역분개" xfId="724"/>
    <cellStyle name="_포기각서_내역분개_내역분개" xfId="725"/>
    <cellStyle name="_포항실행견적내역" xfId="726"/>
    <cellStyle name="_표지및원가계산" xfId="727"/>
    <cellStyle name="_품의서" xfId="4153"/>
    <cellStyle name="_하나로정보센터 견적(각층별 최종)" xfId="728"/>
    <cellStyle name="_해외조직" xfId="729"/>
    <cellStyle name="_해외조직_1" xfId="730"/>
    <cellStyle name="_해제우회도로보고서(2002.1.25)" xfId="731"/>
    <cellStyle name="_해제우회도로보고서(2002.1.25)_03 기계경비(2000~2002)" xfId="732"/>
    <cellStyle name="_해제우회도로보고서(2002.1.25)_기계경비(2000~2002)" xfId="733"/>
    <cellStyle name="_해제우회도로보고서(2002.1.25)_기계경비(2001~2002)" xfId="734"/>
    <cellStyle name="_해제우회도로보고서(2002.1.25)_기계경비지수산출" xfId="735"/>
    <cellStyle name="_해제우회도로보고서(2002.1.25)_기계경비지수산출(03년용)" xfId="736"/>
    <cellStyle name="_해제우회도로보고서(2002.1.25)_총기계경비(2001-2003)" xfId="737"/>
    <cellStyle name="_현대자동차연구센터 증축공사02.22" xfId="4154"/>
    <cellStyle name="_현설양식" xfId="738"/>
    <cellStyle name="_현설양식_내역분개" xfId="739"/>
    <cellStyle name="_현설양식_내역분개_내역분개" xfId="740"/>
    <cellStyle name="_현장가설전력산출서-박물관" xfId="741"/>
    <cellStyle name="_현장설명" xfId="742"/>
    <cellStyle name="_현장설명_내역분개" xfId="743"/>
    <cellStyle name="_현장설명_내역분개_내역분개" xfId="744"/>
    <cellStyle name="_홍대,화정견적" xfId="745"/>
    <cellStyle name="_화산가차" xfId="746"/>
    <cellStyle name="_화산가차_03 기계경비(2000~2002)" xfId="747"/>
    <cellStyle name="_화산가차_기계경비(2000~2002)" xfId="748"/>
    <cellStyle name="_화산가차_기계경비(2001~2002)" xfId="749"/>
    <cellStyle name="_화산가차_기계경비지수산출" xfId="750"/>
    <cellStyle name="_화산가차_기계경비지수산출(03년용)" xfId="751"/>
    <cellStyle name="_화산가차_총기계경비(2001-2003)" xfId="752"/>
    <cellStyle name="_화성봉담주민공동시설인테리어공사" xfId="4155"/>
    <cellStyle name="_화성태안아파트" xfId="4156"/>
    <cellStyle name="_황산교회" xfId="753"/>
    <cellStyle name="¡E￠￥@?e_TEST-1 " xfId="912"/>
    <cellStyle name="’E‰Y [0.00]_laroux" xfId="913"/>
    <cellStyle name="’E‰Y_laroux" xfId="914"/>
    <cellStyle name="′ЀЁÔ@會Ѐ_x0001_ " xfId="915"/>
    <cellStyle name="￠´@?e_TEST-1 " xfId="919"/>
    <cellStyle name="￠RERERERIiU￠RERERERE?￠RERERERER ￠RERERERE?A￠RERERERE￠RERERERIA CIAI￠RERERER¡ERERER￠RERER￠RERE?¡ERERERERU￠RERERERE￠RERERER¡ERER￠RER¡ER¡E?I￠RERER￠RER¡ER￠R￠?I￠RERERERIiA￠RERERER¡ERERER￠RERER￠RERE?I" xfId="920"/>
    <cellStyle name="¤@?e_TEST-1 " xfId="921"/>
    <cellStyle name="\MNPREF32.DLL&amp;" xfId="4171"/>
    <cellStyle name="+,-,0" xfId="4168"/>
    <cellStyle name="△ []" xfId="4169"/>
    <cellStyle name="△ [0]" xfId="4170"/>
    <cellStyle name="△백분율" xfId="916"/>
    <cellStyle name="△콤마" xfId="917"/>
    <cellStyle name="●" xfId="918"/>
    <cellStyle name="0.0" xfId="922"/>
    <cellStyle name="0.00" xfId="923"/>
    <cellStyle name="0.000%_품셈 " xfId="924"/>
    <cellStyle name="0.0000%_자재물량산출_품셈 " xfId="925"/>
    <cellStyle name="1" xfId="926"/>
    <cellStyle name="1 2" xfId="927"/>
    <cellStyle name="1_01 건축예산5(040517)" xfId="928"/>
    <cellStyle name="1_건축실행(휴먼센터)03-내역수정" xfId="929"/>
    <cellStyle name="1_단가조사표" xfId="930"/>
    <cellStyle name="1_단가조사표_1011소각" xfId="4172"/>
    <cellStyle name="1_단가조사표_1113교~1" xfId="4173"/>
    <cellStyle name="1_단가조사표_121내역" xfId="4174"/>
    <cellStyle name="1_단가조사표_객토량" xfId="4175"/>
    <cellStyle name="1_단가조사표_교통센~1" xfId="4176"/>
    <cellStyle name="1_단가조사표_교통센터412" xfId="4177"/>
    <cellStyle name="1_단가조사표_교통수" xfId="4178"/>
    <cellStyle name="1_단가조사표_교통수량산출서" xfId="4179"/>
    <cellStyle name="1_단가조사표_구조물대가 (2)" xfId="4180"/>
    <cellStyle name="1_단가조사표_내역서 (2)" xfId="4181"/>
    <cellStyle name="1_단가조사표_대전관저지구" xfId="4182"/>
    <cellStyle name="1_단가조사표_동측지~1" xfId="4183"/>
    <cellStyle name="1_단가조사표_동측지원422" xfId="4184"/>
    <cellStyle name="1_단가조사표_동측지원512" xfId="4185"/>
    <cellStyle name="1_단가조사표_동측지원524" xfId="4186"/>
    <cellStyle name="1_단가조사표_부대422" xfId="4187"/>
    <cellStyle name="1_단가조사표_부대시설" xfId="4188"/>
    <cellStyle name="1_단가조사표_소각수~1" xfId="4189"/>
    <cellStyle name="1_단가조사표_소각수내역서" xfId="4190"/>
    <cellStyle name="1_단가조사표_소각수목2" xfId="4191"/>
    <cellStyle name="1_단가조사표_수량산출서 (2)" xfId="4192"/>
    <cellStyle name="1_단가조사표_엑스포~1" xfId="4193"/>
    <cellStyle name="1_단가조사표_엑스포한빛1" xfId="4194"/>
    <cellStyle name="1_단가조사표_여객터미널331" xfId="4195"/>
    <cellStyle name="1_단가조사표_여객터미널513" xfId="4196"/>
    <cellStyle name="1_단가조사표_여객터미널629" xfId="4197"/>
    <cellStyle name="1_단가조사표_외곽도로616" xfId="4198"/>
    <cellStyle name="1_단가조사표_용인죽전수량" xfId="4199"/>
    <cellStyle name="1_단가조사표_원가계~1" xfId="4200"/>
    <cellStyle name="1_단가조사표_유기질" xfId="4201"/>
    <cellStyle name="1_단가조사표_자재조서 (2)" xfId="4202"/>
    <cellStyle name="1_단가조사표_총괄내역" xfId="4203"/>
    <cellStyle name="1_단가조사표_총괄내역 (2)" xfId="4204"/>
    <cellStyle name="1_단가조사표_터미널도로403" xfId="4205"/>
    <cellStyle name="1_단가조사표_터미널도로429" xfId="4206"/>
    <cellStyle name="1_단가조사표_포장일위" xfId="4207"/>
    <cellStyle name="1_방염산출" xfId="931"/>
    <cellStyle name="1_설계외주사무동 실행(가)" xfId="932"/>
    <cellStyle name="1_수의계약사유서" xfId="933"/>
    <cellStyle name="1_월성단신부임자사택신축 기계실행" xfId="934"/>
    <cellStyle name="1_인테리어 공사 공내역2009.07.23최종(조과장)" xfId="935"/>
    <cellStyle name="1_입찰금액" xfId="936"/>
    <cellStyle name="1_홍학연립 건축실행(관리부검토반영)20030428" xfId="937"/>
    <cellStyle name="10" xfId="938"/>
    <cellStyle name="¹eº" xfId="4208"/>
    <cellStyle name="¹éº" xfId="4209"/>
    <cellStyle name="2" xfId="939"/>
    <cellStyle name="²" xfId="940"/>
    <cellStyle name="2)" xfId="941"/>
    <cellStyle name="2_단가조사표" xfId="942"/>
    <cellStyle name="2_단가조사표_1011소각" xfId="4210"/>
    <cellStyle name="2_단가조사표_1113교~1" xfId="4211"/>
    <cellStyle name="2_단가조사표_121내역" xfId="4212"/>
    <cellStyle name="2_단가조사표_객토량" xfId="4213"/>
    <cellStyle name="2_단가조사표_교통센~1" xfId="4214"/>
    <cellStyle name="2_단가조사표_교통센터412" xfId="4215"/>
    <cellStyle name="2_단가조사표_교통수" xfId="4216"/>
    <cellStyle name="2_단가조사표_교통수량산출서" xfId="4217"/>
    <cellStyle name="2_단가조사표_구조물대가 (2)" xfId="4218"/>
    <cellStyle name="2_단가조사표_내역서 (2)" xfId="4219"/>
    <cellStyle name="2_단가조사표_대전관저지구" xfId="4220"/>
    <cellStyle name="2_단가조사표_동측지~1" xfId="4221"/>
    <cellStyle name="2_단가조사표_동측지원422" xfId="4222"/>
    <cellStyle name="2_단가조사표_동측지원512" xfId="4223"/>
    <cellStyle name="2_단가조사표_동측지원524" xfId="4224"/>
    <cellStyle name="2_단가조사표_부대422" xfId="4225"/>
    <cellStyle name="2_단가조사표_부대시설" xfId="4226"/>
    <cellStyle name="2_단가조사표_소각수~1" xfId="4227"/>
    <cellStyle name="2_단가조사표_소각수내역서" xfId="4228"/>
    <cellStyle name="2_단가조사표_소각수목2" xfId="4229"/>
    <cellStyle name="2_단가조사표_수량산출서 (2)" xfId="4230"/>
    <cellStyle name="2_단가조사표_엑스포~1" xfId="4231"/>
    <cellStyle name="2_단가조사표_엑스포한빛1" xfId="4232"/>
    <cellStyle name="2_단가조사표_여객터미널331" xfId="4233"/>
    <cellStyle name="2_단가조사표_여객터미널513" xfId="4234"/>
    <cellStyle name="2_단가조사표_여객터미널629" xfId="4235"/>
    <cellStyle name="2_단가조사표_외곽도로616" xfId="4236"/>
    <cellStyle name="2_단가조사표_용인죽전수량" xfId="4237"/>
    <cellStyle name="2_단가조사표_원가계~1" xfId="4238"/>
    <cellStyle name="2_단가조사표_유기질" xfId="4239"/>
    <cellStyle name="2_단가조사표_자재조서 (2)" xfId="4240"/>
    <cellStyle name="2_단가조사표_총괄내역" xfId="4241"/>
    <cellStyle name="2_단가조사표_총괄내역 (2)" xfId="4242"/>
    <cellStyle name="2_단가조사표_터미널도로403" xfId="4243"/>
    <cellStyle name="³f¹ô[0]_pldt" xfId="943"/>
    <cellStyle name="³f¹ô_pldt" xfId="944"/>
    <cellStyle name="60" xfId="945"/>
    <cellStyle name="7" xfId="4244"/>
    <cellStyle name="7_6월근무편성" xfId="4245"/>
    <cellStyle name="82" xfId="946"/>
    <cellStyle name="90" xfId="4246"/>
    <cellStyle name="a" xfId="1324"/>
    <cellStyle name="A¡§¡ⓒ¡E¡þ¡EO [0]_INQUIRY ¡E?¡Ii¡§u￠RAA¨I¡þA¨I¨￡ " xfId="1325"/>
    <cellStyle name="A¡§¡ⓒ¡E¡þ¡EO_INQUIRY ¡E?¡Ii¡§u￠RAA¨I¡þA¨I¨￡ " xfId="1326"/>
    <cellStyle name="A¡ER￠R¡¿¡ER¡§I¡ERE¡ER¨I¡ⓒ¡EREO [0]_¡ER￠R¡¿¡ER¨I¡ⓒ?￠RER￠R¡×¡ER￠R¡×I￠RER￠R¡×IoRA￠R¡×I¡§I¡§¡I" xfId="1327"/>
    <cellStyle name="A¡ER￠R¡¿¡ER¡§I¡ERE¡ER¨I¡ⓒ¡EREO_¡ER￠R¡¿¡ER¨I¡ⓒ?￠RER￠R¡×¡ER￠R¡×I￠RER￠R¡×IoRA￠R¡×I¡§I¡§¡I" xfId="1328"/>
    <cellStyle name="A¡ERER￠RER¡ER¡E?¡ERER¡ER￠R¡¿I¡ERERE¡ERER￠R¡×I¡ER¡§I¡EREREO [0]_¡ERER￠RER¡ER¡E?uoA￠RER¡ER￠R￠?Io￠RERER￠RER¡ER￠R￠?¡EREReE￠RER¡ER￠R￠?Io " xfId="1329"/>
    <cellStyle name="A¡ERER￠RER¡ER¡E?¡ERER¡ER￠R¡¿I¡ERERE¡ERER￠R¡×I¡ER¡§I¡EREREO_¡ERER￠RER¡ER¡E?uoA￠RER¡ER￠R￠?Io￠RERER￠RER¡ER￠R￠?¡EREReE￠RER¡ER￠R￠?Io " xfId="1330"/>
    <cellStyle name="A¨­￠￢￠O [0]_ ¨￢n￠￢n¨￢¡Æ ￠?u¨￢¡Æ¡¾a¨uu " xfId="1331"/>
    <cellStyle name="A¨­¢¬¢Ò [0]_ ¨¬n¢¬n¨¬¡Æ ¢¯u¨¬¡Æ¡¾a¨ùu " xfId="1332"/>
    <cellStyle name="A¨­￠￢￠O [0]_¡¾ⓒøA¡Æ¨oA¡Æ¡IC¡I " xfId="1333"/>
    <cellStyle name="A¨­¢¬¢Ò [0]_¡íc¨ú¡À¢¯u¨¬¡Æ .¡¾a¨ùu " xfId="1334"/>
    <cellStyle name="A¨­￠￢￠O [0]_¨¡AC¡IAo_¡ÆeEⓒo3 " xfId="1335"/>
    <cellStyle name="A¨­¢¬¢Ò [0]_¨ùoA©ö¡ÆeE©ö " xfId="1336"/>
    <cellStyle name="A¨­￠￢￠O [0]_¨uoAa¨oCAu " xfId="1337"/>
    <cellStyle name="A¨­¢¬¢Ò [0]_¨ùoAa¨öCAu " xfId="1338"/>
    <cellStyle name="A¨­￠￢￠O [0]_¨uoAa¨oCAu _24통관" xfId="1339"/>
    <cellStyle name="A¨­¢¬¢Ò [0]_¨ùoAa¨öCAu _5월보고벨" xfId="1340"/>
    <cellStyle name="A¨­￠￢￠O [0]_¨uoAa¨oCAu _5월보고상" xfId="1341"/>
    <cellStyle name="A¨­¢¬¢Ò [0]_¨ùoAa¨öCAu _5월보고상" xfId="1342"/>
    <cellStyle name="A¨­￠￢￠O [0]_¨uoAa¨oCAu _5월보고상_공사별CORDER현황" xfId="1343"/>
    <cellStyle name="A¨­¢¬¢Ò [0]_¨ùoAa¨öCAu _5월보고상_공사별CORDER현황" xfId="1344"/>
    <cellStyle name="A¨­￠￢￠O [0]_¨uoAa¨oCAu _5월보고상_공사현황" xfId="1345"/>
    <cellStyle name="A¨­¢¬¢Ò [0]_¨ùoAa¨öCAu _5월보고상_공사현황" xfId="1346"/>
    <cellStyle name="A¨­￠￢￠O [0]_¨uoAa¨oCAu _5월보고상_자료" xfId="1347"/>
    <cellStyle name="A¨­¢¬¢Ò [0]_¨ùoAa¨öCAu _5월보고상_자료" xfId="1348"/>
    <cellStyle name="A¨­￠￢￠O [0]_¨uoAa¨oCAu _5월보고시" xfId="1349"/>
    <cellStyle name="A¨­¢¬¢Ò [0]_¨ùoAa¨öCAu _5월보고시" xfId="1350"/>
    <cellStyle name="A¨­￠￢￠O [0]_¨uoAa¨oCAu _5월보고시_공사별CORDER현황" xfId="1351"/>
    <cellStyle name="A¨­¢¬¢Ò [0]_¨ùoAa¨öCAu _5월보고시_공사별CORDER현황" xfId="1352"/>
    <cellStyle name="A¨­￠￢￠O [0]_¨uoAa¨oCAu _5월보고시_공사현황" xfId="1353"/>
    <cellStyle name="A¨­¢¬¢Ò [0]_¨ùoAa¨öCAu _5월보고시_공사현황" xfId="1354"/>
    <cellStyle name="A¨­￠￢￠O [0]_¨uoAa¨oCAu _5월보고시_자료" xfId="1355"/>
    <cellStyle name="A¨­¢¬¢Ò [0]_¨ùoAa¨öCAu _5월보고시_자료" xfId="1356"/>
    <cellStyle name="A¨­￠￢￠O [0]_¨uoAa¨oCAu _A￥iE¡I3￠?u " xfId="1362"/>
    <cellStyle name="A¨­¢¬¢Ò [0]_¨ùoAa¨öCAu _A¥ìE¡Ì3¢¯u " xfId="1363"/>
    <cellStyle name="A¨­￠￢￠O [0]_¨uoAa¨oCAu _ⓒo¡i￠?¨￡10￠?u " xfId="1364"/>
    <cellStyle name="A¨­¢¬¢Ò [0]_¨ùoAa¨öCAu _Co¢¥e¨ú¡À©ö¡ìA©¬A©ª " xfId="1365"/>
    <cellStyle name="A¨­￠￢￠O [0]_¨uoAa¨oCAu _Co￠￥e¨u¡Aⓒo¡iAⓒ￢Aⓒª " xfId="1366"/>
    <cellStyle name="A¨­¢¬¢Ò [0]_¨ùoAa¨öCAu _공사현황" xfId="1357"/>
    <cellStyle name="A¨­￠￢￠O [0]_¨uoAa¨oCAu _매출확정" xfId="1358"/>
    <cellStyle name="A¨­¢¬¢Ò [0]_¨ùoAa¨öCAu _상주법인회의자료" xfId="1359"/>
    <cellStyle name="A¨­￠￢￠O [0]_¨uoAa¨oCAu _인테리어 공사 공내역2009.07.23최종(조과장)" xfId="1360"/>
    <cellStyle name="A¨­¢¬¢Ò [0]_¨ùoAa¨öCAu _자료" xfId="1361"/>
    <cellStyle name="A¨­￠￢￠O [0]_￠￢nAu¨￢¡Æ " xfId="1367"/>
    <cellStyle name="A¨­¢¬¢Ò [0]_¢¬nAu¨¬¡Æ " xfId="1368"/>
    <cellStyle name="A¨­￠￢￠O [0]_2￠?u￠￢AAa " xfId="1369"/>
    <cellStyle name="A¨­¢¬¢Ò [0]_2¢¯u¢¬AAa " xfId="1370"/>
    <cellStyle name="A¨­￠￢￠O [0]_A¡AAO¡¾Y " xfId="1371"/>
    <cellStyle name="A¨­¢¬¢Ò [0]_A¡ÀAO¡¾Y " xfId="1372"/>
    <cellStyle name="A¨­￠￢￠O [0]_A¡AAO¡¾Y _5월보고벨" xfId="1373"/>
    <cellStyle name="A¨­¢¬¢Ò [0]_A¡ÀAO¡¾Y _5월보고벨" xfId="1374"/>
    <cellStyle name="A¨­￠￢￠O [0]_A¡AAO¡¾Y _5월보고상" xfId="1375"/>
    <cellStyle name="A¨­¢¬¢Ò [0]_A¡ÀAO¡¾Y _5월보고상" xfId="1376"/>
    <cellStyle name="A¨­￠￢￠O [0]_A¡AAO¡¾Y _5월보고시" xfId="1377"/>
    <cellStyle name="A¨­¢¬¢Ò [0]_A¡ÀAO¡¾Y _5월보고시" xfId="1378"/>
    <cellStyle name="A¨­￠￢￠O [0]_A¡AAO¡¾Y _계획22" xfId="1379"/>
    <cellStyle name="A¨­¢¬¢Ò [0]_A¡ÀAO¡¾Y _계획22" xfId="1380"/>
    <cellStyle name="A¨­￠￢￠O [0]_A¡AAO¡¾Y _계획22_5월보고벨" xfId="1381"/>
    <cellStyle name="A¨­¢¬¢Ò [0]_A¡ÀAO¡¾Y _계획22_5월보고벨" xfId="1382"/>
    <cellStyle name="A¨­￠￢￠O [0]_A¡AAO¡¾Y _계획22_5월보고상" xfId="1383"/>
    <cellStyle name="A¨­¢¬¢Ò [0]_A¡ÀAO¡¾Y _계획22_5월보고상" xfId="1384"/>
    <cellStyle name="A¨­￠￢￠O [0]_A¡AAO¡¾Y _계획22_5월보고시" xfId="1385"/>
    <cellStyle name="A¨­¢¬¢Ò [0]_A¡ÀAO¡¾Y _계획22_5월보고시" xfId="1386"/>
    <cellStyle name="A¨­￠￢￠O [0]_A¡AAO¡¾Y _계획22_공사별CORDER현황" xfId="1387"/>
    <cellStyle name="A¨­¢¬¢Ò [0]_A¡ÀAO¡¾Y _계획22_공사별CORDER현황" xfId="1388"/>
    <cellStyle name="A¨­￠￢￠O [0]_A¡AAO¡¾Y _계획22_공사현황" xfId="1389"/>
    <cellStyle name="A¨­¢¬¢Ò [0]_A¡ÀAO¡¾Y _계획22_공사현황" xfId="1390"/>
    <cellStyle name="A¨­￠￢￠O [0]_A¡AAO¡¾Y _계획22_상주법인회의자료" xfId="1391"/>
    <cellStyle name="A¨­¢¬¢Ò [0]_A¡ÀAO¡¾Y _계획22_상주법인회의자료" xfId="1392"/>
    <cellStyle name="A¨­￠￢￠O [0]_A¡AAO¡¾Y _계획22_자료" xfId="1393"/>
    <cellStyle name="A¨­¢¬¢Ò [0]_A¡ÀAO¡¾Y _계획22_자료" xfId="1394"/>
    <cellStyle name="A¨­￠￢￠O [0]_A¡AAO¡¾Y _공사별CORDER현황" xfId="1395"/>
    <cellStyle name="A¨­¢¬¢Ò [0]_A¡ÀAO¡¾Y _공사별CORDER현황" xfId="1396"/>
    <cellStyle name="A¨­￠￢￠O [0]_A¡AAO¡¾Y _공사현황" xfId="1397"/>
    <cellStyle name="A¨­¢¬¢Ò [0]_A¡ÀAO¡¾Y _공사현황" xfId="1398"/>
    <cellStyle name="A¨­￠￢￠O [0]_A¡AAO¡¾Y _상주법인회의자료" xfId="1399"/>
    <cellStyle name="A¨­¢¬¢Ò [0]_A¡ÀAO¡¾Y _상주법인회의자료" xfId="1400"/>
    <cellStyle name="A¨­￠￢￠O [0]_A¡AAO¡¾Y _실적01(2안)" xfId="1401"/>
    <cellStyle name="A¨­¢¬¢Ò [0]_A¡ÀAO¡¾Y _실적01(2안)" xfId="1402"/>
    <cellStyle name="A¨­￠￢￠O [0]_A¡AAO¡¾Y _실적01(2안)_공사별CORDER현황" xfId="1403"/>
    <cellStyle name="A¨­¢¬¢Ò [0]_A¡ÀAO¡¾Y _실적01(2안)_공사별CORDER현황" xfId="1404"/>
    <cellStyle name="A¨­￠￢￠O [0]_A¡AAO¡¾Y _실적01(2안)_공사현황" xfId="1405"/>
    <cellStyle name="A¨­¢¬¢Ò [0]_A¡ÀAO¡¾Y _실적01(2안)_공사현황" xfId="1406"/>
    <cellStyle name="A¨­￠￢￠O [0]_A¡AAO¡¾Y _실적01(2안)_자료" xfId="1407"/>
    <cellStyle name="A¨­¢¬¢Ò [0]_A¡ÀAO¡¾Y _실적01(2안)_자료" xfId="1408"/>
    <cellStyle name="A¨­￠￢￠O [0]_A¡AAO¡¾Y _자료" xfId="1409"/>
    <cellStyle name="A¨­¢¬¢Ò [0]_A¡ÀAO¡¾Y _자료" xfId="1410"/>
    <cellStyle name="A¨­￠￢￠O [0]_A¡AAO¡¾Y ¡¾￠￢A￠O " xfId="1411"/>
    <cellStyle name="A¨­¢¬¢Ò [0]_A¡ÀAO¡¾Y ¡¾¢¬A¢Ò " xfId="1412"/>
    <cellStyle name="A¨­￠￢￠O [0]_A¡AAO¡¾Y ¡¾￠￢A￠O _24통관" xfId="1413"/>
    <cellStyle name="A¨­¢¬¢Ò [0]_A¡ÀAO¡¾Y ¡¾¢¬A¢Ò _5월보고벨" xfId="1414"/>
    <cellStyle name="A¨­￠￢￠O [0]_A¡AAO¡¾Y ¡¾￠￢A￠O _5월보고상" xfId="1415"/>
    <cellStyle name="A¨­¢¬¢Ò [0]_A¡ÀAO¡¾Y ¡¾¢¬A¢Ò _5월보고상" xfId="1416"/>
    <cellStyle name="A¨­￠￢￠O [0]_A¡AAO¡¾Y ¡¾￠￢A￠O _5월보고상_공사별CORDER현황" xfId="1417"/>
    <cellStyle name="A¨­¢¬¢Ò [0]_A¡ÀAO¡¾Y ¡¾¢¬A¢Ò _5월보고상_공사별CORDER현황" xfId="1418"/>
    <cellStyle name="A¨­￠￢￠O [0]_A¡AAO¡¾Y ¡¾￠￢A￠O _5월보고상_공사현황" xfId="1419"/>
    <cellStyle name="A¨­¢¬¢Ò [0]_A¡ÀAO¡¾Y ¡¾¢¬A¢Ò _5월보고상_공사현황" xfId="1420"/>
    <cellStyle name="A¨­￠￢￠O [0]_A¡AAO¡¾Y ¡¾￠￢A￠O _5월보고상_자료" xfId="1421"/>
    <cellStyle name="A¨­¢¬¢Ò [0]_A¡ÀAO¡¾Y ¡¾¢¬A¢Ò _5월보고상_자료" xfId="1422"/>
    <cellStyle name="A¨­￠￢￠O [0]_A¡AAO¡¾Y ¡¾￠￢A￠O _5월보고시" xfId="1423"/>
    <cellStyle name="A¨­¢¬¢Ò [0]_A¡ÀAO¡¾Y ¡¾¢¬A¢Ò _5월보고시" xfId="1424"/>
    <cellStyle name="A¨­￠￢￠O [0]_A¡AAO¡¾Y ¡¾￠￢A￠O _5월보고시_공사별CORDER현황" xfId="1425"/>
    <cellStyle name="A¨­¢¬¢Ò [0]_A¡ÀAO¡¾Y ¡¾¢¬A¢Ò _5월보고시_공사별CORDER현황" xfId="1426"/>
    <cellStyle name="A¨­￠￢￠O [0]_A¡AAO¡¾Y ¡¾￠￢A￠O _5월보고시_공사현황" xfId="1427"/>
    <cellStyle name="A¨­¢¬¢Ò [0]_A¡ÀAO¡¾Y ¡¾¢¬A¢Ò _5월보고시_공사현황" xfId="1428"/>
    <cellStyle name="A¨­￠￢￠O [0]_A¡AAO¡¾Y ¡¾￠￢A￠O _5월보고시_자료" xfId="1429"/>
    <cellStyle name="A¨­¢¬¢Ò [0]_A¡ÀAO¡¾Y ¡¾¢¬A¢Ò _5월보고시_자료" xfId="1430"/>
    <cellStyle name="A¨­￠￢￠O [0]_A¡AAO¡¾Y ¡¾￠￢A￠O _공사별CORDER현황" xfId="1431"/>
    <cellStyle name="A¨­¢¬¢Ò [0]_A¡ÀAO¡¾Y ¡¾¢¬A¢Ò _공사별CORDER현황" xfId="1432"/>
    <cellStyle name="A¨­￠￢￠O [0]_A¡AAO¡¾Y ¡¾￠￢A￠O _공사현황" xfId="1433"/>
    <cellStyle name="A¨­¢¬¢Ò [0]_A¡ÀAO¡¾Y ¡¾¢¬A¢Ò _공사현황" xfId="1434"/>
    <cellStyle name="A¨­￠￢￠O [0]_A¡AAO¡¾Y ¡¾￠￢A￠O _매출확정" xfId="1435"/>
    <cellStyle name="A¨­¢¬¢Ò [0]_A¡ÀAO¡¾Y ¡¾¢¬A¢Ò _상주법인회의자료" xfId="1436"/>
    <cellStyle name="A¨­￠￢￠O [0]_A¡AAO¡¾Y ¡¾￠￢A￠O _자료" xfId="1437"/>
    <cellStyle name="A¨­¢¬¢Ò [0]_A¡ÀAO¡¾Y ¡¾¢¬A¢Ò _자료" xfId="1438"/>
    <cellStyle name="A¨­￠￢￠O [0]_A￠O￠￥¨­¡ÆeEⓒo " xfId="1439"/>
    <cellStyle name="A¨­¢¬¢Ò [0]_CaEA5©øa (2)_¨ùoAa " xfId="1440"/>
    <cellStyle name="A¨­￠￢￠O [0]_CaEA5ⓒøa (2)_¨uoAa " xfId="1441"/>
    <cellStyle name="A¨­¢¬¢Ò [0]_Co¢¥e¨ú¡À©ö¡ìA©¬A©ª " xfId="1442"/>
    <cellStyle name="A¨­￠￢￠O [0]_Co￠￥e¨u¡Aⓒo¡iAⓒ￢Aⓒª " xfId="1443"/>
    <cellStyle name="A¨­¢¬¢Ò [0]_INQUIRY ¢¯¥ì¨ú¡ÀA©¬A©ª " xfId="1444"/>
    <cellStyle name="A¨­￠￢￠O_ ¨￢n￠￢n¨￢¡Æ ￠?u¨￢¡Æ¡¾a¨uu " xfId="1445"/>
    <cellStyle name="A¨­¢¬¢Ò_ ¨¬n¢¬n¨¬¡Æ ¢¯u¨¬¡Æ¡¾a¨ùu " xfId="1446"/>
    <cellStyle name="A¨­￠￢￠O_¡¾ⓒøA¡Æ¨oA¡Æ¡IC¡I " xfId="1447"/>
    <cellStyle name="A¨­¢¬¢Ò_¡íc¨ú¡À¢¯u¨¬¡Æ .¡¾a¨ùu " xfId="1448"/>
    <cellStyle name="A¨­￠￢￠O_¨¡AC¡IAo_¡ÆeEⓒo3 " xfId="1449"/>
    <cellStyle name="A¨­¢¬¢Ò_¨ùoA©ö¡ÆeE©ö " xfId="1450"/>
    <cellStyle name="A¨­￠￢￠O_¨uoAa¨oCAu " xfId="1451"/>
    <cellStyle name="A¨­¢¬¢Ò_¨ùoAa¨öCAu " xfId="1452"/>
    <cellStyle name="A¨­￠￢￠O_¨uoAa¨oCAu _24통관" xfId="1453"/>
    <cellStyle name="A¨­¢¬¢Ò_¨ùoAa¨öCAu _5월보고벨" xfId="1454"/>
    <cellStyle name="A¨­￠￢￠O_¨uoAa¨oCAu _5월보고상" xfId="1455"/>
    <cellStyle name="A¨­¢¬¢Ò_¨ùoAa¨öCAu _5월보고상" xfId="1456"/>
    <cellStyle name="A¨­￠￢￠O_¨uoAa¨oCAu _5월보고상_공사별CORDER현황" xfId="1457"/>
    <cellStyle name="A¨­¢¬¢Ò_¨ùoAa¨öCAu _5월보고상_공사별CORDER현황" xfId="1458"/>
    <cellStyle name="A¨­￠￢￠O_¨uoAa¨oCAu _5월보고상_공사현황" xfId="1459"/>
    <cellStyle name="A¨­¢¬¢Ò_¨ùoAa¨öCAu _5월보고상_공사현황" xfId="1460"/>
    <cellStyle name="A¨­￠￢￠O_¨uoAa¨oCAu _5월보고상_자료" xfId="1461"/>
    <cellStyle name="A¨­¢¬¢Ò_¨ùoAa¨öCAu _5월보고상_자료" xfId="1462"/>
    <cellStyle name="A¨­￠￢￠O_¨uoAa¨oCAu _5월보고시" xfId="1463"/>
    <cellStyle name="A¨­¢¬¢Ò_¨ùoAa¨öCAu _5월보고시" xfId="1464"/>
    <cellStyle name="A¨­￠￢￠O_¨uoAa¨oCAu _5월보고시_공사별CORDER현황" xfId="1465"/>
    <cellStyle name="A¨­¢¬¢Ò_¨ùoAa¨öCAu _5월보고시_공사별CORDER현황" xfId="1466"/>
    <cellStyle name="A¨­￠￢￠O_¨uoAa¨oCAu _5월보고시_공사현황" xfId="1467"/>
    <cellStyle name="A¨­¢¬¢Ò_¨ùoAa¨öCAu _5월보고시_공사현황" xfId="1468"/>
    <cellStyle name="A¨­￠￢￠O_¨uoAa¨oCAu _5월보고시_자료" xfId="1469"/>
    <cellStyle name="A¨­¢¬¢Ò_¨ùoAa¨öCAu _5월보고시_자료" xfId="1470"/>
    <cellStyle name="A¨­￠￢￠O_¨uoAa¨oCAu _ⓒo¡i￠?¨￡10￠?u " xfId="1476"/>
    <cellStyle name="A¨­¢¬¢Ò_¨ùoAa¨öCAu _Co¢¥e¨ú¡À©ö¡ìA©¬A©ª " xfId="1477"/>
    <cellStyle name="A¨­￠￢￠O_¨uoAa¨oCAu _Co￠￥e¨u¡Aⓒo¡iAⓒ￢Aⓒª " xfId="1478"/>
    <cellStyle name="A¨­¢¬¢Ò_¨ùoAa¨öCAu _공사현황" xfId="1471"/>
    <cellStyle name="A¨­￠￢￠O_¨uoAa¨oCAu _매출확정" xfId="1472"/>
    <cellStyle name="A¨­¢¬¢Ò_¨ùoAa¨öCAu _상주법인회의자료" xfId="1473"/>
    <cellStyle name="A¨­￠￢￠O_¨uoAa¨oCAu _인테리어 공사 공내역2009.07.23최종(조과장)" xfId="1474"/>
    <cellStyle name="A¨­¢¬¢Ò_¨ùoAa¨öCAu _자료" xfId="1475"/>
    <cellStyle name="A¨­￠￢￠O_￠￢nAu¨￢¡Æ " xfId="1479"/>
    <cellStyle name="A¨­¢¬¢Ò_¢¬nAu¨¬¡Æ " xfId="1480"/>
    <cellStyle name="A¨­￠￢￠O_1202_¨uoAa " xfId="1481"/>
    <cellStyle name="A¨­¢¬¢Ò_1202_¨ùoAa " xfId="1482"/>
    <cellStyle name="A¨­￠￢￠O_2￠?u￠￢AAa " xfId="1483"/>
    <cellStyle name="A¨­¢¬¢Ò_2¢¯u¢¬AAa " xfId="1484"/>
    <cellStyle name="A¨­￠￢￠O_A¡AAO¡¾Y " xfId="1485"/>
    <cellStyle name="A¨­¢¬¢Ò_A¡ÀAO¡¾Y " xfId="1486"/>
    <cellStyle name="A¨­￠￢￠O_A¡AAO¡¾Y _5월보고벨" xfId="1487"/>
    <cellStyle name="A¨­¢¬¢Ò_A¡ÀAO¡¾Y _5월보고벨" xfId="1488"/>
    <cellStyle name="A¨­￠￢￠O_A¡AAO¡¾Y _5월보고상" xfId="1489"/>
    <cellStyle name="A¨­¢¬¢Ò_A¡ÀAO¡¾Y _5월보고상" xfId="1490"/>
    <cellStyle name="A¨­￠￢￠O_A¡AAO¡¾Y _5월보고시" xfId="1491"/>
    <cellStyle name="A¨­¢¬¢Ò_A¡ÀAO¡¾Y _5월보고시" xfId="1492"/>
    <cellStyle name="A¨­￠￢￠O_A¡AAO¡¾Y _계획22" xfId="1493"/>
    <cellStyle name="A¨­¢¬¢Ò_A¡ÀAO¡¾Y _계획22" xfId="1494"/>
    <cellStyle name="A¨­￠￢￠O_A¡AAO¡¾Y _계획22_5월보고벨" xfId="1495"/>
    <cellStyle name="A¨­¢¬¢Ò_A¡ÀAO¡¾Y _계획22_5월보고벨" xfId="1496"/>
    <cellStyle name="A¨­￠￢￠O_A¡AAO¡¾Y _계획22_5월보고상" xfId="1497"/>
    <cellStyle name="A¨­¢¬¢Ò_A¡ÀAO¡¾Y _계획22_5월보고상" xfId="1498"/>
    <cellStyle name="A¨­￠￢￠O_A¡AAO¡¾Y _계획22_5월보고시" xfId="1499"/>
    <cellStyle name="A¨­¢¬¢Ò_A¡ÀAO¡¾Y _계획22_5월보고시" xfId="1500"/>
    <cellStyle name="A¨­￠￢￠O_A¡AAO¡¾Y _계획22_공사별CORDER현황" xfId="1501"/>
    <cellStyle name="A¨­¢¬¢Ò_A¡ÀAO¡¾Y _계획22_공사별CORDER현황" xfId="1502"/>
    <cellStyle name="A¨­￠￢￠O_A¡AAO¡¾Y _계획22_공사현황" xfId="1503"/>
    <cellStyle name="A¨­¢¬¢Ò_A¡ÀAO¡¾Y _계획22_공사현황" xfId="1504"/>
    <cellStyle name="A¨­￠￢￠O_A¡AAO¡¾Y _계획22_상주법인회의자료" xfId="1505"/>
    <cellStyle name="A¨­¢¬¢Ò_A¡ÀAO¡¾Y _계획22_상주법인회의자료" xfId="1506"/>
    <cellStyle name="A¨­￠￢￠O_A¡AAO¡¾Y _계획22_자료" xfId="1507"/>
    <cellStyle name="A¨­¢¬¢Ò_A¡ÀAO¡¾Y _계획22_자료" xfId="1508"/>
    <cellStyle name="A¨­￠￢￠O_A¡AAO¡¾Y _공사별CORDER현황" xfId="1509"/>
    <cellStyle name="A¨­¢¬¢Ò_A¡ÀAO¡¾Y _공사별CORDER현황" xfId="1510"/>
    <cellStyle name="A¨­￠￢￠O_A¡AAO¡¾Y _공사현황" xfId="1511"/>
    <cellStyle name="A¨­¢¬¢Ò_A¡ÀAO¡¾Y _공사현황" xfId="1512"/>
    <cellStyle name="A¨­￠￢￠O_A¡AAO¡¾Y _상주법인회의자료" xfId="1513"/>
    <cellStyle name="A¨­¢¬¢Ò_A¡ÀAO¡¾Y _상주법인회의자료" xfId="1514"/>
    <cellStyle name="A¨­￠￢￠O_A¡AAO¡¾Y _실적01(2안)" xfId="1515"/>
    <cellStyle name="A¨­¢¬¢Ò_A¡ÀAO¡¾Y _실적01(2안)" xfId="1516"/>
    <cellStyle name="A¨­￠￢￠O_A¡AAO¡¾Y _실적01(2안)_공사별CORDER현황" xfId="1517"/>
    <cellStyle name="A¨­¢¬¢Ò_A¡ÀAO¡¾Y _실적01(2안)_공사별CORDER현황" xfId="1518"/>
    <cellStyle name="A¨­￠￢￠O_A¡AAO¡¾Y _실적01(2안)_공사현황" xfId="1519"/>
    <cellStyle name="A¨­¢¬¢Ò_A¡ÀAO¡¾Y _실적01(2안)_공사현황" xfId="1520"/>
    <cellStyle name="A¨­￠￢￠O_A¡AAO¡¾Y _실적01(2안)_자료" xfId="1521"/>
    <cellStyle name="A¨­¢¬¢Ò_A¡ÀAO¡¾Y _실적01(2안)_자료" xfId="1522"/>
    <cellStyle name="A¨­￠￢￠O_A¡AAO¡¾Y _자료" xfId="1523"/>
    <cellStyle name="A¨­¢¬¢Ò_A¡ÀAO¡¾Y _자료" xfId="1524"/>
    <cellStyle name="A¨­￠￢￠O_A¡AAO¡¾Y ¡¾￠￢A￠O " xfId="1525"/>
    <cellStyle name="A¨­¢¬¢Ò_A¡ÀAO¡¾Y ¡¾¢¬A¢Ò " xfId="1526"/>
    <cellStyle name="A¨­￠￢￠O_A¡AAO¡¾Y ¡¾￠￢A￠O _24통관" xfId="1527"/>
    <cellStyle name="A¨­¢¬¢Ò_A¡ÀAO¡¾Y ¡¾¢¬A¢Ò _5월보고벨" xfId="1528"/>
    <cellStyle name="A¨­￠￢￠O_A¡AAO¡¾Y ¡¾￠￢A￠O _5월보고상" xfId="1529"/>
    <cellStyle name="A¨­¢¬¢Ò_A¡ÀAO¡¾Y ¡¾¢¬A¢Ò _5월보고상" xfId="1530"/>
    <cellStyle name="A¨­￠￢￠O_A¡AAO¡¾Y ¡¾￠￢A￠O _5월보고상_공사별CORDER현황" xfId="1531"/>
    <cellStyle name="A¨­¢¬¢Ò_A¡ÀAO¡¾Y ¡¾¢¬A¢Ò _5월보고상_공사별CORDER현황" xfId="1532"/>
    <cellStyle name="A¨­￠￢￠O_A¡AAO¡¾Y ¡¾￠￢A￠O _5월보고상_공사현황" xfId="1533"/>
    <cellStyle name="A¨­¢¬¢Ò_A¡ÀAO¡¾Y ¡¾¢¬A¢Ò _5월보고상_공사현황" xfId="1534"/>
    <cellStyle name="A¨­￠￢￠O_A¡AAO¡¾Y ¡¾￠￢A￠O _5월보고상_자료" xfId="1535"/>
    <cellStyle name="A¨­¢¬¢Ò_A¡ÀAO¡¾Y ¡¾¢¬A¢Ò _5월보고상_자료" xfId="1536"/>
    <cellStyle name="A¨­￠￢￠O_A¡AAO¡¾Y ¡¾￠￢A￠O _5월보고시" xfId="1537"/>
    <cellStyle name="A¨­¢¬¢Ò_A¡ÀAO¡¾Y ¡¾¢¬A¢Ò _5월보고시" xfId="1538"/>
    <cellStyle name="A¨­￠￢￠O_A¡AAO¡¾Y ¡¾￠￢A￠O _5월보고시_공사별CORDER현황" xfId="1539"/>
    <cellStyle name="A¨­¢¬¢Ò_A¡ÀAO¡¾Y ¡¾¢¬A¢Ò _5월보고시_공사별CORDER현황" xfId="1540"/>
    <cellStyle name="A¨­￠￢￠O_A¡AAO¡¾Y ¡¾￠￢A￠O _5월보고시_공사현황" xfId="1541"/>
    <cellStyle name="A¨­¢¬¢Ò_A¡ÀAO¡¾Y ¡¾¢¬A¢Ò _5월보고시_공사현황" xfId="1542"/>
    <cellStyle name="A¨­￠￢￠O_A¡AAO¡¾Y ¡¾￠￢A￠O _5월보고시_자료" xfId="1543"/>
    <cellStyle name="A¨­¢¬¢Ò_A¡ÀAO¡¾Y ¡¾¢¬A¢Ò _5월보고시_자료" xfId="1544"/>
    <cellStyle name="A¨­￠￢￠O_A¡AAO¡¾Y ¡¾￠￢A￠O _공사별CORDER현황" xfId="1545"/>
    <cellStyle name="A¨­¢¬¢Ò_A¡ÀAO¡¾Y ¡¾¢¬A¢Ò _공사별CORDER현황" xfId="1546"/>
    <cellStyle name="A¨­￠￢￠O_A¡AAO¡¾Y ¡¾￠￢A￠O _공사현황" xfId="1547"/>
    <cellStyle name="A¨­¢¬¢Ò_A¡ÀAO¡¾Y ¡¾¢¬A¢Ò _공사현황" xfId="1548"/>
    <cellStyle name="A¨­￠￢￠O_A¡AAO¡¾Y ¡¾￠￢A￠O _매출확정" xfId="1549"/>
    <cellStyle name="A¨­¢¬¢Ò_A¡ÀAO¡¾Y ¡¾¢¬A¢Ò _상주법인회의자료" xfId="1550"/>
    <cellStyle name="A¨­￠￢￠O_A¡AAO¡¾Y ¡¾￠￢A￠O _자료" xfId="1551"/>
    <cellStyle name="A¨­¢¬¢Ò_A¡ÀAO¡¾Y ¡¾¢¬A¢Ò _자료" xfId="1552"/>
    <cellStyle name="A¨­￠￢￠O_A￠O￠￥¨­¡ÆeEⓒo " xfId="1553"/>
    <cellStyle name="A¨­¢¬¢Ò_AO¡Æ¡Ì¢¬AAaCoE©÷_¨ùoAa " xfId="1554"/>
    <cellStyle name="A¨­￠￢￠O_AO¡Æ¡I￠￢AAaCoEⓒ÷_¨uoAa " xfId="1555"/>
    <cellStyle name="A¨­¢¬¢Ò_CaEA5©øa (2)_¨ùoAa " xfId="1556"/>
    <cellStyle name="A¨­￠￢￠O_CaEA5ⓒøa (2)_¨uoAa " xfId="1557"/>
    <cellStyle name="A¨­¢¬¢Ò_Co¢¥e¨ú¡À©ö¡ìA©¬A©ª " xfId="1558"/>
    <cellStyle name="A¨­￠￢￠O_Co￠￥e¨u¡Aⓒo¡iAⓒ￢Aⓒª " xfId="1559"/>
    <cellStyle name="A¨­¢¬¢Ò_INQUIRY ¢¯¥ì¨ú¡ÀA©¬A©ª " xfId="1560"/>
    <cellStyle name="A￠R¡×￠R¨I￠RE￠Rⓒ­￠REO [0]_ ￠R¡×￠Rⓒ­n￠RE￠Rⓒ­n￠R¡×￠Rⓒ­¡ER¡§￠R ￠RE?u￠R¡×￠Rⓒ­¡ER¡§￠R¡ER¡§ua￠R¡×uu " xfId="1561"/>
    <cellStyle name="A￠R¡×￠R¨I￠RE￠Rⓒ­￠REO_ ￠R¡×￠Rⓒ­n￠RE￠Rⓒ­n￠R¡×￠Rⓒ­¡ER¡§￠R ￠RE?u￠R¡×￠Rⓒ­¡ER¡§￠R¡ER¡§ua￠R¡×uu " xfId="1562"/>
    <cellStyle name="Aⓒ" xfId="4263"/>
    <cellStyle name="Aⓒ­￠￢￠" xfId="4264"/>
    <cellStyle name="Ae" xfId="4265"/>
    <cellStyle name="Åë" xfId="4266"/>
    <cellStyle name="Aee­ " xfId="1563"/>
    <cellStyle name="Aee­ [" xfId="4267"/>
    <cellStyle name="Åëè­ [" xfId="4268"/>
    <cellStyle name="AeE­ [0]_ 2ÆAAþº° " xfId="1564"/>
    <cellStyle name="ÅëÈ­ [0]_ ºñ¸ñº° ¿ùº°±â¼ú " xfId="1565"/>
    <cellStyle name="AeE­ [0]_´e¿UCN¹R°ø¹R " xfId="1566"/>
    <cellStyle name="ÅëÈ­ [0]_´ëºñÇ¥" xfId="1567"/>
    <cellStyle name="AeE­ [0]_¸AAa" xfId="1568"/>
    <cellStyle name="ÅëÈ­ [0]_¸ÅÃâ_¼öÃâ " xfId="1569"/>
    <cellStyle name="AeE­ [0]_¸AAa_인테리어 공사 공내역2009.07.23최종(조과장)" xfId="1570"/>
    <cellStyle name="ÅëÈ­ [0]_¸ÅÃâ¸ÅÃâ¿ø°¡ " xfId="1571"/>
    <cellStyle name="AeE­ [0]_¸AAa¸AAa¿ø°¡ _24통관" xfId="1572"/>
    <cellStyle name="ÅëÈ­ [0]_¸ÅÃâ¸ÅÃâ¿ø°¡ _5월보고벨" xfId="1573"/>
    <cellStyle name="AeE­ [0]_¸AAa¸AAa¿ø°¡ _5월보고상" xfId="1574"/>
    <cellStyle name="ÅëÈ­ [0]_¸ÅÃâ¸ÅÃâ¿ø°¡ _5월보고상" xfId="1575"/>
    <cellStyle name="AeE­ [0]_¸AAa¸AAa¿ø°¡ _5월보고상_공사별CORDER현황" xfId="1576"/>
    <cellStyle name="ÅëÈ­ [0]_¸ÅÃâ¸ÅÃâ¿ø°¡ _5월보고상_공사별CORDER현황" xfId="1577"/>
    <cellStyle name="AeE­ [0]_¸AAa¸AAa¿ø°¡ _5월보고상_공사현황" xfId="1578"/>
    <cellStyle name="ÅëÈ­ [0]_¸ÅÃâ¸ÅÃâ¿ø°¡ _5월보고상_공사현황" xfId="1579"/>
    <cellStyle name="AeE­ [0]_¸AAa¸AAa¿ø°¡ _5월보고상_자료" xfId="1580"/>
    <cellStyle name="ÅëÈ­ [0]_¸ÅÃâ¸ÅÃâ¿ø°¡ _5월보고상_자료" xfId="1581"/>
    <cellStyle name="AeE­ [0]_¸AAa¸AAa¿ø°¡ _5월보고시" xfId="1582"/>
    <cellStyle name="ÅëÈ­ [0]_¸ÅÃâ¸ÅÃâ¿ø°¡ _5월보고시" xfId="1583"/>
    <cellStyle name="AeE­ [0]_¸AAa¸AAa¿ø°¡ _5월보고시_공사별CORDER현황" xfId="1584"/>
    <cellStyle name="ÅëÈ­ [0]_¸ÅÃâ¸ÅÃâ¿ø°¡ _5월보고시_공사별CORDER현황" xfId="1585"/>
    <cellStyle name="AeE­ [0]_¸AAa¸AAa¿ø°¡ _5월보고시_공사현황" xfId="1586"/>
    <cellStyle name="ÅëÈ­ [0]_¸ÅÃâ¸ÅÃâ¿ø°¡ _5월보고시_공사현황" xfId="1587"/>
    <cellStyle name="AeE­ [0]_¸AAa¸AAa¿ø°¡ _5월보고시_자료" xfId="1588"/>
    <cellStyle name="ÅëÈ­ [0]_¸ÅÃâ¸ÅÃâ¿ø°¡ _5월보고시_자료" xfId="1589"/>
    <cellStyle name="AeE­ [0]_¸AAa¸AAa¿ø°¡ _공사별CORDER현황" xfId="1590"/>
    <cellStyle name="ÅëÈ­ [0]_¸ÅÃâ¸ÅÃâ¿ø°¡ _공사별CORDER현황" xfId="1591"/>
    <cellStyle name="AeE­ [0]_¸AAa¸AAa¿ø°¡ _공사현황" xfId="1592"/>
    <cellStyle name="ÅëÈ­ [0]_¸ÅÃâ¸ÅÃâ¿ø°¡ _공사현황" xfId="1593"/>
    <cellStyle name="AeE­ [0]_¸AAa¸AAa¿ø°¡ _매출확정" xfId="1594"/>
    <cellStyle name="ÅëÈ­ [0]_¸ÅÃâ¸ÅÃâ¿ø°¡ _상주법인회의자료" xfId="1595"/>
    <cellStyle name="AeE­ [0]_¸AAa¸AAa¿ø°¡ _자료" xfId="1596"/>
    <cellStyle name="ÅëÈ­ [0]_¸ÅÃâ¸ÅÃâ¿ø°¡ _자료" xfId="1597"/>
    <cellStyle name="AeE­ [0]_¸AAa¾×(3)" xfId="1598"/>
    <cellStyle name="ÅëÈ­ [0]_¸ðÇü¸·" xfId="4269"/>
    <cellStyle name="AeE­ [0]_¿­¸° INT" xfId="1599"/>
    <cellStyle name="ÅëÈ­ [0]_±âÅ¸" xfId="1600"/>
    <cellStyle name="AeE­ [0]_°eE¹3 _24통관" xfId="1601"/>
    <cellStyle name="ÅëÈ­ [0]_°èÈ¹3 _5월보고벨" xfId="1602"/>
    <cellStyle name="AeE­ [0]_°eE¹3 _매출확정" xfId="1603"/>
    <cellStyle name="ÅëÈ­ [0]_°èÈ¹3 _상주법인회의자료" xfId="1604"/>
    <cellStyle name="AeE­ [0]_¼oA¹°eE¹ " xfId="1605"/>
    <cellStyle name="ÅëÈ­ [0]_¼öÅ¹°èÈ¹ " xfId="1606"/>
    <cellStyle name="AeE­ [0]_¼oAa½CAu " xfId="1607"/>
    <cellStyle name="ÅëÈ­ [0]_¼öÃâ½ÇÀû " xfId="1608"/>
    <cellStyle name="AeE­ [0]_¼oAa½CAu _¹≪¿ª10¿u " xfId="1609"/>
    <cellStyle name="ÅëÈ­ [0]_¼öÃâ½ÇÀû _5월보고벨" xfId="1610"/>
    <cellStyle name="AeE­ [0]_¼oAa½CAu _5월보고상" xfId="1611"/>
    <cellStyle name="ÅëÈ­ [0]_¼öÃâ½ÇÀû _5월보고상" xfId="1612"/>
    <cellStyle name="AeE­ [0]_¼oAa½CAu _5월보고상_공사별CORDER현황" xfId="1613"/>
    <cellStyle name="ÅëÈ­ [0]_¼öÃâ½ÇÀû _5월보고상_공사별CORDER현황" xfId="1614"/>
    <cellStyle name="AeE­ [0]_¼oAa½CAu _5월보고상_공사현황" xfId="1615"/>
    <cellStyle name="ÅëÈ­ [0]_¼öÃâ½ÇÀû _5월보고상_공사현황" xfId="1616"/>
    <cellStyle name="AeE­ [0]_¼oAa½CAu _5월보고상_자료" xfId="1617"/>
    <cellStyle name="ÅëÈ­ [0]_¼öÃâ½ÇÀû _5월보고상_자료" xfId="1618"/>
    <cellStyle name="AeE­ [0]_¼oAa½CAu _5월보고시" xfId="1619"/>
    <cellStyle name="ÅëÈ­ [0]_¼öÃâ½ÇÀû _5월보고시" xfId="1620"/>
    <cellStyle name="AeE­ [0]_¼oAa½CAu _5월보고시_공사별CORDER현황" xfId="1621"/>
    <cellStyle name="ÅëÈ­ [0]_¼öÃâ½ÇÀû _5월보고시_공사별CORDER현황" xfId="1622"/>
    <cellStyle name="AeE­ [0]_¼oAa½CAu _5월보고시_공사현황" xfId="1623"/>
    <cellStyle name="ÅëÈ­ [0]_¼öÃâ½ÇÀû _5월보고시_공사현황" xfId="1624"/>
    <cellStyle name="AeE­ [0]_¼oAa½CAu _5월보고시_자료" xfId="1625"/>
    <cellStyle name="ÅëÈ­ [0]_¼öÃâ½ÇÀû _5월보고시_자료" xfId="1626"/>
    <cellStyle name="AeE­ [0]_¼oAa½CAu _AμE￡3¿u " xfId="1636"/>
    <cellStyle name="ÅëÈ­ [0]_¼öÃâ½ÇÀû _Çö´ë¾÷¹«ÃßÁø " xfId="1637"/>
    <cellStyle name="AeE­ [0]_¼oAa½CAu _Co´e¾÷¹≪AßAø " xfId="1638"/>
    <cellStyle name="ÅëÈ­ [0]_¼öÃâ½ÇÀû _공사현황" xfId="1627"/>
    <cellStyle name="AeE­ [0]_¼oAa½CAu _사업계획2003-1125xls" xfId="1628"/>
    <cellStyle name="ÅëÈ­ [0]_¼öÃâ½ÇÀû _상주법인회의자료" xfId="1629"/>
    <cellStyle name="AeE­ [0]_¼oAa½CAu _상주법인회의자료_공사별CORDER현황" xfId="1630"/>
    <cellStyle name="ÅëÈ­ [0]_¼öÃâ½ÇÀû _상주법인회의자료_공사별CORDER현황" xfId="1631"/>
    <cellStyle name="AeE­ [0]_¼oAa½CAu _실적01(2안)" xfId="1632"/>
    <cellStyle name="ÅëÈ­ [0]_¼öÃâ½ÇÀû _실적01(2안)" xfId="1633"/>
    <cellStyle name="AeE­ [0]_¼oAa½CAu _인테리어 공사 공내역2009.07.23최종(조과장)" xfId="1634"/>
    <cellStyle name="ÅëÈ­ [0]_¼öÃâ½ÇÀû _자료" xfId="1635"/>
    <cellStyle name="AeE­ [0]_¼OAI_¼oAa " xfId="1639"/>
    <cellStyle name="ÅëÈ­ [0]_¼ÕÀÍ_¼öÃâ " xfId="1640"/>
    <cellStyle name="AeE­ [0]_¼oAI¼º " xfId="4270"/>
    <cellStyle name="ÅëÈ­ [0]_¼ÕÀÍ¹Î´ö " xfId="1641"/>
    <cellStyle name="AeE­ [0]_¼OAI¹I´o _5월보고벨" xfId="1642"/>
    <cellStyle name="ÅëÈ­ [0]_¼ÕÀÍ¹Î´ö _5월보고벨" xfId="1643"/>
    <cellStyle name="AeE­ [0]_¼OAI¹I´o _5월보고상" xfId="1644"/>
    <cellStyle name="ÅëÈ­ [0]_¼ÕÀÍ¹Î´ö _5월보고상" xfId="1645"/>
    <cellStyle name="AeE­ [0]_¼OAI¹I´o _5월보고시" xfId="1646"/>
    <cellStyle name="ÅëÈ­ [0]_¼ÕÀÍ¹Î´ö _5월보고시" xfId="1647"/>
    <cellStyle name="AeE­ [0]_¼OAI¹I´o _계획22" xfId="1648"/>
    <cellStyle name="ÅëÈ­ [0]_¼ÕÀÍ¹Î´ö _계획22" xfId="1649"/>
    <cellStyle name="AeE­ [0]_¼OAI¹I´o _계획22_5월보고벨" xfId="1650"/>
    <cellStyle name="ÅëÈ­ [0]_¼ÕÀÍ¹Î´ö _계획22_5월보고벨" xfId="1651"/>
    <cellStyle name="AeE­ [0]_¼OAI¹I´o _계획22_5월보고상" xfId="1652"/>
    <cellStyle name="ÅëÈ­ [0]_¼ÕÀÍ¹Î´ö _계획22_5월보고상" xfId="1653"/>
    <cellStyle name="AeE­ [0]_¼OAI¹I´o _계획22_5월보고시" xfId="1654"/>
    <cellStyle name="ÅëÈ­ [0]_¼ÕÀÍ¹Î´ö _계획22_5월보고시" xfId="1655"/>
    <cellStyle name="AeE­ [0]_¼OAI¹I´o _계획22_공사별CORDER현황" xfId="1656"/>
    <cellStyle name="ÅëÈ­ [0]_¼ÕÀÍ¹Î´ö _계획22_공사별CORDER현황" xfId="1657"/>
    <cellStyle name="AeE­ [0]_¼OAI¹I´o _계획22_공사현황" xfId="1658"/>
    <cellStyle name="ÅëÈ­ [0]_¼ÕÀÍ¹Î´ö _계획22_공사현황" xfId="1659"/>
    <cellStyle name="AeE­ [0]_¼OAI¹I´o _계획22_상주법인회의자료" xfId="1660"/>
    <cellStyle name="ÅëÈ­ [0]_¼ÕÀÍ¹Î´ö _계획22_상주법인회의자료" xfId="1661"/>
    <cellStyle name="AeE­ [0]_¼OAI¹I´o _계획22_자료" xfId="1662"/>
    <cellStyle name="ÅëÈ­ [0]_¼ÕÀÍ¹Î´ö _계획22_자료" xfId="1663"/>
    <cellStyle name="AeE­ [0]_¼OAI¹I´o _공사별CORDER현황" xfId="1664"/>
    <cellStyle name="ÅëÈ­ [0]_¼ÕÀÍ¹Î´ö _공사별CORDER현황" xfId="1665"/>
    <cellStyle name="AeE­ [0]_¼OAI¹I´o _공사현황" xfId="1666"/>
    <cellStyle name="ÅëÈ­ [0]_¼ÕÀÍ¹Î´ö _공사현황" xfId="1667"/>
    <cellStyle name="AeE­ [0]_¼OAI¹I´o _상주법인회의자료" xfId="1668"/>
    <cellStyle name="ÅëÈ­ [0]_¼ÕÀÍ¹Î´ö _상주법인회의자료" xfId="1669"/>
    <cellStyle name="AeE­ [0]_¼OAI¹I´o _실적01(2안)" xfId="1670"/>
    <cellStyle name="ÅëÈ­ [0]_¼ÕÀÍ¹Î´ö _실적01(2안)" xfId="1671"/>
    <cellStyle name="AeE­ [0]_¼OAI¹I´o _자료" xfId="1672"/>
    <cellStyle name="ÅëÈ­ [0]_¼ÕÀÍ¹Î´ö _자료" xfId="1673"/>
    <cellStyle name="AeE­ [0]_¼oAO (2)_¼oAa " xfId="1674"/>
    <cellStyle name="ÅëÈ­ [0]_¼öÁÖ (2)_¼öÃâ " xfId="1675"/>
    <cellStyle name="AeE­ [0]_¼oAO_¼oAa " xfId="1676"/>
    <cellStyle name="ÅëÈ­ [0]_¼öÁÖ_¼öÃâ " xfId="1677"/>
    <cellStyle name="AeE­ [0]_2¿u¸AAa " xfId="1678"/>
    <cellStyle name="ÅëÈ­ [0]_2¿ù¸ÅÃâ " xfId="1679"/>
    <cellStyle name="AeE­ [0]_³≫ºI°eE¹´e AßA¤A÷AI " xfId="1680"/>
    <cellStyle name="ÅëÈ­ [0]_Â÷ÀÔ±Ý " xfId="1681"/>
    <cellStyle name="AeE­ [0]_A÷AO±Y _5월보고벨" xfId="1682"/>
    <cellStyle name="ÅëÈ­ [0]_Â÷ÀÔ±Ý _5월보고벨" xfId="1683"/>
    <cellStyle name="AeE­ [0]_A÷AO±Y _5월보고상" xfId="1684"/>
    <cellStyle name="ÅëÈ­ [0]_Â÷ÀÔ±Ý _5월보고상" xfId="1685"/>
    <cellStyle name="AeE­ [0]_A÷AO±Y _5월보고시" xfId="1686"/>
    <cellStyle name="ÅëÈ­ [0]_Â÷ÀÔ±Ý _5월보고시" xfId="1687"/>
    <cellStyle name="AeE­ [0]_A÷AO±Y _계획22" xfId="1688"/>
    <cellStyle name="ÅëÈ­ [0]_Â÷ÀÔ±Ý _계획22" xfId="1689"/>
    <cellStyle name="AeE­ [0]_A÷AO±Y _계획22_5월보고벨" xfId="1690"/>
    <cellStyle name="ÅëÈ­ [0]_Â÷ÀÔ±Ý _계획22_5월보고벨" xfId="1691"/>
    <cellStyle name="AeE­ [0]_A÷AO±Y _계획22_5월보고상" xfId="1692"/>
    <cellStyle name="ÅëÈ­ [0]_Â÷ÀÔ±Ý _계획22_5월보고상" xfId="1693"/>
    <cellStyle name="AeE­ [0]_A÷AO±Y _계획22_5월보고시" xfId="1694"/>
    <cellStyle name="ÅëÈ­ [0]_Â÷ÀÔ±Ý _계획22_5월보고시" xfId="1695"/>
    <cellStyle name="AeE­ [0]_A÷AO±Y _계획22_공사별CORDER현황" xfId="1696"/>
    <cellStyle name="ÅëÈ­ [0]_Â÷ÀÔ±Ý _계획22_공사별CORDER현황" xfId="1697"/>
    <cellStyle name="AeE­ [0]_A÷AO±Y _계획22_공사현황" xfId="1698"/>
    <cellStyle name="ÅëÈ­ [0]_Â÷ÀÔ±Ý _계획22_공사현황" xfId="1699"/>
    <cellStyle name="AeE­ [0]_A÷AO±Y _계획22_상주법인회의자료" xfId="1700"/>
    <cellStyle name="ÅëÈ­ [0]_Â÷ÀÔ±Ý _계획22_상주법인회의자료" xfId="1701"/>
    <cellStyle name="AeE­ [0]_A÷AO±Y _계획22_자료" xfId="1702"/>
    <cellStyle name="ÅëÈ­ [0]_Â÷ÀÔ±Ý _계획22_자료" xfId="1703"/>
    <cellStyle name="AeE­ [0]_A÷AO±Y _공사별CORDER현황" xfId="1704"/>
    <cellStyle name="ÅëÈ­ [0]_Â÷ÀÔ±Ý _공사별CORDER현황" xfId="1705"/>
    <cellStyle name="AeE­ [0]_A÷AO±Y _공사현황" xfId="1706"/>
    <cellStyle name="ÅëÈ­ [0]_Â÷ÀÔ±Ý _공사현황" xfId="1707"/>
    <cellStyle name="AeE­ [0]_A÷AO±Y _상주법인회의자료" xfId="1708"/>
    <cellStyle name="ÅëÈ­ [0]_Â÷ÀÔ±Ý _상주법인회의자료" xfId="1709"/>
    <cellStyle name="AeE­ [0]_A÷AO±Y _실적01(2안)" xfId="1710"/>
    <cellStyle name="ÅëÈ­ [0]_Â÷ÀÔ±Ý _실적01(2안)" xfId="1711"/>
    <cellStyle name="AeE­ [0]_A÷AO±Y _자료" xfId="1712"/>
    <cellStyle name="ÅëÈ­ [0]_Â÷ÀÔ±Ý _자료" xfId="1713"/>
    <cellStyle name="AeE­ [0]_A÷AO±Y ±¸A¶ " xfId="1714"/>
    <cellStyle name="ÅëÈ­ [0]_Â÷ÀÔ±Ý ±¸Á¶ " xfId="1715"/>
    <cellStyle name="AeE­ [0]_A÷AO±Y ±¸A¶ _24통관" xfId="1716"/>
    <cellStyle name="ÅëÈ­ [0]_Â÷ÀÔ±Ý ±¸Á¶ _5월보고벨" xfId="1717"/>
    <cellStyle name="AeE­ [0]_A÷AO±Y ±¸A¶ _5월보고상" xfId="1718"/>
    <cellStyle name="ÅëÈ­ [0]_Â÷ÀÔ±Ý ±¸Á¶ _5월보고상" xfId="1719"/>
    <cellStyle name="AeE­ [0]_A÷AO±Y ±¸A¶ _5월보고상_공사별CORDER현황" xfId="1720"/>
    <cellStyle name="ÅëÈ­ [0]_Â÷ÀÔ±Ý ±¸Á¶ _5월보고상_공사별CORDER현황" xfId="1721"/>
    <cellStyle name="AeE­ [0]_A÷AO±Y ±¸A¶ _5월보고상_공사현황" xfId="1722"/>
    <cellStyle name="ÅëÈ­ [0]_Â÷ÀÔ±Ý ±¸Á¶ _5월보고상_공사현황" xfId="1723"/>
    <cellStyle name="AeE­ [0]_A÷AO±Y ±¸A¶ _5월보고상_자료" xfId="1724"/>
    <cellStyle name="ÅëÈ­ [0]_Â÷ÀÔ±Ý ±¸Á¶ _5월보고상_자료" xfId="1725"/>
    <cellStyle name="AeE­ [0]_A÷AO±Y ±¸A¶ _5월보고시" xfId="1726"/>
    <cellStyle name="ÅëÈ­ [0]_Â÷ÀÔ±Ý ±¸Á¶ _5월보고시" xfId="1727"/>
    <cellStyle name="AeE­ [0]_A÷AO±Y ±¸A¶ _5월보고시_공사별CORDER현황" xfId="1728"/>
    <cellStyle name="ÅëÈ­ [0]_Â÷ÀÔ±Ý ±¸Á¶ _5월보고시_공사별CORDER현황" xfId="1729"/>
    <cellStyle name="AeE­ [0]_A÷AO±Y ±¸A¶ _5월보고시_공사현황" xfId="1730"/>
    <cellStyle name="ÅëÈ­ [0]_Â÷ÀÔ±Ý ±¸Á¶ _5월보고시_공사현황" xfId="1731"/>
    <cellStyle name="AeE­ [0]_A÷AO±Y ±¸A¶ _5월보고시_자료" xfId="1732"/>
    <cellStyle name="ÅëÈ­ [0]_Â÷ÀÔ±Ý ±¸Á¶ _5월보고시_자료" xfId="1733"/>
    <cellStyle name="AeE­ [0]_A÷AO±Y ±¸A¶ _공사별CORDER현황" xfId="1734"/>
    <cellStyle name="ÅëÈ­ [0]_Â÷ÀÔ±Ý ±¸Á¶ _공사별CORDER현황" xfId="1735"/>
    <cellStyle name="AeE­ [0]_A÷AO±Y ±¸A¶ _공사현황" xfId="1736"/>
    <cellStyle name="ÅëÈ­ [0]_Â÷ÀÔ±Ý ±¸Á¶ _공사현황" xfId="1737"/>
    <cellStyle name="AeE­ [0]_A÷AO±Y ±¸A¶ _매출확정" xfId="1738"/>
    <cellStyle name="ÅëÈ­ [0]_Â÷ÀÔ±Ý ±¸Á¶ _상주법인회의자료" xfId="1739"/>
    <cellStyle name="AeE­ [0]_A÷AO±Y ±¸A¶ _자료" xfId="1740"/>
    <cellStyle name="ÅëÈ­ [0]_Â÷ÀÔ±Ý ±¸Á¶ _자료" xfId="1741"/>
    <cellStyle name="AeE­ [0]_A¶´Þ°eE¹ " xfId="1742"/>
    <cellStyle name="ÅëÈ­ [0]_Á¶´Þ°èÈ¹ " xfId="1743"/>
    <cellStyle name="AeE­ [0]_A¶´Þ°eE¹ _24통관" xfId="1744"/>
    <cellStyle name="ÅëÈ­ [0]_Á¶´Þ°èÈ¹ _5월보고벨" xfId="1745"/>
    <cellStyle name="AeE­ [0]_A¶´Þ°eE¹ _5월보고상" xfId="1746"/>
    <cellStyle name="ÅëÈ­ [0]_Á¶´Þ°èÈ¹ _5월보고상" xfId="1747"/>
    <cellStyle name="AeE­ [0]_A¶´Þ°eE¹ _5월보고상_공사별CORDER현황" xfId="1748"/>
    <cellStyle name="ÅëÈ­ [0]_Á¶´Þ°èÈ¹ _5월보고상_공사별CORDER현황" xfId="1749"/>
    <cellStyle name="AeE­ [0]_A¶´Þ°eE¹ _5월보고상_공사현황" xfId="1750"/>
    <cellStyle name="ÅëÈ­ [0]_Á¶´Þ°èÈ¹ _5월보고상_공사현황" xfId="1751"/>
    <cellStyle name="AeE­ [0]_A¶´Þ°eE¹ _5월보고상_자료" xfId="1752"/>
    <cellStyle name="ÅëÈ­ [0]_Á¶´Þ°èÈ¹ _5월보고상_자료" xfId="1753"/>
    <cellStyle name="AeE­ [0]_A¶´Þ°eE¹ _5월보고시" xfId="1754"/>
    <cellStyle name="ÅëÈ­ [0]_Á¶´Þ°èÈ¹ _5월보고시" xfId="1755"/>
    <cellStyle name="AeE­ [0]_A¶´Þ°eE¹ _5월보고시_공사별CORDER현황" xfId="1756"/>
    <cellStyle name="ÅëÈ­ [0]_Á¶´Þ°èÈ¹ _5월보고시_공사별CORDER현황" xfId="1757"/>
    <cellStyle name="AeE­ [0]_A¶´Þ°eE¹ _5월보고시_공사현황" xfId="1758"/>
    <cellStyle name="ÅëÈ­ [0]_Á¶´Þ°èÈ¹ _5월보고시_공사현황" xfId="1759"/>
    <cellStyle name="AeE­ [0]_A¶´Þ°eE¹ _5월보고시_자료" xfId="1760"/>
    <cellStyle name="ÅëÈ­ [0]_Á¶´Þ°èÈ¹ _5월보고시_자료" xfId="1761"/>
    <cellStyle name="AeE­ [0]_A¶´Þ°eE¹ _공사별CORDER현황" xfId="1762"/>
    <cellStyle name="ÅëÈ­ [0]_Á¶´Þ°èÈ¹ _공사별CORDER현황" xfId="1763"/>
    <cellStyle name="AeE­ [0]_A¶´Þ°eE¹ _공사현황" xfId="1764"/>
    <cellStyle name="ÅëÈ­ [0]_Á¶´Þ°èÈ¹ _공사현황" xfId="1765"/>
    <cellStyle name="AeE­ [0]_A¶´Þ°eE¹ _매출확정" xfId="1766"/>
    <cellStyle name="ÅëÈ­ [0]_Á¶´Þ°èÈ¹ _상주법인회의자료" xfId="1767"/>
    <cellStyle name="AeE­ [0]_A¶´Þ°eE¹ _자료" xfId="1768"/>
    <cellStyle name="ÅëÈ­ [0]_Á¶´Þ°èÈ¹ _자료" xfId="1769"/>
    <cellStyle name="AeE­ [0]_A¾CO½A¼³ " xfId="1770"/>
    <cellStyle name="ÅëÈ­ [0]_ÆÀÇ¥Áö_°èÈ¹3 " xfId="1771"/>
    <cellStyle name="AeE­ [0]_ÆAC￥Ao_°eE¹3 _24통관" xfId="1772"/>
    <cellStyle name="ÅëÈ­ [0]_ÆÀÇ¥Áö_°èÈ¹3 _5월보고벨" xfId="1773"/>
    <cellStyle name="AeE­ [0]_ÆAC￥Ao_°eE¹3 _5월보고상" xfId="1774"/>
    <cellStyle name="ÅëÈ­ [0]_ÆÀÇ¥Áö_°èÈ¹3 _5월보고상" xfId="1775"/>
    <cellStyle name="AeE­ [0]_ÆAC￥Ao_°eE¹3 _5월보고상_공사별CORDER현황" xfId="1776"/>
    <cellStyle name="ÅëÈ­ [0]_ÆÀÇ¥Áö_°èÈ¹3 _5월보고상_공사별CORDER현황" xfId="1777"/>
    <cellStyle name="AeE­ [0]_ÆAC￥Ao_°eE¹3 _5월보고상_공사현황" xfId="1778"/>
    <cellStyle name="ÅëÈ­ [0]_ÆÀÇ¥Áö_°èÈ¹3 _5월보고상_공사현황" xfId="1779"/>
    <cellStyle name="AeE­ [0]_ÆAC￥Ao_°eE¹3 _5월보고상_자료" xfId="1780"/>
    <cellStyle name="ÅëÈ­ [0]_ÆÀÇ¥Áö_°èÈ¹3 _5월보고상_자료" xfId="1781"/>
    <cellStyle name="AeE­ [0]_ÆAC￥Ao_°eE¹3 _5월보고시" xfId="1782"/>
    <cellStyle name="ÅëÈ­ [0]_ÆÀÇ¥Áö_°èÈ¹3 _5월보고시" xfId="1783"/>
    <cellStyle name="AeE­ [0]_ÆAC￥Ao_°eE¹3 _5월보고시_공사별CORDER현황" xfId="1784"/>
    <cellStyle name="ÅëÈ­ [0]_ÆÀÇ¥Áö_°èÈ¹3 _5월보고시_공사별CORDER현황" xfId="1785"/>
    <cellStyle name="AeE­ [0]_ÆAC￥Ao_°eE¹3 _5월보고시_공사현황" xfId="1786"/>
    <cellStyle name="ÅëÈ­ [0]_ÆÀÇ¥Áö_°èÈ¹3 _5월보고시_공사현황" xfId="1787"/>
    <cellStyle name="AeE­ [0]_ÆAC￥Ao_°eE¹3 _5월보고시_자료" xfId="1788"/>
    <cellStyle name="ÅëÈ­ [0]_ÆÀÇ¥Áö_°èÈ¹3 _5월보고시_자료" xfId="1789"/>
    <cellStyle name="AeE­ [0]_ÆAC￥Ao_°eE¹3 _공사별CORDER현황" xfId="1790"/>
    <cellStyle name="ÅëÈ­ [0]_ÆÀÇ¥Áö_°èÈ¹3 _공사별CORDER현황" xfId="1791"/>
    <cellStyle name="AeE­ [0]_ÆAC￥Ao_°eE¹3 _공사현황" xfId="1792"/>
    <cellStyle name="ÅëÈ­ [0]_ÆÀÇ¥Áö_°èÈ¹3 _공사현황" xfId="1793"/>
    <cellStyle name="AeE­ [0]_ÆAC￥Ao_°eE¹3 _매출확정" xfId="1794"/>
    <cellStyle name="ÅëÈ­ [0]_ÆÀÇ¥Áö_°èÈ¹3 _상주법인회의자료" xfId="1795"/>
    <cellStyle name="AeE­ [0]_ÆAC￥Ao_°eE¹3 _자료" xfId="1796"/>
    <cellStyle name="ÅëÈ­ [0]_ÆÀÇ¥Áö_°èÈ¹3 _자료" xfId="1797"/>
    <cellStyle name="AeE­ [0]_AI·A]_¼oAa " xfId="1798"/>
    <cellStyle name="ÅëÈ­ [0]_ÀÎ·Â]_¼öÃâ " xfId="1799"/>
    <cellStyle name="AeE­ [0]_AMT " xfId="1800"/>
    <cellStyle name="ÅëÈ­ [0]_AMT " xfId="1801"/>
    <cellStyle name="AeE­ [0]_AMT _¹≪¿ª10¿u " xfId="1802"/>
    <cellStyle name="ÅëÈ­ [0]_AMT _ÃµÈ£3¿ù " xfId="1803"/>
    <cellStyle name="AeE­ [0]_AMT _AμE￡3¿u " xfId="1804"/>
    <cellStyle name="ÅëÈ­ [0]_ÅõÀÚ_¼öÃâ " xfId="1805"/>
    <cellStyle name="AeE­ [0]_Au·≪°uA|º°ºn¿eAß°¡³≫¿ª_¼oAa " xfId="1806"/>
    <cellStyle name="ÅëÈ­ [0]_Çö´ë¾÷¹«ÃßÁø " xfId="1807"/>
    <cellStyle name="AeE­ [0]_Co´e¾÷¹≪AßAø " xfId="1808"/>
    <cellStyle name="ÅëÈ­ [0]_INQUIRY ¿µ¾÷ÃßÁø " xfId="1809"/>
    <cellStyle name="AeE­ [0]_INQUIRY ¿μ¾÷AßAø " xfId="1810"/>
    <cellStyle name="ÅëÈ­ [0]_º»¼± ±æ¾î±úºÎ ¼ö·® Áý°èÇ¥ " xfId="1811"/>
    <cellStyle name="AeE­ [0]_º≫¼± ±æ¾i±uºI ¼o·R Ay°eC￥ " xfId="1812"/>
    <cellStyle name="ÅëÈ­ [0]_RESULTS" xfId="1813"/>
    <cellStyle name="Aee­ _○ 분석표-우송대" xfId="1814"/>
    <cellStyle name="AeE­_ 2ÆAAþº° " xfId="1815"/>
    <cellStyle name="ÅëÈ­_ ºñ¸ñº° ¿ùº°±â¼ú " xfId="1816"/>
    <cellStyle name="AeE­_´e¿UCN¹R°ø¹R " xfId="1817"/>
    <cellStyle name="ÅëÈ­_´ëºñÇ¥" xfId="1818"/>
    <cellStyle name="AeE­_¸AAa" xfId="1819"/>
    <cellStyle name="ÅëÈ­_¸ÅÃâ¸ÅÃâ¿ø°¡ " xfId="1820"/>
    <cellStyle name="AeE­_¸AAa¸AAa¿ø°¡ _0201실적" xfId="1821"/>
    <cellStyle name="ÅëÈ­_¸ÅÃâ¸ÅÃâ¿ø°¡ _5월보고벨" xfId="1822"/>
    <cellStyle name="AeE­_¸AAa¸AAa¿ø°¡ _공사별CORDER현황" xfId="1823"/>
    <cellStyle name="ÅëÈ­_¸ÅÃâ¸ÅÃâ¿ø°¡ _공사별CORDER현황" xfId="1824"/>
    <cellStyle name="AeE­_¸AAa¸AAa¿ø°¡ _공사현황" xfId="1825"/>
    <cellStyle name="ÅëÈ­_¸ÅÃâ¸ÅÃâ¿ø°¡ _공사현황" xfId="1826"/>
    <cellStyle name="AeE­_¸AAa¸AAa¿ø°¡ _매출34" xfId="1827"/>
    <cellStyle name="ÅëÈ­_¸ÅÃâ¸ÅÃâ¿ø°¡ _상주법인회의자료" xfId="1828"/>
    <cellStyle name="AeE­_¸AAa¸AAa¿ø°¡ _자료" xfId="1829"/>
    <cellStyle name="ÅëÈ­_¸ÅÃâ¸ÅÃâ¿ø°¡ _자료" xfId="1830"/>
    <cellStyle name="AeE­_¸AAa¾×(3)" xfId="1831"/>
    <cellStyle name="ÅëÈ­_¸ðÇü¸·" xfId="4271"/>
    <cellStyle name="AeE­_¿­¸° INT" xfId="1832"/>
    <cellStyle name="ÅëÈ­_±âÅ¸" xfId="1833"/>
    <cellStyle name="AeE­_°eE¹3 _24통관" xfId="1834"/>
    <cellStyle name="ÅëÈ­_°èÈ¹3 _5월보고벨" xfId="1835"/>
    <cellStyle name="AeE­_°eE¹3 _매출확정" xfId="1836"/>
    <cellStyle name="ÅëÈ­_°èÈ¹3 _상주법인회의자료" xfId="1837"/>
    <cellStyle name="AeE­_¼oA¹°eE¹ " xfId="1838"/>
    <cellStyle name="ÅëÈ­_¼öÅ¹°èÈ¹ " xfId="1839"/>
    <cellStyle name="AeE­_¼oAa½CAu " xfId="1840"/>
    <cellStyle name="ÅëÈ­_¼öÃâ½ÇÀû " xfId="1841"/>
    <cellStyle name="AeE­_¼oAa½CAu _¹≪¿ª10¿u " xfId="1842"/>
    <cellStyle name="ÅëÈ­_¼öÃâ½ÇÀû _5월보고벨" xfId="1843"/>
    <cellStyle name="AeE­_¼oAa½CAu _5월보고상" xfId="1844"/>
    <cellStyle name="ÅëÈ­_¼öÃâ½ÇÀû _5월보고상" xfId="1845"/>
    <cellStyle name="AeE­_¼oAa½CAu _5월보고상_공사별CORDER현황" xfId="1846"/>
    <cellStyle name="ÅëÈ­_¼öÃâ½ÇÀû _5월보고상_공사별CORDER현황" xfId="1847"/>
    <cellStyle name="AeE­_¼oAa½CAu _5월보고상_공사현황" xfId="1848"/>
    <cellStyle name="ÅëÈ­_¼öÃâ½ÇÀû _5월보고상_공사현황" xfId="1849"/>
    <cellStyle name="AeE­_¼oAa½CAu _5월보고상_자료" xfId="1850"/>
    <cellStyle name="ÅëÈ­_¼öÃâ½ÇÀû _5월보고상_자료" xfId="1851"/>
    <cellStyle name="AeE­_¼oAa½CAu _5월보고시" xfId="1852"/>
    <cellStyle name="ÅëÈ­_¼öÃâ½ÇÀû _5월보고시" xfId="1853"/>
    <cellStyle name="AeE­_¼oAa½CAu _5월보고시_공사별CORDER현황" xfId="1854"/>
    <cellStyle name="ÅëÈ­_¼öÃâ½ÇÀû _5월보고시_공사별CORDER현황" xfId="1855"/>
    <cellStyle name="AeE­_¼oAa½CAu _5월보고시_공사현황" xfId="1856"/>
    <cellStyle name="ÅëÈ­_¼öÃâ½ÇÀû _5월보고시_공사현황" xfId="1857"/>
    <cellStyle name="AeE­_¼oAa½CAu _5월보고시_자료" xfId="1858"/>
    <cellStyle name="ÅëÈ­_¼öÃâ½ÇÀû _5월보고시_자료" xfId="1859"/>
    <cellStyle name="AeE­_¼oAa½CAu _Co´e¾÷¹≪AßAø " xfId="1869"/>
    <cellStyle name="ÅëÈ­_¼öÃâ½ÇÀû _공사현황" xfId="1860"/>
    <cellStyle name="AeE­_¼oAa½CAu _사업계획2003-1125xls" xfId="1861"/>
    <cellStyle name="ÅëÈ­_¼öÃâ½ÇÀû _상주법인회의자료" xfId="1862"/>
    <cellStyle name="AeE­_¼oAa½CAu _상주법인회의자료_공사별CORDER현황" xfId="1863"/>
    <cellStyle name="ÅëÈ­_¼öÃâ½ÇÀû _상주법인회의자료_공사별CORDER현황" xfId="1864"/>
    <cellStyle name="AeE­_¼oAa½CAu _실적01(2안)" xfId="1865"/>
    <cellStyle name="ÅëÈ­_¼öÃâ½ÇÀû _실적01(2안)" xfId="1866"/>
    <cellStyle name="AeE­_¼oAa½CAu _인테리어 공사 공내역2009.07.23최종(조과장)" xfId="1867"/>
    <cellStyle name="ÅëÈ­_¼öÃâ½ÇÀû _자료" xfId="1868"/>
    <cellStyle name="AeE­_³≫ºI°eE¹´e AßA¤A÷AI " xfId="1870"/>
    <cellStyle name="ÅëÈ­_Â÷ÀÔ±Ý " xfId="1871"/>
    <cellStyle name="AeE­_A÷AO±Y _5월보고벨" xfId="1872"/>
    <cellStyle name="ÅëÈ­_Â÷ÀÔ±Ý _5월보고벨" xfId="1873"/>
    <cellStyle name="AeE­_A÷AO±Y _5월보고상" xfId="1874"/>
    <cellStyle name="ÅëÈ­_Â÷ÀÔ±Ý _5월보고상" xfId="1875"/>
    <cellStyle name="AeE­_A÷AO±Y _5월보고시" xfId="1876"/>
    <cellStyle name="ÅëÈ­_Â÷ÀÔ±Ý _5월보고시" xfId="1877"/>
    <cellStyle name="AeE­_A÷AO±Y _계획22" xfId="1878"/>
    <cellStyle name="ÅëÈ­_Â÷ÀÔ±Ý _계획22" xfId="1879"/>
    <cellStyle name="AeE­_A÷AO±Y _계획22_5월보고벨" xfId="1880"/>
    <cellStyle name="ÅëÈ­_Â÷ÀÔ±Ý _계획22_5월보고벨" xfId="1881"/>
    <cellStyle name="AeE­_A÷AO±Y _계획22_5월보고상" xfId="1882"/>
    <cellStyle name="ÅëÈ­_Â÷ÀÔ±Ý _계획22_5월보고상" xfId="1883"/>
    <cellStyle name="AeE­_A÷AO±Y _계획22_5월보고시" xfId="1884"/>
    <cellStyle name="ÅëÈ­_Â÷ÀÔ±Ý _계획22_5월보고시" xfId="1885"/>
    <cellStyle name="AeE­_A÷AO±Y _계획22_공사별CORDER현황" xfId="1886"/>
    <cellStyle name="ÅëÈ­_Â÷ÀÔ±Ý _계획22_공사별CORDER현황" xfId="1887"/>
    <cellStyle name="AeE­_A÷AO±Y _계획22_공사현황" xfId="1888"/>
    <cellStyle name="ÅëÈ­_Â÷ÀÔ±Ý _계획22_공사현황" xfId="1889"/>
    <cellStyle name="AeE­_A÷AO±Y _계획22_상주법인회의자료" xfId="1890"/>
    <cellStyle name="ÅëÈ­_Â÷ÀÔ±Ý _계획22_상주법인회의자료" xfId="1891"/>
    <cellStyle name="AeE­_A÷AO±Y _계획22_자료" xfId="1892"/>
    <cellStyle name="ÅëÈ­_Â÷ÀÔ±Ý _계획22_자료" xfId="1893"/>
    <cellStyle name="AeE­_A÷AO±Y _공사별CORDER현황" xfId="1894"/>
    <cellStyle name="ÅëÈ­_Â÷ÀÔ±Ý _공사별CORDER현황" xfId="1895"/>
    <cellStyle name="AeE­_A÷AO±Y _공사현황" xfId="1896"/>
    <cellStyle name="ÅëÈ­_Â÷ÀÔ±Ý _공사현황" xfId="1897"/>
    <cellStyle name="AeE­_A÷AO±Y _상주법인회의자료" xfId="1898"/>
    <cellStyle name="ÅëÈ­_Â÷ÀÔ±Ý _상주법인회의자료" xfId="1899"/>
    <cellStyle name="AeE­_A÷AO±Y _실적01(2안)" xfId="1900"/>
    <cellStyle name="ÅëÈ­_Â÷ÀÔ±Ý _실적01(2안)" xfId="1901"/>
    <cellStyle name="AeE­_A÷AO±Y _실적01(2안)_5월보고벨" xfId="1902"/>
    <cellStyle name="ÅëÈ­_Â÷ÀÔ±Ý _실적01(2안)_5월보고벨" xfId="1903"/>
    <cellStyle name="AeE­_A÷AO±Y _실적01(2안)_5월보고벨_공사별CORDER현황" xfId="1904"/>
    <cellStyle name="ÅëÈ­_Â÷ÀÔ±Ý _실적01(2안)_5월보고벨_공사별CORDER현황" xfId="1905"/>
    <cellStyle name="AeE­_A÷AO±Y _실적01(2안)_5월보고벨_공사현황" xfId="1906"/>
    <cellStyle name="ÅëÈ­_Â÷ÀÔ±Ý _실적01(2안)_5월보고벨_공사현황" xfId="1907"/>
    <cellStyle name="AeE­_A÷AO±Y _실적01(2안)_5월보고벨_자료" xfId="1908"/>
    <cellStyle name="ÅëÈ­_Â÷ÀÔ±Ý _실적01(2안)_5월보고벨_자료" xfId="1909"/>
    <cellStyle name="AeE­_A÷AO±Y _실적01(2안)_5월보고상" xfId="1910"/>
    <cellStyle name="ÅëÈ­_Â÷ÀÔ±Ý _실적01(2안)_5월보고상" xfId="1911"/>
    <cellStyle name="AeE­_A÷AO±Y _실적01(2안)_5월보고상_공사별CORDER현황" xfId="1912"/>
    <cellStyle name="ÅëÈ­_Â÷ÀÔ±Ý _실적01(2안)_5월보고상_공사별CORDER현황" xfId="1913"/>
    <cellStyle name="AeE­_A÷AO±Y _실적01(2안)_5월보고상_공사현황" xfId="1914"/>
    <cellStyle name="ÅëÈ­_Â÷ÀÔ±Ý _실적01(2안)_5월보고상_공사현황" xfId="1915"/>
    <cellStyle name="AeE­_A÷AO±Y _실적01(2안)_5월보고상_자료" xfId="1916"/>
    <cellStyle name="ÅëÈ­_Â÷ÀÔ±Ý _실적01(2안)_5월보고상_자료" xfId="1917"/>
    <cellStyle name="AeE­_A÷AO±Y _실적01(2안)_5월보고시" xfId="1918"/>
    <cellStyle name="ÅëÈ­_Â÷ÀÔ±Ý _실적01(2안)_5월보고시" xfId="1919"/>
    <cellStyle name="AeE­_A÷AO±Y _실적01(2안)_5월보고시_공사별CORDER현황" xfId="1920"/>
    <cellStyle name="ÅëÈ­_Â÷ÀÔ±Ý _실적01(2안)_5월보고시_공사별CORDER현황" xfId="1921"/>
    <cellStyle name="AeE­_A÷AO±Y _실적01(2안)_5월보고시_공사현황" xfId="1922"/>
    <cellStyle name="ÅëÈ­_Â÷ÀÔ±Ý _실적01(2안)_5월보고시_공사현황" xfId="1923"/>
    <cellStyle name="AeE­_A÷AO±Y _실적01(2안)_5월보고시_자료" xfId="1924"/>
    <cellStyle name="ÅëÈ­_Â÷ÀÔ±Ý _실적01(2안)_5월보고시_자료" xfId="1925"/>
    <cellStyle name="AeE­_A÷AO±Y _실적01(2안)_공사별CORDER현황" xfId="1926"/>
    <cellStyle name="ÅëÈ­_Â÷ÀÔ±Ý _실적01(2안)_공사별CORDER현황" xfId="1927"/>
    <cellStyle name="AeE­_A÷AO±Y _실적01(2안)_공사현황" xfId="1928"/>
    <cellStyle name="ÅëÈ­_Â÷ÀÔ±Ý _실적01(2안)_공사현황" xfId="1929"/>
    <cellStyle name="AeE­_A÷AO±Y _실적01(2안)_상주법인회의자료" xfId="1930"/>
    <cellStyle name="ÅëÈ­_Â÷ÀÔ±Ý _실적01(2안)_상주법인회의자료" xfId="1931"/>
    <cellStyle name="AeE­_A÷AO±Y _실적01(2안)_상주법인회의자료_공사별CORDER현황" xfId="1932"/>
    <cellStyle name="ÅëÈ­_Â÷ÀÔ±Ý _실적01(2안)_상주법인회의자료_공사별CORDER현황" xfId="1933"/>
    <cellStyle name="AeE­_A÷AO±Y _실적01(2안)_상주법인회의자료_공사현황" xfId="1934"/>
    <cellStyle name="ÅëÈ­_Â÷ÀÔ±Ý _실적01(2안)_상주법인회의자료_공사현황" xfId="1935"/>
    <cellStyle name="AeE­_A÷AO±Y _실적01(2안)_상주법인회의자료_자료" xfId="1936"/>
    <cellStyle name="ÅëÈ­_Â÷ÀÔ±Ý _실적01(2안)_상주법인회의자료_자료" xfId="1937"/>
    <cellStyle name="AeE­_A÷AO±Y _실적01(2안)_자료" xfId="1938"/>
    <cellStyle name="ÅëÈ­_Â÷ÀÔ±Ý _실적01(2안)_자료" xfId="1939"/>
    <cellStyle name="AeE­_A÷AO±Y _자료" xfId="1940"/>
    <cellStyle name="ÅëÈ­_Â÷ÀÔ±Ý _자료" xfId="1941"/>
    <cellStyle name="AeE­_A÷AO±Y ±¸A¶ " xfId="1942"/>
    <cellStyle name="ÅëÈ­_Â÷ÀÔ±Ý ±¸Á¶ " xfId="1943"/>
    <cellStyle name="AeE­_A÷AO±Y ±¸A¶ _24통관" xfId="1944"/>
    <cellStyle name="ÅëÈ­_Â÷ÀÔ±Ý ±¸Á¶ _5월보고벨" xfId="1945"/>
    <cellStyle name="AeE­_A÷AO±Y ±¸A¶ _5월보고상" xfId="1946"/>
    <cellStyle name="ÅëÈ­_Â÷ÀÔ±Ý ±¸Á¶ _5월보고상" xfId="1947"/>
    <cellStyle name="AeE­_A÷AO±Y ±¸A¶ _5월보고상_공사별CORDER현황" xfId="1948"/>
    <cellStyle name="ÅëÈ­_Â÷ÀÔ±Ý ±¸Á¶ _5월보고상_공사별CORDER현황" xfId="1949"/>
    <cellStyle name="AeE­_A÷AO±Y ±¸A¶ _5월보고상_공사현황" xfId="1950"/>
    <cellStyle name="ÅëÈ­_Â÷ÀÔ±Ý ±¸Á¶ _5월보고상_공사현황" xfId="1951"/>
    <cellStyle name="AeE­_A÷AO±Y ±¸A¶ _5월보고상_자료" xfId="1952"/>
    <cellStyle name="ÅëÈ­_Â÷ÀÔ±Ý ±¸Á¶ _5월보고상_자료" xfId="1953"/>
    <cellStyle name="AeE­_A÷AO±Y ±¸A¶ _5월보고시" xfId="1954"/>
    <cellStyle name="ÅëÈ­_Â÷ÀÔ±Ý ±¸Á¶ _5월보고시" xfId="1955"/>
    <cellStyle name="AeE­_A÷AO±Y ±¸A¶ _5월보고시_공사별CORDER현황" xfId="1956"/>
    <cellStyle name="ÅëÈ­_Â÷ÀÔ±Ý ±¸Á¶ _5월보고시_공사별CORDER현황" xfId="1957"/>
    <cellStyle name="AeE­_A÷AO±Y ±¸A¶ _5월보고시_공사현황" xfId="1958"/>
    <cellStyle name="ÅëÈ­_Â÷ÀÔ±Ý ±¸Á¶ _5월보고시_공사현황" xfId="1959"/>
    <cellStyle name="AeE­_A÷AO±Y ±¸A¶ _5월보고시_자료" xfId="1960"/>
    <cellStyle name="ÅëÈ­_Â÷ÀÔ±Ý ±¸Á¶ _5월보고시_자료" xfId="1961"/>
    <cellStyle name="AeE­_A÷AO±Y ±¸A¶ _공사별CORDER현황" xfId="1962"/>
    <cellStyle name="ÅëÈ­_Â÷ÀÔ±Ý ±¸Á¶ _공사별CORDER현황" xfId="1963"/>
    <cellStyle name="AeE­_A÷AO±Y ±¸A¶ _공사현황" xfId="1964"/>
    <cellStyle name="ÅëÈ­_Â÷ÀÔ±Ý ±¸Á¶ _공사현황" xfId="1965"/>
    <cellStyle name="AeE­_A÷AO±Y ±¸A¶ _매출확정" xfId="1966"/>
    <cellStyle name="ÅëÈ­_Â÷ÀÔ±Ý ±¸Á¶ _상주법인회의자료" xfId="1967"/>
    <cellStyle name="AeE­_A÷AO±Y ±¸A¶ _자료" xfId="1968"/>
    <cellStyle name="ÅëÈ­_Â÷ÀÔ±Ý ±¸Á¶ _자료" xfId="1969"/>
    <cellStyle name="AeE­_A¶´Þ°eE¹ " xfId="1970"/>
    <cellStyle name="ÅëÈ­_Á¶´Þ°èÈ¹ " xfId="1971"/>
    <cellStyle name="AeE­_A¶´Þ°eE¹ _24통관" xfId="1972"/>
    <cellStyle name="ÅëÈ­_Á¶´Þ°èÈ¹ _5월보고벨" xfId="1973"/>
    <cellStyle name="AeE­_A¶´Þ°eE¹ _5월보고상" xfId="1974"/>
    <cellStyle name="ÅëÈ­_Á¶´Þ°èÈ¹ _5월보고상" xfId="1975"/>
    <cellStyle name="AeE­_A¶´Þ°eE¹ _5월보고상_공사별CORDER현황" xfId="1976"/>
    <cellStyle name="ÅëÈ­_Á¶´Þ°èÈ¹ _5월보고상_공사별CORDER현황" xfId="1977"/>
    <cellStyle name="AeE­_A¶´Þ°eE¹ _5월보고상_공사현황" xfId="1978"/>
    <cellStyle name="ÅëÈ­_Á¶´Þ°èÈ¹ _5월보고상_공사현황" xfId="1979"/>
    <cellStyle name="AeE­_A¶´Þ°eE¹ _5월보고상_자료" xfId="1980"/>
    <cellStyle name="ÅëÈ­_Á¶´Þ°èÈ¹ _5월보고상_자료" xfId="1981"/>
    <cellStyle name="AeE­_A¶´Þ°eE¹ _5월보고시" xfId="1982"/>
    <cellStyle name="ÅëÈ­_Á¶´Þ°èÈ¹ _5월보고시" xfId="1983"/>
    <cellStyle name="AeE­_A¶´Þ°eE¹ _5월보고시_공사별CORDER현황" xfId="1984"/>
    <cellStyle name="ÅëÈ­_Á¶´Þ°èÈ¹ _5월보고시_공사별CORDER현황" xfId="1985"/>
    <cellStyle name="AeE­_A¶´Þ°eE¹ _5월보고시_공사현황" xfId="1986"/>
    <cellStyle name="ÅëÈ­_Á¶´Þ°èÈ¹ _5월보고시_공사현황" xfId="1987"/>
    <cellStyle name="AeE­_A¶´Þ°eE¹ _5월보고시_자료" xfId="1988"/>
    <cellStyle name="ÅëÈ­_Á¶´Þ°èÈ¹ _5월보고시_자료" xfId="1989"/>
    <cellStyle name="AeE­_A¶´Þ°eE¹ _공사별CORDER현황" xfId="1990"/>
    <cellStyle name="ÅëÈ­_Á¶´Þ°èÈ¹ _공사별CORDER현황" xfId="1991"/>
    <cellStyle name="AeE­_A¶´Þ°eE¹ _공사현황" xfId="1992"/>
    <cellStyle name="ÅëÈ­_Á¶´Þ°èÈ¹ _공사현황" xfId="1993"/>
    <cellStyle name="AeE­_A¶´Þ°eE¹ _매출확정" xfId="1994"/>
    <cellStyle name="ÅëÈ­_Á¶´Þ°èÈ¹ _상주법인회의자료" xfId="1995"/>
    <cellStyle name="AeE­_A¶´Þ°eE¹ _자료" xfId="1996"/>
    <cellStyle name="ÅëÈ­_Á¶´Þ°èÈ¹ _자료" xfId="1997"/>
    <cellStyle name="AeE­_A¾CO½A¼³ " xfId="1998"/>
    <cellStyle name="ÅëÈ­_ÆÀÇ¥Áö_°èÈ¹3 " xfId="1999"/>
    <cellStyle name="AeE­_ÆAC￥Ao_°eE¹3 _24통관" xfId="2000"/>
    <cellStyle name="ÅëÈ­_ÆÀÇ¥Áö_°èÈ¹3 _5월보고벨" xfId="2001"/>
    <cellStyle name="AeE­_ÆAC￥Ao_°eE¹3 _5월보고상" xfId="2002"/>
    <cellStyle name="ÅëÈ­_ÆÀÇ¥Áö_°èÈ¹3 _5월보고상" xfId="2003"/>
    <cellStyle name="AeE­_ÆAC￥Ao_°eE¹3 _5월보고상_공사별CORDER현황" xfId="2004"/>
    <cellStyle name="ÅëÈ­_ÆÀÇ¥Áö_°èÈ¹3 _5월보고상_공사별CORDER현황" xfId="2005"/>
    <cellStyle name="AeE­_ÆAC￥Ao_°eE¹3 _5월보고상_공사현황" xfId="2006"/>
    <cellStyle name="ÅëÈ­_ÆÀÇ¥Áö_°èÈ¹3 _5월보고상_공사현황" xfId="2007"/>
    <cellStyle name="AeE­_ÆAC￥Ao_°eE¹3 _5월보고상_자료" xfId="2008"/>
    <cellStyle name="ÅëÈ­_ÆÀÇ¥Áö_°èÈ¹3 _5월보고상_자료" xfId="2009"/>
    <cellStyle name="AeE­_ÆAC￥Ao_°eE¹3 _5월보고시" xfId="2010"/>
    <cellStyle name="ÅëÈ­_ÆÀÇ¥Áö_°èÈ¹3 _5월보고시" xfId="2011"/>
    <cellStyle name="AeE­_ÆAC￥Ao_°eE¹3 _5월보고시_공사별CORDER현황" xfId="2012"/>
    <cellStyle name="ÅëÈ­_ÆÀÇ¥Áö_°èÈ¹3 _5월보고시_공사별CORDER현황" xfId="2013"/>
    <cellStyle name="AeE­_ÆAC￥Ao_°eE¹3 _5월보고시_공사현황" xfId="2014"/>
    <cellStyle name="ÅëÈ­_ÆÀÇ¥Áö_°èÈ¹3 _5월보고시_공사현황" xfId="2015"/>
    <cellStyle name="AeE­_ÆAC￥Ao_°eE¹3 _5월보고시_자료" xfId="2016"/>
    <cellStyle name="ÅëÈ­_ÆÀÇ¥Áö_°èÈ¹3 _5월보고시_자료" xfId="2017"/>
    <cellStyle name="AeE­_ÆAC￥Ao_°eE¹3 _공사별CORDER현황" xfId="2018"/>
    <cellStyle name="ÅëÈ­_ÆÀÇ¥Áö_°èÈ¹3 _공사별CORDER현황" xfId="2019"/>
    <cellStyle name="AeE­_ÆAC￥Ao_°eE¹3 _공사현황" xfId="2020"/>
    <cellStyle name="ÅëÈ­_ÆÀÇ¥Áö_°èÈ¹3 _공사현황" xfId="2021"/>
    <cellStyle name="AeE­_ÆAC￥Ao_°eE¹3 _매출확정" xfId="2022"/>
    <cellStyle name="ÅëÈ­_ÆÀÇ¥Áö_°èÈ¹3 _상주법인회의자료" xfId="2023"/>
    <cellStyle name="AeE­_ÆAC￥Ao_°eE¹3 _자료" xfId="2024"/>
    <cellStyle name="ÅëÈ­_ÆÀÇ¥Áö_°èÈ¹3 _자료" xfId="2025"/>
    <cellStyle name="AeE­_AMT " xfId="2026"/>
    <cellStyle name="ÅëÈ­_AMT " xfId="2027"/>
    <cellStyle name="AeE­_AMT _¹≪¿ª10¿u " xfId="2028"/>
    <cellStyle name="ÅëÈ­_ÇâÈÄ5³â (2)_¼öÃâ " xfId="2029"/>
    <cellStyle name="AeE­_Co´e¾÷¹≪AßAø " xfId="2030"/>
    <cellStyle name="ÅëÈ­_INQUIRY ¿µ¾÷ÃßÁø " xfId="2031"/>
    <cellStyle name="AeE­_INQUIRY ¿μ¾÷AßAø " xfId="2032"/>
    <cellStyle name="ÅëÈ­_º»¼± ±æ¾î±úºÎ ¼ö·® Áý°èÇ¥ " xfId="2033"/>
    <cellStyle name="AeE­_º≫¼± ±æ¾i±uºI ¼o·R Ay°eC￥ " xfId="2034"/>
    <cellStyle name="ÅëÈ­_RESULTS" xfId="2035"/>
    <cellStyle name="AeE¡© [0]_ ¨¬n¢¬n¨¬¡Æ ¢¯u¨¬¡Æ¡¾a¨ùu " xfId="2036"/>
    <cellStyle name="AeE¡©_ ¨¬n¢¬n¨¬¡Æ ¢¯u¨¬¡Æ¡¾a¨ùu " xfId="2037"/>
    <cellStyle name="Aee¡ⓒ " xfId="4272"/>
    <cellStyle name="AeE¡ⓒ [0]_ ¨￢n￠￢n¨￢¡Æ ￠?u¨￢¡Æ¡¾a¨uu " xfId="2038"/>
    <cellStyle name="AeE¡ⓒ_ ¨￢n￠￢n¨￢¡Æ ￠?u¨￢¡Æ¡¾a¨uu " xfId="2039"/>
    <cellStyle name="AeE¡ER¡§I [0]_ ￠R¡×￠Rⓒ­n￠RE￠Rⓒ­n￠R¡×￠Rⓒ­¡ER¡§￠R ￠RE?u￠R¡×￠Rⓒ­¡ER¡§￠R¡ER¡§ua￠R¡×uu " xfId="2040"/>
    <cellStyle name="AeE¡ER¡§I_ ￠R¡×￠Rⓒ­n￠RE￠Rⓒ­n￠R¡×￠Rⓒ­¡ER¡§￠R ￠RE?u￠R¡×￠Rⓒ­¡ER¡§￠R¡ER¡§ua￠R¡×uu " xfId="2041"/>
    <cellStyle name="AeE¡ERERER¡ERER￠RER¡ER¡E?I [0]_INQUIRY ￠RERERE?￠RERERIi￠RERER¡ERER￠RER￠RE?u¡ERERERAA¡ERER￠RER¡ER¡E?I￠RERER¡ER￠R¡¿I￠RER￠R¡×IA¡ERER￠RER¡ER¡E?I¡ERER￠RER¡ER¡E?¡ERERI " xfId="2042"/>
    <cellStyle name="AeE¡ERERER¡ERER￠RER¡ER¡E?I_INQUIRY ￠RERERE?￠RERERIi￠RERER¡ERER￠RER￠RE?u¡ERERERAA¡ERER￠RER¡ER¡E?I￠RERER¡ER￠R¡¿I￠RER￠R¡×IA¡ERER￠RER¡ER¡E?I¡ERER￠RER¡ER¡E?¡ERERI " xfId="2043"/>
    <cellStyle name="AeE￠R¨I [0]_INQUIRY ¡E?¡Ii¡§u￠RAA¨I¡þA¨I¨￡ " xfId="2044"/>
    <cellStyle name="AeE￠R¨I_INQUIRY ¡E?¡Ii¡§u￠RAA¨I¡þA¨I¨￡ " xfId="2045"/>
    <cellStyle name="AeE￠RER￠R¡×I [0]_¡ER￠R¡¿¡ER¨I¡ⓒ?￠RER￠R¡×¡ER￠R¡×I￠RER￠R¡×IoRA￠R¡×I¡§I¡§¡I" xfId="2046"/>
    <cellStyle name="AeE￠RER￠R¡×I_¡ER￠R¡¿¡ER¨I¡ⓒ?￠RER￠R¡×¡ER￠R¡×I￠RER￠R¡×IoRA￠R¡×I¡§I¡§¡I" xfId="2047"/>
    <cellStyle name="AeE￠RERER￠RER¡ER￠R￠?I [0]_¡ERER￠RER¡ER¡E?uoA￠RER¡ER￠R￠?Io￠RERER￠RER¡ER￠R￠?¡EREReE￠RER¡ER￠R￠?Io " xfId="2048"/>
    <cellStyle name="AeE￠RERER￠RER¡ER￠R￠?I_¡ERER￠RER¡ER¡E?uoA￠RER¡ER￠R￠?Io￠RERER￠RER¡ER￠R￠?¡EREReE￠RER¡ER￠R￠?Io " xfId="2049"/>
    <cellStyle name="ALIGNMENT" xfId="2050"/>
    <cellStyle name="args.style" xfId="2051"/>
    <cellStyle name="Aþ" xfId="4273"/>
    <cellStyle name="Äþ" xfId="4274"/>
    <cellStyle name="Aþ¸¶ [" xfId="4275"/>
    <cellStyle name="Äþ¸¶ [" xfId="4276"/>
    <cellStyle name="AÞ¸¶ [0]_ 2ÆAAþº° " xfId="2052"/>
    <cellStyle name="ÄÞ¸¶ [0]_ ºñ¸ñº° ¿ùº°±â¼ú " xfId="2053"/>
    <cellStyle name="AÞ¸¶ [0]_´e¿UCN¹R°ø¹R " xfId="2054"/>
    <cellStyle name="ÄÞ¸¶ [0]_´ëºñÇ¥" xfId="2055"/>
    <cellStyle name="AÞ¸¶ [0]_¸AAa" xfId="2056"/>
    <cellStyle name="ÄÞ¸¶ [0]_¸ÅÃâ¸ÅÃâ¿ø°¡ " xfId="2057"/>
    <cellStyle name="AÞ¸¶ [0]_¸AAa¸AAa¿ø°¡ _5월보고벨" xfId="2058"/>
    <cellStyle name="ÄÞ¸¶ [0]_¸ÅÃâ¸ÅÃâ¿ø°¡ _5월보고벨" xfId="2059"/>
    <cellStyle name="AÞ¸¶ [0]_¸AAa¸AAa¿ø°¡ _5월보고상" xfId="2060"/>
    <cellStyle name="ÄÞ¸¶ [0]_¸ÅÃâ¸ÅÃâ¿ø°¡ _5월보고상" xfId="2061"/>
    <cellStyle name="AÞ¸¶ [0]_¸AAa¸AAa¿ø°¡ _5월보고시" xfId="2062"/>
    <cellStyle name="ÄÞ¸¶ [0]_¸ÅÃâ¸ÅÃâ¿ø°¡ _5월보고시" xfId="2063"/>
    <cellStyle name="AÞ¸¶ [0]_¸AAa¸AAa¿ø°¡ _계획22" xfId="2064"/>
    <cellStyle name="ÄÞ¸¶ [0]_¸ÅÃâ¸ÅÃâ¿ø°¡ _계획22" xfId="2065"/>
    <cellStyle name="AÞ¸¶ [0]_¸AAa¸AAa¿ø°¡ _계획22_5월보고벨" xfId="2066"/>
    <cellStyle name="ÄÞ¸¶ [0]_¸ÅÃâ¸ÅÃâ¿ø°¡ _계획22_5월보고벨" xfId="2067"/>
    <cellStyle name="AÞ¸¶ [0]_¸AAa¸AAa¿ø°¡ _계획22_5월보고상" xfId="2068"/>
    <cellStyle name="ÄÞ¸¶ [0]_¸ÅÃâ¸ÅÃâ¿ø°¡ _계획22_5월보고상" xfId="2069"/>
    <cellStyle name="AÞ¸¶ [0]_¸AAa¸AAa¿ø°¡ _계획22_5월보고시" xfId="2070"/>
    <cellStyle name="ÄÞ¸¶ [0]_¸ÅÃâ¸ÅÃâ¿ø°¡ _계획22_5월보고시" xfId="2071"/>
    <cellStyle name="AÞ¸¶ [0]_¸AAa¸AAa¿ø°¡ _계획22_공사별CORDER현황" xfId="2072"/>
    <cellStyle name="ÄÞ¸¶ [0]_¸ÅÃâ¸ÅÃâ¿ø°¡ _계획22_공사별CORDER현황" xfId="2073"/>
    <cellStyle name="AÞ¸¶ [0]_¸AAa¸AAa¿ø°¡ _계획22_공사현황" xfId="2074"/>
    <cellStyle name="ÄÞ¸¶ [0]_¸ÅÃâ¸ÅÃâ¿ø°¡ _계획22_공사현황" xfId="2075"/>
    <cellStyle name="AÞ¸¶ [0]_¸AAa¸AAa¿ø°¡ _계획22_상주법인회의자료" xfId="2076"/>
    <cellStyle name="ÄÞ¸¶ [0]_¸ÅÃâ¸ÅÃâ¿ø°¡ _계획22_상주법인회의자료" xfId="2077"/>
    <cellStyle name="AÞ¸¶ [0]_¸AAa¸AAa¿ø°¡ _계획22_자료" xfId="2078"/>
    <cellStyle name="ÄÞ¸¶ [0]_¸ÅÃâ¸ÅÃâ¿ø°¡ _계획22_자료" xfId="2079"/>
    <cellStyle name="AÞ¸¶ [0]_¸AAa¸AAa¿ø°¡ _공사별CORDER현황" xfId="2080"/>
    <cellStyle name="ÄÞ¸¶ [0]_¸ÅÃâ¸ÅÃâ¿ø°¡ _공사별CORDER현황" xfId="2081"/>
    <cellStyle name="AÞ¸¶ [0]_¸AAa¸AAa¿ø°¡ _공사현황" xfId="2082"/>
    <cellStyle name="ÄÞ¸¶ [0]_¸ÅÃâ¸ÅÃâ¿ø°¡ _공사현황" xfId="2083"/>
    <cellStyle name="AÞ¸¶ [0]_¸AAa¸AAa¿ø°¡ _상주법인회의자료" xfId="2084"/>
    <cellStyle name="ÄÞ¸¶ [0]_¸ÅÃâ¸ÅÃâ¿ø°¡ _상주법인회의자료" xfId="2085"/>
    <cellStyle name="AÞ¸¶ [0]_¸AAa¸AAa¿ø°¡ _실적01(2안)" xfId="2086"/>
    <cellStyle name="ÄÞ¸¶ [0]_¸ÅÃâ¸ÅÃâ¿ø°¡ _실적01(2안)" xfId="2087"/>
    <cellStyle name="AÞ¸¶ [0]_¸AAa¸AAa¿ø°¡ _실적01(2안)_공사별CORDER현황" xfId="2088"/>
    <cellStyle name="ÄÞ¸¶ [0]_¸ÅÃâ¸ÅÃâ¿ø°¡ _실적01(2안)_공사별CORDER현황" xfId="2089"/>
    <cellStyle name="AÞ¸¶ [0]_¸AAa¸AAa¿ø°¡ _실적01(2안)_공사현황" xfId="2090"/>
    <cellStyle name="ÄÞ¸¶ [0]_¸ÅÃâ¸ÅÃâ¿ø°¡ _실적01(2안)_공사현황" xfId="2091"/>
    <cellStyle name="AÞ¸¶ [0]_¸AAa¸AAa¿ø°¡ _실적01(2안)_자료" xfId="2092"/>
    <cellStyle name="ÄÞ¸¶ [0]_¸ÅÃâ¸ÅÃâ¿ø°¡ _실적01(2안)_자료" xfId="2093"/>
    <cellStyle name="AÞ¸¶ [0]_¸AAa¸AAa¿ø°¡ _자료" xfId="2094"/>
    <cellStyle name="ÄÞ¸¶ [0]_¸ÅÃâ¸ÅÃâ¿ø°¡ _자료" xfId="2095"/>
    <cellStyle name="AÞ¸¶ [0]_¸AAa¾×(3)" xfId="2096"/>
    <cellStyle name="ÄÞ¸¶ [0]_¸ðÇü¸·" xfId="4277"/>
    <cellStyle name="AÞ¸¶ [0]_¿­¸° INT" xfId="2097"/>
    <cellStyle name="ÄÞ¸¶ [0]_±âÅ¸" xfId="2098"/>
    <cellStyle name="AÞ¸¶ [0]_°¡³ª´U " xfId="4278"/>
    <cellStyle name="ÄÞ¸¶ [0]_°èÈ¹3 _5월보고벨" xfId="2099"/>
    <cellStyle name="AÞ¸¶ [0]_°eE¹3 _매출확정" xfId="2100"/>
    <cellStyle name="ÄÞ¸¶ [0]_°èÈ¹3 _상주법인회의자료" xfId="2101"/>
    <cellStyle name="AÞ¸¶ [0]_¼oA¹°eE¹ " xfId="2102"/>
    <cellStyle name="ÄÞ¸¶ [0]_¼öÅ¹°èÈ¹ " xfId="2103"/>
    <cellStyle name="AÞ¸¶ [0]_¼oAa½CAu " xfId="2104"/>
    <cellStyle name="ÄÞ¸¶ [0]_¼öÃâ½ÇÀû " xfId="2105"/>
    <cellStyle name="AÞ¸¶ [0]_¼oAa½CAu _¹≪¿ª10¿u " xfId="2106"/>
    <cellStyle name="ÄÞ¸¶ [0]_¼öÃâ½ÇÀû _5월보고벨" xfId="2107"/>
    <cellStyle name="AÞ¸¶ [0]_¼oAa½CAu _5월보고상" xfId="2108"/>
    <cellStyle name="ÄÞ¸¶ [0]_¼öÃâ½ÇÀû _5월보고상" xfId="2109"/>
    <cellStyle name="AÞ¸¶ [0]_¼oAa½CAu _5월보고상_공사별CORDER현황" xfId="2110"/>
    <cellStyle name="ÄÞ¸¶ [0]_¼öÃâ½ÇÀû _5월보고상_공사별CORDER현황" xfId="2111"/>
    <cellStyle name="AÞ¸¶ [0]_¼oAa½CAu _5월보고상_공사현황" xfId="2112"/>
    <cellStyle name="ÄÞ¸¶ [0]_¼öÃâ½ÇÀû _5월보고상_공사현황" xfId="2113"/>
    <cellStyle name="AÞ¸¶ [0]_¼oAa½CAu _5월보고상_자료" xfId="2114"/>
    <cellStyle name="ÄÞ¸¶ [0]_¼öÃâ½ÇÀû _5월보고상_자료" xfId="2115"/>
    <cellStyle name="AÞ¸¶ [0]_¼oAa½CAu _5월보고시" xfId="2116"/>
    <cellStyle name="ÄÞ¸¶ [0]_¼öÃâ½ÇÀû _5월보고시" xfId="2117"/>
    <cellStyle name="AÞ¸¶ [0]_¼oAa½CAu _5월보고시_공사별CORDER현황" xfId="2118"/>
    <cellStyle name="ÄÞ¸¶ [0]_¼öÃâ½ÇÀû _5월보고시_공사별CORDER현황" xfId="2119"/>
    <cellStyle name="AÞ¸¶ [0]_¼oAa½CAu _5월보고시_공사현황" xfId="2120"/>
    <cellStyle name="ÄÞ¸¶ [0]_¼öÃâ½ÇÀû _5월보고시_공사현황" xfId="2121"/>
    <cellStyle name="AÞ¸¶ [0]_¼oAa½CAu _5월보고시_자료" xfId="2122"/>
    <cellStyle name="ÄÞ¸¶ [0]_¼öÃâ½ÇÀû _5월보고시_자료" xfId="2123"/>
    <cellStyle name="AÞ¸¶ [0]_¼oAa½CAu _AμE￡3¿u " xfId="2133"/>
    <cellStyle name="ÄÞ¸¶ [0]_¼öÃâ½ÇÀû _Çö´ë¾÷¹«ÃßÁø " xfId="2134"/>
    <cellStyle name="AÞ¸¶ [0]_¼oAa½CAu _Co´e¾÷¹≪AßAø " xfId="2135"/>
    <cellStyle name="ÄÞ¸¶ [0]_¼öÃâ½ÇÀû _공사현황" xfId="2124"/>
    <cellStyle name="AÞ¸¶ [0]_¼oAa½CAu _사업계획2003-1125xls" xfId="2125"/>
    <cellStyle name="ÄÞ¸¶ [0]_¼öÃâ½ÇÀû _상주법인회의자료" xfId="2126"/>
    <cellStyle name="AÞ¸¶ [0]_¼oAa½CAu _상주법인회의자료_공사별CORDER현황" xfId="2127"/>
    <cellStyle name="ÄÞ¸¶ [0]_¼öÃâ½ÇÀû _상주법인회의자료_공사별CORDER현황" xfId="2128"/>
    <cellStyle name="AÞ¸¶ [0]_¼oAa½CAu _실적01(2안)" xfId="2129"/>
    <cellStyle name="ÄÞ¸¶ [0]_¼öÃâ½ÇÀû _실적01(2안)" xfId="2130"/>
    <cellStyle name="AÞ¸¶ [0]_¼oAa½CAu _인테리어 공사 공내역2009.07.23최종(조과장)" xfId="2131"/>
    <cellStyle name="ÄÞ¸¶ [0]_¼öÃâ½ÇÀû _자료" xfId="2132"/>
    <cellStyle name="AÞ¸¶ [0]_³≫ºI°eE¹´e AßA¤A÷AI " xfId="2136"/>
    <cellStyle name="ÄÞ¸¶ [0]_Â÷ÀÔ±Ý " xfId="2137"/>
    <cellStyle name="AÞ¸¶ [0]_A÷AO±Y _5월보고벨" xfId="2138"/>
    <cellStyle name="ÄÞ¸¶ [0]_Â÷ÀÔ±Ý _5월보고벨" xfId="2139"/>
    <cellStyle name="AÞ¸¶ [0]_A÷AO±Y _5월보고상" xfId="2140"/>
    <cellStyle name="ÄÞ¸¶ [0]_Â÷ÀÔ±Ý _5월보고상" xfId="2141"/>
    <cellStyle name="AÞ¸¶ [0]_A÷AO±Y _5월보고시" xfId="2142"/>
    <cellStyle name="ÄÞ¸¶ [0]_Â÷ÀÔ±Ý _5월보고시" xfId="2143"/>
    <cellStyle name="AÞ¸¶ [0]_A÷AO±Y _계획22" xfId="2144"/>
    <cellStyle name="ÄÞ¸¶ [0]_Â÷ÀÔ±Ý _계획22" xfId="2145"/>
    <cellStyle name="AÞ¸¶ [0]_A÷AO±Y _계획22_5월보고벨" xfId="2146"/>
    <cellStyle name="ÄÞ¸¶ [0]_Â÷ÀÔ±Ý _계획22_5월보고벨" xfId="2147"/>
    <cellStyle name="AÞ¸¶ [0]_A÷AO±Y _계획22_5월보고상" xfId="2148"/>
    <cellStyle name="ÄÞ¸¶ [0]_Â÷ÀÔ±Ý _계획22_5월보고상" xfId="2149"/>
    <cellStyle name="AÞ¸¶ [0]_A÷AO±Y _계획22_5월보고시" xfId="2150"/>
    <cellStyle name="ÄÞ¸¶ [0]_Â÷ÀÔ±Ý _계획22_5월보고시" xfId="2151"/>
    <cellStyle name="AÞ¸¶ [0]_A÷AO±Y _계획22_공사별CORDER현황" xfId="2152"/>
    <cellStyle name="ÄÞ¸¶ [0]_Â÷ÀÔ±Ý _계획22_공사별CORDER현황" xfId="2153"/>
    <cellStyle name="AÞ¸¶ [0]_A÷AO±Y _계획22_공사현황" xfId="2154"/>
    <cellStyle name="ÄÞ¸¶ [0]_Â÷ÀÔ±Ý _계획22_공사현황" xfId="2155"/>
    <cellStyle name="AÞ¸¶ [0]_A÷AO±Y _계획22_상주법인회의자료" xfId="2156"/>
    <cellStyle name="ÄÞ¸¶ [0]_Â÷ÀÔ±Ý _계획22_상주법인회의자료" xfId="2157"/>
    <cellStyle name="AÞ¸¶ [0]_A÷AO±Y _계획22_자료" xfId="2158"/>
    <cellStyle name="ÄÞ¸¶ [0]_Â÷ÀÔ±Ý _계획22_자료" xfId="2159"/>
    <cellStyle name="AÞ¸¶ [0]_A÷AO±Y _공사별CORDER현황" xfId="2160"/>
    <cellStyle name="ÄÞ¸¶ [0]_Â÷ÀÔ±Ý _공사별CORDER현황" xfId="2161"/>
    <cellStyle name="AÞ¸¶ [0]_A÷AO±Y _공사현황" xfId="2162"/>
    <cellStyle name="ÄÞ¸¶ [0]_Â÷ÀÔ±Ý _공사현황" xfId="2163"/>
    <cellStyle name="AÞ¸¶ [0]_A÷AO±Y _상주법인회의자료" xfId="2164"/>
    <cellStyle name="ÄÞ¸¶ [0]_Â÷ÀÔ±Ý _상주법인회의자료" xfId="2165"/>
    <cellStyle name="AÞ¸¶ [0]_A÷AO±Y _실적01(2안)" xfId="2166"/>
    <cellStyle name="ÄÞ¸¶ [0]_Â÷ÀÔ±Ý _실적01(2안)" xfId="2167"/>
    <cellStyle name="AÞ¸¶ [0]_A÷AO±Y _실적01(2안)_공사별CORDER현황" xfId="2168"/>
    <cellStyle name="ÄÞ¸¶ [0]_Â÷ÀÔ±Ý _실적01(2안)_공사별CORDER현황" xfId="2169"/>
    <cellStyle name="AÞ¸¶ [0]_A÷AO±Y _실적01(2안)_공사현황" xfId="2170"/>
    <cellStyle name="ÄÞ¸¶ [0]_Â÷ÀÔ±Ý _실적01(2안)_공사현황" xfId="2171"/>
    <cellStyle name="AÞ¸¶ [0]_A÷AO±Y _실적01(2안)_자료" xfId="2172"/>
    <cellStyle name="ÄÞ¸¶ [0]_Â÷ÀÔ±Ý _실적01(2안)_자료" xfId="2173"/>
    <cellStyle name="AÞ¸¶ [0]_A÷AO±Y _자료" xfId="2174"/>
    <cellStyle name="ÄÞ¸¶ [0]_Â÷ÀÔ±Ý _자료" xfId="2175"/>
    <cellStyle name="AÞ¸¶ [0]_A÷AO±Y ±¸A¶ " xfId="2176"/>
    <cellStyle name="ÄÞ¸¶ [0]_Â÷ÀÔ±Ý ±¸Á¶ " xfId="2177"/>
    <cellStyle name="AÞ¸¶ [0]_A÷AO±Y ±¸A¶ _24통관" xfId="2178"/>
    <cellStyle name="ÄÞ¸¶ [0]_Â÷ÀÔ±Ý ±¸Á¶ _5월보고벨" xfId="2179"/>
    <cellStyle name="AÞ¸¶ [0]_A÷AO±Y ±¸A¶ _5월보고상" xfId="2180"/>
    <cellStyle name="ÄÞ¸¶ [0]_Â÷ÀÔ±Ý ±¸Á¶ _5월보고상" xfId="2181"/>
    <cellStyle name="AÞ¸¶ [0]_A÷AO±Y ±¸A¶ _5월보고상_공사별CORDER현황" xfId="2182"/>
    <cellStyle name="ÄÞ¸¶ [0]_Â÷ÀÔ±Ý ±¸Á¶ _5월보고상_공사별CORDER현황" xfId="2183"/>
    <cellStyle name="AÞ¸¶ [0]_A÷AO±Y ±¸A¶ _5월보고상_공사현황" xfId="2184"/>
    <cellStyle name="ÄÞ¸¶ [0]_Â÷ÀÔ±Ý ±¸Á¶ _5월보고상_공사현황" xfId="2185"/>
    <cellStyle name="AÞ¸¶ [0]_A÷AO±Y ±¸A¶ _5월보고상_자료" xfId="2186"/>
    <cellStyle name="ÄÞ¸¶ [0]_Â÷ÀÔ±Ý ±¸Á¶ _5월보고상_자료" xfId="2187"/>
    <cellStyle name="AÞ¸¶ [0]_A÷AO±Y ±¸A¶ _5월보고시" xfId="2188"/>
    <cellStyle name="ÄÞ¸¶ [0]_Â÷ÀÔ±Ý ±¸Á¶ _5월보고시" xfId="2189"/>
    <cellStyle name="AÞ¸¶ [0]_A÷AO±Y ±¸A¶ _5월보고시_공사별CORDER현황" xfId="2190"/>
    <cellStyle name="ÄÞ¸¶ [0]_Â÷ÀÔ±Ý ±¸Á¶ _5월보고시_공사별CORDER현황" xfId="2191"/>
    <cellStyle name="AÞ¸¶ [0]_A÷AO±Y ±¸A¶ _5월보고시_공사현황" xfId="2192"/>
    <cellStyle name="ÄÞ¸¶ [0]_Â÷ÀÔ±Ý ±¸Á¶ _5월보고시_공사현황" xfId="2193"/>
    <cellStyle name="AÞ¸¶ [0]_A÷AO±Y ±¸A¶ _5월보고시_자료" xfId="2194"/>
    <cellStyle name="ÄÞ¸¶ [0]_Â÷ÀÔ±Ý ±¸Á¶ _5월보고시_자료" xfId="2195"/>
    <cellStyle name="AÞ¸¶ [0]_A÷AO±Y ±¸A¶ _공사별CORDER현황" xfId="2196"/>
    <cellStyle name="ÄÞ¸¶ [0]_Â÷ÀÔ±Ý ±¸Á¶ _공사별CORDER현황" xfId="2197"/>
    <cellStyle name="AÞ¸¶ [0]_A÷AO±Y ±¸A¶ _공사현황" xfId="2198"/>
    <cellStyle name="ÄÞ¸¶ [0]_Â÷ÀÔ±Ý ±¸Á¶ _공사현황" xfId="2199"/>
    <cellStyle name="AÞ¸¶ [0]_A÷AO±Y ±¸A¶ _매출확정" xfId="2200"/>
    <cellStyle name="ÄÞ¸¶ [0]_Â÷ÀÔ±Ý ±¸Á¶ _상주법인회의자료" xfId="2201"/>
    <cellStyle name="AÞ¸¶ [0]_A÷AO±Y ±¸A¶ _자료" xfId="2202"/>
    <cellStyle name="ÄÞ¸¶ [0]_Â÷ÀÔ±Ý ±¸Á¶ _자료" xfId="2203"/>
    <cellStyle name="AÞ¸¶ [0]_A¶´Þ°eE¹ " xfId="2204"/>
    <cellStyle name="ÄÞ¸¶ [0]_Á¶´Þ°èÈ¹ " xfId="2205"/>
    <cellStyle name="AÞ¸¶ [0]_A¶´Þ°eE¹ _24통관" xfId="2206"/>
    <cellStyle name="ÄÞ¸¶ [0]_Á¶´Þ°èÈ¹ _5월보고벨" xfId="2207"/>
    <cellStyle name="AÞ¸¶ [0]_A¶´Þ°eE¹ _5월보고상" xfId="2208"/>
    <cellStyle name="ÄÞ¸¶ [0]_Á¶´Þ°èÈ¹ _5월보고상" xfId="2209"/>
    <cellStyle name="AÞ¸¶ [0]_A¶´Þ°eE¹ _5월보고상_공사별CORDER현황" xfId="2210"/>
    <cellStyle name="ÄÞ¸¶ [0]_Á¶´Þ°èÈ¹ _5월보고상_공사별CORDER현황" xfId="2211"/>
    <cellStyle name="AÞ¸¶ [0]_A¶´Þ°eE¹ _5월보고상_공사현황" xfId="2212"/>
    <cellStyle name="ÄÞ¸¶ [0]_Á¶´Þ°èÈ¹ _5월보고상_공사현황" xfId="2213"/>
    <cellStyle name="AÞ¸¶ [0]_A¶´Þ°eE¹ _5월보고상_자료" xfId="2214"/>
    <cellStyle name="ÄÞ¸¶ [0]_Á¶´Þ°èÈ¹ _5월보고상_자료" xfId="2215"/>
    <cellStyle name="AÞ¸¶ [0]_A¶´Þ°eE¹ _5월보고시" xfId="2216"/>
    <cellStyle name="ÄÞ¸¶ [0]_Á¶´Þ°èÈ¹ _5월보고시" xfId="2217"/>
    <cellStyle name="AÞ¸¶ [0]_A¶´Þ°eE¹ _5월보고시_공사별CORDER현황" xfId="2218"/>
    <cellStyle name="ÄÞ¸¶ [0]_Á¶´Þ°èÈ¹ _5월보고시_공사별CORDER현황" xfId="2219"/>
    <cellStyle name="AÞ¸¶ [0]_A¶´Þ°eE¹ _5월보고시_공사현황" xfId="2220"/>
    <cellStyle name="ÄÞ¸¶ [0]_Á¶´Þ°èÈ¹ _5월보고시_공사현황" xfId="2221"/>
    <cellStyle name="AÞ¸¶ [0]_A¶´Þ°eE¹ _5월보고시_자료" xfId="2222"/>
    <cellStyle name="ÄÞ¸¶ [0]_Á¶´Þ°èÈ¹ _5월보고시_자료" xfId="2223"/>
    <cellStyle name="AÞ¸¶ [0]_A¶´Þ°eE¹ _공사별CORDER현황" xfId="2224"/>
    <cellStyle name="ÄÞ¸¶ [0]_Á¶´Þ°èÈ¹ _공사별CORDER현황" xfId="2225"/>
    <cellStyle name="AÞ¸¶ [0]_A¶´Þ°eE¹ _공사현황" xfId="2226"/>
    <cellStyle name="ÄÞ¸¶ [0]_Á¶´Þ°èÈ¹ _공사현황" xfId="2227"/>
    <cellStyle name="AÞ¸¶ [0]_A¶´Þ°eE¹ _매출확정" xfId="2228"/>
    <cellStyle name="ÄÞ¸¶ [0]_Á¶´Þ°èÈ¹ _상주법인회의자료" xfId="2229"/>
    <cellStyle name="AÞ¸¶ [0]_A¶´Þ°eE¹ _자료" xfId="2230"/>
    <cellStyle name="ÄÞ¸¶ [0]_Á¶´Þ°èÈ¹ _자료" xfId="2231"/>
    <cellStyle name="AÞ¸¶ [0]_A¾CO½A¼³ " xfId="2232"/>
    <cellStyle name="ÄÞ¸¶ [0]_ÆÀÇ¥Áö_°èÈ¹3 " xfId="2233"/>
    <cellStyle name="AÞ¸¶ [0]_ÆAC￥Ao_°eE¹3 _24통관" xfId="2234"/>
    <cellStyle name="ÄÞ¸¶ [0]_ÆÀÇ¥Áö_°èÈ¹3 _5월보고벨" xfId="2235"/>
    <cellStyle name="AÞ¸¶ [0]_ÆAC￥Ao_°eE¹3 _5월보고상" xfId="2236"/>
    <cellStyle name="ÄÞ¸¶ [0]_ÆÀÇ¥Áö_°èÈ¹3 _5월보고상" xfId="2237"/>
    <cellStyle name="AÞ¸¶ [0]_ÆAC￥Ao_°eE¹3 _5월보고상_공사별CORDER현황" xfId="2238"/>
    <cellStyle name="ÄÞ¸¶ [0]_ÆÀÇ¥Áö_°èÈ¹3 _5월보고상_공사별CORDER현황" xfId="2239"/>
    <cellStyle name="AÞ¸¶ [0]_ÆAC￥Ao_°eE¹3 _5월보고상_공사현황" xfId="2240"/>
    <cellStyle name="ÄÞ¸¶ [0]_ÆÀÇ¥Áö_°èÈ¹3 _5월보고상_공사현황" xfId="2241"/>
    <cellStyle name="AÞ¸¶ [0]_ÆAC￥Ao_°eE¹3 _5월보고상_자료" xfId="2242"/>
    <cellStyle name="ÄÞ¸¶ [0]_ÆÀÇ¥Áö_°èÈ¹3 _5월보고상_자료" xfId="2243"/>
    <cellStyle name="AÞ¸¶ [0]_ÆAC￥Ao_°eE¹3 _5월보고시" xfId="2244"/>
    <cellStyle name="ÄÞ¸¶ [0]_ÆÀÇ¥Áö_°èÈ¹3 _5월보고시" xfId="2245"/>
    <cellStyle name="AÞ¸¶ [0]_ÆAC￥Ao_°eE¹3 _5월보고시_공사별CORDER현황" xfId="2246"/>
    <cellStyle name="ÄÞ¸¶ [0]_ÆÀÇ¥Áö_°èÈ¹3 _5월보고시_공사별CORDER현황" xfId="2247"/>
    <cellStyle name="AÞ¸¶ [0]_ÆAC￥Ao_°eE¹3 _5월보고시_공사현황" xfId="2248"/>
    <cellStyle name="ÄÞ¸¶ [0]_ÆÀÇ¥Áö_°èÈ¹3 _5월보고시_공사현황" xfId="2249"/>
    <cellStyle name="AÞ¸¶ [0]_ÆAC￥Ao_°eE¹3 _5월보고시_자료" xfId="2250"/>
    <cellStyle name="ÄÞ¸¶ [0]_ÆÀÇ¥Áö_°èÈ¹3 _5월보고시_자료" xfId="2251"/>
    <cellStyle name="AÞ¸¶ [0]_ÆAC￥Ao_°eE¹3 _공사별CORDER현황" xfId="2252"/>
    <cellStyle name="ÄÞ¸¶ [0]_ÆÀÇ¥Áö_°èÈ¹3 _공사별CORDER현황" xfId="2253"/>
    <cellStyle name="AÞ¸¶ [0]_ÆAC￥Ao_°eE¹3 _공사현황" xfId="2254"/>
    <cellStyle name="ÄÞ¸¶ [0]_ÆÀÇ¥Áö_°èÈ¹3 _공사현황" xfId="2255"/>
    <cellStyle name="AÞ¸¶ [0]_ÆAC￥Ao_°eE¹3 _매출확정" xfId="2256"/>
    <cellStyle name="ÄÞ¸¶ [0]_ÆÀÇ¥Áö_°èÈ¹3 _상주법인회의자료" xfId="2257"/>
    <cellStyle name="AÞ¸¶ [0]_ÆAC￥Ao_°eE¹3 _자료" xfId="2258"/>
    <cellStyle name="ÄÞ¸¶ [0]_ÆÀÇ¥Áö_°èÈ¹3 _자료" xfId="2259"/>
    <cellStyle name="AÞ¸¶ [0]_CaEA5³a (2)_¼oAa " xfId="2260"/>
    <cellStyle name="ÄÞ¸¶ [0]_ÇâÈÄ5³â (2)_¼öÃâ " xfId="2261"/>
    <cellStyle name="AÞ¸¶ [0]_Co´e¾÷¹≪AßAø " xfId="2262"/>
    <cellStyle name="ÄÞ¸¶ [0]_INQUIRY ¿µ¾÷ÃßÁø " xfId="2263"/>
    <cellStyle name="AÞ¸¶ [0]_INQUIRY ¿μ¾÷AßAø " xfId="2264"/>
    <cellStyle name="ÄÞ¸¶ [0]_º»¼± ±æ¾î±úºÎ ¼ö·® Áý°èÇ¥ " xfId="2265"/>
    <cellStyle name="AÞ¸¶ [0]_º≫¼± ±æ¾i±uºI ¼o·R Ay°eC￥ " xfId="2266"/>
    <cellStyle name="ÄÞ¸¶ [0]_Sheet1" xfId="2267"/>
    <cellStyle name="AÞ¸¶_ 2ÆAAþº° " xfId="2268"/>
    <cellStyle name="ÄÞ¸¶_ ºñ¸ñº° ¿ùº°±â¼ú " xfId="2269"/>
    <cellStyle name="AÞ¸¶_´e¿UCN¹R°ø¹R " xfId="2270"/>
    <cellStyle name="ÄÞ¸¶_´ëºñÇ¥" xfId="2271"/>
    <cellStyle name="AÞ¸¶_¸AAa" xfId="2272"/>
    <cellStyle name="ÄÞ¸¶_¸ÅÃâ¸ÅÃâ¿ø°¡ " xfId="2273"/>
    <cellStyle name="AÞ¸¶_¸AAa¸AAa¿ø°¡ _5월보고벨" xfId="2274"/>
    <cellStyle name="ÄÞ¸¶_¸ÅÃâ¸ÅÃâ¿ø°¡ _5월보고벨" xfId="2275"/>
    <cellStyle name="AÞ¸¶_¸AAa¸AAa¿ø°¡ _5월보고상" xfId="2276"/>
    <cellStyle name="ÄÞ¸¶_¸ÅÃâ¸ÅÃâ¿ø°¡ _5월보고상" xfId="2277"/>
    <cellStyle name="AÞ¸¶_¸AAa¸AAa¿ø°¡ _5월보고시" xfId="2278"/>
    <cellStyle name="ÄÞ¸¶_¸ÅÃâ¸ÅÃâ¿ø°¡ _5월보고시" xfId="2279"/>
    <cellStyle name="AÞ¸¶_¸AAa¸AAa¿ø°¡ _계획22" xfId="2280"/>
    <cellStyle name="ÄÞ¸¶_¸ÅÃâ¸ÅÃâ¿ø°¡ _계획22" xfId="2281"/>
    <cellStyle name="AÞ¸¶_¸AAa¸AAa¿ø°¡ _계획22_5월보고벨" xfId="2282"/>
    <cellStyle name="ÄÞ¸¶_¸ÅÃâ¸ÅÃâ¿ø°¡ _계획22_5월보고벨" xfId="2283"/>
    <cellStyle name="AÞ¸¶_¸AAa¸AAa¿ø°¡ _계획22_5월보고상" xfId="2284"/>
    <cellStyle name="ÄÞ¸¶_¸ÅÃâ¸ÅÃâ¿ø°¡ _계획22_5월보고상" xfId="2285"/>
    <cellStyle name="AÞ¸¶_¸AAa¸AAa¿ø°¡ _계획22_5월보고시" xfId="2286"/>
    <cellStyle name="ÄÞ¸¶_¸ÅÃâ¸ÅÃâ¿ø°¡ _계획22_5월보고시" xfId="2287"/>
    <cellStyle name="AÞ¸¶_¸AAa¸AAa¿ø°¡ _계획22_공사별CORDER현황" xfId="2288"/>
    <cellStyle name="ÄÞ¸¶_¸ÅÃâ¸ÅÃâ¿ø°¡ _계획22_공사별CORDER현황" xfId="2289"/>
    <cellStyle name="AÞ¸¶_¸AAa¸AAa¿ø°¡ _계획22_공사현황" xfId="2290"/>
    <cellStyle name="ÄÞ¸¶_¸ÅÃâ¸ÅÃâ¿ø°¡ _계획22_공사현황" xfId="2291"/>
    <cellStyle name="AÞ¸¶_¸AAa¸AAa¿ø°¡ _계획22_상주법인회의자료" xfId="2292"/>
    <cellStyle name="ÄÞ¸¶_¸ÅÃâ¸ÅÃâ¿ø°¡ _계획22_상주법인회의자료" xfId="2293"/>
    <cellStyle name="AÞ¸¶_¸AAa¸AAa¿ø°¡ _계획22_자료" xfId="2294"/>
    <cellStyle name="ÄÞ¸¶_¸ÅÃâ¸ÅÃâ¿ø°¡ _계획22_자료" xfId="2295"/>
    <cellStyle name="AÞ¸¶_¸AAa¸AAa¿ø°¡ _공사별CORDER현황" xfId="2296"/>
    <cellStyle name="ÄÞ¸¶_¸ÅÃâ¸ÅÃâ¿ø°¡ _공사별CORDER현황" xfId="2297"/>
    <cellStyle name="AÞ¸¶_¸AAa¸AAa¿ø°¡ _공사현황" xfId="2298"/>
    <cellStyle name="ÄÞ¸¶_¸ÅÃâ¸ÅÃâ¿ø°¡ _공사현황" xfId="2299"/>
    <cellStyle name="AÞ¸¶_¸AAa¸AAa¿ø°¡ _상주법인회의자료" xfId="2300"/>
    <cellStyle name="ÄÞ¸¶_¸ÅÃâ¸ÅÃâ¿ø°¡ _상주법인회의자료" xfId="2301"/>
    <cellStyle name="AÞ¸¶_¸AAa¸AAa¿ø°¡ _실적01(2안)" xfId="2302"/>
    <cellStyle name="ÄÞ¸¶_¸ÅÃâ¸ÅÃâ¿ø°¡ _실적01(2안)" xfId="2303"/>
    <cellStyle name="AÞ¸¶_¸AAa¸AAa¿ø°¡ _실적01(2안)_공사별CORDER현황" xfId="2304"/>
    <cellStyle name="ÄÞ¸¶_¸ÅÃâ¸ÅÃâ¿ø°¡ _실적01(2안)_공사별CORDER현황" xfId="2305"/>
    <cellStyle name="AÞ¸¶_¸AAa¸AAa¿ø°¡ _실적01(2안)_공사현황" xfId="2306"/>
    <cellStyle name="ÄÞ¸¶_¸ÅÃâ¸ÅÃâ¿ø°¡ _실적01(2안)_공사현황" xfId="2307"/>
    <cellStyle name="AÞ¸¶_¸AAa¸AAa¿ø°¡ _실적01(2안)_자료" xfId="2308"/>
    <cellStyle name="ÄÞ¸¶_¸ÅÃâ¸ÅÃâ¿ø°¡ _실적01(2안)_자료" xfId="2309"/>
    <cellStyle name="AÞ¸¶_¸AAa¸AAa¿ø°¡ _자료" xfId="2310"/>
    <cellStyle name="ÄÞ¸¶_¸ÅÃâ¸ÅÃâ¿ø°¡ _자료" xfId="2311"/>
    <cellStyle name="AÞ¸¶_¸AAa¾×(3)" xfId="2312"/>
    <cellStyle name="ÄÞ¸¶_¸ðÇü¸·" xfId="4279"/>
    <cellStyle name="AÞ¸¶_¿­¸° INT" xfId="2313"/>
    <cellStyle name="ÄÞ¸¶_±âÅ¸" xfId="2314"/>
    <cellStyle name="AÞ¸¶_°eE¹3 _24통관" xfId="2315"/>
    <cellStyle name="ÄÞ¸¶_°èÈ¹3 _5월보고벨" xfId="2316"/>
    <cellStyle name="AÞ¸¶_°eE¹3 _매출확정" xfId="2317"/>
    <cellStyle name="ÄÞ¸¶_°èÈ¹3 _상주법인회의자료" xfId="2318"/>
    <cellStyle name="AÞ¸¶_¼oA¹°eE¹ " xfId="2319"/>
    <cellStyle name="ÄÞ¸¶_¼öÅ¹°èÈ¹ " xfId="2320"/>
    <cellStyle name="AÞ¸¶_¼oAa½CAu " xfId="2321"/>
    <cellStyle name="ÄÞ¸¶_¼öÃâ½ÇÀû " xfId="2322"/>
    <cellStyle name="AÞ¸¶_¼oAa½CAu _¹≪¿ª10¿u " xfId="2323"/>
    <cellStyle name="ÄÞ¸¶_¼öÃâ½ÇÀû _5월보고벨" xfId="2324"/>
    <cellStyle name="AÞ¸¶_¼oAa½CAu _5월보고상" xfId="2325"/>
    <cellStyle name="ÄÞ¸¶_¼öÃâ½ÇÀû _5월보고상" xfId="2326"/>
    <cellStyle name="AÞ¸¶_¼oAa½CAu _5월보고상_공사별CORDER현황" xfId="2327"/>
    <cellStyle name="ÄÞ¸¶_¼öÃâ½ÇÀû _5월보고상_공사별CORDER현황" xfId="2328"/>
    <cellStyle name="AÞ¸¶_¼oAa½CAu _5월보고상_공사현황" xfId="2329"/>
    <cellStyle name="ÄÞ¸¶_¼öÃâ½ÇÀû _5월보고상_공사현황" xfId="2330"/>
    <cellStyle name="AÞ¸¶_¼oAa½CAu _5월보고상_자료" xfId="2331"/>
    <cellStyle name="ÄÞ¸¶_¼öÃâ½ÇÀû _5월보고상_자료" xfId="2332"/>
    <cellStyle name="AÞ¸¶_¼oAa½CAu _5월보고시" xfId="2333"/>
    <cellStyle name="ÄÞ¸¶_¼öÃâ½ÇÀû _5월보고시" xfId="2334"/>
    <cellStyle name="AÞ¸¶_¼oAa½CAu _5월보고시_공사별CORDER현황" xfId="2335"/>
    <cellStyle name="ÄÞ¸¶_¼öÃâ½ÇÀû _5월보고시_공사별CORDER현황" xfId="2336"/>
    <cellStyle name="AÞ¸¶_¼oAa½CAu _5월보고시_공사현황" xfId="2337"/>
    <cellStyle name="ÄÞ¸¶_¼öÃâ½ÇÀû _5월보고시_공사현황" xfId="2338"/>
    <cellStyle name="AÞ¸¶_¼oAa½CAu _5월보고시_자료" xfId="2339"/>
    <cellStyle name="ÄÞ¸¶_¼öÃâ½ÇÀû _5월보고시_자료" xfId="2340"/>
    <cellStyle name="AÞ¸¶_¼oAa½CAu _Co´e¾÷¹≪AßAø " xfId="2350"/>
    <cellStyle name="ÄÞ¸¶_¼öÃâ½ÇÀû _공사현황" xfId="2341"/>
    <cellStyle name="AÞ¸¶_¼oAa½CAu _사업계획2003-1125xls" xfId="2342"/>
    <cellStyle name="ÄÞ¸¶_¼öÃâ½ÇÀû _상주법인회의자료" xfId="2343"/>
    <cellStyle name="AÞ¸¶_¼oAa½CAu _상주법인회의자료_공사별CORDER현황" xfId="2344"/>
    <cellStyle name="ÄÞ¸¶_¼öÃâ½ÇÀû _상주법인회의자료_공사별CORDER현황" xfId="2345"/>
    <cellStyle name="AÞ¸¶_¼oAa½CAu _실적01(2안)" xfId="2346"/>
    <cellStyle name="ÄÞ¸¶_¼öÃâ½ÇÀû _실적01(2안)" xfId="2347"/>
    <cellStyle name="AÞ¸¶_¼oAa½CAu _인테리어 공사 공내역2009.07.23최종(조과장)" xfId="2348"/>
    <cellStyle name="ÄÞ¸¶_¼öÃâ½ÇÀû _자료" xfId="2349"/>
    <cellStyle name="AÞ¸¶_2¿u¸AAa " xfId="2351"/>
    <cellStyle name="ÄÞ¸¶_2¿ù¸ÅÃâ " xfId="2352"/>
    <cellStyle name="AÞ¸¶_³≫ºI°eE¹´e AßA¤A÷AI " xfId="2353"/>
    <cellStyle name="ÄÞ¸¶_Â÷ÀÔ±Ý " xfId="2354"/>
    <cellStyle name="AÞ¸¶_A÷AO±Y _5월보고벨" xfId="2355"/>
    <cellStyle name="ÄÞ¸¶_Â÷ÀÔ±Ý _5월보고벨" xfId="2356"/>
    <cellStyle name="AÞ¸¶_A÷AO±Y _5월보고상" xfId="2357"/>
    <cellStyle name="ÄÞ¸¶_Â÷ÀÔ±Ý _5월보고상" xfId="2358"/>
    <cellStyle name="AÞ¸¶_A÷AO±Y _5월보고시" xfId="2359"/>
    <cellStyle name="ÄÞ¸¶_Â÷ÀÔ±Ý _5월보고시" xfId="2360"/>
    <cellStyle name="AÞ¸¶_A÷AO±Y _계획22" xfId="2361"/>
    <cellStyle name="ÄÞ¸¶_Â÷ÀÔ±Ý _계획22" xfId="2362"/>
    <cellStyle name="AÞ¸¶_A÷AO±Y _계획22_5월보고벨" xfId="2363"/>
    <cellStyle name="ÄÞ¸¶_Â÷ÀÔ±Ý _계획22_5월보고벨" xfId="2364"/>
    <cellStyle name="AÞ¸¶_A÷AO±Y _계획22_5월보고상" xfId="2365"/>
    <cellStyle name="ÄÞ¸¶_Â÷ÀÔ±Ý _계획22_5월보고상" xfId="2366"/>
    <cellStyle name="AÞ¸¶_A÷AO±Y _계획22_5월보고시" xfId="2367"/>
    <cellStyle name="ÄÞ¸¶_Â÷ÀÔ±Ý _계획22_5월보고시" xfId="2368"/>
    <cellStyle name="AÞ¸¶_A÷AO±Y _계획22_공사별CORDER현황" xfId="2369"/>
    <cellStyle name="ÄÞ¸¶_Â÷ÀÔ±Ý _계획22_공사별CORDER현황" xfId="2370"/>
    <cellStyle name="AÞ¸¶_A÷AO±Y _계획22_공사현황" xfId="2371"/>
    <cellStyle name="ÄÞ¸¶_Â÷ÀÔ±Ý _계획22_공사현황" xfId="2372"/>
    <cellStyle name="AÞ¸¶_A÷AO±Y _계획22_상주법인회의자료" xfId="2373"/>
    <cellStyle name="ÄÞ¸¶_Â÷ÀÔ±Ý _계획22_상주법인회의자료" xfId="2374"/>
    <cellStyle name="AÞ¸¶_A÷AO±Y _계획22_자료" xfId="2375"/>
    <cellStyle name="ÄÞ¸¶_Â÷ÀÔ±Ý _계획22_자료" xfId="2376"/>
    <cellStyle name="AÞ¸¶_A÷AO±Y _공사별CORDER현황" xfId="2377"/>
    <cellStyle name="ÄÞ¸¶_Â÷ÀÔ±Ý _공사별CORDER현황" xfId="2378"/>
    <cellStyle name="AÞ¸¶_A÷AO±Y _공사현황" xfId="2379"/>
    <cellStyle name="ÄÞ¸¶_Â÷ÀÔ±Ý _공사현황" xfId="2380"/>
    <cellStyle name="AÞ¸¶_A÷AO±Y _상주법인회의자료" xfId="2381"/>
    <cellStyle name="ÄÞ¸¶_Â÷ÀÔ±Ý _상주법인회의자료" xfId="2382"/>
    <cellStyle name="AÞ¸¶_A÷AO±Y _실적01(2안)" xfId="2383"/>
    <cellStyle name="ÄÞ¸¶_Â÷ÀÔ±Ý _실적01(2안)" xfId="2384"/>
    <cellStyle name="AÞ¸¶_A÷AO±Y _실적01(2안)_공사별CORDER현황" xfId="2385"/>
    <cellStyle name="ÄÞ¸¶_Â÷ÀÔ±Ý _실적01(2안)_공사별CORDER현황" xfId="2386"/>
    <cellStyle name="AÞ¸¶_A÷AO±Y _실적01(2안)_공사현황" xfId="2387"/>
    <cellStyle name="ÄÞ¸¶_Â÷ÀÔ±Ý _실적01(2안)_공사현황" xfId="2388"/>
    <cellStyle name="AÞ¸¶_A÷AO±Y _실적01(2안)_자료" xfId="2389"/>
    <cellStyle name="ÄÞ¸¶_Â÷ÀÔ±Ý _실적01(2안)_자료" xfId="2390"/>
    <cellStyle name="AÞ¸¶_A÷AO±Y _자료" xfId="2391"/>
    <cellStyle name="ÄÞ¸¶_Â÷ÀÔ±Ý _자료" xfId="2392"/>
    <cellStyle name="AÞ¸¶_A÷AO±Y ±¸A¶ " xfId="2393"/>
    <cellStyle name="ÄÞ¸¶_Â÷ÀÔ±Ý ±¸Á¶ " xfId="2394"/>
    <cellStyle name="AÞ¸¶_A÷AO±Y ±¸A¶ _24통관" xfId="2395"/>
    <cellStyle name="ÄÞ¸¶_Â÷ÀÔ±Ý ±¸Á¶ _5월보고벨" xfId="2396"/>
    <cellStyle name="AÞ¸¶_A÷AO±Y ±¸A¶ _5월보고상" xfId="2397"/>
    <cellStyle name="ÄÞ¸¶_Â÷ÀÔ±Ý ±¸Á¶ _5월보고상" xfId="2398"/>
    <cellStyle name="AÞ¸¶_A÷AO±Y ±¸A¶ _5월보고상_공사별CORDER현황" xfId="2399"/>
    <cellStyle name="ÄÞ¸¶_Â÷ÀÔ±Ý ±¸Á¶ _5월보고상_공사별CORDER현황" xfId="2400"/>
    <cellStyle name="AÞ¸¶_A÷AO±Y ±¸A¶ _5월보고상_공사현황" xfId="2401"/>
    <cellStyle name="ÄÞ¸¶_Â÷ÀÔ±Ý ±¸Á¶ _5월보고상_공사현황" xfId="2402"/>
    <cellStyle name="AÞ¸¶_A÷AO±Y ±¸A¶ _5월보고상_자료" xfId="2403"/>
    <cellStyle name="ÄÞ¸¶_Â÷ÀÔ±Ý ±¸Á¶ _5월보고상_자료" xfId="2404"/>
    <cellStyle name="AÞ¸¶_A÷AO±Y ±¸A¶ _5월보고시" xfId="2405"/>
    <cellStyle name="ÄÞ¸¶_Â÷ÀÔ±Ý ±¸Á¶ _5월보고시" xfId="2406"/>
    <cellStyle name="AÞ¸¶_A÷AO±Y ±¸A¶ _5월보고시_공사별CORDER현황" xfId="2407"/>
    <cellStyle name="ÄÞ¸¶_Â÷ÀÔ±Ý ±¸Á¶ _5월보고시_공사별CORDER현황" xfId="2408"/>
    <cellStyle name="AÞ¸¶_A÷AO±Y ±¸A¶ _5월보고시_공사현황" xfId="2409"/>
    <cellStyle name="ÄÞ¸¶_Â÷ÀÔ±Ý ±¸Á¶ _5월보고시_공사현황" xfId="2410"/>
    <cellStyle name="AÞ¸¶_A÷AO±Y ±¸A¶ _5월보고시_자료" xfId="2411"/>
    <cellStyle name="ÄÞ¸¶_Â÷ÀÔ±Ý ±¸Á¶ _5월보고시_자료" xfId="2412"/>
    <cellStyle name="AÞ¸¶_A÷AO±Y ±¸A¶ _공사별CORDER현황" xfId="2413"/>
    <cellStyle name="ÄÞ¸¶_Â÷ÀÔ±Ý ±¸Á¶ _공사별CORDER현황" xfId="2414"/>
    <cellStyle name="AÞ¸¶_A÷AO±Y ±¸A¶ _공사현황" xfId="2415"/>
    <cellStyle name="ÄÞ¸¶_Â÷ÀÔ±Ý ±¸Á¶ _공사현황" xfId="2416"/>
    <cellStyle name="AÞ¸¶_A÷AO±Y ±¸A¶ _매출확정" xfId="2417"/>
    <cellStyle name="ÄÞ¸¶_Â÷ÀÔ±Ý ±¸Á¶ _상주법인회의자료" xfId="2418"/>
    <cellStyle name="AÞ¸¶_A÷AO±Y ±¸A¶ _자료" xfId="2419"/>
    <cellStyle name="ÄÞ¸¶_Â÷ÀÔ±Ý ±¸Á¶ _자료" xfId="2420"/>
    <cellStyle name="AÞ¸¶_A¶´Þ°eE¹ " xfId="2421"/>
    <cellStyle name="ÄÞ¸¶_Á¶´Þ°èÈ¹ " xfId="2422"/>
    <cellStyle name="AÞ¸¶_A¶´Þ°eE¹ _24통관" xfId="2423"/>
    <cellStyle name="ÄÞ¸¶_Á¶´Þ°èÈ¹ _5월보고벨" xfId="2424"/>
    <cellStyle name="AÞ¸¶_A¶´Þ°eE¹ _5월보고상" xfId="2425"/>
    <cellStyle name="ÄÞ¸¶_Á¶´Þ°èÈ¹ _5월보고상" xfId="2426"/>
    <cellStyle name="AÞ¸¶_A¶´Þ°eE¹ _5월보고상_공사별CORDER현황" xfId="2427"/>
    <cellStyle name="ÄÞ¸¶_Á¶´Þ°èÈ¹ _5월보고상_공사별CORDER현황" xfId="2428"/>
    <cellStyle name="AÞ¸¶_A¶´Þ°eE¹ _5월보고상_공사현황" xfId="2429"/>
    <cellStyle name="ÄÞ¸¶_Á¶´Þ°èÈ¹ _5월보고상_공사현황" xfId="2430"/>
    <cellStyle name="AÞ¸¶_A¶´Þ°eE¹ _5월보고상_자료" xfId="2431"/>
    <cellStyle name="ÄÞ¸¶_Á¶´Þ°èÈ¹ _5월보고상_자료" xfId="2432"/>
    <cellStyle name="AÞ¸¶_A¶´Þ°eE¹ _5월보고시" xfId="2433"/>
    <cellStyle name="ÄÞ¸¶_Á¶´Þ°èÈ¹ _5월보고시" xfId="2434"/>
    <cellStyle name="AÞ¸¶_A¶´Þ°eE¹ _5월보고시_공사별CORDER현황" xfId="2435"/>
    <cellStyle name="ÄÞ¸¶_Á¶´Þ°èÈ¹ _5월보고시_공사별CORDER현황" xfId="2436"/>
    <cellStyle name="AÞ¸¶_A¶´Þ°eE¹ _5월보고시_공사현황" xfId="2437"/>
    <cellStyle name="ÄÞ¸¶_Á¶´Þ°èÈ¹ _5월보고시_공사현황" xfId="2438"/>
    <cellStyle name="AÞ¸¶_A¶´Þ°eE¹ _5월보고시_자료" xfId="2439"/>
    <cellStyle name="ÄÞ¸¶_Á¶´Þ°èÈ¹ _5월보고시_자료" xfId="2440"/>
    <cellStyle name="AÞ¸¶_A¶´Þ°eE¹ _공사별CORDER현황" xfId="2441"/>
    <cellStyle name="ÄÞ¸¶_Á¶´Þ°èÈ¹ _공사별CORDER현황" xfId="2442"/>
    <cellStyle name="AÞ¸¶_A¶´Þ°eE¹ _공사현황" xfId="2443"/>
    <cellStyle name="ÄÞ¸¶_Á¶´Þ°èÈ¹ _공사현황" xfId="2444"/>
    <cellStyle name="AÞ¸¶_A¶´Þ°eE¹ _매출확정" xfId="2445"/>
    <cellStyle name="ÄÞ¸¶_Á¶´Þ°èÈ¹ _상주법인회의자료" xfId="2446"/>
    <cellStyle name="AÞ¸¶_A¶´Þ°eE¹ _자료" xfId="2447"/>
    <cellStyle name="ÄÞ¸¶_Á¶´Þ°èÈ¹ _자료" xfId="2448"/>
    <cellStyle name="AÞ¸¶_A¾CO½A¼³ " xfId="2449"/>
    <cellStyle name="ÄÞ¸¶_ÆÀÇ¥Áö_°èÈ¹3 " xfId="2450"/>
    <cellStyle name="AÞ¸¶_ÆAC￥Ao_°eE¹3 _24통관" xfId="2451"/>
    <cellStyle name="ÄÞ¸¶_ÆÀÇ¥Áö_°èÈ¹3 _5월보고벨" xfId="2452"/>
    <cellStyle name="AÞ¸¶_ÆAC￥Ao_°eE¹3 _5월보고상" xfId="2453"/>
    <cellStyle name="ÄÞ¸¶_ÆÀÇ¥Áö_°èÈ¹3 _5월보고상" xfId="2454"/>
    <cellStyle name="AÞ¸¶_ÆAC￥Ao_°eE¹3 _5월보고상_공사별CORDER현황" xfId="2455"/>
    <cellStyle name="ÄÞ¸¶_ÆÀÇ¥Áö_°èÈ¹3 _5월보고상_공사별CORDER현황" xfId="2456"/>
    <cellStyle name="AÞ¸¶_ÆAC￥Ao_°eE¹3 _5월보고상_공사현황" xfId="2457"/>
    <cellStyle name="ÄÞ¸¶_ÆÀÇ¥Áö_°èÈ¹3 _5월보고상_공사현황" xfId="2458"/>
    <cellStyle name="AÞ¸¶_ÆAC￥Ao_°eE¹3 _5월보고상_자료" xfId="2459"/>
    <cellStyle name="ÄÞ¸¶_ÆÀÇ¥Áö_°èÈ¹3 _5월보고상_자료" xfId="2460"/>
    <cellStyle name="AÞ¸¶_ÆAC￥Ao_°eE¹3 _5월보고시" xfId="2461"/>
    <cellStyle name="ÄÞ¸¶_ÆÀÇ¥Áö_°èÈ¹3 _5월보고시" xfId="2462"/>
    <cellStyle name="AÞ¸¶_ÆAC￥Ao_°eE¹3 _5월보고시_공사별CORDER현황" xfId="2463"/>
    <cellStyle name="ÄÞ¸¶_ÆÀÇ¥Áö_°èÈ¹3 _5월보고시_공사별CORDER현황" xfId="2464"/>
    <cellStyle name="AÞ¸¶_ÆAC￥Ao_°eE¹3 _5월보고시_공사현황" xfId="2465"/>
    <cellStyle name="ÄÞ¸¶_ÆÀÇ¥Áö_°èÈ¹3 _5월보고시_공사현황" xfId="2466"/>
    <cellStyle name="AÞ¸¶_ÆAC￥Ao_°eE¹3 _5월보고시_자료" xfId="2467"/>
    <cellStyle name="ÄÞ¸¶_ÆÀÇ¥Áö_°èÈ¹3 _5월보고시_자료" xfId="2468"/>
    <cellStyle name="AÞ¸¶_ÆAC￥Ao_°eE¹3 _공사별CORDER현황" xfId="2469"/>
    <cellStyle name="ÄÞ¸¶_ÆÀÇ¥Áö_°èÈ¹3 _공사별CORDER현황" xfId="2470"/>
    <cellStyle name="AÞ¸¶_ÆAC￥Ao_°eE¹3 _공사현황" xfId="2471"/>
    <cellStyle name="ÄÞ¸¶_ÆÀÇ¥Áö_°èÈ¹3 _공사현황" xfId="2472"/>
    <cellStyle name="AÞ¸¶_ÆAC￥Ao_°eE¹3 _매출확정" xfId="2473"/>
    <cellStyle name="ÄÞ¸¶_ÆÀÇ¥Áö_°èÈ¹3 _상주법인회의자료" xfId="2474"/>
    <cellStyle name="AÞ¸¶_ÆAC￥Ao_°eE¹3 _자료" xfId="2475"/>
    <cellStyle name="ÄÞ¸¶_ÆÀÇ¥Áö_°èÈ¹3 _자료" xfId="2476"/>
    <cellStyle name="AÞ¸¶_AO°￡¸AAaCoE²_¼oAa " xfId="2477"/>
    <cellStyle name="ÄÞ¸¶_ÁÖ°£¸ÅÃâÇöÈ²_¼öÃâ " xfId="2478"/>
    <cellStyle name="AÞ¸¶_CaEA5³a (2)_¼oAa " xfId="2479"/>
    <cellStyle name="ÄÞ¸¶_ÇâÈÄ5³â (2)_¼öÃâ " xfId="2480"/>
    <cellStyle name="AÞ¸¶_Co´e¾÷¹≪AßAø " xfId="2481"/>
    <cellStyle name="ÄÞ¸¶_INQUIRY ¿µ¾÷ÃßÁø " xfId="2482"/>
    <cellStyle name="AÞ¸¶_INQUIRY ¿μ¾÷AßAø " xfId="2483"/>
    <cellStyle name="ÄÞ¸¶_º»¼± ±æ¾î±úºÎ ¼ö·® Áý°èÇ¥ " xfId="2484"/>
    <cellStyle name="AÞ¸¶_º≫¼± ±æ¾i±uºI ¼o·R Ay°eC￥ " xfId="2485"/>
    <cellStyle name="ÄÞ¸¶_Sheet1" xfId="2486"/>
    <cellStyle name="_x0001_b" xfId="2487"/>
    <cellStyle name="blank" xfId="2488"/>
    <cellStyle name="blank - Style1" xfId="2489"/>
    <cellStyle name="C¡" xfId="4280"/>
    <cellStyle name="C¡ERERERIA￠RERER¡ERER￠RER￠RE?¡ERER￠RER¡ER¡E?¡ERERI_5-1¡ERERER¡ERER￠RER¡ER¡E?u￠RERERE¡ERERE¡ERERI¡ERERER¡ERER￠RER¡ER¡E?￠RERERi " xfId="2490"/>
    <cellStyle name="C¡ERIA￠R¡×¡§¡I_¡§Io¡ERi￠RE?￠R¡×￠RI¡ER¡§￠R¡§I¡ER￠R¡×￠Rⓒ­nAa " xfId="2491"/>
    <cellStyle name="C¡IA¨ª_ 1-3 " xfId="2492"/>
    <cellStyle name="C¡ÍA¨ª_¡ÆeE©ö3 " xfId="2493"/>
    <cellStyle name="C¡IA¨ª_¡ÆeEⓒo3 " xfId="2494"/>
    <cellStyle name="C¡ÍA¨ª_¡íc¨ú¡À¨¬I¨¬¡Æ AN¡Æe " xfId="2495"/>
    <cellStyle name="C¡IA¨ª_¡ic¨u¡A¨￢I¨￢¡Æ AN¡Æe _1본사 (2)" xfId="2496"/>
    <cellStyle name="C¡ÍA¨ª_¡íc¨ú¡À¨¬I¨¬¡Æ AN¡Æe _4월보고상" xfId="2497"/>
    <cellStyle name="C¡IA¨ª_¡ic¨u¡A¨￢I¨￢¡Æ AN¡Æe _Co￠￥e¨u¡Aⓒo¡iAⓒ￢Aⓒª " xfId="2498"/>
    <cellStyle name="C¡ÍA¨ª_¨¡?¡¾a3_p.mix " xfId="2499"/>
    <cellStyle name="C¡IA¨ª_¨¡?¡¾a3_p.mix _0201실적" xfId="2500"/>
    <cellStyle name="C¡ÍA¨ª_¨¡?¡¾a3_p.mix _Book11" xfId="2501"/>
    <cellStyle name="C¡IA¨ª_¨¡AC¡IAo_¡ÆeEⓒo3 " xfId="2502"/>
    <cellStyle name="C¡ÍA¨ª_¨¬IA©ª¨¬I©öR(¨¡?¨¡C) (1¢¯u)_1_©ö¡ì¢¯¨£10¢¯u " xfId="2503"/>
    <cellStyle name="C¡IA¨ª_¨￢IAⓒª¨￢IⓒoR(¨¡?¨¡C) (1￠?u)_1_ⓒo¡i￠?¨￡10￠?u " xfId="2504"/>
    <cellStyle name="C¡ÍA¨ª_¨úc¨öA " xfId="2505"/>
    <cellStyle name="C¡IA¨ª_¨uc¨oA _1본사 (2)" xfId="2506"/>
    <cellStyle name="C¡ÍA¨ª_¨úc¨öA _4월보고상" xfId="2507"/>
    <cellStyle name="C¡IA¨ª_¨uOAIⓒoI￠￥o " xfId="2508"/>
    <cellStyle name="C¡ÍA¨ª_¢¯¥ì¨ú¡ÀCoE©÷ " xfId="2509"/>
    <cellStyle name="C¡IA¨ª_￠￢AAa￠￢AAa￠?ⓒª¡Æ￠R " xfId="2510"/>
    <cellStyle name="C¡ÍA¨ª_¢¬AAa¢¬AAa¢¯©ª¡Æ¢® " xfId="2511"/>
    <cellStyle name="C¡IA¨ª_0N-HANDLING " xfId="2512"/>
    <cellStyle name="C¡ÍA¨ª_0N-HANDLING " xfId="2513"/>
    <cellStyle name="C¡IA¨ª_0N-HANDLING _0201실적" xfId="2514"/>
    <cellStyle name="C¡ÍA¨ª_0N-HANDLING _Book11" xfId="2515"/>
    <cellStyle name="C¡IA¨ª_5-1¡¾￠´¡Æi " xfId="2516"/>
    <cellStyle name="C¡ÍA¨ª_5-1¡¾¢´¡Æi " xfId="2517"/>
    <cellStyle name="C¡IA¨ª_5-1¡¾￠´¡Æi _0201실적" xfId="2518"/>
    <cellStyle name="C¡ÍA¨ª_5-1¡¾¢´¡Æi _Book11" xfId="2519"/>
    <cellStyle name="C¡IA¨ª_5-1¡¾￠´¡Æi _Co￠￥e¨u¡Aⓒo¡iAⓒ￢Aⓒª " xfId="2520"/>
    <cellStyle name="C¡ÍA¨ª_A¡ÀAO¡¾Y " xfId="2521"/>
    <cellStyle name="C¡IA¨ª_A¡AAO¡¾Y _0201실적" xfId="2522"/>
    <cellStyle name="C¡ÍA¨ª_A¡ÀAO¡¾Y ¡¾¢¬A¢Ò " xfId="2523"/>
    <cellStyle name="C¡IA¨ª_A¡AAO¡¾Y ¡¾￠￢A￠O _0201실적" xfId="2524"/>
    <cellStyle name="C¡ÍA¨ª_A¡ÀAO¡¾Y ¡¾¢¬A¢Ò _Book11" xfId="2525"/>
    <cellStyle name="C¡IA¨ª_A￠O￠￥¨­¡ÆeEⓒo " xfId="2526"/>
    <cellStyle name="C¡ÍA¨ª_A¥ìE¡Ì3¢¯u " xfId="2527"/>
    <cellStyle name="C¡IA¨ª_Aⓒ￢A￠´￠￥eA¡A " xfId="2528"/>
    <cellStyle name="C¡ÍA¨ª_AU¡¾Y_1_A©¬A¢´¢¥eA¡À " xfId="2529"/>
    <cellStyle name="C¡IA¨ª_AU¡¾Y_1_Aⓒ￢A￠´￠￥eA¡A " xfId="2530"/>
    <cellStyle name="C¡ÍA¨ª_AU¡¾Y_A©¬A¢´¢¥eA¡À " xfId="2531"/>
    <cellStyle name="C¡IA¨ª_AU¡¾Y_Aⓒ￢A￠´￠￥eA¡A " xfId="2532"/>
    <cellStyle name="C¡ÍA¨ª_Ay¡ÆeC¡Í(2¢¯u) " xfId="2533"/>
    <cellStyle name="C¡IA¨ª_ⓒo¡i￠?¨￡¡Æⓒ¡¨￢nAa " xfId="2534"/>
    <cellStyle name="C¡ÍA¨ª_Co¢¥e¨ú¡À©ö¡ìA©¬A©ª " xfId="2535"/>
    <cellStyle name="C¡IA¨ª_Co￠￥e¨u¡Aⓒo¡iAⓒ￢Aⓒª " xfId="2536"/>
    <cellStyle name="C¡ÍA¨ª_CoAo©öyAI ¡ÆA¨ú¡¿¢¯¨Ï¨öA " xfId="2537"/>
    <cellStyle name="C¡IA¨ª_CoAoⓒoyAI ¡ÆA¨u¡¿￠?¨I¨oA " xfId="2538"/>
    <cellStyle name="C¡ÍA¨ª_p.mix " xfId="2539"/>
    <cellStyle name="C¡IA¨ª_p.mix _24통관" xfId="2540"/>
    <cellStyle name="C¡ÍA¨ª_p.mix _Book11" xfId="2541"/>
    <cellStyle name="C¡IA¨ª_Sheet1_￠?￥i¨u¡ACoEⓒ÷ " xfId="2542"/>
    <cellStyle name="C¡ÍA¨ª_Sheet1_¢¯¥ì¨ú¡ÀCoE©÷ " xfId="2543"/>
    <cellStyle name="C¡IA¨ª_Sheet1_0N-HANDLING " xfId="2544"/>
    <cellStyle name="C¡ÍA¨ª_Sheet1_0N-HANDLING " xfId="2545"/>
    <cellStyle name="C¡IA¨ª_Sheet1_0N-HANDLING _0201실적" xfId="2546"/>
    <cellStyle name="C¡ÍA¨ª_Sheet1_0N-HANDLING _Book11" xfId="2547"/>
    <cellStyle name="C¡IA¨ª_Sheet1_A¡AAO¡¾Y _0201실적" xfId="2548"/>
    <cellStyle name="C¡ÍA¨ª_Sheet1_A¡ÀAO¡¾Y _Book11" xfId="2549"/>
    <cellStyle name="C¡IA¨ª_SOON1 " xfId="2550"/>
    <cellStyle name="C¡ÍA¨ª_SOON1 " xfId="2551"/>
    <cellStyle name="C¡IA¨ª_SOON1 _24통관" xfId="2552"/>
    <cellStyle name="C¡ÍA¨ª_SOON1 _Book11" xfId="2553"/>
    <cellStyle name="C￠RERERIA¡ERER￠RER¡ER¡E?￠RER¡ER￠R￠?￠RERI_¡ERER￠RER¡ER¡E?￠RERER?￠RERER￠RER¡ER￠R￠?ua3_p.mix " xfId="2554"/>
    <cellStyle name="C￠RERIA¡ER￠R¡¿￠R¡×￠RI_¡ER￠R¡¿￠RER?￠RER￠R¡×ua3_p.mix " xfId="2555"/>
    <cellStyle name="C￠RIA¡§¨￡_¡§￠R?￠R¨ua3_p.mix " xfId="2556"/>
    <cellStyle name="C￥" xfId="4281"/>
    <cellStyle name="Ç¥" xfId="4282"/>
    <cellStyle name="C￥AØ_  FAB AIA¤  " xfId="2557"/>
    <cellStyle name="Ç¥ÁØ_´ëºñÇ¥" xfId="2558"/>
    <cellStyle name="C￥AØ_´eºnC￥ (2)_1_ºI´eAa°ø " xfId="2559"/>
    <cellStyle name="Ç¥ÁØ_´ëºñÇ¥ (2)_1_ºÎ´ëÅä°ø " xfId="2560"/>
    <cellStyle name="C￥AØ_´eºnC￥ (2)_ºI´eAa°ø " xfId="2561"/>
    <cellStyle name="Ç¥ÁØ_´ëºñÇ¥ (2)_ºÎ´ëÅä°ø " xfId="2562"/>
    <cellStyle name="C￥AØ_¸AAa¸AAa¿ø°¡ _0201실적" xfId="2563"/>
    <cellStyle name="Ç¥ÁØ_¸ÅÃâ¸ÅÃâ¿ø°¡ _Book11" xfId="2564"/>
    <cellStyle name="C￥AØ_¸AAa¾×(3)" xfId="2565"/>
    <cellStyle name="Ç¥ÁØ_¸ðÇü¸·" xfId="4283"/>
    <cellStyle name="C￥AØ_¿i≫eA¡ " xfId="2566"/>
    <cellStyle name="Ç¥ÁØ_±â¾È¿ëÁö" xfId="2567"/>
    <cellStyle name="C￥AØ_≫c¾÷ºIº° AN°e " xfId="2568"/>
    <cellStyle name="Ç¥ÁØ_°¡¼³" xfId="4284"/>
    <cellStyle name="C￥AØ_°eE¹3 _0201실적" xfId="2569"/>
    <cellStyle name="Ç¥ÁØ_°èÈ¹3 _Book11" xfId="2570"/>
    <cellStyle name="C￥AØ_0N-HANDLING _0201실적" xfId="2571"/>
    <cellStyle name="Ç¥ÁØ_0N-HANDLING _Book11" xfId="2572"/>
    <cellStyle name="C￥AØ_¼±AoAc°i_1_³≫ºI°eE¹´e AßA¤A÷AI " xfId="2573"/>
    <cellStyle name="Ç¥ÁØ_¼±ÅõÀç°í_³»ºÎ°èÈ¹´ë ÃßÁ¤Â÷ÀÌ " xfId="2574"/>
    <cellStyle name="C￥AØ_¼±AoAc°i_³≫ºI°eE¹´e AßA¤A÷AI " xfId="2575"/>
    <cellStyle name="Ç¥ÁØ_¼ÕÀÍ¹Î´ö _Book11" xfId="2576"/>
    <cellStyle name="C￥AØ_¼OAIA÷ (2)_1_³≫ºI°eE¹´e AßA¤A÷AI " xfId="2577"/>
    <cellStyle name="Ç¥ÁØ_¼ÕÀÍÂ÷ (2)_³»ºÎ°èÈ¹´ë ÃßÁ¤Â÷ÀÌ " xfId="2578"/>
    <cellStyle name="C￥AØ_¼OAIA÷ (2)_³≫ºI°eE¹´e AßA¤A÷AI " xfId="2579"/>
    <cellStyle name="Ç¥ÁØ_½ÇÇà¿¹»ê¼­ " xfId="4285"/>
    <cellStyle name="C￥AØ_¹≪¿ª°æºnAa " xfId="2580"/>
    <cellStyle name="Ç¥ÁØ_2¿ù¸ÅÃâ " xfId="2581"/>
    <cellStyle name="C￥AØ_2¿u¸AAa _0201실적" xfId="2582"/>
    <cellStyle name="Ç¥ÁØ_2¿ù¸ÅÃâ _Book11" xfId="2583"/>
    <cellStyle name="C￥AØ_³≫ºI°eE¹´e AßA¤A÷AI " xfId="2584"/>
    <cellStyle name="Ç¥ÁØ_5-1±¤°í " xfId="2585"/>
    <cellStyle name="C￥AØ_5-1±¤°i _°ø≫c2°u " xfId="2586"/>
    <cellStyle name="Ç¥ÁØ_5-1±¤°í _¹«¿ª10¿ù " xfId="2587"/>
    <cellStyle name="C￥AØ_5-1±¤°i _¹≪¿ª10¿u " xfId="2588"/>
    <cellStyle name="Ç¥ÁØ_5-1±¤°í _10월총괄LOAD" xfId="2589"/>
    <cellStyle name="C￥AØ_5-1±¤°i _6RCB1 " xfId="2590"/>
    <cellStyle name="Ç¥ÁØ_5-1±¤°í _관리비단가산출(도립미술관)_거푸집대비" xfId="2591"/>
    <cellStyle name="C￥AØ_5-1±¤°i _관리비단가산출(도립미술관)_실행당초대비" xfId="2592"/>
    <cellStyle name="Ç¥ÁØ_5-1±¤°í _관리비단가산출(도립미술관)_실행당초대비" xfId="2593"/>
    <cellStyle name="C￥AØ_5-1±¤°i _관리비단가산출(도립미술관)_예산승인(1-2회)" xfId="2594"/>
    <cellStyle name="Ç¥ÁØ_5-1±¤°í _관리비단가산출(도립미술관)_예산승인(1-2회)" xfId="2595"/>
    <cellStyle name="C￥AØ_5-1±¤°i _관리비단가산출(도립미술관)_유로폼대비" xfId="2596"/>
    <cellStyle name="Ç¥ÁØ_5-1±¤°í _관리비단가산출(도립미술관)_유로폼대비" xfId="2597"/>
    <cellStyle name="C￥AØ_5-1±¤°i _관리비단가산출(도립미술관)_초과승인" xfId="2598"/>
    <cellStyle name="Ç¥ÁØ_5-1±¤°í _관리비단가산출(도립미술관)_초과승인" xfId="2599"/>
    <cellStyle name="C￥AØ_5-1±¤°i _관리비단가산출(도립미술관)_초과현황" xfId="2600"/>
    <cellStyle name="Ç¥ÁØ_5-1±¤°í _관리비단가산출(도립미술관)_초과현황" xfId="2601"/>
    <cellStyle name="C￥AØ_5-1±¤°i _금속,창호" xfId="2602"/>
    <cellStyle name="Ç¥ÁØ_5-1±¤°í _방염산출" xfId="2603"/>
    <cellStyle name="C￥AØ_5-1±¤°i _선시공예산(도립미술관-4월6일)_030218-1차분변경계약(초안)" xfId="2604"/>
    <cellStyle name="Ç¥ÁØ_5-1±¤°í _선시공예산(도립미술관-4월6일)_030218-1차분변경계약(초안)" xfId="2605"/>
    <cellStyle name="C￥AØ_5-1±¤°i _선시공예산(도립미술관-4월6일)_1차분변경1회" xfId="2606"/>
    <cellStyle name="Ç¥ÁØ_5-1±¤°í _선시공예산(도립미술관-4월6일)_1차분변경1회" xfId="2607"/>
    <cellStyle name="C￥AØ_5-1±¤°i _선시공예산(도립미술관-4월6일)_1차분변경계약(1회)" xfId="2608"/>
    <cellStyle name="Ç¥ÁØ_5-1±¤°í _선시공예산(도립미술관-4월6일)_1차분변경계약(1회)" xfId="2609"/>
    <cellStyle name="C￥AØ_5-1±¤°i _선시공예산(도립미술관-4월6일)_1차분변경계약(초안)" xfId="2610"/>
    <cellStyle name="Ç¥ÁØ_5-1±¤°í _선시공예산(도립미술관-4월6일)_1차분변경계약(초안)" xfId="2611"/>
    <cellStyle name="C￥AØ_5-1±¤°i _선시공예산(도립미술관-4월6일)_거푸집대비" xfId="2612"/>
    <cellStyle name="Ç¥ÁØ_5-1±¤°í _선시공예산(도립미술관-4월6일)_거푸집대비" xfId="2613"/>
    <cellStyle name="C￥AØ_5-1±¤°i _선시공예산(도립미술관-4월6일)_변경1회(협의전)" xfId="2614"/>
    <cellStyle name="Ç¥ÁØ_5-1±¤°í _선시공예산(도립미술관-4월6일)_변경1회(협의전)" xfId="2615"/>
    <cellStyle name="C￥AØ_5-1±¤°i _선시공예산(도립미술관-4월6일)_변경1회(협의후)" xfId="2616"/>
    <cellStyle name="Ç¥ÁØ_5-1±¤°í _선시공예산(도립미술관-4월6일)_변경1회(협의후)" xfId="2617"/>
    <cellStyle name="C￥AØ_5-1±¤°i _선시공예산(도립미술관-4월6일)_실행당초대비" xfId="2618"/>
    <cellStyle name="Ç¥ÁØ_5-1±¤°í _선시공예산(도립미술관-4월6일)_실행당초대비" xfId="2619"/>
    <cellStyle name="C￥AØ_5-1±¤°i _선시공예산(도립미술관-4월6일)_예산승인(1-2회)" xfId="2620"/>
    <cellStyle name="Ç¥ÁØ_5-1±¤°í _선시공예산(도립미술관-4월6일)_예산승인(1-2회)" xfId="2621"/>
    <cellStyle name="C￥AØ_5-1±¤°i _선시공예산(도립미술관-4월6일)_유공관" xfId="2622"/>
    <cellStyle name="Ç¥ÁØ_5-1±¤°í _선시공예산(도립미술관-4월6일)_유공관" xfId="2623"/>
    <cellStyle name="C￥AØ_5-1±¤°i _선시공예산(도립미술관-4월6일)_유로폼대비" xfId="2624"/>
    <cellStyle name="Ç¥ÁØ_5-1±¤°í _선시공예산(도립미술관-4월6일)_유로폼대비" xfId="2625"/>
    <cellStyle name="C￥AØ_5-1±¤°i _선시공예산(도립미술관-4월6일)_잔토처리만비교" xfId="2626"/>
    <cellStyle name="Ç¥ÁØ_5-1±¤°í _선시공예산(도립미술관-4월6일)_잔토처리만비교" xfId="2627"/>
    <cellStyle name="C￥AØ_5-1±¤°i _선시공예산(도립미술관-4월6일)_잔토처리만비교2" xfId="2628"/>
    <cellStyle name="Ç¥ÁØ_5-1±¤°í _선시공예산(도립미술관-4월6일)_잔토처리만비교2" xfId="2629"/>
    <cellStyle name="C￥AØ_5-1±¤°i _선시공예산(도립미술관-4월6일)_초과승인" xfId="2630"/>
    <cellStyle name="Ç¥ÁØ_5-1±¤°í _선시공예산(도립미술관-4월6일)_초과승인" xfId="2631"/>
    <cellStyle name="C￥AØ_5-1±¤°i _선시공예산(도립미술관-4월6일)_토공비교" xfId="2632"/>
    <cellStyle name="Ç¥ÁØ_5-1±¤°í _선시공예산(도립미술관-4월6일)_토공비교" xfId="2633"/>
    <cellStyle name="C￥AØ_5-1±¤°i _선시공예산(도립미술관-4월6일)_토공비교유공관제외" xfId="2634"/>
    <cellStyle name="Ç¥ÁØ_5-1±¤°í _선시공예산(도립미술관-4월6일)_토공비교유공관제외" xfId="2635"/>
    <cellStyle name="C￥AØ_5-1±¤°i _설계변경확정-12" xfId="2636"/>
    <cellStyle name="Ç¥ÁØ_5-1±¤°í _수의계약사유서" xfId="2637"/>
    <cellStyle name="C￥AØ_A¸≫cºÐ_³≫ºI°eE¹´e AßA¤A÷AI " xfId="2638"/>
    <cellStyle name="Ç¥ÁØ_Â÷ÀÔ±Ý _Book11" xfId="2639"/>
    <cellStyle name="C￥AØ_A÷AO±Y ±¸A¶ _0201실적" xfId="2640"/>
    <cellStyle name="Ç¥ÁØ_Â÷ÀÔ±Ý ±¸Á¶ _Book11" xfId="2641"/>
    <cellStyle name="C￥AØ_A¶´Þ°eE¹ " xfId="2642"/>
    <cellStyle name="Ç¥ÁØ_Á¶´Þ°èÈ¹ " xfId="2643"/>
    <cellStyle name="C￥AØ_A¶´Þ°eE¹ _계획22" xfId="2644"/>
    <cellStyle name="Ç¥ÁØ_Æ¯±â3_p.mix " xfId="2645"/>
    <cellStyle name="C￥AØ_ÆAC￥Ao_°eE¹3 " xfId="2646"/>
    <cellStyle name="Ç¥ÁØ_ÆÀÇ¥Áö_°èÈ¹3 " xfId="2647"/>
    <cellStyle name="C￥AØ_ÆAC￥Ao_°eE¹3 _0201실적" xfId="2648"/>
    <cellStyle name="Ç¥ÁØ_ÆÀÇ¥Áö_°èÈ¹3 _Book11" xfId="2649"/>
    <cellStyle name="C￥AØ_AßA¤´eA÷ " xfId="2650"/>
    <cellStyle name="Ç¥ÁØ_ÃßÁ¤´ëÂ÷ " xfId="2651"/>
    <cellStyle name="C￥AØ_AßA¤´eA÷ _0201실적" xfId="2652"/>
    <cellStyle name="Ç¥ÁØ_ÃßÁ¤´ëÂ÷ _Book11" xfId="2653"/>
    <cellStyle name="C￥AØ_AU±Y_1_AßA¤´eA÷ " xfId="2654"/>
    <cellStyle name="Ç¥ÁØ_ÀÚ±Ý_1_ÃßÁ¤´ëÂ÷ " xfId="2655"/>
    <cellStyle name="C￥AØ_AU±Y_1_AßA¤´eA÷ _0201실적" xfId="2656"/>
    <cellStyle name="Ç¥ÁØ_ÀÚ±Ý_1_ÃßÁ¤´ëÂ÷ _Book11" xfId="2657"/>
    <cellStyle name="C￥AØ_AU±Y_AßA¤´eA÷ " xfId="2658"/>
    <cellStyle name="Ç¥ÁØ_ÀÚ±Ý_ÃßÁ¤´ëÂ÷ " xfId="2659"/>
    <cellStyle name="C￥AØ_AU±Y_AßA¤´eA÷ _0201실적" xfId="2660"/>
    <cellStyle name="Ç¥ÁØ_ÀÚ±Ý_ÃßÁ¤´ëÂ÷ _Book11" xfId="2661"/>
    <cellStyle name="C￥AØ_Ay°eC￥(2¿u) " xfId="2662"/>
    <cellStyle name="Ç¥ÁØ_Áý°èÇ¥(2¿ù) " xfId="2663"/>
    <cellStyle name="C￥AØ_Ay°eC￥(2¿u) _0201실적" xfId="2664"/>
    <cellStyle name="Ç¥ÁØ_Áý°èÇ¥(2¿ù) _엑셀 - 이름충돌 해결" xfId="2665"/>
    <cellStyle name="C￥AØ_Co´e¾÷¹≪AßAø " xfId="2666"/>
    <cellStyle name="Ç¥ÁØ_ÇöÁö¹ýÀÎ °Å¾×¿©½Å " xfId="2667"/>
    <cellStyle name="C￥AØ_CoAo¹yAI °A¾×¿ⓒ½A " xfId="2668"/>
    <cellStyle name="Ç¥ÁØ_ºÎ´ëÅä°ø " xfId="2669"/>
    <cellStyle name="C￥AØ_ºIAøºI¹R(Æ?ÆC) (1¿u)_1_¹≪¿ª10¿u " xfId="2670"/>
    <cellStyle name="Ç¥ÁØ_p.mix " xfId="2671"/>
    <cellStyle name="C￥AØ_p.mix _0201실적" xfId="2672"/>
    <cellStyle name="Ç¥ÁØ_p.mix _Book11" xfId="2673"/>
    <cellStyle name="C￥AØ_PL¿μ¾÷ " xfId="2674"/>
    <cellStyle name="Ç¥ÁØ_RESULTS" xfId="2675"/>
    <cellStyle name="C￥AØ_Sheet1_¿μ¾÷CoE² " xfId="2676"/>
    <cellStyle name="Ç¥ÁØ_Sheet1_0N-HANDLING " xfId="2677"/>
    <cellStyle name="C￥AØ_Sheet1_0N-HANDLING _0201실적" xfId="2678"/>
    <cellStyle name="Ç¥ÁØ_Sheet1_0N-HANDLING _Book11" xfId="2679"/>
    <cellStyle name="C￥AØ_Sheet1_A÷AO±Y _0201실적" xfId="2680"/>
    <cellStyle name="Ç¥ÁØ_Sheet1_Â÷ÀÔ±Ý _Book11" xfId="2681"/>
    <cellStyle name="C￥AØ_Sheet1_Ay°eC￥(2¿u) " xfId="2682"/>
    <cellStyle name="Ç¥ÁØ_Sheet1_Áý°èÇ¥(2¿ù) " xfId="2683"/>
    <cellStyle name="C￥AØ_Sheet1_Ay°eC￥(2¿u) _0201실적" xfId="2684"/>
    <cellStyle name="Ç¥ÁØ_Sheet1_Áý°èÇ¥(2¿ù) _Book11" xfId="2685"/>
    <cellStyle name="C￥AØ_SOON1 " xfId="2686"/>
    <cellStyle name="Ç¥ÁØ_SOON1 _¹«¿ª10¿ù " xfId="2687"/>
    <cellStyle name="C￥AØ_SOON1 _¹≪¿ª10¿u " xfId="2688"/>
    <cellStyle name="Ç¥ÁØ_SOON1 _Book11" xfId="2689"/>
    <cellStyle name="Calc Currency (0)" xfId="2690"/>
    <cellStyle name="Calc Currency (2)" xfId="2691"/>
    <cellStyle name="Calc Percent (0)" xfId="2692"/>
    <cellStyle name="Calc Percent (1)" xfId="2693"/>
    <cellStyle name="Calc Percent (2)" xfId="2694"/>
    <cellStyle name="Calc Units (0)" xfId="2695"/>
    <cellStyle name="Calc Units (1)" xfId="2696"/>
    <cellStyle name="Calc Units (2)" xfId="2697"/>
    <cellStyle name="category" xfId="2698"/>
    <cellStyle name="CIAI￠RERERER¡ERERER￠RERER￠RERE?¡ERERERERU￠RERERERE￠RERERER¡ERER￠RER¡ER¡E?I￠RERER￠RER¡ER￠R￠?I￠RERERERIiA￠RERERER¡ERERER￠RERER￠RERE?I" xfId="2699"/>
    <cellStyle name="CIAIÆU¸μAⓒ" xfId="2700"/>
    <cellStyle name="ⓒoe" xfId="4286"/>
    <cellStyle name="Comma" xfId="2701"/>
    <cellStyle name="Comma  - Style2" xfId="2702"/>
    <cellStyle name="Comma  - Style3" xfId="2703"/>
    <cellStyle name="Comma  - Style4" xfId="2704"/>
    <cellStyle name="Comma  - Style5" xfId="2705"/>
    <cellStyle name="Comma  - Style6" xfId="2706"/>
    <cellStyle name="Comma  - Style7" xfId="2707"/>
    <cellStyle name="Comma  - Style8" xfId="2708"/>
    <cellStyle name="Comma [0]" xfId="2709"/>
    <cellStyle name="Comma [00]" xfId="2710"/>
    <cellStyle name="comma zerodec" xfId="2711"/>
    <cellStyle name="Comma_ SG&amp;A Bridge " xfId="2712"/>
    <cellStyle name="Comma0" xfId="2713"/>
    <cellStyle name="Copied" xfId="2714"/>
    <cellStyle name="Curr?ncy_Sheet1_Q2_3월 실적 " xfId="2716"/>
    <cellStyle name="Curren" xfId="2717"/>
    <cellStyle name="Curren?_x0012_퐀_x0017_?" xfId="2718"/>
    <cellStyle name="Currency" xfId="2719"/>
    <cellStyle name="Currency [0]" xfId="2720"/>
    <cellStyle name="Currency [0] 2" xfId="2721"/>
    <cellStyle name="Currency [00]" xfId="2722"/>
    <cellStyle name="Currency_ 청평댐우안석축보수(간이)공사" xfId="2723"/>
    <cellStyle name="Currency0" xfId="2724"/>
    <cellStyle name="Currency1" xfId="2725"/>
    <cellStyle name="Curr㩠ncy_Sheet1_Q2_3월 실적 " xfId="2726"/>
    <cellStyle name="Cu볤rency_ SG&amp;A Bridge _함정0625" xfId="2715"/>
    <cellStyle name="Date" xfId="2727"/>
    <cellStyle name="Date Short" xfId="2728"/>
    <cellStyle name="Date_(주)울산물류창고 실행예산 061205" xfId="2729"/>
    <cellStyle name="DELTA" xfId="2730"/>
    <cellStyle name="Dezimal [0]_Compiling Utility Macros" xfId="2731"/>
    <cellStyle name="Dezimal_Compiling Utility Macros" xfId="2732"/>
    <cellStyle name="Dollar (zero dec)" xfId="2733"/>
    <cellStyle name="EA" xfId="2734"/>
    <cellStyle name="Enter Currency (0)" xfId="2735"/>
    <cellStyle name="Enter Currency (2)" xfId="2736"/>
    <cellStyle name="Enter Units (0)" xfId="2737"/>
    <cellStyle name="Enter Units (1)" xfId="2738"/>
    <cellStyle name="Enter Units (2)" xfId="2739"/>
    <cellStyle name="Entered" xfId="2740"/>
    <cellStyle name="Euro" xfId="2741"/>
    <cellStyle name="F2" xfId="2742"/>
    <cellStyle name="F3" xfId="2743"/>
    <cellStyle name="F4" xfId="2744"/>
    <cellStyle name="F5" xfId="2745"/>
    <cellStyle name="F6" xfId="2746"/>
    <cellStyle name="F7" xfId="2747"/>
    <cellStyle name="F8" xfId="2748"/>
    <cellStyle name="Fixed" xfId="2749"/>
    <cellStyle name="Followed Hyperlink" xfId="2750"/>
    <cellStyle name="G10" xfId="2751"/>
    <cellStyle name="Grey" xfId="2752"/>
    <cellStyle name="H1" xfId="2753"/>
    <cellStyle name="H2" xfId="2754"/>
    <cellStyle name="HEADER" xfId="2755"/>
    <cellStyle name="Header1" xfId="2756"/>
    <cellStyle name="Header2" xfId="2757"/>
    <cellStyle name="Heading 1" xfId="2758"/>
    <cellStyle name="Heading 2" xfId="2759"/>
    <cellStyle name="Heading1" xfId="2760"/>
    <cellStyle name="Heading2" xfId="2761"/>
    <cellStyle name="HEADINGS" xfId="2762"/>
    <cellStyle name="HEADINGSTOP" xfId="2763"/>
    <cellStyle name="Hyperlink" xfId="2764"/>
    <cellStyle name="Input [yellow]" xfId="2765"/>
    <cellStyle name="jin" xfId="2766"/>
    <cellStyle name="KAGE" xfId="2767"/>
    <cellStyle name="L`" xfId="2768"/>
    <cellStyle name="left" xfId="2769"/>
    <cellStyle name="Link Currency (0)" xfId="2770"/>
    <cellStyle name="Link Currency (2)" xfId="2771"/>
    <cellStyle name="Link Units (0)" xfId="2772"/>
    <cellStyle name="Link Units (1)" xfId="2773"/>
    <cellStyle name="Link Units (2)" xfId="2774"/>
    <cellStyle name="Milliers [0]_Arabian Spec" xfId="2775"/>
    <cellStyle name="Milliers_Arabian Spec" xfId="2776"/>
    <cellStyle name="mma_CASH &amp; DSO" xfId="2777"/>
    <cellStyle name="Model" xfId="2778"/>
    <cellStyle name="Mon?aire [0]_Arabian Spec" xfId="2779"/>
    <cellStyle name="Mon?aire_Arabian Spec" xfId="2780"/>
    <cellStyle name="Monétaire [0]_RESULTS" xfId="2781"/>
    <cellStyle name="Monétaire_RESULTS" xfId="2782"/>
    <cellStyle name="no dec" xfId="2783"/>
    <cellStyle name="Norma`" xfId="2784"/>
    <cellStyle name="normal" xfId="2785"/>
    <cellStyle name="Normal - Style1" xfId="2787"/>
    <cellStyle name="Normal - Style2" xfId="2788"/>
    <cellStyle name="Normal - Style3" xfId="2789"/>
    <cellStyle name="Normal - Style4" xfId="2790"/>
    <cellStyle name="Normal - Style5" xfId="2791"/>
    <cellStyle name="Normal - Style6" xfId="2792"/>
    <cellStyle name="Normal - Style7" xfId="2793"/>
    <cellStyle name="Normal - Style8" xfId="2794"/>
    <cellStyle name="Normal - 유형1" xfId="2786"/>
    <cellStyle name="Normal_ SG&amp;A Bridge " xfId="2795"/>
    <cellStyle name="N䁯rmal_MCOE Summary (5)_98선급금" xfId="4287"/>
    <cellStyle name="Œ…?æ맖?e [0.00]_guyan" xfId="4288"/>
    <cellStyle name="Œ…?æ맖?e_guyan" xfId="4289"/>
    <cellStyle name="oft Excel]_x000d__x000a_Comment=The open=/f lines load custom functions into the Paste Function list._x000d__x000a_Maximized=1_x000d__x000a_AutoFormat=" xfId="2796"/>
    <cellStyle name="omma [0]_Mktg Prog" xfId="2797"/>
    <cellStyle name="ormal_Sheet1_1" xfId="2798"/>
    <cellStyle name="P" xfId="2799"/>
    <cellStyle name="per.style" xfId="2800"/>
    <cellStyle name="Percent" xfId="2801"/>
    <cellStyle name="Percent (0)" xfId="2802"/>
    <cellStyle name="Percent [0]" xfId="2803"/>
    <cellStyle name="Percent [00]" xfId="2804"/>
    <cellStyle name="Percent [2]" xfId="2805"/>
    <cellStyle name="Percent_#6 Temps &amp; Contractors" xfId="2806"/>
    <cellStyle name="PrePop Currency (0)" xfId="2807"/>
    <cellStyle name="PrePop Currency (2)" xfId="2808"/>
    <cellStyle name="PrePop Units (0)" xfId="2809"/>
    <cellStyle name="PrePop Units (1)" xfId="2810"/>
    <cellStyle name="PrePop Units (2)" xfId="2811"/>
    <cellStyle name="regstoresfromspecstores" xfId="2812"/>
    <cellStyle name="RevList" xfId="2813"/>
    <cellStyle name="setup" xfId="2814"/>
    <cellStyle name="SHADEDSTORES" xfId="2815"/>
    <cellStyle name="specstores" xfId="2816"/>
    <cellStyle name="SS" xfId="4290"/>
    <cellStyle name="STANDARD" xfId="2817"/>
    <cellStyle name="subhead" xfId="2818"/>
    <cellStyle name="Subtotal" xfId="2819"/>
    <cellStyle name="Text Indent A" xfId="2820"/>
    <cellStyle name="Text Indent B" xfId="2821"/>
    <cellStyle name="Text Indent C" xfId="2822"/>
    <cellStyle name="Title" xfId="4291"/>
    <cellStyle name="title [1]" xfId="2823"/>
    <cellStyle name="title [2]" xfId="2824"/>
    <cellStyle name="Total" xfId="2825"/>
    <cellStyle name="Ǖ" xfId="2826"/>
    <cellStyle name="UM" xfId="2827"/>
    <cellStyle name="W?rung [0]_Compiling Utility Macros" xfId="2828"/>
    <cellStyle name="W?rung_Compiling Utility Macros" xfId="2829"/>
    <cellStyle name="wrap" xfId="2830"/>
    <cellStyle name="_x0008_z" xfId="4292"/>
    <cellStyle name="δE_추가하도공사비내역서-남양전기(정산)" xfId="2831"/>
    <cellStyle name="μU¿¡ ¿A´A CIAIÆU¸μAⓒ" xfId="2832"/>
    <cellStyle name="ος1" xfId="2833"/>
    <cellStyle name="ЗҐБШ_ЅЗАыБэ°и" xfId="2834"/>
    <cellStyle name="|?ドE" xfId="1322"/>
    <cellStyle name="넠쏛럊⃕䍐㕌" xfId="1323"/>
    <cellStyle name="견적" xfId="947"/>
    <cellStyle name="고정소숫점" xfId="948"/>
    <cellStyle name="고정출력1" xfId="949"/>
    <cellStyle name="고정출력2" xfId="950"/>
    <cellStyle name="공사원가계산서(조경)" xfId="951"/>
    <cellStyle name="공정제목" xfId="952"/>
    <cellStyle name="규격" xfId="953"/>
    <cellStyle name="글초롱 PCL5" xfId="954"/>
    <cellStyle name="금액" xfId="955"/>
    <cellStyle name="기계" xfId="956"/>
    <cellStyle name="기본숫자" xfId="4247"/>
    <cellStyle name="끼_x0001_?" xfId="957"/>
    <cellStyle name="날짜" xfId="958"/>
    <cellStyle name="날짜 2" xfId="959"/>
    <cellStyle name="내역서" xfId="960"/>
    <cellStyle name="단가" xfId="4248"/>
    <cellStyle name="단위" xfId="961"/>
    <cellStyle name="달러" xfId="962"/>
    <cellStyle name="대기" xfId="963"/>
    <cellStyle name="뒤에 오는 하이퍼링크" xfId="964"/>
    <cellStyle name="똿떋??￠RER맊?￠R¡¿￠R¡×￠RI괻 [0.00]_PRODUCT DETAIL Q1" xfId="965"/>
    <cellStyle name="똿떋??￠RER맊?￠R¡¿￠R¡×￠RI괻_PRODUCT DETAIL Q1" xfId="966"/>
    <cellStyle name="똿떓죶Ø괻 [0.00]_PRODUCT DETAIL Q1" xfId="967"/>
    <cellStyle name="똿떓죶Ø괻_PRODUCT DETAIL Q1" xfId="968"/>
    <cellStyle name="똿뗦먛귟 [0.00]_laroux" xfId="969"/>
    <cellStyle name="똿뗦먛귟_laroux" xfId="970"/>
    <cellStyle name="묮뎋 [0.00]_PRODUCT DETAIL Q1" xfId="971"/>
    <cellStyle name="묮뎋_PRODUCT DETAIL Q1" xfId="972"/>
    <cellStyle name="물량집계(갑)" xfId="4249"/>
    <cellStyle name="믅됞 [0.00]_laroux" xfId="973"/>
    <cellStyle name="믅됞_laroux" xfId="974"/>
    <cellStyle name="바깥" xfId="975"/>
    <cellStyle name="배분" xfId="4250"/>
    <cellStyle name="백분율 [△1]" xfId="4251"/>
    <cellStyle name="백분율 [△2]" xfId="4252"/>
    <cellStyle name="백분율 [0]" xfId="976"/>
    <cellStyle name="백분율 [2]" xfId="977"/>
    <cellStyle name="백분율 2" xfId="3"/>
    <cellStyle name="백분율［△1］" xfId="4253"/>
    <cellStyle name="백분율［△2］" xfId="4254"/>
    <cellStyle name="捠壿 [0.00]_PRODUCT DETAIL Q1" xfId="1317"/>
    <cellStyle name="捠壿_PRODUCT DETAIL Q1" xfId="1318"/>
    <cellStyle name="분수" xfId="978"/>
    <cellStyle name="뷭?" xfId="979"/>
    <cellStyle name="사용자정의" xfId="980"/>
    <cellStyle name="常规_14분기" xfId="981"/>
    <cellStyle name="선택영역의 가운데로" xfId="4255"/>
    <cellStyle name="설계서-내용" xfId="982"/>
    <cellStyle name="설계서-내용-우" xfId="983"/>
    <cellStyle name="설계서-소제목" xfId="984"/>
    <cellStyle name="설계서-타이틀" xfId="985"/>
    <cellStyle name="수량" xfId="986"/>
    <cellStyle name="숫자" xfId="987"/>
    <cellStyle name="숫자(R)" xfId="988"/>
    <cellStyle name="쉼표 [0]" xfId="4293" builtinId="6"/>
    <cellStyle name="쉼표 [0] 2" xfId="1"/>
    <cellStyle name="스타일 1" xfId="989"/>
    <cellStyle name="스타일 10" xfId="990"/>
    <cellStyle name="스타일 100" xfId="991"/>
    <cellStyle name="스타일 101" xfId="992"/>
    <cellStyle name="스타일 102" xfId="993"/>
    <cellStyle name="스타일 103" xfId="994"/>
    <cellStyle name="스타일 104" xfId="995"/>
    <cellStyle name="스타일 105" xfId="996"/>
    <cellStyle name="스타일 106" xfId="997"/>
    <cellStyle name="스타일 107" xfId="998"/>
    <cellStyle name="스타일 108" xfId="999"/>
    <cellStyle name="스타일 109" xfId="1000"/>
    <cellStyle name="스타일 11" xfId="1001"/>
    <cellStyle name="스타일 110" xfId="1002"/>
    <cellStyle name="스타일 111" xfId="1003"/>
    <cellStyle name="스타일 112" xfId="1004"/>
    <cellStyle name="스타일 113" xfId="1005"/>
    <cellStyle name="스타일 114" xfId="1006"/>
    <cellStyle name="스타일 115" xfId="1007"/>
    <cellStyle name="스타일 116" xfId="1008"/>
    <cellStyle name="스타일 117" xfId="1009"/>
    <cellStyle name="스타일 118" xfId="1010"/>
    <cellStyle name="스타일 119" xfId="1011"/>
    <cellStyle name="스타일 12" xfId="1012"/>
    <cellStyle name="스타일 120" xfId="1013"/>
    <cellStyle name="스타일 121" xfId="1014"/>
    <cellStyle name="스타일 122" xfId="1015"/>
    <cellStyle name="스타일 123" xfId="1016"/>
    <cellStyle name="스타일 124" xfId="1017"/>
    <cellStyle name="스타일 125" xfId="1018"/>
    <cellStyle name="스타일 126" xfId="1019"/>
    <cellStyle name="스타일 127" xfId="1020"/>
    <cellStyle name="스타일 128" xfId="1021"/>
    <cellStyle name="스타일 129" xfId="1022"/>
    <cellStyle name="스타일 13" xfId="1023"/>
    <cellStyle name="스타일 130" xfId="1024"/>
    <cellStyle name="스타일 131" xfId="1025"/>
    <cellStyle name="스타일 132" xfId="1026"/>
    <cellStyle name="스타일 133" xfId="1027"/>
    <cellStyle name="스타일 134" xfId="1028"/>
    <cellStyle name="스타일 135" xfId="1029"/>
    <cellStyle name="스타일 136" xfId="1030"/>
    <cellStyle name="스타일 137" xfId="1031"/>
    <cellStyle name="스타일 138" xfId="1032"/>
    <cellStyle name="스타일 139" xfId="1033"/>
    <cellStyle name="스타일 14" xfId="1034"/>
    <cellStyle name="스타일 140" xfId="1035"/>
    <cellStyle name="스타일 141" xfId="1036"/>
    <cellStyle name="스타일 142" xfId="1037"/>
    <cellStyle name="스타일 143" xfId="1038"/>
    <cellStyle name="스타일 144" xfId="1039"/>
    <cellStyle name="스타일 145" xfId="1040"/>
    <cellStyle name="스타일 146" xfId="1041"/>
    <cellStyle name="스타일 147" xfId="1042"/>
    <cellStyle name="스타일 148" xfId="1043"/>
    <cellStyle name="스타일 149" xfId="1044"/>
    <cellStyle name="스타일 15" xfId="1045"/>
    <cellStyle name="스타일 150" xfId="1046"/>
    <cellStyle name="스타일 151" xfId="1047"/>
    <cellStyle name="스타일 152" xfId="1048"/>
    <cellStyle name="스타일 153" xfId="1049"/>
    <cellStyle name="스타일 154" xfId="1050"/>
    <cellStyle name="스타일 155" xfId="1051"/>
    <cellStyle name="스타일 156" xfId="1052"/>
    <cellStyle name="스타일 157" xfId="1053"/>
    <cellStyle name="스타일 158" xfId="1054"/>
    <cellStyle name="스타일 159" xfId="1055"/>
    <cellStyle name="스타일 16" xfId="1056"/>
    <cellStyle name="스타일 160" xfId="1057"/>
    <cellStyle name="스타일 161" xfId="1058"/>
    <cellStyle name="스타일 162" xfId="1059"/>
    <cellStyle name="스타일 163" xfId="1060"/>
    <cellStyle name="스타일 164" xfId="1061"/>
    <cellStyle name="스타일 165" xfId="1062"/>
    <cellStyle name="스타일 166" xfId="1063"/>
    <cellStyle name="스타일 167" xfId="1064"/>
    <cellStyle name="스타일 168" xfId="1065"/>
    <cellStyle name="스타일 169" xfId="1066"/>
    <cellStyle name="스타일 17" xfId="1067"/>
    <cellStyle name="스타일 170" xfId="1068"/>
    <cellStyle name="스타일 171" xfId="1069"/>
    <cellStyle name="스타일 172" xfId="1070"/>
    <cellStyle name="스타일 173" xfId="1071"/>
    <cellStyle name="스타일 174" xfId="1072"/>
    <cellStyle name="스타일 175" xfId="1073"/>
    <cellStyle name="스타일 176" xfId="1074"/>
    <cellStyle name="스타일 177" xfId="1075"/>
    <cellStyle name="스타일 178" xfId="1076"/>
    <cellStyle name="스타일 179" xfId="1077"/>
    <cellStyle name="스타일 18" xfId="1078"/>
    <cellStyle name="스타일 180" xfId="1079"/>
    <cellStyle name="스타일 181" xfId="1080"/>
    <cellStyle name="스타일 182" xfId="1081"/>
    <cellStyle name="스타일 183" xfId="1082"/>
    <cellStyle name="스타일 184" xfId="1083"/>
    <cellStyle name="스타일 185" xfId="1084"/>
    <cellStyle name="스타일 186" xfId="1085"/>
    <cellStyle name="스타일 187" xfId="1086"/>
    <cellStyle name="스타일 188" xfId="1087"/>
    <cellStyle name="스타일 189" xfId="1088"/>
    <cellStyle name="스타일 19" xfId="1089"/>
    <cellStyle name="스타일 190" xfId="1090"/>
    <cellStyle name="스타일 191" xfId="1091"/>
    <cellStyle name="스타일 192" xfId="1092"/>
    <cellStyle name="스타일 193" xfId="1093"/>
    <cellStyle name="스타일 194" xfId="1094"/>
    <cellStyle name="스타일 195" xfId="1095"/>
    <cellStyle name="스타일 196" xfId="1096"/>
    <cellStyle name="스타일 197" xfId="1097"/>
    <cellStyle name="스타일 198" xfId="1098"/>
    <cellStyle name="스타일 199" xfId="1099"/>
    <cellStyle name="스타일 2" xfId="1100"/>
    <cellStyle name="스타일 20" xfId="1101"/>
    <cellStyle name="스타일 200" xfId="1102"/>
    <cellStyle name="스타일 201" xfId="1103"/>
    <cellStyle name="스타일 202" xfId="1104"/>
    <cellStyle name="스타일 203" xfId="1105"/>
    <cellStyle name="스타일 204" xfId="1106"/>
    <cellStyle name="스타일 205" xfId="1107"/>
    <cellStyle name="스타일 206" xfId="1108"/>
    <cellStyle name="스타일 207" xfId="1109"/>
    <cellStyle name="스타일 208" xfId="1110"/>
    <cellStyle name="스타일 209" xfId="1111"/>
    <cellStyle name="스타일 21" xfId="1112"/>
    <cellStyle name="스타일 210" xfId="1113"/>
    <cellStyle name="스타일 211" xfId="1114"/>
    <cellStyle name="스타일 212" xfId="1115"/>
    <cellStyle name="스타일 213" xfId="1116"/>
    <cellStyle name="스타일 214" xfId="1117"/>
    <cellStyle name="스타일 215" xfId="1118"/>
    <cellStyle name="스타일 216" xfId="1119"/>
    <cellStyle name="스타일 217" xfId="1120"/>
    <cellStyle name="스타일 218" xfId="1121"/>
    <cellStyle name="스타일 219" xfId="1122"/>
    <cellStyle name="스타일 22" xfId="1123"/>
    <cellStyle name="스타일 220" xfId="1124"/>
    <cellStyle name="스타일 221" xfId="1125"/>
    <cellStyle name="스타일 222" xfId="1126"/>
    <cellStyle name="스타일 223" xfId="1127"/>
    <cellStyle name="스타일 224" xfId="1128"/>
    <cellStyle name="스타일 225" xfId="1129"/>
    <cellStyle name="스타일 226" xfId="1130"/>
    <cellStyle name="스타일 227" xfId="1131"/>
    <cellStyle name="스타일 228" xfId="1132"/>
    <cellStyle name="스타일 229" xfId="1133"/>
    <cellStyle name="스타일 23" xfId="1134"/>
    <cellStyle name="스타일 230" xfId="1135"/>
    <cellStyle name="스타일 231" xfId="1136"/>
    <cellStyle name="스타일 232" xfId="1137"/>
    <cellStyle name="스타일 233" xfId="1138"/>
    <cellStyle name="스타일 234" xfId="1139"/>
    <cellStyle name="스타일 235" xfId="1140"/>
    <cellStyle name="스타일 236" xfId="1141"/>
    <cellStyle name="스타일 237" xfId="1142"/>
    <cellStyle name="스타일 238" xfId="1143"/>
    <cellStyle name="스타일 239" xfId="1144"/>
    <cellStyle name="스타일 24" xfId="1145"/>
    <cellStyle name="스타일 240" xfId="1146"/>
    <cellStyle name="스타일 241" xfId="1147"/>
    <cellStyle name="스타일 242" xfId="1148"/>
    <cellStyle name="스타일 243" xfId="1149"/>
    <cellStyle name="스타일 244" xfId="1150"/>
    <cellStyle name="스타일 245" xfId="1151"/>
    <cellStyle name="스타일 246" xfId="1152"/>
    <cellStyle name="스타일 247" xfId="1153"/>
    <cellStyle name="스타일 248" xfId="1154"/>
    <cellStyle name="스타일 249" xfId="1155"/>
    <cellStyle name="스타일 25" xfId="1156"/>
    <cellStyle name="스타일 250" xfId="1157"/>
    <cellStyle name="스타일 251" xfId="1158"/>
    <cellStyle name="스타일 252" xfId="1159"/>
    <cellStyle name="스타일 253" xfId="1160"/>
    <cellStyle name="스타일 254" xfId="1161"/>
    <cellStyle name="스타일 255" xfId="1162"/>
    <cellStyle name="스타일 26" xfId="1163"/>
    <cellStyle name="스타일 27" xfId="1164"/>
    <cellStyle name="스타일 28" xfId="1165"/>
    <cellStyle name="스타일 29" xfId="1166"/>
    <cellStyle name="스타일 3" xfId="1167"/>
    <cellStyle name="스타일 30" xfId="1168"/>
    <cellStyle name="스타일 31" xfId="1169"/>
    <cellStyle name="스타일 32" xfId="1170"/>
    <cellStyle name="스타일 33" xfId="1171"/>
    <cellStyle name="스타일 34" xfId="1172"/>
    <cellStyle name="스타일 35" xfId="1173"/>
    <cellStyle name="스타일 36" xfId="1174"/>
    <cellStyle name="스타일 37" xfId="1175"/>
    <cellStyle name="스타일 38" xfId="1176"/>
    <cellStyle name="스타일 39" xfId="1177"/>
    <cellStyle name="스타일 4" xfId="1178"/>
    <cellStyle name="스타일 40" xfId="1179"/>
    <cellStyle name="스타일 41" xfId="1180"/>
    <cellStyle name="스타일 42" xfId="1181"/>
    <cellStyle name="스타일 43" xfId="1182"/>
    <cellStyle name="스타일 44" xfId="1183"/>
    <cellStyle name="스타일 45" xfId="1184"/>
    <cellStyle name="스타일 46" xfId="1185"/>
    <cellStyle name="스타일 47" xfId="1186"/>
    <cellStyle name="스타일 48" xfId="1187"/>
    <cellStyle name="스타일 49" xfId="1188"/>
    <cellStyle name="스타일 5" xfId="1189"/>
    <cellStyle name="스타일 50" xfId="1190"/>
    <cellStyle name="스타일 51" xfId="1191"/>
    <cellStyle name="스타일 52" xfId="1192"/>
    <cellStyle name="스타일 53" xfId="1193"/>
    <cellStyle name="스타일 54" xfId="1194"/>
    <cellStyle name="스타일 55" xfId="1195"/>
    <cellStyle name="스타일 56" xfId="1196"/>
    <cellStyle name="스타일 57" xfId="1197"/>
    <cellStyle name="스타일 58" xfId="1198"/>
    <cellStyle name="스타일 59" xfId="1199"/>
    <cellStyle name="스타일 6" xfId="1200"/>
    <cellStyle name="스타일 60" xfId="1201"/>
    <cellStyle name="스타일 61" xfId="1202"/>
    <cellStyle name="스타일 62" xfId="1203"/>
    <cellStyle name="스타일 63" xfId="1204"/>
    <cellStyle name="스타일 64" xfId="1205"/>
    <cellStyle name="스타일 65" xfId="1206"/>
    <cellStyle name="스타일 66" xfId="1207"/>
    <cellStyle name="스타일 67" xfId="1208"/>
    <cellStyle name="스타일 68" xfId="1209"/>
    <cellStyle name="스타일 69" xfId="1210"/>
    <cellStyle name="스타일 7" xfId="1211"/>
    <cellStyle name="스타일 70" xfId="1212"/>
    <cellStyle name="스타일 71" xfId="1213"/>
    <cellStyle name="스타일 72" xfId="1214"/>
    <cellStyle name="스타일 73" xfId="1215"/>
    <cellStyle name="스타일 74" xfId="1216"/>
    <cellStyle name="스타일 75" xfId="1217"/>
    <cellStyle name="스타일 76" xfId="1218"/>
    <cellStyle name="스타일 77" xfId="1219"/>
    <cellStyle name="스타일 78" xfId="1220"/>
    <cellStyle name="스타일 79" xfId="1221"/>
    <cellStyle name="스타일 8" xfId="1222"/>
    <cellStyle name="스타일 80" xfId="1223"/>
    <cellStyle name="스타일 81" xfId="1224"/>
    <cellStyle name="스타일 82" xfId="1225"/>
    <cellStyle name="스타일 83" xfId="1226"/>
    <cellStyle name="스타일 84" xfId="1227"/>
    <cellStyle name="스타일 85" xfId="1228"/>
    <cellStyle name="스타일 86" xfId="1229"/>
    <cellStyle name="스타일 87" xfId="1230"/>
    <cellStyle name="스타일 88" xfId="1231"/>
    <cellStyle name="스타일 89" xfId="1232"/>
    <cellStyle name="스타일 9" xfId="1233"/>
    <cellStyle name="스타일 90" xfId="1234"/>
    <cellStyle name="스타일 91" xfId="1235"/>
    <cellStyle name="스타일 92" xfId="1236"/>
    <cellStyle name="스타일 93" xfId="1237"/>
    <cellStyle name="스타일 94" xfId="1238"/>
    <cellStyle name="스타일 95" xfId="1239"/>
    <cellStyle name="스타일 96" xfId="1240"/>
    <cellStyle name="스타일 97" xfId="1241"/>
    <cellStyle name="스타일 98" xfId="1242"/>
    <cellStyle name="스타일 99" xfId="1243"/>
    <cellStyle name="안건회계법인" xfId="1245"/>
    <cellStyle name="霓付 [0]_1202" xfId="1246"/>
    <cellStyle name="霓付_1202" xfId="1247"/>
    <cellStyle name="옛체" xfId="1248"/>
    <cellStyle name="원" xfId="1249"/>
    <cellStyle name="원_02대여금" xfId="1250"/>
    <cellStyle name="원_02투자" xfId="1251"/>
    <cellStyle name="원_02투자및대여금종합" xfId="1252"/>
    <cellStyle name="원_NCF6BB2F" xfId="1256"/>
    <cellStyle name="원_NCF6BB2F_공표손익차이분석화학020304" xfId="1257"/>
    <cellStyle name="원_공표손익차이분석화학020304" xfId="1253"/>
    <cellStyle name="원_인테리어 공사 공내역2009.07.23최종(조과장)" xfId="1254"/>
    <cellStyle name="원_환경1팀수주최종본" xfId="1255"/>
    <cellStyle name="유1" xfId="1258"/>
    <cellStyle name="유영" xfId="1259"/>
    <cellStyle name="一般_GARMENT STEP FORM HK" xfId="1260"/>
    <cellStyle name="자리수" xfId="1261"/>
    <cellStyle name="자리수 - 유형1" xfId="1262"/>
    <cellStyle name="자리수_10-27영등포마트 리뉴얼 인테리어 공사" xfId="4256"/>
    <cellStyle name="자리수0" xfId="1263"/>
    <cellStyle name="자리수0 2" xfId="1264"/>
    <cellStyle name="쟟" xfId="1265"/>
    <cellStyle name="정렬" xfId="1266"/>
    <cellStyle name="정렬범위" xfId="1267"/>
    <cellStyle name="제목 1(左)" xfId="1268"/>
    <cellStyle name="제목 1(中)" xfId="1269"/>
    <cellStyle name="제목 5" xfId="1270"/>
    <cellStyle name="제목[1 줄]" xfId="1271"/>
    <cellStyle name="제목[2줄 아래]" xfId="1272"/>
    <cellStyle name="제목[2줄 위]" xfId="1273"/>
    <cellStyle name="제목1" xfId="1274"/>
    <cellStyle name="죃" xfId="1275"/>
    <cellStyle name="주석" xfId="1276"/>
    <cellStyle name="지정되지 않음" xfId="1277"/>
    <cellStyle name="지하철정렬" xfId="1278"/>
    <cellStyle name="钎霖_ 97斥 版康盒籍(救)" xfId="1321"/>
    <cellStyle name="千分位[0]_GARMENT STEP FORM HK" xfId="1279"/>
    <cellStyle name="千分位_GARMENT STEP FORM HK" xfId="1280"/>
    <cellStyle name="千位分隔[0]_현황" xfId="1281"/>
    <cellStyle name="千位分隔_2002" xfId="1282"/>
    <cellStyle name="昗?_BOOKSHIP" xfId="1319"/>
    <cellStyle name="寘嬫愗傝 [0.00]_PRODUCT DETAIL Q1" xfId="1283"/>
    <cellStyle name="寘嬫愗傝_PRODUCT DETAIL Q1" xfId="1284"/>
    <cellStyle name="콤냡?&lt;_x000f_$??: `1_1 " xfId="1285"/>
    <cellStyle name="콤마" xfId="1286"/>
    <cellStyle name="콤마 [#]" xfId="4257"/>
    <cellStyle name="콤마 []" xfId="4258"/>
    <cellStyle name="콤마 [0]" xfId="1287"/>
    <cellStyle name="콤마 [0]_견적구분양식(자재+노무)" xfId="2836"/>
    <cellStyle name="콤마 [2]" xfId="1288"/>
    <cellStyle name="콤마 [금액]" xfId="4259"/>
    <cellStyle name="콤마 [소수]" xfId="4260"/>
    <cellStyle name="콤마 [수량]" xfId="4261"/>
    <cellStyle name="콤마[ ]" xfId="1289"/>
    <cellStyle name="콤마[*]" xfId="1290"/>
    <cellStyle name="콤마[,]" xfId="1291"/>
    <cellStyle name="콤마[.]" xfId="1292"/>
    <cellStyle name="콤마[0]" xfId="1293"/>
    <cellStyle name="콤마_  종  합  " xfId="1294"/>
    <cellStyle name="콤마쇔[0]_대총괄표 " xfId="1295"/>
    <cellStyle name="通貨 [0.00]_List-dwg" xfId="1296"/>
    <cellStyle name="통화 [0] 2" xfId="2"/>
    <cellStyle name="통화 [4]" xfId="1297"/>
    <cellStyle name="通貨_List-dwg" xfId="1298"/>
    <cellStyle name="烹拳 [0]_1202" xfId="1299"/>
    <cellStyle name="烹拳_1202" xfId="1300"/>
    <cellStyle name="퍼센트" xfId="1301"/>
    <cellStyle name="표머릿글(上)" xfId="1302"/>
    <cellStyle name="표머릿글(中)" xfId="1303"/>
    <cellStyle name="표머릿글(下)" xfId="1304"/>
    <cellStyle name="표준" xfId="0" builtinId="0"/>
    <cellStyle name="표준 2" xfId="1305"/>
    <cellStyle name="표준 2 11" xfId="4294"/>
    <cellStyle name="표준 3" xfId="2840"/>
    <cellStyle name="標準_Akia(F）-8" xfId="1306"/>
    <cellStyle name="표준_견적구분양식(자재+노무)" xfId="2835"/>
    <cellStyle name="표준_견적서A4" xfId="4295"/>
    <cellStyle name="표준_구리인창오피스텔" xfId="2838"/>
    <cellStyle name="표준_금강CC 리노베이션" xfId="2837"/>
    <cellStyle name="표준_당사견적양식" xfId="2839"/>
    <cellStyle name="표준℘Sheet8 (3)" xfId="1307"/>
    <cellStyle name="표쥰" xfId="4262"/>
    <cellStyle name="합산" xfId="1308"/>
    <cellStyle name="桁区切り [0.00]_List-dwg" xfId="1309"/>
    <cellStyle name="桁区切り_List-dwg" xfId="1310"/>
    <cellStyle name="货币_2002" xfId="1320"/>
    <cellStyle name="貨幣 [0]_GARMENT STEP FORM HK" xfId="1311"/>
    <cellStyle name="貨幣_GARMENT STEP FORM HK" xfId="1312"/>
    <cellStyle name="화폐기호" xfId="1313"/>
    <cellStyle name="화폐기호 2" xfId="1314"/>
    <cellStyle name="화폐기호0" xfId="1315"/>
    <cellStyle name="화폐기호0 2" xfId="1316"/>
    <cellStyle name="ㅣ" xfId="12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13" name="Line 14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14" name="Line 15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20" name="Line 21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21" name="Line 22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22413</xdr:colOff>
      <xdr:row>7</xdr:row>
      <xdr:rowOff>133350</xdr:rowOff>
    </xdr:from>
    <xdr:to>
      <xdr:col>7</xdr:col>
      <xdr:colOff>0</xdr:colOff>
      <xdr:row>9</xdr:row>
      <xdr:rowOff>85725</xdr:rowOff>
    </xdr:to>
    <xdr:sp macro="" textlink="">
      <xdr:nvSpPr>
        <xdr:cNvPr id="22" name="Rectangle 23"/>
        <xdr:cNvSpPr>
          <a:spLocks noChangeArrowheads="1"/>
        </xdr:cNvSpPr>
      </xdr:nvSpPr>
      <xdr:spPr bwMode="auto">
        <a:xfrm>
          <a:off x="3630707" y="3170144"/>
          <a:ext cx="5507130" cy="714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32</xdr:row>
          <xdr:rowOff>0</xdr:rowOff>
        </xdr:from>
        <xdr:to>
          <xdr:col>8</xdr:col>
          <xdr:colOff>662940</xdr:colOff>
          <xdr:row>33</xdr:row>
          <xdr:rowOff>320040</xdr:rowOff>
        </xdr:to>
        <xdr:pic>
          <xdr:nvPicPr>
            <xdr:cNvPr id="1035" name="Picture 1"/>
            <xdr:cNvPicPr>
              <a:picLocks noChangeAspect="1" noChangeArrowheads="1"/>
              <a:extLst>
                <a:ext uri="{84589F7E-364E-4C9E-8A38-B11213B215E9}">
                  <a14:cameraTool cellRange="$J$52:$Z$54" spid="_x0000_s11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100" y="11346180"/>
              <a:ext cx="11757660" cy="571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32</xdr:row>
          <xdr:rowOff>15240</xdr:rowOff>
        </xdr:from>
        <xdr:to>
          <xdr:col>8</xdr:col>
          <xdr:colOff>662940</xdr:colOff>
          <xdr:row>33</xdr:row>
          <xdr:rowOff>335280</xdr:rowOff>
        </xdr:to>
        <xdr:pic>
          <xdr:nvPicPr>
            <xdr:cNvPr id="1036" name="Picture 2"/>
            <xdr:cNvPicPr>
              <a:picLocks noChangeAspect="1" noChangeArrowheads="1"/>
              <a:extLst>
                <a:ext uri="{84589F7E-364E-4C9E-8A38-B11213B215E9}">
                  <a14:cameraTool cellRange="$J$53:$Z$55" spid="_x0000_s111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8100" y="11361420"/>
              <a:ext cx="11757660" cy="571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Z57"/>
  <sheetViews>
    <sheetView topLeftCell="A22" zoomScale="90" zoomScaleNormal="90" workbookViewId="0">
      <selection activeCell="F32" sqref="F32"/>
    </sheetView>
  </sheetViews>
  <sheetFormatPr defaultColWidth="9" defaultRowHeight="24.9" customHeight="1"/>
  <cols>
    <col min="1" max="1" width="3.69921875" style="5" customWidth="1"/>
    <col min="2" max="3" width="16.09765625" style="6" customWidth="1"/>
    <col min="4" max="4" width="5.59765625" style="5" customWidth="1"/>
    <col min="5" max="5" width="5.8984375" style="5" customWidth="1"/>
    <col min="6" max="8" width="32.8984375" style="4" customWidth="1"/>
    <col min="9" max="9" width="11.5" style="3" customWidth="1"/>
    <col min="10" max="10" width="9" style="2"/>
    <col min="11" max="16384" width="9" style="1"/>
  </cols>
  <sheetData>
    <row r="1" spans="1:10" s="36" customFormat="1" ht="36" customHeight="1">
      <c r="I1" s="57"/>
      <c r="J1" s="45"/>
    </row>
    <row r="2" spans="1:10" s="36" customFormat="1" ht="24" customHeight="1">
      <c r="B2" s="37" t="s">
        <v>6</v>
      </c>
      <c r="C2" s="77"/>
      <c r="I2" s="57"/>
      <c r="J2" s="45"/>
    </row>
    <row r="3" spans="1:10" s="36" customFormat="1" ht="27.75" customHeight="1">
      <c r="I3" s="57"/>
      <c r="J3" s="45"/>
    </row>
    <row r="4" spans="1:10" s="36" customFormat="1" ht="61.5" customHeight="1" thickBot="1">
      <c r="A4" s="214" t="s">
        <v>18</v>
      </c>
      <c r="B4" s="214"/>
      <c r="C4" s="214"/>
      <c r="D4" s="214"/>
      <c r="E4" s="214"/>
      <c r="F4" s="214"/>
      <c r="G4" s="214"/>
      <c r="H4" s="214"/>
      <c r="I4" s="214"/>
      <c r="J4" s="45"/>
    </row>
    <row r="5" spans="1:10" s="36" customFormat="1" ht="30" customHeight="1" thickTop="1">
      <c r="F5" s="66"/>
      <c r="G5" s="66"/>
      <c r="I5" s="57"/>
      <c r="J5" s="45"/>
    </row>
    <row r="6" spans="1:10" s="36" customFormat="1" ht="30" customHeight="1">
      <c r="I6" s="57"/>
      <c r="J6" s="45"/>
    </row>
    <row r="7" spans="1:10" s="36" customFormat="1" ht="30" customHeight="1">
      <c r="I7" s="57"/>
      <c r="J7" s="45"/>
    </row>
    <row r="8" spans="1:10" s="36" customFormat="1" ht="30" customHeight="1">
      <c r="I8" s="57"/>
      <c r="J8" s="45"/>
    </row>
    <row r="9" spans="1:10" s="16" customFormat="1" ht="30" customHeight="1">
      <c r="A9" s="213" t="s">
        <v>19</v>
      </c>
      <c r="B9" s="213"/>
      <c r="C9" s="213"/>
      <c r="D9" s="213"/>
      <c r="E9" s="213"/>
      <c r="F9" s="213"/>
      <c r="G9" s="213"/>
      <c r="H9" s="213"/>
      <c r="I9" s="213"/>
      <c r="J9" s="45"/>
    </row>
    <row r="10" spans="1:10" s="16" customFormat="1" ht="30" customHeight="1">
      <c r="A10" s="58" t="s">
        <v>5</v>
      </c>
      <c r="B10" s="36" t="s">
        <v>4</v>
      </c>
      <c r="C10" s="36"/>
      <c r="D10" s="36"/>
      <c r="E10" s="36"/>
      <c r="F10" s="36"/>
      <c r="G10" s="36"/>
      <c r="H10" s="36"/>
      <c r="I10" s="57"/>
      <c r="J10" s="45"/>
    </row>
    <row r="11" spans="1:10" s="16" customFormat="1" ht="30" customHeight="1">
      <c r="A11" s="36"/>
      <c r="B11" s="36"/>
      <c r="C11" s="36"/>
      <c r="D11" s="36"/>
      <c r="E11" s="36"/>
      <c r="F11" s="36"/>
      <c r="G11" s="36"/>
      <c r="H11" s="36"/>
      <c r="I11" s="57"/>
      <c r="J11" s="45"/>
    </row>
    <row r="12" spans="1:10" s="16" customFormat="1" ht="30" customHeight="1">
      <c r="A12" s="36"/>
      <c r="B12" s="36"/>
      <c r="C12" s="36"/>
      <c r="D12" s="36"/>
      <c r="E12" s="36"/>
      <c r="F12" s="36"/>
      <c r="G12" s="36"/>
      <c r="H12" s="36"/>
      <c r="I12" s="57"/>
      <c r="J12" s="45"/>
    </row>
    <row r="13" spans="1:10" s="16" customFormat="1" ht="30" customHeight="1">
      <c r="A13" s="36"/>
      <c r="B13" s="36"/>
      <c r="C13" s="36"/>
      <c r="D13" s="36"/>
      <c r="E13" s="36"/>
      <c r="F13" s="36"/>
      <c r="G13" s="36"/>
      <c r="H13" s="36"/>
      <c r="I13" s="57"/>
      <c r="J13" s="45"/>
    </row>
    <row r="14" spans="1:10" s="16" customFormat="1" ht="30" customHeight="1">
      <c r="A14" s="36"/>
      <c r="B14" s="36"/>
      <c r="C14" s="36"/>
      <c r="D14" s="36"/>
      <c r="E14" s="36"/>
      <c r="F14" s="36"/>
      <c r="G14" s="36"/>
      <c r="H14" s="36"/>
      <c r="I14" s="57"/>
      <c r="J14" s="45"/>
    </row>
    <row r="15" spans="1:10" s="16" customFormat="1" ht="30" customHeight="1">
      <c r="A15" s="36"/>
      <c r="B15" s="36"/>
      <c r="C15" s="36"/>
      <c r="D15" s="36"/>
      <c r="E15" s="36"/>
      <c r="F15" s="36"/>
      <c r="G15" s="36"/>
      <c r="H15" s="36"/>
      <c r="I15" s="57"/>
      <c r="J15" s="45"/>
    </row>
    <row r="16" spans="1:10" s="16" customFormat="1" ht="30" customHeight="1">
      <c r="A16" s="36"/>
      <c r="B16" s="36"/>
      <c r="C16" s="36"/>
      <c r="D16" s="36"/>
      <c r="E16" s="36"/>
      <c r="F16" s="36"/>
      <c r="G16" s="36"/>
      <c r="H16" s="36"/>
      <c r="I16" s="57"/>
      <c r="J16" s="45"/>
    </row>
    <row r="17" spans="1:17" s="16" customFormat="1" ht="30" customHeight="1">
      <c r="A17" s="36"/>
      <c r="B17" s="36"/>
      <c r="C17" s="36"/>
      <c r="D17" s="36"/>
      <c r="E17" s="36"/>
      <c r="F17" s="36"/>
      <c r="G17" s="36"/>
      <c r="H17" s="36"/>
      <c r="I17" s="57"/>
      <c r="J17" s="45"/>
    </row>
    <row r="18" spans="1:17" s="16" customFormat="1" ht="30" customHeight="1">
      <c r="A18" s="36"/>
      <c r="B18" s="36"/>
      <c r="C18" s="36"/>
      <c r="D18" s="36"/>
      <c r="E18" s="36"/>
      <c r="F18" s="36"/>
      <c r="G18" s="36"/>
      <c r="H18" s="36"/>
      <c r="I18" s="57"/>
      <c r="J18" s="45"/>
    </row>
    <row r="19" spans="1:17" s="16" customFormat="1" ht="30" customHeight="1">
      <c r="A19" s="36"/>
      <c r="B19" s="36"/>
      <c r="C19" s="36"/>
      <c r="D19" s="36"/>
      <c r="E19" s="36"/>
      <c r="F19" s="36"/>
      <c r="G19" s="36"/>
      <c r="H19" s="36"/>
      <c r="I19" s="57"/>
      <c r="J19" s="45"/>
    </row>
    <row r="20" spans="1:17" s="16" customFormat="1" ht="30" customHeight="1">
      <c r="A20" s="215"/>
      <c r="B20" s="215"/>
      <c r="C20" s="215"/>
      <c r="D20" s="215"/>
      <c r="E20" s="215"/>
      <c r="F20" s="215"/>
      <c r="G20" s="215"/>
      <c r="H20" s="215"/>
      <c r="I20" s="215"/>
      <c r="J20" s="45"/>
    </row>
    <row r="21" spans="1:17" s="36" customFormat="1" ht="30.75" customHeight="1" thickBot="1">
      <c r="A21" s="43" t="s">
        <v>6</v>
      </c>
      <c r="B21" s="56"/>
      <c r="C21" s="56"/>
      <c r="D21" s="42"/>
      <c r="E21" s="42"/>
      <c r="F21" s="42"/>
      <c r="G21" s="55"/>
      <c r="H21" s="42"/>
      <c r="I21" s="54"/>
      <c r="J21" s="25"/>
      <c r="K21" s="24"/>
      <c r="L21" s="24"/>
      <c r="M21" s="24"/>
      <c r="N21" s="37"/>
      <c r="O21" s="37"/>
      <c r="P21" s="37"/>
      <c r="Q21" s="37"/>
    </row>
    <row r="22" spans="1:17" s="36" customFormat="1" ht="22.5" customHeight="1">
      <c r="A22" s="53"/>
      <c r="B22" s="53"/>
      <c r="C22" s="53"/>
      <c r="D22" s="53"/>
      <c r="E22" s="53"/>
      <c r="F22" s="53"/>
      <c r="G22" s="53"/>
      <c r="H22" s="137"/>
      <c r="I22" s="52"/>
      <c r="J22" s="25"/>
      <c r="K22" s="24"/>
      <c r="L22" s="24"/>
      <c r="M22" s="24"/>
      <c r="N22" s="37"/>
      <c r="O22" s="37"/>
      <c r="P22" s="37"/>
      <c r="Q22" s="37"/>
    </row>
    <row r="23" spans="1:17" s="36" customFormat="1" ht="22.5" customHeight="1">
      <c r="A23" s="217" t="s">
        <v>326</v>
      </c>
      <c r="B23" s="218"/>
      <c r="C23" s="218"/>
      <c r="D23" s="218"/>
      <c r="E23" s="218"/>
      <c r="F23" s="218"/>
      <c r="G23" s="51"/>
      <c r="H23" s="51"/>
      <c r="I23" s="38"/>
      <c r="J23" s="25"/>
      <c r="K23" s="24"/>
      <c r="L23" s="24"/>
      <c r="M23" s="24"/>
      <c r="N23" s="37"/>
      <c r="O23" s="37"/>
      <c r="P23" s="37"/>
      <c r="Q23" s="37"/>
    </row>
    <row r="24" spans="1:17" s="36" customFormat="1" ht="22.5" customHeight="1">
      <c r="A24" s="41"/>
      <c r="B24" s="50"/>
      <c r="C24" s="50"/>
      <c r="D24" s="41"/>
      <c r="E24" s="41"/>
      <c r="F24" s="49"/>
      <c r="G24" s="48"/>
      <c r="H24" s="48"/>
      <c r="I24" s="38"/>
      <c r="J24" s="25"/>
      <c r="K24" s="24"/>
      <c r="L24" s="24"/>
      <c r="M24" s="24"/>
      <c r="N24" s="37"/>
      <c r="O24" s="37"/>
      <c r="P24" s="37"/>
      <c r="Q24" s="37"/>
    </row>
    <row r="25" spans="1:17" s="36" customFormat="1" ht="22.5" customHeight="1">
      <c r="A25" s="216" t="s">
        <v>327</v>
      </c>
      <c r="B25" s="216"/>
      <c r="C25" s="216"/>
      <c r="D25" s="216"/>
      <c r="E25" s="216"/>
      <c r="F25" s="216"/>
      <c r="G25" s="140"/>
      <c r="H25" s="51"/>
      <c r="I25" s="38"/>
      <c r="J25" s="25"/>
      <c r="K25" s="24"/>
      <c r="L25" s="24"/>
      <c r="M25" s="24"/>
      <c r="N25" s="37"/>
      <c r="O25" s="37"/>
      <c r="P25" s="37"/>
      <c r="Q25" s="37"/>
    </row>
    <row r="26" spans="1:17" s="36" customFormat="1" ht="22.5" customHeight="1">
      <c r="A26" s="216" t="str">
        <f>"금    액/AMOUNT : 일금"&amp;NUMBERSTRING(H51,1)&amp;"원정(\"&amp;TEXT(H51,"#,##)")</f>
        <v>금    액/AMOUNT : 일금팔천칠백만원정(\87,000,000)</v>
      </c>
      <c r="B26" s="216"/>
      <c r="C26" s="216"/>
      <c r="D26" s="216"/>
      <c r="E26" s="216"/>
      <c r="F26" s="216"/>
      <c r="G26" s="140" t="s">
        <v>9</v>
      </c>
      <c r="H26" s="48"/>
      <c r="I26" s="38"/>
      <c r="J26" s="25"/>
      <c r="K26" s="24"/>
      <c r="L26" s="24"/>
      <c r="M26" s="24"/>
      <c r="N26" s="37"/>
      <c r="O26" s="37"/>
      <c r="P26" s="37"/>
      <c r="Q26" s="37"/>
    </row>
    <row r="27" spans="1:17" s="36" customFormat="1" ht="22.5" customHeight="1">
      <c r="A27" s="212" t="s">
        <v>11</v>
      </c>
      <c r="B27" s="212"/>
      <c r="C27" s="212"/>
      <c r="D27" s="212"/>
      <c r="E27" s="212"/>
      <c r="F27" s="212"/>
      <c r="G27" s="138"/>
      <c r="H27" s="138"/>
      <c r="I27" s="138"/>
      <c r="J27" s="138"/>
      <c r="K27" s="24"/>
      <c r="L27" s="24"/>
      <c r="M27" s="24"/>
      <c r="N27" s="37"/>
      <c r="O27" s="37"/>
      <c r="P27" s="37"/>
      <c r="Q27" s="37"/>
    </row>
    <row r="28" spans="1:17" s="36" customFormat="1" ht="22.5" customHeight="1">
      <c r="A28" s="212" t="s">
        <v>12</v>
      </c>
      <c r="B28" s="212"/>
      <c r="C28" s="212"/>
      <c r="D28" s="212"/>
      <c r="E28" s="212"/>
      <c r="F28" s="212"/>
      <c r="G28" s="139" t="s">
        <v>120</v>
      </c>
      <c r="H28" s="139"/>
      <c r="I28" s="139"/>
      <c r="J28" s="139"/>
      <c r="K28" s="24"/>
      <c r="L28" s="24"/>
      <c r="M28" s="24"/>
      <c r="N28" s="37"/>
      <c r="O28" s="37"/>
      <c r="P28" s="37"/>
      <c r="Q28" s="37"/>
    </row>
    <row r="29" spans="1:17" s="36" customFormat="1" ht="22.5" customHeight="1">
      <c r="A29" s="212" t="s">
        <v>13</v>
      </c>
      <c r="B29" s="212"/>
      <c r="C29" s="212"/>
      <c r="D29" s="212"/>
      <c r="E29" s="212"/>
      <c r="F29" s="212"/>
      <c r="G29" s="135" t="s">
        <v>121</v>
      </c>
      <c r="H29" s="135"/>
      <c r="I29" s="135"/>
      <c r="J29" s="135"/>
      <c r="K29" s="24"/>
      <c r="L29" s="24"/>
      <c r="M29" s="24"/>
      <c r="N29" s="37"/>
      <c r="O29" s="37"/>
      <c r="P29" s="37"/>
      <c r="Q29" s="37"/>
    </row>
    <row r="30" spans="1:17" s="36" customFormat="1" ht="22.5" customHeight="1">
      <c r="A30" s="212" t="s">
        <v>14</v>
      </c>
      <c r="B30" s="212"/>
      <c r="C30" s="212"/>
      <c r="D30" s="212"/>
      <c r="E30" s="212"/>
      <c r="F30" s="212"/>
      <c r="G30" s="135" t="s">
        <v>122</v>
      </c>
      <c r="H30" s="135"/>
      <c r="I30" s="135"/>
      <c r="J30" s="135"/>
      <c r="K30" s="24"/>
      <c r="L30" s="24"/>
      <c r="M30" s="24"/>
      <c r="N30" s="37"/>
      <c r="O30" s="37"/>
      <c r="P30" s="37"/>
      <c r="Q30" s="37"/>
    </row>
    <row r="31" spans="1:17" s="36" customFormat="1" ht="16.5" customHeight="1">
      <c r="A31" s="47"/>
      <c r="B31" s="46"/>
      <c r="C31" s="46"/>
      <c r="D31" s="39"/>
      <c r="E31" s="39"/>
      <c r="F31" s="39"/>
      <c r="G31" s="136" t="s">
        <v>123</v>
      </c>
      <c r="H31" s="136"/>
      <c r="I31" s="136"/>
      <c r="J31" s="136"/>
      <c r="K31" s="24"/>
      <c r="L31" s="24"/>
      <c r="M31" s="24"/>
      <c r="N31" s="37"/>
      <c r="O31" s="37"/>
      <c r="P31" s="37"/>
      <c r="Q31" s="37"/>
    </row>
    <row r="32" spans="1:17" s="36" customFormat="1" ht="18" customHeight="1">
      <c r="A32" s="44" t="s">
        <v>52</v>
      </c>
      <c r="B32" s="43"/>
      <c r="C32" s="43"/>
      <c r="D32" s="42"/>
      <c r="E32" s="42"/>
      <c r="G32" s="40"/>
      <c r="I32" s="38"/>
      <c r="J32" s="25"/>
      <c r="K32" s="24"/>
      <c r="L32" s="24"/>
      <c r="M32" s="24"/>
      <c r="N32" s="37"/>
      <c r="O32" s="37"/>
      <c r="P32" s="37"/>
      <c r="Q32" s="37"/>
    </row>
    <row r="33" spans="1:25" s="36" customFormat="1" ht="20.25" customHeight="1">
      <c r="A33" s="111"/>
      <c r="B33" s="45"/>
      <c r="C33" s="45"/>
      <c r="D33" s="45"/>
      <c r="E33" s="45"/>
      <c r="F33" s="39"/>
      <c r="G33" s="39"/>
      <c r="I33" s="38"/>
      <c r="J33" s="25"/>
      <c r="K33" s="24"/>
      <c r="L33" s="24"/>
      <c r="M33" s="24"/>
      <c r="N33" s="37"/>
      <c r="O33" s="37"/>
      <c r="P33" s="37"/>
      <c r="Q33" s="37"/>
    </row>
    <row r="34" spans="1:25" s="16" customFormat="1" ht="34.5" customHeight="1" thickBot="1">
      <c r="A34" s="112"/>
      <c r="B34" s="112"/>
      <c r="C34" s="112"/>
      <c r="D34" s="112"/>
      <c r="E34" s="112"/>
      <c r="F34" s="112"/>
      <c r="G34" s="112"/>
      <c r="H34" s="112"/>
      <c r="I34" s="112"/>
      <c r="J34" s="45"/>
    </row>
    <row r="35" spans="1:25" s="65" customFormat="1" ht="18" customHeight="1">
      <c r="A35" s="60" t="s">
        <v>61</v>
      </c>
      <c r="B35" s="61" t="s">
        <v>3</v>
      </c>
      <c r="C35" s="61" t="s">
        <v>62</v>
      </c>
      <c r="D35" s="61" t="s">
        <v>2</v>
      </c>
      <c r="E35" s="61" t="s">
        <v>7</v>
      </c>
      <c r="F35" s="59" t="s">
        <v>63</v>
      </c>
      <c r="G35" s="59" t="s">
        <v>64</v>
      </c>
      <c r="H35" s="59" t="s">
        <v>10</v>
      </c>
      <c r="I35" s="59" t="s">
        <v>1</v>
      </c>
      <c r="J35" s="62"/>
      <c r="K35" s="63"/>
      <c r="L35" s="63"/>
      <c r="M35" s="63"/>
      <c r="N35" s="64"/>
      <c r="O35" s="64"/>
      <c r="P35" s="64"/>
      <c r="Q35" s="64"/>
    </row>
    <row r="36" spans="1:25" s="16" customFormat="1" ht="18" customHeight="1">
      <c r="A36" s="35"/>
      <c r="B36" s="78" t="s">
        <v>17</v>
      </c>
      <c r="C36" s="34"/>
      <c r="D36" s="33"/>
      <c r="E36" s="33"/>
      <c r="F36" s="85"/>
      <c r="G36" s="74"/>
      <c r="H36" s="69"/>
      <c r="I36" s="32"/>
      <c r="J36" s="25"/>
      <c r="K36" s="24"/>
      <c r="L36" s="24"/>
      <c r="M36" s="24"/>
      <c r="N36" s="23"/>
      <c r="O36" s="23"/>
      <c r="P36" s="23"/>
      <c r="Q36" s="23"/>
    </row>
    <row r="37" spans="1:25" s="16" customFormat="1" ht="18" customHeight="1">
      <c r="A37" s="80" t="s">
        <v>60</v>
      </c>
      <c r="B37" s="81" t="s">
        <v>16</v>
      </c>
      <c r="C37" s="81"/>
      <c r="D37" s="82" t="s">
        <v>8</v>
      </c>
      <c r="E37" s="82">
        <v>1</v>
      </c>
      <c r="F37" s="98">
        <f>+내역!H20</f>
        <v>58104065.5</v>
      </c>
      <c r="G37" s="98">
        <f>+내역!J20</f>
        <v>16286235</v>
      </c>
      <c r="H37" s="98">
        <f>+내역!L20</f>
        <v>79139780.5</v>
      </c>
      <c r="I37" s="84"/>
      <c r="J37" s="25"/>
      <c r="K37" s="24"/>
      <c r="L37" s="24"/>
      <c r="M37" s="24"/>
      <c r="N37" s="114"/>
      <c r="O37" s="114"/>
      <c r="P37" s="114"/>
      <c r="Q37" s="114"/>
      <c r="R37" s="115"/>
      <c r="S37" s="115"/>
      <c r="T37" s="115"/>
      <c r="U37" s="115"/>
      <c r="V37" s="115"/>
      <c r="W37" s="115"/>
      <c r="X37" s="115"/>
      <c r="Y37" s="115"/>
    </row>
    <row r="38" spans="1:25" s="16" customFormat="1" ht="18" customHeight="1">
      <c r="A38" s="31"/>
      <c r="B38" s="28"/>
      <c r="C38" s="28"/>
      <c r="D38" s="26"/>
      <c r="E38" s="26"/>
      <c r="F38" s="70"/>
      <c r="G38" s="75"/>
      <c r="H38" s="83"/>
      <c r="I38" s="30"/>
      <c r="J38" s="25"/>
      <c r="K38" s="24"/>
      <c r="L38" s="24"/>
      <c r="M38" s="24"/>
      <c r="N38" s="114"/>
      <c r="O38" s="114"/>
      <c r="P38" s="114"/>
      <c r="Q38" s="114"/>
      <c r="R38" s="115"/>
      <c r="S38" s="115"/>
      <c r="T38" s="115"/>
      <c r="U38" s="115"/>
      <c r="V38" s="115"/>
      <c r="W38" s="115"/>
      <c r="X38" s="115"/>
      <c r="Y38" s="115"/>
    </row>
    <row r="39" spans="1:25" s="16" customFormat="1" ht="18" customHeight="1">
      <c r="A39" s="27"/>
      <c r="B39" s="29" t="s">
        <v>65</v>
      </c>
      <c r="C39" s="29"/>
      <c r="D39" s="26"/>
      <c r="E39" s="26"/>
      <c r="F39" s="72">
        <f>F37</f>
        <v>58104065.5</v>
      </c>
      <c r="G39" s="72">
        <f>G37</f>
        <v>16286235</v>
      </c>
      <c r="H39" s="72">
        <f>H37</f>
        <v>79139780.5</v>
      </c>
      <c r="I39" s="30"/>
      <c r="J39" s="25"/>
      <c r="K39" s="24"/>
      <c r="L39" s="24"/>
      <c r="M39" s="24"/>
      <c r="N39" s="114"/>
      <c r="O39" s="23"/>
      <c r="P39" s="23"/>
      <c r="Q39" s="23"/>
      <c r="U39" s="211"/>
      <c r="V39" s="211"/>
      <c r="W39" s="113"/>
      <c r="X39" s="116"/>
      <c r="Y39" s="115"/>
    </row>
    <row r="40" spans="1:25" s="16" customFormat="1" ht="18" customHeight="1">
      <c r="A40" s="27"/>
      <c r="B40" s="28"/>
      <c r="C40" s="28"/>
      <c r="D40" s="26"/>
      <c r="E40" s="26"/>
      <c r="F40" s="72"/>
      <c r="G40" s="75"/>
      <c r="H40" s="71"/>
      <c r="I40" s="30"/>
      <c r="J40" s="25"/>
      <c r="K40" s="24"/>
      <c r="L40" s="24"/>
      <c r="M40" s="24"/>
      <c r="N40" s="23"/>
      <c r="O40" s="23"/>
      <c r="P40" s="23"/>
      <c r="Q40" s="23"/>
    </row>
    <row r="41" spans="1:25" s="16" customFormat="1" ht="18" customHeight="1">
      <c r="A41" s="27"/>
      <c r="B41" s="79" t="s">
        <v>15</v>
      </c>
      <c r="C41" s="28"/>
      <c r="D41" s="26"/>
      <c r="E41" s="26"/>
      <c r="F41" s="70"/>
      <c r="G41" s="75"/>
      <c r="H41" s="71"/>
      <c r="I41" s="30"/>
      <c r="J41" s="25"/>
      <c r="K41" s="24"/>
      <c r="L41" s="24"/>
      <c r="M41" s="24"/>
      <c r="N41" s="23"/>
      <c r="O41" s="23"/>
      <c r="P41" s="23"/>
      <c r="Q41" s="23"/>
    </row>
    <row r="42" spans="1:25" s="16" customFormat="1" ht="18" customHeight="1">
      <c r="A42" s="27" t="s">
        <v>66</v>
      </c>
      <c r="B42" s="198" t="s">
        <v>100</v>
      </c>
      <c r="C42" s="199"/>
      <c r="D42" s="26" t="s">
        <v>8</v>
      </c>
      <c r="E42" s="26">
        <v>1</v>
      </c>
      <c r="F42" s="72">
        <f t="shared" ref="F42:F45" si="0">SUM(F40:F41)</f>
        <v>0</v>
      </c>
      <c r="G42" s="75">
        <v>0</v>
      </c>
      <c r="H42" s="98">
        <f>+내역!L22</f>
        <v>0</v>
      </c>
      <c r="I42" s="18"/>
      <c r="J42" s="25"/>
      <c r="K42" s="24"/>
      <c r="L42" s="24"/>
      <c r="M42" s="24"/>
      <c r="N42" s="23"/>
      <c r="O42" s="23"/>
      <c r="P42" s="23"/>
      <c r="Q42" s="23"/>
    </row>
    <row r="43" spans="1:25" s="16" customFormat="1" ht="18" customHeight="1">
      <c r="A43" s="27" t="s">
        <v>67</v>
      </c>
      <c r="B43" s="198" t="s">
        <v>101</v>
      </c>
      <c r="C43" s="199"/>
      <c r="D43" s="26" t="s">
        <v>8</v>
      </c>
      <c r="E43" s="26">
        <v>1</v>
      </c>
      <c r="F43" s="72">
        <f t="shared" si="0"/>
        <v>0</v>
      </c>
      <c r="G43" s="75">
        <v>0</v>
      </c>
      <c r="H43" s="98">
        <f>+내역!L23</f>
        <v>0</v>
      </c>
      <c r="I43" s="30"/>
      <c r="J43" s="25"/>
      <c r="K43" s="24"/>
      <c r="L43" s="24"/>
      <c r="M43" s="24"/>
      <c r="N43" s="23"/>
      <c r="O43" s="23"/>
      <c r="P43" s="23"/>
      <c r="Q43" s="23"/>
    </row>
    <row r="44" spans="1:25" s="16" customFormat="1" ht="18" customHeight="1">
      <c r="A44" s="27" t="s">
        <v>68</v>
      </c>
      <c r="B44" s="198" t="s">
        <v>102</v>
      </c>
      <c r="C44" s="199"/>
      <c r="D44" s="26" t="s">
        <v>8</v>
      </c>
      <c r="E44" s="26">
        <v>1</v>
      </c>
      <c r="F44" s="72">
        <f t="shared" si="0"/>
        <v>0</v>
      </c>
      <c r="G44" s="75">
        <v>0</v>
      </c>
      <c r="H44" s="98">
        <f>+내역!L24</f>
        <v>0</v>
      </c>
      <c r="I44" s="30"/>
      <c r="J44" s="25"/>
      <c r="K44" s="24"/>
      <c r="L44" s="24"/>
      <c r="M44" s="24"/>
      <c r="N44" s="23"/>
      <c r="O44" s="23"/>
      <c r="P44" s="23"/>
      <c r="Q44" s="23"/>
    </row>
    <row r="45" spans="1:25" s="16" customFormat="1" ht="18" customHeight="1">
      <c r="A45" s="27" t="s">
        <v>69</v>
      </c>
      <c r="B45" s="198" t="s">
        <v>103</v>
      </c>
      <c r="C45" s="199"/>
      <c r="D45" s="26" t="s">
        <v>8</v>
      </c>
      <c r="E45" s="26">
        <v>1</v>
      </c>
      <c r="F45" s="72">
        <f t="shared" si="0"/>
        <v>0</v>
      </c>
      <c r="G45" s="75">
        <v>0</v>
      </c>
      <c r="H45" s="98">
        <f>+내역!L25</f>
        <v>7913978.0500000007</v>
      </c>
      <c r="I45" s="30"/>
      <c r="J45" s="25"/>
      <c r="K45" s="24"/>
      <c r="L45" s="24"/>
      <c r="M45" s="24"/>
      <c r="N45" s="23"/>
      <c r="O45" s="23"/>
      <c r="P45" s="23"/>
      <c r="Q45" s="23"/>
    </row>
    <row r="46" spans="1:25" s="16" customFormat="1" ht="18" customHeight="1">
      <c r="A46" s="27"/>
      <c r="B46" s="28"/>
      <c r="C46" s="26"/>
      <c r="D46" s="26"/>
      <c r="E46" s="26"/>
      <c r="F46" s="72"/>
      <c r="G46" s="75"/>
      <c r="H46" s="83"/>
      <c r="I46" s="30"/>
      <c r="J46" s="25"/>
      <c r="K46" s="24"/>
      <c r="L46" s="24"/>
      <c r="M46" s="24"/>
      <c r="N46" s="23"/>
      <c r="O46" s="23"/>
      <c r="P46" s="23"/>
      <c r="Q46" s="23"/>
    </row>
    <row r="47" spans="1:25" s="16" customFormat="1" ht="18" customHeight="1">
      <c r="A47" s="27"/>
      <c r="B47" s="28"/>
      <c r="C47" s="26"/>
      <c r="D47" s="26"/>
      <c r="E47" s="26"/>
      <c r="F47" s="72"/>
      <c r="G47" s="75"/>
      <c r="H47" s="71"/>
      <c r="I47" s="30"/>
      <c r="J47" s="25"/>
      <c r="K47" s="24"/>
      <c r="L47" s="24"/>
      <c r="M47" s="24"/>
      <c r="N47" s="23"/>
      <c r="O47" s="23"/>
      <c r="P47" s="23"/>
      <c r="Q47" s="23"/>
    </row>
    <row r="48" spans="1:25" s="16" customFormat="1" ht="18" customHeight="1">
      <c r="A48" s="27"/>
      <c r="B48" s="28" t="s">
        <v>70</v>
      </c>
      <c r="C48" s="28"/>
      <c r="D48" s="26"/>
      <c r="E48" s="26"/>
      <c r="F48" s="72">
        <f>F42+F43+F44+F45+F46</f>
        <v>0</v>
      </c>
      <c r="G48" s="72">
        <f>G42+G43+G44+G45+G46</f>
        <v>0</v>
      </c>
      <c r="H48" s="83">
        <f>SUM(H42:H47)</f>
        <v>7913978.0500000007</v>
      </c>
      <c r="I48" s="18"/>
      <c r="J48" s="25"/>
      <c r="K48" s="24"/>
      <c r="L48" s="24"/>
      <c r="M48" s="24"/>
      <c r="N48" s="23"/>
      <c r="O48" s="23"/>
      <c r="P48" s="23"/>
      <c r="Q48" s="23"/>
    </row>
    <row r="49" spans="1:26" s="16" customFormat="1" ht="18" customHeight="1">
      <c r="A49" s="27"/>
      <c r="B49" s="28"/>
      <c r="C49" s="28"/>
      <c r="D49" s="26"/>
      <c r="E49" s="26"/>
      <c r="F49" s="67"/>
      <c r="G49" s="76"/>
      <c r="H49" s="68"/>
      <c r="I49" s="18"/>
      <c r="J49" s="25"/>
      <c r="K49" s="24"/>
      <c r="L49" s="24"/>
      <c r="M49" s="24"/>
      <c r="N49" s="23"/>
      <c r="O49" s="23"/>
      <c r="P49" s="23"/>
      <c r="Q49" s="23"/>
    </row>
    <row r="50" spans="1:26" s="16" customFormat="1" ht="18" customHeight="1">
      <c r="A50" s="27"/>
      <c r="B50" s="29" t="s">
        <v>0</v>
      </c>
      <c r="C50" s="29"/>
      <c r="D50" s="26"/>
      <c r="E50" s="26"/>
      <c r="F50" s="73">
        <f>F39+F48</f>
        <v>58104065.5</v>
      </c>
      <c r="G50" s="73">
        <f>G39+G48</f>
        <v>16286235</v>
      </c>
      <c r="H50" s="83">
        <f>H39+H48</f>
        <v>87053758.549999997</v>
      </c>
      <c r="I50" s="18"/>
      <c r="J50" s="25"/>
      <c r="K50" s="24"/>
      <c r="L50" s="24"/>
      <c r="M50" s="24"/>
      <c r="N50" s="23"/>
      <c r="O50" s="23"/>
      <c r="P50" s="23"/>
      <c r="Q50" s="23"/>
    </row>
    <row r="51" spans="1:26" s="16" customFormat="1" ht="18" customHeight="1">
      <c r="A51" s="22"/>
      <c r="B51" s="21"/>
      <c r="C51" s="21"/>
      <c r="D51" s="20"/>
      <c r="E51" s="20"/>
      <c r="F51" s="19"/>
      <c r="G51" s="163" t="s">
        <v>104</v>
      </c>
      <c r="H51" s="162">
        <f>TRUNC(H50,-5)</f>
        <v>87000000</v>
      </c>
      <c r="I51" s="18"/>
      <c r="J51" s="17"/>
    </row>
    <row r="52" spans="1:26" s="7" customFormat="1" ht="18" customHeight="1" thickBot="1">
      <c r="A52" s="15"/>
      <c r="B52" s="14"/>
      <c r="C52" s="14"/>
      <c r="D52" s="13"/>
      <c r="E52" s="13"/>
      <c r="F52" s="12"/>
      <c r="G52" s="10"/>
      <c r="H52" s="11"/>
      <c r="I52" s="9"/>
      <c r="J52" s="8"/>
    </row>
    <row r="54" spans="1:26" ht="24.9" customHeight="1" thickBot="1"/>
    <row r="55" spans="1:26" ht="20.25" customHeight="1">
      <c r="J55" s="117" t="s">
        <v>44</v>
      </c>
      <c r="K55" s="200"/>
      <c r="L55" s="201"/>
      <c r="M55" s="118" t="s">
        <v>45</v>
      </c>
      <c r="N55" s="200"/>
      <c r="O55" s="201"/>
      <c r="P55" s="119" t="s">
        <v>46</v>
      </c>
      <c r="Q55" s="202"/>
      <c r="R55" s="203"/>
      <c r="S55" s="203"/>
      <c r="T55" s="203"/>
      <c r="U55" s="203"/>
      <c r="V55" s="204"/>
      <c r="W55" s="120" t="s">
        <v>42</v>
      </c>
      <c r="X55" s="129"/>
      <c r="Y55" s="130"/>
      <c r="Z55" s="131"/>
    </row>
    <row r="56" spans="1:26" ht="6" customHeight="1">
      <c r="J56" s="205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7"/>
    </row>
    <row r="57" spans="1:26" ht="19.5" customHeight="1" thickBot="1">
      <c r="J57" s="121" t="s">
        <v>47</v>
      </c>
      <c r="K57" s="122" t="s">
        <v>51</v>
      </c>
      <c r="L57" s="208" t="str">
        <f>NUMBERSTRING($U$37,1)</f>
        <v>영</v>
      </c>
      <c r="M57" s="208"/>
      <c r="N57" s="208"/>
      <c r="O57" s="208"/>
      <c r="P57" s="123" t="s">
        <v>48</v>
      </c>
      <c r="Q57" s="125" t="s">
        <v>49</v>
      </c>
      <c r="R57" s="209">
        <f>H50</f>
        <v>87053758.549999997</v>
      </c>
      <c r="S57" s="210"/>
      <c r="T57" s="126" t="s">
        <v>50</v>
      </c>
      <c r="U57" s="127"/>
      <c r="V57" s="128"/>
      <c r="W57" s="124" t="s">
        <v>43</v>
      </c>
      <c r="X57" s="132"/>
      <c r="Y57" s="133"/>
      <c r="Z57" s="134"/>
    </row>
  </sheetData>
  <mergeCells count="21">
    <mergeCell ref="U39:V39"/>
    <mergeCell ref="A30:F30"/>
    <mergeCell ref="A9:I9"/>
    <mergeCell ref="A4:I4"/>
    <mergeCell ref="A20:I20"/>
    <mergeCell ref="A25:F25"/>
    <mergeCell ref="A26:F26"/>
    <mergeCell ref="A27:F27"/>
    <mergeCell ref="A28:F28"/>
    <mergeCell ref="A29:F29"/>
    <mergeCell ref="A23:F23"/>
    <mergeCell ref="N55:O55"/>
    <mergeCell ref="Q55:V55"/>
    <mergeCell ref="J56:Z56"/>
    <mergeCell ref="L57:O57"/>
    <mergeCell ref="R57:S57"/>
    <mergeCell ref="B42:C42"/>
    <mergeCell ref="B43:C43"/>
    <mergeCell ref="B44:C44"/>
    <mergeCell ref="B45:C45"/>
    <mergeCell ref="K55:L55"/>
  </mergeCells>
  <phoneticPr fontId="1" type="noConversion"/>
  <pageMargins left="1.0236220472440944" right="1.0629921259842521" top="0.86614173228346458" bottom="0.94488188976377963" header="0.51181102362204722" footer="0.51181102362204722"/>
  <pageSetup paperSize="9" scale="70" fitToHeight="2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218"/>
  <sheetViews>
    <sheetView view="pageBreakPreview" zoomScale="90" zoomScaleSheetLayoutView="90" workbookViewId="0">
      <pane ySplit="1" topLeftCell="A170" activePane="bottomLeft" state="frozen"/>
      <selection pane="bottomLeft" activeCell="I168" sqref="I168"/>
    </sheetView>
  </sheetViews>
  <sheetFormatPr defaultColWidth="9" defaultRowHeight="24" customHeight="1"/>
  <cols>
    <col min="1" max="1" width="4.59765625" style="88" customWidth="1"/>
    <col min="2" max="2" width="25.5" style="90" customWidth="1"/>
    <col min="3" max="3" width="27.3984375" style="90" customWidth="1"/>
    <col min="4" max="4" width="10.59765625" style="90" customWidth="1"/>
    <col min="5" max="5" width="7.3984375" style="89" customWidth="1"/>
    <col min="6" max="6" width="6.59765625" style="88" customWidth="1"/>
    <col min="7" max="7" width="11.59765625" style="87" customWidth="1"/>
    <col min="8" max="8" width="15.59765625" style="87" customWidth="1"/>
    <col min="9" max="9" width="11.59765625" style="87" customWidth="1"/>
    <col min="10" max="10" width="15.59765625" style="87" customWidth="1"/>
    <col min="11" max="11" width="11.59765625" style="87" customWidth="1"/>
    <col min="12" max="12" width="15.59765625" style="87" customWidth="1"/>
    <col min="13" max="13" width="8.09765625" style="87" customWidth="1"/>
    <col min="14" max="14" width="14" style="86" customWidth="1"/>
    <col min="15" max="16384" width="9" style="86"/>
  </cols>
  <sheetData>
    <row r="1" spans="1:13" ht="24" customHeight="1">
      <c r="A1" s="196" t="s">
        <v>40</v>
      </c>
      <c r="B1" s="181" t="s">
        <v>39</v>
      </c>
      <c r="C1" s="181" t="s">
        <v>38</v>
      </c>
      <c r="D1" s="181" t="s">
        <v>129</v>
      </c>
      <c r="E1" s="182" t="s">
        <v>36</v>
      </c>
      <c r="F1" s="181" t="s">
        <v>35</v>
      </c>
      <c r="G1" s="219" t="s">
        <v>34</v>
      </c>
      <c r="H1" s="220"/>
      <c r="I1" s="219" t="s">
        <v>33</v>
      </c>
      <c r="J1" s="220"/>
      <c r="K1" s="219" t="s">
        <v>32</v>
      </c>
      <c r="L1" s="220"/>
      <c r="M1" s="186" t="s">
        <v>31</v>
      </c>
    </row>
    <row r="2" spans="1:13" ht="24" customHeight="1" thickBot="1">
      <c r="A2" s="197" t="s">
        <v>302</v>
      </c>
      <c r="B2" s="183" t="s">
        <v>125</v>
      </c>
      <c r="C2" s="183" t="s">
        <v>126</v>
      </c>
      <c r="D2" s="185" t="s">
        <v>37</v>
      </c>
      <c r="E2" s="183" t="s">
        <v>127</v>
      </c>
      <c r="F2" s="183" t="s">
        <v>128</v>
      </c>
      <c r="G2" s="175" t="s">
        <v>30</v>
      </c>
      <c r="H2" s="175" t="s">
        <v>29</v>
      </c>
      <c r="I2" s="175" t="s">
        <v>30</v>
      </c>
      <c r="J2" s="175" t="s">
        <v>29</v>
      </c>
      <c r="K2" s="175" t="s">
        <v>30</v>
      </c>
      <c r="L2" s="175" t="s">
        <v>29</v>
      </c>
      <c r="M2" s="187" t="s">
        <v>130</v>
      </c>
    </row>
    <row r="3" spans="1:13" ht="24" customHeight="1" thickTop="1">
      <c r="A3" s="103" t="s">
        <v>28</v>
      </c>
      <c r="B3" s="104" t="s">
        <v>27</v>
      </c>
      <c r="C3" s="95"/>
      <c r="D3" s="184"/>
      <c r="E3" s="94"/>
      <c r="F3" s="93"/>
      <c r="G3" s="92"/>
      <c r="H3" s="92"/>
      <c r="I3" s="92"/>
      <c r="J3" s="92"/>
      <c r="K3" s="92"/>
      <c r="L3" s="92"/>
      <c r="M3" s="91"/>
    </row>
    <row r="4" spans="1:13" ht="24" customHeight="1">
      <c r="A4" s="149">
        <v>1</v>
      </c>
      <c r="B4" s="145" t="s">
        <v>59</v>
      </c>
      <c r="C4" s="95"/>
      <c r="D4" s="95"/>
      <c r="E4" s="94">
        <f>1</f>
        <v>1</v>
      </c>
      <c r="F4" s="93" t="s">
        <v>25</v>
      </c>
      <c r="G4" s="92"/>
      <c r="H4" s="92">
        <f>H39</f>
        <v>903975</v>
      </c>
      <c r="I4" s="92"/>
      <c r="J4" s="92">
        <f>J39</f>
        <v>849540</v>
      </c>
      <c r="K4" s="92"/>
      <c r="L4" s="92">
        <f>L39</f>
        <v>1753515</v>
      </c>
      <c r="M4" s="91"/>
    </row>
    <row r="5" spans="1:13" ht="24" customHeight="1">
      <c r="A5" s="150">
        <v>2</v>
      </c>
      <c r="B5" s="146" t="s">
        <v>107</v>
      </c>
      <c r="C5" s="95"/>
      <c r="D5" s="95"/>
      <c r="E5" s="94">
        <f>1</f>
        <v>1</v>
      </c>
      <c r="F5" s="93" t="s">
        <v>25</v>
      </c>
      <c r="G5" s="92"/>
      <c r="H5" s="92">
        <f>H56</f>
        <v>4046735</v>
      </c>
      <c r="I5" s="92"/>
      <c r="J5" s="92">
        <f>J56</f>
        <v>2041130</v>
      </c>
      <c r="K5" s="92"/>
      <c r="L5" s="92">
        <f>L56</f>
        <v>6087865</v>
      </c>
      <c r="M5" s="91"/>
    </row>
    <row r="6" spans="1:13" ht="24" customHeight="1">
      <c r="A6" s="150">
        <v>3</v>
      </c>
      <c r="B6" s="145" t="s">
        <v>54</v>
      </c>
      <c r="C6" s="95"/>
      <c r="D6" s="95"/>
      <c r="E6" s="94">
        <f>1</f>
        <v>1</v>
      </c>
      <c r="F6" s="93" t="s">
        <v>25</v>
      </c>
      <c r="G6" s="92"/>
      <c r="H6" s="92">
        <f>H82</f>
        <v>5606000</v>
      </c>
      <c r="I6" s="92"/>
      <c r="J6" s="92">
        <f>J82</f>
        <v>2800000</v>
      </c>
      <c r="K6" s="92"/>
      <c r="L6" s="92">
        <f>L82</f>
        <v>8406000</v>
      </c>
      <c r="M6" s="91"/>
    </row>
    <row r="7" spans="1:13" ht="24" customHeight="1">
      <c r="A7" s="150">
        <v>4</v>
      </c>
      <c r="B7" s="145" t="s">
        <v>171</v>
      </c>
      <c r="C7" s="95"/>
      <c r="D7" s="95"/>
      <c r="E7" s="94">
        <f>1</f>
        <v>1</v>
      </c>
      <c r="F7" s="93" t="s">
        <v>25</v>
      </c>
      <c r="G7" s="92"/>
      <c r="H7" s="92">
        <f>H112</f>
        <v>3250009</v>
      </c>
      <c r="I7" s="92"/>
      <c r="J7" s="92">
        <f>J112</f>
        <v>1450000</v>
      </c>
      <c r="K7" s="92"/>
      <c r="L7" s="92">
        <f>L112</f>
        <v>4700009</v>
      </c>
      <c r="M7" s="91"/>
    </row>
    <row r="8" spans="1:13" ht="24" customHeight="1">
      <c r="A8" s="151">
        <v>5</v>
      </c>
      <c r="B8" s="147" t="s">
        <v>55</v>
      </c>
      <c r="C8" s="95"/>
      <c r="D8" s="95"/>
      <c r="E8" s="94">
        <f>1</f>
        <v>1</v>
      </c>
      <c r="F8" s="93" t="s">
        <v>25</v>
      </c>
      <c r="G8" s="92"/>
      <c r="H8" s="92">
        <f>H121</f>
        <v>1308611.5</v>
      </c>
      <c r="I8" s="92"/>
      <c r="J8" s="92">
        <f>J121</f>
        <v>2250000</v>
      </c>
      <c r="K8" s="92"/>
      <c r="L8" s="92">
        <f>L121</f>
        <v>3558611.5</v>
      </c>
      <c r="M8" s="91"/>
    </row>
    <row r="9" spans="1:13" ht="24" customHeight="1">
      <c r="A9" s="151">
        <v>6</v>
      </c>
      <c r="B9" s="146" t="s">
        <v>56</v>
      </c>
      <c r="C9" s="95"/>
      <c r="D9" s="95"/>
      <c r="E9" s="94">
        <f>1</f>
        <v>1</v>
      </c>
      <c r="F9" s="93" t="s">
        <v>25</v>
      </c>
      <c r="G9" s="92"/>
      <c r="H9" s="92">
        <f>H135</f>
        <v>2656000</v>
      </c>
      <c r="I9" s="92"/>
      <c r="J9" s="92">
        <f>J135</f>
        <v>2800000</v>
      </c>
      <c r="K9" s="92"/>
      <c r="L9" s="92">
        <f>L135</f>
        <v>5456000</v>
      </c>
      <c r="M9" s="91"/>
    </row>
    <row r="10" spans="1:13" ht="24" customHeight="1">
      <c r="A10" s="151">
        <v>7</v>
      </c>
      <c r="B10" s="148" t="s">
        <v>57</v>
      </c>
      <c r="C10" s="95"/>
      <c r="D10" s="95"/>
      <c r="E10" s="94">
        <f>1</f>
        <v>1</v>
      </c>
      <c r="F10" s="93" t="s">
        <v>25</v>
      </c>
      <c r="G10" s="92"/>
      <c r="H10" s="92">
        <f>H164</f>
        <v>3851600</v>
      </c>
      <c r="I10" s="92"/>
      <c r="J10" s="92">
        <f>J164</f>
        <v>500000</v>
      </c>
      <c r="K10" s="92"/>
      <c r="L10" s="92">
        <f>L164</f>
        <v>4351600</v>
      </c>
      <c r="M10" s="91"/>
    </row>
    <row r="11" spans="1:13" ht="24" customHeight="1">
      <c r="A11" s="151">
        <v>8</v>
      </c>
      <c r="B11" s="146" t="s">
        <v>58</v>
      </c>
      <c r="C11" s="95"/>
      <c r="D11" s="95"/>
      <c r="E11" s="94">
        <f>1</f>
        <v>1</v>
      </c>
      <c r="F11" s="93" t="s">
        <v>25</v>
      </c>
      <c r="G11" s="92"/>
      <c r="H11" s="92">
        <f>H169</f>
        <v>23220000</v>
      </c>
      <c r="I11" s="92"/>
      <c r="J11" s="92">
        <f>J169</f>
        <v>1550000</v>
      </c>
      <c r="K11" s="92"/>
      <c r="L11" s="92">
        <f>L169</f>
        <v>24770000</v>
      </c>
      <c r="M11" s="91"/>
    </row>
    <row r="12" spans="1:13" ht="24" customHeight="1">
      <c r="A12" s="151">
        <v>9</v>
      </c>
      <c r="B12" s="146" t="s">
        <v>53</v>
      </c>
      <c r="C12" s="95"/>
      <c r="D12" s="95"/>
      <c r="E12" s="94">
        <f>1</f>
        <v>1</v>
      </c>
      <c r="F12" s="93" t="s">
        <v>25</v>
      </c>
      <c r="G12" s="92"/>
      <c r="H12" s="92">
        <f>H189</f>
        <v>12977955</v>
      </c>
      <c r="I12" s="92"/>
      <c r="J12" s="92">
        <f>J189</f>
        <v>1550000</v>
      </c>
      <c r="K12" s="92"/>
      <c r="L12" s="92">
        <f>L189</f>
        <v>12977955</v>
      </c>
      <c r="M12" s="91"/>
    </row>
    <row r="13" spans="1:13" ht="24" customHeight="1">
      <c r="A13" s="151">
        <v>10</v>
      </c>
      <c r="B13" s="146" t="s">
        <v>113</v>
      </c>
      <c r="C13" s="95"/>
      <c r="D13" s="95"/>
      <c r="E13" s="94">
        <f>1</f>
        <v>1</v>
      </c>
      <c r="F13" s="93" t="s">
        <v>25</v>
      </c>
      <c r="G13" s="92"/>
      <c r="H13" s="92">
        <f>H196</f>
        <v>283180</v>
      </c>
      <c r="I13" s="92"/>
      <c r="J13" s="92">
        <f>J196</f>
        <v>495565</v>
      </c>
      <c r="K13" s="92"/>
      <c r="L13" s="92">
        <f>L196</f>
        <v>778745</v>
      </c>
      <c r="M13" s="91"/>
    </row>
    <row r="14" spans="1:13" ht="24" customHeight="1">
      <c r="A14" s="151">
        <v>11</v>
      </c>
      <c r="B14" s="146" t="s">
        <v>228</v>
      </c>
      <c r="C14" s="95"/>
      <c r="D14" s="95"/>
      <c r="E14" s="94">
        <f>1</f>
        <v>1</v>
      </c>
      <c r="F14" s="93" t="s">
        <v>25</v>
      </c>
      <c r="G14" s="92"/>
      <c r="H14" s="92">
        <f>H202</f>
        <v>3601280</v>
      </c>
      <c r="I14" s="92"/>
      <c r="J14" s="92">
        <f>J199</f>
        <v>1059200</v>
      </c>
      <c r="K14" s="92"/>
      <c r="L14" s="92">
        <f>L202</f>
        <v>4660480</v>
      </c>
      <c r="M14" s="91"/>
    </row>
    <row r="15" spans="1:13" ht="24" customHeight="1">
      <c r="A15" s="151">
        <v>12</v>
      </c>
      <c r="B15" s="146" t="s">
        <v>229</v>
      </c>
      <c r="C15" s="95"/>
      <c r="D15" s="95"/>
      <c r="E15" s="94">
        <f>1</f>
        <v>1</v>
      </c>
      <c r="F15" s="93" t="s">
        <v>25</v>
      </c>
      <c r="G15" s="92"/>
      <c r="H15" s="92">
        <f>H214</f>
        <v>1376500</v>
      </c>
      <c r="I15" s="92"/>
      <c r="J15" s="92">
        <f>J214</f>
        <v>262500</v>
      </c>
      <c r="K15" s="92"/>
      <c r="L15" s="92">
        <f>L214</f>
        <v>1639000</v>
      </c>
      <c r="M15" s="91"/>
    </row>
    <row r="16" spans="1:13" ht="24" customHeight="1">
      <c r="A16" s="151"/>
      <c r="B16" s="146"/>
      <c r="C16" s="95"/>
      <c r="D16" s="95"/>
      <c r="E16" s="94"/>
      <c r="F16" s="93"/>
      <c r="G16" s="92"/>
      <c r="H16" s="92"/>
      <c r="I16" s="92"/>
      <c r="J16" s="92"/>
      <c r="K16" s="92"/>
      <c r="L16" s="92"/>
      <c r="M16" s="91"/>
    </row>
    <row r="17" spans="1:14" ht="24" customHeight="1">
      <c r="A17" s="151"/>
      <c r="B17" s="146"/>
      <c r="C17" s="95"/>
      <c r="D17" s="95"/>
      <c r="E17" s="94"/>
      <c r="F17" s="93"/>
      <c r="G17" s="92"/>
      <c r="H17" s="92"/>
      <c r="I17" s="92"/>
      <c r="J17" s="92"/>
      <c r="K17" s="92"/>
      <c r="L17" s="92"/>
      <c r="M17" s="91"/>
    </row>
    <row r="18" spans="1:14" ht="24" customHeight="1">
      <c r="A18" s="151"/>
      <c r="B18" s="146"/>
      <c r="C18" s="95"/>
      <c r="D18" s="95"/>
      <c r="E18" s="94"/>
      <c r="F18" s="93"/>
      <c r="G18" s="92"/>
      <c r="H18" s="92"/>
      <c r="I18" s="92"/>
      <c r="J18" s="92"/>
      <c r="K18" s="92"/>
      <c r="L18" s="92"/>
      <c r="M18" s="91"/>
    </row>
    <row r="19" spans="1:14" ht="24" customHeight="1">
      <c r="A19" s="151"/>
      <c r="B19" s="146"/>
      <c r="C19" s="95"/>
      <c r="D19" s="95"/>
      <c r="E19" s="94"/>
      <c r="F19" s="93"/>
      <c r="G19" s="92"/>
      <c r="H19" s="92"/>
      <c r="I19" s="92"/>
      <c r="J19" s="92"/>
      <c r="K19" s="92"/>
      <c r="L19" s="92"/>
      <c r="M19" s="91"/>
    </row>
    <row r="20" spans="1:14" ht="24" customHeight="1">
      <c r="A20" s="96"/>
      <c r="B20" s="101" t="s">
        <v>26</v>
      </c>
      <c r="C20" s="101"/>
      <c r="D20" s="101"/>
      <c r="E20" s="100"/>
      <c r="F20" s="99"/>
      <c r="G20" s="98"/>
      <c r="H20" s="98">
        <f>SUM(H4:H13)</f>
        <v>58104065.5</v>
      </c>
      <c r="I20" s="98"/>
      <c r="J20" s="98">
        <f>SUM(J4:J13)</f>
        <v>16286235</v>
      </c>
      <c r="K20" s="98"/>
      <c r="L20" s="98">
        <f>SUM(L4:L15)</f>
        <v>79139780.5</v>
      </c>
      <c r="M20" s="97"/>
    </row>
    <row r="21" spans="1:14" ht="24" customHeight="1">
      <c r="A21" s="96"/>
      <c r="B21" s="198"/>
      <c r="C21" s="199"/>
      <c r="D21" s="110"/>
      <c r="E21" s="109"/>
      <c r="F21" s="108"/>
      <c r="G21" s="107"/>
      <c r="H21" s="107"/>
      <c r="I21" s="107"/>
      <c r="J21" s="107"/>
      <c r="K21" s="107"/>
      <c r="L21" s="107"/>
      <c r="M21" s="91"/>
    </row>
    <row r="22" spans="1:14" ht="24" customHeight="1">
      <c r="A22" s="96"/>
      <c r="B22" s="198" t="s">
        <v>100</v>
      </c>
      <c r="C22" s="199"/>
      <c r="D22" s="110"/>
      <c r="E22" s="109">
        <f>1</f>
        <v>1</v>
      </c>
      <c r="F22" s="108" t="s">
        <v>25</v>
      </c>
      <c r="G22" s="107"/>
      <c r="H22" s="107">
        <v>0</v>
      </c>
      <c r="I22" s="107"/>
      <c r="J22" s="107"/>
      <c r="K22" s="107"/>
      <c r="L22" s="107"/>
      <c r="M22" s="91"/>
    </row>
    <row r="23" spans="1:14" ht="24" customHeight="1">
      <c r="A23" s="96"/>
      <c r="B23" s="198" t="s">
        <v>101</v>
      </c>
      <c r="C23" s="199"/>
      <c r="D23" s="110"/>
      <c r="E23" s="109">
        <f>1</f>
        <v>1</v>
      </c>
      <c r="F23" s="108" t="s">
        <v>25</v>
      </c>
      <c r="G23" s="107"/>
      <c r="H23" s="107">
        <v>0</v>
      </c>
      <c r="I23" s="107"/>
      <c r="J23" s="107"/>
      <c r="K23" s="107"/>
      <c r="L23" s="107"/>
      <c r="M23" s="91"/>
    </row>
    <row r="24" spans="1:14" ht="24" customHeight="1">
      <c r="A24" s="96"/>
      <c r="B24" s="198" t="s">
        <v>102</v>
      </c>
      <c r="C24" s="199"/>
      <c r="D24" s="110"/>
      <c r="E24" s="109">
        <f>1</f>
        <v>1</v>
      </c>
      <c r="F24" s="108" t="s">
        <v>25</v>
      </c>
      <c r="G24" s="107"/>
      <c r="H24" s="107">
        <v>0</v>
      </c>
      <c r="I24" s="107"/>
      <c r="J24" s="107"/>
      <c r="K24" s="107"/>
      <c r="L24" s="107"/>
      <c r="M24" s="91"/>
    </row>
    <row r="25" spans="1:14" ht="24" customHeight="1">
      <c r="A25" s="96"/>
      <c r="B25" s="198" t="s">
        <v>135</v>
      </c>
      <c r="C25" s="199"/>
      <c r="D25" s="110"/>
      <c r="E25" s="109">
        <f>1</f>
        <v>1</v>
      </c>
      <c r="F25" s="108" t="s">
        <v>25</v>
      </c>
      <c r="G25" s="107"/>
      <c r="H25" s="107">
        <v>0</v>
      </c>
      <c r="I25" s="107"/>
      <c r="J25" s="107"/>
      <c r="K25" s="107"/>
      <c r="L25" s="107">
        <f>L20*10%</f>
        <v>7913978.0500000007</v>
      </c>
      <c r="M25" s="91"/>
    </row>
    <row r="26" spans="1:14" ht="24" customHeight="1">
      <c r="A26" s="96"/>
      <c r="B26" s="101" t="s">
        <v>24</v>
      </c>
      <c r="C26" s="101"/>
      <c r="D26" s="101"/>
      <c r="E26" s="100"/>
      <c r="F26" s="99"/>
      <c r="G26" s="98"/>
      <c r="H26" s="98">
        <f>SUM(E26:G26)</f>
        <v>0</v>
      </c>
      <c r="I26" s="98"/>
      <c r="J26" s="98">
        <f>SUM(G26:I26)</f>
        <v>0</v>
      </c>
      <c r="K26" s="98"/>
      <c r="L26" s="98">
        <f>SUM(L21:L25)</f>
        <v>7913978.0500000007</v>
      </c>
      <c r="M26" s="97"/>
    </row>
    <row r="27" spans="1:14" ht="24" customHeight="1">
      <c r="A27" s="195"/>
      <c r="B27" s="176" t="s">
        <v>23</v>
      </c>
      <c r="C27" s="176"/>
      <c r="D27" s="176"/>
      <c r="E27" s="177"/>
      <c r="F27" s="178"/>
      <c r="G27" s="179"/>
      <c r="H27" s="179">
        <f>H20+H26</f>
        <v>58104065.5</v>
      </c>
      <c r="I27" s="179"/>
      <c r="J27" s="179">
        <f>J20+J26</f>
        <v>16286235</v>
      </c>
      <c r="K27" s="179"/>
      <c r="L27" s="179">
        <f>L20+L26</f>
        <v>87053758.549999997</v>
      </c>
      <c r="M27" s="180"/>
      <c r="N27" s="106"/>
    </row>
    <row r="28" spans="1:14" ht="24" customHeight="1">
      <c r="A28" s="96"/>
      <c r="B28" s="95"/>
      <c r="C28" s="95"/>
      <c r="D28" s="95"/>
      <c r="E28" s="94"/>
      <c r="F28" s="93"/>
      <c r="G28" s="92"/>
      <c r="H28" s="92"/>
      <c r="I28" s="92"/>
      <c r="J28" s="92"/>
      <c r="K28" s="93" t="s">
        <v>22</v>
      </c>
      <c r="L28" s="105">
        <f>TRUNC(L27,-5)</f>
        <v>87000000</v>
      </c>
      <c r="M28" s="91"/>
    </row>
    <row r="29" spans="1:14" ht="24" customHeight="1">
      <c r="A29" s="96"/>
      <c r="B29" s="104" t="s">
        <v>21</v>
      </c>
      <c r="C29" s="95"/>
      <c r="D29" s="95"/>
      <c r="E29" s="94"/>
      <c r="F29" s="93"/>
      <c r="G29" s="92"/>
      <c r="H29" s="92"/>
      <c r="I29" s="92"/>
      <c r="J29" s="92"/>
      <c r="K29" s="93"/>
      <c r="L29" s="92"/>
      <c r="M29" s="91"/>
    </row>
    <row r="30" spans="1:14" ht="24" customHeight="1">
      <c r="A30" s="96"/>
      <c r="B30" s="95" t="s">
        <v>124</v>
      </c>
      <c r="C30" s="95"/>
      <c r="D30" s="95"/>
      <c r="E30" s="94"/>
      <c r="F30" s="93"/>
      <c r="G30" s="92"/>
      <c r="H30" s="92"/>
      <c r="I30" s="92"/>
      <c r="J30" s="92"/>
      <c r="K30" s="93"/>
      <c r="L30" s="92"/>
      <c r="M30" s="91"/>
    </row>
    <row r="31" spans="1:14" ht="24" customHeight="1">
      <c r="A31" s="96"/>
      <c r="B31" s="95" t="s">
        <v>41</v>
      </c>
      <c r="C31" s="95"/>
      <c r="D31" s="95"/>
      <c r="E31" s="94"/>
      <c r="F31" s="93"/>
      <c r="G31" s="92"/>
      <c r="H31" s="92"/>
      <c r="I31" s="92"/>
      <c r="J31" s="92"/>
      <c r="K31" s="93"/>
      <c r="L31" s="92"/>
      <c r="M31" s="91"/>
    </row>
    <row r="32" spans="1:14" ht="24" customHeight="1">
      <c r="A32" s="102">
        <f>A4</f>
        <v>1</v>
      </c>
      <c r="B32" s="101" t="str">
        <f>B4</f>
        <v>가설 공사</v>
      </c>
      <c r="C32" s="101"/>
      <c r="D32" s="101"/>
      <c r="E32" s="100"/>
      <c r="F32" s="99"/>
      <c r="G32" s="98"/>
      <c r="H32" s="98"/>
      <c r="I32" s="98"/>
      <c r="J32" s="98"/>
      <c r="K32" s="98"/>
      <c r="L32" s="98"/>
      <c r="M32" s="97"/>
      <c r="N32" s="189" t="s">
        <v>137</v>
      </c>
    </row>
    <row r="33" spans="1:14" ht="24" customHeight="1">
      <c r="A33" s="96"/>
      <c r="B33" s="95" t="s">
        <v>108</v>
      </c>
      <c r="C33" s="95" t="s">
        <v>131</v>
      </c>
      <c r="D33" s="95"/>
      <c r="E33" s="94">
        <v>1</v>
      </c>
      <c r="F33" s="152" t="s">
        <v>109</v>
      </c>
      <c r="G33" s="92">
        <v>550000</v>
      </c>
      <c r="H33" s="92">
        <f>E33*G33</f>
        <v>550000</v>
      </c>
      <c r="I33" s="92"/>
      <c r="J33" s="92">
        <f t="shared" ref="J33:J37" si="0">E33*I33</f>
        <v>0</v>
      </c>
      <c r="K33" s="92">
        <f t="shared" ref="K33:L34" si="1">G33+I33</f>
        <v>550000</v>
      </c>
      <c r="L33" s="92">
        <f t="shared" si="1"/>
        <v>550000</v>
      </c>
      <c r="M33" s="91"/>
      <c r="N33" s="190"/>
    </row>
    <row r="34" spans="1:14" ht="24" customHeight="1">
      <c r="A34" s="96"/>
      <c r="B34" s="95" t="s">
        <v>71</v>
      </c>
      <c r="C34" s="95" t="s">
        <v>132</v>
      </c>
      <c r="D34" s="93" t="s">
        <v>139</v>
      </c>
      <c r="E34" s="188">
        <v>141.59</v>
      </c>
      <c r="F34" s="152" t="s">
        <v>76</v>
      </c>
      <c r="G34" s="92">
        <v>1500</v>
      </c>
      <c r="H34" s="92">
        <f>E34*G34</f>
        <v>212385</v>
      </c>
      <c r="I34" s="92"/>
      <c r="J34" s="92">
        <f t="shared" si="0"/>
        <v>0</v>
      </c>
      <c r="K34" s="92">
        <f t="shared" si="1"/>
        <v>1500</v>
      </c>
      <c r="L34" s="92">
        <f t="shared" si="1"/>
        <v>212385</v>
      </c>
      <c r="M34" s="91"/>
      <c r="N34" s="190"/>
    </row>
    <row r="35" spans="1:14" ht="24" customHeight="1">
      <c r="A35" s="96"/>
      <c r="B35" s="95" t="s">
        <v>72</v>
      </c>
      <c r="C35" s="95"/>
      <c r="D35" s="95"/>
      <c r="E35" s="188">
        <v>141.59</v>
      </c>
      <c r="F35" s="152" t="s">
        <v>76</v>
      </c>
      <c r="G35" s="92">
        <v>1000</v>
      </c>
      <c r="H35" s="92">
        <f t="shared" ref="H35:H36" si="2">E35*G35</f>
        <v>141590</v>
      </c>
      <c r="I35" s="92">
        <v>3000</v>
      </c>
      <c r="J35" s="92">
        <f t="shared" si="0"/>
        <v>424770</v>
      </c>
      <c r="K35" s="92">
        <f t="shared" ref="K35:K38" si="3">G35+I35</f>
        <v>4000</v>
      </c>
      <c r="L35" s="92">
        <f t="shared" ref="L35:L38" si="4">H35+J35</f>
        <v>566360</v>
      </c>
      <c r="M35" s="91"/>
      <c r="N35" s="190"/>
    </row>
    <row r="36" spans="1:14" ht="24" customHeight="1">
      <c r="A36" s="96"/>
      <c r="B36" s="95" t="s">
        <v>73</v>
      </c>
      <c r="C36" s="95"/>
      <c r="D36" s="95"/>
      <c r="E36" s="188">
        <v>141.59</v>
      </c>
      <c r="F36" s="152" t="s">
        <v>76</v>
      </c>
      <c r="G36" s="92"/>
      <c r="H36" s="92">
        <f t="shared" si="2"/>
        <v>0</v>
      </c>
      <c r="I36" s="92">
        <v>1000</v>
      </c>
      <c r="J36" s="92">
        <f t="shared" si="0"/>
        <v>141590</v>
      </c>
      <c r="K36" s="92">
        <f t="shared" si="3"/>
        <v>1000</v>
      </c>
      <c r="L36" s="92">
        <f t="shared" si="4"/>
        <v>141590</v>
      </c>
      <c r="M36" s="91"/>
      <c r="N36" s="190"/>
    </row>
    <row r="37" spans="1:14" ht="24" customHeight="1">
      <c r="A37" s="96"/>
      <c r="B37" s="95" t="s">
        <v>133</v>
      </c>
      <c r="C37" s="95"/>
      <c r="D37" s="95"/>
      <c r="E37" s="188">
        <v>141.59</v>
      </c>
      <c r="F37" s="152" t="s">
        <v>76</v>
      </c>
      <c r="G37" s="92"/>
      <c r="H37" s="92">
        <f t="shared" ref="H37" si="5">E37*G37</f>
        <v>0</v>
      </c>
      <c r="I37" s="92">
        <v>2000</v>
      </c>
      <c r="J37" s="92">
        <f t="shared" si="0"/>
        <v>283180</v>
      </c>
      <c r="K37" s="92">
        <f t="shared" ref="K37" si="6">G37+I37</f>
        <v>2000</v>
      </c>
      <c r="L37" s="92">
        <f t="shared" ref="L37" si="7">H37+J37</f>
        <v>283180</v>
      </c>
      <c r="M37" s="91"/>
      <c r="N37" s="190"/>
    </row>
    <row r="38" spans="1:14" ht="24" customHeight="1">
      <c r="A38" s="96"/>
      <c r="B38" s="95"/>
      <c r="C38" s="95"/>
      <c r="D38" s="95"/>
      <c r="E38" s="94"/>
      <c r="F38" s="93"/>
      <c r="G38" s="92"/>
      <c r="H38" s="92"/>
      <c r="I38" s="92"/>
      <c r="J38" s="92"/>
      <c r="K38" s="92">
        <f t="shared" si="3"/>
        <v>0</v>
      </c>
      <c r="L38" s="92">
        <f t="shared" si="4"/>
        <v>0</v>
      </c>
      <c r="M38" s="91"/>
      <c r="N38" s="190"/>
    </row>
    <row r="39" spans="1:14" ht="24" customHeight="1">
      <c r="A39" s="96"/>
      <c r="B39" s="95" t="s">
        <v>20</v>
      </c>
      <c r="C39" s="95"/>
      <c r="D39" s="95"/>
      <c r="E39" s="94"/>
      <c r="F39" s="93"/>
      <c r="G39" s="92"/>
      <c r="H39" s="92">
        <f>SUM(H33:H38)</f>
        <v>903975</v>
      </c>
      <c r="I39" s="92"/>
      <c r="J39" s="92">
        <f>SUM(J33:J38)</f>
        <v>849540</v>
      </c>
      <c r="K39" s="92"/>
      <c r="L39" s="92">
        <f>SUM(L33:L38)</f>
        <v>1753515</v>
      </c>
      <c r="M39" s="91"/>
      <c r="N39" s="190"/>
    </row>
    <row r="40" spans="1:14" ht="24" customHeight="1">
      <c r="A40" s="96"/>
      <c r="B40" s="95"/>
      <c r="C40" s="95"/>
      <c r="D40" s="95"/>
      <c r="E40" s="94"/>
      <c r="F40" s="93"/>
      <c r="G40" s="92"/>
      <c r="H40" s="92"/>
      <c r="I40" s="92"/>
      <c r="J40" s="92"/>
      <c r="K40" s="92"/>
      <c r="L40" s="92"/>
      <c r="M40" s="91"/>
      <c r="N40" s="190"/>
    </row>
    <row r="41" spans="1:14" ht="24" customHeight="1">
      <c r="A41" s="102">
        <f>A5</f>
        <v>2</v>
      </c>
      <c r="B41" s="101" t="str">
        <f>B5</f>
        <v>철거,설비 공사</v>
      </c>
      <c r="C41" s="101"/>
      <c r="D41" s="101"/>
      <c r="E41" s="100"/>
      <c r="F41" s="99"/>
      <c r="G41" s="98"/>
      <c r="H41" s="98"/>
      <c r="I41" s="98"/>
      <c r="J41" s="98"/>
      <c r="K41" s="98"/>
      <c r="L41" s="98"/>
      <c r="M41" s="97"/>
      <c r="N41" s="190"/>
    </row>
    <row r="42" spans="1:14" ht="24" customHeight="1">
      <c r="A42" s="96"/>
      <c r="B42" s="95" t="s">
        <v>81</v>
      </c>
      <c r="C42" s="143" t="s">
        <v>241</v>
      </c>
      <c r="D42" s="95"/>
      <c r="E42" s="188">
        <v>141.59</v>
      </c>
      <c r="F42" s="152" t="s">
        <v>76</v>
      </c>
      <c r="G42" s="92">
        <v>2500</v>
      </c>
      <c r="H42" s="92">
        <f>E42*G42</f>
        <v>353975</v>
      </c>
      <c r="I42" s="92">
        <v>7000</v>
      </c>
      <c r="J42" s="92">
        <f t="shared" ref="J42:J52" si="8">E42*I42</f>
        <v>991130</v>
      </c>
      <c r="K42" s="92">
        <f t="shared" ref="K42:L44" si="9">G42+I42</f>
        <v>9500</v>
      </c>
      <c r="L42" s="92">
        <f t="shared" si="9"/>
        <v>1345105</v>
      </c>
      <c r="M42" s="91"/>
      <c r="N42" s="190"/>
    </row>
    <row r="43" spans="1:14" ht="24" customHeight="1">
      <c r="A43" s="96"/>
      <c r="B43" s="95" t="s">
        <v>145</v>
      </c>
      <c r="C43" s="143" t="s">
        <v>146</v>
      </c>
      <c r="D43" s="95"/>
      <c r="E43" s="188">
        <v>1</v>
      </c>
      <c r="F43" s="152" t="s">
        <v>147</v>
      </c>
      <c r="G43" s="92">
        <v>150000</v>
      </c>
      <c r="H43" s="92">
        <f>E43*G43</f>
        <v>150000</v>
      </c>
      <c r="I43" s="92">
        <v>150000</v>
      </c>
      <c r="J43" s="92">
        <f t="shared" si="8"/>
        <v>150000</v>
      </c>
      <c r="K43" s="92">
        <f t="shared" si="9"/>
        <v>300000</v>
      </c>
      <c r="L43" s="92">
        <f t="shared" si="9"/>
        <v>300000</v>
      </c>
      <c r="M43" s="91"/>
      <c r="N43" s="190"/>
    </row>
    <row r="44" spans="1:14" ht="24" customHeight="1">
      <c r="A44" s="96"/>
      <c r="B44" s="95" t="s">
        <v>240</v>
      </c>
      <c r="C44" s="143" t="s">
        <v>146</v>
      </c>
      <c r="D44" s="95"/>
      <c r="E44" s="188">
        <v>1</v>
      </c>
      <c r="F44" s="152" t="s">
        <v>8</v>
      </c>
      <c r="G44" s="92">
        <v>100000</v>
      </c>
      <c r="H44" s="92">
        <f>E44*G44</f>
        <v>100000</v>
      </c>
      <c r="I44" s="92">
        <v>150000</v>
      </c>
      <c r="J44" s="92">
        <f t="shared" si="8"/>
        <v>150000</v>
      </c>
      <c r="K44" s="92">
        <f t="shared" si="9"/>
        <v>250000</v>
      </c>
      <c r="L44" s="92">
        <f t="shared" si="9"/>
        <v>250000</v>
      </c>
      <c r="M44" s="91"/>
      <c r="N44" s="190"/>
    </row>
    <row r="45" spans="1:14" ht="24" customHeight="1">
      <c r="A45" s="96"/>
      <c r="B45" s="153" t="s">
        <v>82</v>
      </c>
      <c r="C45" s="143" t="s">
        <v>324</v>
      </c>
      <c r="D45" s="95"/>
      <c r="E45" s="94">
        <v>2</v>
      </c>
      <c r="F45" s="152" t="s">
        <v>134</v>
      </c>
      <c r="G45" s="92">
        <v>100000</v>
      </c>
      <c r="H45" s="92">
        <f t="shared" ref="H45:H46" si="10">E45*G45</f>
        <v>200000</v>
      </c>
      <c r="I45" s="92">
        <v>150000</v>
      </c>
      <c r="J45" s="92">
        <f>E45*I45</f>
        <v>300000</v>
      </c>
      <c r="K45" s="92">
        <f t="shared" ref="K45:K46" si="11">G45+I45</f>
        <v>250000</v>
      </c>
      <c r="L45" s="92">
        <f t="shared" ref="L45:L46" si="12">H45+J45</f>
        <v>500000</v>
      </c>
      <c r="M45" s="91"/>
      <c r="N45" s="190"/>
    </row>
    <row r="46" spans="1:14" ht="24" customHeight="1">
      <c r="A46" s="96"/>
      <c r="B46" s="153" t="s">
        <v>144</v>
      </c>
      <c r="C46" s="143" t="s">
        <v>307</v>
      </c>
      <c r="D46" s="95"/>
      <c r="E46" s="94">
        <v>105.92</v>
      </c>
      <c r="F46" s="152" t="s">
        <v>111</v>
      </c>
      <c r="G46" s="92">
        <v>3000</v>
      </c>
      <c r="H46" s="92">
        <f t="shared" si="10"/>
        <v>317760</v>
      </c>
      <c r="I46" s="92"/>
      <c r="J46" s="92">
        <f t="shared" si="8"/>
        <v>0</v>
      </c>
      <c r="K46" s="92">
        <f t="shared" si="11"/>
        <v>3000</v>
      </c>
      <c r="L46" s="92">
        <f t="shared" si="12"/>
        <v>317760</v>
      </c>
      <c r="M46" s="192"/>
      <c r="N46" s="190"/>
    </row>
    <row r="47" spans="1:14" ht="24" customHeight="1">
      <c r="A47" s="96"/>
      <c r="B47" s="153" t="s">
        <v>242</v>
      </c>
      <c r="C47" s="143" t="s">
        <v>141</v>
      </c>
      <c r="D47" s="95"/>
      <c r="E47" s="94">
        <v>2</v>
      </c>
      <c r="F47" s="152" t="s">
        <v>134</v>
      </c>
      <c r="G47" s="92">
        <v>100000</v>
      </c>
      <c r="H47" s="92">
        <f t="shared" ref="H47:H52" si="13">E47*G47</f>
        <v>200000</v>
      </c>
      <c r="I47" s="92">
        <v>150000</v>
      </c>
      <c r="J47" s="92">
        <f t="shared" si="8"/>
        <v>300000</v>
      </c>
      <c r="K47" s="92">
        <f t="shared" ref="K47:K52" si="14">G47+I47</f>
        <v>250000</v>
      </c>
      <c r="L47" s="92">
        <f t="shared" ref="L47:L52" si="15">H47+J47</f>
        <v>500000</v>
      </c>
      <c r="M47" s="91"/>
      <c r="N47" s="190"/>
    </row>
    <row r="48" spans="1:14" ht="24" customHeight="1">
      <c r="A48" s="96"/>
      <c r="B48" s="153" t="s">
        <v>317</v>
      </c>
      <c r="C48" s="143" t="s">
        <v>141</v>
      </c>
      <c r="D48" s="95"/>
      <c r="E48" s="94">
        <v>1</v>
      </c>
      <c r="F48" s="152" t="s">
        <v>134</v>
      </c>
      <c r="G48" s="92">
        <v>100000</v>
      </c>
      <c r="H48" s="92">
        <f t="shared" ref="H48" si="16">E48*G48</f>
        <v>100000</v>
      </c>
      <c r="I48" s="92">
        <v>150000</v>
      </c>
      <c r="J48" s="92">
        <f t="shared" ref="J48" si="17">E48*I48</f>
        <v>150000</v>
      </c>
      <c r="K48" s="92">
        <f t="shared" ref="K48" si="18">G48+I48</f>
        <v>250000</v>
      </c>
      <c r="L48" s="92">
        <f t="shared" ref="L48" si="19">H48+J48</f>
        <v>250000</v>
      </c>
      <c r="M48" s="91"/>
      <c r="N48" s="190"/>
    </row>
    <row r="49" spans="1:14" ht="24" customHeight="1">
      <c r="A49" s="96"/>
      <c r="B49" s="153" t="s">
        <v>243</v>
      </c>
      <c r="C49" s="143" t="s">
        <v>142</v>
      </c>
      <c r="D49" s="93" t="s">
        <v>143</v>
      </c>
      <c r="E49" s="94">
        <v>9</v>
      </c>
      <c r="F49" s="152" t="s">
        <v>111</v>
      </c>
      <c r="G49" s="92">
        <v>120000</v>
      </c>
      <c r="H49" s="92">
        <f t="shared" si="13"/>
        <v>1080000</v>
      </c>
      <c r="I49" s="92"/>
      <c r="J49" s="92">
        <f t="shared" si="8"/>
        <v>0</v>
      </c>
      <c r="K49" s="92">
        <f t="shared" si="14"/>
        <v>120000</v>
      </c>
      <c r="L49" s="92">
        <f t="shared" si="15"/>
        <v>1080000</v>
      </c>
      <c r="M49" s="171"/>
      <c r="N49" s="190"/>
    </row>
    <row r="50" spans="1:14" ht="24" customHeight="1">
      <c r="A50" s="96"/>
      <c r="B50" s="153" t="s">
        <v>118</v>
      </c>
      <c r="C50" s="143"/>
      <c r="D50" s="95"/>
      <c r="E50" s="94">
        <v>9</v>
      </c>
      <c r="F50" s="152" t="s">
        <v>111</v>
      </c>
      <c r="G50" s="92">
        <v>45000</v>
      </c>
      <c r="H50" s="92">
        <f t="shared" ref="H50" si="20">E50*G50</f>
        <v>405000</v>
      </c>
      <c r="I50" s="92"/>
      <c r="J50" s="92">
        <f t="shared" si="8"/>
        <v>0</v>
      </c>
      <c r="K50" s="92">
        <f t="shared" ref="K50" si="21">G50+I50</f>
        <v>45000</v>
      </c>
      <c r="L50" s="92">
        <f t="shared" ref="L50" si="22">H50+J50</f>
        <v>405000</v>
      </c>
      <c r="M50" s="171"/>
      <c r="N50" s="190"/>
    </row>
    <row r="51" spans="1:14" ht="24" customHeight="1">
      <c r="A51" s="96"/>
      <c r="B51" s="153" t="s">
        <v>148</v>
      </c>
      <c r="C51" s="143"/>
      <c r="D51" s="95"/>
      <c r="E51" s="94"/>
      <c r="F51" s="152" t="s">
        <v>134</v>
      </c>
      <c r="G51" s="92">
        <v>250000</v>
      </c>
      <c r="H51" s="92">
        <f t="shared" si="13"/>
        <v>0</v>
      </c>
      <c r="I51" s="92"/>
      <c r="J51" s="92">
        <f t="shared" si="8"/>
        <v>0</v>
      </c>
      <c r="K51" s="92">
        <f t="shared" si="14"/>
        <v>250000</v>
      </c>
      <c r="L51" s="92">
        <f t="shared" si="15"/>
        <v>0</v>
      </c>
      <c r="M51" s="192" t="s">
        <v>138</v>
      </c>
      <c r="N51" s="190"/>
    </row>
    <row r="52" spans="1:14" ht="24" customHeight="1">
      <c r="A52" s="96"/>
      <c r="B52" s="95" t="s">
        <v>74</v>
      </c>
      <c r="C52" s="95" t="s">
        <v>140</v>
      </c>
      <c r="D52" s="95"/>
      <c r="E52" s="94">
        <v>3</v>
      </c>
      <c r="F52" s="93" t="s">
        <v>75</v>
      </c>
      <c r="G52" s="92">
        <v>380000</v>
      </c>
      <c r="H52" s="92">
        <f t="shared" si="13"/>
        <v>1140000</v>
      </c>
      <c r="I52" s="92"/>
      <c r="J52" s="92">
        <f t="shared" si="8"/>
        <v>0</v>
      </c>
      <c r="K52" s="92">
        <f t="shared" si="14"/>
        <v>380000</v>
      </c>
      <c r="L52" s="92">
        <f t="shared" si="15"/>
        <v>1140000</v>
      </c>
      <c r="M52" s="91"/>
      <c r="N52" s="190"/>
    </row>
    <row r="53" spans="1:14" ht="24" customHeight="1">
      <c r="A53" s="96"/>
      <c r="B53" s="170" t="s">
        <v>112</v>
      </c>
      <c r="C53" s="95"/>
      <c r="D53" s="95"/>
      <c r="E53" s="94"/>
      <c r="F53" s="93"/>
      <c r="G53" s="92"/>
      <c r="H53" s="92"/>
      <c r="I53" s="92"/>
      <c r="J53" s="92"/>
      <c r="K53" s="92"/>
      <c r="L53" s="92"/>
      <c r="M53" s="91"/>
      <c r="N53" s="190"/>
    </row>
    <row r="54" spans="1:14" ht="24" customHeight="1">
      <c r="A54" s="96"/>
      <c r="B54" s="170" t="s">
        <v>116</v>
      </c>
      <c r="C54" s="95"/>
      <c r="D54" s="95"/>
      <c r="E54" s="94"/>
      <c r="F54" s="93"/>
      <c r="G54" s="92"/>
      <c r="H54" s="92"/>
      <c r="I54" s="92"/>
      <c r="J54" s="92"/>
      <c r="K54" s="92"/>
      <c r="L54" s="92"/>
      <c r="M54" s="91"/>
      <c r="N54" s="190"/>
    </row>
    <row r="55" spans="1:14" ht="24" customHeight="1">
      <c r="A55" s="96"/>
      <c r="B55" s="170"/>
      <c r="C55" s="95"/>
      <c r="D55" s="95"/>
      <c r="E55" s="94"/>
      <c r="F55" s="93"/>
      <c r="G55" s="92"/>
      <c r="H55" s="92"/>
      <c r="I55" s="92"/>
      <c r="J55" s="92"/>
      <c r="K55" s="92"/>
      <c r="L55" s="92"/>
      <c r="M55" s="91"/>
      <c r="N55" s="190"/>
    </row>
    <row r="56" spans="1:14" ht="24" customHeight="1">
      <c r="A56" s="96"/>
      <c r="B56" s="95" t="s">
        <v>20</v>
      </c>
      <c r="C56" s="95"/>
      <c r="D56" s="95"/>
      <c r="E56" s="94"/>
      <c r="F56" s="93"/>
      <c r="G56" s="92"/>
      <c r="H56" s="92">
        <f>SUM(H42:H55)</f>
        <v>4046735</v>
      </c>
      <c r="I56" s="92"/>
      <c r="J56" s="92">
        <f>SUM(J42:J55)</f>
        <v>2041130</v>
      </c>
      <c r="K56" s="92"/>
      <c r="L56" s="92">
        <f>SUM(L42:L55)</f>
        <v>6087865</v>
      </c>
      <c r="M56" s="91"/>
      <c r="N56" s="190"/>
    </row>
    <row r="57" spans="1:14" ht="24" customHeight="1">
      <c r="A57" s="96"/>
      <c r="B57" s="95"/>
      <c r="C57" s="95"/>
      <c r="D57" s="95"/>
      <c r="E57" s="94"/>
      <c r="F57" s="93"/>
      <c r="G57" s="92"/>
      <c r="H57" s="92"/>
      <c r="I57" s="92"/>
      <c r="J57" s="92"/>
      <c r="K57" s="92"/>
      <c r="L57" s="92"/>
      <c r="M57" s="91"/>
      <c r="N57" s="190"/>
    </row>
    <row r="58" spans="1:14" ht="24" customHeight="1">
      <c r="A58" s="102">
        <f>A6</f>
        <v>3</v>
      </c>
      <c r="B58" s="101" t="str">
        <f>B6</f>
        <v>목공 공사</v>
      </c>
      <c r="C58" s="101"/>
      <c r="D58" s="101"/>
      <c r="E58" s="100"/>
      <c r="F58" s="99"/>
      <c r="G58" s="98"/>
      <c r="H58" s="98"/>
      <c r="I58" s="98"/>
      <c r="J58" s="98"/>
      <c r="K58" s="98"/>
      <c r="L58" s="98"/>
      <c r="M58" s="97"/>
      <c r="N58" s="190"/>
    </row>
    <row r="59" spans="1:14" ht="24" customHeight="1">
      <c r="A59" s="96"/>
      <c r="B59" s="95" t="s">
        <v>149</v>
      </c>
      <c r="C59" s="95" t="s">
        <v>150</v>
      </c>
      <c r="D59" s="95"/>
      <c r="E59" s="94">
        <v>50</v>
      </c>
      <c r="F59" s="152" t="s">
        <v>88</v>
      </c>
      <c r="G59" s="92">
        <v>4000</v>
      </c>
      <c r="H59" s="92">
        <f t="shared" ref="H59:H78" si="23">E59*G59</f>
        <v>200000</v>
      </c>
      <c r="I59" s="92"/>
      <c r="J59" s="92">
        <f t="shared" ref="J59:J78" si="24">E59*I59</f>
        <v>0</v>
      </c>
      <c r="K59" s="92">
        <f t="shared" ref="K59:K78" si="25">G59+I59</f>
        <v>4000</v>
      </c>
      <c r="L59" s="92">
        <f t="shared" ref="L59:L78" si="26">H59+J59</f>
        <v>200000</v>
      </c>
      <c r="M59" s="91"/>
      <c r="N59" s="190"/>
    </row>
    <row r="60" spans="1:14" ht="24" customHeight="1">
      <c r="A60" s="96"/>
      <c r="B60" s="95" t="s">
        <v>151</v>
      </c>
      <c r="C60" s="95" t="s">
        <v>150</v>
      </c>
      <c r="D60" s="95"/>
      <c r="E60" s="94">
        <v>30</v>
      </c>
      <c r="F60" s="152" t="s">
        <v>88</v>
      </c>
      <c r="G60" s="92">
        <v>6000</v>
      </c>
      <c r="H60" s="92">
        <f t="shared" ref="H60:H71" si="27">E60*G60</f>
        <v>180000</v>
      </c>
      <c r="I60" s="92"/>
      <c r="J60" s="92">
        <f t="shared" ref="J60:J71" si="28">E60*I60</f>
        <v>0</v>
      </c>
      <c r="K60" s="92">
        <f t="shared" ref="K60:K71" si="29">G60+I60</f>
        <v>6000</v>
      </c>
      <c r="L60" s="92">
        <f t="shared" ref="L60:L71" si="30">H60+J60</f>
        <v>180000</v>
      </c>
      <c r="M60" s="91"/>
      <c r="N60" s="190"/>
    </row>
    <row r="61" spans="1:14" ht="24" customHeight="1">
      <c r="A61" s="96"/>
      <c r="B61" s="95" t="s">
        <v>152</v>
      </c>
      <c r="C61" s="95" t="s">
        <v>153</v>
      </c>
      <c r="D61" s="95"/>
      <c r="E61" s="94">
        <v>24</v>
      </c>
      <c r="F61" s="152" t="s">
        <v>154</v>
      </c>
      <c r="G61" s="92">
        <v>32500</v>
      </c>
      <c r="H61" s="92">
        <f t="shared" si="27"/>
        <v>780000</v>
      </c>
      <c r="I61" s="92"/>
      <c r="J61" s="92">
        <f t="shared" si="28"/>
        <v>0</v>
      </c>
      <c r="K61" s="92">
        <f t="shared" si="29"/>
        <v>32500</v>
      </c>
      <c r="L61" s="92">
        <f t="shared" si="30"/>
        <v>780000</v>
      </c>
      <c r="M61" s="91"/>
      <c r="N61" s="190"/>
    </row>
    <row r="62" spans="1:14" ht="24" customHeight="1">
      <c r="A62" s="96"/>
      <c r="B62" s="95" t="s">
        <v>155</v>
      </c>
      <c r="C62" s="95" t="s">
        <v>156</v>
      </c>
      <c r="D62" s="95"/>
      <c r="E62" s="94">
        <v>6</v>
      </c>
      <c r="F62" s="152" t="s">
        <v>88</v>
      </c>
      <c r="G62" s="92">
        <v>33000</v>
      </c>
      <c r="H62" s="92">
        <f t="shared" ref="H62" si="31">E62*G62</f>
        <v>198000</v>
      </c>
      <c r="I62" s="92"/>
      <c r="J62" s="92">
        <f t="shared" ref="J62" si="32">E62*I62</f>
        <v>0</v>
      </c>
      <c r="K62" s="92">
        <f t="shared" ref="K62" si="33">G62+I62</f>
        <v>33000</v>
      </c>
      <c r="L62" s="92">
        <f t="shared" ref="L62" si="34">H62+J62</f>
        <v>198000</v>
      </c>
      <c r="M62" s="91"/>
      <c r="N62" s="190"/>
    </row>
    <row r="63" spans="1:14" ht="24" customHeight="1">
      <c r="A63" s="96"/>
      <c r="B63" s="95"/>
      <c r="C63" s="95" t="s">
        <v>157</v>
      </c>
      <c r="D63" s="95"/>
      <c r="E63" s="94">
        <v>1</v>
      </c>
      <c r="F63" s="152" t="s">
        <v>88</v>
      </c>
      <c r="G63" s="92">
        <v>39500</v>
      </c>
      <c r="H63" s="92">
        <f t="shared" ref="H63:H64" si="35">E63*G63</f>
        <v>39500</v>
      </c>
      <c r="I63" s="92"/>
      <c r="J63" s="92">
        <f t="shared" ref="J63:J64" si="36">E63*I63</f>
        <v>0</v>
      </c>
      <c r="K63" s="92">
        <f t="shared" ref="K63:K64" si="37">G63+I63</f>
        <v>39500</v>
      </c>
      <c r="L63" s="92">
        <f t="shared" ref="L63:L64" si="38">H63+J63</f>
        <v>39500</v>
      </c>
      <c r="M63" s="91"/>
      <c r="N63" s="190"/>
    </row>
    <row r="64" spans="1:14" ht="24" customHeight="1">
      <c r="A64" s="96"/>
      <c r="B64" s="95" t="s">
        <v>158</v>
      </c>
      <c r="C64" s="95" t="s">
        <v>156</v>
      </c>
      <c r="D64" s="95"/>
      <c r="E64" s="94">
        <v>14</v>
      </c>
      <c r="F64" s="152" t="s">
        <v>88</v>
      </c>
      <c r="G64" s="92">
        <v>19500</v>
      </c>
      <c r="H64" s="92">
        <f t="shared" si="35"/>
        <v>273000</v>
      </c>
      <c r="I64" s="92"/>
      <c r="J64" s="92">
        <f t="shared" si="36"/>
        <v>0</v>
      </c>
      <c r="K64" s="92">
        <f t="shared" si="37"/>
        <v>19500</v>
      </c>
      <c r="L64" s="92">
        <f t="shared" si="38"/>
        <v>273000</v>
      </c>
      <c r="M64" s="91"/>
      <c r="N64" s="190"/>
    </row>
    <row r="65" spans="1:16" ht="24" customHeight="1">
      <c r="A65" s="96"/>
      <c r="B65" s="95"/>
      <c r="C65" s="95" t="s">
        <v>157</v>
      </c>
      <c r="D65" s="95"/>
      <c r="E65" s="94">
        <v>2</v>
      </c>
      <c r="F65" s="152" t="s">
        <v>88</v>
      </c>
      <c r="G65" s="92">
        <v>26500</v>
      </c>
      <c r="H65" s="92">
        <f t="shared" ref="H65" si="39">E65*G65</f>
        <v>53000</v>
      </c>
      <c r="I65" s="92"/>
      <c r="J65" s="92">
        <f t="shared" ref="J65" si="40">E65*I65</f>
        <v>0</v>
      </c>
      <c r="K65" s="92">
        <f t="shared" ref="K65" si="41">G65+I65</f>
        <v>26500</v>
      </c>
      <c r="L65" s="92">
        <f t="shared" ref="L65" si="42">H65+J65</f>
        <v>53000</v>
      </c>
      <c r="M65" s="91"/>
      <c r="N65" s="190"/>
    </row>
    <row r="66" spans="1:16" ht="24" customHeight="1">
      <c r="A66" s="96"/>
      <c r="B66" s="95"/>
      <c r="C66" s="95" t="s">
        <v>159</v>
      </c>
      <c r="D66" s="95"/>
      <c r="E66" s="94">
        <v>4</v>
      </c>
      <c r="F66" s="152" t="s">
        <v>88</v>
      </c>
      <c r="G66" s="92">
        <v>34500</v>
      </c>
      <c r="H66" s="92">
        <f t="shared" ref="H66" si="43">E66*G66</f>
        <v>138000</v>
      </c>
      <c r="I66" s="92"/>
      <c r="J66" s="92">
        <f t="shared" ref="J66" si="44">E66*I66</f>
        <v>0</v>
      </c>
      <c r="K66" s="92">
        <f t="shared" ref="K66" si="45">G66+I66</f>
        <v>34500</v>
      </c>
      <c r="L66" s="92">
        <f t="shared" ref="L66" si="46">H66+J66</f>
        <v>138000</v>
      </c>
      <c r="M66" s="91"/>
      <c r="N66" s="190"/>
      <c r="P66" s="193"/>
    </row>
    <row r="67" spans="1:16" ht="24" customHeight="1">
      <c r="A67" s="96"/>
      <c r="B67" s="95" t="s">
        <v>160</v>
      </c>
      <c r="C67" s="95" t="s">
        <v>161</v>
      </c>
      <c r="D67" s="95"/>
      <c r="E67" s="94">
        <v>6</v>
      </c>
      <c r="F67" s="152" t="s">
        <v>88</v>
      </c>
      <c r="G67" s="92">
        <v>7000</v>
      </c>
      <c r="H67" s="92">
        <f t="shared" ref="H67" si="47">E67*G67</f>
        <v>42000</v>
      </c>
      <c r="I67" s="92"/>
      <c r="J67" s="92">
        <f t="shared" ref="J67" si="48">E67*I67</f>
        <v>0</v>
      </c>
      <c r="K67" s="92">
        <f t="shared" ref="K67" si="49">G67+I67</f>
        <v>7000</v>
      </c>
      <c r="L67" s="92">
        <f t="shared" ref="L67" si="50">H67+J67</f>
        <v>42000</v>
      </c>
      <c r="M67" s="91"/>
      <c r="N67" s="190"/>
    </row>
    <row r="68" spans="1:16" ht="24" customHeight="1">
      <c r="A68" s="96"/>
      <c r="B68" s="95" t="s">
        <v>162</v>
      </c>
      <c r="C68" s="95" t="s">
        <v>164</v>
      </c>
      <c r="D68" s="95"/>
      <c r="E68" s="94">
        <v>2</v>
      </c>
      <c r="F68" s="152" t="s">
        <v>163</v>
      </c>
      <c r="G68" s="92">
        <v>160000</v>
      </c>
      <c r="H68" s="92">
        <f t="shared" ref="H68" si="51">E68*G68</f>
        <v>320000</v>
      </c>
      <c r="I68" s="92"/>
      <c r="J68" s="92">
        <f t="shared" ref="J68" si="52">E68*I68</f>
        <v>0</v>
      </c>
      <c r="K68" s="92">
        <f t="shared" ref="K68" si="53">G68+I68</f>
        <v>160000</v>
      </c>
      <c r="L68" s="92">
        <f t="shared" ref="L68" si="54">H68+J68</f>
        <v>320000</v>
      </c>
      <c r="M68" s="91"/>
      <c r="N68" s="190"/>
    </row>
    <row r="69" spans="1:16" ht="24" customHeight="1">
      <c r="A69" s="96"/>
      <c r="B69" s="95"/>
      <c r="C69" s="95"/>
      <c r="D69" s="95"/>
      <c r="E69" s="94"/>
      <c r="F69" s="152"/>
      <c r="G69" s="92"/>
      <c r="H69" s="92"/>
      <c r="I69" s="92"/>
      <c r="J69" s="92"/>
      <c r="K69" s="92"/>
      <c r="L69" s="92"/>
      <c r="M69" s="91"/>
      <c r="N69" s="190"/>
    </row>
    <row r="70" spans="1:16" ht="24" customHeight="1">
      <c r="A70" s="96"/>
      <c r="B70" s="95" t="s">
        <v>110</v>
      </c>
      <c r="C70" s="95"/>
      <c r="D70" s="93" t="s">
        <v>180</v>
      </c>
      <c r="E70" s="94">
        <v>55</v>
      </c>
      <c r="F70" s="152" t="s">
        <v>88</v>
      </c>
      <c r="G70" s="92">
        <v>3500</v>
      </c>
      <c r="H70" s="92">
        <f t="shared" si="27"/>
        <v>192500</v>
      </c>
      <c r="I70" s="92"/>
      <c r="J70" s="92">
        <f t="shared" si="28"/>
        <v>0</v>
      </c>
      <c r="K70" s="92">
        <f t="shared" si="29"/>
        <v>3500</v>
      </c>
      <c r="L70" s="92">
        <f t="shared" si="30"/>
        <v>192500</v>
      </c>
      <c r="M70" s="192"/>
      <c r="N70" s="190"/>
    </row>
    <row r="71" spans="1:16" ht="24" customHeight="1">
      <c r="A71" s="96"/>
      <c r="B71" s="95" t="s">
        <v>170</v>
      </c>
      <c r="C71" s="95"/>
      <c r="D71" s="93" t="s">
        <v>180</v>
      </c>
      <c r="E71" s="94">
        <v>30</v>
      </c>
      <c r="F71" s="152" t="s">
        <v>88</v>
      </c>
      <c r="G71" s="92">
        <v>3500</v>
      </c>
      <c r="H71" s="92">
        <f t="shared" si="27"/>
        <v>105000</v>
      </c>
      <c r="I71" s="92"/>
      <c r="J71" s="92">
        <f t="shared" si="28"/>
        <v>0</v>
      </c>
      <c r="K71" s="92">
        <f t="shared" si="29"/>
        <v>3500</v>
      </c>
      <c r="L71" s="92">
        <f t="shared" si="30"/>
        <v>105000</v>
      </c>
      <c r="M71" s="192" t="s">
        <v>138</v>
      </c>
      <c r="N71" s="190"/>
    </row>
    <row r="72" spans="1:16" ht="24" customHeight="1">
      <c r="A72" s="96"/>
      <c r="B72" s="95" t="s">
        <v>165</v>
      </c>
      <c r="C72" s="95"/>
      <c r="D72" s="93" t="s">
        <v>180</v>
      </c>
      <c r="E72" s="94">
        <v>40</v>
      </c>
      <c r="F72" s="152" t="s">
        <v>88</v>
      </c>
      <c r="G72" s="92"/>
      <c r="H72" s="92">
        <f t="shared" ref="H72" si="55">E72*G72</f>
        <v>0</v>
      </c>
      <c r="I72" s="92"/>
      <c r="J72" s="92">
        <f t="shared" ref="J72" si="56">E72*I72</f>
        <v>0</v>
      </c>
      <c r="K72" s="92">
        <f t="shared" ref="K72" si="57">G72+I72</f>
        <v>0</v>
      </c>
      <c r="L72" s="92">
        <f t="shared" ref="L72" si="58">H72+J72</f>
        <v>0</v>
      </c>
      <c r="M72" s="192" t="s">
        <v>308</v>
      </c>
      <c r="N72" s="190" t="s">
        <v>245</v>
      </c>
    </row>
    <row r="73" spans="1:16" ht="24" customHeight="1">
      <c r="A73" s="96"/>
      <c r="B73" s="95" t="s">
        <v>166</v>
      </c>
      <c r="C73" s="95"/>
      <c r="D73" s="93"/>
      <c r="E73" s="94"/>
      <c r="F73" s="152" t="s">
        <v>88</v>
      </c>
      <c r="G73" s="92">
        <v>15000</v>
      </c>
      <c r="H73" s="92">
        <f t="shared" ref="H73" si="59">E73*G73</f>
        <v>0</v>
      </c>
      <c r="I73" s="92"/>
      <c r="J73" s="92">
        <f t="shared" ref="J73" si="60">E73*I73</f>
        <v>0</v>
      </c>
      <c r="K73" s="92">
        <f t="shared" ref="K73" si="61">G73+I73</f>
        <v>15000</v>
      </c>
      <c r="L73" s="92">
        <f t="shared" ref="L73" si="62">H73+J73</f>
        <v>0</v>
      </c>
      <c r="M73" s="192" t="s">
        <v>309</v>
      </c>
      <c r="N73" s="190"/>
    </row>
    <row r="74" spans="1:16" ht="24" customHeight="1">
      <c r="A74" s="96"/>
      <c r="B74" s="95" t="s">
        <v>244</v>
      </c>
      <c r="C74" s="95"/>
      <c r="D74" s="93" t="s">
        <v>180</v>
      </c>
      <c r="E74" s="94">
        <v>1</v>
      </c>
      <c r="F74" s="152" t="s">
        <v>98</v>
      </c>
      <c r="G74" s="92"/>
      <c r="H74" s="92">
        <f t="shared" si="23"/>
        <v>0</v>
      </c>
      <c r="I74" s="92"/>
      <c r="J74" s="92">
        <f t="shared" si="24"/>
        <v>0</v>
      </c>
      <c r="K74" s="92">
        <f t="shared" si="25"/>
        <v>0</v>
      </c>
      <c r="L74" s="92">
        <f t="shared" si="26"/>
        <v>0</v>
      </c>
      <c r="M74" s="192" t="s">
        <v>138</v>
      </c>
      <c r="N74" s="190" t="s">
        <v>310</v>
      </c>
    </row>
    <row r="75" spans="1:16" ht="24" customHeight="1">
      <c r="A75" s="96"/>
      <c r="B75" s="95" t="s">
        <v>181</v>
      </c>
      <c r="C75" s="95"/>
      <c r="D75" s="93" t="s">
        <v>180</v>
      </c>
      <c r="E75" s="94">
        <v>8</v>
      </c>
      <c r="F75" s="152" t="s">
        <v>98</v>
      </c>
      <c r="G75" s="92">
        <v>260000</v>
      </c>
      <c r="H75" s="92">
        <f t="shared" ref="H75" si="63">E75*G75</f>
        <v>2080000</v>
      </c>
      <c r="I75" s="92"/>
      <c r="J75" s="92">
        <f t="shared" ref="J75" si="64">E75*I75</f>
        <v>0</v>
      </c>
      <c r="K75" s="92">
        <f t="shared" ref="K75" si="65">G75+I75</f>
        <v>260000</v>
      </c>
      <c r="L75" s="92">
        <f t="shared" ref="L75" si="66">H75+J75</f>
        <v>2080000</v>
      </c>
      <c r="M75" s="192" t="s">
        <v>138</v>
      </c>
      <c r="N75" s="190"/>
    </row>
    <row r="76" spans="1:16" ht="24" customHeight="1">
      <c r="A76" s="96"/>
      <c r="B76" s="95" t="s">
        <v>182</v>
      </c>
      <c r="C76" s="95"/>
      <c r="D76" s="93" t="s">
        <v>180</v>
      </c>
      <c r="E76" s="94">
        <v>15</v>
      </c>
      <c r="F76" s="152" t="s">
        <v>111</v>
      </c>
      <c r="G76" s="92"/>
      <c r="H76" s="92">
        <f t="shared" ref="H76" si="67">E76*G76</f>
        <v>0</v>
      </c>
      <c r="I76" s="92"/>
      <c r="J76" s="92">
        <f t="shared" ref="J76" si="68">E76*I76</f>
        <v>0</v>
      </c>
      <c r="K76" s="92">
        <f t="shared" ref="K76" si="69">G76+I76</f>
        <v>0</v>
      </c>
      <c r="L76" s="92">
        <f t="shared" ref="L76" si="70">H76+J76</f>
        <v>0</v>
      </c>
      <c r="M76" s="192" t="s">
        <v>138</v>
      </c>
      <c r="N76" s="190"/>
    </row>
    <row r="77" spans="1:16" ht="24" customHeight="1">
      <c r="A77" s="96"/>
      <c r="B77" s="95" t="s">
        <v>117</v>
      </c>
      <c r="C77" s="95"/>
      <c r="D77" s="93" t="s">
        <v>180</v>
      </c>
      <c r="E77" s="94">
        <v>7</v>
      </c>
      <c r="F77" s="152" t="s">
        <v>98</v>
      </c>
      <c r="G77" s="92">
        <v>25000</v>
      </c>
      <c r="H77" s="92">
        <f t="shared" si="23"/>
        <v>175000</v>
      </c>
      <c r="I77" s="92"/>
      <c r="J77" s="92">
        <f t="shared" si="24"/>
        <v>0</v>
      </c>
      <c r="K77" s="92">
        <f t="shared" si="25"/>
        <v>25000</v>
      </c>
      <c r="L77" s="92">
        <f t="shared" si="26"/>
        <v>175000</v>
      </c>
      <c r="M77" s="192" t="s">
        <v>138</v>
      </c>
      <c r="N77" s="190"/>
    </row>
    <row r="78" spans="1:16" ht="24" customHeight="1">
      <c r="A78" s="96"/>
      <c r="B78" s="95" t="s">
        <v>80</v>
      </c>
      <c r="C78" s="95" t="s">
        <v>167</v>
      </c>
      <c r="D78" s="95"/>
      <c r="E78" s="94">
        <v>1</v>
      </c>
      <c r="F78" s="152" t="s">
        <v>79</v>
      </c>
      <c r="G78" s="92">
        <v>350000</v>
      </c>
      <c r="H78" s="92">
        <f t="shared" si="23"/>
        <v>350000</v>
      </c>
      <c r="I78" s="92"/>
      <c r="J78" s="92">
        <f t="shared" si="24"/>
        <v>0</v>
      </c>
      <c r="K78" s="92">
        <f t="shared" si="25"/>
        <v>350000</v>
      </c>
      <c r="L78" s="92">
        <f t="shared" si="26"/>
        <v>350000</v>
      </c>
      <c r="M78" s="91"/>
      <c r="N78" s="190"/>
    </row>
    <row r="79" spans="1:16" ht="24" customHeight="1">
      <c r="A79" s="96"/>
      <c r="B79" s="95" t="s">
        <v>78</v>
      </c>
      <c r="C79" s="95"/>
      <c r="D79" s="95"/>
      <c r="E79" s="94">
        <v>10</v>
      </c>
      <c r="F79" s="152" t="s">
        <v>77</v>
      </c>
      <c r="G79" s="92"/>
      <c r="H79" s="92">
        <f>E79*G79</f>
        <v>0</v>
      </c>
      <c r="I79" s="92">
        <v>280000</v>
      </c>
      <c r="J79" s="92">
        <f t="shared" ref="J79" si="71">E79*I79</f>
        <v>2800000</v>
      </c>
      <c r="K79" s="92">
        <f>G79+I79</f>
        <v>280000</v>
      </c>
      <c r="L79" s="92">
        <f>H79+J79</f>
        <v>2800000</v>
      </c>
      <c r="M79" s="91"/>
      <c r="N79" s="190"/>
    </row>
    <row r="80" spans="1:16" ht="24" customHeight="1">
      <c r="A80" s="96"/>
      <c r="B80" s="95" t="s">
        <v>168</v>
      </c>
      <c r="C80" s="95"/>
      <c r="D80" s="95"/>
      <c r="E80" s="94">
        <v>4</v>
      </c>
      <c r="F80" s="152" t="s">
        <v>169</v>
      </c>
      <c r="G80" s="92">
        <v>120000</v>
      </c>
      <c r="H80" s="92">
        <f>E80*G80</f>
        <v>480000</v>
      </c>
      <c r="I80" s="92"/>
      <c r="J80" s="92">
        <f t="shared" ref="J80" si="72">E80*I80</f>
        <v>0</v>
      </c>
      <c r="K80" s="92">
        <f>G80+I80</f>
        <v>120000</v>
      </c>
      <c r="L80" s="92">
        <f>H80+J80</f>
        <v>480000</v>
      </c>
      <c r="M80" s="91"/>
      <c r="N80" s="190"/>
    </row>
    <row r="81" spans="1:14" ht="24" customHeight="1">
      <c r="A81" s="96"/>
      <c r="B81" s="170"/>
      <c r="C81" s="95"/>
      <c r="D81" s="95"/>
      <c r="E81" s="94"/>
      <c r="F81" s="93"/>
      <c r="G81" s="92"/>
      <c r="H81" s="92"/>
      <c r="I81" s="92"/>
      <c r="J81" s="92"/>
      <c r="K81" s="92"/>
      <c r="L81" s="92"/>
      <c r="M81" s="91"/>
      <c r="N81" s="190"/>
    </row>
    <row r="82" spans="1:14" ht="24" customHeight="1">
      <c r="A82" s="96"/>
      <c r="B82" s="95" t="s">
        <v>20</v>
      </c>
      <c r="C82" s="95"/>
      <c r="D82" s="95"/>
      <c r="E82" s="94"/>
      <c r="F82" s="93"/>
      <c r="G82" s="92"/>
      <c r="H82" s="92">
        <f>SUM(H59:H80)</f>
        <v>5606000</v>
      </c>
      <c r="I82" s="92"/>
      <c r="J82" s="92">
        <f>SUM(J59:J80)</f>
        <v>2800000</v>
      </c>
      <c r="K82" s="92"/>
      <c r="L82" s="92">
        <f>SUM(L59:L81)</f>
        <v>8406000</v>
      </c>
      <c r="M82" s="91"/>
      <c r="N82" s="190"/>
    </row>
    <row r="83" spans="1:14" ht="24" customHeight="1">
      <c r="A83" s="96"/>
      <c r="B83" s="95"/>
      <c r="C83" s="95"/>
      <c r="D83" s="95"/>
      <c r="E83" s="94"/>
      <c r="F83" s="93"/>
      <c r="G83" s="92"/>
      <c r="H83" s="92"/>
      <c r="I83" s="92"/>
      <c r="J83" s="92"/>
      <c r="K83" s="92"/>
      <c r="L83" s="92"/>
      <c r="M83" s="91"/>
      <c r="N83" s="190"/>
    </row>
    <row r="84" spans="1:14" ht="24" customHeight="1">
      <c r="A84" s="102">
        <f>A7</f>
        <v>4</v>
      </c>
      <c r="B84" s="101" t="str">
        <f>B7</f>
        <v>전기 공사</v>
      </c>
      <c r="C84" s="101"/>
      <c r="D84" s="101"/>
      <c r="E84" s="100"/>
      <c r="F84" s="99"/>
      <c r="G84" s="98"/>
      <c r="H84" s="98"/>
      <c r="I84" s="98"/>
      <c r="J84" s="98"/>
      <c r="K84" s="98"/>
      <c r="L84" s="98"/>
      <c r="M84" s="97"/>
      <c r="N84" s="190"/>
    </row>
    <row r="85" spans="1:14" ht="24" customHeight="1">
      <c r="A85" s="96"/>
      <c r="B85" s="143" t="s">
        <v>172</v>
      </c>
      <c r="C85" s="143" t="s">
        <v>184</v>
      </c>
      <c r="D85" s="93"/>
      <c r="E85" s="94">
        <v>3</v>
      </c>
      <c r="F85" s="152" t="s">
        <v>174</v>
      </c>
      <c r="G85" s="92">
        <v>85000</v>
      </c>
      <c r="H85" s="92">
        <f t="shared" ref="H85:H110" si="73">E85*G85</f>
        <v>255000</v>
      </c>
      <c r="I85" s="92"/>
      <c r="J85" s="92">
        <f>E85*I85</f>
        <v>0</v>
      </c>
      <c r="K85" s="92">
        <f t="shared" ref="K85:K110" si="74">G85+I85</f>
        <v>85000</v>
      </c>
      <c r="L85" s="92">
        <f t="shared" ref="L85:L110" si="75">H85+J85</f>
        <v>255000</v>
      </c>
      <c r="M85" s="192" t="s">
        <v>138</v>
      </c>
      <c r="N85" s="190"/>
    </row>
    <row r="86" spans="1:14" ht="24" customHeight="1">
      <c r="A86" s="96"/>
      <c r="B86" s="143" t="s">
        <v>173</v>
      </c>
      <c r="C86" s="143" t="s">
        <v>184</v>
      </c>
      <c r="D86" s="93"/>
      <c r="E86" s="94">
        <v>3</v>
      </c>
      <c r="F86" s="152" t="s">
        <v>190</v>
      </c>
      <c r="G86" s="92">
        <v>120000</v>
      </c>
      <c r="H86" s="92">
        <f t="shared" si="73"/>
        <v>360000</v>
      </c>
      <c r="I86" s="92"/>
      <c r="J86" s="92">
        <f>E86*I86</f>
        <v>0</v>
      </c>
      <c r="K86" s="92">
        <f t="shared" si="74"/>
        <v>120000</v>
      </c>
      <c r="L86" s="92">
        <f t="shared" si="75"/>
        <v>360000</v>
      </c>
      <c r="M86" s="192" t="s">
        <v>138</v>
      </c>
      <c r="N86" s="190"/>
    </row>
    <row r="87" spans="1:14" ht="24" customHeight="1">
      <c r="A87" s="96"/>
      <c r="B87" s="143" t="s">
        <v>175</v>
      </c>
      <c r="C87" s="143" t="s">
        <v>184</v>
      </c>
      <c r="D87" s="93"/>
      <c r="E87" s="94">
        <v>1</v>
      </c>
      <c r="F87" s="152" t="s">
        <v>174</v>
      </c>
      <c r="G87" s="92">
        <v>120000</v>
      </c>
      <c r="H87" s="92">
        <f t="shared" ref="H87:H106" si="76">E87*G87</f>
        <v>120000</v>
      </c>
      <c r="I87" s="92"/>
      <c r="J87" s="92">
        <f t="shared" ref="J87:J106" si="77">E87*I87</f>
        <v>0</v>
      </c>
      <c r="K87" s="92">
        <f t="shared" ref="K87:K106" si="78">G87+I87</f>
        <v>120000</v>
      </c>
      <c r="L87" s="92">
        <f t="shared" ref="L87:L106" si="79">H87+J87</f>
        <v>120000</v>
      </c>
      <c r="M87" s="192" t="s">
        <v>138</v>
      </c>
      <c r="N87" s="190"/>
    </row>
    <row r="88" spans="1:14" ht="24" customHeight="1">
      <c r="A88" s="96"/>
      <c r="B88" s="143" t="s">
        <v>189</v>
      </c>
      <c r="C88" s="143" t="s">
        <v>184</v>
      </c>
      <c r="D88" s="93"/>
      <c r="E88" s="94">
        <v>1</v>
      </c>
      <c r="F88" s="152" t="s">
        <v>174</v>
      </c>
      <c r="G88" s="92">
        <v>85000</v>
      </c>
      <c r="H88" s="92">
        <f t="shared" ref="H88" si="80">E88*G88</f>
        <v>85000</v>
      </c>
      <c r="I88" s="92"/>
      <c r="J88" s="92">
        <f t="shared" ref="J88" si="81">E88*I88</f>
        <v>0</v>
      </c>
      <c r="K88" s="92">
        <f t="shared" ref="K88" si="82">G88+I88</f>
        <v>85000</v>
      </c>
      <c r="L88" s="92">
        <f t="shared" ref="L88" si="83">H88+J88</f>
        <v>85000</v>
      </c>
      <c r="M88" s="192" t="s">
        <v>138</v>
      </c>
      <c r="N88" s="190"/>
    </row>
    <row r="89" spans="1:14" ht="24" customHeight="1">
      <c r="A89" s="96"/>
      <c r="B89" s="143" t="s">
        <v>176</v>
      </c>
      <c r="C89" s="143" t="s">
        <v>183</v>
      </c>
      <c r="D89" s="93"/>
      <c r="E89" s="94">
        <v>1</v>
      </c>
      <c r="F89" s="152" t="s">
        <v>174</v>
      </c>
      <c r="G89" s="92"/>
      <c r="H89" s="92">
        <f t="shared" si="76"/>
        <v>0</v>
      </c>
      <c r="I89" s="92"/>
      <c r="J89" s="92">
        <f t="shared" si="77"/>
        <v>0</v>
      </c>
      <c r="K89" s="92">
        <f t="shared" si="78"/>
        <v>0</v>
      </c>
      <c r="L89" s="92">
        <f t="shared" si="79"/>
        <v>0</v>
      </c>
      <c r="M89" s="192" t="s">
        <v>138</v>
      </c>
      <c r="N89" s="190"/>
    </row>
    <row r="90" spans="1:14" ht="24" customHeight="1">
      <c r="A90" s="96"/>
      <c r="B90" s="143" t="s">
        <v>177</v>
      </c>
      <c r="C90" s="143" t="s">
        <v>185</v>
      </c>
      <c r="D90" s="93"/>
      <c r="E90" s="94">
        <v>1</v>
      </c>
      <c r="F90" s="152" t="s">
        <v>174</v>
      </c>
      <c r="G90" s="92">
        <v>15000</v>
      </c>
      <c r="H90" s="92">
        <f t="shared" si="76"/>
        <v>15000</v>
      </c>
      <c r="I90" s="92"/>
      <c r="J90" s="92">
        <f t="shared" si="77"/>
        <v>0</v>
      </c>
      <c r="K90" s="92">
        <f t="shared" si="78"/>
        <v>15000</v>
      </c>
      <c r="L90" s="92">
        <f t="shared" si="79"/>
        <v>15000</v>
      </c>
      <c r="M90" s="192" t="s">
        <v>138</v>
      </c>
      <c r="N90" s="190"/>
    </row>
    <row r="91" spans="1:14" ht="24" customHeight="1">
      <c r="A91" s="96"/>
      <c r="B91" s="143" t="s">
        <v>178</v>
      </c>
      <c r="C91" s="143" t="s">
        <v>183</v>
      </c>
      <c r="D91" s="95"/>
      <c r="E91" s="94">
        <v>3</v>
      </c>
      <c r="F91" s="152" t="s">
        <v>174</v>
      </c>
      <c r="G91" s="92">
        <v>15000</v>
      </c>
      <c r="H91" s="92">
        <f t="shared" si="76"/>
        <v>45000</v>
      </c>
      <c r="I91" s="92"/>
      <c r="J91" s="92">
        <f t="shared" si="77"/>
        <v>0</v>
      </c>
      <c r="K91" s="92">
        <f t="shared" si="78"/>
        <v>15000</v>
      </c>
      <c r="L91" s="92">
        <f t="shared" si="79"/>
        <v>45000</v>
      </c>
      <c r="M91" s="192"/>
      <c r="N91" s="190"/>
    </row>
    <row r="92" spans="1:14" ht="24" customHeight="1">
      <c r="A92" s="96"/>
      <c r="B92" s="143" t="s">
        <v>208</v>
      </c>
      <c r="C92" s="143" t="s">
        <v>209</v>
      </c>
      <c r="D92" s="95"/>
      <c r="E92" s="94">
        <v>1</v>
      </c>
      <c r="F92" s="152" t="s">
        <v>174</v>
      </c>
      <c r="G92" s="92">
        <v>150000</v>
      </c>
      <c r="H92" s="92">
        <f t="shared" ref="H92" si="84">E92*G92</f>
        <v>150000</v>
      </c>
      <c r="I92" s="92"/>
      <c r="J92" s="92">
        <f t="shared" ref="J92" si="85">E92*I92</f>
        <v>0</v>
      </c>
      <c r="K92" s="92">
        <f t="shared" ref="K92" si="86">G92+I92</f>
        <v>150000</v>
      </c>
      <c r="L92" s="92">
        <f t="shared" ref="L92" si="87">H92+J92</f>
        <v>150000</v>
      </c>
      <c r="M92" s="192" t="s">
        <v>138</v>
      </c>
      <c r="N92" s="190" t="s">
        <v>210</v>
      </c>
    </row>
    <row r="93" spans="1:14" ht="24" customHeight="1">
      <c r="A93" s="96"/>
      <c r="B93" s="143" t="s">
        <v>207</v>
      </c>
      <c r="C93" s="143" t="s">
        <v>209</v>
      </c>
      <c r="D93" s="95"/>
      <c r="E93" s="94"/>
      <c r="F93" s="152" t="s">
        <v>174</v>
      </c>
      <c r="G93" s="92">
        <v>150000</v>
      </c>
      <c r="H93" s="92">
        <f t="shared" si="76"/>
        <v>0</v>
      </c>
      <c r="I93" s="92"/>
      <c r="J93" s="92">
        <f t="shared" si="77"/>
        <v>0</v>
      </c>
      <c r="K93" s="92">
        <f t="shared" si="78"/>
        <v>150000</v>
      </c>
      <c r="L93" s="92">
        <f t="shared" si="79"/>
        <v>0</v>
      </c>
      <c r="M93" s="192" t="s">
        <v>138</v>
      </c>
      <c r="N93" s="190" t="s">
        <v>210</v>
      </c>
    </row>
    <row r="94" spans="1:14" ht="24" customHeight="1">
      <c r="A94" s="96"/>
      <c r="B94" s="143" t="s">
        <v>206</v>
      </c>
      <c r="C94" s="143" t="s">
        <v>183</v>
      </c>
      <c r="D94" s="95"/>
      <c r="E94" s="94">
        <v>1</v>
      </c>
      <c r="F94" s="152" t="s">
        <v>174</v>
      </c>
      <c r="G94" s="92"/>
      <c r="H94" s="92">
        <f t="shared" ref="H94" si="88">E94*G94</f>
        <v>0</v>
      </c>
      <c r="I94" s="92"/>
      <c r="J94" s="92">
        <f t="shared" ref="J94" si="89">E94*I94</f>
        <v>0</v>
      </c>
      <c r="K94" s="92">
        <f t="shared" ref="K94" si="90">G94+I94</f>
        <v>0</v>
      </c>
      <c r="L94" s="92">
        <f t="shared" ref="L94" si="91">H94+J94</f>
        <v>0</v>
      </c>
      <c r="M94" s="192"/>
      <c r="N94" s="190" t="s">
        <v>204</v>
      </c>
    </row>
    <row r="95" spans="1:14" ht="24" customHeight="1">
      <c r="A95" s="96"/>
      <c r="B95" s="143" t="s">
        <v>202</v>
      </c>
      <c r="C95" s="143" t="s">
        <v>203</v>
      </c>
      <c r="D95" s="95"/>
      <c r="E95" s="94">
        <v>0</v>
      </c>
      <c r="F95" s="152" t="s">
        <v>174</v>
      </c>
      <c r="G95" s="92">
        <v>15000</v>
      </c>
      <c r="H95" s="92">
        <f t="shared" ref="H95" si="92">E95*G95</f>
        <v>0</v>
      </c>
      <c r="I95" s="92"/>
      <c r="J95" s="92">
        <f t="shared" ref="J95" si="93">E95*I95</f>
        <v>0</v>
      </c>
      <c r="K95" s="92">
        <f t="shared" ref="K95" si="94">G95+I95</f>
        <v>15000</v>
      </c>
      <c r="L95" s="92">
        <f t="shared" ref="L95" si="95">H95+J95</f>
        <v>0</v>
      </c>
      <c r="M95" s="192"/>
      <c r="N95" s="190"/>
    </row>
    <row r="96" spans="1:14" ht="24" customHeight="1">
      <c r="A96" s="96"/>
      <c r="B96" s="143" t="s">
        <v>202</v>
      </c>
      <c r="C96" s="143" t="s">
        <v>205</v>
      </c>
      <c r="D96" s="95"/>
      <c r="E96" s="94">
        <v>20</v>
      </c>
      <c r="F96" s="152" t="s">
        <v>174</v>
      </c>
      <c r="G96" s="92"/>
      <c r="H96" s="92">
        <f t="shared" ref="H96" si="96">E96*G96</f>
        <v>0</v>
      </c>
      <c r="I96" s="92"/>
      <c r="J96" s="92">
        <f t="shared" ref="J96" si="97">E96*I96</f>
        <v>0</v>
      </c>
      <c r="K96" s="92">
        <f t="shared" ref="K96" si="98">G96+I96</f>
        <v>0</v>
      </c>
      <c r="L96" s="92">
        <f t="shared" ref="L96" si="99">H96+J96</f>
        <v>0</v>
      </c>
      <c r="M96" s="192" t="s">
        <v>138</v>
      </c>
      <c r="N96" s="190" t="s">
        <v>204</v>
      </c>
    </row>
    <row r="97" spans="1:14" ht="24" customHeight="1">
      <c r="A97" s="96"/>
      <c r="B97" s="143" t="s">
        <v>179</v>
      </c>
      <c r="C97" s="143" t="s">
        <v>186</v>
      </c>
      <c r="D97" s="95"/>
      <c r="E97" s="94">
        <v>1</v>
      </c>
      <c r="F97" s="152" t="s">
        <v>174</v>
      </c>
      <c r="G97" s="92"/>
      <c r="H97" s="92">
        <f t="shared" si="76"/>
        <v>0</v>
      </c>
      <c r="I97" s="92"/>
      <c r="J97" s="92">
        <f t="shared" si="77"/>
        <v>0</v>
      </c>
      <c r="K97" s="92">
        <f t="shared" si="78"/>
        <v>0</v>
      </c>
      <c r="L97" s="92">
        <f t="shared" si="79"/>
        <v>0</v>
      </c>
      <c r="M97" s="192"/>
      <c r="N97" s="190" t="s">
        <v>204</v>
      </c>
    </row>
    <row r="98" spans="1:14" ht="24" customHeight="1">
      <c r="A98" s="96"/>
      <c r="B98" s="143" t="s">
        <v>187</v>
      </c>
      <c r="C98" s="143" t="s">
        <v>318</v>
      </c>
      <c r="D98" s="95"/>
      <c r="E98" s="94">
        <v>5</v>
      </c>
      <c r="F98" s="152" t="s">
        <v>174</v>
      </c>
      <c r="G98" s="92">
        <v>12500</v>
      </c>
      <c r="H98" s="92">
        <f t="shared" si="76"/>
        <v>62500</v>
      </c>
      <c r="I98" s="92"/>
      <c r="J98" s="92">
        <f t="shared" si="77"/>
        <v>0</v>
      </c>
      <c r="K98" s="92">
        <f t="shared" si="78"/>
        <v>12500</v>
      </c>
      <c r="L98" s="92">
        <f t="shared" si="79"/>
        <v>62500</v>
      </c>
      <c r="M98" s="192"/>
      <c r="N98" s="190"/>
    </row>
    <row r="99" spans="1:14" ht="24" customHeight="1">
      <c r="A99" s="96"/>
      <c r="B99" s="143"/>
      <c r="C99" s="143" t="s">
        <v>320</v>
      </c>
      <c r="D99" s="93"/>
      <c r="E99" s="94">
        <v>30</v>
      </c>
      <c r="F99" s="152" t="s">
        <v>174</v>
      </c>
      <c r="G99" s="92"/>
      <c r="H99" s="92">
        <f t="shared" si="76"/>
        <v>0</v>
      </c>
      <c r="I99" s="92"/>
      <c r="J99" s="92">
        <f t="shared" si="77"/>
        <v>0</v>
      </c>
      <c r="K99" s="92">
        <f t="shared" si="78"/>
        <v>0</v>
      </c>
      <c r="L99" s="92">
        <f t="shared" si="79"/>
        <v>0</v>
      </c>
      <c r="M99" s="192" t="s">
        <v>138</v>
      </c>
      <c r="N99" s="190"/>
    </row>
    <row r="100" spans="1:14" ht="24" customHeight="1">
      <c r="A100" s="96"/>
      <c r="B100" s="143"/>
      <c r="C100" s="143" t="s">
        <v>188</v>
      </c>
      <c r="D100" s="93"/>
      <c r="E100" s="94">
        <v>4</v>
      </c>
      <c r="F100" s="152" t="s">
        <v>174</v>
      </c>
      <c r="G100" s="92">
        <v>15000</v>
      </c>
      <c r="H100" s="92">
        <f t="shared" si="76"/>
        <v>60000</v>
      </c>
      <c r="I100" s="92"/>
      <c r="J100" s="92">
        <f t="shared" si="77"/>
        <v>0</v>
      </c>
      <c r="K100" s="92">
        <f t="shared" si="78"/>
        <v>15000</v>
      </c>
      <c r="L100" s="92">
        <f t="shared" si="79"/>
        <v>60000</v>
      </c>
      <c r="M100" s="192" t="s">
        <v>138</v>
      </c>
      <c r="N100" s="190"/>
    </row>
    <row r="101" spans="1:14" ht="24" customHeight="1">
      <c r="A101" s="96"/>
      <c r="B101" s="143" t="s">
        <v>191</v>
      </c>
      <c r="C101" s="143" t="s">
        <v>192</v>
      </c>
      <c r="D101" s="95"/>
      <c r="E101" s="188">
        <v>141.59</v>
      </c>
      <c r="F101" s="152" t="s">
        <v>111</v>
      </c>
      <c r="G101" s="92">
        <v>3200</v>
      </c>
      <c r="H101" s="92">
        <f t="shared" si="76"/>
        <v>453088</v>
      </c>
      <c r="I101" s="92"/>
      <c r="J101" s="92">
        <f t="shared" si="77"/>
        <v>0</v>
      </c>
      <c r="K101" s="92">
        <f t="shared" si="78"/>
        <v>3200</v>
      </c>
      <c r="L101" s="92">
        <f t="shared" si="79"/>
        <v>453088</v>
      </c>
      <c r="M101" s="192"/>
      <c r="N101" s="190" t="s">
        <v>211</v>
      </c>
    </row>
    <row r="102" spans="1:14" ht="24" customHeight="1">
      <c r="A102" s="96"/>
      <c r="B102" s="143" t="s">
        <v>193</v>
      </c>
      <c r="C102" s="143" t="s">
        <v>194</v>
      </c>
      <c r="D102" s="95"/>
      <c r="E102" s="94">
        <v>1</v>
      </c>
      <c r="F102" s="152" t="s">
        <v>174</v>
      </c>
      <c r="G102" s="92"/>
      <c r="H102" s="92">
        <f t="shared" ref="H102" si="100">E102*G102</f>
        <v>0</v>
      </c>
      <c r="I102" s="92"/>
      <c r="J102" s="92">
        <f t="shared" ref="J102" si="101">E102*I102</f>
        <v>0</v>
      </c>
      <c r="K102" s="92">
        <f t="shared" ref="K102" si="102">G102+I102</f>
        <v>0</v>
      </c>
      <c r="L102" s="92">
        <f t="shared" ref="L102" si="103">H102+J102</f>
        <v>0</v>
      </c>
      <c r="M102" s="192"/>
      <c r="N102" s="190"/>
    </row>
    <row r="103" spans="1:14" ht="24" customHeight="1">
      <c r="A103" s="96"/>
      <c r="B103" s="143" t="s">
        <v>195</v>
      </c>
      <c r="C103" s="143" t="s">
        <v>196</v>
      </c>
      <c r="D103" s="95"/>
      <c r="E103" s="188">
        <v>141.59</v>
      </c>
      <c r="F103" s="152" t="s">
        <v>111</v>
      </c>
      <c r="G103" s="92">
        <v>1500</v>
      </c>
      <c r="H103" s="92">
        <f t="shared" si="76"/>
        <v>212385</v>
      </c>
      <c r="I103" s="92"/>
      <c r="J103" s="92">
        <f t="shared" si="77"/>
        <v>0</v>
      </c>
      <c r="K103" s="92">
        <f t="shared" si="78"/>
        <v>1500</v>
      </c>
      <c r="L103" s="92">
        <f t="shared" si="79"/>
        <v>212385</v>
      </c>
      <c r="M103" s="192"/>
      <c r="N103" s="190"/>
    </row>
    <row r="104" spans="1:14" ht="24" customHeight="1">
      <c r="A104" s="96"/>
      <c r="B104" s="143" t="s">
        <v>234</v>
      </c>
      <c r="C104" s="143" t="s">
        <v>319</v>
      </c>
      <c r="D104" s="95"/>
      <c r="E104" s="188">
        <v>1</v>
      </c>
      <c r="F104" s="152" t="s">
        <v>109</v>
      </c>
      <c r="G104" s="92">
        <v>250000</v>
      </c>
      <c r="H104" s="92">
        <f t="shared" ref="H104" si="104">E104*G104</f>
        <v>250000</v>
      </c>
      <c r="I104" s="92"/>
      <c r="J104" s="92">
        <f t="shared" ref="J104" si="105">E104*I104</f>
        <v>0</v>
      </c>
      <c r="K104" s="92">
        <f t="shared" ref="K104" si="106">G104+I104</f>
        <v>250000</v>
      </c>
      <c r="L104" s="92">
        <f t="shared" ref="L104" si="107">H104+J104</f>
        <v>250000</v>
      </c>
      <c r="M104" s="192"/>
      <c r="N104" s="190"/>
    </row>
    <row r="105" spans="1:14" ht="24" customHeight="1">
      <c r="A105" s="96"/>
      <c r="B105" s="143" t="s">
        <v>235</v>
      </c>
      <c r="C105" s="143" t="s">
        <v>236</v>
      </c>
      <c r="D105" s="95"/>
      <c r="E105" s="188">
        <v>1</v>
      </c>
      <c r="F105" s="152" t="s">
        <v>109</v>
      </c>
      <c r="G105" s="92">
        <v>400000</v>
      </c>
      <c r="H105" s="92">
        <f t="shared" ref="H105" si="108">E105*G105</f>
        <v>400000</v>
      </c>
      <c r="I105" s="92"/>
      <c r="J105" s="92">
        <f t="shared" ref="J105" si="109">E105*I105</f>
        <v>0</v>
      </c>
      <c r="K105" s="92">
        <f t="shared" ref="K105" si="110">G105+I105</f>
        <v>400000</v>
      </c>
      <c r="L105" s="92">
        <f t="shared" ref="L105" si="111">H105+J105</f>
        <v>400000</v>
      </c>
      <c r="M105" s="192"/>
      <c r="N105" s="190"/>
    </row>
    <row r="106" spans="1:14" ht="24" customHeight="1">
      <c r="A106" s="96"/>
      <c r="B106" s="143" t="s">
        <v>197</v>
      </c>
      <c r="C106" s="143" t="s">
        <v>198</v>
      </c>
      <c r="D106" s="95"/>
      <c r="E106" s="94">
        <v>1</v>
      </c>
      <c r="F106" s="152" t="s">
        <v>174</v>
      </c>
      <c r="G106" s="92">
        <v>280000</v>
      </c>
      <c r="H106" s="92">
        <f t="shared" si="76"/>
        <v>280000</v>
      </c>
      <c r="I106" s="92"/>
      <c r="J106" s="92">
        <f t="shared" si="77"/>
        <v>0</v>
      </c>
      <c r="K106" s="92">
        <f t="shared" si="78"/>
        <v>280000</v>
      </c>
      <c r="L106" s="92">
        <f t="shared" si="79"/>
        <v>280000</v>
      </c>
      <c r="M106" s="192" t="s">
        <v>138</v>
      </c>
      <c r="N106" s="190"/>
    </row>
    <row r="107" spans="1:14" ht="24" customHeight="1">
      <c r="A107" s="96"/>
      <c r="B107" s="143" t="s">
        <v>199</v>
      </c>
      <c r="C107" s="143" t="s">
        <v>200</v>
      </c>
      <c r="D107" s="95"/>
      <c r="E107" s="94">
        <v>1</v>
      </c>
      <c r="F107" s="152" t="s">
        <v>174</v>
      </c>
      <c r="G107" s="92">
        <v>370000</v>
      </c>
      <c r="H107" s="92">
        <f t="shared" ref="H107" si="112">E107*G107</f>
        <v>370000</v>
      </c>
      <c r="I107" s="92"/>
      <c r="J107" s="92">
        <f t="shared" ref="J107" si="113">E107*I107</f>
        <v>0</v>
      </c>
      <c r="K107" s="92">
        <f t="shared" ref="K107" si="114">G107+I107</f>
        <v>370000</v>
      </c>
      <c r="L107" s="92">
        <f t="shared" ref="L107" si="115">H107+J107</f>
        <v>370000</v>
      </c>
      <c r="M107" s="192" t="s">
        <v>138</v>
      </c>
      <c r="N107" s="190"/>
    </row>
    <row r="108" spans="1:14" ht="24" customHeight="1">
      <c r="A108" s="96"/>
      <c r="B108" s="143" t="s">
        <v>201</v>
      </c>
      <c r="C108" s="143" t="s">
        <v>212</v>
      </c>
      <c r="D108" s="95"/>
      <c r="E108" s="94">
        <v>1</v>
      </c>
      <c r="F108" s="152" t="s">
        <v>190</v>
      </c>
      <c r="G108" s="92"/>
      <c r="H108" s="92">
        <f t="shared" ref="H108" si="116">E108*G108</f>
        <v>0</v>
      </c>
      <c r="I108" s="92"/>
      <c r="J108" s="92">
        <f t="shared" ref="J108:J110" si="117">E108*I108</f>
        <v>0</v>
      </c>
      <c r="K108" s="92">
        <f t="shared" ref="K108" si="118">G108+I108</f>
        <v>0</v>
      </c>
      <c r="L108" s="92">
        <f t="shared" ref="L108" si="119">H108+J108</f>
        <v>0</v>
      </c>
      <c r="M108" s="192"/>
      <c r="N108" s="190"/>
    </row>
    <row r="109" spans="1:14" ht="24" customHeight="1">
      <c r="A109" s="96"/>
      <c r="B109" s="95" t="s">
        <v>83</v>
      </c>
      <c r="C109" s="143"/>
      <c r="D109" s="95"/>
      <c r="E109" s="94">
        <v>5</v>
      </c>
      <c r="F109" s="152" t="s">
        <v>87</v>
      </c>
      <c r="G109" s="92"/>
      <c r="H109" s="92">
        <f>E109*G109</f>
        <v>0</v>
      </c>
      <c r="I109" s="92">
        <v>290000</v>
      </c>
      <c r="J109" s="92">
        <f>E109*I109</f>
        <v>1450000</v>
      </c>
      <c r="K109" s="92">
        <f>G109+I109</f>
        <v>290000</v>
      </c>
      <c r="L109" s="92">
        <f>H109+J109</f>
        <v>1450000</v>
      </c>
      <c r="M109" s="91"/>
      <c r="N109" s="190"/>
    </row>
    <row r="110" spans="1:14" ht="24" customHeight="1">
      <c r="A110" s="96"/>
      <c r="B110" s="95" t="s">
        <v>80</v>
      </c>
      <c r="C110" s="95"/>
      <c r="D110" s="95"/>
      <c r="E110" s="188">
        <v>110.03</v>
      </c>
      <c r="F110" s="152" t="s">
        <v>76</v>
      </c>
      <c r="G110" s="92">
        <v>1200</v>
      </c>
      <c r="H110" s="92">
        <f t="shared" si="73"/>
        <v>132036</v>
      </c>
      <c r="I110" s="92"/>
      <c r="J110" s="92">
        <f t="shared" si="117"/>
        <v>0</v>
      </c>
      <c r="K110" s="92">
        <f t="shared" si="74"/>
        <v>1200</v>
      </c>
      <c r="L110" s="92">
        <f t="shared" si="75"/>
        <v>132036</v>
      </c>
      <c r="M110" s="91"/>
      <c r="N110" s="190"/>
    </row>
    <row r="111" spans="1:14" ht="24" customHeight="1">
      <c r="A111" s="96"/>
      <c r="B111" s="95"/>
      <c r="C111" s="95"/>
      <c r="D111" s="95"/>
      <c r="E111" s="94"/>
      <c r="F111" s="152"/>
      <c r="G111" s="92"/>
      <c r="H111" s="92"/>
      <c r="I111" s="92"/>
      <c r="J111" s="92"/>
      <c r="K111" s="92"/>
      <c r="L111" s="92"/>
      <c r="M111" s="91"/>
      <c r="N111" s="190"/>
    </row>
    <row r="112" spans="1:14" ht="24" customHeight="1">
      <c r="A112" s="96"/>
      <c r="B112" s="95" t="s">
        <v>20</v>
      </c>
      <c r="C112" s="95"/>
      <c r="D112" s="95"/>
      <c r="E112" s="94"/>
      <c r="F112" s="93"/>
      <c r="G112" s="92"/>
      <c r="H112" s="92">
        <f>SUM(H85:H110)</f>
        <v>3250009</v>
      </c>
      <c r="I112" s="92"/>
      <c r="J112" s="92">
        <f>SUM(J85:J110)</f>
        <v>1450000</v>
      </c>
      <c r="K112" s="92"/>
      <c r="L112" s="92">
        <f>SUM(L85:L111)</f>
        <v>4700009</v>
      </c>
      <c r="M112" s="91"/>
      <c r="N112" s="190"/>
    </row>
    <row r="113" spans="1:14" ht="24" customHeight="1">
      <c r="A113" s="96"/>
      <c r="B113" s="170" t="s">
        <v>311</v>
      </c>
      <c r="C113" s="95"/>
      <c r="D113" s="95"/>
      <c r="E113" s="94"/>
      <c r="F113" s="93"/>
      <c r="G113" s="92"/>
      <c r="H113" s="92"/>
      <c r="I113" s="92"/>
      <c r="J113" s="92"/>
      <c r="K113" s="92"/>
      <c r="L113" s="92"/>
      <c r="M113" s="91"/>
      <c r="N113" s="190"/>
    </row>
    <row r="114" spans="1:14" ht="24" customHeight="1">
      <c r="A114" s="96"/>
      <c r="B114" s="95"/>
      <c r="C114" s="95"/>
      <c r="D114" s="95"/>
      <c r="E114" s="94"/>
      <c r="F114" s="93"/>
      <c r="G114" s="92"/>
      <c r="H114" s="92"/>
      <c r="I114" s="92"/>
      <c r="J114" s="92"/>
      <c r="K114" s="92"/>
      <c r="L114" s="92"/>
      <c r="M114" s="91"/>
      <c r="N114" s="190"/>
    </row>
    <row r="115" spans="1:14" ht="24" customHeight="1">
      <c r="A115" s="102">
        <f>A8</f>
        <v>5</v>
      </c>
      <c r="B115" s="101" t="str">
        <f>B8</f>
        <v>도배 공사</v>
      </c>
      <c r="C115" s="101"/>
      <c r="D115" s="101"/>
      <c r="E115" s="100"/>
      <c r="F115" s="99"/>
      <c r="G115" s="98"/>
      <c r="H115" s="98"/>
      <c r="I115" s="98"/>
      <c r="J115" s="98"/>
      <c r="K115" s="98"/>
      <c r="L115" s="98"/>
      <c r="M115" s="97"/>
      <c r="N115" s="190"/>
    </row>
    <row r="116" spans="1:14" ht="24" customHeight="1">
      <c r="A116" s="96"/>
      <c r="B116" s="153" t="s">
        <v>84</v>
      </c>
      <c r="C116" s="143" t="s">
        <v>85</v>
      </c>
      <c r="D116" s="93" t="s">
        <v>180</v>
      </c>
      <c r="E116" s="188">
        <v>141.59</v>
      </c>
      <c r="F116" s="152" t="s">
        <v>76</v>
      </c>
      <c r="G116" s="92">
        <v>2750</v>
      </c>
      <c r="H116" s="92">
        <f t="shared" ref="H116:H118" si="120">E116*G116</f>
        <v>389372.5</v>
      </c>
      <c r="I116" s="92"/>
      <c r="J116" s="92">
        <f>E116*I116</f>
        <v>0</v>
      </c>
      <c r="K116" s="92">
        <f t="shared" ref="K116:K118" si="121">G116+I116</f>
        <v>2750</v>
      </c>
      <c r="L116" s="92">
        <f t="shared" ref="L116:L118" si="122">H116+J116</f>
        <v>389372.5</v>
      </c>
      <c r="M116" s="192" t="s">
        <v>138</v>
      </c>
      <c r="N116" s="190" t="s">
        <v>239</v>
      </c>
    </row>
    <row r="117" spans="1:14" ht="24" customHeight="1">
      <c r="A117" s="96"/>
      <c r="B117" s="153"/>
      <c r="C117" s="143" t="s">
        <v>86</v>
      </c>
      <c r="D117" s="93" t="s">
        <v>180</v>
      </c>
      <c r="E117" s="188">
        <v>152.47999999999999</v>
      </c>
      <c r="F117" s="152" t="s">
        <v>76</v>
      </c>
      <c r="G117" s="92">
        <v>2750</v>
      </c>
      <c r="H117" s="92">
        <f t="shared" si="120"/>
        <v>419320</v>
      </c>
      <c r="I117" s="92"/>
      <c r="J117" s="92">
        <f>E117*I117</f>
        <v>0</v>
      </c>
      <c r="K117" s="92">
        <f t="shared" si="121"/>
        <v>2750</v>
      </c>
      <c r="L117" s="92">
        <f t="shared" si="122"/>
        <v>419320</v>
      </c>
      <c r="M117" s="192" t="s">
        <v>138</v>
      </c>
      <c r="N117" s="190"/>
    </row>
    <row r="118" spans="1:14" ht="24" customHeight="1">
      <c r="A118" s="96"/>
      <c r="B118" s="95"/>
      <c r="C118" s="95" t="s">
        <v>80</v>
      </c>
      <c r="D118" s="95"/>
      <c r="E118" s="94">
        <f>SUM(E116:E117)</f>
        <v>294.07</v>
      </c>
      <c r="F118" s="152" t="s">
        <v>76</v>
      </c>
      <c r="G118" s="92">
        <v>1700</v>
      </c>
      <c r="H118" s="92">
        <f t="shared" si="120"/>
        <v>499919</v>
      </c>
      <c r="I118" s="92"/>
      <c r="J118" s="92"/>
      <c r="K118" s="92">
        <f t="shared" si="121"/>
        <v>1700</v>
      </c>
      <c r="L118" s="92">
        <f t="shared" si="122"/>
        <v>499919</v>
      </c>
      <c r="M118" s="91"/>
      <c r="N118" s="190"/>
    </row>
    <row r="119" spans="1:14" ht="24" customHeight="1">
      <c r="A119" s="96"/>
      <c r="B119" s="95" t="s">
        <v>83</v>
      </c>
      <c r="C119" s="143"/>
      <c r="D119" s="95"/>
      <c r="E119" s="94">
        <v>9</v>
      </c>
      <c r="F119" s="152" t="s">
        <v>87</v>
      </c>
      <c r="G119" s="92"/>
      <c r="H119" s="92">
        <f>E119*G119</f>
        <v>0</v>
      </c>
      <c r="I119" s="92">
        <v>250000</v>
      </c>
      <c r="J119" s="92">
        <f>E119*I119</f>
        <v>2250000</v>
      </c>
      <c r="K119" s="92">
        <f>G119+I119</f>
        <v>250000</v>
      </c>
      <c r="L119" s="92">
        <f>H119+J119</f>
        <v>2250000</v>
      </c>
      <c r="M119" s="91"/>
      <c r="N119" s="190"/>
    </row>
    <row r="120" spans="1:14" ht="24" customHeight="1">
      <c r="A120" s="96"/>
      <c r="B120" s="95"/>
      <c r="C120" s="95"/>
      <c r="D120" s="95"/>
      <c r="E120" s="94"/>
      <c r="F120" s="152"/>
      <c r="G120" s="92"/>
      <c r="H120" s="92"/>
      <c r="I120" s="92"/>
      <c r="J120" s="92"/>
      <c r="K120" s="92"/>
      <c r="L120" s="92"/>
      <c r="M120" s="91"/>
      <c r="N120" s="190"/>
    </row>
    <row r="121" spans="1:14" ht="24" customHeight="1">
      <c r="A121" s="96"/>
      <c r="B121" s="95" t="s">
        <v>20</v>
      </c>
      <c r="C121" s="95"/>
      <c r="D121" s="95"/>
      <c r="E121" s="94"/>
      <c r="F121" s="93"/>
      <c r="G121" s="92"/>
      <c r="H121" s="92">
        <f>SUM(H116:H119)</f>
        <v>1308611.5</v>
      </c>
      <c r="I121" s="92"/>
      <c r="J121" s="92">
        <f>SUM(J116:J119)</f>
        <v>2250000</v>
      </c>
      <c r="K121" s="92"/>
      <c r="L121" s="92">
        <f>SUM(L116:L119)</f>
        <v>3558611.5</v>
      </c>
      <c r="M121" s="91"/>
      <c r="N121" s="190"/>
    </row>
    <row r="122" spans="1:14" ht="24" customHeight="1">
      <c r="A122" s="96"/>
      <c r="B122" s="95"/>
      <c r="C122" s="95"/>
      <c r="D122" s="95"/>
      <c r="E122" s="94"/>
      <c r="F122" s="93"/>
      <c r="G122" s="92"/>
      <c r="H122" s="92"/>
      <c r="I122" s="92"/>
      <c r="J122" s="92"/>
      <c r="K122" s="92"/>
      <c r="L122" s="92"/>
      <c r="M122" s="91"/>
      <c r="N122" s="190"/>
    </row>
    <row r="123" spans="1:14" ht="24" customHeight="1">
      <c r="A123" s="102">
        <f>A9</f>
        <v>6</v>
      </c>
      <c r="B123" s="101" t="str">
        <f>B9</f>
        <v>타일 공사</v>
      </c>
      <c r="C123" s="101" t="s">
        <v>325</v>
      </c>
      <c r="D123" s="101"/>
      <c r="E123" s="100"/>
      <c r="F123" s="99"/>
      <c r="G123" s="98"/>
      <c r="H123" s="98"/>
      <c r="I123" s="98"/>
      <c r="J123" s="98"/>
      <c r="K123" s="98"/>
      <c r="L123" s="98"/>
      <c r="M123" s="97"/>
      <c r="N123" s="190"/>
    </row>
    <row r="124" spans="1:14" ht="24" customHeight="1">
      <c r="A124" s="96"/>
      <c r="B124" s="142" t="s">
        <v>313</v>
      </c>
      <c r="C124" s="143" t="s">
        <v>213</v>
      </c>
      <c r="D124" s="93" t="s">
        <v>214</v>
      </c>
      <c r="E124" s="94">
        <v>4</v>
      </c>
      <c r="F124" s="152" t="s">
        <v>76</v>
      </c>
      <c r="G124" s="92">
        <v>36000</v>
      </c>
      <c r="H124" s="92">
        <f>E124*G124</f>
        <v>144000</v>
      </c>
      <c r="I124" s="92"/>
      <c r="J124" s="92">
        <f>E124*I124</f>
        <v>0</v>
      </c>
      <c r="K124" s="92">
        <f t="shared" ref="K124:L126" si="123">G124+I124</f>
        <v>36000</v>
      </c>
      <c r="L124" s="92">
        <f t="shared" si="123"/>
        <v>144000</v>
      </c>
      <c r="M124" s="91"/>
      <c r="N124" s="190"/>
    </row>
    <row r="125" spans="1:14" ht="24" customHeight="1">
      <c r="A125" s="96"/>
      <c r="B125" s="142" t="s">
        <v>215</v>
      </c>
      <c r="C125" s="143" t="s">
        <v>216</v>
      </c>
      <c r="D125" s="93" t="s">
        <v>214</v>
      </c>
      <c r="E125" s="94">
        <v>15</v>
      </c>
      <c r="F125" s="152" t="s">
        <v>76</v>
      </c>
      <c r="G125" s="92">
        <v>16000</v>
      </c>
      <c r="H125" s="92">
        <f t="shared" ref="H125" si="124">E125*G125</f>
        <v>240000</v>
      </c>
      <c r="I125" s="92"/>
      <c r="J125" s="92">
        <f t="shared" ref="J125" si="125">E125*I125</f>
        <v>0</v>
      </c>
      <c r="K125" s="92">
        <f t="shared" ref="K125" si="126">G125+I125</f>
        <v>16000</v>
      </c>
      <c r="L125" s="92">
        <f t="shared" ref="L125" si="127">H125+J125</f>
        <v>240000</v>
      </c>
      <c r="M125" s="91"/>
      <c r="N125" s="190"/>
    </row>
    <row r="126" spans="1:14" ht="24" customHeight="1">
      <c r="A126" s="96"/>
      <c r="B126" s="142" t="s">
        <v>217</v>
      </c>
      <c r="C126" s="143" t="s">
        <v>213</v>
      </c>
      <c r="D126" s="93" t="s">
        <v>214</v>
      </c>
      <c r="E126" s="94">
        <v>4</v>
      </c>
      <c r="F126" s="152" t="s">
        <v>76</v>
      </c>
      <c r="G126" s="92">
        <v>36000</v>
      </c>
      <c r="H126" s="92">
        <f>E126*G126</f>
        <v>144000</v>
      </c>
      <c r="I126" s="92"/>
      <c r="J126" s="92">
        <f>E126*I126</f>
        <v>0</v>
      </c>
      <c r="K126" s="92">
        <f t="shared" si="123"/>
        <v>36000</v>
      </c>
      <c r="L126" s="92">
        <f t="shared" si="123"/>
        <v>144000</v>
      </c>
      <c r="M126" s="91"/>
      <c r="N126" s="190"/>
    </row>
    <row r="127" spans="1:14" ht="24" customHeight="1">
      <c r="A127" s="96"/>
      <c r="B127" s="142" t="s">
        <v>314</v>
      </c>
      <c r="C127" s="143" t="s">
        <v>213</v>
      </c>
      <c r="D127" s="93" t="s">
        <v>214</v>
      </c>
      <c r="E127" s="94">
        <v>19</v>
      </c>
      <c r="F127" s="152" t="s">
        <v>76</v>
      </c>
      <c r="G127" s="92">
        <v>36000</v>
      </c>
      <c r="H127" s="92">
        <f>E127*G127</f>
        <v>684000</v>
      </c>
      <c r="I127" s="92"/>
      <c r="J127" s="92">
        <f>E127*I127</f>
        <v>0</v>
      </c>
      <c r="K127" s="92">
        <f t="shared" ref="K127" si="128">G127+I127</f>
        <v>36000</v>
      </c>
      <c r="L127" s="92">
        <f t="shared" ref="L127" si="129">H127+J127</f>
        <v>684000</v>
      </c>
      <c r="M127" s="91"/>
      <c r="N127" s="190"/>
    </row>
    <row r="128" spans="1:14" ht="24" customHeight="1">
      <c r="A128" s="96"/>
      <c r="B128" s="142" t="s">
        <v>218</v>
      </c>
      <c r="C128" s="143" t="s">
        <v>316</v>
      </c>
      <c r="D128" s="93" t="s">
        <v>214</v>
      </c>
      <c r="E128" s="94">
        <v>4</v>
      </c>
      <c r="F128" s="152" t="s">
        <v>76</v>
      </c>
      <c r="G128" s="154">
        <v>36000</v>
      </c>
      <c r="H128" s="92">
        <f t="shared" ref="H128:H133" si="130">E128*G128</f>
        <v>144000</v>
      </c>
      <c r="I128" s="92"/>
      <c r="J128" s="92">
        <f>E128*I128</f>
        <v>0</v>
      </c>
      <c r="K128" s="92">
        <f t="shared" ref="K128:K133" si="131">G128+I128</f>
        <v>36000</v>
      </c>
      <c r="L128" s="92">
        <f t="shared" ref="L128:L133" si="132">H128+J128</f>
        <v>144000</v>
      </c>
      <c r="M128" s="91"/>
      <c r="N128" s="190"/>
    </row>
    <row r="129" spans="1:14" ht="24" customHeight="1">
      <c r="A129" s="96"/>
      <c r="B129" s="142" t="s">
        <v>219</v>
      </c>
      <c r="C129" s="143" t="s">
        <v>316</v>
      </c>
      <c r="D129" s="93" t="s">
        <v>214</v>
      </c>
      <c r="E129" s="94">
        <v>18</v>
      </c>
      <c r="F129" s="152" t="s">
        <v>76</v>
      </c>
      <c r="G129" s="154">
        <v>36000</v>
      </c>
      <c r="H129" s="92">
        <f t="shared" si="130"/>
        <v>648000</v>
      </c>
      <c r="I129" s="92"/>
      <c r="J129" s="92">
        <f>E129*I129</f>
        <v>0</v>
      </c>
      <c r="K129" s="92">
        <f t="shared" si="131"/>
        <v>36000</v>
      </c>
      <c r="L129" s="92">
        <f t="shared" si="132"/>
        <v>648000</v>
      </c>
      <c r="M129" s="91"/>
      <c r="N129" s="190"/>
    </row>
    <row r="130" spans="1:14" ht="24" customHeight="1">
      <c r="A130" s="96"/>
      <c r="B130" s="142" t="s">
        <v>315</v>
      </c>
      <c r="C130" s="143" t="s">
        <v>316</v>
      </c>
      <c r="D130" s="93" t="s">
        <v>214</v>
      </c>
      <c r="E130" s="94">
        <v>7</v>
      </c>
      <c r="F130" s="152" t="s">
        <v>76</v>
      </c>
      <c r="G130" s="154">
        <v>36000</v>
      </c>
      <c r="H130" s="92">
        <f t="shared" ref="H130" si="133">E130*G130</f>
        <v>252000</v>
      </c>
      <c r="I130" s="92"/>
      <c r="J130" s="92">
        <f>E130*I130</f>
        <v>0</v>
      </c>
      <c r="K130" s="92">
        <f t="shared" ref="K130" si="134">G130+I130</f>
        <v>36000</v>
      </c>
      <c r="L130" s="92">
        <f t="shared" ref="L130" si="135">H130+J130</f>
        <v>252000</v>
      </c>
      <c r="M130" s="91"/>
      <c r="N130" s="190"/>
    </row>
    <row r="131" spans="1:14" ht="24" customHeight="1">
      <c r="A131" s="96"/>
      <c r="B131" s="142" t="s">
        <v>89</v>
      </c>
      <c r="C131" s="156" t="s">
        <v>221</v>
      </c>
      <c r="D131" s="93"/>
      <c r="E131" s="94">
        <v>1</v>
      </c>
      <c r="F131" s="152" t="s">
        <v>79</v>
      </c>
      <c r="G131" s="154">
        <v>350000</v>
      </c>
      <c r="H131" s="92">
        <f t="shared" si="130"/>
        <v>350000</v>
      </c>
      <c r="I131" s="92"/>
      <c r="J131" s="92">
        <f t="shared" ref="J131:J133" si="136">E131*I131</f>
        <v>0</v>
      </c>
      <c r="K131" s="92">
        <f t="shared" si="131"/>
        <v>350000</v>
      </c>
      <c r="L131" s="92">
        <f t="shared" si="132"/>
        <v>350000</v>
      </c>
      <c r="M131" s="91"/>
      <c r="N131" s="190" t="s">
        <v>220</v>
      </c>
    </row>
    <row r="132" spans="1:14" ht="24" customHeight="1">
      <c r="A132" s="96"/>
      <c r="B132" s="142" t="s">
        <v>222</v>
      </c>
      <c r="C132" s="156"/>
      <c r="D132" s="93"/>
      <c r="E132" s="94">
        <v>1</v>
      </c>
      <c r="F132" s="152" t="s">
        <v>75</v>
      </c>
      <c r="G132" s="154">
        <v>50000</v>
      </c>
      <c r="H132" s="92">
        <f t="shared" ref="H132" si="137">E132*G132</f>
        <v>50000</v>
      </c>
      <c r="I132" s="92"/>
      <c r="J132" s="92">
        <f t="shared" ref="J132" si="138">E132*I132</f>
        <v>0</v>
      </c>
      <c r="K132" s="92">
        <f t="shared" ref="K132" si="139">G132+I132</f>
        <v>50000</v>
      </c>
      <c r="L132" s="92">
        <f t="shared" ref="L132" si="140">H132+J132</f>
        <v>50000</v>
      </c>
      <c r="M132" s="91"/>
      <c r="N132" s="190"/>
    </row>
    <row r="133" spans="1:14" ht="24" customHeight="1">
      <c r="A133" s="96"/>
      <c r="B133" s="142" t="s">
        <v>90</v>
      </c>
      <c r="C133" s="156"/>
      <c r="D133" s="93"/>
      <c r="E133" s="94">
        <v>8</v>
      </c>
      <c r="F133" s="152" t="s">
        <v>77</v>
      </c>
      <c r="G133" s="154"/>
      <c r="H133" s="92">
        <f t="shared" si="130"/>
        <v>0</v>
      </c>
      <c r="I133" s="92">
        <v>350000</v>
      </c>
      <c r="J133" s="92">
        <f t="shared" si="136"/>
        <v>2800000</v>
      </c>
      <c r="K133" s="92">
        <f t="shared" si="131"/>
        <v>350000</v>
      </c>
      <c r="L133" s="92">
        <f t="shared" si="132"/>
        <v>2800000</v>
      </c>
      <c r="M133" s="91"/>
      <c r="N133" s="190"/>
    </row>
    <row r="134" spans="1:14" ht="24" customHeight="1">
      <c r="A134" s="96"/>
      <c r="B134" s="95"/>
      <c r="C134" s="95"/>
      <c r="D134" s="95"/>
      <c r="E134" s="94"/>
      <c r="F134" s="93"/>
      <c r="G134" s="92"/>
      <c r="H134" s="92"/>
      <c r="I134" s="92"/>
      <c r="J134" s="92"/>
      <c r="K134" s="92"/>
      <c r="L134" s="92"/>
      <c r="M134" s="91"/>
      <c r="N134" s="190"/>
    </row>
    <row r="135" spans="1:14" ht="24" customHeight="1">
      <c r="A135" s="96"/>
      <c r="B135" s="95" t="s">
        <v>20</v>
      </c>
      <c r="C135" s="95"/>
      <c r="D135" s="95"/>
      <c r="E135" s="94"/>
      <c r="F135" s="93"/>
      <c r="G135" s="92"/>
      <c r="H135" s="92">
        <f>SUM(H124:H133)</f>
        <v>2656000</v>
      </c>
      <c r="I135" s="92"/>
      <c r="J135" s="92">
        <f>SUM(J124:J133)</f>
        <v>2800000</v>
      </c>
      <c r="K135" s="92"/>
      <c r="L135" s="92">
        <f>SUM(L124:L134)</f>
        <v>5456000</v>
      </c>
      <c r="M135" s="91"/>
      <c r="N135" s="190"/>
    </row>
    <row r="136" spans="1:14" ht="24" customHeight="1">
      <c r="A136" s="96"/>
      <c r="B136" s="95"/>
      <c r="C136" s="95"/>
      <c r="D136" s="95"/>
      <c r="E136" s="94"/>
      <c r="F136" s="93"/>
      <c r="G136" s="92"/>
      <c r="H136" s="92"/>
      <c r="I136" s="92"/>
      <c r="J136" s="92"/>
      <c r="K136" s="92"/>
      <c r="L136" s="92"/>
      <c r="M136" s="91"/>
      <c r="N136" s="190"/>
    </row>
    <row r="137" spans="1:14" ht="24" customHeight="1">
      <c r="A137" s="102">
        <f>A10</f>
        <v>7</v>
      </c>
      <c r="B137" s="101" t="str">
        <f>B10</f>
        <v>욕실 공사</v>
      </c>
      <c r="C137" s="101"/>
      <c r="D137" s="101"/>
      <c r="E137" s="100"/>
      <c r="F137" s="99"/>
      <c r="G137" s="98"/>
      <c r="H137" s="98"/>
      <c r="I137" s="98"/>
      <c r="J137" s="98"/>
      <c r="K137" s="98"/>
      <c r="L137" s="98"/>
      <c r="M137" s="97"/>
      <c r="N137" s="190"/>
    </row>
    <row r="138" spans="1:14" ht="24" customHeight="1">
      <c r="A138" s="96"/>
      <c r="B138" s="165" t="s">
        <v>105</v>
      </c>
      <c r="C138" s="143" t="s">
        <v>274</v>
      </c>
      <c r="D138" s="93" t="s">
        <v>180</v>
      </c>
      <c r="E138" s="144">
        <v>2</v>
      </c>
      <c r="F138" s="152" t="s">
        <v>97</v>
      </c>
      <c r="G138" s="142">
        <v>320000</v>
      </c>
      <c r="H138" s="92">
        <f>E138*G138</f>
        <v>640000</v>
      </c>
      <c r="I138" s="92"/>
      <c r="J138" s="92">
        <f t="shared" ref="J138:J144" si="141">E138*I138</f>
        <v>0</v>
      </c>
      <c r="K138" s="92">
        <f>G138+I138</f>
        <v>320000</v>
      </c>
      <c r="L138" s="92">
        <f>H138+J138</f>
        <v>640000</v>
      </c>
      <c r="M138" s="192" t="s">
        <v>138</v>
      </c>
      <c r="N138" s="190" t="s">
        <v>239</v>
      </c>
    </row>
    <row r="139" spans="1:14" ht="24" customHeight="1">
      <c r="A139" s="96"/>
      <c r="B139" s="166" t="s">
        <v>106</v>
      </c>
      <c r="C139" s="167" t="s">
        <v>275</v>
      </c>
      <c r="D139" s="93" t="s">
        <v>180</v>
      </c>
      <c r="E139" s="144">
        <v>2</v>
      </c>
      <c r="F139" s="152" t="s">
        <v>97</v>
      </c>
      <c r="G139" s="142">
        <v>280000</v>
      </c>
      <c r="H139" s="92">
        <f t="shared" ref="H139:H162" si="142">E139*G139</f>
        <v>560000</v>
      </c>
      <c r="I139" s="92"/>
      <c r="J139" s="92">
        <f t="shared" si="141"/>
        <v>0</v>
      </c>
      <c r="K139" s="92">
        <f t="shared" ref="K139:K162" si="143">G139+I139</f>
        <v>280000</v>
      </c>
      <c r="L139" s="92">
        <f t="shared" ref="L139:L162" si="144">H139+J139</f>
        <v>560000</v>
      </c>
      <c r="M139" s="192" t="s">
        <v>138</v>
      </c>
      <c r="N139" s="190"/>
    </row>
    <row r="140" spans="1:14" ht="24" customHeight="1">
      <c r="A140" s="96"/>
      <c r="B140" s="166"/>
      <c r="C140" s="167" t="s">
        <v>276</v>
      </c>
      <c r="D140" s="93" t="s">
        <v>180</v>
      </c>
      <c r="E140" s="144">
        <v>2</v>
      </c>
      <c r="F140" s="152" t="s">
        <v>88</v>
      </c>
      <c r="G140" s="142"/>
      <c r="H140" s="92">
        <f t="shared" ref="H140" si="145">E140*G140</f>
        <v>0</v>
      </c>
      <c r="I140" s="92"/>
      <c r="J140" s="92">
        <f t="shared" si="141"/>
        <v>0</v>
      </c>
      <c r="K140" s="92">
        <f t="shared" ref="K140" si="146">G140+I140</f>
        <v>0</v>
      </c>
      <c r="L140" s="92">
        <f t="shared" ref="L140" si="147">H140+J140</f>
        <v>0</v>
      </c>
      <c r="M140" s="192" t="s">
        <v>138</v>
      </c>
      <c r="N140" s="190"/>
    </row>
    <row r="141" spans="1:14" ht="24" customHeight="1">
      <c r="A141" s="96"/>
      <c r="B141" s="153" t="s">
        <v>91</v>
      </c>
      <c r="C141" s="169" t="s">
        <v>277</v>
      </c>
      <c r="D141" s="93" t="s">
        <v>180</v>
      </c>
      <c r="E141" s="144">
        <v>2</v>
      </c>
      <c r="F141" s="152" t="s">
        <v>97</v>
      </c>
      <c r="G141" s="142">
        <v>75000</v>
      </c>
      <c r="H141" s="92">
        <f t="shared" si="142"/>
        <v>150000</v>
      </c>
      <c r="I141" s="92"/>
      <c r="J141" s="92">
        <f t="shared" si="141"/>
        <v>0</v>
      </c>
      <c r="K141" s="92">
        <f t="shared" si="143"/>
        <v>75000</v>
      </c>
      <c r="L141" s="92">
        <f t="shared" si="144"/>
        <v>150000</v>
      </c>
      <c r="M141" s="192" t="s">
        <v>138</v>
      </c>
      <c r="N141" s="190"/>
    </row>
    <row r="142" spans="1:14" ht="24" customHeight="1">
      <c r="A142" s="96"/>
      <c r="B142" s="153" t="s">
        <v>278</v>
      </c>
      <c r="C142" s="169"/>
      <c r="D142" s="93" t="s">
        <v>180</v>
      </c>
      <c r="E142" s="144">
        <v>2</v>
      </c>
      <c r="F142" s="152" t="s">
        <v>88</v>
      </c>
      <c r="G142" s="142">
        <v>210000</v>
      </c>
      <c r="H142" s="92">
        <f t="shared" ref="H142" si="148">E142*G142</f>
        <v>420000</v>
      </c>
      <c r="I142" s="92"/>
      <c r="J142" s="92">
        <f t="shared" si="141"/>
        <v>0</v>
      </c>
      <c r="K142" s="92">
        <f t="shared" ref="K142" si="149">G142+I142</f>
        <v>210000</v>
      </c>
      <c r="L142" s="92">
        <f t="shared" ref="L142" si="150">H142+J142</f>
        <v>420000</v>
      </c>
      <c r="M142" s="192" t="s">
        <v>138</v>
      </c>
      <c r="N142" s="190"/>
    </row>
    <row r="143" spans="1:14" ht="24" customHeight="1">
      <c r="A143" s="96"/>
      <c r="B143" s="153" t="s">
        <v>285</v>
      </c>
      <c r="C143" s="169" t="s">
        <v>279</v>
      </c>
      <c r="D143" s="93" t="s">
        <v>180</v>
      </c>
      <c r="E143" s="144"/>
      <c r="F143" s="152" t="s">
        <v>88</v>
      </c>
      <c r="G143" s="142">
        <v>204500</v>
      </c>
      <c r="H143" s="92">
        <f t="shared" ref="H143" si="151">E143*G143</f>
        <v>0</v>
      </c>
      <c r="I143" s="92"/>
      <c r="J143" s="92">
        <f t="shared" si="141"/>
        <v>0</v>
      </c>
      <c r="K143" s="92">
        <f t="shared" ref="K143" si="152">G143+I143</f>
        <v>204500</v>
      </c>
      <c r="L143" s="92">
        <f t="shared" ref="L143" si="153">H143+J143</f>
        <v>0</v>
      </c>
      <c r="M143" s="192" t="s">
        <v>138</v>
      </c>
      <c r="N143" s="190"/>
    </row>
    <row r="144" spans="1:14" ht="24" customHeight="1">
      <c r="A144" s="96"/>
      <c r="B144" s="153" t="s">
        <v>288</v>
      </c>
      <c r="C144" s="169" t="s">
        <v>289</v>
      </c>
      <c r="D144" s="93" t="s">
        <v>180</v>
      </c>
      <c r="E144" s="144">
        <v>2</v>
      </c>
      <c r="F144" s="152" t="s">
        <v>88</v>
      </c>
      <c r="G144" s="142">
        <v>45000</v>
      </c>
      <c r="H144" s="92">
        <f t="shared" ref="H144" si="154">E144*G144</f>
        <v>90000</v>
      </c>
      <c r="I144" s="92"/>
      <c r="J144" s="92">
        <f t="shared" si="141"/>
        <v>0</v>
      </c>
      <c r="K144" s="92">
        <f t="shared" ref="K144" si="155">G144+I144</f>
        <v>45000</v>
      </c>
      <c r="L144" s="92">
        <f t="shared" ref="L144" si="156">H144+J144</f>
        <v>90000</v>
      </c>
      <c r="M144" s="192" t="s">
        <v>138</v>
      </c>
      <c r="N144" s="190"/>
    </row>
    <row r="145" spans="1:14" ht="24" customHeight="1">
      <c r="A145" s="96"/>
      <c r="B145" s="153" t="s">
        <v>92</v>
      </c>
      <c r="C145" s="174" t="s">
        <v>280</v>
      </c>
      <c r="D145" s="93" t="s">
        <v>180</v>
      </c>
      <c r="E145" s="144">
        <v>2</v>
      </c>
      <c r="F145" s="152" t="s">
        <v>97</v>
      </c>
      <c r="G145" s="142">
        <v>280000</v>
      </c>
      <c r="H145" s="92">
        <f t="shared" si="142"/>
        <v>560000</v>
      </c>
      <c r="I145" s="92"/>
      <c r="J145" s="92">
        <f t="shared" ref="J145:J162" si="157">E145*I145</f>
        <v>0</v>
      </c>
      <c r="K145" s="92">
        <f t="shared" si="143"/>
        <v>280000</v>
      </c>
      <c r="L145" s="92">
        <f t="shared" si="144"/>
        <v>560000</v>
      </c>
      <c r="M145" s="192" t="s">
        <v>138</v>
      </c>
      <c r="N145" s="190"/>
    </row>
    <row r="146" spans="1:14" ht="24" customHeight="1">
      <c r="A146" s="96"/>
      <c r="B146" s="153"/>
      <c r="C146" s="174" t="s">
        <v>281</v>
      </c>
      <c r="D146" s="93" t="s">
        <v>180</v>
      </c>
      <c r="E146" s="144"/>
      <c r="F146" s="152" t="s">
        <v>88</v>
      </c>
      <c r="G146" s="142">
        <v>288000</v>
      </c>
      <c r="H146" s="92">
        <f t="shared" ref="H146" si="158">E146*G146</f>
        <v>0</v>
      </c>
      <c r="I146" s="92"/>
      <c r="J146" s="92">
        <f t="shared" ref="J146" si="159">E146*I146</f>
        <v>0</v>
      </c>
      <c r="K146" s="92">
        <f t="shared" ref="K146" si="160">G146+I146</f>
        <v>288000</v>
      </c>
      <c r="L146" s="92">
        <f t="shared" ref="L146" si="161">H146+J146</f>
        <v>0</v>
      </c>
      <c r="M146" s="192" t="s">
        <v>138</v>
      </c>
      <c r="N146" s="190"/>
    </row>
    <row r="147" spans="1:14" ht="24" customHeight="1">
      <c r="A147" s="96"/>
      <c r="B147" s="153"/>
      <c r="C147" s="174" t="s">
        <v>282</v>
      </c>
      <c r="D147" s="93" t="s">
        <v>180</v>
      </c>
      <c r="E147" s="144"/>
      <c r="F147" s="152" t="s">
        <v>88</v>
      </c>
      <c r="G147" s="142">
        <v>288000</v>
      </c>
      <c r="H147" s="92">
        <f t="shared" ref="H147" si="162">E147*G147</f>
        <v>0</v>
      </c>
      <c r="I147" s="92"/>
      <c r="J147" s="92">
        <f t="shared" ref="J147" si="163">E147*I147</f>
        <v>0</v>
      </c>
      <c r="K147" s="92">
        <f t="shared" ref="K147" si="164">G147+I147</f>
        <v>288000</v>
      </c>
      <c r="L147" s="92">
        <f t="shared" ref="L147" si="165">H147+J147</f>
        <v>0</v>
      </c>
      <c r="M147" s="192" t="s">
        <v>138</v>
      </c>
      <c r="N147" s="190"/>
    </row>
    <row r="148" spans="1:14" ht="24" customHeight="1">
      <c r="A148" s="96"/>
      <c r="B148" s="153" t="s">
        <v>93</v>
      </c>
      <c r="C148" s="173" t="s">
        <v>283</v>
      </c>
      <c r="D148" s="93" t="s">
        <v>180</v>
      </c>
      <c r="E148" s="144"/>
      <c r="F148" s="152" t="s">
        <v>97</v>
      </c>
      <c r="G148" s="142">
        <v>81800</v>
      </c>
      <c r="H148" s="92">
        <f t="shared" si="142"/>
        <v>0</v>
      </c>
      <c r="I148" s="92"/>
      <c r="J148" s="92">
        <f t="shared" si="157"/>
        <v>0</v>
      </c>
      <c r="K148" s="92">
        <f t="shared" si="143"/>
        <v>81800</v>
      </c>
      <c r="L148" s="92">
        <f t="shared" si="144"/>
        <v>0</v>
      </c>
      <c r="M148" s="192" t="s">
        <v>138</v>
      </c>
      <c r="N148" s="190"/>
    </row>
    <row r="149" spans="1:14" ht="24" customHeight="1">
      <c r="A149" s="96"/>
      <c r="B149" s="168"/>
      <c r="C149" s="173" t="s">
        <v>284</v>
      </c>
      <c r="D149" s="93" t="s">
        <v>180</v>
      </c>
      <c r="E149" s="144">
        <v>2</v>
      </c>
      <c r="F149" s="152" t="s">
        <v>88</v>
      </c>
      <c r="G149" s="142">
        <v>80000</v>
      </c>
      <c r="H149" s="92">
        <f t="shared" ref="H149" si="166">E149*G149</f>
        <v>160000</v>
      </c>
      <c r="I149" s="92"/>
      <c r="J149" s="92">
        <f t="shared" ref="J149" si="167">E149*I149</f>
        <v>0</v>
      </c>
      <c r="K149" s="92">
        <f t="shared" ref="K149" si="168">G149+I149</f>
        <v>80000</v>
      </c>
      <c r="L149" s="92">
        <f t="shared" ref="L149" si="169">H149+J149</f>
        <v>160000</v>
      </c>
      <c r="M149" s="192" t="s">
        <v>138</v>
      </c>
      <c r="N149" s="190"/>
    </row>
    <row r="150" spans="1:14" ht="24" customHeight="1">
      <c r="A150" s="96"/>
      <c r="B150" s="153" t="s">
        <v>223</v>
      </c>
      <c r="C150" s="143" t="s">
        <v>286</v>
      </c>
      <c r="D150" s="93"/>
      <c r="E150" s="144">
        <v>2</v>
      </c>
      <c r="F150" s="152" t="s">
        <v>98</v>
      </c>
      <c r="G150" s="142">
        <v>210000</v>
      </c>
      <c r="H150" s="92">
        <f t="shared" si="142"/>
        <v>420000</v>
      </c>
      <c r="I150" s="92"/>
      <c r="J150" s="92">
        <f t="shared" si="157"/>
        <v>0</v>
      </c>
      <c r="K150" s="92">
        <f t="shared" si="143"/>
        <v>210000</v>
      </c>
      <c r="L150" s="92">
        <f t="shared" si="144"/>
        <v>420000</v>
      </c>
      <c r="M150" s="192" t="s">
        <v>138</v>
      </c>
      <c r="N150" s="190"/>
    </row>
    <row r="151" spans="1:14" ht="24" customHeight="1">
      <c r="A151" s="96"/>
      <c r="B151" s="153" t="s">
        <v>287</v>
      </c>
      <c r="C151" s="143" t="s">
        <v>286</v>
      </c>
      <c r="D151" s="93"/>
      <c r="E151" s="144">
        <v>0</v>
      </c>
      <c r="F151" s="152" t="s">
        <v>98</v>
      </c>
      <c r="G151" s="142">
        <v>380000</v>
      </c>
      <c r="H151" s="92">
        <f t="shared" ref="H151" si="170">E151*G151</f>
        <v>0</v>
      </c>
      <c r="I151" s="92"/>
      <c r="J151" s="92">
        <f t="shared" ref="J151" si="171">E151*I151</f>
        <v>0</v>
      </c>
      <c r="K151" s="92">
        <f t="shared" ref="K151" si="172">G151+I151</f>
        <v>380000</v>
      </c>
      <c r="L151" s="92">
        <f t="shared" ref="L151" si="173">H151+J151</f>
        <v>0</v>
      </c>
      <c r="M151" s="192" t="s">
        <v>138</v>
      </c>
      <c r="N151" s="190"/>
    </row>
    <row r="152" spans="1:14" ht="24" customHeight="1">
      <c r="A152" s="96"/>
      <c r="B152" s="153" t="s">
        <v>119</v>
      </c>
      <c r="C152" s="143" t="s">
        <v>290</v>
      </c>
      <c r="D152" s="93"/>
      <c r="E152" s="144">
        <v>0</v>
      </c>
      <c r="F152" s="152" t="s">
        <v>98</v>
      </c>
      <c r="G152" s="142">
        <v>213000</v>
      </c>
      <c r="H152" s="92">
        <f t="shared" ref="H152:H153" si="174">E152*G152</f>
        <v>0</v>
      </c>
      <c r="I152" s="92"/>
      <c r="J152" s="92">
        <f t="shared" ref="J152:J153" si="175">E152*I152</f>
        <v>0</v>
      </c>
      <c r="K152" s="92">
        <f t="shared" ref="K152:K153" si="176">G152+I152</f>
        <v>213000</v>
      </c>
      <c r="L152" s="92">
        <f t="shared" ref="L152:L153" si="177">H152+J152</f>
        <v>0</v>
      </c>
      <c r="M152" s="192" t="s">
        <v>138</v>
      </c>
      <c r="N152" s="190"/>
    </row>
    <row r="153" spans="1:14" ht="24" customHeight="1">
      <c r="A153" s="96"/>
      <c r="B153" s="153" t="s">
        <v>94</v>
      </c>
      <c r="C153" s="143" t="s">
        <v>291</v>
      </c>
      <c r="D153" s="93"/>
      <c r="E153" s="144"/>
      <c r="F153" s="152" t="s">
        <v>88</v>
      </c>
      <c r="G153" s="142">
        <v>450000</v>
      </c>
      <c r="H153" s="92">
        <f t="shared" si="174"/>
        <v>0</v>
      </c>
      <c r="I153" s="92"/>
      <c r="J153" s="92">
        <f t="shared" si="175"/>
        <v>0</v>
      </c>
      <c r="K153" s="92">
        <f t="shared" si="176"/>
        <v>450000</v>
      </c>
      <c r="L153" s="92">
        <f t="shared" si="177"/>
        <v>0</v>
      </c>
      <c r="M153" s="192" t="s">
        <v>138</v>
      </c>
      <c r="N153" s="190"/>
    </row>
    <row r="154" spans="1:14" ht="24" customHeight="1">
      <c r="A154" s="96"/>
      <c r="B154" s="153"/>
      <c r="C154" s="143" t="s">
        <v>296</v>
      </c>
      <c r="D154" s="93"/>
      <c r="E154" s="144">
        <v>2</v>
      </c>
      <c r="F154" s="152" t="s">
        <v>97</v>
      </c>
      <c r="G154" s="142">
        <v>220000</v>
      </c>
      <c r="H154" s="92">
        <f t="shared" si="142"/>
        <v>440000</v>
      </c>
      <c r="I154" s="92"/>
      <c r="J154" s="92">
        <f t="shared" si="157"/>
        <v>0</v>
      </c>
      <c r="K154" s="92">
        <f t="shared" si="143"/>
        <v>220000</v>
      </c>
      <c r="L154" s="92">
        <f t="shared" si="144"/>
        <v>440000</v>
      </c>
      <c r="M154" s="192" t="s">
        <v>138</v>
      </c>
      <c r="N154" s="190"/>
    </row>
    <row r="155" spans="1:14" ht="24" customHeight="1">
      <c r="A155" s="96"/>
      <c r="B155" s="153" t="s">
        <v>95</v>
      </c>
      <c r="C155" s="143" t="s">
        <v>292</v>
      </c>
      <c r="D155" s="93" t="s">
        <v>180</v>
      </c>
      <c r="E155" s="144">
        <v>2</v>
      </c>
      <c r="F155" s="152" t="s">
        <v>98</v>
      </c>
      <c r="G155" s="142">
        <v>47000</v>
      </c>
      <c r="H155" s="92">
        <f t="shared" si="142"/>
        <v>94000</v>
      </c>
      <c r="I155" s="92"/>
      <c r="J155" s="92">
        <f t="shared" si="157"/>
        <v>0</v>
      </c>
      <c r="K155" s="92">
        <f t="shared" si="143"/>
        <v>47000</v>
      </c>
      <c r="L155" s="92">
        <f t="shared" si="144"/>
        <v>94000</v>
      </c>
      <c r="M155" s="192" t="s">
        <v>138</v>
      </c>
      <c r="N155" s="190"/>
    </row>
    <row r="156" spans="1:14" ht="24" customHeight="1">
      <c r="A156" s="96"/>
      <c r="B156" s="153" t="s">
        <v>96</v>
      </c>
      <c r="C156" s="143" t="s">
        <v>293</v>
      </c>
      <c r="D156" s="93" t="s">
        <v>180</v>
      </c>
      <c r="E156" s="144">
        <v>4</v>
      </c>
      <c r="F156" s="152" t="s">
        <v>97</v>
      </c>
      <c r="G156" s="142">
        <v>25000</v>
      </c>
      <c r="H156" s="92">
        <f t="shared" si="142"/>
        <v>100000</v>
      </c>
      <c r="I156" s="92"/>
      <c r="J156" s="92">
        <f t="shared" si="157"/>
        <v>0</v>
      </c>
      <c r="K156" s="92">
        <f t="shared" si="143"/>
        <v>25000</v>
      </c>
      <c r="L156" s="92">
        <f t="shared" si="144"/>
        <v>100000</v>
      </c>
      <c r="M156" s="192" t="s">
        <v>138</v>
      </c>
      <c r="N156" s="190"/>
    </row>
    <row r="157" spans="1:14" ht="24" customHeight="1">
      <c r="A157" s="96"/>
      <c r="B157" s="153" t="s">
        <v>224</v>
      </c>
      <c r="C157" s="143" t="s">
        <v>294</v>
      </c>
      <c r="D157" s="93" t="s">
        <v>180</v>
      </c>
      <c r="E157" s="144">
        <v>2</v>
      </c>
      <c r="F157" s="152" t="s">
        <v>97</v>
      </c>
      <c r="G157" s="142">
        <v>33800</v>
      </c>
      <c r="H157" s="92">
        <f t="shared" ref="H157" si="178">E157*G157</f>
        <v>67600</v>
      </c>
      <c r="I157" s="92"/>
      <c r="J157" s="92">
        <f t="shared" ref="J157" si="179">E157*I157</f>
        <v>0</v>
      </c>
      <c r="K157" s="92">
        <f t="shared" ref="K157" si="180">G157+I157</f>
        <v>33800</v>
      </c>
      <c r="L157" s="92">
        <f t="shared" ref="L157" si="181">H157+J157</f>
        <v>67600</v>
      </c>
      <c r="M157" s="192" t="s">
        <v>138</v>
      </c>
      <c r="N157" s="190"/>
    </row>
    <row r="158" spans="1:14" ht="24" customHeight="1">
      <c r="A158" s="96"/>
      <c r="B158" s="153"/>
      <c r="C158" s="143" t="s">
        <v>295</v>
      </c>
      <c r="D158" s="93" t="s">
        <v>180</v>
      </c>
      <c r="E158" s="144"/>
      <c r="F158" s="152" t="s">
        <v>88</v>
      </c>
      <c r="G158" s="142">
        <v>400000</v>
      </c>
      <c r="H158" s="92">
        <f t="shared" ref="H158" si="182">E158*G158</f>
        <v>0</v>
      </c>
      <c r="I158" s="92"/>
      <c r="J158" s="92">
        <f t="shared" ref="J158" si="183">E158*I158</f>
        <v>0</v>
      </c>
      <c r="K158" s="92">
        <f t="shared" ref="K158" si="184">G158+I158</f>
        <v>400000</v>
      </c>
      <c r="L158" s="92">
        <f t="shared" ref="L158" si="185">H158+J158</f>
        <v>0</v>
      </c>
      <c r="M158" s="192" t="s">
        <v>138</v>
      </c>
      <c r="N158" s="190"/>
    </row>
    <row r="159" spans="1:14" ht="24" customHeight="1">
      <c r="A159" s="96"/>
      <c r="B159" s="153" t="s">
        <v>297</v>
      </c>
      <c r="C159" s="143"/>
      <c r="D159" s="93" t="s">
        <v>180</v>
      </c>
      <c r="E159" s="144">
        <v>2</v>
      </c>
      <c r="F159" s="152" t="s">
        <v>88</v>
      </c>
      <c r="G159" s="142">
        <v>45000</v>
      </c>
      <c r="H159" s="92">
        <f t="shared" ref="H159" si="186">E159*G159</f>
        <v>90000</v>
      </c>
      <c r="I159" s="92"/>
      <c r="J159" s="92">
        <f t="shared" ref="J159" si="187">E159*I159</f>
        <v>0</v>
      </c>
      <c r="K159" s="92">
        <f t="shared" ref="K159" si="188">G159+I159</f>
        <v>45000</v>
      </c>
      <c r="L159" s="92">
        <f t="shared" ref="L159" si="189">H159+J159</f>
        <v>90000</v>
      </c>
      <c r="M159" s="192" t="s">
        <v>138</v>
      </c>
      <c r="N159" s="190"/>
    </row>
    <row r="160" spans="1:14" ht="24" customHeight="1">
      <c r="A160" s="96"/>
      <c r="B160" s="153" t="s">
        <v>299</v>
      </c>
      <c r="C160" s="143" t="s">
        <v>300</v>
      </c>
      <c r="D160" s="93" t="s">
        <v>180</v>
      </c>
      <c r="E160" s="144">
        <v>2</v>
      </c>
      <c r="F160" s="152" t="s">
        <v>88</v>
      </c>
      <c r="G160" s="142">
        <v>20000</v>
      </c>
      <c r="H160" s="92">
        <f t="shared" ref="H160" si="190">E160*G160</f>
        <v>40000</v>
      </c>
      <c r="I160" s="92"/>
      <c r="J160" s="92">
        <f t="shared" ref="J160" si="191">E160*I160</f>
        <v>0</v>
      </c>
      <c r="K160" s="92">
        <f t="shared" ref="K160" si="192">G160+I160</f>
        <v>20000</v>
      </c>
      <c r="L160" s="92">
        <f t="shared" ref="L160" si="193">H160+J160</f>
        <v>40000</v>
      </c>
      <c r="M160" s="192" t="s">
        <v>138</v>
      </c>
      <c r="N160" s="190"/>
    </row>
    <row r="161" spans="1:14" ht="24" customHeight="1">
      <c r="A161" s="96"/>
      <c r="B161" s="153" t="s">
        <v>298</v>
      </c>
      <c r="C161" s="143"/>
      <c r="D161" s="93" t="s">
        <v>180</v>
      </c>
      <c r="E161" s="144">
        <v>1</v>
      </c>
      <c r="F161" s="152" t="s">
        <v>88</v>
      </c>
      <c r="G161" s="142">
        <v>20000</v>
      </c>
      <c r="H161" s="92">
        <f t="shared" ref="H161" si="194">E161*G161</f>
        <v>20000</v>
      </c>
      <c r="I161" s="92"/>
      <c r="J161" s="92">
        <f t="shared" ref="J161" si="195">E161*I161</f>
        <v>0</v>
      </c>
      <c r="K161" s="92">
        <f t="shared" ref="K161" si="196">G161+I161</f>
        <v>20000</v>
      </c>
      <c r="L161" s="92">
        <f t="shared" ref="L161" si="197">H161+J161</f>
        <v>20000</v>
      </c>
      <c r="M161" s="192" t="s">
        <v>138</v>
      </c>
      <c r="N161" s="190"/>
    </row>
    <row r="162" spans="1:14" ht="24" customHeight="1">
      <c r="A162" s="96"/>
      <c r="B162" s="153" t="s">
        <v>90</v>
      </c>
      <c r="C162" s="143"/>
      <c r="D162" s="93"/>
      <c r="E162" s="144">
        <v>2</v>
      </c>
      <c r="F162" s="152" t="s">
        <v>77</v>
      </c>
      <c r="G162" s="142"/>
      <c r="H162" s="92">
        <f t="shared" si="142"/>
        <v>0</v>
      </c>
      <c r="I162" s="141">
        <v>250000</v>
      </c>
      <c r="J162" s="92">
        <f t="shared" si="157"/>
        <v>500000</v>
      </c>
      <c r="K162" s="92">
        <f t="shared" si="143"/>
        <v>250000</v>
      </c>
      <c r="L162" s="92">
        <f t="shared" si="144"/>
        <v>500000</v>
      </c>
      <c r="M162" s="91"/>
      <c r="N162" s="190" t="s">
        <v>225</v>
      </c>
    </row>
    <row r="163" spans="1:14" ht="24" customHeight="1">
      <c r="A163" s="96"/>
      <c r="B163" s="142"/>
      <c r="C163" s="156"/>
      <c r="D163" s="95"/>
      <c r="E163" s="94"/>
      <c r="F163" s="152"/>
      <c r="G163" s="154"/>
      <c r="H163" s="92"/>
      <c r="I163" s="92"/>
      <c r="J163" s="92"/>
      <c r="K163" s="92"/>
      <c r="L163" s="92"/>
      <c r="M163" s="91"/>
      <c r="N163" s="190"/>
    </row>
    <row r="164" spans="1:14" ht="24" customHeight="1">
      <c r="A164" s="96"/>
      <c r="B164" s="95" t="s">
        <v>20</v>
      </c>
      <c r="C164" s="95"/>
      <c r="D164" s="95"/>
      <c r="E164" s="94"/>
      <c r="F164" s="93"/>
      <c r="G164" s="92"/>
      <c r="H164" s="92">
        <f>SUM(H138:H163)</f>
        <v>3851600</v>
      </c>
      <c r="I164" s="92"/>
      <c r="J164" s="92">
        <f>SUM(J138:J163)</f>
        <v>500000</v>
      </c>
      <c r="K164" s="92"/>
      <c r="L164" s="92">
        <f>SUM(L138:L163)</f>
        <v>4351600</v>
      </c>
      <c r="M164" s="91"/>
      <c r="N164" s="190"/>
    </row>
    <row r="165" spans="1:14" ht="24" customHeight="1">
      <c r="A165" s="96"/>
      <c r="B165" s="142"/>
      <c r="C165" s="156"/>
      <c r="D165" s="95"/>
      <c r="E165" s="94"/>
      <c r="F165" s="152"/>
      <c r="G165" s="154"/>
      <c r="H165" s="92"/>
      <c r="I165" s="92"/>
      <c r="J165" s="92"/>
      <c r="K165" s="92"/>
      <c r="L165" s="92"/>
      <c r="M165" s="91"/>
      <c r="N165" s="190"/>
    </row>
    <row r="166" spans="1:14" ht="24" customHeight="1">
      <c r="A166" s="102">
        <f>A11</f>
        <v>8</v>
      </c>
      <c r="B166" s="101" t="str">
        <f>B11</f>
        <v>가구 공사</v>
      </c>
      <c r="C166" s="101"/>
      <c r="D166" s="101"/>
      <c r="E166" s="100"/>
      <c r="F166" s="99"/>
      <c r="G166" s="98"/>
      <c r="H166" s="98"/>
      <c r="I166" s="98"/>
      <c r="J166" s="98"/>
      <c r="K166" s="98"/>
      <c r="L166" s="98"/>
      <c r="M166" s="97"/>
      <c r="N166" s="190"/>
    </row>
    <row r="167" spans="1:14" ht="24" customHeight="1">
      <c r="A167" s="96"/>
      <c r="B167" s="154" t="s">
        <v>328</v>
      </c>
      <c r="C167" s="155"/>
      <c r="D167" s="93" t="s">
        <v>180</v>
      </c>
      <c r="E167" s="144">
        <v>1</v>
      </c>
      <c r="F167" s="152" t="s">
        <v>8</v>
      </c>
      <c r="G167" s="154">
        <v>9820000</v>
      </c>
      <c r="H167" s="92">
        <f t="shared" ref="H167:H168" si="198">E167*G167</f>
        <v>9820000</v>
      </c>
      <c r="I167" s="92">
        <v>1550000</v>
      </c>
      <c r="J167" s="92">
        <f>E167*I167</f>
        <v>1550000</v>
      </c>
      <c r="K167" s="92">
        <f t="shared" ref="K167" si="199">G167+I167</f>
        <v>11370000</v>
      </c>
      <c r="L167" s="92">
        <f>H167+J167</f>
        <v>11370000</v>
      </c>
      <c r="M167" s="192" t="s">
        <v>138</v>
      </c>
      <c r="N167" s="190"/>
    </row>
    <row r="168" spans="1:14" ht="24" customHeight="1">
      <c r="A168" s="96"/>
      <c r="B168" s="154" t="s">
        <v>329</v>
      </c>
      <c r="C168" s="156"/>
      <c r="D168" s="95"/>
      <c r="E168" s="94">
        <v>1</v>
      </c>
      <c r="F168" s="152" t="s">
        <v>330</v>
      </c>
      <c r="G168" s="154">
        <v>13400000</v>
      </c>
      <c r="H168" s="92">
        <f t="shared" si="198"/>
        <v>13400000</v>
      </c>
      <c r="I168" s="92"/>
      <c r="J168" s="92"/>
      <c r="K168" s="92">
        <f>I168+G168</f>
        <v>13400000</v>
      </c>
      <c r="L168" s="92">
        <f>H168+J168</f>
        <v>13400000</v>
      </c>
      <c r="M168" s="91"/>
      <c r="N168" s="190"/>
    </row>
    <row r="169" spans="1:14" ht="24" customHeight="1">
      <c r="A169" s="96"/>
      <c r="B169" s="95" t="s">
        <v>20</v>
      </c>
      <c r="C169" s="95"/>
      <c r="D169" s="95"/>
      <c r="E169" s="94"/>
      <c r="F169" s="93"/>
      <c r="G169" s="92"/>
      <c r="H169" s="92">
        <f>SUM(H167:H168)</f>
        <v>23220000</v>
      </c>
      <c r="I169" s="92"/>
      <c r="J169" s="92">
        <f>SUM(J167:J168)</f>
        <v>1550000</v>
      </c>
      <c r="K169" s="92"/>
      <c r="L169" s="92">
        <f>SUM(L167:L168)</f>
        <v>24770000</v>
      </c>
      <c r="M169" s="91"/>
      <c r="N169" s="190"/>
    </row>
    <row r="170" spans="1:14" ht="24" customHeight="1">
      <c r="A170" s="96"/>
      <c r="B170" s="95"/>
      <c r="C170" s="95"/>
      <c r="D170" s="95"/>
      <c r="E170" s="94"/>
      <c r="F170" s="93"/>
      <c r="G170" s="92"/>
      <c r="H170" s="92"/>
      <c r="I170" s="92"/>
      <c r="J170" s="92"/>
      <c r="K170" s="92"/>
      <c r="L170" s="92"/>
      <c r="M170" s="91"/>
      <c r="N170" s="190"/>
    </row>
    <row r="171" spans="1:14" ht="24" customHeight="1">
      <c r="A171" s="102">
        <f>A12</f>
        <v>9</v>
      </c>
      <c r="B171" s="101" t="str">
        <f>B12</f>
        <v>샤시 공사</v>
      </c>
      <c r="C171" s="101"/>
      <c r="D171" s="101"/>
      <c r="E171" s="100"/>
      <c r="F171" s="99"/>
      <c r="G171" s="98"/>
      <c r="H171" s="98"/>
      <c r="I171" s="98"/>
      <c r="J171" s="98"/>
      <c r="K171" s="98"/>
      <c r="L171" s="98"/>
      <c r="M171" s="97"/>
      <c r="N171" s="190"/>
    </row>
    <row r="172" spans="1:14" ht="24" customHeight="1">
      <c r="A172" s="96"/>
      <c r="B172" s="154" t="s">
        <v>248</v>
      </c>
      <c r="C172" s="155" t="s">
        <v>250</v>
      </c>
      <c r="D172" s="93" t="s">
        <v>249</v>
      </c>
      <c r="E172" s="157">
        <v>1</v>
      </c>
      <c r="F172" s="158" t="s">
        <v>99</v>
      </c>
      <c r="G172" s="154">
        <v>667500</v>
      </c>
      <c r="H172" s="92">
        <f t="shared" ref="H172:H183" si="200">E172*G172</f>
        <v>667500</v>
      </c>
      <c r="I172" s="92"/>
      <c r="J172" s="92">
        <f t="shared" ref="J172:J173" si="201">E172*I172</f>
        <v>0</v>
      </c>
      <c r="K172" s="92">
        <f t="shared" ref="K172:K183" si="202">G172+I172</f>
        <v>667500</v>
      </c>
      <c r="L172" s="92">
        <f t="shared" ref="L172:L183" si="203">H172+J172</f>
        <v>667500</v>
      </c>
      <c r="M172" s="192" t="s">
        <v>138</v>
      </c>
      <c r="N172" s="190" t="s">
        <v>239</v>
      </c>
    </row>
    <row r="173" spans="1:14" ht="24" customHeight="1">
      <c r="A173" s="96"/>
      <c r="B173" s="154" t="s">
        <v>251</v>
      </c>
      <c r="C173" s="155" t="s">
        <v>252</v>
      </c>
      <c r="D173" s="93" t="s">
        <v>249</v>
      </c>
      <c r="E173" s="157">
        <v>1</v>
      </c>
      <c r="F173" s="158" t="s">
        <v>99</v>
      </c>
      <c r="G173" s="154">
        <v>942500</v>
      </c>
      <c r="H173" s="92">
        <f t="shared" si="200"/>
        <v>942500</v>
      </c>
      <c r="I173" s="92"/>
      <c r="J173" s="92">
        <f t="shared" si="201"/>
        <v>0</v>
      </c>
      <c r="K173" s="92">
        <f t="shared" si="202"/>
        <v>942500</v>
      </c>
      <c r="L173" s="92">
        <f t="shared" si="203"/>
        <v>942500</v>
      </c>
      <c r="M173" s="192" t="s">
        <v>138</v>
      </c>
      <c r="N173" s="190"/>
    </row>
    <row r="174" spans="1:14" ht="24" customHeight="1">
      <c r="A174" s="96"/>
      <c r="B174" s="154"/>
      <c r="C174" s="155" t="s">
        <v>253</v>
      </c>
      <c r="D174" s="93" t="s">
        <v>249</v>
      </c>
      <c r="E174" s="157">
        <v>1</v>
      </c>
      <c r="F174" s="158" t="s">
        <v>99</v>
      </c>
      <c r="G174" s="154">
        <v>211600</v>
      </c>
      <c r="H174" s="92">
        <f t="shared" si="200"/>
        <v>211600</v>
      </c>
      <c r="I174" s="92"/>
      <c r="J174" s="92">
        <f t="shared" ref="J174:J175" si="204">E174*I174</f>
        <v>0</v>
      </c>
      <c r="K174" s="92">
        <f t="shared" si="202"/>
        <v>211600</v>
      </c>
      <c r="L174" s="92">
        <f t="shared" si="203"/>
        <v>211600</v>
      </c>
      <c r="M174" s="192" t="s">
        <v>138</v>
      </c>
      <c r="N174" s="190"/>
    </row>
    <row r="175" spans="1:14" ht="24" customHeight="1">
      <c r="A175" s="96"/>
      <c r="B175" s="154"/>
      <c r="C175" s="155" t="s">
        <v>254</v>
      </c>
      <c r="D175" s="93" t="s">
        <v>249</v>
      </c>
      <c r="E175" s="157">
        <v>1</v>
      </c>
      <c r="F175" s="158" t="s">
        <v>99</v>
      </c>
      <c r="G175" s="154">
        <v>502200</v>
      </c>
      <c r="H175" s="92">
        <f t="shared" si="200"/>
        <v>502200</v>
      </c>
      <c r="I175" s="92"/>
      <c r="J175" s="92">
        <f t="shared" si="204"/>
        <v>0</v>
      </c>
      <c r="K175" s="92">
        <f t="shared" si="202"/>
        <v>502200</v>
      </c>
      <c r="L175" s="92">
        <f t="shared" si="203"/>
        <v>502200</v>
      </c>
      <c r="M175" s="192" t="s">
        <v>138</v>
      </c>
      <c r="N175" s="190"/>
    </row>
    <row r="176" spans="1:14" ht="24" customHeight="1">
      <c r="A176" s="96"/>
      <c r="B176" s="154" t="s">
        <v>255</v>
      </c>
      <c r="C176" s="155" t="s">
        <v>256</v>
      </c>
      <c r="D176" s="93" t="s">
        <v>249</v>
      </c>
      <c r="E176" s="157">
        <v>1</v>
      </c>
      <c r="F176" s="158" t="s">
        <v>99</v>
      </c>
      <c r="G176" s="154">
        <v>608800</v>
      </c>
      <c r="H176" s="92">
        <f t="shared" si="200"/>
        <v>608800</v>
      </c>
      <c r="I176" s="92"/>
      <c r="J176" s="92">
        <f t="shared" ref="J176:J181" si="205">E176*I176</f>
        <v>0</v>
      </c>
      <c r="K176" s="92">
        <f t="shared" si="202"/>
        <v>608800</v>
      </c>
      <c r="L176" s="92">
        <f t="shared" si="203"/>
        <v>608800</v>
      </c>
      <c r="M176" s="192" t="s">
        <v>138</v>
      </c>
      <c r="N176" s="190"/>
    </row>
    <row r="177" spans="1:14" ht="24" customHeight="1">
      <c r="A177" s="96"/>
      <c r="B177" s="154" t="s">
        <v>257</v>
      </c>
      <c r="C177" s="155" t="s">
        <v>260</v>
      </c>
      <c r="D177" s="93" t="s">
        <v>249</v>
      </c>
      <c r="E177" s="157">
        <v>1</v>
      </c>
      <c r="F177" s="158" t="s">
        <v>99</v>
      </c>
      <c r="G177" s="154">
        <v>1636200</v>
      </c>
      <c r="H177" s="92">
        <f t="shared" si="200"/>
        <v>1636200</v>
      </c>
      <c r="I177" s="92"/>
      <c r="J177" s="92">
        <f t="shared" si="205"/>
        <v>0</v>
      </c>
      <c r="K177" s="92">
        <f t="shared" si="202"/>
        <v>1636200</v>
      </c>
      <c r="L177" s="92">
        <f t="shared" si="203"/>
        <v>1636200</v>
      </c>
      <c r="M177" s="192" t="s">
        <v>138</v>
      </c>
      <c r="N177" s="190"/>
    </row>
    <row r="178" spans="1:14" ht="24" customHeight="1">
      <c r="A178" s="96"/>
      <c r="B178" s="154" t="s">
        <v>258</v>
      </c>
      <c r="C178" s="155" t="s">
        <v>259</v>
      </c>
      <c r="D178" s="93" t="s">
        <v>249</v>
      </c>
      <c r="E178" s="157">
        <v>1</v>
      </c>
      <c r="F178" s="158" t="s">
        <v>99</v>
      </c>
      <c r="G178" s="154">
        <v>1044555</v>
      </c>
      <c r="H178" s="92">
        <f t="shared" si="200"/>
        <v>1044555</v>
      </c>
      <c r="I178" s="92"/>
      <c r="J178" s="92">
        <f t="shared" si="205"/>
        <v>0</v>
      </c>
      <c r="K178" s="92">
        <f t="shared" si="202"/>
        <v>1044555</v>
      </c>
      <c r="L178" s="92">
        <f t="shared" si="203"/>
        <v>1044555</v>
      </c>
      <c r="M178" s="192" t="s">
        <v>138</v>
      </c>
      <c r="N178" s="190"/>
    </row>
    <row r="179" spans="1:14" ht="24" customHeight="1">
      <c r="A179" s="96"/>
      <c r="B179" s="154" t="s">
        <v>261</v>
      </c>
      <c r="C179" s="155" t="s">
        <v>262</v>
      </c>
      <c r="D179" s="93" t="s">
        <v>249</v>
      </c>
      <c r="E179" s="157">
        <v>1</v>
      </c>
      <c r="F179" s="158" t="s">
        <v>99</v>
      </c>
      <c r="G179" s="154">
        <v>1118500</v>
      </c>
      <c r="H179" s="92">
        <f t="shared" si="200"/>
        <v>1118500</v>
      </c>
      <c r="I179" s="92"/>
      <c r="J179" s="92">
        <f t="shared" si="205"/>
        <v>0</v>
      </c>
      <c r="K179" s="92">
        <f t="shared" si="202"/>
        <v>1118500</v>
      </c>
      <c r="L179" s="92">
        <f t="shared" si="203"/>
        <v>1118500</v>
      </c>
      <c r="M179" s="192" t="s">
        <v>138</v>
      </c>
      <c r="N179" s="190"/>
    </row>
    <row r="180" spans="1:14" ht="24" customHeight="1">
      <c r="A180" s="96"/>
      <c r="B180" s="154" t="s">
        <v>263</v>
      </c>
      <c r="C180" s="155" t="s">
        <v>264</v>
      </c>
      <c r="D180" s="93" t="s">
        <v>249</v>
      </c>
      <c r="E180" s="157">
        <v>1</v>
      </c>
      <c r="F180" s="158" t="s">
        <v>99</v>
      </c>
      <c r="G180" s="154">
        <v>4052900</v>
      </c>
      <c r="H180" s="92">
        <f t="shared" si="200"/>
        <v>4052900</v>
      </c>
      <c r="I180" s="92"/>
      <c r="J180" s="92">
        <f t="shared" si="205"/>
        <v>0</v>
      </c>
      <c r="K180" s="92">
        <f t="shared" si="202"/>
        <v>4052900</v>
      </c>
      <c r="L180" s="92">
        <f t="shared" si="203"/>
        <v>4052900</v>
      </c>
      <c r="M180" s="192" t="s">
        <v>138</v>
      </c>
      <c r="N180" s="190"/>
    </row>
    <row r="181" spans="1:14" ht="24" customHeight="1">
      <c r="A181" s="96"/>
      <c r="B181" s="154" t="s">
        <v>265</v>
      </c>
      <c r="C181" s="155" t="s">
        <v>250</v>
      </c>
      <c r="D181" s="93" t="s">
        <v>249</v>
      </c>
      <c r="E181" s="157">
        <v>1</v>
      </c>
      <c r="F181" s="158" t="s">
        <v>99</v>
      </c>
      <c r="G181" s="154"/>
      <c r="H181" s="92">
        <f t="shared" si="200"/>
        <v>0</v>
      </c>
      <c r="I181" s="92"/>
      <c r="J181" s="92">
        <f t="shared" si="205"/>
        <v>0</v>
      </c>
      <c r="K181" s="92">
        <f t="shared" si="202"/>
        <v>0</v>
      </c>
      <c r="L181" s="92">
        <f t="shared" si="203"/>
        <v>0</v>
      </c>
      <c r="M181" s="192" t="s">
        <v>138</v>
      </c>
      <c r="N181" s="190"/>
    </row>
    <row r="182" spans="1:14" ht="24" customHeight="1">
      <c r="A182" s="96"/>
      <c r="B182" s="154" t="s">
        <v>266</v>
      </c>
      <c r="C182" s="155" t="s">
        <v>267</v>
      </c>
      <c r="D182" s="93" t="s">
        <v>249</v>
      </c>
      <c r="E182" s="157">
        <v>1</v>
      </c>
      <c r="F182" s="158" t="s">
        <v>99</v>
      </c>
      <c r="G182" s="154">
        <v>731500</v>
      </c>
      <c r="H182" s="92">
        <f t="shared" si="200"/>
        <v>731500</v>
      </c>
      <c r="I182" s="92"/>
      <c r="J182" s="92">
        <f t="shared" ref="J182:J183" si="206">E182*I182</f>
        <v>0</v>
      </c>
      <c r="K182" s="92">
        <f t="shared" si="202"/>
        <v>731500</v>
      </c>
      <c r="L182" s="92">
        <f t="shared" si="203"/>
        <v>731500</v>
      </c>
      <c r="M182" s="192" t="s">
        <v>138</v>
      </c>
      <c r="N182" s="190"/>
    </row>
    <row r="183" spans="1:14" ht="24" customHeight="1">
      <c r="A183" s="96"/>
      <c r="B183" s="154" t="s">
        <v>270</v>
      </c>
      <c r="C183" s="155"/>
      <c r="D183" s="93" t="s">
        <v>249</v>
      </c>
      <c r="E183" s="157">
        <v>1</v>
      </c>
      <c r="F183" s="158" t="s">
        <v>99</v>
      </c>
      <c r="G183" s="154">
        <v>682700</v>
      </c>
      <c r="H183" s="92">
        <f t="shared" si="200"/>
        <v>682700</v>
      </c>
      <c r="I183" s="92"/>
      <c r="J183" s="92">
        <f t="shared" si="206"/>
        <v>0</v>
      </c>
      <c r="K183" s="92">
        <f t="shared" si="202"/>
        <v>682700</v>
      </c>
      <c r="L183" s="92">
        <f t="shared" si="203"/>
        <v>682700</v>
      </c>
      <c r="M183" s="192" t="s">
        <v>138</v>
      </c>
      <c r="N183" s="190"/>
    </row>
    <row r="184" spans="1:14" ht="24" customHeight="1">
      <c r="A184" s="96"/>
      <c r="B184" s="154" t="s">
        <v>268</v>
      </c>
      <c r="C184" s="155"/>
      <c r="D184" s="93" t="s">
        <v>249</v>
      </c>
      <c r="E184" s="157">
        <v>0</v>
      </c>
      <c r="F184" s="158" t="s">
        <v>99</v>
      </c>
      <c r="G184" s="154">
        <v>367636</v>
      </c>
      <c r="H184" s="92">
        <f t="shared" ref="H184" si="207">E184*G184</f>
        <v>0</v>
      </c>
      <c r="I184" s="92"/>
      <c r="J184" s="92">
        <f t="shared" ref="J184" si="208">E184*I184</f>
        <v>0</v>
      </c>
      <c r="K184" s="92">
        <f t="shared" ref="K184" si="209">G184+I184</f>
        <v>367636</v>
      </c>
      <c r="L184" s="92">
        <f t="shared" ref="L184" si="210">H184+J184</f>
        <v>0</v>
      </c>
      <c r="M184" s="192" t="s">
        <v>138</v>
      </c>
      <c r="N184" s="190"/>
    </row>
    <row r="185" spans="1:14" ht="24" customHeight="1">
      <c r="A185" s="96"/>
      <c r="B185" s="154" t="s">
        <v>269</v>
      </c>
      <c r="C185" s="155"/>
      <c r="D185" s="93" t="s">
        <v>249</v>
      </c>
      <c r="E185" s="157">
        <v>1</v>
      </c>
      <c r="F185" s="158" t="s">
        <v>99</v>
      </c>
      <c r="G185" s="154">
        <v>279000</v>
      </c>
      <c r="H185" s="92">
        <f t="shared" ref="H185" si="211">E185*G185</f>
        <v>279000</v>
      </c>
      <c r="I185" s="92"/>
      <c r="J185" s="92">
        <f t="shared" ref="J185" si="212">E185*I185</f>
        <v>0</v>
      </c>
      <c r="K185" s="92">
        <f t="shared" ref="K185" si="213">G185+I185</f>
        <v>279000</v>
      </c>
      <c r="L185" s="92">
        <f t="shared" ref="L185" si="214">H185+J185</f>
        <v>279000</v>
      </c>
      <c r="M185" s="192" t="s">
        <v>138</v>
      </c>
      <c r="N185" s="190"/>
    </row>
    <row r="186" spans="1:14" ht="24" customHeight="1">
      <c r="A186" s="96"/>
      <c r="B186" s="154" t="s">
        <v>271</v>
      </c>
      <c r="C186" s="155"/>
      <c r="D186" s="93"/>
      <c r="E186" s="157">
        <v>1</v>
      </c>
      <c r="F186" s="158" t="s">
        <v>99</v>
      </c>
      <c r="G186" s="154">
        <v>250000</v>
      </c>
      <c r="H186" s="92">
        <f t="shared" ref="H186:H187" si="215">E186*G186</f>
        <v>250000</v>
      </c>
      <c r="I186" s="92"/>
      <c r="J186" s="92">
        <f t="shared" ref="J186:J187" si="216">E186*I186</f>
        <v>0</v>
      </c>
      <c r="K186" s="92">
        <f t="shared" ref="K186:K187" si="217">G186+I186</f>
        <v>250000</v>
      </c>
      <c r="L186" s="92">
        <f t="shared" ref="L186:L187" si="218">H186+J186</f>
        <v>250000</v>
      </c>
      <c r="M186" s="192" t="s">
        <v>138</v>
      </c>
      <c r="N186" s="190"/>
    </row>
    <row r="187" spans="1:14" ht="24" customHeight="1">
      <c r="A187" s="96"/>
      <c r="B187" s="154" t="s">
        <v>272</v>
      </c>
      <c r="C187" s="155"/>
      <c r="D187" s="93"/>
      <c r="E187" s="157">
        <v>1</v>
      </c>
      <c r="F187" s="158" t="s">
        <v>99</v>
      </c>
      <c r="G187" s="154">
        <v>250000</v>
      </c>
      <c r="H187" s="92">
        <f t="shared" si="215"/>
        <v>250000</v>
      </c>
      <c r="I187" s="92"/>
      <c r="J187" s="92">
        <f t="shared" si="216"/>
        <v>0</v>
      </c>
      <c r="K187" s="92">
        <f t="shared" si="217"/>
        <v>250000</v>
      </c>
      <c r="L187" s="92">
        <f t="shared" si="218"/>
        <v>250000</v>
      </c>
      <c r="M187" s="192" t="s">
        <v>138</v>
      </c>
      <c r="N187" s="190"/>
    </row>
    <row r="188" spans="1:14" ht="24" customHeight="1">
      <c r="A188" s="96"/>
      <c r="B188" s="164"/>
      <c r="C188" s="155"/>
      <c r="D188" s="95"/>
      <c r="E188" s="157"/>
      <c r="F188" s="158"/>
      <c r="G188" s="154"/>
      <c r="H188" s="92"/>
      <c r="I188" s="92"/>
      <c r="J188" s="92"/>
      <c r="K188" s="92"/>
      <c r="L188" s="92"/>
      <c r="M188" s="91"/>
      <c r="N188" s="190"/>
    </row>
    <row r="189" spans="1:14" ht="24" customHeight="1">
      <c r="A189" s="96"/>
      <c r="B189" s="95" t="s">
        <v>20</v>
      </c>
      <c r="C189" s="95"/>
      <c r="D189" s="95"/>
      <c r="E189" s="94"/>
      <c r="F189" s="93"/>
      <c r="G189" s="92"/>
      <c r="H189" s="92">
        <f>SUM(H172:H188)</f>
        <v>12977955</v>
      </c>
      <c r="I189" s="92"/>
      <c r="J189" s="92">
        <f>SUM(J168:J188)</f>
        <v>1550000</v>
      </c>
      <c r="K189" s="92"/>
      <c r="L189" s="92">
        <f>SUM(L172:L188)</f>
        <v>12977955</v>
      </c>
      <c r="M189" s="91"/>
      <c r="N189" s="190"/>
    </row>
    <row r="190" spans="1:14" ht="24" customHeight="1">
      <c r="A190" s="96"/>
      <c r="B190" s="172" t="s">
        <v>273</v>
      </c>
      <c r="C190" s="95"/>
      <c r="D190" s="95"/>
      <c r="E190" s="94"/>
      <c r="F190" s="93"/>
      <c r="G190" s="92"/>
      <c r="H190" s="92"/>
      <c r="I190" s="92"/>
      <c r="J190" s="92"/>
      <c r="K190" s="92"/>
      <c r="L190" s="92"/>
      <c r="M190" s="91"/>
      <c r="N190" s="190"/>
    </row>
    <row r="191" spans="1:14" ht="24" customHeight="1">
      <c r="A191" s="102">
        <f>A13</f>
        <v>10</v>
      </c>
      <c r="B191" s="101" t="str">
        <f>B13</f>
        <v>도장 공사</v>
      </c>
      <c r="C191" s="101"/>
      <c r="D191" s="101"/>
      <c r="E191" s="100"/>
      <c r="F191" s="99"/>
      <c r="G191" s="98"/>
      <c r="H191" s="98"/>
      <c r="I191" s="98"/>
      <c r="J191" s="98"/>
      <c r="K191" s="98"/>
      <c r="L191" s="98"/>
      <c r="M191" s="97"/>
      <c r="N191" s="190"/>
    </row>
    <row r="192" spans="1:14" ht="24" customHeight="1">
      <c r="A192" s="96"/>
      <c r="B192" s="159" t="s">
        <v>114</v>
      </c>
      <c r="C192" s="160" t="s">
        <v>226</v>
      </c>
      <c r="D192" s="95"/>
      <c r="E192" s="188">
        <v>141.59</v>
      </c>
      <c r="F192" s="152" t="s">
        <v>76</v>
      </c>
      <c r="G192" s="159">
        <v>2000</v>
      </c>
      <c r="H192" s="92">
        <f>E192*G192</f>
        <v>283180</v>
      </c>
      <c r="I192" s="92">
        <v>3500</v>
      </c>
      <c r="J192" s="92">
        <f>E192*I192</f>
        <v>495565</v>
      </c>
      <c r="K192" s="92">
        <f>G192+I192</f>
        <v>5500</v>
      </c>
      <c r="L192" s="92">
        <f>H192+J192</f>
        <v>778745</v>
      </c>
      <c r="M192" s="91"/>
      <c r="N192" s="190" t="s">
        <v>239</v>
      </c>
    </row>
    <row r="193" spans="1:15" ht="24" customHeight="1">
      <c r="A193" s="96"/>
      <c r="B193" s="159" t="s">
        <v>312</v>
      </c>
      <c r="C193" s="160" t="s">
        <v>321</v>
      </c>
      <c r="D193" s="95" t="s">
        <v>322</v>
      </c>
      <c r="E193" s="188">
        <v>0</v>
      </c>
      <c r="F193" s="152" t="s">
        <v>76</v>
      </c>
      <c r="G193" s="159">
        <v>7500</v>
      </c>
      <c r="H193" s="92">
        <f>E193*G193</f>
        <v>0</v>
      </c>
      <c r="I193" s="92">
        <v>3500</v>
      </c>
      <c r="J193" s="92">
        <f>E193*I193</f>
        <v>0</v>
      </c>
      <c r="K193" s="92">
        <f>G193+I193</f>
        <v>11000</v>
      </c>
      <c r="L193" s="92">
        <f>H193+J193</f>
        <v>0</v>
      </c>
      <c r="M193" s="91"/>
      <c r="N193" s="190" t="s">
        <v>239</v>
      </c>
    </row>
    <row r="194" spans="1:15" ht="24" customHeight="1">
      <c r="A194" s="96"/>
      <c r="B194" s="172" t="s">
        <v>227</v>
      </c>
      <c r="C194" s="160"/>
      <c r="D194" s="95"/>
      <c r="E194" s="161"/>
      <c r="F194" s="152"/>
      <c r="G194" s="159"/>
      <c r="H194" s="92"/>
      <c r="I194" s="92"/>
      <c r="J194" s="92"/>
      <c r="K194" s="92"/>
      <c r="L194" s="92"/>
      <c r="M194" s="91"/>
      <c r="N194" s="190"/>
    </row>
    <row r="195" spans="1:15" ht="24" customHeight="1">
      <c r="A195" s="96"/>
      <c r="B195" s="172" t="s">
        <v>115</v>
      </c>
      <c r="C195" s="156"/>
      <c r="D195" s="95"/>
      <c r="E195" s="94"/>
      <c r="F195" s="152"/>
      <c r="G195" s="154"/>
      <c r="H195" s="92"/>
      <c r="I195" s="92"/>
      <c r="J195" s="92"/>
      <c r="K195" s="92"/>
      <c r="L195" s="92"/>
      <c r="M195" s="91"/>
      <c r="N195" s="190"/>
    </row>
    <row r="196" spans="1:15" ht="24" customHeight="1">
      <c r="A196" s="96"/>
      <c r="B196" s="95" t="s">
        <v>20</v>
      </c>
      <c r="C196" s="95"/>
      <c r="D196" s="95"/>
      <c r="E196" s="94"/>
      <c r="F196" s="93"/>
      <c r="G196" s="92"/>
      <c r="H196" s="92">
        <f>SUM(H192:H195)</f>
        <v>283180</v>
      </c>
      <c r="I196" s="92"/>
      <c r="J196" s="92">
        <f>SUM(J192:J195)</f>
        <v>495565</v>
      </c>
      <c r="K196" s="92"/>
      <c r="L196" s="92">
        <f>SUM(L192:L195)</f>
        <v>778745</v>
      </c>
      <c r="M196" s="91"/>
      <c r="N196" s="190"/>
    </row>
    <row r="197" spans="1:15" ht="24" customHeight="1">
      <c r="A197" s="96"/>
      <c r="B197" s="95"/>
      <c r="C197" s="95"/>
      <c r="D197" s="95"/>
      <c r="E197" s="94"/>
      <c r="F197" s="93"/>
      <c r="G197" s="92"/>
      <c r="H197" s="92"/>
      <c r="I197" s="92"/>
      <c r="J197" s="92"/>
      <c r="K197" s="92"/>
      <c r="L197" s="92"/>
      <c r="M197" s="91"/>
      <c r="N197" s="190"/>
    </row>
    <row r="198" spans="1:15" ht="24" customHeight="1">
      <c r="A198" s="102">
        <f>A14</f>
        <v>11</v>
      </c>
      <c r="B198" s="101" t="str">
        <f>B14</f>
        <v>마루 공사</v>
      </c>
      <c r="C198" s="101"/>
      <c r="D198" s="101"/>
      <c r="E198" s="100"/>
      <c r="F198" s="99"/>
      <c r="G198" s="98"/>
      <c r="H198" s="98"/>
      <c r="I198" s="98"/>
      <c r="J198" s="98"/>
      <c r="K198" s="98"/>
      <c r="L198" s="98"/>
      <c r="M198" s="97"/>
      <c r="N198" s="190"/>
    </row>
    <row r="199" spans="1:15" ht="24" customHeight="1">
      <c r="A199" s="96"/>
      <c r="B199" s="159" t="s">
        <v>230</v>
      </c>
      <c r="C199" s="160" t="s">
        <v>231</v>
      </c>
      <c r="D199" s="93" t="s">
        <v>180</v>
      </c>
      <c r="E199" s="94">
        <v>105.92</v>
      </c>
      <c r="F199" s="152" t="s">
        <v>76</v>
      </c>
      <c r="G199" s="159">
        <v>34000</v>
      </c>
      <c r="H199" s="92">
        <f>E199*G199</f>
        <v>3601280</v>
      </c>
      <c r="I199" s="92">
        <v>10000</v>
      </c>
      <c r="J199" s="92">
        <f>E199*I199</f>
        <v>1059200</v>
      </c>
      <c r="K199" s="92">
        <f>G199+I199</f>
        <v>44000</v>
      </c>
      <c r="L199" s="92">
        <f>H199+J199</f>
        <v>4660480</v>
      </c>
      <c r="M199" s="91"/>
      <c r="N199" s="190" t="s">
        <v>246</v>
      </c>
      <c r="O199" s="86" t="s">
        <v>301</v>
      </c>
    </row>
    <row r="200" spans="1:15" ht="24" customHeight="1">
      <c r="A200" s="96"/>
      <c r="B200" s="172"/>
      <c r="C200" s="160"/>
      <c r="D200" s="95"/>
      <c r="E200" s="161"/>
      <c r="F200" s="152"/>
      <c r="G200" s="159"/>
      <c r="H200" s="92"/>
      <c r="I200" s="92"/>
      <c r="J200" s="92"/>
      <c r="K200" s="92"/>
      <c r="L200" s="92"/>
      <c r="M200" s="91"/>
      <c r="N200" s="190"/>
    </row>
    <row r="201" spans="1:15" ht="24" customHeight="1">
      <c r="A201" s="96"/>
      <c r="B201" s="172"/>
      <c r="C201" s="156"/>
      <c r="D201" s="95"/>
      <c r="E201" s="94"/>
      <c r="F201" s="152"/>
      <c r="G201" s="154"/>
      <c r="H201" s="92"/>
      <c r="I201" s="92"/>
      <c r="J201" s="92"/>
      <c r="K201" s="92"/>
      <c r="L201" s="92"/>
      <c r="M201" s="91"/>
      <c r="N201" s="190"/>
    </row>
    <row r="202" spans="1:15" ht="24" customHeight="1">
      <c r="A202" s="96"/>
      <c r="B202" s="95" t="s">
        <v>20</v>
      </c>
      <c r="C202" s="95"/>
      <c r="D202" s="95"/>
      <c r="E202" s="94"/>
      <c r="F202" s="93"/>
      <c r="G202" s="92"/>
      <c r="H202" s="92">
        <f>SUM(H199:H201)</f>
        <v>3601280</v>
      </c>
      <c r="I202" s="92"/>
      <c r="J202" s="92">
        <f>SUM(J199:J201)</f>
        <v>1059200</v>
      </c>
      <c r="K202" s="92"/>
      <c r="L202" s="92">
        <f>SUM(L199:L201)</f>
        <v>4660480</v>
      </c>
      <c r="M202" s="91"/>
      <c r="N202" s="190"/>
    </row>
    <row r="203" spans="1:15" ht="24" customHeight="1">
      <c r="A203" s="96"/>
      <c r="B203" s="95"/>
      <c r="C203" s="95"/>
      <c r="D203" s="95"/>
      <c r="E203" s="94"/>
      <c r="F203" s="93"/>
      <c r="G203" s="92"/>
      <c r="H203" s="92"/>
      <c r="I203" s="92"/>
      <c r="J203" s="92"/>
      <c r="K203" s="92"/>
      <c r="L203" s="92"/>
      <c r="M203" s="91"/>
      <c r="N203" s="190"/>
    </row>
    <row r="204" spans="1:15" ht="24" customHeight="1">
      <c r="A204" s="102">
        <f>A15</f>
        <v>12</v>
      </c>
      <c r="B204" s="101" t="str">
        <f>B15</f>
        <v>기타 공사</v>
      </c>
      <c r="C204" s="101"/>
      <c r="D204" s="101"/>
      <c r="E204" s="100"/>
      <c r="F204" s="99"/>
      <c r="G204" s="98"/>
      <c r="H204" s="98"/>
      <c r="I204" s="98"/>
      <c r="J204" s="98"/>
      <c r="K204" s="98"/>
      <c r="L204" s="98"/>
      <c r="M204" s="97"/>
      <c r="N204" s="190"/>
    </row>
    <row r="205" spans="1:15" ht="24" customHeight="1">
      <c r="A205" s="96"/>
      <c r="B205" s="159" t="s">
        <v>232</v>
      </c>
      <c r="C205" s="194"/>
      <c r="D205" s="93" t="s">
        <v>180</v>
      </c>
      <c r="E205" s="94">
        <v>15</v>
      </c>
      <c r="F205" s="152" t="s">
        <v>76</v>
      </c>
      <c r="G205" s="159">
        <v>15500</v>
      </c>
      <c r="H205" s="92">
        <f t="shared" ref="H205:H211" si="219">E205*G205</f>
        <v>232500</v>
      </c>
      <c r="I205" s="92">
        <v>17500</v>
      </c>
      <c r="J205" s="92">
        <f>E205*I205</f>
        <v>262500</v>
      </c>
      <c r="K205" s="92">
        <f t="shared" ref="K205:L209" si="220">G205+I205</f>
        <v>33000</v>
      </c>
      <c r="L205" s="92">
        <f t="shared" si="220"/>
        <v>495000</v>
      </c>
      <c r="M205" s="91"/>
      <c r="N205" s="190"/>
    </row>
    <row r="206" spans="1:15" ht="24" customHeight="1">
      <c r="A206" s="96"/>
      <c r="B206" s="159"/>
      <c r="C206" s="194" t="s">
        <v>233</v>
      </c>
      <c r="D206" s="95"/>
      <c r="E206" s="94">
        <v>1</v>
      </c>
      <c r="F206" s="152" t="s">
        <v>147</v>
      </c>
      <c r="G206" s="159">
        <v>50000</v>
      </c>
      <c r="H206" s="92">
        <f t="shared" si="219"/>
        <v>50000</v>
      </c>
      <c r="I206" s="92"/>
      <c r="J206" s="92">
        <f>E206*I206</f>
        <v>0</v>
      </c>
      <c r="K206" s="92">
        <f t="shared" si="220"/>
        <v>50000</v>
      </c>
      <c r="L206" s="92">
        <f t="shared" si="220"/>
        <v>50000</v>
      </c>
      <c r="M206" s="91"/>
      <c r="N206" s="190"/>
    </row>
    <row r="207" spans="1:15" ht="24" customHeight="1">
      <c r="A207" s="96"/>
      <c r="B207" s="159" t="s">
        <v>237</v>
      </c>
      <c r="C207" s="194" t="s">
        <v>247</v>
      </c>
      <c r="D207" s="93" t="s">
        <v>238</v>
      </c>
      <c r="E207" s="94">
        <v>0</v>
      </c>
      <c r="F207" s="152" t="s">
        <v>147</v>
      </c>
      <c r="G207" s="159">
        <v>5020000</v>
      </c>
      <c r="H207" s="92">
        <f t="shared" si="219"/>
        <v>0</v>
      </c>
      <c r="I207" s="92">
        <v>400000</v>
      </c>
      <c r="J207" s="92">
        <f>E207*I207</f>
        <v>0</v>
      </c>
      <c r="K207" s="92">
        <f t="shared" si="220"/>
        <v>5420000</v>
      </c>
      <c r="L207" s="92">
        <f t="shared" si="220"/>
        <v>0</v>
      </c>
      <c r="M207" s="91"/>
      <c r="N207" s="190"/>
    </row>
    <row r="208" spans="1:15" ht="24" customHeight="1">
      <c r="A208" s="96"/>
      <c r="B208" s="95" t="s">
        <v>136</v>
      </c>
      <c r="C208" s="95" t="s">
        <v>323</v>
      </c>
      <c r="D208" s="95"/>
      <c r="E208" s="94">
        <v>1</v>
      </c>
      <c r="F208" s="152" t="s">
        <v>109</v>
      </c>
      <c r="G208" s="92">
        <v>643000</v>
      </c>
      <c r="H208" s="92">
        <f t="shared" si="219"/>
        <v>643000</v>
      </c>
      <c r="I208" s="92"/>
      <c r="J208" s="92">
        <f t="shared" ref="J208:J209" si="221">E208*I208</f>
        <v>0</v>
      </c>
      <c r="K208" s="92">
        <f t="shared" si="220"/>
        <v>643000</v>
      </c>
      <c r="L208" s="92">
        <f t="shared" si="220"/>
        <v>643000</v>
      </c>
      <c r="M208" s="192" t="s">
        <v>309</v>
      </c>
      <c r="N208" s="190"/>
    </row>
    <row r="209" spans="1:14" ht="24" customHeight="1">
      <c r="A209" s="96"/>
      <c r="B209" s="95" t="s">
        <v>303</v>
      </c>
      <c r="C209" s="95" t="s">
        <v>304</v>
      </c>
      <c r="D209" s="95"/>
      <c r="E209" s="94">
        <v>1</v>
      </c>
      <c r="F209" s="152" t="s">
        <v>109</v>
      </c>
      <c r="G209" s="92">
        <v>385000</v>
      </c>
      <c r="H209" s="92">
        <f t="shared" si="219"/>
        <v>385000</v>
      </c>
      <c r="I209" s="92"/>
      <c r="J209" s="92">
        <f t="shared" si="221"/>
        <v>0</v>
      </c>
      <c r="K209" s="92">
        <f t="shared" si="220"/>
        <v>385000</v>
      </c>
      <c r="L209" s="92">
        <f t="shared" si="220"/>
        <v>385000</v>
      </c>
      <c r="M209" s="192"/>
      <c r="N209" s="190"/>
    </row>
    <row r="210" spans="1:14" ht="24" customHeight="1">
      <c r="A210" s="96"/>
      <c r="B210" s="95" t="s">
        <v>305</v>
      </c>
      <c r="C210" s="95"/>
      <c r="D210" s="95"/>
      <c r="E210" s="94">
        <v>2</v>
      </c>
      <c r="F210" s="152" t="s">
        <v>109</v>
      </c>
      <c r="G210" s="92">
        <v>22000</v>
      </c>
      <c r="H210" s="92">
        <f t="shared" si="219"/>
        <v>44000</v>
      </c>
      <c r="I210" s="92"/>
      <c r="J210" s="92">
        <f t="shared" ref="J210:J211" si="222">E210*I210</f>
        <v>0</v>
      </c>
      <c r="K210" s="92">
        <f t="shared" ref="K210:K211" si="223">G210+I210</f>
        <v>22000</v>
      </c>
      <c r="L210" s="92">
        <f t="shared" ref="L210:L211" si="224">H210+J210</f>
        <v>44000</v>
      </c>
      <c r="M210" s="192"/>
      <c r="N210" s="190"/>
    </row>
    <row r="211" spans="1:14" ht="24" customHeight="1">
      <c r="A211" s="96"/>
      <c r="B211" s="95" t="s">
        <v>306</v>
      </c>
      <c r="C211" s="95"/>
      <c r="D211" s="95"/>
      <c r="E211" s="94">
        <v>1</v>
      </c>
      <c r="F211" s="152" t="s">
        <v>109</v>
      </c>
      <c r="G211" s="92">
        <v>22000</v>
      </c>
      <c r="H211" s="92">
        <f t="shared" si="219"/>
        <v>22000</v>
      </c>
      <c r="I211" s="92"/>
      <c r="J211" s="92">
        <f t="shared" si="222"/>
        <v>0</v>
      </c>
      <c r="K211" s="92">
        <f t="shared" si="223"/>
        <v>22000</v>
      </c>
      <c r="L211" s="92">
        <f t="shared" si="224"/>
        <v>22000</v>
      </c>
      <c r="M211" s="192"/>
      <c r="N211" s="190"/>
    </row>
    <row r="212" spans="1:14" ht="24" customHeight="1">
      <c r="A212" s="96"/>
      <c r="B212" s="172" t="s">
        <v>227</v>
      </c>
      <c r="C212" s="160"/>
      <c r="D212" s="95"/>
      <c r="E212" s="161"/>
      <c r="F212" s="152"/>
      <c r="G212" s="159"/>
      <c r="H212" s="92"/>
      <c r="I212" s="92"/>
      <c r="J212" s="92"/>
      <c r="K212" s="92"/>
      <c r="L212" s="92"/>
      <c r="M212" s="91"/>
      <c r="N212" s="190"/>
    </row>
    <row r="213" spans="1:14" ht="24" customHeight="1">
      <c r="A213" s="96"/>
      <c r="B213" s="172" t="s">
        <v>115</v>
      </c>
      <c r="C213" s="156"/>
      <c r="D213" s="95"/>
      <c r="E213" s="94"/>
      <c r="F213" s="152"/>
      <c r="G213" s="154"/>
      <c r="H213" s="92"/>
      <c r="I213" s="92"/>
      <c r="J213" s="92"/>
      <c r="K213" s="92"/>
      <c r="L213" s="92"/>
      <c r="M213" s="91"/>
      <c r="N213" s="190"/>
    </row>
    <row r="214" spans="1:14" ht="24" customHeight="1">
      <c r="A214" s="96"/>
      <c r="B214" s="95" t="s">
        <v>20</v>
      </c>
      <c r="C214" s="95"/>
      <c r="D214" s="95"/>
      <c r="E214" s="94"/>
      <c r="F214" s="93"/>
      <c r="G214" s="92"/>
      <c r="H214" s="92">
        <f>SUM(H205:H213)</f>
        <v>1376500</v>
      </c>
      <c r="I214" s="92"/>
      <c r="J214" s="92">
        <f>SUM(J205:J213)</f>
        <v>262500</v>
      </c>
      <c r="K214" s="92"/>
      <c r="L214" s="92">
        <f>SUM(L205:L213)</f>
        <v>1639000</v>
      </c>
      <c r="M214" s="91"/>
      <c r="N214" s="190"/>
    </row>
    <row r="215" spans="1:14" ht="24" customHeight="1">
      <c r="A215" s="96"/>
      <c r="B215" s="95"/>
      <c r="C215" s="95"/>
      <c r="D215" s="95"/>
      <c r="E215" s="94"/>
      <c r="F215" s="93"/>
      <c r="G215" s="92"/>
      <c r="H215" s="92"/>
      <c r="I215" s="92"/>
      <c r="J215" s="92"/>
      <c r="K215" s="92"/>
      <c r="L215" s="92"/>
      <c r="M215" s="91"/>
      <c r="N215" s="190"/>
    </row>
    <row r="216" spans="1:14" ht="24" customHeight="1">
      <c r="A216" s="96"/>
      <c r="B216" s="95"/>
      <c r="C216" s="95"/>
      <c r="D216" s="95"/>
      <c r="E216" s="94"/>
      <c r="F216" s="93"/>
      <c r="G216" s="92"/>
      <c r="H216" s="92"/>
      <c r="I216" s="92"/>
      <c r="J216" s="92"/>
      <c r="K216" s="92"/>
      <c r="L216" s="92"/>
      <c r="M216" s="91"/>
      <c r="N216" s="190"/>
    </row>
    <row r="217" spans="1:14" ht="24" customHeight="1">
      <c r="A217" s="96"/>
      <c r="B217" s="95"/>
      <c r="C217" s="95"/>
      <c r="D217" s="95"/>
      <c r="E217" s="94"/>
      <c r="F217" s="93"/>
      <c r="G217" s="92"/>
      <c r="H217" s="92"/>
      <c r="I217" s="92"/>
      <c r="J217" s="92"/>
      <c r="K217" s="92"/>
      <c r="L217" s="92"/>
      <c r="M217" s="91"/>
      <c r="N217" s="190"/>
    </row>
    <row r="218" spans="1:14" ht="24" customHeight="1">
      <c r="N218" s="191"/>
    </row>
  </sheetData>
  <mergeCells count="8">
    <mergeCell ref="B24:C24"/>
    <mergeCell ref="B25:C25"/>
    <mergeCell ref="G1:H1"/>
    <mergeCell ref="I1:J1"/>
    <mergeCell ref="K1:L1"/>
    <mergeCell ref="B21:C21"/>
    <mergeCell ref="B22:C22"/>
    <mergeCell ref="B23:C23"/>
  </mergeCells>
  <phoneticPr fontId="1" type="noConversion"/>
  <pageMargins left="0.47244094488188981" right="0.19685039370078741" top="0.51181102362204722" bottom="0.35433070866141736" header="0.27559055118110237" footer="0.15748031496062992"/>
  <pageSetup paperSize="9" scale="70" orientation="landscape" r:id="rId1"/>
  <headerFooter alignWithMargins="0">
    <oddHeader xml:space="preserve">&amp;R&amp;"돋움,굵게"(주)KCC 홈플랜  파트너 </oddHeader>
    <oddFooter>&amp;C&amp;P/&amp;N</oddFooter>
  </headerFooter>
  <rowBreaks count="1" manualBreakCount="1">
    <brk id="57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8"/>
  <sheetViews>
    <sheetView tabSelected="1" view="pageBreakPreview" zoomScale="90" zoomScaleSheetLayoutView="90" workbookViewId="0">
      <pane ySplit="1" topLeftCell="A110" activePane="bottomLeft" state="frozen"/>
      <selection pane="bottomLeft" activeCell="E210" sqref="E210"/>
    </sheetView>
  </sheetViews>
  <sheetFormatPr defaultColWidth="9" defaultRowHeight="24" customHeight="1"/>
  <cols>
    <col min="1" max="1" width="4.59765625" style="88" customWidth="1"/>
    <col min="2" max="2" width="25.5" style="90" customWidth="1"/>
    <col min="3" max="3" width="27.3984375" style="90" customWidth="1"/>
    <col min="4" max="4" width="10.59765625" style="90" customWidth="1"/>
    <col min="5" max="5" width="7.3984375" style="89" customWidth="1"/>
    <col min="6" max="6" width="6.59765625" style="88" customWidth="1"/>
    <col min="7" max="7" width="11.59765625" style="87" customWidth="1"/>
    <col min="8" max="8" width="15.59765625" style="87" customWidth="1"/>
    <col min="9" max="9" width="11.59765625" style="87" customWidth="1"/>
    <col min="10" max="10" width="15.59765625" style="87" customWidth="1"/>
    <col min="11" max="11" width="11.59765625" style="87" customWidth="1"/>
    <col min="12" max="12" width="15.59765625" style="87" customWidth="1"/>
    <col min="13" max="13" width="8.09765625" style="87" customWidth="1"/>
    <col min="14" max="14" width="14" style="86" customWidth="1"/>
    <col min="15" max="16384" width="9" style="86"/>
  </cols>
  <sheetData>
    <row r="1" spans="1:13" ht="24" customHeight="1">
      <c r="A1" s="196" t="s">
        <v>40</v>
      </c>
      <c r="B1" s="181" t="s">
        <v>39</v>
      </c>
      <c r="C1" s="181" t="s">
        <v>38</v>
      </c>
      <c r="D1" s="181" t="s">
        <v>129</v>
      </c>
      <c r="E1" s="182" t="s">
        <v>36</v>
      </c>
      <c r="F1" s="181" t="s">
        <v>35</v>
      </c>
      <c r="G1" s="219" t="s">
        <v>34</v>
      </c>
      <c r="H1" s="220"/>
      <c r="I1" s="219" t="s">
        <v>33</v>
      </c>
      <c r="J1" s="220"/>
      <c r="K1" s="219" t="s">
        <v>32</v>
      </c>
      <c r="L1" s="220"/>
      <c r="M1" s="186" t="s">
        <v>31</v>
      </c>
    </row>
    <row r="2" spans="1:13" ht="24" customHeight="1" thickBot="1">
      <c r="A2" s="197" t="s">
        <v>302</v>
      </c>
      <c r="B2" s="183" t="s">
        <v>125</v>
      </c>
      <c r="C2" s="183" t="s">
        <v>126</v>
      </c>
      <c r="D2" s="185" t="s">
        <v>37</v>
      </c>
      <c r="E2" s="183" t="s">
        <v>127</v>
      </c>
      <c r="F2" s="183" t="s">
        <v>128</v>
      </c>
      <c r="G2" s="175" t="s">
        <v>30</v>
      </c>
      <c r="H2" s="175" t="s">
        <v>29</v>
      </c>
      <c r="I2" s="175" t="s">
        <v>30</v>
      </c>
      <c r="J2" s="175" t="s">
        <v>29</v>
      </c>
      <c r="K2" s="175" t="s">
        <v>30</v>
      </c>
      <c r="L2" s="175" t="s">
        <v>29</v>
      </c>
      <c r="M2" s="187" t="s">
        <v>130</v>
      </c>
    </row>
    <row r="3" spans="1:13" ht="24" customHeight="1" thickTop="1">
      <c r="A3" s="103" t="s">
        <v>28</v>
      </c>
      <c r="B3" s="104" t="s">
        <v>27</v>
      </c>
      <c r="C3" s="95"/>
      <c r="D3" s="184"/>
      <c r="E3" s="94"/>
      <c r="F3" s="93"/>
      <c r="G3" s="92"/>
      <c r="H3" s="92"/>
      <c r="I3" s="92"/>
      <c r="J3" s="92"/>
      <c r="K3" s="92"/>
      <c r="L3" s="92"/>
      <c r="M3" s="91"/>
    </row>
    <row r="4" spans="1:13" ht="24" customHeight="1">
      <c r="A4" s="149">
        <v>1</v>
      </c>
      <c r="B4" s="145" t="s">
        <v>59</v>
      </c>
      <c r="C4" s="95"/>
      <c r="D4" s="95"/>
      <c r="E4" s="94">
        <f>1</f>
        <v>1</v>
      </c>
      <c r="F4" s="93" t="s">
        <v>25</v>
      </c>
      <c r="G4" s="92"/>
      <c r="H4" s="92">
        <f>H39</f>
        <v>903975</v>
      </c>
      <c r="I4" s="92"/>
      <c r="J4" s="92">
        <f>J39</f>
        <v>849540</v>
      </c>
      <c r="K4" s="92"/>
      <c r="L4" s="92">
        <f>L39</f>
        <v>1753515</v>
      </c>
      <c r="M4" s="91"/>
    </row>
    <row r="5" spans="1:13" ht="24" customHeight="1">
      <c r="A5" s="150">
        <v>2</v>
      </c>
      <c r="B5" s="146" t="s">
        <v>107</v>
      </c>
      <c r="C5" s="95"/>
      <c r="D5" s="95"/>
      <c r="E5" s="94">
        <f>1</f>
        <v>1</v>
      </c>
      <c r="F5" s="93" t="s">
        <v>25</v>
      </c>
      <c r="G5" s="92"/>
      <c r="H5" s="92">
        <f>H56</f>
        <v>4046735</v>
      </c>
      <c r="I5" s="92"/>
      <c r="J5" s="92">
        <f>J56</f>
        <v>2041130</v>
      </c>
      <c r="K5" s="92"/>
      <c r="L5" s="92">
        <f>L56</f>
        <v>6087865</v>
      </c>
      <c r="M5" s="91"/>
    </row>
    <row r="6" spans="1:13" ht="24" customHeight="1">
      <c r="A6" s="150">
        <v>3</v>
      </c>
      <c r="B6" s="145" t="s">
        <v>54</v>
      </c>
      <c r="C6" s="95"/>
      <c r="D6" s="95"/>
      <c r="E6" s="94">
        <f>1</f>
        <v>1</v>
      </c>
      <c r="F6" s="93" t="s">
        <v>25</v>
      </c>
      <c r="G6" s="92"/>
      <c r="H6" s="92">
        <f>H82</f>
        <v>3351000</v>
      </c>
      <c r="I6" s="92"/>
      <c r="J6" s="92">
        <f>J82</f>
        <v>2800000</v>
      </c>
      <c r="K6" s="92"/>
      <c r="L6" s="92">
        <f>L82</f>
        <v>6151000</v>
      </c>
      <c r="M6" s="91"/>
    </row>
    <row r="7" spans="1:13" ht="24" customHeight="1">
      <c r="A7" s="150">
        <v>4</v>
      </c>
      <c r="B7" s="145" t="s">
        <v>171</v>
      </c>
      <c r="C7" s="95"/>
      <c r="D7" s="95"/>
      <c r="E7" s="94">
        <f>1</f>
        <v>1</v>
      </c>
      <c r="F7" s="93" t="s">
        <v>25</v>
      </c>
      <c r="G7" s="92"/>
      <c r="H7" s="92">
        <f>H112</f>
        <v>2030009</v>
      </c>
      <c r="I7" s="92"/>
      <c r="J7" s="92">
        <f>J112</f>
        <v>1450000</v>
      </c>
      <c r="K7" s="92"/>
      <c r="L7" s="92">
        <f>L112</f>
        <v>3480009</v>
      </c>
      <c r="M7" s="91"/>
    </row>
    <row r="8" spans="1:13" ht="24" customHeight="1">
      <c r="A8" s="151">
        <v>5</v>
      </c>
      <c r="B8" s="147" t="s">
        <v>55</v>
      </c>
      <c r="C8" s="95"/>
      <c r="D8" s="95"/>
      <c r="E8" s="94">
        <f>1</f>
        <v>1</v>
      </c>
      <c r="F8" s="93" t="s">
        <v>25</v>
      </c>
      <c r="G8" s="92"/>
      <c r="H8" s="92">
        <f>H121</f>
        <v>499919</v>
      </c>
      <c r="I8" s="92"/>
      <c r="J8" s="92">
        <f>J121</f>
        <v>2250000</v>
      </c>
      <c r="K8" s="92"/>
      <c r="L8" s="92">
        <f>L121</f>
        <v>2749919</v>
      </c>
      <c r="M8" s="91"/>
    </row>
    <row r="9" spans="1:13" ht="24" customHeight="1">
      <c r="A9" s="151">
        <v>6</v>
      </c>
      <c r="B9" s="146" t="s">
        <v>56</v>
      </c>
      <c r="C9" s="95"/>
      <c r="D9" s="95"/>
      <c r="E9" s="94">
        <f>1</f>
        <v>1</v>
      </c>
      <c r="F9" s="93" t="s">
        <v>25</v>
      </c>
      <c r="G9" s="92"/>
      <c r="H9" s="92">
        <f>H135</f>
        <v>2656000</v>
      </c>
      <c r="I9" s="92"/>
      <c r="J9" s="92">
        <f>J135</f>
        <v>2800000</v>
      </c>
      <c r="K9" s="92"/>
      <c r="L9" s="92">
        <f>L135</f>
        <v>5456000</v>
      </c>
      <c r="M9" s="91"/>
    </row>
    <row r="10" spans="1:13" ht="24" customHeight="1">
      <c r="A10" s="151">
        <v>7</v>
      </c>
      <c r="B10" s="148" t="s">
        <v>57</v>
      </c>
      <c r="C10" s="95"/>
      <c r="D10" s="95"/>
      <c r="E10" s="94">
        <f>1</f>
        <v>1</v>
      </c>
      <c r="F10" s="93" t="s">
        <v>25</v>
      </c>
      <c r="G10" s="92"/>
      <c r="H10" s="92">
        <f>H164</f>
        <v>920000</v>
      </c>
      <c r="I10" s="92"/>
      <c r="J10" s="92">
        <f>J164</f>
        <v>500000</v>
      </c>
      <c r="K10" s="92"/>
      <c r="L10" s="92">
        <f>L164</f>
        <v>1420000</v>
      </c>
      <c r="M10" s="91"/>
    </row>
    <row r="11" spans="1:13" ht="24" customHeight="1">
      <c r="A11" s="151">
        <v>8</v>
      </c>
      <c r="B11" s="146" t="s">
        <v>58</v>
      </c>
      <c r="C11" s="95"/>
      <c r="D11" s="95"/>
      <c r="E11" s="94">
        <f>1</f>
        <v>1</v>
      </c>
      <c r="F11" s="93" t="s">
        <v>25</v>
      </c>
      <c r="G11" s="92"/>
      <c r="H11" s="92">
        <f>H169</f>
        <v>0</v>
      </c>
      <c r="I11" s="92"/>
      <c r="J11" s="92">
        <f>J169</f>
        <v>0</v>
      </c>
      <c r="K11" s="92"/>
      <c r="L11" s="92">
        <f>L169</f>
        <v>0</v>
      </c>
      <c r="M11" s="91"/>
    </row>
    <row r="12" spans="1:13" ht="24" customHeight="1">
      <c r="A12" s="151">
        <v>9</v>
      </c>
      <c r="B12" s="146" t="s">
        <v>53</v>
      </c>
      <c r="C12" s="95"/>
      <c r="D12" s="95"/>
      <c r="E12" s="94">
        <f>1</f>
        <v>1</v>
      </c>
      <c r="F12" s="93" t="s">
        <v>25</v>
      </c>
      <c r="G12" s="92"/>
      <c r="H12" s="92">
        <f>H189</f>
        <v>13158955</v>
      </c>
      <c r="I12" s="92"/>
      <c r="J12" s="92">
        <f>J189</f>
        <v>0</v>
      </c>
      <c r="K12" s="92"/>
      <c r="L12" s="92">
        <f>L189</f>
        <v>13158955</v>
      </c>
      <c r="M12" s="91"/>
    </row>
    <row r="13" spans="1:13" ht="24" customHeight="1">
      <c r="A13" s="151">
        <v>10</v>
      </c>
      <c r="B13" s="146" t="s">
        <v>113</v>
      </c>
      <c r="C13" s="95"/>
      <c r="D13" s="95"/>
      <c r="E13" s="94">
        <f>1</f>
        <v>1</v>
      </c>
      <c r="F13" s="93" t="s">
        <v>25</v>
      </c>
      <c r="G13" s="92"/>
      <c r="H13" s="92">
        <f>H196</f>
        <v>283180</v>
      </c>
      <c r="I13" s="92"/>
      <c r="J13" s="92">
        <f>J196</f>
        <v>495565</v>
      </c>
      <c r="K13" s="92"/>
      <c r="L13" s="92">
        <f>L196</f>
        <v>778745</v>
      </c>
      <c r="M13" s="91"/>
    </row>
    <row r="14" spans="1:13" ht="24" customHeight="1">
      <c r="A14" s="151">
        <v>11</v>
      </c>
      <c r="B14" s="146" t="s">
        <v>228</v>
      </c>
      <c r="C14" s="95"/>
      <c r="D14" s="95"/>
      <c r="E14" s="94">
        <f>1</f>
        <v>1</v>
      </c>
      <c r="F14" s="93" t="s">
        <v>25</v>
      </c>
      <c r="G14" s="92"/>
      <c r="H14" s="92">
        <f>H202</f>
        <v>0</v>
      </c>
      <c r="I14" s="92"/>
      <c r="J14" s="92">
        <f>J199</f>
        <v>0</v>
      </c>
      <c r="K14" s="92"/>
      <c r="L14" s="92">
        <f>L202</f>
        <v>0</v>
      </c>
      <c r="M14" s="91"/>
    </row>
    <row r="15" spans="1:13" ht="24" customHeight="1">
      <c r="A15" s="151">
        <v>12</v>
      </c>
      <c r="B15" s="146" t="s">
        <v>229</v>
      </c>
      <c r="C15" s="95"/>
      <c r="D15" s="95"/>
      <c r="E15" s="94">
        <f>1</f>
        <v>1</v>
      </c>
      <c r="F15" s="93" t="s">
        <v>25</v>
      </c>
      <c r="G15" s="92"/>
      <c r="H15" s="92">
        <f>H214</f>
        <v>1376500</v>
      </c>
      <c r="I15" s="92"/>
      <c r="J15" s="92">
        <f>J214</f>
        <v>262500</v>
      </c>
      <c r="K15" s="92"/>
      <c r="L15" s="92">
        <f>L214</f>
        <v>1639000</v>
      </c>
      <c r="M15" s="91"/>
    </row>
    <row r="16" spans="1:13" ht="24" customHeight="1">
      <c r="A16" s="151"/>
      <c r="B16" s="146"/>
      <c r="C16" s="95"/>
      <c r="D16" s="95"/>
      <c r="E16" s="94"/>
      <c r="F16" s="93"/>
      <c r="G16" s="92"/>
      <c r="H16" s="92"/>
      <c r="I16" s="92"/>
      <c r="J16" s="92"/>
      <c r="K16" s="92"/>
      <c r="L16" s="92"/>
      <c r="M16" s="91"/>
    </row>
    <row r="17" spans="1:14" ht="24" customHeight="1">
      <c r="A17" s="151"/>
      <c r="B17" s="146"/>
      <c r="C17" s="95"/>
      <c r="D17" s="95"/>
      <c r="E17" s="94"/>
      <c r="F17" s="93"/>
      <c r="G17" s="92"/>
      <c r="H17" s="92"/>
      <c r="I17" s="92"/>
      <c r="J17" s="92"/>
      <c r="K17" s="92"/>
      <c r="L17" s="92"/>
      <c r="M17" s="91"/>
    </row>
    <row r="18" spans="1:14" ht="24" customHeight="1">
      <c r="A18" s="151"/>
      <c r="B18" s="146"/>
      <c r="C18" s="95"/>
      <c r="D18" s="95"/>
      <c r="E18" s="94"/>
      <c r="F18" s="93"/>
      <c r="G18" s="92"/>
      <c r="H18" s="92"/>
      <c r="I18" s="92"/>
      <c r="J18" s="92"/>
      <c r="K18" s="92"/>
      <c r="L18" s="92"/>
      <c r="M18" s="91"/>
    </row>
    <row r="19" spans="1:14" ht="24" customHeight="1">
      <c r="A19" s="151"/>
      <c r="B19" s="146"/>
      <c r="C19" s="95"/>
      <c r="D19" s="95"/>
      <c r="E19" s="94"/>
      <c r="F19" s="93"/>
      <c r="G19" s="92"/>
      <c r="H19" s="92"/>
      <c r="I19" s="92"/>
      <c r="J19" s="92"/>
      <c r="K19" s="92"/>
      <c r="L19" s="92"/>
      <c r="M19" s="91"/>
    </row>
    <row r="20" spans="1:14" ht="24" customHeight="1">
      <c r="A20" s="96"/>
      <c r="B20" s="101" t="s">
        <v>26</v>
      </c>
      <c r="C20" s="101"/>
      <c r="D20" s="101"/>
      <c r="E20" s="100"/>
      <c r="F20" s="99"/>
      <c r="G20" s="98"/>
      <c r="H20" s="98">
        <f>SUM(H4:H13)</f>
        <v>27849773</v>
      </c>
      <c r="I20" s="98"/>
      <c r="J20" s="98">
        <f>SUM(J4:J13)</f>
        <v>13186235</v>
      </c>
      <c r="K20" s="98"/>
      <c r="L20" s="98">
        <f>SUM(L4:L15)</f>
        <v>42675008</v>
      </c>
      <c r="M20" s="97"/>
    </row>
    <row r="21" spans="1:14" ht="24" customHeight="1">
      <c r="A21" s="96"/>
      <c r="B21" s="198"/>
      <c r="C21" s="199"/>
      <c r="D21" s="110"/>
      <c r="E21" s="109"/>
      <c r="F21" s="108"/>
      <c r="G21" s="107"/>
      <c r="H21" s="107"/>
      <c r="I21" s="107"/>
      <c r="J21" s="107"/>
      <c r="K21" s="107"/>
      <c r="L21" s="107"/>
      <c r="M21" s="91"/>
    </row>
    <row r="22" spans="1:14" ht="24" customHeight="1">
      <c r="A22" s="96"/>
      <c r="B22" s="198" t="s">
        <v>100</v>
      </c>
      <c r="C22" s="199"/>
      <c r="D22" s="110"/>
      <c r="E22" s="109">
        <f>1</f>
        <v>1</v>
      </c>
      <c r="F22" s="108" t="s">
        <v>25</v>
      </c>
      <c r="G22" s="107"/>
      <c r="H22" s="107">
        <v>0</v>
      </c>
      <c r="I22" s="107"/>
      <c r="J22" s="107"/>
      <c r="K22" s="107"/>
      <c r="L22" s="107"/>
      <c r="M22" s="91"/>
    </row>
    <row r="23" spans="1:14" ht="24" customHeight="1">
      <c r="A23" s="96"/>
      <c r="B23" s="198" t="s">
        <v>101</v>
      </c>
      <c r="C23" s="199"/>
      <c r="D23" s="110"/>
      <c r="E23" s="109">
        <f>1</f>
        <v>1</v>
      </c>
      <c r="F23" s="108" t="s">
        <v>25</v>
      </c>
      <c r="G23" s="107"/>
      <c r="H23" s="107">
        <v>0</v>
      </c>
      <c r="I23" s="107"/>
      <c r="J23" s="107"/>
      <c r="K23" s="107"/>
      <c r="L23" s="107"/>
      <c r="M23" s="91"/>
    </row>
    <row r="24" spans="1:14" ht="24" customHeight="1">
      <c r="A24" s="96"/>
      <c r="B24" s="198" t="s">
        <v>102</v>
      </c>
      <c r="C24" s="199"/>
      <c r="D24" s="110"/>
      <c r="E24" s="109">
        <f>1</f>
        <v>1</v>
      </c>
      <c r="F24" s="108" t="s">
        <v>25</v>
      </c>
      <c r="G24" s="107"/>
      <c r="H24" s="107">
        <v>0</v>
      </c>
      <c r="I24" s="107"/>
      <c r="J24" s="107"/>
      <c r="K24" s="107"/>
      <c r="L24" s="107"/>
      <c r="M24" s="91"/>
    </row>
    <row r="25" spans="1:14" ht="24" customHeight="1">
      <c r="A25" s="96"/>
      <c r="B25" s="198" t="s">
        <v>103</v>
      </c>
      <c r="C25" s="199"/>
      <c r="D25" s="110"/>
      <c r="E25" s="109">
        <f>1</f>
        <v>1</v>
      </c>
      <c r="F25" s="108" t="s">
        <v>25</v>
      </c>
      <c r="G25" s="107"/>
      <c r="H25" s="107">
        <v>0</v>
      </c>
      <c r="I25" s="107"/>
      <c r="J25" s="107"/>
      <c r="K25" s="107"/>
      <c r="L25" s="107">
        <f>L20*10%</f>
        <v>4267500.8</v>
      </c>
      <c r="M25" s="91"/>
    </row>
    <row r="26" spans="1:14" ht="24" customHeight="1">
      <c r="A26" s="96"/>
      <c r="B26" s="101" t="s">
        <v>24</v>
      </c>
      <c r="C26" s="101"/>
      <c r="D26" s="101"/>
      <c r="E26" s="100"/>
      <c r="F26" s="99"/>
      <c r="G26" s="98"/>
      <c r="H26" s="98">
        <f>SUM(E26:G26)</f>
        <v>0</v>
      </c>
      <c r="I26" s="98"/>
      <c r="J26" s="98">
        <f>SUM(G26:I26)</f>
        <v>0</v>
      </c>
      <c r="K26" s="98"/>
      <c r="L26" s="98">
        <f>SUM(L21:L25)</f>
        <v>4267500.8</v>
      </c>
      <c r="M26" s="97"/>
    </row>
    <row r="27" spans="1:14" ht="24" customHeight="1">
      <c r="A27" s="195"/>
      <c r="B27" s="176" t="s">
        <v>23</v>
      </c>
      <c r="C27" s="176"/>
      <c r="D27" s="176"/>
      <c r="E27" s="177"/>
      <c r="F27" s="178"/>
      <c r="G27" s="179"/>
      <c r="H27" s="179">
        <f>H20+H26</f>
        <v>27849773</v>
      </c>
      <c r="I27" s="179"/>
      <c r="J27" s="179">
        <f>J20+J26</f>
        <v>13186235</v>
      </c>
      <c r="K27" s="179"/>
      <c r="L27" s="179">
        <f>L20+L26</f>
        <v>46942508.799999997</v>
      </c>
      <c r="M27" s="180"/>
      <c r="N27" s="106"/>
    </row>
    <row r="28" spans="1:14" ht="24" customHeight="1">
      <c r="A28" s="96"/>
      <c r="B28" s="95"/>
      <c r="C28" s="95"/>
      <c r="D28" s="95"/>
      <c r="E28" s="94"/>
      <c r="F28" s="93"/>
      <c r="G28" s="92"/>
      <c r="H28" s="92"/>
      <c r="I28" s="92"/>
      <c r="J28" s="92"/>
      <c r="K28" s="93" t="s">
        <v>22</v>
      </c>
      <c r="L28" s="105">
        <f>TRUNC(L27,-5)</f>
        <v>46900000</v>
      </c>
      <c r="M28" s="91"/>
    </row>
    <row r="29" spans="1:14" ht="24" customHeight="1">
      <c r="A29" s="96"/>
      <c r="B29" s="104" t="s">
        <v>21</v>
      </c>
      <c r="C29" s="95"/>
      <c r="D29" s="95"/>
      <c r="E29" s="94"/>
      <c r="F29" s="93"/>
      <c r="G29" s="92"/>
      <c r="H29" s="92"/>
      <c r="I29" s="92"/>
      <c r="J29" s="92"/>
      <c r="K29" s="93"/>
      <c r="L29" s="92"/>
      <c r="M29" s="91"/>
    </row>
    <row r="30" spans="1:14" ht="24" customHeight="1">
      <c r="A30" s="96"/>
      <c r="B30" s="95" t="s">
        <v>124</v>
      </c>
      <c r="C30" s="95"/>
      <c r="D30" s="95"/>
      <c r="E30" s="94"/>
      <c r="F30" s="93"/>
      <c r="G30" s="92"/>
      <c r="H30" s="92"/>
      <c r="I30" s="92"/>
      <c r="J30" s="92"/>
      <c r="K30" s="93"/>
      <c r="L30" s="92"/>
      <c r="M30" s="91"/>
    </row>
    <row r="31" spans="1:14" ht="24" customHeight="1">
      <c r="A31" s="96"/>
      <c r="B31" s="95" t="s">
        <v>41</v>
      </c>
      <c r="C31" s="95"/>
      <c r="D31" s="95"/>
      <c r="E31" s="94"/>
      <c r="F31" s="93"/>
      <c r="G31" s="92"/>
      <c r="H31" s="92"/>
      <c r="I31" s="92"/>
      <c r="J31" s="92"/>
      <c r="K31" s="93"/>
      <c r="L31" s="92"/>
      <c r="M31" s="91"/>
    </row>
    <row r="32" spans="1:14" ht="24" customHeight="1">
      <c r="A32" s="102">
        <f>A4</f>
        <v>1</v>
      </c>
      <c r="B32" s="101" t="str">
        <f>B4</f>
        <v>가설 공사</v>
      </c>
      <c r="C32" s="101"/>
      <c r="D32" s="101"/>
      <c r="E32" s="100"/>
      <c r="F32" s="99"/>
      <c r="G32" s="98"/>
      <c r="H32" s="98"/>
      <c r="I32" s="98"/>
      <c r="J32" s="98"/>
      <c r="K32" s="98"/>
      <c r="L32" s="98"/>
      <c r="M32" s="97"/>
      <c r="N32" s="189" t="s">
        <v>137</v>
      </c>
    </row>
    <row r="33" spans="1:14" ht="24" customHeight="1">
      <c r="A33" s="96"/>
      <c r="B33" s="95" t="s">
        <v>108</v>
      </c>
      <c r="C33" s="95" t="s">
        <v>131</v>
      </c>
      <c r="D33" s="95"/>
      <c r="E33" s="94">
        <v>1</v>
      </c>
      <c r="F33" s="152" t="s">
        <v>109</v>
      </c>
      <c r="G33" s="92">
        <v>550000</v>
      </c>
      <c r="H33" s="92">
        <f>E33*G33</f>
        <v>550000</v>
      </c>
      <c r="I33" s="92"/>
      <c r="J33" s="92">
        <f t="shared" ref="J33:J37" si="0">E33*I33</f>
        <v>0</v>
      </c>
      <c r="K33" s="92">
        <f t="shared" ref="K33:L38" si="1">G33+I33</f>
        <v>550000</v>
      </c>
      <c r="L33" s="92">
        <f t="shared" si="1"/>
        <v>550000</v>
      </c>
      <c r="M33" s="91"/>
      <c r="N33" s="190"/>
    </row>
    <row r="34" spans="1:14" ht="24" customHeight="1">
      <c r="A34" s="96"/>
      <c r="B34" s="95" t="s">
        <v>71</v>
      </c>
      <c r="C34" s="95" t="s">
        <v>132</v>
      </c>
      <c r="D34" s="93" t="s">
        <v>139</v>
      </c>
      <c r="E34" s="188">
        <v>141.59</v>
      </c>
      <c r="F34" s="152" t="s">
        <v>76</v>
      </c>
      <c r="G34" s="92">
        <v>1500</v>
      </c>
      <c r="H34" s="92">
        <f>E34*G34</f>
        <v>212385</v>
      </c>
      <c r="I34" s="92"/>
      <c r="J34" s="92">
        <f t="shared" si="0"/>
        <v>0</v>
      </c>
      <c r="K34" s="92">
        <f t="shared" si="1"/>
        <v>1500</v>
      </c>
      <c r="L34" s="92">
        <f t="shared" si="1"/>
        <v>212385</v>
      </c>
      <c r="M34" s="91"/>
      <c r="N34" s="190"/>
    </row>
    <row r="35" spans="1:14" ht="24" customHeight="1">
      <c r="A35" s="96"/>
      <c r="B35" s="95" t="s">
        <v>72</v>
      </c>
      <c r="C35" s="95"/>
      <c r="D35" s="95"/>
      <c r="E35" s="188">
        <v>141.59</v>
      </c>
      <c r="F35" s="152" t="s">
        <v>76</v>
      </c>
      <c r="G35" s="92">
        <v>1000</v>
      </c>
      <c r="H35" s="92">
        <f t="shared" ref="H35:H37" si="2">E35*G35</f>
        <v>141590</v>
      </c>
      <c r="I35" s="92">
        <v>3000</v>
      </c>
      <c r="J35" s="92">
        <f t="shared" si="0"/>
        <v>424770</v>
      </c>
      <c r="K35" s="92">
        <f t="shared" si="1"/>
        <v>4000</v>
      </c>
      <c r="L35" s="92">
        <f t="shared" si="1"/>
        <v>566360</v>
      </c>
      <c r="M35" s="91"/>
      <c r="N35" s="190"/>
    </row>
    <row r="36" spans="1:14" ht="24" customHeight="1">
      <c r="A36" s="96"/>
      <c r="B36" s="95" t="s">
        <v>73</v>
      </c>
      <c r="C36" s="95"/>
      <c r="D36" s="95"/>
      <c r="E36" s="188">
        <v>141.59</v>
      </c>
      <c r="F36" s="152" t="s">
        <v>76</v>
      </c>
      <c r="G36" s="92"/>
      <c r="H36" s="92">
        <f t="shared" si="2"/>
        <v>0</v>
      </c>
      <c r="I36" s="92">
        <v>1000</v>
      </c>
      <c r="J36" s="92">
        <f t="shared" si="0"/>
        <v>141590</v>
      </c>
      <c r="K36" s="92">
        <f t="shared" si="1"/>
        <v>1000</v>
      </c>
      <c r="L36" s="92">
        <f t="shared" si="1"/>
        <v>141590</v>
      </c>
      <c r="M36" s="91"/>
      <c r="N36" s="190"/>
    </row>
    <row r="37" spans="1:14" ht="24" customHeight="1">
      <c r="A37" s="96"/>
      <c r="B37" s="95" t="s">
        <v>133</v>
      </c>
      <c r="C37" s="95"/>
      <c r="D37" s="95"/>
      <c r="E37" s="188">
        <v>141.59</v>
      </c>
      <c r="F37" s="152" t="s">
        <v>76</v>
      </c>
      <c r="G37" s="92"/>
      <c r="H37" s="92">
        <f t="shared" si="2"/>
        <v>0</v>
      </c>
      <c r="I37" s="92">
        <v>2000</v>
      </c>
      <c r="J37" s="92">
        <f t="shared" si="0"/>
        <v>283180</v>
      </c>
      <c r="K37" s="92">
        <f t="shared" si="1"/>
        <v>2000</v>
      </c>
      <c r="L37" s="92">
        <f t="shared" si="1"/>
        <v>283180</v>
      </c>
      <c r="M37" s="91"/>
      <c r="N37" s="190"/>
    </row>
    <row r="38" spans="1:14" ht="24" customHeight="1">
      <c r="A38" s="96"/>
      <c r="B38" s="95"/>
      <c r="C38" s="95"/>
      <c r="D38" s="95"/>
      <c r="E38" s="94"/>
      <c r="F38" s="93"/>
      <c r="G38" s="92"/>
      <c r="H38" s="92"/>
      <c r="I38" s="92"/>
      <c r="J38" s="92"/>
      <c r="K38" s="92">
        <f t="shared" si="1"/>
        <v>0</v>
      </c>
      <c r="L38" s="92">
        <f t="shared" si="1"/>
        <v>0</v>
      </c>
      <c r="M38" s="91"/>
      <c r="N38" s="190"/>
    </row>
    <row r="39" spans="1:14" ht="24" customHeight="1">
      <c r="A39" s="96"/>
      <c r="B39" s="95" t="s">
        <v>20</v>
      </c>
      <c r="C39" s="95"/>
      <c r="D39" s="95"/>
      <c r="E39" s="94"/>
      <c r="F39" s="93"/>
      <c r="G39" s="92"/>
      <c r="H39" s="92">
        <f>SUM(H33:H38)</f>
        <v>903975</v>
      </c>
      <c r="I39" s="92"/>
      <c r="J39" s="92">
        <f>SUM(J33:J38)</f>
        <v>849540</v>
      </c>
      <c r="K39" s="92"/>
      <c r="L39" s="92">
        <f>SUM(L33:L38)</f>
        <v>1753515</v>
      </c>
      <c r="M39" s="91"/>
      <c r="N39" s="190"/>
    </row>
    <row r="40" spans="1:14" ht="24" customHeight="1">
      <c r="A40" s="96"/>
      <c r="B40" s="95"/>
      <c r="C40" s="95"/>
      <c r="D40" s="95"/>
      <c r="E40" s="94"/>
      <c r="F40" s="93"/>
      <c r="G40" s="92"/>
      <c r="H40" s="92"/>
      <c r="I40" s="92"/>
      <c r="J40" s="92"/>
      <c r="K40" s="92"/>
      <c r="L40" s="92"/>
      <c r="M40" s="91"/>
      <c r="N40" s="190"/>
    </row>
    <row r="41" spans="1:14" ht="24" customHeight="1">
      <c r="A41" s="102">
        <f>A5</f>
        <v>2</v>
      </c>
      <c r="B41" s="101" t="str">
        <f>B5</f>
        <v>철거,설비 공사</v>
      </c>
      <c r="C41" s="101"/>
      <c r="D41" s="101"/>
      <c r="E41" s="100"/>
      <c r="F41" s="99"/>
      <c r="G41" s="98"/>
      <c r="H41" s="98"/>
      <c r="I41" s="98"/>
      <c r="J41" s="98"/>
      <c r="K41" s="98"/>
      <c r="L41" s="98"/>
      <c r="M41" s="97"/>
      <c r="N41" s="190"/>
    </row>
    <row r="42" spans="1:14" ht="24" customHeight="1">
      <c r="A42" s="96"/>
      <c r="B42" s="95" t="s">
        <v>81</v>
      </c>
      <c r="C42" s="143" t="s">
        <v>241</v>
      </c>
      <c r="D42" s="95"/>
      <c r="E42" s="188">
        <v>141.59</v>
      </c>
      <c r="F42" s="152" t="s">
        <v>76</v>
      </c>
      <c r="G42" s="92">
        <v>2500</v>
      </c>
      <c r="H42" s="92">
        <f>E42*G42</f>
        <v>353975</v>
      </c>
      <c r="I42" s="92">
        <v>7000</v>
      </c>
      <c r="J42" s="92">
        <f t="shared" ref="J42:J52" si="3">E42*I42</f>
        <v>991130</v>
      </c>
      <c r="K42" s="92">
        <f t="shared" ref="K42:L52" si="4">G42+I42</f>
        <v>9500</v>
      </c>
      <c r="L42" s="92">
        <f t="shared" si="4"/>
        <v>1345105</v>
      </c>
      <c r="M42" s="91"/>
      <c r="N42" s="190"/>
    </row>
    <row r="43" spans="1:14" ht="24" customHeight="1">
      <c r="A43" s="96"/>
      <c r="B43" s="95" t="s">
        <v>145</v>
      </c>
      <c r="C43" s="143" t="s">
        <v>146</v>
      </c>
      <c r="D43" s="95"/>
      <c r="E43" s="188">
        <v>1</v>
      </c>
      <c r="F43" s="152" t="s">
        <v>109</v>
      </c>
      <c r="G43" s="92">
        <v>150000</v>
      </c>
      <c r="H43" s="92">
        <f>E43*G43</f>
        <v>150000</v>
      </c>
      <c r="I43" s="92">
        <v>150000</v>
      </c>
      <c r="J43" s="92">
        <f t="shared" si="3"/>
        <v>150000</v>
      </c>
      <c r="K43" s="92">
        <f t="shared" si="4"/>
        <v>300000</v>
      </c>
      <c r="L43" s="92">
        <f t="shared" si="4"/>
        <v>300000</v>
      </c>
      <c r="M43" s="91"/>
      <c r="N43" s="190"/>
    </row>
    <row r="44" spans="1:14" ht="24" customHeight="1">
      <c r="A44" s="96"/>
      <c r="B44" s="95" t="s">
        <v>240</v>
      </c>
      <c r="C44" s="143" t="s">
        <v>146</v>
      </c>
      <c r="D44" s="95"/>
      <c r="E44" s="188">
        <v>1</v>
      </c>
      <c r="F44" s="152" t="s">
        <v>8</v>
      </c>
      <c r="G44" s="92">
        <v>100000</v>
      </c>
      <c r="H44" s="92">
        <f>E44*G44</f>
        <v>100000</v>
      </c>
      <c r="I44" s="92">
        <v>150000</v>
      </c>
      <c r="J44" s="92">
        <f t="shared" si="3"/>
        <v>150000</v>
      </c>
      <c r="K44" s="92">
        <f t="shared" si="4"/>
        <v>250000</v>
      </c>
      <c r="L44" s="92">
        <f t="shared" si="4"/>
        <v>250000</v>
      </c>
      <c r="M44" s="91"/>
      <c r="N44" s="190"/>
    </row>
    <row r="45" spans="1:14" ht="24" customHeight="1">
      <c r="A45" s="96"/>
      <c r="B45" s="153" t="s">
        <v>82</v>
      </c>
      <c r="C45" s="143" t="s">
        <v>241</v>
      </c>
      <c r="D45" s="95"/>
      <c r="E45" s="94">
        <v>2</v>
      </c>
      <c r="F45" s="152" t="s">
        <v>134</v>
      </c>
      <c r="G45" s="92">
        <v>100000</v>
      </c>
      <c r="H45" s="92">
        <f t="shared" ref="H45:H52" si="5">E45*G45</f>
        <v>200000</v>
      </c>
      <c r="I45" s="92">
        <v>150000</v>
      </c>
      <c r="J45" s="92">
        <f>E45*I45</f>
        <v>300000</v>
      </c>
      <c r="K45" s="92">
        <f t="shared" si="4"/>
        <v>250000</v>
      </c>
      <c r="L45" s="92">
        <f t="shared" si="4"/>
        <v>500000</v>
      </c>
      <c r="M45" s="91"/>
      <c r="N45" s="190"/>
    </row>
    <row r="46" spans="1:14" ht="24" customHeight="1">
      <c r="A46" s="96"/>
      <c r="B46" s="153" t="s">
        <v>144</v>
      </c>
      <c r="C46" s="143" t="s">
        <v>307</v>
      </c>
      <c r="D46" s="95"/>
      <c r="E46" s="94">
        <v>105.92</v>
      </c>
      <c r="F46" s="152" t="s">
        <v>111</v>
      </c>
      <c r="G46" s="92">
        <v>3000</v>
      </c>
      <c r="H46" s="92">
        <f t="shared" si="5"/>
        <v>317760</v>
      </c>
      <c r="I46" s="92"/>
      <c r="J46" s="92">
        <f t="shared" si="3"/>
        <v>0</v>
      </c>
      <c r="K46" s="92">
        <f t="shared" si="4"/>
        <v>3000</v>
      </c>
      <c r="L46" s="92">
        <f t="shared" si="4"/>
        <v>317760</v>
      </c>
      <c r="M46" s="192"/>
      <c r="N46" s="190"/>
    </row>
    <row r="47" spans="1:14" ht="24" customHeight="1">
      <c r="A47" s="96"/>
      <c r="B47" s="153" t="s">
        <v>242</v>
      </c>
      <c r="C47" s="143" t="s">
        <v>141</v>
      </c>
      <c r="D47" s="95"/>
      <c r="E47" s="94">
        <v>2</v>
      </c>
      <c r="F47" s="152" t="s">
        <v>134</v>
      </c>
      <c r="G47" s="92">
        <v>100000</v>
      </c>
      <c r="H47" s="92">
        <f t="shared" si="5"/>
        <v>200000</v>
      </c>
      <c r="I47" s="92">
        <v>150000</v>
      </c>
      <c r="J47" s="92">
        <f t="shared" si="3"/>
        <v>300000</v>
      </c>
      <c r="K47" s="92">
        <f t="shared" si="4"/>
        <v>250000</v>
      </c>
      <c r="L47" s="92">
        <f t="shared" si="4"/>
        <v>500000</v>
      </c>
      <c r="M47" s="91"/>
      <c r="N47" s="190"/>
    </row>
    <row r="48" spans="1:14" ht="24" customHeight="1">
      <c r="A48" s="96"/>
      <c r="B48" s="153" t="s">
        <v>317</v>
      </c>
      <c r="C48" s="143" t="s">
        <v>141</v>
      </c>
      <c r="D48" s="95"/>
      <c r="E48" s="94">
        <v>1</v>
      </c>
      <c r="F48" s="152" t="s">
        <v>134</v>
      </c>
      <c r="G48" s="92">
        <v>100000</v>
      </c>
      <c r="H48" s="92">
        <f t="shared" si="5"/>
        <v>100000</v>
      </c>
      <c r="I48" s="92">
        <v>150000</v>
      </c>
      <c r="J48" s="92">
        <f t="shared" si="3"/>
        <v>150000</v>
      </c>
      <c r="K48" s="92">
        <f t="shared" si="4"/>
        <v>250000</v>
      </c>
      <c r="L48" s="92">
        <f t="shared" si="4"/>
        <v>250000</v>
      </c>
      <c r="M48" s="91"/>
      <c r="N48" s="190"/>
    </row>
    <row r="49" spans="1:14" ht="24" customHeight="1">
      <c r="A49" s="96"/>
      <c r="B49" s="153" t="s">
        <v>243</v>
      </c>
      <c r="C49" s="143" t="s">
        <v>142</v>
      </c>
      <c r="D49" s="93" t="s">
        <v>143</v>
      </c>
      <c r="E49" s="94">
        <v>9</v>
      </c>
      <c r="F49" s="152" t="s">
        <v>111</v>
      </c>
      <c r="G49" s="92">
        <v>120000</v>
      </c>
      <c r="H49" s="92">
        <f t="shared" si="5"/>
        <v>1080000</v>
      </c>
      <c r="I49" s="92"/>
      <c r="J49" s="92">
        <f t="shared" si="3"/>
        <v>0</v>
      </c>
      <c r="K49" s="92">
        <f t="shared" si="4"/>
        <v>120000</v>
      </c>
      <c r="L49" s="92">
        <f t="shared" si="4"/>
        <v>1080000</v>
      </c>
      <c r="M49" s="171"/>
      <c r="N49" s="190"/>
    </row>
    <row r="50" spans="1:14" ht="24" customHeight="1">
      <c r="A50" s="96"/>
      <c r="B50" s="153" t="s">
        <v>118</v>
      </c>
      <c r="C50" s="143"/>
      <c r="D50" s="95"/>
      <c r="E50" s="94">
        <v>9</v>
      </c>
      <c r="F50" s="152" t="s">
        <v>111</v>
      </c>
      <c r="G50" s="92">
        <v>45000</v>
      </c>
      <c r="H50" s="92">
        <f t="shared" si="5"/>
        <v>405000</v>
      </c>
      <c r="I50" s="92"/>
      <c r="J50" s="92">
        <f t="shared" si="3"/>
        <v>0</v>
      </c>
      <c r="K50" s="92">
        <f t="shared" si="4"/>
        <v>45000</v>
      </c>
      <c r="L50" s="92">
        <f t="shared" si="4"/>
        <v>405000</v>
      </c>
      <c r="M50" s="171"/>
      <c r="N50" s="190"/>
    </row>
    <row r="51" spans="1:14" ht="24" customHeight="1">
      <c r="A51" s="96"/>
      <c r="B51" s="153" t="s">
        <v>148</v>
      </c>
      <c r="C51" s="143"/>
      <c r="D51" s="95"/>
      <c r="E51" s="94"/>
      <c r="F51" s="152" t="s">
        <v>134</v>
      </c>
      <c r="G51" s="92">
        <v>250000</v>
      </c>
      <c r="H51" s="92">
        <f t="shared" si="5"/>
        <v>0</v>
      </c>
      <c r="I51" s="92"/>
      <c r="J51" s="92">
        <f t="shared" si="3"/>
        <v>0</v>
      </c>
      <c r="K51" s="92">
        <f t="shared" si="4"/>
        <v>250000</v>
      </c>
      <c r="L51" s="92">
        <f t="shared" si="4"/>
        <v>0</v>
      </c>
      <c r="M51" s="192" t="s">
        <v>138</v>
      </c>
      <c r="N51" s="190"/>
    </row>
    <row r="52" spans="1:14" ht="24" customHeight="1">
      <c r="A52" s="96"/>
      <c r="B52" s="95" t="s">
        <v>74</v>
      </c>
      <c r="C52" s="95" t="s">
        <v>140</v>
      </c>
      <c r="D52" s="95"/>
      <c r="E52" s="94">
        <v>3</v>
      </c>
      <c r="F52" s="93" t="s">
        <v>75</v>
      </c>
      <c r="G52" s="92">
        <v>380000</v>
      </c>
      <c r="H52" s="92">
        <f t="shared" si="5"/>
        <v>1140000</v>
      </c>
      <c r="I52" s="92"/>
      <c r="J52" s="92">
        <f t="shared" si="3"/>
        <v>0</v>
      </c>
      <c r="K52" s="92">
        <f t="shared" si="4"/>
        <v>380000</v>
      </c>
      <c r="L52" s="92">
        <f t="shared" si="4"/>
        <v>1140000</v>
      </c>
      <c r="M52" s="91"/>
      <c r="N52" s="190"/>
    </row>
    <row r="53" spans="1:14" ht="24" customHeight="1">
      <c r="A53" s="96"/>
      <c r="B53" s="170" t="s">
        <v>112</v>
      </c>
      <c r="C53" s="95"/>
      <c r="D53" s="95"/>
      <c r="E53" s="94"/>
      <c r="F53" s="93"/>
      <c r="G53" s="92"/>
      <c r="H53" s="92"/>
      <c r="I53" s="92"/>
      <c r="J53" s="92"/>
      <c r="K53" s="92"/>
      <c r="L53" s="92"/>
      <c r="M53" s="91"/>
      <c r="N53" s="190"/>
    </row>
    <row r="54" spans="1:14" ht="24" customHeight="1">
      <c r="A54" s="96"/>
      <c r="B54" s="170" t="s">
        <v>116</v>
      </c>
      <c r="C54" s="95"/>
      <c r="D54" s="95"/>
      <c r="E54" s="94"/>
      <c r="F54" s="93"/>
      <c r="G54" s="92"/>
      <c r="H54" s="92"/>
      <c r="I54" s="92"/>
      <c r="J54" s="92"/>
      <c r="K54" s="92"/>
      <c r="L54" s="92"/>
      <c r="M54" s="91"/>
      <c r="N54" s="190"/>
    </row>
    <row r="55" spans="1:14" ht="24" customHeight="1">
      <c r="A55" s="96"/>
      <c r="B55" s="170"/>
      <c r="C55" s="95"/>
      <c r="D55" s="95"/>
      <c r="E55" s="94"/>
      <c r="F55" s="93"/>
      <c r="G55" s="92"/>
      <c r="H55" s="92"/>
      <c r="I55" s="92"/>
      <c r="J55" s="92"/>
      <c r="K55" s="92"/>
      <c r="L55" s="92"/>
      <c r="M55" s="91"/>
      <c r="N55" s="190"/>
    </row>
    <row r="56" spans="1:14" ht="24" customHeight="1">
      <c r="A56" s="96"/>
      <c r="B56" s="95" t="s">
        <v>20</v>
      </c>
      <c r="C56" s="95"/>
      <c r="D56" s="95"/>
      <c r="E56" s="94"/>
      <c r="F56" s="93"/>
      <c r="G56" s="92"/>
      <c r="H56" s="92">
        <f>SUM(H42:H55)</f>
        <v>4046735</v>
      </c>
      <c r="I56" s="92"/>
      <c r="J56" s="92">
        <f>SUM(J42:J55)</f>
        <v>2041130</v>
      </c>
      <c r="K56" s="92"/>
      <c r="L56" s="92">
        <f>SUM(L42:L55)</f>
        <v>6087865</v>
      </c>
      <c r="M56" s="91"/>
      <c r="N56" s="190"/>
    </row>
    <row r="57" spans="1:14" ht="24" customHeight="1">
      <c r="A57" s="96"/>
      <c r="B57" s="95"/>
      <c r="C57" s="95"/>
      <c r="D57" s="95"/>
      <c r="E57" s="94"/>
      <c r="F57" s="93"/>
      <c r="G57" s="92"/>
      <c r="H57" s="92"/>
      <c r="I57" s="92"/>
      <c r="J57" s="92"/>
      <c r="K57" s="92"/>
      <c r="L57" s="92"/>
      <c r="M57" s="91"/>
      <c r="N57" s="190"/>
    </row>
    <row r="58" spans="1:14" ht="24" customHeight="1">
      <c r="A58" s="102">
        <f>A6</f>
        <v>3</v>
      </c>
      <c r="B58" s="101" t="str">
        <f>B6</f>
        <v>목공 공사</v>
      </c>
      <c r="C58" s="101"/>
      <c r="D58" s="101"/>
      <c r="E58" s="100"/>
      <c r="F58" s="99"/>
      <c r="G58" s="98"/>
      <c r="H58" s="98"/>
      <c r="I58" s="98"/>
      <c r="J58" s="98"/>
      <c r="K58" s="98"/>
      <c r="L58" s="98"/>
      <c r="M58" s="97"/>
      <c r="N58" s="190"/>
    </row>
    <row r="59" spans="1:14" ht="24" customHeight="1">
      <c r="A59" s="96"/>
      <c r="B59" s="95" t="s">
        <v>149</v>
      </c>
      <c r="C59" s="95" t="s">
        <v>150</v>
      </c>
      <c r="D59" s="95"/>
      <c r="E59" s="94">
        <v>50</v>
      </c>
      <c r="F59" s="152" t="s">
        <v>88</v>
      </c>
      <c r="G59" s="92">
        <v>4000</v>
      </c>
      <c r="H59" s="92">
        <f t="shared" ref="H59:H78" si="6">E59*G59</f>
        <v>200000</v>
      </c>
      <c r="I59" s="92"/>
      <c r="J59" s="92">
        <f t="shared" ref="J59:J80" si="7">E59*I59</f>
        <v>0</v>
      </c>
      <c r="K59" s="92">
        <f t="shared" ref="K59:L78" si="8">G59+I59</f>
        <v>4000</v>
      </c>
      <c r="L59" s="92">
        <f t="shared" si="8"/>
        <v>200000</v>
      </c>
      <c r="M59" s="91"/>
      <c r="N59" s="190"/>
    </row>
    <row r="60" spans="1:14" ht="24" customHeight="1">
      <c r="A60" s="96"/>
      <c r="B60" s="95" t="s">
        <v>151</v>
      </c>
      <c r="C60" s="95" t="s">
        <v>150</v>
      </c>
      <c r="D60" s="95"/>
      <c r="E60" s="94">
        <v>30</v>
      </c>
      <c r="F60" s="152" t="s">
        <v>88</v>
      </c>
      <c r="G60" s="92">
        <v>6000</v>
      </c>
      <c r="H60" s="92">
        <f t="shared" si="6"/>
        <v>180000</v>
      </c>
      <c r="I60" s="92"/>
      <c r="J60" s="92">
        <f t="shared" si="7"/>
        <v>0</v>
      </c>
      <c r="K60" s="92">
        <f t="shared" si="8"/>
        <v>6000</v>
      </c>
      <c r="L60" s="92">
        <f t="shared" si="8"/>
        <v>180000</v>
      </c>
      <c r="M60" s="91"/>
      <c r="N60" s="190"/>
    </row>
    <row r="61" spans="1:14" ht="24" customHeight="1">
      <c r="A61" s="96"/>
      <c r="B61" s="95" t="s">
        <v>152</v>
      </c>
      <c r="C61" s="95" t="s">
        <v>153</v>
      </c>
      <c r="D61" s="95"/>
      <c r="E61" s="94">
        <v>24</v>
      </c>
      <c r="F61" s="152" t="s">
        <v>154</v>
      </c>
      <c r="G61" s="92">
        <v>32500</v>
      </c>
      <c r="H61" s="92">
        <f t="shared" si="6"/>
        <v>780000</v>
      </c>
      <c r="I61" s="92"/>
      <c r="J61" s="92">
        <f t="shared" si="7"/>
        <v>0</v>
      </c>
      <c r="K61" s="92">
        <f t="shared" si="8"/>
        <v>32500</v>
      </c>
      <c r="L61" s="92">
        <f t="shared" si="8"/>
        <v>780000</v>
      </c>
      <c r="M61" s="91"/>
      <c r="N61" s="190"/>
    </row>
    <row r="62" spans="1:14" ht="24" customHeight="1">
      <c r="A62" s="96"/>
      <c r="B62" s="95" t="s">
        <v>155</v>
      </c>
      <c r="C62" s="95" t="s">
        <v>156</v>
      </c>
      <c r="D62" s="95"/>
      <c r="E62" s="94">
        <v>6</v>
      </c>
      <c r="F62" s="152" t="s">
        <v>88</v>
      </c>
      <c r="G62" s="92">
        <v>33000</v>
      </c>
      <c r="H62" s="92">
        <f t="shared" si="6"/>
        <v>198000</v>
      </c>
      <c r="I62" s="92"/>
      <c r="J62" s="92">
        <f t="shared" si="7"/>
        <v>0</v>
      </c>
      <c r="K62" s="92">
        <f t="shared" si="8"/>
        <v>33000</v>
      </c>
      <c r="L62" s="92">
        <f t="shared" si="8"/>
        <v>198000</v>
      </c>
      <c r="M62" s="91"/>
      <c r="N62" s="190"/>
    </row>
    <row r="63" spans="1:14" ht="24" customHeight="1">
      <c r="A63" s="96"/>
      <c r="B63" s="95"/>
      <c r="C63" s="95" t="s">
        <v>157</v>
      </c>
      <c r="D63" s="95"/>
      <c r="E63" s="94">
        <v>1</v>
      </c>
      <c r="F63" s="152" t="s">
        <v>88</v>
      </c>
      <c r="G63" s="92">
        <v>39500</v>
      </c>
      <c r="H63" s="92">
        <f t="shared" si="6"/>
        <v>39500</v>
      </c>
      <c r="I63" s="92"/>
      <c r="J63" s="92">
        <f t="shared" si="7"/>
        <v>0</v>
      </c>
      <c r="K63" s="92">
        <f t="shared" si="8"/>
        <v>39500</v>
      </c>
      <c r="L63" s="92">
        <f t="shared" si="8"/>
        <v>39500</v>
      </c>
      <c r="M63" s="91"/>
      <c r="N63" s="190"/>
    </row>
    <row r="64" spans="1:14" ht="24" customHeight="1">
      <c r="A64" s="96"/>
      <c r="B64" s="95" t="s">
        <v>158</v>
      </c>
      <c r="C64" s="95" t="s">
        <v>156</v>
      </c>
      <c r="D64" s="95"/>
      <c r="E64" s="94">
        <v>14</v>
      </c>
      <c r="F64" s="152" t="s">
        <v>88</v>
      </c>
      <c r="G64" s="92">
        <v>19500</v>
      </c>
      <c r="H64" s="92">
        <f t="shared" si="6"/>
        <v>273000</v>
      </c>
      <c r="I64" s="92"/>
      <c r="J64" s="92">
        <f t="shared" si="7"/>
        <v>0</v>
      </c>
      <c r="K64" s="92">
        <f t="shared" si="8"/>
        <v>19500</v>
      </c>
      <c r="L64" s="92">
        <f t="shared" si="8"/>
        <v>273000</v>
      </c>
      <c r="M64" s="91"/>
      <c r="N64" s="190"/>
    </row>
    <row r="65" spans="1:16" ht="24" customHeight="1">
      <c r="A65" s="96"/>
      <c r="B65" s="95"/>
      <c r="C65" s="95" t="s">
        <v>157</v>
      </c>
      <c r="D65" s="95"/>
      <c r="E65" s="94">
        <v>2</v>
      </c>
      <c r="F65" s="152" t="s">
        <v>88</v>
      </c>
      <c r="G65" s="92">
        <v>26500</v>
      </c>
      <c r="H65" s="92">
        <f t="shared" si="6"/>
        <v>53000</v>
      </c>
      <c r="I65" s="92"/>
      <c r="J65" s="92">
        <f t="shared" si="7"/>
        <v>0</v>
      </c>
      <c r="K65" s="92">
        <f t="shared" si="8"/>
        <v>26500</v>
      </c>
      <c r="L65" s="92">
        <f t="shared" si="8"/>
        <v>53000</v>
      </c>
      <c r="M65" s="91"/>
      <c r="N65" s="190"/>
    </row>
    <row r="66" spans="1:16" ht="24" customHeight="1">
      <c r="A66" s="96"/>
      <c r="B66" s="95"/>
      <c r="C66" s="95" t="s">
        <v>159</v>
      </c>
      <c r="D66" s="95"/>
      <c r="E66" s="94">
        <v>4</v>
      </c>
      <c r="F66" s="152" t="s">
        <v>88</v>
      </c>
      <c r="G66" s="92">
        <v>34500</v>
      </c>
      <c r="H66" s="92">
        <f t="shared" si="6"/>
        <v>138000</v>
      </c>
      <c r="I66" s="92"/>
      <c r="J66" s="92">
        <f t="shared" si="7"/>
        <v>0</v>
      </c>
      <c r="K66" s="92">
        <f t="shared" si="8"/>
        <v>34500</v>
      </c>
      <c r="L66" s="92">
        <f t="shared" si="8"/>
        <v>138000</v>
      </c>
      <c r="M66" s="91"/>
      <c r="N66" s="190"/>
      <c r="P66" s="193"/>
    </row>
    <row r="67" spans="1:16" ht="24" customHeight="1">
      <c r="A67" s="96"/>
      <c r="B67" s="95" t="s">
        <v>160</v>
      </c>
      <c r="C67" s="95" t="s">
        <v>161</v>
      </c>
      <c r="D67" s="95"/>
      <c r="E67" s="94">
        <v>6</v>
      </c>
      <c r="F67" s="152" t="s">
        <v>88</v>
      </c>
      <c r="G67" s="92">
        <v>7000</v>
      </c>
      <c r="H67" s="92">
        <f t="shared" si="6"/>
        <v>42000</v>
      </c>
      <c r="I67" s="92"/>
      <c r="J67" s="92">
        <f t="shared" si="7"/>
        <v>0</v>
      </c>
      <c r="K67" s="92">
        <f t="shared" si="8"/>
        <v>7000</v>
      </c>
      <c r="L67" s="92">
        <f t="shared" si="8"/>
        <v>42000</v>
      </c>
      <c r="M67" s="91"/>
      <c r="N67" s="190"/>
    </row>
    <row r="68" spans="1:16" ht="24" customHeight="1">
      <c r="A68" s="96"/>
      <c r="B68" s="95" t="s">
        <v>162</v>
      </c>
      <c r="C68" s="95" t="s">
        <v>164</v>
      </c>
      <c r="D68" s="95"/>
      <c r="E68" s="94">
        <v>2</v>
      </c>
      <c r="F68" s="152" t="s">
        <v>163</v>
      </c>
      <c r="G68" s="92">
        <v>160000</v>
      </c>
      <c r="H68" s="92">
        <f t="shared" si="6"/>
        <v>320000</v>
      </c>
      <c r="I68" s="92"/>
      <c r="J68" s="92">
        <f t="shared" si="7"/>
        <v>0</v>
      </c>
      <c r="K68" s="92">
        <f t="shared" si="8"/>
        <v>160000</v>
      </c>
      <c r="L68" s="92">
        <f t="shared" si="8"/>
        <v>320000</v>
      </c>
      <c r="M68" s="91"/>
      <c r="N68" s="190"/>
    </row>
    <row r="69" spans="1:16" ht="24" customHeight="1">
      <c r="A69" s="96"/>
      <c r="B69" s="95"/>
      <c r="C69" s="95"/>
      <c r="D69" s="95"/>
      <c r="E69" s="94"/>
      <c r="F69" s="152"/>
      <c r="G69" s="92"/>
      <c r="H69" s="92"/>
      <c r="I69" s="92"/>
      <c r="J69" s="92"/>
      <c r="K69" s="92"/>
      <c r="L69" s="92"/>
      <c r="M69" s="91"/>
      <c r="N69" s="190"/>
    </row>
    <row r="70" spans="1:16" ht="24" customHeight="1">
      <c r="A70" s="96"/>
      <c r="B70" s="95" t="s">
        <v>110</v>
      </c>
      <c r="C70" s="95"/>
      <c r="D70" s="93" t="s">
        <v>180</v>
      </c>
      <c r="E70" s="94">
        <v>55</v>
      </c>
      <c r="F70" s="152" t="s">
        <v>88</v>
      </c>
      <c r="G70" s="92">
        <v>3500</v>
      </c>
      <c r="H70" s="92">
        <f t="shared" si="6"/>
        <v>192500</v>
      </c>
      <c r="I70" s="92"/>
      <c r="J70" s="92">
        <f t="shared" si="7"/>
        <v>0</v>
      </c>
      <c r="K70" s="92">
        <f t="shared" si="8"/>
        <v>3500</v>
      </c>
      <c r="L70" s="92">
        <f t="shared" si="8"/>
        <v>192500</v>
      </c>
      <c r="M70" s="192"/>
      <c r="N70" s="190"/>
    </row>
    <row r="71" spans="1:16" ht="24" customHeight="1">
      <c r="A71" s="96"/>
      <c r="B71" s="95" t="s">
        <v>170</v>
      </c>
      <c r="C71" s="95"/>
      <c r="D71" s="93" t="s">
        <v>180</v>
      </c>
      <c r="E71" s="94">
        <v>30</v>
      </c>
      <c r="F71" s="152" t="s">
        <v>88</v>
      </c>
      <c r="G71" s="92">
        <v>3500</v>
      </c>
      <c r="H71" s="92">
        <f t="shared" si="6"/>
        <v>105000</v>
      </c>
      <c r="I71" s="92"/>
      <c r="J71" s="92">
        <f t="shared" si="7"/>
        <v>0</v>
      </c>
      <c r="K71" s="92">
        <f t="shared" si="8"/>
        <v>3500</v>
      </c>
      <c r="L71" s="92">
        <f t="shared" si="8"/>
        <v>105000</v>
      </c>
      <c r="M71" s="192" t="s">
        <v>138</v>
      </c>
      <c r="N71" s="190"/>
    </row>
    <row r="72" spans="1:16" ht="24" customHeight="1">
      <c r="A72" s="96"/>
      <c r="B72" s="95" t="s">
        <v>165</v>
      </c>
      <c r="C72" s="95"/>
      <c r="D72" s="93" t="s">
        <v>180</v>
      </c>
      <c r="E72" s="94">
        <v>40</v>
      </c>
      <c r="F72" s="152" t="s">
        <v>88</v>
      </c>
      <c r="G72" s="92"/>
      <c r="H72" s="92">
        <f t="shared" si="6"/>
        <v>0</v>
      </c>
      <c r="I72" s="92"/>
      <c r="J72" s="92">
        <f t="shared" si="7"/>
        <v>0</v>
      </c>
      <c r="K72" s="92">
        <f t="shared" si="8"/>
        <v>0</v>
      </c>
      <c r="L72" s="92">
        <f t="shared" si="8"/>
        <v>0</v>
      </c>
      <c r="M72" s="192" t="s">
        <v>308</v>
      </c>
      <c r="N72" s="190" t="s">
        <v>245</v>
      </c>
    </row>
    <row r="73" spans="1:16" ht="24" customHeight="1">
      <c r="A73" s="96"/>
      <c r="B73" s="95" t="s">
        <v>166</v>
      </c>
      <c r="C73" s="95"/>
      <c r="D73" s="93"/>
      <c r="E73" s="94"/>
      <c r="F73" s="152" t="s">
        <v>88</v>
      </c>
      <c r="G73" s="92">
        <v>15000</v>
      </c>
      <c r="H73" s="92">
        <f t="shared" si="6"/>
        <v>0</v>
      </c>
      <c r="I73" s="92"/>
      <c r="J73" s="92">
        <f t="shared" si="7"/>
        <v>0</v>
      </c>
      <c r="K73" s="92">
        <f t="shared" si="8"/>
        <v>15000</v>
      </c>
      <c r="L73" s="92">
        <f t="shared" si="8"/>
        <v>0</v>
      </c>
      <c r="M73" s="192" t="s">
        <v>308</v>
      </c>
      <c r="N73" s="190"/>
    </row>
    <row r="74" spans="1:16" ht="24" customHeight="1">
      <c r="A74" s="96"/>
      <c r="B74" s="95" t="s">
        <v>244</v>
      </c>
      <c r="C74" s="95"/>
      <c r="D74" s="93" t="s">
        <v>180</v>
      </c>
      <c r="E74" s="94">
        <v>1</v>
      </c>
      <c r="F74" s="152" t="s">
        <v>98</v>
      </c>
      <c r="G74" s="92"/>
      <c r="H74" s="92">
        <f t="shared" si="6"/>
        <v>0</v>
      </c>
      <c r="I74" s="92"/>
      <c r="J74" s="92">
        <f t="shared" si="7"/>
        <v>0</v>
      </c>
      <c r="K74" s="92">
        <f t="shared" si="8"/>
        <v>0</v>
      </c>
      <c r="L74" s="92">
        <f t="shared" si="8"/>
        <v>0</v>
      </c>
      <c r="M74" s="192" t="s">
        <v>138</v>
      </c>
      <c r="N74" s="190" t="s">
        <v>310</v>
      </c>
    </row>
    <row r="75" spans="1:16" ht="24" customHeight="1">
      <c r="A75" s="96"/>
      <c r="B75" s="95" t="s">
        <v>181</v>
      </c>
      <c r="C75" s="95"/>
      <c r="D75" s="93" t="s">
        <v>180</v>
      </c>
      <c r="E75" s="94">
        <v>0</v>
      </c>
      <c r="F75" s="152" t="s">
        <v>98</v>
      </c>
      <c r="G75" s="92">
        <v>260000</v>
      </c>
      <c r="H75" s="92">
        <f t="shared" si="6"/>
        <v>0</v>
      </c>
      <c r="I75" s="92"/>
      <c r="J75" s="92">
        <f t="shared" si="7"/>
        <v>0</v>
      </c>
      <c r="K75" s="92">
        <f t="shared" si="8"/>
        <v>260000</v>
      </c>
      <c r="L75" s="92">
        <f t="shared" si="8"/>
        <v>0</v>
      </c>
      <c r="M75" s="192" t="s">
        <v>138</v>
      </c>
      <c r="N75" s="190"/>
    </row>
    <row r="76" spans="1:16" ht="24" customHeight="1">
      <c r="A76" s="96"/>
      <c r="B76" s="95" t="s">
        <v>182</v>
      </c>
      <c r="C76" s="95"/>
      <c r="D76" s="93" t="s">
        <v>180</v>
      </c>
      <c r="E76" s="94">
        <v>15</v>
      </c>
      <c r="F76" s="152" t="s">
        <v>111</v>
      </c>
      <c r="G76" s="92"/>
      <c r="H76" s="92">
        <f t="shared" si="6"/>
        <v>0</v>
      </c>
      <c r="I76" s="92"/>
      <c r="J76" s="92">
        <f t="shared" si="7"/>
        <v>0</v>
      </c>
      <c r="K76" s="92">
        <f t="shared" si="8"/>
        <v>0</v>
      </c>
      <c r="L76" s="92">
        <f t="shared" si="8"/>
        <v>0</v>
      </c>
      <c r="M76" s="192" t="s">
        <v>138</v>
      </c>
      <c r="N76" s="190"/>
    </row>
    <row r="77" spans="1:16" ht="24" customHeight="1">
      <c r="A77" s="96"/>
      <c r="B77" s="95" t="s">
        <v>117</v>
      </c>
      <c r="C77" s="95"/>
      <c r="D77" s="93" t="s">
        <v>180</v>
      </c>
      <c r="E77" s="94">
        <v>0</v>
      </c>
      <c r="F77" s="152" t="s">
        <v>98</v>
      </c>
      <c r="G77" s="92">
        <v>25000</v>
      </c>
      <c r="H77" s="92">
        <f t="shared" si="6"/>
        <v>0</v>
      </c>
      <c r="I77" s="92"/>
      <c r="J77" s="92">
        <f t="shared" si="7"/>
        <v>0</v>
      </c>
      <c r="K77" s="92">
        <f t="shared" si="8"/>
        <v>25000</v>
      </c>
      <c r="L77" s="92">
        <f t="shared" si="8"/>
        <v>0</v>
      </c>
      <c r="M77" s="192" t="s">
        <v>138</v>
      </c>
      <c r="N77" s="190"/>
    </row>
    <row r="78" spans="1:16" ht="24" customHeight="1">
      <c r="A78" s="96"/>
      <c r="B78" s="95" t="s">
        <v>80</v>
      </c>
      <c r="C78" s="95" t="s">
        <v>167</v>
      </c>
      <c r="D78" s="95"/>
      <c r="E78" s="94">
        <v>1</v>
      </c>
      <c r="F78" s="152" t="s">
        <v>79</v>
      </c>
      <c r="G78" s="92">
        <v>350000</v>
      </c>
      <c r="H78" s="92">
        <f t="shared" si="6"/>
        <v>350000</v>
      </c>
      <c r="I78" s="92"/>
      <c r="J78" s="92">
        <f t="shared" si="7"/>
        <v>0</v>
      </c>
      <c r="K78" s="92">
        <f t="shared" si="8"/>
        <v>350000</v>
      </c>
      <c r="L78" s="92">
        <f t="shared" si="8"/>
        <v>350000</v>
      </c>
      <c r="M78" s="91"/>
      <c r="N78" s="190"/>
    </row>
    <row r="79" spans="1:16" ht="24" customHeight="1">
      <c r="A79" s="96"/>
      <c r="B79" s="95" t="s">
        <v>78</v>
      </c>
      <c r="C79" s="95"/>
      <c r="D79" s="95"/>
      <c r="E79" s="94">
        <v>10</v>
      </c>
      <c r="F79" s="152" t="s">
        <v>77</v>
      </c>
      <c r="G79" s="92"/>
      <c r="H79" s="92">
        <f>E79*G79</f>
        <v>0</v>
      </c>
      <c r="I79" s="92">
        <v>280000</v>
      </c>
      <c r="J79" s="92">
        <f t="shared" si="7"/>
        <v>2800000</v>
      </c>
      <c r="K79" s="92">
        <f>G79+I79</f>
        <v>280000</v>
      </c>
      <c r="L79" s="92">
        <f>H79+J79</f>
        <v>2800000</v>
      </c>
      <c r="M79" s="91"/>
      <c r="N79" s="190"/>
    </row>
    <row r="80" spans="1:16" ht="24" customHeight="1">
      <c r="A80" s="96"/>
      <c r="B80" s="95" t="s">
        <v>168</v>
      </c>
      <c r="C80" s="95"/>
      <c r="D80" s="95"/>
      <c r="E80" s="94">
        <v>4</v>
      </c>
      <c r="F80" s="152" t="s">
        <v>169</v>
      </c>
      <c r="G80" s="92">
        <v>120000</v>
      </c>
      <c r="H80" s="92">
        <f>E80*G80</f>
        <v>480000</v>
      </c>
      <c r="I80" s="92"/>
      <c r="J80" s="92">
        <f t="shared" si="7"/>
        <v>0</v>
      </c>
      <c r="K80" s="92">
        <f>G80+I80</f>
        <v>120000</v>
      </c>
      <c r="L80" s="92">
        <f>H80+J80</f>
        <v>480000</v>
      </c>
      <c r="M80" s="91"/>
      <c r="N80" s="190"/>
    </row>
    <row r="81" spans="1:14" ht="24" customHeight="1">
      <c r="A81" s="96"/>
      <c r="B81" s="170"/>
      <c r="C81" s="95"/>
      <c r="D81" s="95"/>
      <c r="E81" s="94"/>
      <c r="F81" s="93"/>
      <c r="G81" s="92"/>
      <c r="H81" s="92"/>
      <c r="I81" s="92"/>
      <c r="J81" s="92"/>
      <c r="K81" s="92"/>
      <c r="L81" s="92"/>
      <c r="M81" s="91"/>
      <c r="N81" s="190"/>
    </row>
    <row r="82" spans="1:14" ht="24" customHeight="1">
      <c r="A82" s="96"/>
      <c r="B82" s="95" t="s">
        <v>20</v>
      </c>
      <c r="C82" s="95"/>
      <c r="D82" s="95"/>
      <c r="E82" s="94"/>
      <c r="F82" s="93"/>
      <c r="G82" s="92"/>
      <c r="H82" s="92">
        <f>SUM(H59:H80)</f>
        <v>3351000</v>
      </c>
      <c r="I82" s="92"/>
      <c r="J82" s="92">
        <f>SUM(J59:J80)</f>
        <v>2800000</v>
      </c>
      <c r="K82" s="92"/>
      <c r="L82" s="92">
        <f>SUM(L59:L81)</f>
        <v>6151000</v>
      </c>
      <c r="M82" s="91"/>
      <c r="N82" s="190"/>
    </row>
    <row r="83" spans="1:14" ht="24" customHeight="1">
      <c r="A83" s="96"/>
      <c r="B83" s="95"/>
      <c r="C83" s="95"/>
      <c r="D83" s="95"/>
      <c r="E83" s="94"/>
      <c r="F83" s="93"/>
      <c r="G83" s="92"/>
      <c r="H83" s="92"/>
      <c r="I83" s="92"/>
      <c r="J83" s="92"/>
      <c r="K83" s="92"/>
      <c r="L83" s="92"/>
      <c r="M83" s="91"/>
      <c r="N83" s="190"/>
    </row>
    <row r="84" spans="1:14" ht="24" customHeight="1">
      <c r="A84" s="102">
        <f>A7</f>
        <v>4</v>
      </c>
      <c r="B84" s="101" t="str">
        <f>B7</f>
        <v>전기 공사</v>
      </c>
      <c r="C84" s="101"/>
      <c r="D84" s="101"/>
      <c r="E84" s="100"/>
      <c r="F84" s="99"/>
      <c r="G84" s="98"/>
      <c r="H84" s="98"/>
      <c r="I84" s="98"/>
      <c r="J84" s="98"/>
      <c r="K84" s="98"/>
      <c r="L84" s="98"/>
      <c r="M84" s="97"/>
      <c r="N84" s="190"/>
    </row>
    <row r="85" spans="1:14" ht="24" customHeight="1">
      <c r="A85" s="96"/>
      <c r="B85" s="143" t="s">
        <v>172</v>
      </c>
      <c r="C85" s="143" t="s">
        <v>184</v>
      </c>
      <c r="D85" s="93"/>
      <c r="E85" s="94">
        <v>0</v>
      </c>
      <c r="F85" s="152" t="s">
        <v>174</v>
      </c>
      <c r="G85" s="92">
        <v>85000</v>
      </c>
      <c r="H85" s="92">
        <f t="shared" ref="H85:H110" si="9">E85*G85</f>
        <v>0</v>
      </c>
      <c r="I85" s="92"/>
      <c r="J85" s="92">
        <f>E85*I85</f>
        <v>0</v>
      </c>
      <c r="K85" s="92">
        <f t="shared" ref="K85:L110" si="10">G85+I85</f>
        <v>85000</v>
      </c>
      <c r="L85" s="92">
        <f t="shared" si="10"/>
        <v>0</v>
      </c>
      <c r="M85" s="192" t="s">
        <v>138</v>
      </c>
      <c r="N85" s="190"/>
    </row>
    <row r="86" spans="1:14" ht="24" customHeight="1">
      <c r="A86" s="96"/>
      <c r="B86" s="143" t="s">
        <v>173</v>
      </c>
      <c r="C86" s="143" t="s">
        <v>184</v>
      </c>
      <c r="D86" s="93"/>
      <c r="E86" s="94">
        <v>0</v>
      </c>
      <c r="F86" s="152" t="s">
        <v>190</v>
      </c>
      <c r="G86" s="92">
        <v>120000</v>
      </c>
      <c r="H86" s="92">
        <f t="shared" si="9"/>
        <v>0</v>
      </c>
      <c r="I86" s="92"/>
      <c r="J86" s="92">
        <f>E86*I86</f>
        <v>0</v>
      </c>
      <c r="K86" s="92">
        <f t="shared" si="10"/>
        <v>120000</v>
      </c>
      <c r="L86" s="92">
        <f t="shared" si="10"/>
        <v>0</v>
      </c>
      <c r="M86" s="192" t="s">
        <v>138</v>
      </c>
      <c r="N86" s="190"/>
    </row>
    <row r="87" spans="1:14" ht="24" customHeight="1">
      <c r="A87" s="96"/>
      <c r="B87" s="143" t="s">
        <v>175</v>
      </c>
      <c r="C87" s="143" t="s">
        <v>184</v>
      </c>
      <c r="D87" s="93"/>
      <c r="E87" s="94">
        <v>0</v>
      </c>
      <c r="F87" s="152" t="s">
        <v>174</v>
      </c>
      <c r="G87" s="92">
        <v>120000</v>
      </c>
      <c r="H87" s="92">
        <f t="shared" si="9"/>
        <v>0</v>
      </c>
      <c r="I87" s="92"/>
      <c r="J87" s="92">
        <f t="shared" ref="J87:J110" si="11">E87*I87</f>
        <v>0</v>
      </c>
      <c r="K87" s="92">
        <f t="shared" si="10"/>
        <v>120000</v>
      </c>
      <c r="L87" s="92">
        <f t="shared" si="10"/>
        <v>0</v>
      </c>
      <c r="M87" s="192" t="s">
        <v>138</v>
      </c>
      <c r="N87" s="190"/>
    </row>
    <row r="88" spans="1:14" ht="24" customHeight="1">
      <c r="A88" s="96"/>
      <c r="B88" s="143" t="s">
        <v>189</v>
      </c>
      <c r="C88" s="143" t="s">
        <v>184</v>
      </c>
      <c r="D88" s="93"/>
      <c r="E88" s="94">
        <v>0</v>
      </c>
      <c r="F88" s="152" t="s">
        <v>174</v>
      </c>
      <c r="G88" s="92">
        <v>85000</v>
      </c>
      <c r="H88" s="92">
        <f t="shared" si="9"/>
        <v>0</v>
      </c>
      <c r="I88" s="92"/>
      <c r="J88" s="92">
        <f t="shared" si="11"/>
        <v>0</v>
      </c>
      <c r="K88" s="92">
        <f t="shared" si="10"/>
        <v>85000</v>
      </c>
      <c r="L88" s="92">
        <f t="shared" si="10"/>
        <v>0</v>
      </c>
      <c r="M88" s="192" t="s">
        <v>138</v>
      </c>
      <c r="N88" s="190"/>
    </row>
    <row r="89" spans="1:14" ht="24" customHeight="1">
      <c r="A89" s="96"/>
      <c r="B89" s="143" t="s">
        <v>176</v>
      </c>
      <c r="C89" s="143" t="s">
        <v>183</v>
      </c>
      <c r="D89" s="93"/>
      <c r="E89" s="94">
        <v>1</v>
      </c>
      <c r="F89" s="152" t="s">
        <v>174</v>
      </c>
      <c r="G89" s="92"/>
      <c r="H89" s="92">
        <f t="shared" si="9"/>
        <v>0</v>
      </c>
      <c r="I89" s="92"/>
      <c r="J89" s="92">
        <f t="shared" si="11"/>
        <v>0</v>
      </c>
      <c r="K89" s="92">
        <f t="shared" si="10"/>
        <v>0</v>
      </c>
      <c r="L89" s="92">
        <f t="shared" si="10"/>
        <v>0</v>
      </c>
      <c r="M89" s="192" t="s">
        <v>138</v>
      </c>
      <c r="N89" s="190"/>
    </row>
    <row r="90" spans="1:14" ht="24" customHeight="1">
      <c r="A90" s="96"/>
      <c r="B90" s="143" t="s">
        <v>177</v>
      </c>
      <c r="C90" s="143" t="s">
        <v>185</v>
      </c>
      <c r="D90" s="93"/>
      <c r="E90" s="94">
        <v>1</v>
      </c>
      <c r="F90" s="152" t="s">
        <v>174</v>
      </c>
      <c r="G90" s="92">
        <v>15000</v>
      </c>
      <c r="H90" s="92">
        <f t="shared" si="9"/>
        <v>15000</v>
      </c>
      <c r="I90" s="92"/>
      <c r="J90" s="92">
        <f t="shared" si="11"/>
        <v>0</v>
      </c>
      <c r="K90" s="92">
        <f t="shared" si="10"/>
        <v>15000</v>
      </c>
      <c r="L90" s="92">
        <f t="shared" si="10"/>
        <v>15000</v>
      </c>
      <c r="M90" s="192" t="s">
        <v>138</v>
      </c>
      <c r="N90" s="190"/>
    </row>
    <row r="91" spans="1:14" ht="24" customHeight="1">
      <c r="A91" s="96"/>
      <c r="B91" s="143" t="s">
        <v>178</v>
      </c>
      <c r="C91" s="143" t="s">
        <v>183</v>
      </c>
      <c r="D91" s="95"/>
      <c r="E91" s="94">
        <v>3</v>
      </c>
      <c r="F91" s="152" t="s">
        <v>174</v>
      </c>
      <c r="G91" s="92">
        <v>15000</v>
      </c>
      <c r="H91" s="92">
        <f t="shared" si="9"/>
        <v>45000</v>
      </c>
      <c r="I91" s="92"/>
      <c r="J91" s="92">
        <f t="shared" si="11"/>
        <v>0</v>
      </c>
      <c r="K91" s="92">
        <f t="shared" si="10"/>
        <v>15000</v>
      </c>
      <c r="L91" s="92">
        <f t="shared" si="10"/>
        <v>45000</v>
      </c>
      <c r="M91" s="192"/>
      <c r="N91" s="190"/>
    </row>
    <row r="92" spans="1:14" ht="24" customHeight="1">
      <c r="A92" s="96"/>
      <c r="B92" s="143" t="s">
        <v>208</v>
      </c>
      <c r="C92" s="143" t="s">
        <v>209</v>
      </c>
      <c r="D92" s="95"/>
      <c r="E92" s="94">
        <v>1</v>
      </c>
      <c r="F92" s="152" t="s">
        <v>174</v>
      </c>
      <c r="G92" s="92">
        <v>150000</v>
      </c>
      <c r="H92" s="92">
        <f t="shared" si="9"/>
        <v>150000</v>
      </c>
      <c r="I92" s="92"/>
      <c r="J92" s="92">
        <f t="shared" si="11"/>
        <v>0</v>
      </c>
      <c r="K92" s="92">
        <f t="shared" si="10"/>
        <v>150000</v>
      </c>
      <c r="L92" s="92">
        <f t="shared" si="10"/>
        <v>150000</v>
      </c>
      <c r="M92" s="192" t="s">
        <v>138</v>
      </c>
      <c r="N92" s="190" t="s">
        <v>210</v>
      </c>
    </row>
    <row r="93" spans="1:14" ht="24" customHeight="1">
      <c r="A93" s="96"/>
      <c r="B93" s="143" t="s">
        <v>207</v>
      </c>
      <c r="C93" s="143" t="s">
        <v>209</v>
      </c>
      <c r="D93" s="95"/>
      <c r="E93" s="94"/>
      <c r="F93" s="152" t="s">
        <v>174</v>
      </c>
      <c r="G93" s="92">
        <v>150000</v>
      </c>
      <c r="H93" s="92">
        <f t="shared" si="9"/>
        <v>0</v>
      </c>
      <c r="I93" s="92"/>
      <c r="J93" s="92">
        <f t="shared" si="11"/>
        <v>0</v>
      </c>
      <c r="K93" s="92">
        <f t="shared" si="10"/>
        <v>150000</v>
      </c>
      <c r="L93" s="92">
        <f t="shared" si="10"/>
        <v>0</v>
      </c>
      <c r="M93" s="192" t="s">
        <v>138</v>
      </c>
      <c r="N93" s="190" t="s">
        <v>210</v>
      </c>
    </row>
    <row r="94" spans="1:14" ht="24" customHeight="1">
      <c r="A94" s="96"/>
      <c r="B94" s="143" t="s">
        <v>206</v>
      </c>
      <c r="C94" s="143" t="s">
        <v>183</v>
      </c>
      <c r="D94" s="95"/>
      <c r="E94" s="94">
        <v>1</v>
      </c>
      <c r="F94" s="152" t="s">
        <v>174</v>
      </c>
      <c r="G94" s="92"/>
      <c r="H94" s="92">
        <f t="shared" si="9"/>
        <v>0</v>
      </c>
      <c r="I94" s="92"/>
      <c r="J94" s="92">
        <f t="shared" si="11"/>
        <v>0</v>
      </c>
      <c r="K94" s="92">
        <f t="shared" si="10"/>
        <v>0</v>
      </c>
      <c r="L94" s="92">
        <f t="shared" si="10"/>
        <v>0</v>
      </c>
      <c r="M94" s="192"/>
      <c r="N94" s="190" t="s">
        <v>204</v>
      </c>
    </row>
    <row r="95" spans="1:14" ht="24" customHeight="1">
      <c r="A95" s="96"/>
      <c r="B95" s="143" t="s">
        <v>202</v>
      </c>
      <c r="C95" s="143" t="s">
        <v>203</v>
      </c>
      <c r="D95" s="95"/>
      <c r="E95" s="94">
        <v>0</v>
      </c>
      <c r="F95" s="152" t="s">
        <v>174</v>
      </c>
      <c r="G95" s="92">
        <v>15000</v>
      </c>
      <c r="H95" s="92">
        <f t="shared" si="9"/>
        <v>0</v>
      </c>
      <c r="I95" s="92"/>
      <c r="J95" s="92">
        <f t="shared" si="11"/>
        <v>0</v>
      </c>
      <c r="K95" s="92">
        <f t="shared" si="10"/>
        <v>15000</v>
      </c>
      <c r="L95" s="92">
        <f t="shared" si="10"/>
        <v>0</v>
      </c>
      <c r="M95" s="192"/>
      <c r="N95" s="190"/>
    </row>
    <row r="96" spans="1:14" ht="24" customHeight="1">
      <c r="A96" s="96"/>
      <c r="B96" s="143" t="s">
        <v>202</v>
      </c>
      <c r="C96" s="143" t="s">
        <v>205</v>
      </c>
      <c r="D96" s="95"/>
      <c r="E96" s="94">
        <v>20</v>
      </c>
      <c r="F96" s="152" t="s">
        <v>174</v>
      </c>
      <c r="G96" s="92"/>
      <c r="H96" s="92">
        <f t="shared" si="9"/>
        <v>0</v>
      </c>
      <c r="I96" s="92"/>
      <c r="J96" s="92">
        <f t="shared" si="11"/>
        <v>0</v>
      </c>
      <c r="K96" s="92">
        <f t="shared" si="10"/>
        <v>0</v>
      </c>
      <c r="L96" s="92">
        <f t="shared" si="10"/>
        <v>0</v>
      </c>
      <c r="M96" s="192" t="s">
        <v>138</v>
      </c>
      <c r="N96" s="190" t="s">
        <v>204</v>
      </c>
    </row>
    <row r="97" spans="1:14" ht="24" customHeight="1">
      <c r="A97" s="96"/>
      <c r="B97" s="143" t="s">
        <v>179</v>
      </c>
      <c r="C97" s="143" t="s">
        <v>186</v>
      </c>
      <c r="D97" s="95"/>
      <c r="E97" s="94">
        <v>1</v>
      </c>
      <c r="F97" s="152" t="s">
        <v>174</v>
      </c>
      <c r="G97" s="92"/>
      <c r="H97" s="92">
        <f t="shared" si="9"/>
        <v>0</v>
      </c>
      <c r="I97" s="92"/>
      <c r="J97" s="92">
        <f t="shared" si="11"/>
        <v>0</v>
      </c>
      <c r="K97" s="92">
        <f t="shared" si="10"/>
        <v>0</v>
      </c>
      <c r="L97" s="92">
        <f t="shared" si="10"/>
        <v>0</v>
      </c>
      <c r="M97" s="192"/>
      <c r="N97" s="190" t="s">
        <v>204</v>
      </c>
    </row>
    <row r="98" spans="1:14" ht="24" customHeight="1">
      <c r="A98" s="96"/>
      <c r="B98" s="143" t="s">
        <v>187</v>
      </c>
      <c r="C98" s="143" t="s">
        <v>318</v>
      </c>
      <c r="D98" s="95"/>
      <c r="E98" s="94">
        <v>5</v>
      </c>
      <c r="F98" s="152" t="s">
        <v>174</v>
      </c>
      <c r="G98" s="92">
        <v>12500</v>
      </c>
      <c r="H98" s="92">
        <f t="shared" si="9"/>
        <v>62500</v>
      </c>
      <c r="I98" s="92"/>
      <c r="J98" s="92">
        <f t="shared" si="11"/>
        <v>0</v>
      </c>
      <c r="K98" s="92">
        <f t="shared" si="10"/>
        <v>12500</v>
      </c>
      <c r="L98" s="92">
        <f t="shared" si="10"/>
        <v>62500</v>
      </c>
      <c r="M98" s="192"/>
      <c r="N98" s="190"/>
    </row>
    <row r="99" spans="1:14" ht="24" customHeight="1">
      <c r="A99" s="96"/>
      <c r="B99" s="143"/>
      <c r="C99" s="143" t="s">
        <v>320</v>
      </c>
      <c r="D99" s="93"/>
      <c r="E99" s="94">
        <v>30</v>
      </c>
      <c r="F99" s="152" t="s">
        <v>174</v>
      </c>
      <c r="G99" s="92"/>
      <c r="H99" s="92">
        <f t="shared" si="9"/>
        <v>0</v>
      </c>
      <c r="I99" s="92"/>
      <c r="J99" s="92">
        <f t="shared" si="11"/>
        <v>0</v>
      </c>
      <c r="K99" s="92">
        <f t="shared" si="10"/>
        <v>0</v>
      </c>
      <c r="L99" s="92">
        <f t="shared" si="10"/>
        <v>0</v>
      </c>
      <c r="M99" s="192" t="s">
        <v>138</v>
      </c>
      <c r="N99" s="190"/>
    </row>
    <row r="100" spans="1:14" ht="24" customHeight="1">
      <c r="A100" s="96"/>
      <c r="B100" s="143"/>
      <c r="C100" s="143" t="s">
        <v>188</v>
      </c>
      <c r="D100" s="93"/>
      <c r="E100" s="94">
        <v>4</v>
      </c>
      <c r="F100" s="152" t="s">
        <v>174</v>
      </c>
      <c r="G100" s="92">
        <v>15000</v>
      </c>
      <c r="H100" s="92">
        <f t="shared" si="9"/>
        <v>60000</v>
      </c>
      <c r="I100" s="92"/>
      <c r="J100" s="92">
        <f t="shared" si="11"/>
        <v>0</v>
      </c>
      <c r="K100" s="92">
        <f t="shared" si="10"/>
        <v>15000</v>
      </c>
      <c r="L100" s="92">
        <f t="shared" si="10"/>
        <v>60000</v>
      </c>
      <c r="M100" s="192" t="s">
        <v>138</v>
      </c>
      <c r="N100" s="190"/>
    </row>
    <row r="101" spans="1:14" ht="24" customHeight="1">
      <c r="A101" s="96"/>
      <c r="B101" s="143" t="s">
        <v>191</v>
      </c>
      <c r="C101" s="143" t="s">
        <v>192</v>
      </c>
      <c r="D101" s="95"/>
      <c r="E101" s="188">
        <v>141.59</v>
      </c>
      <c r="F101" s="152" t="s">
        <v>111</v>
      </c>
      <c r="G101" s="92">
        <v>3200</v>
      </c>
      <c r="H101" s="92">
        <f t="shared" si="9"/>
        <v>453088</v>
      </c>
      <c r="I101" s="92"/>
      <c r="J101" s="92">
        <f t="shared" si="11"/>
        <v>0</v>
      </c>
      <c r="K101" s="92">
        <f t="shared" si="10"/>
        <v>3200</v>
      </c>
      <c r="L101" s="92">
        <f t="shared" si="10"/>
        <v>453088</v>
      </c>
      <c r="M101" s="192"/>
      <c r="N101" s="190" t="s">
        <v>211</v>
      </c>
    </row>
    <row r="102" spans="1:14" ht="24" customHeight="1">
      <c r="A102" s="96"/>
      <c r="B102" s="143" t="s">
        <v>193</v>
      </c>
      <c r="C102" s="143" t="s">
        <v>194</v>
      </c>
      <c r="D102" s="95"/>
      <c r="E102" s="94">
        <v>1</v>
      </c>
      <c r="F102" s="152" t="s">
        <v>174</v>
      </c>
      <c r="G102" s="92"/>
      <c r="H102" s="92">
        <f t="shared" si="9"/>
        <v>0</v>
      </c>
      <c r="I102" s="92"/>
      <c r="J102" s="92">
        <f t="shared" si="11"/>
        <v>0</v>
      </c>
      <c r="K102" s="92">
        <f t="shared" si="10"/>
        <v>0</v>
      </c>
      <c r="L102" s="92">
        <f t="shared" si="10"/>
        <v>0</v>
      </c>
      <c r="M102" s="192"/>
      <c r="N102" s="190"/>
    </row>
    <row r="103" spans="1:14" ht="24" customHeight="1">
      <c r="A103" s="96"/>
      <c r="B103" s="143" t="s">
        <v>195</v>
      </c>
      <c r="C103" s="143" t="s">
        <v>196</v>
      </c>
      <c r="D103" s="95"/>
      <c r="E103" s="188">
        <v>141.59</v>
      </c>
      <c r="F103" s="152" t="s">
        <v>111</v>
      </c>
      <c r="G103" s="92">
        <v>1500</v>
      </c>
      <c r="H103" s="92">
        <f t="shared" si="9"/>
        <v>212385</v>
      </c>
      <c r="I103" s="92"/>
      <c r="J103" s="92">
        <f t="shared" si="11"/>
        <v>0</v>
      </c>
      <c r="K103" s="92">
        <f t="shared" si="10"/>
        <v>1500</v>
      </c>
      <c r="L103" s="92">
        <f t="shared" si="10"/>
        <v>212385</v>
      </c>
      <c r="M103" s="192"/>
      <c r="N103" s="190"/>
    </row>
    <row r="104" spans="1:14" ht="24" customHeight="1">
      <c r="A104" s="96"/>
      <c r="B104" s="143" t="s">
        <v>234</v>
      </c>
      <c r="C104" s="143" t="s">
        <v>319</v>
      </c>
      <c r="D104" s="95"/>
      <c r="E104" s="188">
        <v>1</v>
      </c>
      <c r="F104" s="152" t="s">
        <v>109</v>
      </c>
      <c r="G104" s="92">
        <v>250000</v>
      </c>
      <c r="H104" s="92">
        <f t="shared" si="9"/>
        <v>250000</v>
      </c>
      <c r="I104" s="92"/>
      <c r="J104" s="92">
        <f t="shared" si="11"/>
        <v>0</v>
      </c>
      <c r="K104" s="92">
        <f t="shared" si="10"/>
        <v>250000</v>
      </c>
      <c r="L104" s="92">
        <f t="shared" si="10"/>
        <v>250000</v>
      </c>
      <c r="M104" s="192"/>
      <c r="N104" s="190"/>
    </row>
    <row r="105" spans="1:14" ht="24" customHeight="1">
      <c r="A105" s="96"/>
      <c r="B105" s="143" t="s">
        <v>235</v>
      </c>
      <c r="C105" s="143" t="s">
        <v>236</v>
      </c>
      <c r="D105" s="95"/>
      <c r="E105" s="188">
        <v>0</v>
      </c>
      <c r="F105" s="152" t="s">
        <v>109</v>
      </c>
      <c r="G105" s="92">
        <v>400000</v>
      </c>
      <c r="H105" s="92">
        <f t="shared" si="9"/>
        <v>0</v>
      </c>
      <c r="I105" s="92"/>
      <c r="J105" s="92">
        <f t="shared" si="11"/>
        <v>0</v>
      </c>
      <c r="K105" s="92">
        <f t="shared" si="10"/>
        <v>400000</v>
      </c>
      <c r="L105" s="92">
        <f t="shared" si="10"/>
        <v>0</v>
      </c>
      <c r="M105" s="192"/>
      <c r="N105" s="190"/>
    </row>
    <row r="106" spans="1:14" ht="24" customHeight="1">
      <c r="A106" s="96"/>
      <c r="B106" s="143" t="s">
        <v>197</v>
      </c>
      <c r="C106" s="143" t="s">
        <v>198</v>
      </c>
      <c r="D106" s="95"/>
      <c r="E106" s="94">
        <v>1</v>
      </c>
      <c r="F106" s="152" t="s">
        <v>174</v>
      </c>
      <c r="G106" s="92">
        <v>280000</v>
      </c>
      <c r="H106" s="92">
        <f t="shared" si="9"/>
        <v>280000</v>
      </c>
      <c r="I106" s="92"/>
      <c r="J106" s="92">
        <f t="shared" si="11"/>
        <v>0</v>
      </c>
      <c r="K106" s="92">
        <f t="shared" si="10"/>
        <v>280000</v>
      </c>
      <c r="L106" s="92">
        <f t="shared" si="10"/>
        <v>280000</v>
      </c>
      <c r="M106" s="192" t="s">
        <v>138</v>
      </c>
      <c r="N106" s="190"/>
    </row>
    <row r="107" spans="1:14" ht="24" customHeight="1">
      <c r="A107" s="96"/>
      <c r="B107" s="143" t="s">
        <v>199</v>
      </c>
      <c r="C107" s="143" t="s">
        <v>200</v>
      </c>
      <c r="D107" s="95"/>
      <c r="E107" s="94">
        <v>1</v>
      </c>
      <c r="F107" s="152" t="s">
        <v>174</v>
      </c>
      <c r="G107" s="92">
        <v>370000</v>
      </c>
      <c r="H107" s="92">
        <f t="shared" si="9"/>
        <v>370000</v>
      </c>
      <c r="I107" s="92"/>
      <c r="J107" s="92">
        <f t="shared" si="11"/>
        <v>0</v>
      </c>
      <c r="K107" s="92">
        <f t="shared" si="10"/>
        <v>370000</v>
      </c>
      <c r="L107" s="92">
        <f t="shared" si="10"/>
        <v>370000</v>
      </c>
      <c r="M107" s="192" t="s">
        <v>138</v>
      </c>
      <c r="N107" s="190"/>
    </row>
    <row r="108" spans="1:14" ht="24" customHeight="1">
      <c r="A108" s="96"/>
      <c r="B108" s="143" t="s">
        <v>201</v>
      </c>
      <c r="C108" s="143" t="s">
        <v>212</v>
      </c>
      <c r="D108" s="95"/>
      <c r="E108" s="94">
        <v>1</v>
      </c>
      <c r="F108" s="152" t="s">
        <v>190</v>
      </c>
      <c r="G108" s="92"/>
      <c r="H108" s="92">
        <f t="shared" si="9"/>
        <v>0</v>
      </c>
      <c r="I108" s="92"/>
      <c r="J108" s="92">
        <f t="shared" si="11"/>
        <v>0</v>
      </c>
      <c r="K108" s="92">
        <f t="shared" si="10"/>
        <v>0</v>
      </c>
      <c r="L108" s="92">
        <f t="shared" si="10"/>
        <v>0</v>
      </c>
      <c r="M108" s="192"/>
      <c r="N108" s="190"/>
    </row>
    <row r="109" spans="1:14" ht="24" customHeight="1">
      <c r="A109" s="96"/>
      <c r="B109" s="95" t="s">
        <v>83</v>
      </c>
      <c r="C109" s="143"/>
      <c r="D109" s="95"/>
      <c r="E109" s="94">
        <v>5</v>
      </c>
      <c r="F109" s="152" t="s">
        <v>87</v>
      </c>
      <c r="G109" s="92"/>
      <c r="H109" s="92">
        <f>E109*G109</f>
        <v>0</v>
      </c>
      <c r="I109" s="92">
        <v>290000</v>
      </c>
      <c r="J109" s="92">
        <f>E109*I109</f>
        <v>1450000</v>
      </c>
      <c r="K109" s="92">
        <f>G109+I109</f>
        <v>290000</v>
      </c>
      <c r="L109" s="92">
        <f>H109+J109</f>
        <v>1450000</v>
      </c>
      <c r="M109" s="91"/>
      <c r="N109" s="190"/>
    </row>
    <row r="110" spans="1:14" ht="24" customHeight="1">
      <c r="A110" s="96"/>
      <c r="B110" s="95" t="s">
        <v>80</v>
      </c>
      <c r="C110" s="95"/>
      <c r="D110" s="95"/>
      <c r="E110" s="188">
        <v>110.03</v>
      </c>
      <c r="F110" s="152" t="s">
        <v>76</v>
      </c>
      <c r="G110" s="92">
        <v>1200</v>
      </c>
      <c r="H110" s="92">
        <f t="shared" si="9"/>
        <v>132036</v>
      </c>
      <c r="I110" s="92"/>
      <c r="J110" s="92">
        <f t="shared" si="11"/>
        <v>0</v>
      </c>
      <c r="K110" s="92">
        <f t="shared" si="10"/>
        <v>1200</v>
      </c>
      <c r="L110" s="92">
        <f t="shared" si="10"/>
        <v>132036</v>
      </c>
      <c r="M110" s="91"/>
      <c r="N110" s="190"/>
    </row>
    <row r="111" spans="1:14" ht="24" customHeight="1">
      <c r="A111" s="96"/>
      <c r="B111" s="95"/>
      <c r="C111" s="95"/>
      <c r="D111" s="95"/>
      <c r="E111" s="94"/>
      <c r="F111" s="152"/>
      <c r="G111" s="92"/>
      <c r="H111" s="92"/>
      <c r="I111" s="92"/>
      <c r="J111" s="92"/>
      <c r="K111" s="92"/>
      <c r="L111" s="92"/>
      <c r="M111" s="91"/>
      <c r="N111" s="190"/>
    </row>
    <row r="112" spans="1:14" ht="24" customHeight="1">
      <c r="A112" s="96"/>
      <c r="B112" s="95" t="s">
        <v>20</v>
      </c>
      <c r="C112" s="95"/>
      <c r="D112" s="95"/>
      <c r="E112" s="94"/>
      <c r="F112" s="93"/>
      <c r="G112" s="92"/>
      <c r="H112" s="92">
        <f>SUM(H85:H110)</f>
        <v>2030009</v>
      </c>
      <c r="I112" s="92"/>
      <c r="J112" s="92">
        <f>SUM(J85:J110)</f>
        <v>1450000</v>
      </c>
      <c r="K112" s="92"/>
      <c r="L112" s="92">
        <f>SUM(L85:L111)</f>
        <v>3480009</v>
      </c>
      <c r="M112" s="91"/>
      <c r="N112" s="190"/>
    </row>
    <row r="113" spans="1:14" ht="24" customHeight="1">
      <c r="A113" s="96"/>
      <c r="B113" s="170" t="s">
        <v>311</v>
      </c>
      <c r="C113" s="95"/>
      <c r="D113" s="95"/>
      <c r="E113" s="94"/>
      <c r="F113" s="93"/>
      <c r="G113" s="92"/>
      <c r="H113" s="92"/>
      <c r="I113" s="92"/>
      <c r="J113" s="92"/>
      <c r="K113" s="92"/>
      <c r="L113" s="92"/>
      <c r="M113" s="91"/>
      <c r="N113" s="190"/>
    </row>
    <row r="114" spans="1:14" ht="24" customHeight="1">
      <c r="A114" s="96"/>
      <c r="B114" s="95"/>
      <c r="C114" s="95"/>
      <c r="D114" s="95"/>
      <c r="E114" s="94"/>
      <c r="F114" s="93"/>
      <c r="G114" s="92"/>
      <c r="H114" s="92"/>
      <c r="I114" s="92"/>
      <c r="J114" s="92"/>
      <c r="K114" s="92"/>
      <c r="L114" s="92"/>
      <c r="M114" s="91"/>
      <c r="N114" s="190"/>
    </row>
    <row r="115" spans="1:14" ht="24" customHeight="1">
      <c r="A115" s="102">
        <f>A8</f>
        <v>5</v>
      </c>
      <c r="B115" s="101" t="str">
        <f>B8</f>
        <v>도배 공사</v>
      </c>
      <c r="C115" s="101"/>
      <c r="D115" s="101"/>
      <c r="E115" s="100"/>
      <c r="F115" s="99"/>
      <c r="G115" s="98"/>
      <c r="H115" s="98"/>
      <c r="I115" s="98"/>
      <c r="J115" s="98"/>
      <c r="K115" s="98"/>
      <c r="L115" s="98"/>
      <c r="M115" s="97"/>
      <c r="N115" s="190"/>
    </row>
    <row r="116" spans="1:14" ht="24" customHeight="1">
      <c r="A116" s="96"/>
      <c r="B116" s="153" t="s">
        <v>84</v>
      </c>
      <c r="C116" s="143" t="s">
        <v>85</v>
      </c>
      <c r="D116" s="93" t="s">
        <v>180</v>
      </c>
      <c r="E116" s="188">
        <v>141.59</v>
      </c>
      <c r="F116" s="152" t="s">
        <v>76</v>
      </c>
      <c r="G116" s="92">
        <v>0</v>
      </c>
      <c r="H116" s="92">
        <f t="shared" ref="H116:H118" si="12">E116*G116</f>
        <v>0</v>
      </c>
      <c r="I116" s="92"/>
      <c r="J116" s="92">
        <f>E116*I116</f>
        <v>0</v>
      </c>
      <c r="K116" s="92">
        <f t="shared" ref="K116:L118" si="13">G116+I116</f>
        <v>0</v>
      </c>
      <c r="L116" s="92">
        <f t="shared" si="13"/>
        <v>0</v>
      </c>
      <c r="M116" s="192" t="s">
        <v>138</v>
      </c>
      <c r="N116" s="190" t="s">
        <v>239</v>
      </c>
    </row>
    <row r="117" spans="1:14" ht="24" customHeight="1">
      <c r="A117" s="96"/>
      <c r="B117" s="153"/>
      <c r="C117" s="143" t="s">
        <v>86</v>
      </c>
      <c r="D117" s="93" t="s">
        <v>180</v>
      </c>
      <c r="E117" s="188">
        <v>152.47999999999999</v>
      </c>
      <c r="F117" s="152" t="s">
        <v>76</v>
      </c>
      <c r="G117" s="92">
        <v>0</v>
      </c>
      <c r="H117" s="92">
        <f t="shared" si="12"/>
        <v>0</v>
      </c>
      <c r="I117" s="92"/>
      <c r="J117" s="92">
        <f>E117*I117</f>
        <v>0</v>
      </c>
      <c r="K117" s="92">
        <f t="shared" si="13"/>
        <v>0</v>
      </c>
      <c r="L117" s="92">
        <f t="shared" si="13"/>
        <v>0</v>
      </c>
      <c r="M117" s="192" t="s">
        <v>138</v>
      </c>
      <c r="N117" s="190"/>
    </row>
    <row r="118" spans="1:14" ht="24" customHeight="1">
      <c r="A118" s="96"/>
      <c r="B118" s="95"/>
      <c r="C118" s="95" t="s">
        <v>80</v>
      </c>
      <c r="D118" s="95"/>
      <c r="E118" s="94">
        <f>SUM(E116:E117)</f>
        <v>294.07</v>
      </c>
      <c r="F118" s="152" t="s">
        <v>76</v>
      </c>
      <c r="G118" s="92">
        <v>1700</v>
      </c>
      <c r="H118" s="92">
        <f t="shared" si="12"/>
        <v>499919</v>
      </c>
      <c r="I118" s="92"/>
      <c r="J118" s="92"/>
      <c r="K118" s="92">
        <f t="shared" si="13"/>
        <v>1700</v>
      </c>
      <c r="L118" s="92">
        <f t="shared" si="13"/>
        <v>499919</v>
      </c>
      <c r="M118" s="91"/>
      <c r="N118" s="190"/>
    </row>
    <row r="119" spans="1:14" ht="24" customHeight="1">
      <c r="A119" s="96"/>
      <c r="B119" s="95" t="s">
        <v>83</v>
      </c>
      <c r="C119" s="143"/>
      <c r="D119" s="95"/>
      <c r="E119" s="94">
        <v>9</v>
      </c>
      <c r="F119" s="152" t="s">
        <v>87</v>
      </c>
      <c r="G119" s="92"/>
      <c r="H119" s="92">
        <f>E119*G119</f>
        <v>0</v>
      </c>
      <c r="I119" s="92">
        <v>250000</v>
      </c>
      <c r="J119" s="92">
        <f>E119*I119</f>
        <v>2250000</v>
      </c>
      <c r="K119" s="92">
        <f>G119+I119</f>
        <v>250000</v>
      </c>
      <c r="L119" s="92">
        <f>H119+J119</f>
        <v>2250000</v>
      </c>
      <c r="M119" s="91"/>
      <c r="N119" s="190"/>
    </row>
    <row r="120" spans="1:14" ht="24" customHeight="1">
      <c r="A120" s="96"/>
      <c r="B120" s="95"/>
      <c r="C120" s="95"/>
      <c r="D120" s="95"/>
      <c r="E120" s="94"/>
      <c r="F120" s="152"/>
      <c r="G120" s="92"/>
      <c r="H120" s="92"/>
      <c r="I120" s="92"/>
      <c r="J120" s="92"/>
      <c r="K120" s="92"/>
      <c r="L120" s="92"/>
      <c r="M120" s="91"/>
      <c r="N120" s="190"/>
    </row>
    <row r="121" spans="1:14" ht="24" customHeight="1">
      <c r="A121" s="96"/>
      <c r="B121" s="95" t="s">
        <v>20</v>
      </c>
      <c r="C121" s="95"/>
      <c r="D121" s="95"/>
      <c r="E121" s="94"/>
      <c r="F121" s="93"/>
      <c r="G121" s="92"/>
      <c r="H121" s="92">
        <f>SUM(H116:H119)</f>
        <v>499919</v>
      </c>
      <c r="I121" s="92"/>
      <c r="J121" s="92">
        <f>SUM(J116:J119)</f>
        <v>2250000</v>
      </c>
      <c r="K121" s="92"/>
      <c r="L121" s="92">
        <f>SUM(L116:L119)</f>
        <v>2749919</v>
      </c>
      <c r="M121" s="91"/>
      <c r="N121" s="190"/>
    </row>
    <row r="122" spans="1:14" ht="24" customHeight="1">
      <c r="A122" s="96"/>
      <c r="B122" s="95"/>
      <c r="C122" s="95"/>
      <c r="D122" s="95"/>
      <c r="E122" s="94"/>
      <c r="F122" s="93"/>
      <c r="G122" s="92"/>
      <c r="H122" s="92"/>
      <c r="I122" s="92"/>
      <c r="J122" s="92"/>
      <c r="K122" s="92"/>
      <c r="L122" s="92"/>
      <c r="M122" s="91"/>
      <c r="N122" s="190"/>
    </row>
    <row r="123" spans="1:14" ht="24" customHeight="1">
      <c r="A123" s="102">
        <f>A9</f>
        <v>6</v>
      </c>
      <c r="B123" s="101" t="str">
        <f>B9</f>
        <v>타일 공사</v>
      </c>
      <c r="C123" s="101" t="s">
        <v>325</v>
      </c>
      <c r="D123" s="101"/>
      <c r="E123" s="100"/>
      <c r="F123" s="99"/>
      <c r="G123" s="98"/>
      <c r="H123" s="98"/>
      <c r="I123" s="98"/>
      <c r="J123" s="98"/>
      <c r="K123" s="98"/>
      <c r="L123" s="98"/>
      <c r="M123" s="97"/>
      <c r="N123" s="190"/>
    </row>
    <row r="124" spans="1:14" ht="24" customHeight="1">
      <c r="A124" s="96"/>
      <c r="B124" s="142" t="s">
        <v>313</v>
      </c>
      <c r="C124" s="143" t="s">
        <v>213</v>
      </c>
      <c r="D124" s="93" t="s">
        <v>214</v>
      </c>
      <c r="E124" s="94">
        <v>4</v>
      </c>
      <c r="F124" s="152" t="s">
        <v>76</v>
      </c>
      <c r="G124" s="92">
        <v>36000</v>
      </c>
      <c r="H124" s="92">
        <f>E124*G124</f>
        <v>144000</v>
      </c>
      <c r="I124" s="92"/>
      <c r="J124" s="92">
        <f>E124*I124</f>
        <v>0</v>
      </c>
      <c r="K124" s="92">
        <f t="shared" ref="K124:L133" si="14">G124+I124</f>
        <v>36000</v>
      </c>
      <c r="L124" s="92">
        <f t="shared" si="14"/>
        <v>144000</v>
      </c>
      <c r="M124" s="91"/>
      <c r="N124" s="190"/>
    </row>
    <row r="125" spans="1:14" ht="24" customHeight="1">
      <c r="A125" s="96"/>
      <c r="B125" s="142" t="s">
        <v>215</v>
      </c>
      <c r="C125" s="143" t="s">
        <v>216</v>
      </c>
      <c r="D125" s="93" t="s">
        <v>214</v>
      </c>
      <c r="E125" s="94">
        <v>15</v>
      </c>
      <c r="F125" s="152" t="s">
        <v>76</v>
      </c>
      <c r="G125" s="92">
        <v>16000</v>
      </c>
      <c r="H125" s="92">
        <f t="shared" ref="H125" si="15">E125*G125</f>
        <v>240000</v>
      </c>
      <c r="I125" s="92"/>
      <c r="J125" s="92">
        <f t="shared" ref="J125" si="16">E125*I125</f>
        <v>0</v>
      </c>
      <c r="K125" s="92">
        <f t="shared" si="14"/>
        <v>16000</v>
      </c>
      <c r="L125" s="92">
        <f t="shared" si="14"/>
        <v>240000</v>
      </c>
      <c r="M125" s="91"/>
      <c r="N125" s="190"/>
    </row>
    <row r="126" spans="1:14" ht="24" customHeight="1">
      <c r="A126" s="96"/>
      <c r="B126" s="142" t="s">
        <v>217</v>
      </c>
      <c r="C126" s="143" t="s">
        <v>213</v>
      </c>
      <c r="D126" s="93" t="s">
        <v>214</v>
      </c>
      <c r="E126" s="94">
        <v>4</v>
      </c>
      <c r="F126" s="152" t="s">
        <v>76</v>
      </c>
      <c r="G126" s="92">
        <v>36000</v>
      </c>
      <c r="H126" s="92">
        <f>E126*G126</f>
        <v>144000</v>
      </c>
      <c r="I126" s="92"/>
      <c r="J126" s="92">
        <f>E126*I126</f>
        <v>0</v>
      </c>
      <c r="K126" s="92">
        <f t="shared" si="14"/>
        <v>36000</v>
      </c>
      <c r="L126" s="92">
        <f t="shared" si="14"/>
        <v>144000</v>
      </c>
      <c r="M126" s="91"/>
      <c r="N126" s="190"/>
    </row>
    <row r="127" spans="1:14" ht="24" customHeight="1">
      <c r="A127" s="96"/>
      <c r="B127" s="142" t="s">
        <v>314</v>
      </c>
      <c r="C127" s="143" t="s">
        <v>213</v>
      </c>
      <c r="D127" s="93" t="s">
        <v>214</v>
      </c>
      <c r="E127" s="94">
        <v>19</v>
      </c>
      <c r="F127" s="152" t="s">
        <v>76</v>
      </c>
      <c r="G127" s="92">
        <v>36000</v>
      </c>
      <c r="H127" s="92">
        <f>E127*G127</f>
        <v>684000</v>
      </c>
      <c r="I127" s="92"/>
      <c r="J127" s="92">
        <f>E127*I127</f>
        <v>0</v>
      </c>
      <c r="K127" s="92">
        <f t="shared" si="14"/>
        <v>36000</v>
      </c>
      <c r="L127" s="92">
        <f t="shared" si="14"/>
        <v>684000</v>
      </c>
      <c r="M127" s="91"/>
      <c r="N127" s="190"/>
    </row>
    <row r="128" spans="1:14" ht="24" customHeight="1">
      <c r="A128" s="96"/>
      <c r="B128" s="142" t="s">
        <v>218</v>
      </c>
      <c r="C128" s="143" t="s">
        <v>213</v>
      </c>
      <c r="D128" s="93" t="s">
        <v>214</v>
      </c>
      <c r="E128" s="94">
        <v>4</v>
      </c>
      <c r="F128" s="152" t="s">
        <v>76</v>
      </c>
      <c r="G128" s="154">
        <v>36000</v>
      </c>
      <c r="H128" s="92">
        <f t="shared" ref="H128:H133" si="17">E128*G128</f>
        <v>144000</v>
      </c>
      <c r="I128" s="92"/>
      <c r="J128" s="92">
        <f>E128*I128</f>
        <v>0</v>
      </c>
      <c r="K128" s="92">
        <f t="shared" si="14"/>
        <v>36000</v>
      </c>
      <c r="L128" s="92">
        <f t="shared" si="14"/>
        <v>144000</v>
      </c>
      <c r="M128" s="91"/>
      <c r="N128" s="190"/>
    </row>
    <row r="129" spans="1:14" ht="24" customHeight="1">
      <c r="A129" s="96"/>
      <c r="B129" s="142" t="s">
        <v>219</v>
      </c>
      <c r="C129" s="143" t="s">
        <v>213</v>
      </c>
      <c r="D129" s="93" t="s">
        <v>214</v>
      </c>
      <c r="E129" s="94">
        <v>18</v>
      </c>
      <c r="F129" s="152" t="s">
        <v>76</v>
      </c>
      <c r="G129" s="154">
        <v>36000</v>
      </c>
      <c r="H129" s="92">
        <f t="shared" si="17"/>
        <v>648000</v>
      </c>
      <c r="I129" s="92"/>
      <c r="J129" s="92">
        <f>E129*I129</f>
        <v>0</v>
      </c>
      <c r="K129" s="92">
        <f t="shared" si="14"/>
        <v>36000</v>
      </c>
      <c r="L129" s="92">
        <f t="shared" si="14"/>
        <v>648000</v>
      </c>
      <c r="M129" s="91"/>
      <c r="N129" s="190"/>
    </row>
    <row r="130" spans="1:14" ht="24" customHeight="1">
      <c r="A130" s="96"/>
      <c r="B130" s="142" t="s">
        <v>315</v>
      </c>
      <c r="C130" s="143" t="s">
        <v>213</v>
      </c>
      <c r="D130" s="93" t="s">
        <v>214</v>
      </c>
      <c r="E130" s="94">
        <v>7</v>
      </c>
      <c r="F130" s="152" t="s">
        <v>76</v>
      </c>
      <c r="G130" s="154">
        <v>36000</v>
      </c>
      <c r="H130" s="92">
        <f t="shared" si="17"/>
        <v>252000</v>
      </c>
      <c r="I130" s="92"/>
      <c r="J130" s="92">
        <f>E130*I130</f>
        <v>0</v>
      </c>
      <c r="K130" s="92">
        <f t="shared" si="14"/>
        <v>36000</v>
      </c>
      <c r="L130" s="92">
        <f t="shared" si="14"/>
        <v>252000</v>
      </c>
      <c r="M130" s="91"/>
      <c r="N130" s="190"/>
    </row>
    <row r="131" spans="1:14" ht="24" customHeight="1">
      <c r="A131" s="96"/>
      <c r="B131" s="142" t="s">
        <v>89</v>
      </c>
      <c r="C131" s="156" t="s">
        <v>221</v>
      </c>
      <c r="D131" s="93"/>
      <c r="E131" s="94">
        <v>1</v>
      </c>
      <c r="F131" s="152" t="s">
        <v>79</v>
      </c>
      <c r="G131" s="154">
        <v>350000</v>
      </c>
      <c r="H131" s="92">
        <f t="shared" si="17"/>
        <v>350000</v>
      </c>
      <c r="I131" s="92"/>
      <c r="J131" s="92">
        <f t="shared" ref="J131:J133" si="18">E131*I131</f>
        <v>0</v>
      </c>
      <c r="K131" s="92">
        <f t="shared" si="14"/>
        <v>350000</v>
      </c>
      <c r="L131" s="92">
        <f t="shared" si="14"/>
        <v>350000</v>
      </c>
      <c r="M131" s="91"/>
      <c r="N131" s="190" t="s">
        <v>220</v>
      </c>
    </row>
    <row r="132" spans="1:14" ht="24" customHeight="1">
      <c r="A132" s="96"/>
      <c r="B132" s="142" t="s">
        <v>222</v>
      </c>
      <c r="C132" s="156"/>
      <c r="D132" s="93"/>
      <c r="E132" s="94">
        <v>1</v>
      </c>
      <c r="F132" s="152" t="s">
        <v>75</v>
      </c>
      <c r="G132" s="154">
        <v>50000</v>
      </c>
      <c r="H132" s="92">
        <f t="shared" si="17"/>
        <v>50000</v>
      </c>
      <c r="I132" s="92"/>
      <c r="J132" s="92">
        <f t="shared" si="18"/>
        <v>0</v>
      </c>
      <c r="K132" s="92">
        <f t="shared" si="14"/>
        <v>50000</v>
      </c>
      <c r="L132" s="92">
        <f t="shared" si="14"/>
        <v>50000</v>
      </c>
      <c r="M132" s="91"/>
      <c r="N132" s="190"/>
    </row>
    <row r="133" spans="1:14" ht="24" customHeight="1">
      <c r="A133" s="96"/>
      <c r="B133" s="142" t="s">
        <v>90</v>
      </c>
      <c r="C133" s="156"/>
      <c r="D133" s="93"/>
      <c r="E133" s="94">
        <v>8</v>
      </c>
      <c r="F133" s="152" t="s">
        <v>77</v>
      </c>
      <c r="G133" s="154"/>
      <c r="H133" s="92">
        <f t="shared" si="17"/>
        <v>0</v>
      </c>
      <c r="I133" s="92">
        <v>350000</v>
      </c>
      <c r="J133" s="92">
        <f t="shared" si="18"/>
        <v>2800000</v>
      </c>
      <c r="K133" s="92">
        <f t="shared" si="14"/>
        <v>350000</v>
      </c>
      <c r="L133" s="92">
        <f t="shared" si="14"/>
        <v>2800000</v>
      </c>
      <c r="M133" s="91"/>
      <c r="N133" s="190"/>
    </row>
    <row r="134" spans="1:14" ht="24" customHeight="1">
      <c r="A134" s="96"/>
      <c r="B134" s="95"/>
      <c r="C134" s="95"/>
      <c r="D134" s="95"/>
      <c r="E134" s="94"/>
      <c r="F134" s="93"/>
      <c r="G134" s="92"/>
      <c r="H134" s="92"/>
      <c r="I134" s="92"/>
      <c r="J134" s="92"/>
      <c r="K134" s="92"/>
      <c r="L134" s="92"/>
      <c r="M134" s="91"/>
      <c r="N134" s="190"/>
    </row>
    <row r="135" spans="1:14" ht="24" customHeight="1">
      <c r="A135" s="96"/>
      <c r="B135" s="95" t="s">
        <v>20</v>
      </c>
      <c r="C135" s="95"/>
      <c r="D135" s="95"/>
      <c r="E135" s="94"/>
      <c r="F135" s="93"/>
      <c r="G135" s="92"/>
      <c r="H135" s="92">
        <f>SUM(H124:H133)</f>
        <v>2656000</v>
      </c>
      <c r="I135" s="92"/>
      <c r="J135" s="92">
        <f>SUM(J124:J133)</f>
        <v>2800000</v>
      </c>
      <c r="K135" s="92"/>
      <c r="L135" s="92">
        <f>SUM(L124:L134)</f>
        <v>5456000</v>
      </c>
      <c r="M135" s="91"/>
      <c r="N135" s="190"/>
    </row>
    <row r="136" spans="1:14" ht="24" customHeight="1">
      <c r="A136" s="96"/>
      <c r="B136" s="95"/>
      <c r="C136" s="95"/>
      <c r="D136" s="95"/>
      <c r="E136" s="94"/>
      <c r="F136" s="93"/>
      <c r="G136" s="92"/>
      <c r="H136" s="92"/>
      <c r="I136" s="92"/>
      <c r="J136" s="92"/>
      <c r="K136" s="92"/>
      <c r="L136" s="92"/>
      <c r="M136" s="91"/>
      <c r="N136" s="190"/>
    </row>
    <row r="137" spans="1:14" ht="24" customHeight="1">
      <c r="A137" s="102">
        <f>A10</f>
        <v>7</v>
      </c>
      <c r="B137" s="101" t="str">
        <f>B10</f>
        <v>욕실 공사</v>
      </c>
      <c r="C137" s="101"/>
      <c r="D137" s="101"/>
      <c r="E137" s="100"/>
      <c r="F137" s="99"/>
      <c r="G137" s="98"/>
      <c r="H137" s="98"/>
      <c r="I137" s="98"/>
      <c r="J137" s="98"/>
      <c r="K137" s="98"/>
      <c r="L137" s="98"/>
      <c r="M137" s="97"/>
      <c r="N137" s="190"/>
    </row>
    <row r="138" spans="1:14" ht="24" customHeight="1">
      <c r="A138" s="96"/>
      <c r="B138" s="165" t="s">
        <v>105</v>
      </c>
      <c r="C138" s="143" t="s">
        <v>274</v>
      </c>
      <c r="D138" s="93" t="s">
        <v>180</v>
      </c>
      <c r="E138" s="144">
        <v>0</v>
      </c>
      <c r="F138" s="152" t="s">
        <v>97</v>
      </c>
      <c r="G138" s="142">
        <v>320000</v>
      </c>
      <c r="H138" s="92">
        <f>E138*G138</f>
        <v>0</v>
      </c>
      <c r="I138" s="92"/>
      <c r="J138" s="92">
        <f t="shared" ref="J138:J162" si="19">E138*I138</f>
        <v>0</v>
      </c>
      <c r="K138" s="92">
        <f>G138+I138</f>
        <v>320000</v>
      </c>
      <c r="L138" s="92">
        <f>H138+J138</f>
        <v>0</v>
      </c>
      <c r="M138" s="192" t="s">
        <v>138</v>
      </c>
      <c r="N138" s="190" t="s">
        <v>239</v>
      </c>
    </row>
    <row r="139" spans="1:14" ht="24" customHeight="1">
      <c r="A139" s="96"/>
      <c r="B139" s="166" t="s">
        <v>106</v>
      </c>
      <c r="C139" s="167" t="s">
        <v>275</v>
      </c>
      <c r="D139" s="93" t="s">
        <v>180</v>
      </c>
      <c r="E139" s="144">
        <v>0</v>
      </c>
      <c r="F139" s="152" t="s">
        <v>97</v>
      </c>
      <c r="G139" s="142">
        <v>280000</v>
      </c>
      <c r="H139" s="92">
        <f t="shared" ref="H139:H162" si="20">E139*G139</f>
        <v>0</v>
      </c>
      <c r="I139" s="92"/>
      <c r="J139" s="92">
        <f t="shared" si="19"/>
        <v>0</v>
      </c>
      <c r="K139" s="92">
        <f t="shared" ref="K139:L162" si="21">G139+I139</f>
        <v>280000</v>
      </c>
      <c r="L139" s="92">
        <f t="shared" si="21"/>
        <v>0</v>
      </c>
      <c r="M139" s="192" t="s">
        <v>138</v>
      </c>
      <c r="N139" s="190"/>
    </row>
    <row r="140" spans="1:14" ht="24" customHeight="1">
      <c r="A140" s="96"/>
      <c r="B140" s="166"/>
      <c r="C140" s="167" t="s">
        <v>276</v>
      </c>
      <c r="D140" s="93" t="s">
        <v>180</v>
      </c>
      <c r="E140" s="144">
        <v>0</v>
      </c>
      <c r="F140" s="152" t="s">
        <v>88</v>
      </c>
      <c r="G140" s="142"/>
      <c r="H140" s="92">
        <f t="shared" si="20"/>
        <v>0</v>
      </c>
      <c r="I140" s="92"/>
      <c r="J140" s="92">
        <f t="shared" si="19"/>
        <v>0</v>
      </c>
      <c r="K140" s="92">
        <f t="shared" si="21"/>
        <v>0</v>
      </c>
      <c r="L140" s="92">
        <f t="shared" si="21"/>
        <v>0</v>
      </c>
      <c r="M140" s="192" t="s">
        <v>138</v>
      </c>
      <c r="N140" s="190"/>
    </row>
    <row r="141" spans="1:14" ht="24" customHeight="1">
      <c r="A141" s="96"/>
      <c r="B141" s="153" t="s">
        <v>91</v>
      </c>
      <c r="C141" s="169" t="s">
        <v>277</v>
      </c>
      <c r="D141" s="93" t="s">
        <v>180</v>
      </c>
      <c r="E141" s="144">
        <v>0</v>
      </c>
      <c r="F141" s="152" t="s">
        <v>97</v>
      </c>
      <c r="G141" s="142">
        <v>75000</v>
      </c>
      <c r="H141" s="92">
        <f t="shared" si="20"/>
        <v>0</v>
      </c>
      <c r="I141" s="92"/>
      <c r="J141" s="92">
        <f t="shared" si="19"/>
        <v>0</v>
      </c>
      <c r="K141" s="92">
        <f t="shared" si="21"/>
        <v>75000</v>
      </c>
      <c r="L141" s="92">
        <f t="shared" si="21"/>
        <v>0</v>
      </c>
      <c r="M141" s="192" t="s">
        <v>138</v>
      </c>
      <c r="N141" s="190"/>
    </row>
    <row r="142" spans="1:14" ht="24" customHeight="1">
      <c r="A142" s="96"/>
      <c r="B142" s="153" t="s">
        <v>278</v>
      </c>
      <c r="C142" s="169"/>
      <c r="D142" s="93" t="s">
        <v>180</v>
      </c>
      <c r="E142" s="144">
        <v>0</v>
      </c>
      <c r="F142" s="152" t="s">
        <v>88</v>
      </c>
      <c r="G142" s="142">
        <v>210000</v>
      </c>
      <c r="H142" s="92">
        <f t="shared" si="20"/>
        <v>0</v>
      </c>
      <c r="I142" s="92"/>
      <c r="J142" s="92">
        <f t="shared" si="19"/>
        <v>0</v>
      </c>
      <c r="K142" s="92">
        <f t="shared" si="21"/>
        <v>210000</v>
      </c>
      <c r="L142" s="92">
        <f t="shared" si="21"/>
        <v>0</v>
      </c>
      <c r="M142" s="192" t="s">
        <v>138</v>
      </c>
      <c r="N142" s="190"/>
    </row>
    <row r="143" spans="1:14" ht="24" customHeight="1">
      <c r="A143" s="96"/>
      <c r="B143" s="153" t="s">
        <v>285</v>
      </c>
      <c r="C143" s="169" t="s">
        <v>279</v>
      </c>
      <c r="D143" s="93" t="s">
        <v>180</v>
      </c>
      <c r="E143" s="144"/>
      <c r="F143" s="152" t="s">
        <v>88</v>
      </c>
      <c r="G143" s="142">
        <v>204500</v>
      </c>
      <c r="H143" s="92">
        <f t="shared" si="20"/>
        <v>0</v>
      </c>
      <c r="I143" s="92"/>
      <c r="J143" s="92">
        <f t="shared" si="19"/>
        <v>0</v>
      </c>
      <c r="K143" s="92">
        <f t="shared" si="21"/>
        <v>204500</v>
      </c>
      <c r="L143" s="92">
        <f t="shared" si="21"/>
        <v>0</v>
      </c>
      <c r="M143" s="192" t="s">
        <v>138</v>
      </c>
      <c r="N143" s="190"/>
    </row>
    <row r="144" spans="1:14" ht="24" customHeight="1">
      <c r="A144" s="96"/>
      <c r="B144" s="153" t="s">
        <v>288</v>
      </c>
      <c r="C144" s="169" t="s">
        <v>289</v>
      </c>
      <c r="D144" s="93" t="s">
        <v>180</v>
      </c>
      <c r="E144" s="144">
        <v>0</v>
      </c>
      <c r="F144" s="152" t="s">
        <v>88</v>
      </c>
      <c r="G144" s="142">
        <v>45000</v>
      </c>
      <c r="H144" s="92">
        <f t="shared" si="20"/>
        <v>0</v>
      </c>
      <c r="I144" s="92"/>
      <c r="J144" s="92">
        <f t="shared" si="19"/>
        <v>0</v>
      </c>
      <c r="K144" s="92">
        <f t="shared" si="21"/>
        <v>45000</v>
      </c>
      <c r="L144" s="92">
        <f t="shared" si="21"/>
        <v>0</v>
      </c>
      <c r="M144" s="192" t="s">
        <v>138</v>
      </c>
      <c r="N144" s="190"/>
    </row>
    <row r="145" spans="1:14" ht="24" customHeight="1">
      <c r="A145" s="96"/>
      <c r="B145" s="153" t="s">
        <v>92</v>
      </c>
      <c r="C145" s="174" t="s">
        <v>280</v>
      </c>
      <c r="D145" s="93" t="s">
        <v>180</v>
      </c>
      <c r="E145" s="144">
        <v>0</v>
      </c>
      <c r="F145" s="152" t="s">
        <v>97</v>
      </c>
      <c r="G145" s="142">
        <v>280000</v>
      </c>
      <c r="H145" s="92">
        <f t="shared" si="20"/>
        <v>0</v>
      </c>
      <c r="I145" s="92"/>
      <c r="J145" s="92">
        <f t="shared" si="19"/>
        <v>0</v>
      </c>
      <c r="K145" s="92">
        <f t="shared" si="21"/>
        <v>280000</v>
      </c>
      <c r="L145" s="92">
        <f t="shared" si="21"/>
        <v>0</v>
      </c>
      <c r="M145" s="192" t="s">
        <v>138</v>
      </c>
      <c r="N145" s="190"/>
    </row>
    <row r="146" spans="1:14" ht="24" customHeight="1">
      <c r="A146" s="96"/>
      <c r="B146" s="153"/>
      <c r="C146" s="174" t="s">
        <v>281</v>
      </c>
      <c r="D146" s="93" t="s">
        <v>180</v>
      </c>
      <c r="E146" s="144"/>
      <c r="F146" s="152" t="s">
        <v>88</v>
      </c>
      <c r="G146" s="142">
        <v>288000</v>
      </c>
      <c r="H146" s="92">
        <f t="shared" si="20"/>
        <v>0</v>
      </c>
      <c r="I146" s="92"/>
      <c r="J146" s="92">
        <f t="shared" si="19"/>
        <v>0</v>
      </c>
      <c r="K146" s="92">
        <f t="shared" si="21"/>
        <v>288000</v>
      </c>
      <c r="L146" s="92">
        <f t="shared" si="21"/>
        <v>0</v>
      </c>
      <c r="M146" s="192" t="s">
        <v>138</v>
      </c>
      <c r="N146" s="190"/>
    </row>
    <row r="147" spans="1:14" ht="24" customHeight="1">
      <c r="A147" s="96"/>
      <c r="B147" s="153"/>
      <c r="C147" s="174" t="s">
        <v>282</v>
      </c>
      <c r="D147" s="93" t="s">
        <v>180</v>
      </c>
      <c r="E147" s="144"/>
      <c r="F147" s="152" t="s">
        <v>88</v>
      </c>
      <c r="G147" s="142">
        <v>288000</v>
      </c>
      <c r="H147" s="92">
        <f t="shared" si="20"/>
        <v>0</v>
      </c>
      <c r="I147" s="92"/>
      <c r="J147" s="92">
        <f t="shared" si="19"/>
        <v>0</v>
      </c>
      <c r="K147" s="92">
        <f t="shared" si="21"/>
        <v>288000</v>
      </c>
      <c r="L147" s="92">
        <f t="shared" si="21"/>
        <v>0</v>
      </c>
      <c r="M147" s="192" t="s">
        <v>138</v>
      </c>
      <c r="N147" s="190"/>
    </row>
    <row r="148" spans="1:14" ht="24" customHeight="1">
      <c r="A148" s="96"/>
      <c r="B148" s="153" t="s">
        <v>93</v>
      </c>
      <c r="C148" s="173" t="s">
        <v>283</v>
      </c>
      <c r="D148" s="93" t="s">
        <v>180</v>
      </c>
      <c r="E148" s="144"/>
      <c r="F148" s="152" t="s">
        <v>97</v>
      </c>
      <c r="G148" s="142">
        <v>81800</v>
      </c>
      <c r="H148" s="92">
        <f t="shared" si="20"/>
        <v>0</v>
      </c>
      <c r="I148" s="92"/>
      <c r="J148" s="92">
        <f t="shared" si="19"/>
        <v>0</v>
      </c>
      <c r="K148" s="92">
        <f t="shared" si="21"/>
        <v>81800</v>
      </c>
      <c r="L148" s="92">
        <f t="shared" si="21"/>
        <v>0</v>
      </c>
      <c r="M148" s="192" t="s">
        <v>138</v>
      </c>
      <c r="N148" s="190"/>
    </row>
    <row r="149" spans="1:14" ht="24" customHeight="1">
      <c r="A149" s="96"/>
      <c r="B149" s="168"/>
      <c r="C149" s="173" t="s">
        <v>284</v>
      </c>
      <c r="D149" s="93" t="s">
        <v>180</v>
      </c>
      <c r="E149" s="144">
        <v>0</v>
      </c>
      <c r="F149" s="152" t="s">
        <v>88</v>
      </c>
      <c r="G149" s="142">
        <v>80000</v>
      </c>
      <c r="H149" s="92">
        <f t="shared" si="20"/>
        <v>0</v>
      </c>
      <c r="I149" s="92"/>
      <c r="J149" s="92">
        <f t="shared" si="19"/>
        <v>0</v>
      </c>
      <c r="K149" s="92">
        <f t="shared" si="21"/>
        <v>80000</v>
      </c>
      <c r="L149" s="92">
        <f t="shared" si="21"/>
        <v>0</v>
      </c>
      <c r="M149" s="192" t="s">
        <v>138</v>
      </c>
      <c r="N149" s="190"/>
    </row>
    <row r="150" spans="1:14" ht="24" customHeight="1">
      <c r="A150" s="96"/>
      <c r="B150" s="153" t="s">
        <v>223</v>
      </c>
      <c r="C150" s="143" t="s">
        <v>286</v>
      </c>
      <c r="D150" s="93"/>
      <c r="E150" s="144">
        <v>2</v>
      </c>
      <c r="F150" s="152" t="s">
        <v>98</v>
      </c>
      <c r="G150" s="142">
        <v>210000</v>
      </c>
      <c r="H150" s="92">
        <f t="shared" si="20"/>
        <v>420000</v>
      </c>
      <c r="I150" s="92"/>
      <c r="J150" s="92">
        <f t="shared" si="19"/>
        <v>0</v>
      </c>
      <c r="K150" s="92">
        <f t="shared" si="21"/>
        <v>210000</v>
      </c>
      <c r="L150" s="92">
        <f t="shared" si="21"/>
        <v>420000</v>
      </c>
      <c r="M150" s="192" t="s">
        <v>138</v>
      </c>
      <c r="N150" s="190"/>
    </row>
    <row r="151" spans="1:14" ht="24" customHeight="1">
      <c r="A151" s="96"/>
      <c r="B151" s="153" t="s">
        <v>287</v>
      </c>
      <c r="C151" s="143" t="s">
        <v>286</v>
      </c>
      <c r="D151" s="93"/>
      <c r="E151" s="144">
        <v>0</v>
      </c>
      <c r="F151" s="152" t="s">
        <v>98</v>
      </c>
      <c r="G151" s="142">
        <v>380000</v>
      </c>
      <c r="H151" s="92">
        <f t="shared" si="20"/>
        <v>0</v>
      </c>
      <c r="I151" s="92"/>
      <c r="J151" s="92">
        <f t="shared" si="19"/>
        <v>0</v>
      </c>
      <c r="K151" s="92">
        <f t="shared" si="21"/>
        <v>380000</v>
      </c>
      <c r="L151" s="92">
        <f t="shared" si="21"/>
        <v>0</v>
      </c>
      <c r="M151" s="192" t="s">
        <v>138</v>
      </c>
      <c r="N151" s="190"/>
    </row>
    <row r="152" spans="1:14" ht="24" customHeight="1">
      <c r="A152" s="96"/>
      <c r="B152" s="153" t="s">
        <v>119</v>
      </c>
      <c r="C152" s="143" t="s">
        <v>290</v>
      </c>
      <c r="D152" s="93"/>
      <c r="E152" s="144">
        <v>0</v>
      </c>
      <c r="F152" s="152" t="s">
        <v>98</v>
      </c>
      <c r="G152" s="142">
        <v>213000</v>
      </c>
      <c r="H152" s="92">
        <f t="shared" si="20"/>
        <v>0</v>
      </c>
      <c r="I152" s="92"/>
      <c r="J152" s="92">
        <f t="shared" si="19"/>
        <v>0</v>
      </c>
      <c r="K152" s="92">
        <f t="shared" si="21"/>
        <v>213000</v>
      </c>
      <c r="L152" s="92">
        <f t="shared" si="21"/>
        <v>0</v>
      </c>
      <c r="M152" s="192" t="s">
        <v>138</v>
      </c>
      <c r="N152" s="190"/>
    </row>
    <row r="153" spans="1:14" ht="24" customHeight="1">
      <c r="A153" s="96"/>
      <c r="B153" s="153" t="s">
        <v>94</v>
      </c>
      <c r="C153" s="143" t="s">
        <v>291</v>
      </c>
      <c r="D153" s="93"/>
      <c r="E153" s="144"/>
      <c r="F153" s="152" t="s">
        <v>88</v>
      </c>
      <c r="G153" s="142">
        <v>450000</v>
      </c>
      <c r="H153" s="92">
        <f t="shared" si="20"/>
        <v>0</v>
      </c>
      <c r="I153" s="92"/>
      <c r="J153" s="92">
        <f t="shared" si="19"/>
        <v>0</v>
      </c>
      <c r="K153" s="92">
        <f t="shared" si="21"/>
        <v>450000</v>
      </c>
      <c r="L153" s="92">
        <f t="shared" si="21"/>
        <v>0</v>
      </c>
      <c r="M153" s="192" t="s">
        <v>138</v>
      </c>
      <c r="N153" s="190"/>
    </row>
    <row r="154" spans="1:14" ht="24" customHeight="1">
      <c r="A154" s="96"/>
      <c r="B154" s="153"/>
      <c r="C154" s="143" t="s">
        <v>296</v>
      </c>
      <c r="D154" s="93"/>
      <c r="E154" s="144">
        <v>2</v>
      </c>
      <c r="F154" s="152" t="s">
        <v>97</v>
      </c>
      <c r="G154" s="142">
        <v>220000</v>
      </c>
      <c r="H154" s="92">
        <f t="shared" si="20"/>
        <v>440000</v>
      </c>
      <c r="I154" s="92"/>
      <c r="J154" s="92">
        <f t="shared" si="19"/>
        <v>0</v>
      </c>
      <c r="K154" s="92">
        <f t="shared" si="21"/>
        <v>220000</v>
      </c>
      <c r="L154" s="92">
        <f t="shared" si="21"/>
        <v>440000</v>
      </c>
      <c r="M154" s="192" t="s">
        <v>138</v>
      </c>
      <c r="N154" s="190"/>
    </row>
    <row r="155" spans="1:14" ht="24" customHeight="1">
      <c r="A155" s="96"/>
      <c r="B155" s="153" t="s">
        <v>95</v>
      </c>
      <c r="C155" s="143" t="s">
        <v>292</v>
      </c>
      <c r="D155" s="93" t="s">
        <v>180</v>
      </c>
      <c r="E155" s="144">
        <v>0</v>
      </c>
      <c r="F155" s="152" t="s">
        <v>98</v>
      </c>
      <c r="G155" s="142">
        <v>47000</v>
      </c>
      <c r="H155" s="92">
        <f t="shared" si="20"/>
        <v>0</v>
      </c>
      <c r="I155" s="92"/>
      <c r="J155" s="92">
        <f t="shared" si="19"/>
        <v>0</v>
      </c>
      <c r="K155" s="92">
        <f t="shared" si="21"/>
        <v>47000</v>
      </c>
      <c r="L155" s="92">
        <f t="shared" si="21"/>
        <v>0</v>
      </c>
      <c r="M155" s="192" t="s">
        <v>138</v>
      </c>
      <c r="N155" s="190"/>
    </row>
    <row r="156" spans="1:14" ht="24" customHeight="1">
      <c r="A156" s="96"/>
      <c r="B156" s="153" t="s">
        <v>96</v>
      </c>
      <c r="C156" s="143" t="s">
        <v>293</v>
      </c>
      <c r="D156" s="93" t="s">
        <v>180</v>
      </c>
      <c r="E156" s="144">
        <v>0</v>
      </c>
      <c r="F156" s="152" t="s">
        <v>97</v>
      </c>
      <c r="G156" s="142">
        <v>25000</v>
      </c>
      <c r="H156" s="92">
        <f t="shared" si="20"/>
        <v>0</v>
      </c>
      <c r="I156" s="92"/>
      <c r="J156" s="92">
        <f t="shared" si="19"/>
        <v>0</v>
      </c>
      <c r="K156" s="92">
        <f t="shared" si="21"/>
        <v>25000</v>
      </c>
      <c r="L156" s="92">
        <f t="shared" si="21"/>
        <v>0</v>
      </c>
      <c r="M156" s="192" t="s">
        <v>138</v>
      </c>
      <c r="N156" s="190"/>
    </row>
    <row r="157" spans="1:14" ht="24" customHeight="1">
      <c r="A157" s="96"/>
      <c r="B157" s="153" t="s">
        <v>224</v>
      </c>
      <c r="C157" s="143" t="s">
        <v>294</v>
      </c>
      <c r="D157" s="93" t="s">
        <v>180</v>
      </c>
      <c r="E157" s="144">
        <v>0</v>
      </c>
      <c r="F157" s="152" t="s">
        <v>97</v>
      </c>
      <c r="G157" s="142">
        <v>33800</v>
      </c>
      <c r="H157" s="92">
        <f t="shared" si="20"/>
        <v>0</v>
      </c>
      <c r="I157" s="92"/>
      <c r="J157" s="92">
        <f t="shared" si="19"/>
        <v>0</v>
      </c>
      <c r="K157" s="92">
        <f t="shared" si="21"/>
        <v>33800</v>
      </c>
      <c r="L157" s="92">
        <f t="shared" si="21"/>
        <v>0</v>
      </c>
      <c r="M157" s="192" t="s">
        <v>138</v>
      </c>
      <c r="N157" s="190"/>
    </row>
    <row r="158" spans="1:14" ht="24" customHeight="1">
      <c r="A158" s="96"/>
      <c r="B158" s="153"/>
      <c r="C158" s="143" t="s">
        <v>295</v>
      </c>
      <c r="D158" s="93" t="s">
        <v>180</v>
      </c>
      <c r="E158" s="144"/>
      <c r="F158" s="152" t="s">
        <v>88</v>
      </c>
      <c r="G158" s="142">
        <v>400000</v>
      </c>
      <c r="H158" s="92">
        <f t="shared" si="20"/>
        <v>0</v>
      </c>
      <c r="I158" s="92"/>
      <c r="J158" s="92">
        <f t="shared" si="19"/>
        <v>0</v>
      </c>
      <c r="K158" s="92">
        <f t="shared" si="21"/>
        <v>400000</v>
      </c>
      <c r="L158" s="92">
        <f t="shared" si="21"/>
        <v>0</v>
      </c>
      <c r="M158" s="192" t="s">
        <v>138</v>
      </c>
      <c r="N158" s="190"/>
    </row>
    <row r="159" spans="1:14" ht="24" customHeight="1">
      <c r="A159" s="96"/>
      <c r="B159" s="153" t="s">
        <v>297</v>
      </c>
      <c r="C159" s="143"/>
      <c r="D159" s="93" t="s">
        <v>180</v>
      </c>
      <c r="E159" s="144">
        <v>0</v>
      </c>
      <c r="F159" s="152" t="s">
        <v>88</v>
      </c>
      <c r="G159" s="142">
        <v>45000</v>
      </c>
      <c r="H159" s="92">
        <f t="shared" si="20"/>
        <v>0</v>
      </c>
      <c r="I159" s="92"/>
      <c r="J159" s="92">
        <f t="shared" si="19"/>
        <v>0</v>
      </c>
      <c r="K159" s="92">
        <f t="shared" si="21"/>
        <v>45000</v>
      </c>
      <c r="L159" s="92">
        <f t="shared" si="21"/>
        <v>0</v>
      </c>
      <c r="M159" s="192" t="s">
        <v>138</v>
      </c>
      <c r="N159" s="190"/>
    </row>
    <row r="160" spans="1:14" ht="24" customHeight="1">
      <c r="A160" s="96"/>
      <c r="B160" s="153" t="s">
        <v>299</v>
      </c>
      <c r="C160" s="143" t="s">
        <v>300</v>
      </c>
      <c r="D160" s="93" t="s">
        <v>180</v>
      </c>
      <c r="E160" s="144">
        <v>2</v>
      </c>
      <c r="F160" s="152" t="s">
        <v>88</v>
      </c>
      <c r="G160" s="142">
        <v>20000</v>
      </c>
      <c r="H160" s="92">
        <f t="shared" si="20"/>
        <v>40000</v>
      </c>
      <c r="I160" s="92"/>
      <c r="J160" s="92">
        <f t="shared" si="19"/>
        <v>0</v>
      </c>
      <c r="K160" s="92">
        <f t="shared" si="21"/>
        <v>20000</v>
      </c>
      <c r="L160" s="92">
        <f t="shared" si="21"/>
        <v>40000</v>
      </c>
      <c r="M160" s="192" t="s">
        <v>138</v>
      </c>
      <c r="N160" s="190"/>
    </row>
    <row r="161" spans="1:14" ht="24" customHeight="1">
      <c r="A161" s="96"/>
      <c r="B161" s="153" t="s">
        <v>298</v>
      </c>
      <c r="C161" s="143"/>
      <c r="D161" s="93" t="s">
        <v>180</v>
      </c>
      <c r="E161" s="144">
        <v>1</v>
      </c>
      <c r="F161" s="152" t="s">
        <v>88</v>
      </c>
      <c r="G161" s="142">
        <v>20000</v>
      </c>
      <c r="H161" s="92">
        <f t="shared" si="20"/>
        <v>20000</v>
      </c>
      <c r="I161" s="92"/>
      <c r="J161" s="92">
        <f t="shared" si="19"/>
        <v>0</v>
      </c>
      <c r="K161" s="92">
        <f t="shared" si="21"/>
        <v>20000</v>
      </c>
      <c r="L161" s="92">
        <f t="shared" si="21"/>
        <v>20000</v>
      </c>
      <c r="M161" s="192" t="s">
        <v>138</v>
      </c>
      <c r="N161" s="190"/>
    </row>
    <row r="162" spans="1:14" ht="24" customHeight="1">
      <c r="A162" s="96"/>
      <c r="B162" s="153" t="s">
        <v>90</v>
      </c>
      <c r="C162" s="143"/>
      <c r="D162" s="93"/>
      <c r="E162" s="144">
        <v>2</v>
      </c>
      <c r="F162" s="152" t="s">
        <v>77</v>
      </c>
      <c r="G162" s="142"/>
      <c r="H162" s="92">
        <f t="shared" si="20"/>
        <v>0</v>
      </c>
      <c r="I162" s="141">
        <v>250000</v>
      </c>
      <c r="J162" s="92">
        <f t="shared" si="19"/>
        <v>500000</v>
      </c>
      <c r="K162" s="92">
        <f t="shared" si="21"/>
        <v>250000</v>
      </c>
      <c r="L162" s="92">
        <f t="shared" si="21"/>
        <v>500000</v>
      </c>
      <c r="M162" s="91"/>
      <c r="N162" s="190" t="s">
        <v>225</v>
      </c>
    </row>
    <row r="163" spans="1:14" ht="24" customHeight="1">
      <c r="A163" s="96"/>
      <c r="B163" s="142"/>
      <c r="C163" s="156"/>
      <c r="D163" s="95"/>
      <c r="E163" s="94"/>
      <c r="F163" s="152"/>
      <c r="G163" s="154"/>
      <c r="H163" s="92"/>
      <c r="I163" s="92"/>
      <c r="J163" s="92"/>
      <c r="K163" s="92"/>
      <c r="L163" s="92"/>
      <c r="M163" s="91"/>
      <c r="N163" s="190"/>
    </row>
    <row r="164" spans="1:14" ht="24" customHeight="1">
      <c r="A164" s="96"/>
      <c r="B164" s="95" t="s">
        <v>20</v>
      </c>
      <c r="C164" s="95"/>
      <c r="D164" s="95"/>
      <c r="E164" s="94"/>
      <c r="F164" s="93"/>
      <c r="G164" s="92"/>
      <c r="H164" s="92">
        <f>SUM(H138:H163)</f>
        <v>920000</v>
      </c>
      <c r="I164" s="92"/>
      <c r="J164" s="92">
        <f>SUM(J138:J163)</f>
        <v>500000</v>
      </c>
      <c r="K164" s="92"/>
      <c r="L164" s="92">
        <f>SUM(L138:L163)</f>
        <v>1420000</v>
      </c>
      <c r="M164" s="91"/>
      <c r="N164" s="190"/>
    </row>
    <row r="165" spans="1:14" ht="24" customHeight="1">
      <c r="A165" s="96"/>
      <c r="B165" s="142"/>
      <c r="C165" s="156"/>
      <c r="D165" s="95"/>
      <c r="E165" s="94"/>
      <c r="F165" s="152"/>
      <c r="G165" s="154"/>
      <c r="H165" s="92"/>
      <c r="I165" s="92"/>
      <c r="J165" s="92"/>
      <c r="K165" s="92"/>
      <c r="L165" s="92"/>
      <c r="M165" s="91"/>
      <c r="N165" s="190"/>
    </row>
    <row r="166" spans="1:14" ht="24" customHeight="1">
      <c r="A166" s="102">
        <f>A11</f>
        <v>8</v>
      </c>
      <c r="B166" s="101" t="str">
        <f>B11</f>
        <v>가구 공사</v>
      </c>
      <c r="C166" s="101"/>
      <c r="D166" s="101"/>
      <c r="E166" s="100"/>
      <c r="F166" s="99"/>
      <c r="G166" s="98"/>
      <c r="H166" s="98"/>
      <c r="I166" s="98"/>
      <c r="J166" s="98"/>
      <c r="K166" s="98"/>
      <c r="L166" s="98"/>
      <c r="M166" s="97"/>
      <c r="N166" s="190"/>
    </row>
    <row r="167" spans="1:14" ht="24" customHeight="1">
      <c r="A167" s="96"/>
      <c r="B167" s="154" t="s">
        <v>328</v>
      </c>
      <c r="C167" s="155"/>
      <c r="D167" s="93" t="s">
        <v>180</v>
      </c>
      <c r="E167" s="144">
        <v>0</v>
      </c>
      <c r="F167" s="152" t="s">
        <v>8</v>
      </c>
      <c r="G167" s="154">
        <v>9820000</v>
      </c>
      <c r="H167" s="92">
        <f t="shared" ref="H167:H168" si="22">E167*G167</f>
        <v>0</v>
      </c>
      <c r="I167" s="92">
        <v>1550000</v>
      </c>
      <c r="J167" s="92">
        <f>E167*I167</f>
        <v>0</v>
      </c>
      <c r="K167" s="92">
        <f t="shared" ref="K167" si="23">G167+I167</f>
        <v>11370000</v>
      </c>
      <c r="L167" s="92">
        <f>H167+J167</f>
        <v>0</v>
      </c>
      <c r="M167" s="192" t="s">
        <v>138</v>
      </c>
      <c r="N167" s="190"/>
    </row>
    <row r="168" spans="1:14" ht="24" customHeight="1">
      <c r="A168" s="96"/>
      <c r="B168" s="154" t="s">
        <v>329</v>
      </c>
      <c r="C168" s="156"/>
      <c r="D168" s="95"/>
      <c r="E168" s="94">
        <v>0</v>
      </c>
      <c r="F168" s="152" t="s">
        <v>109</v>
      </c>
      <c r="G168" s="154">
        <v>13400000</v>
      </c>
      <c r="H168" s="92">
        <f t="shared" si="22"/>
        <v>0</v>
      </c>
      <c r="I168" s="92"/>
      <c r="J168" s="92"/>
      <c r="K168" s="92">
        <f>I168+G168</f>
        <v>13400000</v>
      </c>
      <c r="L168" s="92">
        <f>H168+J168</f>
        <v>0</v>
      </c>
      <c r="M168" s="91"/>
      <c r="N168" s="190"/>
    </row>
    <row r="169" spans="1:14" ht="24" customHeight="1">
      <c r="A169" s="96"/>
      <c r="B169" s="95" t="s">
        <v>20</v>
      </c>
      <c r="C169" s="95"/>
      <c r="D169" s="95"/>
      <c r="E169" s="94"/>
      <c r="F169" s="93"/>
      <c r="G169" s="92"/>
      <c r="H169" s="92">
        <f>SUM(H167:H168)</f>
        <v>0</v>
      </c>
      <c r="I169" s="92"/>
      <c r="J169" s="92">
        <f>SUM(J167:J168)</f>
        <v>0</v>
      </c>
      <c r="K169" s="92"/>
      <c r="L169" s="92">
        <f>SUM(L167:L168)</f>
        <v>0</v>
      </c>
      <c r="M169" s="91"/>
      <c r="N169" s="190"/>
    </row>
    <row r="170" spans="1:14" ht="24" customHeight="1">
      <c r="A170" s="96"/>
      <c r="B170" s="95"/>
      <c r="C170" s="95"/>
      <c r="D170" s="95"/>
      <c r="E170" s="94"/>
      <c r="F170" s="93"/>
      <c r="G170" s="92"/>
      <c r="H170" s="92"/>
      <c r="I170" s="92"/>
      <c r="J170" s="92"/>
      <c r="K170" s="92"/>
      <c r="L170" s="92"/>
      <c r="M170" s="91"/>
      <c r="N170" s="190"/>
    </row>
    <row r="171" spans="1:14" ht="24" customHeight="1">
      <c r="A171" s="102">
        <f>A12</f>
        <v>9</v>
      </c>
      <c r="B171" s="101" t="str">
        <f>B12</f>
        <v>샤시 공사</v>
      </c>
      <c r="C171" s="101"/>
      <c r="D171" s="101"/>
      <c r="E171" s="100"/>
      <c r="F171" s="99"/>
      <c r="G171" s="98"/>
      <c r="H171" s="98"/>
      <c r="I171" s="98"/>
      <c r="J171" s="98"/>
      <c r="K171" s="98"/>
      <c r="L171" s="98"/>
      <c r="M171" s="97"/>
      <c r="N171" s="190"/>
    </row>
    <row r="172" spans="1:14" ht="24" customHeight="1">
      <c r="A172" s="96"/>
      <c r="B172" s="154" t="s">
        <v>248</v>
      </c>
      <c r="C172" s="155" t="s">
        <v>250</v>
      </c>
      <c r="D172" s="93" t="s">
        <v>249</v>
      </c>
      <c r="E172" s="157">
        <v>1</v>
      </c>
      <c r="F172" s="158" t="s">
        <v>99</v>
      </c>
      <c r="G172" s="154">
        <v>667500</v>
      </c>
      <c r="H172" s="92">
        <f t="shared" ref="H172:H187" si="24">E172*G172</f>
        <v>667500</v>
      </c>
      <c r="I172" s="92"/>
      <c r="J172" s="92">
        <f t="shared" ref="J172:J187" si="25">E172*I172</f>
        <v>0</v>
      </c>
      <c r="K172" s="92">
        <f t="shared" ref="K172:L187" si="26">G172+I172</f>
        <v>667500</v>
      </c>
      <c r="L172" s="92">
        <f t="shared" si="26"/>
        <v>667500</v>
      </c>
      <c r="M172" s="192" t="s">
        <v>138</v>
      </c>
      <c r="N172" s="190" t="s">
        <v>239</v>
      </c>
    </row>
    <row r="173" spans="1:14" ht="24" customHeight="1">
      <c r="A173" s="96"/>
      <c r="B173" s="154" t="s">
        <v>251</v>
      </c>
      <c r="C173" s="155" t="s">
        <v>252</v>
      </c>
      <c r="D173" s="93" t="s">
        <v>249</v>
      </c>
      <c r="E173" s="157">
        <v>1</v>
      </c>
      <c r="F173" s="158" t="s">
        <v>99</v>
      </c>
      <c r="G173" s="154">
        <v>942500</v>
      </c>
      <c r="H173" s="92">
        <f t="shared" si="24"/>
        <v>942500</v>
      </c>
      <c r="I173" s="92"/>
      <c r="J173" s="92">
        <f t="shared" si="25"/>
        <v>0</v>
      </c>
      <c r="K173" s="92">
        <f t="shared" si="26"/>
        <v>942500</v>
      </c>
      <c r="L173" s="92">
        <f t="shared" si="26"/>
        <v>942500</v>
      </c>
      <c r="M173" s="192" t="s">
        <v>138</v>
      </c>
      <c r="N173" s="190"/>
    </row>
    <row r="174" spans="1:14" ht="24" customHeight="1">
      <c r="A174" s="96"/>
      <c r="B174" s="154"/>
      <c r="C174" s="155" t="s">
        <v>253</v>
      </c>
      <c r="D174" s="93" t="s">
        <v>249</v>
      </c>
      <c r="E174" s="157">
        <v>1</v>
      </c>
      <c r="F174" s="158" t="s">
        <v>99</v>
      </c>
      <c r="G174" s="154">
        <v>211600</v>
      </c>
      <c r="H174" s="92">
        <f t="shared" si="24"/>
        <v>211600</v>
      </c>
      <c r="I174" s="92"/>
      <c r="J174" s="92">
        <f t="shared" si="25"/>
        <v>0</v>
      </c>
      <c r="K174" s="92">
        <f t="shared" si="26"/>
        <v>211600</v>
      </c>
      <c r="L174" s="92">
        <f t="shared" si="26"/>
        <v>211600</v>
      </c>
      <c r="M174" s="192" t="s">
        <v>138</v>
      </c>
      <c r="N174" s="190"/>
    </row>
    <row r="175" spans="1:14" ht="24" customHeight="1">
      <c r="A175" s="96"/>
      <c r="B175" s="154"/>
      <c r="C175" s="155" t="s">
        <v>254</v>
      </c>
      <c r="D175" s="93" t="s">
        <v>249</v>
      </c>
      <c r="E175" s="157">
        <v>1</v>
      </c>
      <c r="F175" s="158" t="s">
        <v>99</v>
      </c>
      <c r="G175" s="154">
        <v>502200</v>
      </c>
      <c r="H175" s="92">
        <f t="shared" si="24"/>
        <v>502200</v>
      </c>
      <c r="I175" s="92"/>
      <c r="J175" s="92">
        <f t="shared" si="25"/>
        <v>0</v>
      </c>
      <c r="K175" s="92">
        <f t="shared" si="26"/>
        <v>502200</v>
      </c>
      <c r="L175" s="92">
        <f t="shared" si="26"/>
        <v>502200</v>
      </c>
      <c r="M175" s="192" t="s">
        <v>138</v>
      </c>
      <c r="N175" s="190"/>
    </row>
    <row r="176" spans="1:14" ht="24" customHeight="1">
      <c r="A176" s="96"/>
      <c r="B176" s="154" t="s">
        <v>255</v>
      </c>
      <c r="C176" s="155" t="s">
        <v>256</v>
      </c>
      <c r="D176" s="93" t="s">
        <v>249</v>
      </c>
      <c r="E176" s="157">
        <v>1</v>
      </c>
      <c r="F176" s="158" t="s">
        <v>99</v>
      </c>
      <c r="G176" s="154">
        <v>608800</v>
      </c>
      <c r="H176" s="92">
        <f t="shared" si="24"/>
        <v>608800</v>
      </c>
      <c r="I176" s="92"/>
      <c r="J176" s="92">
        <f t="shared" si="25"/>
        <v>0</v>
      </c>
      <c r="K176" s="92">
        <f t="shared" si="26"/>
        <v>608800</v>
      </c>
      <c r="L176" s="92">
        <f t="shared" si="26"/>
        <v>608800</v>
      </c>
      <c r="M176" s="192" t="s">
        <v>138</v>
      </c>
      <c r="N176" s="190"/>
    </row>
    <row r="177" spans="1:14" ht="24" customHeight="1">
      <c r="A177" s="96"/>
      <c r="B177" s="154" t="s">
        <v>257</v>
      </c>
      <c r="C177" s="155" t="s">
        <v>260</v>
      </c>
      <c r="D177" s="93" t="s">
        <v>249</v>
      </c>
      <c r="E177" s="157">
        <v>1</v>
      </c>
      <c r="F177" s="158" t="s">
        <v>99</v>
      </c>
      <c r="G177" s="154">
        <v>1636200</v>
      </c>
      <c r="H177" s="92">
        <f t="shared" si="24"/>
        <v>1636200</v>
      </c>
      <c r="I177" s="92"/>
      <c r="J177" s="92">
        <f t="shared" si="25"/>
        <v>0</v>
      </c>
      <c r="K177" s="92">
        <f t="shared" si="26"/>
        <v>1636200</v>
      </c>
      <c r="L177" s="92">
        <f t="shared" si="26"/>
        <v>1636200</v>
      </c>
      <c r="M177" s="192" t="s">
        <v>138</v>
      </c>
      <c r="N177" s="190"/>
    </row>
    <row r="178" spans="1:14" ht="24" customHeight="1">
      <c r="A178" s="96"/>
      <c r="B178" s="154" t="s">
        <v>258</v>
      </c>
      <c r="C178" s="155" t="s">
        <v>259</v>
      </c>
      <c r="D178" s="93" t="s">
        <v>249</v>
      </c>
      <c r="E178" s="157">
        <v>1</v>
      </c>
      <c r="F178" s="158" t="s">
        <v>99</v>
      </c>
      <c r="G178" s="154">
        <v>1044555</v>
      </c>
      <c r="H178" s="92">
        <f t="shared" si="24"/>
        <v>1044555</v>
      </c>
      <c r="I178" s="92"/>
      <c r="J178" s="92">
        <f t="shared" si="25"/>
        <v>0</v>
      </c>
      <c r="K178" s="92">
        <f t="shared" si="26"/>
        <v>1044555</v>
      </c>
      <c r="L178" s="92">
        <f t="shared" si="26"/>
        <v>1044555</v>
      </c>
      <c r="M178" s="192" t="s">
        <v>138</v>
      </c>
      <c r="N178" s="190"/>
    </row>
    <row r="179" spans="1:14" ht="24" customHeight="1">
      <c r="A179" s="96"/>
      <c r="B179" s="154" t="s">
        <v>261</v>
      </c>
      <c r="C179" s="155" t="s">
        <v>262</v>
      </c>
      <c r="D179" s="93" t="s">
        <v>249</v>
      </c>
      <c r="E179" s="157">
        <v>1</v>
      </c>
      <c r="F179" s="158" t="s">
        <v>99</v>
      </c>
      <c r="G179" s="154">
        <v>1118500</v>
      </c>
      <c r="H179" s="92">
        <f t="shared" si="24"/>
        <v>1118500</v>
      </c>
      <c r="I179" s="92"/>
      <c r="J179" s="92">
        <f t="shared" si="25"/>
        <v>0</v>
      </c>
      <c r="K179" s="92">
        <f t="shared" si="26"/>
        <v>1118500</v>
      </c>
      <c r="L179" s="92">
        <f t="shared" si="26"/>
        <v>1118500</v>
      </c>
      <c r="M179" s="192" t="s">
        <v>138</v>
      </c>
      <c r="N179" s="190"/>
    </row>
    <row r="180" spans="1:14" ht="24" customHeight="1">
      <c r="A180" s="96"/>
      <c r="B180" s="154" t="s">
        <v>263</v>
      </c>
      <c r="C180" s="155" t="s">
        <v>264</v>
      </c>
      <c r="D180" s="93" t="s">
        <v>249</v>
      </c>
      <c r="E180" s="157">
        <v>1</v>
      </c>
      <c r="F180" s="158" t="s">
        <v>99</v>
      </c>
      <c r="G180" s="154">
        <v>4052900</v>
      </c>
      <c r="H180" s="92">
        <f t="shared" si="24"/>
        <v>4052900</v>
      </c>
      <c r="I180" s="92"/>
      <c r="J180" s="92">
        <f t="shared" si="25"/>
        <v>0</v>
      </c>
      <c r="K180" s="92">
        <f t="shared" si="26"/>
        <v>4052900</v>
      </c>
      <c r="L180" s="92">
        <f t="shared" si="26"/>
        <v>4052900</v>
      </c>
      <c r="M180" s="192" t="s">
        <v>138</v>
      </c>
      <c r="N180" s="190"/>
    </row>
    <row r="181" spans="1:14" ht="24" customHeight="1">
      <c r="A181" s="96"/>
      <c r="B181" s="154" t="s">
        <v>265</v>
      </c>
      <c r="C181" s="155" t="s">
        <v>250</v>
      </c>
      <c r="D181" s="93" t="s">
        <v>249</v>
      </c>
      <c r="E181" s="157">
        <v>1</v>
      </c>
      <c r="F181" s="158" t="s">
        <v>99</v>
      </c>
      <c r="G181" s="154"/>
      <c r="H181" s="92">
        <f t="shared" si="24"/>
        <v>0</v>
      </c>
      <c r="I181" s="92"/>
      <c r="J181" s="92">
        <f t="shared" si="25"/>
        <v>0</v>
      </c>
      <c r="K181" s="92">
        <f t="shared" si="26"/>
        <v>0</v>
      </c>
      <c r="L181" s="92">
        <f t="shared" si="26"/>
        <v>0</v>
      </c>
      <c r="M181" s="192" t="s">
        <v>138</v>
      </c>
      <c r="N181" s="190"/>
    </row>
    <row r="182" spans="1:14" ht="24" customHeight="1">
      <c r="A182" s="96"/>
      <c r="B182" s="154" t="s">
        <v>266</v>
      </c>
      <c r="C182" s="155" t="s">
        <v>267</v>
      </c>
      <c r="D182" s="93" t="s">
        <v>249</v>
      </c>
      <c r="E182" s="157">
        <v>1</v>
      </c>
      <c r="F182" s="158" t="s">
        <v>99</v>
      </c>
      <c r="G182" s="154">
        <v>731500</v>
      </c>
      <c r="H182" s="92">
        <f t="shared" si="24"/>
        <v>731500</v>
      </c>
      <c r="I182" s="92"/>
      <c r="J182" s="92">
        <f t="shared" si="25"/>
        <v>0</v>
      </c>
      <c r="K182" s="92">
        <f t="shared" si="26"/>
        <v>731500</v>
      </c>
      <c r="L182" s="92">
        <f t="shared" si="26"/>
        <v>731500</v>
      </c>
      <c r="M182" s="192" t="s">
        <v>138</v>
      </c>
      <c r="N182" s="190"/>
    </row>
    <row r="183" spans="1:14" ht="24" customHeight="1">
      <c r="A183" s="96"/>
      <c r="B183" s="154" t="s">
        <v>270</v>
      </c>
      <c r="C183" s="155"/>
      <c r="D183" s="93" t="s">
        <v>249</v>
      </c>
      <c r="E183" s="157">
        <v>1</v>
      </c>
      <c r="F183" s="158" t="s">
        <v>99</v>
      </c>
      <c r="G183" s="154">
        <v>682700</v>
      </c>
      <c r="H183" s="92">
        <f t="shared" si="24"/>
        <v>682700</v>
      </c>
      <c r="I183" s="92"/>
      <c r="J183" s="92">
        <f t="shared" si="25"/>
        <v>0</v>
      </c>
      <c r="K183" s="92">
        <f t="shared" si="26"/>
        <v>682700</v>
      </c>
      <c r="L183" s="92">
        <f t="shared" si="26"/>
        <v>682700</v>
      </c>
      <c r="M183" s="192" t="s">
        <v>138</v>
      </c>
      <c r="N183" s="190"/>
    </row>
    <row r="184" spans="1:14" ht="24" customHeight="1">
      <c r="A184" s="96"/>
      <c r="B184" s="154" t="s">
        <v>268</v>
      </c>
      <c r="C184" s="155"/>
      <c r="D184" s="93" t="s">
        <v>249</v>
      </c>
      <c r="E184" s="157">
        <v>0</v>
      </c>
      <c r="F184" s="158" t="s">
        <v>99</v>
      </c>
      <c r="G184" s="154">
        <v>367636</v>
      </c>
      <c r="H184" s="92">
        <f t="shared" si="24"/>
        <v>0</v>
      </c>
      <c r="I184" s="92"/>
      <c r="J184" s="92">
        <f t="shared" si="25"/>
        <v>0</v>
      </c>
      <c r="K184" s="92">
        <f t="shared" si="26"/>
        <v>367636</v>
      </c>
      <c r="L184" s="92">
        <f t="shared" si="26"/>
        <v>0</v>
      </c>
      <c r="M184" s="192" t="s">
        <v>138</v>
      </c>
      <c r="N184" s="190"/>
    </row>
    <row r="185" spans="1:14" ht="24" customHeight="1">
      <c r="A185" s="96"/>
      <c r="B185" s="154" t="s">
        <v>269</v>
      </c>
      <c r="C185" s="155"/>
      <c r="D185" s="93" t="s">
        <v>249</v>
      </c>
      <c r="E185" s="157">
        <v>1</v>
      </c>
      <c r="F185" s="158" t="s">
        <v>99</v>
      </c>
      <c r="G185" s="154">
        <v>310000</v>
      </c>
      <c r="H185" s="92">
        <f t="shared" si="24"/>
        <v>310000</v>
      </c>
      <c r="I185" s="92"/>
      <c r="J185" s="92">
        <f t="shared" si="25"/>
        <v>0</v>
      </c>
      <c r="K185" s="92">
        <f t="shared" si="26"/>
        <v>310000</v>
      </c>
      <c r="L185" s="92">
        <f t="shared" si="26"/>
        <v>310000</v>
      </c>
      <c r="M185" s="192" t="s">
        <v>138</v>
      </c>
      <c r="N185" s="190"/>
    </row>
    <row r="186" spans="1:14" ht="24" customHeight="1">
      <c r="A186" s="96"/>
      <c r="B186" s="154" t="s">
        <v>271</v>
      </c>
      <c r="C186" s="155"/>
      <c r="D186" s="93"/>
      <c r="E186" s="157">
        <v>1</v>
      </c>
      <c r="F186" s="158" t="s">
        <v>99</v>
      </c>
      <c r="G186" s="154">
        <v>400000</v>
      </c>
      <c r="H186" s="92">
        <f t="shared" si="24"/>
        <v>400000</v>
      </c>
      <c r="I186" s="92"/>
      <c r="J186" s="92">
        <f t="shared" si="25"/>
        <v>0</v>
      </c>
      <c r="K186" s="92">
        <f t="shared" si="26"/>
        <v>400000</v>
      </c>
      <c r="L186" s="92">
        <f t="shared" si="26"/>
        <v>400000</v>
      </c>
      <c r="M186" s="192" t="s">
        <v>138</v>
      </c>
      <c r="N186" s="190"/>
    </row>
    <row r="187" spans="1:14" ht="24" customHeight="1">
      <c r="A187" s="96"/>
      <c r="B187" s="154" t="s">
        <v>168</v>
      </c>
      <c r="C187" s="155"/>
      <c r="D187" s="93"/>
      <c r="E187" s="157">
        <v>1</v>
      </c>
      <c r="F187" s="158" t="s">
        <v>99</v>
      </c>
      <c r="G187" s="154">
        <v>250000</v>
      </c>
      <c r="H187" s="92">
        <f t="shared" si="24"/>
        <v>250000</v>
      </c>
      <c r="I187" s="92"/>
      <c r="J187" s="92">
        <f t="shared" si="25"/>
        <v>0</v>
      </c>
      <c r="K187" s="92">
        <f t="shared" si="26"/>
        <v>250000</v>
      </c>
      <c r="L187" s="92">
        <f t="shared" si="26"/>
        <v>250000</v>
      </c>
      <c r="M187" s="192" t="s">
        <v>138</v>
      </c>
      <c r="N187" s="190"/>
    </row>
    <row r="188" spans="1:14" ht="24" customHeight="1">
      <c r="A188" s="96"/>
      <c r="B188" s="164"/>
      <c r="C188" s="155"/>
      <c r="D188" s="95"/>
      <c r="E188" s="157"/>
      <c r="F188" s="158"/>
      <c r="G188" s="154"/>
      <c r="H188" s="92"/>
      <c r="I188" s="92"/>
      <c r="J188" s="92"/>
      <c r="K188" s="92"/>
      <c r="L188" s="92"/>
      <c r="M188" s="91"/>
      <c r="N188" s="190"/>
    </row>
    <row r="189" spans="1:14" ht="24" customHeight="1">
      <c r="A189" s="96"/>
      <c r="B189" s="95" t="s">
        <v>20</v>
      </c>
      <c r="C189" s="95"/>
      <c r="D189" s="95"/>
      <c r="E189" s="94"/>
      <c r="F189" s="93"/>
      <c r="G189" s="92"/>
      <c r="H189" s="92">
        <f>SUM(H172:H188)</f>
        <v>13158955</v>
      </c>
      <c r="I189" s="92"/>
      <c r="J189" s="92">
        <f>SUM(J168:J188)</f>
        <v>0</v>
      </c>
      <c r="K189" s="92"/>
      <c r="L189" s="92">
        <f>SUM(L172:L188)</f>
        <v>13158955</v>
      </c>
      <c r="M189" s="91"/>
      <c r="N189" s="190"/>
    </row>
    <row r="190" spans="1:14" ht="24" customHeight="1">
      <c r="A190" s="96"/>
      <c r="B190" s="172" t="s">
        <v>273</v>
      </c>
      <c r="C190" s="95"/>
      <c r="D190" s="95"/>
      <c r="E190" s="94"/>
      <c r="F190" s="93"/>
      <c r="G190" s="92"/>
      <c r="H190" s="92"/>
      <c r="I190" s="92"/>
      <c r="J190" s="92"/>
      <c r="K190" s="92"/>
      <c r="L190" s="92"/>
      <c r="M190" s="91"/>
      <c r="N190" s="190"/>
    </row>
    <row r="191" spans="1:14" ht="24" customHeight="1">
      <c r="A191" s="102">
        <f>A13</f>
        <v>10</v>
      </c>
      <c r="B191" s="101" t="str">
        <f>B13</f>
        <v>도장 공사</v>
      </c>
      <c r="C191" s="101"/>
      <c r="D191" s="101"/>
      <c r="E191" s="100"/>
      <c r="F191" s="99"/>
      <c r="G191" s="98"/>
      <c r="H191" s="98"/>
      <c r="I191" s="98"/>
      <c r="J191" s="98"/>
      <c r="K191" s="98"/>
      <c r="L191" s="98"/>
      <c r="M191" s="97"/>
      <c r="N191" s="190"/>
    </row>
    <row r="192" spans="1:14" ht="24" customHeight="1">
      <c r="A192" s="96"/>
      <c r="B192" s="159" t="s">
        <v>114</v>
      </c>
      <c r="C192" s="160" t="s">
        <v>226</v>
      </c>
      <c r="D192" s="95"/>
      <c r="E192" s="188">
        <v>141.59</v>
      </c>
      <c r="F192" s="152" t="s">
        <v>76</v>
      </c>
      <c r="G192" s="159">
        <v>2000</v>
      </c>
      <c r="H192" s="92">
        <f>E192*G192</f>
        <v>283180</v>
      </c>
      <c r="I192" s="92">
        <v>3500</v>
      </c>
      <c r="J192" s="92">
        <f>E192*I192</f>
        <v>495565</v>
      </c>
      <c r="K192" s="92">
        <f>G192+I192</f>
        <v>5500</v>
      </c>
      <c r="L192" s="92">
        <f>H192+J192</f>
        <v>778745</v>
      </c>
      <c r="M192" s="91"/>
      <c r="N192" s="190" t="s">
        <v>239</v>
      </c>
    </row>
    <row r="193" spans="1:15" ht="24" customHeight="1">
      <c r="A193" s="96"/>
      <c r="B193" s="159" t="s">
        <v>312</v>
      </c>
      <c r="C193" s="160" t="s">
        <v>321</v>
      </c>
      <c r="D193" s="95" t="s">
        <v>322</v>
      </c>
      <c r="E193" s="188">
        <v>0</v>
      </c>
      <c r="F193" s="152" t="s">
        <v>76</v>
      </c>
      <c r="G193" s="159">
        <v>7500</v>
      </c>
      <c r="H193" s="92">
        <f>E193*G193</f>
        <v>0</v>
      </c>
      <c r="I193" s="92">
        <v>3500</v>
      </c>
      <c r="J193" s="92">
        <f>E193*I193</f>
        <v>0</v>
      </c>
      <c r="K193" s="92">
        <f>G193+I193</f>
        <v>11000</v>
      </c>
      <c r="L193" s="92">
        <f>H193+J193</f>
        <v>0</v>
      </c>
      <c r="M193" s="91"/>
      <c r="N193" s="190" t="s">
        <v>239</v>
      </c>
    </row>
    <row r="194" spans="1:15" ht="24" customHeight="1">
      <c r="A194" s="96"/>
      <c r="B194" s="172" t="s">
        <v>227</v>
      </c>
      <c r="C194" s="160"/>
      <c r="D194" s="95"/>
      <c r="E194" s="161"/>
      <c r="F194" s="152"/>
      <c r="G194" s="159"/>
      <c r="H194" s="92"/>
      <c r="I194" s="92"/>
      <c r="J194" s="92"/>
      <c r="K194" s="92"/>
      <c r="L194" s="92"/>
      <c r="M194" s="91"/>
      <c r="N194" s="190"/>
    </row>
    <row r="195" spans="1:15" ht="24" customHeight="1">
      <c r="A195" s="96"/>
      <c r="B195" s="172" t="s">
        <v>115</v>
      </c>
      <c r="C195" s="156"/>
      <c r="D195" s="95"/>
      <c r="E195" s="94"/>
      <c r="F195" s="152"/>
      <c r="G195" s="154"/>
      <c r="H195" s="92"/>
      <c r="I195" s="92"/>
      <c r="J195" s="92"/>
      <c r="K195" s="92"/>
      <c r="L195" s="92"/>
      <c r="M195" s="91"/>
      <c r="N195" s="190"/>
    </row>
    <row r="196" spans="1:15" ht="24" customHeight="1">
      <c r="A196" s="96"/>
      <c r="B196" s="95" t="s">
        <v>20</v>
      </c>
      <c r="C196" s="95"/>
      <c r="D196" s="95"/>
      <c r="E196" s="94"/>
      <c r="F196" s="93"/>
      <c r="G196" s="92"/>
      <c r="H196" s="92">
        <f>SUM(H192:H195)</f>
        <v>283180</v>
      </c>
      <c r="I196" s="92"/>
      <c r="J196" s="92">
        <f>SUM(J192:J195)</f>
        <v>495565</v>
      </c>
      <c r="K196" s="92"/>
      <c r="L196" s="92">
        <f>SUM(L192:L195)</f>
        <v>778745</v>
      </c>
      <c r="M196" s="91"/>
      <c r="N196" s="190"/>
    </row>
    <row r="197" spans="1:15" ht="24" customHeight="1">
      <c r="A197" s="96"/>
      <c r="B197" s="95"/>
      <c r="C197" s="95"/>
      <c r="D197" s="95"/>
      <c r="E197" s="94"/>
      <c r="F197" s="93"/>
      <c r="G197" s="92"/>
      <c r="H197" s="92"/>
      <c r="I197" s="92"/>
      <c r="J197" s="92"/>
      <c r="K197" s="92"/>
      <c r="L197" s="92"/>
      <c r="M197" s="91"/>
      <c r="N197" s="190"/>
    </row>
    <row r="198" spans="1:15" ht="24" customHeight="1">
      <c r="A198" s="102">
        <f>A14</f>
        <v>11</v>
      </c>
      <c r="B198" s="101" t="str">
        <f>B14</f>
        <v>마루 공사</v>
      </c>
      <c r="C198" s="101"/>
      <c r="D198" s="101"/>
      <c r="E198" s="100"/>
      <c r="F198" s="99"/>
      <c r="G198" s="98"/>
      <c r="H198" s="98"/>
      <c r="I198" s="98"/>
      <c r="J198" s="98"/>
      <c r="K198" s="98"/>
      <c r="L198" s="98"/>
      <c r="M198" s="97"/>
      <c r="N198" s="190"/>
    </row>
    <row r="199" spans="1:15" ht="24" customHeight="1">
      <c r="A199" s="96"/>
      <c r="B199" s="159" t="s">
        <v>230</v>
      </c>
      <c r="C199" s="160" t="s">
        <v>231</v>
      </c>
      <c r="D199" s="93" t="s">
        <v>180</v>
      </c>
      <c r="E199" s="94">
        <v>0</v>
      </c>
      <c r="F199" s="152" t="s">
        <v>76</v>
      </c>
      <c r="G199" s="159">
        <v>34000</v>
      </c>
      <c r="H199" s="92">
        <f>E199*G199</f>
        <v>0</v>
      </c>
      <c r="I199" s="92">
        <v>10000</v>
      </c>
      <c r="J199" s="92">
        <f>E199*I199</f>
        <v>0</v>
      </c>
      <c r="K199" s="92">
        <f>G199+I199</f>
        <v>44000</v>
      </c>
      <c r="L199" s="92">
        <f>H199+J199</f>
        <v>0</v>
      </c>
      <c r="M199" s="91"/>
      <c r="N199" s="190" t="s">
        <v>246</v>
      </c>
      <c r="O199" s="86" t="s">
        <v>301</v>
      </c>
    </row>
    <row r="200" spans="1:15" ht="24" customHeight="1">
      <c r="A200" s="96"/>
      <c r="B200" s="172"/>
      <c r="C200" s="160"/>
      <c r="D200" s="95"/>
      <c r="E200" s="161"/>
      <c r="F200" s="152"/>
      <c r="G200" s="159"/>
      <c r="H200" s="92"/>
      <c r="I200" s="92"/>
      <c r="J200" s="92"/>
      <c r="K200" s="92"/>
      <c r="L200" s="92"/>
      <c r="M200" s="91"/>
      <c r="N200" s="190"/>
    </row>
    <row r="201" spans="1:15" ht="24" customHeight="1">
      <c r="A201" s="96"/>
      <c r="B201" s="172"/>
      <c r="C201" s="156"/>
      <c r="D201" s="95"/>
      <c r="E201" s="94"/>
      <c r="F201" s="152"/>
      <c r="G201" s="154"/>
      <c r="H201" s="92"/>
      <c r="I201" s="92"/>
      <c r="J201" s="92"/>
      <c r="K201" s="92"/>
      <c r="L201" s="92"/>
      <c r="M201" s="91"/>
      <c r="N201" s="190"/>
    </row>
    <row r="202" spans="1:15" ht="24" customHeight="1">
      <c r="A202" s="96"/>
      <c r="B202" s="95" t="s">
        <v>20</v>
      </c>
      <c r="C202" s="95"/>
      <c r="D202" s="95"/>
      <c r="E202" s="94"/>
      <c r="F202" s="93"/>
      <c r="G202" s="92"/>
      <c r="H202" s="92">
        <f>SUM(H199:H201)</f>
        <v>0</v>
      </c>
      <c r="I202" s="92"/>
      <c r="J202" s="92">
        <f>SUM(J199:J201)</f>
        <v>0</v>
      </c>
      <c r="K202" s="92"/>
      <c r="L202" s="92">
        <f>SUM(L199:L201)</f>
        <v>0</v>
      </c>
      <c r="M202" s="91"/>
      <c r="N202" s="190"/>
    </row>
    <row r="203" spans="1:15" ht="24" customHeight="1">
      <c r="A203" s="96"/>
      <c r="B203" s="95"/>
      <c r="C203" s="95"/>
      <c r="D203" s="95"/>
      <c r="E203" s="94"/>
      <c r="F203" s="93"/>
      <c r="G203" s="92"/>
      <c r="H203" s="92"/>
      <c r="I203" s="92"/>
      <c r="J203" s="92"/>
      <c r="K203" s="92"/>
      <c r="L203" s="92"/>
      <c r="M203" s="91"/>
      <c r="N203" s="190"/>
    </row>
    <row r="204" spans="1:15" ht="24" customHeight="1">
      <c r="A204" s="102">
        <f>A15</f>
        <v>12</v>
      </c>
      <c r="B204" s="101" t="str">
        <f>B15</f>
        <v>기타 공사</v>
      </c>
      <c r="C204" s="101"/>
      <c r="D204" s="101"/>
      <c r="E204" s="100"/>
      <c r="F204" s="99"/>
      <c r="G204" s="98"/>
      <c r="H204" s="98"/>
      <c r="I204" s="98"/>
      <c r="J204" s="98"/>
      <c r="K204" s="98"/>
      <c r="L204" s="98"/>
      <c r="M204" s="97"/>
      <c r="N204" s="190"/>
    </row>
    <row r="205" spans="1:15" ht="24" customHeight="1">
      <c r="A205" s="96"/>
      <c r="B205" s="159" t="s">
        <v>232</v>
      </c>
      <c r="C205" s="194"/>
      <c r="D205" s="93"/>
      <c r="E205" s="94">
        <v>15</v>
      </c>
      <c r="F205" s="152" t="s">
        <v>76</v>
      </c>
      <c r="G205" s="159">
        <v>15500</v>
      </c>
      <c r="H205" s="92">
        <f t="shared" ref="H205:H211" si="27">E205*G205</f>
        <v>232500</v>
      </c>
      <c r="I205" s="92">
        <v>17500</v>
      </c>
      <c r="J205" s="92">
        <f>E205*I205</f>
        <v>262500</v>
      </c>
      <c r="K205" s="92">
        <f t="shared" ref="K205:L211" si="28">G205+I205</f>
        <v>33000</v>
      </c>
      <c r="L205" s="92">
        <f t="shared" si="28"/>
        <v>495000</v>
      </c>
      <c r="M205" s="91"/>
      <c r="N205" s="190"/>
    </row>
    <row r="206" spans="1:15" ht="24" customHeight="1">
      <c r="A206" s="96"/>
      <c r="B206" s="159"/>
      <c r="C206" s="194" t="s">
        <v>233</v>
      </c>
      <c r="D206" s="95"/>
      <c r="E206" s="94">
        <v>1</v>
      </c>
      <c r="F206" s="152" t="s">
        <v>109</v>
      </c>
      <c r="G206" s="159">
        <v>50000</v>
      </c>
      <c r="H206" s="92">
        <f t="shared" si="27"/>
        <v>50000</v>
      </c>
      <c r="I206" s="92"/>
      <c r="J206" s="92">
        <f>E206*I206</f>
        <v>0</v>
      </c>
      <c r="K206" s="92">
        <f t="shared" si="28"/>
        <v>50000</v>
      </c>
      <c r="L206" s="92">
        <f t="shared" si="28"/>
        <v>50000</v>
      </c>
      <c r="M206" s="91"/>
      <c r="N206" s="190"/>
    </row>
    <row r="207" spans="1:15" ht="24" customHeight="1">
      <c r="A207" s="96"/>
      <c r="B207" s="159" t="s">
        <v>237</v>
      </c>
      <c r="C207" s="194" t="s">
        <v>247</v>
      </c>
      <c r="D207" s="93" t="s">
        <v>238</v>
      </c>
      <c r="E207" s="94">
        <v>0</v>
      </c>
      <c r="F207" s="152" t="s">
        <v>109</v>
      </c>
      <c r="G207" s="159">
        <v>5020000</v>
      </c>
      <c r="H207" s="92">
        <f t="shared" si="27"/>
        <v>0</v>
      </c>
      <c r="I207" s="92">
        <v>400000</v>
      </c>
      <c r="J207" s="92">
        <f>E207*I207</f>
        <v>0</v>
      </c>
      <c r="K207" s="92">
        <f t="shared" si="28"/>
        <v>5420000</v>
      </c>
      <c r="L207" s="92">
        <f t="shared" si="28"/>
        <v>0</v>
      </c>
      <c r="M207" s="91"/>
      <c r="N207" s="190"/>
    </row>
    <row r="208" spans="1:15" ht="24" customHeight="1">
      <c r="A208" s="96"/>
      <c r="B208" s="95" t="s">
        <v>136</v>
      </c>
      <c r="C208" s="95" t="s">
        <v>323</v>
      </c>
      <c r="D208" s="95"/>
      <c r="E208" s="94">
        <v>1</v>
      </c>
      <c r="F208" s="152" t="s">
        <v>109</v>
      </c>
      <c r="G208" s="92">
        <v>643000</v>
      </c>
      <c r="H208" s="92">
        <f t="shared" si="27"/>
        <v>643000</v>
      </c>
      <c r="I208" s="92"/>
      <c r="J208" s="92">
        <f t="shared" ref="J208:J211" si="29">E208*I208</f>
        <v>0</v>
      </c>
      <c r="K208" s="92">
        <f t="shared" si="28"/>
        <v>643000</v>
      </c>
      <c r="L208" s="92">
        <f t="shared" si="28"/>
        <v>643000</v>
      </c>
      <c r="M208" s="192" t="s">
        <v>308</v>
      </c>
      <c r="N208" s="190"/>
    </row>
    <row r="209" spans="1:14" ht="24" customHeight="1">
      <c r="A209" s="96"/>
      <c r="B209" s="95" t="s">
        <v>303</v>
      </c>
      <c r="C209" s="95" t="s">
        <v>304</v>
      </c>
      <c r="D209" s="95"/>
      <c r="E209" s="94">
        <v>1</v>
      </c>
      <c r="F209" s="152" t="s">
        <v>109</v>
      </c>
      <c r="G209" s="92">
        <v>385000</v>
      </c>
      <c r="H209" s="92">
        <f t="shared" si="27"/>
        <v>385000</v>
      </c>
      <c r="I209" s="92"/>
      <c r="J209" s="92">
        <f t="shared" si="29"/>
        <v>0</v>
      </c>
      <c r="K209" s="92">
        <f t="shared" si="28"/>
        <v>385000</v>
      </c>
      <c r="L209" s="92">
        <f t="shared" si="28"/>
        <v>385000</v>
      </c>
      <c r="M209" s="192"/>
      <c r="N209" s="190"/>
    </row>
    <row r="210" spans="1:14" ht="24" customHeight="1">
      <c r="A210" s="96"/>
      <c r="B210" s="95" t="s">
        <v>305</v>
      </c>
      <c r="C210" s="95"/>
      <c r="D210" s="95"/>
      <c r="E210" s="94">
        <v>2</v>
      </c>
      <c r="F210" s="152" t="s">
        <v>109</v>
      </c>
      <c r="G210" s="92">
        <v>22000</v>
      </c>
      <c r="H210" s="92">
        <f t="shared" si="27"/>
        <v>44000</v>
      </c>
      <c r="I210" s="92"/>
      <c r="J210" s="92">
        <f t="shared" si="29"/>
        <v>0</v>
      </c>
      <c r="K210" s="92">
        <f t="shared" si="28"/>
        <v>22000</v>
      </c>
      <c r="L210" s="92">
        <f t="shared" si="28"/>
        <v>44000</v>
      </c>
      <c r="M210" s="192"/>
      <c r="N210" s="190"/>
    </row>
    <row r="211" spans="1:14" ht="24" customHeight="1">
      <c r="A211" s="96"/>
      <c r="B211" s="95" t="s">
        <v>306</v>
      </c>
      <c r="C211" s="95"/>
      <c r="D211" s="95"/>
      <c r="E211" s="94">
        <v>1</v>
      </c>
      <c r="F211" s="152" t="s">
        <v>109</v>
      </c>
      <c r="G211" s="92">
        <v>22000</v>
      </c>
      <c r="H211" s="92">
        <f t="shared" si="27"/>
        <v>22000</v>
      </c>
      <c r="I211" s="92"/>
      <c r="J211" s="92">
        <f t="shared" si="29"/>
        <v>0</v>
      </c>
      <c r="K211" s="92">
        <f t="shared" si="28"/>
        <v>22000</v>
      </c>
      <c r="L211" s="92">
        <f t="shared" si="28"/>
        <v>22000</v>
      </c>
      <c r="M211" s="192"/>
      <c r="N211" s="190"/>
    </row>
    <row r="212" spans="1:14" ht="24" customHeight="1">
      <c r="A212" s="96"/>
      <c r="B212" s="172" t="s">
        <v>227</v>
      </c>
      <c r="C212" s="160"/>
      <c r="D212" s="95"/>
      <c r="E212" s="161"/>
      <c r="F212" s="152"/>
      <c r="G212" s="159"/>
      <c r="H212" s="92"/>
      <c r="I212" s="92"/>
      <c r="J212" s="92"/>
      <c r="K212" s="92"/>
      <c r="L212" s="92"/>
      <c r="M212" s="91"/>
      <c r="N212" s="190"/>
    </row>
    <row r="213" spans="1:14" ht="24" customHeight="1">
      <c r="A213" s="96"/>
      <c r="B213" s="172" t="s">
        <v>115</v>
      </c>
      <c r="C213" s="156"/>
      <c r="D213" s="95"/>
      <c r="E213" s="94"/>
      <c r="F213" s="152"/>
      <c r="G213" s="154"/>
      <c r="H213" s="92"/>
      <c r="I213" s="92"/>
      <c r="J213" s="92"/>
      <c r="K213" s="92"/>
      <c r="L213" s="92"/>
      <c r="M213" s="91"/>
      <c r="N213" s="190"/>
    </row>
    <row r="214" spans="1:14" ht="24" customHeight="1">
      <c r="A214" s="96"/>
      <c r="B214" s="95" t="s">
        <v>20</v>
      </c>
      <c r="C214" s="95"/>
      <c r="D214" s="95"/>
      <c r="E214" s="94"/>
      <c r="F214" s="93"/>
      <c r="G214" s="92"/>
      <c r="H214" s="92">
        <f>SUM(H205:H213)</f>
        <v>1376500</v>
      </c>
      <c r="I214" s="92"/>
      <c r="J214" s="92">
        <f>SUM(J205:J213)</f>
        <v>262500</v>
      </c>
      <c r="K214" s="92"/>
      <c r="L214" s="92">
        <f>SUM(L205:L213)</f>
        <v>1639000</v>
      </c>
      <c r="M214" s="91"/>
      <c r="N214" s="190"/>
    </row>
    <row r="215" spans="1:14" ht="24" customHeight="1">
      <c r="A215" s="96"/>
      <c r="B215" s="95"/>
      <c r="C215" s="95"/>
      <c r="D215" s="95"/>
      <c r="E215" s="94"/>
      <c r="F215" s="93"/>
      <c r="G215" s="92"/>
      <c r="H215" s="92"/>
      <c r="I215" s="92"/>
      <c r="J215" s="92"/>
      <c r="K215" s="92"/>
      <c r="L215" s="92"/>
      <c r="M215" s="91"/>
      <c r="N215" s="190"/>
    </row>
    <row r="216" spans="1:14" ht="24" customHeight="1">
      <c r="A216" s="96"/>
      <c r="B216" s="95"/>
      <c r="C216" s="95"/>
      <c r="D216" s="95"/>
      <c r="E216" s="94"/>
      <c r="F216" s="93"/>
      <c r="G216" s="92"/>
      <c r="H216" s="92"/>
      <c r="I216" s="92"/>
      <c r="J216" s="92"/>
      <c r="K216" s="92"/>
      <c r="L216" s="92"/>
      <c r="M216" s="91"/>
      <c r="N216" s="190"/>
    </row>
    <row r="217" spans="1:14" ht="24" customHeight="1">
      <c r="A217" s="96"/>
      <c r="B217" s="95"/>
      <c r="C217" s="95"/>
      <c r="D217" s="95"/>
      <c r="E217" s="94"/>
      <c r="F217" s="93"/>
      <c r="G217" s="92"/>
      <c r="H217" s="92"/>
      <c r="I217" s="92"/>
      <c r="J217" s="92"/>
      <c r="K217" s="92"/>
      <c r="L217" s="92"/>
      <c r="M217" s="91"/>
      <c r="N217" s="190"/>
    </row>
    <row r="218" spans="1:14" ht="24" customHeight="1">
      <c r="N218" s="191"/>
    </row>
  </sheetData>
  <mergeCells count="8">
    <mergeCell ref="B24:C24"/>
    <mergeCell ref="B25:C25"/>
    <mergeCell ref="G1:H1"/>
    <mergeCell ref="I1:J1"/>
    <mergeCell ref="K1:L1"/>
    <mergeCell ref="B21:C21"/>
    <mergeCell ref="B22:C22"/>
    <mergeCell ref="B23:C23"/>
  </mergeCells>
  <phoneticPr fontId="1" type="noConversion"/>
  <pageMargins left="0.47244094488188981" right="0.19685039370078741" top="0.51181102362204722" bottom="0.35433070866141736" header="0.27559055118110237" footer="0.15748031496062992"/>
  <pageSetup paperSize="9" scale="70" orientation="landscape" r:id="rId1"/>
  <headerFooter alignWithMargins="0">
    <oddHeader xml:space="preserve">&amp;R&amp;"돋움,굵게"(주)KCC 홈플랜  파트너 </oddHeader>
    <oddFooter>&amp;C&amp;P/&amp;N</oddFooter>
  </headerFooter>
  <rowBreaks count="1" manualBreakCount="1">
    <brk id="5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5</vt:i4>
      </vt:variant>
    </vt:vector>
  </HeadingPairs>
  <TitlesOfParts>
    <vt:vector size="8" baseType="lpstr">
      <vt:lpstr>갑 지</vt:lpstr>
      <vt:lpstr>내역</vt:lpstr>
      <vt:lpstr>진환</vt:lpstr>
      <vt:lpstr>'갑 지'!Print_Area</vt:lpstr>
      <vt:lpstr>내역!Print_Area</vt:lpstr>
      <vt:lpstr>진환!Print_Area</vt:lpstr>
      <vt:lpstr>내역!Print_Titles</vt:lpstr>
      <vt:lpstr>진환!Print_Titles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이찬오</dc:creator>
  <cp:lastModifiedBy>이창선</cp:lastModifiedBy>
  <cp:lastPrinted>2015-03-24T14:21:09Z</cp:lastPrinted>
  <dcterms:created xsi:type="dcterms:W3CDTF">2010-09-27T08:18:57Z</dcterms:created>
  <dcterms:modified xsi:type="dcterms:W3CDTF">2022-10-03T00:01:39Z</dcterms:modified>
</cp:coreProperties>
</file>