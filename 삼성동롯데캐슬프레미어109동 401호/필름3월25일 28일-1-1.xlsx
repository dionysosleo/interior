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624"/>
  <workbookPr defaultThemeVersion="124226"/>
  <xr:revisionPtr revIDLastSave="0" documentId="8_{D9A8322D-0C01-CD4C-B885-0EA371277926}" xr6:coauthVersionLast="45" xr6:coauthVersionMax="45" xr10:uidLastSave="{00000000-0000-0000-0000-000000000000}"/>
  <bookViews>
    <workbookView xWindow="90" yWindow="105" windowWidth="15480" windowHeight="10290" activeTab="1" xr2:uid="{00000000-000D-0000-FFFF-FFFF00000000}"/>
  </bookViews>
  <sheets>
    <sheet name="앞표지(세로)" sheetId="5" r:id="rId1"/>
    <sheet name="견적서 양식 " sheetId="4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2" i="4" l="1"/>
  <c r="L14" i="4"/>
  <c r="L13" i="4"/>
  <c r="L11" i="4"/>
  <c r="L23" i="4"/>
  <c r="L16" i="4"/>
  <c r="L15" i="4"/>
  <c r="L17" i="4"/>
  <c r="L18" i="4"/>
  <c r="L19" i="4"/>
  <c r="L20" i="4"/>
  <c r="L21" i="4"/>
  <c r="L22" i="4"/>
  <c r="L24" i="4"/>
  <c r="L25" i="4"/>
  <c r="L26" i="4"/>
  <c r="D8" i="4"/>
  <c r="C7" i="4"/>
</calcChain>
</file>

<file path=xl/sharedStrings.xml><?xml version="1.0" encoding="utf-8"?>
<sst xmlns="http://schemas.openxmlformats.org/spreadsheetml/2006/main" count="47" uniqueCount="49">
  <si>
    <t>* 견적일 :</t>
    <phoneticPr fontId="1" type="noConversion"/>
  </si>
  <si>
    <t>* 업체명 :</t>
    <phoneticPr fontId="1" type="noConversion"/>
  </si>
  <si>
    <t>* 공사명 :</t>
    <phoneticPr fontId="1" type="noConversion"/>
  </si>
  <si>
    <t>* 합계금액 :</t>
    <phoneticPr fontId="1" type="noConversion"/>
  </si>
  <si>
    <t>(</t>
    <phoneticPr fontId="1" type="noConversion"/>
  </si>
  <si>
    <t>팩    스</t>
    <phoneticPr fontId="1" type="noConversion"/>
  </si>
  <si>
    <t>비     고</t>
    <phoneticPr fontId="1" type="noConversion"/>
  </si>
  <si>
    <t>금      액</t>
    <phoneticPr fontId="1" type="noConversion"/>
  </si>
  <si>
    <t>단      가</t>
    <phoneticPr fontId="1" type="noConversion"/>
  </si>
  <si>
    <t>규     격</t>
    <phoneticPr fontId="1" type="noConversion"/>
  </si>
  <si>
    <t>품     명</t>
    <phoneticPr fontId="1" type="noConversion"/>
  </si>
  <si>
    <t>원)</t>
    <phoneticPr fontId="1" type="noConversion"/>
  </si>
  <si>
    <t>수   량</t>
    <phoneticPr fontId="1" type="noConversion"/>
  </si>
  <si>
    <t>단   위</t>
    <phoneticPr fontId="1" type="noConversion"/>
  </si>
  <si>
    <t>견    적    서</t>
    <phoneticPr fontId="1" type="noConversion"/>
  </si>
  <si>
    <t>청호개발㈜석재</t>
    <phoneticPr fontId="1" type="noConversion"/>
  </si>
  <si>
    <t>합   계</t>
    <phoneticPr fontId="1" type="noConversion"/>
  </si>
  <si>
    <t>TOTAL</t>
    <phoneticPr fontId="1" type="noConversion"/>
  </si>
  <si>
    <t xml:space="preserve">   &lt;견적번호 : 2008.5.20&gt;</t>
    <phoneticPr fontId="1" type="noConversion"/>
  </si>
  <si>
    <t>서울 구로 리모델링 석공사</t>
    <phoneticPr fontId="1" type="noConversion"/>
  </si>
  <si>
    <t>에이스 종합건설 귀하</t>
    <phoneticPr fontId="1" type="noConversion"/>
  </si>
  <si>
    <t>회 사 명</t>
    <phoneticPr fontId="1" type="noConversion"/>
  </si>
  <si>
    <t>업    태</t>
    <phoneticPr fontId="1" type="noConversion"/>
  </si>
  <si>
    <t>업    종</t>
    <phoneticPr fontId="1" type="noConversion"/>
  </si>
  <si>
    <t>주    소</t>
    <phoneticPr fontId="1" type="noConversion"/>
  </si>
  <si>
    <t>전    화</t>
    <phoneticPr fontId="1" type="noConversion"/>
  </si>
  <si>
    <t>공</t>
    <phoneticPr fontId="1" type="noConversion"/>
  </si>
  <si>
    <t>급</t>
    <phoneticPr fontId="1" type="noConversion"/>
  </si>
  <si>
    <t>자</t>
    <phoneticPr fontId="1" type="noConversion"/>
  </si>
  <si>
    <t>등록번호</t>
    <phoneticPr fontId="1" type="noConversion"/>
  </si>
  <si>
    <t>견   적   서</t>
    <phoneticPr fontId="1" type="noConversion"/>
  </si>
  <si>
    <t>인테리어필름</t>
    <phoneticPr fontId="1" type="noConversion"/>
  </si>
  <si>
    <t>(부과세별도)</t>
    <phoneticPr fontId="1" type="noConversion"/>
  </si>
  <si>
    <t>697-12-00879</t>
    <phoneticPr fontId="1" type="noConversion"/>
  </si>
  <si>
    <t>아트원</t>
    <phoneticPr fontId="1" type="noConversion"/>
  </si>
  <si>
    <t>서울 선유동2로 23 301동104호</t>
    <phoneticPr fontId="1" type="noConversion"/>
  </si>
  <si>
    <t>시공</t>
    <phoneticPr fontId="1" type="noConversion"/>
  </si>
  <si>
    <t>010-79321124</t>
    <phoneticPr fontId="1" type="noConversion"/>
  </si>
  <si>
    <t xml:space="preserve">   김준원</t>
    <phoneticPr fontId="1" type="noConversion"/>
  </si>
  <si>
    <t>대표</t>
    <phoneticPr fontId="1" type="noConversion"/>
  </si>
  <si>
    <t>팀장</t>
    <phoneticPr fontId="1" type="noConversion"/>
  </si>
  <si>
    <t>인테리어필름 시공</t>
  </si>
  <si>
    <t>작업자</t>
  </si>
  <si>
    <t>식비</t>
  </si>
  <si>
    <t>부자재</t>
  </si>
  <si>
    <t xml:space="preserve">삼성동 </t>
  </si>
  <si>
    <t>2020.03.25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</si>
</sst>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[DBNum4][$-412]General"/>
  </numFmts>
  <fonts count="14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20"/>
      <name val="돋움"/>
      <family val="3"/>
      <charset val="129"/>
    </font>
    <font>
      <b/>
      <sz val="48"/>
      <name val="돋움"/>
      <family val="3"/>
      <charset val="129"/>
    </font>
    <font>
      <b/>
      <sz val="12"/>
      <name val="돋움"/>
      <family val="3"/>
      <charset val="129"/>
    </font>
    <font>
      <sz val="10"/>
      <name val="돋움"/>
      <family val="3"/>
      <charset val="129"/>
    </font>
    <font>
      <sz val="9"/>
      <name val="돋움"/>
      <family val="3"/>
      <charset val="129"/>
    </font>
    <font>
      <b/>
      <sz val="10"/>
      <name val="돋움"/>
      <family val="3"/>
      <charset val="129"/>
    </font>
    <font>
      <b/>
      <sz val="28"/>
      <name val="돋움"/>
      <family val="3"/>
      <charset val="129"/>
    </font>
    <font>
      <b/>
      <sz val="9"/>
      <name val="돋움"/>
      <family val="3"/>
      <charset val="129"/>
    </font>
    <font>
      <b/>
      <sz val="8"/>
      <name val="돋움"/>
      <family val="3"/>
      <charset val="129"/>
    </font>
    <font>
      <b/>
      <sz val="8.5"/>
      <name val="돋움"/>
      <family val="3"/>
      <charset val="129"/>
    </font>
    <font>
      <b/>
      <sz val="14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0" fillId="0" borderId="0" xfId="0" applyFont="1" applyBorder="1">
      <alignment vertical="center"/>
    </xf>
    <xf numFmtId="0" fontId="10" fillId="0" borderId="0" xfId="0" applyFont="1" applyBorder="1" applyAlignment="1">
      <alignment vertical="center"/>
    </xf>
    <xf numFmtId="42" fontId="10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4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2" fillId="0" borderId="0" xfId="0" applyFont="1" applyBorder="1" applyAlignment="1">
      <alignment horizontal="left" vertical="center"/>
    </xf>
    <xf numFmtId="0" fontId="11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2" fillId="0" borderId="0" xfId="0" applyFont="1" applyBorder="1" applyAlignment="1">
      <alignment vertical="center"/>
    </xf>
    <xf numFmtId="0" fontId="11" fillId="0" borderId="13" xfId="0" applyFont="1" applyBorder="1" applyAlignment="1">
      <alignment horizontal="left" vertical="center"/>
    </xf>
    <xf numFmtId="0" fontId="10" fillId="0" borderId="0" xfId="0" applyFont="1" applyAlignment="1">
      <alignment vertical="center"/>
    </xf>
    <xf numFmtId="0" fontId="11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41" fontId="1" fillId="0" borderId="17" xfId="0" applyNumberFormat="1" applyFont="1" applyBorder="1" applyAlignment="1">
      <alignment horizontal="center" vertical="center"/>
    </xf>
    <xf numFmtId="41" fontId="1" fillId="0" borderId="18" xfId="0" applyNumberFormat="1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41" fontId="1" fillId="0" borderId="17" xfId="0" applyNumberFormat="1" applyFont="1" applyBorder="1" applyAlignment="1">
      <alignment horizontal="center" vertical="center"/>
    </xf>
    <xf numFmtId="41" fontId="1" fillId="0" borderId="18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41" fontId="1" fillId="0" borderId="16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right" vertical="center"/>
    </xf>
    <xf numFmtId="0" fontId="11" fillId="0" borderId="32" xfId="0" applyFont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30" xfId="0" applyFont="1" applyBorder="1" applyAlignment="1">
      <alignment horizontal="center" vertical="center"/>
    </xf>
    <xf numFmtId="31" fontId="10" fillId="0" borderId="0" xfId="0" applyNumberFormat="1" applyFont="1" applyAlignment="1">
      <alignment horizontal="left" vertical="center"/>
    </xf>
    <xf numFmtId="176" fontId="12" fillId="0" borderId="0" xfId="0" applyNumberFormat="1" applyFont="1" applyBorder="1" applyAlignment="1">
      <alignment horizontal="right" vertical="center"/>
    </xf>
    <xf numFmtId="0" fontId="11" fillId="0" borderId="1" xfId="0" applyFont="1" applyBorder="1" applyAlignment="1">
      <alignment horizontal="right" vertical="center"/>
    </xf>
    <xf numFmtId="41" fontId="8" fillId="0" borderId="0" xfId="0" applyNumberFormat="1" applyFont="1" applyBorder="1" applyAlignment="1">
      <alignment horizontal="right" vertical="center"/>
    </xf>
    <xf numFmtId="0" fontId="11" fillId="0" borderId="29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41" fontId="1" fillId="0" borderId="23" xfId="0" applyNumberFormat="1" applyFont="1" applyBorder="1" applyAlignment="1">
      <alignment vertical="center"/>
    </xf>
    <xf numFmtId="41" fontId="1" fillId="0" borderId="28" xfId="0" applyNumberFormat="1" applyFont="1" applyBorder="1" applyAlignment="1">
      <alignment vertical="center"/>
    </xf>
    <xf numFmtId="41" fontId="10" fillId="0" borderId="23" xfId="0" applyNumberFormat="1" applyFont="1" applyBorder="1" applyAlignment="1">
      <alignment horizontal="center" vertical="center"/>
    </xf>
    <xf numFmtId="41" fontId="10" fillId="0" borderId="24" xfId="0" applyNumberFormat="1" applyFont="1" applyBorder="1" applyAlignment="1">
      <alignment horizontal="center" vertical="center"/>
    </xf>
    <xf numFmtId="41" fontId="1" fillId="0" borderId="19" xfId="0" applyNumberFormat="1" applyFont="1" applyBorder="1" applyAlignment="1">
      <alignment horizontal="center" vertical="center"/>
    </xf>
    <xf numFmtId="41" fontId="1" fillId="0" borderId="27" xfId="0" applyNumberFormat="1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41" fontId="1" fillId="0" borderId="20" xfId="0" applyNumberFormat="1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485235</xdr:colOff>
      <xdr:row>2</xdr:row>
      <xdr:rowOff>132750</xdr:rowOff>
    </xdr:from>
    <xdr:to>
      <xdr:col>15</xdr:col>
      <xdr:colOff>8986</xdr:colOff>
      <xdr:row>4</xdr:row>
      <xdr:rowOff>78836</xdr:rowOff>
    </xdr:to>
    <xdr:pic>
      <xdr:nvPicPr>
        <xdr:cNvPr id="4" name="그림 3" descr="jw7061_barostamp (1)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577641" y="1148151"/>
          <a:ext cx="521180" cy="5211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workbookViewId="0">
      <selection activeCell="K11" sqref="K11"/>
    </sheetView>
  </sheetViews>
  <sheetFormatPr defaultColWidth="8.76953125" defaultRowHeight="13.5" x14ac:dyDescent="0.1"/>
  <cols>
    <col min="1" max="1" width="8.65234375" style="5" customWidth="1"/>
    <col min="2" max="11" width="9.47265625" style="5" customWidth="1"/>
    <col min="12" max="12" width="8.65234375" style="5" customWidth="1"/>
    <col min="13" max="16384" width="8.76953125" style="5"/>
  </cols>
  <sheetData>
    <row r="1" spans="1:11" x14ac:dyDescent="0.1">
      <c r="A1" s="10"/>
      <c r="B1" s="2"/>
      <c r="C1" s="2"/>
      <c r="D1" s="2"/>
      <c r="E1" s="2"/>
      <c r="F1" s="2"/>
      <c r="G1" s="2"/>
      <c r="H1" s="3"/>
    </row>
    <row r="2" spans="1:11" x14ac:dyDescent="0.1">
      <c r="A2" s="27" t="s">
        <v>18</v>
      </c>
      <c r="B2" s="26"/>
      <c r="C2" s="26"/>
      <c r="H2" s="6"/>
    </row>
    <row r="3" spans="1:11" x14ac:dyDescent="0.1">
      <c r="A3" s="4"/>
      <c r="H3" s="6"/>
    </row>
    <row r="4" spans="1:11" x14ac:dyDescent="0.1">
      <c r="A4" s="4"/>
      <c r="H4" s="6"/>
    </row>
    <row r="5" spans="1:11" x14ac:dyDescent="0.1">
      <c r="A5" s="4"/>
      <c r="H5" s="6"/>
    </row>
    <row r="6" spans="1:11" x14ac:dyDescent="0.1">
      <c r="A6" s="4"/>
      <c r="H6" s="6"/>
    </row>
    <row r="7" spans="1:11" x14ac:dyDescent="0.1">
      <c r="A7" s="4"/>
      <c r="H7" s="6"/>
    </row>
    <row r="8" spans="1:11" ht="100.15" customHeight="1" x14ac:dyDescent="0.1">
      <c r="A8" s="47" t="s">
        <v>14</v>
      </c>
      <c r="B8" s="48"/>
      <c r="C8" s="48"/>
      <c r="D8" s="48"/>
      <c r="E8" s="48"/>
      <c r="F8" s="48"/>
      <c r="G8" s="48"/>
      <c r="H8" s="49"/>
      <c r="I8" s="23"/>
      <c r="J8" s="23"/>
      <c r="K8" s="23"/>
    </row>
    <row r="9" spans="1:11" ht="19.899999999999999" customHeight="1" x14ac:dyDescent="0.1">
      <c r="A9" s="29"/>
      <c r="B9" s="20"/>
      <c r="C9" s="20"/>
      <c r="D9" s="20"/>
      <c r="E9" s="20"/>
      <c r="F9" s="20"/>
      <c r="G9" s="20"/>
      <c r="H9" s="28"/>
      <c r="I9" s="23"/>
      <c r="J9" s="23"/>
      <c r="K9" s="23"/>
    </row>
    <row r="10" spans="1:11" ht="19.899999999999999" customHeight="1" x14ac:dyDescent="0.1">
      <c r="A10" s="29"/>
      <c r="B10" s="20"/>
      <c r="C10" s="20"/>
      <c r="D10" s="20"/>
      <c r="E10" s="20"/>
      <c r="F10" s="20"/>
      <c r="G10" s="20"/>
      <c r="H10" s="28"/>
      <c r="I10" s="23"/>
      <c r="J10" s="23"/>
      <c r="K10" s="23"/>
    </row>
    <row r="11" spans="1:11" x14ac:dyDescent="0.1">
      <c r="A11" s="4"/>
      <c r="H11" s="6"/>
    </row>
    <row r="12" spans="1:11" ht="49.9" customHeight="1" x14ac:dyDescent="0.1">
      <c r="A12" s="50" t="s">
        <v>20</v>
      </c>
      <c r="B12" s="51"/>
      <c r="C12" s="51"/>
      <c r="D12" s="51"/>
      <c r="E12" s="51"/>
      <c r="F12" s="51"/>
      <c r="G12" s="51"/>
      <c r="H12" s="52"/>
      <c r="I12" s="24"/>
      <c r="J12" s="24"/>
      <c r="K12" s="24"/>
    </row>
    <row r="13" spans="1:11" ht="19.899999999999999" customHeight="1" x14ac:dyDescent="0.1">
      <c r="A13" s="31"/>
      <c r="B13" s="19"/>
      <c r="C13" s="19"/>
      <c r="D13" s="19"/>
      <c r="E13" s="19"/>
      <c r="F13" s="19"/>
      <c r="G13" s="19"/>
      <c r="H13" s="30"/>
      <c r="I13" s="24"/>
      <c r="J13" s="24"/>
      <c r="K13" s="24"/>
    </row>
    <row r="14" spans="1:11" ht="40.15" customHeight="1" x14ac:dyDescent="0.1">
      <c r="A14" s="53" t="s">
        <v>19</v>
      </c>
      <c r="B14" s="54"/>
      <c r="C14" s="54"/>
      <c r="D14" s="54"/>
      <c r="E14" s="54"/>
      <c r="F14" s="54"/>
      <c r="G14" s="54"/>
      <c r="H14" s="55"/>
      <c r="I14" s="25"/>
      <c r="J14" s="25"/>
      <c r="K14" s="25"/>
    </row>
    <row r="15" spans="1:11" x14ac:dyDescent="0.1">
      <c r="A15" s="4"/>
      <c r="H15" s="6"/>
    </row>
    <row r="16" spans="1:11" x14ac:dyDescent="0.1">
      <c r="A16" s="4"/>
      <c r="H16" s="6"/>
    </row>
    <row r="17" spans="1:11" x14ac:dyDescent="0.1">
      <c r="A17" s="4"/>
      <c r="H17" s="6"/>
    </row>
    <row r="18" spans="1:11" x14ac:dyDescent="0.1">
      <c r="A18" s="4"/>
      <c r="H18" s="6"/>
    </row>
    <row r="19" spans="1:11" x14ac:dyDescent="0.1">
      <c r="A19" s="4"/>
      <c r="H19" s="6"/>
    </row>
    <row r="20" spans="1:11" x14ac:dyDescent="0.1">
      <c r="A20" s="4"/>
      <c r="H20" s="6"/>
    </row>
    <row r="21" spans="1:11" x14ac:dyDescent="0.1">
      <c r="A21" s="4"/>
      <c r="H21" s="6"/>
    </row>
    <row r="22" spans="1:11" x14ac:dyDescent="0.1">
      <c r="A22" s="4"/>
      <c r="H22" s="6"/>
    </row>
    <row r="23" spans="1:11" x14ac:dyDescent="0.1">
      <c r="A23" s="4"/>
      <c r="H23" s="6"/>
    </row>
    <row r="24" spans="1:11" x14ac:dyDescent="0.1">
      <c r="A24" s="4"/>
      <c r="H24" s="6"/>
    </row>
    <row r="25" spans="1:11" x14ac:dyDescent="0.1">
      <c r="A25" s="4"/>
      <c r="H25" s="6"/>
    </row>
    <row r="26" spans="1:11" x14ac:dyDescent="0.1">
      <c r="A26" s="4"/>
      <c r="H26" s="6"/>
    </row>
    <row r="27" spans="1:11" x14ac:dyDescent="0.1">
      <c r="A27" s="4"/>
      <c r="H27" s="6"/>
    </row>
    <row r="28" spans="1:11" x14ac:dyDescent="0.1">
      <c r="A28" s="4"/>
      <c r="H28" s="6"/>
    </row>
    <row r="29" spans="1:11" x14ac:dyDescent="0.1">
      <c r="A29" s="4"/>
      <c r="H29" s="6"/>
    </row>
    <row r="30" spans="1:11" x14ac:dyDescent="0.1">
      <c r="A30" s="4"/>
      <c r="H30" s="6"/>
    </row>
    <row r="31" spans="1:11" x14ac:dyDescent="0.1">
      <c r="A31" s="4"/>
      <c r="H31" s="6"/>
    </row>
    <row r="32" spans="1:11" ht="40.15" customHeight="1" x14ac:dyDescent="0.1">
      <c r="A32" s="50" t="s">
        <v>15</v>
      </c>
      <c r="B32" s="51"/>
      <c r="C32" s="51"/>
      <c r="D32" s="51"/>
      <c r="E32" s="51"/>
      <c r="F32" s="51"/>
      <c r="G32" s="51"/>
      <c r="H32" s="52"/>
      <c r="I32" s="24"/>
      <c r="J32" s="24"/>
      <c r="K32" s="24"/>
    </row>
    <row r="33" spans="1:8" x14ac:dyDescent="0.1">
      <c r="A33" s="4"/>
      <c r="H33" s="6"/>
    </row>
    <row r="34" spans="1:8" x14ac:dyDescent="0.1">
      <c r="A34" s="4"/>
      <c r="H34" s="6"/>
    </row>
    <row r="35" spans="1:8" x14ac:dyDescent="0.1">
      <c r="A35" s="4"/>
      <c r="H35" s="6"/>
    </row>
    <row r="36" spans="1:8" x14ac:dyDescent="0.1">
      <c r="A36" s="4"/>
      <c r="H36" s="6"/>
    </row>
    <row r="37" spans="1:8" x14ac:dyDescent="0.1">
      <c r="A37" s="4"/>
      <c r="H37" s="6"/>
    </row>
    <row r="38" spans="1:8" ht="14.25" thickBot="1" x14ac:dyDescent="0.15">
      <c r="A38" s="7"/>
      <c r="B38" s="8"/>
      <c r="C38" s="8"/>
      <c r="D38" s="8"/>
      <c r="E38" s="8"/>
      <c r="F38" s="8"/>
      <c r="G38" s="8"/>
      <c r="H38" s="9"/>
    </row>
  </sheetData>
  <mergeCells count="4">
    <mergeCell ref="A8:H8"/>
    <mergeCell ref="A12:H12"/>
    <mergeCell ref="A14:H14"/>
    <mergeCell ref="A32:H32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0"/>
  <sheetViews>
    <sheetView showGridLines="0" tabSelected="1" topLeftCell="E7" zoomScale="148" zoomScaleNormal="148" workbookViewId="0">
      <selection activeCell="J14" sqref="J14:K14"/>
    </sheetView>
  </sheetViews>
  <sheetFormatPr defaultRowHeight="13.5" x14ac:dyDescent="0.1"/>
  <cols>
    <col min="1" max="1" width="7.94921875" customWidth="1"/>
    <col min="2" max="2" width="1.16796875" customWidth="1"/>
    <col min="3" max="3" width="1.63671875" customWidth="1"/>
    <col min="4" max="4" width="4.67578125" customWidth="1"/>
    <col min="5" max="5" width="6.4296875" customWidth="1"/>
    <col min="6" max="6" width="6.1953125" customWidth="1"/>
    <col min="7" max="9" width="3.15625" customWidth="1"/>
    <col min="10" max="10" width="9.23828125" customWidth="1"/>
    <col min="11" max="11" width="2.921875" customWidth="1"/>
    <col min="12" max="12" width="5.61328125" customWidth="1"/>
    <col min="13" max="13" width="9.703125" customWidth="1"/>
    <col min="14" max="14" width="5.61328125" style="1" customWidth="1"/>
    <col min="15" max="15" width="11.69140625" customWidth="1"/>
  </cols>
  <sheetData>
    <row r="1" spans="1:16" ht="60" customHeight="1" x14ac:dyDescent="0.1">
      <c r="A1" s="69" t="s">
        <v>30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</row>
    <row r="2" spans="1:16" ht="19.899999999999999" customHeight="1" thickBot="1" x14ac:dyDescent="0.15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</row>
    <row r="3" spans="1:16" s="11" customFormat="1" ht="22.9" customHeight="1" x14ac:dyDescent="0.1">
      <c r="A3" s="39"/>
      <c r="B3" s="39"/>
      <c r="C3" s="39"/>
      <c r="D3" s="39"/>
      <c r="E3" s="39"/>
      <c r="F3" s="39"/>
      <c r="G3" s="39"/>
      <c r="H3" s="39"/>
      <c r="I3" s="39"/>
      <c r="J3" s="39"/>
      <c r="K3" s="34" t="s">
        <v>26</v>
      </c>
      <c r="L3" s="40" t="s">
        <v>29</v>
      </c>
      <c r="M3" s="65" t="s">
        <v>33</v>
      </c>
      <c r="N3" s="71"/>
      <c r="O3" s="66"/>
    </row>
    <row r="4" spans="1:16" s="12" customFormat="1" ht="22.9" customHeight="1" x14ac:dyDescent="0.1">
      <c r="A4" s="13" t="s">
        <v>0</v>
      </c>
      <c r="B4" s="72" t="s">
        <v>46</v>
      </c>
      <c r="C4" s="72"/>
      <c r="D4" s="72"/>
      <c r="E4" s="72"/>
      <c r="F4" s="72"/>
      <c r="G4" s="72"/>
      <c r="H4" s="13"/>
      <c r="I4" s="13"/>
      <c r="K4" s="35"/>
      <c r="L4" s="42" t="s">
        <v>21</v>
      </c>
      <c r="M4" s="42" t="s">
        <v>34</v>
      </c>
      <c r="N4" s="42" t="s">
        <v>39</v>
      </c>
      <c r="O4" s="38" t="s">
        <v>38</v>
      </c>
    </row>
    <row r="5" spans="1:16" s="12" customFormat="1" ht="22.9" customHeight="1" x14ac:dyDescent="0.1">
      <c r="A5" s="13" t="s">
        <v>1</v>
      </c>
      <c r="C5" s="46"/>
      <c r="D5" s="46" t="s">
        <v>45</v>
      </c>
      <c r="E5" s="46"/>
      <c r="F5" s="46"/>
      <c r="G5" s="46"/>
      <c r="H5" s="46"/>
      <c r="K5" s="35" t="s">
        <v>27</v>
      </c>
      <c r="L5" s="42" t="s">
        <v>24</v>
      </c>
      <c r="M5" s="77" t="s">
        <v>35</v>
      </c>
      <c r="N5" s="78"/>
      <c r="O5" s="79"/>
    </row>
    <row r="6" spans="1:16" s="12" customFormat="1" ht="22.9" customHeight="1" x14ac:dyDescent="0.1">
      <c r="A6" s="13" t="s">
        <v>2</v>
      </c>
      <c r="B6" s="70" t="s">
        <v>41</v>
      </c>
      <c r="C6" s="70"/>
      <c r="D6" s="70"/>
      <c r="E6" s="70"/>
      <c r="F6" s="70"/>
      <c r="G6" s="13"/>
      <c r="H6" s="13"/>
      <c r="I6" s="13"/>
      <c r="K6" s="35"/>
      <c r="L6" s="42" t="s">
        <v>23</v>
      </c>
      <c r="M6" s="42" t="s">
        <v>31</v>
      </c>
      <c r="N6" s="42" t="s">
        <v>22</v>
      </c>
      <c r="O6" s="43" t="s">
        <v>36</v>
      </c>
    </row>
    <row r="7" spans="1:16" s="12" customFormat="1" ht="22.9" customHeight="1" thickBot="1" x14ac:dyDescent="0.15">
      <c r="A7" s="63" t="s">
        <v>3</v>
      </c>
      <c r="B7" s="63"/>
      <c r="C7" s="75">
        <f>L26</f>
        <v>2300000</v>
      </c>
      <c r="D7" s="75"/>
      <c r="E7" s="75"/>
      <c r="F7" s="16" t="s">
        <v>32</v>
      </c>
      <c r="I7" s="18"/>
      <c r="K7" s="36" t="s">
        <v>28</v>
      </c>
      <c r="L7" s="15" t="s">
        <v>25</v>
      </c>
      <c r="M7" s="15" t="s">
        <v>37</v>
      </c>
      <c r="N7" s="15" t="s">
        <v>5</v>
      </c>
      <c r="O7" s="32"/>
    </row>
    <row r="8" spans="1:16" s="12" customFormat="1" ht="22.9" customHeight="1" x14ac:dyDescent="0.1">
      <c r="A8" s="17"/>
      <c r="B8" s="64" t="s">
        <v>4</v>
      </c>
      <c r="C8" s="64"/>
      <c r="D8" s="73">
        <f>L26</f>
        <v>2300000</v>
      </c>
      <c r="E8" s="73"/>
      <c r="F8" s="73"/>
      <c r="G8" s="73"/>
      <c r="H8" s="73"/>
      <c r="I8" s="33" t="s">
        <v>11</v>
      </c>
      <c r="J8" s="37"/>
      <c r="K8" s="74"/>
      <c r="L8" s="74"/>
      <c r="M8" s="74"/>
      <c r="N8" s="74"/>
      <c r="O8" s="74"/>
      <c r="P8" s="22"/>
    </row>
    <row r="9" spans="1:16" s="11" customFormat="1" ht="19.5" customHeight="1" thickBot="1" x14ac:dyDescent="0.15">
      <c r="K9" s="67"/>
      <c r="L9" s="67"/>
      <c r="M9" s="67"/>
      <c r="N9" s="67"/>
      <c r="O9" s="67"/>
    </row>
    <row r="10" spans="1:16" s="21" customFormat="1" ht="30" customHeight="1" x14ac:dyDescent="0.1">
      <c r="A10" s="76" t="s">
        <v>10</v>
      </c>
      <c r="B10" s="71"/>
      <c r="C10" s="68"/>
      <c r="D10" s="65" t="s">
        <v>9</v>
      </c>
      <c r="E10" s="68"/>
      <c r="F10" s="65" t="s">
        <v>12</v>
      </c>
      <c r="G10" s="68"/>
      <c r="H10" s="65" t="s">
        <v>13</v>
      </c>
      <c r="I10" s="68"/>
      <c r="J10" s="65" t="s">
        <v>8</v>
      </c>
      <c r="K10" s="68"/>
      <c r="L10" s="65" t="s">
        <v>7</v>
      </c>
      <c r="M10" s="68"/>
      <c r="N10" s="65" t="s">
        <v>6</v>
      </c>
      <c r="O10" s="66"/>
    </row>
    <row r="11" spans="1:16" s="14" customFormat="1" ht="30" customHeight="1" x14ac:dyDescent="0.1">
      <c r="A11" s="56" t="s">
        <v>40</v>
      </c>
      <c r="B11" s="57"/>
      <c r="C11" s="58"/>
      <c r="D11" s="61"/>
      <c r="E11" s="58"/>
      <c r="F11" s="61">
        <v>4</v>
      </c>
      <c r="G11" s="58"/>
      <c r="H11" s="61"/>
      <c r="I11" s="58"/>
      <c r="J11" s="59">
        <v>230000</v>
      </c>
      <c r="K11" s="62"/>
      <c r="L11" s="59">
        <f>F11*J11</f>
        <v>920000</v>
      </c>
      <c r="M11" s="62"/>
      <c r="N11" s="59"/>
      <c r="O11" s="60"/>
    </row>
    <row r="12" spans="1:16" s="14" customFormat="1" ht="30" customHeight="1" x14ac:dyDescent="0.1">
      <c r="A12" s="56" t="s">
        <v>42</v>
      </c>
      <c r="B12" s="57"/>
      <c r="C12" s="58"/>
      <c r="D12" s="61"/>
      <c r="E12" s="58"/>
      <c r="F12" s="61">
        <v>6</v>
      </c>
      <c r="G12" s="58"/>
      <c r="H12" s="61"/>
      <c r="I12" s="58"/>
      <c r="J12" s="59">
        <v>220000</v>
      </c>
      <c r="K12" s="62"/>
      <c r="L12" s="59">
        <f>F12*J12</f>
        <v>1320000</v>
      </c>
      <c r="M12" s="62"/>
      <c r="N12" s="59"/>
      <c r="O12" s="60"/>
    </row>
    <row r="13" spans="1:16" s="14" customFormat="1" ht="30" customHeight="1" x14ac:dyDescent="0.1">
      <c r="A13" s="56" t="s">
        <v>43</v>
      </c>
      <c r="B13" s="57"/>
      <c r="C13" s="58"/>
      <c r="D13" s="61"/>
      <c r="E13" s="58"/>
      <c r="F13" s="61">
        <v>3</v>
      </c>
      <c r="G13" s="58"/>
      <c r="H13" s="61"/>
      <c r="I13" s="58"/>
      <c r="J13" s="59">
        <v>10000</v>
      </c>
      <c r="K13" s="62"/>
      <c r="L13" s="59">
        <f>F13*J13</f>
        <v>30000</v>
      </c>
      <c r="M13" s="62"/>
      <c r="N13" s="59"/>
      <c r="O13" s="60"/>
    </row>
    <row r="14" spans="1:16" s="14" customFormat="1" ht="30" customHeight="1" x14ac:dyDescent="0.1">
      <c r="A14" s="56" t="s">
        <v>44</v>
      </c>
      <c r="B14" s="57"/>
      <c r="C14" s="58"/>
      <c r="D14" s="61"/>
      <c r="E14" s="58"/>
      <c r="F14" s="61">
        <v>1</v>
      </c>
      <c r="G14" s="58"/>
      <c r="H14" s="61"/>
      <c r="I14" s="58"/>
      <c r="J14" s="59">
        <v>30000</v>
      </c>
      <c r="K14" s="62"/>
      <c r="L14" s="59">
        <f>F14*J14</f>
        <v>30000</v>
      </c>
      <c r="M14" s="62"/>
      <c r="N14" s="59"/>
      <c r="O14" s="60"/>
    </row>
    <row r="15" spans="1:16" s="14" customFormat="1" ht="30" customHeight="1" x14ac:dyDescent="0.1">
      <c r="A15" s="56"/>
      <c r="B15" s="57"/>
      <c r="C15" s="58"/>
      <c r="D15" s="61"/>
      <c r="E15" s="58"/>
      <c r="F15" s="61"/>
      <c r="G15" s="58"/>
      <c r="H15" s="61"/>
      <c r="I15" s="58"/>
      <c r="J15" s="59"/>
      <c r="K15" s="62"/>
      <c r="L15" s="59">
        <f t="shared" ref="L15:L16" si="0">F15*J15</f>
        <v>0</v>
      </c>
      <c r="M15" s="62"/>
      <c r="N15" s="59"/>
      <c r="O15" s="60"/>
    </row>
    <row r="16" spans="1:16" s="14" customFormat="1" ht="30" customHeight="1" x14ac:dyDescent="0.1">
      <c r="A16" s="56"/>
      <c r="B16" s="57"/>
      <c r="C16" s="58"/>
      <c r="D16" s="61"/>
      <c r="E16" s="58"/>
      <c r="F16" s="61"/>
      <c r="G16" s="58"/>
      <c r="H16" s="61"/>
      <c r="I16" s="58"/>
      <c r="J16" s="59"/>
      <c r="K16" s="62"/>
      <c r="L16" s="59">
        <f t="shared" si="0"/>
        <v>0</v>
      </c>
      <c r="M16" s="62"/>
      <c r="N16" s="59"/>
      <c r="O16" s="60"/>
    </row>
    <row r="17" spans="1:15" s="14" customFormat="1" ht="30" customHeight="1" x14ac:dyDescent="0.1">
      <c r="A17" s="56"/>
      <c r="B17" s="57"/>
      <c r="C17" s="58"/>
      <c r="D17" s="61"/>
      <c r="E17" s="58"/>
      <c r="F17" s="61"/>
      <c r="G17" s="58"/>
      <c r="H17" s="61"/>
      <c r="I17" s="58"/>
      <c r="J17" s="59"/>
      <c r="K17" s="62"/>
      <c r="L17" s="59">
        <f t="shared" ref="L17" si="1">SUM(F17*J17)</f>
        <v>0</v>
      </c>
      <c r="M17" s="62"/>
      <c r="N17" s="59"/>
      <c r="O17" s="60"/>
    </row>
    <row r="18" spans="1:15" s="14" customFormat="1" ht="30" customHeight="1" x14ac:dyDescent="0.1">
      <c r="A18" s="56"/>
      <c r="B18" s="57"/>
      <c r="C18" s="58"/>
      <c r="D18" s="61"/>
      <c r="E18" s="58"/>
      <c r="F18" s="61"/>
      <c r="G18" s="58"/>
      <c r="H18" s="61"/>
      <c r="I18" s="58"/>
      <c r="J18" s="59"/>
      <c r="K18" s="62"/>
      <c r="L18" s="59">
        <f t="shared" ref="L18:L25" si="2">SUM(F18*J18)</f>
        <v>0</v>
      </c>
      <c r="M18" s="62"/>
      <c r="N18" s="59"/>
      <c r="O18" s="60"/>
    </row>
    <row r="19" spans="1:15" s="14" customFormat="1" ht="30" customHeight="1" x14ac:dyDescent="0.1">
      <c r="A19" s="56"/>
      <c r="B19" s="57"/>
      <c r="C19" s="58"/>
      <c r="D19" s="61"/>
      <c r="E19" s="58"/>
      <c r="F19" s="61"/>
      <c r="G19" s="58"/>
      <c r="H19" s="61"/>
      <c r="I19" s="58"/>
      <c r="J19" s="59"/>
      <c r="K19" s="62"/>
      <c r="L19" s="59">
        <f t="shared" si="2"/>
        <v>0</v>
      </c>
      <c r="M19" s="62"/>
      <c r="N19" s="59"/>
      <c r="O19" s="60"/>
    </row>
    <row r="20" spans="1:15" s="14" customFormat="1" ht="30" customHeight="1" x14ac:dyDescent="0.1">
      <c r="A20" s="56"/>
      <c r="B20" s="57"/>
      <c r="C20" s="58"/>
      <c r="D20" s="61"/>
      <c r="E20" s="58"/>
      <c r="F20" s="61"/>
      <c r="G20" s="58"/>
      <c r="H20" s="61"/>
      <c r="I20" s="58"/>
      <c r="J20" s="59"/>
      <c r="K20" s="62"/>
      <c r="L20" s="59">
        <f t="shared" si="2"/>
        <v>0</v>
      </c>
      <c r="M20" s="62"/>
      <c r="N20" s="59"/>
      <c r="O20" s="60"/>
    </row>
    <row r="21" spans="1:15" s="14" customFormat="1" ht="30" customHeight="1" x14ac:dyDescent="0.1">
      <c r="A21" s="56"/>
      <c r="B21" s="57"/>
      <c r="C21" s="58"/>
      <c r="D21" s="61"/>
      <c r="E21" s="58"/>
      <c r="F21" s="61"/>
      <c r="G21" s="58"/>
      <c r="H21" s="61"/>
      <c r="I21" s="58"/>
      <c r="J21" s="59"/>
      <c r="K21" s="62"/>
      <c r="L21" s="59">
        <f t="shared" si="2"/>
        <v>0</v>
      </c>
      <c r="M21" s="62"/>
      <c r="N21" s="59"/>
      <c r="O21" s="60"/>
    </row>
    <row r="22" spans="1:15" s="14" customFormat="1" ht="30" customHeight="1" x14ac:dyDescent="0.1">
      <c r="A22" s="56"/>
      <c r="B22" s="57"/>
      <c r="C22" s="58"/>
      <c r="D22" s="61"/>
      <c r="E22" s="58"/>
      <c r="F22" s="61"/>
      <c r="G22" s="58"/>
      <c r="H22" s="61"/>
      <c r="I22" s="58"/>
      <c r="J22" s="59"/>
      <c r="K22" s="62"/>
      <c r="L22" s="59">
        <f t="shared" si="2"/>
        <v>0</v>
      </c>
      <c r="M22" s="62"/>
      <c r="N22" s="59"/>
      <c r="O22" s="60"/>
    </row>
    <row r="23" spans="1:15" s="14" customFormat="1" ht="30" customHeight="1" x14ac:dyDescent="0.1">
      <c r="A23" s="90"/>
      <c r="B23" s="90"/>
      <c r="C23" s="91"/>
      <c r="D23" s="61"/>
      <c r="E23" s="97"/>
      <c r="F23" s="61"/>
      <c r="G23" s="96"/>
      <c r="H23" s="61"/>
      <c r="I23" s="96"/>
      <c r="J23" s="59"/>
      <c r="K23" s="96"/>
      <c r="L23" s="59">
        <f t="shared" ref="L23" si="3">SUM(F23*J23)</f>
        <v>0</v>
      </c>
      <c r="M23" s="96"/>
      <c r="N23" s="44"/>
      <c r="O23" s="45"/>
    </row>
    <row r="24" spans="1:15" s="14" customFormat="1" ht="30" customHeight="1" x14ac:dyDescent="0.1">
      <c r="A24" s="56"/>
      <c r="B24" s="57"/>
      <c r="C24" s="58"/>
      <c r="D24" s="61"/>
      <c r="E24" s="58"/>
      <c r="F24" s="61"/>
      <c r="G24" s="58"/>
      <c r="H24" s="61"/>
      <c r="I24" s="58"/>
      <c r="J24" s="59"/>
      <c r="K24" s="62"/>
      <c r="L24" s="59">
        <f t="shared" si="2"/>
        <v>0</v>
      </c>
      <c r="M24" s="62"/>
      <c r="N24" s="59"/>
      <c r="O24" s="60"/>
    </row>
    <row r="25" spans="1:15" s="14" customFormat="1" ht="30" customHeight="1" thickBot="1" x14ac:dyDescent="0.15">
      <c r="A25" s="92"/>
      <c r="B25" s="93"/>
      <c r="C25" s="94"/>
      <c r="D25" s="95"/>
      <c r="E25" s="94"/>
      <c r="F25" s="95"/>
      <c r="G25" s="94"/>
      <c r="H25" s="95"/>
      <c r="I25" s="94"/>
      <c r="J25" s="84"/>
      <c r="K25" s="89"/>
      <c r="L25" s="84">
        <f t="shared" si="2"/>
        <v>0</v>
      </c>
      <c r="M25" s="89"/>
      <c r="N25" s="84"/>
      <c r="O25" s="85"/>
    </row>
    <row r="26" spans="1:15" s="14" customFormat="1" ht="30" customHeight="1" thickBot="1" x14ac:dyDescent="0.15">
      <c r="A26" s="86" t="s">
        <v>17</v>
      </c>
      <c r="B26" s="87"/>
      <c r="C26" s="87"/>
      <c r="D26" s="87"/>
      <c r="E26" s="87"/>
      <c r="F26" s="87"/>
      <c r="G26" s="87"/>
      <c r="H26" s="87"/>
      <c r="I26" s="88"/>
      <c r="J26" s="82" t="s">
        <v>16</v>
      </c>
      <c r="K26" s="83"/>
      <c r="L26" s="82">
        <f>SUM(L11:M25)</f>
        <v>2300000</v>
      </c>
      <c r="M26" s="83"/>
      <c r="N26" s="80"/>
      <c r="O26" s="81"/>
    </row>
    <row r="27" spans="1:15" ht="19.899999999999999" customHeight="1" x14ac:dyDescent="0.1">
      <c r="A27" s="13"/>
    </row>
    <row r="28" spans="1:15" ht="19.899999999999999" customHeight="1" x14ac:dyDescent="0.1"/>
    <row r="29" spans="1:15" ht="19.899999999999999" customHeight="1" x14ac:dyDescent="0.1"/>
    <row r="30" spans="1:15" ht="19.899999999999999" customHeight="1" x14ac:dyDescent="0.1"/>
    <row r="31" spans="1:15" ht="19.899999999999999" customHeight="1" x14ac:dyDescent="0.1"/>
    <row r="32" spans="1:15" ht="19.899999999999999" customHeight="1" x14ac:dyDescent="0.1"/>
    <row r="33" ht="19.899999999999999" customHeight="1" x14ac:dyDescent="0.1"/>
    <row r="34" ht="19.899999999999999" customHeight="1" x14ac:dyDescent="0.1"/>
    <row r="35" ht="19.899999999999999" customHeight="1" x14ac:dyDescent="0.1"/>
    <row r="36" ht="19.899999999999999" customHeight="1" x14ac:dyDescent="0.1"/>
    <row r="37" ht="19.899999999999999" customHeight="1" x14ac:dyDescent="0.1"/>
    <row r="38" ht="19.899999999999999" customHeight="1" x14ac:dyDescent="0.1"/>
    <row r="39" ht="19.899999999999999" customHeight="1" x14ac:dyDescent="0.1"/>
    <row r="40" ht="19.899999999999999" customHeight="1" x14ac:dyDescent="0.1"/>
  </sheetData>
  <mergeCells count="126">
    <mergeCell ref="A19:C19"/>
    <mergeCell ref="D19:E19"/>
    <mergeCell ref="F19:G19"/>
    <mergeCell ref="H19:I19"/>
    <mergeCell ref="A24:C24"/>
    <mergeCell ref="D24:E24"/>
    <mergeCell ref="F24:G24"/>
    <mergeCell ref="H24:I24"/>
    <mergeCell ref="L25:M25"/>
    <mergeCell ref="A25:C25"/>
    <mergeCell ref="D25:E25"/>
    <mergeCell ref="F25:G25"/>
    <mergeCell ref="H25:I25"/>
    <mergeCell ref="L20:M20"/>
    <mergeCell ref="A20:C20"/>
    <mergeCell ref="F23:G23"/>
    <mergeCell ref="D23:E23"/>
    <mergeCell ref="J23:K23"/>
    <mergeCell ref="H23:I23"/>
    <mergeCell ref="L23:M23"/>
    <mergeCell ref="N26:O26"/>
    <mergeCell ref="L26:M26"/>
    <mergeCell ref="A21:C21"/>
    <mergeCell ref="A22:C22"/>
    <mergeCell ref="D21:E21"/>
    <mergeCell ref="D22:E22"/>
    <mergeCell ref="F21:G21"/>
    <mergeCell ref="F22:G22"/>
    <mergeCell ref="H21:I21"/>
    <mergeCell ref="H22:I22"/>
    <mergeCell ref="N24:O24"/>
    <mergeCell ref="N21:O21"/>
    <mergeCell ref="N22:O22"/>
    <mergeCell ref="L22:M22"/>
    <mergeCell ref="N25:O25"/>
    <mergeCell ref="L24:M24"/>
    <mergeCell ref="J21:K21"/>
    <mergeCell ref="L21:M21"/>
    <mergeCell ref="A26:I26"/>
    <mergeCell ref="J26:K26"/>
    <mergeCell ref="J24:K24"/>
    <mergeCell ref="J25:K25"/>
    <mergeCell ref="J22:K22"/>
    <mergeCell ref="A23:C23"/>
    <mergeCell ref="A1:O1"/>
    <mergeCell ref="H10:I10"/>
    <mergeCell ref="F10:G10"/>
    <mergeCell ref="J12:K12"/>
    <mergeCell ref="B6:F6"/>
    <mergeCell ref="L14:M14"/>
    <mergeCell ref="L15:M15"/>
    <mergeCell ref="L16:M16"/>
    <mergeCell ref="L17:M17"/>
    <mergeCell ref="J16:K16"/>
    <mergeCell ref="J17:K17"/>
    <mergeCell ref="A13:C13"/>
    <mergeCell ref="A14:C14"/>
    <mergeCell ref="A12:C12"/>
    <mergeCell ref="M3:O3"/>
    <mergeCell ref="H17:I17"/>
    <mergeCell ref="J10:K10"/>
    <mergeCell ref="L10:M10"/>
    <mergeCell ref="B4:G4"/>
    <mergeCell ref="D8:H8"/>
    <mergeCell ref="K8:O8"/>
    <mergeCell ref="C7:E7"/>
    <mergeCell ref="A10:C10"/>
    <mergeCell ref="M5:O5"/>
    <mergeCell ref="N19:O19"/>
    <mergeCell ref="N20:O20"/>
    <mergeCell ref="N17:O17"/>
    <mergeCell ref="D10:E10"/>
    <mergeCell ref="H12:I12"/>
    <mergeCell ref="L18:M18"/>
    <mergeCell ref="L19:M19"/>
    <mergeCell ref="L11:M11"/>
    <mergeCell ref="D12:E12"/>
    <mergeCell ref="D13:E13"/>
    <mergeCell ref="J15:K15"/>
    <mergeCell ref="J13:K13"/>
    <mergeCell ref="J19:K19"/>
    <mergeCell ref="F17:G17"/>
    <mergeCell ref="F15:G15"/>
    <mergeCell ref="F13:G13"/>
    <mergeCell ref="F16:G16"/>
    <mergeCell ref="H16:I16"/>
    <mergeCell ref="H13:I13"/>
    <mergeCell ref="D20:E20"/>
    <mergeCell ref="F20:G20"/>
    <mergeCell ref="H20:I20"/>
    <mergeCell ref="J20:K20"/>
    <mergeCell ref="H14:I14"/>
    <mergeCell ref="J14:K14"/>
    <mergeCell ref="D14:E14"/>
    <mergeCell ref="F14:G14"/>
    <mergeCell ref="N13:O13"/>
    <mergeCell ref="A7:B7"/>
    <mergeCell ref="B8:C8"/>
    <mergeCell ref="A11:C11"/>
    <mergeCell ref="N10:O10"/>
    <mergeCell ref="K9:O9"/>
    <mergeCell ref="F11:G11"/>
    <mergeCell ref="F12:G12"/>
    <mergeCell ref="H11:I11"/>
    <mergeCell ref="N14:O14"/>
    <mergeCell ref="N12:O12"/>
    <mergeCell ref="J11:K11"/>
    <mergeCell ref="L12:M12"/>
    <mergeCell ref="L13:M13"/>
    <mergeCell ref="D11:E11"/>
    <mergeCell ref="N11:O11"/>
    <mergeCell ref="A16:C16"/>
    <mergeCell ref="A17:C17"/>
    <mergeCell ref="A18:C18"/>
    <mergeCell ref="N15:O15"/>
    <mergeCell ref="H15:I15"/>
    <mergeCell ref="J18:K18"/>
    <mergeCell ref="D17:E17"/>
    <mergeCell ref="D18:E18"/>
    <mergeCell ref="A15:C15"/>
    <mergeCell ref="N16:O16"/>
    <mergeCell ref="H18:I18"/>
    <mergeCell ref="D15:E15"/>
    <mergeCell ref="D16:E16"/>
    <mergeCell ref="F18:G18"/>
    <mergeCell ref="N18:O18"/>
  </mergeCells>
  <phoneticPr fontId="1" type="noConversion"/>
  <pageMargins left="0.39370078740157483" right="0.39370078740157483" top="0.39370078740157483" bottom="0.39370078740157483" header="0.11811023622047245" footer="0.19685039370078741"/>
  <pageSetup paperSize="9" orientation="portrait" r:id="rId1"/>
  <headerFooter alignWithMargins="0">
    <oddFooter>&amp;C&amp;"돋움,굵게"&amp;Y&amp;P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앞표지(세로)</vt:lpstr>
      <vt:lpstr>견적서 양식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고영구</dc:creator>
  <cp:lastModifiedBy>kjw</cp:lastModifiedBy>
  <cp:lastPrinted>2013-07-11T04:22:33Z</cp:lastPrinted>
  <dcterms:created xsi:type="dcterms:W3CDTF">2008-04-24T04:43:46Z</dcterms:created>
  <dcterms:modified xsi:type="dcterms:W3CDTF">2019-12-02T09:42:53Z</dcterms:modified>
</cp:coreProperties>
</file>