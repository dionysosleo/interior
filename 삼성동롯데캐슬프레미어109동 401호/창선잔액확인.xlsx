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3040" windowHeight="9885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"/>
  <c r="B7"/>
  <c r="E12"/>
  <c r="E20"/>
  <c r="E3" l="1"/>
  <c r="B6"/>
  <c r="E13"/>
  <c r="B10" l="1"/>
</calcChain>
</file>

<file path=xl/sharedStrings.xml><?xml version="1.0" encoding="utf-8"?>
<sst xmlns="http://schemas.openxmlformats.org/spreadsheetml/2006/main" count="23" uniqueCount="23">
  <si>
    <t>총계약가</t>
    <phoneticPr fontId="1" type="noConversion"/>
  </si>
  <si>
    <t>마루</t>
    <phoneticPr fontId="1" type="noConversion"/>
  </si>
  <si>
    <t>sc소개건</t>
    <phoneticPr fontId="1" type="noConversion"/>
  </si>
  <si>
    <t>소비자서비스(쿡탑)</t>
    <phoneticPr fontId="1" type="noConversion"/>
  </si>
  <si>
    <t>봉천동건</t>
    <phoneticPr fontId="1" type="noConversion"/>
  </si>
  <si>
    <t>삼성동건</t>
    <phoneticPr fontId="1" type="noConversion"/>
  </si>
  <si>
    <t>입금액</t>
    <phoneticPr fontId="1" type="noConversion"/>
  </si>
  <si>
    <t>잔액</t>
    <phoneticPr fontId="1" type="noConversion"/>
  </si>
  <si>
    <t>삼성동건</t>
    <phoneticPr fontId="1" type="noConversion"/>
  </si>
  <si>
    <t>천정몰딩</t>
    <phoneticPr fontId="1" type="noConversion"/>
  </si>
  <si>
    <t>프리미엄도어</t>
    <phoneticPr fontId="1" type="noConversion"/>
  </si>
  <si>
    <t>도기류</t>
    <phoneticPr fontId="1" type="noConversion"/>
  </si>
  <si>
    <t>필름</t>
    <phoneticPr fontId="1" type="noConversion"/>
  </si>
  <si>
    <t>도배</t>
    <phoneticPr fontId="1" type="noConversion"/>
  </si>
  <si>
    <t>조명</t>
    <phoneticPr fontId="1" type="noConversion"/>
  </si>
  <si>
    <t>봉천동건</t>
    <phoneticPr fontId="1" type="noConversion"/>
  </si>
  <si>
    <t>주방</t>
    <phoneticPr fontId="1" type="noConversion"/>
  </si>
  <si>
    <t>후드</t>
    <phoneticPr fontId="1" type="noConversion"/>
  </si>
  <si>
    <t>신발장</t>
    <phoneticPr fontId="1" type="noConversion"/>
  </si>
  <si>
    <t>콘센트</t>
    <phoneticPr fontId="1" type="noConversion"/>
  </si>
  <si>
    <t>도어</t>
    <phoneticPr fontId="1" type="noConversion"/>
  </si>
  <si>
    <t>도기</t>
    <phoneticPr fontId="1" type="noConversion"/>
  </si>
  <si>
    <t>마루샌딩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</si>
</sst>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3" fontId="0" fillId="0" borderId="0" xfId="0" applyNumberFormat="1" applyBorder="1">
      <alignment vertical="center"/>
    </xf>
    <xf numFmtId="0" fontId="0" fillId="0" borderId="2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>
      <selection activeCell="H8" sqref="H8"/>
    </sheetView>
  </sheetViews>
  <sheetFormatPr defaultRowHeight="16.5"/>
  <cols>
    <col min="1" max="1" width="15.875" customWidth="1"/>
    <col min="2" max="6" width="12.25" customWidth="1"/>
    <col min="7" max="15" width="13" customWidth="1"/>
  </cols>
  <sheetData>
    <row r="1" spans="1:6" ht="27" customHeight="1" thickBot="1">
      <c r="A1" s="1"/>
      <c r="B1" s="1"/>
    </row>
    <row r="2" spans="1:6" ht="27" customHeight="1" thickBot="1">
      <c r="A2" s="1" t="s">
        <v>0</v>
      </c>
      <c r="B2" s="1">
        <v>74340000</v>
      </c>
    </row>
    <row r="3" spans="1:6" ht="27" customHeight="1" thickBot="1">
      <c r="A3" s="1" t="s">
        <v>1</v>
      </c>
      <c r="B3" s="1">
        <v>-5727000</v>
      </c>
      <c r="D3" s="3" t="s">
        <v>8</v>
      </c>
      <c r="E3" s="3">
        <f>E4+E5+F5+E6+E7+E9+E10+E11</f>
        <v>-6797000</v>
      </c>
      <c r="F3" s="3"/>
    </row>
    <row r="4" spans="1:6" ht="27" customHeight="1" thickBot="1">
      <c r="A4" s="1" t="s">
        <v>2</v>
      </c>
      <c r="B4" s="1">
        <v>-2000000</v>
      </c>
      <c r="D4" s="3" t="s">
        <v>9</v>
      </c>
      <c r="E4" s="3">
        <v>-65000</v>
      </c>
      <c r="F4" s="3"/>
    </row>
    <row r="5" spans="1:6" ht="27" customHeight="1" thickBot="1">
      <c r="A5" s="1" t="s">
        <v>3</v>
      </c>
      <c r="B5" s="1">
        <v>-1770000</v>
      </c>
      <c r="D5" s="3" t="s">
        <v>10</v>
      </c>
      <c r="E5" s="3">
        <v>-1440000</v>
      </c>
      <c r="F5" s="3">
        <v>-1080000</v>
      </c>
    </row>
    <row r="6" spans="1:6" ht="27" customHeight="1" thickBot="1">
      <c r="A6" s="1" t="s">
        <v>4</v>
      </c>
      <c r="B6" s="1">
        <f>E13</f>
        <v>-6166500</v>
      </c>
      <c r="D6" s="3" t="s">
        <v>11</v>
      </c>
      <c r="E6" s="3">
        <v>-1305000</v>
      </c>
      <c r="F6" s="3"/>
    </row>
    <row r="7" spans="1:6" ht="27" customHeight="1" thickBot="1">
      <c r="A7" s="1" t="s">
        <v>5</v>
      </c>
      <c r="B7" s="2">
        <f>F12</f>
        <v>-6257000</v>
      </c>
      <c r="D7" s="3" t="s">
        <v>12</v>
      </c>
      <c r="E7" s="3">
        <v>-843000</v>
      </c>
      <c r="F7" s="3"/>
    </row>
    <row r="8" spans="1:6" ht="27" customHeight="1" thickBot="1">
      <c r="A8" s="1"/>
      <c r="B8" s="2">
        <f>SUM(B3:B7)</f>
        <v>-21920500</v>
      </c>
      <c r="D8" s="3"/>
      <c r="E8" s="3"/>
      <c r="F8" s="3"/>
    </row>
    <row r="9" spans="1:6" ht="27" customHeight="1" thickBot="1">
      <c r="A9" s="1" t="s">
        <v>6</v>
      </c>
      <c r="B9" s="1">
        <v>-50000000</v>
      </c>
      <c r="D9" s="3" t="s">
        <v>13</v>
      </c>
      <c r="E9" s="3">
        <v>-709000</v>
      </c>
      <c r="F9" s="3"/>
    </row>
    <row r="10" spans="1:6" ht="27" customHeight="1" thickBot="1">
      <c r="A10" s="1" t="s">
        <v>7</v>
      </c>
      <c r="B10" s="2">
        <f>B2+B3+B4+B5+B6+B7+B9</f>
        <v>2419500</v>
      </c>
      <c r="D10" s="3" t="s">
        <v>14</v>
      </c>
      <c r="E10" s="3">
        <v>-1205000</v>
      </c>
      <c r="F10" s="3"/>
    </row>
    <row r="11" spans="1:6" ht="27" customHeight="1">
      <c r="A11" s="4"/>
      <c r="B11" s="5"/>
      <c r="D11" s="6" t="s">
        <v>22</v>
      </c>
      <c r="E11" s="6">
        <v>-150000</v>
      </c>
      <c r="F11" s="3"/>
    </row>
    <row r="12" spans="1:6" ht="27" customHeight="1">
      <c r="E12">
        <f>SUM(E4:E11)</f>
        <v>-5717000</v>
      </c>
      <c r="F12">
        <v>-6257000</v>
      </c>
    </row>
    <row r="13" spans="1:6" ht="27" customHeight="1">
      <c r="D13" s="3" t="s">
        <v>15</v>
      </c>
      <c r="E13" s="3">
        <f>E14+E15+E16+E17+E18+E19</f>
        <v>-6166500</v>
      </c>
      <c r="F13" s="3"/>
    </row>
    <row r="14" spans="1:6" ht="27" customHeight="1">
      <c r="D14" s="3" t="s">
        <v>16</v>
      </c>
      <c r="E14" s="3">
        <v>-3600000</v>
      </c>
      <c r="F14" s="3"/>
    </row>
    <row r="15" spans="1:6" ht="27" customHeight="1">
      <c r="D15" s="3" t="s">
        <v>17</v>
      </c>
      <c r="E15" s="3">
        <v>-500000</v>
      </c>
      <c r="F15" s="3"/>
    </row>
    <row r="16" spans="1:6" ht="27" customHeight="1">
      <c r="D16" s="3" t="s">
        <v>18</v>
      </c>
      <c r="E16" s="3">
        <v>-450000</v>
      </c>
      <c r="F16" s="3"/>
    </row>
    <row r="17" spans="4:6" ht="27" customHeight="1">
      <c r="D17" s="3" t="s">
        <v>19</v>
      </c>
      <c r="E17" s="3">
        <v>-200000</v>
      </c>
      <c r="F17" s="3"/>
    </row>
    <row r="18" spans="4:6" ht="27" customHeight="1">
      <c r="D18" s="3" t="s">
        <v>20</v>
      </c>
      <c r="E18" s="3">
        <v>-490500</v>
      </c>
      <c r="F18" s="3"/>
    </row>
    <row r="19" spans="4:6" ht="27" customHeight="1">
      <c r="D19" s="3" t="s">
        <v>21</v>
      </c>
      <c r="E19" s="3">
        <v>-926000</v>
      </c>
      <c r="F19" s="3"/>
    </row>
    <row r="20" spans="4:6" ht="27" customHeight="1">
      <c r="E20">
        <f>SUM(E14:E19)</f>
        <v>-6166500</v>
      </c>
    </row>
    <row r="21" spans="4:6" ht="27" customHeight="1"/>
    <row r="22" spans="4:6" ht="27" customHeight="1"/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이창선</dc:creator>
  <cp:lastModifiedBy>user</cp:lastModifiedBy>
  <dcterms:created xsi:type="dcterms:W3CDTF">2020-04-09T01:04:26Z</dcterms:created>
  <dcterms:modified xsi:type="dcterms:W3CDTF">2020-04-09T02:30:27Z</dcterms:modified>
</cp:coreProperties>
</file>